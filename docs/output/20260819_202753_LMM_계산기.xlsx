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REGIONAL" sheetId="6" r:id="rId6"/>
    <sheet name="검증" sheetId="7" r:id="rId7"/>
    <sheet name="설명" sheetId="8" r:id="rId8"/>
  </sheets>
  <definedNames>
    <definedName name="CR_LAT">'CRUSTAL'!$A$3:$A$200</definedName>
    <definedName name="CR_LON">'CRUSTAL'!$B$2:$EY$2</definedName>
    <definedName name="CR_VAL">'CRUSTAL'!$B$3:$EY$200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'REGIONAL'!$B$5:$B$5</definedName>
    <definedName name="REG_F">'REGIONAL'!$D$5:$D$5</definedName>
    <definedName name="REG_I">'REGIONAL'!$C$5:$C$5</definedName>
  </definedNames>
  <calcPr calcId="124519" fullCalcOnLoad="1"/>
</workbook>
</file>

<file path=xl/sharedStrings.xml><?xml version="1.0" encoding="utf-8"?>
<sst xmlns="http://schemas.openxmlformats.org/spreadsheetml/2006/main" count="118" uniqueCount="118">
  <si>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</si>
  <si>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</si>
  <si>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</si>
  <si>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</si>
  <si>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</si>
  <si>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</si>
  <si>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</si>
  <si>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Regional 층 다항식 계수</t>
  </si>
  <si>
    <t>기준점 lat0=36.0, lon0=127.5, 차수=0</t>
  </si>
  <si>
    <t>항</t>
  </si>
  <si>
    <t>D (deg)</t>
  </si>
  <si>
    <t>I (deg)</t>
  </si>
  <si>
    <t>F (nT)</t>
  </si>
  <si>
    <t>u^0 v^0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</si>
  <si>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</si>
  <si>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</si>
  <si>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</si>
  <si>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</si>
  <si>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</si>
  <si>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</si>
  <si>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</si>
  <si>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</si>
  <si>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</si>
  <si>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</si>
  <si>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</si>
  <si>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</si>
  <si>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</si>
  <si>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</si>
  <si>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</si>
  <si>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</si>
  <si>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</si>
  <si>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</si>
  <si>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</si>
  <si>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</si>
  <si>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</si>
  <si>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</si>
  <si>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</si>
  <si>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</si>
  <si>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</si>
  <si>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</si>
  <si>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</si>
  <si>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</si>
  <si>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</si>
  <si>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</si>
  <si>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</si>
  <si>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</si>
  <si>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</si>
  <si>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</si>
  <si>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</si>
  <si>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</si>
  <si>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</si>
  <si>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0.50°, I 0.24°, F 63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</si>
  <si>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</si>
  <si>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</si>
  <si>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</si>
  <si>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</si>
  <si>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</si>
  <si>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</si>
  <si>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</si>
  <si>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</si>
  <si>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</si>
  <si>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</si>
  <si>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</si>
  <si>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</si>
  <si>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</si>
  <si>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</si>
  <si>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</si>
  <si>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</si>
  <si>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뿐 아니라 **편각·복각에도** 기여합니다. 항공자력이 주는</t>
  </si>
  <si>
    <t xml:space="preserve">      스칼라 이상 ΔF 는 이상벡터를 주자기장 방향으로 투영한 값이므로,</t>
  </si>
  <si>
    <t xml:space="preserve">      파수영역 역산으로 벡터 3성분(b_north·b_east·b_down)을 복원해</t>
  </si>
  <si>
    <t xml:space="preserve">      IGRF 벡터에 더한 뒤 각을 다시 잽니다(CRUSTAL_VEC 시트).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</si>
  <si>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</si>
  <si>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</si>
  <si>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</si>
  <si>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성과 편각에서</t>
  </si>
  <si>
    <t xml:space="preserve">      뺐습니다. 교란시(Kp&gt;2) 세션은 공간보간이 먼저 깨지므로 보정하지 않습니다.</t>
  </si>
  <si>
    <t xml:space="preserve">      총자력에는 적용하지 않습니다 — F 잔차는 외부장(약 38 nT)이 아니라</t>
  </si>
  <si>
    <t xml:space="preserve">      지각장 불일치(약 190 nT)가 지배해 잡음만 늘기 때문입니다.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</si>
  <si>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</si>
  <si>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</si>
  <si>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</si>
  <si>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</si>
  <si>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</si>
  <si>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</si>
  <si>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</si>
  <si>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</si>
  <si>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측선간격 250 m 원측선 자료는 존재하지</t>
  </si>
  <si>
    <t xml:space="preserve">     않으므로 현 격자가 해상도 상한입니다(신규 자력측량 여부가 갈림길).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</si>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</sst>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0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14</v>
      </c>
    </row>
    <row r="2" spans="1:2">
      <c r="A2" t="s">
        <v>15</v>
      </c>
    </row>
    <row r="4" spans="1:2">
      <c r="A4" s="2" t="s">
        <v>16</v>
      </c>
      <c r="B4" s="3">
        <v>36</v>
      </c>
    </row>
    <row r="5" spans="1:2">
      <c r="A5" s="2" t="s">
        <v>17</v>
      </c>
      <c r="B5" s="3">
        <v>128</v>
      </c>
    </row>
    <row r="6" spans="1:2">
      <c r="A6" s="2" t="s">
        <v>18</v>
      </c>
      <c r="B6" s="3">
        <v>0</v>
      </c>
    </row>
    <row r="7" spans="1:2">
      <c r="A7" s="2" t="s">
        <v>19</v>
      </c>
      <c r="B7" s="3">
        <v>2027</v>
      </c>
    </row>
    <row r="9" spans="1:2">
      <c r="A9" s="2" t="s">
        <v>20</v>
      </c>
    </row>
    <row r="10" spans="1:2">
      <c r="A10" s="2" t="s">
        <v>21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22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23</v>
      </c>
      <c r="B12" s="4">
        <f>$B$6*3.860805583663307e-06</f>
        <v>0.0</v>
      </c>
    </row>
    <row r="13" spans="1:2">
      <c r="A13" s="2" t="s">
        <v>24</v>
      </c>
      <c r="B13" s="4">
        <f>B10+B11*($B$7-2025.0)+B12</f>
        <v>-8.64306381149723</v>
      </c>
    </row>
    <row r="15" spans="1:2">
      <c r="A15" s="2" t="s">
        <v>25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26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27</v>
      </c>
      <c r="B17" s="4">
        <f>$B$6*-1.0158341658481619e-06</f>
        <v>-0.0</v>
      </c>
    </row>
    <row r="18" spans="1:2">
      <c r="A18" s="2" t="s">
        <v>28</v>
      </c>
      <c r="B18" s="4">
        <f>B15+B16*($B$7-2025.0)+B17</f>
        <v>52.49554995404871</v>
      </c>
    </row>
    <row r="20" spans="1:2">
      <c r="A20" s="2" t="s">
        <v>29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30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31</v>
      </c>
      <c r="B22" s="4">
        <f>$B$6*-0.026249379502944065</f>
        <v>-0.0</v>
      </c>
    </row>
    <row r="23" spans="1:2">
      <c r="A23" s="2" t="s">
        <v>32</v>
      </c>
      <c r="B23" s="4">
        <f>B20+B21*($B$7-2025.0)+B22</f>
        <v>50300.13530318831</v>
      </c>
    </row>
    <row r="25" spans="1:2">
      <c r="A25" s="2" t="s">
        <v>33</v>
      </c>
    </row>
    <row r="26" spans="1:2">
      <c r="A26" s="2" t="s">
        <v>34</v>
      </c>
      <c r="B26" s="4">
        <f>INDEX(REG_D,1)*(($B$4-36.0)^0)*(($B$5-127.5)^0)</f>
        <v>-0.21083522666009108</v>
      </c>
    </row>
    <row r="27" spans="1:2">
      <c r="A27" s="2" t="s">
        <v>35</v>
      </c>
      <c r="B27" s="4">
        <f>INDEX(REG_I,1)*(($B$4-36.0)^0)*(($B$5-127.5)^0)</f>
        <v>0.17162372636441872</v>
      </c>
    </row>
    <row r="28" spans="1:2">
      <c r="A28" s="2" t="s">
        <v>36</v>
      </c>
      <c r="B28" s="4">
        <f>INDEX(REG_F,1)*(($B$4-36.0)^0)*(($B$5-127.5)^0)</f>
        <v>8.313629090927206</v>
      </c>
    </row>
    <row r="30" spans="1:2">
      <c r="A30" s="2" t="s">
        <v>37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38</v>
      </c>
      <c r="B31" t="str">
        <f>IF(OR($B$4&lt;MIN(CR_LAT),$B$4&gt;MAX(CR_LAT),$B$5&lt;MIN(CR_LON),$B$5&gt;MAX(CR_LON)),"격자 범위 밖",IF(B30=0,"자료 공백(0 적용)","정상"))</f>
        <v>정상</v>
      </c>
    </row>
    <row r="33" spans="1:5">
      <c r="A33" s="2" t="s">
        <v>39</v>
      </c>
      <c r="B33" t="s">
        <v>40</v>
      </c>
    </row>
    <row r="35" spans="1:5">
      <c r="A35" s="2" t="s">
        <v>41</v>
      </c>
    </row>
    <row r="36" spans="1:5">
      <c r="A36" s="2" t="s">
        <v>42</v>
      </c>
      <c r="B36" s="4">
        <f>B13+B26</f>
        <v>-8.853899038157321</v>
      </c>
    </row>
    <row r="37" spans="1:5">
      <c r="A37" s="2" t="s">
        <v>43</v>
      </c>
      <c r="B37" s="4">
        <f>B18+B27</f>
        <v>52.66717368041313</v>
      </c>
    </row>
    <row r="38" spans="1:5">
      <c r="A38" s="2" t="s">
        <v>44</v>
      </c>
      <c r="B38" s="5">
        <f>B23+B30+B28</f>
        <v>50289.74893227924</v>
      </c>
    </row>
    <row r="39" spans="1:5">
      <c r="A39" s="2" t="s">
        <v>45</v>
      </c>
      <c r="B39" s="5">
        <f>B38*COS(RADIANS(B37))</f>
        <v>30497.918980975297</v>
      </c>
    </row>
    <row r="40" spans="1:5">
      <c r="A40" s="2" t="s">
        <v>46</v>
      </c>
      <c r="B40" s="5">
        <f>B39*COS(RADIANS(B36))</f>
        <v>30134.506633209086</v>
      </c>
    </row>
    <row r="41" spans="1:5">
      <c r="A41" s="2" t="s">
        <v>47</v>
      </c>
      <c r="B41" s="5">
        <f>B39*SIN(RADIANS(B36))</f>
        <v>-4694.099715942431</v>
      </c>
    </row>
    <row r="42" spans="1:5">
      <c r="A42" s="2" t="s">
        <v>48</v>
      </c>
      <c r="B42" s="5">
        <f>B38*SIN(RADIANS(B37))</f>
        <v>39986.69510601679</v>
      </c>
    </row>
    <row r="44" spans="1:5">
      <c r="A44" s="2" t="s">
        <v>49</v>
      </c>
      <c r="B44" t="str">
        <f>TEXT(TRUNC(B36),"0")&amp;"° "&amp;TEXT(TRUNC(ABS(B36-TRUNC(B36))*60),"00")&amp;"' "&amp;TEXT(ROUND((ABS(B36-TRUNC(B36))*60-TRUNC(ABS(B36-TRUNC(B36))*60))*60,1),"00.0")&amp;""""</f>
        <v>-8° 51' 14.0"</v>
      </c>
    </row>
    <row r="46" spans="1:5" ht="22" customHeight="1">
      <c r="A46" s="2" t="s">
        <v>50</v>
      </c>
      <c r="B46" s="6" t="s">
        <v>51</v>
      </c>
      <c r="C46" s="6"/>
      <c r="D46" s="6"/>
      <c r="E46" s="6"/>
    </row>
    <row r="47" spans="1:5" ht="22" customHeight="1">
      <c r="B47" s="6"/>
      <c r="C47" s="6"/>
      <c r="D47" s="6"/>
      <c r="E47" s="6"/>
    </row>
    <row r="48" spans="1:5" ht="22" customHeight="1">
      <c r="B48" s="6"/>
      <c r="C48" s="6"/>
      <c r="D48" s="6"/>
      <c r="E48" s="6"/>
    </row>
    <row r="49" spans="2:5" ht="22" customHeight="1">
      <c r="B49" s="6"/>
      <c r="C49" s="6"/>
      <c r="D49" s="6"/>
      <c r="E49" s="6"/>
    </row>
    <row r="50" spans="2:5" ht="22" customHeight="1">
      <c r="B50" s="6"/>
      <c r="C50" s="6"/>
      <c r="D50" s="6"/>
      <c r="E50" s="6"/>
    </row>
  </sheetData>
  <mergeCells count="2">
    <mergeCell ref="B33:E33"/>
    <mergeCell ref="B46:E50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7</v>
      </c>
    </row>
    <row r="2" spans="1:4">
      <c r="A2" t="s">
        <v>8</v>
      </c>
    </row>
    <row r="4" spans="1:4">
      <c r="A4" s="7" t="s">
        <v>9</v>
      </c>
      <c r="B4" s="7" t="s">
        <v>10</v>
      </c>
      <c r="C4" s="7" t="s">
        <v>11</v>
      </c>
      <c r="D4" s="7" t="s">
        <v>12</v>
      </c>
    </row>
    <row r="5" spans="1:4">
      <c r="A5" t="s">
        <v>13</v>
      </c>
      <c r="B5">
        <v>-0.2108352266600911</v>
      </c>
      <c r="C5">
        <v>0.1716237263644187</v>
      </c>
      <c r="D5">
        <v>8.313629090927206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52</v>
      </c>
    </row>
    <row r="2" spans="1:7">
      <c r="A2" t="s">
        <v>53</v>
      </c>
    </row>
    <row r="4" spans="1:7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</row>
    <row r="5" spans="1:7">
      <c r="A5">
        <v>36</v>
      </c>
      <c r="B5">
        <v>128</v>
      </c>
      <c r="C5">
        <v>0</v>
      </c>
      <c r="D5">
        <v>2027</v>
      </c>
      <c r="E5">
        <v>-8.853820045288165</v>
      </c>
      <c r="F5">
        <v>52.66728174557426</v>
      </c>
      <c r="G5">
        <v>50289.64658938496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-9.207766412856783</v>
      </c>
      <c r="F6">
        <v>54.80662956875158</v>
      </c>
      <c r="G6">
        <v>51417.93652526486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-8.559958321473612</v>
      </c>
      <c r="F7">
        <v>51.08955052180538</v>
      </c>
      <c r="G7">
        <v>49485.66100842903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-8.807325155618004</v>
      </c>
      <c r="F8">
        <v>52.37390031929116</v>
      </c>
      <c r="G8">
        <v>49995.58127537311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-8.10017970754123</v>
      </c>
      <c r="F9">
        <v>49.72051007967806</v>
      </c>
      <c r="G9">
        <v>49158.5121528351</v>
      </c>
    </row>
  </sheetData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6"/>
  <sheetViews>
    <sheetView workbookViewId="0"/>
  </sheetViews>
  <sheetFormatPr defaultRowHeight="15"/>
  <cols>
    <col min="1" max="1" width="100.7109375" customWidth="1"/>
  </cols>
  <sheetData>
    <row r="1" spans="1:1">
      <c r="A1" s="1" t="s">
        <v>61</v>
      </c>
    </row>
    <row r="2" spans="1:1">
      <c r="A2" s="9"/>
    </row>
    <row r="3" spans="1:1">
      <c r="A3" s="2" t="s">
        <v>62</v>
      </c>
    </row>
    <row r="4" spans="1:1">
      <c r="A4" s="9" t="s">
        <v>63</v>
      </c>
    </row>
    <row r="5" spans="1:1">
      <c r="A5" s="9" t="s">
        <v>64</v>
      </c>
    </row>
    <row r="6" spans="1:1">
      <c r="A6" s="9" t="s">
        <v>65</v>
      </c>
    </row>
    <row r="7" spans="1:1">
      <c r="A7" s="9" t="s">
        <v>66</v>
      </c>
    </row>
    <row r="8" spans="1:1">
      <c r="A8" s="9" t="s">
        <v>67</v>
      </c>
    </row>
    <row r="9" spans="1:1">
      <c r="A9" s="9" t="s">
        <v>68</v>
      </c>
    </row>
    <row r="10" spans="1:1">
      <c r="A10" s="9" t="s">
        <v>69</v>
      </c>
    </row>
    <row r="11" spans="1:1">
      <c r="A11" s="9" t="s">
        <v>70</v>
      </c>
    </row>
    <row r="12" spans="1:1">
      <c r="A12" s="9" t="s">
        <v>71</v>
      </c>
    </row>
    <row r="13" spans="1:1">
      <c r="A13" s="9" t="s">
        <v>72</v>
      </c>
    </row>
    <row r="14" spans="1:1">
      <c r="A14" s="9" t="s">
        <v>73</v>
      </c>
    </row>
    <row r="15" spans="1:1">
      <c r="A15" s="9" t="s">
        <v>74</v>
      </c>
    </row>
    <row r="16" spans="1:1">
      <c r="A16" s="9" t="s">
        <v>75</v>
      </c>
    </row>
    <row r="17" spans="1:1">
      <c r="A17" s="9" t="s">
        <v>76</v>
      </c>
    </row>
    <row r="18" spans="1:1">
      <c r="A18" s="9" t="s">
        <v>77</v>
      </c>
    </row>
    <row r="19" spans="1:1">
      <c r="A19" s="9" t="s">
        <v>78</v>
      </c>
    </row>
    <row r="20" spans="1:1">
      <c r="A20" s="9"/>
    </row>
    <row r="21" spans="1:1">
      <c r="A21" s="2" t="s">
        <v>79</v>
      </c>
    </row>
    <row r="22" spans="1:1">
      <c r="A22" s="9" t="s">
        <v>80</v>
      </c>
    </row>
    <row r="23" spans="1:1">
      <c r="A23" s="9"/>
    </row>
    <row r="24" spans="1:1">
      <c r="A24" s="2" t="s">
        <v>81</v>
      </c>
    </row>
    <row r="25" spans="1:1">
      <c r="A25" s="9" t="s">
        <v>82</v>
      </c>
    </row>
    <row r="26" spans="1:1">
      <c r="A26" s="9" t="s">
        <v>83</v>
      </c>
    </row>
    <row r="27" spans="1:1">
      <c r="A27" s="9" t="s">
        <v>84</v>
      </c>
    </row>
    <row r="28" spans="1:1">
      <c r="A28" s="9" t="s">
        <v>85</v>
      </c>
    </row>
    <row r="29" spans="1:1">
      <c r="A29" s="9" t="s">
        <v>86</v>
      </c>
    </row>
    <row r="30" spans="1:1">
      <c r="A30" s="9" t="s">
        <v>87</v>
      </c>
    </row>
    <row r="31" spans="1:1">
      <c r="A31" s="9" t="s">
        <v>88</v>
      </c>
    </row>
    <row r="32" spans="1:1">
      <c r="A32" s="9" t="s">
        <v>89</v>
      </c>
    </row>
    <row r="33" spans="1:1">
      <c r="A33" s="9" t="s">
        <v>90</v>
      </c>
    </row>
    <row r="34" spans="1:1">
      <c r="A34" s="9"/>
    </row>
    <row r="35" spans="1:1">
      <c r="A35" s="2" t="s">
        <v>91</v>
      </c>
    </row>
    <row r="36" spans="1:1">
      <c r="A36" s="9" t="s">
        <v>92</v>
      </c>
    </row>
    <row r="37" spans="1:1">
      <c r="A37" s="9" t="s">
        <v>93</v>
      </c>
    </row>
    <row r="38" spans="1:1">
      <c r="A38" s="9" t="s">
        <v>94</v>
      </c>
    </row>
    <row r="39" spans="1:1">
      <c r="A39" s="9" t="s">
        <v>95</v>
      </c>
    </row>
    <row r="40" spans="1:1">
      <c r="A40" s="9"/>
    </row>
    <row r="41" spans="1:1">
      <c r="A41" s="9" t="s">
        <v>96</v>
      </c>
    </row>
    <row r="42" spans="1:1">
      <c r="A42" s="9" t="s">
        <v>97</v>
      </c>
    </row>
    <row r="43" spans="1:1">
      <c r="A43" s="9" t="s">
        <v>98</v>
      </c>
    </row>
    <row r="44" spans="1:1">
      <c r="A44" s="9" t="s">
        <v>99</v>
      </c>
    </row>
    <row r="45" spans="1:1">
      <c r="A45" s="9" t="s">
        <v>100</v>
      </c>
    </row>
    <row r="46" spans="1:1">
      <c r="A46" s="9"/>
    </row>
    <row r="47" spans="1:1">
      <c r="A47" s="2" t="s">
        <v>101</v>
      </c>
    </row>
    <row r="48" spans="1:1">
      <c r="A48" s="9" t="s">
        <v>102</v>
      </c>
    </row>
    <row r="49" spans="1:1">
      <c r="A49" s="9"/>
    </row>
    <row r="50" spans="1:1">
      <c r="A50" s="9" t="s">
        <v>103</v>
      </c>
    </row>
    <row r="51" spans="1:1">
      <c r="A51" s="9" t="s">
        <v>104</v>
      </c>
    </row>
    <row r="52" spans="1:1">
      <c r="A52" s="9" t="s">
        <v>105</v>
      </c>
    </row>
    <row r="53" spans="1:1">
      <c r="A53" s="9" t="s">
        <v>106</v>
      </c>
    </row>
    <row r="54" spans="1:1">
      <c r="A54" s="9" t="s">
        <v>107</v>
      </c>
    </row>
    <row r="55" spans="1:1">
      <c r="A55" s="9" t="s">
        <v>108</v>
      </c>
    </row>
    <row r="56" spans="1:1">
      <c r="A56" s="9" t="s">
        <v>109</v>
      </c>
    </row>
    <row r="57" spans="1:1">
      <c r="A57" s="9"/>
    </row>
    <row r="58" spans="1:1">
      <c r="A58" s="9" t="s">
        <v>110</v>
      </c>
    </row>
    <row r="59" spans="1:1">
      <c r="A59" s="9" t="s">
        <v>111</v>
      </c>
    </row>
    <row r="60" spans="1:1">
      <c r="A60" s="9" t="s">
        <v>112</v>
      </c>
    </row>
    <row r="61" spans="1:1">
      <c r="A61" s="9"/>
    </row>
    <row r="62" spans="1:1">
      <c r="A62" s="9" t="s">
        <v>113</v>
      </c>
    </row>
    <row r="63" spans="1:1">
      <c r="A63" s="9" t="s">
        <v>114</v>
      </c>
    </row>
    <row r="64" spans="1:1">
      <c r="A64" s="9" t="s">
        <v>115</v>
      </c>
    </row>
    <row r="65" spans="1:1">
      <c r="A65" s="9" t="s">
        <v>116</v>
      </c>
    </row>
    <row r="66" spans="1:1">
      <c r="A66" s="9" t="s">
        <v>117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24</vt:i4>
      </vt:variant>
    </vt:vector>
  </HeadingPairs>
  <TitlesOfParts>
    <vt:vector size="32" baseType="lpstr">
      <vt:lpstr>계산</vt:lpstr>
      <vt:lpstr>IGRF_D</vt:lpstr>
      <vt:lpstr>IGRF_I</vt:lpstr>
      <vt:lpstr>IGRF_F</vt:lpstr>
      <vt:lpstr>CRUSTAL</vt:lpstr>
      <vt:lpstr>REGIONAL</vt:lpstr>
      <vt:lpstr>검증</vt:lpstr>
      <vt:lpstr>설명</vt:lpstr>
      <vt:lpstr>CR_LAT</vt:lpstr>
      <vt:lpstr>CR_LON</vt:lpstr>
      <vt:lpstr>CR_VAL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2026-08-19T11:27:54Z</dcterms:created>
  <dcterms:modified xsi:type="dcterms:W3CDTF">2026-08-19T11:27:54Z</dcterms:modified>
</cp:coreProperties>
</file>