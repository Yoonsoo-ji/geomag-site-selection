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전체 요약" sheetId="1" state="visible" r:id="rId1"/>
    <sheet xmlns:r="http://schemas.openxmlformats.org/officeDocument/2006/relationships" name="후보지 #16" sheetId="2" state="visible" r:id="rId2"/>
    <sheet xmlns:r="http://schemas.openxmlformats.org/officeDocument/2006/relationships" name="후보지 #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sz val="9"/>
    </font>
    <font>
      <name val="맑은 고딕"/>
      <b val="1"/>
      <color rgb="00FFFFFF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color rgb="000563C1"/>
      <sz val="10"/>
      <u val="single"/>
    </font>
    <font>
      <name val="맑은 고딕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FFE69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4" fillId="7" borderId="0" pivotButton="0" quotePrefix="0" xfId="0"/>
    <xf numFmtId="0" fontId="1" fillId="3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right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8" fillId="8" borderId="0" pivotButton="0" quotePrefix="0" xfId="0"/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2" customWidth="1" min="3" max="3"/>
    <col width="12" customWidth="1" min="4" max="4"/>
    <col width="9" customWidth="1" min="5" max="5"/>
    <col width="7" customWidth="1" min="6" max="6"/>
    <col width="8" customWidth="1" min="7" max="7"/>
    <col width="7" customWidth="1" min="8" max="8"/>
    <col width="8" customWidth="1" min="9" max="9"/>
    <col width="6" customWidth="1" min="10" max="10"/>
    <col width="20" customWidth="1" min="11" max="11"/>
    <col width="20" customWidth="1" min="12" max="12"/>
  </cols>
  <sheetData>
    <row r="1" ht="28" customHeight="1">
      <c r="A1" s="1" t="inlineStr">
        <is>
          <t>지구자기장 측정 후보지 서브격자 분석 — 전체 요약</t>
        </is>
      </c>
    </row>
    <row r="2">
      <c r="A2" s="2" t="inlineStr">
        <is>
          <t>생성: 2026-05-19 15:02  /  반경5km / 격자1km / 도로≤2km  │  클릭 시 해당 좌표로 지도 이동</t>
        </is>
      </c>
    </row>
    <row r="3" ht="22" customHeight="1">
      <c r="A3" s="3" t="inlineStr">
        <is>
          <t>사이트</t>
        </is>
      </c>
      <c r="B3" s="3" t="inlineStr">
        <is>
          <t>순위</t>
        </is>
      </c>
      <c r="C3" s="3" t="inlineStr">
        <is>
          <t>위도(°N)</t>
        </is>
      </c>
      <c r="D3" s="3" t="inlineStr">
        <is>
          <t>경도(°E)</t>
        </is>
      </c>
      <c r="E3" s="3" t="inlineStr">
        <is>
          <t>종합점수</t>
        </is>
      </c>
      <c r="F3" s="3" t="inlineStr">
        <is>
          <t>②지형</t>
        </is>
      </c>
      <c r="G3" s="3" t="inlineStr">
        <is>
          <t>③전력철도</t>
        </is>
      </c>
      <c r="H3" s="3" t="inlineStr">
        <is>
          <t>④인구</t>
        </is>
      </c>
      <c r="I3" s="3" t="inlineStr">
        <is>
          <t>⑤모델기여</t>
        </is>
      </c>
      <c r="J3" s="3" t="inlineStr">
        <is>
          <t>⑥암상</t>
        </is>
      </c>
      <c r="K3" s="3" t="inlineStr">
        <is>
          <t>네이버 지도 ▶</t>
        </is>
      </c>
      <c r="L3" s="3" t="inlineStr">
        <is>
          <t>카카오 지도 ▶</t>
        </is>
      </c>
    </row>
    <row r="4" ht="20" customHeight="1">
      <c r="A4" s="4" t="inlineStr">
        <is>
          <t>▶ 후보지 #16 (전주 완주)  (국가격자 60.1점, 1등급)</t>
        </is>
      </c>
    </row>
    <row r="5">
      <c r="A5" s="5" t="inlineStr">
        <is>
          <t>후보지 #16 (전주 완주)</t>
        </is>
      </c>
      <c r="B5" s="5" t="n">
        <v>1</v>
      </c>
      <c r="C5" s="5" t="n">
        <v>35.600976</v>
      </c>
      <c r="D5" s="5" t="n">
        <v>127.157912</v>
      </c>
      <c r="E5" s="6" t="n">
        <v>91.2</v>
      </c>
      <c r="F5" s="5" t="inlineStr">
        <is>
          <t>13.5</t>
        </is>
      </c>
      <c r="G5" s="5" t="inlineStr">
        <is>
          <t>14.5</t>
        </is>
      </c>
      <c r="H5" s="5" t="inlineStr">
        <is>
          <t>14.4</t>
        </is>
      </c>
      <c r="I5" s="5" t="inlineStr">
        <is>
          <t>8.0</t>
        </is>
      </c>
      <c r="J5" s="5" t="inlineStr">
        <is>
          <t>4.4</t>
        </is>
      </c>
      <c r="K5" s="7">
        <f>HYPERLINK("https://map.naver.com/v5/search/35.600976,127.157912","📍 네이버 #1")</f>
        <v/>
      </c>
      <c r="L5" s="7">
        <f>HYPERLINK("https://map.kakao.com/link/map/P16-1,35.600976,127.157912","📍 카카오 #1")</f>
        <v/>
      </c>
    </row>
    <row r="6">
      <c r="A6" s="5" t="inlineStr">
        <is>
          <t>후보지 #16 (전주 완주)</t>
        </is>
      </c>
      <c r="B6" s="5" t="n">
        <v>2</v>
      </c>
      <c r="C6" s="5" t="n">
        <v>35.601094</v>
      </c>
      <c r="D6" s="5" t="n">
        <v>127.202071</v>
      </c>
      <c r="E6" s="6" t="n">
        <v>88</v>
      </c>
      <c r="F6" s="5" t="inlineStr">
        <is>
          <t>12.8</t>
        </is>
      </c>
      <c r="G6" s="5" t="inlineStr">
        <is>
          <t>13.5</t>
        </is>
      </c>
      <c r="H6" s="5" t="inlineStr">
        <is>
          <t>13.6</t>
        </is>
      </c>
      <c r="I6" s="5" t="inlineStr">
        <is>
          <t>8.0</t>
        </is>
      </c>
      <c r="J6" s="5" t="inlineStr">
        <is>
          <t>4.8</t>
        </is>
      </c>
      <c r="K6" s="7">
        <f>HYPERLINK("https://map.naver.com/v5/search/35.601094,127.202071","📍 네이버 #2")</f>
        <v/>
      </c>
      <c r="L6" s="7">
        <f>HYPERLINK("https://map.kakao.com/link/map/P16-2,35.601094,127.202071","📍 카카오 #2")</f>
        <v/>
      </c>
    </row>
    <row r="7">
      <c r="A7" s="5" t="inlineStr">
        <is>
          <t>후보지 #16 (전주 완주)</t>
        </is>
      </c>
      <c r="B7" s="5" t="n">
        <v>3</v>
      </c>
      <c r="C7" s="5" t="n">
        <v>35.591928</v>
      </c>
      <c r="D7" s="5" t="n">
        <v>127.146911</v>
      </c>
      <c r="E7" s="6" t="n">
        <v>86.8</v>
      </c>
      <c r="F7" s="5" t="inlineStr">
        <is>
          <t>8.6</t>
        </is>
      </c>
      <c r="G7" s="5" t="inlineStr">
        <is>
          <t>14.4</t>
        </is>
      </c>
      <c r="H7" s="5" t="inlineStr">
        <is>
          <t>14.5</t>
        </is>
      </c>
      <c r="I7" s="5" t="inlineStr">
        <is>
          <t>10.0</t>
        </is>
      </c>
      <c r="J7" s="5" t="inlineStr">
        <is>
          <t>4.5</t>
        </is>
      </c>
      <c r="K7" s="7">
        <f>HYPERLINK("https://map.naver.com/v5/search/35.591928,127.146911","📍 네이버 #3")</f>
        <v/>
      </c>
      <c r="L7" s="7">
        <f>HYPERLINK("https://map.kakao.com/link/map/P16-3,35.591928,127.146911","📍 카카오 #3")</f>
        <v/>
      </c>
    </row>
    <row r="8">
      <c r="A8" s="8" t="inlineStr">
        <is>
          <t>후보지 #16 (전주 완주)</t>
        </is>
      </c>
      <c r="B8" s="8" t="n">
        <v>4</v>
      </c>
      <c r="C8" s="8" t="n">
        <v>35.59196</v>
      </c>
      <c r="D8" s="8" t="n">
        <v>127.15795</v>
      </c>
      <c r="E8" s="9" t="n">
        <v>86.8</v>
      </c>
      <c r="F8" s="8" t="inlineStr">
        <is>
          <t>10.1</t>
        </is>
      </c>
      <c r="G8" s="8" t="inlineStr">
        <is>
          <t>14.5</t>
        </is>
      </c>
      <c r="H8" s="8" t="inlineStr">
        <is>
          <t>15.0</t>
        </is>
      </c>
      <c r="I8" s="8" t="inlineStr">
        <is>
          <t>8.0</t>
        </is>
      </c>
      <c r="J8" s="8" t="inlineStr">
        <is>
          <t>4.5</t>
        </is>
      </c>
      <c r="K8" s="10">
        <f>HYPERLINK("https://map.naver.com/v5/search/35.59196,127.15795","📍 네이버 #4")</f>
        <v/>
      </c>
      <c r="L8" s="10">
        <f>HYPERLINK("https://map.kakao.com/link/map/P16-4,35.59196,127.15795","📍 카카오 #4")</f>
        <v/>
      </c>
    </row>
    <row r="9">
      <c r="A9" s="8" t="inlineStr">
        <is>
          <t>후보지 #16 (전주 완주)</t>
        </is>
      </c>
      <c r="B9" s="8" t="n">
        <v>5</v>
      </c>
      <c r="C9" s="8" t="n">
        <v>35.582944</v>
      </c>
      <c r="D9" s="8" t="n">
        <v>127.157988</v>
      </c>
      <c r="E9" s="9" t="n">
        <v>85.40000000000001</v>
      </c>
      <c r="F9" s="8" t="inlineStr">
        <is>
          <t>10.0</t>
        </is>
      </c>
      <c r="G9" s="8" t="inlineStr">
        <is>
          <t>14.6</t>
        </is>
      </c>
      <c r="H9" s="8" t="inlineStr">
        <is>
          <t>14.0</t>
        </is>
      </c>
      <c r="I9" s="8" t="inlineStr">
        <is>
          <t>8.0</t>
        </is>
      </c>
      <c r="J9" s="8" t="inlineStr">
        <is>
          <t>4.6</t>
        </is>
      </c>
      <c r="K9" s="10">
        <f>HYPERLINK("https://map.naver.com/v5/search/35.582944,127.157988","📍 네이버 #5")</f>
        <v/>
      </c>
      <c r="L9" s="10">
        <f>HYPERLINK("https://map.kakao.com/link/map/P16-5,35.582944,127.157988","📍 카카오 #5")</f>
        <v/>
      </c>
    </row>
    <row r="10">
      <c r="A10" s="11" t="inlineStr">
        <is>
          <t>후보지 #16 (전주 완주)</t>
        </is>
      </c>
      <c r="B10" s="11" t="n">
        <v>6</v>
      </c>
      <c r="C10" s="11" t="n">
        <v>35.555894</v>
      </c>
      <c r="D10" s="11" t="n">
        <v>127.158103</v>
      </c>
      <c r="E10" s="12" t="n">
        <v>82.5</v>
      </c>
      <c r="F10" s="11" t="inlineStr">
        <is>
          <t>9.2</t>
        </is>
      </c>
      <c r="G10" s="11" t="inlineStr">
        <is>
          <t>15.0</t>
        </is>
      </c>
      <c r="H10" s="11" t="inlineStr">
        <is>
          <t>12.0</t>
        </is>
      </c>
      <c r="I10" s="11" t="inlineStr">
        <is>
          <t>10.0</t>
        </is>
      </c>
      <c r="J10" s="11" t="inlineStr">
        <is>
          <t>3.3</t>
        </is>
      </c>
      <c r="K10" s="13">
        <f>HYPERLINK("https://map.naver.com/v5/search/35.555894,127.158103","📍 네이버 #6")</f>
        <v/>
      </c>
      <c r="L10" s="13">
        <f>HYPERLINK("https://map.kakao.com/link/map/P16-6,35.555894,127.158103","📍 카카오 #6")</f>
        <v/>
      </c>
    </row>
    <row r="11">
      <c r="A11" s="11" t="inlineStr">
        <is>
          <t>후보지 #16 (전주 완주)</t>
        </is>
      </c>
      <c r="B11" s="11" t="n">
        <v>7</v>
      </c>
      <c r="C11" s="11" t="n">
        <v>35.592077</v>
      </c>
      <c r="D11" s="11" t="n">
        <v>127.202105</v>
      </c>
      <c r="E11" s="12" t="n">
        <v>81.90000000000001</v>
      </c>
      <c r="F11" s="11" t="inlineStr">
        <is>
          <t>11.5</t>
        </is>
      </c>
      <c r="G11" s="11" t="inlineStr">
        <is>
          <t>13.9</t>
        </is>
      </c>
      <c r="H11" s="11" t="inlineStr">
        <is>
          <t>11.0</t>
        </is>
      </c>
      <c r="I11" s="11" t="inlineStr">
        <is>
          <t>8.0</t>
        </is>
      </c>
      <c r="J11" s="11" t="inlineStr">
        <is>
          <t>4.8</t>
        </is>
      </c>
      <c r="K11" s="13">
        <f>HYPERLINK("https://map.naver.com/v5/search/35.592077,127.202105","📍 네이버 #7")</f>
        <v/>
      </c>
      <c r="L11" s="13">
        <f>HYPERLINK("https://map.kakao.com/link/map/P16-7,35.592077,127.202105","📍 카카오 #7")</f>
        <v/>
      </c>
    </row>
    <row r="13" ht="20" customHeight="1">
      <c r="A13" s="14" t="inlineStr">
        <is>
          <t>▶ 후보지 #18 (진안 무주)  (국가격자 58.8점, 1등급)</t>
        </is>
      </c>
    </row>
    <row r="14">
      <c r="A14" s="5" t="inlineStr">
        <is>
          <t>후보지 #18 (진안 무주)</t>
        </is>
      </c>
      <c r="B14" s="5" t="n">
        <v>1</v>
      </c>
      <c r="C14" s="5" t="n">
        <v>35.817639</v>
      </c>
      <c r="D14" s="5" t="n">
        <v>127.267681</v>
      </c>
      <c r="E14" s="6" t="n">
        <v>93.90000000000001</v>
      </c>
      <c r="F14" s="5" t="inlineStr">
        <is>
          <t>12.6</t>
        </is>
      </c>
      <c r="G14" s="5" t="inlineStr">
        <is>
          <t>14.1</t>
        </is>
      </c>
      <c r="H14" s="5" t="inlineStr">
        <is>
          <t>15.0</t>
        </is>
      </c>
      <c r="I14" s="5" t="inlineStr">
        <is>
          <t>10.0</t>
        </is>
      </c>
      <c r="J14" s="5" t="inlineStr">
        <is>
          <t>4.7</t>
        </is>
      </c>
      <c r="K14" s="7">
        <f>HYPERLINK("https://map.naver.com/v5/search/35.817639,127.267681","📍 네이버 #1")</f>
        <v/>
      </c>
      <c r="L14" s="7">
        <f>HYPERLINK("https://map.kakao.com/link/map/P18-1,35.817639,127.267681","📍 카카오 #1")</f>
        <v/>
      </c>
    </row>
    <row r="15">
      <c r="A15" s="5" t="inlineStr">
        <is>
          <t>후보지 #18 (진안 무주)</t>
        </is>
      </c>
      <c r="B15" s="5" t="n">
        <v>2</v>
      </c>
      <c r="C15" s="5" t="n">
        <v>35.844688</v>
      </c>
      <c r="D15" s="5" t="n">
        <v>127.267603</v>
      </c>
      <c r="E15" s="6" t="n">
        <v>91.7</v>
      </c>
      <c r="F15" s="5" t="inlineStr">
        <is>
          <t>12.4</t>
        </is>
      </c>
      <c r="G15" s="5" t="inlineStr">
        <is>
          <t>14.5</t>
        </is>
      </c>
      <c r="H15" s="5" t="inlineStr">
        <is>
          <t>14.1</t>
        </is>
      </c>
      <c r="I15" s="5" t="inlineStr">
        <is>
          <t>10.0</t>
        </is>
      </c>
      <c r="J15" s="5" t="inlineStr">
        <is>
          <t>4.1</t>
        </is>
      </c>
      <c r="K15" s="7">
        <f>HYPERLINK("https://map.naver.com/v5/search/35.844688,127.267603","📍 네이버 #2")</f>
        <v/>
      </c>
      <c r="L15" s="7">
        <f>HYPERLINK("https://map.kakao.com/link/map/P18-2,35.844688,127.267603","📍 카카오 #2")</f>
        <v/>
      </c>
    </row>
    <row r="16">
      <c r="A16" s="5" t="inlineStr">
        <is>
          <t>후보지 #18 (진안 무주)</t>
        </is>
      </c>
      <c r="B16" s="5" t="n">
        <v>3</v>
      </c>
      <c r="C16" s="5" t="n">
        <v>35.88073</v>
      </c>
      <c r="D16" s="5" t="n">
        <v>127.256419</v>
      </c>
      <c r="E16" s="6" t="n">
        <v>90.90000000000001</v>
      </c>
      <c r="F16" s="5" t="inlineStr">
        <is>
          <t>13.2</t>
        </is>
      </c>
      <c r="G16" s="5" t="inlineStr">
        <is>
          <t>14.4</t>
        </is>
      </c>
      <c r="H16" s="5" t="inlineStr">
        <is>
          <t>14.8</t>
        </is>
      </c>
      <c r="I16" s="5" t="inlineStr">
        <is>
          <t>8.0</t>
        </is>
      </c>
      <c r="J16" s="5" t="inlineStr">
        <is>
          <t>4.2</t>
        </is>
      </c>
      <c r="K16" s="7">
        <f>HYPERLINK("https://map.naver.com/v5/search/35.88073,127.256419","📍 네이버 #3")</f>
        <v/>
      </c>
      <c r="L16" s="7">
        <f>HYPERLINK("https://map.kakao.com/link/map/P18-3,35.88073,127.256419","📍 카카오 #3")</f>
        <v/>
      </c>
    </row>
    <row r="17">
      <c r="A17" s="8" t="inlineStr">
        <is>
          <t>후보지 #18 (진안 무주)</t>
        </is>
      </c>
      <c r="B17" s="8" t="n">
        <v>4</v>
      </c>
      <c r="C17" s="8" t="n">
        <v>35.826696</v>
      </c>
      <c r="D17" s="8" t="n">
        <v>127.289797</v>
      </c>
      <c r="E17" s="9" t="n">
        <v>90.8</v>
      </c>
      <c r="F17" s="8" t="inlineStr">
        <is>
          <t>10.3</t>
        </is>
      </c>
      <c r="G17" s="8" t="inlineStr">
        <is>
          <t>15.0</t>
        </is>
      </c>
      <c r="H17" s="8" t="inlineStr">
        <is>
          <t>14.7</t>
        </is>
      </c>
      <c r="I17" s="8" t="inlineStr">
        <is>
          <t>10.0</t>
        </is>
      </c>
      <c r="J17" s="8" t="inlineStr">
        <is>
          <t>4.5</t>
        </is>
      </c>
      <c r="K17" s="10">
        <f>HYPERLINK("https://map.naver.com/v5/search/35.826696,127.289797","📍 네이버 #4")</f>
        <v/>
      </c>
      <c r="L17" s="10">
        <f>HYPERLINK("https://map.kakao.com/link/map/P18-4,35.826696,127.289797","📍 카카오 #4")</f>
        <v/>
      </c>
    </row>
    <row r="18">
      <c r="A18" s="8" t="inlineStr">
        <is>
          <t>후보지 #18 (진안 무주)</t>
        </is>
      </c>
      <c r="B18" s="8" t="n">
        <v>5</v>
      </c>
      <c r="C18" s="8" t="n">
        <v>35.844666</v>
      </c>
      <c r="D18" s="8" t="n">
        <v>127.256529</v>
      </c>
      <c r="E18" s="9" t="n">
        <v>89.59999999999999</v>
      </c>
      <c r="F18" s="8" t="inlineStr">
        <is>
          <t>10.9</t>
        </is>
      </c>
      <c r="G18" s="8" t="inlineStr">
        <is>
          <t>14.1</t>
        </is>
      </c>
      <c r="H18" s="8" t="inlineStr">
        <is>
          <t>14.7</t>
        </is>
      </c>
      <c r="I18" s="8" t="inlineStr">
        <is>
          <t>10.0</t>
        </is>
      </c>
      <c r="J18" s="8" t="inlineStr">
        <is>
          <t>4.0</t>
        </is>
      </c>
      <c r="K18" s="10">
        <f>HYPERLINK("https://map.naver.com/v5/search/35.844666,127.256529","📍 네이버 #5")</f>
        <v/>
      </c>
      <c r="L18" s="10">
        <f>HYPERLINK("https://map.kakao.com/link/map/P18-5,35.844666,127.256529","📍 카카오 #5")</f>
        <v/>
      </c>
    </row>
    <row r="19">
      <c r="A19" s="11" t="inlineStr">
        <is>
          <t>후보지 #18 (진안 무주)</t>
        </is>
      </c>
      <c r="B19" s="11" t="n">
        <v>6</v>
      </c>
      <c r="C19" s="11" t="n">
        <v>35.853682</v>
      </c>
      <c r="D19" s="11" t="n">
        <v>127.256501</v>
      </c>
      <c r="E19" s="12" t="n">
        <v>89.5</v>
      </c>
      <c r="F19" s="11" t="inlineStr">
        <is>
          <t>12.4</t>
        </is>
      </c>
      <c r="G19" s="11" t="inlineStr">
        <is>
          <t>14.2</t>
        </is>
      </c>
      <c r="H19" s="11" t="inlineStr">
        <is>
          <t>13.1</t>
        </is>
      </c>
      <c r="I19" s="11" t="inlineStr">
        <is>
          <t>10.0</t>
        </is>
      </c>
      <c r="J19" s="11" t="inlineStr">
        <is>
          <t>4.0</t>
        </is>
      </c>
      <c r="K19" s="13">
        <f>HYPERLINK("https://map.naver.com/v5/search/35.853682,127.256501","📍 네이버 #6")</f>
        <v/>
      </c>
      <c r="L19" s="13">
        <f>HYPERLINK("https://map.kakao.com/link/map/P18-6,35.853682,127.256501","📍 카카오 #6")</f>
        <v/>
      </c>
    </row>
    <row r="20">
      <c r="A20" s="11" t="inlineStr">
        <is>
          <t>후보지 #18 (진안 무주)</t>
        </is>
      </c>
      <c r="B20" s="11" t="n">
        <v>7</v>
      </c>
      <c r="C20" s="11" t="n">
        <v>35.871691</v>
      </c>
      <c r="D20" s="11" t="n">
        <v>127.245369</v>
      </c>
      <c r="E20" s="12" t="n">
        <v>87.90000000000001</v>
      </c>
      <c r="F20" s="11" t="inlineStr">
        <is>
          <t>13.3</t>
        </is>
      </c>
      <c r="G20" s="11" t="inlineStr">
        <is>
          <t>13.8</t>
        </is>
      </c>
      <c r="H20" s="11" t="inlineStr">
        <is>
          <t>14.2</t>
        </is>
      </c>
      <c r="I20" s="11" t="inlineStr">
        <is>
          <t>8.0</t>
        </is>
      </c>
      <c r="J20" s="11" t="inlineStr">
        <is>
          <t>3.4</t>
        </is>
      </c>
      <c r="K20" s="13">
        <f>HYPERLINK("https://map.naver.com/v5/search/35.871691,127.245369","📍 네이버 #7")</f>
        <v/>
      </c>
      <c r="L20" s="13">
        <f>HYPERLINK("https://map.kakao.com/link/map/P18-7,35.871691,127.245369","📍 카카오 #7")</f>
        <v/>
      </c>
    </row>
    <row r="21">
      <c r="A21" s="11" t="inlineStr">
        <is>
          <t>후보지 #18 (진안 무주)</t>
        </is>
      </c>
      <c r="B21" s="11" t="n">
        <v>8</v>
      </c>
      <c r="C21" s="11" t="n">
        <v>35.826676</v>
      </c>
      <c r="D21" s="11" t="n">
        <v>127.278726</v>
      </c>
      <c r="E21" s="12" t="n">
        <v>86.90000000000001</v>
      </c>
      <c r="F21" s="11" t="inlineStr">
        <is>
          <t>8.8</t>
        </is>
      </c>
      <c r="G21" s="11" t="inlineStr">
        <is>
          <t>14.7</t>
        </is>
      </c>
      <c r="H21" s="11" t="inlineStr">
        <is>
          <t>14.3</t>
        </is>
      </c>
      <c r="I21" s="11" t="inlineStr">
        <is>
          <t>10.0</t>
        </is>
      </c>
      <c r="J21" s="11" t="inlineStr">
        <is>
          <t>4.4</t>
        </is>
      </c>
      <c r="K21" s="13">
        <f>HYPERLINK("https://map.naver.com/v5/search/35.826676,127.278726","📍 네이버 #8")</f>
        <v/>
      </c>
      <c r="L21" s="13">
        <f>HYPERLINK("https://map.kakao.com/link/map/P18-8,35.826676,127.278726","📍 카카오 #8")</f>
        <v/>
      </c>
    </row>
    <row r="22">
      <c r="A22" s="11" t="inlineStr">
        <is>
          <t>후보지 #18 (진안 무주)</t>
        </is>
      </c>
      <c r="B22" s="11" t="n">
        <v>9</v>
      </c>
      <c r="C22" s="11" t="n">
        <v>35.862675</v>
      </c>
      <c r="D22" s="11" t="n">
        <v>127.245398</v>
      </c>
      <c r="E22" s="12" t="n">
        <v>86.40000000000001</v>
      </c>
      <c r="F22" s="11" t="inlineStr">
        <is>
          <t>14.2</t>
        </is>
      </c>
      <c r="G22" s="11" t="inlineStr">
        <is>
          <t>13.7</t>
        </is>
      </c>
      <c r="H22" s="11" t="inlineStr">
        <is>
          <t>12.2</t>
        </is>
      </c>
      <c r="I22" s="11" t="inlineStr">
        <is>
          <t>8.0</t>
        </is>
      </c>
      <c r="J22" s="11" t="inlineStr">
        <is>
          <t>3.8</t>
        </is>
      </c>
      <c r="K22" s="13">
        <f>HYPERLINK("https://map.naver.com/v5/search/35.862675,127.245398","📍 네이버 #9")</f>
        <v/>
      </c>
      <c r="L22" s="13">
        <f>HYPERLINK("https://map.kakao.com/link/map/P18-9,35.862675,127.245398","📍 카카오 #9")</f>
        <v/>
      </c>
    </row>
    <row r="23">
      <c r="A23" s="11" t="inlineStr">
        <is>
          <t>후보지 #18 (진안 무주)</t>
        </is>
      </c>
      <c r="B23" s="11" t="n">
        <v>10</v>
      </c>
      <c r="C23" s="11" t="n">
        <v>35.86272</v>
      </c>
      <c r="D23" s="11" t="n">
        <v>127.26755</v>
      </c>
      <c r="E23" s="12" t="n">
        <v>84.40000000000001</v>
      </c>
      <c r="F23" s="11" t="inlineStr">
        <is>
          <t>9.7</t>
        </is>
      </c>
      <c r="G23" s="11" t="inlineStr">
        <is>
          <t>14.6</t>
        </is>
      </c>
      <c r="H23" s="11" t="inlineStr">
        <is>
          <t>12.3</t>
        </is>
      </c>
      <c r="I23" s="11" t="inlineStr">
        <is>
          <t>10.0</t>
        </is>
      </c>
      <c r="J23" s="11" t="inlineStr">
        <is>
          <t>4.0</t>
        </is>
      </c>
      <c r="K23" s="13">
        <f>HYPERLINK("https://map.naver.com/v5/search/35.86272,127.26755","📍 네이버 #10")</f>
        <v/>
      </c>
      <c r="L23" s="13">
        <f>HYPERLINK("https://map.kakao.com/link/map/P18-10,35.86272,127.26755","📍 카카오 #10")</f>
        <v/>
      </c>
    </row>
  </sheetData>
  <mergeCells count="4">
    <mergeCell ref="A13:L1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9" customWidth="1" min="10" max="10"/>
    <col width="8" customWidth="1" min="11" max="11"/>
    <col width="8" customWidth="1" min="12" max="12"/>
    <col width="20" customWidth="1" min="13" max="13"/>
    <col width="20" customWidth="1" min="14" max="14"/>
  </cols>
  <sheetData>
    <row r="1" ht="28" customHeight="1">
      <c r="A1" s="15" t="inlineStr">
        <is>
          <t>측정 후보지 #16 — 1km 서브격자 현장 답사 세부 선정</t>
        </is>
      </c>
    </row>
    <row r="2">
      <c r="A2" s="16" t="inlineStr">
        <is>
          <t>사이트명</t>
        </is>
      </c>
      <c r="B2" s="17" t="inlineStr">
        <is>
          <t>후보지 #16 (전주 완주)</t>
        </is>
      </c>
    </row>
    <row r="3">
      <c r="A3" s="16" t="inlineStr">
        <is>
          <t>10km격자 중심</t>
        </is>
      </c>
      <c r="B3" s="17" t="inlineStr">
        <is>
          <t>35.59196°N, 127.15795°E</t>
        </is>
      </c>
    </row>
    <row r="4">
      <c r="A4" s="16" t="inlineStr">
        <is>
          <t>국가격자 점수</t>
        </is>
      </c>
      <c r="B4" s="17" t="inlineStr">
        <is>
          <t>60.1점 (우선순위 1등급)</t>
        </is>
      </c>
    </row>
    <row r="5">
      <c r="A5" s="16" t="inlineStr">
        <is>
          <t>분석 조건</t>
        </is>
      </c>
      <c r="B5" s="17" t="inlineStr">
        <is>
          <t>반경 5km / 격자 1km / 도로≤2km</t>
        </is>
      </c>
    </row>
    <row r="6">
      <c r="A6" s="16" t="inlineStr">
        <is>
          <t>생성 일시</t>
        </is>
      </c>
      <c r="B6" s="17" t="inlineStr">
        <is>
          <t>2026년 05월 19일 15:02</t>
        </is>
      </c>
    </row>
    <row r="8" ht="32" customHeight="1">
      <c r="A8" s="18" t="inlineStr">
        <is>
          <t>순위</t>
        </is>
      </c>
      <c r="B8" s="18" t="inlineStr">
        <is>
          <t>위도(°N)</t>
        </is>
      </c>
      <c r="C8" s="18" t="inlineStr">
        <is>
          <t>경도(°E)</t>
        </is>
      </c>
      <c r="D8" s="18" t="inlineStr">
        <is>
          <t>종합점수</t>
        </is>
      </c>
      <c r="E8" s="18" t="inlineStr">
        <is>
          <t>②지형
/15</t>
        </is>
      </c>
      <c r="F8" s="18" t="inlineStr">
        <is>
          <t>③전력철도
/15</t>
        </is>
      </c>
      <c r="G8" s="18" t="inlineStr">
        <is>
          <t>④인구이격
/15</t>
        </is>
      </c>
      <c r="H8" s="18" t="inlineStr">
        <is>
          <t>⑤모델기여
/10</t>
        </is>
      </c>
      <c r="I8" s="18" t="inlineStr">
        <is>
          <t>⑥암상
/5</t>
        </is>
      </c>
      <c r="J8" s="18" t="inlineStr">
        <is>
          <t>경사도(°)</t>
        </is>
      </c>
      <c r="K8" s="18" t="inlineStr">
        <is>
          <t>전력(km)</t>
        </is>
      </c>
      <c r="L8" s="18" t="inlineStr">
        <is>
          <t>철도(km)</t>
        </is>
      </c>
      <c r="M8" s="18" t="inlineStr">
        <is>
          <t>네이버 지도 ▶</t>
        </is>
      </c>
      <c r="N8" s="18" t="inlineStr">
        <is>
          <t>카카오 지도 ▶</t>
        </is>
      </c>
    </row>
    <row r="9">
      <c r="A9" s="6" t="n">
        <v>1</v>
      </c>
      <c r="B9" s="5" t="n">
        <v>35.600976</v>
      </c>
      <c r="C9" s="5" t="n">
        <v>127.157912</v>
      </c>
      <c r="D9" s="6" t="n">
        <v>91.2</v>
      </c>
      <c r="E9" s="5" t="inlineStr">
        <is>
          <t>13.5</t>
        </is>
      </c>
      <c r="F9" s="5" t="inlineStr">
        <is>
          <t>14.5</t>
        </is>
      </c>
      <c r="G9" s="5" t="inlineStr">
        <is>
          <t>14.4</t>
        </is>
      </c>
      <c r="H9" s="5" t="inlineStr">
        <is>
          <t>8.0</t>
        </is>
      </c>
      <c r="I9" s="5" t="inlineStr">
        <is>
          <t>4.4</t>
        </is>
      </c>
      <c r="J9" s="5" t="inlineStr">
        <is>
          <t>3.0</t>
        </is>
      </c>
      <c r="K9" s="5" t="inlineStr">
        <is>
          <t>5.4</t>
        </is>
      </c>
      <c r="L9" s="5" t="inlineStr">
        <is>
          <t>6.6</t>
        </is>
      </c>
      <c r="M9" s="7">
        <f>HYPERLINK("https://map.naver.com/v5/search/35.600976,127.157912","📍 네이버 #1")</f>
        <v/>
      </c>
      <c r="N9" s="7">
        <f>HYPERLINK("https://map.kakao.com/link/map/P16-1,35.600976,127.157912","📍 카카오 #1")</f>
        <v/>
      </c>
    </row>
    <row r="10">
      <c r="A10" s="6" t="n">
        <v>2</v>
      </c>
      <c r="B10" s="5" t="n">
        <v>35.601094</v>
      </c>
      <c r="C10" s="5" t="n">
        <v>127.202071</v>
      </c>
      <c r="D10" s="6" t="n">
        <v>88</v>
      </c>
      <c r="E10" s="5" t="inlineStr">
        <is>
          <t>12.8</t>
        </is>
      </c>
      <c r="F10" s="5" t="inlineStr">
        <is>
          <t>13.5</t>
        </is>
      </c>
      <c r="G10" s="5" t="inlineStr">
        <is>
          <t>13.6</t>
        </is>
      </c>
      <c r="H10" s="5" t="inlineStr">
        <is>
          <t>8.0</t>
        </is>
      </c>
      <c r="I10" s="5" t="inlineStr">
        <is>
          <t>4.8</t>
        </is>
      </c>
      <c r="J10" s="5" t="inlineStr">
        <is>
          <t>4.4</t>
        </is>
      </c>
      <c r="K10" s="5" t="inlineStr">
        <is>
          <t>3.5</t>
        </is>
      </c>
      <c r="L10" s="5" t="inlineStr">
        <is>
          <t>3.4</t>
        </is>
      </c>
      <c r="M10" s="7">
        <f>HYPERLINK("https://map.naver.com/v5/search/35.601094,127.202071","📍 네이버 #2")</f>
        <v/>
      </c>
      <c r="N10" s="7">
        <f>HYPERLINK("https://map.kakao.com/link/map/P16-2,35.601094,127.202071","📍 카카오 #2")</f>
        <v/>
      </c>
    </row>
    <row r="11">
      <c r="A11" s="6" t="n">
        <v>3</v>
      </c>
      <c r="B11" s="5" t="n">
        <v>35.591928</v>
      </c>
      <c r="C11" s="5" t="n">
        <v>127.146911</v>
      </c>
      <c r="D11" s="6" t="n">
        <v>86.8</v>
      </c>
      <c r="E11" s="5" t="inlineStr">
        <is>
          <t>8.6</t>
        </is>
      </c>
      <c r="F11" s="5" t="inlineStr">
        <is>
          <t>14.4</t>
        </is>
      </c>
      <c r="G11" s="5" t="inlineStr">
        <is>
          <t>14.5</t>
        </is>
      </c>
      <c r="H11" s="5" t="inlineStr">
        <is>
          <t>10.0</t>
        </is>
      </c>
      <c r="I11" s="5" t="inlineStr">
        <is>
          <t>4.5</t>
        </is>
      </c>
      <c r="J11" s="5" t="inlineStr">
        <is>
          <t>12.9</t>
        </is>
      </c>
      <c r="K11" s="5" t="inlineStr">
        <is>
          <t>4.4</t>
        </is>
      </c>
      <c r="L11" s="5" t="inlineStr">
        <is>
          <t>7.9</t>
        </is>
      </c>
      <c r="M11" s="7">
        <f>HYPERLINK("https://map.naver.com/v5/search/35.591928,127.146911","📍 네이버 #3")</f>
        <v/>
      </c>
      <c r="N11" s="7">
        <f>HYPERLINK("https://map.kakao.com/link/map/P16-3,35.591928,127.146911","📍 카카오 #3")</f>
        <v/>
      </c>
    </row>
    <row r="12">
      <c r="A12" s="9" t="n">
        <v>4</v>
      </c>
      <c r="B12" s="8" t="n">
        <v>35.59196</v>
      </c>
      <c r="C12" s="8" t="n">
        <v>127.15795</v>
      </c>
      <c r="D12" s="9" t="n">
        <v>86.8</v>
      </c>
      <c r="E12" s="8" t="inlineStr">
        <is>
          <t>10.1</t>
        </is>
      </c>
      <c r="F12" s="8" t="inlineStr">
        <is>
          <t>14.5</t>
        </is>
      </c>
      <c r="G12" s="8" t="inlineStr">
        <is>
          <t>15.0</t>
        </is>
      </c>
      <c r="H12" s="8" t="inlineStr">
        <is>
          <t>8.0</t>
        </is>
      </c>
      <c r="I12" s="8" t="inlineStr">
        <is>
          <t>4.5</t>
        </is>
      </c>
      <c r="J12" s="8" t="inlineStr">
        <is>
          <t>9.9</t>
        </is>
      </c>
      <c r="K12" s="8" t="inlineStr">
        <is>
          <t>5.4</t>
        </is>
      </c>
      <c r="L12" s="8" t="inlineStr">
        <is>
          <t>7.0</t>
        </is>
      </c>
      <c r="M12" s="10">
        <f>HYPERLINK("https://map.naver.com/v5/search/35.59196,127.15795","📍 네이버 #4")</f>
        <v/>
      </c>
      <c r="N12" s="10">
        <f>HYPERLINK("https://map.kakao.com/link/map/P16-4,35.59196,127.15795","📍 카카오 #4")</f>
        <v/>
      </c>
    </row>
    <row r="13">
      <c r="A13" s="9" t="n">
        <v>5</v>
      </c>
      <c r="B13" s="8" t="n">
        <v>35.582944</v>
      </c>
      <c r="C13" s="8" t="n">
        <v>127.157988</v>
      </c>
      <c r="D13" s="9" t="n">
        <v>85.40000000000001</v>
      </c>
      <c r="E13" s="8" t="inlineStr">
        <is>
          <t>10.0</t>
        </is>
      </c>
      <c r="F13" s="8" t="inlineStr">
        <is>
          <t>14.6</t>
        </is>
      </c>
      <c r="G13" s="8" t="inlineStr">
        <is>
          <t>14.0</t>
        </is>
      </c>
      <c r="H13" s="8" t="inlineStr">
        <is>
          <t>8.0</t>
        </is>
      </c>
      <c r="I13" s="8" t="inlineStr">
        <is>
          <t>4.6</t>
        </is>
      </c>
      <c r="J13" s="8" t="inlineStr">
        <is>
          <t>10.0</t>
        </is>
      </c>
      <c r="K13" s="8" t="inlineStr">
        <is>
          <t>5.6</t>
        </is>
      </c>
      <c r="L13" s="8" t="inlineStr">
        <is>
          <t>7.6</t>
        </is>
      </c>
      <c r="M13" s="10">
        <f>HYPERLINK("https://map.naver.com/v5/search/35.582944,127.157988","📍 네이버 #5")</f>
        <v/>
      </c>
      <c r="N13" s="10">
        <f>HYPERLINK("https://map.kakao.com/link/map/P16-5,35.582944,127.157988","📍 카카오 #5")</f>
        <v/>
      </c>
    </row>
    <row r="14">
      <c r="A14" s="12" t="n">
        <v>6</v>
      </c>
      <c r="B14" s="11" t="n">
        <v>35.555894</v>
      </c>
      <c r="C14" s="11" t="n">
        <v>127.158103</v>
      </c>
      <c r="D14" s="12" t="n">
        <v>82.5</v>
      </c>
      <c r="E14" s="11" t="inlineStr">
        <is>
          <t>9.2</t>
        </is>
      </c>
      <c r="F14" s="11" t="inlineStr">
        <is>
          <t>15.0</t>
        </is>
      </c>
      <c r="G14" s="11" t="inlineStr">
        <is>
          <t>12.0</t>
        </is>
      </c>
      <c r="H14" s="11" t="inlineStr">
        <is>
          <t>10.0</t>
        </is>
      </c>
      <c r="I14" s="11" t="inlineStr">
        <is>
          <t>3.3</t>
        </is>
      </c>
      <c r="J14" s="11" t="inlineStr">
        <is>
          <t>11.7</t>
        </is>
      </c>
      <c r="K14" s="11" t="inlineStr">
        <is>
          <t>7.0</t>
        </is>
      </c>
      <c r="L14" s="11" t="inlineStr">
        <is>
          <t>9.8</t>
        </is>
      </c>
      <c r="M14" s="13">
        <f>HYPERLINK("https://map.naver.com/v5/search/35.555894,127.158103","📍 네이버 #6")</f>
        <v/>
      </c>
      <c r="N14" s="13">
        <f>HYPERLINK("https://map.kakao.com/link/map/P16-6,35.555894,127.158103","📍 카카오 #6")</f>
        <v/>
      </c>
    </row>
    <row r="15">
      <c r="A15" s="12" t="n">
        <v>7</v>
      </c>
      <c r="B15" s="11" t="n">
        <v>35.592077</v>
      </c>
      <c r="C15" s="11" t="n">
        <v>127.202105</v>
      </c>
      <c r="D15" s="12" t="n">
        <v>81.90000000000001</v>
      </c>
      <c r="E15" s="11" t="inlineStr">
        <is>
          <t>11.5</t>
        </is>
      </c>
      <c r="F15" s="11" t="inlineStr">
        <is>
          <t>13.9</t>
        </is>
      </c>
      <c r="G15" s="11" t="inlineStr">
        <is>
          <t>11.0</t>
        </is>
      </c>
      <c r="H15" s="11" t="inlineStr">
        <is>
          <t>8.0</t>
        </is>
      </c>
      <c r="I15" s="11" t="inlineStr">
        <is>
          <t>4.8</t>
        </is>
      </c>
      <c r="J15" s="11" t="inlineStr">
        <is>
          <t>7.0</t>
        </is>
      </c>
      <c r="K15" s="11" t="inlineStr">
        <is>
          <t>4.3</t>
        </is>
      </c>
      <c r="L15" s="11" t="inlineStr">
        <is>
          <t>4.2</t>
        </is>
      </c>
      <c r="M15" s="13">
        <f>HYPERLINK("https://map.naver.com/v5/search/35.592077,127.202105","📍 네이버 #7")</f>
        <v/>
      </c>
      <c r="N15" s="13">
        <f>HYPERLINK("https://map.kakao.com/link/map/P16-7,35.592077,127.202105","📍 카카오 #7")</f>
        <v/>
      </c>
    </row>
    <row r="20">
      <c r="A20" s="19" t="inlineStr">
        <is>
          <t>★1~3위(노랑) 최우선  ●4~5위(하늘) 대안  ○6~10위(흰) 참고  │ 종합 = (②+③+④+⑤+⑥)/60×100점</t>
        </is>
      </c>
    </row>
  </sheetData>
  <mergeCells count="7">
    <mergeCell ref="B5:N5"/>
    <mergeCell ref="A20:N20"/>
    <mergeCell ref="B4:N4"/>
    <mergeCell ref="B6:N6"/>
    <mergeCell ref="B3:N3"/>
    <mergeCell ref="B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9" customWidth="1" min="10" max="10"/>
    <col width="8" customWidth="1" min="11" max="11"/>
    <col width="8" customWidth="1" min="12" max="12"/>
    <col width="20" customWidth="1" min="13" max="13"/>
    <col width="20" customWidth="1" min="14" max="14"/>
  </cols>
  <sheetData>
    <row r="1" ht="28" customHeight="1">
      <c r="A1" s="20" t="inlineStr">
        <is>
          <t>측정 후보지 #18 — 1km 서브격자 현장 답사 세부 선정</t>
        </is>
      </c>
    </row>
    <row r="2">
      <c r="A2" s="16" t="inlineStr">
        <is>
          <t>사이트명</t>
        </is>
      </c>
      <c r="B2" s="17" t="inlineStr">
        <is>
          <t>후보지 #18 (진안 무주)</t>
        </is>
      </c>
    </row>
    <row r="3">
      <c r="A3" s="16" t="inlineStr">
        <is>
          <t>10km격자 중심</t>
        </is>
      </c>
      <c r="B3" s="17" t="inlineStr">
        <is>
          <t>35.86272°N, 127.26755°E</t>
        </is>
      </c>
    </row>
    <row r="4">
      <c r="A4" s="16" t="inlineStr">
        <is>
          <t>국가격자 점수</t>
        </is>
      </c>
      <c r="B4" s="17" t="inlineStr">
        <is>
          <t>58.8점 (우선순위 1등급)</t>
        </is>
      </c>
    </row>
    <row r="5">
      <c r="A5" s="16" t="inlineStr">
        <is>
          <t>분석 조건</t>
        </is>
      </c>
      <c r="B5" s="17" t="inlineStr">
        <is>
          <t>반경 5km / 격자 1km / 도로≤2km</t>
        </is>
      </c>
    </row>
    <row r="6">
      <c r="A6" s="16" t="inlineStr">
        <is>
          <t>생성 일시</t>
        </is>
      </c>
      <c r="B6" s="17" t="inlineStr">
        <is>
          <t>2026년 05월 19일 15:02</t>
        </is>
      </c>
    </row>
    <row r="8" ht="32" customHeight="1">
      <c r="A8" s="18" t="inlineStr">
        <is>
          <t>순위</t>
        </is>
      </c>
      <c r="B8" s="18" t="inlineStr">
        <is>
          <t>위도(°N)</t>
        </is>
      </c>
      <c r="C8" s="18" t="inlineStr">
        <is>
          <t>경도(°E)</t>
        </is>
      </c>
      <c r="D8" s="18" t="inlineStr">
        <is>
          <t>종합점수</t>
        </is>
      </c>
      <c r="E8" s="18" t="inlineStr">
        <is>
          <t>②지형
/15</t>
        </is>
      </c>
      <c r="F8" s="18" t="inlineStr">
        <is>
          <t>③전력철도
/15</t>
        </is>
      </c>
      <c r="G8" s="18" t="inlineStr">
        <is>
          <t>④인구이격
/15</t>
        </is>
      </c>
      <c r="H8" s="18" t="inlineStr">
        <is>
          <t>⑤모델기여
/10</t>
        </is>
      </c>
      <c r="I8" s="18" t="inlineStr">
        <is>
          <t>⑥암상
/5</t>
        </is>
      </c>
      <c r="J8" s="18" t="inlineStr">
        <is>
          <t>경사도(°)</t>
        </is>
      </c>
      <c r="K8" s="18" t="inlineStr">
        <is>
          <t>전력(km)</t>
        </is>
      </c>
      <c r="L8" s="18" t="inlineStr">
        <is>
          <t>철도(km)</t>
        </is>
      </c>
      <c r="M8" s="18" t="inlineStr">
        <is>
          <t>네이버 지도 ▶</t>
        </is>
      </c>
      <c r="N8" s="18" t="inlineStr">
        <is>
          <t>카카오 지도 ▶</t>
        </is>
      </c>
    </row>
    <row r="9">
      <c r="A9" s="6" t="n">
        <v>1</v>
      </c>
      <c r="B9" s="5" t="n">
        <v>35.817639</v>
      </c>
      <c r="C9" s="5" t="n">
        <v>127.267681</v>
      </c>
      <c r="D9" s="6" t="n">
        <v>93.90000000000001</v>
      </c>
      <c r="E9" s="5" t="inlineStr">
        <is>
          <t>12.6</t>
        </is>
      </c>
      <c r="F9" s="5" t="inlineStr">
        <is>
          <t>14.1</t>
        </is>
      </c>
      <c r="G9" s="5" t="inlineStr">
        <is>
          <t>15.0</t>
        </is>
      </c>
      <c r="H9" s="5" t="inlineStr">
        <is>
          <t>10.0</t>
        </is>
      </c>
      <c r="I9" s="5" t="inlineStr">
        <is>
          <t>4.7</t>
        </is>
      </c>
      <c r="J9" s="5" t="inlineStr">
        <is>
          <t>4.8</t>
        </is>
      </c>
      <c r="K9" s="5" t="inlineStr">
        <is>
          <t>5.8</t>
        </is>
      </c>
      <c r="L9" s="5" t="inlineStr">
        <is>
          <t>1.9</t>
        </is>
      </c>
      <c r="M9" s="7">
        <f>HYPERLINK("https://map.naver.com/v5/search/35.817639,127.267681","📍 네이버 #1")</f>
        <v/>
      </c>
      <c r="N9" s="7">
        <f>HYPERLINK("https://map.kakao.com/link/map/P18-1,35.817639,127.267681","📍 카카오 #1")</f>
        <v/>
      </c>
    </row>
    <row r="10">
      <c r="A10" s="6" t="n">
        <v>2</v>
      </c>
      <c r="B10" s="5" t="n">
        <v>35.844688</v>
      </c>
      <c r="C10" s="5" t="n">
        <v>127.267603</v>
      </c>
      <c r="D10" s="6" t="n">
        <v>91.7</v>
      </c>
      <c r="E10" s="5" t="inlineStr">
        <is>
          <t>12.4</t>
        </is>
      </c>
      <c r="F10" s="5" t="inlineStr">
        <is>
          <t>14.5</t>
        </is>
      </c>
      <c r="G10" s="5" t="inlineStr">
        <is>
          <t>14.1</t>
        </is>
      </c>
      <c r="H10" s="5" t="inlineStr">
        <is>
          <t>10.0</t>
        </is>
      </c>
      <c r="I10" s="5" t="inlineStr">
        <is>
          <t>4.1</t>
        </is>
      </c>
      <c r="J10" s="5" t="inlineStr">
        <is>
          <t>5.3</t>
        </is>
      </c>
      <c r="K10" s="5" t="inlineStr">
        <is>
          <t>6.1</t>
        </is>
      </c>
      <c r="L10" s="5" t="inlineStr">
        <is>
          <t>3.2</t>
        </is>
      </c>
      <c r="M10" s="7">
        <f>HYPERLINK("https://map.naver.com/v5/search/35.844688,127.267603","📍 네이버 #2")</f>
        <v/>
      </c>
      <c r="N10" s="7">
        <f>HYPERLINK("https://map.kakao.com/link/map/P18-2,35.844688,127.267603","📍 카카오 #2")</f>
        <v/>
      </c>
    </row>
    <row r="11">
      <c r="A11" s="6" t="n">
        <v>3</v>
      </c>
      <c r="B11" s="5" t="n">
        <v>35.88073</v>
      </c>
      <c r="C11" s="5" t="n">
        <v>127.256419</v>
      </c>
      <c r="D11" s="6" t="n">
        <v>90.90000000000001</v>
      </c>
      <c r="E11" s="5" t="inlineStr">
        <is>
          <t>13.2</t>
        </is>
      </c>
      <c r="F11" s="5" t="inlineStr">
        <is>
          <t>14.4</t>
        </is>
      </c>
      <c r="G11" s="5" t="inlineStr">
        <is>
          <t>14.8</t>
        </is>
      </c>
      <c r="H11" s="5" t="inlineStr">
        <is>
          <t>8.0</t>
        </is>
      </c>
      <c r="I11" s="5" t="inlineStr">
        <is>
          <t>4.2</t>
        </is>
      </c>
      <c r="J11" s="5" t="inlineStr">
        <is>
          <t>3.6</t>
        </is>
      </c>
      <c r="K11" s="5" t="inlineStr">
        <is>
          <t>3.9</t>
        </is>
      </c>
      <c r="L11" s="5" t="inlineStr">
        <is>
          <t>4.0</t>
        </is>
      </c>
      <c r="M11" s="7">
        <f>HYPERLINK("https://map.naver.com/v5/search/35.88073,127.256419","📍 네이버 #3")</f>
        <v/>
      </c>
      <c r="N11" s="7">
        <f>HYPERLINK("https://map.kakao.com/link/map/P18-3,35.88073,127.256419","📍 카카오 #3")</f>
        <v/>
      </c>
    </row>
    <row r="12">
      <c r="A12" s="9" t="n">
        <v>4</v>
      </c>
      <c r="B12" s="8" t="n">
        <v>35.826696</v>
      </c>
      <c r="C12" s="8" t="n">
        <v>127.289797</v>
      </c>
      <c r="D12" s="9" t="n">
        <v>90.8</v>
      </c>
      <c r="E12" s="8" t="inlineStr">
        <is>
          <t>10.3</t>
        </is>
      </c>
      <c r="F12" s="8" t="inlineStr">
        <is>
          <t>15.0</t>
        </is>
      </c>
      <c r="G12" s="8" t="inlineStr">
        <is>
          <t>14.7</t>
        </is>
      </c>
      <c r="H12" s="8" t="inlineStr">
        <is>
          <t>10.0</t>
        </is>
      </c>
      <c r="I12" s="8" t="inlineStr">
        <is>
          <t>4.5</t>
        </is>
      </c>
      <c r="J12" s="8" t="inlineStr">
        <is>
          <t>9.4</t>
        </is>
      </c>
      <c r="K12" s="8" t="inlineStr">
        <is>
          <t>7.9</t>
        </is>
      </c>
      <c r="L12" s="8" t="inlineStr">
        <is>
          <t>4.2</t>
        </is>
      </c>
      <c r="M12" s="10">
        <f>HYPERLINK("https://map.naver.com/v5/search/35.826696,127.289797","📍 네이버 #4")</f>
        <v/>
      </c>
      <c r="N12" s="10">
        <f>HYPERLINK("https://map.kakao.com/link/map/P18-4,35.826696,127.289797","📍 카카오 #4")</f>
        <v/>
      </c>
    </row>
    <row r="13">
      <c r="A13" s="9" t="n">
        <v>5</v>
      </c>
      <c r="B13" s="8" t="n">
        <v>35.844666</v>
      </c>
      <c r="C13" s="8" t="n">
        <v>127.256529</v>
      </c>
      <c r="D13" s="9" t="n">
        <v>89.59999999999999</v>
      </c>
      <c r="E13" s="8" t="inlineStr">
        <is>
          <t>10.9</t>
        </is>
      </c>
      <c r="F13" s="8" t="inlineStr">
        <is>
          <t>14.1</t>
        </is>
      </c>
      <c r="G13" s="8" t="inlineStr">
        <is>
          <t>14.7</t>
        </is>
      </c>
      <c r="H13" s="8" t="inlineStr">
        <is>
          <t>10.0</t>
        </is>
      </c>
      <c r="I13" s="8" t="inlineStr">
        <is>
          <t>4.0</t>
        </is>
      </c>
      <c r="J13" s="8" t="inlineStr">
        <is>
          <t>8.2</t>
        </is>
      </c>
      <c r="K13" s="8" t="inlineStr">
        <is>
          <t>5.2</t>
        </is>
      </c>
      <c r="L13" s="8" t="inlineStr">
        <is>
          <t>2.3</t>
        </is>
      </c>
      <c r="M13" s="10">
        <f>HYPERLINK("https://map.naver.com/v5/search/35.844666,127.256529","📍 네이버 #5")</f>
        <v/>
      </c>
      <c r="N13" s="10">
        <f>HYPERLINK("https://map.kakao.com/link/map/P18-5,35.844666,127.256529","📍 카카오 #5")</f>
        <v/>
      </c>
    </row>
    <row r="14">
      <c r="A14" s="12" t="n">
        <v>6</v>
      </c>
      <c r="B14" s="11" t="n">
        <v>35.853682</v>
      </c>
      <c r="C14" s="11" t="n">
        <v>127.256501</v>
      </c>
      <c r="D14" s="12" t="n">
        <v>89.5</v>
      </c>
      <c r="E14" s="11" t="inlineStr">
        <is>
          <t>12.4</t>
        </is>
      </c>
      <c r="F14" s="11" t="inlineStr">
        <is>
          <t>14.2</t>
        </is>
      </c>
      <c r="G14" s="11" t="inlineStr">
        <is>
          <t>13.1</t>
        </is>
      </c>
      <c r="H14" s="11" t="inlineStr">
        <is>
          <t>10.0</t>
        </is>
      </c>
      <c r="I14" s="11" t="inlineStr">
        <is>
          <t>4.0</t>
        </is>
      </c>
      <c r="J14" s="11" t="inlineStr">
        <is>
          <t>5.1</t>
        </is>
      </c>
      <c r="K14" s="11" t="inlineStr">
        <is>
          <t>4.9</t>
        </is>
      </c>
      <c r="L14" s="11" t="inlineStr">
        <is>
          <t>2.7</t>
        </is>
      </c>
      <c r="M14" s="13">
        <f>HYPERLINK("https://map.naver.com/v5/search/35.853682,127.256501","📍 네이버 #6")</f>
        <v/>
      </c>
      <c r="N14" s="13">
        <f>HYPERLINK("https://map.kakao.com/link/map/P18-6,35.853682,127.256501","📍 카카오 #6")</f>
        <v/>
      </c>
    </row>
    <row r="15">
      <c r="A15" s="12" t="n">
        <v>7</v>
      </c>
      <c r="B15" s="11" t="n">
        <v>35.871691</v>
      </c>
      <c r="C15" s="11" t="n">
        <v>127.245369</v>
      </c>
      <c r="D15" s="12" t="n">
        <v>87.90000000000001</v>
      </c>
      <c r="E15" s="11" t="inlineStr">
        <is>
          <t>13.3</t>
        </is>
      </c>
      <c r="F15" s="11" t="inlineStr">
        <is>
          <t>13.8</t>
        </is>
      </c>
      <c r="G15" s="11" t="inlineStr">
        <is>
          <t>14.2</t>
        </is>
      </c>
      <c r="H15" s="11" t="inlineStr">
        <is>
          <t>8.0</t>
        </is>
      </c>
      <c r="I15" s="11" t="inlineStr">
        <is>
          <t>3.4</t>
        </is>
      </c>
      <c r="J15" s="11" t="inlineStr">
        <is>
          <t>3.4</t>
        </is>
      </c>
      <c r="K15" s="11" t="inlineStr">
        <is>
          <t>3.1</t>
        </is>
      </c>
      <c r="L15" s="11" t="inlineStr">
        <is>
          <t>2.6</t>
        </is>
      </c>
      <c r="M15" s="13">
        <f>HYPERLINK("https://map.naver.com/v5/search/35.871691,127.245369","📍 네이버 #7")</f>
        <v/>
      </c>
      <c r="N15" s="13">
        <f>HYPERLINK("https://map.kakao.com/link/map/P18-7,35.871691,127.245369","📍 카카오 #7")</f>
        <v/>
      </c>
    </row>
    <row r="16">
      <c r="A16" s="12" t="n">
        <v>8</v>
      </c>
      <c r="B16" s="11" t="n">
        <v>35.826676</v>
      </c>
      <c r="C16" s="11" t="n">
        <v>127.278726</v>
      </c>
      <c r="D16" s="12" t="n">
        <v>86.90000000000001</v>
      </c>
      <c r="E16" s="11" t="inlineStr">
        <is>
          <t>8.8</t>
        </is>
      </c>
      <c r="F16" s="11" t="inlineStr">
        <is>
          <t>14.7</t>
        </is>
      </c>
      <c r="G16" s="11" t="inlineStr">
        <is>
          <t>14.3</t>
        </is>
      </c>
      <c r="H16" s="11" t="inlineStr">
        <is>
          <t>10.0</t>
        </is>
      </c>
      <c r="I16" s="11" t="inlineStr">
        <is>
          <t>4.4</t>
        </is>
      </c>
      <c r="J16" s="11" t="inlineStr">
        <is>
          <t>12.3</t>
        </is>
      </c>
      <c r="K16" s="11" t="inlineStr">
        <is>
          <t>6.9</t>
        </is>
      </c>
      <c r="L16" s="11" t="inlineStr">
        <is>
          <t>3.3</t>
        </is>
      </c>
      <c r="M16" s="13">
        <f>HYPERLINK("https://map.naver.com/v5/search/35.826676,127.278726","📍 네이버 #8")</f>
        <v/>
      </c>
      <c r="N16" s="13">
        <f>HYPERLINK("https://map.kakao.com/link/map/P18-8,35.826676,127.278726","📍 카카오 #8")</f>
        <v/>
      </c>
    </row>
    <row r="17">
      <c r="A17" s="12" t="n">
        <v>9</v>
      </c>
      <c r="B17" s="11" t="n">
        <v>35.862675</v>
      </c>
      <c r="C17" s="11" t="n">
        <v>127.245398</v>
      </c>
      <c r="D17" s="12" t="n">
        <v>86.40000000000001</v>
      </c>
      <c r="E17" s="11" t="inlineStr">
        <is>
          <t>14.2</t>
        </is>
      </c>
      <c r="F17" s="11" t="inlineStr">
        <is>
          <t>13.7</t>
        </is>
      </c>
      <c r="G17" s="11" t="inlineStr">
        <is>
          <t>12.2</t>
        </is>
      </c>
      <c r="H17" s="11" t="inlineStr">
        <is>
          <t>8.0</t>
        </is>
      </c>
      <c r="I17" s="11" t="inlineStr">
        <is>
          <t>3.8</t>
        </is>
      </c>
      <c r="J17" s="11" t="inlineStr">
        <is>
          <t>1.6</t>
        </is>
      </c>
      <c r="K17" s="11" t="inlineStr">
        <is>
          <t>3.5</t>
        </is>
      </c>
      <c r="L17" s="11" t="inlineStr">
        <is>
          <t>2.2</t>
        </is>
      </c>
      <c r="M17" s="13">
        <f>HYPERLINK("https://map.naver.com/v5/search/35.862675,127.245398","📍 네이버 #9")</f>
        <v/>
      </c>
      <c r="N17" s="13">
        <f>HYPERLINK("https://map.kakao.com/link/map/P18-9,35.862675,127.245398","📍 카카오 #9")</f>
        <v/>
      </c>
    </row>
    <row r="18">
      <c r="A18" s="12" t="n">
        <v>10</v>
      </c>
      <c r="B18" s="11" t="n">
        <v>35.86272</v>
      </c>
      <c r="C18" s="11" t="n">
        <v>127.26755</v>
      </c>
      <c r="D18" s="12" t="n">
        <v>84.40000000000001</v>
      </c>
      <c r="E18" s="11" t="inlineStr">
        <is>
          <t>9.7</t>
        </is>
      </c>
      <c r="F18" s="11" t="inlineStr">
        <is>
          <t>14.6</t>
        </is>
      </c>
      <c r="G18" s="11" t="inlineStr">
        <is>
          <t>12.3</t>
        </is>
      </c>
      <c r="H18" s="11" t="inlineStr">
        <is>
          <t>10.0</t>
        </is>
      </c>
      <c r="I18" s="11" t="inlineStr">
        <is>
          <t>4.0</t>
        </is>
      </c>
      <c r="J18" s="11" t="inlineStr">
        <is>
          <t>10.6</t>
        </is>
      </c>
      <c r="K18" s="11" t="inlineStr">
        <is>
          <t>5.3</t>
        </is>
      </c>
      <c r="L18" s="11" t="inlineStr">
        <is>
          <t>4.0</t>
        </is>
      </c>
      <c r="M18" s="13">
        <f>HYPERLINK("https://map.naver.com/v5/search/35.86272,127.26755","📍 네이버 #10")</f>
        <v/>
      </c>
      <c r="N18" s="13">
        <f>HYPERLINK("https://map.kakao.com/link/map/P18-10,35.86272,127.26755","📍 카카오 #10")</f>
        <v/>
      </c>
    </row>
    <row r="20">
      <c r="A20" s="19" t="inlineStr">
        <is>
          <t>★1~3위(노랑) 최우선  ●4~5위(하늘) 대안  ○6~10위(흰) 참고  │ 종합 = (②+③+④+⑤+⑥)/60×100점</t>
        </is>
      </c>
    </row>
  </sheetData>
  <mergeCells count="7">
    <mergeCell ref="B5:N5"/>
    <mergeCell ref="A20:N20"/>
    <mergeCell ref="B4:N4"/>
    <mergeCell ref="B6:N6"/>
    <mergeCell ref="B3:N3"/>
    <mergeCell ref="B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2026-05-19T06:02:20Z</dcterms:created>
  <dcterms:modified xmlns:dcterms="http://purl.org/dc/terms/" xmlns:xsi="http://www.w3.org/2001/XMLSchema-instance" xsi:type="dcterms:W3CDTF">2026-05-19T06:02:20Z</dcterms:modified>
</cp:coreProperties>
</file>