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Titles" localSheetId="1">'01_태백 신규점'!$1:$3</definedName>
    <definedName name="_xlnm.Print_Area" localSheetId="1">'01_태백 신규점'!$A$1:$I$114</definedName>
    <definedName name="_xlnm.Print_Titles" localSheetId="2">'02_임계 신규점1'!$1:$3</definedName>
    <definedName name="_xlnm.Print_Area" localSheetId="2">'02_임계 신규점1'!$A$1:$I$114</definedName>
    <definedName name="_xlnm.Print_Titles" localSheetId="3">'03_예산 신규점2'!$1:$3</definedName>
    <definedName name="_xlnm.Print_Area" localSheetId="3">'03_예산 신규점2'!$A$1:$I$114</definedName>
    <definedName name="_xlnm.Print_Titles" localSheetId="4">'04_진안 신규점1'!$1:$3</definedName>
    <definedName name="_xlnm.Print_Area" localSheetId="4">'04_진안 신규점1'!$A$1:$I$114</definedName>
    <definedName name="_xlnm.Print_Titles" localSheetId="5">'05_무풍 신규점1'!$1:$3</definedName>
    <definedName name="_xlnm.Print_Area" localSheetId="5">'05_무풍 신규점1'!$A$1:$I$114</definedName>
    <definedName name="_xlnm.Print_Titles" localSheetId="6">'06_길담 신규점'!$1:$3</definedName>
    <definedName name="_xlnm.Print_Area" localSheetId="6">'06_길담 신규점'!$A$1:$I$114</definedName>
    <definedName name="_xlnm.Print_Titles" localSheetId="7">'07_남해 신규점1'!$1:$3</definedName>
    <definedName name="_xlnm.Print_Area" localSheetId="7">'07_남해 신규점1'!$A$1:$I$114</definedName>
    <definedName name="_xlnm.Print_Titles" localSheetId="8">'08_청일 신규점2'!$1:$3</definedName>
    <definedName name="_xlnm.Print_Area" localSheetId="8">'08_청일 신규점2'!$A$1:$I$114</definedName>
    <definedName name="_xlnm.Print_Titles" localSheetId="9">'09_어론 신규점'!$1:$3</definedName>
    <definedName name="_xlnm.Print_Area" localSheetId="9">'09_어론 신규점'!$A$1:$I$114</definedName>
    <definedName name="_xlnm.Print_Titles" localSheetId="10">'10_예안 신규점1'!$1:$3</definedName>
    <definedName name="_xlnm.Print_Area" localSheetId="10">'10_예안 신규점1'!$A$1:$I$114</definedName>
    <definedName name="_xlnm.Print_Titles" localSheetId="11">'11_소천 신규점4'!$1:$3</definedName>
    <definedName name="_xlnm.Print_Area" localSheetId="11">'11_소천 신규점4'!$A$1:$I$114</definedName>
    <definedName name="_xlnm.Print_Titles" localSheetId="12">'12_순창 신규점'!$1:$3</definedName>
    <definedName name="_xlnm.Print_Area" localSheetId="12">'12_순창 신규점'!$A$1:$I$114</definedName>
    <definedName name="_xlnm.Print_Titles" localSheetId="13">'13_순천 신규점'!$1:$3</definedName>
    <definedName name="_xlnm.Print_Area" localSheetId="13">'13_순천 신규점'!$A$1:$I$114</definedName>
    <definedName name="_xlnm.Print_Titles" localSheetId="14">'14_청송 신규점1'!$1:$3</definedName>
    <definedName name="_xlnm.Print_Area" localSheetId="14">'14_청송 신규점1'!$A$1:$I$114</definedName>
    <definedName name="_xlnm.Print_Titles" localSheetId="15">'15_의성 신규점'!$1:$3</definedName>
    <definedName name="_xlnm.Print_Area" localSheetId="15">'15_의성 신규점'!$A$1:$I$114</definedName>
    <definedName name="_xlnm.Print_Titles" localSheetId="16">'16_예천 신규점'!$1:$3</definedName>
    <definedName name="_xlnm.Print_Area" localSheetId="16">'16_예천 신규점'!$A$1:$I$114</definedName>
    <definedName name="_xlnm.Print_Titles" localSheetId="17">'17_영양 신규점4'!$1:$3</definedName>
    <definedName name="_xlnm.Print_Area" localSheetId="17">'17_영양 신규점4'!$A$1:$I$114</definedName>
    <definedName name="_xlnm.Print_Titles" localSheetId="18">'18_통영 신규점'!$1:$3</definedName>
    <definedName name="_xlnm.Print_Area" localSheetId="18">'18_통영 신규점'!$A$1:$I$114</definedName>
    <definedName name="_xlnm.Print_Titles" localSheetId="19">'19_오호 신규점'!$1:$3</definedName>
    <definedName name="_xlnm.Print_Area" localSheetId="19">'19_오호 신규점'!$A$1:$I$114</definedName>
    <definedName name="_xlnm.Print_Titles" localSheetId="20">'20_보령 신규점2'!$1:$3</definedName>
    <definedName name="_xlnm.Print_Area" localSheetId="20">'20_보령 신규점2'!$A$1:$I$114</definedName>
    <definedName name="_xlnm.Print_Titles" localSheetId="21">'21_담양 신규점2'!$1:$3</definedName>
    <definedName name="_xlnm.Print_Area" localSheetId="21">'21_담양 신규점2'!$A$1:$I$114</definedName>
    <definedName name="_xlnm.Print_Titles" localSheetId="22">'22_완도 신규점'!$1:$3</definedName>
    <definedName name="_xlnm.Print_Area" localSheetId="22">'22_완도 신규점'!$A$1:$I$114</definedName>
    <definedName name="_xlnm.Print_Titles" localSheetId="23">'23_덕산 신규점1'!$1:$3</definedName>
    <definedName name="_xlnm.Print_Area" localSheetId="23">'23_덕산 신규점1'!$A$1:$I$114</definedName>
    <definedName name="_xlnm.Print_Titles" localSheetId="24">'24_회천 신규점2'!$1:$3</definedName>
    <definedName name="_xlnm.Print_Area" localSheetId="24">'24_회천 신규점2'!$A$1:$I$114</definedName>
    <definedName name="_xlnm.Print_Titles" localSheetId="25">'25_관리 신규점3'!$1:$3</definedName>
    <definedName name="_xlnm.Print_Area" localSheetId="25">'25_관리 신규점3'!$A$1:$I$114</definedName>
    <definedName name="_xlnm.Print_Titles" localSheetId="26">'26_고남 신규점2'!$1:$3</definedName>
    <definedName name="_xlnm.Print_Area" localSheetId="26">'26_고남 신규점2'!$A$1:$I$114</definedName>
    <definedName name="_xlnm.Print_Titles" localSheetId="27">'27_전의 신규점'!$1:$3</definedName>
    <definedName name="_xlnm.Print_Area" localSheetId="27">'27_전의 신규점'!$A$1:$I$114</definedName>
    <definedName name="_xlnm.Print_Titles" localSheetId="28">'28_이원 신규점'!$1:$3</definedName>
    <definedName name="_xlnm.Print_Area" localSheetId="28">'28_이원 신규점'!$A$1:$I$114</definedName>
    <definedName name="_xlnm.Print_Titles" localSheetId="29">'29_가야 신규점1'!$1:$3</definedName>
    <definedName name="_xlnm.Print_Area" localSheetId="29">'29_가야 신규점1'!$A$1:$I$114</definedName>
    <definedName name="_xlnm.Print_Titles" localSheetId="30">'30_창녕 신규점'!$1:$3</definedName>
    <definedName name="_xlnm.Print_Area" localSheetId="30">'30_창녕 신규점'!$A$1:$I$114</definedName>
    <definedName name="_xlnm.Print_Titles" localSheetId="31">'31_언양 신규점3'!$1:$3</definedName>
    <definedName name="_xlnm.Print_Area" localSheetId="31">'31_언양 신규점3'!$A$1:$I$114</definedName>
    <definedName name="_xlnm.Print_Titles" localSheetId="32">'32_함양 신규점'!$1:$3</definedName>
    <definedName name="_xlnm.Print_Area" localSheetId="32">'32_함양 신규점'!$A$1:$I$114</definedName>
    <definedName name="_xlnm.Print_Titles" localSheetId="33">'33_문산 신규점'!$1:$3</definedName>
    <definedName name="_xlnm.Print_Area" localSheetId="33">'33_문산 신규점'!$A$1:$I$114</definedName>
    <definedName name="_xlnm.Print_Titles" localSheetId="34">'34_부안 신규점'!$1:$3</definedName>
    <definedName name="_xlnm.Print_Area" localSheetId="34">'34_부안 신규점'!$A$1:$I$114</definedName>
    <definedName name="_xlnm.Print_Titles" localSheetId="35">'35_상주'!$1:$3</definedName>
    <definedName name="_xlnm.Print_Area" localSheetId="35">'35_상주'!$A$1:$I$114</definedName>
    <definedName name="_xlnm.Print_Titles" localSheetId="36">'36_미원'!$1:$3</definedName>
    <definedName name="_xlnm.Print_Area" localSheetId="36">'36_미원'!$A$1:$I$114</definedName>
    <definedName name="_xlnm.Print_Titles" localSheetId="37">'37_부안'!$1:$3</definedName>
    <definedName name="_xlnm.Print_Area" localSheetId="37">'37_부안'!$A$1:$I$114</definedName>
    <definedName name="_xlnm.Print_Titles" localSheetId="38">'38_강화'!$1:$3</definedName>
    <definedName name="_xlnm.Print_Area" localSheetId="38">'38_강화'!$A$1:$I$114</definedName>
    <definedName name="_xlnm.Print_Titles" localSheetId="39">'39_언양'!$1:$3</definedName>
    <definedName name="_xlnm.Print_Area" localSheetId="39">'39_언양'!$A$1:$I$114</definedName>
    <definedName name="_xlnm.Print_Titles" localSheetId="40">'40_남지'!$1:$3</definedName>
    <definedName name="_xlnm.Print_Area" localSheetId="40">'40_남지'!$A$1:$I$114</definedName>
    <definedName name="_xlnm.Print_Titles" localSheetId="41">'41_거제'!$1:$3</definedName>
    <definedName name="_xlnm.Print_Area" localSheetId="41">'41_거제'!$A$1:$I$114</definedName>
    <definedName name="_xlnm.Print_Titles" localSheetId="42">'42_조도'!$1:$3</definedName>
    <definedName name="_xlnm.Print_Area" localSheetId="42">'42_조도'!$A$1:$I$114</definedName>
    <definedName name="_xlnm.Print_Titles" localSheetId="43">'43_포천'!$1:$3</definedName>
    <definedName name="_xlnm.Print_Area" localSheetId="43">'43_포천'!$A$1:$I$114</definedName>
    <definedName name="_xlnm.Print_Titles" localSheetId="44">'44_성산'!$1:$3</definedName>
    <definedName name="_xlnm.Print_Area" localSheetId="44">'44_성산'!$A$1:$I$114</definedName>
    <definedName name="_xlnm.Print_Titles" localSheetId="45">'45_여주'!$1:$3</definedName>
    <definedName name="_xlnm.Print_Area" localSheetId="45">'45_여주'!$A$1:$I$114</definedName>
    <definedName name="_xlnm.Print_Titles" localSheetId="46">'46_화천'!$1:$3</definedName>
    <definedName name="_xlnm.Print_Area" localSheetId="46">'46_화천'!$A$1:$I$114</definedName>
    <definedName name="_xlnm.Print_Titles" localSheetId="47">'47_봉평'!$1:$3</definedName>
    <definedName name="_xlnm.Print_Area" localSheetId="47">'47_봉평'!$A$1:$I$114</definedName>
    <definedName name="_xlnm.Print_Titles" localSheetId="48">'48_삼척'!$1:$3</definedName>
    <definedName name="_xlnm.Print_Area" localSheetId="48">'48_삼척'!$A$1:$I$114</definedName>
    <definedName name="_xlnm.Print_Titles" localSheetId="49">'49_제천'!$1:$3</definedName>
    <definedName name="_xlnm.Print_Area" localSheetId="49">'49_제천'!$A$1:$I$114</definedName>
    <definedName name="_xlnm.Print_Titles" localSheetId="50">'50_함양'!$1:$3</definedName>
    <definedName name="_xlnm.Print_Area" localSheetId="50">'50_함양'!$A$1:$I$114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b val="1"/>
      <color rgb="00FFFFFF"/>
      <sz val="11"/>
    </font>
    <font>
      <name val="맑은 고딕"/>
      <color rgb="00999999"/>
      <sz val="9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FDE9E7"/>
      </patternFill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67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165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168" fontId="5" fillId="4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IF(COUNT(B18,D18)&lt;2,"",ROUND(SQRT(((128.98393-D18)*111320*COS(RADIANS(37.020705)))^2+((37.020705-B18)*110574)^2),1))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"S01-H"&amp;"(방향)"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"S01-M1"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"S01-M2"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S01 태백 신규점</oddHeader>
    <oddFooter>&amp;C&amp;9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IF(COUNT(B18,D18)&lt;2,"",ROUND(SQRT(((128.973865-D18)*111320*COS(RADIANS(37.359346)))^2+((37.359346-B18)*110574)^2),1))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"S02-H"&amp;"(방향)"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"S02-M1"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"S02-M2"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S02 임계 신규점1</oddHeader>
    <oddFooter>&amp;C&amp;9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IF(COUNT(B18,D18)&lt;2,"",ROUND(SQRT(((126.936269-D18)*111320*COS(RADIANS(36.534085)))^2+((36.534085-B18)*110574)^2),1))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"S03-H"&amp;"(방향)"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"S03-M1"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"S03-M2"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S03 예산 신규점2</oddHeader>
    <oddFooter>&amp;C&amp;9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IF(COUNT(B18,D18)&lt;2,"",ROUND(SQRT(((127.309017-D18)*111320*COS(RADIANS(35.891309)))^2+((35.891309-B18)*110574)^2),1))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"S04-H"&amp;"(방향)"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"S04-M1"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"S04-M2"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S04 진안 신규점1</oddHeader>
    <oddFooter>&amp;C&amp;9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IF(COUNT(B18,D18)&lt;2,"",ROUND(SQRT(((127.800855-D18)*111320*COS(RADIANS(35.945212)))^2+((35.945212-B18)*110574)^2),1))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"S05-H"&amp;"(방향)"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"S05-M1"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"S05-M2"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S05 무풍 신규점1</oddHeader>
    <oddFooter>&amp;C&amp;9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IF(COUNT(B18,D18)&lt;2,"",ROUND(SQRT(((127.230237-D18)*111320*COS(RADIANS(35.604653)))^2+((35.604653-B18)*110574)^2),1))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"S06-H"&amp;"(방향)"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"S06-M1"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"S06-M2"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S06 길담 신규점</oddHeader>
    <oddFooter>&amp;C&amp;9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IF(COUNT(B18,D18)&lt;2,"",ROUND(SQRT(((127.981473-D18)*111320*COS(RADIANS(34.852281)))^2+((34.852281-B18)*110574)^2),1))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"S07-H"&amp;"(방향)"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"S07-M1"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"S07-M2"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S07 남해 신규점1</oddHeader>
    <oddFooter>&amp;C&amp;9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IF(COUNT(B18,D18)&lt;2,"",ROUND(SQRT(((128.1698-D18)*111320*COS(RADIANS(37.618578)))^2+((37.618578-B18)*110574)^2),1))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"S08-H"&amp;"(방향)"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"S08-M1"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"S08-M2"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S08 청일 신규점2</oddHeader>
    <oddFooter>&amp;C&amp;9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S09-P0a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IF(COUNT(B18,D18)&lt;2,"",ROUND(SQRT(((128.075858-D18)*111320*COS(RADIANS(37.776326)))^2+((37.776326-B18)*110574)^2),1))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"S09-H"&amp;"(방향)"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"S09-V"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"S09-M1"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"S09-M2"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{S09}_{VisitID}_{코드}_{연번}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S09 어론 신규점</oddHeader>
    <oddFooter>&amp;C&amp;9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IF(COUNT(B18,D18)&lt;2,"",ROUND(SQRT(((128.853559-D18)*111320*COS(RADIANS(36.745399)))^2+((36.745399-B18)*110574)^2),1))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"S10-H"&amp;"(방향)"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"S10-M1"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"S10-M2"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S10 예안 신규점1</oddHeader>
    <oddFooter>&amp;C&amp;9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IF(COUNT(B18,D18)&lt;2,"",ROUND(SQRT(((129.154341-D18)*111320*COS(RADIANS(36.765848)))^2+((36.765848-B18)*110574)^2),1))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"S11-H"&amp;"(방향)"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"S11-M1"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"S11-M2"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S11 소천 신규점4</oddHeader>
    <oddFooter>&amp;C&amp;9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IF(COUNT(B18,D18)&lt;2,"",ROUND(SQRT(((127.092148-D18)*111320*COS(RADIANS(35.284821)))^2+((35.284821-B18)*110574)^2),1))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"S12-H"&amp;"(방향)"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"S12-M1"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"S12-M2"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S12 순창 신규점</oddHeader>
    <oddFooter>&amp;C&amp;9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IF(COUNT(B18,D18)&lt;2,"",ROUND(SQRT(((127.294737-D18)*111320*COS(RADIANS(34.904713)))^2+((34.904713-B18)*110574)^2),1))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"S13-H"&amp;"(방향)"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"S13-M1"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"S13-M2"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S13 순천 신규점</oddHeader>
    <oddFooter>&amp;C&amp;9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IF(COUNT(B18,D18)&lt;2,"",ROUND(SQRT(((129.145795-D18)*111320*COS(RADIANS(36.382888)))^2+((36.382888-B18)*110574)^2),1))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"S14-H"&amp;"(방향)"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"S14-M1"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"S14-M2"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S14 청송 신규점1</oddHeader>
    <oddFooter>&amp;C&amp;9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IF(COUNT(B18,D18)&lt;2,"",ROUND(SQRT(((128.508751-D18)*111320*COS(RADIANS(36.4767)))^2+((36.4767-B18)*110574)^2),1))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"S15-H"&amp;"(방향)"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"S15-M1"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"S15-M2"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S15 의성 신규점</oddHeader>
    <oddFooter>&amp;C&amp;9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IF(COUNT(B18,D18)&lt;2,"",ROUND(SQRT(((128.494519-D18)*111320*COS(RADIANS(36.50939)))^2+((36.50939-B18)*110574)^2),1))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"S16-H"&amp;"(방향)"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"S16-M1"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"S16-M2"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S16 예천 신규점</oddHeader>
    <oddFooter>&amp;C&amp;9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IF(COUNT(B18,D18)&lt;2,"",ROUND(SQRT(((129.181307-D18)*111320*COS(RADIANS(36.743626)))^2+((36.743626-B18)*110574)^2),1))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"S17-H"&amp;"(방향)"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"S17-M1"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"S17-M2"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S17 영양 신규점4</oddHeader>
    <oddFooter>&amp;C&amp;9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IF(COUNT(B18,D18)&lt;2,"",ROUND(SQRT(((128.393827-D18)*111320*COS(RADIANS(34.792976)))^2+((34.792976-B18)*110574)^2),1))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"S18-H"&amp;"(방향)"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"S18-M1"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"S18-M2"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S18 통영 신규점</oddHeader>
    <oddFooter>&amp;C&amp;9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S19-P0a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IF(COUNT(B18,D18)&lt;2,"",ROUND(SQRT(((128.521755-D18)*111320*COS(RADIANS(38.318869)))^2+((38.318869-B18)*110574)^2),1))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"S19-H"&amp;"(방향)"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"S19-V"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"S19-M1"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"S19-M2"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{S19}_{VisitID}_{코드}_{연번}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S19 오호 신규점</oddHeader>
    <oddFooter>&amp;C&amp;9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IF(COUNT(B18,D18)&lt;2,"",ROUND(SQRT(((126.706961-D18)*111320*COS(RADIANS(36.266844)))^2+((36.266844-B18)*110574)^2),1))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"S20-H"&amp;"(방향)"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"S20-M1"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"S20-M2"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S20 보령 신규점2</oddHeader>
    <oddFooter>&amp;C&amp;9 &amp;P /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IF(COUNT(B18,D18)&lt;2,"",ROUND(SQRT(((126.962054-D18)*111320*COS(RADIANS(35.456101)))^2+((35.456101-B18)*110574)^2),1))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"S21-H"&amp;"(방향)"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"S21-M1"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"S21-M2"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S21 담양 신규점2</oddHeader>
    <oddFooter>&amp;C&amp;9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IF(COUNT(B18,D18)&lt;2,"",ROUND(SQRT(((126.543215-D18)*111320*COS(RADIANS(34.328826)))^2+((34.328826-B18)*110574)^2),1))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"S22-H"&amp;"(방향)"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"S22-M1"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"S22-M2"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S22 완도 신규점</oddHeader>
    <oddFooter>&amp;C&amp;9 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IF(COUNT(B18,D18)&lt;2,"",ROUND(SQRT(((128.192739-D18)*111320*COS(RADIANS(36.888529)))^2+((36.888529-B18)*110574)^2),1))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"S23-H"&amp;"(방향)"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"S23-M1"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"S23-M2"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S23 덕산 신규점1</oddHeader>
    <oddFooter>&amp;C&amp;9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IF(COUNT(B18,D18)&lt;2,"",ROUND(SQRT(((127.04766-D18)*111320*COS(RADIANS(34.680805)))^2+((34.680805-B18)*110574)^2),1))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"S24-H"&amp;"(방향)"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"S24-M1"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"S24-M2"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S24 회천 신규점2</oddHeader>
    <oddFooter>&amp;C&amp;9 &amp;P /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IF(COUNT(B18,D18)&lt;2,"",ROUND(SQRT(((127.905982-D18)*111320*COS(RADIANS(36.325755)))^2+((36.325755-B18)*110574)^2),1))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"S25-H"&amp;"(방향)"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"S25-M1"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"S25-M2"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S25 관리 신규점3</oddHeader>
    <oddFooter>&amp;C&amp;9 &amp;P /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IF(COUNT(B18,D18)&lt;2,"",ROUND(SQRT(((126.395802-D18)*111320*COS(RADIANS(36.452304)))^2+((36.452304-B18)*110574)^2),1))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"S26-H"&amp;"(방향)"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"S26-M1"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"S26-M2"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S26 고남 신규점2</oddHeader>
    <oddFooter>&amp;C&amp;9 &amp;P /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IF(COUNT(B18,D18)&lt;2,"",ROUND(SQRT(((127.068702-D18)*111320*COS(RADIANS(36.579379)))^2+((36.579379-B18)*110574)^2),1))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"S27-H"&amp;"(방향)"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"S27-M1"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"S27-M2"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S27 전의 신규점</oddHeader>
    <oddFooter>&amp;C&amp;9 &amp;P /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IF(COUNT(B18,D18)&lt;2,"",ROUND(SQRT(((127.583121-D18)*111320*COS(RADIANS(36.16662)))^2+((36.16662-B18)*110574)^2),1))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"S28-H"&amp;"(방향)"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"S28-M1"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"S28-M2"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S28 이원 신규점</oddHeader>
    <oddFooter>&amp;C&amp;9 &amp;P /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S29-P0a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IF(COUNT(B18,D18)&lt;2,"",ROUND(SQRT(((128.036833-D18)*111320*COS(RADIANS(35.777986)))^2+((35.777986-B18)*110574)^2),1))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"S29-H"&amp;"(방향)"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"S29-V"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"S29-M1"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"S29-M2"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{S29}_{VisitID}_{코드}_{연번}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S29 가야 신규점1</oddHeader>
    <oddFooter>&amp;C&amp;9 &amp;P /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IF(COUNT(B18,D18)&lt;2,"",ROUND(SQRT(((128.298099-D18)*111320*COS(RADIANS(35.662586)))^2+((35.662586-B18)*110574)^2),1))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"S30-H"&amp;"(방향)"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"S30-M1"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"S30-M2"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S30 창녕 신규점</oddHeader>
    <oddFooter>&amp;C&amp;9 &amp;P /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IF(COUNT(B18,D18)&lt;2,"",ROUND(SQRT(((129.029824-D18)*111320*COS(RADIANS(35.742364)))^2+((35.742364-B18)*110574)^2),1))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"S31-H"&amp;"(방향)"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"S31-M1"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"S31-M2"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S31 언양 신규점3</oddHeader>
    <oddFooter>&amp;C&amp;9 &amp;P /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IF(COUNT(B18,D18)&lt;2,"",ROUND(SQRT(((127.574659-D18)*111320*COS(RADIANS(35.586243)))^2+((35.586243-B18)*110574)^2),1))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"S32-H"&amp;"(방향)"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"S32-M1"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"S32-M2"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S32 함양 신규점</oddHeader>
    <oddFooter>&amp;C&amp;9 &amp;P /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IF(COUNT(B18,D18)&lt;2,"",ROUND(SQRT(((126.870305-D18)*111320*COS(RADIANS(37.927676)))^2+((37.927676-B18)*110574)^2),1))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"S33-H"&amp;"(방향)"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"S33-M1"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"S33-M2"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S33 문산 신규점</oddHeader>
    <oddFooter>&amp;C&amp;9 &amp;P /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IF(COUNT(B18,D18)&lt;2,"",ROUND(SQRT(((126.645582-D18)*111320*COS(RADIANS(35.541753)))^2+((35.541753-B18)*110574)^2),1))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"S34-H"&amp;"(방향)"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"S34-M1"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"S34-M2"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S34 부안 신규점</oddHeader>
    <oddFooter>&amp;C&amp;9 &amp;P /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IF(COUNT(B18,D18)&lt;2,"",ROUND(SQRT(((128.11048069444445-D18)*111320*COS(RADIANS(36.35528841666667)))^2+((36.35528841666667-B18)*110574)^2),1))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"S35-H"&amp;"(방향)"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"S35-M1"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"S35-M2"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S35 상주</oddHeader>
    <oddFooter>&amp;C&amp;9 &amp;P /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IF(COUNT(B18,D18)&lt;2,"",ROUND(SQRT(((127.58622222222222-D18)*111320*COS(RADIANS(36.72502777777778)))^2+((36.72502777777778-B18)*110574)^2),1))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"S36-H"&amp;"(방향)"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"S36-M1"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"S36-M2"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S36 미원</oddHeader>
    <oddFooter>&amp;C&amp;9 &amp;P / &amp;N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IF(COUNT(B18,D18)&lt;2,"",ROUND(SQRT(((126.71613888888889-D18)*111320*COS(RADIANS(35.58775)))^2+((35.58775-B18)*110574)^2),1))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"S37-H"&amp;"(방향)"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"S37-M1"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"S37-M2"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S37 부안</oddHeader>
    <oddFooter>&amp;C&amp;9 &amp;P / &amp;N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IF(COUNT(B18,D18)&lt;2,"",ROUND(SQRT(((126.47877522222223-D18)*111320*COS(RADIANS(37.66612411111111)))^2+((37.66612411111111-B18)*110574)^2),1))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"S38-H"&amp;"(방향)"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"S38-M1"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"S38-M2"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S38 강화</oddHeader>
    <oddFooter>&amp;C&amp;9 &amp;P / &amp;N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S39-P0a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IF(COUNT(B18,D18)&lt;2,"",ROUND(SQRT(((129.1908721388889-D18)*111320*COS(RADIANS(35.67619994444444)))^2+((35.67619994444444-B18)*110574)^2),1))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"S39-H"&amp;"(방향)"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"S39-V"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"S39-M1"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"S39-M2"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{S39}_{VisitID}_{코드}_{연번}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S39 언양</oddHeader>
    <oddFooter>&amp;C&amp;9 &amp;P / &amp;N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IF(COUNT(B18,D18)&lt;2,"",ROUND(SQRT(((128.47377777777777-D18)*111320*COS(RADIANS(35.436166666666665)))^2+((35.436166666666665-B18)*110574)^2),1))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"S40-H"&amp;"(방향)"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"S40-M1"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"S40-M2"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S40 남지</oddHeader>
    <oddFooter>&amp;C&amp;9 &amp;P / &amp;N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S41-P0a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IF(COUNT(B18,D18)&lt;2,"",ROUND(SQRT(((128.59286111111112-D18)*111320*COS(RADIANS(34.870311083333334)))^2+((34.870311083333334-B18)*110574)^2),1))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"S41-H"&amp;"(방향)"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"S41-V"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"S41-M1"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"S41-M2"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{S41}_{VisitID}_{코드}_{연번}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S41 거제</oddHeader>
    <oddFooter>&amp;C&amp;9 &amp;P / &amp;N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S42-P0a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IF(COUNT(B18,D18)&lt;2,"",ROUND(SQRT(((126.22380555555556-D18)*111320*COS(RADIANS(34.431916666666666)))^2+((34.431916666666666-B18)*110574)^2),1))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"S42-H"&amp;"(방향)"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"S42-V"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"S42-M1"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"S42-M2"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{S42}_{VisitID}_{코드}_{연번}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S42 조도</oddHeader>
    <oddFooter>&amp;C&amp;9 &amp;P / &amp;N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S43-P0a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IF(COUNT(B18,D18)&lt;2,"",ROUND(SQRT(((127.13462836111111-D18)*111320*COS(RADIANS(37.99090344444445)))^2+((37.99090344444445-B18)*110574)^2),1))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"S43-H"&amp;"(방향)"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"S43-V"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"S43-M1"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"S43-M2"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{S43}_{VisitID}_{코드}_{연번}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S43 포천</oddHeader>
    <oddFooter>&amp;C&amp;9 &amp;P / &amp;N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S44-P0a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IF(COUNT(B18,D18)&lt;2,"",ROUND(SQRT(((126.89416197222224-D18)*111320*COS(RADIANS(33.524479916666664)))^2+((33.524479916666664-B18)*110574)^2),1))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"S44-H"&amp;"(방향)"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"S44-V"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"S44-M1"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"S44-M2"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{S44}_{VisitID}_{코드}_{연번}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S44 성산</oddHeader>
    <oddFooter>&amp;C&amp;9 &amp;P / &amp;N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S45-P0a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IF(COUNT(B18,D18)&lt;2,"",ROUND(SQRT(((127.57332169444445-D18)*111320*COS(RADIANS(37.445381)))^2+((37.445381-B18)*110574)^2),1))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"S45-H"&amp;"(방향)"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"S45-V"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"S45-M1"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"S45-M2"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{S45}_{VisitID}_{코드}_{연번}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S45 여주</oddHeader>
    <oddFooter>&amp;C&amp;9 &amp;P / &amp;N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S46-P0a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IF(COUNT(B18,D18)&lt;2,"",ROUND(SQRT(((127.68672222222223-D18)*111320*COS(RADIANS(38.11566666666667)))^2+((38.11566666666667-B18)*110574)^2),1))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"S46-H"&amp;"(방향)"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"S46-V"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"S46-M1"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"S46-M2"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{S46}_{VisitID}_{코드}_{연번}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S46 화천</oddHeader>
    <oddFooter>&amp;C&amp;9 &amp;P / &amp;N</oddFooter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S47-P0a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IF(COUNT(B18,D18)&lt;2,"",ROUND(SQRT(((128.395802-D18)*111320*COS(RADIANS(37.61237222222223)))^2+((37.61237222222223-B18)*110574)^2),1))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"S47-H"&amp;"(방향)"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"S47-V"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"S47-M1"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"S47-M2"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{S47}_{VisitID}_{코드}_{연번}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S47 봉평</oddHeader>
    <oddFooter>&amp;C&amp;9 &amp;P / &amp;N</oddFooter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S48-P0a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IF(COUNT(B18,D18)&lt;2,"",ROUND(SQRT(((129.20322594444443-D18)*111320*COS(RADIANS(37.384717083333335)))^2+((37.384717083333335-B18)*110574)^2),1))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"S48-H"&amp;"(방향)"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"S48-V"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"S48-M1"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"S48-M2"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{S48}_{VisitID}_{코드}_{연번}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S48 삼척</oddHeader>
    <oddFooter>&amp;C&amp;9 &amp;P / &amp;N</oddFooter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S49-P0a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IF(COUNT(B18,D18)&lt;2,"",ROUND(SQRT(((128.21144444444442-D18)*111320*COS(RADIANS(37.07463888888889)))^2+((37.07463888888889-B18)*110574)^2),1))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"S49-H"&amp;"(방향)"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"S49-V"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"S49-M1"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"S49-M2"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{S49}_{VisitID}_{코드}_{연번}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S49 제천</oddHeader>
    <oddFooter>&amp;C&amp;9 &amp;P / &amp;N</oddFooter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1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  <c r="F3" s="11" t="inlineStr">
        <is>
          <t>Visit ID</t>
        </is>
      </c>
      <c r="G3" s="8" t="n"/>
      <c r="H3" s="11" t="inlineStr">
        <is>
          <t>Location ID</t>
        </is>
      </c>
      <c r="I3" s="12" t="inlineStr">
        <is>
          <t>S50-P0a</t>
        </is>
      </c>
    </row>
    <row r="4" ht="14" customHeight="1">
      <c r="A4" s="13" t="inlineStr">
        <is>
          <t>⚠ Visit ID 는 방문마다 새로 준다(V1·V2…). 중심점을 옮기면 **새 Location ID 로 새 카드**를 쓰고 이 카드 값을 덮지 않는다 — 옛 중심 자료가 새 중심을 입증하지 않기 때문이다.</t>
        </is>
      </c>
    </row>
    <row r="5" ht="20" customHeight="1">
      <c r="A5" s="14" t="inlineStr">
        <is>
          <t>0. 측정 전 확인 — 자기오염 방지</t>
        </is>
      </c>
    </row>
    <row r="6" ht="29" customHeight="1">
      <c r="A6" s="15" t="inlineStr">
        <is>
          <t>측정자 본인과 주변의 자기성 물품을 먼저 걷어낸다. 못 뺀 것이 있으면 무엇을 왜 못 뺐는지 적는다 — 나중에 그 방향 구배를 해석할 때 쓴다. 시계·펜·혁대 하나가 네 방향을 같은 쪽으로 밀어 공간구배로 «오인»되게 만든다. (「지구물리측량 작업규정」 §18③ 을 참고한 실무 지침이며, 이 탐사는 법정 선점이 아니다)</t>
        </is>
      </c>
    </row>
    <row r="7">
      <c r="A7" s="11" t="inlineStr">
        <is>
          <t>개인 금속물 제거</t>
        </is>
      </c>
      <c r="B7" s="8" t="n"/>
      <c r="C7" s="11" t="inlineStr">
        <is>
          <t>차량 이격</t>
        </is>
      </c>
      <c r="D7" s="8" t="n"/>
      <c r="E7" s="11" t="inlineStr">
        <is>
          <t>전자기기 차단</t>
        </is>
      </c>
      <c r="F7" s="8" t="n"/>
      <c r="G7" s="11" t="inlineStr">
        <is>
          <t>미제거·예외 사유</t>
        </is>
      </c>
      <c r="H7" s="8" t="n"/>
    </row>
    <row r="9" ht="20" customHeight="1">
      <c r="A9" s="14" t="inlineStr">
        <is>
          <t>1. 도착 · 관측 조건 · 원시자료 연결</t>
        </is>
      </c>
    </row>
    <row r="10" ht="29" customHeight="1">
      <c r="A10" s="15" t="inlineStr">
        <is>
          <t>⚠ **야간 관측은 하지 않는다**(발주자 결정). Kp 와 예보는 «기록만» 하고 배제 기준으로 쓰지 않는다 — 어느 값에서 걸러야 하는지 아직 정해지지 않았고, 그 기준을 정하려고 이 탐사를 하는 것이다. 교란이 뚜렷하면 그 구간을 빼거나 다시 재고 소견에 적는다.</t>
        </is>
      </c>
    </row>
    <row r="11">
      <c r="A11" s="11" t="inlineStr">
        <is>
          <t>관측일자</t>
        </is>
      </c>
      <c r="B11" s="7" t="n"/>
      <c r="C11" s="11" t="inlineStr">
        <is>
          <t>도착 시각</t>
        </is>
      </c>
      <c r="D11" s="16" t="n"/>
      <c r="E11" s="11" t="inlineStr">
        <is>
          <t>관측자</t>
        </is>
      </c>
      <c r="F11" s="8" t="n"/>
      <c r="G11" s="11" t="inlineStr">
        <is>
          <t>기상</t>
        </is>
      </c>
      <c r="H11" s="8" t="n"/>
    </row>
    <row r="12">
      <c r="A12" s="11" t="inlineStr">
        <is>
          <t>Kp 지수</t>
        </is>
      </c>
      <c r="B12" s="17" t="n"/>
      <c r="C12" s="11" t="inlineStr">
        <is>
          <t>예보 확인</t>
        </is>
      </c>
      <c r="D12" s="8" t="n"/>
      <c r="E12" s="11" t="inlineStr">
        <is>
          <t>GSM-19T 기기번호</t>
        </is>
      </c>
      <c r="F12" s="8" t="n"/>
      <c r="G12" s="11" t="inlineStr">
        <is>
          <t>Variometer</t>
        </is>
      </c>
      <c r="H12" s="8" t="n"/>
    </row>
    <row r="13">
      <c r="A13" s="11" t="inlineStr">
        <is>
          <t>장비 원시파일명</t>
        </is>
      </c>
      <c r="B13" s="8" t="n"/>
      <c r="D13" s="11" t="inlineStr">
        <is>
          <t>레코드 범위</t>
        </is>
      </c>
      <c r="E13" s="8" t="n"/>
      <c r="G13" s="11" t="inlineStr">
        <is>
          <t>Variometer 파일명</t>
        </is>
      </c>
      <c r="H13" s="8" t="n"/>
    </row>
    <row r="14" ht="14" customHeight="1">
      <c r="A14" s="13" t="inlineStr">
        <is>
          <t>⚠ 이 카드가 «원본»이다. 장비 원시파일은 나중에 자동 반입하므로 파일명과 레코드 범위를 반드시 적는다 — 종이와 기기 원본을 잇는 유일한 끈이다.</t>
        </is>
      </c>
    </row>
    <row r="16" ht="20" customHeight="1">
      <c r="A16" s="14" t="inlineStr">
        <is>
          <t>2. 기준점 좌표 (GNSS 실측)</t>
        </is>
      </c>
    </row>
    <row r="17" ht="16" customHeight="1">
      <c r="A17" s="15" t="inlineStr">
        <is>
          <t>십진도로 적는다. 사전좌표와 크게 다르면 사유를 소견에 남긴다.</t>
        </is>
      </c>
    </row>
    <row r="18">
      <c r="A18" s="11" t="inlineStr">
        <is>
          <t>위도</t>
        </is>
      </c>
      <c r="B18" s="18" t="n"/>
      <c r="C18" s="11" t="inlineStr">
        <is>
          <t>경도</t>
        </is>
      </c>
      <c r="D18" s="18" t="n"/>
      <c r="E18" s="11" t="inlineStr">
        <is>
          <t>취득방법</t>
        </is>
      </c>
      <c r="F18" s="8" t="n"/>
      <c r="G18" s="11" t="inlineStr">
        <is>
          <t>사전값 대비(m)</t>
        </is>
      </c>
      <c r="H18" s="19">
        <f>IF(COUNT(B18,D18)&lt;2,"",ROUND(SQRT(((127.62296883333333-D18)*111320*COS(RADIANS(35.54250855555556)))^2+((35.54250855555556-B18)*110574)^2),1))</f>
        <v/>
      </c>
    </row>
    <row r="20" ht="20" customHeight="1">
      <c r="A20" s="14" t="inlineStr">
        <is>
          <t>3. 수평 자기구배 — 방향마다 P0 재측정</t>
        </is>
      </c>
    </row>
    <row r="21" ht="42" customHeight="1">
      <c r="A21" s="15" t="inlineStr">
        <is>
          <t>한 방향을 다 잰 뒤 반드시 P0 로 돌아와 다시 잰다. 시각은 «시:분:초»까지 적는다 — 사무실에서 이 시각으로 시간변화를 보정한다. 참고값: 반경 10 m 내 «4개 방위 측선의 관측점에서» 50 nT · 구배 3 nT/m — 국제 권고일 뿐이고 **국내 기준은 없다**. 이 탐사가 그 기준을 만들 자료를 모으는 것이므로, 참고값을 넘었다고 현장에서 탈락시키지 말고 «그대로 기록»한다. 측선 사이와 대각선은 재지 않으니 「반경 10 m 전체」라고 말할 수도 없다. 판정은 사무실에서 한다.</t>
        </is>
      </c>
    </row>
    <row r="22">
      <c r="A22" s="11" t="inlineStr">
        <is>
          <t>Set ID 접두</t>
        </is>
      </c>
      <c r="B22" s="12">
        <f>"S50-H"&amp;"(방향)"</f>
        <v/>
      </c>
      <c r="D22" s="11" t="inlineStr">
        <is>
          <t>차수(Attempt)</t>
        </is>
      </c>
      <c r="E22" s="8" t="n"/>
      <c r="F22" s="11" t="inlineStr">
        <is>
          <t>실측거리 사용</t>
        </is>
      </c>
      <c r="G22" s="8" t="n"/>
      <c r="H22" s="11" t="inlineStr">
        <is>
          <t>중단 시 → 차수 올려 새 Set</t>
        </is>
      </c>
    </row>
    <row r="23" ht="18" customHeight="1">
      <c r="A23" s="11" t="inlineStr">
        <is>
          <t>거리(m)</t>
        </is>
      </c>
      <c r="B23" s="11" t="inlineStr">
        <is>
          <t>동 시각</t>
        </is>
      </c>
      <c r="C23" s="11" t="inlineStr">
        <is>
          <t>동 F(nT)</t>
        </is>
      </c>
      <c r="D23" s="11" t="inlineStr">
        <is>
          <t>서 시각</t>
        </is>
      </c>
      <c r="E23" s="11" t="inlineStr">
        <is>
          <t>서 F(nT)</t>
        </is>
      </c>
      <c r="F23" s="11" t="inlineStr">
        <is>
          <t>남 시각</t>
        </is>
      </c>
      <c r="G23" s="11" t="inlineStr">
        <is>
          <t>남 F(nT)</t>
        </is>
      </c>
      <c r="H23" s="11" t="inlineStr">
        <is>
          <t>북 시각</t>
        </is>
      </c>
      <c r="I23" s="11" t="inlineStr">
        <is>
          <t>북 F(nT)</t>
        </is>
      </c>
    </row>
    <row r="24">
      <c r="A24" s="20" t="inlineStr">
        <is>
          <t>P0(전)</t>
        </is>
      </c>
      <c r="B24" s="21" t="n"/>
      <c r="C24" s="22" t="n"/>
      <c r="D24" s="21" t="n"/>
      <c r="E24" s="22" t="n"/>
      <c r="F24" s="21" t="n"/>
      <c r="G24" s="22" t="n"/>
      <c r="H24" s="21" t="n"/>
      <c r="I24" s="22" t="n"/>
    </row>
    <row r="25">
      <c r="A25" s="11" t="inlineStr">
        <is>
          <t>0.5 m</t>
        </is>
      </c>
      <c r="B25" s="23" t="n"/>
      <c r="C25" s="17" t="n"/>
      <c r="D25" s="23" t="n"/>
      <c r="E25" s="17" t="n"/>
      <c r="F25" s="23" t="n"/>
      <c r="G25" s="17" t="n"/>
      <c r="H25" s="23" t="n"/>
      <c r="I25" s="17" t="n"/>
    </row>
    <row r="26">
      <c r="A26" s="11" t="inlineStr">
        <is>
          <t>1 m</t>
        </is>
      </c>
      <c r="B26" s="23" t="n"/>
      <c r="C26" s="17" t="n"/>
      <c r="D26" s="23" t="n"/>
      <c r="E26" s="17" t="n"/>
      <c r="F26" s="23" t="n"/>
      <c r="G26" s="17" t="n"/>
      <c r="H26" s="23" t="n"/>
      <c r="I26" s="17" t="n"/>
    </row>
    <row r="27">
      <c r="A27" s="11" t="inlineStr">
        <is>
          <t>2 m</t>
        </is>
      </c>
      <c r="B27" s="23" t="n"/>
      <c r="C27" s="17" t="n"/>
      <c r="D27" s="23" t="n"/>
      <c r="E27" s="17" t="n"/>
      <c r="F27" s="23" t="n"/>
      <c r="G27" s="17" t="n"/>
      <c r="H27" s="23" t="n"/>
      <c r="I27" s="17" t="n"/>
    </row>
    <row r="28">
      <c r="A28" s="11" t="inlineStr">
        <is>
          <t>3 m</t>
        </is>
      </c>
      <c r="B28" s="23" t="n"/>
      <c r="C28" s="17" t="n"/>
      <c r="D28" s="23" t="n"/>
      <c r="E28" s="17" t="n"/>
      <c r="F28" s="23" t="n"/>
      <c r="G28" s="17" t="n"/>
      <c r="H28" s="23" t="n"/>
      <c r="I28" s="17" t="n"/>
    </row>
    <row r="29">
      <c r="A29" s="11" t="inlineStr">
        <is>
          <t>4 m</t>
        </is>
      </c>
      <c r="B29" s="23" t="n"/>
      <c r="C29" s="17" t="n"/>
      <c r="D29" s="23" t="n"/>
      <c r="E29" s="17" t="n"/>
      <c r="F29" s="23" t="n"/>
      <c r="G29" s="17" t="n"/>
      <c r="H29" s="23" t="n"/>
      <c r="I29" s="17" t="n"/>
    </row>
    <row r="30">
      <c r="A30" s="11" t="inlineStr">
        <is>
          <t>5 m</t>
        </is>
      </c>
      <c r="B30" s="23" t="n"/>
      <c r="C30" s="17" t="n"/>
      <c r="D30" s="23" t="n"/>
      <c r="E30" s="17" t="n"/>
      <c r="F30" s="23" t="n"/>
      <c r="G30" s="17" t="n"/>
      <c r="H30" s="23" t="n"/>
      <c r="I30" s="17" t="n"/>
    </row>
    <row r="31">
      <c r="A31" s="11" t="inlineStr">
        <is>
          <t>6 m</t>
        </is>
      </c>
      <c r="B31" s="23" t="n"/>
      <c r="C31" s="17" t="n"/>
      <c r="D31" s="23" t="n"/>
      <c r="E31" s="17" t="n"/>
      <c r="F31" s="23" t="n"/>
      <c r="G31" s="17" t="n"/>
      <c r="H31" s="23" t="n"/>
      <c r="I31" s="17" t="n"/>
    </row>
    <row r="32">
      <c r="A32" s="11" t="inlineStr">
        <is>
          <t>7 m</t>
        </is>
      </c>
      <c r="B32" s="23" t="n"/>
      <c r="C32" s="17" t="n"/>
      <c r="D32" s="23" t="n"/>
      <c r="E32" s="17" t="n"/>
      <c r="F32" s="23" t="n"/>
      <c r="G32" s="17" t="n"/>
      <c r="H32" s="23" t="n"/>
      <c r="I32" s="17" t="n"/>
    </row>
    <row r="33">
      <c r="A33" s="11" t="inlineStr">
        <is>
          <t>8 m</t>
        </is>
      </c>
      <c r="B33" s="23" t="n"/>
      <c r="C33" s="17" t="n"/>
      <c r="D33" s="23" t="n"/>
      <c r="E33" s="17" t="n"/>
      <c r="F33" s="23" t="n"/>
      <c r="G33" s="17" t="n"/>
      <c r="H33" s="23" t="n"/>
      <c r="I33" s="17" t="n"/>
    </row>
    <row r="34">
      <c r="A34" s="11" t="inlineStr">
        <is>
          <t>9 m</t>
        </is>
      </c>
      <c r="B34" s="23" t="n"/>
      <c r="C34" s="17" t="n"/>
      <c r="D34" s="23" t="n"/>
      <c r="E34" s="17" t="n"/>
      <c r="F34" s="23" t="n"/>
      <c r="G34" s="17" t="n"/>
      <c r="H34" s="23" t="n"/>
      <c r="I34" s="17" t="n"/>
    </row>
    <row r="35">
      <c r="A35" s="11" t="inlineStr">
        <is>
          <t>10 m</t>
        </is>
      </c>
      <c r="B35" s="23" t="n"/>
      <c r="C35" s="17" t="n"/>
      <c r="D35" s="23" t="n"/>
      <c r="E35" s="17" t="n"/>
      <c r="F35" s="23" t="n"/>
      <c r="G35" s="17" t="n"/>
      <c r="H35" s="23" t="n"/>
      <c r="I35" s="17" t="n"/>
    </row>
    <row r="36">
      <c r="A36" s="20" t="inlineStr">
        <is>
          <t>P0(후)</t>
        </is>
      </c>
      <c r="B36" s="21" t="n"/>
      <c r="C36" s="22" t="n"/>
      <c r="D36" s="21" t="n"/>
      <c r="E36" s="22" t="n"/>
      <c r="F36" s="21" t="n"/>
      <c r="G36" s="22" t="n"/>
      <c r="H36" s="21" t="n"/>
      <c r="I36" s="22" t="n"/>
    </row>
    <row r="37">
      <c r="A37" s="11" t="inlineStr">
        <is>
          <t>P0 전후차(nT)</t>
        </is>
      </c>
      <c r="B37" s="11" t="inlineStr"/>
      <c r="C37" s="19">
        <f>IF(COUNT(C24,C36)&lt;2,"",C36-C24)</f>
        <v/>
      </c>
      <c r="D37" s="11" t="inlineStr"/>
      <c r="E37" s="19">
        <f>IF(COUNT(E24,E36)&lt;2,"",E36-E24)</f>
        <v/>
      </c>
      <c r="F37" s="11" t="inlineStr"/>
      <c r="G37" s="19">
        <f>IF(COUNT(G24,G36)&lt;2,"",G36-G24)</f>
        <v/>
      </c>
      <c r="H37" s="11" t="inlineStr"/>
      <c r="I37" s="19">
        <f>IF(COUNT(I24,I36)&lt;2,"",I36-I24)</f>
        <v/>
      </c>
    </row>
    <row r="38">
      <c r="A38" s="11" t="inlineStr">
        <is>
          <t>관측값 max−min(nT)</t>
        </is>
      </c>
      <c r="B38" s="11" t="inlineStr"/>
      <c r="C38" s="19">
        <f>IF(COUNT(C25:C35)=0,"",MAX(C25:C35)-MIN(C25:C35))</f>
        <v/>
      </c>
      <c r="D38" s="11" t="inlineStr"/>
      <c r="E38" s="19">
        <f>IF(COUNT(E25:E35)=0,"",MAX(E25:E35)-MIN(E25:E35))</f>
        <v/>
      </c>
      <c r="F38" s="11" t="inlineStr"/>
      <c r="G38" s="19">
        <f>IF(COUNT(G25:G35)=0,"",MAX(G25:G35)-MIN(G25:G35))</f>
        <v/>
      </c>
      <c r="H38" s="11" t="inlineStr"/>
      <c r="I38" s="19">
        <f>IF(COUNT(I25:I35)=0,"",MAX(I25:I35)-MIN(I25:I35))</f>
        <v/>
      </c>
    </row>
    <row r="39" ht="26" customHeight="1">
      <c r="A39" s="13" t="inlineStr">
        <is>
          <t>⚠ P0 전후차가 크면(수십 nT) 그 구간에 자기장이 크게 흔들린 것이다 — 다시 재거나 소견에 적는다. 위 두 값은 «보정 전» 참고치이며 판정값이 아니다.  ※ 판독은 위치당 1회(기기 내부평균) 기준이다. 값이 의심스러우면 차수를 올려 그 방향을 통째로 다시 잰다.</t>
        </is>
      </c>
    </row>
    <row r="40">
      <c r="A40" s="11" t="inlineStr">
        <is>
          <t>완전성 점검</t>
        </is>
      </c>
      <c r="B40" s="11" t="inlineStr">
        <is>
          <t>필수행 다 채움</t>
        </is>
      </c>
      <c r="C40" s="11" t="inlineStr">
        <is>
          <t>시각 시:분:초</t>
        </is>
      </c>
      <c r="D40" s="11" t="inlineStr">
        <is>
          <t>P0 전·후 있음</t>
        </is>
      </c>
      <c r="E40" s="11" t="inlineStr">
        <is>
          <t>측정시각 P0 사이</t>
        </is>
      </c>
      <c r="F40" s="11" t="inlineStr">
        <is>
          <t>Variometer 연결</t>
        </is>
      </c>
      <c r="G40" s="11" t="inlineStr">
        <is>
          <t>하나라도 아니오 → 철수 전 보완</t>
        </is>
      </c>
    </row>
    <row r="41">
      <c r="A41" s="11" t="inlineStr">
        <is>
          <t>예 / 아니오</t>
        </is>
      </c>
      <c r="B41" s="8" t="n"/>
      <c r="C41" s="8" t="n"/>
      <c r="D41" s="8" t="n"/>
      <c r="E41" s="8" t="n"/>
      <c r="F41" s="8" t="n"/>
      <c r="G41" s="8" t="n"/>
    </row>
    <row r="43" ht="20" customHeight="1">
      <c r="A43" s="14" t="inlineStr">
        <is>
          <t>4. 수직 자기구배 — 중심점(P0)에서 높이별</t>
        </is>
      </c>
    </row>
    <row r="44" ht="16" customHeight="1">
      <c r="A44" s="15" t="inlineStr">
        <is>
          <t>기준높이에서 시작·종료 두 번 잰다. 실제 센서 «중심» 높이를 적는다 — 목표 높이만으로는 재현되지 않는다.</t>
        </is>
      </c>
    </row>
    <row r="45">
      <c r="A45" s="11" t="inlineStr">
        <is>
          <t>Set ID</t>
        </is>
      </c>
      <c r="B45" s="12">
        <f>"S50-V"</f>
        <v/>
      </c>
      <c r="C45" s="11" t="inlineStr">
        <is>
          <t>차수</t>
        </is>
      </c>
      <c r="D45" s="8" t="n"/>
      <c r="E45" s="11" t="inlineStr">
        <is>
          <t>측정 기준면</t>
        </is>
      </c>
      <c r="F45" s="8" t="n"/>
      <c r="G45" s="11" t="inlineStr">
        <is>
          <t>기준높이(cm)</t>
        </is>
      </c>
      <c r="H45" s="24" t="n"/>
    </row>
    <row r="46">
      <c r="A46" s="11" t="inlineStr">
        <is>
          <t>명목 높이(cm)</t>
        </is>
      </c>
      <c r="B46" s="11" t="inlineStr">
        <is>
          <t>실제 높이(cm)</t>
        </is>
      </c>
      <c r="C46" s="11" t="inlineStr">
        <is>
          <t>시각</t>
        </is>
      </c>
      <c r="D46" s="11" t="inlineStr">
        <is>
          <t>F(nT)</t>
        </is>
      </c>
      <c r="E46" s="11" t="inlineStr">
        <is>
          <t>비고</t>
        </is>
      </c>
    </row>
    <row r="47">
      <c r="A47" s="20" t="inlineStr">
        <is>
          <t>기준(전)</t>
        </is>
      </c>
      <c r="B47" s="22" t="n"/>
      <c r="C47" s="21" t="n"/>
      <c r="D47" s="22" t="n"/>
      <c r="E47" s="8" t="n"/>
    </row>
    <row r="48">
      <c r="A48" s="11" t="inlineStr">
        <is>
          <t>20 cm</t>
        </is>
      </c>
      <c r="B48" s="17" t="n"/>
      <c r="C48" s="23" t="n"/>
      <c r="D48" s="17" t="n"/>
      <c r="E48" s="8" t="n"/>
    </row>
    <row r="49">
      <c r="A49" s="11" t="inlineStr">
        <is>
          <t>40 cm</t>
        </is>
      </c>
      <c r="B49" s="17" t="n"/>
      <c r="C49" s="23" t="n"/>
      <c r="D49" s="17" t="n"/>
      <c r="E49" s="8" t="n"/>
    </row>
    <row r="50">
      <c r="A50" s="11" t="inlineStr">
        <is>
          <t>60 cm</t>
        </is>
      </c>
      <c r="B50" s="17" t="n"/>
      <c r="C50" s="23" t="n"/>
      <c r="D50" s="17" t="n"/>
      <c r="E50" s="8" t="n"/>
    </row>
    <row r="51">
      <c r="A51" s="11" t="inlineStr">
        <is>
          <t>80 cm</t>
        </is>
      </c>
      <c r="B51" s="17" t="n"/>
      <c r="C51" s="23" t="n"/>
      <c r="D51" s="17" t="n"/>
      <c r="E51" s="8" t="n"/>
    </row>
    <row r="52">
      <c r="A52" s="11" t="inlineStr">
        <is>
          <t>100 cm</t>
        </is>
      </c>
      <c r="B52" s="17" t="n"/>
      <c r="C52" s="23" t="n"/>
      <c r="D52" s="17" t="n"/>
      <c r="E52" s="8" t="n"/>
    </row>
    <row r="53">
      <c r="A53" s="11" t="inlineStr">
        <is>
          <t>120 cm</t>
        </is>
      </c>
      <c r="B53" s="17" t="n"/>
      <c r="C53" s="23" t="n"/>
      <c r="D53" s="17" t="n"/>
      <c r="E53" s="8" t="n"/>
    </row>
    <row r="54">
      <c r="A54" s="11" t="inlineStr">
        <is>
          <t>140 cm</t>
        </is>
      </c>
      <c r="B54" s="17" t="n"/>
      <c r="C54" s="23" t="n"/>
      <c r="D54" s="17" t="n"/>
      <c r="E54" s="8" t="n"/>
    </row>
    <row r="55">
      <c r="A55" s="11" t="inlineStr">
        <is>
          <t>160 cm</t>
        </is>
      </c>
      <c r="B55" s="17" t="n"/>
      <c r="C55" s="23" t="n"/>
      <c r="D55" s="17" t="n"/>
      <c r="E55" s="8" t="n"/>
    </row>
    <row r="56">
      <c r="A56" s="11" t="inlineStr">
        <is>
          <t>180 cm</t>
        </is>
      </c>
      <c r="B56" s="17" t="n"/>
      <c r="C56" s="23" t="n"/>
      <c r="D56" s="17" t="n"/>
      <c r="E56" s="8" t="n"/>
    </row>
    <row r="57">
      <c r="A57" s="11" t="inlineStr">
        <is>
          <t>200 cm</t>
        </is>
      </c>
      <c r="B57" s="17" t="n"/>
      <c r="C57" s="23" t="n"/>
      <c r="D57" s="17" t="n"/>
      <c r="E57" s="8" t="n"/>
    </row>
    <row r="58">
      <c r="A58" s="20" t="inlineStr">
        <is>
          <t>기준(후)</t>
        </is>
      </c>
      <c r="B58" s="22" t="n"/>
      <c r="C58" s="21" t="n"/>
      <c r="D58" s="22" t="n"/>
      <c r="E58" s="8" t="n"/>
    </row>
    <row r="59">
      <c r="A59" s="11" t="inlineStr">
        <is>
          <t>F max−min(nT)</t>
        </is>
      </c>
      <c r="B59" s="8" t="n"/>
      <c r="C59" s="8" t="n"/>
      <c r="D59" s="19">
        <f>IF(COUNT(D48:D57)=0,"",MAX(D48:D57)-MIN(D48:D57))</f>
        <v/>
      </c>
      <c r="E59" s="12">
        <f>"측정 높이 구간의 총자기장 변화폭 (참고)"</f>
        <v/>
      </c>
    </row>
    <row r="61" ht="20" customHeight="1">
      <c r="A61" s="14" t="inlineStr">
        <is>
          <t>5. 방위표지 시준 — 기준점 → 표지 방향 (진북 · 북 0° · 시계방향)</t>
        </is>
      </c>
    </row>
    <row r="62" ht="29" customHeight="1">
      <c r="A62" s="15" t="inlineStr">
        <is>
          <t>원시각은 곤(gon, 1회전 400 · 대척 200)으로 적는다. 폐합차가 0.02 gon(약 65″)을 넘으면 다시 시준한다. ⚠ 폐합차가 작아도 «참방위각이 틀릴 수» 있다 — 그래서 표지 좌표·취득방법·기존 확정값을 함께 남긴다. 재방문 잔여 RMS 33.7′ 의 원인이 바로 방문마다 달라진 참방위각이었다.</t>
        </is>
      </c>
    </row>
    <row r="63">
      <c r="A63" s="11" t="inlineStr">
        <is>
          <t>표지</t>
        </is>
      </c>
      <c r="B63" s="11" t="inlineStr">
        <is>
          <t>Mark ID</t>
        </is>
      </c>
      <c r="C63" s="11" t="inlineStr">
        <is>
          <t>시준 지점(표지의 어디)</t>
        </is>
      </c>
      <c r="E63" s="11" t="inlineStr">
        <is>
          <t>표지 위도</t>
        </is>
      </c>
      <c r="F63" s="11" t="inlineStr">
        <is>
          <t>표지 경도</t>
        </is>
      </c>
      <c r="G63" s="11" t="inlineStr">
        <is>
          <t>좌표 취득방법</t>
        </is>
      </c>
      <c r="H63" s="11" t="inlineStr">
        <is>
          <t>정확도(m)</t>
        </is>
      </c>
      <c r="I63" s="11" t="inlineStr">
        <is>
          <t>기존 확정값(°)</t>
        </is>
      </c>
    </row>
    <row r="64">
      <c r="A64" s="11" t="inlineStr">
        <is>
          <t>방위표지1</t>
        </is>
      </c>
      <c r="B64" s="12">
        <f>"S50-M1"</f>
        <v/>
      </c>
      <c r="C64" s="8" t="n"/>
      <c r="E64" s="18" t="n"/>
      <c r="F64" s="18" t="n"/>
      <c r="G64" s="8" t="n"/>
      <c r="H64" s="25" t="n"/>
      <c r="I64" s="26" t="n"/>
    </row>
    <row r="65">
      <c r="A65" s="11" t="inlineStr">
        <is>
          <t>방위표지2</t>
        </is>
      </c>
      <c r="B65" s="12">
        <f>"S50-M2"</f>
        <v/>
      </c>
      <c r="C65" s="8" t="n"/>
      <c r="E65" s="18" t="n"/>
      <c r="F65" s="18" t="n"/>
      <c r="G65" s="8" t="n"/>
      <c r="H65" s="25" t="n"/>
      <c r="I65" s="26" t="n"/>
    </row>
    <row r="66">
      <c r="A66" s="11" t="inlineStr">
        <is>
          <t>표지</t>
        </is>
      </c>
      <c r="B66" s="11" t="inlineStr">
        <is>
          <t>정 시준(gon)</t>
        </is>
      </c>
      <c r="C66" s="11" t="inlineStr">
        <is>
          <t>반 시준(gon)</t>
        </is>
      </c>
      <c r="D66" s="11" t="inlineStr">
        <is>
          <t>폐합차(gon)</t>
        </is>
      </c>
      <c r="E66" s="11" t="inlineStr">
        <is>
          <t>참방위각(gon)</t>
        </is>
      </c>
      <c r="F66" s="11" t="inlineStr">
        <is>
          <t>결정방법</t>
        </is>
      </c>
      <c r="G66" s="11" t="inlineStr">
        <is>
          <t>표지 변경 여부 · 사유</t>
        </is>
      </c>
    </row>
    <row r="67">
      <c r="A67" s="11" t="inlineStr">
        <is>
          <t>방위표지1</t>
        </is>
      </c>
      <c r="B67" s="26" t="n"/>
      <c r="C67" s="26" t="n"/>
      <c r="D67" s="27">
        <f>IF(COUNT(B67:C67)&lt;2,"",ABS(ABS(C67-B67)-200))</f>
        <v/>
      </c>
      <c r="E67" s="26" t="n"/>
      <c r="F67" s="8" t="n"/>
      <c r="G67" s="8" t="n"/>
    </row>
    <row r="68">
      <c r="A68" s="11" t="inlineStr">
        <is>
          <t>방위표지2</t>
        </is>
      </c>
      <c r="B68" s="26" t="n"/>
      <c r="C68" s="26" t="n"/>
      <c r="D68" s="27">
        <f>IF(COUNT(B68:C68)&lt;2,"",ABS(ABS(C68-B68)-200))</f>
        <v/>
      </c>
      <c r="E68" s="26" t="n"/>
      <c r="F68" s="8" t="n"/>
      <c r="G68" s="8" t="n"/>
    </row>
    <row r="70" ht="20" customHeight="1">
      <c r="A70" s="14" t="inlineStr">
        <is>
          <t>6. 현장 사진</t>
        </is>
      </c>
    </row>
    <row r="71" ht="42" customHeight="1">
      <c r="A71" s="15" t="inlineStr">
        <is>
          <t>상자 안에 사진을 붙이고 아래 칸에 «원본 파일명»과 촬영시각을 적는다. 명명규칙은 {S50}_{VisitID}_{코드}_{연번} 이다(코드: P0·MEAS·M1·M2·E·W·S·N·INT). ⚠ 파일명만으로는 카메라 간 중복·이름 변경·복사 누락을 잡지 못하므로 촬영시각을 함께 남긴다. 방위별 전경은 «중심점에 서서» 그 방향을 보고, **측선과 10 m 종점이 보이게** 찍는다 — 구배가 큰 방향의 원인을 사진으로 되짚는다. 자기교란 요소는 P0 와의 방향·거리가 보이는 관계사진과 근접사진을 함께 담고, 여러 개면 소견에 목록을 적는다.</t>
        </is>
      </c>
    </row>
    <row r="72">
      <c r="A72" s="11" t="inlineStr">
        <is>
          <t>중심점(P0) 전경</t>
        </is>
      </c>
      <c r="D72" s="11" t="inlineStr">
        <is>
          <t>측정 모습</t>
        </is>
      </c>
      <c r="G72" s="11" t="inlineStr">
        <is>
          <t>방위표지1</t>
        </is>
      </c>
    </row>
    <row r="73" ht="15" customHeight="1">
      <c r="A73" s="28" t="inlineStr">
        <is>
          <t>[ 표석·마커가 보이게 ]</t>
        </is>
      </c>
      <c r="B73" s="29" t="n"/>
      <c r="C73" s="29" t="n"/>
      <c r="D73" s="28" t="inlineStr">
        <is>
          <t>[ 센서 높이를 알 수 있게 ]</t>
        </is>
      </c>
      <c r="E73" s="29" t="n"/>
      <c r="F73" s="29" t="n"/>
      <c r="G73" s="28" t="inlineStr">
        <is>
          <t>[ 시준 지점이 보이게 ]</t>
        </is>
      </c>
      <c r="H73" s="29" t="n"/>
      <c r="I73" s="29" t="n"/>
    </row>
    <row r="74" ht="15" customHeight="1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</row>
    <row r="75" ht="15" customHeight="1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</row>
    <row r="76" ht="15" customHeight="1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</row>
    <row r="77" ht="15" customHeight="1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</row>
    <row r="78" ht="15" customHeight="1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</row>
    <row r="79" ht="15" customHeight="1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</row>
    <row r="80" ht="15" customHeight="1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</row>
    <row r="81">
      <c r="A81" s="11" t="inlineStr">
        <is>
          <t>파일명</t>
        </is>
      </c>
      <c r="B81" s="8" t="n"/>
      <c r="D81" s="11" t="inlineStr">
        <is>
          <t>파일명</t>
        </is>
      </c>
      <c r="E81" s="8" t="n"/>
      <c r="G81" s="11" t="inlineStr">
        <is>
          <t>파일명</t>
        </is>
      </c>
      <c r="H81" s="8" t="n"/>
    </row>
    <row r="82">
      <c r="A82" s="11" t="inlineStr">
        <is>
          <t>촬영시각</t>
        </is>
      </c>
      <c r="B82" s="23" t="n"/>
      <c r="D82" s="11" t="inlineStr">
        <is>
          <t>촬영시각</t>
        </is>
      </c>
      <c r="E82" s="23" t="n"/>
      <c r="G82" s="11" t="inlineStr">
        <is>
          <t>촬영시각</t>
        </is>
      </c>
      <c r="H82" s="23" t="n"/>
    </row>
    <row r="83">
      <c r="A83" s="11" t="inlineStr">
        <is>
          <t>동(E) 방향 전경</t>
        </is>
      </c>
      <c r="D83" s="11" t="inlineStr">
        <is>
          <t>서(W) 방향 전경</t>
        </is>
      </c>
      <c r="G83" s="11" t="inlineStr">
        <is>
          <t>남(S) 방향 전경</t>
        </is>
      </c>
    </row>
    <row r="84" ht="15" customHeight="1">
      <c r="A84" s="28" t="inlineStr">
        <is>
          <t>[ 중심점에서 동쪽을 보고 ]</t>
        </is>
      </c>
      <c r="B84" s="29" t="n"/>
      <c r="C84" s="29" t="n"/>
      <c r="D84" s="28" t="inlineStr">
        <is>
          <t>[ 중심점에서 서쪽을 보고 ]</t>
        </is>
      </c>
      <c r="E84" s="29" t="n"/>
      <c r="F84" s="29" t="n"/>
      <c r="G84" s="28" t="inlineStr">
        <is>
          <t>[ 중심점에서 남쪽을 보고 ]</t>
        </is>
      </c>
      <c r="H84" s="29" t="n"/>
      <c r="I84" s="29" t="n"/>
    </row>
    <row r="85" ht="15" customHeight="1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</row>
    <row r="86" ht="15" customHeight="1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</row>
    <row r="87" ht="15" customHeight="1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</row>
    <row r="88" ht="15" customHeight="1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</row>
    <row r="89" ht="15" customHeight="1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</row>
    <row r="90" ht="15" customHeight="1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</row>
    <row r="91" ht="15" customHeight="1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</row>
    <row r="92">
      <c r="A92" s="11" t="inlineStr">
        <is>
          <t>파일명</t>
        </is>
      </c>
      <c r="B92" s="8" t="n"/>
      <c r="D92" s="11" t="inlineStr">
        <is>
          <t>파일명</t>
        </is>
      </c>
      <c r="E92" s="8" t="n"/>
      <c r="G92" s="11" t="inlineStr">
        <is>
          <t>파일명</t>
        </is>
      </c>
      <c r="H92" s="8" t="n"/>
    </row>
    <row r="93">
      <c r="A93" s="11" t="inlineStr">
        <is>
          <t>촬영시각</t>
        </is>
      </c>
      <c r="B93" s="23" t="n"/>
      <c r="D93" s="11" t="inlineStr">
        <is>
          <t>촬영시각</t>
        </is>
      </c>
      <c r="E93" s="23" t="n"/>
      <c r="G93" s="11" t="inlineStr">
        <is>
          <t>촬영시각</t>
        </is>
      </c>
      <c r="H93" s="23" t="n"/>
    </row>
    <row r="94">
      <c r="A94" s="11" t="inlineStr">
        <is>
          <t>북(N) 방향 전경</t>
        </is>
      </c>
      <c r="D94" s="11" t="inlineStr">
        <is>
          <t>방위표지2</t>
        </is>
      </c>
      <c r="G94" s="11" t="inlineStr">
        <is>
          <t>자기교란 요소 · 기타</t>
        </is>
      </c>
    </row>
    <row r="95" ht="15" customHeight="1">
      <c r="A95" s="28" t="inlineStr">
        <is>
          <t>[ 중심점에서 북쪽을 보고 ]</t>
        </is>
      </c>
      <c r="B95" s="29" t="n"/>
      <c r="C95" s="29" t="n"/>
      <c r="D95" s="28" t="inlineStr">
        <is>
          <t>[ 시준 지점이 보이게 ]</t>
        </is>
      </c>
      <c r="E95" s="29" t="n"/>
      <c r="F95" s="29" t="n"/>
      <c r="G95" s="28" t="inlineStr">
        <is>
          <t>[ 없으면 「해당없음」 ]</t>
        </is>
      </c>
      <c r="H95" s="29" t="n"/>
      <c r="I95" s="29" t="n"/>
    </row>
    <row r="96" ht="15" customHeight="1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</row>
    <row r="97" ht="15" customHeight="1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</row>
    <row r="98" ht="15" customHeight="1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</row>
    <row r="99" ht="15" customHeight="1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</row>
    <row r="100" ht="15" customHeight="1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</row>
    <row r="101" ht="15" customHeight="1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</row>
    <row r="102" ht="15" customHeight="1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</row>
    <row r="103">
      <c r="A103" s="11" t="inlineStr">
        <is>
          <t>파일명</t>
        </is>
      </c>
      <c r="B103" s="8" t="n"/>
      <c r="D103" s="11" t="inlineStr">
        <is>
          <t>파일명</t>
        </is>
      </c>
      <c r="E103" s="8" t="n"/>
      <c r="G103" s="11" t="inlineStr">
        <is>
          <t>파일명</t>
        </is>
      </c>
      <c r="H103" s="8" t="n"/>
    </row>
    <row r="104">
      <c r="A104" s="11" t="inlineStr">
        <is>
          <t>촬영시각</t>
        </is>
      </c>
      <c r="B104" s="23" t="n"/>
      <c r="D104" s="11" t="inlineStr">
        <is>
          <t>촬영시각</t>
        </is>
      </c>
      <c r="E104" s="23" t="n"/>
      <c r="G104" s="11" t="inlineStr">
        <is>
          <t>촬영시각</t>
        </is>
      </c>
      <c r="H104" s="23" t="n"/>
    </row>
    <row r="106" ht="20" customHeight="1">
      <c r="A106" s="14" t="inlineStr">
        <is>
          <t>7. 중심점 최종 결정 · 현장 소견</t>
        </is>
      </c>
    </row>
    <row r="107" ht="16" customHeight="1">
      <c r="A107" s="15" t="inlineStr">
        <is>
          <t>구배가 큰 방향이 있으면 후보지 안에서 더 조용한 자리로 중심점을 옮길 수 있다. **옮겼으면 옮긴 자리에서 3·4 를 다시 재야 한다.**</t>
        </is>
      </c>
    </row>
    <row r="108">
      <c r="A108" s="11" t="inlineStr">
        <is>
          <t>중심점 조정</t>
        </is>
      </c>
      <c r="B108" s="8" t="n"/>
      <c r="C108" s="11" t="inlineStr">
        <is>
          <t>최종 위도</t>
        </is>
      </c>
      <c r="D108" s="18" t="n"/>
      <c r="E108" s="11" t="inlineStr">
        <is>
          <t>최종 경도</t>
        </is>
      </c>
      <c r="F108" s="18" t="n"/>
      <c r="G108" s="11" t="inlineStr">
        <is>
          <t>조정 후 재측정</t>
        </is>
      </c>
      <c r="H108" s="8" t="n"/>
    </row>
    <row r="109">
      <c r="A109" s="11" t="inlineStr">
        <is>
          <t>표지 설치</t>
        </is>
      </c>
      <c r="B109" s="8" t="n"/>
      <c r="C109" s="11" t="inlineStr">
        <is>
          <t>철수 시각</t>
        </is>
      </c>
      <c r="D109" s="16" t="n"/>
      <c r="E109" s="11" t="inlineStr">
        <is>
          <t>사진 매수</t>
        </is>
      </c>
      <c r="F109" s="24" t="n"/>
      <c r="G109" s="11" t="inlineStr">
        <is>
          <t>현장 소견(인상)</t>
        </is>
      </c>
      <c r="H109" s="8" t="n"/>
    </row>
    <row r="110" ht="16" customHeight="1">
      <c r="A110" s="11" t="inlineStr">
        <is>
          <t>현장 소견</t>
        </is>
      </c>
      <c r="B110" s="30" t="n"/>
      <c r="C110" s="31" t="n"/>
      <c r="D110" s="31" t="n"/>
      <c r="E110" s="31" t="n"/>
      <c r="F110" s="31" t="n"/>
      <c r="G110" s="31" t="n"/>
      <c r="H110" s="31" t="n"/>
      <c r="I110" s="31" t="n"/>
    </row>
    <row r="111" ht="16" customHeight="1">
      <c r="A111" s="31" t="n"/>
      <c r="B111" s="31" t="n"/>
      <c r="C111" s="31" t="n"/>
      <c r="D111" s="31" t="n"/>
      <c r="E111" s="31" t="n"/>
      <c r="F111" s="31" t="n"/>
      <c r="G111" s="31" t="n"/>
      <c r="H111" s="31" t="n"/>
      <c r="I111" s="31" t="n"/>
    </row>
    <row r="112" ht="16" customHeight="1">
      <c r="A112" s="31" t="n"/>
      <c r="B112" s="31" t="n"/>
      <c r="C112" s="31" t="n"/>
      <c r="D112" s="31" t="n"/>
      <c r="E112" s="31" t="n"/>
      <c r="F112" s="31" t="n"/>
      <c r="G112" s="31" t="n"/>
      <c r="H112" s="31" t="n"/>
      <c r="I112" s="31" t="n"/>
    </row>
    <row r="113" ht="16" customHeight="1">
      <c r="A113" s="31" t="n"/>
      <c r="B113" s="31" t="n"/>
      <c r="C113" s="31" t="n"/>
      <c r="D113" s="31" t="n"/>
      <c r="E113" s="31" t="n"/>
      <c r="F113" s="31" t="n"/>
      <c r="G113" s="31" t="n"/>
      <c r="H113" s="31" t="n"/>
      <c r="I113" s="31" t="n"/>
    </row>
  </sheetData>
  <mergeCells count="93">
    <mergeCell ref="H82:I82"/>
    <mergeCell ref="E55:I55"/>
    <mergeCell ref="B22:C22"/>
    <mergeCell ref="E52:I52"/>
    <mergeCell ref="B93:C93"/>
    <mergeCell ref="C64:D64"/>
    <mergeCell ref="E48:I48"/>
    <mergeCell ref="A2:I2"/>
    <mergeCell ref="C63:D63"/>
    <mergeCell ref="A17:I17"/>
    <mergeCell ref="D73:F80"/>
    <mergeCell ref="A62:I62"/>
    <mergeCell ref="H108:I108"/>
    <mergeCell ref="B13:C13"/>
    <mergeCell ref="D94:F94"/>
    <mergeCell ref="H45:I45"/>
    <mergeCell ref="H81:I81"/>
    <mergeCell ref="A9:I9"/>
    <mergeCell ref="A39:I39"/>
    <mergeCell ref="A83:C83"/>
    <mergeCell ref="H13:I13"/>
    <mergeCell ref="B104:C104"/>
    <mergeCell ref="A61:I61"/>
    <mergeCell ref="E93:F93"/>
    <mergeCell ref="E58:I58"/>
    <mergeCell ref="E50:I50"/>
    <mergeCell ref="H93:I93"/>
    <mergeCell ref="G73:I80"/>
    <mergeCell ref="A71:I71"/>
    <mergeCell ref="D83:F83"/>
    <mergeCell ref="A3:E3"/>
    <mergeCell ref="H11:I11"/>
    <mergeCell ref="E59:I59"/>
    <mergeCell ref="H109:I109"/>
    <mergeCell ref="A10:I10"/>
    <mergeCell ref="G41:I41"/>
    <mergeCell ref="B103:C103"/>
    <mergeCell ref="E46:I46"/>
    <mergeCell ref="E104:F104"/>
    <mergeCell ref="B110:I113"/>
    <mergeCell ref="H12:I12"/>
    <mergeCell ref="E57:I57"/>
    <mergeCell ref="E54:I54"/>
    <mergeCell ref="H104:I104"/>
    <mergeCell ref="A1:I1"/>
    <mergeCell ref="E47:I47"/>
    <mergeCell ref="E56:I56"/>
    <mergeCell ref="A95:C102"/>
    <mergeCell ref="G66:I66"/>
    <mergeCell ref="B81:C81"/>
    <mergeCell ref="E92:F92"/>
    <mergeCell ref="G68:I68"/>
    <mergeCell ref="G83:I83"/>
    <mergeCell ref="G95:I102"/>
    <mergeCell ref="A21:I21"/>
    <mergeCell ref="A5:I5"/>
    <mergeCell ref="C65:D65"/>
    <mergeCell ref="A14:I14"/>
    <mergeCell ref="E103:F103"/>
    <mergeCell ref="E13:F13"/>
    <mergeCell ref="A106:I106"/>
    <mergeCell ref="A4:I4"/>
    <mergeCell ref="B82:C82"/>
    <mergeCell ref="A72:C72"/>
    <mergeCell ref="G94:I94"/>
    <mergeCell ref="A43:I43"/>
    <mergeCell ref="D84:F91"/>
    <mergeCell ref="G40:I40"/>
    <mergeCell ref="H22:I22"/>
    <mergeCell ref="G72:I72"/>
    <mergeCell ref="B92:C92"/>
    <mergeCell ref="D95:F102"/>
    <mergeCell ref="E81:F81"/>
    <mergeCell ref="A84:C91"/>
    <mergeCell ref="A6:I6"/>
    <mergeCell ref="H92:I92"/>
    <mergeCell ref="A16:I16"/>
    <mergeCell ref="H103:I103"/>
    <mergeCell ref="E82:F82"/>
    <mergeCell ref="D72:F72"/>
    <mergeCell ref="E51:I51"/>
    <mergeCell ref="G84:I91"/>
    <mergeCell ref="A20:I20"/>
    <mergeCell ref="H7:I7"/>
    <mergeCell ref="A44:I44"/>
    <mergeCell ref="E49:I49"/>
    <mergeCell ref="A73:C80"/>
    <mergeCell ref="A107:I107"/>
    <mergeCell ref="A94:C94"/>
    <mergeCell ref="G67:I67"/>
    <mergeCell ref="H18:I18"/>
    <mergeCell ref="A70:I70"/>
    <mergeCell ref="E53:I53"/>
  </mergeCells>
  <dataValidations count="24">
    <dataValidation sqref="B7" showDropDown="0" showInputMessage="0" showErrorMessage="0" allowBlank="1" type="list">
      <formula1>"확인 — 전부 제거,일부 미제거(사유 기재)"</formula1>
    </dataValidation>
    <dataValidation sqref="D7" showDropDown="0" showInputMessage="0" showErrorMessage="0" allowBlank="1" type="list">
      <formula1>"확인 — 측정범위 밖,근접(거리 기재)"</formula1>
    </dataValidation>
    <dataValidation sqref="F7" showDropDown="0" showInputMessage="0" showErrorMessage="0" allowBlank="1" type="list">
      <formula1>"확인 — 전원 차단,가동 중(사유 기재)"</formula1>
    </dataValidation>
    <dataValidation sqref="H11" showDropDown="0" showInputMessage="0" showErrorMessage="0" allowBlank="1" type="list">
      <formula1>"맑음,흐림,비,눈,바람 강함"</formula1>
    </dataValidation>
    <dataValidation sqref="D12" showDropDown="0" showInputMessage="0" showErrorMessage="0" allowBlank="1" type="list">
      <formula1>"정온,교란 예보,미확인"</formula1>
    </dataValidation>
    <dataValidation sqref="H12" showDropDown="0" showInputMessage="0" showErrorMessage="0" allowBlank="1" type="list">
      <formula1>"운용 — 연속기록,미운용"</formula1>
    </dataValidation>
    <dataValidation sqref="F18" showDropDown="0" showInputMessage="0" showErrorMessage="0" allowBlank="1" type="list">
      <formula1>"RTK-GNSS,네트워크RTK,정적GNSS,휴대GNSS"</formula1>
    </dataValidation>
    <dataValidation sqref="E22" showDropDown="0" showInputMessage="0" showErrorMessage="0" allowBlank="1" type="list">
      <formula1>"1,2,3"</formula1>
    </dataValidation>
    <dataValidation sqref="G22" showDropDown="0" showInputMessage="0" showErrorMessage="0" allowBlank="1" type="list">
      <formula1>"명목거리 그대로,실측(비고에 기재)"</formula1>
    </dataValidation>
    <dataValidation sqref="B41" showDropDown="0" showInputMessage="0" showErrorMessage="0" allowBlank="1" type="list">
      <formula1>"예,아니오"</formula1>
    </dataValidation>
    <dataValidation sqref="C41" showDropDown="0" showInputMessage="0" showErrorMessage="0" allowBlank="1" type="list">
      <formula1>"예,아니오"</formula1>
    </dataValidation>
    <dataValidation sqref="D41" showDropDown="0" showInputMessage="0" showErrorMessage="0" allowBlank="1" type="list">
      <formula1>"예,아니오"</formula1>
    </dataValidation>
    <dataValidation sqref="E41" showDropDown="0" showInputMessage="0" showErrorMessage="0" allowBlank="1" type="list">
      <formula1>"예,아니오"</formula1>
    </dataValidation>
    <dataValidation sqref="F41" showDropDown="0" showInputMessage="0" showErrorMessage="0" allowBlank="1" type="list">
      <formula1>"예,아니오"</formula1>
    </dataValidation>
    <dataValidation sqref="D45" showDropDown="0" showInputMessage="0" showErrorMessage="0" allowBlank="1" type="list">
      <formula1>"1,2,3"</formula1>
    </dataValidation>
    <dataValidation sqref="F45" showDropDown="0" showInputMessage="0" showErrorMessage="0" allowBlank="1" type="list">
      <formula1>"지면,표석 상면"</formula1>
    </dataValidation>
    <dataValidation sqref="G64" showDropDown="0" showInputMessage="0" showErrorMessage="0" allowBlank="1" type="list">
      <formula1>"RTK-GNSS,네트워크RTK,정적GNSS,휴대GNSS,기존 성과 인용"</formula1>
    </dataValidation>
    <dataValidation sqref="G65" showDropDown="0" showInputMessage="0" showErrorMessage="0" allowBlank="1" type="list">
      <formula1>"RTK-GNSS,네트워크RTK,정적GNSS,휴대GNSS,기존 성과 인용"</formula1>
    </dataValidation>
    <dataValidation sqref="F67" showDropDown="0" showInputMessage="0" showErrorMessage="0" allowBlank="1" type="list">
      <formula1>"천문관측,자이로,RTK 장기선,좌표계산,기존 성과 인용"</formula1>
    </dataValidation>
    <dataValidation sqref="F68" showDropDown="0" showInputMessage="0" showErrorMessage="0" allowBlank="1" type="list">
      <formula1>"천문관측,자이로,RTK 장기선,좌표계산,기존 성과 인용"</formula1>
    </dataValidation>
    <dataValidation sqref="B108" showDropDown="0" showInputMessage="0" showErrorMessage="0" allowBlank="1" type="list">
      <formula1>"조정 없음,조정함"</formula1>
    </dataValidation>
    <dataValidation sqref="H108" showDropDown="0" showInputMessage="0" showErrorMessage="0" allowBlank="1" type="list">
      <formula1>"재측정 완료,미실시 — 잠정,해당없음"</formula1>
    </dataValidation>
    <dataValidation sqref="B109" showDropDown="0" showInputMessage="0" showErrorMessage="0" allowBlank="1" type="list">
      <formula1>"설치 완료,미설치"</formula1>
    </dataValidation>
    <dataValidation sqref="H109" showDropDown="0" showInputMessage="0" showErrorMessage="0" allowBlank="1" type="list">
      <formula1>"조용해 보임,보통,교란 뚜렷,재측정 필요"</formula1>
    </dataValidation>
  </dataValidations>
  <pageMargins left="0.75" right="0.75" top="1" bottom="1" header="0.5" footer="0.5"/>
  <pageSetup orientation="landscape" fitToHeight="0" fitToWidth="1"/>
  <headerFooter>
    <oddHeader>&amp;R&amp;9 S50 함양</oddHeader>
    <oddFooter>&amp;C&amp;9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2026-09-07T07:48:27Z</dcterms:created>
  <dcterms:modified xmlns:dcterms="http://purl.org/dc/terms/" xmlns:xsi="http://www.w3.org/2001/XMLSchema-instance" xsi:type="dcterms:W3CDTF">2026-09-07T07:48:28Z</dcterms:modified>
</cp:coreProperties>
</file>