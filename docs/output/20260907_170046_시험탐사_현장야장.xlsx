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Titles" localSheetId="1">'01_태백 신규점'!$1:$3</definedName>
    <definedName name="_xlnm.Print_Area" localSheetId="1">'01_태백 신규점'!$A$1:$I$114</definedName>
    <definedName name="_xlnm.Print_Titles" localSheetId="2">'02_임계 신규점1'!$1:$3</definedName>
    <definedName name="_xlnm.Print_Area" localSheetId="2">'02_임계 신규점1'!$A$1:$I$114</definedName>
    <definedName name="_xlnm.Print_Titles" localSheetId="3">'03_예산 신규점2'!$1:$3</definedName>
    <definedName name="_xlnm.Print_Area" localSheetId="3">'03_예산 신규점2'!$A$1:$I$114</definedName>
    <definedName name="_xlnm.Print_Titles" localSheetId="4">'04_진안 신규점1'!$1:$3</definedName>
    <definedName name="_xlnm.Print_Area" localSheetId="4">'04_진안 신규점1'!$A$1:$I$114</definedName>
    <definedName name="_xlnm.Print_Titles" localSheetId="5">'05_무풍 신규점1'!$1:$3</definedName>
    <definedName name="_xlnm.Print_Area" localSheetId="5">'05_무풍 신규점1'!$A$1:$I$114</definedName>
    <definedName name="_xlnm.Print_Titles" localSheetId="6">'06_길담 신규점'!$1:$3</definedName>
    <definedName name="_xlnm.Print_Area" localSheetId="6">'06_길담 신규점'!$A$1:$I$114</definedName>
    <definedName name="_xlnm.Print_Titles" localSheetId="7">'07_남해 신규점1'!$1:$3</definedName>
    <definedName name="_xlnm.Print_Area" localSheetId="7">'07_남해 신규점1'!$A$1:$I$114</definedName>
    <definedName name="_xlnm.Print_Titles" localSheetId="8">'08_청일 신규점2'!$1:$3</definedName>
    <definedName name="_xlnm.Print_Area" localSheetId="8">'08_청일 신규점2'!$A$1:$I$114</definedName>
    <definedName name="_xlnm.Print_Titles" localSheetId="9">'09_어론 신규점'!$1:$3</definedName>
    <definedName name="_xlnm.Print_Area" localSheetId="9">'09_어론 신규점'!$A$1:$I$114</definedName>
    <definedName name="_xlnm.Print_Titles" localSheetId="10">'10_예안 신규점1'!$1:$3</definedName>
    <definedName name="_xlnm.Print_Area" localSheetId="10">'10_예안 신규점1'!$A$1:$I$114</definedName>
    <definedName name="_xlnm.Print_Titles" localSheetId="11">'11_소천 신규점4'!$1:$3</definedName>
    <definedName name="_xlnm.Print_Area" localSheetId="11">'11_소천 신규점4'!$A$1:$I$114</definedName>
    <definedName name="_xlnm.Print_Titles" localSheetId="12">'12_순창 신규점'!$1:$3</definedName>
    <definedName name="_xlnm.Print_Area" localSheetId="12">'12_순창 신규점'!$A$1:$I$114</definedName>
    <definedName name="_xlnm.Print_Titles" localSheetId="13">'13_순천 신규점'!$1:$3</definedName>
    <definedName name="_xlnm.Print_Area" localSheetId="13">'13_순천 신규점'!$A$1:$I$114</definedName>
    <definedName name="_xlnm.Print_Titles" localSheetId="14">'14_청송 신규점1'!$1:$3</definedName>
    <definedName name="_xlnm.Print_Area" localSheetId="14">'14_청송 신규점1'!$A$1:$I$114</definedName>
    <definedName name="_xlnm.Print_Titles" localSheetId="15">'15_의성 신규점'!$1:$3</definedName>
    <definedName name="_xlnm.Print_Area" localSheetId="15">'15_의성 신규점'!$A$1:$I$114</definedName>
    <definedName name="_xlnm.Print_Titles" localSheetId="16">'16_예천 신규점'!$1:$3</definedName>
    <definedName name="_xlnm.Print_Area" localSheetId="16">'16_예천 신규점'!$A$1:$I$114</definedName>
    <definedName name="_xlnm.Print_Titles" localSheetId="17">'17_영양 신규점4'!$1:$3</definedName>
    <definedName name="_xlnm.Print_Area" localSheetId="17">'17_영양 신규점4'!$A$1:$I$114</definedName>
    <definedName name="_xlnm.Print_Titles" localSheetId="18">'18_통영 신규점'!$1:$3</definedName>
    <definedName name="_xlnm.Print_Area" localSheetId="18">'18_통영 신규점'!$A$1:$I$114</definedName>
    <definedName name="_xlnm.Print_Titles" localSheetId="19">'19_오호 신규점'!$1:$3</definedName>
    <definedName name="_xlnm.Print_Area" localSheetId="19">'19_오호 신규점'!$A$1:$I$114</definedName>
    <definedName name="_xlnm.Print_Titles" localSheetId="20">'20_보령 신규점2'!$1:$3</definedName>
    <definedName name="_xlnm.Print_Area" localSheetId="20">'20_보령 신규점2'!$A$1:$I$114</definedName>
    <definedName name="_xlnm.Print_Titles" localSheetId="21">'21_담양 신규점2'!$1:$3</definedName>
    <definedName name="_xlnm.Print_Area" localSheetId="21">'21_담양 신규점2'!$A$1:$I$114</definedName>
    <definedName name="_xlnm.Print_Titles" localSheetId="22">'22_완도 신규점'!$1:$3</definedName>
    <definedName name="_xlnm.Print_Area" localSheetId="22">'22_완도 신규점'!$A$1:$I$114</definedName>
    <definedName name="_xlnm.Print_Titles" localSheetId="23">'23_덕산 신규점1'!$1:$3</definedName>
    <definedName name="_xlnm.Print_Area" localSheetId="23">'23_덕산 신규점1'!$A$1:$I$114</definedName>
    <definedName name="_xlnm.Print_Titles" localSheetId="24">'24_회천 신규점2'!$1:$3</definedName>
    <definedName name="_xlnm.Print_Area" localSheetId="24">'24_회천 신규점2'!$A$1:$I$114</definedName>
    <definedName name="_xlnm.Print_Titles" localSheetId="25">'25_관리 신규점3'!$1:$3</definedName>
    <definedName name="_xlnm.Print_Area" localSheetId="25">'25_관리 신규점3'!$A$1:$I$114</definedName>
    <definedName name="_xlnm.Print_Titles" localSheetId="26">'26_고남 신규점2'!$1:$3</definedName>
    <definedName name="_xlnm.Print_Area" localSheetId="26">'26_고남 신규점2'!$A$1:$I$114</definedName>
    <definedName name="_xlnm.Print_Titles" localSheetId="27">'27_전의 신규점'!$1:$3</definedName>
    <definedName name="_xlnm.Print_Area" localSheetId="27">'27_전의 신규점'!$A$1:$I$114</definedName>
    <definedName name="_xlnm.Print_Titles" localSheetId="28">'28_이원 신규점'!$1:$3</definedName>
    <definedName name="_xlnm.Print_Area" localSheetId="28">'28_이원 신규점'!$A$1:$I$114</definedName>
    <definedName name="_xlnm.Print_Titles" localSheetId="29">'29_가야 신규점1'!$1:$3</definedName>
    <definedName name="_xlnm.Print_Area" localSheetId="29">'29_가야 신규점1'!$A$1:$I$114</definedName>
    <definedName name="_xlnm.Print_Titles" localSheetId="30">'30_창녕 신규점'!$1:$3</definedName>
    <definedName name="_xlnm.Print_Area" localSheetId="30">'30_창녕 신규점'!$A$1:$I$114</definedName>
    <definedName name="_xlnm.Print_Titles" localSheetId="31">'31_언양 신규점3'!$1:$3</definedName>
    <definedName name="_xlnm.Print_Area" localSheetId="31">'31_언양 신규점3'!$A$1:$I$114</definedName>
    <definedName name="_xlnm.Print_Titles" localSheetId="32">'32_함양 신규점'!$1:$3</definedName>
    <definedName name="_xlnm.Print_Area" localSheetId="32">'32_함양 신규점'!$A$1:$I$114</definedName>
    <definedName name="_xlnm.Print_Titles" localSheetId="33">'33_문산 신규점'!$1:$3</definedName>
    <definedName name="_xlnm.Print_Area" localSheetId="33">'33_문산 신규점'!$A$1:$I$114</definedName>
    <definedName name="_xlnm.Print_Titles" localSheetId="34">'34_부안 신규점'!$1:$3</definedName>
    <definedName name="_xlnm.Print_Area" localSheetId="34">'34_부안 신규점'!$A$1:$I$114</definedName>
    <definedName name="_xlnm.Print_Titles" localSheetId="35">'35_상주'!$1:$3</definedName>
    <definedName name="_xlnm.Print_Area" localSheetId="35">'35_상주'!$A$1:$I$114</definedName>
    <definedName name="_xlnm.Print_Titles" localSheetId="36">'36_미원'!$1:$3</definedName>
    <definedName name="_xlnm.Print_Area" localSheetId="36">'36_미원'!$A$1:$I$114</definedName>
    <definedName name="_xlnm.Print_Titles" localSheetId="37">'37_부안'!$1:$3</definedName>
    <definedName name="_xlnm.Print_Area" localSheetId="37">'37_부안'!$A$1:$I$114</definedName>
    <definedName name="_xlnm.Print_Titles" localSheetId="38">'38_강화'!$1:$3</definedName>
    <definedName name="_xlnm.Print_Area" localSheetId="38">'38_강화'!$A$1:$I$114</definedName>
    <definedName name="_xlnm.Print_Titles" localSheetId="39">'39_언양'!$1:$3</definedName>
    <definedName name="_xlnm.Print_Area" localSheetId="39">'39_언양'!$A$1:$I$114</definedName>
    <definedName name="_xlnm.Print_Titles" localSheetId="40">'40_남지'!$1:$3</definedName>
    <definedName name="_xlnm.Print_Area" localSheetId="40">'40_남지'!$A$1:$I$114</definedName>
    <definedName name="_xlnm.Print_Titles" localSheetId="41">'41_거제'!$1:$3</definedName>
    <definedName name="_xlnm.Print_Area" localSheetId="41">'41_거제'!$A$1:$I$114</definedName>
    <definedName name="_xlnm.Print_Titles" localSheetId="42">'42_조도'!$1:$3</definedName>
    <definedName name="_xlnm.Print_Area" localSheetId="42">'42_조도'!$A$1:$I$114</definedName>
    <definedName name="_xlnm.Print_Titles" localSheetId="43">'43_포천'!$1:$3</definedName>
    <definedName name="_xlnm.Print_Area" localSheetId="43">'43_포천'!$A$1:$I$114</definedName>
    <definedName name="_xlnm.Print_Titles" localSheetId="44">'44_성산'!$1:$3</definedName>
    <definedName name="_xlnm.Print_Area" localSheetId="44">'44_성산'!$A$1:$I$114</definedName>
    <definedName name="_xlnm.Print_Titles" localSheetId="45">'45_여주'!$1:$3</definedName>
    <definedName name="_xlnm.Print_Area" localSheetId="45">'45_여주'!$A$1:$I$114</definedName>
    <definedName name="_xlnm.Print_Titles" localSheetId="46">'46_화천'!$1:$3</definedName>
    <definedName name="_xlnm.Print_Area" localSheetId="46">'46_화천'!$A$1:$I$114</definedName>
    <definedName name="_xlnm.Print_Titles" localSheetId="47">'47_봉평'!$1:$3</definedName>
    <definedName name="_xlnm.Print_Area" localSheetId="47">'47_봉평'!$A$1:$I$114</definedName>
    <definedName name="_xlnm.Print_Titles" localSheetId="48">'48_삼척'!$1:$3</definedName>
    <definedName name="_xlnm.Print_Area" localSheetId="48">'48_삼척'!$A$1:$I$114</definedName>
    <definedName name="_xlnm.Print_Titles" localSheetId="49">'49_제천'!$1:$3</definedName>
    <definedName name="_xlnm.Print_Area" localSheetId="49">'49_제천'!$A$1:$I$114</definedName>
    <definedName name="_xlnm.Print_Titles" localSheetId="50">'50_함양'!$1:$3</definedName>
    <definedName name="_xlnm.Print_Area" localSheetId="50">'50_함양'!$A$1:$I$114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11"/>
    </font>
    <font>
      <name val="맑은 고딕"/>
      <color rgb="00999999"/>
      <sz val="9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0" fillId="4" borderId="1" pivotButton="0" quotePrefix="0" xfId="0"/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4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IF(COUNT(B18,D18)&lt;2,"",ROUND(SQRT(((128.98393-D18)*111320*COS(RADIANS(37.020705)))^2+((37.020705-B18)*110574)^2),1))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S01 태백 신규점</oddHeader>
    <oddFooter>&amp;C&amp;9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IF(COUNT(B18,D18)&lt;2,"",ROUND(SQRT(((128.973865-D18)*111320*COS(RADIANS(37.359346)))^2+((37.359346-B18)*110574)^2),1))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S02 임계 신규점1</oddHeader>
    <oddFooter>&amp;C&amp;9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IF(COUNT(B18,D18)&lt;2,"",ROUND(SQRT(((126.936269-D18)*111320*COS(RADIANS(36.534085)))^2+((36.534085-B18)*110574)^2),1))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S03 예산 신규점2</oddHeader>
    <oddFooter>&amp;C&amp;9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IF(COUNT(B18,D18)&lt;2,"",ROUND(SQRT(((127.309017-D18)*111320*COS(RADIANS(35.891309)))^2+((35.891309-B18)*110574)^2),1))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S04 진안 신규점1</oddHeader>
    <oddFooter>&amp;C&amp;9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IF(COUNT(B18,D18)&lt;2,"",ROUND(SQRT(((127.800855-D18)*111320*COS(RADIANS(35.945212)))^2+((35.945212-B18)*110574)^2),1))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S05 무풍 신규점1</oddHeader>
    <oddFooter>&amp;C&amp;9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IF(COUNT(B18,D18)&lt;2,"",ROUND(SQRT(((127.230237-D18)*111320*COS(RADIANS(35.604653)))^2+((35.604653-B18)*110574)^2),1))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S06 길담 신규점</oddHeader>
    <oddFooter>&amp;C&amp;9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IF(COUNT(B18,D18)&lt;2,"",ROUND(SQRT(((127.981473-D18)*111320*COS(RADIANS(34.852281)))^2+((34.852281-B18)*110574)^2),1))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S07 남해 신규점1</oddHeader>
    <oddFooter>&amp;C&amp;9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IF(COUNT(B18,D18)&lt;2,"",ROUND(SQRT(((128.1698-D18)*111320*COS(RADIANS(37.618578)))^2+((37.618578-B18)*110574)^2),1))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S08 청일 신규점2</oddHeader>
    <oddFooter>&amp;C&amp;9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IF(COUNT(B18,D18)&lt;2,"",ROUND(SQRT(((128.075858-D18)*111320*COS(RADIANS(37.776326)))^2+((37.776326-B18)*110574)^2),1))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"S09-H"&amp;"(방향)"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"S09-V"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"S09-M2"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{S09}_{VisitID}_{코드}_{연번}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S09 어론 신규점</oddHeader>
    <oddFooter>&amp;C&amp;9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IF(COUNT(B18,D18)&lt;2,"",ROUND(SQRT(((128.853559-D18)*111320*COS(RADIANS(36.745399)))^2+((36.745399-B18)*110574)^2),1))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S10 예안 신규점1</oddHeader>
    <oddFooter>&amp;C&amp;9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IF(COUNT(B18,D18)&lt;2,"",ROUND(SQRT(((129.154341-D18)*111320*COS(RADIANS(36.765848)))^2+((36.765848-B18)*110574)^2),1))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S11 소천 신규점4</oddHeader>
    <oddFooter>&amp;C&amp;9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IF(COUNT(B18,D18)&lt;2,"",ROUND(SQRT(((127.092148-D18)*111320*COS(RADIANS(35.284821)))^2+((35.284821-B18)*110574)^2),1))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S12 순창 신규점</oddHeader>
    <oddFooter>&amp;C&amp;9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IF(COUNT(B18,D18)&lt;2,"",ROUND(SQRT(((127.294737-D18)*111320*COS(RADIANS(34.904713)))^2+((34.904713-B18)*110574)^2),1))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S13 순천 신규점</oddHeader>
    <oddFooter>&amp;C&amp;9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IF(COUNT(B18,D18)&lt;2,"",ROUND(SQRT(((129.145795-D18)*111320*COS(RADIANS(36.382888)))^2+((36.382888-B18)*110574)^2),1))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S14 청송 신규점1</oddHeader>
    <oddFooter>&amp;C&amp;9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IF(COUNT(B18,D18)&lt;2,"",ROUND(SQRT(((128.508751-D18)*111320*COS(RADIANS(36.4767)))^2+((36.4767-B18)*110574)^2),1))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S15 의성 신규점</oddHeader>
    <oddFooter>&amp;C&amp;9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IF(COUNT(B18,D18)&lt;2,"",ROUND(SQRT(((128.494519-D18)*111320*COS(RADIANS(36.50939)))^2+((36.50939-B18)*110574)^2),1))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S16 예천 신규점</oddHeader>
    <oddFooter>&amp;C&amp;9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IF(COUNT(B18,D18)&lt;2,"",ROUND(SQRT(((129.181307-D18)*111320*COS(RADIANS(36.743626)))^2+((36.743626-B18)*110574)^2),1))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S17 영양 신규점4</oddHeader>
    <oddFooter>&amp;C&amp;9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IF(COUNT(B18,D18)&lt;2,"",ROUND(SQRT(((128.393827-D18)*111320*COS(RADIANS(34.792976)))^2+((34.792976-B18)*110574)^2),1))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S18 통영 신규점</oddHeader>
    <oddFooter>&amp;C&amp;9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IF(COUNT(B18,D18)&lt;2,"",ROUND(SQRT(((128.521755-D18)*111320*COS(RADIANS(38.318869)))^2+((38.318869-B18)*110574)^2),1))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"S19-H"&amp;"(방향)"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"S19-V"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"S19-M2"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{S19}_{VisitID}_{코드}_{연번}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S19 오호 신규점</oddHeader>
    <oddFooter>&amp;C&amp;9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IF(COUNT(B18,D18)&lt;2,"",ROUND(SQRT(((126.706961-D18)*111320*COS(RADIANS(36.266844)))^2+((36.266844-B18)*110574)^2),1))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S20 보령 신규점2</oddHeader>
    <oddFooter>&amp;C&amp;9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IF(COUNT(B18,D18)&lt;2,"",ROUND(SQRT(((126.962054-D18)*111320*COS(RADIANS(35.456101)))^2+((35.456101-B18)*110574)^2),1))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S21 담양 신규점2</oddHeader>
    <oddFooter>&amp;C&amp;9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IF(COUNT(B18,D18)&lt;2,"",ROUND(SQRT(((126.543215-D18)*111320*COS(RADIANS(34.328826)))^2+((34.328826-B18)*110574)^2),1))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S22 완도 신규점</oddHeader>
    <oddFooter>&amp;C&amp;9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IF(COUNT(B18,D18)&lt;2,"",ROUND(SQRT(((128.192739-D18)*111320*COS(RADIANS(36.888529)))^2+((36.888529-B18)*110574)^2),1))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S23 덕산 신규점1</oddHeader>
    <oddFooter>&amp;C&amp;9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IF(COUNT(B18,D18)&lt;2,"",ROUND(SQRT(((127.04766-D18)*111320*COS(RADIANS(34.680805)))^2+((34.680805-B18)*110574)^2),1))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S24 회천 신규점2</oddHeader>
    <oddFooter>&amp;C&amp;9 &amp;P /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IF(COUNT(B18,D18)&lt;2,"",ROUND(SQRT(((127.905982-D18)*111320*COS(RADIANS(36.325755)))^2+((36.325755-B18)*110574)^2),1))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S25 관리 신규점3</oddHeader>
    <oddFooter>&amp;C&amp;9 &amp;P /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IF(COUNT(B18,D18)&lt;2,"",ROUND(SQRT(((126.395802-D18)*111320*COS(RADIANS(36.452304)))^2+((36.452304-B18)*110574)^2),1))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S26 고남 신규점2</oddHeader>
    <oddFooter>&amp;C&amp;9 &amp;P /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IF(COUNT(B18,D18)&lt;2,"",ROUND(SQRT(((127.068702-D18)*111320*COS(RADIANS(36.579379)))^2+((36.579379-B18)*110574)^2),1))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S27 전의 신규점</oddHeader>
    <oddFooter>&amp;C&amp;9 &amp;P /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IF(COUNT(B18,D18)&lt;2,"",ROUND(SQRT(((127.583121-D18)*111320*COS(RADIANS(36.16662)))^2+((36.16662-B18)*110574)^2),1))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S28 이원 신규점</oddHeader>
    <oddFooter>&amp;C&amp;9 &amp;P /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IF(COUNT(B18,D18)&lt;2,"",ROUND(SQRT(((128.036833-D18)*111320*COS(RADIANS(35.777986)))^2+((35.777986-B18)*110574)^2),1))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"S29-H"&amp;"(방향)"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"S29-V"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"S29-M2"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{S29}_{VisitID}_{코드}_{연번}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S29 가야 신규점1</oddHeader>
    <oddFooter>&amp;C&amp;9 &amp;P /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IF(COUNT(B18,D18)&lt;2,"",ROUND(SQRT(((128.298099-D18)*111320*COS(RADIANS(35.662586)))^2+((35.662586-B18)*110574)^2),1))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S30 창녕 신규점</oddHeader>
    <oddFooter>&amp;C&amp;9 &amp;P /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IF(COUNT(B18,D18)&lt;2,"",ROUND(SQRT(((129.029824-D18)*111320*COS(RADIANS(35.742364)))^2+((35.742364-B18)*110574)^2),1))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S31 언양 신규점3</oddHeader>
    <oddFooter>&amp;C&amp;9 &amp;P /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IF(COUNT(B18,D18)&lt;2,"",ROUND(SQRT(((127.574659-D18)*111320*COS(RADIANS(35.586243)))^2+((35.586243-B18)*110574)^2),1))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S32 함양 신규점</oddHeader>
    <oddFooter>&amp;C&amp;9 &amp;P /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IF(COUNT(B18,D18)&lt;2,"",ROUND(SQRT(((126.870305-D18)*111320*COS(RADIANS(37.927676)))^2+((37.927676-B18)*110574)^2),1))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S33 문산 신규점</oddHeader>
    <oddFooter>&amp;C&amp;9 &amp;P /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IF(COUNT(B18,D18)&lt;2,"",ROUND(SQRT(((126.645582-D18)*111320*COS(RADIANS(35.541753)))^2+((35.541753-B18)*110574)^2),1))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S34 부안 신규점</oddHeader>
    <oddFooter>&amp;C&amp;9 &amp;P /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IF(COUNT(B18,D18)&lt;2,"",ROUND(SQRT(((128.11048069444445-D18)*111320*COS(RADIANS(36.35528841666667)))^2+((36.35528841666667-B18)*110574)^2),1))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S35 상주</oddHeader>
    <oddFooter>&amp;C&amp;9 &amp;P /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IF(COUNT(B18,D18)&lt;2,"",ROUND(SQRT(((127.58622222222222-D18)*111320*COS(RADIANS(36.72502777777778)))^2+((36.72502777777778-B18)*110574)^2),1))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S36 미원</oddHeader>
    <oddFooter>&amp;C&amp;9 &amp;P /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IF(COUNT(B18,D18)&lt;2,"",ROUND(SQRT(((126.71613888888889-D18)*111320*COS(RADIANS(35.58775)))^2+((35.58775-B18)*110574)^2),1))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S37 부안</oddHeader>
    <oddFooter>&amp;C&amp;9 &amp;P /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IF(COUNT(B18,D18)&lt;2,"",ROUND(SQRT(((126.47877522222223-D18)*111320*COS(RADIANS(37.66612411111111)))^2+((37.66612411111111-B18)*110574)^2),1))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S38 강화</oddHeader>
    <oddFooter>&amp;C&amp;9 &amp;P /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IF(COUNT(B18,D18)&lt;2,"",ROUND(SQRT(((129.1908721388889-D18)*111320*COS(RADIANS(35.67619994444444)))^2+((35.67619994444444-B18)*110574)^2),1))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"S39-H"&amp;"(방향)"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"S39-V"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"S39-M2"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{S39}_{VisitID}_{코드}_{연번}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S39 언양</oddHeader>
    <oddFooter>&amp;C&amp;9 &amp;P /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IF(COUNT(B18,D18)&lt;2,"",ROUND(SQRT(((128.47377777777777-D18)*111320*COS(RADIANS(35.436166666666665)))^2+((35.436166666666665-B18)*110574)^2),1))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S40 남지</oddHeader>
    <oddFooter>&amp;C&amp;9 &amp;P /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S41-P0a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IF(COUNT(B18,D18)&lt;2,"",ROUND(SQRT(((128.59286111111112-D18)*111320*COS(RADIANS(34.870311083333334)))^2+((34.870311083333334-B18)*110574)^2),1))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"S41-H"&amp;"(방향)"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"S41-M1"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"S41-M2"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{S41}_{VisitID}_{코드}_{연번}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S41 거제</oddHeader>
    <oddFooter>&amp;C&amp;9 &amp;P /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S42-P0a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IF(COUNT(B18,D18)&lt;2,"",ROUND(SQRT(((126.22380555555556-D18)*111320*COS(RADIANS(34.431916666666666)))^2+((34.431916666666666-B18)*110574)^2),1))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"S42-H"&amp;"(방향)"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"S42-M1"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"S42-M2"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{S42}_{VisitID}_{코드}_{연번}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S42 조도</oddHeader>
    <oddFooter>&amp;C&amp;9 &amp;P /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S43-P0a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IF(COUNT(B18,D18)&lt;2,"",ROUND(SQRT(((127.13462836111111-D18)*111320*COS(RADIANS(37.99090344444445)))^2+((37.99090344444445-B18)*110574)^2),1))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"S43-H"&amp;"(방향)"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"S43-M1"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"S43-M2"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{S43}_{VisitID}_{코드}_{연번}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S43 포천</oddHeader>
    <oddFooter>&amp;C&amp;9 &amp;P /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S44-P0a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IF(COUNT(B18,D18)&lt;2,"",ROUND(SQRT(((126.89416197222224-D18)*111320*COS(RADIANS(33.524479916666664)))^2+((33.524479916666664-B18)*110574)^2),1))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"S44-H"&amp;"(방향)"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"S44-M1"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"S44-M2"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{S44}_{VisitID}_{코드}_{연번}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S44 성산</oddHeader>
    <oddFooter>&amp;C&amp;9 &amp;P /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S45-P0a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IF(COUNT(B18,D18)&lt;2,"",ROUND(SQRT(((127.57332169444445-D18)*111320*COS(RADIANS(37.445381)))^2+((37.445381-B18)*110574)^2),1))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"S45-H"&amp;"(방향)"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"S45-M1"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"S45-M2"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{S45}_{VisitID}_{코드}_{연번}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S45 여주</oddHeader>
    <oddFooter>&amp;C&amp;9 &amp;P /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S46-P0a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IF(COUNT(B18,D18)&lt;2,"",ROUND(SQRT(((127.68672222222223-D18)*111320*COS(RADIANS(38.11566666666667)))^2+((38.11566666666667-B18)*110574)^2),1))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"S46-H"&amp;"(방향)"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"S46-M1"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"S46-M2"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{S46}_{VisitID}_{코드}_{연번}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S46 화천</oddHeader>
    <oddFooter>&amp;C&amp;9 &amp;P /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S47-P0a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IF(COUNT(B18,D18)&lt;2,"",ROUND(SQRT(((128.395802-D18)*111320*COS(RADIANS(37.61237222222223)))^2+((37.61237222222223-B18)*110574)^2),1))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"S47-H"&amp;"(방향)"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"S47-M1"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"S47-M2"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{S47}_{VisitID}_{코드}_{연번}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S47 봉평</oddHeader>
    <oddFooter>&amp;C&amp;9 &amp;P /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S48-P0a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IF(COUNT(B18,D18)&lt;2,"",ROUND(SQRT(((129.20322594444443-D18)*111320*COS(RADIANS(37.384717083333335)))^2+((37.384717083333335-B18)*110574)^2),1))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"S48-H"&amp;"(방향)"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"S48-M1"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"S48-M2"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{S48}_{VisitID}_{코드}_{연번}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S48 삼척</oddHeader>
    <oddFooter>&amp;C&amp;9 &amp;P /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S49-P0a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IF(COUNT(B18,D18)&lt;2,"",ROUND(SQRT(((128.21144444444442-D18)*111320*COS(RADIANS(37.07463888888889)))^2+((37.07463888888889-B18)*110574)^2),1))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"S49-H"&amp;"(방향)"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"S49-V"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"S49-M1"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"S49-M2"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{S49}_{VisitID}_{코드}_{연번}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S49 제천</oddHeader>
    <oddFooter>&amp;C&amp;9 &amp;P /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S50-P0a</t>
        </is>
      </c>
    </row>
    <row r="4" ht="14" customHeight="1">
      <c r="A4" s="13" t="inlineStr">
        <is>
          <t>Visit ID 는 방문할 때마다 새로 매겨 주세요(V1, V2 …). 중심점을 옮기게 되면 이 카드를 고쳐 쓰지 마시고 새 Location ID 로 새 카드를 한 장 더 쓰시면 됩니다. 옮기기 전 자리에서 잰 값은 옮긴 자리가 조용하다는 근거가 되지 못하기 때문입니다.</t>
        </is>
      </c>
    </row>
    <row r="5" ht="20" customHeight="1">
      <c r="A5" s="14" t="inlineStr">
        <is>
          <t>0. 측정 전 확인 — 자기오염 방지</t>
        </is>
      </c>
    </row>
    <row r="6" ht="42" customHeight="1">
      <c r="A6" s="15" t="inlineStr">
        <is>
          <t>측정을 시작하기 전에 몸에 지닌 자기성 물품부터 걷어내 주세요. 시계나 펜, 금속 혁대 하나만 있어도 네 방향 값이 모두 같은 쪽으로 밀려서, 나중에 보면 마치 그 자리의 공간구배인 것처럼 보이게 됩니다. 사정상 빼지 못한 것이 있다면 무엇을 왜 못 뺐는지 적어 주시면, 나중에 그 방향 값을 해석할 때 참고할 수 있습니다. (「지구물리측량 작업규정」 §18③ 을 참고한 실무 지침이며, 이 탐사 자체는 법정 선점이 아닙니다)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  <c r="I7" s="16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야간 관측은 하지 않기로 했습니다. Kp 와 우주기상 예보는 적어 두기만 하고, 어떤 값이 나왔다고 해서 그 자료를 빼지는 마세요. 몇 이상이면 걸러야 하는지가 아직 정해지지 않았고, 사실 그 기준을 만들려고 이 탐사를 하는 것이기 때문입니다. 다만 눈에 띄게 교란이 있었다면 그 구간은 다시 재시고, 어떤 상황이었는지 소견에 남겨 주세요.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7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  <c r="I11" s="16" t="n"/>
    </row>
    <row r="12">
      <c r="A12" s="11" t="inlineStr">
        <is>
          <t>Kp 지수</t>
        </is>
      </c>
      <c r="B12" s="18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  <c r="I12" s="16" t="n"/>
    </row>
    <row r="13">
      <c r="A13" s="11" t="inlineStr">
        <is>
          <t>장비 원시파일명</t>
        </is>
      </c>
      <c r="B13" s="8" t="n"/>
      <c r="C13" s="16" t="n"/>
      <c r="D13" s="11" t="inlineStr">
        <is>
          <t>레코드 범위</t>
        </is>
      </c>
      <c r="E13" s="8" t="n"/>
      <c r="F13" s="16" t="n"/>
      <c r="G13" s="11" t="inlineStr">
        <is>
          <t>Variometer 파일명</t>
        </is>
      </c>
      <c r="H13" s="8" t="n"/>
      <c r="I13" s="16" t="n"/>
    </row>
    <row r="14" ht="14" customHeight="1">
      <c r="A14" s="13" t="inlineStr">
        <is>
          <t>이 카드가 원본입니다. 장비에 저장된 원시파일은 나중에 따로 불러올 예정인데, 그때 어느 파일의 어느 구간이 이 카드에 해당하는지 알아낼 방법은 여기 적힌 파일명과 레코드 범위밖에 없습니다. 잊지 말고 적어 주세요.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적어 주세요. 미리 알려 드린 사전좌표와 많이 차이가 난다면, 어떤 사정으로 자리를 옮기셨는지 소견에 적어 주시면 됩니다.</t>
        </is>
      </c>
    </row>
    <row r="18">
      <c r="A18" s="11" t="inlineStr">
        <is>
          <t>위도</t>
        </is>
      </c>
      <c r="B18" s="19" t="n"/>
      <c r="C18" s="11" t="inlineStr">
        <is>
          <t>경도</t>
        </is>
      </c>
      <c r="D18" s="19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20">
        <f>IF(COUNT(B18,D18)&lt;2,"",ROUND(SQRT(((127.62296883333333-D18)*111320*COS(RADIANS(35.54250855555556)))^2+((35.54250855555556-B18)*110574)^2),1))</f>
        <v/>
      </c>
      <c r="I18" s="21" t="n"/>
    </row>
    <row r="20" ht="20" customHeight="1">
      <c r="A20" s="14" t="inlineStr">
        <is>
          <t>3. 수평 자기구배 — 방향마다 P0 재측정</t>
        </is>
      </c>
    </row>
    <row r="21" ht="55" customHeight="1">
      <c r="A21" s="15" t="inlineStr">
        <is>
          <t>한 방향을 다 재고 나면 중심점으로 돌아와 P0 를 한 번 더 재 주세요. 시각은 시·분·초까지 적어 주셔야 합니다. 사무실에서 그 시각을 이용해 재는 동안 자기장이 흘러간 만큼을 빼내기 때문에, 분까지만 적으면 계산이 되지 않습니다. 참고로 국제 권고에는 반경 10 m 안에서 50 nT, 구배 3 nT/m 라는 값이 있습니다. 다만 국내 기준은 아직 없고 오히려 이 탐사가 그 기준을 만들 자료를 모으는 것이므로, 값이 이보다 크게 나오더라도 현장에서 이 자리를 접지 마시고 나온 대로 적어 주세요. 그리고 저희는 네 방향 측선만 재기 때문에 측선 사이나 대각선은 알 수 없습니다. 판정은 사무실에서 합니다.</t>
        </is>
      </c>
    </row>
    <row r="22">
      <c r="A22" s="11" t="inlineStr">
        <is>
          <t>Set ID 접두</t>
        </is>
      </c>
      <c r="B22" s="12">
        <f>"S50-H"&amp;"(방향)"</f>
        <v/>
      </c>
      <c r="C22" s="21" t="n"/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  <c r="I22" s="22" t="n"/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3" t="inlineStr">
        <is>
          <t>P0(전)</t>
        </is>
      </c>
      <c r="B24" s="24" t="n"/>
      <c r="C24" s="25" t="n"/>
      <c r="D24" s="24" t="n"/>
      <c r="E24" s="25" t="n"/>
      <c r="F24" s="24" t="n"/>
      <c r="G24" s="25" t="n"/>
      <c r="H24" s="24" t="n"/>
      <c r="I24" s="25" t="n"/>
    </row>
    <row r="25">
      <c r="A25" s="11" t="inlineStr">
        <is>
          <t>0.5 m</t>
        </is>
      </c>
      <c r="B25" s="26" t="n"/>
      <c r="C25" s="18" t="n"/>
      <c r="D25" s="26" t="n"/>
      <c r="E25" s="18" t="n"/>
      <c r="F25" s="26" t="n"/>
      <c r="G25" s="18" t="n"/>
      <c r="H25" s="26" t="n"/>
      <c r="I25" s="18" t="n"/>
    </row>
    <row r="26">
      <c r="A26" s="11" t="inlineStr">
        <is>
          <t>1 m</t>
        </is>
      </c>
      <c r="B26" s="26" t="n"/>
      <c r="C26" s="18" t="n"/>
      <c r="D26" s="26" t="n"/>
      <c r="E26" s="18" t="n"/>
      <c r="F26" s="26" t="n"/>
      <c r="G26" s="18" t="n"/>
      <c r="H26" s="26" t="n"/>
      <c r="I26" s="18" t="n"/>
    </row>
    <row r="27">
      <c r="A27" s="11" t="inlineStr">
        <is>
          <t>2 m</t>
        </is>
      </c>
      <c r="B27" s="26" t="n"/>
      <c r="C27" s="18" t="n"/>
      <c r="D27" s="26" t="n"/>
      <c r="E27" s="18" t="n"/>
      <c r="F27" s="26" t="n"/>
      <c r="G27" s="18" t="n"/>
      <c r="H27" s="26" t="n"/>
      <c r="I27" s="18" t="n"/>
    </row>
    <row r="28">
      <c r="A28" s="11" t="inlineStr">
        <is>
          <t>3 m</t>
        </is>
      </c>
      <c r="B28" s="26" t="n"/>
      <c r="C28" s="18" t="n"/>
      <c r="D28" s="26" t="n"/>
      <c r="E28" s="18" t="n"/>
      <c r="F28" s="26" t="n"/>
      <c r="G28" s="18" t="n"/>
      <c r="H28" s="26" t="n"/>
      <c r="I28" s="18" t="n"/>
    </row>
    <row r="29">
      <c r="A29" s="11" t="inlineStr">
        <is>
          <t>4 m</t>
        </is>
      </c>
      <c r="B29" s="26" t="n"/>
      <c r="C29" s="18" t="n"/>
      <c r="D29" s="26" t="n"/>
      <c r="E29" s="18" t="n"/>
      <c r="F29" s="26" t="n"/>
      <c r="G29" s="18" t="n"/>
      <c r="H29" s="26" t="n"/>
      <c r="I29" s="18" t="n"/>
    </row>
    <row r="30">
      <c r="A30" s="11" t="inlineStr">
        <is>
          <t>5 m</t>
        </is>
      </c>
      <c r="B30" s="26" t="n"/>
      <c r="C30" s="18" t="n"/>
      <c r="D30" s="26" t="n"/>
      <c r="E30" s="18" t="n"/>
      <c r="F30" s="26" t="n"/>
      <c r="G30" s="18" t="n"/>
      <c r="H30" s="26" t="n"/>
      <c r="I30" s="18" t="n"/>
    </row>
    <row r="31">
      <c r="A31" s="11" t="inlineStr">
        <is>
          <t>6 m</t>
        </is>
      </c>
      <c r="B31" s="26" t="n"/>
      <c r="C31" s="18" t="n"/>
      <c r="D31" s="26" t="n"/>
      <c r="E31" s="18" t="n"/>
      <c r="F31" s="26" t="n"/>
      <c r="G31" s="18" t="n"/>
      <c r="H31" s="26" t="n"/>
      <c r="I31" s="18" t="n"/>
    </row>
    <row r="32">
      <c r="A32" s="11" t="inlineStr">
        <is>
          <t>7 m</t>
        </is>
      </c>
      <c r="B32" s="26" t="n"/>
      <c r="C32" s="18" t="n"/>
      <c r="D32" s="26" t="n"/>
      <c r="E32" s="18" t="n"/>
      <c r="F32" s="26" t="n"/>
      <c r="G32" s="18" t="n"/>
      <c r="H32" s="26" t="n"/>
      <c r="I32" s="18" t="n"/>
    </row>
    <row r="33">
      <c r="A33" s="11" t="inlineStr">
        <is>
          <t>8 m</t>
        </is>
      </c>
      <c r="B33" s="26" t="n"/>
      <c r="C33" s="18" t="n"/>
      <c r="D33" s="26" t="n"/>
      <c r="E33" s="18" t="n"/>
      <c r="F33" s="26" t="n"/>
      <c r="G33" s="18" t="n"/>
      <c r="H33" s="26" t="n"/>
      <c r="I33" s="18" t="n"/>
    </row>
    <row r="34">
      <c r="A34" s="11" t="inlineStr">
        <is>
          <t>9 m</t>
        </is>
      </c>
      <c r="B34" s="26" t="n"/>
      <c r="C34" s="18" t="n"/>
      <c r="D34" s="26" t="n"/>
      <c r="E34" s="18" t="n"/>
      <c r="F34" s="26" t="n"/>
      <c r="G34" s="18" t="n"/>
      <c r="H34" s="26" t="n"/>
      <c r="I34" s="18" t="n"/>
    </row>
    <row r="35">
      <c r="A35" s="11" t="inlineStr">
        <is>
          <t>10 m</t>
        </is>
      </c>
      <c r="B35" s="26" t="n"/>
      <c r="C35" s="18" t="n"/>
      <c r="D35" s="26" t="n"/>
      <c r="E35" s="18" t="n"/>
      <c r="F35" s="26" t="n"/>
      <c r="G35" s="18" t="n"/>
      <c r="H35" s="26" t="n"/>
      <c r="I35" s="18" t="n"/>
    </row>
    <row r="36">
      <c r="A36" s="23" t="inlineStr">
        <is>
          <t>P0(후)</t>
        </is>
      </c>
      <c r="B36" s="24" t="n"/>
      <c r="C36" s="25" t="n"/>
      <c r="D36" s="24" t="n"/>
      <c r="E36" s="25" t="n"/>
      <c r="F36" s="24" t="n"/>
      <c r="G36" s="25" t="n"/>
      <c r="H36" s="24" t="n"/>
      <c r="I36" s="25" t="n"/>
    </row>
    <row r="37">
      <c r="A37" s="11" t="inlineStr">
        <is>
          <t>P0 전후차(nT)</t>
        </is>
      </c>
      <c r="B37" s="11" t="inlineStr"/>
      <c r="C37" s="20">
        <f>IF(COUNT(C24,C36)&lt;2,"",C36-C24)</f>
        <v/>
      </c>
      <c r="D37" s="11" t="inlineStr"/>
      <c r="E37" s="20">
        <f>IF(COUNT(E24,E36)&lt;2,"",E36-E24)</f>
        <v/>
      </c>
      <c r="F37" s="11" t="inlineStr"/>
      <c r="G37" s="20">
        <f>IF(COUNT(G24,G36)&lt;2,"",G36-G24)</f>
        <v/>
      </c>
      <c r="H37" s="11" t="inlineStr"/>
      <c r="I37" s="20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20">
        <f>IF(COUNT(C25:C35)=0,"",MAX(C25:C35)-MIN(C25:C35))</f>
        <v/>
      </c>
      <c r="D38" s="11" t="inlineStr"/>
      <c r="E38" s="20">
        <f>IF(COUNT(E25:E35)=0,"",MAX(E25:E35)-MIN(E25:E35))</f>
        <v/>
      </c>
      <c r="F38" s="11" t="inlineStr"/>
      <c r="G38" s="20">
        <f>IF(COUNT(G25:G35)=0,"",MAX(G25:G35)-MIN(G25:G35))</f>
        <v/>
      </c>
      <c r="H38" s="11" t="inlineStr"/>
      <c r="I38" s="20">
        <f>IF(COUNT(I25:I35)=0,"",MAX(I25:I35)-MIN(I25:I35))</f>
        <v/>
      </c>
    </row>
    <row r="39" ht="26" customHeight="1">
      <c r="A39" s="13" t="inlineStr">
        <is>
          <t>P0 전후차가 수십 nT 로 벌어졌다면 그 방향을 재는 동안 자기장이 꽤 흔들렸다는 뜻입니다. 여유가 되면 다시 재시고, 어려우면 소견에 적어 주세요. 위 두 값은 시간변화를 빼기 «전»의 참고치라서 이것만 보고 좋고 나쁨을 가르지는 않습니다. 판독은 한 자리에 한 번이면 됩니다(기기가 안에서 여러 번 재어 평균을 냅니다). 값이 미덥지 않으면 차수를 올려 그 방향을 처음부터 다시 재 주세요.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「아니오」가 하나라도 있으면 철수 전에 채워 주세요</t>
        </is>
      </c>
      <c r="H40" s="22" t="n"/>
      <c r="I40" s="22" t="n"/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  <c r="H41" s="16" t="n"/>
      <c r="I41" s="16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시작할 때와 끝날 때 기준높이에서 한 번씩 재 주세요. 높이는 목표값이 아니라 센서 «가운데»가 실제로 몇 cm 였는지를 적어 주셔야 나중에 같은 조건으로 다시 재어 볼 수 있습니다.</t>
        </is>
      </c>
    </row>
    <row r="45">
      <c r="A45" s="11" t="inlineStr">
        <is>
          <t>Set ID</t>
        </is>
      </c>
      <c r="B45" s="12">
        <f>"S50-V"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7" t="n"/>
      <c r="I45" s="16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  <c r="F46" s="22" t="n"/>
      <c r="G46" s="22" t="n"/>
      <c r="H46" s="22" t="n"/>
      <c r="I46" s="22" t="n"/>
    </row>
    <row r="47">
      <c r="A47" s="23" t="inlineStr">
        <is>
          <t>기준(전)</t>
        </is>
      </c>
      <c r="B47" s="25" t="n"/>
      <c r="C47" s="24" t="n"/>
      <c r="D47" s="25" t="n"/>
      <c r="E47" s="8" t="n"/>
      <c r="F47" s="16" t="n"/>
      <c r="G47" s="16" t="n"/>
      <c r="H47" s="16" t="n"/>
      <c r="I47" s="16" t="n"/>
    </row>
    <row r="48">
      <c r="A48" s="11" t="inlineStr">
        <is>
          <t>20 cm</t>
        </is>
      </c>
      <c r="B48" s="18" t="n"/>
      <c r="C48" s="26" t="n"/>
      <c r="D48" s="18" t="n"/>
      <c r="E48" s="8" t="n"/>
      <c r="F48" s="16" t="n"/>
      <c r="G48" s="16" t="n"/>
      <c r="H48" s="16" t="n"/>
      <c r="I48" s="16" t="n"/>
    </row>
    <row r="49">
      <c r="A49" s="11" t="inlineStr">
        <is>
          <t>40 cm</t>
        </is>
      </c>
      <c r="B49" s="18" t="n"/>
      <c r="C49" s="26" t="n"/>
      <c r="D49" s="18" t="n"/>
      <c r="E49" s="8" t="n"/>
      <c r="F49" s="16" t="n"/>
      <c r="G49" s="16" t="n"/>
      <c r="H49" s="16" t="n"/>
      <c r="I49" s="16" t="n"/>
    </row>
    <row r="50">
      <c r="A50" s="11" t="inlineStr">
        <is>
          <t>60 cm</t>
        </is>
      </c>
      <c r="B50" s="18" t="n"/>
      <c r="C50" s="26" t="n"/>
      <c r="D50" s="18" t="n"/>
      <c r="E50" s="8" t="n"/>
      <c r="F50" s="16" t="n"/>
      <c r="G50" s="16" t="n"/>
      <c r="H50" s="16" t="n"/>
      <c r="I50" s="16" t="n"/>
    </row>
    <row r="51">
      <c r="A51" s="11" t="inlineStr">
        <is>
          <t>80 cm</t>
        </is>
      </c>
      <c r="B51" s="18" t="n"/>
      <c r="C51" s="26" t="n"/>
      <c r="D51" s="18" t="n"/>
      <c r="E51" s="8" t="n"/>
      <c r="F51" s="16" t="n"/>
      <c r="G51" s="16" t="n"/>
      <c r="H51" s="16" t="n"/>
      <c r="I51" s="16" t="n"/>
    </row>
    <row r="52">
      <c r="A52" s="11" t="inlineStr">
        <is>
          <t>100 cm</t>
        </is>
      </c>
      <c r="B52" s="18" t="n"/>
      <c r="C52" s="26" t="n"/>
      <c r="D52" s="18" t="n"/>
      <c r="E52" s="8" t="n"/>
      <c r="F52" s="16" t="n"/>
      <c r="G52" s="16" t="n"/>
      <c r="H52" s="16" t="n"/>
      <c r="I52" s="16" t="n"/>
    </row>
    <row r="53">
      <c r="A53" s="11" t="inlineStr">
        <is>
          <t>120 cm</t>
        </is>
      </c>
      <c r="B53" s="18" t="n"/>
      <c r="C53" s="26" t="n"/>
      <c r="D53" s="18" t="n"/>
      <c r="E53" s="8" t="n"/>
      <c r="F53" s="16" t="n"/>
      <c r="G53" s="16" t="n"/>
      <c r="H53" s="16" t="n"/>
      <c r="I53" s="16" t="n"/>
    </row>
    <row r="54">
      <c r="A54" s="11" t="inlineStr">
        <is>
          <t>140 cm</t>
        </is>
      </c>
      <c r="B54" s="18" t="n"/>
      <c r="C54" s="26" t="n"/>
      <c r="D54" s="18" t="n"/>
      <c r="E54" s="8" t="n"/>
      <c r="F54" s="16" t="n"/>
      <c r="G54" s="16" t="n"/>
      <c r="H54" s="16" t="n"/>
      <c r="I54" s="16" t="n"/>
    </row>
    <row r="55">
      <c r="A55" s="11" t="inlineStr">
        <is>
          <t>160 cm</t>
        </is>
      </c>
      <c r="B55" s="18" t="n"/>
      <c r="C55" s="26" t="n"/>
      <c r="D55" s="18" t="n"/>
      <c r="E55" s="8" t="n"/>
      <c r="F55" s="16" t="n"/>
      <c r="G55" s="16" t="n"/>
      <c r="H55" s="16" t="n"/>
      <c r="I55" s="16" t="n"/>
    </row>
    <row r="56">
      <c r="A56" s="11" t="inlineStr">
        <is>
          <t>180 cm</t>
        </is>
      </c>
      <c r="B56" s="18" t="n"/>
      <c r="C56" s="26" t="n"/>
      <c r="D56" s="18" t="n"/>
      <c r="E56" s="8" t="n"/>
      <c r="F56" s="16" t="n"/>
      <c r="G56" s="16" t="n"/>
      <c r="H56" s="16" t="n"/>
      <c r="I56" s="16" t="n"/>
    </row>
    <row r="57">
      <c r="A57" s="11" t="inlineStr">
        <is>
          <t>200 cm</t>
        </is>
      </c>
      <c r="B57" s="18" t="n"/>
      <c r="C57" s="26" t="n"/>
      <c r="D57" s="18" t="n"/>
      <c r="E57" s="8" t="n"/>
      <c r="F57" s="16" t="n"/>
      <c r="G57" s="16" t="n"/>
      <c r="H57" s="16" t="n"/>
      <c r="I57" s="16" t="n"/>
    </row>
    <row r="58">
      <c r="A58" s="23" t="inlineStr">
        <is>
          <t>기준(후)</t>
        </is>
      </c>
      <c r="B58" s="25" t="n"/>
      <c r="C58" s="24" t="n"/>
      <c r="D58" s="25" t="n"/>
      <c r="E58" s="8" t="n"/>
      <c r="F58" s="16" t="n"/>
      <c r="G58" s="16" t="n"/>
      <c r="H58" s="16" t="n"/>
      <c r="I58" s="16" t="n"/>
    </row>
    <row r="59">
      <c r="A59" s="11" t="inlineStr">
        <is>
          <t>F max−min(nT)</t>
        </is>
      </c>
      <c r="B59" s="8" t="n"/>
      <c r="C59" s="8" t="n"/>
      <c r="D59" s="20">
        <f>IF(COUNT(D48:D57)=0,"",MAX(D48:D57)-MIN(D48:D57))</f>
        <v/>
      </c>
      <c r="E59" s="12">
        <f>"측정 높이 구간의 총자기장 변화폭 (참고)"</f>
        <v/>
      </c>
      <c r="F59" s="21" t="n"/>
      <c r="G59" s="21" t="n"/>
      <c r="H59" s="21" t="n"/>
      <c r="I59" s="21" t="n"/>
    </row>
    <row r="61" ht="20" customHeight="1">
      <c r="A61" s="14" t="inlineStr">
        <is>
          <t>5. 방위표지 시준 — 기준점에서 표지를 본 방향 (진북 기준 · 북 0° · 시계방향)</t>
        </is>
      </c>
    </row>
    <row r="62" ht="42" customHeight="1">
      <c r="A62" s="15" t="inlineStr">
        <is>
          <t>각도는 곤(gon)으로 적어 주세요. 한 바퀴가 400 이고 반대쪽이 200 입니다. 정·반 시준의 폐합차가 0.02 gon(약 65초)을 넘으면 다시 시준해 주시는 편이 좋습니다. 다만 폐합차가 작다고 해서 참방위각이 맞다는 뜻은 아닙니다. 그래서 표지의 좌표와 그 좌표를 어떻게 얻었는지, 예전에 쓰던 값이 있으면 그것도 함께 적어 두시는 것입니다. 같은 점을 다시 찾아가 재었을 때 편각이 33.7분이나 어긋났던 일이 있었는데, 그 원인이 바로 방문할 때마다 달라진 참방위각이었습니다.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D63" s="22" t="n"/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"S50-M1"</f>
        <v/>
      </c>
      <c r="C64" s="8" t="n"/>
      <c r="D64" s="16" t="n"/>
      <c r="E64" s="19" t="n"/>
      <c r="F64" s="19" t="n"/>
      <c r="G64" s="8" t="n"/>
      <c r="H64" s="28" t="n"/>
      <c r="I64" s="29" t="n"/>
    </row>
    <row r="65">
      <c r="A65" s="11" t="inlineStr">
        <is>
          <t>방위표지2</t>
        </is>
      </c>
      <c r="B65" s="12">
        <f>"S50-M2"</f>
        <v/>
      </c>
      <c r="C65" s="8" t="n"/>
      <c r="D65" s="16" t="n"/>
      <c r="E65" s="19" t="n"/>
      <c r="F65" s="19" t="n"/>
      <c r="G65" s="8" t="n"/>
      <c r="H65" s="28" t="n"/>
      <c r="I65" s="29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  <c r="H66" s="22" t="n"/>
      <c r="I66" s="22" t="n"/>
    </row>
    <row r="67">
      <c r="A67" s="11" t="inlineStr">
        <is>
          <t>방위표지1</t>
        </is>
      </c>
      <c r="B67" s="29" t="n"/>
      <c r="C67" s="29" t="n"/>
      <c r="D67" s="30">
        <f>IF(COUNT(B67:C67)&lt;2,"",ABS(ABS(C67-B67)-200))</f>
        <v/>
      </c>
      <c r="E67" s="29" t="n"/>
      <c r="F67" s="8" t="n"/>
      <c r="G67" s="8" t="n"/>
      <c r="H67" s="16" t="n"/>
      <c r="I67" s="16" t="n"/>
    </row>
    <row r="68">
      <c r="A68" s="11" t="inlineStr">
        <is>
          <t>방위표지2</t>
        </is>
      </c>
      <c r="B68" s="29" t="n"/>
      <c r="C68" s="29" t="n"/>
      <c r="D68" s="30">
        <f>IF(COUNT(B68:C68)&lt;2,"",ABS(ABS(C68-B68)-200))</f>
        <v/>
      </c>
      <c r="E68" s="29" t="n"/>
      <c r="F68" s="8" t="n"/>
      <c r="G68" s="8" t="n"/>
      <c r="H68" s="16" t="n"/>
      <c r="I68" s="16" t="n"/>
    </row>
    <row r="70" ht="20" customHeight="1">
      <c r="A70" s="14" t="inlineStr">
        <is>
          <t>6. 현장 사진</t>
        </is>
      </c>
    </row>
    <row r="71" ht="55" customHeight="1">
      <c r="A71" s="15" t="inlineStr">
        <is>
          <t>상자 안에 사진을 붙이고 아래 칸에 원본 파일명과 촬영시각을 적어 주세요. 파일명은 {S50}_{VisitID}_{코드}_{연번} 형태로 지어 주시면 됩니다(코드는 P0·MEAS·M1·M2·E·W·S·N·INT). 촬영시각까지 적는 이유는, 카메라가 여럿이면 파일명이 겹치거나 옮기는 과정에서 이름이 바뀌는 일이 있어 파일명만으로는 어느 사진인지 되짚기 어렵기 때문입니다. 방위별 전경은 중심점에 서서 그 방향을 보고, 측선과 10 m 끝점이 함께 담기도록 찍어 주세요. 나중에 어느 방향 값이 크게 나왔을 때 그 사진에서 원인을 찾게 됩니다. 자기교란 요소가 있으면 중심점과의 방향·거리가 보이는 사진과 가까이서 찍은 사진을 함께 남겨 주시고, 여러 개면 소견에 목록으로 적어 주세요.</t>
        </is>
      </c>
    </row>
    <row r="72">
      <c r="A72" s="11" t="inlineStr">
        <is>
          <t>중심점(P0) 전경</t>
        </is>
      </c>
      <c r="B72" s="22" t="n"/>
      <c r="C72" s="22" t="n"/>
      <c r="D72" s="11" t="inlineStr">
        <is>
          <t>측정 모습</t>
        </is>
      </c>
      <c r="E72" s="22" t="n"/>
      <c r="F72" s="22" t="n"/>
      <c r="G72" s="11" t="inlineStr">
        <is>
          <t>방위표지1</t>
        </is>
      </c>
      <c r="H72" s="22" t="n"/>
      <c r="I72" s="22" t="n"/>
    </row>
    <row r="73" ht="15" customHeight="1">
      <c r="A73" s="31" t="inlineStr">
        <is>
          <t>[ 표석·마커가 보이게 ]</t>
        </is>
      </c>
      <c r="B73" s="16" t="n"/>
      <c r="C73" s="16" t="n"/>
      <c r="D73" s="31" t="inlineStr">
        <is>
          <t>[ 센서 높이를 알 수 있게 ]</t>
        </is>
      </c>
      <c r="E73" s="16" t="n"/>
      <c r="F73" s="16" t="n"/>
      <c r="G73" s="31" t="inlineStr">
        <is>
          <t>[ 시준 지점이 보이게 ]</t>
        </is>
      </c>
      <c r="H73" s="16" t="n"/>
      <c r="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</row>
    <row r="81">
      <c r="A81" s="11" t="inlineStr">
        <is>
          <t>파일명</t>
        </is>
      </c>
      <c r="B81" s="8" t="n"/>
      <c r="C81" s="16" t="n"/>
      <c r="D81" s="11" t="inlineStr">
        <is>
          <t>파일명</t>
        </is>
      </c>
      <c r="E81" s="8" t="n"/>
      <c r="F81" s="16" t="n"/>
      <c r="G81" s="11" t="inlineStr">
        <is>
          <t>파일명</t>
        </is>
      </c>
      <c r="H81" s="8" t="n"/>
      <c r="I81" s="16" t="n"/>
    </row>
    <row r="82">
      <c r="A82" s="11" t="inlineStr">
        <is>
          <t>촬영시각</t>
        </is>
      </c>
      <c r="B82" s="26" t="n"/>
      <c r="C82" s="16" t="n"/>
      <c r="D82" s="11" t="inlineStr">
        <is>
          <t>촬영시각</t>
        </is>
      </c>
      <c r="E82" s="26" t="n"/>
      <c r="F82" s="16" t="n"/>
      <c r="G82" s="11" t="inlineStr">
        <is>
          <t>촬영시각</t>
        </is>
      </c>
      <c r="H82" s="26" t="n"/>
      <c r="I82" s="16" t="n"/>
    </row>
    <row r="83">
      <c r="A83" s="11" t="inlineStr">
        <is>
          <t>동(E) 방향 전경</t>
        </is>
      </c>
      <c r="B83" s="22" t="n"/>
      <c r="C83" s="22" t="n"/>
      <c r="D83" s="11" t="inlineStr">
        <is>
          <t>서(W) 방향 전경</t>
        </is>
      </c>
      <c r="E83" s="22" t="n"/>
      <c r="F83" s="22" t="n"/>
      <c r="G83" s="11" t="inlineStr">
        <is>
          <t>남(S) 방향 전경</t>
        </is>
      </c>
      <c r="H83" s="22" t="n"/>
      <c r="I83" s="22" t="n"/>
    </row>
    <row r="84" ht="15" customHeight="1">
      <c r="A84" s="31" t="inlineStr">
        <is>
          <t>[ 중심점에서 동쪽을 보고 ]</t>
        </is>
      </c>
      <c r="B84" s="16" t="n"/>
      <c r="C84" s="16" t="n"/>
      <c r="D84" s="31" t="inlineStr">
        <is>
          <t>[ 중심점에서 서쪽을 보고 ]</t>
        </is>
      </c>
      <c r="E84" s="16" t="n"/>
      <c r="F84" s="16" t="n"/>
      <c r="G84" s="31" t="inlineStr">
        <is>
          <t>[ 중심점에서 남쪽을 보고 ]</t>
        </is>
      </c>
      <c r="H84" s="16" t="n"/>
      <c r="I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>
      <c r="A92" s="11" t="inlineStr">
        <is>
          <t>파일명</t>
        </is>
      </c>
      <c r="B92" s="8" t="n"/>
      <c r="C92" s="16" t="n"/>
      <c r="D92" s="11" t="inlineStr">
        <is>
          <t>파일명</t>
        </is>
      </c>
      <c r="E92" s="8" t="n"/>
      <c r="F92" s="16" t="n"/>
      <c r="G92" s="11" t="inlineStr">
        <is>
          <t>파일명</t>
        </is>
      </c>
      <c r="H92" s="8" t="n"/>
      <c r="I92" s="16" t="n"/>
    </row>
    <row r="93">
      <c r="A93" s="11" t="inlineStr">
        <is>
          <t>촬영시각</t>
        </is>
      </c>
      <c r="B93" s="26" t="n"/>
      <c r="C93" s="16" t="n"/>
      <c r="D93" s="11" t="inlineStr">
        <is>
          <t>촬영시각</t>
        </is>
      </c>
      <c r="E93" s="26" t="n"/>
      <c r="F93" s="16" t="n"/>
      <c r="G93" s="11" t="inlineStr">
        <is>
          <t>촬영시각</t>
        </is>
      </c>
      <c r="H93" s="26" t="n"/>
      <c r="I93" s="16" t="n"/>
    </row>
    <row r="94">
      <c r="A94" s="11" t="inlineStr">
        <is>
          <t>북(N) 방향 전경</t>
        </is>
      </c>
      <c r="B94" s="22" t="n"/>
      <c r="C94" s="22" t="n"/>
      <c r="D94" s="11" t="inlineStr">
        <is>
          <t>방위표지2</t>
        </is>
      </c>
      <c r="E94" s="22" t="n"/>
      <c r="F94" s="22" t="n"/>
      <c r="G94" s="11" t="inlineStr">
        <is>
          <t>자기교란 요소 · 기타</t>
        </is>
      </c>
      <c r="H94" s="22" t="n"/>
      <c r="I94" s="22" t="n"/>
    </row>
    <row r="95" ht="15" customHeight="1">
      <c r="A95" s="31" t="inlineStr">
        <is>
          <t>[ 중심점에서 북쪽을 보고 ]</t>
        </is>
      </c>
      <c r="B95" s="16" t="n"/>
      <c r="C95" s="16" t="n"/>
      <c r="D95" s="31" t="inlineStr">
        <is>
          <t>[ 시준 지점이 보이게 ]</t>
        </is>
      </c>
      <c r="E95" s="16" t="n"/>
      <c r="F95" s="16" t="n"/>
      <c r="G95" s="31" t="inlineStr">
        <is>
          <t>[ 없으면 「해당없음」 ]</t>
        </is>
      </c>
      <c r="H95" s="16" t="n"/>
      <c r="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</row>
    <row r="103">
      <c r="A103" s="11" t="inlineStr">
        <is>
          <t>파일명</t>
        </is>
      </c>
      <c r="B103" s="8" t="n"/>
      <c r="C103" s="16" t="n"/>
      <c r="D103" s="11" t="inlineStr">
        <is>
          <t>파일명</t>
        </is>
      </c>
      <c r="E103" s="8" t="n"/>
      <c r="F103" s="16" t="n"/>
      <c r="G103" s="11" t="inlineStr">
        <is>
          <t>파일명</t>
        </is>
      </c>
      <c r="H103" s="8" t="n"/>
      <c r="I103" s="16" t="n"/>
    </row>
    <row r="104">
      <c r="A104" s="11" t="inlineStr">
        <is>
          <t>촬영시각</t>
        </is>
      </c>
      <c r="B104" s="26" t="n"/>
      <c r="C104" s="16" t="n"/>
      <c r="D104" s="11" t="inlineStr">
        <is>
          <t>촬영시각</t>
        </is>
      </c>
      <c r="E104" s="26" t="n"/>
      <c r="F104" s="16" t="n"/>
      <c r="G104" s="11" t="inlineStr">
        <is>
          <t>촬영시각</t>
        </is>
      </c>
      <c r="H104" s="26" t="n"/>
      <c r="I104" s="16" t="n"/>
    </row>
    <row r="106" ht="20" customHeight="1">
      <c r="A106" s="14" t="inlineStr">
        <is>
          <t>7. 중심점 최종 결정 · 현장 소견</t>
        </is>
      </c>
    </row>
    <row r="107" ht="29" customHeight="1">
      <c r="A107" s="15" t="inlineStr">
        <is>
          <t>어느 한 방향의 값이 유난히 크게 나온다면, 후보지 안에서 더 조용한 자리를 찾아 중심점을 옮기셔도 됩니다. 다만 옮기셨다면 옮긴 자리에서 3·4 구역을 다시 재 주셔야 합니다. 옮기기 전 자리에서 잰 값은 새 자리가 조용하다는 근거가 되지 않기 때문입니다.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9" t="n"/>
      <c r="E108" s="11" t="inlineStr">
        <is>
          <t>최종 경도</t>
        </is>
      </c>
      <c r="F108" s="19" t="n"/>
      <c r="G108" s="11" t="inlineStr">
        <is>
          <t>조정 후 재측정</t>
        </is>
      </c>
      <c r="H108" s="8" t="n"/>
      <c r="I108" s="16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7" t="n"/>
      <c r="E109" s="11" t="inlineStr">
        <is>
          <t>사진 매수</t>
        </is>
      </c>
      <c r="F109" s="27" t="n"/>
      <c r="G109" s="11" t="inlineStr">
        <is>
          <t>현장 소견(인상)</t>
        </is>
      </c>
      <c r="H109" s="8" t="n"/>
      <c r="I109" s="16" t="n"/>
    </row>
    <row r="110" ht="16" customHeight="1">
      <c r="A110" s="11" t="inlineStr">
        <is>
          <t>현장 소견</t>
        </is>
      </c>
      <c r="B110" s="32" t="n"/>
      <c r="C110" s="33" t="n"/>
      <c r="D110" s="33" t="n"/>
      <c r="E110" s="33" t="n"/>
      <c r="F110" s="33" t="n"/>
      <c r="G110" s="33" t="n"/>
      <c r="H110" s="33" t="n"/>
      <c r="I110" s="33" t="n"/>
    </row>
    <row r="111" ht="16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</row>
    <row r="112" ht="16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</row>
    <row r="113" ht="16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S50 함양</oddHeader>
    <oddFooter>&amp;C&amp;9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2026-09-07T08:00:44Z</dcterms:created>
  <dcterms:modified xmlns:dcterms="http://purl.org/dc/terms/" xmlns:xsi="http://www.w3.org/2001/XMLSchema-instance" xsi:type="dcterms:W3CDTF">2026-09-07T08:00:46Z</dcterms:modified>
</cp:coreProperties>
</file>