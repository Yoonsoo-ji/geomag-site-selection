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01_태백 신규점" sheetId="2" state="visible" r:id="rId2"/>
    <sheet xmlns:r="http://schemas.openxmlformats.org/officeDocument/2006/relationships" name="02_임계 신규점1" sheetId="3" state="visible" r:id="rId3"/>
    <sheet xmlns:r="http://schemas.openxmlformats.org/officeDocument/2006/relationships" name="03_예산 신규점2" sheetId="4" state="visible" r:id="rId4"/>
    <sheet xmlns:r="http://schemas.openxmlformats.org/officeDocument/2006/relationships" name="04_진안 신규점1" sheetId="5" state="visible" r:id="rId5"/>
    <sheet xmlns:r="http://schemas.openxmlformats.org/officeDocument/2006/relationships" name="05_무풍 신규점1" sheetId="6" state="visible" r:id="rId6"/>
    <sheet xmlns:r="http://schemas.openxmlformats.org/officeDocument/2006/relationships" name="06_길담 신규점" sheetId="7" state="visible" r:id="rId7"/>
    <sheet xmlns:r="http://schemas.openxmlformats.org/officeDocument/2006/relationships" name="07_남해 신규점1" sheetId="8" state="visible" r:id="rId8"/>
    <sheet xmlns:r="http://schemas.openxmlformats.org/officeDocument/2006/relationships" name="08_청일 신규점2" sheetId="9" state="visible" r:id="rId9"/>
    <sheet xmlns:r="http://schemas.openxmlformats.org/officeDocument/2006/relationships" name="09_어론 신규점" sheetId="10" state="visible" r:id="rId10"/>
    <sheet xmlns:r="http://schemas.openxmlformats.org/officeDocument/2006/relationships" name="10_예안 신규점1" sheetId="11" state="visible" r:id="rId11"/>
    <sheet xmlns:r="http://schemas.openxmlformats.org/officeDocument/2006/relationships" name="11_소천 신규점4" sheetId="12" state="visible" r:id="rId12"/>
    <sheet xmlns:r="http://schemas.openxmlformats.org/officeDocument/2006/relationships" name="12_순창 신규점" sheetId="13" state="visible" r:id="rId13"/>
    <sheet xmlns:r="http://schemas.openxmlformats.org/officeDocument/2006/relationships" name="13_순천 신규점" sheetId="14" state="visible" r:id="rId14"/>
    <sheet xmlns:r="http://schemas.openxmlformats.org/officeDocument/2006/relationships" name="14_청송 신규점1" sheetId="15" state="visible" r:id="rId15"/>
    <sheet xmlns:r="http://schemas.openxmlformats.org/officeDocument/2006/relationships" name="15_의성 신규점" sheetId="16" state="visible" r:id="rId16"/>
    <sheet xmlns:r="http://schemas.openxmlformats.org/officeDocument/2006/relationships" name="16_예천 신규점" sheetId="17" state="visible" r:id="rId17"/>
    <sheet xmlns:r="http://schemas.openxmlformats.org/officeDocument/2006/relationships" name="17_영양 신규점4" sheetId="18" state="visible" r:id="rId18"/>
    <sheet xmlns:r="http://schemas.openxmlformats.org/officeDocument/2006/relationships" name="18_통영 신규점" sheetId="19" state="visible" r:id="rId19"/>
    <sheet xmlns:r="http://schemas.openxmlformats.org/officeDocument/2006/relationships" name="19_오호 신규점" sheetId="20" state="visible" r:id="rId20"/>
    <sheet xmlns:r="http://schemas.openxmlformats.org/officeDocument/2006/relationships" name="20_보령 신규점2" sheetId="21" state="visible" r:id="rId21"/>
    <sheet xmlns:r="http://schemas.openxmlformats.org/officeDocument/2006/relationships" name="21_담양 신규점2" sheetId="22" state="visible" r:id="rId22"/>
    <sheet xmlns:r="http://schemas.openxmlformats.org/officeDocument/2006/relationships" name="22_완도 신규점" sheetId="23" state="visible" r:id="rId23"/>
    <sheet xmlns:r="http://schemas.openxmlformats.org/officeDocument/2006/relationships" name="23_덕산 신규점1" sheetId="24" state="visible" r:id="rId24"/>
    <sheet xmlns:r="http://schemas.openxmlformats.org/officeDocument/2006/relationships" name="24_회천 신규점2" sheetId="25" state="visible" r:id="rId25"/>
    <sheet xmlns:r="http://schemas.openxmlformats.org/officeDocument/2006/relationships" name="25_관리 신규점3" sheetId="26" state="visible" r:id="rId26"/>
    <sheet xmlns:r="http://schemas.openxmlformats.org/officeDocument/2006/relationships" name="26_고남 신규점2" sheetId="27" state="visible" r:id="rId27"/>
    <sheet xmlns:r="http://schemas.openxmlformats.org/officeDocument/2006/relationships" name="27_전의 신규점" sheetId="28" state="visible" r:id="rId28"/>
    <sheet xmlns:r="http://schemas.openxmlformats.org/officeDocument/2006/relationships" name="28_이원 신규점" sheetId="29" state="visible" r:id="rId29"/>
    <sheet xmlns:r="http://schemas.openxmlformats.org/officeDocument/2006/relationships" name="29_가야 신규점1" sheetId="30" state="visible" r:id="rId30"/>
    <sheet xmlns:r="http://schemas.openxmlformats.org/officeDocument/2006/relationships" name="30_창녕 신규점" sheetId="31" state="visible" r:id="rId31"/>
    <sheet xmlns:r="http://schemas.openxmlformats.org/officeDocument/2006/relationships" name="31_언양 신규점3" sheetId="32" state="visible" r:id="rId32"/>
    <sheet xmlns:r="http://schemas.openxmlformats.org/officeDocument/2006/relationships" name="32_함양 신규점" sheetId="33" state="visible" r:id="rId33"/>
    <sheet xmlns:r="http://schemas.openxmlformats.org/officeDocument/2006/relationships" name="33_문산 신규점" sheetId="34" state="visible" r:id="rId34"/>
    <sheet xmlns:r="http://schemas.openxmlformats.org/officeDocument/2006/relationships" name="34_부안 신규점" sheetId="35" state="visible" r:id="rId35"/>
    <sheet xmlns:r="http://schemas.openxmlformats.org/officeDocument/2006/relationships" name="35_상주" sheetId="36" state="visible" r:id="rId36"/>
    <sheet xmlns:r="http://schemas.openxmlformats.org/officeDocument/2006/relationships" name="36_미원" sheetId="37" state="visible" r:id="rId37"/>
    <sheet xmlns:r="http://schemas.openxmlformats.org/officeDocument/2006/relationships" name="37_부안" sheetId="38" state="visible" r:id="rId38"/>
    <sheet xmlns:r="http://schemas.openxmlformats.org/officeDocument/2006/relationships" name="38_강화" sheetId="39" state="visible" r:id="rId39"/>
    <sheet xmlns:r="http://schemas.openxmlformats.org/officeDocument/2006/relationships" name="39_언양" sheetId="40" state="visible" r:id="rId40"/>
    <sheet xmlns:r="http://schemas.openxmlformats.org/officeDocument/2006/relationships" name="40_남지" sheetId="41" state="visible" r:id="rId41"/>
    <sheet xmlns:r="http://schemas.openxmlformats.org/officeDocument/2006/relationships" name="41_거제" sheetId="42" state="visible" r:id="rId42"/>
    <sheet xmlns:r="http://schemas.openxmlformats.org/officeDocument/2006/relationships" name="42_조도" sheetId="43" state="visible" r:id="rId43"/>
    <sheet xmlns:r="http://schemas.openxmlformats.org/officeDocument/2006/relationships" name="43_포천" sheetId="44" state="visible" r:id="rId44"/>
    <sheet xmlns:r="http://schemas.openxmlformats.org/officeDocument/2006/relationships" name="44_성산" sheetId="45" state="visible" r:id="rId45"/>
    <sheet xmlns:r="http://schemas.openxmlformats.org/officeDocument/2006/relationships" name="45_여주" sheetId="46" state="visible" r:id="rId46"/>
    <sheet xmlns:r="http://schemas.openxmlformats.org/officeDocument/2006/relationships" name="46_화천" sheetId="47" state="visible" r:id="rId47"/>
    <sheet xmlns:r="http://schemas.openxmlformats.org/officeDocument/2006/relationships" name="47_봉평" sheetId="48" state="visible" r:id="rId48"/>
    <sheet xmlns:r="http://schemas.openxmlformats.org/officeDocument/2006/relationships" name="48_삼척" sheetId="49" state="visible" r:id="rId49"/>
    <sheet xmlns:r="http://schemas.openxmlformats.org/officeDocument/2006/relationships" name="49_제천" sheetId="50" state="visible" r:id="rId50"/>
    <sheet xmlns:r="http://schemas.openxmlformats.org/officeDocument/2006/relationships" name="50_함양" sheetId="51" state="visible" r:id="rId51"/>
  </sheets>
  <definedNames>
    <definedName name="_xlnm.Print_Area" localSheetId="1">'01_태백 신규점'!$A$1:$I$77</definedName>
    <definedName name="_xlnm.Print_Area" localSheetId="2">'02_임계 신규점1'!$A$1:$I$77</definedName>
    <definedName name="_xlnm.Print_Area" localSheetId="3">'03_예산 신규점2'!$A$1:$I$77</definedName>
    <definedName name="_xlnm.Print_Area" localSheetId="4">'04_진안 신규점1'!$A$1:$I$77</definedName>
    <definedName name="_xlnm.Print_Area" localSheetId="5">'05_무풍 신규점1'!$A$1:$I$77</definedName>
    <definedName name="_xlnm.Print_Area" localSheetId="6">'06_길담 신규점'!$A$1:$I$77</definedName>
    <definedName name="_xlnm.Print_Area" localSheetId="7">'07_남해 신규점1'!$A$1:$I$77</definedName>
    <definedName name="_xlnm.Print_Area" localSheetId="8">'08_청일 신규점2'!$A$1:$I$77</definedName>
    <definedName name="_xlnm.Print_Area" localSheetId="9">'09_어론 신규점'!$A$1:$I$77</definedName>
    <definedName name="_xlnm.Print_Area" localSheetId="10">'10_예안 신규점1'!$A$1:$I$77</definedName>
    <definedName name="_xlnm.Print_Area" localSheetId="11">'11_소천 신규점4'!$A$1:$I$77</definedName>
    <definedName name="_xlnm.Print_Area" localSheetId="12">'12_순창 신규점'!$A$1:$I$77</definedName>
    <definedName name="_xlnm.Print_Area" localSheetId="13">'13_순천 신규점'!$A$1:$I$77</definedName>
    <definedName name="_xlnm.Print_Area" localSheetId="14">'14_청송 신규점1'!$A$1:$I$77</definedName>
    <definedName name="_xlnm.Print_Area" localSheetId="15">'15_의성 신규점'!$A$1:$I$77</definedName>
    <definedName name="_xlnm.Print_Area" localSheetId="16">'16_예천 신규점'!$A$1:$I$77</definedName>
    <definedName name="_xlnm.Print_Area" localSheetId="17">'17_영양 신규점4'!$A$1:$I$77</definedName>
    <definedName name="_xlnm.Print_Area" localSheetId="18">'18_통영 신규점'!$A$1:$I$77</definedName>
    <definedName name="_xlnm.Print_Area" localSheetId="19">'19_오호 신규점'!$A$1:$I$77</definedName>
    <definedName name="_xlnm.Print_Area" localSheetId="20">'20_보령 신규점2'!$A$1:$I$77</definedName>
    <definedName name="_xlnm.Print_Area" localSheetId="21">'21_담양 신규점2'!$A$1:$I$77</definedName>
    <definedName name="_xlnm.Print_Area" localSheetId="22">'22_완도 신규점'!$A$1:$I$77</definedName>
    <definedName name="_xlnm.Print_Area" localSheetId="23">'23_덕산 신규점1'!$A$1:$I$77</definedName>
    <definedName name="_xlnm.Print_Area" localSheetId="24">'24_회천 신규점2'!$A$1:$I$77</definedName>
    <definedName name="_xlnm.Print_Area" localSheetId="25">'25_관리 신규점3'!$A$1:$I$77</definedName>
    <definedName name="_xlnm.Print_Area" localSheetId="26">'26_고남 신규점2'!$A$1:$I$77</definedName>
    <definedName name="_xlnm.Print_Area" localSheetId="27">'27_전의 신규점'!$A$1:$I$77</definedName>
    <definedName name="_xlnm.Print_Area" localSheetId="28">'28_이원 신규점'!$A$1:$I$77</definedName>
    <definedName name="_xlnm.Print_Area" localSheetId="29">'29_가야 신규점1'!$A$1:$I$77</definedName>
    <definedName name="_xlnm.Print_Area" localSheetId="30">'30_창녕 신규점'!$A$1:$I$77</definedName>
    <definedName name="_xlnm.Print_Area" localSheetId="31">'31_언양 신규점3'!$A$1:$I$77</definedName>
    <definedName name="_xlnm.Print_Area" localSheetId="32">'32_함양 신규점'!$A$1:$I$77</definedName>
    <definedName name="_xlnm.Print_Area" localSheetId="33">'33_문산 신규점'!$A$1:$I$77</definedName>
    <definedName name="_xlnm.Print_Area" localSheetId="34">'34_부안 신규점'!$A$1:$I$77</definedName>
    <definedName name="_xlnm.Print_Area" localSheetId="35">'35_상주'!$A$1:$I$77</definedName>
    <definedName name="_xlnm.Print_Area" localSheetId="36">'36_미원'!$A$1:$I$77</definedName>
    <definedName name="_xlnm.Print_Area" localSheetId="37">'37_부안'!$A$1:$I$77</definedName>
    <definedName name="_xlnm.Print_Area" localSheetId="38">'38_강화'!$A$1:$I$77</definedName>
    <definedName name="_xlnm.Print_Area" localSheetId="39">'39_언양'!$A$1:$I$77</definedName>
    <definedName name="_xlnm.Print_Area" localSheetId="40">'40_남지'!$A$1:$I$77</definedName>
    <definedName name="_xlnm.Print_Area" localSheetId="41">'41_거제'!$A$1:$I$77</definedName>
    <definedName name="_xlnm.Print_Area" localSheetId="42">'42_조도'!$A$1:$I$77</definedName>
    <definedName name="_xlnm.Print_Area" localSheetId="43">'43_포천'!$A$1:$I$77</definedName>
    <definedName name="_xlnm.Print_Area" localSheetId="44">'44_성산'!$A$1:$I$77</definedName>
    <definedName name="_xlnm.Print_Area" localSheetId="45">'45_여주'!$A$1:$I$77</definedName>
    <definedName name="_xlnm.Print_Area" localSheetId="46">'46_화천'!$A$1:$I$77</definedName>
    <definedName name="_xlnm.Print_Area" localSheetId="47">'47_봉평'!$A$1:$I$77</definedName>
    <definedName name="_xlnm.Print_Area" localSheetId="48">'48_삼척'!$A$1:$I$77</definedName>
    <definedName name="_xlnm.Print_Area" localSheetId="49">'49_제천'!$A$1:$I$77</definedName>
    <definedName name="_xlnm.Print_Area" localSheetId="50">'50_함양'!$A$1:$I$77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0.0"/>
    <numFmt numFmtId="167" formatCode="0.000000"/>
    <numFmt numFmtId="168" formatCode="hh:mm:ss"/>
    <numFmt numFmtId="169" formatCode="0.000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color rgb="00555555"/>
      <sz val="8.5"/>
    </font>
    <font>
      <name val="맑은 고딕"/>
      <b val="1"/>
      <color rgb="00FFFFFF"/>
      <sz val="11"/>
    </font>
    <font>
      <name val="맑은 고딕"/>
      <b val="1"/>
      <sz val="9.5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B2182B"/>
      <sz val="8.5"/>
    </font>
    <font>
      <name val="맑은 고딕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E8F0E8"/>
      </patternFill>
    </fill>
    <fill>
      <patternFill patternType="solid">
        <fgColor rgb="00DDEBF7"/>
      </patternFill>
    </fill>
    <fill>
      <patternFill patternType="solid">
        <fgColor rgb="00FD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7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8" fontId="6" fillId="7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  <xf numFmtId="169" fontId="7" fillId="6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8" customWidth="1" min="4" max="4"/>
    <col width="11" customWidth="1" min="5" max="5"/>
    <col width="11" customWidth="1" min="6" max="6"/>
    <col width="11" customWidth="1" min="7" max="7"/>
    <col width="20" customWidth="1" min="8" max="8"/>
    <col width="12" customWidth="1" min="9" max="9"/>
    <col width="11" customWidth="1" min="10" max="10"/>
    <col width="15" customWidth="1" min="11" max="11"/>
  </cols>
  <sheetData>
    <row r="1" ht="28" customHeight="1">
      <c r="A1" s="1" t="inlineStr">
        <is>
          <t>지자기 시험 탐사 현장야장 — 대상 50점</t>
        </is>
      </c>
    </row>
    <row r="2">
      <c r="A2" s="2" t="inlineStr">
        <is>
          <t>점마다 시트가 하나씩 있다. 현장에서는 그 시트만 채우면 된다. 시간변화 보정·구배 산출·판정은 사무실에서 「시험탐사 표준야장」으로 한다.</t>
        </is>
      </c>
    </row>
    <row r="4">
      <c r="A4" s="3" t="inlineStr">
        <is>
          <t>연번</t>
        </is>
      </c>
      <c r="B4" s="3" t="inlineStr">
        <is>
          <t>Site ID</t>
        </is>
      </c>
      <c r="C4" s="3" t="inlineStr">
        <is>
          <t>구분</t>
        </is>
      </c>
      <c r="D4" s="3" t="inlineStr">
        <is>
          <t>지점명</t>
        </is>
      </c>
      <c r="E4" s="3" t="inlineStr">
        <is>
          <t>도엽명</t>
        </is>
      </c>
      <c r="F4" s="3" t="inlineStr">
        <is>
          <t>위도</t>
        </is>
      </c>
      <c r="G4" s="3" t="inlineStr">
        <is>
          <t>경도</t>
        </is>
      </c>
      <c r="H4" s="3" t="inlineStr">
        <is>
          <t>유의사항</t>
        </is>
      </c>
      <c r="I4" s="3" t="inlineStr">
        <is>
          <t>관측일자</t>
        </is>
      </c>
      <c r="J4" s="3" t="inlineStr">
        <is>
          <t>관측자</t>
        </is>
      </c>
      <c r="K4" s="3" t="inlineStr">
        <is>
          <t>진행 상태</t>
        </is>
      </c>
    </row>
    <row r="5">
      <c r="A5" s="4" t="n">
        <v>1</v>
      </c>
      <c r="B5" s="4" t="inlineStr">
        <is>
          <t>S01</t>
        </is>
      </c>
      <c r="C5" s="4" t="inlineStr">
        <is>
          <t>A</t>
        </is>
      </c>
      <c r="D5" s="4" t="inlineStr">
        <is>
          <t>태백 신규점</t>
        </is>
      </c>
      <c r="E5" s="4" t="inlineStr">
        <is>
          <t>태백</t>
        </is>
      </c>
      <c r="F5" s="5" t="n">
        <v>37.020705</v>
      </c>
      <c r="G5" s="5" t="n">
        <v>128.98393</v>
      </c>
      <c r="H5" s="6" t="inlineStr"/>
      <c r="I5" s="7" t="n"/>
      <c r="J5" s="8" t="n"/>
      <c r="K5" s="8" t="n"/>
    </row>
    <row r="6">
      <c r="A6" s="4" t="n">
        <v>2</v>
      </c>
      <c r="B6" s="4" t="inlineStr">
        <is>
          <t>S02</t>
        </is>
      </c>
      <c r="C6" s="4" t="inlineStr">
        <is>
          <t>A</t>
        </is>
      </c>
      <c r="D6" s="4" t="inlineStr">
        <is>
          <t>임계 신규점1</t>
        </is>
      </c>
      <c r="E6" s="4" t="inlineStr">
        <is>
          <t>임계</t>
        </is>
      </c>
      <c r="F6" s="5" t="n">
        <v>37.359346</v>
      </c>
      <c r="G6" s="5" t="n">
        <v>128.973865</v>
      </c>
      <c r="H6" s="6" t="inlineStr"/>
      <c r="I6" s="7" t="n"/>
      <c r="J6" s="8" t="n"/>
      <c r="K6" s="8" t="n"/>
    </row>
    <row r="7">
      <c r="A7" s="4" t="n">
        <v>3</v>
      </c>
      <c r="B7" s="4" t="inlineStr">
        <is>
          <t>S03</t>
        </is>
      </c>
      <c r="C7" s="4" t="inlineStr">
        <is>
          <t>A</t>
        </is>
      </c>
      <c r="D7" s="4" t="inlineStr">
        <is>
          <t>예산 신규점2</t>
        </is>
      </c>
      <c r="E7" s="4" t="inlineStr">
        <is>
          <t>예산</t>
        </is>
      </c>
      <c r="F7" s="5" t="n">
        <v>36.534085</v>
      </c>
      <c r="G7" s="5" t="n">
        <v>126.936269</v>
      </c>
      <c r="H7" s="6" t="inlineStr"/>
      <c r="I7" s="7" t="n"/>
      <c r="J7" s="8" t="n"/>
      <c r="K7" s="8" t="n"/>
    </row>
    <row r="8">
      <c r="A8" s="4" t="n">
        <v>4</v>
      </c>
      <c r="B8" s="4" t="inlineStr">
        <is>
          <t>S04</t>
        </is>
      </c>
      <c r="C8" s="4" t="inlineStr">
        <is>
          <t>A</t>
        </is>
      </c>
      <c r="D8" s="4" t="inlineStr">
        <is>
          <t>진안 신규점1</t>
        </is>
      </c>
      <c r="E8" s="4" t="inlineStr">
        <is>
          <t>진안</t>
        </is>
      </c>
      <c r="F8" s="5" t="n">
        <v>35.891309</v>
      </c>
      <c r="G8" s="5" t="n">
        <v>127.309017</v>
      </c>
      <c r="H8" s="6" t="inlineStr"/>
      <c r="I8" s="7" t="n"/>
      <c r="J8" s="8" t="n"/>
      <c r="K8" s="8" t="n"/>
    </row>
    <row r="9">
      <c r="A9" s="4" t="n">
        <v>5</v>
      </c>
      <c r="B9" s="4" t="inlineStr">
        <is>
          <t>S05</t>
        </is>
      </c>
      <c r="C9" s="4" t="inlineStr">
        <is>
          <t>A</t>
        </is>
      </c>
      <c r="D9" s="4" t="inlineStr">
        <is>
          <t>무풍 신규점1</t>
        </is>
      </c>
      <c r="E9" s="4" t="inlineStr">
        <is>
          <t>무풍</t>
        </is>
      </c>
      <c r="F9" s="5" t="n">
        <v>35.945212</v>
      </c>
      <c r="G9" s="5" t="n">
        <v>127.800855</v>
      </c>
      <c r="H9" s="6" t="inlineStr"/>
      <c r="I9" s="7" t="n"/>
      <c r="J9" s="8" t="n"/>
      <c r="K9" s="8" t="n"/>
    </row>
    <row r="10">
      <c r="A10" s="4" t="n">
        <v>6</v>
      </c>
      <c r="B10" s="4" t="inlineStr">
        <is>
          <t>S06</t>
        </is>
      </c>
      <c r="C10" s="4" t="inlineStr">
        <is>
          <t>B</t>
        </is>
      </c>
      <c r="D10" s="4" t="inlineStr">
        <is>
          <t>길담 신규점</t>
        </is>
      </c>
      <c r="E10" s="4" t="inlineStr">
        <is>
          <t>갈담</t>
        </is>
      </c>
      <c r="F10" s="5" t="n">
        <v>35.604653</v>
      </c>
      <c r="G10" s="5" t="n">
        <v>127.230237</v>
      </c>
      <c r="H10" s="6" t="inlineStr"/>
      <c r="I10" s="7" t="n"/>
      <c r="J10" s="8" t="n"/>
      <c r="K10" s="8" t="n"/>
    </row>
    <row r="11">
      <c r="A11" s="4" t="n">
        <v>7</v>
      </c>
      <c r="B11" s="4" t="inlineStr">
        <is>
          <t>S07</t>
        </is>
      </c>
      <c r="C11" s="4" t="inlineStr">
        <is>
          <t>B</t>
        </is>
      </c>
      <c r="D11" s="4" t="inlineStr">
        <is>
          <t>남해 신규점1</t>
        </is>
      </c>
      <c r="E11" s="4" t="inlineStr">
        <is>
          <t>남해</t>
        </is>
      </c>
      <c r="F11" s="5" t="n">
        <v>34.852281</v>
      </c>
      <c r="G11" s="5" t="n">
        <v>127.981473</v>
      </c>
      <c r="H11" s="6" t="inlineStr"/>
      <c r="I11" s="7" t="n"/>
      <c r="J11" s="8" t="n"/>
      <c r="K11" s="8" t="n"/>
    </row>
    <row r="12">
      <c r="A12" s="4" t="n">
        <v>8</v>
      </c>
      <c r="B12" s="4" t="inlineStr">
        <is>
          <t>S08</t>
        </is>
      </c>
      <c r="C12" s="4" t="inlineStr">
        <is>
          <t>B</t>
        </is>
      </c>
      <c r="D12" s="4" t="inlineStr">
        <is>
          <t>청일 신규점2</t>
        </is>
      </c>
      <c r="E12" s="4" t="inlineStr">
        <is>
          <t>청일</t>
        </is>
      </c>
      <c r="F12" s="5" t="n">
        <v>37.618578</v>
      </c>
      <c r="G12" s="5" t="n">
        <v>128.1698</v>
      </c>
      <c r="H12" s="6" t="inlineStr"/>
      <c r="I12" s="7" t="n"/>
      <c r="J12" s="8" t="n"/>
      <c r="K12" s="8" t="n"/>
    </row>
    <row r="13">
      <c r="A13" s="4" t="n">
        <v>9</v>
      </c>
      <c r="B13" s="4" t="inlineStr">
        <is>
          <t>S09</t>
        </is>
      </c>
      <c r="C13" s="4" t="inlineStr">
        <is>
          <t>B</t>
        </is>
      </c>
      <c r="D13" s="4" t="inlineStr">
        <is>
          <t>어론 신규점</t>
        </is>
      </c>
      <c r="E13" s="4" t="inlineStr">
        <is>
          <t>어론</t>
        </is>
      </c>
      <c r="F13" s="5" t="n">
        <v>37.776326</v>
      </c>
      <c r="G13" s="5" t="n">
        <v>128.075858</v>
      </c>
      <c r="H13" s="6" t="inlineStr"/>
      <c r="I13" s="7" t="n"/>
      <c r="J13" s="8" t="n"/>
      <c r="K13" s="8" t="n"/>
    </row>
    <row r="14">
      <c r="A14" s="4" t="n">
        <v>10</v>
      </c>
      <c r="B14" s="4" t="inlineStr">
        <is>
          <t>S10</t>
        </is>
      </c>
      <c r="C14" s="4" t="inlineStr">
        <is>
          <t>B</t>
        </is>
      </c>
      <c r="D14" s="4" t="inlineStr">
        <is>
          <t>예안 신규점1</t>
        </is>
      </c>
      <c r="E14" s="4" t="inlineStr">
        <is>
          <t>예안</t>
        </is>
      </c>
      <c r="F14" s="5" t="n">
        <v>36.745399</v>
      </c>
      <c r="G14" s="5" t="n">
        <v>128.853559</v>
      </c>
      <c r="H14" s="6" t="inlineStr"/>
      <c r="I14" s="7" t="n"/>
      <c r="J14" s="8" t="n"/>
      <c r="K14" s="8" t="n"/>
    </row>
    <row r="15">
      <c r="A15" s="4" t="n">
        <v>11</v>
      </c>
      <c r="B15" s="4" t="inlineStr">
        <is>
          <t>S11</t>
        </is>
      </c>
      <c r="C15" s="4" t="inlineStr">
        <is>
          <t>B</t>
        </is>
      </c>
      <c r="D15" s="4" t="inlineStr">
        <is>
          <t>소천 신규점4</t>
        </is>
      </c>
      <c r="E15" s="4" t="inlineStr">
        <is>
          <t>소천</t>
        </is>
      </c>
      <c r="F15" s="5" t="n">
        <v>36.765848</v>
      </c>
      <c r="G15" s="5" t="n">
        <v>129.154341</v>
      </c>
      <c r="H15" s="6" t="inlineStr"/>
      <c r="I15" s="7" t="n"/>
      <c r="J15" s="8" t="n"/>
      <c r="K15" s="8" t="n"/>
    </row>
    <row r="16">
      <c r="A16" s="4" t="n">
        <v>12</v>
      </c>
      <c r="B16" s="4" t="inlineStr">
        <is>
          <t>S12</t>
        </is>
      </c>
      <c r="C16" s="4" t="inlineStr">
        <is>
          <t>B</t>
        </is>
      </c>
      <c r="D16" s="4" t="inlineStr">
        <is>
          <t>순창 신규점</t>
        </is>
      </c>
      <c r="E16" s="4" t="inlineStr">
        <is>
          <t>순창</t>
        </is>
      </c>
      <c r="F16" s="5" t="n">
        <v>35.284821</v>
      </c>
      <c r="G16" s="5" t="n">
        <v>127.092148</v>
      </c>
      <c r="H16" s="6" t="inlineStr"/>
      <c r="I16" s="7" t="n"/>
      <c r="J16" s="8" t="n"/>
      <c r="K16" s="8" t="n"/>
    </row>
    <row r="17">
      <c r="A17" s="4" t="n">
        <v>13</v>
      </c>
      <c r="B17" s="4" t="inlineStr">
        <is>
          <t>S13</t>
        </is>
      </c>
      <c r="C17" s="4" t="inlineStr">
        <is>
          <t>B</t>
        </is>
      </c>
      <c r="D17" s="4" t="inlineStr">
        <is>
          <t>순천 신규점</t>
        </is>
      </c>
      <c r="E17" s="4" t="inlineStr">
        <is>
          <t>순천</t>
        </is>
      </c>
      <c r="F17" s="5" t="n">
        <v>34.904713</v>
      </c>
      <c r="G17" s="5" t="n">
        <v>127.294737</v>
      </c>
      <c r="H17" s="6" t="inlineStr"/>
      <c r="I17" s="7" t="n"/>
      <c r="J17" s="8" t="n"/>
      <c r="K17" s="8" t="n"/>
    </row>
    <row r="18">
      <c r="A18" s="4" t="n">
        <v>14</v>
      </c>
      <c r="B18" s="4" t="inlineStr">
        <is>
          <t>S14</t>
        </is>
      </c>
      <c r="C18" s="4" t="inlineStr">
        <is>
          <t>B</t>
        </is>
      </c>
      <c r="D18" s="4" t="inlineStr">
        <is>
          <t>청송 신규점1</t>
        </is>
      </c>
      <c r="E18" s="4" t="inlineStr">
        <is>
          <t>청송</t>
        </is>
      </c>
      <c r="F18" s="5" t="n">
        <v>36.382888</v>
      </c>
      <c r="G18" s="5" t="n">
        <v>129.145795</v>
      </c>
      <c r="H18" s="6" t="inlineStr"/>
      <c r="I18" s="7" t="n"/>
      <c r="J18" s="8" t="n"/>
      <c r="K18" s="8" t="n"/>
    </row>
    <row r="19">
      <c r="A19" s="4" t="n">
        <v>15</v>
      </c>
      <c r="B19" s="4" t="inlineStr">
        <is>
          <t>S15</t>
        </is>
      </c>
      <c r="C19" s="4" t="inlineStr">
        <is>
          <t>B</t>
        </is>
      </c>
      <c r="D19" s="4" t="inlineStr">
        <is>
          <t>의성 신규점</t>
        </is>
      </c>
      <c r="E19" s="4" t="inlineStr">
        <is>
          <t>의성</t>
        </is>
      </c>
      <c r="F19" s="5" t="n">
        <v>36.4767</v>
      </c>
      <c r="G19" s="5" t="n">
        <v>128.508751</v>
      </c>
      <c r="H19" s="6" t="inlineStr"/>
      <c r="I19" s="7" t="n"/>
      <c r="J19" s="8" t="n"/>
      <c r="K19" s="8" t="n"/>
    </row>
    <row r="20">
      <c r="A20" s="4" t="n">
        <v>16</v>
      </c>
      <c r="B20" s="4" t="inlineStr">
        <is>
          <t>S16</t>
        </is>
      </c>
      <c r="C20" s="4" t="inlineStr">
        <is>
          <t>B</t>
        </is>
      </c>
      <c r="D20" s="4" t="inlineStr">
        <is>
          <t>예천 신규점</t>
        </is>
      </c>
      <c r="E20" s="4" t="inlineStr">
        <is>
          <t>예천</t>
        </is>
      </c>
      <c r="F20" s="5" t="n">
        <v>36.50939</v>
      </c>
      <c r="G20" s="5" t="n">
        <v>128.494519</v>
      </c>
      <c r="H20" s="6" t="inlineStr"/>
      <c r="I20" s="7" t="n"/>
      <c r="J20" s="8" t="n"/>
      <c r="K20" s="8" t="n"/>
    </row>
    <row r="21">
      <c r="A21" s="4" t="n">
        <v>17</v>
      </c>
      <c r="B21" s="4" t="inlineStr">
        <is>
          <t>S17</t>
        </is>
      </c>
      <c r="C21" s="4" t="inlineStr">
        <is>
          <t>B</t>
        </is>
      </c>
      <c r="D21" s="4" t="inlineStr">
        <is>
          <t>영양 신규점4</t>
        </is>
      </c>
      <c r="E21" s="4" t="inlineStr">
        <is>
          <t>영양</t>
        </is>
      </c>
      <c r="F21" s="5" t="n">
        <v>36.743626</v>
      </c>
      <c r="G21" s="5" t="n">
        <v>129.181307</v>
      </c>
      <c r="H21" s="6" t="inlineStr"/>
      <c r="I21" s="7" t="n"/>
      <c r="J21" s="8" t="n"/>
      <c r="K21" s="8" t="n"/>
    </row>
    <row r="22">
      <c r="A22" s="4" t="n">
        <v>18</v>
      </c>
      <c r="B22" s="4" t="inlineStr">
        <is>
          <t>S18</t>
        </is>
      </c>
      <c r="C22" s="4" t="inlineStr">
        <is>
          <t>B</t>
        </is>
      </c>
      <c r="D22" s="4" t="inlineStr">
        <is>
          <t>통영 신규점</t>
        </is>
      </c>
      <c r="E22" s="4" t="inlineStr">
        <is>
          <t>통영</t>
        </is>
      </c>
      <c r="F22" s="5" t="n">
        <v>34.792976</v>
      </c>
      <c r="G22" s="5" t="n">
        <v>128.393827</v>
      </c>
      <c r="H22" s="6" t="inlineStr"/>
      <c r="I22" s="7" t="n"/>
      <c r="J22" s="8" t="n"/>
      <c r="K22" s="8" t="n"/>
    </row>
    <row r="23">
      <c r="A23" s="4" t="n">
        <v>19</v>
      </c>
      <c r="B23" s="4" t="inlineStr">
        <is>
          <t>S19</t>
        </is>
      </c>
      <c r="C23" s="4" t="inlineStr">
        <is>
          <t>B</t>
        </is>
      </c>
      <c r="D23" s="4" t="inlineStr">
        <is>
          <t>오호 신규점</t>
        </is>
      </c>
      <c r="E23" s="4" t="inlineStr">
        <is>
          <t>오호</t>
        </is>
      </c>
      <c r="F23" s="5" t="n">
        <v>38.318869</v>
      </c>
      <c r="G23" s="5" t="n">
        <v>128.521755</v>
      </c>
      <c r="H23" s="6" t="inlineStr"/>
      <c r="I23" s="7" t="n"/>
      <c r="J23" s="8" t="n"/>
      <c r="K23" s="8" t="n"/>
    </row>
    <row r="24">
      <c r="A24" s="4" t="n">
        <v>20</v>
      </c>
      <c r="B24" s="4" t="inlineStr">
        <is>
          <t>S20</t>
        </is>
      </c>
      <c r="C24" s="4" t="inlineStr">
        <is>
          <t>B</t>
        </is>
      </c>
      <c r="D24" s="4" t="inlineStr">
        <is>
          <t>보령 신규점2</t>
        </is>
      </c>
      <c r="E24" s="4" t="inlineStr">
        <is>
          <t>보령</t>
        </is>
      </c>
      <c r="F24" s="5" t="n">
        <v>36.266844</v>
      </c>
      <c r="G24" s="5" t="n">
        <v>126.706961</v>
      </c>
      <c r="H24" s="6" t="inlineStr"/>
      <c r="I24" s="7" t="n"/>
      <c r="J24" s="8" t="n"/>
      <c r="K24" s="8" t="n"/>
    </row>
    <row r="25">
      <c r="A25" s="4" t="n">
        <v>21</v>
      </c>
      <c r="B25" s="4" t="inlineStr">
        <is>
          <t>S21</t>
        </is>
      </c>
      <c r="C25" s="4" t="inlineStr">
        <is>
          <t>B</t>
        </is>
      </c>
      <c r="D25" s="4" t="inlineStr">
        <is>
          <t>담양 신규점2</t>
        </is>
      </c>
      <c r="E25" s="4" t="inlineStr">
        <is>
          <t>담양</t>
        </is>
      </c>
      <c r="F25" s="5" t="n">
        <v>35.456101</v>
      </c>
      <c r="G25" s="5" t="n">
        <v>126.962054</v>
      </c>
      <c r="H25" s="6" t="inlineStr"/>
      <c r="I25" s="7" t="n"/>
      <c r="J25" s="8" t="n"/>
      <c r="K25" s="8" t="n"/>
    </row>
    <row r="26">
      <c r="A26" s="4" t="n">
        <v>22</v>
      </c>
      <c r="B26" s="4" t="inlineStr">
        <is>
          <t>S22</t>
        </is>
      </c>
      <c r="C26" s="4" t="inlineStr">
        <is>
          <t>B</t>
        </is>
      </c>
      <c r="D26" s="4" t="inlineStr">
        <is>
          <t>완도 신규점</t>
        </is>
      </c>
      <c r="E26" s="4" t="inlineStr">
        <is>
          <t>완도</t>
        </is>
      </c>
      <c r="F26" s="5" t="n">
        <v>34.328826</v>
      </c>
      <c r="G26" s="5" t="n">
        <v>126.543215</v>
      </c>
      <c r="H26" s="6" t="inlineStr"/>
      <c r="I26" s="7" t="n"/>
      <c r="J26" s="8" t="n"/>
      <c r="K26" s="8" t="n"/>
    </row>
    <row r="27">
      <c r="A27" s="4" t="n">
        <v>23</v>
      </c>
      <c r="B27" s="4" t="inlineStr">
        <is>
          <t>S23</t>
        </is>
      </c>
      <c r="C27" s="4" t="inlineStr">
        <is>
          <t>B</t>
        </is>
      </c>
      <c r="D27" s="4" t="inlineStr">
        <is>
          <t>덕산 신규점1</t>
        </is>
      </c>
      <c r="E27" s="4" t="inlineStr">
        <is>
          <t>덕산</t>
        </is>
      </c>
      <c r="F27" s="5" t="n">
        <v>36.888529</v>
      </c>
      <c r="G27" s="5" t="n">
        <v>128.192739</v>
      </c>
      <c r="H27" s="6" t="inlineStr"/>
      <c r="I27" s="7" t="n"/>
      <c r="J27" s="8" t="n"/>
      <c r="K27" s="8" t="n"/>
    </row>
    <row r="28">
      <c r="A28" s="4" t="n">
        <v>24</v>
      </c>
      <c r="B28" s="4" t="inlineStr">
        <is>
          <t>S24</t>
        </is>
      </c>
      <c r="C28" s="4" t="inlineStr">
        <is>
          <t>B</t>
        </is>
      </c>
      <c r="D28" s="4" t="inlineStr">
        <is>
          <t>회천 신규점2</t>
        </is>
      </c>
      <c r="E28" s="4" t="inlineStr">
        <is>
          <t>회천</t>
        </is>
      </c>
      <c r="F28" s="5" t="n">
        <v>34.680805</v>
      </c>
      <c r="G28" s="5" t="n">
        <v>127.04766</v>
      </c>
      <c r="H28" s="6" t="inlineStr"/>
      <c r="I28" s="7" t="n"/>
      <c r="J28" s="8" t="n"/>
      <c r="K28" s="8" t="n"/>
    </row>
    <row r="29">
      <c r="A29" s="4" t="n">
        <v>25</v>
      </c>
      <c r="B29" s="4" t="inlineStr">
        <is>
          <t>S25</t>
        </is>
      </c>
      <c r="C29" s="4" t="inlineStr">
        <is>
          <t>B</t>
        </is>
      </c>
      <c r="D29" s="4" t="inlineStr">
        <is>
          <t>관리 신규점3</t>
        </is>
      </c>
      <c r="E29" s="4" t="inlineStr">
        <is>
          <t>관기</t>
        </is>
      </c>
      <c r="F29" s="5" t="n">
        <v>36.325755</v>
      </c>
      <c r="G29" s="5" t="n">
        <v>127.905982</v>
      </c>
      <c r="H29" s="6" t="inlineStr"/>
      <c r="I29" s="7" t="n"/>
      <c r="J29" s="8" t="n"/>
      <c r="K29" s="8" t="n"/>
    </row>
    <row r="30">
      <c r="A30" s="4" t="n">
        <v>26</v>
      </c>
      <c r="B30" s="4" t="inlineStr">
        <is>
          <t>S26</t>
        </is>
      </c>
      <c r="C30" s="4" t="inlineStr">
        <is>
          <t>B</t>
        </is>
      </c>
      <c r="D30" s="4" t="inlineStr">
        <is>
          <t>고남 신규점2</t>
        </is>
      </c>
      <c r="E30" s="4" t="inlineStr">
        <is>
          <t>고남</t>
        </is>
      </c>
      <c r="F30" s="5" t="n">
        <v>36.452304</v>
      </c>
      <c r="G30" s="5" t="n">
        <v>126.395802</v>
      </c>
      <c r="H30" s="6" t="inlineStr"/>
      <c r="I30" s="7" t="n"/>
      <c r="J30" s="8" t="n"/>
      <c r="K30" s="8" t="n"/>
    </row>
    <row r="31">
      <c r="A31" s="4" t="n">
        <v>27</v>
      </c>
      <c r="B31" s="4" t="inlineStr">
        <is>
          <t>S27</t>
        </is>
      </c>
      <c r="C31" s="4" t="inlineStr">
        <is>
          <t>B</t>
        </is>
      </c>
      <c r="D31" s="4" t="inlineStr">
        <is>
          <t>전의 신규점</t>
        </is>
      </c>
      <c r="E31" s="4" t="inlineStr">
        <is>
          <t>전의</t>
        </is>
      </c>
      <c r="F31" s="5" t="n">
        <v>36.579379</v>
      </c>
      <c r="G31" s="5" t="n">
        <v>127.068702</v>
      </c>
      <c r="H31" s="6" t="inlineStr"/>
      <c r="I31" s="7" t="n"/>
      <c r="J31" s="8" t="n"/>
      <c r="K31" s="8" t="n"/>
    </row>
    <row r="32">
      <c r="A32" s="4" t="n">
        <v>28</v>
      </c>
      <c r="B32" s="4" t="inlineStr">
        <is>
          <t>S28</t>
        </is>
      </c>
      <c r="C32" s="4" t="inlineStr">
        <is>
          <t>B</t>
        </is>
      </c>
      <c r="D32" s="4" t="inlineStr">
        <is>
          <t>이원 신규점</t>
        </is>
      </c>
      <c r="E32" s="4" t="inlineStr">
        <is>
          <t>이원</t>
        </is>
      </c>
      <c r="F32" s="5" t="n">
        <v>36.16662</v>
      </c>
      <c r="G32" s="5" t="n">
        <v>127.583121</v>
      </c>
      <c r="H32" s="6" t="inlineStr"/>
      <c r="I32" s="7" t="n"/>
      <c r="J32" s="8" t="n"/>
      <c r="K32" s="8" t="n"/>
    </row>
    <row r="33">
      <c r="A33" s="4" t="n">
        <v>29</v>
      </c>
      <c r="B33" s="4" t="inlineStr">
        <is>
          <t>S29</t>
        </is>
      </c>
      <c r="C33" s="4" t="inlineStr">
        <is>
          <t>B</t>
        </is>
      </c>
      <c r="D33" s="4" t="inlineStr">
        <is>
          <t>가야 신규점1</t>
        </is>
      </c>
      <c r="E33" s="4" t="inlineStr">
        <is>
          <t>가야</t>
        </is>
      </c>
      <c r="F33" s="5" t="n">
        <v>35.777986</v>
      </c>
      <c r="G33" s="5" t="n">
        <v>128.036833</v>
      </c>
      <c r="H33" s="6" t="inlineStr"/>
      <c r="I33" s="7" t="n"/>
      <c r="J33" s="8" t="n"/>
      <c r="K33" s="8" t="n"/>
    </row>
    <row r="34">
      <c r="A34" s="4" t="n">
        <v>30</v>
      </c>
      <c r="B34" s="4" t="inlineStr">
        <is>
          <t>S30</t>
        </is>
      </c>
      <c r="C34" s="4" t="inlineStr">
        <is>
          <t>B</t>
        </is>
      </c>
      <c r="D34" s="4" t="inlineStr">
        <is>
          <t>창녕 신규점</t>
        </is>
      </c>
      <c r="E34" s="4" t="inlineStr">
        <is>
          <t>창녕</t>
        </is>
      </c>
      <c r="F34" s="5" t="n">
        <v>35.662586</v>
      </c>
      <c r="G34" s="5" t="n">
        <v>128.298099</v>
      </c>
      <c r="H34" s="6" t="inlineStr"/>
      <c r="I34" s="7" t="n"/>
      <c r="J34" s="8" t="n"/>
      <c r="K34" s="8" t="n"/>
    </row>
    <row r="35">
      <c r="A35" s="4" t="n">
        <v>31</v>
      </c>
      <c r="B35" s="4" t="inlineStr">
        <is>
          <t>S31</t>
        </is>
      </c>
      <c r="C35" s="4" t="inlineStr">
        <is>
          <t>B</t>
        </is>
      </c>
      <c r="D35" s="4" t="inlineStr">
        <is>
          <t>언양 신규점3</t>
        </is>
      </c>
      <c r="E35" s="4" t="inlineStr">
        <is>
          <t>언양</t>
        </is>
      </c>
      <c r="F35" s="5" t="n">
        <v>35.742364</v>
      </c>
      <c r="G35" s="5" t="n">
        <v>129.029824</v>
      </c>
      <c r="H35" s="6" t="inlineStr"/>
      <c r="I35" s="7" t="n"/>
      <c r="J35" s="8" t="n"/>
      <c r="K35" s="8" t="n"/>
    </row>
    <row r="36">
      <c r="A36" s="4" t="n">
        <v>32</v>
      </c>
      <c r="B36" s="4" t="inlineStr">
        <is>
          <t>S32</t>
        </is>
      </c>
      <c r="C36" s="4" t="inlineStr">
        <is>
          <t>B</t>
        </is>
      </c>
      <c r="D36" s="4" t="inlineStr">
        <is>
          <t>함양 신규점</t>
        </is>
      </c>
      <c r="E36" s="4" t="inlineStr">
        <is>
          <t>함양</t>
        </is>
      </c>
      <c r="F36" s="5" t="n">
        <v>35.586243</v>
      </c>
      <c r="G36" s="5" t="n">
        <v>127.574659</v>
      </c>
      <c r="H36" s="6" t="inlineStr"/>
      <c r="I36" s="7" t="n"/>
      <c r="J36" s="8" t="n"/>
      <c r="K36" s="8" t="n"/>
    </row>
    <row r="37">
      <c r="A37" s="4" t="n">
        <v>33</v>
      </c>
      <c r="B37" s="4" t="inlineStr">
        <is>
          <t>S33</t>
        </is>
      </c>
      <c r="C37" s="4" t="inlineStr">
        <is>
          <t>B</t>
        </is>
      </c>
      <c r="D37" s="4" t="inlineStr">
        <is>
          <t>문산 신규점</t>
        </is>
      </c>
      <c r="E37" s="4" t="inlineStr">
        <is>
          <t>문산</t>
        </is>
      </c>
      <c r="F37" s="5" t="n">
        <v>37.927676</v>
      </c>
      <c r="G37" s="5" t="n">
        <v>126.870305</v>
      </c>
      <c r="H37" s="6" t="inlineStr"/>
      <c r="I37" s="7" t="n"/>
      <c r="J37" s="8" t="n"/>
      <c r="K37" s="8" t="n"/>
    </row>
    <row r="38">
      <c r="A38" s="4" t="n">
        <v>34</v>
      </c>
      <c r="B38" s="4" t="inlineStr">
        <is>
          <t>S34</t>
        </is>
      </c>
      <c r="C38" s="4" t="inlineStr">
        <is>
          <t>B</t>
        </is>
      </c>
      <c r="D38" s="4" t="inlineStr">
        <is>
          <t>부안 신규점</t>
        </is>
      </c>
      <c r="E38" s="4" t="inlineStr">
        <is>
          <t>부안</t>
        </is>
      </c>
      <c r="F38" s="5" t="n">
        <v>35.541753</v>
      </c>
      <c r="G38" s="5" t="n">
        <v>126.645582</v>
      </c>
      <c r="H38" s="6" t="inlineStr"/>
      <c r="I38" s="7" t="n"/>
      <c r="J38" s="8" t="n"/>
      <c r="K38" s="8" t="n"/>
    </row>
    <row r="39">
      <c r="A39" s="4" t="n">
        <v>35</v>
      </c>
      <c r="B39" s="4" t="inlineStr">
        <is>
          <t>S35</t>
        </is>
      </c>
      <c r="C39" s="4" t="inlineStr">
        <is>
          <t>기존점</t>
        </is>
      </c>
      <c r="D39" s="4" t="inlineStr">
        <is>
          <t>상주</t>
        </is>
      </c>
      <c r="E39" s="4" t="inlineStr">
        <is>
          <t>상주</t>
        </is>
      </c>
      <c r="F39" s="5" t="n">
        <v>36.35528841666667</v>
      </c>
      <c r="G39" s="5" t="n">
        <v>128.1104806944444</v>
      </c>
      <c r="H39" s="6" t="inlineStr"/>
      <c r="I39" s="7" t="n"/>
      <c r="J39" s="8" t="n"/>
      <c r="K39" s="8" t="n"/>
    </row>
    <row r="40">
      <c r="A40" s="4" t="n">
        <v>36</v>
      </c>
      <c r="B40" s="4" t="inlineStr">
        <is>
          <t>S36</t>
        </is>
      </c>
      <c r="C40" s="4" t="inlineStr">
        <is>
          <t>기존점</t>
        </is>
      </c>
      <c r="D40" s="4" t="inlineStr">
        <is>
          <t>미원</t>
        </is>
      </c>
      <c r="E40" s="4" t="inlineStr">
        <is>
          <t>미원</t>
        </is>
      </c>
      <c r="F40" s="5" t="n">
        <v>36.72502777777778</v>
      </c>
      <c r="G40" s="5" t="n">
        <v>127.5862222222222</v>
      </c>
      <c r="H40" s="6" t="inlineStr"/>
      <c r="I40" s="7" t="n"/>
      <c r="J40" s="8" t="n"/>
      <c r="K40" s="8" t="n"/>
    </row>
    <row r="41">
      <c r="A41" s="4" t="n">
        <v>37</v>
      </c>
      <c r="B41" s="4" t="inlineStr">
        <is>
          <t>S37</t>
        </is>
      </c>
      <c r="C41" s="4" t="inlineStr">
        <is>
          <t>기존점</t>
        </is>
      </c>
      <c r="D41" s="4" t="inlineStr">
        <is>
          <t>부안</t>
        </is>
      </c>
      <c r="E41" s="4" t="inlineStr">
        <is>
          <t>부안</t>
        </is>
      </c>
      <c r="F41" s="5" t="n">
        <v>35.58775</v>
      </c>
      <c r="G41" s="5" t="n">
        <v>126.7161388888889</v>
      </c>
      <c r="H41" s="9" t="inlineStr">
        <is>
          <t>주변 태양광 위치</t>
        </is>
      </c>
      <c r="I41" s="7" t="n"/>
      <c r="J41" s="8" t="n"/>
      <c r="K41" s="8" t="n"/>
    </row>
    <row r="42">
      <c r="A42" s="4" t="n">
        <v>38</v>
      </c>
      <c r="B42" s="4" t="inlineStr">
        <is>
          <t>S38</t>
        </is>
      </c>
      <c r="C42" s="4" t="inlineStr">
        <is>
          <t>기존점</t>
        </is>
      </c>
      <c r="D42" s="4" t="inlineStr">
        <is>
          <t>강화</t>
        </is>
      </c>
      <c r="E42" s="4" t="inlineStr">
        <is>
          <t>강화</t>
        </is>
      </c>
      <c r="F42" s="5" t="n">
        <v>37.66612411111111</v>
      </c>
      <c r="G42" s="5" t="n">
        <v>126.4787752222222</v>
      </c>
      <c r="H42" s="6" t="inlineStr"/>
      <c r="I42" s="7" t="n"/>
      <c r="J42" s="8" t="n"/>
      <c r="K42" s="8" t="n"/>
    </row>
    <row r="43">
      <c r="A43" s="4" t="n">
        <v>39</v>
      </c>
      <c r="B43" s="4" t="inlineStr">
        <is>
          <t>S39</t>
        </is>
      </c>
      <c r="C43" s="4" t="inlineStr">
        <is>
          <t>기존점</t>
        </is>
      </c>
      <c r="D43" s="4" t="inlineStr">
        <is>
          <t>언양</t>
        </is>
      </c>
      <c r="E43" s="4" t="inlineStr">
        <is>
          <t>언양</t>
        </is>
      </c>
      <c r="F43" s="5" t="n">
        <v>35.67619994444444</v>
      </c>
      <c r="G43" s="5" t="n">
        <v>129.1908721388889</v>
      </c>
      <c r="H43" s="9" t="inlineStr">
        <is>
          <t>도로 접근성 나쁨</t>
        </is>
      </c>
      <c r="I43" s="7" t="n"/>
      <c r="J43" s="8" t="n"/>
      <c r="K43" s="8" t="n"/>
    </row>
    <row r="44">
      <c r="A44" s="4" t="n">
        <v>40</v>
      </c>
      <c r="B44" s="4" t="inlineStr">
        <is>
          <t>S40</t>
        </is>
      </c>
      <c r="C44" s="4" t="inlineStr">
        <is>
          <t>기존점</t>
        </is>
      </c>
      <c r="D44" s="4" t="inlineStr">
        <is>
          <t>남지</t>
        </is>
      </c>
      <c r="E44" s="4" t="inlineStr">
        <is>
          <t>남지</t>
        </is>
      </c>
      <c r="F44" s="5" t="n">
        <v>35.43616666666667</v>
      </c>
      <c r="G44" s="5" t="n">
        <v>128.4737777777778</v>
      </c>
      <c r="H44" s="6" t="inlineStr"/>
      <c r="I44" s="7" t="n"/>
      <c r="J44" s="8" t="n"/>
      <c r="K44" s="8" t="n"/>
    </row>
    <row r="45">
      <c r="A45" s="4" t="n">
        <v>41</v>
      </c>
      <c r="B45" s="4" t="inlineStr">
        <is>
          <t>S41</t>
        </is>
      </c>
      <c r="C45" s="4" t="inlineStr">
        <is>
          <t>기존점</t>
        </is>
      </c>
      <c r="D45" s="4" t="inlineStr">
        <is>
          <t>거제</t>
        </is>
      </c>
      <c r="E45" s="4" t="inlineStr">
        <is>
          <t>거제</t>
        </is>
      </c>
      <c r="F45" s="5" t="n">
        <v>34.87031108333333</v>
      </c>
      <c r="G45" s="5" t="n">
        <v>128.5928611111111</v>
      </c>
      <c r="H45" s="6" t="inlineStr"/>
      <c r="I45" s="7" t="n"/>
      <c r="J45" s="8" t="n"/>
      <c r="K45" s="8" t="n"/>
    </row>
    <row r="46">
      <c r="A46" s="4" t="n">
        <v>42</v>
      </c>
      <c r="B46" s="4" t="inlineStr">
        <is>
          <t>S42</t>
        </is>
      </c>
      <c r="C46" s="4" t="inlineStr">
        <is>
          <t>기존점</t>
        </is>
      </c>
      <c r="D46" s="4" t="inlineStr">
        <is>
          <t>조도</t>
        </is>
      </c>
      <c r="E46" s="4" t="inlineStr">
        <is>
          <t>조도</t>
        </is>
      </c>
      <c r="F46" s="5" t="n">
        <v>34.43191666666667</v>
      </c>
      <c r="G46" s="5" t="n">
        <v>126.2238055555556</v>
      </c>
      <c r="H46" s="9" t="inlineStr">
        <is>
          <t>하천(제방)</t>
        </is>
      </c>
      <c r="I46" s="7" t="n"/>
      <c r="J46" s="8" t="n"/>
      <c r="K46" s="8" t="n"/>
    </row>
    <row r="47">
      <c r="A47" s="4" t="n">
        <v>43</v>
      </c>
      <c r="B47" s="4" t="inlineStr">
        <is>
          <t>S43</t>
        </is>
      </c>
      <c r="C47" s="4" t="inlineStr">
        <is>
          <t>기존점</t>
        </is>
      </c>
      <c r="D47" s="4" t="inlineStr">
        <is>
          <t>포천</t>
        </is>
      </c>
      <c r="E47" s="4" t="inlineStr">
        <is>
          <t>포천</t>
        </is>
      </c>
      <c r="F47" s="5" t="n">
        <v>37.99090344444445</v>
      </c>
      <c r="G47" s="5" t="n">
        <v>127.1346283611111</v>
      </c>
      <c r="H47" s="6" t="inlineStr"/>
      <c r="I47" s="7" t="n"/>
      <c r="J47" s="8" t="n"/>
      <c r="K47" s="8" t="n"/>
    </row>
    <row r="48">
      <c r="A48" s="4" t="n">
        <v>44</v>
      </c>
      <c r="B48" s="4" t="inlineStr">
        <is>
          <t>S44</t>
        </is>
      </c>
      <c r="C48" s="4" t="inlineStr">
        <is>
          <t>기존점</t>
        </is>
      </c>
      <c r="D48" s="4" t="inlineStr">
        <is>
          <t>성산</t>
        </is>
      </c>
      <c r="E48" s="4" t="inlineStr">
        <is>
          <t>성산</t>
        </is>
      </c>
      <c r="F48" s="5" t="n">
        <v>33.52447991666666</v>
      </c>
      <c r="G48" s="5" t="n">
        <v>126.8941619722222</v>
      </c>
      <c r="H48" s="6" t="inlineStr"/>
      <c r="I48" s="7" t="n"/>
      <c r="J48" s="8" t="n"/>
      <c r="K48" s="8" t="n"/>
    </row>
    <row r="49">
      <c r="A49" s="4" t="n">
        <v>45</v>
      </c>
      <c r="B49" s="4" t="inlineStr">
        <is>
          <t>S45</t>
        </is>
      </c>
      <c r="C49" s="4" t="inlineStr">
        <is>
          <t>기존점</t>
        </is>
      </c>
      <c r="D49" s="4" t="inlineStr">
        <is>
          <t>여주</t>
        </is>
      </c>
      <c r="E49" s="4" t="inlineStr">
        <is>
          <t>여주</t>
        </is>
      </c>
      <c r="F49" s="5" t="n">
        <v>37.445381</v>
      </c>
      <c r="G49" s="5" t="n">
        <v>127.5733216944444</v>
      </c>
      <c r="H49" s="6" t="inlineStr"/>
      <c r="I49" s="7" t="n"/>
      <c r="J49" s="8" t="n"/>
      <c r="K49" s="8" t="n"/>
    </row>
    <row r="50">
      <c r="A50" s="4" t="n">
        <v>46</v>
      </c>
      <c r="B50" s="4" t="inlineStr">
        <is>
          <t>S46</t>
        </is>
      </c>
      <c r="C50" s="4" t="inlineStr">
        <is>
          <t>기존점</t>
        </is>
      </c>
      <c r="D50" s="4" t="inlineStr">
        <is>
          <t>화천</t>
        </is>
      </c>
      <c r="E50" s="4" t="inlineStr">
        <is>
          <t>화천</t>
        </is>
      </c>
      <c r="F50" s="5" t="n">
        <v>38.11566666666667</v>
      </c>
      <c r="G50" s="5" t="n">
        <v>127.6867222222222</v>
      </c>
      <c r="H50" s="6" t="inlineStr"/>
      <c r="I50" s="7" t="n"/>
      <c r="J50" s="8" t="n"/>
      <c r="K50" s="8" t="n"/>
    </row>
    <row r="51">
      <c r="A51" s="4" t="n">
        <v>47</v>
      </c>
      <c r="B51" s="4" t="inlineStr">
        <is>
          <t>S47</t>
        </is>
      </c>
      <c r="C51" s="4" t="inlineStr">
        <is>
          <t>기존점</t>
        </is>
      </c>
      <c r="D51" s="4" t="inlineStr">
        <is>
          <t>봉평</t>
        </is>
      </c>
      <c r="E51" s="4" t="inlineStr">
        <is>
          <t>봉평</t>
        </is>
      </c>
      <c r="F51" s="5" t="n">
        <v>37.61237222222223</v>
      </c>
      <c r="G51" s="5" t="n">
        <v>128.395802</v>
      </c>
      <c r="H51" s="9" t="inlineStr">
        <is>
          <t>주변 송신탑 위치</t>
        </is>
      </c>
      <c r="I51" s="7" t="n"/>
      <c r="J51" s="8" t="n"/>
      <c r="K51" s="8" t="n"/>
    </row>
    <row r="52">
      <c r="A52" s="4" t="n">
        <v>48</v>
      </c>
      <c r="B52" s="4" t="inlineStr">
        <is>
          <t>S48</t>
        </is>
      </c>
      <c r="C52" s="4" t="inlineStr">
        <is>
          <t>기존점</t>
        </is>
      </c>
      <c r="D52" s="4" t="inlineStr">
        <is>
          <t>삼척</t>
        </is>
      </c>
      <c r="E52" s="4" t="inlineStr">
        <is>
          <t>삼척</t>
        </is>
      </c>
      <c r="F52" s="5" t="n">
        <v>37.38471708333334</v>
      </c>
      <c r="G52" s="5" t="n">
        <v>129.2032259444444</v>
      </c>
      <c r="H52" s="6" t="inlineStr"/>
      <c r="I52" s="7" t="n"/>
      <c r="J52" s="8" t="n"/>
      <c r="K52" s="8" t="n"/>
    </row>
    <row r="53">
      <c r="A53" s="4" t="n">
        <v>49</v>
      </c>
      <c r="B53" s="4" t="inlineStr">
        <is>
          <t>S49</t>
        </is>
      </c>
      <c r="C53" s="4" t="inlineStr">
        <is>
          <t>기존점</t>
        </is>
      </c>
      <c r="D53" s="4" t="inlineStr">
        <is>
          <t>제천</t>
        </is>
      </c>
      <c r="E53" s="4" t="inlineStr">
        <is>
          <t>제천</t>
        </is>
      </c>
      <c r="F53" s="5" t="n">
        <v>37.07463888888889</v>
      </c>
      <c r="G53" s="5" t="n">
        <v>128.2114444444444</v>
      </c>
      <c r="H53" s="6" t="inlineStr"/>
      <c r="I53" s="7" t="n"/>
      <c r="J53" s="8" t="n"/>
      <c r="K53" s="8" t="n"/>
    </row>
    <row r="54">
      <c r="A54" s="4" t="n">
        <v>50</v>
      </c>
      <c r="B54" s="4" t="inlineStr">
        <is>
          <t>S50</t>
        </is>
      </c>
      <c r="C54" s="4" t="inlineStr">
        <is>
          <t>기존점</t>
        </is>
      </c>
      <c r="D54" s="4" t="inlineStr">
        <is>
          <t>함양</t>
        </is>
      </c>
      <c r="E54" s="4" t="inlineStr">
        <is>
          <t>함양</t>
        </is>
      </c>
      <c r="F54" s="5" t="n">
        <v>35.54250855555556</v>
      </c>
      <c r="G54" s="5" t="n">
        <v>127.6229688333333</v>
      </c>
      <c r="H54" s="6" t="inlineStr"/>
      <c r="I54" s="7" t="n"/>
      <c r="J54" s="8" t="n"/>
      <c r="K54" s="8" t="n"/>
    </row>
  </sheetData>
  <mergeCells count="2">
    <mergeCell ref="A2:K2"/>
    <mergeCell ref="A1:K1"/>
  </mergeCells>
  <dataValidations count="1">
    <dataValidation sqref="K5:K54" showDropDown="0" showInputMessage="0" showErrorMessage="0" allowBlank="1" type="list">
      <formula1>"미착수,진행 중,완료,재방문 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[S01] 태백 신규점 — 지자기 시험 탐사 현장야장</t>
        </is>
      </c>
    </row>
    <row r="2" ht="16" customHeight="1">
      <c r="A2" s="10" t="inlineStr">
        <is>
          <t>구분 A · 원번호 DS-008 · 도엽 NJ52-8-28 태백 · 사전좌표 37.020705 / 128.983930 · 표고 872.0 m</t>
        </is>
      </c>
    </row>
    <row r="3">
      <c r="A3" s="2" t="inlineStr">
        <is>
          <t>소재지: 경북 봉화군 소천면 고선리 산 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IF(COUNT(B11,D11)&lt;2,"",ROUND(SQRT(((128.98393-D11)*111320*COS(RADIANS(37.020705)))^2+((37.020705-B11)*110574)^2),1))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[S02] 임계 신규점1 — 지자기 시험 탐사 현장야장</t>
        </is>
      </c>
    </row>
    <row r="2" ht="16" customHeight="1">
      <c r="A2" s="10" t="inlineStr">
        <is>
          <t>구분 A · 원번호 DS-015 · 도엽 NJ52-8-20 임계 · 사전좌표 37.359346 / 128.973865 · 표고 844.0 m</t>
        </is>
      </c>
    </row>
    <row r="3">
      <c r="A3" s="2" t="inlineStr">
        <is>
          <t>소재지: 강원특별자치도 삼척시 하장면 숙암리 산 11-1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IF(COUNT(B11,D11)&lt;2,"",ROUND(SQRT(((128.973865-D11)*111320*COS(RADIANS(37.359346)))^2+((37.359346-B11)*110574)^2),1))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[S03] 예산 신규점2 — 지자기 시험 탐사 현장야장</t>
        </is>
      </c>
    </row>
    <row r="2" ht="16" customHeight="1">
      <c r="A2" s="10" t="inlineStr">
        <is>
          <t>구분 A · 원번호 DS-076 · 도엽 NJ52-10-12 예산 · 사전좌표 36.534085 / 126.936269 · 표고 116.0 m</t>
        </is>
      </c>
    </row>
    <row r="3">
      <c r="A3" s="2" t="inlineStr">
        <is>
          <t>소재지: 충남 공주시 신풍면 산정리 산 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IF(COUNT(B11,D11)&lt;2,"",ROUND(SQRT(((126.936269-D11)*111320*COS(RADIANS(36.534085)))^2+((36.534085-B11)*110574)^2),1))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[S04] 진안 신규점1 — 지자기 시험 탐사 현장야장</t>
        </is>
      </c>
    </row>
    <row r="2" ht="16" customHeight="1">
      <c r="A2" s="10" t="inlineStr">
        <is>
          <t>구분 A · 원번호 DS-081 · 도엽 NI52-1-06 진안 · 사전좌표 35.891309 / 127.309017 · 표고 297.0 m</t>
        </is>
      </c>
    </row>
    <row r="3">
      <c r="A3" s="2" t="inlineStr">
        <is>
          <t>소재지: 전북특별자치도 완주군 동상면 사봉리 산 107-2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IF(COUNT(B11,D11)&lt;2,"",ROUND(SQRT(((127.309017-D11)*111320*COS(RADIANS(35.891309)))^2+((35.891309-B11)*110574)^2),1))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[S05] 무풍 신규점1 — 지자기 시험 탐사 현장야장</t>
        </is>
      </c>
    </row>
    <row r="2" ht="16" customHeight="1">
      <c r="A2" s="10" t="inlineStr">
        <is>
          <t>구분 A · 원번호 DS-083 · 도엽 NI52-1-08 무풍 · 사전좌표 35.945212 / 127.800855 · 표고 584.0 m</t>
        </is>
      </c>
    </row>
    <row r="3">
      <c r="A3" s="2" t="inlineStr">
        <is>
          <t>소재지: 전북특별자치도 무주군 설천면 두길리 165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IF(COUNT(B11,D11)&lt;2,"",ROUND(SQRT(((127.800855-D11)*111320*COS(RADIANS(35.945212)))^2+((35.945212-B11)*110574)^2),1))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[S06] 길담 신규점 — 지자기 시험 탐사 현장야장</t>
        </is>
      </c>
    </row>
    <row r="2" ht="16" customHeight="1">
      <c r="A2" s="10" t="inlineStr">
        <is>
          <t>구분 B · 원번호 DS-003 · 도엽 NI52-1-13 갈담 · 사전좌표 35.604653 / 127.230237 · 표고 281.0 m</t>
        </is>
      </c>
    </row>
    <row r="3">
      <c r="A3" s="2" t="inlineStr">
        <is>
          <t>소재지: 전북특별자치도 임실군 임실읍 신안리 산 87-1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IF(COUNT(B11,D11)&lt;2,"",ROUND(SQRT(((127.230237-D11)*111320*COS(RADIANS(35.604653)))^2+((35.604653-B11)*110574)^2),1))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[S07] 남해 신규점1 — 지자기 시험 탐사 현장야장</t>
        </is>
      </c>
    </row>
    <row r="2" ht="16" customHeight="1">
      <c r="A2" s="10" t="inlineStr">
        <is>
          <t>구분 B · 원번호 DS-004 · 도엽 NI52-4-08 남해 · 사전좌표 34.852281 / 127.981473 · 표고 262.0 m</t>
        </is>
      </c>
    </row>
    <row r="3">
      <c r="A3" s="2" t="inlineStr">
        <is>
          <t>소재지: 경남 남해군 창선면 지족리 산 115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IF(COUNT(B11,D11)&lt;2,"",ROUND(SQRT(((127.981473-D11)*111320*COS(RADIANS(34.852281)))^2+((34.852281-B11)*110574)^2),1))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[S08] 청일 신규점2 — 지자기 시험 탐사 현장야장</t>
        </is>
      </c>
    </row>
    <row r="2" ht="16" customHeight="1">
      <c r="A2" s="10" t="inlineStr">
        <is>
          <t>구분 B · 원번호 DS-013 · 도엽 NJ52-8-09 청일 · 사전좌표 37.618578 / 128.169800 · 표고 372.0 m</t>
        </is>
      </c>
    </row>
    <row r="3">
      <c r="A3" s="2" t="inlineStr">
        <is>
          <t>소재지: 강원특별자치도 횡성군 청일면 춘당리 산 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IF(COUNT(B11,D11)&lt;2,"",ROUND(SQRT(((128.1698-D11)*111320*COS(RADIANS(37.618578)))^2+((37.618578-B11)*110574)^2),1))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[S09] 어론 신규점 — 지자기 시험 탐사 현장야장</t>
        </is>
      </c>
    </row>
    <row r="2" ht="16" customHeight="1">
      <c r="A2" s="10" t="inlineStr">
        <is>
          <t>구분 B · 원번호 DS-014 · 도엽 NJ52-8-01 어론 · 사전좌표 37.776326 / 128.075858 · 표고 532.0 m</t>
        </is>
      </c>
    </row>
    <row r="3">
      <c r="A3" s="2" t="inlineStr">
        <is>
          <t>소재지: 강원특별자치도 홍천군 내촌면 화상대리 산 108-2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IF(COUNT(B11,D11)&lt;2,"",ROUND(SQRT(((128.075858-D11)*111320*COS(RADIANS(37.776326)))^2+((37.776326-B11)*110574)^2),1))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[S10] 예안 신규점1 — 지자기 시험 탐사 현장야장</t>
        </is>
      </c>
    </row>
    <row r="2" ht="16" customHeight="1">
      <c r="A2" s="10" t="inlineStr">
        <is>
          <t>구분 B · 원번호 DS-020 · 도엽 NJ52-11-12 예안 · 사전좌표 36.745399 / 128.853559 · 표고 293.0 m</t>
        </is>
      </c>
    </row>
    <row r="3">
      <c r="A3" s="2" t="inlineStr">
        <is>
          <t>소재지: 경북 안동시 도산면 토계리 350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IF(COUNT(B11,D11)&lt;2,"",ROUND(SQRT(((128.853559-D11)*111320*COS(RADIANS(36.745399)))^2+((36.745399-B11)*110574)^2),1))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[S11] 소천 신규점4 — 지자기 시험 탐사 현장야장</t>
        </is>
      </c>
    </row>
    <row r="2" ht="16" customHeight="1">
      <c r="A2" s="10" t="inlineStr">
        <is>
          <t>구분 B · 원번호 DS-025 · 도엽 NJ52-11-05 소천 · 사전좌표 36.765848 / 129.154341 · 표고 380.0 m</t>
        </is>
      </c>
    </row>
    <row r="3">
      <c r="A3" s="2" t="inlineStr">
        <is>
          <t>소재지: 경북 영양군 일월면 문암리 산 59-2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IF(COUNT(B11,D11)&lt;2,"",ROUND(SQRT(((129.154341-D11)*111320*COS(RADIANS(36.765848)))^2+((36.765848-B11)*110574)^2),1))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[S12] 순창 신규점 — 지자기 시험 탐사 현장야장</t>
        </is>
      </c>
    </row>
    <row r="2" ht="16" customHeight="1">
      <c r="A2" s="10" t="inlineStr">
        <is>
          <t>구분 B · 원번호 DS-030 · 도엽 NI52-1-21 순창 · 사전좌표 35.284821 / 127.092148 · 표고 219.0 m</t>
        </is>
      </c>
    </row>
    <row r="3">
      <c r="A3" s="2" t="inlineStr">
        <is>
          <t>소재지: 전남광주통합특별시 곡성군 오산면 운곡리 산 73-1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IF(COUNT(B11,D11)&lt;2,"",ROUND(SQRT(((127.092148-D11)*111320*COS(RADIANS(35.284821)))^2+((35.284821-B11)*110574)^2),1))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[S13] 순천 신규점 — 지자기 시험 탐사 현장야장</t>
        </is>
      </c>
    </row>
    <row r="2" ht="16" customHeight="1">
      <c r="A2" s="10" t="inlineStr">
        <is>
          <t>구분 B · 원번호 DS-031 · 도엽 NI52-4-06 순천 · 사전좌표 34.904713 / 127.294737 · 표고 301.0 m</t>
        </is>
      </c>
    </row>
    <row r="3">
      <c r="A3" s="2" t="inlineStr">
        <is>
          <t>소재지: 전남광주통합특별시 순천시 외서면 신덕리 산 185-2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IF(COUNT(B11,D11)&lt;2,"",ROUND(SQRT(((127.294737-D11)*111320*COS(RADIANS(34.904713)))^2+((34.904713-B11)*110574)^2),1))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[S14] 청송 신규점1 — 지자기 시험 탐사 현장야장</t>
        </is>
      </c>
    </row>
    <row r="2" ht="16" customHeight="1">
      <c r="A2" s="10" t="inlineStr">
        <is>
          <t>구분 B · 원번호 DS-033 · 도엽 NJ52-11-21 청송 · 사전좌표 36.382888 / 129.145795 · 표고 313.0 m</t>
        </is>
      </c>
    </row>
    <row r="3">
      <c r="A3" s="2" t="inlineStr">
        <is>
          <t>소재지: 경북 청송군 주왕산면 상의리 876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IF(COUNT(B11,D11)&lt;2,"",ROUND(SQRT(((129.145795-D11)*111320*COS(RADIANS(36.382888)))^2+((36.382888-B11)*110574)^2),1))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[S15] 의성 신규점 — 지자기 시험 탐사 현장야장</t>
        </is>
      </c>
    </row>
    <row r="2" ht="16" customHeight="1">
      <c r="A2" s="10" t="inlineStr">
        <is>
          <t>구분 B · 원번호 DS-035 · 도엽 NJ52-11-19 의성 · 사전좌표 36.476700 / 128.508751 · 표고 179.0 m</t>
        </is>
      </c>
    </row>
    <row r="3">
      <c r="A3" s="2" t="inlineStr">
        <is>
          <t>소재지: 경북 의성군 신평면 교안리 산 31-1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IF(COUNT(B11,D11)&lt;2,"",ROUND(SQRT(((128.508751-D11)*111320*COS(RADIANS(36.4767)))^2+((36.4767-B11)*110574)^2),1))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[S16] 예천 신규점 — 지자기 시험 탐사 현장야장</t>
        </is>
      </c>
    </row>
    <row r="2" ht="16" customHeight="1">
      <c r="A2" s="10" t="inlineStr">
        <is>
          <t>구분 B · 원번호 DS-036 · 도엽 NJ52-11-10 예천 · 사전좌표 36.509390 / 128.494519 · 표고 160.0 m</t>
        </is>
      </c>
    </row>
    <row r="3">
      <c r="A3" s="2" t="inlineStr">
        <is>
          <t>소재지: 경북 의성군 신평면 중율리 산 9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IF(COUNT(B11,D11)&lt;2,"",ROUND(SQRT(((128.494519-D11)*111320*COS(RADIANS(36.50939)))^2+((36.50939-B11)*110574)^2),1))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[S17] 영양 신규점4 — 지자기 시험 탐사 현장야장</t>
        </is>
      </c>
    </row>
    <row r="2" ht="16" customHeight="1">
      <c r="A2" s="10" t="inlineStr">
        <is>
          <t>구분 B · 원번호 DS-040 · 도엽 NJ52-11-13 영양 · 사전좌표 36.743626 / 129.181307 · 표고 512.0 m</t>
        </is>
      </c>
    </row>
    <row r="3">
      <c r="A3" s="2" t="inlineStr">
        <is>
          <t>소재지: 경북 영양군 수비면 오기리 산 208-1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IF(COUNT(B11,D11)&lt;2,"",ROUND(SQRT(((129.181307-D11)*111320*COS(RADIANS(36.743626)))^2+((36.743626-B11)*110574)^2),1))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[S18] 통영 신규점 — 지자기 시험 탐사 현장야장</t>
        </is>
      </c>
    </row>
    <row r="2" ht="16" customHeight="1">
      <c r="A2" s="10" t="inlineStr">
        <is>
          <t>구분 B · 원번호 DS-045 · 도엽 NI52-5-02 통영 · 사전좌표 34.792976 / 128.393827 · 표고 79.0 m</t>
        </is>
      </c>
    </row>
    <row r="3">
      <c r="A3" s="2" t="inlineStr">
        <is>
          <t>소재지: 경남 통영시 산양읍 연화리 584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IF(COUNT(B11,D11)&lt;2,"",ROUND(SQRT(((128.393827-D11)*111320*COS(RADIANS(34.792976)))^2+((34.792976-B11)*110574)^2),1))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[S19] 오호 신규점 — 지자기 시험 탐사 현장야장</t>
        </is>
      </c>
    </row>
    <row r="2" ht="16" customHeight="1">
      <c r="A2" s="10" t="inlineStr">
        <is>
          <t>구분 B · 원번호 DS-046 · 도엽 NJ52-5-19 오호 · 사전좌표 38.318869 / 128.521755 · 표고 21.0 m</t>
        </is>
      </c>
    </row>
    <row r="3">
      <c r="A3" s="2" t="inlineStr">
        <is>
          <t>소재지: 강원특별자치도 고성군 죽왕면 삼포리 산 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IF(COUNT(B11,D11)&lt;2,"",ROUND(SQRT(((128.521755-D11)*111320*COS(RADIANS(38.318869)))^2+((38.318869-B11)*110574)^2),1))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[S20] 보령 신규점2 — 지자기 시험 탐사 현장야장</t>
        </is>
      </c>
    </row>
    <row r="2" ht="16" customHeight="1">
      <c r="A2" s="10" t="inlineStr">
        <is>
          <t>구분 B · 원번호 DS-049 · 도엽 NJ52-10-19 보령 · 사전좌표 36.266844 / 126.706961 · 표고 277.0 m</t>
        </is>
      </c>
    </row>
    <row r="3">
      <c r="A3" s="2" t="inlineStr">
        <is>
          <t>소재지: 충남 부여군 외산면 가덕리 산 11-1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IF(COUNT(B11,D11)&lt;2,"",ROUND(SQRT(((126.706961-D11)*111320*COS(RADIANS(36.266844)))^2+((36.266844-B11)*110574)^2),1))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[S21] 담양 신규점2 — 지자기 시험 탐사 현장야장</t>
        </is>
      </c>
    </row>
    <row r="2" ht="16" customHeight="1">
      <c r="A2" s="10" t="inlineStr">
        <is>
          <t>구분 B · 원번호 DS-051 · 도엽 NI52-1-20 담양 · 사전좌표 35.456101 / 126.962054 · 표고 350.0 m</t>
        </is>
      </c>
    </row>
    <row r="3">
      <c r="A3" s="2" t="inlineStr">
        <is>
          <t>소재지: 전북특별자치도 순창군 복흥면 하리 산 27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IF(COUNT(B11,D11)&lt;2,"",ROUND(SQRT(((126.962054-D11)*111320*COS(RADIANS(35.456101)))^2+((35.456101-B11)*110574)^2),1))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[S22] 완도 신규점 — 지자기 시험 탐사 현장야장</t>
        </is>
      </c>
    </row>
    <row r="2" ht="16" customHeight="1">
      <c r="A2" s="10" t="inlineStr">
        <is>
          <t>구분 B · 원번호 DS-055 · 도엽 NI52-4-19 완도 · 사전좌표 34.328826 / 126.543215 · 표고 131.0 m</t>
        </is>
      </c>
    </row>
    <row r="3">
      <c r="A3" s="2" t="inlineStr">
        <is>
          <t>소재지: 전남광주통합특별시 해남군 송지면 송호리 산 178-3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IF(COUNT(B11,D11)&lt;2,"",ROUND(SQRT(((126.543215-D11)*111320*COS(RADIANS(34.328826)))^2+((34.328826-B11)*110574)^2),1))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[S23] 덕산 신규점1 — 지자기 시험 탐사 현장야장</t>
        </is>
      </c>
    </row>
    <row r="2" ht="16" customHeight="1">
      <c r="A2" s="10" t="inlineStr">
        <is>
          <t>구분 B · 원번호 DS-057 · 도엽 NJ52-11-01 덕산 · 사전좌표 36.888529 / 128.192739 · 표고 388.0 m</t>
        </is>
      </c>
    </row>
    <row r="3">
      <c r="A3" s="2" t="inlineStr">
        <is>
          <t>소재지: 충북 제천시 덕산면 선고리 산 28-8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IF(COUNT(B11,D11)&lt;2,"",ROUND(SQRT(((128.192739-D11)*111320*COS(RADIANS(36.888529)))^2+((36.888529-B11)*110574)^2),1))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[S24] 회천 신규점2 — 지자기 시험 탐사 현장야장</t>
        </is>
      </c>
    </row>
    <row r="2" ht="16" customHeight="1">
      <c r="A2" s="10" t="inlineStr">
        <is>
          <t>구분 B · 원번호 DS-060 · 도엽 NI52-4-13 회천 · 사전좌표 34.680805 / 127.047660 · 표고 99.0 m</t>
        </is>
      </c>
    </row>
    <row r="3">
      <c r="A3" s="2" t="inlineStr">
        <is>
          <t>소재지: 전남광주통합특별시 보성군 회천면 회령리 산 155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IF(COUNT(B11,D11)&lt;2,"",ROUND(SQRT(((127.04766-D11)*111320*COS(RADIANS(34.680805)))^2+((34.680805-B11)*110574)^2),1))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[S25] 관리 신규점3 — 지자기 시험 탐사 현장야장</t>
        </is>
      </c>
    </row>
    <row r="2" ht="16" customHeight="1">
      <c r="A2" s="10" t="inlineStr">
        <is>
          <t>구분 B · 원번호 DS-068 · 도엽 NJ52-10-24 관기 · 사전좌표 36.325755 / 127.905982 · 표고 383.0 m</t>
        </is>
      </c>
    </row>
    <row r="3">
      <c r="A3" s="2" t="inlineStr">
        <is>
          <t>소재지: 경북 상주시 모서면 득수리 산 146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IF(COUNT(B11,D11)&lt;2,"",ROUND(SQRT(((127.905982-D11)*111320*COS(RADIANS(36.325755)))^2+((36.325755-B11)*110574)^2),1))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[S26] 고남 신규점2 — 지자기 시험 탐사 현장야장</t>
        </is>
      </c>
    </row>
    <row r="2" ht="16" customHeight="1">
      <c r="A2" s="10" t="inlineStr">
        <is>
          <t>구분 B · 원번호 DS-075 · 도엽 NJ52-10-18 고남 · 사전좌표 36.452304 / 126.395802 · 표고 38.0 m</t>
        </is>
      </c>
    </row>
    <row r="3">
      <c r="A3" s="2" t="inlineStr">
        <is>
          <t>소재지: 충남 태안군 고남면 누동리 산 6-514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IF(COUNT(B11,D11)&lt;2,"",ROUND(SQRT(((126.395802-D11)*111320*COS(RADIANS(36.452304)))^2+((36.452304-B11)*110574)^2),1))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[S27] 전의 신규점 — 지자기 시험 탐사 현장야장</t>
        </is>
      </c>
    </row>
    <row r="2" ht="16" customHeight="1">
      <c r="A2" s="10" t="inlineStr">
        <is>
          <t>구분 B · 원번호 DS-078 · 도엽 NJ52-10-13 전의 · 사전좌표 36.579379 / 127.068702 · 표고 372.0 m</t>
        </is>
      </c>
    </row>
    <row r="3">
      <c r="A3" s="2" t="inlineStr">
        <is>
          <t>소재지: 충남 공주시 사곡면 월가리 산 10-1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IF(COUNT(B11,D11)&lt;2,"",ROUND(SQRT(((127.068702-D11)*111320*COS(RADIANS(36.579379)))^2+((36.579379-B11)*110574)^2),1))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[S28] 이원 신규점 — 지자기 시험 탐사 현장야장</t>
        </is>
      </c>
    </row>
    <row r="2" ht="16" customHeight="1">
      <c r="A2" s="10" t="inlineStr">
        <is>
          <t>구분 B · 원번호 DS-080 · 도엽 NJ52-10-31 이원 · 사전좌표 36.166620 / 127.583121 · 표고 300.0 m</t>
        </is>
      </c>
    </row>
    <row r="3">
      <c r="A3" s="2" t="inlineStr">
        <is>
          <t>소재지: 충남 금산군 제원면 신안리 산 4-1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IF(COUNT(B11,D11)&lt;2,"",ROUND(SQRT(((127.583121-D11)*111320*COS(RADIANS(36.16662)))^2+((36.16662-B11)*110574)^2),1))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[S29] 가야 신규점1 — 지자기 시험 탐사 현장야장</t>
        </is>
      </c>
    </row>
    <row r="2" ht="16" customHeight="1">
      <c r="A2" s="10" t="inlineStr">
        <is>
          <t>구분 B · 원번호 DS-084 · 도엽 NI52-2-01 가야 · 사전좌표 35.777986 / 128.036833 · 표고 825.0 m</t>
        </is>
      </c>
    </row>
    <row r="3">
      <c r="A3" s="2" t="inlineStr">
        <is>
          <t>소재지: 경남 거창군 가북면 우혜리 산 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IF(COUNT(B11,D11)&lt;2,"",ROUND(SQRT(((128.036833-D11)*111320*COS(RADIANS(35.777986)))^2+((35.777986-B11)*110574)^2),1))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[S30] 창녕 신규점 — 지자기 시험 탐사 현장야장</t>
        </is>
      </c>
    </row>
    <row r="2" ht="16" customHeight="1">
      <c r="A2" s="10" t="inlineStr">
        <is>
          <t>구분 B · 원번호 DS-086 · 도엽 NI52-2-10 창녕 · 사전좌표 35.662586 / 128.298099 · 표고 179.0 m</t>
        </is>
      </c>
    </row>
    <row r="3">
      <c r="A3" s="2" t="inlineStr">
        <is>
          <t>소재지: 경북 고령군 쌍림면 평지리 산 63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IF(COUNT(B11,D11)&lt;2,"",ROUND(SQRT(((128.298099-D11)*111320*COS(RADIANS(35.662586)))^2+((35.662586-B11)*110574)^2),1))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[S31] 언양 신규점3 — 지자기 시험 탐사 현장야장</t>
        </is>
      </c>
    </row>
    <row r="2" ht="16" customHeight="1">
      <c r="A2" s="10" t="inlineStr">
        <is>
          <t>구분 B · 원번호 DS-089 · 도엽 NI52-2-13 언양 · 사전좌표 35.742364 / 129.029824 · 표고 234.0 m</t>
        </is>
      </c>
    </row>
    <row r="3">
      <c r="A3" s="2" t="inlineStr">
        <is>
          <t>소재지: 경북 경주시 산내면 외칠리 산 183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IF(COUNT(B11,D11)&lt;2,"",ROUND(SQRT(((129.029824-D11)*111320*COS(RADIANS(35.742364)))^2+((35.742364-B11)*110574)^2),1))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[S32] 함양 신규점 — 지자기 시험 탐사 현장야장</t>
        </is>
      </c>
    </row>
    <row r="2" ht="16" customHeight="1">
      <c r="A2" s="10" t="inlineStr">
        <is>
          <t>구분 B · 원번호 DS-096 · 도엽 NI52-1-15 함양 · 사전좌표 35.586243 / 127.574659 · 표고 478.0 m</t>
        </is>
      </c>
    </row>
    <row r="3">
      <c r="A3" s="2" t="inlineStr">
        <is>
          <t>소재지: 전북특별자치도 장수군 번암면 지지리 산 55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IF(COUNT(B11,D11)&lt;2,"",ROUND(SQRT(((127.574659-D11)*111320*COS(RADIANS(35.586243)))^2+((35.586243-B11)*110574)^2),1))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[S33] 문산 신규점 — 지자기 시험 탐사 현장야장</t>
        </is>
      </c>
    </row>
    <row r="2" ht="16" customHeight="1">
      <c r="A2" s="10" t="inlineStr">
        <is>
          <t>구분 B · 원번호 DS-098 · 도엽 NJ52-7-04 문산 · 사전좌표 37.927676 / 126.870305 · 표고 83.0 m</t>
        </is>
      </c>
    </row>
    <row r="3">
      <c r="A3" s="2" t="inlineStr">
        <is>
          <t>소재지: 경기 파주시 파평면 덕천리 산 40-3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IF(COUNT(B11,D11)&lt;2,"",ROUND(SQRT(((126.870305-D11)*111320*COS(RADIANS(37.927676)))^2+((37.927676-B11)*110574)^2),1))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[S34] 부안 신규점 — 지자기 시험 탐사 현장야장</t>
        </is>
      </c>
    </row>
    <row r="2" ht="16" customHeight="1">
      <c r="A2" s="10" t="inlineStr">
        <is>
          <t>구분 B · 원번호 DS-102 · 도엽 NI52-1-11 부안 · 사전좌표 35.541753 / 126.645582 · 표고 112.0 m</t>
        </is>
      </c>
    </row>
    <row r="3">
      <c r="A3" s="2" t="inlineStr">
        <is>
          <t>소재지: 전북특별자치도 고창군 부안면 수앙리 산 79-8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IF(COUNT(B11,D11)&lt;2,"",ROUND(SQRT(((126.645582-D11)*111320*COS(RADIANS(35.541753)))^2+((35.541753-B11)*110574)^2),1))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[S35] 상주 — 지자기 시험 탐사 현장야장</t>
        </is>
      </c>
    </row>
    <row r="2" ht="16" customHeight="1">
      <c r="A2" s="10" t="inlineStr">
        <is>
          <t>구분 기존점 · 원번호 1-12-2 · 도엽 NJ52-14-16 상주 · 사전좌표 36.355288 / 128.110481 · 표고 92.568 m</t>
        </is>
      </c>
    </row>
    <row r="3">
      <c r="A3" s="2" t="inlineStr">
        <is>
          <t>소재지: 경상북도 상주시 청리면 율리 436-2 밤깟마을(상주23)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IF(COUNT(B11,D11)&lt;2,"",ROUND(SQRT(((128.11048069444445-D11)*111320*COS(RADIANS(36.35528841666667)))^2+((36.35528841666667-B11)*110574)^2),1))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[S36] 미원 — 지자기 시험 탐사 현장야장</t>
        </is>
      </c>
    </row>
    <row r="2" ht="16" customHeight="1">
      <c r="A2" s="10" t="inlineStr">
        <is>
          <t>구분 기존점 · 원번호 1-13-2 · 도엽 NJ52-13-14 미원 · 사전좌표 36.725028 / 127.586222 · 표고 97.952 m</t>
        </is>
      </c>
    </row>
    <row r="3">
      <c r="A3" s="2" t="inlineStr">
        <is>
          <t>소재지: 충청북도 청주시 청원구 북이면 영하리 산13-1(미원409)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IF(COUNT(B11,D11)&lt;2,"",ROUND(SQRT(((127.58622222222222-D11)*111320*COS(RADIANS(36.72502777777778)))^2+((36.72502777777778-B11)*110574)^2),1))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[S37] 부안 — 지자기 시험 탐사 현장야장</t>
        </is>
      </c>
    </row>
    <row r="2" ht="16" customHeight="1">
      <c r="A2" s="10" t="inlineStr">
        <is>
          <t>구분 기존점 · 원번호 1-17-2 · 도엽 NJ52-01-10 부안 · 사전좌표 35.587750 / 126.716139 · 표고 33.5 m   ⚠ 주변 태양광 위치</t>
        </is>
      </c>
    </row>
    <row r="3">
      <c r="A3" s="2" t="inlineStr">
        <is>
          <t>소재지: 전라북도 부안군 줄포면 난산리 440-2 목중새마을(부안423)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IF(COUNT(B11,D11)&lt;2,"",ROUND(SQRT(((126.71613888888889-D11)*111320*COS(RADIANS(35.58775)))^2+((35.58775-B11)*110574)^2),1))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[S38] 강화 — 지자기 시험 탐사 현장야장</t>
        </is>
      </c>
    </row>
    <row r="2" ht="16" customHeight="1">
      <c r="A2" s="10" t="inlineStr">
        <is>
          <t>구분 기존점 · 원번호 1-2-3 · 도엽 NJ52-09-09 강화 · 사전좌표 37.666124 / 126.478775 · 표고 100.524 m</t>
        </is>
      </c>
    </row>
    <row r="3">
      <c r="A3" s="2" t="inlineStr">
        <is>
          <t>소재지: 인천광역시 강화군 길상면 길직리 산 148-6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IF(COUNT(B11,D11)&lt;2,"",ROUND(SQRT(((126.47877522222223-D11)*111320*COS(RADIANS(37.66612411111111)))^2+((37.66612411111111-B11)*110574)^2),1))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[S39] 언양 — 지자기 시험 탐사 현장야장</t>
        </is>
      </c>
    </row>
    <row r="2" ht="16" customHeight="1">
      <c r="A2" s="10" t="inlineStr">
        <is>
          <t>구분 기존점 · 원번호 1-23-1 · 도엽 NI52-2-13 언양 · 사전좌표 35.676200 / 129.190872 · 표고 226.101 m   ⚠ 도로 접근성 나쁨</t>
        </is>
      </c>
    </row>
    <row r="3">
      <c r="A3" s="2" t="inlineStr">
        <is>
          <t>소재지: 울산광역시 울주군 두서면 미호리 산3(삼언양417)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IF(COUNT(B11,D11)&lt;2,"",ROUND(SQRT(((129.1908721388889-D11)*111320*COS(RADIANS(35.67619994444444)))^2+((35.67619994444444-B11)*110574)^2),1))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[S40] 남지 — 지자기 시험 탐사 현장야장</t>
        </is>
      </c>
    </row>
    <row r="2" ht="16" customHeight="1">
      <c r="A2" s="10" t="inlineStr">
        <is>
          <t>구분 기존점 · 원번호 1-24-3 · 도엽 NJ52-01-14 남지 · 사전좌표 35.436167 / 128.473778 · 표고 - m</t>
        </is>
      </c>
    </row>
    <row r="3">
      <c r="A3" s="2" t="inlineStr">
        <is>
          <t>소재지: 창녕군 장마면 유리 1705-1 봉산지뚝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IF(COUNT(B11,D11)&lt;2,"",ROUND(SQRT(((128.47377777777777-D11)*111320*COS(RADIANS(35.436166666666665)))^2+((35.436166666666665-B11)*110574)^2),1))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[S41] 거제 — 지자기 시험 탐사 현장야장</t>
        </is>
      </c>
    </row>
    <row r="2" ht="16" customHeight="1">
      <c r="A2" s="10" t="inlineStr">
        <is>
          <t>구분 기존점 · 원번호 1-25-2 · 도엽 NJ52-06-07 거제 · 사전좌표 34.870311 / 128.592861 · 표고 91.014 m</t>
        </is>
      </c>
    </row>
    <row r="3">
      <c r="A3" s="2" t="inlineStr">
        <is>
          <t>소재지: 경상남도 거제시 거제면 옥산리 산83-6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IF(COUNT(B11,D11)&lt;2,"",ROUND(SQRT(((128.59286111111112-D11)*111320*COS(RADIANS(34.870311083333334)))^2+((34.870311083333334-B11)*110574)^2),1))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[S42] 조도 — 지자기 시험 탐사 현장야장</t>
        </is>
      </c>
    </row>
    <row r="2" ht="16" customHeight="1">
      <c r="A2" s="10" t="inlineStr">
        <is>
          <t>구분 기존점 · 원번호 1-29-2 · 도엽 NJ52-05-21 조도 · 사전좌표 34.431917 / 126.223806 · 표고 - m   ⚠ 하천(제방)</t>
        </is>
      </c>
    </row>
    <row r="3">
      <c r="A3" s="2" t="inlineStr">
        <is>
          <t>소재지: 진도군 임회면 삼막리 광전교인근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IF(COUNT(B11,D11)&lt;2,"",ROUND(SQRT(((126.22380555555556-D11)*111320*COS(RADIANS(34.431916666666666)))^2+((34.431916666666666-B11)*110574)^2),1))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[S43] 포천 — 지자기 시험 탐사 현장야장</t>
        </is>
      </c>
    </row>
    <row r="2" ht="16" customHeight="1">
      <c r="A2" s="10" t="inlineStr">
        <is>
          <t>구분 기존점 · 원번호 1-3-3 · 도엽 NJ 52-09-5 포천 · 사전좌표 37.990903 / 127.134628 · 표고 423.872 m</t>
        </is>
      </c>
    </row>
    <row r="3">
      <c r="A3" s="2" t="inlineStr">
        <is>
          <t>소재지: 경기도 연천군 청산면 대전리 산83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IF(COUNT(B11,D11)&lt;2,"",ROUND(SQRT(((127.13462836111111-D11)*111320*COS(RADIANS(37.99090344444445)))^2+((37.99090344444445-B11)*110574)^2),1))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[S44] 성산 — 지자기 시험 탐사 현장야장</t>
        </is>
      </c>
    </row>
    <row r="2" ht="16" customHeight="1">
      <c r="A2" s="10" t="inlineStr">
        <is>
          <t>구분 기존점 · 원번호 1-30-2 · 도엽 NJ52-09-18 성산 · 사전좌표 33.524480 / 126.894162 · 표고 8.08 m</t>
        </is>
      </c>
    </row>
    <row r="3">
      <c r="A3" s="2" t="inlineStr">
        <is>
          <t>소재지: 제주특별자치도 제주시 구좌읍 하도리425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IF(COUNT(B11,D11)&lt;2,"",ROUND(SQRT(((126.89416197222224-D11)*111320*COS(RADIANS(33.524479916666664)))^2+((33.524479916666664-B11)*110574)^2),1))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[S45] 여주 — 지자기 시험 탐사 현장야장</t>
        </is>
      </c>
    </row>
    <row r="2" ht="16" customHeight="1">
      <c r="A2" s="10" t="inlineStr">
        <is>
          <t>구분 기존점 · 원번호 1-4-4 · 도엽 NJ52-09-21 여주 · 사전좌표 37.445381 / 127.573322 · 표고 177.03 m</t>
        </is>
      </c>
    </row>
    <row r="3">
      <c r="A3" s="2" t="inlineStr">
        <is>
          <t>소재지: 경기도 양평군 개군면 내리 산12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IF(COUNT(B11,D11)&lt;2,"",ROUND(SQRT(((127.57332169444445-D11)*111320*COS(RADIANS(37.445381)))^2+((37.445381-B11)*110574)^2),1))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[S46] 화천 — 지자기 시험 탐사 현장야장</t>
        </is>
      </c>
    </row>
    <row r="2" ht="16" customHeight="1">
      <c r="A2" s="10" t="inlineStr">
        <is>
          <t>구분 기존점 · 원번호 1-5-2 · 도엽 NJ52-05-28 화천 · 사전좌표 38.115667 / 127.686722 · 표고 155.0 m</t>
        </is>
      </c>
    </row>
    <row r="3">
      <c r="A3" s="2" t="inlineStr">
        <is>
          <t>소재지: 화천군 화천읍 상리 산6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IF(COUNT(B11,D11)&lt;2,"",ROUND(SQRT(((127.68672222222223-D11)*111320*COS(RADIANS(38.11566666666667)))^2+((38.11566666666667-B11)*110574)^2),1))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[S47] 봉평 — 지자기 시험 탐사 현장야장</t>
        </is>
      </c>
    </row>
    <row r="2" ht="16" customHeight="1">
      <c r="A2" s="10" t="inlineStr">
        <is>
          <t>구분 기존점 · 원번호 1-7-2 · 도엽 NJ52-10-10 봉평 · 사전좌표 37.612372 / 128.395802 · 표고 695.73 m   ⚠ 주변 송신탑 위치</t>
        </is>
      </c>
    </row>
    <row r="3">
      <c r="A3" s="2" t="inlineStr">
        <is>
          <t>소재지: 평창군 봉평면 평촌2리 김병찬씨 뒷산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IF(COUNT(B11,D11)&lt;2,"",ROUND(SQRT(((128.395802-D11)*111320*COS(RADIANS(37.61237222222223)))^2+((37.61237222222223-B11)*110574)^2),1))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[S48] 삼척 — 지자기 시험 탐사 현장야장</t>
        </is>
      </c>
    </row>
    <row r="2" ht="16" customHeight="1">
      <c r="A2" s="10" t="inlineStr">
        <is>
          <t>구분 기존점 · 원번호 1-8-4 · 도엽 NJ52-10-20 삼척 · 사전좌표 37.384717 / 129.203226 · 표고 27.791 m</t>
        </is>
      </c>
    </row>
    <row r="3">
      <c r="A3" s="2" t="inlineStr">
        <is>
          <t>소재지: 강원도 삼척시 근덕면 하맹방리 774-2, 초당저수지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IF(COUNT(B11,D11)&lt;2,"",ROUND(SQRT(((129.20322594444443-D11)*111320*COS(RADIANS(37.384717083333335)))^2+((37.384717083333335-B11)*110574)^2),1))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[S49] 제천 — 지자기 시험 탐사 현장야장</t>
        </is>
      </c>
    </row>
    <row r="2" ht="16" customHeight="1">
      <c r="A2" s="10" t="inlineStr">
        <is>
          <t>구분 기존점 · 원번호 1-9-2 · 도엽 NJ52-10-23 제천 · 사전좌표 37.074639 / 128.211444 · 표고 - m</t>
        </is>
      </c>
    </row>
    <row r="3">
      <c r="A3" s="2" t="inlineStr">
        <is>
          <t>소재지: 제천시 백운면 방학리 백마저수지뚝 가운데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IF(COUNT(B11,D11)&lt;2,"",ROUND(SQRT(((128.21144444444442-D11)*111320*COS(RADIANS(37.07463888888889)))^2+((37.07463888888889-B11)*110574)^2),1))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7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[S50] 함양 — 지자기 시험 탐사 현장야장</t>
        </is>
      </c>
    </row>
    <row r="2" ht="16" customHeight="1">
      <c r="A2" s="10" t="inlineStr">
        <is>
          <t>구분 기존점 · 원번호 1-20-3 · 도엽 NJ52-02-17 함양 · 사전좌표 35.542509 / 127.622969 · 표고 415.62 m</t>
        </is>
      </c>
    </row>
    <row r="3">
      <c r="A3" s="2" t="inlineStr">
        <is>
          <t>소재지: 경남 함양군 백전면 구산리 166 구산제(구산저수지)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IF(COUNT(B11,D11)&lt;2,"",ROUND(SQRT(((127.62296883333333-D11)*111320*COS(RADIANS(35.54250855555556)))^2+((35.54250855555556-B11)*110574)^2),1))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절대측정 세션 (1일 6회 이상 · 회당 20분 이내)</t>
        </is>
      </c>
    </row>
    <row r="57" ht="16" customHeight="1">
      <c r="A57" s="12" t="inlineStr">
        <is>
          <t>⚠ 편각·복각을 잴 때 총자기장과 «시각»을 함께 잰다. F 는 세션마다 적고, DI점과 5 m 이상 떨어진 원격점에서도 한 번씩 재어 시각과 함께 적는다.</t>
        </is>
      </c>
    </row>
    <row r="58">
      <c r="A58" s="13" t="inlineStr">
        <is>
          <t>회차</t>
        </is>
      </c>
      <c r="B58" s="13" t="inlineStr">
        <is>
          <t>시작 시각</t>
        </is>
      </c>
      <c r="C58" s="13" t="inlineStr">
        <is>
          <t>종료 시각</t>
        </is>
      </c>
      <c r="D58" s="13" t="inlineStr">
        <is>
          <t>소요(분)</t>
        </is>
      </c>
      <c r="E58" s="13" t="inlineStr">
        <is>
          <t>편각 D(gon)</t>
        </is>
      </c>
      <c r="F58" s="13" t="inlineStr">
        <is>
          <t>복각 I(gon)</t>
        </is>
      </c>
      <c r="G58" s="13" t="inlineStr">
        <is>
          <t>F(nT)</t>
        </is>
      </c>
      <c r="H58" s="13" t="inlineStr">
        <is>
          <t>F 측정 시각</t>
        </is>
      </c>
      <c r="I58" s="13" t="inlineStr">
        <is>
          <t>F 위치</t>
        </is>
      </c>
    </row>
    <row r="59">
      <c r="A59" s="13" t="inlineStr">
        <is>
          <t>1회</t>
        </is>
      </c>
      <c r="B59" s="21" t="n"/>
      <c r="C59" s="21" t="n"/>
      <c r="D59" s="17">
        <f>IF(COUNT(B59:C59)&lt;2,"",(C59-B59)*1440)</f>
        <v/>
      </c>
      <c r="E59" s="24" t="n"/>
      <c r="F59" s="24" t="n"/>
      <c r="G59" s="15" t="n"/>
      <c r="H59" s="21" t="n"/>
      <c r="I59" s="8" t="n"/>
    </row>
    <row r="60">
      <c r="A60" s="13" t="inlineStr">
        <is>
          <t>2회</t>
        </is>
      </c>
      <c r="B60" s="21" t="n"/>
      <c r="C60" s="21" t="n"/>
      <c r="D60" s="17">
        <f>IF(COUNT(B60:C60)&lt;2,"",(C60-B60)*1440)</f>
        <v/>
      </c>
      <c r="E60" s="24" t="n"/>
      <c r="F60" s="24" t="n"/>
      <c r="G60" s="15" t="n"/>
      <c r="H60" s="21" t="n"/>
      <c r="I60" s="8" t="n"/>
    </row>
    <row r="61">
      <c r="A61" s="13" t="inlineStr">
        <is>
          <t>3회</t>
        </is>
      </c>
      <c r="B61" s="21" t="n"/>
      <c r="C61" s="21" t="n"/>
      <c r="D61" s="17">
        <f>IF(COUNT(B61:C61)&lt;2,"",(C61-B61)*1440)</f>
        <v/>
      </c>
      <c r="E61" s="24" t="n"/>
      <c r="F61" s="24" t="n"/>
      <c r="G61" s="15" t="n"/>
      <c r="H61" s="21" t="n"/>
      <c r="I61" s="8" t="n"/>
    </row>
    <row r="62">
      <c r="A62" s="13" t="inlineStr">
        <is>
          <t>4회</t>
        </is>
      </c>
      <c r="B62" s="21" t="n"/>
      <c r="C62" s="21" t="n"/>
      <c r="D62" s="17">
        <f>IF(COUNT(B62:C62)&lt;2,"",(C62-B62)*1440)</f>
        <v/>
      </c>
      <c r="E62" s="24" t="n"/>
      <c r="F62" s="24" t="n"/>
      <c r="G62" s="15" t="n"/>
      <c r="H62" s="21" t="n"/>
      <c r="I62" s="8" t="n"/>
    </row>
    <row r="63">
      <c r="A63" s="13" t="inlineStr">
        <is>
          <t>5회</t>
        </is>
      </c>
      <c r="B63" s="21" t="n"/>
      <c r="C63" s="21" t="n"/>
      <c r="D63" s="17">
        <f>IF(COUNT(B63:C63)&lt;2,"",(C63-B63)*1440)</f>
        <v/>
      </c>
      <c r="E63" s="24" t="n"/>
      <c r="F63" s="24" t="n"/>
      <c r="G63" s="15" t="n"/>
      <c r="H63" s="21" t="n"/>
      <c r="I63" s="8" t="n"/>
    </row>
    <row r="64">
      <c r="A64" s="13" t="inlineStr">
        <is>
          <t>6회</t>
        </is>
      </c>
      <c r="B64" s="21" t="n"/>
      <c r="C64" s="21" t="n"/>
      <c r="D64" s="17">
        <f>IF(COUNT(B64:C64)&lt;2,"",(C64-B64)*1440)</f>
        <v/>
      </c>
      <c r="E64" s="24" t="n"/>
      <c r="F64" s="24" t="n"/>
      <c r="G64" s="15" t="n"/>
      <c r="H64" s="21" t="n"/>
      <c r="I64" s="8" t="n"/>
    </row>
    <row r="65">
      <c r="A65" s="13" t="inlineStr">
        <is>
          <t>7회</t>
        </is>
      </c>
      <c r="B65" s="21" t="n"/>
      <c r="C65" s="21" t="n"/>
      <c r="D65" s="17">
        <f>IF(COUNT(B65:C65)&lt;2,"",(C65-B65)*1440)</f>
        <v/>
      </c>
      <c r="E65" s="24" t="n"/>
      <c r="F65" s="24" t="n"/>
      <c r="G65" s="15" t="n"/>
      <c r="H65" s="21" t="n"/>
      <c r="I65" s="8" t="n"/>
    </row>
    <row r="66">
      <c r="A66" s="13" t="inlineStr">
        <is>
          <t>8회</t>
        </is>
      </c>
      <c r="B66" s="21" t="n"/>
      <c r="C66" s="21" t="n"/>
      <c r="D66" s="17">
        <f>IF(COUNT(B66:C66)&lt;2,"",(C66-B66)*1440)</f>
        <v/>
      </c>
      <c r="E66" s="24" t="n"/>
      <c r="F66" s="24" t="n"/>
      <c r="G66" s="15" t="n"/>
      <c r="H66" s="21" t="n"/>
      <c r="I66" s="8" t="n"/>
    </row>
    <row r="67">
      <c r="A67" s="22" t="inlineStr">
        <is>
          <t>⚠ 「소요(분)」이 20 을 넘으면 그 회차는 규정 밖이다 — 다시 잰다.</t>
        </is>
      </c>
    </row>
    <row r="69" ht="20" customHeight="1">
      <c r="A69" s="11" t="inlineStr">
        <is>
          <t>7. 중심점 최종 결정 · 현장 소견</t>
        </is>
      </c>
    </row>
    <row r="70" ht="16" customHeight="1">
      <c r="A7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71">
      <c r="A71" s="13" t="inlineStr">
        <is>
          <t>중심점 조정</t>
        </is>
      </c>
      <c r="B71" s="8" t="n"/>
      <c r="C71" s="13" t="inlineStr">
        <is>
          <t>최종 위도</t>
        </is>
      </c>
      <c r="D71" s="16" t="n"/>
      <c r="E71" s="13" t="inlineStr">
        <is>
          <t>최종 경도</t>
        </is>
      </c>
      <c r="F71" s="16" t="n"/>
      <c r="G71" s="13" t="inlineStr">
        <is>
          <t>조정 후 재측정</t>
        </is>
      </c>
      <c r="H71" s="8" t="n"/>
    </row>
    <row r="72">
      <c r="A72" s="13" t="inlineStr">
        <is>
          <t>표지 설치</t>
        </is>
      </c>
      <c r="B72" s="8" t="n"/>
      <c r="C72" s="13" t="inlineStr">
        <is>
          <t>철수 시각</t>
        </is>
      </c>
      <c r="D72" s="14" t="n"/>
      <c r="E72" s="13" t="inlineStr">
        <is>
          <t>사진 매수</t>
        </is>
      </c>
      <c r="F72" s="26" t="n"/>
      <c r="G72" s="13" t="inlineStr">
        <is>
          <t>현장 판정(소견)</t>
        </is>
      </c>
      <c r="H72" s="8" t="n"/>
    </row>
    <row r="73" ht="16" customHeight="1">
      <c r="A73" s="13" t="inlineStr">
        <is>
          <t>현장 소견</t>
        </is>
      </c>
      <c r="B73" s="27" t="n"/>
      <c r="C73" s="28" t="n"/>
      <c r="D73" s="28" t="n"/>
      <c r="E73" s="28" t="n"/>
      <c r="F73" s="28" t="n"/>
      <c r="G73" s="28" t="n"/>
      <c r="H73" s="28" t="n"/>
      <c r="I73" s="28" t="n"/>
    </row>
    <row r="74" ht="16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 ht="16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</row>
    <row r="76" ht="16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</sheetData>
  <mergeCells count="45">
    <mergeCell ref="E43:I43"/>
    <mergeCell ref="B54:C54"/>
    <mergeCell ref="B73:I76"/>
    <mergeCell ref="G53:I53"/>
    <mergeCell ref="E42:I42"/>
    <mergeCell ref="A56:I56"/>
    <mergeCell ref="A3:I3"/>
    <mergeCell ref="E39:I39"/>
    <mergeCell ref="A50:I50"/>
    <mergeCell ref="E48:I48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A14:I14"/>
    <mergeCell ref="A4:I4"/>
    <mergeCell ref="B53:C53"/>
    <mergeCell ref="E40:I40"/>
    <mergeCell ref="H11:I11"/>
    <mergeCell ref="G54:I54"/>
    <mergeCell ref="A10:I10"/>
    <mergeCell ref="H7:I7"/>
    <mergeCell ref="A13:I13"/>
    <mergeCell ref="E46:I46"/>
    <mergeCell ref="H72:I72"/>
    <mergeCell ref="A9:I9"/>
    <mergeCell ref="A67:I67"/>
    <mergeCell ref="A31:I31"/>
    <mergeCell ref="E45:I45"/>
    <mergeCell ref="E36:I36"/>
    <mergeCell ref="A34:I34"/>
    <mergeCell ref="G52:I52"/>
    <mergeCell ref="A51:I51"/>
    <mergeCell ref="H71:I71"/>
    <mergeCell ref="A1:I1"/>
    <mergeCell ref="E41:I41"/>
    <mergeCell ref="A70:I70"/>
    <mergeCell ref="E37:I37"/>
    <mergeCell ref="A69:I69"/>
    <mergeCell ref="E47:I47"/>
  </mergeCells>
  <dataValidations count="16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I59" showDropDown="0" showInputMessage="0" showErrorMessage="0" allowBlank="1" type="list">
      <formula1>"DI점,원격점"</formula1>
    </dataValidation>
    <dataValidation sqref="I60" showDropDown="0" showInputMessage="0" showErrorMessage="0" allowBlank="1" type="list">
      <formula1>"DI점,원격점"</formula1>
    </dataValidation>
    <dataValidation sqref="I61" showDropDown="0" showInputMessage="0" showErrorMessage="0" allowBlank="1" type="list">
      <formula1>"DI점,원격점"</formula1>
    </dataValidation>
    <dataValidation sqref="I62" showDropDown="0" showInputMessage="0" showErrorMessage="0" allowBlank="1" type="list">
      <formula1>"DI점,원격점"</formula1>
    </dataValidation>
    <dataValidation sqref="I63" showDropDown="0" showInputMessage="0" showErrorMessage="0" allowBlank="1" type="list">
      <formula1>"DI점,원격점"</formula1>
    </dataValidation>
    <dataValidation sqref="I64" showDropDown="0" showInputMessage="0" showErrorMessage="0" allowBlank="1" type="list">
      <formula1>"DI점,원격점"</formula1>
    </dataValidation>
    <dataValidation sqref="I65" showDropDown="0" showInputMessage="0" showErrorMessage="0" allowBlank="1" type="list">
      <formula1>"DI점,원격점"</formula1>
    </dataValidation>
    <dataValidation sqref="I66" showDropDown="0" showInputMessage="0" showErrorMessage="0" allowBlank="1" type="list">
      <formula1>"DI점,원격점"</formula1>
    </dataValidation>
    <dataValidation sqref="B71" showDropDown="0" showInputMessage="0" showErrorMessage="0" allowBlank="1" type="list">
      <formula1>"조정 없음,조정함"</formula1>
    </dataValidation>
    <dataValidation sqref="H71" showDropDown="0" showInputMessage="0" showErrorMessage="0" allowBlank="1" type="list">
      <formula1>"재측정 완료,미실시 — 잠정,해당없음"</formula1>
    </dataValidation>
    <dataValidation sqref="B72" showDropDown="0" showInputMessage="0" showErrorMessage="0" allowBlank="1" type="list">
      <formula1>"설치 완료,미설치"</formula1>
    </dataValidation>
    <dataValidation sqref="H7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2026-09-07T06:58:56Z</dcterms:created>
  <dcterms:modified xmlns:dcterms="http://purl.org/dc/terms/" xmlns:xsi="http://www.w3.org/2001/XMLSchema-instance" xsi:type="dcterms:W3CDTF">2026-09-07T06:58:57Z</dcterms:modified>
</cp:coreProperties>
</file>