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⚠ 야장에 칸이 없으면 그 값은 어떤 분석으로도 복원되지 않는다. 과거 야장 68개에 F 측정일시가 0건이어서 세션 외부장 보정이 원리적으로 막힌 전례가 이 설계의 근거다.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[절대관측 단계] 자기장 일변화가 안정적인 야간 시간대에 절대관측 수행</t>
        </is>
      </c>
    </row>
    <row r="43" ht="20" customHeight="1">
      <c r="A43" s="5" t="inlineStr">
        <is>
          <t>2</t>
        </is>
      </c>
      <c r="B43" s="6" t="inlineStr">
        <is>
          <t>우주기상 예보와 Kp 지수를 확인하여 관측일정 편성</t>
        </is>
      </c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</row>
    <row r="45" ht="20" customHeight="1">
      <c r="A45" s="5" t="inlineStr">
        <is>
          <t>4</t>
        </is>
      </c>
      <c r="B45" s="6" t="inlineStr">
        <is>
          <t>자기교란 발생 시 해당 관측구간 제외 또는 재관측</t>
        </is>
      </c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</row>
    <row r="47" ht="20" customHeight="1">
      <c r="A47" s="5" t="inlineStr">
        <is>
          <t>6</t>
        </is>
      </c>
      <c r="B47" s="6" t="inlineStr">
        <is>
          <t>[시험 탐사] 야간 의무는 없으나 «시간변화가 안정된 구간»을 골라 측정한다</t>
        </is>
      </c>
    </row>
    <row r="49">
      <c r="A49" s="4" t="inlineStr">
        <is>
          <t>상태코드 — 빈칸을 0 으로 세지 않기 위해</t>
        </is>
      </c>
    </row>
    <row r="50" ht="20" customHeight="1">
      <c r="A50" s="5" t="inlineStr">
        <is>
          <t>NOT AVAILABLE</t>
        </is>
      </c>
      <c r="B50" s="6" t="inlineStr">
        <is>
          <t>자료가 존재하지 않음(예: 항공자력 미측선)</t>
        </is>
      </c>
    </row>
    <row r="51" ht="20" customHeight="1">
      <c r="A51" s="5" t="inlineStr">
        <is>
          <t>NOT OBSERVED</t>
        </is>
      </c>
      <c r="B51" s="6" t="inlineStr">
        <is>
          <t>관측 미실시</t>
        </is>
      </c>
    </row>
    <row r="52" ht="20" customHeight="1">
      <c r="A52" s="5" t="inlineStr">
        <is>
          <t>INVALID</t>
        </is>
      </c>
      <c r="B52" s="6" t="inlineStr">
        <is>
          <t>관측했으나 무효 — 사유 필수</t>
        </is>
      </c>
    </row>
    <row r="53" ht="20" customHeight="1">
      <c r="A53" s="5" t="inlineStr">
        <is>
          <t>NOT APPLICABLE</t>
        </is>
      </c>
      <c r="B53" s="6" t="inlineStr">
        <is>
          <t>그 점에는 해당 없음</t>
        </is>
      </c>
    </row>
    <row r="54" ht="20" customHeight="1">
      <c r="A54" s="5" t="inlineStr">
        <is>
          <t>PENDING</t>
        </is>
      </c>
      <c r="B54" s="6" t="inlineStr">
        <is>
          <t>확인 대기</t>
        </is>
      </c>
    </row>
    <row r="55" ht="20" customHeight="1">
      <c r="A55" s="5" t="inlineStr">
        <is>
          <t>공통</t>
        </is>
      </c>
      <c r="B55" s="6" t="inlineStr">
        <is>
          <t>상태코드에는 «사유·입력자·입력시각»을 반드시 함께 적는다. 같은 코드도 장비오류·접근불가·기상·조사자 판단으로 원인이 다르다.</t>
        </is>
      </c>
    </row>
    <row r="57">
      <c r="A57" s="4" t="inlineStr">
        <is>
          <t>색 규약</t>
        </is>
      </c>
    </row>
    <row r="58" ht="20" customHeight="1">
      <c r="A58" s="5" t="inlineStr">
        <is>
          <t>연한 노랑</t>
        </is>
      </c>
      <c r="B58" s="6" t="inlineStr">
        <is>
          <t>현장 기입란</t>
        </is>
      </c>
    </row>
    <row r="59" ht="20" customHeight="1">
      <c r="A59" s="5" t="inlineStr">
        <is>
          <t>연한 초록</t>
        </is>
      </c>
      <c r="B59" s="6" t="inlineStr">
        <is>
          <t>사전 채움·계산값</t>
        </is>
      </c>
    </row>
    <row r="60" ht="20" customHeight="1">
      <c r="A60" s="5" t="inlineStr">
        <is>
          <t>연한 파랑</t>
        </is>
      </c>
      <c r="B60" s="6" t="inlineStr">
        <is>
          <t>중심점(P0) 반복관측 행</t>
        </is>
      </c>
    </row>
    <row r="61" ht="20" customHeight="1">
      <c r="A61" s="5" t="inlineStr">
        <is>
          <t>회색</t>
        </is>
      </c>
      <c r="B61" s="6" t="inlineStr">
        <is>
          <t>편집 금지</t>
        </is>
      </c>
    </row>
    <row r="62" ht="20" customHeight="1">
      <c r="A62" s="5" t="inlineStr">
        <is>
          <t>연한 적색</t>
        </is>
      </c>
      <c r="B62" s="6" t="inlineStr">
        <is>
          <t>주의·경고</t>
        </is>
      </c>
    </row>
  </sheetData>
  <mergeCells count="53">
    <mergeCell ref="B55:H55"/>
    <mergeCell ref="B6:H6"/>
    <mergeCell ref="B24:H24"/>
    <mergeCell ref="B30:H30"/>
    <mergeCell ref="A49:H49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47:H47"/>
    <mergeCell ref="B54:H54"/>
    <mergeCell ref="B7:H7"/>
    <mergeCell ref="B62:H62"/>
    <mergeCell ref="A37:H37"/>
    <mergeCell ref="B59:H59"/>
    <mergeCell ref="B31:H31"/>
    <mergeCell ref="B46:H46"/>
    <mergeCell ref="A18:H18"/>
    <mergeCell ref="B22:H22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57:H57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33" customHeight="1">
      <c r="A3" s="3" t="inlineStr">
        <is>
          <t>⚠ 「예측 |∇ΔT|」는 KIGAM 1.5분(약 2.8 km) 격자값으로 현장 수 m 스케일과 «물리적으로 다른 양»이다 — 합격기준으로 쓰지 않는다. 자료공백 5점(오호·문산·강화·포천·화천)은 NOT AVAILABLE 로 두고 감점·보간 금지.</t>
        </is>
      </c>
    </row>
    <row r="4" ht="36" customHeight="1">
      <c r="A4" s="7" t="inlineStr">
        <is>
          <t>Site ID</t>
        </is>
      </c>
      <c r="B4" s="8" t="inlineStr">
        <is>
          <t>연번</t>
        </is>
      </c>
      <c r="C4" s="8" t="inlineStr">
        <is>
          <t>구분</t>
        </is>
      </c>
      <c r="D4" s="8" t="inlineStr">
        <is>
          <t>원 번호</t>
        </is>
      </c>
      <c r="E4" s="8" t="inlineStr">
        <is>
          <t>지점명</t>
        </is>
      </c>
      <c r="F4" s="8" t="inlineStr">
        <is>
          <t>관할본부</t>
        </is>
      </c>
      <c r="G4" s="8" t="inlineStr">
        <is>
          <t>도엽번호</t>
        </is>
      </c>
      <c r="H4" s="8" t="inlineStr">
        <is>
          <t>도엽명</t>
        </is>
      </c>
      <c r="I4" s="8" t="inlineStr">
        <is>
          <t>위도(십진)</t>
        </is>
      </c>
      <c r="J4" s="8" t="inlineStr">
        <is>
          <t>경도(십진)</t>
        </is>
      </c>
      <c r="K4" s="8" t="inlineStr">
        <is>
          <t>표고(m)</t>
        </is>
      </c>
      <c r="L4" s="8" t="inlineStr">
        <is>
          <t>소재지</t>
        </is>
      </c>
      <c r="M4" s="8" t="inlineStr">
        <is>
          <t>예측 |∇ΔT|
(nT/km)
※판정 미사용</t>
        </is>
      </c>
      <c r="N4" s="8" t="inlineStr">
        <is>
          <t>예측 상태</t>
        </is>
      </c>
      <c r="O4" s="8" t="inlineStr">
        <is>
          <t>최근접
관측소</t>
        </is>
      </c>
      <c r="P4" s="8" t="inlineStr">
        <is>
          <t>관측소
거리(km)</t>
        </is>
      </c>
      <c r="Q4" s="8" t="inlineStr">
        <is>
          <t>표지1 방위각
(기재값)</t>
        </is>
      </c>
      <c r="R4" s="8" t="inlineStr">
        <is>
          <t>표지1
거리(m)</t>
        </is>
      </c>
      <c r="S4" s="8" t="inlineStr">
        <is>
          <t>원 계획 유의사항</t>
        </is>
      </c>
      <c r="T4" s="8" t="inlineStr">
        <is>
          <t>HOLD 범위</t>
        </is>
      </c>
    </row>
    <row r="5">
      <c r="A5" s="9" t="inlineStr">
        <is>
          <t>S01</t>
        </is>
      </c>
      <c r="B5" s="9" t="n">
        <v>1</v>
      </c>
      <c r="C5" s="9" t="inlineStr">
        <is>
          <t>A</t>
        </is>
      </c>
      <c r="D5" s="9" t="inlineStr">
        <is>
          <t>DS-008</t>
        </is>
      </c>
      <c r="E5" s="9" t="inlineStr">
        <is>
          <t>태백 신규점</t>
        </is>
      </c>
      <c r="F5" s="9" t="inlineStr">
        <is>
          <t>대구경북 본부</t>
        </is>
      </c>
      <c r="G5" s="9" t="inlineStr">
        <is>
          <t>NJ52-8-28</t>
        </is>
      </c>
      <c r="H5" s="9" t="inlineStr">
        <is>
          <t>태백</t>
        </is>
      </c>
      <c r="I5" s="10" t="n">
        <v>37.020705</v>
      </c>
      <c r="J5" s="10" t="n">
        <v>128.98393</v>
      </c>
      <c r="K5" s="11" t="n">
        <v>872</v>
      </c>
      <c r="L5" s="12" t="inlineStr">
        <is>
          <t>경북 봉화군 소천면 고선리 산 1</t>
        </is>
      </c>
      <c r="M5" s="11" t="n">
        <v>15.6</v>
      </c>
      <c r="N5" s="9" t="inlineStr">
        <is>
          <t>OK</t>
        </is>
      </c>
      <c r="O5" s="9" t="inlineStr">
        <is>
          <t>강릉</t>
        </is>
      </c>
      <c r="P5" s="9" t="n">
        <v>83</v>
      </c>
      <c r="Q5" s="9" t="inlineStr">
        <is>
          <t>178° 31' 53″</t>
        </is>
      </c>
      <c r="R5" s="11" t="n">
        <v>69</v>
      </c>
      <c r="S5" s="12" t="inlineStr"/>
      <c r="T5" s="12" t="inlineStr">
        <is>
          <t>없음 — 전 항목 진행</t>
        </is>
      </c>
    </row>
    <row r="6">
      <c r="A6" s="9" t="inlineStr">
        <is>
          <t>S02</t>
        </is>
      </c>
      <c r="B6" s="9" t="n">
        <v>2</v>
      </c>
      <c r="C6" s="9" t="inlineStr">
        <is>
          <t>A</t>
        </is>
      </c>
      <c r="D6" s="9" t="inlineStr">
        <is>
          <t>DS-015</t>
        </is>
      </c>
      <c r="E6" s="9" t="inlineStr">
        <is>
          <t>임계 신규점1</t>
        </is>
      </c>
      <c r="F6" s="9" t="inlineStr">
        <is>
          <t>강원 본부</t>
        </is>
      </c>
      <c r="G6" s="9" t="inlineStr">
        <is>
          <t>NJ52-8-20</t>
        </is>
      </c>
      <c r="H6" s="9" t="inlineStr">
        <is>
          <t>임계</t>
        </is>
      </c>
      <c r="I6" s="10" t="n">
        <v>37.359346</v>
      </c>
      <c r="J6" s="10" t="n">
        <v>128.973865</v>
      </c>
      <c r="K6" s="11" t="n">
        <v>844</v>
      </c>
      <c r="L6" s="12" t="inlineStr">
        <is>
          <t>강원특별자치도 삼척시 하장면 숙암리 산 11-1</t>
        </is>
      </c>
      <c r="M6" s="11" t="n">
        <v>24.3</v>
      </c>
      <c r="N6" s="9" t="inlineStr">
        <is>
          <t>OK</t>
        </is>
      </c>
      <c r="O6" s="9" t="inlineStr">
        <is>
          <t>강릉</t>
        </is>
      </c>
      <c r="P6" s="9" t="n">
        <v>46</v>
      </c>
      <c r="Q6" s="9" t="inlineStr">
        <is>
          <t>177°43′54″</t>
        </is>
      </c>
      <c r="R6" s="11" t="n">
        <v>79</v>
      </c>
      <c r="S6" s="12" t="inlineStr"/>
      <c r="T6" s="12" t="inlineStr">
        <is>
          <t>없음 — 전 항목 진행</t>
        </is>
      </c>
    </row>
    <row r="7">
      <c r="A7" s="9" t="inlineStr">
        <is>
          <t>S03</t>
        </is>
      </c>
      <c r="B7" s="9" t="n">
        <v>3</v>
      </c>
      <c r="C7" s="9" t="inlineStr">
        <is>
          <t>A</t>
        </is>
      </c>
      <c r="D7" s="9" t="inlineStr">
        <is>
          <t>DS-076</t>
        </is>
      </c>
      <c r="E7" s="9" t="inlineStr">
        <is>
          <t>예산 신규점2</t>
        </is>
      </c>
      <c r="F7" s="9" t="inlineStr">
        <is>
          <t>대전세종충남 본부</t>
        </is>
      </c>
      <c r="G7" s="9" t="inlineStr">
        <is>
          <t>NJ52-10-12</t>
        </is>
      </c>
      <c r="H7" s="9" t="inlineStr">
        <is>
          <t>예산</t>
        </is>
      </c>
      <c r="I7" s="10" t="n">
        <v>36.534085</v>
      </c>
      <c r="J7" s="10" t="n">
        <v>126.936269</v>
      </c>
      <c r="K7" s="11" t="n">
        <v>116</v>
      </c>
      <c r="L7" s="12" t="inlineStr">
        <is>
          <t>충남 공주시 신풍면 산정리 산 3</t>
        </is>
      </c>
      <c r="M7" s="11" t="n">
        <v>9.300000000000001</v>
      </c>
      <c r="N7" s="9" t="inlineStr">
        <is>
          <t>OK</t>
        </is>
      </c>
      <c r="O7" s="9" t="inlineStr">
        <is>
          <t>청양</t>
        </is>
      </c>
      <c r="P7" s="9" t="n">
        <v>20</v>
      </c>
      <c r="Q7" s="9" t="inlineStr">
        <is>
          <t>273°56′32″</t>
        </is>
      </c>
      <c r="R7" s="11" t="n">
        <v>134</v>
      </c>
      <c r="S7" s="12" t="inlineStr"/>
      <c r="T7" s="12" t="inlineStr">
        <is>
          <t>없음 — 전 항목 진행</t>
        </is>
      </c>
    </row>
    <row r="8">
      <c r="A8" s="9" t="inlineStr">
        <is>
          <t>S04</t>
        </is>
      </c>
      <c r="B8" s="9" t="n">
        <v>4</v>
      </c>
      <c r="C8" s="9" t="inlineStr">
        <is>
          <t>A</t>
        </is>
      </c>
      <c r="D8" s="9" t="inlineStr">
        <is>
          <t>DS-081</t>
        </is>
      </c>
      <c r="E8" s="9" t="inlineStr">
        <is>
          <t>진안 신규점1</t>
        </is>
      </c>
      <c r="F8" s="9" t="inlineStr">
        <is>
          <t>전북 본부</t>
        </is>
      </c>
      <c r="G8" s="9" t="inlineStr">
        <is>
          <t>NI52-1-06</t>
        </is>
      </c>
      <c r="H8" s="9" t="inlineStr">
        <is>
          <t>진안</t>
        </is>
      </c>
      <c r="I8" s="10" t="n">
        <v>35.891309</v>
      </c>
      <c r="J8" s="10" t="n">
        <v>127.309017</v>
      </c>
      <c r="K8" s="11" t="n">
        <v>297</v>
      </c>
      <c r="L8" s="12" t="inlineStr">
        <is>
          <t>전북특별자치도 완주군 동상면 사봉리 산 107-2</t>
        </is>
      </c>
      <c r="M8" s="11" t="n">
        <v>20.1</v>
      </c>
      <c r="N8" s="9" t="inlineStr">
        <is>
          <t>OK</t>
        </is>
      </c>
      <c r="O8" s="9" t="inlineStr">
        <is>
          <t>청양</t>
        </is>
      </c>
      <c r="P8" s="9" t="n">
        <v>67</v>
      </c>
      <c r="Q8" s="9" t="inlineStr">
        <is>
          <t>328° 19' 19.77</t>
        </is>
      </c>
      <c r="R8" s="11" t="n">
        <v>101</v>
      </c>
      <c r="S8" s="12" t="inlineStr"/>
      <c r="T8" s="12" t="inlineStr">
        <is>
          <t>없음 — 전 항목 진행</t>
        </is>
      </c>
    </row>
    <row r="9">
      <c r="A9" s="9" t="inlineStr">
        <is>
          <t>S05</t>
        </is>
      </c>
      <c r="B9" s="9" t="n">
        <v>5</v>
      </c>
      <c r="C9" s="9" t="inlineStr">
        <is>
          <t>A</t>
        </is>
      </c>
      <c r="D9" s="9" t="inlineStr">
        <is>
          <t>DS-083</t>
        </is>
      </c>
      <c r="E9" s="9" t="inlineStr">
        <is>
          <t>무풍 신규점1</t>
        </is>
      </c>
      <c r="F9" s="9" t="inlineStr">
        <is>
          <t>전북 본부</t>
        </is>
      </c>
      <c r="G9" s="9" t="inlineStr">
        <is>
          <t>NI52-1-08</t>
        </is>
      </c>
      <c r="H9" s="9" t="inlineStr">
        <is>
          <t>무풍</t>
        </is>
      </c>
      <c r="I9" s="10" t="n">
        <v>35.945212</v>
      </c>
      <c r="J9" s="10" t="n">
        <v>127.800855</v>
      </c>
      <c r="K9" s="11" t="n">
        <v>584</v>
      </c>
      <c r="L9" s="12" t="inlineStr">
        <is>
          <t>전북특별자치도 무주군 설천면 두길리 165</t>
        </is>
      </c>
      <c r="M9" s="11" t="n">
        <v>26.6</v>
      </c>
      <c r="N9" s="9" t="inlineStr">
        <is>
          <t>OK</t>
        </is>
      </c>
      <c r="O9" s="9" t="inlineStr">
        <is>
          <t>청양</t>
        </is>
      </c>
      <c r="P9" s="9" t="n">
        <v>98</v>
      </c>
      <c r="Q9" s="9" t="inlineStr">
        <is>
          <t>246° 16′ 35.46</t>
        </is>
      </c>
      <c r="R9" s="11" t="n">
        <v>67</v>
      </c>
      <c r="S9" s="12" t="inlineStr"/>
      <c r="T9" s="12" t="inlineStr">
        <is>
          <t>없음 — 전 항목 진행</t>
        </is>
      </c>
    </row>
    <row r="10">
      <c r="A10" s="13" t="inlineStr">
        <is>
          <t>S06</t>
        </is>
      </c>
      <c r="B10" s="13" t="n">
        <v>6</v>
      </c>
      <c r="C10" s="13" t="inlineStr">
        <is>
          <t>B</t>
        </is>
      </c>
      <c r="D10" s="13" t="inlineStr">
        <is>
          <t>DS-003</t>
        </is>
      </c>
      <c r="E10" s="13" t="inlineStr">
        <is>
          <t>길담 신규점</t>
        </is>
      </c>
      <c r="F10" s="13" t="inlineStr">
        <is>
          <t>전북 본부</t>
        </is>
      </c>
      <c r="G10" s="13" t="inlineStr">
        <is>
          <t>NI52-1-13</t>
        </is>
      </c>
      <c r="H10" s="13" t="inlineStr">
        <is>
          <t>갈담</t>
        </is>
      </c>
      <c r="I10" s="14" t="n">
        <v>35.604653</v>
      </c>
      <c r="J10" s="14" t="n">
        <v>127.230237</v>
      </c>
      <c r="K10" s="15" t="n">
        <v>281</v>
      </c>
      <c r="L10" s="16" t="inlineStr">
        <is>
          <t>전북특별자치도 임실군 임실읍 신안리 산 87-1</t>
        </is>
      </c>
      <c r="M10" s="15" t="n">
        <v>8.4</v>
      </c>
      <c r="N10" s="13" t="inlineStr">
        <is>
          <t>OK</t>
        </is>
      </c>
      <c r="O10" s="13" t="inlineStr">
        <is>
          <t>청양</t>
        </is>
      </c>
      <c r="P10" s="13" t="n">
        <v>91</v>
      </c>
      <c r="Q10" s="13" t="inlineStr">
        <is>
          <t>351˚ 50´ 02˝</t>
        </is>
      </c>
      <c r="R10" s="15" t="n">
        <v>64</v>
      </c>
      <c r="S10" s="16" t="inlineStr"/>
      <c r="T10" s="16" t="inlineStr">
        <is>
          <t>없음 — 전 항목 진행</t>
        </is>
      </c>
    </row>
    <row r="11">
      <c r="A11" s="13" t="inlineStr">
        <is>
          <t>S07</t>
        </is>
      </c>
      <c r="B11" s="13" t="n">
        <v>7</v>
      </c>
      <c r="C11" s="13" t="inlineStr">
        <is>
          <t>B</t>
        </is>
      </c>
      <c r="D11" s="13" t="inlineStr">
        <is>
          <t>DS-004</t>
        </is>
      </c>
      <c r="E11" s="13" t="inlineStr">
        <is>
          <t>남해 신규점1</t>
        </is>
      </c>
      <c r="F11" s="13" t="inlineStr">
        <is>
          <t>경남 본부</t>
        </is>
      </c>
      <c r="G11" s="13" t="inlineStr">
        <is>
          <t>NI52-4-08</t>
        </is>
      </c>
      <c r="H11" s="13" t="inlineStr">
        <is>
          <t>남해</t>
        </is>
      </c>
      <c r="I11" s="14" t="n">
        <v>34.852281</v>
      </c>
      <c r="J11" s="14" t="n">
        <v>127.981473</v>
      </c>
      <c r="K11" s="15" t="n">
        <v>262</v>
      </c>
      <c r="L11" s="16" t="inlineStr">
        <is>
          <t>경남 남해군 창선면 지족리 산 115</t>
        </is>
      </c>
      <c r="M11" s="15" t="n">
        <v>5.4</v>
      </c>
      <c r="N11" s="13" t="inlineStr">
        <is>
          <t>OK</t>
        </is>
      </c>
      <c r="O11" s="13" t="inlineStr">
        <is>
          <t>청양</t>
        </is>
      </c>
      <c r="P11" s="13" t="n">
        <v>197</v>
      </c>
      <c r="Q11" s="13" t="inlineStr">
        <is>
          <t>114°34′47″</t>
        </is>
      </c>
      <c r="R11" s="15" t="n">
        <v>70</v>
      </c>
      <c r="S11" s="16" t="inlineStr"/>
      <c r="T11" s="16" t="inlineStr">
        <is>
          <t>없음 — 전 항목 진행</t>
        </is>
      </c>
    </row>
    <row r="12">
      <c r="A12" s="13" t="inlineStr">
        <is>
          <t>S08</t>
        </is>
      </c>
      <c r="B12" s="13" t="n">
        <v>8</v>
      </c>
      <c r="C12" s="13" t="inlineStr">
        <is>
          <t>B</t>
        </is>
      </c>
      <c r="D12" s="13" t="inlineStr">
        <is>
          <t>DS-013</t>
        </is>
      </c>
      <c r="E12" s="13" t="inlineStr">
        <is>
          <t>청일 신규점2</t>
        </is>
      </c>
      <c r="F12" s="13" t="inlineStr">
        <is>
          <t>강원 본부</t>
        </is>
      </c>
      <c r="G12" s="13" t="inlineStr">
        <is>
          <t>NJ52-8-09</t>
        </is>
      </c>
      <c r="H12" s="13" t="inlineStr">
        <is>
          <t>청일</t>
        </is>
      </c>
      <c r="I12" s="14" t="n">
        <v>37.618578</v>
      </c>
      <c r="J12" s="14" t="n">
        <v>128.1698</v>
      </c>
      <c r="K12" s="15" t="n">
        <v>372</v>
      </c>
      <c r="L12" s="16" t="inlineStr">
        <is>
          <t>강원특별자치도 횡성군 청일면 춘당리 산 1</t>
        </is>
      </c>
      <c r="M12" s="15" t="n">
        <v>7.6</v>
      </c>
      <c r="N12" s="13" t="inlineStr">
        <is>
          <t>OK</t>
        </is>
      </c>
      <c r="O12" s="13" t="inlineStr">
        <is>
          <t>강릉</t>
        </is>
      </c>
      <c r="P12" s="13" t="n">
        <v>64</v>
      </c>
      <c r="Q12" s="13" t="inlineStr">
        <is>
          <t>162° 55′ 36.41″</t>
        </is>
      </c>
      <c r="R12" s="15" t="n">
        <v>63</v>
      </c>
      <c r="S12" s="16" t="inlineStr"/>
      <c r="T12" s="16" t="inlineStr">
        <is>
          <t>없음 — 전 항목 진행</t>
        </is>
      </c>
    </row>
    <row r="13">
      <c r="A13" s="13" t="inlineStr">
        <is>
          <t>S09</t>
        </is>
      </c>
      <c r="B13" s="13" t="n">
        <v>9</v>
      </c>
      <c r="C13" s="13" t="inlineStr">
        <is>
          <t>B</t>
        </is>
      </c>
      <c r="D13" s="13" t="inlineStr">
        <is>
          <t>DS-014</t>
        </is>
      </c>
      <c r="E13" s="13" t="inlineStr">
        <is>
          <t>어론 신규점</t>
        </is>
      </c>
      <c r="F13" s="13" t="inlineStr">
        <is>
          <t>강원 본부</t>
        </is>
      </c>
      <c r="G13" s="13" t="inlineStr">
        <is>
          <t>NJ52-8-01</t>
        </is>
      </c>
      <c r="H13" s="13" t="inlineStr">
        <is>
          <t>어론</t>
        </is>
      </c>
      <c r="I13" s="14" t="n">
        <v>37.776326</v>
      </c>
      <c r="J13" s="14" t="n">
        <v>128.075858</v>
      </c>
      <c r="K13" s="15" t="n">
        <v>532</v>
      </c>
      <c r="L13" s="16" t="inlineStr">
        <is>
          <t>강원특별자치도 홍천군 내촌면 화상대리 산 108-2</t>
        </is>
      </c>
      <c r="M13" s="15" t="n">
        <v>4.7</v>
      </c>
      <c r="N13" s="13" t="inlineStr">
        <is>
          <t>OK</t>
        </is>
      </c>
      <c r="O13" s="13" t="inlineStr">
        <is>
          <t>강릉</t>
        </is>
      </c>
      <c r="P13" s="13" t="n">
        <v>70</v>
      </c>
      <c r="Q13" s="13" t="inlineStr">
        <is>
          <t>278°9′11″</t>
        </is>
      </c>
      <c r="R13" s="15" t="n">
        <v>37</v>
      </c>
      <c r="S13" s="16" t="inlineStr"/>
      <c r="T13" s="16" t="inlineStr">
        <is>
          <t>없음 — 전 항목 진행</t>
        </is>
      </c>
    </row>
    <row r="14">
      <c r="A14" s="13" t="inlineStr">
        <is>
          <t>S10</t>
        </is>
      </c>
      <c r="B14" s="13" t="n">
        <v>10</v>
      </c>
      <c r="C14" s="13" t="inlineStr">
        <is>
          <t>B</t>
        </is>
      </c>
      <c r="D14" s="13" t="inlineStr">
        <is>
          <t>DS-020</t>
        </is>
      </c>
      <c r="E14" s="13" t="inlineStr">
        <is>
          <t>예안 신규점1</t>
        </is>
      </c>
      <c r="F14" s="13" t="inlineStr">
        <is>
          <t>대구경북 본부</t>
        </is>
      </c>
      <c r="G14" s="13" t="inlineStr">
        <is>
          <t>NJ52-11-12</t>
        </is>
      </c>
      <c r="H14" s="13" t="inlineStr">
        <is>
          <t>예안</t>
        </is>
      </c>
      <c r="I14" s="14" t="n">
        <v>36.745399</v>
      </c>
      <c r="J14" s="14" t="n">
        <v>128.853559</v>
      </c>
      <c r="K14" s="15" t="n">
        <v>293</v>
      </c>
      <c r="L14" s="16" t="inlineStr">
        <is>
          <t>경북 안동시 도산면 토계리 350</t>
        </is>
      </c>
      <c r="M14" s="15" t="n">
        <v>7.5</v>
      </c>
      <c r="N14" s="13" t="inlineStr">
        <is>
          <t>OK</t>
        </is>
      </c>
      <c r="O14" s="13" t="inlineStr">
        <is>
          <t>강릉</t>
        </is>
      </c>
      <c r="P14" s="13" t="n">
        <v>113</v>
      </c>
      <c r="Q14" s="13" t="inlineStr">
        <is>
          <t>45°25′27</t>
        </is>
      </c>
      <c r="R14" s="15" t="n">
        <v>28</v>
      </c>
      <c r="S14" s="16" t="inlineStr"/>
      <c r="T14" s="16" t="inlineStr">
        <is>
          <t>없음 — 전 항목 진행</t>
        </is>
      </c>
    </row>
    <row r="15">
      <c r="A15" s="13" t="inlineStr">
        <is>
          <t>S11</t>
        </is>
      </c>
      <c r="B15" s="13" t="n">
        <v>11</v>
      </c>
      <c r="C15" s="13" t="inlineStr">
        <is>
          <t>B</t>
        </is>
      </c>
      <c r="D15" s="13" t="inlineStr">
        <is>
          <t>DS-025</t>
        </is>
      </c>
      <c r="E15" s="13" t="inlineStr">
        <is>
          <t>소천 신규점4</t>
        </is>
      </c>
      <c r="F15" s="13" t="inlineStr">
        <is>
          <t>대구경북 본부</t>
        </is>
      </c>
      <c r="G15" s="13" t="inlineStr">
        <is>
          <t>NJ52-11-05</t>
        </is>
      </c>
      <c r="H15" s="13" t="inlineStr">
        <is>
          <t>소천</t>
        </is>
      </c>
      <c r="I15" s="14" t="n">
        <v>36.765848</v>
      </c>
      <c r="J15" s="14" t="n">
        <v>129.154341</v>
      </c>
      <c r="K15" s="15" t="n">
        <v>380</v>
      </c>
      <c r="L15" s="16" t="inlineStr">
        <is>
          <t>경북 영양군 일월면 문암리 산 59-2</t>
        </is>
      </c>
      <c r="M15" s="15" t="n">
        <v>34.9</v>
      </c>
      <c r="N15" s="13" t="inlineStr">
        <is>
          <t>OK</t>
        </is>
      </c>
      <c r="O15" s="13" t="inlineStr">
        <is>
          <t>강릉</t>
        </is>
      </c>
      <c r="P15" s="13" t="n">
        <v>114</v>
      </c>
      <c r="Q15" s="13" t="inlineStr">
        <is>
          <t>251°54'10"</t>
        </is>
      </c>
      <c r="R15" s="15" t="n">
        <v>38</v>
      </c>
      <c r="S15" s="16" t="inlineStr"/>
      <c r="T15" s="16" t="inlineStr">
        <is>
          <t>없음 — 전 항목 진행</t>
        </is>
      </c>
    </row>
    <row r="16">
      <c r="A16" s="13" t="inlineStr">
        <is>
          <t>S12</t>
        </is>
      </c>
      <c r="B16" s="13" t="n">
        <v>12</v>
      </c>
      <c r="C16" s="13" t="inlineStr">
        <is>
          <t>B</t>
        </is>
      </c>
      <c r="D16" s="13" t="inlineStr">
        <is>
          <t>DS-030</t>
        </is>
      </c>
      <c r="E16" s="13" t="inlineStr">
        <is>
          <t>순창 신규점</t>
        </is>
      </c>
      <c r="F16" s="13" t="inlineStr">
        <is>
          <t>광주전남 본부</t>
        </is>
      </c>
      <c r="G16" s="13" t="inlineStr">
        <is>
          <t>NI52-1-21</t>
        </is>
      </c>
      <c r="H16" s="13" t="inlineStr">
        <is>
          <t>순창</t>
        </is>
      </c>
      <c r="I16" s="14" t="n">
        <v>35.284821</v>
      </c>
      <c r="J16" s="14" t="n">
        <v>127.092148</v>
      </c>
      <c r="K16" s="15" t="n">
        <v>219</v>
      </c>
      <c r="L16" s="16" t="inlineStr">
        <is>
          <t>전남광주통합특별시 곡성군 오산면 운곡리 산 73-1</t>
        </is>
      </c>
      <c r="M16" s="15" t="n">
        <v>23.1</v>
      </c>
      <c r="N16" s="13" t="inlineStr">
        <is>
          <t>OK</t>
        </is>
      </c>
      <c r="O16" s="13" t="inlineStr">
        <is>
          <t>청양</t>
        </is>
      </c>
      <c r="P16" s="13" t="n">
        <v>122</v>
      </c>
      <c r="Q16" s="13" t="inlineStr">
        <is>
          <t>206°53′16″</t>
        </is>
      </c>
      <c r="R16" s="15" t="n">
        <v>57</v>
      </c>
      <c r="S16" s="16" t="inlineStr"/>
      <c r="T16" s="16" t="inlineStr">
        <is>
          <t>없음 — 전 항목 진행</t>
        </is>
      </c>
    </row>
    <row r="17">
      <c r="A17" s="13" t="inlineStr">
        <is>
          <t>S13</t>
        </is>
      </c>
      <c r="B17" s="13" t="n">
        <v>13</v>
      </c>
      <c r="C17" s="13" t="inlineStr">
        <is>
          <t>B</t>
        </is>
      </c>
      <c r="D17" s="13" t="inlineStr">
        <is>
          <t>DS-031</t>
        </is>
      </c>
      <c r="E17" s="13" t="inlineStr">
        <is>
          <t>순천 신규점</t>
        </is>
      </c>
      <c r="F17" s="13" t="inlineStr">
        <is>
          <t>광주전남 본부</t>
        </is>
      </c>
      <c r="G17" s="13" t="inlineStr">
        <is>
          <t>NI52-4-06</t>
        </is>
      </c>
      <c r="H17" s="13" t="inlineStr">
        <is>
          <t>순천</t>
        </is>
      </c>
      <c r="I17" s="14" t="n">
        <v>34.904713</v>
      </c>
      <c r="J17" s="14" t="n">
        <v>127.294737</v>
      </c>
      <c r="K17" s="15" t="n">
        <v>301</v>
      </c>
      <c r="L17" s="16" t="inlineStr">
        <is>
          <t>전남광주통합특별시 순천시 외서면 신덕리 산 185-2</t>
        </is>
      </c>
      <c r="M17" s="15" t="n">
        <v>4.8</v>
      </c>
      <c r="N17" s="13" t="inlineStr">
        <is>
          <t>OK</t>
        </is>
      </c>
      <c r="O17" s="13" t="inlineStr">
        <is>
          <t>청양</t>
        </is>
      </c>
      <c r="P17" s="13" t="n">
        <v>167</v>
      </c>
      <c r="Q17" s="13" t="inlineStr">
        <is>
          <t>108° 51' 19</t>
        </is>
      </c>
      <c r="R17" s="15" t="n">
        <v>17</v>
      </c>
      <c r="S17" s="16" t="inlineStr"/>
      <c r="T17" s="16" t="inlineStr">
        <is>
          <t>없음 — 전 항목 진행</t>
        </is>
      </c>
    </row>
    <row r="18">
      <c r="A18" s="13" t="inlineStr">
        <is>
          <t>S14</t>
        </is>
      </c>
      <c r="B18" s="13" t="n">
        <v>14</v>
      </c>
      <c r="C18" s="13" t="inlineStr">
        <is>
          <t>B</t>
        </is>
      </c>
      <c r="D18" s="13" t="inlineStr">
        <is>
          <t>DS-033</t>
        </is>
      </c>
      <c r="E18" s="13" t="inlineStr">
        <is>
          <t>청송 신규점1</t>
        </is>
      </c>
      <c r="F18" s="13" t="inlineStr">
        <is>
          <t>대구경북 본부</t>
        </is>
      </c>
      <c r="G18" s="13" t="inlineStr">
        <is>
          <t>NJ52-11-21</t>
        </is>
      </c>
      <c r="H18" s="13" t="inlineStr">
        <is>
          <t>청송</t>
        </is>
      </c>
      <c r="I18" s="14" t="n">
        <v>36.382888</v>
      </c>
      <c r="J18" s="14" t="n">
        <v>129.145795</v>
      </c>
      <c r="K18" s="15" t="n">
        <v>313</v>
      </c>
      <c r="L18" s="16" t="inlineStr">
        <is>
          <t>경북 청송군 주왕산면 상의리 876</t>
        </is>
      </c>
      <c r="M18" s="15" t="n">
        <v>36.9</v>
      </c>
      <c r="N18" s="13" t="inlineStr">
        <is>
          <t>OK</t>
        </is>
      </c>
      <c r="O18" s="13" t="inlineStr">
        <is>
          <t>강릉</t>
        </is>
      </c>
      <c r="P18" s="13" t="n">
        <v>155</v>
      </c>
      <c r="Q18" s="13" t="inlineStr">
        <is>
          <t>121°33'54"</t>
        </is>
      </c>
      <c r="R18" s="15" t="n">
        <v>43</v>
      </c>
      <c r="S18" s="16" t="inlineStr"/>
      <c r="T18" s="16" t="inlineStr">
        <is>
          <t>없음 — 전 항목 진행</t>
        </is>
      </c>
    </row>
    <row r="19">
      <c r="A19" s="13" t="inlineStr">
        <is>
          <t>S15</t>
        </is>
      </c>
      <c r="B19" s="13" t="n">
        <v>15</v>
      </c>
      <c r="C19" s="13" t="inlineStr">
        <is>
          <t>B</t>
        </is>
      </c>
      <c r="D19" s="13" t="inlineStr">
        <is>
          <t>DS-035</t>
        </is>
      </c>
      <c r="E19" s="13" t="inlineStr">
        <is>
          <t>의성 신규점</t>
        </is>
      </c>
      <c r="F19" s="13" t="inlineStr">
        <is>
          <t>대구경북 본부</t>
        </is>
      </c>
      <c r="G19" s="13" t="inlineStr">
        <is>
          <t>NJ52-11-19</t>
        </is>
      </c>
      <c r="H19" s="13" t="inlineStr">
        <is>
          <t>의성</t>
        </is>
      </c>
      <c r="I19" s="14" t="n">
        <v>36.4767</v>
      </c>
      <c r="J19" s="14" t="n">
        <v>128.508751</v>
      </c>
      <c r="K19" s="15" t="n">
        <v>179</v>
      </c>
      <c r="L19" s="16" t="inlineStr">
        <is>
          <t>경북 의성군 신평면 교안리 산 31-1</t>
        </is>
      </c>
      <c r="M19" s="15" t="n">
        <v>5.7</v>
      </c>
      <c r="N19" s="13" t="inlineStr">
        <is>
          <t>OK</t>
        </is>
      </c>
      <c r="O19" s="13" t="inlineStr">
        <is>
          <t>이천</t>
        </is>
      </c>
      <c r="P19" s="13" t="n">
        <v>114</v>
      </c>
      <c r="Q19" s="13" t="inlineStr">
        <is>
          <t>44˚ 41´ 38.53˝</t>
        </is>
      </c>
      <c r="R19" s="15" t="n">
        <v>60</v>
      </c>
      <c r="S19" s="16" t="inlineStr"/>
      <c r="T19" s="16" t="inlineStr">
        <is>
          <t>없음 — 전 항목 진행</t>
        </is>
      </c>
    </row>
    <row r="20">
      <c r="A20" s="13" t="inlineStr">
        <is>
          <t>S16</t>
        </is>
      </c>
      <c r="B20" s="13" t="n">
        <v>16</v>
      </c>
      <c r="C20" s="13" t="inlineStr">
        <is>
          <t>B</t>
        </is>
      </c>
      <c r="D20" s="13" t="inlineStr">
        <is>
          <t>DS-036</t>
        </is>
      </c>
      <c r="E20" s="13" t="inlineStr">
        <is>
          <t>예천 신규점</t>
        </is>
      </c>
      <c r="F20" s="13" t="inlineStr">
        <is>
          <t>대구경북 본부</t>
        </is>
      </c>
      <c r="G20" s="13" t="inlineStr">
        <is>
          <t>NJ52-11-10</t>
        </is>
      </c>
      <c r="H20" s="13" t="inlineStr">
        <is>
          <t>예천</t>
        </is>
      </c>
      <c r="I20" s="14" t="n">
        <v>36.50939</v>
      </c>
      <c r="J20" s="14" t="n">
        <v>128.494519</v>
      </c>
      <c r="K20" s="15" t="n">
        <v>160</v>
      </c>
      <c r="L20" s="16" t="inlineStr">
        <is>
          <t>경북 의성군 신평면 중율리 산 9</t>
        </is>
      </c>
      <c r="M20" s="15" t="n">
        <v>10.3</v>
      </c>
      <c r="N20" s="13" t="inlineStr">
        <is>
          <t>OK</t>
        </is>
      </c>
      <c r="O20" s="13" t="inlineStr">
        <is>
          <t>이천</t>
        </is>
      </c>
      <c r="P20" s="13" t="n">
        <v>111</v>
      </c>
      <c r="Q20" s="13" t="inlineStr">
        <is>
          <t>352° 25′ 12.86˝</t>
        </is>
      </c>
      <c r="R20" s="15" t="n">
        <v>42</v>
      </c>
      <c r="S20" s="16" t="inlineStr"/>
      <c r="T20" s="16" t="inlineStr">
        <is>
          <t>없음 — 전 항목 진행</t>
        </is>
      </c>
    </row>
    <row r="21">
      <c r="A21" s="13" t="inlineStr">
        <is>
          <t>S17</t>
        </is>
      </c>
      <c r="B21" s="13" t="n">
        <v>17</v>
      </c>
      <c r="C21" s="13" t="inlineStr">
        <is>
          <t>B</t>
        </is>
      </c>
      <c r="D21" s="13" t="inlineStr">
        <is>
          <t>DS-040</t>
        </is>
      </c>
      <c r="E21" s="13" t="inlineStr">
        <is>
          <t>영양 신규점4</t>
        </is>
      </c>
      <c r="F21" s="13" t="inlineStr">
        <is>
          <t>대구경북 본부</t>
        </is>
      </c>
      <c r="G21" s="13" t="inlineStr">
        <is>
          <t>NJ52-11-13</t>
        </is>
      </c>
      <c r="H21" s="13" t="inlineStr">
        <is>
          <t>영양</t>
        </is>
      </c>
      <c r="I21" s="14" t="n">
        <v>36.743626</v>
      </c>
      <c r="J21" s="14" t="n">
        <v>129.181307</v>
      </c>
      <c r="K21" s="15" t="n">
        <v>512</v>
      </c>
      <c r="L21" s="16" t="inlineStr">
        <is>
          <t>경북 영양군 수비면 오기리 산 208-1</t>
        </is>
      </c>
      <c r="M21" s="15" t="n">
        <v>14.3</v>
      </c>
      <c r="N21" s="13" t="inlineStr">
        <is>
          <t>OK</t>
        </is>
      </c>
      <c r="O21" s="13" t="inlineStr">
        <is>
          <t>강릉</t>
        </is>
      </c>
      <c r="P21" s="13" t="n">
        <v>117</v>
      </c>
      <c r="Q21" s="13" t="inlineStr">
        <is>
          <t>173°51'05"</t>
        </is>
      </c>
      <c r="R21" s="15" t="n">
        <v>52</v>
      </c>
      <c r="S21" s="16" t="inlineStr"/>
      <c r="T21" s="16" t="inlineStr">
        <is>
          <t>없음 — 전 항목 진행</t>
        </is>
      </c>
    </row>
    <row r="22">
      <c r="A22" s="13" t="inlineStr">
        <is>
          <t>S18</t>
        </is>
      </c>
      <c r="B22" s="13" t="n">
        <v>18</v>
      </c>
      <c r="C22" s="13" t="inlineStr">
        <is>
          <t>B</t>
        </is>
      </c>
      <c r="D22" s="13" t="inlineStr">
        <is>
          <t>DS-045</t>
        </is>
      </c>
      <c r="E22" s="13" t="inlineStr">
        <is>
          <t>통영 신규점</t>
        </is>
      </c>
      <c r="F22" s="13" t="inlineStr">
        <is>
          <t>경남 본부</t>
        </is>
      </c>
      <c r="G22" s="13" t="inlineStr">
        <is>
          <t>NI52-5-02</t>
        </is>
      </c>
      <c r="H22" s="13" t="inlineStr">
        <is>
          <t>통영</t>
        </is>
      </c>
      <c r="I22" s="14" t="n">
        <v>34.792976</v>
      </c>
      <c r="J22" s="14" t="n">
        <v>128.393827</v>
      </c>
      <c r="K22" s="15" t="n">
        <v>79</v>
      </c>
      <c r="L22" s="16" t="inlineStr">
        <is>
          <t>경남 통영시 산양읍 연화리 584</t>
        </is>
      </c>
      <c r="M22" s="15" t="n">
        <v>140.1</v>
      </c>
      <c r="N22" s="13" t="inlineStr">
        <is>
          <t>OK</t>
        </is>
      </c>
      <c r="O22" s="13" t="inlineStr">
        <is>
          <t>청양</t>
        </is>
      </c>
      <c r="P22" s="13" t="n">
        <v>223</v>
      </c>
      <c r="Q22" s="13" t="inlineStr">
        <is>
          <t>304°50'44"</t>
        </is>
      </c>
      <c r="R22" s="15" t="n">
        <v>26</v>
      </c>
      <c r="S22" s="16" t="inlineStr"/>
      <c r="T22" s="16" t="inlineStr">
        <is>
          <t>없음 — 전 항목 진행</t>
        </is>
      </c>
    </row>
    <row r="23">
      <c r="A23" s="13" t="inlineStr">
        <is>
          <t>S19</t>
        </is>
      </c>
      <c r="B23" s="13" t="n">
        <v>19</v>
      </c>
      <c r="C23" s="13" t="inlineStr">
        <is>
          <t>B</t>
        </is>
      </c>
      <c r="D23" s="13" t="inlineStr">
        <is>
          <t>DS-046</t>
        </is>
      </c>
      <c r="E23" s="13" t="inlineStr">
        <is>
          <t>오호 신규점</t>
        </is>
      </c>
      <c r="F23" s="13" t="inlineStr">
        <is>
          <t>강원 본부</t>
        </is>
      </c>
      <c r="G23" s="13" t="inlineStr">
        <is>
          <t>NJ52-5-19</t>
        </is>
      </c>
      <c r="H23" s="13" t="inlineStr">
        <is>
          <t>오호</t>
        </is>
      </c>
      <c r="I23" s="14" t="n">
        <v>38.318869</v>
      </c>
      <c r="J23" s="14" t="n">
        <v>128.521755</v>
      </c>
      <c r="K23" s="15" t="n">
        <v>21</v>
      </c>
      <c r="L23" s="16" t="inlineStr">
        <is>
          <t>강원특별자치도 고성군 죽왕면 삼포리 산 5</t>
        </is>
      </c>
      <c r="M23" s="15" t="n"/>
      <c r="N23" s="17" t="inlineStr">
        <is>
          <t>NOT AVAILABLE</t>
        </is>
      </c>
      <c r="O23" s="13" t="inlineStr">
        <is>
          <t>강릉</t>
        </is>
      </c>
      <c r="P23" s="13" t="n">
        <v>68</v>
      </c>
      <c r="Q23" s="13" t="inlineStr">
        <is>
          <t>252°09′33.58"</t>
        </is>
      </c>
      <c r="R23" s="15" t="n">
        <v>36</v>
      </c>
      <c r="S23" s="16" t="inlineStr"/>
      <c r="T23" s="16" t="inlineStr">
        <is>
          <t>없음 — 전 항목 진행</t>
        </is>
      </c>
    </row>
    <row r="24">
      <c r="A24" s="13" t="inlineStr">
        <is>
          <t>S20</t>
        </is>
      </c>
      <c r="B24" s="13" t="n">
        <v>20</v>
      </c>
      <c r="C24" s="13" t="inlineStr">
        <is>
          <t>B</t>
        </is>
      </c>
      <c r="D24" s="13" t="inlineStr">
        <is>
          <t>DS-049</t>
        </is>
      </c>
      <c r="E24" s="13" t="inlineStr">
        <is>
          <t>보령 신규점2</t>
        </is>
      </c>
      <c r="F24" s="13" t="inlineStr">
        <is>
          <t>대전세종충남 본부</t>
        </is>
      </c>
      <c r="G24" s="13" t="inlineStr">
        <is>
          <t>NJ52-10-19</t>
        </is>
      </c>
      <c r="H24" s="13" t="inlineStr">
        <is>
          <t>보령</t>
        </is>
      </c>
      <c r="I24" s="14" t="n">
        <v>36.266844</v>
      </c>
      <c r="J24" s="14" t="n">
        <v>126.706961</v>
      </c>
      <c r="K24" s="15" t="n">
        <v>277</v>
      </c>
      <c r="L24" s="16" t="inlineStr">
        <is>
          <t>충남 부여군 외산면 가덕리 산 11-1</t>
        </is>
      </c>
      <c r="M24" s="15" t="n">
        <v>4.4</v>
      </c>
      <c r="N24" s="13" t="inlineStr">
        <is>
          <t>OK</t>
        </is>
      </c>
      <c r="O24" s="13" t="inlineStr">
        <is>
          <t>청양</t>
        </is>
      </c>
      <c r="P24" s="13" t="n">
        <v>17</v>
      </c>
      <c r="Q24" s="13" t="inlineStr">
        <is>
          <t>5° 15' 3.36</t>
        </is>
      </c>
      <c r="R24" s="15" t="n">
        <v>75</v>
      </c>
      <c r="S24" s="16" t="inlineStr"/>
      <c r="T24" s="16" t="inlineStr">
        <is>
          <t>없음 — 전 항목 진행</t>
        </is>
      </c>
    </row>
    <row r="25">
      <c r="A25" s="13" t="inlineStr">
        <is>
          <t>S21</t>
        </is>
      </c>
      <c r="B25" s="13" t="n">
        <v>21</v>
      </c>
      <c r="C25" s="13" t="inlineStr">
        <is>
          <t>B</t>
        </is>
      </c>
      <c r="D25" s="13" t="inlineStr">
        <is>
          <t>DS-051</t>
        </is>
      </c>
      <c r="E25" s="13" t="inlineStr">
        <is>
          <t>담양 신규점2</t>
        </is>
      </c>
      <c r="F25" s="13" t="inlineStr">
        <is>
          <t>전북 본부</t>
        </is>
      </c>
      <c r="G25" s="13" t="inlineStr">
        <is>
          <t>NI52-1-20</t>
        </is>
      </c>
      <c r="H25" s="13" t="inlineStr">
        <is>
          <t>담양</t>
        </is>
      </c>
      <c r="I25" s="14" t="n">
        <v>35.456101</v>
      </c>
      <c r="J25" s="14" t="n">
        <v>126.962054</v>
      </c>
      <c r="K25" s="15" t="n">
        <v>350</v>
      </c>
      <c r="L25" s="16" t="inlineStr">
        <is>
          <t>전북특별자치도 순창군 복흥면 하리 산 27</t>
        </is>
      </c>
      <c r="M25" s="15" t="n">
        <v>35.3</v>
      </c>
      <c r="N25" s="13" t="inlineStr">
        <is>
          <t>OK</t>
        </is>
      </c>
      <c r="O25" s="13" t="inlineStr">
        <is>
          <t>청양</t>
        </is>
      </c>
      <c r="P25" s="13" t="n">
        <v>102</v>
      </c>
      <c r="Q25" s="13" t="inlineStr">
        <is>
          <t>227˚ 00´ 55˝</t>
        </is>
      </c>
      <c r="R25" s="15" t="n">
        <v>44</v>
      </c>
      <c r="S25" s="16" t="inlineStr"/>
      <c r="T25" s="16" t="inlineStr">
        <is>
          <t>없음 — 전 항목 진행</t>
        </is>
      </c>
    </row>
    <row r="26">
      <c r="A26" s="13" t="inlineStr">
        <is>
          <t>S22</t>
        </is>
      </c>
      <c r="B26" s="13" t="n">
        <v>22</v>
      </c>
      <c r="C26" s="13" t="inlineStr">
        <is>
          <t>B</t>
        </is>
      </c>
      <c r="D26" s="13" t="inlineStr">
        <is>
          <t>DS-055</t>
        </is>
      </c>
      <c r="E26" s="13" t="inlineStr">
        <is>
          <t>완도 신규점</t>
        </is>
      </c>
      <c r="F26" s="13" t="inlineStr">
        <is>
          <t>광주전남 본부</t>
        </is>
      </c>
      <c r="G26" s="13" t="inlineStr">
        <is>
          <t>NI52-4-19</t>
        </is>
      </c>
      <c r="H26" s="13" t="inlineStr">
        <is>
          <t>완도</t>
        </is>
      </c>
      <c r="I26" s="14" t="n">
        <v>34.328826</v>
      </c>
      <c r="J26" s="14" t="n">
        <v>126.543215</v>
      </c>
      <c r="K26" s="15" t="n">
        <v>131</v>
      </c>
      <c r="L26" s="16" t="inlineStr">
        <is>
          <t>전남광주통합특별시 해남군 송지면 송호리 산 178-3</t>
        </is>
      </c>
      <c r="M26" s="15" t="n">
        <v>48.2</v>
      </c>
      <c r="N26" s="13" t="inlineStr">
        <is>
          <t>OK</t>
        </is>
      </c>
      <c r="O26" s="13" t="inlineStr">
        <is>
          <t>제주</t>
        </is>
      </c>
      <c r="P26" s="13" t="n">
        <v>102</v>
      </c>
      <c r="Q26" s="13" t="inlineStr">
        <is>
          <t>122º 46' 29</t>
        </is>
      </c>
      <c r="R26" s="15" t="n">
        <v>38</v>
      </c>
      <c r="S26" s="16" t="inlineStr"/>
      <c r="T26" s="16" t="inlineStr">
        <is>
          <t>없음 — 전 항목 진행</t>
        </is>
      </c>
    </row>
    <row r="27">
      <c r="A27" s="13" t="inlineStr">
        <is>
          <t>S23</t>
        </is>
      </c>
      <c r="B27" s="13" t="n">
        <v>23</v>
      </c>
      <c r="C27" s="13" t="inlineStr">
        <is>
          <t>B</t>
        </is>
      </c>
      <c r="D27" s="13" t="inlineStr">
        <is>
          <t>DS-057</t>
        </is>
      </c>
      <c r="E27" s="13" t="inlineStr">
        <is>
          <t>덕산 신규점1</t>
        </is>
      </c>
      <c r="F27" s="13" t="inlineStr">
        <is>
          <t>충북 본부</t>
        </is>
      </c>
      <c r="G27" s="13" t="inlineStr">
        <is>
          <t>NJ52-11-01</t>
        </is>
      </c>
      <c r="H27" s="13" t="inlineStr">
        <is>
          <t>덕산</t>
        </is>
      </c>
      <c r="I27" s="14" t="n">
        <v>36.888529</v>
      </c>
      <c r="J27" s="14" t="n">
        <v>128.192739</v>
      </c>
      <c r="K27" s="15" t="n">
        <v>388</v>
      </c>
      <c r="L27" s="16" t="inlineStr">
        <is>
          <t>충북 제천시 덕산면 선고리 산 28-8</t>
        </is>
      </c>
      <c r="M27" s="15" t="n">
        <v>9.9</v>
      </c>
      <c r="N27" s="13" t="inlineStr">
        <is>
          <t>OK</t>
        </is>
      </c>
      <c r="O27" s="13" t="inlineStr">
        <is>
          <t>이천</t>
        </is>
      </c>
      <c r="P27" s="13" t="n">
        <v>65</v>
      </c>
      <c r="Q27" s="13" t="inlineStr">
        <is>
          <t>52˚41'47"</t>
        </is>
      </c>
      <c r="R27" s="15" t="n">
        <v>29</v>
      </c>
      <c r="S27" s="16" t="inlineStr"/>
      <c r="T27" s="16" t="inlineStr">
        <is>
          <t>없음 — 전 항목 진행</t>
        </is>
      </c>
    </row>
    <row r="28">
      <c r="A28" s="13" t="inlineStr">
        <is>
          <t>S24</t>
        </is>
      </c>
      <c r="B28" s="13" t="n">
        <v>24</v>
      </c>
      <c r="C28" s="13" t="inlineStr">
        <is>
          <t>B</t>
        </is>
      </c>
      <c r="D28" s="13" t="inlineStr">
        <is>
          <t>DS-060</t>
        </is>
      </c>
      <c r="E28" s="13" t="inlineStr">
        <is>
          <t>회천 신규점2</t>
        </is>
      </c>
      <c r="F28" s="13" t="inlineStr">
        <is>
          <t>광주전남 본부</t>
        </is>
      </c>
      <c r="G28" s="13" t="inlineStr">
        <is>
          <t>NI52-4-13</t>
        </is>
      </c>
      <c r="H28" s="13" t="inlineStr">
        <is>
          <t>회천</t>
        </is>
      </c>
      <c r="I28" s="14" t="n">
        <v>34.680805</v>
      </c>
      <c r="J28" s="14" t="n">
        <v>127.04766</v>
      </c>
      <c r="K28" s="15" t="n">
        <v>99</v>
      </c>
      <c r="L28" s="16" t="inlineStr">
        <is>
          <t>전남광주통합특별시 보성군 회천면 회령리 산 155</t>
        </is>
      </c>
      <c r="M28" s="15" t="n">
        <v>10.1</v>
      </c>
      <c r="N28" s="13" t="inlineStr">
        <is>
          <t>OK</t>
        </is>
      </c>
      <c r="O28" s="13" t="inlineStr">
        <is>
          <t>제주</t>
        </is>
      </c>
      <c r="P28" s="13" t="n">
        <v>155</v>
      </c>
      <c r="Q28" s="13" t="inlineStr">
        <is>
          <t>326° 39' 52</t>
        </is>
      </c>
      <c r="R28" s="15" t="n">
        <v>27</v>
      </c>
      <c r="S28" s="16" t="inlineStr"/>
      <c r="T28" s="16" t="inlineStr">
        <is>
          <t>없음 — 전 항목 진행</t>
        </is>
      </c>
    </row>
    <row r="29">
      <c r="A29" s="13" t="inlineStr">
        <is>
          <t>S25</t>
        </is>
      </c>
      <c r="B29" s="13" t="n">
        <v>25</v>
      </c>
      <c r="C29" s="13" t="inlineStr">
        <is>
          <t>B</t>
        </is>
      </c>
      <c r="D29" s="13" t="inlineStr">
        <is>
          <t>DS-068</t>
        </is>
      </c>
      <c r="E29" s="13" t="inlineStr">
        <is>
          <t>관리 신규점3</t>
        </is>
      </c>
      <c r="F29" s="13" t="inlineStr">
        <is>
          <t>대구경북 본부</t>
        </is>
      </c>
      <c r="G29" s="13" t="inlineStr">
        <is>
          <t>NJ52-10-24</t>
        </is>
      </c>
      <c r="H29" s="13" t="inlineStr">
        <is>
          <t>관기</t>
        </is>
      </c>
      <c r="I29" s="14" t="n">
        <v>36.325755</v>
      </c>
      <c r="J29" s="14" t="n">
        <v>127.905982</v>
      </c>
      <c r="K29" s="15" t="n">
        <v>383</v>
      </c>
      <c r="L29" s="16" t="inlineStr">
        <is>
          <t>경북 상주시 모서면 득수리 산 146</t>
        </is>
      </c>
      <c r="M29" s="15" t="n">
        <v>54.9</v>
      </c>
      <c r="N29" s="13" t="inlineStr">
        <is>
          <t>OK</t>
        </is>
      </c>
      <c r="O29" s="13" t="inlineStr">
        <is>
          <t>청양</t>
        </is>
      </c>
      <c r="P29" s="13" t="n">
        <v>95</v>
      </c>
      <c r="Q29" s="13" t="inlineStr">
        <is>
          <t>141° 02’ 02</t>
        </is>
      </c>
      <c r="R29" s="15" t="n">
        <v>60</v>
      </c>
      <c r="S29" s="16" t="inlineStr"/>
      <c r="T29" s="16" t="inlineStr">
        <is>
          <t>없음 — 전 항목 진행</t>
        </is>
      </c>
    </row>
    <row r="30">
      <c r="A30" s="13" t="inlineStr">
        <is>
          <t>S26</t>
        </is>
      </c>
      <c r="B30" s="13" t="n">
        <v>26</v>
      </c>
      <c r="C30" s="13" t="inlineStr">
        <is>
          <t>B</t>
        </is>
      </c>
      <c r="D30" s="13" t="inlineStr">
        <is>
          <t>DS-075</t>
        </is>
      </c>
      <c r="E30" s="13" t="inlineStr">
        <is>
          <t>고남 신규점2</t>
        </is>
      </c>
      <c r="F30" s="13" t="inlineStr">
        <is>
          <t>대전세종충남 본부</t>
        </is>
      </c>
      <c r="G30" s="13" t="inlineStr">
        <is>
          <t>NJ52-10-18</t>
        </is>
      </c>
      <c r="H30" s="13" t="inlineStr">
        <is>
          <t>고남</t>
        </is>
      </c>
      <c r="I30" s="14" t="n">
        <v>36.452304</v>
      </c>
      <c r="J30" s="14" t="n">
        <v>126.395802</v>
      </c>
      <c r="K30" s="15" t="n">
        <v>38</v>
      </c>
      <c r="L30" s="16" t="inlineStr">
        <is>
          <t>충남 태안군 고남면 누동리 산 6-514</t>
        </is>
      </c>
      <c r="M30" s="15" t="n">
        <v>2.9</v>
      </c>
      <c r="N30" s="13" t="inlineStr">
        <is>
          <t>OK</t>
        </is>
      </c>
      <c r="O30" s="13" t="inlineStr">
        <is>
          <t>청양</t>
        </is>
      </c>
      <c r="P30" s="13" t="n">
        <v>42</v>
      </c>
      <c r="Q30" s="13" t="inlineStr">
        <is>
          <t>29° 8' 15.13</t>
        </is>
      </c>
      <c r="R30" s="15" t="n">
        <v>70</v>
      </c>
      <c r="S30" s="16" t="inlineStr"/>
      <c r="T30" s="16" t="inlineStr">
        <is>
          <t>없음 — 전 항목 진행</t>
        </is>
      </c>
    </row>
    <row r="31">
      <c r="A31" s="13" t="inlineStr">
        <is>
          <t>S27</t>
        </is>
      </c>
      <c r="B31" s="13" t="n">
        <v>27</v>
      </c>
      <c r="C31" s="13" t="inlineStr">
        <is>
          <t>B</t>
        </is>
      </c>
      <c r="D31" s="13" t="inlineStr">
        <is>
          <t>DS-078</t>
        </is>
      </c>
      <c r="E31" s="13" t="inlineStr">
        <is>
          <t>전의 신규점</t>
        </is>
      </c>
      <c r="F31" s="13" t="inlineStr">
        <is>
          <t>대전세종충남 본부</t>
        </is>
      </c>
      <c r="G31" s="13" t="inlineStr">
        <is>
          <t>NJ52-10-13</t>
        </is>
      </c>
      <c r="H31" s="13" t="inlineStr">
        <is>
          <t>전의</t>
        </is>
      </c>
      <c r="I31" s="14" t="n">
        <v>36.579379</v>
      </c>
      <c r="J31" s="14" t="n">
        <v>127.068702</v>
      </c>
      <c r="K31" s="15" t="n">
        <v>372</v>
      </c>
      <c r="L31" s="16" t="inlineStr">
        <is>
          <t>충남 공주시 사곡면 월가리 산 10-1</t>
        </is>
      </c>
      <c r="M31" s="15" t="n">
        <v>2.9</v>
      </c>
      <c r="N31" s="13" t="inlineStr">
        <is>
          <t>OK</t>
        </is>
      </c>
      <c r="O31" s="13" t="inlineStr">
        <is>
          <t>청양</t>
        </is>
      </c>
      <c r="P31" s="13" t="n">
        <v>30</v>
      </c>
      <c r="Q31" s="13" t="inlineStr">
        <is>
          <t>307°8′47″</t>
        </is>
      </c>
      <c r="R31" s="15" t="n">
        <v>54</v>
      </c>
      <c r="S31" s="16" t="inlineStr"/>
      <c r="T31" s="16" t="inlineStr">
        <is>
          <t>없음 — 전 항목 진행</t>
        </is>
      </c>
    </row>
    <row r="32">
      <c r="A32" s="13" t="inlineStr">
        <is>
          <t>S28</t>
        </is>
      </c>
      <c r="B32" s="13" t="n">
        <v>28</v>
      </c>
      <c r="C32" s="13" t="inlineStr">
        <is>
          <t>B</t>
        </is>
      </c>
      <c r="D32" s="13" t="inlineStr">
        <is>
          <t>DS-080</t>
        </is>
      </c>
      <c r="E32" s="13" t="inlineStr">
        <is>
          <t>이원 신규점</t>
        </is>
      </c>
      <c r="F32" s="13" t="inlineStr">
        <is>
          <t>대전세종충남 본부</t>
        </is>
      </c>
      <c r="G32" s="13" t="inlineStr">
        <is>
          <t>NJ52-10-31</t>
        </is>
      </c>
      <c r="H32" s="13" t="inlineStr">
        <is>
          <t>이원</t>
        </is>
      </c>
      <c r="I32" s="14" t="n">
        <v>36.16662</v>
      </c>
      <c r="J32" s="14" t="n">
        <v>127.583121</v>
      </c>
      <c r="K32" s="15" t="n">
        <v>300</v>
      </c>
      <c r="L32" s="16" t="inlineStr">
        <is>
          <t>충남 금산군 제원면 신안리 산 4-1</t>
        </is>
      </c>
      <c r="M32" s="15" t="n">
        <v>12</v>
      </c>
      <c r="N32" s="13" t="inlineStr">
        <is>
          <t>OK</t>
        </is>
      </c>
      <c r="O32" s="13" t="inlineStr">
        <is>
          <t>청양</t>
        </is>
      </c>
      <c r="P32" s="13" t="n">
        <v>70</v>
      </c>
      <c r="Q32" s="13" t="inlineStr">
        <is>
          <t>157°40′41″</t>
        </is>
      </c>
      <c r="R32" s="15" t="n">
        <v>42</v>
      </c>
      <c r="S32" s="16" t="inlineStr"/>
      <c r="T32" s="16" t="inlineStr">
        <is>
          <t>없음 — 전 항목 진행</t>
        </is>
      </c>
    </row>
    <row r="33">
      <c r="A33" s="13" t="inlineStr">
        <is>
          <t>S29</t>
        </is>
      </c>
      <c r="B33" s="13" t="n">
        <v>29</v>
      </c>
      <c r="C33" s="13" t="inlineStr">
        <is>
          <t>B</t>
        </is>
      </c>
      <c r="D33" s="13" t="inlineStr">
        <is>
          <t>DS-084</t>
        </is>
      </c>
      <c r="E33" s="13" t="inlineStr">
        <is>
          <t>가야 신규점1</t>
        </is>
      </c>
      <c r="F33" s="13" t="inlineStr">
        <is>
          <t>경남 본부</t>
        </is>
      </c>
      <c r="G33" s="13" t="inlineStr">
        <is>
          <t>NI52-2-01</t>
        </is>
      </c>
      <c r="H33" s="13" t="inlineStr">
        <is>
          <t>가야</t>
        </is>
      </c>
      <c r="I33" s="14" t="n">
        <v>35.777986</v>
      </c>
      <c r="J33" s="14" t="n">
        <v>128.036833</v>
      </c>
      <c r="K33" s="15" t="n">
        <v>825</v>
      </c>
      <c r="L33" s="16" t="inlineStr">
        <is>
          <t>경남 거창군 가북면 우혜리 산 3</t>
        </is>
      </c>
      <c r="M33" s="15" t="n">
        <v>26.8</v>
      </c>
      <c r="N33" s="13" t="inlineStr">
        <is>
          <t>OK</t>
        </is>
      </c>
      <c r="O33" s="13" t="inlineStr">
        <is>
          <t>청양</t>
        </is>
      </c>
      <c r="P33" s="13" t="n">
        <v>125</v>
      </c>
      <c r="Q33" s="13" t="inlineStr">
        <is>
          <t>115° 14' 22"</t>
        </is>
      </c>
      <c r="R33" s="15" t="n">
        <v>21</v>
      </c>
      <c r="S33" s="16" t="inlineStr"/>
      <c r="T33" s="16" t="inlineStr">
        <is>
          <t>없음 — 전 항목 진행</t>
        </is>
      </c>
    </row>
    <row r="34">
      <c r="A34" s="13" t="inlineStr">
        <is>
          <t>S30</t>
        </is>
      </c>
      <c r="B34" s="13" t="n">
        <v>30</v>
      </c>
      <c r="C34" s="13" t="inlineStr">
        <is>
          <t>B</t>
        </is>
      </c>
      <c r="D34" s="13" t="inlineStr">
        <is>
          <t>DS-086</t>
        </is>
      </c>
      <c r="E34" s="13" t="inlineStr">
        <is>
          <t>창녕 신규점</t>
        </is>
      </c>
      <c r="F34" s="13" t="inlineStr">
        <is>
          <t>대구경북 본부</t>
        </is>
      </c>
      <c r="G34" s="13" t="inlineStr">
        <is>
          <t>NI52-2-10</t>
        </is>
      </c>
      <c r="H34" s="13" t="inlineStr">
        <is>
          <t>창녕</t>
        </is>
      </c>
      <c r="I34" s="14" t="n">
        <v>35.662586</v>
      </c>
      <c r="J34" s="14" t="n">
        <v>128.298099</v>
      </c>
      <c r="K34" s="15" t="n">
        <v>179</v>
      </c>
      <c r="L34" s="16" t="inlineStr">
        <is>
          <t>경북 고령군 쌍림면 평지리 산 63</t>
        </is>
      </c>
      <c r="M34" s="15" t="n">
        <v>22.7</v>
      </c>
      <c r="N34" s="13" t="inlineStr">
        <is>
          <t>OK</t>
        </is>
      </c>
      <c r="O34" s="13" t="inlineStr">
        <is>
          <t>청양</t>
        </is>
      </c>
      <c r="P34" s="13" t="n">
        <v>152</v>
      </c>
      <c r="Q34" s="13" t="inlineStr">
        <is>
          <t>297° 30' 11</t>
        </is>
      </c>
      <c r="R34" s="15" t="n">
        <v>23</v>
      </c>
      <c r="S34" s="16" t="inlineStr"/>
      <c r="T34" s="16" t="inlineStr">
        <is>
          <t>없음 — 전 항목 진행</t>
        </is>
      </c>
    </row>
    <row r="35">
      <c r="A35" s="13" t="inlineStr">
        <is>
          <t>S31</t>
        </is>
      </c>
      <c r="B35" s="13" t="n">
        <v>31</v>
      </c>
      <c r="C35" s="13" t="inlineStr">
        <is>
          <t>B</t>
        </is>
      </c>
      <c r="D35" s="13" t="inlineStr">
        <is>
          <t>DS-089</t>
        </is>
      </c>
      <c r="E35" s="13" t="inlineStr">
        <is>
          <t>언양 신규점3</t>
        </is>
      </c>
      <c r="F35" s="13" t="inlineStr">
        <is>
          <t>대구경북 본부</t>
        </is>
      </c>
      <c r="G35" s="13" t="inlineStr">
        <is>
          <t>NI52-2-13</t>
        </is>
      </c>
      <c r="H35" s="13" t="inlineStr">
        <is>
          <t>언양</t>
        </is>
      </c>
      <c r="I35" s="14" t="n">
        <v>35.742364</v>
      </c>
      <c r="J35" s="14" t="n">
        <v>129.029824</v>
      </c>
      <c r="K35" s="15" t="n">
        <v>234</v>
      </c>
      <c r="L35" s="16" t="inlineStr">
        <is>
          <t>경북 경주시 산내면 외칠리 산 183</t>
        </is>
      </c>
      <c r="M35" s="15" t="n">
        <v>24.2</v>
      </c>
      <c r="N35" s="13" t="inlineStr">
        <is>
          <t>OK</t>
        </is>
      </c>
      <c r="O35" s="13" t="inlineStr">
        <is>
          <t>이천</t>
        </is>
      </c>
      <c r="P35" s="13" t="n">
        <v>205</v>
      </c>
      <c r="Q35" s="13" t="inlineStr">
        <is>
          <t>352°5′13″</t>
        </is>
      </c>
      <c r="R35" s="15" t="n">
        <v>33</v>
      </c>
      <c r="S35" s="16" t="inlineStr"/>
      <c r="T35" s="16" t="inlineStr">
        <is>
          <t>없음 — 전 항목 진행</t>
        </is>
      </c>
    </row>
    <row r="36">
      <c r="A36" s="13" t="inlineStr">
        <is>
          <t>S32</t>
        </is>
      </c>
      <c r="B36" s="13" t="n">
        <v>32</v>
      </c>
      <c r="C36" s="13" t="inlineStr">
        <is>
          <t>B</t>
        </is>
      </c>
      <c r="D36" s="13" t="inlineStr">
        <is>
          <t>DS-096</t>
        </is>
      </c>
      <c r="E36" s="13" t="inlineStr">
        <is>
          <t>함양 신규점</t>
        </is>
      </c>
      <c r="F36" s="13" t="inlineStr">
        <is>
          <t>전북 본부</t>
        </is>
      </c>
      <c r="G36" s="13" t="inlineStr">
        <is>
          <t>NI52-1-15</t>
        </is>
      </c>
      <c r="H36" s="13" t="inlineStr">
        <is>
          <t>함양</t>
        </is>
      </c>
      <c r="I36" s="14" t="n">
        <v>35.586243</v>
      </c>
      <c r="J36" s="14" t="n">
        <v>127.574659</v>
      </c>
      <c r="K36" s="15" t="n">
        <v>478</v>
      </c>
      <c r="L36" s="16" t="inlineStr">
        <is>
          <t>전북특별자치도 장수군 번암면 지지리 산 55</t>
        </is>
      </c>
      <c r="M36" s="15" t="n">
        <v>16.5</v>
      </c>
      <c r="N36" s="13" t="inlineStr">
        <is>
          <t>OK</t>
        </is>
      </c>
      <c r="O36" s="13" t="inlineStr">
        <is>
          <t>청양</t>
        </is>
      </c>
      <c r="P36" s="13" t="n">
        <v>108</v>
      </c>
      <c r="Q36" s="13" t="inlineStr">
        <is>
          <t>132º 38' 54</t>
        </is>
      </c>
      <c r="R36" s="15" t="n">
        <v>34</v>
      </c>
      <c r="S36" s="16" t="inlineStr"/>
      <c r="T36" s="16" t="inlineStr">
        <is>
          <t>없음 — 전 항목 진행</t>
        </is>
      </c>
    </row>
    <row r="37">
      <c r="A37" s="13" t="inlineStr">
        <is>
          <t>S33</t>
        </is>
      </c>
      <c r="B37" s="13" t="n">
        <v>33</v>
      </c>
      <c r="C37" s="13" t="inlineStr">
        <is>
          <t>B</t>
        </is>
      </c>
      <c r="D37" s="13" t="inlineStr">
        <is>
          <t>DS-098</t>
        </is>
      </c>
      <c r="E37" s="13" t="inlineStr">
        <is>
          <t>문산 신규점</t>
        </is>
      </c>
      <c r="F37" s="13" t="inlineStr">
        <is>
          <t>서울경기북부 본부</t>
        </is>
      </c>
      <c r="G37" s="13" t="inlineStr">
        <is>
          <t>NJ52-7-04</t>
        </is>
      </c>
      <c r="H37" s="13" t="inlineStr">
        <is>
          <t>문산</t>
        </is>
      </c>
      <c r="I37" s="14" t="n">
        <v>37.927676</v>
      </c>
      <c r="J37" s="14" t="n">
        <v>126.870305</v>
      </c>
      <c r="K37" s="15" t="n">
        <v>83</v>
      </c>
      <c r="L37" s="16" t="inlineStr">
        <is>
          <t>경기 파주시 파평면 덕천리 산 40-3</t>
        </is>
      </c>
      <c r="M37" s="15" t="n"/>
      <c r="N37" s="17" t="inlineStr">
        <is>
          <t>NOT AVAILABLE</t>
        </is>
      </c>
      <c r="O37" s="13" t="inlineStr">
        <is>
          <t>이천</t>
        </is>
      </c>
      <c r="P37" s="13" t="n">
        <v>105</v>
      </c>
      <c r="Q37" s="13" t="inlineStr">
        <is>
          <t>333° 29 '40.75</t>
        </is>
      </c>
      <c r="R37" s="15" t="n">
        <v>94</v>
      </c>
      <c r="S37" s="16" t="inlineStr"/>
      <c r="T37" s="16" t="inlineStr">
        <is>
          <t>없음 — 전 항목 진행</t>
        </is>
      </c>
    </row>
    <row r="38">
      <c r="A38" s="13" t="inlineStr">
        <is>
          <t>S34</t>
        </is>
      </c>
      <c r="B38" s="13" t="n">
        <v>34</v>
      </c>
      <c r="C38" s="13" t="inlineStr">
        <is>
          <t>B</t>
        </is>
      </c>
      <c r="D38" s="13" t="inlineStr">
        <is>
          <t>DS-102</t>
        </is>
      </c>
      <c r="E38" s="13" t="inlineStr">
        <is>
          <t>부안 신규점</t>
        </is>
      </c>
      <c r="F38" s="13" t="inlineStr">
        <is>
          <t>전북 본부</t>
        </is>
      </c>
      <c r="G38" s="13" t="inlineStr">
        <is>
          <t>NI52-1-11</t>
        </is>
      </c>
      <c r="H38" s="13" t="inlineStr">
        <is>
          <t>부안</t>
        </is>
      </c>
      <c r="I38" s="14" t="n">
        <v>35.541753</v>
      </c>
      <c r="J38" s="14" t="n">
        <v>126.645582</v>
      </c>
      <c r="K38" s="15" t="n">
        <v>112</v>
      </c>
      <c r="L38" s="16" t="inlineStr">
        <is>
          <t>전북특별자치도 고창군 부안면 수앙리 산 79-8</t>
        </is>
      </c>
      <c r="M38" s="15" t="n">
        <v>17</v>
      </c>
      <c r="N38" s="13" t="inlineStr">
        <is>
          <t>OK</t>
        </is>
      </c>
      <c r="O38" s="13" t="inlineStr">
        <is>
          <t>청양</t>
        </is>
      </c>
      <c r="P38" s="13" t="n">
        <v>93</v>
      </c>
      <c r="Q38" s="13" t="inlineStr">
        <is>
          <t>115° 56' 52</t>
        </is>
      </c>
      <c r="R38" s="15" t="n">
        <v>73</v>
      </c>
      <c r="S38" s="16" t="inlineStr"/>
      <c r="T38" s="16" t="inlineStr">
        <is>
          <t>없음 — 전 항목 진행</t>
        </is>
      </c>
    </row>
    <row r="39">
      <c r="A39" s="18" t="inlineStr">
        <is>
          <t>S35</t>
        </is>
      </c>
      <c r="B39" s="18" t="n">
        <v>35</v>
      </c>
      <c r="C39" s="18" t="inlineStr">
        <is>
          <t>기존점</t>
        </is>
      </c>
      <c r="D39" s="18" t="inlineStr">
        <is>
          <t>1-12-2</t>
        </is>
      </c>
      <c r="E39" s="18" t="inlineStr">
        <is>
          <t>상주</t>
        </is>
      </c>
      <c r="F39" s="18" t="inlineStr"/>
      <c r="G39" s="18" t="inlineStr">
        <is>
          <t>NJ52-14-16</t>
        </is>
      </c>
      <c r="H39" s="18" t="inlineStr">
        <is>
          <t>상주</t>
        </is>
      </c>
      <c r="I39" s="19" t="n">
        <v>36.35528841666667</v>
      </c>
      <c r="J39" s="19" t="n">
        <v>128.1104806944444</v>
      </c>
      <c r="K39" s="20" t="n">
        <v>92.568</v>
      </c>
      <c r="L39" s="21" t="inlineStr">
        <is>
          <t>경상북도 상주시 청리면 율리 436-2 밤깟마을(상주23)</t>
        </is>
      </c>
      <c r="M39" s="20" t="n">
        <v>43.6</v>
      </c>
      <c r="N39" s="18" t="inlineStr">
        <is>
          <t>OK</t>
        </is>
      </c>
      <c r="O39" s="18" t="inlineStr">
        <is>
          <t>이천</t>
        </is>
      </c>
      <c r="P39" s="18" t="n">
        <v>101</v>
      </c>
      <c r="Q39" s="18" t="inlineStr">
        <is>
          <t>NOT APPLICABLE</t>
        </is>
      </c>
      <c r="R39" s="20" t="n"/>
      <c r="S39" s="21" t="inlineStr"/>
      <c r="T39" s="21" t="inlineStr">
        <is>
          <t>없음 — 전 항목 진행</t>
        </is>
      </c>
    </row>
    <row r="40">
      <c r="A40" s="18" t="inlineStr">
        <is>
          <t>S36</t>
        </is>
      </c>
      <c r="B40" s="18" t="n">
        <v>36</v>
      </c>
      <c r="C40" s="18" t="inlineStr">
        <is>
          <t>기존점</t>
        </is>
      </c>
      <c r="D40" s="18" t="inlineStr">
        <is>
          <t>1-13-2</t>
        </is>
      </c>
      <c r="E40" s="18" t="inlineStr">
        <is>
          <t>미원</t>
        </is>
      </c>
      <c r="F40" s="18" t="inlineStr"/>
      <c r="G40" s="18" t="inlineStr">
        <is>
          <t>NJ52-13-14</t>
        </is>
      </c>
      <c r="H40" s="18" t="inlineStr">
        <is>
          <t>미원</t>
        </is>
      </c>
      <c r="I40" s="19" t="n">
        <v>36.72502777777778</v>
      </c>
      <c r="J40" s="19" t="n">
        <v>127.5862222222222</v>
      </c>
      <c r="K40" s="20" t="n">
        <v>97.952</v>
      </c>
      <c r="L40" s="21" t="inlineStr">
        <is>
          <t>충청북도 청주시 청원구 북이면 영하리 산13-1(미원409)</t>
        </is>
      </c>
      <c r="M40" s="20" t="n">
        <v>5.4</v>
      </c>
      <c r="N40" s="18" t="inlineStr">
        <is>
          <t>OK</t>
        </is>
      </c>
      <c r="O40" s="18" t="inlineStr">
        <is>
          <t>이천</t>
        </is>
      </c>
      <c r="P40" s="18" t="n">
        <v>46</v>
      </c>
      <c r="Q40" s="18" t="inlineStr">
        <is>
          <t>NOT APPLICABLE</t>
        </is>
      </c>
      <c r="R40" s="20" t="n"/>
      <c r="S40" s="21" t="inlineStr"/>
      <c r="T40" s="22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8" t="inlineStr">
        <is>
          <t>S37</t>
        </is>
      </c>
      <c r="B41" s="18" t="n">
        <v>37</v>
      </c>
      <c r="C41" s="18" t="inlineStr">
        <is>
          <t>기존점</t>
        </is>
      </c>
      <c r="D41" s="18" t="inlineStr">
        <is>
          <t>1-17-2</t>
        </is>
      </c>
      <c r="E41" s="18" t="inlineStr">
        <is>
          <t>부안</t>
        </is>
      </c>
      <c r="F41" s="18" t="inlineStr"/>
      <c r="G41" s="18" t="inlineStr">
        <is>
          <t>NJ52-01-10</t>
        </is>
      </c>
      <c r="H41" s="18" t="inlineStr">
        <is>
          <t>부안</t>
        </is>
      </c>
      <c r="I41" s="19" t="n">
        <v>35.58775</v>
      </c>
      <c r="J41" s="19" t="n">
        <v>126.7161388888889</v>
      </c>
      <c r="K41" s="20" t="n">
        <v>33.5</v>
      </c>
      <c r="L41" s="21" t="inlineStr">
        <is>
          <t>전라북도 부안군 줄포면 난산리 440-2 목중새마을(부안423)</t>
        </is>
      </c>
      <c r="M41" s="20" t="n">
        <v>23.8</v>
      </c>
      <c r="N41" s="18" t="inlineStr">
        <is>
          <t>OK</t>
        </is>
      </c>
      <c r="O41" s="18" t="inlineStr">
        <is>
          <t>청양</t>
        </is>
      </c>
      <c r="P41" s="18" t="n">
        <v>87</v>
      </c>
      <c r="Q41" s="18" t="inlineStr">
        <is>
          <t>NOT APPLICABLE</t>
        </is>
      </c>
      <c r="R41" s="20" t="n"/>
      <c r="S41" s="23" t="inlineStr">
        <is>
          <t>주변 태양광 위치</t>
        </is>
      </c>
      <c r="T41" s="21" t="inlineStr">
        <is>
          <t>없음 — 전 항목 진행</t>
        </is>
      </c>
    </row>
    <row r="42">
      <c r="A42" s="18" t="inlineStr">
        <is>
          <t>S38</t>
        </is>
      </c>
      <c r="B42" s="18" t="n">
        <v>38</v>
      </c>
      <c r="C42" s="18" t="inlineStr">
        <is>
          <t>기존점</t>
        </is>
      </c>
      <c r="D42" s="18" t="inlineStr">
        <is>
          <t>1-2-3</t>
        </is>
      </c>
      <c r="E42" s="18" t="inlineStr">
        <is>
          <t>강화</t>
        </is>
      </c>
      <c r="F42" s="18" t="inlineStr"/>
      <c r="G42" s="18" t="inlineStr">
        <is>
          <t>NJ52-09-09</t>
        </is>
      </c>
      <c r="H42" s="18" t="inlineStr">
        <is>
          <t>강화</t>
        </is>
      </c>
      <c r="I42" s="19" t="n">
        <v>37.66612411111111</v>
      </c>
      <c r="J42" s="19" t="n">
        <v>126.4787752222222</v>
      </c>
      <c r="K42" s="20" t="n">
        <v>100.524</v>
      </c>
      <c r="L42" s="21" t="inlineStr">
        <is>
          <t>인천광역시 강화군 길상면 길직리 산 148-6</t>
        </is>
      </c>
      <c r="M42" s="20" t="n"/>
      <c r="N42" s="24" t="inlineStr">
        <is>
          <t>NOT AVAILABLE</t>
        </is>
      </c>
      <c r="O42" s="18" t="inlineStr">
        <is>
          <t>이천</t>
        </is>
      </c>
      <c r="P42" s="18" t="n">
        <v>110</v>
      </c>
      <c r="Q42" s="18" t="inlineStr">
        <is>
          <t>NOT APPLICABLE</t>
        </is>
      </c>
      <c r="R42" s="20" t="n"/>
      <c r="S42" s="21" t="inlineStr"/>
      <c r="T42" s="21" t="inlineStr">
        <is>
          <t>없음 — 전 항목 진행</t>
        </is>
      </c>
    </row>
    <row r="43">
      <c r="A43" s="18" t="inlineStr">
        <is>
          <t>S39</t>
        </is>
      </c>
      <c r="B43" s="18" t="n">
        <v>39</v>
      </c>
      <c r="C43" s="18" t="inlineStr">
        <is>
          <t>기존점</t>
        </is>
      </c>
      <c r="D43" s="18" t="inlineStr">
        <is>
          <t>1-23-1</t>
        </is>
      </c>
      <c r="E43" s="18" t="inlineStr">
        <is>
          <t>언양</t>
        </is>
      </c>
      <c r="F43" s="18" t="inlineStr"/>
      <c r="G43" s="18" t="inlineStr">
        <is>
          <t>NI52-2-13</t>
        </is>
      </c>
      <c r="H43" s="18" t="inlineStr">
        <is>
          <t>언양</t>
        </is>
      </c>
      <c r="I43" s="19" t="n">
        <v>35.67619994444444</v>
      </c>
      <c r="J43" s="19" t="n">
        <v>129.1908721388889</v>
      </c>
      <c r="K43" s="20" t="n">
        <v>226.101</v>
      </c>
      <c r="L43" s="21" t="inlineStr">
        <is>
          <t>울산광역시 울주군 두서면 미호리 산3(삼언양417)</t>
        </is>
      </c>
      <c r="M43" s="20" t="n">
        <v>38.3</v>
      </c>
      <c r="N43" s="18" t="inlineStr">
        <is>
          <t>OK</t>
        </is>
      </c>
      <c r="O43" s="18" t="inlineStr">
        <is>
          <t>이천</t>
        </is>
      </c>
      <c r="P43" s="18" t="n">
        <v>220</v>
      </c>
      <c r="Q43" s="18" t="inlineStr">
        <is>
          <t>NOT APPLICABLE</t>
        </is>
      </c>
      <c r="R43" s="20" t="n"/>
      <c r="S43" s="23" t="inlineStr">
        <is>
          <t>도로 접근성 나쁨</t>
        </is>
      </c>
      <c r="T43" s="21" t="inlineStr">
        <is>
          <t>없음 — 전 항목 진행</t>
        </is>
      </c>
    </row>
    <row r="44">
      <c r="A44" s="18" t="inlineStr">
        <is>
          <t>S40</t>
        </is>
      </c>
      <c r="B44" s="18" t="n">
        <v>40</v>
      </c>
      <c r="C44" s="18" t="inlineStr">
        <is>
          <t>기존점</t>
        </is>
      </c>
      <c r="D44" s="18" t="inlineStr">
        <is>
          <t>1-24-3</t>
        </is>
      </c>
      <c r="E44" s="18" t="inlineStr">
        <is>
          <t>남지</t>
        </is>
      </c>
      <c r="F44" s="18" t="inlineStr"/>
      <c r="G44" s="18" t="inlineStr">
        <is>
          <t>NJ52-01-14</t>
        </is>
      </c>
      <c r="H44" s="18" t="inlineStr">
        <is>
          <t>남지</t>
        </is>
      </c>
      <c r="I44" s="19" t="n">
        <v>35.43616666666667</v>
      </c>
      <c r="J44" s="19" t="n">
        <v>128.4737777777778</v>
      </c>
      <c r="K44" s="20" t="n"/>
      <c r="L44" s="21" t="inlineStr">
        <is>
          <t>창녕군 장마면 유리 1705-1 봉산지뚝</t>
        </is>
      </c>
      <c r="M44" s="20" t="n">
        <v>9.4</v>
      </c>
      <c r="N44" s="18" t="inlineStr">
        <is>
          <t>OK</t>
        </is>
      </c>
      <c r="O44" s="18" t="inlineStr">
        <is>
          <t>청양</t>
        </is>
      </c>
      <c r="P44" s="18" t="n">
        <v>179</v>
      </c>
      <c r="Q44" s="18" t="inlineStr">
        <is>
          <t>NOT APPLICABLE</t>
        </is>
      </c>
      <c r="R44" s="20" t="n"/>
      <c r="S44" s="21" t="inlineStr"/>
      <c r="T44" s="21" t="inlineStr">
        <is>
          <t>없음 — 전 항목 진행</t>
        </is>
      </c>
    </row>
    <row r="45">
      <c r="A45" s="18" t="inlineStr">
        <is>
          <t>S41</t>
        </is>
      </c>
      <c r="B45" s="18" t="n">
        <v>41</v>
      </c>
      <c r="C45" s="18" t="inlineStr">
        <is>
          <t>기존점</t>
        </is>
      </c>
      <c r="D45" s="18" t="inlineStr">
        <is>
          <t>1-25-2</t>
        </is>
      </c>
      <c r="E45" s="18" t="inlineStr">
        <is>
          <t>거제</t>
        </is>
      </c>
      <c r="F45" s="18" t="inlineStr"/>
      <c r="G45" s="18" t="inlineStr">
        <is>
          <t>NJ52-06-07</t>
        </is>
      </c>
      <c r="H45" s="18" t="inlineStr">
        <is>
          <t>거제</t>
        </is>
      </c>
      <c r="I45" s="19" t="n">
        <v>34.87031108333333</v>
      </c>
      <c r="J45" s="19" t="n">
        <v>128.5928611111111</v>
      </c>
      <c r="K45" s="20" t="n">
        <v>91.014</v>
      </c>
      <c r="L45" s="21" t="inlineStr">
        <is>
          <t>경상남도 거제시 거제면 옥산리 산83-6</t>
        </is>
      </c>
      <c r="M45" s="20" t="n">
        <v>28.9</v>
      </c>
      <c r="N45" s="18" t="inlineStr">
        <is>
          <t>OK</t>
        </is>
      </c>
      <c r="O45" s="18" t="inlineStr">
        <is>
          <t>청양</t>
        </is>
      </c>
      <c r="P45" s="18" t="n">
        <v>229</v>
      </c>
      <c r="Q45" s="18" t="inlineStr">
        <is>
          <t>NOT APPLICABLE</t>
        </is>
      </c>
      <c r="R45" s="20" t="n"/>
      <c r="S45" s="21" t="inlineStr"/>
      <c r="T45" s="21" t="inlineStr">
        <is>
          <t>없음 — 전 항목 진행</t>
        </is>
      </c>
    </row>
    <row r="46">
      <c r="A46" s="18" t="inlineStr">
        <is>
          <t>S42</t>
        </is>
      </c>
      <c r="B46" s="18" t="n">
        <v>42</v>
      </c>
      <c r="C46" s="18" t="inlineStr">
        <is>
          <t>기존점</t>
        </is>
      </c>
      <c r="D46" s="18" t="inlineStr">
        <is>
          <t>1-29-2</t>
        </is>
      </c>
      <c r="E46" s="18" t="inlineStr">
        <is>
          <t>조도</t>
        </is>
      </c>
      <c r="F46" s="18" t="inlineStr"/>
      <c r="G46" s="18" t="inlineStr">
        <is>
          <t>NJ52-05-21</t>
        </is>
      </c>
      <c r="H46" s="18" t="inlineStr">
        <is>
          <t>조도</t>
        </is>
      </c>
      <c r="I46" s="19" t="n">
        <v>34.43191666666667</v>
      </c>
      <c r="J46" s="19" t="n">
        <v>126.2238055555556</v>
      </c>
      <c r="K46" s="20" t="n"/>
      <c r="L46" s="21" t="inlineStr">
        <is>
          <t>진도군 임회면 삼막리 광전교인근</t>
        </is>
      </c>
      <c r="M46" s="20" t="n">
        <v>100.2</v>
      </c>
      <c r="N46" s="18" t="inlineStr">
        <is>
          <t>OK</t>
        </is>
      </c>
      <c r="O46" s="18" t="inlineStr">
        <is>
          <t>제주</t>
        </is>
      </c>
      <c r="P46" s="18" t="n">
        <v>111</v>
      </c>
      <c r="Q46" s="18" t="inlineStr">
        <is>
          <t>NOT APPLICABLE</t>
        </is>
      </c>
      <c r="R46" s="20" t="n"/>
      <c r="S46" s="23" t="inlineStr">
        <is>
          <t>하천(제방)</t>
        </is>
      </c>
      <c r="T46" s="21" t="inlineStr">
        <is>
          <t>없음 — 전 항목 진행</t>
        </is>
      </c>
    </row>
    <row r="47">
      <c r="A47" s="18" t="inlineStr">
        <is>
          <t>S43</t>
        </is>
      </c>
      <c r="B47" s="18" t="n">
        <v>43</v>
      </c>
      <c r="C47" s="18" t="inlineStr">
        <is>
          <t>기존점</t>
        </is>
      </c>
      <c r="D47" s="18" t="inlineStr">
        <is>
          <t>1-3-3</t>
        </is>
      </c>
      <c r="E47" s="18" t="inlineStr">
        <is>
          <t>포천</t>
        </is>
      </c>
      <c r="F47" s="18" t="inlineStr"/>
      <c r="G47" s="18" t="inlineStr">
        <is>
          <t>NJ 52-09-5</t>
        </is>
      </c>
      <c r="H47" s="18" t="inlineStr">
        <is>
          <t>포천</t>
        </is>
      </c>
      <c r="I47" s="19" t="n">
        <v>37.99090344444445</v>
      </c>
      <c r="J47" s="19" t="n">
        <v>127.1346283611111</v>
      </c>
      <c r="K47" s="20" t="n">
        <v>423.872</v>
      </c>
      <c r="L47" s="21" t="inlineStr">
        <is>
          <t>경기도 연천군 청산면 대전리 산83</t>
        </is>
      </c>
      <c r="M47" s="20" t="n"/>
      <c r="N47" s="24" t="inlineStr">
        <is>
          <t>NOT AVAILABLE</t>
        </is>
      </c>
      <c r="O47" s="18" t="inlineStr">
        <is>
          <t>이천</t>
        </is>
      </c>
      <c r="P47" s="18" t="n">
        <v>100</v>
      </c>
      <c r="Q47" s="18" t="inlineStr">
        <is>
          <t>NOT APPLICABLE</t>
        </is>
      </c>
      <c r="R47" s="20" t="n"/>
      <c r="S47" s="21" t="inlineStr"/>
      <c r="T47" s="21" t="inlineStr">
        <is>
          <t>없음 — 전 항목 진행</t>
        </is>
      </c>
    </row>
    <row r="48">
      <c r="A48" s="18" t="inlineStr">
        <is>
          <t>S44</t>
        </is>
      </c>
      <c r="B48" s="18" t="n">
        <v>44</v>
      </c>
      <c r="C48" s="18" t="inlineStr">
        <is>
          <t>기존점</t>
        </is>
      </c>
      <c r="D48" s="18" t="inlineStr">
        <is>
          <t>1-30-2</t>
        </is>
      </c>
      <c r="E48" s="18" t="inlineStr">
        <is>
          <t>성산</t>
        </is>
      </c>
      <c r="F48" s="18" t="inlineStr"/>
      <c r="G48" s="18" t="inlineStr">
        <is>
          <t>NJ52-09-18</t>
        </is>
      </c>
      <c r="H48" s="18" t="inlineStr">
        <is>
          <t>성산</t>
        </is>
      </c>
      <c r="I48" s="19" t="n">
        <v>33.52447991666666</v>
      </c>
      <c r="J48" s="19" t="n">
        <v>126.8941619722222</v>
      </c>
      <c r="K48" s="20" t="n">
        <v>8.08</v>
      </c>
      <c r="L48" s="21" t="inlineStr">
        <is>
          <t>제주특별자치도 제주시 구좌읍 하도리425</t>
        </is>
      </c>
      <c r="M48" s="20" t="n">
        <v>46.7</v>
      </c>
      <c r="N48" s="18" t="inlineStr">
        <is>
          <t>OK</t>
        </is>
      </c>
      <c r="O48" s="18" t="inlineStr">
        <is>
          <t>제주</t>
        </is>
      </c>
      <c r="P48" s="18" t="n">
        <v>56</v>
      </c>
      <c r="Q48" s="18" t="inlineStr">
        <is>
          <t>NOT APPLICABLE</t>
        </is>
      </c>
      <c r="R48" s="20" t="n"/>
      <c r="S48" s="21" t="inlineStr"/>
      <c r="T48" s="21" t="inlineStr">
        <is>
          <t>없음 — 전 항목 진행</t>
        </is>
      </c>
    </row>
    <row r="49">
      <c r="A49" s="18" t="inlineStr">
        <is>
          <t>S45</t>
        </is>
      </c>
      <c r="B49" s="18" t="n">
        <v>45</v>
      </c>
      <c r="C49" s="18" t="inlineStr">
        <is>
          <t>기존점</t>
        </is>
      </c>
      <c r="D49" s="18" t="inlineStr">
        <is>
          <t>1-4-4</t>
        </is>
      </c>
      <c r="E49" s="18" t="inlineStr">
        <is>
          <t>여주</t>
        </is>
      </c>
      <c r="F49" s="18" t="inlineStr"/>
      <c r="G49" s="18" t="inlineStr">
        <is>
          <t>NJ52-09-21</t>
        </is>
      </c>
      <c r="H49" s="18" t="inlineStr">
        <is>
          <t>여주</t>
        </is>
      </c>
      <c r="I49" s="19" t="n">
        <v>37.445381</v>
      </c>
      <c r="J49" s="19" t="n">
        <v>127.5733216944444</v>
      </c>
      <c r="K49" s="20" t="n">
        <v>177.03</v>
      </c>
      <c r="L49" s="21" t="inlineStr">
        <is>
          <t>경기도 양평군 개군면 내리 산12</t>
        </is>
      </c>
      <c r="M49" s="20" t="n">
        <v>10.7</v>
      </c>
      <c r="N49" s="18" t="inlineStr">
        <is>
          <t>OK</t>
        </is>
      </c>
      <c r="O49" s="18" t="inlineStr">
        <is>
          <t>이천</t>
        </is>
      </c>
      <c r="P49" s="18" t="n">
        <v>34</v>
      </c>
      <c r="Q49" s="18" t="inlineStr">
        <is>
          <t>NOT APPLICABLE</t>
        </is>
      </c>
      <c r="R49" s="20" t="n"/>
      <c r="S49" s="21" t="inlineStr"/>
      <c r="T49" s="21" t="inlineStr">
        <is>
          <t>없음 — 전 항목 진행</t>
        </is>
      </c>
    </row>
    <row r="50">
      <c r="A50" s="18" t="inlineStr">
        <is>
          <t>S46</t>
        </is>
      </c>
      <c r="B50" s="18" t="n">
        <v>46</v>
      </c>
      <c r="C50" s="18" t="inlineStr">
        <is>
          <t>기존점</t>
        </is>
      </c>
      <c r="D50" s="18" t="inlineStr">
        <is>
          <t>1-5-2</t>
        </is>
      </c>
      <c r="E50" s="18" t="inlineStr">
        <is>
          <t>화천</t>
        </is>
      </c>
      <c r="F50" s="18" t="inlineStr"/>
      <c r="G50" s="18" t="inlineStr">
        <is>
          <t>NJ52-05-28</t>
        </is>
      </c>
      <c r="H50" s="18" t="inlineStr">
        <is>
          <t>화천</t>
        </is>
      </c>
      <c r="I50" s="19" t="n">
        <v>38.11566666666667</v>
      </c>
      <c r="J50" s="19" t="n">
        <v>127.6867222222222</v>
      </c>
      <c r="K50" s="20" t="n">
        <v>155</v>
      </c>
      <c r="L50" s="21" t="inlineStr">
        <is>
          <t>화천군 화천읍 상리 산6</t>
        </is>
      </c>
      <c r="M50" s="20" t="n"/>
      <c r="N50" s="24" t="inlineStr">
        <is>
          <t>NOT AVAILABLE</t>
        </is>
      </c>
      <c r="O50" s="18" t="inlineStr">
        <is>
          <t>이천</t>
        </is>
      </c>
      <c r="P50" s="18" t="n">
        <v>109</v>
      </c>
      <c r="Q50" s="18" t="inlineStr">
        <is>
          <t>NOT APPLICABLE</t>
        </is>
      </c>
      <c r="R50" s="20" t="n"/>
      <c r="S50" s="21" t="inlineStr"/>
      <c r="T50" s="21" t="inlineStr">
        <is>
          <t>없음 — 전 항목 진행</t>
        </is>
      </c>
    </row>
    <row r="51">
      <c r="A51" s="18" t="inlineStr">
        <is>
          <t>S47</t>
        </is>
      </c>
      <c r="B51" s="18" t="n">
        <v>47</v>
      </c>
      <c r="C51" s="18" t="inlineStr">
        <is>
          <t>기존점</t>
        </is>
      </c>
      <c r="D51" s="18" t="inlineStr">
        <is>
          <t>1-7-2</t>
        </is>
      </c>
      <c r="E51" s="18" t="inlineStr">
        <is>
          <t>봉평</t>
        </is>
      </c>
      <c r="F51" s="18" t="inlineStr"/>
      <c r="G51" s="18" t="inlineStr">
        <is>
          <t>NJ52-10-10</t>
        </is>
      </c>
      <c r="H51" s="18" t="inlineStr">
        <is>
          <t>봉평</t>
        </is>
      </c>
      <c r="I51" s="19" t="n">
        <v>37.61237222222223</v>
      </c>
      <c r="J51" s="19" t="n">
        <v>128.395802</v>
      </c>
      <c r="K51" s="20" t="n">
        <v>695.73</v>
      </c>
      <c r="L51" s="21" t="inlineStr">
        <is>
          <t>평창군 봉평면 평촌2리 김병찬씨 뒷산</t>
        </is>
      </c>
      <c r="M51" s="20" t="n">
        <v>6.7</v>
      </c>
      <c r="N51" s="18" t="inlineStr">
        <is>
          <t>OK</t>
        </is>
      </c>
      <c r="O51" s="18" t="inlineStr">
        <is>
          <t>강릉</t>
        </is>
      </c>
      <c r="P51" s="18" t="n">
        <v>45</v>
      </c>
      <c r="Q51" s="18" t="inlineStr">
        <is>
          <t>NOT APPLICABLE</t>
        </is>
      </c>
      <c r="R51" s="20" t="n"/>
      <c r="S51" s="23" t="inlineStr">
        <is>
          <t>주변 송신탑 위치</t>
        </is>
      </c>
      <c r="T51" s="21" t="inlineStr">
        <is>
          <t>없음 — 전 항목 진행</t>
        </is>
      </c>
    </row>
    <row r="52">
      <c r="A52" s="18" t="inlineStr">
        <is>
          <t>S48</t>
        </is>
      </c>
      <c r="B52" s="18" t="n">
        <v>48</v>
      </c>
      <c r="C52" s="18" t="inlineStr">
        <is>
          <t>기존점</t>
        </is>
      </c>
      <c r="D52" s="18" t="inlineStr">
        <is>
          <t>1-8-4</t>
        </is>
      </c>
      <c r="E52" s="18" t="inlineStr">
        <is>
          <t>삼척</t>
        </is>
      </c>
      <c r="F52" s="18" t="inlineStr"/>
      <c r="G52" s="18" t="inlineStr">
        <is>
          <t>NJ52-10-20</t>
        </is>
      </c>
      <c r="H52" s="18" t="inlineStr">
        <is>
          <t>삼척</t>
        </is>
      </c>
      <c r="I52" s="19" t="n">
        <v>37.38471708333334</v>
      </c>
      <c r="J52" s="19" t="n">
        <v>129.2032259444444</v>
      </c>
      <c r="K52" s="20" t="n">
        <v>27.791</v>
      </c>
      <c r="L52" s="21" t="inlineStr">
        <is>
          <t>강원도 삼척시 근덕면 하맹방리 774-2, 초당저수지</t>
        </is>
      </c>
      <c r="M52" s="20" t="n">
        <v>1.3</v>
      </c>
      <c r="N52" s="18" t="inlineStr">
        <is>
          <t>OK</t>
        </is>
      </c>
      <c r="O52" s="18" t="inlineStr">
        <is>
          <t>강릉</t>
        </is>
      </c>
      <c r="P52" s="18" t="n">
        <v>52</v>
      </c>
      <c r="Q52" s="18" t="inlineStr">
        <is>
          <t>NOT APPLICABLE</t>
        </is>
      </c>
      <c r="R52" s="20" t="n"/>
      <c r="S52" s="21" t="inlineStr"/>
      <c r="T52" s="21" t="inlineStr">
        <is>
          <t>없음 — 전 항목 진행</t>
        </is>
      </c>
    </row>
    <row r="53">
      <c r="A53" s="18" t="inlineStr">
        <is>
          <t>S49</t>
        </is>
      </c>
      <c r="B53" s="18" t="n">
        <v>49</v>
      </c>
      <c r="C53" s="18" t="inlineStr">
        <is>
          <t>기존점</t>
        </is>
      </c>
      <c r="D53" s="18" t="inlineStr">
        <is>
          <t>1-9-2</t>
        </is>
      </c>
      <c r="E53" s="18" t="inlineStr">
        <is>
          <t>제천</t>
        </is>
      </c>
      <c r="F53" s="18" t="inlineStr"/>
      <c r="G53" s="18" t="inlineStr">
        <is>
          <t>NJ52-10-23</t>
        </is>
      </c>
      <c r="H53" s="18" t="inlineStr">
        <is>
          <t>제천</t>
        </is>
      </c>
      <c r="I53" s="19" t="n">
        <v>37.07463888888889</v>
      </c>
      <c r="J53" s="19" t="n">
        <v>128.2114444444444</v>
      </c>
      <c r="K53" s="20" t="n"/>
      <c r="L53" s="21" t="inlineStr">
        <is>
          <t>제천시 백운면 방학리 백마저수지뚝 가운데</t>
        </is>
      </c>
      <c r="M53" s="20" t="n">
        <v>13.7</v>
      </c>
      <c r="N53" s="18" t="inlineStr">
        <is>
          <t>OK</t>
        </is>
      </c>
      <c r="O53" s="18" t="inlineStr">
        <is>
          <t>이천</t>
        </is>
      </c>
      <c r="P53" s="18" t="n">
        <v>61</v>
      </c>
      <c r="Q53" s="18" t="inlineStr">
        <is>
          <t>NOT APPLICABLE</t>
        </is>
      </c>
      <c r="R53" s="20" t="n"/>
      <c r="S53" s="21" t="inlineStr"/>
      <c r="T53" s="21" t="inlineStr">
        <is>
          <t>없음 — 전 항목 진행</t>
        </is>
      </c>
    </row>
    <row r="54">
      <c r="A54" s="18" t="inlineStr">
        <is>
          <t>S50</t>
        </is>
      </c>
      <c r="B54" s="18" t="n">
        <v>50</v>
      </c>
      <c r="C54" s="18" t="inlineStr">
        <is>
          <t>기존점</t>
        </is>
      </c>
      <c r="D54" s="18" t="inlineStr">
        <is>
          <t>1-20-3</t>
        </is>
      </c>
      <c r="E54" s="18" t="inlineStr">
        <is>
          <t>함양</t>
        </is>
      </c>
      <c r="F54" s="18" t="inlineStr"/>
      <c r="G54" s="18" t="inlineStr">
        <is>
          <t>NJ52-02-17</t>
        </is>
      </c>
      <c r="H54" s="18" t="inlineStr">
        <is>
          <t>함양</t>
        </is>
      </c>
      <c r="I54" s="19" t="n">
        <v>35.54250855555556</v>
      </c>
      <c r="J54" s="19" t="n">
        <v>127.6229688333333</v>
      </c>
      <c r="K54" s="20" t="n">
        <v>415.62</v>
      </c>
      <c r="L54" s="21" t="inlineStr">
        <is>
          <t>경남 함양군 백전면 구산리 166 구산제(구산저수지)</t>
        </is>
      </c>
      <c r="M54" s="20" t="n">
        <v>23.9</v>
      </c>
      <c r="N54" s="18" t="inlineStr">
        <is>
          <t>OK</t>
        </is>
      </c>
      <c r="O54" s="18" t="inlineStr">
        <is>
          <t>청양</t>
        </is>
      </c>
      <c r="P54" s="18" t="n">
        <v>115</v>
      </c>
      <c r="Q54" s="18" t="inlineStr">
        <is>
          <t>NOT APPLICABLE</t>
        </is>
      </c>
      <c r="R54" s="20" t="n"/>
      <c r="S54" s="21" t="inlineStr"/>
      <c r="T54" s="21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현장 실측 위도</t>
        </is>
      </c>
      <c r="G4" s="8" t="inlineStr">
        <is>
          <t>현장 실측 경도</t>
        </is>
      </c>
      <c r="H4" s="8" t="inlineStr">
        <is>
          <t>좌표계</t>
        </is>
      </c>
      <c r="I4" s="8" t="inlineStr">
        <is>
          <t>측지기준</t>
        </is>
      </c>
      <c r="J4" s="8" t="inlineStr">
        <is>
          <t>취득방법</t>
        </is>
      </c>
      <c r="K4" s="8" t="inlineStr">
        <is>
          <t>수평정확도(m)</t>
        </is>
      </c>
      <c r="L4" s="8" t="inlineStr">
        <is>
          <t>좌표 출처</t>
        </is>
      </c>
      <c r="M4" s="8" t="inlineStr">
        <is>
          <t>좌표 검증상태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26" t="n">
        <v>37.020705</v>
      </c>
      <c r="E5" s="26" t="n">
        <v>128.98393</v>
      </c>
      <c r="F5" s="27" t="n"/>
      <c r="G5" s="27" t="n"/>
      <c r="H5" s="28" t="n"/>
      <c r="I5" s="28" t="n"/>
      <c r="J5" s="28" t="n"/>
      <c r="K5" s="29" t="n"/>
      <c r="L5" s="28" t="n"/>
      <c r="M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26" t="n">
        <v>37.359346</v>
      </c>
      <c r="E6" s="26" t="n">
        <v>128.973865</v>
      </c>
      <c r="F6" s="27" t="n"/>
      <c r="G6" s="27" t="n"/>
      <c r="H6" s="28" t="n"/>
      <c r="I6" s="28" t="n"/>
      <c r="J6" s="28" t="n"/>
      <c r="K6" s="29" t="n"/>
      <c r="L6" s="28" t="n"/>
      <c r="M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26" t="n">
        <v>36.534085</v>
      </c>
      <c r="E7" s="26" t="n">
        <v>126.936269</v>
      </c>
      <c r="F7" s="27" t="n"/>
      <c r="G7" s="27" t="n"/>
      <c r="H7" s="28" t="n"/>
      <c r="I7" s="28" t="n"/>
      <c r="J7" s="28" t="n"/>
      <c r="K7" s="29" t="n"/>
      <c r="L7" s="28" t="n"/>
      <c r="M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26" t="n">
        <v>35.891309</v>
      </c>
      <c r="E8" s="26" t="n">
        <v>127.309017</v>
      </c>
      <c r="F8" s="27" t="n"/>
      <c r="G8" s="27" t="n"/>
      <c r="H8" s="28" t="n"/>
      <c r="I8" s="28" t="n"/>
      <c r="J8" s="28" t="n"/>
      <c r="K8" s="29" t="n"/>
      <c r="L8" s="28" t="n"/>
      <c r="M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26" t="n">
        <v>35.945212</v>
      </c>
      <c r="E9" s="26" t="n">
        <v>127.800855</v>
      </c>
      <c r="F9" s="27" t="n"/>
      <c r="G9" s="27" t="n"/>
      <c r="H9" s="28" t="n"/>
      <c r="I9" s="28" t="n"/>
      <c r="J9" s="28" t="n"/>
      <c r="K9" s="29" t="n"/>
      <c r="L9" s="28" t="n"/>
      <c r="M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26" t="n">
        <v>35.604653</v>
      </c>
      <c r="E10" s="26" t="n">
        <v>127.230237</v>
      </c>
      <c r="F10" s="27" t="n"/>
      <c r="G10" s="27" t="n"/>
      <c r="H10" s="28" t="n"/>
      <c r="I10" s="28" t="n"/>
      <c r="J10" s="28" t="n"/>
      <c r="K10" s="29" t="n"/>
      <c r="L10" s="28" t="n"/>
      <c r="M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26" t="n">
        <v>34.852281</v>
      </c>
      <c r="E11" s="26" t="n">
        <v>127.981473</v>
      </c>
      <c r="F11" s="27" t="n"/>
      <c r="G11" s="27" t="n"/>
      <c r="H11" s="28" t="n"/>
      <c r="I11" s="28" t="n"/>
      <c r="J11" s="28" t="n"/>
      <c r="K11" s="29" t="n"/>
      <c r="L11" s="28" t="n"/>
      <c r="M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26" t="n">
        <v>37.618578</v>
      </c>
      <c r="E12" s="26" t="n">
        <v>128.1698</v>
      </c>
      <c r="F12" s="27" t="n"/>
      <c r="G12" s="27" t="n"/>
      <c r="H12" s="28" t="n"/>
      <c r="I12" s="28" t="n"/>
      <c r="J12" s="28" t="n"/>
      <c r="K12" s="29" t="n"/>
      <c r="L12" s="28" t="n"/>
      <c r="M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26" t="n">
        <v>37.776326</v>
      </c>
      <c r="E13" s="26" t="n">
        <v>128.075858</v>
      </c>
      <c r="F13" s="27" t="n"/>
      <c r="G13" s="27" t="n"/>
      <c r="H13" s="28" t="n"/>
      <c r="I13" s="28" t="n"/>
      <c r="J13" s="28" t="n"/>
      <c r="K13" s="29" t="n"/>
      <c r="L13" s="28" t="n"/>
      <c r="M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26" t="n">
        <v>36.745399</v>
      </c>
      <c r="E14" s="26" t="n">
        <v>128.853559</v>
      </c>
      <c r="F14" s="27" t="n"/>
      <c r="G14" s="27" t="n"/>
      <c r="H14" s="28" t="n"/>
      <c r="I14" s="28" t="n"/>
      <c r="J14" s="28" t="n"/>
      <c r="K14" s="29" t="n"/>
      <c r="L14" s="28" t="n"/>
      <c r="M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26" t="n">
        <v>36.765848</v>
      </c>
      <c r="E15" s="26" t="n">
        <v>129.154341</v>
      </c>
      <c r="F15" s="27" t="n"/>
      <c r="G15" s="27" t="n"/>
      <c r="H15" s="28" t="n"/>
      <c r="I15" s="28" t="n"/>
      <c r="J15" s="28" t="n"/>
      <c r="K15" s="29" t="n"/>
      <c r="L15" s="28" t="n"/>
      <c r="M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26" t="n">
        <v>35.284821</v>
      </c>
      <c r="E16" s="26" t="n">
        <v>127.092148</v>
      </c>
      <c r="F16" s="27" t="n"/>
      <c r="G16" s="27" t="n"/>
      <c r="H16" s="28" t="n"/>
      <c r="I16" s="28" t="n"/>
      <c r="J16" s="28" t="n"/>
      <c r="K16" s="29" t="n"/>
      <c r="L16" s="28" t="n"/>
      <c r="M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26" t="n">
        <v>34.904713</v>
      </c>
      <c r="E17" s="26" t="n">
        <v>127.294737</v>
      </c>
      <c r="F17" s="27" t="n"/>
      <c r="G17" s="27" t="n"/>
      <c r="H17" s="28" t="n"/>
      <c r="I17" s="28" t="n"/>
      <c r="J17" s="28" t="n"/>
      <c r="K17" s="29" t="n"/>
      <c r="L17" s="28" t="n"/>
      <c r="M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26" t="n">
        <v>36.382888</v>
      </c>
      <c r="E18" s="26" t="n">
        <v>129.145795</v>
      </c>
      <c r="F18" s="27" t="n"/>
      <c r="G18" s="27" t="n"/>
      <c r="H18" s="28" t="n"/>
      <c r="I18" s="28" t="n"/>
      <c r="J18" s="28" t="n"/>
      <c r="K18" s="29" t="n"/>
      <c r="L18" s="28" t="n"/>
      <c r="M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26" t="n">
        <v>36.4767</v>
      </c>
      <c r="E19" s="26" t="n">
        <v>128.508751</v>
      </c>
      <c r="F19" s="27" t="n"/>
      <c r="G19" s="27" t="n"/>
      <c r="H19" s="28" t="n"/>
      <c r="I19" s="28" t="n"/>
      <c r="J19" s="28" t="n"/>
      <c r="K19" s="29" t="n"/>
      <c r="L19" s="28" t="n"/>
      <c r="M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26" t="n">
        <v>36.50939</v>
      </c>
      <c r="E20" s="26" t="n">
        <v>128.494519</v>
      </c>
      <c r="F20" s="27" t="n"/>
      <c r="G20" s="27" t="n"/>
      <c r="H20" s="28" t="n"/>
      <c r="I20" s="28" t="n"/>
      <c r="J20" s="28" t="n"/>
      <c r="K20" s="29" t="n"/>
      <c r="L20" s="28" t="n"/>
      <c r="M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26" t="n">
        <v>36.743626</v>
      </c>
      <c r="E21" s="26" t="n">
        <v>129.181307</v>
      </c>
      <c r="F21" s="27" t="n"/>
      <c r="G21" s="27" t="n"/>
      <c r="H21" s="28" t="n"/>
      <c r="I21" s="28" t="n"/>
      <c r="J21" s="28" t="n"/>
      <c r="K21" s="29" t="n"/>
      <c r="L21" s="28" t="n"/>
      <c r="M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26" t="n">
        <v>34.792976</v>
      </c>
      <c r="E22" s="26" t="n">
        <v>128.393827</v>
      </c>
      <c r="F22" s="27" t="n"/>
      <c r="G22" s="27" t="n"/>
      <c r="H22" s="28" t="n"/>
      <c r="I22" s="28" t="n"/>
      <c r="J22" s="28" t="n"/>
      <c r="K22" s="29" t="n"/>
      <c r="L22" s="28" t="n"/>
      <c r="M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26" t="n">
        <v>38.318869</v>
      </c>
      <c r="E23" s="26" t="n">
        <v>128.521755</v>
      </c>
      <c r="F23" s="27" t="n"/>
      <c r="G23" s="27" t="n"/>
      <c r="H23" s="28" t="n"/>
      <c r="I23" s="28" t="n"/>
      <c r="J23" s="28" t="n"/>
      <c r="K23" s="29" t="n"/>
      <c r="L23" s="28" t="n"/>
      <c r="M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26" t="n">
        <v>36.266844</v>
      </c>
      <c r="E24" s="26" t="n">
        <v>126.706961</v>
      </c>
      <c r="F24" s="27" t="n"/>
      <c r="G24" s="27" t="n"/>
      <c r="H24" s="28" t="n"/>
      <c r="I24" s="28" t="n"/>
      <c r="J24" s="28" t="n"/>
      <c r="K24" s="29" t="n"/>
      <c r="L24" s="28" t="n"/>
      <c r="M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26" t="n">
        <v>35.456101</v>
      </c>
      <c r="E25" s="26" t="n">
        <v>126.962054</v>
      </c>
      <c r="F25" s="27" t="n"/>
      <c r="G25" s="27" t="n"/>
      <c r="H25" s="28" t="n"/>
      <c r="I25" s="28" t="n"/>
      <c r="J25" s="28" t="n"/>
      <c r="K25" s="29" t="n"/>
      <c r="L25" s="28" t="n"/>
      <c r="M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26" t="n">
        <v>34.328826</v>
      </c>
      <c r="E26" s="26" t="n">
        <v>126.543215</v>
      </c>
      <c r="F26" s="27" t="n"/>
      <c r="G26" s="27" t="n"/>
      <c r="H26" s="28" t="n"/>
      <c r="I26" s="28" t="n"/>
      <c r="J26" s="28" t="n"/>
      <c r="K26" s="29" t="n"/>
      <c r="L26" s="28" t="n"/>
      <c r="M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26" t="n">
        <v>36.888529</v>
      </c>
      <c r="E27" s="26" t="n">
        <v>128.192739</v>
      </c>
      <c r="F27" s="27" t="n"/>
      <c r="G27" s="27" t="n"/>
      <c r="H27" s="28" t="n"/>
      <c r="I27" s="28" t="n"/>
      <c r="J27" s="28" t="n"/>
      <c r="K27" s="29" t="n"/>
      <c r="L27" s="28" t="n"/>
      <c r="M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26" t="n">
        <v>34.680805</v>
      </c>
      <c r="E28" s="26" t="n">
        <v>127.04766</v>
      </c>
      <c r="F28" s="27" t="n"/>
      <c r="G28" s="27" t="n"/>
      <c r="H28" s="28" t="n"/>
      <c r="I28" s="28" t="n"/>
      <c r="J28" s="28" t="n"/>
      <c r="K28" s="29" t="n"/>
      <c r="L28" s="28" t="n"/>
      <c r="M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26" t="n">
        <v>36.325755</v>
      </c>
      <c r="E29" s="26" t="n">
        <v>127.905982</v>
      </c>
      <c r="F29" s="27" t="n"/>
      <c r="G29" s="27" t="n"/>
      <c r="H29" s="28" t="n"/>
      <c r="I29" s="28" t="n"/>
      <c r="J29" s="28" t="n"/>
      <c r="K29" s="29" t="n"/>
      <c r="L29" s="28" t="n"/>
      <c r="M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26" t="n">
        <v>36.452304</v>
      </c>
      <c r="E30" s="26" t="n">
        <v>126.395802</v>
      </c>
      <c r="F30" s="27" t="n"/>
      <c r="G30" s="27" t="n"/>
      <c r="H30" s="28" t="n"/>
      <c r="I30" s="28" t="n"/>
      <c r="J30" s="28" t="n"/>
      <c r="K30" s="29" t="n"/>
      <c r="L30" s="28" t="n"/>
      <c r="M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26" t="n">
        <v>36.579379</v>
      </c>
      <c r="E31" s="26" t="n">
        <v>127.068702</v>
      </c>
      <c r="F31" s="27" t="n"/>
      <c r="G31" s="27" t="n"/>
      <c r="H31" s="28" t="n"/>
      <c r="I31" s="28" t="n"/>
      <c r="J31" s="28" t="n"/>
      <c r="K31" s="29" t="n"/>
      <c r="L31" s="28" t="n"/>
      <c r="M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26" t="n">
        <v>36.16662</v>
      </c>
      <c r="E32" s="26" t="n">
        <v>127.583121</v>
      </c>
      <c r="F32" s="27" t="n"/>
      <c r="G32" s="27" t="n"/>
      <c r="H32" s="28" t="n"/>
      <c r="I32" s="28" t="n"/>
      <c r="J32" s="28" t="n"/>
      <c r="K32" s="29" t="n"/>
      <c r="L32" s="28" t="n"/>
      <c r="M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26" t="n">
        <v>35.777986</v>
      </c>
      <c r="E33" s="26" t="n">
        <v>128.036833</v>
      </c>
      <c r="F33" s="27" t="n"/>
      <c r="G33" s="27" t="n"/>
      <c r="H33" s="28" t="n"/>
      <c r="I33" s="28" t="n"/>
      <c r="J33" s="28" t="n"/>
      <c r="K33" s="29" t="n"/>
      <c r="L33" s="28" t="n"/>
      <c r="M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26" t="n">
        <v>35.662586</v>
      </c>
      <c r="E34" s="26" t="n">
        <v>128.298099</v>
      </c>
      <c r="F34" s="27" t="n"/>
      <c r="G34" s="27" t="n"/>
      <c r="H34" s="28" t="n"/>
      <c r="I34" s="28" t="n"/>
      <c r="J34" s="28" t="n"/>
      <c r="K34" s="29" t="n"/>
      <c r="L34" s="28" t="n"/>
      <c r="M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26" t="n">
        <v>35.742364</v>
      </c>
      <c r="E35" s="26" t="n">
        <v>129.029824</v>
      </c>
      <c r="F35" s="27" t="n"/>
      <c r="G35" s="27" t="n"/>
      <c r="H35" s="28" t="n"/>
      <c r="I35" s="28" t="n"/>
      <c r="J35" s="28" t="n"/>
      <c r="K35" s="29" t="n"/>
      <c r="L35" s="28" t="n"/>
      <c r="M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26" t="n">
        <v>35.586243</v>
      </c>
      <c r="E36" s="26" t="n">
        <v>127.574659</v>
      </c>
      <c r="F36" s="27" t="n"/>
      <c r="G36" s="27" t="n"/>
      <c r="H36" s="28" t="n"/>
      <c r="I36" s="28" t="n"/>
      <c r="J36" s="28" t="n"/>
      <c r="K36" s="29" t="n"/>
      <c r="L36" s="28" t="n"/>
      <c r="M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26" t="n">
        <v>37.927676</v>
      </c>
      <c r="E37" s="26" t="n">
        <v>126.870305</v>
      </c>
      <c r="F37" s="27" t="n"/>
      <c r="G37" s="27" t="n"/>
      <c r="H37" s="28" t="n"/>
      <c r="I37" s="28" t="n"/>
      <c r="J37" s="28" t="n"/>
      <c r="K37" s="29" t="n"/>
      <c r="L37" s="28" t="n"/>
      <c r="M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26" t="n">
        <v>35.541753</v>
      </c>
      <c r="E38" s="26" t="n">
        <v>126.645582</v>
      </c>
      <c r="F38" s="27" t="n"/>
      <c r="G38" s="27" t="n"/>
      <c r="H38" s="28" t="n"/>
      <c r="I38" s="28" t="n"/>
      <c r="J38" s="28" t="n"/>
      <c r="K38" s="29" t="n"/>
      <c r="L38" s="28" t="n"/>
      <c r="M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26" t="n">
        <v>36.35528841666667</v>
      </c>
      <c r="E39" s="26" t="n">
        <v>128.1104806944444</v>
      </c>
      <c r="F39" s="27" t="n"/>
      <c r="G39" s="27" t="n"/>
      <c r="H39" s="28" t="n"/>
      <c r="I39" s="28" t="n"/>
      <c r="J39" s="28" t="n"/>
      <c r="K39" s="29" t="n"/>
      <c r="L39" s="28" t="n"/>
      <c r="M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26" t="n">
        <v>36.72502777777778</v>
      </c>
      <c r="E40" s="26" t="n">
        <v>127.5862222222222</v>
      </c>
      <c r="F40" s="27" t="n"/>
      <c r="G40" s="27" t="n"/>
      <c r="H40" s="28" t="n"/>
      <c r="I40" s="28" t="n"/>
      <c r="J40" s="28" t="n"/>
      <c r="K40" s="29" t="n"/>
      <c r="L40" s="28" t="n"/>
      <c r="M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26" t="n">
        <v>35.58775</v>
      </c>
      <c r="E41" s="26" t="n">
        <v>126.7161388888889</v>
      </c>
      <c r="F41" s="27" t="n"/>
      <c r="G41" s="27" t="n"/>
      <c r="H41" s="28" t="n"/>
      <c r="I41" s="28" t="n"/>
      <c r="J41" s="28" t="n"/>
      <c r="K41" s="29" t="n"/>
      <c r="L41" s="28" t="n"/>
      <c r="M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26" t="n">
        <v>37.66612411111111</v>
      </c>
      <c r="E42" s="26" t="n">
        <v>126.4787752222222</v>
      </c>
      <c r="F42" s="27" t="n"/>
      <c r="G42" s="27" t="n"/>
      <c r="H42" s="28" t="n"/>
      <c r="I42" s="28" t="n"/>
      <c r="J42" s="28" t="n"/>
      <c r="K42" s="29" t="n"/>
      <c r="L42" s="28" t="n"/>
      <c r="M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26" t="n">
        <v>35.67619994444444</v>
      </c>
      <c r="E43" s="26" t="n">
        <v>129.1908721388889</v>
      </c>
      <c r="F43" s="27" t="n"/>
      <c r="G43" s="27" t="n"/>
      <c r="H43" s="28" t="n"/>
      <c r="I43" s="28" t="n"/>
      <c r="J43" s="28" t="n"/>
      <c r="K43" s="29" t="n"/>
      <c r="L43" s="28" t="n"/>
      <c r="M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26" t="n">
        <v>35.43616666666667</v>
      </c>
      <c r="E44" s="26" t="n">
        <v>128.4737777777778</v>
      </c>
      <c r="F44" s="27" t="n"/>
      <c r="G44" s="27" t="n"/>
      <c r="H44" s="28" t="n"/>
      <c r="I44" s="28" t="n"/>
      <c r="J44" s="28" t="n"/>
      <c r="K44" s="29" t="n"/>
      <c r="L44" s="28" t="n"/>
      <c r="M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26" t="n">
        <v>34.87031108333333</v>
      </c>
      <c r="E45" s="26" t="n">
        <v>128.5928611111111</v>
      </c>
      <c r="F45" s="27" t="n"/>
      <c r="G45" s="27" t="n"/>
      <c r="H45" s="28" t="n"/>
      <c r="I45" s="28" t="n"/>
      <c r="J45" s="28" t="n"/>
      <c r="K45" s="29" t="n"/>
      <c r="L45" s="28" t="n"/>
      <c r="M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26" t="n">
        <v>34.43191666666667</v>
      </c>
      <c r="E46" s="26" t="n">
        <v>126.2238055555556</v>
      </c>
      <c r="F46" s="27" t="n"/>
      <c r="G46" s="27" t="n"/>
      <c r="H46" s="28" t="n"/>
      <c r="I46" s="28" t="n"/>
      <c r="J46" s="28" t="n"/>
      <c r="K46" s="29" t="n"/>
      <c r="L46" s="28" t="n"/>
      <c r="M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26" t="n">
        <v>37.99090344444445</v>
      </c>
      <c r="E47" s="26" t="n">
        <v>127.1346283611111</v>
      </c>
      <c r="F47" s="27" t="n"/>
      <c r="G47" s="27" t="n"/>
      <c r="H47" s="28" t="n"/>
      <c r="I47" s="28" t="n"/>
      <c r="J47" s="28" t="n"/>
      <c r="K47" s="29" t="n"/>
      <c r="L47" s="28" t="n"/>
      <c r="M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26" t="n">
        <v>33.52447991666666</v>
      </c>
      <c r="E48" s="26" t="n">
        <v>126.8941619722222</v>
      </c>
      <c r="F48" s="27" t="n"/>
      <c r="G48" s="27" t="n"/>
      <c r="H48" s="28" t="n"/>
      <c r="I48" s="28" t="n"/>
      <c r="J48" s="28" t="n"/>
      <c r="K48" s="29" t="n"/>
      <c r="L48" s="28" t="n"/>
      <c r="M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26" t="n">
        <v>37.445381</v>
      </c>
      <c r="E49" s="26" t="n">
        <v>127.5733216944444</v>
      </c>
      <c r="F49" s="27" t="n"/>
      <c r="G49" s="27" t="n"/>
      <c r="H49" s="28" t="n"/>
      <c r="I49" s="28" t="n"/>
      <c r="J49" s="28" t="n"/>
      <c r="K49" s="29" t="n"/>
      <c r="L49" s="28" t="n"/>
      <c r="M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26" t="n">
        <v>38.11566666666667</v>
      </c>
      <c r="E50" s="26" t="n">
        <v>127.6867222222222</v>
      </c>
      <c r="F50" s="27" t="n"/>
      <c r="G50" s="27" t="n"/>
      <c r="H50" s="28" t="n"/>
      <c r="I50" s="28" t="n"/>
      <c r="J50" s="28" t="n"/>
      <c r="K50" s="29" t="n"/>
      <c r="L50" s="28" t="n"/>
      <c r="M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26" t="n">
        <v>37.61237222222223</v>
      </c>
      <c r="E51" s="26" t="n">
        <v>128.395802</v>
      </c>
      <c r="F51" s="27" t="n"/>
      <c r="G51" s="27" t="n"/>
      <c r="H51" s="28" t="n"/>
      <c r="I51" s="28" t="n"/>
      <c r="J51" s="28" t="n"/>
      <c r="K51" s="29" t="n"/>
      <c r="L51" s="28" t="n"/>
      <c r="M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26" t="n">
        <v>37.38471708333334</v>
      </c>
      <c r="E52" s="26" t="n">
        <v>129.2032259444444</v>
      </c>
      <c r="F52" s="27" t="n"/>
      <c r="G52" s="27" t="n"/>
      <c r="H52" s="28" t="n"/>
      <c r="I52" s="28" t="n"/>
      <c r="J52" s="28" t="n"/>
      <c r="K52" s="29" t="n"/>
      <c r="L52" s="28" t="n"/>
      <c r="M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26" t="n">
        <v>37.07463888888889</v>
      </c>
      <c r="E53" s="26" t="n">
        <v>128.2114444444444</v>
      </c>
      <c r="F53" s="27" t="n"/>
      <c r="G53" s="27" t="n"/>
      <c r="H53" s="28" t="n"/>
      <c r="I53" s="28" t="n"/>
      <c r="J53" s="28" t="n"/>
      <c r="K53" s="29" t="n"/>
      <c r="L53" s="28" t="n"/>
      <c r="M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26" t="n">
        <v>35.54250855555556</v>
      </c>
      <c r="E54" s="26" t="n">
        <v>127.6229688333333</v>
      </c>
      <c r="F54" s="27" t="n"/>
      <c r="G54" s="27" t="n"/>
      <c r="H54" s="28" t="n"/>
      <c r="I54" s="28" t="n"/>
      <c r="J54" s="28" t="n"/>
      <c r="K54" s="29" t="n"/>
      <c r="L54" s="28" t="n"/>
      <c r="M54" s="28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시설 유형</t>
        </is>
      </c>
      <c r="D4" s="8" t="inlineStr">
        <is>
          <t>기준(km)</t>
        </is>
      </c>
      <c r="E4" s="8" t="inlineStr">
        <is>
          <t>최근접 시설 ID</t>
        </is>
      </c>
      <c r="F4" s="8" t="inlineStr">
        <is>
          <t>시설 명칭</t>
        </is>
      </c>
      <c r="G4" s="8" t="inlineStr">
        <is>
          <t>자료 출처</t>
        </is>
      </c>
      <c r="H4" s="8" t="inlineStr">
        <is>
          <t>자료 기준일</t>
        </is>
      </c>
      <c r="I4" s="8" t="inlineStr">
        <is>
          <t>시설 위도</t>
        </is>
      </c>
      <c r="J4" s="8" t="inlineStr">
        <is>
          <t>시설 경도</t>
        </is>
      </c>
      <c r="K4" s="8" t="inlineStr">
        <is>
          <t>도상거리(km)</t>
        </is>
      </c>
      <c r="L4" s="8" t="inlineStr">
        <is>
          <t>현장 확인거리(km)</t>
        </is>
      </c>
      <c r="M4" s="8" t="inlineStr">
        <is>
          <t>확인 방법</t>
        </is>
      </c>
      <c r="N4" s="8" t="inlineStr">
        <is>
          <t>사진 파일명</t>
        </is>
      </c>
      <c r="O4" s="8" t="inlineStr">
        <is>
          <t>판정</t>
        </is>
      </c>
      <c r="P4" s="8" t="inlineStr">
        <is>
          <t>확인자</t>
        </is>
      </c>
      <c r="Q4" s="8" t="inlineStr">
        <is>
          <t>비고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직류철도</t>
        </is>
      </c>
      <c r="D5" s="30" t="n">
        <v>5</v>
      </c>
      <c r="E5" s="28" t="n"/>
      <c r="F5" s="31" t="n"/>
      <c r="G5" s="28" t="n"/>
      <c r="H5" s="32" t="n"/>
      <c r="I5" s="27" t="n"/>
      <c r="J5" s="27" t="n"/>
      <c r="K5" s="33" t="n"/>
      <c r="L5" s="33" t="n"/>
      <c r="M5" s="28" t="n"/>
      <c r="N5" s="28" t="n"/>
      <c r="O5" s="28" t="n"/>
      <c r="P5" s="28" t="n"/>
      <c r="Q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교류·일반철도</t>
        </is>
      </c>
      <c r="D6" s="30" t="n">
        <v>2</v>
      </c>
      <c r="E6" s="28" t="n"/>
      <c r="F6" s="31" t="n"/>
      <c r="G6" s="28" t="n"/>
      <c r="H6" s="32" t="n"/>
      <c r="I6" s="27" t="n"/>
      <c r="J6" s="27" t="n"/>
      <c r="K6" s="33" t="n"/>
      <c r="L6" s="33" t="n"/>
      <c r="M6" s="28" t="n"/>
      <c r="N6" s="28" t="n"/>
      <c r="O6" s="28" t="n"/>
      <c r="P6" s="28" t="n"/>
      <c r="Q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고압철탑</t>
        </is>
      </c>
      <c r="D7" s="30" t="n">
        <v>1</v>
      </c>
      <c r="E7" s="28" t="n"/>
      <c r="F7" s="31" t="n"/>
      <c r="G7" s="28" t="n"/>
      <c r="H7" s="32" t="n"/>
      <c r="I7" s="27" t="n"/>
      <c r="J7" s="27" t="n"/>
      <c r="K7" s="33" t="n"/>
      <c r="L7" s="33" t="n"/>
      <c r="M7" s="28" t="n"/>
      <c r="N7" s="28" t="n"/>
      <c r="O7" s="28" t="n"/>
      <c r="P7" s="28" t="n"/>
      <c r="Q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송전탑</t>
        </is>
      </c>
      <c r="D8" s="30" t="n">
        <v>0.5</v>
      </c>
      <c r="E8" s="28" t="n"/>
      <c r="F8" s="31" t="n"/>
      <c r="G8" s="28" t="n"/>
      <c r="H8" s="32" t="n"/>
      <c r="I8" s="27" t="n"/>
      <c r="J8" s="27" t="n"/>
      <c r="K8" s="33" t="n"/>
      <c r="L8" s="33" t="n"/>
      <c r="M8" s="28" t="n"/>
      <c r="N8" s="28" t="n"/>
      <c r="O8" s="28" t="n"/>
      <c r="P8" s="28" t="n"/>
      <c r="Q8" s="31" t="n"/>
    </row>
    <row r="9">
      <c r="A9" s="25" t="inlineStr">
        <is>
          <t>S02</t>
        </is>
      </c>
      <c r="B9" s="25" t="inlineStr">
        <is>
          <t>임계 신규점1</t>
        </is>
      </c>
      <c r="C9" s="25" t="inlineStr">
        <is>
          <t>직류철도</t>
        </is>
      </c>
      <c r="D9" s="30" t="n">
        <v>5</v>
      </c>
      <c r="E9" s="28" t="n"/>
      <c r="F9" s="31" t="n"/>
      <c r="G9" s="28" t="n"/>
      <c r="H9" s="32" t="n"/>
      <c r="I9" s="27" t="n"/>
      <c r="J9" s="27" t="n"/>
      <c r="K9" s="33" t="n"/>
      <c r="L9" s="33" t="n"/>
      <c r="M9" s="28" t="n"/>
      <c r="N9" s="28" t="n"/>
      <c r="O9" s="28" t="n"/>
      <c r="P9" s="28" t="n"/>
      <c r="Q9" s="31" t="n"/>
    </row>
    <row r="10">
      <c r="A10" s="25" t="inlineStr">
        <is>
          <t>S02</t>
        </is>
      </c>
      <c r="B10" s="25" t="inlineStr">
        <is>
          <t>임계 신규점1</t>
        </is>
      </c>
      <c r="C10" s="25" t="inlineStr">
        <is>
          <t>교류·일반철도</t>
        </is>
      </c>
      <c r="D10" s="30" t="n">
        <v>2</v>
      </c>
      <c r="E10" s="28" t="n"/>
      <c r="F10" s="31" t="n"/>
      <c r="G10" s="28" t="n"/>
      <c r="H10" s="32" t="n"/>
      <c r="I10" s="27" t="n"/>
      <c r="J10" s="27" t="n"/>
      <c r="K10" s="33" t="n"/>
      <c r="L10" s="33" t="n"/>
      <c r="M10" s="28" t="n"/>
      <c r="N10" s="28" t="n"/>
      <c r="O10" s="28" t="n"/>
      <c r="P10" s="28" t="n"/>
      <c r="Q10" s="31" t="n"/>
    </row>
    <row r="11">
      <c r="A11" s="25" t="inlineStr">
        <is>
          <t>S02</t>
        </is>
      </c>
      <c r="B11" s="25" t="inlineStr">
        <is>
          <t>임계 신규점1</t>
        </is>
      </c>
      <c r="C11" s="25" t="inlineStr">
        <is>
          <t>고압철탑</t>
        </is>
      </c>
      <c r="D11" s="30" t="n">
        <v>1</v>
      </c>
      <c r="E11" s="28" t="n"/>
      <c r="F11" s="31" t="n"/>
      <c r="G11" s="28" t="n"/>
      <c r="H11" s="32" t="n"/>
      <c r="I11" s="27" t="n"/>
      <c r="J11" s="27" t="n"/>
      <c r="K11" s="33" t="n"/>
      <c r="L11" s="33" t="n"/>
      <c r="M11" s="28" t="n"/>
      <c r="N11" s="28" t="n"/>
      <c r="O11" s="28" t="n"/>
      <c r="P11" s="28" t="n"/>
      <c r="Q11" s="31" t="n"/>
    </row>
    <row r="12">
      <c r="A12" s="25" t="inlineStr">
        <is>
          <t>S02</t>
        </is>
      </c>
      <c r="B12" s="25" t="inlineStr">
        <is>
          <t>임계 신규점1</t>
        </is>
      </c>
      <c r="C12" s="25" t="inlineStr">
        <is>
          <t>송전탑</t>
        </is>
      </c>
      <c r="D12" s="30" t="n">
        <v>0.5</v>
      </c>
      <c r="E12" s="28" t="n"/>
      <c r="F12" s="31" t="n"/>
      <c r="G12" s="28" t="n"/>
      <c r="H12" s="32" t="n"/>
      <c r="I12" s="27" t="n"/>
      <c r="J12" s="27" t="n"/>
      <c r="K12" s="33" t="n"/>
      <c r="L12" s="33" t="n"/>
      <c r="M12" s="28" t="n"/>
      <c r="N12" s="28" t="n"/>
      <c r="O12" s="28" t="n"/>
      <c r="P12" s="28" t="n"/>
      <c r="Q12" s="31" t="n"/>
    </row>
    <row r="13">
      <c r="A13" s="25" t="inlineStr">
        <is>
          <t>S03</t>
        </is>
      </c>
      <c r="B13" s="25" t="inlineStr">
        <is>
          <t>예산 신규점2</t>
        </is>
      </c>
      <c r="C13" s="25" t="inlineStr">
        <is>
          <t>직류철도</t>
        </is>
      </c>
      <c r="D13" s="30" t="n">
        <v>5</v>
      </c>
      <c r="E13" s="28" t="n"/>
      <c r="F13" s="31" t="n"/>
      <c r="G13" s="28" t="n"/>
      <c r="H13" s="32" t="n"/>
      <c r="I13" s="27" t="n"/>
      <c r="J13" s="27" t="n"/>
      <c r="K13" s="33" t="n"/>
      <c r="L13" s="33" t="n"/>
      <c r="M13" s="28" t="n"/>
      <c r="N13" s="28" t="n"/>
      <c r="O13" s="28" t="n"/>
      <c r="P13" s="28" t="n"/>
      <c r="Q13" s="31" t="n"/>
    </row>
    <row r="14">
      <c r="A14" s="25" t="inlineStr">
        <is>
          <t>S03</t>
        </is>
      </c>
      <c r="B14" s="25" t="inlineStr">
        <is>
          <t>예산 신규점2</t>
        </is>
      </c>
      <c r="C14" s="25" t="inlineStr">
        <is>
          <t>교류·일반철도</t>
        </is>
      </c>
      <c r="D14" s="30" t="n">
        <v>2</v>
      </c>
      <c r="E14" s="28" t="n"/>
      <c r="F14" s="31" t="n"/>
      <c r="G14" s="28" t="n"/>
      <c r="H14" s="32" t="n"/>
      <c r="I14" s="27" t="n"/>
      <c r="J14" s="27" t="n"/>
      <c r="K14" s="33" t="n"/>
      <c r="L14" s="33" t="n"/>
      <c r="M14" s="28" t="n"/>
      <c r="N14" s="28" t="n"/>
      <c r="O14" s="28" t="n"/>
      <c r="P14" s="28" t="n"/>
      <c r="Q14" s="31" t="n"/>
    </row>
    <row r="15">
      <c r="A15" s="25" t="inlineStr">
        <is>
          <t>S03</t>
        </is>
      </c>
      <c r="B15" s="25" t="inlineStr">
        <is>
          <t>예산 신규점2</t>
        </is>
      </c>
      <c r="C15" s="25" t="inlineStr">
        <is>
          <t>고압철탑</t>
        </is>
      </c>
      <c r="D15" s="30" t="n">
        <v>1</v>
      </c>
      <c r="E15" s="28" t="n"/>
      <c r="F15" s="31" t="n"/>
      <c r="G15" s="28" t="n"/>
      <c r="H15" s="32" t="n"/>
      <c r="I15" s="27" t="n"/>
      <c r="J15" s="27" t="n"/>
      <c r="K15" s="33" t="n"/>
      <c r="L15" s="33" t="n"/>
      <c r="M15" s="28" t="n"/>
      <c r="N15" s="28" t="n"/>
      <c r="O15" s="28" t="n"/>
      <c r="P15" s="28" t="n"/>
      <c r="Q15" s="31" t="n"/>
    </row>
    <row r="16">
      <c r="A16" s="25" t="inlineStr">
        <is>
          <t>S03</t>
        </is>
      </c>
      <c r="B16" s="25" t="inlineStr">
        <is>
          <t>예산 신규점2</t>
        </is>
      </c>
      <c r="C16" s="25" t="inlineStr">
        <is>
          <t>송전탑</t>
        </is>
      </c>
      <c r="D16" s="30" t="n">
        <v>0.5</v>
      </c>
      <c r="E16" s="28" t="n"/>
      <c r="F16" s="31" t="n"/>
      <c r="G16" s="28" t="n"/>
      <c r="H16" s="32" t="n"/>
      <c r="I16" s="27" t="n"/>
      <c r="J16" s="27" t="n"/>
      <c r="K16" s="33" t="n"/>
      <c r="L16" s="33" t="n"/>
      <c r="M16" s="28" t="n"/>
      <c r="N16" s="28" t="n"/>
      <c r="O16" s="28" t="n"/>
      <c r="P16" s="28" t="n"/>
      <c r="Q16" s="31" t="n"/>
    </row>
    <row r="17">
      <c r="A17" s="25" t="inlineStr">
        <is>
          <t>S04</t>
        </is>
      </c>
      <c r="B17" s="25" t="inlineStr">
        <is>
          <t>진안 신규점1</t>
        </is>
      </c>
      <c r="C17" s="25" t="inlineStr">
        <is>
          <t>직류철도</t>
        </is>
      </c>
      <c r="D17" s="30" t="n">
        <v>5</v>
      </c>
      <c r="E17" s="28" t="n"/>
      <c r="F17" s="31" t="n"/>
      <c r="G17" s="28" t="n"/>
      <c r="H17" s="32" t="n"/>
      <c r="I17" s="27" t="n"/>
      <c r="J17" s="27" t="n"/>
      <c r="K17" s="33" t="n"/>
      <c r="L17" s="33" t="n"/>
      <c r="M17" s="28" t="n"/>
      <c r="N17" s="28" t="n"/>
      <c r="O17" s="28" t="n"/>
      <c r="P17" s="28" t="n"/>
      <c r="Q17" s="31" t="n"/>
    </row>
    <row r="18">
      <c r="A18" s="25" t="inlineStr">
        <is>
          <t>S04</t>
        </is>
      </c>
      <c r="B18" s="25" t="inlineStr">
        <is>
          <t>진안 신규점1</t>
        </is>
      </c>
      <c r="C18" s="25" t="inlineStr">
        <is>
          <t>교류·일반철도</t>
        </is>
      </c>
      <c r="D18" s="30" t="n">
        <v>2</v>
      </c>
      <c r="E18" s="28" t="n"/>
      <c r="F18" s="31" t="n"/>
      <c r="G18" s="28" t="n"/>
      <c r="H18" s="32" t="n"/>
      <c r="I18" s="27" t="n"/>
      <c r="J18" s="27" t="n"/>
      <c r="K18" s="33" t="n"/>
      <c r="L18" s="33" t="n"/>
      <c r="M18" s="28" t="n"/>
      <c r="N18" s="28" t="n"/>
      <c r="O18" s="28" t="n"/>
      <c r="P18" s="28" t="n"/>
      <c r="Q18" s="31" t="n"/>
    </row>
    <row r="19">
      <c r="A19" s="25" t="inlineStr">
        <is>
          <t>S04</t>
        </is>
      </c>
      <c r="B19" s="25" t="inlineStr">
        <is>
          <t>진안 신규점1</t>
        </is>
      </c>
      <c r="C19" s="25" t="inlineStr">
        <is>
          <t>고압철탑</t>
        </is>
      </c>
      <c r="D19" s="30" t="n">
        <v>1</v>
      </c>
      <c r="E19" s="28" t="n"/>
      <c r="F19" s="31" t="n"/>
      <c r="G19" s="28" t="n"/>
      <c r="H19" s="32" t="n"/>
      <c r="I19" s="27" t="n"/>
      <c r="J19" s="27" t="n"/>
      <c r="K19" s="33" t="n"/>
      <c r="L19" s="33" t="n"/>
      <c r="M19" s="28" t="n"/>
      <c r="N19" s="28" t="n"/>
      <c r="O19" s="28" t="n"/>
      <c r="P19" s="28" t="n"/>
      <c r="Q19" s="31" t="n"/>
    </row>
    <row r="20">
      <c r="A20" s="25" t="inlineStr">
        <is>
          <t>S04</t>
        </is>
      </c>
      <c r="B20" s="25" t="inlineStr">
        <is>
          <t>진안 신규점1</t>
        </is>
      </c>
      <c r="C20" s="25" t="inlineStr">
        <is>
          <t>송전탑</t>
        </is>
      </c>
      <c r="D20" s="30" t="n">
        <v>0.5</v>
      </c>
      <c r="E20" s="28" t="n"/>
      <c r="F20" s="31" t="n"/>
      <c r="G20" s="28" t="n"/>
      <c r="H20" s="32" t="n"/>
      <c r="I20" s="27" t="n"/>
      <c r="J20" s="27" t="n"/>
      <c r="K20" s="33" t="n"/>
      <c r="L20" s="33" t="n"/>
      <c r="M20" s="28" t="n"/>
      <c r="N20" s="28" t="n"/>
      <c r="O20" s="28" t="n"/>
      <c r="P20" s="28" t="n"/>
      <c r="Q20" s="31" t="n"/>
    </row>
    <row r="21">
      <c r="A21" s="25" t="inlineStr">
        <is>
          <t>S05</t>
        </is>
      </c>
      <c r="B21" s="25" t="inlineStr">
        <is>
          <t>무풍 신규점1</t>
        </is>
      </c>
      <c r="C21" s="25" t="inlineStr">
        <is>
          <t>직류철도</t>
        </is>
      </c>
      <c r="D21" s="30" t="n">
        <v>5</v>
      </c>
      <c r="E21" s="28" t="n"/>
      <c r="F21" s="31" t="n"/>
      <c r="G21" s="28" t="n"/>
      <c r="H21" s="32" t="n"/>
      <c r="I21" s="27" t="n"/>
      <c r="J21" s="27" t="n"/>
      <c r="K21" s="33" t="n"/>
      <c r="L21" s="33" t="n"/>
      <c r="M21" s="28" t="n"/>
      <c r="N21" s="28" t="n"/>
      <c r="O21" s="28" t="n"/>
      <c r="P21" s="28" t="n"/>
      <c r="Q21" s="31" t="n"/>
    </row>
    <row r="22">
      <c r="A22" s="25" t="inlineStr">
        <is>
          <t>S05</t>
        </is>
      </c>
      <c r="B22" s="25" t="inlineStr">
        <is>
          <t>무풍 신규점1</t>
        </is>
      </c>
      <c r="C22" s="25" t="inlineStr">
        <is>
          <t>교류·일반철도</t>
        </is>
      </c>
      <c r="D22" s="30" t="n">
        <v>2</v>
      </c>
      <c r="E22" s="28" t="n"/>
      <c r="F22" s="31" t="n"/>
      <c r="G22" s="28" t="n"/>
      <c r="H22" s="32" t="n"/>
      <c r="I22" s="27" t="n"/>
      <c r="J22" s="27" t="n"/>
      <c r="K22" s="33" t="n"/>
      <c r="L22" s="33" t="n"/>
      <c r="M22" s="28" t="n"/>
      <c r="N22" s="28" t="n"/>
      <c r="O22" s="28" t="n"/>
      <c r="P22" s="28" t="n"/>
      <c r="Q22" s="31" t="n"/>
    </row>
    <row r="23">
      <c r="A23" s="25" t="inlineStr">
        <is>
          <t>S05</t>
        </is>
      </c>
      <c r="B23" s="25" t="inlineStr">
        <is>
          <t>무풍 신규점1</t>
        </is>
      </c>
      <c r="C23" s="25" t="inlineStr">
        <is>
          <t>고압철탑</t>
        </is>
      </c>
      <c r="D23" s="30" t="n">
        <v>1</v>
      </c>
      <c r="E23" s="28" t="n"/>
      <c r="F23" s="31" t="n"/>
      <c r="G23" s="28" t="n"/>
      <c r="H23" s="32" t="n"/>
      <c r="I23" s="27" t="n"/>
      <c r="J23" s="27" t="n"/>
      <c r="K23" s="33" t="n"/>
      <c r="L23" s="33" t="n"/>
      <c r="M23" s="28" t="n"/>
      <c r="N23" s="28" t="n"/>
      <c r="O23" s="28" t="n"/>
      <c r="P23" s="28" t="n"/>
      <c r="Q23" s="31" t="n"/>
    </row>
    <row r="24">
      <c r="A24" s="25" t="inlineStr">
        <is>
          <t>S05</t>
        </is>
      </c>
      <c r="B24" s="25" t="inlineStr">
        <is>
          <t>무풍 신규점1</t>
        </is>
      </c>
      <c r="C24" s="25" t="inlineStr">
        <is>
          <t>송전탑</t>
        </is>
      </c>
      <c r="D24" s="30" t="n">
        <v>0.5</v>
      </c>
      <c r="E24" s="28" t="n"/>
      <c r="F24" s="31" t="n"/>
      <c r="G24" s="28" t="n"/>
      <c r="H24" s="32" t="n"/>
      <c r="I24" s="27" t="n"/>
      <c r="J24" s="27" t="n"/>
      <c r="K24" s="33" t="n"/>
      <c r="L24" s="33" t="n"/>
      <c r="M24" s="28" t="n"/>
      <c r="N24" s="28" t="n"/>
      <c r="O24" s="28" t="n"/>
      <c r="P24" s="28" t="n"/>
      <c r="Q24" s="31" t="n"/>
    </row>
    <row r="25">
      <c r="A25" s="25" t="inlineStr">
        <is>
          <t>S06</t>
        </is>
      </c>
      <c r="B25" s="25" t="inlineStr">
        <is>
          <t>길담 신규점</t>
        </is>
      </c>
      <c r="C25" s="25" t="inlineStr">
        <is>
          <t>직류철도</t>
        </is>
      </c>
      <c r="D25" s="30" t="n">
        <v>5</v>
      </c>
      <c r="E25" s="28" t="n"/>
      <c r="F25" s="31" t="n"/>
      <c r="G25" s="28" t="n"/>
      <c r="H25" s="32" t="n"/>
      <c r="I25" s="27" t="n"/>
      <c r="J25" s="27" t="n"/>
      <c r="K25" s="33" t="n"/>
      <c r="L25" s="33" t="n"/>
      <c r="M25" s="28" t="n"/>
      <c r="N25" s="28" t="n"/>
      <c r="O25" s="28" t="n"/>
      <c r="P25" s="28" t="n"/>
      <c r="Q25" s="31" t="n"/>
    </row>
    <row r="26">
      <c r="A26" s="25" t="inlineStr">
        <is>
          <t>S06</t>
        </is>
      </c>
      <c r="B26" s="25" t="inlineStr">
        <is>
          <t>길담 신규점</t>
        </is>
      </c>
      <c r="C26" s="25" t="inlineStr">
        <is>
          <t>교류·일반철도</t>
        </is>
      </c>
      <c r="D26" s="30" t="n">
        <v>2</v>
      </c>
      <c r="E26" s="28" t="n"/>
      <c r="F26" s="31" t="n"/>
      <c r="G26" s="28" t="n"/>
      <c r="H26" s="32" t="n"/>
      <c r="I26" s="27" t="n"/>
      <c r="J26" s="27" t="n"/>
      <c r="K26" s="33" t="n"/>
      <c r="L26" s="33" t="n"/>
      <c r="M26" s="28" t="n"/>
      <c r="N26" s="28" t="n"/>
      <c r="O26" s="28" t="n"/>
      <c r="P26" s="28" t="n"/>
      <c r="Q26" s="31" t="n"/>
    </row>
    <row r="27">
      <c r="A27" s="25" t="inlineStr">
        <is>
          <t>S06</t>
        </is>
      </c>
      <c r="B27" s="25" t="inlineStr">
        <is>
          <t>길담 신규점</t>
        </is>
      </c>
      <c r="C27" s="25" t="inlineStr">
        <is>
          <t>고압철탑</t>
        </is>
      </c>
      <c r="D27" s="30" t="n">
        <v>1</v>
      </c>
      <c r="E27" s="28" t="n"/>
      <c r="F27" s="31" t="n"/>
      <c r="G27" s="28" t="n"/>
      <c r="H27" s="32" t="n"/>
      <c r="I27" s="27" t="n"/>
      <c r="J27" s="27" t="n"/>
      <c r="K27" s="33" t="n"/>
      <c r="L27" s="33" t="n"/>
      <c r="M27" s="28" t="n"/>
      <c r="N27" s="28" t="n"/>
      <c r="O27" s="28" t="n"/>
      <c r="P27" s="28" t="n"/>
      <c r="Q27" s="31" t="n"/>
    </row>
    <row r="28">
      <c r="A28" s="25" t="inlineStr">
        <is>
          <t>S06</t>
        </is>
      </c>
      <c r="B28" s="25" t="inlineStr">
        <is>
          <t>길담 신규점</t>
        </is>
      </c>
      <c r="C28" s="25" t="inlineStr">
        <is>
          <t>송전탑</t>
        </is>
      </c>
      <c r="D28" s="30" t="n">
        <v>0.5</v>
      </c>
      <c r="E28" s="28" t="n"/>
      <c r="F28" s="31" t="n"/>
      <c r="G28" s="28" t="n"/>
      <c r="H28" s="32" t="n"/>
      <c r="I28" s="27" t="n"/>
      <c r="J28" s="27" t="n"/>
      <c r="K28" s="33" t="n"/>
      <c r="L28" s="33" t="n"/>
      <c r="M28" s="28" t="n"/>
      <c r="N28" s="28" t="n"/>
      <c r="O28" s="28" t="n"/>
      <c r="P28" s="28" t="n"/>
      <c r="Q28" s="31" t="n"/>
    </row>
    <row r="29">
      <c r="A29" s="25" t="inlineStr">
        <is>
          <t>S07</t>
        </is>
      </c>
      <c r="B29" s="25" t="inlineStr">
        <is>
          <t>남해 신규점1</t>
        </is>
      </c>
      <c r="C29" s="25" t="inlineStr">
        <is>
          <t>직류철도</t>
        </is>
      </c>
      <c r="D29" s="30" t="n">
        <v>5</v>
      </c>
      <c r="E29" s="28" t="n"/>
      <c r="F29" s="31" t="n"/>
      <c r="G29" s="28" t="n"/>
      <c r="H29" s="32" t="n"/>
      <c r="I29" s="27" t="n"/>
      <c r="J29" s="27" t="n"/>
      <c r="K29" s="33" t="n"/>
      <c r="L29" s="33" t="n"/>
      <c r="M29" s="28" t="n"/>
      <c r="N29" s="28" t="n"/>
      <c r="O29" s="28" t="n"/>
      <c r="P29" s="28" t="n"/>
      <c r="Q29" s="31" t="n"/>
    </row>
    <row r="30">
      <c r="A30" s="25" t="inlineStr">
        <is>
          <t>S07</t>
        </is>
      </c>
      <c r="B30" s="25" t="inlineStr">
        <is>
          <t>남해 신규점1</t>
        </is>
      </c>
      <c r="C30" s="25" t="inlineStr">
        <is>
          <t>교류·일반철도</t>
        </is>
      </c>
      <c r="D30" s="30" t="n">
        <v>2</v>
      </c>
      <c r="E30" s="28" t="n"/>
      <c r="F30" s="31" t="n"/>
      <c r="G30" s="28" t="n"/>
      <c r="H30" s="32" t="n"/>
      <c r="I30" s="27" t="n"/>
      <c r="J30" s="27" t="n"/>
      <c r="K30" s="33" t="n"/>
      <c r="L30" s="33" t="n"/>
      <c r="M30" s="28" t="n"/>
      <c r="N30" s="28" t="n"/>
      <c r="O30" s="28" t="n"/>
      <c r="P30" s="28" t="n"/>
      <c r="Q30" s="31" t="n"/>
    </row>
    <row r="31">
      <c r="A31" s="25" t="inlineStr">
        <is>
          <t>S07</t>
        </is>
      </c>
      <c r="B31" s="25" t="inlineStr">
        <is>
          <t>남해 신규점1</t>
        </is>
      </c>
      <c r="C31" s="25" t="inlineStr">
        <is>
          <t>고압철탑</t>
        </is>
      </c>
      <c r="D31" s="30" t="n">
        <v>1</v>
      </c>
      <c r="E31" s="28" t="n"/>
      <c r="F31" s="31" t="n"/>
      <c r="G31" s="28" t="n"/>
      <c r="H31" s="32" t="n"/>
      <c r="I31" s="27" t="n"/>
      <c r="J31" s="27" t="n"/>
      <c r="K31" s="33" t="n"/>
      <c r="L31" s="33" t="n"/>
      <c r="M31" s="28" t="n"/>
      <c r="N31" s="28" t="n"/>
      <c r="O31" s="28" t="n"/>
      <c r="P31" s="28" t="n"/>
      <c r="Q31" s="31" t="n"/>
    </row>
    <row r="32">
      <c r="A32" s="25" t="inlineStr">
        <is>
          <t>S07</t>
        </is>
      </c>
      <c r="B32" s="25" t="inlineStr">
        <is>
          <t>남해 신규점1</t>
        </is>
      </c>
      <c r="C32" s="25" t="inlineStr">
        <is>
          <t>송전탑</t>
        </is>
      </c>
      <c r="D32" s="30" t="n">
        <v>0.5</v>
      </c>
      <c r="E32" s="28" t="n"/>
      <c r="F32" s="31" t="n"/>
      <c r="G32" s="28" t="n"/>
      <c r="H32" s="32" t="n"/>
      <c r="I32" s="27" t="n"/>
      <c r="J32" s="27" t="n"/>
      <c r="K32" s="33" t="n"/>
      <c r="L32" s="33" t="n"/>
      <c r="M32" s="28" t="n"/>
      <c r="N32" s="28" t="n"/>
      <c r="O32" s="28" t="n"/>
      <c r="P32" s="28" t="n"/>
      <c r="Q32" s="31" t="n"/>
    </row>
    <row r="33">
      <c r="A33" s="25" t="inlineStr">
        <is>
          <t>S08</t>
        </is>
      </c>
      <c r="B33" s="25" t="inlineStr">
        <is>
          <t>청일 신규점2</t>
        </is>
      </c>
      <c r="C33" s="25" t="inlineStr">
        <is>
          <t>직류철도</t>
        </is>
      </c>
      <c r="D33" s="30" t="n">
        <v>5</v>
      </c>
      <c r="E33" s="28" t="n"/>
      <c r="F33" s="31" t="n"/>
      <c r="G33" s="28" t="n"/>
      <c r="H33" s="32" t="n"/>
      <c r="I33" s="27" t="n"/>
      <c r="J33" s="27" t="n"/>
      <c r="K33" s="33" t="n"/>
      <c r="L33" s="33" t="n"/>
      <c r="M33" s="28" t="n"/>
      <c r="N33" s="28" t="n"/>
      <c r="O33" s="28" t="n"/>
      <c r="P33" s="28" t="n"/>
      <c r="Q33" s="31" t="n"/>
    </row>
    <row r="34">
      <c r="A34" s="25" t="inlineStr">
        <is>
          <t>S08</t>
        </is>
      </c>
      <c r="B34" s="25" t="inlineStr">
        <is>
          <t>청일 신규점2</t>
        </is>
      </c>
      <c r="C34" s="25" t="inlineStr">
        <is>
          <t>교류·일반철도</t>
        </is>
      </c>
      <c r="D34" s="30" t="n">
        <v>2</v>
      </c>
      <c r="E34" s="28" t="n"/>
      <c r="F34" s="31" t="n"/>
      <c r="G34" s="28" t="n"/>
      <c r="H34" s="32" t="n"/>
      <c r="I34" s="27" t="n"/>
      <c r="J34" s="27" t="n"/>
      <c r="K34" s="33" t="n"/>
      <c r="L34" s="33" t="n"/>
      <c r="M34" s="28" t="n"/>
      <c r="N34" s="28" t="n"/>
      <c r="O34" s="28" t="n"/>
      <c r="P34" s="28" t="n"/>
      <c r="Q34" s="31" t="n"/>
    </row>
    <row r="35">
      <c r="A35" s="25" t="inlineStr">
        <is>
          <t>S08</t>
        </is>
      </c>
      <c r="B35" s="25" t="inlineStr">
        <is>
          <t>청일 신규점2</t>
        </is>
      </c>
      <c r="C35" s="25" t="inlineStr">
        <is>
          <t>고압철탑</t>
        </is>
      </c>
      <c r="D35" s="30" t="n">
        <v>1</v>
      </c>
      <c r="E35" s="28" t="n"/>
      <c r="F35" s="31" t="n"/>
      <c r="G35" s="28" t="n"/>
      <c r="H35" s="32" t="n"/>
      <c r="I35" s="27" t="n"/>
      <c r="J35" s="27" t="n"/>
      <c r="K35" s="33" t="n"/>
      <c r="L35" s="33" t="n"/>
      <c r="M35" s="28" t="n"/>
      <c r="N35" s="28" t="n"/>
      <c r="O35" s="28" t="n"/>
      <c r="P35" s="28" t="n"/>
      <c r="Q35" s="31" t="n"/>
    </row>
    <row r="36">
      <c r="A36" s="25" t="inlineStr">
        <is>
          <t>S08</t>
        </is>
      </c>
      <c r="B36" s="25" t="inlineStr">
        <is>
          <t>청일 신규점2</t>
        </is>
      </c>
      <c r="C36" s="25" t="inlineStr">
        <is>
          <t>송전탑</t>
        </is>
      </c>
      <c r="D36" s="30" t="n">
        <v>0.5</v>
      </c>
      <c r="E36" s="28" t="n"/>
      <c r="F36" s="31" t="n"/>
      <c r="G36" s="28" t="n"/>
      <c r="H36" s="32" t="n"/>
      <c r="I36" s="27" t="n"/>
      <c r="J36" s="27" t="n"/>
      <c r="K36" s="33" t="n"/>
      <c r="L36" s="33" t="n"/>
      <c r="M36" s="28" t="n"/>
      <c r="N36" s="28" t="n"/>
      <c r="O36" s="28" t="n"/>
      <c r="P36" s="28" t="n"/>
      <c r="Q36" s="31" t="n"/>
    </row>
    <row r="37">
      <c r="A37" s="25" t="inlineStr">
        <is>
          <t>S09</t>
        </is>
      </c>
      <c r="B37" s="25" t="inlineStr">
        <is>
          <t>어론 신규점</t>
        </is>
      </c>
      <c r="C37" s="25" t="inlineStr">
        <is>
          <t>직류철도</t>
        </is>
      </c>
      <c r="D37" s="30" t="n">
        <v>5</v>
      </c>
      <c r="E37" s="28" t="n"/>
      <c r="F37" s="31" t="n"/>
      <c r="G37" s="28" t="n"/>
      <c r="H37" s="32" t="n"/>
      <c r="I37" s="27" t="n"/>
      <c r="J37" s="27" t="n"/>
      <c r="K37" s="33" t="n"/>
      <c r="L37" s="33" t="n"/>
      <c r="M37" s="28" t="n"/>
      <c r="N37" s="28" t="n"/>
      <c r="O37" s="28" t="n"/>
      <c r="P37" s="28" t="n"/>
      <c r="Q37" s="31" t="n"/>
    </row>
    <row r="38">
      <c r="A38" s="25" t="inlineStr">
        <is>
          <t>S09</t>
        </is>
      </c>
      <c r="B38" s="25" t="inlineStr">
        <is>
          <t>어론 신규점</t>
        </is>
      </c>
      <c r="C38" s="25" t="inlineStr">
        <is>
          <t>교류·일반철도</t>
        </is>
      </c>
      <c r="D38" s="30" t="n">
        <v>2</v>
      </c>
      <c r="E38" s="28" t="n"/>
      <c r="F38" s="31" t="n"/>
      <c r="G38" s="28" t="n"/>
      <c r="H38" s="32" t="n"/>
      <c r="I38" s="27" t="n"/>
      <c r="J38" s="27" t="n"/>
      <c r="K38" s="33" t="n"/>
      <c r="L38" s="33" t="n"/>
      <c r="M38" s="28" t="n"/>
      <c r="N38" s="28" t="n"/>
      <c r="O38" s="28" t="n"/>
      <c r="P38" s="28" t="n"/>
      <c r="Q38" s="31" t="n"/>
    </row>
    <row r="39">
      <c r="A39" s="25" t="inlineStr">
        <is>
          <t>S09</t>
        </is>
      </c>
      <c r="B39" s="25" t="inlineStr">
        <is>
          <t>어론 신규점</t>
        </is>
      </c>
      <c r="C39" s="25" t="inlineStr">
        <is>
          <t>고압철탑</t>
        </is>
      </c>
      <c r="D39" s="30" t="n">
        <v>1</v>
      </c>
      <c r="E39" s="28" t="n"/>
      <c r="F39" s="31" t="n"/>
      <c r="G39" s="28" t="n"/>
      <c r="H39" s="32" t="n"/>
      <c r="I39" s="27" t="n"/>
      <c r="J39" s="27" t="n"/>
      <c r="K39" s="33" t="n"/>
      <c r="L39" s="33" t="n"/>
      <c r="M39" s="28" t="n"/>
      <c r="N39" s="28" t="n"/>
      <c r="O39" s="28" t="n"/>
      <c r="P39" s="28" t="n"/>
      <c r="Q39" s="31" t="n"/>
    </row>
    <row r="40">
      <c r="A40" s="25" t="inlineStr">
        <is>
          <t>S09</t>
        </is>
      </c>
      <c r="B40" s="25" t="inlineStr">
        <is>
          <t>어론 신규점</t>
        </is>
      </c>
      <c r="C40" s="25" t="inlineStr">
        <is>
          <t>송전탑</t>
        </is>
      </c>
      <c r="D40" s="30" t="n">
        <v>0.5</v>
      </c>
      <c r="E40" s="28" t="n"/>
      <c r="F40" s="31" t="n"/>
      <c r="G40" s="28" t="n"/>
      <c r="H40" s="32" t="n"/>
      <c r="I40" s="27" t="n"/>
      <c r="J40" s="27" t="n"/>
      <c r="K40" s="33" t="n"/>
      <c r="L40" s="33" t="n"/>
      <c r="M40" s="28" t="n"/>
      <c r="N40" s="28" t="n"/>
      <c r="O40" s="28" t="n"/>
      <c r="P40" s="28" t="n"/>
      <c r="Q40" s="31" t="n"/>
    </row>
    <row r="41">
      <c r="A41" s="25" t="inlineStr">
        <is>
          <t>S10</t>
        </is>
      </c>
      <c r="B41" s="25" t="inlineStr">
        <is>
          <t>예안 신규점1</t>
        </is>
      </c>
      <c r="C41" s="25" t="inlineStr">
        <is>
          <t>직류철도</t>
        </is>
      </c>
      <c r="D41" s="30" t="n">
        <v>5</v>
      </c>
      <c r="E41" s="28" t="n"/>
      <c r="F41" s="31" t="n"/>
      <c r="G41" s="28" t="n"/>
      <c r="H41" s="32" t="n"/>
      <c r="I41" s="27" t="n"/>
      <c r="J41" s="27" t="n"/>
      <c r="K41" s="33" t="n"/>
      <c r="L41" s="33" t="n"/>
      <c r="M41" s="28" t="n"/>
      <c r="N41" s="28" t="n"/>
      <c r="O41" s="28" t="n"/>
      <c r="P41" s="28" t="n"/>
      <c r="Q41" s="31" t="n"/>
    </row>
    <row r="42">
      <c r="A42" s="25" t="inlineStr">
        <is>
          <t>S10</t>
        </is>
      </c>
      <c r="B42" s="25" t="inlineStr">
        <is>
          <t>예안 신규점1</t>
        </is>
      </c>
      <c r="C42" s="25" t="inlineStr">
        <is>
          <t>교류·일반철도</t>
        </is>
      </c>
      <c r="D42" s="30" t="n">
        <v>2</v>
      </c>
      <c r="E42" s="28" t="n"/>
      <c r="F42" s="31" t="n"/>
      <c r="G42" s="28" t="n"/>
      <c r="H42" s="32" t="n"/>
      <c r="I42" s="27" t="n"/>
      <c r="J42" s="27" t="n"/>
      <c r="K42" s="33" t="n"/>
      <c r="L42" s="33" t="n"/>
      <c r="M42" s="28" t="n"/>
      <c r="N42" s="28" t="n"/>
      <c r="O42" s="28" t="n"/>
      <c r="P42" s="28" t="n"/>
      <c r="Q42" s="31" t="n"/>
    </row>
    <row r="43">
      <c r="A43" s="25" t="inlineStr">
        <is>
          <t>S10</t>
        </is>
      </c>
      <c r="B43" s="25" t="inlineStr">
        <is>
          <t>예안 신규점1</t>
        </is>
      </c>
      <c r="C43" s="25" t="inlineStr">
        <is>
          <t>고압철탑</t>
        </is>
      </c>
      <c r="D43" s="30" t="n">
        <v>1</v>
      </c>
      <c r="E43" s="28" t="n"/>
      <c r="F43" s="31" t="n"/>
      <c r="G43" s="28" t="n"/>
      <c r="H43" s="32" t="n"/>
      <c r="I43" s="27" t="n"/>
      <c r="J43" s="27" t="n"/>
      <c r="K43" s="33" t="n"/>
      <c r="L43" s="33" t="n"/>
      <c r="M43" s="28" t="n"/>
      <c r="N43" s="28" t="n"/>
      <c r="O43" s="28" t="n"/>
      <c r="P43" s="28" t="n"/>
      <c r="Q43" s="31" t="n"/>
    </row>
    <row r="44">
      <c r="A44" s="25" t="inlineStr">
        <is>
          <t>S10</t>
        </is>
      </c>
      <c r="B44" s="25" t="inlineStr">
        <is>
          <t>예안 신규점1</t>
        </is>
      </c>
      <c r="C44" s="25" t="inlineStr">
        <is>
          <t>송전탑</t>
        </is>
      </c>
      <c r="D44" s="30" t="n">
        <v>0.5</v>
      </c>
      <c r="E44" s="28" t="n"/>
      <c r="F44" s="31" t="n"/>
      <c r="G44" s="28" t="n"/>
      <c r="H44" s="32" t="n"/>
      <c r="I44" s="27" t="n"/>
      <c r="J44" s="27" t="n"/>
      <c r="K44" s="33" t="n"/>
      <c r="L44" s="33" t="n"/>
      <c r="M44" s="28" t="n"/>
      <c r="N44" s="28" t="n"/>
      <c r="O44" s="28" t="n"/>
      <c r="P44" s="28" t="n"/>
      <c r="Q44" s="31" t="n"/>
    </row>
    <row r="45">
      <c r="A45" s="25" t="inlineStr">
        <is>
          <t>S11</t>
        </is>
      </c>
      <c r="B45" s="25" t="inlineStr">
        <is>
          <t>소천 신규점4</t>
        </is>
      </c>
      <c r="C45" s="25" t="inlineStr">
        <is>
          <t>직류철도</t>
        </is>
      </c>
      <c r="D45" s="30" t="n">
        <v>5</v>
      </c>
      <c r="E45" s="28" t="n"/>
      <c r="F45" s="31" t="n"/>
      <c r="G45" s="28" t="n"/>
      <c r="H45" s="32" t="n"/>
      <c r="I45" s="27" t="n"/>
      <c r="J45" s="27" t="n"/>
      <c r="K45" s="33" t="n"/>
      <c r="L45" s="33" t="n"/>
      <c r="M45" s="28" t="n"/>
      <c r="N45" s="28" t="n"/>
      <c r="O45" s="28" t="n"/>
      <c r="P45" s="28" t="n"/>
      <c r="Q45" s="31" t="n"/>
    </row>
    <row r="46">
      <c r="A46" s="25" t="inlineStr">
        <is>
          <t>S11</t>
        </is>
      </c>
      <c r="B46" s="25" t="inlineStr">
        <is>
          <t>소천 신규점4</t>
        </is>
      </c>
      <c r="C46" s="25" t="inlineStr">
        <is>
          <t>교류·일반철도</t>
        </is>
      </c>
      <c r="D46" s="30" t="n">
        <v>2</v>
      </c>
      <c r="E46" s="28" t="n"/>
      <c r="F46" s="31" t="n"/>
      <c r="G46" s="28" t="n"/>
      <c r="H46" s="32" t="n"/>
      <c r="I46" s="27" t="n"/>
      <c r="J46" s="27" t="n"/>
      <c r="K46" s="33" t="n"/>
      <c r="L46" s="33" t="n"/>
      <c r="M46" s="28" t="n"/>
      <c r="N46" s="28" t="n"/>
      <c r="O46" s="28" t="n"/>
      <c r="P46" s="28" t="n"/>
      <c r="Q46" s="31" t="n"/>
    </row>
    <row r="47">
      <c r="A47" s="25" t="inlineStr">
        <is>
          <t>S11</t>
        </is>
      </c>
      <c r="B47" s="25" t="inlineStr">
        <is>
          <t>소천 신규점4</t>
        </is>
      </c>
      <c r="C47" s="25" t="inlineStr">
        <is>
          <t>고압철탑</t>
        </is>
      </c>
      <c r="D47" s="30" t="n">
        <v>1</v>
      </c>
      <c r="E47" s="28" t="n"/>
      <c r="F47" s="31" t="n"/>
      <c r="G47" s="28" t="n"/>
      <c r="H47" s="32" t="n"/>
      <c r="I47" s="27" t="n"/>
      <c r="J47" s="27" t="n"/>
      <c r="K47" s="33" t="n"/>
      <c r="L47" s="33" t="n"/>
      <c r="M47" s="28" t="n"/>
      <c r="N47" s="28" t="n"/>
      <c r="O47" s="28" t="n"/>
      <c r="P47" s="28" t="n"/>
      <c r="Q47" s="31" t="n"/>
    </row>
    <row r="48">
      <c r="A48" s="25" t="inlineStr">
        <is>
          <t>S11</t>
        </is>
      </c>
      <c r="B48" s="25" t="inlineStr">
        <is>
          <t>소천 신규점4</t>
        </is>
      </c>
      <c r="C48" s="25" t="inlineStr">
        <is>
          <t>송전탑</t>
        </is>
      </c>
      <c r="D48" s="30" t="n">
        <v>0.5</v>
      </c>
      <c r="E48" s="28" t="n"/>
      <c r="F48" s="31" t="n"/>
      <c r="G48" s="28" t="n"/>
      <c r="H48" s="32" t="n"/>
      <c r="I48" s="27" t="n"/>
      <c r="J48" s="27" t="n"/>
      <c r="K48" s="33" t="n"/>
      <c r="L48" s="33" t="n"/>
      <c r="M48" s="28" t="n"/>
      <c r="N48" s="28" t="n"/>
      <c r="O48" s="28" t="n"/>
      <c r="P48" s="28" t="n"/>
      <c r="Q48" s="31" t="n"/>
    </row>
    <row r="49">
      <c r="A49" s="25" t="inlineStr">
        <is>
          <t>S12</t>
        </is>
      </c>
      <c r="B49" s="25" t="inlineStr">
        <is>
          <t>순창 신규점</t>
        </is>
      </c>
      <c r="C49" s="25" t="inlineStr">
        <is>
          <t>직류철도</t>
        </is>
      </c>
      <c r="D49" s="30" t="n">
        <v>5</v>
      </c>
      <c r="E49" s="28" t="n"/>
      <c r="F49" s="31" t="n"/>
      <c r="G49" s="28" t="n"/>
      <c r="H49" s="32" t="n"/>
      <c r="I49" s="27" t="n"/>
      <c r="J49" s="27" t="n"/>
      <c r="K49" s="33" t="n"/>
      <c r="L49" s="33" t="n"/>
      <c r="M49" s="28" t="n"/>
      <c r="N49" s="28" t="n"/>
      <c r="O49" s="28" t="n"/>
      <c r="P49" s="28" t="n"/>
      <c r="Q49" s="31" t="n"/>
    </row>
    <row r="50">
      <c r="A50" s="25" t="inlineStr">
        <is>
          <t>S12</t>
        </is>
      </c>
      <c r="B50" s="25" t="inlineStr">
        <is>
          <t>순창 신규점</t>
        </is>
      </c>
      <c r="C50" s="25" t="inlineStr">
        <is>
          <t>교류·일반철도</t>
        </is>
      </c>
      <c r="D50" s="30" t="n">
        <v>2</v>
      </c>
      <c r="E50" s="28" t="n"/>
      <c r="F50" s="31" t="n"/>
      <c r="G50" s="28" t="n"/>
      <c r="H50" s="32" t="n"/>
      <c r="I50" s="27" t="n"/>
      <c r="J50" s="27" t="n"/>
      <c r="K50" s="33" t="n"/>
      <c r="L50" s="33" t="n"/>
      <c r="M50" s="28" t="n"/>
      <c r="N50" s="28" t="n"/>
      <c r="O50" s="28" t="n"/>
      <c r="P50" s="28" t="n"/>
      <c r="Q50" s="31" t="n"/>
    </row>
    <row r="51">
      <c r="A51" s="25" t="inlineStr">
        <is>
          <t>S12</t>
        </is>
      </c>
      <c r="B51" s="25" t="inlineStr">
        <is>
          <t>순창 신규점</t>
        </is>
      </c>
      <c r="C51" s="25" t="inlineStr">
        <is>
          <t>고압철탑</t>
        </is>
      </c>
      <c r="D51" s="30" t="n">
        <v>1</v>
      </c>
      <c r="E51" s="28" t="n"/>
      <c r="F51" s="31" t="n"/>
      <c r="G51" s="28" t="n"/>
      <c r="H51" s="32" t="n"/>
      <c r="I51" s="27" t="n"/>
      <c r="J51" s="27" t="n"/>
      <c r="K51" s="33" t="n"/>
      <c r="L51" s="33" t="n"/>
      <c r="M51" s="28" t="n"/>
      <c r="N51" s="28" t="n"/>
      <c r="O51" s="28" t="n"/>
      <c r="P51" s="28" t="n"/>
      <c r="Q51" s="31" t="n"/>
    </row>
    <row r="52">
      <c r="A52" s="25" t="inlineStr">
        <is>
          <t>S12</t>
        </is>
      </c>
      <c r="B52" s="25" t="inlineStr">
        <is>
          <t>순창 신규점</t>
        </is>
      </c>
      <c r="C52" s="25" t="inlineStr">
        <is>
          <t>송전탑</t>
        </is>
      </c>
      <c r="D52" s="30" t="n">
        <v>0.5</v>
      </c>
      <c r="E52" s="28" t="n"/>
      <c r="F52" s="31" t="n"/>
      <c r="G52" s="28" t="n"/>
      <c r="H52" s="32" t="n"/>
      <c r="I52" s="27" t="n"/>
      <c r="J52" s="27" t="n"/>
      <c r="K52" s="33" t="n"/>
      <c r="L52" s="33" t="n"/>
      <c r="M52" s="28" t="n"/>
      <c r="N52" s="28" t="n"/>
      <c r="O52" s="28" t="n"/>
      <c r="P52" s="28" t="n"/>
      <c r="Q52" s="31" t="n"/>
    </row>
    <row r="53">
      <c r="A53" s="25" t="inlineStr">
        <is>
          <t>S13</t>
        </is>
      </c>
      <c r="B53" s="25" t="inlineStr">
        <is>
          <t>순천 신규점</t>
        </is>
      </c>
      <c r="C53" s="25" t="inlineStr">
        <is>
          <t>직류철도</t>
        </is>
      </c>
      <c r="D53" s="30" t="n">
        <v>5</v>
      </c>
      <c r="E53" s="28" t="n"/>
      <c r="F53" s="31" t="n"/>
      <c r="G53" s="28" t="n"/>
      <c r="H53" s="32" t="n"/>
      <c r="I53" s="27" t="n"/>
      <c r="J53" s="27" t="n"/>
      <c r="K53" s="33" t="n"/>
      <c r="L53" s="33" t="n"/>
      <c r="M53" s="28" t="n"/>
      <c r="N53" s="28" t="n"/>
      <c r="O53" s="28" t="n"/>
      <c r="P53" s="28" t="n"/>
      <c r="Q53" s="31" t="n"/>
    </row>
    <row r="54">
      <c r="A54" s="25" t="inlineStr">
        <is>
          <t>S13</t>
        </is>
      </c>
      <c r="B54" s="25" t="inlineStr">
        <is>
          <t>순천 신규점</t>
        </is>
      </c>
      <c r="C54" s="25" t="inlineStr">
        <is>
          <t>교류·일반철도</t>
        </is>
      </c>
      <c r="D54" s="30" t="n">
        <v>2</v>
      </c>
      <c r="E54" s="28" t="n"/>
      <c r="F54" s="31" t="n"/>
      <c r="G54" s="28" t="n"/>
      <c r="H54" s="32" t="n"/>
      <c r="I54" s="27" t="n"/>
      <c r="J54" s="27" t="n"/>
      <c r="K54" s="33" t="n"/>
      <c r="L54" s="33" t="n"/>
      <c r="M54" s="28" t="n"/>
      <c r="N54" s="28" t="n"/>
      <c r="O54" s="28" t="n"/>
      <c r="P54" s="28" t="n"/>
      <c r="Q54" s="31" t="n"/>
    </row>
    <row r="55">
      <c r="A55" s="25" t="inlineStr">
        <is>
          <t>S13</t>
        </is>
      </c>
      <c r="B55" s="25" t="inlineStr">
        <is>
          <t>순천 신규점</t>
        </is>
      </c>
      <c r="C55" s="25" t="inlineStr">
        <is>
          <t>고압철탑</t>
        </is>
      </c>
      <c r="D55" s="30" t="n">
        <v>1</v>
      </c>
      <c r="E55" s="28" t="n"/>
      <c r="F55" s="31" t="n"/>
      <c r="G55" s="28" t="n"/>
      <c r="H55" s="32" t="n"/>
      <c r="I55" s="27" t="n"/>
      <c r="J55" s="27" t="n"/>
      <c r="K55" s="33" t="n"/>
      <c r="L55" s="33" t="n"/>
      <c r="M55" s="28" t="n"/>
      <c r="N55" s="28" t="n"/>
      <c r="O55" s="28" t="n"/>
      <c r="P55" s="28" t="n"/>
      <c r="Q55" s="31" t="n"/>
    </row>
    <row r="56">
      <c r="A56" s="25" t="inlineStr">
        <is>
          <t>S13</t>
        </is>
      </c>
      <c r="B56" s="25" t="inlineStr">
        <is>
          <t>순천 신규점</t>
        </is>
      </c>
      <c r="C56" s="25" t="inlineStr">
        <is>
          <t>송전탑</t>
        </is>
      </c>
      <c r="D56" s="30" t="n">
        <v>0.5</v>
      </c>
      <c r="E56" s="28" t="n"/>
      <c r="F56" s="31" t="n"/>
      <c r="G56" s="28" t="n"/>
      <c r="H56" s="32" t="n"/>
      <c r="I56" s="27" t="n"/>
      <c r="J56" s="27" t="n"/>
      <c r="K56" s="33" t="n"/>
      <c r="L56" s="33" t="n"/>
      <c r="M56" s="28" t="n"/>
      <c r="N56" s="28" t="n"/>
      <c r="O56" s="28" t="n"/>
      <c r="P56" s="28" t="n"/>
      <c r="Q56" s="31" t="n"/>
    </row>
    <row r="57">
      <c r="A57" s="25" t="inlineStr">
        <is>
          <t>S14</t>
        </is>
      </c>
      <c r="B57" s="25" t="inlineStr">
        <is>
          <t>청송 신규점1</t>
        </is>
      </c>
      <c r="C57" s="25" t="inlineStr">
        <is>
          <t>직류철도</t>
        </is>
      </c>
      <c r="D57" s="30" t="n">
        <v>5</v>
      </c>
      <c r="E57" s="28" t="n"/>
      <c r="F57" s="31" t="n"/>
      <c r="G57" s="28" t="n"/>
      <c r="H57" s="32" t="n"/>
      <c r="I57" s="27" t="n"/>
      <c r="J57" s="27" t="n"/>
      <c r="K57" s="33" t="n"/>
      <c r="L57" s="33" t="n"/>
      <c r="M57" s="28" t="n"/>
      <c r="N57" s="28" t="n"/>
      <c r="O57" s="28" t="n"/>
      <c r="P57" s="28" t="n"/>
      <c r="Q57" s="31" t="n"/>
    </row>
    <row r="58">
      <c r="A58" s="25" t="inlineStr">
        <is>
          <t>S14</t>
        </is>
      </c>
      <c r="B58" s="25" t="inlineStr">
        <is>
          <t>청송 신규점1</t>
        </is>
      </c>
      <c r="C58" s="25" t="inlineStr">
        <is>
          <t>교류·일반철도</t>
        </is>
      </c>
      <c r="D58" s="30" t="n">
        <v>2</v>
      </c>
      <c r="E58" s="28" t="n"/>
      <c r="F58" s="31" t="n"/>
      <c r="G58" s="28" t="n"/>
      <c r="H58" s="32" t="n"/>
      <c r="I58" s="27" t="n"/>
      <c r="J58" s="27" t="n"/>
      <c r="K58" s="33" t="n"/>
      <c r="L58" s="33" t="n"/>
      <c r="M58" s="28" t="n"/>
      <c r="N58" s="28" t="n"/>
      <c r="O58" s="28" t="n"/>
      <c r="P58" s="28" t="n"/>
      <c r="Q58" s="31" t="n"/>
    </row>
    <row r="59">
      <c r="A59" s="25" t="inlineStr">
        <is>
          <t>S14</t>
        </is>
      </c>
      <c r="B59" s="25" t="inlineStr">
        <is>
          <t>청송 신규점1</t>
        </is>
      </c>
      <c r="C59" s="25" t="inlineStr">
        <is>
          <t>고압철탑</t>
        </is>
      </c>
      <c r="D59" s="30" t="n">
        <v>1</v>
      </c>
      <c r="E59" s="28" t="n"/>
      <c r="F59" s="31" t="n"/>
      <c r="G59" s="28" t="n"/>
      <c r="H59" s="32" t="n"/>
      <c r="I59" s="27" t="n"/>
      <c r="J59" s="27" t="n"/>
      <c r="K59" s="33" t="n"/>
      <c r="L59" s="33" t="n"/>
      <c r="M59" s="28" t="n"/>
      <c r="N59" s="28" t="n"/>
      <c r="O59" s="28" t="n"/>
      <c r="P59" s="28" t="n"/>
      <c r="Q59" s="31" t="n"/>
    </row>
    <row r="60">
      <c r="A60" s="25" t="inlineStr">
        <is>
          <t>S14</t>
        </is>
      </c>
      <c r="B60" s="25" t="inlineStr">
        <is>
          <t>청송 신규점1</t>
        </is>
      </c>
      <c r="C60" s="25" t="inlineStr">
        <is>
          <t>송전탑</t>
        </is>
      </c>
      <c r="D60" s="30" t="n">
        <v>0.5</v>
      </c>
      <c r="E60" s="28" t="n"/>
      <c r="F60" s="31" t="n"/>
      <c r="G60" s="28" t="n"/>
      <c r="H60" s="32" t="n"/>
      <c r="I60" s="27" t="n"/>
      <c r="J60" s="27" t="n"/>
      <c r="K60" s="33" t="n"/>
      <c r="L60" s="33" t="n"/>
      <c r="M60" s="28" t="n"/>
      <c r="N60" s="28" t="n"/>
      <c r="O60" s="28" t="n"/>
      <c r="P60" s="28" t="n"/>
      <c r="Q60" s="31" t="n"/>
    </row>
    <row r="61">
      <c r="A61" s="25" t="inlineStr">
        <is>
          <t>S15</t>
        </is>
      </c>
      <c r="B61" s="25" t="inlineStr">
        <is>
          <t>의성 신규점</t>
        </is>
      </c>
      <c r="C61" s="25" t="inlineStr">
        <is>
          <t>직류철도</t>
        </is>
      </c>
      <c r="D61" s="30" t="n">
        <v>5</v>
      </c>
      <c r="E61" s="28" t="n"/>
      <c r="F61" s="31" t="n"/>
      <c r="G61" s="28" t="n"/>
      <c r="H61" s="32" t="n"/>
      <c r="I61" s="27" t="n"/>
      <c r="J61" s="27" t="n"/>
      <c r="K61" s="33" t="n"/>
      <c r="L61" s="33" t="n"/>
      <c r="M61" s="28" t="n"/>
      <c r="N61" s="28" t="n"/>
      <c r="O61" s="28" t="n"/>
      <c r="P61" s="28" t="n"/>
      <c r="Q61" s="31" t="n"/>
    </row>
    <row r="62">
      <c r="A62" s="25" t="inlineStr">
        <is>
          <t>S15</t>
        </is>
      </c>
      <c r="B62" s="25" t="inlineStr">
        <is>
          <t>의성 신규점</t>
        </is>
      </c>
      <c r="C62" s="25" t="inlineStr">
        <is>
          <t>교류·일반철도</t>
        </is>
      </c>
      <c r="D62" s="30" t="n">
        <v>2</v>
      </c>
      <c r="E62" s="28" t="n"/>
      <c r="F62" s="31" t="n"/>
      <c r="G62" s="28" t="n"/>
      <c r="H62" s="32" t="n"/>
      <c r="I62" s="27" t="n"/>
      <c r="J62" s="27" t="n"/>
      <c r="K62" s="33" t="n"/>
      <c r="L62" s="33" t="n"/>
      <c r="M62" s="28" t="n"/>
      <c r="N62" s="28" t="n"/>
      <c r="O62" s="28" t="n"/>
      <c r="P62" s="28" t="n"/>
      <c r="Q62" s="31" t="n"/>
    </row>
    <row r="63">
      <c r="A63" s="25" t="inlineStr">
        <is>
          <t>S15</t>
        </is>
      </c>
      <c r="B63" s="25" t="inlineStr">
        <is>
          <t>의성 신규점</t>
        </is>
      </c>
      <c r="C63" s="25" t="inlineStr">
        <is>
          <t>고압철탑</t>
        </is>
      </c>
      <c r="D63" s="30" t="n">
        <v>1</v>
      </c>
      <c r="E63" s="28" t="n"/>
      <c r="F63" s="31" t="n"/>
      <c r="G63" s="28" t="n"/>
      <c r="H63" s="32" t="n"/>
      <c r="I63" s="27" t="n"/>
      <c r="J63" s="27" t="n"/>
      <c r="K63" s="33" t="n"/>
      <c r="L63" s="33" t="n"/>
      <c r="M63" s="28" t="n"/>
      <c r="N63" s="28" t="n"/>
      <c r="O63" s="28" t="n"/>
      <c r="P63" s="28" t="n"/>
      <c r="Q63" s="31" t="n"/>
    </row>
    <row r="64">
      <c r="A64" s="25" t="inlineStr">
        <is>
          <t>S15</t>
        </is>
      </c>
      <c r="B64" s="25" t="inlineStr">
        <is>
          <t>의성 신규점</t>
        </is>
      </c>
      <c r="C64" s="25" t="inlineStr">
        <is>
          <t>송전탑</t>
        </is>
      </c>
      <c r="D64" s="30" t="n">
        <v>0.5</v>
      </c>
      <c r="E64" s="28" t="n"/>
      <c r="F64" s="31" t="n"/>
      <c r="G64" s="28" t="n"/>
      <c r="H64" s="32" t="n"/>
      <c r="I64" s="27" t="n"/>
      <c r="J64" s="27" t="n"/>
      <c r="K64" s="33" t="n"/>
      <c r="L64" s="33" t="n"/>
      <c r="M64" s="28" t="n"/>
      <c r="N64" s="28" t="n"/>
      <c r="O64" s="28" t="n"/>
      <c r="P64" s="28" t="n"/>
      <c r="Q64" s="31" t="n"/>
    </row>
    <row r="65">
      <c r="A65" s="25" t="inlineStr">
        <is>
          <t>S16</t>
        </is>
      </c>
      <c r="B65" s="25" t="inlineStr">
        <is>
          <t>예천 신규점</t>
        </is>
      </c>
      <c r="C65" s="25" t="inlineStr">
        <is>
          <t>직류철도</t>
        </is>
      </c>
      <c r="D65" s="30" t="n">
        <v>5</v>
      </c>
      <c r="E65" s="28" t="n"/>
      <c r="F65" s="31" t="n"/>
      <c r="G65" s="28" t="n"/>
      <c r="H65" s="32" t="n"/>
      <c r="I65" s="27" t="n"/>
      <c r="J65" s="27" t="n"/>
      <c r="K65" s="33" t="n"/>
      <c r="L65" s="33" t="n"/>
      <c r="M65" s="28" t="n"/>
      <c r="N65" s="28" t="n"/>
      <c r="O65" s="28" t="n"/>
      <c r="P65" s="28" t="n"/>
      <c r="Q65" s="31" t="n"/>
    </row>
    <row r="66">
      <c r="A66" s="25" t="inlineStr">
        <is>
          <t>S16</t>
        </is>
      </c>
      <c r="B66" s="25" t="inlineStr">
        <is>
          <t>예천 신규점</t>
        </is>
      </c>
      <c r="C66" s="25" t="inlineStr">
        <is>
          <t>교류·일반철도</t>
        </is>
      </c>
      <c r="D66" s="30" t="n">
        <v>2</v>
      </c>
      <c r="E66" s="28" t="n"/>
      <c r="F66" s="31" t="n"/>
      <c r="G66" s="28" t="n"/>
      <c r="H66" s="32" t="n"/>
      <c r="I66" s="27" t="n"/>
      <c r="J66" s="27" t="n"/>
      <c r="K66" s="33" t="n"/>
      <c r="L66" s="33" t="n"/>
      <c r="M66" s="28" t="n"/>
      <c r="N66" s="28" t="n"/>
      <c r="O66" s="28" t="n"/>
      <c r="P66" s="28" t="n"/>
      <c r="Q66" s="31" t="n"/>
    </row>
    <row r="67">
      <c r="A67" s="25" t="inlineStr">
        <is>
          <t>S16</t>
        </is>
      </c>
      <c r="B67" s="25" t="inlineStr">
        <is>
          <t>예천 신규점</t>
        </is>
      </c>
      <c r="C67" s="25" t="inlineStr">
        <is>
          <t>고압철탑</t>
        </is>
      </c>
      <c r="D67" s="30" t="n">
        <v>1</v>
      </c>
      <c r="E67" s="28" t="n"/>
      <c r="F67" s="31" t="n"/>
      <c r="G67" s="28" t="n"/>
      <c r="H67" s="32" t="n"/>
      <c r="I67" s="27" t="n"/>
      <c r="J67" s="27" t="n"/>
      <c r="K67" s="33" t="n"/>
      <c r="L67" s="33" t="n"/>
      <c r="M67" s="28" t="n"/>
      <c r="N67" s="28" t="n"/>
      <c r="O67" s="28" t="n"/>
      <c r="P67" s="28" t="n"/>
      <c r="Q67" s="31" t="n"/>
    </row>
    <row r="68">
      <c r="A68" s="25" t="inlineStr">
        <is>
          <t>S16</t>
        </is>
      </c>
      <c r="B68" s="25" t="inlineStr">
        <is>
          <t>예천 신규점</t>
        </is>
      </c>
      <c r="C68" s="25" t="inlineStr">
        <is>
          <t>송전탑</t>
        </is>
      </c>
      <c r="D68" s="30" t="n">
        <v>0.5</v>
      </c>
      <c r="E68" s="28" t="n"/>
      <c r="F68" s="31" t="n"/>
      <c r="G68" s="28" t="n"/>
      <c r="H68" s="32" t="n"/>
      <c r="I68" s="27" t="n"/>
      <c r="J68" s="27" t="n"/>
      <c r="K68" s="33" t="n"/>
      <c r="L68" s="33" t="n"/>
      <c r="M68" s="28" t="n"/>
      <c r="N68" s="28" t="n"/>
      <c r="O68" s="28" t="n"/>
      <c r="P68" s="28" t="n"/>
      <c r="Q68" s="31" t="n"/>
    </row>
    <row r="69">
      <c r="A69" s="25" t="inlineStr">
        <is>
          <t>S17</t>
        </is>
      </c>
      <c r="B69" s="25" t="inlineStr">
        <is>
          <t>영양 신규점4</t>
        </is>
      </c>
      <c r="C69" s="25" t="inlineStr">
        <is>
          <t>직류철도</t>
        </is>
      </c>
      <c r="D69" s="30" t="n">
        <v>5</v>
      </c>
      <c r="E69" s="28" t="n"/>
      <c r="F69" s="31" t="n"/>
      <c r="G69" s="28" t="n"/>
      <c r="H69" s="32" t="n"/>
      <c r="I69" s="27" t="n"/>
      <c r="J69" s="27" t="n"/>
      <c r="K69" s="33" t="n"/>
      <c r="L69" s="33" t="n"/>
      <c r="M69" s="28" t="n"/>
      <c r="N69" s="28" t="n"/>
      <c r="O69" s="28" t="n"/>
      <c r="P69" s="28" t="n"/>
      <c r="Q69" s="31" t="n"/>
    </row>
    <row r="70">
      <c r="A70" s="25" t="inlineStr">
        <is>
          <t>S17</t>
        </is>
      </c>
      <c r="B70" s="25" t="inlineStr">
        <is>
          <t>영양 신규점4</t>
        </is>
      </c>
      <c r="C70" s="25" t="inlineStr">
        <is>
          <t>교류·일반철도</t>
        </is>
      </c>
      <c r="D70" s="30" t="n">
        <v>2</v>
      </c>
      <c r="E70" s="28" t="n"/>
      <c r="F70" s="31" t="n"/>
      <c r="G70" s="28" t="n"/>
      <c r="H70" s="32" t="n"/>
      <c r="I70" s="27" t="n"/>
      <c r="J70" s="27" t="n"/>
      <c r="K70" s="33" t="n"/>
      <c r="L70" s="33" t="n"/>
      <c r="M70" s="28" t="n"/>
      <c r="N70" s="28" t="n"/>
      <c r="O70" s="28" t="n"/>
      <c r="P70" s="28" t="n"/>
      <c r="Q70" s="31" t="n"/>
    </row>
    <row r="71">
      <c r="A71" s="25" t="inlineStr">
        <is>
          <t>S17</t>
        </is>
      </c>
      <c r="B71" s="25" t="inlineStr">
        <is>
          <t>영양 신규점4</t>
        </is>
      </c>
      <c r="C71" s="25" t="inlineStr">
        <is>
          <t>고압철탑</t>
        </is>
      </c>
      <c r="D71" s="30" t="n">
        <v>1</v>
      </c>
      <c r="E71" s="28" t="n"/>
      <c r="F71" s="31" t="n"/>
      <c r="G71" s="28" t="n"/>
      <c r="H71" s="32" t="n"/>
      <c r="I71" s="27" t="n"/>
      <c r="J71" s="27" t="n"/>
      <c r="K71" s="33" t="n"/>
      <c r="L71" s="33" t="n"/>
      <c r="M71" s="28" t="n"/>
      <c r="N71" s="28" t="n"/>
      <c r="O71" s="28" t="n"/>
      <c r="P71" s="28" t="n"/>
      <c r="Q71" s="31" t="n"/>
    </row>
    <row r="72">
      <c r="A72" s="25" t="inlineStr">
        <is>
          <t>S17</t>
        </is>
      </c>
      <c r="B72" s="25" t="inlineStr">
        <is>
          <t>영양 신규점4</t>
        </is>
      </c>
      <c r="C72" s="25" t="inlineStr">
        <is>
          <t>송전탑</t>
        </is>
      </c>
      <c r="D72" s="30" t="n">
        <v>0.5</v>
      </c>
      <c r="E72" s="28" t="n"/>
      <c r="F72" s="31" t="n"/>
      <c r="G72" s="28" t="n"/>
      <c r="H72" s="32" t="n"/>
      <c r="I72" s="27" t="n"/>
      <c r="J72" s="27" t="n"/>
      <c r="K72" s="33" t="n"/>
      <c r="L72" s="33" t="n"/>
      <c r="M72" s="28" t="n"/>
      <c r="N72" s="28" t="n"/>
      <c r="O72" s="28" t="n"/>
      <c r="P72" s="28" t="n"/>
      <c r="Q72" s="31" t="n"/>
    </row>
    <row r="73">
      <c r="A73" s="25" t="inlineStr">
        <is>
          <t>S18</t>
        </is>
      </c>
      <c r="B73" s="25" t="inlineStr">
        <is>
          <t>통영 신규점</t>
        </is>
      </c>
      <c r="C73" s="25" t="inlineStr">
        <is>
          <t>직류철도</t>
        </is>
      </c>
      <c r="D73" s="30" t="n">
        <v>5</v>
      </c>
      <c r="E73" s="28" t="n"/>
      <c r="F73" s="31" t="n"/>
      <c r="G73" s="28" t="n"/>
      <c r="H73" s="32" t="n"/>
      <c r="I73" s="27" t="n"/>
      <c r="J73" s="27" t="n"/>
      <c r="K73" s="33" t="n"/>
      <c r="L73" s="33" t="n"/>
      <c r="M73" s="28" t="n"/>
      <c r="N73" s="28" t="n"/>
      <c r="O73" s="28" t="n"/>
      <c r="P73" s="28" t="n"/>
      <c r="Q73" s="31" t="n"/>
    </row>
    <row r="74">
      <c r="A74" s="25" t="inlineStr">
        <is>
          <t>S18</t>
        </is>
      </c>
      <c r="B74" s="25" t="inlineStr">
        <is>
          <t>통영 신규점</t>
        </is>
      </c>
      <c r="C74" s="25" t="inlineStr">
        <is>
          <t>교류·일반철도</t>
        </is>
      </c>
      <c r="D74" s="30" t="n">
        <v>2</v>
      </c>
      <c r="E74" s="28" t="n"/>
      <c r="F74" s="31" t="n"/>
      <c r="G74" s="28" t="n"/>
      <c r="H74" s="32" t="n"/>
      <c r="I74" s="27" t="n"/>
      <c r="J74" s="27" t="n"/>
      <c r="K74" s="33" t="n"/>
      <c r="L74" s="33" t="n"/>
      <c r="M74" s="28" t="n"/>
      <c r="N74" s="28" t="n"/>
      <c r="O74" s="28" t="n"/>
      <c r="P74" s="28" t="n"/>
      <c r="Q74" s="31" t="n"/>
    </row>
    <row r="75">
      <c r="A75" s="25" t="inlineStr">
        <is>
          <t>S18</t>
        </is>
      </c>
      <c r="B75" s="25" t="inlineStr">
        <is>
          <t>통영 신규점</t>
        </is>
      </c>
      <c r="C75" s="25" t="inlineStr">
        <is>
          <t>고압철탑</t>
        </is>
      </c>
      <c r="D75" s="30" t="n">
        <v>1</v>
      </c>
      <c r="E75" s="28" t="n"/>
      <c r="F75" s="31" t="n"/>
      <c r="G75" s="28" t="n"/>
      <c r="H75" s="32" t="n"/>
      <c r="I75" s="27" t="n"/>
      <c r="J75" s="27" t="n"/>
      <c r="K75" s="33" t="n"/>
      <c r="L75" s="33" t="n"/>
      <c r="M75" s="28" t="n"/>
      <c r="N75" s="28" t="n"/>
      <c r="O75" s="28" t="n"/>
      <c r="P75" s="28" t="n"/>
      <c r="Q75" s="31" t="n"/>
    </row>
    <row r="76">
      <c r="A76" s="25" t="inlineStr">
        <is>
          <t>S18</t>
        </is>
      </c>
      <c r="B76" s="25" t="inlineStr">
        <is>
          <t>통영 신규점</t>
        </is>
      </c>
      <c r="C76" s="25" t="inlineStr">
        <is>
          <t>송전탑</t>
        </is>
      </c>
      <c r="D76" s="30" t="n">
        <v>0.5</v>
      </c>
      <c r="E76" s="28" t="n"/>
      <c r="F76" s="31" t="n"/>
      <c r="G76" s="28" t="n"/>
      <c r="H76" s="32" t="n"/>
      <c r="I76" s="27" t="n"/>
      <c r="J76" s="27" t="n"/>
      <c r="K76" s="33" t="n"/>
      <c r="L76" s="33" t="n"/>
      <c r="M76" s="28" t="n"/>
      <c r="N76" s="28" t="n"/>
      <c r="O76" s="28" t="n"/>
      <c r="P76" s="28" t="n"/>
      <c r="Q76" s="31" t="n"/>
    </row>
    <row r="77">
      <c r="A77" s="25" t="inlineStr">
        <is>
          <t>S19</t>
        </is>
      </c>
      <c r="B77" s="25" t="inlineStr">
        <is>
          <t>오호 신규점</t>
        </is>
      </c>
      <c r="C77" s="25" t="inlineStr">
        <is>
          <t>직류철도</t>
        </is>
      </c>
      <c r="D77" s="30" t="n">
        <v>5</v>
      </c>
      <c r="E77" s="28" t="n"/>
      <c r="F77" s="31" t="n"/>
      <c r="G77" s="28" t="n"/>
      <c r="H77" s="32" t="n"/>
      <c r="I77" s="27" t="n"/>
      <c r="J77" s="27" t="n"/>
      <c r="K77" s="33" t="n"/>
      <c r="L77" s="33" t="n"/>
      <c r="M77" s="28" t="n"/>
      <c r="N77" s="28" t="n"/>
      <c r="O77" s="28" t="n"/>
      <c r="P77" s="28" t="n"/>
      <c r="Q77" s="31" t="n"/>
    </row>
    <row r="78">
      <c r="A78" s="25" t="inlineStr">
        <is>
          <t>S19</t>
        </is>
      </c>
      <c r="B78" s="25" t="inlineStr">
        <is>
          <t>오호 신규점</t>
        </is>
      </c>
      <c r="C78" s="25" t="inlineStr">
        <is>
          <t>교류·일반철도</t>
        </is>
      </c>
      <c r="D78" s="30" t="n">
        <v>2</v>
      </c>
      <c r="E78" s="28" t="n"/>
      <c r="F78" s="31" t="n"/>
      <c r="G78" s="28" t="n"/>
      <c r="H78" s="32" t="n"/>
      <c r="I78" s="27" t="n"/>
      <c r="J78" s="27" t="n"/>
      <c r="K78" s="33" t="n"/>
      <c r="L78" s="33" t="n"/>
      <c r="M78" s="28" t="n"/>
      <c r="N78" s="28" t="n"/>
      <c r="O78" s="28" t="n"/>
      <c r="P78" s="28" t="n"/>
      <c r="Q78" s="31" t="n"/>
    </row>
    <row r="79">
      <c r="A79" s="25" t="inlineStr">
        <is>
          <t>S19</t>
        </is>
      </c>
      <c r="B79" s="25" t="inlineStr">
        <is>
          <t>오호 신규점</t>
        </is>
      </c>
      <c r="C79" s="25" t="inlineStr">
        <is>
          <t>고압철탑</t>
        </is>
      </c>
      <c r="D79" s="30" t="n">
        <v>1</v>
      </c>
      <c r="E79" s="28" t="n"/>
      <c r="F79" s="31" t="n"/>
      <c r="G79" s="28" t="n"/>
      <c r="H79" s="32" t="n"/>
      <c r="I79" s="27" t="n"/>
      <c r="J79" s="27" t="n"/>
      <c r="K79" s="33" t="n"/>
      <c r="L79" s="33" t="n"/>
      <c r="M79" s="28" t="n"/>
      <c r="N79" s="28" t="n"/>
      <c r="O79" s="28" t="n"/>
      <c r="P79" s="28" t="n"/>
      <c r="Q79" s="31" t="n"/>
    </row>
    <row r="80">
      <c r="A80" s="25" t="inlineStr">
        <is>
          <t>S19</t>
        </is>
      </c>
      <c r="B80" s="25" t="inlineStr">
        <is>
          <t>오호 신규점</t>
        </is>
      </c>
      <c r="C80" s="25" t="inlineStr">
        <is>
          <t>송전탑</t>
        </is>
      </c>
      <c r="D80" s="30" t="n">
        <v>0.5</v>
      </c>
      <c r="E80" s="28" t="n"/>
      <c r="F80" s="31" t="n"/>
      <c r="G80" s="28" t="n"/>
      <c r="H80" s="32" t="n"/>
      <c r="I80" s="27" t="n"/>
      <c r="J80" s="27" t="n"/>
      <c r="K80" s="33" t="n"/>
      <c r="L80" s="33" t="n"/>
      <c r="M80" s="28" t="n"/>
      <c r="N80" s="28" t="n"/>
      <c r="O80" s="28" t="n"/>
      <c r="P80" s="28" t="n"/>
      <c r="Q80" s="31" t="n"/>
    </row>
    <row r="81">
      <c r="A81" s="25" t="inlineStr">
        <is>
          <t>S20</t>
        </is>
      </c>
      <c r="B81" s="25" t="inlineStr">
        <is>
          <t>보령 신규점2</t>
        </is>
      </c>
      <c r="C81" s="25" t="inlineStr">
        <is>
          <t>직류철도</t>
        </is>
      </c>
      <c r="D81" s="30" t="n">
        <v>5</v>
      </c>
      <c r="E81" s="28" t="n"/>
      <c r="F81" s="31" t="n"/>
      <c r="G81" s="28" t="n"/>
      <c r="H81" s="32" t="n"/>
      <c r="I81" s="27" t="n"/>
      <c r="J81" s="27" t="n"/>
      <c r="K81" s="33" t="n"/>
      <c r="L81" s="33" t="n"/>
      <c r="M81" s="28" t="n"/>
      <c r="N81" s="28" t="n"/>
      <c r="O81" s="28" t="n"/>
      <c r="P81" s="28" t="n"/>
      <c r="Q81" s="31" t="n"/>
    </row>
    <row r="82">
      <c r="A82" s="25" t="inlineStr">
        <is>
          <t>S20</t>
        </is>
      </c>
      <c r="B82" s="25" t="inlineStr">
        <is>
          <t>보령 신규점2</t>
        </is>
      </c>
      <c r="C82" s="25" t="inlineStr">
        <is>
          <t>교류·일반철도</t>
        </is>
      </c>
      <c r="D82" s="30" t="n">
        <v>2</v>
      </c>
      <c r="E82" s="28" t="n"/>
      <c r="F82" s="31" t="n"/>
      <c r="G82" s="28" t="n"/>
      <c r="H82" s="32" t="n"/>
      <c r="I82" s="27" t="n"/>
      <c r="J82" s="27" t="n"/>
      <c r="K82" s="33" t="n"/>
      <c r="L82" s="33" t="n"/>
      <c r="M82" s="28" t="n"/>
      <c r="N82" s="28" t="n"/>
      <c r="O82" s="28" t="n"/>
      <c r="P82" s="28" t="n"/>
      <c r="Q82" s="31" t="n"/>
    </row>
    <row r="83">
      <c r="A83" s="25" t="inlineStr">
        <is>
          <t>S20</t>
        </is>
      </c>
      <c r="B83" s="25" t="inlineStr">
        <is>
          <t>보령 신규점2</t>
        </is>
      </c>
      <c r="C83" s="25" t="inlineStr">
        <is>
          <t>고압철탑</t>
        </is>
      </c>
      <c r="D83" s="30" t="n">
        <v>1</v>
      </c>
      <c r="E83" s="28" t="n"/>
      <c r="F83" s="31" t="n"/>
      <c r="G83" s="28" t="n"/>
      <c r="H83" s="32" t="n"/>
      <c r="I83" s="27" t="n"/>
      <c r="J83" s="27" t="n"/>
      <c r="K83" s="33" t="n"/>
      <c r="L83" s="33" t="n"/>
      <c r="M83" s="28" t="n"/>
      <c r="N83" s="28" t="n"/>
      <c r="O83" s="28" t="n"/>
      <c r="P83" s="28" t="n"/>
      <c r="Q83" s="31" t="n"/>
    </row>
    <row r="84">
      <c r="A84" s="25" t="inlineStr">
        <is>
          <t>S20</t>
        </is>
      </c>
      <c r="B84" s="25" t="inlineStr">
        <is>
          <t>보령 신규점2</t>
        </is>
      </c>
      <c r="C84" s="25" t="inlineStr">
        <is>
          <t>송전탑</t>
        </is>
      </c>
      <c r="D84" s="30" t="n">
        <v>0.5</v>
      </c>
      <c r="E84" s="28" t="n"/>
      <c r="F84" s="31" t="n"/>
      <c r="G84" s="28" t="n"/>
      <c r="H84" s="32" t="n"/>
      <c r="I84" s="27" t="n"/>
      <c r="J84" s="27" t="n"/>
      <c r="K84" s="33" t="n"/>
      <c r="L84" s="33" t="n"/>
      <c r="M84" s="28" t="n"/>
      <c r="N84" s="28" t="n"/>
      <c r="O84" s="28" t="n"/>
      <c r="P84" s="28" t="n"/>
      <c r="Q84" s="31" t="n"/>
    </row>
    <row r="85">
      <c r="A85" s="25" t="inlineStr">
        <is>
          <t>S21</t>
        </is>
      </c>
      <c r="B85" s="25" t="inlineStr">
        <is>
          <t>담양 신규점2</t>
        </is>
      </c>
      <c r="C85" s="25" t="inlineStr">
        <is>
          <t>직류철도</t>
        </is>
      </c>
      <c r="D85" s="30" t="n">
        <v>5</v>
      </c>
      <c r="E85" s="28" t="n"/>
      <c r="F85" s="31" t="n"/>
      <c r="G85" s="28" t="n"/>
      <c r="H85" s="32" t="n"/>
      <c r="I85" s="27" t="n"/>
      <c r="J85" s="27" t="n"/>
      <c r="K85" s="33" t="n"/>
      <c r="L85" s="33" t="n"/>
      <c r="M85" s="28" t="n"/>
      <c r="N85" s="28" t="n"/>
      <c r="O85" s="28" t="n"/>
      <c r="P85" s="28" t="n"/>
      <c r="Q85" s="31" t="n"/>
    </row>
    <row r="86">
      <c r="A86" s="25" t="inlineStr">
        <is>
          <t>S21</t>
        </is>
      </c>
      <c r="B86" s="25" t="inlineStr">
        <is>
          <t>담양 신규점2</t>
        </is>
      </c>
      <c r="C86" s="25" t="inlineStr">
        <is>
          <t>교류·일반철도</t>
        </is>
      </c>
      <c r="D86" s="30" t="n">
        <v>2</v>
      </c>
      <c r="E86" s="28" t="n"/>
      <c r="F86" s="31" t="n"/>
      <c r="G86" s="28" t="n"/>
      <c r="H86" s="32" t="n"/>
      <c r="I86" s="27" t="n"/>
      <c r="J86" s="27" t="n"/>
      <c r="K86" s="33" t="n"/>
      <c r="L86" s="33" t="n"/>
      <c r="M86" s="28" t="n"/>
      <c r="N86" s="28" t="n"/>
      <c r="O86" s="28" t="n"/>
      <c r="P86" s="28" t="n"/>
      <c r="Q86" s="31" t="n"/>
    </row>
    <row r="87">
      <c r="A87" s="25" t="inlineStr">
        <is>
          <t>S21</t>
        </is>
      </c>
      <c r="B87" s="25" t="inlineStr">
        <is>
          <t>담양 신규점2</t>
        </is>
      </c>
      <c r="C87" s="25" t="inlineStr">
        <is>
          <t>고압철탑</t>
        </is>
      </c>
      <c r="D87" s="30" t="n">
        <v>1</v>
      </c>
      <c r="E87" s="28" t="n"/>
      <c r="F87" s="31" t="n"/>
      <c r="G87" s="28" t="n"/>
      <c r="H87" s="32" t="n"/>
      <c r="I87" s="27" t="n"/>
      <c r="J87" s="27" t="n"/>
      <c r="K87" s="33" t="n"/>
      <c r="L87" s="33" t="n"/>
      <c r="M87" s="28" t="n"/>
      <c r="N87" s="28" t="n"/>
      <c r="O87" s="28" t="n"/>
      <c r="P87" s="28" t="n"/>
      <c r="Q87" s="31" t="n"/>
    </row>
    <row r="88">
      <c r="A88" s="25" t="inlineStr">
        <is>
          <t>S21</t>
        </is>
      </c>
      <c r="B88" s="25" t="inlineStr">
        <is>
          <t>담양 신규점2</t>
        </is>
      </c>
      <c r="C88" s="25" t="inlineStr">
        <is>
          <t>송전탑</t>
        </is>
      </c>
      <c r="D88" s="30" t="n">
        <v>0.5</v>
      </c>
      <c r="E88" s="28" t="n"/>
      <c r="F88" s="31" t="n"/>
      <c r="G88" s="28" t="n"/>
      <c r="H88" s="32" t="n"/>
      <c r="I88" s="27" t="n"/>
      <c r="J88" s="27" t="n"/>
      <c r="K88" s="33" t="n"/>
      <c r="L88" s="33" t="n"/>
      <c r="M88" s="28" t="n"/>
      <c r="N88" s="28" t="n"/>
      <c r="O88" s="28" t="n"/>
      <c r="P88" s="28" t="n"/>
      <c r="Q88" s="31" t="n"/>
    </row>
    <row r="89">
      <c r="A89" s="25" t="inlineStr">
        <is>
          <t>S22</t>
        </is>
      </c>
      <c r="B89" s="25" t="inlineStr">
        <is>
          <t>완도 신규점</t>
        </is>
      </c>
      <c r="C89" s="25" t="inlineStr">
        <is>
          <t>직류철도</t>
        </is>
      </c>
      <c r="D89" s="30" t="n">
        <v>5</v>
      </c>
      <c r="E89" s="28" t="n"/>
      <c r="F89" s="31" t="n"/>
      <c r="G89" s="28" t="n"/>
      <c r="H89" s="32" t="n"/>
      <c r="I89" s="27" t="n"/>
      <c r="J89" s="27" t="n"/>
      <c r="K89" s="33" t="n"/>
      <c r="L89" s="33" t="n"/>
      <c r="M89" s="28" t="n"/>
      <c r="N89" s="28" t="n"/>
      <c r="O89" s="28" t="n"/>
      <c r="P89" s="28" t="n"/>
      <c r="Q89" s="31" t="n"/>
    </row>
    <row r="90">
      <c r="A90" s="25" t="inlineStr">
        <is>
          <t>S22</t>
        </is>
      </c>
      <c r="B90" s="25" t="inlineStr">
        <is>
          <t>완도 신규점</t>
        </is>
      </c>
      <c r="C90" s="25" t="inlineStr">
        <is>
          <t>교류·일반철도</t>
        </is>
      </c>
      <c r="D90" s="30" t="n">
        <v>2</v>
      </c>
      <c r="E90" s="28" t="n"/>
      <c r="F90" s="31" t="n"/>
      <c r="G90" s="28" t="n"/>
      <c r="H90" s="32" t="n"/>
      <c r="I90" s="27" t="n"/>
      <c r="J90" s="27" t="n"/>
      <c r="K90" s="33" t="n"/>
      <c r="L90" s="33" t="n"/>
      <c r="M90" s="28" t="n"/>
      <c r="N90" s="28" t="n"/>
      <c r="O90" s="28" t="n"/>
      <c r="P90" s="28" t="n"/>
      <c r="Q90" s="31" t="n"/>
    </row>
    <row r="91">
      <c r="A91" s="25" t="inlineStr">
        <is>
          <t>S22</t>
        </is>
      </c>
      <c r="B91" s="25" t="inlineStr">
        <is>
          <t>완도 신규점</t>
        </is>
      </c>
      <c r="C91" s="25" t="inlineStr">
        <is>
          <t>고압철탑</t>
        </is>
      </c>
      <c r="D91" s="30" t="n">
        <v>1</v>
      </c>
      <c r="E91" s="28" t="n"/>
      <c r="F91" s="31" t="n"/>
      <c r="G91" s="28" t="n"/>
      <c r="H91" s="32" t="n"/>
      <c r="I91" s="27" t="n"/>
      <c r="J91" s="27" t="n"/>
      <c r="K91" s="33" t="n"/>
      <c r="L91" s="33" t="n"/>
      <c r="M91" s="28" t="n"/>
      <c r="N91" s="28" t="n"/>
      <c r="O91" s="28" t="n"/>
      <c r="P91" s="28" t="n"/>
      <c r="Q91" s="31" t="n"/>
    </row>
    <row r="92">
      <c r="A92" s="25" t="inlineStr">
        <is>
          <t>S22</t>
        </is>
      </c>
      <c r="B92" s="25" t="inlineStr">
        <is>
          <t>완도 신규점</t>
        </is>
      </c>
      <c r="C92" s="25" t="inlineStr">
        <is>
          <t>송전탑</t>
        </is>
      </c>
      <c r="D92" s="30" t="n">
        <v>0.5</v>
      </c>
      <c r="E92" s="28" t="n"/>
      <c r="F92" s="31" t="n"/>
      <c r="G92" s="28" t="n"/>
      <c r="H92" s="32" t="n"/>
      <c r="I92" s="27" t="n"/>
      <c r="J92" s="27" t="n"/>
      <c r="K92" s="33" t="n"/>
      <c r="L92" s="33" t="n"/>
      <c r="M92" s="28" t="n"/>
      <c r="N92" s="28" t="n"/>
      <c r="O92" s="28" t="n"/>
      <c r="P92" s="28" t="n"/>
      <c r="Q92" s="31" t="n"/>
    </row>
    <row r="93">
      <c r="A93" s="25" t="inlineStr">
        <is>
          <t>S23</t>
        </is>
      </c>
      <c r="B93" s="25" t="inlineStr">
        <is>
          <t>덕산 신규점1</t>
        </is>
      </c>
      <c r="C93" s="25" t="inlineStr">
        <is>
          <t>직류철도</t>
        </is>
      </c>
      <c r="D93" s="30" t="n">
        <v>5</v>
      </c>
      <c r="E93" s="28" t="n"/>
      <c r="F93" s="31" t="n"/>
      <c r="G93" s="28" t="n"/>
      <c r="H93" s="32" t="n"/>
      <c r="I93" s="27" t="n"/>
      <c r="J93" s="27" t="n"/>
      <c r="K93" s="33" t="n"/>
      <c r="L93" s="33" t="n"/>
      <c r="M93" s="28" t="n"/>
      <c r="N93" s="28" t="n"/>
      <c r="O93" s="28" t="n"/>
      <c r="P93" s="28" t="n"/>
      <c r="Q93" s="31" t="n"/>
    </row>
    <row r="94">
      <c r="A94" s="25" t="inlineStr">
        <is>
          <t>S23</t>
        </is>
      </c>
      <c r="B94" s="25" t="inlineStr">
        <is>
          <t>덕산 신규점1</t>
        </is>
      </c>
      <c r="C94" s="25" t="inlineStr">
        <is>
          <t>교류·일반철도</t>
        </is>
      </c>
      <c r="D94" s="30" t="n">
        <v>2</v>
      </c>
      <c r="E94" s="28" t="n"/>
      <c r="F94" s="31" t="n"/>
      <c r="G94" s="28" t="n"/>
      <c r="H94" s="32" t="n"/>
      <c r="I94" s="27" t="n"/>
      <c r="J94" s="27" t="n"/>
      <c r="K94" s="33" t="n"/>
      <c r="L94" s="33" t="n"/>
      <c r="M94" s="28" t="n"/>
      <c r="N94" s="28" t="n"/>
      <c r="O94" s="28" t="n"/>
      <c r="P94" s="28" t="n"/>
      <c r="Q94" s="31" t="n"/>
    </row>
    <row r="95">
      <c r="A95" s="25" t="inlineStr">
        <is>
          <t>S23</t>
        </is>
      </c>
      <c r="B95" s="25" t="inlineStr">
        <is>
          <t>덕산 신규점1</t>
        </is>
      </c>
      <c r="C95" s="25" t="inlineStr">
        <is>
          <t>고압철탑</t>
        </is>
      </c>
      <c r="D95" s="30" t="n">
        <v>1</v>
      </c>
      <c r="E95" s="28" t="n"/>
      <c r="F95" s="31" t="n"/>
      <c r="G95" s="28" t="n"/>
      <c r="H95" s="32" t="n"/>
      <c r="I95" s="27" t="n"/>
      <c r="J95" s="27" t="n"/>
      <c r="K95" s="33" t="n"/>
      <c r="L95" s="33" t="n"/>
      <c r="M95" s="28" t="n"/>
      <c r="N95" s="28" t="n"/>
      <c r="O95" s="28" t="n"/>
      <c r="P95" s="28" t="n"/>
      <c r="Q95" s="31" t="n"/>
    </row>
    <row r="96">
      <c r="A96" s="25" t="inlineStr">
        <is>
          <t>S23</t>
        </is>
      </c>
      <c r="B96" s="25" t="inlineStr">
        <is>
          <t>덕산 신규점1</t>
        </is>
      </c>
      <c r="C96" s="25" t="inlineStr">
        <is>
          <t>송전탑</t>
        </is>
      </c>
      <c r="D96" s="30" t="n">
        <v>0.5</v>
      </c>
      <c r="E96" s="28" t="n"/>
      <c r="F96" s="31" t="n"/>
      <c r="G96" s="28" t="n"/>
      <c r="H96" s="32" t="n"/>
      <c r="I96" s="27" t="n"/>
      <c r="J96" s="27" t="n"/>
      <c r="K96" s="33" t="n"/>
      <c r="L96" s="33" t="n"/>
      <c r="M96" s="28" t="n"/>
      <c r="N96" s="28" t="n"/>
      <c r="O96" s="28" t="n"/>
      <c r="P96" s="28" t="n"/>
      <c r="Q96" s="31" t="n"/>
    </row>
    <row r="97">
      <c r="A97" s="25" t="inlineStr">
        <is>
          <t>S24</t>
        </is>
      </c>
      <c r="B97" s="25" t="inlineStr">
        <is>
          <t>회천 신규점2</t>
        </is>
      </c>
      <c r="C97" s="25" t="inlineStr">
        <is>
          <t>직류철도</t>
        </is>
      </c>
      <c r="D97" s="30" t="n">
        <v>5</v>
      </c>
      <c r="E97" s="28" t="n"/>
      <c r="F97" s="31" t="n"/>
      <c r="G97" s="28" t="n"/>
      <c r="H97" s="32" t="n"/>
      <c r="I97" s="27" t="n"/>
      <c r="J97" s="27" t="n"/>
      <c r="K97" s="33" t="n"/>
      <c r="L97" s="33" t="n"/>
      <c r="M97" s="28" t="n"/>
      <c r="N97" s="28" t="n"/>
      <c r="O97" s="28" t="n"/>
      <c r="P97" s="28" t="n"/>
      <c r="Q97" s="31" t="n"/>
    </row>
    <row r="98">
      <c r="A98" s="25" t="inlineStr">
        <is>
          <t>S24</t>
        </is>
      </c>
      <c r="B98" s="25" t="inlineStr">
        <is>
          <t>회천 신규점2</t>
        </is>
      </c>
      <c r="C98" s="25" t="inlineStr">
        <is>
          <t>교류·일반철도</t>
        </is>
      </c>
      <c r="D98" s="30" t="n">
        <v>2</v>
      </c>
      <c r="E98" s="28" t="n"/>
      <c r="F98" s="31" t="n"/>
      <c r="G98" s="28" t="n"/>
      <c r="H98" s="32" t="n"/>
      <c r="I98" s="27" t="n"/>
      <c r="J98" s="27" t="n"/>
      <c r="K98" s="33" t="n"/>
      <c r="L98" s="33" t="n"/>
      <c r="M98" s="28" t="n"/>
      <c r="N98" s="28" t="n"/>
      <c r="O98" s="28" t="n"/>
      <c r="P98" s="28" t="n"/>
      <c r="Q98" s="31" t="n"/>
    </row>
    <row r="99">
      <c r="A99" s="25" t="inlineStr">
        <is>
          <t>S24</t>
        </is>
      </c>
      <c r="B99" s="25" t="inlineStr">
        <is>
          <t>회천 신규점2</t>
        </is>
      </c>
      <c r="C99" s="25" t="inlineStr">
        <is>
          <t>고압철탑</t>
        </is>
      </c>
      <c r="D99" s="30" t="n">
        <v>1</v>
      </c>
      <c r="E99" s="28" t="n"/>
      <c r="F99" s="31" t="n"/>
      <c r="G99" s="28" t="n"/>
      <c r="H99" s="32" t="n"/>
      <c r="I99" s="27" t="n"/>
      <c r="J99" s="27" t="n"/>
      <c r="K99" s="33" t="n"/>
      <c r="L99" s="33" t="n"/>
      <c r="M99" s="28" t="n"/>
      <c r="N99" s="28" t="n"/>
      <c r="O99" s="28" t="n"/>
      <c r="P99" s="28" t="n"/>
      <c r="Q99" s="31" t="n"/>
    </row>
    <row r="100">
      <c r="A100" s="25" t="inlineStr">
        <is>
          <t>S24</t>
        </is>
      </c>
      <c r="B100" s="25" t="inlineStr">
        <is>
          <t>회천 신규점2</t>
        </is>
      </c>
      <c r="C100" s="25" t="inlineStr">
        <is>
          <t>송전탑</t>
        </is>
      </c>
      <c r="D100" s="30" t="n">
        <v>0.5</v>
      </c>
      <c r="E100" s="28" t="n"/>
      <c r="F100" s="31" t="n"/>
      <c r="G100" s="28" t="n"/>
      <c r="H100" s="32" t="n"/>
      <c r="I100" s="27" t="n"/>
      <c r="J100" s="27" t="n"/>
      <c r="K100" s="33" t="n"/>
      <c r="L100" s="33" t="n"/>
      <c r="M100" s="28" t="n"/>
      <c r="N100" s="28" t="n"/>
      <c r="O100" s="28" t="n"/>
      <c r="P100" s="28" t="n"/>
      <c r="Q100" s="31" t="n"/>
    </row>
    <row r="101">
      <c r="A101" s="25" t="inlineStr">
        <is>
          <t>S25</t>
        </is>
      </c>
      <c r="B101" s="25" t="inlineStr">
        <is>
          <t>관리 신규점3</t>
        </is>
      </c>
      <c r="C101" s="25" t="inlineStr">
        <is>
          <t>직류철도</t>
        </is>
      </c>
      <c r="D101" s="30" t="n">
        <v>5</v>
      </c>
      <c r="E101" s="28" t="n"/>
      <c r="F101" s="31" t="n"/>
      <c r="G101" s="28" t="n"/>
      <c r="H101" s="32" t="n"/>
      <c r="I101" s="27" t="n"/>
      <c r="J101" s="27" t="n"/>
      <c r="K101" s="33" t="n"/>
      <c r="L101" s="33" t="n"/>
      <c r="M101" s="28" t="n"/>
      <c r="N101" s="28" t="n"/>
      <c r="O101" s="28" t="n"/>
      <c r="P101" s="28" t="n"/>
      <c r="Q101" s="31" t="n"/>
    </row>
    <row r="102">
      <c r="A102" s="25" t="inlineStr">
        <is>
          <t>S25</t>
        </is>
      </c>
      <c r="B102" s="25" t="inlineStr">
        <is>
          <t>관리 신규점3</t>
        </is>
      </c>
      <c r="C102" s="25" t="inlineStr">
        <is>
          <t>교류·일반철도</t>
        </is>
      </c>
      <c r="D102" s="30" t="n">
        <v>2</v>
      </c>
      <c r="E102" s="28" t="n"/>
      <c r="F102" s="31" t="n"/>
      <c r="G102" s="28" t="n"/>
      <c r="H102" s="32" t="n"/>
      <c r="I102" s="27" t="n"/>
      <c r="J102" s="27" t="n"/>
      <c r="K102" s="33" t="n"/>
      <c r="L102" s="33" t="n"/>
      <c r="M102" s="28" t="n"/>
      <c r="N102" s="28" t="n"/>
      <c r="O102" s="28" t="n"/>
      <c r="P102" s="28" t="n"/>
      <c r="Q102" s="31" t="n"/>
    </row>
    <row r="103">
      <c r="A103" s="25" t="inlineStr">
        <is>
          <t>S25</t>
        </is>
      </c>
      <c r="B103" s="25" t="inlineStr">
        <is>
          <t>관리 신규점3</t>
        </is>
      </c>
      <c r="C103" s="25" t="inlineStr">
        <is>
          <t>고압철탑</t>
        </is>
      </c>
      <c r="D103" s="30" t="n">
        <v>1</v>
      </c>
      <c r="E103" s="28" t="n"/>
      <c r="F103" s="31" t="n"/>
      <c r="G103" s="28" t="n"/>
      <c r="H103" s="32" t="n"/>
      <c r="I103" s="27" t="n"/>
      <c r="J103" s="27" t="n"/>
      <c r="K103" s="33" t="n"/>
      <c r="L103" s="33" t="n"/>
      <c r="M103" s="28" t="n"/>
      <c r="N103" s="28" t="n"/>
      <c r="O103" s="28" t="n"/>
      <c r="P103" s="28" t="n"/>
      <c r="Q103" s="31" t="n"/>
    </row>
    <row r="104">
      <c r="A104" s="25" t="inlineStr">
        <is>
          <t>S25</t>
        </is>
      </c>
      <c r="B104" s="25" t="inlineStr">
        <is>
          <t>관리 신규점3</t>
        </is>
      </c>
      <c r="C104" s="25" t="inlineStr">
        <is>
          <t>송전탑</t>
        </is>
      </c>
      <c r="D104" s="30" t="n">
        <v>0.5</v>
      </c>
      <c r="E104" s="28" t="n"/>
      <c r="F104" s="31" t="n"/>
      <c r="G104" s="28" t="n"/>
      <c r="H104" s="32" t="n"/>
      <c r="I104" s="27" t="n"/>
      <c r="J104" s="27" t="n"/>
      <c r="K104" s="33" t="n"/>
      <c r="L104" s="33" t="n"/>
      <c r="M104" s="28" t="n"/>
      <c r="N104" s="28" t="n"/>
      <c r="O104" s="28" t="n"/>
      <c r="P104" s="28" t="n"/>
      <c r="Q104" s="31" t="n"/>
    </row>
    <row r="105">
      <c r="A105" s="25" t="inlineStr">
        <is>
          <t>S26</t>
        </is>
      </c>
      <c r="B105" s="25" t="inlineStr">
        <is>
          <t>고남 신규점2</t>
        </is>
      </c>
      <c r="C105" s="25" t="inlineStr">
        <is>
          <t>직류철도</t>
        </is>
      </c>
      <c r="D105" s="30" t="n">
        <v>5</v>
      </c>
      <c r="E105" s="28" t="n"/>
      <c r="F105" s="31" t="n"/>
      <c r="G105" s="28" t="n"/>
      <c r="H105" s="32" t="n"/>
      <c r="I105" s="27" t="n"/>
      <c r="J105" s="27" t="n"/>
      <c r="K105" s="33" t="n"/>
      <c r="L105" s="33" t="n"/>
      <c r="M105" s="28" t="n"/>
      <c r="N105" s="28" t="n"/>
      <c r="O105" s="28" t="n"/>
      <c r="P105" s="28" t="n"/>
      <c r="Q105" s="31" t="n"/>
    </row>
    <row r="106">
      <c r="A106" s="25" t="inlineStr">
        <is>
          <t>S26</t>
        </is>
      </c>
      <c r="B106" s="25" t="inlineStr">
        <is>
          <t>고남 신규점2</t>
        </is>
      </c>
      <c r="C106" s="25" t="inlineStr">
        <is>
          <t>교류·일반철도</t>
        </is>
      </c>
      <c r="D106" s="30" t="n">
        <v>2</v>
      </c>
      <c r="E106" s="28" t="n"/>
      <c r="F106" s="31" t="n"/>
      <c r="G106" s="28" t="n"/>
      <c r="H106" s="32" t="n"/>
      <c r="I106" s="27" t="n"/>
      <c r="J106" s="27" t="n"/>
      <c r="K106" s="33" t="n"/>
      <c r="L106" s="33" t="n"/>
      <c r="M106" s="28" t="n"/>
      <c r="N106" s="28" t="n"/>
      <c r="O106" s="28" t="n"/>
      <c r="P106" s="28" t="n"/>
      <c r="Q106" s="31" t="n"/>
    </row>
    <row r="107">
      <c r="A107" s="25" t="inlineStr">
        <is>
          <t>S26</t>
        </is>
      </c>
      <c r="B107" s="25" t="inlineStr">
        <is>
          <t>고남 신규점2</t>
        </is>
      </c>
      <c r="C107" s="25" t="inlineStr">
        <is>
          <t>고압철탑</t>
        </is>
      </c>
      <c r="D107" s="30" t="n">
        <v>1</v>
      </c>
      <c r="E107" s="28" t="n"/>
      <c r="F107" s="31" t="n"/>
      <c r="G107" s="28" t="n"/>
      <c r="H107" s="32" t="n"/>
      <c r="I107" s="27" t="n"/>
      <c r="J107" s="27" t="n"/>
      <c r="K107" s="33" t="n"/>
      <c r="L107" s="33" t="n"/>
      <c r="M107" s="28" t="n"/>
      <c r="N107" s="28" t="n"/>
      <c r="O107" s="28" t="n"/>
      <c r="P107" s="28" t="n"/>
      <c r="Q107" s="31" t="n"/>
    </row>
    <row r="108">
      <c r="A108" s="25" t="inlineStr">
        <is>
          <t>S26</t>
        </is>
      </c>
      <c r="B108" s="25" t="inlineStr">
        <is>
          <t>고남 신규점2</t>
        </is>
      </c>
      <c r="C108" s="25" t="inlineStr">
        <is>
          <t>송전탑</t>
        </is>
      </c>
      <c r="D108" s="30" t="n">
        <v>0.5</v>
      </c>
      <c r="E108" s="28" t="n"/>
      <c r="F108" s="31" t="n"/>
      <c r="G108" s="28" t="n"/>
      <c r="H108" s="32" t="n"/>
      <c r="I108" s="27" t="n"/>
      <c r="J108" s="27" t="n"/>
      <c r="K108" s="33" t="n"/>
      <c r="L108" s="33" t="n"/>
      <c r="M108" s="28" t="n"/>
      <c r="N108" s="28" t="n"/>
      <c r="O108" s="28" t="n"/>
      <c r="P108" s="28" t="n"/>
      <c r="Q108" s="31" t="n"/>
    </row>
    <row r="109">
      <c r="A109" s="25" t="inlineStr">
        <is>
          <t>S27</t>
        </is>
      </c>
      <c r="B109" s="25" t="inlineStr">
        <is>
          <t>전의 신규점</t>
        </is>
      </c>
      <c r="C109" s="25" t="inlineStr">
        <is>
          <t>직류철도</t>
        </is>
      </c>
      <c r="D109" s="30" t="n">
        <v>5</v>
      </c>
      <c r="E109" s="28" t="n"/>
      <c r="F109" s="31" t="n"/>
      <c r="G109" s="28" t="n"/>
      <c r="H109" s="32" t="n"/>
      <c r="I109" s="27" t="n"/>
      <c r="J109" s="27" t="n"/>
      <c r="K109" s="33" t="n"/>
      <c r="L109" s="33" t="n"/>
      <c r="M109" s="28" t="n"/>
      <c r="N109" s="28" t="n"/>
      <c r="O109" s="28" t="n"/>
      <c r="P109" s="28" t="n"/>
      <c r="Q109" s="31" t="n"/>
    </row>
    <row r="110">
      <c r="A110" s="25" t="inlineStr">
        <is>
          <t>S27</t>
        </is>
      </c>
      <c r="B110" s="25" t="inlineStr">
        <is>
          <t>전의 신규점</t>
        </is>
      </c>
      <c r="C110" s="25" t="inlineStr">
        <is>
          <t>교류·일반철도</t>
        </is>
      </c>
      <c r="D110" s="30" t="n">
        <v>2</v>
      </c>
      <c r="E110" s="28" t="n"/>
      <c r="F110" s="31" t="n"/>
      <c r="G110" s="28" t="n"/>
      <c r="H110" s="32" t="n"/>
      <c r="I110" s="27" t="n"/>
      <c r="J110" s="27" t="n"/>
      <c r="K110" s="33" t="n"/>
      <c r="L110" s="33" t="n"/>
      <c r="M110" s="28" t="n"/>
      <c r="N110" s="28" t="n"/>
      <c r="O110" s="28" t="n"/>
      <c r="P110" s="28" t="n"/>
      <c r="Q110" s="31" t="n"/>
    </row>
    <row r="111">
      <c r="A111" s="25" t="inlineStr">
        <is>
          <t>S27</t>
        </is>
      </c>
      <c r="B111" s="25" t="inlineStr">
        <is>
          <t>전의 신규점</t>
        </is>
      </c>
      <c r="C111" s="25" t="inlineStr">
        <is>
          <t>고압철탑</t>
        </is>
      </c>
      <c r="D111" s="30" t="n">
        <v>1</v>
      </c>
      <c r="E111" s="28" t="n"/>
      <c r="F111" s="31" t="n"/>
      <c r="G111" s="28" t="n"/>
      <c r="H111" s="32" t="n"/>
      <c r="I111" s="27" t="n"/>
      <c r="J111" s="27" t="n"/>
      <c r="K111" s="33" t="n"/>
      <c r="L111" s="33" t="n"/>
      <c r="M111" s="28" t="n"/>
      <c r="N111" s="28" t="n"/>
      <c r="O111" s="28" t="n"/>
      <c r="P111" s="28" t="n"/>
      <c r="Q111" s="31" t="n"/>
    </row>
    <row r="112">
      <c r="A112" s="25" t="inlineStr">
        <is>
          <t>S27</t>
        </is>
      </c>
      <c r="B112" s="25" t="inlineStr">
        <is>
          <t>전의 신규점</t>
        </is>
      </c>
      <c r="C112" s="25" t="inlineStr">
        <is>
          <t>송전탑</t>
        </is>
      </c>
      <c r="D112" s="30" t="n">
        <v>0.5</v>
      </c>
      <c r="E112" s="28" t="n"/>
      <c r="F112" s="31" t="n"/>
      <c r="G112" s="28" t="n"/>
      <c r="H112" s="32" t="n"/>
      <c r="I112" s="27" t="n"/>
      <c r="J112" s="27" t="n"/>
      <c r="K112" s="33" t="n"/>
      <c r="L112" s="33" t="n"/>
      <c r="M112" s="28" t="n"/>
      <c r="N112" s="28" t="n"/>
      <c r="O112" s="28" t="n"/>
      <c r="P112" s="28" t="n"/>
      <c r="Q112" s="31" t="n"/>
    </row>
    <row r="113">
      <c r="A113" s="25" t="inlineStr">
        <is>
          <t>S28</t>
        </is>
      </c>
      <c r="B113" s="25" t="inlineStr">
        <is>
          <t>이원 신규점</t>
        </is>
      </c>
      <c r="C113" s="25" t="inlineStr">
        <is>
          <t>직류철도</t>
        </is>
      </c>
      <c r="D113" s="30" t="n">
        <v>5</v>
      </c>
      <c r="E113" s="28" t="n"/>
      <c r="F113" s="31" t="n"/>
      <c r="G113" s="28" t="n"/>
      <c r="H113" s="32" t="n"/>
      <c r="I113" s="27" t="n"/>
      <c r="J113" s="27" t="n"/>
      <c r="K113" s="33" t="n"/>
      <c r="L113" s="33" t="n"/>
      <c r="M113" s="28" t="n"/>
      <c r="N113" s="28" t="n"/>
      <c r="O113" s="28" t="n"/>
      <c r="P113" s="28" t="n"/>
      <c r="Q113" s="31" t="n"/>
    </row>
    <row r="114">
      <c r="A114" s="25" t="inlineStr">
        <is>
          <t>S28</t>
        </is>
      </c>
      <c r="B114" s="25" t="inlineStr">
        <is>
          <t>이원 신규점</t>
        </is>
      </c>
      <c r="C114" s="25" t="inlineStr">
        <is>
          <t>교류·일반철도</t>
        </is>
      </c>
      <c r="D114" s="30" t="n">
        <v>2</v>
      </c>
      <c r="E114" s="28" t="n"/>
      <c r="F114" s="31" t="n"/>
      <c r="G114" s="28" t="n"/>
      <c r="H114" s="32" t="n"/>
      <c r="I114" s="27" t="n"/>
      <c r="J114" s="27" t="n"/>
      <c r="K114" s="33" t="n"/>
      <c r="L114" s="33" t="n"/>
      <c r="M114" s="28" t="n"/>
      <c r="N114" s="28" t="n"/>
      <c r="O114" s="28" t="n"/>
      <c r="P114" s="28" t="n"/>
      <c r="Q114" s="31" t="n"/>
    </row>
    <row r="115">
      <c r="A115" s="25" t="inlineStr">
        <is>
          <t>S28</t>
        </is>
      </c>
      <c r="B115" s="25" t="inlineStr">
        <is>
          <t>이원 신규점</t>
        </is>
      </c>
      <c r="C115" s="25" t="inlineStr">
        <is>
          <t>고압철탑</t>
        </is>
      </c>
      <c r="D115" s="30" t="n">
        <v>1</v>
      </c>
      <c r="E115" s="28" t="n"/>
      <c r="F115" s="31" t="n"/>
      <c r="G115" s="28" t="n"/>
      <c r="H115" s="32" t="n"/>
      <c r="I115" s="27" t="n"/>
      <c r="J115" s="27" t="n"/>
      <c r="K115" s="33" t="n"/>
      <c r="L115" s="33" t="n"/>
      <c r="M115" s="28" t="n"/>
      <c r="N115" s="28" t="n"/>
      <c r="O115" s="28" t="n"/>
      <c r="P115" s="28" t="n"/>
      <c r="Q115" s="31" t="n"/>
    </row>
    <row r="116">
      <c r="A116" s="25" t="inlineStr">
        <is>
          <t>S28</t>
        </is>
      </c>
      <c r="B116" s="25" t="inlineStr">
        <is>
          <t>이원 신규점</t>
        </is>
      </c>
      <c r="C116" s="25" t="inlineStr">
        <is>
          <t>송전탑</t>
        </is>
      </c>
      <c r="D116" s="30" t="n">
        <v>0.5</v>
      </c>
      <c r="E116" s="28" t="n"/>
      <c r="F116" s="31" t="n"/>
      <c r="G116" s="28" t="n"/>
      <c r="H116" s="32" t="n"/>
      <c r="I116" s="27" t="n"/>
      <c r="J116" s="27" t="n"/>
      <c r="K116" s="33" t="n"/>
      <c r="L116" s="33" t="n"/>
      <c r="M116" s="28" t="n"/>
      <c r="N116" s="28" t="n"/>
      <c r="O116" s="28" t="n"/>
      <c r="P116" s="28" t="n"/>
      <c r="Q116" s="31" t="n"/>
    </row>
    <row r="117">
      <c r="A117" s="25" t="inlineStr">
        <is>
          <t>S29</t>
        </is>
      </c>
      <c r="B117" s="25" t="inlineStr">
        <is>
          <t>가야 신규점1</t>
        </is>
      </c>
      <c r="C117" s="25" t="inlineStr">
        <is>
          <t>직류철도</t>
        </is>
      </c>
      <c r="D117" s="30" t="n">
        <v>5</v>
      </c>
      <c r="E117" s="28" t="n"/>
      <c r="F117" s="31" t="n"/>
      <c r="G117" s="28" t="n"/>
      <c r="H117" s="32" t="n"/>
      <c r="I117" s="27" t="n"/>
      <c r="J117" s="27" t="n"/>
      <c r="K117" s="33" t="n"/>
      <c r="L117" s="33" t="n"/>
      <c r="M117" s="28" t="n"/>
      <c r="N117" s="28" t="n"/>
      <c r="O117" s="28" t="n"/>
      <c r="P117" s="28" t="n"/>
      <c r="Q117" s="31" t="n"/>
    </row>
    <row r="118">
      <c r="A118" s="25" t="inlineStr">
        <is>
          <t>S29</t>
        </is>
      </c>
      <c r="B118" s="25" t="inlineStr">
        <is>
          <t>가야 신규점1</t>
        </is>
      </c>
      <c r="C118" s="25" t="inlineStr">
        <is>
          <t>교류·일반철도</t>
        </is>
      </c>
      <c r="D118" s="30" t="n">
        <v>2</v>
      </c>
      <c r="E118" s="28" t="n"/>
      <c r="F118" s="31" t="n"/>
      <c r="G118" s="28" t="n"/>
      <c r="H118" s="32" t="n"/>
      <c r="I118" s="27" t="n"/>
      <c r="J118" s="27" t="n"/>
      <c r="K118" s="33" t="n"/>
      <c r="L118" s="33" t="n"/>
      <c r="M118" s="28" t="n"/>
      <c r="N118" s="28" t="n"/>
      <c r="O118" s="28" t="n"/>
      <c r="P118" s="28" t="n"/>
      <c r="Q118" s="31" t="n"/>
    </row>
    <row r="119">
      <c r="A119" s="25" t="inlineStr">
        <is>
          <t>S29</t>
        </is>
      </c>
      <c r="B119" s="25" t="inlineStr">
        <is>
          <t>가야 신규점1</t>
        </is>
      </c>
      <c r="C119" s="25" t="inlineStr">
        <is>
          <t>고압철탑</t>
        </is>
      </c>
      <c r="D119" s="30" t="n">
        <v>1</v>
      </c>
      <c r="E119" s="28" t="n"/>
      <c r="F119" s="31" t="n"/>
      <c r="G119" s="28" t="n"/>
      <c r="H119" s="32" t="n"/>
      <c r="I119" s="27" t="n"/>
      <c r="J119" s="27" t="n"/>
      <c r="K119" s="33" t="n"/>
      <c r="L119" s="33" t="n"/>
      <c r="M119" s="28" t="n"/>
      <c r="N119" s="28" t="n"/>
      <c r="O119" s="28" t="n"/>
      <c r="P119" s="28" t="n"/>
      <c r="Q119" s="31" t="n"/>
    </row>
    <row r="120">
      <c r="A120" s="25" t="inlineStr">
        <is>
          <t>S29</t>
        </is>
      </c>
      <c r="B120" s="25" t="inlineStr">
        <is>
          <t>가야 신규점1</t>
        </is>
      </c>
      <c r="C120" s="25" t="inlineStr">
        <is>
          <t>송전탑</t>
        </is>
      </c>
      <c r="D120" s="30" t="n">
        <v>0.5</v>
      </c>
      <c r="E120" s="28" t="n"/>
      <c r="F120" s="31" t="n"/>
      <c r="G120" s="28" t="n"/>
      <c r="H120" s="32" t="n"/>
      <c r="I120" s="27" t="n"/>
      <c r="J120" s="27" t="n"/>
      <c r="K120" s="33" t="n"/>
      <c r="L120" s="33" t="n"/>
      <c r="M120" s="28" t="n"/>
      <c r="N120" s="28" t="n"/>
      <c r="O120" s="28" t="n"/>
      <c r="P120" s="28" t="n"/>
      <c r="Q120" s="31" t="n"/>
    </row>
    <row r="121">
      <c r="A121" s="25" t="inlineStr">
        <is>
          <t>S30</t>
        </is>
      </c>
      <c r="B121" s="25" t="inlineStr">
        <is>
          <t>창녕 신규점</t>
        </is>
      </c>
      <c r="C121" s="25" t="inlineStr">
        <is>
          <t>직류철도</t>
        </is>
      </c>
      <c r="D121" s="30" t="n">
        <v>5</v>
      </c>
      <c r="E121" s="28" t="n"/>
      <c r="F121" s="31" t="n"/>
      <c r="G121" s="28" t="n"/>
      <c r="H121" s="32" t="n"/>
      <c r="I121" s="27" t="n"/>
      <c r="J121" s="27" t="n"/>
      <c r="K121" s="33" t="n"/>
      <c r="L121" s="33" t="n"/>
      <c r="M121" s="28" t="n"/>
      <c r="N121" s="28" t="n"/>
      <c r="O121" s="28" t="n"/>
      <c r="P121" s="28" t="n"/>
      <c r="Q121" s="31" t="n"/>
    </row>
    <row r="122">
      <c r="A122" s="25" t="inlineStr">
        <is>
          <t>S30</t>
        </is>
      </c>
      <c r="B122" s="25" t="inlineStr">
        <is>
          <t>창녕 신규점</t>
        </is>
      </c>
      <c r="C122" s="25" t="inlineStr">
        <is>
          <t>교류·일반철도</t>
        </is>
      </c>
      <c r="D122" s="30" t="n">
        <v>2</v>
      </c>
      <c r="E122" s="28" t="n"/>
      <c r="F122" s="31" t="n"/>
      <c r="G122" s="28" t="n"/>
      <c r="H122" s="32" t="n"/>
      <c r="I122" s="27" t="n"/>
      <c r="J122" s="27" t="n"/>
      <c r="K122" s="33" t="n"/>
      <c r="L122" s="33" t="n"/>
      <c r="M122" s="28" t="n"/>
      <c r="N122" s="28" t="n"/>
      <c r="O122" s="28" t="n"/>
      <c r="P122" s="28" t="n"/>
      <c r="Q122" s="31" t="n"/>
    </row>
    <row r="123">
      <c r="A123" s="25" t="inlineStr">
        <is>
          <t>S30</t>
        </is>
      </c>
      <c r="B123" s="25" t="inlineStr">
        <is>
          <t>창녕 신규점</t>
        </is>
      </c>
      <c r="C123" s="25" t="inlineStr">
        <is>
          <t>고압철탑</t>
        </is>
      </c>
      <c r="D123" s="30" t="n">
        <v>1</v>
      </c>
      <c r="E123" s="28" t="n"/>
      <c r="F123" s="31" t="n"/>
      <c r="G123" s="28" t="n"/>
      <c r="H123" s="32" t="n"/>
      <c r="I123" s="27" t="n"/>
      <c r="J123" s="27" t="n"/>
      <c r="K123" s="33" t="n"/>
      <c r="L123" s="33" t="n"/>
      <c r="M123" s="28" t="n"/>
      <c r="N123" s="28" t="n"/>
      <c r="O123" s="28" t="n"/>
      <c r="P123" s="28" t="n"/>
      <c r="Q123" s="31" t="n"/>
    </row>
    <row r="124">
      <c r="A124" s="25" t="inlineStr">
        <is>
          <t>S30</t>
        </is>
      </c>
      <c r="B124" s="25" t="inlineStr">
        <is>
          <t>창녕 신규점</t>
        </is>
      </c>
      <c r="C124" s="25" t="inlineStr">
        <is>
          <t>송전탑</t>
        </is>
      </c>
      <c r="D124" s="30" t="n">
        <v>0.5</v>
      </c>
      <c r="E124" s="28" t="n"/>
      <c r="F124" s="31" t="n"/>
      <c r="G124" s="28" t="n"/>
      <c r="H124" s="32" t="n"/>
      <c r="I124" s="27" t="n"/>
      <c r="J124" s="27" t="n"/>
      <c r="K124" s="33" t="n"/>
      <c r="L124" s="33" t="n"/>
      <c r="M124" s="28" t="n"/>
      <c r="N124" s="28" t="n"/>
      <c r="O124" s="28" t="n"/>
      <c r="P124" s="28" t="n"/>
      <c r="Q124" s="31" t="n"/>
    </row>
    <row r="125">
      <c r="A125" s="25" t="inlineStr">
        <is>
          <t>S31</t>
        </is>
      </c>
      <c r="B125" s="25" t="inlineStr">
        <is>
          <t>언양 신규점3</t>
        </is>
      </c>
      <c r="C125" s="25" t="inlineStr">
        <is>
          <t>직류철도</t>
        </is>
      </c>
      <c r="D125" s="30" t="n">
        <v>5</v>
      </c>
      <c r="E125" s="28" t="n"/>
      <c r="F125" s="31" t="n"/>
      <c r="G125" s="28" t="n"/>
      <c r="H125" s="32" t="n"/>
      <c r="I125" s="27" t="n"/>
      <c r="J125" s="27" t="n"/>
      <c r="K125" s="33" t="n"/>
      <c r="L125" s="33" t="n"/>
      <c r="M125" s="28" t="n"/>
      <c r="N125" s="28" t="n"/>
      <c r="O125" s="28" t="n"/>
      <c r="P125" s="28" t="n"/>
      <c r="Q125" s="31" t="n"/>
    </row>
    <row r="126">
      <c r="A126" s="25" t="inlineStr">
        <is>
          <t>S31</t>
        </is>
      </c>
      <c r="B126" s="25" t="inlineStr">
        <is>
          <t>언양 신규점3</t>
        </is>
      </c>
      <c r="C126" s="25" t="inlineStr">
        <is>
          <t>교류·일반철도</t>
        </is>
      </c>
      <c r="D126" s="30" t="n">
        <v>2</v>
      </c>
      <c r="E126" s="28" t="n"/>
      <c r="F126" s="31" t="n"/>
      <c r="G126" s="28" t="n"/>
      <c r="H126" s="32" t="n"/>
      <c r="I126" s="27" t="n"/>
      <c r="J126" s="27" t="n"/>
      <c r="K126" s="33" t="n"/>
      <c r="L126" s="33" t="n"/>
      <c r="M126" s="28" t="n"/>
      <c r="N126" s="28" t="n"/>
      <c r="O126" s="28" t="n"/>
      <c r="P126" s="28" t="n"/>
      <c r="Q126" s="31" t="n"/>
    </row>
    <row r="127">
      <c r="A127" s="25" t="inlineStr">
        <is>
          <t>S31</t>
        </is>
      </c>
      <c r="B127" s="25" t="inlineStr">
        <is>
          <t>언양 신규점3</t>
        </is>
      </c>
      <c r="C127" s="25" t="inlineStr">
        <is>
          <t>고압철탑</t>
        </is>
      </c>
      <c r="D127" s="30" t="n">
        <v>1</v>
      </c>
      <c r="E127" s="28" t="n"/>
      <c r="F127" s="31" t="n"/>
      <c r="G127" s="28" t="n"/>
      <c r="H127" s="32" t="n"/>
      <c r="I127" s="27" t="n"/>
      <c r="J127" s="27" t="n"/>
      <c r="K127" s="33" t="n"/>
      <c r="L127" s="33" t="n"/>
      <c r="M127" s="28" t="n"/>
      <c r="N127" s="28" t="n"/>
      <c r="O127" s="28" t="n"/>
      <c r="P127" s="28" t="n"/>
      <c r="Q127" s="31" t="n"/>
    </row>
    <row r="128">
      <c r="A128" s="25" t="inlineStr">
        <is>
          <t>S31</t>
        </is>
      </c>
      <c r="B128" s="25" t="inlineStr">
        <is>
          <t>언양 신규점3</t>
        </is>
      </c>
      <c r="C128" s="25" t="inlineStr">
        <is>
          <t>송전탑</t>
        </is>
      </c>
      <c r="D128" s="30" t="n">
        <v>0.5</v>
      </c>
      <c r="E128" s="28" t="n"/>
      <c r="F128" s="31" t="n"/>
      <c r="G128" s="28" t="n"/>
      <c r="H128" s="32" t="n"/>
      <c r="I128" s="27" t="n"/>
      <c r="J128" s="27" t="n"/>
      <c r="K128" s="33" t="n"/>
      <c r="L128" s="33" t="n"/>
      <c r="M128" s="28" t="n"/>
      <c r="N128" s="28" t="n"/>
      <c r="O128" s="28" t="n"/>
      <c r="P128" s="28" t="n"/>
      <c r="Q128" s="31" t="n"/>
    </row>
    <row r="129">
      <c r="A129" s="25" t="inlineStr">
        <is>
          <t>S32</t>
        </is>
      </c>
      <c r="B129" s="25" t="inlineStr">
        <is>
          <t>함양 신규점</t>
        </is>
      </c>
      <c r="C129" s="25" t="inlineStr">
        <is>
          <t>직류철도</t>
        </is>
      </c>
      <c r="D129" s="30" t="n">
        <v>5</v>
      </c>
      <c r="E129" s="28" t="n"/>
      <c r="F129" s="31" t="n"/>
      <c r="G129" s="28" t="n"/>
      <c r="H129" s="32" t="n"/>
      <c r="I129" s="27" t="n"/>
      <c r="J129" s="27" t="n"/>
      <c r="K129" s="33" t="n"/>
      <c r="L129" s="33" t="n"/>
      <c r="M129" s="28" t="n"/>
      <c r="N129" s="28" t="n"/>
      <c r="O129" s="28" t="n"/>
      <c r="P129" s="28" t="n"/>
      <c r="Q129" s="31" t="n"/>
    </row>
    <row r="130">
      <c r="A130" s="25" t="inlineStr">
        <is>
          <t>S32</t>
        </is>
      </c>
      <c r="B130" s="25" t="inlineStr">
        <is>
          <t>함양 신규점</t>
        </is>
      </c>
      <c r="C130" s="25" t="inlineStr">
        <is>
          <t>교류·일반철도</t>
        </is>
      </c>
      <c r="D130" s="30" t="n">
        <v>2</v>
      </c>
      <c r="E130" s="28" t="n"/>
      <c r="F130" s="31" t="n"/>
      <c r="G130" s="28" t="n"/>
      <c r="H130" s="32" t="n"/>
      <c r="I130" s="27" t="n"/>
      <c r="J130" s="27" t="n"/>
      <c r="K130" s="33" t="n"/>
      <c r="L130" s="33" t="n"/>
      <c r="M130" s="28" t="n"/>
      <c r="N130" s="28" t="n"/>
      <c r="O130" s="28" t="n"/>
      <c r="P130" s="28" t="n"/>
      <c r="Q130" s="31" t="n"/>
    </row>
    <row r="131">
      <c r="A131" s="25" t="inlineStr">
        <is>
          <t>S32</t>
        </is>
      </c>
      <c r="B131" s="25" t="inlineStr">
        <is>
          <t>함양 신규점</t>
        </is>
      </c>
      <c r="C131" s="25" t="inlineStr">
        <is>
          <t>고압철탑</t>
        </is>
      </c>
      <c r="D131" s="30" t="n">
        <v>1</v>
      </c>
      <c r="E131" s="28" t="n"/>
      <c r="F131" s="31" t="n"/>
      <c r="G131" s="28" t="n"/>
      <c r="H131" s="32" t="n"/>
      <c r="I131" s="27" t="n"/>
      <c r="J131" s="27" t="n"/>
      <c r="K131" s="33" t="n"/>
      <c r="L131" s="33" t="n"/>
      <c r="M131" s="28" t="n"/>
      <c r="N131" s="28" t="n"/>
      <c r="O131" s="28" t="n"/>
      <c r="P131" s="28" t="n"/>
      <c r="Q131" s="31" t="n"/>
    </row>
    <row r="132">
      <c r="A132" s="25" t="inlineStr">
        <is>
          <t>S32</t>
        </is>
      </c>
      <c r="B132" s="25" t="inlineStr">
        <is>
          <t>함양 신규점</t>
        </is>
      </c>
      <c r="C132" s="25" t="inlineStr">
        <is>
          <t>송전탑</t>
        </is>
      </c>
      <c r="D132" s="30" t="n">
        <v>0.5</v>
      </c>
      <c r="E132" s="28" t="n"/>
      <c r="F132" s="31" t="n"/>
      <c r="G132" s="28" t="n"/>
      <c r="H132" s="32" t="n"/>
      <c r="I132" s="27" t="n"/>
      <c r="J132" s="27" t="n"/>
      <c r="K132" s="33" t="n"/>
      <c r="L132" s="33" t="n"/>
      <c r="M132" s="28" t="n"/>
      <c r="N132" s="28" t="n"/>
      <c r="O132" s="28" t="n"/>
      <c r="P132" s="28" t="n"/>
      <c r="Q132" s="31" t="n"/>
    </row>
    <row r="133">
      <c r="A133" s="25" t="inlineStr">
        <is>
          <t>S33</t>
        </is>
      </c>
      <c r="B133" s="25" t="inlineStr">
        <is>
          <t>문산 신규점</t>
        </is>
      </c>
      <c r="C133" s="25" t="inlineStr">
        <is>
          <t>직류철도</t>
        </is>
      </c>
      <c r="D133" s="30" t="n">
        <v>5</v>
      </c>
      <c r="E133" s="28" t="n"/>
      <c r="F133" s="31" t="n"/>
      <c r="G133" s="28" t="n"/>
      <c r="H133" s="32" t="n"/>
      <c r="I133" s="27" t="n"/>
      <c r="J133" s="27" t="n"/>
      <c r="K133" s="33" t="n"/>
      <c r="L133" s="33" t="n"/>
      <c r="M133" s="28" t="n"/>
      <c r="N133" s="28" t="n"/>
      <c r="O133" s="28" t="n"/>
      <c r="P133" s="28" t="n"/>
      <c r="Q133" s="31" t="n"/>
    </row>
    <row r="134">
      <c r="A134" s="25" t="inlineStr">
        <is>
          <t>S33</t>
        </is>
      </c>
      <c r="B134" s="25" t="inlineStr">
        <is>
          <t>문산 신규점</t>
        </is>
      </c>
      <c r="C134" s="25" t="inlineStr">
        <is>
          <t>교류·일반철도</t>
        </is>
      </c>
      <c r="D134" s="30" t="n">
        <v>2</v>
      </c>
      <c r="E134" s="28" t="n"/>
      <c r="F134" s="31" t="n"/>
      <c r="G134" s="28" t="n"/>
      <c r="H134" s="32" t="n"/>
      <c r="I134" s="27" t="n"/>
      <c r="J134" s="27" t="n"/>
      <c r="K134" s="33" t="n"/>
      <c r="L134" s="33" t="n"/>
      <c r="M134" s="28" t="n"/>
      <c r="N134" s="28" t="n"/>
      <c r="O134" s="28" t="n"/>
      <c r="P134" s="28" t="n"/>
      <c r="Q134" s="31" t="n"/>
    </row>
    <row r="135">
      <c r="A135" s="25" t="inlineStr">
        <is>
          <t>S33</t>
        </is>
      </c>
      <c r="B135" s="25" t="inlineStr">
        <is>
          <t>문산 신규점</t>
        </is>
      </c>
      <c r="C135" s="25" t="inlineStr">
        <is>
          <t>고압철탑</t>
        </is>
      </c>
      <c r="D135" s="30" t="n">
        <v>1</v>
      </c>
      <c r="E135" s="28" t="n"/>
      <c r="F135" s="31" t="n"/>
      <c r="G135" s="28" t="n"/>
      <c r="H135" s="32" t="n"/>
      <c r="I135" s="27" t="n"/>
      <c r="J135" s="27" t="n"/>
      <c r="K135" s="33" t="n"/>
      <c r="L135" s="33" t="n"/>
      <c r="M135" s="28" t="n"/>
      <c r="N135" s="28" t="n"/>
      <c r="O135" s="28" t="n"/>
      <c r="P135" s="28" t="n"/>
      <c r="Q135" s="31" t="n"/>
    </row>
    <row r="136">
      <c r="A136" s="25" t="inlineStr">
        <is>
          <t>S33</t>
        </is>
      </c>
      <c r="B136" s="25" t="inlineStr">
        <is>
          <t>문산 신규점</t>
        </is>
      </c>
      <c r="C136" s="25" t="inlineStr">
        <is>
          <t>송전탑</t>
        </is>
      </c>
      <c r="D136" s="30" t="n">
        <v>0.5</v>
      </c>
      <c r="E136" s="28" t="n"/>
      <c r="F136" s="31" t="n"/>
      <c r="G136" s="28" t="n"/>
      <c r="H136" s="32" t="n"/>
      <c r="I136" s="27" t="n"/>
      <c r="J136" s="27" t="n"/>
      <c r="K136" s="33" t="n"/>
      <c r="L136" s="33" t="n"/>
      <c r="M136" s="28" t="n"/>
      <c r="N136" s="28" t="n"/>
      <c r="O136" s="28" t="n"/>
      <c r="P136" s="28" t="n"/>
      <c r="Q136" s="31" t="n"/>
    </row>
    <row r="137">
      <c r="A137" s="25" t="inlineStr">
        <is>
          <t>S34</t>
        </is>
      </c>
      <c r="B137" s="25" t="inlineStr">
        <is>
          <t>부안 신규점</t>
        </is>
      </c>
      <c r="C137" s="25" t="inlineStr">
        <is>
          <t>직류철도</t>
        </is>
      </c>
      <c r="D137" s="30" t="n">
        <v>5</v>
      </c>
      <c r="E137" s="28" t="n"/>
      <c r="F137" s="31" t="n"/>
      <c r="G137" s="28" t="n"/>
      <c r="H137" s="32" t="n"/>
      <c r="I137" s="27" t="n"/>
      <c r="J137" s="27" t="n"/>
      <c r="K137" s="33" t="n"/>
      <c r="L137" s="33" t="n"/>
      <c r="M137" s="28" t="n"/>
      <c r="N137" s="28" t="n"/>
      <c r="O137" s="28" t="n"/>
      <c r="P137" s="28" t="n"/>
      <c r="Q137" s="31" t="n"/>
    </row>
    <row r="138">
      <c r="A138" s="25" t="inlineStr">
        <is>
          <t>S34</t>
        </is>
      </c>
      <c r="B138" s="25" t="inlineStr">
        <is>
          <t>부안 신규점</t>
        </is>
      </c>
      <c r="C138" s="25" t="inlineStr">
        <is>
          <t>교류·일반철도</t>
        </is>
      </c>
      <c r="D138" s="30" t="n">
        <v>2</v>
      </c>
      <c r="E138" s="28" t="n"/>
      <c r="F138" s="31" t="n"/>
      <c r="G138" s="28" t="n"/>
      <c r="H138" s="32" t="n"/>
      <c r="I138" s="27" t="n"/>
      <c r="J138" s="27" t="n"/>
      <c r="K138" s="33" t="n"/>
      <c r="L138" s="33" t="n"/>
      <c r="M138" s="28" t="n"/>
      <c r="N138" s="28" t="n"/>
      <c r="O138" s="28" t="n"/>
      <c r="P138" s="28" t="n"/>
      <c r="Q138" s="31" t="n"/>
    </row>
    <row r="139">
      <c r="A139" s="25" t="inlineStr">
        <is>
          <t>S34</t>
        </is>
      </c>
      <c r="B139" s="25" t="inlineStr">
        <is>
          <t>부안 신규점</t>
        </is>
      </c>
      <c r="C139" s="25" t="inlineStr">
        <is>
          <t>고압철탑</t>
        </is>
      </c>
      <c r="D139" s="30" t="n">
        <v>1</v>
      </c>
      <c r="E139" s="28" t="n"/>
      <c r="F139" s="31" t="n"/>
      <c r="G139" s="28" t="n"/>
      <c r="H139" s="32" t="n"/>
      <c r="I139" s="27" t="n"/>
      <c r="J139" s="27" t="n"/>
      <c r="K139" s="33" t="n"/>
      <c r="L139" s="33" t="n"/>
      <c r="M139" s="28" t="n"/>
      <c r="N139" s="28" t="n"/>
      <c r="O139" s="28" t="n"/>
      <c r="P139" s="28" t="n"/>
      <c r="Q139" s="31" t="n"/>
    </row>
    <row r="140">
      <c r="A140" s="25" t="inlineStr">
        <is>
          <t>S34</t>
        </is>
      </c>
      <c r="B140" s="25" t="inlineStr">
        <is>
          <t>부안 신규점</t>
        </is>
      </c>
      <c r="C140" s="25" t="inlineStr">
        <is>
          <t>송전탑</t>
        </is>
      </c>
      <c r="D140" s="30" t="n">
        <v>0.5</v>
      </c>
      <c r="E140" s="28" t="n"/>
      <c r="F140" s="31" t="n"/>
      <c r="G140" s="28" t="n"/>
      <c r="H140" s="32" t="n"/>
      <c r="I140" s="27" t="n"/>
      <c r="J140" s="27" t="n"/>
      <c r="K140" s="33" t="n"/>
      <c r="L140" s="33" t="n"/>
      <c r="M140" s="28" t="n"/>
      <c r="N140" s="28" t="n"/>
      <c r="O140" s="28" t="n"/>
      <c r="P140" s="28" t="n"/>
      <c r="Q140" s="31" t="n"/>
    </row>
    <row r="141">
      <c r="A141" s="25" t="inlineStr">
        <is>
          <t>S35</t>
        </is>
      </c>
      <c r="B141" s="25" t="inlineStr">
        <is>
          <t>상주</t>
        </is>
      </c>
      <c r="C141" s="25" t="inlineStr">
        <is>
          <t>직류철도</t>
        </is>
      </c>
      <c r="D141" s="30" t="n">
        <v>5</v>
      </c>
      <c r="E141" s="28" t="n"/>
      <c r="F141" s="31" t="n"/>
      <c r="G141" s="28" t="n"/>
      <c r="H141" s="32" t="n"/>
      <c r="I141" s="27" t="n"/>
      <c r="J141" s="27" t="n"/>
      <c r="K141" s="33" t="n"/>
      <c r="L141" s="33" t="n"/>
      <c r="M141" s="28" t="n"/>
      <c r="N141" s="28" t="n"/>
      <c r="O141" s="28" t="n"/>
      <c r="P141" s="28" t="n"/>
      <c r="Q141" s="31" t="n"/>
    </row>
    <row r="142">
      <c r="A142" s="25" t="inlineStr">
        <is>
          <t>S35</t>
        </is>
      </c>
      <c r="B142" s="25" t="inlineStr">
        <is>
          <t>상주</t>
        </is>
      </c>
      <c r="C142" s="25" t="inlineStr">
        <is>
          <t>교류·일반철도</t>
        </is>
      </c>
      <c r="D142" s="30" t="n">
        <v>2</v>
      </c>
      <c r="E142" s="28" t="n"/>
      <c r="F142" s="31" t="n"/>
      <c r="G142" s="28" t="n"/>
      <c r="H142" s="32" t="n"/>
      <c r="I142" s="27" t="n"/>
      <c r="J142" s="27" t="n"/>
      <c r="K142" s="33" t="n"/>
      <c r="L142" s="33" t="n"/>
      <c r="M142" s="28" t="n"/>
      <c r="N142" s="28" t="n"/>
      <c r="O142" s="28" t="n"/>
      <c r="P142" s="28" t="n"/>
      <c r="Q142" s="31" t="n"/>
    </row>
    <row r="143">
      <c r="A143" s="25" t="inlineStr">
        <is>
          <t>S35</t>
        </is>
      </c>
      <c r="B143" s="25" t="inlineStr">
        <is>
          <t>상주</t>
        </is>
      </c>
      <c r="C143" s="25" t="inlineStr">
        <is>
          <t>고압철탑</t>
        </is>
      </c>
      <c r="D143" s="30" t="n">
        <v>1</v>
      </c>
      <c r="E143" s="28" t="n"/>
      <c r="F143" s="31" t="n"/>
      <c r="G143" s="28" t="n"/>
      <c r="H143" s="32" t="n"/>
      <c r="I143" s="27" t="n"/>
      <c r="J143" s="27" t="n"/>
      <c r="K143" s="33" t="n"/>
      <c r="L143" s="33" t="n"/>
      <c r="M143" s="28" t="n"/>
      <c r="N143" s="28" t="n"/>
      <c r="O143" s="28" t="n"/>
      <c r="P143" s="28" t="n"/>
      <c r="Q143" s="31" t="n"/>
    </row>
    <row r="144">
      <c r="A144" s="25" t="inlineStr">
        <is>
          <t>S35</t>
        </is>
      </c>
      <c r="B144" s="25" t="inlineStr">
        <is>
          <t>상주</t>
        </is>
      </c>
      <c r="C144" s="25" t="inlineStr">
        <is>
          <t>송전탑</t>
        </is>
      </c>
      <c r="D144" s="30" t="n">
        <v>0.5</v>
      </c>
      <c r="E144" s="28" t="n"/>
      <c r="F144" s="31" t="n"/>
      <c r="G144" s="28" t="n"/>
      <c r="H144" s="32" t="n"/>
      <c r="I144" s="27" t="n"/>
      <c r="J144" s="27" t="n"/>
      <c r="K144" s="33" t="n"/>
      <c r="L144" s="33" t="n"/>
      <c r="M144" s="28" t="n"/>
      <c r="N144" s="28" t="n"/>
      <c r="O144" s="28" t="n"/>
      <c r="P144" s="28" t="n"/>
      <c r="Q144" s="31" t="n"/>
    </row>
    <row r="145">
      <c r="A145" s="25" t="inlineStr">
        <is>
          <t>S36</t>
        </is>
      </c>
      <c r="B145" s="25" t="inlineStr">
        <is>
          <t>미원</t>
        </is>
      </c>
      <c r="C145" s="25" t="inlineStr">
        <is>
          <t>직류철도</t>
        </is>
      </c>
      <c r="D145" s="30" t="n">
        <v>5</v>
      </c>
      <c r="E145" s="28" t="n"/>
      <c r="F145" s="31" t="n"/>
      <c r="G145" s="28" t="n"/>
      <c r="H145" s="32" t="n"/>
      <c r="I145" s="27" t="n"/>
      <c r="J145" s="27" t="n"/>
      <c r="K145" s="33" t="n"/>
      <c r="L145" s="33" t="n"/>
      <c r="M145" s="28" t="n"/>
      <c r="N145" s="28" t="n"/>
      <c r="O145" s="28" t="n"/>
      <c r="P145" s="28" t="n"/>
      <c r="Q145" s="31" t="n"/>
    </row>
    <row r="146">
      <c r="A146" s="25" t="inlineStr">
        <is>
          <t>S36</t>
        </is>
      </c>
      <c r="B146" s="25" t="inlineStr">
        <is>
          <t>미원</t>
        </is>
      </c>
      <c r="C146" s="25" t="inlineStr">
        <is>
          <t>교류·일반철도</t>
        </is>
      </c>
      <c r="D146" s="30" t="n">
        <v>2</v>
      </c>
      <c r="E146" s="28" t="n"/>
      <c r="F146" s="31" t="n"/>
      <c r="G146" s="28" t="n"/>
      <c r="H146" s="32" t="n"/>
      <c r="I146" s="27" t="n"/>
      <c r="J146" s="27" t="n"/>
      <c r="K146" s="33" t="n"/>
      <c r="L146" s="33" t="n"/>
      <c r="M146" s="28" t="n"/>
      <c r="N146" s="28" t="n"/>
      <c r="O146" s="28" t="n"/>
      <c r="P146" s="28" t="n"/>
      <c r="Q146" s="31" t="n"/>
    </row>
    <row r="147">
      <c r="A147" s="25" t="inlineStr">
        <is>
          <t>S36</t>
        </is>
      </c>
      <c r="B147" s="25" t="inlineStr">
        <is>
          <t>미원</t>
        </is>
      </c>
      <c r="C147" s="25" t="inlineStr">
        <is>
          <t>고압철탑</t>
        </is>
      </c>
      <c r="D147" s="30" t="n">
        <v>1</v>
      </c>
      <c r="E147" s="28" t="n"/>
      <c r="F147" s="31" t="n"/>
      <c r="G147" s="28" t="n"/>
      <c r="H147" s="32" t="n"/>
      <c r="I147" s="27" t="n"/>
      <c r="J147" s="27" t="n"/>
      <c r="K147" s="33" t="n"/>
      <c r="L147" s="33" t="n"/>
      <c r="M147" s="28" t="n"/>
      <c r="N147" s="28" t="n"/>
      <c r="O147" s="28" t="n"/>
      <c r="P147" s="28" t="n"/>
      <c r="Q147" s="31" t="n"/>
    </row>
    <row r="148">
      <c r="A148" s="25" t="inlineStr">
        <is>
          <t>S36</t>
        </is>
      </c>
      <c r="B148" s="25" t="inlineStr">
        <is>
          <t>미원</t>
        </is>
      </c>
      <c r="C148" s="25" t="inlineStr">
        <is>
          <t>송전탑</t>
        </is>
      </c>
      <c r="D148" s="30" t="n">
        <v>0.5</v>
      </c>
      <c r="E148" s="28" t="n"/>
      <c r="F148" s="31" t="n"/>
      <c r="G148" s="28" t="n"/>
      <c r="H148" s="32" t="n"/>
      <c r="I148" s="27" t="n"/>
      <c r="J148" s="27" t="n"/>
      <c r="K148" s="33" t="n"/>
      <c r="L148" s="33" t="n"/>
      <c r="M148" s="28" t="n"/>
      <c r="N148" s="28" t="n"/>
      <c r="O148" s="28" t="n"/>
      <c r="P148" s="28" t="n"/>
      <c r="Q148" s="31" t="n"/>
    </row>
    <row r="149">
      <c r="A149" s="25" t="inlineStr">
        <is>
          <t>S37</t>
        </is>
      </c>
      <c r="B149" s="25" t="inlineStr">
        <is>
          <t>부안</t>
        </is>
      </c>
      <c r="C149" s="25" t="inlineStr">
        <is>
          <t>직류철도</t>
        </is>
      </c>
      <c r="D149" s="30" t="n">
        <v>5</v>
      </c>
      <c r="E149" s="28" t="n"/>
      <c r="F149" s="31" t="n"/>
      <c r="G149" s="28" t="n"/>
      <c r="H149" s="32" t="n"/>
      <c r="I149" s="27" t="n"/>
      <c r="J149" s="27" t="n"/>
      <c r="K149" s="33" t="n"/>
      <c r="L149" s="33" t="n"/>
      <c r="M149" s="28" t="n"/>
      <c r="N149" s="28" t="n"/>
      <c r="O149" s="28" t="n"/>
      <c r="P149" s="28" t="n"/>
      <c r="Q149" s="31" t="n"/>
    </row>
    <row r="150">
      <c r="A150" s="25" t="inlineStr">
        <is>
          <t>S37</t>
        </is>
      </c>
      <c r="B150" s="25" t="inlineStr">
        <is>
          <t>부안</t>
        </is>
      </c>
      <c r="C150" s="25" t="inlineStr">
        <is>
          <t>교류·일반철도</t>
        </is>
      </c>
      <c r="D150" s="30" t="n">
        <v>2</v>
      </c>
      <c r="E150" s="28" t="n"/>
      <c r="F150" s="31" t="n"/>
      <c r="G150" s="28" t="n"/>
      <c r="H150" s="32" t="n"/>
      <c r="I150" s="27" t="n"/>
      <c r="J150" s="27" t="n"/>
      <c r="K150" s="33" t="n"/>
      <c r="L150" s="33" t="n"/>
      <c r="M150" s="28" t="n"/>
      <c r="N150" s="28" t="n"/>
      <c r="O150" s="28" t="n"/>
      <c r="P150" s="28" t="n"/>
      <c r="Q150" s="31" t="n"/>
    </row>
    <row r="151">
      <c r="A151" s="25" t="inlineStr">
        <is>
          <t>S37</t>
        </is>
      </c>
      <c r="B151" s="25" t="inlineStr">
        <is>
          <t>부안</t>
        </is>
      </c>
      <c r="C151" s="25" t="inlineStr">
        <is>
          <t>고압철탑</t>
        </is>
      </c>
      <c r="D151" s="30" t="n">
        <v>1</v>
      </c>
      <c r="E151" s="28" t="n"/>
      <c r="F151" s="31" t="n"/>
      <c r="G151" s="28" t="n"/>
      <c r="H151" s="32" t="n"/>
      <c r="I151" s="27" t="n"/>
      <c r="J151" s="27" t="n"/>
      <c r="K151" s="33" t="n"/>
      <c r="L151" s="33" t="n"/>
      <c r="M151" s="28" t="n"/>
      <c r="N151" s="28" t="n"/>
      <c r="O151" s="28" t="n"/>
      <c r="P151" s="28" t="n"/>
      <c r="Q151" s="31" t="n"/>
    </row>
    <row r="152">
      <c r="A152" s="25" t="inlineStr">
        <is>
          <t>S37</t>
        </is>
      </c>
      <c r="B152" s="25" t="inlineStr">
        <is>
          <t>부안</t>
        </is>
      </c>
      <c r="C152" s="25" t="inlineStr">
        <is>
          <t>송전탑</t>
        </is>
      </c>
      <c r="D152" s="30" t="n">
        <v>0.5</v>
      </c>
      <c r="E152" s="28" t="n"/>
      <c r="F152" s="31" t="n"/>
      <c r="G152" s="28" t="n"/>
      <c r="H152" s="32" t="n"/>
      <c r="I152" s="27" t="n"/>
      <c r="J152" s="27" t="n"/>
      <c r="K152" s="33" t="n"/>
      <c r="L152" s="33" t="n"/>
      <c r="M152" s="28" t="n"/>
      <c r="N152" s="28" t="n"/>
      <c r="O152" s="28" t="n"/>
      <c r="P152" s="28" t="n"/>
      <c r="Q152" s="31" t="n"/>
    </row>
    <row r="153">
      <c r="A153" s="25" t="inlineStr">
        <is>
          <t>S38</t>
        </is>
      </c>
      <c r="B153" s="25" t="inlineStr">
        <is>
          <t>강화</t>
        </is>
      </c>
      <c r="C153" s="25" t="inlineStr">
        <is>
          <t>직류철도</t>
        </is>
      </c>
      <c r="D153" s="30" t="n">
        <v>5</v>
      </c>
      <c r="E153" s="28" t="n"/>
      <c r="F153" s="31" t="n"/>
      <c r="G153" s="28" t="n"/>
      <c r="H153" s="32" t="n"/>
      <c r="I153" s="27" t="n"/>
      <c r="J153" s="27" t="n"/>
      <c r="K153" s="33" t="n"/>
      <c r="L153" s="33" t="n"/>
      <c r="M153" s="28" t="n"/>
      <c r="N153" s="28" t="n"/>
      <c r="O153" s="28" t="n"/>
      <c r="P153" s="28" t="n"/>
      <c r="Q153" s="31" t="n"/>
    </row>
    <row r="154">
      <c r="A154" s="25" t="inlineStr">
        <is>
          <t>S38</t>
        </is>
      </c>
      <c r="B154" s="25" t="inlineStr">
        <is>
          <t>강화</t>
        </is>
      </c>
      <c r="C154" s="25" t="inlineStr">
        <is>
          <t>교류·일반철도</t>
        </is>
      </c>
      <c r="D154" s="30" t="n">
        <v>2</v>
      </c>
      <c r="E154" s="28" t="n"/>
      <c r="F154" s="31" t="n"/>
      <c r="G154" s="28" t="n"/>
      <c r="H154" s="32" t="n"/>
      <c r="I154" s="27" t="n"/>
      <c r="J154" s="27" t="n"/>
      <c r="K154" s="33" t="n"/>
      <c r="L154" s="33" t="n"/>
      <c r="M154" s="28" t="n"/>
      <c r="N154" s="28" t="n"/>
      <c r="O154" s="28" t="n"/>
      <c r="P154" s="28" t="n"/>
      <c r="Q154" s="31" t="n"/>
    </row>
    <row r="155">
      <c r="A155" s="25" t="inlineStr">
        <is>
          <t>S38</t>
        </is>
      </c>
      <c r="B155" s="25" t="inlineStr">
        <is>
          <t>강화</t>
        </is>
      </c>
      <c r="C155" s="25" t="inlineStr">
        <is>
          <t>고압철탑</t>
        </is>
      </c>
      <c r="D155" s="30" t="n">
        <v>1</v>
      </c>
      <c r="E155" s="28" t="n"/>
      <c r="F155" s="31" t="n"/>
      <c r="G155" s="28" t="n"/>
      <c r="H155" s="32" t="n"/>
      <c r="I155" s="27" t="n"/>
      <c r="J155" s="27" t="n"/>
      <c r="K155" s="33" t="n"/>
      <c r="L155" s="33" t="n"/>
      <c r="M155" s="28" t="n"/>
      <c r="N155" s="28" t="n"/>
      <c r="O155" s="28" t="n"/>
      <c r="P155" s="28" t="n"/>
      <c r="Q155" s="31" t="n"/>
    </row>
    <row r="156">
      <c r="A156" s="25" t="inlineStr">
        <is>
          <t>S38</t>
        </is>
      </c>
      <c r="B156" s="25" t="inlineStr">
        <is>
          <t>강화</t>
        </is>
      </c>
      <c r="C156" s="25" t="inlineStr">
        <is>
          <t>송전탑</t>
        </is>
      </c>
      <c r="D156" s="30" t="n">
        <v>0.5</v>
      </c>
      <c r="E156" s="28" t="n"/>
      <c r="F156" s="31" t="n"/>
      <c r="G156" s="28" t="n"/>
      <c r="H156" s="32" t="n"/>
      <c r="I156" s="27" t="n"/>
      <c r="J156" s="27" t="n"/>
      <c r="K156" s="33" t="n"/>
      <c r="L156" s="33" t="n"/>
      <c r="M156" s="28" t="n"/>
      <c r="N156" s="28" t="n"/>
      <c r="O156" s="28" t="n"/>
      <c r="P156" s="28" t="n"/>
      <c r="Q156" s="31" t="n"/>
    </row>
    <row r="157">
      <c r="A157" s="25" t="inlineStr">
        <is>
          <t>S39</t>
        </is>
      </c>
      <c r="B157" s="25" t="inlineStr">
        <is>
          <t>언양</t>
        </is>
      </c>
      <c r="C157" s="25" t="inlineStr">
        <is>
          <t>직류철도</t>
        </is>
      </c>
      <c r="D157" s="30" t="n">
        <v>5</v>
      </c>
      <c r="E157" s="28" t="n"/>
      <c r="F157" s="31" t="n"/>
      <c r="G157" s="28" t="n"/>
      <c r="H157" s="32" t="n"/>
      <c r="I157" s="27" t="n"/>
      <c r="J157" s="27" t="n"/>
      <c r="K157" s="33" t="n"/>
      <c r="L157" s="33" t="n"/>
      <c r="M157" s="28" t="n"/>
      <c r="N157" s="28" t="n"/>
      <c r="O157" s="28" t="n"/>
      <c r="P157" s="28" t="n"/>
      <c r="Q157" s="31" t="n"/>
    </row>
    <row r="158">
      <c r="A158" s="25" t="inlineStr">
        <is>
          <t>S39</t>
        </is>
      </c>
      <c r="B158" s="25" t="inlineStr">
        <is>
          <t>언양</t>
        </is>
      </c>
      <c r="C158" s="25" t="inlineStr">
        <is>
          <t>교류·일반철도</t>
        </is>
      </c>
      <c r="D158" s="30" t="n">
        <v>2</v>
      </c>
      <c r="E158" s="28" t="n"/>
      <c r="F158" s="31" t="n"/>
      <c r="G158" s="28" t="n"/>
      <c r="H158" s="32" t="n"/>
      <c r="I158" s="27" t="n"/>
      <c r="J158" s="27" t="n"/>
      <c r="K158" s="33" t="n"/>
      <c r="L158" s="33" t="n"/>
      <c r="M158" s="28" t="n"/>
      <c r="N158" s="28" t="n"/>
      <c r="O158" s="28" t="n"/>
      <c r="P158" s="28" t="n"/>
      <c r="Q158" s="31" t="n"/>
    </row>
    <row r="159">
      <c r="A159" s="25" t="inlineStr">
        <is>
          <t>S39</t>
        </is>
      </c>
      <c r="B159" s="25" t="inlineStr">
        <is>
          <t>언양</t>
        </is>
      </c>
      <c r="C159" s="25" t="inlineStr">
        <is>
          <t>고압철탑</t>
        </is>
      </c>
      <c r="D159" s="30" t="n">
        <v>1</v>
      </c>
      <c r="E159" s="28" t="n"/>
      <c r="F159" s="31" t="n"/>
      <c r="G159" s="28" t="n"/>
      <c r="H159" s="32" t="n"/>
      <c r="I159" s="27" t="n"/>
      <c r="J159" s="27" t="n"/>
      <c r="K159" s="33" t="n"/>
      <c r="L159" s="33" t="n"/>
      <c r="M159" s="28" t="n"/>
      <c r="N159" s="28" t="n"/>
      <c r="O159" s="28" t="n"/>
      <c r="P159" s="28" t="n"/>
      <c r="Q159" s="31" t="n"/>
    </row>
    <row r="160">
      <c r="A160" s="25" t="inlineStr">
        <is>
          <t>S39</t>
        </is>
      </c>
      <c r="B160" s="25" t="inlineStr">
        <is>
          <t>언양</t>
        </is>
      </c>
      <c r="C160" s="25" t="inlineStr">
        <is>
          <t>송전탑</t>
        </is>
      </c>
      <c r="D160" s="30" t="n">
        <v>0.5</v>
      </c>
      <c r="E160" s="28" t="n"/>
      <c r="F160" s="31" t="n"/>
      <c r="G160" s="28" t="n"/>
      <c r="H160" s="32" t="n"/>
      <c r="I160" s="27" t="n"/>
      <c r="J160" s="27" t="n"/>
      <c r="K160" s="33" t="n"/>
      <c r="L160" s="33" t="n"/>
      <c r="M160" s="28" t="n"/>
      <c r="N160" s="28" t="n"/>
      <c r="O160" s="28" t="n"/>
      <c r="P160" s="28" t="n"/>
      <c r="Q160" s="31" t="n"/>
    </row>
    <row r="161">
      <c r="A161" s="25" t="inlineStr">
        <is>
          <t>S40</t>
        </is>
      </c>
      <c r="B161" s="25" t="inlineStr">
        <is>
          <t>남지</t>
        </is>
      </c>
      <c r="C161" s="25" t="inlineStr">
        <is>
          <t>직류철도</t>
        </is>
      </c>
      <c r="D161" s="30" t="n">
        <v>5</v>
      </c>
      <c r="E161" s="28" t="n"/>
      <c r="F161" s="31" t="n"/>
      <c r="G161" s="28" t="n"/>
      <c r="H161" s="32" t="n"/>
      <c r="I161" s="27" t="n"/>
      <c r="J161" s="27" t="n"/>
      <c r="K161" s="33" t="n"/>
      <c r="L161" s="33" t="n"/>
      <c r="M161" s="28" t="n"/>
      <c r="N161" s="28" t="n"/>
      <c r="O161" s="28" t="n"/>
      <c r="P161" s="28" t="n"/>
      <c r="Q161" s="31" t="n"/>
    </row>
    <row r="162">
      <c r="A162" s="25" t="inlineStr">
        <is>
          <t>S40</t>
        </is>
      </c>
      <c r="B162" s="25" t="inlineStr">
        <is>
          <t>남지</t>
        </is>
      </c>
      <c r="C162" s="25" t="inlineStr">
        <is>
          <t>교류·일반철도</t>
        </is>
      </c>
      <c r="D162" s="30" t="n">
        <v>2</v>
      </c>
      <c r="E162" s="28" t="n"/>
      <c r="F162" s="31" t="n"/>
      <c r="G162" s="28" t="n"/>
      <c r="H162" s="32" t="n"/>
      <c r="I162" s="27" t="n"/>
      <c r="J162" s="27" t="n"/>
      <c r="K162" s="33" t="n"/>
      <c r="L162" s="33" t="n"/>
      <c r="M162" s="28" t="n"/>
      <c r="N162" s="28" t="n"/>
      <c r="O162" s="28" t="n"/>
      <c r="P162" s="28" t="n"/>
      <c r="Q162" s="31" t="n"/>
    </row>
    <row r="163">
      <c r="A163" s="25" t="inlineStr">
        <is>
          <t>S40</t>
        </is>
      </c>
      <c r="B163" s="25" t="inlineStr">
        <is>
          <t>남지</t>
        </is>
      </c>
      <c r="C163" s="25" t="inlineStr">
        <is>
          <t>고압철탑</t>
        </is>
      </c>
      <c r="D163" s="30" t="n">
        <v>1</v>
      </c>
      <c r="E163" s="28" t="n"/>
      <c r="F163" s="31" t="n"/>
      <c r="G163" s="28" t="n"/>
      <c r="H163" s="32" t="n"/>
      <c r="I163" s="27" t="n"/>
      <c r="J163" s="27" t="n"/>
      <c r="K163" s="33" t="n"/>
      <c r="L163" s="33" t="n"/>
      <c r="M163" s="28" t="n"/>
      <c r="N163" s="28" t="n"/>
      <c r="O163" s="28" t="n"/>
      <c r="P163" s="28" t="n"/>
      <c r="Q163" s="31" t="n"/>
    </row>
    <row r="164">
      <c r="A164" s="25" t="inlineStr">
        <is>
          <t>S40</t>
        </is>
      </c>
      <c r="B164" s="25" t="inlineStr">
        <is>
          <t>남지</t>
        </is>
      </c>
      <c r="C164" s="25" t="inlineStr">
        <is>
          <t>송전탑</t>
        </is>
      </c>
      <c r="D164" s="30" t="n">
        <v>0.5</v>
      </c>
      <c r="E164" s="28" t="n"/>
      <c r="F164" s="31" t="n"/>
      <c r="G164" s="28" t="n"/>
      <c r="H164" s="32" t="n"/>
      <c r="I164" s="27" t="n"/>
      <c r="J164" s="27" t="n"/>
      <c r="K164" s="33" t="n"/>
      <c r="L164" s="33" t="n"/>
      <c r="M164" s="28" t="n"/>
      <c r="N164" s="28" t="n"/>
      <c r="O164" s="28" t="n"/>
      <c r="P164" s="28" t="n"/>
      <c r="Q164" s="31" t="n"/>
    </row>
    <row r="165">
      <c r="A165" s="25" t="inlineStr">
        <is>
          <t>S41</t>
        </is>
      </c>
      <c r="B165" s="25" t="inlineStr">
        <is>
          <t>거제</t>
        </is>
      </c>
      <c r="C165" s="25" t="inlineStr">
        <is>
          <t>직류철도</t>
        </is>
      </c>
      <c r="D165" s="30" t="n">
        <v>5</v>
      </c>
      <c r="E165" s="28" t="n"/>
      <c r="F165" s="31" t="n"/>
      <c r="G165" s="28" t="n"/>
      <c r="H165" s="32" t="n"/>
      <c r="I165" s="27" t="n"/>
      <c r="J165" s="27" t="n"/>
      <c r="K165" s="33" t="n"/>
      <c r="L165" s="33" t="n"/>
      <c r="M165" s="28" t="n"/>
      <c r="N165" s="28" t="n"/>
      <c r="O165" s="28" t="n"/>
      <c r="P165" s="28" t="n"/>
      <c r="Q165" s="31" t="n"/>
    </row>
    <row r="166">
      <c r="A166" s="25" t="inlineStr">
        <is>
          <t>S41</t>
        </is>
      </c>
      <c r="B166" s="25" t="inlineStr">
        <is>
          <t>거제</t>
        </is>
      </c>
      <c r="C166" s="25" t="inlineStr">
        <is>
          <t>교류·일반철도</t>
        </is>
      </c>
      <c r="D166" s="30" t="n">
        <v>2</v>
      </c>
      <c r="E166" s="28" t="n"/>
      <c r="F166" s="31" t="n"/>
      <c r="G166" s="28" t="n"/>
      <c r="H166" s="32" t="n"/>
      <c r="I166" s="27" t="n"/>
      <c r="J166" s="27" t="n"/>
      <c r="K166" s="33" t="n"/>
      <c r="L166" s="33" t="n"/>
      <c r="M166" s="28" t="n"/>
      <c r="N166" s="28" t="n"/>
      <c r="O166" s="28" t="n"/>
      <c r="P166" s="28" t="n"/>
      <c r="Q166" s="31" t="n"/>
    </row>
    <row r="167">
      <c r="A167" s="25" t="inlineStr">
        <is>
          <t>S41</t>
        </is>
      </c>
      <c r="B167" s="25" t="inlineStr">
        <is>
          <t>거제</t>
        </is>
      </c>
      <c r="C167" s="25" t="inlineStr">
        <is>
          <t>고압철탑</t>
        </is>
      </c>
      <c r="D167" s="30" t="n">
        <v>1</v>
      </c>
      <c r="E167" s="28" t="n"/>
      <c r="F167" s="31" t="n"/>
      <c r="G167" s="28" t="n"/>
      <c r="H167" s="32" t="n"/>
      <c r="I167" s="27" t="n"/>
      <c r="J167" s="27" t="n"/>
      <c r="K167" s="33" t="n"/>
      <c r="L167" s="33" t="n"/>
      <c r="M167" s="28" t="n"/>
      <c r="N167" s="28" t="n"/>
      <c r="O167" s="28" t="n"/>
      <c r="P167" s="28" t="n"/>
      <c r="Q167" s="31" t="n"/>
    </row>
    <row r="168">
      <c r="A168" s="25" t="inlineStr">
        <is>
          <t>S41</t>
        </is>
      </c>
      <c r="B168" s="25" t="inlineStr">
        <is>
          <t>거제</t>
        </is>
      </c>
      <c r="C168" s="25" t="inlineStr">
        <is>
          <t>송전탑</t>
        </is>
      </c>
      <c r="D168" s="30" t="n">
        <v>0.5</v>
      </c>
      <c r="E168" s="28" t="n"/>
      <c r="F168" s="31" t="n"/>
      <c r="G168" s="28" t="n"/>
      <c r="H168" s="32" t="n"/>
      <c r="I168" s="27" t="n"/>
      <c r="J168" s="27" t="n"/>
      <c r="K168" s="33" t="n"/>
      <c r="L168" s="33" t="n"/>
      <c r="M168" s="28" t="n"/>
      <c r="N168" s="28" t="n"/>
      <c r="O168" s="28" t="n"/>
      <c r="P168" s="28" t="n"/>
      <c r="Q168" s="31" t="n"/>
    </row>
    <row r="169">
      <c r="A169" s="25" t="inlineStr">
        <is>
          <t>S42</t>
        </is>
      </c>
      <c r="B169" s="25" t="inlineStr">
        <is>
          <t>조도</t>
        </is>
      </c>
      <c r="C169" s="25" t="inlineStr">
        <is>
          <t>직류철도</t>
        </is>
      </c>
      <c r="D169" s="30" t="n">
        <v>5</v>
      </c>
      <c r="E169" s="28" t="n"/>
      <c r="F169" s="31" t="n"/>
      <c r="G169" s="28" t="n"/>
      <c r="H169" s="32" t="n"/>
      <c r="I169" s="27" t="n"/>
      <c r="J169" s="27" t="n"/>
      <c r="K169" s="33" t="n"/>
      <c r="L169" s="33" t="n"/>
      <c r="M169" s="28" t="n"/>
      <c r="N169" s="28" t="n"/>
      <c r="O169" s="28" t="n"/>
      <c r="P169" s="28" t="n"/>
      <c r="Q169" s="31" t="n"/>
    </row>
    <row r="170">
      <c r="A170" s="25" t="inlineStr">
        <is>
          <t>S42</t>
        </is>
      </c>
      <c r="B170" s="25" t="inlineStr">
        <is>
          <t>조도</t>
        </is>
      </c>
      <c r="C170" s="25" t="inlineStr">
        <is>
          <t>교류·일반철도</t>
        </is>
      </c>
      <c r="D170" s="30" t="n">
        <v>2</v>
      </c>
      <c r="E170" s="28" t="n"/>
      <c r="F170" s="31" t="n"/>
      <c r="G170" s="28" t="n"/>
      <c r="H170" s="32" t="n"/>
      <c r="I170" s="27" t="n"/>
      <c r="J170" s="27" t="n"/>
      <c r="K170" s="33" t="n"/>
      <c r="L170" s="33" t="n"/>
      <c r="M170" s="28" t="n"/>
      <c r="N170" s="28" t="n"/>
      <c r="O170" s="28" t="n"/>
      <c r="P170" s="28" t="n"/>
      <c r="Q170" s="31" t="n"/>
    </row>
    <row r="171">
      <c r="A171" s="25" t="inlineStr">
        <is>
          <t>S42</t>
        </is>
      </c>
      <c r="B171" s="25" t="inlineStr">
        <is>
          <t>조도</t>
        </is>
      </c>
      <c r="C171" s="25" t="inlineStr">
        <is>
          <t>고압철탑</t>
        </is>
      </c>
      <c r="D171" s="30" t="n">
        <v>1</v>
      </c>
      <c r="E171" s="28" t="n"/>
      <c r="F171" s="31" t="n"/>
      <c r="G171" s="28" t="n"/>
      <c r="H171" s="32" t="n"/>
      <c r="I171" s="27" t="n"/>
      <c r="J171" s="27" t="n"/>
      <c r="K171" s="33" t="n"/>
      <c r="L171" s="33" t="n"/>
      <c r="M171" s="28" t="n"/>
      <c r="N171" s="28" t="n"/>
      <c r="O171" s="28" t="n"/>
      <c r="P171" s="28" t="n"/>
      <c r="Q171" s="31" t="n"/>
    </row>
    <row r="172">
      <c r="A172" s="25" t="inlineStr">
        <is>
          <t>S42</t>
        </is>
      </c>
      <c r="B172" s="25" t="inlineStr">
        <is>
          <t>조도</t>
        </is>
      </c>
      <c r="C172" s="25" t="inlineStr">
        <is>
          <t>송전탑</t>
        </is>
      </c>
      <c r="D172" s="30" t="n">
        <v>0.5</v>
      </c>
      <c r="E172" s="28" t="n"/>
      <c r="F172" s="31" t="n"/>
      <c r="G172" s="28" t="n"/>
      <c r="H172" s="32" t="n"/>
      <c r="I172" s="27" t="n"/>
      <c r="J172" s="27" t="n"/>
      <c r="K172" s="33" t="n"/>
      <c r="L172" s="33" t="n"/>
      <c r="M172" s="28" t="n"/>
      <c r="N172" s="28" t="n"/>
      <c r="O172" s="28" t="n"/>
      <c r="P172" s="28" t="n"/>
      <c r="Q172" s="31" t="n"/>
    </row>
    <row r="173">
      <c r="A173" s="25" t="inlineStr">
        <is>
          <t>S43</t>
        </is>
      </c>
      <c r="B173" s="25" t="inlineStr">
        <is>
          <t>포천</t>
        </is>
      </c>
      <c r="C173" s="25" t="inlineStr">
        <is>
          <t>직류철도</t>
        </is>
      </c>
      <c r="D173" s="30" t="n">
        <v>5</v>
      </c>
      <c r="E173" s="28" t="n"/>
      <c r="F173" s="31" t="n"/>
      <c r="G173" s="28" t="n"/>
      <c r="H173" s="32" t="n"/>
      <c r="I173" s="27" t="n"/>
      <c r="J173" s="27" t="n"/>
      <c r="K173" s="33" t="n"/>
      <c r="L173" s="33" t="n"/>
      <c r="M173" s="28" t="n"/>
      <c r="N173" s="28" t="n"/>
      <c r="O173" s="28" t="n"/>
      <c r="P173" s="28" t="n"/>
      <c r="Q173" s="31" t="n"/>
    </row>
    <row r="174">
      <c r="A174" s="25" t="inlineStr">
        <is>
          <t>S43</t>
        </is>
      </c>
      <c r="B174" s="25" t="inlineStr">
        <is>
          <t>포천</t>
        </is>
      </c>
      <c r="C174" s="25" t="inlineStr">
        <is>
          <t>교류·일반철도</t>
        </is>
      </c>
      <c r="D174" s="30" t="n">
        <v>2</v>
      </c>
      <c r="E174" s="28" t="n"/>
      <c r="F174" s="31" t="n"/>
      <c r="G174" s="28" t="n"/>
      <c r="H174" s="32" t="n"/>
      <c r="I174" s="27" t="n"/>
      <c r="J174" s="27" t="n"/>
      <c r="K174" s="33" t="n"/>
      <c r="L174" s="33" t="n"/>
      <c r="M174" s="28" t="n"/>
      <c r="N174" s="28" t="n"/>
      <c r="O174" s="28" t="n"/>
      <c r="P174" s="28" t="n"/>
      <c r="Q174" s="31" t="n"/>
    </row>
    <row r="175">
      <c r="A175" s="25" t="inlineStr">
        <is>
          <t>S43</t>
        </is>
      </c>
      <c r="B175" s="25" t="inlineStr">
        <is>
          <t>포천</t>
        </is>
      </c>
      <c r="C175" s="25" t="inlineStr">
        <is>
          <t>고압철탑</t>
        </is>
      </c>
      <c r="D175" s="30" t="n">
        <v>1</v>
      </c>
      <c r="E175" s="28" t="n"/>
      <c r="F175" s="31" t="n"/>
      <c r="G175" s="28" t="n"/>
      <c r="H175" s="32" t="n"/>
      <c r="I175" s="27" t="n"/>
      <c r="J175" s="27" t="n"/>
      <c r="K175" s="33" t="n"/>
      <c r="L175" s="33" t="n"/>
      <c r="M175" s="28" t="n"/>
      <c r="N175" s="28" t="n"/>
      <c r="O175" s="28" t="n"/>
      <c r="P175" s="28" t="n"/>
      <c r="Q175" s="31" t="n"/>
    </row>
    <row r="176">
      <c r="A176" s="25" t="inlineStr">
        <is>
          <t>S43</t>
        </is>
      </c>
      <c r="B176" s="25" t="inlineStr">
        <is>
          <t>포천</t>
        </is>
      </c>
      <c r="C176" s="25" t="inlineStr">
        <is>
          <t>송전탑</t>
        </is>
      </c>
      <c r="D176" s="30" t="n">
        <v>0.5</v>
      </c>
      <c r="E176" s="28" t="n"/>
      <c r="F176" s="31" t="n"/>
      <c r="G176" s="28" t="n"/>
      <c r="H176" s="32" t="n"/>
      <c r="I176" s="27" t="n"/>
      <c r="J176" s="27" t="n"/>
      <c r="K176" s="33" t="n"/>
      <c r="L176" s="33" t="n"/>
      <c r="M176" s="28" t="n"/>
      <c r="N176" s="28" t="n"/>
      <c r="O176" s="28" t="n"/>
      <c r="P176" s="28" t="n"/>
      <c r="Q176" s="31" t="n"/>
    </row>
    <row r="177">
      <c r="A177" s="25" t="inlineStr">
        <is>
          <t>S44</t>
        </is>
      </c>
      <c r="B177" s="25" t="inlineStr">
        <is>
          <t>성산</t>
        </is>
      </c>
      <c r="C177" s="25" t="inlineStr">
        <is>
          <t>직류철도</t>
        </is>
      </c>
      <c r="D177" s="30" t="n">
        <v>5</v>
      </c>
      <c r="E177" s="28" t="n"/>
      <c r="F177" s="31" t="n"/>
      <c r="G177" s="28" t="n"/>
      <c r="H177" s="32" t="n"/>
      <c r="I177" s="27" t="n"/>
      <c r="J177" s="27" t="n"/>
      <c r="K177" s="33" t="n"/>
      <c r="L177" s="33" t="n"/>
      <c r="M177" s="28" t="n"/>
      <c r="N177" s="28" t="n"/>
      <c r="O177" s="28" t="n"/>
      <c r="P177" s="28" t="n"/>
      <c r="Q177" s="31" t="n"/>
    </row>
    <row r="178">
      <c r="A178" s="25" t="inlineStr">
        <is>
          <t>S44</t>
        </is>
      </c>
      <c r="B178" s="25" t="inlineStr">
        <is>
          <t>성산</t>
        </is>
      </c>
      <c r="C178" s="25" t="inlineStr">
        <is>
          <t>교류·일반철도</t>
        </is>
      </c>
      <c r="D178" s="30" t="n">
        <v>2</v>
      </c>
      <c r="E178" s="28" t="n"/>
      <c r="F178" s="31" t="n"/>
      <c r="G178" s="28" t="n"/>
      <c r="H178" s="32" t="n"/>
      <c r="I178" s="27" t="n"/>
      <c r="J178" s="27" t="n"/>
      <c r="K178" s="33" t="n"/>
      <c r="L178" s="33" t="n"/>
      <c r="M178" s="28" t="n"/>
      <c r="N178" s="28" t="n"/>
      <c r="O178" s="28" t="n"/>
      <c r="P178" s="28" t="n"/>
      <c r="Q178" s="31" t="n"/>
    </row>
    <row r="179">
      <c r="A179" s="25" t="inlineStr">
        <is>
          <t>S44</t>
        </is>
      </c>
      <c r="B179" s="25" t="inlineStr">
        <is>
          <t>성산</t>
        </is>
      </c>
      <c r="C179" s="25" t="inlineStr">
        <is>
          <t>고압철탑</t>
        </is>
      </c>
      <c r="D179" s="30" t="n">
        <v>1</v>
      </c>
      <c r="E179" s="28" t="n"/>
      <c r="F179" s="31" t="n"/>
      <c r="G179" s="28" t="n"/>
      <c r="H179" s="32" t="n"/>
      <c r="I179" s="27" t="n"/>
      <c r="J179" s="27" t="n"/>
      <c r="K179" s="33" t="n"/>
      <c r="L179" s="33" t="n"/>
      <c r="M179" s="28" t="n"/>
      <c r="N179" s="28" t="n"/>
      <c r="O179" s="28" t="n"/>
      <c r="P179" s="28" t="n"/>
      <c r="Q179" s="31" t="n"/>
    </row>
    <row r="180">
      <c r="A180" s="25" t="inlineStr">
        <is>
          <t>S44</t>
        </is>
      </c>
      <c r="B180" s="25" t="inlineStr">
        <is>
          <t>성산</t>
        </is>
      </c>
      <c r="C180" s="25" t="inlineStr">
        <is>
          <t>송전탑</t>
        </is>
      </c>
      <c r="D180" s="30" t="n">
        <v>0.5</v>
      </c>
      <c r="E180" s="28" t="n"/>
      <c r="F180" s="31" t="n"/>
      <c r="G180" s="28" t="n"/>
      <c r="H180" s="32" t="n"/>
      <c r="I180" s="27" t="n"/>
      <c r="J180" s="27" t="n"/>
      <c r="K180" s="33" t="n"/>
      <c r="L180" s="33" t="n"/>
      <c r="M180" s="28" t="n"/>
      <c r="N180" s="28" t="n"/>
      <c r="O180" s="28" t="n"/>
      <c r="P180" s="28" t="n"/>
      <c r="Q180" s="31" t="n"/>
    </row>
    <row r="181">
      <c r="A181" s="25" t="inlineStr">
        <is>
          <t>S45</t>
        </is>
      </c>
      <c r="B181" s="25" t="inlineStr">
        <is>
          <t>여주</t>
        </is>
      </c>
      <c r="C181" s="25" t="inlineStr">
        <is>
          <t>직류철도</t>
        </is>
      </c>
      <c r="D181" s="30" t="n">
        <v>5</v>
      </c>
      <c r="E181" s="28" t="n"/>
      <c r="F181" s="31" t="n"/>
      <c r="G181" s="28" t="n"/>
      <c r="H181" s="32" t="n"/>
      <c r="I181" s="27" t="n"/>
      <c r="J181" s="27" t="n"/>
      <c r="K181" s="33" t="n"/>
      <c r="L181" s="33" t="n"/>
      <c r="M181" s="28" t="n"/>
      <c r="N181" s="28" t="n"/>
      <c r="O181" s="28" t="n"/>
      <c r="P181" s="28" t="n"/>
      <c r="Q181" s="31" t="n"/>
    </row>
    <row r="182">
      <c r="A182" s="25" t="inlineStr">
        <is>
          <t>S45</t>
        </is>
      </c>
      <c r="B182" s="25" t="inlineStr">
        <is>
          <t>여주</t>
        </is>
      </c>
      <c r="C182" s="25" t="inlineStr">
        <is>
          <t>교류·일반철도</t>
        </is>
      </c>
      <c r="D182" s="30" t="n">
        <v>2</v>
      </c>
      <c r="E182" s="28" t="n"/>
      <c r="F182" s="31" t="n"/>
      <c r="G182" s="28" t="n"/>
      <c r="H182" s="32" t="n"/>
      <c r="I182" s="27" t="n"/>
      <c r="J182" s="27" t="n"/>
      <c r="K182" s="33" t="n"/>
      <c r="L182" s="33" t="n"/>
      <c r="M182" s="28" t="n"/>
      <c r="N182" s="28" t="n"/>
      <c r="O182" s="28" t="n"/>
      <c r="P182" s="28" t="n"/>
      <c r="Q182" s="31" t="n"/>
    </row>
    <row r="183">
      <c r="A183" s="25" t="inlineStr">
        <is>
          <t>S45</t>
        </is>
      </c>
      <c r="B183" s="25" t="inlineStr">
        <is>
          <t>여주</t>
        </is>
      </c>
      <c r="C183" s="25" t="inlineStr">
        <is>
          <t>고압철탑</t>
        </is>
      </c>
      <c r="D183" s="30" t="n">
        <v>1</v>
      </c>
      <c r="E183" s="28" t="n"/>
      <c r="F183" s="31" t="n"/>
      <c r="G183" s="28" t="n"/>
      <c r="H183" s="32" t="n"/>
      <c r="I183" s="27" t="n"/>
      <c r="J183" s="27" t="n"/>
      <c r="K183" s="33" t="n"/>
      <c r="L183" s="33" t="n"/>
      <c r="M183" s="28" t="n"/>
      <c r="N183" s="28" t="n"/>
      <c r="O183" s="28" t="n"/>
      <c r="P183" s="28" t="n"/>
      <c r="Q183" s="31" t="n"/>
    </row>
    <row r="184">
      <c r="A184" s="25" t="inlineStr">
        <is>
          <t>S45</t>
        </is>
      </c>
      <c r="B184" s="25" t="inlineStr">
        <is>
          <t>여주</t>
        </is>
      </c>
      <c r="C184" s="25" t="inlineStr">
        <is>
          <t>송전탑</t>
        </is>
      </c>
      <c r="D184" s="30" t="n">
        <v>0.5</v>
      </c>
      <c r="E184" s="28" t="n"/>
      <c r="F184" s="31" t="n"/>
      <c r="G184" s="28" t="n"/>
      <c r="H184" s="32" t="n"/>
      <c r="I184" s="27" t="n"/>
      <c r="J184" s="27" t="n"/>
      <c r="K184" s="33" t="n"/>
      <c r="L184" s="33" t="n"/>
      <c r="M184" s="28" t="n"/>
      <c r="N184" s="28" t="n"/>
      <c r="O184" s="28" t="n"/>
      <c r="P184" s="28" t="n"/>
      <c r="Q184" s="31" t="n"/>
    </row>
    <row r="185">
      <c r="A185" s="25" t="inlineStr">
        <is>
          <t>S46</t>
        </is>
      </c>
      <c r="B185" s="25" t="inlineStr">
        <is>
          <t>화천</t>
        </is>
      </c>
      <c r="C185" s="25" t="inlineStr">
        <is>
          <t>직류철도</t>
        </is>
      </c>
      <c r="D185" s="30" t="n">
        <v>5</v>
      </c>
      <c r="E185" s="28" t="n"/>
      <c r="F185" s="31" t="n"/>
      <c r="G185" s="28" t="n"/>
      <c r="H185" s="32" t="n"/>
      <c r="I185" s="27" t="n"/>
      <c r="J185" s="27" t="n"/>
      <c r="K185" s="33" t="n"/>
      <c r="L185" s="33" t="n"/>
      <c r="M185" s="28" t="n"/>
      <c r="N185" s="28" t="n"/>
      <c r="O185" s="28" t="n"/>
      <c r="P185" s="28" t="n"/>
      <c r="Q185" s="31" t="n"/>
    </row>
    <row r="186">
      <c r="A186" s="25" t="inlineStr">
        <is>
          <t>S46</t>
        </is>
      </c>
      <c r="B186" s="25" t="inlineStr">
        <is>
          <t>화천</t>
        </is>
      </c>
      <c r="C186" s="25" t="inlineStr">
        <is>
          <t>교류·일반철도</t>
        </is>
      </c>
      <c r="D186" s="30" t="n">
        <v>2</v>
      </c>
      <c r="E186" s="28" t="n"/>
      <c r="F186" s="31" t="n"/>
      <c r="G186" s="28" t="n"/>
      <c r="H186" s="32" t="n"/>
      <c r="I186" s="27" t="n"/>
      <c r="J186" s="27" t="n"/>
      <c r="K186" s="33" t="n"/>
      <c r="L186" s="33" t="n"/>
      <c r="M186" s="28" t="n"/>
      <c r="N186" s="28" t="n"/>
      <c r="O186" s="28" t="n"/>
      <c r="P186" s="28" t="n"/>
      <c r="Q186" s="31" t="n"/>
    </row>
    <row r="187">
      <c r="A187" s="25" t="inlineStr">
        <is>
          <t>S46</t>
        </is>
      </c>
      <c r="B187" s="25" t="inlineStr">
        <is>
          <t>화천</t>
        </is>
      </c>
      <c r="C187" s="25" t="inlineStr">
        <is>
          <t>고압철탑</t>
        </is>
      </c>
      <c r="D187" s="30" t="n">
        <v>1</v>
      </c>
      <c r="E187" s="28" t="n"/>
      <c r="F187" s="31" t="n"/>
      <c r="G187" s="28" t="n"/>
      <c r="H187" s="32" t="n"/>
      <c r="I187" s="27" t="n"/>
      <c r="J187" s="27" t="n"/>
      <c r="K187" s="33" t="n"/>
      <c r="L187" s="33" t="n"/>
      <c r="M187" s="28" t="n"/>
      <c r="N187" s="28" t="n"/>
      <c r="O187" s="28" t="n"/>
      <c r="P187" s="28" t="n"/>
      <c r="Q187" s="31" t="n"/>
    </row>
    <row r="188">
      <c r="A188" s="25" t="inlineStr">
        <is>
          <t>S46</t>
        </is>
      </c>
      <c r="B188" s="25" t="inlineStr">
        <is>
          <t>화천</t>
        </is>
      </c>
      <c r="C188" s="25" t="inlineStr">
        <is>
          <t>송전탑</t>
        </is>
      </c>
      <c r="D188" s="30" t="n">
        <v>0.5</v>
      </c>
      <c r="E188" s="28" t="n"/>
      <c r="F188" s="31" t="n"/>
      <c r="G188" s="28" t="n"/>
      <c r="H188" s="32" t="n"/>
      <c r="I188" s="27" t="n"/>
      <c r="J188" s="27" t="n"/>
      <c r="K188" s="33" t="n"/>
      <c r="L188" s="33" t="n"/>
      <c r="M188" s="28" t="n"/>
      <c r="N188" s="28" t="n"/>
      <c r="O188" s="28" t="n"/>
      <c r="P188" s="28" t="n"/>
      <c r="Q188" s="31" t="n"/>
    </row>
    <row r="189">
      <c r="A189" s="25" t="inlineStr">
        <is>
          <t>S47</t>
        </is>
      </c>
      <c r="B189" s="25" t="inlineStr">
        <is>
          <t>봉평</t>
        </is>
      </c>
      <c r="C189" s="25" t="inlineStr">
        <is>
          <t>직류철도</t>
        </is>
      </c>
      <c r="D189" s="30" t="n">
        <v>5</v>
      </c>
      <c r="E189" s="28" t="n"/>
      <c r="F189" s="31" t="n"/>
      <c r="G189" s="28" t="n"/>
      <c r="H189" s="32" t="n"/>
      <c r="I189" s="27" t="n"/>
      <c r="J189" s="27" t="n"/>
      <c r="K189" s="33" t="n"/>
      <c r="L189" s="33" t="n"/>
      <c r="M189" s="28" t="n"/>
      <c r="N189" s="28" t="n"/>
      <c r="O189" s="28" t="n"/>
      <c r="P189" s="28" t="n"/>
      <c r="Q189" s="31" t="n"/>
    </row>
    <row r="190">
      <c r="A190" s="25" t="inlineStr">
        <is>
          <t>S47</t>
        </is>
      </c>
      <c r="B190" s="25" t="inlineStr">
        <is>
          <t>봉평</t>
        </is>
      </c>
      <c r="C190" s="25" t="inlineStr">
        <is>
          <t>교류·일반철도</t>
        </is>
      </c>
      <c r="D190" s="30" t="n">
        <v>2</v>
      </c>
      <c r="E190" s="28" t="n"/>
      <c r="F190" s="31" t="n"/>
      <c r="G190" s="28" t="n"/>
      <c r="H190" s="32" t="n"/>
      <c r="I190" s="27" t="n"/>
      <c r="J190" s="27" t="n"/>
      <c r="K190" s="33" t="n"/>
      <c r="L190" s="33" t="n"/>
      <c r="M190" s="28" t="n"/>
      <c r="N190" s="28" t="n"/>
      <c r="O190" s="28" t="n"/>
      <c r="P190" s="28" t="n"/>
      <c r="Q190" s="31" t="n"/>
    </row>
    <row r="191">
      <c r="A191" s="25" t="inlineStr">
        <is>
          <t>S47</t>
        </is>
      </c>
      <c r="B191" s="25" t="inlineStr">
        <is>
          <t>봉평</t>
        </is>
      </c>
      <c r="C191" s="25" t="inlineStr">
        <is>
          <t>고압철탑</t>
        </is>
      </c>
      <c r="D191" s="30" t="n">
        <v>1</v>
      </c>
      <c r="E191" s="28" t="n"/>
      <c r="F191" s="31" t="n"/>
      <c r="G191" s="28" t="n"/>
      <c r="H191" s="32" t="n"/>
      <c r="I191" s="27" t="n"/>
      <c r="J191" s="27" t="n"/>
      <c r="K191" s="33" t="n"/>
      <c r="L191" s="33" t="n"/>
      <c r="M191" s="28" t="n"/>
      <c r="N191" s="28" t="n"/>
      <c r="O191" s="28" t="n"/>
      <c r="P191" s="28" t="n"/>
      <c r="Q191" s="31" t="n"/>
    </row>
    <row r="192">
      <c r="A192" s="25" t="inlineStr">
        <is>
          <t>S47</t>
        </is>
      </c>
      <c r="B192" s="25" t="inlineStr">
        <is>
          <t>봉평</t>
        </is>
      </c>
      <c r="C192" s="25" t="inlineStr">
        <is>
          <t>송전탑</t>
        </is>
      </c>
      <c r="D192" s="30" t="n">
        <v>0.5</v>
      </c>
      <c r="E192" s="28" t="n"/>
      <c r="F192" s="31" t="n"/>
      <c r="G192" s="28" t="n"/>
      <c r="H192" s="32" t="n"/>
      <c r="I192" s="27" t="n"/>
      <c r="J192" s="27" t="n"/>
      <c r="K192" s="33" t="n"/>
      <c r="L192" s="33" t="n"/>
      <c r="M192" s="28" t="n"/>
      <c r="N192" s="28" t="n"/>
      <c r="O192" s="28" t="n"/>
      <c r="P192" s="28" t="n"/>
      <c r="Q192" s="31" t="n"/>
    </row>
    <row r="193">
      <c r="A193" s="25" t="inlineStr">
        <is>
          <t>S48</t>
        </is>
      </c>
      <c r="B193" s="25" t="inlineStr">
        <is>
          <t>삼척</t>
        </is>
      </c>
      <c r="C193" s="25" t="inlineStr">
        <is>
          <t>직류철도</t>
        </is>
      </c>
      <c r="D193" s="30" t="n">
        <v>5</v>
      </c>
      <c r="E193" s="28" t="n"/>
      <c r="F193" s="31" t="n"/>
      <c r="G193" s="28" t="n"/>
      <c r="H193" s="32" t="n"/>
      <c r="I193" s="27" t="n"/>
      <c r="J193" s="27" t="n"/>
      <c r="K193" s="33" t="n"/>
      <c r="L193" s="33" t="n"/>
      <c r="M193" s="28" t="n"/>
      <c r="N193" s="28" t="n"/>
      <c r="O193" s="28" t="n"/>
      <c r="P193" s="28" t="n"/>
      <c r="Q193" s="31" t="n"/>
    </row>
    <row r="194">
      <c r="A194" s="25" t="inlineStr">
        <is>
          <t>S48</t>
        </is>
      </c>
      <c r="B194" s="25" t="inlineStr">
        <is>
          <t>삼척</t>
        </is>
      </c>
      <c r="C194" s="25" t="inlineStr">
        <is>
          <t>교류·일반철도</t>
        </is>
      </c>
      <c r="D194" s="30" t="n">
        <v>2</v>
      </c>
      <c r="E194" s="28" t="n"/>
      <c r="F194" s="31" t="n"/>
      <c r="G194" s="28" t="n"/>
      <c r="H194" s="32" t="n"/>
      <c r="I194" s="27" t="n"/>
      <c r="J194" s="27" t="n"/>
      <c r="K194" s="33" t="n"/>
      <c r="L194" s="33" t="n"/>
      <c r="M194" s="28" t="n"/>
      <c r="N194" s="28" t="n"/>
      <c r="O194" s="28" t="n"/>
      <c r="P194" s="28" t="n"/>
      <c r="Q194" s="31" t="n"/>
    </row>
    <row r="195">
      <c r="A195" s="25" t="inlineStr">
        <is>
          <t>S48</t>
        </is>
      </c>
      <c r="B195" s="25" t="inlineStr">
        <is>
          <t>삼척</t>
        </is>
      </c>
      <c r="C195" s="25" t="inlineStr">
        <is>
          <t>고압철탑</t>
        </is>
      </c>
      <c r="D195" s="30" t="n">
        <v>1</v>
      </c>
      <c r="E195" s="28" t="n"/>
      <c r="F195" s="31" t="n"/>
      <c r="G195" s="28" t="n"/>
      <c r="H195" s="32" t="n"/>
      <c r="I195" s="27" t="n"/>
      <c r="J195" s="27" t="n"/>
      <c r="K195" s="33" t="n"/>
      <c r="L195" s="33" t="n"/>
      <c r="M195" s="28" t="n"/>
      <c r="N195" s="28" t="n"/>
      <c r="O195" s="28" t="n"/>
      <c r="P195" s="28" t="n"/>
      <c r="Q195" s="31" t="n"/>
    </row>
    <row r="196">
      <c r="A196" s="25" t="inlineStr">
        <is>
          <t>S48</t>
        </is>
      </c>
      <c r="B196" s="25" t="inlineStr">
        <is>
          <t>삼척</t>
        </is>
      </c>
      <c r="C196" s="25" t="inlineStr">
        <is>
          <t>송전탑</t>
        </is>
      </c>
      <c r="D196" s="30" t="n">
        <v>0.5</v>
      </c>
      <c r="E196" s="28" t="n"/>
      <c r="F196" s="31" t="n"/>
      <c r="G196" s="28" t="n"/>
      <c r="H196" s="32" t="n"/>
      <c r="I196" s="27" t="n"/>
      <c r="J196" s="27" t="n"/>
      <c r="K196" s="33" t="n"/>
      <c r="L196" s="33" t="n"/>
      <c r="M196" s="28" t="n"/>
      <c r="N196" s="28" t="n"/>
      <c r="O196" s="28" t="n"/>
      <c r="P196" s="28" t="n"/>
      <c r="Q196" s="31" t="n"/>
    </row>
    <row r="197">
      <c r="A197" s="25" t="inlineStr">
        <is>
          <t>S49</t>
        </is>
      </c>
      <c r="B197" s="25" t="inlineStr">
        <is>
          <t>제천</t>
        </is>
      </c>
      <c r="C197" s="25" t="inlineStr">
        <is>
          <t>직류철도</t>
        </is>
      </c>
      <c r="D197" s="30" t="n">
        <v>5</v>
      </c>
      <c r="E197" s="28" t="n"/>
      <c r="F197" s="31" t="n"/>
      <c r="G197" s="28" t="n"/>
      <c r="H197" s="32" t="n"/>
      <c r="I197" s="27" t="n"/>
      <c r="J197" s="27" t="n"/>
      <c r="K197" s="33" t="n"/>
      <c r="L197" s="33" t="n"/>
      <c r="M197" s="28" t="n"/>
      <c r="N197" s="28" t="n"/>
      <c r="O197" s="28" t="n"/>
      <c r="P197" s="28" t="n"/>
      <c r="Q197" s="31" t="n"/>
    </row>
    <row r="198">
      <c r="A198" s="25" t="inlineStr">
        <is>
          <t>S49</t>
        </is>
      </c>
      <c r="B198" s="25" t="inlineStr">
        <is>
          <t>제천</t>
        </is>
      </c>
      <c r="C198" s="25" t="inlineStr">
        <is>
          <t>교류·일반철도</t>
        </is>
      </c>
      <c r="D198" s="30" t="n">
        <v>2</v>
      </c>
      <c r="E198" s="28" t="n"/>
      <c r="F198" s="31" t="n"/>
      <c r="G198" s="28" t="n"/>
      <c r="H198" s="32" t="n"/>
      <c r="I198" s="27" t="n"/>
      <c r="J198" s="27" t="n"/>
      <c r="K198" s="33" t="n"/>
      <c r="L198" s="33" t="n"/>
      <c r="M198" s="28" t="n"/>
      <c r="N198" s="28" t="n"/>
      <c r="O198" s="28" t="n"/>
      <c r="P198" s="28" t="n"/>
      <c r="Q198" s="31" t="n"/>
    </row>
    <row r="199">
      <c r="A199" s="25" t="inlineStr">
        <is>
          <t>S49</t>
        </is>
      </c>
      <c r="B199" s="25" t="inlineStr">
        <is>
          <t>제천</t>
        </is>
      </c>
      <c r="C199" s="25" t="inlineStr">
        <is>
          <t>고압철탑</t>
        </is>
      </c>
      <c r="D199" s="30" t="n">
        <v>1</v>
      </c>
      <c r="E199" s="28" t="n"/>
      <c r="F199" s="31" t="n"/>
      <c r="G199" s="28" t="n"/>
      <c r="H199" s="32" t="n"/>
      <c r="I199" s="27" t="n"/>
      <c r="J199" s="27" t="n"/>
      <c r="K199" s="33" t="n"/>
      <c r="L199" s="33" t="n"/>
      <c r="M199" s="28" t="n"/>
      <c r="N199" s="28" t="n"/>
      <c r="O199" s="28" t="n"/>
      <c r="P199" s="28" t="n"/>
      <c r="Q199" s="31" t="n"/>
    </row>
    <row r="200">
      <c r="A200" s="25" t="inlineStr">
        <is>
          <t>S49</t>
        </is>
      </c>
      <c r="B200" s="25" t="inlineStr">
        <is>
          <t>제천</t>
        </is>
      </c>
      <c r="C200" s="25" t="inlineStr">
        <is>
          <t>송전탑</t>
        </is>
      </c>
      <c r="D200" s="30" t="n">
        <v>0.5</v>
      </c>
      <c r="E200" s="28" t="n"/>
      <c r="F200" s="31" t="n"/>
      <c r="G200" s="28" t="n"/>
      <c r="H200" s="32" t="n"/>
      <c r="I200" s="27" t="n"/>
      <c r="J200" s="27" t="n"/>
      <c r="K200" s="33" t="n"/>
      <c r="L200" s="33" t="n"/>
      <c r="M200" s="28" t="n"/>
      <c r="N200" s="28" t="n"/>
      <c r="O200" s="28" t="n"/>
      <c r="P200" s="28" t="n"/>
      <c r="Q200" s="31" t="n"/>
    </row>
    <row r="201">
      <c r="A201" s="25" t="inlineStr">
        <is>
          <t>S50</t>
        </is>
      </c>
      <c r="B201" s="25" t="inlineStr">
        <is>
          <t>함양</t>
        </is>
      </c>
      <c r="C201" s="25" t="inlineStr">
        <is>
          <t>직류철도</t>
        </is>
      </c>
      <c r="D201" s="30" t="n">
        <v>5</v>
      </c>
      <c r="E201" s="28" t="n"/>
      <c r="F201" s="31" t="n"/>
      <c r="G201" s="28" t="n"/>
      <c r="H201" s="32" t="n"/>
      <c r="I201" s="27" t="n"/>
      <c r="J201" s="27" t="n"/>
      <c r="K201" s="33" t="n"/>
      <c r="L201" s="33" t="n"/>
      <c r="M201" s="28" t="n"/>
      <c r="N201" s="28" t="n"/>
      <c r="O201" s="28" t="n"/>
      <c r="P201" s="28" t="n"/>
      <c r="Q201" s="31" t="n"/>
    </row>
    <row r="202">
      <c r="A202" s="25" t="inlineStr">
        <is>
          <t>S50</t>
        </is>
      </c>
      <c r="B202" s="25" t="inlineStr">
        <is>
          <t>함양</t>
        </is>
      </c>
      <c r="C202" s="25" t="inlineStr">
        <is>
          <t>교류·일반철도</t>
        </is>
      </c>
      <c r="D202" s="30" t="n">
        <v>2</v>
      </c>
      <c r="E202" s="28" t="n"/>
      <c r="F202" s="31" t="n"/>
      <c r="G202" s="28" t="n"/>
      <c r="H202" s="32" t="n"/>
      <c r="I202" s="27" t="n"/>
      <c r="J202" s="27" t="n"/>
      <c r="K202" s="33" t="n"/>
      <c r="L202" s="33" t="n"/>
      <c r="M202" s="28" t="n"/>
      <c r="N202" s="28" t="n"/>
      <c r="O202" s="28" t="n"/>
      <c r="P202" s="28" t="n"/>
      <c r="Q202" s="31" t="n"/>
    </row>
    <row r="203">
      <c r="A203" s="25" t="inlineStr">
        <is>
          <t>S50</t>
        </is>
      </c>
      <c r="B203" s="25" t="inlineStr">
        <is>
          <t>함양</t>
        </is>
      </c>
      <c r="C203" s="25" t="inlineStr">
        <is>
          <t>고압철탑</t>
        </is>
      </c>
      <c r="D203" s="30" t="n">
        <v>1</v>
      </c>
      <c r="E203" s="28" t="n"/>
      <c r="F203" s="31" t="n"/>
      <c r="G203" s="28" t="n"/>
      <c r="H203" s="32" t="n"/>
      <c r="I203" s="27" t="n"/>
      <c r="J203" s="27" t="n"/>
      <c r="K203" s="33" t="n"/>
      <c r="L203" s="33" t="n"/>
      <c r="M203" s="28" t="n"/>
      <c r="N203" s="28" t="n"/>
      <c r="O203" s="28" t="n"/>
      <c r="P203" s="28" t="n"/>
      <c r="Q203" s="31" t="n"/>
    </row>
    <row r="204">
      <c r="A204" s="25" t="inlineStr">
        <is>
          <t>S50</t>
        </is>
      </c>
      <c r="B204" s="25" t="inlineStr">
        <is>
          <t>함양</t>
        </is>
      </c>
      <c r="C204" s="25" t="inlineStr">
        <is>
          <t>송전탑</t>
        </is>
      </c>
      <c r="D204" s="30" t="n">
        <v>0.5</v>
      </c>
      <c r="E204" s="28" t="n"/>
      <c r="F204" s="31" t="n"/>
      <c r="G204" s="28" t="n"/>
      <c r="H204" s="32" t="n"/>
      <c r="I204" s="27" t="n"/>
      <c r="J204" s="27" t="n"/>
      <c r="K204" s="33" t="n"/>
      <c r="L204" s="33" t="n"/>
      <c r="M204" s="28" t="n"/>
      <c r="N204" s="28" t="n"/>
      <c r="O204" s="28" t="n"/>
      <c r="P204" s="28" t="n"/>
      <c r="Q204" s="31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33" customHeight="1">
      <c r="A2" s="3" t="inlineStr">
        <is>
          <t>⚠ 「기존 성과가 있다」와 「직접 비교할 수 있다」는 다른 문제다. 과거 기록에는 마크 방위각 변동(재방문 잔여 RMS 33.7′)·F 측정시각 전무·방위 방향 혼동이 섞여 있다. 편각 D 와 시간보정이 필요한 F 는 무조건 직접 비교할 수 없다.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지점코드</t>
        </is>
      </c>
      <c r="D4" s="8" t="inlineStr">
        <is>
          <t>종전 성과 연도</t>
        </is>
      </c>
      <c r="E4" s="8" t="inlineStr">
        <is>
          <t>종전 편각(°)</t>
        </is>
      </c>
      <c r="F4" s="8" t="inlineStr">
        <is>
          <t>종전 복각(°)</t>
        </is>
      </c>
      <c r="G4" s="8" t="inlineStr">
        <is>
          <t>종전 총자력(nT)</t>
        </is>
      </c>
      <c r="H4" s="8" t="inlineStr">
        <is>
          <t>종전 관측장비</t>
        </is>
      </c>
      <c r="I4" s="8" t="inlineStr">
        <is>
          <t>현 물리점 식별</t>
        </is>
      </c>
      <c r="J4" s="8" t="inlineStr">
        <is>
          <t>공식 좌표 확인</t>
        </is>
      </c>
      <c r="K4" s="8" t="inlineStr">
        <is>
          <t>과거점 동일성</t>
        </is>
      </c>
      <c r="L4" s="8" t="inlineStr">
        <is>
          <t>동일 표석</t>
        </is>
      </c>
      <c r="M4" s="8" t="inlineStr">
        <is>
          <t>동일 표지</t>
        </is>
      </c>
      <c r="N4" s="8" t="inlineStr">
        <is>
          <t>D 대조가능</t>
        </is>
      </c>
      <c r="O4" s="8" t="inlineStr">
        <is>
          <t>I 대조가능</t>
        </is>
      </c>
      <c r="P4" s="8" t="inlineStr">
        <is>
          <t>F 대조가능</t>
        </is>
      </c>
      <c r="Q4" s="8" t="inlineStr">
        <is>
          <t>근거·비고</t>
        </is>
      </c>
    </row>
    <row r="5">
      <c r="A5" s="25" t="inlineStr">
        <is>
          <t>S35</t>
        </is>
      </c>
      <c r="B5" s="25" t="inlineStr">
        <is>
          <t>상주</t>
        </is>
      </c>
      <c r="C5" s="25" t="inlineStr">
        <is>
          <t>1-12-2</t>
        </is>
      </c>
      <c r="D5" s="25" t="inlineStr">
        <is>
          <t>2025.09.24.</t>
        </is>
      </c>
      <c r="E5" s="34" t="n">
        <v>-8.193992</v>
      </c>
      <c r="F5" s="34" t="n">
        <v>52.758553</v>
      </c>
      <c r="G5" s="35" t="n">
        <v>50560</v>
      </c>
      <c r="H5" s="25" t="inlineStr">
        <is>
          <t>MAG-02H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31" t="n"/>
    </row>
    <row r="6">
      <c r="A6" s="25" t="inlineStr">
        <is>
          <t>S36</t>
        </is>
      </c>
      <c r="B6" s="25" t="inlineStr">
        <is>
          <t>미원</t>
        </is>
      </c>
      <c r="C6" s="25" t="inlineStr">
        <is>
          <t>1-13-2</t>
        </is>
      </c>
      <c r="D6" s="25" t="inlineStr">
        <is>
          <t>2024.05.01.</t>
        </is>
      </c>
      <c r="E6" s="34" t="n">
        <v>-9.122263999999999</v>
      </c>
      <c r="F6" s="34" t="n">
        <v>53.412156</v>
      </c>
      <c r="G6" s="35" t="n">
        <v>50709.3</v>
      </c>
      <c r="H6" s="25" t="inlineStr">
        <is>
          <t>MAG-02H</t>
        </is>
      </c>
      <c r="I6" s="28" t="n"/>
      <c r="J6" s="28" t="n"/>
      <c r="K6" s="36" t="inlineStr">
        <is>
          <t>HOLD</t>
        </is>
      </c>
      <c r="L6" s="36" t="inlineStr">
        <is>
          <t>HOLD</t>
        </is>
      </c>
      <c r="M6" s="36" t="inlineStr">
        <is>
          <t>HOLD</t>
        </is>
      </c>
      <c r="N6" s="36" t="inlineStr">
        <is>
          <t>HOLD</t>
        </is>
      </c>
      <c r="O6" s="36" t="inlineStr">
        <is>
          <t>HOLD</t>
        </is>
      </c>
      <c r="P6" s="36" t="inlineStr">
        <is>
          <t>HOLD</t>
        </is>
      </c>
      <c r="Q6" s="31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5" t="inlineStr">
        <is>
          <t>S37</t>
        </is>
      </c>
      <c r="B7" s="25" t="inlineStr">
        <is>
          <t>부안</t>
        </is>
      </c>
      <c r="C7" s="25" t="inlineStr">
        <is>
          <t>1-17-2</t>
        </is>
      </c>
      <c r="D7" s="25" t="inlineStr">
        <is>
          <t>2025.11.04.</t>
        </is>
      </c>
      <c r="E7" s="34" t="n">
        <v>-8.473328</v>
      </c>
      <c r="F7" s="34" t="n">
        <v>52.376639</v>
      </c>
      <c r="G7" s="35" t="n">
        <v>50678.1</v>
      </c>
      <c r="H7" s="25" t="inlineStr">
        <is>
          <t>MAG-02H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31" t="n"/>
    </row>
    <row r="8">
      <c r="A8" s="25" t="inlineStr">
        <is>
          <t>S38</t>
        </is>
      </c>
      <c r="B8" s="25" t="inlineStr">
        <is>
          <t>강화</t>
        </is>
      </c>
      <c r="C8" s="25" t="inlineStr">
        <is>
          <t>1-2-3</t>
        </is>
      </c>
      <c r="D8" s="25" t="inlineStr">
        <is>
          <t>2024.04.17</t>
        </is>
      </c>
      <c r="E8" s="34" t="n">
        <v>-8.659731000000001</v>
      </c>
      <c r="F8" s="34" t="n">
        <v>54.765217</v>
      </c>
      <c r="G8" s="35" t="n">
        <v>51531.2</v>
      </c>
      <c r="H8" s="25" t="inlineStr">
        <is>
          <t>MAG-02H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31" t="n"/>
    </row>
    <row r="9">
      <c r="A9" s="25" t="inlineStr">
        <is>
          <t>S39</t>
        </is>
      </c>
      <c r="B9" s="25" t="inlineStr">
        <is>
          <t>언양</t>
        </is>
      </c>
      <c r="C9" s="25" t="inlineStr">
        <is>
          <t>1-23-1</t>
        </is>
      </c>
      <c r="D9" s="25" t="inlineStr">
        <is>
          <t>2024.10.17</t>
        </is>
      </c>
      <c r="E9" s="34" t="n">
        <v>-9.003038999999999</v>
      </c>
      <c r="F9" s="34" t="n">
        <v>51.749664</v>
      </c>
      <c r="G9" s="35" t="n">
        <v>49597.3</v>
      </c>
      <c r="H9" s="25" t="inlineStr">
        <is>
          <t>MAG-01H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31" t="n"/>
    </row>
    <row r="10">
      <c r="A10" s="25" t="inlineStr">
        <is>
          <t>S40</t>
        </is>
      </c>
      <c r="B10" s="25" t="inlineStr">
        <is>
          <t>남지</t>
        </is>
      </c>
      <c r="C10" s="25" t="inlineStr">
        <is>
          <t>1-24-3</t>
        </is>
      </c>
      <c r="D10" s="25" t="inlineStr">
        <is>
          <t>2019.06.24</t>
        </is>
      </c>
      <c r="E10" s="34" t="n">
        <v>-7.60285</v>
      </c>
      <c r="F10" s="34" t="n">
        <v>51.288442</v>
      </c>
      <c r="G10" s="35" t="n">
        <v>49481.8</v>
      </c>
      <c r="H10" s="25" t="inlineStr">
        <is>
          <t>MAG-01H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31" t="n"/>
    </row>
    <row r="11">
      <c r="A11" s="25" t="inlineStr">
        <is>
          <t>S41</t>
        </is>
      </c>
      <c r="B11" s="25" t="inlineStr">
        <is>
          <t>거제</t>
        </is>
      </c>
      <c r="C11" s="25" t="inlineStr">
        <is>
          <t>1-25-2</t>
        </is>
      </c>
      <c r="D11" s="25" t="inlineStr">
        <is>
          <t>2024.10.24.</t>
        </is>
      </c>
      <c r="E11" s="34" t="n">
        <v>-8.147074999999999</v>
      </c>
      <c r="F11" s="34" t="n">
        <v>51.198997</v>
      </c>
      <c r="G11" s="35" t="n">
        <v>49335.5</v>
      </c>
      <c r="H11" s="25" t="inlineStr">
        <is>
          <t>MAG-02H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31" t="n"/>
    </row>
    <row r="12">
      <c r="A12" s="25" t="inlineStr">
        <is>
          <t>S42</t>
        </is>
      </c>
      <c r="B12" s="25" t="inlineStr">
        <is>
          <t>조도</t>
        </is>
      </c>
      <c r="C12" s="25" t="inlineStr">
        <is>
          <t>1-29-2</t>
        </is>
      </c>
      <c r="D12" s="25" t="inlineStr">
        <is>
          <t>2010연구성과</t>
        </is>
      </c>
      <c r="E12" s="34" t="n">
        <v>-6.046111111111111</v>
      </c>
      <c r="F12" s="34" t="n">
        <v>50.36833333333333</v>
      </c>
      <c r="G12" s="35" t="n">
        <v>49534</v>
      </c>
      <c r="H12" s="25" t="inlineStr">
        <is>
          <t>연구성과보고서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31" t="n"/>
    </row>
    <row r="13">
      <c r="A13" s="25" t="inlineStr">
        <is>
          <t>S43</t>
        </is>
      </c>
      <c r="B13" s="25" t="inlineStr">
        <is>
          <t>포천</t>
        </is>
      </c>
      <c r="C13" s="25" t="inlineStr">
        <is>
          <t>1-3-3</t>
        </is>
      </c>
      <c r="D13" s="25" t="inlineStr">
        <is>
          <t>2025.05.27.</t>
        </is>
      </c>
      <c r="E13" s="34" t="n">
        <v>-9.245017000000001</v>
      </c>
      <c r="F13" s="34" t="n">
        <v>55.042983</v>
      </c>
      <c r="G13" s="35" t="n">
        <v>51495.3</v>
      </c>
      <c r="H13" s="25" t="inlineStr">
        <is>
          <t>MAG-02H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31" t="n"/>
    </row>
    <row r="14">
      <c r="A14" s="25" t="inlineStr">
        <is>
          <t>S44</t>
        </is>
      </c>
      <c r="B14" s="25" t="inlineStr">
        <is>
          <t>성산</t>
        </is>
      </c>
      <c r="C14" s="25" t="inlineStr">
        <is>
          <t>1-30-2</t>
        </is>
      </c>
      <c r="D14" s="25" t="inlineStr">
        <is>
          <t>2025.05.15</t>
        </is>
      </c>
      <c r="E14" s="34" t="n">
        <v>-8.658168999999999</v>
      </c>
      <c r="F14" s="34" t="n">
        <v>50.120781</v>
      </c>
      <c r="G14" s="35" t="n">
        <v>48909.9</v>
      </c>
      <c r="H14" s="25" t="inlineStr">
        <is>
          <t>MAG-03H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31" t="n"/>
    </row>
    <row r="15">
      <c r="A15" s="25" t="inlineStr">
        <is>
          <t>S45</t>
        </is>
      </c>
      <c r="B15" s="25" t="inlineStr">
        <is>
          <t>여주</t>
        </is>
      </c>
      <c r="C15" s="25" t="inlineStr">
        <is>
          <t>1-4-4</t>
        </is>
      </c>
      <c r="D15" s="25" t="inlineStr">
        <is>
          <t>2023.09.07</t>
        </is>
      </c>
      <c r="E15" s="34" t="n">
        <v>-9.267430555555556</v>
      </c>
      <c r="F15" s="34" t="n">
        <v>54.423825</v>
      </c>
      <c r="G15" s="35" t="n">
        <v>51174.98</v>
      </c>
      <c r="H15" s="25" t="inlineStr">
        <is>
          <t>MAG-01H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31" t="n"/>
    </row>
    <row r="16">
      <c r="A16" s="25" t="inlineStr">
        <is>
          <t>S46</t>
        </is>
      </c>
      <c r="B16" s="25" t="inlineStr">
        <is>
          <t>화천</t>
        </is>
      </c>
      <c r="C16" s="25" t="inlineStr">
        <is>
          <t>1-5-2</t>
        </is>
      </c>
      <c r="D16" s="25" t="inlineStr">
        <is>
          <t>2018.5.23</t>
        </is>
      </c>
      <c r="E16" s="34" t="n">
        <v>-8.933944</v>
      </c>
      <c r="F16" s="34" t="n">
        <v>54.944778</v>
      </c>
      <c r="G16" s="35" t="n">
        <v>51499.4</v>
      </c>
      <c r="H16" s="25" t="inlineStr">
        <is>
          <t>MAG-01H</t>
        </is>
      </c>
      <c r="I16" s="28" t="n"/>
      <c r="J16" s="28" t="n"/>
      <c r="K16" s="28" t="n"/>
      <c r="L16" s="28" t="n"/>
      <c r="M16" s="28" t="n"/>
      <c r="N16" s="28" t="n"/>
      <c r="O16" s="28" t="n"/>
      <c r="P16" s="28" t="n"/>
      <c r="Q16" s="31" t="n"/>
    </row>
    <row r="17">
      <c r="A17" s="25" t="inlineStr">
        <is>
          <t>S47</t>
        </is>
      </c>
      <c r="B17" s="25" t="inlineStr">
        <is>
          <t>봉평</t>
        </is>
      </c>
      <c r="C17" s="25" t="inlineStr">
        <is>
          <t>1-7-2</t>
        </is>
      </c>
      <c r="D17" s="25" t="inlineStr">
        <is>
          <t>2015</t>
        </is>
      </c>
      <c r="E17" s="34" t="n">
        <v>-8.446667</v>
      </c>
      <c r="F17" s="34" t="n">
        <v>54.1425</v>
      </c>
      <c r="G17" s="35" t="n">
        <v>50634</v>
      </c>
      <c r="H17" s="25" t="inlineStr">
        <is>
          <t>MAG-04H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31" t="n"/>
    </row>
    <row r="18">
      <c r="A18" s="25" t="inlineStr">
        <is>
          <t>S48</t>
        </is>
      </c>
      <c r="B18" s="25" t="inlineStr">
        <is>
          <t>삼척</t>
        </is>
      </c>
      <c r="C18" s="25" t="inlineStr">
        <is>
          <t>1-8-4</t>
        </is>
      </c>
      <c r="D18" s="25" t="inlineStr">
        <is>
          <t>2024.08.29.</t>
        </is>
      </c>
      <c r="E18" s="34" t="n">
        <v>-8.223682999999999</v>
      </c>
      <c r="F18" s="34" t="n">
        <v>54.325956</v>
      </c>
      <c r="G18" s="35" t="n">
        <v>50647.4</v>
      </c>
      <c r="H18" s="25" t="inlineStr">
        <is>
          <t>MAG-07H</t>
        </is>
      </c>
      <c r="I18" s="28" t="n"/>
      <c r="J18" s="28" t="n"/>
      <c r="K18" s="28" t="n"/>
      <c r="L18" s="28" t="n"/>
      <c r="M18" s="28" t="n"/>
      <c r="N18" s="28" t="n"/>
      <c r="O18" s="28" t="n"/>
      <c r="P18" s="28" t="n"/>
      <c r="Q18" s="31" t="n"/>
    </row>
    <row r="19">
      <c r="A19" s="25" t="inlineStr">
        <is>
          <t>S49</t>
        </is>
      </c>
      <c r="B19" s="25" t="inlineStr">
        <is>
          <t>제천</t>
        </is>
      </c>
      <c r="C19" s="25" t="inlineStr">
        <is>
          <t>1-9-2</t>
        </is>
      </c>
      <c r="D19" s="25" t="inlineStr">
        <is>
          <t>2015</t>
        </is>
      </c>
      <c r="E19" s="34" t="n">
        <v>-7.575278</v>
      </c>
      <c r="F19" s="34" t="n">
        <v>53.646944</v>
      </c>
      <c r="G19" s="35" t="n">
        <v>50410</v>
      </c>
      <c r="H19" s="25" t="inlineStr">
        <is>
          <t>MAG-09H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31" t="n"/>
    </row>
    <row r="20">
      <c r="A20" s="25" t="inlineStr">
        <is>
          <t>S50</t>
        </is>
      </c>
      <c r="B20" s="25" t="inlineStr">
        <is>
          <t>함양</t>
        </is>
      </c>
      <c r="C20" s="25" t="inlineStr">
        <is>
          <t>1-20-3</t>
        </is>
      </c>
      <c r="D20" s="25" t="inlineStr">
        <is>
          <t>2025.10.29.</t>
        </is>
      </c>
      <c r="E20" s="34" t="n">
        <v>-7.629208</v>
      </c>
      <c r="F20" s="34" t="n">
        <v>52.017197</v>
      </c>
      <c r="G20" s="35" t="n">
        <v>49779.9</v>
      </c>
      <c r="H20" s="25" t="inlineStr">
        <is>
          <t>MAG-02H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31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33" customHeight="1">
      <c r="A2" s="3" t="inlineStr">
        <is>
          <t>⚠ 규약: 진북 기준 · 북 = 0° · 시계방향 · FROM = 기준점 · TO = 방위표지. 현장 원시각은 «gon»(1회전 400 · 대척 200). 200 gon 역방향과 180° 역방향이 섞이면 대규모 오류가 난다.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7" t="inlineStr">
        <is>
          <t>Site ID</t>
        </is>
      </c>
      <c r="B4" s="7" t="inlineStr">
        <is>
          <t>Mark ID</t>
        </is>
      </c>
      <c r="C4" s="8" t="inlineStr">
        <is>
          <t>지점명</t>
        </is>
      </c>
      <c r="D4" s="8" t="inlineStr">
        <is>
          <t>표지 구분</t>
        </is>
      </c>
      <c r="E4" s="8" t="inlineStr">
        <is>
          <t>표지 위도</t>
        </is>
      </c>
      <c r="F4" s="8" t="inlineStr">
        <is>
          <t>표지 경도</t>
        </is>
      </c>
      <c r="G4" s="8" t="inlineStr">
        <is>
          <t>시준 지점(표지의 어디)</t>
        </is>
      </c>
      <c r="H4" s="8" t="inlineStr">
        <is>
          <t>FROM</t>
        </is>
      </c>
      <c r="I4" s="8" t="inlineStr">
        <is>
          <t>TO</t>
        </is>
      </c>
      <c r="J4" s="8" t="inlineStr">
        <is>
          <t>정 시준 원시각(gon)</t>
        </is>
      </c>
      <c r="K4" s="8" t="inlineStr">
        <is>
          <t>반 시준 원시각(gon)</t>
        </is>
      </c>
      <c r="L4" s="8" t="inlineStr">
        <is>
          <t>폐합차(gon)
계산</t>
        </is>
      </c>
      <c r="M4" s="8" t="inlineStr">
        <is>
          <t>참방위각(gon)</t>
        </is>
      </c>
      <c r="N4" s="8" t="inlineStr">
        <is>
          <t>참방위각(°)
계산</t>
        </is>
      </c>
      <c r="O4" s="8" t="inlineStr">
        <is>
          <t>역방위(°)
계산</t>
        </is>
      </c>
      <c r="P4" s="8" t="inlineStr">
        <is>
          <t>결정방법</t>
        </is>
      </c>
      <c r="Q4" s="8" t="inlineStr">
        <is>
          <t>근거좌표 정확도(m)</t>
        </is>
      </c>
      <c r="R4" s="8" t="inlineStr">
        <is>
          <t>이전 확정 방위각(°)</t>
        </is>
      </c>
      <c r="S4" s="8" t="inlineStr">
        <is>
          <t>이전값 대비 차(″)
계산</t>
        </is>
      </c>
      <c r="T4" s="8" t="inlineStr">
        <is>
          <t>재결정 사유</t>
        </is>
      </c>
    </row>
    <row r="5">
      <c r="A5" s="25" t="inlineStr">
        <is>
          <t>S01</t>
        </is>
      </c>
      <c r="B5" s="25" t="inlineStr">
        <is>
          <t>S01-M1</t>
        </is>
      </c>
      <c r="C5" s="25" t="inlineStr">
        <is>
          <t>태백 신규점</t>
        </is>
      </c>
      <c r="D5" s="25" t="inlineStr">
        <is>
          <t>방위표지1</t>
        </is>
      </c>
      <c r="E5" s="26" t="n">
        <v>37.02000693333333</v>
      </c>
      <c r="F5" s="26" t="n">
        <v>128.9839214583333</v>
      </c>
      <c r="G5" s="28" t="n"/>
      <c r="H5" s="37" t="inlineStr">
        <is>
          <t>기준점</t>
        </is>
      </c>
      <c r="I5" s="37" t="inlineStr">
        <is>
          <t>방위표지</t>
        </is>
      </c>
      <c r="J5" s="38" t="n"/>
      <c r="K5" s="38" t="n"/>
      <c r="L5" s="34">
        <f>IF(COUNT(J5:K5)=2,ABS(ABS(K5-J5)-200),"")</f>
        <v/>
      </c>
      <c r="M5" s="38" t="n"/>
      <c r="N5" s="34">
        <f>IF(ISNUMBER(M5),M5*0.9,"")</f>
        <v/>
      </c>
      <c r="O5" s="34">
        <f>IF(ISNUMBER(M5),MOD(M5*0.9+180,360),"")</f>
        <v/>
      </c>
      <c r="P5" s="28" t="n"/>
      <c r="Q5" s="29" t="n"/>
      <c r="R5" s="29" t="n"/>
      <c r="S5" s="30">
        <f>IF(AND(ISNUMBER(M5),ISNUMBER(R5)),(M5*0.9-R5)*3600,"")</f>
        <v/>
      </c>
      <c r="T5" s="28" t="n"/>
    </row>
    <row r="6">
      <c r="A6" s="25" t="inlineStr">
        <is>
          <t>S01</t>
        </is>
      </c>
      <c r="B6" s="25" t="inlineStr">
        <is>
          <t>S01-M2</t>
        </is>
      </c>
      <c r="C6" s="25" t="inlineStr">
        <is>
          <t>태백 신규점</t>
        </is>
      </c>
      <c r="D6" s="25" t="inlineStr">
        <is>
          <t>방위표지2</t>
        </is>
      </c>
      <c r="E6" s="26" t="n">
        <v>37.02171640277778</v>
      </c>
      <c r="F6" s="26" t="n">
        <v>128.9834711361111</v>
      </c>
      <c r="G6" s="28" t="n"/>
      <c r="H6" s="37" t="inlineStr">
        <is>
          <t>기준점</t>
        </is>
      </c>
      <c r="I6" s="37" t="inlineStr">
        <is>
          <t>방위표지</t>
        </is>
      </c>
      <c r="J6" s="38" t="n"/>
      <c r="K6" s="38" t="n"/>
      <c r="L6" s="34">
        <f>IF(COUNT(J6:K6)=2,ABS(ABS(K6-J6)-200),"")</f>
        <v/>
      </c>
      <c r="M6" s="38" t="n"/>
      <c r="N6" s="34">
        <f>IF(ISNUMBER(M6),M6*0.9,"")</f>
        <v/>
      </c>
      <c r="O6" s="34">
        <f>IF(ISNUMBER(M6),MOD(M6*0.9+180,360),"")</f>
        <v/>
      </c>
      <c r="P6" s="28" t="n"/>
      <c r="Q6" s="29" t="n"/>
      <c r="R6" s="29" t="n"/>
      <c r="S6" s="30">
        <f>IF(AND(ISNUMBER(M6),ISNUMBER(R6)),(M6*0.9-R6)*3600,"")</f>
        <v/>
      </c>
      <c r="T6" s="28" t="n"/>
    </row>
    <row r="7">
      <c r="A7" s="25" t="inlineStr">
        <is>
          <t>S02</t>
        </is>
      </c>
      <c r="B7" s="25" t="inlineStr">
        <is>
          <t>S02-M1</t>
        </is>
      </c>
      <c r="C7" s="25" t="inlineStr">
        <is>
          <t>임계 신규점1</t>
        </is>
      </c>
      <c r="D7" s="25" t="inlineStr">
        <is>
          <t>방위표지1</t>
        </is>
      </c>
      <c r="E7" s="26" t="n">
        <v>37.35869970833333</v>
      </c>
      <c r="F7" s="26" t="n">
        <v>128.9739014888889</v>
      </c>
      <c r="G7" s="28" t="n"/>
      <c r="H7" s="37" t="inlineStr">
        <is>
          <t>기준점</t>
        </is>
      </c>
      <c r="I7" s="37" t="inlineStr">
        <is>
          <t>방위표지</t>
        </is>
      </c>
      <c r="J7" s="38" t="n"/>
      <c r="K7" s="38" t="n"/>
      <c r="L7" s="34">
        <f>IF(COUNT(J7:K7)=2,ABS(ABS(K7-J7)-200),"")</f>
        <v/>
      </c>
      <c r="M7" s="38" t="n"/>
      <c r="N7" s="34">
        <f>IF(ISNUMBER(M7),M7*0.9,"")</f>
        <v/>
      </c>
      <c r="O7" s="34">
        <f>IF(ISNUMBER(M7),MOD(M7*0.9+180,360),"")</f>
        <v/>
      </c>
      <c r="P7" s="28" t="n"/>
      <c r="Q7" s="29" t="n"/>
      <c r="R7" s="29" t="n"/>
      <c r="S7" s="30">
        <f>IF(AND(ISNUMBER(M7),ISNUMBER(R7)),(M7*0.9-R7)*3600,"")</f>
        <v/>
      </c>
      <c r="T7" s="28" t="n"/>
    </row>
    <row r="8">
      <c r="A8" s="25" t="inlineStr">
        <is>
          <t>S02</t>
        </is>
      </c>
      <c r="B8" s="25" t="inlineStr">
        <is>
          <t>S02-M2</t>
        </is>
      </c>
      <c r="C8" s="25" t="inlineStr">
        <is>
          <t>임계 신규점1</t>
        </is>
      </c>
      <c r="D8" s="25" t="inlineStr">
        <is>
          <t>방위표지2</t>
        </is>
      </c>
      <c r="E8" s="26" t="n">
        <v>37.35852910555555</v>
      </c>
      <c r="F8" s="26" t="n">
        <v>128.9747658583333</v>
      </c>
      <c r="G8" s="28" t="n"/>
      <c r="H8" s="37" t="inlineStr">
        <is>
          <t>기준점</t>
        </is>
      </c>
      <c r="I8" s="37" t="inlineStr">
        <is>
          <t>방위표지</t>
        </is>
      </c>
      <c r="J8" s="38" t="n"/>
      <c r="K8" s="38" t="n"/>
      <c r="L8" s="34">
        <f>IF(COUNT(J8:K8)=2,ABS(ABS(K8-J8)-200),"")</f>
        <v/>
      </c>
      <c r="M8" s="38" t="n"/>
      <c r="N8" s="34">
        <f>IF(ISNUMBER(M8),M8*0.9,"")</f>
        <v/>
      </c>
      <c r="O8" s="34">
        <f>IF(ISNUMBER(M8),MOD(M8*0.9+180,360),"")</f>
        <v/>
      </c>
      <c r="P8" s="28" t="n"/>
      <c r="Q8" s="29" t="n"/>
      <c r="R8" s="29" t="n"/>
      <c r="S8" s="30">
        <f>IF(AND(ISNUMBER(M8),ISNUMBER(R8)),(M8*0.9-R8)*3600,"")</f>
        <v/>
      </c>
      <c r="T8" s="28" t="n"/>
    </row>
    <row r="9">
      <c r="A9" s="25" t="inlineStr">
        <is>
          <t>S03</t>
        </is>
      </c>
      <c r="B9" s="25" t="inlineStr">
        <is>
          <t>S03-M1</t>
        </is>
      </c>
      <c r="C9" s="25" t="inlineStr">
        <is>
          <t>예산 신규점2</t>
        </is>
      </c>
      <c r="D9" s="25" t="inlineStr">
        <is>
          <t>방위표지1</t>
        </is>
      </c>
      <c r="E9" s="26" t="n">
        <v>36.53409415277778</v>
      </c>
      <c r="F9" s="26" t="n">
        <v>126.9348136944444</v>
      </c>
      <c r="G9" s="28" t="n"/>
      <c r="H9" s="37" t="inlineStr">
        <is>
          <t>기준점</t>
        </is>
      </c>
      <c r="I9" s="37" t="inlineStr">
        <is>
          <t>방위표지</t>
        </is>
      </c>
      <c r="J9" s="38" t="n"/>
      <c r="K9" s="38" t="n"/>
      <c r="L9" s="34">
        <f>IF(COUNT(J9:K9)=2,ABS(ABS(K9-J9)-200),"")</f>
        <v/>
      </c>
      <c r="M9" s="38" t="n"/>
      <c r="N9" s="34">
        <f>IF(ISNUMBER(M9),M9*0.9,"")</f>
        <v/>
      </c>
      <c r="O9" s="34">
        <f>IF(ISNUMBER(M9),MOD(M9*0.9+180,360),"")</f>
        <v/>
      </c>
      <c r="P9" s="28" t="n"/>
      <c r="Q9" s="29" t="n"/>
      <c r="R9" s="29" t="n"/>
      <c r="S9" s="30">
        <f>IF(AND(ISNUMBER(M9),ISNUMBER(R9)),(M9*0.9-R9)*3600,"")</f>
        <v/>
      </c>
      <c r="T9" s="28" t="n"/>
    </row>
    <row r="10">
      <c r="A10" s="25" t="inlineStr">
        <is>
          <t>S03</t>
        </is>
      </c>
      <c r="B10" s="25" t="inlineStr">
        <is>
          <t>S03-M2</t>
        </is>
      </c>
      <c r="C10" s="25" t="inlineStr">
        <is>
          <t>예산 신규점2</t>
        </is>
      </c>
      <c r="D10" s="25" t="inlineStr">
        <is>
          <t>방위표지2</t>
        </is>
      </c>
      <c r="E10" s="26" t="n">
        <v>36.53369888611111</v>
      </c>
      <c r="F10" s="26" t="n">
        <v>126.9379807166667</v>
      </c>
      <c r="G10" s="28" t="n"/>
      <c r="H10" s="37" t="inlineStr">
        <is>
          <t>기준점</t>
        </is>
      </c>
      <c r="I10" s="37" t="inlineStr">
        <is>
          <t>방위표지</t>
        </is>
      </c>
      <c r="J10" s="38" t="n"/>
      <c r="K10" s="38" t="n"/>
      <c r="L10" s="34">
        <f>IF(COUNT(J10:K10)=2,ABS(ABS(K10-J10)-200),"")</f>
        <v/>
      </c>
      <c r="M10" s="38" t="n"/>
      <c r="N10" s="34">
        <f>IF(ISNUMBER(M10),M10*0.9,"")</f>
        <v/>
      </c>
      <c r="O10" s="34">
        <f>IF(ISNUMBER(M10),MOD(M10*0.9+180,360),"")</f>
        <v/>
      </c>
      <c r="P10" s="28" t="n"/>
      <c r="Q10" s="29" t="n"/>
      <c r="R10" s="29" t="n"/>
      <c r="S10" s="30">
        <f>IF(AND(ISNUMBER(M10),ISNUMBER(R10)),(M10*0.9-R10)*3600,"")</f>
        <v/>
      </c>
      <c r="T10" s="28" t="n"/>
    </row>
    <row r="11">
      <c r="A11" s="25" t="inlineStr">
        <is>
          <t>S04</t>
        </is>
      </c>
      <c r="B11" s="25" t="inlineStr">
        <is>
          <t>S04-M1</t>
        </is>
      </c>
      <c r="C11" s="25" t="inlineStr">
        <is>
          <t>진안 신규점1</t>
        </is>
      </c>
      <c r="D11" s="25" t="inlineStr">
        <is>
          <t>방위표지1</t>
        </is>
      </c>
      <c r="E11" s="26" t="n">
        <v>35.89187639722222</v>
      </c>
      <c r="F11" s="26" t="n">
        <v>127.3084895805556</v>
      </c>
      <c r="G11" s="28" t="n"/>
      <c r="H11" s="37" t="inlineStr">
        <is>
          <t>기준점</t>
        </is>
      </c>
      <c r="I11" s="37" t="inlineStr">
        <is>
          <t>방위표지</t>
        </is>
      </c>
      <c r="J11" s="38" t="n"/>
      <c r="K11" s="38" t="n"/>
      <c r="L11" s="34">
        <f>IF(COUNT(J11:K11)=2,ABS(ABS(K11-J11)-200),"")</f>
        <v/>
      </c>
      <c r="M11" s="38" t="n"/>
      <c r="N11" s="34">
        <f>IF(ISNUMBER(M11),M11*0.9,"")</f>
        <v/>
      </c>
      <c r="O11" s="34">
        <f>IF(ISNUMBER(M11),MOD(M11*0.9+180,360),"")</f>
        <v/>
      </c>
      <c r="P11" s="28" t="n"/>
      <c r="Q11" s="29" t="n"/>
      <c r="R11" s="29" t="n"/>
      <c r="S11" s="30">
        <f>IF(AND(ISNUMBER(M11),ISNUMBER(R11)),(M11*0.9-R11)*3600,"")</f>
        <v/>
      </c>
      <c r="T11" s="28" t="n"/>
    </row>
    <row r="12">
      <c r="A12" s="25" t="inlineStr">
        <is>
          <t>S04</t>
        </is>
      </c>
      <c r="B12" s="25" t="inlineStr">
        <is>
          <t>S04-M2</t>
        </is>
      </c>
      <c r="C12" s="25" t="inlineStr">
        <is>
          <t>진안 신규점1</t>
        </is>
      </c>
      <c r="D12" s="25" t="inlineStr">
        <is>
          <t>방위표지2</t>
        </is>
      </c>
      <c r="E12" s="26" t="n">
        <v>35.89031036388889</v>
      </c>
      <c r="F12" s="26" t="n">
        <v>127.3087851305555</v>
      </c>
      <c r="G12" s="28" t="n"/>
      <c r="H12" s="37" t="inlineStr">
        <is>
          <t>기준점</t>
        </is>
      </c>
      <c r="I12" s="37" t="inlineStr">
        <is>
          <t>방위표지</t>
        </is>
      </c>
      <c r="J12" s="38" t="n"/>
      <c r="K12" s="38" t="n"/>
      <c r="L12" s="34">
        <f>IF(COUNT(J12:K12)=2,ABS(ABS(K12-J12)-200),"")</f>
        <v/>
      </c>
      <c r="M12" s="38" t="n"/>
      <c r="N12" s="34">
        <f>IF(ISNUMBER(M12),M12*0.9,"")</f>
        <v/>
      </c>
      <c r="O12" s="34">
        <f>IF(ISNUMBER(M12),MOD(M12*0.9+180,360),"")</f>
        <v/>
      </c>
      <c r="P12" s="28" t="n"/>
      <c r="Q12" s="29" t="n"/>
      <c r="R12" s="29" t="n"/>
      <c r="S12" s="30">
        <f>IF(AND(ISNUMBER(M12),ISNUMBER(R12)),(M12*0.9-R12)*3600,"")</f>
        <v/>
      </c>
      <c r="T12" s="28" t="n"/>
    </row>
    <row r="13">
      <c r="A13" s="25" t="inlineStr">
        <is>
          <t>S05</t>
        </is>
      </c>
      <c r="B13" s="25" t="inlineStr">
        <is>
          <t>S05-M1</t>
        </is>
      </c>
      <c r="C13" s="25" t="inlineStr">
        <is>
          <t>무풍 신규점1</t>
        </is>
      </c>
      <c r="D13" s="25" t="inlineStr">
        <is>
          <t>방위표지1</t>
        </is>
      </c>
      <c r="E13" s="26" t="n">
        <v>35.94505332888888</v>
      </c>
      <c r="F13" s="26" t="n">
        <v>127.8005402961111</v>
      </c>
      <c r="G13" s="28" t="n"/>
      <c r="H13" s="37" t="inlineStr">
        <is>
          <t>기준점</t>
        </is>
      </c>
      <c r="I13" s="37" t="inlineStr">
        <is>
          <t>방위표지</t>
        </is>
      </c>
      <c r="J13" s="38" t="n"/>
      <c r="K13" s="38" t="n"/>
      <c r="L13" s="34">
        <f>IF(COUNT(J13:K13)=2,ABS(ABS(K13-J13)-200),"")</f>
        <v/>
      </c>
      <c r="M13" s="38" t="n"/>
      <c r="N13" s="34">
        <f>IF(ISNUMBER(M13),M13*0.9,"")</f>
        <v/>
      </c>
      <c r="O13" s="34">
        <f>IF(ISNUMBER(M13),MOD(M13*0.9+180,360),"")</f>
        <v/>
      </c>
      <c r="P13" s="28" t="n"/>
      <c r="Q13" s="29" t="n"/>
      <c r="R13" s="29" t="n"/>
      <c r="S13" s="30">
        <f>IF(AND(ISNUMBER(M13),ISNUMBER(R13)),(M13*0.9-R13)*3600,"")</f>
        <v/>
      </c>
      <c r="T13" s="28" t="n"/>
    </row>
    <row r="14">
      <c r="A14" s="25" t="inlineStr">
        <is>
          <t>S05</t>
        </is>
      </c>
      <c r="B14" s="25" t="inlineStr">
        <is>
          <t>S05-M2</t>
        </is>
      </c>
      <c r="C14" s="25" t="inlineStr">
        <is>
          <t>무풍 신규점1</t>
        </is>
      </c>
      <c r="D14" s="25" t="inlineStr">
        <is>
          <t>방위표지2</t>
        </is>
      </c>
      <c r="E14" s="26" t="n">
        <v>35.94630698</v>
      </c>
      <c r="F14" s="26" t="n">
        <v>127.8024070330556</v>
      </c>
      <c r="G14" s="28" t="n"/>
      <c r="H14" s="37" t="inlineStr">
        <is>
          <t>기준점</t>
        </is>
      </c>
      <c r="I14" s="37" t="inlineStr">
        <is>
          <t>방위표지</t>
        </is>
      </c>
      <c r="J14" s="38" t="n"/>
      <c r="K14" s="38" t="n"/>
      <c r="L14" s="34">
        <f>IF(COUNT(J14:K14)=2,ABS(ABS(K14-J14)-200),"")</f>
        <v/>
      </c>
      <c r="M14" s="38" t="n"/>
      <c r="N14" s="34">
        <f>IF(ISNUMBER(M14),M14*0.9,"")</f>
        <v/>
      </c>
      <c r="O14" s="34">
        <f>IF(ISNUMBER(M14),MOD(M14*0.9+180,360),"")</f>
        <v/>
      </c>
      <c r="P14" s="28" t="n"/>
      <c r="Q14" s="29" t="n"/>
      <c r="R14" s="29" t="n"/>
      <c r="S14" s="30">
        <f>IF(AND(ISNUMBER(M14),ISNUMBER(R14)),(M14*0.9-R14)*3600,"")</f>
        <v/>
      </c>
      <c r="T14" s="28" t="n"/>
    </row>
    <row r="15">
      <c r="A15" s="25" t="inlineStr">
        <is>
          <t>S06</t>
        </is>
      </c>
      <c r="B15" s="25" t="inlineStr">
        <is>
          <t>S06-M1</t>
        </is>
      </c>
      <c r="C15" s="25" t="inlineStr">
        <is>
          <t>길담 신규점</t>
        </is>
      </c>
      <c r="D15" s="25" t="inlineStr">
        <is>
          <t>방위표지1</t>
        </is>
      </c>
      <c r="E15" s="26" t="n">
        <v>35.60522805</v>
      </c>
      <c r="F15" s="26" t="n">
        <v>127.2301382</v>
      </c>
      <c r="G15" s="28" t="n"/>
      <c r="H15" s="37" t="inlineStr">
        <is>
          <t>기준점</t>
        </is>
      </c>
      <c r="I15" s="37" t="inlineStr">
        <is>
          <t>방위표지</t>
        </is>
      </c>
      <c r="J15" s="38" t="n"/>
      <c r="K15" s="38" t="n"/>
      <c r="L15" s="34">
        <f>IF(COUNT(J15:K15)=2,ABS(ABS(K15-J15)-200),"")</f>
        <v/>
      </c>
      <c r="M15" s="38" t="n"/>
      <c r="N15" s="34">
        <f>IF(ISNUMBER(M15),M15*0.9,"")</f>
        <v/>
      </c>
      <c r="O15" s="34">
        <f>IF(ISNUMBER(M15),MOD(M15*0.9+180,360),"")</f>
        <v/>
      </c>
      <c r="P15" s="28" t="n"/>
      <c r="Q15" s="29" t="n"/>
      <c r="R15" s="29" t="n"/>
      <c r="S15" s="30">
        <f>IF(AND(ISNUMBER(M15),ISNUMBER(R15)),(M15*0.9-R15)*3600,"")</f>
        <v/>
      </c>
      <c r="T15" s="28" t="n"/>
    </row>
    <row r="16">
      <c r="A16" s="25" t="inlineStr">
        <is>
          <t>S06</t>
        </is>
      </c>
      <c r="B16" s="25" t="inlineStr">
        <is>
          <t>S06-M2</t>
        </is>
      </c>
      <c r="C16" s="25" t="inlineStr">
        <is>
          <t>길담 신규점</t>
        </is>
      </c>
      <c r="D16" s="25" t="inlineStr">
        <is>
          <t>방위표지2</t>
        </is>
      </c>
      <c r="E16" s="26" t="n">
        <v>35.60412521944445</v>
      </c>
      <c r="F16" s="26" t="n">
        <v>127.2301907</v>
      </c>
      <c r="G16" s="28" t="n"/>
      <c r="H16" s="37" t="inlineStr">
        <is>
          <t>기준점</t>
        </is>
      </c>
      <c r="I16" s="37" t="inlineStr">
        <is>
          <t>방위표지</t>
        </is>
      </c>
      <c r="J16" s="38" t="n"/>
      <c r="K16" s="38" t="n"/>
      <c r="L16" s="34">
        <f>IF(COUNT(J16:K16)=2,ABS(ABS(K16-J16)-200),"")</f>
        <v/>
      </c>
      <c r="M16" s="38" t="n"/>
      <c r="N16" s="34">
        <f>IF(ISNUMBER(M16),M16*0.9,"")</f>
        <v/>
      </c>
      <c r="O16" s="34">
        <f>IF(ISNUMBER(M16),MOD(M16*0.9+180,360),"")</f>
        <v/>
      </c>
      <c r="P16" s="28" t="n"/>
      <c r="Q16" s="29" t="n"/>
      <c r="R16" s="29" t="n"/>
      <c r="S16" s="30">
        <f>IF(AND(ISNUMBER(M16),ISNUMBER(R16)),(M16*0.9-R16)*3600,"")</f>
        <v/>
      </c>
      <c r="T16" s="28" t="n"/>
    </row>
    <row r="17">
      <c r="A17" s="25" t="inlineStr">
        <is>
          <t>S07</t>
        </is>
      </c>
      <c r="B17" s="25" t="inlineStr">
        <is>
          <t>S07-M1</t>
        </is>
      </c>
      <c r="C17" s="25" t="inlineStr">
        <is>
          <t>남해 신규점1</t>
        </is>
      </c>
      <c r="D17" s="25" t="inlineStr">
        <is>
          <t>방위표지1</t>
        </is>
      </c>
      <c r="E17" s="26" t="n">
        <v>34.85201180833334</v>
      </c>
      <c r="F17" s="26" t="n">
        <v>127.9821716472222</v>
      </c>
      <c r="G17" s="28" t="n"/>
      <c r="H17" s="37" t="inlineStr">
        <is>
          <t>기준점</t>
        </is>
      </c>
      <c r="I17" s="37" t="inlineStr">
        <is>
          <t>방위표지</t>
        </is>
      </c>
      <c r="J17" s="38" t="n"/>
      <c r="K17" s="38" t="n"/>
      <c r="L17" s="34">
        <f>IF(COUNT(J17:K17)=2,ABS(ABS(K17-J17)-200),"")</f>
        <v/>
      </c>
      <c r="M17" s="38" t="n"/>
      <c r="N17" s="34">
        <f>IF(ISNUMBER(M17),M17*0.9,"")</f>
        <v/>
      </c>
      <c r="O17" s="34">
        <f>IF(ISNUMBER(M17),MOD(M17*0.9+180,360),"")</f>
        <v/>
      </c>
      <c r="P17" s="28" t="n"/>
      <c r="Q17" s="29" t="n"/>
      <c r="R17" s="29" t="n"/>
      <c r="S17" s="30">
        <f>IF(AND(ISNUMBER(M17),ISNUMBER(R17)),(M17*0.9-R17)*3600,"")</f>
        <v/>
      </c>
      <c r="T17" s="28" t="n"/>
    </row>
    <row r="18">
      <c r="A18" s="25" t="inlineStr">
        <is>
          <t>S07</t>
        </is>
      </c>
      <c r="B18" s="25" t="inlineStr">
        <is>
          <t>S07-M2</t>
        </is>
      </c>
      <c r="C18" s="25" t="inlineStr">
        <is>
          <t>남해 신규점1</t>
        </is>
      </c>
      <c r="D18" s="25" t="inlineStr">
        <is>
          <t>방위표지2</t>
        </is>
      </c>
      <c r="E18" s="26" t="n">
        <v>34.851693275</v>
      </c>
      <c r="F18" s="26" t="n">
        <v>127.9813727194445</v>
      </c>
      <c r="G18" s="28" t="n"/>
      <c r="H18" s="37" t="inlineStr">
        <is>
          <t>기준점</t>
        </is>
      </c>
      <c r="I18" s="37" t="inlineStr">
        <is>
          <t>방위표지</t>
        </is>
      </c>
      <c r="J18" s="38" t="n"/>
      <c r="K18" s="38" t="n"/>
      <c r="L18" s="34">
        <f>IF(COUNT(J18:K18)=2,ABS(ABS(K18-J18)-200),"")</f>
        <v/>
      </c>
      <c r="M18" s="38" t="n"/>
      <c r="N18" s="34">
        <f>IF(ISNUMBER(M18),M18*0.9,"")</f>
        <v/>
      </c>
      <c r="O18" s="34">
        <f>IF(ISNUMBER(M18),MOD(M18*0.9+180,360),"")</f>
        <v/>
      </c>
      <c r="P18" s="28" t="n"/>
      <c r="Q18" s="29" t="n"/>
      <c r="R18" s="29" t="n"/>
      <c r="S18" s="30">
        <f>IF(AND(ISNUMBER(M18),ISNUMBER(R18)),(M18*0.9-R18)*3600,"")</f>
        <v/>
      </c>
      <c r="T18" s="28" t="n"/>
    </row>
    <row r="19">
      <c r="A19" s="25" t="inlineStr">
        <is>
          <t>S08</t>
        </is>
      </c>
      <c r="B19" s="25" t="inlineStr">
        <is>
          <t>S08-M1</t>
        </is>
      </c>
      <c r="C19" s="25" t="inlineStr">
        <is>
          <t>청일 신규점2</t>
        </is>
      </c>
      <c r="D19" s="25" t="inlineStr">
        <is>
          <t>방위표지1</t>
        </is>
      </c>
      <c r="E19" s="26" t="n">
        <v>37.61797608333333</v>
      </c>
      <c r="F19" s="26" t="n">
        <v>128.1697351388889</v>
      </c>
      <c r="G19" s="28" t="n"/>
      <c r="H19" s="37" t="inlineStr">
        <is>
          <t>기준점</t>
        </is>
      </c>
      <c r="I19" s="37" t="inlineStr">
        <is>
          <t>방위표지</t>
        </is>
      </c>
      <c r="J19" s="38" t="n"/>
      <c r="K19" s="38" t="n"/>
      <c r="L19" s="34">
        <f>IF(COUNT(J19:K19)=2,ABS(ABS(K19-J19)-200),"")</f>
        <v/>
      </c>
      <c r="M19" s="38" t="n"/>
      <c r="N19" s="34">
        <f>IF(ISNUMBER(M19),M19*0.9,"")</f>
        <v/>
      </c>
      <c r="O19" s="34">
        <f>IF(ISNUMBER(M19),MOD(M19*0.9+180,360),"")</f>
        <v/>
      </c>
      <c r="P19" s="28" t="n"/>
      <c r="Q19" s="29" t="n"/>
      <c r="R19" s="29" t="n"/>
      <c r="S19" s="30">
        <f>IF(AND(ISNUMBER(M19),ISNUMBER(R19)),(M19*0.9-R19)*3600,"")</f>
        <v/>
      </c>
      <c r="T19" s="28" t="n"/>
    </row>
    <row r="20">
      <c r="A20" s="25" t="inlineStr">
        <is>
          <t>S08</t>
        </is>
      </c>
      <c r="B20" s="25" t="inlineStr">
        <is>
          <t>S08-M2</t>
        </is>
      </c>
      <c r="C20" s="25" t="inlineStr">
        <is>
          <t>청일 신규점2</t>
        </is>
      </c>
      <c r="D20" s="25" t="inlineStr">
        <is>
          <t>방위표지2</t>
        </is>
      </c>
      <c r="E20" s="26" t="n">
        <v>37.61877277777778</v>
      </c>
      <c r="F20" s="26" t="n">
        <v>128.1701220833333</v>
      </c>
      <c r="G20" s="28" t="n"/>
      <c r="H20" s="37" t="inlineStr">
        <is>
          <t>기준점</t>
        </is>
      </c>
      <c r="I20" s="37" t="inlineStr">
        <is>
          <t>방위표지</t>
        </is>
      </c>
      <c r="J20" s="38" t="n"/>
      <c r="K20" s="38" t="n"/>
      <c r="L20" s="34">
        <f>IF(COUNT(J20:K20)=2,ABS(ABS(K20-J20)-200),"")</f>
        <v/>
      </c>
      <c r="M20" s="38" t="n"/>
      <c r="N20" s="34">
        <f>IF(ISNUMBER(M20),M20*0.9,"")</f>
        <v/>
      </c>
      <c r="O20" s="34">
        <f>IF(ISNUMBER(M20),MOD(M20*0.9+180,360),"")</f>
        <v/>
      </c>
      <c r="P20" s="28" t="n"/>
      <c r="Q20" s="29" t="n"/>
      <c r="R20" s="29" t="n"/>
      <c r="S20" s="30">
        <f>IF(AND(ISNUMBER(M20),ISNUMBER(R20)),(M20*0.9-R20)*3600,"")</f>
        <v/>
      </c>
      <c r="T20" s="28" t="n"/>
    </row>
    <row r="21">
      <c r="A21" s="25" t="inlineStr">
        <is>
          <t>S09</t>
        </is>
      </c>
      <c r="B21" s="25" t="inlineStr">
        <is>
          <t>S09-M1</t>
        </is>
      </c>
      <c r="C21" s="25" t="inlineStr">
        <is>
          <t>어론 신규점</t>
        </is>
      </c>
      <c r="D21" s="25" t="inlineStr">
        <is>
          <t>방위표지1</t>
        </is>
      </c>
      <c r="E21" s="26" t="n">
        <v>37.77636436111111</v>
      </c>
      <c r="F21" s="26" t="n">
        <v>128.0754613833333</v>
      </c>
      <c r="G21" s="28" t="n"/>
      <c r="H21" s="37" t="inlineStr">
        <is>
          <t>기준점</t>
        </is>
      </c>
      <c r="I21" s="37" t="inlineStr">
        <is>
          <t>방위표지</t>
        </is>
      </c>
      <c r="J21" s="38" t="n"/>
      <c r="K21" s="38" t="n"/>
      <c r="L21" s="34">
        <f>IF(COUNT(J21:K21)=2,ABS(ABS(K21-J21)-200),"")</f>
        <v/>
      </c>
      <c r="M21" s="38" t="n"/>
      <c r="N21" s="34">
        <f>IF(ISNUMBER(M21),M21*0.9,"")</f>
        <v/>
      </c>
      <c r="O21" s="34">
        <f>IF(ISNUMBER(M21),MOD(M21*0.9+180,360),"")</f>
        <v/>
      </c>
      <c r="P21" s="28" t="n"/>
      <c r="Q21" s="29" t="n"/>
      <c r="R21" s="29" t="n"/>
      <c r="S21" s="30">
        <f>IF(AND(ISNUMBER(M21),ISNUMBER(R21)),(M21*0.9-R21)*3600,"")</f>
        <v/>
      </c>
      <c r="T21" s="28" t="n"/>
    </row>
    <row r="22">
      <c r="A22" s="25" t="inlineStr">
        <is>
          <t>S09</t>
        </is>
      </c>
      <c r="B22" s="25" t="inlineStr">
        <is>
          <t>S09-M2</t>
        </is>
      </c>
      <c r="C22" s="25" t="inlineStr">
        <is>
          <t>어론 신규점</t>
        </is>
      </c>
      <c r="D22" s="25" t="inlineStr">
        <is>
          <t>방위표지2</t>
        </is>
      </c>
      <c r="E22" s="26" t="n">
        <v>37.77592578888889</v>
      </c>
      <c r="F22" s="26" t="n">
        <v>128.0757999888889</v>
      </c>
      <c r="G22" s="28" t="n"/>
      <c r="H22" s="37" t="inlineStr">
        <is>
          <t>기준점</t>
        </is>
      </c>
      <c r="I22" s="37" t="inlineStr">
        <is>
          <t>방위표지</t>
        </is>
      </c>
      <c r="J22" s="38" t="n"/>
      <c r="K22" s="38" t="n"/>
      <c r="L22" s="34">
        <f>IF(COUNT(J22:K22)=2,ABS(ABS(K22-J22)-200),"")</f>
        <v/>
      </c>
      <c r="M22" s="38" t="n"/>
      <c r="N22" s="34">
        <f>IF(ISNUMBER(M22),M22*0.9,"")</f>
        <v/>
      </c>
      <c r="O22" s="34">
        <f>IF(ISNUMBER(M22),MOD(M22*0.9+180,360),"")</f>
        <v/>
      </c>
      <c r="P22" s="28" t="n"/>
      <c r="Q22" s="29" t="n"/>
      <c r="R22" s="29" t="n"/>
      <c r="S22" s="30">
        <f>IF(AND(ISNUMBER(M22),ISNUMBER(R22)),(M22*0.9-R22)*3600,"")</f>
        <v/>
      </c>
      <c r="T22" s="28" t="n"/>
    </row>
    <row r="23">
      <c r="A23" s="25" t="inlineStr">
        <is>
          <t>S10</t>
        </is>
      </c>
      <c r="B23" s="25" t="inlineStr">
        <is>
          <t>S10-M1</t>
        </is>
      </c>
      <c r="C23" s="25" t="inlineStr">
        <is>
          <t>예안 신규점1</t>
        </is>
      </c>
      <c r="D23" s="25" t="inlineStr">
        <is>
          <t>방위표지1</t>
        </is>
      </c>
      <c r="E23" s="26" t="n">
        <v>36.74535440277778</v>
      </c>
      <c r="F23" s="26" t="n">
        <v>128.8535571722222</v>
      </c>
      <c r="G23" s="28" t="n"/>
      <c r="H23" s="37" t="inlineStr">
        <is>
          <t>기준점</t>
        </is>
      </c>
      <c r="I23" s="37" t="inlineStr">
        <is>
          <t>방위표지</t>
        </is>
      </c>
      <c r="J23" s="38" t="n"/>
      <c r="K23" s="38" t="n"/>
      <c r="L23" s="34">
        <f>IF(COUNT(J23:K23)=2,ABS(ABS(K23-J23)-200),"")</f>
        <v/>
      </c>
      <c r="M23" s="38" t="n"/>
      <c r="N23" s="34">
        <f>IF(ISNUMBER(M23),M23*0.9,"")</f>
        <v/>
      </c>
      <c r="O23" s="34">
        <f>IF(ISNUMBER(M23),MOD(M23*0.9+180,360),"")</f>
        <v/>
      </c>
      <c r="P23" s="28" t="n"/>
      <c r="Q23" s="29" t="n"/>
      <c r="R23" s="29" t="n"/>
      <c r="S23" s="30">
        <f>IF(AND(ISNUMBER(M23),ISNUMBER(R23)),(M23*0.9-R23)*3600,"")</f>
        <v/>
      </c>
      <c r="T23" s="28" t="n"/>
    </row>
    <row r="24">
      <c r="A24" s="25" t="inlineStr">
        <is>
          <t>S10</t>
        </is>
      </c>
      <c r="B24" s="25" t="inlineStr">
        <is>
          <t>S10-M2</t>
        </is>
      </c>
      <c r="C24" s="25" t="inlineStr">
        <is>
          <t>예안 신규점1</t>
        </is>
      </c>
      <c r="D24" s="25" t="inlineStr">
        <is>
          <t>방위표지2</t>
        </is>
      </c>
      <c r="E24" s="26" t="n">
        <v>36.74491753888889</v>
      </c>
      <c r="F24" s="26" t="n">
        <v>128.8532282277778</v>
      </c>
      <c r="G24" s="28" t="n"/>
      <c r="H24" s="37" t="inlineStr">
        <is>
          <t>기준점</t>
        </is>
      </c>
      <c r="I24" s="37" t="inlineStr">
        <is>
          <t>방위표지</t>
        </is>
      </c>
      <c r="J24" s="38" t="n"/>
      <c r="K24" s="38" t="n"/>
      <c r="L24" s="34">
        <f>IF(COUNT(J24:K24)=2,ABS(ABS(K24-J24)-200),"")</f>
        <v/>
      </c>
      <c r="M24" s="38" t="n"/>
      <c r="N24" s="34">
        <f>IF(ISNUMBER(M24),M24*0.9,"")</f>
        <v/>
      </c>
      <c r="O24" s="34">
        <f>IF(ISNUMBER(M24),MOD(M24*0.9+180,360),"")</f>
        <v/>
      </c>
      <c r="P24" s="28" t="n"/>
      <c r="Q24" s="29" t="n"/>
      <c r="R24" s="29" t="n"/>
      <c r="S24" s="30">
        <f>IF(AND(ISNUMBER(M24),ISNUMBER(R24)),(M24*0.9-R24)*3600,"")</f>
        <v/>
      </c>
      <c r="T24" s="28" t="n"/>
    </row>
    <row r="25">
      <c r="A25" s="25" t="inlineStr">
        <is>
          <t>S11</t>
        </is>
      </c>
      <c r="B25" s="25" t="inlineStr">
        <is>
          <t>S11-M1</t>
        </is>
      </c>
      <c r="C25" s="25" t="inlineStr">
        <is>
          <t>소천 신규점4</t>
        </is>
      </c>
      <c r="D25" s="25" t="inlineStr">
        <is>
          <t>방위표지1</t>
        </is>
      </c>
      <c r="E25" s="26" t="n">
        <v>36.76564758611111</v>
      </c>
      <c r="F25" s="26" t="n">
        <v>129.1538573666667</v>
      </c>
      <c r="G25" s="28" t="n"/>
      <c r="H25" s="37" t="inlineStr">
        <is>
          <t>기준점</t>
        </is>
      </c>
      <c r="I25" s="37" t="inlineStr">
        <is>
          <t>방위표지</t>
        </is>
      </c>
      <c r="J25" s="38" t="n"/>
      <c r="K25" s="38" t="n"/>
      <c r="L25" s="34">
        <f>IF(COUNT(J25:K25)=2,ABS(ABS(K25-J25)-200),"")</f>
        <v/>
      </c>
      <c r="M25" s="38" t="n"/>
      <c r="N25" s="34">
        <f>IF(ISNUMBER(M25),M25*0.9,"")</f>
        <v/>
      </c>
      <c r="O25" s="34">
        <f>IF(ISNUMBER(M25),MOD(M25*0.9+180,360),"")</f>
        <v/>
      </c>
      <c r="P25" s="28" t="n"/>
      <c r="Q25" s="29" t="n"/>
      <c r="R25" s="29" t="n"/>
      <c r="S25" s="30">
        <f>IF(AND(ISNUMBER(M25),ISNUMBER(R25)),(M25*0.9-R25)*3600,"")</f>
        <v/>
      </c>
      <c r="T25" s="28" t="n"/>
    </row>
    <row r="26">
      <c r="A26" s="25" t="inlineStr">
        <is>
          <t>S11</t>
        </is>
      </c>
      <c r="B26" s="25" t="inlineStr">
        <is>
          <t>S11-M2</t>
        </is>
      </c>
      <c r="C26" s="25" t="inlineStr">
        <is>
          <t>소천 신규점4</t>
        </is>
      </c>
      <c r="D26" s="25" t="inlineStr">
        <is>
          <t>방위표지2</t>
        </is>
      </c>
      <c r="E26" s="26" t="n">
        <v>36.76601024444444</v>
      </c>
      <c r="F26" s="26" t="n">
        <v>129.15444195</v>
      </c>
      <c r="G26" s="28" t="n"/>
      <c r="H26" s="37" t="inlineStr">
        <is>
          <t>기준점</t>
        </is>
      </c>
      <c r="I26" s="37" t="inlineStr">
        <is>
          <t>방위표지</t>
        </is>
      </c>
      <c r="J26" s="38" t="n"/>
      <c r="K26" s="38" t="n"/>
      <c r="L26" s="34">
        <f>IF(COUNT(J26:K26)=2,ABS(ABS(K26-J26)-200),"")</f>
        <v/>
      </c>
      <c r="M26" s="38" t="n"/>
      <c r="N26" s="34">
        <f>IF(ISNUMBER(M26),M26*0.9,"")</f>
        <v/>
      </c>
      <c r="O26" s="34">
        <f>IF(ISNUMBER(M26),MOD(M26*0.9+180,360),"")</f>
        <v/>
      </c>
      <c r="P26" s="28" t="n"/>
      <c r="Q26" s="29" t="n"/>
      <c r="R26" s="29" t="n"/>
      <c r="S26" s="30">
        <f>IF(AND(ISNUMBER(M26),ISNUMBER(R26)),(M26*0.9-R26)*3600,"")</f>
        <v/>
      </c>
      <c r="T26" s="28" t="n"/>
    </row>
    <row r="27">
      <c r="A27" s="25" t="inlineStr">
        <is>
          <t>S12</t>
        </is>
      </c>
      <c r="B27" s="25" t="inlineStr">
        <is>
          <t>S12-M1</t>
        </is>
      </c>
      <c r="C27" s="25" t="inlineStr">
        <is>
          <t>순창 신규점</t>
        </is>
      </c>
      <c r="D27" s="25" t="inlineStr">
        <is>
          <t>방위표지1</t>
        </is>
      </c>
      <c r="E27" s="26" t="n">
        <v>35.28499025555556</v>
      </c>
      <c r="F27" s="26" t="n">
        <v>127.0942923083333</v>
      </c>
      <c r="G27" s="28" t="n"/>
      <c r="H27" s="37" t="inlineStr">
        <is>
          <t>기준점</t>
        </is>
      </c>
      <c r="I27" s="37" t="inlineStr">
        <is>
          <t>방위표지</t>
        </is>
      </c>
      <c r="J27" s="38" t="n"/>
      <c r="K27" s="38" t="n"/>
      <c r="L27" s="34">
        <f>IF(COUNT(J27:K27)=2,ABS(ABS(K27-J27)-200),"")</f>
        <v/>
      </c>
      <c r="M27" s="38" t="n"/>
      <c r="N27" s="34">
        <f>IF(ISNUMBER(M27),M27*0.9,"")</f>
        <v/>
      </c>
      <c r="O27" s="34">
        <f>IF(ISNUMBER(M27),MOD(M27*0.9+180,360),"")</f>
        <v/>
      </c>
      <c r="P27" s="28" t="n"/>
      <c r="Q27" s="29" t="n"/>
      <c r="R27" s="29" t="n"/>
      <c r="S27" s="30">
        <f>IF(AND(ISNUMBER(M27),ISNUMBER(R27)),(M27*0.9-R27)*3600,"")</f>
        <v/>
      </c>
      <c r="T27" s="28" t="n"/>
    </row>
    <row r="28">
      <c r="A28" s="25" t="inlineStr">
        <is>
          <t>S12</t>
        </is>
      </c>
      <c r="B28" s="25" t="inlineStr">
        <is>
          <t>S12-M2</t>
        </is>
      </c>
      <c r="C28" s="25" t="inlineStr">
        <is>
          <t>순창 신규점</t>
        </is>
      </c>
      <c r="D28" s="25" t="inlineStr">
        <is>
          <t>방위표지2</t>
        </is>
      </c>
      <c r="E28" s="26" t="n">
        <v>35.28498230555555</v>
      </c>
      <c r="F28" s="26" t="n">
        <v>127.0952196972222</v>
      </c>
      <c r="G28" s="28" t="n"/>
      <c r="H28" s="37" t="inlineStr">
        <is>
          <t>기준점</t>
        </is>
      </c>
      <c r="I28" s="37" t="inlineStr">
        <is>
          <t>방위표지</t>
        </is>
      </c>
      <c r="J28" s="38" t="n"/>
      <c r="K28" s="38" t="n"/>
      <c r="L28" s="34">
        <f>IF(COUNT(J28:K28)=2,ABS(ABS(K28-J28)-200),"")</f>
        <v/>
      </c>
      <c r="M28" s="38" t="n"/>
      <c r="N28" s="34">
        <f>IF(ISNUMBER(M28),M28*0.9,"")</f>
        <v/>
      </c>
      <c r="O28" s="34">
        <f>IF(ISNUMBER(M28),MOD(M28*0.9+180,360),"")</f>
        <v/>
      </c>
      <c r="P28" s="28" t="n"/>
      <c r="Q28" s="29" t="n"/>
      <c r="R28" s="29" t="n"/>
      <c r="S28" s="30">
        <f>IF(AND(ISNUMBER(M28),ISNUMBER(R28)),(M28*0.9-R28)*3600,"")</f>
        <v/>
      </c>
      <c r="T28" s="28" t="n"/>
    </row>
    <row r="29">
      <c r="A29" s="25" t="inlineStr">
        <is>
          <t>S13</t>
        </is>
      </c>
      <c r="B29" s="25" t="inlineStr">
        <is>
          <t>S13-M1</t>
        </is>
      </c>
      <c r="C29" s="25" t="inlineStr">
        <is>
          <t>순천 신규점</t>
        </is>
      </c>
      <c r="D29" s="25" t="inlineStr">
        <is>
          <t>방위표지1</t>
        </is>
      </c>
      <c r="E29" s="26" t="n">
        <v>34.90458620277778</v>
      </c>
      <c r="F29" s="26" t="n">
        <v>127.2947059805555</v>
      </c>
      <c r="G29" s="28" t="n"/>
      <c r="H29" s="37" t="inlineStr">
        <is>
          <t>기준점</t>
        </is>
      </c>
      <c r="I29" s="37" t="inlineStr">
        <is>
          <t>방위표지</t>
        </is>
      </c>
      <c r="J29" s="38" t="n"/>
      <c r="K29" s="38" t="n"/>
      <c r="L29" s="34">
        <f>IF(COUNT(J29:K29)=2,ABS(ABS(K29-J29)-200),"")</f>
        <v/>
      </c>
      <c r="M29" s="38" t="n"/>
      <c r="N29" s="34">
        <f>IF(ISNUMBER(M29),M29*0.9,"")</f>
        <v/>
      </c>
      <c r="O29" s="34">
        <f>IF(ISNUMBER(M29),MOD(M29*0.9+180,360),"")</f>
        <v/>
      </c>
      <c r="P29" s="28" t="n"/>
      <c r="Q29" s="29" t="n"/>
      <c r="R29" s="29" t="n"/>
      <c r="S29" s="30">
        <f>IF(AND(ISNUMBER(M29),ISNUMBER(R29)),(M29*0.9-R29)*3600,"")</f>
        <v/>
      </c>
      <c r="T29" s="28" t="n"/>
    </row>
    <row r="30">
      <c r="A30" s="25" t="inlineStr">
        <is>
          <t>S13</t>
        </is>
      </c>
      <c r="B30" s="25" t="inlineStr">
        <is>
          <t>S13-M2</t>
        </is>
      </c>
      <c r="C30" s="25" t="inlineStr">
        <is>
          <t>순천 신규점</t>
        </is>
      </c>
      <c r="D30" s="25" t="inlineStr">
        <is>
          <t>방위표지2</t>
        </is>
      </c>
      <c r="E30" s="26" t="n">
        <v>34.90464454722222</v>
      </c>
      <c r="F30" s="26" t="n">
        <v>127.2944240916667</v>
      </c>
      <c r="G30" s="28" t="n"/>
      <c r="H30" s="37" t="inlineStr">
        <is>
          <t>기준점</t>
        </is>
      </c>
      <c r="I30" s="37" t="inlineStr">
        <is>
          <t>방위표지</t>
        </is>
      </c>
      <c r="J30" s="38" t="n"/>
      <c r="K30" s="38" t="n"/>
      <c r="L30" s="34">
        <f>IF(COUNT(J30:K30)=2,ABS(ABS(K30-J30)-200),"")</f>
        <v/>
      </c>
      <c r="M30" s="38" t="n"/>
      <c r="N30" s="34">
        <f>IF(ISNUMBER(M30),M30*0.9,"")</f>
        <v/>
      </c>
      <c r="O30" s="34">
        <f>IF(ISNUMBER(M30),MOD(M30*0.9+180,360),"")</f>
        <v/>
      </c>
      <c r="P30" s="28" t="n"/>
      <c r="Q30" s="29" t="n"/>
      <c r="R30" s="29" t="n"/>
      <c r="S30" s="30">
        <f>IF(AND(ISNUMBER(M30),ISNUMBER(R30)),(M30*0.9-R30)*3600,"")</f>
        <v/>
      </c>
      <c r="T30" s="28" t="n"/>
    </row>
    <row r="31">
      <c r="A31" s="25" t="inlineStr">
        <is>
          <t>S14</t>
        </is>
      </c>
      <c r="B31" s="25" t="inlineStr">
        <is>
          <t>S14-M1</t>
        </is>
      </c>
      <c r="C31" s="25" t="inlineStr">
        <is>
          <t>청송 신규점1</t>
        </is>
      </c>
      <c r="D31" s="25" t="inlineStr">
        <is>
          <t>방위표지1</t>
        </is>
      </c>
      <c r="E31" s="26" t="n">
        <v>36.38259309444445</v>
      </c>
      <c r="F31" s="26" t="n">
        <v>129.1462726638889</v>
      </c>
      <c r="G31" s="28" t="n"/>
      <c r="H31" s="37" t="inlineStr">
        <is>
          <t>기준점</t>
        </is>
      </c>
      <c r="I31" s="37" t="inlineStr">
        <is>
          <t>방위표지</t>
        </is>
      </c>
      <c r="J31" s="38" t="n"/>
      <c r="K31" s="38" t="n"/>
      <c r="L31" s="34">
        <f>IF(COUNT(J31:K31)=2,ABS(ABS(K31-J31)-200),"")</f>
        <v/>
      </c>
      <c r="M31" s="38" t="n"/>
      <c r="N31" s="34">
        <f>IF(ISNUMBER(M31),M31*0.9,"")</f>
        <v/>
      </c>
      <c r="O31" s="34">
        <f>IF(ISNUMBER(M31),MOD(M31*0.9+180,360),"")</f>
        <v/>
      </c>
      <c r="P31" s="28" t="n"/>
      <c r="Q31" s="29" t="n"/>
      <c r="R31" s="29" t="n"/>
      <c r="S31" s="30">
        <f>IF(AND(ISNUMBER(M31),ISNUMBER(R31)),(M31*0.9-R31)*3600,"")</f>
        <v/>
      </c>
      <c r="T31" s="28" t="n"/>
    </row>
    <row r="32">
      <c r="A32" s="25" t="inlineStr">
        <is>
          <t>S14</t>
        </is>
      </c>
      <c r="B32" s="25" t="inlineStr">
        <is>
          <t>S14-M2</t>
        </is>
      </c>
      <c r="C32" s="25" t="inlineStr">
        <is>
          <t>청송 신규점1</t>
        </is>
      </c>
      <c r="D32" s="25" t="inlineStr">
        <is>
          <t>방위표지2</t>
        </is>
      </c>
      <c r="E32" s="26" t="n">
        <v>36.38278041111111</v>
      </c>
      <c r="F32" s="26" t="n">
        <v>129.1454675861111</v>
      </c>
      <c r="G32" s="28" t="n"/>
      <c r="H32" s="37" t="inlineStr">
        <is>
          <t>기준점</t>
        </is>
      </c>
      <c r="I32" s="37" t="inlineStr">
        <is>
          <t>방위표지</t>
        </is>
      </c>
      <c r="J32" s="38" t="n"/>
      <c r="K32" s="38" t="n"/>
      <c r="L32" s="34">
        <f>IF(COUNT(J32:K32)=2,ABS(ABS(K32-J32)-200),"")</f>
        <v/>
      </c>
      <c r="M32" s="38" t="n"/>
      <c r="N32" s="34">
        <f>IF(ISNUMBER(M32),M32*0.9,"")</f>
        <v/>
      </c>
      <c r="O32" s="34">
        <f>IF(ISNUMBER(M32),MOD(M32*0.9+180,360),"")</f>
        <v/>
      </c>
      <c r="P32" s="28" t="n"/>
      <c r="Q32" s="29" t="n"/>
      <c r="R32" s="29" t="n"/>
      <c r="S32" s="30">
        <f>IF(AND(ISNUMBER(M32),ISNUMBER(R32)),(M32*0.9-R32)*3600,"")</f>
        <v/>
      </c>
      <c r="T32" s="28" t="n"/>
    </row>
    <row r="33">
      <c r="A33" s="25" t="inlineStr">
        <is>
          <t>S15</t>
        </is>
      </c>
      <c r="B33" s="25" t="inlineStr">
        <is>
          <t>S15-M1</t>
        </is>
      </c>
      <c r="C33" s="25" t="inlineStr">
        <is>
          <t>의성 신규점</t>
        </is>
      </c>
      <c r="D33" s="25" t="inlineStr">
        <is>
          <t>방위표지1</t>
        </is>
      </c>
      <c r="E33" s="26" t="n">
        <v>36.47714171666667</v>
      </c>
      <c r="F33" s="26" t="n">
        <v>128.5092024361111</v>
      </c>
      <c r="G33" s="28" t="n"/>
      <c r="H33" s="37" t="inlineStr">
        <is>
          <t>기준점</t>
        </is>
      </c>
      <c r="I33" s="37" t="inlineStr">
        <is>
          <t>방위표지</t>
        </is>
      </c>
      <c r="J33" s="38" t="n"/>
      <c r="K33" s="38" t="n"/>
      <c r="L33" s="34">
        <f>IF(COUNT(J33:K33)=2,ABS(ABS(K33-J33)-200),"")</f>
        <v/>
      </c>
      <c r="M33" s="38" t="n"/>
      <c r="N33" s="34">
        <f>IF(ISNUMBER(M33),M33*0.9,"")</f>
        <v/>
      </c>
      <c r="O33" s="34">
        <f>IF(ISNUMBER(M33),MOD(M33*0.9+180,360),"")</f>
        <v/>
      </c>
      <c r="P33" s="28" t="n"/>
      <c r="Q33" s="29" t="n"/>
      <c r="R33" s="29" t="n"/>
      <c r="S33" s="30">
        <f>IF(AND(ISNUMBER(M33),ISNUMBER(R33)),(M33*0.9-R33)*3600,"")</f>
        <v/>
      </c>
      <c r="T33" s="28" t="n"/>
    </row>
    <row r="34">
      <c r="A34" s="25" t="inlineStr">
        <is>
          <t>S15</t>
        </is>
      </c>
      <c r="B34" s="25" t="inlineStr">
        <is>
          <t>S15-M2</t>
        </is>
      </c>
      <c r="C34" s="25" t="inlineStr">
        <is>
          <t>의성 신규점</t>
        </is>
      </c>
      <c r="D34" s="25" t="inlineStr">
        <is>
          <t>방위표지2</t>
        </is>
      </c>
      <c r="E34" s="26" t="n">
        <v>36.47623722222222</v>
      </c>
      <c r="F34" s="26" t="n">
        <v>128.5080580638889</v>
      </c>
      <c r="G34" s="28" t="n"/>
      <c r="H34" s="37" t="inlineStr">
        <is>
          <t>기준점</t>
        </is>
      </c>
      <c r="I34" s="37" t="inlineStr">
        <is>
          <t>방위표지</t>
        </is>
      </c>
      <c r="J34" s="38" t="n"/>
      <c r="K34" s="38" t="n"/>
      <c r="L34" s="34">
        <f>IF(COUNT(J34:K34)=2,ABS(ABS(K34-J34)-200),"")</f>
        <v/>
      </c>
      <c r="M34" s="38" t="n"/>
      <c r="N34" s="34">
        <f>IF(ISNUMBER(M34),M34*0.9,"")</f>
        <v/>
      </c>
      <c r="O34" s="34">
        <f>IF(ISNUMBER(M34),MOD(M34*0.9+180,360),"")</f>
        <v/>
      </c>
      <c r="P34" s="28" t="n"/>
      <c r="Q34" s="29" t="n"/>
      <c r="R34" s="29" t="n"/>
      <c r="S34" s="30">
        <f>IF(AND(ISNUMBER(M34),ISNUMBER(R34)),(M34*0.9-R34)*3600,"")</f>
        <v/>
      </c>
      <c r="T34" s="28" t="n"/>
    </row>
    <row r="35">
      <c r="A35" s="25" t="inlineStr">
        <is>
          <t>S16</t>
        </is>
      </c>
      <c r="B35" s="25" t="inlineStr">
        <is>
          <t>S16-M1</t>
        </is>
      </c>
      <c r="C35" s="25" t="inlineStr">
        <is>
          <t>예천 신규점</t>
        </is>
      </c>
      <c r="D35" s="25" t="inlineStr">
        <is>
          <t>방위표지1</t>
        </is>
      </c>
      <c r="E35" s="26" t="n">
        <v>36.50982223611111</v>
      </c>
      <c r="F35" s="26" t="n">
        <v>128.4944747027778</v>
      </c>
      <c r="G35" s="28" t="n"/>
      <c r="H35" s="37" t="inlineStr">
        <is>
          <t>기준점</t>
        </is>
      </c>
      <c r="I35" s="37" t="inlineStr">
        <is>
          <t>방위표지</t>
        </is>
      </c>
      <c r="J35" s="38" t="n"/>
      <c r="K35" s="38" t="n"/>
      <c r="L35" s="34">
        <f>IF(COUNT(J35:K35)=2,ABS(ABS(K35-J35)-200),"")</f>
        <v/>
      </c>
      <c r="M35" s="38" t="n"/>
      <c r="N35" s="34">
        <f>IF(ISNUMBER(M35),M35*0.9,"")</f>
        <v/>
      </c>
      <c r="O35" s="34">
        <f>IF(ISNUMBER(M35),MOD(M35*0.9+180,360),"")</f>
        <v/>
      </c>
      <c r="P35" s="28" t="n"/>
      <c r="Q35" s="29" t="n"/>
      <c r="R35" s="29" t="n"/>
      <c r="S35" s="30">
        <f>IF(AND(ISNUMBER(M35),ISNUMBER(R35)),(M35*0.9-R35)*3600,"")</f>
        <v/>
      </c>
      <c r="T35" s="28" t="n"/>
    </row>
    <row r="36">
      <c r="A36" s="25" t="inlineStr">
        <is>
          <t>S16</t>
        </is>
      </c>
      <c r="B36" s="25" t="inlineStr">
        <is>
          <t>S16-M2</t>
        </is>
      </c>
      <c r="C36" s="25" t="inlineStr">
        <is>
          <t>예천 신규점</t>
        </is>
      </c>
      <c r="D36" s="25" t="inlineStr">
        <is>
          <t>방위표지2</t>
        </is>
      </c>
      <c r="E36" s="26" t="n">
        <v>36.50860930833333</v>
      </c>
      <c r="F36" s="26" t="n">
        <v>128.4948398027778</v>
      </c>
      <c r="G36" s="28" t="n"/>
      <c r="H36" s="37" t="inlineStr">
        <is>
          <t>기준점</t>
        </is>
      </c>
      <c r="I36" s="37" t="inlineStr">
        <is>
          <t>방위표지</t>
        </is>
      </c>
      <c r="J36" s="38" t="n"/>
      <c r="K36" s="38" t="n"/>
      <c r="L36" s="34">
        <f>IF(COUNT(J36:K36)=2,ABS(ABS(K36-J36)-200),"")</f>
        <v/>
      </c>
      <c r="M36" s="38" t="n"/>
      <c r="N36" s="34">
        <f>IF(ISNUMBER(M36),M36*0.9,"")</f>
        <v/>
      </c>
      <c r="O36" s="34">
        <f>IF(ISNUMBER(M36),MOD(M36*0.9+180,360),"")</f>
        <v/>
      </c>
      <c r="P36" s="28" t="n"/>
      <c r="Q36" s="29" t="n"/>
      <c r="R36" s="29" t="n"/>
      <c r="S36" s="30">
        <f>IF(AND(ISNUMBER(M36),ISNUMBER(R36)),(M36*0.9-R36)*3600,"")</f>
        <v/>
      </c>
      <c r="T36" s="28" t="n"/>
    </row>
    <row r="37">
      <c r="A37" s="25" t="inlineStr">
        <is>
          <t>S17</t>
        </is>
      </c>
      <c r="B37" s="25" t="inlineStr">
        <is>
          <t>S17-M1</t>
        </is>
      </c>
      <c r="C37" s="25" t="inlineStr">
        <is>
          <t>영양 신규점4</t>
        </is>
      </c>
      <c r="D37" s="25" t="inlineStr">
        <is>
          <t>방위표지1</t>
        </is>
      </c>
      <c r="E37" s="26" t="n">
        <v>36.74274781111111</v>
      </c>
      <c r="F37" s="26" t="n">
        <v>129.1822400194444</v>
      </c>
      <c r="G37" s="28" t="n"/>
      <c r="H37" s="37" t="inlineStr">
        <is>
          <t>기준점</t>
        </is>
      </c>
      <c r="I37" s="37" t="inlineStr">
        <is>
          <t>방위표지</t>
        </is>
      </c>
      <c r="J37" s="38" t="n"/>
      <c r="K37" s="38" t="n"/>
      <c r="L37" s="34">
        <f>IF(COUNT(J37:K37)=2,ABS(ABS(K37-J37)-200),"")</f>
        <v/>
      </c>
      <c r="M37" s="38" t="n"/>
      <c r="N37" s="34">
        <f>IF(ISNUMBER(M37),M37*0.9,"")</f>
        <v/>
      </c>
      <c r="O37" s="34">
        <f>IF(ISNUMBER(M37),MOD(M37*0.9+180,360),"")</f>
        <v/>
      </c>
      <c r="P37" s="28" t="n"/>
      <c r="Q37" s="29" t="n"/>
      <c r="R37" s="29" t="n"/>
      <c r="S37" s="30">
        <f>IF(AND(ISNUMBER(M37),ISNUMBER(R37)),(M37*0.9-R37)*3600,"")</f>
        <v/>
      </c>
      <c r="T37" s="28" t="n"/>
    </row>
    <row r="38">
      <c r="A38" s="25" t="inlineStr">
        <is>
          <t>S17</t>
        </is>
      </c>
      <c r="B38" s="25" t="inlineStr">
        <is>
          <t>S17-M2</t>
        </is>
      </c>
      <c r="C38" s="25" t="inlineStr">
        <is>
          <t>영양 신규점4</t>
        </is>
      </c>
      <c r="D38" s="25" t="inlineStr">
        <is>
          <t>방위표지2</t>
        </is>
      </c>
      <c r="E38" s="26" t="n">
        <v>36.74337451388889</v>
      </c>
      <c r="F38" s="26" t="n">
        <v>129.1815866805555</v>
      </c>
      <c r="G38" s="28" t="n"/>
      <c r="H38" s="37" t="inlineStr">
        <is>
          <t>기준점</t>
        </is>
      </c>
      <c r="I38" s="37" t="inlineStr">
        <is>
          <t>방위표지</t>
        </is>
      </c>
      <c r="J38" s="38" t="n"/>
      <c r="K38" s="38" t="n"/>
      <c r="L38" s="34">
        <f>IF(COUNT(J38:K38)=2,ABS(ABS(K38-J38)-200),"")</f>
        <v/>
      </c>
      <c r="M38" s="38" t="n"/>
      <c r="N38" s="34">
        <f>IF(ISNUMBER(M38),M38*0.9,"")</f>
        <v/>
      </c>
      <c r="O38" s="34">
        <f>IF(ISNUMBER(M38),MOD(M38*0.9+180,360),"")</f>
        <v/>
      </c>
      <c r="P38" s="28" t="n"/>
      <c r="Q38" s="29" t="n"/>
      <c r="R38" s="29" t="n"/>
      <c r="S38" s="30">
        <f>IF(AND(ISNUMBER(M38),ISNUMBER(R38)),(M38*0.9-R38)*3600,"")</f>
        <v/>
      </c>
      <c r="T38" s="28" t="n"/>
    </row>
    <row r="39">
      <c r="A39" s="25" t="inlineStr">
        <is>
          <t>S18</t>
        </is>
      </c>
      <c r="B39" s="25" t="inlineStr">
        <is>
          <t>S18-M1</t>
        </is>
      </c>
      <c r="C39" s="25" t="inlineStr">
        <is>
          <t>통영 신규점</t>
        </is>
      </c>
      <c r="D39" s="25" t="inlineStr">
        <is>
          <t>방위표지1</t>
        </is>
      </c>
      <c r="E39" s="26" t="n">
        <v>34.79323658333333</v>
      </c>
      <c r="F39" s="26" t="n">
        <v>128.3937161666666</v>
      </c>
      <c r="G39" s="28" t="n"/>
      <c r="H39" s="37" t="inlineStr">
        <is>
          <t>기준점</t>
        </is>
      </c>
      <c r="I39" s="37" t="inlineStr">
        <is>
          <t>방위표지</t>
        </is>
      </c>
      <c r="J39" s="38" t="n"/>
      <c r="K39" s="38" t="n"/>
      <c r="L39" s="34">
        <f>IF(COUNT(J39:K39)=2,ABS(ABS(K39-J39)-200),"")</f>
        <v/>
      </c>
      <c r="M39" s="38" t="n"/>
      <c r="N39" s="34">
        <f>IF(ISNUMBER(M39),M39*0.9,"")</f>
        <v/>
      </c>
      <c r="O39" s="34">
        <f>IF(ISNUMBER(M39),MOD(M39*0.9+180,360),"")</f>
        <v/>
      </c>
      <c r="P39" s="28" t="n"/>
      <c r="Q39" s="29" t="n"/>
      <c r="R39" s="29" t="n"/>
      <c r="S39" s="30">
        <f>IF(AND(ISNUMBER(M39),ISNUMBER(R39)),(M39*0.9-R39)*3600,"")</f>
        <v/>
      </c>
      <c r="T39" s="28" t="n"/>
    </row>
    <row r="40">
      <c r="A40" s="25" t="inlineStr">
        <is>
          <t>S18</t>
        </is>
      </c>
      <c r="B40" s="25" t="inlineStr">
        <is>
          <t>S18-M2</t>
        </is>
      </c>
      <c r="C40" s="25" t="inlineStr">
        <is>
          <t>통영 신규점</t>
        </is>
      </c>
      <c r="D40" s="25" t="inlineStr">
        <is>
          <t>방위표지2</t>
        </is>
      </c>
      <c r="E40" s="26" t="n">
        <v>34.79294247222222</v>
      </c>
      <c r="F40" s="26" t="n">
        <v>128.3939980833333</v>
      </c>
      <c r="G40" s="28" t="n"/>
      <c r="H40" s="37" t="inlineStr">
        <is>
          <t>기준점</t>
        </is>
      </c>
      <c r="I40" s="37" t="inlineStr">
        <is>
          <t>방위표지</t>
        </is>
      </c>
      <c r="J40" s="38" t="n"/>
      <c r="K40" s="38" t="n"/>
      <c r="L40" s="34">
        <f>IF(COUNT(J40:K40)=2,ABS(ABS(K40-J40)-200),"")</f>
        <v/>
      </c>
      <c r="M40" s="38" t="n"/>
      <c r="N40" s="34">
        <f>IF(ISNUMBER(M40),M40*0.9,"")</f>
        <v/>
      </c>
      <c r="O40" s="34">
        <f>IF(ISNUMBER(M40),MOD(M40*0.9+180,360),"")</f>
        <v/>
      </c>
      <c r="P40" s="28" t="n"/>
      <c r="Q40" s="29" t="n"/>
      <c r="R40" s="29" t="n"/>
      <c r="S40" s="30">
        <f>IF(AND(ISNUMBER(M40),ISNUMBER(R40)),(M40*0.9-R40)*3600,"")</f>
        <v/>
      </c>
      <c r="T40" s="28" t="n"/>
    </row>
    <row r="41">
      <c r="A41" s="25" t="inlineStr">
        <is>
          <t>S19</t>
        </is>
      </c>
      <c r="B41" s="25" t="inlineStr">
        <is>
          <t>S19-M1</t>
        </is>
      </c>
      <c r="C41" s="25" t="inlineStr">
        <is>
          <t>오호 신규점</t>
        </is>
      </c>
      <c r="D41" s="25" t="inlineStr">
        <is>
          <t>방위표지1</t>
        </is>
      </c>
      <c r="E41" s="26" t="n">
        <v>38.31886791666667</v>
      </c>
      <c r="F41" s="26" t="n">
        <v>128.5214078888889</v>
      </c>
      <c r="G41" s="28" t="n"/>
      <c r="H41" s="37" t="inlineStr">
        <is>
          <t>기준점</t>
        </is>
      </c>
      <c r="I41" s="37" t="inlineStr">
        <is>
          <t>방위표지</t>
        </is>
      </c>
      <c r="J41" s="38" t="n"/>
      <c r="K41" s="38" t="n"/>
      <c r="L41" s="34">
        <f>IF(COUNT(J41:K41)=2,ABS(ABS(K41-J41)-200),"")</f>
        <v/>
      </c>
      <c r="M41" s="38" t="n"/>
      <c r="N41" s="34">
        <f>IF(ISNUMBER(M41),M41*0.9,"")</f>
        <v/>
      </c>
      <c r="O41" s="34">
        <f>IF(ISNUMBER(M41),MOD(M41*0.9+180,360),"")</f>
        <v/>
      </c>
      <c r="P41" s="28" t="n"/>
      <c r="Q41" s="29" t="n"/>
      <c r="R41" s="29" t="n"/>
      <c r="S41" s="30">
        <f>IF(AND(ISNUMBER(M41),ISNUMBER(R41)),(M41*0.9-R41)*3600,"")</f>
        <v/>
      </c>
      <c r="T41" s="28" t="n"/>
    </row>
    <row r="42">
      <c r="A42" s="25" t="inlineStr">
        <is>
          <t>S19</t>
        </is>
      </c>
      <c r="B42" s="25" t="inlineStr">
        <is>
          <t>S19-M2</t>
        </is>
      </c>
      <c r="C42" s="25" t="inlineStr">
        <is>
          <t>오호 신규점</t>
        </is>
      </c>
      <c r="D42" s="25" t="inlineStr">
        <is>
          <t>방위표지2</t>
        </is>
      </c>
      <c r="E42" s="26" t="n">
        <v>38.31926597222223</v>
      </c>
      <c r="F42" s="26" t="n">
        <v>128.5219848888889</v>
      </c>
      <c r="G42" s="28" t="n"/>
      <c r="H42" s="37" t="inlineStr">
        <is>
          <t>기준점</t>
        </is>
      </c>
      <c r="I42" s="37" t="inlineStr">
        <is>
          <t>방위표지</t>
        </is>
      </c>
      <c r="J42" s="38" t="n"/>
      <c r="K42" s="38" t="n"/>
      <c r="L42" s="34">
        <f>IF(COUNT(J42:K42)=2,ABS(ABS(K42-J42)-200),"")</f>
        <v/>
      </c>
      <c r="M42" s="38" t="n"/>
      <c r="N42" s="34">
        <f>IF(ISNUMBER(M42),M42*0.9,"")</f>
        <v/>
      </c>
      <c r="O42" s="34">
        <f>IF(ISNUMBER(M42),MOD(M42*0.9+180,360),"")</f>
        <v/>
      </c>
      <c r="P42" s="28" t="n"/>
      <c r="Q42" s="29" t="n"/>
      <c r="R42" s="29" t="n"/>
      <c r="S42" s="30">
        <f>IF(AND(ISNUMBER(M42),ISNUMBER(R42)),(M42*0.9-R42)*3600,"")</f>
        <v/>
      </c>
      <c r="T42" s="28" t="n"/>
    </row>
    <row r="43">
      <c r="A43" s="25" t="inlineStr">
        <is>
          <t>S20</t>
        </is>
      </c>
      <c r="B43" s="25" t="inlineStr">
        <is>
          <t>S20-M1</t>
        </is>
      </c>
      <c r="C43" s="25" t="inlineStr">
        <is>
          <t>보령 신규점2</t>
        </is>
      </c>
      <c r="D43" s="25" t="inlineStr">
        <is>
          <t>방위표지1</t>
        </is>
      </c>
      <c r="E43" s="26" t="n">
        <v>36.26744262777778</v>
      </c>
      <c r="F43" s="26" t="n">
        <v>126.7070338055556</v>
      </c>
      <c r="G43" s="28" t="n"/>
      <c r="H43" s="37" t="inlineStr">
        <is>
          <t>기준점</t>
        </is>
      </c>
      <c r="I43" s="37" t="inlineStr">
        <is>
          <t>방위표지</t>
        </is>
      </c>
      <c r="J43" s="38" t="n"/>
      <c r="K43" s="38" t="n"/>
      <c r="L43" s="34">
        <f>IF(COUNT(J43:K43)=2,ABS(ABS(K43-J43)-200),"")</f>
        <v/>
      </c>
      <c r="M43" s="38" t="n"/>
      <c r="N43" s="34">
        <f>IF(ISNUMBER(M43),M43*0.9,"")</f>
        <v/>
      </c>
      <c r="O43" s="34">
        <f>IF(ISNUMBER(M43),MOD(M43*0.9+180,360),"")</f>
        <v/>
      </c>
      <c r="P43" s="28" t="n"/>
      <c r="Q43" s="29" t="n"/>
      <c r="R43" s="29" t="n"/>
      <c r="S43" s="30">
        <f>IF(AND(ISNUMBER(M43),ISNUMBER(R43)),(M43*0.9-R43)*3600,"")</f>
        <v/>
      </c>
      <c r="T43" s="28" t="n"/>
    </row>
    <row r="44">
      <c r="A44" s="25" t="inlineStr">
        <is>
          <t>S20</t>
        </is>
      </c>
      <c r="B44" s="25" t="inlineStr">
        <is>
          <t>S20-M2</t>
        </is>
      </c>
      <c r="C44" s="25" t="inlineStr">
        <is>
          <t>보령 신규점2</t>
        </is>
      </c>
      <c r="D44" s="25" t="inlineStr">
        <is>
          <t>방위표지2</t>
        </is>
      </c>
      <c r="E44" s="26" t="n">
        <v>36.26662340277777</v>
      </c>
      <c r="F44" s="26" t="n">
        <v>126.7077012166667</v>
      </c>
      <c r="G44" s="28" t="n"/>
      <c r="H44" s="37" t="inlineStr">
        <is>
          <t>기준점</t>
        </is>
      </c>
      <c r="I44" s="37" t="inlineStr">
        <is>
          <t>방위표지</t>
        </is>
      </c>
      <c r="J44" s="38" t="n"/>
      <c r="K44" s="38" t="n"/>
      <c r="L44" s="34">
        <f>IF(COUNT(J44:K44)=2,ABS(ABS(K44-J44)-200),"")</f>
        <v/>
      </c>
      <c r="M44" s="38" t="n"/>
      <c r="N44" s="34">
        <f>IF(ISNUMBER(M44),M44*0.9,"")</f>
        <v/>
      </c>
      <c r="O44" s="34">
        <f>IF(ISNUMBER(M44),MOD(M44*0.9+180,360),"")</f>
        <v/>
      </c>
      <c r="P44" s="28" t="n"/>
      <c r="Q44" s="29" t="n"/>
      <c r="R44" s="29" t="n"/>
      <c r="S44" s="30">
        <f>IF(AND(ISNUMBER(M44),ISNUMBER(R44)),(M44*0.9-R44)*3600,"")</f>
        <v/>
      </c>
      <c r="T44" s="28" t="n"/>
    </row>
    <row r="45">
      <c r="A45" s="25" t="inlineStr">
        <is>
          <t>S21</t>
        </is>
      </c>
      <c r="B45" s="25" t="inlineStr">
        <is>
          <t>S21-M1</t>
        </is>
      </c>
      <c r="C45" s="25" t="inlineStr">
        <is>
          <t>담양 신규점2</t>
        </is>
      </c>
      <c r="D45" s="25" t="inlineStr">
        <is>
          <t>방위표지1</t>
        </is>
      </c>
      <c r="E45" s="26" t="n">
        <v>35.45721812777778</v>
      </c>
      <c r="F45" s="26" t="n">
        <v>126.9627115333333</v>
      </c>
      <c r="G45" s="28" t="n"/>
      <c r="H45" s="37" t="inlineStr">
        <is>
          <t>기준점</t>
        </is>
      </c>
      <c r="I45" s="37" t="inlineStr">
        <is>
          <t>방위표지</t>
        </is>
      </c>
      <c r="J45" s="38" t="n"/>
      <c r="K45" s="38" t="n"/>
      <c r="L45" s="34">
        <f>IF(COUNT(J45:K45)=2,ABS(ABS(K45-J45)-200),"")</f>
        <v/>
      </c>
      <c r="M45" s="38" t="n"/>
      <c r="N45" s="34">
        <f>IF(ISNUMBER(M45),M45*0.9,"")</f>
        <v/>
      </c>
      <c r="O45" s="34">
        <f>IF(ISNUMBER(M45),MOD(M45*0.9+180,360),"")</f>
        <v/>
      </c>
      <c r="P45" s="28" t="n"/>
      <c r="Q45" s="29" t="n"/>
      <c r="R45" s="29" t="n"/>
      <c r="S45" s="30">
        <f>IF(AND(ISNUMBER(M45),ISNUMBER(R45)),(M45*0.9-R45)*3600,"")</f>
        <v/>
      </c>
      <c r="T45" s="28" t="n"/>
    </row>
    <row r="46">
      <c r="A46" s="25" t="inlineStr">
        <is>
          <t>S21</t>
        </is>
      </c>
      <c r="B46" s="25" t="inlineStr">
        <is>
          <t>S21-M2</t>
        </is>
      </c>
      <c r="C46" s="25" t="inlineStr">
        <is>
          <t>담양 신규점2</t>
        </is>
      </c>
      <c r="D46" s="25" t="inlineStr">
        <is>
          <t>방위표지2</t>
        </is>
      </c>
      <c r="E46" s="26" t="n">
        <v>35.45783280000001</v>
      </c>
      <c r="F46" s="26" t="n">
        <v>126.9635998555556</v>
      </c>
      <c r="G46" s="28" t="n"/>
      <c r="H46" s="37" t="inlineStr">
        <is>
          <t>기준점</t>
        </is>
      </c>
      <c r="I46" s="37" t="inlineStr">
        <is>
          <t>방위표지</t>
        </is>
      </c>
      <c r="J46" s="38" t="n"/>
      <c r="K46" s="38" t="n"/>
      <c r="L46" s="34">
        <f>IF(COUNT(J46:K46)=2,ABS(ABS(K46-J46)-200),"")</f>
        <v/>
      </c>
      <c r="M46" s="38" t="n"/>
      <c r="N46" s="34">
        <f>IF(ISNUMBER(M46),M46*0.9,"")</f>
        <v/>
      </c>
      <c r="O46" s="34">
        <f>IF(ISNUMBER(M46),MOD(M46*0.9+180,360),"")</f>
        <v/>
      </c>
      <c r="P46" s="28" t="n"/>
      <c r="Q46" s="29" t="n"/>
      <c r="R46" s="29" t="n"/>
      <c r="S46" s="30">
        <f>IF(AND(ISNUMBER(M46),ISNUMBER(R46)),(M46*0.9-R46)*3600,"")</f>
        <v/>
      </c>
      <c r="T46" s="28" t="n"/>
    </row>
    <row r="47">
      <c r="A47" s="25" t="inlineStr">
        <is>
          <t>S22</t>
        </is>
      </c>
      <c r="B47" s="25" t="inlineStr">
        <is>
          <t>S22-M1</t>
        </is>
      </c>
      <c r="C47" s="25" t="inlineStr">
        <is>
          <t>완도 신규점</t>
        </is>
      </c>
      <c r="D47" s="25" t="inlineStr">
        <is>
          <t>방위표지1</t>
        </is>
      </c>
      <c r="E47" s="26" t="n">
        <v>34.32863245555556</v>
      </c>
      <c r="F47" s="26" t="n">
        <v>126.5434784972222</v>
      </c>
      <c r="G47" s="28" t="n"/>
      <c r="H47" s="37" t="inlineStr">
        <is>
          <t>기준점</t>
        </is>
      </c>
      <c r="I47" s="37" t="inlineStr">
        <is>
          <t>방위표지</t>
        </is>
      </c>
      <c r="J47" s="38" t="n"/>
      <c r="K47" s="38" t="n"/>
      <c r="L47" s="34">
        <f>IF(COUNT(J47:K47)=2,ABS(ABS(K47-J47)-200),"")</f>
        <v/>
      </c>
      <c r="M47" s="38" t="n"/>
      <c r="N47" s="34">
        <f>IF(ISNUMBER(M47),M47*0.9,"")</f>
        <v/>
      </c>
      <c r="O47" s="34">
        <f>IF(ISNUMBER(M47),MOD(M47*0.9+180,360),"")</f>
        <v/>
      </c>
      <c r="P47" s="28" t="n"/>
      <c r="Q47" s="29" t="n"/>
      <c r="R47" s="29" t="n"/>
      <c r="S47" s="30">
        <f>IF(AND(ISNUMBER(M47),ISNUMBER(R47)),(M47*0.9-R47)*3600,"")</f>
        <v/>
      </c>
      <c r="T47" s="28" t="n"/>
    </row>
    <row r="48">
      <c r="A48" s="25" t="inlineStr">
        <is>
          <t>S22</t>
        </is>
      </c>
      <c r="B48" s="25" t="inlineStr">
        <is>
          <t>S22-M2</t>
        </is>
      </c>
      <c r="C48" s="25" t="inlineStr">
        <is>
          <t>완도 신규점</t>
        </is>
      </c>
      <c r="D48" s="25" t="inlineStr">
        <is>
          <t>방위표지2</t>
        </is>
      </c>
      <c r="E48" s="26" t="n">
        <v>34.32910643611111</v>
      </c>
      <c r="F48" s="26" t="n">
        <v>126.5433582611111</v>
      </c>
      <c r="G48" s="28" t="n"/>
      <c r="H48" s="37" t="inlineStr">
        <is>
          <t>기준점</t>
        </is>
      </c>
      <c r="I48" s="37" t="inlineStr">
        <is>
          <t>방위표지</t>
        </is>
      </c>
      <c r="J48" s="38" t="n"/>
      <c r="K48" s="38" t="n"/>
      <c r="L48" s="34">
        <f>IF(COUNT(J48:K48)=2,ABS(ABS(K48-J48)-200),"")</f>
        <v/>
      </c>
      <c r="M48" s="38" t="n"/>
      <c r="N48" s="34">
        <f>IF(ISNUMBER(M48),M48*0.9,"")</f>
        <v/>
      </c>
      <c r="O48" s="34">
        <f>IF(ISNUMBER(M48),MOD(M48*0.9+180,360),"")</f>
        <v/>
      </c>
      <c r="P48" s="28" t="n"/>
      <c r="Q48" s="29" t="n"/>
      <c r="R48" s="29" t="n"/>
      <c r="S48" s="30">
        <f>IF(AND(ISNUMBER(M48),ISNUMBER(R48)),(M48*0.9-R48)*3600,"")</f>
        <v/>
      </c>
      <c r="T48" s="28" t="n"/>
    </row>
    <row r="49">
      <c r="A49" s="25" t="inlineStr">
        <is>
          <t>S23</t>
        </is>
      </c>
      <c r="B49" s="25" t="inlineStr">
        <is>
          <t>S23-M1</t>
        </is>
      </c>
      <c r="C49" s="25" t="inlineStr">
        <is>
          <t>덕산 신규점1</t>
        </is>
      </c>
      <c r="D49" s="25" t="inlineStr">
        <is>
          <t>방위표지1</t>
        </is>
      </c>
      <c r="E49" s="26" t="n">
        <v>36.88794938055555</v>
      </c>
      <c r="F49" s="26" t="n">
        <v>128.1924044888889</v>
      </c>
      <c r="G49" s="28" t="n"/>
      <c r="H49" s="37" t="inlineStr">
        <is>
          <t>기준점</t>
        </is>
      </c>
      <c r="I49" s="37" t="inlineStr">
        <is>
          <t>방위표지</t>
        </is>
      </c>
      <c r="J49" s="38" t="n"/>
      <c r="K49" s="38" t="n"/>
      <c r="L49" s="34">
        <f>IF(COUNT(J49:K49)=2,ABS(ABS(K49-J49)-200),"")</f>
        <v/>
      </c>
      <c r="M49" s="38" t="n"/>
      <c r="N49" s="34">
        <f>IF(ISNUMBER(M49),M49*0.9,"")</f>
        <v/>
      </c>
      <c r="O49" s="34">
        <f>IF(ISNUMBER(M49),MOD(M49*0.9+180,360),"")</f>
        <v/>
      </c>
      <c r="P49" s="28" t="n"/>
      <c r="Q49" s="29" t="n"/>
      <c r="R49" s="29" t="n"/>
      <c r="S49" s="30">
        <f>IF(AND(ISNUMBER(M49),ISNUMBER(R49)),(M49*0.9-R49)*3600,"")</f>
        <v/>
      </c>
      <c r="T49" s="28" t="n"/>
    </row>
    <row r="50">
      <c r="A50" s="25" t="inlineStr">
        <is>
          <t>S23</t>
        </is>
      </c>
      <c r="B50" s="25" t="inlineStr">
        <is>
          <t>S23-M2</t>
        </is>
      </c>
      <c r="C50" s="25" t="inlineStr">
        <is>
          <t>덕산 신규점1</t>
        </is>
      </c>
      <c r="D50" s="25" t="inlineStr">
        <is>
          <t>방위표지2</t>
        </is>
      </c>
      <c r="E50" s="26" t="n">
        <v>36.88754781944444</v>
      </c>
      <c r="F50" s="26" t="n">
        <v>128.1915143777778</v>
      </c>
      <c r="G50" s="28" t="n"/>
      <c r="H50" s="37" t="inlineStr">
        <is>
          <t>기준점</t>
        </is>
      </c>
      <c r="I50" s="37" t="inlineStr">
        <is>
          <t>방위표지</t>
        </is>
      </c>
      <c r="J50" s="38" t="n"/>
      <c r="K50" s="38" t="n"/>
      <c r="L50" s="34">
        <f>IF(COUNT(J50:K50)=2,ABS(ABS(K50-J50)-200),"")</f>
        <v/>
      </c>
      <c r="M50" s="38" t="n"/>
      <c r="N50" s="34">
        <f>IF(ISNUMBER(M50),M50*0.9,"")</f>
        <v/>
      </c>
      <c r="O50" s="34">
        <f>IF(ISNUMBER(M50),MOD(M50*0.9+180,360),"")</f>
        <v/>
      </c>
      <c r="P50" s="28" t="n"/>
      <c r="Q50" s="29" t="n"/>
      <c r="R50" s="29" t="n"/>
      <c r="S50" s="30">
        <f>IF(AND(ISNUMBER(M50),ISNUMBER(R50)),(M50*0.9-R50)*3600,"")</f>
        <v/>
      </c>
      <c r="T50" s="28" t="n"/>
    </row>
    <row r="51">
      <c r="A51" s="25" t="inlineStr">
        <is>
          <t>S24</t>
        </is>
      </c>
      <c r="B51" s="25" t="inlineStr">
        <is>
          <t>S24-M1</t>
        </is>
      </c>
      <c r="C51" s="25" t="inlineStr">
        <is>
          <t>회천 신규점2</t>
        </is>
      </c>
      <c r="D51" s="25" t="inlineStr">
        <is>
          <t>방위표지1</t>
        </is>
      </c>
      <c r="E51" s="26" t="n">
        <v>34.68041006111111</v>
      </c>
      <c r="F51" s="26" t="n">
        <v>127.0476548055556</v>
      </c>
      <c r="G51" s="28" t="n"/>
      <c r="H51" s="37" t="inlineStr">
        <is>
          <t>기준점</t>
        </is>
      </c>
      <c r="I51" s="37" t="inlineStr">
        <is>
          <t>방위표지</t>
        </is>
      </c>
      <c r="J51" s="38" t="n"/>
      <c r="K51" s="38" t="n"/>
      <c r="L51" s="34">
        <f>IF(COUNT(J51:K51)=2,ABS(ABS(K51-J51)-200),"")</f>
        <v/>
      </c>
      <c r="M51" s="38" t="n"/>
      <c r="N51" s="34">
        <f>IF(ISNUMBER(M51),M51*0.9,"")</f>
        <v/>
      </c>
      <c r="O51" s="34">
        <f>IF(ISNUMBER(M51),MOD(M51*0.9+180,360),"")</f>
        <v/>
      </c>
      <c r="P51" s="28" t="n"/>
      <c r="Q51" s="29" t="n"/>
      <c r="R51" s="29" t="n"/>
      <c r="S51" s="30">
        <f>IF(AND(ISNUMBER(M51),ISNUMBER(R51)),(M51*0.9-R51)*3600,"")</f>
        <v/>
      </c>
      <c r="T51" s="28" t="n"/>
    </row>
    <row r="52">
      <c r="A52" s="25" t="inlineStr">
        <is>
          <t>S24</t>
        </is>
      </c>
      <c r="B52" s="25" t="inlineStr">
        <is>
          <t>S24-M2</t>
        </is>
      </c>
      <c r="C52" s="25" t="inlineStr">
        <is>
          <t>회천 신규점2</t>
        </is>
      </c>
      <c r="D52" s="25" t="inlineStr">
        <is>
          <t>방위표지2</t>
        </is>
      </c>
      <c r="E52" s="26" t="n">
        <v>34.68004149444445</v>
      </c>
      <c r="F52" s="26" t="n">
        <v>127.0478311027778</v>
      </c>
      <c r="G52" s="28" t="n"/>
      <c r="H52" s="37" t="inlineStr">
        <is>
          <t>기준점</t>
        </is>
      </c>
      <c r="I52" s="37" t="inlineStr">
        <is>
          <t>방위표지</t>
        </is>
      </c>
      <c r="J52" s="38" t="n"/>
      <c r="K52" s="38" t="n"/>
      <c r="L52" s="34">
        <f>IF(COUNT(J52:K52)=2,ABS(ABS(K52-J52)-200),"")</f>
        <v/>
      </c>
      <c r="M52" s="38" t="n"/>
      <c r="N52" s="34">
        <f>IF(ISNUMBER(M52),M52*0.9,"")</f>
        <v/>
      </c>
      <c r="O52" s="34">
        <f>IF(ISNUMBER(M52),MOD(M52*0.9+180,360),"")</f>
        <v/>
      </c>
      <c r="P52" s="28" t="n"/>
      <c r="Q52" s="29" t="n"/>
      <c r="R52" s="29" t="n"/>
      <c r="S52" s="30">
        <f>IF(AND(ISNUMBER(M52),ISNUMBER(R52)),(M52*0.9-R52)*3600,"")</f>
        <v/>
      </c>
      <c r="T52" s="28" t="n"/>
    </row>
    <row r="53">
      <c r="A53" s="25" t="inlineStr">
        <is>
          <t>S25</t>
        </is>
      </c>
      <c r="B53" s="25" t="inlineStr">
        <is>
          <t>S25-M1</t>
        </is>
      </c>
      <c r="C53" s="25" t="inlineStr">
        <is>
          <t>관리 신규점3</t>
        </is>
      </c>
      <c r="D53" s="25" t="inlineStr">
        <is>
          <t>방위표지1</t>
        </is>
      </c>
      <c r="E53" s="26" t="n">
        <v>36.32529493611111</v>
      </c>
      <c r="F53" s="26" t="n">
        <v>127.9063972722222</v>
      </c>
      <c r="G53" s="28" t="n"/>
      <c r="H53" s="37" t="inlineStr">
        <is>
          <t>기준점</t>
        </is>
      </c>
      <c r="I53" s="37" t="inlineStr">
        <is>
          <t>방위표지</t>
        </is>
      </c>
      <c r="J53" s="38" t="n"/>
      <c r="K53" s="38" t="n"/>
      <c r="L53" s="34">
        <f>IF(COUNT(J53:K53)=2,ABS(ABS(K53-J53)-200),"")</f>
        <v/>
      </c>
      <c r="M53" s="38" t="n"/>
      <c r="N53" s="34">
        <f>IF(ISNUMBER(M53),M53*0.9,"")</f>
        <v/>
      </c>
      <c r="O53" s="34">
        <f>IF(ISNUMBER(M53),MOD(M53*0.9+180,360),"")</f>
        <v/>
      </c>
      <c r="P53" s="28" t="n"/>
      <c r="Q53" s="29" t="n"/>
      <c r="R53" s="29" t="n"/>
      <c r="S53" s="30">
        <f>IF(AND(ISNUMBER(M53),ISNUMBER(R53)),(M53*0.9-R53)*3600,"")</f>
        <v/>
      </c>
      <c r="T53" s="28" t="n"/>
    </row>
    <row r="54">
      <c r="A54" s="25" t="inlineStr">
        <is>
          <t>S25</t>
        </is>
      </c>
      <c r="B54" s="25" t="inlineStr">
        <is>
          <t>S25-M2</t>
        </is>
      </c>
      <c r="C54" s="25" t="inlineStr">
        <is>
          <t>관리 신규점3</t>
        </is>
      </c>
      <c r="D54" s="25" t="inlineStr">
        <is>
          <t>방위표지2</t>
        </is>
      </c>
      <c r="E54" s="26" t="n">
        <v>36.32622315833333</v>
      </c>
      <c r="F54" s="26" t="n">
        <v>127.9067672388889</v>
      </c>
      <c r="G54" s="28" t="n"/>
      <c r="H54" s="37" t="inlineStr">
        <is>
          <t>기준점</t>
        </is>
      </c>
      <c r="I54" s="37" t="inlineStr">
        <is>
          <t>방위표지</t>
        </is>
      </c>
      <c r="J54" s="38" t="n"/>
      <c r="K54" s="38" t="n"/>
      <c r="L54" s="34">
        <f>IF(COUNT(J54:K54)=2,ABS(ABS(K54-J54)-200),"")</f>
        <v/>
      </c>
      <c r="M54" s="38" t="n"/>
      <c r="N54" s="34">
        <f>IF(ISNUMBER(M54),M54*0.9,"")</f>
        <v/>
      </c>
      <c r="O54" s="34">
        <f>IF(ISNUMBER(M54),MOD(M54*0.9+180,360),"")</f>
        <v/>
      </c>
      <c r="P54" s="28" t="n"/>
      <c r="Q54" s="29" t="n"/>
      <c r="R54" s="29" t="n"/>
      <c r="S54" s="30">
        <f>IF(AND(ISNUMBER(M54),ISNUMBER(R54)),(M54*0.9-R54)*3600,"")</f>
        <v/>
      </c>
      <c r="T54" s="28" t="n"/>
    </row>
    <row r="55">
      <c r="A55" s="25" t="inlineStr">
        <is>
          <t>S26</t>
        </is>
      </c>
      <c r="B55" s="25" t="inlineStr">
        <is>
          <t>S26-M1</t>
        </is>
      </c>
      <c r="C55" s="25" t="inlineStr">
        <is>
          <t>고남 신규점2</t>
        </is>
      </c>
      <c r="D55" s="25" t="inlineStr">
        <is>
          <t>방위표지1</t>
        </is>
      </c>
      <c r="E55" s="26" t="n">
        <v>36.45300476666667</v>
      </c>
      <c r="F55" s="26" t="n">
        <v>126.39622445</v>
      </c>
      <c r="G55" s="28" t="n"/>
      <c r="H55" s="37" t="inlineStr">
        <is>
          <t>기준점</t>
        </is>
      </c>
      <c r="I55" s="37" t="inlineStr">
        <is>
          <t>방위표지</t>
        </is>
      </c>
      <c r="J55" s="38" t="n"/>
      <c r="K55" s="38" t="n"/>
      <c r="L55" s="34">
        <f>IF(COUNT(J55:K55)=2,ABS(ABS(K55-J55)-200),"")</f>
        <v/>
      </c>
      <c r="M55" s="38" t="n"/>
      <c r="N55" s="34">
        <f>IF(ISNUMBER(M55),M55*0.9,"")</f>
        <v/>
      </c>
      <c r="O55" s="34">
        <f>IF(ISNUMBER(M55),MOD(M55*0.9+180,360),"")</f>
        <v/>
      </c>
      <c r="P55" s="28" t="n"/>
      <c r="Q55" s="29" t="n"/>
      <c r="R55" s="29" t="n"/>
      <c r="S55" s="30">
        <f>IF(AND(ISNUMBER(M55),ISNUMBER(R55)),(M55*0.9-R55)*3600,"")</f>
        <v/>
      </c>
      <c r="T55" s="28" t="n"/>
    </row>
    <row r="56">
      <c r="A56" s="25" t="inlineStr">
        <is>
          <t>S26</t>
        </is>
      </c>
      <c r="B56" s="25" t="inlineStr">
        <is>
          <t>S26-M2</t>
        </is>
      </c>
      <c r="C56" s="25" t="inlineStr">
        <is>
          <t>고남 신규점2</t>
        </is>
      </c>
      <c r="D56" s="25" t="inlineStr">
        <is>
          <t>방위표지2</t>
        </is>
      </c>
      <c r="E56" s="26" t="n">
        <v>36.45190164722222</v>
      </c>
      <c r="F56" s="26" t="n">
        <v>126.3956203666667</v>
      </c>
      <c r="G56" s="28" t="n"/>
      <c r="H56" s="37" t="inlineStr">
        <is>
          <t>기준점</t>
        </is>
      </c>
      <c r="I56" s="37" t="inlineStr">
        <is>
          <t>방위표지</t>
        </is>
      </c>
      <c r="J56" s="38" t="n"/>
      <c r="K56" s="38" t="n"/>
      <c r="L56" s="34">
        <f>IF(COUNT(J56:K56)=2,ABS(ABS(K56-J56)-200),"")</f>
        <v/>
      </c>
      <c r="M56" s="38" t="n"/>
      <c r="N56" s="34">
        <f>IF(ISNUMBER(M56),M56*0.9,"")</f>
        <v/>
      </c>
      <c r="O56" s="34">
        <f>IF(ISNUMBER(M56),MOD(M56*0.9+180,360),"")</f>
        <v/>
      </c>
      <c r="P56" s="28" t="n"/>
      <c r="Q56" s="29" t="n"/>
      <c r="R56" s="29" t="n"/>
      <c r="S56" s="30">
        <f>IF(AND(ISNUMBER(M56),ISNUMBER(R56)),(M56*0.9-R56)*3600,"")</f>
        <v/>
      </c>
      <c r="T56" s="28" t="n"/>
    </row>
    <row r="57">
      <c r="A57" s="25" t="inlineStr">
        <is>
          <t>S27</t>
        </is>
      </c>
      <c r="B57" s="25" t="inlineStr">
        <is>
          <t>S27-M1</t>
        </is>
      </c>
      <c r="C57" s="25" t="inlineStr">
        <is>
          <t>전의 신규점</t>
        </is>
      </c>
      <c r="D57" s="25" t="inlineStr">
        <is>
          <t>방위표지1</t>
        </is>
      </c>
      <c r="E57" s="26" t="n">
        <v>36.57988551111112</v>
      </c>
      <c r="F57" s="26" t="n">
        <v>127.0679051638889</v>
      </c>
      <c r="G57" s="28" t="n"/>
      <c r="H57" s="37" t="inlineStr">
        <is>
          <t>기준점</t>
        </is>
      </c>
      <c r="I57" s="37" t="inlineStr">
        <is>
          <t>방위표지</t>
        </is>
      </c>
      <c r="J57" s="38" t="n"/>
      <c r="K57" s="38" t="n"/>
      <c r="L57" s="34">
        <f>IF(COUNT(J57:K57)=2,ABS(ABS(K57-J57)-200),"")</f>
        <v/>
      </c>
      <c r="M57" s="38" t="n"/>
      <c r="N57" s="34">
        <f>IF(ISNUMBER(M57),M57*0.9,"")</f>
        <v/>
      </c>
      <c r="O57" s="34">
        <f>IF(ISNUMBER(M57),MOD(M57*0.9+180,360),"")</f>
        <v/>
      </c>
      <c r="P57" s="28" t="n"/>
      <c r="Q57" s="29" t="n"/>
      <c r="R57" s="29" t="n"/>
      <c r="S57" s="30">
        <f>IF(AND(ISNUMBER(M57),ISNUMBER(R57)),(M57*0.9-R57)*3600,"")</f>
        <v/>
      </c>
      <c r="T57" s="28" t="n"/>
    </row>
    <row r="58">
      <c r="A58" s="25" t="inlineStr">
        <is>
          <t>S27</t>
        </is>
      </c>
      <c r="B58" s="25" t="inlineStr">
        <is>
          <t>S27-M2</t>
        </is>
      </c>
      <c r="C58" s="25" t="inlineStr">
        <is>
          <t>전의 신규점</t>
        </is>
      </c>
      <c r="D58" s="25" t="inlineStr">
        <is>
          <t>방위표지2</t>
        </is>
      </c>
      <c r="E58" s="26" t="n">
        <v>36.57941415555556</v>
      </c>
      <c r="F58" s="26" t="n">
        <v>127.0686793722222</v>
      </c>
      <c r="G58" s="28" t="n"/>
      <c r="H58" s="37" t="inlineStr">
        <is>
          <t>기준점</t>
        </is>
      </c>
      <c r="I58" s="37" t="inlineStr">
        <is>
          <t>방위표지</t>
        </is>
      </c>
      <c r="J58" s="38" t="n"/>
      <c r="K58" s="38" t="n"/>
      <c r="L58" s="34">
        <f>IF(COUNT(J58:K58)=2,ABS(ABS(K58-J58)-200),"")</f>
        <v/>
      </c>
      <c r="M58" s="38" t="n"/>
      <c r="N58" s="34">
        <f>IF(ISNUMBER(M58),M58*0.9,"")</f>
        <v/>
      </c>
      <c r="O58" s="34">
        <f>IF(ISNUMBER(M58),MOD(M58*0.9+180,360),"")</f>
        <v/>
      </c>
      <c r="P58" s="28" t="n"/>
      <c r="Q58" s="29" t="n"/>
      <c r="R58" s="29" t="n"/>
      <c r="S58" s="30">
        <f>IF(AND(ISNUMBER(M58),ISNUMBER(R58)),(M58*0.9-R58)*3600,"")</f>
        <v/>
      </c>
      <c r="T58" s="28" t="n"/>
    </row>
    <row r="59">
      <c r="A59" s="25" t="inlineStr">
        <is>
          <t>S28</t>
        </is>
      </c>
      <c r="B59" s="25" t="inlineStr">
        <is>
          <t>S28-M1</t>
        </is>
      </c>
      <c r="C59" s="25" t="inlineStr">
        <is>
          <t>이원 신규점</t>
        </is>
      </c>
      <c r="D59" s="25" t="inlineStr">
        <is>
          <t>방위표지1</t>
        </is>
      </c>
      <c r="E59" s="26" t="n">
        <v>36.16622559722222</v>
      </c>
      <c r="F59" s="26" t="n">
        <v>127.5833975027778</v>
      </c>
      <c r="G59" s="28" t="n"/>
      <c r="H59" s="37" t="inlineStr">
        <is>
          <t>기준점</t>
        </is>
      </c>
      <c r="I59" s="37" t="inlineStr">
        <is>
          <t>방위표지</t>
        </is>
      </c>
      <c r="J59" s="38" t="n"/>
      <c r="K59" s="38" t="n"/>
      <c r="L59" s="34">
        <f>IF(COUNT(J59:K59)=2,ABS(ABS(K59-J59)-200),"")</f>
        <v/>
      </c>
      <c r="M59" s="38" t="n"/>
      <c r="N59" s="34">
        <f>IF(ISNUMBER(M59),M59*0.9,"")</f>
        <v/>
      </c>
      <c r="O59" s="34">
        <f>IF(ISNUMBER(M59),MOD(M59*0.9+180,360),"")</f>
        <v/>
      </c>
      <c r="P59" s="28" t="n"/>
      <c r="Q59" s="29" t="n"/>
      <c r="R59" s="29" t="n"/>
      <c r="S59" s="30">
        <f>IF(AND(ISNUMBER(M59),ISNUMBER(R59)),(M59*0.9-R59)*3600,"")</f>
        <v/>
      </c>
      <c r="T59" s="28" t="n"/>
    </row>
    <row r="60">
      <c r="A60" s="25" t="inlineStr">
        <is>
          <t>S28</t>
        </is>
      </c>
      <c r="B60" s="25" t="inlineStr">
        <is>
          <t>S28-M2</t>
        </is>
      </c>
      <c r="C60" s="25" t="inlineStr">
        <is>
          <t>이원 신규점</t>
        </is>
      </c>
      <c r="D60" s="25" t="inlineStr">
        <is>
          <t>방위표지2</t>
        </is>
      </c>
      <c r="E60" s="26" t="n">
        <v>36.16659431666667</v>
      </c>
      <c r="F60" s="26" t="n">
        <v>127.5827973611111</v>
      </c>
      <c r="G60" s="28" t="n"/>
      <c r="H60" s="37" t="inlineStr">
        <is>
          <t>기준점</t>
        </is>
      </c>
      <c r="I60" s="37" t="inlineStr">
        <is>
          <t>방위표지</t>
        </is>
      </c>
      <c r="J60" s="38" t="n"/>
      <c r="K60" s="38" t="n"/>
      <c r="L60" s="34">
        <f>IF(COUNT(J60:K60)=2,ABS(ABS(K60-J60)-200),"")</f>
        <v/>
      </c>
      <c r="M60" s="38" t="n"/>
      <c r="N60" s="34">
        <f>IF(ISNUMBER(M60),M60*0.9,"")</f>
        <v/>
      </c>
      <c r="O60" s="34">
        <f>IF(ISNUMBER(M60),MOD(M60*0.9+180,360),"")</f>
        <v/>
      </c>
      <c r="P60" s="28" t="n"/>
      <c r="Q60" s="29" t="n"/>
      <c r="R60" s="29" t="n"/>
      <c r="S60" s="30">
        <f>IF(AND(ISNUMBER(M60),ISNUMBER(R60)),(M60*0.9-R60)*3600,"")</f>
        <v/>
      </c>
      <c r="T60" s="28" t="n"/>
    </row>
    <row r="61">
      <c r="A61" s="25" t="inlineStr">
        <is>
          <t>S29</t>
        </is>
      </c>
      <c r="B61" s="25" t="inlineStr">
        <is>
          <t>S29-M1</t>
        </is>
      </c>
      <c r="C61" s="25" t="inlineStr">
        <is>
          <t>가야 신규점1</t>
        </is>
      </c>
      <c r="D61" s="25" t="inlineStr">
        <is>
          <t>방위표지1</t>
        </is>
      </c>
      <c r="E61" s="26" t="n">
        <v>35.77790352777777</v>
      </c>
      <c r="F61" s="26" t="n">
        <v>128.0370350277778</v>
      </c>
      <c r="G61" s="28" t="n"/>
      <c r="H61" s="37" t="inlineStr">
        <is>
          <t>기준점</t>
        </is>
      </c>
      <c r="I61" s="37" t="inlineStr">
        <is>
          <t>방위표지</t>
        </is>
      </c>
      <c r="J61" s="38" t="n"/>
      <c r="K61" s="38" t="n"/>
      <c r="L61" s="34">
        <f>IF(COUNT(J61:K61)=2,ABS(ABS(K61-J61)-200),"")</f>
        <v/>
      </c>
      <c r="M61" s="38" t="n"/>
      <c r="N61" s="34">
        <f>IF(ISNUMBER(M61),M61*0.9,"")</f>
        <v/>
      </c>
      <c r="O61" s="34">
        <f>IF(ISNUMBER(M61),MOD(M61*0.9+180,360),"")</f>
        <v/>
      </c>
      <c r="P61" s="28" t="n"/>
      <c r="Q61" s="29" t="n"/>
      <c r="R61" s="29" t="n"/>
      <c r="S61" s="30">
        <f>IF(AND(ISNUMBER(M61),ISNUMBER(R61)),(M61*0.9-R61)*3600,"")</f>
        <v/>
      </c>
      <c r="T61" s="28" t="n"/>
    </row>
    <row r="62">
      <c r="A62" s="25" t="inlineStr">
        <is>
          <t>S29</t>
        </is>
      </c>
      <c r="B62" s="25" t="inlineStr">
        <is>
          <t>S29-M2</t>
        </is>
      </c>
      <c r="C62" s="25" t="inlineStr">
        <is>
          <t>가야 신규점1</t>
        </is>
      </c>
      <c r="D62" s="25" t="inlineStr">
        <is>
          <t>방위표지2</t>
        </is>
      </c>
      <c r="E62" s="26" t="n">
        <v>35.77756333333333</v>
      </c>
      <c r="F62" s="26" t="n">
        <v>128.0367176666667</v>
      </c>
      <c r="G62" s="28" t="n"/>
      <c r="H62" s="37" t="inlineStr">
        <is>
          <t>기준점</t>
        </is>
      </c>
      <c r="I62" s="37" t="inlineStr">
        <is>
          <t>방위표지</t>
        </is>
      </c>
      <c r="J62" s="38" t="n"/>
      <c r="K62" s="38" t="n"/>
      <c r="L62" s="34">
        <f>IF(COUNT(J62:K62)=2,ABS(ABS(K62-J62)-200),"")</f>
        <v/>
      </c>
      <c r="M62" s="38" t="n"/>
      <c r="N62" s="34">
        <f>IF(ISNUMBER(M62),M62*0.9,"")</f>
        <v/>
      </c>
      <c r="O62" s="34">
        <f>IF(ISNUMBER(M62),MOD(M62*0.9+180,360),"")</f>
        <v/>
      </c>
      <c r="P62" s="28" t="n"/>
      <c r="Q62" s="29" t="n"/>
      <c r="R62" s="29" t="n"/>
      <c r="S62" s="30">
        <f>IF(AND(ISNUMBER(M62),ISNUMBER(R62)),(M62*0.9-R62)*3600,"")</f>
        <v/>
      </c>
      <c r="T62" s="28" t="n"/>
    </row>
    <row r="63">
      <c r="A63" s="25" t="inlineStr">
        <is>
          <t>S30</t>
        </is>
      </c>
      <c r="B63" s="25" t="inlineStr">
        <is>
          <t>S30-M1</t>
        </is>
      </c>
      <c r="C63" s="25" t="inlineStr">
        <is>
          <t>창녕 신규점</t>
        </is>
      </c>
      <c r="D63" s="25" t="inlineStr">
        <is>
          <t>방위표지1</t>
        </is>
      </c>
      <c r="E63" s="26" t="n">
        <v>35.66247446666667</v>
      </c>
      <c r="F63" s="26" t="n">
        <v>128.2979756861111</v>
      </c>
      <c r="G63" s="28" t="n"/>
      <c r="H63" s="37" t="inlineStr">
        <is>
          <t>기준점</t>
        </is>
      </c>
      <c r="I63" s="37" t="inlineStr">
        <is>
          <t>방위표지</t>
        </is>
      </c>
      <c r="J63" s="38" t="n"/>
      <c r="K63" s="38" t="n"/>
      <c r="L63" s="34">
        <f>IF(COUNT(J63:K63)=2,ABS(ABS(K63-J63)-200),"")</f>
        <v/>
      </c>
      <c r="M63" s="38" t="n"/>
      <c r="N63" s="34">
        <f>IF(ISNUMBER(M63),M63*0.9,"")</f>
        <v/>
      </c>
      <c r="O63" s="34">
        <f>IF(ISNUMBER(M63),MOD(M63*0.9+180,360),"")</f>
        <v/>
      </c>
      <c r="P63" s="28" t="n"/>
      <c r="Q63" s="29" t="n"/>
      <c r="R63" s="29" t="n"/>
      <c r="S63" s="30">
        <f>IF(AND(ISNUMBER(M63),ISNUMBER(R63)),(M63*0.9-R63)*3600,"")</f>
        <v/>
      </c>
      <c r="T63" s="28" t="n"/>
    </row>
    <row r="64">
      <c r="A64" s="25" t="inlineStr">
        <is>
          <t>S30</t>
        </is>
      </c>
      <c r="B64" s="25" t="inlineStr">
        <is>
          <t>S30-M2</t>
        </is>
      </c>
      <c r="C64" s="25" t="inlineStr">
        <is>
          <t>창녕 신규점</t>
        </is>
      </c>
      <c r="D64" s="25" t="inlineStr">
        <is>
          <t>방위표지2</t>
        </is>
      </c>
      <c r="E64" s="26" t="n">
        <v>35.66235456388889</v>
      </c>
      <c r="F64" s="26" t="n">
        <v>128.2983300361111</v>
      </c>
      <c r="G64" s="28" t="n"/>
      <c r="H64" s="37" t="inlineStr">
        <is>
          <t>기준점</t>
        </is>
      </c>
      <c r="I64" s="37" t="inlineStr">
        <is>
          <t>방위표지</t>
        </is>
      </c>
      <c r="J64" s="38" t="n"/>
      <c r="K64" s="38" t="n"/>
      <c r="L64" s="34">
        <f>IF(COUNT(J64:K64)=2,ABS(ABS(K64-J64)-200),"")</f>
        <v/>
      </c>
      <c r="M64" s="38" t="n"/>
      <c r="N64" s="34">
        <f>IF(ISNUMBER(M64),M64*0.9,"")</f>
        <v/>
      </c>
      <c r="O64" s="34">
        <f>IF(ISNUMBER(M64),MOD(M64*0.9+180,360),"")</f>
        <v/>
      </c>
      <c r="P64" s="28" t="n"/>
      <c r="Q64" s="29" t="n"/>
      <c r="R64" s="29" t="n"/>
      <c r="S64" s="30">
        <f>IF(AND(ISNUMBER(M64),ISNUMBER(R64)),(M64*0.9-R64)*3600,"")</f>
        <v/>
      </c>
      <c r="T64" s="28" t="n"/>
    </row>
    <row r="65">
      <c r="A65" s="25" t="inlineStr">
        <is>
          <t>S31</t>
        </is>
      </c>
      <c r="B65" s="25" t="inlineStr">
        <is>
          <t>S31-M1</t>
        </is>
      </c>
      <c r="C65" s="25" t="inlineStr">
        <is>
          <t>언양 신규점3</t>
        </is>
      </c>
      <c r="D65" s="25" t="inlineStr">
        <is>
          <t>방위표지1</t>
        </is>
      </c>
      <c r="E65" s="26" t="n">
        <v>35.74275622222223</v>
      </c>
      <c r="F65" s="26" t="n">
        <v>129.0301785833333</v>
      </c>
      <c r="G65" s="28" t="n"/>
      <c r="H65" s="37" t="inlineStr">
        <is>
          <t>기준점</t>
        </is>
      </c>
      <c r="I65" s="37" t="inlineStr">
        <is>
          <t>방위표지</t>
        </is>
      </c>
      <c r="J65" s="38" t="n"/>
      <c r="K65" s="38" t="n"/>
      <c r="L65" s="34">
        <f>IF(COUNT(J65:K65)=2,ABS(ABS(K65-J65)-200),"")</f>
        <v/>
      </c>
      <c r="M65" s="38" t="n"/>
      <c r="N65" s="34">
        <f>IF(ISNUMBER(M65),M65*0.9,"")</f>
        <v/>
      </c>
      <c r="O65" s="34">
        <f>IF(ISNUMBER(M65),MOD(M65*0.9+180,360),"")</f>
        <v/>
      </c>
      <c r="P65" s="28" t="n"/>
      <c r="Q65" s="29" t="n"/>
      <c r="R65" s="29" t="n"/>
      <c r="S65" s="30">
        <f>IF(AND(ISNUMBER(M65),ISNUMBER(R65)),(M65*0.9-R65)*3600,"")</f>
        <v/>
      </c>
      <c r="T65" s="28" t="n"/>
    </row>
    <row r="66">
      <c r="A66" s="25" t="inlineStr">
        <is>
          <t>S31</t>
        </is>
      </c>
      <c r="B66" s="25" t="inlineStr">
        <is>
          <t>S31-M2</t>
        </is>
      </c>
      <c r="C66" s="25" t="inlineStr">
        <is>
          <t>언양 신규점3</t>
        </is>
      </c>
      <c r="D66" s="25" t="inlineStr">
        <is>
          <t>방위표지2</t>
        </is>
      </c>
      <c r="E66" s="26" t="n">
        <v>35.742551</v>
      </c>
      <c r="F66" s="26" t="n">
        <v>129.0299160277778</v>
      </c>
      <c r="G66" s="28" t="n"/>
      <c r="H66" s="37" t="inlineStr">
        <is>
          <t>기준점</t>
        </is>
      </c>
      <c r="I66" s="37" t="inlineStr">
        <is>
          <t>방위표지</t>
        </is>
      </c>
      <c r="J66" s="38" t="n"/>
      <c r="K66" s="38" t="n"/>
      <c r="L66" s="34">
        <f>IF(COUNT(J66:K66)=2,ABS(ABS(K66-J66)-200),"")</f>
        <v/>
      </c>
      <c r="M66" s="38" t="n"/>
      <c r="N66" s="34">
        <f>IF(ISNUMBER(M66),M66*0.9,"")</f>
        <v/>
      </c>
      <c r="O66" s="34">
        <f>IF(ISNUMBER(M66),MOD(M66*0.9+180,360),"")</f>
        <v/>
      </c>
      <c r="P66" s="28" t="n"/>
      <c r="Q66" s="29" t="n"/>
      <c r="R66" s="29" t="n"/>
      <c r="S66" s="30">
        <f>IF(AND(ISNUMBER(M66),ISNUMBER(R66)),(M66*0.9-R66)*3600,"")</f>
        <v/>
      </c>
      <c r="T66" s="28" t="n"/>
    </row>
    <row r="67">
      <c r="A67" s="25" t="inlineStr">
        <is>
          <t>S32</t>
        </is>
      </c>
      <c r="B67" s="25" t="inlineStr">
        <is>
          <t>S32-M1</t>
        </is>
      </c>
      <c r="C67" s="25" t="inlineStr">
        <is>
          <t>함양 신규점</t>
        </is>
      </c>
      <c r="D67" s="25" t="inlineStr">
        <is>
          <t>방위표지1</t>
        </is>
      </c>
      <c r="E67" s="26" t="n">
        <v>35.5859508</v>
      </c>
      <c r="F67" s="26" t="n">
        <v>127.5747908</v>
      </c>
      <c r="G67" s="28" t="n"/>
      <c r="H67" s="37" t="inlineStr">
        <is>
          <t>기준점</t>
        </is>
      </c>
      <c r="I67" s="37" t="inlineStr">
        <is>
          <t>방위표지</t>
        </is>
      </c>
      <c r="J67" s="38" t="n"/>
      <c r="K67" s="38" t="n"/>
      <c r="L67" s="34">
        <f>IF(COUNT(J67:K67)=2,ABS(ABS(K67-J67)-200),"")</f>
        <v/>
      </c>
      <c r="M67" s="38" t="n"/>
      <c r="N67" s="34">
        <f>IF(ISNUMBER(M67),M67*0.9,"")</f>
        <v/>
      </c>
      <c r="O67" s="34">
        <f>IF(ISNUMBER(M67),MOD(M67*0.9+180,360),"")</f>
        <v/>
      </c>
      <c r="P67" s="28" t="n"/>
      <c r="Q67" s="29" t="n"/>
      <c r="R67" s="29" t="n"/>
      <c r="S67" s="30">
        <f>IF(AND(ISNUMBER(M67),ISNUMBER(R67)),(M67*0.9-R67)*3600,"")</f>
        <v/>
      </c>
      <c r="T67" s="28" t="n"/>
    </row>
    <row r="68">
      <c r="A68" s="25" t="inlineStr">
        <is>
          <t>S32</t>
        </is>
      </c>
      <c r="B68" s="25" t="inlineStr">
        <is>
          <t>S32-M2</t>
        </is>
      </c>
      <c r="C68" s="25" t="inlineStr">
        <is>
          <t>함양 신규점</t>
        </is>
      </c>
      <c r="D68" s="25" t="inlineStr">
        <is>
          <t>방위표지2</t>
        </is>
      </c>
      <c r="E68" s="26" t="n">
        <v>35.58639289</v>
      </c>
      <c r="F68" s="26" t="n">
        <v>127.5742091</v>
      </c>
      <c r="G68" s="28" t="n"/>
      <c r="H68" s="37" t="inlineStr">
        <is>
          <t>기준점</t>
        </is>
      </c>
      <c r="I68" s="37" t="inlineStr">
        <is>
          <t>방위표지</t>
        </is>
      </c>
      <c r="J68" s="38" t="n"/>
      <c r="K68" s="38" t="n"/>
      <c r="L68" s="34">
        <f>IF(COUNT(J68:K68)=2,ABS(ABS(K68-J68)-200),"")</f>
        <v/>
      </c>
      <c r="M68" s="38" t="n"/>
      <c r="N68" s="34">
        <f>IF(ISNUMBER(M68),M68*0.9,"")</f>
        <v/>
      </c>
      <c r="O68" s="34">
        <f>IF(ISNUMBER(M68),MOD(M68*0.9+180,360),"")</f>
        <v/>
      </c>
      <c r="P68" s="28" t="n"/>
      <c r="Q68" s="29" t="n"/>
      <c r="R68" s="29" t="n"/>
      <c r="S68" s="30">
        <f>IF(AND(ISNUMBER(M68),ISNUMBER(R68)),(M68*0.9-R68)*3600,"")</f>
        <v/>
      </c>
      <c r="T68" s="28" t="n"/>
    </row>
    <row r="69">
      <c r="A69" s="25" t="inlineStr">
        <is>
          <t>S33</t>
        </is>
      </c>
      <c r="B69" s="25" t="inlineStr">
        <is>
          <t>S33-M1</t>
        </is>
      </c>
      <c r="C69" s="25" t="inlineStr">
        <is>
          <t>문산 신규점</t>
        </is>
      </c>
      <c r="D69" s="25" t="inlineStr">
        <is>
          <t>방위표지1</t>
        </is>
      </c>
      <c r="E69" s="26" t="n">
        <v>37.92835582777778</v>
      </c>
      <c r="F69" s="26" t="n">
        <v>126.8695256111111</v>
      </c>
      <c r="G69" s="28" t="n"/>
      <c r="H69" s="37" t="inlineStr">
        <is>
          <t>기준점</t>
        </is>
      </c>
      <c r="I69" s="37" t="inlineStr">
        <is>
          <t>방위표지</t>
        </is>
      </c>
      <c r="J69" s="38" t="n"/>
      <c r="K69" s="38" t="n"/>
      <c r="L69" s="34">
        <f>IF(COUNT(J69:K69)=2,ABS(ABS(K69-J69)-200),"")</f>
        <v/>
      </c>
      <c r="M69" s="38" t="n"/>
      <c r="N69" s="34">
        <f>IF(ISNUMBER(M69),M69*0.9,"")</f>
        <v/>
      </c>
      <c r="O69" s="34">
        <f>IF(ISNUMBER(M69),MOD(M69*0.9+180,360),"")</f>
        <v/>
      </c>
      <c r="P69" s="28" t="n"/>
      <c r="Q69" s="29" t="n"/>
      <c r="R69" s="29" t="n"/>
      <c r="S69" s="30">
        <f>IF(AND(ISNUMBER(M69),ISNUMBER(R69)),(M69*0.9-R69)*3600,"")</f>
        <v/>
      </c>
      <c r="T69" s="28" t="n"/>
    </row>
    <row r="70">
      <c r="A70" s="25" t="inlineStr">
        <is>
          <t>S33</t>
        </is>
      </c>
      <c r="B70" s="25" t="inlineStr">
        <is>
          <t>S33-M2</t>
        </is>
      </c>
      <c r="C70" s="25" t="inlineStr">
        <is>
          <t>문산 신규점</t>
        </is>
      </c>
      <c r="D70" s="25" t="inlineStr">
        <is>
          <t>방위표지2</t>
        </is>
      </c>
      <c r="E70" s="26" t="n">
        <v>37.92751204166667</v>
      </c>
      <c r="F70" s="26" t="n">
        <v>126.8704798111111</v>
      </c>
      <c r="G70" s="28" t="n"/>
      <c r="H70" s="37" t="inlineStr">
        <is>
          <t>기준점</t>
        </is>
      </c>
      <c r="I70" s="37" t="inlineStr">
        <is>
          <t>방위표지</t>
        </is>
      </c>
      <c r="J70" s="38" t="n"/>
      <c r="K70" s="38" t="n"/>
      <c r="L70" s="34">
        <f>IF(COUNT(J70:K70)=2,ABS(ABS(K70-J70)-200),"")</f>
        <v/>
      </c>
      <c r="M70" s="38" t="n"/>
      <c r="N70" s="34">
        <f>IF(ISNUMBER(M70),M70*0.9,"")</f>
        <v/>
      </c>
      <c r="O70" s="34">
        <f>IF(ISNUMBER(M70),MOD(M70*0.9+180,360),"")</f>
        <v/>
      </c>
      <c r="P70" s="28" t="n"/>
      <c r="Q70" s="29" t="n"/>
      <c r="R70" s="29" t="n"/>
      <c r="S70" s="30">
        <f>IF(AND(ISNUMBER(M70),ISNUMBER(R70)),(M70*0.9-R70)*3600,"")</f>
        <v/>
      </c>
      <c r="T70" s="28" t="n"/>
    </row>
    <row r="71">
      <c r="A71" s="25" t="inlineStr">
        <is>
          <t>S34</t>
        </is>
      </c>
      <c r="B71" s="25" t="inlineStr">
        <is>
          <t>S34-M1</t>
        </is>
      </c>
      <c r="C71" s="25" t="inlineStr">
        <is>
          <t>부안 신규점</t>
        </is>
      </c>
      <c r="D71" s="25" t="inlineStr">
        <is>
          <t>방위표지1</t>
        </is>
      </c>
      <c r="E71" s="26" t="n">
        <v>35.54168809722222</v>
      </c>
      <c r="F71" s="26" t="n">
        <v>126.6455125722222</v>
      </c>
      <c r="G71" s="28" t="n"/>
      <c r="H71" s="37" t="inlineStr">
        <is>
          <t>기준점</t>
        </is>
      </c>
      <c r="I71" s="37" t="inlineStr">
        <is>
          <t>방위표지</t>
        </is>
      </c>
      <c r="J71" s="38" t="n"/>
      <c r="K71" s="38" t="n"/>
      <c r="L71" s="34">
        <f>IF(COUNT(J71:K71)=2,ABS(ABS(K71-J71)-200),"")</f>
        <v/>
      </c>
      <c r="M71" s="38" t="n"/>
      <c r="N71" s="34">
        <f>IF(ISNUMBER(M71),M71*0.9,"")</f>
        <v/>
      </c>
      <c r="O71" s="34">
        <f>IF(ISNUMBER(M71),MOD(M71*0.9+180,360),"")</f>
        <v/>
      </c>
      <c r="P71" s="28" t="n"/>
      <c r="Q71" s="29" t="n"/>
      <c r="R71" s="29" t="n"/>
      <c r="S71" s="30">
        <f>IF(AND(ISNUMBER(M71),ISNUMBER(R71)),(M71*0.9-R71)*3600,"")</f>
        <v/>
      </c>
      <c r="T71" s="28" t="n"/>
    </row>
    <row r="72">
      <c r="A72" s="25" t="inlineStr">
        <is>
          <t>S34</t>
        </is>
      </c>
      <c r="B72" s="25" t="inlineStr">
        <is>
          <t>S34-M2</t>
        </is>
      </c>
      <c r="C72" s="25" t="inlineStr">
        <is>
          <t>부안 신규점</t>
        </is>
      </c>
      <c r="D72" s="25" t="inlineStr">
        <is>
          <t>방위표지2</t>
        </is>
      </c>
      <c r="E72" s="26" t="n">
        <v>35.5424344</v>
      </c>
      <c r="F72" s="26" t="n">
        <v>126.6443657833333</v>
      </c>
      <c r="G72" s="28" t="n"/>
      <c r="H72" s="37" t="inlineStr">
        <is>
          <t>기준점</t>
        </is>
      </c>
      <c r="I72" s="37" t="inlineStr">
        <is>
          <t>방위표지</t>
        </is>
      </c>
      <c r="J72" s="38" t="n"/>
      <c r="K72" s="38" t="n"/>
      <c r="L72" s="34">
        <f>IF(COUNT(J72:K72)=2,ABS(ABS(K72-J72)-200),"")</f>
        <v/>
      </c>
      <c r="M72" s="38" t="n"/>
      <c r="N72" s="34">
        <f>IF(ISNUMBER(M72),M72*0.9,"")</f>
        <v/>
      </c>
      <c r="O72" s="34">
        <f>IF(ISNUMBER(M72),MOD(M72*0.9+180,360),"")</f>
        <v/>
      </c>
      <c r="P72" s="28" t="n"/>
      <c r="Q72" s="29" t="n"/>
      <c r="R72" s="29" t="n"/>
      <c r="S72" s="30">
        <f>IF(AND(ISNUMBER(M72),ISNUMBER(R72)),(M72*0.9-R72)*3600,"")</f>
        <v/>
      </c>
      <c r="T72" s="28" t="n"/>
    </row>
    <row r="73">
      <c r="A73" s="25" t="inlineStr">
        <is>
          <t>S35</t>
        </is>
      </c>
      <c r="B73" s="25" t="inlineStr">
        <is>
          <t>S35-M1</t>
        </is>
      </c>
      <c r="C73" s="25" t="inlineStr">
        <is>
          <t>상주</t>
        </is>
      </c>
      <c r="D73" s="25" t="inlineStr">
        <is>
          <t>방위표지1</t>
        </is>
      </c>
      <c r="E73" s="25" t="n"/>
      <c r="F73" s="25" t="n"/>
      <c r="G73" s="28" t="n"/>
      <c r="H73" s="37" t="inlineStr">
        <is>
          <t>기준점</t>
        </is>
      </c>
      <c r="I73" s="37" t="inlineStr">
        <is>
          <t>방위표지</t>
        </is>
      </c>
      <c r="J73" s="38" t="n"/>
      <c r="K73" s="38" t="n"/>
      <c r="L73" s="34">
        <f>IF(COUNT(J73:K73)=2,ABS(ABS(K73-J73)-200),"")</f>
        <v/>
      </c>
      <c r="M73" s="38" t="n"/>
      <c r="N73" s="34">
        <f>IF(ISNUMBER(M73),M73*0.9,"")</f>
        <v/>
      </c>
      <c r="O73" s="34">
        <f>IF(ISNUMBER(M73),MOD(M73*0.9+180,360),"")</f>
        <v/>
      </c>
      <c r="P73" s="28" t="n"/>
      <c r="Q73" s="29" t="n"/>
      <c r="R73" s="29" t="n"/>
      <c r="S73" s="30">
        <f>IF(AND(ISNUMBER(M73),ISNUMBER(R73)),(M73*0.9-R73)*3600,"")</f>
        <v/>
      </c>
      <c r="T73" s="28" t="n"/>
    </row>
    <row r="74">
      <c r="A74" s="25" t="inlineStr">
        <is>
          <t>S35</t>
        </is>
      </c>
      <c r="B74" s="25" t="inlineStr">
        <is>
          <t>S35-M2</t>
        </is>
      </c>
      <c r="C74" s="25" t="inlineStr">
        <is>
          <t>상주</t>
        </is>
      </c>
      <c r="D74" s="25" t="inlineStr">
        <is>
          <t>방위표지2</t>
        </is>
      </c>
      <c r="E74" s="25" t="n"/>
      <c r="F74" s="25" t="n"/>
      <c r="G74" s="28" t="n"/>
      <c r="H74" s="37" t="inlineStr">
        <is>
          <t>기준점</t>
        </is>
      </c>
      <c r="I74" s="37" t="inlineStr">
        <is>
          <t>방위표지</t>
        </is>
      </c>
      <c r="J74" s="38" t="n"/>
      <c r="K74" s="38" t="n"/>
      <c r="L74" s="34">
        <f>IF(COUNT(J74:K74)=2,ABS(ABS(K74-J74)-200),"")</f>
        <v/>
      </c>
      <c r="M74" s="38" t="n"/>
      <c r="N74" s="34">
        <f>IF(ISNUMBER(M74),M74*0.9,"")</f>
        <v/>
      </c>
      <c r="O74" s="34">
        <f>IF(ISNUMBER(M74),MOD(M74*0.9+180,360),"")</f>
        <v/>
      </c>
      <c r="P74" s="28" t="n"/>
      <c r="Q74" s="29" t="n"/>
      <c r="R74" s="29" t="n"/>
      <c r="S74" s="30">
        <f>IF(AND(ISNUMBER(M74),ISNUMBER(R74)),(M74*0.9-R74)*3600,"")</f>
        <v/>
      </c>
      <c r="T74" s="28" t="n"/>
    </row>
    <row r="75">
      <c r="A75" s="25" t="inlineStr">
        <is>
          <t>S36</t>
        </is>
      </c>
      <c r="B75" s="25" t="inlineStr">
        <is>
          <t>S36-M1</t>
        </is>
      </c>
      <c r="C75" s="25" t="inlineStr">
        <is>
          <t>미원</t>
        </is>
      </c>
      <c r="D75" s="25" t="inlineStr">
        <is>
          <t>방위표지1</t>
        </is>
      </c>
      <c r="E75" s="25" t="n"/>
      <c r="F75" s="25" t="n"/>
      <c r="G75" s="28" t="n"/>
      <c r="H75" s="37" t="inlineStr">
        <is>
          <t>기준점</t>
        </is>
      </c>
      <c r="I75" s="37" t="inlineStr">
        <is>
          <t>방위표지</t>
        </is>
      </c>
      <c r="J75" s="38" t="n"/>
      <c r="K75" s="38" t="n"/>
      <c r="L75" s="34">
        <f>IF(COUNT(J75:K75)=2,ABS(ABS(K75-J75)-200),"")</f>
        <v/>
      </c>
      <c r="M75" s="38" t="n"/>
      <c r="N75" s="34">
        <f>IF(ISNUMBER(M75),M75*0.9,"")</f>
        <v/>
      </c>
      <c r="O75" s="34">
        <f>IF(ISNUMBER(M75),MOD(M75*0.9+180,360),"")</f>
        <v/>
      </c>
      <c r="P75" s="28" t="n"/>
      <c r="Q75" s="29" t="n"/>
      <c r="R75" s="29" t="n"/>
      <c r="S75" s="30">
        <f>IF(AND(ISNUMBER(M75),ISNUMBER(R75)),(M75*0.9-R75)*3600,"")</f>
        <v/>
      </c>
      <c r="T75" s="28" t="n"/>
    </row>
    <row r="76">
      <c r="A76" s="25" t="inlineStr">
        <is>
          <t>S36</t>
        </is>
      </c>
      <c r="B76" s="25" t="inlineStr">
        <is>
          <t>S36-M2</t>
        </is>
      </c>
      <c r="C76" s="25" t="inlineStr">
        <is>
          <t>미원</t>
        </is>
      </c>
      <c r="D76" s="25" t="inlineStr">
        <is>
          <t>방위표지2</t>
        </is>
      </c>
      <c r="E76" s="25" t="n"/>
      <c r="F76" s="25" t="n"/>
      <c r="G76" s="28" t="n"/>
      <c r="H76" s="37" t="inlineStr">
        <is>
          <t>기준점</t>
        </is>
      </c>
      <c r="I76" s="37" t="inlineStr">
        <is>
          <t>방위표지</t>
        </is>
      </c>
      <c r="J76" s="38" t="n"/>
      <c r="K76" s="38" t="n"/>
      <c r="L76" s="34">
        <f>IF(COUNT(J76:K76)=2,ABS(ABS(K76-J76)-200),"")</f>
        <v/>
      </c>
      <c r="M76" s="38" t="n"/>
      <c r="N76" s="34">
        <f>IF(ISNUMBER(M76),M76*0.9,"")</f>
        <v/>
      </c>
      <c r="O76" s="34">
        <f>IF(ISNUMBER(M76),MOD(M76*0.9+180,360),"")</f>
        <v/>
      </c>
      <c r="P76" s="28" t="n"/>
      <c r="Q76" s="29" t="n"/>
      <c r="R76" s="29" t="n"/>
      <c r="S76" s="30">
        <f>IF(AND(ISNUMBER(M76),ISNUMBER(R76)),(M76*0.9-R76)*3600,"")</f>
        <v/>
      </c>
      <c r="T76" s="28" t="n"/>
    </row>
    <row r="77">
      <c r="A77" s="25" t="inlineStr">
        <is>
          <t>S37</t>
        </is>
      </c>
      <c r="B77" s="25" t="inlineStr">
        <is>
          <t>S37-M1</t>
        </is>
      </c>
      <c r="C77" s="25" t="inlineStr">
        <is>
          <t>부안</t>
        </is>
      </c>
      <c r="D77" s="25" t="inlineStr">
        <is>
          <t>방위표지1</t>
        </is>
      </c>
      <c r="E77" s="25" t="n"/>
      <c r="F77" s="25" t="n"/>
      <c r="G77" s="28" t="n"/>
      <c r="H77" s="37" t="inlineStr">
        <is>
          <t>기준점</t>
        </is>
      </c>
      <c r="I77" s="37" t="inlineStr">
        <is>
          <t>방위표지</t>
        </is>
      </c>
      <c r="J77" s="38" t="n"/>
      <c r="K77" s="38" t="n"/>
      <c r="L77" s="34">
        <f>IF(COUNT(J77:K77)=2,ABS(ABS(K77-J77)-200),"")</f>
        <v/>
      </c>
      <c r="M77" s="38" t="n"/>
      <c r="N77" s="34">
        <f>IF(ISNUMBER(M77),M77*0.9,"")</f>
        <v/>
      </c>
      <c r="O77" s="34">
        <f>IF(ISNUMBER(M77),MOD(M77*0.9+180,360),"")</f>
        <v/>
      </c>
      <c r="P77" s="28" t="n"/>
      <c r="Q77" s="29" t="n"/>
      <c r="R77" s="29" t="n"/>
      <c r="S77" s="30">
        <f>IF(AND(ISNUMBER(M77),ISNUMBER(R77)),(M77*0.9-R77)*3600,"")</f>
        <v/>
      </c>
      <c r="T77" s="28" t="n"/>
    </row>
    <row r="78">
      <c r="A78" s="25" t="inlineStr">
        <is>
          <t>S37</t>
        </is>
      </c>
      <c r="B78" s="25" t="inlineStr">
        <is>
          <t>S37-M2</t>
        </is>
      </c>
      <c r="C78" s="25" t="inlineStr">
        <is>
          <t>부안</t>
        </is>
      </c>
      <c r="D78" s="25" t="inlineStr">
        <is>
          <t>방위표지2</t>
        </is>
      </c>
      <c r="E78" s="25" t="n"/>
      <c r="F78" s="25" t="n"/>
      <c r="G78" s="28" t="n"/>
      <c r="H78" s="37" t="inlineStr">
        <is>
          <t>기준점</t>
        </is>
      </c>
      <c r="I78" s="37" t="inlineStr">
        <is>
          <t>방위표지</t>
        </is>
      </c>
      <c r="J78" s="38" t="n"/>
      <c r="K78" s="38" t="n"/>
      <c r="L78" s="34">
        <f>IF(COUNT(J78:K78)=2,ABS(ABS(K78-J78)-200),"")</f>
        <v/>
      </c>
      <c r="M78" s="38" t="n"/>
      <c r="N78" s="34">
        <f>IF(ISNUMBER(M78),M78*0.9,"")</f>
        <v/>
      </c>
      <c r="O78" s="34">
        <f>IF(ISNUMBER(M78),MOD(M78*0.9+180,360),"")</f>
        <v/>
      </c>
      <c r="P78" s="28" t="n"/>
      <c r="Q78" s="29" t="n"/>
      <c r="R78" s="29" t="n"/>
      <c r="S78" s="30">
        <f>IF(AND(ISNUMBER(M78),ISNUMBER(R78)),(M78*0.9-R78)*3600,"")</f>
        <v/>
      </c>
      <c r="T78" s="28" t="n"/>
    </row>
    <row r="79">
      <c r="A79" s="25" t="inlineStr">
        <is>
          <t>S38</t>
        </is>
      </c>
      <c r="B79" s="25" t="inlineStr">
        <is>
          <t>S38-M1</t>
        </is>
      </c>
      <c r="C79" s="25" t="inlineStr">
        <is>
          <t>강화</t>
        </is>
      </c>
      <c r="D79" s="25" t="inlineStr">
        <is>
          <t>방위표지1</t>
        </is>
      </c>
      <c r="E79" s="25" t="n"/>
      <c r="F79" s="25" t="n"/>
      <c r="G79" s="28" t="n"/>
      <c r="H79" s="37" t="inlineStr">
        <is>
          <t>기준점</t>
        </is>
      </c>
      <c r="I79" s="37" t="inlineStr">
        <is>
          <t>방위표지</t>
        </is>
      </c>
      <c r="J79" s="38" t="n"/>
      <c r="K79" s="38" t="n"/>
      <c r="L79" s="34">
        <f>IF(COUNT(J79:K79)=2,ABS(ABS(K79-J79)-200),"")</f>
        <v/>
      </c>
      <c r="M79" s="38" t="n"/>
      <c r="N79" s="34">
        <f>IF(ISNUMBER(M79),M79*0.9,"")</f>
        <v/>
      </c>
      <c r="O79" s="34">
        <f>IF(ISNUMBER(M79),MOD(M79*0.9+180,360),"")</f>
        <v/>
      </c>
      <c r="P79" s="28" t="n"/>
      <c r="Q79" s="29" t="n"/>
      <c r="R79" s="29" t="n"/>
      <c r="S79" s="30">
        <f>IF(AND(ISNUMBER(M79),ISNUMBER(R79)),(M79*0.9-R79)*3600,"")</f>
        <v/>
      </c>
      <c r="T79" s="28" t="n"/>
    </row>
    <row r="80">
      <c r="A80" s="25" t="inlineStr">
        <is>
          <t>S38</t>
        </is>
      </c>
      <c r="B80" s="25" t="inlineStr">
        <is>
          <t>S38-M2</t>
        </is>
      </c>
      <c r="C80" s="25" t="inlineStr">
        <is>
          <t>강화</t>
        </is>
      </c>
      <c r="D80" s="25" t="inlineStr">
        <is>
          <t>방위표지2</t>
        </is>
      </c>
      <c r="E80" s="25" t="n"/>
      <c r="F80" s="25" t="n"/>
      <c r="G80" s="28" t="n"/>
      <c r="H80" s="37" t="inlineStr">
        <is>
          <t>기준점</t>
        </is>
      </c>
      <c r="I80" s="37" t="inlineStr">
        <is>
          <t>방위표지</t>
        </is>
      </c>
      <c r="J80" s="38" t="n"/>
      <c r="K80" s="38" t="n"/>
      <c r="L80" s="34">
        <f>IF(COUNT(J80:K80)=2,ABS(ABS(K80-J80)-200),"")</f>
        <v/>
      </c>
      <c r="M80" s="38" t="n"/>
      <c r="N80" s="34">
        <f>IF(ISNUMBER(M80),M80*0.9,"")</f>
        <v/>
      </c>
      <c r="O80" s="34">
        <f>IF(ISNUMBER(M80),MOD(M80*0.9+180,360),"")</f>
        <v/>
      </c>
      <c r="P80" s="28" t="n"/>
      <c r="Q80" s="29" t="n"/>
      <c r="R80" s="29" t="n"/>
      <c r="S80" s="30">
        <f>IF(AND(ISNUMBER(M80),ISNUMBER(R80)),(M80*0.9-R80)*3600,"")</f>
        <v/>
      </c>
      <c r="T80" s="28" t="n"/>
    </row>
    <row r="81">
      <c r="A81" s="25" t="inlineStr">
        <is>
          <t>S39</t>
        </is>
      </c>
      <c r="B81" s="25" t="inlineStr">
        <is>
          <t>S39-M1</t>
        </is>
      </c>
      <c r="C81" s="25" t="inlineStr">
        <is>
          <t>언양</t>
        </is>
      </c>
      <c r="D81" s="25" t="inlineStr">
        <is>
          <t>방위표지1</t>
        </is>
      </c>
      <c r="E81" s="25" t="n"/>
      <c r="F81" s="25" t="n"/>
      <c r="G81" s="28" t="n"/>
      <c r="H81" s="37" t="inlineStr">
        <is>
          <t>기준점</t>
        </is>
      </c>
      <c r="I81" s="37" t="inlineStr">
        <is>
          <t>방위표지</t>
        </is>
      </c>
      <c r="J81" s="38" t="n"/>
      <c r="K81" s="38" t="n"/>
      <c r="L81" s="34">
        <f>IF(COUNT(J81:K81)=2,ABS(ABS(K81-J81)-200),"")</f>
        <v/>
      </c>
      <c r="M81" s="38" t="n"/>
      <c r="N81" s="34">
        <f>IF(ISNUMBER(M81),M81*0.9,"")</f>
        <v/>
      </c>
      <c r="O81" s="34">
        <f>IF(ISNUMBER(M81),MOD(M81*0.9+180,360),"")</f>
        <v/>
      </c>
      <c r="P81" s="28" t="n"/>
      <c r="Q81" s="29" t="n"/>
      <c r="R81" s="29" t="n"/>
      <c r="S81" s="30">
        <f>IF(AND(ISNUMBER(M81),ISNUMBER(R81)),(M81*0.9-R81)*3600,"")</f>
        <v/>
      </c>
      <c r="T81" s="28" t="n"/>
    </row>
    <row r="82">
      <c r="A82" s="25" t="inlineStr">
        <is>
          <t>S39</t>
        </is>
      </c>
      <c r="B82" s="25" t="inlineStr">
        <is>
          <t>S39-M2</t>
        </is>
      </c>
      <c r="C82" s="25" t="inlineStr">
        <is>
          <t>언양</t>
        </is>
      </c>
      <c r="D82" s="25" t="inlineStr">
        <is>
          <t>방위표지2</t>
        </is>
      </c>
      <c r="E82" s="25" t="n"/>
      <c r="F82" s="25" t="n"/>
      <c r="G82" s="28" t="n"/>
      <c r="H82" s="37" t="inlineStr">
        <is>
          <t>기준점</t>
        </is>
      </c>
      <c r="I82" s="37" t="inlineStr">
        <is>
          <t>방위표지</t>
        </is>
      </c>
      <c r="J82" s="38" t="n"/>
      <c r="K82" s="38" t="n"/>
      <c r="L82" s="34">
        <f>IF(COUNT(J82:K82)=2,ABS(ABS(K82-J82)-200),"")</f>
        <v/>
      </c>
      <c r="M82" s="38" t="n"/>
      <c r="N82" s="34">
        <f>IF(ISNUMBER(M82),M82*0.9,"")</f>
        <v/>
      </c>
      <c r="O82" s="34">
        <f>IF(ISNUMBER(M82),MOD(M82*0.9+180,360),"")</f>
        <v/>
      </c>
      <c r="P82" s="28" t="n"/>
      <c r="Q82" s="29" t="n"/>
      <c r="R82" s="29" t="n"/>
      <c r="S82" s="30">
        <f>IF(AND(ISNUMBER(M82),ISNUMBER(R82)),(M82*0.9-R82)*3600,"")</f>
        <v/>
      </c>
      <c r="T82" s="28" t="n"/>
    </row>
    <row r="83">
      <c r="A83" s="25" t="inlineStr">
        <is>
          <t>S40</t>
        </is>
      </c>
      <c r="B83" s="25" t="inlineStr">
        <is>
          <t>S40-M1</t>
        </is>
      </c>
      <c r="C83" s="25" t="inlineStr">
        <is>
          <t>남지</t>
        </is>
      </c>
      <c r="D83" s="25" t="inlineStr">
        <is>
          <t>방위표지1</t>
        </is>
      </c>
      <c r="E83" s="25" t="n"/>
      <c r="F83" s="25" t="n"/>
      <c r="G83" s="28" t="n"/>
      <c r="H83" s="37" t="inlineStr">
        <is>
          <t>기준점</t>
        </is>
      </c>
      <c r="I83" s="37" t="inlineStr">
        <is>
          <t>방위표지</t>
        </is>
      </c>
      <c r="J83" s="38" t="n"/>
      <c r="K83" s="38" t="n"/>
      <c r="L83" s="34">
        <f>IF(COUNT(J83:K83)=2,ABS(ABS(K83-J83)-200),"")</f>
        <v/>
      </c>
      <c r="M83" s="38" t="n"/>
      <c r="N83" s="34">
        <f>IF(ISNUMBER(M83),M83*0.9,"")</f>
        <v/>
      </c>
      <c r="O83" s="34">
        <f>IF(ISNUMBER(M83),MOD(M83*0.9+180,360),"")</f>
        <v/>
      </c>
      <c r="P83" s="28" t="n"/>
      <c r="Q83" s="29" t="n"/>
      <c r="R83" s="29" t="n"/>
      <c r="S83" s="30">
        <f>IF(AND(ISNUMBER(M83),ISNUMBER(R83)),(M83*0.9-R83)*3600,"")</f>
        <v/>
      </c>
      <c r="T83" s="28" t="n"/>
    </row>
    <row r="84">
      <c r="A84" s="25" t="inlineStr">
        <is>
          <t>S40</t>
        </is>
      </c>
      <c r="B84" s="25" t="inlineStr">
        <is>
          <t>S40-M2</t>
        </is>
      </c>
      <c r="C84" s="25" t="inlineStr">
        <is>
          <t>남지</t>
        </is>
      </c>
      <c r="D84" s="25" t="inlineStr">
        <is>
          <t>방위표지2</t>
        </is>
      </c>
      <c r="E84" s="25" t="n"/>
      <c r="F84" s="25" t="n"/>
      <c r="G84" s="28" t="n"/>
      <c r="H84" s="37" t="inlineStr">
        <is>
          <t>기준점</t>
        </is>
      </c>
      <c r="I84" s="37" t="inlineStr">
        <is>
          <t>방위표지</t>
        </is>
      </c>
      <c r="J84" s="38" t="n"/>
      <c r="K84" s="38" t="n"/>
      <c r="L84" s="34">
        <f>IF(COUNT(J84:K84)=2,ABS(ABS(K84-J84)-200),"")</f>
        <v/>
      </c>
      <c r="M84" s="38" t="n"/>
      <c r="N84" s="34">
        <f>IF(ISNUMBER(M84),M84*0.9,"")</f>
        <v/>
      </c>
      <c r="O84" s="34">
        <f>IF(ISNUMBER(M84),MOD(M84*0.9+180,360),"")</f>
        <v/>
      </c>
      <c r="P84" s="28" t="n"/>
      <c r="Q84" s="29" t="n"/>
      <c r="R84" s="29" t="n"/>
      <c r="S84" s="30">
        <f>IF(AND(ISNUMBER(M84),ISNUMBER(R84)),(M84*0.9-R84)*3600,"")</f>
        <v/>
      </c>
      <c r="T84" s="28" t="n"/>
    </row>
    <row r="85">
      <c r="A85" s="25" t="inlineStr">
        <is>
          <t>S41</t>
        </is>
      </c>
      <c r="B85" s="25" t="inlineStr">
        <is>
          <t>S41-M1</t>
        </is>
      </c>
      <c r="C85" s="25" t="inlineStr">
        <is>
          <t>거제</t>
        </is>
      </c>
      <c r="D85" s="25" t="inlineStr">
        <is>
          <t>방위표지1</t>
        </is>
      </c>
      <c r="E85" s="25" t="n"/>
      <c r="F85" s="25" t="n"/>
      <c r="G85" s="28" t="n"/>
      <c r="H85" s="37" t="inlineStr">
        <is>
          <t>기준점</t>
        </is>
      </c>
      <c r="I85" s="37" t="inlineStr">
        <is>
          <t>방위표지</t>
        </is>
      </c>
      <c r="J85" s="38" t="n"/>
      <c r="K85" s="38" t="n"/>
      <c r="L85" s="34">
        <f>IF(COUNT(J85:K85)=2,ABS(ABS(K85-J85)-200),"")</f>
        <v/>
      </c>
      <c r="M85" s="38" t="n"/>
      <c r="N85" s="34">
        <f>IF(ISNUMBER(M85),M85*0.9,"")</f>
        <v/>
      </c>
      <c r="O85" s="34">
        <f>IF(ISNUMBER(M85),MOD(M85*0.9+180,360),"")</f>
        <v/>
      </c>
      <c r="P85" s="28" t="n"/>
      <c r="Q85" s="29" t="n"/>
      <c r="R85" s="29" t="n"/>
      <c r="S85" s="30">
        <f>IF(AND(ISNUMBER(M85),ISNUMBER(R85)),(M85*0.9-R85)*3600,"")</f>
        <v/>
      </c>
      <c r="T85" s="28" t="n"/>
    </row>
    <row r="86">
      <c r="A86" s="25" t="inlineStr">
        <is>
          <t>S41</t>
        </is>
      </c>
      <c r="B86" s="25" t="inlineStr">
        <is>
          <t>S41-M2</t>
        </is>
      </c>
      <c r="C86" s="25" t="inlineStr">
        <is>
          <t>거제</t>
        </is>
      </c>
      <c r="D86" s="25" t="inlineStr">
        <is>
          <t>방위표지2</t>
        </is>
      </c>
      <c r="E86" s="25" t="n"/>
      <c r="F86" s="25" t="n"/>
      <c r="G86" s="28" t="n"/>
      <c r="H86" s="37" t="inlineStr">
        <is>
          <t>기준점</t>
        </is>
      </c>
      <c r="I86" s="37" t="inlineStr">
        <is>
          <t>방위표지</t>
        </is>
      </c>
      <c r="J86" s="38" t="n"/>
      <c r="K86" s="38" t="n"/>
      <c r="L86" s="34">
        <f>IF(COUNT(J86:K86)=2,ABS(ABS(K86-J86)-200),"")</f>
        <v/>
      </c>
      <c r="M86" s="38" t="n"/>
      <c r="N86" s="34">
        <f>IF(ISNUMBER(M86),M86*0.9,"")</f>
        <v/>
      </c>
      <c r="O86" s="34">
        <f>IF(ISNUMBER(M86),MOD(M86*0.9+180,360),"")</f>
        <v/>
      </c>
      <c r="P86" s="28" t="n"/>
      <c r="Q86" s="29" t="n"/>
      <c r="R86" s="29" t="n"/>
      <c r="S86" s="30">
        <f>IF(AND(ISNUMBER(M86),ISNUMBER(R86)),(M86*0.9-R86)*3600,"")</f>
        <v/>
      </c>
      <c r="T86" s="28" t="n"/>
    </row>
    <row r="87">
      <c r="A87" s="25" t="inlineStr">
        <is>
          <t>S42</t>
        </is>
      </c>
      <c r="B87" s="25" t="inlineStr">
        <is>
          <t>S42-M1</t>
        </is>
      </c>
      <c r="C87" s="25" t="inlineStr">
        <is>
          <t>조도</t>
        </is>
      </c>
      <c r="D87" s="25" t="inlineStr">
        <is>
          <t>방위표지1</t>
        </is>
      </c>
      <c r="E87" s="25" t="n"/>
      <c r="F87" s="25" t="n"/>
      <c r="G87" s="28" t="n"/>
      <c r="H87" s="37" t="inlineStr">
        <is>
          <t>기준점</t>
        </is>
      </c>
      <c r="I87" s="37" t="inlineStr">
        <is>
          <t>방위표지</t>
        </is>
      </c>
      <c r="J87" s="38" t="n"/>
      <c r="K87" s="38" t="n"/>
      <c r="L87" s="34">
        <f>IF(COUNT(J87:K87)=2,ABS(ABS(K87-J87)-200),"")</f>
        <v/>
      </c>
      <c r="M87" s="38" t="n"/>
      <c r="N87" s="34">
        <f>IF(ISNUMBER(M87),M87*0.9,"")</f>
        <v/>
      </c>
      <c r="O87" s="34">
        <f>IF(ISNUMBER(M87),MOD(M87*0.9+180,360),"")</f>
        <v/>
      </c>
      <c r="P87" s="28" t="n"/>
      <c r="Q87" s="29" t="n"/>
      <c r="R87" s="29" t="n"/>
      <c r="S87" s="30">
        <f>IF(AND(ISNUMBER(M87),ISNUMBER(R87)),(M87*0.9-R87)*3600,"")</f>
        <v/>
      </c>
      <c r="T87" s="28" t="n"/>
    </row>
    <row r="88">
      <c r="A88" s="25" t="inlineStr">
        <is>
          <t>S42</t>
        </is>
      </c>
      <c r="B88" s="25" t="inlineStr">
        <is>
          <t>S42-M2</t>
        </is>
      </c>
      <c r="C88" s="25" t="inlineStr">
        <is>
          <t>조도</t>
        </is>
      </c>
      <c r="D88" s="25" t="inlineStr">
        <is>
          <t>방위표지2</t>
        </is>
      </c>
      <c r="E88" s="25" t="n"/>
      <c r="F88" s="25" t="n"/>
      <c r="G88" s="28" t="n"/>
      <c r="H88" s="37" t="inlineStr">
        <is>
          <t>기준점</t>
        </is>
      </c>
      <c r="I88" s="37" t="inlineStr">
        <is>
          <t>방위표지</t>
        </is>
      </c>
      <c r="J88" s="38" t="n"/>
      <c r="K88" s="38" t="n"/>
      <c r="L88" s="34">
        <f>IF(COUNT(J88:K88)=2,ABS(ABS(K88-J88)-200),"")</f>
        <v/>
      </c>
      <c r="M88" s="38" t="n"/>
      <c r="N88" s="34">
        <f>IF(ISNUMBER(M88),M88*0.9,"")</f>
        <v/>
      </c>
      <c r="O88" s="34">
        <f>IF(ISNUMBER(M88),MOD(M88*0.9+180,360),"")</f>
        <v/>
      </c>
      <c r="P88" s="28" t="n"/>
      <c r="Q88" s="29" t="n"/>
      <c r="R88" s="29" t="n"/>
      <c r="S88" s="30">
        <f>IF(AND(ISNUMBER(M88),ISNUMBER(R88)),(M88*0.9-R88)*3600,"")</f>
        <v/>
      </c>
      <c r="T88" s="28" t="n"/>
    </row>
    <row r="89">
      <c r="A89" s="25" t="inlineStr">
        <is>
          <t>S43</t>
        </is>
      </c>
      <c r="B89" s="25" t="inlineStr">
        <is>
          <t>S43-M1</t>
        </is>
      </c>
      <c r="C89" s="25" t="inlineStr">
        <is>
          <t>포천</t>
        </is>
      </c>
      <c r="D89" s="25" t="inlineStr">
        <is>
          <t>방위표지1</t>
        </is>
      </c>
      <c r="E89" s="25" t="n"/>
      <c r="F89" s="25" t="n"/>
      <c r="G89" s="28" t="n"/>
      <c r="H89" s="37" t="inlineStr">
        <is>
          <t>기준점</t>
        </is>
      </c>
      <c r="I89" s="37" t="inlineStr">
        <is>
          <t>방위표지</t>
        </is>
      </c>
      <c r="J89" s="38" t="n"/>
      <c r="K89" s="38" t="n"/>
      <c r="L89" s="34">
        <f>IF(COUNT(J89:K89)=2,ABS(ABS(K89-J89)-200),"")</f>
        <v/>
      </c>
      <c r="M89" s="38" t="n"/>
      <c r="N89" s="34">
        <f>IF(ISNUMBER(M89),M89*0.9,"")</f>
        <v/>
      </c>
      <c r="O89" s="34">
        <f>IF(ISNUMBER(M89),MOD(M89*0.9+180,360),"")</f>
        <v/>
      </c>
      <c r="P89" s="28" t="n"/>
      <c r="Q89" s="29" t="n"/>
      <c r="R89" s="29" t="n"/>
      <c r="S89" s="30">
        <f>IF(AND(ISNUMBER(M89),ISNUMBER(R89)),(M89*0.9-R89)*3600,"")</f>
        <v/>
      </c>
      <c r="T89" s="28" t="n"/>
    </row>
    <row r="90">
      <c r="A90" s="25" t="inlineStr">
        <is>
          <t>S43</t>
        </is>
      </c>
      <c r="B90" s="25" t="inlineStr">
        <is>
          <t>S43-M2</t>
        </is>
      </c>
      <c r="C90" s="25" t="inlineStr">
        <is>
          <t>포천</t>
        </is>
      </c>
      <c r="D90" s="25" t="inlineStr">
        <is>
          <t>방위표지2</t>
        </is>
      </c>
      <c r="E90" s="25" t="n"/>
      <c r="F90" s="25" t="n"/>
      <c r="G90" s="28" t="n"/>
      <c r="H90" s="37" t="inlineStr">
        <is>
          <t>기준점</t>
        </is>
      </c>
      <c r="I90" s="37" t="inlineStr">
        <is>
          <t>방위표지</t>
        </is>
      </c>
      <c r="J90" s="38" t="n"/>
      <c r="K90" s="38" t="n"/>
      <c r="L90" s="34">
        <f>IF(COUNT(J90:K90)=2,ABS(ABS(K90-J90)-200),"")</f>
        <v/>
      </c>
      <c r="M90" s="38" t="n"/>
      <c r="N90" s="34">
        <f>IF(ISNUMBER(M90),M90*0.9,"")</f>
        <v/>
      </c>
      <c r="O90" s="34">
        <f>IF(ISNUMBER(M90),MOD(M90*0.9+180,360),"")</f>
        <v/>
      </c>
      <c r="P90" s="28" t="n"/>
      <c r="Q90" s="29" t="n"/>
      <c r="R90" s="29" t="n"/>
      <c r="S90" s="30">
        <f>IF(AND(ISNUMBER(M90),ISNUMBER(R90)),(M90*0.9-R90)*3600,"")</f>
        <v/>
      </c>
      <c r="T90" s="28" t="n"/>
    </row>
    <row r="91">
      <c r="A91" s="25" t="inlineStr">
        <is>
          <t>S44</t>
        </is>
      </c>
      <c r="B91" s="25" t="inlineStr">
        <is>
          <t>S44-M1</t>
        </is>
      </c>
      <c r="C91" s="25" t="inlineStr">
        <is>
          <t>성산</t>
        </is>
      </c>
      <c r="D91" s="25" t="inlineStr">
        <is>
          <t>방위표지1</t>
        </is>
      </c>
      <c r="E91" s="25" t="n"/>
      <c r="F91" s="25" t="n"/>
      <c r="G91" s="28" t="n"/>
      <c r="H91" s="37" t="inlineStr">
        <is>
          <t>기준점</t>
        </is>
      </c>
      <c r="I91" s="37" t="inlineStr">
        <is>
          <t>방위표지</t>
        </is>
      </c>
      <c r="J91" s="38" t="n"/>
      <c r="K91" s="38" t="n"/>
      <c r="L91" s="34">
        <f>IF(COUNT(J91:K91)=2,ABS(ABS(K91-J91)-200),"")</f>
        <v/>
      </c>
      <c r="M91" s="38" t="n"/>
      <c r="N91" s="34">
        <f>IF(ISNUMBER(M91),M91*0.9,"")</f>
        <v/>
      </c>
      <c r="O91" s="34">
        <f>IF(ISNUMBER(M91),MOD(M91*0.9+180,360),"")</f>
        <v/>
      </c>
      <c r="P91" s="28" t="n"/>
      <c r="Q91" s="29" t="n"/>
      <c r="R91" s="29" t="n"/>
      <c r="S91" s="30">
        <f>IF(AND(ISNUMBER(M91),ISNUMBER(R91)),(M91*0.9-R91)*3600,"")</f>
        <v/>
      </c>
      <c r="T91" s="28" t="n"/>
    </row>
    <row r="92">
      <c r="A92" s="25" t="inlineStr">
        <is>
          <t>S44</t>
        </is>
      </c>
      <c r="B92" s="25" t="inlineStr">
        <is>
          <t>S44-M2</t>
        </is>
      </c>
      <c r="C92" s="25" t="inlineStr">
        <is>
          <t>성산</t>
        </is>
      </c>
      <c r="D92" s="25" t="inlineStr">
        <is>
          <t>방위표지2</t>
        </is>
      </c>
      <c r="E92" s="25" t="n"/>
      <c r="F92" s="25" t="n"/>
      <c r="G92" s="28" t="n"/>
      <c r="H92" s="37" t="inlineStr">
        <is>
          <t>기준점</t>
        </is>
      </c>
      <c r="I92" s="37" t="inlineStr">
        <is>
          <t>방위표지</t>
        </is>
      </c>
      <c r="J92" s="38" t="n"/>
      <c r="K92" s="38" t="n"/>
      <c r="L92" s="34">
        <f>IF(COUNT(J92:K92)=2,ABS(ABS(K92-J92)-200),"")</f>
        <v/>
      </c>
      <c r="M92" s="38" t="n"/>
      <c r="N92" s="34">
        <f>IF(ISNUMBER(M92),M92*0.9,"")</f>
        <v/>
      </c>
      <c r="O92" s="34">
        <f>IF(ISNUMBER(M92),MOD(M92*0.9+180,360),"")</f>
        <v/>
      </c>
      <c r="P92" s="28" t="n"/>
      <c r="Q92" s="29" t="n"/>
      <c r="R92" s="29" t="n"/>
      <c r="S92" s="30">
        <f>IF(AND(ISNUMBER(M92),ISNUMBER(R92)),(M92*0.9-R92)*3600,"")</f>
        <v/>
      </c>
      <c r="T92" s="28" t="n"/>
    </row>
    <row r="93">
      <c r="A93" s="25" t="inlineStr">
        <is>
          <t>S45</t>
        </is>
      </c>
      <c r="B93" s="25" t="inlineStr">
        <is>
          <t>S45-M1</t>
        </is>
      </c>
      <c r="C93" s="25" t="inlineStr">
        <is>
          <t>여주</t>
        </is>
      </c>
      <c r="D93" s="25" t="inlineStr">
        <is>
          <t>방위표지1</t>
        </is>
      </c>
      <c r="E93" s="25" t="n"/>
      <c r="F93" s="25" t="n"/>
      <c r="G93" s="28" t="n"/>
      <c r="H93" s="37" t="inlineStr">
        <is>
          <t>기준점</t>
        </is>
      </c>
      <c r="I93" s="37" t="inlineStr">
        <is>
          <t>방위표지</t>
        </is>
      </c>
      <c r="J93" s="38" t="n"/>
      <c r="K93" s="38" t="n"/>
      <c r="L93" s="34">
        <f>IF(COUNT(J93:K93)=2,ABS(ABS(K93-J93)-200),"")</f>
        <v/>
      </c>
      <c r="M93" s="38" t="n"/>
      <c r="N93" s="34">
        <f>IF(ISNUMBER(M93),M93*0.9,"")</f>
        <v/>
      </c>
      <c r="O93" s="34">
        <f>IF(ISNUMBER(M93),MOD(M93*0.9+180,360),"")</f>
        <v/>
      </c>
      <c r="P93" s="28" t="n"/>
      <c r="Q93" s="29" t="n"/>
      <c r="R93" s="29" t="n"/>
      <c r="S93" s="30">
        <f>IF(AND(ISNUMBER(M93),ISNUMBER(R93)),(M93*0.9-R93)*3600,"")</f>
        <v/>
      </c>
      <c r="T93" s="28" t="n"/>
    </row>
    <row r="94">
      <c r="A94" s="25" t="inlineStr">
        <is>
          <t>S45</t>
        </is>
      </c>
      <c r="B94" s="25" t="inlineStr">
        <is>
          <t>S45-M2</t>
        </is>
      </c>
      <c r="C94" s="25" t="inlineStr">
        <is>
          <t>여주</t>
        </is>
      </c>
      <c r="D94" s="25" t="inlineStr">
        <is>
          <t>방위표지2</t>
        </is>
      </c>
      <c r="E94" s="25" t="n"/>
      <c r="F94" s="25" t="n"/>
      <c r="G94" s="28" t="n"/>
      <c r="H94" s="37" t="inlineStr">
        <is>
          <t>기준점</t>
        </is>
      </c>
      <c r="I94" s="37" t="inlineStr">
        <is>
          <t>방위표지</t>
        </is>
      </c>
      <c r="J94" s="38" t="n"/>
      <c r="K94" s="38" t="n"/>
      <c r="L94" s="34">
        <f>IF(COUNT(J94:K94)=2,ABS(ABS(K94-J94)-200),"")</f>
        <v/>
      </c>
      <c r="M94" s="38" t="n"/>
      <c r="N94" s="34">
        <f>IF(ISNUMBER(M94),M94*0.9,"")</f>
        <v/>
      </c>
      <c r="O94" s="34">
        <f>IF(ISNUMBER(M94),MOD(M94*0.9+180,360),"")</f>
        <v/>
      </c>
      <c r="P94" s="28" t="n"/>
      <c r="Q94" s="29" t="n"/>
      <c r="R94" s="29" t="n"/>
      <c r="S94" s="30">
        <f>IF(AND(ISNUMBER(M94),ISNUMBER(R94)),(M94*0.9-R94)*3600,"")</f>
        <v/>
      </c>
      <c r="T94" s="28" t="n"/>
    </row>
    <row r="95">
      <c r="A95" s="25" t="inlineStr">
        <is>
          <t>S46</t>
        </is>
      </c>
      <c r="B95" s="25" t="inlineStr">
        <is>
          <t>S46-M1</t>
        </is>
      </c>
      <c r="C95" s="25" t="inlineStr">
        <is>
          <t>화천</t>
        </is>
      </c>
      <c r="D95" s="25" t="inlineStr">
        <is>
          <t>방위표지1</t>
        </is>
      </c>
      <c r="E95" s="25" t="n"/>
      <c r="F95" s="25" t="n"/>
      <c r="G95" s="28" t="n"/>
      <c r="H95" s="37" t="inlineStr">
        <is>
          <t>기준점</t>
        </is>
      </c>
      <c r="I95" s="37" t="inlineStr">
        <is>
          <t>방위표지</t>
        </is>
      </c>
      <c r="J95" s="38" t="n"/>
      <c r="K95" s="38" t="n"/>
      <c r="L95" s="34">
        <f>IF(COUNT(J95:K95)=2,ABS(ABS(K95-J95)-200),"")</f>
        <v/>
      </c>
      <c r="M95" s="38" t="n"/>
      <c r="N95" s="34">
        <f>IF(ISNUMBER(M95),M95*0.9,"")</f>
        <v/>
      </c>
      <c r="O95" s="34">
        <f>IF(ISNUMBER(M95),MOD(M95*0.9+180,360),"")</f>
        <v/>
      </c>
      <c r="P95" s="28" t="n"/>
      <c r="Q95" s="29" t="n"/>
      <c r="R95" s="29" t="n"/>
      <c r="S95" s="30">
        <f>IF(AND(ISNUMBER(M95),ISNUMBER(R95)),(M95*0.9-R95)*3600,"")</f>
        <v/>
      </c>
      <c r="T95" s="28" t="n"/>
    </row>
    <row r="96">
      <c r="A96" s="25" t="inlineStr">
        <is>
          <t>S46</t>
        </is>
      </c>
      <c r="B96" s="25" t="inlineStr">
        <is>
          <t>S46-M2</t>
        </is>
      </c>
      <c r="C96" s="25" t="inlineStr">
        <is>
          <t>화천</t>
        </is>
      </c>
      <c r="D96" s="25" t="inlineStr">
        <is>
          <t>방위표지2</t>
        </is>
      </c>
      <c r="E96" s="25" t="n"/>
      <c r="F96" s="25" t="n"/>
      <c r="G96" s="28" t="n"/>
      <c r="H96" s="37" t="inlineStr">
        <is>
          <t>기준점</t>
        </is>
      </c>
      <c r="I96" s="37" t="inlineStr">
        <is>
          <t>방위표지</t>
        </is>
      </c>
      <c r="J96" s="38" t="n"/>
      <c r="K96" s="38" t="n"/>
      <c r="L96" s="34">
        <f>IF(COUNT(J96:K96)=2,ABS(ABS(K96-J96)-200),"")</f>
        <v/>
      </c>
      <c r="M96" s="38" t="n"/>
      <c r="N96" s="34">
        <f>IF(ISNUMBER(M96),M96*0.9,"")</f>
        <v/>
      </c>
      <c r="O96" s="34">
        <f>IF(ISNUMBER(M96),MOD(M96*0.9+180,360),"")</f>
        <v/>
      </c>
      <c r="P96" s="28" t="n"/>
      <c r="Q96" s="29" t="n"/>
      <c r="R96" s="29" t="n"/>
      <c r="S96" s="30">
        <f>IF(AND(ISNUMBER(M96),ISNUMBER(R96)),(M96*0.9-R96)*3600,"")</f>
        <v/>
      </c>
      <c r="T96" s="28" t="n"/>
    </row>
    <row r="97">
      <c r="A97" s="25" t="inlineStr">
        <is>
          <t>S47</t>
        </is>
      </c>
      <c r="B97" s="25" t="inlineStr">
        <is>
          <t>S47-M1</t>
        </is>
      </c>
      <c r="C97" s="25" t="inlineStr">
        <is>
          <t>봉평</t>
        </is>
      </c>
      <c r="D97" s="25" t="inlineStr">
        <is>
          <t>방위표지1</t>
        </is>
      </c>
      <c r="E97" s="25" t="n"/>
      <c r="F97" s="25" t="n"/>
      <c r="G97" s="28" t="n"/>
      <c r="H97" s="37" t="inlineStr">
        <is>
          <t>기준점</t>
        </is>
      </c>
      <c r="I97" s="37" t="inlineStr">
        <is>
          <t>방위표지</t>
        </is>
      </c>
      <c r="J97" s="38" t="n"/>
      <c r="K97" s="38" t="n"/>
      <c r="L97" s="34">
        <f>IF(COUNT(J97:K97)=2,ABS(ABS(K97-J97)-200),"")</f>
        <v/>
      </c>
      <c r="M97" s="38" t="n"/>
      <c r="N97" s="34">
        <f>IF(ISNUMBER(M97),M97*0.9,"")</f>
        <v/>
      </c>
      <c r="O97" s="34">
        <f>IF(ISNUMBER(M97),MOD(M97*0.9+180,360),"")</f>
        <v/>
      </c>
      <c r="P97" s="28" t="n"/>
      <c r="Q97" s="29" t="n"/>
      <c r="R97" s="29" t="n"/>
      <c r="S97" s="30">
        <f>IF(AND(ISNUMBER(M97),ISNUMBER(R97)),(M97*0.9-R97)*3600,"")</f>
        <v/>
      </c>
      <c r="T97" s="28" t="n"/>
    </row>
    <row r="98">
      <c r="A98" s="25" t="inlineStr">
        <is>
          <t>S47</t>
        </is>
      </c>
      <c r="B98" s="25" t="inlineStr">
        <is>
          <t>S47-M2</t>
        </is>
      </c>
      <c r="C98" s="25" t="inlineStr">
        <is>
          <t>봉평</t>
        </is>
      </c>
      <c r="D98" s="25" t="inlineStr">
        <is>
          <t>방위표지2</t>
        </is>
      </c>
      <c r="E98" s="25" t="n"/>
      <c r="F98" s="25" t="n"/>
      <c r="G98" s="28" t="n"/>
      <c r="H98" s="37" t="inlineStr">
        <is>
          <t>기준점</t>
        </is>
      </c>
      <c r="I98" s="37" t="inlineStr">
        <is>
          <t>방위표지</t>
        </is>
      </c>
      <c r="J98" s="38" t="n"/>
      <c r="K98" s="38" t="n"/>
      <c r="L98" s="34">
        <f>IF(COUNT(J98:K98)=2,ABS(ABS(K98-J98)-200),"")</f>
        <v/>
      </c>
      <c r="M98" s="38" t="n"/>
      <c r="N98" s="34">
        <f>IF(ISNUMBER(M98),M98*0.9,"")</f>
        <v/>
      </c>
      <c r="O98" s="34">
        <f>IF(ISNUMBER(M98),MOD(M98*0.9+180,360),"")</f>
        <v/>
      </c>
      <c r="P98" s="28" t="n"/>
      <c r="Q98" s="29" t="n"/>
      <c r="R98" s="29" t="n"/>
      <c r="S98" s="30">
        <f>IF(AND(ISNUMBER(M98),ISNUMBER(R98)),(M98*0.9-R98)*3600,"")</f>
        <v/>
      </c>
      <c r="T98" s="28" t="n"/>
    </row>
    <row r="99">
      <c r="A99" s="25" t="inlineStr">
        <is>
          <t>S48</t>
        </is>
      </c>
      <c r="B99" s="25" t="inlineStr">
        <is>
          <t>S48-M1</t>
        </is>
      </c>
      <c r="C99" s="25" t="inlineStr">
        <is>
          <t>삼척</t>
        </is>
      </c>
      <c r="D99" s="25" t="inlineStr">
        <is>
          <t>방위표지1</t>
        </is>
      </c>
      <c r="E99" s="25" t="n"/>
      <c r="F99" s="25" t="n"/>
      <c r="G99" s="28" t="n"/>
      <c r="H99" s="37" t="inlineStr">
        <is>
          <t>기준점</t>
        </is>
      </c>
      <c r="I99" s="37" t="inlineStr">
        <is>
          <t>방위표지</t>
        </is>
      </c>
      <c r="J99" s="38" t="n"/>
      <c r="K99" s="38" t="n"/>
      <c r="L99" s="34">
        <f>IF(COUNT(J99:K99)=2,ABS(ABS(K99-J99)-200),"")</f>
        <v/>
      </c>
      <c r="M99" s="38" t="n"/>
      <c r="N99" s="34">
        <f>IF(ISNUMBER(M99),M99*0.9,"")</f>
        <v/>
      </c>
      <c r="O99" s="34">
        <f>IF(ISNUMBER(M99),MOD(M99*0.9+180,360),"")</f>
        <v/>
      </c>
      <c r="P99" s="28" t="n"/>
      <c r="Q99" s="29" t="n"/>
      <c r="R99" s="29" t="n"/>
      <c r="S99" s="30">
        <f>IF(AND(ISNUMBER(M99),ISNUMBER(R99)),(M99*0.9-R99)*3600,"")</f>
        <v/>
      </c>
      <c r="T99" s="28" t="n"/>
    </row>
    <row r="100">
      <c r="A100" s="25" t="inlineStr">
        <is>
          <t>S48</t>
        </is>
      </c>
      <c r="B100" s="25" t="inlineStr">
        <is>
          <t>S48-M2</t>
        </is>
      </c>
      <c r="C100" s="25" t="inlineStr">
        <is>
          <t>삼척</t>
        </is>
      </c>
      <c r="D100" s="25" t="inlineStr">
        <is>
          <t>방위표지2</t>
        </is>
      </c>
      <c r="E100" s="25" t="n"/>
      <c r="F100" s="25" t="n"/>
      <c r="G100" s="28" t="n"/>
      <c r="H100" s="37" t="inlineStr">
        <is>
          <t>기준점</t>
        </is>
      </c>
      <c r="I100" s="37" t="inlineStr">
        <is>
          <t>방위표지</t>
        </is>
      </c>
      <c r="J100" s="38" t="n"/>
      <c r="K100" s="38" t="n"/>
      <c r="L100" s="34">
        <f>IF(COUNT(J100:K100)=2,ABS(ABS(K100-J100)-200),"")</f>
        <v/>
      </c>
      <c r="M100" s="38" t="n"/>
      <c r="N100" s="34">
        <f>IF(ISNUMBER(M100),M100*0.9,"")</f>
        <v/>
      </c>
      <c r="O100" s="34">
        <f>IF(ISNUMBER(M100),MOD(M100*0.9+180,360),"")</f>
        <v/>
      </c>
      <c r="P100" s="28" t="n"/>
      <c r="Q100" s="29" t="n"/>
      <c r="R100" s="29" t="n"/>
      <c r="S100" s="30">
        <f>IF(AND(ISNUMBER(M100),ISNUMBER(R100)),(M100*0.9-R100)*3600,"")</f>
        <v/>
      </c>
      <c r="T100" s="28" t="n"/>
    </row>
    <row r="101">
      <c r="A101" s="25" t="inlineStr">
        <is>
          <t>S49</t>
        </is>
      </c>
      <c r="B101" s="25" t="inlineStr">
        <is>
          <t>S49-M1</t>
        </is>
      </c>
      <c r="C101" s="25" t="inlineStr">
        <is>
          <t>제천</t>
        </is>
      </c>
      <c r="D101" s="25" t="inlineStr">
        <is>
          <t>방위표지1</t>
        </is>
      </c>
      <c r="E101" s="25" t="n"/>
      <c r="F101" s="25" t="n"/>
      <c r="G101" s="28" t="n"/>
      <c r="H101" s="37" t="inlineStr">
        <is>
          <t>기준점</t>
        </is>
      </c>
      <c r="I101" s="37" t="inlineStr">
        <is>
          <t>방위표지</t>
        </is>
      </c>
      <c r="J101" s="38" t="n"/>
      <c r="K101" s="38" t="n"/>
      <c r="L101" s="34">
        <f>IF(COUNT(J101:K101)=2,ABS(ABS(K101-J101)-200),"")</f>
        <v/>
      </c>
      <c r="M101" s="38" t="n"/>
      <c r="N101" s="34">
        <f>IF(ISNUMBER(M101),M101*0.9,"")</f>
        <v/>
      </c>
      <c r="O101" s="34">
        <f>IF(ISNUMBER(M101),MOD(M101*0.9+180,360),"")</f>
        <v/>
      </c>
      <c r="P101" s="28" t="n"/>
      <c r="Q101" s="29" t="n"/>
      <c r="R101" s="29" t="n"/>
      <c r="S101" s="30">
        <f>IF(AND(ISNUMBER(M101),ISNUMBER(R101)),(M101*0.9-R101)*3600,"")</f>
        <v/>
      </c>
      <c r="T101" s="28" t="n"/>
    </row>
    <row r="102">
      <c r="A102" s="25" t="inlineStr">
        <is>
          <t>S49</t>
        </is>
      </c>
      <c r="B102" s="25" t="inlineStr">
        <is>
          <t>S49-M2</t>
        </is>
      </c>
      <c r="C102" s="25" t="inlineStr">
        <is>
          <t>제천</t>
        </is>
      </c>
      <c r="D102" s="25" t="inlineStr">
        <is>
          <t>방위표지2</t>
        </is>
      </c>
      <c r="E102" s="25" t="n"/>
      <c r="F102" s="25" t="n"/>
      <c r="G102" s="28" t="n"/>
      <c r="H102" s="37" t="inlineStr">
        <is>
          <t>기준점</t>
        </is>
      </c>
      <c r="I102" s="37" t="inlineStr">
        <is>
          <t>방위표지</t>
        </is>
      </c>
      <c r="J102" s="38" t="n"/>
      <c r="K102" s="38" t="n"/>
      <c r="L102" s="34">
        <f>IF(COUNT(J102:K102)=2,ABS(ABS(K102-J102)-200),"")</f>
        <v/>
      </c>
      <c r="M102" s="38" t="n"/>
      <c r="N102" s="34">
        <f>IF(ISNUMBER(M102),M102*0.9,"")</f>
        <v/>
      </c>
      <c r="O102" s="34">
        <f>IF(ISNUMBER(M102),MOD(M102*0.9+180,360),"")</f>
        <v/>
      </c>
      <c r="P102" s="28" t="n"/>
      <c r="Q102" s="29" t="n"/>
      <c r="R102" s="29" t="n"/>
      <c r="S102" s="30">
        <f>IF(AND(ISNUMBER(M102),ISNUMBER(R102)),(M102*0.9-R102)*3600,"")</f>
        <v/>
      </c>
      <c r="T102" s="28" t="n"/>
    </row>
    <row r="103">
      <c r="A103" s="25" t="inlineStr">
        <is>
          <t>S50</t>
        </is>
      </c>
      <c r="B103" s="25" t="inlineStr">
        <is>
          <t>S50-M1</t>
        </is>
      </c>
      <c r="C103" s="25" t="inlineStr">
        <is>
          <t>함양</t>
        </is>
      </c>
      <c r="D103" s="25" t="inlineStr">
        <is>
          <t>방위표지1</t>
        </is>
      </c>
      <c r="E103" s="25" t="n"/>
      <c r="F103" s="25" t="n"/>
      <c r="G103" s="28" t="n"/>
      <c r="H103" s="37" t="inlineStr">
        <is>
          <t>기준점</t>
        </is>
      </c>
      <c r="I103" s="37" t="inlineStr">
        <is>
          <t>방위표지</t>
        </is>
      </c>
      <c r="J103" s="38" t="n"/>
      <c r="K103" s="38" t="n"/>
      <c r="L103" s="34">
        <f>IF(COUNT(J103:K103)=2,ABS(ABS(K103-J103)-200),"")</f>
        <v/>
      </c>
      <c r="M103" s="38" t="n"/>
      <c r="N103" s="34">
        <f>IF(ISNUMBER(M103),M103*0.9,"")</f>
        <v/>
      </c>
      <c r="O103" s="34">
        <f>IF(ISNUMBER(M103),MOD(M103*0.9+180,360),"")</f>
        <v/>
      </c>
      <c r="P103" s="28" t="n"/>
      <c r="Q103" s="29" t="n"/>
      <c r="R103" s="29" t="n"/>
      <c r="S103" s="30">
        <f>IF(AND(ISNUMBER(M103),ISNUMBER(R103)),(M103*0.9-R103)*3600,"")</f>
        <v/>
      </c>
      <c r="T103" s="28" t="n"/>
    </row>
    <row r="104">
      <c r="A104" s="25" t="inlineStr">
        <is>
          <t>S50</t>
        </is>
      </c>
      <c r="B104" s="25" t="inlineStr">
        <is>
          <t>S50-M2</t>
        </is>
      </c>
      <c r="C104" s="25" t="inlineStr">
        <is>
          <t>함양</t>
        </is>
      </c>
      <c r="D104" s="25" t="inlineStr">
        <is>
          <t>방위표지2</t>
        </is>
      </c>
      <c r="E104" s="25" t="n"/>
      <c r="F104" s="25" t="n"/>
      <c r="G104" s="28" t="n"/>
      <c r="H104" s="37" t="inlineStr">
        <is>
          <t>기준점</t>
        </is>
      </c>
      <c r="I104" s="37" t="inlineStr">
        <is>
          <t>방위표지</t>
        </is>
      </c>
      <c r="J104" s="38" t="n"/>
      <c r="K104" s="38" t="n"/>
      <c r="L104" s="34">
        <f>IF(COUNT(J104:K104)=2,ABS(ABS(K104-J104)-200),"")</f>
        <v/>
      </c>
      <c r="M104" s="38" t="n"/>
      <c r="N104" s="34">
        <f>IF(ISNUMBER(M104),M104*0.9,"")</f>
        <v/>
      </c>
      <c r="O104" s="34">
        <f>IF(ISNUMBER(M104),MOD(M104*0.9+180,360),"")</f>
        <v/>
      </c>
      <c r="P104" s="28" t="n"/>
      <c r="Q104" s="29" t="n"/>
      <c r="R104" s="29" t="n"/>
      <c r="S104" s="30">
        <f>IF(AND(ISNUMBER(M104),ISNUMBER(R104)),(M104*0.9-R104)*3600,"")</f>
        <v/>
      </c>
      <c r="T104" s="28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8" t="inlineStr">
        <is>
          <t>구분</t>
        </is>
      </c>
      <c r="B5" s="8" t="inlineStr">
        <is>
          <t>모델</t>
        </is>
      </c>
      <c r="C5" s="8" t="inlineStr">
        <is>
          <t>용도</t>
        </is>
      </c>
      <c r="D5" s="8" t="inlineStr">
        <is>
          <t>유의사항</t>
        </is>
      </c>
      <c r="E5" s="8" t="inlineStr">
        <is>
          <t>기기번호</t>
        </is>
      </c>
      <c r="F5" s="8" t="inlineStr">
        <is>
          <t>검정일</t>
        </is>
      </c>
      <c r="G5" s="8" t="inlineStr">
        <is>
          <t>유효기간</t>
        </is>
      </c>
      <c r="H5" s="8" t="inlineStr">
        <is>
          <t>검정기관</t>
        </is>
      </c>
      <c r="I5" s="8" t="inlineStr">
        <is>
          <t>성적서 번호</t>
        </is>
      </c>
      <c r="J5" s="8" t="inlineStr">
        <is>
          <t>시험 탐사 범위</t>
        </is>
      </c>
    </row>
    <row r="6" ht="32" customHeight="1">
      <c r="A6" s="25" t="inlineStr">
        <is>
          <t>오버하우저</t>
        </is>
      </c>
      <c r="B6" s="25" t="inlineStr">
        <is>
          <t>GSM-19T</t>
        </is>
      </c>
      <c r="C6" s="39" t="inlineStr">
        <is>
          <t>전자력(F) 측정 · 자기구배 확인</t>
        </is>
      </c>
      <c r="D6" s="39" t="inlineStr">
        <is>
          <t>한국표준과학연구원(KRISS)</t>
        </is>
      </c>
      <c r="E6" s="28" t="n"/>
      <c r="F6" s="32" t="n"/>
      <c r="G6" s="32" t="n"/>
      <c r="H6" s="28" t="n"/>
      <c r="I6" s="28" t="n"/>
      <c r="J6" s="39" t="inlineStr">
        <is>
          <t>시험 탐사 투입</t>
        </is>
      </c>
    </row>
    <row r="7" ht="32" customHeight="1">
      <c r="A7" s="25" t="inlineStr">
        <is>
          <t>이동식 Variometer</t>
        </is>
      </c>
      <c r="B7" s="25" t="inlineStr"/>
      <c r="C7" s="39" t="inlineStr">
        <is>
          <t>측량기간 중 자기장 시간변화 연속기록</t>
        </is>
      </c>
      <c r="D7" s="39" t="inlineStr">
        <is>
          <t>P0 선형보간의 선형성을 검증할 유일한 수단</t>
        </is>
      </c>
      <c r="E7" s="28" t="n"/>
      <c r="F7" s="32" t="n"/>
      <c r="G7" s="32" t="n"/>
      <c r="H7" s="28" t="n"/>
      <c r="I7" s="28" t="n"/>
      <c r="J7" s="39" t="inlineStr">
        <is>
          <t>시험 탐사 투입</t>
        </is>
      </c>
    </row>
    <row r="8" ht="32" customHeight="1">
      <c r="A8" s="25" t="inlineStr">
        <is>
          <t>GNSS 수신기</t>
        </is>
      </c>
      <c r="B8" s="25" t="inlineStr"/>
      <c r="C8" s="39" t="inlineStr">
        <is>
          <t>좌표·방위각 확인</t>
        </is>
      </c>
      <c r="D8" s="39" t="inlineStr"/>
      <c r="E8" s="28" t="n"/>
      <c r="F8" s="32" t="n"/>
      <c r="G8" s="32" t="n"/>
      <c r="H8" s="28" t="n"/>
      <c r="I8" s="28" t="n"/>
      <c r="J8" s="39" t="inlineStr">
        <is>
          <t>시험 탐사 투입</t>
        </is>
      </c>
    </row>
    <row r="9" ht="32" customHeight="1">
      <c r="A9" s="25" t="inlineStr">
        <is>
          <t>DI-flux</t>
        </is>
      </c>
      <c r="B9" s="25" t="inlineStr">
        <is>
          <t>MinGeo 010B</t>
        </is>
      </c>
      <c r="C9" s="39" t="inlineStr">
        <is>
          <t>편각(D)·복각(I) 절대관측</t>
        </is>
      </c>
      <c r="D9" s="39" t="inlineStr">
        <is>
          <t>제조사(헝가리) — 해외 발송 장기화·예비장비 부재 시 측정 공백</t>
        </is>
      </c>
      <c r="E9" s="28" t="n"/>
      <c r="F9" s="32" t="n"/>
      <c r="G9" s="32" t="n"/>
      <c r="H9" s="28" t="n"/>
      <c r="I9" s="28" t="n"/>
      <c r="J9" s="22" t="inlineStr">
        <is>
          <t>범위 밖 — 절대관측 단계</t>
        </is>
      </c>
    </row>
    <row r="11">
      <c r="A11" s="4" t="inlineStr">
        <is>
          <t>■ 검교정 주기 — KOLAS-G-008 고시 · 국가표준기본법 §14</t>
        </is>
      </c>
    </row>
    <row r="12" ht="36" customHeight="1">
      <c r="A12" s="8" t="inlineStr">
        <is>
          <t>장비 분류</t>
        </is>
      </c>
      <c r="B12" s="8" t="inlineStr">
        <is>
          <t>분류번호</t>
        </is>
      </c>
      <c r="C12" s="8" t="inlineStr">
        <is>
          <t>주기</t>
        </is>
      </c>
      <c r="D12" s="8" t="inlineStr">
        <is>
          <t>적용 기기번호</t>
        </is>
      </c>
      <c r="E12" s="8" t="inlineStr">
        <is>
          <t>직전 검정일</t>
        </is>
      </c>
      <c r="F12" s="8" t="inlineStr">
        <is>
          <t>다음 예정일</t>
        </is>
      </c>
      <c r="G12" s="8" t="inlineStr">
        <is>
          <t>상태</t>
        </is>
      </c>
      <c r="H12" s="8" t="inlineStr"/>
      <c r="I12" s="8" t="inlineStr"/>
      <c r="J12" s="8" t="inlineStr"/>
    </row>
    <row r="13">
      <c r="A13" s="25" t="inlineStr">
        <is>
          <t>저자기장 측정기</t>
        </is>
      </c>
      <c r="B13" s="25" t="inlineStr">
        <is>
          <t>404505</t>
        </is>
      </c>
      <c r="C13" s="25" t="inlineStr">
        <is>
          <t>1년</t>
        </is>
      </c>
      <c r="D13" s="28" t="n"/>
      <c r="E13" s="32" t="n"/>
      <c r="F13" s="32" t="n"/>
      <c r="G13" s="28" t="n"/>
    </row>
    <row r="14">
      <c r="A14" s="25" t="inlineStr">
        <is>
          <t>마그네토미터</t>
        </is>
      </c>
      <c r="B14" s="25" t="inlineStr">
        <is>
          <t>404508</t>
        </is>
      </c>
      <c r="C14" s="25" t="inlineStr">
        <is>
          <t>1년</t>
        </is>
      </c>
      <c r="D14" s="28" t="n"/>
      <c r="E14" s="32" t="n"/>
      <c r="F14" s="32" t="n"/>
      <c r="G14" s="28" t="n"/>
    </row>
    <row r="15">
      <c r="A15" s="25" t="inlineStr">
        <is>
          <t>데오도라이트·트랜지트</t>
        </is>
      </c>
      <c r="B15" s="25" t="inlineStr">
        <is>
          <t>10321</t>
        </is>
      </c>
      <c r="C15" s="25" t="inlineStr">
        <is>
          <t>2년</t>
        </is>
      </c>
      <c r="D15" s="28" t="n"/>
      <c r="E15" s="32" t="n"/>
      <c r="F15" s="32" t="n"/>
      <c r="G15" s="28" t="n"/>
    </row>
  </sheetData>
  <mergeCells count="5">
    <mergeCell ref="A1:J1"/>
    <mergeCell ref="A3:J3"/>
    <mergeCell ref="A4:J4"/>
    <mergeCell ref="A2:J2"/>
    <mergeCell ref="A11:J11"/>
  </mergeCells>
  <dataValidations count="1"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33" customHeight="1">
      <c r="A2" s="3" t="inlineStr">
        <is>
          <t>⚠ P0 전·후 선형보간은 «중심점 자기장이 그 사이 선형으로 변한다»는 가정이며, 두 끝점만으로는 중간의 비선형 변화나 순간 교란을 «탐지할 수 없다». Variometer 연속기록이 있어야 그 가정을 검증할 수 있다 — 없는 세트는 ⑬에서 「선형성 미검증」으로 구분한다.</t>
        </is>
      </c>
    </row>
    <row r="3" ht="61" customHeight="1">
      <c r="A3" s="2" t="inlineStr">
        <is>
          <t>최근접 상시관측소는 중앙 101 km · 최대 229 km(거제)이고, 그 거리에서 「외부장이 전역 균일」 근사가 깨짐을 이 프로젝트가 실증했다. 관측 조건: [절대관측 단계] 자기장 일변화가 안정적인 야간 시간대에 절대관측 수행 / 우주기상 예보와 Kp 지수를 확인하여 관측일정 편성 / 현장측량 기간 동안 이동식 Variometer 연속관측 / 자기교란 발생 시 해당 관측구간 제외 또는 재관측 / 타 기관 상시관측자료와 교차검증 / [시험 탐사] 야간 의무는 없으나 «시간변화가 안정된 구간»을 골라 측정한다</t>
        </is>
      </c>
    </row>
    <row r="4" ht="36" customHeight="1">
      <c r="A4" s="7" t="inlineStr">
        <is>
          <t>Site ID</t>
        </is>
      </c>
      <c r="B4" s="7" t="inlineStr">
        <is>
          <t>Visit ID</t>
        </is>
      </c>
      <c r="C4" s="8" t="inlineStr">
        <is>
          <t>관측일자</t>
        </is>
      </c>
      <c r="D4" s="8" t="inlineStr">
        <is>
          <t>야간 관측 여부</t>
        </is>
      </c>
      <c r="E4" s="8" t="inlineStr">
        <is>
          <t>Kp 확인값</t>
        </is>
      </c>
      <c r="F4" s="8" t="inlineStr">
        <is>
          <t>우주기상 예보 확인</t>
        </is>
      </c>
      <c r="G4" s="7" t="inlineStr">
        <is>
          <t>Variometer 파일 ID</t>
        </is>
      </c>
      <c r="H4" s="8" t="inlineStr">
        <is>
          <t>위치 ID</t>
        </is>
      </c>
      <c r="I4" s="8" t="inlineStr">
        <is>
          <t>위도</t>
        </is>
      </c>
      <c r="J4" s="8" t="inlineStr">
        <is>
          <t>경도</t>
        </is>
      </c>
      <c r="K4" s="8" t="inlineStr">
        <is>
          <t>기록 간격(s)</t>
        </is>
      </c>
      <c r="L4" s="8" t="inlineStr">
        <is>
          <t>기록 시작(KST)</t>
        </is>
      </c>
      <c r="M4" s="8" t="inlineStr">
        <is>
          <t>기록 종료(KST)</t>
        </is>
      </c>
      <c r="N4" s="8" t="inlineStr">
        <is>
          <t>자료공백 구간</t>
        </is>
      </c>
      <c r="O4" s="8" t="inlineStr">
        <is>
          <t>시계 동기 방법</t>
        </is>
      </c>
      <c r="P4" s="8" t="inlineStr">
        <is>
          <t>동기 오차(s)</t>
        </is>
      </c>
    </row>
    <row r="5">
      <c r="A5" s="28" t="n"/>
      <c r="B5" s="28" t="n"/>
      <c r="C5" s="32" t="n"/>
      <c r="D5" s="28" t="n"/>
      <c r="E5" s="40" t="n"/>
      <c r="F5" s="28" t="n"/>
      <c r="G5" s="28" t="n"/>
      <c r="H5" s="28" t="n"/>
      <c r="I5" s="27" t="n"/>
      <c r="J5" s="27" t="n"/>
      <c r="K5" s="41" t="n"/>
      <c r="L5" s="42" t="n"/>
      <c r="M5" s="42" t="n"/>
      <c r="N5" s="28" t="n"/>
      <c r="O5" s="28" t="n"/>
      <c r="P5" s="40" t="n"/>
    </row>
    <row r="6">
      <c r="A6" s="28" t="n"/>
      <c r="B6" s="28" t="n"/>
      <c r="C6" s="32" t="n"/>
      <c r="D6" s="28" t="n"/>
      <c r="E6" s="40" t="n"/>
      <c r="F6" s="28" t="n"/>
      <c r="G6" s="28" t="n"/>
      <c r="H6" s="28" t="n"/>
      <c r="I6" s="27" t="n"/>
      <c r="J6" s="27" t="n"/>
      <c r="K6" s="41" t="n"/>
      <c r="L6" s="42" t="n"/>
      <c r="M6" s="42" t="n"/>
      <c r="N6" s="28" t="n"/>
      <c r="O6" s="28" t="n"/>
      <c r="P6" s="40" t="n"/>
    </row>
    <row r="7">
      <c r="A7" s="28" t="n"/>
      <c r="B7" s="28" t="n"/>
      <c r="C7" s="32" t="n"/>
      <c r="D7" s="28" t="n"/>
      <c r="E7" s="40" t="n"/>
      <c r="F7" s="28" t="n"/>
      <c r="G7" s="28" t="n"/>
      <c r="H7" s="28" t="n"/>
      <c r="I7" s="27" t="n"/>
      <c r="J7" s="27" t="n"/>
      <c r="K7" s="41" t="n"/>
      <c r="L7" s="42" t="n"/>
      <c r="M7" s="42" t="n"/>
      <c r="N7" s="28" t="n"/>
      <c r="O7" s="28" t="n"/>
      <c r="P7" s="40" t="n"/>
    </row>
    <row r="8">
      <c r="A8" s="28" t="n"/>
      <c r="B8" s="28" t="n"/>
      <c r="C8" s="32" t="n"/>
      <c r="D8" s="28" t="n"/>
      <c r="E8" s="40" t="n"/>
      <c r="F8" s="28" t="n"/>
      <c r="G8" s="28" t="n"/>
      <c r="H8" s="28" t="n"/>
      <c r="I8" s="27" t="n"/>
      <c r="J8" s="27" t="n"/>
      <c r="K8" s="41" t="n"/>
      <c r="L8" s="42" t="n"/>
      <c r="M8" s="42" t="n"/>
      <c r="N8" s="28" t="n"/>
      <c r="O8" s="28" t="n"/>
      <c r="P8" s="40" t="n"/>
    </row>
    <row r="9">
      <c r="A9" s="28" t="n"/>
      <c r="B9" s="28" t="n"/>
      <c r="C9" s="32" t="n"/>
      <c r="D9" s="28" t="n"/>
      <c r="E9" s="40" t="n"/>
      <c r="F9" s="28" t="n"/>
      <c r="G9" s="28" t="n"/>
      <c r="H9" s="28" t="n"/>
      <c r="I9" s="27" t="n"/>
      <c r="J9" s="27" t="n"/>
      <c r="K9" s="41" t="n"/>
      <c r="L9" s="42" t="n"/>
      <c r="M9" s="42" t="n"/>
      <c r="N9" s="28" t="n"/>
      <c r="O9" s="28" t="n"/>
      <c r="P9" s="40" t="n"/>
    </row>
    <row r="10">
      <c r="A10" s="28" t="n"/>
      <c r="B10" s="28" t="n"/>
      <c r="C10" s="32" t="n"/>
      <c r="D10" s="28" t="n"/>
      <c r="E10" s="40" t="n"/>
      <c r="F10" s="28" t="n"/>
      <c r="G10" s="28" t="n"/>
      <c r="H10" s="28" t="n"/>
      <c r="I10" s="27" t="n"/>
      <c r="J10" s="27" t="n"/>
      <c r="K10" s="41" t="n"/>
      <c r="L10" s="42" t="n"/>
      <c r="M10" s="42" t="n"/>
      <c r="N10" s="28" t="n"/>
      <c r="O10" s="28" t="n"/>
      <c r="P10" s="40" t="n"/>
    </row>
    <row r="11">
      <c r="A11" s="28" t="n"/>
      <c r="B11" s="28" t="n"/>
      <c r="C11" s="32" t="n"/>
      <c r="D11" s="28" t="n"/>
      <c r="E11" s="40" t="n"/>
      <c r="F11" s="28" t="n"/>
      <c r="G11" s="28" t="n"/>
      <c r="H11" s="28" t="n"/>
      <c r="I11" s="27" t="n"/>
      <c r="J11" s="27" t="n"/>
      <c r="K11" s="41" t="n"/>
      <c r="L11" s="42" t="n"/>
      <c r="M11" s="42" t="n"/>
      <c r="N11" s="28" t="n"/>
      <c r="O11" s="28" t="n"/>
      <c r="P11" s="40" t="n"/>
    </row>
    <row r="12">
      <c r="A12" s="28" t="n"/>
      <c r="B12" s="28" t="n"/>
      <c r="C12" s="32" t="n"/>
      <c r="D12" s="28" t="n"/>
      <c r="E12" s="40" t="n"/>
      <c r="F12" s="28" t="n"/>
      <c r="G12" s="28" t="n"/>
      <c r="H12" s="28" t="n"/>
      <c r="I12" s="27" t="n"/>
      <c r="J12" s="27" t="n"/>
      <c r="K12" s="41" t="n"/>
      <c r="L12" s="42" t="n"/>
      <c r="M12" s="42" t="n"/>
      <c r="N12" s="28" t="n"/>
      <c r="O12" s="28" t="n"/>
      <c r="P12" s="40" t="n"/>
    </row>
    <row r="13">
      <c r="A13" s="28" t="n"/>
      <c r="B13" s="28" t="n"/>
      <c r="C13" s="32" t="n"/>
      <c r="D13" s="28" t="n"/>
      <c r="E13" s="40" t="n"/>
      <c r="F13" s="28" t="n"/>
      <c r="G13" s="28" t="n"/>
      <c r="H13" s="28" t="n"/>
      <c r="I13" s="27" t="n"/>
      <c r="J13" s="27" t="n"/>
      <c r="K13" s="41" t="n"/>
      <c r="L13" s="42" t="n"/>
      <c r="M13" s="42" t="n"/>
      <c r="N13" s="28" t="n"/>
      <c r="O13" s="28" t="n"/>
      <c r="P13" s="40" t="n"/>
    </row>
    <row r="14">
      <c r="A14" s="28" t="n"/>
      <c r="B14" s="28" t="n"/>
      <c r="C14" s="32" t="n"/>
      <c r="D14" s="28" t="n"/>
      <c r="E14" s="40" t="n"/>
      <c r="F14" s="28" t="n"/>
      <c r="G14" s="28" t="n"/>
      <c r="H14" s="28" t="n"/>
      <c r="I14" s="27" t="n"/>
      <c r="J14" s="27" t="n"/>
      <c r="K14" s="41" t="n"/>
      <c r="L14" s="42" t="n"/>
      <c r="M14" s="42" t="n"/>
      <c r="N14" s="28" t="n"/>
      <c r="O14" s="28" t="n"/>
      <c r="P14" s="40" t="n"/>
    </row>
    <row r="15">
      <c r="A15" s="28" t="n"/>
      <c r="B15" s="28" t="n"/>
      <c r="C15" s="32" t="n"/>
      <c r="D15" s="28" t="n"/>
      <c r="E15" s="40" t="n"/>
      <c r="F15" s="28" t="n"/>
      <c r="G15" s="28" t="n"/>
      <c r="H15" s="28" t="n"/>
      <c r="I15" s="27" t="n"/>
      <c r="J15" s="27" t="n"/>
      <c r="K15" s="41" t="n"/>
      <c r="L15" s="42" t="n"/>
      <c r="M15" s="42" t="n"/>
      <c r="N15" s="28" t="n"/>
      <c r="O15" s="28" t="n"/>
      <c r="P15" s="40" t="n"/>
    </row>
    <row r="16">
      <c r="A16" s="28" t="n"/>
      <c r="B16" s="28" t="n"/>
      <c r="C16" s="32" t="n"/>
      <c r="D16" s="28" t="n"/>
      <c r="E16" s="40" t="n"/>
      <c r="F16" s="28" t="n"/>
      <c r="G16" s="28" t="n"/>
      <c r="H16" s="28" t="n"/>
      <c r="I16" s="27" t="n"/>
      <c r="J16" s="27" t="n"/>
      <c r="K16" s="41" t="n"/>
      <c r="L16" s="42" t="n"/>
      <c r="M16" s="42" t="n"/>
      <c r="N16" s="28" t="n"/>
      <c r="O16" s="28" t="n"/>
      <c r="P16" s="40" t="n"/>
    </row>
    <row r="17">
      <c r="A17" s="28" t="n"/>
      <c r="B17" s="28" t="n"/>
      <c r="C17" s="32" t="n"/>
      <c r="D17" s="28" t="n"/>
      <c r="E17" s="40" t="n"/>
      <c r="F17" s="28" t="n"/>
      <c r="G17" s="28" t="n"/>
      <c r="H17" s="28" t="n"/>
      <c r="I17" s="27" t="n"/>
      <c r="J17" s="27" t="n"/>
      <c r="K17" s="41" t="n"/>
      <c r="L17" s="42" t="n"/>
      <c r="M17" s="42" t="n"/>
      <c r="N17" s="28" t="n"/>
      <c r="O17" s="28" t="n"/>
      <c r="P17" s="40" t="n"/>
    </row>
    <row r="18">
      <c r="A18" s="28" t="n"/>
      <c r="B18" s="28" t="n"/>
      <c r="C18" s="32" t="n"/>
      <c r="D18" s="28" t="n"/>
      <c r="E18" s="40" t="n"/>
      <c r="F18" s="28" t="n"/>
      <c r="G18" s="28" t="n"/>
      <c r="H18" s="28" t="n"/>
      <c r="I18" s="27" t="n"/>
      <c r="J18" s="27" t="n"/>
      <c r="K18" s="41" t="n"/>
      <c r="L18" s="42" t="n"/>
      <c r="M18" s="42" t="n"/>
      <c r="N18" s="28" t="n"/>
      <c r="O18" s="28" t="n"/>
      <c r="P18" s="40" t="n"/>
    </row>
    <row r="19">
      <c r="A19" s="28" t="n"/>
      <c r="B19" s="28" t="n"/>
      <c r="C19" s="32" t="n"/>
      <c r="D19" s="28" t="n"/>
      <c r="E19" s="40" t="n"/>
      <c r="F19" s="28" t="n"/>
      <c r="G19" s="28" t="n"/>
      <c r="H19" s="28" t="n"/>
      <c r="I19" s="27" t="n"/>
      <c r="J19" s="27" t="n"/>
      <c r="K19" s="41" t="n"/>
      <c r="L19" s="42" t="n"/>
      <c r="M19" s="42" t="n"/>
      <c r="N19" s="28" t="n"/>
      <c r="O19" s="28" t="n"/>
      <c r="P19" s="40" t="n"/>
    </row>
    <row r="20">
      <c r="A20" s="28" t="n"/>
      <c r="B20" s="28" t="n"/>
      <c r="C20" s="32" t="n"/>
      <c r="D20" s="28" t="n"/>
      <c r="E20" s="40" t="n"/>
      <c r="F20" s="28" t="n"/>
      <c r="G20" s="28" t="n"/>
      <c r="H20" s="28" t="n"/>
      <c r="I20" s="27" t="n"/>
      <c r="J20" s="27" t="n"/>
      <c r="K20" s="41" t="n"/>
      <c r="L20" s="42" t="n"/>
      <c r="M20" s="42" t="n"/>
      <c r="N20" s="28" t="n"/>
      <c r="O20" s="28" t="n"/>
      <c r="P20" s="40" t="n"/>
    </row>
    <row r="21">
      <c r="A21" s="28" t="n"/>
      <c r="B21" s="28" t="n"/>
      <c r="C21" s="32" t="n"/>
      <c r="D21" s="28" t="n"/>
      <c r="E21" s="40" t="n"/>
      <c r="F21" s="28" t="n"/>
      <c r="G21" s="28" t="n"/>
      <c r="H21" s="28" t="n"/>
      <c r="I21" s="27" t="n"/>
      <c r="J21" s="27" t="n"/>
      <c r="K21" s="41" t="n"/>
      <c r="L21" s="42" t="n"/>
      <c r="M21" s="42" t="n"/>
      <c r="N21" s="28" t="n"/>
      <c r="O21" s="28" t="n"/>
      <c r="P21" s="40" t="n"/>
    </row>
    <row r="22">
      <c r="A22" s="28" t="n"/>
      <c r="B22" s="28" t="n"/>
      <c r="C22" s="32" t="n"/>
      <c r="D22" s="28" t="n"/>
      <c r="E22" s="40" t="n"/>
      <c r="F22" s="28" t="n"/>
      <c r="G22" s="28" t="n"/>
      <c r="H22" s="28" t="n"/>
      <c r="I22" s="27" t="n"/>
      <c r="J22" s="27" t="n"/>
      <c r="K22" s="41" t="n"/>
      <c r="L22" s="42" t="n"/>
      <c r="M22" s="42" t="n"/>
      <c r="N22" s="28" t="n"/>
      <c r="O22" s="28" t="n"/>
      <c r="P22" s="40" t="n"/>
    </row>
    <row r="23">
      <c r="A23" s="28" t="n"/>
      <c r="B23" s="28" t="n"/>
      <c r="C23" s="32" t="n"/>
      <c r="D23" s="28" t="n"/>
      <c r="E23" s="40" t="n"/>
      <c r="F23" s="28" t="n"/>
      <c r="G23" s="28" t="n"/>
      <c r="H23" s="28" t="n"/>
      <c r="I23" s="27" t="n"/>
      <c r="J23" s="27" t="n"/>
      <c r="K23" s="41" t="n"/>
      <c r="L23" s="42" t="n"/>
      <c r="M23" s="42" t="n"/>
      <c r="N23" s="28" t="n"/>
      <c r="O23" s="28" t="n"/>
      <c r="P23" s="40" t="n"/>
    </row>
    <row r="24">
      <c r="A24" s="28" t="n"/>
      <c r="B24" s="28" t="n"/>
      <c r="C24" s="32" t="n"/>
      <c r="D24" s="28" t="n"/>
      <c r="E24" s="40" t="n"/>
      <c r="F24" s="28" t="n"/>
      <c r="G24" s="28" t="n"/>
      <c r="H24" s="28" t="n"/>
      <c r="I24" s="27" t="n"/>
      <c r="J24" s="27" t="n"/>
      <c r="K24" s="41" t="n"/>
      <c r="L24" s="42" t="n"/>
      <c r="M24" s="42" t="n"/>
      <c r="N24" s="28" t="n"/>
      <c r="O24" s="28" t="n"/>
      <c r="P24" s="40" t="n"/>
    </row>
    <row r="25">
      <c r="A25" s="28" t="n"/>
      <c r="B25" s="28" t="n"/>
      <c r="C25" s="32" t="n"/>
      <c r="D25" s="28" t="n"/>
      <c r="E25" s="40" t="n"/>
      <c r="F25" s="28" t="n"/>
      <c r="G25" s="28" t="n"/>
      <c r="H25" s="28" t="n"/>
      <c r="I25" s="27" t="n"/>
      <c r="J25" s="27" t="n"/>
      <c r="K25" s="41" t="n"/>
      <c r="L25" s="42" t="n"/>
      <c r="M25" s="42" t="n"/>
      <c r="N25" s="28" t="n"/>
      <c r="O25" s="28" t="n"/>
      <c r="P25" s="40" t="n"/>
    </row>
    <row r="26">
      <c r="A26" s="28" t="n"/>
      <c r="B26" s="28" t="n"/>
      <c r="C26" s="32" t="n"/>
      <c r="D26" s="28" t="n"/>
      <c r="E26" s="40" t="n"/>
      <c r="F26" s="28" t="n"/>
      <c r="G26" s="28" t="n"/>
      <c r="H26" s="28" t="n"/>
      <c r="I26" s="27" t="n"/>
      <c r="J26" s="27" t="n"/>
      <c r="K26" s="41" t="n"/>
      <c r="L26" s="42" t="n"/>
      <c r="M26" s="42" t="n"/>
      <c r="N26" s="28" t="n"/>
      <c r="O26" s="28" t="n"/>
      <c r="P26" s="40" t="n"/>
    </row>
    <row r="27">
      <c r="A27" s="28" t="n"/>
      <c r="B27" s="28" t="n"/>
      <c r="C27" s="32" t="n"/>
      <c r="D27" s="28" t="n"/>
      <c r="E27" s="40" t="n"/>
      <c r="F27" s="28" t="n"/>
      <c r="G27" s="28" t="n"/>
      <c r="H27" s="28" t="n"/>
      <c r="I27" s="27" t="n"/>
      <c r="J27" s="27" t="n"/>
      <c r="K27" s="41" t="n"/>
      <c r="L27" s="42" t="n"/>
      <c r="M27" s="42" t="n"/>
      <c r="N27" s="28" t="n"/>
      <c r="O27" s="28" t="n"/>
      <c r="P27" s="40" t="n"/>
    </row>
    <row r="28">
      <c r="A28" s="28" t="n"/>
      <c r="B28" s="28" t="n"/>
      <c r="C28" s="32" t="n"/>
      <c r="D28" s="28" t="n"/>
      <c r="E28" s="40" t="n"/>
      <c r="F28" s="28" t="n"/>
      <c r="G28" s="28" t="n"/>
      <c r="H28" s="28" t="n"/>
      <c r="I28" s="27" t="n"/>
      <c r="J28" s="27" t="n"/>
      <c r="K28" s="41" t="n"/>
      <c r="L28" s="42" t="n"/>
      <c r="M28" s="42" t="n"/>
      <c r="N28" s="28" t="n"/>
      <c r="O28" s="28" t="n"/>
      <c r="P28" s="40" t="n"/>
    </row>
    <row r="29">
      <c r="A29" s="28" t="n"/>
      <c r="B29" s="28" t="n"/>
      <c r="C29" s="32" t="n"/>
      <c r="D29" s="28" t="n"/>
      <c r="E29" s="40" t="n"/>
      <c r="F29" s="28" t="n"/>
      <c r="G29" s="28" t="n"/>
      <c r="H29" s="28" t="n"/>
      <c r="I29" s="27" t="n"/>
      <c r="J29" s="27" t="n"/>
      <c r="K29" s="41" t="n"/>
      <c r="L29" s="42" t="n"/>
      <c r="M29" s="42" t="n"/>
      <c r="N29" s="28" t="n"/>
      <c r="O29" s="28" t="n"/>
      <c r="P29" s="40" t="n"/>
    </row>
    <row r="30">
      <c r="A30" s="28" t="n"/>
      <c r="B30" s="28" t="n"/>
      <c r="C30" s="32" t="n"/>
      <c r="D30" s="28" t="n"/>
      <c r="E30" s="40" t="n"/>
      <c r="F30" s="28" t="n"/>
      <c r="G30" s="28" t="n"/>
      <c r="H30" s="28" t="n"/>
      <c r="I30" s="27" t="n"/>
      <c r="J30" s="27" t="n"/>
      <c r="K30" s="41" t="n"/>
      <c r="L30" s="42" t="n"/>
      <c r="M30" s="42" t="n"/>
      <c r="N30" s="28" t="n"/>
      <c r="O30" s="28" t="n"/>
      <c r="P30" s="40" t="n"/>
    </row>
    <row r="31">
      <c r="A31" s="28" t="n"/>
      <c r="B31" s="28" t="n"/>
      <c r="C31" s="32" t="n"/>
      <c r="D31" s="28" t="n"/>
      <c r="E31" s="40" t="n"/>
      <c r="F31" s="28" t="n"/>
      <c r="G31" s="28" t="n"/>
      <c r="H31" s="28" t="n"/>
      <c r="I31" s="27" t="n"/>
      <c r="J31" s="27" t="n"/>
      <c r="K31" s="41" t="n"/>
      <c r="L31" s="42" t="n"/>
      <c r="M31" s="42" t="n"/>
      <c r="N31" s="28" t="n"/>
      <c r="O31" s="28" t="n"/>
      <c r="P31" s="40" t="n"/>
    </row>
    <row r="32">
      <c r="A32" s="28" t="n"/>
      <c r="B32" s="28" t="n"/>
      <c r="C32" s="32" t="n"/>
      <c r="D32" s="28" t="n"/>
      <c r="E32" s="40" t="n"/>
      <c r="F32" s="28" t="n"/>
      <c r="G32" s="28" t="n"/>
      <c r="H32" s="28" t="n"/>
      <c r="I32" s="27" t="n"/>
      <c r="J32" s="27" t="n"/>
      <c r="K32" s="41" t="n"/>
      <c r="L32" s="42" t="n"/>
      <c r="M32" s="42" t="n"/>
      <c r="N32" s="28" t="n"/>
      <c r="O32" s="28" t="n"/>
      <c r="P32" s="40" t="n"/>
    </row>
    <row r="33">
      <c r="A33" s="28" t="n"/>
      <c r="B33" s="28" t="n"/>
      <c r="C33" s="32" t="n"/>
      <c r="D33" s="28" t="n"/>
      <c r="E33" s="40" t="n"/>
      <c r="F33" s="28" t="n"/>
      <c r="G33" s="28" t="n"/>
      <c r="H33" s="28" t="n"/>
      <c r="I33" s="27" t="n"/>
      <c r="J33" s="27" t="n"/>
      <c r="K33" s="41" t="n"/>
      <c r="L33" s="42" t="n"/>
      <c r="M33" s="42" t="n"/>
      <c r="N33" s="28" t="n"/>
      <c r="O33" s="28" t="n"/>
      <c r="P33" s="40" t="n"/>
    </row>
    <row r="34">
      <c r="A34" s="28" t="n"/>
      <c r="B34" s="28" t="n"/>
      <c r="C34" s="32" t="n"/>
      <c r="D34" s="28" t="n"/>
      <c r="E34" s="40" t="n"/>
      <c r="F34" s="28" t="n"/>
      <c r="G34" s="28" t="n"/>
      <c r="H34" s="28" t="n"/>
      <c r="I34" s="27" t="n"/>
      <c r="J34" s="27" t="n"/>
      <c r="K34" s="41" t="n"/>
      <c r="L34" s="42" t="n"/>
      <c r="M34" s="42" t="n"/>
      <c r="N34" s="28" t="n"/>
      <c r="O34" s="28" t="n"/>
      <c r="P34" s="40" t="n"/>
    </row>
    <row r="35">
      <c r="A35" s="28" t="n"/>
      <c r="B35" s="28" t="n"/>
      <c r="C35" s="32" t="n"/>
      <c r="D35" s="28" t="n"/>
      <c r="E35" s="40" t="n"/>
      <c r="F35" s="28" t="n"/>
      <c r="G35" s="28" t="n"/>
      <c r="H35" s="28" t="n"/>
      <c r="I35" s="27" t="n"/>
      <c r="J35" s="27" t="n"/>
      <c r="K35" s="41" t="n"/>
      <c r="L35" s="42" t="n"/>
      <c r="M35" s="42" t="n"/>
      <c r="N35" s="28" t="n"/>
      <c r="O35" s="28" t="n"/>
      <c r="P35" s="40" t="n"/>
    </row>
    <row r="36">
      <c r="A36" s="28" t="n"/>
      <c r="B36" s="28" t="n"/>
      <c r="C36" s="32" t="n"/>
      <c r="D36" s="28" t="n"/>
      <c r="E36" s="40" t="n"/>
      <c r="F36" s="28" t="n"/>
      <c r="G36" s="28" t="n"/>
      <c r="H36" s="28" t="n"/>
      <c r="I36" s="27" t="n"/>
      <c r="J36" s="27" t="n"/>
      <c r="K36" s="41" t="n"/>
      <c r="L36" s="42" t="n"/>
      <c r="M36" s="42" t="n"/>
      <c r="N36" s="28" t="n"/>
      <c r="O36" s="28" t="n"/>
      <c r="P36" s="40" t="n"/>
    </row>
    <row r="37">
      <c r="A37" s="28" t="n"/>
      <c r="B37" s="28" t="n"/>
      <c r="C37" s="32" t="n"/>
      <c r="D37" s="28" t="n"/>
      <c r="E37" s="40" t="n"/>
      <c r="F37" s="28" t="n"/>
      <c r="G37" s="28" t="n"/>
      <c r="H37" s="28" t="n"/>
      <c r="I37" s="27" t="n"/>
      <c r="J37" s="27" t="n"/>
      <c r="K37" s="41" t="n"/>
      <c r="L37" s="42" t="n"/>
      <c r="M37" s="42" t="n"/>
      <c r="N37" s="28" t="n"/>
      <c r="O37" s="28" t="n"/>
      <c r="P37" s="40" t="n"/>
    </row>
    <row r="38">
      <c r="A38" s="28" t="n"/>
      <c r="B38" s="28" t="n"/>
      <c r="C38" s="32" t="n"/>
      <c r="D38" s="28" t="n"/>
      <c r="E38" s="40" t="n"/>
      <c r="F38" s="28" t="n"/>
      <c r="G38" s="28" t="n"/>
      <c r="H38" s="28" t="n"/>
      <c r="I38" s="27" t="n"/>
      <c r="J38" s="27" t="n"/>
      <c r="K38" s="41" t="n"/>
      <c r="L38" s="42" t="n"/>
      <c r="M38" s="42" t="n"/>
      <c r="N38" s="28" t="n"/>
      <c r="O38" s="28" t="n"/>
      <c r="P38" s="40" t="n"/>
    </row>
    <row r="39">
      <c r="A39" s="28" t="n"/>
      <c r="B39" s="28" t="n"/>
      <c r="C39" s="32" t="n"/>
      <c r="D39" s="28" t="n"/>
      <c r="E39" s="40" t="n"/>
      <c r="F39" s="28" t="n"/>
      <c r="G39" s="28" t="n"/>
      <c r="H39" s="28" t="n"/>
      <c r="I39" s="27" t="n"/>
      <c r="J39" s="27" t="n"/>
      <c r="K39" s="41" t="n"/>
      <c r="L39" s="42" t="n"/>
      <c r="M39" s="42" t="n"/>
      <c r="N39" s="28" t="n"/>
      <c r="O39" s="28" t="n"/>
      <c r="P39" s="40" t="n"/>
    </row>
    <row r="40">
      <c r="A40" s="28" t="n"/>
      <c r="B40" s="28" t="n"/>
      <c r="C40" s="32" t="n"/>
      <c r="D40" s="28" t="n"/>
      <c r="E40" s="40" t="n"/>
      <c r="F40" s="28" t="n"/>
      <c r="G40" s="28" t="n"/>
      <c r="H40" s="28" t="n"/>
      <c r="I40" s="27" t="n"/>
      <c r="J40" s="27" t="n"/>
      <c r="K40" s="41" t="n"/>
      <c r="L40" s="42" t="n"/>
      <c r="M40" s="42" t="n"/>
      <c r="N40" s="28" t="n"/>
      <c r="O40" s="28" t="n"/>
      <c r="P40" s="40" t="n"/>
    </row>
    <row r="41">
      <c r="A41" s="28" t="n"/>
      <c r="B41" s="28" t="n"/>
      <c r="C41" s="32" t="n"/>
      <c r="D41" s="28" t="n"/>
      <c r="E41" s="40" t="n"/>
      <c r="F41" s="28" t="n"/>
      <c r="G41" s="28" t="n"/>
      <c r="H41" s="28" t="n"/>
      <c r="I41" s="27" t="n"/>
      <c r="J41" s="27" t="n"/>
      <c r="K41" s="41" t="n"/>
      <c r="L41" s="42" t="n"/>
      <c r="M41" s="42" t="n"/>
      <c r="N41" s="28" t="n"/>
      <c r="O41" s="28" t="n"/>
      <c r="P41" s="40" t="n"/>
    </row>
    <row r="42">
      <c r="A42" s="28" t="n"/>
      <c r="B42" s="28" t="n"/>
      <c r="C42" s="32" t="n"/>
      <c r="D42" s="28" t="n"/>
      <c r="E42" s="40" t="n"/>
      <c r="F42" s="28" t="n"/>
      <c r="G42" s="28" t="n"/>
      <c r="H42" s="28" t="n"/>
      <c r="I42" s="27" t="n"/>
      <c r="J42" s="27" t="n"/>
      <c r="K42" s="41" t="n"/>
      <c r="L42" s="42" t="n"/>
      <c r="M42" s="42" t="n"/>
      <c r="N42" s="28" t="n"/>
      <c r="O42" s="28" t="n"/>
      <c r="P42" s="40" t="n"/>
    </row>
    <row r="43">
      <c r="A43" s="28" t="n"/>
      <c r="B43" s="28" t="n"/>
      <c r="C43" s="32" t="n"/>
      <c r="D43" s="28" t="n"/>
      <c r="E43" s="40" t="n"/>
      <c r="F43" s="28" t="n"/>
      <c r="G43" s="28" t="n"/>
      <c r="H43" s="28" t="n"/>
      <c r="I43" s="27" t="n"/>
      <c r="J43" s="27" t="n"/>
      <c r="K43" s="41" t="n"/>
      <c r="L43" s="42" t="n"/>
      <c r="M43" s="42" t="n"/>
      <c r="N43" s="28" t="n"/>
      <c r="O43" s="28" t="n"/>
      <c r="P43" s="40" t="n"/>
    </row>
    <row r="44">
      <c r="A44" s="28" t="n"/>
      <c r="B44" s="28" t="n"/>
      <c r="C44" s="32" t="n"/>
      <c r="D44" s="28" t="n"/>
      <c r="E44" s="40" t="n"/>
      <c r="F44" s="28" t="n"/>
      <c r="G44" s="28" t="n"/>
      <c r="H44" s="28" t="n"/>
      <c r="I44" s="27" t="n"/>
      <c r="J44" s="27" t="n"/>
      <c r="K44" s="41" t="n"/>
      <c r="L44" s="42" t="n"/>
      <c r="M44" s="42" t="n"/>
      <c r="N44" s="28" t="n"/>
      <c r="O44" s="28" t="n"/>
      <c r="P44" s="40" t="n"/>
    </row>
    <row r="45">
      <c r="A45" s="28" t="n"/>
      <c r="B45" s="28" t="n"/>
      <c r="C45" s="32" t="n"/>
      <c r="D45" s="28" t="n"/>
      <c r="E45" s="40" t="n"/>
      <c r="F45" s="28" t="n"/>
      <c r="G45" s="28" t="n"/>
      <c r="H45" s="28" t="n"/>
      <c r="I45" s="27" t="n"/>
      <c r="J45" s="27" t="n"/>
      <c r="K45" s="41" t="n"/>
      <c r="L45" s="42" t="n"/>
      <c r="M45" s="42" t="n"/>
      <c r="N45" s="28" t="n"/>
      <c r="O45" s="28" t="n"/>
      <c r="P45" s="40" t="n"/>
    </row>
    <row r="46">
      <c r="A46" s="28" t="n"/>
      <c r="B46" s="28" t="n"/>
      <c r="C46" s="32" t="n"/>
      <c r="D46" s="28" t="n"/>
      <c r="E46" s="40" t="n"/>
      <c r="F46" s="28" t="n"/>
      <c r="G46" s="28" t="n"/>
      <c r="H46" s="28" t="n"/>
      <c r="I46" s="27" t="n"/>
      <c r="J46" s="27" t="n"/>
      <c r="K46" s="41" t="n"/>
      <c r="L46" s="42" t="n"/>
      <c r="M46" s="42" t="n"/>
      <c r="N46" s="28" t="n"/>
      <c r="O46" s="28" t="n"/>
      <c r="P46" s="40" t="n"/>
    </row>
    <row r="47">
      <c r="A47" s="28" t="n"/>
      <c r="B47" s="28" t="n"/>
      <c r="C47" s="32" t="n"/>
      <c r="D47" s="28" t="n"/>
      <c r="E47" s="40" t="n"/>
      <c r="F47" s="28" t="n"/>
      <c r="G47" s="28" t="n"/>
      <c r="H47" s="28" t="n"/>
      <c r="I47" s="27" t="n"/>
      <c r="J47" s="27" t="n"/>
      <c r="K47" s="41" t="n"/>
      <c r="L47" s="42" t="n"/>
      <c r="M47" s="42" t="n"/>
      <c r="N47" s="28" t="n"/>
      <c r="O47" s="28" t="n"/>
      <c r="P47" s="40" t="n"/>
    </row>
    <row r="48">
      <c r="A48" s="28" t="n"/>
      <c r="B48" s="28" t="n"/>
      <c r="C48" s="32" t="n"/>
      <c r="D48" s="28" t="n"/>
      <c r="E48" s="40" t="n"/>
      <c r="F48" s="28" t="n"/>
      <c r="G48" s="28" t="n"/>
      <c r="H48" s="28" t="n"/>
      <c r="I48" s="27" t="n"/>
      <c r="J48" s="27" t="n"/>
      <c r="K48" s="41" t="n"/>
      <c r="L48" s="42" t="n"/>
      <c r="M48" s="42" t="n"/>
      <c r="N48" s="28" t="n"/>
      <c r="O48" s="28" t="n"/>
      <c r="P48" s="40" t="n"/>
    </row>
    <row r="49">
      <c r="A49" s="28" t="n"/>
      <c r="B49" s="28" t="n"/>
      <c r="C49" s="32" t="n"/>
      <c r="D49" s="28" t="n"/>
      <c r="E49" s="40" t="n"/>
      <c r="F49" s="28" t="n"/>
      <c r="G49" s="28" t="n"/>
      <c r="H49" s="28" t="n"/>
      <c r="I49" s="27" t="n"/>
      <c r="J49" s="27" t="n"/>
      <c r="K49" s="41" t="n"/>
      <c r="L49" s="42" t="n"/>
      <c r="M49" s="42" t="n"/>
      <c r="N49" s="28" t="n"/>
      <c r="O49" s="28" t="n"/>
      <c r="P49" s="40" t="n"/>
    </row>
    <row r="50">
      <c r="A50" s="28" t="n"/>
      <c r="B50" s="28" t="n"/>
      <c r="C50" s="32" t="n"/>
      <c r="D50" s="28" t="n"/>
      <c r="E50" s="40" t="n"/>
      <c r="F50" s="28" t="n"/>
      <c r="G50" s="28" t="n"/>
      <c r="H50" s="28" t="n"/>
      <c r="I50" s="27" t="n"/>
      <c r="J50" s="27" t="n"/>
      <c r="K50" s="41" t="n"/>
      <c r="L50" s="42" t="n"/>
      <c r="M50" s="42" t="n"/>
      <c r="N50" s="28" t="n"/>
      <c r="O50" s="28" t="n"/>
      <c r="P50" s="40" t="n"/>
    </row>
    <row r="51">
      <c r="A51" s="28" t="n"/>
      <c r="B51" s="28" t="n"/>
      <c r="C51" s="32" t="n"/>
      <c r="D51" s="28" t="n"/>
      <c r="E51" s="40" t="n"/>
      <c r="F51" s="28" t="n"/>
      <c r="G51" s="28" t="n"/>
      <c r="H51" s="28" t="n"/>
      <c r="I51" s="27" t="n"/>
      <c r="J51" s="27" t="n"/>
      <c r="K51" s="41" t="n"/>
      <c r="L51" s="42" t="n"/>
      <c r="M51" s="42" t="n"/>
      <c r="N51" s="28" t="n"/>
      <c r="O51" s="28" t="n"/>
      <c r="P51" s="40" t="n"/>
    </row>
    <row r="52">
      <c r="A52" s="28" t="n"/>
      <c r="B52" s="28" t="n"/>
      <c r="C52" s="32" t="n"/>
      <c r="D52" s="28" t="n"/>
      <c r="E52" s="40" t="n"/>
      <c r="F52" s="28" t="n"/>
      <c r="G52" s="28" t="n"/>
      <c r="H52" s="28" t="n"/>
      <c r="I52" s="27" t="n"/>
      <c r="J52" s="27" t="n"/>
      <c r="K52" s="41" t="n"/>
      <c r="L52" s="42" t="n"/>
      <c r="M52" s="42" t="n"/>
      <c r="N52" s="28" t="n"/>
      <c r="O52" s="28" t="n"/>
      <c r="P52" s="40" t="n"/>
    </row>
    <row r="53">
      <c r="A53" s="28" t="n"/>
      <c r="B53" s="28" t="n"/>
      <c r="C53" s="32" t="n"/>
      <c r="D53" s="28" t="n"/>
      <c r="E53" s="40" t="n"/>
      <c r="F53" s="28" t="n"/>
      <c r="G53" s="28" t="n"/>
      <c r="H53" s="28" t="n"/>
      <c r="I53" s="27" t="n"/>
      <c r="J53" s="27" t="n"/>
      <c r="K53" s="41" t="n"/>
      <c r="L53" s="42" t="n"/>
      <c r="M53" s="42" t="n"/>
      <c r="N53" s="28" t="n"/>
      <c r="O53" s="28" t="n"/>
      <c r="P53" s="40" t="n"/>
    </row>
    <row r="54">
      <c r="A54" s="28" t="n"/>
      <c r="B54" s="28" t="n"/>
      <c r="C54" s="32" t="n"/>
      <c r="D54" s="28" t="n"/>
      <c r="E54" s="40" t="n"/>
      <c r="F54" s="28" t="n"/>
      <c r="G54" s="28" t="n"/>
      <c r="H54" s="28" t="n"/>
      <c r="I54" s="27" t="n"/>
      <c r="J54" s="27" t="n"/>
      <c r="K54" s="41" t="n"/>
      <c r="L54" s="42" t="n"/>
      <c r="M54" s="42" t="n"/>
      <c r="N54" s="28" t="n"/>
      <c r="O54" s="28" t="n"/>
      <c r="P54" s="40" t="n"/>
    </row>
    <row r="55">
      <c r="A55" s="28" t="n"/>
      <c r="B55" s="28" t="n"/>
      <c r="C55" s="32" t="n"/>
      <c r="D55" s="28" t="n"/>
      <c r="E55" s="40" t="n"/>
      <c r="F55" s="28" t="n"/>
      <c r="G55" s="28" t="n"/>
      <c r="H55" s="28" t="n"/>
      <c r="I55" s="27" t="n"/>
      <c r="J55" s="27" t="n"/>
      <c r="K55" s="41" t="n"/>
      <c r="L55" s="42" t="n"/>
      <c r="M55" s="42" t="n"/>
      <c r="N55" s="28" t="n"/>
      <c r="O55" s="28" t="n"/>
      <c r="P55" s="40" t="n"/>
    </row>
    <row r="56">
      <c r="A56" s="28" t="n"/>
      <c r="B56" s="28" t="n"/>
      <c r="C56" s="32" t="n"/>
      <c r="D56" s="28" t="n"/>
      <c r="E56" s="40" t="n"/>
      <c r="F56" s="28" t="n"/>
      <c r="G56" s="28" t="n"/>
      <c r="H56" s="28" t="n"/>
      <c r="I56" s="27" t="n"/>
      <c r="J56" s="27" t="n"/>
      <c r="K56" s="41" t="n"/>
      <c r="L56" s="42" t="n"/>
      <c r="M56" s="42" t="n"/>
      <c r="N56" s="28" t="n"/>
      <c r="O56" s="28" t="n"/>
      <c r="P56" s="40" t="n"/>
    </row>
    <row r="57">
      <c r="A57" s="28" t="n"/>
      <c r="B57" s="28" t="n"/>
      <c r="C57" s="32" t="n"/>
      <c r="D57" s="28" t="n"/>
      <c r="E57" s="40" t="n"/>
      <c r="F57" s="28" t="n"/>
      <c r="G57" s="28" t="n"/>
      <c r="H57" s="28" t="n"/>
      <c r="I57" s="27" t="n"/>
      <c r="J57" s="27" t="n"/>
      <c r="K57" s="41" t="n"/>
      <c r="L57" s="42" t="n"/>
      <c r="M57" s="42" t="n"/>
      <c r="N57" s="28" t="n"/>
      <c r="O57" s="28" t="n"/>
      <c r="P57" s="40" t="n"/>
    </row>
    <row r="58">
      <c r="A58" s="28" t="n"/>
      <c r="B58" s="28" t="n"/>
      <c r="C58" s="32" t="n"/>
      <c r="D58" s="28" t="n"/>
      <c r="E58" s="40" t="n"/>
      <c r="F58" s="28" t="n"/>
      <c r="G58" s="28" t="n"/>
      <c r="H58" s="28" t="n"/>
      <c r="I58" s="27" t="n"/>
      <c r="J58" s="27" t="n"/>
      <c r="K58" s="41" t="n"/>
      <c r="L58" s="42" t="n"/>
      <c r="M58" s="42" t="n"/>
      <c r="N58" s="28" t="n"/>
      <c r="O58" s="28" t="n"/>
      <c r="P58" s="40" t="n"/>
    </row>
    <row r="59">
      <c r="A59" s="28" t="n"/>
      <c r="B59" s="28" t="n"/>
      <c r="C59" s="32" t="n"/>
      <c r="D59" s="28" t="n"/>
      <c r="E59" s="40" t="n"/>
      <c r="F59" s="28" t="n"/>
      <c r="G59" s="28" t="n"/>
      <c r="H59" s="28" t="n"/>
      <c r="I59" s="27" t="n"/>
      <c r="J59" s="27" t="n"/>
      <c r="K59" s="41" t="n"/>
      <c r="L59" s="42" t="n"/>
      <c r="M59" s="42" t="n"/>
      <c r="N59" s="28" t="n"/>
      <c r="O59" s="28" t="n"/>
      <c r="P59" s="40" t="n"/>
    </row>
    <row r="60">
      <c r="A60" s="28" t="n"/>
      <c r="B60" s="28" t="n"/>
      <c r="C60" s="32" t="n"/>
      <c r="D60" s="28" t="n"/>
      <c r="E60" s="40" t="n"/>
      <c r="F60" s="28" t="n"/>
      <c r="G60" s="28" t="n"/>
      <c r="H60" s="28" t="n"/>
      <c r="I60" s="27" t="n"/>
      <c r="J60" s="27" t="n"/>
      <c r="K60" s="41" t="n"/>
      <c r="L60" s="42" t="n"/>
      <c r="M60" s="42" t="n"/>
      <c r="N60" s="28" t="n"/>
      <c r="O60" s="28" t="n"/>
      <c r="P60" s="40" t="n"/>
    </row>
    <row r="61">
      <c r="A61" s="28" t="n"/>
      <c r="B61" s="28" t="n"/>
      <c r="C61" s="32" t="n"/>
      <c r="D61" s="28" t="n"/>
      <c r="E61" s="40" t="n"/>
      <c r="F61" s="28" t="n"/>
      <c r="G61" s="28" t="n"/>
      <c r="H61" s="28" t="n"/>
      <c r="I61" s="27" t="n"/>
      <c r="J61" s="27" t="n"/>
      <c r="K61" s="41" t="n"/>
      <c r="L61" s="42" t="n"/>
      <c r="M61" s="42" t="n"/>
      <c r="N61" s="28" t="n"/>
      <c r="O61" s="28" t="n"/>
      <c r="P61" s="40" t="n"/>
    </row>
    <row r="62">
      <c r="A62" s="28" t="n"/>
      <c r="B62" s="28" t="n"/>
      <c r="C62" s="32" t="n"/>
      <c r="D62" s="28" t="n"/>
      <c r="E62" s="40" t="n"/>
      <c r="F62" s="28" t="n"/>
      <c r="G62" s="28" t="n"/>
      <c r="H62" s="28" t="n"/>
      <c r="I62" s="27" t="n"/>
      <c r="J62" s="27" t="n"/>
      <c r="K62" s="41" t="n"/>
      <c r="L62" s="42" t="n"/>
      <c r="M62" s="42" t="n"/>
      <c r="N62" s="28" t="n"/>
      <c r="O62" s="28" t="n"/>
      <c r="P62" s="40" t="n"/>
    </row>
    <row r="63">
      <c r="A63" s="28" t="n"/>
      <c r="B63" s="28" t="n"/>
      <c r="C63" s="32" t="n"/>
      <c r="D63" s="28" t="n"/>
      <c r="E63" s="40" t="n"/>
      <c r="F63" s="28" t="n"/>
      <c r="G63" s="28" t="n"/>
      <c r="H63" s="28" t="n"/>
      <c r="I63" s="27" t="n"/>
      <c r="J63" s="27" t="n"/>
      <c r="K63" s="41" t="n"/>
      <c r="L63" s="42" t="n"/>
      <c r="M63" s="42" t="n"/>
      <c r="N63" s="28" t="n"/>
      <c r="O63" s="28" t="n"/>
      <c r="P63" s="40" t="n"/>
    </row>
    <row r="64">
      <c r="A64" s="28" t="n"/>
      <c r="B64" s="28" t="n"/>
      <c r="C64" s="32" t="n"/>
      <c r="D64" s="28" t="n"/>
      <c r="E64" s="40" t="n"/>
      <c r="F64" s="28" t="n"/>
      <c r="G64" s="28" t="n"/>
      <c r="H64" s="28" t="n"/>
      <c r="I64" s="27" t="n"/>
      <c r="J64" s="27" t="n"/>
      <c r="K64" s="41" t="n"/>
      <c r="L64" s="42" t="n"/>
      <c r="M64" s="42" t="n"/>
      <c r="N64" s="28" t="n"/>
      <c r="O64" s="28" t="n"/>
      <c r="P64" s="40" t="n"/>
    </row>
    <row r="65">
      <c r="A65" s="28" t="n"/>
      <c r="B65" s="28" t="n"/>
      <c r="C65" s="32" t="n"/>
      <c r="D65" s="28" t="n"/>
      <c r="E65" s="40" t="n"/>
      <c r="F65" s="28" t="n"/>
      <c r="G65" s="28" t="n"/>
      <c r="H65" s="28" t="n"/>
      <c r="I65" s="27" t="n"/>
      <c r="J65" s="27" t="n"/>
      <c r="K65" s="41" t="n"/>
      <c r="L65" s="42" t="n"/>
      <c r="M65" s="42" t="n"/>
      <c r="N65" s="28" t="n"/>
      <c r="O65" s="28" t="n"/>
      <c r="P65" s="40" t="n"/>
    </row>
    <row r="66">
      <c r="A66" s="28" t="n"/>
      <c r="B66" s="28" t="n"/>
      <c r="C66" s="32" t="n"/>
      <c r="D66" s="28" t="n"/>
      <c r="E66" s="40" t="n"/>
      <c r="F66" s="28" t="n"/>
      <c r="G66" s="28" t="n"/>
      <c r="H66" s="28" t="n"/>
      <c r="I66" s="27" t="n"/>
      <c r="J66" s="27" t="n"/>
      <c r="K66" s="41" t="n"/>
      <c r="L66" s="42" t="n"/>
      <c r="M66" s="42" t="n"/>
      <c r="N66" s="28" t="n"/>
      <c r="O66" s="28" t="n"/>
      <c r="P66" s="40" t="n"/>
    </row>
    <row r="67">
      <c r="A67" s="28" t="n"/>
      <c r="B67" s="28" t="n"/>
      <c r="C67" s="32" t="n"/>
      <c r="D67" s="28" t="n"/>
      <c r="E67" s="40" t="n"/>
      <c r="F67" s="28" t="n"/>
      <c r="G67" s="28" t="n"/>
      <c r="H67" s="28" t="n"/>
      <c r="I67" s="27" t="n"/>
      <c r="J67" s="27" t="n"/>
      <c r="K67" s="41" t="n"/>
      <c r="L67" s="42" t="n"/>
      <c r="M67" s="42" t="n"/>
      <c r="N67" s="28" t="n"/>
      <c r="O67" s="28" t="n"/>
      <c r="P67" s="40" t="n"/>
    </row>
    <row r="68">
      <c r="A68" s="28" t="n"/>
      <c r="B68" s="28" t="n"/>
      <c r="C68" s="32" t="n"/>
      <c r="D68" s="28" t="n"/>
      <c r="E68" s="40" t="n"/>
      <c r="F68" s="28" t="n"/>
      <c r="G68" s="28" t="n"/>
      <c r="H68" s="28" t="n"/>
      <c r="I68" s="27" t="n"/>
      <c r="J68" s="27" t="n"/>
      <c r="K68" s="41" t="n"/>
      <c r="L68" s="42" t="n"/>
      <c r="M68" s="42" t="n"/>
      <c r="N68" s="28" t="n"/>
      <c r="O68" s="28" t="n"/>
      <c r="P68" s="40" t="n"/>
    </row>
    <row r="69">
      <c r="A69" s="28" t="n"/>
      <c r="B69" s="28" t="n"/>
      <c r="C69" s="32" t="n"/>
      <c r="D69" s="28" t="n"/>
      <c r="E69" s="40" t="n"/>
      <c r="F69" s="28" t="n"/>
      <c r="G69" s="28" t="n"/>
      <c r="H69" s="28" t="n"/>
      <c r="I69" s="27" t="n"/>
      <c r="J69" s="27" t="n"/>
      <c r="K69" s="41" t="n"/>
      <c r="L69" s="42" t="n"/>
      <c r="M69" s="42" t="n"/>
      <c r="N69" s="28" t="n"/>
      <c r="O69" s="28" t="n"/>
      <c r="P69" s="40" t="n"/>
    </row>
    <row r="70">
      <c r="A70" s="28" t="n"/>
      <c r="B70" s="28" t="n"/>
      <c r="C70" s="32" t="n"/>
      <c r="D70" s="28" t="n"/>
      <c r="E70" s="40" t="n"/>
      <c r="F70" s="28" t="n"/>
      <c r="G70" s="28" t="n"/>
      <c r="H70" s="28" t="n"/>
      <c r="I70" s="27" t="n"/>
      <c r="J70" s="27" t="n"/>
      <c r="K70" s="41" t="n"/>
      <c r="L70" s="42" t="n"/>
      <c r="M70" s="42" t="n"/>
      <c r="N70" s="28" t="n"/>
      <c r="O70" s="28" t="n"/>
      <c r="P70" s="40" t="n"/>
    </row>
    <row r="71">
      <c r="A71" s="28" t="n"/>
      <c r="B71" s="28" t="n"/>
      <c r="C71" s="32" t="n"/>
      <c r="D71" s="28" t="n"/>
      <c r="E71" s="40" t="n"/>
      <c r="F71" s="28" t="n"/>
      <c r="G71" s="28" t="n"/>
      <c r="H71" s="28" t="n"/>
      <c r="I71" s="27" t="n"/>
      <c r="J71" s="27" t="n"/>
      <c r="K71" s="41" t="n"/>
      <c r="L71" s="42" t="n"/>
      <c r="M71" s="42" t="n"/>
      <c r="N71" s="28" t="n"/>
      <c r="O71" s="28" t="n"/>
      <c r="P71" s="40" t="n"/>
    </row>
    <row r="72">
      <c r="A72" s="28" t="n"/>
      <c r="B72" s="28" t="n"/>
      <c r="C72" s="32" t="n"/>
      <c r="D72" s="28" t="n"/>
      <c r="E72" s="40" t="n"/>
      <c r="F72" s="28" t="n"/>
      <c r="G72" s="28" t="n"/>
      <c r="H72" s="28" t="n"/>
      <c r="I72" s="27" t="n"/>
      <c r="J72" s="27" t="n"/>
      <c r="K72" s="41" t="n"/>
      <c r="L72" s="42" t="n"/>
      <c r="M72" s="42" t="n"/>
      <c r="N72" s="28" t="n"/>
      <c r="O72" s="28" t="n"/>
      <c r="P72" s="40" t="n"/>
    </row>
    <row r="73">
      <c r="A73" s="28" t="n"/>
      <c r="B73" s="28" t="n"/>
      <c r="C73" s="32" t="n"/>
      <c r="D73" s="28" t="n"/>
      <c r="E73" s="40" t="n"/>
      <c r="F73" s="28" t="n"/>
      <c r="G73" s="28" t="n"/>
      <c r="H73" s="28" t="n"/>
      <c r="I73" s="27" t="n"/>
      <c r="J73" s="27" t="n"/>
      <c r="K73" s="41" t="n"/>
      <c r="L73" s="42" t="n"/>
      <c r="M73" s="42" t="n"/>
      <c r="N73" s="28" t="n"/>
      <c r="O73" s="28" t="n"/>
      <c r="P73" s="40" t="n"/>
    </row>
    <row r="74">
      <c r="A74" s="28" t="n"/>
      <c r="B74" s="28" t="n"/>
      <c r="C74" s="32" t="n"/>
      <c r="D74" s="28" t="n"/>
      <c r="E74" s="40" t="n"/>
      <c r="F74" s="28" t="n"/>
      <c r="G74" s="28" t="n"/>
      <c r="H74" s="28" t="n"/>
      <c r="I74" s="27" t="n"/>
      <c r="J74" s="27" t="n"/>
      <c r="K74" s="41" t="n"/>
      <c r="L74" s="42" t="n"/>
      <c r="M74" s="42" t="n"/>
      <c r="N74" s="28" t="n"/>
      <c r="O74" s="28" t="n"/>
      <c r="P74" s="40" t="n"/>
    </row>
    <row r="75">
      <c r="A75" s="28" t="n"/>
      <c r="B75" s="28" t="n"/>
      <c r="C75" s="32" t="n"/>
      <c r="D75" s="28" t="n"/>
      <c r="E75" s="40" t="n"/>
      <c r="F75" s="28" t="n"/>
      <c r="G75" s="28" t="n"/>
      <c r="H75" s="28" t="n"/>
      <c r="I75" s="27" t="n"/>
      <c r="J75" s="27" t="n"/>
      <c r="K75" s="41" t="n"/>
      <c r="L75" s="42" t="n"/>
      <c r="M75" s="42" t="n"/>
      <c r="N75" s="28" t="n"/>
      <c r="O75" s="28" t="n"/>
      <c r="P75" s="40" t="n"/>
    </row>
    <row r="76">
      <c r="A76" s="28" t="n"/>
      <c r="B76" s="28" t="n"/>
      <c r="C76" s="32" t="n"/>
      <c r="D76" s="28" t="n"/>
      <c r="E76" s="40" t="n"/>
      <c r="F76" s="28" t="n"/>
      <c r="G76" s="28" t="n"/>
      <c r="H76" s="28" t="n"/>
      <c r="I76" s="27" t="n"/>
      <c r="J76" s="27" t="n"/>
      <c r="K76" s="41" t="n"/>
      <c r="L76" s="42" t="n"/>
      <c r="M76" s="42" t="n"/>
      <c r="N76" s="28" t="n"/>
      <c r="O76" s="28" t="n"/>
      <c r="P76" s="40" t="n"/>
    </row>
    <row r="77">
      <c r="A77" s="28" t="n"/>
      <c r="B77" s="28" t="n"/>
      <c r="C77" s="32" t="n"/>
      <c r="D77" s="28" t="n"/>
      <c r="E77" s="40" t="n"/>
      <c r="F77" s="28" t="n"/>
      <c r="G77" s="28" t="n"/>
      <c r="H77" s="28" t="n"/>
      <c r="I77" s="27" t="n"/>
      <c r="J77" s="27" t="n"/>
      <c r="K77" s="41" t="n"/>
      <c r="L77" s="42" t="n"/>
      <c r="M77" s="42" t="n"/>
      <c r="N77" s="28" t="n"/>
      <c r="O77" s="28" t="n"/>
      <c r="P77" s="40" t="n"/>
    </row>
    <row r="78">
      <c r="A78" s="28" t="n"/>
      <c r="B78" s="28" t="n"/>
      <c r="C78" s="32" t="n"/>
      <c r="D78" s="28" t="n"/>
      <c r="E78" s="40" t="n"/>
      <c r="F78" s="28" t="n"/>
      <c r="G78" s="28" t="n"/>
      <c r="H78" s="28" t="n"/>
      <c r="I78" s="27" t="n"/>
      <c r="J78" s="27" t="n"/>
      <c r="K78" s="41" t="n"/>
      <c r="L78" s="42" t="n"/>
      <c r="M78" s="42" t="n"/>
      <c r="N78" s="28" t="n"/>
      <c r="O78" s="28" t="n"/>
      <c r="P78" s="40" t="n"/>
    </row>
    <row r="79">
      <c r="A79" s="28" t="n"/>
      <c r="B79" s="28" t="n"/>
      <c r="C79" s="32" t="n"/>
      <c r="D79" s="28" t="n"/>
      <c r="E79" s="40" t="n"/>
      <c r="F79" s="28" t="n"/>
      <c r="G79" s="28" t="n"/>
      <c r="H79" s="28" t="n"/>
      <c r="I79" s="27" t="n"/>
      <c r="J79" s="27" t="n"/>
      <c r="K79" s="41" t="n"/>
      <c r="L79" s="42" t="n"/>
      <c r="M79" s="42" t="n"/>
      <c r="N79" s="28" t="n"/>
      <c r="O79" s="28" t="n"/>
      <c r="P79" s="40" t="n"/>
    </row>
    <row r="80">
      <c r="A80" s="28" t="n"/>
      <c r="B80" s="28" t="n"/>
      <c r="C80" s="32" t="n"/>
      <c r="D80" s="28" t="n"/>
      <c r="E80" s="40" t="n"/>
      <c r="F80" s="28" t="n"/>
      <c r="G80" s="28" t="n"/>
      <c r="H80" s="28" t="n"/>
      <c r="I80" s="27" t="n"/>
      <c r="J80" s="27" t="n"/>
      <c r="K80" s="41" t="n"/>
      <c r="L80" s="42" t="n"/>
      <c r="M80" s="42" t="n"/>
      <c r="N80" s="28" t="n"/>
      <c r="O80" s="28" t="n"/>
      <c r="P80" s="40" t="n"/>
    </row>
    <row r="81">
      <c r="A81" s="28" t="n"/>
      <c r="B81" s="28" t="n"/>
      <c r="C81" s="32" t="n"/>
      <c r="D81" s="28" t="n"/>
      <c r="E81" s="40" t="n"/>
      <c r="F81" s="28" t="n"/>
      <c r="G81" s="28" t="n"/>
      <c r="H81" s="28" t="n"/>
      <c r="I81" s="27" t="n"/>
      <c r="J81" s="27" t="n"/>
      <c r="K81" s="41" t="n"/>
      <c r="L81" s="42" t="n"/>
      <c r="M81" s="42" t="n"/>
      <c r="N81" s="28" t="n"/>
      <c r="O81" s="28" t="n"/>
      <c r="P81" s="40" t="n"/>
    </row>
    <row r="82">
      <c r="A82" s="28" t="n"/>
      <c r="B82" s="28" t="n"/>
      <c r="C82" s="32" t="n"/>
      <c r="D82" s="28" t="n"/>
      <c r="E82" s="40" t="n"/>
      <c r="F82" s="28" t="n"/>
      <c r="G82" s="28" t="n"/>
      <c r="H82" s="28" t="n"/>
      <c r="I82" s="27" t="n"/>
      <c r="J82" s="27" t="n"/>
      <c r="K82" s="41" t="n"/>
      <c r="L82" s="42" t="n"/>
      <c r="M82" s="42" t="n"/>
      <c r="N82" s="28" t="n"/>
      <c r="O82" s="28" t="n"/>
      <c r="P82" s="40" t="n"/>
    </row>
    <row r="83">
      <c r="A83" s="28" t="n"/>
      <c r="B83" s="28" t="n"/>
      <c r="C83" s="32" t="n"/>
      <c r="D83" s="28" t="n"/>
      <c r="E83" s="40" t="n"/>
      <c r="F83" s="28" t="n"/>
      <c r="G83" s="28" t="n"/>
      <c r="H83" s="28" t="n"/>
      <c r="I83" s="27" t="n"/>
      <c r="J83" s="27" t="n"/>
      <c r="K83" s="41" t="n"/>
      <c r="L83" s="42" t="n"/>
      <c r="M83" s="42" t="n"/>
      <c r="N83" s="28" t="n"/>
      <c r="O83" s="28" t="n"/>
      <c r="P83" s="40" t="n"/>
    </row>
    <row r="84">
      <c r="A84" s="28" t="n"/>
      <c r="B84" s="28" t="n"/>
      <c r="C84" s="32" t="n"/>
      <c r="D84" s="28" t="n"/>
      <c r="E84" s="40" t="n"/>
      <c r="F84" s="28" t="n"/>
      <c r="G84" s="28" t="n"/>
      <c r="H84" s="28" t="n"/>
      <c r="I84" s="27" t="n"/>
      <c r="J84" s="27" t="n"/>
      <c r="K84" s="41" t="n"/>
      <c r="L84" s="42" t="n"/>
      <c r="M84" s="42" t="n"/>
      <c r="N84" s="28" t="n"/>
      <c r="O84" s="28" t="n"/>
      <c r="P84" s="40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7" customWidth="1" min="5" max="5"/>
    <col width="10" customWidth="1" min="6" max="6"/>
    <col width="10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1" customWidth="1" min="15" max="15"/>
    <col width="17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22" customWidth="1" min="27" max="27"/>
    <col width="24" customWidth="1" min="28" max="28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47" customHeight="1">
      <c r="A3" s="3" t="inlineStr">
        <is>
          <t>⚠ 「Set 검증」이 OK 일 때만 계산된다 — 유효 P0 가 전·후 각각 정확히 1개이고 측정시각이 그 사이여야 한다. 아니면 수치 대신 오류 사유가 뜬다. ΔF·변화율은 **부호를 보존**하고 절댓값은 별도 열이다. 「중심점기준 변화율(ΔF/d)」과 「인접구간 변화율」은 서로 다른 양이니 섞지 말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방향</t>
        </is>
      </c>
      <c r="F4" s="8" t="inlineStr">
        <is>
          <t>명목거리(m)</t>
        </is>
      </c>
      <c r="G4" s="8" t="inlineStr">
        <is>
          <t>실측거리(m)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P0전 시각
계산</t>
        </is>
      </c>
      <c r="O4" s="8" t="inlineStr">
        <is>
          <t>P0전 F
계산</t>
        </is>
      </c>
      <c r="P4" s="8" t="inlineStr">
        <is>
          <t>P0후 시각
계산</t>
        </is>
      </c>
      <c r="Q4" s="8" t="inlineStr">
        <is>
          <t>P0후 F
계산</t>
        </is>
      </c>
      <c r="R4" s="8" t="inlineStr">
        <is>
          <t>P0 추정값
계산</t>
        </is>
      </c>
      <c r="S4" s="8" t="inlineStr">
        <is>
          <t>ΔF(nT)
계산</t>
        </is>
      </c>
      <c r="T4" s="8" t="inlineStr">
        <is>
          <t>중심점기준
변화율(nT/m)
계산</t>
        </is>
      </c>
      <c r="U4" s="8" t="inlineStr">
        <is>
          <t>|변화율|
계산</t>
        </is>
      </c>
      <c r="V4" s="8" t="inlineStr">
        <is>
          <t>인접구간
변화율(nT/m)
계산</t>
        </is>
      </c>
      <c r="W4" s="8" t="inlineStr">
        <is>
          <t>Set 지속(분)
계산</t>
        </is>
      </c>
      <c r="X4" s="8" t="inlineStr">
        <is>
          <t>기기번호</t>
        </is>
      </c>
      <c r="Y4" s="8" t="inlineStr">
        <is>
          <t>Variometer
파일 ID</t>
        </is>
      </c>
      <c r="Z4" s="8" t="inlineStr">
        <is>
          <t>Set 상태</t>
        </is>
      </c>
      <c r="AA4" s="8" t="inlineStr">
        <is>
          <t>중단 시각·사유</t>
        </is>
      </c>
      <c r="AB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S01-H동</t>
        </is>
      </c>
      <c r="D5" s="43" t="inlineStr">
        <is>
          <t>P0(전)</t>
        </is>
      </c>
      <c r="E5" s="43" t="inlineStr">
        <is>
          <t>동</t>
        </is>
      </c>
      <c r="F5" s="44" t="n"/>
      <c r="G5" s="29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28" t="n"/>
      <c r="Y5" s="28" t="n"/>
      <c r="Z5" s="28" t="n"/>
      <c r="AA5" s="31" t="n"/>
      <c r="AB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S01-H동</t>
        </is>
      </c>
      <c r="D6" s="25" t="inlineStr">
        <is>
          <t>측정</t>
        </is>
      </c>
      <c r="E6" s="25" t="inlineStr">
        <is>
          <t>동</t>
        </is>
      </c>
      <c r="F6" s="30" t="n">
        <v>0.5</v>
      </c>
      <c r="G6" s="29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IF(COUNTIFS($C:$C,$C6,$D:$D,"P0(전)",$L:$L,"&gt;0")&lt;&gt;1,"P0(전) 유효 1개 아님",IF(COUNTIFS($C:$C,$C6,$D:$D,"P0(후)",$L:$L,"&gt;0")&lt;&gt;1,"P0(후) 유효 1개 아님",IF(NOT(AND(ISNUMBER(N6),ISNUMBER(P6),ISNUMBER(H6))),"시각 결측",IF(P6&lt;=N6,"P0 시각 역전",IF(OR(H6&lt;N6,H6&gt;P6),"측정시각 구간 밖","OK")))))</f>
        <v/>
      </c>
      <c r="N6" s="45">
        <f>IF(COUNTIFS($C:$C,$C6,$D:$D,"P0(전)",$L:$L,"&gt;0")&lt;&gt;1,"",SUMIFS($H:$H,$C:$C,$C6,$D:$D,"P0(전)"))</f>
        <v/>
      </c>
      <c r="O6" s="30">
        <f>IF(COUNTIFS($C:$C,$C6,$D:$D,"P0(전)",$L:$L,"&gt;0")&lt;&gt;1,"",SUMIFS($L:$L,$C:$C,$C6,$D:$D,"P0(전)"))</f>
        <v/>
      </c>
      <c r="P6" s="45">
        <f>IF(COUNTIFS($C:$C,$C6,$D:$D,"P0(후)",$L:$L,"&gt;0")&lt;&gt;1,"",SUMIFS($H:$H,$C:$C,$C6,$D:$D,"P0(후)"))</f>
        <v/>
      </c>
      <c r="Q6" s="30">
        <f>IF(COUNTIFS($C:$C,$C6,$D:$D,"P0(후)",$L:$L,"&gt;0")&lt;&gt;1,"",SUMIFS($L:$L,$C:$C,$C6,$D:$D,"P0(후)"))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IF(OR(NOT(ISNUMBER(S6)),IF(ISNUMBER(G6),G6,F6)=0),"",S6/IF(ISNUMBER(G6),G6,F6))</f>
        <v/>
      </c>
      <c r="U6" s="46">
        <f>IF(ISNUMBER(T6),ABS(T6),"")</f>
        <v/>
      </c>
      <c r="V6" s="46">
        <f>IF(OR($D5&lt;&gt;"측정",$C5&lt;&gt;$C6,NOT(ISNUMBER(L6)),NOT(ISNUMBER(L5)),(IF(ISNUMBER(G6),G6,F6)-IF(ISNUMBER(G5),G5,F5))=0),"",(L6-L5)/(IF(ISNUMBER(G6),G6,F6)-IF(ISNUMBER(G5),G5,F5)))</f>
        <v/>
      </c>
      <c r="W6" s="30">
        <f>IF(NOT(AND(ISNUMBER(N6),ISNUMBER(P6))),"",(P6-N6)*1440)</f>
        <v/>
      </c>
      <c r="X6" s="28" t="n"/>
      <c r="Y6" s="28" t="n"/>
      <c r="Z6" s="28" t="n"/>
      <c r="AA6" s="31" t="n"/>
      <c r="AB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S01-H동</t>
        </is>
      </c>
      <c r="D7" s="25" t="inlineStr">
        <is>
          <t>측정</t>
        </is>
      </c>
      <c r="E7" s="25" t="inlineStr">
        <is>
          <t>동</t>
        </is>
      </c>
      <c r="F7" s="30" t="n">
        <v>1</v>
      </c>
      <c r="G7" s="29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IF(COUNTIFS($C:$C,$C7,$D:$D,"P0(전)",$L:$L,"&gt;0")&lt;&gt;1,"P0(전) 유효 1개 아님",IF(COUNTIFS($C:$C,$C7,$D:$D,"P0(후)",$L:$L,"&gt;0")&lt;&gt;1,"P0(후) 유효 1개 아님",IF(NOT(AND(ISNUMBER(N7),ISNUMBER(P7),ISNUMBER(H7))),"시각 결측",IF(P7&lt;=N7,"P0 시각 역전",IF(OR(H7&lt;N7,H7&gt;P7),"측정시각 구간 밖","OK")))))</f>
        <v/>
      </c>
      <c r="N7" s="45">
        <f>IF(COUNTIFS($C:$C,$C7,$D:$D,"P0(전)",$L:$L,"&gt;0")&lt;&gt;1,"",SUMIFS($H:$H,$C:$C,$C7,$D:$D,"P0(전)"))</f>
        <v/>
      </c>
      <c r="O7" s="30">
        <f>IF(COUNTIFS($C:$C,$C7,$D:$D,"P0(전)",$L:$L,"&gt;0")&lt;&gt;1,"",SUMIFS($L:$L,$C:$C,$C7,$D:$D,"P0(전)"))</f>
        <v/>
      </c>
      <c r="P7" s="45">
        <f>IF(COUNTIFS($C:$C,$C7,$D:$D,"P0(후)",$L:$L,"&gt;0")&lt;&gt;1,"",SUMIFS($H:$H,$C:$C,$C7,$D:$D,"P0(후)"))</f>
        <v/>
      </c>
      <c r="Q7" s="30">
        <f>IF(COUNTIFS($C:$C,$C7,$D:$D,"P0(후)",$L:$L,"&gt;0")&lt;&gt;1,"",SUMIFS($L:$L,$C:$C,$C7,$D:$D,"P0(후)"))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IF(OR(NOT(ISNUMBER(S7)),IF(ISNUMBER(G7),G7,F7)=0),"",S7/IF(ISNUMBER(G7),G7,F7))</f>
        <v/>
      </c>
      <c r="U7" s="46">
        <f>IF(ISNUMBER(T7),ABS(T7),"")</f>
        <v/>
      </c>
      <c r="V7" s="46">
        <f>IF(OR($D6&lt;&gt;"측정",$C6&lt;&gt;$C7,NOT(ISNUMBER(L7)),NOT(ISNUMBER(L6)),(IF(ISNUMBER(G7),G7,F7)-IF(ISNUMBER(G6),G6,F6))=0),"",(L7-L6)/(IF(ISNUMBER(G7),G7,F7)-IF(ISNUMBER(G6),G6,F6)))</f>
        <v/>
      </c>
      <c r="W7" s="30">
        <f>IF(NOT(AND(ISNUMBER(N7),ISNUMBER(P7))),"",(P7-N7)*1440)</f>
        <v/>
      </c>
      <c r="X7" s="28" t="n"/>
      <c r="Y7" s="28" t="n"/>
      <c r="Z7" s="28" t="n"/>
      <c r="AA7" s="31" t="n"/>
      <c r="AB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S01-H동</t>
        </is>
      </c>
      <c r="D8" s="25" t="inlineStr">
        <is>
          <t>측정</t>
        </is>
      </c>
      <c r="E8" s="25" t="inlineStr">
        <is>
          <t>동</t>
        </is>
      </c>
      <c r="F8" s="30" t="n">
        <v>2</v>
      </c>
      <c r="G8" s="29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IF(COUNTIFS($C:$C,$C8,$D:$D,"P0(전)",$L:$L,"&gt;0")&lt;&gt;1,"P0(전) 유효 1개 아님",IF(COUNTIFS($C:$C,$C8,$D:$D,"P0(후)",$L:$L,"&gt;0")&lt;&gt;1,"P0(후) 유효 1개 아님",IF(NOT(AND(ISNUMBER(N8),ISNUMBER(P8),ISNUMBER(H8))),"시각 결측",IF(P8&lt;=N8,"P0 시각 역전",IF(OR(H8&lt;N8,H8&gt;P8),"측정시각 구간 밖","OK")))))</f>
        <v/>
      </c>
      <c r="N8" s="45">
        <f>IF(COUNTIFS($C:$C,$C8,$D:$D,"P0(전)",$L:$L,"&gt;0")&lt;&gt;1,"",SUMIFS($H:$H,$C:$C,$C8,$D:$D,"P0(전)"))</f>
        <v/>
      </c>
      <c r="O8" s="30">
        <f>IF(COUNTIFS($C:$C,$C8,$D:$D,"P0(전)",$L:$L,"&gt;0")&lt;&gt;1,"",SUMIFS($L:$L,$C:$C,$C8,$D:$D,"P0(전)"))</f>
        <v/>
      </c>
      <c r="P8" s="45">
        <f>IF(COUNTIFS($C:$C,$C8,$D:$D,"P0(후)",$L:$L,"&gt;0")&lt;&gt;1,"",SUMIFS($H:$H,$C:$C,$C8,$D:$D,"P0(후)"))</f>
        <v/>
      </c>
      <c r="Q8" s="30">
        <f>IF(COUNTIFS($C:$C,$C8,$D:$D,"P0(후)",$L:$L,"&gt;0")&lt;&gt;1,"",SUMIFS($L:$L,$C:$C,$C8,$D:$D,"P0(후)"))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IF(OR(NOT(ISNUMBER(S8)),IF(ISNUMBER(G8),G8,F8)=0),"",S8/IF(ISNUMBER(G8),G8,F8))</f>
        <v/>
      </c>
      <c r="U8" s="46">
        <f>IF(ISNUMBER(T8),ABS(T8),"")</f>
        <v/>
      </c>
      <c r="V8" s="46">
        <f>IF(OR($D7&lt;&gt;"측정",$C7&lt;&gt;$C8,NOT(ISNUMBER(L8)),NOT(ISNUMBER(L7)),(IF(ISNUMBER(G8),G8,F8)-IF(ISNUMBER(G7),G7,F7))=0),"",(L8-L7)/(IF(ISNUMBER(G8),G8,F8)-IF(ISNUMBER(G7),G7,F7)))</f>
        <v/>
      </c>
      <c r="W8" s="30">
        <f>IF(NOT(AND(ISNUMBER(N8),ISNUMBER(P8))),"",(P8-N8)*1440)</f>
        <v/>
      </c>
      <c r="X8" s="28" t="n"/>
      <c r="Y8" s="28" t="n"/>
      <c r="Z8" s="28" t="n"/>
      <c r="AA8" s="31" t="n"/>
      <c r="AB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S01-H동</t>
        </is>
      </c>
      <c r="D9" s="25" t="inlineStr">
        <is>
          <t>측정</t>
        </is>
      </c>
      <c r="E9" s="25" t="inlineStr">
        <is>
          <t>동</t>
        </is>
      </c>
      <c r="F9" s="30" t="n">
        <v>3</v>
      </c>
      <c r="G9" s="29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IF(COUNTIFS($C:$C,$C9,$D:$D,"P0(전)",$L:$L,"&gt;0")&lt;&gt;1,"P0(전) 유효 1개 아님",IF(COUNTIFS($C:$C,$C9,$D:$D,"P0(후)",$L:$L,"&gt;0")&lt;&gt;1,"P0(후) 유효 1개 아님",IF(NOT(AND(ISNUMBER(N9),ISNUMBER(P9),ISNUMBER(H9))),"시각 결측",IF(P9&lt;=N9,"P0 시각 역전",IF(OR(H9&lt;N9,H9&gt;P9),"측정시각 구간 밖","OK")))))</f>
        <v/>
      </c>
      <c r="N9" s="45">
        <f>IF(COUNTIFS($C:$C,$C9,$D:$D,"P0(전)",$L:$L,"&gt;0")&lt;&gt;1,"",SUMIFS($H:$H,$C:$C,$C9,$D:$D,"P0(전)"))</f>
        <v/>
      </c>
      <c r="O9" s="30">
        <f>IF(COUNTIFS($C:$C,$C9,$D:$D,"P0(전)",$L:$L,"&gt;0")&lt;&gt;1,"",SUMIFS($L:$L,$C:$C,$C9,$D:$D,"P0(전)"))</f>
        <v/>
      </c>
      <c r="P9" s="45">
        <f>IF(COUNTIFS($C:$C,$C9,$D:$D,"P0(후)",$L:$L,"&gt;0")&lt;&gt;1,"",SUMIFS($H:$H,$C:$C,$C9,$D:$D,"P0(후)"))</f>
        <v/>
      </c>
      <c r="Q9" s="30">
        <f>IF(COUNTIFS($C:$C,$C9,$D:$D,"P0(후)",$L:$L,"&gt;0")&lt;&gt;1,"",SUMIFS($L:$L,$C:$C,$C9,$D:$D,"P0(후)"))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IF(OR(NOT(ISNUMBER(S9)),IF(ISNUMBER(G9),G9,F9)=0),"",S9/IF(ISNUMBER(G9),G9,F9))</f>
        <v/>
      </c>
      <c r="U9" s="46">
        <f>IF(ISNUMBER(T9),ABS(T9),"")</f>
        <v/>
      </c>
      <c r="V9" s="46">
        <f>IF(OR($D8&lt;&gt;"측정",$C8&lt;&gt;$C9,NOT(ISNUMBER(L9)),NOT(ISNUMBER(L8)),(IF(ISNUMBER(G9),G9,F9)-IF(ISNUMBER(G8),G8,F8))=0),"",(L9-L8)/(IF(ISNUMBER(G9),G9,F9)-IF(ISNUMBER(G8),G8,F8)))</f>
        <v/>
      </c>
      <c r="W9" s="30">
        <f>IF(NOT(AND(ISNUMBER(N9),ISNUMBER(P9))),"",(P9-N9)*1440)</f>
        <v/>
      </c>
      <c r="X9" s="28" t="n"/>
      <c r="Y9" s="28" t="n"/>
      <c r="Z9" s="28" t="n"/>
      <c r="AA9" s="31" t="n"/>
      <c r="AB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S01-H동</t>
        </is>
      </c>
      <c r="D10" s="25" t="inlineStr">
        <is>
          <t>측정</t>
        </is>
      </c>
      <c r="E10" s="25" t="inlineStr">
        <is>
          <t>동</t>
        </is>
      </c>
      <c r="F10" s="30" t="n">
        <v>4</v>
      </c>
      <c r="G10" s="29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IF(COUNTIFS($C:$C,$C10,$D:$D,"P0(전)",$L:$L,"&gt;0")&lt;&gt;1,"P0(전) 유효 1개 아님",IF(COUNTIFS($C:$C,$C10,$D:$D,"P0(후)",$L:$L,"&gt;0")&lt;&gt;1,"P0(후) 유효 1개 아님",IF(NOT(AND(ISNUMBER(N10),ISNUMBER(P10),ISNUMBER(H10))),"시각 결측",IF(P10&lt;=N10,"P0 시각 역전",IF(OR(H10&lt;N10,H10&gt;P10),"측정시각 구간 밖","OK")))))</f>
        <v/>
      </c>
      <c r="N10" s="45">
        <f>IF(COUNTIFS($C:$C,$C10,$D:$D,"P0(전)",$L:$L,"&gt;0")&lt;&gt;1,"",SUMIFS($H:$H,$C:$C,$C10,$D:$D,"P0(전)"))</f>
        <v/>
      </c>
      <c r="O10" s="30">
        <f>IF(COUNTIFS($C:$C,$C10,$D:$D,"P0(전)",$L:$L,"&gt;0")&lt;&gt;1,"",SUMIFS($L:$L,$C:$C,$C10,$D:$D,"P0(전)"))</f>
        <v/>
      </c>
      <c r="P10" s="45">
        <f>IF(COUNTIFS($C:$C,$C10,$D:$D,"P0(후)",$L:$L,"&gt;0")&lt;&gt;1,"",SUMIFS($H:$H,$C:$C,$C10,$D:$D,"P0(후)"))</f>
        <v/>
      </c>
      <c r="Q10" s="30">
        <f>IF(COUNTIFS($C:$C,$C10,$D:$D,"P0(후)",$L:$L,"&gt;0")&lt;&gt;1,"",SUMIFS($L:$L,$C:$C,$C10,$D:$D,"P0(후)"))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IF(OR(NOT(ISNUMBER(S10)),IF(ISNUMBER(G10),G10,F10)=0),"",S10/IF(ISNUMBER(G10),G10,F10))</f>
        <v/>
      </c>
      <c r="U10" s="46">
        <f>IF(ISNUMBER(T10),ABS(T10),"")</f>
        <v/>
      </c>
      <c r="V10" s="46">
        <f>IF(OR($D9&lt;&gt;"측정",$C9&lt;&gt;$C10,NOT(ISNUMBER(L10)),NOT(ISNUMBER(L9)),(IF(ISNUMBER(G10),G10,F10)-IF(ISNUMBER(G9),G9,F9))=0),"",(L10-L9)/(IF(ISNUMBER(G10),G10,F10)-IF(ISNUMBER(G9),G9,F9)))</f>
        <v/>
      </c>
      <c r="W10" s="30">
        <f>IF(NOT(AND(ISNUMBER(N10),ISNUMBER(P10))),"",(P10-N10)*1440)</f>
        <v/>
      </c>
      <c r="X10" s="28" t="n"/>
      <c r="Y10" s="28" t="n"/>
      <c r="Z10" s="28" t="n"/>
      <c r="AA10" s="31" t="n"/>
      <c r="AB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S01-H동</t>
        </is>
      </c>
      <c r="D11" s="25" t="inlineStr">
        <is>
          <t>측정</t>
        </is>
      </c>
      <c r="E11" s="25" t="inlineStr">
        <is>
          <t>동</t>
        </is>
      </c>
      <c r="F11" s="30" t="n">
        <v>5</v>
      </c>
      <c r="G11" s="29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IF(COUNTIFS($C:$C,$C11,$D:$D,"P0(전)",$L:$L,"&gt;0")&lt;&gt;1,"P0(전) 유효 1개 아님",IF(COUNTIFS($C:$C,$C11,$D:$D,"P0(후)",$L:$L,"&gt;0")&lt;&gt;1,"P0(후) 유효 1개 아님",IF(NOT(AND(ISNUMBER(N11),ISNUMBER(P11),ISNUMBER(H11))),"시각 결측",IF(P11&lt;=N11,"P0 시각 역전",IF(OR(H11&lt;N11,H11&gt;P11),"측정시각 구간 밖","OK")))))</f>
        <v/>
      </c>
      <c r="N11" s="45">
        <f>IF(COUNTIFS($C:$C,$C11,$D:$D,"P0(전)",$L:$L,"&gt;0")&lt;&gt;1,"",SUMIFS($H:$H,$C:$C,$C11,$D:$D,"P0(전)"))</f>
        <v/>
      </c>
      <c r="O11" s="30">
        <f>IF(COUNTIFS($C:$C,$C11,$D:$D,"P0(전)",$L:$L,"&gt;0")&lt;&gt;1,"",SUMIFS($L:$L,$C:$C,$C11,$D:$D,"P0(전)"))</f>
        <v/>
      </c>
      <c r="P11" s="45">
        <f>IF(COUNTIFS($C:$C,$C11,$D:$D,"P0(후)",$L:$L,"&gt;0")&lt;&gt;1,"",SUMIFS($H:$H,$C:$C,$C11,$D:$D,"P0(후)"))</f>
        <v/>
      </c>
      <c r="Q11" s="30">
        <f>IF(COUNTIFS($C:$C,$C11,$D:$D,"P0(후)",$L:$L,"&gt;0")&lt;&gt;1,"",SUMIFS($L:$L,$C:$C,$C11,$D:$D,"P0(후)"))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IF(OR(NOT(ISNUMBER(S11)),IF(ISNUMBER(G11),G11,F11)=0),"",S11/IF(ISNUMBER(G11),G11,F11))</f>
        <v/>
      </c>
      <c r="U11" s="46">
        <f>IF(ISNUMBER(T11),ABS(T11),"")</f>
        <v/>
      </c>
      <c r="V11" s="46">
        <f>IF(OR($D10&lt;&gt;"측정",$C10&lt;&gt;$C11,NOT(ISNUMBER(L11)),NOT(ISNUMBER(L10)),(IF(ISNUMBER(G11),G11,F11)-IF(ISNUMBER(G10),G10,F10))=0),"",(L11-L10)/(IF(ISNUMBER(G11),G11,F11)-IF(ISNUMBER(G10),G10,F10)))</f>
        <v/>
      </c>
      <c r="W11" s="30">
        <f>IF(NOT(AND(ISNUMBER(N11),ISNUMBER(P11))),"",(P11-N11)*1440)</f>
        <v/>
      </c>
      <c r="X11" s="28" t="n"/>
      <c r="Y11" s="28" t="n"/>
      <c r="Z11" s="28" t="n"/>
      <c r="AA11" s="31" t="n"/>
      <c r="AB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S01-H동</t>
        </is>
      </c>
      <c r="D12" s="25" t="inlineStr">
        <is>
          <t>측정</t>
        </is>
      </c>
      <c r="E12" s="25" t="inlineStr">
        <is>
          <t>동</t>
        </is>
      </c>
      <c r="F12" s="30" t="n">
        <v>6</v>
      </c>
      <c r="G12" s="29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IF(COUNTIFS($C:$C,$C12,$D:$D,"P0(전)",$L:$L,"&gt;0")&lt;&gt;1,"P0(전) 유효 1개 아님",IF(COUNTIFS($C:$C,$C12,$D:$D,"P0(후)",$L:$L,"&gt;0")&lt;&gt;1,"P0(후) 유효 1개 아님",IF(NOT(AND(ISNUMBER(N12),ISNUMBER(P12),ISNUMBER(H12))),"시각 결측",IF(P12&lt;=N12,"P0 시각 역전",IF(OR(H12&lt;N12,H12&gt;P12),"측정시각 구간 밖","OK")))))</f>
        <v/>
      </c>
      <c r="N12" s="45">
        <f>IF(COUNTIFS($C:$C,$C12,$D:$D,"P0(전)",$L:$L,"&gt;0")&lt;&gt;1,"",SUMIFS($H:$H,$C:$C,$C12,$D:$D,"P0(전)"))</f>
        <v/>
      </c>
      <c r="O12" s="30">
        <f>IF(COUNTIFS($C:$C,$C12,$D:$D,"P0(전)",$L:$L,"&gt;0")&lt;&gt;1,"",SUMIFS($L:$L,$C:$C,$C12,$D:$D,"P0(전)"))</f>
        <v/>
      </c>
      <c r="P12" s="45">
        <f>IF(COUNTIFS($C:$C,$C12,$D:$D,"P0(후)",$L:$L,"&gt;0")&lt;&gt;1,"",SUMIFS($H:$H,$C:$C,$C12,$D:$D,"P0(후)"))</f>
        <v/>
      </c>
      <c r="Q12" s="30">
        <f>IF(COUNTIFS($C:$C,$C12,$D:$D,"P0(후)",$L:$L,"&gt;0")&lt;&gt;1,"",SUMIFS($L:$L,$C:$C,$C12,$D:$D,"P0(후)"))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IF(OR(NOT(ISNUMBER(S12)),IF(ISNUMBER(G12),G12,F12)=0),"",S12/IF(ISNUMBER(G12),G12,F12))</f>
        <v/>
      </c>
      <c r="U12" s="46">
        <f>IF(ISNUMBER(T12),ABS(T12),"")</f>
        <v/>
      </c>
      <c r="V12" s="46">
        <f>IF(OR($D11&lt;&gt;"측정",$C11&lt;&gt;$C12,NOT(ISNUMBER(L12)),NOT(ISNUMBER(L11)),(IF(ISNUMBER(G12),G12,F12)-IF(ISNUMBER(G11),G11,F11))=0),"",(L12-L11)/(IF(ISNUMBER(G12),G12,F12)-IF(ISNUMBER(G11),G11,F11)))</f>
        <v/>
      </c>
      <c r="W12" s="30">
        <f>IF(NOT(AND(ISNUMBER(N12),ISNUMBER(P12))),"",(P12-N12)*1440)</f>
        <v/>
      </c>
      <c r="X12" s="28" t="n"/>
      <c r="Y12" s="28" t="n"/>
      <c r="Z12" s="28" t="n"/>
      <c r="AA12" s="31" t="n"/>
      <c r="AB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S01-H동</t>
        </is>
      </c>
      <c r="D13" s="25" t="inlineStr">
        <is>
          <t>측정</t>
        </is>
      </c>
      <c r="E13" s="25" t="inlineStr">
        <is>
          <t>동</t>
        </is>
      </c>
      <c r="F13" s="30" t="n">
        <v>7</v>
      </c>
      <c r="G13" s="29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IF(COUNTIFS($C:$C,$C13,$D:$D,"P0(전)",$L:$L,"&gt;0")&lt;&gt;1,"P0(전) 유효 1개 아님",IF(COUNTIFS($C:$C,$C13,$D:$D,"P0(후)",$L:$L,"&gt;0")&lt;&gt;1,"P0(후) 유효 1개 아님",IF(NOT(AND(ISNUMBER(N13),ISNUMBER(P13),ISNUMBER(H13))),"시각 결측",IF(P13&lt;=N13,"P0 시각 역전",IF(OR(H13&lt;N13,H13&gt;P13),"측정시각 구간 밖","OK")))))</f>
        <v/>
      </c>
      <c r="N13" s="45">
        <f>IF(COUNTIFS($C:$C,$C13,$D:$D,"P0(전)",$L:$L,"&gt;0")&lt;&gt;1,"",SUMIFS($H:$H,$C:$C,$C13,$D:$D,"P0(전)"))</f>
        <v/>
      </c>
      <c r="O13" s="30">
        <f>IF(COUNTIFS($C:$C,$C13,$D:$D,"P0(전)",$L:$L,"&gt;0")&lt;&gt;1,"",SUMIFS($L:$L,$C:$C,$C13,$D:$D,"P0(전)"))</f>
        <v/>
      </c>
      <c r="P13" s="45">
        <f>IF(COUNTIFS($C:$C,$C13,$D:$D,"P0(후)",$L:$L,"&gt;0")&lt;&gt;1,"",SUMIFS($H:$H,$C:$C,$C13,$D:$D,"P0(후)"))</f>
        <v/>
      </c>
      <c r="Q13" s="30">
        <f>IF(COUNTIFS($C:$C,$C13,$D:$D,"P0(후)",$L:$L,"&gt;0")&lt;&gt;1,"",SUMIFS($L:$L,$C:$C,$C13,$D:$D,"P0(후)"))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IF(OR(NOT(ISNUMBER(S13)),IF(ISNUMBER(G13),G13,F13)=0),"",S13/IF(ISNUMBER(G13),G13,F13))</f>
        <v/>
      </c>
      <c r="U13" s="46">
        <f>IF(ISNUMBER(T13),ABS(T13),"")</f>
        <v/>
      </c>
      <c r="V13" s="46">
        <f>IF(OR($D12&lt;&gt;"측정",$C12&lt;&gt;$C13,NOT(ISNUMBER(L13)),NOT(ISNUMBER(L12)),(IF(ISNUMBER(G13),G13,F13)-IF(ISNUMBER(G12),G12,F12))=0),"",(L13-L12)/(IF(ISNUMBER(G13),G13,F13)-IF(ISNUMBER(G12),G12,F12)))</f>
        <v/>
      </c>
      <c r="W13" s="30">
        <f>IF(NOT(AND(ISNUMBER(N13),ISNUMBER(P13))),"",(P13-N13)*1440)</f>
        <v/>
      </c>
      <c r="X13" s="28" t="n"/>
      <c r="Y13" s="28" t="n"/>
      <c r="Z13" s="28" t="n"/>
      <c r="AA13" s="31" t="n"/>
      <c r="AB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S01-H동</t>
        </is>
      </c>
      <c r="D14" s="25" t="inlineStr">
        <is>
          <t>측정</t>
        </is>
      </c>
      <c r="E14" s="25" t="inlineStr">
        <is>
          <t>동</t>
        </is>
      </c>
      <c r="F14" s="30" t="n">
        <v>8</v>
      </c>
      <c r="G14" s="29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IF(COUNTIFS($C:$C,$C14,$D:$D,"P0(전)",$L:$L,"&gt;0")&lt;&gt;1,"P0(전) 유효 1개 아님",IF(COUNTIFS($C:$C,$C14,$D:$D,"P0(후)",$L:$L,"&gt;0")&lt;&gt;1,"P0(후) 유효 1개 아님",IF(NOT(AND(ISNUMBER(N14),ISNUMBER(P14),ISNUMBER(H14))),"시각 결측",IF(P14&lt;=N14,"P0 시각 역전",IF(OR(H14&lt;N14,H14&gt;P14),"측정시각 구간 밖","OK")))))</f>
        <v/>
      </c>
      <c r="N14" s="45">
        <f>IF(COUNTIFS($C:$C,$C14,$D:$D,"P0(전)",$L:$L,"&gt;0")&lt;&gt;1,"",SUMIFS($H:$H,$C:$C,$C14,$D:$D,"P0(전)"))</f>
        <v/>
      </c>
      <c r="O14" s="30">
        <f>IF(COUNTIFS($C:$C,$C14,$D:$D,"P0(전)",$L:$L,"&gt;0")&lt;&gt;1,"",SUMIFS($L:$L,$C:$C,$C14,$D:$D,"P0(전)"))</f>
        <v/>
      </c>
      <c r="P14" s="45">
        <f>IF(COUNTIFS($C:$C,$C14,$D:$D,"P0(후)",$L:$L,"&gt;0")&lt;&gt;1,"",SUMIFS($H:$H,$C:$C,$C14,$D:$D,"P0(후)"))</f>
        <v/>
      </c>
      <c r="Q14" s="30">
        <f>IF(COUNTIFS($C:$C,$C14,$D:$D,"P0(후)",$L:$L,"&gt;0")&lt;&gt;1,"",SUMIFS($L:$L,$C:$C,$C14,$D:$D,"P0(후)"))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IF(OR(NOT(ISNUMBER(S14)),IF(ISNUMBER(G14),G14,F14)=0),"",S14/IF(ISNUMBER(G14),G14,F14))</f>
        <v/>
      </c>
      <c r="U14" s="46">
        <f>IF(ISNUMBER(T14),ABS(T14),"")</f>
        <v/>
      </c>
      <c r="V14" s="46">
        <f>IF(OR($D13&lt;&gt;"측정",$C13&lt;&gt;$C14,NOT(ISNUMBER(L14)),NOT(ISNUMBER(L13)),(IF(ISNUMBER(G14),G14,F14)-IF(ISNUMBER(G13),G13,F13))=0),"",(L14-L13)/(IF(ISNUMBER(G14),G14,F14)-IF(ISNUMBER(G13),G13,F13)))</f>
        <v/>
      </c>
      <c r="W14" s="30">
        <f>IF(NOT(AND(ISNUMBER(N14),ISNUMBER(P14))),"",(P14-N14)*1440)</f>
        <v/>
      </c>
      <c r="X14" s="28" t="n"/>
      <c r="Y14" s="28" t="n"/>
      <c r="Z14" s="28" t="n"/>
      <c r="AA14" s="31" t="n"/>
      <c r="AB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S01-H동</t>
        </is>
      </c>
      <c r="D15" s="25" t="inlineStr">
        <is>
          <t>측정</t>
        </is>
      </c>
      <c r="E15" s="25" t="inlineStr">
        <is>
          <t>동</t>
        </is>
      </c>
      <c r="F15" s="30" t="n">
        <v>9</v>
      </c>
      <c r="G15" s="29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IF(COUNTIFS($C:$C,$C15,$D:$D,"P0(전)",$L:$L,"&gt;0")&lt;&gt;1,"P0(전) 유효 1개 아님",IF(COUNTIFS($C:$C,$C15,$D:$D,"P0(후)",$L:$L,"&gt;0")&lt;&gt;1,"P0(후) 유효 1개 아님",IF(NOT(AND(ISNUMBER(N15),ISNUMBER(P15),ISNUMBER(H15))),"시각 결측",IF(P15&lt;=N15,"P0 시각 역전",IF(OR(H15&lt;N15,H15&gt;P15),"측정시각 구간 밖","OK")))))</f>
        <v/>
      </c>
      <c r="N15" s="45">
        <f>IF(COUNTIFS($C:$C,$C15,$D:$D,"P0(전)",$L:$L,"&gt;0")&lt;&gt;1,"",SUMIFS($H:$H,$C:$C,$C15,$D:$D,"P0(전)"))</f>
        <v/>
      </c>
      <c r="O15" s="30">
        <f>IF(COUNTIFS($C:$C,$C15,$D:$D,"P0(전)",$L:$L,"&gt;0")&lt;&gt;1,"",SUMIFS($L:$L,$C:$C,$C15,$D:$D,"P0(전)"))</f>
        <v/>
      </c>
      <c r="P15" s="45">
        <f>IF(COUNTIFS($C:$C,$C15,$D:$D,"P0(후)",$L:$L,"&gt;0")&lt;&gt;1,"",SUMIFS($H:$H,$C:$C,$C15,$D:$D,"P0(후)"))</f>
        <v/>
      </c>
      <c r="Q15" s="30">
        <f>IF(COUNTIFS($C:$C,$C15,$D:$D,"P0(후)",$L:$L,"&gt;0")&lt;&gt;1,"",SUMIFS($L:$L,$C:$C,$C15,$D:$D,"P0(후)"))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IF(OR(NOT(ISNUMBER(S15)),IF(ISNUMBER(G15),G15,F15)=0),"",S15/IF(ISNUMBER(G15),G15,F15))</f>
        <v/>
      </c>
      <c r="U15" s="46">
        <f>IF(ISNUMBER(T15),ABS(T15),"")</f>
        <v/>
      </c>
      <c r="V15" s="46">
        <f>IF(OR($D14&lt;&gt;"측정",$C14&lt;&gt;$C15,NOT(ISNUMBER(L15)),NOT(ISNUMBER(L14)),(IF(ISNUMBER(G15),G15,F15)-IF(ISNUMBER(G14),G14,F14))=0),"",(L15-L14)/(IF(ISNUMBER(G15),G15,F15)-IF(ISNUMBER(G14),G14,F14)))</f>
        <v/>
      </c>
      <c r="W15" s="30">
        <f>IF(NOT(AND(ISNUMBER(N15),ISNUMBER(P15))),"",(P15-N15)*1440)</f>
        <v/>
      </c>
      <c r="X15" s="28" t="n"/>
      <c r="Y15" s="28" t="n"/>
      <c r="Z15" s="28" t="n"/>
      <c r="AA15" s="31" t="n"/>
      <c r="AB15" s="31" t="n"/>
    </row>
    <row r="16">
      <c r="A16" s="25" t="inlineStr">
        <is>
          <t>S01</t>
        </is>
      </c>
      <c r="B16" s="25" t="inlineStr">
        <is>
          <t>태백 신규점</t>
        </is>
      </c>
      <c r="C16" s="25" t="inlineStr">
        <is>
          <t>S01-H동</t>
        </is>
      </c>
      <c r="D16" s="25" t="inlineStr">
        <is>
          <t>측정</t>
        </is>
      </c>
      <c r="E16" s="25" t="inlineStr">
        <is>
          <t>동</t>
        </is>
      </c>
      <c r="F16" s="30" t="n">
        <v>10</v>
      </c>
      <c r="G16" s="29" t="n"/>
      <c r="H16" s="42" t="n"/>
      <c r="I16" s="40" t="n"/>
      <c r="J16" s="40" t="n"/>
      <c r="K16" s="40" t="n"/>
      <c r="L16" s="30">
        <f>IF(COUNT(I16:K16)=0,"",MEDIAN(I16:K16))</f>
        <v/>
      </c>
      <c r="M16" s="25">
        <f>IF(COUNTIFS($C:$C,$C16,$D:$D,"P0(전)",$L:$L,"&gt;0")&lt;&gt;1,"P0(전) 유효 1개 아님",IF(COUNTIFS($C:$C,$C16,$D:$D,"P0(후)",$L:$L,"&gt;0")&lt;&gt;1,"P0(후) 유효 1개 아님",IF(NOT(AND(ISNUMBER(N16),ISNUMBER(P16),ISNUMBER(H16))),"시각 결측",IF(P16&lt;=N16,"P0 시각 역전",IF(OR(H16&lt;N16,H16&gt;P16),"측정시각 구간 밖","OK")))))</f>
        <v/>
      </c>
      <c r="N16" s="45">
        <f>IF(COUNTIFS($C:$C,$C16,$D:$D,"P0(전)",$L:$L,"&gt;0")&lt;&gt;1,"",SUMIFS($H:$H,$C:$C,$C16,$D:$D,"P0(전)"))</f>
        <v/>
      </c>
      <c r="O16" s="30">
        <f>IF(COUNTIFS($C:$C,$C16,$D:$D,"P0(전)",$L:$L,"&gt;0")&lt;&gt;1,"",SUMIFS($L:$L,$C:$C,$C16,$D:$D,"P0(전)"))</f>
        <v/>
      </c>
      <c r="P16" s="45">
        <f>IF(COUNTIFS($C:$C,$C16,$D:$D,"P0(후)",$L:$L,"&gt;0")&lt;&gt;1,"",SUMIFS($H:$H,$C:$C,$C16,$D:$D,"P0(후)"))</f>
        <v/>
      </c>
      <c r="Q16" s="30">
        <f>IF(COUNTIFS($C:$C,$C16,$D:$D,"P0(후)",$L:$L,"&gt;0")&lt;&gt;1,"",SUMIFS($L:$L,$C:$C,$C16,$D:$D,"P0(후)"))</f>
        <v/>
      </c>
      <c r="R16" s="30">
        <f>IF(M16&lt;&gt;"OK","",O16+(Q16-O16)*(H16-N16)/(P16-N16))</f>
        <v/>
      </c>
      <c r="S16" s="30">
        <f>IF(OR(M16&lt;&gt;"OK",NOT(ISNUMBER(L16))),"",L16-R16)</f>
        <v/>
      </c>
      <c r="T16" s="46">
        <f>IF(OR(NOT(ISNUMBER(S16)),IF(ISNUMBER(G16),G16,F16)=0),"",S16/IF(ISNUMBER(G16),G16,F16))</f>
        <v/>
      </c>
      <c r="U16" s="46">
        <f>IF(ISNUMBER(T16),ABS(T16),"")</f>
        <v/>
      </c>
      <c r="V16" s="46">
        <f>IF(OR($D15&lt;&gt;"측정",$C15&lt;&gt;$C16,NOT(ISNUMBER(L16)),NOT(ISNUMBER(L15)),(IF(ISNUMBER(G16),G16,F16)-IF(ISNUMBER(G15),G15,F15))=0),"",(L16-L15)/(IF(ISNUMBER(G16),G16,F16)-IF(ISNUMBER(G15),G15,F15)))</f>
        <v/>
      </c>
      <c r="W16" s="30">
        <f>IF(NOT(AND(ISNUMBER(N16),ISNUMBER(P16))),"",(P16-N16)*1440)</f>
        <v/>
      </c>
      <c r="X16" s="28" t="n"/>
      <c r="Y16" s="28" t="n"/>
      <c r="Z16" s="28" t="n"/>
      <c r="AA16" s="31" t="n"/>
      <c r="AB16" s="31" t="n"/>
    </row>
    <row r="17">
      <c r="A17" s="43" t="inlineStr">
        <is>
          <t>S01</t>
        </is>
      </c>
      <c r="B17" s="43" t="inlineStr">
        <is>
          <t>태백 신규점</t>
        </is>
      </c>
      <c r="C17" s="43" t="inlineStr">
        <is>
          <t>S01-H동</t>
        </is>
      </c>
      <c r="D17" s="43" t="inlineStr">
        <is>
          <t>P0(후)</t>
        </is>
      </c>
      <c r="E17" s="43" t="inlineStr">
        <is>
          <t>동</t>
        </is>
      </c>
      <c r="F17" s="44" t="n"/>
      <c r="G17" s="29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28" t="n"/>
      <c r="Y17" s="28" t="n"/>
      <c r="Z17" s="28" t="n"/>
      <c r="AA17" s="31" t="n"/>
      <c r="AB17" s="31" t="n"/>
    </row>
    <row r="18">
      <c r="A18" s="43" t="inlineStr">
        <is>
          <t>S01</t>
        </is>
      </c>
      <c r="B18" s="43" t="inlineStr">
        <is>
          <t>태백 신규점</t>
        </is>
      </c>
      <c r="C18" s="43" t="inlineStr">
        <is>
          <t>S01-H서</t>
        </is>
      </c>
      <c r="D18" s="43" t="inlineStr">
        <is>
          <t>P0(전)</t>
        </is>
      </c>
      <c r="E18" s="43" t="inlineStr">
        <is>
          <t>서</t>
        </is>
      </c>
      <c r="F18" s="44" t="n"/>
      <c r="G18" s="29" t="n"/>
      <c r="H18" s="42" t="n"/>
      <c r="I18" s="40" t="n"/>
      <c r="J18" s="40" t="n"/>
      <c r="K18" s="40" t="n"/>
      <c r="L18" s="30">
        <f>IF(COUNT(I18:K18)=0,"",MEDIAN(I18:K18))</f>
        <v/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28" t="n"/>
      <c r="Y18" s="28" t="n"/>
      <c r="Z18" s="28" t="n"/>
      <c r="AA18" s="31" t="n"/>
      <c r="AB18" s="31" t="n"/>
    </row>
    <row r="19">
      <c r="A19" s="25" t="inlineStr">
        <is>
          <t>S01</t>
        </is>
      </c>
      <c r="B19" s="25" t="inlineStr">
        <is>
          <t>태백 신규점</t>
        </is>
      </c>
      <c r="C19" s="25" t="inlineStr">
        <is>
          <t>S01-H서</t>
        </is>
      </c>
      <c r="D19" s="25" t="inlineStr">
        <is>
          <t>측정</t>
        </is>
      </c>
      <c r="E19" s="25" t="inlineStr">
        <is>
          <t>서</t>
        </is>
      </c>
      <c r="F19" s="30" t="n">
        <v>0.5</v>
      </c>
      <c r="G19" s="29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IF(COUNTIFS($C:$C,$C19,$D:$D,"P0(전)",$L:$L,"&gt;0")&lt;&gt;1,"P0(전) 유효 1개 아님",IF(COUNTIFS($C:$C,$C19,$D:$D,"P0(후)",$L:$L,"&gt;0")&lt;&gt;1,"P0(후) 유효 1개 아님",IF(NOT(AND(ISNUMBER(N19),ISNUMBER(P19),ISNUMBER(H19))),"시각 결측",IF(P19&lt;=N19,"P0 시각 역전",IF(OR(H19&lt;N19,H19&gt;P19),"측정시각 구간 밖","OK")))))</f>
        <v/>
      </c>
      <c r="N19" s="45">
        <f>IF(COUNTIFS($C:$C,$C19,$D:$D,"P0(전)",$L:$L,"&gt;0")&lt;&gt;1,"",SUMIFS($H:$H,$C:$C,$C19,$D:$D,"P0(전)"))</f>
        <v/>
      </c>
      <c r="O19" s="30">
        <f>IF(COUNTIFS($C:$C,$C19,$D:$D,"P0(전)",$L:$L,"&gt;0")&lt;&gt;1,"",SUMIFS($L:$L,$C:$C,$C19,$D:$D,"P0(전)"))</f>
        <v/>
      </c>
      <c r="P19" s="45">
        <f>IF(COUNTIFS($C:$C,$C19,$D:$D,"P0(후)",$L:$L,"&gt;0")&lt;&gt;1,"",SUMIFS($H:$H,$C:$C,$C19,$D:$D,"P0(후)"))</f>
        <v/>
      </c>
      <c r="Q19" s="30">
        <f>IF(COUNTIFS($C:$C,$C19,$D:$D,"P0(후)",$L:$L,"&gt;0")&lt;&gt;1,"",SUMIFS($L:$L,$C:$C,$C19,$D:$D,"P0(후)"))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IF(OR(NOT(ISNUMBER(S19)),IF(ISNUMBER(G19),G19,F19)=0),"",S19/IF(ISNUMBER(G19),G19,F19))</f>
        <v/>
      </c>
      <c r="U19" s="46">
        <f>IF(ISNUMBER(T19),ABS(T19),"")</f>
        <v/>
      </c>
      <c r="V19" s="46">
        <f>IF(OR($D18&lt;&gt;"측정",$C18&lt;&gt;$C19,NOT(ISNUMBER(L19)),NOT(ISNUMBER(L18)),(IF(ISNUMBER(G19),G19,F19)-IF(ISNUMBER(G18),G18,F18))=0),"",(L19-L18)/(IF(ISNUMBER(G19),G19,F19)-IF(ISNUMBER(G18),G18,F18)))</f>
        <v/>
      </c>
      <c r="W19" s="30">
        <f>IF(NOT(AND(ISNUMBER(N19),ISNUMBER(P19))),"",(P19-N19)*1440)</f>
        <v/>
      </c>
      <c r="X19" s="28" t="n"/>
      <c r="Y19" s="28" t="n"/>
      <c r="Z19" s="28" t="n"/>
      <c r="AA19" s="31" t="n"/>
      <c r="AB19" s="31" t="n"/>
    </row>
    <row r="20">
      <c r="A20" s="25" t="inlineStr">
        <is>
          <t>S01</t>
        </is>
      </c>
      <c r="B20" s="25" t="inlineStr">
        <is>
          <t>태백 신규점</t>
        </is>
      </c>
      <c r="C20" s="25" t="inlineStr">
        <is>
          <t>S01-H서</t>
        </is>
      </c>
      <c r="D20" s="25" t="inlineStr">
        <is>
          <t>측정</t>
        </is>
      </c>
      <c r="E20" s="25" t="inlineStr">
        <is>
          <t>서</t>
        </is>
      </c>
      <c r="F20" s="30" t="n">
        <v>1</v>
      </c>
      <c r="G20" s="29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IF(COUNTIFS($C:$C,$C20,$D:$D,"P0(전)",$L:$L,"&gt;0")&lt;&gt;1,"P0(전) 유효 1개 아님",IF(COUNTIFS($C:$C,$C20,$D:$D,"P0(후)",$L:$L,"&gt;0")&lt;&gt;1,"P0(후) 유효 1개 아님",IF(NOT(AND(ISNUMBER(N20),ISNUMBER(P20),ISNUMBER(H20))),"시각 결측",IF(P20&lt;=N20,"P0 시각 역전",IF(OR(H20&lt;N20,H20&gt;P20),"측정시각 구간 밖","OK")))))</f>
        <v/>
      </c>
      <c r="N20" s="45">
        <f>IF(COUNTIFS($C:$C,$C20,$D:$D,"P0(전)",$L:$L,"&gt;0")&lt;&gt;1,"",SUMIFS($H:$H,$C:$C,$C20,$D:$D,"P0(전)"))</f>
        <v/>
      </c>
      <c r="O20" s="30">
        <f>IF(COUNTIFS($C:$C,$C20,$D:$D,"P0(전)",$L:$L,"&gt;0")&lt;&gt;1,"",SUMIFS($L:$L,$C:$C,$C20,$D:$D,"P0(전)"))</f>
        <v/>
      </c>
      <c r="P20" s="45">
        <f>IF(COUNTIFS($C:$C,$C20,$D:$D,"P0(후)",$L:$L,"&gt;0")&lt;&gt;1,"",SUMIFS($H:$H,$C:$C,$C20,$D:$D,"P0(후)"))</f>
        <v/>
      </c>
      <c r="Q20" s="30">
        <f>IF(COUNTIFS($C:$C,$C20,$D:$D,"P0(후)",$L:$L,"&gt;0")&lt;&gt;1,"",SUMIFS($L:$L,$C:$C,$C20,$D:$D,"P0(후)"))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IF(OR(NOT(ISNUMBER(S20)),IF(ISNUMBER(G20),G20,F20)=0),"",S20/IF(ISNUMBER(G20),G20,F20))</f>
        <v/>
      </c>
      <c r="U20" s="46">
        <f>IF(ISNUMBER(T20),ABS(T20),"")</f>
        <v/>
      </c>
      <c r="V20" s="46">
        <f>IF(OR($D19&lt;&gt;"측정",$C19&lt;&gt;$C20,NOT(ISNUMBER(L20)),NOT(ISNUMBER(L19)),(IF(ISNUMBER(G20),G20,F20)-IF(ISNUMBER(G19),G19,F19))=0),"",(L20-L19)/(IF(ISNUMBER(G20),G20,F20)-IF(ISNUMBER(G19),G19,F19)))</f>
        <v/>
      </c>
      <c r="W20" s="30">
        <f>IF(NOT(AND(ISNUMBER(N20),ISNUMBER(P20))),"",(P20-N20)*1440)</f>
        <v/>
      </c>
      <c r="X20" s="28" t="n"/>
      <c r="Y20" s="28" t="n"/>
      <c r="Z20" s="28" t="n"/>
      <c r="AA20" s="31" t="n"/>
      <c r="AB20" s="31" t="n"/>
    </row>
    <row r="21">
      <c r="A21" s="25" t="inlineStr">
        <is>
          <t>S01</t>
        </is>
      </c>
      <c r="B21" s="25" t="inlineStr">
        <is>
          <t>태백 신규점</t>
        </is>
      </c>
      <c r="C21" s="25" t="inlineStr">
        <is>
          <t>S01-H서</t>
        </is>
      </c>
      <c r="D21" s="25" t="inlineStr">
        <is>
          <t>측정</t>
        </is>
      </c>
      <c r="E21" s="25" t="inlineStr">
        <is>
          <t>서</t>
        </is>
      </c>
      <c r="F21" s="30" t="n">
        <v>2</v>
      </c>
      <c r="G21" s="29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IF(COUNTIFS($C:$C,$C21,$D:$D,"P0(전)",$L:$L,"&gt;0")&lt;&gt;1,"P0(전) 유효 1개 아님",IF(COUNTIFS($C:$C,$C21,$D:$D,"P0(후)",$L:$L,"&gt;0")&lt;&gt;1,"P0(후) 유효 1개 아님",IF(NOT(AND(ISNUMBER(N21),ISNUMBER(P21),ISNUMBER(H21))),"시각 결측",IF(P21&lt;=N21,"P0 시각 역전",IF(OR(H21&lt;N21,H21&gt;P21),"측정시각 구간 밖","OK")))))</f>
        <v/>
      </c>
      <c r="N21" s="45">
        <f>IF(COUNTIFS($C:$C,$C21,$D:$D,"P0(전)",$L:$L,"&gt;0")&lt;&gt;1,"",SUMIFS($H:$H,$C:$C,$C21,$D:$D,"P0(전)"))</f>
        <v/>
      </c>
      <c r="O21" s="30">
        <f>IF(COUNTIFS($C:$C,$C21,$D:$D,"P0(전)",$L:$L,"&gt;0")&lt;&gt;1,"",SUMIFS($L:$L,$C:$C,$C21,$D:$D,"P0(전)"))</f>
        <v/>
      </c>
      <c r="P21" s="45">
        <f>IF(COUNTIFS($C:$C,$C21,$D:$D,"P0(후)",$L:$L,"&gt;0")&lt;&gt;1,"",SUMIFS($H:$H,$C:$C,$C21,$D:$D,"P0(후)"))</f>
        <v/>
      </c>
      <c r="Q21" s="30">
        <f>IF(COUNTIFS($C:$C,$C21,$D:$D,"P0(후)",$L:$L,"&gt;0")&lt;&gt;1,"",SUMIFS($L:$L,$C:$C,$C21,$D:$D,"P0(후)"))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IF(OR(NOT(ISNUMBER(S21)),IF(ISNUMBER(G21),G21,F21)=0),"",S21/IF(ISNUMBER(G21),G21,F21))</f>
        <v/>
      </c>
      <c r="U21" s="46">
        <f>IF(ISNUMBER(T21),ABS(T21),"")</f>
        <v/>
      </c>
      <c r="V21" s="46">
        <f>IF(OR($D20&lt;&gt;"측정",$C20&lt;&gt;$C21,NOT(ISNUMBER(L21)),NOT(ISNUMBER(L20)),(IF(ISNUMBER(G21),G21,F21)-IF(ISNUMBER(G20),G20,F20))=0),"",(L21-L20)/(IF(ISNUMBER(G21),G21,F21)-IF(ISNUMBER(G20),G20,F20)))</f>
        <v/>
      </c>
      <c r="W21" s="30">
        <f>IF(NOT(AND(ISNUMBER(N21),ISNUMBER(P21))),"",(P21-N21)*1440)</f>
        <v/>
      </c>
      <c r="X21" s="28" t="n"/>
      <c r="Y21" s="28" t="n"/>
      <c r="Z21" s="28" t="n"/>
      <c r="AA21" s="31" t="n"/>
      <c r="AB21" s="31" t="n"/>
    </row>
    <row r="22">
      <c r="A22" s="25" t="inlineStr">
        <is>
          <t>S01</t>
        </is>
      </c>
      <c r="B22" s="25" t="inlineStr">
        <is>
          <t>태백 신규점</t>
        </is>
      </c>
      <c r="C22" s="25" t="inlineStr">
        <is>
          <t>S01-H서</t>
        </is>
      </c>
      <c r="D22" s="25" t="inlineStr">
        <is>
          <t>측정</t>
        </is>
      </c>
      <c r="E22" s="25" t="inlineStr">
        <is>
          <t>서</t>
        </is>
      </c>
      <c r="F22" s="30" t="n">
        <v>3</v>
      </c>
      <c r="G22" s="29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IF(COUNTIFS($C:$C,$C22,$D:$D,"P0(전)",$L:$L,"&gt;0")&lt;&gt;1,"P0(전) 유효 1개 아님",IF(COUNTIFS($C:$C,$C22,$D:$D,"P0(후)",$L:$L,"&gt;0")&lt;&gt;1,"P0(후) 유효 1개 아님",IF(NOT(AND(ISNUMBER(N22),ISNUMBER(P22),ISNUMBER(H22))),"시각 결측",IF(P22&lt;=N22,"P0 시각 역전",IF(OR(H22&lt;N22,H22&gt;P22),"측정시각 구간 밖","OK")))))</f>
        <v/>
      </c>
      <c r="N22" s="45">
        <f>IF(COUNTIFS($C:$C,$C22,$D:$D,"P0(전)",$L:$L,"&gt;0")&lt;&gt;1,"",SUMIFS($H:$H,$C:$C,$C22,$D:$D,"P0(전)"))</f>
        <v/>
      </c>
      <c r="O22" s="30">
        <f>IF(COUNTIFS($C:$C,$C22,$D:$D,"P0(전)",$L:$L,"&gt;0")&lt;&gt;1,"",SUMIFS($L:$L,$C:$C,$C22,$D:$D,"P0(전)"))</f>
        <v/>
      </c>
      <c r="P22" s="45">
        <f>IF(COUNTIFS($C:$C,$C22,$D:$D,"P0(후)",$L:$L,"&gt;0")&lt;&gt;1,"",SUMIFS($H:$H,$C:$C,$C22,$D:$D,"P0(후)"))</f>
        <v/>
      </c>
      <c r="Q22" s="30">
        <f>IF(COUNTIFS($C:$C,$C22,$D:$D,"P0(후)",$L:$L,"&gt;0")&lt;&gt;1,"",SUMIFS($L:$L,$C:$C,$C22,$D:$D,"P0(후)"))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IF(OR(NOT(ISNUMBER(S22)),IF(ISNUMBER(G22),G22,F22)=0),"",S22/IF(ISNUMBER(G22),G22,F22))</f>
        <v/>
      </c>
      <c r="U22" s="46">
        <f>IF(ISNUMBER(T22),ABS(T22),"")</f>
        <v/>
      </c>
      <c r="V22" s="46">
        <f>IF(OR($D21&lt;&gt;"측정",$C21&lt;&gt;$C22,NOT(ISNUMBER(L22)),NOT(ISNUMBER(L21)),(IF(ISNUMBER(G22),G22,F22)-IF(ISNUMBER(G21),G21,F21))=0),"",(L22-L21)/(IF(ISNUMBER(G22),G22,F22)-IF(ISNUMBER(G21),G21,F21)))</f>
        <v/>
      </c>
      <c r="W22" s="30">
        <f>IF(NOT(AND(ISNUMBER(N22),ISNUMBER(P22))),"",(P22-N22)*1440)</f>
        <v/>
      </c>
      <c r="X22" s="28" t="n"/>
      <c r="Y22" s="28" t="n"/>
      <c r="Z22" s="28" t="n"/>
      <c r="AA22" s="31" t="n"/>
      <c r="AB22" s="31" t="n"/>
    </row>
    <row r="23">
      <c r="A23" s="25" t="inlineStr">
        <is>
          <t>S01</t>
        </is>
      </c>
      <c r="B23" s="25" t="inlineStr">
        <is>
          <t>태백 신규점</t>
        </is>
      </c>
      <c r="C23" s="25" t="inlineStr">
        <is>
          <t>S01-H서</t>
        </is>
      </c>
      <c r="D23" s="25" t="inlineStr">
        <is>
          <t>측정</t>
        </is>
      </c>
      <c r="E23" s="25" t="inlineStr">
        <is>
          <t>서</t>
        </is>
      </c>
      <c r="F23" s="30" t="n">
        <v>4</v>
      </c>
      <c r="G23" s="29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IF(COUNTIFS($C:$C,$C23,$D:$D,"P0(전)",$L:$L,"&gt;0")&lt;&gt;1,"P0(전) 유효 1개 아님",IF(COUNTIFS($C:$C,$C23,$D:$D,"P0(후)",$L:$L,"&gt;0")&lt;&gt;1,"P0(후) 유효 1개 아님",IF(NOT(AND(ISNUMBER(N23),ISNUMBER(P23),ISNUMBER(H23))),"시각 결측",IF(P23&lt;=N23,"P0 시각 역전",IF(OR(H23&lt;N23,H23&gt;P23),"측정시각 구간 밖","OK")))))</f>
        <v/>
      </c>
      <c r="N23" s="45">
        <f>IF(COUNTIFS($C:$C,$C23,$D:$D,"P0(전)",$L:$L,"&gt;0")&lt;&gt;1,"",SUMIFS($H:$H,$C:$C,$C23,$D:$D,"P0(전)"))</f>
        <v/>
      </c>
      <c r="O23" s="30">
        <f>IF(COUNTIFS($C:$C,$C23,$D:$D,"P0(전)",$L:$L,"&gt;0")&lt;&gt;1,"",SUMIFS($L:$L,$C:$C,$C23,$D:$D,"P0(전)"))</f>
        <v/>
      </c>
      <c r="P23" s="45">
        <f>IF(COUNTIFS($C:$C,$C23,$D:$D,"P0(후)",$L:$L,"&gt;0")&lt;&gt;1,"",SUMIFS($H:$H,$C:$C,$C23,$D:$D,"P0(후)"))</f>
        <v/>
      </c>
      <c r="Q23" s="30">
        <f>IF(COUNTIFS($C:$C,$C23,$D:$D,"P0(후)",$L:$L,"&gt;0")&lt;&gt;1,"",SUMIFS($L:$L,$C:$C,$C23,$D:$D,"P0(후)"))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IF(OR(NOT(ISNUMBER(S23)),IF(ISNUMBER(G23),G23,F23)=0),"",S23/IF(ISNUMBER(G23),G23,F23))</f>
        <v/>
      </c>
      <c r="U23" s="46">
        <f>IF(ISNUMBER(T23),ABS(T23),"")</f>
        <v/>
      </c>
      <c r="V23" s="46">
        <f>IF(OR($D22&lt;&gt;"측정",$C22&lt;&gt;$C23,NOT(ISNUMBER(L23)),NOT(ISNUMBER(L22)),(IF(ISNUMBER(G23),G23,F23)-IF(ISNUMBER(G22),G22,F22))=0),"",(L23-L22)/(IF(ISNUMBER(G23),G23,F23)-IF(ISNUMBER(G22),G22,F22)))</f>
        <v/>
      </c>
      <c r="W23" s="30">
        <f>IF(NOT(AND(ISNUMBER(N23),ISNUMBER(P23))),"",(P23-N23)*1440)</f>
        <v/>
      </c>
      <c r="X23" s="28" t="n"/>
      <c r="Y23" s="28" t="n"/>
      <c r="Z23" s="28" t="n"/>
      <c r="AA23" s="31" t="n"/>
      <c r="AB23" s="31" t="n"/>
    </row>
    <row r="24">
      <c r="A24" s="25" t="inlineStr">
        <is>
          <t>S01</t>
        </is>
      </c>
      <c r="B24" s="25" t="inlineStr">
        <is>
          <t>태백 신규점</t>
        </is>
      </c>
      <c r="C24" s="25" t="inlineStr">
        <is>
          <t>S01-H서</t>
        </is>
      </c>
      <c r="D24" s="25" t="inlineStr">
        <is>
          <t>측정</t>
        </is>
      </c>
      <c r="E24" s="25" t="inlineStr">
        <is>
          <t>서</t>
        </is>
      </c>
      <c r="F24" s="30" t="n">
        <v>5</v>
      </c>
      <c r="G24" s="29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IF(COUNTIFS($C:$C,$C24,$D:$D,"P0(전)",$L:$L,"&gt;0")&lt;&gt;1,"P0(전) 유효 1개 아님",IF(COUNTIFS($C:$C,$C24,$D:$D,"P0(후)",$L:$L,"&gt;0")&lt;&gt;1,"P0(후) 유효 1개 아님",IF(NOT(AND(ISNUMBER(N24),ISNUMBER(P24),ISNUMBER(H24))),"시각 결측",IF(P24&lt;=N24,"P0 시각 역전",IF(OR(H24&lt;N24,H24&gt;P24),"측정시각 구간 밖","OK")))))</f>
        <v/>
      </c>
      <c r="N24" s="45">
        <f>IF(COUNTIFS($C:$C,$C24,$D:$D,"P0(전)",$L:$L,"&gt;0")&lt;&gt;1,"",SUMIFS($H:$H,$C:$C,$C24,$D:$D,"P0(전)"))</f>
        <v/>
      </c>
      <c r="O24" s="30">
        <f>IF(COUNTIFS($C:$C,$C24,$D:$D,"P0(전)",$L:$L,"&gt;0")&lt;&gt;1,"",SUMIFS($L:$L,$C:$C,$C24,$D:$D,"P0(전)"))</f>
        <v/>
      </c>
      <c r="P24" s="45">
        <f>IF(COUNTIFS($C:$C,$C24,$D:$D,"P0(후)",$L:$L,"&gt;0")&lt;&gt;1,"",SUMIFS($H:$H,$C:$C,$C24,$D:$D,"P0(후)"))</f>
        <v/>
      </c>
      <c r="Q24" s="30">
        <f>IF(COUNTIFS($C:$C,$C24,$D:$D,"P0(후)",$L:$L,"&gt;0")&lt;&gt;1,"",SUMIFS($L:$L,$C:$C,$C24,$D:$D,"P0(후)"))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IF(OR(NOT(ISNUMBER(S24)),IF(ISNUMBER(G24),G24,F24)=0),"",S24/IF(ISNUMBER(G24),G24,F24))</f>
        <v/>
      </c>
      <c r="U24" s="46">
        <f>IF(ISNUMBER(T24),ABS(T24),"")</f>
        <v/>
      </c>
      <c r="V24" s="46">
        <f>IF(OR($D23&lt;&gt;"측정",$C23&lt;&gt;$C24,NOT(ISNUMBER(L24)),NOT(ISNUMBER(L23)),(IF(ISNUMBER(G24),G24,F24)-IF(ISNUMBER(G23),G23,F23))=0),"",(L24-L23)/(IF(ISNUMBER(G24),G24,F24)-IF(ISNUMBER(G23),G23,F23)))</f>
        <v/>
      </c>
      <c r="W24" s="30">
        <f>IF(NOT(AND(ISNUMBER(N24),ISNUMBER(P24))),"",(P24-N24)*1440)</f>
        <v/>
      </c>
      <c r="X24" s="28" t="n"/>
      <c r="Y24" s="28" t="n"/>
      <c r="Z24" s="28" t="n"/>
      <c r="AA24" s="31" t="n"/>
      <c r="AB24" s="31" t="n"/>
    </row>
    <row r="25">
      <c r="A25" s="25" t="inlineStr">
        <is>
          <t>S01</t>
        </is>
      </c>
      <c r="B25" s="25" t="inlineStr">
        <is>
          <t>태백 신규점</t>
        </is>
      </c>
      <c r="C25" s="25" t="inlineStr">
        <is>
          <t>S01-H서</t>
        </is>
      </c>
      <c r="D25" s="25" t="inlineStr">
        <is>
          <t>측정</t>
        </is>
      </c>
      <c r="E25" s="25" t="inlineStr">
        <is>
          <t>서</t>
        </is>
      </c>
      <c r="F25" s="30" t="n">
        <v>6</v>
      </c>
      <c r="G25" s="29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IF(COUNTIFS($C:$C,$C25,$D:$D,"P0(전)",$L:$L,"&gt;0")&lt;&gt;1,"P0(전) 유효 1개 아님",IF(COUNTIFS($C:$C,$C25,$D:$D,"P0(후)",$L:$L,"&gt;0")&lt;&gt;1,"P0(후) 유효 1개 아님",IF(NOT(AND(ISNUMBER(N25),ISNUMBER(P25),ISNUMBER(H25))),"시각 결측",IF(P25&lt;=N25,"P0 시각 역전",IF(OR(H25&lt;N25,H25&gt;P25),"측정시각 구간 밖","OK")))))</f>
        <v/>
      </c>
      <c r="N25" s="45">
        <f>IF(COUNTIFS($C:$C,$C25,$D:$D,"P0(전)",$L:$L,"&gt;0")&lt;&gt;1,"",SUMIFS($H:$H,$C:$C,$C25,$D:$D,"P0(전)"))</f>
        <v/>
      </c>
      <c r="O25" s="30">
        <f>IF(COUNTIFS($C:$C,$C25,$D:$D,"P0(전)",$L:$L,"&gt;0")&lt;&gt;1,"",SUMIFS($L:$L,$C:$C,$C25,$D:$D,"P0(전)"))</f>
        <v/>
      </c>
      <c r="P25" s="45">
        <f>IF(COUNTIFS($C:$C,$C25,$D:$D,"P0(후)",$L:$L,"&gt;0")&lt;&gt;1,"",SUMIFS($H:$H,$C:$C,$C25,$D:$D,"P0(후)"))</f>
        <v/>
      </c>
      <c r="Q25" s="30">
        <f>IF(COUNTIFS($C:$C,$C25,$D:$D,"P0(후)",$L:$L,"&gt;0")&lt;&gt;1,"",SUMIFS($L:$L,$C:$C,$C25,$D:$D,"P0(후)"))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IF(OR(NOT(ISNUMBER(S25)),IF(ISNUMBER(G25),G25,F25)=0),"",S25/IF(ISNUMBER(G25),G25,F25))</f>
        <v/>
      </c>
      <c r="U25" s="46">
        <f>IF(ISNUMBER(T25),ABS(T25),"")</f>
        <v/>
      </c>
      <c r="V25" s="46">
        <f>IF(OR($D24&lt;&gt;"측정",$C24&lt;&gt;$C25,NOT(ISNUMBER(L25)),NOT(ISNUMBER(L24)),(IF(ISNUMBER(G25),G25,F25)-IF(ISNUMBER(G24),G24,F24))=0),"",(L25-L24)/(IF(ISNUMBER(G25),G25,F25)-IF(ISNUMBER(G24),G24,F24)))</f>
        <v/>
      </c>
      <c r="W25" s="30">
        <f>IF(NOT(AND(ISNUMBER(N25),ISNUMBER(P25))),"",(P25-N25)*1440)</f>
        <v/>
      </c>
      <c r="X25" s="28" t="n"/>
      <c r="Y25" s="28" t="n"/>
      <c r="Z25" s="28" t="n"/>
      <c r="AA25" s="31" t="n"/>
      <c r="AB25" s="31" t="n"/>
    </row>
    <row r="26">
      <c r="A26" s="25" t="inlineStr">
        <is>
          <t>S01</t>
        </is>
      </c>
      <c r="B26" s="25" t="inlineStr">
        <is>
          <t>태백 신규점</t>
        </is>
      </c>
      <c r="C26" s="25" t="inlineStr">
        <is>
          <t>S01-H서</t>
        </is>
      </c>
      <c r="D26" s="25" t="inlineStr">
        <is>
          <t>측정</t>
        </is>
      </c>
      <c r="E26" s="25" t="inlineStr">
        <is>
          <t>서</t>
        </is>
      </c>
      <c r="F26" s="30" t="n">
        <v>7</v>
      </c>
      <c r="G26" s="29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IF(COUNTIFS($C:$C,$C26,$D:$D,"P0(전)",$L:$L,"&gt;0")&lt;&gt;1,"P0(전) 유효 1개 아님",IF(COUNTIFS($C:$C,$C26,$D:$D,"P0(후)",$L:$L,"&gt;0")&lt;&gt;1,"P0(후) 유효 1개 아님",IF(NOT(AND(ISNUMBER(N26),ISNUMBER(P26),ISNUMBER(H26))),"시각 결측",IF(P26&lt;=N26,"P0 시각 역전",IF(OR(H26&lt;N26,H26&gt;P26),"측정시각 구간 밖","OK")))))</f>
        <v/>
      </c>
      <c r="N26" s="45">
        <f>IF(COUNTIFS($C:$C,$C26,$D:$D,"P0(전)",$L:$L,"&gt;0")&lt;&gt;1,"",SUMIFS($H:$H,$C:$C,$C26,$D:$D,"P0(전)"))</f>
        <v/>
      </c>
      <c r="O26" s="30">
        <f>IF(COUNTIFS($C:$C,$C26,$D:$D,"P0(전)",$L:$L,"&gt;0")&lt;&gt;1,"",SUMIFS($L:$L,$C:$C,$C26,$D:$D,"P0(전)"))</f>
        <v/>
      </c>
      <c r="P26" s="45">
        <f>IF(COUNTIFS($C:$C,$C26,$D:$D,"P0(후)",$L:$L,"&gt;0")&lt;&gt;1,"",SUMIFS($H:$H,$C:$C,$C26,$D:$D,"P0(후)"))</f>
        <v/>
      </c>
      <c r="Q26" s="30">
        <f>IF(COUNTIFS($C:$C,$C26,$D:$D,"P0(후)",$L:$L,"&gt;0")&lt;&gt;1,"",SUMIFS($L:$L,$C:$C,$C26,$D:$D,"P0(후)"))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IF(OR(NOT(ISNUMBER(S26)),IF(ISNUMBER(G26),G26,F26)=0),"",S26/IF(ISNUMBER(G26),G26,F26))</f>
        <v/>
      </c>
      <c r="U26" s="46">
        <f>IF(ISNUMBER(T26),ABS(T26),"")</f>
        <v/>
      </c>
      <c r="V26" s="46">
        <f>IF(OR($D25&lt;&gt;"측정",$C25&lt;&gt;$C26,NOT(ISNUMBER(L26)),NOT(ISNUMBER(L25)),(IF(ISNUMBER(G26),G26,F26)-IF(ISNUMBER(G25),G25,F25))=0),"",(L26-L25)/(IF(ISNUMBER(G26),G26,F26)-IF(ISNUMBER(G25),G25,F25)))</f>
        <v/>
      </c>
      <c r="W26" s="30">
        <f>IF(NOT(AND(ISNUMBER(N26),ISNUMBER(P26))),"",(P26-N26)*1440)</f>
        <v/>
      </c>
      <c r="X26" s="28" t="n"/>
      <c r="Y26" s="28" t="n"/>
      <c r="Z26" s="28" t="n"/>
      <c r="AA26" s="31" t="n"/>
      <c r="AB26" s="31" t="n"/>
    </row>
    <row r="27">
      <c r="A27" s="25" t="inlineStr">
        <is>
          <t>S01</t>
        </is>
      </c>
      <c r="B27" s="25" t="inlineStr">
        <is>
          <t>태백 신규점</t>
        </is>
      </c>
      <c r="C27" s="25" t="inlineStr">
        <is>
          <t>S01-H서</t>
        </is>
      </c>
      <c r="D27" s="25" t="inlineStr">
        <is>
          <t>측정</t>
        </is>
      </c>
      <c r="E27" s="25" t="inlineStr">
        <is>
          <t>서</t>
        </is>
      </c>
      <c r="F27" s="30" t="n">
        <v>8</v>
      </c>
      <c r="G27" s="29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IF(COUNTIFS($C:$C,$C27,$D:$D,"P0(전)",$L:$L,"&gt;0")&lt;&gt;1,"P0(전) 유효 1개 아님",IF(COUNTIFS($C:$C,$C27,$D:$D,"P0(후)",$L:$L,"&gt;0")&lt;&gt;1,"P0(후) 유효 1개 아님",IF(NOT(AND(ISNUMBER(N27),ISNUMBER(P27),ISNUMBER(H27))),"시각 결측",IF(P27&lt;=N27,"P0 시각 역전",IF(OR(H27&lt;N27,H27&gt;P27),"측정시각 구간 밖","OK")))))</f>
        <v/>
      </c>
      <c r="N27" s="45">
        <f>IF(COUNTIFS($C:$C,$C27,$D:$D,"P0(전)",$L:$L,"&gt;0")&lt;&gt;1,"",SUMIFS($H:$H,$C:$C,$C27,$D:$D,"P0(전)"))</f>
        <v/>
      </c>
      <c r="O27" s="30">
        <f>IF(COUNTIFS($C:$C,$C27,$D:$D,"P0(전)",$L:$L,"&gt;0")&lt;&gt;1,"",SUMIFS($L:$L,$C:$C,$C27,$D:$D,"P0(전)"))</f>
        <v/>
      </c>
      <c r="P27" s="45">
        <f>IF(COUNTIFS($C:$C,$C27,$D:$D,"P0(후)",$L:$L,"&gt;0")&lt;&gt;1,"",SUMIFS($H:$H,$C:$C,$C27,$D:$D,"P0(후)"))</f>
        <v/>
      </c>
      <c r="Q27" s="30">
        <f>IF(COUNTIFS($C:$C,$C27,$D:$D,"P0(후)",$L:$L,"&gt;0")&lt;&gt;1,"",SUMIFS($L:$L,$C:$C,$C27,$D:$D,"P0(후)"))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IF(OR(NOT(ISNUMBER(S27)),IF(ISNUMBER(G27),G27,F27)=0),"",S27/IF(ISNUMBER(G27),G27,F27))</f>
        <v/>
      </c>
      <c r="U27" s="46">
        <f>IF(ISNUMBER(T27),ABS(T27),"")</f>
        <v/>
      </c>
      <c r="V27" s="46">
        <f>IF(OR($D26&lt;&gt;"측정",$C26&lt;&gt;$C27,NOT(ISNUMBER(L27)),NOT(ISNUMBER(L26)),(IF(ISNUMBER(G27),G27,F27)-IF(ISNUMBER(G26),G26,F26))=0),"",(L27-L26)/(IF(ISNUMBER(G27),G27,F27)-IF(ISNUMBER(G26),G26,F26)))</f>
        <v/>
      </c>
      <c r="W27" s="30">
        <f>IF(NOT(AND(ISNUMBER(N27),ISNUMBER(P27))),"",(P27-N27)*1440)</f>
        <v/>
      </c>
      <c r="X27" s="28" t="n"/>
      <c r="Y27" s="28" t="n"/>
      <c r="Z27" s="28" t="n"/>
      <c r="AA27" s="31" t="n"/>
      <c r="AB27" s="31" t="n"/>
    </row>
    <row r="28">
      <c r="A28" s="25" t="inlineStr">
        <is>
          <t>S01</t>
        </is>
      </c>
      <c r="B28" s="25" t="inlineStr">
        <is>
          <t>태백 신규점</t>
        </is>
      </c>
      <c r="C28" s="25" t="inlineStr">
        <is>
          <t>S01-H서</t>
        </is>
      </c>
      <c r="D28" s="25" t="inlineStr">
        <is>
          <t>측정</t>
        </is>
      </c>
      <c r="E28" s="25" t="inlineStr">
        <is>
          <t>서</t>
        </is>
      </c>
      <c r="F28" s="30" t="n">
        <v>9</v>
      </c>
      <c r="G28" s="29" t="n"/>
      <c r="H28" s="42" t="n"/>
      <c r="I28" s="40" t="n"/>
      <c r="J28" s="40" t="n"/>
      <c r="K28" s="40" t="n"/>
      <c r="L28" s="30">
        <f>IF(COUNT(I28:K28)=0,"",MEDIAN(I28:K28))</f>
        <v/>
      </c>
      <c r="M28" s="25">
        <f>IF(COUNTIFS($C:$C,$C28,$D:$D,"P0(전)",$L:$L,"&gt;0")&lt;&gt;1,"P0(전) 유효 1개 아님",IF(COUNTIFS($C:$C,$C28,$D:$D,"P0(후)",$L:$L,"&gt;0")&lt;&gt;1,"P0(후) 유효 1개 아님",IF(NOT(AND(ISNUMBER(N28),ISNUMBER(P28),ISNUMBER(H28))),"시각 결측",IF(P28&lt;=N28,"P0 시각 역전",IF(OR(H28&lt;N28,H28&gt;P28),"측정시각 구간 밖","OK")))))</f>
        <v/>
      </c>
      <c r="N28" s="45">
        <f>IF(COUNTIFS($C:$C,$C28,$D:$D,"P0(전)",$L:$L,"&gt;0")&lt;&gt;1,"",SUMIFS($H:$H,$C:$C,$C28,$D:$D,"P0(전)"))</f>
        <v/>
      </c>
      <c r="O28" s="30">
        <f>IF(COUNTIFS($C:$C,$C28,$D:$D,"P0(전)",$L:$L,"&gt;0")&lt;&gt;1,"",SUMIFS($L:$L,$C:$C,$C28,$D:$D,"P0(전)"))</f>
        <v/>
      </c>
      <c r="P28" s="45">
        <f>IF(COUNTIFS($C:$C,$C28,$D:$D,"P0(후)",$L:$L,"&gt;0")&lt;&gt;1,"",SUMIFS($H:$H,$C:$C,$C28,$D:$D,"P0(후)"))</f>
        <v/>
      </c>
      <c r="Q28" s="30">
        <f>IF(COUNTIFS($C:$C,$C28,$D:$D,"P0(후)",$L:$L,"&gt;0")&lt;&gt;1,"",SUMIFS($L:$L,$C:$C,$C28,$D:$D,"P0(후)"))</f>
        <v/>
      </c>
      <c r="R28" s="30">
        <f>IF(M28&lt;&gt;"OK","",O28+(Q28-O28)*(H28-N28)/(P28-N28))</f>
        <v/>
      </c>
      <c r="S28" s="30">
        <f>IF(OR(M28&lt;&gt;"OK",NOT(ISNUMBER(L28))),"",L28-R28)</f>
        <v/>
      </c>
      <c r="T28" s="46">
        <f>IF(OR(NOT(ISNUMBER(S28)),IF(ISNUMBER(G28),G28,F28)=0),"",S28/IF(ISNUMBER(G28),G28,F28))</f>
        <v/>
      </c>
      <c r="U28" s="46">
        <f>IF(ISNUMBER(T28),ABS(T28),"")</f>
        <v/>
      </c>
      <c r="V28" s="46">
        <f>IF(OR($D27&lt;&gt;"측정",$C27&lt;&gt;$C28,NOT(ISNUMBER(L28)),NOT(ISNUMBER(L27)),(IF(ISNUMBER(G28),G28,F28)-IF(ISNUMBER(G27),G27,F27))=0),"",(L28-L27)/(IF(ISNUMBER(G28),G28,F28)-IF(ISNUMBER(G27),G27,F27)))</f>
        <v/>
      </c>
      <c r="W28" s="30">
        <f>IF(NOT(AND(ISNUMBER(N28),ISNUMBER(P28))),"",(P28-N28)*1440)</f>
        <v/>
      </c>
      <c r="X28" s="28" t="n"/>
      <c r="Y28" s="28" t="n"/>
      <c r="Z28" s="28" t="n"/>
      <c r="AA28" s="31" t="n"/>
      <c r="AB28" s="31" t="n"/>
    </row>
    <row r="29">
      <c r="A29" s="25" t="inlineStr">
        <is>
          <t>S01</t>
        </is>
      </c>
      <c r="B29" s="25" t="inlineStr">
        <is>
          <t>태백 신규점</t>
        </is>
      </c>
      <c r="C29" s="25" t="inlineStr">
        <is>
          <t>S01-H서</t>
        </is>
      </c>
      <c r="D29" s="25" t="inlineStr">
        <is>
          <t>측정</t>
        </is>
      </c>
      <c r="E29" s="25" t="inlineStr">
        <is>
          <t>서</t>
        </is>
      </c>
      <c r="F29" s="30" t="n">
        <v>10</v>
      </c>
      <c r="G29" s="29" t="n"/>
      <c r="H29" s="42" t="n"/>
      <c r="I29" s="40" t="n"/>
      <c r="J29" s="40" t="n"/>
      <c r="K29" s="40" t="n"/>
      <c r="L29" s="30">
        <f>IF(COUNT(I29:K29)=0,"",MEDIAN(I29:K29))</f>
        <v/>
      </c>
      <c r="M29" s="25">
        <f>IF(COUNTIFS($C:$C,$C29,$D:$D,"P0(전)",$L:$L,"&gt;0")&lt;&gt;1,"P0(전) 유효 1개 아님",IF(COUNTIFS($C:$C,$C29,$D:$D,"P0(후)",$L:$L,"&gt;0")&lt;&gt;1,"P0(후) 유효 1개 아님",IF(NOT(AND(ISNUMBER(N29),ISNUMBER(P29),ISNUMBER(H29))),"시각 결측",IF(P29&lt;=N29,"P0 시각 역전",IF(OR(H29&lt;N29,H29&gt;P29),"측정시각 구간 밖","OK")))))</f>
        <v/>
      </c>
      <c r="N29" s="45">
        <f>IF(COUNTIFS($C:$C,$C29,$D:$D,"P0(전)",$L:$L,"&gt;0")&lt;&gt;1,"",SUMIFS($H:$H,$C:$C,$C29,$D:$D,"P0(전)"))</f>
        <v/>
      </c>
      <c r="O29" s="30">
        <f>IF(COUNTIFS($C:$C,$C29,$D:$D,"P0(전)",$L:$L,"&gt;0")&lt;&gt;1,"",SUMIFS($L:$L,$C:$C,$C29,$D:$D,"P0(전)"))</f>
        <v/>
      </c>
      <c r="P29" s="45">
        <f>IF(COUNTIFS($C:$C,$C29,$D:$D,"P0(후)",$L:$L,"&gt;0")&lt;&gt;1,"",SUMIFS($H:$H,$C:$C,$C29,$D:$D,"P0(후)"))</f>
        <v/>
      </c>
      <c r="Q29" s="30">
        <f>IF(COUNTIFS($C:$C,$C29,$D:$D,"P0(후)",$L:$L,"&gt;0")&lt;&gt;1,"",SUMIFS($L:$L,$C:$C,$C29,$D:$D,"P0(후)"))</f>
        <v/>
      </c>
      <c r="R29" s="30">
        <f>IF(M29&lt;&gt;"OK","",O29+(Q29-O29)*(H29-N29)/(P29-N29))</f>
        <v/>
      </c>
      <c r="S29" s="30">
        <f>IF(OR(M29&lt;&gt;"OK",NOT(ISNUMBER(L29))),"",L29-R29)</f>
        <v/>
      </c>
      <c r="T29" s="46">
        <f>IF(OR(NOT(ISNUMBER(S29)),IF(ISNUMBER(G29),G29,F29)=0),"",S29/IF(ISNUMBER(G29),G29,F29))</f>
        <v/>
      </c>
      <c r="U29" s="46">
        <f>IF(ISNUMBER(T29),ABS(T29),"")</f>
        <v/>
      </c>
      <c r="V29" s="46">
        <f>IF(OR($D28&lt;&gt;"측정",$C28&lt;&gt;$C29,NOT(ISNUMBER(L29)),NOT(ISNUMBER(L28)),(IF(ISNUMBER(G29),G29,F29)-IF(ISNUMBER(G28),G28,F28))=0),"",(L29-L28)/(IF(ISNUMBER(G29),G29,F29)-IF(ISNUMBER(G28),G28,F28)))</f>
        <v/>
      </c>
      <c r="W29" s="30">
        <f>IF(NOT(AND(ISNUMBER(N29),ISNUMBER(P29))),"",(P29-N29)*1440)</f>
        <v/>
      </c>
      <c r="X29" s="28" t="n"/>
      <c r="Y29" s="28" t="n"/>
      <c r="Z29" s="28" t="n"/>
      <c r="AA29" s="31" t="n"/>
      <c r="AB29" s="31" t="n"/>
    </row>
    <row r="30">
      <c r="A30" s="43" t="inlineStr">
        <is>
          <t>S01</t>
        </is>
      </c>
      <c r="B30" s="43" t="inlineStr">
        <is>
          <t>태백 신규점</t>
        </is>
      </c>
      <c r="C30" s="43" t="inlineStr">
        <is>
          <t>S01-H서</t>
        </is>
      </c>
      <c r="D30" s="43" t="inlineStr">
        <is>
          <t>P0(후)</t>
        </is>
      </c>
      <c r="E30" s="43" t="inlineStr">
        <is>
          <t>서</t>
        </is>
      </c>
      <c r="F30" s="44" t="n"/>
      <c r="G30" s="29" t="n"/>
      <c r="H30" s="42" t="n"/>
      <c r="I30" s="40" t="n"/>
      <c r="J30" s="40" t="n"/>
      <c r="K30" s="40" t="n"/>
      <c r="L30" s="30">
        <f>IF(COUNT(I30:K30)=0,"",MEDIAN(I30:K30))</f>
        <v/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28" t="n"/>
      <c r="Y30" s="28" t="n"/>
      <c r="Z30" s="28" t="n"/>
      <c r="AA30" s="31" t="n"/>
      <c r="AB30" s="31" t="n"/>
    </row>
    <row r="31">
      <c r="A31" s="43" t="inlineStr">
        <is>
          <t>S01</t>
        </is>
      </c>
      <c r="B31" s="43" t="inlineStr">
        <is>
          <t>태백 신규점</t>
        </is>
      </c>
      <c r="C31" s="43" t="inlineStr">
        <is>
          <t>S01-H남</t>
        </is>
      </c>
      <c r="D31" s="43" t="inlineStr">
        <is>
          <t>P0(전)</t>
        </is>
      </c>
      <c r="E31" s="43" t="inlineStr">
        <is>
          <t>남</t>
        </is>
      </c>
      <c r="F31" s="44" t="n"/>
      <c r="G31" s="29" t="n"/>
      <c r="H31" s="42" t="n"/>
      <c r="I31" s="40" t="n"/>
      <c r="J31" s="40" t="n"/>
      <c r="K31" s="40" t="n"/>
      <c r="L31" s="30">
        <f>IF(COUNT(I31:K31)=0,"",MEDIAN(I31:K31))</f>
        <v/>
      </c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28" t="n"/>
      <c r="Y31" s="28" t="n"/>
      <c r="Z31" s="28" t="n"/>
      <c r="AA31" s="31" t="n"/>
      <c r="AB31" s="31" t="n"/>
    </row>
    <row r="32">
      <c r="A32" s="25" t="inlineStr">
        <is>
          <t>S01</t>
        </is>
      </c>
      <c r="B32" s="25" t="inlineStr">
        <is>
          <t>태백 신규점</t>
        </is>
      </c>
      <c r="C32" s="25" t="inlineStr">
        <is>
          <t>S01-H남</t>
        </is>
      </c>
      <c r="D32" s="25" t="inlineStr">
        <is>
          <t>측정</t>
        </is>
      </c>
      <c r="E32" s="25" t="inlineStr">
        <is>
          <t>남</t>
        </is>
      </c>
      <c r="F32" s="30" t="n">
        <v>0.5</v>
      </c>
      <c r="G32" s="29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IF(COUNTIFS($C:$C,$C32,$D:$D,"P0(전)",$L:$L,"&gt;0")&lt;&gt;1,"P0(전) 유효 1개 아님",IF(COUNTIFS($C:$C,$C32,$D:$D,"P0(후)",$L:$L,"&gt;0")&lt;&gt;1,"P0(후) 유효 1개 아님",IF(NOT(AND(ISNUMBER(N32),ISNUMBER(P32),ISNUMBER(H32))),"시각 결측",IF(P32&lt;=N32,"P0 시각 역전",IF(OR(H32&lt;N32,H32&gt;P32),"측정시각 구간 밖","OK")))))</f>
        <v/>
      </c>
      <c r="N32" s="45">
        <f>IF(COUNTIFS($C:$C,$C32,$D:$D,"P0(전)",$L:$L,"&gt;0")&lt;&gt;1,"",SUMIFS($H:$H,$C:$C,$C32,$D:$D,"P0(전)"))</f>
        <v/>
      </c>
      <c r="O32" s="30">
        <f>IF(COUNTIFS($C:$C,$C32,$D:$D,"P0(전)",$L:$L,"&gt;0")&lt;&gt;1,"",SUMIFS($L:$L,$C:$C,$C32,$D:$D,"P0(전)"))</f>
        <v/>
      </c>
      <c r="P32" s="45">
        <f>IF(COUNTIFS($C:$C,$C32,$D:$D,"P0(후)",$L:$L,"&gt;0")&lt;&gt;1,"",SUMIFS($H:$H,$C:$C,$C32,$D:$D,"P0(후)"))</f>
        <v/>
      </c>
      <c r="Q32" s="30">
        <f>IF(COUNTIFS($C:$C,$C32,$D:$D,"P0(후)",$L:$L,"&gt;0")&lt;&gt;1,"",SUMIFS($L:$L,$C:$C,$C32,$D:$D,"P0(후)"))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IF(OR(NOT(ISNUMBER(S32)),IF(ISNUMBER(G32),G32,F32)=0),"",S32/IF(ISNUMBER(G32),G32,F32))</f>
        <v/>
      </c>
      <c r="U32" s="46">
        <f>IF(ISNUMBER(T32),ABS(T32),"")</f>
        <v/>
      </c>
      <c r="V32" s="46">
        <f>IF(OR($D31&lt;&gt;"측정",$C31&lt;&gt;$C32,NOT(ISNUMBER(L32)),NOT(ISNUMBER(L31)),(IF(ISNUMBER(G32),G32,F32)-IF(ISNUMBER(G31),G31,F31))=0),"",(L32-L31)/(IF(ISNUMBER(G32),G32,F32)-IF(ISNUMBER(G31),G31,F31)))</f>
        <v/>
      </c>
      <c r="W32" s="30">
        <f>IF(NOT(AND(ISNUMBER(N32),ISNUMBER(P32))),"",(P32-N32)*1440)</f>
        <v/>
      </c>
      <c r="X32" s="28" t="n"/>
      <c r="Y32" s="28" t="n"/>
      <c r="Z32" s="28" t="n"/>
      <c r="AA32" s="31" t="n"/>
      <c r="AB32" s="31" t="n"/>
    </row>
    <row r="33">
      <c r="A33" s="25" t="inlineStr">
        <is>
          <t>S01</t>
        </is>
      </c>
      <c r="B33" s="25" t="inlineStr">
        <is>
          <t>태백 신규점</t>
        </is>
      </c>
      <c r="C33" s="25" t="inlineStr">
        <is>
          <t>S01-H남</t>
        </is>
      </c>
      <c r="D33" s="25" t="inlineStr">
        <is>
          <t>측정</t>
        </is>
      </c>
      <c r="E33" s="25" t="inlineStr">
        <is>
          <t>남</t>
        </is>
      </c>
      <c r="F33" s="30" t="n">
        <v>1</v>
      </c>
      <c r="G33" s="29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IF(COUNTIFS($C:$C,$C33,$D:$D,"P0(전)",$L:$L,"&gt;0")&lt;&gt;1,"P0(전) 유효 1개 아님",IF(COUNTIFS($C:$C,$C33,$D:$D,"P0(후)",$L:$L,"&gt;0")&lt;&gt;1,"P0(후) 유효 1개 아님",IF(NOT(AND(ISNUMBER(N33),ISNUMBER(P33),ISNUMBER(H33))),"시각 결측",IF(P33&lt;=N33,"P0 시각 역전",IF(OR(H33&lt;N33,H33&gt;P33),"측정시각 구간 밖","OK")))))</f>
        <v/>
      </c>
      <c r="N33" s="45">
        <f>IF(COUNTIFS($C:$C,$C33,$D:$D,"P0(전)",$L:$L,"&gt;0")&lt;&gt;1,"",SUMIFS($H:$H,$C:$C,$C33,$D:$D,"P0(전)"))</f>
        <v/>
      </c>
      <c r="O33" s="30">
        <f>IF(COUNTIFS($C:$C,$C33,$D:$D,"P0(전)",$L:$L,"&gt;0")&lt;&gt;1,"",SUMIFS($L:$L,$C:$C,$C33,$D:$D,"P0(전)"))</f>
        <v/>
      </c>
      <c r="P33" s="45">
        <f>IF(COUNTIFS($C:$C,$C33,$D:$D,"P0(후)",$L:$L,"&gt;0")&lt;&gt;1,"",SUMIFS($H:$H,$C:$C,$C33,$D:$D,"P0(후)"))</f>
        <v/>
      </c>
      <c r="Q33" s="30">
        <f>IF(COUNTIFS($C:$C,$C33,$D:$D,"P0(후)",$L:$L,"&gt;0")&lt;&gt;1,"",SUMIFS($L:$L,$C:$C,$C33,$D:$D,"P0(후)"))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IF(OR(NOT(ISNUMBER(S33)),IF(ISNUMBER(G33),G33,F33)=0),"",S33/IF(ISNUMBER(G33),G33,F33))</f>
        <v/>
      </c>
      <c r="U33" s="46">
        <f>IF(ISNUMBER(T33),ABS(T33),"")</f>
        <v/>
      </c>
      <c r="V33" s="46">
        <f>IF(OR($D32&lt;&gt;"측정",$C32&lt;&gt;$C33,NOT(ISNUMBER(L33)),NOT(ISNUMBER(L32)),(IF(ISNUMBER(G33),G33,F33)-IF(ISNUMBER(G32),G32,F32))=0),"",(L33-L32)/(IF(ISNUMBER(G33),G33,F33)-IF(ISNUMBER(G32),G32,F32)))</f>
        <v/>
      </c>
      <c r="W33" s="30">
        <f>IF(NOT(AND(ISNUMBER(N33),ISNUMBER(P33))),"",(P33-N33)*1440)</f>
        <v/>
      </c>
      <c r="X33" s="28" t="n"/>
      <c r="Y33" s="28" t="n"/>
      <c r="Z33" s="28" t="n"/>
      <c r="AA33" s="31" t="n"/>
      <c r="AB33" s="31" t="n"/>
    </row>
    <row r="34">
      <c r="A34" s="25" t="inlineStr">
        <is>
          <t>S01</t>
        </is>
      </c>
      <c r="B34" s="25" t="inlineStr">
        <is>
          <t>태백 신규점</t>
        </is>
      </c>
      <c r="C34" s="25" t="inlineStr">
        <is>
          <t>S01-H남</t>
        </is>
      </c>
      <c r="D34" s="25" t="inlineStr">
        <is>
          <t>측정</t>
        </is>
      </c>
      <c r="E34" s="25" t="inlineStr">
        <is>
          <t>남</t>
        </is>
      </c>
      <c r="F34" s="30" t="n">
        <v>2</v>
      </c>
      <c r="G34" s="29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IF(COUNTIFS($C:$C,$C34,$D:$D,"P0(전)",$L:$L,"&gt;0")&lt;&gt;1,"P0(전) 유효 1개 아님",IF(COUNTIFS($C:$C,$C34,$D:$D,"P0(후)",$L:$L,"&gt;0")&lt;&gt;1,"P0(후) 유효 1개 아님",IF(NOT(AND(ISNUMBER(N34),ISNUMBER(P34),ISNUMBER(H34))),"시각 결측",IF(P34&lt;=N34,"P0 시각 역전",IF(OR(H34&lt;N34,H34&gt;P34),"측정시각 구간 밖","OK")))))</f>
        <v/>
      </c>
      <c r="N34" s="45">
        <f>IF(COUNTIFS($C:$C,$C34,$D:$D,"P0(전)",$L:$L,"&gt;0")&lt;&gt;1,"",SUMIFS($H:$H,$C:$C,$C34,$D:$D,"P0(전)"))</f>
        <v/>
      </c>
      <c r="O34" s="30">
        <f>IF(COUNTIFS($C:$C,$C34,$D:$D,"P0(전)",$L:$L,"&gt;0")&lt;&gt;1,"",SUMIFS($L:$L,$C:$C,$C34,$D:$D,"P0(전)"))</f>
        <v/>
      </c>
      <c r="P34" s="45">
        <f>IF(COUNTIFS($C:$C,$C34,$D:$D,"P0(후)",$L:$L,"&gt;0")&lt;&gt;1,"",SUMIFS($H:$H,$C:$C,$C34,$D:$D,"P0(후)"))</f>
        <v/>
      </c>
      <c r="Q34" s="30">
        <f>IF(COUNTIFS($C:$C,$C34,$D:$D,"P0(후)",$L:$L,"&gt;0")&lt;&gt;1,"",SUMIFS($L:$L,$C:$C,$C34,$D:$D,"P0(후)"))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IF(OR(NOT(ISNUMBER(S34)),IF(ISNUMBER(G34),G34,F34)=0),"",S34/IF(ISNUMBER(G34),G34,F34))</f>
        <v/>
      </c>
      <c r="U34" s="46">
        <f>IF(ISNUMBER(T34),ABS(T34),"")</f>
        <v/>
      </c>
      <c r="V34" s="46">
        <f>IF(OR($D33&lt;&gt;"측정",$C33&lt;&gt;$C34,NOT(ISNUMBER(L34)),NOT(ISNUMBER(L33)),(IF(ISNUMBER(G34),G34,F34)-IF(ISNUMBER(G33),G33,F33))=0),"",(L34-L33)/(IF(ISNUMBER(G34),G34,F34)-IF(ISNUMBER(G33),G33,F33)))</f>
        <v/>
      </c>
      <c r="W34" s="30">
        <f>IF(NOT(AND(ISNUMBER(N34),ISNUMBER(P34))),"",(P34-N34)*1440)</f>
        <v/>
      </c>
      <c r="X34" s="28" t="n"/>
      <c r="Y34" s="28" t="n"/>
      <c r="Z34" s="28" t="n"/>
      <c r="AA34" s="31" t="n"/>
      <c r="AB34" s="31" t="n"/>
    </row>
    <row r="35">
      <c r="A35" s="25" t="inlineStr">
        <is>
          <t>S01</t>
        </is>
      </c>
      <c r="B35" s="25" t="inlineStr">
        <is>
          <t>태백 신규점</t>
        </is>
      </c>
      <c r="C35" s="25" t="inlineStr">
        <is>
          <t>S01-H남</t>
        </is>
      </c>
      <c r="D35" s="25" t="inlineStr">
        <is>
          <t>측정</t>
        </is>
      </c>
      <c r="E35" s="25" t="inlineStr">
        <is>
          <t>남</t>
        </is>
      </c>
      <c r="F35" s="30" t="n">
        <v>3</v>
      </c>
      <c r="G35" s="29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IF(COUNTIFS($C:$C,$C35,$D:$D,"P0(전)",$L:$L,"&gt;0")&lt;&gt;1,"P0(전) 유효 1개 아님",IF(COUNTIFS($C:$C,$C35,$D:$D,"P0(후)",$L:$L,"&gt;0")&lt;&gt;1,"P0(후) 유효 1개 아님",IF(NOT(AND(ISNUMBER(N35),ISNUMBER(P35),ISNUMBER(H35))),"시각 결측",IF(P35&lt;=N35,"P0 시각 역전",IF(OR(H35&lt;N35,H35&gt;P35),"측정시각 구간 밖","OK")))))</f>
        <v/>
      </c>
      <c r="N35" s="45">
        <f>IF(COUNTIFS($C:$C,$C35,$D:$D,"P0(전)",$L:$L,"&gt;0")&lt;&gt;1,"",SUMIFS($H:$H,$C:$C,$C35,$D:$D,"P0(전)"))</f>
        <v/>
      </c>
      <c r="O35" s="30">
        <f>IF(COUNTIFS($C:$C,$C35,$D:$D,"P0(전)",$L:$L,"&gt;0")&lt;&gt;1,"",SUMIFS($L:$L,$C:$C,$C35,$D:$D,"P0(전)"))</f>
        <v/>
      </c>
      <c r="P35" s="45">
        <f>IF(COUNTIFS($C:$C,$C35,$D:$D,"P0(후)",$L:$L,"&gt;0")&lt;&gt;1,"",SUMIFS($H:$H,$C:$C,$C35,$D:$D,"P0(후)"))</f>
        <v/>
      </c>
      <c r="Q35" s="30">
        <f>IF(COUNTIFS($C:$C,$C35,$D:$D,"P0(후)",$L:$L,"&gt;0")&lt;&gt;1,"",SUMIFS($L:$L,$C:$C,$C35,$D:$D,"P0(후)"))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IF(OR(NOT(ISNUMBER(S35)),IF(ISNUMBER(G35),G35,F35)=0),"",S35/IF(ISNUMBER(G35),G35,F35))</f>
        <v/>
      </c>
      <c r="U35" s="46">
        <f>IF(ISNUMBER(T35),ABS(T35),"")</f>
        <v/>
      </c>
      <c r="V35" s="46">
        <f>IF(OR($D34&lt;&gt;"측정",$C34&lt;&gt;$C35,NOT(ISNUMBER(L35)),NOT(ISNUMBER(L34)),(IF(ISNUMBER(G35),G35,F35)-IF(ISNUMBER(G34),G34,F34))=0),"",(L35-L34)/(IF(ISNUMBER(G35),G35,F35)-IF(ISNUMBER(G34),G34,F34)))</f>
        <v/>
      </c>
      <c r="W35" s="30">
        <f>IF(NOT(AND(ISNUMBER(N35),ISNUMBER(P35))),"",(P35-N35)*1440)</f>
        <v/>
      </c>
      <c r="X35" s="28" t="n"/>
      <c r="Y35" s="28" t="n"/>
      <c r="Z35" s="28" t="n"/>
      <c r="AA35" s="31" t="n"/>
      <c r="AB35" s="31" t="n"/>
    </row>
    <row r="36">
      <c r="A36" s="25" t="inlineStr">
        <is>
          <t>S01</t>
        </is>
      </c>
      <c r="B36" s="25" t="inlineStr">
        <is>
          <t>태백 신규점</t>
        </is>
      </c>
      <c r="C36" s="25" t="inlineStr">
        <is>
          <t>S01-H남</t>
        </is>
      </c>
      <c r="D36" s="25" t="inlineStr">
        <is>
          <t>측정</t>
        </is>
      </c>
      <c r="E36" s="25" t="inlineStr">
        <is>
          <t>남</t>
        </is>
      </c>
      <c r="F36" s="30" t="n">
        <v>4</v>
      </c>
      <c r="G36" s="29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IF(COUNTIFS($C:$C,$C36,$D:$D,"P0(전)",$L:$L,"&gt;0")&lt;&gt;1,"P0(전) 유효 1개 아님",IF(COUNTIFS($C:$C,$C36,$D:$D,"P0(후)",$L:$L,"&gt;0")&lt;&gt;1,"P0(후) 유효 1개 아님",IF(NOT(AND(ISNUMBER(N36),ISNUMBER(P36),ISNUMBER(H36))),"시각 결측",IF(P36&lt;=N36,"P0 시각 역전",IF(OR(H36&lt;N36,H36&gt;P36),"측정시각 구간 밖","OK")))))</f>
        <v/>
      </c>
      <c r="N36" s="45">
        <f>IF(COUNTIFS($C:$C,$C36,$D:$D,"P0(전)",$L:$L,"&gt;0")&lt;&gt;1,"",SUMIFS($H:$H,$C:$C,$C36,$D:$D,"P0(전)"))</f>
        <v/>
      </c>
      <c r="O36" s="30">
        <f>IF(COUNTIFS($C:$C,$C36,$D:$D,"P0(전)",$L:$L,"&gt;0")&lt;&gt;1,"",SUMIFS($L:$L,$C:$C,$C36,$D:$D,"P0(전)"))</f>
        <v/>
      </c>
      <c r="P36" s="45">
        <f>IF(COUNTIFS($C:$C,$C36,$D:$D,"P0(후)",$L:$L,"&gt;0")&lt;&gt;1,"",SUMIFS($H:$H,$C:$C,$C36,$D:$D,"P0(후)"))</f>
        <v/>
      </c>
      <c r="Q36" s="30">
        <f>IF(COUNTIFS($C:$C,$C36,$D:$D,"P0(후)",$L:$L,"&gt;0")&lt;&gt;1,"",SUMIFS($L:$L,$C:$C,$C36,$D:$D,"P0(후)"))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IF(OR(NOT(ISNUMBER(S36)),IF(ISNUMBER(G36),G36,F36)=0),"",S36/IF(ISNUMBER(G36),G36,F36))</f>
        <v/>
      </c>
      <c r="U36" s="46">
        <f>IF(ISNUMBER(T36),ABS(T36),"")</f>
        <v/>
      </c>
      <c r="V36" s="46">
        <f>IF(OR($D35&lt;&gt;"측정",$C35&lt;&gt;$C36,NOT(ISNUMBER(L36)),NOT(ISNUMBER(L35)),(IF(ISNUMBER(G36),G36,F36)-IF(ISNUMBER(G35),G35,F35))=0),"",(L36-L35)/(IF(ISNUMBER(G36),G36,F36)-IF(ISNUMBER(G35),G35,F35)))</f>
        <v/>
      </c>
      <c r="W36" s="30">
        <f>IF(NOT(AND(ISNUMBER(N36),ISNUMBER(P36))),"",(P36-N36)*1440)</f>
        <v/>
      </c>
      <c r="X36" s="28" t="n"/>
      <c r="Y36" s="28" t="n"/>
      <c r="Z36" s="28" t="n"/>
      <c r="AA36" s="31" t="n"/>
      <c r="AB36" s="31" t="n"/>
    </row>
    <row r="37">
      <c r="A37" s="25" t="inlineStr">
        <is>
          <t>S01</t>
        </is>
      </c>
      <c r="B37" s="25" t="inlineStr">
        <is>
          <t>태백 신규점</t>
        </is>
      </c>
      <c r="C37" s="25" t="inlineStr">
        <is>
          <t>S01-H남</t>
        </is>
      </c>
      <c r="D37" s="25" t="inlineStr">
        <is>
          <t>측정</t>
        </is>
      </c>
      <c r="E37" s="25" t="inlineStr">
        <is>
          <t>남</t>
        </is>
      </c>
      <c r="F37" s="30" t="n">
        <v>5</v>
      </c>
      <c r="G37" s="29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IF(COUNTIFS($C:$C,$C37,$D:$D,"P0(전)",$L:$L,"&gt;0")&lt;&gt;1,"P0(전) 유효 1개 아님",IF(COUNTIFS($C:$C,$C37,$D:$D,"P0(후)",$L:$L,"&gt;0")&lt;&gt;1,"P0(후) 유효 1개 아님",IF(NOT(AND(ISNUMBER(N37),ISNUMBER(P37),ISNUMBER(H37))),"시각 결측",IF(P37&lt;=N37,"P0 시각 역전",IF(OR(H37&lt;N37,H37&gt;P37),"측정시각 구간 밖","OK")))))</f>
        <v/>
      </c>
      <c r="N37" s="45">
        <f>IF(COUNTIFS($C:$C,$C37,$D:$D,"P0(전)",$L:$L,"&gt;0")&lt;&gt;1,"",SUMIFS($H:$H,$C:$C,$C37,$D:$D,"P0(전)"))</f>
        <v/>
      </c>
      <c r="O37" s="30">
        <f>IF(COUNTIFS($C:$C,$C37,$D:$D,"P0(전)",$L:$L,"&gt;0")&lt;&gt;1,"",SUMIFS($L:$L,$C:$C,$C37,$D:$D,"P0(전)"))</f>
        <v/>
      </c>
      <c r="P37" s="45">
        <f>IF(COUNTIFS($C:$C,$C37,$D:$D,"P0(후)",$L:$L,"&gt;0")&lt;&gt;1,"",SUMIFS($H:$H,$C:$C,$C37,$D:$D,"P0(후)"))</f>
        <v/>
      </c>
      <c r="Q37" s="30">
        <f>IF(COUNTIFS($C:$C,$C37,$D:$D,"P0(후)",$L:$L,"&gt;0")&lt;&gt;1,"",SUMIFS($L:$L,$C:$C,$C37,$D:$D,"P0(후)"))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IF(OR(NOT(ISNUMBER(S37)),IF(ISNUMBER(G37),G37,F37)=0),"",S37/IF(ISNUMBER(G37),G37,F37))</f>
        <v/>
      </c>
      <c r="U37" s="46">
        <f>IF(ISNUMBER(T37),ABS(T37),"")</f>
        <v/>
      </c>
      <c r="V37" s="46">
        <f>IF(OR($D36&lt;&gt;"측정",$C36&lt;&gt;$C37,NOT(ISNUMBER(L37)),NOT(ISNUMBER(L36)),(IF(ISNUMBER(G37),G37,F37)-IF(ISNUMBER(G36),G36,F36))=0),"",(L37-L36)/(IF(ISNUMBER(G37),G37,F37)-IF(ISNUMBER(G36),G36,F36)))</f>
        <v/>
      </c>
      <c r="W37" s="30">
        <f>IF(NOT(AND(ISNUMBER(N37),ISNUMBER(P37))),"",(P37-N37)*1440)</f>
        <v/>
      </c>
      <c r="X37" s="28" t="n"/>
      <c r="Y37" s="28" t="n"/>
      <c r="Z37" s="28" t="n"/>
      <c r="AA37" s="31" t="n"/>
      <c r="AB37" s="31" t="n"/>
    </row>
    <row r="38">
      <c r="A38" s="25" t="inlineStr">
        <is>
          <t>S01</t>
        </is>
      </c>
      <c r="B38" s="25" t="inlineStr">
        <is>
          <t>태백 신규점</t>
        </is>
      </c>
      <c r="C38" s="25" t="inlineStr">
        <is>
          <t>S01-H남</t>
        </is>
      </c>
      <c r="D38" s="25" t="inlineStr">
        <is>
          <t>측정</t>
        </is>
      </c>
      <c r="E38" s="25" t="inlineStr">
        <is>
          <t>남</t>
        </is>
      </c>
      <c r="F38" s="30" t="n">
        <v>6</v>
      </c>
      <c r="G38" s="29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IF(COUNTIFS($C:$C,$C38,$D:$D,"P0(전)",$L:$L,"&gt;0")&lt;&gt;1,"P0(전) 유효 1개 아님",IF(COUNTIFS($C:$C,$C38,$D:$D,"P0(후)",$L:$L,"&gt;0")&lt;&gt;1,"P0(후) 유효 1개 아님",IF(NOT(AND(ISNUMBER(N38),ISNUMBER(P38),ISNUMBER(H38))),"시각 결측",IF(P38&lt;=N38,"P0 시각 역전",IF(OR(H38&lt;N38,H38&gt;P38),"측정시각 구간 밖","OK")))))</f>
        <v/>
      </c>
      <c r="N38" s="45">
        <f>IF(COUNTIFS($C:$C,$C38,$D:$D,"P0(전)",$L:$L,"&gt;0")&lt;&gt;1,"",SUMIFS($H:$H,$C:$C,$C38,$D:$D,"P0(전)"))</f>
        <v/>
      </c>
      <c r="O38" s="30">
        <f>IF(COUNTIFS($C:$C,$C38,$D:$D,"P0(전)",$L:$L,"&gt;0")&lt;&gt;1,"",SUMIFS($L:$L,$C:$C,$C38,$D:$D,"P0(전)"))</f>
        <v/>
      </c>
      <c r="P38" s="45">
        <f>IF(COUNTIFS($C:$C,$C38,$D:$D,"P0(후)",$L:$L,"&gt;0")&lt;&gt;1,"",SUMIFS($H:$H,$C:$C,$C38,$D:$D,"P0(후)"))</f>
        <v/>
      </c>
      <c r="Q38" s="30">
        <f>IF(COUNTIFS($C:$C,$C38,$D:$D,"P0(후)",$L:$L,"&gt;0")&lt;&gt;1,"",SUMIFS($L:$L,$C:$C,$C38,$D:$D,"P0(후)"))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IF(OR(NOT(ISNUMBER(S38)),IF(ISNUMBER(G38),G38,F38)=0),"",S38/IF(ISNUMBER(G38),G38,F38))</f>
        <v/>
      </c>
      <c r="U38" s="46">
        <f>IF(ISNUMBER(T38),ABS(T38),"")</f>
        <v/>
      </c>
      <c r="V38" s="46">
        <f>IF(OR($D37&lt;&gt;"측정",$C37&lt;&gt;$C38,NOT(ISNUMBER(L38)),NOT(ISNUMBER(L37)),(IF(ISNUMBER(G38),G38,F38)-IF(ISNUMBER(G37),G37,F37))=0),"",(L38-L37)/(IF(ISNUMBER(G38),G38,F38)-IF(ISNUMBER(G37),G37,F37)))</f>
        <v/>
      </c>
      <c r="W38" s="30">
        <f>IF(NOT(AND(ISNUMBER(N38),ISNUMBER(P38))),"",(P38-N38)*1440)</f>
        <v/>
      </c>
      <c r="X38" s="28" t="n"/>
      <c r="Y38" s="28" t="n"/>
      <c r="Z38" s="28" t="n"/>
      <c r="AA38" s="31" t="n"/>
      <c r="AB38" s="31" t="n"/>
    </row>
    <row r="39">
      <c r="A39" s="25" t="inlineStr">
        <is>
          <t>S01</t>
        </is>
      </c>
      <c r="B39" s="25" t="inlineStr">
        <is>
          <t>태백 신규점</t>
        </is>
      </c>
      <c r="C39" s="25" t="inlineStr">
        <is>
          <t>S01-H남</t>
        </is>
      </c>
      <c r="D39" s="25" t="inlineStr">
        <is>
          <t>측정</t>
        </is>
      </c>
      <c r="E39" s="25" t="inlineStr">
        <is>
          <t>남</t>
        </is>
      </c>
      <c r="F39" s="30" t="n">
        <v>7</v>
      </c>
      <c r="G39" s="29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IF(COUNTIFS($C:$C,$C39,$D:$D,"P0(전)",$L:$L,"&gt;0")&lt;&gt;1,"P0(전) 유효 1개 아님",IF(COUNTIFS($C:$C,$C39,$D:$D,"P0(후)",$L:$L,"&gt;0")&lt;&gt;1,"P0(후) 유효 1개 아님",IF(NOT(AND(ISNUMBER(N39),ISNUMBER(P39),ISNUMBER(H39))),"시각 결측",IF(P39&lt;=N39,"P0 시각 역전",IF(OR(H39&lt;N39,H39&gt;P39),"측정시각 구간 밖","OK")))))</f>
        <v/>
      </c>
      <c r="N39" s="45">
        <f>IF(COUNTIFS($C:$C,$C39,$D:$D,"P0(전)",$L:$L,"&gt;0")&lt;&gt;1,"",SUMIFS($H:$H,$C:$C,$C39,$D:$D,"P0(전)"))</f>
        <v/>
      </c>
      <c r="O39" s="30">
        <f>IF(COUNTIFS($C:$C,$C39,$D:$D,"P0(전)",$L:$L,"&gt;0")&lt;&gt;1,"",SUMIFS($L:$L,$C:$C,$C39,$D:$D,"P0(전)"))</f>
        <v/>
      </c>
      <c r="P39" s="45">
        <f>IF(COUNTIFS($C:$C,$C39,$D:$D,"P0(후)",$L:$L,"&gt;0")&lt;&gt;1,"",SUMIFS($H:$H,$C:$C,$C39,$D:$D,"P0(후)"))</f>
        <v/>
      </c>
      <c r="Q39" s="30">
        <f>IF(COUNTIFS($C:$C,$C39,$D:$D,"P0(후)",$L:$L,"&gt;0")&lt;&gt;1,"",SUMIFS($L:$L,$C:$C,$C39,$D:$D,"P0(후)"))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IF(OR(NOT(ISNUMBER(S39)),IF(ISNUMBER(G39),G39,F39)=0),"",S39/IF(ISNUMBER(G39),G39,F39))</f>
        <v/>
      </c>
      <c r="U39" s="46">
        <f>IF(ISNUMBER(T39),ABS(T39),"")</f>
        <v/>
      </c>
      <c r="V39" s="46">
        <f>IF(OR($D38&lt;&gt;"측정",$C38&lt;&gt;$C39,NOT(ISNUMBER(L39)),NOT(ISNUMBER(L38)),(IF(ISNUMBER(G39),G39,F39)-IF(ISNUMBER(G38),G38,F38))=0),"",(L39-L38)/(IF(ISNUMBER(G39),G39,F39)-IF(ISNUMBER(G38),G38,F38)))</f>
        <v/>
      </c>
      <c r="W39" s="30">
        <f>IF(NOT(AND(ISNUMBER(N39),ISNUMBER(P39))),"",(P39-N39)*1440)</f>
        <v/>
      </c>
      <c r="X39" s="28" t="n"/>
      <c r="Y39" s="28" t="n"/>
      <c r="Z39" s="28" t="n"/>
      <c r="AA39" s="31" t="n"/>
      <c r="AB39" s="31" t="n"/>
    </row>
    <row r="40">
      <c r="A40" s="25" t="inlineStr">
        <is>
          <t>S01</t>
        </is>
      </c>
      <c r="B40" s="25" t="inlineStr">
        <is>
          <t>태백 신규점</t>
        </is>
      </c>
      <c r="C40" s="25" t="inlineStr">
        <is>
          <t>S01-H남</t>
        </is>
      </c>
      <c r="D40" s="25" t="inlineStr">
        <is>
          <t>측정</t>
        </is>
      </c>
      <c r="E40" s="25" t="inlineStr">
        <is>
          <t>남</t>
        </is>
      </c>
      <c r="F40" s="30" t="n">
        <v>8</v>
      </c>
      <c r="G40" s="29" t="n"/>
      <c r="H40" s="42" t="n"/>
      <c r="I40" s="40" t="n"/>
      <c r="J40" s="40" t="n"/>
      <c r="K40" s="40" t="n"/>
      <c r="L40" s="30">
        <f>IF(COUNT(I40:K40)=0,"",MEDIAN(I40:K40))</f>
        <v/>
      </c>
      <c r="M40" s="25">
        <f>IF(COUNTIFS($C:$C,$C40,$D:$D,"P0(전)",$L:$L,"&gt;0")&lt;&gt;1,"P0(전) 유효 1개 아님",IF(COUNTIFS($C:$C,$C40,$D:$D,"P0(후)",$L:$L,"&gt;0")&lt;&gt;1,"P0(후) 유효 1개 아님",IF(NOT(AND(ISNUMBER(N40),ISNUMBER(P40),ISNUMBER(H40))),"시각 결측",IF(P40&lt;=N40,"P0 시각 역전",IF(OR(H40&lt;N40,H40&gt;P40),"측정시각 구간 밖","OK")))))</f>
        <v/>
      </c>
      <c r="N40" s="45">
        <f>IF(COUNTIFS($C:$C,$C40,$D:$D,"P0(전)",$L:$L,"&gt;0")&lt;&gt;1,"",SUMIFS($H:$H,$C:$C,$C40,$D:$D,"P0(전)"))</f>
        <v/>
      </c>
      <c r="O40" s="30">
        <f>IF(COUNTIFS($C:$C,$C40,$D:$D,"P0(전)",$L:$L,"&gt;0")&lt;&gt;1,"",SUMIFS($L:$L,$C:$C,$C40,$D:$D,"P0(전)"))</f>
        <v/>
      </c>
      <c r="P40" s="45">
        <f>IF(COUNTIFS($C:$C,$C40,$D:$D,"P0(후)",$L:$L,"&gt;0")&lt;&gt;1,"",SUMIFS($H:$H,$C:$C,$C40,$D:$D,"P0(후)"))</f>
        <v/>
      </c>
      <c r="Q40" s="30">
        <f>IF(COUNTIFS($C:$C,$C40,$D:$D,"P0(후)",$L:$L,"&gt;0")&lt;&gt;1,"",SUMIFS($L:$L,$C:$C,$C40,$D:$D,"P0(후)"))</f>
        <v/>
      </c>
      <c r="R40" s="30">
        <f>IF(M40&lt;&gt;"OK","",O40+(Q40-O40)*(H40-N40)/(P40-N40))</f>
        <v/>
      </c>
      <c r="S40" s="30">
        <f>IF(OR(M40&lt;&gt;"OK",NOT(ISNUMBER(L40))),"",L40-R40)</f>
        <v/>
      </c>
      <c r="T40" s="46">
        <f>IF(OR(NOT(ISNUMBER(S40)),IF(ISNUMBER(G40),G40,F40)=0),"",S40/IF(ISNUMBER(G40),G40,F40))</f>
        <v/>
      </c>
      <c r="U40" s="46">
        <f>IF(ISNUMBER(T40),ABS(T40),"")</f>
        <v/>
      </c>
      <c r="V40" s="46">
        <f>IF(OR($D39&lt;&gt;"측정",$C39&lt;&gt;$C40,NOT(ISNUMBER(L40)),NOT(ISNUMBER(L39)),(IF(ISNUMBER(G40),G40,F40)-IF(ISNUMBER(G39),G39,F39))=0),"",(L40-L39)/(IF(ISNUMBER(G40),G40,F40)-IF(ISNUMBER(G39),G39,F39)))</f>
        <v/>
      </c>
      <c r="W40" s="30">
        <f>IF(NOT(AND(ISNUMBER(N40),ISNUMBER(P40))),"",(P40-N40)*1440)</f>
        <v/>
      </c>
      <c r="X40" s="28" t="n"/>
      <c r="Y40" s="28" t="n"/>
      <c r="Z40" s="28" t="n"/>
      <c r="AA40" s="31" t="n"/>
      <c r="AB40" s="31" t="n"/>
    </row>
    <row r="41">
      <c r="A41" s="25" t="inlineStr">
        <is>
          <t>S01</t>
        </is>
      </c>
      <c r="B41" s="25" t="inlineStr">
        <is>
          <t>태백 신규점</t>
        </is>
      </c>
      <c r="C41" s="25" t="inlineStr">
        <is>
          <t>S01-H남</t>
        </is>
      </c>
      <c r="D41" s="25" t="inlineStr">
        <is>
          <t>측정</t>
        </is>
      </c>
      <c r="E41" s="25" t="inlineStr">
        <is>
          <t>남</t>
        </is>
      </c>
      <c r="F41" s="30" t="n">
        <v>9</v>
      </c>
      <c r="G41" s="29" t="n"/>
      <c r="H41" s="42" t="n"/>
      <c r="I41" s="40" t="n"/>
      <c r="J41" s="40" t="n"/>
      <c r="K41" s="40" t="n"/>
      <c r="L41" s="30">
        <f>IF(COUNT(I41:K41)=0,"",MEDIAN(I41:K41))</f>
        <v/>
      </c>
      <c r="M41" s="25">
        <f>IF(COUNTIFS($C:$C,$C41,$D:$D,"P0(전)",$L:$L,"&gt;0")&lt;&gt;1,"P0(전) 유효 1개 아님",IF(COUNTIFS($C:$C,$C41,$D:$D,"P0(후)",$L:$L,"&gt;0")&lt;&gt;1,"P0(후) 유효 1개 아님",IF(NOT(AND(ISNUMBER(N41),ISNUMBER(P41),ISNUMBER(H41))),"시각 결측",IF(P41&lt;=N41,"P0 시각 역전",IF(OR(H41&lt;N41,H41&gt;P41),"측정시각 구간 밖","OK")))))</f>
        <v/>
      </c>
      <c r="N41" s="45">
        <f>IF(COUNTIFS($C:$C,$C41,$D:$D,"P0(전)",$L:$L,"&gt;0")&lt;&gt;1,"",SUMIFS($H:$H,$C:$C,$C41,$D:$D,"P0(전)"))</f>
        <v/>
      </c>
      <c r="O41" s="30">
        <f>IF(COUNTIFS($C:$C,$C41,$D:$D,"P0(전)",$L:$L,"&gt;0")&lt;&gt;1,"",SUMIFS($L:$L,$C:$C,$C41,$D:$D,"P0(전)"))</f>
        <v/>
      </c>
      <c r="P41" s="45">
        <f>IF(COUNTIFS($C:$C,$C41,$D:$D,"P0(후)",$L:$L,"&gt;0")&lt;&gt;1,"",SUMIFS($H:$H,$C:$C,$C41,$D:$D,"P0(후)"))</f>
        <v/>
      </c>
      <c r="Q41" s="30">
        <f>IF(COUNTIFS($C:$C,$C41,$D:$D,"P0(후)",$L:$L,"&gt;0")&lt;&gt;1,"",SUMIFS($L:$L,$C:$C,$C41,$D:$D,"P0(후)"))</f>
        <v/>
      </c>
      <c r="R41" s="30">
        <f>IF(M41&lt;&gt;"OK","",O41+(Q41-O41)*(H41-N41)/(P41-N41))</f>
        <v/>
      </c>
      <c r="S41" s="30">
        <f>IF(OR(M41&lt;&gt;"OK",NOT(ISNUMBER(L41))),"",L41-R41)</f>
        <v/>
      </c>
      <c r="T41" s="46">
        <f>IF(OR(NOT(ISNUMBER(S41)),IF(ISNUMBER(G41),G41,F41)=0),"",S41/IF(ISNUMBER(G41),G41,F41))</f>
        <v/>
      </c>
      <c r="U41" s="46">
        <f>IF(ISNUMBER(T41),ABS(T41),"")</f>
        <v/>
      </c>
      <c r="V41" s="46">
        <f>IF(OR($D40&lt;&gt;"측정",$C40&lt;&gt;$C41,NOT(ISNUMBER(L41)),NOT(ISNUMBER(L40)),(IF(ISNUMBER(G41),G41,F41)-IF(ISNUMBER(G40),G40,F40))=0),"",(L41-L40)/(IF(ISNUMBER(G41),G41,F41)-IF(ISNUMBER(G40),G40,F40)))</f>
        <v/>
      </c>
      <c r="W41" s="30">
        <f>IF(NOT(AND(ISNUMBER(N41),ISNUMBER(P41))),"",(P41-N41)*1440)</f>
        <v/>
      </c>
      <c r="X41" s="28" t="n"/>
      <c r="Y41" s="28" t="n"/>
      <c r="Z41" s="28" t="n"/>
      <c r="AA41" s="31" t="n"/>
      <c r="AB41" s="31" t="n"/>
    </row>
    <row r="42">
      <c r="A42" s="25" t="inlineStr">
        <is>
          <t>S01</t>
        </is>
      </c>
      <c r="B42" s="25" t="inlineStr">
        <is>
          <t>태백 신규점</t>
        </is>
      </c>
      <c r="C42" s="25" t="inlineStr">
        <is>
          <t>S01-H남</t>
        </is>
      </c>
      <c r="D42" s="25" t="inlineStr">
        <is>
          <t>측정</t>
        </is>
      </c>
      <c r="E42" s="25" t="inlineStr">
        <is>
          <t>남</t>
        </is>
      </c>
      <c r="F42" s="30" t="n">
        <v>10</v>
      </c>
      <c r="G42" s="29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IF(COUNTIFS($C:$C,$C42,$D:$D,"P0(전)",$L:$L,"&gt;0")&lt;&gt;1,"P0(전) 유효 1개 아님",IF(COUNTIFS($C:$C,$C42,$D:$D,"P0(후)",$L:$L,"&gt;0")&lt;&gt;1,"P0(후) 유효 1개 아님",IF(NOT(AND(ISNUMBER(N42),ISNUMBER(P42),ISNUMBER(H42))),"시각 결측",IF(P42&lt;=N42,"P0 시각 역전",IF(OR(H42&lt;N42,H42&gt;P42),"측정시각 구간 밖","OK")))))</f>
        <v/>
      </c>
      <c r="N42" s="45">
        <f>IF(COUNTIFS($C:$C,$C42,$D:$D,"P0(전)",$L:$L,"&gt;0")&lt;&gt;1,"",SUMIFS($H:$H,$C:$C,$C42,$D:$D,"P0(전)"))</f>
        <v/>
      </c>
      <c r="O42" s="30">
        <f>IF(COUNTIFS($C:$C,$C42,$D:$D,"P0(전)",$L:$L,"&gt;0")&lt;&gt;1,"",SUMIFS($L:$L,$C:$C,$C42,$D:$D,"P0(전)"))</f>
        <v/>
      </c>
      <c r="P42" s="45">
        <f>IF(COUNTIFS($C:$C,$C42,$D:$D,"P0(후)",$L:$L,"&gt;0")&lt;&gt;1,"",SUMIFS($H:$H,$C:$C,$C42,$D:$D,"P0(후)"))</f>
        <v/>
      </c>
      <c r="Q42" s="30">
        <f>IF(COUNTIFS($C:$C,$C42,$D:$D,"P0(후)",$L:$L,"&gt;0")&lt;&gt;1,"",SUMIFS($L:$L,$C:$C,$C42,$D:$D,"P0(후)"))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IF(OR(NOT(ISNUMBER(S42)),IF(ISNUMBER(G42),G42,F42)=0),"",S42/IF(ISNUMBER(G42),G42,F42))</f>
        <v/>
      </c>
      <c r="U42" s="46">
        <f>IF(ISNUMBER(T42),ABS(T42),"")</f>
        <v/>
      </c>
      <c r="V42" s="46">
        <f>IF(OR($D41&lt;&gt;"측정",$C41&lt;&gt;$C42,NOT(ISNUMBER(L42)),NOT(ISNUMBER(L41)),(IF(ISNUMBER(G42),G42,F42)-IF(ISNUMBER(G41),G41,F41))=0),"",(L42-L41)/(IF(ISNUMBER(G42),G42,F42)-IF(ISNUMBER(G41),G41,F41)))</f>
        <v/>
      </c>
      <c r="W42" s="30">
        <f>IF(NOT(AND(ISNUMBER(N42),ISNUMBER(P42))),"",(P42-N42)*1440)</f>
        <v/>
      </c>
      <c r="X42" s="28" t="n"/>
      <c r="Y42" s="28" t="n"/>
      <c r="Z42" s="28" t="n"/>
      <c r="AA42" s="31" t="n"/>
      <c r="AB42" s="31" t="n"/>
    </row>
    <row r="43">
      <c r="A43" s="43" t="inlineStr">
        <is>
          <t>S01</t>
        </is>
      </c>
      <c r="B43" s="43" t="inlineStr">
        <is>
          <t>태백 신규점</t>
        </is>
      </c>
      <c r="C43" s="43" t="inlineStr">
        <is>
          <t>S01-H남</t>
        </is>
      </c>
      <c r="D43" s="43" t="inlineStr">
        <is>
          <t>P0(후)</t>
        </is>
      </c>
      <c r="E43" s="43" t="inlineStr">
        <is>
          <t>남</t>
        </is>
      </c>
      <c r="F43" s="44" t="n"/>
      <c r="G43" s="29" t="n"/>
      <c r="H43" s="42" t="n"/>
      <c r="I43" s="40" t="n"/>
      <c r="J43" s="40" t="n"/>
      <c r="K43" s="40" t="n"/>
      <c r="L43" s="30">
        <f>IF(COUNT(I43:K43)=0,"",MEDIAN(I43:K43))</f>
        <v/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28" t="n"/>
      <c r="Y43" s="28" t="n"/>
      <c r="Z43" s="28" t="n"/>
      <c r="AA43" s="31" t="n"/>
      <c r="AB43" s="31" t="n"/>
    </row>
    <row r="44">
      <c r="A44" s="43" t="inlineStr">
        <is>
          <t>S01</t>
        </is>
      </c>
      <c r="B44" s="43" t="inlineStr">
        <is>
          <t>태백 신규점</t>
        </is>
      </c>
      <c r="C44" s="43" t="inlineStr">
        <is>
          <t>S01-H북</t>
        </is>
      </c>
      <c r="D44" s="43" t="inlineStr">
        <is>
          <t>P0(전)</t>
        </is>
      </c>
      <c r="E44" s="43" t="inlineStr">
        <is>
          <t>북</t>
        </is>
      </c>
      <c r="F44" s="44" t="n"/>
      <c r="G44" s="29" t="n"/>
      <c r="H44" s="42" t="n"/>
      <c r="I44" s="40" t="n"/>
      <c r="J44" s="40" t="n"/>
      <c r="K44" s="40" t="n"/>
      <c r="L44" s="30">
        <f>IF(COUNT(I44:K44)=0,"",MEDIAN(I44:K44))</f>
        <v/>
      </c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28" t="n"/>
      <c r="Y44" s="28" t="n"/>
      <c r="Z44" s="28" t="n"/>
      <c r="AA44" s="31" t="n"/>
      <c r="AB44" s="31" t="n"/>
    </row>
    <row r="45">
      <c r="A45" s="25" t="inlineStr">
        <is>
          <t>S01</t>
        </is>
      </c>
      <c r="B45" s="25" t="inlineStr">
        <is>
          <t>태백 신규점</t>
        </is>
      </c>
      <c r="C45" s="25" t="inlineStr">
        <is>
          <t>S01-H북</t>
        </is>
      </c>
      <c r="D45" s="25" t="inlineStr">
        <is>
          <t>측정</t>
        </is>
      </c>
      <c r="E45" s="25" t="inlineStr">
        <is>
          <t>북</t>
        </is>
      </c>
      <c r="F45" s="30" t="n">
        <v>0.5</v>
      </c>
      <c r="G45" s="29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IF(COUNTIFS($C:$C,$C45,$D:$D,"P0(전)",$L:$L,"&gt;0")&lt;&gt;1,"P0(전) 유효 1개 아님",IF(COUNTIFS($C:$C,$C45,$D:$D,"P0(후)",$L:$L,"&gt;0")&lt;&gt;1,"P0(후) 유효 1개 아님",IF(NOT(AND(ISNUMBER(N45),ISNUMBER(P45),ISNUMBER(H45))),"시각 결측",IF(P45&lt;=N45,"P0 시각 역전",IF(OR(H45&lt;N45,H45&gt;P45),"측정시각 구간 밖","OK")))))</f>
        <v/>
      </c>
      <c r="N45" s="45">
        <f>IF(COUNTIFS($C:$C,$C45,$D:$D,"P0(전)",$L:$L,"&gt;0")&lt;&gt;1,"",SUMIFS($H:$H,$C:$C,$C45,$D:$D,"P0(전)"))</f>
        <v/>
      </c>
      <c r="O45" s="30">
        <f>IF(COUNTIFS($C:$C,$C45,$D:$D,"P0(전)",$L:$L,"&gt;0")&lt;&gt;1,"",SUMIFS($L:$L,$C:$C,$C45,$D:$D,"P0(전)"))</f>
        <v/>
      </c>
      <c r="P45" s="45">
        <f>IF(COUNTIFS($C:$C,$C45,$D:$D,"P0(후)",$L:$L,"&gt;0")&lt;&gt;1,"",SUMIFS($H:$H,$C:$C,$C45,$D:$D,"P0(후)"))</f>
        <v/>
      </c>
      <c r="Q45" s="30">
        <f>IF(COUNTIFS($C:$C,$C45,$D:$D,"P0(후)",$L:$L,"&gt;0")&lt;&gt;1,"",SUMIFS($L:$L,$C:$C,$C45,$D:$D,"P0(후)"))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IF(OR(NOT(ISNUMBER(S45)),IF(ISNUMBER(G45),G45,F45)=0),"",S45/IF(ISNUMBER(G45),G45,F45))</f>
        <v/>
      </c>
      <c r="U45" s="46">
        <f>IF(ISNUMBER(T45),ABS(T45),"")</f>
        <v/>
      </c>
      <c r="V45" s="46">
        <f>IF(OR($D44&lt;&gt;"측정",$C44&lt;&gt;$C45,NOT(ISNUMBER(L45)),NOT(ISNUMBER(L44)),(IF(ISNUMBER(G45),G45,F45)-IF(ISNUMBER(G44),G44,F44))=0),"",(L45-L44)/(IF(ISNUMBER(G45),G45,F45)-IF(ISNUMBER(G44),G44,F44)))</f>
        <v/>
      </c>
      <c r="W45" s="30">
        <f>IF(NOT(AND(ISNUMBER(N45),ISNUMBER(P45))),"",(P45-N45)*1440)</f>
        <v/>
      </c>
      <c r="X45" s="28" t="n"/>
      <c r="Y45" s="28" t="n"/>
      <c r="Z45" s="28" t="n"/>
      <c r="AA45" s="31" t="n"/>
      <c r="AB45" s="31" t="n"/>
    </row>
    <row r="46">
      <c r="A46" s="25" t="inlineStr">
        <is>
          <t>S01</t>
        </is>
      </c>
      <c r="B46" s="25" t="inlineStr">
        <is>
          <t>태백 신규점</t>
        </is>
      </c>
      <c r="C46" s="25" t="inlineStr">
        <is>
          <t>S01-H북</t>
        </is>
      </c>
      <c r="D46" s="25" t="inlineStr">
        <is>
          <t>측정</t>
        </is>
      </c>
      <c r="E46" s="25" t="inlineStr">
        <is>
          <t>북</t>
        </is>
      </c>
      <c r="F46" s="30" t="n">
        <v>1</v>
      </c>
      <c r="G46" s="29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IF(COUNTIFS($C:$C,$C46,$D:$D,"P0(전)",$L:$L,"&gt;0")&lt;&gt;1,"P0(전) 유효 1개 아님",IF(COUNTIFS($C:$C,$C46,$D:$D,"P0(후)",$L:$L,"&gt;0")&lt;&gt;1,"P0(후) 유효 1개 아님",IF(NOT(AND(ISNUMBER(N46),ISNUMBER(P46),ISNUMBER(H46))),"시각 결측",IF(P46&lt;=N46,"P0 시각 역전",IF(OR(H46&lt;N46,H46&gt;P46),"측정시각 구간 밖","OK")))))</f>
        <v/>
      </c>
      <c r="N46" s="45">
        <f>IF(COUNTIFS($C:$C,$C46,$D:$D,"P0(전)",$L:$L,"&gt;0")&lt;&gt;1,"",SUMIFS($H:$H,$C:$C,$C46,$D:$D,"P0(전)"))</f>
        <v/>
      </c>
      <c r="O46" s="30">
        <f>IF(COUNTIFS($C:$C,$C46,$D:$D,"P0(전)",$L:$L,"&gt;0")&lt;&gt;1,"",SUMIFS($L:$L,$C:$C,$C46,$D:$D,"P0(전)"))</f>
        <v/>
      </c>
      <c r="P46" s="45">
        <f>IF(COUNTIFS($C:$C,$C46,$D:$D,"P0(후)",$L:$L,"&gt;0")&lt;&gt;1,"",SUMIFS($H:$H,$C:$C,$C46,$D:$D,"P0(후)"))</f>
        <v/>
      </c>
      <c r="Q46" s="30">
        <f>IF(COUNTIFS($C:$C,$C46,$D:$D,"P0(후)",$L:$L,"&gt;0")&lt;&gt;1,"",SUMIFS($L:$L,$C:$C,$C46,$D:$D,"P0(후)"))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IF(OR(NOT(ISNUMBER(S46)),IF(ISNUMBER(G46),G46,F46)=0),"",S46/IF(ISNUMBER(G46),G46,F46))</f>
        <v/>
      </c>
      <c r="U46" s="46">
        <f>IF(ISNUMBER(T46),ABS(T46),"")</f>
        <v/>
      </c>
      <c r="V46" s="46">
        <f>IF(OR($D45&lt;&gt;"측정",$C45&lt;&gt;$C46,NOT(ISNUMBER(L46)),NOT(ISNUMBER(L45)),(IF(ISNUMBER(G46),G46,F46)-IF(ISNUMBER(G45),G45,F45))=0),"",(L46-L45)/(IF(ISNUMBER(G46),G46,F46)-IF(ISNUMBER(G45),G45,F45)))</f>
        <v/>
      </c>
      <c r="W46" s="30">
        <f>IF(NOT(AND(ISNUMBER(N46),ISNUMBER(P46))),"",(P46-N46)*1440)</f>
        <v/>
      </c>
      <c r="X46" s="28" t="n"/>
      <c r="Y46" s="28" t="n"/>
      <c r="Z46" s="28" t="n"/>
      <c r="AA46" s="31" t="n"/>
      <c r="AB46" s="31" t="n"/>
    </row>
    <row r="47">
      <c r="A47" s="25" t="inlineStr">
        <is>
          <t>S01</t>
        </is>
      </c>
      <c r="B47" s="25" t="inlineStr">
        <is>
          <t>태백 신규점</t>
        </is>
      </c>
      <c r="C47" s="25" t="inlineStr">
        <is>
          <t>S01-H북</t>
        </is>
      </c>
      <c r="D47" s="25" t="inlineStr">
        <is>
          <t>측정</t>
        </is>
      </c>
      <c r="E47" s="25" t="inlineStr">
        <is>
          <t>북</t>
        </is>
      </c>
      <c r="F47" s="30" t="n">
        <v>2</v>
      </c>
      <c r="G47" s="29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IF(COUNTIFS($C:$C,$C47,$D:$D,"P0(전)",$L:$L,"&gt;0")&lt;&gt;1,"P0(전) 유효 1개 아님",IF(COUNTIFS($C:$C,$C47,$D:$D,"P0(후)",$L:$L,"&gt;0")&lt;&gt;1,"P0(후) 유효 1개 아님",IF(NOT(AND(ISNUMBER(N47),ISNUMBER(P47),ISNUMBER(H47))),"시각 결측",IF(P47&lt;=N47,"P0 시각 역전",IF(OR(H47&lt;N47,H47&gt;P47),"측정시각 구간 밖","OK")))))</f>
        <v/>
      </c>
      <c r="N47" s="45">
        <f>IF(COUNTIFS($C:$C,$C47,$D:$D,"P0(전)",$L:$L,"&gt;0")&lt;&gt;1,"",SUMIFS($H:$H,$C:$C,$C47,$D:$D,"P0(전)"))</f>
        <v/>
      </c>
      <c r="O47" s="30">
        <f>IF(COUNTIFS($C:$C,$C47,$D:$D,"P0(전)",$L:$L,"&gt;0")&lt;&gt;1,"",SUMIFS($L:$L,$C:$C,$C47,$D:$D,"P0(전)"))</f>
        <v/>
      </c>
      <c r="P47" s="45">
        <f>IF(COUNTIFS($C:$C,$C47,$D:$D,"P0(후)",$L:$L,"&gt;0")&lt;&gt;1,"",SUMIFS($H:$H,$C:$C,$C47,$D:$D,"P0(후)"))</f>
        <v/>
      </c>
      <c r="Q47" s="30">
        <f>IF(COUNTIFS($C:$C,$C47,$D:$D,"P0(후)",$L:$L,"&gt;0")&lt;&gt;1,"",SUMIFS($L:$L,$C:$C,$C47,$D:$D,"P0(후)"))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IF(OR(NOT(ISNUMBER(S47)),IF(ISNUMBER(G47),G47,F47)=0),"",S47/IF(ISNUMBER(G47),G47,F47))</f>
        <v/>
      </c>
      <c r="U47" s="46">
        <f>IF(ISNUMBER(T47),ABS(T47),"")</f>
        <v/>
      </c>
      <c r="V47" s="46">
        <f>IF(OR($D46&lt;&gt;"측정",$C46&lt;&gt;$C47,NOT(ISNUMBER(L47)),NOT(ISNUMBER(L46)),(IF(ISNUMBER(G47),G47,F47)-IF(ISNUMBER(G46),G46,F46))=0),"",(L47-L46)/(IF(ISNUMBER(G47),G47,F47)-IF(ISNUMBER(G46),G46,F46)))</f>
        <v/>
      </c>
      <c r="W47" s="30">
        <f>IF(NOT(AND(ISNUMBER(N47),ISNUMBER(P47))),"",(P47-N47)*1440)</f>
        <v/>
      </c>
      <c r="X47" s="28" t="n"/>
      <c r="Y47" s="28" t="n"/>
      <c r="Z47" s="28" t="n"/>
      <c r="AA47" s="31" t="n"/>
      <c r="AB47" s="31" t="n"/>
    </row>
    <row r="48">
      <c r="A48" s="25" t="inlineStr">
        <is>
          <t>S01</t>
        </is>
      </c>
      <c r="B48" s="25" t="inlineStr">
        <is>
          <t>태백 신규점</t>
        </is>
      </c>
      <c r="C48" s="25" t="inlineStr">
        <is>
          <t>S01-H북</t>
        </is>
      </c>
      <c r="D48" s="25" t="inlineStr">
        <is>
          <t>측정</t>
        </is>
      </c>
      <c r="E48" s="25" t="inlineStr">
        <is>
          <t>북</t>
        </is>
      </c>
      <c r="F48" s="30" t="n">
        <v>3</v>
      </c>
      <c r="G48" s="29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IF(COUNTIFS($C:$C,$C48,$D:$D,"P0(전)",$L:$L,"&gt;0")&lt;&gt;1,"P0(전) 유효 1개 아님",IF(COUNTIFS($C:$C,$C48,$D:$D,"P0(후)",$L:$L,"&gt;0")&lt;&gt;1,"P0(후) 유효 1개 아님",IF(NOT(AND(ISNUMBER(N48),ISNUMBER(P48),ISNUMBER(H48))),"시각 결측",IF(P48&lt;=N48,"P0 시각 역전",IF(OR(H48&lt;N48,H48&gt;P48),"측정시각 구간 밖","OK")))))</f>
        <v/>
      </c>
      <c r="N48" s="45">
        <f>IF(COUNTIFS($C:$C,$C48,$D:$D,"P0(전)",$L:$L,"&gt;0")&lt;&gt;1,"",SUMIFS($H:$H,$C:$C,$C48,$D:$D,"P0(전)"))</f>
        <v/>
      </c>
      <c r="O48" s="30">
        <f>IF(COUNTIFS($C:$C,$C48,$D:$D,"P0(전)",$L:$L,"&gt;0")&lt;&gt;1,"",SUMIFS($L:$L,$C:$C,$C48,$D:$D,"P0(전)"))</f>
        <v/>
      </c>
      <c r="P48" s="45">
        <f>IF(COUNTIFS($C:$C,$C48,$D:$D,"P0(후)",$L:$L,"&gt;0")&lt;&gt;1,"",SUMIFS($H:$H,$C:$C,$C48,$D:$D,"P0(후)"))</f>
        <v/>
      </c>
      <c r="Q48" s="30">
        <f>IF(COUNTIFS($C:$C,$C48,$D:$D,"P0(후)",$L:$L,"&gt;0")&lt;&gt;1,"",SUMIFS($L:$L,$C:$C,$C48,$D:$D,"P0(후)"))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IF(OR(NOT(ISNUMBER(S48)),IF(ISNUMBER(G48),G48,F48)=0),"",S48/IF(ISNUMBER(G48),G48,F48))</f>
        <v/>
      </c>
      <c r="U48" s="46">
        <f>IF(ISNUMBER(T48),ABS(T48),"")</f>
        <v/>
      </c>
      <c r="V48" s="46">
        <f>IF(OR($D47&lt;&gt;"측정",$C47&lt;&gt;$C48,NOT(ISNUMBER(L48)),NOT(ISNUMBER(L47)),(IF(ISNUMBER(G48),G48,F48)-IF(ISNUMBER(G47),G47,F47))=0),"",(L48-L47)/(IF(ISNUMBER(G48),G48,F48)-IF(ISNUMBER(G47),G47,F47)))</f>
        <v/>
      </c>
      <c r="W48" s="30">
        <f>IF(NOT(AND(ISNUMBER(N48),ISNUMBER(P48))),"",(P48-N48)*1440)</f>
        <v/>
      </c>
      <c r="X48" s="28" t="n"/>
      <c r="Y48" s="28" t="n"/>
      <c r="Z48" s="28" t="n"/>
      <c r="AA48" s="31" t="n"/>
      <c r="AB48" s="31" t="n"/>
    </row>
    <row r="49">
      <c r="A49" s="25" t="inlineStr">
        <is>
          <t>S01</t>
        </is>
      </c>
      <c r="B49" s="25" t="inlineStr">
        <is>
          <t>태백 신규점</t>
        </is>
      </c>
      <c r="C49" s="25" t="inlineStr">
        <is>
          <t>S01-H북</t>
        </is>
      </c>
      <c r="D49" s="25" t="inlineStr">
        <is>
          <t>측정</t>
        </is>
      </c>
      <c r="E49" s="25" t="inlineStr">
        <is>
          <t>북</t>
        </is>
      </c>
      <c r="F49" s="30" t="n">
        <v>4</v>
      </c>
      <c r="G49" s="29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IF(COUNTIFS($C:$C,$C49,$D:$D,"P0(전)",$L:$L,"&gt;0")&lt;&gt;1,"P0(전) 유효 1개 아님",IF(COUNTIFS($C:$C,$C49,$D:$D,"P0(후)",$L:$L,"&gt;0")&lt;&gt;1,"P0(후) 유효 1개 아님",IF(NOT(AND(ISNUMBER(N49),ISNUMBER(P49),ISNUMBER(H49))),"시각 결측",IF(P49&lt;=N49,"P0 시각 역전",IF(OR(H49&lt;N49,H49&gt;P49),"측정시각 구간 밖","OK")))))</f>
        <v/>
      </c>
      <c r="N49" s="45">
        <f>IF(COUNTIFS($C:$C,$C49,$D:$D,"P0(전)",$L:$L,"&gt;0")&lt;&gt;1,"",SUMIFS($H:$H,$C:$C,$C49,$D:$D,"P0(전)"))</f>
        <v/>
      </c>
      <c r="O49" s="30">
        <f>IF(COUNTIFS($C:$C,$C49,$D:$D,"P0(전)",$L:$L,"&gt;0")&lt;&gt;1,"",SUMIFS($L:$L,$C:$C,$C49,$D:$D,"P0(전)"))</f>
        <v/>
      </c>
      <c r="P49" s="45">
        <f>IF(COUNTIFS($C:$C,$C49,$D:$D,"P0(후)",$L:$L,"&gt;0")&lt;&gt;1,"",SUMIFS($H:$H,$C:$C,$C49,$D:$D,"P0(후)"))</f>
        <v/>
      </c>
      <c r="Q49" s="30">
        <f>IF(COUNTIFS($C:$C,$C49,$D:$D,"P0(후)",$L:$L,"&gt;0")&lt;&gt;1,"",SUMIFS($L:$L,$C:$C,$C49,$D:$D,"P0(후)"))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IF(OR(NOT(ISNUMBER(S49)),IF(ISNUMBER(G49),G49,F49)=0),"",S49/IF(ISNUMBER(G49),G49,F49))</f>
        <v/>
      </c>
      <c r="U49" s="46">
        <f>IF(ISNUMBER(T49),ABS(T49),"")</f>
        <v/>
      </c>
      <c r="V49" s="46">
        <f>IF(OR($D48&lt;&gt;"측정",$C48&lt;&gt;$C49,NOT(ISNUMBER(L49)),NOT(ISNUMBER(L48)),(IF(ISNUMBER(G49),G49,F49)-IF(ISNUMBER(G48),G48,F48))=0),"",(L49-L48)/(IF(ISNUMBER(G49),G49,F49)-IF(ISNUMBER(G48),G48,F48)))</f>
        <v/>
      </c>
      <c r="W49" s="30">
        <f>IF(NOT(AND(ISNUMBER(N49),ISNUMBER(P49))),"",(P49-N49)*1440)</f>
        <v/>
      </c>
      <c r="X49" s="28" t="n"/>
      <c r="Y49" s="28" t="n"/>
      <c r="Z49" s="28" t="n"/>
      <c r="AA49" s="31" t="n"/>
      <c r="AB49" s="31" t="n"/>
    </row>
    <row r="50">
      <c r="A50" s="25" t="inlineStr">
        <is>
          <t>S01</t>
        </is>
      </c>
      <c r="B50" s="25" t="inlineStr">
        <is>
          <t>태백 신규점</t>
        </is>
      </c>
      <c r="C50" s="25" t="inlineStr">
        <is>
          <t>S01-H북</t>
        </is>
      </c>
      <c r="D50" s="25" t="inlineStr">
        <is>
          <t>측정</t>
        </is>
      </c>
      <c r="E50" s="25" t="inlineStr">
        <is>
          <t>북</t>
        </is>
      </c>
      <c r="F50" s="30" t="n">
        <v>5</v>
      </c>
      <c r="G50" s="29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IF(COUNTIFS($C:$C,$C50,$D:$D,"P0(전)",$L:$L,"&gt;0")&lt;&gt;1,"P0(전) 유효 1개 아님",IF(COUNTIFS($C:$C,$C50,$D:$D,"P0(후)",$L:$L,"&gt;0")&lt;&gt;1,"P0(후) 유효 1개 아님",IF(NOT(AND(ISNUMBER(N50),ISNUMBER(P50),ISNUMBER(H50))),"시각 결측",IF(P50&lt;=N50,"P0 시각 역전",IF(OR(H50&lt;N50,H50&gt;P50),"측정시각 구간 밖","OK")))))</f>
        <v/>
      </c>
      <c r="N50" s="45">
        <f>IF(COUNTIFS($C:$C,$C50,$D:$D,"P0(전)",$L:$L,"&gt;0")&lt;&gt;1,"",SUMIFS($H:$H,$C:$C,$C50,$D:$D,"P0(전)"))</f>
        <v/>
      </c>
      <c r="O50" s="30">
        <f>IF(COUNTIFS($C:$C,$C50,$D:$D,"P0(전)",$L:$L,"&gt;0")&lt;&gt;1,"",SUMIFS($L:$L,$C:$C,$C50,$D:$D,"P0(전)"))</f>
        <v/>
      </c>
      <c r="P50" s="45">
        <f>IF(COUNTIFS($C:$C,$C50,$D:$D,"P0(후)",$L:$L,"&gt;0")&lt;&gt;1,"",SUMIFS($H:$H,$C:$C,$C50,$D:$D,"P0(후)"))</f>
        <v/>
      </c>
      <c r="Q50" s="30">
        <f>IF(COUNTIFS($C:$C,$C50,$D:$D,"P0(후)",$L:$L,"&gt;0")&lt;&gt;1,"",SUMIFS($L:$L,$C:$C,$C50,$D:$D,"P0(후)"))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IF(OR(NOT(ISNUMBER(S50)),IF(ISNUMBER(G50),G50,F50)=0),"",S50/IF(ISNUMBER(G50),G50,F50))</f>
        <v/>
      </c>
      <c r="U50" s="46">
        <f>IF(ISNUMBER(T50),ABS(T50),"")</f>
        <v/>
      </c>
      <c r="V50" s="46">
        <f>IF(OR($D49&lt;&gt;"측정",$C49&lt;&gt;$C50,NOT(ISNUMBER(L50)),NOT(ISNUMBER(L49)),(IF(ISNUMBER(G50),G50,F50)-IF(ISNUMBER(G49),G49,F49))=0),"",(L50-L49)/(IF(ISNUMBER(G50),G50,F50)-IF(ISNUMBER(G49),G49,F49)))</f>
        <v/>
      </c>
      <c r="W50" s="30">
        <f>IF(NOT(AND(ISNUMBER(N50),ISNUMBER(P50))),"",(P50-N50)*1440)</f>
        <v/>
      </c>
      <c r="X50" s="28" t="n"/>
      <c r="Y50" s="28" t="n"/>
      <c r="Z50" s="28" t="n"/>
      <c r="AA50" s="31" t="n"/>
      <c r="AB50" s="31" t="n"/>
    </row>
    <row r="51">
      <c r="A51" s="25" t="inlineStr">
        <is>
          <t>S01</t>
        </is>
      </c>
      <c r="B51" s="25" t="inlineStr">
        <is>
          <t>태백 신규점</t>
        </is>
      </c>
      <c r="C51" s="25" t="inlineStr">
        <is>
          <t>S01-H북</t>
        </is>
      </c>
      <c r="D51" s="25" t="inlineStr">
        <is>
          <t>측정</t>
        </is>
      </c>
      <c r="E51" s="25" t="inlineStr">
        <is>
          <t>북</t>
        </is>
      </c>
      <c r="F51" s="30" t="n">
        <v>6</v>
      </c>
      <c r="G51" s="29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IF(COUNTIFS($C:$C,$C51,$D:$D,"P0(전)",$L:$L,"&gt;0")&lt;&gt;1,"P0(전) 유효 1개 아님",IF(COUNTIFS($C:$C,$C51,$D:$D,"P0(후)",$L:$L,"&gt;0")&lt;&gt;1,"P0(후) 유효 1개 아님",IF(NOT(AND(ISNUMBER(N51),ISNUMBER(P51),ISNUMBER(H51))),"시각 결측",IF(P51&lt;=N51,"P0 시각 역전",IF(OR(H51&lt;N51,H51&gt;P51),"측정시각 구간 밖","OK")))))</f>
        <v/>
      </c>
      <c r="N51" s="45">
        <f>IF(COUNTIFS($C:$C,$C51,$D:$D,"P0(전)",$L:$L,"&gt;0")&lt;&gt;1,"",SUMIFS($H:$H,$C:$C,$C51,$D:$D,"P0(전)"))</f>
        <v/>
      </c>
      <c r="O51" s="30">
        <f>IF(COUNTIFS($C:$C,$C51,$D:$D,"P0(전)",$L:$L,"&gt;0")&lt;&gt;1,"",SUMIFS($L:$L,$C:$C,$C51,$D:$D,"P0(전)"))</f>
        <v/>
      </c>
      <c r="P51" s="45">
        <f>IF(COUNTIFS($C:$C,$C51,$D:$D,"P0(후)",$L:$L,"&gt;0")&lt;&gt;1,"",SUMIFS($H:$H,$C:$C,$C51,$D:$D,"P0(후)"))</f>
        <v/>
      </c>
      <c r="Q51" s="30">
        <f>IF(COUNTIFS($C:$C,$C51,$D:$D,"P0(후)",$L:$L,"&gt;0")&lt;&gt;1,"",SUMIFS($L:$L,$C:$C,$C51,$D:$D,"P0(후)"))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IF(OR(NOT(ISNUMBER(S51)),IF(ISNUMBER(G51),G51,F51)=0),"",S51/IF(ISNUMBER(G51),G51,F51))</f>
        <v/>
      </c>
      <c r="U51" s="46">
        <f>IF(ISNUMBER(T51),ABS(T51),"")</f>
        <v/>
      </c>
      <c r="V51" s="46">
        <f>IF(OR($D50&lt;&gt;"측정",$C50&lt;&gt;$C51,NOT(ISNUMBER(L51)),NOT(ISNUMBER(L50)),(IF(ISNUMBER(G51),G51,F51)-IF(ISNUMBER(G50),G50,F50))=0),"",(L51-L50)/(IF(ISNUMBER(G51),G51,F51)-IF(ISNUMBER(G50),G50,F50)))</f>
        <v/>
      </c>
      <c r="W51" s="30">
        <f>IF(NOT(AND(ISNUMBER(N51),ISNUMBER(P51))),"",(P51-N51)*1440)</f>
        <v/>
      </c>
      <c r="X51" s="28" t="n"/>
      <c r="Y51" s="28" t="n"/>
      <c r="Z51" s="28" t="n"/>
      <c r="AA51" s="31" t="n"/>
      <c r="AB51" s="31" t="n"/>
    </row>
    <row r="52">
      <c r="A52" s="25" t="inlineStr">
        <is>
          <t>S01</t>
        </is>
      </c>
      <c r="B52" s="25" t="inlineStr">
        <is>
          <t>태백 신규점</t>
        </is>
      </c>
      <c r="C52" s="25" t="inlineStr">
        <is>
          <t>S01-H북</t>
        </is>
      </c>
      <c r="D52" s="25" t="inlineStr">
        <is>
          <t>측정</t>
        </is>
      </c>
      <c r="E52" s="25" t="inlineStr">
        <is>
          <t>북</t>
        </is>
      </c>
      <c r="F52" s="30" t="n">
        <v>7</v>
      </c>
      <c r="G52" s="29" t="n"/>
      <c r="H52" s="42" t="n"/>
      <c r="I52" s="40" t="n"/>
      <c r="J52" s="40" t="n"/>
      <c r="K52" s="40" t="n"/>
      <c r="L52" s="30">
        <f>IF(COUNT(I52:K52)=0,"",MEDIAN(I52:K52))</f>
        <v/>
      </c>
      <c r="M52" s="25">
        <f>IF(COUNTIFS($C:$C,$C52,$D:$D,"P0(전)",$L:$L,"&gt;0")&lt;&gt;1,"P0(전) 유효 1개 아님",IF(COUNTIFS($C:$C,$C52,$D:$D,"P0(후)",$L:$L,"&gt;0")&lt;&gt;1,"P0(후) 유효 1개 아님",IF(NOT(AND(ISNUMBER(N52),ISNUMBER(P52),ISNUMBER(H52))),"시각 결측",IF(P52&lt;=N52,"P0 시각 역전",IF(OR(H52&lt;N52,H52&gt;P52),"측정시각 구간 밖","OK")))))</f>
        <v/>
      </c>
      <c r="N52" s="45">
        <f>IF(COUNTIFS($C:$C,$C52,$D:$D,"P0(전)",$L:$L,"&gt;0")&lt;&gt;1,"",SUMIFS($H:$H,$C:$C,$C52,$D:$D,"P0(전)"))</f>
        <v/>
      </c>
      <c r="O52" s="30">
        <f>IF(COUNTIFS($C:$C,$C52,$D:$D,"P0(전)",$L:$L,"&gt;0")&lt;&gt;1,"",SUMIFS($L:$L,$C:$C,$C52,$D:$D,"P0(전)"))</f>
        <v/>
      </c>
      <c r="P52" s="45">
        <f>IF(COUNTIFS($C:$C,$C52,$D:$D,"P0(후)",$L:$L,"&gt;0")&lt;&gt;1,"",SUMIFS($H:$H,$C:$C,$C52,$D:$D,"P0(후)"))</f>
        <v/>
      </c>
      <c r="Q52" s="30">
        <f>IF(COUNTIFS($C:$C,$C52,$D:$D,"P0(후)",$L:$L,"&gt;0")&lt;&gt;1,"",SUMIFS($L:$L,$C:$C,$C52,$D:$D,"P0(후)"))</f>
        <v/>
      </c>
      <c r="R52" s="30">
        <f>IF(M52&lt;&gt;"OK","",O52+(Q52-O52)*(H52-N52)/(P52-N52))</f>
        <v/>
      </c>
      <c r="S52" s="30">
        <f>IF(OR(M52&lt;&gt;"OK",NOT(ISNUMBER(L52))),"",L52-R52)</f>
        <v/>
      </c>
      <c r="T52" s="46">
        <f>IF(OR(NOT(ISNUMBER(S52)),IF(ISNUMBER(G52),G52,F52)=0),"",S52/IF(ISNUMBER(G52),G52,F52))</f>
        <v/>
      </c>
      <c r="U52" s="46">
        <f>IF(ISNUMBER(T52),ABS(T52),"")</f>
        <v/>
      </c>
      <c r="V52" s="46">
        <f>IF(OR($D51&lt;&gt;"측정",$C51&lt;&gt;$C52,NOT(ISNUMBER(L52)),NOT(ISNUMBER(L51)),(IF(ISNUMBER(G52),G52,F52)-IF(ISNUMBER(G51),G51,F51))=0),"",(L52-L51)/(IF(ISNUMBER(G52),G52,F52)-IF(ISNUMBER(G51),G51,F51)))</f>
        <v/>
      </c>
      <c r="W52" s="30">
        <f>IF(NOT(AND(ISNUMBER(N52),ISNUMBER(P52))),"",(P52-N52)*1440)</f>
        <v/>
      </c>
      <c r="X52" s="28" t="n"/>
      <c r="Y52" s="28" t="n"/>
      <c r="Z52" s="28" t="n"/>
      <c r="AA52" s="31" t="n"/>
      <c r="AB52" s="31" t="n"/>
    </row>
    <row r="53">
      <c r="A53" s="25" t="inlineStr">
        <is>
          <t>S01</t>
        </is>
      </c>
      <c r="B53" s="25" t="inlineStr">
        <is>
          <t>태백 신규점</t>
        </is>
      </c>
      <c r="C53" s="25" t="inlineStr">
        <is>
          <t>S01-H북</t>
        </is>
      </c>
      <c r="D53" s="25" t="inlineStr">
        <is>
          <t>측정</t>
        </is>
      </c>
      <c r="E53" s="25" t="inlineStr">
        <is>
          <t>북</t>
        </is>
      </c>
      <c r="F53" s="30" t="n">
        <v>8</v>
      </c>
      <c r="G53" s="29" t="n"/>
      <c r="H53" s="42" t="n"/>
      <c r="I53" s="40" t="n"/>
      <c r="J53" s="40" t="n"/>
      <c r="K53" s="40" t="n"/>
      <c r="L53" s="30">
        <f>IF(COUNT(I53:K53)=0,"",MEDIAN(I53:K53))</f>
        <v/>
      </c>
      <c r="M53" s="25">
        <f>IF(COUNTIFS($C:$C,$C53,$D:$D,"P0(전)",$L:$L,"&gt;0")&lt;&gt;1,"P0(전) 유효 1개 아님",IF(COUNTIFS($C:$C,$C53,$D:$D,"P0(후)",$L:$L,"&gt;0")&lt;&gt;1,"P0(후) 유효 1개 아님",IF(NOT(AND(ISNUMBER(N53),ISNUMBER(P53),ISNUMBER(H53))),"시각 결측",IF(P53&lt;=N53,"P0 시각 역전",IF(OR(H53&lt;N53,H53&gt;P53),"측정시각 구간 밖","OK")))))</f>
        <v/>
      </c>
      <c r="N53" s="45">
        <f>IF(COUNTIFS($C:$C,$C53,$D:$D,"P0(전)",$L:$L,"&gt;0")&lt;&gt;1,"",SUMIFS($H:$H,$C:$C,$C53,$D:$D,"P0(전)"))</f>
        <v/>
      </c>
      <c r="O53" s="30">
        <f>IF(COUNTIFS($C:$C,$C53,$D:$D,"P0(전)",$L:$L,"&gt;0")&lt;&gt;1,"",SUMIFS($L:$L,$C:$C,$C53,$D:$D,"P0(전)"))</f>
        <v/>
      </c>
      <c r="P53" s="45">
        <f>IF(COUNTIFS($C:$C,$C53,$D:$D,"P0(후)",$L:$L,"&gt;0")&lt;&gt;1,"",SUMIFS($H:$H,$C:$C,$C53,$D:$D,"P0(후)"))</f>
        <v/>
      </c>
      <c r="Q53" s="30">
        <f>IF(COUNTIFS($C:$C,$C53,$D:$D,"P0(후)",$L:$L,"&gt;0")&lt;&gt;1,"",SUMIFS($L:$L,$C:$C,$C53,$D:$D,"P0(후)"))</f>
        <v/>
      </c>
      <c r="R53" s="30">
        <f>IF(M53&lt;&gt;"OK","",O53+(Q53-O53)*(H53-N53)/(P53-N53))</f>
        <v/>
      </c>
      <c r="S53" s="30">
        <f>IF(OR(M53&lt;&gt;"OK",NOT(ISNUMBER(L53))),"",L53-R53)</f>
        <v/>
      </c>
      <c r="T53" s="46">
        <f>IF(OR(NOT(ISNUMBER(S53)),IF(ISNUMBER(G53),G53,F53)=0),"",S53/IF(ISNUMBER(G53),G53,F53))</f>
        <v/>
      </c>
      <c r="U53" s="46">
        <f>IF(ISNUMBER(T53),ABS(T53),"")</f>
        <v/>
      </c>
      <c r="V53" s="46">
        <f>IF(OR($D52&lt;&gt;"측정",$C52&lt;&gt;$C53,NOT(ISNUMBER(L53)),NOT(ISNUMBER(L52)),(IF(ISNUMBER(G53),G53,F53)-IF(ISNUMBER(G52),G52,F52))=0),"",(L53-L52)/(IF(ISNUMBER(G53),G53,F53)-IF(ISNUMBER(G52),G52,F52)))</f>
        <v/>
      </c>
      <c r="W53" s="30">
        <f>IF(NOT(AND(ISNUMBER(N53),ISNUMBER(P53))),"",(P53-N53)*1440)</f>
        <v/>
      </c>
      <c r="X53" s="28" t="n"/>
      <c r="Y53" s="28" t="n"/>
      <c r="Z53" s="28" t="n"/>
      <c r="AA53" s="31" t="n"/>
      <c r="AB53" s="31" t="n"/>
    </row>
    <row r="54">
      <c r="A54" s="25" t="inlineStr">
        <is>
          <t>S01</t>
        </is>
      </c>
      <c r="B54" s="25" t="inlineStr">
        <is>
          <t>태백 신규점</t>
        </is>
      </c>
      <c r="C54" s="25" t="inlineStr">
        <is>
          <t>S01-H북</t>
        </is>
      </c>
      <c r="D54" s="25" t="inlineStr">
        <is>
          <t>측정</t>
        </is>
      </c>
      <c r="E54" s="25" t="inlineStr">
        <is>
          <t>북</t>
        </is>
      </c>
      <c r="F54" s="30" t="n">
        <v>9</v>
      </c>
      <c r="G54" s="29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IF(COUNTIFS($C:$C,$C54,$D:$D,"P0(전)",$L:$L,"&gt;0")&lt;&gt;1,"P0(전) 유효 1개 아님",IF(COUNTIFS($C:$C,$C54,$D:$D,"P0(후)",$L:$L,"&gt;0")&lt;&gt;1,"P0(후) 유효 1개 아님",IF(NOT(AND(ISNUMBER(N54),ISNUMBER(P54),ISNUMBER(H54))),"시각 결측",IF(P54&lt;=N54,"P0 시각 역전",IF(OR(H54&lt;N54,H54&gt;P54),"측정시각 구간 밖","OK")))))</f>
        <v/>
      </c>
      <c r="N54" s="45">
        <f>IF(COUNTIFS($C:$C,$C54,$D:$D,"P0(전)",$L:$L,"&gt;0")&lt;&gt;1,"",SUMIFS($H:$H,$C:$C,$C54,$D:$D,"P0(전)"))</f>
        <v/>
      </c>
      <c r="O54" s="30">
        <f>IF(COUNTIFS($C:$C,$C54,$D:$D,"P0(전)",$L:$L,"&gt;0")&lt;&gt;1,"",SUMIFS($L:$L,$C:$C,$C54,$D:$D,"P0(전)"))</f>
        <v/>
      </c>
      <c r="P54" s="45">
        <f>IF(COUNTIFS($C:$C,$C54,$D:$D,"P0(후)",$L:$L,"&gt;0")&lt;&gt;1,"",SUMIFS($H:$H,$C:$C,$C54,$D:$D,"P0(후)"))</f>
        <v/>
      </c>
      <c r="Q54" s="30">
        <f>IF(COUNTIFS($C:$C,$C54,$D:$D,"P0(후)",$L:$L,"&gt;0")&lt;&gt;1,"",SUMIFS($L:$L,$C:$C,$C54,$D:$D,"P0(후)"))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IF(OR(NOT(ISNUMBER(S54)),IF(ISNUMBER(G54),G54,F54)=0),"",S54/IF(ISNUMBER(G54),G54,F54))</f>
        <v/>
      </c>
      <c r="U54" s="46">
        <f>IF(ISNUMBER(T54),ABS(T54),"")</f>
        <v/>
      </c>
      <c r="V54" s="46">
        <f>IF(OR($D53&lt;&gt;"측정",$C53&lt;&gt;$C54,NOT(ISNUMBER(L54)),NOT(ISNUMBER(L53)),(IF(ISNUMBER(G54),G54,F54)-IF(ISNUMBER(G53),G53,F53))=0),"",(L54-L53)/(IF(ISNUMBER(G54),G54,F54)-IF(ISNUMBER(G53),G53,F53)))</f>
        <v/>
      </c>
      <c r="W54" s="30">
        <f>IF(NOT(AND(ISNUMBER(N54),ISNUMBER(P54))),"",(P54-N54)*1440)</f>
        <v/>
      </c>
      <c r="X54" s="28" t="n"/>
      <c r="Y54" s="28" t="n"/>
      <c r="Z54" s="28" t="n"/>
      <c r="AA54" s="31" t="n"/>
      <c r="AB54" s="31" t="n"/>
    </row>
    <row r="55">
      <c r="A55" s="25" t="inlineStr">
        <is>
          <t>S01</t>
        </is>
      </c>
      <c r="B55" s="25" t="inlineStr">
        <is>
          <t>태백 신규점</t>
        </is>
      </c>
      <c r="C55" s="25" t="inlineStr">
        <is>
          <t>S01-H북</t>
        </is>
      </c>
      <c r="D55" s="25" t="inlineStr">
        <is>
          <t>측정</t>
        </is>
      </c>
      <c r="E55" s="25" t="inlineStr">
        <is>
          <t>북</t>
        </is>
      </c>
      <c r="F55" s="30" t="n">
        <v>10</v>
      </c>
      <c r="G55" s="29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IF(COUNTIFS($C:$C,$C55,$D:$D,"P0(전)",$L:$L,"&gt;0")&lt;&gt;1,"P0(전) 유효 1개 아님",IF(COUNTIFS($C:$C,$C55,$D:$D,"P0(후)",$L:$L,"&gt;0")&lt;&gt;1,"P0(후) 유효 1개 아님",IF(NOT(AND(ISNUMBER(N55),ISNUMBER(P55),ISNUMBER(H55))),"시각 결측",IF(P55&lt;=N55,"P0 시각 역전",IF(OR(H55&lt;N55,H55&gt;P55),"측정시각 구간 밖","OK")))))</f>
        <v/>
      </c>
      <c r="N55" s="45">
        <f>IF(COUNTIFS($C:$C,$C55,$D:$D,"P0(전)",$L:$L,"&gt;0")&lt;&gt;1,"",SUMIFS($H:$H,$C:$C,$C55,$D:$D,"P0(전)"))</f>
        <v/>
      </c>
      <c r="O55" s="30">
        <f>IF(COUNTIFS($C:$C,$C55,$D:$D,"P0(전)",$L:$L,"&gt;0")&lt;&gt;1,"",SUMIFS($L:$L,$C:$C,$C55,$D:$D,"P0(전)"))</f>
        <v/>
      </c>
      <c r="P55" s="45">
        <f>IF(COUNTIFS($C:$C,$C55,$D:$D,"P0(후)",$L:$L,"&gt;0")&lt;&gt;1,"",SUMIFS($H:$H,$C:$C,$C55,$D:$D,"P0(후)"))</f>
        <v/>
      </c>
      <c r="Q55" s="30">
        <f>IF(COUNTIFS($C:$C,$C55,$D:$D,"P0(후)",$L:$L,"&gt;0")&lt;&gt;1,"",SUMIFS($L:$L,$C:$C,$C55,$D:$D,"P0(후)"))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IF(OR(NOT(ISNUMBER(S55)),IF(ISNUMBER(G55),G55,F55)=0),"",S55/IF(ISNUMBER(G55),G55,F55))</f>
        <v/>
      </c>
      <c r="U55" s="46">
        <f>IF(ISNUMBER(T55),ABS(T55),"")</f>
        <v/>
      </c>
      <c r="V55" s="46">
        <f>IF(OR($D54&lt;&gt;"측정",$C54&lt;&gt;$C55,NOT(ISNUMBER(L55)),NOT(ISNUMBER(L54)),(IF(ISNUMBER(G55),G55,F55)-IF(ISNUMBER(G54),G54,F54))=0),"",(L55-L54)/(IF(ISNUMBER(G55),G55,F55)-IF(ISNUMBER(G54),G54,F54)))</f>
        <v/>
      </c>
      <c r="W55" s="30">
        <f>IF(NOT(AND(ISNUMBER(N55),ISNUMBER(P55))),"",(P55-N55)*1440)</f>
        <v/>
      </c>
      <c r="X55" s="28" t="n"/>
      <c r="Y55" s="28" t="n"/>
      <c r="Z55" s="28" t="n"/>
      <c r="AA55" s="31" t="n"/>
      <c r="AB55" s="31" t="n"/>
    </row>
    <row r="56">
      <c r="A56" s="43" t="inlineStr">
        <is>
          <t>S01</t>
        </is>
      </c>
      <c r="B56" s="43" t="inlineStr">
        <is>
          <t>태백 신규점</t>
        </is>
      </c>
      <c r="C56" s="43" t="inlineStr">
        <is>
          <t>S01-H북</t>
        </is>
      </c>
      <c r="D56" s="43" t="inlineStr">
        <is>
          <t>P0(후)</t>
        </is>
      </c>
      <c r="E56" s="43" t="inlineStr">
        <is>
          <t>북</t>
        </is>
      </c>
      <c r="F56" s="44" t="n"/>
      <c r="G56" s="29" t="n"/>
      <c r="H56" s="42" t="n"/>
      <c r="I56" s="40" t="n"/>
      <c r="J56" s="40" t="n"/>
      <c r="K56" s="40" t="n"/>
      <c r="L56" s="30">
        <f>IF(COUNT(I56:K56)=0,"",MEDIAN(I56:K56))</f>
        <v/>
      </c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28" t="n"/>
      <c r="Y56" s="28" t="n"/>
      <c r="Z56" s="28" t="n"/>
      <c r="AA56" s="31" t="n"/>
      <c r="AB56" s="31" t="n"/>
    </row>
    <row r="57">
      <c r="A57" s="43" t="inlineStr">
        <is>
          <t>S02</t>
        </is>
      </c>
      <c r="B57" s="43" t="inlineStr">
        <is>
          <t>임계 신규점1</t>
        </is>
      </c>
      <c r="C57" s="43" t="inlineStr">
        <is>
          <t>S02-H동</t>
        </is>
      </c>
      <c r="D57" s="43" t="inlineStr">
        <is>
          <t>P0(전)</t>
        </is>
      </c>
      <c r="E57" s="43" t="inlineStr">
        <is>
          <t>동</t>
        </is>
      </c>
      <c r="F57" s="44" t="n"/>
      <c r="G57" s="29" t="n"/>
      <c r="H57" s="42" t="n"/>
      <c r="I57" s="40" t="n"/>
      <c r="J57" s="40" t="n"/>
      <c r="K57" s="40" t="n"/>
      <c r="L57" s="30">
        <f>IF(COUNT(I57:K57)=0,"",MEDIAN(I57:K57))</f>
        <v/>
      </c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28" t="n"/>
      <c r="Y57" s="28" t="n"/>
      <c r="Z57" s="28" t="n"/>
      <c r="AA57" s="31" t="n"/>
      <c r="AB57" s="31" t="n"/>
    </row>
    <row r="58">
      <c r="A58" s="25" t="inlineStr">
        <is>
          <t>S02</t>
        </is>
      </c>
      <c r="B58" s="25" t="inlineStr">
        <is>
          <t>임계 신규점1</t>
        </is>
      </c>
      <c r="C58" s="25" t="inlineStr">
        <is>
          <t>S02-H동</t>
        </is>
      </c>
      <c r="D58" s="25" t="inlineStr">
        <is>
          <t>측정</t>
        </is>
      </c>
      <c r="E58" s="25" t="inlineStr">
        <is>
          <t>동</t>
        </is>
      </c>
      <c r="F58" s="30" t="n">
        <v>0.5</v>
      </c>
      <c r="G58" s="29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IF(COUNTIFS($C:$C,$C58,$D:$D,"P0(전)",$L:$L,"&gt;0")&lt;&gt;1,"P0(전) 유효 1개 아님",IF(COUNTIFS($C:$C,$C58,$D:$D,"P0(후)",$L:$L,"&gt;0")&lt;&gt;1,"P0(후) 유효 1개 아님",IF(NOT(AND(ISNUMBER(N58),ISNUMBER(P58),ISNUMBER(H58))),"시각 결측",IF(P58&lt;=N58,"P0 시각 역전",IF(OR(H58&lt;N58,H58&gt;P58),"측정시각 구간 밖","OK")))))</f>
        <v/>
      </c>
      <c r="N58" s="45">
        <f>IF(COUNTIFS($C:$C,$C58,$D:$D,"P0(전)",$L:$L,"&gt;0")&lt;&gt;1,"",SUMIFS($H:$H,$C:$C,$C58,$D:$D,"P0(전)"))</f>
        <v/>
      </c>
      <c r="O58" s="30">
        <f>IF(COUNTIFS($C:$C,$C58,$D:$D,"P0(전)",$L:$L,"&gt;0")&lt;&gt;1,"",SUMIFS($L:$L,$C:$C,$C58,$D:$D,"P0(전)"))</f>
        <v/>
      </c>
      <c r="P58" s="45">
        <f>IF(COUNTIFS($C:$C,$C58,$D:$D,"P0(후)",$L:$L,"&gt;0")&lt;&gt;1,"",SUMIFS($H:$H,$C:$C,$C58,$D:$D,"P0(후)"))</f>
        <v/>
      </c>
      <c r="Q58" s="30">
        <f>IF(COUNTIFS($C:$C,$C58,$D:$D,"P0(후)",$L:$L,"&gt;0")&lt;&gt;1,"",SUMIFS($L:$L,$C:$C,$C58,$D:$D,"P0(후)"))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IF(OR(NOT(ISNUMBER(S58)),IF(ISNUMBER(G58),G58,F58)=0),"",S58/IF(ISNUMBER(G58),G58,F58))</f>
        <v/>
      </c>
      <c r="U58" s="46">
        <f>IF(ISNUMBER(T58),ABS(T58),"")</f>
        <v/>
      </c>
      <c r="V58" s="46">
        <f>IF(OR($D57&lt;&gt;"측정",$C57&lt;&gt;$C58,NOT(ISNUMBER(L58)),NOT(ISNUMBER(L57)),(IF(ISNUMBER(G58),G58,F58)-IF(ISNUMBER(G57),G57,F57))=0),"",(L58-L57)/(IF(ISNUMBER(G58),G58,F58)-IF(ISNUMBER(G57),G57,F57)))</f>
        <v/>
      </c>
      <c r="W58" s="30">
        <f>IF(NOT(AND(ISNUMBER(N58),ISNUMBER(P58))),"",(P58-N58)*1440)</f>
        <v/>
      </c>
      <c r="X58" s="28" t="n"/>
      <c r="Y58" s="28" t="n"/>
      <c r="Z58" s="28" t="n"/>
      <c r="AA58" s="31" t="n"/>
      <c r="AB58" s="31" t="n"/>
    </row>
    <row r="59">
      <c r="A59" s="25" t="inlineStr">
        <is>
          <t>S02</t>
        </is>
      </c>
      <c r="B59" s="25" t="inlineStr">
        <is>
          <t>임계 신규점1</t>
        </is>
      </c>
      <c r="C59" s="25" t="inlineStr">
        <is>
          <t>S02-H동</t>
        </is>
      </c>
      <c r="D59" s="25" t="inlineStr">
        <is>
          <t>측정</t>
        </is>
      </c>
      <c r="E59" s="25" t="inlineStr">
        <is>
          <t>동</t>
        </is>
      </c>
      <c r="F59" s="30" t="n">
        <v>1</v>
      </c>
      <c r="G59" s="29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IF(COUNTIFS($C:$C,$C59,$D:$D,"P0(전)",$L:$L,"&gt;0")&lt;&gt;1,"P0(전) 유효 1개 아님",IF(COUNTIFS($C:$C,$C59,$D:$D,"P0(후)",$L:$L,"&gt;0")&lt;&gt;1,"P0(후) 유효 1개 아님",IF(NOT(AND(ISNUMBER(N59),ISNUMBER(P59),ISNUMBER(H59))),"시각 결측",IF(P59&lt;=N59,"P0 시각 역전",IF(OR(H59&lt;N59,H59&gt;P59),"측정시각 구간 밖","OK")))))</f>
        <v/>
      </c>
      <c r="N59" s="45">
        <f>IF(COUNTIFS($C:$C,$C59,$D:$D,"P0(전)",$L:$L,"&gt;0")&lt;&gt;1,"",SUMIFS($H:$H,$C:$C,$C59,$D:$D,"P0(전)"))</f>
        <v/>
      </c>
      <c r="O59" s="30">
        <f>IF(COUNTIFS($C:$C,$C59,$D:$D,"P0(전)",$L:$L,"&gt;0")&lt;&gt;1,"",SUMIFS($L:$L,$C:$C,$C59,$D:$D,"P0(전)"))</f>
        <v/>
      </c>
      <c r="P59" s="45">
        <f>IF(COUNTIFS($C:$C,$C59,$D:$D,"P0(후)",$L:$L,"&gt;0")&lt;&gt;1,"",SUMIFS($H:$H,$C:$C,$C59,$D:$D,"P0(후)"))</f>
        <v/>
      </c>
      <c r="Q59" s="30">
        <f>IF(COUNTIFS($C:$C,$C59,$D:$D,"P0(후)",$L:$L,"&gt;0")&lt;&gt;1,"",SUMIFS($L:$L,$C:$C,$C59,$D:$D,"P0(후)"))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IF(OR(NOT(ISNUMBER(S59)),IF(ISNUMBER(G59),G59,F59)=0),"",S59/IF(ISNUMBER(G59),G59,F59))</f>
        <v/>
      </c>
      <c r="U59" s="46">
        <f>IF(ISNUMBER(T59),ABS(T59),"")</f>
        <v/>
      </c>
      <c r="V59" s="46">
        <f>IF(OR($D58&lt;&gt;"측정",$C58&lt;&gt;$C59,NOT(ISNUMBER(L59)),NOT(ISNUMBER(L58)),(IF(ISNUMBER(G59),G59,F59)-IF(ISNUMBER(G58),G58,F58))=0),"",(L59-L58)/(IF(ISNUMBER(G59),G59,F59)-IF(ISNUMBER(G58),G58,F58)))</f>
        <v/>
      </c>
      <c r="W59" s="30">
        <f>IF(NOT(AND(ISNUMBER(N59),ISNUMBER(P59))),"",(P59-N59)*1440)</f>
        <v/>
      </c>
      <c r="X59" s="28" t="n"/>
      <c r="Y59" s="28" t="n"/>
      <c r="Z59" s="28" t="n"/>
      <c r="AA59" s="31" t="n"/>
      <c r="AB59" s="31" t="n"/>
    </row>
    <row r="60">
      <c r="A60" s="25" t="inlineStr">
        <is>
          <t>S02</t>
        </is>
      </c>
      <c r="B60" s="25" t="inlineStr">
        <is>
          <t>임계 신규점1</t>
        </is>
      </c>
      <c r="C60" s="25" t="inlineStr">
        <is>
          <t>S02-H동</t>
        </is>
      </c>
      <c r="D60" s="25" t="inlineStr">
        <is>
          <t>측정</t>
        </is>
      </c>
      <c r="E60" s="25" t="inlineStr">
        <is>
          <t>동</t>
        </is>
      </c>
      <c r="F60" s="30" t="n">
        <v>2</v>
      </c>
      <c r="G60" s="29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IF(COUNTIFS($C:$C,$C60,$D:$D,"P0(전)",$L:$L,"&gt;0")&lt;&gt;1,"P0(전) 유효 1개 아님",IF(COUNTIFS($C:$C,$C60,$D:$D,"P0(후)",$L:$L,"&gt;0")&lt;&gt;1,"P0(후) 유효 1개 아님",IF(NOT(AND(ISNUMBER(N60),ISNUMBER(P60),ISNUMBER(H60))),"시각 결측",IF(P60&lt;=N60,"P0 시각 역전",IF(OR(H60&lt;N60,H60&gt;P60),"측정시각 구간 밖","OK")))))</f>
        <v/>
      </c>
      <c r="N60" s="45">
        <f>IF(COUNTIFS($C:$C,$C60,$D:$D,"P0(전)",$L:$L,"&gt;0")&lt;&gt;1,"",SUMIFS($H:$H,$C:$C,$C60,$D:$D,"P0(전)"))</f>
        <v/>
      </c>
      <c r="O60" s="30">
        <f>IF(COUNTIFS($C:$C,$C60,$D:$D,"P0(전)",$L:$L,"&gt;0")&lt;&gt;1,"",SUMIFS($L:$L,$C:$C,$C60,$D:$D,"P0(전)"))</f>
        <v/>
      </c>
      <c r="P60" s="45">
        <f>IF(COUNTIFS($C:$C,$C60,$D:$D,"P0(후)",$L:$L,"&gt;0")&lt;&gt;1,"",SUMIFS($H:$H,$C:$C,$C60,$D:$D,"P0(후)"))</f>
        <v/>
      </c>
      <c r="Q60" s="30">
        <f>IF(COUNTIFS($C:$C,$C60,$D:$D,"P0(후)",$L:$L,"&gt;0")&lt;&gt;1,"",SUMIFS($L:$L,$C:$C,$C60,$D:$D,"P0(후)"))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IF(OR(NOT(ISNUMBER(S60)),IF(ISNUMBER(G60),G60,F60)=0),"",S60/IF(ISNUMBER(G60),G60,F60))</f>
        <v/>
      </c>
      <c r="U60" s="46">
        <f>IF(ISNUMBER(T60),ABS(T60),"")</f>
        <v/>
      </c>
      <c r="V60" s="46">
        <f>IF(OR($D59&lt;&gt;"측정",$C59&lt;&gt;$C60,NOT(ISNUMBER(L60)),NOT(ISNUMBER(L59)),(IF(ISNUMBER(G60),G60,F60)-IF(ISNUMBER(G59),G59,F59))=0),"",(L60-L59)/(IF(ISNUMBER(G60),G60,F60)-IF(ISNUMBER(G59),G59,F59)))</f>
        <v/>
      </c>
      <c r="W60" s="30">
        <f>IF(NOT(AND(ISNUMBER(N60),ISNUMBER(P60))),"",(P60-N60)*1440)</f>
        <v/>
      </c>
      <c r="X60" s="28" t="n"/>
      <c r="Y60" s="28" t="n"/>
      <c r="Z60" s="28" t="n"/>
      <c r="AA60" s="31" t="n"/>
      <c r="AB60" s="31" t="n"/>
    </row>
    <row r="61">
      <c r="A61" s="25" t="inlineStr">
        <is>
          <t>S02</t>
        </is>
      </c>
      <c r="B61" s="25" t="inlineStr">
        <is>
          <t>임계 신규점1</t>
        </is>
      </c>
      <c r="C61" s="25" t="inlineStr">
        <is>
          <t>S02-H동</t>
        </is>
      </c>
      <c r="D61" s="25" t="inlineStr">
        <is>
          <t>측정</t>
        </is>
      </c>
      <c r="E61" s="25" t="inlineStr">
        <is>
          <t>동</t>
        </is>
      </c>
      <c r="F61" s="30" t="n">
        <v>3</v>
      </c>
      <c r="G61" s="29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IF(COUNTIFS($C:$C,$C61,$D:$D,"P0(전)",$L:$L,"&gt;0")&lt;&gt;1,"P0(전) 유효 1개 아님",IF(COUNTIFS($C:$C,$C61,$D:$D,"P0(후)",$L:$L,"&gt;0")&lt;&gt;1,"P0(후) 유효 1개 아님",IF(NOT(AND(ISNUMBER(N61),ISNUMBER(P61),ISNUMBER(H61))),"시각 결측",IF(P61&lt;=N61,"P0 시각 역전",IF(OR(H61&lt;N61,H61&gt;P61),"측정시각 구간 밖","OK")))))</f>
        <v/>
      </c>
      <c r="N61" s="45">
        <f>IF(COUNTIFS($C:$C,$C61,$D:$D,"P0(전)",$L:$L,"&gt;0")&lt;&gt;1,"",SUMIFS($H:$H,$C:$C,$C61,$D:$D,"P0(전)"))</f>
        <v/>
      </c>
      <c r="O61" s="30">
        <f>IF(COUNTIFS($C:$C,$C61,$D:$D,"P0(전)",$L:$L,"&gt;0")&lt;&gt;1,"",SUMIFS($L:$L,$C:$C,$C61,$D:$D,"P0(전)"))</f>
        <v/>
      </c>
      <c r="P61" s="45">
        <f>IF(COUNTIFS($C:$C,$C61,$D:$D,"P0(후)",$L:$L,"&gt;0")&lt;&gt;1,"",SUMIFS($H:$H,$C:$C,$C61,$D:$D,"P0(후)"))</f>
        <v/>
      </c>
      <c r="Q61" s="30">
        <f>IF(COUNTIFS($C:$C,$C61,$D:$D,"P0(후)",$L:$L,"&gt;0")&lt;&gt;1,"",SUMIFS($L:$L,$C:$C,$C61,$D:$D,"P0(후)"))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IF(OR(NOT(ISNUMBER(S61)),IF(ISNUMBER(G61),G61,F61)=0),"",S61/IF(ISNUMBER(G61),G61,F61))</f>
        <v/>
      </c>
      <c r="U61" s="46">
        <f>IF(ISNUMBER(T61),ABS(T61),"")</f>
        <v/>
      </c>
      <c r="V61" s="46">
        <f>IF(OR($D60&lt;&gt;"측정",$C60&lt;&gt;$C61,NOT(ISNUMBER(L61)),NOT(ISNUMBER(L60)),(IF(ISNUMBER(G61),G61,F61)-IF(ISNUMBER(G60),G60,F60))=0),"",(L61-L60)/(IF(ISNUMBER(G61),G61,F61)-IF(ISNUMBER(G60),G60,F60)))</f>
        <v/>
      </c>
      <c r="W61" s="30">
        <f>IF(NOT(AND(ISNUMBER(N61),ISNUMBER(P61))),"",(P61-N61)*1440)</f>
        <v/>
      </c>
      <c r="X61" s="28" t="n"/>
      <c r="Y61" s="28" t="n"/>
      <c r="Z61" s="28" t="n"/>
      <c r="AA61" s="31" t="n"/>
      <c r="AB61" s="31" t="n"/>
    </row>
    <row r="62">
      <c r="A62" s="25" t="inlineStr">
        <is>
          <t>S02</t>
        </is>
      </c>
      <c r="B62" s="25" t="inlineStr">
        <is>
          <t>임계 신규점1</t>
        </is>
      </c>
      <c r="C62" s="25" t="inlineStr">
        <is>
          <t>S02-H동</t>
        </is>
      </c>
      <c r="D62" s="25" t="inlineStr">
        <is>
          <t>측정</t>
        </is>
      </c>
      <c r="E62" s="25" t="inlineStr">
        <is>
          <t>동</t>
        </is>
      </c>
      <c r="F62" s="30" t="n">
        <v>4</v>
      </c>
      <c r="G62" s="29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IF(COUNTIFS($C:$C,$C62,$D:$D,"P0(전)",$L:$L,"&gt;0")&lt;&gt;1,"P0(전) 유효 1개 아님",IF(COUNTIFS($C:$C,$C62,$D:$D,"P0(후)",$L:$L,"&gt;0")&lt;&gt;1,"P0(후) 유효 1개 아님",IF(NOT(AND(ISNUMBER(N62),ISNUMBER(P62),ISNUMBER(H62))),"시각 결측",IF(P62&lt;=N62,"P0 시각 역전",IF(OR(H62&lt;N62,H62&gt;P62),"측정시각 구간 밖","OK")))))</f>
        <v/>
      </c>
      <c r="N62" s="45">
        <f>IF(COUNTIFS($C:$C,$C62,$D:$D,"P0(전)",$L:$L,"&gt;0")&lt;&gt;1,"",SUMIFS($H:$H,$C:$C,$C62,$D:$D,"P0(전)"))</f>
        <v/>
      </c>
      <c r="O62" s="30">
        <f>IF(COUNTIFS($C:$C,$C62,$D:$D,"P0(전)",$L:$L,"&gt;0")&lt;&gt;1,"",SUMIFS($L:$L,$C:$C,$C62,$D:$D,"P0(전)"))</f>
        <v/>
      </c>
      <c r="P62" s="45">
        <f>IF(COUNTIFS($C:$C,$C62,$D:$D,"P0(후)",$L:$L,"&gt;0")&lt;&gt;1,"",SUMIFS($H:$H,$C:$C,$C62,$D:$D,"P0(후)"))</f>
        <v/>
      </c>
      <c r="Q62" s="30">
        <f>IF(COUNTIFS($C:$C,$C62,$D:$D,"P0(후)",$L:$L,"&gt;0")&lt;&gt;1,"",SUMIFS($L:$L,$C:$C,$C62,$D:$D,"P0(후)"))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IF(OR(NOT(ISNUMBER(S62)),IF(ISNUMBER(G62),G62,F62)=0),"",S62/IF(ISNUMBER(G62),G62,F62))</f>
        <v/>
      </c>
      <c r="U62" s="46">
        <f>IF(ISNUMBER(T62),ABS(T62),"")</f>
        <v/>
      </c>
      <c r="V62" s="46">
        <f>IF(OR($D61&lt;&gt;"측정",$C61&lt;&gt;$C62,NOT(ISNUMBER(L62)),NOT(ISNUMBER(L61)),(IF(ISNUMBER(G62),G62,F62)-IF(ISNUMBER(G61),G61,F61))=0),"",(L62-L61)/(IF(ISNUMBER(G62),G62,F62)-IF(ISNUMBER(G61),G61,F61)))</f>
        <v/>
      </c>
      <c r="W62" s="30">
        <f>IF(NOT(AND(ISNUMBER(N62),ISNUMBER(P62))),"",(P62-N62)*1440)</f>
        <v/>
      </c>
      <c r="X62" s="28" t="n"/>
      <c r="Y62" s="28" t="n"/>
      <c r="Z62" s="28" t="n"/>
      <c r="AA62" s="31" t="n"/>
      <c r="AB62" s="31" t="n"/>
    </row>
    <row r="63">
      <c r="A63" s="25" t="inlineStr">
        <is>
          <t>S02</t>
        </is>
      </c>
      <c r="B63" s="25" t="inlineStr">
        <is>
          <t>임계 신규점1</t>
        </is>
      </c>
      <c r="C63" s="25" t="inlineStr">
        <is>
          <t>S02-H동</t>
        </is>
      </c>
      <c r="D63" s="25" t="inlineStr">
        <is>
          <t>측정</t>
        </is>
      </c>
      <c r="E63" s="25" t="inlineStr">
        <is>
          <t>동</t>
        </is>
      </c>
      <c r="F63" s="30" t="n">
        <v>5</v>
      </c>
      <c r="G63" s="29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IF(COUNTIFS($C:$C,$C63,$D:$D,"P0(전)",$L:$L,"&gt;0")&lt;&gt;1,"P0(전) 유효 1개 아님",IF(COUNTIFS($C:$C,$C63,$D:$D,"P0(후)",$L:$L,"&gt;0")&lt;&gt;1,"P0(후) 유효 1개 아님",IF(NOT(AND(ISNUMBER(N63),ISNUMBER(P63),ISNUMBER(H63))),"시각 결측",IF(P63&lt;=N63,"P0 시각 역전",IF(OR(H63&lt;N63,H63&gt;P63),"측정시각 구간 밖","OK")))))</f>
        <v/>
      </c>
      <c r="N63" s="45">
        <f>IF(COUNTIFS($C:$C,$C63,$D:$D,"P0(전)",$L:$L,"&gt;0")&lt;&gt;1,"",SUMIFS($H:$H,$C:$C,$C63,$D:$D,"P0(전)"))</f>
        <v/>
      </c>
      <c r="O63" s="30">
        <f>IF(COUNTIFS($C:$C,$C63,$D:$D,"P0(전)",$L:$L,"&gt;0")&lt;&gt;1,"",SUMIFS($L:$L,$C:$C,$C63,$D:$D,"P0(전)"))</f>
        <v/>
      </c>
      <c r="P63" s="45">
        <f>IF(COUNTIFS($C:$C,$C63,$D:$D,"P0(후)",$L:$L,"&gt;0")&lt;&gt;1,"",SUMIFS($H:$H,$C:$C,$C63,$D:$D,"P0(후)"))</f>
        <v/>
      </c>
      <c r="Q63" s="30">
        <f>IF(COUNTIFS($C:$C,$C63,$D:$D,"P0(후)",$L:$L,"&gt;0")&lt;&gt;1,"",SUMIFS($L:$L,$C:$C,$C63,$D:$D,"P0(후)"))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IF(OR(NOT(ISNUMBER(S63)),IF(ISNUMBER(G63),G63,F63)=0),"",S63/IF(ISNUMBER(G63),G63,F63))</f>
        <v/>
      </c>
      <c r="U63" s="46">
        <f>IF(ISNUMBER(T63),ABS(T63),"")</f>
        <v/>
      </c>
      <c r="V63" s="46">
        <f>IF(OR($D62&lt;&gt;"측정",$C62&lt;&gt;$C63,NOT(ISNUMBER(L63)),NOT(ISNUMBER(L62)),(IF(ISNUMBER(G63),G63,F63)-IF(ISNUMBER(G62),G62,F62))=0),"",(L63-L62)/(IF(ISNUMBER(G63),G63,F63)-IF(ISNUMBER(G62),G62,F62)))</f>
        <v/>
      </c>
      <c r="W63" s="30">
        <f>IF(NOT(AND(ISNUMBER(N63),ISNUMBER(P63))),"",(P63-N63)*1440)</f>
        <v/>
      </c>
      <c r="X63" s="28" t="n"/>
      <c r="Y63" s="28" t="n"/>
      <c r="Z63" s="28" t="n"/>
      <c r="AA63" s="31" t="n"/>
      <c r="AB63" s="31" t="n"/>
    </row>
    <row r="64">
      <c r="A64" s="25" t="inlineStr">
        <is>
          <t>S02</t>
        </is>
      </c>
      <c r="B64" s="25" t="inlineStr">
        <is>
          <t>임계 신규점1</t>
        </is>
      </c>
      <c r="C64" s="25" t="inlineStr">
        <is>
          <t>S02-H동</t>
        </is>
      </c>
      <c r="D64" s="25" t="inlineStr">
        <is>
          <t>측정</t>
        </is>
      </c>
      <c r="E64" s="25" t="inlineStr">
        <is>
          <t>동</t>
        </is>
      </c>
      <c r="F64" s="30" t="n">
        <v>6</v>
      </c>
      <c r="G64" s="29" t="n"/>
      <c r="H64" s="42" t="n"/>
      <c r="I64" s="40" t="n"/>
      <c r="J64" s="40" t="n"/>
      <c r="K64" s="40" t="n"/>
      <c r="L64" s="30">
        <f>IF(COUNT(I64:K64)=0,"",MEDIAN(I64:K64))</f>
        <v/>
      </c>
      <c r="M64" s="25">
        <f>IF(COUNTIFS($C:$C,$C64,$D:$D,"P0(전)",$L:$L,"&gt;0")&lt;&gt;1,"P0(전) 유효 1개 아님",IF(COUNTIFS($C:$C,$C64,$D:$D,"P0(후)",$L:$L,"&gt;0")&lt;&gt;1,"P0(후) 유효 1개 아님",IF(NOT(AND(ISNUMBER(N64),ISNUMBER(P64),ISNUMBER(H64))),"시각 결측",IF(P64&lt;=N64,"P0 시각 역전",IF(OR(H64&lt;N64,H64&gt;P64),"측정시각 구간 밖","OK")))))</f>
        <v/>
      </c>
      <c r="N64" s="45">
        <f>IF(COUNTIFS($C:$C,$C64,$D:$D,"P0(전)",$L:$L,"&gt;0")&lt;&gt;1,"",SUMIFS($H:$H,$C:$C,$C64,$D:$D,"P0(전)"))</f>
        <v/>
      </c>
      <c r="O64" s="30">
        <f>IF(COUNTIFS($C:$C,$C64,$D:$D,"P0(전)",$L:$L,"&gt;0")&lt;&gt;1,"",SUMIFS($L:$L,$C:$C,$C64,$D:$D,"P0(전)"))</f>
        <v/>
      </c>
      <c r="P64" s="45">
        <f>IF(COUNTIFS($C:$C,$C64,$D:$D,"P0(후)",$L:$L,"&gt;0")&lt;&gt;1,"",SUMIFS($H:$H,$C:$C,$C64,$D:$D,"P0(후)"))</f>
        <v/>
      </c>
      <c r="Q64" s="30">
        <f>IF(COUNTIFS($C:$C,$C64,$D:$D,"P0(후)",$L:$L,"&gt;0")&lt;&gt;1,"",SUMIFS($L:$L,$C:$C,$C64,$D:$D,"P0(후)"))</f>
        <v/>
      </c>
      <c r="R64" s="30">
        <f>IF(M64&lt;&gt;"OK","",O64+(Q64-O64)*(H64-N64)/(P64-N64))</f>
        <v/>
      </c>
      <c r="S64" s="30">
        <f>IF(OR(M64&lt;&gt;"OK",NOT(ISNUMBER(L64))),"",L64-R64)</f>
        <v/>
      </c>
      <c r="T64" s="46">
        <f>IF(OR(NOT(ISNUMBER(S64)),IF(ISNUMBER(G64),G64,F64)=0),"",S64/IF(ISNUMBER(G64),G64,F64))</f>
        <v/>
      </c>
      <c r="U64" s="46">
        <f>IF(ISNUMBER(T64),ABS(T64),"")</f>
        <v/>
      </c>
      <c r="V64" s="46">
        <f>IF(OR($D63&lt;&gt;"측정",$C63&lt;&gt;$C64,NOT(ISNUMBER(L64)),NOT(ISNUMBER(L63)),(IF(ISNUMBER(G64),G64,F64)-IF(ISNUMBER(G63),G63,F63))=0),"",(L64-L63)/(IF(ISNUMBER(G64),G64,F64)-IF(ISNUMBER(G63),G63,F63)))</f>
        <v/>
      </c>
      <c r="W64" s="30">
        <f>IF(NOT(AND(ISNUMBER(N64),ISNUMBER(P64))),"",(P64-N64)*1440)</f>
        <v/>
      </c>
      <c r="X64" s="28" t="n"/>
      <c r="Y64" s="28" t="n"/>
      <c r="Z64" s="28" t="n"/>
      <c r="AA64" s="31" t="n"/>
      <c r="AB64" s="31" t="n"/>
    </row>
    <row r="65">
      <c r="A65" s="25" t="inlineStr">
        <is>
          <t>S02</t>
        </is>
      </c>
      <c r="B65" s="25" t="inlineStr">
        <is>
          <t>임계 신규점1</t>
        </is>
      </c>
      <c r="C65" s="25" t="inlineStr">
        <is>
          <t>S02-H동</t>
        </is>
      </c>
      <c r="D65" s="25" t="inlineStr">
        <is>
          <t>측정</t>
        </is>
      </c>
      <c r="E65" s="25" t="inlineStr">
        <is>
          <t>동</t>
        </is>
      </c>
      <c r="F65" s="30" t="n">
        <v>7</v>
      </c>
      <c r="G65" s="29" t="n"/>
      <c r="H65" s="42" t="n"/>
      <c r="I65" s="40" t="n"/>
      <c r="J65" s="40" t="n"/>
      <c r="K65" s="40" t="n"/>
      <c r="L65" s="30">
        <f>IF(COUNT(I65:K65)=0,"",MEDIAN(I65:K65))</f>
        <v/>
      </c>
      <c r="M65" s="25">
        <f>IF(COUNTIFS($C:$C,$C65,$D:$D,"P0(전)",$L:$L,"&gt;0")&lt;&gt;1,"P0(전) 유효 1개 아님",IF(COUNTIFS($C:$C,$C65,$D:$D,"P0(후)",$L:$L,"&gt;0")&lt;&gt;1,"P0(후) 유효 1개 아님",IF(NOT(AND(ISNUMBER(N65),ISNUMBER(P65),ISNUMBER(H65))),"시각 결측",IF(P65&lt;=N65,"P0 시각 역전",IF(OR(H65&lt;N65,H65&gt;P65),"측정시각 구간 밖","OK")))))</f>
        <v/>
      </c>
      <c r="N65" s="45">
        <f>IF(COUNTIFS($C:$C,$C65,$D:$D,"P0(전)",$L:$L,"&gt;0")&lt;&gt;1,"",SUMIFS($H:$H,$C:$C,$C65,$D:$D,"P0(전)"))</f>
        <v/>
      </c>
      <c r="O65" s="30">
        <f>IF(COUNTIFS($C:$C,$C65,$D:$D,"P0(전)",$L:$L,"&gt;0")&lt;&gt;1,"",SUMIFS($L:$L,$C:$C,$C65,$D:$D,"P0(전)"))</f>
        <v/>
      </c>
      <c r="P65" s="45">
        <f>IF(COUNTIFS($C:$C,$C65,$D:$D,"P0(후)",$L:$L,"&gt;0")&lt;&gt;1,"",SUMIFS($H:$H,$C:$C,$C65,$D:$D,"P0(후)"))</f>
        <v/>
      </c>
      <c r="Q65" s="30">
        <f>IF(COUNTIFS($C:$C,$C65,$D:$D,"P0(후)",$L:$L,"&gt;0")&lt;&gt;1,"",SUMIFS($L:$L,$C:$C,$C65,$D:$D,"P0(후)"))</f>
        <v/>
      </c>
      <c r="R65" s="30">
        <f>IF(M65&lt;&gt;"OK","",O65+(Q65-O65)*(H65-N65)/(P65-N65))</f>
        <v/>
      </c>
      <c r="S65" s="30">
        <f>IF(OR(M65&lt;&gt;"OK",NOT(ISNUMBER(L65))),"",L65-R65)</f>
        <v/>
      </c>
      <c r="T65" s="46">
        <f>IF(OR(NOT(ISNUMBER(S65)),IF(ISNUMBER(G65),G65,F65)=0),"",S65/IF(ISNUMBER(G65),G65,F65))</f>
        <v/>
      </c>
      <c r="U65" s="46">
        <f>IF(ISNUMBER(T65),ABS(T65),"")</f>
        <v/>
      </c>
      <c r="V65" s="46">
        <f>IF(OR($D64&lt;&gt;"측정",$C64&lt;&gt;$C65,NOT(ISNUMBER(L65)),NOT(ISNUMBER(L64)),(IF(ISNUMBER(G65),G65,F65)-IF(ISNUMBER(G64),G64,F64))=0),"",(L65-L64)/(IF(ISNUMBER(G65),G65,F65)-IF(ISNUMBER(G64),G64,F64)))</f>
        <v/>
      </c>
      <c r="W65" s="30">
        <f>IF(NOT(AND(ISNUMBER(N65),ISNUMBER(P65))),"",(P65-N65)*1440)</f>
        <v/>
      </c>
      <c r="X65" s="28" t="n"/>
      <c r="Y65" s="28" t="n"/>
      <c r="Z65" s="28" t="n"/>
      <c r="AA65" s="31" t="n"/>
      <c r="AB65" s="31" t="n"/>
    </row>
    <row r="66">
      <c r="A66" s="25" t="inlineStr">
        <is>
          <t>S02</t>
        </is>
      </c>
      <c r="B66" s="25" t="inlineStr">
        <is>
          <t>임계 신규점1</t>
        </is>
      </c>
      <c r="C66" s="25" t="inlineStr">
        <is>
          <t>S02-H동</t>
        </is>
      </c>
      <c r="D66" s="25" t="inlineStr">
        <is>
          <t>측정</t>
        </is>
      </c>
      <c r="E66" s="25" t="inlineStr">
        <is>
          <t>동</t>
        </is>
      </c>
      <c r="F66" s="30" t="n">
        <v>8</v>
      </c>
      <c r="G66" s="29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IF(COUNTIFS($C:$C,$C66,$D:$D,"P0(전)",$L:$L,"&gt;0")&lt;&gt;1,"P0(전) 유효 1개 아님",IF(COUNTIFS($C:$C,$C66,$D:$D,"P0(후)",$L:$L,"&gt;0")&lt;&gt;1,"P0(후) 유효 1개 아님",IF(NOT(AND(ISNUMBER(N66),ISNUMBER(P66),ISNUMBER(H66))),"시각 결측",IF(P66&lt;=N66,"P0 시각 역전",IF(OR(H66&lt;N66,H66&gt;P66),"측정시각 구간 밖","OK")))))</f>
        <v/>
      </c>
      <c r="N66" s="45">
        <f>IF(COUNTIFS($C:$C,$C66,$D:$D,"P0(전)",$L:$L,"&gt;0")&lt;&gt;1,"",SUMIFS($H:$H,$C:$C,$C66,$D:$D,"P0(전)"))</f>
        <v/>
      </c>
      <c r="O66" s="30">
        <f>IF(COUNTIFS($C:$C,$C66,$D:$D,"P0(전)",$L:$L,"&gt;0")&lt;&gt;1,"",SUMIFS($L:$L,$C:$C,$C66,$D:$D,"P0(전)"))</f>
        <v/>
      </c>
      <c r="P66" s="45">
        <f>IF(COUNTIFS($C:$C,$C66,$D:$D,"P0(후)",$L:$L,"&gt;0")&lt;&gt;1,"",SUMIFS($H:$H,$C:$C,$C66,$D:$D,"P0(후)"))</f>
        <v/>
      </c>
      <c r="Q66" s="30">
        <f>IF(COUNTIFS($C:$C,$C66,$D:$D,"P0(후)",$L:$L,"&gt;0")&lt;&gt;1,"",SUMIFS($L:$L,$C:$C,$C66,$D:$D,"P0(후)"))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IF(OR(NOT(ISNUMBER(S66)),IF(ISNUMBER(G66),G66,F66)=0),"",S66/IF(ISNUMBER(G66),G66,F66))</f>
        <v/>
      </c>
      <c r="U66" s="46">
        <f>IF(ISNUMBER(T66),ABS(T66),"")</f>
        <v/>
      </c>
      <c r="V66" s="46">
        <f>IF(OR($D65&lt;&gt;"측정",$C65&lt;&gt;$C66,NOT(ISNUMBER(L66)),NOT(ISNUMBER(L65)),(IF(ISNUMBER(G66),G66,F66)-IF(ISNUMBER(G65),G65,F65))=0),"",(L66-L65)/(IF(ISNUMBER(G66),G66,F66)-IF(ISNUMBER(G65),G65,F65)))</f>
        <v/>
      </c>
      <c r="W66" s="30">
        <f>IF(NOT(AND(ISNUMBER(N66),ISNUMBER(P66))),"",(P66-N66)*1440)</f>
        <v/>
      </c>
      <c r="X66" s="28" t="n"/>
      <c r="Y66" s="28" t="n"/>
      <c r="Z66" s="28" t="n"/>
      <c r="AA66" s="31" t="n"/>
      <c r="AB66" s="31" t="n"/>
    </row>
    <row r="67">
      <c r="A67" s="25" t="inlineStr">
        <is>
          <t>S02</t>
        </is>
      </c>
      <c r="B67" s="25" t="inlineStr">
        <is>
          <t>임계 신규점1</t>
        </is>
      </c>
      <c r="C67" s="25" t="inlineStr">
        <is>
          <t>S02-H동</t>
        </is>
      </c>
      <c r="D67" s="25" t="inlineStr">
        <is>
          <t>측정</t>
        </is>
      </c>
      <c r="E67" s="25" t="inlineStr">
        <is>
          <t>동</t>
        </is>
      </c>
      <c r="F67" s="30" t="n">
        <v>9</v>
      </c>
      <c r="G67" s="29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IF(COUNTIFS($C:$C,$C67,$D:$D,"P0(전)",$L:$L,"&gt;0")&lt;&gt;1,"P0(전) 유효 1개 아님",IF(COUNTIFS($C:$C,$C67,$D:$D,"P0(후)",$L:$L,"&gt;0")&lt;&gt;1,"P0(후) 유효 1개 아님",IF(NOT(AND(ISNUMBER(N67),ISNUMBER(P67),ISNUMBER(H67))),"시각 결측",IF(P67&lt;=N67,"P0 시각 역전",IF(OR(H67&lt;N67,H67&gt;P67),"측정시각 구간 밖","OK")))))</f>
        <v/>
      </c>
      <c r="N67" s="45">
        <f>IF(COUNTIFS($C:$C,$C67,$D:$D,"P0(전)",$L:$L,"&gt;0")&lt;&gt;1,"",SUMIFS($H:$H,$C:$C,$C67,$D:$D,"P0(전)"))</f>
        <v/>
      </c>
      <c r="O67" s="30">
        <f>IF(COUNTIFS($C:$C,$C67,$D:$D,"P0(전)",$L:$L,"&gt;0")&lt;&gt;1,"",SUMIFS($L:$L,$C:$C,$C67,$D:$D,"P0(전)"))</f>
        <v/>
      </c>
      <c r="P67" s="45">
        <f>IF(COUNTIFS($C:$C,$C67,$D:$D,"P0(후)",$L:$L,"&gt;0")&lt;&gt;1,"",SUMIFS($H:$H,$C:$C,$C67,$D:$D,"P0(후)"))</f>
        <v/>
      </c>
      <c r="Q67" s="30">
        <f>IF(COUNTIFS($C:$C,$C67,$D:$D,"P0(후)",$L:$L,"&gt;0")&lt;&gt;1,"",SUMIFS($L:$L,$C:$C,$C67,$D:$D,"P0(후)"))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IF(OR(NOT(ISNUMBER(S67)),IF(ISNUMBER(G67),G67,F67)=0),"",S67/IF(ISNUMBER(G67),G67,F67))</f>
        <v/>
      </c>
      <c r="U67" s="46">
        <f>IF(ISNUMBER(T67),ABS(T67),"")</f>
        <v/>
      </c>
      <c r="V67" s="46">
        <f>IF(OR($D66&lt;&gt;"측정",$C66&lt;&gt;$C67,NOT(ISNUMBER(L67)),NOT(ISNUMBER(L66)),(IF(ISNUMBER(G67),G67,F67)-IF(ISNUMBER(G66),G66,F66))=0),"",(L67-L66)/(IF(ISNUMBER(G67),G67,F67)-IF(ISNUMBER(G66),G66,F66)))</f>
        <v/>
      </c>
      <c r="W67" s="30">
        <f>IF(NOT(AND(ISNUMBER(N67),ISNUMBER(P67))),"",(P67-N67)*1440)</f>
        <v/>
      </c>
      <c r="X67" s="28" t="n"/>
      <c r="Y67" s="28" t="n"/>
      <c r="Z67" s="28" t="n"/>
      <c r="AA67" s="31" t="n"/>
      <c r="AB67" s="31" t="n"/>
    </row>
    <row r="68">
      <c r="A68" s="25" t="inlineStr">
        <is>
          <t>S02</t>
        </is>
      </c>
      <c r="B68" s="25" t="inlineStr">
        <is>
          <t>임계 신규점1</t>
        </is>
      </c>
      <c r="C68" s="25" t="inlineStr">
        <is>
          <t>S02-H동</t>
        </is>
      </c>
      <c r="D68" s="25" t="inlineStr">
        <is>
          <t>측정</t>
        </is>
      </c>
      <c r="E68" s="25" t="inlineStr">
        <is>
          <t>동</t>
        </is>
      </c>
      <c r="F68" s="30" t="n">
        <v>10</v>
      </c>
      <c r="G68" s="29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IF(COUNTIFS($C:$C,$C68,$D:$D,"P0(전)",$L:$L,"&gt;0")&lt;&gt;1,"P0(전) 유효 1개 아님",IF(COUNTIFS($C:$C,$C68,$D:$D,"P0(후)",$L:$L,"&gt;0")&lt;&gt;1,"P0(후) 유효 1개 아님",IF(NOT(AND(ISNUMBER(N68),ISNUMBER(P68),ISNUMBER(H68))),"시각 결측",IF(P68&lt;=N68,"P0 시각 역전",IF(OR(H68&lt;N68,H68&gt;P68),"측정시각 구간 밖","OK")))))</f>
        <v/>
      </c>
      <c r="N68" s="45">
        <f>IF(COUNTIFS($C:$C,$C68,$D:$D,"P0(전)",$L:$L,"&gt;0")&lt;&gt;1,"",SUMIFS($H:$H,$C:$C,$C68,$D:$D,"P0(전)"))</f>
        <v/>
      </c>
      <c r="O68" s="30">
        <f>IF(COUNTIFS($C:$C,$C68,$D:$D,"P0(전)",$L:$L,"&gt;0")&lt;&gt;1,"",SUMIFS($L:$L,$C:$C,$C68,$D:$D,"P0(전)"))</f>
        <v/>
      </c>
      <c r="P68" s="45">
        <f>IF(COUNTIFS($C:$C,$C68,$D:$D,"P0(후)",$L:$L,"&gt;0")&lt;&gt;1,"",SUMIFS($H:$H,$C:$C,$C68,$D:$D,"P0(후)"))</f>
        <v/>
      </c>
      <c r="Q68" s="30">
        <f>IF(COUNTIFS($C:$C,$C68,$D:$D,"P0(후)",$L:$L,"&gt;0")&lt;&gt;1,"",SUMIFS($L:$L,$C:$C,$C68,$D:$D,"P0(후)"))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IF(OR(NOT(ISNUMBER(S68)),IF(ISNUMBER(G68),G68,F68)=0),"",S68/IF(ISNUMBER(G68),G68,F68))</f>
        <v/>
      </c>
      <c r="U68" s="46">
        <f>IF(ISNUMBER(T68),ABS(T68),"")</f>
        <v/>
      </c>
      <c r="V68" s="46">
        <f>IF(OR($D67&lt;&gt;"측정",$C67&lt;&gt;$C68,NOT(ISNUMBER(L68)),NOT(ISNUMBER(L67)),(IF(ISNUMBER(G68),G68,F68)-IF(ISNUMBER(G67),G67,F67))=0),"",(L68-L67)/(IF(ISNUMBER(G68),G68,F68)-IF(ISNUMBER(G67),G67,F67)))</f>
        <v/>
      </c>
      <c r="W68" s="30">
        <f>IF(NOT(AND(ISNUMBER(N68),ISNUMBER(P68))),"",(P68-N68)*1440)</f>
        <v/>
      </c>
      <c r="X68" s="28" t="n"/>
      <c r="Y68" s="28" t="n"/>
      <c r="Z68" s="28" t="n"/>
      <c r="AA68" s="31" t="n"/>
      <c r="AB68" s="31" t="n"/>
    </row>
    <row r="69">
      <c r="A69" s="43" t="inlineStr">
        <is>
          <t>S02</t>
        </is>
      </c>
      <c r="B69" s="43" t="inlineStr">
        <is>
          <t>임계 신규점1</t>
        </is>
      </c>
      <c r="C69" s="43" t="inlineStr">
        <is>
          <t>S02-H동</t>
        </is>
      </c>
      <c r="D69" s="43" t="inlineStr">
        <is>
          <t>P0(후)</t>
        </is>
      </c>
      <c r="E69" s="43" t="inlineStr">
        <is>
          <t>동</t>
        </is>
      </c>
      <c r="F69" s="44" t="n"/>
      <c r="G69" s="29" t="n"/>
      <c r="H69" s="42" t="n"/>
      <c r="I69" s="40" t="n"/>
      <c r="J69" s="40" t="n"/>
      <c r="K69" s="40" t="n"/>
      <c r="L69" s="30">
        <f>IF(COUNT(I69:K69)=0,"",MEDIAN(I69:K69))</f>
        <v/>
      </c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28" t="n"/>
      <c r="Y69" s="28" t="n"/>
      <c r="Z69" s="28" t="n"/>
      <c r="AA69" s="31" t="n"/>
      <c r="AB69" s="31" t="n"/>
    </row>
    <row r="70">
      <c r="A70" s="43" t="inlineStr">
        <is>
          <t>S02</t>
        </is>
      </c>
      <c r="B70" s="43" t="inlineStr">
        <is>
          <t>임계 신규점1</t>
        </is>
      </c>
      <c r="C70" s="43" t="inlineStr">
        <is>
          <t>S02-H서</t>
        </is>
      </c>
      <c r="D70" s="43" t="inlineStr">
        <is>
          <t>P0(전)</t>
        </is>
      </c>
      <c r="E70" s="43" t="inlineStr">
        <is>
          <t>서</t>
        </is>
      </c>
      <c r="F70" s="44" t="n"/>
      <c r="G70" s="29" t="n"/>
      <c r="H70" s="42" t="n"/>
      <c r="I70" s="40" t="n"/>
      <c r="J70" s="40" t="n"/>
      <c r="K70" s="40" t="n"/>
      <c r="L70" s="30">
        <f>IF(COUNT(I70:K70)=0,"",MEDIAN(I70:K70))</f>
        <v/>
      </c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28" t="n"/>
      <c r="Y70" s="28" t="n"/>
      <c r="Z70" s="28" t="n"/>
      <c r="AA70" s="31" t="n"/>
      <c r="AB70" s="31" t="n"/>
    </row>
    <row r="71">
      <c r="A71" s="25" t="inlineStr">
        <is>
          <t>S02</t>
        </is>
      </c>
      <c r="B71" s="25" t="inlineStr">
        <is>
          <t>임계 신규점1</t>
        </is>
      </c>
      <c r="C71" s="25" t="inlineStr">
        <is>
          <t>S02-H서</t>
        </is>
      </c>
      <c r="D71" s="25" t="inlineStr">
        <is>
          <t>측정</t>
        </is>
      </c>
      <c r="E71" s="25" t="inlineStr">
        <is>
          <t>서</t>
        </is>
      </c>
      <c r="F71" s="30" t="n">
        <v>0.5</v>
      </c>
      <c r="G71" s="29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IF(COUNTIFS($C:$C,$C71,$D:$D,"P0(전)",$L:$L,"&gt;0")&lt;&gt;1,"P0(전) 유효 1개 아님",IF(COUNTIFS($C:$C,$C71,$D:$D,"P0(후)",$L:$L,"&gt;0")&lt;&gt;1,"P0(후) 유효 1개 아님",IF(NOT(AND(ISNUMBER(N71),ISNUMBER(P71),ISNUMBER(H71))),"시각 결측",IF(P71&lt;=N71,"P0 시각 역전",IF(OR(H71&lt;N71,H71&gt;P71),"측정시각 구간 밖","OK")))))</f>
        <v/>
      </c>
      <c r="N71" s="45">
        <f>IF(COUNTIFS($C:$C,$C71,$D:$D,"P0(전)",$L:$L,"&gt;0")&lt;&gt;1,"",SUMIFS($H:$H,$C:$C,$C71,$D:$D,"P0(전)"))</f>
        <v/>
      </c>
      <c r="O71" s="30">
        <f>IF(COUNTIFS($C:$C,$C71,$D:$D,"P0(전)",$L:$L,"&gt;0")&lt;&gt;1,"",SUMIFS($L:$L,$C:$C,$C71,$D:$D,"P0(전)"))</f>
        <v/>
      </c>
      <c r="P71" s="45">
        <f>IF(COUNTIFS($C:$C,$C71,$D:$D,"P0(후)",$L:$L,"&gt;0")&lt;&gt;1,"",SUMIFS($H:$H,$C:$C,$C71,$D:$D,"P0(후)"))</f>
        <v/>
      </c>
      <c r="Q71" s="30">
        <f>IF(COUNTIFS($C:$C,$C71,$D:$D,"P0(후)",$L:$L,"&gt;0")&lt;&gt;1,"",SUMIFS($L:$L,$C:$C,$C71,$D:$D,"P0(후)"))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IF(OR(NOT(ISNUMBER(S71)),IF(ISNUMBER(G71),G71,F71)=0),"",S71/IF(ISNUMBER(G71),G71,F71))</f>
        <v/>
      </c>
      <c r="U71" s="46">
        <f>IF(ISNUMBER(T71),ABS(T71),"")</f>
        <v/>
      </c>
      <c r="V71" s="46">
        <f>IF(OR($D70&lt;&gt;"측정",$C70&lt;&gt;$C71,NOT(ISNUMBER(L71)),NOT(ISNUMBER(L70)),(IF(ISNUMBER(G71),G71,F71)-IF(ISNUMBER(G70),G70,F70))=0),"",(L71-L70)/(IF(ISNUMBER(G71),G71,F71)-IF(ISNUMBER(G70),G70,F70)))</f>
        <v/>
      </c>
      <c r="W71" s="30">
        <f>IF(NOT(AND(ISNUMBER(N71),ISNUMBER(P71))),"",(P71-N71)*1440)</f>
        <v/>
      </c>
      <c r="X71" s="28" t="n"/>
      <c r="Y71" s="28" t="n"/>
      <c r="Z71" s="28" t="n"/>
      <c r="AA71" s="31" t="n"/>
      <c r="AB71" s="31" t="n"/>
    </row>
    <row r="72">
      <c r="A72" s="25" t="inlineStr">
        <is>
          <t>S02</t>
        </is>
      </c>
      <c r="B72" s="25" t="inlineStr">
        <is>
          <t>임계 신규점1</t>
        </is>
      </c>
      <c r="C72" s="25" t="inlineStr">
        <is>
          <t>S02-H서</t>
        </is>
      </c>
      <c r="D72" s="25" t="inlineStr">
        <is>
          <t>측정</t>
        </is>
      </c>
      <c r="E72" s="25" t="inlineStr">
        <is>
          <t>서</t>
        </is>
      </c>
      <c r="F72" s="30" t="n">
        <v>1</v>
      </c>
      <c r="G72" s="29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IF(COUNTIFS($C:$C,$C72,$D:$D,"P0(전)",$L:$L,"&gt;0")&lt;&gt;1,"P0(전) 유효 1개 아님",IF(COUNTIFS($C:$C,$C72,$D:$D,"P0(후)",$L:$L,"&gt;0")&lt;&gt;1,"P0(후) 유효 1개 아님",IF(NOT(AND(ISNUMBER(N72),ISNUMBER(P72),ISNUMBER(H72))),"시각 결측",IF(P72&lt;=N72,"P0 시각 역전",IF(OR(H72&lt;N72,H72&gt;P72),"측정시각 구간 밖","OK")))))</f>
        <v/>
      </c>
      <c r="N72" s="45">
        <f>IF(COUNTIFS($C:$C,$C72,$D:$D,"P0(전)",$L:$L,"&gt;0")&lt;&gt;1,"",SUMIFS($H:$H,$C:$C,$C72,$D:$D,"P0(전)"))</f>
        <v/>
      </c>
      <c r="O72" s="30">
        <f>IF(COUNTIFS($C:$C,$C72,$D:$D,"P0(전)",$L:$L,"&gt;0")&lt;&gt;1,"",SUMIFS($L:$L,$C:$C,$C72,$D:$D,"P0(전)"))</f>
        <v/>
      </c>
      <c r="P72" s="45">
        <f>IF(COUNTIFS($C:$C,$C72,$D:$D,"P0(후)",$L:$L,"&gt;0")&lt;&gt;1,"",SUMIFS($H:$H,$C:$C,$C72,$D:$D,"P0(후)"))</f>
        <v/>
      </c>
      <c r="Q72" s="30">
        <f>IF(COUNTIFS($C:$C,$C72,$D:$D,"P0(후)",$L:$L,"&gt;0")&lt;&gt;1,"",SUMIFS($L:$L,$C:$C,$C72,$D:$D,"P0(후)"))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IF(OR(NOT(ISNUMBER(S72)),IF(ISNUMBER(G72),G72,F72)=0),"",S72/IF(ISNUMBER(G72),G72,F72))</f>
        <v/>
      </c>
      <c r="U72" s="46">
        <f>IF(ISNUMBER(T72),ABS(T72),"")</f>
        <v/>
      </c>
      <c r="V72" s="46">
        <f>IF(OR($D71&lt;&gt;"측정",$C71&lt;&gt;$C72,NOT(ISNUMBER(L72)),NOT(ISNUMBER(L71)),(IF(ISNUMBER(G72),G72,F72)-IF(ISNUMBER(G71),G71,F71))=0),"",(L72-L71)/(IF(ISNUMBER(G72),G72,F72)-IF(ISNUMBER(G71),G71,F71)))</f>
        <v/>
      </c>
      <c r="W72" s="30">
        <f>IF(NOT(AND(ISNUMBER(N72),ISNUMBER(P72))),"",(P72-N72)*1440)</f>
        <v/>
      </c>
      <c r="X72" s="28" t="n"/>
      <c r="Y72" s="28" t="n"/>
      <c r="Z72" s="28" t="n"/>
      <c r="AA72" s="31" t="n"/>
      <c r="AB72" s="31" t="n"/>
    </row>
    <row r="73">
      <c r="A73" s="25" t="inlineStr">
        <is>
          <t>S02</t>
        </is>
      </c>
      <c r="B73" s="25" t="inlineStr">
        <is>
          <t>임계 신규점1</t>
        </is>
      </c>
      <c r="C73" s="25" t="inlineStr">
        <is>
          <t>S02-H서</t>
        </is>
      </c>
      <c r="D73" s="25" t="inlineStr">
        <is>
          <t>측정</t>
        </is>
      </c>
      <c r="E73" s="25" t="inlineStr">
        <is>
          <t>서</t>
        </is>
      </c>
      <c r="F73" s="30" t="n">
        <v>2</v>
      </c>
      <c r="G73" s="29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IF(COUNTIFS($C:$C,$C73,$D:$D,"P0(전)",$L:$L,"&gt;0")&lt;&gt;1,"P0(전) 유효 1개 아님",IF(COUNTIFS($C:$C,$C73,$D:$D,"P0(후)",$L:$L,"&gt;0")&lt;&gt;1,"P0(후) 유효 1개 아님",IF(NOT(AND(ISNUMBER(N73),ISNUMBER(P73),ISNUMBER(H73))),"시각 결측",IF(P73&lt;=N73,"P0 시각 역전",IF(OR(H73&lt;N73,H73&gt;P73),"측정시각 구간 밖","OK")))))</f>
        <v/>
      </c>
      <c r="N73" s="45">
        <f>IF(COUNTIFS($C:$C,$C73,$D:$D,"P0(전)",$L:$L,"&gt;0")&lt;&gt;1,"",SUMIFS($H:$H,$C:$C,$C73,$D:$D,"P0(전)"))</f>
        <v/>
      </c>
      <c r="O73" s="30">
        <f>IF(COUNTIFS($C:$C,$C73,$D:$D,"P0(전)",$L:$L,"&gt;0")&lt;&gt;1,"",SUMIFS($L:$L,$C:$C,$C73,$D:$D,"P0(전)"))</f>
        <v/>
      </c>
      <c r="P73" s="45">
        <f>IF(COUNTIFS($C:$C,$C73,$D:$D,"P0(후)",$L:$L,"&gt;0")&lt;&gt;1,"",SUMIFS($H:$H,$C:$C,$C73,$D:$D,"P0(후)"))</f>
        <v/>
      </c>
      <c r="Q73" s="30">
        <f>IF(COUNTIFS($C:$C,$C73,$D:$D,"P0(후)",$L:$L,"&gt;0")&lt;&gt;1,"",SUMIFS($L:$L,$C:$C,$C73,$D:$D,"P0(후)"))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IF(OR(NOT(ISNUMBER(S73)),IF(ISNUMBER(G73),G73,F73)=0),"",S73/IF(ISNUMBER(G73),G73,F73))</f>
        <v/>
      </c>
      <c r="U73" s="46">
        <f>IF(ISNUMBER(T73),ABS(T73),"")</f>
        <v/>
      </c>
      <c r="V73" s="46">
        <f>IF(OR($D72&lt;&gt;"측정",$C72&lt;&gt;$C73,NOT(ISNUMBER(L73)),NOT(ISNUMBER(L72)),(IF(ISNUMBER(G73),G73,F73)-IF(ISNUMBER(G72),G72,F72))=0),"",(L73-L72)/(IF(ISNUMBER(G73),G73,F73)-IF(ISNUMBER(G72),G72,F72)))</f>
        <v/>
      </c>
      <c r="W73" s="30">
        <f>IF(NOT(AND(ISNUMBER(N73),ISNUMBER(P73))),"",(P73-N73)*1440)</f>
        <v/>
      </c>
      <c r="X73" s="28" t="n"/>
      <c r="Y73" s="28" t="n"/>
      <c r="Z73" s="28" t="n"/>
      <c r="AA73" s="31" t="n"/>
      <c r="AB73" s="31" t="n"/>
    </row>
    <row r="74">
      <c r="A74" s="25" t="inlineStr">
        <is>
          <t>S02</t>
        </is>
      </c>
      <c r="B74" s="25" t="inlineStr">
        <is>
          <t>임계 신규점1</t>
        </is>
      </c>
      <c r="C74" s="25" t="inlineStr">
        <is>
          <t>S02-H서</t>
        </is>
      </c>
      <c r="D74" s="25" t="inlineStr">
        <is>
          <t>측정</t>
        </is>
      </c>
      <c r="E74" s="25" t="inlineStr">
        <is>
          <t>서</t>
        </is>
      </c>
      <c r="F74" s="30" t="n">
        <v>3</v>
      </c>
      <c r="G74" s="29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IF(COUNTIFS($C:$C,$C74,$D:$D,"P0(전)",$L:$L,"&gt;0")&lt;&gt;1,"P0(전) 유효 1개 아님",IF(COUNTIFS($C:$C,$C74,$D:$D,"P0(후)",$L:$L,"&gt;0")&lt;&gt;1,"P0(후) 유효 1개 아님",IF(NOT(AND(ISNUMBER(N74),ISNUMBER(P74),ISNUMBER(H74))),"시각 결측",IF(P74&lt;=N74,"P0 시각 역전",IF(OR(H74&lt;N74,H74&gt;P74),"측정시각 구간 밖","OK")))))</f>
        <v/>
      </c>
      <c r="N74" s="45">
        <f>IF(COUNTIFS($C:$C,$C74,$D:$D,"P0(전)",$L:$L,"&gt;0")&lt;&gt;1,"",SUMIFS($H:$H,$C:$C,$C74,$D:$D,"P0(전)"))</f>
        <v/>
      </c>
      <c r="O74" s="30">
        <f>IF(COUNTIFS($C:$C,$C74,$D:$D,"P0(전)",$L:$L,"&gt;0")&lt;&gt;1,"",SUMIFS($L:$L,$C:$C,$C74,$D:$D,"P0(전)"))</f>
        <v/>
      </c>
      <c r="P74" s="45">
        <f>IF(COUNTIFS($C:$C,$C74,$D:$D,"P0(후)",$L:$L,"&gt;0")&lt;&gt;1,"",SUMIFS($H:$H,$C:$C,$C74,$D:$D,"P0(후)"))</f>
        <v/>
      </c>
      <c r="Q74" s="30">
        <f>IF(COUNTIFS($C:$C,$C74,$D:$D,"P0(후)",$L:$L,"&gt;0")&lt;&gt;1,"",SUMIFS($L:$L,$C:$C,$C74,$D:$D,"P0(후)"))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IF(OR(NOT(ISNUMBER(S74)),IF(ISNUMBER(G74),G74,F74)=0),"",S74/IF(ISNUMBER(G74),G74,F74))</f>
        <v/>
      </c>
      <c r="U74" s="46">
        <f>IF(ISNUMBER(T74),ABS(T74),"")</f>
        <v/>
      </c>
      <c r="V74" s="46">
        <f>IF(OR($D73&lt;&gt;"측정",$C73&lt;&gt;$C74,NOT(ISNUMBER(L74)),NOT(ISNUMBER(L73)),(IF(ISNUMBER(G74),G74,F74)-IF(ISNUMBER(G73),G73,F73))=0),"",(L74-L73)/(IF(ISNUMBER(G74),G74,F74)-IF(ISNUMBER(G73),G73,F73)))</f>
        <v/>
      </c>
      <c r="W74" s="30">
        <f>IF(NOT(AND(ISNUMBER(N74),ISNUMBER(P74))),"",(P74-N74)*1440)</f>
        <v/>
      </c>
      <c r="X74" s="28" t="n"/>
      <c r="Y74" s="28" t="n"/>
      <c r="Z74" s="28" t="n"/>
      <c r="AA74" s="31" t="n"/>
      <c r="AB74" s="31" t="n"/>
    </row>
    <row r="75">
      <c r="A75" s="25" t="inlineStr">
        <is>
          <t>S02</t>
        </is>
      </c>
      <c r="B75" s="25" t="inlineStr">
        <is>
          <t>임계 신규점1</t>
        </is>
      </c>
      <c r="C75" s="25" t="inlineStr">
        <is>
          <t>S02-H서</t>
        </is>
      </c>
      <c r="D75" s="25" t="inlineStr">
        <is>
          <t>측정</t>
        </is>
      </c>
      <c r="E75" s="25" t="inlineStr">
        <is>
          <t>서</t>
        </is>
      </c>
      <c r="F75" s="30" t="n">
        <v>4</v>
      </c>
      <c r="G75" s="29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IF(COUNTIFS($C:$C,$C75,$D:$D,"P0(전)",$L:$L,"&gt;0")&lt;&gt;1,"P0(전) 유효 1개 아님",IF(COUNTIFS($C:$C,$C75,$D:$D,"P0(후)",$L:$L,"&gt;0")&lt;&gt;1,"P0(후) 유효 1개 아님",IF(NOT(AND(ISNUMBER(N75),ISNUMBER(P75),ISNUMBER(H75))),"시각 결측",IF(P75&lt;=N75,"P0 시각 역전",IF(OR(H75&lt;N75,H75&gt;P75),"측정시각 구간 밖","OK")))))</f>
        <v/>
      </c>
      <c r="N75" s="45">
        <f>IF(COUNTIFS($C:$C,$C75,$D:$D,"P0(전)",$L:$L,"&gt;0")&lt;&gt;1,"",SUMIFS($H:$H,$C:$C,$C75,$D:$D,"P0(전)"))</f>
        <v/>
      </c>
      <c r="O75" s="30">
        <f>IF(COUNTIFS($C:$C,$C75,$D:$D,"P0(전)",$L:$L,"&gt;0")&lt;&gt;1,"",SUMIFS($L:$L,$C:$C,$C75,$D:$D,"P0(전)"))</f>
        <v/>
      </c>
      <c r="P75" s="45">
        <f>IF(COUNTIFS($C:$C,$C75,$D:$D,"P0(후)",$L:$L,"&gt;0")&lt;&gt;1,"",SUMIFS($H:$H,$C:$C,$C75,$D:$D,"P0(후)"))</f>
        <v/>
      </c>
      <c r="Q75" s="30">
        <f>IF(COUNTIFS($C:$C,$C75,$D:$D,"P0(후)",$L:$L,"&gt;0")&lt;&gt;1,"",SUMIFS($L:$L,$C:$C,$C75,$D:$D,"P0(후)"))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IF(OR(NOT(ISNUMBER(S75)),IF(ISNUMBER(G75),G75,F75)=0),"",S75/IF(ISNUMBER(G75),G75,F75))</f>
        <v/>
      </c>
      <c r="U75" s="46">
        <f>IF(ISNUMBER(T75),ABS(T75),"")</f>
        <v/>
      </c>
      <c r="V75" s="46">
        <f>IF(OR($D74&lt;&gt;"측정",$C74&lt;&gt;$C75,NOT(ISNUMBER(L75)),NOT(ISNUMBER(L74)),(IF(ISNUMBER(G75),G75,F75)-IF(ISNUMBER(G74),G74,F74))=0),"",(L75-L74)/(IF(ISNUMBER(G75),G75,F75)-IF(ISNUMBER(G74),G74,F74)))</f>
        <v/>
      </c>
      <c r="W75" s="30">
        <f>IF(NOT(AND(ISNUMBER(N75),ISNUMBER(P75))),"",(P75-N75)*1440)</f>
        <v/>
      </c>
      <c r="X75" s="28" t="n"/>
      <c r="Y75" s="28" t="n"/>
      <c r="Z75" s="28" t="n"/>
      <c r="AA75" s="31" t="n"/>
      <c r="AB75" s="31" t="n"/>
    </row>
    <row r="76">
      <c r="A76" s="25" t="inlineStr">
        <is>
          <t>S02</t>
        </is>
      </c>
      <c r="B76" s="25" t="inlineStr">
        <is>
          <t>임계 신규점1</t>
        </is>
      </c>
      <c r="C76" s="25" t="inlineStr">
        <is>
          <t>S02-H서</t>
        </is>
      </c>
      <c r="D76" s="25" t="inlineStr">
        <is>
          <t>측정</t>
        </is>
      </c>
      <c r="E76" s="25" t="inlineStr">
        <is>
          <t>서</t>
        </is>
      </c>
      <c r="F76" s="30" t="n">
        <v>5</v>
      </c>
      <c r="G76" s="29" t="n"/>
      <c r="H76" s="42" t="n"/>
      <c r="I76" s="40" t="n"/>
      <c r="J76" s="40" t="n"/>
      <c r="K76" s="40" t="n"/>
      <c r="L76" s="30">
        <f>IF(COUNT(I76:K76)=0,"",MEDIAN(I76:K76))</f>
        <v/>
      </c>
      <c r="M76" s="25">
        <f>IF(COUNTIFS($C:$C,$C76,$D:$D,"P0(전)",$L:$L,"&gt;0")&lt;&gt;1,"P0(전) 유효 1개 아님",IF(COUNTIFS($C:$C,$C76,$D:$D,"P0(후)",$L:$L,"&gt;0")&lt;&gt;1,"P0(후) 유효 1개 아님",IF(NOT(AND(ISNUMBER(N76),ISNUMBER(P76),ISNUMBER(H76))),"시각 결측",IF(P76&lt;=N76,"P0 시각 역전",IF(OR(H76&lt;N76,H76&gt;P76),"측정시각 구간 밖","OK")))))</f>
        <v/>
      </c>
      <c r="N76" s="45">
        <f>IF(COUNTIFS($C:$C,$C76,$D:$D,"P0(전)",$L:$L,"&gt;0")&lt;&gt;1,"",SUMIFS($H:$H,$C:$C,$C76,$D:$D,"P0(전)"))</f>
        <v/>
      </c>
      <c r="O76" s="30">
        <f>IF(COUNTIFS($C:$C,$C76,$D:$D,"P0(전)",$L:$L,"&gt;0")&lt;&gt;1,"",SUMIFS($L:$L,$C:$C,$C76,$D:$D,"P0(전)"))</f>
        <v/>
      </c>
      <c r="P76" s="45">
        <f>IF(COUNTIFS($C:$C,$C76,$D:$D,"P0(후)",$L:$L,"&gt;0")&lt;&gt;1,"",SUMIFS($H:$H,$C:$C,$C76,$D:$D,"P0(후)"))</f>
        <v/>
      </c>
      <c r="Q76" s="30">
        <f>IF(COUNTIFS($C:$C,$C76,$D:$D,"P0(후)",$L:$L,"&gt;0")&lt;&gt;1,"",SUMIFS($L:$L,$C:$C,$C76,$D:$D,"P0(후)"))</f>
        <v/>
      </c>
      <c r="R76" s="30">
        <f>IF(M76&lt;&gt;"OK","",O76+(Q76-O76)*(H76-N76)/(P76-N76))</f>
        <v/>
      </c>
      <c r="S76" s="30">
        <f>IF(OR(M76&lt;&gt;"OK",NOT(ISNUMBER(L76))),"",L76-R76)</f>
        <v/>
      </c>
      <c r="T76" s="46">
        <f>IF(OR(NOT(ISNUMBER(S76)),IF(ISNUMBER(G76),G76,F76)=0),"",S76/IF(ISNUMBER(G76),G76,F76))</f>
        <v/>
      </c>
      <c r="U76" s="46">
        <f>IF(ISNUMBER(T76),ABS(T76),"")</f>
        <v/>
      </c>
      <c r="V76" s="46">
        <f>IF(OR($D75&lt;&gt;"측정",$C75&lt;&gt;$C76,NOT(ISNUMBER(L76)),NOT(ISNUMBER(L75)),(IF(ISNUMBER(G76),G76,F76)-IF(ISNUMBER(G75),G75,F75))=0),"",(L76-L75)/(IF(ISNUMBER(G76),G76,F76)-IF(ISNUMBER(G75),G75,F75)))</f>
        <v/>
      </c>
      <c r="W76" s="30">
        <f>IF(NOT(AND(ISNUMBER(N76),ISNUMBER(P76))),"",(P76-N76)*1440)</f>
        <v/>
      </c>
      <c r="X76" s="28" t="n"/>
      <c r="Y76" s="28" t="n"/>
      <c r="Z76" s="28" t="n"/>
      <c r="AA76" s="31" t="n"/>
      <c r="AB76" s="31" t="n"/>
    </row>
    <row r="77">
      <c r="A77" s="25" t="inlineStr">
        <is>
          <t>S02</t>
        </is>
      </c>
      <c r="B77" s="25" t="inlineStr">
        <is>
          <t>임계 신규점1</t>
        </is>
      </c>
      <c r="C77" s="25" t="inlineStr">
        <is>
          <t>S02-H서</t>
        </is>
      </c>
      <c r="D77" s="25" t="inlineStr">
        <is>
          <t>측정</t>
        </is>
      </c>
      <c r="E77" s="25" t="inlineStr">
        <is>
          <t>서</t>
        </is>
      </c>
      <c r="F77" s="30" t="n">
        <v>6</v>
      </c>
      <c r="G77" s="29" t="n"/>
      <c r="H77" s="42" t="n"/>
      <c r="I77" s="40" t="n"/>
      <c r="J77" s="40" t="n"/>
      <c r="K77" s="40" t="n"/>
      <c r="L77" s="30">
        <f>IF(COUNT(I77:K77)=0,"",MEDIAN(I77:K77))</f>
        <v/>
      </c>
      <c r="M77" s="25">
        <f>IF(COUNTIFS($C:$C,$C77,$D:$D,"P0(전)",$L:$L,"&gt;0")&lt;&gt;1,"P0(전) 유효 1개 아님",IF(COUNTIFS($C:$C,$C77,$D:$D,"P0(후)",$L:$L,"&gt;0")&lt;&gt;1,"P0(후) 유효 1개 아님",IF(NOT(AND(ISNUMBER(N77),ISNUMBER(P77),ISNUMBER(H77))),"시각 결측",IF(P77&lt;=N77,"P0 시각 역전",IF(OR(H77&lt;N77,H77&gt;P77),"측정시각 구간 밖","OK")))))</f>
        <v/>
      </c>
      <c r="N77" s="45">
        <f>IF(COUNTIFS($C:$C,$C77,$D:$D,"P0(전)",$L:$L,"&gt;0")&lt;&gt;1,"",SUMIFS($H:$H,$C:$C,$C77,$D:$D,"P0(전)"))</f>
        <v/>
      </c>
      <c r="O77" s="30">
        <f>IF(COUNTIFS($C:$C,$C77,$D:$D,"P0(전)",$L:$L,"&gt;0")&lt;&gt;1,"",SUMIFS($L:$L,$C:$C,$C77,$D:$D,"P0(전)"))</f>
        <v/>
      </c>
      <c r="P77" s="45">
        <f>IF(COUNTIFS($C:$C,$C77,$D:$D,"P0(후)",$L:$L,"&gt;0")&lt;&gt;1,"",SUMIFS($H:$H,$C:$C,$C77,$D:$D,"P0(후)"))</f>
        <v/>
      </c>
      <c r="Q77" s="30">
        <f>IF(COUNTIFS($C:$C,$C77,$D:$D,"P0(후)",$L:$L,"&gt;0")&lt;&gt;1,"",SUMIFS($L:$L,$C:$C,$C77,$D:$D,"P0(후)"))</f>
        <v/>
      </c>
      <c r="R77" s="30">
        <f>IF(M77&lt;&gt;"OK","",O77+(Q77-O77)*(H77-N77)/(P77-N77))</f>
        <v/>
      </c>
      <c r="S77" s="30">
        <f>IF(OR(M77&lt;&gt;"OK",NOT(ISNUMBER(L77))),"",L77-R77)</f>
        <v/>
      </c>
      <c r="T77" s="46">
        <f>IF(OR(NOT(ISNUMBER(S77)),IF(ISNUMBER(G77),G77,F77)=0),"",S77/IF(ISNUMBER(G77),G77,F77))</f>
        <v/>
      </c>
      <c r="U77" s="46">
        <f>IF(ISNUMBER(T77),ABS(T77),"")</f>
        <v/>
      </c>
      <c r="V77" s="46">
        <f>IF(OR($D76&lt;&gt;"측정",$C76&lt;&gt;$C77,NOT(ISNUMBER(L77)),NOT(ISNUMBER(L76)),(IF(ISNUMBER(G77),G77,F77)-IF(ISNUMBER(G76),G76,F76))=0),"",(L77-L76)/(IF(ISNUMBER(G77),G77,F77)-IF(ISNUMBER(G76),G76,F76)))</f>
        <v/>
      </c>
      <c r="W77" s="30">
        <f>IF(NOT(AND(ISNUMBER(N77),ISNUMBER(P77))),"",(P77-N77)*1440)</f>
        <v/>
      </c>
      <c r="X77" s="28" t="n"/>
      <c r="Y77" s="28" t="n"/>
      <c r="Z77" s="28" t="n"/>
      <c r="AA77" s="31" t="n"/>
      <c r="AB77" s="31" t="n"/>
    </row>
    <row r="78">
      <c r="A78" s="25" t="inlineStr">
        <is>
          <t>S02</t>
        </is>
      </c>
      <c r="B78" s="25" t="inlineStr">
        <is>
          <t>임계 신규점1</t>
        </is>
      </c>
      <c r="C78" s="25" t="inlineStr">
        <is>
          <t>S02-H서</t>
        </is>
      </c>
      <c r="D78" s="25" t="inlineStr">
        <is>
          <t>측정</t>
        </is>
      </c>
      <c r="E78" s="25" t="inlineStr">
        <is>
          <t>서</t>
        </is>
      </c>
      <c r="F78" s="30" t="n">
        <v>7</v>
      </c>
      <c r="G78" s="29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IF(COUNTIFS($C:$C,$C78,$D:$D,"P0(전)",$L:$L,"&gt;0")&lt;&gt;1,"P0(전) 유효 1개 아님",IF(COUNTIFS($C:$C,$C78,$D:$D,"P0(후)",$L:$L,"&gt;0")&lt;&gt;1,"P0(후) 유효 1개 아님",IF(NOT(AND(ISNUMBER(N78),ISNUMBER(P78),ISNUMBER(H78))),"시각 결측",IF(P78&lt;=N78,"P0 시각 역전",IF(OR(H78&lt;N78,H78&gt;P78),"측정시각 구간 밖","OK")))))</f>
        <v/>
      </c>
      <c r="N78" s="45">
        <f>IF(COUNTIFS($C:$C,$C78,$D:$D,"P0(전)",$L:$L,"&gt;0")&lt;&gt;1,"",SUMIFS($H:$H,$C:$C,$C78,$D:$D,"P0(전)"))</f>
        <v/>
      </c>
      <c r="O78" s="30">
        <f>IF(COUNTIFS($C:$C,$C78,$D:$D,"P0(전)",$L:$L,"&gt;0")&lt;&gt;1,"",SUMIFS($L:$L,$C:$C,$C78,$D:$D,"P0(전)"))</f>
        <v/>
      </c>
      <c r="P78" s="45">
        <f>IF(COUNTIFS($C:$C,$C78,$D:$D,"P0(후)",$L:$L,"&gt;0")&lt;&gt;1,"",SUMIFS($H:$H,$C:$C,$C78,$D:$D,"P0(후)"))</f>
        <v/>
      </c>
      <c r="Q78" s="30">
        <f>IF(COUNTIFS($C:$C,$C78,$D:$D,"P0(후)",$L:$L,"&gt;0")&lt;&gt;1,"",SUMIFS($L:$L,$C:$C,$C78,$D:$D,"P0(후)"))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IF(OR(NOT(ISNUMBER(S78)),IF(ISNUMBER(G78),G78,F78)=0),"",S78/IF(ISNUMBER(G78),G78,F78))</f>
        <v/>
      </c>
      <c r="U78" s="46">
        <f>IF(ISNUMBER(T78),ABS(T78),"")</f>
        <v/>
      </c>
      <c r="V78" s="46">
        <f>IF(OR($D77&lt;&gt;"측정",$C77&lt;&gt;$C78,NOT(ISNUMBER(L78)),NOT(ISNUMBER(L77)),(IF(ISNUMBER(G78),G78,F78)-IF(ISNUMBER(G77),G77,F77))=0),"",(L78-L77)/(IF(ISNUMBER(G78),G78,F78)-IF(ISNUMBER(G77),G77,F77)))</f>
        <v/>
      </c>
      <c r="W78" s="30">
        <f>IF(NOT(AND(ISNUMBER(N78),ISNUMBER(P78))),"",(P78-N78)*1440)</f>
        <v/>
      </c>
      <c r="X78" s="28" t="n"/>
      <c r="Y78" s="28" t="n"/>
      <c r="Z78" s="28" t="n"/>
      <c r="AA78" s="31" t="n"/>
      <c r="AB78" s="31" t="n"/>
    </row>
    <row r="79">
      <c r="A79" s="25" t="inlineStr">
        <is>
          <t>S02</t>
        </is>
      </c>
      <c r="B79" s="25" t="inlineStr">
        <is>
          <t>임계 신규점1</t>
        </is>
      </c>
      <c r="C79" s="25" t="inlineStr">
        <is>
          <t>S02-H서</t>
        </is>
      </c>
      <c r="D79" s="25" t="inlineStr">
        <is>
          <t>측정</t>
        </is>
      </c>
      <c r="E79" s="25" t="inlineStr">
        <is>
          <t>서</t>
        </is>
      </c>
      <c r="F79" s="30" t="n">
        <v>8</v>
      </c>
      <c r="G79" s="29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IF(COUNTIFS($C:$C,$C79,$D:$D,"P0(전)",$L:$L,"&gt;0")&lt;&gt;1,"P0(전) 유효 1개 아님",IF(COUNTIFS($C:$C,$C79,$D:$D,"P0(후)",$L:$L,"&gt;0")&lt;&gt;1,"P0(후) 유효 1개 아님",IF(NOT(AND(ISNUMBER(N79),ISNUMBER(P79),ISNUMBER(H79))),"시각 결측",IF(P79&lt;=N79,"P0 시각 역전",IF(OR(H79&lt;N79,H79&gt;P79),"측정시각 구간 밖","OK")))))</f>
        <v/>
      </c>
      <c r="N79" s="45">
        <f>IF(COUNTIFS($C:$C,$C79,$D:$D,"P0(전)",$L:$L,"&gt;0")&lt;&gt;1,"",SUMIFS($H:$H,$C:$C,$C79,$D:$D,"P0(전)"))</f>
        <v/>
      </c>
      <c r="O79" s="30">
        <f>IF(COUNTIFS($C:$C,$C79,$D:$D,"P0(전)",$L:$L,"&gt;0")&lt;&gt;1,"",SUMIFS($L:$L,$C:$C,$C79,$D:$D,"P0(전)"))</f>
        <v/>
      </c>
      <c r="P79" s="45">
        <f>IF(COUNTIFS($C:$C,$C79,$D:$D,"P0(후)",$L:$L,"&gt;0")&lt;&gt;1,"",SUMIFS($H:$H,$C:$C,$C79,$D:$D,"P0(후)"))</f>
        <v/>
      </c>
      <c r="Q79" s="30">
        <f>IF(COUNTIFS($C:$C,$C79,$D:$D,"P0(후)",$L:$L,"&gt;0")&lt;&gt;1,"",SUMIFS($L:$L,$C:$C,$C79,$D:$D,"P0(후)"))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IF(OR(NOT(ISNUMBER(S79)),IF(ISNUMBER(G79),G79,F79)=0),"",S79/IF(ISNUMBER(G79),G79,F79))</f>
        <v/>
      </c>
      <c r="U79" s="46">
        <f>IF(ISNUMBER(T79),ABS(T79),"")</f>
        <v/>
      </c>
      <c r="V79" s="46">
        <f>IF(OR($D78&lt;&gt;"측정",$C78&lt;&gt;$C79,NOT(ISNUMBER(L79)),NOT(ISNUMBER(L78)),(IF(ISNUMBER(G79),G79,F79)-IF(ISNUMBER(G78),G78,F78))=0),"",(L79-L78)/(IF(ISNUMBER(G79),G79,F79)-IF(ISNUMBER(G78),G78,F78)))</f>
        <v/>
      </c>
      <c r="W79" s="30">
        <f>IF(NOT(AND(ISNUMBER(N79),ISNUMBER(P79))),"",(P79-N79)*1440)</f>
        <v/>
      </c>
      <c r="X79" s="28" t="n"/>
      <c r="Y79" s="28" t="n"/>
      <c r="Z79" s="28" t="n"/>
      <c r="AA79" s="31" t="n"/>
      <c r="AB79" s="31" t="n"/>
    </row>
    <row r="80">
      <c r="A80" s="25" t="inlineStr">
        <is>
          <t>S02</t>
        </is>
      </c>
      <c r="B80" s="25" t="inlineStr">
        <is>
          <t>임계 신규점1</t>
        </is>
      </c>
      <c r="C80" s="25" t="inlineStr">
        <is>
          <t>S02-H서</t>
        </is>
      </c>
      <c r="D80" s="25" t="inlineStr">
        <is>
          <t>측정</t>
        </is>
      </c>
      <c r="E80" s="25" t="inlineStr">
        <is>
          <t>서</t>
        </is>
      </c>
      <c r="F80" s="30" t="n">
        <v>9</v>
      </c>
      <c r="G80" s="29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IF(COUNTIFS($C:$C,$C80,$D:$D,"P0(전)",$L:$L,"&gt;0")&lt;&gt;1,"P0(전) 유효 1개 아님",IF(COUNTIFS($C:$C,$C80,$D:$D,"P0(후)",$L:$L,"&gt;0")&lt;&gt;1,"P0(후) 유효 1개 아님",IF(NOT(AND(ISNUMBER(N80),ISNUMBER(P80),ISNUMBER(H80))),"시각 결측",IF(P80&lt;=N80,"P0 시각 역전",IF(OR(H80&lt;N80,H80&gt;P80),"측정시각 구간 밖","OK")))))</f>
        <v/>
      </c>
      <c r="N80" s="45">
        <f>IF(COUNTIFS($C:$C,$C80,$D:$D,"P0(전)",$L:$L,"&gt;0")&lt;&gt;1,"",SUMIFS($H:$H,$C:$C,$C80,$D:$D,"P0(전)"))</f>
        <v/>
      </c>
      <c r="O80" s="30">
        <f>IF(COUNTIFS($C:$C,$C80,$D:$D,"P0(전)",$L:$L,"&gt;0")&lt;&gt;1,"",SUMIFS($L:$L,$C:$C,$C80,$D:$D,"P0(전)"))</f>
        <v/>
      </c>
      <c r="P80" s="45">
        <f>IF(COUNTIFS($C:$C,$C80,$D:$D,"P0(후)",$L:$L,"&gt;0")&lt;&gt;1,"",SUMIFS($H:$H,$C:$C,$C80,$D:$D,"P0(후)"))</f>
        <v/>
      </c>
      <c r="Q80" s="30">
        <f>IF(COUNTIFS($C:$C,$C80,$D:$D,"P0(후)",$L:$L,"&gt;0")&lt;&gt;1,"",SUMIFS($L:$L,$C:$C,$C80,$D:$D,"P0(후)"))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IF(OR(NOT(ISNUMBER(S80)),IF(ISNUMBER(G80),G80,F80)=0),"",S80/IF(ISNUMBER(G80),G80,F80))</f>
        <v/>
      </c>
      <c r="U80" s="46">
        <f>IF(ISNUMBER(T80),ABS(T80),"")</f>
        <v/>
      </c>
      <c r="V80" s="46">
        <f>IF(OR($D79&lt;&gt;"측정",$C79&lt;&gt;$C80,NOT(ISNUMBER(L80)),NOT(ISNUMBER(L79)),(IF(ISNUMBER(G80),G80,F80)-IF(ISNUMBER(G79),G79,F79))=0),"",(L80-L79)/(IF(ISNUMBER(G80),G80,F80)-IF(ISNUMBER(G79),G79,F79)))</f>
        <v/>
      </c>
      <c r="W80" s="30">
        <f>IF(NOT(AND(ISNUMBER(N80),ISNUMBER(P80))),"",(P80-N80)*1440)</f>
        <v/>
      </c>
      <c r="X80" s="28" t="n"/>
      <c r="Y80" s="28" t="n"/>
      <c r="Z80" s="28" t="n"/>
      <c r="AA80" s="31" t="n"/>
      <c r="AB80" s="31" t="n"/>
    </row>
    <row r="81">
      <c r="A81" s="25" t="inlineStr">
        <is>
          <t>S02</t>
        </is>
      </c>
      <c r="B81" s="25" t="inlineStr">
        <is>
          <t>임계 신규점1</t>
        </is>
      </c>
      <c r="C81" s="25" t="inlineStr">
        <is>
          <t>S02-H서</t>
        </is>
      </c>
      <c r="D81" s="25" t="inlineStr">
        <is>
          <t>측정</t>
        </is>
      </c>
      <c r="E81" s="25" t="inlineStr">
        <is>
          <t>서</t>
        </is>
      </c>
      <c r="F81" s="30" t="n">
        <v>10</v>
      </c>
      <c r="G81" s="29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IF(COUNTIFS($C:$C,$C81,$D:$D,"P0(전)",$L:$L,"&gt;0")&lt;&gt;1,"P0(전) 유효 1개 아님",IF(COUNTIFS($C:$C,$C81,$D:$D,"P0(후)",$L:$L,"&gt;0")&lt;&gt;1,"P0(후) 유효 1개 아님",IF(NOT(AND(ISNUMBER(N81),ISNUMBER(P81),ISNUMBER(H81))),"시각 결측",IF(P81&lt;=N81,"P0 시각 역전",IF(OR(H81&lt;N81,H81&gt;P81),"측정시각 구간 밖","OK")))))</f>
        <v/>
      </c>
      <c r="N81" s="45">
        <f>IF(COUNTIFS($C:$C,$C81,$D:$D,"P0(전)",$L:$L,"&gt;0")&lt;&gt;1,"",SUMIFS($H:$H,$C:$C,$C81,$D:$D,"P0(전)"))</f>
        <v/>
      </c>
      <c r="O81" s="30">
        <f>IF(COUNTIFS($C:$C,$C81,$D:$D,"P0(전)",$L:$L,"&gt;0")&lt;&gt;1,"",SUMIFS($L:$L,$C:$C,$C81,$D:$D,"P0(전)"))</f>
        <v/>
      </c>
      <c r="P81" s="45">
        <f>IF(COUNTIFS($C:$C,$C81,$D:$D,"P0(후)",$L:$L,"&gt;0")&lt;&gt;1,"",SUMIFS($H:$H,$C:$C,$C81,$D:$D,"P0(후)"))</f>
        <v/>
      </c>
      <c r="Q81" s="30">
        <f>IF(COUNTIFS($C:$C,$C81,$D:$D,"P0(후)",$L:$L,"&gt;0")&lt;&gt;1,"",SUMIFS($L:$L,$C:$C,$C81,$D:$D,"P0(후)"))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IF(OR(NOT(ISNUMBER(S81)),IF(ISNUMBER(G81),G81,F81)=0),"",S81/IF(ISNUMBER(G81),G81,F81))</f>
        <v/>
      </c>
      <c r="U81" s="46">
        <f>IF(ISNUMBER(T81),ABS(T81),"")</f>
        <v/>
      </c>
      <c r="V81" s="46">
        <f>IF(OR($D80&lt;&gt;"측정",$C80&lt;&gt;$C81,NOT(ISNUMBER(L81)),NOT(ISNUMBER(L80)),(IF(ISNUMBER(G81),G81,F81)-IF(ISNUMBER(G80),G80,F80))=0),"",(L81-L80)/(IF(ISNUMBER(G81),G81,F81)-IF(ISNUMBER(G80),G80,F80)))</f>
        <v/>
      </c>
      <c r="W81" s="30">
        <f>IF(NOT(AND(ISNUMBER(N81),ISNUMBER(P81))),"",(P81-N81)*1440)</f>
        <v/>
      </c>
      <c r="X81" s="28" t="n"/>
      <c r="Y81" s="28" t="n"/>
      <c r="Z81" s="28" t="n"/>
      <c r="AA81" s="31" t="n"/>
      <c r="AB81" s="31" t="n"/>
    </row>
    <row r="82">
      <c r="A82" s="43" t="inlineStr">
        <is>
          <t>S02</t>
        </is>
      </c>
      <c r="B82" s="43" t="inlineStr">
        <is>
          <t>임계 신규점1</t>
        </is>
      </c>
      <c r="C82" s="43" t="inlineStr">
        <is>
          <t>S02-H서</t>
        </is>
      </c>
      <c r="D82" s="43" t="inlineStr">
        <is>
          <t>P0(후)</t>
        </is>
      </c>
      <c r="E82" s="43" t="inlineStr">
        <is>
          <t>서</t>
        </is>
      </c>
      <c r="F82" s="44" t="n"/>
      <c r="G82" s="29" t="n"/>
      <c r="H82" s="42" t="n"/>
      <c r="I82" s="40" t="n"/>
      <c r="J82" s="40" t="n"/>
      <c r="K82" s="40" t="n"/>
      <c r="L82" s="30">
        <f>IF(COUNT(I82:K82)=0,"",MEDIAN(I82:K82))</f>
        <v/>
      </c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28" t="n"/>
      <c r="Y82" s="28" t="n"/>
      <c r="Z82" s="28" t="n"/>
      <c r="AA82" s="31" t="n"/>
      <c r="AB82" s="31" t="n"/>
    </row>
    <row r="83">
      <c r="A83" s="43" t="inlineStr">
        <is>
          <t>S02</t>
        </is>
      </c>
      <c r="B83" s="43" t="inlineStr">
        <is>
          <t>임계 신규점1</t>
        </is>
      </c>
      <c r="C83" s="43" t="inlineStr">
        <is>
          <t>S02-H남</t>
        </is>
      </c>
      <c r="D83" s="43" t="inlineStr">
        <is>
          <t>P0(전)</t>
        </is>
      </c>
      <c r="E83" s="43" t="inlineStr">
        <is>
          <t>남</t>
        </is>
      </c>
      <c r="F83" s="44" t="n"/>
      <c r="G83" s="29" t="n"/>
      <c r="H83" s="42" t="n"/>
      <c r="I83" s="40" t="n"/>
      <c r="J83" s="40" t="n"/>
      <c r="K83" s="40" t="n"/>
      <c r="L83" s="30">
        <f>IF(COUNT(I83:K83)=0,"",MEDIAN(I83:K83))</f>
        <v/>
      </c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28" t="n"/>
      <c r="Y83" s="28" t="n"/>
      <c r="Z83" s="28" t="n"/>
      <c r="AA83" s="31" t="n"/>
      <c r="AB83" s="31" t="n"/>
    </row>
    <row r="84">
      <c r="A84" s="25" t="inlineStr">
        <is>
          <t>S02</t>
        </is>
      </c>
      <c r="B84" s="25" t="inlineStr">
        <is>
          <t>임계 신규점1</t>
        </is>
      </c>
      <c r="C84" s="25" t="inlineStr">
        <is>
          <t>S02-H남</t>
        </is>
      </c>
      <c r="D84" s="25" t="inlineStr">
        <is>
          <t>측정</t>
        </is>
      </c>
      <c r="E84" s="25" t="inlineStr">
        <is>
          <t>남</t>
        </is>
      </c>
      <c r="F84" s="30" t="n">
        <v>0.5</v>
      </c>
      <c r="G84" s="29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IF(COUNTIFS($C:$C,$C84,$D:$D,"P0(전)",$L:$L,"&gt;0")&lt;&gt;1,"P0(전) 유효 1개 아님",IF(COUNTIFS($C:$C,$C84,$D:$D,"P0(후)",$L:$L,"&gt;0")&lt;&gt;1,"P0(후) 유효 1개 아님",IF(NOT(AND(ISNUMBER(N84),ISNUMBER(P84),ISNUMBER(H84))),"시각 결측",IF(P84&lt;=N84,"P0 시각 역전",IF(OR(H84&lt;N84,H84&gt;P84),"측정시각 구간 밖","OK")))))</f>
        <v/>
      </c>
      <c r="N84" s="45">
        <f>IF(COUNTIFS($C:$C,$C84,$D:$D,"P0(전)",$L:$L,"&gt;0")&lt;&gt;1,"",SUMIFS($H:$H,$C:$C,$C84,$D:$D,"P0(전)"))</f>
        <v/>
      </c>
      <c r="O84" s="30">
        <f>IF(COUNTIFS($C:$C,$C84,$D:$D,"P0(전)",$L:$L,"&gt;0")&lt;&gt;1,"",SUMIFS($L:$L,$C:$C,$C84,$D:$D,"P0(전)"))</f>
        <v/>
      </c>
      <c r="P84" s="45">
        <f>IF(COUNTIFS($C:$C,$C84,$D:$D,"P0(후)",$L:$L,"&gt;0")&lt;&gt;1,"",SUMIFS($H:$H,$C:$C,$C84,$D:$D,"P0(후)"))</f>
        <v/>
      </c>
      <c r="Q84" s="30">
        <f>IF(COUNTIFS($C:$C,$C84,$D:$D,"P0(후)",$L:$L,"&gt;0")&lt;&gt;1,"",SUMIFS($L:$L,$C:$C,$C84,$D:$D,"P0(후)"))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IF(OR(NOT(ISNUMBER(S84)),IF(ISNUMBER(G84),G84,F84)=0),"",S84/IF(ISNUMBER(G84),G84,F84))</f>
        <v/>
      </c>
      <c r="U84" s="46">
        <f>IF(ISNUMBER(T84),ABS(T84),"")</f>
        <v/>
      </c>
      <c r="V84" s="46">
        <f>IF(OR($D83&lt;&gt;"측정",$C83&lt;&gt;$C84,NOT(ISNUMBER(L84)),NOT(ISNUMBER(L83)),(IF(ISNUMBER(G84),G84,F84)-IF(ISNUMBER(G83),G83,F83))=0),"",(L84-L83)/(IF(ISNUMBER(G84),G84,F84)-IF(ISNUMBER(G83),G83,F83)))</f>
        <v/>
      </c>
      <c r="W84" s="30">
        <f>IF(NOT(AND(ISNUMBER(N84),ISNUMBER(P84))),"",(P84-N84)*1440)</f>
        <v/>
      </c>
      <c r="X84" s="28" t="n"/>
      <c r="Y84" s="28" t="n"/>
      <c r="Z84" s="28" t="n"/>
      <c r="AA84" s="31" t="n"/>
      <c r="AB84" s="31" t="n"/>
    </row>
    <row r="85">
      <c r="A85" s="25" t="inlineStr">
        <is>
          <t>S02</t>
        </is>
      </c>
      <c r="B85" s="25" t="inlineStr">
        <is>
          <t>임계 신규점1</t>
        </is>
      </c>
      <c r="C85" s="25" t="inlineStr">
        <is>
          <t>S02-H남</t>
        </is>
      </c>
      <c r="D85" s="25" t="inlineStr">
        <is>
          <t>측정</t>
        </is>
      </c>
      <c r="E85" s="25" t="inlineStr">
        <is>
          <t>남</t>
        </is>
      </c>
      <c r="F85" s="30" t="n">
        <v>1</v>
      </c>
      <c r="G85" s="29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IF(COUNTIFS($C:$C,$C85,$D:$D,"P0(전)",$L:$L,"&gt;0")&lt;&gt;1,"P0(전) 유효 1개 아님",IF(COUNTIFS($C:$C,$C85,$D:$D,"P0(후)",$L:$L,"&gt;0")&lt;&gt;1,"P0(후) 유효 1개 아님",IF(NOT(AND(ISNUMBER(N85),ISNUMBER(P85),ISNUMBER(H85))),"시각 결측",IF(P85&lt;=N85,"P0 시각 역전",IF(OR(H85&lt;N85,H85&gt;P85),"측정시각 구간 밖","OK")))))</f>
        <v/>
      </c>
      <c r="N85" s="45">
        <f>IF(COUNTIFS($C:$C,$C85,$D:$D,"P0(전)",$L:$L,"&gt;0")&lt;&gt;1,"",SUMIFS($H:$H,$C:$C,$C85,$D:$D,"P0(전)"))</f>
        <v/>
      </c>
      <c r="O85" s="30">
        <f>IF(COUNTIFS($C:$C,$C85,$D:$D,"P0(전)",$L:$L,"&gt;0")&lt;&gt;1,"",SUMIFS($L:$L,$C:$C,$C85,$D:$D,"P0(전)"))</f>
        <v/>
      </c>
      <c r="P85" s="45">
        <f>IF(COUNTIFS($C:$C,$C85,$D:$D,"P0(후)",$L:$L,"&gt;0")&lt;&gt;1,"",SUMIFS($H:$H,$C:$C,$C85,$D:$D,"P0(후)"))</f>
        <v/>
      </c>
      <c r="Q85" s="30">
        <f>IF(COUNTIFS($C:$C,$C85,$D:$D,"P0(후)",$L:$L,"&gt;0")&lt;&gt;1,"",SUMIFS($L:$L,$C:$C,$C85,$D:$D,"P0(후)"))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IF(OR(NOT(ISNUMBER(S85)),IF(ISNUMBER(G85),G85,F85)=0),"",S85/IF(ISNUMBER(G85),G85,F85))</f>
        <v/>
      </c>
      <c r="U85" s="46">
        <f>IF(ISNUMBER(T85),ABS(T85),"")</f>
        <v/>
      </c>
      <c r="V85" s="46">
        <f>IF(OR($D84&lt;&gt;"측정",$C84&lt;&gt;$C85,NOT(ISNUMBER(L85)),NOT(ISNUMBER(L84)),(IF(ISNUMBER(G85),G85,F85)-IF(ISNUMBER(G84),G84,F84))=0),"",(L85-L84)/(IF(ISNUMBER(G85),G85,F85)-IF(ISNUMBER(G84),G84,F84)))</f>
        <v/>
      </c>
      <c r="W85" s="30">
        <f>IF(NOT(AND(ISNUMBER(N85),ISNUMBER(P85))),"",(P85-N85)*1440)</f>
        <v/>
      </c>
      <c r="X85" s="28" t="n"/>
      <c r="Y85" s="28" t="n"/>
      <c r="Z85" s="28" t="n"/>
      <c r="AA85" s="31" t="n"/>
      <c r="AB85" s="31" t="n"/>
    </row>
    <row r="86">
      <c r="A86" s="25" t="inlineStr">
        <is>
          <t>S02</t>
        </is>
      </c>
      <c r="B86" s="25" t="inlineStr">
        <is>
          <t>임계 신규점1</t>
        </is>
      </c>
      <c r="C86" s="25" t="inlineStr">
        <is>
          <t>S02-H남</t>
        </is>
      </c>
      <c r="D86" s="25" t="inlineStr">
        <is>
          <t>측정</t>
        </is>
      </c>
      <c r="E86" s="25" t="inlineStr">
        <is>
          <t>남</t>
        </is>
      </c>
      <c r="F86" s="30" t="n">
        <v>2</v>
      </c>
      <c r="G86" s="29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IF(COUNTIFS($C:$C,$C86,$D:$D,"P0(전)",$L:$L,"&gt;0")&lt;&gt;1,"P0(전) 유효 1개 아님",IF(COUNTIFS($C:$C,$C86,$D:$D,"P0(후)",$L:$L,"&gt;0")&lt;&gt;1,"P0(후) 유효 1개 아님",IF(NOT(AND(ISNUMBER(N86),ISNUMBER(P86),ISNUMBER(H86))),"시각 결측",IF(P86&lt;=N86,"P0 시각 역전",IF(OR(H86&lt;N86,H86&gt;P86),"측정시각 구간 밖","OK")))))</f>
        <v/>
      </c>
      <c r="N86" s="45">
        <f>IF(COUNTIFS($C:$C,$C86,$D:$D,"P0(전)",$L:$L,"&gt;0")&lt;&gt;1,"",SUMIFS($H:$H,$C:$C,$C86,$D:$D,"P0(전)"))</f>
        <v/>
      </c>
      <c r="O86" s="30">
        <f>IF(COUNTIFS($C:$C,$C86,$D:$D,"P0(전)",$L:$L,"&gt;0")&lt;&gt;1,"",SUMIFS($L:$L,$C:$C,$C86,$D:$D,"P0(전)"))</f>
        <v/>
      </c>
      <c r="P86" s="45">
        <f>IF(COUNTIFS($C:$C,$C86,$D:$D,"P0(후)",$L:$L,"&gt;0")&lt;&gt;1,"",SUMIFS($H:$H,$C:$C,$C86,$D:$D,"P0(후)"))</f>
        <v/>
      </c>
      <c r="Q86" s="30">
        <f>IF(COUNTIFS($C:$C,$C86,$D:$D,"P0(후)",$L:$L,"&gt;0")&lt;&gt;1,"",SUMIFS($L:$L,$C:$C,$C86,$D:$D,"P0(후)"))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IF(OR(NOT(ISNUMBER(S86)),IF(ISNUMBER(G86),G86,F86)=0),"",S86/IF(ISNUMBER(G86),G86,F86))</f>
        <v/>
      </c>
      <c r="U86" s="46">
        <f>IF(ISNUMBER(T86),ABS(T86),"")</f>
        <v/>
      </c>
      <c r="V86" s="46">
        <f>IF(OR($D85&lt;&gt;"측정",$C85&lt;&gt;$C86,NOT(ISNUMBER(L86)),NOT(ISNUMBER(L85)),(IF(ISNUMBER(G86),G86,F86)-IF(ISNUMBER(G85),G85,F85))=0),"",(L86-L85)/(IF(ISNUMBER(G86),G86,F86)-IF(ISNUMBER(G85),G85,F85)))</f>
        <v/>
      </c>
      <c r="W86" s="30">
        <f>IF(NOT(AND(ISNUMBER(N86),ISNUMBER(P86))),"",(P86-N86)*1440)</f>
        <v/>
      </c>
      <c r="X86" s="28" t="n"/>
      <c r="Y86" s="28" t="n"/>
      <c r="Z86" s="28" t="n"/>
      <c r="AA86" s="31" t="n"/>
      <c r="AB86" s="31" t="n"/>
    </row>
    <row r="87">
      <c r="A87" s="25" t="inlineStr">
        <is>
          <t>S02</t>
        </is>
      </c>
      <c r="B87" s="25" t="inlineStr">
        <is>
          <t>임계 신규점1</t>
        </is>
      </c>
      <c r="C87" s="25" t="inlineStr">
        <is>
          <t>S02-H남</t>
        </is>
      </c>
      <c r="D87" s="25" t="inlineStr">
        <is>
          <t>측정</t>
        </is>
      </c>
      <c r="E87" s="25" t="inlineStr">
        <is>
          <t>남</t>
        </is>
      </c>
      <c r="F87" s="30" t="n">
        <v>3</v>
      </c>
      <c r="G87" s="29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IF(COUNTIFS($C:$C,$C87,$D:$D,"P0(전)",$L:$L,"&gt;0")&lt;&gt;1,"P0(전) 유효 1개 아님",IF(COUNTIFS($C:$C,$C87,$D:$D,"P0(후)",$L:$L,"&gt;0")&lt;&gt;1,"P0(후) 유효 1개 아님",IF(NOT(AND(ISNUMBER(N87),ISNUMBER(P87),ISNUMBER(H87))),"시각 결측",IF(P87&lt;=N87,"P0 시각 역전",IF(OR(H87&lt;N87,H87&gt;P87),"측정시각 구간 밖","OK")))))</f>
        <v/>
      </c>
      <c r="N87" s="45">
        <f>IF(COUNTIFS($C:$C,$C87,$D:$D,"P0(전)",$L:$L,"&gt;0")&lt;&gt;1,"",SUMIFS($H:$H,$C:$C,$C87,$D:$D,"P0(전)"))</f>
        <v/>
      </c>
      <c r="O87" s="30">
        <f>IF(COUNTIFS($C:$C,$C87,$D:$D,"P0(전)",$L:$L,"&gt;0")&lt;&gt;1,"",SUMIFS($L:$L,$C:$C,$C87,$D:$D,"P0(전)"))</f>
        <v/>
      </c>
      <c r="P87" s="45">
        <f>IF(COUNTIFS($C:$C,$C87,$D:$D,"P0(후)",$L:$L,"&gt;0")&lt;&gt;1,"",SUMIFS($H:$H,$C:$C,$C87,$D:$D,"P0(후)"))</f>
        <v/>
      </c>
      <c r="Q87" s="30">
        <f>IF(COUNTIFS($C:$C,$C87,$D:$D,"P0(후)",$L:$L,"&gt;0")&lt;&gt;1,"",SUMIFS($L:$L,$C:$C,$C87,$D:$D,"P0(후)"))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IF(OR(NOT(ISNUMBER(S87)),IF(ISNUMBER(G87),G87,F87)=0),"",S87/IF(ISNUMBER(G87),G87,F87))</f>
        <v/>
      </c>
      <c r="U87" s="46">
        <f>IF(ISNUMBER(T87),ABS(T87),"")</f>
        <v/>
      </c>
      <c r="V87" s="46">
        <f>IF(OR($D86&lt;&gt;"측정",$C86&lt;&gt;$C87,NOT(ISNUMBER(L87)),NOT(ISNUMBER(L86)),(IF(ISNUMBER(G87),G87,F87)-IF(ISNUMBER(G86),G86,F86))=0),"",(L87-L86)/(IF(ISNUMBER(G87),G87,F87)-IF(ISNUMBER(G86),G86,F86)))</f>
        <v/>
      </c>
      <c r="W87" s="30">
        <f>IF(NOT(AND(ISNUMBER(N87),ISNUMBER(P87))),"",(P87-N87)*1440)</f>
        <v/>
      </c>
      <c r="X87" s="28" t="n"/>
      <c r="Y87" s="28" t="n"/>
      <c r="Z87" s="28" t="n"/>
      <c r="AA87" s="31" t="n"/>
      <c r="AB87" s="31" t="n"/>
    </row>
    <row r="88">
      <c r="A88" s="25" t="inlineStr">
        <is>
          <t>S02</t>
        </is>
      </c>
      <c r="B88" s="25" t="inlineStr">
        <is>
          <t>임계 신규점1</t>
        </is>
      </c>
      <c r="C88" s="25" t="inlineStr">
        <is>
          <t>S02-H남</t>
        </is>
      </c>
      <c r="D88" s="25" t="inlineStr">
        <is>
          <t>측정</t>
        </is>
      </c>
      <c r="E88" s="25" t="inlineStr">
        <is>
          <t>남</t>
        </is>
      </c>
      <c r="F88" s="30" t="n">
        <v>4</v>
      </c>
      <c r="G88" s="29" t="n"/>
      <c r="H88" s="42" t="n"/>
      <c r="I88" s="40" t="n"/>
      <c r="J88" s="40" t="n"/>
      <c r="K88" s="40" t="n"/>
      <c r="L88" s="30">
        <f>IF(COUNT(I88:K88)=0,"",MEDIAN(I88:K88))</f>
        <v/>
      </c>
      <c r="M88" s="25">
        <f>IF(COUNTIFS($C:$C,$C88,$D:$D,"P0(전)",$L:$L,"&gt;0")&lt;&gt;1,"P0(전) 유효 1개 아님",IF(COUNTIFS($C:$C,$C88,$D:$D,"P0(후)",$L:$L,"&gt;0")&lt;&gt;1,"P0(후) 유효 1개 아님",IF(NOT(AND(ISNUMBER(N88),ISNUMBER(P88),ISNUMBER(H88))),"시각 결측",IF(P88&lt;=N88,"P0 시각 역전",IF(OR(H88&lt;N88,H88&gt;P88),"측정시각 구간 밖","OK")))))</f>
        <v/>
      </c>
      <c r="N88" s="45">
        <f>IF(COUNTIFS($C:$C,$C88,$D:$D,"P0(전)",$L:$L,"&gt;0")&lt;&gt;1,"",SUMIFS($H:$H,$C:$C,$C88,$D:$D,"P0(전)"))</f>
        <v/>
      </c>
      <c r="O88" s="30">
        <f>IF(COUNTIFS($C:$C,$C88,$D:$D,"P0(전)",$L:$L,"&gt;0")&lt;&gt;1,"",SUMIFS($L:$L,$C:$C,$C88,$D:$D,"P0(전)"))</f>
        <v/>
      </c>
      <c r="P88" s="45">
        <f>IF(COUNTIFS($C:$C,$C88,$D:$D,"P0(후)",$L:$L,"&gt;0")&lt;&gt;1,"",SUMIFS($H:$H,$C:$C,$C88,$D:$D,"P0(후)"))</f>
        <v/>
      </c>
      <c r="Q88" s="30">
        <f>IF(COUNTIFS($C:$C,$C88,$D:$D,"P0(후)",$L:$L,"&gt;0")&lt;&gt;1,"",SUMIFS($L:$L,$C:$C,$C88,$D:$D,"P0(후)"))</f>
        <v/>
      </c>
      <c r="R88" s="30">
        <f>IF(M88&lt;&gt;"OK","",O88+(Q88-O88)*(H88-N88)/(P88-N88))</f>
        <v/>
      </c>
      <c r="S88" s="30">
        <f>IF(OR(M88&lt;&gt;"OK",NOT(ISNUMBER(L88))),"",L88-R88)</f>
        <v/>
      </c>
      <c r="T88" s="46">
        <f>IF(OR(NOT(ISNUMBER(S88)),IF(ISNUMBER(G88),G88,F88)=0),"",S88/IF(ISNUMBER(G88),G88,F88))</f>
        <v/>
      </c>
      <c r="U88" s="46">
        <f>IF(ISNUMBER(T88),ABS(T88),"")</f>
        <v/>
      </c>
      <c r="V88" s="46">
        <f>IF(OR($D87&lt;&gt;"측정",$C87&lt;&gt;$C88,NOT(ISNUMBER(L88)),NOT(ISNUMBER(L87)),(IF(ISNUMBER(G88),G88,F88)-IF(ISNUMBER(G87),G87,F87))=0),"",(L88-L87)/(IF(ISNUMBER(G88),G88,F88)-IF(ISNUMBER(G87),G87,F87)))</f>
        <v/>
      </c>
      <c r="W88" s="30">
        <f>IF(NOT(AND(ISNUMBER(N88),ISNUMBER(P88))),"",(P88-N88)*1440)</f>
        <v/>
      </c>
      <c r="X88" s="28" t="n"/>
      <c r="Y88" s="28" t="n"/>
      <c r="Z88" s="28" t="n"/>
      <c r="AA88" s="31" t="n"/>
      <c r="AB88" s="31" t="n"/>
    </row>
    <row r="89">
      <c r="A89" s="25" t="inlineStr">
        <is>
          <t>S02</t>
        </is>
      </c>
      <c r="B89" s="25" t="inlineStr">
        <is>
          <t>임계 신규점1</t>
        </is>
      </c>
      <c r="C89" s="25" t="inlineStr">
        <is>
          <t>S02-H남</t>
        </is>
      </c>
      <c r="D89" s="25" t="inlineStr">
        <is>
          <t>측정</t>
        </is>
      </c>
      <c r="E89" s="25" t="inlineStr">
        <is>
          <t>남</t>
        </is>
      </c>
      <c r="F89" s="30" t="n">
        <v>5</v>
      </c>
      <c r="G89" s="29" t="n"/>
      <c r="H89" s="42" t="n"/>
      <c r="I89" s="40" t="n"/>
      <c r="J89" s="40" t="n"/>
      <c r="K89" s="40" t="n"/>
      <c r="L89" s="30">
        <f>IF(COUNT(I89:K89)=0,"",MEDIAN(I89:K89))</f>
        <v/>
      </c>
      <c r="M89" s="25">
        <f>IF(COUNTIFS($C:$C,$C89,$D:$D,"P0(전)",$L:$L,"&gt;0")&lt;&gt;1,"P0(전) 유효 1개 아님",IF(COUNTIFS($C:$C,$C89,$D:$D,"P0(후)",$L:$L,"&gt;0")&lt;&gt;1,"P0(후) 유효 1개 아님",IF(NOT(AND(ISNUMBER(N89),ISNUMBER(P89),ISNUMBER(H89))),"시각 결측",IF(P89&lt;=N89,"P0 시각 역전",IF(OR(H89&lt;N89,H89&gt;P89),"측정시각 구간 밖","OK")))))</f>
        <v/>
      </c>
      <c r="N89" s="45">
        <f>IF(COUNTIFS($C:$C,$C89,$D:$D,"P0(전)",$L:$L,"&gt;0")&lt;&gt;1,"",SUMIFS($H:$H,$C:$C,$C89,$D:$D,"P0(전)"))</f>
        <v/>
      </c>
      <c r="O89" s="30">
        <f>IF(COUNTIFS($C:$C,$C89,$D:$D,"P0(전)",$L:$L,"&gt;0")&lt;&gt;1,"",SUMIFS($L:$L,$C:$C,$C89,$D:$D,"P0(전)"))</f>
        <v/>
      </c>
      <c r="P89" s="45">
        <f>IF(COUNTIFS($C:$C,$C89,$D:$D,"P0(후)",$L:$L,"&gt;0")&lt;&gt;1,"",SUMIFS($H:$H,$C:$C,$C89,$D:$D,"P0(후)"))</f>
        <v/>
      </c>
      <c r="Q89" s="30">
        <f>IF(COUNTIFS($C:$C,$C89,$D:$D,"P0(후)",$L:$L,"&gt;0")&lt;&gt;1,"",SUMIFS($L:$L,$C:$C,$C89,$D:$D,"P0(후)"))</f>
        <v/>
      </c>
      <c r="R89" s="30">
        <f>IF(M89&lt;&gt;"OK","",O89+(Q89-O89)*(H89-N89)/(P89-N89))</f>
        <v/>
      </c>
      <c r="S89" s="30">
        <f>IF(OR(M89&lt;&gt;"OK",NOT(ISNUMBER(L89))),"",L89-R89)</f>
        <v/>
      </c>
      <c r="T89" s="46">
        <f>IF(OR(NOT(ISNUMBER(S89)),IF(ISNUMBER(G89),G89,F89)=0),"",S89/IF(ISNUMBER(G89),G89,F89))</f>
        <v/>
      </c>
      <c r="U89" s="46">
        <f>IF(ISNUMBER(T89),ABS(T89),"")</f>
        <v/>
      </c>
      <c r="V89" s="46">
        <f>IF(OR($D88&lt;&gt;"측정",$C88&lt;&gt;$C89,NOT(ISNUMBER(L89)),NOT(ISNUMBER(L88)),(IF(ISNUMBER(G89),G89,F89)-IF(ISNUMBER(G88),G88,F88))=0),"",(L89-L88)/(IF(ISNUMBER(G89),G89,F89)-IF(ISNUMBER(G88),G88,F88)))</f>
        <v/>
      </c>
      <c r="W89" s="30">
        <f>IF(NOT(AND(ISNUMBER(N89),ISNUMBER(P89))),"",(P89-N89)*1440)</f>
        <v/>
      </c>
      <c r="X89" s="28" t="n"/>
      <c r="Y89" s="28" t="n"/>
      <c r="Z89" s="28" t="n"/>
      <c r="AA89" s="31" t="n"/>
      <c r="AB89" s="31" t="n"/>
    </row>
    <row r="90">
      <c r="A90" s="25" t="inlineStr">
        <is>
          <t>S02</t>
        </is>
      </c>
      <c r="B90" s="25" t="inlineStr">
        <is>
          <t>임계 신규점1</t>
        </is>
      </c>
      <c r="C90" s="25" t="inlineStr">
        <is>
          <t>S02-H남</t>
        </is>
      </c>
      <c r="D90" s="25" t="inlineStr">
        <is>
          <t>측정</t>
        </is>
      </c>
      <c r="E90" s="25" t="inlineStr">
        <is>
          <t>남</t>
        </is>
      </c>
      <c r="F90" s="30" t="n">
        <v>6</v>
      </c>
      <c r="G90" s="29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IF(COUNTIFS($C:$C,$C90,$D:$D,"P0(전)",$L:$L,"&gt;0")&lt;&gt;1,"P0(전) 유효 1개 아님",IF(COUNTIFS($C:$C,$C90,$D:$D,"P0(후)",$L:$L,"&gt;0")&lt;&gt;1,"P0(후) 유효 1개 아님",IF(NOT(AND(ISNUMBER(N90),ISNUMBER(P90),ISNUMBER(H90))),"시각 결측",IF(P90&lt;=N90,"P0 시각 역전",IF(OR(H90&lt;N90,H90&gt;P90),"측정시각 구간 밖","OK")))))</f>
        <v/>
      </c>
      <c r="N90" s="45">
        <f>IF(COUNTIFS($C:$C,$C90,$D:$D,"P0(전)",$L:$L,"&gt;0")&lt;&gt;1,"",SUMIFS($H:$H,$C:$C,$C90,$D:$D,"P0(전)"))</f>
        <v/>
      </c>
      <c r="O90" s="30">
        <f>IF(COUNTIFS($C:$C,$C90,$D:$D,"P0(전)",$L:$L,"&gt;0")&lt;&gt;1,"",SUMIFS($L:$L,$C:$C,$C90,$D:$D,"P0(전)"))</f>
        <v/>
      </c>
      <c r="P90" s="45">
        <f>IF(COUNTIFS($C:$C,$C90,$D:$D,"P0(후)",$L:$L,"&gt;0")&lt;&gt;1,"",SUMIFS($H:$H,$C:$C,$C90,$D:$D,"P0(후)"))</f>
        <v/>
      </c>
      <c r="Q90" s="30">
        <f>IF(COUNTIFS($C:$C,$C90,$D:$D,"P0(후)",$L:$L,"&gt;0")&lt;&gt;1,"",SUMIFS($L:$L,$C:$C,$C90,$D:$D,"P0(후)"))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IF(OR(NOT(ISNUMBER(S90)),IF(ISNUMBER(G90),G90,F90)=0),"",S90/IF(ISNUMBER(G90),G90,F90))</f>
        <v/>
      </c>
      <c r="U90" s="46">
        <f>IF(ISNUMBER(T90),ABS(T90),"")</f>
        <v/>
      </c>
      <c r="V90" s="46">
        <f>IF(OR($D89&lt;&gt;"측정",$C89&lt;&gt;$C90,NOT(ISNUMBER(L90)),NOT(ISNUMBER(L89)),(IF(ISNUMBER(G90),G90,F90)-IF(ISNUMBER(G89),G89,F89))=0),"",(L90-L89)/(IF(ISNUMBER(G90),G90,F90)-IF(ISNUMBER(G89),G89,F89)))</f>
        <v/>
      </c>
      <c r="W90" s="30">
        <f>IF(NOT(AND(ISNUMBER(N90),ISNUMBER(P90))),"",(P90-N90)*1440)</f>
        <v/>
      </c>
      <c r="X90" s="28" t="n"/>
      <c r="Y90" s="28" t="n"/>
      <c r="Z90" s="28" t="n"/>
      <c r="AA90" s="31" t="n"/>
      <c r="AB90" s="31" t="n"/>
    </row>
    <row r="91">
      <c r="A91" s="25" t="inlineStr">
        <is>
          <t>S02</t>
        </is>
      </c>
      <c r="B91" s="25" t="inlineStr">
        <is>
          <t>임계 신규점1</t>
        </is>
      </c>
      <c r="C91" s="25" t="inlineStr">
        <is>
          <t>S02-H남</t>
        </is>
      </c>
      <c r="D91" s="25" t="inlineStr">
        <is>
          <t>측정</t>
        </is>
      </c>
      <c r="E91" s="25" t="inlineStr">
        <is>
          <t>남</t>
        </is>
      </c>
      <c r="F91" s="30" t="n">
        <v>7</v>
      </c>
      <c r="G91" s="29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IF(COUNTIFS($C:$C,$C91,$D:$D,"P0(전)",$L:$L,"&gt;0")&lt;&gt;1,"P0(전) 유효 1개 아님",IF(COUNTIFS($C:$C,$C91,$D:$D,"P0(후)",$L:$L,"&gt;0")&lt;&gt;1,"P0(후) 유효 1개 아님",IF(NOT(AND(ISNUMBER(N91),ISNUMBER(P91),ISNUMBER(H91))),"시각 결측",IF(P91&lt;=N91,"P0 시각 역전",IF(OR(H91&lt;N91,H91&gt;P91),"측정시각 구간 밖","OK")))))</f>
        <v/>
      </c>
      <c r="N91" s="45">
        <f>IF(COUNTIFS($C:$C,$C91,$D:$D,"P0(전)",$L:$L,"&gt;0")&lt;&gt;1,"",SUMIFS($H:$H,$C:$C,$C91,$D:$D,"P0(전)"))</f>
        <v/>
      </c>
      <c r="O91" s="30">
        <f>IF(COUNTIFS($C:$C,$C91,$D:$D,"P0(전)",$L:$L,"&gt;0")&lt;&gt;1,"",SUMIFS($L:$L,$C:$C,$C91,$D:$D,"P0(전)"))</f>
        <v/>
      </c>
      <c r="P91" s="45">
        <f>IF(COUNTIFS($C:$C,$C91,$D:$D,"P0(후)",$L:$L,"&gt;0")&lt;&gt;1,"",SUMIFS($H:$H,$C:$C,$C91,$D:$D,"P0(후)"))</f>
        <v/>
      </c>
      <c r="Q91" s="30">
        <f>IF(COUNTIFS($C:$C,$C91,$D:$D,"P0(후)",$L:$L,"&gt;0")&lt;&gt;1,"",SUMIFS($L:$L,$C:$C,$C91,$D:$D,"P0(후)"))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IF(OR(NOT(ISNUMBER(S91)),IF(ISNUMBER(G91),G91,F91)=0),"",S91/IF(ISNUMBER(G91),G91,F91))</f>
        <v/>
      </c>
      <c r="U91" s="46">
        <f>IF(ISNUMBER(T91),ABS(T91),"")</f>
        <v/>
      </c>
      <c r="V91" s="46">
        <f>IF(OR($D90&lt;&gt;"측정",$C90&lt;&gt;$C91,NOT(ISNUMBER(L91)),NOT(ISNUMBER(L90)),(IF(ISNUMBER(G91),G91,F91)-IF(ISNUMBER(G90),G90,F90))=0),"",(L91-L90)/(IF(ISNUMBER(G91),G91,F91)-IF(ISNUMBER(G90),G90,F90)))</f>
        <v/>
      </c>
      <c r="W91" s="30">
        <f>IF(NOT(AND(ISNUMBER(N91),ISNUMBER(P91))),"",(P91-N91)*1440)</f>
        <v/>
      </c>
      <c r="X91" s="28" t="n"/>
      <c r="Y91" s="28" t="n"/>
      <c r="Z91" s="28" t="n"/>
      <c r="AA91" s="31" t="n"/>
      <c r="AB91" s="31" t="n"/>
    </row>
    <row r="92">
      <c r="A92" s="25" t="inlineStr">
        <is>
          <t>S02</t>
        </is>
      </c>
      <c r="B92" s="25" t="inlineStr">
        <is>
          <t>임계 신규점1</t>
        </is>
      </c>
      <c r="C92" s="25" t="inlineStr">
        <is>
          <t>S02-H남</t>
        </is>
      </c>
      <c r="D92" s="25" t="inlineStr">
        <is>
          <t>측정</t>
        </is>
      </c>
      <c r="E92" s="25" t="inlineStr">
        <is>
          <t>남</t>
        </is>
      </c>
      <c r="F92" s="30" t="n">
        <v>8</v>
      </c>
      <c r="G92" s="29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IF(COUNTIFS($C:$C,$C92,$D:$D,"P0(전)",$L:$L,"&gt;0")&lt;&gt;1,"P0(전) 유효 1개 아님",IF(COUNTIFS($C:$C,$C92,$D:$D,"P0(후)",$L:$L,"&gt;0")&lt;&gt;1,"P0(후) 유효 1개 아님",IF(NOT(AND(ISNUMBER(N92),ISNUMBER(P92),ISNUMBER(H92))),"시각 결측",IF(P92&lt;=N92,"P0 시각 역전",IF(OR(H92&lt;N92,H92&gt;P92),"측정시각 구간 밖","OK")))))</f>
        <v/>
      </c>
      <c r="N92" s="45">
        <f>IF(COUNTIFS($C:$C,$C92,$D:$D,"P0(전)",$L:$L,"&gt;0")&lt;&gt;1,"",SUMIFS($H:$H,$C:$C,$C92,$D:$D,"P0(전)"))</f>
        <v/>
      </c>
      <c r="O92" s="30">
        <f>IF(COUNTIFS($C:$C,$C92,$D:$D,"P0(전)",$L:$L,"&gt;0")&lt;&gt;1,"",SUMIFS($L:$L,$C:$C,$C92,$D:$D,"P0(전)"))</f>
        <v/>
      </c>
      <c r="P92" s="45">
        <f>IF(COUNTIFS($C:$C,$C92,$D:$D,"P0(후)",$L:$L,"&gt;0")&lt;&gt;1,"",SUMIFS($H:$H,$C:$C,$C92,$D:$D,"P0(후)"))</f>
        <v/>
      </c>
      <c r="Q92" s="30">
        <f>IF(COUNTIFS($C:$C,$C92,$D:$D,"P0(후)",$L:$L,"&gt;0")&lt;&gt;1,"",SUMIFS($L:$L,$C:$C,$C92,$D:$D,"P0(후)"))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IF(OR(NOT(ISNUMBER(S92)),IF(ISNUMBER(G92),G92,F92)=0),"",S92/IF(ISNUMBER(G92),G92,F92))</f>
        <v/>
      </c>
      <c r="U92" s="46">
        <f>IF(ISNUMBER(T92),ABS(T92),"")</f>
        <v/>
      </c>
      <c r="V92" s="46">
        <f>IF(OR($D91&lt;&gt;"측정",$C91&lt;&gt;$C92,NOT(ISNUMBER(L92)),NOT(ISNUMBER(L91)),(IF(ISNUMBER(G92),G92,F92)-IF(ISNUMBER(G91),G91,F91))=0),"",(L92-L91)/(IF(ISNUMBER(G92),G92,F92)-IF(ISNUMBER(G91),G91,F91)))</f>
        <v/>
      </c>
      <c r="W92" s="30">
        <f>IF(NOT(AND(ISNUMBER(N92),ISNUMBER(P92))),"",(P92-N92)*1440)</f>
        <v/>
      </c>
      <c r="X92" s="28" t="n"/>
      <c r="Y92" s="28" t="n"/>
      <c r="Z92" s="28" t="n"/>
      <c r="AA92" s="31" t="n"/>
      <c r="AB92" s="31" t="n"/>
    </row>
    <row r="93">
      <c r="A93" s="25" t="inlineStr">
        <is>
          <t>S02</t>
        </is>
      </c>
      <c r="B93" s="25" t="inlineStr">
        <is>
          <t>임계 신규점1</t>
        </is>
      </c>
      <c r="C93" s="25" t="inlineStr">
        <is>
          <t>S02-H남</t>
        </is>
      </c>
      <c r="D93" s="25" t="inlineStr">
        <is>
          <t>측정</t>
        </is>
      </c>
      <c r="E93" s="25" t="inlineStr">
        <is>
          <t>남</t>
        </is>
      </c>
      <c r="F93" s="30" t="n">
        <v>9</v>
      </c>
      <c r="G93" s="29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IF(COUNTIFS($C:$C,$C93,$D:$D,"P0(전)",$L:$L,"&gt;0")&lt;&gt;1,"P0(전) 유효 1개 아님",IF(COUNTIFS($C:$C,$C93,$D:$D,"P0(후)",$L:$L,"&gt;0")&lt;&gt;1,"P0(후) 유효 1개 아님",IF(NOT(AND(ISNUMBER(N93),ISNUMBER(P93),ISNUMBER(H93))),"시각 결측",IF(P93&lt;=N93,"P0 시각 역전",IF(OR(H93&lt;N93,H93&gt;P93),"측정시각 구간 밖","OK")))))</f>
        <v/>
      </c>
      <c r="N93" s="45">
        <f>IF(COUNTIFS($C:$C,$C93,$D:$D,"P0(전)",$L:$L,"&gt;0")&lt;&gt;1,"",SUMIFS($H:$H,$C:$C,$C93,$D:$D,"P0(전)"))</f>
        <v/>
      </c>
      <c r="O93" s="30">
        <f>IF(COUNTIFS($C:$C,$C93,$D:$D,"P0(전)",$L:$L,"&gt;0")&lt;&gt;1,"",SUMIFS($L:$L,$C:$C,$C93,$D:$D,"P0(전)"))</f>
        <v/>
      </c>
      <c r="P93" s="45">
        <f>IF(COUNTIFS($C:$C,$C93,$D:$D,"P0(후)",$L:$L,"&gt;0")&lt;&gt;1,"",SUMIFS($H:$H,$C:$C,$C93,$D:$D,"P0(후)"))</f>
        <v/>
      </c>
      <c r="Q93" s="30">
        <f>IF(COUNTIFS($C:$C,$C93,$D:$D,"P0(후)",$L:$L,"&gt;0")&lt;&gt;1,"",SUMIFS($L:$L,$C:$C,$C93,$D:$D,"P0(후)"))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IF(OR(NOT(ISNUMBER(S93)),IF(ISNUMBER(G93),G93,F93)=0),"",S93/IF(ISNUMBER(G93),G93,F93))</f>
        <v/>
      </c>
      <c r="U93" s="46">
        <f>IF(ISNUMBER(T93),ABS(T93),"")</f>
        <v/>
      </c>
      <c r="V93" s="46">
        <f>IF(OR($D92&lt;&gt;"측정",$C92&lt;&gt;$C93,NOT(ISNUMBER(L93)),NOT(ISNUMBER(L92)),(IF(ISNUMBER(G93),G93,F93)-IF(ISNUMBER(G92),G92,F92))=0),"",(L93-L92)/(IF(ISNUMBER(G93),G93,F93)-IF(ISNUMBER(G92),G92,F92)))</f>
        <v/>
      </c>
      <c r="W93" s="30">
        <f>IF(NOT(AND(ISNUMBER(N93),ISNUMBER(P93))),"",(P93-N93)*1440)</f>
        <v/>
      </c>
      <c r="X93" s="28" t="n"/>
      <c r="Y93" s="28" t="n"/>
      <c r="Z93" s="28" t="n"/>
      <c r="AA93" s="31" t="n"/>
      <c r="AB93" s="31" t="n"/>
    </row>
    <row r="94">
      <c r="A94" s="25" t="inlineStr">
        <is>
          <t>S02</t>
        </is>
      </c>
      <c r="B94" s="25" t="inlineStr">
        <is>
          <t>임계 신규점1</t>
        </is>
      </c>
      <c r="C94" s="25" t="inlineStr">
        <is>
          <t>S02-H남</t>
        </is>
      </c>
      <c r="D94" s="25" t="inlineStr">
        <is>
          <t>측정</t>
        </is>
      </c>
      <c r="E94" s="25" t="inlineStr">
        <is>
          <t>남</t>
        </is>
      </c>
      <c r="F94" s="30" t="n">
        <v>10</v>
      </c>
      <c r="G94" s="29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IF(COUNTIFS($C:$C,$C94,$D:$D,"P0(전)",$L:$L,"&gt;0")&lt;&gt;1,"P0(전) 유효 1개 아님",IF(COUNTIFS($C:$C,$C94,$D:$D,"P0(후)",$L:$L,"&gt;0")&lt;&gt;1,"P0(후) 유효 1개 아님",IF(NOT(AND(ISNUMBER(N94),ISNUMBER(P94),ISNUMBER(H94))),"시각 결측",IF(P94&lt;=N94,"P0 시각 역전",IF(OR(H94&lt;N94,H94&gt;P94),"측정시각 구간 밖","OK")))))</f>
        <v/>
      </c>
      <c r="N94" s="45">
        <f>IF(COUNTIFS($C:$C,$C94,$D:$D,"P0(전)",$L:$L,"&gt;0")&lt;&gt;1,"",SUMIFS($H:$H,$C:$C,$C94,$D:$D,"P0(전)"))</f>
        <v/>
      </c>
      <c r="O94" s="30">
        <f>IF(COUNTIFS($C:$C,$C94,$D:$D,"P0(전)",$L:$L,"&gt;0")&lt;&gt;1,"",SUMIFS($L:$L,$C:$C,$C94,$D:$D,"P0(전)"))</f>
        <v/>
      </c>
      <c r="P94" s="45">
        <f>IF(COUNTIFS($C:$C,$C94,$D:$D,"P0(후)",$L:$L,"&gt;0")&lt;&gt;1,"",SUMIFS($H:$H,$C:$C,$C94,$D:$D,"P0(후)"))</f>
        <v/>
      </c>
      <c r="Q94" s="30">
        <f>IF(COUNTIFS($C:$C,$C94,$D:$D,"P0(후)",$L:$L,"&gt;0")&lt;&gt;1,"",SUMIFS($L:$L,$C:$C,$C94,$D:$D,"P0(후)"))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IF(OR(NOT(ISNUMBER(S94)),IF(ISNUMBER(G94),G94,F94)=0),"",S94/IF(ISNUMBER(G94),G94,F94))</f>
        <v/>
      </c>
      <c r="U94" s="46">
        <f>IF(ISNUMBER(T94),ABS(T94),"")</f>
        <v/>
      </c>
      <c r="V94" s="46">
        <f>IF(OR($D93&lt;&gt;"측정",$C93&lt;&gt;$C94,NOT(ISNUMBER(L94)),NOT(ISNUMBER(L93)),(IF(ISNUMBER(G94),G94,F94)-IF(ISNUMBER(G93),G93,F93))=0),"",(L94-L93)/(IF(ISNUMBER(G94),G94,F94)-IF(ISNUMBER(G93),G93,F93)))</f>
        <v/>
      </c>
      <c r="W94" s="30">
        <f>IF(NOT(AND(ISNUMBER(N94),ISNUMBER(P94))),"",(P94-N94)*1440)</f>
        <v/>
      </c>
      <c r="X94" s="28" t="n"/>
      <c r="Y94" s="28" t="n"/>
      <c r="Z94" s="28" t="n"/>
      <c r="AA94" s="31" t="n"/>
      <c r="AB94" s="31" t="n"/>
    </row>
    <row r="95">
      <c r="A95" s="43" t="inlineStr">
        <is>
          <t>S02</t>
        </is>
      </c>
      <c r="B95" s="43" t="inlineStr">
        <is>
          <t>임계 신규점1</t>
        </is>
      </c>
      <c r="C95" s="43" t="inlineStr">
        <is>
          <t>S02-H남</t>
        </is>
      </c>
      <c r="D95" s="43" t="inlineStr">
        <is>
          <t>P0(후)</t>
        </is>
      </c>
      <c r="E95" s="43" t="inlineStr">
        <is>
          <t>남</t>
        </is>
      </c>
      <c r="F95" s="44" t="n"/>
      <c r="G95" s="29" t="n"/>
      <c r="H95" s="42" t="n"/>
      <c r="I95" s="40" t="n"/>
      <c r="J95" s="40" t="n"/>
      <c r="K95" s="40" t="n"/>
      <c r="L95" s="30">
        <f>IF(COUNT(I95:K95)=0,"",MEDIAN(I95:K95))</f>
        <v/>
      </c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28" t="n"/>
      <c r="Y95" s="28" t="n"/>
      <c r="Z95" s="28" t="n"/>
      <c r="AA95" s="31" t="n"/>
      <c r="AB95" s="31" t="n"/>
    </row>
    <row r="96">
      <c r="A96" s="43" t="inlineStr">
        <is>
          <t>S02</t>
        </is>
      </c>
      <c r="B96" s="43" t="inlineStr">
        <is>
          <t>임계 신규점1</t>
        </is>
      </c>
      <c r="C96" s="43" t="inlineStr">
        <is>
          <t>S02-H북</t>
        </is>
      </c>
      <c r="D96" s="43" t="inlineStr">
        <is>
          <t>P0(전)</t>
        </is>
      </c>
      <c r="E96" s="43" t="inlineStr">
        <is>
          <t>북</t>
        </is>
      </c>
      <c r="F96" s="44" t="n"/>
      <c r="G96" s="29" t="n"/>
      <c r="H96" s="42" t="n"/>
      <c r="I96" s="40" t="n"/>
      <c r="J96" s="40" t="n"/>
      <c r="K96" s="40" t="n"/>
      <c r="L96" s="30">
        <f>IF(COUNT(I96:K96)=0,"",MEDIAN(I96:K96))</f>
        <v/>
      </c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28" t="n"/>
      <c r="Y96" s="28" t="n"/>
      <c r="Z96" s="28" t="n"/>
      <c r="AA96" s="31" t="n"/>
      <c r="AB96" s="31" t="n"/>
    </row>
    <row r="97">
      <c r="A97" s="25" t="inlineStr">
        <is>
          <t>S02</t>
        </is>
      </c>
      <c r="B97" s="25" t="inlineStr">
        <is>
          <t>임계 신규점1</t>
        </is>
      </c>
      <c r="C97" s="25" t="inlineStr">
        <is>
          <t>S02-H북</t>
        </is>
      </c>
      <c r="D97" s="25" t="inlineStr">
        <is>
          <t>측정</t>
        </is>
      </c>
      <c r="E97" s="25" t="inlineStr">
        <is>
          <t>북</t>
        </is>
      </c>
      <c r="F97" s="30" t="n">
        <v>0.5</v>
      </c>
      <c r="G97" s="29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IF(COUNTIFS($C:$C,$C97,$D:$D,"P0(전)",$L:$L,"&gt;0")&lt;&gt;1,"P0(전) 유효 1개 아님",IF(COUNTIFS($C:$C,$C97,$D:$D,"P0(후)",$L:$L,"&gt;0")&lt;&gt;1,"P0(후) 유효 1개 아님",IF(NOT(AND(ISNUMBER(N97),ISNUMBER(P97),ISNUMBER(H97))),"시각 결측",IF(P97&lt;=N97,"P0 시각 역전",IF(OR(H97&lt;N97,H97&gt;P97),"측정시각 구간 밖","OK")))))</f>
        <v/>
      </c>
      <c r="N97" s="45">
        <f>IF(COUNTIFS($C:$C,$C97,$D:$D,"P0(전)",$L:$L,"&gt;0")&lt;&gt;1,"",SUMIFS($H:$H,$C:$C,$C97,$D:$D,"P0(전)"))</f>
        <v/>
      </c>
      <c r="O97" s="30">
        <f>IF(COUNTIFS($C:$C,$C97,$D:$D,"P0(전)",$L:$L,"&gt;0")&lt;&gt;1,"",SUMIFS($L:$L,$C:$C,$C97,$D:$D,"P0(전)"))</f>
        <v/>
      </c>
      <c r="P97" s="45">
        <f>IF(COUNTIFS($C:$C,$C97,$D:$D,"P0(후)",$L:$L,"&gt;0")&lt;&gt;1,"",SUMIFS($H:$H,$C:$C,$C97,$D:$D,"P0(후)"))</f>
        <v/>
      </c>
      <c r="Q97" s="30">
        <f>IF(COUNTIFS($C:$C,$C97,$D:$D,"P0(후)",$L:$L,"&gt;0")&lt;&gt;1,"",SUMIFS($L:$L,$C:$C,$C97,$D:$D,"P0(후)"))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IF(OR(NOT(ISNUMBER(S97)),IF(ISNUMBER(G97),G97,F97)=0),"",S97/IF(ISNUMBER(G97),G97,F97))</f>
        <v/>
      </c>
      <c r="U97" s="46">
        <f>IF(ISNUMBER(T97),ABS(T97),"")</f>
        <v/>
      </c>
      <c r="V97" s="46">
        <f>IF(OR($D96&lt;&gt;"측정",$C96&lt;&gt;$C97,NOT(ISNUMBER(L97)),NOT(ISNUMBER(L96)),(IF(ISNUMBER(G97),G97,F97)-IF(ISNUMBER(G96),G96,F96))=0),"",(L97-L96)/(IF(ISNUMBER(G97),G97,F97)-IF(ISNUMBER(G96),G96,F96)))</f>
        <v/>
      </c>
      <c r="W97" s="30">
        <f>IF(NOT(AND(ISNUMBER(N97),ISNUMBER(P97))),"",(P97-N97)*1440)</f>
        <v/>
      </c>
      <c r="X97" s="28" t="n"/>
      <c r="Y97" s="28" t="n"/>
      <c r="Z97" s="28" t="n"/>
      <c r="AA97" s="31" t="n"/>
      <c r="AB97" s="31" t="n"/>
    </row>
    <row r="98">
      <c r="A98" s="25" t="inlineStr">
        <is>
          <t>S02</t>
        </is>
      </c>
      <c r="B98" s="25" t="inlineStr">
        <is>
          <t>임계 신규점1</t>
        </is>
      </c>
      <c r="C98" s="25" t="inlineStr">
        <is>
          <t>S02-H북</t>
        </is>
      </c>
      <c r="D98" s="25" t="inlineStr">
        <is>
          <t>측정</t>
        </is>
      </c>
      <c r="E98" s="25" t="inlineStr">
        <is>
          <t>북</t>
        </is>
      </c>
      <c r="F98" s="30" t="n">
        <v>1</v>
      </c>
      <c r="G98" s="29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IF(COUNTIFS($C:$C,$C98,$D:$D,"P0(전)",$L:$L,"&gt;0")&lt;&gt;1,"P0(전) 유효 1개 아님",IF(COUNTIFS($C:$C,$C98,$D:$D,"P0(후)",$L:$L,"&gt;0")&lt;&gt;1,"P0(후) 유효 1개 아님",IF(NOT(AND(ISNUMBER(N98),ISNUMBER(P98),ISNUMBER(H98))),"시각 결측",IF(P98&lt;=N98,"P0 시각 역전",IF(OR(H98&lt;N98,H98&gt;P98),"측정시각 구간 밖","OK")))))</f>
        <v/>
      </c>
      <c r="N98" s="45">
        <f>IF(COUNTIFS($C:$C,$C98,$D:$D,"P0(전)",$L:$L,"&gt;0")&lt;&gt;1,"",SUMIFS($H:$H,$C:$C,$C98,$D:$D,"P0(전)"))</f>
        <v/>
      </c>
      <c r="O98" s="30">
        <f>IF(COUNTIFS($C:$C,$C98,$D:$D,"P0(전)",$L:$L,"&gt;0")&lt;&gt;1,"",SUMIFS($L:$L,$C:$C,$C98,$D:$D,"P0(전)"))</f>
        <v/>
      </c>
      <c r="P98" s="45">
        <f>IF(COUNTIFS($C:$C,$C98,$D:$D,"P0(후)",$L:$L,"&gt;0")&lt;&gt;1,"",SUMIFS($H:$H,$C:$C,$C98,$D:$D,"P0(후)"))</f>
        <v/>
      </c>
      <c r="Q98" s="30">
        <f>IF(COUNTIFS($C:$C,$C98,$D:$D,"P0(후)",$L:$L,"&gt;0")&lt;&gt;1,"",SUMIFS($L:$L,$C:$C,$C98,$D:$D,"P0(후)"))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IF(OR(NOT(ISNUMBER(S98)),IF(ISNUMBER(G98),G98,F98)=0),"",S98/IF(ISNUMBER(G98),G98,F98))</f>
        <v/>
      </c>
      <c r="U98" s="46">
        <f>IF(ISNUMBER(T98),ABS(T98),"")</f>
        <v/>
      </c>
      <c r="V98" s="46">
        <f>IF(OR($D97&lt;&gt;"측정",$C97&lt;&gt;$C98,NOT(ISNUMBER(L98)),NOT(ISNUMBER(L97)),(IF(ISNUMBER(G98),G98,F98)-IF(ISNUMBER(G97),G97,F97))=0),"",(L98-L97)/(IF(ISNUMBER(G98),G98,F98)-IF(ISNUMBER(G97),G97,F97)))</f>
        <v/>
      </c>
      <c r="W98" s="30">
        <f>IF(NOT(AND(ISNUMBER(N98),ISNUMBER(P98))),"",(P98-N98)*1440)</f>
        <v/>
      </c>
      <c r="X98" s="28" t="n"/>
      <c r="Y98" s="28" t="n"/>
      <c r="Z98" s="28" t="n"/>
      <c r="AA98" s="31" t="n"/>
      <c r="AB98" s="31" t="n"/>
    </row>
    <row r="99">
      <c r="A99" s="25" t="inlineStr">
        <is>
          <t>S02</t>
        </is>
      </c>
      <c r="B99" s="25" t="inlineStr">
        <is>
          <t>임계 신규점1</t>
        </is>
      </c>
      <c r="C99" s="25" t="inlineStr">
        <is>
          <t>S02-H북</t>
        </is>
      </c>
      <c r="D99" s="25" t="inlineStr">
        <is>
          <t>측정</t>
        </is>
      </c>
      <c r="E99" s="25" t="inlineStr">
        <is>
          <t>북</t>
        </is>
      </c>
      <c r="F99" s="30" t="n">
        <v>2</v>
      </c>
      <c r="G99" s="29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IF(COUNTIFS($C:$C,$C99,$D:$D,"P0(전)",$L:$L,"&gt;0")&lt;&gt;1,"P0(전) 유효 1개 아님",IF(COUNTIFS($C:$C,$C99,$D:$D,"P0(후)",$L:$L,"&gt;0")&lt;&gt;1,"P0(후) 유효 1개 아님",IF(NOT(AND(ISNUMBER(N99),ISNUMBER(P99),ISNUMBER(H99))),"시각 결측",IF(P99&lt;=N99,"P0 시각 역전",IF(OR(H99&lt;N99,H99&gt;P99),"측정시각 구간 밖","OK")))))</f>
        <v/>
      </c>
      <c r="N99" s="45">
        <f>IF(COUNTIFS($C:$C,$C99,$D:$D,"P0(전)",$L:$L,"&gt;0")&lt;&gt;1,"",SUMIFS($H:$H,$C:$C,$C99,$D:$D,"P0(전)"))</f>
        <v/>
      </c>
      <c r="O99" s="30">
        <f>IF(COUNTIFS($C:$C,$C99,$D:$D,"P0(전)",$L:$L,"&gt;0")&lt;&gt;1,"",SUMIFS($L:$L,$C:$C,$C99,$D:$D,"P0(전)"))</f>
        <v/>
      </c>
      <c r="P99" s="45">
        <f>IF(COUNTIFS($C:$C,$C99,$D:$D,"P0(후)",$L:$L,"&gt;0")&lt;&gt;1,"",SUMIFS($H:$H,$C:$C,$C99,$D:$D,"P0(후)"))</f>
        <v/>
      </c>
      <c r="Q99" s="30">
        <f>IF(COUNTIFS($C:$C,$C99,$D:$D,"P0(후)",$L:$L,"&gt;0")&lt;&gt;1,"",SUMIFS($L:$L,$C:$C,$C99,$D:$D,"P0(후)"))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IF(OR(NOT(ISNUMBER(S99)),IF(ISNUMBER(G99),G99,F99)=0),"",S99/IF(ISNUMBER(G99),G99,F99))</f>
        <v/>
      </c>
      <c r="U99" s="46">
        <f>IF(ISNUMBER(T99),ABS(T99),"")</f>
        <v/>
      </c>
      <c r="V99" s="46">
        <f>IF(OR($D98&lt;&gt;"측정",$C98&lt;&gt;$C99,NOT(ISNUMBER(L99)),NOT(ISNUMBER(L98)),(IF(ISNUMBER(G99),G99,F99)-IF(ISNUMBER(G98),G98,F98))=0),"",(L99-L98)/(IF(ISNUMBER(G99),G99,F99)-IF(ISNUMBER(G98),G98,F98)))</f>
        <v/>
      </c>
      <c r="W99" s="30">
        <f>IF(NOT(AND(ISNUMBER(N99),ISNUMBER(P99))),"",(P99-N99)*1440)</f>
        <v/>
      </c>
      <c r="X99" s="28" t="n"/>
      <c r="Y99" s="28" t="n"/>
      <c r="Z99" s="28" t="n"/>
      <c r="AA99" s="31" t="n"/>
      <c r="AB99" s="31" t="n"/>
    </row>
    <row r="100">
      <c r="A100" s="25" t="inlineStr">
        <is>
          <t>S02</t>
        </is>
      </c>
      <c r="B100" s="25" t="inlineStr">
        <is>
          <t>임계 신규점1</t>
        </is>
      </c>
      <c r="C100" s="25" t="inlineStr">
        <is>
          <t>S02-H북</t>
        </is>
      </c>
      <c r="D100" s="25" t="inlineStr">
        <is>
          <t>측정</t>
        </is>
      </c>
      <c r="E100" s="25" t="inlineStr">
        <is>
          <t>북</t>
        </is>
      </c>
      <c r="F100" s="30" t="n">
        <v>3</v>
      </c>
      <c r="G100" s="29" t="n"/>
      <c r="H100" s="42" t="n"/>
      <c r="I100" s="40" t="n"/>
      <c r="J100" s="40" t="n"/>
      <c r="K100" s="40" t="n"/>
      <c r="L100" s="30">
        <f>IF(COUNT(I100:K100)=0,"",MEDIAN(I100:K100))</f>
        <v/>
      </c>
      <c r="M100" s="25">
        <f>IF(COUNTIFS($C:$C,$C100,$D:$D,"P0(전)",$L:$L,"&gt;0")&lt;&gt;1,"P0(전) 유효 1개 아님",IF(COUNTIFS($C:$C,$C100,$D:$D,"P0(후)",$L:$L,"&gt;0")&lt;&gt;1,"P0(후) 유효 1개 아님",IF(NOT(AND(ISNUMBER(N100),ISNUMBER(P100),ISNUMBER(H100))),"시각 결측",IF(P100&lt;=N100,"P0 시각 역전",IF(OR(H100&lt;N100,H100&gt;P100),"측정시각 구간 밖","OK")))))</f>
        <v/>
      </c>
      <c r="N100" s="45">
        <f>IF(COUNTIFS($C:$C,$C100,$D:$D,"P0(전)",$L:$L,"&gt;0")&lt;&gt;1,"",SUMIFS($H:$H,$C:$C,$C100,$D:$D,"P0(전)"))</f>
        <v/>
      </c>
      <c r="O100" s="30">
        <f>IF(COUNTIFS($C:$C,$C100,$D:$D,"P0(전)",$L:$L,"&gt;0")&lt;&gt;1,"",SUMIFS($L:$L,$C:$C,$C100,$D:$D,"P0(전)"))</f>
        <v/>
      </c>
      <c r="P100" s="45">
        <f>IF(COUNTIFS($C:$C,$C100,$D:$D,"P0(후)",$L:$L,"&gt;0")&lt;&gt;1,"",SUMIFS($H:$H,$C:$C,$C100,$D:$D,"P0(후)"))</f>
        <v/>
      </c>
      <c r="Q100" s="30">
        <f>IF(COUNTIFS($C:$C,$C100,$D:$D,"P0(후)",$L:$L,"&gt;0")&lt;&gt;1,"",SUMIFS($L:$L,$C:$C,$C100,$D:$D,"P0(후)"))</f>
        <v/>
      </c>
      <c r="R100" s="30">
        <f>IF(M100&lt;&gt;"OK","",O100+(Q100-O100)*(H100-N100)/(P100-N100))</f>
        <v/>
      </c>
      <c r="S100" s="30">
        <f>IF(OR(M100&lt;&gt;"OK",NOT(ISNUMBER(L100))),"",L100-R100)</f>
        <v/>
      </c>
      <c r="T100" s="46">
        <f>IF(OR(NOT(ISNUMBER(S100)),IF(ISNUMBER(G100),G100,F100)=0),"",S100/IF(ISNUMBER(G100),G100,F100))</f>
        <v/>
      </c>
      <c r="U100" s="46">
        <f>IF(ISNUMBER(T100),ABS(T100),"")</f>
        <v/>
      </c>
      <c r="V100" s="46">
        <f>IF(OR($D99&lt;&gt;"측정",$C99&lt;&gt;$C100,NOT(ISNUMBER(L100)),NOT(ISNUMBER(L99)),(IF(ISNUMBER(G100),G100,F100)-IF(ISNUMBER(G99),G99,F99))=0),"",(L100-L99)/(IF(ISNUMBER(G100),G100,F100)-IF(ISNUMBER(G99),G99,F99)))</f>
        <v/>
      </c>
      <c r="W100" s="30">
        <f>IF(NOT(AND(ISNUMBER(N100),ISNUMBER(P100))),"",(P100-N100)*1440)</f>
        <v/>
      </c>
      <c r="X100" s="28" t="n"/>
      <c r="Y100" s="28" t="n"/>
      <c r="Z100" s="28" t="n"/>
      <c r="AA100" s="31" t="n"/>
      <c r="AB100" s="31" t="n"/>
    </row>
    <row r="101">
      <c r="A101" s="25" t="inlineStr">
        <is>
          <t>S02</t>
        </is>
      </c>
      <c r="B101" s="25" t="inlineStr">
        <is>
          <t>임계 신규점1</t>
        </is>
      </c>
      <c r="C101" s="25" t="inlineStr">
        <is>
          <t>S02-H북</t>
        </is>
      </c>
      <c r="D101" s="25" t="inlineStr">
        <is>
          <t>측정</t>
        </is>
      </c>
      <c r="E101" s="25" t="inlineStr">
        <is>
          <t>북</t>
        </is>
      </c>
      <c r="F101" s="30" t="n">
        <v>4</v>
      </c>
      <c r="G101" s="29" t="n"/>
      <c r="H101" s="42" t="n"/>
      <c r="I101" s="40" t="n"/>
      <c r="J101" s="40" t="n"/>
      <c r="K101" s="40" t="n"/>
      <c r="L101" s="30">
        <f>IF(COUNT(I101:K101)=0,"",MEDIAN(I101:K101))</f>
        <v/>
      </c>
      <c r="M101" s="25">
        <f>IF(COUNTIFS($C:$C,$C101,$D:$D,"P0(전)",$L:$L,"&gt;0")&lt;&gt;1,"P0(전) 유효 1개 아님",IF(COUNTIFS($C:$C,$C101,$D:$D,"P0(후)",$L:$L,"&gt;0")&lt;&gt;1,"P0(후) 유효 1개 아님",IF(NOT(AND(ISNUMBER(N101),ISNUMBER(P101),ISNUMBER(H101))),"시각 결측",IF(P101&lt;=N101,"P0 시각 역전",IF(OR(H101&lt;N101,H101&gt;P101),"측정시각 구간 밖","OK")))))</f>
        <v/>
      </c>
      <c r="N101" s="45">
        <f>IF(COUNTIFS($C:$C,$C101,$D:$D,"P0(전)",$L:$L,"&gt;0")&lt;&gt;1,"",SUMIFS($H:$H,$C:$C,$C101,$D:$D,"P0(전)"))</f>
        <v/>
      </c>
      <c r="O101" s="30">
        <f>IF(COUNTIFS($C:$C,$C101,$D:$D,"P0(전)",$L:$L,"&gt;0")&lt;&gt;1,"",SUMIFS($L:$L,$C:$C,$C101,$D:$D,"P0(전)"))</f>
        <v/>
      </c>
      <c r="P101" s="45">
        <f>IF(COUNTIFS($C:$C,$C101,$D:$D,"P0(후)",$L:$L,"&gt;0")&lt;&gt;1,"",SUMIFS($H:$H,$C:$C,$C101,$D:$D,"P0(후)"))</f>
        <v/>
      </c>
      <c r="Q101" s="30">
        <f>IF(COUNTIFS($C:$C,$C101,$D:$D,"P0(후)",$L:$L,"&gt;0")&lt;&gt;1,"",SUMIFS($L:$L,$C:$C,$C101,$D:$D,"P0(후)"))</f>
        <v/>
      </c>
      <c r="R101" s="30">
        <f>IF(M101&lt;&gt;"OK","",O101+(Q101-O101)*(H101-N101)/(P101-N101))</f>
        <v/>
      </c>
      <c r="S101" s="30">
        <f>IF(OR(M101&lt;&gt;"OK",NOT(ISNUMBER(L101))),"",L101-R101)</f>
        <v/>
      </c>
      <c r="T101" s="46">
        <f>IF(OR(NOT(ISNUMBER(S101)),IF(ISNUMBER(G101),G101,F101)=0),"",S101/IF(ISNUMBER(G101),G101,F101))</f>
        <v/>
      </c>
      <c r="U101" s="46">
        <f>IF(ISNUMBER(T101),ABS(T101),"")</f>
        <v/>
      </c>
      <c r="V101" s="46">
        <f>IF(OR($D100&lt;&gt;"측정",$C100&lt;&gt;$C101,NOT(ISNUMBER(L101)),NOT(ISNUMBER(L100)),(IF(ISNUMBER(G101),G101,F101)-IF(ISNUMBER(G100),G100,F100))=0),"",(L101-L100)/(IF(ISNUMBER(G101),G101,F101)-IF(ISNUMBER(G100),G100,F100)))</f>
        <v/>
      </c>
      <c r="W101" s="30">
        <f>IF(NOT(AND(ISNUMBER(N101),ISNUMBER(P101))),"",(P101-N101)*1440)</f>
        <v/>
      </c>
      <c r="X101" s="28" t="n"/>
      <c r="Y101" s="28" t="n"/>
      <c r="Z101" s="28" t="n"/>
      <c r="AA101" s="31" t="n"/>
      <c r="AB101" s="31" t="n"/>
    </row>
    <row r="102">
      <c r="A102" s="25" t="inlineStr">
        <is>
          <t>S02</t>
        </is>
      </c>
      <c r="B102" s="25" t="inlineStr">
        <is>
          <t>임계 신규점1</t>
        </is>
      </c>
      <c r="C102" s="25" t="inlineStr">
        <is>
          <t>S02-H북</t>
        </is>
      </c>
      <c r="D102" s="25" t="inlineStr">
        <is>
          <t>측정</t>
        </is>
      </c>
      <c r="E102" s="25" t="inlineStr">
        <is>
          <t>북</t>
        </is>
      </c>
      <c r="F102" s="30" t="n">
        <v>5</v>
      </c>
      <c r="G102" s="29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IF(COUNTIFS($C:$C,$C102,$D:$D,"P0(전)",$L:$L,"&gt;0")&lt;&gt;1,"P0(전) 유효 1개 아님",IF(COUNTIFS($C:$C,$C102,$D:$D,"P0(후)",$L:$L,"&gt;0")&lt;&gt;1,"P0(후) 유효 1개 아님",IF(NOT(AND(ISNUMBER(N102),ISNUMBER(P102),ISNUMBER(H102))),"시각 결측",IF(P102&lt;=N102,"P0 시각 역전",IF(OR(H102&lt;N102,H102&gt;P102),"측정시각 구간 밖","OK")))))</f>
        <v/>
      </c>
      <c r="N102" s="45">
        <f>IF(COUNTIFS($C:$C,$C102,$D:$D,"P0(전)",$L:$L,"&gt;0")&lt;&gt;1,"",SUMIFS($H:$H,$C:$C,$C102,$D:$D,"P0(전)"))</f>
        <v/>
      </c>
      <c r="O102" s="30">
        <f>IF(COUNTIFS($C:$C,$C102,$D:$D,"P0(전)",$L:$L,"&gt;0")&lt;&gt;1,"",SUMIFS($L:$L,$C:$C,$C102,$D:$D,"P0(전)"))</f>
        <v/>
      </c>
      <c r="P102" s="45">
        <f>IF(COUNTIFS($C:$C,$C102,$D:$D,"P0(후)",$L:$L,"&gt;0")&lt;&gt;1,"",SUMIFS($H:$H,$C:$C,$C102,$D:$D,"P0(후)"))</f>
        <v/>
      </c>
      <c r="Q102" s="30">
        <f>IF(COUNTIFS($C:$C,$C102,$D:$D,"P0(후)",$L:$L,"&gt;0")&lt;&gt;1,"",SUMIFS($L:$L,$C:$C,$C102,$D:$D,"P0(후)"))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IF(OR(NOT(ISNUMBER(S102)),IF(ISNUMBER(G102),G102,F102)=0),"",S102/IF(ISNUMBER(G102),G102,F102))</f>
        <v/>
      </c>
      <c r="U102" s="46">
        <f>IF(ISNUMBER(T102),ABS(T102),"")</f>
        <v/>
      </c>
      <c r="V102" s="46">
        <f>IF(OR($D101&lt;&gt;"측정",$C101&lt;&gt;$C102,NOT(ISNUMBER(L102)),NOT(ISNUMBER(L101)),(IF(ISNUMBER(G102),G102,F102)-IF(ISNUMBER(G101),G101,F101))=0),"",(L102-L101)/(IF(ISNUMBER(G102),G102,F102)-IF(ISNUMBER(G101),G101,F101)))</f>
        <v/>
      </c>
      <c r="W102" s="30">
        <f>IF(NOT(AND(ISNUMBER(N102),ISNUMBER(P102))),"",(P102-N102)*1440)</f>
        <v/>
      </c>
      <c r="X102" s="28" t="n"/>
      <c r="Y102" s="28" t="n"/>
      <c r="Z102" s="28" t="n"/>
      <c r="AA102" s="31" t="n"/>
      <c r="AB102" s="31" t="n"/>
    </row>
    <row r="103">
      <c r="A103" s="25" t="inlineStr">
        <is>
          <t>S02</t>
        </is>
      </c>
      <c r="B103" s="25" t="inlineStr">
        <is>
          <t>임계 신규점1</t>
        </is>
      </c>
      <c r="C103" s="25" t="inlineStr">
        <is>
          <t>S02-H북</t>
        </is>
      </c>
      <c r="D103" s="25" t="inlineStr">
        <is>
          <t>측정</t>
        </is>
      </c>
      <c r="E103" s="25" t="inlineStr">
        <is>
          <t>북</t>
        </is>
      </c>
      <c r="F103" s="30" t="n">
        <v>6</v>
      </c>
      <c r="G103" s="29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IF(COUNTIFS($C:$C,$C103,$D:$D,"P0(전)",$L:$L,"&gt;0")&lt;&gt;1,"P0(전) 유효 1개 아님",IF(COUNTIFS($C:$C,$C103,$D:$D,"P0(후)",$L:$L,"&gt;0")&lt;&gt;1,"P0(후) 유효 1개 아님",IF(NOT(AND(ISNUMBER(N103),ISNUMBER(P103),ISNUMBER(H103))),"시각 결측",IF(P103&lt;=N103,"P0 시각 역전",IF(OR(H103&lt;N103,H103&gt;P103),"측정시각 구간 밖","OK")))))</f>
        <v/>
      </c>
      <c r="N103" s="45">
        <f>IF(COUNTIFS($C:$C,$C103,$D:$D,"P0(전)",$L:$L,"&gt;0")&lt;&gt;1,"",SUMIFS($H:$H,$C:$C,$C103,$D:$D,"P0(전)"))</f>
        <v/>
      </c>
      <c r="O103" s="30">
        <f>IF(COUNTIFS($C:$C,$C103,$D:$D,"P0(전)",$L:$L,"&gt;0")&lt;&gt;1,"",SUMIFS($L:$L,$C:$C,$C103,$D:$D,"P0(전)"))</f>
        <v/>
      </c>
      <c r="P103" s="45">
        <f>IF(COUNTIFS($C:$C,$C103,$D:$D,"P0(후)",$L:$L,"&gt;0")&lt;&gt;1,"",SUMIFS($H:$H,$C:$C,$C103,$D:$D,"P0(후)"))</f>
        <v/>
      </c>
      <c r="Q103" s="30">
        <f>IF(COUNTIFS($C:$C,$C103,$D:$D,"P0(후)",$L:$L,"&gt;0")&lt;&gt;1,"",SUMIFS($L:$L,$C:$C,$C103,$D:$D,"P0(후)"))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IF(OR(NOT(ISNUMBER(S103)),IF(ISNUMBER(G103),G103,F103)=0),"",S103/IF(ISNUMBER(G103),G103,F103))</f>
        <v/>
      </c>
      <c r="U103" s="46">
        <f>IF(ISNUMBER(T103),ABS(T103),"")</f>
        <v/>
      </c>
      <c r="V103" s="46">
        <f>IF(OR($D102&lt;&gt;"측정",$C102&lt;&gt;$C103,NOT(ISNUMBER(L103)),NOT(ISNUMBER(L102)),(IF(ISNUMBER(G103),G103,F103)-IF(ISNUMBER(G102),G102,F102))=0),"",(L103-L102)/(IF(ISNUMBER(G103),G103,F103)-IF(ISNUMBER(G102),G102,F102)))</f>
        <v/>
      </c>
      <c r="W103" s="30">
        <f>IF(NOT(AND(ISNUMBER(N103),ISNUMBER(P103))),"",(P103-N103)*1440)</f>
        <v/>
      </c>
      <c r="X103" s="28" t="n"/>
      <c r="Y103" s="28" t="n"/>
      <c r="Z103" s="28" t="n"/>
      <c r="AA103" s="31" t="n"/>
      <c r="AB103" s="31" t="n"/>
    </row>
    <row r="104">
      <c r="A104" s="25" t="inlineStr">
        <is>
          <t>S02</t>
        </is>
      </c>
      <c r="B104" s="25" t="inlineStr">
        <is>
          <t>임계 신규점1</t>
        </is>
      </c>
      <c r="C104" s="25" t="inlineStr">
        <is>
          <t>S02-H북</t>
        </is>
      </c>
      <c r="D104" s="25" t="inlineStr">
        <is>
          <t>측정</t>
        </is>
      </c>
      <c r="E104" s="25" t="inlineStr">
        <is>
          <t>북</t>
        </is>
      </c>
      <c r="F104" s="30" t="n">
        <v>7</v>
      </c>
      <c r="G104" s="29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IF(COUNTIFS($C:$C,$C104,$D:$D,"P0(전)",$L:$L,"&gt;0")&lt;&gt;1,"P0(전) 유효 1개 아님",IF(COUNTIFS($C:$C,$C104,$D:$D,"P0(후)",$L:$L,"&gt;0")&lt;&gt;1,"P0(후) 유효 1개 아님",IF(NOT(AND(ISNUMBER(N104),ISNUMBER(P104),ISNUMBER(H104))),"시각 결측",IF(P104&lt;=N104,"P0 시각 역전",IF(OR(H104&lt;N104,H104&gt;P104),"측정시각 구간 밖","OK")))))</f>
        <v/>
      </c>
      <c r="N104" s="45">
        <f>IF(COUNTIFS($C:$C,$C104,$D:$D,"P0(전)",$L:$L,"&gt;0")&lt;&gt;1,"",SUMIFS($H:$H,$C:$C,$C104,$D:$D,"P0(전)"))</f>
        <v/>
      </c>
      <c r="O104" s="30">
        <f>IF(COUNTIFS($C:$C,$C104,$D:$D,"P0(전)",$L:$L,"&gt;0")&lt;&gt;1,"",SUMIFS($L:$L,$C:$C,$C104,$D:$D,"P0(전)"))</f>
        <v/>
      </c>
      <c r="P104" s="45">
        <f>IF(COUNTIFS($C:$C,$C104,$D:$D,"P0(후)",$L:$L,"&gt;0")&lt;&gt;1,"",SUMIFS($H:$H,$C:$C,$C104,$D:$D,"P0(후)"))</f>
        <v/>
      </c>
      <c r="Q104" s="30">
        <f>IF(COUNTIFS($C:$C,$C104,$D:$D,"P0(후)",$L:$L,"&gt;0")&lt;&gt;1,"",SUMIFS($L:$L,$C:$C,$C104,$D:$D,"P0(후)"))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IF(OR(NOT(ISNUMBER(S104)),IF(ISNUMBER(G104),G104,F104)=0),"",S104/IF(ISNUMBER(G104),G104,F104))</f>
        <v/>
      </c>
      <c r="U104" s="46">
        <f>IF(ISNUMBER(T104),ABS(T104),"")</f>
        <v/>
      </c>
      <c r="V104" s="46">
        <f>IF(OR($D103&lt;&gt;"측정",$C103&lt;&gt;$C104,NOT(ISNUMBER(L104)),NOT(ISNUMBER(L103)),(IF(ISNUMBER(G104),G104,F104)-IF(ISNUMBER(G103),G103,F103))=0),"",(L104-L103)/(IF(ISNUMBER(G104),G104,F104)-IF(ISNUMBER(G103),G103,F103)))</f>
        <v/>
      </c>
      <c r="W104" s="30">
        <f>IF(NOT(AND(ISNUMBER(N104),ISNUMBER(P104))),"",(P104-N104)*1440)</f>
        <v/>
      </c>
      <c r="X104" s="28" t="n"/>
      <c r="Y104" s="28" t="n"/>
      <c r="Z104" s="28" t="n"/>
      <c r="AA104" s="31" t="n"/>
      <c r="AB104" s="31" t="n"/>
    </row>
    <row r="105">
      <c r="A105" s="25" t="inlineStr">
        <is>
          <t>S02</t>
        </is>
      </c>
      <c r="B105" s="25" t="inlineStr">
        <is>
          <t>임계 신규점1</t>
        </is>
      </c>
      <c r="C105" s="25" t="inlineStr">
        <is>
          <t>S02-H북</t>
        </is>
      </c>
      <c r="D105" s="25" t="inlineStr">
        <is>
          <t>측정</t>
        </is>
      </c>
      <c r="E105" s="25" t="inlineStr">
        <is>
          <t>북</t>
        </is>
      </c>
      <c r="F105" s="30" t="n">
        <v>8</v>
      </c>
      <c r="G105" s="29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IF(COUNTIFS($C:$C,$C105,$D:$D,"P0(전)",$L:$L,"&gt;0")&lt;&gt;1,"P0(전) 유효 1개 아님",IF(COUNTIFS($C:$C,$C105,$D:$D,"P0(후)",$L:$L,"&gt;0")&lt;&gt;1,"P0(후) 유효 1개 아님",IF(NOT(AND(ISNUMBER(N105),ISNUMBER(P105),ISNUMBER(H105))),"시각 결측",IF(P105&lt;=N105,"P0 시각 역전",IF(OR(H105&lt;N105,H105&gt;P105),"측정시각 구간 밖","OK")))))</f>
        <v/>
      </c>
      <c r="N105" s="45">
        <f>IF(COUNTIFS($C:$C,$C105,$D:$D,"P0(전)",$L:$L,"&gt;0")&lt;&gt;1,"",SUMIFS($H:$H,$C:$C,$C105,$D:$D,"P0(전)"))</f>
        <v/>
      </c>
      <c r="O105" s="30">
        <f>IF(COUNTIFS($C:$C,$C105,$D:$D,"P0(전)",$L:$L,"&gt;0")&lt;&gt;1,"",SUMIFS($L:$L,$C:$C,$C105,$D:$D,"P0(전)"))</f>
        <v/>
      </c>
      <c r="P105" s="45">
        <f>IF(COUNTIFS($C:$C,$C105,$D:$D,"P0(후)",$L:$L,"&gt;0")&lt;&gt;1,"",SUMIFS($H:$H,$C:$C,$C105,$D:$D,"P0(후)"))</f>
        <v/>
      </c>
      <c r="Q105" s="30">
        <f>IF(COUNTIFS($C:$C,$C105,$D:$D,"P0(후)",$L:$L,"&gt;0")&lt;&gt;1,"",SUMIFS($L:$L,$C:$C,$C105,$D:$D,"P0(후)"))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IF(OR(NOT(ISNUMBER(S105)),IF(ISNUMBER(G105),G105,F105)=0),"",S105/IF(ISNUMBER(G105),G105,F105))</f>
        <v/>
      </c>
      <c r="U105" s="46">
        <f>IF(ISNUMBER(T105),ABS(T105),"")</f>
        <v/>
      </c>
      <c r="V105" s="46">
        <f>IF(OR($D104&lt;&gt;"측정",$C104&lt;&gt;$C105,NOT(ISNUMBER(L105)),NOT(ISNUMBER(L104)),(IF(ISNUMBER(G105),G105,F105)-IF(ISNUMBER(G104),G104,F104))=0),"",(L105-L104)/(IF(ISNUMBER(G105),G105,F105)-IF(ISNUMBER(G104),G104,F104)))</f>
        <v/>
      </c>
      <c r="W105" s="30">
        <f>IF(NOT(AND(ISNUMBER(N105),ISNUMBER(P105))),"",(P105-N105)*1440)</f>
        <v/>
      </c>
      <c r="X105" s="28" t="n"/>
      <c r="Y105" s="28" t="n"/>
      <c r="Z105" s="28" t="n"/>
      <c r="AA105" s="31" t="n"/>
      <c r="AB105" s="31" t="n"/>
    </row>
    <row r="106">
      <c r="A106" s="25" t="inlineStr">
        <is>
          <t>S02</t>
        </is>
      </c>
      <c r="B106" s="25" t="inlineStr">
        <is>
          <t>임계 신규점1</t>
        </is>
      </c>
      <c r="C106" s="25" t="inlineStr">
        <is>
          <t>S02-H북</t>
        </is>
      </c>
      <c r="D106" s="25" t="inlineStr">
        <is>
          <t>측정</t>
        </is>
      </c>
      <c r="E106" s="25" t="inlineStr">
        <is>
          <t>북</t>
        </is>
      </c>
      <c r="F106" s="30" t="n">
        <v>9</v>
      </c>
      <c r="G106" s="29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IF(COUNTIFS($C:$C,$C106,$D:$D,"P0(전)",$L:$L,"&gt;0")&lt;&gt;1,"P0(전) 유효 1개 아님",IF(COUNTIFS($C:$C,$C106,$D:$D,"P0(후)",$L:$L,"&gt;0")&lt;&gt;1,"P0(후) 유효 1개 아님",IF(NOT(AND(ISNUMBER(N106),ISNUMBER(P106),ISNUMBER(H106))),"시각 결측",IF(P106&lt;=N106,"P0 시각 역전",IF(OR(H106&lt;N106,H106&gt;P106),"측정시각 구간 밖","OK")))))</f>
        <v/>
      </c>
      <c r="N106" s="45">
        <f>IF(COUNTIFS($C:$C,$C106,$D:$D,"P0(전)",$L:$L,"&gt;0")&lt;&gt;1,"",SUMIFS($H:$H,$C:$C,$C106,$D:$D,"P0(전)"))</f>
        <v/>
      </c>
      <c r="O106" s="30">
        <f>IF(COUNTIFS($C:$C,$C106,$D:$D,"P0(전)",$L:$L,"&gt;0")&lt;&gt;1,"",SUMIFS($L:$L,$C:$C,$C106,$D:$D,"P0(전)"))</f>
        <v/>
      </c>
      <c r="P106" s="45">
        <f>IF(COUNTIFS($C:$C,$C106,$D:$D,"P0(후)",$L:$L,"&gt;0")&lt;&gt;1,"",SUMIFS($H:$H,$C:$C,$C106,$D:$D,"P0(후)"))</f>
        <v/>
      </c>
      <c r="Q106" s="30">
        <f>IF(COUNTIFS($C:$C,$C106,$D:$D,"P0(후)",$L:$L,"&gt;0")&lt;&gt;1,"",SUMIFS($L:$L,$C:$C,$C106,$D:$D,"P0(후)"))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IF(OR(NOT(ISNUMBER(S106)),IF(ISNUMBER(G106),G106,F106)=0),"",S106/IF(ISNUMBER(G106),G106,F106))</f>
        <v/>
      </c>
      <c r="U106" s="46">
        <f>IF(ISNUMBER(T106),ABS(T106),"")</f>
        <v/>
      </c>
      <c r="V106" s="46">
        <f>IF(OR($D105&lt;&gt;"측정",$C105&lt;&gt;$C106,NOT(ISNUMBER(L106)),NOT(ISNUMBER(L105)),(IF(ISNUMBER(G106),G106,F106)-IF(ISNUMBER(G105),G105,F105))=0),"",(L106-L105)/(IF(ISNUMBER(G106),G106,F106)-IF(ISNUMBER(G105),G105,F105)))</f>
        <v/>
      </c>
      <c r="W106" s="30">
        <f>IF(NOT(AND(ISNUMBER(N106),ISNUMBER(P106))),"",(P106-N106)*1440)</f>
        <v/>
      </c>
      <c r="X106" s="28" t="n"/>
      <c r="Y106" s="28" t="n"/>
      <c r="Z106" s="28" t="n"/>
      <c r="AA106" s="31" t="n"/>
      <c r="AB106" s="31" t="n"/>
    </row>
    <row r="107">
      <c r="A107" s="25" t="inlineStr">
        <is>
          <t>S02</t>
        </is>
      </c>
      <c r="B107" s="25" t="inlineStr">
        <is>
          <t>임계 신규점1</t>
        </is>
      </c>
      <c r="C107" s="25" t="inlineStr">
        <is>
          <t>S02-H북</t>
        </is>
      </c>
      <c r="D107" s="25" t="inlineStr">
        <is>
          <t>측정</t>
        </is>
      </c>
      <c r="E107" s="25" t="inlineStr">
        <is>
          <t>북</t>
        </is>
      </c>
      <c r="F107" s="30" t="n">
        <v>10</v>
      </c>
      <c r="G107" s="29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IF(COUNTIFS($C:$C,$C107,$D:$D,"P0(전)",$L:$L,"&gt;0")&lt;&gt;1,"P0(전) 유효 1개 아님",IF(COUNTIFS($C:$C,$C107,$D:$D,"P0(후)",$L:$L,"&gt;0")&lt;&gt;1,"P0(후) 유효 1개 아님",IF(NOT(AND(ISNUMBER(N107),ISNUMBER(P107),ISNUMBER(H107))),"시각 결측",IF(P107&lt;=N107,"P0 시각 역전",IF(OR(H107&lt;N107,H107&gt;P107),"측정시각 구간 밖","OK")))))</f>
        <v/>
      </c>
      <c r="N107" s="45">
        <f>IF(COUNTIFS($C:$C,$C107,$D:$D,"P0(전)",$L:$L,"&gt;0")&lt;&gt;1,"",SUMIFS($H:$H,$C:$C,$C107,$D:$D,"P0(전)"))</f>
        <v/>
      </c>
      <c r="O107" s="30">
        <f>IF(COUNTIFS($C:$C,$C107,$D:$D,"P0(전)",$L:$L,"&gt;0")&lt;&gt;1,"",SUMIFS($L:$L,$C:$C,$C107,$D:$D,"P0(전)"))</f>
        <v/>
      </c>
      <c r="P107" s="45">
        <f>IF(COUNTIFS($C:$C,$C107,$D:$D,"P0(후)",$L:$L,"&gt;0")&lt;&gt;1,"",SUMIFS($H:$H,$C:$C,$C107,$D:$D,"P0(후)"))</f>
        <v/>
      </c>
      <c r="Q107" s="30">
        <f>IF(COUNTIFS($C:$C,$C107,$D:$D,"P0(후)",$L:$L,"&gt;0")&lt;&gt;1,"",SUMIFS($L:$L,$C:$C,$C107,$D:$D,"P0(후)"))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IF(OR(NOT(ISNUMBER(S107)),IF(ISNUMBER(G107),G107,F107)=0),"",S107/IF(ISNUMBER(G107),G107,F107))</f>
        <v/>
      </c>
      <c r="U107" s="46">
        <f>IF(ISNUMBER(T107),ABS(T107),"")</f>
        <v/>
      </c>
      <c r="V107" s="46">
        <f>IF(OR($D106&lt;&gt;"측정",$C106&lt;&gt;$C107,NOT(ISNUMBER(L107)),NOT(ISNUMBER(L106)),(IF(ISNUMBER(G107),G107,F107)-IF(ISNUMBER(G106),G106,F106))=0),"",(L107-L106)/(IF(ISNUMBER(G107),G107,F107)-IF(ISNUMBER(G106),G106,F106)))</f>
        <v/>
      </c>
      <c r="W107" s="30">
        <f>IF(NOT(AND(ISNUMBER(N107),ISNUMBER(P107))),"",(P107-N107)*1440)</f>
        <v/>
      </c>
      <c r="X107" s="28" t="n"/>
      <c r="Y107" s="28" t="n"/>
      <c r="Z107" s="28" t="n"/>
      <c r="AA107" s="31" t="n"/>
      <c r="AB107" s="31" t="n"/>
    </row>
    <row r="108">
      <c r="A108" s="43" t="inlineStr">
        <is>
          <t>S02</t>
        </is>
      </c>
      <c r="B108" s="43" t="inlineStr">
        <is>
          <t>임계 신규점1</t>
        </is>
      </c>
      <c r="C108" s="43" t="inlineStr">
        <is>
          <t>S02-H북</t>
        </is>
      </c>
      <c r="D108" s="43" t="inlineStr">
        <is>
          <t>P0(후)</t>
        </is>
      </c>
      <c r="E108" s="43" t="inlineStr">
        <is>
          <t>북</t>
        </is>
      </c>
      <c r="F108" s="44" t="n"/>
      <c r="G108" s="29" t="n"/>
      <c r="H108" s="42" t="n"/>
      <c r="I108" s="40" t="n"/>
      <c r="J108" s="40" t="n"/>
      <c r="K108" s="40" t="n"/>
      <c r="L108" s="30">
        <f>IF(COUNT(I108:K108)=0,"",MEDIAN(I108:K108))</f>
        <v/>
      </c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28" t="n"/>
      <c r="Y108" s="28" t="n"/>
      <c r="Z108" s="28" t="n"/>
      <c r="AA108" s="31" t="n"/>
      <c r="AB108" s="31" t="n"/>
    </row>
    <row r="109">
      <c r="A109" s="43" t="inlineStr">
        <is>
          <t>S03</t>
        </is>
      </c>
      <c r="B109" s="43" t="inlineStr">
        <is>
          <t>예산 신규점2</t>
        </is>
      </c>
      <c r="C109" s="43" t="inlineStr">
        <is>
          <t>S03-H동</t>
        </is>
      </c>
      <c r="D109" s="43" t="inlineStr">
        <is>
          <t>P0(전)</t>
        </is>
      </c>
      <c r="E109" s="43" t="inlineStr">
        <is>
          <t>동</t>
        </is>
      </c>
      <c r="F109" s="44" t="n"/>
      <c r="G109" s="29" t="n"/>
      <c r="H109" s="42" t="n"/>
      <c r="I109" s="40" t="n"/>
      <c r="J109" s="40" t="n"/>
      <c r="K109" s="40" t="n"/>
      <c r="L109" s="30">
        <f>IF(COUNT(I109:K109)=0,"",MEDIAN(I109:K109))</f>
        <v/>
      </c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28" t="n"/>
      <c r="Y109" s="28" t="n"/>
      <c r="Z109" s="28" t="n"/>
      <c r="AA109" s="31" t="n"/>
      <c r="AB109" s="31" t="n"/>
    </row>
    <row r="110">
      <c r="A110" s="25" t="inlineStr">
        <is>
          <t>S03</t>
        </is>
      </c>
      <c r="B110" s="25" t="inlineStr">
        <is>
          <t>예산 신규점2</t>
        </is>
      </c>
      <c r="C110" s="25" t="inlineStr">
        <is>
          <t>S03-H동</t>
        </is>
      </c>
      <c r="D110" s="25" t="inlineStr">
        <is>
          <t>측정</t>
        </is>
      </c>
      <c r="E110" s="25" t="inlineStr">
        <is>
          <t>동</t>
        </is>
      </c>
      <c r="F110" s="30" t="n">
        <v>0.5</v>
      </c>
      <c r="G110" s="29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IF(COUNTIFS($C:$C,$C110,$D:$D,"P0(전)",$L:$L,"&gt;0")&lt;&gt;1,"P0(전) 유효 1개 아님",IF(COUNTIFS($C:$C,$C110,$D:$D,"P0(후)",$L:$L,"&gt;0")&lt;&gt;1,"P0(후) 유효 1개 아님",IF(NOT(AND(ISNUMBER(N110),ISNUMBER(P110),ISNUMBER(H110))),"시각 결측",IF(P110&lt;=N110,"P0 시각 역전",IF(OR(H110&lt;N110,H110&gt;P110),"측정시각 구간 밖","OK")))))</f>
        <v/>
      </c>
      <c r="N110" s="45">
        <f>IF(COUNTIFS($C:$C,$C110,$D:$D,"P0(전)",$L:$L,"&gt;0")&lt;&gt;1,"",SUMIFS($H:$H,$C:$C,$C110,$D:$D,"P0(전)"))</f>
        <v/>
      </c>
      <c r="O110" s="30">
        <f>IF(COUNTIFS($C:$C,$C110,$D:$D,"P0(전)",$L:$L,"&gt;0")&lt;&gt;1,"",SUMIFS($L:$L,$C:$C,$C110,$D:$D,"P0(전)"))</f>
        <v/>
      </c>
      <c r="P110" s="45">
        <f>IF(COUNTIFS($C:$C,$C110,$D:$D,"P0(후)",$L:$L,"&gt;0")&lt;&gt;1,"",SUMIFS($H:$H,$C:$C,$C110,$D:$D,"P0(후)"))</f>
        <v/>
      </c>
      <c r="Q110" s="30">
        <f>IF(COUNTIFS($C:$C,$C110,$D:$D,"P0(후)",$L:$L,"&gt;0")&lt;&gt;1,"",SUMIFS($L:$L,$C:$C,$C110,$D:$D,"P0(후)"))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IF(OR(NOT(ISNUMBER(S110)),IF(ISNUMBER(G110),G110,F110)=0),"",S110/IF(ISNUMBER(G110),G110,F110))</f>
        <v/>
      </c>
      <c r="U110" s="46">
        <f>IF(ISNUMBER(T110),ABS(T110),"")</f>
        <v/>
      </c>
      <c r="V110" s="46">
        <f>IF(OR($D109&lt;&gt;"측정",$C109&lt;&gt;$C110,NOT(ISNUMBER(L110)),NOT(ISNUMBER(L109)),(IF(ISNUMBER(G110),G110,F110)-IF(ISNUMBER(G109),G109,F109))=0),"",(L110-L109)/(IF(ISNUMBER(G110),G110,F110)-IF(ISNUMBER(G109),G109,F109)))</f>
        <v/>
      </c>
      <c r="W110" s="30">
        <f>IF(NOT(AND(ISNUMBER(N110),ISNUMBER(P110))),"",(P110-N110)*1440)</f>
        <v/>
      </c>
      <c r="X110" s="28" t="n"/>
      <c r="Y110" s="28" t="n"/>
      <c r="Z110" s="28" t="n"/>
      <c r="AA110" s="31" t="n"/>
      <c r="AB110" s="31" t="n"/>
    </row>
    <row r="111">
      <c r="A111" s="25" t="inlineStr">
        <is>
          <t>S03</t>
        </is>
      </c>
      <c r="B111" s="25" t="inlineStr">
        <is>
          <t>예산 신규점2</t>
        </is>
      </c>
      <c r="C111" s="25" t="inlineStr">
        <is>
          <t>S03-H동</t>
        </is>
      </c>
      <c r="D111" s="25" t="inlineStr">
        <is>
          <t>측정</t>
        </is>
      </c>
      <c r="E111" s="25" t="inlineStr">
        <is>
          <t>동</t>
        </is>
      </c>
      <c r="F111" s="30" t="n">
        <v>1</v>
      </c>
      <c r="G111" s="29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IF(COUNTIFS($C:$C,$C111,$D:$D,"P0(전)",$L:$L,"&gt;0")&lt;&gt;1,"P0(전) 유효 1개 아님",IF(COUNTIFS($C:$C,$C111,$D:$D,"P0(후)",$L:$L,"&gt;0")&lt;&gt;1,"P0(후) 유효 1개 아님",IF(NOT(AND(ISNUMBER(N111),ISNUMBER(P111),ISNUMBER(H111))),"시각 결측",IF(P111&lt;=N111,"P0 시각 역전",IF(OR(H111&lt;N111,H111&gt;P111),"측정시각 구간 밖","OK")))))</f>
        <v/>
      </c>
      <c r="N111" s="45">
        <f>IF(COUNTIFS($C:$C,$C111,$D:$D,"P0(전)",$L:$L,"&gt;0")&lt;&gt;1,"",SUMIFS($H:$H,$C:$C,$C111,$D:$D,"P0(전)"))</f>
        <v/>
      </c>
      <c r="O111" s="30">
        <f>IF(COUNTIFS($C:$C,$C111,$D:$D,"P0(전)",$L:$L,"&gt;0")&lt;&gt;1,"",SUMIFS($L:$L,$C:$C,$C111,$D:$D,"P0(전)"))</f>
        <v/>
      </c>
      <c r="P111" s="45">
        <f>IF(COUNTIFS($C:$C,$C111,$D:$D,"P0(후)",$L:$L,"&gt;0")&lt;&gt;1,"",SUMIFS($H:$H,$C:$C,$C111,$D:$D,"P0(후)"))</f>
        <v/>
      </c>
      <c r="Q111" s="30">
        <f>IF(COUNTIFS($C:$C,$C111,$D:$D,"P0(후)",$L:$L,"&gt;0")&lt;&gt;1,"",SUMIFS($L:$L,$C:$C,$C111,$D:$D,"P0(후)"))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IF(OR(NOT(ISNUMBER(S111)),IF(ISNUMBER(G111),G111,F111)=0),"",S111/IF(ISNUMBER(G111),G111,F111))</f>
        <v/>
      </c>
      <c r="U111" s="46">
        <f>IF(ISNUMBER(T111),ABS(T111),"")</f>
        <v/>
      </c>
      <c r="V111" s="46">
        <f>IF(OR($D110&lt;&gt;"측정",$C110&lt;&gt;$C111,NOT(ISNUMBER(L111)),NOT(ISNUMBER(L110)),(IF(ISNUMBER(G111),G111,F111)-IF(ISNUMBER(G110),G110,F110))=0),"",(L111-L110)/(IF(ISNUMBER(G111),G111,F111)-IF(ISNUMBER(G110),G110,F110)))</f>
        <v/>
      </c>
      <c r="W111" s="30">
        <f>IF(NOT(AND(ISNUMBER(N111),ISNUMBER(P111))),"",(P111-N111)*1440)</f>
        <v/>
      </c>
      <c r="X111" s="28" t="n"/>
      <c r="Y111" s="28" t="n"/>
      <c r="Z111" s="28" t="n"/>
      <c r="AA111" s="31" t="n"/>
      <c r="AB111" s="31" t="n"/>
    </row>
    <row r="112">
      <c r="A112" s="25" t="inlineStr">
        <is>
          <t>S03</t>
        </is>
      </c>
      <c r="B112" s="25" t="inlineStr">
        <is>
          <t>예산 신규점2</t>
        </is>
      </c>
      <c r="C112" s="25" t="inlineStr">
        <is>
          <t>S03-H동</t>
        </is>
      </c>
      <c r="D112" s="25" t="inlineStr">
        <is>
          <t>측정</t>
        </is>
      </c>
      <c r="E112" s="25" t="inlineStr">
        <is>
          <t>동</t>
        </is>
      </c>
      <c r="F112" s="30" t="n">
        <v>2</v>
      </c>
      <c r="G112" s="29" t="n"/>
      <c r="H112" s="42" t="n"/>
      <c r="I112" s="40" t="n"/>
      <c r="J112" s="40" t="n"/>
      <c r="K112" s="40" t="n"/>
      <c r="L112" s="30">
        <f>IF(COUNT(I112:K112)=0,"",MEDIAN(I112:K112))</f>
        <v/>
      </c>
      <c r="M112" s="25">
        <f>IF(COUNTIFS($C:$C,$C112,$D:$D,"P0(전)",$L:$L,"&gt;0")&lt;&gt;1,"P0(전) 유효 1개 아님",IF(COUNTIFS($C:$C,$C112,$D:$D,"P0(후)",$L:$L,"&gt;0")&lt;&gt;1,"P0(후) 유효 1개 아님",IF(NOT(AND(ISNUMBER(N112),ISNUMBER(P112),ISNUMBER(H112))),"시각 결측",IF(P112&lt;=N112,"P0 시각 역전",IF(OR(H112&lt;N112,H112&gt;P112),"측정시각 구간 밖","OK")))))</f>
        <v/>
      </c>
      <c r="N112" s="45">
        <f>IF(COUNTIFS($C:$C,$C112,$D:$D,"P0(전)",$L:$L,"&gt;0")&lt;&gt;1,"",SUMIFS($H:$H,$C:$C,$C112,$D:$D,"P0(전)"))</f>
        <v/>
      </c>
      <c r="O112" s="30">
        <f>IF(COUNTIFS($C:$C,$C112,$D:$D,"P0(전)",$L:$L,"&gt;0")&lt;&gt;1,"",SUMIFS($L:$L,$C:$C,$C112,$D:$D,"P0(전)"))</f>
        <v/>
      </c>
      <c r="P112" s="45">
        <f>IF(COUNTIFS($C:$C,$C112,$D:$D,"P0(후)",$L:$L,"&gt;0")&lt;&gt;1,"",SUMIFS($H:$H,$C:$C,$C112,$D:$D,"P0(후)"))</f>
        <v/>
      </c>
      <c r="Q112" s="30">
        <f>IF(COUNTIFS($C:$C,$C112,$D:$D,"P0(후)",$L:$L,"&gt;0")&lt;&gt;1,"",SUMIFS($L:$L,$C:$C,$C112,$D:$D,"P0(후)"))</f>
        <v/>
      </c>
      <c r="R112" s="30">
        <f>IF(M112&lt;&gt;"OK","",O112+(Q112-O112)*(H112-N112)/(P112-N112))</f>
        <v/>
      </c>
      <c r="S112" s="30">
        <f>IF(OR(M112&lt;&gt;"OK",NOT(ISNUMBER(L112))),"",L112-R112)</f>
        <v/>
      </c>
      <c r="T112" s="46">
        <f>IF(OR(NOT(ISNUMBER(S112)),IF(ISNUMBER(G112),G112,F112)=0),"",S112/IF(ISNUMBER(G112),G112,F112))</f>
        <v/>
      </c>
      <c r="U112" s="46">
        <f>IF(ISNUMBER(T112),ABS(T112),"")</f>
        <v/>
      </c>
      <c r="V112" s="46">
        <f>IF(OR($D111&lt;&gt;"측정",$C111&lt;&gt;$C112,NOT(ISNUMBER(L112)),NOT(ISNUMBER(L111)),(IF(ISNUMBER(G112),G112,F112)-IF(ISNUMBER(G111),G111,F111))=0),"",(L112-L111)/(IF(ISNUMBER(G112),G112,F112)-IF(ISNUMBER(G111),G111,F111)))</f>
        <v/>
      </c>
      <c r="W112" s="30">
        <f>IF(NOT(AND(ISNUMBER(N112),ISNUMBER(P112))),"",(P112-N112)*1440)</f>
        <v/>
      </c>
      <c r="X112" s="28" t="n"/>
      <c r="Y112" s="28" t="n"/>
      <c r="Z112" s="28" t="n"/>
      <c r="AA112" s="31" t="n"/>
      <c r="AB112" s="31" t="n"/>
    </row>
    <row r="113">
      <c r="A113" s="25" t="inlineStr">
        <is>
          <t>S03</t>
        </is>
      </c>
      <c r="B113" s="25" t="inlineStr">
        <is>
          <t>예산 신규점2</t>
        </is>
      </c>
      <c r="C113" s="25" t="inlineStr">
        <is>
          <t>S03-H동</t>
        </is>
      </c>
      <c r="D113" s="25" t="inlineStr">
        <is>
          <t>측정</t>
        </is>
      </c>
      <c r="E113" s="25" t="inlineStr">
        <is>
          <t>동</t>
        </is>
      </c>
      <c r="F113" s="30" t="n">
        <v>3</v>
      </c>
      <c r="G113" s="29" t="n"/>
      <c r="H113" s="42" t="n"/>
      <c r="I113" s="40" t="n"/>
      <c r="J113" s="40" t="n"/>
      <c r="K113" s="40" t="n"/>
      <c r="L113" s="30">
        <f>IF(COUNT(I113:K113)=0,"",MEDIAN(I113:K113))</f>
        <v/>
      </c>
      <c r="M113" s="25">
        <f>IF(COUNTIFS($C:$C,$C113,$D:$D,"P0(전)",$L:$L,"&gt;0")&lt;&gt;1,"P0(전) 유효 1개 아님",IF(COUNTIFS($C:$C,$C113,$D:$D,"P0(후)",$L:$L,"&gt;0")&lt;&gt;1,"P0(후) 유효 1개 아님",IF(NOT(AND(ISNUMBER(N113),ISNUMBER(P113),ISNUMBER(H113))),"시각 결측",IF(P113&lt;=N113,"P0 시각 역전",IF(OR(H113&lt;N113,H113&gt;P113),"측정시각 구간 밖","OK")))))</f>
        <v/>
      </c>
      <c r="N113" s="45">
        <f>IF(COUNTIFS($C:$C,$C113,$D:$D,"P0(전)",$L:$L,"&gt;0")&lt;&gt;1,"",SUMIFS($H:$H,$C:$C,$C113,$D:$D,"P0(전)"))</f>
        <v/>
      </c>
      <c r="O113" s="30">
        <f>IF(COUNTIFS($C:$C,$C113,$D:$D,"P0(전)",$L:$L,"&gt;0")&lt;&gt;1,"",SUMIFS($L:$L,$C:$C,$C113,$D:$D,"P0(전)"))</f>
        <v/>
      </c>
      <c r="P113" s="45">
        <f>IF(COUNTIFS($C:$C,$C113,$D:$D,"P0(후)",$L:$L,"&gt;0")&lt;&gt;1,"",SUMIFS($H:$H,$C:$C,$C113,$D:$D,"P0(후)"))</f>
        <v/>
      </c>
      <c r="Q113" s="30">
        <f>IF(COUNTIFS($C:$C,$C113,$D:$D,"P0(후)",$L:$L,"&gt;0")&lt;&gt;1,"",SUMIFS($L:$L,$C:$C,$C113,$D:$D,"P0(후)"))</f>
        <v/>
      </c>
      <c r="R113" s="30">
        <f>IF(M113&lt;&gt;"OK","",O113+(Q113-O113)*(H113-N113)/(P113-N113))</f>
        <v/>
      </c>
      <c r="S113" s="30">
        <f>IF(OR(M113&lt;&gt;"OK",NOT(ISNUMBER(L113))),"",L113-R113)</f>
        <v/>
      </c>
      <c r="T113" s="46">
        <f>IF(OR(NOT(ISNUMBER(S113)),IF(ISNUMBER(G113),G113,F113)=0),"",S113/IF(ISNUMBER(G113),G113,F113))</f>
        <v/>
      </c>
      <c r="U113" s="46">
        <f>IF(ISNUMBER(T113),ABS(T113),"")</f>
        <v/>
      </c>
      <c r="V113" s="46">
        <f>IF(OR($D112&lt;&gt;"측정",$C112&lt;&gt;$C113,NOT(ISNUMBER(L113)),NOT(ISNUMBER(L112)),(IF(ISNUMBER(G113),G113,F113)-IF(ISNUMBER(G112),G112,F112))=0),"",(L113-L112)/(IF(ISNUMBER(G113),G113,F113)-IF(ISNUMBER(G112),G112,F112)))</f>
        <v/>
      </c>
      <c r="W113" s="30">
        <f>IF(NOT(AND(ISNUMBER(N113),ISNUMBER(P113))),"",(P113-N113)*1440)</f>
        <v/>
      </c>
      <c r="X113" s="28" t="n"/>
      <c r="Y113" s="28" t="n"/>
      <c r="Z113" s="28" t="n"/>
      <c r="AA113" s="31" t="n"/>
      <c r="AB113" s="31" t="n"/>
    </row>
    <row r="114">
      <c r="A114" s="25" t="inlineStr">
        <is>
          <t>S03</t>
        </is>
      </c>
      <c r="B114" s="25" t="inlineStr">
        <is>
          <t>예산 신규점2</t>
        </is>
      </c>
      <c r="C114" s="25" t="inlineStr">
        <is>
          <t>S03-H동</t>
        </is>
      </c>
      <c r="D114" s="25" t="inlineStr">
        <is>
          <t>측정</t>
        </is>
      </c>
      <c r="E114" s="25" t="inlineStr">
        <is>
          <t>동</t>
        </is>
      </c>
      <c r="F114" s="30" t="n">
        <v>4</v>
      </c>
      <c r="G114" s="29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IF(COUNTIFS($C:$C,$C114,$D:$D,"P0(전)",$L:$L,"&gt;0")&lt;&gt;1,"P0(전) 유효 1개 아님",IF(COUNTIFS($C:$C,$C114,$D:$D,"P0(후)",$L:$L,"&gt;0")&lt;&gt;1,"P0(후) 유효 1개 아님",IF(NOT(AND(ISNUMBER(N114),ISNUMBER(P114),ISNUMBER(H114))),"시각 결측",IF(P114&lt;=N114,"P0 시각 역전",IF(OR(H114&lt;N114,H114&gt;P114),"측정시각 구간 밖","OK")))))</f>
        <v/>
      </c>
      <c r="N114" s="45">
        <f>IF(COUNTIFS($C:$C,$C114,$D:$D,"P0(전)",$L:$L,"&gt;0")&lt;&gt;1,"",SUMIFS($H:$H,$C:$C,$C114,$D:$D,"P0(전)"))</f>
        <v/>
      </c>
      <c r="O114" s="30">
        <f>IF(COUNTIFS($C:$C,$C114,$D:$D,"P0(전)",$L:$L,"&gt;0")&lt;&gt;1,"",SUMIFS($L:$L,$C:$C,$C114,$D:$D,"P0(전)"))</f>
        <v/>
      </c>
      <c r="P114" s="45">
        <f>IF(COUNTIFS($C:$C,$C114,$D:$D,"P0(후)",$L:$L,"&gt;0")&lt;&gt;1,"",SUMIFS($H:$H,$C:$C,$C114,$D:$D,"P0(후)"))</f>
        <v/>
      </c>
      <c r="Q114" s="30">
        <f>IF(COUNTIFS($C:$C,$C114,$D:$D,"P0(후)",$L:$L,"&gt;0")&lt;&gt;1,"",SUMIFS($L:$L,$C:$C,$C114,$D:$D,"P0(후)"))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IF(OR(NOT(ISNUMBER(S114)),IF(ISNUMBER(G114),G114,F114)=0),"",S114/IF(ISNUMBER(G114),G114,F114))</f>
        <v/>
      </c>
      <c r="U114" s="46">
        <f>IF(ISNUMBER(T114),ABS(T114),"")</f>
        <v/>
      </c>
      <c r="V114" s="46">
        <f>IF(OR($D113&lt;&gt;"측정",$C113&lt;&gt;$C114,NOT(ISNUMBER(L114)),NOT(ISNUMBER(L113)),(IF(ISNUMBER(G114),G114,F114)-IF(ISNUMBER(G113),G113,F113))=0),"",(L114-L113)/(IF(ISNUMBER(G114),G114,F114)-IF(ISNUMBER(G113),G113,F113)))</f>
        <v/>
      </c>
      <c r="W114" s="30">
        <f>IF(NOT(AND(ISNUMBER(N114),ISNUMBER(P114))),"",(P114-N114)*1440)</f>
        <v/>
      </c>
      <c r="X114" s="28" t="n"/>
      <c r="Y114" s="28" t="n"/>
      <c r="Z114" s="28" t="n"/>
      <c r="AA114" s="31" t="n"/>
      <c r="AB114" s="31" t="n"/>
    </row>
    <row r="115">
      <c r="A115" s="25" t="inlineStr">
        <is>
          <t>S03</t>
        </is>
      </c>
      <c r="B115" s="25" t="inlineStr">
        <is>
          <t>예산 신규점2</t>
        </is>
      </c>
      <c r="C115" s="25" t="inlineStr">
        <is>
          <t>S03-H동</t>
        </is>
      </c>
      <c r="D115" s="25" t="inlineStr">
        <is>
          <t>측정</t>
        </is>
      </c>
      <c r="E115" s="25" t="inlineStr">
        <is>
          <t>동</t>
        </is>
      </c>
      <c r="F115" s="30" t="n">
        <v>5</v>
      </c>
      <c r="G115" s="29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IF(COUNTIFS($C:$C,$C115,$D:$D,"P0(전)",$L:$L,"&gt;0")&lt;&gt;1,"P0(전) 유효 1개 아님",IF(COUNTIFS($C:$C,$C115,$D:$D,"P0(후)",$L:$L,"&gt;0")&lt;&gt;1,"P0(후) 유효 1개 아님",IF(NOT(AND(ISNUMBER(N115),ISNUMBER(P115),ISNUMBER(H115))),"시각 결측",IF(P115&lt;=N115,"P0 시각 역전",IF(OR(H115&lt;N115,H115&gt;P115),"측정시각 구간 밖","OK")))))</f>
        <v/>
      </c>
      <c r="N115" s="45">
        <f>IF(COUNTIFS($C:$C,$C115,$D:$D,"P0(전)",$L:$L,"&gt;0")&lt;&gt;1,"",SUMIFS($H:$H,$C:$C,$C115,$D:$D,"P0(전)"))</f>
        <v/>
      </c>
      <c r="O115" s="30">
        <f>IF(COUNTIFS($C:$C,$C115,$D:$D,"P0(전)",$L:$L,"&gt;0")&lt;&gt;1,"",SUMIFS($L:$L,$C:$C,$C115,$D:$D,"P0(전)"))</f>
        <v/>
      </c>
      <c r="P115" s="45">
        <f>IF(COUNTIFS($C:$C,$C115,$D:$D,"P0(후)",$L:$L,"&gt;0")&lt;&gt;1,"",SUMIFS($H:$H,$C:$C,$C115,$D:$D,"P0(후)"))</f>
        <v/>
      </c>
      <c r="Q115" s="30">
        <f>IF(COUNTIFS($C:$C,$C115,$D:$D,"P0(후)",$L:$L,"&gt;0")&lt;&gt;1,"",SUMIFS($L:$L,$C:$C,$C115,$D:$D,"P0(후)"))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IF(OR(NOT(ISNUMBER(S115)),IF(ISNUMBER(G115),G115,F115)=0),"",S115/IF(ISNUMBER(G115),G115,F115))</f>
        <v/>
      </c>
      <c r="U115" s="46">
        <f>IF(ISNUMBER(T115),ABS(T115),"")</f>
        <v/>
      </c>
      <c r="V115" s="46">
        <f>IF(OR($D114&lt;&gt;"측정",$C114&lt;&gt;$C115,NOT(ISNUMBER(L115)),NOT(ISNUMBER(L114)),(IF(ISNUMBER(G115),G115,F115)-IF(ISNUMBER(G114),G114,F114))=0),"",(L115-L114)/(IF(ISNUMBER(G115),G115,F115)-IF(ISNUMBER(G114),G114,F114)))</f>
        <v/>
      </c>
      <c r="W115" s="30">
        <f>IF(NOT(AND(ISNUMBER(N115),ISNUMBER(P115))),"",(P115-N115)*1440)</f>
        <v/>
      </c>
      <c r="X115" s="28" t="n"/>
      <c r="Y115" s="28" t="n"/>
      <c r="Z115" s="28" t="n"/>
      <c r="AA115" s="31" t="n"/>
      <c r="AB115" s="31" t="n"/>
    </row>
    <row r="116">
      <c r="A116" s="25" t="inlineStr">
        <is>
          <t>S03</t>
        </is>
      </c>
      <c r="B116" s="25" t="inlineStr">
        <is>
          <t>예산 신규점2</t>
        </is>
      </c>
      <c r="C116" s="25" t="inlineStr">
        <is>
          <t>S03-H동</t>
        </is>
      </c>
      <c r="D116" s="25" t="inlineStr">
        <is>
          <t>측정</t>
        </is>
      </c>
      <c r="E116" s="25" t="inlineStr">
        <is>
          <t>동</t>
        </is>
      </c>
      <c r="F116" s="30" t="n">
        <v>6</v>
      </c>
      <c r="G116" s="29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IF(COUNTIFS($C:$C,$C116,$D:$D,"P0(전)",$L:$L,"&gt;0")&lt;&gt;1,"P0(전) 유효 1개 아님",IF(COUNTIFS($C:$C,$C116,$D:$D,"P0(후)",$L:$L,"&gt;0")&lt;&gt;1,"P0(후) 유효 1개 아님",IF(NOT(AND(ISNUMBER(N116),ISNUMBER(P116),ISNUMBER(H116))),"시각 결측",IF(P116&lt;=N116,"P0 시각 역전",IF(OR(H116&lt;N116,H116&gt;P116),"측정시각 구간 밖","OK")))))</f>
        <v/>
      </c>
      <c r="N116" s="45">
        <f>IF(COUNTIFS($C:$C,$C116,$D:$D,"P0(전)",$L:$L,"&gt;0")&lt;&gt;1,"",SUMIFS($H:$H,$C:$C,$C116,$D:$D,"P0(전)"))</f>
        <v/>
      </c>
      <c r="O116" s="30">
        <f>IF(COUNTIFS($C:$C,$C116,$D:$D,"P0(전)",$L:$L,"&gt;0")&lt;&gt;1,"",SUMIFS($L:$L,$C:$C,$C116,$D:$D,"P0(전)"))</f>
        <v/>
      </c>
      <c r="P116" s="45">
        <f>IF(COUNTIFS($C:$C,$C116,$D:$D,"P0(후)",$L:$L,"&gt;0")&lt;&gt;1,"",SUMIFS($H:$H,$C:$C,$C116,$D:$D,"P0(후)"))</f>
        <v/>
      </c>
      <c r="Q116" s="30">
        <f>IF(COUNTIFS($C:$C,$C116,$D:$D,"P0(후)",$L:$L,"&gt;0")&lt;&gt;1,"",SUMIFS($L:$L,$C:$C,$C116,$D:$D,"P0(후)"))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IF(OR(NOT(ISNUMBER(S116)),IF(ISNUMBER(G116),G116,F116)=0),"",S116/IF(ISNUMBER(G116),G116,F116))</f>
        <v/>
      </c>
      <c r="U116" s="46">
        <f>IF(ISNUMBER(T116),ABS(T116),"")</f>
        <v/>
      </c>
      <c r="V116" s="46">
        <f>IF(OR($D115&lt;&gt;"측정",$C115&lt;&gt;$C116,NOT(ISNUMBER(L116)),NOT(ISNUMBER(L115)),(IF(ISNUMBER(G116),G116,F116)-IF(ISNUMBER(G115),G115,F115))=0),"",(L116-L115)/(IF(ISNUMBER(G116),G116,F116)-IF(ISNUMBER(G115),G115,F115)))</f>
        <v/>
      </c>
      <c r="W116" s="30">
        <f>IF(NOT(AND(ISNUMBER(N116),ISNUMBER(P116))),"",(P116-N116)*1440)</f>
        <v/>
      </c>
      <c r="X116" s="28" t="n"/>
      <c r="Y116" s="28" t="n"/>
      <c r="Z116" s="28" t="n"/>
      <c r="AA116" s="31" t="n"/>
      <c r="AB116" s="31" t="n"/>
    </row>
    <row r="117">
      <c r="A117" s="25" t="inlineStr">
        <is>
          <t>S03</t>
        </is>
      </c>
      <c r="B117" s="25" t="inlineStr">
        <is>
          <t>예산 신규점2</t>
        </is>
      </c>
      <c r="C117" s="25" t="inlineStr">
        <is>
          <t>S03-H동</t>
        </is>
      </c>
      <c r="D117" s="25" t="inlineStr">
        <is>
          <t>측정</t>
        </is>
      </c>
      <c r="E117" s="25" t="inlineStr">
        <is>
          <t>동</t>
        </is>
      </c>
      <c r="F117" s="30" t="n">
        <v>7</v>
      </c>
      <c r="G117" s="29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IF(COUNTIFS($C:$C,$C117,$D:$D,"P0(전)",$L:$L,"&gt;0")&lt;&gt;1,"P0(전) 유효 1개 아님",IF(COUNTIFS($C:$C,$C117,$D:$D,"P0(후)",$L:$L,"&gt;0")&lt;&gt;1,"P0(후) 유효 1개 아님",IF(NOT(AND(ISNUMBER(N117),ISNUMBER(P117),ISNUMBER(H117))),"시각 결측",IF(P117&lt;=N117,"P0 시각 역전",IF(OR(H117&lt;N117,H117&gt;P117),"측정시각 구간 밖","OK")))))</f>
        <v/>
      </c>
      <c r="N117" s="45">
        <f>IF(COUNTIFS($C:$C,$C117,$D:$D,"P0(전)",$L:$L,"&gt;0")&lt;&gt;1,"",SUMIFS($H:$H,$C:$C,$C117,$D:$D,"P0(전)"))</f>
        <v/>
      </c>
      <c r="O117" s="30">
        <f>IF(COUNTIFS($C:$C,$C117,$D:$D,"P0(전)",$L:$L,"&gt;0")&lt;&gt;1,"",SUMIFS($L:$L,$C:$C,$C117,$D:$D,"P0(전)"))</f>
        <v/>
      </c>
      <c r="P117" s="45">
        <f>IF(COUNTIFS($C:$C,$C117,$D:$D,"P0(후)",$L:$L,"&gt;0")&lt;&gt;1,"",SUMIFS($H:$H,$C:$C,$C117,$D:$D,"P0(후)"))</f>
        <v/>
      </c>
      <c r="Q117" s="30">
        <f>IF(COUNTIFS($C:$C,$C117,$D:$D,"P0(후)",$L:$L,"&gt;0")&lt;&gt;1,"",SUMIFS($L:$L,$C:$C,$C117,$D:$D,"P0(후)"))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IF(OR(NOT(ISNUMBER(S117)),IF(ISNUMBER(G117),G117,F117)=0),"",S117/IF(ISNUMBER(G117),G117,F117))</f>
        <v/>
      </c>
      <c r="U117" s="46">
        <f>IF(ISNUMBER(T117),ABS(T117),"")</f>
        <v/>
      </c>
      <c r="V117" s="46">
        <f>IF(OR($D116&lt;&gt;"측정",$C116&lt;&gt;$C117,NOT(ISNUMBER(L117)),NOT(ISNUMBER(L116)),(IF(ISNUMBER(G117),G117,F117)-IF(ISNUMBER(G116),G116,F116))=0),"",(L117-L116)/(IF(ISNUMBER(G117),G117,F117)-IF(ISNUMBER(G116),G116,F116)))</f>
        <v/>
      </c>
      <c r="W117" s="30">
        <f>IF(NOT(AND(ISNUMBER(N117),ISNUMBER(P117))),"",(P117-N117)*1440)</f>
        <v/>
      </c>
      <c r="X117" s="28" t="n"/>
      <c r="Y117" s="28" t="n"/>
      <c r="Z117" s="28" t="n"/>
      <c r="AA117" s="31" t="n"/>
      <c r="AB117" s="31" t="n"/>
    </row>
    <row r="118">
      <c r="A118" s="25" t="inlineStr">
        <is>
          <t>S03</t>
        </is>
      </c>
      <c r="B118" s="25" t="inlineStr">
        <is>
          <t>예산 신규점2</t>
        </is>
      </c>
      <c r="C118" s="25" t="inlineStr">
        <is>
          <t>S03-H동</t>
        </is>
      </c>
      <c r="D118" s="25" t="inlineStr">
        <is>
          <t>측정</t>
        </is>
      </c>
      <c r="E118" s="25" t="inlineStr">
        <is>
          <t>동</t>
        </is>
      </c>
      <c r="F118" s="30" t="n">
        <v>8</v>
      </c>
      <c r="G118" s="29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IF(COUNTIFS($C:$C,$C118,$D:$D,"P0(전)",$L:$L,"&gt;0")&lt;&gt;1,"P0(전) 유효 1개 아님",IF(COUNTIFS($C:$C,$C118,$D:$D,"P0(후)",$L:$L,"&gt;0")&lt;&gt;1,"P0(후) 유효 1개 아님",IF(NOT(AND(ISNUMBER(N118),ISNUMBER(P118),ISNUMBER(H118))),"시각 결측",IF(P118&lt;=N118,"P0 시각 역전",IF(OR(H118&lt;N118,H118&gt;P118),"측정시각 구간 밖","OK")))))</f>
        <v/>
      </c>
      <c r="N118" s="45">
        <f>IF(COUNTIFS($C:$C,$C118,$D:$D,"P0(전)",$L:$L,"&gt;0")&lt;&gt;1,"",SUMIFS($H:$H,$C:$C,$C118,$D:$D,"P0(전)"))</f>
        <v/>
      </c>
      <c r="O118" s="30">
        <f>IF(COUNTIFS($C:$C,$C118,$D:$D,"P0(전)",$L:$L,"&gt;0")&lt;&gt;1,"",SUMIFS($L:$L,$C:$C,$C118,$D:$D,"P0(전)"))</f>
        <v/>
      </c>
      <c r="P118" s="45">
        <f>IF(COUNTIFS($C:$C,$C118,$D:$D,"P0(후)",$L:$L,"&gt;0")&lt;&gt;1,"",SUMIFS($H:$H,$C:$C,$C118,$D:$D,"P0(후)"))</f>
        <v/>
      </c>
      <c r="Q118" s="30">
        <f>IF(COUNTIFS($C:$C,$C118,$D:$D,"P0(후)",$L:$L,"&gt;0")&lt;&gt;1,"",SUMIFS($L:$L,$C:$C,$C118,$D:$D,"P0(후)"))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IF(OR(NOT(ISNUMBER(S118)),IF(ISNUMBER(G118),G118,F118)=0),"",S118/IF(ISNUMBER(G118),G118,F118))</f>
        <v/>
      </c>
      <c r="U118" s="46">
        <f>IF(ISNUMBER(T118),ABS(T118),"")</f>
        <v/>
      </c>
      <c r="V118" s="46">
        <f>IF(OR($D117&lt;&gt;"측정",$C117&lt;&gt;$C118,NOT(ISNUMBER(L118)),NOT(ISNUMBER(L117)),(IF(ISNUMBER(G118),G118,F118)-IF(ISNUMBER(G117),G117,F117))=0),"",(L118-L117)/(IF(ISNUMBER(G118),G118,F118)-IF(ISNUMBER(G117),G117,F117)))</f>
        <v/>
      </c>
      <c r="W118" s="30">
        <f>IF(NOT(AND(ISNUMBER(N118),ISNUMBER(P118))),"",(P118-N118)*1440)</f>
        <v/>
      </c>
      <c r="X118" s="28" t="n"/>
      <c r="Y118" s="28" t="n"/>
      <c r="Z118" s="28" t="n"/>
      <c r="AA118" s="31" t="n"/>
      <c r="AB118" s="31" t="n"/>
    </row>
    <row r="119">
      <c r="A119" s="25" t="inlineStr">
        <is>
          <t>S03</t>
        </is>
      </c>
      <c r="B119" s="25" t="inlineStr">
        <is>
          <t>예산 신규점2</t>
        </is>
      </c>
      <c r="C119" s="25" t="inlineStr">
        <is>
          <t>S03-H동</t>
        </is>
      </c>
      <c r="D119" s="25" t="inlineStr">
        <is>
          <t>측정</t>
        </is>
      </c>
      <c r="E119" s="25" t="inlineStr">
        <is>
          <t>동</t>
        </is>
      </c>
      <c r="F119" s="30" t="n">
        <v>9</v>
      </c>
      <c r="G119" s="29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IF(COUNTIFS($C:$C,$C119,$D:$D,"P0(전)",$L:$L,"&gt;0")&lt;&gt;1,"P0(전) 유효 1개 아님",IF(COUNTIFS($C:$C,$C119,$D:$D,"P0(후)",$L:$L,"&gt;0")&lt;&gt;1,"P0(후) 유효 1개 아님",IF(NOT(AND(ISNUMBER(N119),ISNUMBER(P119),ISNUMBER(H119))),"시각 결측",IF(P119&lt;=N119,"P0 시각 역전",IF(OR(H119&lt;N119,H119&gt;P119),"측정시각 구간 밖","OK")))))</f>
        <v/>
      </c>
      <c r="N119" s="45">
        <f>IF(COUNTIFS($C:$C,$C119,$D:$D,"P0(전)",$L:$L,"&gt;0")&lt;&gt;1,"",SUMIFS($H:$H,$C:$C,$C119,$D:$D,"P0(전)"))</f>
        <v/>
      </c>
      <c r="O119" s="30">
        <f>IF(COUNTIFS($C:$C,$C119,$D:$D,"P0(전)",$L:$L,"&gt;0")&lt;&gt;1,"",SUMIFS($L:$L,$C:$C,$C119,$D:$D,"P0(전)"))</f>
        <v/>
      </c>
      <c r="P119" s="45">
        <f>IF(COUNTIFS($C:$C,$C119,$D:$D,"P0(후)",$L:$L,"&gt;0")&lt;&gt;1,"",SUMIFS($H:$H,$C:$C,$C119,$D:$D,"P0(후)"))</f>
        <v/>
      </c>
      <c r="Q119" s="30">
        <f>IF(COUNTIFS($C:$C,$C119,$D:$D,"P0(후)",$L:$L,"&gt;0")&lt;&gt;1,"",SUMIFS($L:$L,$C:$C,$C119,$D:$D,"P0(후)"))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IF(OR(NOT(ISNUMBER(S119)),IF(ISNUMBER(G119),G119,F119)=0),"",S119/IF(ISNUMBER(G119),G119,F119))</f>
        <v/>
      </c>
      <c r="U119" s="46">
        <f>IF(ISNUMBER(T119),ABS(T119),"")</f>
        <v/>
      </c>
      <c r="V119" s="46">
        <f>IF(OR($D118&lt;&gt;"측정",$C118&lt;&gt;$C119,NOT(ISNUMBER(L119)),NOT(ISNUMBER(L118)),(IF(ISNUMBER(G119),G119,F119)-IF(ISNUMBER(G118),G118,F118))=0),"",(L119-L118)/(IF(ISNUMBER(G119),G119,F119)-IF(ISNUMBER(G118),G118,F118)))</f>
        <v/>
      </c>
      <c r="W119" s="30">
        <f>IF(NOT(AND(ISNUMBER(N119),ISNUMBER(P119))),"",(P119-N119)*1440)</f>
        <v/>
      </c>
      <c r="X119" s="28" t="n"/>
      <c r="Y119" s="28" t="n"/>
      <c r="Z119" s="28" t="n"/>
      <c r="AA119" s="31" t="n"/>
      <c r="AB119" s="31" t="n"/>
    </row>
    <row r="120">
      <c r="A120" s="25" t="inlineStr">
        <is>
          <t>S03</t>
        </is>
      </c>
      <c r="B120" s="25" t="inlineStr">
        <is>
          <t>예산 신규점2</t>
        </is>
      </c>
      <c r="C120" s="25" t="inlineStr">
        <is>
          <t>S03-H동</t>
        </is>
      </c>
      <c r="D120" s="25" t="inlineStr">
        <is>
          <t>측정</t>
        </is>
      </c>
      <c r="E120" s="25" t="inlineStr">
        <is>
          <t>동</t>
        </is>
      </c>
      <c r="F120" s="30" t="n">
        <v>10</v>
      </c>
      <c r="G120" s="29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IF(COUNTIFS($C:$C,$C120,$D:$D,"P0(전)",$L:$L,"&gt;0")&lt;&gt;1,"P0(전) 유효 1개 아님",IF(COUNTIFS($C:$C,$C120,$D:$D,"P0(후)",$L:$L,"&gt;0")&lt;&gt;1,"P0(후) 유효 1개 아님",IF(NOT(AND(ISNUMBER(N120),ISNUMBER(P120),ISNUMBER(H120))),"시각 결측",IF(P120&lt;=N120,"P0 시각 역전",IF(OR(H120&lt;N120,H120&gt;P120),"측정시각 구간 밖","OK")))))</f>
        <v/>
      </c>
      <c r="N120" s="45">
        <f>IF(COUNTIFS($C:$C,$C120,$D:$D,"P0(전)",$L:$L,"&gt;0")&lt;&gt;1,"",SUMIFS($H:$H,$C:$C,$C120,$D:$D,"P0(전)"))</f>
        <v/>
      </c>
      <c r="O120" s="30">
        <f>IF(COUNTIFS($C:$C,$C120,$D:$D,"P0(전)",$L:$L,"&gt;0")&lt;&gt;1,"",SUMIFS($L:$L,$C:$C,$C120,$D:$D,"P0(전)"))</f>
        <v/>
      </c>
      <c r="P120" s="45">
        <f>IF(COUNTIFS($C:$C,$C120,$D:$D,"P0(후)",$L:$L,"&gt;0")&lt;&gt;1,"",SUMIFS($H:$H,$C:$C,$C120,$D:$D,"P0(후)"))</f>
        <v/>
      </c>
      <c r="Q120" s="30">
        <f>IF(COUNTIFS($C:$C,$C120,$D:$D,"P0(후)",$L:$L,"&gt;0")&lt;&gt;1,"",SUMIFS($L:$L,$C:$C,$C120,$D:$D,"P0(후)"))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IF(OR(NOT(ISNUMBER(S120)),IF(ISNUMBER(G120),G120,F120)=0),"",S120/IF(ISNUMBER(G120),G120,F120))</f>
        <v/>
      </c>
      <c r="U120" s="46">
        <f>IF(ISNUMBER(T120),ABS(T120),"")</f>
        <v/>
      </c>
      <c r="V120" s="46">
        <f>IF(OR($D119&lt;&gt;"측정",$C119&lt;&gt;$C120,NOT(ISNUMBER(L120)),NOT(ISNUMBER(L119)),(IF(ISNUMBER(G120),G120,F120)-IF(ISNUMBER(G119),G119,F119))=0),"",(L120-L119)/(IF(ISNUMBER(G120),G120,F120)-IF(ISNUMBER(G119),G119,F119)))</f>
        <v/>
      </c>
      <c r="W120" s="30">
        <f>IF(NOT(AND(ISNUMBER(N120),ISNUMBER(P120))),"",(P120-N120)*1440)</f>
        <v/>
      </c>
      <c r="X120" s="28" t="n"/>
      <c r="Y120" s="28" t="n"/>
      <c r="Z120" s="28" t="n"/>
      <c r="AA120" s="31" t="n"/>
      <c r="AB120" s="31" t="n"/>
    </row>
    <row r="121">
      <c r="A121" s="43" t="inlineStr">
        <is>
          <t>S03</t>
        </is>
      </c>
      <c r="B121" s="43" t="inlineStr">
        <is>
          <t>예산 신규점2</t>
        </is>
      </c>
      <c r="C121" s="43" t="inlineStr">
        <is>
          <t>S03-H동</t>
        </is>
      </c>
      <c r="D121" s="43" t="inlineStr">
        <is>
          <t>P0(후)</t>
        </is>
      </c>
      <c r="E121" s="43" t="inlineStr">
        <is>
          <t>동</t>
        </is>
      </c>
      <c r="F121" s="44" t="n"/>
      <c r="G121" s="29" t="n"/>
      <c r="H121" s="42" t="n"/>
      <c r="I121" s="40" t="n"/>
      <c r="J121" s="40" t="n"/>
      <c r="K121" s="40" t="n"/>
      <c r="L121" s="30">
        <f>IF(COUNT(I121:K121)=0,"",MEDIAN(I121:K121))</f>
        <v/>
      </c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28" t="n"/>
      <c r="Y121" s="28" t="n"/>
      <c r="Z121" s="28" t="n"/>
      <c r="AA121" s="31" t="n"/>
      <c r="AB121" s="31" t="n"/>
    </row>
    <row r="122">
      <c r="A122" s="43" t="inlineStr">
        <is>
          <t>S03</t>
        </is>
      </c>
      <c r="B122" s="43" t="inlineStr">
        <is>
          <t>예산 신규점2</t>
        </is>
      </c>
      <c r="C122" s="43" t="inlineStr">
        <is>
          <t>S03-H서</t>
        </is>
      </c>
      <c r="D122" s="43" t="inlineStr">
        <is>
          <t>P0(전)</t>
        </is>
      </c>
      <c r="E122" s="43" t="inlineStr">
        <is>
          <t>서</t>
        </is>
      </c>
      <c r="F122" s="44" t="n"/>
      <c r="G122" s="29" t="n"/>
      <c r="H122" s="42" t="n"/>
      <c r="I122" s="40" t="n"/>
      <c r="J122" s="40" t="n"/>
      <c r="K122" s="40" t="n"/>
      <c r="L122" s="30">
        <f>IF(COUNT(I122:K122)=0,"",MEDIAN(I122:K122))</f>
        <v/>
      </c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28" t="n"/>
      <c r="Y122" s="28" t="n"/>
      <c r="Z122" s="28" t="n"/>
      <c r="AA122" s="31" t="n"/>
      <c r="AB122" s="31" t="n"/>
    </row>
    <row r="123">
      <c r="A123" s="25" t="inlineStr">
        <is>
          <t>S03</t>
        </is>
      </c>
      <c r="B123" s="25" t="inlineStr">
        <is>
          <t>예산 신규점2</t>
        </is>
      </c>
      <c r="C123" s="25" t="inlineStr">
        <is>
          <t>S03-H서</t>
        </is>
      </c>
      <c r="D123" s="25" t="inlineStr">
        <is>
          <t>측정</t>
        </is>
      </c>
      <c r="E123" s="25" t="inlineStr">
        <is>
          <t>서</t>
        </is>
      </c>
      <c r="F123" s="30" t="n">
        <v>0.5</v>
      </c>
      <c r="G123" s="29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IF(COUNTIFS($C:$C,$C123,$D:$D,"P0(전)",$L:$L,"&gt;0")&lt;&gt;1,"P0(전) 유효 1개 아님",IF(COUNTIFS($C:$C,$C123,$D:$D,"P0(후)",$L:$L,"&gt;0")&lt;&gt;1,"P0(후) 유효 1개 아님",IF(NOT(AND(ISNUMBER(N123),ISNUMBER(P123),ISNUMBER(H123))),"시각 결측",IF(P123&lt;=N123,"P0 시각 역전",IF(OR(H123&lt;N123,H123&gt;P123),"측정시각 구간 밖","OK")))))</f>
        <v/>
      </c>
      <c r="N123" s="45">
        <f>IF(COUNTIFS($C:$C,$C123,$D:$D,"P0(전)",$L:$L,"&gt;0")&lt;&gt;1,"",SUMIFS($H:$H,$C:$C,$C123,$D:$D,"P0(전)"))</f>
        <v/>
      </c>
      <c r="O123" s="30">
        <f>IF(COUNTIFS($C:$C,$C123,$D:$D,"P0(전)",$L:$L,"&gt;0")&lt;&gt;1,"",SUMIFS($L:$L,$C:$C,$C123,$D:$D,"P0(전)"))</f>
        <v/>
      </c>
      <c r="P123" s="45">
        <f>IF(COUNTIFS($C:$C,$C123,$D:$D,"P0(후)",$L:$L,"&gt;0")&lt;&gt;1,"",SUMIFS($H:$H,$C:$C,$C123,$D:$D,"P0(후)"))</f>
        <v/>
      </c>
      <c r="Q123" s="30">
        <f>IF(COUNTIFS($C:$C,$C123,$D:$D,"P0(후)",$L:$L,"&gt;0")&lt;&gt;1,"",SUMIFS($L:$L,$C:$C,$C123,$D:$D,"P0(후)"))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IF(OR(NOT(ISNUMBER(S123)),IF(ISNUMBER(G123),G123,F123)=0),"",S123/IF(ISNUMBER(G123),G123,F123))</f>
        <v/>
      </c>
      <c r="U123" s="46">
        <f>IF(ISNUMBER(T123),ABS(T123),"")</f>
        <v/>
      </c>
      <c r="V123" s="46">
        <f>IF(OR($D122&lt;&gt;"측정",$C122&lt;&gt;$C123,NOT(ISNUMBER(L123)),NOT(ISNUMBER(L122)),(IF(ISNUMBER(G123),G123,F123)-IF(ISNUMBER(G122),G122,F122))=0),"",(L123-L122)/(IF(ISNUMBER(G123),G123,F123)-IF(ISNUMBER(G122),G122,F122)))</f>
        <v/>
      </c>
      <c r="W123" s="30">
        <f>IF(NOT(AND(ISNUMBER(N123),ISNUMBER(P123))),"",(P123-N123)*1440)</f>
        <v/>
      </c>
      <c r="X123" s="28" t="n"/>
      <c r="Y123" s="28" t="n"/>
      <c r="Z123" s="28" t="n"/>
      <c r="AA123" s="31" t="n"/>
      <c r="AB123" s="31" t="n"/>
    </row>
    <row r="124">
      <c r="A124" s="25" t="inlineStr">
        <is>
          <t>S03</t>
        </is>
      </c>
      <c r="B124" s="25" t="inlineStr">
        <is>
          <t>예산 신규점2</t>
        </is>
      </c>
      <c r="C124" s="25" t="inlineStr">
        <is>
          <t>S03-H서</t>
        </is>
      </c>
      <c r="D124" s="25" t="inlineStr">
        <is>
          <t>측정</t>
        </is>
      </c>
      <c r="E124" s="25" t="inlineStr">
        <is>
          <t>서</t>
        </is>
      </c>
      <c r="F124" s="30" t="n">
        <v>1</v>
      </c>
      <c r="G124" s="29" t="n"/>
      <c r="H124" s="42" t="n"/>
      <c r="I124" s="40" t="n"/>
      <c r="J124" s="40" t="n"/>
      <c r="K124" s="40" t="n"/>
      <c r="L124" s="30">
        <f>IF(COUNT(I124:K124)=0,"",MEDIAN(I124:K124))</f>
        <v/>
      </c>
      <c r="M124" s="25">
        <f>IF(COUNTIFS($C:$C,$C124,$D:$D,"P0(전)",$L:$L,"&gt;0")&lt;&gt;1,"P0(전) 유효 1개 아님",IF(COUNTIFS($C:$C,$C124,$D:$D,"P0(후)",$L:$L,"&gt;0")&lt;&gt;1,"P0(후) 유효 1개 아님",IF(NOT(AND(ISNUMBER(N124),ISNUMBER(P124),ISNUMBER(H124))),"시각 결측",IF(P124&lt;=N124,"P0 시각 역전",IF(OR(H124&lt;N124,H124&gt;P124),"측정시각 구간 밖","OK")))))</f>
        <v/>
      </c>
      <c r="N124" s="45">
        <f>IF(COUNTIFS($C:$C,$C124,$D:$D,"P0(전)",$L:$L,"&gt;0")&lt;&gt;1,"",SUMIFS($H:$H,$C:$C,$C124,$D:$D,"P0(전)"))</f>
        <v/>
      </c>
      <c r="O124" s="30">
        <f>IF(COUNTIFS($C:$C,$C124,$D:$D,"P0(전)",$L:$L,"&gt;0")&lt;&gt;1,"",SUMIFS($L:$L,$C:$C,$C124,$D:$D,"P0(전)"))</f>
        <v/>
      </c>
      <c r="P124" s="45">
        <f>IF(COUNTIFS($C:$C,$C124,$D:$D,"P0(후)",$L:$L,"&gt;0")&lt;&gt;1,"",SUMIFS($H:$H,$C:$C,$C124,$D:$D,"P0(후)"))</f>
        <v/>
      </c>
      <c r="Q124" s="30">
        <f>IF(COUNTIFS($C:$C,$C124,$D:$D,"P0(후)",$L:$L,"&gt;0")&lt;&gt;1,"",SUMIFS($L:$L,$C:$C,$C124,$D:$D,"P0(후)"))</f>
        <v/>
      </c>
      <c r="R124" s="30">
        <f>IF(M124&lt;&gt;"OK","",O124+(Q124-O124)*(H124-N124)/(P124-N124))</f>
        <v/>
      </c>
      <c r="S124" s="30">
        <f>IF(OR(M124&lt;&gt;"OK",NOT(ISNUMBER(L124))),"",L124-R124)</f>
        <v/>
      </c>
      <c r="T124" s="46">
        <f>IF(OR(NOT(ISNUMBER(S124)),IF(ISNUMBER(G124),G124,F124)=0),"",S124/IF(ISNUMBER(G124),G124,F124))</f>
        <v/>
      </c>
      <c r="U124" s="46">
        <f>IF(ISNUMBER(T124),ABS(T124),"")</f>
        <v/>
      </c>
      <c r="V124" s="46">
        <f>IF(OR($D123&lt;&gt;"측정",$C123&lt;&gt;$C124,NOT(ISNUMBER(L124)),NOT(ISNUMBER(L123)),(IF(ISNUMBER(G124),G124,F124)-IF(ISNUMBER(G123),G123,F123))=0),"",(L124-L123)/(IF(ISNUMBER(G124),G124,F124)-IF(ISNUMBER(G123),G123,F123)))</f>
        <v/>
      </c>
      <c r="W124" s="30">
        <f>IF(NOT(AND(ISNUMBER(N124),ISNUMBER(P124))),"",(P124-N124)*1440)</f>
        <v/>
      </c>
      <c r="X124" s="28" t="n"/>
      <c r="Y124" s="28" t="n"/>
      <c r="Z124" s="28" t="n"/>
      <c r="AA124" s="31" t="n"/>
      <c r="AB124" s="31" t="n"/>
    </row>
    <row r="125">
      <c r="A125" s="25" t="inlineStr">
        <is>
          <t>S03</t>
        </is>
      </c>
      <c r="B125" s="25" t="inlineStr">
        <is>
          <t>예산 신규점2</t>
        </is>
      </c>
      <c r="C125" s="25" t="inlineStr">
        <is>
          <t>S03-H서</t>
        </is>
      </c>
      <c r="D125" s="25" t="inlineStr">
        <is>
          <t>측정</t>
        </is>
      </c>
      <c r="E125" s="25" t="inlineStr">
        <is>
          <t>서</t>
        </is>
      </c>
      <c r="F125" s="30" t="n">
        <v>2</v>
      </c>
      <c r="G125" s="29" t="n"/>
      <c r="H125" s="42" t="n"/>
      <c r="I125" s="40" t="n"/>
      <c r="J125" s="40" t="n"/>
      <c r="K125" s="40" t="n"/>
      <c r="L125" s="30">
        <f>IF(COUNT(I125:K125)=0,"",MEDIAN(I125:K125))</f>
        <v/>
      </c>
      <c r="M125" s="25">
        <f>IF(COUNTIFS($C:$C,$C125,$D:$D,"P0(전)",$L:$L,"&gt;0")&lt;&gt;1,"P0(전) 유효 1개 아님",IF(COUNTIFS($C:$C,$C125,$D:$D,"P0(후)",$L:$L,"&gt;0")&lt;&gt;1,"P0(후) 유효 1개 아님",IF(NOT(AND(ISNUMBER(N125),ISNUMBER(P125),ISNUMBER(H125))),"시각 결측",IF(P125&lt;=N125,"P0 시각 역전",IF(OR(H125&lt;N125,H125&gt;P125),"측정시각 구간 밖","OK")))))</f>
        <v/>
      </c>
      <c r="N125" s="45">
        <f>IF(COUNTIFS($C:$C,$C125,$D:$D,"P0(전)",$L:$L,"&gt;0")&lt;&gt;1,"",SUMIFS($H:$H,$C:$C,$C125,$D:$D,"P0(전)"))</f>
        <v/>
      </c>
      <c r="O125" s="30">
        <f>IF(COUNTIFS($C:$C,$C125,$D:$D,"P0(전)",$L:$L,"&gt;0")&lt;&gt;1,"",SUMIFS($L:$L,$C:$C,$C125,$D:$D,"P0(전)"))</f>
        <v/>
      </c>
      <c r="P125" s="45">
        <f>IF(COUNTIFS($C:$C,$C125,$D:$D,"P0(후)",$L:$L,"&gt;0")&lt;&gt;1,"",SUMIFS($H:$H,$C:$C,$C125,$D:$D,"P0(후)"))</f>
        <v/>
      </c>
      <c r="Q125" s="30">
        <f>IF(COUNTIFS($C:$C,$C125,$D:$D,"P0(후)",$L:$L,"&gt;0")&lt;&gt;1,"",SUMIFS($L:$L,$C:$C,$C125,$D:$D,"P0(후)"))</f>
        <v/>
      </c>
      <c r="R125" s="30">
        <f>IF(M125&lt;&gt;"OK","",O125+(Q125-O125)*(H125-N125)/(P125-N125))</f>
        <v/>
      </c>
      <c r="S125" s="30">
        <f>IF(OR(M125&lt;&gt;"OK",NOT(ISNUMBER(L125))),"",L125-R125)</f>
        <v/>
      </c>
      <c r="T125" s="46">
        <f>IF(OR(NOT(ISNUMBER(S125)),IF(ISNUMBER(G125),G125,F125)=0),"",S125/IF(ISNUMBER(G125),G125,F125))</f>
        <v/>
      </c>
      <c r="U125" s="46">
        <f>IF(ISNUMBER(T125),ABS(T125),"")</f>
        <v/>
      </c>
      <c r="V125" s="46">
        <f>IF(OR($D124&lt;&gt;"측정",$C124&lt;&gt;$C125,NOT(ISNUMBER(L125)),NOT(ISNUMBER(L124)),(IF(ISNUMBER(G125),G125,F125)-IF(ISNUMBER(G124),G124,F124))=0),"",(L125-L124)/(IF(ISNUMBER(G125),G125,F125)-IF(ISNUMBER(G124),G124,F124)))</f>
        <v/>
      </c>
      <c r="W125" s="30">
        <f>IF(NOT(AND(ISNUMBER(N125),ISNUMBER(P125))),"",(P125-N125)*1440)</f>
        <v/>
      </c>
      <c r="X125" s="28" t="n"/>
      <c r="Y125" s="28" t="n"/>
      <c r="Z125" s="28" t="n"/>
      <c r="AA125" s="31" t="n"/>
      <c r="AB125" s="31" t="n"/>
    </row>
    <row r="126">
      <c r="A126" s="25" t="inlineStr">
        <is>
          <t>S03</t>
        </is>
      </c>
      <c r="B126" s="25" t="inlineStr">
        <is>
          <t>예산 신규점2</t>
        </is>
      </c>
      <c r="C126" s="25" t="inlineStr">
        <is>
          <t>S03-H서</t>
        </is>
      </c>
      <c r="D126" s="25" t="inlineStr">
        <is>
          <t>측정</t>
        </is>
      </c>
      <c r="E126" s="25" t="inlineStr">
        <is>
          <t>서</t>
        </is>
      </c>
      <c r="F126" s="30" t="n">
        <v>3</v>
      </c>
      <c r="G126" s="29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IF(COUNTIFS($C:$C,$C126,$D:$D,"P0(전)",$L:$L,"&gt;0")&lt;&gt;1,"P0(전) 유효 1개 아님",IF(COUNTIFS($C:$C,$C126,$D:$D,"P0(후)",$L:$L,"&gt;0")&lt;&gt;1,"P0(후) 유효 1개 아님",IF(NOT(AND(ISNUMBER(N126),ISNUMBER(P126),ISNUMBER(H126))),"시각 결측",IF(P126&lt;=N126,"P0 시각 역전",IF(OR(H126&lt;N126,H126&gt;P126),"측정시각 구간 밖","OK")))))</f>
        <v/>
      </c>
      <c r="N126" s="45">
        <f>IF(COUNTIFS($C:$C,$C126,$D:$D,"P0(전)",$L:$L,"&gt;0")&lt;&gt;1,"",SUMIFS($H:$H,$C:$C,$C126,$D:$D,"P0(전)"))</f>
        <v/>
      </c>
      <c r="O126" s="30">
        <f>IF(COUNTIFS($C:$C,$C126,$D:$D,"P0(전)",$L:$L,"&gt;0")&lt;&gt;1,"",SUMIFS($L:$L,$C:$C,$C126,$D:$D,"P0(전)"))</f>
        <v/>
      </c>
      <c r="P126" s="45">
        <f>IF(COUNTIFS($C:$C,$C126,$D:$D,"P0(후)",$L:$L,"&gt;0")&lt;&gt;1,"",SUMIFS($H:$H,$C:$C,$C126,$D:$D,"P0(후)"))</f>
        <v/>
      </c>
      <c r="Q126" s="30">
        <f>IF(COUNTIFS($C:$C,$C126,$D:$D,"P0(후)",$L:$L,"&gt;0")&lt;&gt;1,"",SUMIFS($L:$L,$C:$C,$C126,$D:$D,"P0(후)"))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IF(OR(NOT(ISNUMBER(S126)),IF(ISNUMBER(G126),G126,F126)=0),"",S126/IF(ISNUMBER(G126),G126,F126))</f>
        <v/>
      </c>
      <c r="U126" s="46">
        <f>IF(ISNUMBER(T126),ABS(T126),"")</f>
        <v/>
      </c>
      <c r="V126" s="46">
        <f>IF(OR($D125&lt;&gt;"측정",$C125&lt;&gt;$C126,NOT(ISNUMBER(L126)),NOT(ISNUMBER(L125)),(IF(ISNUMBER(G126),G126,F126)-IF(ISNUMBER(G125),G125,F125))=0),"",(L126-L125)/(IF(ISNUMBER(G126),G126,F126)-IF(ISNUMBER(G125),G125,F125)))</f>
        <v/>
      </c>
      <c r="W126" s="30">
        <f>IF(NOT(AND(ISNUMBER(N126),ISNUMBER(P126))),"",(P126-N126)*1440)</f>
        <v/>
      </c>
      <c r="X126" s="28" t="n"/>
      <c r="Y126" s="28" t="n"/>
      <c r="Z126" s="28" t="n"/>
      <c r="AA126" s="31" t="n"/>
      <c r="AB126" s="31" t="n"/>
    </row>
    <row r="127">
      <c r="A127" s="25" t="inlineStr">
        <is>
          <t>S03</t>
        </is>
      </c>
      <c r="B127" s="25" t="inlineStr">
        <is>
          <t>예산 신규점2</t>
        </is>
      </c>
      <c r="C127" s="25" t="inlineStr">
        <is>
          <t>S03-H서</t>
        </is>
      </c>
      <c r="D127" s="25" t="inlineStr">
        <is>
          <t>측정</t>
        </is>
      </c>
      <c r="E127" s="25" t="inlineStr">
        <is>
          <t>서</t>
        </is>
      </c>
      <c r="F127" s="30" t="n">
        <v>4</v>
      </c>
      <c r="G127" s="29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IF(COUNTIFS($C:$C,$C127,$D:$D,"P0(전)",$L:$L,"&gt;0")&lt;&gt;1,"P0(전) 유효 1개 아님",IF(COUNTIFS($C:$C,$C127,$D:$D,"P0(후)",$L:$L,"&gt;0")&lt;&gt;1,"P0(후) 유효 1개 아님",IF(NOT(AND(ISNUMBER(N127),ISNUMBER(P127),ISNUMBER(H127))),"시각 결측",IF(P127&lt;=N127,"P0 시각 역전",IF(OR(H127&lt;N127,H127&gt;P127),"측정시각 구간 밖","OK")))))</f>
        <v/>
      </c>
      <c r="N127" s="45">
        <f>IF(COUNTIFS($C:$C,$C127,$D:$D,"P0(전)",$L:$L,"&gt;0")&lt;&gt;1,"",SUMIFS($H:$H,$C:$C,$C127,$D:$D,"P0(전)"))</f>
        <v/>
      </c>
      <c r="O127" s="30">
        <f>IF(COUNTIFS($C:$C,$C127,$D:$D,"P0(전)",$L:$L,"&gt;0")&lt;&gt;1,"",SUMIFS($L:$L,$C:$C,$C127,$D:$D,"P0(전)"))</f>
        <v/>
      </c>
      <c r="P127" s="45">
        <f>IF(COUNTIFS($C:$C,$C127,$D:$D,"P0(후)",$L:$L,"&gt;0")&lt;&gt;1,"",SUMIFS($H:$H,$C:$C,$C127,$D:$D,"P0(후)"))</f>
        <v/>
      </c>
      <c r="Q127" s="30">
        <f>IF(COUNTIFS($C:$C,$C127,$D:$D,"P0(후)",$L:$L,"&gt;0")&lt;&gt;1,"",SUMIFS($L:$L,$C:$C,$C127,$D:$D,"P0(후)"))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IF(OR(NOT(ISNUMBER(S127)),IF(ISNUMBER(G127),G127,F127)=0),"",S127/IF(ISNUMBER(G127),G127,F127))</f>
        <v/>
      </c>
      <c r="U127" s="46">
        <f>IF(ISNUMBER(T127),ABS(T127),"")</f>
        <v/>
      </c>
      <c r="V127" s="46">
        <f>IF(OR($D126&lt;&gt;"측정",$C126&lt;&gt;$C127,NOT(ISNUMBER(L127)),NOT(ISNUMBER(L126)),(IF(ISNUMBER(G127),G127,F127)-IF(ISNUMBER(G126),G126,F126))=0),"",(L127-L126)/(IF(ISNUMBER(G127),G127,F127)-IF(ISNUMBER(G126),G126,F126)))</f>
        <v/>
      </c>
      <c r="W127" s="30">
        <f>IF(NOT(AND(ISNUMBER(N127),ISNUMBER(P127))),"",(P127-N127)*1440)</f>
        <v/>
      </c>
      <c r="X127" s="28" t="n"/>
      <c r="Y127" s="28" t="n"/>
      <c r="Z127" s="28" t="n"/>
      <c r="AA127" s="31" t="n"/>
      <c r="AB127" s="31" t="n"/>
    </row>
    <row r="128">
      <c r="A128" s="25" t="inlineStr">
        <is>
          <t>S03</t>
        </is>
      </c>
      <c r="B128" s="25" t="inlineStr">
        <is>
          <t>예산 신규점2</t>
        </is>
      </c>
      <c r="C128" s="25" t="inlineStr">
        <is>
          <t>S03-H서</t>
        </is>
      </c>
      <c r="D128" s="25" t="inlineStr">
        <is>
          <t>측정</t>
        </is>
      </c>
      <c r="E128" s="25" t="inlineStr">
        <is>
          <t>서</t>
        </is>
      </c>
      <c r="F128" s="30" t="n">
        <v>5</v>
      </c>
      <c r="G128" s="29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IF(COUNTIFS($C:$C,$C128,$D:$D,"P0(전)",$L:$L,"&gt;0")&lt;&gt;1,"P0(전) 유효 1개 아님",IF(COUNTIFS($C:$C,$C128,$D:$D,"P0(후)",$L:$L,"&gt;0")&lt;&gt;1,"P0(후) 유효 1개 아님",IF(NOT(AND(ISNUMBER(N128),ISNUMBER(P128),ISNUMBER(H128))),"시각 결측",IF(P128&lt;=N128,"P0 시각 역전",IF(OR(H128&lt;N128,H128&gt;P128),"측정시각 구간 밖","OK")))))</f>
        <v/>
      </c>
      <c r="N128" s="45">
        <f>IF(COUNTIFS($C:$C,$C128,$D:$D,"P0(전)",$L:$L,"&gt;0")&lt;&gt;1,"",SUMIFS($H:$H,$C:$C,$C128,$D:$D,"P0(전)"))</f>
        <v/>
      </c>
      <c r="O128" s="30">
        <f>IF(COUNTIFS($C:$C,$C128,$D:$D,"P0(전)",$L:$L,"&gt;0")&lt;&gt;1,"",SUMIFS($L:$L,$C:$C,$C128,$D:$D,"P0(전)"))</f>
        <v/>
      </c>
      <c r="P128" s="45">
        <f>IF(COUNTIFS($C:$C,$C128,$D:$D,"P0(후)",$L:$L,"&gt;0")&lt;&gt;1,"",SUMIFS($H:$H,$C:$C,$C128,$D:$D,"P0(후)"))</f>
        <v/>
      </c>
      <c r="Q128" s="30">
        <f>IF(COUNTIFS($C:$C,$C128,$D:$D,"P0(후)",$L:$L,"&gt;0")&lt;&gt;1,"",SUMIFS($L:$L,$C:$C,$C128,$D:$D,"P0(후)"))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IF(OR(NOT(ISNUMBER(S128)),IF(ISNUMBER(G128),G128,F128)=0),"",S128/IF(ISNUMBER(G128),G128,F128))</f>
        <v/>
      </c>
      <c r="U128" s="46">
        <f>IF(ISNUMBER(T128),ABS(T128),"")</f>
        <v/>
      </c>
      <c r="V128" s="46">
        <f>IF(OR($D127&lt;&gt;"측정",$C127&lt;&gt;$C128,NOT(ISNUMBER(L128)),NOT(ISNUMBER(L127)),(IF(ISNUMBER(G128),G128,F128)-IF(ISNUMBER(G127),G127,F127))=0),"",(L128-L127)/(IF(ISNUMBER(G128),G128,F128)-IF(ISNUMBER(G127),G127,F127)))</f>
        <v/>
      </c>
      <c r="W128" s="30">
        <f>IF(NOT(AND(ISNUMBER(N128),ISNUMBER(P128))),"",(P128-N128)*1440)</f>
        <v/>
      </c>
      <c r="X128" s="28" t="n"/>
      <c r="Y128" s="28" t="n"/>
      <c r="Z128" s="28" t="n"/>
      <c r="AA128" s="31" t="n"/>
      <c r="AB128" s="31" t="n"/>
    </row>
    <row r="129">
      <c r="A129" s="25" t="inlineStr">
        <is>
          <t>S03</t>
        </is>
      </c>
      <c r="B129" s="25" t="inlineStr">
        <is>
          <t>예산 신규점2</t>
        </is>
      </c>
      <c r="C129" s="25" t="inlineStr">
        <is>
          <t>S03-H서</t>
        </is>
      </c>
      <c r="D129" s="25" t="inlineStr">
        <is>
          <t>측정</t>
        </is>
      </c>
      <c r="E129" s="25" t="inlineStr">
        <is>
          <t>서</t>
        </is>
      </c>
      <c r="F129" s="30" t="n">
        <v>6</v>
      </c>
      <c r="G129" s="29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IF(COUNTIFS($C:$C,$C129,$D:$D,"P0(전)",$L:$L,"&gt;0")&lt;&gt;1,"P0(전) 유효 1개 아님",IF(COUNTIFS($C:$C,$C129,$D:$D,"P0(후)",$L:$L,"&gt;0")&lt;&gt;1,"P0(후) 유효 1개 아님",IF(NOT(AND(ISNUMBER(N129),ISNUMBER(P129),ISNUMBER(H129))),"시각 결측",IF(P129&lt;=N129,"P0 시각 역전",IF(OR(H129&lt;N129,H129&gt;P129),"측정시각 구간 밖","OK")))))</f>
        <v/>
      </c>
      <c r="N129" s="45">
        <f>IF(COUNTIFS($C:$C,$C129,$D:$D,"P0(전)",$L:$L,"&gt;0")&lt;&gt;1,"",SUMIFS($H:$H,$C:$C,$C129,$D:$D,"P0(전)"))</f>
        <v/>
      </c>
      <c r="O129" s="30">
        <f>IF(COUNTIFS($C:$C,$C129,$D:$D,"P0(전)",$L:$L,"&gt;0")&lt;&gt;1,"",SUMIFS($L:$L,$C:$C,$C129,$D:$D,"P0(전)"))</f>
        <v/>
      </c>
      <c r="P129" s="45">
        <f>IF(COUNTIFS($C:$C,$C129,$D:$D,"P0(후)",$L:$L,"&gt;0")&lt;&gt;1,"",SUMIFS($H:$H,$C:$C,$C129,$D:$D,"P0(후)"))</f>
        <v/>
      </c>
      <c r="Q129" s="30">
        <f>IF(COUNTIFS($C:$C,$C129,$D:$D,"P0(후)",$L:$L,"&gt;0")&lt;&gt;1,"",SUMIFS($L:$L,$C:$C,$C129,$D:$D,"P0(후)"))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IF(OR(NOT(ISNUMBER(S129)),IF(ISNUMBER(G129),G129,F129)=0),"",S129/IF(ISNUMBER(G129),G129,F129))</f>
        <v/>
      </c>
      <c r="U129" s="46">
        <f>IF(ISNUMBER(T129),ABS(T129),"")</f>
        <v/>
      </c>
      <c r="V129" s="46">
        <f>IF(OR($D128&lt;&gt;"측정",$C128&lt;&gt;$C129,NOT(ISNUMBER(L129)),NOT(ISNUMBER(L128)),(IF(ISNUMBER(G129),G129,F129)-IF(ISNUMBER(G128),G128,F128))=0),"",(L129-L128)/(IF(ISNUMBER(G129),G129,F129)-IF(ISNUMBER(G128),G128,F128)))</f>
        <v/>
      </c>
      <c r="W129" s="30">
        <f>IF(NOT(AND(ISNUMBER(N129),ISNUMBER(P129))),"",(P129-N129)*1440)</f>
        <v/>
      </c>
      <c r="X129" s="28" t="n"/>
      <c r="Y129" s="28" t="n"/>
      <c r="Z129" s="28" t="n"/>
      <c r="AA129" s="31" t="n"/>
      <c r="AB129" s="31" t="n"/>
    </row>
    <row r="130">
      <c r="A130" s="25" t="inlineStr">
        <is>
          <t>S03</t>
        </is>
      </c>
      <c r="B130" s="25" t="inlineStr">
        <is>
          <t>예산 신규점2</t>
        </is>
      </c>
      <c r="C130" s="25" t="inlineStr">
        <is>
          <t>S03-H서</t>
        </is>
      </c>
      <c r="D130" s="25" t="inlineStr">
        <is>
          <t>측정</t>
        </is>
      </c>
      <c r="E130" s="25" t="inlineStr">
        <is>
          <t>서</t>
        </is>
      </c>
      <c r="F130" s="30" t="n">
        <v>7</v>
      </c>
      <c r="G130" s="29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IF(COUNTIFS($C:$C,$C130,$D:$D,"P0(전)",$L:$L,"&gt;0")&lt;&gt;1,"P0(전) 유효 1개 아님",IF(COUNTIFS($C:$C,$C130,$D:$D,"P0(후)",$L:$L,"&gt;0")&lt;&gt;1,"P0(후) 유효 1개 아님",IF(NOT(AND(ISNUMBER(N130),ISNUMBER(P130),ISNUMBER(H130))),"시각 결측",IF(P130&lt;=N130,"P0 시각 역전",IF(OR(H130&lt;N130,H130&gt;P130),"측정시각 구간 밖","OK")))))</f>
        <v/>
      </c>
      <c r="N130" s="45">
        <f>IF(COUNTIFS($C:$C,$C130,$D:$D,"P0(전)",$L:$L,"&gt;0")&lt;&gt;1,"",SUMIFS($H:$H,$C:$C,$C130,$D:$D,"P0(전)"))</f>
        <v/>
      </c>
      <c r="O130" s="30">
        <f>IF(COUNTIFS($C:$C,$C130,$D:$D,"P0(전)",$L:$L,"&gt;0")&lt;&gt;1,"",SUMIFS($L:$L,$C:$C,$C130,$D:$D,"P0(전)"))</f>
        <v/>
      </c>
      <c r="P130" s="45">
        <f>IF(COUNTIFS($C:$C,$C130,$D:$D,"P0(후)",$L:$L,"&gt;0")&lt;&gt;1,"",SUMIFS($H:$H,$C:$C,$C130,$D:$D,"P0(후)"))</f>
        <v/>
      </c>
      <c r="Q130" s="30">
        <f>IF(COUNTIFS($C:$C,$C130,$D:$D,"P0(후)",$L:$L,"&gt;0")&lt;&gt;1,"",SUMIFS($L:$L,$C:$C,$C130,$D:$D,"P0(후)"))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IF(OR(NOT(ISNUMBER(S130)),IF(ISNUMBER(G130),G130,F130)=0),"",S130/IF(ISNUMBER(G130),G130,F130))</f>
        <v/>
      </c>
      <c r="U130" s="46">
        <f>IF(ISNUMBER(T130),ABS(T130),"")</f>
        <v/>
      </c>
      <c r="V130" s="46">
        <f>IF(OR($D129&lt;&gt;"측정",$C129&lt;&gt;$C130,NOT(ISNUMBER(L130)),NOT(ISNUMBER(L129)),(IF(ISNUMBER(G130),G130,F130)-IF(ISNUMBER(G129),G129,F129))=0),"",(L130-L129)/(IF(ISNUMBER(G130),G130,F130)-IF(ISNUMBER(G129),G129,F129)))</f>
        <v/>
      </c>
      <c r="W130" s="30">
        <f>IF(NOT(AND(ISNUMBER(N130),ISNUMBER(P130))),"",(P130-N130)*1440)</f>
        <v/>
      </c>
      <c r="X130" s="28" t="n"/>
      <c r="Y130" s="28" t="n"/>
      <c r="Z130" s="28" t="n"/>
      <c r="AA130" s="31" t="n"/>
      <c r="AB130" s="31" t="n"/>
    </row>
    <row r="131">
      <c r="A131" s="25" t="inlineStr">
        <is>
          <t>S03</t>
        </is>
      </c>
      <c r="B131" s="25" t="inlineStr">
        <is>
          <t>예산 신규점2</t>
        </is>
      </c>
      <c r="C131" s="25" t="inlineStr">
        <is>
          <t>S03-H서</t>
        </is>
      </c>
      <c r="D131" s="25" t="inlineStr">
        <is>
          <t>측정</t>
        </is>
      </c>
      <c r="E131" s="25" t="inlineStr">
        <is>
          <t>서</t>
        </is>
      </c>
      <c r="F131" s="30" t="n">
        <v>8</v>
      </c>
      <c r="G131" s="29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IF(COUNTIFS($C:$C,$C131,$D:$D,"P0(전)",$L:$L,"&gt;0")&lt;&gt;1,"P0(전) 유효 1개 아님",IF(COUNTIFS($C:$C,$C131,$D:$D,"P0(후)",$L:$L,"&gt;0")&lt;&gt;1,"P0(후) 유효 1개 아님",IF(NOT(AND(ISNUMBER(N131),ISNUMBER(P131),ISNUMBER(H131))),"시각 결측",IF(P131&lt;=N131,"P0 시각 역전",IF(OR(H131&lt;N131,H131&gt;P131),"측정시각 구간 밖","OK")))))</f>
        <v/>
      </c>
      <c r="N131" s="45">
        <f>IF(COUNTIFS($C:$C,$C131,$D:$D,"P0(전)",$L:$L,"&gt;0")&lt;&gt;1,"",SUMIFS($H:$H,$C:$C,$C131,$D:$D,"P0(전)"))</f>
        <v/>
      </c>
      <c r="O131" s="30">
        <f>IF(COUNTIFS($C:$C,$C131,$D:$D,"P0(전)",$L:$L,"&gt;0")&lt;&gt;1,"",SUMIFS($L:$L,$C:$C,$C131,$D:$D,"P0(전)"))</f>
        <v/>
      </c>
      <c r="P131" s="45">
        <f>IF(COUNTIFS($C:$C,$C131,$D:$D,"P0(후)",$L:$L,"&gt;0")&lt;&gt;1,"",SUMIFS($H:$H,$C:$C,$C131,$D:$D,"P0(후)"))</f>
        <v/>
      </c>
      <c r="Q131" s="30">
        <f>IF(COUNTIFS($C:$C,$C131,$D:$D,"P0(후)",$L:$L,"&gt;0")&lt;&gt;1,"",SUMIFS($L:$L,$C:$C,$C131,$D:$D,"P0(후)"))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IF(OR(NOT(ISNUMBER(S131)),IF(ISNUMBER(G131),G131,F131)=0),"",S131/IF(ISNUMBER(G131),G131,F131))</f>
        <v/>
      </c>
      <c r="U131" s="46">
        <f>IF(ISNUMBER(T131),ABS(T131),"")</f>
        <v/>
      </c>
      <c r="V131" s="46">
        <f>IF(OR($D130&lt;&gt;"측정",$C130&lt;&gt;$C131,NOT(ISNUMBER(L131)),NOT(ISNUMBER(L130)),(IF(ISNUMBER(G131),G131,F131)-IF(ISNUMBER(G130),G130,F130))=0),"",(L131-L130)/(IF(ISNUMBER(G131),G131,F131)-IF(ISNUMBER(G130),G130,F130)))</f>
        <v/>
      </c>
      <c r="W131" s="30">
        <f>IF(NOT(AND(ISNUMBER(N131),ISNUMBER(P131))),"",(P131-N131)*1440)</f>
        <v/>
      </c>
      <c r="X131" s="28" t="n"/>
      <c r="Y131" s="28" t="n"/>
      <c r="Z131" s="28" t="n"/>
      <c r="AA131" s="31" t="n"/>
      <c r="AB131" s="31" t="n"/>
    </row>
    <row r="132">
      <c r="A132" s="25" t="inlineStr">
        <is>
          <t>S03</t>
        </is>
      </c>
      <c r="B132" s="25" t="inlineStr">
        <is>
          <t>예산 신규점2</t>
        </is>
      </c>
      <c r="C132" s="25" t="inlineStr">
        <is>
          <t>S03-H서</t>
        </is>
      </c>
      <c r="D132" s="25" t="inlineStr">
        <is>
          <t>측정</t>
        </is>
      </c>
      <c r="E132" s="25" t="inlineStr">
        <is>
          <t>서</t>
        </is>
      </c>
      <c r="F132" s="30" t="n">
        <v>9</v>
      </c>
      <c r="G132" s="29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IF(COUNTIFS($C:$C,$C132,$D:$D,"P0(전)",$L:$L,"&gt;0")&lt;&gt;1,"P0(전) 유효 1개 아님",IF(COUNTIFS($C:$C,$C132,$D:$D,"P0(후)",$L:$L,"&gt;0")&lt;&gt;1,"P0(후) 유효 1개 아님",IF(NOT(AND(ISNUMBER(N132),ISNUMBER(P132),ISNUMBER(H132))),"시각 결측",IF(P132&lt;=N132,"P0 시각 역전",IF(OR(H132&lt;N132,H132&gt;P132),"측정시각 구간 밖","OK")))))</f>
        <v/>
      </c>
      <c r="N132" s="45">
        <f>IF(COUNTIFS($C:$C,$C132,$D:$D,"P0(전)",$L:$L,"&gt;0")&lt;&gt;1,"",SUMIFS($H:$H,$C:$C,$C132,$D:$D,"P0(전)"))</f>
        <v/>
      </c>
      <c r="O132" s="30">
        <f>IF(COUNTIFS($C:$C,$C132,$D:$D,"P0(전)",$L:$L,"&gt;0")&lt;&gt;1,"",SUMIFS($L:$L,$C:$C,$C132,$D:$D,"P0(전)"))</f>
        <v/>
      </c>
      <c r="P132" s="45">
        <f>IF(COUNTIFS($C:$C,$C132,$D:$D,"P0(후)",$L:$L,"&gt;0")&lt;&gt;1,"",SUMIFS($H:$H,$C:$C,$C132,$D:$D,"P0(후)"))</f>
        <v/>
      </c>
      <c r="Q132" s="30">
        <f>IF(COUNTIFS($C:$C,$C132,$D:$D,"P0(후)",$L:$L,"&gt;0")&lt;&gt;1,"",SUMIFS($L:$L,$C:$C,$C132,$D:$D,"P0(후)"))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IF(OR(NOT(ISNUMBER(S132)),IF(ISNUMBER(G132),G132,F132)=0),"",S132/IF(ISNUMBER(G132),G132,F132))</f>
        <v/>
      </c>
      <c r="U132" s="46">
        <f>IF(ISNUMBER(T132),ABS(T132),"")</f>
        <v/>
      </c>
      <c r="V132" s="46">
        <f>IF(OR($D131&lt;&gt;"측정",$C131&lt;&gt;$C132,NOT(ISNUMBER(L132)),NOT(ISNUMBER(L131)),(IF(ISNUMBER(G132),G132,F132)-IF(ISNUMBER(G131),G131,F131))=0),"",(L132-L131)/(IF(ISNUMBER(G132),G132,F132)-IF(ISNUMBER(G131),G131,F131)))</f>
        <v/>
      </c>
      <c r="W132" s="30">
        <f>IF(NOT(AND(ISNUMBER(N132),ISNUMBER(P132))),"",(P132-N132)*1440)</f>
        <v/>
      </c>
      <c r="X132" s="28" t="n"/>
      <c r="Y132" s="28" t="n"/>
      <c r="Z132" s="28" t="n"/>
      <c r="AA132" s="31" t="n"/>
      <c r="AB132" s="31" t="n"/>
    </row>
    <row r="133">
      <c r="A133" s="25" t="inlineStr">
        <is>
          <t>S03</t>
        </is>
      </c>
      <c r="B133" s="25" t="inlineStr">
        <is>
          <t>예산 신규점2</t>
        </is>
      </c>
      <c r="C133" s="25" t="inlineStr">
        <is>
          <t>S03-H서</t>
        </is>
      </c>
      <c r="D133" s="25" t="inlineStr">
        <is>
          <t>측정</t>
        </is>
      </c>
      <c r="E133" s="25" t="inlineStr">
        <is>
          <t>서</t>
        </is>
      </c>
      <c r="F133" s="30" t="n">
        <v>10</v>
      </c>
      <c r="G133" s="29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IF(COUNTIFS($C:$C,$C133,$D:$D,"P0(전)",$L:$L,"&gt;0")&lt;&gt;1,"P0(전) 유효 1개 아님",IF(COUNTIFS($C:$C,$C133,$D:$D,"P0(후)",$L:$L,"&gt;0")&lt;&gt;1,"P0(후) 유효 1개 아님",IF(NOT(AND(ISNUMBER(N133),ISNUMBER(P133),ISNUMBER(H133))),"시각 결측",IF(P133&lt;=N133,"P0 시각 역전",IF(OR(H133&lt;N133,H133&gt;P133),"측정시각 구간 밖","OK")))))</f>
        <v/>
      </c>
      <c r="N133" s="45">
        <f>IF(COUNTIFS($C:$C,$C133,$D:$D,"P0(전)",$L:$L,"&gt;0")&lt;&gt;1,"",SUMIFS($H:$H,$C:$C,$C133,$D:$D,"P0(전)"))</f>
        <v/>
      </c>
      <c r="O133" s="30">
        <f>IF(COUNTIFS($C:$C,$C133,$D:$D,"P0(전)",$L:$L,"&gt;0")&lt;&gt;1,"",SUMIFS($L:$L,$C:$C,$C133,$D:$D,"P0(전)"))</f>
        <v/>
      </c>
      <c r="P133" s="45">
        <f>IF(COUNTIFS($C:$C,$C133,$D:$D,"P0(후)",$L:$L,"&gt;0")&lt;&gt;1,"",SUMIFS($H:$H,$C:$C,$C133,$D:$D,"P0(후)"))</f>
        <v/>
      </c>
      <c r="Q133" s="30">
        <f>IF(COUNTIFS($C:$C,$C133,$D:$D,"P0(후)",$L:$L,"&gt;0")&lt;&gt;1,"",SUMIFS($L:$L,$C:$C,$C133,$D:$D,"P0(후)"))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IF(OR(NOT(ISNUMBER(S133)),IF(ISNUMBER(G133),G133,F133)=0),"",S133/IF(ISNUMBER(G133),G133,F133))</f>
        <v/>
      </c>
      <c r="U133" s="46">
        <f>IF(ISNUMBER(T133),ABS(T133),"")</f>
        <v/>
      </c>
      <c r="V133" s="46">
        <f>IF(OR($D132&lt;&gt;"측정",$C132&lt;&gt;$C133,NOT(ISNUMBER(L133)),NOT(ISNUMBER(L132)),(IF(ISNUMBER(G133),G133,F133)-IF(ISNUMBER(G132),G132,F132))=0),"",(L133-L132)/(IF(ISNUMBER(G133),G133,F133)-IF(ISNUMBER(G132),G132,F132)))</f>
        <v/>
      </c>
      <c r="W133" s="30">
        <f>IF(NOT(AND(ISNUMBER(N133),ISNUMBER(P133))),"",(P133-N133)*1440)</f>
        <v/>
      </c>
      <c r="X133" s="28" t="n"/>
      <c r="Y133" s="28" t="n"/>
      <c r="Z133" s="28" t="n"/>
      <c r="AA133" s="31" t="n"/>
      <c r="AB133" s="31" t="n"/>
    </row>
    <row r="134">
      <c r="A134" s="43" t="inlineStr">
        <is>
          <t>S03</t>
        </is>
      </c>
      <c r="B134" s="43" t="inlineStr">
        <is>
          <t>예산 신규점2</t>
        </is>
      </c>
      <c r="C134" s="43" t="inlineStr">
        <is>
          <t>S03-H서</t>
        </is>
      </c>
      <c r="D134" s="43" t="inlineStr">
        <is>
          <t>P0(후)</t>
        </is>
      </c>
      <c r="E134" s="43" t="inlineStr">
        <is>
          <t>서</t>
        </is>
      </c>
      <c r="F134" s="44" t="n"/>
      <c r="G134" s="29" t="n"/>
      <c r="H134" s="42" t="n"/>
      <c r="I134" s="40" t="n"/>
      <c r="J134" s="40" t="n"/>
      <c r="K134" s="40" t="n"/>
      <c r="L134" s="30">
        <f>IF(COUNT(I134:K134)=0,"",MEDIAN(I134:K134))</f>
        <v/>
      </c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28" t="n"/>
      <c r="Y134" s="28" t="n"/>
      <c r="Z134" s="28" t="n"/>
      <c r="AA134" s="31" t="n"/>
      <c r="AB134" s="31" t="n"/>
    </row>
    <row r="135">
      <c r="A135" s="43" t="inlineStr">
        <is>
          <t>S03</t>
        </is>
      </c>
      <c r="B135" s="43" t="inlineStr">
        <is>
          <t>예산 신규점2</t>
        </is>
      </c>
      <c r="C135" s="43" t="inlineStr">
        <is>
          <t>S03-H남</t>
        </is>
      </c>
      <c r="D135" s="43" t="inlineStr">
        <is>
          <t>P0(전)</t>
        </is>
      </c>
      <c r="E135" s="43" t="inlineStr">
        <is>
          <t>남</t>
        </is>
      </c>
      <c r="F135" s="44" t="n"/>
      <c r="G135" s="29" t="n"/>
      <c r="H135" s="42" t="n"/>
      <c r="I135" s="40" t="n"/>
      <c r="J135" s="40" t="n"/>
      <c r="K135" s="40" t="n"/>
      <c r="L135" s="30">
        <f>IF(COUNT(I135:K135)=0,"",MEDIAN(I135:K135))</f>
        <v/>
      </c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28" t="n"/>
      <c r="Y135" s="28" t="n"/>
      <c r="Z135" s="28" t="n"/>
      <c r="AA135" s="31" t="n"/>
      <c r="AB135" s="31" t="n"/>
    </row>
    <row r="136">
      <c r="A136" s="25" t="inlineStr">
        <is>
          <t>S03</t>
        </is>
      </c>
      <c r="B136" s="25" t="inlineStr">
        <is>
          <t>예산 신규점2</t>
        </is>
      </c>
      <c r="C136" s="25" t="inlineStr">
        <is>
          <t>S03-H남</t>
        </is>
      </c>
      <c r="D136" s="25" t="inlineStr">
        <is>
          <t>측정</t>
        </is>
      </c>
      <c r="E136" s="25" t="inlineStr">
        <is>
          <t>남</t>
        </is>
      </c>
      <c r="F136" s="30" t="n">
        <v>0.5</v>
      </c>
      <c r="G136" s="29" t="n"/>
      <c r="H136" s="42" t="n"/>
      <c r="I136" s="40" t="n"/>
      <c r="J136" s="40" t="n"/>
      <c r="K136" s="40" t="n"/>
      <c r="L136" s="30">
        <f>IF(COUNT(I136:K136)=0,"",MEDIAN(I136:K136))</f>
        <v/>
      </c>
      <c r="M136" s="25">
        <f>IF(COUNTIFS($C:$C,$C136,$D:$D,"P0(전)",$L:$L,"&gt;0")&lt;&gt;1,"P0(전) 유효 1개 아님",IF(COUNTIFS($C:$C,$C136,$D:$D,"P0(후)",$L:$L,"&gt;0")&lt;&gt;1,"P0(후) 유효 1개 아님",IF(NOT(AND(ISNUMBER(N136),ISNUMBER(P136),ISNUMBER(H136))),"시각 결측",IF(P136&lt;=N136,"P0 시각 역전",IF(OR(H136&lt;N136,H136&gt;P136),"측정시각 구간 밖","OK")))))</f>
        <v/>
      </c>
      <c r="N136" s="45">
        <f>IF(COUNTIFS($C:$C,$C136,$D:$D,"P0(전)",$L:$L,"&gt;0")&lt;&gt;1,"",SUMIFS($H:$H,$C:$C,$C136,$D:$D,"P0(전)"))</f>
        <v/>
      </c>
      <c r="O136" s="30">
        <f>IF(COUNTIFS($C:$C,$C136,$D:$D,"P0(전)",$L:$L,"&gt;0")&lt;&gt;1,"",SUMIFS($L:$L,$C:$C,$C136,$D:$D,"P0(전)"))</f>
        <v/>
      </c>
      <c r="P136" s="45">
        <f>IF(COUNTIFS($C:$C,$C136,$D:$D,"P0(후)",$L:$L,"&gt;0")&lt;&gt;1,"",SUMIFS($H:$H,$C:$C,$C136,$D:$D,"P0(후)"))</f>
        <v/>
      </c>
      <c r="Q136" s="30">
        <f>IF(COUNTIFS($C:$C,$C136,$D:$D,"P0(후)",$L:$L,"&gt;0")&lt;&gt;1,"",SUMIFS($L:$L,$C:$C,$C136,$D:$D,"P0(후)"))</f>
        <v/>
      </c>
      <c r="R136" s="30">
        <f>IF(M136&lt;&gt;"OK","",O136+(Q136-O136)*(H136-N136)/(P136-N136))</f>
        <v/>
      </c>
      <c r="S136" s="30">
        <f>IF(OR(M136&lt;&gt;"OK",NOT(ISNUMBER(L136))),"",L136-R136)</f>
        <v/>
      </c>
      <c r="T136" s="46">
        <f>IF(OR(NOT(ISNUMBER(S136)),IF(ISNUMBER(G136),G136,F136)=0),"",S136/IF(ISNUMBER(G136),G136,F136))</f>
        <v/>
      </c>
      <c r="U136" s="46">
        <f>IF(ISNUMBER(T136),ABS(T136),"")</f>
        <v/>
      </c>
      <c r="V136" s="46">
        <f>IF(OR($D135&lt;&gt;"측정",$C135&lt;&gt;$C136,NOT(ISNUMBER(L136)),NOT(ISNUMBER(L135)),(IF(ISNUMBER(G136),G136,F136)-IF(ISNUMBER(G135),G135,F135))=0),"",(L136-L135)/(IF(ISNUMBER(G136),G136,F136)-IF(ISNUMBER(G135),G135,F135)))</f>
        <v/>
      </c>
      <c r="W136" s="30">
        <f>IF(NOT(AND(ISNUMBER(N136),ISNUMBER(P136))),"",(P136-N136)*1440)</f>
        <v/>
      </c>
      <c r="X136" s="28" t="n"/>
      <c r="Y136" s="28" t="n"/>
      <c r="Z136" s="28" t="n"/>
      <c r="AA136" s="31" t="n"/>
      <c r="AB136" s="31" t="n"/>
    </row>
    <row r="137">
      <c r="A137" s="25" t="inlineStr">
        <is>
          <t>S03</t>
        </is>
      </c>
      <c r="B137" s="25" t="inlineStr">
        <is>
          <t>예산 신규점2</t>
        </is>
      </c>
      <c r="C137" s="25" t="inlineStr">
        <is>
          <t>S03-H남</t>
        </is>
      </c>
      <c r="D137" s="25" t="inlineStr">
        <is>
          <t>측정</t>
        </is>
      </c>
      <c r="E137" s="25" t="inlineStr">
        <is>
          <t>남</t>
        </is>
      </c>
      <c r="F137" s="30" t="n">
        <v>1</v>
      </c>
      <c r="G137" s="29" t="n"/>
      <c r="H137" s="42" t="n"/>
      <c r="I137" s="40" t="n"/>
      <c r="J137" s="40" t="n"/>
      <c r="K137" s="40" t="n"/>
      <c r="L137" s="30">
        <f>IF(COUNT(I137:K137)=0,"",MEDIAN(I137:K137))</f>
        <v/>
      </c>
      <c r="M137" s="25">
        <f>IF(COUNTIFS($C:$C,$C137,$D:$D,"P0(전)",$L:$L,"&gt;0")&lt;&gt;1,"P0(전) 유효 1개 아님",IF(COUNTIFS($C:$C,$C137,$D:$D,"P0(후)",$L:$L,"&gt;0")&lt;&gt;1,"P0(후) 유효 1개 아님",IF(NOT(AND(ISNUMBER(N137),ISNUMBER(P137),ISNUMBER(H137))),"시각 결측",IF(P137&lt;=N137,"P0 시각 역전",IF(OR(H137&lt;N137,H137&gt;P137),"측정시각 구간 밖","OK")))))</f>
        <v/>
      </c>
      <c r="N137" s="45">
        <f>IF(COUNTIFS($C:$C,$C137,$D:$D,"P0(전)",$L:$L,"&gt;0")&lt;&gt;1,"",SUMIFS($H:$H,$C:$C,$C137,$D:$D,"P0(전)"))</f>
        <v/>
      </c>
      <c r="O137" s="30">
        <f>IF(COUNTIFS($C:$C,$C137,$D:$D,"P0(전)",$L:$L,"&gt;0")&lt;&gt;1,"",SUMIFS($L:$L,$C:$C,$C137,$D:$D,"P0(전)"))</f>
        <v/>
      </c>
      <c r="P137" s="45">
        <f>IF(COUNTIFS($C:$C,$C137,$D:$D,"P0(후)",$L:$L,"&gt;0")&lt;&gt;1,"",SUMIFS($H:$H,$C:$C,$C137,$D:$D,"P0(후)"))</f>
        <v/>
      </c>
      <c r="Q137" s="30">
        <f>IF(COUNTIFS($C:$C,$C137,$D:$D,"P0(후)",$L:$L,"&gt;0")&lt;&gt;1,"",SUMIFS($L:$L,$C:$C,$C137,$D:$D,"P0(후)"))</f>
        <v/>
      </c>
      <c r="R137" s="30">
        <f>IF(M137&lt;&gt;"OK","",O137+(Q137-O137)*(H137-N137)/(P137-N137))</f>
        <v/>
      </c>
      <c r="S137" s="30">
        <f>IF(OR(M137&lt;&gt;"OK",NOT(ISNUMBER(L137))),"",L137-R137)</f>
        <v/>
      </c>
      <c r="T137" s="46">
        <f>IF(OR(NOT(ISNUMBER(S137)),IF(ISNUMBER(G137),G137,F137)=0),"",S137/IF(ISNUMBER(G137),G137,F137))</f>
        <v/>
      </c>
      <c r="U137" s="46">
        <f>IF(ISNUMBER(T137),ABS(T137),"")</f>
        <v/>
      </c>
      <c r="V137" s="46">
        <f>IF(OR($D136&lt;&gt;"측정",$C136&lt;&gt;$C137,NOT(ISNUMBER(L137)),NOT(ISNUMBER(L136)),(IF(ISNUMBER(G137),G137,F137)-IF(ISNUMBER(G136),G136,F136))=0),"",(L137-L136)/(IF(ISNUMBER(G137),G137,F137)-IF(ISNUMBER(G136),G136,F136)))</f>
        <v/>
      </c>
      <c r="W137" s="30">
        <f>IF(NOT(AND(ISNUMBER(N137),ISNUMBER(P137))),"",(P137-N137)*1440)</f>
        <v/>
      </c>
      <c r="X137" s="28" t="n"/>
      <c r="Y137" s="28" t="n"/>
      <c r="Z137" s="28" t="n"/>
      <c r="AA137" s="31" t="n"/>
      <c r="AB137" s="31" t="n"/>
    </row>
    <row r="138">
      <c r="A138" s="25" t="inlineStr">
        <is>
          <t>S03</t>
        </is>
      </c>
      <c r="B138" s="25" t="inlineStr">
        <is>
          <t>예산 신규점2</t>
        </is>
      </c>
      <c r="C138" s="25" t="inlineStr">
        <is>
          <t>S03-H남</t>
        </is>
      </c>
      <c r="D138" s="25" t="inlineStr">
        <is>
          <t>측정</t>
        </is>
      </c>
      <c r="E138" s="25" t="inlineStr">
        <is>
          <t>남</t>
        </is>
      </c>
      <c r="F138" s="30" t="n">
        <v>2</v>
      </c>
      <c r="G138" s="29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IF(COUNTIFS($C:$C,$C138,$D:$D,"P0(전)",$L:$L,"&gt;0")&lt;&gt;1,"P0(전) 유효 1개 아님",IF(COUNTIFS($C:$C,$C138,$D:$D,"P0(후)",$L:$L,"&gt;0")&lt;&gt;1,"P0(후) 유효 1개 아님",IF(NOT(AND(ISNUMBER(N138),ISNUMBER(P138),ISNUMBER(H138))),"시각 결측",IF(P138&lt;=N138,"P0 시각 역전",IF(OR(H138&lt;N138,H138&gt;P138),"측정시각 구간 밖","OK")))))</f>
        <v/>
      </c>
      <c r="N138" s="45">
        <f>IF(COUNTIFS($C:$C,$C138,$D:$D,"P0(전)",$L:$L,"&gt;0")&lt;&gt;1,"",SUMIFS($H:$H,$C:$C,$C138,$D:$D,"P0(전)"))</f>
        <v/>
      </c>
      <c r="O138" s="30">
        <f>IF(COUNTIFS($C:$C,$C138,$D:$D,"P0(전)",$L:$L,"&gt;0")&lt;&gt;1,"",SUMIFS($L:$L,$C:$C,$C138,$D:$D,"P0(전)"))</f>
        <v/>
      </c>
      <c r="P138" s="45">
        <f>IF(COUNTIFS($C:$C,$C138,$D:$D,"P0(후)",$L:$L,"&gt;0")&lt;&gt;1,"",SUMIFS($H:$H,$C:$C,$C138,$D:$D,"P0(후)"))</f>
        <v/>
      </c>
      <c r="Q138" s="30">
        <f>IF(COUNTIFS($C:$C,$C138,$D:$D,"P0(후)",$L:$L,"&gt;0")&lt;&gt;1,"",SUMIFS($L:$L,$C:$C,$C138,$D:$D,"P0(후)"))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IF(OR(NOT(ISNUMBER(S138)),IF(ISNUMBER(G138),G138,F138)=0),"",S138/IF(ISNUMBER(G138),G138,F138))</f>
        <v/>
      </c>
      <c r="U138" s="46">
        <f>IF(ISNUMBER(T138),ABS(T138),"")</f>
        <v/>
      </c>
      <c r="V138" s="46">
        <f>IF(OR($D137&lt;&gt;"측정",$C137&lt;&gt;$C138,NOT(ISNUMBER(L138)),NOT(ISNUMBER(L137)),(IF(ISNUMBER(G138),G138,F138)-IF(ISNUMBER(G137),G137,F137))=0),"",(L138-L137)/(IF(ISNUMBER(G138),G138,F138)-IF(ISNUMBER(G137),G137,F137)))</f>
        <v/>
      </c>
      <c r="W138" s="30">
        <f>IF(NOT(AND(ISNUMBER(N138),ISNUMBER(P138))),"",(P138-N138)*1440)</f>
        <v/>
      </c>
      <c r="X138" s="28" t="n"/>
      <c r="Y138" s="28" t="n"/>
      <c r="Z138" s="28" t="n"/>
      <c r="AA138" s="31" t="n"/>
      <c r="AB138" s="31" t="n"/>
    </row>
    <row r="139">
      <c r="A139" s="25" t="inlineStr">
        <is>
          <t>S03</t>
        </is>
      </c>
      <c r="B139" s="25" t="inlineStr">
        <is>
          <t>예산 신규점2</t>
        </is>
      </c>
      <c r="C139" s="25" t="inlineStr">
        <is>
          <t>S03-H남</t>
        </is>
      </c>
      <c r="D139" s="25" t="inlineStr">
        <is>
          <t>측정</t>
        </is>
      </c>
      <c r="E139" s="25" t="inlineStr">
        <is>
          <t>남</t>
        </is>
      </c>
      <c r="F139" s="30" t="n">
        <v>3</v>
      </c>
      <c r="G139" s="29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IF(COUNTIFS($C:$C,$C139,$D:$D,"P0(전)",$L:$L,"&gt;0")&lt;&gt;1,"P0(전) 유효 1개 아님",IF(COUNTIFS($C:$C,$C139,$D:$D,"P0(후)",$L:$L,"&gt;0")&lt;&gt;1,"P0(후) 유효 1개 아님",IF(NOT(AND(ISNUMBER(N139),ISNUMBER(P139),ISNUMBER(H139))),"시각 결측",IF(P139&lt;=N139,"P0 시각 역전",IF(OR(H139&lt;N139,H139&gt;P139),"측정시각 구간 밖","OK")))))</f>
        <v/>
      </c>
      <c r="N139" s="45">
        <f>IF(COUNTIFS($C:$C,$C139,$D:$D,"P0(전)",$L:$L,"&gt;0")&lt;&gt;1,"",SUMIFS($H:$H,$C:$C,$C139,$D:$D,"P0(전)"))</f>
        <v/>
      </c>
      <c r="O139" s="30">
        <f>IF(COUNTIFS($C:$C,$C139,$D:$D,"P0(전)",$L:$L,"&gt;0")&lt;&gt;1,"",SUMIFS($L:$L,$C:$C,$C139,$D:$D,"P0(전)"))</f>
        <v/>
      </c>
      <c r="P139" s="45">
        <f>IF(COUNTIFS($C:$C,$C139,$D:$D,"P0(후)",$L:$L,"&gt;0")&lt;&gt;1,"",SUMIFS($H:$H,$C:$C,$C139,$D:$D,"P0(후)"))</f>
        <v/>
      </c>
      <c r="Q139" s="30">
        <f>IF(COUNTIFS($C:$C,$C139,$D:$D,"P0(후)",$L:$L,"&gt;0")&lt;&gt;1,"",SUMIFS($L:$L,$C:$C,$C139,$D:$D,"P0(후)"))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IF(OR(NOT(ISNUMBER(S139)),IF(ISNUMBER(G139),G139,F139)=0),"",S139/IF(ISNUMBER(G139),G139,F139))</f>
        <v/>
      </c>
      <c r="U139" s="46">
        <f>IF(ISNUMBER(T139),ABS(T139),"")</f>
        <v/>
      </c>
      <c r="V139" s="46">
        <f>IF(OR($D138&lt;&gt;"측정",$C138&lt;&gt;$C139,NOT(ISNUMBER(L139)),NOT(ISNUMBER(L138)),(IF(ISNUMBER(G139),G139,F139)-IF(ISNUMBER(G138),G138,F138))=0),"",(L139-L138)/(IF(ISNUMBER(G139),G139,F139)-IF(ISNUMBER(G138),G138,F138)))</f>
        <v/>
      </c>
      <c r="W139" s="30">
        <f>IF(NOT(AND(ISNUMBER(N139),ISNUMBER(P139))),"",(P139-N139)*1440)</f>
        <v/>
      </c>
      <c r="X139" s="28" t="n"/>
      <c r="Y139" s="28" t="n"/>
      <c r="Z139" s="28" t="n"/>
      <c r="AA139" s="31" t="n"/>
      <c r="AB139" s="31" t="n"/>
    </row>
    <row r="140">
      <c r="A140" s="25" t="inlineStr">
        <is>
          <t>S03</t>
        </is>
      </c>
      <c r="B140" s="25" t="inlineStr">
        <is>
          <t>예산 신규점2</t>
        </is>
      </c>
      <c r="C140" s="25" t="inlineStr">
        <is>
          <t>S03-H남</t>
        </is>
      </c>
      <c r="D140" s="25" t="inlineStr">
        <is>
          <t>측정</t>
        </is>
      </c>
      <c r="E140" s="25" t="inlineStr">
        <is>
          <t>남</t>
        </is>
      </c>
      <c r="F140" s="30" t="n">
        <v>4</v>
      </c>
      <c r="G140" s="29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IF(COUNTIFS($C:$C,$C140,$D:$D,"P0(전)",$L:$L,"&gt;0")&lt;&gt;1,"P0(전) 유효 1개 아님",IF(COUNTIFS($C:$C,$C140,$D:$D,"P0(후)",$L:$L,"&gt;0")&lt;&gt;1,"P0(후) 유효 1개 아님",IF(NOT(AND(ISNUMBER(N140),ISNUMBER(P140),ISNUMBER(H140))),"시각 결측",IF(P140&lt;=N140,"P0 시각 역전",IF(OR(H140&lt;N140,H140&gt;P140),"측정시각 구간 밖","OK")))))</f>
        <v/>
      </c>
      <c r="N140" s="45">
        <f>IF(COUNTIFS($C:$C,$C140,$D:$D,"P0(전)",$L:$L,"&gt;0")&lt;&gt;1,"",SUMIFS($H:$H,$C:$C,$C140,$D:$D,"P0(전)"))</f>
        <v/>
      </c>
      <c r="O140" s="30">
        <f>IF(COUNTIFS($C:$C,$C140,$D:$D,"P0(전)",$L:$L,"&gt;0")&lt;&gt;1,"",SUMIFS($L:$L,$C:$C,$C140,$D:$D,"P0(전)"))</f>
        <v/>
      </c>
      <c r="P140" s="45">
        <f>IF(COUNTIFS($C:$C,$C140,$D:$D,"P0(후)",$L:$L,"&gt;0")&lt;&gt;1,"",SUMIFS($H:$H,$C:$C,$C140,$D:$D,"P0(후)"))</f>
        <v/>
      </c>
      <c r="Q140" s="30">
        <f>IF(COUNTIFS($C:$C,$C140,$D:$D,"P0(후)",$L:$L,"&gt;0")&lt;&gt;1,"",SUMIFS($L:$L,$C:$C,$C140,$D:$D,"P0(후)"))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IF(OR(NOT(ISNUMBER(S140)),IF(ISNUMBER(G140),G140,F140)=0),"",S140/IF(ISNUMBER(G140),G140,F140))</f>
        <v/>
      </c>
      <c r="U140" s="46">
        <f>IF(ISNUMBER(T140),ABS(T140),"")</f>
        <v/>
      </c>
      <c r="V140" s="46">
        <f>IF(OR($D139&lt;&gt;"측정",$C139&lt;&gt;$C140,NOT(ISNUMBER(L140)),NOT(ISNUMBER(L139)),(IF(ISNUMBER(G140),G140,F140)-IF(ISNUMBER(G139),G139,F139))=0),"",(L140-L139)/(IF(ISNUMBER(G140),G140,F140)-IF(ISNUMBER(G139),G139,F139)))</f>
        <v/>
      </c>
      <c r="W140" s="30">
        <f>IF(NOT(AND(ISNUMBER(N140),ISNUMBER(P140))),"",(P140-N140)*1440)</f>
        <v/>
      </c>
      <c r="X140" s="28" t="n"/>
      <c r="Y140" s="28" t="n"/>
      <c r="Z140" s="28" t="n"/>
      <c r="AA140" s="31" t="n"/>
      <c r="AB140" s="31" t="n"/>
    </row>
    <row r="141">
      <c r="A141" s="25" t="inlineStr">
        <is>
          <t>S03</t>
        </is>
      </c>
      <c r="B141" s="25" t="inlineStr">
        <is>
          <t>예산 신규점2</t>
        </is>
      </c>
      <c r="C141" s="25" t="inlineStr">
        <is>
          <t>S03-H남</t>
        </is>
      </c>
      <c r="D141" s="25" t="inlineStr">
        <is>
          <t>측정</t>
        </is>
      </c>
      <c r="E141" s="25" t="inlineStr">
        <is>
          <t>남</t>
        </is>
      </c>
      <c r="F141" s="30" t="n">
        <v>5</v>
      </c>
      <c r="G141" s="29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IF(COUNTIFS($C:$C,$C141,$D:$D,"P0(전)",$L:$L,"&gt;0")&lt;&gt;1,"P0(전) 유효 1개 아님",IF(COUNTIFS($C:$C,$C141,$D:$D,"P0(후)",$L:$L,"&gt;0")&lt;&gt;1,"P0(후) 유효 1개 아님",IF(NOT(AND(ISNUMBER(N141),ISNUMBER(P141),ISNUMBER(H141))),"시각 결측",IF(P141&lt;=N141,"P0 시각 역전",IF(OR(H141&lt;N141,H141&gt;P141),"측정시각 구간 밖","OK")))))</f>
        <v/>
      </c>
      <c r="N141" s="45">
        <f>IF(COUNTIFS($C:$C,$C141,$D:$D,"P0(전)",$L:$L,"&gt;0")&lt;&gt;1,"",SUMIFS($H:$H,$C:$C,$C141,$D:$D,"P0(전)"))</f>
        <v/>
      </c>
      <c r="O141" s="30">
        <f>IF(COUNTIFS($C:$C,$C141,$D:$D,"P0(전)",$L:$L,"&gt;0")&lt;&gt;1,"",SUMIFS($L:$L,$C:$C,$C141,$D:$D,"P0(전)"))</f>
        <v/>
      </c>
      <c r="P141" s="45">
        <f>IF(COUNTIFS($C:$C,$C141,$D:$D,"P0(후)",$L:$L,"&gt;0")&lt;&gt;1,"",SUMIFS($H:$H,$C:$C,$C141,$D:$D,"P0(후)"))</f>
        <v/>
      </c>
      <c r="Q141" s="30">
        <f>IF(COUNTIFS($C:$C,$C141,$D:$D,"P0(후)",$L:$L,"&gt;0")&lt;&gt;1,"",SUMIFS($L:$L,$C:$C,$C141,$D:$D,"P0(후)"))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IF(OR(NOT(ISNUMBER(S141)),IF(ISNUMBER(G141),G141,F141)=0),"",S141/IF(ISNUMBER(G141),G141,F141))</f>
        <v/>
      </c>
      <c r="U141" s="46">
        <f>IF(ISNUMBER(T141),ABS(T141),"")</f>
        <v/>
      </c>
      <c r="V141" s="46">
        <f>IF(OR($D140&lt;&gt;"측정",$C140&lt;&gt;$C141,NOT(ISNUMBER(L141)),NOT(ISNUMBER(L140)),(IF(ISNUMBER(G141),G141,F141)-IF(ISNUMBER(G140),G140,F140))=0),"",(L141-L140)/(IF(ISNUMBER(G141),G141,F141)-IF(ISNUMBER(G140),G140,F140)))</f>
        <v/>
      </c>
      <c r="W141" s="30">
        <f>IF(NOT(AND(ISNUMBER(N141),ISNUMBER(P141))),"",(P141-N141)*1440)</f>
        <v/>
      </c>
      <c r="X141" s="28" t="n"/>
      <c r="Y141" s="28" t="n"/>
      <c r="Z141" s="28" t="n"/>
      <c r="AA141" s="31" t="n"/>
      <c r="AB141" s="31" t="n"/>
    </row>
    <row r="142">
      <c r="A142" s="25" t="inlineStr">
        <is>
          <t>S03</t>
        </is>
      </c>
      <c r="B142" s="25" t="inlineStr">
        <is>
          <t>예산 신규점2</t>
        </is>
      </c>
      <c r="C142" s="25" t="inlineStr">
        <is>
          <t>S03-H남</t>
        </is>
      </c>
      <c r="D142" s="25" t="inlineStr">
        <is>
          <t>측정</t>
        </is>
      </c>
      <c r="E142" s="25" t="inlineStr">
        <is>
          <t>남</t>
        </is>
      </c>
      <c r="F142" s="30" t="n">
        <v>6</v>
      </c>
      <c r="G142" s="29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IF(COUNTIFS($C:$C,$C142,$D:$D,"P0(전)",$L:$L,"&gt;0")&lt;&gt;1,"P0(전) 유효 1개 아님",IF(COUNTIFS($C:$C,$C142,$D:$D,"P0(후)",$L:$L,"&gt;0")&lt;&gt;1,"P0(후) 유효 1개 아님",IF(NOT(AND(ISNUMBER(N142),ISNUMBER(P142),ISNUMBER(H142))),"시각 결측",IF(P142&lt;=N142,"P0 시각 역전",IF(OR(H142&lt;N142,H142&gt;P142),"측정시각 구간 밖","OK")))))</f>
        <v/>
      </c>
      <c r="N142" s="45">
        <f>IF(COUNTIFS($C:$C,$C142,$D:$D,"P0(전)",$L:$L,"&gt;0")&lt;&gt;1,"",SUMIFS($H:$H,$C:$C,$C142,$D:$D,"P0(전)"))</f>
        <v/>
      </c>
      <c r="O142" s="30">
        <f>IF(COUNTIFS($C:$C,$C142,$D:$D,"P0(전)",$L:$L,"&gt;0")&lt;&gt;1,"",SUMIFS($L:$L,$C:$C,$C142,$D:$D,"P0(전)"))</f>
        <v/>
      </c>
      <c r="P142" s="45">
        <f>IF(COUNTIFS($C:$C,$C142,$D:$D,"P0(후)",$L:$L,"&gt;0")&lt;&gt;1,"",SUMIFS($H:$H,$C:$C,$C142,$D:$D,"P0(후)"))</f>
        <v/>
      </c>
      <c r="Q142" s="30">
        <f>IF(COUNTIFS($C:$C,$C142,$D:$D,"P0(후)",$L:$L,"&gt;0")&lt;&gt;1,"",SUMIFS($L:$L,$C:$C,$C142,$D:$D,"P0(후)"))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IF(OR(NOT(ISNUMBER(S142)),IF(ISNUMBER(G142),G142,F142)=0),"",S142/IF(ISNUMBER(G142),G142,F142))</f>
        <v/>
      </c>
      <c r="U142" s="46">
        <f>IF(ISNUMBER(T142),ABS(T142),"")</f>
        <v/>
      </c>
      <c r="V142" s="46">
        <f>IF(OR($D141&lt;&gt;"측정",$C141&lt;&gt;$C142,NOT(ISNUMBER(L142)),NOT(ISNUMBER(L141)),(IF(ISNUMBER(G142),G142,F142)-IF(ISNUMBER(G141),G141,F141))=0),"",(L142-L141)/(IF(ISNUMBER(G142),G142,F142)-IF(ISNUMBER(G141),G141,F141)))</f>
        <v/>
      </c>
      <c r="W142" s="30">
        <f>IF(NOT(AND(ISNUMBER(N142),ISNUMBER(P142))),"",(P142-N142)*1440)</f>
        <v/>
      </c>
      <c r="X142" s="28" t="n"/>
      <c r="Y142" s="28" t="n"/>
      <c r="Z142" s="28" t="n"/>
      <c r="AA142" s="31" t="n"/>
      <c r="AB142" s="31" t="n"/>
    </row>
    <row r="143">
      <c r="A143" s="25" t="inlineStr">
        <is>
          <t>S03</t>
        </is>
      </c>
      <c r="B143" s="25" t="inlineStr">
        <is>
          <t>예산 신규점2</t>
        </is>
      </c>
      <c r="C143" s="25" t="inlineStr">
        <is>
          <t>S03-H남</t>
        </is>
      </c>
      <c r="D143" s="25" t="inlineStr">
        <is>
          <t>측정</t>
        </is>
      </c>
      <c r="E143" s="25" t="inlineStr">
        <is>
          <t>남</t>
        </is>
      </c>
      <c r="F143" s="30" t="n">
        <v>7</v>
      </c>
      <c r="G143" s="29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IF(COUNTIFS($C:$C,$C143,$D:$D,"P0(전)",$L:$L,"&gt;0")&lt;&gt;1,"P0(전) 유효 1개 아님",IF(COUNTIFS($C:$C,$C143,$D:$D,"P0(후)",$L:$L,"&gt;0")&lt;&gt;1,"P0(후) 유효 1개 아님",IF(NOT(AND(ISNUMBER(N143),ISNUMBER(P143),ISNUMBER(H143))),"시각 결측",IF(P143&lt;=N143,"P0 시각 역전",IF(OR(H143&lt;N143,H143&gt;P143),"측정시각 구간 밖","OK")))))</f>
        <v/>
      </c>
      <c r="N143" s="45">
        <f>IF(COUNTIFS($C:$C,$C143,$D:$D,"P0(전)",$L:$L,"&gt;0")&lt;&gt;1,"",SUMIFS($H:$H,$C:$C,$C143,$D:$D,"P0(전)"))</f>
        <v/>
      </c>
      <c r="O143" s="30">
        <f>IF(COUNTIFS($C:$C,$C143,$D:$D,"P0(전)",$L:$L,"&gt;0")&lt;&gt;1,"",SUMIFS($L:$L,$C:$C,$C143,$D:$D,"P0(전)"))</f>
        <v/>
      </c>
      <c r="P143" s="45">
        <f>IF(COUNTIFS($C:$C,$C143,$D:$D,"P0(후)",$L:$L,"&gt;0")&lt;&gt;1,"",SUMIFS($H:$H,$C:$C,$C143,$D:$D,"P0(후)"))</f>
        <v/>
      </c>
      <c r="Q143" s="30">
        <f>IF(COUNTIFS($C:$C,$C143,$D:$D,"P0(후)",$L:$L,"&gt;0")&lt;&gt;1,"",SUMIFS($L:$L,$C:$C,$C143,$D:$D,"P0(후)"))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IF(OR(NOT(ISNUMBER(S143)),IF(ISNUMBER(G143),G143,F143)=0),"",S143/IF(ISNUMBER(G143),G143,F143))</f>
        <v/>
      </c>
      <c r="U143" s="46">
        <f>IF(ISNUMBER(T143),ABS(T143),"")</f>
        <v/>
      </c>
      <c r="V143" s="46">
        <f>IF(OR($D142&lt;&gt;"측정",$C142&lt;&gt;$C143,NOT(ISNUMBER(L143)),NOT(ISNUMBER(L142)),(IF(ISNUMBER(G143),G143,F143)-IF(ISNUMBER(G142),G142,F142))=0),"",(L143-L142)/(IF(ISNUMBER(G143),G143,F143)-IF(ISNUMBER(G142),G142,F142)))</f>
        <v/>
      </c>
      <c r="W143" s="30">
        <f>IF(NOT(AND(ISNUMBER(N143),ISNUMBER(P143))),"",(P143-N143)*1440)</f>
        <v/>
      </c>
      <c r="X143" s="28" t="n"/>
      <c r="Y143" s="28" t="n"/>
      <c r="Z143" s="28" t="n"/>
      <c r="AA143" s="31" t="n"/>
      <c r="AB143" s="31" t="n"/>
    </row>
    <row r="144">
      <c r="A144" s="25" t="inlineStr">
        <is>
          <t>S03</t>
        </is>
      </c>
      <c r="B144" s="25" t="inlineStr">
        <is>
          <t>예산 신규점2</t>
        </is>
      </c>
      <c r="C144" s="25" t="inlineStr">
        <is>
          <t>S03-H남</t>
        </is>
      </c>
      <c r="D144" s="25" t="inlineStr">
        <is>
          <t>측정</t>
        </is>
      </c>
      <c r="E144" s="25" t="inlineStr">
        <is>
          <t>남</t>
        </is>
      </c>
      <c r="F144" s="30" t="n">
        <v>8</v>
      </c>
      <c r="G144" s="29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IF(COUNTIFS($C:$C,$C144,$D:$D,"P0(전)",$L:$L,"&gt;0")&lt;&gt;1,"P0(전) 유효 1개 아님",IF(COUNTIFS($C:$C,$C144,$D:$D,"P0(후)",$L:$L,"&gt;0")&lt;&gt;1,"P0(후) 유효 1개 아님",IF(NOT(AND(ISNUMBER(N144),ISNUMBER(P144),ISNUMBER(H144))),"시각 결측",IF(P144&lt;=N144,"P0 시각 역전",IF(OR(H144&lt;N144,H144&gt;P144),"측정시각 구간 밖","OK")))))</f>
        <v/>
      </c>
      <c r="N144" s="45">
        <f>IF(COUNTIFS($C:$C,$C144,$D:$D,"P0(전)",$L:$L,"&gt;0")&lt;&gt;1,"",SUMIFS($H:$H,$C:$C,$C144,$D:$D,"P0(전)"))</f>
        <v/>
      </c>
      <c r="O144" s="30">
        <f>IF(COUNTIFS($C:$C,$C144,$D:$D,"P0(전)",$L:$L,"&gt;0")&lt;&gt;1,"",SUMIFS($L:$L,$C:$C,$C144,$D:$D,"P0(전)"))</f>
        <v/>
      </c>
      <c r="P144" s="45">
        <f>IF(COUNTIFS($C:$C,$C144,$D:$D,"P0(후)",$L:$L,"&gt;0")&lt;&gt;1,"",SUMIFS($H:$H,$C:$C,$C144,$D:$D,"P0(후)"))</f>
        <v/>
      </c>
      <c r="Q144" s="30">
        <f>IF(COUNTIFS($C:$C,$C144,$D:$D,"P0(후)",$L:$L,"&gt;0")&lt;&gt;1,"",SUMIFS($L:$L,$C:$C,$C144,$D:$D,"P0(후)"))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IF(OR(NOT(ISNUMBER(S144)),IF(ISNUMBER(G144),G144,F144)=0),"",S144/IF(ISNUMBER(G144),G144,F144))</f>
        <v/>
      </c>
      <c r="U144" s="46">
        <f>IF(ISNUMBER(T144),ABS(T144),"")</f>
        <v/>
      </c>
      <c r="V144" s="46">
        <f>IF(OR($D143&lt;&gt;"측정",$C143&lt;&gt;$C144,NOT(ISNUMBER(L144)),NOT(ISNUMBER(L143)),(IF(ISNUMBER(G144),G144,F144)-IF(ISNUMBER(G143),G143,F143))=0),"",(L144-L143)/(IF(ISNUMBER(G144),G144,F144)-IF(ISNUMBER(G143),G143,F143)))</f>
        <v/>
      </c>
      <c r="W144" s="30">
        <f>IF(NOT(AND(ISNUMBER(N144),ISNUMBER(P144))),"",(P144-N144)*1440)</f>
        <v/>
      </c>
      <c r="X144" s="28" t="n"/>
      <c r="Y144" s="28" t="n"/>
      <c r="Z144" s="28" t="n"/>
      <c r="AA144" s="31" t="n"/>
      <c r="AB144" s="31" t="n"/>
    </row>
    <row r="145">
      <c r="A145" s="25" t="inlineStr">
        <is>
          <t>S03</t>
        </is>
      </c>
      <c r="B145" s="25" t="inlineStr">
        <is>
          <t>예산 신규점2</t>
        </is>
      </c>
      <c r="C145" s="25" t="inlineStr">
        <is>
          <t>S03-H남</t>
        </is>
      </c>
      <c r="D145" s="25" t="inlineStr">
        <is>
          <t>측정</t>
        </is>
      </c>
      <c r="E145" s="25" t="inlineStr">
        <is>
          <t>남</t>
        </is>
      </c>
      <c r="F145" s="30" t="n">
        <v>9</v>
      </c>
      <c r="G145" s="29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IF(COUNTIFS($C:$C,$C145,$D:$D,"P0(전)",$L:$L,"&gt;0")&lt;&gt;1,"P0(전) 유효 1개 아님",IF(COUNTIFS($C:$C,$C145,$D:$D,"P0(후)",$L:$L,"&gt;0")&lt;&gt;1,"P0(후) 유효 1개 아님",IF(NOT(AND(ISNUMBER(N145),ISNUMBER(P145),ISNUMBER(H145))),"시각 결측",IF(P145&lt;=N145,"P0 시각 역전",IF(OR(H145&lt;N145,H145&gt;P145),"측정시각 구간 밖","OK")))))</f>
        <v/>
      </c>
      <c r="N145" s="45">
        <f>IF(COUNTIFS($C:$C,$C145,$D:$D,"P0(전)",$L:$L,"&gt;0")&lt;&gt;1,"",SUMIFS($H:$H,$C:$C,$C145,$D:$D,"P0(전)"))</f>
        <v/>
      </c>
      <c r="O145" s="30">
        <f>IF(COUNTIFS($C:$C,$C145,$D:$D,"P0(전)",$L:$L,"&gt;0")&lt;&gt;1,"",SUMIFS($L:$L,$C:$C,$C145,$D:$D,"P0(전)"))</f>
        <v/>
      </c>
      <c r="P145" s="45">
        <f>IF(COUNTIFS($C:$C,$C145,$D:$D,"P0(후)",$L:$L,"&gt;0")&lt;&gt;1,"",SUMIFS($H:$H,$C:$C,$C145,$D:$D,"P0(후)"))</f>
        <v/>
      </c>
      <c r="Q145" s="30">
        <f>IF(COUNTIFS($C:$C,$C145,$D:$D,"P0(후)",$L:$L,"&gt;0")&lt;&gt;1,"",SUMIFS($L:$L,$C:$C,$C145,$D:$D,"P0(후)"))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IF(OR(NOT(ISNUMBER(S145)),IF(ISNUMBER(G145),G145,F145)=0),"",S145/IF(ISNUMBER(G145),G145,F145))</f>
        <v/>
      </c>
      <c r="U145" s="46">
        <f>IF(ISNUMBER(T145),ABS(T145),"")</f>
        <v/>
      </c>
      <c r="V145" s="46">
        <f>IF(OR($D144&lt;&gt;"측정",$C144&lt;&gt;$C145,NOT(ISNUMBER(L145)),NOT(ISNUMBER(L144)),(IF(ISNUMBER(G145),G145,F145)-IF(ISNUMBER(G144),G144,F144))=0),"",(L145-L144)/(IF(ISNUMBER(G145),G145,F145)-IF(ISNUMBER(G144),G144,F144)))</f>
        <v/>
      </c>
      <c r="W145" s="30">
        <f>IF(NOT(AND(ISNUMBER(N145),ISNUMBER(P145))),"",(P145-N145)*1440)</f>
        <v/>
      </c>
      <c r="X145" s="28" t="n"/>
      <c r="Y145" s="28" t="n"/>
      <c r="Z145" s="28" t="n"/>
      <c r="AA145" s="31" t="n"/>
      <c r="AB145" s="31" t="n"/>
    </row>
    <row r="146">
      <c r="A146" s="25" t="inlineStr">
        <is>
          <t>S03</t>
        </is>
      </c>
      <c r="B146" s="25" t="inlineStr">
        <is>
          <t>예산 신규점2</t>
        </is>
      </c>
      <c r="C146" s="25" t="inlineStr">
        <is>
          <t>S03-H남</t>
        </is>
      </c>
      <c r="D146" s="25" t="inlineStr">
        <is>
          <t>측정</t>
        </is>
      </c>
      <c r="E146" s="25" t="inlineStr">
        <is>
          <t>남</t>
        </is>
      </c>
      <c r="F146" s="30" t="n">
        <v>10</v>
      </c>
      <c r="G146" s="29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IF(COUNTIFS($C:$C,$C146,$D:$D,"P0(전)",$L:$L,"&gt;0")&lt;&gt;1,"P0(전) 유효 1개 아님",IF(COUNTIFS($C:$C,$C146,$D:$D,"P0(후)",$L:$L,"&gt;0")&lt;&gt;1,"P0(후) 유효 1개 아님",IF(NOT(AND(ISNUMBER(N146),ISNUMBER(P146),ISNUMBER(H146))),"시각 결측",IF(P146&lt;=N146,"P0 시각 역전",IF(OR(H146&lt;N146,H146&gt;P146),"측정시각 구간 밖","OK")))))</f>
        <v/>
      </c>
      <c r="N146" s="45">
        <f>IF(COUNTIFS($C:$C,$C146,$D:$D,"P0(전)",$L:$L,"&gt;0")&lt;&gt;1,"",SUMIFS($H:$H,$C:$C,$C146,$D:$D,"P0(전)"))</f>
        <v/>
      </c>
      <c r="O146" s="30">
        <f>IF(COUNTIFS($C:$C,$C146,$D:$D,"P0(전)",$L:$L,"&gt;0")&lt;&gt;1,"",SUMIFS($L:$L,$C:$C,$C146,$D:$D,"P0(전)"))</f>
        <v/>
      </c>
      <c r="P146" s="45">
        <f>IF(COUNTIFS($C:$C,$C146,$D:$D,"P0(후)",$L:$L,"&gt;0")&lt;&gt;1,"",SUMIFS($H:$H,$C:$C,$C146,$D:$D,"P0(후)"))</f>
        <v/>
      </c>
      <c r="Q146" s="30">
        <f>IF(COUNTIFS($C:$C,$C146,$D:$D,"P0(후)",$L:$L,"&gt;0")&lt;&gt;1,"",SUMIFS($L:$L,$C:$C,$C146,$D:$D,"P0(후)"))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IF(OR(NOT(ISNUMBER(S146)),IF(ISNUMBER(G146),G146,F146)=0),"",S146/IF(ISNUMBER(G146),G146,F146))</f>
        <v/>
      </c>
      <c r="U146" s="46">
        <f>IF(ISNUMBER(T146),ABS(T146),"")</f>
        <v/>
      </c>
      <c r="V146" s="46">
        <f>IF(OR($D145&lt;&gt;"측정",$C145&lt;&gt;$C146,NOT(ISNUMBER(L146)),NOT(ISNUMBER(L145)),(IF(ISNUMBER(G146),G146,F146)-IF(ISNUMBER(G145),G145,F145))=0),"",(L146-L145)/(IF(ISNUMBER(G146),G146,F146)-IF(ISNUMBER(G145),G145,F145)))</f>
        <v/>
      </c>
      <c r="W146" s="30">
        <f>IF(NOT(AND(ISNUMBER(N146),ISNUMBER(P146))),"",(P146-N146)*1440)</f>
        <v/>
      </c>
      <c r="X146" s="28" t="n"/>
      <c r="Y146" s="28" t="n"/>
      <c r="Z146" s="28" t="n"/>
      <c r="AA146" s="31" t="n"/>
      <c r="AB146" s="31" t="n"/>
    </row>
    <row r="147">
      <c r="A147" s="43" t="inlineStr">
        <is>
          <t>S03</t>
        </is>
      </c>
      <c r="B147" s="43" t="inlineStr">
        <is>
          <t>예산 신규점2</t>
        </is>
      </c>
      <c r="C147" s="43" t="inlineStr">
        <is>
          <t>S03-H남</t>
        </is>
      </c>
      <c r="D147" s="43" t="inlineStr">
        <is>
          <t>P0(후)</t>
        </is>
      </c>
      <c r="E147" s="43" t="inlineStr">
        <is>
          <t>남</t>
        </is>
      </c>
      <c r="F147" s="44" t="n"/>
      <c r="G147" s="29" t="n"/>
      <c r="H147" s="42" t="n"/>
      <c r="I147" s="40" t="n"/>
      <c r="J147" s="40" t="n"/>
      <c r="K147" s="40" t="n"/>
      <c r="L147" s="30">
        <f>IF(COUNT(I147:K147)=0,"",MEDIAN(I147:K147))</f>
        <v/>
      </c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28" t="n"/>
      <c r="Y147" s="28" t="n"/>
      <c r="Z147" s="28" t="n"/>
      <c r="AA147" s="31" t="n"/>
      <c r="AB147" s="31" t="n"/>
    </row>
    <row r="148">
      <c r="A148" s="43" t="inlineStr">
        <is>
          <t>S03</t>
        </is>
      </c>
      <c r="B148" s="43" t="inlineStr">
        <is>
          <t>예산 신규점2</t>
        </is>
      </c>
      <c r="C148" s="43" t="inlineStr">
        <is>
          <t>S03-H북</t>
        </is>
      </c>
      <c r="D148" s="43" t="inlineStr">
        <is>
          <t>P0(전)</t>
        </is>
      </c>
      <c r="E148" s="43" t="inlineStr">
        <is>
          <t>북</t>
        </is>
      </c>
      <c r="F148" s="44" t="n"/>
      <c r="G148" s="29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28" t="n"/>
      <c r="Y148" s="28" t="n"/>
      <c r="Z148" s="28" t="n"/>
      <c r="AA148" s="31" t="n"/>
      <c r="AB148" s="31" t="n"/>
    </row>
    <row r="149">
      <c r="A149" s="25" t="inlineStr">
        <is>
          <t>S03</t>
        </is>
      </c>
      <c r="B149" s="25" t="inlineStr">
        <is>
          <t>예산 신규점2</t>
        </is>
      </c>
      <c r="C149" s="25" t="inlineStr">
        <is>
          <t>S03-H북</t>
        </is>
      </c>
      <c r="D149" s="25" t="inlineStr">
        <is>
          <t>측정</t>
        </is>
      </c>
      <c r="E149" s="25" t="inlineStr">
        <is>
          <t>북</t>
        </is>
      </c>
      <c r="F149" s="30" t="n">
        <v>0.5</v>
      </c>
      <c r="G149" s="29" t="n"/>
      <c r="H149" s="42" t="n"/>
      <c r="I149" s="40" t="n"/>
      <c r="J149" s="40" t="n"/>
      <c r="K149" s="40" t="n"/>
      <c r="L149" s="30">
        <f>IF(COUNT(I149:K149)=0,"",MEDIAN(I149:K149))</f>
        <v/>
      </c>
      <c r="M149" s="25">
        <f>IF(COUNTIFS($C:$C,$C149,$D:$D,"P0(전)",$L:$L,"&gt;0")&lt;&gt;1,"P0(전) 유효 1개 아님",IF(COUNTIFS($C:$C,$C149,$D:$D,"P0(후)",$L:$L,"&gt;0")&lt;&gt;1,"P0(후) 유효 1개 아님",IF(NOT(AND(ISNUMBER(N149),ISNUMBER(P149),ISNUMBER(H149))),"시각 결측",IF(P149&lt;=N149,"P0 시각 역전",IF(OR(H149&lt;N149,H149&gt;P149),"측정시각 구간 밖","OK")))))</f>
        <v/>
      </c>
      <c r="N149" s="45">
        <f>IF(COUNTIFS($C:$C,$C149,$D:$D,"P0(전)",$L:$L,"&gt;0")&lt;&gt;1,"",SUMIFS($H:$H,$C:$C,$C149,$D:$D,"P0(전)"))</f>
        <v/>
      </c>
      <c r="O149" s="30">
        <f>IF(COUNTIFS($C:$C,$C149,$D:$D,"P0(전)",$L:$L,"&gt;0")&lt;&gt;1,"",SUMIFS($L:$L,$C:$C,$C149,$D:$D,"P0(전)"))</f>
        <v/>
      </c>
      <c r="P149" s="45">
        <f>IF(COUNTIFS($C:$C,$C149,$D:$D,"P0(후)",$L:$L,"&gt;0")&lt;&gt;1,"",SUMIFS($H:$H,$C:$C,$C149,$D:$D,"P0(후)"))</f>
        <v/>
      </c>
      <c r="Q149" s="30">
        <f>IF(COUNTIFS($C:$C,$C149,$D:$D,"P0(후)",$L:$L,"&gt;0")&lt;&gt;1,"",SUMIFS($L:$L,$C:$C,$C149,$D:$D,"P0(후)"))</f>
        <v/>
      </c>
      <c r="R149" s="30">
        <f>IF(M149&lt;&gt;"OK","",O149+(Q149-O149)*(H149-N149)/(P149-N149))</f>
        <v/>
      </c>
      <c r="S149" s="30">
        <f>IF(OR(M149&lt;&gt;"OK",NOT(ISNUMBER(L149))),"",L149-R149)</f>
        <v/>
      </c>
      <c r="T149" s="46">
        <f>IF(OR(NOT(ISNUMBER(S149)),IF(ISNUMBER(G149),G149,F149)=0),"",S149/IF(ISNUMBER(G149),G149,F149))</f>
        <v/>
      </c>
      <c r="U149" s="46">
        <f>IF(ISNUMBER(T149),ABS(T149),"")</f>
        <v/>
      </c>
      <c r="V149" s="46">
        <f>IF(OR($D148&lt;&gt;"측정",$C148&lt;&gt;$C149,NOT(ISNUMBER(L149)),NOT(ISNUMBER(L148)),(IF(ISNUMBER(G149),G149,F149)-IF(ISNUMBER(G148),G148,F148))=0),"",(L149-L148)/(IF(ISNUMBER(G149),G149,F149)-IF(ISNUMBER(G148),G148,F148)))</f>
        <v/>
      </c>
      <c r="W149" s="30">
        <f>IF(NOT(AND(ISNUMBER(N149),ISNUMBER(P149))),"",(P149-N149)*1440)</f>
        <v/>
      </c>
      <c r="X149" s="28" t="n"/>
      <c r="Y149" s="28" t="n"/>
      <c r="Z149" s="28" t="n"/>
      <c r="AA149" s="31" t="n"/>
      <c r="AB149" s="31" t="n"/>
    </row>
    <row r="150">
      <c r="A150" s="25" t="inlineStr">
        <is>
          <t>S03</t>
        </is>
      </c>
      <c r="B150" s="25" t="inlineStr">
        <is>
          <t>예산 신규점2</t>
        </is>
      </c>
      <c r="C150" s="25" t="inlineStr">
        <is>
          <t>S03-H북</t>
        </is>
      </c>
      <c r="D150" s="25" t="inlineStr">
        <is>
          <t>측정</t>
        </is>
      </c>
      <c r="E150" s="25" t="inlineStr">
        <is>
          <t>북</t>
        </is>
      </c>
      <c r="F150" s="30" t="n">
        <v>1</v>
      </c>
      <c r="G150" s="29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IF(COUNTIFS($C:$C,$C150,$D:$D,"P0(전)",$L:$L,"&gt;0")&lt;&gt;1,"P0(전) 유효 1개 아님",IF(COUNTIFS($C:$C,$C150,$D:$D,"P0(후)",$L:$L,"&gt;0")&lt;&gt;1,"P0(후) 유효 1개 아님",IF(NOT(AND(ISNUMBER(N150),ISNUMBER(P150),ISNUMBER(H150))),"시각 결측",IF(P150&lt;=N150,"P0 시각 역전",IF(OR(H150&lt;N150,H150&gt;P150),"측정시각 구간 밖","OK")))))</f>
        <v/>
      </c>
      <c r="N150" s="45">
        <f>IF(COUNTIFS($C:$C,$C150,$D:$D,"P0(전)",$L:$L,"&gt;0")&lt;&gt;1,"",SUMIFS($H:$H,$C:$C,$C150,$D:$D,"P0(전)"))</f>
        <v/>
      </c>
      <c r="O150" s="30">
        <f>IF(COUNTIFS($C:$C,$C150,$D:$D,"P0(전)",$L:$L,"&gt;0")&lt;&gt;1,"",SUMIFS($L:$L,$C:$C,$C150,$D:$D,"P0(전)"))</f>
        <v/>
      </c>
      <c r="P150" s="45">
        <f>IF(COUNTIFS($C:$C,$C150,$D:$D,"P0(후)",$L:$L,"&gt;0")&lt;&gt;1,"",SUMIFS($H:$H,$C:$C,$C150,$D:$D,"P0(후)"))</f>
        <v/>
      </c>
      <c r="Q150" s="30">
        <f>IF(COUNTIFS($C:$C,$C150,$D:$D,"P0(후)",$L:$L,"&gt;0")&lt;&gt;1,"",SUMIFS($L:$L,$C:$C,$C150,$D:$D,"P0(후)"))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IF(OR(NOT(ISNUMBER(S150)),IF(ISNUMBER(G150),G150,F150)=0),"",S150/IF(ISNUMBER(G150),G150,F150))</f>
        <v/>
      </c>
      <c r="U150" s="46">
        <f>IF(ISNUMBER(T150),ABS(T150),"")</f>
        <v/>
      </c>
      <c r="V150" s="46">
        <f>IF(OR($D149&lt;&gt;"측정",$C149&lt;&gt;$C150,NOT(ISNUMBER(L150)),NOT(ISNUMBER(L149)),(IF(ISNUMBER(G150),G150,F150)-IF(ISNUMBER(G149),G149,F149))=0),"",(L150-L149)/(IF(ISNUMBER(G150),G150,F150)-IF(ISNUMBER(G149),G149,F149)))</f>
        <v/>
      </c>
      <c r="W150" s="30">
        <f>IF(NOT(AND(ISNUMBER(N150),ISNUMBER(P150))),"",(P150-N150)*1440)</f>
        <v/>
      </c>
      <c r="X150" s="28" t="n"/>
      <c r="Y150" s="28" t="n"/>
      <c r="Z150" s="28" t="n"/>
      <c r="AA150" s="31" t="n"/>
      <c r="AB150" s="31" t="n"/>
    </row>
    <row r="151">
      <c r="A151" s="25" t="inlineStr">
        <is>
          <t>S03</t>
        </is>
      </c>
      <c r="B151" s="25" t="inlineStr">
        <is>
          <t>예산 신규점2</t>
        </is>
      </c>
      <c r="C151" s="25" t="inlineStr">
        <is>
          <t>S03-H북</t>
        </is>
      </c>
      <c r="D151" s="25" t="inlineStr">
        <is>
          <t>측정</t>
        </is>
      </c>
      <c r="E151" s="25" t="inlineStr">
        <is>
          <t>북</t>
        </is>
      </c>
      <c r="F151" s="30" t="n">
        <v>2</v>
      </c>
      <c r="G151" s="29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IF(COUNTIFS($C:$C,$C151,$D:$D,"P0(전)",$L:$L,"&gt;0")&lt;&gt;1,"P0(전) 유효 1개 아님",IF(COUNTIFS($C:$C,$C151,$D:$D,"P0(후)",$L:$L,"&gt;0")&lt;&gt;1,"P0(후) 유효 1개 아님",IF(NOT(AND(ISNUMBER(N151),ISNUMBER(P151),ISNUMBER(H151))),"시각 결측",IF(P151&lt;=N151,"P0 시각 역전",IF(OR(H151&lt;N151,H151&gt;P151),"측정시각 구간 밖","OK")))))</f>
        <v/>
      </c>
      <c r="N151" s="45">
        <f>IF(COUNTIFS($C:$C,$C151,$D:$D,"P0(전)",$L:$L,"&gt;0")&lt;&gt;1,"",SUMIFS($H:$H,$C:$C,$C151,$D:$D,"P0(전)"))</f>
        <v/>
      </c>
      <c r="O151" s="30">
        <f>IF(COUNTIFS($C:$C,$C151,$D:$D,"P0(전)",$L:$L,"&gt;0")&lt;&gt;1,"",SUMIFS($L:$L,$C:$C,$C151,$D:$D,"P0(전)"))</f>
        <v/>
      </c>
      <c r="P151" s="45">
        <f>IF(COUNTIFS($C:$C,$C151,$D:$D,"P0(후)",$L:$L,"&gt;0")&lt;&gt;1,"",SUMIFS($H:$H,$C:$C,$C151,$D:$D,"P0(후)"))</f>
        <v/>
      </c>
      <c r="Q151" s="30">
        <f>IF(COUNTIFS($C:$C,$C151,$D:$D,"P0(후)",$L:$L,"&gt;0")&lt;&gt;1,"",SUMIFS($L:$L,$C:$C,$C151,$D:$D,"P0(후)"))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IF(OR(NOT(ISNUMBER(S151)),IF(ISNUMBER(G151),G151,F151)=0),"",S151/IF(ISNUMBER(G151),G151,F151))</f>
        <v/>
      </c>
      <c r="U151" s="46">
        <f>IF(ISNUMBER(T151),ABS(T151),"")</f>
        <v/>
      </c>
      <c r="V151" s="46">
        <f>IF(OR($D150&lt;&gt;"측정",$C150&lt;&gt;$C151,NOT(ISNUMBER(L151)),NOT(ISNUMBER(L150)),(IF(ISNUMBER(G151),G151,F151)-IF(ISNUMBER(G150),G150,F150))=0),"",(L151-L150)/(IF(ISNUMBER(G151),G151,F151)-IF(ISNUMBER(G150),G150,F150)))</f>
        <v/>
      </c>
      <c r="W151" s="30">
        <f>IF(NOT(AND(ISNUMBER(N151),ISNUMBER(P151))),"",(P151-N151)*1440)</f>
        <v/>
      </c>
      <c r="X151" s="28" t="n"/>
      <c r="Y151" s="28" t="n"/>
      <c r="Z151" s="28" t="n"/>
      <c r="AA151" s="31" t="n"/>
      <c r="AB151" s="31" t="n"/>
    </row>
    <row r="152">
      <c r="A152" s="25" t="inlineStr">
        <is>
          <t>S03</t>
        </is>
      </c>
      <c r="B152" s="25" t="inlineStr">
        <is>
          <t>예산 신규점2</t>
        </is>
      </c>
      <c r="C152" s="25" t="inlineStr">
        <is>
          <t>S03-H북</t>
        </is>
      </c>
      <c r="D152" s="25" t="inlineStr">
        <is>
          <t>측정</t>
        </is>
      </c>
      <c r="E152" s="25" t="inlineStr">
        <is>
          <t>북</t>
        </is>
      </c>
      <c r="F152" s="30" t="n">
        <v>3</v>
      </c>
      <c r="G152" s="29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IF(COUNTIFS($C:$C,$C152,$D:$D,"P0(전)",$L:$L,"&gt;0")&lt;&gt;1,"P0(전) 유효 1개 아님",IF(COUNTIFS($C:$C,$C152,$D:$D,"P0(후)",$L:$L,"&gt;0")&lt;&gt;1,"P0(후) 유효 1개 아님",IF(NOT(AND(ISNUMBER(N152),ISNUMBER(P152),ISNUMBER(H152))),"시각 결측",IF(P152&lt;=N152,"P0 시각 역전",IF(OR(H152&lt;N152,H152&gt;P152),"측정시각 구간 밖","OK")))))</f>
        <v/>
      </c>
      <c r="N152" s="45">
        <f>IF(COUNTIFS($C:$C,$C152,$D:$D,"P0(전)",$L:$L,"&gt;0")&lt;&gt;1,"",SUMIFS($H:$H,$C:$C,$C152,$D:$D,"P0(전)"))</f>
        <v/>
      </c>
      <c r="O152" s="30">
        <f>IF(COUNTIFS($C:$C,$C152,$D:$D,"P0(전)",$L:$L,"&gt;0")&lt;&gt;1,"",SUMIFS($L:$L,$C:$C,$C152,$D:$D,"P0(전)"))</f>
        <v/>
      </c>
      <c r="P152" s="45">
        <f>IF(COUNTIFS($C:$C,$C152,$D:$D,"P0(후)",$L:$L,"&gt;0")&lt;&gt;1,"",SUMIFS($H:$H,$C:$C,$C152,$D:$D,"P0(후)"))</f>
        <v/>
      </c>
      <c r="Q152" s="30">
        <f>IF(COUNTIFS($C:$C,$C152,$D:$D,"P0(후)",$L:$L,"&gt;0")&lt;&gt;1,"",SUMIFS($L:$L,$C:$C,$C152,$D:$D,"P0(후)"))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IF(OR(NOT(ISNUMBER(S152)),IF(ISNUMBER(G152),G152,F152)=0),"",S152/IF(ISNUMBER(G152),G152,F152))</f>
        <v/>
      </c>
      <c r="U152" s="46">
        <f>IF(ISNUMBER(T152),ABS(T152),"")</f>
        <v/>
      </c>
      <c r="V152" s="46">
        <f>IF(OR($D151&lt;&gt;"측정",$C151&lt;&gt;$C152,NOT(ISNUMBER(L152)),NOT(ISNUMBER(L151)),(IF(ISNUMBER(G152),G152,F152)-IF(ISNUMBER(G151),G151,F151))=0),"",(L152-L151)/(IF(ISNUMBER(G152),G152,F152)-IF(ISNUMBER(G151),G151,F151)))</f>
        <v/>
      </c>
      <c r="W152" s="30">
        <f>IF(NOT(AND(ISNUMBER(N152),ISNUMBER(P152))),"",(P152-N152)*1440)</f>
        <v/>
      </c>
      <c r="X152" s="28" t="n"/>
      <c r="Y152" s="28" t="n"/>
      <c r="Z152" s="28" t="n"/>
      <c r="AA152" s="31" t="n"/>
      <c r="AB152" s="31" t="n"/>
    </row>
    <row r="153">
      <c r="A153" s="25" t="inlineStr">
        <is>
          <t>S03</t>
        </is>
      </c>
      <c r="B153" s="25" t="inlineStr">
        <is>
          <t>예산 신규점2</t>
        </is>
      </c>
      <c r="C153" s="25" t="inlineStr">
        <is>
          <t>S03-H북</t>
        </is>
      </c>
      <c r="D153" s="25" t="inlineStr">
        <is>
          <t>측정</t>
        </is>
      </c>
      <c r="E153" s="25" t="inlineStr">
        <is>
          <t>북</t>
        </is>
      </c>
      <c r="F153" s="30" t="n">
        <v>4</v>
      </c>
      <c r="G153" s="29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IF(COUNTIFS($C:$C,$C153,$D:$D,"P0(전)",$L:$L,"&gt;0")&lt;&gt;1,"P0(전) 유효 1개 아님",IF(COUNTIFS($C:$C,$C153,$D:$D,"P0(후)",$L:$L,"&gt;0")&lt;&gt;1,"P0(후) 유효 1개 아님",IF(NOT(AND(ISNUMBER(N153),ISNUMBER(P153),ISNUMBER(H153))),"시각 결측",IF(P153&lt;=N153,"P0 시각 역전",IF(OR(H153&lt;N153,H153&gt;P153),"측정시각 구간 밖","OK")))))</f>
        <v/>
      </c>
      <c r="N153" s="45">
        <f>IF(COUNTIFS($C:$C,$C153,$D:$D,"P0(전)",$L:$L,"&gt;0")&lt;&gt;1,"",SUMIFS($H:$H,$C:$C,$C153,$D:$D,"P0(전)"))</f>
        <v/>
      </c>
      <c r="O153" s="30">
        <f>IF(COUNTIFS($C:$C,$C153,$D:$D,"P0(전)",$L:$L,"&gt;0")&lt;&gt;1,"",SUMIFS($L:$L,$C:$C,$C153,$D:$D,"P0(전)"))</f>
        <v/>
      </c>
      <c r="P153" s="45">
        <f>IF(COUNTIFS($C:$C,$C153,$D:$D,"P0(후)",$L:$L,"&gt;0")&lt;&gt;1,"",SUMIFS($H:$H,$C:$C,$C153,$D:$D,"P0(후)"))</f>
        <v/>
      </c>
      <c r="Q153" s="30">
        <f>IF(COUNTIFS($C:$C,$C153,$D:$D,"P0(후)",$L:$L,"&gt;0")&lt;&gt;1,"",SUMIFS($L:$L,$C:$C,$C153,$D:$D,"P0(후)"))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IF(OR(NOT(ISNUMBER(S153)),IF(ISNUMBER(G153),G153,F153)=0),"",S153/IF(ISNUMBER(G153),G153,F153))</f>
        <v/>
      </c>
      <c r="U153" s="46">
        <f>IF(ISNUMBER(T153),ABS(T153),"")</f>
        <v/>
      </c>
      <c r="V153" s="46">
        <f>IF(OR($D152&lt;&gt;"측정",$C152&lt;&gt;$C153,NOT(ISNUMBER(L153)),NOT(ISNUMBER(L152)),(IF(ISNUMBER(G153),G153,F153)-IF(ISNUMBER(G152),G152,F152))=0),"",(L153-L152)/(IF(ISNUMBER(G153),G153,F153)-IF(ISNUMBER(G152),G152,F152)))</f>
        <v/>
      </c>
      <c r="W153" s="30">
        <f>IF(NOT(AND(ISNUMBER(N153),ISNUMBER(P153))),"",(P153-N153)*1440)</f>
        <v/>
      </c>
      <c r="X153" s="28" t="n"/>
      <c r="Y153" s="28" t="n"/>
      <c r="Z153" s="28" t="n"/>
      <c r="AA153" s="31" t="n"/>
      <c r="AB153" s="31" t="n"/>
    </row>
    <row r="154">
      <c r="A154" s="25" t="inlineStr">
        <is>
          <t>S03</t>
        </is>
      </c>
      <c r="B154" s="25" t="inlineStr">
        <is>
          <t>예산 신규점2</t>
        </is>
      </c>
      <c r="C154" s="25" t="inlineStr">
        <is>
          <t>S03-H북</t>
        </is>
      </c>
      <c r="D154" s="25" t="inlineStr">
        <is>
          <t>측정</t>
        </is>
      </c>
      <c r="E154" s="25" t="inlineStr">
        <is>
          <t>북</t>
        </is>
      </c>
      <c r="F154" s="30" t="n">
        <v>5</v>
      </c>
      <c r="G154" s="29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IF(COUNTIFS($C:$C,$C154,$D:$D,"P0(전)",$L:$L,"&gt;0")&lt;&gt;1,"P0(전) 유효 1개 아님",IF(COUNTIFS($C:$C,$C154,$D:$D,"P0(후)",$L:$L,"&gt;0")&lt;&gt;1,"P0(후) 유효 1개 아님",IF(NOT(AND(ISNUMBER(N154),ISNUMBER(P154),ISNUMBER(H154))),"시각 결측",IF(P154&lt;=N154,"P0 시각 역전",IF(OR(H154&lt;N154,H154&gt;P154),"측정시각 구간 밖","OK")))))</f>
        <v/>
      </c>
      <c r="N154" s="45">
        <f>IF(COUNTIFS($C:$C,$C154,$D:$D,"P0(전)",$L:$L,"&gt;0")&lt;&gt;1,"",SUMIFS($H:$H,$C:$C,$C154,$D:$D,"P0(전)"))</f>
        <v/>
      </c>
      <c r="O154" s="30">
        <f>IF(COUNTIFS($C:$C,$C154,$D:$D,"P0(전)",$L:$L,"&gt;0")&lt;&gt;1,"",SUMIFS($L:$L,$C:$C,$C154,$D:$D,"P0(전)"))</f>
        <v/>
      </c>
      <c r="P154" s="45">
        <f>IF(COUNTIFS($C:$C,$C154,$D:$D,"P0(후)",$L:$L,"&gt;0")&lt;&gt;1,"",SUMIFS($H:$H,$C:$C,$C154,$D:$D,"P0(후)"))</f>
        <v/>
      </c>
      <c r="Q154" s="30">
        <f>IF(COUNTIFS($C:$C,$C154,$D:$D,"P0(후)",$L:$L,"&gt;0")&lt;&gt;1,"",SUMIFS($L:$L,$C:$C,$C154,$D:$D,"P0(후)"))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IF(OR(NOT(ISNUMBER(S154)),IF(ISNUMBER(G154),G154,F154)=0),"",S154/IF(ISNUMBER(G154),G154,F154))</f>
        <v/>
      </c>
      <c r="U154" s="46">
        <f>IF(ISNUMBER(T154),ABS(T154),"")</f>
        <v/>
      </c>
      <c r="V154" s="46">
        <f>IF(OR($D153&lt;&gt;"측정",$C153&lt;&gt;$C154,NOT(ISNUMBER(L154)),NOT(ISNUMBER(L153)),(IF(ISNUMBER(G154),G154,F154)-IF(ISNUMBER(G153),G153,F153))=0),"",(L154-L153)/(IF(ISNUMBER(G154),G154,F154)-IF(ISNUMBER(G153),G153,F153)))</f>
        <v/>
      </c>
      <c r="W154" s="30">
        <f>IF(NOT(AND(ISNUMBER(N154),ISNUMBER(P154))),"",(P154-N154)*1440)</f>
        <v/>
      </c>
      <c r="X154" s="28" t="n"/>
      <c r="Y154" s="28" t="n"/>
      <c r="Z154" s="28" t="n"/>
      <c r="AA154" s="31" t="n"/>
      <c r="AB154" s="31" t="n"/>
    </row>
    <row r="155">
      <c r="A155" s="25" t="inlineStr">
        <is>
          <t>S03</t>
        </is>
      </c>
      <c r="B155" s="25" t="inlineStr">
        <is>
          <t>예산 신규점2</t>
        </is>
      </c>
      <c r="C155" s="25" t="inlineStr">
        <is>
          <t>S03-H북</t>
        </is>
      </c>
      <c r="D155" s="25" t="inlineStr">
        <is>
          <t>측정</t>
        </is>
      </c>
      <c r="E155" s="25" t="inlineStr">
        <is>
          <t>북</t>
        </is>
      </c>
      <c r="F155" s="30" t="n">
        <v>6</v>
      </c>
      <c r="G155" s="29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IF(COUNTIFS($C:$C,$C155,$D:$D,"P0(전)",$L:$L,"&gt;0")&lt;&gt;1,"P0(전) 유효 1개 아님",IF(COUNTIFS($C:$C,$C155,$D:$D,"P0(후)",$L:$L,"&gt;0")&lt;&gt;1,"P0(후) 유효 1개 아님",IF(NOT(AND(ISNUMBER(N155),ISNUMBER(P155),ISNUMBER(H155))),"시각 결측",IF(P155&lt;=N155,"P0 시각 역전",IF(OR(H155&lt;N155,H155&gt;P155),"측정시각 구간 밖","OK")))))</f>
        <v/>
      </c>
      <c r="N155" s="45">
        <f>IF(COUNTIFS($C:$C,$C155,$D:$D,"P0(전)",$L:$L,"&gt;0")&lt;&gt;1,"",SUMIFS($H:$H,$C:$C,$C155,$D:$D,"P0(전)"))</f>
        <v/>
      </c>
      <c r="O155" s="30">
        <f>IF(COUNTIFS($C:$C,$C155,$D:$D,"P0(전)",$L:$L,"&gt;0")&lt;&gt;1,"",SUMIFS($L:$L,$C:$C,$C155,$D:$D,"P0(전)"))</f>
        <v/>
      </c>
      <c r="P155" s="45">
        <f>IF(COUNTIFS($C:$C,$C155,$D:$D,"P0(후)",$L:$L,"&gt;0")&lt;&gt;1,"",SUMIFS($H:$H,$C:$C,$C155,$D:$D,"P0(후)"))</f>
        <v/>
      </c>
      <c r="Q155" s="30">
        <f>IF(COUNTIFS($C:$C,$C155,$D:$D,"P0(후)",$L:$L,"&gt;0")&lt;&gt;1,"",SUMIFS($L:$L,$C:$C,$C155,$D:$D,"P0(후)"))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IF(OR(NOT(ISNUMBER(S155)),IF(ISNUMBER(G155),G155,F155)=0),"",S155/IF(ISNUMBER(G155),G155,F155))</f>
        <v/>
      </c>
      <c r="U155" s="46">
        <f>IF(ISNUMBER(T155),ABS(T155),"")</f>
        <v/>
      </c>
      <c r="V155" s="46">
        <f>IF(OR($D154&lt;&gt;"측정",$C154&lt;&gt;$C155,NOT(ISNUMBER(L155)),NOT(ISNUMBER(L154)),(IF(ISNUMBER(G155),G155,F155)-IF(ISNUMBER(G154),G154,F154))=0),"",(L155-L154)/(IF(ISNUMBER(G155),G155,F155)-IF(ISNUMBER(G154),G154,F154)))</f>
        <v/>
      </c>
      <c r="W155" s="30">
        <f>IF(NOT(AND(ISNUMBER(N155),ISNUMBER(P155))),"",(P155-N155)*1440)</f>
        <v/>
      </c>
      <c r="X155" s="28" t="n"/>
      <c r="Y155" s="28" t="n"/>
      <c r="Z155" s="28" t="n"/>
      <c r="AA155" s="31" t="n"/>
      <c r="AB155" s="31" t="n"/>
    </row>
    <row r="156">
      <c r="A156" s="25" t="inlineStr">
        <is>
          <t>S03</t>
        </is>
      </c>
      <c r="B156" s="25" t="inlineStr">
        <is>
          <t>예산 신규점2</t>
        </is>
      </c>
      <c r="C156" s="25" t="inlineStr">
        <is>
          <t>S03-H북</t>
        </is>
      </c>
      <c r="D156" s="25" t="inlineStr">
        <is>
          <t>측정</t>
        </is>
      </c>
      <c r="E156" s="25" t="inlineStr">
        <is>
          <t>북</t>
        </is>
      </c>
      <c r="F156" s="30" t="n">
        <v>7</v>
      </c>
      <c r="G156" s="29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IF(COUNTIFS($C:$C,$C156,$D:$D,"P0(전)",$L:$L,"&gt;0")&lt;&gt;1,"P0(전) 유효 1개 아님",IF(COUNTIFS($C:$C,$C156,$D:$D,"P0(후)",$L:$L,"&gt;0")&lt;&gt;1,"P0(후) 유효 1개 아님",IF(NOT(AND(ISNUMBER(N156),ISNUMBER(P156),ISNUMBER(H156))),"시각 결측",IF(P156&lt;=N156,"P0 시각 역전",IF(OR(H156&lt;N156,H156&gt;P156),"측정시각 구간 밖","OK")))))</f>
        <v/>
      </c>
      <c r="N156" s="45">
        <f>IF(COUNTIFS($C:$C,$C156,$D:$D,"P0(전)",$L:$L,"&gt;0")&lt;&gt;1,"",SUMIFS($H:$H,$C:$C,$C156,$D:$D,"P0(전)"))</f>
        <v/>
      </c>
      <c r="O156" s="30">
        <f>IF(COUNTIFS($C:$C,$C156,$D:$D,"P0(전)",$L:$L,"&gt;0")&lt;&gt;1,"",SUMIFS($L:$L,$C:$C,$C156,$D:$D,"P0(전)"))</f>
        <v/>
      </c>
      <c r="P156" s="45">
        <f>IF(COUNTIFS($C:$C,$C156,$D:$D,"P0(후)",$L:$L,"&gt;0")&lt;&gt;1,"",SUMIFS($H:$H,$C:$C,$C156,$D:$D,"P0(후)"))</f>
        <v/>
      </c>
      <c r="Q156" s="30">
        <f>IF(COUNTIFS($C:$C,$C156,$D:$D,"P0(후)",$L:$L,"&gt;0")&lt;&gt;1,"",SUMIFS($L:$L,$C:$C,$C156,$D:$D,"P0(후)"))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IF(OR(NOT(ISNUMBER(S156)),IF(ISNUMBER(G156),G156,F156)=0),"",S156/IF(ISNUMBER(G156),G156,F156))</f>
        <v/>
      </c>
      <c r="U156" s="46">
        <f>IF(ISNUMBER(T156),ABS(T156),"")</f>
        <v/>
      </c>
      <c r="V156" s="46">
        <f>IF(OR($D155&lt;&gt;"측정",$C155&lt;&gt;$C156,NOT(ISNUMBER(L156)),NOT(ISNUMBER(L155)),(IF(ISNUMBER(G156),G156,F156)-IF(ISNUMBER(G155),G155,F155))=0),"",(L156-L155)/(IF(ISNUMBER(G156),G156,F156)-IF(ISNUMBER(G155),G155,F155)))</f>
        <v/>
      </c>
      <c r="W156" s="30">
        <f>IF(NOT(AND(ISNUMBER(N156),ISNUMBER(P156))),"",(P156-N156)*1440)</f>
        <v/>
      </c>
      <c r="X156" s="28" t="n"/>
      <c r="Y156" s="28" t="n"/>
      <c r="Z156" s="28" t="n"/>
      <c r="AA156" s="31" t="n"/>
      <c r="AB156" s="31" t="n"/>
    </row>
    <row r="157">
      <c r="A157" s="25" t="inlineStr">
        <is>
          <t>S03</t>
        </is>
      </c>
      <c r="B157" s="25" t="inlineStr">
        <is>
          <t>예산 신규점2</t>
        </is>
      </c>
      <c r="C157" s="25" t="inlineStr">
        <is>
          <t>S03-H북</t>
        </is>
      </c>
      <c r="D157" s="25" t="inlineStr">
        <is>
          <t>측정</t>
        </is>
      </c>
      <c r="E157" s="25" t="inlineStr">
        <is>
          <t>북</t>
        </is>
      </c>
      <c r="F157" s="30" t="n">
        <v>8</v>
      </c>
      <c r="G157" s="29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IF(COUNTIFS($C:$C,$C157,$D:$D,"P0(전)",$L:$L,"&gt;0")&lt;&gt;1,"P0(전) 유효 1개 아님",IF(COUNTIFS($C:$C,$C157,$D:$D,"P0(후)",$L:$L,"&gt;0")&lt;&gt;1,"P0(후) 유효 1개 아님",IF(NOT(AND(ISNUMBER(N157),ISNUMBER(P157),ISNUMBER(H157))),"시각 결측",IF(P157&lt;=N157,"P0 시각 역전",IF(OR(H157&lt;N157,H157&gt;P157),"측정시각 구간 밖","OK")))))</f>
        <v/>
      </c>
      <c r="N157" s="45">
        <f>IF(COUNTIFS($C:$C,$C157,$D:$D,"P0(전)",$L:$L,"&gt;0")&lt;&gt;1,"",SUMIFS($H:$H,$C:$C,$C157,$D:$D,"P0(전)"))</f>
        <v/>
      </c>
      <c r="O157" s="30">
        <f>IF(COUNTIFS($C:$C,$C157,$D:$D,"P0(전)",$L:$L,"&gt;0")&lt;&gt;1,"",SUMIFS($L:$L,$C:$C,$C157,$D:$D,"P0(전)"))</f>
        <v/>
      </c>
      <c r="P157" s="45">
        <f>IF(COUNTIFS($C:$C,$C157,$D:$D,"P0(후)",$L:$L,"&gt;0")&lt;&gt;1,"",SUMIFS($H:$H,$C:$C,$C157,$D:$D,"P0(후)"))</f>
        <v/>
      </c>
      <c r="Q157" s="30">
        <f>IF(COUNTIFS($C:$C,$C157,$D:$D,"P0(후)",$L:$L,"&gt;0")&lt;&gt;1,"",SUMIFS($L:$L,$C:$C,$C157,$D:$D,"P0(후)"))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IF(OR(NOT(ISNUMBER(S157)),IF(ISNUMBER(G157),G157,F157)=0),"",S157/IF(ISNUMBER(G157),G157,F157))</f>
        <v/>
      </c>
      <c r="U157" s="46">
        <f>IF(ISNUMBER(T157),ABS(T157),"")</f>
        <v/>
      </c>
      <c r="V157" s="46">
        <f>IF(OR($D156&lt;&gt;"측정",$C156&lt;&gt;$C157,NOT(ISNUMBER(L157)),NOT(ISNUMBER(L156)),(IF(ISNUMBER(G157),G157,F157)-IF(ISNUMBER(G156),G156,F156))=0),"",(L157-L156)/(IF(ISNUMBER(G157),G157,F157)-IF(ISNUMBER(G156),G156,F156)))</f>
        <v/>
      </c>
      <c r="W157" s="30">
        <f>IF(NOT(AND(ISNUMBER(N157),ISNUMBER(P157))),"",(P157-N157)*1440)</f>
        <v/>
      </c>
      <c r="X157" s="28" t="n"/>
      <c r="Y157" s="28" t="n"/>
      <c r="Z157" s="28" t="n"/>
      <c r="AA157" s="31" t="n"/>
      <c r="AB157" s="31" t="n"/>
    </row>
    <row r="158">
      <c r="A158" s="25" t="inlineStr">
        <is>
          <t>S03</t>
        </is>
      </c>
      <c r="B158" s="25" t="inlineStr">
        <is>
          <t>예산 신규점2</t>
        </is>
      </c>
      <c r="C158" s="25" t="inlineStr">
        <is>
          <t>S03-H북</t>
        </is>
      </c>
      <c r="D158" s="25" t="inlineStr">
        <is>
          <t>측정</t>
        </is>
      </c>
      <c r="E158" s="25" t="inlineStr">
        <is>
          <t>북</t>
        </is>
      </c>
      <c r="F158" s="30" t="n">
        <v>9</v>
      </c>
      <c r="G158" s="29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IF(COUNTIFS($C:$C,$C158,$D:$D,"P0(전)",$L:$L,"&gt;0")&lt;&gt;1,"P0(전) 유효 1개 아님",IF(COUNTIFS($C:$C,$C158,$D:$D,"P0(후)",$L:$L,"&gt;0")&lt;&gt;1,"P0(후) 유효 1개 아님",IF(NOT(AND(ISNUMBER(N158),ISNUMBER(P158),ISNUMBER(H158))),"시각 결측",IF(P158&lt;=N158,"P0 시각 역전",IF(OR(H158&lt;N158,H158&gt;P158),"측정시각 구간 밖","OK")))))</f>
        <v/>
      </c>
      <c r="N158" s="45">
        <f>IF(COUNTIFS($C:$C,$C158,$D:$D,"P0(전)",$L:$L,"&gt;0")&lt;&gt;1,"",SUMIFS($H:$H,$C:$C,$C158,$D:$D,"P0(전)"))</f>
        <v/>
      </c>
      <c r="O158" s="30">
        <f>IF(COUNTIFS($C:$C,$C158,$D:$D,"P0(전)",$L:$L,"&gt;0")&lt;&gt;1,"",SUMIFS($L:$L,$C:$C,$C158,$D:$D,"P0(전)"))</f>
        <v/>
      </c>
      <c r="P158" s="45">
        <f>IF(COUNTIFS($C:$C,$C158,$D:$D,"P0(후)",$L:$L,"&gt;0")&lt;&gt;1,"",SUMIFS($H:$H,$C:$C,$C158,$D:$D,"P0(후)"))</f>
        <v/>
      </c>
      <c r="Q158" s="30">
        <f>IF(COUNTIFS($C:$C,$C158,$D:$D,"P0(후)",$L:$L,"&gt;0")&lt;&gt;1,"",SUMIFS($L:$L,$C:$C,$C158,$D:$D,"P0(후)"))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IF(OR(NOT(ISNUMBER(S158)),IF(ISNUMBER(G158),G158,F158)=0),"",S158/IF(ISNUMBER(G158),G158,F158))</f>
        <v/>
      </c>
      <c r="U158" s="46">
        <f>IF(ISNUMBER(T158),ABS(T158),"")</f>
        <v/>
      </c>
      <c r="V158" s="46">
        <f>IF(OR($D157&lt;&gt;"측정",$C157&lt;&gt;$C158,NOT(ISNUMBER(L158)),NOT(ISNUMBER(L157)),(IF(ISNUMBER(G158),G158,F158)-IF(ISNUMBER(G157),G157,F157))=0),"",(L158-L157)/(IF(ISNUMBER(G158),G158,F158)-IF(ISNUMBER(G157),G157,F157)))</f>
        <v/>
      </c>
      <c r="W158" s="30">
        <f>IF(NOT(AND(ISNUMBER(N158),ISNUMBER(P158))),"",(P158-N158)*1440)</f>
        <v/>
      </c>
      <c r="X158" s="28" t="n"/>
      <c r="Y158" s="28" t="n"/>
      <c r="Z158" s="28" t="n"/>
      <c r="AA158" s="31" t="n"/>
      <c r="AB158" s="31" t="n"/>
    </row>
    <row r="159">
      <c r="A159" s="25" t="inlineStr">
        <is>
          <t>S03</t>
        </is>
      </c>
      <c r="B159" s="25" t="inlineStr">
        <is>
          <t>예산 신규점2</t>
        </is>
      </c>
      <c r="C159" s="25" t="inlineStr">
        <is>
          <t>S03-H북</t>
        </is>
      </c>
      <c r="D159" s="25" t="inlineStr">
        <is>
          <t>측정</t>
        </is>
      </c>
      <c r="E159" s="25" t="inlineStr">
        <is>
          <t>북</t>
        </is>
      </c>
      <c r="F159" s="30" t="n">
        <v>10</v>
      </c>
      <c r="G159" s="29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IF(COUNTIFS($C:$C,$C159,$D:$D,"P0(전)",$L:$L,"&gt;0")&lt;&gt;1,"P0(전) 유효 1개 아님",IF(COUNTIFS($C:$C,$C159,$D:$D,"P0(후)",$L:$L,"&gt;0")&lt;&gt;1,"P0(후) 유효 1개 아님",IF(NOT(AND(ISNUMBER(N159),ISNUMBER(P159),ISNUMBER(H159))),"시각 결측",IF(P159&lt;=N159,"P0 시각 역전",IF(OR(H159&lt;N159,H159&gt;P159),"측정시각 구간 밖","OK")))))</f>
        <v/>
      </c>
      <c r="N159" s="45">
        <f>IF(COUNTIFS($C:$C,$C159,$D:$D,"P0(전)",$L:$L,"&gt;0")&lt;&gt;1,"",SUMIFS($H:$H,$C:$C,$C159,$D:$D,"P0(전)"))</f>
        <v/>
      </c>
      <c r="O159" s="30">
        <f>IF(COUNTIFS($C:$C,$C159,$D:$D,"P0(전)",$L:$L,"&gt;0")&lt;&gt;1,"",SUMIFS($L:$L,$C:$C,$C159,$D:$D,"P0(전)"))</f>
        <v/>
      </c>
      <c r="P159" s="45">
        <f>IF(COUNTIFS($C:$C,$C159,$D:$D,"P0(후)",$L:$L,"&gt;0")&lt;&gt;1,"",SUMIFS($H:$H,$C:$C,$C159,$D:$D,"P0(후)"))</f>
        <v/>
      </c>
      <c r="Q159" s="30">
        <f>IF(COUNTIFS($C:$C,$C159,$D:$D,"P0(후)",$L:$L,"&gt;0")&lt;&gt;1,"",SUMIFS($L:$L,$C:$C,$C159,$D:$D,"P0(후)"))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IF(OR(NOT(ISNUMBER(S159)),IF(ISNUMBER(G159),G159,F159)=0),"",S159/IF(ISNUMBER(G159),G159,F159))</f>
        <v/>
      </c>
      <c r="U159" s="46">
        <f>IF(ISNUMBER(T159),ABS(T159),"")</f>
        <v/>
      </c>
      <c r="V159" s="46">
        <f>IF(OR($D158&lt;&gt;"측정",$C158&lt;&gt;$C159,NOT(ISNUMBER(L159)),NOT(ISNUMBER(L158)),(IF(ISNUMBER(G159),G159,F159)-IF(ISNUMBER(G158),G158,F158))=0),"",(L159-L158)/(IF(ISNUMBER(G159),G159,F159)-IF(ISNUMBER(G158),G158,F158)))</f>
        <v/>
      </c>
      <c r="W159" s="30">
        <f>IF(NOT(AND(ISNUMBER(N159),ISNUMBER(P159))),"",(P159-N159)*1440)</f>
        <v/>
      </c>
      <c r="X159" s="28" t="n"/>
      <c r="Y159" s="28" t="n"/>
      <c r="Z159" s="28" t="n"/>
      <c r="AA159" s="31" t="n"/>
      <c r="AB159" s="31" t="n"/>
    </row>
    <row r="160">
      <c r="A160" s="43" t="inlineStr">
        <is>
          <t>S03</t>
        </is>
      </c>
      <c r="B160" s="43" t="inlineStr">
        <is>
          <t>예산 신규점2</t>
        </is>
      </c>
      <c r="C160" s="43" t="inlineStr">
        <is>
          <t>S03-H북</t>
        </is>
      </c>
      <c r="D160" s="43" t="inlineStr">
        <is>
          <t>P0(후)</t>
        </is>
      </c>
      <c r="E160" s="43" t="inlineStr">
        <is>
          <t>북</t>
        </is>
      </c>
      <c r="F160" s="44" t="n"/>
      <c r="G160" s="29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28" t="n"/>
      <c r="Y160" s="28" t="n"/>
      <c r="Z160" s="28" t="n"/>
      <c r="AA160" s="31" t="n"/>
      <c r="AB160" s="31" t="n"/>
    </row>
    <row r="161">
      <c r="A161" s="43" t="inlineStr">
        <is>
          <t>S04</t>
        </is>
      </c>
      <c r="B161" s="43" t="inlineStr">
        <is>
          <t>진안 신규점1</t>
        </is>
      </c>
      <c r="C161" s="43" t="inlineStr">
        <is>
          <t>S04-H동</t>
        </is>
      </c>
      <c r="D161" s="43" t="inlineStr">
        <is>
          <t>P0(전)</t>
        </is>
      </c>
      <c r="E161" s="43" t="inlineStr">
        <is>
          <t>동</t>
        </is>
      </c>
      <c r="F161" s="44" t="n"/>
      <c r="G161" s="29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28" t="n"/>
      <c r="Y161" s="28" t="n"/>
      <c r="Z161" s="28" t="n"/>
      <c r="AA161" s="31" t="n"/>
      <c r="AB161" s="31" t="n"/>
    </row>
    <row r="162">
      <c r="A162" s="25" t="inlineStr">
        <is>
          <t>S04</t>
        </is>
      </c>
      <c r="B162" s="25" t="inlineStr">
        <is>
          <t>진안 신규점1</t>
        </is>
      </c>
      <c r="C162" s="25" t="inlineStr">
        <is>
          <t>S04-H동</t>
        </is>
      </c>
      <c r="D162" s="25" t="inlineStr">
        <is>
          <t>측정</t>
        </is>
      </c>
      <c r="E162" s="25" t="inlineStr">
        <is>
          <t>동</t>
        </is>
      </c>
      <c r="F162" s="30" t="n">
        <v>0.5</v>
      </c>
      <c r="G162" s="29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IF(COUNTIFS($C:$C,$C162,$D:$D,"P0(전)",$L:$L,"&gt;0")&lt;&gt;1,"P0(전) 유효 1개 아님",IF(COUNTIFS($C:$C,$C162,$D:$D,"P0(후)",$L:$L,"&gt;0")&lt;&gt;1,"P0(후) 유효 1개 아님",IF(NOT(AND(ISNUMBER(N162),ISNUMBER(P162),ISNUMBER(H162))),"시각 결측",IF(P162&lt;=N162,"P0 시각 역전",IF(OR(H162&lt;N162,H162&gt;P162),"측정시각 구간 밖","OK")))))</f>
        <v/>
      </c>
      <c r="N162" s="45">
        <f>IF(COUNTIFS($C:$C,$C162,$D:$D,"P0(전)",$L:$L,"&gt;0")&lt;&gt;1,"",SUMIFS($H:$H,$C:$C,$C162,$D:$D,"P0(전)"))</f>
        <v/>
      </c>
      <c r="O162" s="30">
        <f>IF(COUNTIFS($C:$C,$C162,$D:$D,"P0(전)",$L:$L,"&gt;0")&lt;&gt;1,"",SUMIFS($L:$L,$C:$C,$C162,$D:$D,"P0(전)"))</f>
        <v/>
      </c>
      <c r="P162" s="45">
        <f>IF(COUNTIFS($C:$C,$C162,$D:$D,"P0(후)",$L:$L,"&gt;0")&lt;&gt;1,"",SUMIFS($H:$H,$C:$C,$C162,$D:$D,"P0(후)"))</f>
        <v/>
      </c>
      <c r="Q162" s="30">
        <f>IF(COUNTIFS($C:$C,$C162,$D:$D,"P0(후)",$L:$L,"&gt;0")&lt;&gt;1,"",SUMIFS($L:$L,$C:$C,$C162,$D:$D,"P0(후)"))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IF(OR(NOT(ISNUMBER(S162)),IF(ISNUMBER(G162),G162,F162)=0),"",S162/IF(ISNUMBER(G162),G162,F162))</f>
        <v/>
      </c>
      <c r="U162" s="46">
        <f>IF(ISNUMBER(T162),ABS(T162),"")</f>
        <v/>
      </c>
      <c r="V162" s="46">
        <f>IF(OR($D161&lt;&gt;"측정",$C161&lt;&gt;$C162,NOT(ISNUMBER(L162)),NOT(ISNUMBER(L161)),(IF(ISNUMBER(G162),G162,F162)-IF(ISNUMBER(G161),G161,F161))=0),"",(L162-L161)/(IF(ISNUMBER(G162),G162,F162)-IF(ISNUMBER(G161),G161,F161)))</f>
        <v/>
      </c>
      <c r="W162" s="30">
        <f>IF(NOT(AND(ISNUMBER(N162),ISNUMBER(P162))),"",(P162-N162)*1440)</f>
        <v/>
      </c>
      <c r="X162" s="28" t="n"/>
      <c r="Y162" s="28" t="n"/>
      <c r="Z162" s="28" t="n"/>
      <c r="AA162" s="31" t="n"/>
      <c r="AB162" s="31" t="n"/>
    </row>
    <row r="163">
      <c r="A163" s="25" t="inlineStr">
        <is>
          <t>S04</t>
        </is>
      </c>
      <c r="B163" s="25" t="inlineStr">
        <is>
          <t>진안 신규점1</t>
        </is>
      </c>
      <c r="C163" s="25" t="inlineStr">
        <is>
          <t>S04-H동</t>
        </is>
      </c>
      <c r="D163" s="25" t="inlineStr">
        <is>
          <t>측정</t>
        </is>
      </c>
      <c r="E163" s="25" t="inlineStr">
        <is>
          <t>동</t>
        </is>
      </c>
      <c r="F163" s="30" t="n">
        <v>1</v>
      </c>
      <c r="G163" s="29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IF(COUNTIFS($C:$C,$C163,$D:$D,"P0(전)",$L:$L,"&gt;0")&lt;&gt;1,"P0(전) 유효 1개 아님",IF(COUNTIFS($C:$C,$C163,$D:$D,"P0(후)",$L:$L,"&gt;0")&lt;&gt;1,"P0(후) 유효 1개 아님",IF(NOT(AND(ISNUMBER(N163),ISNUMBER(P163),ISNUMBER(H163))),"시각 결측",IF(P163&lt;=N163,"P0 시각 역전",IF(OR(H163&lt;N163,H163&gt;P163),"측정시각 구간 밖","OK")))))</f>
        <v/>
      </c>
      <c r="N163" s="45">
        <f>IF(COUNTIFS($C:$C,$C163,$D:$D,"P0(전)",$L:$L,"&gt;0")&lt;&gt;1,"",SUMIFS($H:$H,$C:$C,$C163,$D:$D,"P0(전)"))</f>
        <v/>
      </c>
      <c r="O163" s="30">
        <f>IF(COUNTIFS($C:$C,$C163,$D:$D,"P0(전)",$L:$L,"&gt;0")&lt;&gt;1,"",SUMIFS($L:$L,$C:$C,$C163,$D:$D,"P0(전)"))</f>
        <v/>
      </c>
      <c r="P163" s="45">
        <f>IF(COUNTIFS($C:$C,$C163,$D:$D,"P0(후)",$L:$L,"&gt;0")&lt;&gt;1,"",SUMIFS($H:$H,$C:$C,$C163,$D:$D,"P0(후)"))</f>
        <v/>
      </c>
      <c r="Q163" s="30">
        <f>IF(COUNTIFS($C:$C,$C163,$D:$D,"P0(후)",$L:$L,"&gt;0")&lt;&gt;1,"",SUMIFS($L:$L,$C:$C,$C163,$D:$D,"P0(후)"))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IF(OR(NOT(ISNUMBER(S163)),IF(ISNUMBER(G163),G163,F163)=0),"",S163/IF(ISNUMBER(G163),G163,F163))</f>
        <v/>
      </c>
      <c r="U163" s="46">
        <f>IF(ISNUMBER(T163),ABS(T163),"")</f>
        <v/>
      </c>
      <c r="V163" s="46">
        <f>IF(OR($D162&lt;&gt;"측정",$C162&lt;&gt;$C163,NOT(ISNUMBER(L163)),NOT(ISNUMBER(L162)),(IF(ISNUMBER(G163),G163,F163)-IF(ISNUMBER(G162),G162,F162))=0),"",(L163-L162)/(IF(ISNUMBER(G163),G163,F163)-IF(ISNUMBER(G162),G162,F162)))</f>
        <v/>
      </c>
      <c r="W163" s="30">
        <f>IF(NOT(AND(ISNUMBER(N163),ISNUMBER(P163))),"",(P163-N163)*1440)</f>
        <v/>
      </c>
      <c r="X163" s="28" t="n"/>
      <c r="Y163" s="28" t="n"/>
      <c r="Z163" s="28" t="n"/>
      <c r="AA163" s="31" t="n"/>
      <c r="AB163" s="31" t="n"/>
    </row>
    <row r="164">
      <c r="A164" s="25" t="inlineStr">
        <is>
          <t>S04</t>
        </is>
      </c>
      <c r="B164" s="25" t="inlineStr">
        <is>
          <t>진안 신규점1</t>
        </is>
      </c>
      <c r="C164" s="25" t="inlineStr">
        <is>
          <t>S04-H동</t>
        </is>
      </c>
      <c r="D164" s="25" t="inlineStr">
        <is>
          <t>측정</t>
        </is>
      </c>
      <c r="E164" s="25" t="inlineStr">
        <is>
          <t>동</t>
        </is>
      </c>
      <c r="F164" s="30" t="n">
        <v>2</v>
      </c>
      <c r="G164" s="29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IF(COUNTIFS($C:$C,$C164,$D:$D,"P0(전)",$L:$L,"&gt;0")&lt;&gt;1,"P0(전) 유효 1개 아님",IF(COUNTIFS($C:$C,$C164,$D:$D,"P0(후)",$L:$L,"&gt;0")&lt;&gt;1,"P0(후) 유효 1개 아님",IF(NOT(AND(ISNUMBER(N164),ISNUMBER(P164),ISNUMBER(H164))),"시각 결측",IF(P164&lt;=N164,"P0 시각 역전",IF(OR(H164&lt;N164,H164&gt;P164),"측정시각 구간 밖","OK")))))</f>
        <v/>
      </c>
      <c r="N164" s="45">
        <f>IF(COUNTIFS($C:$C,$C164,$D:$D,"P0(전)",$L:$L,"&gt;0")&lt;&gt;1,"",SUMIFS($H:$H,$C:$C,$C164,$D:$D,"P0(전)"))</f>
        <v/>
      </c>
      <c r="O164" s="30">
        <f>IF(COUNTIFS($C:$C,$C164,$D:$D,"P0(전)",$L:$L,"&gt;0")&lt;&gt;1,"",SUMIFS($L:$L,$C:$C,$C164,$D:$D,"P0(전)"))</f>
        <v/>
      </c>
      <c r="P164" s="45">
        <f>IF(COUNTIFS($C:$C,$C164,$D:$D,"P0(후)",$L:$L,"&gt;0")&lt;&gt;1,"",SUMIFS($H:$H,$C:$C,$C164,$D:$D,"P0(후)"))</f>
        <v/>
      </c>
      <c r="Q164" s="30">
        <f>IF(COUNTIFS($C:$C,$C164,$D:$D,"P0(후)",$L:$L,"&gt;0")&lt;&gt;1,"",SUMIFS($L:$L,$C:$C,$C164,$D:$D,"P0(후)"))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IF(OR(NOT(ISNUMBER(S164)),IF(ISNUMBER(G164),G164,F164)=0),"",S164/IF(ISNUMBER(G164),G164,F164))</f>
        <v/>
      </c>
      <c r="U164" s="46">
        <f>IF(ISNUMBER(T164),ABS(T164),"")</f>
        <v/>
      </c>
      <c r="V164" s="46">
        <f>IF(OR($D163&lt;&gt;"측정",$C163&lt;&gt;$C164,NOT(ISNUMBER(L164)),NOT(ISNUMBER(L163)),(IF(ISNUMBER(G164),G164,F164)-IF(ISNUMBER(G163),G163,F163))=0),"",(L164-L163)/(IF(ISNUMBER(G164),G164,F164)-IF(ISNUMBER(G163),G163,F163)))</f>
        <v/>
      </c>
      <c r="W164" s="30">
        <f>IF(NOT(AND(ISNUMBER(N164),ISNUMBER(P164))),"",(P164-N164)*1440)</f>
        <v/>
      </c>
      <c r="X164" s="28" t="n"/>
      <c r="Y164" s="28" t="n"/>
      <c r="Z164" s="28" t="n"/>
      <c r="AA164" s="31" t="n"/>
      <c r="AB164" s="31" t="n"/>
    </row>
    <row r="165">
      <c r="A165" s="25" t="inlineStr">
        <is>
          <t>S04</t>
        </is>
      </c>
      <c r="B165" s="25" t="inlineStr">
        <is>
          <t>진안 신규점1</t>
        </is>
      </c>
      <c r="C165" s="25" t="inlineStr">
        <is>
          <t>S04-H동</t>
        </is>
      </c>
      <c r="D165" s="25" t="inlineStr">
        <is>
          <t>측정</t>
        </is>
      </c>
      <c r="E165" s="25" t="inlineStr">
        <is>
          <t>동</t>
        </is>
      </c>
      <c r="F165" s="30" t="n">
        <v>3</v>
      </c>
      <c r="G165" s="29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IF(COUNTIFS($C:$C,$C165,$D:$D,"P0(전)",$L:$L,"&gt;0")&lt;&gt;1,"P0(전) 유효 1개 아님",IF(COUNTIFS($C:$C,$C165,$D:$D,"P0(후)",$L:$L,"&gt;0")&lt;&gt;1,"P0(후) 유효 1개 아님",IF(NOT(AND(ISNUMBER(N165),ISNUMBER(P165),ISNUMBER(H165))),"시각 결측",IF(P165&lt;=N165,"P0 시각 역전",IF(OR(H165&lt;N165,H165&gt;P165),"측정시각 구간 밖","OK")))))</f>
        <v/>
      </c>
      <c r="N165" s="45">
        <f>IF(COUNTIFS($C:$C,$C165,$D:$D,"P0(전)",$L:$L,"&gt;0")&lt;&gt;1,"",SUMIFS($H:$H,$C:$C,$C165,$D:$D,"P0(전)"))</f>
        <v/>
      </c>
      <c r="O165" s="30">
        <f>IF(COUNTIFS($C:$C,$C165,$D:$D,"P0(전)",$L:$L,"&gt;0")&lt;&gt;1,"",SUMIFS($L:$L,$C:$C,$C165,$D:$D,"P0(전)"))</f>
        <v/>
      </c>
      <c r="P165" s="45">
        <f>IF(COUNTIFS($C:$C,$C165,$D:$D,"P0(후)",$L:$L,"&gt;0")&lt;&gt;1,"",SUMIFS($H:$H,$C:$C,$C165,$D:$D,"P0(후)"))</f>
        <v/>
      </c>
      <c r="Q165" s="30">
        <f>IF(COUNTIFS($C:$C,$C165,$D:$D,"P0(후)",$L:$L,"&gt;0")&lt;&gt;1,"",SUMIFS($L:$L,$C:$C,$C165,$D:$D,"P0(후)"))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IF(OR(NOT(ISNUMBER(S165)),IF(ISNUMBER(G165),G165,F165)=0),"",S165/IF(ISNUMBER(G165),G165,F165))</f>
        <v/>
      </c>
      <c r="U165" s="46">
        <f>IF(ISNUMBER(T165),ABS(T165),"")</f>
        <v/>
      </c>
      <c r="V165" s="46">
        <f>IF(OR($D164&lt;&gt;"측정",$C164&lt;&gt;$C165,NOT(ISNUMBER(L165)),NOT(ISNUMBER(L164)),(IF(ISNUMBER(G165),G165,F165)-IF(ISNUMBER(G164),G164,F164))=0),"",(L165-L164)/(IF(ISNUMBER(G165),G165,F165)-IF(ISNUMBER(G164),G164,F164)))</f>
        <v/>
      </c>
      <c r="W165" s="30">
        <f>IF(NOT(AND(ISNUMBER(N165),ISNUMBER(P165))),"",(P165-N165)*1440)</f>
        <v/>
      </c>
      <c r="X165" s="28" t="n"/>
      <c r="Y165" s="28" t="n"/>
      <c r="Z165" s="28" t="n"/>
      <c r="AA165" s="31" t="n"/>
      <c r="AB165" s="31" t="n"/>
    </row>
    <row r="166">
      <c r="A166" s="25" t="inlineStr">
        <is>
          <t>S04</t>
        </is>
      </c>
      <c r="B166" s="25" t="inlineStr">
        <is>
          <t>진안 신규점1</t>
        </is>
      </c>
      <c r="C166" s="25" t="inlineStr">
        <is>
          <t>S04-H동</t>
        </is>
      </c>
      <c r="D166" s="25" t="inlineStr">
        <is>
          <t>측정</t>
        </is>
      </c>
      <c r="E166" s="25" t="inlineStr">
        <is>
          <t>동</t>
        </is>
      </c>
      <c r="F166" s="30" t="n">
        <v>4</v>
      </c>
      <c r="G166" s="29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IF(COUNTIFS($C:$C,$C166,$D:$D,"P0(전)",$L:$L,"&gt;0")&lt;&gt;1,"P0(전) 유효 1개 아님",IF(COUNTIFS($C:$C,$C166,$D:$D,"P0(후)",$L:$L,"&gt;0")&lt;&gt;1,"P0(후) 유효 1개 아님",IF(NOT(AND(ISNUMBER(N166),ISNUMBER(P166),ISNUMBER(H166))),"시각 결측",IF(P166&lt;=N166,"P0 시각 역전",IF(OR(H166&lt;N166,H166&gt;P166),"측정시각 구간 밖","OK")))))</f>
        <v/>
      </c>
      <c r="N166" s="45">
        <f>IF(COUNTIFS($C:$C,$C166,$D:$D,"P0(전)",$L:$L,"&gt;0")&lt;&gt;1,"",SUMIFS($H:$H,$C:$C,$C166,$D:$D,"P0(전)"))</f>
        <v/>
      </c>
      <c r="O166" s="30">
        <f>IF(COUNTIFS($C:$C,$C166,$D:$D,"P0(전)",$L:$L,"&gt;0")&lt;&gt;1,"",SUMIFS($L:$L,$C:$C,$C166,$D:$D,"P0(전)"))</f>
        <v/>
      </c>
      <c r="P166" s="45">
        <f>IF(COUNTIFS($C:$C,$C166,$D:$D,"P0(후)",$L:$L,"&gt;0")&lt;&gt;1,"",SUMIFS($H:$H,$C:$C,$C166,$D:$D,"P0(후)"))</f>
        <v/>
      </c>
      <c r="Q166" s="30">
        <f>IF(COUNTIFS($C:$C,$C166,$D:$D,"P0(후)",$L:$L,"&gt;0")&lt;&gt;1,"",SUMIFS($L:$L,$C:$C,$C166,$D:$D,"P0(후)"))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IF(OR(NOT(ISNUMBER(S166)),IF(ISNUMBER(G166),G166,F166)=0),"",S166/IF(ISNUMBER(G166),G166,F166))</f>
        <v/>
      </c>
      <c r="U166" s="46">
        <f>IF(ISNUMBER(T166),ABS(T166),"")</f>
        <v/>
      </c>
      <c r="V166" s="46">
        <f>IF(OR($D165&lt;&gt;"측정",$C165&lt;&gt;$C166,NOT(ISNUMBER(L166)),NOT(ISNUMBER(L165)),(IF(ISNUMBER(G166),G166,F166)-IF(ISNUMBER(G165),G165,F165))=0),"",(L166-L165)/(IF(ISNUMBER(G166),G166,F166)-IF(ISNUMBER(G165),G165,F165)))</f>
        <v/>
      </c>
      <c r="W166" s="30">
        <f>IF(NOT(AND(ISNUMBER(N166),ISNUMBER(P166))),"",(P166-N166)*1440)</f>
        <v/>
      </c>
      <c r="X166" s="28" t="n"/>
      <c r="Y166" s="28" t="n"/>
      <c r="Z166" s="28" t="n"/>
      <c r="AA166" s="31" t="n"/>
      <c r="AB166" s="31" t="n"/>
    </row>
    <row r="167">
      <c r="A167" s="25" t="inlineStr">
        <is>
          <t>S04</t>
        </is>
      </c>
      <c r="B167" s="25" t="inlineStr">
        <is>
          <t>진안 신규점1</t>
        </is>
      </c>
      <c r="C167" s="25" t="inlineStr">
        <is>
          <t>S04-H동</t>
        </is>
      </c>
      <c r="D167" s="25" t="inlineStr">
        <is>
          <t>측정</t>
        </is>
      </c>
      <c r="E167" s="25" t="inlineStr">
        <is>
          <t>동</t>
        </is>
      </c>
      <c r="F167" s="30" t="n">
        <v>5</v>
      </c>
      <c r="G167" s="29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IF(COUNTIFS($C:$C,$C167,$D:$D,"P0(전)",$L:$L,"&gt;0")&lt;&gt;1,"P0(전) 유효 1개 아님",IF(COUNTIFS($C:$C,$C167,$D:$D,"P0(후)",$L:$L,"&gt;0")&lt;&gt;1,"P0(후) 유효 1개 아님",IF(NOT(AND(ISNUMBER(N167),ISNUMBER(P167),ISNUMBER(H167))),"시각 결측",IF(P167&lt;=N167,"P0 시각 역전",IF(OR(H167&lt;N167,H167&gt;P167),"측정시각 구간 밖","OK")))))</f>
        <v/>
      </c>
      <c r="N167" s="45">
        <f>IF(COUNTIFS($C:$C,$C167,$D:$D,"P0(전)",$L:$L,"&gt;0")&lt;&gt;1,"",SUMIFS($H:$H,$C:$C,$C167,$D:$D,"P0(전)"))</f>
        <v/>
      </c>
      <c r="O167" s="30">
        <f>IF(COUNTIFS($C:$C,$C167,$D:$D,"P0(전)",$L:$L,"&gt;0")&lt;&gt;1,"",SUMIFS($L:$L,$C:$C,$C167,$D:$D,"P0(전)"))</f>
        <v/>
      </c>
      <c r="P167" s="45">
        <f>IF(COUNTIFS($C:$C,$C167,$D:$D,"P0(후)",$L:$L,"&gt;0")&lt;&gt;1,"",SUMIFS($H:$H,$C:$C,$C167,$D:$D,"P0(후)"))</f>
        <v/>
      </c>
      <c r="Q167" s="30">
        <f>IF(COUNTIFS($C:$C,$C167,$D:$D,"P0(후)",$L:$L,"&gt;0")&lt;&gt;1,"",SUMIFS($L:$L,$C:$C,$C167,$D:$D,"P0(후)"))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IF(OR(NOT(ISNUMBER(S167)),IF(ISNUMBER(G167),G167,F167)=0),"",S167/IF(ISNUMBER(G167),G167,F167))</f>
        <v/>
      </c>
      <c r="U167" s="46">
        <f>IF(ISNUMBER(T167),ABS(T167),"")</f>
        <v/>
      </c>
      <c r="V167" s="46">
        <f>IF(OR($D166&lt;&gt;"측정",$C166&lt;&gt;$C167,NOT(ISNUMBER(L167)),NOT(ISNUMBER(L166)),(IF(ISNUMBER(G167),G167,F167)-IF(ISNUMBER(G166),G166,F166))=0),"",(L167-L166)/(IF(ISNUMBER(G167),G167,F167)-IF(ISNUMBER(G166),G166,F166)))</f>
        <v/>
      </c>
      <c r="W167" s="30">
        <f>IF(NOT(AND(ISNUMBER(N167),ISNUMBER(P167))),"",(P167-N167)*1440)</f>
        <v/>
      </c>
      <c r="X167" s="28" t="n"/>
      <c r="Y167" s="28" t="n"/>
      <c r="Z167" s="28" t="n"/>
      <c r="AA167" s="31" t="n"/>
      <c r="AB167" s="31" t="n"/>
    </row>
    <row r="168">
      <c r="A168" s="25" t="inlineStr">
        <is>
          <t>S04</t>
        </is>
      </c>
      <c r="B168" s="25" t="inlineStr">
        <is>
          <t>진안 신규점1</t>
        </is>
      </c>
      <c r="C168" s="25" t="inlineStr">
        <is>
          <t>S04-H동</t>
        </is>
      </c>
      <c r="D168" s="25" t="inlineStr">
        <is>
          <t>측정</t>
        </is>
      </c>
      <c r="E168" s="25" t="inlineStr">
        <is>
          <t>동</t>
        </is>
      </c>
      <c r="F168" s="30" t="n">
        <v>6</v>
      </c>
      <c r="G168" s="29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IF(COUNTIFS($C:$C,$C168,$D:$D,"P0(전)",$L:$L,"&gt;0")&lt;&gt;1,"P0(전) 유효 1개 아님",IF(COUNTIFS($C:$C,$C168,$D:$D,"P0(후)",$L:$L,"&gt;0")&lt;&gt;1,"P0(후) 유효 1개 아님",IF(NOT(AND(ISNUMBER(N168),ISNUMBER(P168),ISNUMBER(H168))),"시각 결측",IF(P168&lt;=N168,"P0 시각 역전",IF(OR(H168&lt;N168,H168&gt;P168),"측정시각 구간 밖","OK")))))</f>
        <v/>
      </c>
      <c r="N168" s="45">
        <f>IF(COUNTIFS($C:$C,$C168,$D:$D,"P0(전)",$L:$L,"&gt;0")&lt;&gt;1,"",SUMIFS($H:$H,$C:$C,$C168,$D:$D,"P0(전)"))</f>
        <v/>
      </c>
      <c r="O168" s="30">
        <f>IF(COUNTIFS($C:$C,$C168,$D:$D,"P0(전)",$L:$L,"&gt;0")&lt;&gt;1,"",SUMIFS($L:$L,$C:$C,$C168,$D:$D,"P0(전)"))</f>
        <v/>
      </c>
      <c r="P168" s="45">
        <f>IF(COUNTIFS($C:$C,$C168,$D:$D,"P0(후)",$L:$L,"&gt;0")&lt;&gt;1,"",SUMIFS($H:$H,$C:$C,$C168,$D:$D,"P0(후)"))</f>
        <v/>
      </c>
      <c r="Q168" s="30">
        <f>IF(COUNTIFS($C:$C,$C168,$D:$D,"P0(후)",$L:$L,"&gt;0")&lt;&gt;1,"",SUMIFS($L:$L,$C:$C,$C168,$D:$D,"P0(후)"))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IF(OR(NOT(ISNUMBER(S168)),IF(ISNUMBER(G168),G168,F168)=0),"",S168/IF(ISNUMBER(G168),G168,F168))</f>
        <v/>
      </c>
      <c r="U168" s="46">
        <f>IF(ISNUMBER(T168),ABS(T168),"")</f>
        <v/>
      </c>
      <c r="V168" s="46">
        <f>IF(OR($D167&lt;&gt;"측정",$C167&lt;&gt;$C168,NOT(ISNUMBER(L168)),NOT(ISNUMBER(L167)),(IF(ISNUMBER(G168),G168,F168)-IF(ISNUMBER(G167),G167,F167))=0),"",(L168-L167)/(IF(ISNUMBER(G168),G168,F168)-IF(ISNUMBER(G167),G167,F167)))</f>
        <v/>
      </c>
      <c r="W168" s="30">
        <f>IF(NOT(AND(ISNUMBER(N168),ISNUMBER(P168))),"",(P168-N168)*1440)</f>
        <v/>
      </c>
      <c r="X168" s="28" t="n"/>
      <c r="Y168" s="28" t="n"/>
      <c r="Z168" s="28" t="n"/>
      <c r="AA168" s="31" t="n"/>
      <c r="AB168" s="31" t="n"/>
    </row>
    <row r="169">
      <c r="A169" s="25" t="inlineStr">
        <is>
          <t>S04</t>
        </is>
      </c>
      <c r="B169" s="25" t="inlineStr">
        <is>
          <t>진안 신규점1</t>
        </is>
      </c>
      <c r="C169" s="25" t="inlineStr">
        <is>
          <t>S04-H동</t>
        </is>
      </c>
      <c r="D169" s="25" t="inlineStr">
        <is>
          <t>측정</t>
        </is>
      </c>
      <c r="E169" s="25" t="inlineStr">
        <is>
          <t>동</t>
        </is>
      </c>
      <c r="F169" s="30" t="n">
        <v>7</v>
      </c>
      <c r="G169" s="29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IF(COUNTIFS($C:$C,$C169,$D:$D,"P0(전)",$L:$L,"&gt;0")&lt;&gt;1,"P0(전) 유효 1개 아님",IF(COUNTIFS($C:$C,$C169,$D:$D,"P0(후)",$L:$L,"&gt;0")&lt;&gt;1,"P0(후) 유효 1개 아님",IF(NOT(AND(ISNUMBER(N169),ISNUMBER(P169),ISNUMBER(H169))),"시각 결측",IF(P169&lt;=N169,"P0 시각 역전",IF(OR(H169&lt;N169,H169&gt;P169),"측정시각 구간 밖","OK")))))</f>
        <v/>
      </c>
      <c r="N169" s="45">
        <f>IF(COUNTIFS($C:$C,$C169,$D:$D,"P0(전)",$L:$L,"&gt;0")&lt;&gt;1,"",SUMIFS($H:$H,$C:$C,$C169,$D:$D,"P0(전)"))</f>
        <v/>
      </c>
      <c r="O169" s="30">
        <f>IF(COUNTIFS($C:$C,$C169,$D:$D,"P0(전)",$L:$L,"&gt;0")&lt;&gt;1,"",SUMIFS($L:$L,$C:$C,$C169,$D:$D,"P0(전)"))</f>
        <v/>
      </c>
      <c r="P169" s="45">
        <f>IF(COUNTIFS($C:$C,$C169,$D:$D,"P0(후)",$L:$L,"&gt;0")&lt;&gt;1,"",SUMIFS($H:$H,$C:$C,$C169,$D:$D,"P0(후)"))</f>
        <v/>
      </c>
      <c r="Q169" s="30">
        <f>IF(COUNTIFS($C:$C,$C169,$D:$D,"P0(후)",$L:$L,"&gt;0")&lt;&gt;1,"",SUMIFS($L:$L,$C:$C,$C169,$D:$D,"P0(후)"))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IF(OR(NOT(ISNUMBER(S169)),IF(ISNUMBER(G169),G169,F169)=0),"",S169/IF(ISNUMBER(G169),G169,F169))</f>
        <v/>
      </c>
      <c r="U169" s="46">
        <f>IF(ISNUMBER(T169),ABS(T169),"")</f>
        <v/>
      </c>
      <c r="V169" s="46">
        <f>IF(OR($D168&lt;&gt;"측정",$C168&lt;&gt;$C169,NOT(ISNUMBER(L169)),NOT(ISNUMBER(L168)),(IF(ISNUMBER(G169),G169,F169)-IF(ISNUMBER(G168),G168,F168))=0),"",(L169-L168)/(IF(ISNUMBER(G169),G169,F169)-IF(ISNUMBER(G168),G168,F168)))</f>
        <v/>
      </c>
      <c r="W169" s="30">
        <f>IF(NOT(AND(ISNUMBER(N169),ISNUMBER(P169))),"",(P169-N169)*1440)</f>
        <v/>
      </c>
      <c r="X169" s="28" t="n"/>
      <c r="Y169" s="28" t="n"/>
      <c r="Z169" s="28" t="n"/>
      <c r="AA169" s="31" t="n"/>
      <c r="AB169" s="31" t="n"/>
    </row>
    <row r="170">
      <c r="A170" s="25" t="inlineStr">
        <is>
          <t>S04</t>
        </is>
      </c>
      <c r="B170" s="25" t="inlineStr">
        <is>
          <t>진안 신규점1</t>
        </is>
      </c>
      <c r="C170" s="25" t="inlineStr">
        <is>
          <t>S04-H동</t>
        </is>
      </c>
      <c r="D170" s="25" t="inlineStr">
        <is>
          <t>측정</t>
        </is>
      </c>
      <c r="E170" s="25" t="inlineStr">
        <is>
          <t>동</t>
        </is>
      </c>
      <c r="F170" s="30" t="n">
        <v>8</v>
      </c>
      <c r="G170" s="29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IF(COUNTIFS($C:$C,$C170,$D:$D,"P0(전)",$L:$L,"&gt;0")&lt;&gt;1,"P0(전) 유효 1개 아님",IF(COUNTIFS($C:$C,$C170,$D:$D,"P0(후)",$L:$L,"&gt;0")&lt;&gt;1,"P0(후) 유효 1개 아님",IF(NOT(AND(ISNUMBER(N170),ISNUMBER(P170),ISNUMBER(H170))),"시각 결측",IF(P170&lt;=N170,"P0 시각 역전",IF(OR(H170&lt;N170,H170&gt;P170),"측정시각 구간 밖","OK")))))</f>
        <v/>
      </c>
      <c r="N170" s="45">
        <f>IF(COUNTIFS($C:$C,$C170,$D:$D,"P0(전)",$L:$L,"&gt;0")&lt;&gt;1,"",SUMIFS($H:$H,$C:$C,$C170,$D:$D,"P0(전)"))</f>
        <v/>
      </c>
      <c r="O170" s="30">
        <f>IF(COUNTIFS($C:$C,$C170,$D:$D,"P0(전)",$L:$L,"&gt;0")&lt;&gt;1,"",SUMIFS($L:$L,$C:$C,$C170,$D:$D,"P0(전)"))</f>
        <v/>
      </c>
      <c r="P170" s="45">
        <f>IF(COUNTIFS($C:$C,$C170,$D:$D,"P0(후)",$L:$L,"&gt;0")&lt;&gt;1,"",SUMIFS($H:$H,$C:$C,$C170,$D:$D,"P0(후)"))</f>
        <v/>
      </c>
      <c r="Q170" s="30">
        <f>IF(COUNTIFS($C:$C,$C170,$D:$D,"P0(후)",$L:$L,"&gt;0")&lt;&gt;1,"",SUMIFS($L:$L,$C:$C,$C170,$D:$D,"P0(후)"))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IF(OR(NOT(ISNUMBER(S170)),IF(ISNUMBER(G170),G170,F170)=0),"",S170/IF(ISNUMBER(G170),G170,F170))</f>
        <v/>
      </c>
      <c r="U170" s="46">
        <f>IF(ISNUMBER(T170),ABS(T170),"")</f>
        <v/>
      </c>
      <c r="V170" s="46">
        <f>IF(OR($D169&lt;&gt;"측정",$C169&lt;&gt;$C170,NOT(ISNUMBER(L170)),NOT(ISNUMBER(L169)),(IF(ISNUMBER(G170),G170,F170)-IF(ISNUMBER(G169),G169,F169))=0),"",(L170-L169)/(IF(ISNUMBER(G170),G170,F170)-IF(ISNUMBER(G169),G169,F169)))</f>
        <v/>
      </c>
      <c r="W170" s="30">
        <f>IF(NOT(AND(ISNUMBER(N170),ISNUMBER(P170))),"",(P170-N170)*1440)</f>
        <v/>
      </c>
      <c r="X170" s="28" t="n"/>
      <c r="Y170" s="28" t="n"/>
      <c r="Z170" s="28" t="n"/>
      <c r="AA170" s="31" t="n"/>
      <c r="AB170" s="31" t="n"/>
    </row>
    <row r="171">
      <c r="A171" s="25" t="inlineStr">
        <is>
          <t>S04</t>
        </is>
      </c>
      <c r="B171" s="25" t="inlineStr">
        <is>
          <t>진안 신규점1</t>
        </is>
      </c>
      <c r="C171" s="25" t="inlineStr">
        <is>
          <t>S04-H동</t>
        </is>
      </c>
      <c r="D171" s="25" t="inlineStr">
        <is>
          <t>측정</t>
        </is>
      </c>
      <c r="E171" s="25" t="inlineStr">
        <is>
          <t>동</t>
        </is>
      </c>
      <c r="F171" s="30" t="n">
        <v>9</v>
      </c>
      <c r="G171" s="29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IF(COUNTIFS($C:$C,$C171,$D:$D,"P0(전)",$L:$L,"&gt;0")&lt;&gt;1,"P0(전) 유효 1개 아님",IF(COUNTIFS($C:$C,$C171,$D:$D,"P0(후)",$L:$L,"&gt;0")&lt;&gt;1,"P0(후) 유효 1개 아님",IF(NOT(AND(ISNUMBER(N171),ISNUMBER(P171),ISNUMBER(H171))),"시각 결측",IF(P171&lt;=N171,"P0 시각 역전",IF(OR(H171&lt;N171,H171&gt;P171),"측정시각 구간 밖","OK")))))</f>
        <v/>
      </c>
      <c r="N171" s="45">
        <f>IF(COUNTIFS($C:$C,$C171,$D:$D,"P0(전)",$L:$L,"&gt;0")&lt;&gt;1,"",SUMIFS($H:$H,$C:$C,$C171,$D:$D,"P0(전)"))</f>
        <v/>
      </c>
      <c r="O171" s="30">
        <f>IF(COUNTIFS($C:$C,$C171,$D:$D,"P0(전)",$L:$L,"&gt;0")&lt;&gt;1,"",SUMIFS($L:$L,$C:$C,$C171,$D:$D,"P0(전)"))</f>
        <v/>
      </c>
      <c r="P171" s="45">
        <f>IF(COUNTIFS($C:$C,$C171,$D:$D,"P0(후)",$L:$L,"&gt;0")&lt;&gt;1,"",SUMIFS($H:$H,$C:$C,$C171,$D:$D,"P0(후)"))</f>
        <v/>
      </c>
      <c r="Q171" s="30">
        <f>IF(COUNTIFS($C:$C,$C171,$D:$D,"P0(후)",$L:$L,"&gt;0")&lt;&gt;1,"",SUMIFS($L:$L,$C:$C,$C171,$D:$D,"P0(후)"))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IF(OR(NOT(ISNUMBER(S171)),IF(ISNUMBER(G171),G171,F171)=0),"",S171/IF(ISNUMBER(G171),G171,F171))</f>
        <v/>
      </c>
      <c r="U171" s="46">
        <f>IF(ISNUMBER(T171),ABS(T171),"")</f>
        <v/>
      </c>
      <c r="V171" s="46">
        <f>IF(OR($D170&lt;&gt;"측정",$C170&lt;&gt;$C171,NOT(ISNUMBER(L171)),NOT(ISNUMBER(L170)),(IF(ISNUMBER(G171),G171,F171)-IF(ISNUMBER(G170),G170,F170))=0),"",(L171-L170)/(IF(ISNUMBER(G171),G171,F171)-IF(ISNUMBER(G170),G170,F170)))</f>
        <v/>
      </c>
      <c r="W171" s="30">
        <f>IF(NOT(AND(ISNUMBER(N171),ISNUMBER(P171))),"",(P171-N171)*1440)</f>
        <v/>
      </c>
      <c r="X171" s="28" t="n"/>
      <c r="Y171" s="28" t="n"/>
      <c r="Z171" s="28" t="n"/>
      <c r="AA171" s="31" t="n"/>
      <c r="AB171" s="31" t="n"/>
    </row>
    <row r="172">
      <c r="A172" s="25" t="inlineStr">
        <is>
          <t>S04</t>
        </is>
      </c>
      <c r="B172" s="25" t="inlineStr">
        <is>
          <t>진안 신규점1</t>
        </is>
      </c>
      <c r="C172" s="25" t="inlineStr">
        <is>
          <t>S04-H동</t>
        </is>
      </c>
      <c r="D172" s="25" t="inlineStr">
        <is>
          <t>측정</t>
        </is>
      </c>
      <c r="E172" s="25" t="inlineStr">
        <is>
          <t>동</t>
        </is>
      </c>
      <c r="F172" s="30" t="n">
        <v>10</v>
      </c>
      <c r="G172" s="29" t="n"/>
      <c r="H172" s="42" t="n"/>
      <c r="I172" s="40" t="n"/>
      <c r="J172" s="40" t="n"/>
      <c r="K172" s="40" t="n"/>
      <c r="L172" s="30">
        <f>IF(COUNT(I172:K172)=0,"",MEDIAN(I172:K172))</f>
        <v/>
      </c>
      <c r="M172" s="25">
        <f>IF(COUNTIFS($C:$C,$C172,$D:$D,"P0(전)",$L:$L,"&gt;0")&lt;&gt;1,"P0(전) 유효 1개 아님",IF(COUNTIFS($C:$C,$C172,$D:$D,"P0(후)",$L:$L,"&gt;0")&lt;&gt;1,"P0(후) 유효 1개 아님",IF(NOT(AND(ISNUMBER(N172),ISNUMBER(P172),ISNUMBER(H172))),"시각 결측",IF(P172&lt;=N172,"P0 시각 역전",IF(OR(H172&lt;N172,H172&gt;P172),"측정시각 구간 밖","OK")))))</f>
        <v/>
      </c>
      <c r="N172" s="45">
        <f>IF(COUNTIFS($C:$C,$C172,$D:$D,"P0(전)",$L:$L,"&gt;0")&lt;&gt;1,"",SUMIFS($H:$H,$C:$C,$C172,$D:$D,"P0(전)"))</f>
        <v/>
      </c>
      <c r="O172" s="30">
        <f>IF(COUNTIFS($C:$C,$C172,$D:$D,"P0(전)",$L:$L,"&gt;0")&lt;&gt;1,"",SUMIFS($L:$L,$C:$C,$C172,$D:$D,"P0(전)"))</f>
        <v/>
      </c>
      <c r="P172" s="45">
        <f>IF(COUNTIFS($C:$C,$C172,$D:$D,"P0(후)",$L:$L,"&gt;0")&lt;&gt;1,"",SUMIFS($H:$H,$C:$C,$C172,$D:$D,"P0(후)"))</f>
        <v/>
      </c>
      <c r="Q172" s="30">
        <f>IF(COUNTIFS($C:$C,$C172,$D:$D,"P0(후)",$L:$L,"&gt;0")&lt;&gt;1,"",SUMIFS($L:$L,$C:$C,$C172,$D:$D,"P0(후)"))</f>
        <v/>
      </c>
      <c r="R172" s="30">
        <f>IF(M172&lt;&gt;"OK","",O172+(Q172-O172)*(H172-N172)/(P172-N172))</f>
        <v/>
      </c>
      <c r="S172" s="30">
        <f>IF(OR(M172&lt;&gt;"OK",NOT(ISNUMBER(L172))),"",L172-R172)</f>
        <v/>
      </c>
      <c r="T172" s="46">
        <f>IF(OR(NOT(ISNUMBER(S172)),IF(ISNUMBER(G172),G172,F172)=0),"",S172/IF(ISNUMBER(G172),G172,F172))</f>
        <v/>
      </c>
      <c r="U172" s="46">
        <f>IF(ISNUMBER(T172),ABS(T172),"")</f>
        <v/>
      </c>
      <c r="V172" s="46">
        <f>IF(OR($D171&lt;&gt;"측정",$C171&lt;&gt;$C172,NOT(ISNUMBER(L172)),NOT(ISNUMBER(L171)),(IF(ISNUMBER(G172),G172,F172)-IF(ISNUMBER(G171),G171,F171))=0),"",(L172-L171)/(IF(ISNUMBER(G172),G172,F172)-IF(ISNUMBER(G171),G171,F171)))</f>
        <v/>
      </c>
      <c r="W172" s="30">
        <f>IF(NOT(AND(ISNUMBER(N172),ISNUMBER(P172))),"",(P172-N172)*1440)</f>
        <v/>
      </c>
      <c r="X172" s="28" t="n"/>
      <c r="Y172" s="28" t="n"/>
      <c r="Z172" s="28" t="n"/>
      <c r="AA172" s="31" t="n"/>
      <c r="AB172" s="31" t="n"/>
    </row>
    <row r="173">
      <c r="A173" s="43" t="inlineStr">
        <is>
          <t>S04</t>
        </is>
      </c>
      <c r="B173" s="43" t="inlineStr">
        <is>
          <t>진안 신규점1</t>
        </is>
      </c>
      <c r="C173" s="43" t="inlineStr">
        <is>
          <t>S04-H동</t>
        </is>
      </c>
      <c r="D173" s="43" t="inlineStr">
        <is>
          <t>P0(후)</t>
        </is>
      </c>
      <c r="E173" s="43" t="inlineStr">
        <is>
          <t>동</t>
        </is>
      </c>
      <c r="F173" s="44" t="n"/>
      <c r="G173" s="29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28" t="n"/>
      <c r="Y173" s="28" t="n"/>
      <c r="Z173" s="28" t="n"/>
      <c r="AA173" s="31" t="n"/>
      <c r="AB173" s="31" t="n"/>
    </row>
    <row r="174">
      <c r="A174" s="43" t="inlineStr">
        <is>
          <t>S04</t>
        </is>
      </c>
      <c r="B174" s="43" t="inlineStr">
        <is>
          <t>진안 신규점1</t>
        </is>
      </c>
      <c r="C174" s="43" t="inlineStr">
        <is>
          <t>S04-H서</t>
        </is>
      </c>
      <c r="D174" s="43" t="inlineStr">
        <is>
          <t>P0(전)</t>
        </is>
      </c>
      <c r="E174" s="43" t="inlineStr">
        <is>
          <t>서</t>
        </is>
      </c>
      <c r="F174" s="44" t="n"/>
      <c r="G174" s="29" t="n"/>
      <c r="H174" s="42" t="n"/>
      <c r="I174" s="40" t="n"/>
      <c r="J174" s="40" t="n"/>
      <c r="K174" s="40" t="n"/>
      <c r="L174" s="30">
        <f>IF(COUNT(I174:K174)=0,"",MEDIAN(I174:K174))</f>
        <v/>
      </c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28" t="n"/>
      <c r="Y174" s="28" t="n"/>
      <c r="Z174" s="28" t="n"/>
      <c r="AA174" s="31" t="n"/>
      <c r="AB174" s="31" t="n"/>
    </row>
    <row r="175">
      <c r="A175" s="25" t="inlineStr">
        <is>
          <t>S04</t>
        </is>
      </c>
      <c r="B175" s="25" t="inlineStr">
        <is>
          <t>진안 신규점1</t>
        </is>
      </c>
      <c r="C175" s="25" t="inlineStr">
        <is>
          <t>S04-H서</t>
        </is>
      </c>
      <c r="D175" s="25" t="inlineStr">
        <is>
          <t>측정</t>
        </is>
      </c>
      <c r="E175" s="25" t="inlineStr">
        <is>
          <t>서</t>
        </is>
      </c>
      <c r="F175" s="30" t="n">
        <v>0.5</v>
      </c>
      <c r="G175" s="29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IF(COUNTIFS($C:$C,$C175,$D:$D,"P0(전)",$L:$L,"&gt;0")&lt;&gt;1,"P0(전) 유효 1개 아님",IF(COUNTIFS($C:$C,$C175,$D:$D,"P0(후)",$L:$L,"&gt;0")&lt;&gt;1,"P0(후) 유효 1개 아님",IF(NOT(AND(ISNUMBER(N175),ISNUMBER(P175),ISNUMBER(H175))),"시각 결측",IF(P175&lt;=N175,"P0 시각 역전",IF(OR(H175&lt;N175,H175&gt;P175),"측정시각 구간 밖","OK")))))</f>
        <v/>
      </c>
      <c r="N175" s="45">
        <f>IF(COUNTIFS($C:$C,$C175,$D:$D,"P0(전)",$L:$L,"&gt;0")&lt;&gt;1,"",SUMIFS($H:$H,$C:$C,$C175,$D:$D,"P0(전)"))</f>
        <v/>
      </c>
      <c r="O175" s="30">
        <f>IF(COUNTIFS($C:$C,$C175,$D:$D,"P0(전)",$L:$L,"&gt;0")&lt;&gt;1,"",SUMIFS($L:$L,$C:$C,$C175,$D:$D,"P0(전)"))</f>
        <v/>
      </c>
      <c r="P175" s="45">
        <f>IF(COUNTIFS($C:$C,$C175,$D:$D,"P0(후)",$L:$L,"&gt;0")&lt;&gt;1,"",SUMIFS($H:$H,$C:$C,$C175,$D:$D,"P0(후)"))</f>
        <v/>
      </c>
      <c r="Q175" s="30">
        <f>IF(COUNTIFS($C:$C,$C175,$D:$D,"P0(후)",$L:$L,"&gt;0")&lt;&gt;1,"",SUMIFS($L:$L,$C:$C,$C175,$D:$D,"P0(후)"))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IF(OR(NOT(ISNUMBER(S175)),IF(ISNUMBER(G175),G175,F175)=0),"",S175/IF(ISNUMBER(G175),G175,F175))</f>
        <v/>
      </c>
      <c r="U175" s="46">
        <f>IF(ISNUMBER(T175),ABS(T175),"")</f>
        <v/>
      </c>
      <c r="V175" s="46">
        <f>IF(OR($D174&lt;&gt;"측정",$C174&lt;&gt;$C175,NOT(ISNUMBER(L175)),NOT(ISNUMBER(L174)),(IF(ISNUMBER(G175),G175,F175)-IF(ISNUMBER(G174),G174,F174))=0),"",(L175-L174)/(IF(ISNUMBER(G175),G175,F175)-IF(ISNUMBER(G174),G174,F174)))</f>
        <v/>
      </c>
      <c r="W175" s="30">
        <f>IF(NOT(AND(ISNUMBER(N175),ISNUMBER(P175))),"",(P175-N175)*1440)</f>
        <v/>
      </c>
      <c r="X175" s="28" t="n"/>
      <c r="Y175" s="28" t="n"/>
      <c r="Z175" s="28" t="n"/>
      <c r="AA175" s="31" t="n"/>
      <c r="AB175" s="31" t="n"/>
    </row>
    <row r="176">
      <c r="A176" s="25" t="inlineStr">
        <is>
          <t>S04</t>
        </is>
      </c>
      <c r="B176" s="25" t="inlineStr">
        <is>
          <t>진안 신규점1</t>
        </is>
      </c>
      <c r="C176" s="25" t="inlineStr">
        <is>
          <t>S04-H서</t>
        </is>
      </c>
      <c r="D176" s="25" t="inlineStr">
        <is>
          <t>측정</t>
        </is>
      </c>
      <c r="E176" s="25" t="inlineStr">
        <is>
          <t>서</t>
        </is>
      </c>
      <c r="F176" s="30" t="n">
        <v>1</v>
      </c>
      <c r="G176" s="29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IF(COUNTIFS($C:$C,$C176,$D:$D,"P0(전)",$L:$L,"&gt;0")&lt;&gt;1,"P0(전) 유효 1개 아님",IF(COUNTIFS($C:$C,$C176,$D:$D,"P0(후)",$L:$L,"&gt;0")&lt;&gt;1,"P0(후) 유효 1개 아님",IF(NOT(AND(ISNUMBER(N176),ISNUMBER(P176),ISNUMBER(H176))),"시각 결측",IF(P176&lt;=N176,"P0 시각 역전",IF(OR(H176&lt;N176,H176&gt;P176),"측정시각 구간 밖","OK")))))</f>
        <v/>
      </c>
      <c r="N176" s="45">
        <f>IF(COUNTIFS($C:$C,$C176,$D:$D,"P0(전)",$L:$L,"&gt;0")&lt;&gt;1,"",SUMIFS($H:$H,$C:$C,$C176,$D:$D,"P0(전)"))</f>
        <v/>
      </c>
      <c r="O176" s="30">
        <f>IF(COUNTIFS($C:$C,$C176,$D:$D,"P0(전)",$L:$L,"&gt;0")&lt;&gt;1,"",SUMIFS($L:$L,$C:$C,$C176,$D:$D,"P0(전)"))</f>
        <v/>
      </c>
      <c r="P176" s="45">
        <f>IF(COUNTIFS($C:$C,$C176,$D:$D,"P0(후)",$L:$L,"&gt;0")&lt;&gt;1,"",SUMIFS($H:$H,$C:$C,$C176,$D:$D,"P0(후)"))</f>
        <v/>
      </c>
      <c r="Q176" s="30">
        <f>IF(COUNTIFS($C:$C,$C176,$D:$D,"P0(후)",$L:$L,"&gt;0")&lt;&gt;1,"",SUMIFS($L:$L,$C:$C,$C176,$D:$D,"P0(후)"))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IF(OR(NOT(ISNUMBER(S176)),IF(ISNUMBER(G176),G176,F176)=0),"",S176/IF(ISNUMBER(G176),G176,F176))</f>
        <v/>
      </c>
      <c r="U176" s="46">
        <f>IF(ISNUMBER(T176),ABS(T176),"")</f>
        <v/>
      </c>
      <c r="V176" s="46">
        <f>IF(OR($D175&lt;&gt;"측정",$C175&lt;&gt;$C176,NOT(ISNUMBER(L176)),NOT(ISNUMBER(L175)),(IF(ISNUMBER(G176),G176,F176)-IF(ISNUMBER(G175),G175,F175))=0),"",(L176-L175)/(IF(ISNUMBER(G176),G176,F176)-IF(ISNUMBER(G175),G175,F175)))</f>
        <v/>
      </c>
      <c r="W176" s="30">
        <f>IF(NOT(AND(ISNUMBER(N176),ISNUMBER(P176))),"",(P176-N176)*1440)</f>
        <v/>
      </c>
      <c r="X176" s="28" t="n"/>
      <c r="Y176" s="28" t="n"/>
      <c r="Z176" s="28" t="n"/>
      <c r="AA176" s="31" t="n"/>
      <c r="AB176" s="31" t="n"/>
    </row>
    <row r="177">
      <c r="A177" s="25" t="inlineStr">
        <is>
          <t>S04</t>
        </is>
      </c>
      <c r="B177" s="25" t="inlineStr">
        <is>
          <t>진안 신규점1</t>
        </is>
      </c>
      <c r="C177" s="25" t="inlineStr">
        <is>
          <t>S04-H서</t>
        </is>
      </c>
      <c r="D177" s="25" t="inlineStr">
        <is>
          <t>측정</t>
        </is>
      </c>
      <c r="E177" s="25" t="inlineStr">
        <is>
          <t>서</t>
        </is>
      </c>
      <c r="F177" s="30" t="n">
        <v>2</v>
      </c>
      <c r="G177" s="29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IF(COUNTIFS($C:$C,$C177,$D:$D,"P0(전)",$L:$L,"&gt;0")&lt;&gt;1,"P0(전) 유효 1개 아님",IF(COUNTIFS($C:$C,$C177,$D:$D,"P0(후)",$L:$L,"&gt;0")&lt;&gt;1,"P0(후) 유효 1개 아님",IF(NOT(AND(ISNUMBER(N177),ISNUMBER(P177),ISNUMBER(H177))),"시각 결측",IF(P177&lt;=N177,"P0 시각 역전",IF(OR(H177&lt;N177,H177&gt;P177),"측정시각 구간 밖","OK")))))</f>
        <v/>
      </c>
      <c r="N177" s="45">
        <f>IF(COUNTIFS($C:$C,$C177,$D:$D,"P0(전)",$L:$L,"&gt;0")&lt;&gt;1,"",SUMIFS($H:$H,$C:$C,$C177,$D:$D,"P0(전)"))</f>
        <v/>
      </c>
      <c r="O177" s="30">
        <f>IF(COUNTIFS($C:$C,$C177,$D:$D,"P0(전)",$L:$L,"&gt;0")&lt;&gt;1,"",SUMIFS($L:$L,$C:$C,$C177,$D:$D,"P0(전)"))</f>
        <v/>
      </c>
      <c r="P177" s="45">
        <f>IF(COUNTIFS($C:$C,$C177,$D:$D,"P0(후)",$L:$L,"&gt;0")&lt;&gt;1,"",SUMIFS($H:$H,$C:$C,$C177,$D:$D,"P0(후)"))</f>
        <v/>
      </c>
      <c r="Q177" s="30">
        <f>IF(COUNTIFS($C:$C,$C177,$D:$D,"P0(후)",$L:$L,"&gt;0")&lt;&gt;1,"",SUMIFS($L:$L,$C:$C,$C177,$D:$D,"P0(후)"))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IF(OR(NOT(ISNUMBER(S177)),IF(ISNUMBER(G177),G177,F177)=0),"",S177/IF(ISNUMBER(G177),G177,F177))</f>
        <v/>
      </c>
      <c r="U177" s="46">
        <f>IF(ISNUMBER(T177),ABS(T177),"")</f>
        <v/>
      </c>
      <c r="V177" s="46">
        <f>IF(OR($D176&lt;&gt;"측정",$C176&lt;&gt;$C177,NOT(ISNUMBER(L177)),NOT(ISNUMBER(L176)),(IF(ISNUMBER(G177),G177,F177)-IF(ISNUMBER(G176),G176,F176))=0),"",(L177-L176)/(IF(ISNUMBER(G177),G177,F177)-IF(ISNUMBER(G176),G176,F176)))</f>
        <v/>
      </c>
      <c r="W177" s="30">
        <f>IF(NOT(AND(ISNUMBER(N177),ISNUMBER(P177))),"",(P177-N177)*1440)</f>
        <v/>
      </c>
      <c r="X177" s="28" t="n"/>
      <c r="Y177" s="28" t="n"/>
      <c r="Z177" s="28" t="n"/>
      <c r="AA177" s="31" t="n"/>
      <c r="AB177" s="31" t="n"/>
    </row>
    <row r="178">
      <c r="A178" s="25" t="inlineStr">
        <is>
          <t>S04</t>
        </is>
      </c>
      <c r="B178" s="25" t="inlineStr">
        <is>
          <t>진안 신규점1</t>
        </is>
      </c>
      <c r="C178" s="25" t="inlineStr">
        <is>
          <t>S04-H서</t>
        </is>
      </c>
      <c r="D178" s="25" t="inlineStr">
        <is>
          <t>측정</t>
        </is>
      </c>
      <c r="E178" s="25" t="inlineStr">
        <is>
          <t>서</t>
        </is>
      </c>
      <c r="F178" s="30" t="n">
        <v>3</v>
      </c>
      <c r="G178" s="29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IF(COUNTIFS($C:$C,$C178,$D:$D,"P0(전)",$L:$L,"&gt;0")&lt;&gt;1,"P0(전) 유효 1개 아님",IF(COUNTIFS($C:$C,$C178,$D:$D,"P0(후)",$L:$L,"&gt;0")&lt;&gt;1,"P0(후) 유효 1개 아님",IF(NOT(AND(ISNUMBER(N178),ISNUMBER(P178),ISNUMBER(H178))),"시각 결측",IF(P178&lt;=N178,"P0 시각 역전",IF(OR(H178&lt;N178,H178&gt;P178),"측정시각 구간 밖","OK")))))</f>
        <v/>
      </c>
      <c r="N178" s="45">
        <f>IF(COUNTIFS($C:$C,$C178,$D:$D,"P0(전)",$L:$L,"&gt;0")&lt;&gt;1,"",SUMIFS($H:$H,$C:$C,$C178,$D:$D,"P0(전)"))</f>
        <v/>
      </c>
      <c r="O178" s="30">
        <f>IF(COUNTIFS($C:$C,$C178,$D:$D,"P0(전)",$L:$L,"&gt;0")&lt;&gt;1,"",SUMIFS($L:$L,$C:$C,$C178,$D:$D,"P0(전)"))</f>
        <v/>
      </c>
      <c r="P178" s="45">
        <f>IF(COUNTIFS($C:$C,$C178,$D:$D,"P0(후)",$L:$L,"&gt;0")&lt;&gt;1,"",SUMIFS($H:$H,$C:$C,$C178,$D:$D,"P0(후)"))</f>
        <v/>
      </c>
      <c r="Q178" s="30">
        <f>IF(COUNTIFS($C:$C,$C178,$D:$D,"P0(후)",$L:$L,"&gt;0")&lt;&gt;1,"",SUMIFS($L:$L,$C:$C,$C178,$D:$D,"P0(후)"))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IF(OR(NOT(ISNUMBER(S178)),IF(ISNUMBER(G178),G178,F178)=0),"",S178/IF(ISNUMBER(G178),G178,F178))</f>
        <v/>
      </c>
      <c r="U178" s="46">
        <f>IF(ISNUMBER(T178),ABS(T178),"")</f>
        <v/>
      </c>
      <c r="V178" s="46">
        <f>IF(OR($D177&lt;&gt;"측정",$C177&lt;&gt;$C178,NOT(ISNUMBER(L178)),NOT(ISNUMBER(L177)),(IF(ISNUMBER(G178),G178,F178)-IF(ISNUMBER(G177),G177,F177))=0),"",(L178-L177)/(IF(ISNUMBER(G178),G178,F178)-IF(ISNUMBER(G177),G177,F177)))</f>
        <v/>
      </c>
      <c r="W178" s="30">
        <f>IF(NOT(AND(ISNUMBER(N178),ISNUMBER(P178))),"",(P178-N178)*1440)</f>
        <v/>
      </c>
      <c r="X178" s="28" t="n"/>
      <c r="Y178" s="28" t="n"/>
      <c r="Z178" s="28" t="n"/>
      <c r="AA178" s="31" t="n"/>
      <c r="AB178" s="31" t="n"/>
    </row>
    <row r="179">
      <c r="A179" s="25" t="inlineStr">
        <is>
          <t>S04</t>
        </is>
      </c>
      <c r="B179" s="25" t="inlineStr">
        <is>
          <t>진안 신규점1</t>
        </is>
      </c>
      <c r="C179" s="25" t="inlineStr">
        <is>
          <t>S04-H서</t>
        </is>
      </c>
      <c r="D179" s="25" t="inlineStr">
        <is>
          <t>측정</t>
        </is>
      </c>
      <c r="E179" s="25" t="inlineStr">
        <is>
          <t>서</t>
        </is>
      </c>
      <c r="F179" s="30" t="n">
        <v>4</v>
      </c>
      <c r="G179" s="29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IF(COUNTIFS($C:$C,$C179,$D:$D,"P0(전)",$L:$L,"&gt;0")&lt;&gt;1,"P0(전) 유효 1개 아님",IF(COUNTIFS($C:$C,$C179,$D:$D,"P0(후)",$L:$L,"&gt;0")&lt;&gt;1,"P0(후) 유효 1개 아님",IF(NOT(AND(ISNUMBER(N179),ISNUMBER(P179),ISNUMBER(H179))),"시각 결측",IF(P179&lt;=N179,"P0 시각 역전",IF(OR(H179&lt;N179,H179&gt;P179),"측정시각 구간 밖","OK")))))</f>
        <v/>
      </c>
      <c r="N179" s="45">
        <f>IF(COUNTIFS($C:$C,$C179,$D:$D,"P0(전)",$L:$L,"&gt;0")&lt;&gt;1,"",SUMIFS($H:$H,$C:$C,$C179,$D:$D,"P0(전)"))</f>
        <v/>
      </c>
      <c r="O179" s="30">
        <f>IF(COUNTIFS($C:$C,$C179,$D:$D,"P0(전)",$L:$L,"&gt;0")&lt;&gt;1,"",SUMIFS($L:$L,$C:$C,$C179,$D:$D,"P0(전)"))</f>
        <v/>
      </c>
      <c r="P179" s="45">
        <f>IF(COUNTIFS($C:$C,$C179,$D:$D,"P0(후)",$L:$L,"&gt;0")&lt;&gt;1,"",SUMIFS($H:$H,$C:$C,$C179,$D:$D,"P0(후)"))</f>
        <v/>
      </c>
      <c r="Q179" s="30">
        <f>IF(COUNTIFS($C:$C,$C179,$D:$D,"P0(후)",$L:$L,"&gt;0")&lt;&gt;1,"",SUMIFS($L:$L,$C:$C,$C179,$D:$D,"P0(후)"))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IF(OR(NOT(ISNUMBER(S179)),IF(ISNUMBER(G179),G179,F179)=0),"",S179/IF(ISNUMBER(G179),G179,F179))</f>
        <v/>
      </c>
      <c r="U179" s="46">
        <f>IF(ISNUMBER(T179),ABS(T179),"")</f>
        <v/>
      </c>
      <c r="V179" s="46">
        <f>IF(OR($D178&lt;&gt;"측정",$C178&lt;&gt;$C179,NOT(ISNUMBER(L179)),NOT(ISNUMBER(L178)),(IF(ISNUMBER(G179),G179,F179)-IF(ISNUMBER(G178),G178,F178))=0),"",(L179-L178)/(IF(ISNUMBER(G179),G179,F179)-IF(ISNUMBER(G178),G178,F178)))</f>
        <v/>
      </c>
      <c r="W179" s="30">
        <f>IF(NOT(AND(ISNUMBER(N179),ISNUMBER(P179))),"",(P179-N179)*1440)</f>
        <v/>
      </c>
      <c r="X179" s="28" t="n"/>
      <c r="Y179" s="28" t="n"/>
      <c r="Z179" s="28" t="n"/>
      <c r="AA179" s="31" t="n"/>
      <c r="AB179" s="31" t="n"/>
    </row>
    <row r="180">
      <c r="A180" s="25" t="inlineStr">
        <is>
          <t>S04</t>
        </is>
      </c>
      <c r="B180" s="25" t="inlineStr">
        <is>
          <t>진안 신규점1</t>
        </is>
      </c>
      <c r="C180" s="25" t="inlineStr">
        <is>
          <t>S04-H서</t>
        </is>
      </c>
      <c r="D180" s="25" t="inlineStr">
        <is>
          <t>측정</t>
        </is>
      </c>
      <c r="E180" s="25" t="inlineStr">
        <is>
          <t>서</t>
        </is>
      </c>
      <c r="F180" s="30" t="n">
        <v>5</v>
      </c>
      <c r="G180" s="29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IF(COUNTIFS($C:$C,$C180,$D:$D,"P0(전)",$L:$L,"&gt;0")&lt;&gt;1,"P0(전) 유효 1개 아님",IF(COUNTIFS($C:$C,$C180,$D:$D,"P0(후)",$L:$L,"&gt;0")&lt;&gt;1,"P0(후) 유효 1개 아님",IF(NOT(AND(ISNUMBER(N180),ISNUMBER(P180),ISNUMBER(H180))),"시각 결측",IF(P180&lt;=N180,"P0 시각 역전",IF(OR(H180&lt;N180,H180&gt;P180),"측정시각 구간 밖","OK")))))</f>
        <v/>
      </c>
      <c r="N180" s="45">
        <f>IF(COUNTIFS($C:$C,$C180,$D:$D,"P0(전)",$L:$L,"&gt;0")&lt;&gt;1,"",SUMIFS($H:$H,$C:$C,$C180,$D:$D,"P0(전)"))</f>
        <v/>
      </c>
      <c r="O180" s="30">
        <f>IF(COUNTIFS($C:$C,$C180,$D:$D,"P0(전)",$L:$L,"&gt;0")&lt;&gt;1,"",SUMIFS($L:$L,$C:$C,$C180,$D:$D,"P0(전)"))</f>
        <v/>
      </c>
      <c r="P180" s="45">
        <f>IF(COUNTIFS($C:$C,$C180,$D:$D,"P0(후)",$L:$L,"&gt;0")&lt;&gt;1,"",SUMIFS($H:$H,$C:$C,$C180,$D:$D,"P0(후)"))</f>
        <v/>
      </c>
      <c r="Q180" s="30">
        <f>IF(COUNTIFS($C:$C,$C180,$D:$D,"P0(후)",$L:$L,"&gt;0")&lt;&gt;1,"",SUMIFS($L:$L,$C:$C,$C180,$D:$D,"P0(후)"))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IF(OR(NOT(ISNUMBER(S180)),IF(ISNUMBER(G180),G180,F180)=0),"",S180/IF(ISNUMBER(G180),G180,F180))</f>
        <v/>
      </c>
      <c r="U180" s="46">
        <f>IF(ISNUMBER(T180),ABS(T180),"")</f>
        <v/>
      </c>
      <c r="V180" s="46">
        <f>IF(OR($D179&lt;&gt;"측정",$C179&lt;&gt;$C180,NOT(ISNUMBER(L180)),NOT(ISNUMBER(L179)),(IF(ISNUMBER(G180),G180,F180)-IF(ISNUMBER(G179),G179,F179))=0),"",(L180-L179)/(IF(ISNUMBER(G180),G180,F180)-IF(ISNUMBER(G179),G179,F179)))</f>
        <v/>
      </c>
      <c r="W180" s="30">
        <f>IF(NOT(AND(ISNUMBER(N180),ISNUMBER(P180))),"",(P180-N180)*1440)</f>
        <v/>
      </c>
      <c r="X180" s="28" t="n"/>
      <c r="Y180" s="28" t="n"/>
      <c r="Z180" s="28" t="n"/>
      <c r="AA180" s="31" t="n"/>
      <c r="AB180" s="31" t="n"/>
    </row>
    <row r="181">
      <c r="A181" s="25" t="inlineStr">
        <is>
          <t>S04</t>
        </is>
      </c>
      <c r="B181" s="25" t="inlineStr">
        <is>
          <t>진안 신규점1</t>
        </is>
      </c>
      <c r="C181" s="25" t="inlineStr">
        <is>
          <t>S04-H서</t>
        </is>
      </c>
      <c r="D181" s="25" t="inlineStr">
        <is>
          <t>측정</t>
        </is>
      </c>
      <c r="E181" s="25" t="inlineStr">
        <is>
          <t>서</t>
        </is>
      </c>
      <c r="F181" s="30" t="n">
        <v>6</v>
      </c>
      <c r="G181" s="29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IF(COUNTIFS($C:$C,$C181,$D:$D,"P0(전)",$L:$L,"&gt;0")&lt;&gt;1,"P0(전) 유효 1개 아님",IF(COUNTIFS($C:$C,$C181,$D:$D,"P0(후)",$L:$L,"&gt;0")&lt;&gt;1,"P0(후) 유효 1개 아님",IF(NOT(AND(ISNUMBER(N181),ISNUMBER(P181),ISNUMBER(H181))),"시각 결측",IF(P181&lt;=N181,"P0 시각 역전",IF(OR(H181&lt;N181,H181&gt;P181),"측정시각 구간 밖","OK")))))</f>
        <v/>
      </c>
      <c r="N181" s="45">
        <f>IF(COUNTIFS($C:$C,$C181,$D:$D,"P0(전)",$L:$L,"&gt;0")&lt;&gt;1,"",SUMIFS($H:$H,$C:$C,$C181,$D:$D,"P0(전)"))</f>
        <v/>
      </c>
      <c r="O181" s="30">
        <f>IF(COUNTIFS($C:$C,$C181,$D:$D,"P0(전)",$L:$L,"&gt;0")&lt;&gt;1,"",SUMIFS($L:$L,$C:$C,$C181,$D:$D,"P0(전)"))</f>
        <v/>
      </c>
      <c r="P181" s="45">
        <f>IF(COUNTIFS($C:$C,$C181,$D:$D,"P0(후)",$L:$L,"&gt;0")&lt;&gt;1,"",SUMIFS($H:$H,$C:$C,$C181,$D:$D,"P0(후)"))</f>
        <v/>
      </c>
      <c r="Q181" s="30">
        <f>IF(COUNTIFS($C:$C,$C181,$D:$D,"P0(후)",$L:$L,"&gt;0")&lt;&gt;1,"",SUMIFS($L:$L,$C:$C,$C181,$D:$D,"P0(후)"))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IF(OR(NOT(ISNUMBER(S181)),IF(ISNUMBER(G181),G181,F181)=0),"",S181/IF(ISNUMBER(G181),G181,F181))</f>
        <v/>
      </c>
      <c r="U181" s="46">
        <f>IF(ISNUMBER(T181),ABS(T181),"")</f>
        <v/>
      </c>
      <c r="V181" s="46">
        <f>IF(OR($D180&lt;&gt;"측정",$C180&lt;&gt;$C181,NOT(ISNUMBER(L181)),NOT(ISNUMBER(L180)),(IF(ISNUMBER(G181),G181,F181)-IF(ISNUMBER(G180),G180,F180))=0),"",(L181-L180)/(IF(ISNUMBER(G181),G181,F181)-IF(ISNUMBER(G180),G180,F180)))</f>
        <v/>
      </c>
      <c r="W181" s="30">
        <f>IF(NOT(AND(ISNUMBER(N181),ISNUMBER(P181))),"",(P181-N181)*1440)</f>
        <v/>
      </c>
      <c r="X181" s="28" t="n"/>
      <c r="Y181" s="28" t="n"/>
      <c r="Z181" s="28" t="n"/>
      <c r="AA181" s="31" t="n"/>
      <c r="AB181" s="31" t="n"/>
    </row>
    <row r="182">
      <c r="A182" s="25" t="inlineStr">
        <is>
          <t>S04</t>
        </is>
      </c>
      <c r="B182" s="25" t="inlineStr">
        <is>
          <t>진안 신규점1</t>
        </is>
      </c>
      <c r="C182" s="25" t="inlineStr">
        <is>
          <t>S04-H서</t>
        </is>
      </c>
      <c r="D182" s="25" t="inlineStr">
        <is>
          <t>측정</t>
        </is>
      </c>
      <c r="E182" s="25" t="inlineStr">
        <is>
          <t>서</t>
        </is>
      </c>
      <c r="F182" s="30" t="n">
        <v>7</v>
      </c>
      <c r="G182" s="29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IF(COUNTIFS($C:$C,$C182,$D:$D,"P0(전)",$L:$L,"&gt;0")&lt;&gt;1,"P0(전) 유효 1개 아님",IF(COUNTIFS($C:$C,$C182,$D:$D,"P0(후)",$L:$L,"&gt;0")&lt;&gt;1,"P0(후) 유효 1개 아님",IF(NOT(AND(ISNUMBER(N182),ISNUMBER(P182),ISNUMBER(H182))),"시각 결측",IF(P182&lt;=N182,"P0 시각 역전",IF(OR(H182&lt;N182,H182&gt;P182),"측정시각 구간 밖","OK")))))</f>
        <v/>
      </c>
      <c r="N182" s="45">
        <f>IF(COUNTIFS($C:$C,$C182,$D:$D,"P0(전)",$L:$L,"&gt;0")&lt;&gt;1,"",SUMIFS($H:$H,$C:$C,$C182,$D:$D,"P0(전)"))</f>
        <v/>
      </c>
      <c r="O182" s="30">
        <f>IF(COUNTIFS($C:$C,$C182,$D:$D,"P0(전)",$L:$L,"&gt;0")&lt;&gt;1,"",SUMIFS($L:$L,$C:$C,$C182,$D:$D,"P0(전)"))</f>
        <v/>
      </c>
      <c r="P182" s="45">
        <f>IF(COUNTIFS($C:$C,$C182,$D:$D,"P0(후)",$L:$L,"&gt;0")&lt;&gt;1,"",SUMIFS($H:$H,$C:$C,$C182,$D:$D,"P0(후)"))</f>
        <v/>
      </c>
      <c r="Q182" s="30">
        <f>IF(COUNTIFS($C:$C,$C182,$D:$D,"P0(후)",$L:$L,"&gt;0")&lt;&gt;1,"",SUMIFS($L:$L,$C:$C,$C182,$D:$D,"P0(후)"))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IF(OR(NOT(ISNUMBER(S182)),IF(ISNUMBER(G182),G182,F182)=0),"",S182/IF(ISNUMBER(G182),G182,F182))</f>
        <v/>
      </c>
      <c r="U182" s="46">
        <f>IF(ISNUMBER(T182),ABS(T182),"")</f>
        <v/>
      </c>
      <c r="V182" s="46">
        <f>IF(OR($D181&lt;&gt;"측정",$C181&lt;&gt;$C182,NOT(ISNUMBER(L182)),NOT(ISNUMBER(L181)),(IF(ISNUMBER(G182),G182,F182)-IF(ISNUMBER(G181),G181,F181))=0),"",(L182-L181)/(IF(ISNUMBER(G182),G182,F182)-IF(ISNUMBER(G181),G181,F181)))</f>
        <v/>
      </c>
      <c r="W182" s="30">
        <f>IF(NOT(AND(ISNUMBER(N182),ISNUMBER(P182))),"",(P182-N182)*1440)</f>
        <v/>
      </c>
      <c r="X182" s="28" t="n"/>
      <c r="Y182" s="28" t="n"/>
      <c r="Z182" s="28" t="n"/>
      <c r="AA182" s="31" t="n"/>
      <c r="AB182" s="31" t="n"/>
    </row>
    <row r="183">
      <c r="A183" s="25" t="inlineStr">
        <is>
          <t>S04</t>
        </is>
      </c>
      <c r="B183" s="25" t="inlineStr">
        <is>
          <t>진안 신규점1</t>
        </is>
      </c>
      <c r="C183" s="25" t="inlineStr">
        <is>
          <t>S04-H서</t>
        </is>
      </c>
      <c r="D183" s="25" t="inlineStr">
        <is>
          <t>측정</t>
        </is>
      </c>
      <c r="E183" s="25" t="inlineStr">
        <is>
          <t>서</t>
        </is>
      </c>
      <c r="F183" s="30" t="n">
        <v>8</v>
      </c>
      <c r="G183" s="29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IF(COUNTIFS($C:$C,$C183,$D:$D,"P0(전)",$L:$L,"&gt;0")&lt;&gt;1,"P0(전) 유효 1개 아님",IF(COUNTIFS($C:$C,$C183,$D:$D,"P0(후)",$L:$L,"&gt;0")&lt;&gt;1,"P0(후) 유효 1개 아님",IF(NOT(AND(ISNUMBER(N183),ISNUMBER(P183),ISNUMBER(H183))),"시각 결측",IF(P183&lt;=N183,"P0 시각 역전",IF(OR(H183&lt;N183,H183&gt;P183),"측정시각 구간 밖","OK")))))</f>
        <v/>
      </c>
      <c r="N183" s="45">
        <f>IF(COUNTIFS($C:$C,$C183,$D:$D,"P0(전)",$L:$L,"&gt;0")&lt;&gt;1,"",SUMIFS($H:$H,$C:$C,$C183,$D:$D,"P0(전)"))</f>
        <v/>
      </c>
      <c r="O183" s="30">
        <f>IF(COUNTIFS($C:$C,$C183,$D:$D,"P0(전)",$L:$L,"&gt;0")&lt;&gt;1,"",SUMIFS($L:$L,$C:$C,$C183,$D:$D,"P0(전)"))</f>
        <v/>
      </c>
      <c r="P183" s="45">
        <f>IF(COUNTIFS($C:$C,$C183,$D:$D,"P0(후)",$L:$L,"&gt;0")&lt;&gt;1,"",SUMIFS($H:$H,$C:$C,$C183,$D:$D,"P0(후)"))</f>
        <v/>
      </c>
      <c r="Q183" s="30">
        <f>IF(COUNTIFS($C:$C,$C183,$D:$D,"P0(후)",$L:$L,"&gt;0")&lt;&gt;1,"",SUMIFS($L:$L,$C:$C,$C183,$D:$D,"P0(후)"))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IF(OR(NOT(ISNUMBER(S183)),IF(ISNUMBER(G183),G183,F183)=0),"",S183/IF(ISNUMBER(G183),G183,F183))</f>
        <v/>
      </c>
      <c r="U183" s="46">
        <f>IF(ISNUMBER(T183),ABS(T183),"")</f>
        <v/>
      </c>
      <c r="V183" s="46">
        <f>IF(OR($D182&lt;&gt;"측정",$C182&lt;&gt;$C183,NOT(ISNUMBER(L183)),NOT(ISNUMBER(L182)),(IF(ISNUMBER(G183),G183,F183)-IF(ISNUMBER(G182),G182,F182))=0),"",(L183-L182)/(IF(ISNUMBER(G183),G183,F183)-IF(ISNUMBER(G182),G182,F182)))</f>
        <v/>
      </c>
      <c r="W183" s="30">
        <f>IF(NOT(AND(ISNUMBER(N183),ISNUMBER(P183))),"",(P183-N183)*1440)</f>
        <v/>
      </c>
      <c r="X183" s="28" t="n"/>
      <c r="Y183" s="28" t="n"/>
      <c r="Z183" s="28" t="n"/>
      <c r="AA183" s="31" t="n"/>
      <c r="AB183" s="31" t="n"/>
    </row>
    <row r="184">
      <c r="A184" s="25" t="inlineStr">
        <is>
          <t>S04</t>
        </is>
      </c>
      <c r="B184" s="25" t="inlineStr">
        <is>
          <t>진안 신규점1</t>
        </is>
      </c>
      <c r="C184" s="25" t="inlineStr">
        <is>
          <t>S04-H서</t>
        </is>
      </c>
      <c r="D184" s="25" t="inlineStr">
        <is>
          <t>측정</t>
        </is>
      </c>
      <c r="E184" s="25" t="inlineStr">
        <is>
          <t>서</t>
        </is>
      </c>
      <c r="F184" s="30" t="n">
        <v>9</v>
      </c>
      <c r="G184" s="29" t="n"/>
      <c r="H184" s="42" t="n"/>
      <c r="I184" s="40" t="n"/>
      <c r="J184" s="40" t="n"/>
      <c r="K184" s="40" t="n"/>
      <c r="L184" s="30">
        <f>IF(COUNT(I184:K184)=0,"",MEDIAN(I184:K184))</f>
        <v/>
      </c>
      <c r="M184" s="25">
        <f>IF(COUNTIFS($C:$C,$C184,$D:$D,"P0(전)",$L:$L,"&gt;0")&lt;&gt;1,"P0(전) 유효 1개 아님",IF(COUNTIFS($C:$C,$C184,$D:$D,"P0(후)",$L:$L,"&gt;0")&lt;&gt;1,"P0(후) 유효 1개 아님",IF(NOT(AND(ISNUMBER(N184),ISNUMBER(P184),ISNUMBER(H184))),"시각 결측",IF(P184&lt;=N184,"P0 시각 역전",IF(OR(H184&lt;N184,H184&gt;P184),"측정시각 구간 밖","OK")))))</f>
        <v/>
      </c>
      <c r="N184" s="45">
        <f>IF(COUNTIFS($C:$C,$C184,$D:$D,"P0(전)",$L:$L,"&gt;0")&lt;&gt;1,"",SUMIFS($H:$H,$C:$C,$C184,$D:$D,"P0(전)"))</f>
        <v/>
      </c>
      <c r="O184" s="30">
        <f>IF(COUNTIFS($C:$C,$C184,$D:$D,"P0(전)",$L:$L,"&gt;0")&lt;&gt;1,"",SUMIFS($L:$L,$C:$C,$C184,$D:$D,"P0(전)"))</f>
        <v/>
      </c>
      <c r="P184" s="45">
        <f>IF(COUNTIFS($C:$C,$C184,$D:$D,"P0(후)",$L:$L,"&gt;0")&lt;&gt;1,"",SUMIFS($H:$H,$C:$C,$C184,$D:$D,"P0(후)"))</f>
        <v/>
      </c>
      <c r="Q184" s="30">
        <f>IF(COUNTIFS($C:$C,$C184,$D:$D,"P0(후)",$L:$L,"&gt;0")&lt;&gt;1,"",SUMIFS($L:$L,$C:$C,$C184,$D:$D,"P0(후)"))</f>
        <v/>
      </c>
      <c r="R184" s="30">
        <f>IF(M184&lt;&gt;"OK","",O184+(Q184-O184)*(H184-N184)/(P184-N184))</f>
        <v/>
      </c>
      <c r="S184" s="30">
        <f>IF(OR(M184&lt;&gt;"OK",NOT(ISNUMBER(L184))),"",L184-R184)</f>
        <v/>
      </c>
      <c r="T184" s="46">
        <f>IF(OR(NOT(ISNUMBER(S184)),IF(ISNUMBER(G184),G184,F184)=0),"",S184/IF(ISNUMBER(G184),G184,F184))</f>
        <v/>
      </c>
      <c r="U184" s="46">
        <f>IF(ISNUMBER(T184),ABS(T184),"")</f>
        <v/>
      </c>
      <c r="V184" s="46">
        <f>IF(OR($D183&lt;&gt;"측정",$C183&lt;&gt;$C184,NOT(ISNUMBER(L184)),NOT(ISNUMBER(L183)),(IF(ISNUMBER(G184),G184,F184)-IF(ISNUMBER(G183),G183,F183))=0),"",(L184-L183)/(IF(ISNUMBER(G184),G184,F184)-IF(ISNUMBER(G183),G183,F183)))</f>
        <v/>
      </c>
      <c r="W184" s="30">
        <f>IF(NOT(AND(ISNUMBER(N184),ISNUMBER(P184))),"",(P184-N184)*1440)</f>
        <v/>
      </c>
      <c r="X184" s="28" t="n"/>
      <c r="Y184" s="28" t="n"/>
      <c r="Z184" s="28" t="n"/>
      <c r="AA184" s="31" t="n"/>
      <c r="AB184" s="31" t="n"/>
    </row>
    <row r="185">
      <c r="A185" s="25" t="inlineStr">
        <is>
          <t>S04</t>
        </is>
      </c>
      <c r="B185" s="25" t="inlineStr">
        <is>
          <t>진안 신규점1</t>
        </is>
      </c>
      <c r="C185" s="25" t="inlineStr">
        <is>
          <t>S04-H서</t>
        </is>
      </c>
      <c r="D185" s="25" t="inlineStr">
        <is>
          <t>측정</t>
        </is>
      </c>
      <c r="E185" s="25" t="inlineStr">
        <is>
          <t>서</t>
        </is>
      </c>
      <c r="F185" s="30" t="n">
        <v>10</v>
      </c>
      <c r="G185" s="29" t="n"/>
      <c r="H185" s="42" t="n"/>
      <c r="I185" s="40" t="n"/>
      <c r="J185" s="40" t="n"/>
      <c r="K185" s="40" t="n"/>
      <c r="L185" s="30">
        <f>IF(COUNT(I185:K185)=0,"",MEDIAN(I185:K185))</f>
        <v/>
      </c>
      <c r="M185" s="25">
        <f>IF(COUNTIFS($C:$C,$C185,$D:$D,"P0(전)",$L:$L,"&gt;0")&lt;&gt;1,"P0(전) 유효 1개 아님",IF(COUNTIFS($C:$C,$C185,$D:$D,"P0(후)",$L:$L,"&gt;0")&lt;&gt;1,"P0(후) 유효 1개 아님",IF(NOT(AND(ISNUMBER(N185),ISNUMBER(P185),ISNUMBER(H185))),"시각 결측",IF(P185&lt;=N185,"P0 시각 역전",IF(OR(H185&lt;N185,H185&gt;P185),"측정시각 구간 밖","OK")))))</f>
        <v/>
      </c>
      <c r="N185" s="45">
        <f>IF(COUNTIFS($C:$C,$C185,$D:$D,"P0(전)",$L:$L,"&gt;0")&lt;&gt;1,"",SUMIFS($H:$H,$C:$C,$C185,$D:$D,"P0(전)"))</f>
        <v/>
      </c>
      <c r="O185" s="30">
        <f>IF(COUNTIFS($C:$C,$C185,$D:$D,"P0(전)",$L:$L,"&gt;0")&lt;&gt;1,"",SUMIFS($L:$L,$C:$C,$C185,$D:$D,"P0(전)"))</f>
        <v/>
      </c>
      <c r="P185" s="45">
        <f>IF(COUNTIFS($C:$C,$C185,$D:$D,"P0(후)",$L:$L,"&gt;0")&lt;&gt;1,"",SUMIFS($H:$H,$C:$C,$C185,$D:$D,"P0(후)"))</f>
        <v/>
      </c>
      <c r="Q185" s="30">
        <f>IF(COUNTIFS($C:$C,$C185,$D:$D,"P0(후)",$L:$L,"&gt;0")&lt;&gt;1,"",SUMIFS($L:$L,$C:$C,$C185,$D:$D,"P0(후)"))</f>
        <v/>
      </c>
      <c r="R185" s="30">
        <f>IF(M185&lt;&gt;"OK","",O185+(Q185-O185)*(H185-N185)/(P185-N185))</f>
        <v/>
      </c>
      <c r="S185" s="30">
        <f>IF(OR(M185&lt;&gt;"OK",NOT(ISNUMBER(L185))),"",L185-R185)</f>
        <v/>
      </c>
      <c r="T185" s="46">
        <f>IF(OR(NOT(ISNUMBER(S185)),IF(ISNUMBER(G185),G185,F185)=0),"",S185/IF(ISNUMBER(G185),G185,F185))</f>
        <v/>
      </c>
      <c r="U185" s="46">
        <f>IF(ISNUMBER(T185),ABS(T185),"")</f>
        <v/>
      </c>
      <c r="V185" s="46">
        <f>IF(OR($D184&lt;&gt;"측정",$C184&lt;&gt;$C185,NOT(ISNUMBER(L185)),NOT(ISNUMBER(L184)),(IF(ISNUMBER(G185),G185,F185)-IF(ISNUMBER(G184),G184,F184))=0),"",(L185-L184)/(IF(ISNUMBER(G185),G185,F185)-IF(ISNUMBER(G184),G184,F184)))</f>
        <v/>
      </c>
      <c r="W185" s="30">
        <f>IF(NOT(AND(ISNUMBER(N185),ISNUMBER(P185))),"",(P185-N185)*1440)</f>
        <v/>
      </c>
      <c r="X185" s="28" t="n"/>
      <c r="Y185" s="28" t="n"/>
      <c r="Z185" s="28" t="n"/>
      <c r="AA185" s="31" t="n"/>
      <c r="AB185" s="31" t="n"/>
    </row>
    <row r="186">
      <c r="A186" s="43" t="inlineStr">
        <is>
          <t>S04</t>
        </is>
      </c>
      <c r="B186" s="43" t="inlineStr">
        <is>
          <t>진안 신규점1</t>
        </is>
      </c>
      <c r="C186" s="43" t="inlineStr">
        <is>
          <t>S04-H서</t>
        </is>
      </c>
      <c r="D186" s="43" t="inlineStr">
        <is>
          <t>P0(후)</t>
        </is>
      </c>
      <c r="E186" s="43" t="inlineStr">
        <is>
          <t>서</t>
        </is>
      </c>
      <c r="F186" s="44" t="n"/>
      <c r="G186" s="29" t="n"/>
      <c r="H186" s="42" t="n"/>
      <c r="I186" s="40" t="n"/>
      <c r="J186" s="40" t="n"/>
      <c r="K186" s="40" t="n"/>
      <c r="L186" s="30">
        <f>IF(COUNT(I186:K186)=0,"",MEDIAN(I186:K186))</f>
        <v/>
      </c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28" t="n"/>
      <c r="Y186" s="28" t="n"/>
      <c r="Z186" s="28" t="n"/>
      <c r="AA186" s="31" t="n"/>
      <c r="AB186" s="31" t="n"/>
    </row>
    <row r="187">
      <c r="A187" s="43" t="inlineStr">
        <is>
          <t>S04</t>
        </is>
      </c>
      <c r="B187" s="43" t="inlineStr">
        <is>
          <t>진안 신규점1</t>
        </is>
      </c>
      <c r="C187" s="43" t="inlineStr">
        <is>
          <t>S04-H남</t>
        </is>
      </c>
      <c r="D187" s="43" t="inlineStr">
        <is>
          <t>P0(전)</t>
        </is>
      </c>
      <c r="E187" s="43" t="inlineStr">
        <is>
          <t>남</t>
        </is>
      </c>
      <c r="F187" s="44" t="n"/>
      <c r="G187" s="29" t="n"/>
      <c r="H187" s="42" t="n"/>
      <c r="I187" s="40" t="n"/>
      <c r="J187" s="40" t="n"/>
      <c r="K187" s="40" t="n"/>
      <c r="L187" s="30">
        <f>IF(COUNT(I187:K187)=0,"",MEDIAN(I187:K187))</f>
        <v/>
      </c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28" t="n"/>
      <c r="Y187" s="28" t="n"/>
      <c r="Z187" s="28" t="n"/>
      <c r="AA187" s="31" t="n"/>
      <c r="AB187" s="31" t="n"/>
    </row>
    <row r="188">
      <c r="A188" s="25" t="inlineStr">
        <is>
          <t>S04</t>
        </is>
      </c>
      <c r="B188" s="25" t="inlineStr">
        <is>
          <t>진안 신규점1</t>
        </is>
      </c>
      <c r="C188" s="25" t="inlineStr">
        <is>
          <t>S04-H남</t>
        </is>
      </c>
      <c r="D188" s="25" t="inlineStr">
        <is>
          <t>측정</t>
        </is>
      </c>
      <c r="E188" s="25" t="inlineStr">
        <is>
          <t>남</t>
        </is>
      </c>
      <c r="F188" s="30" t="n">
        <v>0.5</v>
      </c>
      <c r="G188" s="29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IF(COUNTIFS($C:$C,$C188,$D:$D,"P0(전)",$L:$L,"&gt;0")&lt;&gt;1,"P0(전) 유효 1개 아님",IF(COUNTIFS($C:$C,$C188,$D:$D,"P0(후)",$L:$L,"&gt;0")&lt;&gt;1,"P0(후) 유효 1개 아님",IF(NOT(AND(ISNUMBER(N188),ISNUMBER(P188),ISNUMBER(H188))),"시각 결측",IF(P188&lt;=N188,"P0 시각 역전",IF(OR(H188&lt;N188,H188&gt;P188),"측정시각 구간 밖","OK")))))</f>
        <v/>
      </c>
      <c r="N188" s="45">
        <f>IF(COUNTIFS($C:$C,$C188,$D:$D,"P0(전)",$L:$L,"&gt;0")&lt;&gt;1,"",SUMIFS($H:$H,$C:$C,$C188,$D:$D,"P0(전)"))</f>
        <v/>
      </c>
      <c r="O188" s="30">
        <f>IF(COUNTIFS($C:$C,$C188,$D:$D,"P0(전)",$L:$L,"&gt;0")&lt;&gt;1,"",SUMIFS($L:$L,$C:$C,$C188,$D:$D,"P0(전)"))</f>
        <v/>
      </c>
      <c r="P188" s="45">
        <f>IF(COUNTIFS($C:$C,$C188,$D:$D,"P0(후)",$L:$L,"&gt;0")&lt;&gt;1,"",SUMIFS($H:$H,$C:$C,$C188,$D:$D,"P0(후)"))</f>
        <v/>
      </c>
      <c r="Q188" s="30">
        <f>IF(COUNTIFS($C:$C,$C188,$D:$D,"P0(후)",$L:$L,"&gt;0")&lt;&gt;1,"",SUMIFS($L:$L,$C:$C,$C188,$D:$D,"P0(후)"))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IF(OR(NOT(ISNUMBER(S188)),IF(ISNUMBER(G188),G188,F188)=0),"",S188/IF(ISNUMBER(G188),G188,F188))</f>
        <v/>
      </c>
      <c r="U188" s="46">
        <f>IF(ISNUMBER(T188),ABS(T188),"")</f>
        <v/>
      </c>
      <c r="V188" s="46">
        <f>IF(OR($D187&lt;&gt;"측정",$C187&lt;&gt;$C188,NOT(ISNUMBER(L188)),NOT(ISNUMBER(L187)),(IF(ISNUMBER(G188),G188,F188)-IF(ISNUMBER(G187),G187,F187))=0),"",(L188-L187)/(IF(ISNUMBER(G188),G188,F188)-IF(ISNUMBER(G187),G187,F187)))</f>
        <v/>
      </c>
      <c r="W188" s="30">
        <f>IF(NOT(AND(ISNUMBER(N188),ISNUMBER(P188))),"",(P188-N188)*1440)</f>
        <v/>
      </c>
      <c r="X188" s="28" t="n"/>
      <c r="Y188" s="28" t="n"/>
      <c r="Z188" s="28" t="n"/>
      <c r="AA188" s="31" t="n"/>
      <c r="AB188" s="31" t="n"/>
    </row>
    <row r="189">
      <c r="A189" s="25" t="inlineStr">
        <is>
          <t>S04</t>
        </is>
      </c>
      <c r="B189" s="25" t="inlineStr">
        <is>
          <t>진안 신규점1</t>
        </is>
      </c>
      <c r="C189" s="25" t="inlineStr">
        <is>
          <t>S04-H남</t>
        </is>
      </c>
      <c r="D189" s="25" t="inlineStr">
        <is>
          <t>측정</t>
        </is>
      </c>
      <c r="E189" s="25" t="inlineStr">
        <is>
          <t>남</t>
        </is>
      </c>
      <c r="F189" s="30" t="n">
        <v>1</v>
      </c>
      <c r="G189" s="29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IF(COUNTIFS($C:$C,$C189,$D:$D,"P0(전)",$L:$L,"&gt;0")&lt;&gt;1,"P0(전) 유효 1개 아님",IF(COUNTIFS($C:$C,$C189,$D:$D,"P0(후)",$L:$L,"&gt;0")&lt;&gt;1,"P0(후) 유효 1개 아님",IF(NOT(AND(ISNUMBER(N189),ISNUMBER(P189),ISNUMBER(H189))),"시각 결측",IF(P189&lt;=N189,"P0 시각 역전",IF(OR(H189&lt;N189,H189&gt;P189),"측정시각 구간 밖","OK")))))</f>
        <v/>
      </c>
      <c r="N189" s="45">
        <f>IF(COUNTIFS($C:$C,$C189,$D:$D,"P0(전)",$L:$L,"&gt;0")&lt;&gt;1,"",SUMIFS($H:$H,$C:$C,$C189,$D:$D,"P0(전)"))</f>
        <v/>
      </c>
      <c r="O189" s="30">
        <f>IF(COUNTIFS($C:$C,$C189,$D:$D,"P0(전)",$L:$L,"&gt;0")&lt;&gt;1,"",SUMIFS($L:$L,$C:$C,$C189,$D:$D,"P0(전)"))</f>
        <v/>
      </c>
      <c r="P189" s="45">
        <f>IF(COUNTIFS($C:$C,$C189,$D:$D,"P0(후)",$L:$L,"&gt;0")&lt;&gt;1,"",SUMIFS($H:$H,$C:$C,$C189,$D:$D,"P0(후)"))</f>
        <v/>
      </c>
      <c r="Q189" s="30">
        <f>IF(COUNTIFS($C:$C,$C189,$D:$D,"P0(후)",$L:$L,"&gt;0")&lt;&gt;1,"",SUMIFS($L:$L,$C:$C,$C189,$D:$D,"P0(후)"))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IF(OR(NOT(ISNUMBER(S189)),IF(ISNUMBER(G189),G189,F189)=0),"",S189/IF(ISNUMBER(G189),G189,F189))</f>
        <v/>
      </c>
      <c r="U189" s="46">
        <f>IF(ISNUMBER(T189),ABS(T189),"")</f>
        <v/>
      </c>
      <c r="V189" s="46">
        <f>IF(OR($D188&lt;&gt;"측정",$C188&lt;&gt;$C189,NOT(ISNUMBER(L189)),NOT(ISNUMBER(L188)),(IF(ISNUMBER(G189),G189,F189)-IF(ISNUMBER(G188),G188,F188))=0),"",(L189-L188)/(IF(ISNUMBER(G189),G189,F189)-IF(ISNUMBER(G188),G188,F188)))</f>
        <v/>
      </c>
      <c r="W189" s="30">
        <f>IF(NOT(AND(ISNUMBER(N189),ISNUMBER(P189))),"",(P189-N189)*1440)</f>
        <v/>
      </c>
      <c r="X189" s="28" t="n"/>
      <c r="Y189" s="28" t="n"/>
      <c r="Z189" s="28" t="n"/>
      <c r="AA189" s="31" t="n"/>
      <c r="AB189" s="31" t="n"/>
    </row>
    <row r="190">
      <c r="A190" s="25" t="inlineStr">
        <is>
          <t>S04</t>
        </is>
      </c>
      <c r="B190" s="25" t="inlineStr">
        <is>
          <t>진안 신규점1</t>
        </is>
      </c>
      <c r="C190" s="25" t="inlineStr">
        <is>
          <t>S04-H남</t>
        </is>
      </c>
      <c r="D190" s="25" t="inlineStr">
        <is>
          <t>측정</t>
        </is>
      </c>
      <c r="E190" s="25" t="inlineStr">
        <is>
          <t>남</t>
        </is>
      </c>
      <c r="F190" s="30" t="n">
        <v>2</v>
      </c>
      <c r="G190" s="29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IF(COUNTIFS($C:$C,$C190,$D:$D,"P0(전)",$L:$L,"&gt;0")&lt;&gt;1,"P0(전) 유효 1개 아님",IF(COUNTIFS($C:$C,$C190,$D:$D,"P0(후)",$L:$L,"&gt;0")&lt;&gt;1,"P0(후) 유효 1개 아님",IF(NOT(AND(ISNUMBER(N190),ISNUMBER(P190),ISNUMBER(H190))),"시각 결측",IF(P190&lt;=N190,"P0 시각 역전",IF(OR(H190&lt;N190,H190&gt;P190),"측정시각 구간 밖","OK")))))</f>
        <v/>
      </c>
      <c r="N190" s="45">
        <f>IF(COUNTIFS($C:$C,$C190,$D:$D,"P0(전)",$L:$L,"&gt;0")&lt;&gt;1,"",SUMIFS($H:$H,$C:$C,$C190,$D:$D,"P0(전)"))</f>
        <v/>
      </c>
      <c r="O190" s="30">
        <f>IF(COUNTIFS($C:$C,$C190,$D:$D,"P0(전)",$L:$L,"&gt;0")&lt;&gt;1,"",SUMIFS($L:$L,$C:$C,$C190,$D:$D,"P0(전)"))</f>
        <v/>
      </c>
      <c r="P190" s="45">
        <f>IF(COUNTIFS($C:$C,$C190,$D:$D,"P0(후)",$L:$L,"&gt;0")&lt;&gt;1,"",SUMIFS($H:$H,$C:$C,$C190,$D:$D,"P0(후)"))</f>
        <v/>
      </c>
      <c r="Q190" s="30">
        <f>IF(COUNTIFS($C:$C,$C190,$D:$D,"P0(후)",$L:$L,"&gt;0")&lt;&gt;1,"",SUMIFS($L:$L,$C:$C,$C190,$D:$D,"P0(후)"))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IF(OR(NOT(ISNUMBER(S190)),IF(ISNUMBER(G190),G190,F190)=0),"",S190/IF(ISNUMBER(G190),G190,F190))</f>
        <v/>
      </c>
      <c r="U190" s="46">
        <f>IF(ISNUMBER(T190),ABS(T190),"")</f>
        <v/>
      </c>
      <c r="V190" s="46">
        <f>IF(OR($D189&lt;&gt;"측정",$C189&lt;&gt;$C190,NOT(ISNUMBER(L190)),NOT(ISNUMBER(L189)),(IF(ISNUMBER(G190),G190,F190)-IF(ISNUMBER(G189),G189,F189))=0),"",(L190-L189)/(IF(ISNUMBER(G190),G190,F190)-IF(ISNUMBER(G189),G189,F189)))</f>
        <v/>
      </c>
      <c r="W190" s="30">
        <f>IF(NOT(AND(ISNUMBER(N190),ISNUMBER(P190))),"",(P190-N190)*1440)</f>
        <v/>
      </c>
      <c r="X190" s="28" t="n"/>
      <c r="Y190" s="28" t="n"/>
      <c r="Z190" s="28" t="n"/>
      <c r="AA190" s="31" t="n"/>
      <c r="AB190" s="31" t="n"/>
    </row>
    <row r="191">
      <c r="A191" s="25" t="inlineStr">
        <is>
          <t>S04</t>
        </is>
      </c>
      <c r="B191" s="25" t="inlineStr">
        <is>
          <t>진안 신규점1</t>
        </is>
      </c>
      <c r="C191" s="25" t="inlineStr">
        <is>
          <t>S04-H남</t>
        </is>
      </c>
      <c r="D191" s="25" t="inlineStr">
        <is>
          <t>측정</t>
        </is>
      </c>
      <c r="E191" s="25" t="inlineStr">
        <is>
          <t>남</t>
        </is>
      </c>
      <c r="F191" s="30" t="n">
        <v>3</v>
      </c>
      <c r="G191" s="29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IF(COUNTIFS($C:$C,$C191,$D:$D,"P0(전)",$L:$L,"&gt;0")&lt;&gt;1,"P0(전) 유효 1개 아님",IF(COUNTIFS($C:$C,$C191,$D:$D,"P0(후)",$L:$L,"&gt;0")&lt;&gt;1,"P0(후) 유효 1개 아님",IF(NOT(AND(ISNUMBER(N191),ISNUMBER(P191),ISNUMBER(H191))),"시각 결측",IF(P191&lt;=N191,"P0 시각 역전",IF(OR(H191&lt;N191,H191&gt;P191),"측정시각 구간 밖","OK")))))</f>
        <v/>
      </c>
      <c r="N191" s="45">
        <f>IF(COUNTIFS($C:$C,$C191,$D:$D,"P0(전)",$L:$L,"&gt;0")&lt;&gt;1,"",SUMIFS($H:$H,$C:$C,$C191,$D:$D,"P0(전)"))</f>
        <v/>
      </c>
      <c r="O191" s="30">
        <f>IF(COUNTIFS($C:$C,$C191,$D:$D,"P0(전)",$L:$L,"&gt;0")&lt;&gt;1,"",SUMIFS($L:$L,$C:$C,$C191,$D:$D,"P0(전)"))</f>
        <v/>
      </c>
      <c r="P191" s="45">
        <f>IF(COUNTIFS($C:$C,$C191,$D:$D,"P0(후)",$L:$L,"&gt;0")&lt;&gt;1,"",SUMIFS($H:$H,$C:$C,$C191,$D:$D,"P0(후)"))</f>
        <v/>
      </c>
      <c r="Q191" s="30">
        <f>IF(COUNTIFS($C:$C,$C191,$D:$D,"P0(후)",$L:$L,"&gt;0")&lt;&gt;1,"",SUMIFS($L:$L,$C:$C,$C191,$D:$D,"P0(후)"))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IF(OR(NOT(ISNUMBER(S191)),IF(ISNUMBER(G191),G191,F191)=0),"",S191/IF(ISNUMBER(G191),G191,F191))</f>
        <v/>
      </c>
      <c r="U191" s="46">
        <f>IF(ISNUMBER(T191),ABS(T191),"")</f>
        <v/>
      </c>
      <c r="V191" s="46">
        <f>IF(OR($D190&lt;&gt;"측정",$C190&lt;&gt;$C191,NOT(ISNUMBER(L191)),NOT(ISNUMBER(L190)),(IF(ISNUMBER(G191),G191,F191)-IF(ISNUMBER(G190),G190,F190))=0),"",(L191-L190)/(IF(ISNUMBER(G191),G191,F191)-IF(ISNUMBER(G190),G190,F190)))</f>
        <v/>
      </c>
      <c r="W191" s="30">
        <f>IF(NOT(AND(ISNUMBER(N191),ISNUMBER(P191))),"",(P191-N191)*1440)</f>
        <v/>
      </c>
      <c r="X191" s="28" t="n"/>
      <c r="Y191" s="28" t="n"/>
      <c r="Z191" s="28" t="n"/>
      <c r="AA191" s="31" t="n"/>
      <c r="AB191" s="31" t="n"/>
    </row>
    <row r="192">
      <c r="A192" s="25" t="inlineStr">
        <is>
          <t>S04</t>
        </is>
      </c>
      <c r="B192" s="25" t="inlineStr">
        <is>
          <t>진안 신규점1</t>
        </is>
      </c>
      <c r="C192" s="25" t="inlineStr">
        <is>
          <t>S04-H남</t>
        </is>
      </c>
      <c r="D192" s="25" t="inlineStr">
        <is>
          <t>측정</t>
        </is>
      </c>
      <c r="E192" s="25" t="inlineStr">
        <is>
          <t>남</t>
        </is>
      </c>
      <c r="F192" s="30" t="n">
        <v>4</v>
      </c>
      <c r="G192" s="29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IF(COUNTIFS($C:$C,$C192,$D:$D,"P0(전)",$L:$L,"&gt;0")&lt;&gt;1,"P0(전) 유효 1개 아님",IF(COUNTIFS($C:$C,$C192,$D:$D,"P0(후)",$L:$L,"&gt;0")&lt;&gt;1,"P0(후) 유효 1개 아님",IF(NOT(AND(ISNUMBER(N192),ISNUMBER(P192),ISNUMBER(H192))),"시각 결측",IF(P192&lt;=N192,"P0 시각 역전",IF(OR(H192&lt;N192,H192&gt;P192),"측정시각 구간 밖","OK")))))</f>
        <v/>
      </c>
      <c r="N192" s="45">
        <f>IF(COUNTIFS($C:$C,$C192,$D:$D,"P0(전)",$L:$L,"&gt;0")&lt;&gt;1,"",SUMIFS($H:$H,$C:$C,$C192,$D:$D,"P0(전)"))</f>
        <v/>
      </c>
      <c r="O192" s="30">
        <f>IF(COUNTIFS($C:$C,$C192,$D:$D,"P0(전)",$L:$L,"&gt;0")&lt;&gt;1,"",SUMIFS($L:$L,$C:$C,$C192,$D:$D,"P0(전)"))</f>
        <v/>
      </c>
      <c r="P192" s="45">
        <f>IF(COUNTIFS($C:$C,$C192,$D:$D,"P0(후)",$L:$L,"&gt;0")&lt;&gt;1,"",SUMIFS($H:$H,$C:$C,$C192,$D:$D,"P0(후)"))</f>
        <v/>
      </c>
      <c r="Q192" s="30">
        <f>IF(COUNTIFS($C:$C,$C192,$D:$D,"P0(후)",$L:$L,"&gt;0")&lt;&gt;1,"",SUMIFS($L:$L,$C:$C,$C192,$D:$D,"P0(후)"))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IF(OR(NOT(ISNUMBER(S192)),IF(ISNUMBER(G192),G192,F192)=0),"",S192/IF(ISNUMBER(G192),G192,F192))</f>
        <v/>
      </c>
      <c r="U192" s="46">
        <f>IF(ISNUMBER(T192),ABS(T192),"")</f>
        <v/>
      </c>
      <c r="V192" s="46">
        <f>IF(OR($D191&lt;&gt;"측정",$C191&lt;&gt;$C192,NOT(ISNUMBER(L192)),NOT(ISNUMBER(L191)),(IF(ISNUMBER(G192),G192,F192)-IF(ISNUMBER(G191),G191,F191))=0),"",(L192-L191)/(IF(ISNUMBER(G192),G192,F192)-IF(ISNUMBER(G191),G191,F191)))</f>
        <v/>
      </c>
      <c r="W192" s="30">
        <f>IF(NOT(AND(ISNUMBER(N192),ISNUMBER(P192))),"",(P192-N192)*1440)</f>
        <v/>
      </c>
      <c r="X192" s="28" t="n"/>
      <c r="Y192" s="28" t="n"/>
      <c r="Z192" s="28" t="n"/>
      <c r="AA192" s="31" t="n"/>
      <c r="AB192" s="31" t="n"/>
    </row>
    <row r="193">
      <c r="A193" s="25" t="inlineStr">
        <is>
          <t>S04</t>
        </is>
      </c>
      <c r="B193" s="25" t="inlineStr">
        <is>
          <t>진안 신규점1</t>
        </is>
      </c>
      <c r="C193" s="25" t="inlineStr">
        <is>
          <t>S04-H남</t>
        </is>
      </c>
      <c r="D193" s="25" t="inlineStr">
        <is>
          <t>측정</t>
        </is>
      </c>
      <c r="E193" s="25" t="inlineStr">
        <is>
          <t>남</t>
        </is>
      </c>
      <c r="F193" s="30" t="n">
        <v>5</v>
      </c>
      <c r="G193" s="29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IF(COUNTIFS($C:$C,$C193,$D:$D,"P0(전)",$L:$L,"&gt;0")&lt;&gt;1,"P0(전) 유효 1개 아님",IF(COUNTIFS($C:$C,$C193,$D:$D,"P0(후)",$L:$L,"&gt;0")&lt;&gt;1,"P0(후) 유효 1개 아님",IF(NOT(AND(ISNUMBER(N193),ISNUMBER(P193),ISNUMBER(H193))),"시각 결측",IF(P193&lt;=N193,"P0 시각 역전",IF(OR(H193&lt;N193,H193&gt;P193),"측정시각 구간 밖","OK")))))</f>
        <v/>
      </c>
      <c r="N193" s="45">
        <f>IF(COUNTIFS($C:$C,$C193,$D:$D,"P0(전)",$L:$L,"&gt;0")&lt;&gt;1,"",SUMIFS($H:$H,$C:$C,$C193,$D:$D,"P0(전)"))</f>
        <v/>
      </c>
      <c r="O193" s="30">
        <f>IF(COUNTIFS($C:$C,$C193,$D:$D,"P0(전)",$L:$L,"&gt;0")&lt;&gt;1,"",SUMIFS($L:$L,$C:$C,$C193,$D:$D,"P0(전)"))</f>
        <v/>
      </c>
      <c r="P193" s="45">
        <f>IF(COUNTIFS($C:$C,$C193,$D:$D,"P0(후)",$L:$L,"&gt;0")&lt;&gt;1,"",SUMIFS($H:$H,$C:$C,$C193,$D:$D,"P0(후)"))</f>
        <v/>
      </c>
      <c r="Q193" s="30">
        <f>IF(COUNTIFS($C:$C,$C193,$D:$D,"P0(후)",$L:$L,"&gt;0")&lt;&gt;1,"",SUMIFS($L:$L,$C:$C,$C193,$D:$D,"P0(후)"))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IF(OR(NOT(ISNUMBER(S193)),IF(ISNUMBER(G193),G193,F193)=0),"",S193/IF(ISNUMBER(G193),G193,F193))</f>
        <v/>
      </c>
      <c r="U193" s="46">
        <f>IF(ISNUMBER(T193),ABS(T193),"")</f>
        <v/>
      </c>
      <c r="V193" s="46">
        <f>IF(OR($D192&lt;&gt;"측정",$C192&lt;&gt;$C193,NOT(ISNUMBER(L193)),NOT(ISNUMBER(L192)),(IF(ISNUMBER(G193),G193,F193)-IF(ISNUMBER(G192),G192,F192))=0),"",(L193-L192)/(IF(ISNUMBER(G193),G193,F193)-IF(ISNUMBER(G192),G192,F192)))</f>
        <v/>
      </c>
      <c r="W193" s="30">
        <f>IF(NOT(AND(ISNUMBER(N193),ISNUMBER(P193))),"",(P193-N193)*1440)</f>
        <v/>
      </c>
      <c r="X193" s="28" t="n"/>
      <c r="Y193" s="28" t="n"/>
      <c r="Z193" s="28" t="n"/>
      <c r="AA193" s="31" t="n"/>
      <c r="AB193" s="31" t="n"/>
    </row>
    <row r="194">
      <c r="A194" s="25" t="inlineStr">
        <is>
          <t>S04</t>
        </is>
      </c>
      <c r="B194" s="25" t="inlineStr">
        <is>
          <t>진안 신규점1</t>
        </is>
      </c>
      <c r="C194" s="25" t="inlineStr">
        <is>
          <t>S04-H남</t>
        </is>
      </c>
      <c r="D194" s="25" t="inlineStr">
        <is>
          <t>측정</t>
        </is>
      </c>
      <c r="E194" s="25" t="inlineStr">
        <is>
          <t>남</t>
        </is>
      </c>
      <c r="F194" s="30" t="n">
        <v>6</v>
      </c>
      <c r="G194" s="29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IF(COUNTIFS($C:$C,$C194,$D:$D,"P0(전)",$L:$L,"&gt;0")&lt;&gt;1,"P0(전) 유효 1개 아님",IF(COUNTIFS($C:$C,$C194,$D:$D,"P0(후)",$L:$L,"&gt;0")&lt;&gt;1,"P0(후) 유효 1개 아님",IF(NOT(AND(ISNUMBER(N194),ISNUMBER(P194),ISNUMBER(H194))),"시각 결측",IF(P194&lt;=N194,"P0 시각 역전",IF(OR(H194&lt;N194,H194&gt;P194),"측정시각 구간 밖","OK")))))</f>
        <v/>
      </c>
      <c r="N194" s="45">
        <f>IF(COUNTIFS($C:$C,$C194,$D:$D,"P0(전)",$L:$L,"&gt;0")&lt;&gt;1,"",SUMIFS($H:$H,$C:$C,$C194,$D:$D,"P0(전)"))</f>
        <v/>
      </c>
      <c r="O194" s="30">
        <f>IF(COUNTIFS($C:$C,$C194,$D:$D,"P0(전)",$L:$L,"&gt;0")&lt;&gt;1,"",SUMIFS($L:$L,$C:$C,$C194,$D:$D,"P0(전)"))</f>
        <v/>
      </c>
      <c r="P194" s="45">
        <f>IF(COUNTIFS($C:$C,$C194,$D:$D,"P0(후)",$L:$L,"&gt;0")&lt;&gt;1,"",SUMIFS($H:$H,$C:$C,$C194,$D:$D,"P0(후)"))</f>
        <v/>
      </c>
      <c r="Q194" s="30">
        <f>IF(COUNTIFS($C:$C,$C194,$D:$D,"P0(후)",$L:$L,"&gt;0")&lt;&gt;1,"",SUMIFS($L:$L,$C:$C,$C194,$D:$D,"P0(후)"))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IF(OR(NOT(ISNUMBER(S194)),IF(ISNUMBER(G194),G194,F194)=0),"",S194/IF(ISNUMBER(G194),G194,F194))</f>
        <v/>
      </c>
      <c r="U194" s="46">
        <f>IF(ISNUMBER(T194),ABS(T194),"")</f>
        <v/>
      </c>
      <c r="V194" s="46">
        <f>IF(OR($D193&lt;&gt;"측정",$C193&lt;&gt;$C194,NOT(ISNUMBER(L194)),NOT(ISNUMBER(L193)),(IF(ISNUMBER(G194),G194,F194)-IF(ISNUMBER(G193),G193,F193))=0),"",(L194-L193)/(IF(ISNUMBER(G194),G194,F194)-IF(ISNUMBER(G193),G193,F193)))</f>
        <v/>
      </c>
      <c r="W194" s="30">
        <f>IF(NOT(AND(ISNUMBER(N194),ISNUMBER(P194))),"",(P194-N194)*1440)</f>
        <v/>
      </c>
      <c r="X194" s="28" t="n"/>
      <c r="Y194" s="28" t="n"/>
      <c r="Z194" s="28" t="n"/>
      <c r="AA194" s="31" t="n"/>
      <c r="AB194" s="31" t="n"/>
    </row>
    <row r="195">
      <c r="A195" s="25" t="inlineStr">
        <is>
          <t>S04</t>
        </is>
      </c>
      <c r="B195" s="25" t="inlineStr">
        <is>
          <t>진안 신규점1</t>
        </is>
      </c>
      <c r="C195" s="25" t="inlineStr">
        <is>
          <t>S04-H남</t>
        </is>
      </c>
      <c r="D195" s="25" t="inlineStr">
        <is>
          <t>측정</t>
        </is>
      </c>
      <c r="E195" s="25" t="inlineStr">
        <is>
          <t>남</t>
        </is>
      </c>
      <c r="F195" s="30" t="n">
        <v>7</v>
      </c>
      <c r="G195" s="29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IF(COUNTIFS($C:$C,$C195,$D:$D,"P0(전)",$L:$L,"&gt;0")&lt;&gt;1,"P0(전) 유효 1개 아님",IF(COUNTIFS($C:$C,$C195,$D:$D,"P0(후)",$L:$L,"&gt;0")&lt;&gt;1,"P0(후) 유효 1개 아님",IF(NOT(AND(ISNUMBER(N195),ISNUMBER(P195),ISNUMBER(H195))),"시각 결측",IF(P195&lt;=N195,"P0 시각 역전",IF(OR(H195&lt;N195,H195&gt;P195),"측정시각 구간 밖","OK")))))</f>
        <v/>
      </c>
      <c r="N195" s="45">
        <f>IF(COUNTIFS($C:$C,$C195,$D:$D,"P0(전)",$L:$L,"&gt;0")&lt;&gt;1,"",SUMIFS($H:$H,$C:$C,$C195,$D:$D,"P0(전)"))</f>
        <v/>
      </c>
      <c r="O195" s="30">
        <f>IF(COUNTIFS($C:$C,$C195,$D:$D,"P0(전)",$L:$L,"&gt;0")&lt;&gt;1,"",SUMIFS($L:$L,$C:$C,$C195,$D:$D,"P0(전)"))</f>
        <v/>
      </c>
      <c r="P195" s="45">
        <f>IF(COUNTIFS($C:$C,$C195,$D:$D,"P0(후)",$L:$L,"&gt;0")&lt;&gt;1,"",SUMIFS($H:$H,$C:$C,$C195,$D:$D,"P0(후)"))</f>
        <v/>
      </c>
      <c r="Q195" s="30">
        <f>IF(COUNTIFS($C:$C,$C195,$D:$D,"P0(후)",$L:$L,"&gt;0")&lt;&gt;1,"",SUMIFS($L:$L,$C:$C,$C195,$D:$D,"P0(후)"))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IF(OR(NOT(ISNUMBER(S195)),IF(ISNUMBER(G195),G195,F195)=0),"",S195/IF(ISNUMBER(G195),G195,F195))</f>
        <v/>
      </c>
      <c r="U195" s="46">
        <f>IF(ISNUMBER(T195),ABS(T195),"")</f>
        <v/>
      </c>
      <c r="V195" s="46">
        <f>IF(OR($D194&lt;&gt;"측정",$C194&lt;&gt;$C195,NOT(ISNUMBER(L195)),NOT(ISNUMBER(L194)),(IF(ISNUMBER(G195),G195,F195)-IF(ISNUMBER(G194),G194,F194))=0),"",(L195-L194)/(IF(ISNUMBER(G195),G195,F195)-IF(ISNUMBER(G194),G194,F194)))</f>
        <v/>
      </c>
      <c r="W195" s="30">
        <f>IF(NOT(AND(ISNUMBER(N195),ISNUMBER(P195))),"",(P195-N195)*1440)</f>
        <v/>
      </c>
      <c r="X195" s="28" t="n"/>
      <c r="Y195" s="28" t="n"/>
      <c r="Z195" s="28" t="n"/>
      <c r="AA195" s="31" t="n"/>
      <c r="AB195" s="31" t="n"/>
    </row>
    <row r="196">
      <c r="A196" s="25" t="inlineStr">
        <is>
          <t>S04</t>
        </is>
      </c>
      <c r="B196" s="25" t="inlineStr">
        <is>
          <t>진안 신규점1</t>
        </is>
      </c>
      <c r="C196" s="25" t="inlineStr">
        <is>
          <t>S04-H남</t>
        </is>
      </c>
      <c r="D196" s="25" t="inlineStr">
        <is>
          <t>측정</t>
        </is>
      </c>
      <c r="E196" s="25" t="inlineStr">
        <is>
          <t>남</t>
        </is>
      </c>
      <c r="F196" s="30" t="n">
        <v>8</v>
      </c>
      <c r="G196" s="29" t="n"/>
      <c r="H196" s="42" t="n"/>
      <c r="I196" s="40" t="n"/>
      <c r="J196" s="40" t="n"/>
      <c r="K196" s="40" t="n"/>
      <c r="L196" s="30">
        <f>IF(COUNT(I196:K196)=0,"",MEDIAN(I196:K196))</f>
        <v/>
      </c>
      <c r="M196" s="25">
        <f>IF(COUNTIFS($C:$C,$C196,$D:$D,"P0(전)",$L:$L,"&gt;0")&lt;&gt;1,"P0(전) 유효 1개 아님",IF(COUNTIFS($C:$C,$C196,$D:$D,"P0(후)",$L:$L,"&gt;0")&lt;&gt;1,"P0(후) 유효 1개 아님",IF(NOT(AND(ISNUMBER(N196),ISNUMBER(P196),ISNUMBER(H196))),"시각 결측",IF(P196&lt;=N196,"P0 시각 역전",IF(OR(H196&lt;N196,H196&gt;P196),"측정시각 구간 밖","OK")))))</f>
        <v/>
      </c>
      <c r="N196" s="45">
        <f>IF(COUNTIFS($C:$C,$C196,$D:$D,"P0(전)",$L:$L,"&gt;0")&lt;&gt;1,"",SUMIFS($H:$H,$C:$C,$C196,$D:$D,"P0(전)"))</f>
        <v/>
      </c>
      <c r="O196" s="30">
        <f>IF(COUNTIFS($C:$C,$C196,$D:$D,"P0(전)",$L:$L,"&gt;0")&lt;&gt;1,"",SUMIFS($L:$L,$C:$C,$C196,$D:$D,"P0(전)"))</f>
        <v/>
      </c>
      <c r="P196" s="45">
        <f>IF(COUNTIFS($C:$C,$C196,$D:$D,"P0(후)",$L:$L,"&gt;0")&lt;&gt;1,"",SUMIFS($H:$H,$C:$C,$C196,$D:$D,"P0(후)"))</f>
        <v/>
      </c>
      <c r="Q196" s="30">
        <f>IF(COUNTIFS($C:$C,$C196,$D:$D,"P0(후)",$L:$L,"&gt;0")&lt;&gt;1,"",SUMIFS($L:$L,$C:$C,$C196,$D:$D,"P0(후)"))</f>
        <v/>
      </c>
      <c r="R196" s="30">
        <f>IF(M196&lt;&gt;"OK","",O196+(Q196-O196)*(H196-N196)/(P196-N196))</f>
        <v/>
      </c>
      <c r="S196" s="30">
        <f>IF(OR(M196&lt;&gt;"OK",NOT(ISNUMBER(L196))),"",L196-R196)</f>
        <v/>
      </c>
      <c r="T196" s="46">
        <f>IF(OR(NOT(ISNUMBER(S196)),IF(ISNUMBER(G196),G196,F196)=0),"",S196/IF(ISNUMBER(G196),G196,F196))</f>
        <v/>
      </c>
      <c r="U196" s="46">
        <f>IF(ISNUMBER(T196),ABS(T196),"")</f>
        <v/>
      </c>
      <c r="V196" s="46">
        <f>IF(OR($D195&lt;&gt;"측정",$C195&lt;&gt;$C196,NOT(ISNUMBER(L196)),NOT(ISNUMBER(L195)),(IF(ISNUMBER(G196),G196,F196)-IF(ISNUMBER(G195),G195,F195))=0),"",(L196-L195)/(IF(ISNUMBER(G196),G196,F196)-IF(ISNUMBER(G195),G195,F195)))</f>
        <v/>
      </c>
      <c r="W196" s="30">
        <f>IF(NOT(AND(ISNUMBER(N196),ISNUMBER(P196))),"",(P196-N196)*1440)</f>
        <v/>
      </c>
      <c r="X196" s="28" t="n"/>
      <c r="Y196" s="28" t="n"/>
      <c r="Z196" s="28" t="n"/>
      <c r="AA196" s="31" t="n"/>
      <c r="AB196" s="31" t="n"/>
    </row>
    <row r="197">
      <c r="A197" s="25" t="inlineStr">
        <is>
          <t>S04</t>
        </is>
      </c>
      <c r="B197" s="25" t="inlineStr">
        <is>
          <t>진안 신규점1</t>
        </is>
      </c>
      <c r="C197" s="25" t="inlineStr">
        <is>
          <t>S04-H남</t>
        </is>
      </c>
      <c r="D197" s="25" t="inlineStr">
        <is>
          <t>측정</t>
        </is>
      </c>
      <c r="E197" s="25" t="inlineStr">
        <is>
          <t>남</t>
        </is>
      </c>
      <c r="F197" s="30" t="n">
        <v>9</v>
      </c>
      <c r="G197" s="29" t="n"/>
      <c r="H197" s="42" t="n"/>
      <c r="I197" s="40" t="n"/>
      <c r="J197" s="40" t="n"/>
      <c r="K197" s="40" t="n"/>
      <c r="L197" s="30">
        <f>IF(COUNT(I197:K197)=0,"",MEDIAN(I197:K197))</f>
        <v/>
      </c>
      <c r="M197" s="25">
        <f>IF(COUNTIFS($C:$C,$C197,$D:$D,"P0(전)",$L:$L,"&gt;0")&lt;&gt;1,"P0(전) 유효 1개 아님",IF(COUNTIFS($C:$C,$C197,$D:$D,"P0(후)",$L:$L,"&gt;0")&lt;&gt;1,"P0(후) 유효 1개 아님",IF(NOT(AND(ISNUMBER(N197),ISNUMBER(P197),ISNUMBER(H197))),"시각 결측",IF(P197&lt;=N197,"P0 시각 역전",IF(OR(H197&lt;N197,H197&gt;P197),"측정시각 구간 밖","OK")))))</f>
        <v/>
      </c>
      <c r="N197" s="45">
        <f>IF(COUNTIFS($C:$C,$C197,$D:$D,"P0(전)",$L:$L,"&gt;0")&lt;&gt;1,"",SUMIFS($H:$H,$C:$C,$C197,$D:$D,"P0(전)"))</f>
        <v/>
      </c>
      <c r="O197" s="30">
        <f>IF(COUNTIFS($C:$C,$C197,$D:$D,"P0(전)",$L:$L,"&gt;0")&lt;&gt;1,"",SUMIFS($L:$L,$C:$C,$C197,$D:$D,"P0(전)"))</f>
        <v/>
      </c>
      <c r="P197" s="45">
        <f>IF(COUNTIFS($C:$C,$C197,$D:$D,"P0(후)",$L:$L,"&gt;0")&lt;&gt;1,"",SUMIFS($H:$H,$C:$C,$C197,$D:$D,"P0(후)"))</f>
        <v/>
      </c>
      <c r="Q197" s="30">
        <f>IF(COUNTIFS($C:$C,$C197,$D:$D,"P0(후)",$L:$L,"&gt;0")&lt;&gt;1,"",SUMIFS($L:$L,$C:$C,$C197,$D:$D,"P0(후)"))</f>
        <v/>
      </c>
      <c r="R197" s="30">
        <f>IF(M197&lt;&gt;"OK","",O197+(Q197-O197)*(H197-N197)/(P197-N197))</f>
        <v/>
      </c>
      <c r="S197" s="30">
        <f>IF(OR(M197&lt;&gt;"OK",NOT(ISNUMBER(L197))),"",L197-R197)</f>
        <v/>
      </c>
      <c r="T197" s="46">
        <f>IF(OR(NOT(ISNUMBER(S197)),IF(ISNUMBER(G197),G197,F197)=0),"",S197/IF(ISNUMBER(G197),G197,F197))</f>
        <v/>
      </c>
      <c r="U197" s="46">
        <f>IF(ISNUMBER(T197),ABS(T197),"")</f>
        <v/>
      </c>
      <c r="V197" s="46">
        <f>IF(OR($D196&lt;&gt;"측정",$C196&lt;&gt;$C197,NOT(ISNUMBER(L197)),NOT(ISNUMBER(L196)),(IF(ISNUMBER(G197),G197,F197)-IF(ISNUMBER(G196),G196,F196))=0),"",(L197-L196)/(IF(ISNUMBER(G197),G197,F197)-IF(ISNUMBER(G196),G196,F196)))</f>
        <v/>
      </c>
      <c r="W197" s="30">
        <f>IF(NOT(AND(ISNUMBER(N197),ISNUMBER(P197))),"",(P197-N197)*1440)</f>
        <v/>
      </c>
      <c r="X197" s="28" t="n"/>
      <c r="Y197" s="28" t="n"/>
      <c r="Z197" s="28" t="n"/>
      <c r="AA197" s="31" t="n"/>
      <c r="AB197" s="31" t="n"/>
    </row>
    <row r="198">
      <c r="A198" s="25" t="inlineStr">
        <is>
          <t>S04</t>
        </is>
      </c>
      <c r="B198" s="25" t="inlineStr">
        <is>
          <t>진안 신규점1</t>
        </is>
      </c>
      <c r="C198" s="25" t="inlineStr">
        <is>
          <t>S04-H남</t>
        </is>
      </c>
      <c r="D198" s="25" t="inlineStr">
        <is>
          <t>측정</t>
        </is>
      </c>
      <c r="E198" s="25" t="inlineStr">
        <is>
          <t>남</t>
        </is>
      </c>
      <c r="F198" s="30" t="n">
        <v>10</v>
      </c>
      <c r="G198" s="29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IF(COUNTIFS($C:$C,$C198,$D:$D,"P0(전)",$L:$L,"&gt;0")&lt;&gt;1,"P0(전) 유효 1개 아님",IF(COUNTIFS($C:$C,$C198,$D:$D,"P0(후)",$L:$L,"&gt;0")&lt;&gt;1,"P0(후) 유효 1개 아님",IF(NOT(AND(ISNUMBER(N198),ISNUMBER(P198),ISNUMBER(H198))),"시각 결측",IF(P198&lt;=N198,"P0 시각 역전",IF(OR(H198&lt;N198,H198&gt;P198),"측정시각 구간 밖","OK")))))</f>
        <v/>
      </c>
      <c r="N198" s="45">
        <f>IF(COUNTIFS($C:$C,$C198,$D:$D,"P0(전)",$L:$L,"&gt;0")&lt;&gt;1,"",SUMIFS($H:$H,$C:$C,$C198,$D:$D,"P0(전)"))</f>
        <v/>
      </c>
      <c r="O198" s="30">
        <f>IF(COUNTIFS($C:$C,$C198,$D:$D,"P0(전)",$L:$L,"&gt;0")&lt;&gt;1,"",SUMIFS($L:$L,$C:$C,$C198,$D:$D,"P0(전)"))</f>
        <v/>
      </c>
      <c r="P198" s="45">
        <f>IF(COUNTIFS($C:$C,$C198,$D:$D,"P0(후)",$L:$L,"&gt;0")&lt;&gt;1,"",SUMIFS($H:$H,$C:$C,$C198,$D:$D,"P0(후)"))</f>
        <v/>
      </c>
      <c r="Q198" s="30">
        <f>IF(COUNTIFS($C:$C,$C198,$D:$D,"P0(후)",$L:$L,"&gt;0")&lt;&gt;1,"",SUMIFS($L:$L,$C:$C,$C198,$D:$D,"P0(후)"))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IF(OR(NOT(ISNUMBER(S198)),IF(ISNUMBER(G198),G198,F198)=0),"",S198/IF(ISNUMBER(G198),G198,F198))</f>
        <v/>
      </c>
      <c r="U198" s="46">
        <f>IF(ISNUMBER(T198),ABS(T198),"")</f>
        <v/>
      </c>
      <c r="V198" s="46">
        <f>IF(OR($D197&lt;&gt;"측정",$C197&lt;&gt;$C198,NOT(ISNUMBER(L198)),NOT(ISNUMBER(L197)),(IF(ISNUMBER(G198),G198,F198)-IF(ISNUMBER(G197),G197,F197))=0),"",(L198-L197)/(IF(ISNUMBER(G198),G198,F198)-IF(ISNUMBER(G197),G197,F197)))</f>
        <v/>
      </c>
      <c r="W198" s="30">
        <f>IF(NOT(AND(ISNUMBER(N198),ISNUMBER(P198))),"",(P198-N198)*1440)</f>
        <v/>
      </c>
      <c r="X198" s="28" t="n"/>
      <c r="Y198" s="28" t="n"/>
      <c r="Z198" s="28" t="n"/>
      <c r="AA198" s="31" t="n"/>
      <c r="AB198" s="31" t="n"/>
    </row>
    <row r="199">
      <c r="A199" s="43" t="inlineStr">
        <is>
          <t>S04</t>
        </is>
      </c>
      <c r="B199" s="43" t="inlineStr">
        <is>
          <t>진안 신규점1</t>
        </is>
      </c>
      <c r="C199" s="43" t="inlineStr">
        <is>
          <t>S04-H남</t>
        </is>
      </c>
      <c r="D199" s="43" t="inlineStr">
        <is>
          <t>P0(후)</t>
        </is>
      </c>
      <c r="E199" s="43" t="inlineStr">
        <is>
          <t>남</t>
        </is>
      </c>
      <c r="F199" s="44" t="n"/>
      <c r="G199" s="29" t="n"/>
      <c r="H199" s="42" t="n"/>
      <c r="I199" s="40" t="n"/>
      <c r="J199" s="40" t="n"/>
      <c r="K199" s="40" t="n"/>
      <c r="L199" s="30">
        <f>IF(COUNT(I199:K199)=0,"",MEDIAN(I199:K199))</f>
        <v/>
      </c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28" t="n"/>
      <c r="Y199" s="28" t="n"/>
      <c r="Z199" s="28" t="n"/>
      <c r="AA199" s="31" t="n"/>
      <c r="AB199" s="31" t="n"/>
    </row>
    <row r="200">
      <c r="A200" s="43" t="inlineStr">
        <is>
          <t>S04</t>
        </is>
      </c>
      <c r="B200" s="43" t="inlineStr">
        <is>
          <t>진안 신규점1</t>
        </is>
      </c>
      <c r="C200" s="43" t="inlineStr">
        <is>
          <t>S04-H북</t>
        </is>
      </c>
      <c r="D200" s="43" t="inlineStr">
        <is>
          <t>P0(전)</t>
        </is>
      </c>
      <c r="E200" s="43" t="inlineStr">
        <is>
          <t>북</t>
        </is>
      </c>
      <c r="F200" s="44" t="n"/>
      <c r="G200" s="29" t="n"/>
      <c r="H200" s="42" t="n"/>
      <c r="I200" s="40" t="n"/>
      <c r="J200" s="40" t="n"/>
      <c r="K200" s="40" t="n"/>
      <c r="L200" s="30">
        <f>IF(COUNT(I200:K200)=0,"",MEDIAN(I200:K200))</f>
        <v/>
      </c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28" t="n"/>
      <c r="Y200" s="28" t="n"/>
      <c r="Z200" s="28" t="n"/>
      <c r="AA200" s="31" t="n"/>
      <c r="AB200" s="31" t="n"/>
    </row>
    <row r="201">
      <c r="A201" s="25" t="inlineStr">
        <is>
          <t>S04</t>
        </is>
      </c>
      <c r="B201" s="25" t="inlineStr">
        <is>
          <t>진안 신규점1</t>
        </is>
      </c>
      <c r="C201" s="25" t="inlineStr">
        <is>
          <t>S04-H북</t>
        </is>
      </c>
      <c r="D201" s="25" t="inlineStr">
        <is>
          <t>측정</t>
        </is>
      </c>
      <c r="E201" s="25" t="inlineStr">
        <is>
          <t>북</t>
        </is>
      </c>
      <c r="F201" s="30" t="n">
        <v>0.5</v>
      </c>
      <c r="G201" s="29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IF(COUNTIFS($C:$C,$C201,$D:$D,"P0(전)",$L:$L,"&gt;0")&lt;&gt;1,"P0(전) 유효 1개 아님",IF(COUNTIFS($C:$C,$C201,$D:$D,"P0(후)",$L:$L,"&gt;0")&lt;&gt;1,"P0(후) 유효 1개 아님",IF(NOT(AND(ISNUMBER(N201),ISNUMBER(P201),ISNUMBER(H201))),"시각 결측",IF(P201&lt;=N201,"P0 시각 역전",IF(OR(H201&lt;N201,H201&gt;P201),"측정시각 구간 밖","OK")))))</f>
        <v/>
      </c>
      <c r="N201" s="45">
        <f>IF(COUNTIFS($C:$C,$C201,$D:$D,"P0(전)",$L:$L,"&gt;0")&lt;&gt;1,"",SUMIFS($H:$H,$C:$C,$C201,$D:$D,"P0(전)"))</f>
        <v/>
      </c>
      <c r="O201" s="30">
        <f>IF(COUNTIFS($C:$C,$C201,$D:$D,"P0(전)",$L:$L,"&gt;0")&lt;&gt;1,"",SUMIFS($L:$L,$C:$C,$C201,$D:$D,"P0(전)"))</f>
        <v/>
      </c>
      <c r="P201" s="45">
        <f>IF(COUNTIFS($C:$C,$C201,$D:$D,"P0(후)",$L:$L,"&gt;0")&lt;&gt;1,"",SUMIFS($H:$H,$C:$C,$C201,$D:$D,"P0(후)"))</f>
        <v/>
      </c>
      <c r="Q201" s="30">
        <f>IF(COUNTIFS($C:$C,$C201,$D:$D,"P0(후)",$L:$L,"&gt;0")&lt;&gt;1,"",SUMIFS($L:$L,$C:$C,$C201,$D:$D,"P0(후)"))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IF(OR(NOT(ISNUMBER(S201)),IF(ISNUMBER(G201),G201,F201)=0),"",S201/IF(ISNUMBER(G201),G201,F201))</f>
        <v/>
      </c>
      <c r="U201" s="46">
        <f>IF(ISNUMBER(T201),ABS(T201),"")</f>
        <v/>
      </c>
      <c r="V201" s="46">
        <f>IF(OR($D200&lt;&gt;"측정",$C200&lt;&gt;$C201,NOT(ISNUMBER(L201)),NOT(ISNUMBER(L200)),(IF(ISNUMBER(G201),G201,F201)-IF(ISNUMBER(G200),G200,F200))=0),"",(L201-L200)/(IF(ISNUMBER(G201),G201,F201)-IF(ISNUMBER(G200),G200,F200)))</f>
        <v/>
      </c>
      <c r="W201" s="30">
        <f>IF(NOT(AND(ISNUMBER(N201),ISNUMBER(P201))),"",(P201-N201)*1440)</f>
        <v/>
      </c>
      <c r="X201" s="28" t="n"/>
      <c r="Y201" s="28" t="n"/>
      <c r="Z201" s="28" t="n"/>
      <c r="AA201" s="31" t="n"/>
      <c r="AB201" s="31" t="n"/>
    </row>
    <row r="202">
      <c r="A202" s="25" t="inlineStr">
        <is>
          <t>S04</t>
        </is>
      </c>
      <c r="B202" s="25" t="inlineStr">
        <is>
          <t>진안 신규점1</t>
        </is>
      </c>
      <c r="C202" s="25" t="inlineStr">
        <is>
          <t>S04-H북</t>
        </is>
      </c>
      <c r="D202" s="25" t="inlineStr">
        <is>
          <t>측정</t>
        </is>
      </c>
      <c r="E202" s="25" t="inlineStr">
        <is>
          <t>북</t>
        </is>
      </c>
      <c r="F202" s="30" t="n">
        <v>1</v>
      </c>
      <c r="G202" s="29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IF(COUNTIFS($C:$C,$C202,$D:$D,"P0(전)",$L:$L,"&gt;0")&lt;&gt;1,"P0(전) 유효 1개 아님",IF(COUNTIFS($C:$C,$C202,$D:$D,"P0(후)",$L:$L,"&gt;0")&lt;&gt;1,"P0(후) 유효 1개 아님",IF(NOT(AND(ISNUMBER(N202),ISNUMBER(P202),ISNUMBER(H202))),"시각 결측",IF(P202&lt;=N202,"P0 시각 역전",IF(OR(H202&lt;N202,H202&gt;P202),"측정시각 구간 밖","OK")))))</f>
        <v/>
      </c>
      <c r="N202" s="45">
        <f>IF(COUNTIFS($C:$C,$C202,$D:$D,"P0(전)",$L:$L,"&gt;0")&lt;&gt;1,"",SUMIFS($H:$H,$C:$C,$C202,$D:$D,"P0(전)"))</f>
        <v/>
      </c>
      <c r="O202" s="30">
        <f>IF(COUNTIFS($C:$C,$C202,$D:$D,"P0(전)",$L:$L,"&gt;0")&lt;&gt;1,"",SUMIFS($L:$L,$C:$C,$C202,$D:$D,"P0(전)"))</f>
        <v/>
      </c>
      <c r="P202" s="45">
        <f>IF(COUNTIFS($C:$C,$C202,$D:$D,"P0(후)",$L:$L,"&gt;0")&lt;&gt;1,"",SUMIFS($H:$H,$C:$C,$C202,$D:$D,"P0(후)"))</f>
        <v/>
      </c>
      <c r="Q202" s="30">
        <f>IF(COUNTIFS($C:$C,$C202,$D:$D,"P0(후)",$L:$L,"&gt;0")&lt;&gt;1,"",SUMIFS($L:$L,$C:$C,$C202,$D:$D,"P0(후)"))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IF(OR(NOT(ISNUMBER(S202)),IF(ISNUMBER(G202),G202,F202)=0),"",S202/IF(ISNUMBER(G202),G202,F202))</f>
        <v/>
      </c>
      <c r="U202" s="46">
        <f>IF(ISNUMBER(T202),ABS(T202),"")</f>
        <v/>
      </c>
      <c r="V202" s="46">
        <f>IF(OR($D201&lt;&gt;"측정",$C201&lt;&gt;$C202,NOT(ISNUMBER(L202)),NOT(ISNUMBER(L201)),(IF(ISNUMBER(G202),G202,F202)-IF(ISNUMBER(G201),G201,F201))=0),"",(L202-L201)/(IF(ISNUMBER(G202),G202,F202)-IF(ISNUMBER(G201),G201,F201)))</f>
        <v/>
      </c>
      <c r="W202" s="30">
        <f>IF(NOT(AND(ISNUMBER(N202),ISNUMBER(P202))),"",(P202-N202)*1440)</f>
        <v/>
      </c>
      <c r="X202" s="28" t="n"/>
      <c r="Y202" s="28" t="n"/>
      <c r="Z202" s="28" t="n"/>
      <c r="AA202" s="31" t="n"/>
      <c r="AB202" s="31" t="n"/>
    </row>
    <row r="203">
      <c r="A203" s="25" t="inlineStr">
        <is>
          <t>S04</t>
        </is>
      </c>
      <c r="B203" s="25" t="inlineStr">
        <is>
          <t>진안 신규점1</t>
        </is>
      </c>
      <c r="C203" s="25" t="inlineStr">
        <is>
          <t>S04-H북</t>
        </is>
      </c>
      <c r="D203" s="25" t="inlineStr">
        <is>
          <t>측정</t>
        </is>
      </c>
      <c r="E203" s="25" t="inlineStr">
        <is>
          <t>북</t>
        </is>
      </c>
      <c r="F203" s="30" t="n">
        <v>2</v>
      </c>
      <c r="G203" s="29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IF(COUNTIFS($C:$C,$C203,$D:$D,"P0(전)",$L:$L,"&gt;0")&lt;&gt;1,"P0(전) 유효 1개 아님",IF(COUNTIFS($C:$C,$C203,$D:$D,"P0(후)",$L:$L,"&gt;0")&lt;&gt;1,"P0(후) 유효 1개 아님",IF(NOT(AND(ISNUMBER(N203),ISNUMBER(P203),ISNUMBER(H203))),"시각 결측",IF(P203&lt;=N203,"P0 시각 역전",IF(OR(H203&lt;N203,H203&gt;P203),"측정시각 구간 밖","OK")))))</f>
        <v/>
      </c>
      <c r="N203" s="45">
        <f>IF(COUNTIFS($C:$C,$C203,$D:$D,"P0(전)",$L:$L,"&gt;0")&lt;&gt;1,"",SUMIFS($H:$H,$C:$C,$C203,$D:$D,"P0(전)"))</f>
        <v/>
      </c>
      <c r="O203" s="30">
        <f>IF(COUNTIFS($C:$C,$C203,$D:$D,"P0(전)",$L:$L,"&gt;0")&lt;&gt;1,"",SUMIFS($L:$L,$C:$C,$C203,$D:$D,"P0(전)"))</f>
        <v/>
      </c>
      <c r="P203" s="45">
        <f>IF(COUNTIFS($C:$C,$C203,$D:$D,"P0(후)",$L:$L,"&gt;0")&lt;&gt;1,"",SUMIFS($H:$H,$C:$C,$C203,$D:$D,"P0(후)"))</f>
        <v/>
      </c>
      <c r="Q203" s="30">
        <f>IF(COUNTIFS($C:$C,$C203,$D:$D,"P0(후)",$L:$L,"&gt;0")&lt;&gt;1,"",SUMIFS($L:$L,$C:$C,$C203,$D:$D,"P0(후)"))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IF(OR(NOT(ISNUMBER(S203)),IF(ISNUMBER(G203),G203,F203)=0),"",S203/IF(ISNUMBER(G203),G203,F203))</f>
        <v/>
      </c>
      <c r="U203" s="46">
        <f>IF(ISNUMBER(T203),ABS(T203),"")</f>
        <v/>
      </c>
      <c r="V203" s="46">
        <f>IF(OR($D202&lt;&gt;"측정",$C202&lt;&gt;$C203,NOT(ISNUMBER(L203)),NOT(ISNUMBER(L202)),(IF(ISNUMBER(G203),G203,F203)-IF(ISNUMBER(G202),G202,F202))=0),"",(L203-L202)/(IF(ISNUMBER(G203),G203,F203)-IF(ISNUMBER(G202),G202,F202)))</f>
        <v/>
      </c>
      <c r="W203" s="30">
        <f>IF(NOT(AND(ISNUMBER(N203),ISNUMBER(P203))),"",(P203-N203)*1440)</f>
        <v/>
      </c>
      <c r="X203" s="28" t="n"/>
      <c r="Y203" s="28" t="n"/>
      <c r="Z203" s="28" t="n"/>
      <c r="AA203" s="31" t="n"/>
      <c r="AB203" s="31" t="n"/>
    </row>
    <row r="204">
      <c r="A204" s="25" t="inlineStr">
        <is>
          <t>S04</t>
        </is>
      </c>
      <c r="B204" s="25" t="inlineStr">
        <is>
          <t>진안 신규점1</t>
        </is>
      </c>
      <c r="C204" s="25" t="inlineStr">
        <is>
          <t>S04-H북</t>
        </is>
      </c>
      <c r="D204" s="25" t="inlineStr">
        <is>
          <t>측정</t>
        </is>
      </c>
      <c r="E204" s="25" t="inlineStr">
        <is>
          <t>북</t>
        </is>
      </c>
      <c r="F204" s="30" t="n">
        <v>3</v>
      </c>
      <c r="G204" s="29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IF(COUNTIFS($C:$C,$C204,$D:$D,"P0(전)",$L:$L,"&gt;0")&lt;&gt;1,"P0(전) 유효 1개 아님",IF(COUNTIFS($C:$C,$C204,$D:$D,"P0(후)",$L:$L,"&gt;0")&lt;&gt;1,"P0(후) 유효 1개 아님",IF(NOT(AND(ISNUMBER(N204),ISNUMBER(P204),ISNUMBER(H204))),"시각 결측",IF(P204&lt;=N204,"P0 시각 역전",IF(OR(H204&lt;N204,H204&gt;P204),"측정시각 구간 밖","OK")))))</f>
        <v/>
      </c>
      <c r="N204" s="45">
        <f>IF(COUNTIFS($C:$C,$C204,$D:$D,"P0(전)",$L:$L,"&gt;0")&lt;&gt;1,"",SUMIFS($H:$H,$C:$C,$C204,$D:$D,"P0(전)"))</f>
        <v/>
      </c>
      <c r="O204" s="30">
        <f>IF(COUNTIFS($C:$C,$C204,$D:$D,"P0(전)",$L:$L,"&gt;0")&lt;&gt;1,"",SUMIFS($L:$L,$C:$C,$C204,$D:$D,"P0(전)"))</f>
        <v/>
      </c>
      <c r="P204" s="45">
        <f>IF(COUNTIFS($C:$C,$C204,$D:$D,"P0(후)",$L:$L,"&gt;0")&lt;&gt;1,"",SUMIFS($H:$H,$C:$C,$C204,$D:$D,"P0(후)"))</f>
        <v/>
      </c>
      <c r="Q204" s="30">
        <f>IF(COUNTIFS($C:$C,$C204,$D:$D,"P0(후)",$L:$L,"&gt;0")&lt;&gt;1,"",SUMIFS($L:$L,$C:$C,$C204,$D:$D,"P0(후)"))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IF(OR(NOT(ISNUMBER(S204)),IF(ISNUMBER(G204),G204,F204)=0),"",S204/IF(ISNUMBER(G204),G204,F204))</f>
        <v/>
      </c>
      <c r="U204" s="46">
        <f>IF(ISNUMBER(T204),ABS(T204),"")</f>
        <v/>
      </c>
      <c r="V204" s="46">
        <f>IF(OR($D203&lt;&gt;"측정",$C203&lt;&gt;$C204,NOT(ISNUMBER(L204)),NOT(ISNUMBER(L203)),(IF(ISNUMBER(G204),G204,F204)-IF(ISNUMBER(G203),G203,F203))=0),"",(L204-L203)/(IF(ISNUMBER(G204),G204,F204)-IF(ISNUMBER(G203),G203,F203)))</f>
        <v/>
      </c>
      <c r="W204" s="30">
        <f>IF(NOT(AND(ISNUMBER(N204),ISNUMBER(P204))),"",(P204-N204)*1440)</f>
        <v/>
      </c>
      <c r="X204" s="28" t="n"/>
      <c r="Y204" s="28" t="n"/>
      <c r="Z204" s="28" t="n"/>
      <c r="AA204" s="31" t="n"/>
      <c r="AB204" s="31" t="n"/>
    </row>
    <row r="205">
      <c r="A205" s="25" t="inlineStr">
        <is>
          <t>S04</t>
        </is>
      </c>
      <c r="B205" s="25" t="inlineStr">
        <is>
          <t>진안 신규점1</t>
        </is>
      </c>
      <c r="C205" s="25" t="inlineStr">
        <is>
          <t>S04-H북</t>
        </is>
      </c>
      <c r="D205" s="25" t="inlineStr">
        <is>
          <t>측정</t>
        </is>
      </c>
      <c r="E205" s="25" t="inlineStr">
        <is>
          <t>북</t>
        </is>
      </c>
      <c r="F205" s="30" t="n">
        <v>4</v>
      </c>
      <c r="G205" s="29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IF(COUNTIFS($C:$C,$C205,$D:$D,"P0(전)",$L:$L,"&gt;0")&lt;&gt;1,"P0(전) 유효 1개 아님",IF(COUNTIFS($C:$C,$C205,$D:$D,"P0(후)",$L:$L,"&gt;0")&lt;&gt;1,"P0(후) 유효 1개 아님",IF(NOT(AND(ISNUMBER(N205),ISNUMBER(P205),ISNUMBER(H205))),"시각 결측",IF(P205&lt;=N205,"P0 시각 역전",IF(OR(H205&lt;N205,H205&gt;P205),"측정시각 구간 밖","OK")))))</f>
        <v/>
      </c>
      <c r="N205" s="45">
        <f>IF(COUNTIFS($C:$C,$C205,$D:$D,"P0(전)",$L:$L,"&gt;0")&lt;&gt;1,"",SUMIFS($H:$H,$C:$C,$C205,$D:$D,"P0(전)"))</f>
        <v/>
      </c>
      <c r="O205" s="30">
        <f>IF(COUNTIFS($C:$C,$C205,$D:$D,"P0(전)",$L:$L,"&gt;0")&lt;&gt;1,"",SUMIFS($L:$L,$C:$C,$C205,$D:$D,"P0(전)"))</f>
        <v/>
      </c>
      <c r="P205" s="45">
        <f>IF(COUNTIFS($C:$C,$C205,$D:$D,"P0(후)",$L:$L,"&gt;0")&lt;&gt;1,"",SUMIFS($H:$H,$C:$C,$C205,$D:$D,"P0(후)"))</f>
        <v/>
      </c>
      <c r="Q205" s="30">
        <f>IF(COUNTIFS($C:$C,$C205,$D:$D,"P0(후)",$L:$L,"&gt;0")&lt;&gt;1,"",SUMIFS($L:$L,$C:$C,$C205,$D:$D,"P0(후)"))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IF(OR(NOT(ISNUMBER(S205)),IF(ISNUMBER(G205),G205,F205)=0),"",S205/IF(ISNUMBER(G205),G205,F205))</f>
        <v/>
      </c>
      <c r="U205" s="46">
        <f>IF(ISNUMBER(T205),ABS(T205),"")</f>
        <v/>
      </c>
      <c r="V205" s="46">
        <f>IF(OR($D204&lt;&gt;"측정",$C204&lt;&gt;$C205,NOT(ISNUMBER(L205)),NOT(ISNUMBER(L204)),(IF(ISNUMBER(G205),G205,F205)-IF(ISNUMBER(G204),G204,F204))=0),"",(L205-L204)/(IF(ISNUMBER(G205),G205,F205)-IF(ISNUMBER(G204),G204,F204)))</f>
        <v/>
      </c>
      <c r="W205" s="30">
        <f>IF(NOT(AND(ISNUMBER(N205),ISNUMBER(P205))),"",(P205-N205)*1440)</f>
        <v/>
      </c>
      <c r="X205" s="28" t="n"/>
      <c r="Y205" s="28" t="n"/>
      <c r="Z205" s="28" t="n"/>
      <c r="AA205" s="31" t="n"/>
      <c r="AB205" s="31" t="n"/>
    </row>
    <row r="206">
      <c r="A206" s="25" t="inlineStr">
        <is>
          <t>S04</t>
        </is>
      </c>
      <c r="B206" s="25" t="inlineStr">
        <is>
          <t>진안 신규점1</t>
        </is>
      </c>
      <c r="C206" s="25" t="inlineStr">
        <is>
          <t>S04-H북</t>
        </is>
      </c>
      <c r="D206" s="25" t="inlineStr">
        <is>
          <t>측정</t>
        </is>
      </c>
      <c r="E206" s="25" t="inlineStr">
        <is>
          <t>북</t>
        </is>
      </c>
      <c r="F206" s="30" t="n">
        <v>5</v>
      </c>
      <c r="G206" s="29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IF(COUNTIFS($C:$C,$C206,$D:$D,"P0(전)",$L:$L,"&gt;0")&lt;&gt;1,"P0(전) 유효 1개 아님",IF(COUNTIFS($C:$C,$C206,$D:$D,"P0(후)",$L:$L,"&gt;0")&lt;&gt;1,"P0(후) 유효 1개 아님",IF(NOT(AND(ISNUMBER(N206),ISNUMBER(P206),ISNUMBER(H206))),"시각 결측",IF(P206&lt;=N206,"P0 시각 역전",IF(OR(H206&lt;N206,H206&gt;P206),"측정시각 구간 밖","OK")))))</f>
        <v/>
      </c>
      <c r="N206" s="45">
        <f>IF(COUNTIFS($C:$C,$C206,$D:$D,"P0(전)",$L:$L,"&gt;0")&lt;&gt;1,"",SUMIFS($H:$H,$C:$C,$C206,$D:$D,"P0(전)"))</f>
        <v/>
      </c>
      <c r="O206" s="30">
        <f>IF(COUNTIFS($C:$C,$C206,$D:$D,"P0(전)",$L:$L,"&gt;0")&lt;&gt;1,"",SUMIFS($L:$L,$C:$C,$C206,$D:$D,"P0(전)"))</f>
        <v/>
      </c>
      <c r="P206" s="45">
        <f>IF(COUNTIFS($C:$C,$C206,$D:$D,"P0(후)",$L:$L,"&gt;0")&lt;&gt;1,"",SUMIFS($H:$H,$C:$C,$C206,$D:$D,"P0(후)"))</f>
        <v/>
      </c>
      <c r="Q206" s="30">
        <f>IF(COUNTIFS($C:$C,$C206,$D:$D,"P0(후)",$L:$L,"&gt;0")&lt;&gt;1,"",SUMIFS($L:$L,$C:$C,$C206,$D:$D,"P0(후)"))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IF(OR(NOT(ISNUMBER(S206)),IF(ISNUMBER(G206),G206,F206)=0),"",S206/IF(ISNUMBER(G206),G206,F206))</f>
        <v/>
      </c>
      <c r="U206" s="46">
        <f>IF(ISNUMBER(T206),ABS(T206),"")</f>
        <v/>
      </c>
      <c r="V206" s="46">
        <f>IF(OR($D205&lt;&gt;"측정",$C205&lt;&gt;$C206,NOT(ISNUMBER(L206)),NOT(ISNUMBER(L205)),(IF(ISNUMBER(G206),G206,F206)-IF(ISNUMBER(G205),G205,F205))=0),"",(L206-L205)/(IF(ISNUMBER(G206),G206,F206)-IF(ISNUMBER(G205),G205,F205)))</f>
        <v/>
      </c>
      <c r="W206" s="30">
        <f>IF(NOT(AND(ISNUMBER(N206),ISNUMBER(P206))),"",(P206-N206)*1440)</f>
        <v/>
      </c>
      <c r="X206" s="28" t="n"/>
      <c r="Y206" s="28" t="n"/>
      <c r="Z206" s="28" t="n"/>
      <c r="AA206" s="31" t="n"/>
      <c r="AB206" s="31" t="n"/>
    </row>
    <row r="207">
      <c r="A207" s="25" t="inlineStr">
        <is>
          <t>S04</t>
        </is>
      </c>
      <c r="B207" s="25" t="inlineStr">
        <is>
          <t>진안 신규점1</t>
        </is>
      </c>
      <c r="C207" s="25" t="inlineStr">
        <is>
          <t>S04-H북</t>
        </is>
      </c>
      <c r="D207" s="25" t="inlineStr">
        <is>
          <t>측정</t>
        </is>
      </c>
      <c r="E207" s="25" t="inlineStr">
        <is>
          <t>북</t>
        </is>
      </c>
      <c r="F207" s="30" t="n">
        <v>6</v>
      </c>
      <c r="G207" s="29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IF(COUNTIFS($C:$C,$C207,$D:$D,"P0(전)",$L:$L,"&gt;0")&lt;&gt;1,"P0(전) 유효 1개 아님",IF(COUNTIFS($C:$C,$C207,$D:$D,"P0(후)",$L:$L,"&gt;0")&lt;&gt;1,"P0(후) 유효 1개 아님",IF(NOT(AND(ISNUMBER(N207),ISNUMBER(P207),ISNUMBER(H207))),"시각 결측",IF(P207&lt;=N207,"P0 시각 역전",IF(OR(H207&lt;N207,H207&gt;P207),"측정시각 구간 밖","OK")))))</f>
        <v/>
      </c>
      <c r="N207" s="45">
        <f>IF(COUNTIFS($C:$C,$C207,$D:$D,"P0(전)",$L:$L,"&gt;0")&lt;&gt;1,"",SUMIFS($H:$H,$C:$C,$C207,$D:$D,"P0(전)"))</f>
        <v/>
      </c>
      <c r="O207" s="30">
        <f>IF(COUNTIFS($C:$C,$C207,$D:$D,"P0(전)",$L:$L,"&gt;0")&lt;&gt;1,"",SUMIFS($L:$L,$C:$C,$C207,$D:$D,"P0(전)"))</f>
        <v/>
      </c>
      <c r="P207" s="45">
        <f>IF(COUNTIFS($C:$C,$C207,$D:$D,"P0(후)",$L:$L,"&gt;0")&lt;&gt;1,"",SUMIFS($H:$H,$C:$C,$C207,$D:$D,"P0(후)"))</f>
        <v/>
      </c>
      <c r="Q207" s="30">
        <f>IF(COUNTIFS($C:$C,$C207,$D:$D,"P0(후)",$L:$L,"&gt;0")&lt;&gt;1,"",SUMIFS($L:$L,$C:$C,$C207,$D:$D,"P0(후)"))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IF(OR(NOT(ISNUMBER(S207)),IF(ISNUMBER(G207),G207,F207)=0),"",S207/IF(ISNUMBER(G207),G207,F207))</f>
        <v/>
      </c>
      <c r="U207" s="46">
        <f>IF(ISNUMBER(T207),ABS(T207),"")</f>
        <v/>
      </c>
      <c r="V207" s="46">
        <f>IF(OR($D206&lt;&gt;"측정",$C206&lt;&gt;$C207,NOT(ISNUMBER(L207)),NOT(ISNUMBER(L206)),(IF(ISNUMBER(G207),G207,F207)-IF(ISNUMBER(G206),G206,F206))=0),"",(L207-L206)/(IF(ISNUMBER(G207),G207,F207)-IF(ISNUMBER(G206),G206,F206)))</f>
        <v/>
      </c>
      <c r="W207" s="30">
        <f>IF(NOT(AND(ISNUMBER(N207),ISNUMBER(P207))),"",(P207-N207)*1440)</f>
        <v/>
      </c>
      <c r="X207" s="28" t="n"/>
      <c r="Y207" s="28" t="n"/>
      <c r="Z207" s="28" t="n"/>
      <c r="AA207" s="31" t="n"/>
      <c r="AB207" s="31" t="n"/>
    </row>
    <row r="208">
      <c r="A208" s="25" t="inlineStr">
        <is>
          <t>S04</t>
        </is>
      </c>
      <c r="B208" s="25" t="inlineStr">
        <is>
          <t>진안 신규점1</t>
        </is>
      </c>
      <c r="C208" s="25" t="inlineStr">
        <is>
          <t>S04-H북</t>
        </is>
      </c>
      <c r="D208" s="25" t="inlineStr">
        <is>
          <t>측정</t>
        </is>
      </c>
      <c r="E208" s="25" t="inlineStr">
        <is>
          <t>북</t>
        </is>
      </c>
      <c r="F208" s="30" t="n">
        <v>7</v>
      </c>
      <c r="G208" s="29" t="n"/>
      <c r="H208" s="42" t="n"/>
      <c r="I208" s="40" t="n"/>
      <c r="J208" s="40" t="n"/>
      <c r="K208" s="40" t="n"/>
      <c r="L208" s="30">
        <f>IF(COUNT(I208:K208)=0,"",MEDIAN(I208:K208))</f>
        <v/>
      </c>
      <c r="M208" s="25">
        <f>IF(COUNTIFS($C:$C,$C208,$D:$D,"P0(전)",$L:$L,"&gt;0")&lt;&gt;1,"P0(전) 유효 1개 아님",IF(COUNTIFS($C:$C,$C208,$D:$D,"P0(후)",$L:$L,"&gt;0")&lt;&gt;1,"P0(후) 유효 1개 아님",IF(NOT(AND(ISNUMBER(N208),ISNUMBER(P208),ISNUMBER(H208))),"시각 결측",IF(P208&lt;=N208,"P0 시각 역전",IF(OR(H208&lt;N208,H208&gt;P208),"측정시각 구간 밖","OK")))))</f>
        <v/>
      </c>
      <c r="N208" s="45">
        <f>IF(COUNTIFS($C:$C,$C208,$D:$D,"P0(전)",$L:$L,"&gt;0")&lt;&gt;1,"",SUMIFS($H:$H,$C:$C,$C208,$D:$D,"P0(전)"))</f>
        <v/>
      </c>
      <c r="O208" s="30">
        <f>IF(COUNTIFS($C:$C,$C208,$D:$D,"P0(전)",$L:$L,"&gt;0")&lt;&gt;1,"",SUMIFS($L:$L,$C:$C,$C208,$D:$D,"P0(전)"))</f>
        <v/>
      </c>
      <c r="P208" s="45">
        <f>IF(COUNTIFS($C:$C,$C208,$D:$D,"P0(후)",$L:$L,"&gt;0")&lt;&gt;1,"",SUMIFS($H:$H,$C:$C,$C208,$D:$D,"P0(후)"))</f>
        <v/>
      </c>
      <c r="Q208" s="30">
        <f>IF(COUNTIFS($C:$C,$C208,$D:$D,"P0(후)",$L:$L,"&gt;0")&lt;&gt;1,"",SUMIFS($L:$L,$C:$C,$C208,$D:$D,"P0(후)"))</f>
        <v/>
      </c>
      <c r="R208" s="30">
        <f>IF(M208&lt;&gt;"OK","",O208+(Q208-O208)*(H208-N208)/(P208-N208))</f>
        <v/>
      </c>
      <c r="S208" s="30">
        <f>IF(OR(M208&lt;&gt;"OK",NOT(ISNUMBER(L208))),"",L208-R208)</f>
        <v/>
      </c>
      <c r="T208" s="46">
        <f>IF(OR(NOT(ISNUMBER(S208)),IF(ISNUMBER(G208),G208,F208)=0),"",S208/IF(ISNUMBER(G208),G208,F208))</f>
        <v/>
      </c>
      <c r="U208" s="46">
        <f>IF(ISNUMBER(T208),ABS(T208),"")</f>
        <v/>
      </c>
      <c r="V208" s="46">
        <f>IF(OR($D207&lt;&gt;"측정",$C207&lt;&gt;$C208,NOT(ISNUMBER(L208)),NOT(ISNUMBER(L207)),(IF(ISNUMBER(G208),G208,F208)-IF(ISNUMBER(G207),G207,F207))=0),"",(L208-L207)/(IF(ISNUMBER(G208),G208,F208)-IF(ISNUMBER(G207),G207,F207)))</f>
        <v/>
      </c>
      <c r="W208" s="30">
        <f>IF(NOT(AND(ISNUMBER(N208),ISNUMBER(P208))),"",(P208-N208)*1440)</f>
        <v/>
      </c>
      <c r="X208" s="28" t="n"/>
      <c r="Y208" s="28" t="n"/>
      <c r="Z208" s="28" t="n"/>
      <c r="AA208" s="31" t="n"/>
      <c r="AB208" s="31" t="n"/>
    </row>
    <row r="209">
      <c r="A209" s="25" t="inlineStr">
        <is>
          <t>S04</t>
        </is>
      </c>
      <c r="B209" s="25" t="inlineStr">
        <is>
          <t>진안 신규점1</t>
        </is>
      </c>
      <c r="C209" s="25" t="inlineStr">
        <is>
          <t>S04-H북</t>
        </is>
      </c>
      <c r="D209" s="25" t="inlineStr">
        <is>
          <t>측정</t>
        </is>
      </c>
      <c r="E209" s="25" t="inlineStr">
        <is>
          <t>북</t>
        </is>
      </c>
      <c r="F209" s="30" t="n">
        <v>8</v>
      </c>
      <c r="G209" s="29" t="n"/>
      <c r="H209" s="42" t="n"/>
      <c r="I209" s="40" t="n"/>
      <c r="J209" s="40" t="n"/>
      <c r="K209" s="40" t="n"/>
      <c r="L209" s="30">
        <f>IF(COUNT(I209:K209)=0,"",MEDIAN(I209:K209))</f>
        <v/>
      </c>
      <c r="M209" s="25">
        <f>IF(COUNTIFS($C:$C,$C209,$D:$D,"P0(전)",$L:$L,"&gt;0")&lt;&gt;1,"P0(전) 유효 1개 아님",IF(COUNTIFS($C:$C,$C209,$D:$D,"P0(후)",$L:$L,"&gt;0")&lt;&gt;1,"P0(후) 유효 1개 아님",IF(NOT(AND(ISNUMBER(N209),ISNUMBER(P209),ISNUMBER(H209))),"시각 결측",IF(P209&lt;=N209,"P0 시각 역전",IF(OR(H209&lt;N209,H209&gt;P209),"측정시각 구간 밖","OK")))))</f>
        <v/>
      </c>
      <c r="N209" s="45">
        <f>IF(COUNTIFS($C:$C,$C209,$D:$D,"P0(전)",$L:$L,"&gt;0")&lt;&gt;1,"",SUMIFS($H:$H,$C:$C,$C209,$D:$D,"P0(전)"))</f>
        <v/>
      </c>
      <c r="O209" s="30">
        <f>IF(COUNTIFS($C:$C,$C209,$D:$D,"P0(전)",$L:$L,"&gt;0")&lt;&gt;1,"",SUMIFS($L:$L,$C:$C,$C209,$D:$D,"P0(전)"))</f>
        <v/>
      </c>
      <c r="P209" s="45">
        <f>IF(COUNTIFS($C:$C,$C209,$D:$D,"P0(후)",$L:$L,"&gt;0")&lt;&gt;1,"",SUMIFS($H:$H,$C:$C,$C209,$D:$D,"P0(후)"))</f>
        <v/>
      </c>
      <c r="Q209" s="30">
        <f>IF(COUNTIFS($C:$C,$C209,$D:$D,"P0(후)",$L:$L,"&gt;0")&lt;&gt;1,"",SUMIFS($L:$L,$C:$C,$C209,$D:$D,"P0(후)"))</f>
        <v/>
      </c>
      <c r="R209" s="30">
        <f>IF(M209&lt;&gt;"OK","",O209+(Q209-O209)*(H209-N209)/(P209-N209))</f>
        <v/>
      </c>
      <c r="S209" s="30">
        <f>IF(OR(M209&lt;&gt;"OK",NOT(ISNUMBER(L209))),"",L209-R209)</f>
        <v/>
      </c>
      <c r="T209" s="46">
        <f>IF(OR(NOT(ISNUMBER(S209)),IF(ISNUMBER(G209),G209,F209)=0),"",S209/IF(ISNUMBER(G209),G209,F209))</f>
        <v/>
      </c>
      <c r="U209" s="46">
        <f>IF(ISNUMBER(T209),ABS(T209),"")</f>
        <v/>
      </c>
      <c r="V209" s="46">
        <f>IF(OR($D208&lt;&gt;"측정",$C208&lt;&gt;$C209,NOT(ISNUMBER(L209)),NOT(ISNUMBER(L208)),(IF(ISNUMBER(G209),G209,F209)-IF(ISNUMBER(G208),G208,F208))=0),"",(L209-L208)/(IF(ISNUMBER(G209),G209,F209)-IF(ISNUMBER(G208),G208,F208)))</f>
        <v/>
      </c>
      <c r="W209" s="30">
        <f>IF(NOT(AND(ISNUMBER(N209),ISNUMBER(P209))),"",(P209-N209)*1440)</f>
        <v/>
      </c>
      <c r="X209" s="28" t="n"/>
      <c r="Y209" s="28" t="n"/>
      <c r="Z209" s="28" t="n"/>
      <c r="AA209" s="31" t="n"/>
      <c r="AB209" s="31" t="n"/>
    </row>
    <row r="210">
      <c r="A210" s="25" t="inlineStr">
        <is>
          <t>S04</t>
        </is>
      </c>
      <c r="B210" s="25" t="inlineStr">
        <is>
          <t>진안 신규점1</t>
        </is>
      </c>
      <c r="C210" s="25" t="inlineStr">
        <is>
          <t>S04-H북</t>
        </is>
      </c>
      <c r="D210" s="25" t="inlineStr">
        <is>
          <t>측정</t>
        </is>
      </c>
      <c r="E210" s="25" t="inlineStr">
        <is>
          <t>북</t>
        </is>
      </c>
      <c r="F210" s="30" t="n">
        <v>9</v>
      </c>
      <c r="G210" s="29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IF(COUNTIFS($C:$C,$C210,$D:$D,"P0(전)",$L:$L,"&gt;0")&lt;&gt;1,"P0(전) 유효 1개 아님",IF(COUNTIFS($C:$C,$C210,$D:$D,"P0(후)",$L:$L,"&gt;0")&lt;&gt;1,"P0(후) 유효 1개 아님",IF(NOT(AND(ISNUMBER(N210),ISNUMBER(P210),ISNUMBER(H210))),"시각 결측",IF(P210&lt;=N210,"P0 시각 역전",IF(OR(H210&lt;N210,H210&gt;P210),"측정시각 구간 밖","OK")))))</f>
        <v/>
      </c>
      <c r="N210" s="45">
        <f>IF(COUNTIFS($C:$C,$C210,$D:$D,"P0(전)",$L:$L,"&gt;0")&lt;&gt;1,"",SUMIFS($H:$H,$C:$C,$C210,$D:$D,"P0(전)"))</f>
        <v/>
      </c>
      <c r="O210" s="30">
        <f>IF(COUNTIFS($C:$C,$C210,$D:$D,"P0(전)",$L:$L,"&gt;0")&lt;&gt;1,"",SUMIFS($L:$L,$C:$C,$C210,$D:$D,"P0(전)"))</f>
        <v/>
      </c>
      <c r="P210" s="45">
        <f>IF(COUNTIFS($C:$C,$C210,$D:$D,"P0(후)",$L:$L,"&gt;0")&lt;&gt;1,"",SUMIFS($H:$H,$C:$C,$C210,$D:$D,"P0(후)"))</f>
        <v/>
      </c>
      <c r="Q210" s="30">
        <f>IF(COUNTIFS($C:$C,$C210,$D:$D,"P0(후)",$L:$L,"&gt;0")&lt;&gt;1,"",SUMIFS($L:$L,$C:$C,$C210,$D:$D,"P0(후)"))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IF(OR(NOT(ISNUMBER(S210)),IF(ISNUMBER(G210),G210,F210)=0),"",S210/IF(ISNUMBER(G210),G210,F210))</f>
        <v/>
      </c>
      <c r="U210" s="46">
        <f>IF(ISNUMBER(T210),ABS(T210),"")</f>
        <v/>
      </c>
      <c r="V210" s="46">
        <f>IF(OR($D209&lt;&gt;"측정",$C209&lt;&gt;$C210,NOT(ISNUMBER(L210)),NOT(ISNUMBER(L209)),(IF(ISNUMBER(G210),G210,F210)-IF(ISNUMBER(G209),G209,F209))=0),"",(L210-L209)/(IF(ISNUMBER(G210),G210,F210)-IF(ISNUMBER(G209),G209,F209)))</f>
        <v/>
      </c>
      <c r="W210" s="30">
        <f>IF(NOT(AND(ISNUMBER(N210),ISNUMBER(P210))),"",(P210-N210)*1440)</f>
        <v/>
      </c>
      <c r="X210" s="28" t="n"/>
      <c r="Y210" s="28" t="n"/>
      <c r="Z210" s="28" t="n"/>
      <c r="AA210" s="31" t="n"/>
      <c r="AB210" s="31" t="n"/>
    </row>
    <row r="211">
      <c r="A211" s="25" t="inlineStr">
        <is>
          <t>S04</t>
        </is>
      </c>
      <c r="B211" s="25" t="inlineStr">
        <is>
          <t>진안 신규점1</t>
        </is>
      </c>
      <c r="C211" s="25" t="inlineStr">
        <is>
          <t>S04-H북</t>
        </is>
      </c>
      <c r="D211" s="25" t="inlineStr">
        <is>
          <t>측정</t>
        </is>
      </c>
      <c r="E211" s="25" t="inlineStr">
        <is>
          <t>북</t>
        </is>
      </c>
      <c r="F211" s="30" t="n">
        <v>10</v>
      </c>
      <c r="G211" s="29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IF(COUNTIFS($C:$C,$C211,$D:$D,"P0(전)",$L:$L,"&gt;0")&lt;&gt;1,"P0(전) 유효 1개 아님",IF(COUNTIFS($C:$C,$C211,$D:$D,"P0(후)",$L:$L,"&gt;0")&lt;&gt;1,"P0(후) 유효 1개 아님",IF(NOT(AND(ISNUMBER(N211),ISNUMBER(P211),ISNUMBER(H211))),"시각 결측",IF(P211&lt;=N211,"P0 시각 역전",IF(OR(H211&lt;N211,H211&gt;P211),"측정시각 구간 밖","OK")))))</f>
        <v/>
      </c>
      <c r="N211" s="45">
        <f>IF(COUNTIFS($C:$C,$C211,$D:$D,"P0(전)",$L:$L,"&gt;0")&lt;&gt;1,"",SUMIFS($H:$H,$C:$C,$C211,$D:$D,"P0(전)"))</f>
        <v/>
      </c>
      <c r="O211" s="30">
        <f>IF(COUNTIFS($C:$C,$C211,$D:$D,"P0(전)",$L:$L,"&gt;0")&lt;&gt;1,"",SUMIFS($L:$L,$C:$C,$C211,$D:$D,"P0(전)"))</f>
        <v/>
      </c>
      <c r="P211" s="45">
        <f>IF(COUNTIFS($C:$C,$C211,$D:$D,"P0(후)",$L:$L,"&gt;0")&lt;&gt;1,"",SUMIFS($H:$H,$C:$C,$C211,$D:$D,"P0(후)"))</f>
        <v/>
      </c>
      <c r="Q211" s="30">
        <f>IF(COUNTIFS($C:$C,$C211,$D:$D,"P0(후)",$L:$L,"&gt;0")&lt;&gt;1,"",SUMIFS($L:$L,$C:$C,$C211,$D:$D,"P0(후)"))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IF(OR(NOT(ISNUMBER(S211)),IF(ISNUMBER(G211),G211,F211)=0),"",S211/IF(ISNUMBER(G211),G211,F211))</f>
        <v/>
      </c>
      <c r="U211" s="46">
        <f>IF(ISNUMBER(T211),ABS(T211),"")</f>
        <v/>
      </c>
      <c r="V211" s="46">
        <f>IF(OR($D210&lt;&gt;"측정",$C210&lt;&gt;$C211,NOT(ISNUMBER(L211)),NOT(ISNUMBER(L210)),(IF(ISNUMBER(G211),G211,F211)-IF(ISNUMBER(G210),G210,F210))=0),"",(L211-L210)/(IF(ISNUMBER(G211),G211,F211)-IF(ISNUMBER(G210),G210,F210)))</f>
        <v/>
      </c>
      <c r="W211" s="30">
        <f>IF(NOT(AND(ISNUMBER(N211),ISNUMBER(P211))),"",(P211-N211)*1440)</f>
        <v/>
      </c>
      <c r="X211" s="28" t="n"/>
      <c r="Y211" s="28" t="n"/>
      <c r="Z211" s="28" t="n"/>
      <c r="AA211" s="31" t="n"/>
      <c r="AB211" s="31" t="n"/>
    </row>
    <row r="212">
      <c r="A212" s="43" t="inlineStr">
        <is>
          <t>S04</t>
        </is>
      </c>
      <c r="B212" s="43" t="inlineStr">
        <is>
          <t>진안 신규점1</t>
        </is>
      </c>
      <c r="C212" s="43" t="inlineStr">
        <is>
          <t>S04-H북</t>
        </is>
      </c>
      <c r="D212" s="43" t="inlineStr">
        <is>
          <t>P0(후)</t>
        </is>
      </c>
      <c r="E212" s="43" t="inlineStr">
        <is>
          <t>북</t>
        </is>
      </c>
      <c r="F212" s="44" t="n"/>
      <c r="G212" s="29" t="n"/>
      <c r="H212" s="42" t="n"/>
      <c r="I212" s="40" t="n"/>
      <c r="J212" s="40" t="n"/>
      <c r="K212" s="40" t="n"/>
      <c r="L212" s="30">
        <f>IF(COUNT(I212:K212)=0,"",MEDIAN(I212:K212))</f>
        <v/>
      </c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28" t="n"/>
      <c r="Y212" s="28" t="n"/>
      <c r="Z212" s="28" t="n"/>
      <c r="AA212" s="31" t="n"/>
      <c r="AB212" s="31" t="n"/>
    </row>
    <row r="213">
      <c r="A213" s="43" t="inlineStr">
        <is>
          <t>S05</t>
        </is>
      </c>
      <c r="B213" s="43" t="inlineStr">
        <is>
          <t>무풍 신규점1</t>
        </is>
      </c>
      <c r="C213" s="43" t="inlineStr">
        <is>
          <t>S05-H동</t>
        </is>
      </c>
      <c r="D213" s="43" t="inlineStr">
        <is>
          <t>P0(전)</t>
        </is>
      </c>
      <c r="E213" s="43" t="inlineStr">
        <is>
          <t>동</t>
        </is>
      </c>
      <c r="F213" s="44" t="n"/>
      <c r="G213" s="29" t="n"/>
      <c r="H213" s="42" t="n"/>
      <c r="I213" s="40" t="n"/>
      <c r="J213" s="40" t="n"/>
      <c r="K213" s="40" t="n"/>
      <c r="L213" s="30">
        <f>IF(COUNT(I213:K213)=0,"",MEDIAN(I213:K213))</f>
        <v/>
      </c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28" t="n"/>
      <c r="Y213" s="28" t="n"/>
      <c r="Z213" s="28" t="n"/>
      <c r="AA213" s="31" t="n"/>
      <c r="AB213" s="31" t="n"/>
    </row>
    <row r="214">
      <c r="A214" s="25" t="inlineStr">
        <is>
          <t>S05</t>
        </is>
      </c>
      <c r="B214" s="25" t="inlineStr">
        <is>
          <t>무풍 신규점1</t>
        </is>
      </c>
      <c r="C214" s="25" t="inlineStr">
        <is>
          <t>S05-H동</t>
        </is>
      </c>
      <c r="D214" s="25" t="inlineStr">
        <is>
          <t>측정</t>
        </is>
      </c>
      <c r="E214" s="25" t="inlineStr">
        <is>
          <t>동</t>
        </is>
      </c>
      <c r="F214" s="30" t="n">
        <v>0.5</v>
      </c>
      <c r="G214" s="29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IF(COUNTIFS($C:$C,$C214,$D:$D,"P0(전)",$L:$L,"&gt;0")&lt;&gt;1,"P0(전) 유효 1개 아님",IF(COUNTIFS($C:$C,$C214,$D:$D,"P0(후)",$L:$L,"&gt;0")&lt;&gt;1,"P0(후) 유효 1개 아님",IF(NOT(AND(ISNUMBER(N214),ISNUMBER(P214),ISNUMBER(H214))),"시각 결측",IF(P214&lt;=N214,"P0 시각 역전",IF(OR(H214&lt;N214,H214&gt;P214),"측정시각 구간 밖","OK")))))</f>
        <v/>
      </c>
      <c r="N214" s="45">
        <f>IF(COUNTIFS($C:$C,$C214,$D:$D,"P0(전)",$L:$L,"&gt;0")&lt;&gt;1,"",SUMIFS($H:$H,$C:$C,$C214,$D:$D,"P0(전)"))</f>
        <v/>
      </c>
      <c r="O214" s="30">
        <f>IF(COUNTIFS($C:$C,$C214,$D:$D,"P0(전)",$L:$L,"&gt;0")&lt;&gt;1,"",SUMIFS($L:$L,$C:$C,$C214,$D:$D,"P0(전)"))</f>
        <v/>
      </c>
      <c r="P214" s="45">
        <f>IF(COUNTIFS($C:$C,$C214,$D:$D,"P0(후)",$L:$L,"&gt;0")&lt;&gt;1,"",SUMIFS($H:$H,$C:$C,$C214,$D:$D,"P0(후)"))</f>
        <v/>
      </c>
      <c r="Q214" s="30">
        <f>IF(COUNTIFS($C:$C,$C214,$D:$D,"P0(후)",$L:$L,"&gt;0")&lt;&gt;1,"",SUMIFS($L:$L,$C:$C,$C214,$D:$D,"P0(후)"))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IF(OR(NOT(ISNUMBER(S214)),IF(ISNUMBER(G214),G214,F214)=0),"",S214/IF(ISNUMBER(G214),G214,F214))</f>
        <v/>
      </c>
      <c r="U214" s="46">
        <f>IF(ISNUMBER(T214),ABS(T214),"")</f>
        <v/>
      </c>
      <c r="V214" s="46">
        <f>IF(OR($D213&lt;&gt;"측정",$C213&lt;&gt;$C214,NOT(ISNUMBER(L214)),NOT(ISNUMBER(L213)),(IF(ISNUMBER(G214),G214,F214)-IF(ISNUMBER(G213),G213,F213))=0),"",(L214-L213)/(IF(ISNUMBER(G214),G214,F214)-IF(ISNUMBER(G213),G213,F213)))</f>
        <v/>
      </c>
      <c r="W214" s="30">
        <f>IF(NOT(AND(ISNUMBER(N214),ISNUMBER(P214))),"",(P214-N214)*1440)</f>
        <v/>
      </c>
      <c r="X214" s="28" t="n"/>
      <c r="Y214" s="28" t="n"/>
      <c r="Z214" s="28" t="n"/>
      <c r="AA214" s="31" t="n"/>
      <c r="AB214" s="31" t="n"/>
    </row>
    <row r="215">
      <c r="A215" s="25" t="inlineStr">
        <is>
          <t>S05</t>
        </is>
      </c>
      <c r="B215" s="25" t="inlineStr">
        <is>
          <t>무풍 신규점1</t>
        </is>
      </c>
      <c r="C215" s="25" t="inlineStr">
        <is>
          <t>S05-H동</t>
        </is>
      </c>
      <c r="D215" s="25" t="inlineStr">
        <is>
          <t>측정</t>
        </is>
      </c>
      <c r="E215" s="25" t="inlineStr">
        <is>
          <t>동</t>
        </is>
      </c>
      <c r="F215" s="30" t="n">
        <v>1</v>
      </c>
      <c r="G215" s="29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IF(COUNTIFS($C:$C,$C215,$D:$D,"P0(전)",$L:$L,"&gt;0")&lt;&gt;1,"P0(전) 유효 1개 아님",IF(COUNTIFS($C:$C,$C215,$D:$D,"P0(후)",$L:$L,"&gt;0")&lt;&gt;1,"P0(후) 유효 1개 아님",IF(NOT(AND(ISNUMBER(N215),ISNUMBER(P215),ISNUMBER(H215))),"시각 결측",IF(P215&lt;=N215,"P0 시각 역전",IF(OR(H215&lt;N215,H215&gt;P215),"측정시각 구간 밖","OK")))))</f>
        <v/>
      </c>
      <c r="N215" s="45">
        <f>IF(COUNTIFS($C:$C,$C215,$D:$D,"P0(전)",$L:$L,"&gt;0")&lt;&gt;1,"",SUMIFS($H:$H,$C:$C,$C215,$D:$D,"P0(전)"))</f>
        <v/>
      </c>
      <c r="O215" s="30">
        <f>IF(COUNTIFS($C:$C,$C215,$D:$D,"P0(전)",$L:$L,"&gt;0")&lt;&gt;1,"",SUMIFS($L:$L,$C:$C,$C215,$D:$D,"P0(전)"))</f>
        <v/>
      </c>
      <c r="P215" s="45">
        <f>IF(COUNTIFS($C:$C,$C215,$D:$D,"P0(후)",$L:$L,"&gt;0")&lt;&gt;1,"",SUMIFS($H:$H,$C:$C,$C215,$D:$D,"P0(후)"))</f>
        <v/>
      </c>
      <c r="Q215" s="30">
        <f>IF(COUNTIFS($C:$C,$C215,$D:$D,"P0(후)",$L:$L,"&gt;0")&lt;&gt;1,"",SUMIFS($L:$L,$C:$C,$C215,$D:$D,"P0(후)"))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IF(OR(NOT(ISNUMBER(S215)),IF(ISNUMBER(G215),G215,F215)=0),"",S215/IF(ISNUMBER(G215),G215,F215))</f>
        <v/>
      </c>
      <c r="U215" s="46">
        <f>IF(ISNUMBER(T215),ABS(T215),"")</f>
        <v/>
      </c>
      <c r="V215" s="46">
        <f>IF(OR($D214&lt;&gt;"측정",$C214&lt;&gt;$C215,NOT(ISNUMBER(L215)),NOT(ISNUMBER(L214)),(IF(ISNUMBER(G215),G215,F215)-IF(ISNUMBER(G214),G214,F214))=0),"",(L215-L214)/(IF(ISNUMBER(G215),G215,F215)-IF(ISNUMBER(G214),G214,F214)))</f>
        <v/>
      </c>
      <c r="W215" s="30">
        <f>IF(NOT(AND(ISNUMBER(N215),ISNUMBER(P215))),"",(P215-N215)*1440)</f>
        <v/>
      </c>
      <c r="X215" s="28" t="n"/>
      <c r="Y215" s="28" t="n"/>
      <c r="Z215" s="28" t="n"/>
      <c r="AA215" s="31" t="n"/>
      <c r="AB215" s="31" t="n"/>
    </row>
    <row r="216">
      <c r="A216" s="25" t="inlineStr">
        <is>
          <t>S05</t>
        </is>
      </c>
      <c r="B216" s="25" t="inlineStr">
        <is>
          <t>무풍 신규점1</t>
        </is>
      </c>
      <c r="C216" s="25" t="inlineStr">
        <is>
          <t>S05-H동</t>
        </is>
      </c>
      <c r="D216" s="25" t="inlineStr">
        <is>
          <t>측정</t>
        </is>
      </c>
      <c r="E216" s="25" t="inlineStr">
        <is>
          <t>동</t>
        </is>
      </c>
      <c r="F216" s="30" t="n">
        <v>2</v>
      </c>
      <c r="G216" s="29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IF(COUNTIFS($C:$C,$C216,$D:$D,"P0(전)",$L:$L,"&gt;0")&lt;&gt;1,"P0(전) 유효 1개 아님",IF(COUNTIFS($C:$C,$C216,$D:$D,"P0(후)",$L:$L,"&gt;0")&lt;&gt;1,"P0(후) 유효 1개 아님",IF(NOT(AND(ISNUMBER(N216),ISNUMBER(P216),ISNUMBER(H216))),"시각 결측",IF(P216&lt;=N216,"P0 시각 역전",IF(OR(H216&lt;N216,H216&gt;P216),"측정시각 구간 밖","OK")))))</f>
        <v/>
      </c>
      <c r="N216" s="45">
        <f>IF(COUNTIFS($C:$C,$C216,$D:$D,"P0(전)",$L:$L,"&gt;0")&lt;&gt;1,"",SUMIFS($H:$H,$C:$C,$C216,$D:$D,"P0(전)"))</f>
        <v/>
      </c>
      <c r="O216" s="30">
        <f>IF(COUNTIFS($C:$C,$C216,$D:$D,"P0(전)",$L:$L,"&gt;0")&lt;&gt;1,"",SUMIFS($L:$L,$C:$C,$C216,$D:$D,"P0(전)"))</f>
        <v/>
      </c>
      <c r="P216" s="45">
        <f>IF(COUNTIFS($C:$C,$C216,$D:$D,"P0(후)",$L:$L,"&gt;0")&lt;&gt;1,"",SUMIFS($H:$H,$C:$C,$C216,$D:$D,"P0(후)"))</f>
        <v/>
      </c>
      <c r="Q216" s="30">
        <f>IF(COUNTIFS($C:$C,$C216,$D:$D,"P0(후)",$L:$L,"&gt;0")&lt;&gt;1,"",SUMIFS($L:$L,$C:$C,$C216,$D:$D,"P0(후)"))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IF(OR(NOT(ISNUMBER(S216)),IF(ISNUMBER(G216),G216,F216)=0),"",S216/IF(ISNUMBER(G216),G216,F216))</f>
        <v/>
      </c>
      <c r="U216" s="46">
        <f>IF(ISNUMBER(T216),ABS(T216),"")</f>
        <v/>
      </c>
      <c r="V216" s="46">
        <f>IF(OR($D215&lt;&gt;"측정",$C215&lt;&gt;$C216,NOT(ISNUMBER(L216)),NOT(ISNUMBER(L215)),(IF(ISNUMBER(G216),G216,F216)-IF(ISNUMBER(G215),G215,F215))=0),"",(L216-L215)/(IF(ISNUMBER(G216),G216,F216)-IF(ISNUMBER(G215),G215,F215)))</f>
        <v/>
      </c>
      <c r="W216" s="30">
        <f>IF(NOT(AND(ISNUMBER(N216),ISNUMBER(P216))),"",(P216-N216)*1440)</f>
        <v/>
      </c>
      <c r="X216" s="28" t="n"/>
      <c r="Y216" s="28" t="n"/>
      <c r="Z216" s="28" t="n"/>
      <c r="AA216" s="31" t="n"/>
      <c r="AB216" s="31" t="n"/>
    </row>
    <row r="217">
      <c r="A217" s="25" t="inlineStr">
        <is>
          <t>S05</t>
        </is>
      </c>
      <c r="B217" s="25" t="inlineStr">
        <is>
          <t>무풍 신규점1</t>
        </is>
      </c>
      <c r="C217" s="25" t="inlineStr">
        <is>
          <t>S05-H동</t>
        </is>
      </c>
      <c r="D217" s="25" t="inlineStr">
        <is>
          <t>측정</t>
        </is>
      </c>
      <c r="E217" s="25" t="inlineStr">
        <is>
          <t>동</t>
        </is>
      </c>
      <c r="F217" s="30" t="n">
        <v>3</v>
      </c>
      <c r="G217" s="29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IF(COUNTIFS($C:$C,$C217,$D:$D,"P0(전)",$L:$L,"&gt;0")&lt;&gt;1,"P0(전) 유효 1개 아님",IF(COUNTIFS($C:$C,$C217,$D:$D,"P0(후)",$L:$L,"&gt;0")&lt;&gt;1,"P0(후) 유효 1개 아님",IF(NOT(AND(ISNUMBER(N217),ISNUMBER(P217),ISNUMBER(H217))),"시각 결측",IF(P217&lt;=N217,"P0 시각 역전",IF(OR(H217&lt;N217,H217&gt;P217),"측정시각 구간 밖","OK")))))</f>
        <v/>
      </c>
      <c r="N217" s="45">
        <f>IF(COUNTIFS($C:$C,$C217,$D:$D,"P0(전)",$L:$L,"&gt;0")&lt;&gt;1,"",SUMIFS($H:$H,$C:$C,$C217,$D:$D,"P0(전)"))</f>
        <v/>
      </c>
      <c r="O217" s="30">
        <f>IF(COUNTIFS($C:$C,$C217,$D:$D,"P0(전)",$L:$L,"&gt;0")&lt;&gt;1,"",SUMIFS($L:$L,$C:$C,$C217,$D:$D,"P0(전)"))</f>
        <v/>
      </c>
      <c r="P217" s="45">
        <f>IF(COUNTIFS($C:$C,$C217,$D:$D,"P0(후)",$L:$L,"&gt;0")&lt;&gt;1,"",SUMIFS($H:$H,$C:$C,$C217,$D:$D,"P0(후)"))</f>
        <v/>
      </c>
      <c r="Q217" s="30">
        <f>IF(COUNTIFS($C:$C,$C217,$D:$D,"P0(후)",$L:$L,"&gt;0")&lt;&gt;1,"",SUMIFS($L:$L,$C:$C,$C217,$D:$D,"P0(후)"))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IF(OR(NOT(ISNUMBER(S217)),IF(ISNUMBER(G217),G217,F217)=0),"",S217/IF(ISNUMBER(G217),G217,F217))</f>
        <v/>
      </c>
      <c r="U217" s="46">
        <f>IF(ISNUMBER(T217),ABS(T217),"")</f>
        <v/>
      </c>
      <c r="V217" s="46">
        <f>IF(OR($D216&lt;&gt;"측정",$C216&lt;&gt;$C217,NOT(ISNUMBER(L217)),NOT(ISNUMBER(L216)),(IF(ISNUMBER(G217),G217,F217)-IF(ISNUMBER(G216),G216,F216))=0),"",(L217-L216)/(IF(ISNUMBER(G217),G217,F217)-IF(ISNUMBER(G216),G216,F216)))</f>
        <v/>
      </c>
      <c r="W217" s="30">
        <f>IF(NOT(AND(ISNUMBER(N217),ISNUMBER(P217))),"",(P217-N217)*1440)</f>
        <v/>
      </c>
      <c r="X217" s="28" t="n"/>
      <c r="Y217" s="28" t="n"/>
      <c r="Z217" s="28" t="n"/>
      <c r="AA217" s="31" t="n"/>
      <c r="AB217" s="31" t="n"/>
    </row>
    <row r="218">
      <c r="A218" s="25" t="inlineStr">
        <is>
          <t>S05</t>
        </is>
      </c>
      <c r="B218" s="25" t="inlineStr">
        <is>
          <t>무풍 신규점1</t>
        </is>
      </c>
      <c r="C218" s="25" t="inlineStr">
        <is>
          <t>S05-H동</t>
        </is>
      </c>
      <c r="D218" s="25" t="inlineStr">
        <is>
          <t>측정</t>
        </is>
      </c>
      <c r="E218" s="25" t="inlineStr">
        <is>
          <t>동</t>
        </is>
      </c>
      <c r="F218" s="30" t="n">
        <v>4</v>
      </c>
      <c r="G218" s="29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IF(COUNTIFS($C:$C,$C218,$D:$D,"P0(전)",$L:$L,"&gt;0")&lt;&gt;1,"P0(전) 유효 1개 아님",IF(COUNTIFS($C:$C,$C218,$D:$D,"P0(후)",$L:$L,"&gt;0")&lt;&gt;1,"P0(후) 유효 1개 아님",IF(NOT(AND(ISNUMBER(N218),ISNUMBER(P218),ISNUMBER(H218))),"시각 결측",IF(P218&lt;=N218,"P0 시각 역전",IF(OR(H218&lt;N218,H218&gt;P218),"측정시각 구간 밖","OK")))))</f>
        <v/>
      </c>
      <c r="N218" s="45">
        <f>IF(COUNTIFS($C:$C,$C218,$D:$D,"P0(전)",$L:$L,"&gt;0")&lt;&gt;1,"",SUMIFS($H:$H,$C:$C,$C218,$D:$D,"P0(전)"))</f>
        <v/>
      </c>
      <c r="O218" s="30">
        <f>IF(COUNTIFS($C:$C,$C218,$D:$D,"P0(전)",$L:$L,"&gt;0")&lt;&gt;1,"",SUMIFS($L:$L,$C:$C,$C218,$D:$D,"P0(전)"))</f>
        <v/>
      </c>
      <c r="P218" s="45">
        <f>IF(COUNTIFS($C:$C,$C218,$D:$D,"P0(후)",$L:$L,"&gt;0")&lt;&gt;1,"",SUMIFS($H:$H,$C:$C,$C218,$D:$D,"P0(후)"))</f>
        <v/>
      </c>
      <c r="Q218" s="30">
        <f>IF(COUNTIFS($C:$C,$C218,$D:$D,"P0(후)",$L:$L,"&gt;0")&lt;&gt;1,"",SUMIFS($L:$L,$C:$C,$C218,$D:$D,"P0(후)"))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IF(OR(NOT(ISNUMBER(S218)),IF(ISNUMBER(G218),G218,F218)=0),"",S218/IF(ISNUMBER(G218),G218,F218))</f>
        <v/>
      </c>
      <c r="U218" s="46">
        <f>IF(ISNUMBER(T218),ABS(T218),"")</f>
        <v/>
      </c>
      <c r="V218" s="46">
        <f>IF(OR($D217&lt;&gt;"측정",$C217&lt;&gt;$C218,NOT(ISNUMBER(L218)),NOT(ISNUMBER(L217)),(IF(ISNUMBER(G218),G218,F218)-IF(ISNUMBER(G217),G217,F217))=0),"",(L218-L217)/(IF(ISNUMBER(G218),G218,F218)-IF(ISNUMBER(G217),G217,F217)))</f>
        <v/>
      </c>
      <c r="W218" s="30">
        <f>IF(NOT(AND(ISNUMBER(N218),ISNUMBER(P218))),"",(P218-N218)*1440)</f>
        <v/>
      </c>
      <c r="X218" s="28" t="n"/>
      <c r="Y218" s="28" t="n"/>
      <c r="Z218" s="28" t="n"/>
      <c r="AA218" s="31" t="n"/>
      <c r="AB218" s="31" t="n"/>
    </row>
    <row r="219">
      <c r="A219" s="25" t="inlineStr">
        <is>
          <t>S05</t>
        </is>
      </c>
      <c r="B219" s="25" t="inlineStr">
        <is>
          <t>무풍 신규점1</t>
        </is>
      </c>
      <c r="C219" s="25" t="inlineStr">
        <is>
          <t>S05-H동</t>
        </is>
      </c>
      <c r="D219" s="25" t="inlineStr">
        <is>
          <t>측정</t>
        </is>
      </c>
      <c r="E219" s="25" t="inlineStr">
        <is>
          <t>동</t>
        </is>
      </c>
      <c r="F219" s="30" t="n">
        <v>5</v>
      </c>
      <c r="G219" s="29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IF(COUNTIFS($C:$C,$C219,$D:$D,"P0(전)",$L:$L,"&gt;0")&lt;&gt;1,"P0(전) 유효 1개 아님",IF(COUNTIFS($C:$C,$C219,$D:$D,"P0(후)",$L:$L,"&gt;0")&lt;&gt;1,"P0(후) 유효 1개 아님",IF(NOT(AND(ISNUMBER(N219),ISNUMBER(P219),ISNUMBER(H219))),"시각 결측",IF(P219&lt;=N219,"P0 시각 역전",IF(OR(H219&lt;N219,H219&gt;P219),"측정시각 구간 밖","OK")))))</f>
        <v/>
      </c>
      <c r="N219" s="45">
        <f>IF(COUNTIFS($C:$C,$C219,$D:$D,"P0(전)",$L:$L,"&gt;0")&lt;&gt;1,"",SUMIFS($H:$H,$C:$C,$C219,$D:$D,"P0(전)"))</f>
        <v/>
      </c>
      <c r="O219" s="30">
        <f>IF(COUNTIFS($C:$C,$C219,$D:$D,"P0(전)",$L:$L,"&gt;0")&lt;&gt;1,"",SUMIFS($L:$L,$C:$C,$C219,$D:$D,"P0(전)"))</f>
        <v/>
      </c>
      <c r="P219" s="45">
        <f>IF(COUNTIFS($C:$C,$C219,$D:$D,"P0(후)",$L:$L,"&gt;0")&lt;&gt;1,"",SUMIFS($H:$H,$C:$C,$C219,$D:$D,"P0(후)"))</f>
        <v/>
      </c>
      <c r="Q219" s="30">
        <f>IF(COUNTIFS($C:$C,$C219,$D:$D,"P0(후)",$L:$L,"&gt;0")&lt;&gt;1,"",SUMIFS($L:$L,$C:$C,$C219,$D:$D,"P0(후)"))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IF(OR(NOT(ISNUMBER(S219)),IF(ISNUMBER(G219),G219,F219)=0),"",S219/IF(ISNUMBER(G219),G219,F219))</f>
        <v/>
      </c>
      <c r="U219" s="46">
        <f>IF(ISNUMBER(T219),ABS(T219),"")</f>
        <v/>
      </c>
      <c r="V219" s="46">
        <f>IF(OR($D218&lt;&gt;"측정",$C218&lt;&gt;$C219,NOT(ISNUMBER(L219)),NOT(ISNUMBER(L218)),(IF(ISNUMBER(G219),G219,F219)-IF(ISNUMBER(G218),G218,F218))=0),"",(L219-L218)/(IF(ISNUMBER(G219),G219,F219)-IF(ISNUMBER(G218),G218,F218)))</f>
        <v/>
      </c>
      <c r="W219" s="30">
        <f>IF(NOT(AND(ISNUMBER(N219),ISNUMBER(P219))),"",(P219-N219)*1440)</f>
        <v/>
      </c>
      <c r="X219" s="28" t="n"/>
      <c r="Y219" s="28" t="n"/>
      <c r="Z219" s="28" t="n"/>
      <c r="AA219" s="31" t="n"/>
      <c r="AB219" s="31" t="n"/>
    </row>
    <row r="220">
      <c r="A220" s="25" t="inlineStr">
        <is>
          <t>S05</t>
        </is>
      </c>
      <c r="B220" s="25" t="inlineStr">
        <is>
          <t>무풍 신규점1</t>
        </is>
      </c>
      <c r="C220" s="25" t="inlineStr">
        <is>
          <t>S05-H동</t>
        </is>
      </c>
      <c r="D220" s="25" t="inlineStr">
        <is>
          <t>측정</t>
        </is>
      </c>
      <c r="E220" s="25" t="inlineStr">
        <is>
          <t>동</t>
        </is>
      </c>
      <c r="F220" s="30" t="n">
        <v>6</v>
      </c>
      <c r="G220" s="29" t="n"/>
      <c r="H220" s="42" t="n"/>
      <c r="I220" s="40" t="n"/>
      <c r="J220" s="40" t="n"/>
      <c r="K220" s="40" t="n"/>
      <c r="L220" s="30">
        <f>IF(COUNT(I220:K220)=0,"",MEDIAN(I220:K220))</f>
        <v/>
      </c>
      <c r="M220" s="25">
        <f>IF(COUNTIFS($C:$C,$C220,$D:$D,"P0(전)",$L:$L,"&gt;0")&lt;&gt;1,"P0(전) 유효 1개 아님",IF(COUNTIFS($C:$C,$C220,$D:$D,"P0(후)",$L:$L,"&gt;0")&lt;&gt;1,"P0(후) 유효 1개 아님",IF(NOT(AND(ISNUMBER(N220),ISNUMBER(P220),ISNUMBER(H220))),"시각 결측",IF(P220&lt;=N220,"P0 시각 역전",IF(OR(H220&lt;N220,H220&gt;P220),"측정시각 구간 밖","OK")))))</f>
        <v/>
      </c>
      <c r="N220" s="45">
        <f>IF(COUNTIFS($C:$C,$C220,$D:$D,"P0(전)",$L:$L,"&gt;0")&lt;&gt;1,"",SUMIFS($H:$H,$C:$C,$C220,$D:$D,"P0(전)"))</f>
        <v/>
      </c>
      <c r="O220" s="30">
        <f>IF(COUNTIFS($C:$C,$C220,$D:$D,"P0(전)",$L:$L,"&gt;0")&lt;&gt;1,"",SUMIFS($L:$L,$C:$C,$C220,$D:$D,"P0(전)"))</f>
        <v/>
      </c>
      <c r="P220" s="45">
        <f>IF(COUNTIFS($C:$C,$C220,$D:$D,"P0(후)",$L:$L,"&gt;0")&lt;&gt;1,"",SUMIFS($H:$H,$C:$C,$C220,$D:$D,"P0(후)"))</f>
        <v/>
      </c>
      <c r="Q220" s="30">
        <f>IF(COUNTIFS($C:$C,$C220,$D:$D,"P0(후)",$L:$L,"&gt;0")&lt;&gt;1,"",SUMIFS($L:$L,$C:$C,$C220,$D:$D,"P0(후)"))</f>
        <v/>
      </c>
      <c r="R220" s="30">
        <f>IF(M220&lt;&gt;"OK","",O220+(Q220-O220)*(H220-N220)/(P220-N220))</f>
        <v/>
      </c>
      <c r="S220" s="30">
        <f>IF(OR(M220&lt;&gt;"OK",NOT(ISNUMBER(L220))),"",L220-R220)</f>
        <v/>
      </c>
      <c r="T220" s="46">
        <f>IF(OR(NOT(ISNUMBER(S220)),IF(ISNUMBER(G220),G220,F220)=0),"",S220/IF(ISNUMBER(G220),G220,F220))</f>
        <v/>
      </c>
      <c r="U220" s="46">
        <f>IF(ISNUMBER(T220),ABS(T220),"")</f>
        <v/>
      </c>
      <c r="V220" s="46">
        <f>IF(OR($D219&lt;&gt;"측정",$C219&lt;&gt;$C220,NOT(ISNUMBER(L220)),NOT(ISNUMBER(L219)),(IF(ISNUMBER(G220),G220,F220)-IF(ISNUMBER(G219),G219,F219))=0),"",(L220-L219)/(IF(ISNUMBER(G220),G220,F220)-IF(ISNUMBER(G219),G219,F219)))</f>
        <v/>
      </c>
      <c r="W220" s="30">
        <f>IF(NOT(AND(ISNUMBER(N220),ISNUMBER(P220))),"",(P220-N220)*1440)</f>
        <v/>
      </c>
      <c r="X220" s="28" t="n"/>
      <c r="Y220" s="28" t="n"/>
      <c r="Z220" s="28" t="n"/>
      <c r="AA220" s="31" t="n"/>
      <c r="AB220" s="31" t="n"/>
    </row>
    <row r="221">
      <c r="A221" s="25" t="inlineStr">
        <is>
          <t>S05</t>
        </is>
      </c>
      <c r="B221" s="25" t="inlineStr">
        <is>
          <t>무풍 신규점1</t>
        </is>
      </c>
      <c r="C221" s="25" t="inlineStr">
        <is>
          <t>S05-H동</t>
        </is>
      </c>
      <c r="D221" s="25" t="inlineStr">
        <is>
          <t>측정</t>
        </is>
      </c>
      <c r="E221" s="25" t="inlineStr">
        <is>
          <t>동</t>
        </is>
      </c>
      <c r="F221" s="30" t="n">
        <v>7</v>
      </c>
      <c r="G221" s="29" t="n"/>
      <c r="H221" s="42" t="n"/>
      <c r="I221" s="40" t="n"/>
      <c r="J221" s="40" t="n"/>
      <c r="K221" s="40" t="n"/>
      <c r="L221" s="30">
        <f>IF(COUNT(I221:K221)=0,"",MEDIAN(I221:K221))</f>
        <v/>
      </c>
      <c r="M221" s="25">
        <f>IF(COUNTIFS($C:$C,$C221,$D:$D,"P0(전)",$L:$L,"&gt;0")&lt;&gt;1,"P0(전) 유효 1개 아님",IF(COUNTIFS($C:$C,$C221,$D:$D,"P0(후)",$L:$L,"&gt;0")&lt;&gt;1,"P0(후) 유효 1개 아님",IF(NOT(AND(ISNUMBER(N221),ISNUMBER(P221),ISNUMBER(H221))),"시각 결측",IF(P221&lt;=N221,"P0 시각 역전",IF(OR(H221&lt;N221,H221&gt;P221),"측정시각 구간 밖","OK")))))</f>
        <v/>
      </c>
      <c r="N221" s="45">
        <f>IF(COUNTIFS($C:$C,$C221,$D:$D,"P0(전)",$L:$L,"&gt;0")&lt;&gt;1,"",SUMIFS($H:$H,$C:$C,$C221,$D:$D,"P0(전)"))</f>
        <v/>
      </c>
      <c r="O221" s="30">
        <f>IF(COUNTIFS($C:$C,$C221,$D:$D,"P0(전)",$L:$L,"&gt;0")&lt;&gt;1,"",SUMIFS($L:$L,$C:$C,$C221,$D:$D,"P0(전)"))</f>
        <v/>
      </c>
      <c r="P221" s="45">
        <f>IF(COUNTIFS($C:$C,$C221,$D:$D,"P0(후)",$L:$L,"&gt;0")&lt;&gt;1,"",SUMIFS($H:$H,$C:$C,$C221,$D:$D,"P0(후)"))</f>
        <v/>
      </c>
      <c r="Q221" s="30">
        <f>IF(COUNTIFS($C:$C,$C221,$D:$D,"P0(후)",$L:$L,"&gt;0")&lt;&gt;1,"",SUMIFS($L:$L,$C:$C,$C221,$D:$D,"P0(후)"))</f>
        <v/>
      </c>
      <c r="R221" s="30">
        <f>IF(M221&lt;&gt;"OK","",O221+(Q221-O221)*(H221-N221)/(P221-N221))</f>
        <v/>
      </c>
      <c r="S221" s="30">
        <f>IF(OR(M221&lt;&gt;"OK",NOT(ISNUMBER(L221))),"",L221-R221)</f>
        <v/>
      </c>
      <c r="T221" s="46">
        <f>IF(OR(NOT(ISNUMBER(S221)),IF(ISNUMBER(G221),G221,F221)=0),"",S221/IF(ISNUMBER(G221),G221,F221))</f>
        <v/>
      </c>
      <c r="U221" s="46">
        <f>IF(ISNUMBER(T221),ABS(T221),"")</f>
        <v/>
      </c>
      <c r="V221" s="46">
        <f>IF(OR($D220&lt;&gt;"측정",$C220&lt;&gt;$C221,NOT(ISNUMBER(L221)),NOT(ISNUMBER(L220)),(IF(ISNUMBER(G221),G221,F221)-IF(ISNUMBER(G220),G220,F220))=0),"",(L221-L220)/(IF(ISNUMBER(G221),G221,F221)-IF(ISNUMBER(G220),G220,F220)))</f>
        <v/>
      </c>
      <c r="W221" s="30">
        <f>IF(NOT(AND(ISNUMBER(N221),ISNUMBER(P221))),"",(P221-N221)*1440)</f>
        <v/>
      </c>
      <c r="X221" s="28" t="n"/>
      <c r="Y221" s="28" t="n"/>
      <c r="Z221" s="28" t="n"/>
      <c r="AA221" s="31" t="n"/>
      <c r="AB221" s="31" t="n"/>
    </row>
    <row r="222">
      <c r="A222" s="25" t="inlineStr">
        <is>
          <t>S05</t>
        </is>
      </c>
      <c r="B222" s="25" t="inlineStr">
        <is>
          <t>무풍 신규점1</t>
        </is>
      </c>
      <c r="C222" s="25" t="inlineStr">
        <is>
          <t>S05-H동</t>
        </is>
      </c>
      <c r="D222" s="25" t="inlineStr">
        <is>
          <t>측정</t>
        </is>
      </c>
      <c r="E222" s="25" t="inlineStr">
        <is>
          <t>동</t>
        </is>
      </c>
      <c r="F222" s="30" t="n">
        <v>8</v>
      </c>
      <c r="G222" s="29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IF(COUNTIFS($C:$C,$C222,$D:$D,"P0(전)",$L:$L,"&gt;0")&lt;&gt;1,"P0(전) 유효 1개 아님",IF(COUNTIFS($C:$C,$C222,$D:$D,"P0(후)",$L:$L,"&gt;0")&lt;&gt;1,"P0(후) 유효 1개 아님",IF(NOT(AND(ISNUMBER(N222),ISNUMBER(P222),ISNUMBER(H222))),"시각 결측",IF(P222&lt;=N222,"P0 시각 역전",IF(OR(H222&lt;N222,H222&gt;P222),"측정시각 구간 밖","OK")))))</f>
        <v/>
      </c>
      <c r="N222" s="45">
        <f>IF(COUNTIFS($C:$C,$C222,$D:$D,"P0(전)",$L:$L,"&gt;0")&lt;&gt;1,"",SUMIFS($H:$H,$C:$C,$C222,$D:$D,"P0(전)"))</f>
        <v/>
      </c>
      <c r="O222" s="30">
        <f>IF(COUNTIFS($C:$C,$C222,$D:$D,"P0(전)",$L:$L,"&gt;0")&lt;&gt;1,"",SUMIFS($L:$L,$C:$C,$C222,$D:$D,"P0(전)"))</f>
        <v/>
      </c>
      <c r="P222" s="45">
        <f>IF(COUNTIFS($C:$C,$C222,$D:$D,"P0(후)",$L:$L,"&gt;0")&lt;&gt;1,"",SUMIFS($H:$H,$C:$C,$C222,$D:$D,"P0(후)"))</f>
        <v/>
      </c>
      <c r="Q222" s="30">
        <f>IF(COUNTIFS($C:$C,$C222,$D:$D,"P0(후)",$L:$L,"&gt;0")&lt;&gt;1,"",SUMIFS($L:$L,$C:$C,$C222,$D:$D,"P0(후)"))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IF(OR(NOT(ISNUMBER(S222)),IF(ISNUMBER(G222),G222,F222)=0),"",S222/IF(ISNUMBER(G222),G222,F222))</f>
        <v/>
      </c>
      <c r="U222" s="46">
        <f>IF(ISNUMBER(T222),ABS(T222),"")</f>
        <v/>
      </c>
      <c r="V222" s="46">
        <f>IF(OR($D221&lt;&gt;"측정",$C221&lt;&gt;$C222,NOT(ISNUMBER(L222)),NOT(ISNUMBER(L221)),(IF(ISNUMBER(G222),G222,F222)-IF(ISNUMBER(G221),G221,F221))=0),"",(L222-L221)/(IF(ISNUMBER(G222),G222,F222)-IF(ISNUMBER(G221),G221,F221)))</f>
        <v/>
      </c>
      <c r="W222" s="30">
        <f>IF(NOT(AND(ISNUMBER(N222),ISNUMBER(P222))),"",(P222-N222)*1440)</f>
        <v/>
      </c>
      <c r="X222" s="28" t="n"/>
      <c r="Y222" s="28" t="n"/>
      <c r="Z222" s="28" t="n"/>
      <c r="AA222" s="31" t="n"/>
      <c r="AB222" s="31" t="n"/>
    </row>
    <row r="223">
      <c r="A223" s="25" t="inlineStr">
        <is>
          <t>S05</t>
        </is>
      </c>
      <c r="B223" s="25" t="inlineStr">
        <is>
          <t>무풍 신규점1</t>
        </is>
      </c>
      <c r="C223" s="25" t="inlineStr">
        <is>
          <t>S05-H동</t>
        </is>
      </c>
      <c r="D223" s="25" t="inlineStr">
        <is>
          <t>측정</t>
        </is>
      </c>
      <c r="E223" s="25" t="inlineStr">
        <is>
          <t>동</t>
        </is>
      </c>
      <c r="F223" s="30" t="n">
        <v>9</v>
      </c>
      <c r="G223" s="29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IF(COUNTIFS($C:$C,$C223,$D:$D,"P0(전)",$L:$L,"&gt;0")&lt;&gt;1,"P0(전) 유효 1개 아님",IF(COUNTIFS($C:$C,$C223,$D:$D,"P0(후)",$L:$L,"&gt;0")&lt;&gt;1,"P0(후) 유효 1개 아님",IF(NOT(AND(ISNUMBER(N223),ISNUMBER(P223),ISNUMBER(H223))),"시각 결측",IF(P223&lt;=N223,"P0 시각 역전",IF(OR(H223&lt;N223,H223&gt;P223),"측정시각 구간 밖","OK")))))</f>
        <v/>
      </c>
      <c r="N223" s="45">
        <f>IF(COUNTIFS($C:$C,$C223,$D:$D,"P0(전)",$L:$L,"&gt;0")&lt;&gt;1,"",SUMIFS($H:$H,$C:$C,$C223,$D:$D,"P0(전)"))</f>
        <v/>
      </c>
      <c r="O223" s="30">
        <f>IF(COUNTIFS($C:$C,$C223,$D:$D,"P0(전)",$L:$L,"&gt;0")&lt;&gt;1,"",SUMIFS($L:$L,$C:$C,$C223,$D:$D,"P0(전)"))</f>
        <v/>
      </c>
      <c r="P223" s="45">
        <f>IF(COUNTIFS($C:$C,$C223,$D:$D,"P0(후)",$L:$L,"&gt;0")&lt;&gt;1,"",SUMIFS($H:$H,$C:$C,$C223,$D:$D,"P0(후)"))</f>
        <v/>
      </c>
      <c r="Q223" s="30">
        <f>IF(COUNTIFS($C:$C,$C223,$D:$D,"P0(후)",$L:$L,"&gt;0")&lt;&gt;1,"",SUMIFS($L:$L,$C:$C,$C223,$D:$D,"P0(후)"))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IF(OR(NOT(ISNUMBER(S223)),IF(ISNUMBER(G223),G223,F223)=0),"",S223/IF(ISNUMBER(G223),G223,F223))</f>
        <v/>
      </c>
      <c r="U223" s="46">
        <f>IF(ISNUMBER(T223),ABS(T223),"")</f>
        <v/>
      </c>
      <c r="V223" s="46">
        <f>IF(OR($D222&lt;&gt;"측정",$C222&lt;&gt;$C223,NOT(ISNUMBER(L223)),NOT(ISNUMBER(L222)),(IF(ISNUMBER(G223),G223,F223)-IF(ISNUMBER(G222),G222,F222))=0),"",(L223-L222)/(IF(ISNUMBER(G223),G223,F223)-IF(ISNUMBER(G222),G222,F222)))</f>
        <v/>
      </c>
      <c r="W223" s="30">
        <f>IF(NOT(AND(ISNUMBER(N223),ISNUMBER(P223))),"",(P223-N223)*1440)</f>
        <v/>
      </c>
      <c r="X223" s="28" t="n"/>
      <c r="Y223" s="28" t="n"/>
      <c r="Z223" s="28" t="n"/>
      <c r="AA223" s="31" t="n"/>
      <c r="AB223" s="31" t="n"/>
    </row>
    <row r="224">
      <c r="A224" s="25" t="inlineStr">
        <is>
          <t>S05</t>
        </is>
      </c>
      <c r="B224" s="25" t="inlineStr">
        <is>
          <t>무풍 신규점1</t>
        </is>
      </c>
      <c r="C224" s="25" t="inlineStr">
        <is>
          <t>S05-H동</t>
        </is>
      </c>
      <c r="D224" s="25" t="inlineStr">
        <is>
          <t>측정</t>
        </is>
      </c>
      <c r="E224" s="25" t="inlineStr">
        <is>
          <t>동</t>
        </is>
      </c>
      <c r="F224" s="30" t="n">
        <v>10</v>
      </c>
      <c r="G224" s="29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IF(COUNTIFS($C:$C,$C224,$D:$D,"P0(전)",$L:$L,"&gt;0")&lt;&gt;1,"P0(전) 유효 1개 아님",IF(COUNTIFS($C:$C,$C224,$D:$D,"P0(후)",$L:$L,"&gt;0")&lt;&gt;1,"P0(후) 유효 1개 아님",IF(NOT(AND(ISNUMBER(N224),ISNUMBER(P224),ISNUMBER(H224))),"시각 결측",IF(P224&lt;=N224,"P0 시각 역전",IF(OR(H224&lt;N224,H224&gt;P224),"측정시각 구간 밖","OK")))))</f>
        <v/>
      </c>
      <c r="N224" s="45">
        <f>IF(COUNTIFS($C:$C,$C224,$D:$D,"P0(전)",$L:$L,"&gt;0")&lt;&gt;1,"",SUMIFS($H:$H,$C:$C,$C224,$D:$D,"P0(전)"))</f>
        <v/>
      </c>
      <c r="O224" s="30">
        <f>IF(COUNTIFS($C:$C,$C224,$D:$D,"P0(전)",$L:$L,"&gt;0")&lt;&gt;1,"",SUMIFS($L:$L,$C:$C,$C224,$D:$D,"P0(전)"))</f>
        <v/>
      </c>
      <c r="P224" s="45">
        <f>IF(COUNTIFS($C:$C,$C224,$D:$D,"P0(후)",$L:$L,"&gt;0")&lt;&gt;1,"",SUMIFS($H:$H,$C:$C,$C224,$D:$D,"P0(후)"))</f>
        <v/>
      </c>
      <c r="Q224" s="30">
        <f>IF(COUNTIFS($C:$C,$C224,$D:$D,"P0(후)",$L:$L,"&gt;0")&lt;&gt;1,"",SUMIFS($L:$L,$C:$C,$C224,$D:$D,"P0(후)"))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IF(OR(NOT(ISNUMBER(S224)),IF(ISNUMBER(G224),G224,F224)=0),"",S224/IF(ISNUMBER(G224),G224,F224))</f>
        <v/>
      </c>
      <c r="U224" s="46">
        <f>IF(ISNUMBER(T224),ABS(T224),"")</f>
        <v/>
      </c>
      <c r="V224" s="46">
        <f>IF(OR($D223&lt;&gt;"측정",$C223&lt;&gt;$C224,NOT(ISNUMBER(L224)),NOT(ISNUMBER(L223)),(IF(ISNUMBER(G224),G224,F224)-IF(ISNUMBER(G223),G223,F223))=0),"",(L224-L223)/(IF(ISNUMBER(G224),G224,F224)-IF(ISNUMBER(G223),G223,F223)))</f>
        <v/>
      </c>
      <c r="W224" s="30">
        <f>IF(NOT(AND(ISNUMBER(N224),ISNUMBER(P224))),"",(P224-N224)*1440)</f>
        <v/>
      </c>
      <c r="X224" s="28" t="n"/>
      <c r="Y224" s="28" t="n"/>
      <c r="Z224" s="28" t="n"/>
      <c r="AA224" s="31" t="n"/>
      <c r="AB224" s="31" t="n"/>
    </row>
    <row r="225">
      <c r="A225" s="43" t="inlineStr">
        <is>
          <t>S05</t>
        </is>
      </c>
      <c r="B225" s="43" t="inlineStr">
        <is>
          <t>무풍 신규점1</t>
        </is>
      </c>
      <c r="C225" s="43" t="inlineStr">
        <is>
          <t>S05-H동</t>
        </is>
      </c>
      <c r="D225" s="43" t="inlineStr">
        <is>
          <t>P0(후)</t>
        </is>
      </c>
      <c r="E225" s="43" t="inlineStr">
        <is>
          <t>동</t>
        </is>
      </c>
      <c r="F225" s="44" t="n"/>
      <c r="G225" s="29" t="n"/>
      <c r="H225" s="42" t="n"/>
      <c r="I225" s="40" t="n"/>
      <c r="J225" s="40" t="n"/>
      <c r="K225" s="40" t="n"/>
      <c r="L225" s="30">
        <f>IF(COUNT(I225:K225)=0,"",MEDIAN(I225:K225))</f>
        <v/>
      </c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28" t="n"/>
      <c r="Y225" s="28" t="n"/>
      <c r="Z225" s="28" t="n"/>
      <c r="AA225" s="31" t="n"/>
      <c r="AB225" s="31" t="n"/>
    </row>
    <row r="226">
      <c r="A226" s="43" t="inlineStr">
        <is>
          <t>S05</t>
        </is>
      </c>
      <c r="B226" s="43" t="inlineStr">
        <is>
          <t>무풍 신규점1</t>
        </is>
      </c>
      <c r="C226" s="43" t="inlineStr">
        <is>
          <t>S05-H서</t>
        </is>
      </c>
      <c r="D226" s="43" t="inlineStr">
        <is>
          <t>P0(전)</t>
        </is>
      </c>
      <c r="E226" s="43" t="inlineStr">
        <is>
          <t>서</t>
        </is>
      </c>
      <c r="F226" s="44" t="n"/>
      <c r="G226" s="29" t="n"/>
      <c r="H226" s="42" t="n"/>
      <c r="I226" s="40" t="n"/>
      <c r="J226" s="40" t="n"/>
      <c r="K226" s="40" t="n"/>
      <c r="L226" s="30">
        <f>IF(COUNT(I226:K226)=0,"",MEDIAN(I226:K226))</f>
        <v/>
      </c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28" t="n"/>
      <c r="Y226" s="28" t="n"/>
      <c r="Z226" s="28" t="n"/>
      <c r="AA226" s="31" t="n"/>
      <c r="AB226" s="31" t="n"/>
    </row>
    <row r="227">
      <c r="A227" s="25" t="inlineStr">
        <is>
          <t>S05</t>
        </is>
      </c>
      <c r="B227" s="25" t="inlineStr">
        <is>
          <t>무풍 신규점1</t>
        </is>
      </c>
      <c r="C227" s="25" t="inlineStr">
        <is>
          <t>S05-H서</t>
        </is>
      </c>
      <c r="D227" s="25" t="inlineStr">
        <is>
          <t>측정</t>
        </is>
      </c>
      <c r="E227" s="25" t="inlineStr">
        <is>
          <t>서</t>
        </is>
      </c>
      <c r="F227" s="30" t="n">
        <v>0.5</v>
      </c>
      <c r="G227" s="29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IF(COUNTIFS($C:$C,$C227,$D:$D,"P0(전)",$L:$L,"&gt;0")&lt;&gt;1,"P0(전) 유효 1개 아님",IF(COUNTIFS($C:$C,$C227,$D:$D,"P0(후)",$L:$L,"&gt;0")&lt;&gt;1,"P0(후) 유효 1개 아님",IF(NOT(AND(ISNUMBER(N227),ISNUMBER(P227),ISNUMBER(H227))),"시각 결측",IF(P227&lt;=N227,"P0 시각 역전",IF(OR(H227&lt;N227,H227&gt;P227),"측정시각 구간 밖","OK")))))</f>
        <v/>
      </c>
      <c r="N227" s="45">
        <f>IF(COUNTIFS($C:$C,$C227,$D:$D,"P0(전)",$L:$L,"&gt;0")&lt;&gt;1,"",SUMIFS($H:$H,$C:$C,$C227,$D:$D,"P0(전)"))</f>
        <v/>
      </c>
      <c r="O227" s="30">
        <f>IF(COUNTIFS($C:$C,$C227,$D:$D,"P0(전)",$L:$L,"&gt;0")&lt;&gt;1,"",SUMIFS($L:$L,$C:$C,$C227,$D:$D,"P0(전)"))</f>
        <v/>
      </c>
      <c r="P227" s="45">
        <f>IF(COUNTIFS($C:$C,$C227,$D:$D,"P0(후)",$L:$L,"&gt;0")&lt;&gt;1,"",SUMIFS($H:$H,$C:$C,$C227,$D:$D,"P0(후)"))</f>
        <v/>
      </c>
      <c r="Q227" s="30">
        <f>IF(COUNTIFS($C:$C,$C227,$D:$D,"P0(후)",$L:$L,"&gt;0")&lt;&gt;1,"",SUMIFS($L:$L,$C:$C,$C227,$D:$D,"P0(후)"))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IF(OR(NOT(ISNUMBER(S227)),IF(ISNUMBER(G227),G227,F227)=0),"",S227/IF(ISNUMBER(G227),G227,F227))</f>
        <v/>
      </c>
      <c r="U227" s="46">
        <f>IF(ISNUMBER(T227),ABS(T227),"")</f>
        <v/>
      </c>
      <c r="V227" s="46">
        <f>IF(OR($D226&lt;&gt;"측정",$C226&lt;&gt;$C227,NOT(ISNUMBER(L227)),NOT(ISNUMBER(L226)),(IF(ISNUMBER(G227),G227,F227)-IF(ISNUMBER(G226),G226,F226))=0),"",(L227-L226)/(IF(ISNUMBER(G227),G227,F227)-IF(ISNUMBER(G226),G226,F226)))</f>
        <v/>
      </c>
      <c r="W227" s="30">
        <f>IF(NOT(AND(ISNUMBER(N227),ISNUMBER(P227))),"",(P227-N227)*1440)</f>
        <v/>
      </c>
      <c r="X227" s="28" t="n"/>
      <c r="Y227" s="28" t="n"/>
      <c r="Z227" s="28" t="n"/>
      <c r="AA227" s="31" t="n"/>
      <c r="AB227" s="31" t="n"/>
    </row>
    <row r="228">
      <c r="A228" s="25" t="inlineStr">
        <is>
          <t>S05</t>
        </is>
      </c>
      <c r="B228" s="25" t="inlineStr">
        <is>
          <t>무풍 신규점1</t>
        </is>
      </c>
      <c r="C228" s="25" t="inlineStr">
        <is>
          <t>S05-H서</t>
        </is>
      </c>
      <c r="D228" s="25" t="inlineStr">
        <is>
          <t>측정</t>
        </is>
      </c>
      <c r="E228" s="25" t="inlineStr">
        <is>
          <t>서</t>
        </is>
      </c>
      <c r="F228" s="30" t="n">
        <v>1</v>
      </c>
      <c r="G228" s="29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IF(COUNTIFS($C:$C,$C228,$D:$D,"P0(전)",$L:$L,"&gt;0")&lt;&gt;1,"P0(전) 유효 1개 아님",IF(COUNTIFS($C:$C,$C228,$D:$D,"P0(후)",$L:$L,"&gt;0")&lt;&gt;1,"P0(후) 유효 1개 아님",IF(NOT(AND(ISNUMBER(N228),ISNUMBER(P228),ISNUMBER(H228))),"시각 결측",IF(P228&lt;=N228,"P0 시각 역전",IF(OR(H228&lt;N228,H228&gt;P228),"측정시각 구간 밖","OK")))))</f>
        <v/>
      </c>
      <c r="N228" s="45">
        <f>IF(COUNTIFS($C:$C,$C228,$D:$D,"P0(전)",$L:$L,"&gt;0")&lt;&gt;1,"",SUMIFS($H:$H,$C:$C,$C228,$D:$D,"P0(전)"))</f>
        <v/>
      </c>
      <c r="O228" s="30">
        <f>IF(COUNTIFS($C:$C,$C228,$D:$D,"P0(전)",$L:$L,"&gt;0")&lt;&gt;1,"",SUMIFS($L:$L,$C:$C,$C228,$D:$D,"P0(전)"))</f>
        <v/>
      </c>
      <c r="P228" s="45">
        <f>IF(COUNTIFS($C:$C,$C228,$D:$D,"P0(후)",$L:$L,"&gt;0")&lt;&gt;1,"",SUMIFS($H:$H,$C:$C,$C228,$D:$D,"P0(후)"))</f>
        <v/>
      </c>
      <c r="Q228" s="30">
        <f>IF(COUNTIFS($C:$C,$C228,$D:$D,"P0(후)",$L:$L,"&gt;0")&lt;&gt;1,"",SUMIFS($L:$L,$C:$C,$C228,$D:$D,"P0(후)"))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IF(OR(NOT(ISNUMBER(S228)),IF(ISNUMBER(G228),G228,F228)=0),"",S228/IF(ISNUMBER(G228),G228,F228))</f>
        <v/>
      </c>
      <c r="U228" s="46">
        <f>IF(ISNUMBER(T228),ABS(T228),"")</f>
        <v/>
      </c>
      <c r="V228" s="46">
        <f>IF(OR($D227&lt;&gt;"측정",$C227&lt;&gt;$C228,NOT(ISNUMBER(L228)),NOT(ISNUMBER(L227)),(IF(ISNUMBER(G228),G228,F228)-IF(ISNUMBER(G227),G227,F227))=0),"",(L228-L227)/(IF(ISNUMBER(G228),G228,F228)-IF(ISNUMBER(G227),G227,F227)))</f>
        <v/>
      </c>
      <c r="W228" s="30">
        <f>IF(NOT(AND(ISNUMBER(N228),ISNUMBER(P228))),"",(P228-N228)*1440)</f>
        <v/>
      </c>
      <c r="X228" s="28" t="n"/>
      <c r="Y228" s="28" t="n"/>
      <c r="Z228" s="28" t="n"/>
      <c r="AA228" s="31" t="n"/>
      <c r="AB228" s="31" t="n"/>
    </row>
    <row r="229">
      <c r="A229" s="25" t="inlineStr">
        <is>
          <t>S05</t>
        </is>
      </c>
      <c r="B229" s="25" t="inlineStr">
        <is>
          <t>무풍 신규점1</t>
        </is>
      </c>
      <c r="C229" s="25" t="inlineStr">
        <is>
          <t>S05-H서</t>
        </is>
      </c>
      <c r="D229" s="25" t="inlineStr">
        <is>
          <t>측정</t>
        </is>
      </c>
      <c r="E229" s="25" t="inlineStr">
        <is>
          <t>서</t>
        </is>
      </c>
      <c r="F229" s="30" t="n">
        <v>2</v>
      </c>
      <c r="G229" s="29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IF(COUNTIFS($C:$C,$C229,$D:$D,"P0(전)",$L:$L,"&gt;0")&lt;&gt;1,"P0(전) 유효 1개 아님",IF(COUNTIFS($C:$C,$C229,$D:$D,"P0(후)",$L:$L,"&gt;0")&lt;&gt;1,"P0(후) 유효 1개 아님",IF(NOT(AND(ISNUMBER(N229),ISNUMBER(P229),ISNUMBER(H229))),"시각 결측",IF(P229&lt;=N229,"P0 시각 역전",IF(OR(H229&lt;N229,H229&gt;P229),"측정시각 구간 밖","OK")))))</f>
        <v/>
      </c>
      <c r="N229" s="45">
        <f>IF(COUNTIFS($C:$C,$C229,$D:$D,"P0(전)",$L:$L,"&gt;0")&lt;&gt;1,"",SUMIFS($H:$H,$C:$C,$C229,$D:$D,"P0(전)"))</f>
        <v/>
      </c>
      <c r="O229" s="30">
        <f>IF(COUNTIFS($C:$C,$C229,$D:$D,"P0(전)",$L:$L,"&gt;0")&lt;&gt;1,"",SUMIFS($L:$L,$C:$C,$C229,$D:$D,"P0(전)"))</f>
        <v/>
      </c>
      <c r="P229" s="45">
        <f>IF(COUNTIFS($C:$C,$C229,$D:$D,"P0(후)",$L:$L,"&gt;0")&lt;&gt;1,"",SUMIFS($H:$H,$C:$C,$C229,$D:$D,"P0(후)"))</f>
        <v/>
      </c>
      <c r="Q229" s="30">
        <f>IF(COUNTIFS($C:$C,$C229,$D:$D,"P0(후)",$L:$L,"&gt;0")&lt;&gt;1,"",SUMIFS($L:$L,$C:$C,$C229,$D:$D,"P0(후)"))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IF(OR(NOT(ISNUMBER(S229)),IF(ISNUMBER(G229),G229,F229)=0),"",S229/IF(ISNUMBER(G229),G229,F229))</f>
        <v/>
      </c>
      <c r="U229" s="46">
        <f>IF(ISNUMBER(T229),ABS(T229),"")</f>
        <v/>
      </c>
      <c r="V229" s="46">
        <f>IF(OR($D228&lt;&gt;"측정",$C228&lt;&gt;$C229,NOT(ISNUMBER(L229)),NOT(ISNUMBER(L228)),(IF(ISNUMBER(G229),G229,F229)-IF(ISNUMBER(G228),G228,F228))=0),"",(L229-L228)/(IF(ISNUMBER(G229),G229,F229)-IF(ISNUMBER(G228),G228,F228)))</f>
        <v/>
      </c>
      <c r="W229" s="30">
        <f>IF(NOT(AND(ISNUMBER(N229),ISNUMBER(P229))),"",(P229-N229)*1440)</f>
        <v/>
      </c>
      <c r="X229" s="28" t="n"/>
      <c r="Y229" s="28" t="n"/>
      <c r="Z229" s="28" t="n"/>
      <c r="AA229" s="31" t="n"/>
      <c r="AB229" s="31" t="n"/>
    </row>
    <row r="230">
      <c r="A230" s="25" t="inlineStr">
        <is>
          <t>S05</t>
        </is>
      </c>
      <c r="B230" s="25" t="inlineStr">
        <is>
          <t>무풍 신규점1</t>
        </is>
      </c>
      <c r="C230" s="25" t="inlineStr">
        <is>
          <t>S05-H서</t>
        </is>
      </c>
      <c r="D230" s="25" t="inlineStr">
        <is>
          <t>측정</t>
        </is>
      </c>
      <c r="E230" s="25" t="inlineStr">
        <is>
          <t>서</t>
        </is>
      </c>
      <c r="F230" s="30" t="n">
        <v>3</v>
      </c>
      <c r="G230" s="29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IF(COUNTIFS($C:$C,$C230,$D:$D,"P0(전)",$L:$L,"&gt;0")&lt;&gt;1,"P0(전) 유효 1개 아님",IF(COUNTIFS($C:$C,$C230,$D:$D,"P0(후)",$L:$L,"&gt;0")&lt;&gt;1,"P0(후) 유효 1개 아님",IF(NOT(AND(ISNUMBER(N230),ISNUMBER(P230),ISNUMBER(H230))),"시각 결측",IF(P230&lt;=N230,"P0 시각 역전",IF(OR(H230&lt;N230,H230&gt;P230),"측정시각 구간 밖","OK")))))</f>
        <v/>
      </c>
      <c r="N230" s="45">
        <f>IF(COUNTIFS($C:$C,$C230,$D:$D,"P0(전)",$L:$L,"&gt;0")&lt;&gt;1,"",SUMIFS($H:$H,$C:$C,$C230,$D:$D,"P0(전)"))</f>
        <v/>
      </c>
      <c r="O230" s="30">
        <f>IF(COUNTIFS($C:$C,$C230,$D:$D,"P0(전)",$L:$L,"&gt;0")&lt;&gt;1,"",SUMIFS($L:$L,$C:$C,$C230,$D:$D,"P0(전)"))</f>
        <v/>
      </c>
      <c r="P230" s="45">
        <f>IF(COUNTIFS($C:$C,$C230,$D:$D,"P0(후)",$L:$L,"&gt;0")&lt;&gt;1,"",SUMIFS($H:$H,$C:$C,$C230,$D:$D,"P0(후)"))</f>
        <v/>
      </c>
      <c r="Q230" s="30">
        <f>IF(COUNTIFS($C:$C,$C230,$D:$D,"P0(후)",$L:$L,"&gt;0")&lt;&gt;1,"",SUMIFS($L:$L,$C:$C,$C230,$D:$D,"P0(후)"))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IF(OR(NOT(ISNUMBER(S230)),IF(ISNUMBER(G230),G230,F230)=0),"",S230/IF(ISNUMBER(G230),G230,F230))</f>
        <v/>
      </c>
      <c r="U230" s="46">
        <f>IF(ISNUMBER(T230),ABS(T230),"")</f>
        <v/>
      </c>
      <c r="V230" s="46">
        <f>IF(OR($D229&lt;&gt;"측정",$C229&lt;&gt;$C230,NOT(ISNUMBER(L230)),NOT(ISNUMBER(L229)),(IF(ISNUMBER(G230),G230,F230)-IF(ISNUMBER(G229),G229,F229))=0),"",(L230-L229)/(IF(ISNUMBER(G230),G230,F230)-IF(ISNUMBER(G229),G229,F229)))</f>
        <v/>
      </c>
      <c r="W230" s="30">
        <f>IF(NOT(AND(ISNUMBER(N230),ISNUMBER(P230))),"",(P230-N230)*1440)</f>
        <v/>
      </c>
      <c r="X230" s="28" t="n"/>
      <c r="Y230" s="28" t="n"/>
      <c r="Z230" s="28" t="n"/>
      <c r="AA230" s="31" t="n"/>
      <c r="AB230" s="31" t="n"/>
    </row>
    <row r="231">
      <c r="A231" s="25" t="inlineStr">
        <is>
          <t>S05</t>
        </is>
      </c>
      <c r="B231" s="25" t="inlineStr">
        <is>
          <t>무풍 신규점1</t>
        </is>
      </c>
      <c r="C231" s="25" t="inlineStr">
        <is>
          <t>S05-H서</t>
        </is>
      </c>
      <c r="D231" s="25" t="inlineStr">
        <is>
          <t>측정</t>
        </is>
      </c>
      <c r="E231" s="25" t="inlineStr">
        <is>
          <t>서</t>
        </is>
      </c>
      <c r="F231" s="30" t="n">
        <v>4</v>
      </c>
      <c r="G231" s="29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IF(COUNTIFS($C:$C,$C231,$D:$D,"P0(전)",$L:$L,"&gt;0")&lt;&gt;1,"P0(전) 유효 1개 아님",IF(COUNTIFS($C:$C,$C231,$D:$D,"P0(후)",$L:$L,"&gt;0")&lt;&gt;1,"P0(후) 유효 1개 아님",IF(NOT(AND(ISNUMBER(N231),ISNUMBER(P231),ISNUMBER(H231))),"시각 결측",IF(P231&lt;=N231,"P0 시각 역전",IF(OR(H231&lt;N231,H231&gt;P231),"측정시각 구간 밖","OK")))))</f>
        <v/>
      </c>
      <c r="N231" s="45">
        <f>IF(COUNTIFS($C:$C,$C231,$D:$D,"P0(전)",$L:$L,"&gt;0")&lt;&gt;1,"",SUMIFS($H:$H,$C:$C,$C231,$D:$D,"P0(전)"))</f>
        <v/>
      </c>
      <c r="O231" s="30">
        <f>IF(COUNTIFS($C:$C,$C231,$D:$D,"P0(전)",$L:$L,"&gt;0")&lt;&gt;1,"",SUMIFS($L:$L,$C:$C,$C231,$D:$D,"P0(전)"))</f>
        <v/>
      </c>
      <c r="P231" s="45">
        <f>IF(COUNTIFS($C:$C,$C231,$D:$D,"P0(후)",$L:$L,"&gt;0")&lt;&gt;1,"",SUMIFS($H:$H,$C:$C,$C231,$D:$D,"P0(후)"))</f>
        <v/>
      </c>
      <c r="Q231" s="30">
        <f>IF(COUNTIFS($C:$C,$C231,$D:$D,"P0(후)",$L:$L,"&gt;0")&lt;&gt;1,"",SUMIFS($L:$L,$C:$C,$C231,$D:$D,"P0(후)"))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IF(OR(NOT(ISNUMBER(S231)),IF(ISNUMBER(G231),G231,F231)=0),"",S231/IF(ISNUMBER(G231),G231,F231))</f>
        <v/>
      </c>
      <c r="U231" s="46">
        <f>IF(ISNUMBER(T231),ABS(T231),"")</f>
        <v/>
      </c>
      <c r="V231" s="46">
        <f>IF(OR($D230&lt;&gt;"측정",$C230&lt;&gt;$C231,NOT(ISNUMBER(L231)),NOT(ISNUMBER(L230)),(IF(ISNUMBER(G231),G231,F231)-IF(ISNUMBER(G230),G230,F230))=0),"",(L231-L230)/(IF(ISNUMBER(G231),G231,F231)-IF(ISNUMBER(G230),G230,F230)))</f>
        <v/>
      </c>
      <c r="W231" s="30">
        <f>IF(NOT(AND(ISNUMBER(N231),ISNUMBER(P231))),"",(P231-N231)*1440)</f>
        <v/>
      </c>
      <c r="X231" s="28" t="n"/>
      <c r="Y231" s="28" t="n"/>
      <c r="Z231" s="28" t="n"/>
      <c r="AA231" s="31" t="n"/>
      <c r="AB231" s="31" t="n"/>
    </row>
    <row r="232">
      <c r="A232" s="25" t="inlineStr">
        <is>
          <t>S05</t>
        </is>
      </c>
      <c r="B232" s="25" t="inlineStr">
        <is>
          <t>무풍 신규점1</t>
        </is>
      </c>
      <c r="C232" s="25" t="inlineStr">
        <is>
          <t>S05-H서</t>
        </is>
      </c>
      <c r="D232" s="25" t="inlineStr">
        <is>
          <t>측정</t>
        </is>
      </c>
      <c r="E232" s="25" t="inlineStr">
        <is>
          <t>서</t>
        </is>
      </c>
      <c r="F232" s="30" t="n">
        <v>5</v>
      </c>
      <c r="G232" s="29" t="n"/>
      <c r="H232" s="42" t="n"/>
      <c r="I232" s="40" t="n"/>
      <c r="J232" s="40" t="n"/>
      <c r="K232" s="40" t="n"/>
      <c r="L232" s="30">
        <f>IF(COUNT(I232:K232)=0,"",MEDIAN(I232:K232))</f>
        <v/>
      </c>
      <c r="M232" s="25">
        <f>IF(COUNTIFS($C:$C,$C232,$D:$D,"P0(전)",$L:$L,"&gt;0")&lt;&gt;1,"P0(전) 유효 1개 아님",IF(COUNTIFS($C:$C,$C232,$D:$D,"P0(후)",$L:$L,"&gt;0")&lt;&gt;1,"P0(후) 유효 1개 아님",IF(NOT(AND(ISNUMBER(N232),ISNUMBER(P232),ISNUMBER(H232))),"시각 결측",IF(P232&lt;=N232,"P0 시각 역전",IF(OR(H232&lt;N232,H232&gt;P232),"측정시각 구간 밖","OK")))))</f>
        <v/>
      </c>
      <c r="N232" s="45">
        <f>IF(COUNTIFS($C:$C,$C232,$D:$D,"P0(전)",$L:$L,"&gt;0")&lt;&gt;1,"",SUMIFS($H:$H,$C:$C,$C232,$D:$D,"P0(전)"))</f>
        <v/>
      </c>
      <c r="O232" s="30">
        <f>IF(COUNTIFS($C:$C,$C232,$D:$D,"P0(전)",$L:$L,"&gt;0")&lt;&gt;1,"",SUMIFS($L:$L,$C:$C,$C232,$D:$D,"P0(전)"))</f>
        <v/>
      </c>
      <c r="P232" s="45">
        <f>IF(COUNTIFS($C:$C,$C232,$D:$D,"P0(후)",$L:$L,"&gt;0")&lt;&gt;1,"",SUMIFS($H:$H,$C:$C,$C232,$D:$D,"P0(후)"))</f>
        <v/>
      </c>
      <c r="Q232" s="30">
        <f>IF(COUNTIFS($C:$C,$C232,$D:$D,"P0(후)",$L:$L,"&gt;0")&lt;&gt;1,"",SUMIFS($L:$L,$C:$C,$C232,$D:$D,"P0(후)"))</f>
        <v/>
      </c>
      <c r="R232" s="30">
        <f>IF(M232&lt;&gt;"OK","",O232+(Q232-O232)*(H232-N232)/(P232-N232))</f>
        <v/>
      </c>
      <c r="S232" s="30">
        <f>IF(OR(M232&lt;&gt;"OK",NOT(ISNUMBER(L232))),"",L232-R232)</f>
        <v/>
      </c>
      <c r="T232" s="46">
        <f>IF(OR(NOT(ISNUMBER(S232)),IF(ISNUMBER(G232),G232,F232)=0),"",S232/IF(ISNUMBER(G232),G232,F232))</f>
        <v/>
      </c>
      <c r="U232" s="46">
        <f>IF(ISNUMBER(T232),ABS(T232),"")</f>
        <v/>
      </c>
      <c r="V232" s="46">
        <f>IF(OR($D231&lt;&gt;"측정",$C231&lt;&gt;$C232,NOT(ISNUMBER(L232)),NOT(ISNUMBER(L231)),(IF(ISNUMBER(G232),G232,F232)-IF(ISNUMBER(G231),G231,F231))=0),"",(L232-L231)/(IF(ISNUMBER(G232),G232,F232)-IF(ISNUMBER(G231),G231,F231)))</f>
        <v/>
      </c>
      <c r="W232" s="30">
        <f>IF(NOT(AND(ISNUMBER(N232),ISNUMBER(P232))),"",(P232-N232)*1440)</f>
        <v/>
      </c>
      <c r="X232" s="28" t="n"/>
      <c r="Y232" s="28" t="n"/>
      <c r="Z232" s="28" t="n"/>
      <c r="AA232" s="31" t="n"/>
      <c r="AB232" s="31" t="n"/>
    </row>
    <row r="233">
      <c r="A233" s="25" t="inlineStr">
        <is>
          <t>S05</t>
        </is>
      </c>
      <c r="B233" s="25" t="inlineStr">
        <is>
          <t>무풍 신규점1</t>
        </is>
      </c>
      <c r="C233" s="25" t="inlineStr">
        <is>
          <t>S05-H서</t>
        </is>
      </c>
      <c r="D233" s="25" t="inlineStr">
        <is>
          <t>측정</t>
        </is>
      </c>
      <c r="E233" s="25" t="inlineStr">
        <is>
          <t>서</t>
        </is>
      </c>
      <c r="F233" s="30" t="n">
        <v>6</v>
      </c>
      <c r="G233" s="29" t="n"/>
      <c r="H233" s="42" t="n"/>
      <c r="I233" s="40" t="n"/>
      <c r="J233" s="40" t="n"/>
      <c r="K233" s="40" t="n"/>
      <c r="L233" s="30">
        <f>IF(COUNT(I233:K233)=0,"",MEDIAN(I233:K233))</f>
        <v/>
      </c>
      <c r="M233" s="25">
        <f>IF(COUNTIFS($C:$C,$C233,$D:$D,"P0(전)",$L:$L,"&gt;0")&lt;&gt;1,"P0(전) 유효 1개 아님",IF(COUNTIFS($C:$C,$C233,$D:$D,"P0(후)",$L:$L,"&gt;0")&lt;&gt;1,"P0(후) 유효 1개 아님",IF(NOT(AND(ISNUMBER(N233),ISNUMBER(P233),ISNUMBER(H233))),"시각 결측",IF(P233&lt;=N233,"P0 시각 역전",IF(OR(H233&lt;N233,H233&gt;P233),"측정시각 구간 밖","OK")))))</f>
        <v/>
      </c>
      <c r="N233" s="45">
        <f>IF(COUNTIFS($C:$C,$C233,$D:$D,"P0(전)",$L:$L,"&gt;0")&lt;&gt;1,"",SUMIFS($H:$H,$C:$C,$C233,$D:$D,"P0(전)"))</f>
        <v/>
      </c>
      <c r="O233" s="30">
        <f>IF(COUNTIFS($C:$C,$C233,$D:$D,"P0(전)",$L:$L,"&gt;0")&lt;&gt;1,"",SUMIFS($L:$L,$C:$C,$C233,$D:$D,"P0(전)"))</f>
        <v/>
      </c>
      <c r="P233" s="45">
        <f>IF(COUNTIFS($C:$C,$C233,$D:$D,"P0(후)",$L:$L,"&gt;0")&lt;&gt;1,"",SUMIFS($H:$H,$C:$C,$C233,$D:$D,"P0(후)"))</f>
        <v/>
      </c>
      <c r="Q233" s="30">
        <f>IF(COUNTIFS($C:$C,$C233,$D:$D,"P0(후)",$L:$L,"&gt;0")&lt;&gt;1,"",SUMIFS($L:$L,$C:$C,$C233,$D:$D,"P0(후)"))</f>
        <v/>
      </c>
      <c r="R233" s="30">
        <f>IF(M233&lt;&gt;"OK","",O233+(Q233-O233)*(H233-N233)/(P233-N233))</f>
        <v/>
      </c>
      <c r="S233" s="30">
        <f>IF(OR(M233&lt;&gt;"OK",NOT(ISNUMBER(L233))),"",L233-R233)</f>
        <v/>
      </c>
      <c r="T233" s="46">
        <f>IF(OR(NOT(ISNUMBER(S233)),IF(ISNUMBER(G233),G233,F233)=0),"",S233/IF(ISNUMBER(G233),G233,F233))</f>
        <v/>
      </c>
      <c r="U233" s="46">
        <f>IF(ISNUMBER(T233),ABS(T233),"")</f>
        <v/>
      </c>
      <c r="V233" s="46">
        <f>IF(OR($D232&lt;&gt;"측정",$C232&lt;&gt;$C233,NOT(ISNUMBER(L233)),NOT(ISNUMBER(L232)),(IF(ISNUMBER(G233),G233,F233)-IF(ISNUMBER(G232),G232,F232))=0),"",(L233-L232)/(IF(ISNUMBER(G233),G233,F233)-IF(ISNUMBER(G232),G232,F232)))</f>
        <v/>
      </c>
      <c r="W233" s="30">
        <f>IF(NOT(AND(ISNUMBER(N233),ISNUMBER(P233))),"",(P233-N233)*1440)</f>
        <v/>
      </c>
      <c r="X233" s="28" t="n"/>
      <c r="Y233" s="28" t="n"/>
      <c r="Z233" s="28" t="n"/>
      <c r="AA233" s="31" t="n"/>
      <c r="AB233" s="31" t="n"/>
    </row>
    <row r="234">
      <c r="A234" s="25" t="inlineStr">
        <is>
          <t>S05</t>
        </is>
      </c>
      <c r="B234" s="25" t="inlineStr">
        <is>
          <t>무풍 신규점1</t>
        </is>
      </c>
      <c r="C234" s="25" t="inlineStr">
        <is>
          <t>S05-H서</t>
        </is>
      </c>
      <c r="D234" s="25" t="inlineStr">
        <is>
          <t>측정</t>
        </is>
      </c>
      <c r="E234" s="25" t="inlineStr">
        <is>
          <t>서</t>
        </is>
      </c>
      <c r="F234" s="30" t="n">
        <v>7</v>
      </c>
      <c r="G234" s="29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IF(COUNTIFS($C:$C,$C234,$D:$D,"P0(전)",$L:$L,"&gt;0")&lt;&gt;1,"P0(전) 유효 1개 아님",IF(COUNTIFS($C:$C,$C234,$D:$D,"P0(후)",$L:$L,"&gt;0")&lt;&gt;1,"P0(후) 유효 1개 아님",IF(NOT(AND(ISNUMBER(N234),ISNUMBER(P234),ISNUMBER(H234))),"시각 결측",IF(P234&lt;=N234,"P0 시각 역전",IF(OR(H234&lt;N234,H234&gt;P234),"측정시각 구간 밖","OK")))))</f>
        <v/>
      </c>
      <c r="N234" s="45">
        <f>IF(COUNTIFS($C:$C,$C234,$D:$D,"P0(전)",$L:$L,"&gt;0")&lt;&gt;1,"",SUMIFS($H:$H,$C:$C,$C234,$D:$D,"P0(전)"))</f>
        <v/>
      </c>
      <c r="O234" s="30">
        <f>IF(COUNTIFS($C:$C,$C234,$D:$D,"P0(전)",$L:$L,"&gt;0")&lt;&gt;1,"",SUMIFS($L:$L,$C:$C,$C234,$D:$D,"P0(전)"))</f>
        <v/>
      </c>
      <c r="P234" s="45">
        <f>IF(COUNTIFS($C:$C,$C234,$D:$D,"P0(후)",$L:$L,"&gt;0")&lt;&gt;1,"",SUMIFS($H:$H,$C:$C,$C234,$D:$D,"P0(후)"))</f>
        <v/>
      </c>
      <c r="Q234" s="30">
        <f>IF(COUNTIFS($C:$C,$C234,$D:$D,"P0(후)",$L:$L,"&gt;0")&lt;&gt;1,"",SUMIFS($L:$L,$C:$C,$C234,$D:$D,"P0(후)"))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IF(OR(NOT(ISNUMBER(S234)),IF(ISNUMBER(G234),G234,F234)=0),"",S234/IF(ISNUMBER(G234),G234,F234))</f>
        <v/>
      </c>
      <c r="U234" s="46">
        <f>IF(ISNUMBER(T234),ABS(T234),"")</f>
        <v/>
      </c>
      <c r="V234" s="46">
        <f>IF(OR($D233&lt;&gt;"측정",$C233&lt;&gt;$C234,NOT(ISNUMBER(L234)),NOT(ISNUMBER(L233)),(IF(ISNUMBER(G234),G234,F234)-IF(ISNUMBER(G233),G233,F233))=0),"",(L234-L233)/(IF(ISNUMBER(G234),G234,F234)-IF(ISNUMBER(G233),G233,F233)))</f>
        <v/>
      </c>
      <c r="W234" s="30">
        <f>IF(NOT(AND(ISNUMBER(N234),ISNUMBER(P234))),"",(P234-N234)*1440)</f>
        <v/>
      </c>
      <c r="X234" s="28" t="n"/>
      <c r="Y234" s="28" t="n"/>
      <c r="Z234" s="28" t="n"/>
      <c r="AA234" s="31" t="n"/>
      <c r="AB234" s="31" t="n"/>
    </row>
    <row r="235">
      <c r="A235" s="25" t="inlineStr">
        <is>
          <t>S05</t>
        </is>
      </c>
      <c r="B235" s="25" t="inlineStr">
        <is>
          <t>무풍 신규점1</t>
        </is>
      </c>
      <c r="C235" s="25" t="inlineStr">
        <is>
          <t>S05-H서</t>
        </is>
      </c>
      <c r="D235" s="25" t="inlineStr">
        <is>
          <t>측정</t>
        </is>
      </c>
      <c r="E235" s="25" t="inlineStr">
        <is>
          <t>서</t>
        </is>
      </c>
      <c r="F235" s="30" t="n">
        <v>8</v>
      </c>
      <c r="G235" s="29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IF(COUNTIFS($C:$C,$C235,$D:$D,"P0(전)",$L:$L,"&gt;0")&lt;&gt;1,"P0(전) 유효 1개 아님",IF(COUNTIFS($C:$C,$C235,$D:$D,"P0(후)",$L:$L,"&gt;0")&lt;&gt;1,"P0(후) 유효 1개 아님",IF(NOT(AND(ISNUMBER(N235),ISNUMBER(P235),ISNUMBER(H235))),"시각 결측",IF(P235&lt;=N235,"P0 시각 역전",IF(OR(H235&lt;N235,H235&gt;P235),"측정시각 구간 밖","OK")))))</f>
        <v/>
      </c>
      <c r="N235" s="45">
        <f>IF(COUNTIFS($C:$C,$C235,$D:$D,"P0(전)",$L:$L,"&gt;0")&lt;&gt;1,"",SUMIFS($H:$H,$C:$C,$C235,$D:$D,"P0(전)"))</f>
        <v/>
      </c>
      <c r="O235" s="30">
        <f>IF(COUNTIFS($C:$C,$C235,$D:$D,"P0(전)",$L:$L,"&gt;0")&lt;&gt;1,"",SUMIFS($L:$L,$C:$C,$C235,$D:$D,"P0(전)"))</f>
        <v/>
      </c>
      <c r="P235" s="45">
        <f>IF(COUNTIFS($C:$C,$C235,$D:$D,"P0(후)",$L:$L,"&gt;0")&lt;&gt;1,"",SUMIFS($H:$H,$C:$C,$C235,$D:$D,"P0(후)"))</f>
        <v/>
      </c>
      <c r="Q235" s="30">
        <f>IF(COUNTIFS($C:$C,$C235,$D:$D,"P0(후)",$L:$L,"&gt;0")&lt;&gt;1,"",SUMIFS($L:$L,$C:$C,$C235,$D:$D,"P0(후)"))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IF(OR(NOT(ISNUMBER(S235)),IF(ISNUMBER(G235),G235,F235)=0),"",S235/IF(ISNUMBER(G235),G235,F235))</f>
        <v/>
      </c>
      <c r="U235" s="46">
        <f>IF(ISNUMBER(T235),ABS(T235),"")</f>
        <v/>
      </c>
      <c r="V235" s="46">
        <f>IF(OR($D234&lt;&gt;"측정",$C234&lt;&gt;$C235,NOT(ISNUMBER(L235)),NOT(ISNUMBER(L234)),(IF(ISNUMBER(G235),G235,F235)-IF(ISNUMBER(G234),G234,F234))=0),"",(L235-L234)/(IF(ISNUMBER(G235),G235,F235)-IF(ISNUMBER(G234),G234,F234)))</f>
        <v/>
      </c>
      <c r="W235" s="30">
        <f>IF(NOT(AND(ISNUMBER(N235),ISNUMBER(P235))),"",(P235-N235)*1440)</f>
        <v/>
      </c>
      <c r="X235" s="28" t="n"/>
      <c r="Y235" s="28" t="n"/>
      <c r="Z235" s="28" t="n"/>
      <c r="AA235" s="31" t="n"/>
      <c r="AB235" s="31" t="n"/>
    </row>
    <row r="236">
      <c r="A236" s="25" t="inlineStr">
        <is>
          <t>S05</t>
        </is>
      </c>
      <c r="B236" s="25" t="inlineStr">
        <is>
          <t>무풍 신규점1</t>
        </is>
      </c>
      <c r="C236" s="25" t="inlineStr">
        <is>
          <t>S05-H서</t>
        </is>
      </c>
      <c r="D236" s="25" t="inlineStr">
        <is>
          <t>측정</t>
        </is>
      </c>
      <c r="E236" s="25" t="inlineStr">
        <is>
          <t>서</t>
        </is>
      </c>
      <c r="F236" s="30" t="n">
        <v>9</v>
      </c>
      <c r="G236" s="29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IF(COUNTIFS($C:$C,$C236,$D:$D,"P0(전)",$L:$L,"&gt;0")&lt;&gt;1,"P0(전) 유효 1개 아님",IF(COUNTIFS($C:$C,$C236,$D:$D,"P0(후)",$L:$L,"&gt;0")&lt;&gt;1,"P0(후) 유효 1개 아님",IF(NOT(AND(ISNUMBER(N236),ISNUMBER(P236),ISNUMBER(H236))),"시각 결측",IF(P236&lt;=N236,"P0 시각 역전",IF(OR(H236&lt;N236,H236&gt;P236),"측정시각 구간 밖","OK")))))</f>
        <v/>
      </c>
      <c r="N236" s="45">
        <f>IF(COUNTIFS($C:$C,$C236,$D:$D,"P0(전)",$L:$L,"&gt;0")&lt;&gt;1,"",SUMIFS($H:$H,$C:$C,$C236,$D:$D,"P0(전)"))</f>
        <v/>
      </c>
      <c r="O236" s="30">
        <f>IF(COUNTIFS($C:$C,$C236,$D:$D,"P0(전)",$L:$L,"&gt;0")&lt;&gt;1,"",SUMIFS($L:$L,$C:$C,$C236,$D:$D,"P0(전)"))</f>
        <v/>
      </c>
      <c r="P236" s="45">
        <f>IF(COUNTIFS($C:$C,$C236,$D:$D,"P0(후)",$L:$L,"&gt;0")&lt;&gt;1,"",SUMIFS($H:$H,$C:$C,$C236,$D:$D,"P0(후)"))</f>
        <v/>
      </c>
      <c r="Q236" s="30">
        <f>IF(COUNTIFS($C:$C,$C236,$D:$D,"P0(후)",$L:$L,"&gt;0")&lt;&gt;1,"",SUMIFS($L:$L,$C:$C,$C236,$D:$D,"P0(후)"))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IF(OR(NOT(ISNUMBER(S236)),IF(ISNUMBER(G236),G236,F236)=0),"",S236/IF(ISNUMBER(G236),G236,F236))</f>
        <v/>
      </c>
      <c r="U236" s="46">
        <f>IF(ISNUMBER(T236),ABS(T236),"")</f>
        <v/>
      </c>
      <c r="V236" s="46">
        <f>IF(OR($D235&lt;&gt;"측정",$C235&lt;&gt;$C236,NOT(ISNUMBER(L236)),NOT(ISNUMBER(L235)),(IF(ISNUMBER(G236),G236,F236)-IF(ISNUMBER(G235),G235,F235))=0),"",(L236-L235)/(IF(ISNUMBER(G236),G236,F236)-IF(ISNUMBER(G235),G235,F235)))</f>
        <v/>
      </c>
      <c r="W236" s="30">
        <f>IF(NOT(AND(ISNUMBER(N236),ISNUMBER(P236))),"",(P236-N236)*1440)</f>
        <v/>
      </c>
      <c r="X236" s="28" t="n"/>
      <c r="Y236" s="28" t="n"/>
      <c r="Z236" s="28" t="n"/>
      <c r="AA236" s="31" t="n"/>
      <c r="AB236" s="31" t="n"/>
    </row>
    <row r="237">
      <c r="A237" s="25" t="inlineStr">
        <is>
          <t>S05</t>
        </is>
      </c>
      <c r="B237" s="25" t="inlineStr">
        <is>
          <t>무풍 신규점1</t>
        </is>
      </c>
      <c r="C237" s="25" t="inlineStr">
        <is>
          <t>S05-H서</t>
        </is>
      </c>
      <c r="D237" s="25" t="inlineStr">
        <is>
          <t>측정</t>
        </is>
      </c>
      <c r="E237" s="25" t="inlineStr">
        <is>
          <t>서</t>
        </is>
      </c>
      <c r="F237" s="30" t="n">
        <v>10</v>
      </c>
      <c r="G237" s="29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IF(COUNTIFS($C:$C,$C237,$D:$D,"P0(전)",$L:$L,"&gt;0")&lt;&gt;1,"P0(전) 유효 1개 아님",IF(COUNTIFS($C:$C,$C237,$D:$D,"P0(후)",$L:$L,"&gt;0")&lt;&gt;1,"P0(후) 유효 1개 아님",IF(NOT(AND(ISNUMBER(N237),ISNUMBER(P237),ISNUMBER(H237))),"시각 결측",IF(P237&lt;=N237,"P0 시각 역전",IF(OR(H237&lt;N237,H237&gt;P237),"측정시각 구간 밖","OK")))))</f>
        <v/>
      </c>
      <c r="N237" s="45">
        <f>IF(COUNTIFS($C:$C,$C237,$D:$D,"P0(전)",$L:$L,"&gt;0")&lt;&gt;1,"",SUMIFS($H:$H,$C:$C,$C237,$D:$D,"P0(전)"))</f>
        <v/>
      </c>
      <c r="O237" s="30">
        <f>IF(COUNTIFS($C:$C,$C237,$D:$D,"P0(전)",$L:$L,"&gt;0")&lt;&gt;1,"",SUMIFS($L:$L,$C:$C,$C237,$D:$D,"P0(전)"))</f>
        <v/>
      </c>
      <c r="P237" s="45">
        <f>IF(COUNTIFS($C:$C,$C237,$D:$D,"P0(후)",$L:$L,"&gt;0")&lt;&gt;1,"",SUMIFS($H:$H,$C:$C,$C237,$D:$D,"P0(후)"))</f>
        <v/>
      </c>
      <c r="Q237" s="30">
        <f>IF(COUNTIFS($C:$C,$C237,$D:$D,"P0(후)",$L:$L,"&gt;0")&lt;&gt;1,"",SUMIFS($L:$L,$C:$C,$C237,$D:$D,"P0(후)"))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IF(OR(NOT(ISNUMBER(S237)),IF(ISNUMBER(G237),G237,F237)=0),"",S237/IF(ISNUMBER(G237),G237,F237))</f>
        <v/>
      </c>
      <c r="U237" s="46">
        <f>IF(ISNUMBER(T237),ABS(T237),"")</f>
        <v/>
      </c>
      <c r="V237" s="46">
        <f>IF(OR($D236&lt;&gt;"측정",$C236&lt;&gt;$C237,NOT(ISNUMBER(L237)),NOT(ISNUMBER(L236)),(IF(ISNUMBER(G237),G237,F237)-IF(ISNUMBER(G236),G236,F236))=0),"",(L237-L236)/(IF(ISNUMBER(G237),G237,F237)-IF(ISNUMBER(G236),G236,F236)))</f>
        <v/>
      </c>
      <c r="W237" s="30">
        <f>IF(NOT(AND(ISNUMBER(N237),ISNUMBER(P237))),"",(P237-N237)*1440)</f>
        <v/>
      </c>
      <c r="X237" s="28" t="n"/>
      <c r="Y237" s="28" t="n"/>
      <c r="Z237" s="28" t="n"/>
      <c r="AA237" s="31" t="n"/>
      <c r="AB237" s="31" t="n"/>
    </row>
    <row r="238">
      <c r="A238" s="43" t="inlineStr">
        <is>
          <t>S05</t>
        </is>
      </c>
      <c r="B238" s="43" t="inlineStr">
        <is>
          <t>무풍 신규점1</t>
        </is>
      </c>
      <c r="C238" s="43" t="inlineStr">
        <is>
          <t>S05-H서</t>
        </is>
      </c>
      <c r="D238" s="43" t="inlineStr">
        <is>
          <t>P0(후)</t>
        </is>
      </c>
      <c r="E238" s="43" t="inlineStr">
        <is>
          <t>서</t>
        </is>
      </c>
      <c r="F238" s="44" t="n"/>
      <c r="G238" s="29" t="n"/>
      <c r="H238" s="42" t="n"/>
      <c r="I238" s="40" t="n"/>
      <c r="J238" s="40" t="n"/>
      <c r="K238" s="40" t="n"/>
      <c r="L238" s="30">
        <f>IF(COUNT(I238:K238)=0,"",MEDIAN(I238:K238))</f>
        <v/>
      </c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28" t="n"/>
      <c r="Y238" s="28" t="n"/>
      <c r="Z238" s="28" t="n"/>
      <c r="AA238" s="31" t="n"/>
      <c r="AB238" s="31" t="n"/>
    </row>
    <row r="239">
      <c r="A239" s="43" t="inlineStr">
        <is>
          <t>S05</t>
        </is>
      </c>
      <c r="B239" s="43" t="inlineStr">
        <is>
          <t>무풍 신규점1</t>
        </is>
      </c>
      <c r="C239" s="43" t="inlineStr">
        <is>
          <t>S05-H남</t>
        </is>
      </c>
      <c r="D239" s="43" t="inlineStr">
        <is>
          <t>P0(전)</t>
        </is>
      </c>
      <c r="E239" s="43" t="inlineStr">
        <is>
          <t>남</t>
        </is>
      </c>
      <c r="F239" s="44" t="n"/>
      <c r="G239" s="29" t="n"/>
      <c r="H239" s="42" t="n"/>
      <c r="I239" s="40" t="n"/>
      <c r="J239" s="40" t="n"/>
      <c r="K239" s="40" t="n"/>
      <c r="L239" s="30">
        <f>IF(COUNT(I239:K239)=0,"",MEDIAN(I239:K239))</f>
        <v/>
      </c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28" t="n"/>
      <c r="Y239" s="28" t="n"/>
      <c r="Z239" s="28" t="n"/>
      <c r="AA239" s="31" t="n"/>
      <c r="AB239" s="31" t="n"/>
    </row>
    <row r="240">
      <c r="A240" s="25" t="inlineStr">
        <is>
          <t>S05</t>
        </is>
      </c>
      <c r="B240" s="25" t="inlineStr">
        <is>
          <t>무풍 신규점1</t>
        </is>
      </c>
      <c r="C240" s="25" t="inlineStr">
        <is>
          <t>S05-H남</t>
        </is>
      </c>
      <c r="D240" s="25" t="inlineStr">
        <is>
          <t>측정</t>
        </is>
      </c>
      <c r="E240" s="25" t="inlineStr">
        <is>
          <t>남</t>
        </is>
      </c>
      <c r="F240" s="30" t="n">
        <v>0.5</v>
      </c>
      <c r="G240" s="29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IF(COUNTIFS($C:$C,$C240,$D:$D,"P0(전)",$L:$L,"&gt;0")&lt;&gt;1,"P0(전) 유효 1개 아님",IF(COUNTIFS($C:$C,$C240,$D:$D,"P0(후)",$L:$L,"&gt;0")&lt;&gt;1,"P0(후) 유효 1개 아님",IF(NOT(AND(ISNUMBER(N240),ISNUMBER(P240),ISNUMBER(H240))),"시각 결측",IF(P240&lt;=N240,"P0 시각 역전",IF(OR(H240&lt;N240,H240&gt;P240),"측정시각 구간 밖","OK")))))</f>
        <v/>
      </c>
      <c r="N240" s="45">
        <f>IF(COUNTIFS($C:$C,$C240,$D:$D,"P0(전)",$L:$L,"&gt;0")&lt;&gt;1,"",SUMIFS($H:$H,$C:$C,$C240,$D:$D,"P0(전)"))</f>
        <v/>
      </c>
      <c r="O240" s="30">
        <f>IF(COUNTIFS($C:$C,$C240,$D:$D,"P0(전)",$L:$L,"&gt;0")&lt;&gt;1,"",SUMIFS($L:$L,$C:$C,$C240,$D:$D,"P0(전)"))</f>
        <v/>
      </c>
      <c r="P240" s="45">
        <f>IF(COUNTIFS($C:$C,$C240,$D:$D,"P0(후)",$L:$L,"&gt;0")&lt;&gt;1,"",SUMIFS($H:$H,$C:$C,$C240,$D:$D,"P0(후)"))</f>
        <v/>
      </c>
      <c r="Q240" s="30">
        <f>IF(COUNTIFS($C:$C,$C240,$D:$D,"P0(후)",$L:$L,"&gt;0")&lt;&gt;1,"",SUMIFS($L:$L,$C:$C,$C240,$D:$D,"P0(후)"))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IF(OR(NOT(ISNUMBER(S240)),IF(ISNUMBER(G240),G240,F240)=0),"",S240/IF(ISNUMBER(G240),G240,F240))</f>
        <v/>
      </c>
      <c r="U240" s="46">
        <f>IF(ISNUMBER(T240),ABS(T240),"")</f>
        <v/>
      </c>
      <c r="V240" s="46">
        <f>IF(OR($D239&lt;&gt;"측정",$C239&lt;&gt;$C240,NOT(ISNUMBER(L240)),NOT(ISNUMBER(L239)),(IF(ISNUMBER(G240),G240,F240)-IF(ISNUMBER(G239),G239,F239))=0),"",(L240-L239)/(IF(ISNUMBER(G240),G240,F240)-IF(ISNUMBER(G239),G239,F239)))</f>
        <v/>
      </c>
      <c r="W240" s="30">
        <f>IF(NOT(AND(ISNUMBER(N240),ISNUMBER(P240))),"",(P240-N240)*1440)</f>
        <v/>
      </c>
      <c r="X240" s="28" t="n"/>
      <c r="Y240" s="28" t="n"/>
      <c r="Z240" s="28" t="n"/>
      <c r="AA240" s="31" t="n"/>
      <c r="AB240" s="31" t="n"/>
    </row>
    <row r="241">
      <c r="A241" s="25" t="inlineStr">
        <is>
          <t>S05</t>
        </is>
      </c>
      <c r="B241" s="25" t="inlineStr">
        <is>
          <t>무풍 신규점1</t>
        </is>
      </c>
      <c r="C241" s="25" t="inlineStr">
        <is>
          <t>S05-H남</t>
        </is>
      </c>
      <c r="D241" s="25" t="inlineStr">
        <is>
          <t>측정</t>
        </is>
      </c>
      <c r="E241" s="25" t="inlineStr">
        <is>
          <t>남</t>
        </is>
      </c>
      <c r="F241" s="30" t="n">
        <v>1</v>
      </c>
      <c r="G241" s="29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IF(COUNTIFS($C:$C,$C241,$D:$D,"P0(전)",$L:$L,"&gt;0")&lt;&gt;1,"P0(전) 유효 1개 아님",IF(COUNTIFS($C:$C,$C241,$D:$D,"P0(후)",$L:$L,"&gt;0")&lt;&gt;1,"P0(후) 유효 1개 아님",IF(NOT(AND(ISNUMBER(N241),ISNUMBER(P241),ISNUMBER(H241))),"시각 결측",IF(P241&lt;=N241,"P0 시각 역전",IF(OR(H241&lt;N241,H241&gt;P241),"측정시각 구간 밖","OK")))))</f>
        <v/>
      </c>
      <c r="N241" s="45">
        <f>IF(COUNTIFS($C:$C,$C241,$D:$D,"P0(전)",$L:$L,"&gt;0")&lt;&gt;1,"",SUMIFS($H:$H,$C:$C,$C241,$D:$D,"P0(전)"))</f>
        <v/>
      </c>
      <c r="O241" s="30">
        <f>IF(COUNTIFS($C:$C,$C241,$D:$D,"P0(전)",$L:$L,"&gt;0")&lt;&gt;1,"",SUMIFS($L:$L,$C:$C,$C241,$D:$D,"P0(전)"))</f>
        <v/>
      </c>
      <c r="P241" s="45">
        <f>IF(COUNTIFS($C:$C,$C241,$D:$D,"P0(후)",$L:$L,"&gt;0")&lt;&gt;1,"",SUMIFS($H:$H,$C:$C,$C241,$D:$D,"P0(후)"))</f>
        <v/>
      </c>
      <c r="Q241" s="30">
        <f>IF(COUNTIFS($C:$C,$C241,$D:$D,"P0(후)",$L:$L,"&gt;0")&lt;&gt;1,"",SUMIFS($L:$L,$C:$C,$C241,$D:$D,"P0(후)"))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IF(OR(NOT(ISNUMBER(S241)),IF(ISNUMBER(G241),G241,F241)=0),"",S241/IF(ISNUMBER(G241),G241,F241))</f>
        <v/>
      </c>
      <c r="U241" s="46">
        <f>IF(ISNUMBER(T241),ABS(T241),"")</f>
        <v/>
      </c>
      <c r="V241" s="46">
        <f>IF(OR($D240&lt;&gt;"측정",$C240&lt;&gt;$C241,NOT(ISNUMBER(L241)),NOT(ISNUMBER(L240)),(IF(ISNUMBER(G241),G241,F241)-IF(ISNUMBER(G240),G240,F240))=0),"",(L241-L240)/(IF(ISNUMBER(G241),G241,F241)-IF(ISNUMBER(G240),G240,F240)))</f>
        <v/>
      </c>
      <c r="W241" s="30">
        <f>IF(NOT(AND(ISNUMBER(N241),ISNUMBER(P241))),"",(P241-N241)*1440)</f>
        <v/>
      </c>
      <c r="X241" s="28" t="n"/>
      <c r="Y241" s="28" t="n"/>
      <c r="Z241" s="28" t="n"/>
      <c r="AA241" s="31" t="n"/>
      <c r="AB241" s="31" t="n"/>
    </row>
    <row r="242">
      <c r="A242" s="25" t="inlineStr">
        <is>
          <t>S05</t>
        </is>
      </c>
      <c r="B242" s="25" t="inlineStr">
        <is>
          <t>무풍 신규점1</t>
        </is>
      </c>
      <c r="C242" s="25" t="inlineStr">
        <is>
          <t>S05-H남</t>
        </is>
      </c>
      <c r="D242" s="25" t="inlineStr">
        <is>
          <t>측정</t>
        </is>
      </c>
      <c r="E242" s="25" t="inlineStr">
        <is>
          <t>남</t>
        </is>
      </c>
      <c r="F242" s="30" t="n">
        <v>2</v>
      </c>
      <c r="G242" s="29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IF(COUNTIFS($C:$C,$C242,$D:$D,"P0(전)",$L:$L,"&gt;0")&lt;&gt;1,"P0(전) 유효 1개 아님",IF(COUNTIFS($C:$C,$C242,$D:$D,"P0(후)",$L:$L,"&gt;0")&lt;&gt;1,"P0(후) 유효 1개 아님",IF(NOT(AND(ISNUMBER(N242),ISNUMBER(P242),ISNUMBER(H242))),"시각 결측",IF(P242&lt;=N242,"P0 시각 역전",IF(OR(H242&lt;N242,H242&gt;P242),"측정시각 구간 밖","OK")))))</f>
        <v/>
      </c>
      <c r="N242" s="45">
        <f>IF(COUNTIFS($C:$C,$C242,$D:$D,"P0(전)",$L:$L,"&gt;0")&lt;&gt;1,"",SUMIFS($H:$H,$C:$C,$C242,$D:$D,"P0(전)"))</f>
        <v/>
      </c>
      <c r="O242" s="30">
        <f>IF(COUNTIFS($C:$C,$C242,$D:$D,"P0(전)",$L:$L,"&gt;0")&lt;&gt;1,"",SUMIFS($L:$L,$C:$C,$C242,$D:$D,"P0(전)"))</f>
        <v/>
      </c>
      <c r="P242" s="45">
        <f>IF(COUNTIFS($C:$C,$C242,$D:$D,"P0(후)",$L:$L,"&gt;0")&lt;&gt;1,"",SUMIFS($H:$H,$C:$C,$C242,$D:$D,"P0(후)"))</f>
        <v/>
      </c>
      <c r="Q242" s="30">
        <f>IF(COUNTIFS($C:$C,$C242,$D:$D,"P0(후)",$L:$L,"&gt;0")&lt;&gt;1,"",SUMIFS($L:$L,$C:$C,$C242,$D:$D,"P0(후)"))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IF(OR(NOT(ISNUMBER(S242)),IF(ISNUMBER(G242),G242,F242)=0),"",S242/IF(ISNUMBER(G242),G242,F242))</f>
        <v/>
      </c>
      <c r="U242" s="46">
        <f>IF(ISNUMBER(T242),ABS(T242),"")</f>
        <v/>
      </c>
      <c r="V242" s="46">
        <f>IF(OR($D241&lt;&gt;"측정",$C241&lt;&gt;$C242,NOT(ISNUMBER(L242)),NOT(ISNUMBER(L241)),(IF(ISNUMBER(G242),G242,F242)-IF(ISNUMBER(G241),G241,F241))=0),"",(L242-L241)/(IF(ISNUMBER(G242),G242,F242)-IF(ISNUMBER(G241),G241,F241)))</f>
        <v/>
      </c>
      <c r="W242" s="30">
        <f>IF(NOT(AND(ISNUMBER(N242),ISNUMBER(P242))),"",(P242-N242)*1440)</f>
        <v/>
      </c>
      <c r="X242" s="28" t="n"/>
      <c r="Y242" s="28" t="n"/>
      <c r="Z242" s="28" t="n"/>
      <c r="AA242" s="31" t="n"/>
      <c r="AB242" s="31" t="n"/>
    </row>
    <row r="243">
      <c r="A243" s="25" t="inlineStr">
        <is>
          <t>S05</t>
        </is>
      </c>
      <c r="B243" s="25" t="inlineStr">
        <is>
          <t>무풍 신규점1</t>
        </is>
      </c>
      <c r="C243" s="25" t="inlineStr">
        <is>
          <t>S05-H남</t>
        </is>
      </c>
      <c r="D243" s="25" t="inlineStr">
        <is>
          <t>측정</t>
        </is>
      </c>
      <c r="E243" s="25" t="inlineStr">
        <is>
          <t>남</t>
        </is>
      </c>
      <c r="F243" s="30" t="n">
        <v>3</v>
      </c>
      <c r="G243" s="29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IF(COUNTIFS($C:$C,$C243,$D:$D,"P0(전)",$L:$L,"&gt;0")&lt;&gt;1,"P0(전) 유효 1개 아님",IF(COUNTIFS($C:$C,$C243,$D:$D,"P0(후)",$L:$L,"&gt;0")&lt;&gt;1,"P0(후) 유효 1개 아님",IF(NOT(AND(ISNUMBER(N243),ISNUMBER(P243),ISNUMBER(H243))),"시각 결측",IF(P243&lt;=N243,"P0 시각 역전",IF(OR(H243&lt;N243,H243&gt;P243),"측정시각 구간 밖","OK")))))</f>
        <v/>
      </c>
      <c r="N243" s="45">
        <f>IF(COUNTIFS($C:$C,$C243,$D:$D,"P0(전)",$L:$L,"&gt;0")&lt;&gt;1,"",SUMIFS($H:$H,$C:$C,$C243,$D:$D,"P0(전)"))</f>
        <v/>
      </c>
      <c r="O243" s="30">
        <f>IF(COUNTIFS($C:$C,$C243,$D:$D,"P0(전)",$L:$L,"&gt;0")&lt;&gt;1,"",SUMIFS($L:$L,$C:$C,$C243,$D:$D,"P0(전)"))</f>
        <v/>
      </c>
      <c r="P243" s="45">
        <f>IF(COUNTIFS($C:$C,$C243,$D:$D,"P0(후)",$L:$L,"&gt;0")&lt;&gt;1,"",SUMIFS($H:$H,$C:$C,$C243,$D:$D,"P0(후)"))</f>
        <v/>
      </c>
      <c r="Q243" s="30">
        <f>IF(COUNTIFS($C:$C,$C243,$D:$D,"P0(후)",$L:$L,"&gt;0")&lt;&gt;1,"",SUMIFS($L:$L,$C:$C,$C243,$D:$D,"P0(후)"))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IF(OR(NOT(ISNUMBER(S243)),IF(ISNUMBER(G243),G243,F243)=0),"",S243/IF(ISNUMBER(G243),G243,F243))</f>
        <v/>
      </c>
      <c r="U243" s="46">
        <f>IF(ISNUMBER(T243),ABS(T243),"")</f>
        <v/>
      </c>
      <c r="V243" s="46">
        <f>IF(OR($D242&lt;&gt;"측정",$C242&lt;&gt;$C243,NOT(ISNUMBER(L243)),NOT(ISNUMBER(L242)),(IF(ISNUMBER(G243),G243,F243)-IF(ISNUMBER(G242),G242,F242))=0),"",(L243-L242)/(IF(ISNUMBER(G243),G243,F243)-IF(ISNUMBER(G242),G242,F242)))</f>
        <v/>
      </c>
      <c r="W243" s="30">
        <f>IF(NOT(AND(ISNUMBER(N243),ISNUMBER(P243))),"",(P243-N243)*1440)</f>
        <v/>
      </c>
      <c r="X243" s="28" t="n"/>
      <c r="Y243" s="28" t="n"/>
      <c r="Z243" s="28" t="n"/>
      <c r="AA243" s="31" t="n"/>
      <c r="AB243" s="31" t="n"/>
    </row>
    <row r="244">
      <c r="A244" s="25" t="inlineStr">
        <is>
          <t>S05</t>
        </is>
      </c>
      <c r="B244" s="25" t="inlineStr">
        <is>
          <t>무풍 신규점1</t>
        </is>
      </c>
      <c r="C244" s="25" t="inlineStr">
        <is>
          <t>S05-H남</t>
        </is>
      </c>
      <c r="D244" s="25" t="inlineStr">
        <is>
          <t>측정</t>
        </is>
      </c>
      <c r="E244" s="25" t="inlineStr">
        <is>
          <t>남</t>
        </is>
      </c>
      <c r="F244" s="30" t="n">
        <v>4</v>
      </c>
      <c r="G244" s="29" t="n"/>
      <c r="H244" s="42" t="n"/>
      <c r="I244" s="40" t="n"/>
      <c r="J244" s="40" t="n"/>
      <c r="K244" s="40" t="n"/>
      <c r="L244" s="30">
        <f>IF(COUNT(I244:K244)=0,"",MEDIAN(I244:K244))</f>
        <v/>
      </c>
      <c r="M244" s="25">
        <f>IF(COUNTIFS($C:$C,$C244,$D:$D,"P0(전)",$L:$L,"&gt;0")&lt;&gt;1,"P0(전) 유효 1개 아님",IF(COUNTIFS($C:$C,$C244,$D:$D,"P0(후)",$L:$L,"&gt;0")&lt;&gt;1,"P0(후) 유효 1개 아님",IF(NOT(AND(ISNUMBER(N244),ISNUMBER(P244),ISNUMBER(H244))),"시각 결측",IF(P244&lt;=N244,"P0 시각 역전",IF(OR(H244&lt;N244,H244&gt;P244),"측정시각 구간 밖","OK")))))</f>
        <v/>
      </c>
      <c r="N244" s="45">
        <f>IF(COUNTIFS($C:$C,$C244,$D:$D,"P0(전)",$L:$L,"&gt;0")&lt;&gt;1,"",SUMIFS($H:$H,$C:$C,$C244,$D:$D,"P0(전)"))</f>
        <v/>
      </c>
      <c r="O244" s="30">
        <f>IF(COUNTIFS($C:$C,$C244,$D:$D,"P0(전)",$L:$L,"&gt;0")&lt;&gt;1,"",SUMIFS($L:$L,$C:$C,$C244,$D:$D,"P0(전)"))</f>
        <v/>
      </c>
      <c r="P244" s="45">
        <f>IF(COUNTIFS($C:$C,$C244,$D:$D,"P0(후)",$L:$L,"&gt;0")&lt;&gt;1,"",SUMIFS($H:$H,$C:$C,$C244,$D:$D,"P0(후)"))</f>
        <v/>
      </c>
      <c r="Q244" s="30">
        <f>IF(COUNTIFS($C:$C,$C244,$D:$D,"P0(후)",$L:$L,"&gt;0")&lt;&gt;1,"",SUMIFS($L:$L,$C:$C,$C244,$D:$D,"P0(후)"))</f>
        <v/>
      </c>
      <c r="R244" s="30">
        <f>IF(M244&lt;&gt;"OK","",O244+(Q244-O244)*(H244-N244)/(P244-N244))</f>
        <v/>
      </c>
      <c r="S244" s="30">
        <f>IF(OR(M244&lt;&gt;"OK",NOT(ISNUMBER(L244))),"",L244-R244)</f>
        <v/>
      </c>
      <c r="T244" s="46">
        <f>IF(OR(NOT(ISNUMBER(S244)),IF(ISNUMBER(G244),G244,F244)=0),"",S244/IF(ISNUMBER(G244),G244,F244))</f>
        <v/>
      </c>
      <c r="U244" s="46">
        <f>IF(ISNUMBER(T244),ABS(T244),"")</f>
        <v/>
      </c>
      <c r="V244" s="46">
        <f>IF(OR($D243&lt;&gt;"측정",$C243&lt;&gt;$C244,NOT(ISNUMBER(L244)),NOT(ISNUMBER(L243)),(IF(ISNUMBER(G244),G244,F244)-IF(ISNUMBER(G243),G243,F243))=0),"",(L244-L243)/(IF(ISNUMBER(G244),G244,F244)-IF(ISNUMBER(G243),G243,F243)))</f>
        <v/>
      </c>
      <c r="W244" s="30">
        <f>IF(NOT(AND(ISNUMBER(N244),ISNUMBER(P244))),"",(P244-N244)*1440)</f>
        <v/>
      </c>
      <c r="X244" s="28" t="n"/>
      <c r="Y244" s="28" t="n"/>
      <c r="Z244" s="28" t="n"/>
      <c r="AA244" s="31" t="n"/>
      <c r="AB244" s="31" t="n"/>
    </row>
    <row r="245">
      <c r="A245" s="25" t="inlineStr">
        <is>
          <t>S05</t>
        </is>
      </c>
      <c r="B245" s="25" t="inlineStr">
        <is>
          <t>무풍 신규점1</t>
        </is>
      </c>
      <c r="C245" s="25" t="inlineStr">
        <is>
          <t>S05-H남</t>
        </is>
      </c>
      <c r="D245" s="25" t="inlineStr">
        <is>
          <t>측정</t>
        </is>
      </c>
      <c r="E245" s="25" t="inlineStr">
        <is>
          <t>남</t>
        </is>
      </c>
      <c r="F245" s="30" t="n">
        <v>5</v>
      </c>
      <c r="G245" s="29" t="n"/>
      <c r="H245" s="42" t="n"/>
      <c r="I245" s="40" t="n"/>
      <c r="J245" s="40" t="n"/>
      <c r="K245" s="40" t="n"/>
      <c r="L245" s="30">
        <f>IF(COUNT(I245:K245)=0,"",MEDIAN(I245:K245))</f>
        <v/>
      </c>
      <c r="M245" s="25">
        <f>IF(COUNTIFS($C:$C,$C245,$D:$D,"P0(전)",$L:$L,"&gt;0")&lt;&gt;1,"P0(전) 유효 1개 아님",IF(COUNTIFS($C:$C,$C245,$D:$D,"P0(후)",$L:$L,"&gt;0")&lt;&gt;1,"P0(후) 유효 1개 아님",IF(NOT(AND(ISNUMBER(N245),ISNUMBER(P245),ISNUMBER(H245))),"시각 결측",IF(P245&lt;=N245,"P0 시각 역전",IF(OR(H245&lt;N245,H245&gt;P245),"측정시각 구간 밖","OK")))))</f>
        <v/>
      </c>
      <c r="N245" s="45">
        <f>IF(COUNTIFS($C:$C,$C245,$D:$D,"P0(전)",$L:$L,"&gt;0")&lt;&gt;1,"",SUMIFS($H:$H,$C:$C,$C245,$D:$D,"P0(전)"))</f>
        <v/>
      </c>
      <c r="O245" s="30">
        <f>IF(COUNTIFS($C:$C,$C245,$D:$D,"P0(전)",$L:$L,"&gt;0")&lt;&gt;1,"",SUMIFS($L:$L,$C:$C,$C245,$D:$D,"P0(전)"))</f>
        <v/>
      </c>
      <c r="P245" s="45">
        <f>IF(COUNTIFS($C:$C,$C245,$D:$D,"P0(후)",$L:$L,"&gt;0")&lt;&gt;1,"",SUMIFS($H:$H,$C:$C,$C245,$D:$D,"P0(후)"))</f>
        <v/>
      </c>
      <c r="Q245" s="30">
        <f>IF(COUNTIFS($C:$C,$C245,$D:$D,"P0(후)",$L:$L,"&gt;0")&lt;&gt;1,"",SUMIFS($L:$L,$C:$C,$C245,$D:$D,"P0(후)"))</f>
        <v/>
      </c>
      <c r="R245" s="30">
        <f>IF(M245&lt;&gt;"OK","",O245+(Q245-O245)*(H245-N245)/(P245-N245))</f>
        <v/>
      </c>
      <c r="S245" s="30">
        <f>IF(OR(M245&lt;&gt;"OK",NOT(ISNUMBER(L245))),"",L245-R245)</f>
        <v/>
      </c>
      <c r="T245" s="46">
        <f>IF(OR(NOT(ISNUMBER(S245)),IF(ISNUMBER(G245),G245,F245)=0),"",S245/IF(ISNUMBER(G245),G245,F245))</f>
        <v/>
      </c>
      <c r="U245" s="46">
        <f>IF(ISNUMBER(T245),ABS(T245),"")</f>
        <v/>
      </c>
      <c r="V245" s="46">
        <f>IF(OR($D244&lt;&gt;"측정",$C244&lt;&gt;$C245,NOT(ISNUMBER(L245)),NOT(ISNUMBER(L244)),(IF(ISNUMBER(G245),G245,F245)-IF(ISNUMBER(G244),G244,F244))=0),"",(L245-L244)/(IF(ISNUMBER(G245),G245,F245)-IF(ISNUMBER(G244),G244,F244)))</f>
        <v/>
      </c>
      <c r="W245" s="30">
        <f>IF(NOT(AND(ISNUMBER(N245),ISNUMBER(P245))),"",(P245-N245)*1440)</f>
        <v/>
      </c>
      <c r="X245" s="28" t="n"/>
      <c r="Y245" s="28" t="n"/>
      <c r="Z245" s="28" t="n"/>
      <c r="AA245" s="31" t="n"/>
      <c r="AB245" s="31" t="n"/>
    </row>
    <row r="246">
      <c r="A246" s="25" t="inlineStr">
        <is>
          <t>S05</t>
        </is>
      </c>
      <c r="B246" s="25" t="inlineStr">
        <is>
          <t>무풍 신규점1</t>
        </is>
      </c>
      <c r="C246" s="25" t="inlineStr">
        <is>
          <t>S05-H남</t>
        </is>
      </c>
      <c r="D246" s="25" t="inlineStr">
        <is>
          <t>측정</t>
        </is>
      </c>
      <c r="E246" s="25" t="inlineStr">
        <is>
          <t>남</t>
        </is>
      </c>
      <c r="F246" s="30" t="n">
        <v>6</v>
      </c>
      <c r="G246" s="29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IF(COUNTIFS($C:$C,$C246,$D:$D,"P0(전)",$L:$L,"&gt;0")&lt;&gt;1,"P0(전) 유효 1개 아님",IF(COUNTIFS($C:$C,$C246,$D:$D,"P0(후)",$L:$L,"&gt;0")&lt;&gt;1,"P0(후) 유효 1개 아님",IF(NOT(AND(ISNUMBER(N246),ISNUMBER(P246),ISNUMBER(H246))),"시각 결측",IF(P246&lt;=N246,"P0 시각 역전",IF(OR(H246&lt;N246,H246&gt;P246),"측정시각 구간 밖","OK")))))</f>
        <v/>
      </c>
      <c r="N246" s="45">
        <f>IF(COUNTIFS($C:$C,$C246,$D:$D,"P0(전)",$L:$L,"&gt;0")&lt;&gt;1,"",SUMIFS($H:$H,$C:$C,$C246,$D:$D,"P0(전)"))</f>
        <v/>
      </c>
      <c r="O246" s="30">
        <f>IF(COUNTIFS($C:$C,$C246,$D:$D,"P0(전)",$L:$L,"&gt;0")&lt;&gt;1,"",SUMIFS($L:$L,$C:$C,$C246,$D:$D,"P0(전)"))</f>
        <v/>
      </c>
      <c r="P246" s="45">
        <f>IF(COUNTIFS($C:$C,$C246,$D:$D,"P0(후)",$L:$L,"&gt;0")&lt;&gt;1,"",SUMIFS($H:$H,$C:$C,$C246,$D:$D,"P0(후)"))</f>
        <v/>
      </c>
      <c r="Q246" s="30">
        <f>IF(COUNTIFS($C:$C,$C246,$D:$D,"P0(후)",$L:$L,"&gt;0")&lt;&gt;1,"",SUMIFS($L:$L,$C:$C,$C246,$D:$D,"P0(후)"))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IF(OR(NOT(ISNUMBER(S246)),IF(ISNUMBER(G246),G246,F246)=0),"",S246/IF(ISNUMBER(G246),G246,F246))</f>
        <v/>
      </c>
      <c r="U246" s="46">
        <f>IF(ISNUMBER(T246),ABS(T246),"")</f>
        <v/>
      </c>
      <c r="V246" s="46">
        <f>IF(OR($D245&lt;&gt;"측정",$C245&lt;&gt;$C246,NOT(ISNUMBER(L246)),NOT(ISNUMBER(L245)),(IF(ISNUMBER(G246),G246,F246)-IF(ISNUMBER(G245),G245,F245))=0),"",(L246-L245)/(IF(ISNUMBER(G246),G246,F246)-IF(ISNUMBER(G245),G245,F245)))</f>
        <v/>
      </c>
      <c r="W246" s="30">
        <f>IF(NOT(AND(ISNUMBER(N246),ISNUMBER(P246))),"",(P246-N246)*1440)</f>
        <v/>
      </c>
      <c r="X246" s="28" t="n"/>
      <c r="Y246" s="28" t="n"/>
      <c r="Z246" s="28" t="n"/>
      <c r="AA246" s="31" t="n"/>
      <c r="AB246" s="31" t="n"/>
    </row>
    <row r="247">
      <c r="A247" s="25" t="inlineStr">
        <is>
          <t>S05</t>
        </is>
      </c>
      <c r="B247" s="25" t="inlineStr">
        <is>
          <t>무풍 신규점1</t>
        </is>
      </c>
      <c r="C247" s="25" t="inlineStr">
        <is>
          <t>S05-H남</t>
        </is>
      </c>
      <c r="D247" s="25" t="inlineStr">
        <is>
          <t>측정</t>
        </is>
      </c>
      <c r="E247" s="25" t="inlineStr">
        <is>
          <t>남</t>
        </is>
      </c>
      <c r="F247" s="30" t="n">
        <v>7</v>
      </c>
      <c r="G247" s="29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IF(COUNTIFS($C:$C,$C247,$D:$D,"P0(전)",$L:$L,"&gt;0")&lt;&gt;1,"P0(전) 유효 1개 아님",IF(COUNTIFS($C:$C,$C247,$D:$D,"P0(후)",$L:$L,"&gt;0")&lt;&gt;1,"P0(후) 유효 1개 아님",IF(NOT(AND(ISNUMBER(N247),ISNUMBER(P247),ISNUMBER(H247))),"시각 결측",IF(P247&lt;=N247,"P0 시각 역전",IF(OR(H247&lt;N247,H247&gt;P247),"측정시각 구간 밖","OK")))))</f>
        <v/>
      </c>
      <c r="N247" s="45">
        <f>IF(COUNTIFS($C:$C,$C247,$D:$D,"P0(전)",$L:$L,"&gt;0")&lt;&gt;1,"",SUMIFS($H:$H,$C:$C,$C247,$D:$D,"P0(전)"))</f>
        <v/>
      </c>
      <c r="O247" s="30">
        <f>IF(COUNTIFS($C:$C,$C247,$D:$D,"P0(전)",$L:$L,"&gt;0")&lt;&gt;1,"",SUMIFS($L:$L,$C:$C,$C247,$D:$D,"P0(전)"))</f>
        <v/>
      </c>
      <c r="P247" s="45">
        <f>IF(COUNTIFS($C:$C,$C247,$D:$D,"P0(후)",$L:$L,"&gt;0")&lt;&gt;1,"",SUMIFS($H:$H,$C:$C,$C247,$D:$D,"P0(후)"))</f>
        <v/>
      </c>
      <c r="Q247" s="30">
        <f>IF(COUNTIFS($C:$C,$C247,$D:$D,"P0(후)",$L:$L,"&gt;0")&lt;&gt;1,"",SUMIFS($L:$L,$C:$C,$C247,$D:$D,"P0(후)"))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IF(OR(NOT(ISNUMBER(S247)),IF(ISNUMBER(G247),G247,F247)=0),"",S247/IF(ISNUMBER(G247),G247,F247))</f>
        <v/>
      </c>
      <c r="U247" s="46">
        <f>IF(ISNUMBER(T247),ABS(T247),"")</f>
        <v/>
      </c>
      <c r="V247" s="46">
        <f>IF(OR($D246&lt;&gt;"측정",$C246&lt;&gt;$C247,NOT(ISNUMBER(L247)),NOT(ISNUMBER(L246)),(IF(ISNUMBER(G247),G247,F247)-IF(ISNUMBER(G246),G246,F246))=0),"",(L247-L246)/(IF(ISNUMBER(G247),G247,F247)-IF(ISNUMBER(G246),G246,F246)))</f>
        <v/>
      </c>
      <c r="W247" s="30">
        <f>IF(NOT(AND(ISNUMBER(N247),ISNUMBER(P247))),"",(P247-N247)*1440)</f>
        <v/>
      </c>
      <c r="X247" s="28" t="n"/>
      <c r="Y247" s="28" t="n"/>
      <c r="Z247" s="28" t="n"/>
      <c r="AA247" s="31" t="n"/>
      <c r="AB247" s="31" t="n"/>
    </row>
    <row r="248">
      <c r="A248" s="25" t="inlineStr">
        <is>
          <t>S05</t>
        </is>
      </c>
      <c r="B248" s="25" t="inlineStr">
        <is>
          <t>무풍 신규점1</t>
        </is>
      </c>
      <c r="C248" s="25" t="inlineStr">
        <is>
          <t>S05-H남</t>
        </is>
      </c>
      <c r="D248" s="25" t="inlineStr">
        <is>
          <t>측정</t>
        </is>
      </c>
      <c r="E248" s="25" t="inlineStr">
        <is>
          <t>남</t>
        </is>
      </c>
      <c r="F248" s="30" t="n">
        <v>8</v>
      </c>
      <c r="G248" s="29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IF(COUNTIFS($C:$C,$C248,$D:$D,"P0(전)",$L:$L,"&gt;0")&lt;&gt;1,"P0(전) 유효 1개 아님",IF(COUNTIFS($C:$C,$C248,$D:$D,"P0(후)",$L:$L,"&gt;0")&lt;&gt;1,"P0(후) 유효 1개 아님",IF(NOT(AND(ISNUMBER(N248),ISNUMBER(P248),ISNUMBER(H248))),"시각 결측",IF(P248&lt;=N248,"P0 시각 역전",IF(OR(H248&lt;N248,H248&gt;P248),"측정시각 구간 밖","OK")))))</f>
        <v/>
      </c>
      <c r="N248" s="45">
        <f>IF(COUNTIFS($C:$C,$C248,$D:$D,"P0(전)",$L:$L,"&gt;0")&lt;&gt;1,"",SUMIFS($H:$H,$C:$C,$C248,$D:$D,"P0(전)"))</f>
        <v/>
      </c>
      <c r="O248" s="30">
        <f>IF(COUNTIFS($C:$C,$C248,$D:$D,"P0(전)",$L:$L,"&gt;0")&lt;&gt;1,"",SUMIFS($L:$L,$C:$C,$C248,$D:$D,"P0(전)"))</f>
        <v/>
      </c>
      <c r="P248" s="45">
        <f>IF(COUNTIFS($C:$C,$C248,$D:$D,"P0(후)",$L:$L,"&gt;0")&lt;&gt;1,"",SUMIFS($H:$H,$C:$C,$C248,$D:$D,"P0(후)"))</f>
        <v/>
      </c>
      <c r="Q248" s="30">
        <f>IF(COUNTIFS($C:$C,$C248,$D:$D,"P0(후)",$L:$L,"&gt;0")&lt;&gt;1,"",SUMIFS($L:$L,$C:$C,$C248,$D:$D,"P0(후)"))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IF(OR(NOT(ISNUMBER(S248)),IF(ISNUMBER(G248),G248,F248)=0),"",S248/IF(ISNUMBER(G248),G248,F248))</f>
        <v/>
      </c>
      <c r="U248" s="46">
        <f>IF(ISNUMBER(T248),ABS(T248),"")</f>
        <v/>
      </c>
      <c r="V248" s="46">
        <f>IF(OR($D247&lt;&gt;"측정",$C247&lt;&gt;$C248,NOT(ISNUMBER(L248)),NOT(ISNUMBER(L247)),(IF(ISNUMBER(G248),G248,F248)-IF(ISNUMBER(G247),G247,F247))=0),"",(L248-L247)/(IF(ISNUMBER(G248),G248,F248)-IF(ISNUMBER(G247),G247,F247)))</f>
        <v/>
      </c>
      <c r="W248" s="30">
        <f>IF(NOT(AND(ISNUMBER(N248),ISNUMBER(P248))),"",(P248-N248)*1440)</f>
        <v/>
      </c>
      <c r="X248" s="28" t="n"/>
      <c r="Y248" s="28" t="n"/>
      <c r="Z248" s="28" t="n"/>
      <c r="AA248" s="31" t="n"/>
      <c r="AB248" s="31" t="n"/>
    </row>
    <row r="249">
      <c r="A249" s="25" t="inlineStr">
        <is>
          <t>S05</t>
        </is>
      </c>
      <c r="B249" s="25" t="inlineStr">
        <is>
          <t>무풍 신규점1</t>
        </is>
      </c>
      <c r="C249" s="25" t="inlineStr">
        <is>
          <t>S05-H남</t>
        </is>
      </c>
      <c r="D249" s="25" t="inlineStr">
        <is>
          <t>측정</t>
        </is>
      </c>
      <c r="E249" s="25" t="inlineStr">
        <is>
          <t>남</t>
        </is>
      </c>
      <c r="F249" s="30" t="n">
        <v>9</v>
      </c>
      <c r="G249" s="29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IF(COUNTIFS($C:$C,$C249,$D:$D,"P0(전)",$L:$L,"&gt;0")&lt;&gt;1,"P0(전) 유효 1개 아님",IF(COUNTIFS($C:$C,$C249,$D:$D,"P0(후)",$L:$L,"&gt;0")&lt;&gt;1,"P0(후) 유효 1개 아님",IF(NOT(AND(ISNUMBER(N249),ISNUMBER(P249),ISNUMBER(H249))),"시각 결측",IF(P249&lt;=N249,"P0 시각 역전",IF(OR(H249&lt;N249,H249&gt;P249),"측정시각 구간 밖","OK")))))</f>
        <v/>
      </c>
      <c r="N249" s="45">
        <f>IF(COUNTIFS($C:$C,$C249,$D:$D,"P0(전)",$L:$L,"&gt;0")&lt;&gt;1,"",SUMIFS($H:$H,$C:$C,$C249,$D:$D,"P0(전)"))</f>
        <v/>
      </c>
      <c r="O249" s="30">
        <f>IF(COUNTIFS($C:$C,$C249,$D:$D,"P0(전)",$L:$L,"&gt;0")&lt;&gt;1,"",SUMIFS($L:$L,$C:$C,$C249,$D:$D,"P0(전)"))</f>
        <v/>
      </c>
      <c r="P249" s="45">
        <f>IF(COUNTIFS($C:$C,$C249,$D:$D,"P0(후)",$L:$L,"&gt;0")&lt;&gt;1,"",SUMIFS($H:$H,$C:$C,$C249,$D:$D,"P0(후)"))</f>
        <v/>
      </c>
      <c r="Q249" s="30">
        <f>IF(COUNTIFS($C:$C,$C249,$D:$D,"P0(후)",$L:$L,"&gt;0")&lt;&gt;1,"",SUMIFS($L:$L,$C:$C,$C249,$D:$D,"P0(후)"))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IF(OR(NOT(ISNUMBER(S249)),IF(ISNUMBER(G249),G249,F249)=0),"",S249/IF(ISNUMBER(G249),G249,F249))</f>
        <v/>
      </c>
      <c r="U249" s="46">
        <f>IF(ISNUMBER(T249),ABS(T249),"")</f>
        <v/>
      </c>
      <c r="V249" s="46">
        <f>IF(OR($D248&lt;&gt;"측정",$C248&lt;&gt;$C249,NOT(ISNUMBER(L249)),NOT(ISNUMBER(L248)),(IF(ISNUMBER(G249),G249,F249)-IF(ISNUMBER(G248),G248,F248))=0),"",(L249-L248)/(IF(ISNUMBER(G249),G249,F249)-IF(ISNUMBER(G248),G248,F248)))</f>
        <v/>
      </c>
      <c r="W249" s="30">
        <f>IF(NOT(AND(ISNUMBER(N249),ISNUMBER(P249))),"",(P249-N249)*1440)</f>
        <v/>
      </c>
      <c r="X249" s="28" t="n"/>
      <c r="Y249" s="28" t="n"/>
      <c r="Z249" s="28" t="n"/>
      <c r="AA249" s="31" t="n"/>
      <c r="AB249" s="31" t="n"/>
    </row>
    <row r="250">
      <c r="A250" s="25" t="inlineStr">
        <is>
          <t>S05</t>
        </is>
      </c>
      <c r="B250" s="25" t="inlineStr">
        <is>
          <t>무풍 신규점1</t>
        </is>
      </c>
      <c r="C250" s="25" t="inlineStr">
        <is>
          <t>S05-H남</t>
        </is>
      </c>
      <c r="D250" s="25" t="inlineStr">
        <is>
          <t>측정</t>
        </is>
      </c>
      <c r="E250" s="25" t="inlineStr">
        <is>
          <t>남</t>
        </is>
      </c>
      <c r="F250" s="30" t="n">
        <v>10</v>
      </c>
      <c r="G250" s="29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IF(COUNTIFS($C:$C,$C250,$D:$D,"P0(전)",$L:$L,"&gt;0")&lt;&gt;1,"P0(전) 유효 1개 아님",IF(COUNTIFS($C:$C,$C250,$D:$D,"P0(후)",$L:$L,"&gt;0")&lt;&gt;1,"P0(후) 유효 1개 아님",IF(NOT(AND(ISNUMBER(N250),ISNUMBER(P250),ISNUMBER(H250))),"시각 결측",IF(P250&lt;=N250,"P0 시각 역전",IF(OR(H250&lt;N250,H250&gt;P250),"측정시각 구간 밖","OK")))))</f>
        <v/>
      </c>
      <c r="N250" s="45">
        <f>IF(COUNTIFS($C:$C,$C250,$D:$D,"P0(전)",$L:$L,"&gt;0")&lt;&gt;1,"",SUMIFS($H:$H,$C:$C,$C250,$D:$D,"P0(전)"))</f>
        <v/>
      </c>
      <c r="O250" s="30">
        <f>IF(COUNTIFS($C:$C,$C250,$D:$D,"P0(전)",$L:$L,"&gt;0")&lt;&gt;1,"",SUMIFS($L:$L,$C:$C,$C250,$D:$D,"P0(전)"))</f>
        <v/>
      </c>
      <c r="P250" s="45">
        <f>IF(COUNTIFS($C:$C,$C250,$D:$D,"P0(후)",$L:$L,"&gt;0")&lt;&gt;1,"",SUMIFS($H:$H,$C:$C,$C250,$D:$D,"P0(후)"))</f>
        <v/>
      </c>
      <c r="Q250" s="30">
        <f>IF(COUNTIFS($C:$C,$C250,$D:$D,"P0(후)",$L:$L,"&gt;0")&lt;&gt;1,"",SUMIFS($L:$L,$C:$C,$C250,$D:$D,"P0(후)"))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IF(OR(NOT(ISNUMBER(S250)),IF(ISNUMBER(G250),G250,F250)=0),"",S250/IF(ISNUMBER(G250),G250,F250))</f>
        <v/>
      </c>
      <c r="U250" s="46">
        <f>IF(ISNUMBER(T250),ABS(T250),"")</f>
        <v/>
      </c>
      <c r="V250" s="46">
        <f>IF(OR($D249&lt;&gt;"측정",$C249&lt;&gt;$C250,NOT(ISNUMBER(L250)),NOT(ISNUMBER(L249)),(IF(ISNUMBER(G250),G250,F250)-IF(ISNUMBER(G249),G249,F249))=0),"",(L250-L249)/(IF(ISNUMBER(G250),G250,F250)-IF(ISNUMBER(G249),G249,F249)))</f>
        <v/>
      </c>
      <c r="W250" s="30">
        <f>IF(NOT(AND(ISNUMBER(N250),ISNUMBER(P250))),"",(P250-N250)*1440)</f>
        <v/>
      </c>
      <c r="X250" s="28" t="n"/>
      <c r="Y250" s="28" t="n"/>
      <c r="Z250" s="28" t="n"/>
      <c r="AA250" s="31" t="n"/>
      <c r="AB250" s="31" t="n"/>
    </row>
    <row r="251">
      <c r="A251" s="43" t="inlineStr">
        <is>
          <t>S05</t>
        </is>
      </c>
      <c r="B251" s="43" t="inlineStr">
        <is>
          <t>무풍 신규점1</t>
        </is>
      </c>
      <c r="C251" s="43" t="inlineStr">
        <is>
          <t>S05-H남</t>
        </is>
      </c>
      <c r="D251" s="43" t="inlineStr">
        <is>
          <t>P0(후)</t>
        </is>
      </c>
      <c r="E251" s="43" t="inlineStr">
        <is>
          <t>남</t>
        </is>
      </c>
      <c r="F251" s="44" t="n"/>
      <c r="G251" s="29" t="n"/>
      <c r="H251" s="42" t="n"/>
      <c r="I251" s="40" t="n"/>
      <c r="J251" s="40" t="n"/>
      <c r="K251" s="40" t="n"/>
      <c r="L251" s="30">
        <f>IF(COUNT(I251:K251)=0,"",MEDIAN(I251:K251))</f>
        <v/>
      </c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28" t="n"/>
      <c r="Y251" s="28" t="n"/>
      <c r="Z251" s="28" t="n"/>
      <c r="AA251" s="31" t="n"/>
      <c r="AB251" s="31" t="n"/>
    </row>
    <row r="252">
      <c r="A252" s="43" t="inlineStr">
        <is>
          <t>S05</t>
        </is>
      </c>
      <c r="B252" s="43" t="inlineStr">
        <is>
          <t>무풍 신규점1</t>
        </is>
      </c>
      <c r="C252" s="43" t="inlineStr">
        <is>
          <t>S05-H북</t>
        </is>
      </c>
      <c r="D252" s="43" t="inlineStr">
        <is>
          <t>P0(전)</t>
        </is>
      </c>
      <c r="E252" s="43" t="inlineStr">
        <is>
          <t>북</t>
        </is>
      </c>
      <c r="F252" s="44" t="n"/>
      <c r="G252" s="29" t="n"/>
      <c r="H252" s="42" t="n"/>
      <c r="I252" s="40" t="n"/>
      <c r="J252" s="40" t="n"/>
      <c r="K252" s="40" t="n"/>
      <c r="L252" s="30">
        <f>IF(COUNT(I252:K252)=0,"",MEDIAN(I252:K252))</f>
        <v/>
      </c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28" t="n"/>
      <c r="Y252" s="28" t="n"/>
      <c r="Z252" s="28" t="n"/>
      <c r="AA252" s="31" t="n"/>
      <c r="AB252" s="31" t="n"/>
    </row>
    <row r="253">
      <c r="A253" s="25" t="inlineStr">
        <is>
          <t>S05</t>
        </is>
      </c>
      <c r="B253" s="25" t="inlineStr">
        <is>
          <t>무풍 신규점1</t>
        </is>
      </c>
      <c r="C253" s="25" t="inlineStr">
        <is>
          <t>S05-H북</t>
        </is>
      </c>
      <c r="D253" s="25" t="inlineStr">
        <is>
          <t>측정</t>
        </is>
      </c>
      <c r="E253" s="25" t="inlineStr">
        <is>
          <t>북</t>
        </is>
      </c>
      <c r="F253" s="30" t="n">
        <v>0.5</v>
      </c>
      <c r="G253" s="29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IF(COUNTIFS($C:$C,$C253,$D:$D,"P0(전)",$L:$L,"&gt;0")&lt;&gt;1,"P0(전) 유효 1개 아님",IF(COUNTIFS($C:$C,$C253,$D:$D,"P0(후)",$L:$L,"&gt;0")&lt;&gt;1,"P0(후) 유효 1개 아님",IF(NOT(AND(ISNUMBER(N253),ISNUMBER(P253),ISNUMBER(H253))),"시각 결측",IF(P253&lt;=N253,"P0 시각 역전",IF(OR(H253&lt;N253,H253&gt;P253),"측정시각 구간 밖","OK")))))</f>
        <v/>
      </c>
      <c r="N253" s="45">
        <f>IF(COUNTIFS($C:$C,$C253,$D:$D,"P0(전)",$L:$L,"&gt;0")&lt;&gt;1,"",SUMIFS($H:$H,$C:$C,$C253,$D:$D,"P0(전)"))</f>
        <v/>
      </c>
      <c r="O253" s="30">
        <f>IF(COUNTIFS($C:$C,$C253,$D:$D,"P0(전)",$L:$L,"&gt;0")&lt;&gt;1,"",SUMIFS($L:$L,$C:$C,$C253,$D:$D,"P0(전)"))</f>
        <v/>
      </c>
      <c r="P253" s="45">
        <f>IF(COUNTIFS($C:$C,$C253,$D:$D,"P0(후)",$L:$L,"&gt;0")&lt;&gt;1,"",SUMIFS($H:$H,$C:$C,$C253,$D:$D,"P0(후)"))</f>
        <v/>
      </c>
      <c r="Q253" s="30">
        <f>IF(COUNTIFS($C:$C,$C253,$D:$D,"P0(후)",$L:$L,"&gt;0")&lt;&gt;1,"",SUMIFS($L:$L,$C:$C,$C253,$D:$D,"P0(후)"))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IF(OR(NOT(ISNUMBER(S253)),IF(ISNUMBER(G253),G253,F253)=0),"",S253/IF(ISNUMBER(G253),G253,F253))</f>
        <v/>
      </c>
      <c r="U253" s="46">
        <f>IF(ISNUMBER(T253),ABS(T253),"")</f>
        <v/>
      </c>
      <c r="V253" s="46">
        <f>IF(OR($D252&lt;&gt;"측정",$C252&lt;&gt;$C253,NOT(ISNUMBER(L253)),NOT(ISNUMBER(L252)),(IF(ISNUMBER(G253),G253,F253)-IF(ISNUMBER(G252),G252,F252))=0),"",(L253-L252)/(IF(ISNUMBER(G253),G253,F253)-IF(ISNUMBER(G252),G252,F252)))</f>
        <v/>
      </c>
      <c r="W253" s="30">
        <f>IF(NOT(AND(ISNUMBER(N253),ISNUMBER(P253))),"",(P253-N253)*1440)</f>
        <v/>
      </c>
      <c r="X253" s="28" t="n"/>
      <c r="Y253" s="28" t="n"/>
      <c r="Z253" s="28" t="n"/>
      <c r="AA253" s="31" t="n"/>
      <c r="AB253" s="31" t="n"/>
    </row>
    <row r="254">
      <c r="A254" s="25" t="inlineStr">
        <is>
          <t>S05</t>
        </is>
      </c>
      <c r="B254" s="25" t="inlineStr">
        <is>
          <t>무풍 신규점1</t>
        </is>
      </c>
      <c r="C254" s="25" t="inlineStr">
        <is>
          <t>S05-H북</t>
        </is>
      </c>
      <c r="D254" s="25" t="inlineStr">
        <is>
          <t>측정</t>
        </is>
      </c>
      <c r="E254" s="25" t="inlineStr">
        <is>
          <t>북</t>
        </is>
      </c>
      <c r="F254" s="30" t="n">
        <v>1</v>
      </c>
      <c r="G254" s="29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IF(COUNTIFS($C:$C,$C254,$D:$D,"P0(전)",$L:$L,"&gt;0")&lt;&gt;1,"P0(전) 유효 1개 아님",IF(COUNTIFS($C:$C,$C254,$D:$D,"P0(후)",$L:$L,"&gt;0")&lt;&gt;1,"P0(후) 유효 1개 아님",IF(NOT(AND(ISNUMBER(N254),ISNUMBER(P254),ISNUMBER(H254))),"시각 결측",IF(P254&lt;=N254,"P0 시각 역전",IF(OR(H254&lt;N254,H254&gt;P254),"측정시각 구간 밖","OK")))))</f>
        <v/>
      </c>
      <c r="N254" s="45">
        <f>IF(COUNTIFS($C:$C,$C254,$D:$D,"P0(전)",$L:$L,"&gt;0")&lt;&gt;1,"",SUMIFS($H:$H,$C:$C,$C254,$D:$D,"P0(전)"))</f>
        <v/>
      </c>
      <c r="O254" s="30">
        <f>IF(COUNTIFS($C:$C,$C254,$D:$D,"P0(전)",$L:$L,"&gt;0")&lt;&gt;1,"",SUMIFS($L:$L,$C:$C,$C254,$D:$D,"P0(전)"))</f>
        <v/>
      </c>
      <c r="P254" s="45">
        <f>IF(COUNTIFS($C:$C,$C254,$D:$D,"P0(후)",$L:$L,"&gt;0")&lt;&gt;1,"",SUMIFS($H:$H,$C:$C,$C254,$D:$D,"P0(후)"))</f>
        <v/>
      </c>
      <c r="Q254" s="30">
        <f>IF(COUNTIFS($C:$C,$C254,$D:$D,"P0(후)",$L:$L,"&gt;0")&lt;&gt;1,"",SUMIFS($L:$L,$C:$C,$C254,$D:$D,"P0(후)"))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IF(OR(NOT(ISNUMBER(S254)),IF(ISNUMBER(G254),G254,F254)=0),"",S254/IF(ISNUMBER(G254),G254,F254))</f>
        <v/>
      </c>
      <c r="U254" s="46">
        <f>IF(ISNUMBER(T254),ABS(T254),"")</f>
        <v/>
      </c>
      <c r="V254" s="46">
        <f>IF(OR($D253&lt;&gt;"측정",$C253&lt;&gt;$C254,NOT(ISNUMBER(L254)),NOT(ISNUMBER(L253)),(IF(ISNUMBER(G254),G254,F254)-IF(ISNUMBER(G253),G253,F253))=0),"",(L254-L253)/(IF(ISNUMBER(G254),G254,F254)-IF(ISNUMBER(G253),G253,F253)))</f>
        <v/>
      </c>
      <c r="W254" s="30">
        <f>IF(NOT(AND(ISNUMBER(N254),ISNUMBER(P254))),"",(P254-N254)*1440)</f>
        <v/>
      </c>
      <c r="X254" s="28" t="n"/>
      <c r="Y254" s="28" t="n"/>
      <c r="Z254" s="28" t="n"/>
      <c r="AA254" s="31" t="n"/>
      <c r="AB254" s="31" t="n"/>
    </row>
    <row r="255">
      <c r="A255" s="25" t="inlineStr">
        <is>
          <t>S05</t>
        </is>
      </c>
      <c r="B255" s="25" t="inlineStr">
        <is>
          <t>무풍 신규점1</t>
        </is>
      </c>
      <c r="C255" s="25" t="inlineStr">
        <is>
          <t>S05-H북</t>
        </is>
      </c>
      <c r="D255" s="25" t="inlineStr">
        <is>
          <t>측정</t>
        </is>
      </c>
      <c r="E255" s="25" t="inlineStr">
        <is>
          <t>북</t>
        </is>
      </c>
      <c r="F255" s="30" t="n">
        <v>2</v>
      </c>
      <c r="G255" s="29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IF(COUNTIFS($C:$C,$C255,$D:$D,"P0(전)",$L:$L,"&gt;0")&lt;&gt;1,"P0(전) 유효 1개 아님",IF(COUNTIFS($C:$C,$C255,$D:$D,"P0(후)",$L:$L,"&gt;0")&lt;&gt;1,"P0(후) 유효 1개 아님",IF(NOT(AND(ISNUMBER(N255),ISNUMBER(P255),ISNUMBER(H255))),"시각 결측",IF(P255&lt;=N255,"P0 시각 역전",IF(OR(H255&lt;N255,H255&gt;P255),"측정시각 구간 밖","OK")))))</f>
        <v/>
      </c>
      <c r="N255" s="45">
        <f>IF(COUNTIFS($C:$C,$C255,$D:$D,"P0(전)",$L:$L,"&gt;0")&lt;&gt;1,"",SUMIFS($H:$H,$C:$C,$C255,$D:$D,"P0(전)"))</f>
        <v/>
      </c>
      <c r="O255" s="30">
        <f>IF(COUNTIFS($C:$C,$C255,$D:$D,"P0(전)",$L:$L,"&gt;0")&lt;&gt;1,"",SUMIFS($L:$L,$C:$C,$C255,$D:$D,"P0(전)"))</f>
        <v/>
      </c>
      <c r="P255" s="45">
        <f>IF(COUNTIFS($C:$C,$C255,$D:$D,"P0(후)",$L:$L,"&gt;0")&lt;&gt;1,"",SUMIFS($H:$H,$C:$C,$C255,$D:$D,"P0(후)"))</f>
        <v/>
      </c>
      <c r="Q255" s="30">
        <f>IF(COUNTIFS($C:$C,$C255,$D:$D,"P0(후)",$L:$L,"&gt;0")&lt;&gt;1,"",SUMIFS($L:$L,$C:$C,$C255,$D:$D,"P0(후)"))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IF(OR(NOT(ISNUMBER(S255)),IF(ISNUMBER(G255),G255,F255)=0),"",S255/IF(ISNUMBER(G255),G255,F255))</f>
        <v/>
      </c>
      <c r="U255" s="46">
        <f>IF(ISNUMBER(T255),ABS(T255),"")</f>
        <v/>
      </c>
      <c r="V255" s="46">
        <f>IF(OR($D254&lt;&gt;"측정",$C254&lt;&gt;$C255,NOT(ISNUMBER(L255)),NOT(ISNUMBER(L254)),(IF(ISNUMBER(G255),G255,F255)-IF(ISNUMBER(G254),G254,F254))=0),"",(L255-L254)/(IF(ISNUMBER(G255),G255,F255)-IF(ISNUMBER(G254),G254,F254)))</f>
        <v/>
      </c>
      <c r="W255" s="30">
        <f>IF(NOT(AND(ISNUMBER(N255),ISNUMBER(P255))),"",(P255-N255)*1440)</f>
        <v/>
      </c>
      <c r="X255" s="28" t="n"/>
      <c r="Y255" s="28" t="n"/>
      <c r="Z255" s="28" t="n"/>
      <c r="AA255" s="31" t="n"/>
      <c r="AB255" s="31" t="n"/>
    </row>
    <row r="256">
      <c r="A256" s="25" t="inlineStr">
        <is>
          <t>S05</t>
        </is>
      </c>
      <c r="B256" s="25" t="inlineStr">
        <is>
          <t>무풍 신규점1</t>
        </is>
      </c>
      <c r="C256" s="25" t="inlineStr">
        <is>
          <t>S05-H북</t>
        </is>
      </c>
      <c r="D256" s="25" t="inlineStr">
        <is>
          <t>측정</t>
        </is>
      </c>
      <c r="E256" s="25" t="inlineStr">
        <is>
          <t>북</t>
        </is>
      </c>
      <c r="F256" s="30" t="n">
        <v>3</v>
      </c>
      <c r="G256" s="29" t="n"/>
      <c r="H256" s="42" t="n"/>
      <c r="I256" s="40" t="n"/>
      <c r="J256" s="40" t="n"/>
      <c r="K256" s="40" t="n"/>
      <c r="L256" s="30">
        <f>IF(COUNT(I256:K256)=0,"",MEDIAN(I256:K256))</f>
        <v/>
      </c>
      <c r="M256" s="25">
        <f>IF(COUNTIFS($C:$C,$C256,$D:$D,"P0(전)",$L:$L,"&gt;0")&lt;&gt;1,"P0(전) 유효 1개 아님",IF(COUNTIFS($C:$C,$C256,$D:$D,"P0(후)",$L:$L,"&gt;0")&lt;&gt;1,"P0(후) 유효 1개 아님",IF(NOT(AND(ISNUMBER(N256),ISNUMBER(P256),ISNUMBER(H256))),"시각 결측",IF(P256&lt;=N256,"P0 시각 역전",IF(OR(H256&lt;N256,H256&gt;P256),"측정시각 구간 밖","OK")))))</f>
        <v/>
      </c>
      <c r="N256" s="45">
        <f>IF(COUNTIFS($C:$C,$C256,$D:$D,"P0(전)",$L:$L,"&gt;0")&lt;&gt;1,"",SUMIFS($H:$H,$C:$C,$C256,$D:$D,"P0(전)"))</f>
        <v/>
      </c>
      <c r="O256" s="30">
        <f>IF(COUNTIFS($C:$C,$C256,$D:$D,"P0(전)",$L:$L,"&gt;0")&lt;&gt;1,"",SUMIFS($L:$L,$C:$C,$C256,$D:$D,"P0(전)"))</f>
        <v/>
      </c>
      <c r="P256" s="45">
        <f>IF(COUNTIFS($C:$C,$C256,$D:$D,"P0(후)",$L:$L,"&gt;0")&lt;&gt;1,"",SUMIFS($H:$H,$C:$C,$C256,$D:$D,"P0(후)"))</f>
        <v/>
      </c>
      <c r="Q256" s="30">
        <f>IF(COUNTIFS($C:$C,$C256,$D:$D,"P0(후)",$L:$L,"&gt;0")&lt;&gt;1,"",SUMIFS($L:$L,$C:$C,$C256,$D:$D,"P0(후)"))</f>
        <v/>
      </c>
      <c r="R256" s="30">
        <f>IF(M256&lt;&gt;"OK","",O256+(Q256-O256)*(H256-N256)/(P256-N256))</f>
        <v/>
      </c>
      <c r="S256" s="30">
        <f>IF(OR(M256&lt;&gt;"OK",NOT(ISNUMBER(L256))),"",L256-R256)</f>
        <v/>
      </c>
      <c r="T256" s="46">
        <f>IF(OR(NOT(ISNUMBER(S256)),IF(ISNUMBER(G256),G256,F256)=0),"",S256/IF(ISNUMBER(G256),G256,F256))</f>
        <v/>
      </c>
      <c r="U256" s="46">
        <f>IF(ISNUMBER(T256),ABS(T256),"")</f>
        <v/>
      </c>
      <c r="V256" s="46">
        <f>IF(OR($D255&lt;&gt;"측정",$C255&lt;&gt;$C256,NOT(ISNUMBER(L256)),NOT(ISNUMBER(L255)),(IF(ISNUMBER(G256),G256,F256)-IF(ISNUMBER(G255),G255,F255))=0),"",(L256-L255)/(IF(ISNUMBER(G256),G256,F256)-IF(ISNUMBER(G255),G255,F255)))</f>
        <v/>
      </c>
      <c r="W256" s="30">
        <f>IF(NOT(AND(ISNUMBER(N256),ISNUMBER(P256))),"",(P256-N256)*1440)</f>
        <v/>
      </c>
      <c r="X256" s="28" t="n"/>
      <c r="Y256" s="28" t="n"/>
      <c r="Z256" s="28" t="n"/>
      <c r="AA256" s="31" t="n"/>
      <c r="AB256" s="31" t="n"/>
    </row>
    <row r="257">
      <c r="A257" s="25" t="inlineStr">
        <is>
          <t>S05</t>
        </is>
      </c>
      <c r="B257" s="25" t="inlineStr">
        <is>
          <t>무풍 신규점1</t>
        </is>
      </c>
      <c r="C257" s="25" t="inlineStr">
        <is>
          <t>S05-H북</t>
        </is>
      </c>
      <c r="D257" s="25" t="inlineStr">
        <is>
          <t>측정</t>
        </is>
      </c>
      <c r="E257" s="25" t="inlineStr">
        <is>
          <t>북</t>
        </is>
      </c>
      <c r="F257" s="30" t="n">
        <v>4</v>
      </c>
      <c r="G257" s="29" t="n"/>
      <c r="H257" s="42" t="n"/>
      <c r="I257" s="40" t="n"/>
      <c r="J257" s="40" t="n"/>
      <c r="K257" s="40" t="n"/>
      <c r="L257" s="30">
        <f>IF(COUNT(I257:K257)=0,"",MEDIAN(I257:K257))</f>
        <v/>
      </c>
      <c r="M257" s="25">
        <f>IF(COUNTIFS($C:$C,$C257,$D:$D,"P0(전)",$L:$L,"&gt;0")&lt;&gt;1,"P0(전) 유효 1개 아님",IF(COUNTIFS($C:$C,$C257,$D:$D,"P0(후)",$L:$L,"&gt;0")&lt;&gt;1,"P0(후) 유효 1개 아님",IF(NOT(AND(ISNUMBER(N257),ISNUMBER(P257),ISNUMBER(H257))),"시각 결측",IF(P257&lt;=N257,"P0 시각 역전",IF(OR(H257&lt;N257,H257&gt;P257),"측정시각 구간 밖","OK")))))</f>
        <v/>
      </c>
      <c r="N257" s="45">
        <f>IF(COUNTIFS($C:$C,$C257,$D:$D,"P0(전)",$L:$L,"&gt;0")&lt;&gt;1,"",SUMIFS($H:$H,$C:$C,$C257,$D:$D,"P0(전)"))</f>
        <v/>
      </c>
      <c r="O257" s="30">
        <f>IF(COUNTIFS($C:$C,$C257,$D:$D,"P0(전)",$L:$L,"&gt;0")&lt;&gt;1,"",SUMIFS($L:$L,$C:$C,$C257,$D:$D,"P0(전)"))</f>
        <v/>
      </c>
      <c r="P257" s="45">
        <f>IF(COUNTIFS($C:$C,$C257,$D:$D,"P0(후)",$L:$L,"&gt;0")&lt;&gt;1,"",SUMIFS($H:$H,$C:$C,$C257,$D:$D,"P0(후)"))</f>
        <v/>
      </c>
      <c r="Q257" s="30">
        <f>IF(COUNTIFS($C:$C,$C257,$D:$D,"P0(후)",$L:$L,"&gt;0")&lt;&gt;1,"",SUMIFS($L:$L,$C:$C,$C257,$D:$D,"P0(후)"))</f>
        <v/>
      </c>
      <c r="R257" s="30">
        <f>IF(M257&lt;&gt;"OK","",O257+(Q257-O257)*(H257-N257)/(P257-N257))</f>
        <v/>
      </c>
      <c r="S257" s="30">
        <f>IF(OR(M257&lt;&gt;"OK",NOT(ISNUMBER(L257))),"",L257-R257)</f>
        <v/>
      </c>
      <c r="T257" s="46">
        <f>IF(OR(NOT(ISNUMBER(S257)),IF(ISNUMBER(G257),G257,F257)=0),"",S257/IF(ISNUMBER(G257),G257,F257))</f>
        <v/>
      </c>
      <c r="U257" s="46">
        <f>IF(ISNUMBER(T257),ABS(T257),"")</f>
        <v/>
      </c>
      <c r="V257" s="46">
        <f>IF(OR($D256&lt;&gt;"측정",$C256&lt;&gt;$C257,NOT(ISNUMBER(L257)),NOT(ISNUMBER(L256)),(IF(ISNUMBER(G257),G257,F257)-IF(ISNUMBER(G256),G256,F256))=0),"",(L257-L256)/(IF(ISNUMBER(G257),G257,F257)-IF(ISNUMBER(G256),G256,F256)))</f>
        <v/>
      </c>
      <c r="W257" s="30">
        <f>IF(NOT(AND(ISNUMBER(N257),ISNUMBER(P257))),"",(P257-N257)*1440)</f>
        <v/>
      </c>
      <c r="X257" s="28" t="n"/>
      <c r="Y257" s="28" t="n"/>
      <c r="Z257" s="28" t="n"/>
      <c r="AA257" s="31" t="n"/>
      <c r="AB257" s="31" t="n"/>
    </row>
    <row r="258">
      <c r="A258" s="25" t="inlineStr">
        <is>
          <t>S05</t>
        </is>
      </c>
      <c r="B258" s="25" t="inlineStr">
        <is>
          <t>무풍 신규점1</t>
        </is>
      </c>
      <c r="C258" s="25" t="inlineStr">
        <is>
          <t>S05-H북</t>
        </is>
      </c>
      <c r="D258" s="25" t="inlineStr">
        <is>
          <t>측정</t>
        </is>
      </c>
      <c r="E258" s="25" t="inlineStr">
        <is>
          <t>북</t>
        </is>
      </c>
      <c r="F258" s="30" t="n">
        <v>5</v>
      </c>
      <c r="G258" s="29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IF(COUNTIFS($C:$C,$C258,$D:$D,"P0(전)",$L:$L,"&gt;0")&lt;&gt;1,"P0(전) 유효 1개 아님",IF(COUNTIFS($C:$C,$C258,$D:$D,"P0(후)",$L:$L,"&gt;0")&lt;&gt;1,"P0(후) 유효 1개 아님",IF(NOT(AND(ISNUMBER(N258),ISNUMBER(P258),ISNUMBER(H258))),"시각 결측",IF(P258&lt;=N258,"P0 시각 역전",IF(OR(H258&lt;N258,H258&gt;P258),"측정시각 구간 밖","OK")))))</f>
        <v/>
      </c>
      <c r="N258" s="45">
        <f>IF(COUNTIFS($C:$C,$C258,$D:$D,"P0(전)",$L:$L,"&gt;0")&lt;&gt;1,"",SUMIFS($H:$H,$C:$C,$C258,$D:$D,"P0(전)"))</f>
        <v/>
      </c>
      <c r="O258" s="30">
        <f>IF(COUNTIFS($C:$C,$C258,$D:$D,"P0(전)",$L:$L,"&gt;0")&lt;&gt;1,"",SUMIFS($L:$L,$C:$C,$C258,$D:$D,"P0(전)"))</f>
        <v/>
      </c>
      <c r="P258" s="45">
        <f>IF(COUNTIFS($C:$C,$C258,$D:$D,"P0(후)",$L:$L,"&gt;0")&lt;&gt;1,"",SUMIFS($H:$H,$C:$C,$C258,$D:$D,"P0(후)"))</f>
        <v/>
      </c>
      <c r="Q258" s="30">
        <f>IF(COUNTIFS($C:$C,$C258,$D:$D,"P0(후)",$L:$L,"&gt;0")&lt;&gt;1,"",SUMIFS($L:$L,$C:$C,$C258,$D:$D,"P0(후)"))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IF(OR(NOT(ISNUMBER(S258)),IF(ISNUMBER(G258),G258,F258)=0),"",S258/IF(ISNUMBER(G258),G258,F258))</f>
        <v/>
      </c>
      <c r="U258" s="46">
        <f>IF(ISNUMBER(T258),ABS(T258),"")</f>
        <v/>
      </c>
      <c r="V258" s="46">
        <f>IF(OR($D257&lt;&gt;"측정",$C257&lt;&gt;$C258,NOT(ISNUMBER(L258)),NOT(ISNUMBER(L257)),(IF(ISNUMBER(G258),G258,F258)-IF(ISNUMBER(G257),G257,F257))=0),"",(L258-L257)/(IF(ISNUMBER(G258),G258,F258)-IF(ISNUMBER(G257),G257,F257)))</f>
        <v/>
      </c>
      <c r="W258" s="30">
        <f>IF(NOT(AND(ISNUMBER(N258),ISNUMBER(P258))),"",(P258-N258)*1440)</f>
        <v/>
      </c>
      <c r="X258" s="28" t="n"/>
      <c r="Y258" s="28" t="n"/>
      <c r="Z258" s="28" t="n"/>
      <c r="AA258" s="31" t="n"/>
      <c r="AB258" s="31" t="n"/>
    </row>
    <row r="259">
      <c r="A259" s="25" t="inlineStr">
        <is>
          <t>S05</t>
        </is>
      </c>
      <c r="B259" s="25" t="inlineStr">
        <is>
          <t>무풍 신규점1</t>
        </is>
      </c>
      <c r="C259" s="25" t="inlineStr">
        <is>
          <t>S05-H북</t>
        </is>
      </c>
      <c r="D259" s="25" t="inlineStr">
        <is>
          <t>측정</t>
        </is>
      </c>
      <c r="E259" s="25" t="inlineStr">
        <is>
          <t>북</t>
        </is>
      </c>
      <c r="F259" s="30" t="n">
        <v>6</v>
      </c>
      <c r="G259" s="29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IF(COUNTIFS($C:$C,$C259,$D:$D,"P0(전)",$L:$L,"&gt;0")&lt;&gt;1,"P0(전) 유효 1개 아님",IF(COUNTIFS($C:$C,$C259,$D:$D,"P0(후)",$L:$L,"&gt;0")&lt;&gt;1,"P0(후) 유효 1개 아님",IF(NOT(AND(ISNUMBER(N259),ISNUMBER(P259),ISNUMBER(H259))),"시각 결측",IF(P259&lt;=N259,"P0 시각 역전",IF(OR(H259&lt;N259,H259&gt;P259),"측정시각 구간 밖","OK")))))</f>
        <v/>
      </c>
      <c r="N259" s="45">
        <f>IF(COUNTIFS($C:$C,$C259,$D:$D,"P0(전)",$L:$L,"&gt;0")&lt;&gt;1,"",SUMIFS($H:$H,$C:$C,$C259,$D:$D,"P0(전)"))</f>
        <v/>
      </c>
      <c r="O259" s="30">
        <f>IF(COUNTIFS($C:$C,$C259,$D:$D,"P0(전)",$L:$L,"&gt;0")&lt;&gt;1,"",SUMIFS($L:$L,$C:$C,$C259,$D:$D,"P0(전)"))</f>
        <v/>
      </c>
      <c r="P259" s="45">
        <f>IF(COUNTIFS($C:$C,$C259,$D:$D,"P0(후)",$L:$L,"&gt;0")&lt;&gt;1,"",SUMIFS($H:$H,$C:$C,$C259,$D:$D,"P0(후)"))</f>
        <v/>
      </c>
      <c r="Q259" s="30">
        <f>IF(COUNTIFS($C:$C,$C259,$D:$D,"P0(후)",$L:$L,"&gt;0")&lt;&gt;1,"",SUMIFS($L:$L,$C:$C,$C259,$D:$D,"P0(후)"))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IF(OR(NOT(ISNUMBER(S259)),IF(ISNUMBER(G259),G259,F259)=0),"",S259/IF(ISNUMBER(G259),G259,F259))</f>
        <v/>
      </c>
      <c r="U259" s="46">
        <f>IF(ISNUMBER(T259),ABS(T259),"")</f>
        <v/>
      </c>
      <c r="V259" s="46">
        <f>IF(OR($D258&lt;&gt;"측정",$C258&lt;&gt;$C259,NOT(ISNUMBER(L259)),NOT(ISNUMBER(L258)),(IF(ISNUMBER(G259),G259,F259)-IF(ISNUMBER(G258),G258,F258))=0),"",(L259-L258)/(IF(ISNUMBER(G259),G259,F259)-IF(ISNUMBER(G258),G258,F258)))</f>
        <v/>
      </c>
      <c r="W259" s="30">
        <f>IF(NOT(AND(ISNUMBER(N259),ISNUMBER(P259))),"",(P259-N259)*1440)</f>
        <v/>
      </c>
      <c r="X259" s="28" t="n"/>
      <c r="Y259" s="28" t="n"/>
      <c r="Z259" s="28" t="n"/>
      <c r="AA259" s="31" t="n"/>
      <c r="AB259" s="31" t="n"/>
    </row>
    <row r="260">
      <c r="A260" s="25" t="inlineStr">
        <is>
          <t>S05</t>
        </is>
      </c>
      <c r="B260" s="25" t="inlineStr">
        <is>
          <t>무풍 신규점1</t>
        </is>
      </c>
      <c r="C260" s="25" t="inlineStr">
        <is>
          <t>S05-H북</t>
        </is>
      </c>
      <c r="D260" s="25" t="inlineStr">
        <is>
          <t>측정</t>
        </is>
      </c>
      <c r="E260" s="25" t="inlineStr">
        <is>
          <t>북</t>
        </is>
      </c>
      <c r="F260" s="30" t="n">
        <v>7</v>
      </c>
      <c r="G260" s="29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IF(COUNTIFS($C:$C,$C260,$D:$D,"P0(전)",$L:$L,"&gt;0")&lt;&gt;1,"P0(전) 유효 1개 아님",IF(COUNTIFS($C:$C,$C260,$D:$D,"P0(후)",$L:$L,"&gt;0")&lt;&gt;1,"P0(후) 유효 1개 아님",IF(NOT(AND(ISNUMBER(N260),ISNUMBER(P260),ISNUMBER(H260))),"시각 결측",IF(P260&lt;=N260,"P0 시각 역전",IF(OR(H260&lt;N260,H260&gt;P260),"측정시각 구간 밖","OK")))))</f>
        <v/>
      </c>
      <c r="N260" s="45">
        <f>IF(COUNTIFS($C:$C,$C260,$D:$D,"P0(전)",$L:$L,"&gt;0")&lt;&gt;1,"",SUMIFS($H:$H,$C:$C,$C260,$D:$D,"P0(전)"))</f>
        <v/>
      </c>
      <c r="O260" s="30">
        <f>IF(COUNTIFS($C:$C,$C260,$D:$D,"P0(전)",$L:$L,"&gt;0")&lt;&gt;1,"",SUMIFS($L:$L,$C:$C,$C260,$D:$D,"P0(전)"))</f>
        <v/>
      </c>
      <c r="P260" s="45">
        <f>IF(COUNTIFS($C:$C,$C260,$D:$D,"P0(후)",$L:$L,"&gt;0")&lt;&gt;1,"",SUMIFS($H:$H,$C:$C,$C260,$D:$D,"P0(후)"))</f>
        <v/>
      </c>
      <c r="Q260" s="30">
        <f>IF(COUNTIFS($C:$C,$C260,$D:$D,"P0(후)",$L:$L,"&gt;0")&lt;&gt;1,"",SUMIFS($L:$L,$C:$C,$C260,$D:$D,"P0(후)"))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IF(OR(NOT(ISNUMBER(S260)),IF(ISNUMBER(G260),G260,F260)=0),"",S260/IF(ISNUMBER(G260),G260,F260))</f>
        <v/>
      </c>
      <c r="U260" s="46">
        <f>IF(ISNUMBER(T260),ABS(T260),"")</f>
        <v/>
      </c>
      <c r="V260" s="46">
        <f>IF(OR($D259&lt;&gt;"측정",$C259&lt;&gt;$C260,NOT(ISNUMBER(L260)),NOT(ISNUMBER(L259)),(IF(ISNUMBER(G260),G260,F260)-IF(ISNUMBER(G259),G259,F259))=0),"",(L260-L259)/(IF(ISNUMBER(G260),G260,F260)-IF(ISNUMBER(G259),G259,F259)))</f>
        <v/>
      </c>
      <c r="W260" s="30">
        <f>IF(NOT(AND(ISNUMBER(N260),ISNUMBER(P260))),"",(P260-N260)*1440)</f>
        <v/>
      </c>
      <c r="X260" s="28" t="n"/>
      <c r="Y260" s="28" t="n"/>
      <c r="Z260" s="28" t="n"/>
      <c r="AA260" s="31" t="n"/>
      <c r="AB260" s="31" t="n"/>
    </row>
    <row r="261">
      <c r="A261" s="25" t="inlineStr">
        <is>
          <t>S05</t>
        </is>
      </c>
      <c r="B261" s="25" t="inlineStr">
        <is>
          <t>무풍 신규점1</t>
        </is>
      </c>
      <c r="C261" s="25" t="inlineStr">
        <is>
          <t>S05-H북</t>
        </is>
      </c>
      <c r="D261" s="25" t="inlineStr">
        <is>
          <t>측정</t>
        </is>
      </c>
      <c r="E261" s="25" t="inlineStr">
        <is>
          <t>북</t>
        </is>
      </c>
      <c r="F261" s="30" t="n">
        <v>8</v>
      </c>
      <c r="G261" s="29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IF(COUNTIFS($C:$C,$C261,$D:$D,"P0(전)",$L:$L,"&gt;0")&lt;&gt;1,"P0(전) 유효 1개 아님",IF(COUNTIFS($C:$C,$C261,$D:$D,"P0(후)",$L:$L,"&gt;0")&lt;&gt;1,"P0(후) 유효 1개 아님",IF(NOT(AND(ISNUMBER(N261),ISNUMBER(P261),ISNUMBER(H261))),"시각 결측",IF(P261&lt;=N261,"P0 시각 역전",IF(OR(H261&lt;N261,H261&gt;P261),"측정시각 구간 밖","OK")))))</f>
        <v/>
      </c>
      <c r="N261" s="45">
        <f>IF(COUNTIFS($C:$C,$C261,$D:$D,"P0(전)",$L:$L,"&gt;0")&lt;&gt;1,"",SUMIFS($H:$H,$C:$C,$C261,$D:$D,"P0(전)"))</f>
        <v/>
      </c>
      <c r="O261" s="30">
        <f>IF(COUNTIFS($C:$C,$C261,$D:$D,"P0(전)",$L:$L,"&gt;0")&lt;&gt;1,"",SUMIFS($L:$L,$C:$C,$C261,$D:$D,"P0(전)"))</f>
        <v/>
      </c>
      <c r="P261" s="45">
        <f>IF(COUNTIFS($C:$C,$C261,$D:$D,"P0(후)",$L:$L,"&gt;0")&lt;&gt;1,"",SUMIFS($H:$H,$C:$C,$C261,$D:$D,"P0(후)"))</f>
        <v/>
      </c>
      <c r="Q261" s="30">
        <f>IF(COUNTIFS($C:$C,$C261,$D:$D,"P0(후)",$L:$L,"&gt;0")&lt;&gt;1,"",SUMIFS($L:$L,$C:$C,$C261,$D:$D,"P0(후)"))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IF(OR(NOT(ISNUMBER(S261)),IF(ISNUMBER(G261),G261,F261)=0),"",S261/IF(ISNUMBER(G261),G261,F261))</f>
        <v/>
      </c>
      <c r="U261" s="46">
        <f>IF(ISNUMBER(T261),ABS(T261),"")</f>
        <v/>
      </c>
      <c r="V261" s="46">
        <f>IF(OR($D260&lt;&gt;"측정",$C260&lt;&gt;$C261,NOT(ISNUMBER(L261)),NOT(ISNUMBER(L260)),(IF(ISNUMBER(G261),G261,F261)-IF(ISNUMBER(G260),G260,F260))=0),"",(L261-L260)/(IF(ISNUMBER(G261),G261,F261)-IF(ISNUMBER(G260),G260,F260)))</f>
        <v/>
      </c>
      <c r="W261" s="30">
        <f>IF(NOT(AND(ISNUMBER(N261),ISNUMBER(P261))),"",(P261-N261)*1440)</f>
        <v/>
      </c>
      <c r="X261" s="28" t="n"/>
      <c r="Y261" s="28" t="n"/>
      <c r="Z261" s="28" t="n"/>
      <c r="AA261" s="31" t="n"/>
      <c r="AB261" s="31" t="n"/>
    </row>
    <row r="262">
      <c r="A262" s="25" t="inlineStr">
        <is>
          <t>S05</t>
        </is>
      </c>
      <c r="B262" s="25" t="inlineStr">
        <is>
          <t>무풍 신규점1</t>
        </is>
      </c>
      <c r="C262" s="25" t="inlineStr">
        <is>
          <t>S05-H북</t>
        </is>
      </c>
      <c r="D262" s="25" t="inlineStr">
        <is>
          <t>측정</t>
        </is>
      </c>
      <c r="E262" s="25" t="inlineStr">
        <is>
          <t>북</t>
        </is>
      </c>
      <c r="F262" s="30" t="n">
        <v>9</v>
      </c>
      <c r="G262" s="29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IF(COUNTIFS($C:$C,$C262,$D:$D,"P0(전)",$L:$L,"&gt;0")&lt;&gt;1,"P0(전) 유효 1개 아님",IF(COUNTIFS($C:$C,$C262,$D:$D,"P0(후)",$L:$L,"&gt;0")&lt;&gt;1,"P0(후) 유효 1개 아님",IF(NOT(AND(ISNUMBER(N262),ISNUMBER(P262),ISNUMBER(H262))),"시각 결측",IF(P262&lt;=N262,"P0 시각 역전",IF(OR(H262&lt;N262,H262&gt;P262),"측정시각 구간 밖","OK")))))</f>
        <v/>
      </c>
      <c r="N262" s="45">
        <f>IF(COUNTIFS($C:$C,$C262,$D:$D,"P0(전)",$L:$L,"&gt;0")&lt;&gt;1,"",SUMIFS($H:$H,$C:$C,$C262,$D:$D,"P0(전)"))</f>
        <v/>
      </c>
      <c r="O262" s="30">
        <f>IF(COUNTIFS($C:$C,$C262,$D:$D,"P0(전)",$L:$L,"&gt;0")&lt;&gt;1,"",SUMIFS($L:$L,$C:$C,$C262,$D:$D,"P0(전)"))</f>
        <v/>
      </c>
      <c r="P262" s="45">
        <f>IF(COUNTIFS($C:$C,$C262,$D:$D,"P0(후)",$L:$L,"&gt;0")&lt;&gt;1,"",SUMIFS($H:$H,$C:$C,$C262,$D:$D,"P0(후)"))</f>
        <v/>
      </c>
      <c r="Q262" s="30">
        <f>IF(COUNTIFS($C:$C,$C262,$D:$D,"P0(후)",$L:$L,"&gt;0")&lt;&gt;1,"",SUMIFS($L:$L,$C:$C,$C262,$D:$D,"P0(후)"))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IF(OR(NOT(ISNUMBER(S262)),IF(ISNUMBER(G262),G262,F262)=0),"",S262/IF(ISNUMBER(G262),G262,F262))</f>
        <v/>
      </c>
      <c r="U262" s="46">
        <f>IF(ISNUMBER(T262),ABS(T262),"")</f>
        <v/>
      </c>
      <c r="V262" s="46">
        <f>IF(OR($D261&lt;&gt;"측정",$C261&lt;&gt;$C262,NOT(ISNUMBER(L262)),NOT(ISNUMBER(L261)),(IF(ISNUMBER(G262),G262,F262)-IF(ISNUMBER(G261),G261,F261))=0),"",(L262-L261)/(IF(ISNUMBER(G262),G262,F262)-IF(ISNUMBER(G261),G261,F261)))</f>
        <v/>
      </c>
      <c r="W262" s="30">
        <f>IF(NOT(AND(ISNUMBER(N262),ISNUMBER(P262))),"",(P262-N262)*1440)</f>
        <v/>
      </c>
      <c r="X262" s="28" t="n"/>
      <c r="Y262" s="28" t="n"/>
      <c r="Z262" s="28" t="n"/>
      <c r="AA262" s="31" t="n"/>
      <c r="AB262" s="31" t="n"/>
    </row>
    <row r="263">
      <c r="A263" s="25" t="inlineStr">
        <is>
          <t>S05</t>
        </is>
      </c>
      <c r="B263" s="25" t="inlineStr">
        <is>
          <t>무풍 신규점1</t>
        </is>
      </c>
      <c r="C263" s="25" t="inlineStr">
        <is>
          <t>S05-H북</t>
        </is>
      </c>
      <c r="D263" s="25" t="inlineStr">
        <is>
          <t>측정</t>
        </is>
      </c>
      <c r="E263" s="25" t="inlineStr">
        <is>
          <t>북</t>
        </is>
      </c>
      <c r="F263" s="30" t="n">
        <v>10</v>
      </c>
      <c r="G263" s="29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IF(COUNTIFS($C:$C,$C263,$D:$D,"P0(전)",$L:$L,"&gt;0")&lt;&gt;1,"P0(전) 유효 1개 아님",IF(COUNTIFS($C:$C,$C263,$D:$D,"P0(후)",$L:$L,"&gt;0")&lt;&gt;1,"P0(후) 유효 1개 아님",IF(NOT(AND(ISNUMBER(N263),ISNUMBER(P263),ISNUMBER(H263))),"시각 결측",IF(P263&lt;=N263,"P0 시각 역전",IF(OR(H263&lt;N263,H263&gt;P263),"측정시각 구간 밖","OK")))))</f>
        <v/>
      </c>
      <c r="N263" s="45">
        <f>IF(COUNTIFS($C:$C,$C263,$D:$D,"P0(전)",$L:$L,"&gt;0")&lt;&gt;1,"",SUMIFS($H:$H,$C:$C,$C263,$D:$D,"P0(전)"))</f>
        <v/>
      </c>
      <c r="O263" s="30">
        <f>IF(COUNTIFS($C:$C,$C263,$D:$D,"P0(전)",$L:$L,"&gt;0")&lt;&gt;1,"",SUMIFS($L:$L,$C:$C,$C263,$D:$D,"P0(전)"))</f>
        <v/>
      </c>
      <c r="P263" s="45">
        <f>IF(COUNTIFS($C:$C,$C263,$D:$D,"P0(후)",$L:$L,"&gt;0")&lt;&gt;1,"",SUMIFS($H:$H,$C:$C,$C263,$D:$D,"P0(후)"))</f>
        <v/>
      </c>
      <c r="Q263" s="30">
        <f>IF(COUNTIFS($C:$C,$C263,$D:$D,"P0(후)",$L:$L,"&gt;0")&lt;&gt;1,"",SUMIFS($L:$L,$C:$C,$C263,$D:$D,"P0(후)"))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IF(OR(NOT(ISNUMBER(S263)),IF(ISNUMBER(G263),G263,F263)=0),"",S263/IF(ISNUMBER(G263),G263,F263))</f>
        <v/>
      </c>
      <c r="U263" s="46">
        <f>IF(ISNUMBER(T263),ABS(T263),"")</f>
        <v/>
      </c>
      <c r="V263" s="46">
        <f>IF(OR($D262&lt;&gt;"측정",$C262&lt;&gt;$C263,NOT(ISNUMBER(L263)),NOT(ISNUMBER(L262)),(IF(ISNUMBER(G263),G263,F263)-IF(ISNUMBER(G262),G262,F262))=0),"",(L263-L262)/(IF(ISNUMBER(G263),G263,F263)-IF(ISNUMBER(G262),G262,F262)))</f>
        <v/>
      </c>
      <c r="W263" s="30">
        <f>IF(NOT(AND(ISNUMBER(N263),ISNUMBER(P263))),"",(P263-N263)*1440)</f>
        <v/>
      </c>
      <c r="X263" s="28" t="n"/>
      <c r="Y263" s="28" t="n"/>
      <c r="Z263" s="28" t="n"/>
      <c r="AA263" s="31" t="n"/>
      <c r="AB263" s="31" t="n"/>
    </row>
    <row r="264">
      <c r="A264" s="43" t="inlineStr">
        <is>
          <t>S05</t>
        </is>
      </c>
      <c r="B264" s="43" t="inlineStr">
        <is>
          <t>무풍 신규점1</t>
        </is>
      </c>
      <c r="C264" s="43" t="inlineStr">
        <is>
          <t>S05-H북</t>
        </is>
      </c>
      <c r="D264" s="43" t="inlineStr">
        <is>
          <t>P0(후)</t>
        </is>
      </c>
      <c r="E264" s="43" t="inlineStr">
        <is>
          <t>북</t>
        </is>
      </c>
      <c r="F264" s="44" t="n"/>
      <c r="G264" s="29" t="n"/>
      <c r="H264" s="42" t="n"/>
      <c r="I264" s="40" t="n"/>
      <c r="J264" s="40" t="n"/>
      <c r="K264" s="40" t="n"/>
      <c r="L264" s="30">
        <f>IF(COUNT(I264:K264)=0,"",MEDIAN(I264:K264))</f>
        <v/>
      </c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28" t="n"/>
      <c r="Y264" s="28" t="n"/>
      <c r="Z264" s="28" t="n"/>
      <c r="AA264" s="31" t="n"/>
      <c r="AB264" s="31" t="n"/>
    </row>
    <row r="265">
      <c r="A265" s="43" t="inlineStr">
        <is>
          <t>S06</t>
        </is>
      </c>
      <c r="B265" s="43" t="inlineStr">
        <is>
          <t>길담 신규점</t>
        </is>
      </c>
      <c r="C265" s="43" t="inlineStr">
        <is>
          <t>S06-H동</t>
        </is>
      </c>
      <c r="D265" s="43" t="inlineStr">
        <is>
          <t>P0(전)</t>
        </is>
      </c>
      <c r="E265" s="43" t="inlineStr">
        <is>
          <t>동</t>
        </is>
      </c>
      <c r="F265" s="44" t="n"/>
      <c r="G265" s="29" t="n"/>
      <c r="H265" s="42" t="n"/>
      <c r="I265" s="40" t="n"/>
      <c r="J265" s="40" t="n"/>
      <c r="K265" s="40" t="n"/>
      <c r="L265" s="30">
        <f>IF(COUNT(I265:K265)=0,"",MEDIAN(I265:K265))</f>
        <v/>
      </c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28" t="n"/>
      <c r="Y265" s="28" t="n"/>
      <c r="Z265" s="28" t="n"/>
      <c r="AA265" s="31" t="n"/>
      <c r="AB265" s="31" t="n"/>
    </row>
    <row r="266">
      <c r="A266" s="25" t="inlineStr">
        <is>
          <t>S06</t>
        </is>
      </c>
      <c r="B266" s="25" t="inlineStr">
        <is>
          <t>길담 신규점</t>
        </is>
      </c>
      <c r="C266" s="25" t="inlineStr">
        <is>
          <t>S06-H동</t>
        </is>
      </c>
      <c r="D266" s="25" t="inlineStr">
        <is>
          <t>측정</t>
        </is>
      </c>
      <c r="E266" s="25" t="inlineStr">
        <is>
          <t>동</t>
        </is>
      </c>
      <c r="F266" s="30" t="n">
        <v>0.5</v>
      </c>
      <c r="G266" s="29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IF(COUNTIFS($C:$C,$C266,$D:$D,"P0(전)",$L:$L,"&gt;0")&lt;&gt;1,"P0(전) 유효 1개 아님",IF(COUNTIFS($C:$C,$C266,$D:$D,"P0(후)",$L:$L,"&gt;0")&lt;&gt;1,"P0(후) 유효 1개 아님",IF(NOT(AND(ISNUMBER(N266),ISNUMBER(P266),ISNUMBER(H266))),"시각 결측",IF(P266&lt;=N266,"P0 시각 역전",IF(OR(H266&lt;N266,H266&gt;P266),"측정시각 구간 밖","OK")))))</f>
        <v/>
      </c>
      <c r="N266" s="45">
        <f>IF(COUNTIFS($C:$C,$C266,$D:$D,"P0(전)",$L:$L,"&gt;0")&lt;&gt;1,"",SUMIFS($H:$H,$C:$C,$C266,$D:$D,"P0(전)"))</f>
        <v/>
      </c>
      <c r="O266" s="30">
        <f>IF(COUNTIFS($C:$C,$C266,$D:$D,"P0(전)",$L:$L,"&gt;0")&lt;&gt;1,"",SUMIFS($L:$L,$C:$C,$C266,$D:$D,"P0(전)"))</f>
        <v/>
      </c>
      <c r="P266" s="45">
        <f>IF(COUNTIFS($C:$C,$C266,$D:$D,"P0(후)",$L:$L,"&gt;0")&lt;&gt;1,"",SUMIFS($H:$H,$C:$C,$C266,$D:$D,"P0(후)"))</f>
        <v/>
      </c>
      <c r="Q266" s="30">
        <f>IF(COUNTIFS($C:$C,$C266,$D:$D,"P0(후)",$L:$L,"&gt;0")&lt;&gt;1,"",SUMIFS($L:$L,$C:$C,$C266,$D:$D,"P0(후)"))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IF(OR(NOT(ISNUMBER(S266)),IF(ISNUMBER(G266),G266,F266)=0),"",S266/IF(ISNUMBER(G266),G266,F266))</f>
        <v/>
      </c>
      <c r="U266" s="46">
        <f>IF(ISNUMBER(T266),ABS(T266),"")</f>
        <v/>
      </c>
      <c r="V266" s="46">
        <f>IF(OR($D265&lt;&gt;"측정",$C265&lt;&gt;$C266,NOT(ISNUMBER(L266)),NOT(ISNUMBER(L265)),(IF(ISNUMBER(G266),G266,F266)-IF(ISNUMBER(G265),G265,F265))=0),"",(L266-L265)/(IF(ISNUMBER(G266),G266,F266)-IF(ISNUMBER(G265),G265,F265)))</f>
        <v/>
      </c>
      <c r="W266" s="30">
        <f>IF(NOT(AND(ISNUMBER(N266),ISNUMBER(P266))),"",(P266-N266)*1440)</f>
        <v/>
      </c>
      <c r="X266" s="28" t="n"/>
      <c r="Y266" s="28" t="n"/>
      <c r="Z266" s="28" t="n"/>
      <c r="AA266" s="31" t="n"/>
      <c r="AB266" s="31" t="n"/>
    </row>
    <row r="267">
      <c r="A267" s="25" t="inlineStr">
        <is>
          <t>S06</t>
        </is>
      </c>
      <c r="B267" s="25" t="inlineStr">
        <is>
          <t>길담 신규점</t>
        </is>
      </c>
      <c r="C267" s="25" t="inlineStr">
        <is>
          <t>S06-H동</t>
        </is>
      </c>
      <c r="D267" s="25" t="inlineStr">
        <is>
          <t>측정</t>
        </is>
      </c>
      <c r="E267" s="25" t="inlineStr">
        <is>
          <t>동</t>
        </is>
      </c>
      <c r="F267" s="30" t="n">
        <v>1</v>
      </c>
      <c r="G267" s="29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IF(COUNTIFS($C:$C,$C267,$D:$D,"P0(전)",$L:$L,"&gt;0")&lt;&gt;1,"P0(전) 유효 1개 아님",IF(COUNTIFS($C:$C,$C267,$D:$D,"P0(후)",$L:$L,"&gt;0")&lt;&gt;1,"P0(후) 유효 1개 아님",IF(NOT(AND(ISNUMBER(N267),ISNUMBER(P267),ISNUMBER(H267))),"시각 결측",IF(P267&lt;=N267,"P0 시각 역전",IF(OR(H267&lt;N267,H267&gt;P267),"측정시각 구간 밖","OK")))))</f>
        <v/>
      </c>
      <c r="N267" s="45">
        <f>IF(COUNTIFS($C:$C,$C267,$D:$D,"P0(전)",$L:$L,"&gt;0")&lt;&gt;1,"",SUMIFS($H:$H,$C:$C,$C267,$D:$D,"P0(전)"))</f>
        <v/>
      </c>
      <c r="O267" s="30">
        <f>IF(COUNTIFS($C:$C,$C267,$D:$D,"P0(전)",$L:$L,"&gt;0")&lt;&gt;1,"",SUMIFS($L:$L,$C:$C,$C267,$D:$D,"P0(전)"))</f>
        <v/>
      </c>
      <c r="P267" s="45">
        <f>IF(COUNTIFS($C:$C,$C267,$D:$D,"P0(후)",$L:$L,"&gt;0")&lt;&gt;1,"",SUMIFS($H:$H,$C:$C,$C267,$D:$D,"P0(후)"))</f>
        <v/>
      </c>
      <c r="Q267" s="30">
        <f>IF(COUNTIFS($C:$C,$C267,$D:$D,"P0(후)",$L:$L,"&gt;0")&lt;&gt;1,"",SUMIFS($L:$L,$C:$C,$C267,$D:$D,"P0(후)"))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IF(OR(NOT(ISNUMBER(S267)),IF(ISNUMBER(G267),G267,F267)=0),"",S267/IF(ISNUMBER(G267),G267,F267))</f>
        <v/>
      </c>
      <c r="U267" s="46">
        <f>IF(ISNUMBER(T267),ABS(T267),"")</f>
        <v/>
      </c>
      <c r="V267" s="46">
        <f>IF(OR($D266&lt;&gt;"측정",$C266&lt;&gt;$C267,NOT(ISNUMBER(L267)),NOT(ISNUMBER(L266)),(IF(ISNUMBER(G267),G267,F267)-IF(ISNUMBER(G266),G266,F266))=0),"",(L267-L266)/(IF(ISNUMBER(G267),G267,F267)-IF(ISNUMBER(G266),G266,F266)))</f>
        <v/>
      </c>
      <c r="W267" s="30">
        <f>IF(NOT(AND(ISNUMBER(N267),ISNUMBER(P267))),"",(P267-N267)*1440)</f>
        <v/>
      </c>
      <c r="X267" s="28" t="n"/>
      <c r="Y267" s="28" t="n"/>
      <c r="Z267" s="28" t="n"/>
      <c r="AA267" s="31" t="n"/>
      <c r="AB267" s="31" t="n"/>
    </row>
    <row r="268">
      <c r="A268" s="25" t="inlineStr">
        <is>
          <t>S06</t>
        </is>
      </c>
      <c r="B268" s="25" t="inlineStr">
        <is>
          <t>길담 신규점</t>
        </is>
      </c>
      <c r="C268" s="25" t="inlineStr">
        <is>
          <t>S06-H동</t>
        </is>
      </c>
      <c r="D268" s="25" t="inlineStr">
        <is>
          <t>측정</t>
        </is>
      </c>
      <c r="E268" s="25" t="inlineStr">
        <is>
          <t>동</t>
        </is>
      </c>
      <c r="F268" s="30" t="n">
        <v>2</v>
      </c>
      <c r="G268" s="29" t="n"/>
      <c r="H268" s="42" t="n"/>
      <c r="I268" s="40" t="n"/>
      <c r="J268" s="40" t="n"/>
      <c r="K268" s="40" t="n"/>
      <c r="L268" s="30">
        <f>IF(COUNT(I268:K268)=0,"",MEDIAN(I268:K268))</f>
        <v/>
      </c>
      <c r="M268" s="25">
        <f>IF(COUNTIFS($C:$C,$C268,$D:$D,"P0(전)",$L:$L,"&gt;0")&lt;&gt;1,"P0(전) 유효 1개 아님",IF(COUNTIFS($C:$C,$C268,$D:$D,"P0(후)",$L:$L,"&gt;0")&lt;&gt;1,"P0(후) 유효 1개 아님",IF(NOT(AND(ISNUMBER(N268),ISNUMBER(P268),ISNUMBER(H268))),"시각 결측",IF(P268&lt;=N268,"P0 시각 역전",IF(OR(H268&lt;N268,H268&gt;P268),"측정시각 구간 밖","OK")))))</f>
        <v/>
      </c>
      <c r="N268" s="45">
        <f>IF(COUNTIFS($C:$C,$C268,$D:$D,"P0(전)",$L:$L,"&gt;0")&lt;&gt;1,"",SUMIFS($H:$H,$C:$C,$C268,$D:$D,"P0(전)"))</f>
        <v/>
      </c>
      <c r="O268" s="30">
        <f>IF(COUNTIFS($C:$C,$C268,$D:$D,"P0(전)",$L:$L,"&gt;0")&lt;&gt;1,"",SUMIFS($L:$L,$C:$C,$C268,$D:$D,"P0(전)"))</f>
        <v/>
      </c>
      <c r="P268" s="45">
        <f>IF(COUNTIFS($C:$C,$C268,$D:$D,"P0(후)",$L:$L,"&gt;0")&lt;&gt;1,"",SUMIFS($H:$H,$C:$C,$C268,$D:$D,"P0(후)"))</f>
        <v/>
      </c>
      <c r="Q268" s="30">
        <f>IF(COUNTIFS($C:$C,$C268,$D:$D,"P0(후)",$L:$L,"&gt;0")&lt;&gt;1,"",SUMIFS($L:$L,$C:$C,$C268,$D:$D,"P0(후)"))</f>
        <v/>
      </c>
      <c r="R268" s="30">
        <f>IF(M268&lt;&gt;"OK","",O268+(Q268-O268)*(H268-N268)/(P268-N268))</f>
        <v/>
      </c>
      <c r="S268" s="30">
        <f>IF(OR(M268&lt;&gt;"OK",NOT(ISNUMBER(L268))),"",L268-R268)</f>
        <v/>
      </c>
      <c r="T268" s="46">
        <f>IF(OR(NOT(ISNUMBER(S268)),IF(ISNUMBER(G268),G268,F268)=0),"",S268/IF(ISNUMBER(G268),G268,F268))</f>
        <v/>
      </c>
      <c r="U268" s="46">
        <f>IF(ISNUMBER(T268),ABS(T268),"")</f>
        <v/>
      </c>
      <c r="V268" s="46">
        <f>IF(OR($D267&lt;&gt;"측정",$C267&lt;&gt;$C268,NOT(ISNUMBER(L268)),NOT(ISNUMBER(L267)),(IF(ISNUMBER(G268),G268,F268)-IF(ISNUMBER(G267),G267,F267))=0),"",(L268-L267)/(IF(ISNUMBER(G268),G268,F268)-IF(ISNUMBER(G267),G267,F267)))</f>
        <v/>
      </c>
      <c r="W268" s="30">
        <f>IF(NOT(AND(ISNUMBER(N268),ISNUMBER(P268))),"",(P268-N268)*1440)</f>
        <v/>
      </c>
      <c r="X268" s="28" t="n"/>
      <c r="Y268" s="28" t="n"/>
      <c r="Z268" s="28" t="n"/>
      <c r="AA268" s="31" t="n"/>
      <c r="AB268" s="31" t="n"/>
    </row>
    <row r="269">
      <c r="A269" s="25" t="inlineStr">
        <is>
          <t>S06</t>
        </is>
      </c>
      <c r="B269" s="25" t="inlineStr">
        <is>
          <t>길담 신규점</t>
        </is>
      </c>
      <c r="C269" s="25" t="inlineStr">
        <is>
          <t>S06-H동</t>
        </is>
      </c>
      <c r="D269" s="25" t="inlineStr">
        <is>
          <t>측정</t>
        </is>
      </c>
      <c r="E269" s="25" t="inlineStr">
        <is>
          <t>동</t>
        </is>
      </c>
      <c r="F269" s="30" t="n">
        <v>3</v>
      </c>
      <c r="G269" s="29" t="n"/>
      <c r="H269" s="42" t="n"/>
      <c r="I269" s="40" t="n"/>
      <c r="J269" s="40" t="n"/>
      <c r="K269" s="40" t="n"/>
      <c r="L269" s="30">
        <f>IF(COUNT(I269:K269)=0,"",MEDIAN(I269:K269))</f>
        <v/>
      </c>
      <c r="M269" s="25">
        <f>IF(COUNTIFS($C:$C,$C269,$D:$D,"P0(전)",$L:$L,"&gt;0")&lt;&gt;1,"P0(전) 유효 1개 아님",IF(COUNTIFS($C:$C,$C269,$D:$D,"P0(후)",$L:$L,"&gt;0")&lt;&gt;1,"P0(후) 유효 1개 아님",IF(NOT(AND(ISNUMBER(N269),ISNUMBER(P269),ISNUMBER(H269))),"시각 결측",IF(P269&lt;=N269,"P0 시각 역전",IF(OR(H269&lt;N269,H269&gt;P269),"측정시각 구간 밖","OK")))))</f>
        <v/>
      </c>
      <c r="N269" s="45">
        <f>IF(COUNTIFS($C:$C,$C269,$D:$D,"P0(전)",$L:$L,"&gt;0")&lt;&gt;1,"",SUMIFS($H:$H,$C:$C,$C269,$D:$D,"P0(전)"))</f>
        <v/>
      </c>
      <c r="O269" s="30">
        <f>IF(COUNTIFS($C:$C,$C269,$D:$D,"P0(전)",$L:$L,"&gt;0")&lt;&gt;1,"",SUMIFS($L:$L,$C:$C,$C269,$D:$D,"P0(전)"))</f>
        <v/>
      </c>
      <c r="P269" s="45">
        <f>IF(COUNTIFS($C:$C,$C269,$D:$D,"P0(후)",$L:$L,"&gt;0")&lt;&gt;1,"",SUMIFS($H:$H,$C:$C,$C269,$D:$D,"P0(후)"))</f>
        <v/>
      </c>
      <c r="Q269" s="30">
        <f>IF(COUNTIFS($C:$C,$C269,$D:$D,"P0(후)",$L:$L,"&gt;0")&lt;&gt;1,"",SUMIFS($L:$L,$C:$C,$C269,$D:$D,"P0(후)"))</f>
        <v/>
      </c>
      <c r="R269" s="30">
        <f>IF(M269&lt;&gt;"OK","",O269+(Q269-O269)*(H269-N269)/(P269-N269))</f>
        <v/>
      </c>
      <c r="S269" s="30">
        <f>IF(OR(M269&lt;&gt;"OK",NOT(ISNUMBER(L269))),"",L269-R269)</f>
        <v/>
      </c>
      <c r="T269" s="46">
        <f>IF(OR(NOT(ISNUMBER(S269)),IF(ISNUMBER(G269),G269,F269)=0),"",S269/IF(ISNUMBER(G269),G269,F269))</f>
        <v/>
      </c>
      <c r="U269" s="46">
        <f>IF(ISNUMBER(T269),ABS(T269),"")</f>
        <v/>
      </c>
      <c r="V269" s="46">
        <f>IF(OR($D268&lt;&gt;"측정",$C268&lt;&gt;$C269,NOT(ISNUMBER(L269)),NOT(ISNUMBER(L268)),(IF(ISNUMBER(G269),G269,F269)-IF(ISNUMBER(G268),G268,F268))=0),"",(L269-L268)/(IF(ISNUMBER(G269),G269,F269)-IF(ISNUMBER(G268),G268,F268)))</f>
        <v/>
      </c>
      <c r="W269" s="30">
        <f>IF(NOT(AND(ISNUMBER(N269),ISNUMBER(P269))),"",(P269-N269)*1440)</f>
        <v/>
      </c>
      <c r="X269" s="28" t="n"/>
      <c r="Y269" s="28" t="n"/>
      <c r="Z269" s="28" t="n"/>
      <c r="AA269" s="31" t="n"/>
      <c r="AB269" s="31" t="n"/>
    </row>
    <row r="270">
      <c r="A270" s="25" t="inlineStr">
        <is>
          <t>S06</t>
        </is>
      </c>
      <c r="B270" s="25" t="inlineStr">
        <is>
          <t>길담 신규점</t>
        </is>
      </c>
      <c r="C270" s="25" t="inlineStr">
        <is>
          <t>S06-H동</t>
        </is>
      </c>
      <c r="D270" s="25" t="inlineStr">
        <is>
          <t>측정</t>
        </is>
      </c>
      <c r="E270" s="25" t="inlineStr">
        <is>
          <t>동</t>
        </is>
      </c>
      <c r="F270" s="30" t="n">
        <v>4</v>
      </c>
      <c r="G270" s="29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IF(COUNTIFS($C:$C,$C270,$D:$D,"P0(전)",$L:$L,"&gt;0")&lt;&gt;1,"P0(전) 유효 1개 아님",IF(COUNTIFS($C:$C,$C270,$D:$D,"P0(후)",$L:$L,"&gt;0")&lt;&gt;1,"P0(후) 유효 1개 아님",IF(NOT(AND(ISNUMBER(N270),ISNUMBER(P270),ISNUMBER(H270))),"시각 결측",IF(P270&lt;=N270,"P0 시각 역전",IF(OR(H270&lt;N270,H270&gt;P270),"측정시각 구간 밖","OK")))))</f>
        <v/>
      </c>
      <c r="N270" s="45">
        <f>IF(COUNTIFS($C:$C,$C270,$D:$D,"P0(전)",$L:$L,"&gt;0")&lt;&gt;1,"",SUMIFS($H:$H,$C:$C,$C270,$D:$D,"P0(전)"))</f>
        <v/>
      </c>
      <c r="O270" s="30">
        <f>IF(COUNTIFS($C:$C,$C270,$D:$D,"P0(전)",$L:$L,"&gt;0")&lt;&gt;1,"",SUMIFS($L:$L,$C:$C,$C270,$D:$D,"P0(전)"))</f>
        <v/>
      </c>
      <c r="P270" s="45">
        <f>IF(COUNTIFS($C:$C,$C270,$D:$D,"P0(후)",$L:$L,"&gt;0")&lt;&gt;1,"",SUMIFS($H:$H,$C:$C,$C270,$D:$D,"P0(후)"))</f>
        <v/>
      </c>
      <c r="Q270" s="30">
        <f>IF(COUNTIFS($C:$C,$C270,$D:$D,"P0(후)",$L:$L,"&gt;0")&lt;&gt;1,"",SUMIFS($L:$L,$C:$C,$C270,$D:$D,"P0(후)"))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IF(OR(NOT(ISNUMBER(S270)),IF(ISNUMBER(G270),G270,F270)=0),"",S270/IF(ISNUMBER(G270),G270,F270))</f>
        <v/>
      </c>
      <c r="U270" s="46">
        <f>IF(ISNUMBER(T270),ABS(T270),"")</f>
        <v/>
      </c>
      <c r="V270" s="46">
        <f>IF(OR($D269&lt;&gt;"측정",$C269&lt;&gt;$C270,NOT(ISNUMBER(L270)),NOT(ISNUMBER(L269)),(IF(ISNUMBER(G270),G270,F270)-IF(ISNUMBER(G269),G269,F269))=0),"",(L270-L269)/(IF(ISNUMBER(G270),G270,F270)-IF(ISNUMBER(G269),G269,F269)))</f>
        <v/>
      </c>
      <c r="W270" s="30">
        <f>IF(NOT(AND(ISNUMBER(N270),ISNUMBER(P270))),"",(P270-N270)*1440)</f>
        <v/>
      </c>
      <c r="X270" s="28" t="n"/>
      <c r="Y270" s="28" t="n"/>
      <c r="Z270" s="28" t="n"/>
      <c r="AA270" s="31" t="n"/>
      <c r="AB270" s="31" t="n"/>
    </row>
    <row r="271">
      <c r="A271" s="25" t="inlineStr">
        <is>
          <t>S06</t>
        </is>
      </c>
      <c r="B271" s="25" t="inlineStr">
        <is>
          <t>길담 신규점</t>
        </is>
      </c>
      <c r="C271" s="25" t="inlineStr">
        <is>
          <t>S06-H동</t>
        </is>
      </c>
      <c r="D271" s="25" t="inlineStr">
        <is>
          <t>측정</t>
        </is>
      </c>
      <c r="E271" s="25" t="inlineStr">
        <is>
          <t>동</t>
        </is>
      </c>
      <c r="F271" s="30" t="n">
        <v>5</v>
      </c>
      <c r="G271" s="29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IF(COUNTIFS($C:$C,$C271,$D:$D,"P0(전)",$L:$L,"&gt;0")&lt;&gt;1,"P0(전) 유효 1개 아님",IF(COUNTIFS($C:$C,$C271,$D:$D,"P0(후)",$L:$L,"&gt;0")&lt;&gt;1,"P0(후) 유효 1개 아님",IF(NOT(AND(ISNUMBER(N271),ISNUMBER(P271),ISNUMBER(H271))),"시각 결측",IF(P271&lt;=N271,"P0 시각 역전",IF(OR(H271&lt;N271,H271&gt;P271),"측정시각 구간 밖","OK")))))</f>
        <v/>
      </c>
      <c r="N271" s="45">
        <f>IF(COUNTIFS($C:$C,$C271,$D:$D,"P0(전)",$L:$L,"&gt;0")&lt;&gt;1,"",SUMIFS($H:$H,$C:$C,$C271,$D:$D,"P0(전)"))</f>
        <v/>
      </c>
      <c r="O271" s="30">
        <f>IF(COUNTIFS($C:$C,$C271,$D:$D,"P0(전)",$L:$L,"&gt;0")&lt;&gt;1,"",SUMIFS($L:$L,$C:$C,$C271,$D:$D,"P0(전)"))</f>
        <v/>
      </c>
      <c r="P271" s="45">
        <f>IF(COUNTIFS($C:$C,$C271,$D:$D,"P0(후)",$L:$L,"&gt;0")&lt;&gt;1,"",SUMIFS($H:$H,$C:$C,$C271,$D:$D,"P0(후)"))</f>
        <v/>
      </c>
      <c r="Q271" s="30">
        <f>IF(COUNTIFS($C:$C,$C271,$D:$D,"P0(후)",$L:$L,"&gt;0")&lt;&gt;1,"",SUMIFS($L:$L,$C:$C,$C271,$D:$D,"P0(후)"))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IF(OR(NOT(ISNUMBER(S271)),IF(ISNUMBER(G271),G271,F271)=0),"",S271/IF(ISNUMBER(G271),G271,F271))</f>
        <v/>
      </c>
      <c r="U271" s="46">
        <f>IF(ISNUMBER(T271),ABS(T271),"")</f>
        <v/>
      </c>
      <c r="V271" s="46">
        <f>IF(OR($D270&lt;&gt;"측정",$C270&lt;&gt;$C271,NOT(ISNUMBER(L271)),NOT(ISNUMBER(L270)),(IF(ISNUMBER(G271),G271,F271)-IF(ISNUMBER(G270),G270,F270))=0),"",(L271-L270)/(IF(ISNUMBER(G271),G271,F271)-IF(ISNUMBER(G270),G270,F270)))</f>
        <v/>
      </c>
      <c r="W271" s="30">
        <f>IF(NOT(AND(ISNUMBER(N271),ISNUMBER(P271))),"",(P271-N271)*1440)</f>
        <v/>
      </c>
      <c r="X271" s="28" t="n"/>
      <c r="Y271" s="28" t="n"/>
      <c r="Z271" s="28" t="n"/>
      <c r="AA271" s="31" t="n"/>
      <c r="AB271" s="31" t="n"/>
    </row>
    <row r="272">
      <c r="A272" s="25" t="inlineStr">
        <is>
          <t>S06</t>
        </is>
      </c>
      <c r="B272" s="25" t="inlineStr">
        <is>
          <t>길담 신규점</t>
        </is>
      </c>
      <c r="C272" s="25" t="inlineStr">
        <is>
          <t>S06-H동</t>
        </is>
      </c>
      <c r="D272" s="25" t="inlineStr">
        <is>
          <t>측정</t>
        </is>
      </c>
      <c r="E272" s="25" t="inlineStr">
        <is>
          <t>동</t>
        </is>
      </c>
      <c r="F272" s="30" t="n">
        <v>6</v>
      </c>
      <c r="G272" s="29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IF(COUNTIFS($C:$C,$C272,$D:$D,"P0(전)",$L:$L,"&gt;0")&lt;&gt;1,"P0(전) 유효 1개 아님",IF(COUNTIFS($C:$C,$C272,$D:$D,"P0(후)",$L:$L,"&gt;0")&lt;&gt;1,"P0(후) 유효 1개 아님",IF(NOT(AND(ISNUMBER(N272),ISNUMBER(P272),ISNUMBER(H272))),"시각 결측",IF(P272&lt;=N272,"P0 시각 역전",IF(OR(H272&lt;N272,H272&gt;P272),"측정시각 구간 밖","OK")))))</f>
        <v/>
      </c>
      <c r="N272" s="45">
        <f>IF(COUNTIFS($C:$C,$C272,$D:$D,"P0(전)",$L:$L,"&gt;0")&lt;&gt;1,"",SUMIFS($H:$H,$C:$C,$C272,$D:$D,"P0(전)"))</f>
        <v/>
      </c>
      <c r="O272" s="30">
        <f>IF(COUNTIFS($C:$C,$C272,$D:$D,"P0(전)",$L:$L,"&gt;0")&lt;&gt;1,"",SUMIFS($L:$L,$C:$C,$C272,$D:$D,"P0(전)"))</f>
        <v/>
      </c>
      <c r="P272" s="45">
        <f>IF(COUNTIFS($C:$C,$C272,$D:$D,"P0(후)",$L:$L,"&gt;0")&lt;&gt;1,"",SUMIFS($H:$H,$C:$C,$C272,$D:$D,"P0(후)"))</f>
        <v/>
      </c>
      <c r="Q272" s="30">
        <f>IF(COUNTIFS($C:$C,$C272,$D:$D,"P0(후)",$L:$L,"&gt;0")&lt;&gt;1,"",SUMIFS($L:$L,$C:$C,$C272,$D:$D,"P0(후)"))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IF(OR(NOT(ISNUMBER(S272)),IF(ISNUMBER(G272),G272,F272)=0),"",S272/IF(ISNUMBER(G272),G272,F272))</f>
        <v/>
      </c>
      <c r="U272" s="46">
        <f>IF(ISNUMBER(T272),ABS(T272),"")</f>
        <v/>
      </c>
      <c r="V272" s="46">
        <f>IF(OR($D271&lt;&gt;"측정",$C271&lt;&gt;$C272,NOT(ISNUMBER(L272)),NOT(ISNUMBER(L271)),(IF(ISNUMBER(G272),G272,F272)-IF(ISNUMBER(G271),G271,F271))=0),"",(L272-L271)/(IF(ISNUMBER(G272),G272,F272)-IF(ISNUMBER(G271),G271,F271)))</f>
        <v/>
      </c>
      <c r="W272" s="30">
        <f>IF(NOT(AND(ISNUMBER(N272),ISNUMBER(P272))),"",(P272-N272)*1440)</f>
        <v/>
      </c>
      <c r="X272" s="28" t="n"/>
      <c r="Y272" s="28" t="n"/>
      <c r="Z272" s="28" t="n"/>
      <c r="AA272" s="31" t="n"/>
      <c r="AB272" s="31" t="n"/>
    </row>
    <row r="273">
      <c r="A273" s="25" t="inlineStr">
        <is>
          <t>S06</t>
        </is>
      </c>
      <c r="B273" s="25" t="inlineStr">
        <is>
          <t>길담 신규점</t>
        </is>
      </c>
      <c r="C273" s="25" t="inlineStr">
        <is>
          <t>S06-H동</t>
        </is>
      </c>
      <c r="D273" s="25" t="inlineStr">
        <is>
          <t>측정</t>
        </is>
      </c>
      <c r="E273" s="25" t="inlineStr">
        <is>
          <t>동</t>
        </is>
      </c>
      <c r="F273" s="30" t="n">
        <v>7</v>
      </c>
      <c r="G273" s="29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IF(COUNTIFS($C:$C,$C273,$D:$D,"P0(전)",$L:$L,"&gt;0")&lt;&gt;1,"P0(전) 유효 1개 아님",IF(COUNTIFS($C:$C,$C273,$D:$D,"P0(후)",$L:$L,"&gt;0")&lt;&gt;1,"P0(후) 유효 1개 아님",IF(NOT(AND(ISNUMBER(N273),ISNUMBER(P273),ISNUMBER(H273))),"시각 결측",IF(P273&lt;=N273,"P0 시각 역전",IF(OR(H273&lt;N273,H273&gt;P273),"측정시각 구간 밖","OK")))))</f>
        <v/>
      </c>
      <c r="N273" s="45">
        <f>IF(COUNTIFS($C:$C,$C273,$D:$D,"P0(전)",$L:$L,"&gt;0")&lt;&gt;1,"",SUMIFS($H:$H,$C:$C,$C273,$D:$D,"P0(전)"))</f>
        <v/>
      </c>
      <c r="O273" s="30">
        <f>IF(COUNTIFS($C:$C,$C273,$D:$D,"P0(전)",$L:$L,"&gt;0")&lt;&gt;1,"",SUMIFS($L:$L,$C:$C,$C273,$D:$D,"P0(전)"))</f>
        <v/>
      </c>
      <c r="P273" s="45">
        <f>IF(COUNTIFS($C:$C,$C273,$D:$D,"P0(후)",$L:$L,"&gt;0")&lt;&gt;1,"",SUMIFS($H:$H,$C:$C,$C273,$D:$D,"P0(후)"))</f>
        <v/>
      </c>
      <c r="Q273" s="30">
        <f>IF(COUNTIFS($C:$C,$C273,$D:$D,"P0(후)",$L:$L,"&gt;0")&lt;&gt;1,"",SUMIFS($L:$L,$C:$C,$C273,$D:$D,"P0(후)"))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IF(OR(NOT(ISNUMBER(S273)),IF(ISNUMBER(G273),G273,F273)=0),"",S273/IF(ISNUMBER(G273),G273,F273))</f>
        <v/>
      </c>
      <c r="U273" s="46">
        <f>IF(ISNUMBER(T273),ABS(T273),"")</f>
        <v/>
      </c>
      <c r="V273" s="46">
        <f>IF(OR($D272&lt;&gt;"측정",$C272&lt;&gt;$C273,NOT(ISNUMBER(L273)),NOT(ISNUMBER(L272)),(IF(ISNUMBER(G273),G273,F273)-IF(ISNUMBER(G272),G272,F272))=0),"",(L273-L272)/(IF(ISNUMBER(G273),G273,F273)-IF(ISNUMBER(G272),G272,F272)))</f>
        <v/>
      </c>
      <c r="W273" s="30">
        <f>IF(NOT(AND(ISNUMBER(N273),ISNUMBER(P273))),"",(P273-N273)*1440)</f>
        <v/>
      </c>
      <c r="X273" s="28" t="n"/>
      <c r="Y273" s="28" t="n"/>
      <c r="Z273" s="28" t="n"/>
      <c r="AA273" s="31" t="n"/>
      <c r="AB273" s="31" t="n"/>
    </row>
    <row r="274">
      <c r="A274" s="25" t="inlineStr">
        <is>
          <t>S06</t>
        </is>
      </c>
      <c r="B274" s="25" t="inlineStr">
        <is>
          <t>길담 신규점</t>
        </is>
      </c>
      <c r="C274" s="25" t="inlineStr">
        <is>
          <t>S06-H동</t>
        </is>
      </c>
      <c r="D274" s="25" t="inlineStr">
        <is>
          <t>측정</t>
        </is>
      </c>
      <c r="E274" s="25" t="inlineStr">
        <is>
          <t>동</t>
        </is>
      </c>
      <c r="F274" s="30" t="n">
        <v>8</v>
      </c>
      <c r="G274" s="29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IF(COUNTIFS($C:$C,$C274,$D:$D,"P0(전)",$L:$L,"&gt;0")&lt;&gt;1,"P0(전) 유효 1개 아님",IF(COUNTIFS($C:$C,$C274,$D:$D,"P0(후)",$L:$L,"&gt;0")&lt;&gt;1,"P0(후) 유효 1개 아님",IF(NOT(AND(ISNUMBER(N274),ISNUMBER(P274),ISNUMBER(H274))),"시각 결측",IF(P274&lt;=N274,"P0 시각 역전",IF(OR(H274&lt;N274,H274&gt;P274),"측정시각 구간 밖","OK")))))</f>
        <v/>
      </c>
      <c r="N274" s="45">
        <f>IF(COUNTIFS($C:$C,$C274,$D:$D,"P0(전)",$L:$L,"&gt;0")&lt;&gt;1,"",SUMIFS($H:$H,$C:$C,$C274,$D:$D,"P0(전)"))</f>
        <v/>
      </c>
      <c r="O274" s="30">
        <f>IF(COUNTIFS($C:$C,$C274,$D:$D,"P0(전)",$L:$L,"&gt;0")&lt;&gt;1,"",SUMIFS($L:$L,$C:$C,$C274,$D:$D,"P0(전)"))</f>
        <v/>
      </c>
      <c r="P274" s="45">
        <f>IF(COUNTIFS($C:$C,$C274,$D:$D,"P0(후)",$L:$L,"&gt;0")&lt;&gt;1,"",SUMIFS($H:$H,$C:$C,$C274,$D:$D,"P0(후)"))</f>
        <v/>
      </c>
      <c r="Q274" s="30">
        <f>IF(COUNTIFS($C:$C,$C274,$D:$D,"P0(후)",$L:$L,"&gt;0")&lt;&gt;1,"",SUMIFS($L:$L,$C:$C,$C274,$D:$D,"P0(후)"))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IF(OR(NOT(ISNUMBER(S274)),IF(ISNUMBER(G274),G274,F274)=0),"",S274/IF(ISNUMBER(G274),G274,F274))</f>
        <v/>
      </c>
      <c r="U274" s="46">
        <f>IF(ISNUMBER(T274),ABS(T274),"")</f>
        <v/>
      </c>
      <c r="V274" s="46">
        <f>IF(OR($D273&lt;&gt;"측정",$C273&lt;&gt;$C274,NOT(ISNUMBER(L274)),NOT(ISNUMBER(L273)),(IF(ISNUMBER(G274),G274,F274)-IF(ISNUMBER(G273),G273,F273))=0),"",(L274-L273)/(IF(ISNUMBER(G274),G274,F274)-IF(ISNUMBER(G273),G273,F273)))</f>
        <v/>
      </c>
      <c r="W274" s="30">
        <f>IF(NOT(AND(ISNUMBER(N274),ISNUMBER(P274))),"",(P274-N274)*1440)</f>
        <v/>
      </c>
      <c r="X274" s="28" t="n"/>
      <c r="Y274" s="28" t="n"/>
      <c r="Z274" s="28" t="n"/>
      <c r="AA274" s="31" t="n"/>
      <c r="AB274" s="31" t="n"/>
    </row>
    <row r="275">
      <c r="A275" s="25" t="inlineStr">
        <is>
          <t>S06</t>
        </is>
      </c>
      <c r="B275" s="25" t="inlineStr">
        <is>
          <t>길담 신규점</t>
        </is>
      </c>
      <c r="C275" s="25" t="inlineStr">
        <is>
          <t>S06-H동</t>
        </is>
      </c>
      <c r="D275" s="25" t="inlineStr">
        <is>
          <t>측정</t>
        </is>
      </c>
      <c r="E275" s="25" t="inlineStr">
        <is>
          <t>동</t>
        </is>
      </c>
      <c r="F275" s="30" t="n">
        <v>9</v>
      </c>
      <c r="G275" s="29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IF(COUNTIFS($C:$C,$C275,$D:$D,"P0(전)",$L:$L,"&gt;0")&lt;&gt;1,"P0(전) 유효 1개 아님",IF(COUNTIFS($C:$C,$C275,$D:$D,"P0(후)",$L:$L,"&gt;0")&lt;&gt;1,"P0(후) 유효 1개 아님",IF(NOT(AND(ISNUMBER(N275),ISNUMBER(P275),ISNUMBER(H275))),"시각 결측",IF(P275&lt;=N275,"P0 시각 역전",IF(OR(H275&lt;N275,H275&gt;P275),"측정시각 구간 밖","OK")))))</f>
        <v/>
      </c>
      <c r="N275" s="45">
        <f>IF(COUNTIFS($C:$C,$C275,$D:$D,"P0(전)",$L:$L,"&gt;0")&lt;&gt;1,"",SUMIFS($H:$H,$C:$C,$C275,$D:$D,"P0(전)"))</f>
        <v/>
      </c>
      <c r="O275" s="30">
        <f>IF(COUNTIFS($C:$C,$C275,$D:$D,"P0(전)",$L:$L,"&gt;0")&lt;&gt;1,"",SUMIFS($L:$L,$C:$C,$C275,$D:$D,"P0(전)"))</f>
        <v/>
      </c>
      <c r="P275" s="45">
        <f>IF(COUNTIFS($C:$C,$C275,$D:$D,"P0(후)",$L:$L,"&gt;0")&lt;&gt;1,"",SUMIFS($H:$H,$C:$C,$C275,$D:$D,"P0(후)"))</f>
        <v/>
      </c>
      <c r="Q275" s="30">
        <f>IF(COUNTIFS($C:$C,$C275,$D:$D,"P0(후)",$L:$L,"&gt;0")&lt;&gt;1,"",SUMIFS($L:$L,$C:$C,$C275,$D:$D,"P0(후)"))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IF(OR(NOT(ISNUMBER(S275)),IF(ISNUMBER(G275),G275,F275)=0),"",S275/IF(ISNUMBER(G275),G275,F275))</f>
        <v/>
      </c>
      <c r="U275" s="46">
        <f>IF(ISNUMBER(T275),ABS(T275),"")</f>
        <v/>
      </c>
      <c r="V275" s="46">
        <f>IF(OR($D274&lt;&gt;"측정",$C274&lt;&gt;$C275,NOT(ISNUMBER(L275)),NOT(ISNUMBER(L274)),(IF(ISNUMBER(G275),G275,F275)-IF(ISNUMBER(G274),G274,F274))=0),"",(L275-L274)/(IF(ISNUMBER(G275),G275,F275)-IF(ISNUMBER(G274),G274,F274)))</f>
        <v/>
      </c>
      <c r="W275" s="30">
        <f>IF(NOT(AND(ISNUMBER(N275),ISNUMBER(P275))),"",(P275-N275)*1440)</f>
        <v/>
      </c>
      <c r="X275" s="28" t="n"/>
      <c r="Y275" s="28" t="n"/>
      <c r="Z275" s="28" t="n"/>
      <c r="AA275" s="31" t="n"/>
      <c r="AB275" s="31" t="n"/>
    </row>
    <row r="276">
      <c r="A276" s="25" t="inlineStr">
        <is>
          <t>S06</t>
        </is>
      </c>
      <c r="B276" s="25" t="inlineStr">
        <is>
          <t>길담 신규점</t>
        </is>
      </c>
      <c r="C276" s="25" t="inlineStr">
        <is>
          <t>S06-H동</t>
        </is>
      </c>
      <c r="D276" s="25" t="inlineStr">
        <is>
          <t>측정</t>
        </is>
      </c>
      <c r="E276" s="25" t="inlineStr">
        <is>
          <t>동</t>
        </is>
      </c>
      <c r="F276" s="30" t="n">
        <v>10</v>
      </c>
      <c r="G276" s="29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IF(COUNTIFS($C:$C,$C276,$D:$D,"P0(전)",$L:$L,"&gt;0")&lt;&gt;1,"P0(전) 유효 1개 아님",IF(COUNTIFS($C:$C,$C276,$D:$D,"P0(후)",$L:$L,"&gt;0")&lt;&gt;1,"P0(후) 유효 1개 아님",IF(NOT(AND(ISNUMBER(N276),ISNUMBER(P276),ISNUMBER(H276))),"시각 결측",IF(P276&lt;=N276,"P0 시각 역전",IF(OR(H276&lt;N276,H276&gt;P276),"측정시각 구간 밖","OK")))))</f>
        <v/>
      </c>
      <c r="N276" s="45">
        <f>IF(COUNTIFS($C:$C,$C276,$D:$D,"P0(전)",$L:$L,"&gt;0")&lt;&gt;1,"",SUMIFS($H:$H,$C:$C,$C276,$D:$D,"P0(전)"))</f>
        <v/>
      </c>
      <c r="O276" s="30">
        <f>IF(COUNTIFS($C:$C,$C276,$D:$D,"P0(전)",$L:$L,"&gt;0")&lt;&gt;1,"",SUMIFS($L:$L,$C:$C,$C276,$D:$D,"P0(전)"))</f>
        <v/>
      </c>
      <c r="P276" s="45">
        <f>IF(COUNTIFS($C:$C,$C276,$D:$D,"P0(후)",$L:$L,"&gt;0")&lt;&gt;1,"",SUMIFS($H:$H,$C:$C,$C276,$D:$D,"P0(후)"))</f>
        <v/>
      </c>
      <c r="Q276" s="30">
        <f>IF(COUNTIFS($C:$C,$C276,$D:$D,"P0(후)",$L:$L,"&gt;0")&lt;&gt;1,"",SUMIFS($L:$L,$C:$C,$C276,$D:$D,"P0(후)"))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IF(OR(NOT(ISNUMBER(S276)),IF(ISNUMBER(G276),G276,F276)=0),"",S276/IF(ISNUMBER(G276),G276,F276))</f>
        <v/>
      </c>
      <c r="U276" s="46">
        <f>IF(ISNUMBER(T276),ABS(T276),"")</f>
        <v/>
      </c>
      <c r="V276" s="46">
        <f>IF(OR($D275&lt;&gt;"측정",$C275&lt;&gt;$C276,NOT(ISNUMBER(L276)),NOT(ISNUMBER(L275)),(IF(ISNUMBER(G276),G276,F276)-IF(ISNUMBER(G275),G275,F275))=0),"",(L276-L275)/(IF(ISNUMBER(G276),G276,F276)-IF(ISNUMBER(G275),G275,F275)))</f>
        <v/>
      </c>
      <c r="W276" s="30">
        <f>IF(NOT(AND(ISNUMBER(N276),ISNUMBER(P276))),"",(P276-N276)*1440)</f>
        <v/>
      </c>
      <c r="X276" s="28" t="n"/>
      <c r="Y276" s="28" t="n"/>
      <c r="Z276" s="28" t="n"/>
      <c r="AA276" s="31" t="n"/>
      <c r="AB276" s="31" t="n"/>
    </row>
    <row r="277">
      <c r="A277" s="43" t="inlineStr">
        <is>
          <t>S06</t>
        </is>
      </c>
      <c r="B277" s="43" t="inlineStr">
        <is>
          <t>길담 신규점</t>
        </is>
      </c>
      <c r="C277" s="43" t="inlineStr">
        <is>
          <t>S06-H동</t>
        </is>
      </c>
      <c r="D277" s="43" t="inlineStr">
        <is>
          <t>P0(후)</t>
        </is>
      </c>
      <c r="E277" s="43" t="inlineStr">
        <is>
          <t>동</t>
        </is>
      </c>
      <c r="F277" s="44" t="n"/>
      <c r="G277" s="29" t="n"/>
      <c r="H277" s="42" t="n"/>
      <c r="I277" s="40" t="n"/>
      <c r="J277" s="40" t="n"/>
      <c r="K277" s="40" t="n"/>
      <c r="L277" s="30">
        <f>IF(COUNT(I277:K277)=0,"",MEDIAN(I277:K277))</f>
        <v/>
      </c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28" t="n"/>
      <c r="Y277" s="28" t="n"/>
      <c r="Z277" s="28" t="n"/>
      <c r="AA277" s="31" t="n"/>
      <c r="AB277" s="31" t="n"/>
    </row>
    <row r="278">
      <c r="A278" s="43" t="inlineStr">
        <is>
          <t>S06</t>
        </is>
      </c>
      <c r="B278" s="43" t="inlineStr">
        <is>
          <t>길담 신규점</t>
        </is>
      </c>
      <c r="C278" s="43" t="inlineStr">
        <is>
          <t>S06-H서</t>
        </is>
      </c>
      <c r="D278" s="43" t="inlineStr">
        <is>
          <t>P0(전)</t>
        </is>
      </c>
      <c r="E278" s="43" t="inlineStr">
        <is>
          <t>서</t>
        </is>
      </c>
      <c r="F278" s="44" t="n"/>
      <c r="G278" s="29" t="n"/>
      <c r="H278" s="42" t="n"/>
      <c r="I278" s="40" t="n"/>
      <c r="J278" s="40" t="n"/>
      <c r="K278" s="40" t="n"/>
      <c r="L278" s="30">
        <f>IF(COUNT(I278:K278)=0,"",MEDIAN(I278:K278))</f>
        <v/>
      </c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28" t="n"/>
      <c r="Y278" s="28" t="n"/>
      <c r="Z278" s="28" t="n"/>
      <c r="AA278" s="31" t="n"/>
      <c r="AB278" s="31" t="n"/>
    </row>
    <row r="279">
      <c r="A279" s="25" t="inlineStr">
        <is>
          <t>S06</t>
        </is>
      </c>
      <c r="B279" s="25" t="inlineStr">
        <is>
          <t>길담 신규점</t>
        </is>
      </c>
      <c r="C279" s="25" t="inlineStr">
        <is>
          <t>S06-H서</t>
        </is>
      </c>
      <c r="D279" s="25" t="inlineStr">
        <is>
          <t>측정</t>
        </is>
      </c>
      <c r="E279" s="25" t="inlineStr">
        <is>
          <t>서</t>
        </is>
      </c>
      <c r="F279" s="30" t="n">
        <v>0.5</v>
      </c>
      <c r="G279" s="29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IF(COUNTIFS($C:$C,$C279,$D:$D,"P0(전)",$L:$L,"&gt;0")&lt;&gt;1,"P0(전) 유효 1개 아님",IF(COUNTIFS($C:$C,$C279,$D:$D,"P0(후)",$L:$L,"&gt;0")&lt;&gt;1,"P0(후) 유효 1개 아님",IF(NOT(AND(ISNUMBER(N279),ISNUMBER(P279),ISNUMBER(H279))),"시각 결측",IF(P279&lt;=N279,"P0 시각 역전",IF(OR(H279&lt;N279,H279&gt;P279),"측정시각 구간 밖","OK")))))</f>
        <v/>
      </c>
      <c r="N279" s="45">
        <f>IF(COUNTIFS($C:$C,$C279,$D:$D,"P0(전)",$L:$L,"&gt;0")&lt;&gt;1,"",SUMIFS($H:$H,$C:$C,$C279,$D:$D,"P0(전)"))</f>
        <v/>
      </c>
      <c r="O279" s="30">
        <f>IF(COUNTIFS($C:$C,$C279,$D:$D,"P0(전)",$L:$L,"&gt;0")&lt;&gt;1,"",SUMIFS($L:$L,$C:$C,$C279,$D:$D,"P0(전)"))</f>
        <v/>
      </c>
      <c r="P279" s="45">
        <f>IF(COUNTIFS($C:$C,$C279,$D:$D,"P0(후)",$L:$L,"&gt;0")&lt;&gt;1,"",SUMIFS($H:$H,$C:$C,$C279,$D:$D,"P0(후)"))</f>
        <v/>
      </c>
      <c r="Q279" s="30">
        <f>IF(COUNTIFS($C:$C,$C279,$D:$D,"P0(후)",$L:$L,"&gt;0")&lt;&gt;1,"",SUMIFS($L:$L,$C:$C,$C279,$D:$D,"P0(후)"))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IF(OR(NOT(ISNUMBER(S279)),IF(ISNUMBER(G279),G279,F279)=0),"",S279/IF(ISNUMBER(G279),G279,F279))</f>
        <v/>
      </c>
      <c r="U279" s="46">
        <f>IF(ISNUMBER(T279),ABS(T279),"")</f>
        <v/>
      </c>
      <c r="V279" s="46">
        <f>IF(OR($D278&lt;&gt;"측정",$C278&lt;&gt;$C279,NOT(ISNUMBER(L279)),NOT(ISNUMBER(L278)),(IF(ISNUMBER(G279),G279,F279)-IF(ISNUMBER(G278),G278,F278))=0),"",(L279-L278)/(IF(ISNUMBER(G279),G279,F279)-IF(ISNUMBER(G278),G278,F278)))</f>
        <v/>
      </c>
      <c r="W279" s="30">
        <f>IF(NOT(AND(ISNUMBER(N279),ISNUMBER(P279))),"",(P279-N279)*1440)</f>
        <v/>
      </c>
      <c r="X279" s="28" t="n"/>
      <c r="Y279" s="28" t="n"/>
      <c r="Z279" s="28" t="n"/>
      <c r="AA279" s="31" t="n"/>
      <c r="AB279" s="31" t="n"/>
    </row>
    <row r="280">
      <c r="A280" s="25" t="inlineStr">
        <is>
          <t>S06</t>
        </is>
      </c>
      <c r="B280" s="25" t="inlineStr">
        <is>
          <t>길담 신규점</t>
        </is>
      </c>
      <c r="C280" s="25" t="inlineStr">
        <is>
          <t>S06-H서</t>
        </is>
      </c>
      <c r="D280" s="25" t="inlineStr">
        <is>
          <t>측정</t>
        </is>
      </c>
      <c r="E280" s="25" t="inlineStr">
        <is>
          <t>서</t>
        </is>
      </c>
      <c r="F280" s="30" t="n">
        <v>1</v>
      </c>
      <c r="G280" s="29" t="n"/>
      <c r="H280" s="42" t="n"/>
      <c r="I280" s="40" t="n"/>
      <c r="J280" s="40" t="n"/>
      <c r="K280" s="40" t="n"/>
      <c r="L280" s="30">
        <f>IF(COUNT(I280:K280)=0,"",MEDIAN(I280:K280))</f>
        <v/>
      </c>
      <c r="M280" s="25">
        <f>IF(COUNTIFS($C:$C,$C280,$D:$D,"P0(전)",$L:$L,"&gt;0")&lt;&gt;1,"P0(전) 유효 1개 아님",IF(COUNTIFS($C:$C,$C280,$D:$D,"P0(후)",$L:$L,"&gt;0")&lt;&gt;1,"P0(후) 유효 1개 아님",IF(NOT(AND(ISNUMBER(N280),ISNUMBER(P280),ISNUMBER(H280))),"시각 결측",IF(P280&lt;=N280,"P0 시각 역전",IF(OR(H280&lt;N280,H280&gt;P280),"측정시각 구간 밖","OK")))))</f>
        <v/>
      </c>
      <c r="N280" s="45">
        <f>IF(COUNTIFS($C:$C,$C280,$D:$D,"P0(전)",$L:$L,"&gt;0")&lt;&gt;1,"",SUMIFS($H:$H,$C:$C,$C280,$D:$D,"P0(전)"))</f>
        <v/>
      </c>
      <c r="O280" s="30">
        <f>IF(COUNTIFS($C:$C,$C280,$D:$D,"P0(전)",$L:$L,"&gt;0")&lt;&gt;1,"",SUMIFS($L:$L,$C:$C,$C280,$D:$D,"P0(전)"))</f>
        <v/>
      </c>
      <c r="P280" s="45">
        <f>IF(COUNTIFS($C:$C,$C280,$D:$D,"P0(후)",$L:$L,"&gt;0")&lt;&gt;1,"",SUMIFS($H:$H,$C:$C,$C280,$D:$D,"P0(후)"))</f>
        <v/>
      </c>
      <c r="Q280" s="30">
        <f>IF(COUNTIFS($C:$C,$C280,$D:$D,"P0(후)",$L:$L,"&gt;0")&lt;&gt;1,"",SUMIFS($L:$L,$C:$C,$C280,$D:$D,"P0(후)"))</f>
        <v/>
      </c>
      <c r="R280" s="30">
        <f>IF(M280&lt;&gt;"OK","",O280+(Q280-O280)*(H280-N280)/(P280-N280))</f>
        <v/>
      </c>
      <c r="S280" s="30">
        <f>IF(OR(M280&lt;&gt;"OK",NOT(ISNUMBER(L280))),"",L280-R280)</f>
        <v/>
      </c>
      <c r="T280" s="46">
        <f>IF(OR(NOT(ISNUMBER(S280)),IF(ISNUMBER(G280),G280,F280)=0),"",S280/IF(ISNUMBER(G280),G280,F280))</f>
        <v/>
      </c>
      <c r="U280" s="46">
        <f>IF(ISNUMBER(T280),ABS(T280),"")</f>
        <v/>
      </c>
      <c r="V280" s="46">
        <f>IF(OR($D279&lt;&gt;"측정",$C279&lt;&gt;$C280,NOT(ISNUMBER(L280)),NOT(ISNUMBER(L279)),(IF(ISNUMBER(G280),G280,F280)-IF(ISNUMBER(G279),G279,F279))=0),"",(L280-L279)/(IF(ISNUMBER(G280),G280,F280)-IF(ISNUMBER(G279),G279,F279)))</f>
        <v/>
      </c>
      <c r="W280" s="30">
        <f>IF(NOT(AND(ISNUMBER(N280),ISNUMBER(P280))),"",(P280-N280)*1440)</f>
        <v/>
      </c>
      <c r="X280" s="28" t="n"/>
      <c r="Y280" s="28" t="n"/>
      <c r="Z280" s="28" t="n"/>
      <c r="AA280" s="31" t="n"/>
      <c r="AB280" s="31" t="n"/>
    </row>
    <row r="281">
      <c r="A281" s="25" t="inlineStr">
        <is>
          <t>S06</t>
        </is>
      </c>
      <c r="B281" s="25" t="inlineStr">
        <is>
          <t>길담 신규점</t>
        </is>
      </c>
      <c r="C281" s="25" t="inlineStr">
        <is>
          <t>S06-H서</t>
        </is>
      </c>
      <c r="D281" s="25" t="inlineStr">
        <is>
          <t>측정</t>
        </is>
      </c>
      <c r="E281" s="25" t="inlineStr">
        <is>
          <t>서</t>
        </is>
      </c>
      <c r="F281" s="30" t="n">
        <v>2</v>
      </c>
      <c r="G281" s="29" t="n"/>
      <c r="H281" s="42" t="n"/>
      <c r="I281" s="40" t="n"/>
      <c r="J281" s="40" t="n"/>
      <c r="K281" s="40" t="n"/>
      <c r="L281" s="30">
        <f>IF(COUNT(I281:K281)=0,"",MEDIAN(I281:K281))</f>
        <v/>
      </c>
      <c r="M281" s="25">
        <f>IF(COUNTIFS($C:$C,$C281,$D:$D,"P0(전)",$L:$L,"&gt;0")&lt;&gt;1,"P0(전) 유효 1개 아님",IF(COUNTIFS($C:$C,$C281,$D:$D,"P0(후)",$L:$L,"&gt;0")&lt;&gt;1,"P0(후) 유효 1개 아님",IF(NOT(AND(ISNUMBER(N281),ISNUMBER(P281),ISNUMBER(H281))),"시각 결측",IF(P281&lt;=N281,"P0 시각 역전",IF(OR(H281&lt;N281,H281&gt;P281),"측정시각 구간 밖","OK")))))</f>
        <v/>
      </c>
      <c r="N281" s="45">
        <f>IF(COUNTIFS($C:$C,$C281,$D:$D,"P0(전)",$L:$L,"&gt;0")&lt;&gt;1,"",SUMIFS($H:$H,$C:$C,$C281,$D:$D,"P0(전)"))</f>
        <v/>
      </c>
      <c r="O281" s="30">
        <f>IF(COUNTIFS($C:$C,$C281,$D:$D,"P0(전)",$L:$L,"&gt;0")&lt;&gt;1,"",SUMIFS($L:$L,$C:$C,$C281,$D:$D,"P0(전)"))</f>
        <v/>
      </c>
      <c r="P281" s="45">
        <f>IF(COUNTIFS($C:$C,$C281,$D:$D,"P0(후)",$L:$L,"&gt;0")&lt;&gt;1,"",SUMIFS($H:$H,$C:$C,$C281,$D:$D,"P0(후)"))</f>
        <v/>
      </c>
      <c r="Q281" s="30">
        <f>IF(COUNTIFS($C:$C,$C281,$D:$D,"P0(후)",$L:$L,"&gt;0")&lt;&gt;1,"",SUMIFS($L:$L,$C:$C,$C281,$D:$D,"P0(후)"))</f>
        <v/>
      </c>
      <c r="R281" s="30">
        <f>IF(M281&lt;&gt;"OK","",O281+(Q281-O281)*(H281-N281)/(P281-N281))</f>
        <v/>
      </c>
      <c r="S281" s="30">
        <f>IF(OR(M281&lt;&gt;"OK",NOT(ISNUMBER(L281))),"",L281-R281)</f>
        <v/>
      </c>
      <c r="T281" s="46">
        <f>IF(OR(NOT(ISNUMBER(S281)),IF(ISNUMBER(G281),G281,F281)=0),"",S281/IF(ISNUMBER(G281),G281,F281))</f>
        <v/>
      </c>
      <c r="U281" s="46">
        <f>IF(ISNUMBER(T281),ABS(T281),"")</f>
        <v/>
      </c>
      <c r="V281" s="46">
        <f>IF(OR($D280&lt;&gt;"측정",$C280&lt;&gt;$C281,NOT(ISNUMBER(L281)),NOT(ISNUMBER(L280)),(IF(ISNUMBER(G281),G281,F281)-IF(ISNUMBER(G280),G280,F280))=0),"",(L281-L280)/(IF(ISNUMBER(G281),G281,F281)-IF(ISNUMBER(G280),G280,F280)))</f>
        <v/>
      </c>
      <c r="W281" s="30">
        <f>IF(NOT(AND(ISNUMBER(N281),ISNUMBER(P281))),"",(P281-N281)*1440)</f>
        <v/>
      </c>
      <c r="X281" s="28" t="n"/>
      <c r="Y281" s="28" t="n"/>
      <c r="Z281" s="28" t="n"/>
      <c r="AA281" s="31" t="n"/>
      <c r="AB281" s="31" t="n"/>
    </row>
    <row r="282">
      <c r="A282" s="25" t="inlineStr">
        <is>
          <t>S06</t>
        </is>
      </c>
      <c r="B282" s="25" t="inlineStr">
        <is>
          <t>길담 신규점</t>
        </is>
      </c>
      <c r="C282" s="25" t="inlineStr">
        <is>
          <t>S06-H서</t>
        </is>
      </c>
      <c r="D282" s="25" t="inlineStr">
        <is>
          <t>측정</t>
        </is>
      </c>
      <c r="E282" s="25" t="inlineStr">
        <is>
          <t>서</t>
        </is>
      </c>
      <c r="F282" s="30" t="n">
        <v>3</v>
      </c>
      <c r="G282" s="29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IF(COUNTIFS($C:$C,$C282,$D:$D,"P0(전)",$L:$L,"&gt;0")&lt;&gt;1,"P0(전) 유효 1개 아님",IF(COUNTIFS($C:$C,$C282,$D:$D,"P0(후)",$L:$L,"&gt;0")&lt;&gt;1,"P0(후) 유효 1개 아님",IF(NOT(AND(ISNUMBER(N282),ISNUMBER(P282),ISNUMBER(H282))),"시각 결측",IF(P282&lt;=N282,"P0 시각 역전",IF(OR(H282&lt;N282,H282&gt;P282),"측정시각 구간 밖","OK")))))</f>
        <v/>
      </c>
      <c r="N282" s="45">
        <f>IF(COUNTIFS($C:$C,$C282,$D:$D,"P0(전)",$L:$L,"&gt;0")&lt;&gt;1,"",SUMIFS($H:$H,$C:$C,$C282,$D:$D,"P0(전)"))</f>
        <v/>
      </c>
      <c r="O282" s="30">
        <f>IF(COUNTIFS($C:$C,$C282,$D:$D,"P0(전)",$L:$L,"&gt;0")&lt;&gt;1,"",SUMIFS($L:$L,$C:$C,$C282,$D:$D,"P0(전)"))</f>
        <v/>
      </c>
      <c r="P282" s="45">
        <f>IF(COUNTIFS($C:$C,$C282,$D:$D,"P0(후)",$L:$L,"&gt;0")&lt;&gt;1,"",SUMIFS($H:$H,$C:$C,$C282,$D:$D,"P0(후)"))</f>
        <v/>
      </c>
      <c r="Q282" s="30">
        <f>IF(COUNTIFS($C:$C,$C282,$D:$D,"P0(후)",$L:$L,"&gt;0")&lt;&gt;1,"",SUMIFS($L:$L,$C:$C,$C282,$D:$D,"P0(후)"))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IF(OR(NOT(ISNUMBER(S282)),IF(ISNUMBER(G282),G282,F282)=0),"",S282/IF(ISNUMBER(G282),G282,F282))</f>
        <v/>
      </c>
      <c r="U282" s="46">
        <f>IF(ISNUMBER(T282),ABS(T282),"")</f>
        <v/>
      </c>
      <c r="V282" s="46">
        <f>IF(OR($D281&lt;&gt;"측정",$C281&lt;&gt;$C282,NOT(ISNUMBER(L282)),NOT(ISNUMBER(L281)),(IF(ISNUMBER(G282),G282,F282)-IF(ISNUMBER(G281),G281,F281))=0),"",(L282-L281)/(IF(ISNUMBER(G282),G282,F282)-IF(ISNUMBER(G281),G281,F281)))</f>
        <v/>
      </c>
      <c r="W282" s="30">
        <f>IF(NOT(AND(ISNUMBER(N282),ISNUMBER(P282))),"",(P282-N282)*1440)</f>
        <v/>
      </c>
      <c r="X282" s="28" t="n"/>
      <c r="Y282" s="28" t="n"/>
      <c r="Z282" s="28" t="n"/>
      <c r="AA282" s="31" t="n"/>
      <c r="AB282" s="31" t="n"/>
    </row>
    <row r="283">
      <c r="A283" s="25" t="inlineStr">
        <is>
          <t>S06</t>
        </is>
      </c>
      <c r="B283" s="25" t="inlineStr">
        <is>
          <t>길담 신규점</t>
        </is>
      </c>
      <c r="C283" s="25" t="inlineStr">
        <is>
          <t>S06-H서</t>
        </is>
      </c>
      <c r="D283" s="25" t="inlineStr">
        <is>
          <t>측정</t>
        </is>
      </c>
      <c r="E283" s="25" t="inlineStr">
        <is>
          <t>서</t>
        </is>
      </c>
      <c r="F283" s="30" t="n">
        <v>4</v>
      </c>
      <c r="G283" s="29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IF(COUNTIFS($C:$C,$C283,$D:$D,"P0(전)",$L:$L,"&gt;0")&lt;&gt;1,"P0(전) 유효 1개 아님",IF(COUNTIFS($C:$C,$C283,$D:$D,"P0(후)",$L:$L,"&gt;0")&lt;&gt;1,"P0(후) 유효 1개 아님",IF(NOT(AND(ISNUMBER(N283),ISNUMBER(P283),ISNUMBER(H283))),"시각 결측",IF(P283&lt;=N283,"P0 시각 역전",IF(OR(H283&lt;N283,H283&gt;P283),"측정시각 구간 밖","OK")))))</f>
        <v/>
      </c>
      <c r="N283" s="45">
        <f>IF(COUNTIFS($C:$C,$C283,$D:$D,"P0(전)",$L:$L,"&gt;0")&lt;&gt;1,"",SUMIFS($H:$H,$C:$C,$C283,$D:$D,"P0(전)"))</f>
        <v/>
      </c>
      <c r="O283" s="30">
        <f>IF(COUNTIFS($C:$C,$C283,$D:$D,"P0(전)",$L:$L,"&gt;0")&lt;&gt;1,"",SUMIFS($L:$L,$C:$C,$C283,$D:$D,"P0(전)"))</f>
        <v/>
      </c>
      <c r="P283" s="45">
        <f>IF(COUNTIFS($C:$C,$C283,$D:$D,"P0(후)",$L:$L,"&gt;0")&lt;&gt;1,"",SUMIFS($H:$H,$C:$C,$C283,$D:$D,"P0(후)"))</f>
        <v/>
      </c>
      <c r="Q283" s="30">
        <f>IF(COUNTIFS($C:$C,$C283,$D:$D,"P0(후)",$L:$L,"&gt;0")&lt;&gt;1,"",SUMIFS($L:$L,$C:$C,$C283,$D:$D,"P0(후)"))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IF(OR(NOT(ISNUMBER(S283)),IF(ISNUMBER(G283),G283,F283)=0),"",S283/IF(ISNUMBER(G283),G283,F283))</f>
        <v/>
      </c>
      <c r="U283" s="46">
        <f>IF(ISNUMBER(T283),ABS(T283),"")</f>
        <v/>
      </c>
      <c r="V283" s="46">
        <f>IF(OR($D282&lt;&gt;"측정",$C282&lt;&gt;$C283,NOT(ISNUMBER(L283)),NOT(ISNUMBER(L282)),(IF(ISNUMBER(G283),G283,F283)-IF(ISNUMBER(G282),G282,F282))=0),"",(L283-L282)/(IF(ISNUMBER(G283),G283,F283)-IF(ISNUMBER(G282),G282,F282)))</f>
        <v/>
      </c>
      <c r="W283" s="30">
        <f>IF(NOT(AND(ISNUMBER(N283),ISNUMBER(P283))),"",(P283-N283)*1440)</f>
        <v/>
      </c>
      <c r="X283" s="28" t="n"/>
      <c r="Y283" s="28" t="n"/>
      <c r="Z283" s="28" t="n"/>
      <c r="AA283" s="31" t="n"/>
      <c r="AB283" s="31" t="n"/>
    </row>
    <row r="284">
      <c r="A284" s="25" t="inlineStr">
        <is>
          <t>S06</t>
        </is>
      </c>
      <c r="B284" s="25" t="inlineStr">
        <is>
          <t>길담 신규점</t>
        </is>
      </c>
      <c r="C284" s="25" t="inlineStr">
        <is>
          <t>S06-H서</t>
        </is>
      </c>
      <c r="D284" s="25" t="inlineStr">
        <is>
          <t>측정</t>
        </is>
      </c>
      <c r="E284" s="25" t="inlineStr">
        <is>
          <t>서</t>
        </is>
      </c>
      <c r="F284" s="30" t="n">
        <v>5</v>
      </c>
      <c r="G284" s="29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IF(COUNTIFS($C:$C,$C284,$D:$D,"P0(전)",$L:$L,"&gt;0")&lt;&gt;1,"P0(전) 유효 1개 아님",IF(COUNTIFS($C:$C,$C284,$D:$D,"P0(후)",$L:$L,"&gt;0")&lt;&gt;1,"P0(후) 유효 1개 아님",IF(NOT(AND(ISNUMBER(N284),ISNUMBER(P284),ISNUMBER(H284))),"시각 결측",IF(P284&lt;=N284,"P0 시각 역전",IF(OR(H284&lt;N284,H284&gt;P284),"측정시각 구간 밖","OK")))))</f>
        <v/>
      </c>
      <c r="N284" s="45">
        <f>IF(COUNTIFS($C:$C,$C284,$D:$D,"P0(전)",$L:$L,"&gt;0")&lt;&gt;1,"",SUMIFS($H:$H,$C:$C,$C284,$D:$D,"P0(전)"))</f>
        <v/>
      </c>
      <c r="O284" s="30">
        <f>IF(COUNTIFS($C:$C,$C284,$D:$D,"P0(전)",$L:$L,"&gt;0")&lt;&gt;1,"",SUMIFS($L:$L,$C:$C,$C284,$D:$D,"P0(전)"))</f>
        <v/>
      </c>
      <c r="P284" s="45">
        <f>IF(COUNTIFS($C:$C,$C284,$D:$D,"P0(후)",$L:$L,"&gt;0")&lt;&gt;1,"",SUMIFS($H:$H,$C:$C,$C284,$D:$D,"P0(후)"))</f>
        <v/>
      </c>
      <c r="Q284" s="30">
        <f>IF(COUNTIFS($C:$C,$C284,$D:$D,"P0(후)",$L:$L,"&gt;0")&lt;&gt;1,"",SUMIFS($L:$L,$C:$C,$C284,$D:$D,"P0(후)"))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IF(OR(NOT(ISNUMBER(S284)),IF(ISNUMBER(G284),G284,F284)=0),"",S284/IF(ISNUMBER(G284),G284,F284))</f>
        <v/>
      </c>
      <c r="U284" s="46">
        <f>IF(ISNUMBER(T284),ABS(T284),"")</f>
        <v/>
      </c>
      <c r="V284" s="46">
        <f>IF(OR($D283&lt;&gt;"측정",$C283&lt;&gt;$C284,NOT(ISNUMBER(L284)),NOT(ISNUMBER(L283)),(IF(ISNUMBER(G284),G284,F284)-IF(ISNUMBER(G283),G283,F283))=0),"",(L284-L283)/(IF(ISNUMBER(G284),G284,F284)-IF(ISNUMBER(G283),G283,F283)))</f>
        <v/>
      </c>
      <c r="W284" s="30">
        <f>IF(NOT(AND(ISNUMBER(N284),ISNUMBER(P284))),"",(P284-N284)*1440)</f>
        <v/>
      </c>
      <c r="X284" s="28" t="n"/>
      <c r="Y284" s="28" t="n"/>
      <c r="Z284" s="28" t="n"/>
      <c r="AA284" s="31" t="n"/>
      <c r="AB284" s="31" t="n"/>
    </row>
    <row r="285">
      <c r="A285" s="25" t="inlineStr">
        <is>
          <t>S06</t>
        </is>
      </c>
      <c r="B285" s="25" t="inlineStr">
        <is>
          <t>길담 신규점</t>
        </is>
      </c>
      <c r="C285" s="25" t="inlineStr">
        <is>
          <t>S06-H서</t>
        </is>
      </c>
      <c r="D285" s="25" t="inlineStr">
        <is>
          <t>측정</t>
        </is>
      </c>
      <c r="E285" s="25" t="inlineStr">
        <is>
          <t>서</t>
        </is>
      </c>
      <c r="F285" s="30" t="n">
        <v>6</v>
      </c>
      <c r="G285" s="29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IF(COUNTIFS($C:$C,$C285,$D:$D,"P0(전)",$L:$L,"&gt;0")&lt;&gt;1,"P0(전) 유효 1개 아님",IF(COUNTIFS($C:$C,$C285,$D:$D,"P0(후)",$L:$L,"&gt;0")&lt;&gt;1,"P0(후) 유효 1개 아님",IF(NOT(AND(ISNUMBER(N285),ISNUMBER(P285),ISNUMBER(H285))),"시각 결측",IF(P285&lt;=N285,"P0 시각 역전",IF(OR(H285&lt;N285,H285&gt;P285),"측정시각 구간 밖","OK")))))</f>
        <v/>
      </c>
      <c r="N285" s="45">
        <f>IF(COUNTIFS($C:$C,$C285,$D:$D,"P0(전)",$L:$L,"&gt;0")&lt;&gt;1,"",SUMIFS($H:$H,$C:$C,$C285,$D:$D,"P0(전)"))</f>
        <v/>
      </c>
      <c r="O285" s="30">
        <f>IF(COUNTIFS($C:$C,$C285,$D:$D,"P0(전)",$L:$L,"&gt;0")&lt;&gt;1,"",SUMIFS($L:$L,$C:$C,$C285,$D:$D,"P0(전)"))</f>
        <v/>
      </c>
      <c r="P285" s="45">
        <f>IF(COUNTIFS($C:$C,$C285,$D:$D,"P0(후)",$L:$L,"&gt;0")&lt;&gt;1,"",SUMIFS($H:$H,$C:$C,$C285,$D:$D,"P0(후)"))</f>
        <v/>
      </c>
      <c r="Q285" s="30">
        <f>IF(COUNTIFS($C:$C,$C285,$D:$D,"P0(후)",$L:$L,"&gt;0")&lt;&gt;1,"",SUMIFS($L:$L,$C:$C,$C285,$D:$D,"P0(후)"))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IF(OR(NOT(ISNUMBER(S285)),IF(ISNUMBER(G285),G285,F285)=0),"",S285/IF(ISNUMBER(G285),G285,F285))</f>
        <v/>
      </c>
      <c r="U285" s="46">
        <f>IF(ISNUMBER(T285),ABS(T285),"")</f>
        <v/>
      </c>
      <c r="V285" s="46">
        <f>IF(OR($D284&lt;&gt;"측정",$C284&lt;&gt;$C285,NOT(ISNUMBER(L285)),NOT(ISNUMBER(L284)),(IF(ISNUMBER(G285),G285,F285)-IF(ISNUMBER(G284),G284,F284))=0),"",(L285-L284)/(IF(ISNUMBER(G285),G285,F285)-IF(ISNUMBER(G284),G284,F284)))</f>
        <v/>
      </c>
      <c r="W285" s="30">
        <f>IF(NOT(AND(ISNUMBER(N285),ISNUMBER(P285))),"",(P285-N285)*1440)</f>
        <v/>
      </c>
      <c r="X285" s="28" t="n"/>
      <c r="Y285" s="28" t="n"/>
      <c r="Z285" s="28" t="n"/>
      <c r="AA285" s="31" t="n"/>
      <c r="AB285" s="31" t="n"/>
    </row>
    <row r="286">
      <c r="A286" s="25" t="inlineStr">
        <is>
          <t>S06</t>
        </is>
      </c>
      <c r="B286" s="25" t="inlineStr">
        <is>
          <t>길담 신규점</t>
        </is>
      </c>
      <c r="C286" s="25" t="inlineStr">
        <is>
          <t>S06-H서</t>
        </is>
      </c>
      <c r="D286" s="25" t="inlineStr">
        <is>
          <t>측정</t>
        </is>
      </c>
      <c r="E286" s="25" t="inlineStr">
        <is>
          <t>서</t>
        </is>
      </c>
      <c r="F286" s="30" t="n">
        <v>7</v>
      </c>
      <c r="G286" s="29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IF(COUNTIFS($C:$C,$C286,$D:$D,"P0(전)",$L:$L,"&gt;0")&lt;&gt;1,"P0(전) 유효 1개 아님",IF(COUNTIFS($C:$C,$C286,$D:$D,"P0(후)",$L:$L,"&gt;0")&lt;&gt;1,"P0(후) 유효 1개 아님",IF(NOT(AND(ISNUMBER(N286),ISNUMBER(P286),ISNUMBER(H286))),"시각 결측",IF(P286&lt;=N286,"P0 시각 역전",IF(OR(H286&lt;N286,H286&gt;P286),"측정시각 구간 밖","OK")))))</f>
        <v/>
      </c>
      <c r="N286" s="45">
        <f>IF(COUNTIFS($C:$C,$C286,$D:$D,"P0(전)",$L:$L,"&gt;0")&lt;&gt;1,"",SUMIFS($H:$H,$C:$C,$C286,$D:$D,"P0(전)"))</f>
        <v/>
      </c>
      <c r="O286" s="30">
        <f>IF(COUNTIFS($C:$C,$C286,$D:$D,"P0(전)",$L:$L,"&gt;0")&lt;&gt;1,"",SUMIFS($L:$L,$C:$C,$C286,$D:$D,"P0(전)"))</f>
        <v/>
      </c>
      <c r="P286" s="45">
        <f>IF(COUNTIFS($C:$C,$C286,$D:$D,"P0(후)",$L:$L,"&gt;0")&lt;&gt;1,"",SUMIFS($H:$H,$C:$C,$C286,$D:$D,"P0(후)"))</f>
        <v/>
      </c>
      <c r="Q286" s="30">
        <f>IF(COUNTIFS($C:$C,$C286,$D:$D,"P0(후)",$L:$L,"&gt;0")&lt;&gt;1,"",SUMIFS($L:$L,$C:$C,$C286,$D:$D,"P0(후)"))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IF(OR(NOT(ISNUMBER(S286)),IF(ISNUMBER(G286),G286,F286)=0),"",S286/IF(ISNUMBER(G286),G286,F286))</f>
        <v/>
      </c>
      <c r="U286" s="46">
        <f>IF(ISNUMBER(T286),ABS(T286),"")</f>
        <v/>
      </c>
      <c r="V286" s="46">
        <f>IF(OR($D285&lt;&gt;"측정",$C285&lt;&gt;$C286,NOT(ISNUMBER(L286)),NOT(ISNUMBER(L285)),(IF(ISNUMBER(G286),G286,F286)-IF(ISNUMBER(G285),G285,F285))=0),"",(L286-L285)/(IF(ISNUMBER(G286),G286,F286)-IF(ISNUMBER(G285),G285,F285)))</f>
        <v/>
      </c>
      <c r="W286" s="30">
        <f>IF(NOT(AND(ISNUMBER(N286),ISNUMBER(P286))),"",(P286-N286)*1440)</f>
        <v/>
      </c>
      <c r="X286" s="28" t="n"/>
      <c r="Y286" s="28" t="n"/>
      <c r="Z286" s="28" t="n"/>
      <c r="AA286" s="31" t="n"/>
      <c r="AB286" s="31" t="n"/>
    </row>
    <row r="287">
      <c r="A287" s="25" t="inlineStr">
        <is>
          <t>S06</t>
        </is>
      </c>
      <c r="B287" s="25" t="inlineStr">
        <is>
          <t>길담 신규점</t>
        </is>
      </c>
      <c r="C287" s="25" t="inlineStr">
        <is>
          <t>S06-H서</t>
        </is>
      </c>
      <c r="D287" s="25" t="inlineStr">
        <is>
          <t>측정</t>
        </is>
      </c>
      <c r="E287" s="25" t="inlineStr">
        <is>
          <t>서</t>
        </is>
      </c>
      <c r="F287" s="30" t="n">
        <v>8</v>
      </c>
      <c r="G287" s="29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IF(COUNTIFS($C:$C,$C287,$D:$D,"P0(전)",$L:$L,"&gt;0")&lt;&gt;1,"P0(전) 유효 1개 아님",IF(COUNTIFS($C:$C,$C287,$D:$D,"P0(후)",$L:$L,"&gt;0")&lt;&gt;1,"P0(후) 유효 1개 아님",IF(NOT(AND(ISNUMBER(N287),ISNUMBER(P287),ISNUMBER(H287))),"시각 결측",IF(P287&lt;=N287,"P0 시각 역전",IF(OR(H287&lt;N287,H287&gt;P287),"측정시각 구간 밖","OK")))))</f>
        <v/>
      </c>
      <c r="N287" s="45">
        <f>IF(COUNTIFS($C:$C,$C287,$D:$D,"P0(전)",$L:$L,"&gt;0")&lt;&gt;1,"",SUMIFS($H:$H,$C:$C,$C287,$D:$D,"P0(전)"))</f>
        <v/>
      </c>
      <c r="O287" s="30">
        <f>IF(COUNTIFS($C:$C,$C287,$D:$D,"P0(전)",$L:$L,"&gt;0")&lt;&gt;1,"",SUMIFS($L:$L,$C:$C,$C287,$D:$D,"P0(전)"))</f>
        <v/>
      </c>
      <c r="P287" s="45">
        <f>IF(COUNTIFS($C:$C,$C287,$D:$D,"P0(후)",$L:$L,"&gt;0")&lt;&gt;1,"",SUMIFS($H:$H,$C:$C,$C287,$D:$D,"P0(후)"))</f>
        <v/>
      </c>
      <c r="Q287" s="30">
        <f>IF(COUNTIFS($C:$C,$C287,$D:$D,"P0(후)",$L:$L,"&gt;0")&lt;&gt;1,"",SUMIFS($L:$L,$C:$C,$C287,$D:$D,"P0(후)"))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IF(OR(NOT(ISNUMBER(S287)),IF(ISNUMBER(G287),G287,F287)=0),"",S287/IF(ISNUMBER(G287),G287,F287))</f>
        <v/>
      </c>
      <c r="U287" s="46">
        <f>IF(ISNUMBER(T287),ABS(T287),"")</f>
        <v/>
      </c>
      <c r="V287" s="46">
        <f>IF(OR($D286&lt;&gt;"측정",$C286&lt;&gt;$C287,NOT(ISNUMBER(L287)),NOT(ISNUMBER(L286)),(IF(ISNUMBER(G287),G287,F287)-IF(ISNUMBER(G286),G286,F286))=0),"",(L287-L286)/(IF(ISNUMBER(G287),G287,F287)-IF(ISNUMBER(G286),G286,F286)))</f>
        <v/>
      </c>
      <c r="W287" s="30">
        <f>IF(NOT(AND(ISNUMBER(N287),ISNUMBER(P287))),"",(P287-N287)*1440)</f>
        <v/>
      </c>
      <c r="X287" s="28" t="n"/>
      <c r="Y287" s="28" t="n"/>
      <c r="Z287" s="28" t="n"/>
      <c r="AA287" s="31" t="n"/>
      <c r="AB287" s="31" t="n"/>
    </row>
    <row r="288">
      <c r="A288" s="25" t="inlineStr">
        <is>
          <t>S06</t>
        </is>
      </c>
      <c r="B288" s="25" t="inlineStr">
        <is>
          <t>길담 신규점</t>
        </is>
      </c>
      <c r="C288" s="25" t="inlineStr">
        <is>
          <t>S06-H서</t>
        </is>
      </c>
      <c r="D288" s="25" t="inlineStr">
        <is>
          <t>측정</t>
        </is>
      </c>
      <c r="E288" s="25" t="inlineStr">
        <is>
          <t>서</t>
        </is>
      </c>
      <c r="F288" s="30" t="n">
        <v>9</v>
      </c>
      <c r="G288" s="29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IF(COUNTIFS($C:$C,$C288,$D:$D,"P0(전)",$L:$L,"&gt;0")&lt;&gt;1,"P0(전) 유효 1개 아님",IF(COUNTIFS($C:$C,$C288,$D:$D,"P0(후)",$L:$L,"&gt;0")&lt;&gt;1,"P0(후) 유효 1개 아님",IF(NOT(AND(ISNUMBER(N288),ISNUMBER(P288),ISNUMBER(H288))),"시각 결측",IF(P288&lt;=N288,"P0 시각 역전",IF(OR(H288&lt;N288,H288&gt;P288),"측정시각 구간 밖","OK")))))</f>
        <v/>
      </c>
      <c r="N288" s="45">
        <f>IF(COUNTIFS($C:$C,$C288,$D:$D,"P0(전)",$L:$L,"&gt;0")&lt;&gt;1,"",SUMIFS($H:$H,$C:$C,$C288,$D:$D,"P0(전)"))</f>
        <v/>
      </c>
      <c r="O288" s="30">
        <f>IF(COUNTIFS($C:$C,$C288,$D:$D,"P0(전)",$L:$L,"&gt;0")&lt;&gt;1,"",SUMIFS($L:$L,$C:$C,$C288,$D:$D,"P0(전)"))</f>
        <v/>
      </c>
      <c r="P288" s="45">
        <f>IF(COUNTIFS($C:$C,$C288,$D:$D,"P0(후)",$L:$L,"&gt;0")&lt;&gt;1,"",SUMIFS($H:$H,$C:$C,$C288,$D:$D,"P0(후)"))</f>
        <v/>
      </c>
      <c r="Q288" s="30">
        <f>IF(COUNTIFS($C:$C,$C288,$D:$D,"P0(후)",$L:$L,"&gt;0")&lt;&gt;1,"",SUMIFS($L:$L,$C:$C,$C288,$D:$D,"P0(후)"))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IF(OR(NOT(ISNUMBER(S288)),IF(ISNUMBER(G288),G288,F288)=0),"",S288/IF(ISNUMBER(G288),G288,F288))</f>
        <v/>
      </c>
      <c r="U288" s="46">
        <f>IF(ISNUMBER(T288),ABS(T288),"")</f>
        <v/>
      </c>
      <c r="V288" s="46">
        <f>IF(OR($D287&lt;&gt;"측정",$C287&lt;&gt;$C288,NOT(ISNUMBER(L288)),NOT(ISNUMBER(L287)),(IF(ISNUMBER(G288),G288,F288)-IF(ISNUMBER(G287),G287,F287))=0),"",(L288-L287)/(IF(ISNUMBER(G288),G288,F288)-IF(ISNUMBER(G287),G287,F287)))</f>
        <v/>
      </c>
      <c r="W288" s="30">
        <f>IF(NOT(AND(ISNUMBER(N288),ISNUMBER(P288))),"",(P288-N288)*1440)</f>
        <v/>
      </c>
      <c r="X288" s="28" t="n"/>
      <c r="Y288" s="28" t="n"/>
      <c r="Z288" s="28" t="n"/>
      <c r="AA288" s="31" t="n"/>
      <c r="AB288" s="31" t="n"/>
    </row>
    <row r="289">
      <c r="A289" s="25" t="inlineStr">
        <is>
          <t>S06</t>
        </is>
      </c>
      <c r="B289" s="25" t="inlineStr">
        <is>
          <t>길담 신규점</t>
        </is>
      </c>
      <c r="C289" s="25" t="inlineStr">
        <is>
          <t>S06-H서</t>
        </is>
      </c>
      <c r="D289" s="25" t="inlineStr">
        <is>
          <t>측정</t>
        </is>
      </c>
      <c r="E289" s="25" t="inlineStr">
        <is>
          <t>서</t>
        </is>
      </c>
      <c r="F289" s="30" t="n">
        <v>10</v>
      </c>
      <c r="G289" s="29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IF(COUNTIFS($C:$C,$C289,$D:$D,"P0(전)",$L:$L,"&gt;0")&lt;&gt;1,"P0(전) 유효 1개 아님",IF(COUNTIFS($C:$C,$C289,$D:$D,"P0(후)",$L:$L,"&gt;0")&lt;&gt;1,"P0(후) 유효 1개 아님",IF(NOT(AND(ISNUMBER(N289),ISNUMBER(P289),ISNUMBER(H289))),"시각 결측",IF(P289&lt;=N289,"P0 시각 역전",IF(OR(H289&lt;N289,H289&gt;P289),"측정시각 구간 밖","OK")))))</f>
        <v/>
      </c>
      <c r="N289" s="45">
        <f>IF(COUNTIFS($C:$C,$C289,$D:$D,"P0(전)",$L:$L,"&gt;0")&lt;&gt;1,"",SUMIFS($H:$H,$C:$C,$C289,$D:$D,"P0(전)"))</f>
        <v/>
      </c>
      <c r="O289" s="30">
        <f>IF(COUNTIFS($C:$C,$C289,$D:$D,"P0(전)",$L:$L,"&gt;0")&lt;&gt;1,"",SUMIFS($L:$L,$C:$C,$C289,$D:$D,"P0(전)"))</f>
        <v/>
      </c>
      <c r="P289" s="45">
        <f>IF(COUNTIFS($C:$C,$C289,$D:$D,"P0(후)",$L:$L,"&gt;0")&lt;&gt;1,"",SUMIFS($H:$H,$C:$C,$C289,$D:$D,"P0(후)"))</f>
        <v/>
      </c>
      <c r="Q289" s="30">
        <f>IF(COUNTIFS($C:$C,$C289,$D:$D,"P0(후)",$L:$L,"&gt;0")&lt;&gt;1,"",SUMIFS($L:$L,$C:$C,$C289,$D:$D,"P0(후)"))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IF(OR(NOT(ISNUMBER(S289)),IF(ISNUMBER(G289),G289,F289)=0),"",S289/IF(ISNUMBER(G289),G289,F289))</f>
        <v/>
      </c>
      <c r="U289" s="46">
        <f>IF(ISNUMBER(T289),ABS(T289),"")</f>
        <v/>
      </c>
      <c r="V289" s="46">
        <f>IF(OR($D288&lt;&gt;"측정",$C288&lt;&gt;$C289,NOT(ISNUMBER(L289)),NOT(ISNUMBER(L288)),(IF(ISNUMBER(G289),G289,F289)-IF(ISNUMBER(G288),G288,F288))=0),"",(L289-L288)/(IF(ISNUMBER(G289),G289,F289)-IF(ISNUMBER(G288),G288,F288)))</f>
        <v/>
      </c>
      <c r="W289" s="30">
        <f>IF(NOT(AND(ISNUMBER(N289),ISNUMBER(P289))),"",(P289-N289)*1440)</f>
        <v/>
      </c>
      <c r="X289" s="28" t="n"/>
      <c r="Y289" s="28" t="n"/>
      <c r="Z289" s="28" t="n"/>
      <c r="AA289" s="31" t="n"/>
      <c r="AB289" s="31" t="n"/>
    </row>
    <row r="290">
      <c r="A290" s="43" t="inlineStr">
        <is>
          <t>S06</t>
        </is>
      </c>
      <c r="B290" s="43" t="inlineStr">
        <is>
          <t>길담 신규점</t>
        </is>
      </c>
      <c r="C290" s="43" t="inlineStr">
        <is>
          <t>S06-H서</t>
        </is>
      </c>
      <c r="D290" s="43" t="inlineStr">
        <is>
          <t>P0(후)</t>
        </is>
      </c>
      <c r="E290" s="43" t="inlineStr">
        <is>
          <t>서</t>
        </is>
      </c>
      <c r="F290" s="44" t="n"/>
      <c r="G290" s="29" t="n"/>
      <c r="H290" s="42" t="n"/>
      <c r="I290" s="40" t="n"/>
      <c r="J290" s="40" t="n"/>
      <c r="K290" s="40" t="n"/>
      <c r="L290" s="30">
        <f>IF(COUNT(I290:K290)=0,"",MEDIAN(I290:K290))</f>
        <v/>
      </c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28" t="n"/>
      <c r="Y290" s="28" t="n"/>
      <c r="Z290" s="28" t="n"/>
      <c r="AA290" s="31" t="n"/>
      <c r="AB290" s="31" t="n"/>
    </row>
    <row r="291">
      <c r="A291" s="43" t="inlineStr">
        <is>
          <t>S06</t>
        </is>
      </c>
      <c r="B291" s="43" t="inlineStr">
        <is>
          <t>길담 신규점</t>
        </is>
      </c>
      <c r="C291" s="43" t="inlineStr">
        <is>
          <t>S06-H남</t>
        </is>
      </c>
      <c r="D291" s="43" t="inlineStr">
        <is>
          <t>P0(전)</t>
        </is>
      </c>
      <c r="E291" s="43" t="inlineStr">
        <is>
          <t>남</t>
        </is>
      </c>
      <c r="F291" s="44" t="n"/>
      <c r="G291" s="29" t="n"/>
      <c r="H291" s="42" t="n"/>
      <c r="I291" s="40" t="n"/>
      <c r="J291" s="40" t="n"/>
      <c r="K291" s="40" t="n"/>
      <c r="L291" s="30">
        <f>IF(COUNT(I291:K291)=0,"",MEDIAN(I291:K291))</f>
        <v/>
      </c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28" t="n"/>
      <c r="Y291" s="28" t="n"/>
      <c r="Z291" s="28" t="n"/>
      <c r="AA291" s="31" t="n"/>
      <c r="AB291" s="31" t="n"/>
    </row>
    <row r="292">
      <c r="A292" s="25" t="inlineStr">
        <is>
          <t>S06</t>
        </is>
      </c>
      <c r="B292" s="25" t="inlineStr">
        <is>
          <t>길담 신규점</t>
        </is>
      </c>
      <c r="C292" s="25" t="inlineStr">
        <is>
          <t>S06-H남</t>
        </is>
      </c>
      <c r="D292" s="25" t="inlineStr">
        <is>
          <t>측정</t>
        </is>
      </c>
      <c r="E292" s="25" t="inlineStr">
        <is>
          <t>남</t>
        </is>
      </c>
      <c r="F292" s="30" t="n">
        <v>0.5</v>
      </c>
      <c r="G292" s="29" t="n"/>
      <c r="H292" s="42" t="n"/>
      <c r="I292" s="40" t="n"/>
      <c r="J292" s="40" t="n"/>
      <c r="K292" s="40" t="n"/>
      <c r="L292" s="30">
        <f>IF(COUNT(I292:K292)=0,"",MEDIAN(I292:K292))</f>
        <v/>
      </c>
      <c r="M292" s="25">
        <f>IF(COUNTIFS($C:$C,$C292,$D:$D,"P0(전)",$L:$L,"&gt;0")&lt;&gt;1,"P0(전) 유효 1개 아님",IF(COUNTIFS($C:$C,$C292,$D:$D,"P0(후)",$L:$L,"&gt;0")&lt;&gt;1,"P0(후) 유효 1개 아님",IF(NOT(AND(ISNUMBER(N292),ISNUMBER(P292),ISNUMBER(H292))),"시각 결측",IF(P292&lt;=N292,"P0 시각 역전",IF(OR(H292&lt;N292,H292&gt;P292),"측정시각 구간 밖","OK")))))</f>
        <v/>
      </c>
      <c r="N292" s="45">
        <f>IF(COUNTIFS($C:$C,$C292,$D:$D,"P0(전)",$L:$L,"&gt;0")&lt;&gt;1,"",SUMIFS($H:$H,$C:$C,$C292,$D:$D,"P0(전)"))</f>
        <v/>
      </c>
      <c r="O292" s="30">
        <f>IF(COUNTIFS($C:$C,$C292,$D:$D,"P0(전)",$L:$L,"&gt;0")&lt;&gt;1,"",SUMIFS($L:$L,$C:$C,$C292,$D:$D,"P0(전)"))</f>
        <v/>
      </c>
      <c r="P292" s="45">
        <f>IF(COUNTIFS($C:$C,$C292,$D:$D,"P0(후)",$L:$L,"&gt;0")&lt;&gt;1,"",SUMIFS($H:$H,$C:$C,$C292,$D:$D,"P0(후)"))</f>
        <v/>
      </c>
      <c r="Q292" s="30">
        <f>IF(COUNTIFS($C:$C,$C292,$D:$D,"P0(후)",$L:$L,"&gt;0")&lt;&gt;1,"",SUMIFS($L:$L,$C:$C,$C292,$D:$D,"P0(후)"))</f>
        <v/>
      </c>
      <c r="R292" s="30">
        <f>IF(M292&lt;&gt;"OK","",O292+(Q292-O292)*(H292-N292)/(P292-N292))</f>
        <v/>
      </c>
      <c r="S292" s="30">
        <f>IF(OR(M292&lt;&gt;"OK",NOT(ISNUMBER(L292))),"",L292-R292)</f>
        <v/>
      </c>
      <c r="T292" s="46">
        <f>IF(OR(NOT(ISNUMBER(S292)),IF(ISNUMBER(G292),G292,F292)=0),"",S292/IF(ISNUMBER(G292),G292,F292))</f>
        <v/>
      </c>
      <c r="U292" s="46">
        <f>IF(ISNUMBER(T292),ABS(T292),"")</f>
        <v/>
      </c>
      <c r="V292" s="46">
        <f>IF(OR($D291&lt;&gt;"측정",$C291&lt;&gt;$C292,NOT(ISNUMBER(L292)),NOT(ISNUMBER(L291)),(IF(ISNUMBER(G292),G292,F292)-IF(ISNUMBER(G291),G291,F291))=0),"",(L292-L291)/(IF(ISNUMBER(G292),G292,F292)-IF(ISNUMBER(G291),G291,F291)))</f>
        <v/>
      </c>
      <c r="W292" s="30">
        <f>IF(NOT(AND(ISNUMBER(N292),ISNUMBER(P292))),"",(P292-N292)*1440)</f>
        <v/>
      </c>
      <c r="X292" s="28" t="n"/>
      <c r="Y292" s="28" t="n"/>
      <c r="Z292" s="28" t="n"/>
      <c r="AA292" s="31" t="n"/>
      <c r="AB292" s="31" t="n"/>
    </row>
    <row r="293">
      <c r="A293" s="25" t="inlineStr">
        <is>
          <t>S06</t>
        </is>
      </c>
      <c r="B293" s="25" t="inlineStr">
        <is>
          <t>길담 신규점</t>
        </is>
      </c>
      <c r="C293" s="25" t="inlineStr">
        <is>
          <t>S06-H남</t>
        </is>
      </c>
      <c r="D293" s="25" t="inlineStr">
        <is>
          <t>측정</t>
        </is>
      </c>
      <c r="E293" s="25" t="inlineStr">
        <is>
          <t>남</t>
        </is>
      </c>
      <c r="F293" s="30" t="n">
        <v>1</v>
      </c>
      <c r="G293" s="29" t="n"/>
      <c r="H293" s="42" t="n"/>
      <c r="I293" s="40" t="n"/>
      <c r="J293" s="40" t="n"/>
      <c r="K293" s="40" t="n"/>
      <c r="L293" s="30">
        <f>IF(COUNT(I293:K293)=0,"",MEDIAN(I293:K293))</f>
        <v/>
      </c>
      <c r="M293" s="25">
        <f>IF(COUNTIFS($C:$C,$C293,$D:$D,"P0(전)",$L:$L,"&gt;0")&lt;&gt;1,"P0(전) 유효 1개 아님",IF(COUNTIFS($C:$C,$C293,$D:$D,"P0(후)",$L:$L,"&gt;0")&lt;&gt;1,"P0(후) 유효 1개 아님",IF(NOT(AND(ISNUMBER(N293),ISNUMBER(P293),ISNUMBER(H293))),"시각 결측",IF(P293&lt;=N293,"P0 시각 역전",IF(OR(H293&lt;N293,H293&gt;P293),"측정시각 구간 밖","OK")))))</f>
        <v/>
      </c>
      <c r="N293" s="45">
        <f>IF(COUNTIFS($C:$C,$C293,$D:$D,"P0(전)",$L:$L,"&gt;0")&lt;&gt;1,"",SUMIFS($H:$H,$C:$C,$C293,$D:$D,"P0(전)"))</f>
        <v/>
      </c>
      <c r="O293" s="30">
        <f>IF(COUNTIFS($C:$C,$C293,$D:$D,"P0(전)",$L:$L,"&gt;0")&lt;&gt;1,"",SUMIFS($L:$L,$C:$C,$C293,$D:$D,"P0(전)"))</f>
        <v/>
      </c>
      <c r="P293" s="45">
        <f>IF(COUNTIFS($C:$C,$C293,$D:$D,"P0(후)",$L:$L,"&gt;0")&lt;&gt;1,"",SUMIFS($H:$H,$C:$C,$C293,$D:$D,"P0(후)"))</f>
        <v/>
      </c>
      <c r="Q293" s="30">
        <f>IF(COUNTIFS($C:$C,$C293,$D:$D,"P0(후)",$L:$L,"&gt;0")&lt;&gt;1,"",SUMIFS($L:$L,$C:$C,$C293,$D:$D,"P0(후)"))</f>
        <v/>
      </c>
      <c r="R293" s="30">
        <f>IF(M293&lt;&gt;"OK","",O293+(Q293-O293)*(H293-N293)/(P293-N293))</f>
        <v/>
      </c>
      <c r="S293" s="30">
        <f>IF(OR(M293&lt;&gt;"OK",NOT(ISNUMBER(L293))),"",L293-R293)</f>
        <v/>
      </c>
      <c r="T293" s="46">
        <f>IF(OR(NOT(ISNUMBER(S293)),IF(ISNUMBER(G293),G293,F293)=0),"",S293/IF(ISNUMBER(G293),G293,F293))</f>
        <v/>
      </c>
      <c r="U293" s="46">
        <f>IF(ISNUMBER(T293),ABS(T293),"")</f>
        <v/>
      </c>
      <c r="V293" s="46">
        <f>IF(OR($D292&lt;&gt;"측정",$C292&lt;&gt;$C293,NOT(ISNUMBER(L293)),NOT(ISNUMBER(L292)),(IF(ISNUMBER(G293),G293,F293)-IF(ISNUMBER(G292),G292,F292))=0),"",(L293-L292)/(IF(ISNUMBER(G293),G293,F293)-IF(ISNUMBER(G292),G292,F292)))</f>
        <v/>
      </c>
      <c r="W293" s="30">
        <f>IF(NOT(AND(ISNUMBER(N293),ISNUMBER(P293))),"",(P293-N293)*1440)</f>
        <v/>
      </c>
      <c r="X293" s="28" t="n"/>
      <c r="Y293" s="28" t="n"/>
      <c r="Z293" s="28" t="n"/>
      <c r="AA293" s="31" t="n"/>
      <c r="AB293" s="31" t="n"/>
    </row>
    <row r="294">
      <c r="A294" s="25" t="inlineStr">
        <is>
          <t>S06</t>
        </is>
      </c>
      <c r="B294" s="25" t="inlineStr">
        <is>
          <t>길담 신규점</t>
        </is>
      </c>
      <c r="C294" s="25" t="inlineStr">
        <is>
          <t>S06-H남</t>
        </is>
      </c>
      <c r="D294" s="25" t="inlineStr">
        <is>
          <t>측정</t>
        </is>
      </c>
      <c r="E294" s="25" t="inlineStr">
        <is>
          <t>남</t>
        </is>
      </c>
      <c r="F294" s="30" t="n">
        <v>2</v>
      </c>
      <c r="G294" s="29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IF(COUNTIFS($C:$C,$C294,$D:$D,"P0(전)",$L:$L,"&gt;0")&lt;&gt;1,"P0(전) 유효 1개 아님",IF(COUNTIFS($C:$C,$C294,$D:$D,"P0(후)",$L:$L,"&gt;0")&lt;&gt;1,"P0(후) 유효 1개 아님",IF(NOT(AND(ISNUMBER(N294),ISNUMBER(P294),ISNUMBER(H294))),"시각 결측",IF(P294&lt;=N294,"P0 시각 역전",IF(OR(H294&lt;N294,H294&gt;P294),"측정시각 구간 밖","OK")))))</f>
        <v/>
      </c>
      <c r="N294" s="45">
        <f>IF(COUNTIFS($C:$C,$C294,$D:$D,"P0(전)",$L:$L,"&gt;0")&lt;&gt;1,"",SUMIFS($H:$H,$C:$C,$C294,$D:$D,"P0(전)"))</f>
        <v/>
      </c>
      <c r="O294" s="30">
        <f>IF(COUNTIFS($C:$C,$C294,$D:$D,"P0(전)",$L:$L,"&gt;0")&lt;&gt;1,"",SUMIFS($L:$L,$C:$C,$C294,$D:$D,"P0(전)"))</f>
        <v/>
      </c>
      <c r="P294" s="45">
        <f>IF(COUNTIFS($C:$C,$C294,$D:$D,"P0(후)",$L:$L,"&gt;0")&lt;&gt;1,"",SUMIFS($H:$H,$C:$C,$C294,$D:$D,"P0(후)"))</f>
        <v/>
      </c>
      <c r="Q294" s="30">
        <f>IF(COUNTIFS($C:$C,$C294,$D:$D,"P0(후)",$L:$L,"&gt;0")&lt;&gt;1,"",SUMIFS($L:$L,$C:$C,$C294,$D:$D,"P0(후)"))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IF(OR(NOT(ISNUMBER(S294)),IF(ISNUMBER(G294),G294,F294)=0),"",S294/IF(ISNUMBER(G294),G294,F294))</f>
        <v/>
      </c>
      <c r="U294" s="46">
        <f>IF(ISNUMBER(T294),ABS(T294),"")</f>
        <v/>
      </c>
      <c r="V294" s="46">
        <f>IF(OR($D293&lt;&gt;"측정",$C293&lt;&gt;$C294,NOT(ISNUMBER(L294)),NOT(ISNUMBER(L293)),(IF(ISNUMBER(G294),G294,F294)-IF(ISNUMBER(G293),G293,F293))=0),"",(L294-L293)/(IF(ISNUMBER(G294),G294,F294)-IF(ISNUMBER(G293),G293,F293)))</f>
        <v/>
      </c>
      <c r="W294" s="30">
        <f>IF(NOT(AND(ISNUMBER(N294),ISNUMBER(P294))),"",(P294-N294)*1440)</f>
        <v/>
      </c>
      <c r="X294" s="28" t="n"/>
      <c r="Y294" s="28" t="n"/>
      <c r="Z294" s="28" t="n"/>
      <c r="AA294" s="31" t="n"/>
      <c r="AB294" s="31" t="n"/>
    </row>
    <row r="295">
      <c r="A295" s="25" t="inlineStr">
        <is>
          <t>S06</t>
        </is>
      </c>
      <c r="B295" s="25" t="inlineStr">
        <is>
          <t>길담 신규점</t>
        </is>
      </c>
      <c r="C295" s="25" t="inlineStr">
        <is>
          <t>S06-H남</t>
        </is>
      </c>
      <c r="D295" s="25" t="inlineStr">
        <is>
          <t>측정</t>
        </is>
      </c>
      <c r="E295" s="25" t="inlineStr">
        <is>
          <t>남</t>
        </is>
      </c>
      <c r="F295" s="30" t="n">
        <v>3</v>
      </c>
      <c r="G295" s="29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IF(COUNTIFS($C:$C,$C295,$D:$D,"P0(전)",$L:$L,"&gt;0")&lt;&gt;1,"P0(전) 유효 1개 아님",IF(COUNTIFS($C:$C,$C295,$D:$D,"P0(후)",$L:$L,"&gt;0")&lt;&gt;1,"P0(후) 유효 1개 아님",IF(NOT(AND(ISNUMBER(N295),ISNUMBER(P295),ISNUMBER(H295))),"시각 결측",IF(P295&lt;=N295,"P0 시각 역전",IF(OR(H295&lt;N295,H295&gt;P295),"측정시각 구간 밖","OK")))))</f>
        <v/>
      </c>
      <c r="N295" s="45">
        <f>IF(COUNTIFS($C:$C,$C295,$D:$D,"P0(전)",$L:$L,"&gt;0")&lt;&gt;1,"",SUMIFS($H:$H,$C:$C,$C295,$D:$D,"P0(전)"))</f>
        <v/>
      </c>
      <c r="O295" s="30">
        <f>IF(COUNTIFS($C:$C,$C295,$D:$D,"P0(전)",$L:$L,"&gt;0")&lt;&gt;1,"",SUMIFS($L:$L,$C:$C,$C295,$D:$D,"P0(전)"))</f>
        <v/>
      </c>
      <c r="P295" s="45">
        <f>IF(COUNTIFS($C:$C,$C295,$D:$D,"P0(후)",$L:$L,"&gt;0")&lt;&gt;1,"",SUMIFS($H:$H,$C:$C,$C295,$D:$D,"P0(후)"))</f>
        <v/>
      </c>
      <c r="Q295" s="30">
        <f>IF(COUNTIFS($C:$C,$C295,$D:$D,"P0(후)",$L:$L,"&gt;0")&lt;&gt;1,"",SUMIFS($L:$L,$C:$C,$C295,$D:$D,"P0(후)"))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IF(OR(NOT(ISNUMBER(S295)),IF(ISNUMBER(G295),G295,F295)=0),"",S295/IF(ISNUMBER(G295),G295,F295))</f>
        <v/>
      </c>
      <c r="U295" s="46">
        <f>IF(ISNUMBER(T295),ABS(T295),"")</f>
        <v/>
      </c>
      <c r="V295" s="46">
        <f>IF(OR($D294&lt;&gt;"측정",$C294&lt;&gt;$C295,NOT(ISNUMBER(L295)),NOT(ISNUMBER(L294)),(IF(ISNUMBER(G295),G295,F295)-IF(ISNUMBER(G294),G294,F294))=0),"",(L295-L294)/(IF(ISNUMBER(G295),G295,F295)-IF(ISNUMBER(G294),G294,F294)))</f>
        <v/>
      </c>
      <c r="W295" s="30">
        <f>IF(NOT(AND(ISNUMBER(N295),ISNUMBER(P295))),"",(P295-N295)*1440)</f>
        <v/>
      </c>
      <c r="X295" s="28" t="n"/>
      <c r="Y295" s="28" t="n"/>
      <c r="Z295" s="28" t="n"/>
      <c r="AA295" s="31" t="n"/>
      <c r="AB295" s="31" t="n"/>
    </row>
    <row r="296">
      <c r="A296" s="25" t="inlineStr">
        <is>
          <t>S06</t>
        </is>
      </c>
      <c r="B296" s="25" t="inlineStr">
        <is>
          <t>길담 신규점</t>
        </is>
      </c>
      <c r="C296" s="25" t="inlineStr">
        <is>
          <t>S06-H남</t>
        </is>
      </c>
      <c r="D296" s="25" t="inlineStr">
        <is>
          <t>측정</t>
        </is>
      </c>
      <c r="E296" s="25" t="inlineStr">
        <is>
          <t>남</t>
        </is>
      </c>
      <c r="F296" s="30" t="n">
        <v>4</v>
      </c>
      <c r="G296" s="29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IF(COUNTIFS($C:$C,$C296,$D:$D,"P0(전)",$L:$L,"&gt;0")&lt;&gt;1,"P0(전) 유효 1개 아님",IF(COUNTIFS($C:$C,$C296,$D:$D,"P0(후)",$L:$L,"&gt;0")&lt;&gt;1,"P0(후) 유효 1개 아님",IF(NOT(AND(ISNUMBER(N296),ISNUMBER(P296),ISNUMBER(H296))),"시각 결측",IF(P296&lt;=N296,"P0 시각 역전",IF(OR(H296&lt;N296,H296&gt;P296),"측정시각 구간 밖","OK")))))</f>
        <v/>
      </c>
      <c r="N296" s="45">
        <f>IF(COUNTIFS($C:$C,$C296,$D:$D,"P0(전)",$L:$L,"&gt;0")&lt;&gt;1,"",SUMIFS($H:$H,$C:$C,$C296,$D:$D,"P0(전)"))</f>
        <v/>
      </c>
      <c r="O296" s="30">
        <f>IF(COUNTIFS($C:$C,$C296,$D:$D,"P0(전)",$L:$L,"&gt;0")&lt;&gt;1,"",SUMIFS($L:$L,$C:$C,$C296,$D:$D,"P0(전)"))</f>
        <v/>
      </c>
      <c r="P296" s="45">
        <f>IF(COUNTIFS($C:$C,$C296,$D:$D,"P0(후)",$L:$L,"&gt;0")&lt;&gt;1,"",SUMIFS($H:$H,$C:$C,$C296,$D:$D,"P0(후)"))</f>
        <v/>
      </c>
      <c r="Q296" s="30">
        <f>IF(COUNTIFS($C:$C,$C296,$D:$D,"P0(후)",$L:$L,"&gt;0")&lt;&gt;1,"",SUMIFS($L:$L,$C:$C,$C296,$D:$D,"P0(후)"))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IF(OR(NOT(ISNUMBER(S296)),IF(ISNUMBER(G296),G296,F296)=0),"",S296/IF(ISNUMBER(G296),G296,F296))</f>
        <v/>
      </c>
      <c r="U296" s="46">
        <f>IF(ISNUMBER(T296),ABS(T296),"")</f>
        <v/>
      </c>
      <c r="V296" s="46">
        <f>IF(OR($D295&lt;&gt;"측정",$C295&lt;&gt;$C296,NOT(ISNUMBER(L296)),NOT(ISNUMBER(L295)),(IF(ISNUMBER(G296),G296,F296)-IF(ISNUMBER(G295),G295,F295))=0),"",(L296-L295)/(IF(ISNUMBER(G296),G296,F296)-IF(ISNUMBER(G295),G295,F295)))</f>
        <v/>
      </c>
      <c r="W296" s="30">
        <f>IF(NOT(AND(ISNUMBER(N296),ISNUMBER(P296))),"",(P296-N296)*1440)</f>
        <v/>
      </c>
      <c r="X296" s="28" t="n"/>
      <c r="Y296" s="28" t="n"/>
      <c r="Z296" s="28" t="n"/>
      <c r="AA296" s="31" t="n"/>
      <c r="AB296" s="31" t="n"/>
    </row>
    <row r="297">
      <c r="A297" s="25" t="inlineStr">
        <is>
          <t>S06</t>
        </is>
      </c>
      <c r="B297" s="25" t="inlineStr">
        <is>
          <t>길담 신규점</t>
        </is>
      </c>
      <c r="C297" s="25" t="inlineStr">
        <is>
          <t>S06-H남</t>
        </is>
      </c>
      <c r="D297" s="25" t="inlineStr">
        <is>
          <t>측정</t>
        </is>
      </c>
      <c r="E297" s="25" t="inlineStr">
        <is>
          <t>남</t>
        </is>
      </c>
      <c r="F297" s="30" t="n">
        <v>5</v>
      </c>
      <c r="G297" s="29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IF(COUNTIFS($C:$C,$C297,$D:$D,"P0(전)",$L:$L,"&gt;0")&lt;&gt;1,"P0(전) 유효 1개 아님",IF(COUNTIFS($C:$C,$C297,$D:$D,"P0(후)",$L:$L,"&gt;0")&lt;&gt;1,"P0(후) 유효 1개 아님",IF(NOT(AND(ISNUMBER(N297),ISNUMBER(P297),ISNUMBER(H297))),"시각 결측",IF(P297&lt;=N297,"P0 시각 역전",IF(OR(H297&lt;N297,H297&gt;P297),"측정시각 구간 밖","OK")))))</f>
        <v/>
      </c>
      <c r="N297" s="45">
        <f>IF(COUNTIFS($C:$C,$C297,$D:$D,"P0(전)",$L:$L,"&gt;0")&lt;&gt;1,"",SUMIFS($H:$H,$C:$C,$C297,$D:$D,"P0(전)"))</f>
        <v/>
      </c>
      <c r="O297" s="30">
        <f>IF(COUNTIFS($C:$C,$C297,$D:$D,"P0(전)",$L:$L,"&gt;0")&lt;&gt;1,"",SUMIFS($L:$L,$C:$C,$C297,$D:$D,"P0(전)"))</f>
        <v/>
      </c>
      <c r="P297" s="45">
        <f>IF(COUNTIFS($C:$C,$C297,$D:$D,"P0(후)",$L:$L,"&gt;0")&lt;&gt;1,"",SUMIFS($H:$H,$C:$C,$C297,$D:$D,"P0(후)"))</f>
        <v/>
      </c>
      <c r="Q297" s="30">
        <f>IF(COUNTIFS($C:$C,$C297,$D:$D,"P0(후)",$L:$L,"&gt;0")&lt;&gt;1,"",SUMIFS($L:$L,$C:$C,$C297,$D:$D,"P0(후)"))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IF(OR(NOT(ISNUMBER(S297)),IF(ISNUMBER(G297),G297,F297)=0),"",S297/IF(ISNUMBER(G297),G297,F297))</f>
        <v/>
      </c>
      <c r="U297" s="46">
        <f>IF(ISNUMBER(T297),ABS(T297),"")</f>
        <v/>
      </c>
      <c r="V297" s="46">
        <f>IF(OR($D296&lt;&gt;"측정",$C296&lt;&gt;$C297,NOT(ISNUMBER(L297)),NOT(ISNUMBER(L296)),(IF(ISNUMBER(G297),G297,F297)-IF(ISNUMBER(G296),G296,F296))=0),"",(L297-L296)/(IF(ISNUMBER(G297),G297,F297)-IF(ISNUMBER(G296),G296,F296)))</f>
        <v/>
      </c>
      <c r="W297" s="30">
        <f>IF(NOT(AND(ISNUMBER(N297),ISNUMBER(P297))),"",(P297-N297)*1440)</f>
        <v/>
      </c>
      <c r="X297" s="28" t="n"/>
      <c r="Y297" s="28" t="n"/>
      <c r="Z297" s="28" t="n"/>
      <c r="AA297" s="31" t="n"/>
      <c r="AB297" s="31" t="n"/>
    </row>
    <row r="298">
      <c r="A298" s="25" t="inlineStr">
        <is>
          <t>S06</t>
        </is>
      </c>
      <c r="B298" s="25" t="inlineStr">
        <is>
          <t>길담 신규점</t>
        </is>
      </c>
      <c r="C298" s="25" t="inlineStr">
        <is>
          <t>S06-H남</t>
        </is>
      </c>
      <c r="D298" s="25" t="inlineStr">
        <is>
          <t>측정</t>
        </is>
      </c>
      <c r="E298" s="25" t="inlineStr">
        <is>
          <t>남</t>
        </is>
      </c>
      <c r="F298" s="30" t="n">
        <v>6</v>
      </c>
      <c r="G298" s="29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IF(COUNTIFS($C:$C,$C298,$D:$D,"P0(전)",$L:$L,"&gt;0")&lt;&gt;1,"P0(전) 유효 1개 아님",IF(COUNTIFS($C:$C,$C298,$D:$D,"P0(후)",$L:$L,"&gt;0")&lt;&gt;1,"P0(후) 유효 1개 아님",IF(NOT(AND(ISNUMBER(N298),ISNUMBER(P298),ISNUMBER(H298))),"시각 결측",IF(P298&lt;=N298,"P0 시각 역전",IF(OR(H298&lt;N298,H298&gt;P298),"측정시각 구간 밖","OK")))))</f>
        <v/>
      </c>
      <c r="N298" s="45">
        <f>IF(COUNTIFS($C:$C,$C298,$D:$D,"P0(전)",$L:$L,"&gt;0")&lt;&gt;1,"",SUMIFS($H:$H,$C:$C,$C298,$D:$D,"P0(전)"))</f>
        <v/>
      </c>
      <c r="O298" s="30">
        <f>IF(COUNTIFS($C:$C,$C298,$D:$D,"P0(전)",$L:$L,"&gt;0")&lt;&gt;1,"",SUMIFS($L:$L,$C:$C,$C298,$D:$D,"P0(전)"))</f>
        <v/>
      </c>
      <c r="P298" s="45">
        <f>IF(COUNTIFS($C:$C,$C298,$D:$D,"P0(후)",$L:$L,"&gt;0")&lt;&gt;1,"",SUMIFS($H:$H,$C:$C,$C298,$D:$D,"P0(후)"))</f>
        <v/>
      </c>
      <c r="Q298" s="30">
        <f>IF(COUNTIFS($C:$C,$C298,$D:$D,"P0(후)",$L:$L,"&gt;0")&lt;&gt;1,"",SUMIFS($L:$L,$C:$C,$C298,$D:$D,"P0(후)"))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IF(OR(NOT(ISNUMBER(S298)),IF(ISNUMBER(G298),G298,F298)=0),"",S298/IF(ISNUMBER(G298),G298,F298))</f>
        <v/>
      </c>
      <c r="U298" s="46">
        <f>IF(ISNUMBER(T298),ABS(T298),"")</f>
        <v/>
      </c>
      <c r="V298" s="46">
        <f>IF(OR($D297&lt;&gt;"측정",$C297&lt;&gt;$C298,NOT(ISNUMBER(L298)),NOT(ISNUMBER(L297)),(IF(ISNUMBER(G298),G298,F298)-IF(ISNUMBER(G297),G297,F297))=0),"",(L298-L297)/(IF(ISNUMBER(G298),G298,F298)-IF(ISNUMBER(G297),G297,F297)))</f>
        <v/>
      </c>
      <c r="W298" s="30">
        <f>IF(NOT(AND(ISNUMBER(N298),ISNUMBER(P298))),"",(P298-N298)*1440)</f>
        <v/>
      </c>
      <c r="X298" s="28" t="n"/>
      <c r="Y298" s="28" t="n"/>
      <c r="Z298" s="28" t="n"/>
      <c r="AA298" s="31" t="n"/>
      <c r="AB298" s="31" t="n"/>
    </row>
    <row r="299">
      <c r="A299" s="25" t="inlineStr">
        <is>
          <t>S06</t>
        </is>
      </c>
      <c r="B299" s="25" t="inlineStr">
        <is>
          <t>길담 신규점</t>
        </is>
      </c>
      <c r="C299" s="25" t="inlineStr">
        <is>
          <t>S06-H남</t>
        </is>
      </c>
      <c r="D299" s="25" t="inlineStr">
        <is>
          <t>측정</t>
        </is>
      </c>
      <c r="E299" s="25" t="inlineStr">
        <is>
          <t>남</t>
        </is>
      </c>
      <c r="F299" s="30" t="n">
        <v>7</v>
      </c>
      <c r="G299" s="29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IF(COUNTIFS($C:$C,$C299,$D:$D,"P0(전)",$L:$L,"&gt;0")&lt;&gt;1,"P0(전) 유효 1개 아님",IF(COUNTIFS($C:$C,$C299,$D:$D,"P0(후)",$L:$L,"&gt;0")&lt;&gt;1,"P0(후) 유효 1개 아님",IF(NOT(AND(ISNUMBER(N299),ISNUMBER(P299),ISNUMBER(H299))),"시각 결측",IF(P299&lt;=N299,"P0 시각 역전",IF(OR(H299&lt;N299,H299&gt;P299),"측정시각 구간 밖","OK")))))</f>
        <v/>
      </c>
      <c r="N299" s="45">
        <f>IF(COUNTIFS($C:$C,$C299,$D:$D,"P0(전)",$L:$L,"&gt;0")&lt;&gt;1,"",SUMIFS($H:$H,$C:$C,$C299,$D:$D,"P0(전)"))</f>
        <v/>
      </c>
      <c r="O299" s="30">
        <f>IF(COUNTIFS($C:$C,$C299,$D:$D,"P0(전)",$L:$L,"&gt;0")&lt;&gt;1,"",SUMIFS($L:$L,$C:$C,$C299,$D:$D,"P0(전)"))</f>
        <v/>
      </c>
      <c r="P299" s="45">
        <f>IF(COUNTIFS($C:$C,$C299,$D:$D,"P0(후)",$L:$L,"&gt;0")&lt;&gt;1,"",SUMIFS($H:$H,$C:$C,$C299,$D:$D,"P0(후)"))</f>
        <v/>
      </c>
      <c r="Q299" s="30">
        <f>IF(COUNTIFS($C:$C,$C299,$D:$D,"P0(후)",$L:$L,"&gt;0")&lt;&gt;1,"",SUMIFS($L:$L,$C:$C,$C299,$D:$D,"P0(후)"))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IF(OR(NOT(ISNUMBER(S299)),IF(ISNUMBER(G299),G299,F299)=0),"",S299/IF(ISNUMBER(G299),G299,F299))</f>
        <v/>
      </c>
      <c r="U299" s="46">
        <f>IF(ISNUMBER(T299),ABS(T299),"")</f>
        <v/>
      </c>
      <c r="V299" s="46">
        <f>IF(OR($D298&lt;&gt;"측정",$C298&lt;&gt;$C299,NOT(ISNUMBER(L299)),NOT(ISNUMBER(L298)),(IF(ISNUMBER(G299),G299,F299)-IF(ISNUMBER(G298),G298,F298))=0),"",(L299-L298)/(IF(ISNUMBER(G299),G299,F299)-IF(ISNUMBER(G298),G298,F298)))</f>
        <v/>
      </c>
      <c r="W299" s="30">
        <f>IF(NOT(AND(ISNUMBER(N299),ISNUMBER(P299))),"",(P299-N299)*1440)</f>
        <v/>
      </c>
      <c r="X299" s="28" t="n"/>
      <c r="Y299" s="28" t="n"/>
      <c r="Z299" s="28" t="n"/>
      <c r="AA299" s="31" t="n"/>
      <c r="AB299" s="31" t="n"/>
    </row>
    <row r="300">
      <c r="A300" s="25" t="inlineStr">
        <is>
          <t>S06</t>
        </is>
      </c>
      <c r="B300" s="25" t="inlineStr">
        <is>
          <t>길담 신규점</t>
        </is>
      </c>
      <c r="C300" s="25" t="inlineStr">
        <is>
          <t>S06-H남</t>
        </is>
      </c>
      <c r="D300" s="25" t="inlineStr">
        <is>
          <t>측정</t>
        </is>
      </c>
      <c r="E300" s="25" t="inlineStr">
        <is>
          <t>남</t>
        </is>
      </c>
      <c r="F300" s="30" t="n">
        <v>8</v>
      </c>
      <c r="G300" s="29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IF(COUNTIFS($C:$C,$C300,$D:$D,"P0(전)",$L:$L,"&gt;0")&lt;&gt;1,"P0(전) 유효 1개 아님",IF(COUNTIFS($C:$C,$C300,$D:$D,"P0(후)",$L:$L,"&gt;0")&lt;&gt;1,"P0(후) 유효 1개 아님",IF(NOT(AND(ISNUMBER(N300),ISNUMBER(P300),ISNUMBER(H300))),"시각 결측",IF(P300&lt;=N300,"P0 시각 역전",IF(OR(H300&lt;N300,H300&gt;P300),"측정시각 구간 밖","OK")))))</f>
        <v/>
      </c>
      <c r="N300" s="45">
        <f>IF(COUNTIFS($C:$C,$C300,$D:$D,"P0(전)",$L:$L,"&gt;0")&lt;&gt;1,"",SUMIFS($H:$H,$C:$C,$C300,$D:$D,"P0(전)"))</f>
        <v/>
      </c>
      <c r="O300" s="30">
        <f>IF(COUNTIFS($C:$C,$C300,$D:$D,"P0(전)",$L:$L,"&gt;0")&lt;&gt;1,"",SUMIFS($L:$L,$C:$C,$C300,$D:$D,"P0(전)"))</f>
        <v/>
      </c>
      <c r="P300" s="45">
        <f>IF(COUNTIFS($C:$C,$C300,$D:$D,"P0(후)",$L:$L,"&gt;0")&lt;&gt;1,"",SUMIFS($H:$H,$C:$C,$C300,$D:$D,"P0(후)"))</f>
        <v/>
      </c>
      <c r="Q300" s="30">
        <f>IF(COUNTIFS($C:$C,$C300,$D:$D,"P0(후)",$L:$L,"&gt;0")&lt;&gt;1,"",SUMIFS($L:$L,$C:$C,$C300,$D:$D,"P0(후)"))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IF(OR(NOT(ISNUMBER(S300)),IF(ISNUMBER(G300),G300,F300)=0),"",S300/IF(ISNUMBER(G300),G300,F300))</f>
        <v/>
      </c>
      <c r="U300" s="46">
        <f>IF(ISNUMBER(T300),ABS(T300),"")</f>
        <v/>
      </c>
      <c r="V300" s="46">
        <f>IF(OR($D299&lt;&gt;"측정",$C299&lt;&gt;$C300,NOT(ISNUMBER(L300)),NOT(ISNUMBER(L299)),(IF(ISNUMBER(G300),G300,F300)-IF(ISNUMBER(G299),G299,F299))=0),"",(L300-L299)/(IF(ISNUMBER(G300),G300,F300)-IF(ISNUMBER(G299),G299,F299)))</f>
        <v/>
      </c>
      <c r="W300" s="30">
        <f>IF(NOT(AND(ISNUMBER(N300),ISNUMBER(P300))),"",(P300-N300)*1440)</f>
        <v/>
      </c>
      <c r="X300" s="28" t="n"/>
      <c r="Y300" s="28" t="n"/>
      <c r="Z300" s="28" t="n"/>
      <c r="AA300" s="31" t="n"/>
      <c r="AB300" s="31" t="n"/>
    </row>
    <row r="301">
      <c r="A301" s="25" t="inlineStr">
        <is>
          <t>S06</t>
        </is>
      </c>
      <c r="B301" s="25" t="inlineStr">
        <is>
          <t>길담 신규점</t>
        </is>
      </c>
      <c r="C301" s="25" t="inlineStr">
        <is>
          <t>S06-H남</t>
        </is>
      </c>
      <c r="D301" s="25" t="inlineStr">
        <is>
          <t>측정</t>
        </is>
      </c>
      <c r="E301" s="25" t="inlineStr">
        <is>
          <t>남</t>
        </is>
      </c>
      <c r="F301" s="30" t="n">
        <v>9</v>
      </c>
      <c r="G301" s="29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IF(COUNTIFS($C:$C,$C301,$D:$D,"P0(전)",$L:$L,"&gt;0")&lt;&gt;1,"P0(전) 유효 1개 아님",IF(COUNTIFS($C:$C,$C301,$D:$D,"P0(후)",$L:$L,"&gt;0")&lt;&gt;1,"P0(후) 유효 1개 아님",IF(NOT(AND(ISNUMBER(N301),ISNUMBER(P301),ISNUMBER(H301))),"시각 결측",IF(P301&lt;=N301,"P0 시각 역전",IF(OR(H301&lt;N301,H301&gt;P301),"측정시각 구간 밖","OK")))))</f>
        <v/>
      </c>
      <c r="N301" s="45">
        <f>IF(COUNTIFS($C:$C,$C301,$D:$D,"P0(전)",$L:$L,"&gt;0")&lt;&gt;1,"",SUMIFS($H:$H,$C:$C,$C301,$D:$D,"P0(전)"))</f>
        <v/>
      </c>
      <c r="O301" s="30">
        <f>IF(COUNTIFS($C:$C,$C301,$D:$D,"P0(전)",$L:$L,"&gt;0")&lt;&gt;1,"",SUMIFS($L:$L,$C:$C,$C301,$D:$D,"P0(전)"))</f>
        <v/>
      </c>
      <c r="P301" s="45">
        <f>IF(COUNTIFS($C:$C,$C301,$D:$D,"P0(후)",$L:$L,"&gt;0")&lt;&gt;1,"",SUMIFS($H:$H,$C:$C,$C301,$D:$D,"P0(후)"))</f>
        <v/>
      </c>
      <c r="Q301" s="30">
        <f>IF(COUNTIFS($C:$C,$C301,$D:$D,"P0(후)",$L:$L,"&gt;0")&lt;&gt;1,"",SUMIFS($L:$L,$C:$C,$C301,$D:$D,"P0(후)"))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IF(OR(NOT(ISNUMBER(S301)),IF(ISNUMBER(G301),G301,F301)=0),"",S301/IF(ISNUMBER(G301),G301,F301))</f>
        <v/>
      </c>
      <c r="U301" s="46">
        <f>IF(ISNUMBER(T301),ABS(T301),"")</f>
        <v/>
      </c>
      <c r="V301" s="46">
        <f>IF(OR($D300&lt;&gt;"측정",$C300&lt;&gt;$C301,NOT(ISNUMBER(L301)),NOT(ISNUMBER(L300)),(IF(ISNUMBER(G301),G301,F301)-IF(ISNUMBER(G300),G300,F300))=0),"",(L301-L300)/(IF(ISNUMBER(G301),G301,F301)-IF(ISNUMBER(G300),G300,F300)))</f>
        <v/>
      </c>
      <c r="W301" s="30">
        <f>IF(NOT(AND(ISNUMBER(N301),ISNUMBER(P301))),"",(P301-N301)*1440)</f>
        <v/>
      </c>
      <c r="X301" s="28" t="n"/>
      <c r="Y301" s="28" t="n"/>
      <c r="Z301" s="28" t="n"/>
      <c r="AA301" s="31" t="n"/>
      <c r="AB301" s="31" t="n"/>
    </row>
    <row r="302">
      <c r="A302" s="25" t="inlineStr">
        <is>
          <t>S06</t>
        </is>
      </c>
      <c r="B302" s="25" t="inlineStr">
        <is>
          <t>길담 신규점</t>
        </is>
      </c>
      <c r="C302" s="25" t="inlineStr">
        <is>
          <t>S06-H남</t>
        </is>
      </c>
      <c r="D302" s="25" t="inlineStr">
        <is>
          <t>측정</t>
        </is>
      </c>
      <c r="E302" s="25" t="inlineStr">
        <is>
          <t>남</t>
        </is>
      </c>
      <c r="F302" s="30" t="n">
        <v>10</v>
      </c>
      <c r="G302" s="29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IF(COUNTIFS($C:$C,$C302,$D:$D,"P0(전)",$L:$L,"&gt;0")&lt;&gt;1,"P0(전) 유효 1개 아님",IF(COUNTIFS($C:$C,$C302,$D:$D,"P0(후)",$L:$L,"&gt;0")&lt;&gt;1,"P0(후) 유효 1개 아님",IF(NOT(AND(ISNUMBER(N302),ISNUMBER(P302),ISNUMBER(H302))),"시각 결측",IF(P302&lt;=N302,"P0 시각 역전",IF(OR(H302&lt;N302,H302&gt;P302),"측정시각 구간 밖","OK")))))</f>
        <v/>
      </c>
      <c r="N302" s="45">
        <f>IF(COUNTIFS($C:$C,$C302,$D:$D,"P0(전)",$L:$L,"&gt;0")&lt;&gt;1,"",SUMIFS($H:$H,$C:$C,$C302,$D:$D,"P0(전)"))</f>
        <v/>
      </c>
      <c r="O302" s="30">
        <f>IF(COUNTIFS($C:$C,$C302,$D:$D,"P0(전)",$L:$L,"&gt;0")&lt;&gt;1,"",SUMIFS($L:$L,$C:$C,$C302,$D:$D,"P0(전)"))</f>
        <v/>
      </c>
      <c r="P302" s="45">
        <f>IF(COUNTIFS($C:$C,$C302,$D:$D,"P0(후)",$L:$L,"&gt;0")&lt;&gt;1,"",SUMIFS($H:$H,$C:$C,$C302,$D:$D,"P0(후)"))</f>
        <v/>
      </c>
      <c r="Q302" s="30">
        <f>IF(COUNTIFS($C:$C,$C302,$D:$D,"P0(후)",$L:$L,"&gt;0")&lt;&gt;1,"",SUMIFS($L:$L,$C:$C,$C302,$D:$D,"P0(후)"))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IF(OR(NOT(ISNUMBER(S302)),IF(ISNUMBER(G302),G302,F302)=0),"",S302/IF(ISNUMBER(G302),G302,F302))</f>
        <v/>
      </c>
      <c r="U302" s="46">
        <f>IF(ISNUMBER(T302),ABS(T302),"")</f>
        <v/>
      </c>
      <c r="V302" s="46">
        <f>IF(OR($D301&lt;&gt;"측정",$C301&lt;&gt;$C302,NOT(ISNUMBER(L302)),NOT(ISNUMBER(L301)),(IF(ISNUMBER(G302),G302,F302)-IF(ISNUMBER(G301),G301,F301))=0),"",(L302-L301)/(IF(ISNUMBER(G302),G302,F302)-IF(ISNUMBER(G301),G301,F301)))</f>
        <v/>
      </c>
      <c r="W302" s="30">
        <f>IF(NOT(AND(ISNUMBER(N302),ISNUMBER(P302))),"",(P302-N302)*1440)</f>
        <v/>
      </c>
      <c r="X302" s="28" t="n"/>
      <c r="Y302" s="28" t="n"/>
      <c r="Z302" s="28" t="n"/>
      <c r="AA302" s="31" t="n"/>
      <c r="AB302" s="31" t="n"/>
    </row>
    <row r="303">
      <c r="A303" s="43" t="inlineStr">
        <is>
          <t>S06</t>
        </is>
      </c>
      <c r="B303" s="43" t="inlineStr">
        <is>
          <t>길담 신규점</t>
        </is>
      </c>
      <c r="C303" s="43" t="inlineStr">
        <is>
          <t>S06-H남</t>
        </is>
      </c>
      <c r="D303" s="43" t="inlineStr">
        <is>
          <t>P0(후)</t>
        </is>
      </c>
      <c r="E303" s="43" t="inlineStr">
        <is>
          <t>남</t>
        </is>
      </c>
      <c r="F303" s="44" t="n"/>
      <c r="G303" s="29" t="n"/>
      <c r="H303" s="42" t="n"/>
      <c r="I303" s="40" t="n"/>
      <c r="J303" s="40" t="n"/>
      <c r="K303" s="40" t="n"/>
      <c r="L303" s="30">
        <f>IF(COUNT(I303:K303)=0,"",MEDIAN(I303:K303))</f>
        <v/>
      </c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28" t="n"/>
      <c r="Y303" s="28" t="n"/>
      <c r="Z303" s="28" t="n"/>
      <c r="AA303" s="31" t="n"/>
      <c r="AB303" s="31" t="n"/>
    </row>
    <row r="304">
      <c r="A304" s="43" t="inlineStr">
        <is>
          <t>S06</t>
        </is>
      </c>
      <c r="B304" s="43" t="inlineStr">
        <is>
          <t>길담 신규점</t>
        </is>
      </c>
      <c r="C304" s="43" t="inlineStr">
        <is>
          <t>S06-H북</t>
        </is>
      </c>
      <c r="D304" s="43" t="inlineStr">
        <is>
          <t>P0(전)</t>
        </is>
      </c>
      <c r="E304" s="43" t="inlineStr">
        <is>
          <t>북</t>
        </is>
      </c>
      <c r="F304" s="44" t="n"/>
      <c r="G304" s="29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28" t="n"/>
      <c r="Y304" s="28" t="n"/>
      <c r="Z304" s="28" t="n"/>
      <c r="AA304" s="31" t="n"/>
      <c r="AB304" s="31" t="n"/>
    </row>
    <row r="305">
      <c r="A305" s="25" t="inlineStr">
        <is>
          <t>S06</t>
        </is>
      </c>
      <c r="B305" s="25" t="inlineStr">
        <is>
          <t>길담 신규점</t>
        </is>
      </c>
      <c r="C305" s="25" t="inlineStr">
        <is>
          <t>S06-H북</t>
        </is>
      </c>
      <c r="D305" s="25" t="inlineStr">
        <is>
          <t>측정</t>
        </is>
      </c>
      <c r="E305" s="25" t="inlineStr">
        <is>
          <t>북</t>
        </is>
      </c>
      <c r="F305" s="30" t="n">
        <v>0.5</v>
      </c>
      <c r="G305" s="29" t="n"/>
      <c r="H305" s="42" t="n"/>
      <c r="I305" s="40" t="n"/>
      <c r="J305" s="40" t="n"/>
      <c r="K305" s="40" t="n"/>
      <c r="L305" s="30">
        <f>IF(COUNT(I305:K305)=0,"",MEDIAN(I305:K305))</f>
        <v/>
      </c>
      <c r="M305" s="25">
        <f>IF(COUNTIFS($C:$C,$C305,$D:$D,"P0(전)",$L:$L,"&gt;0")&lt;&gt;1,"P0(전) 유효 1개 아님",IF(COUNTIFS($C:$C,$C305,$D:$D,"P0(후)",$L:$L,"&gt;0")&lt;&gt;1,"P0(후) 유효 1개 아님",IF(NOT(AND(ISNUMBER(N305),ISNUMBER(P305),ISNUMBER(H305))),"시각 결측",IF(P305&lt;=N305,"P0 시각 역전",IF(OR(H305&lt;N305,H305&gt;P305),"측정시각 구간 밖","OK")))))</f>
        <v/>
      </c>
      <c r="N305" s="45">
        <f>IF(COUNTIFS($C:$C,$C305,$D:$D,"P0(전)",$L:$L,"&gt;0")&lt;&gt;1,"",SUMIFS($H:$H,$C:$C,$C305,$D:$D,"P0(전)"))</f>
        <v/>
      </c>
      <c r="O305" s="30">
        <f>IF(COUNTIFS($C:$C,$C305,$D:$D,"P0(전)",$L:$L,"&gt;0")&lt;&gt;1,"",SUMIFS($L:$L,$C:$C,$C305,$D:$D,"P0(전)"))</f>
        <v/>
      </c>
      <c r="P305" s="45">
        <f>IF(COUNTIFS($C:$C,$C305,$D:$D,"P0(후)",$L:$L,"&gt;0")&lt;&gt;1,"",SUMIFS($H:$H,$C:$C,$C305,$D:$D,"P0(후)"))</f>
        <v/>
      </c>
      <c r="Q305" s="30">
        <f>IF(COUNTIFS($C:$C,$C305,$D:$D,"P0(후)",$L:$L,"&gt;0")&lt;&gt;1,"",SUMIFS($L:$L,$C:$C,$C305,$D:$D,"P0(후)"))</f>
        <v/>
      </c>
      <c r="R305" s="30">
        <f>IF(M305&lt;&gt;"OK","",O305+(Q305-O305)*(H305-N305)/(P305-N305))</f>
        <v/>
      </c>
      <c r="S305" s="30">
        <f>IF(OR(M305&lt;&gt;"OK",NOT(ISNUMBER(L305))),"",L305-R305)</f>
        <v/>
      </c>
      <c r="T305" s="46">
        <f>IF(OR(NOT(ISNUMBER(S305)),IF(ISNUMBER(G305),G305,F305)=0),"",S305/IF(ISNUMBER(G305),G305,F305))</f>
        <v/>
      </c>
      <c r="U305" s="46">
        <f>IF(ISNUMBER(T305),ABS(T305),"")</f>
        <v/>
      </c>
      <c r="V305" s="46">
        <f>IF(OR($D304&lt;&gt;"측정",$C304&lt;&gt;$C305,NOT(ISNUMBER(L305)),NOT(ISNUMBER(L304)),(IF(ISNUMBER(G305),G305,F305)-IF(ISNUMBER(G304),G304,F304))=0),"",(L305-L304)/(IF(ISNUMBER(G305),G305,F305)-IF(ISNUMBER(G304),G304,F304)))</f>
        <v/>
      </c>
      <c r="W305" s="30">
        <f>IF(NOT(AND(ISNUMBER(N305),ISNUMBER(P305))),"",(P305-N305)*1440)</f>
        <v/>
      </c>
      <c r="X305" s="28" t="n"/>
      <c r="Y305" s="28" t="n"/>
      <c r="Z305" s="28" t="n"/>
      <c r="AA305" s="31" t="n"/>
      <c r="AB305" s="31" t="n"/>
    </row>
    <row r="306">
      <c r="A306" s="25" t="inlineStr">
        <is>
          <t>S06</t>
        </is>
      </c>
      <c r="B306" s="25" t="inlineStr">
        <is>
          <t>길담 신규점</t>
        </is>
      </c>
      <c r="C306" s="25" t="inlineStr">
        <is>
          <t>S06-H북</t>
        </is>
      </c>
      <c r="D306" s="25" t="inlineStr">
        <is>
          <t>측정</t>
        </is>
      </c>
      <c r="E306" s="25" t="inlineStr">
        <is>
          <t>북</t>
        </is>
      </c>
      <c r="F306" s="30" t="n">
        <v>1</v>
      </c>
      <c r="G306" s="29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IF(COUNTIFS($C:$C,$C306,$D:$D,"P0(전)",$L:$L,"&gt;0")&lt;&gt;1,"P0(전) 유효 1개 아님",IF(COUNTIFS($C:$C,$C306,$D:$D,"P0(후)",$L:$L,"&gt;0")&lt;&gt;1,"P0(후) 유효 1개 아님",IF(NOT(AND(ISNUMBER(N306),ISNUMBER(P306),ISNUMBER(H306))),"시각 결측",IF(P306&lt;=N306,"P0 시각 역전",IF(OR(H306&lt;N306,H306&gt;P306),"측정시각 구간 밖","OK")))))</f>
        <v/>
      </c>
      <c r="N306" s="45">
        <f>IF(COUNTIFS($C:$C,$C306,$D:$D,"P0(전)",$L:$L,"&gt;0")&lt;&gt;1,"",SUMIFS($H:$H,$C:$C,$C306,$D:$D,"P0(전)"))</f>
        <v/>
      </c>
      <c r="O306" s="30">
        <f>IF(COUNTIFS($C:$C,$C306,$D:$D,"P0(전)",$L:$L,"&gt;0")&lt;&gt;1,"",SUMIFS($L:$L,$C:$C,$C306,$D:$D,"P0(전)"))</f>
        <v/>
      </c>
      <c r="P306" s="45">
        <f>IF(COUNTIFS($C:$C,$C306,$D:$D,"P0(후)",$L:$L,"&gt;0")&lt;&gt;1,"",SUMIFS($H:$H,$C:$C,$C306,$D:$D,"P0(후)"))</f>
        <v/>
      </c>
      <c r="Q306" s="30">
        <f>IF(COUNTIFS($C:$C,$C306,$D:$D,"P0(후)",$L:$L,"&gt;0")&lt;&gt;1,"",SUMIFS($L:$L,$C:$C,$C306,$D:$D,"P0(후)"))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IF(OR(NOT(ISNUMBER(S306)),IF(ISNUMBER(G306),G306,F306)=0),"",S306/IF(ISNUMBER(G306),G306,F306))</f>
        <v/>
      </c>
      <c r="U306" s="46">
        <f>IF(ISNUMBER(T306),ABS(T306),"")</f>
        <v/>
      </c>
      <c r="V306" s="46">
        <f>IF(OR($D305&lt;&gt;"측정",$C305&lt;&gt;$C306,NOT(ISNUMBER(L306)),NOT(ISNUMBER(L305)),(IF(ISNUMBER(G306),G306,F306)-IF(ISNUMBER(G305),G305,F305))=0),"",(L306-L305)/(IF(ISNUMBER(G306),G306,F306)-IF(ISNUMBER(G305),G305,F305)))</f>
        <v/>
      </c>
      <c r="W306" s="30">
        <f>IF(NOT(AND(ISNUMBER(N306),ISNUMBER(P306))),"",(P306-N306)*1440)</f>
        <v/>
      </c>
      <c r="X306" s="28" t="n"/>
      <c r="Y306" s="28" t="n"/>
      <c r="Z306" s="28" t="n"/>
      <c r="AA306" s="31" t="n"/>
      <c r="AB306" s="31" t="n"/>
    </row>
    <row r="307">
      <c r="A307" s="25" t="inlineStr">
        <is>
          <t>S06</t>
        </is>
      </c>
      <c r="B307" s="25" t="inlineStr">
        <is>
          <t>길담 신규점</t>
        </is>
      </c>
      <c r="C307" s="25" t="inlineStr">
        <is>
          <t>S06-H북</t>
        </is>
      </c>
      <c r="D307" s="25" t="inlineStr">
        <is>
          <t>측정</t>
        </is>
      </c>
      <c r="E307" s="25" t="inlineStr">
        <is>
          <t>북</t>
        </is>
      </c>
      <c r="F307" s="30" t="n">
        <v>2</v>
      </c>
      <c r="G307" s="29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IF(COUNTIFS($C:$C,$C307,$D:$D,"P0(전)",$L:$L,"&gt;0")&lt;&gt;1,"P0(전) 유효 1개 아님",IF(COUNTIFS($C:$C,$C307,$D:$D,"P0(후)",$L:$L,"&gt;0")&lt;&gt;1,"P0(후) 유효 1개 아님",IF(NOT(AND(ISNUMBER(N307),ISNUMBER(P307),ISNUMBER(H307))),"시각 결측",IF(P307&lt;=N307,"P0 시각 역전",IF(OR(H307&lt;N307,H307&gt;P307),"측정시각 구간 밖","OK")))))</f>
        <v/>
      </c>
      <c r="N307" s="45">
        <f>IF(COUNTIFS($C:$C,$C307,$D:$D,"P0(전)",$L:$L,"&gt;0")&lt;&gt;1,"",SUMIFS($H:$H,$C:$C,$C307,$D:$D,"P0(전)"))</f>
        <v/>
      </c>
      <c r="O307" s="30">
        <f>IF(COUNTIFS($C:$C,$C307,$D:$D,"P0(전)",$L:$L,"&gt;0")&lt;&gt;1,"",SUMIFS($L:$L,$C:$C,$C307,$D:$D,"P0(전)"))</f>
        <v/>
      </c>
      <c r="P307" s="45">
        <f>IF(COUNTIFS($C:$C,$C307,$D:$D,"P0(후)",$L:$L,"&gt;0")&lt;&gt;1,"",SUMIFS($H:$H,$C:$C,$C307,$D:$D,"P0(후)"))</f>
        <v/>
      </c>
      <c r="Q307" s="30">
        <f>IF(COUNTIFS($C:$C,$C307,$D:$D,"P0(후)",$L:$L,"&gt;0")&lt;&gt;1,"",SUMIFS($L:$L,$C:$C,$C307,$D:$D,"P0(후)"))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IF(OR(NOT(ISNUMBER(S307)),IF(ISNUMBER(G307),G307,F307)=0),"",S307/IF(ISNUMBER(G307),G307,F307))</f>
        <v/>
      </c>
      <c r="U307" s="46">
        <f>IF(ISNUMBER(T307),ABS(T307),"")</f>
        <v/>
      </c>
      <c r="V307" s="46">
        <f>IF(OR($D306&lt;&gt;"측정",$C306&lt;&gt;$C307,NOT(ISNUMBER(L307)),NOT(ISNUMBER(L306)),(IF(ISNUMBER(G307),G307,F307)-IF(ISNUMBER(G306),G306,F306))=0),"",(L307-L306)/(IF(ISNUMBER(G307),G307,F307)-IF(ISNUMBER(G306),G306,F306)))</f>
        <v/>
      </c>
      <c r="W307" s="30">
        <f>IF(NOT(AND(ISNUMBER(N307),ISNUMBER(P307))),"",(P307-N307)*1440)</f>
        <v/>
      </c>
      <c r="X307" s="28" t="n"/>
      <c r="Y307" s="28" t="n"/>
      <c r="Z307" s="28" t="n"/>
      <c r="AA307" s="31" t="n"/>
      <c r="AB307" s="31" t="n"/>
    </row>
    <row r="308">
      <c r="A308" s="25" t="inlineStr">
        <is>
          <t>S06</t>
        </is>
      </c>
      <c r="B308" s="25" t="inlineStr">
        <is>
          <t>길담 신규점</t>
        </is>
      </c>
      <c r="C308" s="25" t="inlineStr">
        <is>
          <t>S06-H북</t>
        </is>
      </c>
      <c r="D308" s="25" t="inlineStr">
        <is>
          <t>측정</t>
        </is>
      </c>
      <c r="E308" s="25" t="inlineStr">
        <is>
          <t>북</t>
        </is>
      </c>
      <c r="F308" s="30" t="n">
        <v>3</v>
      </c>
      <c r="G308" s="29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IF(COUNTIFS($C:$C,$C308,$D:$D,"P0(전)",$L:$L,"&gt;0")&lt;&gt;1,"P0(전) 유효 1개 아님",IF(COUNTIFS($C:$C,$C308,$D:$D,"P0(후)",$L:$L,"&gt;0")&lt;&gt;1,"P0(후) 유효 1개 아님",IF(NOT(AND(ISNUMBER(N308),ISNUMBER(P308),ISNUMBER(H308))),"시각 결측",IF(P308&lt;=N308,"P0 시각 역전",IF(OR(H308&lt;N308,H308&gt;P308),"측정시각 구간 밖","OK")))))</f>
        <v/>
      </c>
      <c r="N308" s="45">
        <f>IF(COUNTIFS($C:$C,$C308,$D:$D,"P0(전)",$L:$L,"&gt;0")&lt;&gt;1,"",SUMIFS($H:$H,$C:$C,$C308,$D:$D,"P0(전)"))</f>
        <v/>
      </c>
      <c r="O308" s="30">
        <f>IF(COUNTIFS($C:$C,$C308,$D:$D,"P0(전)",$L:$L,"&gt;0")&lt;&gt;1,"",SUMIFS($L:$L,$C:$C,$C308,$D:$D,"P0(전)"))</f>
        <v/>
      </c>
      <c r="P308" s="45">
        <f>IF(COUNTIFS($C:$C,$C308,$D:$D,"P0(후)",$L:$L,"&gt;0")&lt;&gt;1,"",SUMIFS($H:$H,$C:$C,$C308,$D:$D,"P0(후)"))</f>
        <v/>
      </c>
      <c r="Q308" s="30">
        <f>IF(COUNTIFS($C:$C,$C308,$D:$D,"P0(후)",$L:$L,"&gt;0")&lt;&gt;1,"",SUMIFS($L:$L,$C:$C,$C308,$D:$D,"P0(후)"))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IF(OR(NOT(ISNUMBER(S308)),IF(ISNUMBER(G308),G308,F308)=0),"",S308/IF(ISNUMBER(G308),G308,F308))</f>
        <v/>
      </c>
      <c r="U308" s="46">
        <f>IF(ISNUMBER(T308),ABS(T308),"")</f>
        <v/>
      </c>
      <c r="V308" s="46">
        <f>IF(OR($D307&lt;&gt;"측정",$C307&lt;&gt;$C308,NOT(ISNUMBER(L308)),NOT(ISNUMBER(L307)),(IF(ISNUMBER(G308),G308,F308)-IF(ISNUMBER(G307),G307,F307))=0),"",(L308-L307)/(IF(ISNUMBER(G308),G308,F308)-IF(ISNUMBER(G307),G307,F307)))</f>
        <v/>
      </c>
      <c r="W308" s="30">
        <f>IF(NOT(AND(ISNUMBER(N308),ISNUMBER(P308))),"",(P308-N308)*1440)</f>
        <v/>
      </c>
      <c r="X308" s="28" t="n"/>
      <c r="Y308" s="28" t="n"/>
      <c r="Z308" s="28" t="n"/>
      <c r="AA308" s="31" t="n"/>
      <c r="AB308" s="31" t="n"/>
    </row>
    <row r="309">
      <c r="A309" s="25" t="inlineStr">
        <is>
          <t>S06</t>
        </is>
      </c>
      <c r="B309" s="25" t="inlineStr">
        <is>
          <t>길담 신규점</t>
        </is>
      </c>
      <c r="C309" s="25" t="inlineStr">
        <is>
          <t>S06-H북</t>
        </is>
      </c>
      <c r="D309" s="25" t="inlineStr">
        <is>
          <t>측정</t>
        </is>
      </c>
      <c r="E309" s="25" t="inlineStr">
        <is>
          <t>북</t>
        </is>
      </c>
      <c r="F309" s="30" t="n">
        <v>4</v>
      </c>
      <c r="G309" s="29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IF(COUNTIFS($C:$C,$C309,$D:$D,"P0(전)",$L:$L,"&gt;0")&lt;&gt;1,"P0(전) 유효 1개 아님",IF(COUNTIFS($C:$C,$C309,$D:$D,"P0(후)",$L:$L,"&gt;0")&lt;&gt;1,"P0(후) 유효 1개 아님",IF(NOT(AND(ISNUMBER(N309),ISNUMBER(P309),ISNUMBER(H309))),"시각 결측",IF(P309&lt;=N309,"P0 시각 역전",IF(OR(H309&lt;N309,H309&gt;P309),"측정시각 구간 밖","OK")))))</f>
        <v/>
      </c>
      <c r="N309" s="45">
        <f>IF(COUNTIFS($C:$C,$C309,$D:$D,"P0(전)",$L:$L,"&gt;0")&lt;&gt;1,"",SUMIFS($H:$H,$C:$C,$C309,$D:$D,"P0(전)"))</f>
        <v/>
      </c>
      <c r="O309" s="30">
        <f>IF(COUNTIFS($C:$C,$C309,$D:$D,"P0(전)",$L:$L,"&gt;0")&lt;&gt;1,"",SUMIFS($L:$L,$C:$C,$C309,$D:$D,"P0(전)"))</f>
        <v/>
      </c>
      <c r="P309" s="45">
        <f>IF(COUNTIFS($C:$C,$C309,$D:$D,"P0(후)",$L:$L,"&gt;0")&lt;&gt;1,"",SUMIFS($H:$H,$C:$C,$C309,$D:$D,"P0(후)"))</f>
        <v/>
      </c>
      <c r="Q309" s="30">
        <f>IF(COUNTIFS($C:$C,$C309,$D:$D,"P0(후)",$L:$L,"&gt;0")&lt;&gt;1,"",SUMIFS($L:$L,$C:$C,$C309,$D:$D,"P0(후)"))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IF(OR(NOT(ISNUMBER(S309)),IF(ISNUMBER(G309),G309,F309)=0),"",S309/IF(ISNUMBER(G309),G309,F309))</f>
        <v/>
      </c>
      <c r="U309" s="46">
        <f>IF(ISNUMBER(T309),ABS(T309),"")</f>
        <v/>
      </c>
      <c r="V309" s="46">
        <f>IF(OR($D308&lt;&gt;"측정",$C308&lt;&gt;$C309,NOT(ISNUMBER(L309)),NOT(ISNUMBER(L308)),(IF(ISNUMBER(G309),G309,F309)-IF(ISNUMBER(G308),G308,F308))=0),"",(L309-L308)/(IF(ISNUMBER(G309),G309,F309)-IF(ISNUMBER(G308),G308,F308)))</f>
        <v/>
      </c>
      <c r="W309" s="30">
        <f>IF(NOT(AND(ISNUMBER(N309),ISNUMBER(P309))),"",(P309-N309)*1440)</f>
        <v/>
      </c>
      <c r="X309" s="28" t="n"/>
      <c r="Y309" s="28" t="n"/>
      <c r="Z309" s="28" t="n"/>
      <c r="AA309" s="31" t="n"/>
      <c r="AB309" s="31" t="n"/>
    </row>
    <row r="310">
      <c r="A310" s="25" t="inlineStr">
        <is>
          <t>S06</t>
        </is>
      </c>
      <c r="B310" s="25" t="inlineStr">
        <is>
          <t>길담 신규점</t>
        </is>
      </c>
      <c r="C310" s="25" t="inlineStr">
        <is>
          <t>S06-H북</t>
        </is>
      </c>
      <c r="D310" s="25" t="inlineStr">
        <is>
          <t>측정</t>
        </is>
      </c>
      <c r="E310" s="25" t="inlineStr">
        <is>
          <t>북</t>
        </is>
      </c>
      <c r="F310" s="30" t="n">
        <v>5</v>
      </c>
      <c r="G310" s="29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IF(COUNTIFS($C:$C,$C310,$D:$D,"P0(전)",$L:$L,"&gt;0")&lt;&gt;1,"P0(전) 유효 1개 아님",IF(COUNTIFS($C:$C,$C310,$D:$D,"P0(후)",$L:$L,"&gt;0")&lt;&gt;1,"P0(후) 유효 1개 아님",IF(NOT(AND(ISNUMBER(N310),ISNUMBER(P310),ISNUMBER(H310))),"시각 결측",IF(P310&lt;=N310,"P0 시각 역전",IF(OR(H310&lt;N310,H310&gt;P310),"측정시각 구간 밖","OK")))))</f>
        <v/>
      </c>
      <c r="N310" s="45">
        <f>IF(COUNTIFS($C:$C,$C310,$D:$D,"P0(전)",$L:$L,"&gt;0")&lt;&gt;1,"",SUMIFS($H:$H,$C:$C,$C310,$D:$D,"P0(전)"))</f>
        <v/>
      </c>
      <c r="O310" s="30">
        <f>IF(COUNTIFS($C:$C,$C310,$D:$D,"P0(전)",$L:$L,"&gt;0")&lt;&gt;1,"",SUMIFS($L:$L,$C:$C,$C310,$D:$D,"P0(전)"))</f>
        <v/>
      </c>
      <c r="P310" s="45">
        <f>IF(COUNTIFS($C:$C,$C310,$D:$D,"P0(후)",$L:$L,"&gt;0")&lt;&gt;1,"",SUMIFS($H:$H,$C:$C,$C310,$D:$D,"P0(후)"))</f>
        <v/>
      </c>
      <c r="Q310" s="30">
        <f>IF(COUNTIFS($C:$C,$C310,$D:$D,"P0(후)",$L:$L,"&gt;0")&lt;&gt;1,"",SUMIFS($L:$L,$C:$C,$C310,$D:$D,"P0(후)"))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IF(OR(NOT(ISNUMBER(S310)),IF(ISNUMBER(G310),G310,F310)=0),"",S310/IF(ISNUMBER(G310),G310,F310))</f>
        <v/>
      </c>
      <c r="U310" s="46">
        <f>IF(ISNUMBER(T310),ABS(T310),"")</f>
        <v/>
      </c>
      <c r="V310" s="46">
        <f>IF(OR($D309&lt;&gt;"측정",$C309&lt;&gt;$C310,NOT(ISNUMBER(L310)),NOT(ISNUMBER(L309)),(IF(ISNUMBER(G310),G310,F310)-IF(ISNUMBER(G309),G309,F309))=0),"",(L310-L309)/(IF(ISNUMBER(G310),G310,F310)-IF(ISNUMBER(G309),G309,F309)))</f>
        <v/>
      </c>
      <c r="W310" s="30">
        <f>IF(NOT(AND(ISNUMBER(N310),ISNUMBER(P310))),"",(P310-N310)*1440)</f>
        <v/>
      </c>
      <c r="X310" s="28" t="n"/>
      <c r="Y310" s="28" t="n"/>
      <c r="Z310" s="28" t="n"/>
      <c r="AA310" s="31" t="n"/>
      <c r="AB310" s="31" t="n"/>
    </row>
    <row r="311">
      <c r="A311" s="25" t="inlineStr">
        <is>
          <t>S06</t>
        </is>
      </c>
      <c r="B311" s="25" t="inlineStr">
        <is>
          <t>길담 신규점</t>
        </is>
      </c>
      <c r="C311" s="25" t="inlineStr">
        <is>
          <t>S06-H북</t>
        </is>
      </c>
      <c r="D311" s="25" t="inlineStr">
        <is>
          <t>측정</t>
        </is>
      </c>
      <c r="E311" s="25" t="inlineStr">
        <is>
          <t>북</t>
        </is>
      </c>
      <c r="F311" s="30" t="n">
        <v>6</v>
      </c>
      <c r="G311" s="29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IF(COUNTIFS($C:$C,$C311,$D:$D,"P0(전)",$L:$L,"&gt;0")&lt;&gt;1,"P0(전) 유효 1개 아님",IF(COUNTIFS($C:$C,$C311,$D:$D,"P0(후)",$L:$L,"&gt;0")&lt;&gt;1,"P0(후) 유효 1개 아님",IF(NOT(AND(ISNUMBER(N311),ISNUMBER(P311),ISNUMBER(H311))),"시각 결측",IF(P311&lt;=N311,"P0 시각 역전",IF(OR(H311&lt;N311,H311&gt;P311),"측정시각 구간 밖","OK")))))</f>
        <v/>
      </c>
      <c r="N311" s="45">
        <f>IF(COUNTIFS($C:$C,$C311,$D:$D,"P0(전)",$L:$L,"&gt;0")&lt;&gt;1,"",SUMIFS($H:$H,$C:$C,$C311,$D:$D,"P0(전)"))</f>
        <v/>
      </c>
      <c r="O311" s="30">
        <f>IF(COUNTIFS($C:$C,$C311,$D:$D,"P0(전)",$L:$L,"&gt;0")&lt;&gt;1,"",SUMIFS($L:$L,$C:$C,$C311,$D:$D,"P0(전)"))</f>
        <v/>
      </c>
      <c r="P311" s="45">
        <f>IF(COUNTIFS($C:$C,$C311,$D:$D,"P0(후)",$L:$L,"&gt;0")&lt;&gt;1,"",SUMIFS($H:$H,$C:$C,$C311,$D:$D,"P0(후)"))</f>
        <v/>
      </c>
      <c r="Q311" s="30">
        <f>IF(COUNTIFS($C:$C,$C311,$D:$D,"P0(후)",$L:$L,"&gt;0")&lt;&gt;1,"",SUMIFS($L:$L,$C:$C,$C311,$D:$D,"P0(후)"))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IF(OR(NOT(ISNUMBER(S311)),IF(ISNUMBER(G311),G311,F311)=0),"",S311/IF(ISNUMBER(G311),G311,F311))</f>
        <v/>
      </c>
      <c r="U311" s="46">
        <f>IF(ISNUMBER(T311),ABS(T311),"")</f>
        <v/>
      </c>
      <c r="V311" s="46">
        <f>IF(OR($D310&lt;&gt;"측정",$C310&lt;&gt;$C311,NOT(ISNUMBER(L311)),NOT(ISNUMBER(L310)),(IF(ISNUMBER(G311),G311,F311)-IF(ISNUMBER(G310),G310,F310))=0),"",(L311-L310)/(IF(ISNUMBER(G311),G311,F311)-IF(ISNUMBER(G310),G310,F310)))</f>
        <v/>
      </c>
      <c r="W311" s="30">
        <f>IF(NOT(AND(ISNUMBER(N311),ISNUMBER(P311))),"",(P311-N311)*1440)</f>
        <v/>
      </c>
      <c r="X311" s="28" t="n"/>
      <c r="Y311" s="28" t="n"/>
      <c r="Z311" s="28" t="n"/>
      <c r="AA311" s="31" t="n"/>
      <c r="AB311" s="31" t="n"/>
    </row>
    <row r="312">
      <c r="A312" s="25" t="inlineStr">
        <is>
          <t>S06</t>
        </is>
      </c>
      <c r="B312" s="25" t="inlineStr">
        <is>
          <t>길담 신규점</t>
        </is>
      </c>
      <c r="C312" s="25" t="inlineStr">
        <is>
          <t>S06-H북</t>
        </is>
      </c>
      <c r="D312" s="25" t="inlineStr">
        <is>
          <t>측정</t>
        </is>
      </c>
      <c r="E312" s="25" t="inlineStr">
        <is>
          <t>북</t>
        </is>
      </c>
      <c r="F312" s="30" t="n">
        <v>7</v>
      </c>
      <c r="G312" s="29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IF(COUNTIFS($C:$C,$C312,$D:$D,"P0(전)",$L:$L,"&gt;0")&lt;&gt;1,"P0(전) 유효 1개 아님",IF(COUNTIFS($C:$C,$C312,$D:$D,"P0(후)",$L:$L,"&gt;0")&lt;&gt;1,"P0(후) 유효 1개 아님",IF(NOT(AND(ISNUMBER(N312),ISNUMBER(P312),ISNUMBER(H312))),"시각 결측",IF(P312&lt;=N312,"P0 시각 역전",IF(OR(H312&lt;N312,H312&gt;P312),"측정시각 구간 밖","OK")))))</f>
        <v/>
      </c>
      <c r="N312" s="45">
        <f>IF(COUNTIFS($C:$C,$C312,$D:$D,"P0(전)",$L:$L,"&gt;0")&lt;&gt;1,"",SUMIFS($H:$H,$C:$C,$C312,$D:$D,"P0(전)"))</f>
        <v/>
      </c>
      <c r="O312" s="30">
        <f>IF(COUNTIFS($C:$C,$C312,$D:$D,"P0(전)",$L:$L,"&gt;0")&lt;&gt;1,"",SUMIFS($L:$L,$C:$C,$C312,$D:$D,"P0(전)"))</f>
        <v/>
      </c>
      <c r="P312" s="45">
        <f>IF(COUNTIFS($C:$C,$C312,$D:$D,"P0(후)",$L:$L,"&gt;0")&lt;&gt;1,"",SUMIFS($H:$H,$C:$C,$C312,$D:$D,"P0(후)"))</f>
        <v/>
      </c>
      <c r="Q312" s="30">
        <f>IF(COUNTIFS($C:$C,$C312,$D:$D,"P0(후)",$L:$L,"&gt;0")&lt;&gt;1,"",SUMIFS($L:$L,$C:$C,$C312,$D:$D,"P0(후)"))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IF(OR(NOT(ISNUMBER(S312)),IF(ISNUMBER(G312),G312,F312)=0),"",S312/IF(ISNUMBER(G312),G312,F312))</f>
        <v/>
      </c>
      <c r="U312" s="46">
        <f>IF(ISNUMBER(T312),ABS(T312),"")</f>
        <v/>
      </c>
      <c r="V312" s="46">
        <f>IF(OR($D311&lt;&gt;"측정",$C311&lt;&gt;$C312,NOT(ISNUMBER(L312)),NOT(ISNUMBER(L311)),(IF(ISNUMBER(G312),G312,F312)-IF(ISNUMBER(G311),G311,F311))=0),"",(L312-L311)/(IF(ISNUMBER(G312),G312,F312)-IF(ISNUMBER(G311),G311,F311)))</f>
        <v/>
      </c>
      <c r="W312" s="30">
        <f>IF(NOT(AND(ISNUMBER(N312),ISNUMBER(P312))),"",(P312-N312)*1440)</f>
        <v/>
      </c>
      <c r="X312" s="28" t="n"/>
      <c r="Y312" s="28" t="n"/>
      <c r="Z312" s="28" t="n"/>
      <c r="AA312" s="31" t="n"/>
      <c r="AB312" s="31" t="n"/>
    </row>
    <row r="313">
      <c r="A313" s="25" t="inlineStr">
        <is>
          <t>S06</t>
        </is>
      </c>
      <c r="B313" s="25" t="inlineStr">
        <is>
          <t>길담 신규점</t>
        </is>
      </c>
      <c r="C313" s="25" t="inlineStr">
        <is>
          <t>S06-H북</t>
        </is>
      </c>
      <c r="D313" s="25" t="inlineStr">
        <is>
          <t>측정</t>
        </is>
      </c>
      <c r="E313" s="25" t="inlineStr">
        <is>
          <t>북</t>
        </is>
      </c>
      <c r="F313" s="30" t="n">
        <v>8</v>
      </c>
      <c r="G313" s="29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IF(COUNTIFS($C:$C,$C313,$D:$D,"P0(전)",$L:$L,"&gt;0")&lt;&gt;1,"P0(전) 유효 1개 아님",IF(COUNTIFS($C:$C,$C313,$D:$D,"P0(후)",$L:$L,"&gt;0")&lt;&gt;1,"P0(후) 유효 1개 아님",IF(NOT(AND(ISNUMBER(N313),ISNUMBER(P313),ISNUMBER(H313))),"시각 결측",IF(P313&lt;=N313,"P0 시각 역전",IF(OR(H313&lt;N313,H313&gt;P313),"측정시각 구간 밖","OK")))))</f>
        <v/>
      </c>
      <c r="N313" s="45">
        <f>IF(COUNTIFS($C:$C,$C313,$D:$D,"P0(전)",$L:$L,"&gt;0")&lt;&gt;1,"",SUMIFS($H:$H,$C:$C,$C313,$D:$D,"P0(전)"))</f>
        <v/>
      </c>
      <c r="O313" s="30">
        <f>IF(COUNTIFS($C:$C,$C313,$D:$D,"P0(전)",$L:$L,"&gt;0")&lt;&gt;1,"",SUMIFS($L:$L,$C:$C,$C313,$D:$D,"P0(전)"))</f>
        <v/>
      </c>
      <c r="P313" s="45">
        <f>IF(COUNTIFS($C:$C,$C313,$D:$D,"P0(후)",$L:$L,"&gt;0")&lt;&gt;1,"",SUMIFS($H:$H,$C:$C,$C313,$D:$D,"P0(후)"))</f>
        <v/>
      </c>
      <c r="Q313" s="30">
        <f>IF(COUNTIFS($C:$C,$C313,$D:$D,"P0(후)",$L:$L,"&gt;0")&lt;&gt;1,"",SUMIFS($L:$L,$C:$C,$C313,$D:$D,"P0(후)"))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IF(OR(NOT(ISNUMBER(S313)),IF(ISNUMBER(G313),G313,F313)=0),"",S313/IF(ISNUMBER(G313),G313,F313))</f>
        <v/>
      </c>
      <c r="U313" s="46">
        <f>IF(ISNUMBER(T313),ABS(T313),"")</f>
        <v/>
      </c>
      <c r="V313" s="46">
        <f>IF(OR($D312&lt;&gt;"측정",$C312&lt;&gt;$C313,NOT(ISNUMBER(L313)),NOT(ISNUMBER(L312)),(IF(ISNUMBER(G313),G313,F313)-IF(ISNUMBER(G312),G312,F312))=0),"",(L313-L312)/(IF(ISNUMBER(G313),G313,F313)-IF(ISNUMBER(G312),G312,F312)))</f>
        <v/>
      </c>
      <c r="W313" s="30">
        <f>IF(NOT(AND(ISNUMBER(N313),ISNUMBER(P313))),"",(P313-N313)*1440)</f>
        <v/>
      </c>
      <c r="X313" s="28" t="n"/>
      <c r="Y313" s="28" t="n"/>
      <c r="Z313" s="28" t="n"/>
      <c r="AA313" s="31" t="n"/>
      <c r="AB313" s="31" t="n"/>
    </row>
    <row r="314">
      <c r="A314" s="25" t="inlineStr">
        <is>
          <t>S06</t>
        </is>
      </c>
      <c r="B314" s="25" t="inlineStr">
        <is>
          <t>길담 신규점</t>
        </is>
      </c>
      <c r="C314" s="25" t="inlineStr">
        <is>
          <t>S06-H북</t>
        </is>
      </c>
      <c r="D314" s="25" t="inlineStr">
        <is>
          <t>측정</t>
        </is>
      </c>
      <c r="E314" s="25" t="inlineStr">
        <is>
          <t>북</t>
        </is>
      </c>
      <c r="F314" s="30" t="n">
        <v>9</v>
      </c>
      <c r="G314" s="29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IF(COUNTIFS($C:$C,$C314,$D:$D,"P0(전)",$L:$L,"&gt;0")&lt;&gt;1,"P0(전) 유효 1개 아님",IF(COUNTIFS($C:$C,$C314,$D:$D,"P0(후)",$L:$L,"&gt;0")&lt;&gt;1,"P0(후) 유효 1개 아님",IF(NOT(AND(ISNUMBER(N314),ISNUMBER(P314),ISNUMBER(H314))),"시각 결측",IF(P314&lt;=N314,"P0 시각 역전",IF(OR(H314&lt;N314,H314&gt;P314),"측정시각 구간 밖","OK")))))</f>
        <v/>
      </c>
      <c r="N314" s="45">
        <f>IF(COUNTIFS($C:$C,$C314,$D:$D,"P0(전)",$L:$L,"&gt;0")&lt;&gt;1,"",SUMIFS($H:$H,$C:$C,$C314,$D:$D,"P0(전)"))</f>
        <v/>
      </c>
      <c r="O314" s="30">
        <f>IF(COUNTIFS($C:$C,$C314,$D:$D,"P0(전)",$L:$L,"&gt;0")&lt;&gt;1,"",SUMIFS($L:$L,$C:$C,$C314,$D:$D,"P0(전)"))</f>
        <v/>
      </c>
      <c r="P314" s="45">
        <f>IF(COUNTIFS($C:$C,$C314,$D:$D,"P0(후)",$L:$L,"&gt;0")&lt;&gt;1,"",SUMIFS($H:$H,$C:$C,$C314,$D:$D,"P0(후)"))</f>
        <v/>
      </c>
      <c r="Q314" s="30">
        <f>IF(COUNTIFS($C:$C,$C314,$D:$D,"P0(후)",$L:$L,"&gt;0")&lt;&gt;1,"",SUMIFS($L:$L,$C:$C,$C314,$D:$D,"P0(후)"))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IF(OR(NOT(ISNUMBER(S314)),IF(ISNUMBER(G314),G314,F314)=0),"",S314/IF(ISNUMBER(G314),G314,F314))</f>
        <v/>
      </c>
      <c r="U314" s="46">
        <f>IF(ISNUMBER(T314),ABS(T314),"")</f>
        <v/>
      </c>
      <c r="V314" s="46">
        <f>IF(OR($D313&lt;&gt;"측정",$C313&lt;&gt;$C314,NOT(ISNUMBER(L314)),NOT(ISNUMBER(L313)),(IF(ISNUMBER(G314),G314,F314)-IF(ISNUMBER(G313),G313,F313))=0),"",(L314-L313)/(IF(ISNUMBER(G314),G314,F314)-IF(ISNUMBER(G313),G313,F313)))</f>
        <v/>
      </c>
      <c r="W314" s="30">
        <f>IF(NOT(AND(ISNUMBER(N314),ISNUMBER(P314))),"",(P314-N314)*1440)</f>
        <v/>
      </c>
      <c r="X314" s="28" t="n"/>
      <c r="Y314" s="28" t="n"/>
      <c r="Z314" s="28" t="n"/>
      <c r="AA314" s="31" t="n"/>
      <c r="AB314" s="31" t="n"/>
    </row>
    <row r="315">
      <c r="A315" s="25" t="inlineStr">
        <is>
          <t>S06</t>
        </is>
      </c>
      <c r="B315" s="25" t="inlineStr">
        <is>
          <t>길담 신규점</t>
        </is>
      </c>
      <c r="C315" s="25" t="inlineStr">
        <is>
          <t>S06-H북</t>
        </is>
      </c>
      <c r="D315" s="25" t="inlineStr">
        <is>
          <t>측정</t>
        </is>
      </c>
      <c r="E315" s="25" t="inlineStr">
        <is>
          <t>북</t>
        </is>
      </c>
      <c r="F315" s="30" t="n">
        <v>10</v>
      </c>
      <c r="G315" s="29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IF(COUNTIFS($C:$C,$C315,$D:$D,"P0(전)",$L:$L,"&gt;0")&lt;&gt;1,"P0(전) 유효 1개 아님",IF(COUNTIFS($C:$C,$C315,$D:$D,"P0(후)",$L:$L,"&gt;0")&lt;&gt;1,"P0(후) 유효 1개 아님",IF(NOT(AND(ISNUMBER(N315),ISNUMBER(P315),ISNUMBER(H315))),"시각 결측",IF(P315&lt;=N315,"P0 시각 역전",IF(OR(H315&lt;N315,H315&gt;P315),"측정시각 구간 밖","OK")))))</f>
        <v/>
      </c>
      <c r="N315" s="45">
        <f>IF(COUNTIFS($C:$C,$C315,$D:$D,"P0(전)",$L:$L,"&gt;0")&lt;&gt;1,"",SUMIFS($H:$H,$C:$C,$C315,$D:$D,"P0(전)"))</f>
        <v/>
      </c>
      <c r="O315" s="30">
        <f>IF(COUNTIFS($C:$C,$C315,$D:$D,"P0(전)",$L:$L,"&gt;0")&lt;&gt;1,"",SUMIFS($L:$L,$C:$C,$C315,$D:$D,"P0(전)"))</f>
        <v/>
      </c>
      <c r="P315" s="45">
        <f>IF(COUNTIFS($C:$C,$C315,$D:$D,"P0(후)",$L:$L,"&gt;0")&lt;&gt;1,"",SUMIFS($H:$H,$C:$C,$C315,$D:$D,"P0(후)"))</f>
        <v/>
      </c>
      <c r="Q315" s="30">
        <f>IF(COUNTIFS($C:$C,$C315,$D:$D,"P0(후)",$L:$L,"&gt;0")&lt;&gt;1,"",SUMIFS($L:$L,$C:$C,$C315,$D:$D,"P0(후)"))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IF(OR(NOT(ISNUMBER(S315)),IF(ISNUMBER(G315),G315,F315)=0),"",S315/IF(ISNUMBER(G315),G315,F315))</f>
        <v/>
      </c>
      <c r="U315" s="46">
        <f>IF(ISNUMBER(T315),ABS(T315),"")</f>
        <v/>
      </c>
      <c r="V315" s="46">
        <f>IF(OR($D314&lt;&gt;"측정",$C314&lt;&gt;$C315,NOT(ISNUMBER(L315)),NOT(ISNUMBER(L314)),(IF(ISNUMBER(G315),G315,F315)-IF(ISNUMBER(G314),G314,F314))=0),"",(L315-L314)/(IF(ISNUMBER(G315),G315,F315)-IF(ISNUMBER(G314),G314,F314)))</f>
        <v/>
      </c>
      <c r="W315" s="30">
        <f>IF(NOT(AND(ISNUMBER(N315),ISNUMBER(P315))),"",(P315-N315)*1440)</f>
        <v/>
      </c>
      <c r="X315" s="28" t="n"/>
      <c r="Y315" s="28" t="n"/>
      <c r="Z315" s="28" t="n"/>
      <c r="AA315" s="31" t="n"/>
      <c r="AB315" s="31" t="n"/>
    </row>
    <row r="316">
      <c r="A316" s="43" t="inlineStr">
        <is>
          <t>S06</t>
        </is>
      </c>
      <c r="B316" s="43" t="inlineStr">
        <is>
          <t>길담 신규점</t>
        </is>
      </c>
      <c r="C316" s="43" t="inlineStr">
        <is>
          <t>S06-H북</t>
        </is>
      </c>
      <c r="D316" s="43" t="inlineStr">
        <is>
          <t>P0(후)</t>
        </is>
      </c>
      <c r="E316" s="43" t="inlineStr">
        <is>
          <t>북</t>
        </is>
      </c>
      <c r="F316" s="44" t="n"/>
      <c r="G316" s="29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28" t="n"/>
      <c r="Y316" s="28" t="n"/>
      <c r="Z316" s="28" t="n"/>
      <c r="AA316" s="31" t="n"/>
      <c r="AB316" s="31" t="n"/>
    </row>
    <row r="317">
      <c r="A317" s="43" t="inlineStr">
        <is>
          <t>S07</t>
        </is>
      </c>
      <c r="B317" s="43" t="inlineStr">
        <is>
          <t>남해 신규점1</t>
        </is>
      </c>
      <c r="C317" s="43" t="inlineStr">
        <is>
          <t>S07-H동</t>
        </is>
      </c>
      <c r="D317" s="43" t="inlineStr">
        <is>
          <t>P0(전)</t>
        </is>
      </c>
      <c r="E317" s="43" t="inlineStr">
        <is>
          <t>동</t>
        </is>
      </c>
      <c r="F317" s="44" t="n"/>
      <c r="G317" s="29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28" t="n"/>
      <c r="Y317" s="28" t="n"/>
      <c r="Z317" s="28" t="n"/>
      <c r="AA317" s="31" t="n"/>
      <c r="AB317" s="31" t="n"/>
    </row>
    <row r="318">
      <c r="A318" s="25" t="inlineStr">
        <is>
          <t>S07</t>
        </is>
      </c>
      <c r="B318" s="25" t="inlineStr">
        <is>
          <t>남해 신규점1</t>
        </is>
      </c>
      <c r="C318" s="25" t="inlineStr">
        <is>
          <t>S07-H동</t>
        </is>
      </c>
      <c r="D318" s="25" t="inlineStr">
        <is>
          <t>측정</t>
        </is>
      </c>
      <c r="E318" s="25" t="inlineStr">
        <is>
          <t>동</t>
        </is>
      </c>
      <c r="F318" s="30" t="n">
        <v>0.5</v>
      </c>
      <c r="G318" s="29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IF(COUNTIFS($C:$C,$C318,$D:$D,"P0(전)",$L:$L,"&gt;0")&lt;&gt;1,"P0(전) 유효 1개 아님",IF(COUNTIFS($C:$C,$C318,$D:$D,"P0(후)",$L:$L,"&gt;0")&lt;&gt;1,"P0(후) 유효 1개 아님",IF(NOT(AND(ISNUMBER(N318),ISNUMBER(P318),ISNUMBER(H318))),"시각 결측",IF(P318&lt;=N318,"P0 시각 역전",IF(OR(H318&lt;N318,H318&gt;P318),"측정시각 구간 밖","OK")))))</f>
        <v/>
      </c>
      <c r="N318" s="45">
        <f>IF(COUNTIFS($C:$C,$C318,$D:$D,"P0(전)",$L:$L,"&gt;0")&lt;&gt;1,"",SUMIFS($H:$H,$C:$C,$C318,$D:$D,"P0(전)"))</f>
        <v/>
      </c>
      <c r="O318" s="30">
        <f>IF(COUNTIFS($C:$C,$C318,$D:$D,"P0(전)",$L:$L,"&gt;0")&lt;&gt;1,"",SUMIFS($L:$L,$C:$C,$C318,$D:$D,"P0(전)"))</f>
        <v/>
      </c>
      <c r="P318" s="45">
        <f>IF(COUNTIFS($C:$C,$C318,$D:$D,"P0(후)",$L:$L,"&gt;0")&lt;&gt;1,"",SUMIFS($H:$H,$C:$C,$C318,$D:$D,"P0(후)"))</f>
        <v/>
      </c>
      <c r="Q318" s="30">
        <f>IF(COUNTIFS($C:$C,$C318,$D:$D,"P0(후)",$L:$L,"&gt;0")&lt;&gt;1,"",SUMIFS($L:$L,$C:$C,$C318,$D:$D,"P0(후)"))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IF(OR(NOT(ISNUMBER(S318)),IF(ISNUMBER(G318),G318,F318)=0),"",S318/IF(ISNUMBER(G318),G318,F318))</f>
        <v/>
      </c>
      <c r="U318" s="46">
        <f>IF(ISNUMBER(T318),ABS(T318),"")</f>
        <v/>
      </c>
      <c r="V318" s="46">
        <f>IF(OR($D317&lt;&gt;"측정",$C317&lt;&gt;$C318,NOT(ISNUMBER(L318)),NOT(ISNUMBER(L317)),(IF(ISNUMBER(G318),G318,F318)-IF(ISNUMBER(G317),G317,F317))=0),"",(L318-L317)/(IF(ISNUMBER(G318),G318,F318)-IF(ISNUMBER(G317),G317,F317)))</f>
        <v/>
      </c>
      <c r="W318" s="30">
        <f>IF(NOT(AND(ISNUMBER(N318),ISNUMBER(P318))),"",(P318-N318)*1440)</f>
        <v/>
      </c>
      <c r="X318" s="28" t="n"/>
      <c r="Y318" s="28" t="n"/>
      <c r="Z318" s="28" t="n"/>
      <c r="AA318" s="31" t="n"/>
      <c r="AB318" s="31" t="n"/>
    </row>
    <row r="319">
      <c r="A319" s="25" t="inlineStr">
        <is>
          <t>S07</t>
        </is>
      </c>
      <c r="B319" s="25" t="inlineStr">
        <is>
          <t>남해 신규점1</t>
        </is>
      </c>
      <c r="C319" s="25" t="inlineStr">
        <is>
          <t>S07-H동</t>
        </is>
      </c>
      <c r="D319" s="25" t="inlineStr">
        <is>
          <t>측정</t>
        </is>
      </c>
      <c r="E319" s="25" t="inlineStr">
        <is>
          <t>동</t>
        </is>
      </c>
      <c r="F319" s="30" t="n">
        <v>1</v>
      </c>
      <c r="G319" s="29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IF(COUNTIFS($C:$C,$C319,$D:$D,"P0(전)",$L:$L,"&gt;0")&lt;&gt;1,"P0(전) 유효 1개 아님",IF(COUNTIFS($C:$C,$C319,$D:$D,"P0(후)",$L:$L,"&gt;0")&lt;&gt;1,"P0(후) 유효 1개 아님",IF(NOT(AND(ISNUMBER(N319),ISNUMBER(P319),ISNUMBER(H319))),"시각 결측",IF(P319&lt;=N319,"P0 시각 역전",IF(OR(H319&lt;N319,H319&gt;P319),"측정시각 구간 밖","OK")))))</f>
        <v/>
      </c>
      <c r="N319" s="45">
        <f>IF(COUNTIFS($C:$C,$C319,$D:$D,"P0(전)",$L:$L,"&gt;0")&lt;&gt;1,"",SUMIFS($H:$H,$C:$C,$C319,$D:$D,"P0(전)"))</f>
        <v/>
      </c>
      <c r="O319" s="30">
        <f>IF(COUNTIFS($C:$C,$C319,$D:$D,"P0(전)",$L:$L,"&gt;0")&lt;&gt;1,"",SUMIFS($L:$L,$C:$C,$C319,$D:$D,"P0(전)"))</f>
        <v/>
      </c>
      <c r="P319" s="45">
        <f>IF(COUNTIFS($C:$C,$C319,$D:$D,"P0(후)",$L:$L,"&gt;0")&lt;&gt;1,"",SUMIFS($H:$H,$C:$C,$C319,$D:$D,"P0(후)"))</f>
        <v/>
      </c>
      <c r="Q319" s="30">
        <f>IF(COUNTIFS($C:$C,$C319,$D:$D,"P0(후)",$L:$L,"&gt;0")&lt;&gt;1,"",SUMIFS($L:$L,$C:$C,$C319,$D:$D,"P0(후)"))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IF(OR(NOT(ISNUMBER(S319)),IF(ISNUMBER(G319),G319,F319)=0),"",S319/IF(ISNUMBER(G319),G319,F319))</f>
        <v/>
      </c>
      <c r="U319" s="46">
        <f>IF(ISNUMBER(T319),ABS(T319),"")</f>
        <v/>
      </c>
      <c r="V319" s="46">
        <f>IF(OR($D318&lt;&gt;"측정",$C318&lt;&gt;$C319,NOT(ISNUMBER(L319)),NOT(ISNUMBER(L318)),(IF(ISNUMBER(G319),G319,F319)-IF(ISNUMBER(G318),G318,F318))=0),"",(L319-L318)/(IF(ISNUMBER(G319),G319,F319)-IF(ISNUMBER(G318),G318,F318)))</f>
        <v/>
      </c>
      <c r="W319" s="30">
        <f>IF(NOT(AND(ISNUMBER(N319),ISNUMBER(P319))),"",(P319-N319)*1440)</f>
        <v/>
      </c>
      <c r="X319" s="28" t="n"/>
      <c r="Y319" s="28" t="n"/>
      <c r="Z319" s="28" t="n"/>
      <c r="AA319" s="31" t="n"/>
      <c r="AB319" s="31" t="n"/>
    </row>
    <row r="320">
      <c r="A320" s="25" t="inlineStr">
        <is>
          <t>S07</t>
        </is>
      </c>
      <c r="B320" s="25" t="inlineStr">
        <is>
          <t>남해 신규점1</t>
        </is>
      </c>
      <c r="C320" s="25" t="inlineStr">
        <is>
          <t>S07-H동</t>
        </is>
      </c>
      <c r="D320" s="25" t="inlineStr">
        <is>
          <t>측정</t>
        </is>
      </c>
      <c r="E320" s="25" t="inlineStr">
        <is>
          <t>동</t>
        </is>
      </c>
      <c r="F320" s="30" t="n">
        <v>2</v>
      </c>
      <c r="G320" s="29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IF(COUNTIFS($C:$C,$C320,$D:$D,"P0(전)",$L:$L,"&gt;0")&lt;&gt;1,"P0(전) 유효 1개 아님",IF(COUNTIFS($C:$C,$C320,$D:$D,"P0(후)",$L:$L,"&gt;0")&lt;&gt;1,"P0(후) 유효 1개 아님",IF(NOT(AND(ISNUMBER(N320),ISNUMBER(P320),ISNUMBER(H320))),"시각 결측",IF(P320&lt;=N320,"P0 시각 역전",IF(OR(H320&lt;N320,H320&gt;P320),"측정시각 구간 밖","OK")))))</f>
        <v/>
      </c>
      <c r="N320" s="45">
        <f>IF(COUNTIFS($C:$C,$C320,$D:$D,"P0(전)",$L:$L,"&gt;0")&lt;&gt;1,"",SUMIFS($H:$H,$C:$C,$C320,$D:$D,"P0(전)"))</f>
        <v/>
      </c>
      <c r="O320" s="30">
        <f>IF(COUNTIFS($C:$C,$C320,$D:$D,"P0(전)",$L:$L,"&gt;0")&lt;&gt;1,"",SUMIFS($L:$L,$C:$C,$C320,$D:$D,"P0(전)"))</f>
        <v/>
      </c>
      <c r="P320" s="45">
        <f>IF(COUNTIFS($C:$C,$C320,$D:$D,"P0(후)",$L:$L,"&gt;0")&lt;&gt;1,"",SUMIFS($H:$H,$C:$C,$C320,$D:$D,"P0(후)"))</f>
        <v/>
      </c>
      <c r="Q320" s="30">
        <f>IF(COUNTIFS($C:$C,$C320,$D:$D,"P0(후)",$L:$L,"&gt;0")&lt;&gt;1,"",SUMIFS($L:$L,$C:$C,$C320,$D:$D,"P0(후)"))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IF(OR(NOT(ISNUMBER(S320)),IF(ISNUMBER(G320),G320,F320)=0),"",S320/IF(ISNUMBER(G320),G320,F320))</f>
        <v/>
      </c>
      <c r="U320" s="46">
        <f>IF(ISNUMBER(T320),ABS(T320),"")</f>
        <v/>
      </c>
      <c r="V320" s="46">
        <f>IF(OR($D319&lt;&gt;"측정",$C319&lt;&gt;$C320,NOT(ISNUMBER(L320)),NOT(ISNUMBER(L319)),(IF(ISNUMBER(G320),G320,F320)-IF(ISNUMBER(G319),G319,F319))=0),"",(L320-L319)/(IF(ISNUMBER(G320),G320,F320)-IF(ISNUMBER(G319),G319,F319)))</f>
        <v/>
      </c>
      <c r="W320" s="30">
        <f>IF(NOT(AND(ISNUMBER(N320),ISNUMBER(P320))),"",(P320-N320)*1440)</f>
        <v/>
      </c>
      <c r="X320" s="28" t="n"/>
      <c r="Y320" s="28" t="n"/>
      <c r="Z320" s="28" t="n"/>
      <c r="AA320" s="31" t="n"/>
      <c r="AB320" s="31" t="n"/>
    </row>
    <row r="321">
      <c r="A321" s="25" t="inlineStr">
        <is>
          <t>S07</t>
        </is>
      </c>
      <c r="B321" s="25" t="inlineStr">
        <is>
          <t>남해 신규점1</t>
        </is>
      </c>
      <c r="C321" s="25" t="inlineStr">
        <is>
          <t>S07-H동</t>
        </is>
      </c>
      <c r="D321" s="25" t="inlineStr">
        <is>
          <t>측정</t>
        </is>
      </c>
      <c r="E321" s="25" t="inlineStr">
        <is>
          <t>동</t>
        </is>
      </c>
      <c r="F321" s="30" t="n">
        <v>3</v>
      </c>
      <c r="G321" s="29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IF(COUNTIFS($C:$C,$C321,$D:$D,"P0(전)",$L:$L,"&gt;0")&lt;&gt;1,"P0(전) 유효 1개 아님",IF(COUNTIFS($C:$C,$C321,$D:$D,"P0(후)",$L:$L,"&gt;0")&lt;&gt;1,"P0(후) 유효 1개 아님",IF(NOT(AND(ISNUMBER(N321),ISNUMBER(P321),ISNUMBER(H321))),"시각 결측",IF(P321&lt;=N321,"P0 시각 역전",IF(OR(H321&lt;N321,H321&gt;P321),"측정시각 구간 밖","OK")))))</f>
        <v/>
      </c>
      <c r="N321" s="45">
        <f>IF(COUNTIFS($C:$C,$C321,$D:$D,"P0(전)",$L:$L,"&gt;0")&lt;&gt;1,"",SUMIFS($H:$H,$C:$C,$C321,$D:$D,"P0(전)"))</f>
        <v/>
      </c>
      <c r="O321" s="30">
        <f>IF(COUNTIFS($C:$C,$C321,$D:$D,"P0(전)",$L:$L,"&gt;0")&lt;&gt;1,"",SUMIFS($L:$L,$C:$C,$C321,$D:$D,"P0(전)"))</f>
        <v/>
      </c>
      <c r="P321" s="45">
        <f>IF(COUNTIFS($C:$C,$C321,$D:$D,"P0(후)",$L:$L,"&gt;0")&lt;&gt;1,"",SUMIFS($H:$H,$C:$C,$C321,$D:$D,"P0(후)"))</f>
        <v/>
      </c>
      <c r="Q321" s="30">
        <f>IF(COUNTIFS($C:$C,$C321,$D:$D,"P0(후)",$L:$L,"&gt;0")&lt;&gt;1,"",SUMIFS($L:$L,$C:$C,$C321,$D:$D,"P0(후)"))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IF(OR(NOT(ISNUMBER(S321)),IF(ISNUMBER(G321),G321,F321)=0),"",S321/IF(ISNUMBER(G321),G321,F321))</f>
        <v/>
      </c>
      <c r="U321" s="46">
        <f>IF(ISNUMBER(T321),ABS(T321),"")</f>
        <v/>
      </c>
      <c r="V321" s="46">
        <f>IF(OR($D320&lt;&gt;"측정",$C320&lt;&gt;$C321,NOT(ISNUMBER(L321)),NOT(ISNUMBER(L320)),(IF(ISNUMBER(G321),G321,F321)-IF(ISNUMBER(G320),G320,F320))=0),"",(L321-L320)/(IF(ISNUMBER(G321),G321,F321)-IF(ISNUMBER(G320),G320,F320)))</f>
        <v/>
      </c>
      <c r="W321" s="30">
        <f>IF(NOT(AND(ISNUMBER(N321),ISNUMBER(P321))),"",(P321-N321)*1440)</f>
        <v/>
      </c>
      <c r="X321" s="28" t="n"/>
      <c r="Y321" s="28" t="n"/>
      <c r="Z321" s="28" t="n"/>
      <c r="AA321" s="31" t="n"/>
      <c r="AB321" s="31" t="n"/>
    </row>
    <row r="322">
      <c r="A322" s="25" t="inlineStr">
        <is>
          <t>S07</t>
        </is>
      </c>
      <c r="B322" s="25" t="inlineStr">
        <is>
          <t>남해 신규점1</t>
        </is>
      </c>
      <c r="C322" s="25" t="inlineStr">
        <is>
          <t>S07-H동</t>
        </is>
      </c>
      <c r="D322" s="25" t="inlineStr">
        <is>
          <t>측정</t>
        </is>
      </c>
      <c r="E322" s="25" t="inlineStr">
        <is>
          <t>동</t>
        </is>
      </c>
      <c r="F322" s="30" t="n">
        <v>4</v>
      </c>
      <c r="G322" s="29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IF(COUNTIFS($C:$C,$C322,$D:$D,"P0(전)",$L:$L,"&gt;0")&lt;&gt;1,"P0(전) 유효 1개 아님",IF(COUNTIFS($C:$C,$C322,$D:$D,"P0(후)",$L:$L,"&gt;0")&lt;&gt;1,"P0(후) 유효 1개 아님",IF(NOT(AND(ISNUMBER(N322),ISNUMBER(P322),ISNUMBER(H322))),"시각 결측",IF(P322&lt;=N322,"P0 시각 역전",IF(OR(H322&lt;N322,H322&gt;P322),"측정시각 구간 밖","OK")))))</f>
        <v/>
      </c>
      <c r="N322" s="45">
        <f>IF(COUNTIFS($C:$C,$C322,$D:$D,"P0(전)",$L:$L,"&gt;0")&lt;&gt;1,"",SUMIFS($H:$H,$C:$C,$C322,$D:$D,"P0(전)"))</f>
        <v/>
      </c>
      <c r="O322" s="30">
        <f>IF(COUNTIFS($C:$C,$C322,$D:$D,"P0(전)",$L:$L,"&gt;0")&lt;&gt;1,"",SUMIFS($L:$L,$C:$C,$C322,$D:$D,"P0(전)"))</f>
        <v/>
      </c>
      <c r="P322" s="45">
        <f>IF(COUNTIFS($C:$C,$C322,$D:$D,"P0(후)",$L:$L,"&gt;0")&lt;&gt;1,"",SUMIFS($H:$H,$C:$C,$C322,$D:$D,"P0(후)"))</f>
        <v/>
      </c>
      <c r="Q322" s="30">
        <f>IF(COUNTIFS($C:$C,$C322,$D:$D,"P0(후)",$L:$L,"&gt;0")&lt;&gt;1,"",SUMIFS($L:$L,$C:$C,$C322,$D:$D,"P0(후)"))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IF(OR(NOT(ISNUMBER(S322)),IF(ISNUMBER(G322),G322,F322)=0),"",S322/IF(ISNUMBER(G322),G322,F322))</f>
        <v/>
      </c>
      <c r="U322" s="46">
        <f>IF(ISNUMBER(T322),ABS(T322),"")</f>
        <v/>
      </c>
      <c r="V322" s="46">
        <f>IF(OR($D321&lt;&gt;"측정",$C321&lt;&gt;$C322,NOT(ISNUMBER(L322)),NOT(ISNUMBER(L321)),(IF(ISNUMBER(G322),G322,F322)-IF(ISNUMBER(G321),G321,F321))=0),"",(L322-L321)/(IF(ISNUMBER(G322),G322,F322)-IF(ISNUMBER(G321),G321,F321)))</f>
        <v/>
      </c>
      <c r="W322" s="30">
        <f>IF(NOT(AND(ISNUMBER(N322),ISNUMBER(P322))),"",(P322-N322)*1440)</f>
        <v/>
      </c>
      <c r="X322" s="28" t="n"/>
      <c r="Y322" s="28" t="n"/>
      <c r="Z322" s="28" t="n"/>
      <c r="AA322" s="31" t="n"/>
      <c r="AB322" s="31" t="n"/>
    </row>
    <row r="323">
      <c r="A323" s="25" t="inlineStr">
        <is>
          <t>S07</t>
        </is>
      </c>
      <c r="B323" s="25" t="inlineStr">
        <is>
          <t>남해 신규점1</t>
        </is>
      </c>
      <c r="C323" s="25" t="inlineStr">
        <is>
          <t>S07-H동</t>
        </is>
      </c>
      <c r="D323" s="25" t="inlineStr">
        <is>
          <t>측정</t>
        </is>
      </c>
      <c r="E323" s="25" t="inlineStr">
        <is>
          <t>동</t>
        </is>
      </c>
      <c r="F323" s="30" t="n">
        <v>5</v>
      </c>
      <c r="G323" s="29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IF(COUNTIFS($C:$C,$C323,$D:$D,"P0(전)",$L:$L,"&gt;0")&lt;&gt;1,"P0(전) 유효 1개 아님",IF(COUNTIFS($C:$C,$C323,$D:$D,"P0(후)",$L:$L,"&gt;0")&lt;&gt;1,"P0(후) 유효 1개 아님",IF(NOT(AND(ISNUMBER(N323),ISNUMBER(P323),ISNUMBER(H323))),"시각 결측",IF(P323&lt;=N323,"P0 시각 역전",IF(OR(H323&lt;N323,H323&gt;P323),"측정시각 구간 밖","OK")))))</f>
        <v/>
      </c>
      <c r="N323" s="45">
        <f>IF(COUNTIFS($C:$C,$C323,$D:$D,"P0(전)",$L:$L,"&gt;0")&lt;&gt;1,"",SUMIFS($H:$H,$C:$C,$C323,$D:$D,"P0(전)"))</f>
        <v/>
      </c>
      <c r="O323" s="30">
        <f>IF(COUNTIFS($C:$C,$C323,$D:$D,"P0(전)",$L:$L,"&gt;0")&lt;&gt;1,"",SUMIFS($L:$L,$C:$C,$C323,$D:$D,"P0(전)"))</f>
        <v/>
      </c>
      <c r="P323" s="45">
        <f>IF(COUNTIFS($C:$C,$C323,$D:$D,"P0(후)",$L:$L,"&gt;0")&lt;&gt;1,"",SUMIFS($H:$H,$C:$C,$C323,$D:$D,"P0(후)"))</f>
        <v/>
      </c>
      <c r="Q323" s="30">
        <f>IF(COUNTIFS($C:$C,$C323,$D:$D,"P0(후)",$L:$L,"&gt;0")&lt;&gt;1,"",SUMIFS($L:$L,$C:$C,$C323,$D:$D,"P0(후)"))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IF(OR(NOT(ISNUMBER(S323)),IF(ISNUMBER(G323),G323,F323)=0),"",S323/IF(ISNUMBER(G323),G323,F323))</f>
        <v/>
      </c>
      <c r="U323" s="46">
        <f>IF(ISNUMBER(T323),ABS(T323),"")</f>
        <v/>
      </c>
      <c r="V323" s="46">
        <f>IF(OR($D322&lt;&gt;"측정",$C322&lt;&gt;$C323,NOT(ISNUMBER(L323)),NOT(ISNUMBER(L322)),(IF(ISNUMBER(G323),G323,F323)-IF(ISNUMBER(G322),G322,F322))=0),"",(L323-L322)/(IF(ISNUMBER(G323),G323,F323)-IF(ISNUMBER(G322),G322,F322)))</f>
        <v/>
      </c>
      <c r="W323" s="30">
        <f>IF(NOT(AND(ISNUMBER(N323),ISNUMBER(P323))),"",(P323-N323)*1440)</f>
        <v/>
      </c>
      <c r="X323" s="28" t="n"/>
      <c r="Y323" s="28" t="n"/>
      <c r="Z323" s="28" t="n"/>
      <c r="AA323" s="31" t="n"/>
      <c r="AB323" s="31" t="n"/>
    </row>
    <row r="324">
      <c r="A324" s="25" t="inlineStr">
        <is>
          <t>S07</t>
        </is>
      </c>
      <c r="B324" s="25" t="inlineStr">
        <is>
          <t>남해 신규점1</t>
        </is>
      </c>
      <c r="C324" s="25" t="inlineStr">
        <is>
          <t>S07-H동</t>
        </is>
      </c>
      <c r="D324" s="25" t="inlineStr">
        <is>
          <t>측정</t>
        </is>
      </c>
      <c r="E324" s="25" t="inlineStr">
        <is>
          <t>동</t>
        </is>
      </c>
      <c r="F324" s="30" t="n">
        <v>6</v>
      </c>
      <c r="G324" s="29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IF(COUNTIFS($C:$C,$C324,$D:$D,"P0(전)",$L:$L,"&gt;0")&lt;&gt;1,"P0(전) 유효 1개 아님",IF(COUNTIFS($C:$C,$C324,$D:$D,"P0(후)",$L:$L,"&gt;0")&lt;&gt;1,"P0(후) 유효 1개 아님",IF(NOT(AND(ISNUMBER(N324),ISNUMBER(P324),ISNUMBER(H324))),"시각 결측",IF(P324&lt;=N324,"P0 시각 역전",IF(OR(H324&lt;N324,H324&gt;P324),"측정시각 구간 밖","OK")))))</f>
        <v/>
      </c>
      <c r="N324" s="45">
        <f>IF(COUNTIFS($C:$C,$C324,$D:$D,"P0(전)",$L:$L,"&gt;0")&lt;&gt;1,"",SUMIFS($H:$H,$C:$C,$C324,$D:$D,"P0(전)"))</f>
        <v/>
      </c>
      <c r="O324" s="30">
        <f>IF(COUNTIFS($C:$C,$C324,$D:$D,"P0(전)",$L:$L,"&gt;0")&lt;&gt;1,"",SUMIFS($L:$L,$C:$C,$C324,$D:$D,"P0(전)"))</f>
        <v/>
      </c>
      <c r="P324" s="45">
        <f>IF(COUNTIFS($C:$C,$C324,$D:$D,"P0(후)",$L:$L,"&gt;0")&lt;&gt;1,"",SUMIFS($H:$H,$C:$C,$C324,$D:$D,"P0(후)"))</f>
        <v/>
      </c>
      <c r="Q324" s="30">
        <f>IF(COUNTIFS($C:$C,$C324,$D:$D,"P0(후)",$L:$L,"&gt;0")&lt;&gt;1,"",SUMIFS($L:$L,$C:$C,$C324,$D:$D,"P0(후)"))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IF(OR(NOT(ISNUMBER(S324)),IF(ISNUMBER(G324),G324,F324)=0),"",S324/IF(ISNUMBER(G324),G324,F324))</f>
        <v/>
      </c>
      <c r="U324" s="46">
        <f>IF(ISNUMBER(T324),ABS(T324),"")</f>
        <v/>
      </c>
      <c r="V324" s="46">
        <f>IF(OR($D323&lt;&gt;"측정",$C323&lt;&gt;$C324,NOT(ISNUMBER(L324)),NOT(ISNUMBER(L323)),(IF(ISNUMBER(G324),G324,F324)-IF(ISNUMBER(G323),G323,F323))=0),"",(L324-L323)/(IF(ISNUMBER(G324),G324,F324)-IF(ISNUMBER(G323),G323,F323)))</f>
        <v/>
      </c>
      <c r="W324" s="30">
        <f>IF(NOT(AND(ISNUMBER(N324),ISNUMBER(P324))),"",(P324-N324)*1440)</f>
        <v/>
      </c>
      <c r="X324" s="28" t="n"/>
      <c r="Y324" s="28" t="n"/>
      <c r="Z324" s="28" t="n"/>
      <c r="AA324" s="31" t="n"/>
      <c r="AB324" s="31" t="n"/>
    </row>
    <row r="325">
      <c r="A325" s="25" t="inlineStr">
        <is>
          <t>S07</t>
        </is>
      </c>
      <c r="B325" s="25" t="inlineStr">
        <is>
          <t>남해 신규점1</t>
        </is>
      </c>
      <c r="C325" s="25" t="inlineStr">
        <is>
          <t>S07-H동</t>
        </is>
      </c>
      <c r="D325" s="25" t="inlineStr">
        <is>
          <t>측정</t>
        </is>
      </c>
      <c r="E325" s="25" t="inlineStr">
        <is>
          <t>동</t>
        </is>
      </c>
      <c r="F325" s="30" t="n">
        <v>7</v>
      </c>
      <c r="G325" s="29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IF(COUNTIFS($C:$C,$C325,$D:$D,"P0(전)",$L:$L,"&gt;0")&lt;&gt;1,"P0(전) 유효 1개 아님",IF(COUNTIFS($C:$C,$C325,$D:$D,"P0(후)",$L:$L,"&gt;0")&lt;&gt;1,"P0(후) 유효 1개 아님",IF(NOT(AND(ISNUMBER(N325),ISNUMBER(P325),ISNUMBER(H325))),"시각 결측",IF(P325&lt;=N325,"P0 시각 역전",IF(OR(H325&lt;N325,H325&gt;P325),"측정시각 구간 밖","OK")))))</f>
        <v/>
      </c>
      <c r="N325" s="45">
        <f>IF(COUNTIFS($C:$C,$C325,$D:$D,"P0(전)",$L:$L,"&gt;0")&lt;&gt;1,"",SUMIFS($H:$H,$C:$C,$C325,$D:$D,"P0(전)"))</f>
        <v/>
      </c>
      <c r="O325" s="30">
        <f>IF(COUNTIFS($C:$C,$C325,$D:$D,"P0(전)",$L:$L,"&gt;0")&lt;&gt;1,"",SUMIFS($L:$L,$C:$C,$C325,$D:$D,"P0(전)"))</f>
        <v/>
      </c>
      <c r="P325" s="45">
        <f>IF(COUNTIFS($C:$C,$C325,$D:$D,"P0(후)",$L:$L,"&gt;0")&lt;&gt;1,"",SUMIFS($H:$H,$C:$C,$C325,$D:$D,"P0(후)"))</f>
        <v/>
      </c>
      <c r="Q325" s="30">
        <f>IF(COUNTIFS($C:$C,$C325,$D:$D,"P0(후)",$L:$L,"&gt;0")&lt;&gt;1,"",SUMIFS($L:$L,$C:$C,$C325,$D:$D,"P0(후)"))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IF(OR(NOT(ISNUMBER(S325)),IF(ISNUMBER(G325),G325,F325)=0),"",S325/IF(ISNUMBER(G325),G325,F325))</f>
        <v/>
      </c>
      <c r="U325" s="46">
        <f>IF(ISNUMBER(T325),ABS(T325),"")</f>
        <v/>
      </c>
      <c r="V325" s="46">
        <f>IF(OR($D324&lt;&gt;"측정",$C324&lt;&gt;$C325,NOT(ISNUMBER(L325)),NOT(ISNUMBER(L324)),(IF(ISNUMBER(G325),G325,F325)-IF(ISNUMBER(G324),G324,F324))=0),"",(L325-L324)/(IF(ISNUMBER(G325),G325,F325)-IF(ISNUMBER(G324),G324,F324)))</f>
        <v/>
      </c>
      <c r="W325" s="30">
        <f>IF(NOT(AND(ISNUMBER(N325),ISNUMBER(P325))),"",(P325-N325)*1440)</f>
        <v/>
      </c>
      <c r="X325" s="28" t="n"/>
      <c r="Y325" s="28" t="n"/>
      <c r="Z325" s="28" t="n"/>
      <c r="AA325" s="31" t="n"/>
      <c r="AB325" s="31" t="n"/>
    </row>
    <row r="326">
      <c r="A326" s="25" t="inlineStr">
        <is>
          <t>S07</t>
        </is>
      </c>
      <c r="B326" s="25" t="inlineStr">
        <is>
          <t>남해 신규점1</t>
        </is>
      </c>
      <c r="C326" s="25" t="inlineStr">
        <is>
          <t>S07-H동</t>
        </is>
      </c>
      <c r="D326" s="25" t="inlineStr">
        <is>
          <t>측정</t>
        </is>
      </c>
      <c r="E326" s="25" t="inlineStr">
        <is>
          <t>동</t>
        </is>
      </c>
      <c r="F326" s="30" t="n">
        <v>8</v>
      </c>
      <c r="G326" s="29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IF(COUNTIFS($C:$C,$C326,$D:$D,"P0(전)",$L:$L,"&gt;0")&lt;&gt;1,"P0(전) 유효 1개 아님",IF(COUNTIFS($C:$C,$C326,$D:$D,"P0(후)",$L:$L,"&gt;0")&lt;&gt;1,"P0(후) 유효 1개 아님",IF(NOT(AND(ISNUMBER(N326),ISNUMBER(P326),ISNUMBER(H326))),"시각 결측",IF(P326&lt;=N326,"P0 시각 역전",IF(OR(H326&lt;N326,H326&gt;P326),"측정시각 구간 밖","OK")))))</f>
        <v/>
      </c>
      <c r="N326" s="45">
        <f>IF(COUNTIFS($C:$C,$C326,$D:$D,"P0(전)",$L:$L,"&gt;0")&lt;&gt;1,"",SUMIFS($H:$H,$C:$C,$C326,$D:$D,"P0(전)"))</f>
        <v/>
      </c>
      <c r="O326" s="30">
        <f>IF(COUNTIFS($C:$C,$C326,$D:$D,"P0(전)",$L:$L,"&gt;0")&lt;&gt;1,"",SUMIFS($L:$L,$C:$C,$C326,$D:$D,"P0(전)"))</f>
        <v/>
      </c>
      <c r="P326" s="45">
        <f>IF(COUNTIFS($C:$C,$C326,$D:$D,"P0(후)",$L:$L,"&gt;0")&lt;&gt;1,"",SUMIFS($H:$H,$C:$C,$C326,$D:$D,"P0(후)"))</f>
        <v/>
      </c>
      <c r="Q326" s="30">
        <f>IF(COUNTIFS($C:$C,$C326,$D:$D,"P0(후)",$L:$L,"&gt;0")&lt;&gt;1,"",SUMIFS($L:$L,$C:$C,$C326,$D:$D,"P0(후)"))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IF(OR(NOT(ISNUMBER(S326)),IF(ISNUMBER(G326),G326,F326)=0),"",S326/IF(ISNUMBER(G326),G326,F326))</f>
        <v/>
      </c>
      <c r="U326" s="46">
        <f>IF(ISNUMBER(T326),ABS(T326),"")</f>
        <v/>
      </c>
      <c r="V326" s="46">
        <f>IF(OR($D325&lt;&gt;"측정",$C325&lt;&gt;$C326,NOT(ISNUMBER(L326)),NOT(ISNUMBER(L325)),(IF(ISNUMBER(G326),G326,F326)-IF(ISNUMBER(G325),G325,F325))=0),"",(L326-L325)/(IF(ISNUMBER(G326),G326,F326)-IF(ISNUMBER(G325),G325,F325)))</f>
        <v/>
      </c>
      <c r="W326" s="30">
        <f>IF(NOT(AND(ISNUMBER(N326),ISNUMBER(P326))),"",(P326-N326)*1440)</f>
        <v/>
      </c>
      <c r="X326" s="28" t="n"/>
      <c r="Y326" s="28" t="n"/>
      <c r="Z326" s="28" t="n"/>
      <c r="AA326" s="31" t="n"/>
      <c r="AB326" s="31" t="n"/>
    </row>
    <row r="327">
      <c r="A327" s="25" t="inlineStr">
        <is>
          <t>S07</t>
        </is>
      </c>
      <c r="B327" s="25" t="inlineStr">
        <is>
          <t>남해 신규점1</t>
        </is>
      </c>
      <c r="C327" s="25" t="inlineStr">
        <is>
          <t>S07-H동</t>
        </is>
      </c>
      <c r="D327" s="25" t="inlineStr">
        <is>
          <t>측정</t>
        </is>
      </c>
      <c r="E327" s="25" t="inlineStr">
        <is>
          <t>동</t>
        </is>
      </c>
      <c r="F327" s="30" t="n">
        <v>9</v>
      </c>
      <c r="G327" s="29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IF(COUNTIFS($C:$C,$C327,$D:$D,"P0(전)",$L:$L,"&gt;0")&lt;&gt;1,"P0(전) 유효 1개 아님",IF(COUNTIFS($C:$C,$C327,$D:$D,"P0(후)",$L:$L,"&gt;0")&lt;&gt;1,"P0(후) 유효 1개 아님",IF(NOT(AND(ISNUMBER(N327),ISNUMBER(P327),ISNUMBER(H327))),"시각 결측",IF(P327&lt;=N327,"P0 시각 역전",IF(OR(H327&lt;N327,H327&gt;P327),"측정시각 구간 밖","OK")))))</f>
        <v/>
      </c>
      <c r="N327" s="45">
        <f>IF(COUNTIFS($C:$C,$C327,$D:$D,"P0(전)",$L:$L,"&gt;0")&lt;&gt;1,"",SUMIFS($H:$H,$C:$C,$C327,$D:$D,"P0(전)"))</f>
        <v/>
      </c>
      <c r="O327" s="30">
        <f>IF(COUNTIFS($C:$C,$C327,$D:$D,"P0(전)",$L:$L,"&gt;0")&lt;&gt;1,"",SUMIFS($L:$L,$C:$C,$C327,$D:$D,"P0(전)"))</f>
        <v/>
      </c>
      <c r="P327" s="45">
        <f>IF(COUNTIFS($C:$C,$C327,$D:$D,"P0(후)",$L:$L,"&gt;0")&lt;&gt;1,"",SUMIFS($H:$H,$C:$C,$C327,$D:$D,"P0(후)"))</f>
        <v/>
      </c>
      <c r="Q327" s="30">
        <f>IF(COUNTIFS($C:$C,$C327,$D:$D,"P0(후)",$L:$L,"&gt;0")&lt;&gt;1,"",SUMIFS($L:$L,$C:$C,$C327,$D:$D,"P0(후)"))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IF(OR(NOT(ISNUMBER(S327)),IF(ISNUMBER(G327),G327,F327)=0),"",S327/IF(ISNUMBER(G327),G327,F327))</f>
        <v/>
      </c>
      <c r="U327" s="46">
        <f>IF(ISNUMBER(T327),ABS(T327),"")</f>
        <v/>
      </c>
      <c r="V327" s="46">
        <f>IF(OR($D326&lt;&gt;"측정",$C326&lt;&gt;$C327,NOT(ISNUMBER(L327)),NOT(ISNUMBER(L326)),(IF(ISNUMBER(G327),G327,F327)-IF(ISNUMBER(G326),G326,F326))=0),"",(L327-L326)/(IF(ISNUMBER(G327),G327,F327)-IF(ISNUMBER(G326),G326,F326)))</f>
        <v/>
      </c>
      <c r="W327" s="30">
        <f>IF(NOT(AND(ISNUMBER(N327),ISNUMBER(P327))),"",(P327-N327)*1440)</f>
        <v/>
      </c>
      <c r="X327" s="28" t="n"/>
      <c r="Y327" s="28" t="n"/>
      <c r="Z327" s="28" t="n"/>
      <c r="AA327" s="31" t="n"/>
      <c r="AB327" s="31" t="n"/>
    </row>
    <row r="328">
      <c r="A328" s="25" t="inlineStr">
        <is>
          <t>S07</t>
        </is>
      </c>
      <c r="B328" s="25" t="inlineStr">
        <is>
          <t>남해 신규점1</t>
        </is>
      </c>
      <c r="C328" s="25" t="inlineStr">
        <is>
          <t>S07-H동</t>
        </is>
      </c>
      <c r="D328" s="25" t="inlineStr">
        <is>
          <t>측정</t>
        </is>
      </c>
      <c r="E328" s="25" t="inlineStr">
        <is>
          <t>동</t>
        </is>
      </c>
      <c r="F328" s="30" t="n">
        <v>10</v>
      </c>
      <c r="G328" s="29" t="n"/>
      <c r="H328" s="42" t="n"/>
      <c r="I328" s="40" t="n"/>
      <c r="J328" s="40" t="n"/>
      <c r="K328" s="40" t="n"/>
      <c r="L328" s="30">
        <f>IF(COUNT(I328:K328)=0,"",MEDIAN(I328:K328))</f>
        <v/>
      </c>
      <c r="M328" s="25">
        <f>IF(COUNTIFS($C:$C,$C328,$D:$D,"P0(전)",$L:$L,"&gt;0")&lt;&gt;1,"P0(전) 유효 1개 아님",IF(COUNTIFS($C:$C,$C328,$D:$D,"P0(후)",$L:$L,"&gt;0")&lt;&gt;1,"P0(후) 유효 1개 아님",IF(NOT(AND(ISNUMBER(N328),ISNUMBER(P328),ISNUMBER(H328))),"시각 결측",IF(P328&lt;=N328,"P0 시각 역전",IF(OR(H328&lt;N328,H328&gt;P328),"측정시각 구간 밖","OK")))))</f>
        <v/>
      </c>
      <c r="N328" s="45">
        <f>IF(COUNTIFS($C:$C,$C328,$D:$D,"P0(전)",$L:$L,"&gt;0")&lt;&gt;1,"",SUMIFS($H:$H,$C:$C,$C328,$D:$D,"P0(전)"))</f>
        <v/>
      </c>
      <c r="O328" s="30">
        <f>IF(COUNTIFS($C:$C,$C328,$D:$D,"P0(전)",$L:$L,"&gt;0")&lt;&gt;1,"",SUMIFS($L:$L,$C:$C,$C328,$D:$D,"P0(전)"))</f>
        <v/>
      </c>
      <c r="P328" s="45">
        <f>IF(COUNTIFS($C:$C,$C328,$D:$D,"P0(후)",$L:$L,"&gt;0")&lt;&gt;1,"",SUMIFS($H:$H,$C:$C,$C328,$D:$D,"P0(후)"))</f>
        <v/>
      </c>
      <c r="Q328" s="30">
        <f>IF(COUNTIFS($C:$C,$C328,$D:$D,"P0(후)",$L:$L,"&gt;0")&lt;&gt;1,"",SUMIFS($L:$L,$C:$C,$C328,$D:$D,"P0(후)"))</f>
        <v/>
      </c>
      <c r="R328" s="30">
        <f>IF(M328&lt;&gt;"OK","",O328+(Q328-O328)*(H328-N328)/(P328-N328))</f>
        <v/>
      </c>
      <c r="S328" s="30">
        <f>IF(OR(M328&lt;&gt;"OK",NOT(ISNUMBER(L328))),"",L328-R328)</f>
        <v/>
      </c>
      <c r="T328" s="46">
        <f>IF(OR(NOT(ISNUMBER(S328)),IF(ISNUMBER(G328),G328,F328)=0),"",S328/IF(ISNUMBER(G328),G328,F328))</f>
        <v/>
      </c>
      <c r="U328" s="46">
        <f>IF(ISNUMBER(T328),ABS(T328),"")</f>
        <v/>
      </c>
      <c r="V328" s="46">
        <f>IF(OR($D327&lt;&gt;"측정",$C327&lt;&gt;$C328,NOT(ISNUMBER(L328)),NOT(ISNUMBER(L327)),(IF(ISNUMBER(G328),G328,F328)-IF(ISNUMBER(G327),G327,F327))=0),"",(L328-L327)/(IF(ISNUMBER(G328),G328,F328)-IF(ISNUMBER(G327),G327,F327)))</f>
        <v/>
      </c>
      <c r="W328" s="30">
        <f>IF(NOT(AND(ISNUMBER(N328),ISNUMBER(P328))),"",(P328-N328)*1440)</f>
        <v/>
      </c>
      <c r="X328" s="28" t="n"/>
      <c r="Y328" s="28" t="n"/>
      <c r="Z328" s="28" t="n"/>
      <c r="AA328" s="31" t="n"/>
      <c r="AB328" s="31" t="n"/>
    </row>
    <row r="329">
      <c r="A329" s="43" t="inlineStr">
        <is>
          <t>S07</t>
        </is>
      </c>
      <c r="B329" s="43" t="inlineStr">
        <is>
          <t>남해 신규점1</t>
        </is>
      </c>
      <c r="C329" s="43" t="inlineStr">
        <is>
          <t>S07-H동</t>
        </is>
      </c>
      <c r="D329" s="43" t="inlineStr">
        <is>
          <t>P0(후)</t>
        </is>
      </c>
      <c r="E329" s="43" t="inlineStr">
        <is>
          <t>동</t>
        </is>
      </c>
      <c r="F329" s="44" t="n"/>
      <c r="G329" s="29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28" t="n"/>
      <c r="Y329" s="28" t="n"/>
      <c r="Z329" s="28" t="n"/>
      <c r="AA329" s="31" t="n"/>
      <c r="AB329" s="31" t="n"/>
    </row>
    <row r="330">
      <c r="A330" s="43" t="inlineStr">
        <is>
          <t>S07</t>
        </is>
      </c>
      <c r="B330" s="43" t="inlineStr">
        <is>
          <t>남해 신규점1</t>
        </is>
      </c>
      <c r="C330" s="43" t="inlineStr">
        <is>
          <t>S07-H서</t>
        </is>
      </c>
      <c r="D330" s="43" t="inlineStr">
        <is>
          <t>P0(전)</t>
        </is>
      </c>
      <c r="E330" s="43" t="inlineStr">
        <is>
          <t>서</t>
        </is>
      </c>
      <c r="F330" s="44" t="n"/>
      <c r="G330" s="29" t="n"/>
      <c r="H330" s="42" t="n"/>
      <c r="I330" s="40" t="n"/>
      <c r="J330" s="40" t="n"/>
      <c r="K330" s="40" t="n"/>
      <c r="L330" s="30">
        <f>IF(COUNT(I330:K330)=0,"",MEDIAN(I330:K330))</f>
        <v/>
      </c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28" t="n"/>
      <c r="Y330" s="28" t="n"/>
      <c r="Z330" s="28" t="n"/>
      <c r="AA330" s="31" t="n"/>
      <c r="AB330" s="31" t="n"/>
    </row>
    <row r="331">
      <c r="A331" s="25" t="inlineStr">
        <is>
          <t>S07</t>
        </is>
      </c>
      <c r="B331" s="25" t="inlineStr">
        <is>
          <t>남해 신규점1</t>
        </is>
      </c>
      <c r="C331" s="25" t="inlineStr">
        <is>
          <t>S07-H서</t>
        </is>
      </c>
      <c r="D331" s="25" t="inlineStr">
        <is>
          <t>측정</t>
        </is>
      </c>
      <c r="E331" s="25" t="inlineStr">
        <is>
          <t>서</t>
        </is>
      </c>
      <c r="F331" s="30" t="n">
        <v>0.5</v>
      </c>
      <c r="G331" s="29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IF(COUNTIFS($C:$C,$C331,$D:$D,"P0(전)",$L:$L,"&gt;0")&lt;&gt;1,"P0(전) 유효 1개 아님",IF(COUNTIFS($C:$C,$C331,$D:$D,"P0(후)",$L:$L,"&gt;0")&lt;&gt;1,"P0(후) 유효 1개 아님",IF(NOT(AND(ISNUMBER(N331),ISNUMBER(P331),ISNUMBER(H331))),"시각 결측",IF(P331&lt;=N331,"P0 시각 역전",IF(OR(H331&lt;N331,H331&gt;P331),"측정시각 구간 밖","OK")))))</f>
        <v/>
      </c>
      <c r="N331" s="45">
        <f>IF(COUNTIFS($C:$C,$C331,$D:$D,"P0(전)",$L:$L,"&gt;0")&lt;&gt;1,"",SUMIFS($H:$H,$C:$C,$C331,$D:$D,"P0(전)"))</f>
        <v/>
      </c>
      <c r="O331" s="30">
        <f>IF(COUNTIFS($C:$C,$C331,$D:$D,"P0(전)",$L:$L,"&gt;0")&lt;&gt;1,"",SUMIFS($L:$L,$C:$C,$C331,$D:$D,"P0(전)"))</f>
        <v/>
      </c>
      <c r="P331" s="45">
        <f>IF(COUNTIFS($C:$C,$C331,$D:$D,"P0(후)",$L:$L,"&gt;0")&lt;&gt;1,"",SUMIFS($H:$H,$C:$C,$C331,$D:$D,"P0(후)"))</f>
        <v/>
      </c>
      <c r="Q331" s="30">
        <f>IF(COUNTIFS($C:$C,$C331,$D:$D,"P0(후)",$L:$L,"&gt;0")&lt;&gt;1,"",SUMIFS($L:$L,$C:$C,$C331,$D:$D,"P0(후)"))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IF(OR(NOT(ISNUMBER(S331)),IF(ISNUMBER(G331),G331,F331)=0),"",S331/IF(ISNUMBER(G331),G331,F331))</f>
        <v/>
      </c>
      <c r="U331" s="46">
        <f>IF(ISNUMBER(T331),ABS(T331),"")</f>
        <v/>
      </c>
      <c r="V331" s="46">
        <f>IF(OR($D330&lt;&gt;"측정",$C330&lt;&gt;$C331,NOT(ISNUMBER(L331)),NOT(ISNUMBER(L330)),(IF(ISNUMBER(G331),G331,F331)-IF(ISNUMBER(G330),G330,F330))=0),"",(L331-L330)/(IF(ISNUMBER(G331),G331,F331)-IF(ISNUMBER(G330),G330,F330)))</f>
        <v/>
      </c>
      <c r="W331" s="30">
        <f>IF(NOT(AND(ISNUMBER(N331),ISNUMBER(P331))),"",(P331-N331)*1440)</f>
        <v/>
      </c>
      <c r="X331" s="28" t="n"/>
      <c r="Y331" s="28" t="n"/>
      <c r="Z331" s="28" t="n"/>
      <c r="AA331" s="31" t="n"/>
      <c r="AB331" s="31" t="n"/>
    </row>
    <row r="332">
      <c r="A332" s="25" t="inlineStr">
        <is>
          <t>S07</t>
        </is>
      </c>
      <c r="B332" s="25" t="inlineStr">
        <is>
          <t>남해 신규점1</t>
        </is>
      </c>
      <c r="C332" s="25" t="inlineStr">
        <is>
          <t>S07-H서</t>
        </is>
      </c>
      <c r="D332" s="25" t="inlineStr">
        <is>
          <t>측정</t>
        </is>
      </c>
      <c r="E332" s="25" t="inlineStr">
        <is>
          <t>서</t>
        </is>
      </c>
      <c r="F332" s="30" t="n">
        <v>1</v>
      </c>
      <c r="G332" s="29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IF(COUNTIFS($C:$C,$C332,$D:$D,"P0(전)",$L:$L,"&gt;0")&lt;&gt;1,"P0(전) 유효 1개 아님",IF(COUNTIFS($C:$C,$C332,$D:$D,"P0(후)",$L:$L,"&gt;0")&lt;&gt;1,"P0(후) 유효 1개 아님",IF(NOT(AND(ISNUMBER(N332),ISNUMBER(P332),ISNUMBER(H332))),"시각 결측",IF(P332&lt;=N332,"P0 시각 역전",IF(OR(H332&lt;N332,H332&gt;P332),"측정시각 구간 밖","OK")))))</f>
        <v/>
      </c>
      <c r="N332" s="45">
        <f>IF(COUNTIFS($C:$C,$C332,$D:$D,"P0(전)",$L:$L,"&gt;0")&lt;&gt;1,"",SUMIFS($H:$H,$C:$C,$C332,$D:$D,"P0(전)"))</f>
        <v/>
      </c>
      <c r="O332" s="30">
        <f>IF(COUNTIFS($C:$C,$C332,$D:$D,"P0(전)",$L:$L,"&gt;0")&lt;&gt;1,"",SUMIFS($L:$L,$C:$C,$C332,$D:$D,"P0(전)"))</f>
        <v/>
      </c>
      <c r="P332" s="45">
        <f>IF(COUNTIFS($C:$C,$C332,$D:$D,"P0(후)",$L:$L,"&gt;0")&lt;&gt;1,"",SUMIFS($H:$H,$C:$C,$C332,$D:$D,"P0(후)"))</f>
        <v/>
      </c>
      <c r="Q332" s="30">
        <f>IF(COUNTIFS($C:$C,$C332,$D:$D,"P0(후)",$L:$L,"&gt;0")&lt;&gt;1,"",SUMIFS($L:$L,$C:$C,$C332,$D:$D,"P0(후)"))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IF(OR(NOT(ISNUMBER(S332)),IF(ISNUMBER(G332),G332,F332)=0),"",S332/IF(ISNUMBER(G332),G332,F332))</f>
        <v/>
      </c>
      <c r="U332" s="46">
        <f>IF(ISNUMBER(T332),ABS(T332),"")</f>
        <v/>
      </c>
      <c r="V332" s="46">
        <f>IF(OR($D331&lt;&gt;"측정",$C331&lt;&gt;$C332,NOT(ISNUMBER(L332)),NOT(ISNUMBER(L331)),(IF(ISNUMBER(G332),G332,F332)-IF(ISNUMBER(G331),G331,F331))=0),"",(L332-L331)/(IF(ISNUMBER(G332),G332,F332)-IF(ISNUMBER(G331),G331,F331)))</f>
        <v/>
      </c>
      <c r="W332" s="30">
        <f>IF(NOT(AND(ISNUMBER(N332),ISNUMBER(P332))),"",(P332-N332)*1440)</f>
        <v/>
      </c>
      <c r="X332" s="28" t="n"/>
      <c r="Y332" s="28" t="n"/>
      <c r="Z332" s="28" t="n"/>
      <c r="AA332" s="31" t="n"/>
      <c r="AB332" s="31" t="n"/>
    </row>
    <row r="333">
      <c r="A333" s="25" t="inlineStr">
        <is>
          <t>S07</t>
        </is>
      </c>
      <c r="B333" s="25" t="inlineStr">
        <is>
          <t>남해 신규점1</t>
        </is>
      </c>
      <c r="C333" s="25" t="inlineStr">
        <is>
          <t>S07-H서</t>
        </is>
      </c>
      <c r="D333" s="25" t="inlineStr">
        <is>
          <t>측정</t>
        </is>
      </c>
      <c r="E333" s="25" t="inlineStr">
        <is>
          <t>서</t>
        </is>
      </c>
      <c r="F333" s="30" t="n">
        <v>2</v>
      </c>
      <c r="G333" s="29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IF(COUNTIFS($C:$C,$C333,$D:$D,"P0(전)",$L:$L,"&gt;0")&lt;&gt;1,"P0(전) 유효 1개 아님",IF(COUNTIFS($C:$C,$C333,$D:$D,"P0(후)",$L:$L,"&gt;0")&lt;&gt;1,"P0(후) 유효 1개 아님",IF(NOT(AND(ISNUMBER(N333),ISNUMBER(P333),ISNUMBER(H333))),"시각 결측",IF(P333&lt;=N333,"P0 시각 역전",IF(OR(H333&lt;N333,H333&gt;P333),"측정시각 구간 밖","OK")))))</f>
        <v/>
      </c>
      <c r="N333" s="45">
        <f>IF(COUNTIFS($C:$C,$C333,$D:$D,"P0(전)",$L:$L,"&gt;0")&lt;&gt;1,"",SUMIFS($H:$H,$C:$C,$C333,$D:$D,"P0(전)"))</f>
        <v/>
      </c>
      <c r="O333" s="30">
        <f>IF(COUNTIFS($C:$C,$C333,$D:$D,"P0(전)",$L:$L,"&gt;0")&lt;&gt;1,"",SUMIFS($L:$L,$C:$C,$C333,$D:$D,"P0(전)"))</f>
        <v/>
      </c>
      <c r="P333" s="45">
        <f>IF(COUNTIFS($C:$C,$C333,$D:$D,"P0(후)",$L:$L,"&gt;0")&lt;&gt;1,"",SUMIFS($H:$H,$C:$C,$C333,$D:$D,"P0(후)"))</f>
        <v/>
      </c>
      <c r="Q333" s="30">
        <f>IF(COUNTIFS($C:$C,$C333,$D:$D,"P0(후)",$L:$L,"&gt;0")&lt;&gt;1,"",SUMIFS($L:$L,$C:$C,$C333,$D:$D,"P0(후)"))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IF(OR(NOT(ISNUMBER(S333)),IF(ISNUMBER(G333),G333,F333)=0),"",S333/IF(ISNUMBER(G333),G333,F333))</f>
        <v/>
      </c>
      <c r="U333" s="46">
        <f>IF(ISNUMBER(T333),ABS(T333),"")</f>
        <v/>
      </c>
      <c r="V333" s="46">
        <f>IF(OR($D332&lt;&gt;"측정",$C332&lt;&gt;$C333,NOT(ISNUMBER(L333)),NOT(ISNUMBER(L332)),(IF(ISNUMBER(G333),G333,F333)-IF(ISNUMBER(G332),G332,F332))=0),"",(L333-L332)/(IF(ISNUMBER(G333),G333,F333)-IF(ISNUMBER(G332),G332,F332)))</f>
        <v/>
      </c>
      <c r="W333" s="30">
        <f>IF(NOT(AND(ISNUMBER(N333),ISNUMBER(P333))),"",(P333-N333)*1440)</f>
        <v/>
      </c>
      <c r="X333" s="28" t="n"/>
      <c r="Y333" s="28" t="n"/>
      <c r="Z333" s="28" t="n"/>
      <c r="AA333" s="31" t="n"/>
      <c r="AB333" s="31" t="n"/>
    </row>
    <row r="334">
      <c r="A334" s="25" t="inlineStr">
        <is>
          <t>S07</t>
        </is>
      </c>
      <c r="B334" s="25" t="inlineStr">
        <is>
          <t>남해 신규점1</t>
        </is>
      </c>
      <c r="C334" s="25" t="inlineStr">
        <is>
          <t>S07-H서</t>
        </is>
      </c>
      <c r="D334" s="25" t="inlineStr">
        <is>
          <t>측정</t>
        </is>
      </c>
      <c r="E334" s="25" t="inlineStr">
        <is>
          <t>서</t>
        </is>
      </c>
      <c r="F334" s="30" t="n">
        <v>3</v>
      </c>
      <c r="G334" s="29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IF(COUNTIFS($C:$C,$C334,$D:$D,"P0(전)",$L:$L,"&gt;0")&lt;&gt;1,"P0(전) 유효 1개 아님",IF(COUNTIFS($C:$C,$C334,$D:$D,"P0(후)",$L:$L,"&gt;0")&lt;&gt;1,"P0(후) 유효 1개 아님",IF(NOT(AND(ISNUMBER(N334),ISNUMBER(P334),ISNUMBER(H334))),"시각 결측",IF(P334&lt;=N334,"P0 시각 역전",IF(OR(H334&lt;N334,H334&gt;P334),"측정시각 구간 밖","OK")))))</f>
        <v/>
      </c>
      <c r="N334" s="45">
        <f>IF(COUNTIFS($C:$C,$C334,$D:$D,"P0(전)",$L:$L,"&gt;0")&lt;&gt;1,"",SUMIFS($H:$H,$C:$C,$C334,$D:$D,"P0(전)"))</f>
        <v/>
      </c>
      <c r="O334" s="30">
        <f>IF(COUNTIFS($C:$C,$C334,$D:$D,"P0(전)",$L:$L,"&gt;0")&lt;&gt;1,"",SUMIFS($L:$L,$C:$C,$C334,$D:$D,"P0(전)"))</f>
        <v/>
      </c>
      <c r="P334" s="45">
        <f>IF(COUNTIFS($C:$C,$C334,$D:$D,"P0(후)",$L:$L,"&gt;0")&lt;&gt;1,"",SUMIFS($H:$H,$C:$C,$C334,$D:$D,"P0(후)"))</f>
        <v/>
      </c>
      <c r="Q334" s="30">
        <f>IF(COUNTIFS($C:$C,$C334,$D:$D,"P0(후)",$L:$L,"&gt;0")&lt;&gt;1,"",SUMIFS($L:$L,$C:$C,$C334,$D:$D,"P0(후)"))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IF(OR(NOT(ISNUMBER(S334)),IF(ISNUMBER(G334),G334,F334)=0),"",S334/IF(ISNUMBER(G334),G334,F334))</f>
        <v/>
      </c>
      <c r="U334" s="46">
        <f>IF(ISNUMBER(T334),ABS(T334),"")</f>
        <v/>
      </c>
      <c r="V334" s="46">
        <f>IF(OR($D333&lt;&gt;"측정",$C333&lt;&gt;$C334,NOT(ISNUMBER(L334)),NOT(ISNUMBER(L333)),(IF(ISNUMBER(G334),G334,F334)-IF(ISNUMBER(G333),G333,F333))=0),"",(L334-L333)/(IF(ISNUMBER(G334),G334,F334)-IF(ISNUMBER(G333),G333,F333)))</f>
        <v/>
      </c>
      <c r="W334" s="30">
        <f>IF(NOT(AND(ISNUMBER(N334),ISNUMBER(P334))),"",(P334-N334)*1440)</f>
        <v/>
      </c>
      <c r="X334" s="28" t="n"/>
      <c r="Y334" s="28" t="n"/>
      <c r="Z334" s="28" t="n"/>
      <c r="AA334" s="31" t="n"/>
      <c r="AB334" s="31" t="n"/>
    </row>
    <row r="335">
      <c r="A335" s="25" t="inlineStr">
        <is>
          <t>S07</t>
        </is>
      </c>
      <c r="B335" s="25" t="inlineStr">
        <is>
          <t>남해 신규점1</t>
        </is>
      </c>
      <c r="C335" s="25" t="inlineStr">
        <is>
          <t>S07-H서</t>
        </is>
      </c>
      <c r="D335" s="25" t="inlineStr">
        <is>
          <t>측정</t>
        </is>
      </c>
      <c r="E335" s="25" t="inlineStr">
        <is>
          <t>서</t>
        </is>
      </c>
      <c r="F335" s="30" t="n">
        <v>4</v>
      </c>
      <c r="G335" s="29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IF(COUNTIFS($C:$C,$C335,$D:$D,"P0(전)",$L:$L,"&gt;0")&lt;&gt;1,"P0(전) 유효 1개 아님",IF(COUNTIFS($C:$C,$C335,$D:$D,"P0(후)",$L:$L,"&gt;0")&lt;&gt;1,"P0(후) 유효 1개 아님",IF(NOT(AND(ISNUMBER(N335),ISNUMBER(P335),ISNUMBER(H335))),"시각 결측",IF(P335&lt;=N335,"P0 시각 역전",IF(OR(H335&lt;N335,H335&gt;P335),"측정시각 구간 밖","OK")))))</f>
        <v/>
      </c>
      <c r="N335" s="45">
        <f>IF(COUNTIFS($C:$C,$C335,$D:$D,"P0(전)",$L:$L,"&gt;0")&lt;&gt;1,"",SUMIFS($H:$H,$C:$C,$C335,$D:$D,"P0(전)"))</f>
        <v/>
      </c>
      <c r="O335" s="30">
        <f>IF(COUNTIFS($C:$C,$C335,$D:$D,"P0(전)",$L:$L,"&gt;0")&lt;&gt;1,"",SUMIFS($L:$L,$C:$C,$C335,$D:$D,"P0(전)"))</f>
        <v/>
      </c>
      <c r="P335" s="45">
        <f>IF(COUNTIFS($C:$C,$C335,$D:$D,"P0(후)",$L:$L,"&gt;0")&lt;&gt;1,"",SUMIFS($H:$H,$C:$C,$C335,$D:$D,"P0(후)"))</f>
        <v/>
      </c>
      <c r="Q335" s="30">
        <f>IF(COUNTIFS($C:$C,$C335,$D:$D,"P0(후)",$L:$L,"&gt;0")&lt;&gt;1,"",SUMIFS($L:$L,$C:$C,$C335,$D:$D,"P0(후)"))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IF(OR(NOT(ISNUMBER(S335)),IF(ISNUMBER(G335),G335,F335)=0),"",S335/IF(ISNUMBER(G335),G335,F335))</f>
        <v/>
      </c>
      <c r="U335" s="46">
        <f>IF(ISNUMBER(T335),ABS(T335),"")</f>
        <v/>
      </c>
      <c r="V335" s="46">
        <f>IF(OR($D334&lt;&gt;"측정",$C334&lt;&gt;$C335,NOT(ISNUMBER(L335)),NOT(ISNUMBER(L334)),(IF(ISNUMBER(G335),G335,F335)-IF(ISNUMBER(G334),G334,F334))=0),"",(L335-L334)/(IF(ISNUMBER(G335),G335,F335)-IF(ISNUMBER(G334),G334,F334)))</f>
        <v/>
      </c>
      <c r="W335" s="30">
        <f>IF(NOT(AND(ISNUMBER(N335),ISNUMBER(P335))),"",(P335-N335)*1440)</f>
        <v/>
      </c>
      <c r="X335" s="28" t="n"/>
      <c r="Y335" s="28" t="n"/>
      <c r="Z335" s="28" t="n"/>
      <c r="AA335" s="31" t="n"/>
      <c r="AB335" s="31" t="n"/>
    </row>
    <row r="336">
      <c r="A336" s="25" t="inlineStr">
        <is>
          <t>S07</t>
        </is>
      </c>
      <c r="B336" s="25" t="inlineStr">
        <is>
          <t>남해 신규점1</t>
        </is>
      </c>
      <c r="C336" s="25" t="inlineStr">
        <is>
          <t>S07-H서</t>
        </is>
      </c>
      <c r="D336" s="25" t="inlineStr">
        <is>
          <t>측정</t>
        </is>
      </c>
      <c r="E336" s="25" t="inlineStr">
        <is>
          <t>서</t>
        </is>
      </c>
      <c r="F336" s="30" t="n">
        <v>5</v>
      </c>
      <c r="G336" s="29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IF(COUNTIFS($C:$C,$C336,$D:$D,"P0(전)",$L:$L,"&gt;0")&lt;&gt;1,"P0(전) 유효 1개 아님",IF(COUNTIFS($C:$C,$C336,$D:$D,"P0(후)",$L:$L,"&gt;0")&lt;&gt;1,"P0(후) 유효 1개 아님",IF(NOT(AND(ISNUMBER(N336),ISNUMBER(P336),ISNUMBER(H336))),"시각 결측",IF(P336&lt;=N336,"P0 시각 역전",IF(OR(H336&lt;N336,H336&gt;P336),"측정시각 구간 밖","OK")))))</f>
        <v/>
      </c>
      <c r="N336" s="45">
        <f>IF(COUNTIFS($C:$C,$C336,$D:$D,"P0(전)",$L:$L,"&gt;0")&lt;&gt;1,"",SUMIFS($H:$H,$C:$C,$C336,$D:$D,"P0(전)"))</f>
        <v/>
      </c>
      <c r="O336" s="30">
        <f>IF(COUNTIFS($C:$C,$C336,$D:$D,"P0(전)",$L:$L,"&gt;0")&lt;&gt;1,"",SUMIFS($L:$L,$C:$C,$C336,$D:$D,"P0(전)"))</f>
        <v/>
      </c>
      <c r="P336" s="45">
        <f>IF(COUNTIFS($C:$C,$C336,$D:$D,"P0(후)",$L:$L,"&gt;0")&lt;&gt;1,"",SUMIFS($H:$H,$C:$C,$C336,$D:$D,"P0(후)"))</f>
        <v/>
      </c>
      <c r="Q336" s="30">
        <f>IF(COUNTIFS($C:$C,$C336,$D:$D,"P0(후)",$L:$L,"&gt;0")&lt;&gt;1,"",SUMIFS($L:$L,$C:$C,$C336,$D:$D,"P0(후)"))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IF(OR(NOT(ISNUMBER(S336)),IF(ISNUMBER(G336),G336,F336)=0),"",S336/IF(ISNUMBER(G336),G336,F336))</f>
        <v/>
      </c>
      <c r="U336" s="46">
        <f>IF(ISNUMBER(T336),ABS(T336),"")</f>
        <v/>
      </c>
      <c r="V336" s="46">
        <f>IF(OR($D335&lt;&gt;"측정",$C335&lt;&gt;$C336,NOT(ISNUMBER(L336)),NOT(ISNUMBER(L335)),(IF(ISNUMBER(G336),G336,F336)-IF(ISNUMBER(G335),G335,F335))=0),"",(L336-L335)/(IF(ISNUMBER(G336),G336,F336)-IF(ISNUMBER(G335),G335,F335)))</f>
        <v/>
      </c>
      <c r="W336" s="30">
        <f>IF(NOT(AND(ISNUMBER(N336),ISNUMBER(P336))),"",(P336-N336)*1440)</f>
        <v/>
      </c>
      <c r="X336" s="28" t="n"/>
      <c r="Y336" s="28" t="n"/>
      <c r="Z336" s="28" t="n"/>
      <c r="AA336" s="31" t="n"/>
      <c r="AB336" s="31" t="n"/>
    </row>
    <row r="337">
      <c r="A337" s="25" t="inlineStr">
        <is>
          <t>S07</t>
        </is>
      </c>
      <c r="B337" s="25" t="inlineStr">
        <is>
          <t>남해 신규점1</t>
        </is>
      </c>
      <c r="C337" s="25" t="inlineStr">
        <is>
          <t>S07-H서</t>
        </is>
      </c>
      <c r="D337" s="25" t="inlineStr">
        <is>
          <t>측정</t>
        </is>
      </c>
      <c r="E337" s="25" t="inlineStr">
        <is>
          <t>서</t>
        </is>
      </c>
      <c r="F337" s="30" t="n">
        <v>6</v>
      </c>
      <c r="G337" s="29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IF(COUNTIFS($C:$C,$C337,$D:$D,"P0(전)",$L:$L,"&gt;0")&lt;&gt;1,"P0(전) 유효 1개 아님",IF(COUNTIFS($C:$C,$C337,$D:$D,"P0(후)",$L:$L,"&gt;0")&lt;&gt;1,"P0(후) 유효 1개 아님",IF(NOT(AND(ISNUMBER(N337),ISNUMBER(P337),ISNUMBER(H337))),"시각 결측",IF(P337&lt;=N337,"P0 시각 역전",IF(OR(H337&lt;N337,H337&gt;P337),"측정시각 구간 밖","OK")))))</f>
        <v/>
      </c>
      <c r="N337" s="45">
        <f>IF(COUNTIFS($C:$C,$C337,$D:$D,"P0(전)",$L:$L,"&gt;0")&lt;&gt;1,"",SUMIFS($H:$H,$C:$C,$C337,$D:$D,"P0(전)"))</f>
        <v/>
      </c>
      <c r="O337" s="30">
        <f>IF(COUNTIFS($C:$C,$C337,$D:$D,"P0(전)",$L:$L,"&gt;0")&lt;&gt;1,"",SUMIFS($L:$L,$C:$C,$C337,$D:$D,"P0(전)"))</f>
        <v/>
      </c>
      <c r="P337" s="45">
        <f>IF(COUNTIFS($C:$C,$C337,$D:$D,"P0(후)",$L:$L,"&gt;0")&lt;&gt;1,"",SUMIFS($H:$H,$C:$C,$C337,$D:$D,"P0(후)"))</f>
        <v/>
      </c>
      <c r="Q337" s="30">
        <f>IF(COUNTIFS($C:$C,$C337,$D:$D,"P0(후)",$L:$L,"&gt;0")&lt;&gt;1,"",SUMIFS($L:$L,$C:$C,$C337,$D:$D,"P0(후)"))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IF(OR(NOT(ISNUMBER(S337)),IF(ISNUMBER(G337),G337,F337)=0),"",S337/IF(ISNUMBER(G337),G337,F337))</f>
        <v/>
      </c>
      <c r="U337" s="46">
        <f>IF(ISNUMBER(T337),ABS(T337),"")</f>
        <v/>
      </c>
      <c r="V337" s="46">
        <f>IF(OR($D336&lt;&gt;"측정",$C336&lt;&gt;$C337,NOT(ISNUMBER(L337)),NOT(ISNUMBER(L336)),(IF(ISNUMBER(G337),G337,F337)-IF(ISNUMBER(G336),G336,F336))=0),"",(L337-L336)/(IF(ISNUMBER(G337),G337,F337)-IF(ISNUMBER(G336),G336,F336)))</f>
        <v/>
      </c>
      <c r="W337" s="30">
        <f>IF(NOT(AND(ISNUMBER(N337),ISNUMBER(P337))),"",(P337-N337)*1440)</f>
        <v/>
      </c>
      <c r="X337" s="28" t="n"/>
      <c r="Y337" s="28" t="n"/>
      <c r="Z337" s="28" t="n"/>
      <c r="AA337" s="31" t="n"/>
      <c r="AB337" s="31" t="n"/>
    </row>
    <row r="338">
      <c r="A338" s="25" t="inlineStr">
        <is>
          <t>S07</t>
        </is>
      </c>
      <c r="B338" s="25" t="inlineStr">
        <is>
          <t>남해 신규점1</t>
        </is>
      </c>
      <c r="C338" s="25" t="inlineStr">
        <is>
          <t>S07-H서</t>
        </is>
      </c>
      <c r="D338" s="25" t="inlineStr">
        <is>
          <t>측정</t>
        </is>
      </c>
      <c r="E338" s="25" t="inlineStr">
        <is>
          <t>서</t>
        </is>
      </c>
      <c r="F338" s="30" t="n">
        <v>7</v>
      </c>
      <c r="G338" s="29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IF(COUNTIFS($C:$C,$C338,$D:$D,"P0(전)",$L:$L,"&gt;0")&lt;&gt;1,"P0(전) 유효 1개 아님",IF(COUNTIFS($C:$C,$C338,$D:$D,"P0(후)",$L:$L,"&gt;0")&lt;&gt;1,"P0(후) 유효 1개 아님",IF(NOT(AND(ISNUMBER(N338),ISNUMBER(P338),ISNUMBER(H338))),"시각 결측",IF(P338&lt;=N338,"P0 시각 역전",IF(OR(H338&lt;N338,H338&gt;P338),"측정시각 구간 밖","OK")))))</f>
        <v/>
      </c>
      <c r="N338" s="45">
        <f>IF(COUNTIFS($C:$C,$C338,$D:$D,"P0(전)",$L:$L,"&gt;0")&lt;&gt;1,"",SUMIFS($H:$H,$C:$C,$C338,$D:$D,"P0(전)"))</f>
        <v/>
      </c>
      <c r="O338" s="30">
        <f>IF(COUNTIFS($C:$C,$C338,$D:$D,"P0(전)",$L:$L,"&gt;0")&lt;&gt;1,"",SUMIFS($L:$L,$C:$C,$C338,$D:$D,"P0(전)"))</f>
        <v/>
      </c>
      <c r="P338" s="45">
        <f>IF(COUNTIFS($C:$C,$C338,$D:$D,"P0(후)",$L:$L,"&gt;0")&lt;&gt;1,"",SUMIFS($H:$H,$C:$C,$C338,$D:$D,"P0(후)"))</f>
        <v/>
      </c>
      <c r="Q338" s="30">
        <f>IF(COUNTIFS($C:$C,$C338,$D:$D,"P0(후)",$L:$L,"&gt;0")&lt;&gt;1,"",SUMIFS($L:$L,$C:$C,$C338,$D:$D,"P0(후)"))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IF(OR(NOT(ISNUMBER(S338)),IF(ISNUMBER(G338),G338,F338)=0),"",S338/IF(ISNUMBER(G338),G338,F338))</f>
        <v/>
      </c>
      <c r="U338" s="46">
        <f>IF(ISNUMBER(T338),ABS(T338),"")</f>
        <v/>
      </c>
      <c r="V338" s="46">
        <f>IF(OR($D337&lt;&gt;"측정",$C337&lt;&gt;$C338,NOT(ISNUMBER(L338)),NOT(ISNUMBER(L337)),(IF(ISNUMBER(G338),G338,F338)-IF(ISNUMBER(G337),G337,F337))=0),"",(L338-L337)/(IF(ISNUMBER(G338),G338,F338)-IF(ISNUMBER(G337),G337,F337)))</f>
        <v/>
      </c>
      <c r="W338" s="30">
        <f>IF(NOT(AND(ISNUMBER(N338),ISNUMBER(P338))),"",(P338-N338)*1440)</f>
        <v/>
      </c>
      <c r="X338" s="28" t="n"/>
      <c r="Y338" s="28" t="n"/>
      <c r="Z338" s="28" t="n"/>
      <c r="AA338" s="31" t="n"/>
      <c r="AB338" s="31" t="n"/>
    </row>
    <row r="339">
      <c r="A339" s="25" t="inlineStr">
        <is>
          <t>S07</t>
        </is>
      </c>
      <c r="B339" s="25" t="inlineStr">
        <is>
          <t>남해 신규점1</t>
        </is>
      </c>
      <c r="C339" s="25" t="inlineStr">
        <is>
          <t>S07-H서</t>
        </is>
      </c>
      <c r="D339" s="25" t="inlineStr">
        <is>
          <t>측정</t>
        </is>
      </c>
      <c r="E339" s="25" t="inlineStr">
        <is>
          <t>서</t>
        </is>
      </c>
      <c r="F339" s="30" t="n">
        <v>8</v>
      </c>
      <c r="G339" s="29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IF(COUNTIFS($C:$C,$C339,$D:$D,"P0(전)",$L:$L,"&gt;0")&lt;&gt;1,"P0(전) 유효 1개 아님",IF(COUNTIFS($C:$C,$C339,$D:$D,"P0(후)",$L:$L,"&gt;0")&lt;&gt;1,"P0(후) 유효 1개 아님",IF(NOT(AND(ISNUMBER(N339),ISNUMBER(P339),ISNUMBER(H339))),"시각 결측",IF(P339&lt;=N339,"P0 시각 역전",IF(OR(H339&lt;N339,H339&gt;P339),"측정시각 구간 밖","OK")))))</f>
        <v/>
      </c>
      <c r="N339" s="45">
        <f>IF(COUNTIFS($C:$C,$C339,$D:$D,"P0(전)",$L:$L,"&gt;0")&lt;&gt;1,"",SUMIFS($H:$H,$C:$C,$C339,$D:$D,"P0(전)"))</f>
        <v/>
      </c>
      <c r="O339" s="30">
        <f>IF(COUNTIFS($C:$C,$C339,$D:$D,"P0(전)",$L:$L,"&gt;0")&lt;&gt;1,"",SUMIFS($L:$L,$C:$C,$C339,$D:$D,"P0(전)"))</f>
        <v/>
      </c>
      <c r="P339" s="45">
        <f>IF(COUNTIFS($C:$C,$C339,$D:$D,"P0(후)",$L:$L,"&gt;0")&lt;&gt;1,"",SUMIFS($H:$H,$C:$C,$C339,$D:$D,"P0(후)"))</f>
        <v/>
      </c>
      <c r="Q339" s="30">
        <f>IF(COUNTIFS($C:$C,$C339,$D:$D,"P0(후)",$L:$L,"&gt;0")&lt;&gt;1,"",SUMIFS($L:$L,$C:$C,$C339,$D:$D,"P0(후)"))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IF(OR(NOT(ISNUMBER(S339)),IF(ISNUMBER(G339),G339,F339)=0),"",S339/IF(ISNUMBER(G339),G339,F339))</f>
        <v/>
      </c>
      <c r="U339" s="46">
        <f>IF(ISNUMBER(T339),ABS(T339),"")</f>
        <v/>
      </c>
      <c r="V339" s="46">
        <f>IF(OR($D338&lt;&gt;"측정",$C338&lt;&gt;$C339,NOT(ISNUMBER(L339)),NOT(ISNUMBER(L338)),(IF(ISNUMBER(G339),G339,F339)-IF(ISNUMBER(G338),G338,F338))=0),"",(L339-L338)/(IF(ISNUMBER(G339),G339,F339)-IF(ISNUMBER(G338),G338,F338)))</f>
        <v/>
      </c>
      <c r="W339" s="30">
        <f>IF(NOT(AND(ISNUMBER(N339),ISNUMBER(P339))),"",(P339-N339)*1440)</f>
        <v/>
      </c>
      <c r="X339" s="28" t="n"/>
      <c r="Y339" s="28" t="n"/>
      <c r="Z339" s="28" t="n"/>
      <c r="AA339" s="31" t="n"/>
      <c r="AB339" s="31" t="n"/>
    </row>
    <row r="340">
      <c r="A340" s="25" t="inlineStr">
        <is>
          <t>S07</t>
        </is>
      </c>
      <c r="B340" s="25" t="inlineStr">
        <is>
          <t>남해 신규점1</t>
        </is>
      </c>
      <c r="C340" s="25" t="inlineStr">
        <is>
          <t>S07-H서</t>
        </is>
      </c>
      <c r="D340" s="25" t="inlineStr">
        <is>
          <t>측정</t>
        </is>
      </c>
      <c r="E340" s="25" t="inlineStr">
        <is>
          <t>서</t>
        </is>
      </c>
      <c r="F340" s="30" t="n">
        <v>9</v>
      </c>
      <c r="G340" s="29" t="n"/>
      <c r="H340" s="42" t="n"/>
      <c r="I340" s="40" t="n"/>
      <c r="J340" s="40" t="n"/>
      <c r="K340" s="40" t="n"/>
      <c r="L340" s="30">
        <f>IF(COUNT(I340:K340)=0,"",MEDIAN(I340:K340))</f>
        <v/>
      </c>
      <c r="M340" s="25">
        <f>IF(COUNTIFS($C:$C,$C340,$D:$D,"P0(전)",$L:$L,"&gt;0")&lt;&gt;1,"P0(전) 유효 1개 아님",IF(COUNTIFS($C:$C,$C340,$D:$D,"P0(후)",$L:$L,"&gt;0")&lt;&gt;1,"P0(후) 유효 1개 아님",IF(NOT(AND(ISNUMBER(N340),ISNUMBER(P340),ISNUMBER(H340))),"시각 결측",IF(P340&lt;=N340,"P0 시각 역전",IF(OR(H340&lt;N340,H340&gt;P340),"측정시각 구간 밖","OK")))))</f>
        <v/>
      </c>
      <c r="N340" s="45">
        <f>IF(COUNTIFS($C:$C,$C340,$D:$D,"P0(전)",$L:$L,"&gt;0")&lt;&gt;1,"",SUMIFS($H:$H,$C:$C,$C340,$D:$D,"P0(전)"))</f>
        <v/>
      </c>
      <c r="O340" s="30">
        <f>IF(COUNTIFS($C:$C,$C340,$D:$D,"P0(전)",$L:$L,"&gt;0")&lt;&gt;1,"",SUMIFS($L:$L,$C:$C,$C340,$D:$D,"P0(전)"))</f>
        <v/>
      </c>
      <c r="P340" s="45">
        <f>IF(COUNTIFS($C:$C,$C340,$D:$D,"P0(후)",$L:$L,"&gt;0")&lt;&gt;1,"",SUMIFS($H:$H,$C:$C,$C340,$D:$D,"P0(후)"))</f>
        <v/>
      </c>
      <c r="Q340" s="30">
        <f>IF(COUNTIFS($C:$C,$C340,$D:$D,"P0(후)",$L:$L,"&gt;0")&lt;&gt;1,"",SUMIFS($L:$L,$C:$C,$C340,$D:$D,"P0(후)"))</f>
        <v/>
      </c>
      <c r="R340" s="30">
        <f>IF(M340&lt;&gt;"OK","",O340+(Q340-O340)*(H340-N340)/(P340-N340))</f>
        <v/>
      </c>
      <c r="S340" s="30">
        <f>IF(OR(M340&lt;&gt;"OK",NOT(ISNUMBER(L340))),"",L340-R340)</f>
        <v/>
      </c>
      <c r="T340" s="46">
        <f>IF(OR(NOT(ISNUMBER(S340)),IF(ISNUMBER(G340),G340,F340)=0),"",S340/IF(ISNUMBER(G340),G340,F340))</f>
        <v/>
      </c>
      <c r="U340" s="46">
        <f>IF(ISNUMBER(T340),ABS(T340),"")</f>
        <v/>
      </c>
      <c r="V340" s="46">
        <f>IF(OR($D339&lt;&gt;"측정",$C339&lt;&gt;$C340,NOT(ISNUMBER(L340)),NOT(ISNUMBER(L339)),(IF(ISNUMBER(G340),G340,F340)-IF(ISNUMBER(G339),G339,F339))=0),"",(L340-L339)/(IF(ISNUMBER(G340),G340,F340)-IF(ISNUMBER(G339),G339,F339)))</f>
        <v/>
      </c>
      <c r="W340" s="30">
        <f>IF(NOT(AND(ISNUMBER(N340),ISNUMBER(P340))),"",(P340-N340)*1440)</f>
        <v/>
      </c>
      <c r="X340" s="28" t="n"/>
      <c r="Y340" s="28" t="n"/>
      <c r="Z340" s="28" t="n"/>
      <c r="AA340" s="31" t="n"/>
      <c r="AB340" s="31" t="n"/>
    </row>
    <row r="341">
      <c r="A341" s="25" t="inlineStr">
        <is>
          <t>S07</t>
        </is>
      </c>
      <c r="B341" s="25" t="inlineStr">
        <is>
          <t>남해 신규점1</t>
        </is>
      </c>
      <c r="C341" s="25" t="inlineStr">
        <is>
          <t>S07-H서</t>
        </is>
      </c>
      <c r="D341" s="25" t="inlineStr">
        <is>
          <t>측정</t>
        </is>
      </c>
      <c r="E341" s="25" t="inlineStr">
        <is>
          <t>서</t>
        </is>
      </c>
      <c r="F341" s="30" t="n">
        <v>10</v>
      </c>
      <c r="G341" s="29" t="n"/>
      <c r="H341" s="42" t="n"/>
      <c r="I341" s="40" t="n"/>
      <c r="J341" s="40" t="n"/>
      <c r="K341" s="40" t="n"/>
      <c r="L341" s="30">
        <f>IF(COUNT(I341:K341)=0,"",MEDIAN(I341:K341))</f>
        <v/>
      </c>
      <c r="M341" s="25">
        <f>IF(COUNTIFS($C:$C,$C341,$D:$D,"P0(전)",$L:$L,"&gt;0")&lt;&gt;1,"P0(전) 유효 1개 아님",IF(COUNTIFS($C:$C,$C341,$D:$D,"P0(후)",$L:$L,"&gt;0")&lt;&gt;1,"P0(후) 유효 1개 아님",IF(NOT(AND(ISNUMBER(N341),ISNUMBER(P341),ISNUMBER(H341))),"시각 결측",IF(P341&lt;=N341,"P0 시각 역전",IF(OR(H341&lt;N341,H341&gt;P341),"측정시각 구간 밖","OK")))))</f>
        <v/>
      </c>
      <c r="N341" s="45">
        <f>IF(COUNTIFS($C:$C,$C341,$D:$D,"P0(전)",$L:$L,"&gt;0")&lt;&gt;1,"",SUMIFS($H:$H,$C:$C,$C341,$D:$D,"P0(전)"))</f>
        <v/>
      </c>
      <c r="O341" s="30">
        <f>IF(COUNTIFS($C:$C,$C341,$D:$D,"P0(전)",$L:$L,"&gt;0")&lt;&gt;1,"",SUMIFS($L:$L,$C:$C,$C341,$D:$D,"P0(전)"))</f>
        <v/>
      </c>
      <c r="P341" s="45">
        <f>IF(COUNTIFS($C:$C,$C341,$D:$D,"P0(후)",$L:$L,"&gt;0")&lt;&gt;1,"",SUMIFS($H:$H,$C:$C,$C341,$D:$D,"P0(후)"))</f>
        <v/>
      </c>
      <c r="Q341" s="30">
        <f>IF(COUNTIFS($C:$C,$C341,$D:$D,"P0(후)",$L:$L,"&gt;0")&lt;&gt;1,"",SUMIFS($L:$L,$C:$C,$C341,$D:$D,"P0(후)"))</f>
        <v/>
      </c>
      <c r="R341" s="30">
        <f>IF(M341&lt;&gt;"OK","",O341+(Q341-O341)*(H341-N341)/(P341-N341))</f>
        <v/>
      </c>
      <c r="S341" s="30">
        <f>IF(OR(M341&lt;&gt;"OK",NOT(ISNUMBER(L341))),"",L341-R341)</f>
        <v/>
      </c>
      <c r="T341" s="46">
        <f>IF(OR(NOT(ISNUMBER(S341)),IF(ISNUMBER(G341),G341,F341)=0),"",S341/IF(ISNUMBER(G341),G341,F341))</f>
        <v/>
      </c>
      <c r="U341" s="46">
        <f>IF(ISNUMBER(T341),ABS(T341),"")</f>
        <v/>
      </c>
      <c r="V341" s="46">
        <f>IF(OR($D340&lt;&gt;"측정",$C340&lt;&gt;$C341,NOT(ISNUMBER(L341)),NOT(ISNUMBER(L340)),(IF(ISNUMBER(G341),G341,F341)-IF(ISNUMBER(G340),G340,F340))=0),"",(L341-L340)/(IF(ISNUMBER(G341),G341,F341)-IF(ISNUMBER(G340),G340,F340)))</f>
        <v/>
      </c>
      <c r="W341" s="30">
        <f>IF(NOT(AND(ISNUMBER(N341),ISNUMBER(P341))),"",(P341-N341)*1440)</f>
        <v/>
      </c>
      <c r="X341" s="28" t="n"/>
      <c r="Y341" s="28" t="n"/>
      <c r="Z341" s="28" t="n"/>
      <c r="AA341" s="31" t="n"/>
      <c r="AB341" s="31" t="n"/>
    </row>
    <row r="342">
      <c r="A342" s="43" t="inlineStr">
        <is>
          <t>S07</t>
        </is>
      </c>
      <c r="B342" s="43" t="inlineStr">
        <is>
          <t>남해 신규점1</t>
        </is>
      </c>
      <c r="C342" s="43" t="inlineStr">
        <is>
          <t>S07-H서</t>
        </is>
      </c>
      <c r="D342" s="43" t="inlineStr">
        <is>
          <t>P0(후)</t>
        </is>
      </c>
      <c r="E342" s="43" t="inlineStr">
        <is>
          <t>서</t>
        </is>
      </c>
      <c r="F342" s="44" t="n"/>
      <c r="G342" s="29" t="n"/>
      <c r="H342" s="42" t="n"/>
      <c r="I342" s="40" t="n"/>
      <c r="J342" s="40" t="n"/>
      <c r="K342" s="40" t="n"/>
      <c r="L342" s="30">
        <f>IF(COUNT(I342:K342)=0,"",MEDIAN(I342:K342))</f>
        <v/>
      </c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28" t="n"/>
      <c r="Y342" s="28" t="n"/>
      <c r="Z342" s="28" t="n"/>
      <c r="AA342" s="31" t="n"/>
      <c r="AB342" s="31" t="n"/>
    </row>
    <row r="343">
      <c r="A343" s="43" t="inlineStr">
        <is>
          <t>S07</t>
        </is>
      </c>
      <c r="B343" s="43" t="inlineStr">
        <is>
          <t>남해 신규점1</t>
        </is>
      </c>
      <c r="C343" s="43" t="inlineStr">
        <is>
          <t>S07-H남</t>
        </is>
      </c>
      <c r="D343" s="43" t="inlineStr">
        <is>
          <t>P0(전)</t>
        </is>
      </c>
      <c r="E343" s="43" t="inlineStr">
        <is>
          <t>남</t>
        </is>
      </c>
      <c r="F343" s="44" t="n"/>
      <c r="G343" s="29" t="n"/>
      <c r="H343" s="42" t="n"/>
      <c r="I343" s="40" t="n"/>
      <c r="J343" s="40" t="n"/>
      <c r="K343" s="40" t="n"/>
      <c r="L343" s="30">
        <f>IF(COUNT(I343:K343)=0,"",MEDIAN(I343:K343))</f>
        <v/>
      </c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28" t="n"/>
      <c r="Y343" s="28" t="n"/>
      <c r="Z343" s="28" t="n"/>
      <c r="AA343" s="31" t="n"/>
      <c r="AB343" s="31" t="n"/>
    </row>
    <row r="344">
      <c r="A344" s="25" t="inlineStr">
        <is>
          <t>S07</t>
        </is>
      </c>
      <c r="B344" s="25" t="inlineStr">
        <is>
          <t>남해 신규점1</t>
        </is>
      </c>
      <c r="C344" s="25" t="inlineStr">
        <is>
          <t>S07-H남</t>
        </is>
      </c>
      <c r="D344" s="25" t="inlineStr">
        <is>
          <t>측정</t>
        </is>
      </c>
      <c r="E344" s="25" t="inlineStr">
        <is>
          <t>남</t>
        </is>
      </c>
      <c r="F344" s="30" t="n">
        <v>0.5</v>
      </c>
      <c r="G344" s="29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IF(COUNTIFS($C:$C,$C344,$D:$D,"P0(전)",$L:$L,"&gt;0")&lt;&gt;1,"P0(전) 유효 1개 아님",IF(COUNTIFS($C:$C,$C344,$D:$D,"P0(후)",$L:$L,"&gt;0")&lt;&gt;1,"P0(후) 유효 1개 아님",IF(NOT(AND(ISNUMBER(N344),ISNUMBER(P344),ISNUMBER(H344))),"시각 결측",IF(P344&lt;=N344,"P0 시각 역전",IF(OR(H344&lt;N344,H344&gt;P344),"측정시각 구간 밖","OK")))))</f>
        <v/>
      </c>
      <c r="N344" s="45">
        <f>IF(COUNTIFS($C:$C,$C344,$D:$D,"P0(전)",$L:$L,"&gt;0")&lt;&gt;1,"",SUMIFS($H:$H,$C:$C,$C344,$D:$D,"P0(전)"))</f>
        <v/>
      </c>
      <c r="O344" s="30">
        <f>IF(COUNTIFS($C:$C,$C344,$D:$D,"P0(전)",$L:$L,"&gt;0")&lt;&gt;1,"",SUMIFS($L:$L,$C:$C,$C344,$D:$D,"P0(전)"))</f>
        <v/>
      </c>
      <c r="P344" s="45">
        <f>IF(COUNTIFS($C:$C,$C344,$D:$D,"P0(후)",$L:$L,"&gt;0")&lt;&gt;1,"",SUMIFS($H:$H,$C:$C,$C344,$D:$D,"P0(후)"))</f>
        <v/>
      </c>
      <c r="Q344" s="30">
        <f>IF(COUNTIFS($C:$C,$C344,$D:$D,"P0(후)",$L:$L,"&gt;0")&lt;&gt;1,"",SUMIFS($L:$L,$C:$C,$C344,$D:$D,"P0(후)"))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IF(OR(NOT(ISNUMBER(S344)),IF(ISNUMBER(G344),G344,F344)=0),"",S344/IF(ISNUMBER(G344),G344,F344))</f>
        <v/>
      </c>
      <c r="U344" s="46">
        <f>IF(ISNUMBER(T344),ABS(T344),"")</f>
        <v/>
      </c>
      <c r="V344" s="46">
        <f>IF(OR($D343&lt;&gt;"측정",$C343&lt;&gt;$C344,NOT(ISNUMBER(L344)),NOT(ISNUMBER(L343)),(IF(ISNUMBER(G344),G344,F344)-IF(ISNUMBER(G343),G343,F343))=0),"",(L344-L343)/(IF(ISNUMBER(G344),G344,F344)-IF(ISNUMBER(G343),G343,F343)))</f>
        <v/>
      </c>
      <c r="W344" s="30">
        <f>IF(NOT(AND(ISNUMBER(N344),ISNUMBER(P344))),"",(P344-N344)*1440)</f>
        <v/>
      </c>
      <c r="X344" s="28" t="n"/>
      <c r="Y344" s="28" t="n"/>
      <c r="Z344" s="28" t="n"/>
      <c r="AA344" s="31" t="n"/>
      <c r="AB344" s="31" t="n"/>
    </row>
    <row r="345">
      <c r="A345" s="25" t="inlineStr">
        <is>
          <t>S07</t>
        </is>
      </c>
      <c r="B345" s="25" t="inlineStr">
        <is>
          <t>남해 신규점1</t>
        </is>
      </c>
      <c r="C345" s="25" t="inlineStr">
        <is>
          <t>S07-H남</t>
        </is>
      </c>
      <c r="D345" s="25" t="inlineStr">
        <is>
          <t>측정</t>
        </is>
      </c>
      <c r="E345" s="25" t="inlineStr">
        <is>
          <t>남</t>
        </is>
      </c>
      <c r="F345" s="30" t="n">
        <v>1</v>
      </c>
      <c r="G345" s="29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IF(COUNTIFS($C:$C,$C345,$D:$D,"P0(전)",$L:$L,"&gt;0")&lt;&gt;1,"P0(전) 유효 1개 아님",IF(COUNTIFS($C:$C,$C345,$D:$D,"P0(후)",$L:$L,"&gt;0")&lt;&gt;1,"P0(후) 유효 1개 아님",IF(NOT(AND(ISNUMBER(N345),ISNUMBER(P345),ISNUMBER(H345))),"시각 결측",IF(P345&lt;=N345,"P0 시각 역전",IF(OR(H345&lt;N345,H345&gt;P345),"측정시각 구간 밖","OK")))))</f>
        <v/>
      </c>
      <c r="N345" s="45">
        <f>IF(COUNTIFS($C:$C,$C345,$D:$D,"P0(전)",$L:$L,"&gt;0")&lt;&gt;1,"",SUMIFS($H:$H,$C:$C,$C345,$D:$D,"P0(전)"))</f>
        <v/>
      </c>
      <c r="O345" s="30">
        <f>IF(COUNTIFS($C:$C,$C345,$D:$D,"P0(전)",$L:$L,"&gt;0")&lt;&gt;1,"",SUMIFS($L:$L,$C:$C,$C345,$D:$D,"P0(전)"))</f>
        <v/>
      </c>
      <c r="P345" s="45">
        <f>IF(COUNTIFS($C:$C,$C345,$D:$D,"P0(후)",$L:$L,"&gt;0")&lt;&gt;1,"",SUMIFS($H:$H,$C:$C,$C345,$D:$D,"P0(후)"))</f>
        <v/>
      </c>
      <c r="Q345" s="30">
        <f>IF(COUNTIFS($C:$C,$C345,$D:$D,"P0(후)",$L:$L,"&gt;0")&lt;&gt;1,"",SUMIFS($L:$L,$C:$C,$C345,$D:$D,"P0(후)"))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IF(OR(NOT(ISNUMBER(S345)),IF(ISNUMBER(G345),G345,F345)=0),"",S345/IF(ISNUMBER(G345),G345,F345))</f>
        <v/>
      </c>
      <c r="U345" s="46">
        <f>IF(ISNUMBER(T345),ABS(T345),"")</f>
        <v/>
      </c>
      <c r="V345" s="46">
        <f>IF(OR($D344&lt;&gt;"측정",$C344&lt;&gt;$C345,NOT(ISNUMBER(L345)),NOT(ISNUMBER(L344)),(IF(ISNUMBER(G345),G345,F345)-IF(ISNUMBER(G344),G344,F344))=0),"",(L345-L344)/(IF(ISNUMBER(G345),G345,F345)-IF(ISNUMBER(G344),G344,F344)))</f>
        <v/>
      </c>
      <c r="W345" s="30">
        <f>IF(NOT(AND(ISNUMBER(N345),ISNUMBER(P345))),"",(P345-N345)*1440)</f>
        <v/>
      </c>
      <c r="X345" s="28" t="n"/>
      <c r="Y345" s="28" t="n"/>
      <c r="Z345" s="28" t="n"/>
      <c r="AA345" s="31" t="n"/>
      <c r="AB345" s="31" t="n"/>
    </row>
    <row r="346">
      <c r="A346" s="25" t="inlineStr">
        <is>
          <t>S07</t>
        </is>
      </c>
      <c r="B346" s="25" t="inlineStr">
        <is>
          <t>남해 신규점1</t>
        </is>
      </c>
      <c r="C346" s="25" t="inlineStr">
        <is>
          <t>S07-H남</t>
        </is>
      </c>
      <c r="D346" s="25" t="inlineStr">
        <is>
          <t>측정</t>
        </is>
      </c>
      <c r="E346" s="25" t="inlineStr">
        <is>
          <t>남</t>
        </is>
      </c>
      <c r="F346" s="30" t="n">
        <v>2</v>
      </c>
      <c r="G346" s="29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IF(COUNTIFS($C:$C,$C346,$D:$D,"P0(전)",$L:$L,"&gt;0")&lt;&gt;1,"P0(전) 유효 1개 아님",IF(COUNTIFS($C:$C,$C346,$D:$D,"P0(후)",$L:$L,"&gt;0")&lt;&gt;1,"P0(후) 유효 1개 아님",IF(NOT(AND(ISNUMBER(N346),ISNUMBER(P346),ISNUMBER(H346))),"시각 결측",IF(P346&lt;=N346,"P0 시각 역전",IF(OR(H346&lt;N346,H346&gt;P346),"측정시각 구간 밖","OK")))))</f>
        <v/>
      </c>
      <c r="N346" s="45">
        <f>IF(COUNTIFS($C:$C,$C346,$D:$D,"P0(전)",$L:$L,"&gt;0")&lt;&gt;1,"",SUMIFS($H:$H,$C:$C,$C346,$D:$D,"P0(전)"))</f>
        <v/>
      </c>
      <c r="O346" s="30">
        <f>IF(COUNTIFS($C:$C,$C346,$D:$D,"P0(전)",$L:$L,"&gt;0")&lt;&gt;1,"",SUMIFS($L:$L,$C:$C,$C346,$D:$D,"P0(전)"))</f>
        <v/>
      </c>
      <c r="P346" s="45">
        <f>IF(COUNTIFS($C:$C,$C346,$D:$D,"P0(후)",$L:$L,"&gt;0")&lt;&gt;1,"",SUMIFS($H:$H,$C:$C,$C346,$D:$D,"P0(후)"))</f>
        <v/>
      </c>
      <c r="Q346" s="30">
        <f>IF(COUNTIFS($C:$C,$C346,$D:$D,"P0(후)",$L:$L,"&gt;0")&lt;&gt;1,"",SUMIFS($L:$L,$C:$C,$C346,$D:$D,"P0(후)"))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IF(OR(NOT(ISNUMBER(S346)),IF(ISNUMBER(G346),G346,F346)=0),"",S346/IF(ISNUMBER(G346),G346,F346))</f>
        <v/>
      </c>
      <c r="U346" s="46">
        <f>IF(ISNUMBER(T346),ABS(T346),"")</f>
        <v/>
      </c>
      <c r="V346" s="46">
        <f>IF(OR($D345&lt;&gt;"측정",$C345&lt;&gt;$C346,NOT(ISNUMBER(L346)),NOT(ISNUMBER(L345)),(IF(ISNUMBER(G346),G346,F346)-IF(ISNUMBER(G345),G345,F345))=0),"",(L346-L345)/(IF(ISNUMBER(G346),G346,F346)-IF(ISNUMBER(G345),G345,F345)))</f>
        <v/>
      </c>
      <c r="W346" s="30">
        <f>IF(NOT(AND(ISNUMBER(N346),ISNUMBER(P346))),"",(P346-N346)*1440)</f>
        <v/>
      </c>
      <c r="X346" s="28" t="n"/>
      <c r="Y346" s="28" t="n"/>
      <c r="Z346" s="28" t="n"/>
      <c r="AA346" s="31" t="n"/>
      <c r="AB346" s="31" t="n"/>
    </row>
    <row r="347">
      <c r="A347" s="25" t="inlineStr">
        <is>
          <t>S07</t>
        </is>
      </c>
      <c r="B347" s="25" t="inlineStr">
        <is>
          <t>남해 신규점1</t>
        </is>
      </c>
      <c r="C347" s="25" t="inlineStr">
        <is>
          <t>S07-H남</t>
        </is>
      </c>
      <c r="D347" s="25" t="inlineStr">
        <is>
          <t>측정</t>
        </is>
      </c>
      <c r="E347" s="25" t="inlineStr">
        <is>
          <t>남</t>
        </is>
      </c>
      <c r="F347" s="30" t="n">
        <v>3</v>
      </c>
      <c r="G347" s="29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IF(COUNTIFS($C:$C,$C347,$D:$D,"P0(전)",$L:$L,"&gt;0")&lt;&gt;1,"P0(전) 유효 1개 아님",IF(COUNTIFS($C:$C,$C347,$D:$D,"P0(후)",$L:$L,"&gt;0")&lt;&gt;1,"P0(후) 유효 1개 아님",IF(NOT(AND(ISNUMBER(N347),ISNUMBER(P347),ISNUMBER(H347))),"시각 결측",IF(P347&lt;=N347,"P0 시각 역전",IF(OR(H347&lt;N347,H347&gt;P347),"측정시각 구간 밖","OK")))))</f>
        <v/>
      </c>
      <c r="N347" s="45">
        <f>IF(COUNTIFS($C:$C,$C347,$D:$D,"P0(전)",$L:$L,"&gt;0")&lt;&gt;1,"",SUMIFS($H:$H,$C:$C,$C347,$D:$D,"P0(전)"))</f>
        <v/>
      </c>
      <c r="O347" s="30">
        <f>IF(COUNTIFS($C:$C,$C347,$D:$D,"P0(전)",$L:$L,"&gt;0")&lt;&gt;1,"",SUMIFS($L:$L,$C:$C,$C347,$D:$D,"P0(전)"))</f>
        <v/>
      </c>
      <c r="P347" s="45">
        <f>IF(COUNTIFS($C:$C,$C347,$D:$D,"P0(후)",$L:$L,"&gt;0")&lt;&gt;1,"",SUMIFS($H:$H,$C:$C,$C347,$D:$D,"P0(후)"))</f>
        <v/>
      </c>
      <c r="Q347" s="30">
        <f>IF(COUNTIFS($C:$C,$C347,$D:$D,"P0(후)",$L:$L,"&gt;0")&lt;&gt;1,"",SUMIFS($L:$L,$C:$C,$C347,$D:$D,"P0(후)"))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IF(OR(NOT(ISNUMBER(S347)),IF(ISNUMBER(G347),G347,F347)=0),"",S347/IF(ISNUMBER(G347),G347,F347))</f>
        <v/>
      </c>
      <c r="U347" s="46">
        <f>IF(ISNUMBER(T347),ABS(T347),"")</f>
        <v/>
      </c>
      <c r="V347" s="46">
        <f>IF(OR($D346&lt;&gt;"측정",$C346&lt;&gt;$C347,NOT(ISNUMBER(L347)),NOT(ISNUMBER(L346)),(IF(ISNUMBER(G347),G347,F347)-IF(ISNUMBER(G346),G346,F346))=0),"",(L347-L346)/(IF(ISNUMBER(G347),G347,F347)-IF(ISNUMBER(G346),G346,F346)))</f>
        <v/>
      </c>
      <c r="W347" s="30">
        <f>IF(NOT(AND(ISNUMBER(N347),ISNUMBER(P347))),"",(P347-N347)*1440)</f>
        <v/>
      </c>
      <c r="X347" s="28" t="n"/>
      <c r="Y347" s="28" t="n"/>
      <c r="Z347" s="28" t="n"/>
      <c r="AA347" s="31" t="n"/>
      <c r="AB347" s="31" t="n"/>
    </row>
    <row r="348">
      <c r="A348" s="25" t="inlineStr">
        <is>
          <t>S07</t>
        </is>
      </c>
      <c r="B348" s="25" t="inlineStr">
        <is>
          <t>남해 신규점1</t>
        </is>
      </c>
      <c r="C348" s="25" t="inlineStr">
        <is>
          <t>S07-H남</t>
        </is>
      </c>
      <c r="D348" s="25" t="inlineStr">
        <is>
          <t>측정</t>
        </is>
      </c>
      <c r="E348" s="25" t="inlineStr">
        <is>
          <t>남</t>
        </is>
      </c>
      <c r="F348" s="30" t="n">
        <v>4</v>
      </c>
      <c r="G348" s="29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IF(COUNTIFS($C:$C,$C348,$D:$D,"P0(전)",$L:$L,"&gt;0")&lt;&gt;1,"P0(전) 유효 1개 아님",IF(COUNTIFS($C:$C,$C348,$D:$D,"P0(후)",$L:$L,"&gt;0")&lt;&gt;1,"P0(후) 유효 1개 아님",IF(NOT(AND(ISNUMBER(N348),ISNUMBER(P348),ISNUMBER(H348))),"시각 결측",IF(P348&lt;=N348,"P0 시각 역전",IF(OR(H348&lt;N348,H348&gt;P348),"측정시각 구간 밖","OK")))))</f>
        <v/>
      </c>
      <c r="N348" s="45">
        <f>IF(COUNTIFS($C:$C,$C348,$D:$D,"P0(전)",$L:$L,"&gt;0")&lt;&gt;1,"",SUMIFS($H:$H,$C:$C,$C348,$D:$D,"P0(전)"))</f>
        <v/>
      </c>
      <c r="O348" s="30">
        <f>IF(COUNTIFS($C:$C,$C348,$D:$D,"P0(전)",$L:$L,"&gt;0")&lt;&gt;1,"",SUMIFS($L:$L,$C:$C,$C348,$D:$D,"P0(전)"))</f>
        <v/>
      </c>
      <c r="P348" s="45">
        <f>IF(COUNTIFS($C:$C,$C348,$D:$D,"P0(후)",$L:$L,"&gt;0")&lt;&gt;1,"",SUMIFS($H:$H,$C:$C,$C348,$D:$D,"P0(후)"))</f>
        <v/>
      </c>
      <c r="Q348" s="30">
        <f>IF(COUNTIFS($C:$C,$C348,$D:$D,"P0(후)",$L:$L,"&gt;0")&lt;&gt;1,"",SUMIFS($L:$L,$C:$C,$C348,$D:$D,"P0(후)"))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IF(OR(NOT(ISNUMBER(S348)),IF(ISNUMBER(G348),G348,F348)=0),"",S348/IF(ISNUMBER(G348),G348,F348))</f>
        <v/>
      </c>
      <c r="U348" s="46">
        <f>IF(ISNUMBER(T348),ABS(T348),"")</f>
        <v/>
      </c>
      <c r="V348" s="46">
        <f>IF(OR($D347&lt;&gt;"측정",$C347&lt;&gt;$C348,NOT(ISNUMBER(L348)),NOT(ISNUMBER(L347)),(IF(ISNUMBER(G348),G348,F348)-IF(ISNUMBER(G347),G347,F347))=0),"",(L348-L347)/(IF(ISNUMBER(G348),G348,F348)-IF(ISNUMBER(G347),G347,F347)))</f>
        <v/>
      </c>
      <c r="W348" s="30">
        <f>IF(NOT(AND(ISNUMBER(N348),ISNUMBER(P348))),"",(P348-N348)*1440)</f>
        <v/>
      </c>
      <c r="X348" s="28" t="n"/>
      <c r="Y348" s="28" t="n"/>
      <c r="Z348" s="28" t="n"/>
      <c r="AA348" s="31" t="n"/>
      <c r="AB348" s="31" t="n"/>
    </row>
    <row r="349">
      <c r="A349" s="25" t="inlineStr">
        <is>
          <t>S07</t>
        </is>
      </c>
      <c r="B349" s="25" t="inlineStr">
        <is>
          <t>남해 신규점1</t>
        </is>
      </c>
      <c r="C349" s="25" t="inlineStr">
        <is>
          <t>S07-H남</t>
        </is>
      </c>
      <c r="D349" s="25" t="inlineStr">
        <is>
          <t>측정</t>
        </is>
      </c>
      <c r="E349" s="25" t="inlineStr">
        <is>
          <t>남</t>
        </is>
      </c>
      <c r="F349" s="30" t="n">
        <v>5</v>
      </c>
      <c r="G349" s="29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IF(COUNTIFS($C:$C,$C349,$D:$D,"P0(전)",$L:$L,"&gt;0")&lt;&gt;1,"P0(전) 유효 1개 아님",IF(COUNTIFS($C:$C,$C349,$D:$D,"P0(후)",$L:$L,"&gt;0")&lt;&gt;1,"P0(후) 유효 1개 아님",IF(NOT(AND(ISNUMBER(N349),ISNUMBER(P349),ISNUMBER(H349))),"시각 결측",IF(P349&lt;=N349,"P0 시각 역전",IF(OR(H349&lt;N349,H349&gt;P349),"측정시각 구간 밖","OK")))))</f>
        <v/>
      </c>
      <c r="N349" s="45">
        <f>IF(COUNTIFS($C:$C,$C349,$D:$D,"P0(전)",$L:$L,"&gt;0")&lt;&gt;1,"",SUMIFS($H:$H,$C:$C,$C349,$D:$D,"P0(전)"))</f>
        <v/>
      </c>
      <c r="O349" s="30">
        <f>IF(COUNTIFS($C:$C,$C349,$D:$D,"P0(전)",$L:$L,"&gt;0")&lt;&gt;1,"",SUMIFS($L:$L,$C:$C,$C349,$D:$D,"P0(전)"))</f>
        <v/>
      </c>
      <c r="P349" s="45">
        <f>IF(COUNTIFS($C:$C,$C349,$D:$D,"P0(후)",$L:$L,"&gt;0")&lt;&gt;1,"",SUMIFS($H:$H,$C:$C,$C349,$D:$D,"P0(후)"))</f>
        <v/>
      </c>
      <c r="Q349" s="30">
        <f>IF(COUNTIFS($C:$C,$C349,$D:$D,"P0(후)",$L:$L,"&gt;0")&lt;&gt;1,"",SUMIFS($L:$L,$C:$C,$C349,$D:$D,"P0(후)"))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IF(OR(NOT(ISNUMBER(S349)),IF(ISNUMBER(G349),G349,F349)=0),"",S349/IF(ISNUMBER(G349),G349,F349))</f>
        <v/>
      </c>
      <c r="U349" s="46">
        <f>IF(ISNUMBER(T349),ABS(T349),"")</f>
        <v/>
      </c>
      <c r="V349" s="46">
        <f>IF(OR($D348&lt;&gt;"측정",$C348&lt;&gt;$C349,NOT(ISNUMBER(L349)),NOT(ISNUMBER(L348)),(IF(ISNUMBER(G349),G349,F349)-IF(ISNUMBER(G348),G348,F348))=0),"",(L349-L348)/(IF(ISNUMBER(G349),G349,F349)-IF(ISNUMBER(G348),G348,F348)))</f>
        <v/>
      </c>
      <c r="W349" s="30">
        <f>IF(NOT(AND(ISNUMBER(N349),ISNUMBER(P349))),"",(P349-N349)*1440)</f>
        <v/>
      </c>
      <c r="X349" s="28" t="n"/>
      <c r="Y349" s="28" t="n"/>
      <c r="Z349" s="28" t="n"/>
      <c r="AA349" s="31" t="n"/>
      <c r="AB349" s="31" t="n"/>
    </row>
    <row r="350">
      <c r="A350" s="25" t="inlineStr">
        <is>
          <t>S07</t>
        </is>
      </c>
      <c r="B350" s="25" t="inlineStr">
        <is>
          <t>남해 신규점1</t>
        </is>
      </c>
      <c r="C350" s="25" t="inlineStr">
        <is>
          <t>S07-H남</t>
        </is>
      </c>
      <c r="D350" s="25" t="inlineStr">
        <is>
          <t>측정</t>
        </is>
      </c>
      <c r="E350" s="25" t="inlineStr">
        <is>
          <t>남</t>
        </is>
      </c>
      <c r="F350" s="30" t="n">
        <v>6</v>
      </c>
      <c r="G350" s="29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IF(COUNTIFS($C:$C,$C350,$D:$D,"P0(전)",$L:$L,"&gt;0")&lt;&gt;1,"P0(전) 유효 1개 아님",IF(COUNTIFS($C:$C,$C350,$D:$D,"P0(후)",$L:$L,"&gt;0")&lt;&gt;1,"P0(후) 유효 1개 아님",IF(NOT(AND(ISNUMBER(N350),ISNUMBER(P350),ISNUMBER(H350))),"시각 결측",IF(P350&lt;=N350,"P0 시각 역전",IF(OR(H350&lt;N350,H350&gt;P350),"측정시각 구간 밖","OK")))))</f>
        <v/>
      </c>
      <c r="N350" s="45">
        <f>IF(COUNTIFS($C:$C,$C350,$D:$D,"P0(전)",$L:$L,"&gt;0")&lt;&gt;1,"",SUMIFS($H:$H,$C:$C,$C350,$D:$D,"P0(전)"))</f>
        <v/>
      </c>
      <c r="O350" s="30">
        <f>IF(COUNTIFS($C:$C,$C350,$D:$D,"P0(전)",$L:$L,"&gt;0")&lt;&gt;1,"",SUMIFS($L:$L,$C:$C,$C350,$D:$D,"P0(전)"))</f>
        <v/>
      </c>
      <c r="P350" s="45">
        <f>IF(COUNTIFS($C:$C,$C350,$D:$D,"P0(후)",$L:$L,"&gt;0")&lt;&gt;1,"",SUMIFS($H:$H,$C:$C,$C350,$D:$D,"P0(후)"))</f>
        <v/>
      </c>
      <c r="Q350" s="30">
        <f>IF(COUNTIFS($C:$C,$C350,$D:$D,"P0(후)",$L:$L,"&gt;0")&lt;&gt;1,"",SUMIFS($L:$L,$C:$C,$C350,$D:$D,"P0(후)"))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IF(OR(NOT(ISNUMBER(S350)),IF(ISNUMBER(G350),G350,F350)=0),"",S350/IF(ISNUMBER(G350),G350,F350))</f>
        <v/>
      </c>
      <c r="U350" s="46">
        <f>IF(ISNUMBER(T350),ABS(T350),"")</f>
        <v/>
      </c>
      <c r="V350" s="46">
        <f>IF(OR($D349&lt;&gt;"측정",$C349&lt;&gt;$C350,NOT(ISNUMBER(L350)),NOT(ISNUMBER(L349)),(IF(ISNUMBER(G350),G350,F350)-IF(ISNUMBER(G349),G349,F349))=0),"",(L350-L349)/(IF(ISNUMBER(G350),G350,F350)-IF(ISNUMBER(G349),G349,F349)))</f>
        <v/>
      </c>
      <c r="W350" s="30">
        <f>IF(NOT(AND(ISNUMBER(N350),ISNUMBER(P350))),"",(P350-N350)*1440)</f>
        <v/>
      </c>
      <c r="X350" s="28" t="n"/>
      <c r="Y350" s="28" t="n"/>
      <c r="Z350" s="28" t="n"/>
      <c r="AA350" s="31" t="n"/>
      <c r="AB350" s="31" t="n"/>
    </row>
    <row r="351">
      <c r="A351" s="25" t="inlineStr">
        <is>
          <t>S07</t>
        </is>
      </c>
      <c r="B351" s="25" t="inlineStr">
        <is>
          <t>남해 신규점1</t>
        </is>
      </c>
      <c r="C351" s="25" t="inlineStr">
        <is>
          <t>S07-H남</t>
        </is>
      </c>
      <c r="D351" s="25" t="inlineStr">
        <is>
          <t>측정</t>
        </is>
      </c>
      <c r="E351" s="25" t="inlineStr">
        <is>
          <t>남</t>
        </is>
      </c>
      <c r="F351" s="30" t="n">
        <v>7</v>
      </c>
      <c r="G351" s="29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IF(COUNTIFS($C:$C,$C351,$D:$D,"P0(전)",$L:$L,"&gt;0")&lt;&gt;1,"P0(전) 유효 1개 아님",IF(COUNTIFS($C:$C,$C351,$D:$D,"P0(후)",$L:$L,"&gt;0")&lt;&gt;1,"P0(후) 유효 1개 아님",IF(NOT(AND(ISNUMBER(N351),ISNUMBER(P351),ISNUMBER(H351))),"시각 결측",IF(P351&lt;=N351,"P0 시각 역전",IF(OR(H351&lt;N351,H351&gt;P351),"측정시각 구간 밖","OK")))))</f>
        <v/>
      </c>
      <c r="N351" s="45">
        <f>IF(COUNTIFS($C:$C,$C351,$D:$D,"P0(전)",$L:$L,"&gt;0")&lt;&gt;1,"",SUMIFS($H:$H,$C:$C,$C351,$D:$D,"P0(전)"))</f>
        <v/>
      </c>
      <c r="O351" s="30">
        <f>IF(COUNTIFS($C:$C,$C351,$D:$D,"P0(전)",$L:$L,"&gt;0")&lt;&gt;1,"",SUMIFS($L:$L,$C:$C,$C351,$D:$D,"P0(전)"))</f>
        <v/>
      </c>
      <c r="P351" s="45">
        <f>IF(COUNTIFS($C:$C,$C351,$D:$D,"P0(후)",$L:$L,"&gt;0")&lt;&gt;1,"",SUMIFS($H:$H,$C:$C,$C351,$D:$D,"P0(후)"))</f>
        <v/>
      </c>
      <c r="Q351" s="30">
        <f>IF(COUNTIFS($C:$C,$C351,$D:$D,"P0(후)",$L:$L,"&gt;0")&lt;&gt;1,"",SUMIFS($L:$L,$C:$C,$C351,$D:$D,"P0(후)"))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IF(OR(NOT(ISNUMBER(S351)),IF(ISNUMBER(G351),G351,F351)=0),"",S351/IF(ISNUMBER(G351),G351,F351))</f>
        <v/>
      </c>
      <c r="U351" s="46">
        <f>IF(ISNUMBER(T351),ABS(T351),"")</f>
        <v/>
      </c>
      <c r="V351" s="46">
        <f>IF(OR($D350&lt;&gt;"측정",$C350&lt;&gt;$C351,NOT(ISNUMBER(L351)),NOT(ISNUMBER(L350)),(IF(ISNUMBER(G351),G351,F351)-IF(ISNUMBER(G350),G350,F350))=0),"",(L351-L350)/(IF(ISNUMBER(G351),G351,F351)-IF(ISNUMBER(G350),G350,F350)))</f>
        <v/>
      </c>
      <c r="W351" s="30">
        <f>IF(NOT(AND(ISNUMBER(N351),ISNUMBER(P351))),"",(P351-N351)*1440)</f>
        <v/>
      </c>
      <c r="X351" s="28" t="n"/>
      <c r="Y351" s="28" t="n"/>
      <c r="Z351" s="28" t="n"/>
      <c r="AA351" s="31" t="n"/>
      <c r="AB351" s="31" t="n"/>
    </row>
    <row r="352">
      <c r="A352" s="25" t="inlineStr">
        <is>
          <t>S07</t>
        </is>
      </c>
      <c r="B352" s="25" t="inlineStr">
        <is>
          <t>남해 신규점1</t>
        </is>
      </c>
      <c r="C352" s="25" t="inlineStr">
        <is>
          <t>S07-H남</t>
        </is>
      </c>
      <c r="D352" s="25" t="inlineStr">
        <is>
          <t>측정</t>
        </is>
      </c>
      <c r="E352" s="25" t="inlineStr">
        <is>
          <t>남</t>
        </is>
      </c>
      <c r="F352" s="30" t="n">
        <v>8</v>
      </c>
      <c r="G352" s="29" t="n"/>
      <c r="H352" s="42" t="n"/>
      <c r="I352" s="40" t="n"/>
      <c r="J352" s="40" t="n"/>
      <c r="K352" s="40" t="n"/>
      <c r="L352" s="30">
        <f>IF(COUNT(I352:K352)=0,"",MEDIAN(I352:K352))</f>
        <v/>
      </c>
      <c r="M352" s="25">
        <f>IF(COUNTIFS($C:$C,$C352,$D:$D,"P0(전)",$L:$L,"&gt;0")&lt;&gt;1,"P0(전) 유효 1개 아님",IF(COUNTIFS($C:$C,$C352,$D:$D,"P0(후)",$L:$L,"&gt;0")&lt;&gt;1,"P0(후) 유효 1개 아님",IF(NOT(AND(ISNUMBER(N352),ISNUMBER(P352),ISNUMBER(H352))),"시각 결측",IF(P352&lt;=N352,"P0 시각 역전",IF(OR(H352&lt;N352,H352&gt;P352),"측정시각 구간 밖","OK")))))</f>
        <v/>
      </c>
      <c r="N352" s="45">
        <f>IF(COUNTIFS($C:$C,$C352,$D:$D,"P0(전)",$L:$L,"&gt;0")&lt;&gt;1,"",SUMIFS($H:$H,$C:$C,$C352,$D:$D,"P0(전)"))</f>
        <v/>
      </c>
      <c r="O352" s="30">
        <f>IF(COUNTIFS($C:$C,$C352,$D:$D,"P0(전)",$L:$L,"&gt;0")&lt;&gt;1,"",SUMIFS($L:$L,$C:$C,$C352,$D:$D,"P0(전)"))</f>
        <v/>
      </c>
      <c r="P352" s="45">
        <f>IF(COUNTIFS($C:$C,$C352,$D:$D,"P0(후)",$L:$L,"&gt;0")&lt;&gt;1,"",SUMIFS($H:$H,$C:$C,$C352,$D:$D,"P0(후)"))</f>
        <v/>
      </c>
      <c r="Q352" s="30">
        <f>IF(COUNTIFS($C:$C,$C352,$D:$D,"P0(후)",$L:$L,"&gt;0")&lt;&gt;1,"",SUMIFS($L:$L,$C:$C,$C352,$D:$D,"P0(후)"))</f>
        <v/>
      </c>
      <c r="R352" s="30">
        <f>IF(M352&lt;&gt;"OK","",O352+(Q352-O352)*(H352-N352)/(P352-N352))</f>
        <v/>
      </c>
      <c r="S352" s="30">
        <f>IF(OR(M352&lt;&gt;"OK",NOT(ISNUMBER(L352))),"",L352-R352)</f>
        <v/>
      </c>
      <c r="T352" s="46">
        <f>IF(OR(NOT(ISNUMBER(S352)),IF(ISNUMBER(G352),G352,F352)=0),"",S352/IF(ISNUMBER(G352),G352,F352))</f>
        <v/>
      </c>
      <c r="U352" s="46">
        <f>IF(ISNUMBER(T352),ABS(T352),"")</f>
        <v/>
      </c>
      <c r="V352" s="46">
        <f>IF(OR($D351&lt;&gt;"측정",$C351&lt;&gt;$C352,NOT(ISNUMBER(L352)),NOT(ISNUMBER(L351)),(IF(ISNUMBER(G352),G352,F352)-IF(ISNUMBER(G351),G351,F351))=0),"",(L352-L351)/(IF(ISNUMBER(G352),G352,F352)-IF(ISNUMBER(G351),G351,F351)))</f>
        <v/>
      </c>
      <c r="W352" s="30">
        <f>IF(NOT(AND(ISNUMBER(N352),ISNUMBER(P352))),"",(P352-N352)*1440)</f>
        <v/>
      </c>
      <c r="X352" s="28" t="n"/>
      <c r="Y352" s="28" t="n"/>
      <c r="Z352" s="28" t="n"/>
      <c r="AA352" s="31" t="n"/>
      <c r="AB352" s="31" t="n"/>
    </row>
    <row r="353">
      <c r="A353" s="25" t="inlineStr">
        <is>
          <t>S07</t>
        </is>
      </c>
      <c r="B353" s="25" t="inlineStr">
        <is>
          <t>남해 신규점1</t>
        </is>
      </c>
      <c r="C353" s="25" t="inlineStr">
        <is>
          <t>S07-H남</t>
        </is>
      </c>
      <c r="D353" s="25" t="inlineStr">
        <is>
          <t>측정</t>
        </is>
      </c>
      <c r="E353" s="25" t="inlineStr">
        <is>
          <t>남</t>
        </is>
      </c>
      <c r="F353" s="30" t="n">
        <v>9</v>
      </c>
      <c r="G353" s="29" t="n"/>
      <c r="H353" s="42" t="n"/>
      <c r="I353" s="40" t="n"/>
      <c r="J353" s="40" t="n"/>
      <c r="K353" s="40" t="n"/>
      <c r="L353" s="30">
        <f>IF(COUNT(I353:K353)=0,"",MEDIAN(I353:K353))</f>
        <v/>
      </c>
      <c r="M353" s="25">
        <f>IF(COUNTIFS($C:$C,$C353,$D:$D,"P0(전)",$L:$L,"&gt;0")&lt;&gt;1,"P0(전) 유효 1개 아님",IF(COUNTIFS($C:$C,$C353,$D:$D,"P0(후)",$L:$L,"&gt;0")&lt;&gt;1,"P0(후) 유효 1개 아님",IF(NOT(AND(ISNUMBER(N353),ISNUMBER(P353),ISNUMBER(H353))),"시각 결측",IF(P353&lt;=N353,"P0 시각 역전",IF(OR(H353&lt;N353,H353&gt;P353),"측정시각 구간 밖","OK")))))</f>
        <v/>
      </c>
      <c r="N353" s="45">
        <f>IF(COUNTIFS($C:$C,$C353,$D:$D,"P0(전)",$L:$L,"&gt;0")&lt;&gt;1,"",SUMIFS($H:$H,$C:$C,$C353,$D:$D,"P0(전)"))</f>
        <v/>
      </c>
      <c r="O353" s="30">
        <f>IF(COUNTIFS($C:$C,$C353,$D:$D,"P0(전)",$L:$L,"&gt;0")&lt;&gt;1,"",SUMIFS($L:$L,$C:$C,$C353,$D:$D,"P0(전)"))</f>
        <v/>
      </c>
      <c r="P353" s="45">
        <f>IF(COUNTIFS($C:$C,$C353,$D:$D,"P0(후)",$L:$L,"&gt;0")&lt;&gt;1,"",SUMIFS($H:$H,$C:$C,$C353,$D:$D,"P0(후)"))</f>
        <v/>
      </c>
      <c r="Q353" s="30">
        <f>IF(COUNTIFS($C:$C,$C353,$D:$D,"P0(후)",$L:$L,"&gt;0")&lt;&gt;1,"",SUMIFS($L:$L,$C:$C,$C353,$D:$D,"P0(후)"))</f>
        <v/>
      </c>
      <c r="R353" s="30">
        <f>IF(M353&lt;&gt;"OK","",O353+(Q353-O353)*(H353-N353)/(P353-N353))</f>
        <v/>
      </c>
      <c r="S353" s="30">
        <f>IF(OR(M353&lt;&gt;"OK",NOT(ISNUMBER(L353))),"",L353-R353)</f>
        <v/>
      </c>
      <c r="T353" s="46">
        <f>IF(OR(NOT(ISNUMBER(S353)),IF(ISNUMBER(G353),G353,F353)=0),"",S353/IF(ISNUMBER(G353),G353,F353))</f>
        <v/>
      </c>
      <c r="U353" s="46">
        <f>IF(ISNUMBER(T353),ABS(T353),"")</f>
        <v/>
      </c>
      <c r="V353" s="46">
        <f>IF(OR($D352&lt;&gt;"측정",$C352&lt;&gt;$C353,NOT(ISNUMBER(L353)),NOT(ISNUMBER(L352)),(IF(ISNUMBER(G353),G353,F353)-IF(ISNUMBER(G352),G352,F352))=0),"",(L353-L352)/(IF(ISNUMBER(G353),G353,F353)-IF(ISNUMBER(G352),G352,F352)))</f>
        <v/>
      </c>
      <c r="W353" s="30">
        <f>IF(NOT(AND(ISNUMBER(N353),ISNUMBER(P353))),"",(P353-N353)*1440)</f>
        <v/>
      </c>
      <c r="X353" s="28" t="n"/>
      <c r="Y353" s="28" t="n"/>
      <c r="Z353" s="28" t="n"/>
      <c r="AA353" s="31" t="n"/>
      <c r="AB353" s="31" t="n"/>
    </row>
    <row r="354">
      <c r="A354" s="25" t="inlineStr">
        <is>
          <t>S07</t>
        </is>
      </c>
      <c r="B354" s="25" t="inlineStr">
        <is>
          <t>남해 신규점1</t>
        </is>
      </c>
      <c r="C354" s="25" t="inlineStr">
        <is>
          <t>S07-H남</t>
        </is>
      </c>
      <c r="D354" s="25" t="inlineStr">
        <is>
          <t>측정</t>
        </is>
      </c>
      <c r="E354" s="25" t="inlineStr">
        <is>
          <t>남</t>
        </is>
      </c>
      <c r="F354" s="30" t="n">
        <v>10</v>
      </c>
      <c r="G354" s="29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IF(COUNTIFS($C:$C,$C354,$D:$D,"P0(전)",$L:$L,"&gt;0")&lt;&gt;1,"P0(전) 유효 1개 아님",IF(COUNTIFS($C:$C,$C354,$D:$D,"P0(후)",$L:$L,"&gt;0")&lt;&gt;1,"P0(후) 유효 1개 아님",IF(NOT(AND(ISNUMBER(N354),ISNUMBER(P354),ISNUMBER(H354))),"시각 결측",IF(P354&lt;=N354,"P0 시각 역전",IF(OR(H354&lt;N354,H354&gt;P354),"측정시각 구간 밖","OK")))))</f>
        <v/>
      </c>
      <c r="N354" s="45">
        <f>IF(COUNTIFS($C:$C,$C354,$D:$D,"P0(전)",$L:$L,"&gt;0")&lt;&gt;1,"",SUMIFS($H:$H,$C:$C,$C354,$D:$D,"P0(전)"))</f>
        <v/>
      </c>
      <c r="O354" s="30">
        <f>IF(COUNTIFS($C:$C,$C354,$D:$D,"P0(전)",$L:$L,"&gt;0")&lt;&gt;1,"",SUMIFS($L:$L,$C:$C,$C354,$D:$D,"P0(전)"))</f>
        <v/>
      </c>
      <c r="P354" s="45">
        <f>IF(COUNTIFS($C:$C,$C354,$D:$D,"P0(후)",$L:$L,"&gt;0")&lt;&gt;1,"",SUMIFS($H:$H,$C:$C,$C354,$D:$D,"P0(후)"))</f>
        <v/>
      </c>
      <c r="Q354" s="30">
        <f>IF(COUNTIFS($C:$C,$C354,$D:$D,"P0(후)",$L:$L,"&gt;0")&lt;&gt;1,"",SUMIFS($L:$L,$C:$C,$C354,$D:$D,"P0(후)"))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IF(OR(NOT(ISNUMBER(S354)),IF(ISNUMBER(G354),G354,F354)=0),"",S354/IF(ISNUMBER(G354),G354,F354))</f>
        <v/>
      </c>
      <c r="U354" s="46">
        <f>IF(ISNUMBER(T354),ABS(T354),"")</f>
        <v/>
      </c>
      <c r="V354" s="46">
        <f>IF(OR($D353&lt;&gt;"측정",$C353&lt;&gt;$C354,NOT(ISNUMBER(L354)),NOT(ISNUMBER(L353)),(IF(ISNUMBER(G354),G354,F354)-IF(ISNUMBER(G353),G353,F353))=0),"",(L354-L353)/(IF(ISNUMBER(G354),G354,F354)-IF(ISNUMBER(G353),G353,F353)))</f>
        <v/>
      </c>
      <c r="W354" s="30">
        <f>IF(NOT(AND(ISNUMBER(N354),ISNUMBER(P354))),"",(P354-N354)*1440)</f>
        <v/>
      </c>
      <c r="X354" s="28" t="n"/>
      <c r="Y354" s="28" t="n"/>
      <c r="Z354" s="28" t="n"/>
      <c r="AA354" s="31" t="n"/>
      <c r="AB354" s="31" t="n"/>
    </row>
    <row r="355">
      <c r="A355" s="43" t="inlineStr">
        <is>
          <t>S07</t>
        </is>
      </c>
      <c r="B355" s="43" t="inlineStr">
        <is>
          <t>남해 신규점1</t>
        </is>
      </c>
      <c r="C355" s="43" t="inlineStr">
        <is>
          <t>S07-H남</t>
        </is>
      </c>
      <c r="D355" s="43" t="inlineStr">
        <is>
          <t>P0(후)</t>
        </is>
      </c>
      <c r="E355" s="43" t="inlineStr">
        <is>
          <t>남</t>
        </is>
      </c>
      <c r="F355" s="44" t="n"/>
      <c r="G355" s="29" t="n"/>
      <c r="H355" s="42" t="n"/>
      <c r="I355" s="40" t="n"/>
      <c r="J355" s="40" t="n"/>
      <c r="K355" s="40" t="n"/>
      <c r="L355" s="30">
        <f>IF(COUNT(I355:K355)=0,"",MEDIAN(I355:K355))</f>
        <v/>
      </c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28" t="n"/>
      <c r="Y355" s="28" t="n"/>
      <c r="Z355" s="28" t="n"/>
      <c r="AA355" s="31" t="n"/>
      <c r="AB355" s="31" t="n"/>
    </row>
    <row r="356">
      <c r="A356" s="43" t="inlineStr">
        <is>
          <t>S07</t>
        </is>
      </c>
      <c r="B356" s="43" t="inlineStr">
        <is>
          <t>남해 신규점1</t>
        </is>
      </c>
      <c r="C356" s="43" t="inlineStr">
        <is>
          <t>S07-H북</t>
        </is>
      </c>
      <c r="D356" s="43" t="inlineStr">
        <is>
          <t>P0(전)</t>
        </is>
      </c>
      <c r="E356" s="43" t="inlineStr">
        <is>
          <t>북</t>
        </is>
      </c>
      <c r="F356" s="44" t="n"/>
      <c r="G356" s="29" t="n"/>
      <c r="H356" s="42" t="n"/>
      <c r="I356" s="40" t="n"/>
      <c r="J356" s="40" t="n"/>
      <c r="K356" s="40" t="n"/>
      <c r="L356" s="30">
        <f>IF(COUNT(I356:K356)=0,"",MEDIAN(I356:K356))</f>
        <v/>
      </c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28" t="n"/>
      <c r="Y356" s="28" t="n"/>
      <c r="Z356" s="28" t="n"/>
      <c r="AA356" s="31" t="n"/>
      <c r="AB356" s="31" t="n"/>
    </row>
    <row r="357">
      <c r="A357" s="25" t="inlineStr">
        <is>
          <t>S07</t>
        </is>
      </c>
      <c r="B357" s="25" t="inlineStr">
        <is>
          <t>남해 신규점1</t>
        </is>
      </c>
      <c r="C357" s="25" t="inlineStr">
        <is>
          <t>S07-H북</t>
        </is>
      </c>
      <c r="D357" s="25" t="inlineStr">
        <is>
          <t>측정</t>
        </is>
      </c>
      <c r="E357" s="25" t="inlineStr">
        <is>
          <t>북</t>
        </is>
      </c>
      <c r="F357" s="30" t="n">
        <v>0.5</v>
      </c>
      <c r="G357" s="29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IF(COUNTIFS($C:$C,$C357,$D:$D,"P0(전)",$L:$L,"&gt;0")&lt;&gt;1,"P0(전) 유효 1개 아님",IF(COUNTIFS($C:$C,$C357,$D:$D,"P0(후)",$L:$L,"&gt;0")&lt;&gt;1,"P0(후) 유효 1개 아님",IF(NOT(AND(ISNUMBER(N357),ISNUMBER(P357),ISNUMBER(H357))),"시각 결측",IF(P357&lt;=N357,"P0 시각 역전",IF(OR(H357&lt;N357,H357&gt;P357),"측정시각 구간 밖","OK")))))</f>
        <v/>
      </c>
      <c r="N357" s="45">
        <f>IF(COUNTIFS($C:$C,$C357,$D:$D,"P0(전)",$L:$L,"&gt;0")&lt;&gt;1,"",SUMIFS($H:$H,$C:$C,$C357,$D:$D,"P0(전)"))</f>
        <v/>
      </c>
      <c r="O357" s="30">
        <f>IF(COUNTIFS($C:$C,$C357,$D:$D,"P0(전)",$L:$L,"&gt;0")&lt;&gt;1,"",SUMIFS($L:$L,$C:$C,$C357,$D:$D,"P0(전)"))</f>
        <v/>
      </c>
      <c r="P357" s="45">
        <f>IF(COUNTIFS($C:$C,$C357,$D:$D,"P0(후)",$L:$L,"&gt;0")&lt;&gt;1,"",SUMIFS($H:$H,$C:$C,$C357,$D:$D,"P0(후)"))</f>
        <v/>
      </c>
      <c r="Q357" s="30">
        <f>IF(COUNTIFS($C:$C,$C357,$D:$D,"P0(후)",$L:$L,"&gt;0")&lt;&gt;1,"",SUMIFS($L:$L,$C:$C,$C357,$D:$D,"P0(후)"))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IF(OR(NOT(ISNUMBER(S357)),IF(ISNUMBER(G357),G357,F357)=0),"",S357/IF(ISNUMBER(G357),G357,F357))</f>
        <v/>
      </c>
      <c r="U357" s="46">
        <f>IF(ISNUMBER(T357),ABS(T357),"")</f>
        <v/>
      </c>
      <c r="V357" s="46">
        <f>IF(OR($D356&lt;&gt;"측정",$C356&lt;&gt;$C357,NOT(ISNUMBER(L357)),NOT(ISNUMBER(L356)),(IF(ISNUMBER(G357),G357,F357)-IF(ISNUMBER(G356),G356,F356))=0),"",(L357-L356)/(IF(ISNUMBER(G357),G357,F357)-IF(ISNUMBER(G356),G356,F356)))</f>
        <v/>
      </c>
      <c r="W357" s="30">
        <f>IF(NOT(AND(ISNUMBER(N357),ISNUMBER(P357))),"",(P357-N357)*1440)</f>
        <v/>
      </c>
      <c r="X357" s="28" t="n"/>
      <c r="Y357" s="28" t="n"/>
      <c r="Z357" s="28" t="n"/>
      <c r="AA357" s="31" t="n"/>
      <c r="AB357" s="31" t="n"/>
    </row>
    <row r="358">
      <c r="A358" s="25" t="inlineStr">
        <is>
          <t>S07</t>
        </is>
      </c>
      <c r="B358" s="25" t="inlineStr">
        <is>
          <t>남해 신규점1</t>
        </is>
      </c>
      <c r="C358" s="25" t="inlineStr">
        <is>
          <t>S07-H북</t>
        </is>
      </c>
      <c r="D358" s="25" t="inlineStr">
        <is>
          <t>측정</t>
        </is>
      </c>
      <c r="E358" s="25" t="inlineStr">
        <is>
          <t>북</t>
        </is>
      </c>
      <c r="F358" s="30" t="n">
        <v>1</v>
      </c>
      <c r="G358" s="29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IF(COUNTIFS($C:$C,$C358,$D:$D,"P0(전)",$L:$L,"&gt;0")&lt;&gt;1,"P0(전) 유효 1개 아님",IF(COUNTIFS($C:$C,$C358,$D:$D,"P0(후)",$L:$L,"&gt;0")&lt;&gt;1,"P0(후) 유효 1개 아님",IF(NOT(AND(ISNUMBER(N358),ISNUMBER(P358),ISNUMBER(H358))),"시각 결측",IF(P358&lt;=N358,"P0 시각 역전",IF(OR(H358&lt;N358,H358&gt;P358),"측정시각 구간 밖","OK")))))</f>
        <v/>
      </c>
      <c r="N358" s="45">
        <f>IF(COUNTIFS($C:$C,$C358,$D:$D,"P0(전)",$L:$L,"&gt;0")&lt;&gt;1,"",SUMIFS($H:$H,$C:$C,$C358,$D:$D,"P0(전)"))</f>
        <v/>
      </c>
      <c r="O358" s="30">
        <f>IF(COUNTIFS($C:$C,$C358,$D:$D,"P0(전)",$L:$L,"&gt;0")&lt;&gt;1,"",SUMIFS($L:$L,$C:$C,$C358,$D:$D,"P0(전)"))</f>
        <v/>
      </c>
      <c r="P358" s="45">
        <f>IF(COUNTIFS($C:$C,$C358,$D:$D,"P0(후)",$L:$L,"&gt;0")&lt;&gt;1,"",SUMIFS($H:$H,$C:$C,$C358,$D:$D,"P0(후)"))</f>
        <v/>
      </c>
      <c r="Q358" s="30">
        <f>IF(COUNTIFS($C:$C,$C358,$D:$D,"P0(후)",$L:$L,"&gt;0")&lt;&gt;1,"",SUMIFS($L:$L,$C:$C,$C358,$D:$D,"P0(후)"))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IF(OR(NOT(ISNUMBER(S358)),IF(ISNUMBER(G358),G358,F358)=0),"",S358/IF(ISNUMBER(G358),G358,F358))</f>
        <v/>
      </c>
      <c r="U358" s="46">
        <f>IF(ISNUMBER(T358),ABS(T358),"")</f>
        <v/>
      </c>
      <c r="V358" s="46">
        <f>IF(OR($D357&lt;&gt;"측정",$C357&lt;&gt;$C358,NOT(ISNUMBER(L358)),NOT(ISNUMBER(L357)),(IF(ISNUMBER(G358),G358,F358)-IF(ISNUMBER(G357),G357,F357))=0),"",(L358-L357)/(IF(ISNUMBER(G358),G358,F358)-IF(ISNUMBER(G357),G357,F357)))</f>
        <v/>
      </c>
      <c r="W358" s="30">
        <f>IF(NOT(AND(ISNUMBER(N358),ISNUMBER(P358))),"",(P358-N358)*1440)</f>
        <v/>
      </c>
      <c r="X358" s="28" t="n"/>
      <c r="Y358" s="28" t="n"/>
      <c r="Z358" s="28" t="n"/>
      <c r="AA358" s="31" t="n"/>
      <c r="AB358" s="31" t="n"/>
    </row>
    <row r="359">
      <c r="A359" s="25" t="inlineStr">
        <is>
          <t>S07</t>
        </is>
      </c>
      <c r="B359" s="25" t="inlineStr">
        <is>
          <t>남해 신규점1</t>
        </is>
      </c>
      <c r="C359" s="25" t="inlineStr">
        <is>
          <t>S07-H북</t>
        </is>
      </c>
      <c r="D359" s="25" t="inlineStr">
        <is>
          <t>측정</t>
        </is>
      </c>
      <c r="E359" s="25" t="inlineStr">
        <is>
          <t>북</t>
        </is>
      </c>
      <c r="F359" s="30" t="n">
        <v>2</v>
      </c>
      <c r="G359" s="29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IF(COUNTIFS($C:$C,$C359,$D:$D,"P0(전)",$L:$L,"&gt;0")&lt;&gt;1,"P0(전) 유효 1개 아님",IF(COUNTIFS($C:$C,$C359,$D:$D,"P0(후)",$L:$L,"&gt;0")&lt;&gt;1,"P0(후) 유효 1개 아님",IF(NOT(AND(ISNUMBER(N359),ISNUMBER(P359),ISNUMBER(H359))),"시각 결측",IF(P359&lt;=N359,"P0 시각 역전",IF(OR(H359&lt;N359,H359&gt;P359),"측정시각 구간 밖","OK")))))</f>
        <v/>
      </c>
      <c r="N359" s="45">
        <f>IF(COUNTIFS($C:$C,$C359,$D:$D,"P0(전)",$L:$L,"&gt;0")&lt;&gt;1,"",SUMIFS($H:$H,$C:$C,$C359,$D:$D,"P0(전)"))</f>
        <v/>
      </c>
      <c r="O359" s="30">
        <f>IF(COUNTIFS($C:$C,$C359,$D:$D,"P0(전)",$L:$L,"&gt;0")&lt;&gt;1,"",SUMIFS($L:$L,$C:$C,$C359,$D:$D,"P0(전)"))</f>
        <v/>
      </c>
      <c r="P359" s="45">
        <f>IF(COUNTIFS($C:$C,$C359,$D:$D,"P0(후)",$L:$L,"&gt;0")&lt;&gt;1,"",SUMIFS($H:$H,$C:$C,$C359,$D:$D,"P0(후)"))</f>
        <v/>
      </c>
      <c r="Q359" s="30">
        <f>IF(COUNTIFS($C:$C,$C359,$D:$D,"P0(후)",$L:$L,"&gt;0")&lt;&gt;1,"",SUMIFS($L:$L,$C:$C,$C359,$D:$D,"P0(후)"))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IF(OR(NOT(ISNUMBER(S359)),IF(ISNUMBER(G359),G359,F359)=0),"",S359/IF(ISNUMBER(G359),G359,F359))</f>
        <v/>
      </c>
      <c r="U359" s="46">
        <f>IF(ISNUMBER(T359),ABS(T359),"")</f>
        <v/>
      </c>
      <c r="V359" s="46">
        <f>IF(OR($D358&lt;&gt;"측정",$C358&lt;&gt;$C359,NOT(ISNUMBER(L359)),NOT(ISNUMBER(L358)),(IF(ISNUMBER(G359),G359,F359)-IF(ISNUMBER(G358),G358,F358))=0),"",(L359-L358)/(IF(ISNUMBER(G359),G359,F359)-IF(ISNUMBER(G358),G358,F358)))</f>
        <v/>
      </c>
      <c r="W359" s="30">
        <f>IF(NOT(AND(ISNUMBER(N359),ISNUMBER(P359))),"",(P359-N359)*1440)</f>
        <v/>
      </c>
      <c r="X359" s="28" t="n"/>
      <c r="Y359" s="28" t="n"/>
      <c r="Z359" s="28" t="n"/>
      <c r="AA359" s="31" t="n"/>
      <c r="AB359" s="31" t="n"/>
    </row>
    <row r="360">
      <c r="A360" s="25" t="inlineStr">
        <is>
          <t>S07</t>
        </is>
      </c>
      <c r="B360" s="25" t="inlineStr">
        <is>
          <t>남해 신규점1</t>
        </is>
      </c>
      <c r="C360" s="25" t="inlineStr">
        <is>
          <t>S07-H북</t>
        </is>
      </c>
      <c r="D360" s="25" t="inlineStr">
        <is>
          <t>측정</t>
        </is>
      </c>
      <c r="E360" s="25" t="inlineStr">
        <is>
          <t>북</t>
        </is>
      </c>
      <c r="F360" s="30" t="n">
        <v>3</v>
      </c>
      <c r="G360" s="29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IF(COUNTIFS($C:$C,$C360,$D:$D,"P0(전)",$L:$L,"&gt;0")&lt;&gt;1,"P0(전) 유효 1개 아님",IF(COUNTIFS($C:$C,$C360,$D:$D,"P0(후)",$L:$L,"&gt;0")&lt;&gt;1,"P0(후) 유효 1개 아님",IF(NOT(AND(ISNUMBER(N360),ISNUMBER(P360),ISNUMBER(H360))),"시각 결측",IF(P360&lt;=N360,"P0 시각 역전",IF(OR(H360&lt;N360,H360&gt;P360),"측정시각 구간 밖","OK")))))</f>
        <v/>
      </c>
      <c r="N360" s="45">
        <f>IF(COUNTIFS($C:$C,$C360,$D:$D,"P0(전)",$L:$L,"&gt;0")&lt;&gt;1,"",SUMIFS($H:$H,$C:$C,$C360,$D:$D,"P0(전)"))</f>
        <v/>
      </c>
      <c r="O360" s="30">
        <f>IF(COUNTIFS($C:$C,$C360,$D:$D,"P0(전)",$L:$L,"&gt;0")&lt;&gt;1,"",SUMIFS($L:$L,$C:$C,$C360,$D:$D,"P0(전)"))</f>
        <v/>
      </c>
      <c r="P360" s="45">
        <f>IF(COUNTIFS($C:$C,$C360,$D:$D,"P0(후)",$L:$L,"&gt;0")&lt;&gt;1,"",SUMIFS($H:$H,$C:$C,$C360,$D:$D,"P0(후)"))</f>
        <v/>
      </c>
      <c r="Q360" s="30">
        <f>IF(COUNTIFS($C:$C,$C360,$D:$D,"P0(후)",$L:$L,"&gt;0")&lt;&gt;1,"",SUMIFS($L:$L,$C:$C,$C360,$D:$D,"P0(후)"))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IF(OR(NOT(ISNUMBER(S360)),IF(ISNUMBER(G360),G360,F360)=0),"",S360/IF(ISNUMBER(G360),G360,F360))</f>
        <v/>
      </c>
      <c r="U360" s="46">
        <f>IF(ISNUMBER(T360),ABS(T360),"")</f>
        <v/>
      </c>
      <c r="V360" s="46">
        <f>IF(OR($D359&lt;&gt;"측정",$C359&lt;&gt;$C360,NOT(ISNUMBER(L360)),NOT(ISNUMBER(L359)),(IF(ISNUMBER(G360),G360,F360)-IF(ISNUMBER(G359),G359,F359))=0),"",(L360-L359)/(IF(ISNUMBER(G360),G360,F360)-IF(ISNUMBER(G359),G359,F359)))</f>
        <v/>
      </c>
      <c r="W360" s="30">
        <f>IF(NOT(AND(ISNUMBER(N360),ISNUMBER(P360))),"",(P360-N360)*1440)</f>
        <v/>
      </c>
      <c r="X360" s="28" t="n"/>
      <c r="Y360" s="28" t="n"/>
      <c r="Z360" s="28" t="n"/>
      <c r="AA360" s="31" t="n"/>
      <c r="AB360" s="31" t="n"/>
    </row>
    <row r="361">
      <c r="A361" s="25" t="inlineStr">
        <is>
          <t>S07</t>
        </is>
      </c>
      <c r="B361" s="25" t="inlineStr">
        <is>
          <t>남해 신규점1</t>
        </is>
      </c>
      <c r="C361" s="25" t="inlineStr">
        <is>
          <t>S07-H북</t>
        </is>
      </c>
      <c r="D361" s="25" t="inlineStr">
        <is>
          <t>측정</t>
        </is>
      </c>
      <c r="E361" s="25" t="inlineStr">
        <is>
          <t>북</t>
        </is>
      </c>
      <c r="F361" s="30" t="n">
        <v>4</v>
      </c>
      <c r="G361" s="29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IF(COUNTIFS($C:$C,$C361,$D:$D,"P0(전)",$L:$L,"&gt;0")&lt;&gt;1,"P0(전) 유효 1개 아님",IF(COUNTIFS($C:$C,$C361,$D:$D,"P0(후)",$L:$L,"&gt;0")&lt;&gt;1,"P0(후) 유효 1개 아님",IF(NOT(AND(ISNUMBER(N361),ISNUMBER(P361),ISNUMBER(H361))),"시각 결측",IF(P361&lt;=N361,"P0 시각 역전",IF(OR(H361&lt;N361,H361&gt;P361),"측정시각 구간 밖","OK")))))</f>
        <v/>
      </c>
      <c r="N361" s="45">
        <f>IF(COUNTIFS($C:$C,$C361,$D:$D,"P0(전)",$L:$L,"&gt;0")&lt;&gt;1,"",SUMIFS($H:$H,$C:$C,$C361,$D:$D,"P0(전)"))</f>
        <v/>
      </c>
      <c r="O361" s="30">
        <f>IF(COUNTIFS($C:$C,$C361,$D:$D,"P0(전)",$L:$L,"&gt;0")&lt;&gt;1,"",SUMIFS($L:$L,$C:$C,$C361,$D:$D,"P0(전)"))</f>
        <v/>
      </c>
      <c r="P361" s="45">
        <f>IF(COUNTIFS($C:$C,$C361,$D:$D,"P0(후)",$L:$L,"&gt;0")&lt;&gt;1,"",SUMIFS($H:$H,$C:$C,$C361,$D:$D,"P0(후)"))</f>
        <v/>
      </c>
      <c r="Q361" s="30">
        <f>IF(COUNTIFS($C:$C,$C361,$D:$D,"P0(후)",$L:$L,"&gt;0")&lt;&gt;1,"",SUMIFS($L:$L,$C:$C,$C361,$D:$D,"P0(후)"))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IF(OR(NOT(ISNUMBER(S361)),IF(ISNUMBER(G361),G361,F361)=0),"",S361/IF(ISNUMBER(G361),G361,F361))</f>
        <v/>
      </c>
      <c r="U361" s="46">
        <f>IF(ISNUMBER(T361),ABS(T361),"")</f>
        <v/>
      </c>
      <c r="V361" s="46">
        <f>IF(OR($D360&lt;&gt;"측정",$C360&lt;&gt;$C361,NOT(ISNUMBER(L361)),NOT(ISNUMBER(L360)),(IF(ISNUMBER(G361),G361,F361)-IF(ISNUMBER(G360),G360,F360))=0),"",(L361-L360)/(IF(ISNUMBER(G361),G361,F361)-IF(ISNUMBER(G360),G360,F360)))</f>
        <v/>
      </c>
      <c r="W361" s="30">
        <f>IF(NOT(AND(ISNUMBER(N361),ISNUMBER(P361))),"",(P361-N361)*1440)</f>
        <v/>
      </c>
      <c r="X361" s="28" t="n"/>
      <c r="Y361" s="28" t="n"/>
      <c r="Z361" s="28" t="n"/>
      <c r="AA361" s="31" t="n"/>
      <c r="AB361" s="31" t="n"/>
    </row>
    <row r="362">
      <c r="A362" s="25" t="inlineStr">
        <is>
          <t>S07</t>
        </is>
      </c>
      <c r="B362" s="25" t="inlineStr">
        <is>
          <t>남해 신규점1</t>
        </is>
      </c>
      <c r="C362" s="25" t="inlineStr">
        <is>
          <t>S07-H북</t>
        </is>
      </c>
      <c r="D362" s="25" t="inlineStr">
        <is>
          <t>측정</t>
        </is>
      </c>
      <c r="E362" s="25" t="inlineStr">
        <is>
          <t>북</t>
        </is>
      </c>
      <c r="F362" s="30" t="n">
        <v>5</v>
      </c>
      <c r="G362" s="29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IF(COUNTIFS($C:$C,$C362,$D:$D,"P0(전)",$L:$L,"&gt;0")&lt;&gt;1,"P0(전) 유효 1개 아님",IF(COUNTIFS($C:$C,$C362,$D:$D,"P0(후)",$L:$L,"&gt;0")&lt;&gt;1,"P0(후) 유효 1개 아님",IF(NOT(AND(ISNUMBER(N362),ISNUMBER(P362),ISNUMBER(H362))),"시각 결측",IF(P362&lt;=N362,"P0 시각 역전",IF(OR(H362&lt;N362,H362&gt;P362),"측정시각 구간 밖","OK")))))</f>
        <v/>
      </c>
      <c r="N362" s="45">
        <f>IF(COUNTIFS($C:$C,$C362,$D:$D,"P0(전)",$L:$L,"&gt;0")&lt;&gt;1,"",SUMIFS($H:$H,$C:$C,$C362,$D:$D,"P0(전)"))</f>
        <v/>
      </c>
      <c r="O362" s="30">
        <f>IF(COUNTIFS($C:$C,$C362,$D:$D,"P0(전)",$L:$L,"&gt;0")&lt;&gt;1,"",SUMIFS($L:$L,$C:$C,$C362,$D:$D,"P0(전)"))</f>
        <v/>
      </c>
      <c r="P362" s="45">
        <f>IF(COUNTIFS($C:$C,$C362,$D:$D,"P0(후)",$L:$L,"&gt;0")&lt;&gt;1,"",SUMIFS($H:$H,$C:$C,$C362,$D:$D,"P0(후)"))</f>
        <v/>
      </c>
      <c r="Q362" s="30">
        <f>IF(COUNTIFS($C:$C,$C362,$D:$D,"P0(후)",$L:$L,"&gt;0")&lt;&gt;1,"",SUMIFS($L:$L,$C:$C,$C362,$D:$D,"P0(후)"))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IF(OR(NOT(ISNUMBER(S362)),IF(ISNUMBER(G362),G362,F362)=0),"",S362/IF(ISNUMBER(G362),G362,F362))</f>
        <v/>
      </c>
      <c r="U362" s="46">
        <f>IF(ISNUMBER(T362),ABS(T362),"")</f>
        <v/>
      </c>
      <c r="V362" s="46">
        <f>IF(OR($D361&lt;&gt;"측정",$C361&lt;&gt;$C362,NOT(ISNUMBER(L362)),NOT(ISNUMBER(L361)),(IF(ISNUMBER(G362),G362,F362)-IF(ISNUMBER(G361),G361,F361))=0),"",(L362-L361)/(IF(ISNUMBER(G362),G362,F362)-IF(ISNUMBER(G361),G361,F361)))</f>
        <v/>
      </c>
      <c r="W362" s="30">
        <f>IF(NOT(AND(ISNUMBER(N362),ISNUMBER(P362))),"",(P362-N362)*1440)</f>
        <v/>
      </c>
      <c r="X362" s="28" t="n"/>
      <c r="Y362" s="28" t="n"/>
      <c r="Z362" s="28" t="n"/>
      <c r="AA362" s="31" t="n"/>
      <c r="AB362" s="31" t="n"/>
    </row>
    <row r="363">
      <c r="A363" s="25" t="inlineStr">
        <is>
          <t>S07</t>
        </is>
      </c>
      <c r="B363" s="25" t="inlineStr">
        <is>
          <t>남해 신규점1</t>
        </is>
      </c>
      <c r="C363" s="25" t="inlineStr">
        <is>
          <t>S07-H북</t>
        </is>
      </c>
      <c r="D363" s="25" t="inlineStr">
        <is>
          <t>측정</t>
        </is>
      </c>
      <c r="E363" s="25" t="inlineStr">
        <is>
          <t>북</t>
        </is>
      </c>
      <c r="F363" s="30" t="n">
        <v>6</v>
      </c>
      <c r="G363" s="29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IF(COUNTIFS($C:$C,$C363,$D:$D,"P0(전)",$L:$L,"&gt;0")&lt;&gt;1,"P0(전) 유효 1개 아님",IF(COUNTIFS($C:$C,$C363,$D:$D,"P0(후)",$L:$L,"&gt;0")&lt;&gt;1,"P0(후) 유효 1개 아님",IF(NOT(AND(ISNUMBER(N363),ISNUMBER(P363),ISNUMBER(H363))),"시각 결측",IF(P363&lt;=N363,"P0 시각 역전",IF(OR(H363&lt;N363,H363&gt;P363),"측정시각 구간 밖","OK")))))</f>
        <v/>
      </c>
      <c r="N363" s="45">
        <f>IF(COUNTIFS($C:$C,$C363,$D:$D,"P0(전)",$L:$L,"&gt;0")&lt;&gt;1,"",SUMIFS($H:$H,$C:$C,$C363,$D:$D,"P0(전)"))</f>
        <v/>
      </c>
      <c r="O363" s="30">
        <f>IF(COUNTIFS($C:$C,$C363,$D:$D,"P0(전)",$L:$L,"&gt;0")&lt;&gt;1,"",SUMIFS($L:$L,$C:$C,$C363,$D:$D,"P0(전)"))</f>
        <v/>
      </c>
      <c r="P363" s="45">
        <f>IF(COUNTIFS($C:$C,$C363,$D:$D,"P0(후)",$L:$L,"&gt;0")&lt;&gt;1,"",SUMIFS($H:$H,$C:$C,$C363,$D:$D,"P0(후)"))</f>
        <v/>
      </c>
      <c r="Q363" s="30">
        <f>IF(COUNTIFS($C:$C,$C363,$D:$D,"P0(후)",$L:$L,"&gt;0")&lt;&gt;1,"",SUMIFS($L:$L,$C:$C,$C363,$D:$D,"P0(후)"))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IF(OR(NOT(ISNUMBER(S363)),IF(ISNUMBER(G363),G363,F363)=0),"",S363/IF(ISNUMBER(G363),G363,F363))</f>
        <v/>
      </c>
      <c r="U363" s="46">
        <f>IF(ISNUMBER(T363),ABS(T363),"")</f>
        <v/>
      </c>
      <c r="V363" s="46">
        <f>IF(OR($D362&lt;&gt;"측정",$C362&lt;&gt;$C363,NOT(ISNUMBER(L363)),NOT(ISNUMBER(L362)),(IF(ISNUMBER(G363),G363,F363)-IF(ISNUMBER(G362),G362,F362))=0),"",(L363-L362)/(IF(ISNUMBER(G363),G363,F363)-IF(ISNUMBER(G362),G362,F362)))</f>
        <v/>
      </c>
      <c r="W363" s="30">
        <f>IF(NOT(AND(ISNUMBER(N363),ISNUMBER(P363))),"",(P363-N363)*1440)</f>
        <v/>
      </c>
      <c r="X363" s="28" t="n"/>
      <c r="Y363" s="28" t="n"/>
      <c r="Z363" s="28" t="n"/>
      <c r="AA363" s="31" t="n"/>
      <c r="AB363" s="31" t="n"/>
    </row>
    <row r="364">
      <c r="A364" s="25" t="inlineStr">
        <is>
          <t>S07</t>
        </is>
      </c>
      <c r="B364" s="25" t="inlineStr">
        <is>
          <t>남해 신규점1</t>
        </is>
      </c>
      <c r="C364" s="25" t="inlineStr">
        <is>
          <t>S07-H북</t>
        </is>
      </c>
      <c r="D364" s="25" t="inlineStr">
        <is>
          <t>측정</t>
        </is>
      </c>
      <c r="E364" s="25" t="inlineStr">
        <is>
          <t>북</t>
        </is>
      </c>
      <c r="F364" s="30" t="n">
        <v>7</v>
      </c>
      <c r="G364" s="29" t="n"/>
      <c r="H364" s="42" t="n"/>
      <c r="I364" s="40" t="n"/>
      <c r="J364" s="40" t="n"/>
      <c r="K364" s="40" t="n"/>
      <c r="L364" s="30">
        <f>IF(COUNT(I364:K364)=0,"",MEDIAN(I364:K364))</f>
        <v/>
      </c>
      <c r="M364" s="25">
        <f>IF(COUNTIFS($C:$C,$C364,$D:$D,"P0(전)",$L:$L,"&gt;0")&lt;&gt;1,"P0(전) 유효 1개 아님",IF(COUNTIFS($C:$C,$C364,$D:$D,"P0(후)",$L:$L,"&gt;0")&lt;&gt;1,"P0(후) 유효 1개 아님",IF(NOT(AND(ISNUMBER(N364),ISNUMBER(P364),ISNUMBER(H364))),"시각 결측",IF(P364&lt;=N364,"P0 시각 역전",IF(OR(H364&lt;N364,H364&gt;P364),"측정시각 구간 밖","OK")))))</f>
        <v/>
      </c>
      <c r="N364" s="45">
        <f>IF(COUNTIFS($C:$C,$C364,$D:$D,"P0(전)",$L:$L,"&gt;0")&lt;&gt;1,"",SUMIFS($H:$H,$C:$C,$C364,$D:$D,"P0(전)"))</f>
        <v/>
      </c>
      <c r="O364" s="30">
        <f>IF(COUNTIFS($C:$C,$C364,$D:$D,"P0(전)",$L:$L,"&gt;0")&lt;&gt;1,"",SUMIFS($L:$L,$C:$C,$C364,$D:$D,"P0(전)"))</f>
        <v/>
      </c>
      <c r="P364" s="45">
        <f>IF(COUNTIFS($C:$C,$C364,$D:$D,"P0(후)",$L:$L,"&gt;0")&lt;&gt;1,"",SUMIFS($H:$H,$C:$C,$C364,$D:$D,"P0(후)"))</f>
        <v/>
      </c>
      <c r="Q364" s="30">
        <f>IF(COUNTIFS($C:$C,$C364,$D:$D,"P0(후)",$L:$L,"&gt;0")&lt;&gt;1,"",SUMIFS($L:$L,$C:$C,$C364,$D:$D,"P0(후)"))</f>
        <v/>
      </c>
      <c r="R364" s="30">
        <f>IF(M364&lt;&gt;"OK","",O364+(Q364-O364)*(H364-N364)/(P364-N364))</f>
        <v/>
      </c>
      <c r="S364" s="30">
        <f>IF(OR(M364&lt;&gt;"OK",NOT(ISNUMBER(L364))),"",L364-R364)</f>
        <v/>
      </c>
      <c r="T364" s="46">
        <f>IF(OR(NOT(ISNUMBER(S364)),IF(ISNUMBER(G364),G364,F364)=0),"",S364/IF(ISNUMBER(G364),G364,F364))</f>
        <v/>
      </c>
      <c r="U364" s="46">
        <f>IF(ISNUMBER(T364),ABS(T364),"")</f>
        <v/>
      </c>
      <c r="V364" s="46">
        <f>IF(OR($D363&lt;&gt;"측정",$C363&lt;&gt;$C364,NOT(ISNUMBER(L364)),NOT(ISNUMBER(L363)),(IF(ISNUMBER(G364),G364,F364)-IF(ISNUMBER(G363),G363,F363))=0),"",(L364-L363)/(IF(ISNUMBER(G364),G364,F364)-IF(ISNUMBER(G363),G363,F363)))</f>
        <v/>
      </c>
      <c r="W364" s="30">
        <f>IF(NOT(AND(ISNUMBER(N364),ISNUMBER(P364))),"",(P364-N364)*1440)</f>
        <v/>
      </c>
      <c r="X364" s="28" t="n"/>
      <c r="Y364" s="28" t="n"/>
      <c r="Z364" s="28" t="n"/>
      <c r="AA364" s="31" t="n"/>
      <c r="AB364" s="31" t="n"/>
    </row>
    <row r="365">
      <c r="A365" s="25" t="inlineStr">
        <is>
          <t>S07</t>
        </is>
      </c>
      <c r="B365" s="25" t="inlineStr">
        <is>
          <t>남해 신규점1</t>
        </is>
      </c>
      <c r="C365" s="25" t="inlineStr">
        <is>
          <t>S07-H북</t>
        </is>
      </c>
      <c r="D365" s="25" t="inlineStr">
        <is>
          <t>측정</t>
        </is>
      </c>
      <c r="E365" s="25" t="inlineStr">
        <is>
          <t>북</t>
        </is>
      </c>
      <c r="F365" s="30" t="n">
        <v>8</v>
      </c>
      <c r="G365" s="29" t="n"/>
      <c r="H365" s="42" t="n"/>
      <c r="I365" s="40" t="n"/>
      <c r="J365" s="40" t="n"/>
      <c r="K365" s="40" t="n"/>
      <c r="L365" s="30">
        <f>IF(COUNT(I365:K365)=0,"",MEDIAN(I365:K365))</f>
        <v/>
      </c>
      <c r="M365" s="25">
        <f>IF(COUNTIFS($C:$C,$C365,$D:$D,"P0(전)",$L:$L,"&gt;0")&lt;&gt;1,"P0(전) 유효 1개 아님",IF(COUNTIFS($C:$C,$C365,$D:$D,"P0(후)",$L:$L,"&gt;0")&lt;&gt;1,"P0(후) 유효 1개 아님",IF(NOT(AND(ISNUMBER(N365),ISNUMBER(P365),ISNUMBER(H365))),"시각 결측",IF(P365&lt;=N365,"P0 시각 역전",IF(OR(H365&lt;N365,H365&gt;P365),"측정시각 구간 밖","OK")))))</f>
        <v/>
      </c>
      <c r="N365" s="45">
        <f>IF(COUNTIFS($C:$C,$C365,$D:$D,"P0(전)",$L:$L,"&gt;0")&lt;&gt;1,"",SUMIFS($H:$H,$C:$C,$C365,$D:$D,"P0(전)"))</f>
        <v/>
      </c>
      <c r="O365" s="30">
        <f>IF(COUNTIFS($C:$C,$C365,$D:$D,"P0(전)",$L:$L,"&gt;0")&lt;&gt;1,"",SUMIFS($L:$L,$C:$C,$C365,$D:$D,"P0(전)"))</f>
        <v/>
      </c>
      <c r="P365" s="45">
        <f>IF(COUNTIFS($C:$C,$C365,$D:$D,"P0(후)",$L:$L,"&gt;0")&lt;&gt;1,"",SUMIFS($H:$H,$C:$C,$C365,$D:$D,"P0(후)"))</f>
        <v/>
      </c>
      <c r="Q365" s="30">
        <f>IF(COUNTIFS($C:$C,$C365,$D:$D,"P0(후)",$L:$L,"&gt;0")&lt;&gt;1,"",SUMIFS($L:$L,$C:$C,$C365,$D:$D,"P0(후)"))</f>
        <v/>
      </c>
      <c r="R365" s="30">
        <f>IF(M365&lt;&gt;"OK","",O365+(Q365-O365)*(H365-N365)/(P365-N365))</f>
        <v/>
      </c>
      <c r="S365" s="30">
        <f>IF(OR(M365&lt;&gt;"OK",NOT(ISNUMBER(L365))),"",L365-R365)</f>
        <v/>
      </c>
      <c r="T365" s="46">
        <f>IF(OR(NOT(ISNUMBER(S365)),IF(ISNUMBER(G365),G365,F365)=0),"",S365/IF(ISNUMBER(G365),G365,F365))</f>
        <v/>
      </c>
      <c r="U365" s="46">
        <f>IF(ISNUMBER(T365),ABS(T365),"")</f>
        <v/>
      </c>
      <c r="V365" s="46">
        <f>IF(OR($D364&lt;&gt;"측정",$C364&lt;&gt;$C365,NOT(ISNUMBER(L365)),NOT(ISNUMBER(L364)),(IF(ISNUMBER(G365),G365,F365)-IF(ISNUMBER(G364),G364,F364))=0),"",(L365-L364)/(IF(ISNUMBER(G365),G365,F365)-IF(ISNUMBER(G364),G364,F364)))</f>
        <v/>
      </c>
      <c r="W365" s="30">
        <f>IF(NOT(AND(ISNUMBER(N365),ISNUMBER(P365))),"",(P365-N365)*1440)</f>
        <v/>
      </c>
      <c r="X365" s="28" t="n"/>
      <c r="Y365" s="28" t="n"/>
      <c r="Z365" s="28" t="n"/>
      <c r="AA365" s="31" t="n"/>
      <c r="AB365" s="31" t="n"/>
    </row>
    <row r="366">
      <c r="A366" s="25" t="inlineStr">
        <is>
          <t>S07</t>
        </is>
      </c>
      <c r="B366" s="25" t="inlineStr">
        <is>
          <t>남해 신규점1</t>
        </is>
      </c>
      <c r="C366" s="25" t="inlineStr">
        <is>
          <t>S07-H북</t>
        </is>
      </c>
      <c r="D366" s="25" t="inlineStr">
        <is>
          <t>측정</t>
        </is>
      </c>
      <c r="E366" s="25" t="inlineStr">
        <is>
          <t>북</t>
        </is>
      </c>
      <c r="F366" s="30" t="n">
        <v>9</v>
      </c>
      <c r="G366" s="29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IF(COUNTIFS($C:$C,$C366,$D:$D,"P0(전)",$L:$L,"&gt;0")&lt;&gt;1,"P0(전) 유효 1개 아님",IF(COUNTIFS($C:$C,$C366,$D:$D,"P0(후)",$L:$L,"&gt;0")&lt;&gt;1,"P0(후) 유효 1개 아님",IF(NOT(AND(ISNUMBER(N366),ISNUMBER(P366),ISNUMBER(H366))),"시각 결측",IF(P366&lt;=N366,"P0 시각 역전",IF(OR(H366&lt;N366,H366&gt;P366),"측정시각 구간 밖","OK")))))</f>
        <v/>
      </c>
      <c r="N366" s="45">
        <f>IF(COUNTIFS($C:$C,$C366,$D:$D,"P0(전)",$L:$L,"&gt;0")&lt;&gt;1,"",SUMIFS($H:$H,$C:$C,$C366,$D:$D,"P0(전)"))</f>
        <v/>
      </c>
      <c r="O366" s="30">
        <f>IF(COUNTIFS($C:$C,$C366,$D:$D,"P0(전)",$L:$L,"&gt;0")&lt;&gt;1,"",SUMIFS($L:$L,$C:$C,$C366,$D:$D,"P0(전)"))</f>
        <v/>
      </c>
      <c r="P366" s="45">
        <f>IF(COUNTIFS($C:$C,$C366,$D:$D,"P0(후)",$L:$L,"&gt;0")&lt;&gt;1,"",SUMIFS($H:$H,$C:$C,$C366,$D:$D,"P0(후)"))</f>
        <v/>
      </c>
      <c r="Q366" s="30">
        <f>IF(COUNTIFS($C:$C,$C366,$D:$D,"P0(후)",$L:$L,"&gt;0")&lt;&gt;1,"",SUMIFS($L:$L,$C:$C,$C366,$D:$D,"P0(후)"))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IF(OR(NOT(ISNUMBER(S366)),IF(ISNUMBER(G366),G366,F366)=0),"",S366/IF(ISNUMBER(G366),G366,F366))</f>
        <v/>
      </c>
      <c r="U366" s="46">
        <f>IF(ISNUMBER(T366),ABS(T366),"")</f>
        <v/>
      </c>
      <c r="V366" s="46">
        <f>IF(OR($D365&lt;&gt;"측정",$C365&lt;&gt;$C366,NOT(ISNUMBER(L366)),NOT(ISNUMBER(L365)),(IF(ISNUMBER(G366),G366,F366)-IF(ISNUMBER(G365),G365,F365))=0),"",(L366-L365)/(IF(ISNUMBER(G366),G366,F366)-IF(ISNUMBER(G365),G365,F365)))</f>
        <v/>
      </c>
      <c r="W366" s="30">
        <f>IF(NOT(AND(ISNUMBER(N366),ISNUMBER(P366))),"",(P366-N366)*1440)</f>
        <v/>
      </c>
      <c r="X366" s="28" t="n"/>
      <c r="Y366" s="28" t="n"/>
      <c r="Z366" s="28" t="n"/>
      <c r="AA366" s="31" t="n"/>
      <c r="AB366" s="31" t="n"/>
    </row>
    <row r="367">
      <c r="A367" s="25" t="inlineStr">
        <is>
          <t>S07</t>
        </is>
      </c>
      <c r="B367" s="25" t="inlineStr">
        <is>
          <t>남해 신규점1</t>
        </is>
      </c>
      <c r="C367" s="25" t="inlineStr">
        <is>
          <t>S07-H북</t>
        </is>
      </c>
      <c r="D367" s="25" t="inlineStr">
        <is>
          <t>측정</t>
        </is>
      </c>
      <c r="E367" s="25" t="inlineStr">
        <is>
          <t>북</t>
        </is>
      </c>
      <c r="F367" s="30" t="n">
        <v>10</v>
      </c>
      <c r="G367" s="29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IF(COUNTIFS($C:$C,$C367,$D:$D,"P0(전)",$L:$L,"&gt;0")&lt;&gt;1,"P0(전) 유효 1개 아님",IF(COUNTIFS($C:$C,$C367,$D:$D,"P0(후)",$L:$L,"&gt;0")&lt;&gt;1,"P0(후) 유효 1개 아님",IF(NOT(AND(ISNUMBER(N367),ISNUMBER(P367),ISNUMBER(H367))),"시각 결측",IF(P367&lt;=N367,"P0 시각 역전",IF(OR(H367&lt;N367,H367&gt;P367),"측정시각 구간 밖","OK")))))</f>
        <v/>
      </c>
      <c r="N367" s="45">
        <f>IF(COUNTIFS($C:$C,$C367,$D:$D,"P0(전)",$L:$L,"&gt;0")&lt;&gt;1,"",SUMIFS($H:$H,$C:$C,$C367,$D:$D,"P0(전)"))</f>
        <v/>
      </c>
      <c r="O367" s="30">
        <f>IF(COUNTIFS($C:$C,$C367,$D:$D,"P0(전)",$L:$L,"&gt;0")&lt;&gt;1,"",SUMIFS($L:$L,$C:$C,$C367,$D:$D,"P0(전)"))</f>
        <v/>
      </c>
      <c r="P367" s="45">
        <f>IF(COUNTIFS($C:$C,$C367,$D:$D,"P0(후)",$L:$L,"&gt;0")&lt;&gt;1,"",SUMIFS($H:$H,$C:$C,$C367,$D:$D,"P0(후)"))</f>
        <v/>
      </c>
      <c r="Q367" s="30">
        <f>IF(COUNTIFS($C:$C,$C367,$D:$D,"P0(후)",$L:$L,"&gt;0")&lt;&gt;1,"",SUMIFS($L:$L,$C:$C,$C367,$D:$D,"P0(후)"))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IF(OR(NOT(ISNUMBER(S367)),IF(ISNUMBER(G367),G367,F367)=0),"",S367/IF(ISNUMBER(G367),G367,F367))</f>
        <v/>
      </c>
      <c r="U367" s="46">
        <f>IF(ISNUMBER(T367),ABS(T367),"")</f>
        <v/>
      </c>
      <c r="V367" s="46">
        <f>IF(OR($D366&lt;&gt;"측정",$C366&lt;&gt;$C367,NOT(ISNUMBER(L367)),NOT(ISNUMBER(L366)),(IF(ISNUMBER(G367),G367,F367)-IF(ISNUMBER(G366),G366,F366))=0),"",(L367-L366)/(IF(ISNUMBER(G367),G367,F367)-IF(ISNUMBER(G366),G366,F366)))</f>
        <v/>
      </c>
      <c r="W367" s="30">
        <f>IF(NOT(AND(ISNUMBER(N367),ISNUMBER(P367))),"",(P367-N367)*1440)</f>
        <v/>
      </c>
      <c r="X367" s="28" t="n"/>
      <c r="Y367" s="28" t="n"/>
      <c r="Z367" s="28" t="n"/>
      <c r="AA367" s="31" t="n"/>
      <c r="AB367" s="31" t="n"/>
    </row>
    <row r="368">
      <c r="A368" s="43" t="inlineStr">
        <is>
          <t>S07</t>
        </is>
      </c>
      <c r="B368" s="43" t="inlineStr">
        <is>
          <t>남해 신규점1</t>
        </is>
      </c>
      <c r="C368" s="43" t="inlineStr">
        <is>
          <t>S07-H북</t>
        </is>
      </c>
      <c r="D368" s="43" t="inlineStr">
        <is>
          <t>P0(후)</t>
        </is>
      </c>
      <c r="E368" s="43" t="inlineStr">
        <is>
          <t>북</t>
        </is>
      </c>
      <c r="F368" s="44" t="n"/>
      <c r="G368" s="29" t="n"/>
      <c r="H368" s="42" t="n"/>
      <c r="I368" s="40" t="n"/>
      <c r="J368" s="40" t="n"/>
      <c r="K368" s="40" t="n"/>
      <c r="L368" s="30">
        <f>IF(COUNT(I368:K368)=0,"",MEDIAN(I368:K368))</f>
        <v/>
      </c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28" t="n"/>
      <c r="Y368" s="28" t="n"/>
      <c r="Z368" s="28" t="n"/>
      <c r="AA368" s="31" t="n"/>
      <c r="AB368" s="31" t="n"/>
    </row>
    <row r="369">
      <c r="A369" s="43" t="inlineStr">
        <is>
          <t>S08</t>
        </is>
      </c>
      <c r="B369" s="43" t="inlineStr">
        <is>
          <t>청일 신규점2</t>
        </is>
      </c>
      <c r="C369" s="43" t="inlineStr">
        <is>
          <t>S08-H동</t>
        </is>
      </c>
      <c r="D369" s="43" t="inlineStr">
        <is>
          <t>P0(전)</t>
        </is>
      </c>
      <c r="E369" s="43" t="inlineStr">
        <is>
          <t>동</t>
        </is>
      </c>
      <c r="F369" s="44" t="n"/>
      <c r="G369" s="29" t="n"/>
      <c r="H369" s="42" t="n"/>
      <c r="I369" s="40" t="n"/>
      <c r="J369" s="40" t="n"/>
      <c r="K369" s="40" t="n"/>
      <c r="L369" s="30">
        <f>IF(COUNT(I369:K369)=0,"",MEDIAN(I369:K369))</f>
        <v/>
      </c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28" t="n"/>
      <c r="Y369" s="28" t="n"/>
      <c r="Z369" s="28" t="n"/>
      <c r="AA369" s="31" t="n"/>
      <c r="AB369" s="31" t="n"/>
    </row>
    <row r="370">
      <c r="A370" s="25" t="inlineStr">
        <is>
          <t>S08</t>
        </is>
      </c>
      <c r="B370" s="25" t="inlineStr">
        <is>
          <t>청일 신규점2</t>
        </is>
      </c>
      <c r="C370" s="25" t="inlineStr">
        <is>
          <t>S08-H동</t>
        </is>
      </c>
      <c r="D370" s="25" t="inlineStr">
        <is>
          <t>측정</t>
        </is>
      </c>
      <c r="E370" s="25" t="inlineStr">
        <is>
          <t>동</t>
        </is>
      </c>
      <c r="F370" s="30" t="n">
        <v>0.5</v>
      </c>
      <c r="G370" s="29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IF(COUNTIFS($C:$C,$C370,$D:$D,"P0(전)",$L:$L,"&gt;0")&lt;&gt;1,"P0(전) 유효 1개 아님",IF(COUNTIFS($C:$C,$C370,$D:$D,"P0(후)",$L:$L,"&gt;0")&lt;&gt;1,"P0(후) 유효 1개 아님",IF(NOT(AND(ISNUMBER(N370),ISNUMBER(P370),ISNUMBER(H370))),"시각 결측",IF(P370&lt;=N370,"P0 시각 역전",IF(OR(H370&lt;N370,H370&gt;P370),"측정시각 구간 밖","OK")))))</f>
        <v/>
      </c>
      <c r="N370" s="45">
        <f>IF(COUNTIFS($C:$C,$C370,$D:$D,"P0(전)",$L:$L,"&gt;0")&lt;&gt;1,"",SUMIFS($H:$H,$C:$C,$C370,$D:$D,"P0(전)"))</f>
        <v/>
      </c>
      <c r="O370" s="30">
        <f>IF(COUNTIFS($C:$C,$C370,$D:$D,"P0(전)",$L:$L,"&gt;0")&lt;&gt;1,"",SUMIFS($L:$L,$C:$C,$C370,$D:$D,"P0(전)"))</f>
        <v/>
      </c>
      <c r="P370" s="45">
        <f>IF(COUNTIFS($C:$C,$C370,$D:$D,"P0(후)",$L:$L,"&gt;0")&lt;&gt;1,"",SUMIFS($H:$H,$C:$C,$C370,$D:$D,"P0(후)"))</f>
        <v/>
      </c>
      <c r="Q370" s="30">
        <f>IF(COUNTIFS($C:$C,$C370,$D:$D,"P0(후)",$L:$L,"&gt;0")&lt;&gt;1,"",SUMIFS($L:$L,$C:$C,$C370,$D:$D,"P0(후)"))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IF(OR(NOT(ISNUMBER(S370)),IF(ISNUMBER(G370),G370,F370)=0),"",S370/IF(ISNUMBER(G370),G370,F370))</f>
        <v/>
      </c>
      <c r="U370" s="46">
        <f>IF(ISNUMBER(T370),ABS(T370),"")</f>
        <v/>
      </c>
      <c r="V370" s="46">
        <f>IF(OR($D369&lt;&gt;"측정",$C369&lt;&gt;$C370,NOT(ISNUMBER(L370)),NOT(ISNUMBER(L369)),(IF(ISNUMBER(G370),G370,F370)-IF(ISNUMBER(G369),G369,F369))=0),"",(L370-L369)/(IF(ISNUMBER(G370),G370,F370)-IF(ISNUMBER(G369),G369,F369)))</f>
        <v/>
      </c>
      <c r="W370" s="30">
        <f>IF(NOT(AND(ISNUMBER(N370),ISNUMBER(P370))),"",(P370-N370)*1440)</f>
        <v/>
      </c>
      <c r="X370" s="28" t="n"/>
      <c r="Y370" s="28" t="n"/>
      <c r="Z370" s="28" t="n"/>
      <c r="AA370" s="31" t="n"/>
      <c r="AB370" s="31" t="n"/>
    </row>
    <row r="371">
      <c r="A371" s="25" t="inlineStr">
        <is>
          <t>S08</t>
        </is>
      </c>
      <c r="B371" s="25" t="inlineStr">
        <is>
          <t>청일 신규점2</t>
        </is>
      </c>
      <c r="C371" s="25" t="inlineStr">
        <is>
          <t>S08-H동</t>
        </is>
      </c>
      <c r="D371" s="25" t="inlineStr">
        <is>
          <t>측정</t>
        </is>
      </c>
      <c r="E371" s="25" t="inlineStr">
        <is>
          <t>동</t>
        </is>
      </c>
      <c r="F371" s="30" t="n">
        <v>1</v>
      </c>
      <c r="G371" s="29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IF(COUNTIFS($C:$C,$C371,$D:$D,"P0(전)",$L:$L,"&gt;0")&lt;&gt;1,"P0(전) 유효 1개 아님",IF(COUNTIFS($C:$C,$C371,$D:$D,"P0(후)",$L:$L,"&gt;0")&lt;&gt;1,"P0(후) 유효 1개 아님",IF(NOT(AND(ISNUMBER(N371),ISNUMBER(P371),ISNUMBER(H371))),"시각 결측",IF(P371&lt;=N371,"P0 시각 역전",IF(OR(H371&lt;N371,H371&gt;P371),"측정시각 구간 밖","OK")))))</f>
        <v/>
      </c>
      <c r="N371" s="45">
        <f>IF(COUNTIFS($C:$C,$C371,$D:$D,"P0(전)",$L:$L,"&gt;0")&lt;&gt;1,"",SUMIFS($H:$H,$C:$C,$C371,$D:$D,"P0(전)"))</f>
        <v/>
      </c>
      <c r="O371" s="30">
        <f>IF(COUNTIFS($C:$C,$C371,$D:$D,"P0(전)",$L:$L,"&gt;0")&lt;&gt;1,"",SUMIFS($L:$L,$C:$C,$C371,$D:$D,"P0(전)"))</f>
        <v/>
      </c>
      <c r="P371" s="45">
        <f>IF(COUNTIFS($C:$C,$C371,$D:$D,"P0(후)",$L:$L,"&gt;0")&lt;&gt;1,"",SUMIFS($H:$H,$C:$C,$C371,$D:$D,"P0(후)"))</f>
        <v/>
      </c>
      <c r="Q371" s="30">
        <f>IF(COUNTIFS($C:$C,$C371,$D:$D,"P0(후)",$L:$L,"&gt;0")&lt;&gt;1,"",SUMIFS($L:$L,$C:$C,$C371,$D:$D,"P0(후)"))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IF(OR(NOT(ISNUMBER(S371)),IF(ISNUMBER(G371),G371,F371)=0),"",S371/IF(ISNUMBER(G371),G371,F371))</f>
        <v/>
      </c>
      <c r="U371" s="46">
        <f>IF(ISNUMBER(T371),ABS(T371),"")</f>
        <v/>
      </c>
      <c r="V371" s="46">
        <f>IF(OR($D370&lt;&gt;"측정",$C370&lt;&gt;$C371,NOT(ISNUMBER(L371)),NOT(ISNUMBER(L370)),(IF(ISNUMBER(G371),G371,F371)-IF(ISNUMBER(G370),G370,F370))=0),"",(L371-L370)/(IF(ISNUMBER(G371),G371,F371)-IF(ISNUMBER(G370),G370,F370)))</f>
        <v/>
      </c>
      <c r="W371" s="30">
        <f>IF(NOT(AND(ISNUMBER(N371),ISNUMBER(P371))),"",(P371-N371)*1440)</f>
        <v/>
      </c>
      <c r="X371" s="28" t="n"/>
      <c r="Y371" s="28" t="n"/>
      <c r="Z371" s="28" t="n"/>
      <c r="AA371" s="31" t="n"/>
      <c r="AB371" s="31" t="n"/>
    </row>
    <row r="372">
      <c r="A372" s="25" t="inlineStr">
        <is>
          <t>S08</t>
        </is>
      </c>
      <c r="B372" s="25" t="inlineStr">
        <is>
          <t>청일 신규점2</t>
        </is>
      </c>
      <c r="C372" s="25" t="inlineStr">
        <is>
          <t>S08-H동</t>
        </is>
      </c>
      <c r="D372" s="25" t="inlineStr">
        <is>
          <t>측정</t>
        </is>
      </c>
      <c r="E372" s="25" t="inlineStr">
        <is>
          <t>동</t>
        </is>
      </c>
      <c r="F372" s="30" t="n">
        <v>2</v>
      </c>
      <c r="G372" s="29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IF(COUNTIFS($C:$C,$C372,$D:$D,"P0(전)",$L:$L,"&gt;0")&lt;&gt;1,"P0(전) 유효 1개 아님",IF(COUNTIFS($C:$C,$C372,$D:$D,"P0(후)",$L:$L,"&gt;0")&lt;&gt;1,"P0(후) 유효 1개 아님",IF(NOT(AND(ISNUMBER(N372),ISNUMBER(P372),ISNUMBER(H372))),"시각 결측",IF(P372&lt;=N372,"P0 시각 역전",IF(OR(H372&lt;N372,H372&gt;P372),"측정시각 구간 밖","OK")))))</f>
        <v/>
      </c>
      <c r="N372" s="45">
        <f>IF(COUNTIFS($C:$C,$C372,$D:$D,"P0(전)",$L:$L,"&gt;0")&lt;&gt;1,"",SUMIFS($H:$H,$C:$C,$C372,$D:$D,"P0(전)"))</f>
        <v/>
      </c>
      <c r="O372" s="30">
        <f>IF(COUNTIFS($C:$C,$C372,$D:$D,"P0(전)",$L:$L,"&gt;0")&lt;&gt;1,"",SUMIFS($L:$L,$C:$C,$C372,$D:$D,"P0(전)"))</f>
        <v/>
      </c>
      <c r="P372" s="45">
        <f>IF(COUNTIFS($C:$C,$C372,$D:$D,"P0(후)",$L:$L,"&gt;0")&lt;&gt;1,"",SUMIFS($H:$H,$C:$C,$C372,$D:$D,"P0(후)"))</f>
        <v/>
      </c>
      <c r="Q372" s="30">
        <f>IF(COUNTIFS($C:$C,$C372,$D:$D,"P0(후)",$L:$L,"&gt;0")&lt;&gt;1,"",SUMIFS($L:$L,$C:$C,$C372,$D:$D,"P0(후)"))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IF(OR(NOT(ISNUMBER(S372)),IF(ISNUMBER(G372),G372,F372)=0),"",S372/IF(ISNUMBER(G372),G372,F372))</f>
        <v/>
      </c>
      <c r="U372" s="46">
        <f>IF(ISNUMBER(T372),ABS(T372),"")</f>
        <v/>
      </c>
      <c r="V372" s="46">
        <f>IF(OR($D371&lt;&gt;"측정",$C371&lt;&gt;$C372,NOT(ISNUMBER(L372)),NOT(ISNUMBER(L371)),(IF(ISNUMBER(G372),G372,F372)-IF(ISNUMBER(G371),G371,F371))=0),"",(L372-L371)/(IF(ISNUMBER(G372),G372,F372)-IF(ISNUMBER(G371),G371,F371)))</f>
        <v/>
      </c>
      <c r="W372" s="30">
        <f>IF(NOT(AND(ISNUMBER(N372),ISNUMBER(P372))),"",(P372-N372)*1440)</f>
        <v/>
      </c>
      <c r="X372" s="28" t="n"/>
      <c r="Y372" s="28" t="n"/>
      <c r="Z372" s="28" t="n"/>
      <c r="AA372" s="31" t="n"/>
      <c r="AB372" s="31" t="n"/>
    </row>
    <row r="373">
      <c r="A373" s="25" t="inlineStr">
        <is>
          <t>S08</t>
        </is>
      </c>
      <c r="B373" s="25" t="inlineStr">
        <is>
          <t>청일 신규점2</t>
        </is>
      </c>
      <c r="C373" s="25" t="inlineStr">
        <is>
          <t>S08-H동</t>
        </is>
      </c>
      <c r="D373" s="25" t="inlineStr">
        <is>
          <t>측정</t>
        </is>
      </c>
      <c r="E373" s="25" t="inlineStr">
        <is>
          <t>동</t>
        </is>
      </c>
      <c r="F373" s="30" t="n">
        <v>3</v>
      </c>
      <c r="G373" s="29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IF(COUNTIFS($C:$C,$C373,$D:$D,"P0(전)",$L:$L,"&gt;0")&lt;&gt;1,"P0(전) 유효 1개 아님",IF(COUNTIFS($C:$C,$C373,$D:$D,"P0(후)",$L:$L,"&gt;0")&lt;&gt;1,"P0(후) 유효 1개 아님",IF(NOT(AND(ISNUMBER(N373),ISNUMBER(P373),ISNUMBER(H373))),"시각 결측",IF(P373&lt;=N373,"P0 시각 역전",IF(OR(H373&lt;N373,H373&gt;P373),"측정시각 구간 밖","OK")))))</f>
        <v/>
      </c>
      <c r="N373" s="45">
        <f>IF(COUNTIFS($C:$C,$C373,$D:$D,"P0(전)",$L:$L,"&gt;0")&lt;&gt;1,"",SUMIFS($H:$H,$C:$C,$C373,$D:$D,"P0(전)"))</f>
        <v/>
      </c>
      <c r="O373" s="30">
        <f>IF(COUNTIFS($C:$C,$C373,$D:$D,"P0(전)",$L:$L,"&gt;0")&lt;&gt;1,"",SUMIFS($L:$L,$C:$C,$C373,$D:$D,"P0(전)"))</f>
        <v/>
      </c>
      <c r="P373" s="45">
        <f>IF(COUNTIFS($C:$C,$C373,$D:$D,"P0(후)",$L:$L,"&gt;0")&lt;&gt;1,"",SUMIFS($H:$H,$C:$C,$C373,$D:$D,"P0(후)"))</f>
        <v/>
      </c>
      <c r="Q373" s="30">
        <f>IF(COUNTIFS($C:$C,$C373,$D:$D,"P0(후)",$L:$L,"&gt;0")&lt;&gt;1,"",SUMIFS($L:$L,$C:$C,$C373,$D:$D,"P0(후)"))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IF(OR(NOT(ISNUMBER(S373)),IF(ISNUMBER(G373),G373,F373)=0),"",S373/IF(ISNUMBER(G373),G373,F373))</f>
        <v/>
      </c>
      <c r="U373" s="46">
        <f>IF(ISNUMBER(T373),ABS(T373),"")</f>
        <v/>
      </c>
      <c r="V373" s="46">
        <f>IF(OR($D372&lt;&gt;"측정",$C372&lt;&gt;$C373,NOT(ISNUMBER(L373)),NOT(ISNUMBER(L372)),(IF(ISNUMBER(G373),G373,F373)-IF(ISNUMBER(G372),G372,F372))=0),"",(L373-L372)/(IF(ISNUMBER(G373),G373,F373)-IF(ISNUMBER(G372),G372,F372)))</f>
        <v/>
      </c>
      <c r="W373" s="30">
        <f>IF(NOT(AND(ISNUMBER(N373),ISNUMBER(P373))),"",(P373-N373)*1440)</f>
        <v/>
      </c>
      <c r="X373" s="28" t="n"/>
      <c r="Y373" s="28" t="n"/>
      <c r="Z373" s="28" t="n"/>
      <c r="AA373" s="31" t="n"/>
      <c r="AB373" s="31" t="n"/>
    </row>
    <row r="374">
      <c r="A374" s="25" t="inlineStr">
        <is>
          <t>S08</t>
        </is>
      </c>
      <c r="B374" s="25" t="inlineStr">
        <is>
          <t>청일 신규점2</t>
        </is>
      </c>
      <c r="C374" s="25" t="inlineStr">
        <is>
          <t>S08-H동</t>
        </is>
      </c>
      <c r="D374" s="25" t="inlineStr">
        <is>
          <t>측정</t>
        </is>
      </c>
      <c r="E374" s="25" t="inlineStr">
        <is>
          <t>동</t>
        </is>
      </c>
      <c r="F374" s="30" t="n">
        <v>4</v>
      </c>
      <c r="G374" s="29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IF(COUNTIFS($C:$C,$C374,$D:$D,"P0(전)",$L:$L,"&gt;0")&lt;&gt;1,"P0(전) 유효 1개 아님",IF(COUNTIFS($C:$C,$C374,$D:$D,"P0(후)",$L:$L,"&gt;0")&lt;&gt;1,"P0(후) 유효 1개 아님",IF(NOT(AND(ISNUMBER(N374),ISNUMBER(P374),ISNUMBER(H374))),"시각 결측",IF(P374&lt;=N374,"P0 시각 역전",IF(OR(H374&lt;N374,H374&gt;P374),"측정시각 구간 밖","OK")))))</f>
        <v/>
      </c>
      <c r="N374" s="45">
        <f>IF(COUNTIFS($C:$C,$C374,$D:$D,"P0(전)",$L:$L,"&gt;0")&lt;&gt;1,"",SUMIFS($H:$H,$C:$C,$C374,$D:$D,"P0(전)"))</f>
        <v/>
      </c>
      <c r="O374" s="30">
        <f>IF(COUNTIFS($C:$C,$C374,$D:$D,"P0(전)",$L:$L,"&gt;0")&lt;&gt;1,"",SUMIFS($L:$L,$C:$C,$C374,$D:$D,"P0(전)"))</f>
        <v/>
      </c>
      <c r="P374" s="45">
        <f>IF(COUNTIFS($C:$C,$C374,$D:$D,"P0(후)",$L:$L,"&gt;0")&lt;&gt;1,"",SUMIFS($H:$H,$C:$C,$C374,$D:$D,"P0(후)"))</f>
        <v/>
      </c>
      <c r="Q374" s="30">
        <f>IF(COUNTIFS($C:$C,$C374,$D:$D,"P0(후)",$L:$L,"&gt;0")&lt;&gt;1,"",SUMIFS($L:$L,$C:$C,$C374,$D:$D,"P0(후)"))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IF(OR(NOT(ISNUMBER(S374)),IF(ISNUMBER(G374),G374,F374)=0),"",S374/IF(ISNUMBER(G374),G374,F374))</f>
        <v/>
      </c>
      <c r="U374" s="46">
        <f>IF(ISNUMBER(T374),ABS(T374),"")</f>
        <v/>
      </c>
      <c r="V374" s="46">
        <f>IF(OR($D373&lt;&gt;"측정",$C373&lt;&gt;$C374,NOT(ISNUMBER(L374)),NOT(ISNUMBER(L373)),(IF(ISNUMBER(G374),G374,F374)-IF(ISNUMBER(G373),G373,F373))=0),"",(L374-L373)/(IF(ISNUMBER(G374),G374,F374)-IF(ISNUMBER(G373),G373,F373)))</f>
        <v/>
      </c>
      <c r="W374" s="30">
        <f>IF(NOT(AND(ISNUMBER(N374),ISNUMBER(P374))),"",(P374-N374)*1440)</f>
        <v/>
      </c>
      <c r="X374" s="28" t="n"/>
      <c r="Y374" s="28" t="n"/>
      <c r="Z374" s="28" t="n"/>
      <c r="AA374" s="31" t="n"/>
      <c r="AB374" s="31" t="n"/>
    </row>
    <row r="375">
      <c r="A375" s="25" t="inlineStr">
        <is>
          <t>S08</t>
        </is>
      </c>
      <c r="B375" s="25" t="inlineStr">
        <is>
          <t>청일 신규점2</t>
        </is>
      </c>
      <c r="C375" s="25" t="inlineStr">
        <is>
          <t>S08-H동</t>
        </is>
      </c>
      <c r="D375" s="25" t="inlineStr">
        <is>
          <t>측정</t>
        </is>
      </c>
      <c r="E375" s="25" t="inlineStr">
        <is>
          <t>동</t>
        </is>
      </c>
      <c r="F375" s="30" t="n">
        <v>5</v>
      </c>
      <c r="G375" s="29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IF(COUNTIFS($C:$C,$C375,$D:$D,"P0(전)",$L:$L,"&gt;0")&lt;&gt;1,"P0(전) 유효 1개 아님",IF(COUNTIFS($C:$C,$C375,$D:$D,"P0(후)",$L:$L,"&gt;0")&lt;&gt;1,"P0(후) 유효 1개 아님",IF(NOT(AND(ISNUMBER(N375),ISNUMBER(P375),ISNUMBER(H375))),"시각 결측",IF(P375&lt;=N375,"P0 시각 역전",IF(OR(H375&lt;N375,H375&gt;P375),"측정시각 구간 밖","OK")))))</f>
        <v/>
      </c>
      <c r="N375" s="45">
        <f>IF(COUNTIFS($C:$C,$C375,$D:$D,"P0(전)",$L:$L,"&gt;0")&lt;&gt;1,"",SUMIFS($H:$H,$C:$C,$C375,$D:$D,"P0(전)"))</f>
        <v/>
      </c>
      <c r="O375" s="30">
        <f>IF(COUNTIFS($C:$C,$C375,$D:$D,"P0(전)",$L:$L,"&gt;0")&lt;&gt;1,"",SUMIFS($L:$L,$C:$C,$C375,$D:$D,"P0(전)"))</f>
        <v/>
      </c>
      <c r="P375" s="45">
        <f>IF(COUNTIFS($C:$C,$C375,$D:$D,"P0(후)",$L:$L,"&gt;0")&lt;&gt;1,"",SUMIFS($H:$H,$C:$C,$C375,$D:$D,"P0(후)"))</f>
        <v/>
      </c>
      <c r="Q375" s="30">
        <f>IF(COUNTIFS($C:$C,$C375,$D:$D,"P0(후)",$L:$L,"&gt;0")&lt;&gt;1,"",SUMIFS($L:$L,$C:$C,$C375,$D:$D,"P0(후)"))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IF(OR(NOT(ISNUMBER(S375)),IF(ISNUMBER(G375),G375,F375)=0),"",S375/IF(ISNUMBER(G375),G375,F375))</f>
        <v/>
      </c>
      <c r="U375" s="46">
        <f>IF(ISNUMBER(T375),ABS(T375),"")</f>
        <v/>
      </c>
      <c r="V375" s="46">
        <f>IF(OR($D374&lt;&gt;"측정",$C374&lt;&gt;$C375,NOT(ISNUMBER(L375)),NOT(ISNUMBER(L374)),(IF(ISNUMBER(G375),G375,F375)-IF(ISNUMBER(G374),G374,F374))=0),"",(L375-L374)/(IF(ISNUMBER(G375),G375,F375)-IF(ISNUMBER(G374),G374,F374)))</f>
        <v/>
      </c>
      <c r="W375" s="30">
        <f>IF(NOT(AND(ISNUMBER(N375),ISNUMBER(P375))),"",(P375-N375)*1440)</f>
        <v/>
      </c>
      <c r="X375" s="28" t="n"/>
      <c r="Y375" s="28" t="n"/>
      <c r="Z375" s="28" t="n"/>
      <c r="AA375" s="31" t="n"/>
      <c r="AB375" s="31" t="n"/>
    </row>
    <row r="376">
      <c r="A376" s="25" t="inlineStr">
        <is>
          <t>S08</t>
        </is>
      </c>
      <c r="B376" s="25" t="inlineStr">
        <is>
          <t>청일 신규점2</t>
        </is>
      </c>
      <c r="C376" s="25" t="inlineStr">
        <is>
          <t>S08-H동</t>
        </is>
      </c>
      <c r="D376" s="25" t="inlineStr">
        <is>
          <t>측정</t>
        </is>
      </c>
      <c r="E376" s="25" t="inlineStr">
        <is>
          <t>동</t>
        </is>
      </c>
      <c r="F376" s="30" t="n">
        <v>6</v>
      </c>
      <c r="G376" s="29" t="n"/>
      <c r="H376" s="42" t="n"/>
      <c r="I376" s="40" t="n"/>
      <c r="J376" s="40" t="n"/>
      <c r="K376" s="40" t="n"/>
      <c r="L376" s="30">
        <f>IF(COUNT(I376:K376)=0,"",MEDIAN(I376:K376))</f>
        <v/>
      </c>
      <c r="M376" s="25">
        <f>IF(COUNTIFS($C:$C,$C376,$D:$D,"P0(전)",$L:$L,"&gt;0")&lt;&gt;1,"P0(전) 유효 1개 아님",IF(COUNTIFS($C:$C,$C376,$D:$D,"P0(후)",$L:$L,"&gt;0")&lt;&gt;1,"P0(후) 유효 1개 아님",IF(NOT(AND(ISNUMBER(N376),ISNUMBER(P376),ISNUMBER(H376))),"시각 결측",IF(P376&lt;=N376,"P0 시각 역전",IF(OR(H376&lt;N376,H376&gt;P376),"측정시각 구간 밖","OK")))))</f>
        <v/>
      </c>
      <c r="N376" s="45">
        <f>IF(COUNTIFS($C:$C,$C376,$D:$D,"P0(전)",$L:$L,"&gt;0")&lt;&gt;1,"",SUMIFS($H:$H,$C:$C,$C376,$D:$D,"P0(전)"))</f>
        <v/>
      </c>
      <c r="O376" s="30">
        <f>IF(COUNTIFS($C:$C,$C376,$D:$D,"P0(전)",$L:$L,"&gt;0")&lt;&gt;1,"",SUMIFS($L:$L,$C:$C,$C376,$D:$D,"P0(전)"))</f>
        <v/>
      </c>
      <c r="P376" s="45">
        <f>IF(COUNTIFS($C:$C,$C376,$D:$D,"P0(후)",$L:$L,"&gt;0")&lt;&gt;1,"",SUMIFS($H:$H,$C:$C,$C376,$D:$D,"P0(후)"))</f>
        <v/>
      </c>
      <c r="Q376" s="30">
        <f>IF(COUNTIFS($C:$C,$C376,$D:$D,"P0(후)",$L:$L,"&gt;0")&lt;&gt;1,"",SUMIFS($L:$L,$C:$C,$C376,$D:$D,"P0(후)"))</f>
        <v/>
      </c>
      <c r="R376" s="30">
        <f>IF(M376&lt;&gt;"OK","",O376+(Q376-O376)*(H376-N376)/(P376-N376))</f>
        <v/>
      </c>
      <c r="S376" s="30">
        <f>IF(OR(M376&lt;&gt;"OK",NOT(ISNUMBER(L376))),"",L376-R376)</f>
        <v/>
      </c>
      <c r="T376" s="46">
        <f>IF(OR(NOT(ISNUMBER(S376)),IF(ISNUMBER(G376),G376,F376)=0),"",S376/IF(ISNUMBER(G376),G376,F376))</f>
        <v/>
      </c>
      <c r="U376" s="46">
        <f>IF(ISNUMBER(T376),ABS(T376),"")</f>
        <v/>
      </c>
      <c r="V376" s="46">
        <f>IF(OR($D375&lt;&gt;"측정",$C375&lt;&gt;$C376,NOT(ISNUMBER(L376)),NOT(ISNUMBER(L375)),(IF(ISNUMBER(G376),G376,F376)-IF(ISNUMBER(G375),G375,F375))=0),"",(L376-L375)/(IF(ISNUMBER(G376),G376,F376)-IF(ISNUMBER(G375),G375,F375)))</f>
        <v/>
      </c>
      <c r="W376" s="30">
        <f>IF(NOT(AND(ISNUMBER(N376),ISNUMBER(P376))),"",(P376-N376)*1440)</f>
        <v/>
      </c>
      <c r="X376" s="28" t="n"/>
      <c r="Y376" s="28" t="n"/>
      <c r="Z376" s="28" t="n"/>
      <c r="AA376" s="31" t="n"/>
      <c r="AB376" s="31" t="n"/>
    </row>
    <row r="377">
      <c r="A377" s="25" t="inlineStr">
        <is>
          <t>S08</t>
        </is>
      </c>
      <c r="B377" s="25" t="inlineStr">
        <is>
          <t>청일 신규점2</t>
        </is>
      </c>
      <c r="C377" s="25" t="inlineStr">
        <is>
          <t>S08-H동</t>
        </is>
      </c>
      <c r="D377" s="25" t="inlineStr">
        <is>
          <t>측정</t>
        </is>
      </c>
      <c r="E377" s="25" t="inlineStr">
        <is>
          <t>동</t>
        </is>
      </c>
      <c r="F377" s="30" t="n">
        <v>7</v>
      </c>
      <c r="G377" s="29" t="n"/>
      <c r="H377" s="42" t="n"/>
      <c r="I377" s="40" t="n"/>
      <c r="J377" s="40" t="n"/>
      <c r="K377" s="40" t="n"/>
      <c r="L377" s="30">
        <f>IF(COUNT(I377:K377)=0,"",MEDIAN(I377:K377))</f>
        <v/>
      </c>
      <c r="M377" s="25">
        <f>IF(COUNTIFS($C:$C,$C377,$D:$D,"P0(전)",$L:$L,"&gt;0")&lt;&gt;1,"P0(전) 유효 1개 아님",IF(COUNTIFS($C:$C,$C377,$D:$D,"P0(후)",$L:$L,"&gt;0")&lt;&gt;1,"P0(후) 유효 1개 아님",IF(NOT(AND(ISNUMBER(N377),ISNUMBER(P377),ISNUMBER(H377))),"시각 결측",IF(P377&lt;=N377,"P0 시각 역전",IF(OR(H377&lt;N377,H377&gt;P377),"측정시각 구간 밖","OK")))))</f>
        <v/>
      </c>
      <c r="N377" s="45">
        <f>IF(COUNTIFS($C:$C,$C377,$D:$D,"P0(전)",$L:$L,"&gt;0")&lt;&gt;1,"",SUMIFS($H:$H,$C:$C,$C377,$D:$D,"P0(전)"))</f>
        <v/>
      </c>
      <c r="O377" s="30">
        <f>IF(COUNTIFS($C:$C,$C377,$D:$D,"P0(전)",$L:$L,"&gt;0")&lt;&gt;1,"",SUMIFS($L:$L,$C:$C,$C377,$D:$D,"P0(전)"))</f>
        <v/>
      </c>
      <c r="P377" s="45">
        <f>IF(COUNTIFS($C:$C,$C377,$D:$D,"P0(후)",$L:$L,"&gt;0")&lt;&gt;1,"",SUMIFS($H:$H,$C:$C,$C377,$D:$D,"P0(후)"))</f>
        <v/>
      </c>
      <c r="Q377" s="30">
        <f>IF(COUNTIFS($C:$C,$C377,$D:$D,"P0(후)",$L:$L,"&gt;0")&lt;&gt;1,"",SUMIFS($L:$L,$C:$C,$C377,$D:$D,"P0(후)"))</f>
        <v/>
      </c>
      <c r="R377" s="30">
        <f>IF(M377&lt;&gt;"OK","",O377+(Q377-O377)*(H377-N377)/(P377-N377))</f>
        <v/>
      </c>
      <c r="S377" s="30">
        <f>IF(OR(M377&lt;&gt;"OK",NOT(ISNUMBER(L377))),"",L377-R377)</f>
        <v/>
      </c>
      <c r="T377" s="46">
        <f>IF(OR(NOT(ISNUMBER(S377)),IF(ISNUMBER(G377),G377,F377)=0),"",S377/IF(ISNUMBER(G377),G377,F377))</f>
        <v/>
      </c>
      <c r="U377" s="46">
        <f>IF(ISNUMBER(T377),ABS(T377),"")</f>
        <v/>
      </c>
      <c r="V377" s="46">
        <f>IF(OR($D376&lt;&gt;"측정",$C376&lt;&gt;$C377,NOT(ISNUMBER(L377)),NOT(ISNUMBER(L376)),(IF(ISNUMBER(G377),G377,F377)-IF(ISNUMBER(G376),G376,F376))=0),"",(L377-L376)/(IF(ISNUMBER(G377),G377,F377)-IF(ISNUMBER(G376),G376,F376)))</f>
        <v/>
      </c>
      <c r="W377" s="30">
        <f>IF(NOT(AND(ISNUMBER(N377),ISNUMBER(P377))),"",(P377-N377)*1440)</f>
        <v/>
      </c>
      <c r="X377" s="28" t="n"/>
      <c r="Y377" s="28" t="n"/>
      <c r="Z377" s="28" t="n"/>
      <c r="AA377" s="31" t="n"/>
      <c r="AB377" s="31" t="n"/>
    </row>
    <row r="378">
      <c r="A378" s="25" t="inlineStr">
        <is>
          <t>S08</t>
        </is>
      </c>
      <c r="B378" s="25" t="inlineStr">
        <is>
          <t>청일 신규점2</t>
        </is>
      </c>
      <c r="C378" s="25" t="inlineStr">
        <is>
          <t>S08-H동</t>
        </is>
      </c>
      <c r="D378" s="25" t="inlineStr">
        <is>
          <t>측정</t>
        </is>
      </c>
      <c r="E378" s="25" t="inlineStr">
        <is>
          <t>동</t>
        </is>
      </c>
      <c r="F378" s="30" t="n">
        <v>8</v>
      </c>
      <c r="G378" s="29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IF(COUNTIFS($C:$C,$C378,$D:$D,"P0(전)",$L:$L,"&gt;0")&lt;&gt;1,"P0(전) 유효 1개 아님",IF(COUNTIFS($C:$C,$C378,$D:$D,"P0(후)",$L:$L,"&gt;0")&lt;&gt;1,"P0(후) 유효 1개 아님",IF(NOT(AND(ISNUMBER(N378),ISNUMBER(P378),ISNUMBER(H378))),"시각 결측",IF(P378&lt;=N378,"P0 시각 역전",IF(OR(H378&lt;N378,H378&gt;P378),"측정시각 구간 밖","OK")))))</f>
        <v/>
      </c>
      <c r="N378" s="45">
        <f>IF(COUNTIFS($C:$C,$C378,$D:$D,"P0(전)",$L:$L,"&gt;0")&lt;&gt;1,"",SUMIFS($H:$H,$C:$C,$C378,$D:$D,"P0(전)"))</f>
        <v/>
      </c>
      <c r="O378" s="30">
        <f>IF(COUNTIFS($C:$C,$C378,$D:$D,"P0(전)",$L:$L,"&gt;0")&lt;&gt;1,"",SUMIFS($L:$L,$C:$C,$C378,$D:$D,"P0(전)"))</f>
        <v/>
      </c>
      <c r="P378" s="45">
        <f>IF(COUNTIFS($C:$C,$C378,$D:$D,"P0(후)",$L:$L,"&gt;0")&lt;&gt;1,"",SUMIFS($H:$H,$C:$C,$C378,$D:$D,"P0(후)"))</f>
        <v/>
      </c>
      <c r="Q378" s="30">
        <f>IF(COUNTIFS($C:$C,$C378,$D:$D,"P0(후)",$L:$L,"&gt;0")&lt;&gt;1,"",SUMIFS($L:$L,$C:$C,$C378,$D:$D,"P0(후)"))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IF(OR(NOT(ISNUMBER(S378)),IF(ISNUMBER(G378),G378,F378)=0),"",S378/IF(ISNUMBER(G378),G378,F378))</f>
        <v/>
      </c>
      <c r="U378" s="46">
        <f>IF(ISNUMBER(T378),ABS(T378),"")</f>
        <v/>
      </c>
      <c r="V378" s="46">
        <f>IF(OR($D377&lt;&gt;"측정",$C377&lt;&gt;$C378,NOT(ISNUMBER(L378)),NOT(ISNUMBER(L377)),(IF(ISNUMBER(G378),G378,F378)-IF(ISNUMBER(G377),G377,F377))=0),"",(L378-L377)/(IF(ISNUMBER(G378),G378,F378)-IF(ISNUMBER(G377),G377,F377)))</f>
        <v/>
      </c>
      <c r="W378" s="30">
        <f>IF(NOT(AND(ISNUMBER(N378),ISNUMBER(P378))),"",(P378-N378)*1440)</f>
        <v/>
      </c>
      <c r="X378" s="28" t="n"/>
      <c r="Y378" s="28" t="n"/>
      <c r="Z378" s="28" t="n"/>
      <c r="AA378" s="31" t="n"/>
      <c r="AB378" s="31" t="n"/>
    </row>
    <row r="379">
      <c r="A379" s="25" t="inlineStr">
        <is>
          <t>S08</t>
        </is>
      </c>
      <c r="B379" s="25" t="inlineStr">
        <is>
          <t>청일 신규점2</t>
        </is>
      </c>
      <c r="C379" s="25" t="inlineStr">
        <is>
          <t>S08-H동</t>
        </is>
      </c>
      <c r="D379" s="25" t="inlineStr">
        <is>
          <t>측정</t>
        </is>
      </c>
      <c r="E379" s="25" t="inlineStr">
        <is>
          <t>동</t>
        </is>
      </c>
      <c r="F379" s="30" t="n">
        <v>9</v>
      </c>
      <c r="G379" s="29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IF(COUNTIFS($C:$C,$C379,$D:$D,"P0(전)",$L:$L,"&gt;0")&lt;&gt;1,"P0(전) 유효 1개 아님",IF(COUNTIFS($C:$C,$C379,$D:$D,"P0(후)",$L:$L,"&gt;0")&lt;&gt;1,"P0(후) 유효 1개 아님",IF(NOT(AND(ISNUMBER(N379),ISNUMBER(P379),ISNUMBER(H379))),"시각 결측",IF(P379&lt;=N379,"P0 시각 역전",IF(OR(H379&lt;N379,H379&gt;P379),"측정시각 구간 밖","OK")))))</f>
        <v/>
      </c>
      <c r="N379" s="45">
        <f>IF(COUNTIFS($C:$C,$C379,$D:$D,"P0(전)",$L:$L,"&gt;0")&lt;&gt;1,"",SUMIFS($H:$H,$C:$C,$C379,$D:$D,"P0(전)"))</f>
        <v/>
      </c>
      <c r="O379" s="30">
        <f>IF(COUNTIFS($C:$C,$C379,$D:$D,"P0(전)",$L:$L,"&gt;0")&lt;&gt;1,"",SUMIFS($L:$L,$C:$C,$C379,$D:$D,"P0(전)"))</f>
        <v/>
      </c>
      <c r="P379" s="45">
        <f>IF(COUNTIFS($C:$C,$C379,$D:$D,"P0(후)",$L:$L,"&gt;0")&lt;&gt;1,"",SUMIFS($H:$H,$C:$C,$C379,$D:$D,"P0(후)"))</f>
        <v/>
      </c>
      <c r="Q379" s="30">
        <f>IF(COUNTIFS($C:$C,$C379,$D:$D,"P0(후)",$L:$L,"&gt;0")&lt;&gt;1,"",SUMIFS($L:$L,$C:$C,$C379,$D:$D,"P0(후)"))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IF(OR(NOT(ISNUMBER(S379)),IF(ISNUMBER(G379),G379,F379)=0),"",S379/IF(ISNUMBER(G379),G379,F379))</f>
        <v/>
      </c>
      <c r="U379" s="46">
        <f>IF(ISNUMBER(T379),ABS(T379),"")</f>
        <v/>
      </c>
      <c r="V379" s="46">
        <f>IF(OR($D378&lt;&gt;"측정",$C378&lt;&gt;$C379,NOT(ISNUMBER(L379)),NOT(ISNUMBER(L378)),(IF(ISNUMBER(G379),G379,F379)-IF(ISNUMBER(G378),G378,F378))=0),"",(L379-L378)/(IF(ISNUMBER(G379),G379,F379)-IF(ISNUMBER(G378),G378,F378)))</f>
        <v/>
      </c>
      <c r="W379" s="30">
        <f>IF(NOT(AND(ISNUMBER(N379),ISNUMBER(P379))),"",(P379-N379)*1440)</f>
        <v/>
      </c>
      <c r="X379" s="28" t="n"/>
      <c r="Y379" s="28" t="n"/>
      <c r="Z379" s="28" t="n"/>
      <c r="AA379" s="31" t="n"/>
      <c r="AB379" s="31" t="n"/>
    </row>
    <row r="380">
      <c r="A380" s="25" t="inlineStr">
        <is>
          <t>S08</t>
        </is>
      </c>
      <c r="B380" s="25" t="inlineStr">
        <is>
          <t>청일 신규점2</t>
        </is>
      </c>
      <c r="C380" s="25" t="inlineStr">
        <is>
          <t>S08-H동</t>
        </is>
      </c>
      <c r="D380" s="25" t="inlineStr">
        <is>
          <t>측정</t>
        </is>
      </c>
      <c r="E380" s="25" t="inlineStr">
        <is>
          <t>동</t>
        </is>
      </c>
      <c r="F380" s="30" t="n">
        <v>10</v>
      </c>
      <c r="G380" s="29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IF(COUNTIFS($C:$C,$C380,$D:$D,"P0(전)",$L:$L,"&gt;0")&lt;&gt;1,"P0(전) 유효 1개 아님",IF(COUNTIFS($C:$C,$C380,$D:$D,"P0(후)",$L:$L,"&gt;0")&lt;&gt;1,"P0(후) 유효 1개 아님",IF(NOT(AND(ISNUMBER(N380),ISNUMBER(P380),ISNUMBER(H380))),"시각 결측",IF(P380&lt;=N380,"P0 시각 역전",IF(OR(H380&lt;N380,H380&gt;P380),"측정시각 구간 밖","OK")))))</f>
        <v/>
      </c>
      <c r="N380" s="45">
        <f>IF(COUNTIFS($C:$C,$C380,$D:$D,"P0(전)",$L:$L,"&gt;0")&lt;&gt;1,"",SUMIFS($H:$H,$C:$C,$C380,$D:$D,"P0(전)"))</f>
        <v/>
      </c>
      <c r="O380" s="30">
        <f>IF(COUNTIFS($C:$C,$C380,$D:$D,"P0(전)",$L:$L,"&gt;0")&lt;&gt;1,"",SUMIFS($L:$L,$C:$C,$C380,$D:$D,"P0(전)"))</f>
        <v/>
      </c>
      <c r="P380" s="45">
        <f>IF(COUNTIFS($C:$C,$C380,$D:$D,"P0(후)",$L:$L,"&gt;0")&lt;&gt;1,"",SUMIFS($H:$H,$C:$C,$C380,$D:$D,"P0(후)"))</f>
        <v/>
      </c>
      <c r="Q380" s="30">
        <f>IF(COUNTIFS($C:$C,$C380,$D:$D,"P0(후)",$L:$L,"&gt;0")&lt;&gt;1,"",SUMIFS($L:$L,$C:$C,$C380,$D:$D,"P0(후)"))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IF(OR(NOT(ISNUMBER(S380)),IF(ISNUMBER(G380),G380,F380)=0),"",S380/IF(ISNUMBER(G380),G380,F380))</f>
        <v/>
      </c>
      <c r="U380" s="46">
        <f>IF(ISNUMBER(T380),ABS(T380),"")</f>
        <v/>
      </c>
      <c r="V380" s="46">
        <f>IF(OR($D379&lt;&gt;"측정",$C379&lt;&gt;$C380,NOT(ISNUMBER(L380)),NOT(ISNUMBER(L379)),(IF(ISNUMBER(G380),G380,F380)-IF(ISNUMBER(G379),G379,F379))=0),"",(L380-L379)/(IF(ISNUMBER(G380),G380,F380)-IF(ISNUMBER(G379),G379,F379)))</f>
        <v/>
      </c>
      <c r="W380" s="30">
        <f>IF(NOT(AND(ISNUMBER(N380),ISNUMBER(P380))),"",(P380-N380)*1440)</f>
        <v/>
      </c>
      <c r="X380" s="28" t="n"/>
      <c r="Y380" s="28" t="n"/>
      <c r="Z380" s="28" t="n"/>
      <c r="AA380" s="31" t="n"/>
      <c r="AB380" s="31" t="n"/>
    </row>
    <row r="381">
      <c r="A381" s="43" t="inlineStr">
        <is>
          <t>S08</t>
        </is>
      </c>
      <c r="B381" s="43" t="inlineStr">
        <is>
          <t>청일 신규점2</t>
        </is>
      </c>
      <c r="C381" s="43" t="inlineStr">
        <is>
          <t>S08-H동</t>
        </is>
      </c>
      <c r="D381" s="43" t="inlineStr">
        <is>
          <t>P0(후)</t>
        </is>
      </c>
      <c r="E381" s="43" t="inlineStr">
        <is>
          <t>동</t>
        </is>
      </c>
      <c r="F381" s="44" t="n"/>
      <c r="G381" s="29" t="n"/>
      <c r="H381" s="42" t="n"/>
      <c r="I381" s="40" t="n"/>
      <c r="J381" s="40" t="n"/>
      <c r="K381" s="40" t="n"/>
      <c r="L381" s="30">
        <f>IF(COUNT(I381:K381)=0,"",MEDIAN(I381:K381))</f>
        <v/>
      </c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28" t="n"/>
      <c r="Y381" s="28" t="n"/>
      <c r="Z381" s="28" t="n"/>
      <c r="AA381" s="31" t="n"/>
      <c r="AB381" s="31" t="n"/>
    </row>
    <row r="382">
      <c r="A382" s="43" t="inlineStr">
        <is>
          <t>S08</t>
        </is>
      </c>
      <c r="B382" s="43" t="inlineStr">
        <is>
          <t>청일 신규점2</t>
        </is>
      </c>
      <c r="C382" s="43" t="inlineStr">
        <is>
          <t>S08-H서</t>
        </is>
      </c>
      <c r="D382" s="43" t="inlineStr">
        <is>
          <t>P0(전)</t>
        </is>
      </c>
      <c r="E382" s="43" t="inlineStr">
        <is>
          <t>서</t>
        </is>
      </c>
      <c r="F382" s="44" t="n"/>
      <c r="G382" s="29" t="n"/>
      <c r="H382" s="42" t="n"/>
      <c r="I382" s="40" t="n"/>
      <c r="J382" s="40" t="n"/>
      <c r="K382" s="40" t="n"/>
      <c r="L382" s="30">
        <f>IF(COUNT(I382:K382)=0,"",MEDIAN(I382:K382))</f>
        <v/>
      </c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28" t="n"/>
      <c r="Y382" s="28" t="n"/>
      <c r="Z382" s="28" t="n"/>
      <c r="AA382" s="31" t="n"/>
      <c r="AB382" s="31" t="n"/>
    </row>
    <row r="383">
      <c r="A383" s="25" t="inlineStr">
        <is>
          <t>S08</t>
        </is>
      </c>
      <c r="B383" s="25" t="inlineStr">
        <is>
          <t>청일 신규점2</t>
        </is>
      </c>
      <c r="C383" s="25" t="inlineStr">
        <is>
          <t>S08-H서</t>
        </is>
      </c>
      <c r="D383" s="25" t="inlineStr">
        <is>
          <t>측정</t>
        </is>
      </c>
      <c r="E383" s="25" t="inlineStr">
        <is>
          <t>서</t>
        </is>
      </c>
      <c r="F383" s="30" t="n">
        <v>0.5</v>
      </c>
      <c r="G383" s="29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IF(COUNTIFS($C:$C,$C383,$D:$D,"P0(전)",$L:$L,"&gt;0")&lt;&gt;1,"P0(전) 유효 1개 아님",IF(COUNTIFS($C:$C,$C383,$D:$D,"P0(후)",$L:$L,"&gt;0")&lt;&gt;1,"P0(후) 유효 1개 아님",IF(NOT(AND(ISNUMBER(N383),ISNUMBER(P383),ISNUMBER(H383))),"시각 결측",IF(P383&lt;=N383,"P0 시각 역전",IF(OR(H383&lt;N383,H383&gt;P383),"측정시각 구간 밖","OK")))))</f>
        <v/>
      </c>
      <c r="N383" s="45">
        <f>IF(COUNTIFS($C:$C,$C383,$D:$D,"P0(전)",$L:$L,"&gt;0")&lt;&gt;1,"",SUMIFS($H:$H,$C:$C,$C383,$D:$D,"P0(전)"))</f>
        <v/>
      </c>
      <c r="O383" s="30">
        <f>IF(COUNTIFS($C:$C,$C383,$D:$D,"P0(전)",$L:$L,"&gt;0")&lt;&gt;1,"",SUMIFS($L:$L,$C:$C,$C383,$D:$D,"P0(전)"))</f>
        <v/>
      </c>
      <c r="P383" s="45">
        <f>IF(COUNTIFS($C:$C,$C383,$D:$D,"P0(후)",$L:$L,"&gt;0")&lt;&gt;1,"",SUMIFS($H:$H,$C:$C,$C383,$D:$D,"P0(후)"))</f>
        <v/>
      </c>
      <c r="Q383" s="30">
        <f>IF(COUNTIFS($C:$C,$C383,$D:$D,"P0(후)",$L:$L,"&gt;0")&lt;&gt;1,"",SUMIFS($L:$L,$C:$C,$C383,$D:$D,"P0(후)"))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IF(OR(NOT(ISNUMBER(S383)),IF(ISNUMBER(G383),G383,F383)=0),"",S383/IF(ISNUMBER(G383),G383,F383))</f>
        <v/>
      </c>
      <c r="U383" s="46">
        <f>IF(ISNUMBER(T383),ABS(T383),"")</f>
        <v/>
      </c>
      <c r="V383" s="46">
        <f>IF(OR($D382&lt;&gt;"측정",$C382&lt;&gt;$C383,NOT(ISNUMBER(L383)),NOT(ISNUMBER(L382)),(IF(ISNUMBER(G383),G383,F383)-IF(ISNUMBER(G382),G382,F382))=0),"",(L383-L382)/(IF(ISNUMBER(G383),G383,F383)-IF(ISNUMBER(G382),G382,F382)))</f>
        <v/>
      </c>
      <c r="W383" s="30">
        <f>IF(NOT(AND(ISNUMBER(N383),ISNUMBER(P383))),"",(P383-N383)*1440)</f>
        <v/>
      </c>
      <c r="X383" s="28" t="n"/>
      <c r="Y383" s="28" t="n"/>
      <c r="Z383" s="28" t="n"/>
      <c r="AA383" s="31" t="n"/>
      <c r="AB383" s="31" t="n"/>
    </row>
    <row r="384">
      <c r="A384" s="25" t="inlineStr">
        <is>
          <t>S08</t>
        </is>
      </c>
      <c r="B384" s="25" t="inlineStr">
        <is>
          <t>청일 신규점2</t>
        </is>
      </c>
      <c r="C384" s="25" t="inlineStr">
        <is>
          <t>S08-H서</t>
        </is>
      </c>
      <c r="D384" s="25" t="inlineStr">
        <is>
          <t>측정</t>
        </is>
      </c>
      <c r="E384" s="25" t="inlineStr">
        <is>
          <t>서</t>
        </is>
      </c>
      <c r="F384" s="30" t="n">
        <v>1</v>
      </c>
      <c r="G384" s="29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IF(COUNTIFS($C:$C,$C384,$D:$D,"P0(전)",$L:$L,"&gt;0")&lt;&gt;1,"P0(전) 유효 1개 아님",IF(COUNTIFS($C:$C,$C384,$D:$D,"P0(후)",$L:$L,"&gt;0")&lt;&gt;1,"P0(후) 유효 1개 아님",IF(NOT(AND(ISNUMBER(N384),ISNUMBER(P384),ISNUMBER(H384))),"시각 결측",IF(P384&lt;=N384,"P0 시각 역전",IF(OR(H384&lt;N384,H384&gt;P384),"측정시각 구간 밖","OK")))))</f>
        <v/>
      </c>
      <c r="N384" s="45">
        <f>IF(COUNTIFS($C:$C,$C384,$D:$D,"P0(전)",$L:$L,"&gt;0")&lt;&gt;1,"",SUMIFS($H:$H,$C:$C,$C384,$D:$D,"P0(전)"))</f>
        <v/>
      </c>
      <c r="O384" s="30">
        <f>IF(COUNTIFS($C:$C,$C384,$D:$D,"P0(전)",$L:$L,"&gt;0")&lt;&gt;1,"",SUMIFS($L:$L,$C:$C,$C384,$D:$D,"P0(전)"))</f>
        <v/>
      </c>
      <c r="P384" s="45">
        <f>IF(COUNTIFS($C:$C,$C384,$D:$D,"P0(후)",$L:$L,"&gt;0")&lt;&gt;1,"",SUMIFS($H:$H,$C:$C,$C384,$D:$D,"P0(후)"))</f>
        <v/>
      </c>
      <c r="Q384" s="30">
        <f>IF(COUNTIFS($C:$C,$C384,$D:$D,"P0(후)",$L:$L,"&gt;0")&lt;&gt;1,"",SUMIFS($L:$L,$C:$C,$C384,$D:$D,"P0(후)"))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IF(OR(NOT(ISNUMBER(S384)),IF(ISNUMBER(G384),G384,F384)=0),"",S384/IF(ISNUMBER(G384),G384,F384))</f>
        <v/>
      </c>
      <c r="U384" s="46">
        <f>IF(ISNUMBER(T384),ABS(T384),"")</f>
        <v/>
      </c>
      <c r="V384" s="46">
        <f>IF(OR($D383&lt;&gt;"측정",$C383&lt;&gt;$C384,NOT(ISNUMBER(L384)),NOT(ISNUMBER(L383)),(IF(ISNUMBER(G384),G384,F384)-IF(ISNUMBER(G383),G383,F383))=0),"",(L384-L383)/(IF(ISNUMBER(G384),G384,F384)-IF(ISNUMBER(G383),G383,F383)))</f>
        <v/>
      </c>
      <c r="W384" s="30">
        <f>IF(NOT(AND(ISNUMBER(N384),ISNUMBER(P384))),"",(P384-N384)*1440)</f>
        <v/>
      </c>
      <c r="X384" s="28" t="n"/>
      <c r="Y384" s="28" t="n"/>
      <c r="Z384" s="28" t="n"/>
      <c r="AA384" s="31" t="n"/>
      <c r="AB384" s="31" t="n"/>
    </row>
    <row r="385">
      <c r="A385" s="25" t="inlineStr">
        <is>
          <t>S08</t>
        </is>
      </c>
      <c r="B385" s="25" t="inlineStr">
        <is>
          <t>청일 신규점2</t>
        </is>
      </c>
      <c r="C385" s="25" t="inlineStr">
        <is>
          <t>S08-H서</t>
        </is>
      </c>
      <c r="D385" s="25" t="inlineStr">
        <is>
          <t>측정</t>
        </is>
      </c>
      <c r="E385" s="25" t="inlineStr">
        <is>
          <t>서</t>
        </is>
      </c>
      <c r="F385" s="30" t="n">
        <v>2</v>
      </c>
      <c r="G385" s="29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IF(COUNTIFS($C:$C,$C385,$D:$D,"P0(전)",$L:$L,"&gt;0")&lt;&gt;1,"P0(전) 유효 1개 아님",IF(COUNTIFS($C:$C,$C385,$D:$D,"P0(후)",$L:$L,"&gt;0")&lt;&gt;1,"P0(후) 유효 1개 아님",IF(NOT(AND(ISNUMBER(N385),ISNUMBER(P385),ISNUMBER(H385))),"시각 결측",IF(P385&lt;=N385,"P0 시각 역전",IF(OR(H385&lt;N385,H385&gt;P385),"측정시각 구간 밖","OK")))))</f>
        <v/>
      </c>
      <c r="N385" s="45">
        <f>IF(COUNTIFS($C:$C,$C385,$D:$D,"P0(전)",$L:$L,"&gt;0")&lt;&gt;1,"",SUMIFS($H:$H,$C:$C,$C385,$D:$D,"P0(전)"))</f>
        <v/>
      </c>
      <c r="O385" s="30">
        <f>IF(COUNTIFS($C:$C,$C385,$D:$D,"P0(전)",$L:$L,"&gt;0")&lt;&gt;1,"",SUMIFS($L:$L,$C:$C,$C385,$D:$D,"P0(전)"))</f>
        <v/>
      </c>
      <c r="P385" s="45">
        <f>IF(COUNTIFS($C:$C,$C385,$D:$D,"P0(후)",$L:$L,"&gt;0")&lt;&gt;1,"",SUMIFS($H:$H,$C:$C,$C385,$D:$D,"P0(후)"))</f>
        <v/>
      </c>
      <c r="Q385" s="30">
        <f>IF(COUNTIFS($C:$C,$C385,$D:$D,"P0(후)",$L:$L,"&gt;0")&lt;&gt;1,"",SUMIFS($L:$L,$C:$C,$C385,$D:$D,"P0(후)"))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IF(OR(NOT(ISNUMBER(S385)),IF(ISNUMBER(G385),G385,F385)=0),"",S385/IF(ISNUMBER(G385),G385,F385))</f>
        <v/>
      </c>
      <c r="U385" s="46">
        <f>IF(ISNUMBER(T385),ABS(T385),"")</f>
        <v/>
      </c>
      <c r="V385" s="46">
        <f>IF(OR($D384&lt;&gt;"측정",$C384&lt;&gt;$C385,NOT(ISNUMBER(L385)),NOT(ISNUMBER(L384)),(IF(ISNUMBER(G385),G385,F385)-IF(ISNUMBER(G384),G384,F384))=0),"",(L385-L384)/(IF(ISNUMBER(G385),G385,F385)-IF(ISNUMBER(G384),G384,F384)))</f>
        <v/>
      </c>
      <c r="W385" s="30">
        <f>IF(NOT(AND(ISNUMBER(N385),ISNUMBER(P385))),"",(P385-N385)*1440)</f>
        <v/>
      </c>
      <c r="X385" s="28" t="n"/>
      <c r="Y385" s="28" t="n"/>
      <c r="Z385" s="28" t="n"/>
      <c r="AA385" s="31" t="n"/>
      <c r="AB385" s="31" t="n"/>
    </row>
    <row r="386">
      <c r="A386" s="25" t="inlineStr">
        <is>
          <t>S08</t>
        </is>
      </c>
      <c r="B386" s="25" t="inlineStr">
        <is>
          <t>청일 신규점2</t>
        </is>
      </c>
      <c r="C386" s="25" t="inlineStr">
        <is>
          <t>S08-H서</t>
        </is>
      </c>
      <c r="D386" s="25" t="inlineStr">
        <is>
          <t>측정</t>
        </is>
      </c>
      <c r="E386" s="25" t="inlineStr">
        <is>
          <t>서</t>
        </is>
      </c>
      <c r="F386" s="30" t="n">
        <v>3</v>
      </c>
      <c r="G386" s="29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IF(COUNTIFS($C:$C,$C386,$D:$D,"P0(전)",$L:$L,"&gt;0")&lt;&gt;1,"P0(전) 유효 1개 아님",IF(COUNTIFS($C:$C,$C386,$D:$D,"P0(후)",$L:$L,"&gt;0")&lt;&gt;1,"P0(후) 유효 1개 아님",IF(NOT(AND(ISNUMBER(N386),ISNUMBER(P386),ISNUMBER(H386))),"시각 결측",IF(P386&lt;=N386,"P0 시각 역전",IF(OR(H386&lt;N386,H386&gt;P386),"측정시각 구간 밖","OK")))))</f>
        <v/>
      </c>
      <c r="N386" s="45">
        <f>IF(COUNTIFS($C:$C,$C386,$D:$D,"P0(전)",$L:$L,"&gt;0")&lt;&gt;1,"",SUMIFS($H:$H,$C:$C,$C386,$D:$D,"P0(전)"))</f>
        <v/>
      </c>
      <c r="O386" s="30">
        <f>IF(COUNTIFS($C:$C,$C386,$D:$D,"P0(전)",$L:$L,"&gt;0")&lt;&gt;1,"",SUMIFS($L:$L,$C:$C,$C386,$D:$D,"P0(전)"))</f>
        <v/>
      </c>
      <c r="P386" s="45">
        <f>IF(COUNTIFS($C:$C,$C386,$D:$D,"P0(후)",$L:$L,"&gt;0")&lt;&gt;1,"",SUMIFS($H:$H,$C:$C,$C386,$D:$D,"P0(후)"))</f>
        <v/>
      </c>
      <c r="Q386" s="30">
        <f>IF(COUNTIFS($C:$C,$C386,$D:$D,"P0(후)",$L:$L,"&gt;0")&lt;&gt;1,"",SUMIFS($L:$L,$C:$C,$C386,$D:$D,"P0(후)"))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IF(OR(NOT(ISNUMBER(S386)),IF(ISNUMBER(G386),G386,F386)=0),"",S386/IF(ISNUMBER(G386),G386,F386))</f>
        <v/>
      </c>
      <c r="U386" s="46">
        <f>IF(ISNUMBER(T386),ABS(T386),"")</f>
        <v/>
      </c>
      <c r="V386" s="46">
        <f>IF(OR($D385&lt;&gt;"측정",$C385&lt;&gt;$C386,NOT(ISNUMBER(L386)),NOT(ISNUMBER(L385)),(IF(ISNUMBER(G386),G386,F386)-IF(ISNUMBER(G385),G385,F385))=0),"",(L386-L385)/(IF(ISNUMBER(G386),G386,F386)-IF(ISNUMBER(G385),G385,F385)))</f>
        <v/>
      </c>
      <c r="W386" s="30">
        <f>IF(NOT(AND(ISNUMBER(N386),ISNUMBER(P386))),"",(P386-N386)*1440)</f>
        <v/>
      </c>
      <c r="X386" s="28" t="n"/>
      <c r="Y386" s="28" t="n"/>
      <c r="Z386" s="28" t="n"/>
      <c r="AA386" s="31" t="n"/>
      <c r="AB386" s="31" t="n"/>
    </row>
    <row r="387">
      <c r="A387" s="25" t="inlineStr">
        <is>
          <t>S08</t>
        </is>
      </c>
      <c r="B387" s="25" t="inlineStr">
        <is>
          <t>청일 신규점2</t>
        </is>
      </c>
      <c r="C387" s="25" t="inlineStr">
        <is>
          <t>S08-H서</t>
        </is>
      </c>
      <c r="D387" s="25" t="inlineStr">
        <is>
          <t>측정</t>
        </is>
      </c>
      <c r="E387" s="25" t="inlineStr">
        <is>
          <t>서</t>
        </is>
      </c>
      <c r="F387" s="30" t="n">
        <v>4</v>
      </c>
      <c r="G387" s="29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IF(COUNTIFS($C:$C,$C387,$D:$D,"P0(전)",$L:$L,"&gt;0")&lt;&gt;1,"P0(전) 유효 1개 아님",IF(COUNTIFS($C:$C,$C387,$D:$D,"P0(후)",$L:$L,"&gt;0")&lt;&gt;1,"P0(후) 유효 1개 아님",IF(NOT(AND(ISNUMBER(N387),ISNUMBER(P387),ISNUMBER(H387))),"시각 결측",IF(P387&lt;=N387,"P0 시각 역전",IF(OR(H387&lt;N387,H387&gt;P387),"측정시각 구간 밖","OK")))))</f>
        <v/>
      </c>
      <c r="N387" s="45">
        <f>IF(COUNTIFS($C:$C,$C387,$D:$D,"P0(전)",$L:$L,"&gt;0")&lt;&gt;1,"",SUMIFS($H:$H,$C:$C,$C387,$D:$D,"P0(전)"))</f>
        <v/>
      </c>
      <c r="O387" s="30">
        <f>IF(COUNTIFS($C:$C,$C387,$D:$D,"P0(전)",$L:$L,"&gt;0")&lt;&gt;1,"",SUMIFS($L:$L,$C:$C,$C387,$D:$D,"P0(전)"))</f>
        <v/>
      </c>
      <c r="P387" s="45">
        <f>IF(COUNTIFS($C:$C,$C387,$D:$D,"P0(후)",$L:$L,"&gt;0")&lt;&gt;1,"",SUMIFS($H:$H,$C:$C,$C387,$D:$D,"P0(후)"))</f>
        <v/>
      </c>
      <c r="Q387" s="30">
        <f>IF(COUNTIFS($C:$C,$C387,$D:$D,"P0(후)",$L:$L,"&gt;0")&lt;&gt;1,"",SUMIFS($L:$L,$C:$C,$C387,$D:$D,"P0(후)"))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IF(OR(NOT(ISNUMBER(S387)),IF(ISNUMBER(G387),G387,F387)=0),"",S387/IF(ISNUMBER(G387),G387,F387))</f>
        <v/>
      </c>
      <c r="U387" s="46">
        <f>IF(ISNUMBER(T387),ABS(T387),"")</f>
        <v/>
      </c>
      <c r="V387" s="46">
        <f>IF(OR($D386&lt;&gt;"측정",$C386&lt;&gt;$C387,NOT(ISNUMBER(L387)),NOT(ISNUMBER(L386)),(IF(ISNUMBER(G387),G387,F387)-IF(ISNUMBER(G386),G386,F386))=0),"",(L387-L386)/(IF(ISNUMBER(G387),G387,F387)-IF(ISNUMBER(G386),G386,F386)))</f>
        <v/>
      </c>
      <c r="W387" s="30">
        <f>IF(NOT(AND(ISNUMBER(N387),ISNUMBER(P387))),"",(P387-N387)*1440)</f>
        <v/>
      </c>
      <c r="X387" s="28" t="n"/>
      <c r="Y387" s="28" t="n"/>
      <c r="Z387" s="28" t="n"/>
      <c r="AA387" s="31" t="n"/>
      <c r="AB387" s="31" t="n"/>
    </row>
    <row r="388">
      <c r="A388" s="25" t="inlineStr">
        <is>
          <t>S08</t>
        </is>
      </c>
      <c r="B388" s="25" t="inlineStr">
        <is>
          <t>청일 신규점2</t>
        </is>
      </c>
      <c r="C388" s="25" t="inlineStr">
        <is>
          <t>S08-H서</t>
        </is>
      </c>
      <c r="D388" s="25" t="inlineStr">
        <is>
          <t>측정</t>
        </is>
      </c>
      <c r="E388" s="25" t="inlineStr">
        <is>
          <t>서</t>
        </is>
      </c>
      <c r="F388" s="30" t="n">
        <v>5</v>
      </c>
      <c r="G388" s="29" t="n"/>
      <c r="H388" s="42" t="n"/>
      <c r="I388" s="40" t="n"/>
      <c r="J388" s="40" t="n"/>
      <c r="K388" s="40" t="n"/>
      <c r="L388" s="30">
        <f>IF(COUNT(I388:K388)=0,"",MEDIAN(I388:K388))</f>
        <v/>
      </c>
      <c r="M388" s="25">
        <f>IF(COUNTIFS($C:$C,$C388,$D:$D,"P0(전)",$L:$L,"&gt;0")&lt;&gt;1,"P0(전) 유효 1개 아님",IF(COUNTIFS($C:$C,$C388,$D:$D,"P0(후)",$L:$L,"&gt;0")&lt;&gt;1,"P0(후) 유효 1개 아님",IF(NOT(AND(ISNUMBER(N388),ISNUMBER(P388),ISNUMBER(H388))),"시각 결측",IF(P388&lt;=N388,"P0 시각 역전",IF(OR(H388&lt;N388,H388&gt;P388),"측정시각 구간 밖","OK")))))</f>
        <v/>
      </c>
      <c r="N388" s="45">
        <f>IF(COUNTIFS($C:$C,$C388,$D:$D,"P0(전)",$L:$L,"&gt;0")&lt;&gt;1,"",SUMIFS($H:$H,$C:$C,$C388,$D:$D,"P0(전)"))</f>
        <v/>
      </c>
      <c r="O388" s="30">
        <f>IF(COUNTIFS($C:$C,$C388,$D:$D,"P0(전)",$L:$L,"&gt;0")&lt;&gt;1,"",SUMIFS($L:$L,$C:$C,$C388,$D:$D,"P0(전)"))</f>
        <v/>
      </c>
      <c r="P388" s="45">
        <f>IF(COUNTIFS($C:$C,$C388,$D:$D,"P0(후)",$L:$L,"&gt;0")&lt;&gt;1,"",SUMIFS($H:$H,$C:$C,$C388,$D:$D,"P0(후)"))</f>
        <v/>
      </c>
      <c r="Q388" s="30">
        <f>IF(COUNTIFS($C:$C,$C388,$D:$D,"P0(후)",$L:$L,"&gt;0")&lt;&gt;1,"",SUMIFS($L:$L,$C:$C,$C388,$D:$D,"P0(후)"))</f>
        <v/>
      </c>
      <c r="R388" s="30">
        <f>IF(M388&lt;&gt;"OK","",O388+(Q388-O388)*(H388-N388)/(P388-N388))</f>
        <v/>
      </c>
      <c r="S388" s="30">
        <f>IF(OR(M388&lt;&gt;"OK",NOT(ISNUMBER(L388))),"",L388-R388)</f>
        <v/>
      </c>
      <c r="T388" s="46">
        <f>IF(OR(NOT(ISNUMBER(S388)),IF(ISNUMBER(G388),G388,F388)=0),"",S388/IF(ISNUMBER(G388),G388,F388))</f>
        <v/>
      </c>
      <c r="U388" s="46">
        <f>IF(ISNUMBER(T388),ABS(T388),"")</f>
        <v/>
      </c>
      <c r="V388" s="46">
        <f>IF(OR($D387&lt;&gt;"측정",$C387&lt;&gt;$C388,NOT(ISNUMBER(L388)),NOT(ISNUMBER(L387)),(IF(ISNUMBER(G388),G388,F388)-IF(ISNUMBER(G387),G387,F387))=0),"",(L388-L387)/(IF(ISNUMBER(G388),G388,F388)-IF(ISNUMBER(G387),G387,F387)))</f>
        <v/>
      </c>
      <c r="W388" s="30">
        <f>IF(NOT(AND(ISNUMBER(N388),ISNUMBER(P388))),"",(P388-N388)*1440)</f>
        <v/>
      </c>
      <c r="X388" s="28" t="n"/>
      <c r="Y388" s="28" t="n"/>
      <c r="Z388" s="28" t="n"/>
      <c r="AA388" s="31" t="n"/>
      <c r="AB388" s="31" t="n"/>
    </row>
    <row r="389">
      <c r="A389" s="25" t="inlineStr">
        <is>
          <t>S08</t>
        </is>
      </c>
      <c r="B389" s="25" t="inlineStr">
        <is>
          <t>청일 신규점2</t>
        </is>
      </c>
      <c r="C389" s="25" t="inlineStr">
        <is>
          <t>S08-H서</t>
        </is>
      </c>
      <c r="D389" s="25" t="inlineStr">
        <is>
          <t>측정</t>
        </is>
      </c>
      <c r="E389" s="25" t="inlineStr">
        <is>
          <t>서</t>
        </is>
      </c>
      <c r="F389" s="30" t="n">
        <v>6</v>
      </c>
      <c r="G389" s="29" t="n"/>
      <c r="H389" s="42" t="n"/>
      <c r="I389" s="40" t="n"/>
      <c r="J389" s="40" t="n"/>
      <c r="K389" s="40" t="n"/>
      <c r="L389" s="30">
        <f>IF(COUNT(I389:K389)=0,"",MEDIAN(I389:K389))</f>
        <v/>
      </c>
      <c r="M389" s="25">
        <f>IF(COUNTIFS($C:$C,$C389,$D:$D,"P0(전)",$L:$L,"&gt;0")&lt;&gt;1,"P0(전) 유효 1개 아님",IF(COUNTIFS($C:$C,$C389,$D:$D,"P0(후)",$L:$L,"&gt;0")&lt;&gt;1,"P0(후) 유효 1개 아님",IF(NOT(AND(ISNUMBER(N389),ISNUMBER(P389),ISNUMBER(H389))),"시각 결측",IF(P389&lt;=N389,"P0 시각 역전",IF(OR(H389&lt;N389,H389&gt;P389),"측정시각 구간 밖","OK")))))</f>
        <v/>
      </c>
      <c r="N389" s="45">
        <f>IF(COUNTIFS($C:$C,$C389,$D:$D,"P0(전)",$L:$L,"&gt;0")&lt;&gt;1,"",SUMIFS($H:$H,$C:$C,$C389,$D:$D,"P0(전)"))</f>
        <v/>
      </c>
      <c r="O389" s="30">
        <f>IF(COUNTIFS($C:$C,$C389,$D:$D,"P0(전)",$L:$L,"&gt;0")&lt;&gt;1,"",SUMIFS($L:$L,$C:$C,$C389,$D:$D,"P0(전)"))</f>
        <v/>
      </c>
      <c r="P389" s="45">
        <f>IF(COUNTIFS($C:$C,$C389,$D:$D,"P0(후)",$L:$L,"&gt;0")&lt;&gt;1,"",SUMIFS($H:$H,$C:$C,$C389,$D:$D,"P0(후)"))</f>
        <v/>
      </c>
      <c r="Q389" s="30">
        <f>IF(COUNTIFS($C:$C,$C389,$D:$D,"P0(후)",$L:$L,"&gt;0")&lt;&gt;1,"",SUMIFS($L:$L,$C:$C,$C389,$D:$D,"P0(후)"))</f>
        <v/>
      </c>
      <c r="R389" s="30">
        <f>IF(M389&lt;&gt;"OK","",O389+(Q389-O389)*(H389-N389)/(P389-N389))</f>
        <v/>
      </c>
      <c r="S389" s="30">
        <f>IF(OR(M389&lt;&gt;"OK",NOT(ISNUMBER(L389))),"",L389-R389)</f>
        <v/>
      </c>
      <c r="T389" s="46">
        <f>IF(OR(NOT(ISNUMBER(S389)),IF(ISNUMBER(G389),G389,F389)=0),"",S389/IF(ISNUMBER(G389),G389,F389))</f>
        <v/>
      </c>
      <c r="U389" s="46">
        <f>IF(ISNUMBER(T389),ABS(T389),"")</f>
        <v/>
      </c>
      <c r="V389" s="46">
        <f>IF(OR($D388&lt;&gt;"측정",$C388&lt;&gt;$C389,NOT(ISNUMBER(L389)),NOT(ISNUMBER(L388)),(IF(ISNUMBER(G389),G389,F389)-IF(ISNUMBER(G388),G388,F388))=0),"",(L389-L388)/(IF(ISNUMBER(G389),G389,F389)-IF(ISNUMBER(G388),G388,F388)))</f>
        <v/>
      </c>
      <c r="W389" s="30">
        <f>IF(NOT(AND(ISNUMBER(N389),ISNUMBER(P389))),"",(P389-N389)*1440)</f>
        <v/>
      </c>
      <c r="X389" s="28" t="n"/>
      <c r="Y389" s="28" t="n"/>
      <c r="Z389" s="28" t="n"/>
      <c r="AA389" s="31" t="n"/>
      <c r="AB389" s="31" t="n"/>
    </row>
    <row r="390">
      <c r="A390" s="25" t="inlineStr">
        <is>
          <t>S08</t>
        </is>
      </c>
      <c r="B390" s="25" t="inlineStr">
        <is>
          <t>청일 신규점2</t>
        </is>
      </c>
      <c r="C390" s="25" t="inlineStr">
        <is>
          <t>S08-H서</t>
        </is>
      </c>
      <c r="D390" s="25" t="inlineStr">
        <is>
          <t>측정</t>
        </is>
      </c>
      <c r="E390" s="25" t="inlineStr">
        <is>
          <t>서</t>
        </is>
      </c>
      <c r="F390" s="30" t="n">
        <v>7</v>
      </c>
      <c r="G390" s="29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IF(COUNTIFS($C:$C,$C390,$D:$D,"P0(전)",$L:$L,"&gt;0")&lt;&gt;1,"P0(전) 유효 1개 아님",IF(COUNTIFS($C:$C,$C390,$D:$D,"P0(후)",$L:$L,"&gt;0")&lt;&gt;1,"P0(후) 유효 1개 아님",IF(NOT(AND(ISNUMBER(N390),ISNUMBER(P390),ISNUMBER(H390))),"시각 결측",IF(P390&lt;=N390,"P0 시각 역전",IF(OR(H390&lt;N390,H390&gt;P390),"측정시각 구간 밖","OK")))))</f>
        <v/>
      </c>
      <c r="N390" s="45">
        <f>IF(COUNTIFS($C:$C,$C390,$D:$D,"P0(전)",$L:$L,"&gt;0")&lt;&gt;1,"",SUMIFS($H:$H,$C:$C,$C390,$D:$D,"P0(전)"))</f>
        <v/>
      </c>
      <c r="O390" s="30">
        <f>IF(COUNTIFS($C:$C,$C390,$D:$D,"P0(전)",$L:$L,"&gt;0")&lt;&gt;1,"",SUMIFS($L:$L,$C:$C,$C390,$D:$D,"P0(전)"))</f>
        <v/>
      </c>
      <c r="P390" s="45">
        <f>IF(COUNTIFS($C:$C,$C390,$D:$D,"P0(후)",$L:$L,"&gt;0")&lt;&gt;1,"",SUMIFS($H:$H,$C:$C,$C390,$D:$D,"P0(후)"))</f>
        <v/>
      </c>
      <c r="Q390" s="30">
        <f>IF(COUNTIFS($C:$C,$C390,$D:$D,"P0(후)",$L:$L,"&gt;0")&lt;&gt;1,"",SUMIFS($L:$L,$C:$C,$C390,$D:$D,"P0(후)"))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IF(OR(NOT(ISNUMBER(S390)),IF(ISNUMBER(G390),G390,F390)=0),"",S390/IF(ISNUMBER(G390),G390,F390))</f>
        <v/>
      </c>
      <c r="U390" s="46">
        <f>IF(ISNUMBER(T390),ABS(T390),"")</f>
        <v/>
      </c>
      <c r="V390" s="46">
        <f>IF(OR($D389&lt;&gt;"측정",$C389&lt;&gt;$C390,NOT(ISNUMBER(L390)),NOT(ISNUMBER(L389)),(IF(ISNUMBER(G390),G390,F390)-IF(ISNUMBER(G389),G389,F389))=0),"",(L390-L389)/(IF(ISNUMBER(G390),G390,F390)-IF(ISNUMBER(G389),G389,F389)))</f>
        <v/>
      </c>
      <c r="W390" s="30">
        <f>IF(NOT(AND(ISNUMBER(N390),ISNUMBER(P390))),"",(P390-N390)*1440)</f>
        <v/>
      </c>
      <c r="X390" s="28" t="n"/>
      <c r="Y390" s="28" t="n"/>
      <c r="Z390" s="28" t="n"/>
      <c r="AA390" s="31" t="n"/>
      <c r="AB390" s="31" t="n"/>
    </row>
    <row r="391">
      <c r="A391" s="25" t="inlineStr">
        <is>
          <t>S08</t>
        </is>
      </c>
      <c r="B391" s="25" t="inlineStr">
        <is>
          <t>청일 신규점2</t>
        </is>
      </c>
      <c r="C391" s="25" t="inlineStr">
        <is>
          <t>S08-H서</t>
        </is>
      </c>
      <c r="D391" s="25" t="inlineStr">
        <is>
          <t>측정</t>
        </is>
      </c>
      <c r="E391" s="25" t="inlineStr">
        <is>
          <t>서</t>
        </is>
      </c>
      <c r="F391" s="30" t="n">
        <v>8</v>
      </c>
      <c r="G391" s="29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IF(COUNTIFS($C:$C,$C391,$D:$D,"P0(전)",$L:$L,"&gt;0")&lt;&gt;1,"P0(전) 유효 1개 아님",IF(COUNTIFS($C:$C,$C391,$D:$D,"P0(후)",$L:$L,"&gt;0")&lt;&gt;1,"P0(후) 유효 1개 아님",IF(NOT(AND(ISNUMBER(N391),ISNUMBER(P391),ISNUMBER(H391))),"시각 결측",IF(P391&lt;=N391,"P0 시각 역전",IF(OR(H391&lt;N391,H391&gt;P391),"측정시각 구간 밖","OK")))))</f>
        <v/>
      </c>
      <c r="N391" s="45">
        <f>IF(COUNTIFS($C:$C,$C391,$D:$D,"P0(전)",$L:$L,"&gt;0")&lt;&gt;1,"",SUMIFS($H:$H,$C:$C,$C391,$D:$D,"P0(전)"))</f>
        <v/>
      </c>
      <c r="O391" s="30">
        <f>IF(COUNTIFS($C:$C,$C391,$D:$D,"P0(전)",$L:$L,"&gt;0")&lt;&gt;1,"",SUMIFS($L:$L,$C:$C,$C391,$D:$D,"P0(전)"))</f>
        <v/>
      </c>
      <c r="P391" s="45">
        <f>IF(COUNTIFS($C:$C,$C391,$D:$D,"P0(후)",$L:$L,"&gt;0")&lt;&gt;1,"",SUMIFS($H:$H,$C:$C,$C391,$D:$D,"P0(후)"))</f>
        <v/>
      </c>
      <c r="Q391" s="30">
        <f>IF(COUNTIFS($C:$C,$C391,$D:$D,"P0(후)",$L:$L,"&gt;0")&lt;&gt;1,"",SUMIFS($L:$L,$C:$C,$C391,$D:$D,"P0(후)"))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IF(OR(NOT(ISNUMBER(S391)),IF(ISNUMBER(G391),G391,F391)=0),"",S391/IF(ISNUMBER(G391),G391,F391))</f>
        <v/>
      </c>
      <c r="U391" s="46">
        <f>IF(ISNUMBER(T391),ABS(T391),"")</f>
        <v/>
      </c>
      <c r="V391" s="46">
        <f>IF(OR($D390&lt;&gt;"측정",$C390&lt;&gt;$C391,NOT(ISNUMBER(L391)),NOT(ISNUMBER(L390)),(IF(ISNUMBER(G391),G391,F391)-IF(ISNUMBER(G390),G390,F390))=0),"",(L391-L390)/(IF(ISNUMBER(G391),G391,F391)-IF(ISNUMBER(G390),G390,F390)))</f>
        <v/>
      </c>
      <c r="W391" s="30">
        <f>IF(NOT(AND(ISNUMBER(N391),ISNUMBER(P391))),"",(P391-N391)*1440)</f>
        <v/>
      </c>
      <c r="X391" s="28" t="n"/>
      <c r="Y391" s="28" t="n"/>
      <c r="Z391" s="28" t="n"/>
      <c r="AA391" s="31" t="n"/>
      <c r="AB391" s="31" t="n"/>
    </row>
    <row r="392">
      <c r="A392" s="25" t="inlineStr">
        <is>
          <t>S08</t>
        </is>
      </c>
      <c r="B392" s="25" t="inlineStr">
        <is>
          <t>청일 신규점2</t>
        </is>
      </c>
      <c r="C392" s="25" t="inlineStr">
        <is>
          <t>S08-H서</t>
        </is>
      </c>
      <c r="D392" s="25" t="inlineStr">
        <is>
          <t>측정</t>
        </is>
      </c>
      <c r="E392" s="25" t="inlineStr">
        <is>
          <t>서</t>
        </is>
      </c>
      <c r="F392" s="30" t="n">
        <v>9</v>
      </c>
      <c r="G392" s="29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IF(COUNTIFS($C:$C,$C392,$D:$D,"P0(전)",$L:$L,"&gt;0")&lt;&gt;1,"P0(전) 유효 1개 아님",IF(COUNTIFS($C:$C,$C392,$D:$D,"P0(후)",$L:$L,"&gt;0")&lt;&gt;1,"P0(후) 유효 1개 아님",IF(NOT(AND(ISNUMBER(N392),ISNUMBER(P392),ISNUMBER(H392))),"시각 결측",IF(P392&lt;=N392,"P0 시각 역전",IF(OR(H392&lt;N392,H392&gt;P392),"측정시각 구간 밖","OK")))))</f>
        <v/>
      </c>
      <c r="N392" s="45">
        <f>IF(COUNTIFS($C:$C,$C392,$D:$D,"P0(전)",$L:$L,"&gt;0")&lt;&gt;1,"",SUMIFS($H:$H,$C:$C,$C392,$D:$D,"P0(전)"))</f>
        <v/>
      </c>
      <c r="O392" s="30">
        <f>IF(COUNTIFS($C:$C,$C392,$D:$D,"P0(전)",$L:$L,"&gt;0")&lt;&gt;1,"",SUMIFS($L:$L,$C:$C,$C392,$D:$D,"P0(전)"))</f>
        <v/>
      </c>
      <c r="P392" s="45">
        <f>IF(COUNTIFS($C:$C,$C392,$D:$D,"P0(후)",$L:$L,"&gt;0")&lt;&gt;1,"",SUMIFS($H:$H,$C:$C,$C392,$D:$D,"P0(후)"))</f>
        <v/>
      </c>
      <c r="Q392" s="30">
        <f>IF(COUNTIFS($C:$C,$C392,$D:$D,"P0(후)",$L:$L,"&gt;0")&lt;&gt;1,"",SUMIFS($L:$L,$C:$C,$C392,$D:$D,"P0(후)"))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IF(OR(NOT(ISNUMBER(S392)),IF(ISNUMBER(G392),G392,F392)=0),"",S392/IF(ISNUMBER(G392),G392,F392))</f>
        <v/>
      </c>
      <c r="U392" s="46">
        <f>IF(ISNUMBER(T392),ABS(T392),"")</f>
        <v/>
      </c>
      <c r="V392" s="46">
        <f>IF(OR($D391&lt;&gt;"측정",$C391&lt;&gt;$C392,NOT(ISNUMBER(L392)),NOT(ISNUMBER(L391)),(IF(ISNUMBER(G392),G392,F392)-IF(ISNUMBER(G391),G391,F391))=0),"",(L392-L391)/(IF(ISNUMBER(G392),G392,F392)-IF(ISNUMBER(G391),G391,F391)))</f>
        <v/>
      </c>
      <c r="W392" s="30">
        <f>IF(NOT(AND(ISNUMBER(N392),ISNUMBER(P392))),"",(P392-N392)*1440)</f>
        <v/>
      </c>
      <c r="X392" s="28" t="n"/>
      <c r="Y392" s="28" t="n"/>
      <c r="Z392" s="28" t="n"/>
      <c r="AA392" s="31" t="n"/>
      <c r="AB392" s="31" t="n"/>
    </row>
    <row r="393">
      <c r="A393" s="25" t="inlineStr">
        <is>
          <t>S08</t>
        </is>
      </c>
      <c r="B393" s="25" t="inlineStr">
        <is>
          <t>청일 신규점2</t>
        </is>
      </c>
      <c r="C393" s="25" t="inlineStr">
        <is>
          <t>S08-H서</t>
        </is>
      </c>
      <c r="D393" s="25" t="inlineStr">
        <is>
          <t>측정</t>
        </is>
      </c>
      <c r="E393" s="25" t="inlineStr">
        <is>
          <t>서</t>
        </is>
      </c>
      <c r="F393" s="30" t="n">
        <v>10</v>
      </c>
      <c r="G393" s="29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IF(COUNTIFS($C:$C,$C393,$D:$D,"P0(전)",$L:$L,"&gt;0")&lt;&gt;1,"P0(전) 유효 1개 아님",IF(COUNTIFS($C:$C,$C393,$D:$D,"P0(후)",$L:$L,"&gt;0")&lt;&gt;1,"P0(후) 유효 1개 아님",IF(NOT(AND(ISNUMBER(N393),ISNUMBER(P393),ISNUMBER(H393))),"시각 결측",IF(P393&lt;=N393,"P0 시각 역전",IF(OR(H393&lt;N393,H393&gt;P393),"측정시각 구간 밖","OK")))))</f>
        <v/>
      </c>
      <c r="N393" s="45">
        <f>IF(COUNTIFS($C:$C,$C393,$D:$D,"P0(전)",$L:$L,"&gt;0")&lt;&gt;1,"",SUMIFS($H:$H,$C:$C,$C393,$D:$D,"P0(전)"))</f>
        <v/>
      </c>
      <c r="O393" s="30">
        <f>IF(COUNTIFS($C:$C,$C393,$D:$D,"P0(전)",$L:$L,"&gt;0")&lt;&gt;1,"",SUMIFS($L:$L,$C:$C,$C393,$D:$D,"P0(전)"))</f>
        <v/>
      </c>
      <c r="P393" s="45">
        <f>IF(COUNTIFS($C:$C,$C393,$D:$D,"P0(후)",$L:$L,"&gt;0")&lt;&gt;1,"",SUMIFS($H:$H,$C:$C,$C393,$D:$D,"P0(후)"))</f>
        <v/>
      </c>
      <c r="Q393" s="30">
        <f>IF(COUNTIFS($C:$C,$C393,$D:$D,"P0(후)",$L:$L,"&gt;0")&lt;&gt;1,"",SUMIFS($L:$L,$C:$C,$C393,$D:$D,"P0(후)"))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IF(OR(NOT(ISNUMBER(S393)),IF(ISNUMBER(G393),G393,F393)=0),"",S393/IF(ISNUMBER(G393),G393,F393))</f>
        <v/>
      </c>
      <c r="U393" s="46">
        <f>IF(ISNUMBER(T393),ABS(T393),"")</f>
        <v/>
      </c>
      <c r="V393" s="46">
        <f>IF(OR($D392&lt;&gt;"측정",$C392&lt;&gt;$C393,NOT(ISNUMBER(L393)),NOT(ISNUMBER(L392)),(IF(ISNUMBER(G393),G393,F393)-IF(ISNUMBER(G392),G392,F392))=0),"",(L393-L392)/(IF(ISNUMBER(G393),G393,F393)-IF(ISNUMBER(G392),G392,F392)))</f>
        <v/>
      </c>
      <c r="W393" s="30">
        <f>IF(NOT(AND(ISNUMBER(N393),ISNUMBER(P393))),"",(P393-N393)*1440)</f>
        <v/>
      </c>
      <c r="X393" s="28" t="n"/>
      <c r="Y393" s="28" t="n"/>
      <c r="Z393" s="28" t="n"/>
      <c r="AA393" s="31" t="n"/>
      <c r="AB393" s="31" t="n"/>
    </row>
    <row r="394">
      <c r="A394" s="43" t="inlineStr">
        <is>
          <t>S08</t>
        </is>
      </c>
      <c r="B394" s="43" t="inlineStr">
        <is>
          <t>청일 신규점2</t>
        </is>
      </c>
      <c r="C394" s="43" t="inlineStr">
        <is>
          <t>S08-H서</t>
        </is>
      </c>
      <c r="D394" s="43" t="inlineStr">
        <is>
          <t>P0(후)</t>
        </is>
      </c>
      <c r="E394" s="43" t="inlineStr">
        <is>
          <t>서</t>
        </is>
      </c>
      <c r="F394" s="44" t="n"/>
      <c r="G394" s="29" t="n"/>
      <c r="H394" s="42" t="n"/>
      <c r="I394" s="40" t="n"/>
      <c r="J394" s="40" t="n"/>
      <c r="K394" s="40" t="n"/>
      <c r="L394" s="30">
        <f>IF(COUNT(I394:K394)=0,"",MEDIAN(I394:K394))</f>
        <v/>
      </c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28" t="n"/>
      <c r="Y394" s="28" t="n"/>
      <c r="Z394" s="28" t="n"/>
      <c r="AA394" s="31" t="n"/>
      <c r="AB394" s="31" t="n"/>
    </row>
    <row r="395">
      <c r="A395" s="43" t="inlineStr">
        <is>
          <t>S08</t>
        </is>
      </c>
      <c r="B395" s="43" t="inlineStr">
        <is>
          <t>청일 신규점2</t>
        </is>
      </c>
      <c r="C395" s="43" t="inlineStr">
        <is>
          <t>S08-H남</t>
        </is>
      </c>
      <c r="D395" s="43" t="inlineStr">
        <is>
          <t>P0(전)</t>
        </is>
      </c>
      <c r="E395" s="43" t="inlineStr">
        <is>
          <t>남</t>
        </is>
      </c>
      <c r="F395" s="44" t="n"/>
      <c r="G395" s="29" t="n"/>
      <c r="H395" s="42" t="n"/>
      <c r="I395" s="40" t="n"/>
      <c r="J395" s="40" t="n"/>
      <c r="K395" s="40" t="n"/>
      <c r="L395" s="30">
        <f>IF(COUNT(I395:K395)=0,"",MEDIAN(I395:K395))</f>
        <v/>
      </c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28" t="n"/>
      <c r="Y395" s="28" t="n"/>
      <c r="Z395" s="28" t="n"/>
      <c r="AA395" s="31" t="n"/>
      <c r="AB395" s="31" t="n"/>
    </row>
    <row r="396">
      <c r="A396" s="25" t="inlineStr">
        <is>
          <t>S08</t>
        </is>
      </c>
      <c r="B396" s="25" t="inlineStr">
        <is>
          <t>청일 신규점2</t>
        </is>
      </c>
      <c r="C396" s="25" t="inlineStr">
        <is>
          <t>S08-H남</t>
        </is>
      </c>
      <c r="D396" s="25" t="inlineStr">
        <is>
          <t>측정</t>
        </is>
      </c>
      <c r="E396" s="25" t="inlineStr">
        <is>
          <t>남</t>
        </is>
      </c>
      <c r="F396" s="30" t="n">
        <v>0.5</v>
      </c>
      <c r="G396" s="29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IF(COUNTIFS($C:$C,$C396,$D:$D,"P0(전)",$L:$L,"&gt;0")&lt;&gt;1,"P0(전) 유효 1개 아님",IF(COUNTIFS($C:$C,$C396,$D:$D,"P0(후)",$L:$L,"&gt;0")&lt;&gt;1,"P0(후) 유효 1개 아님",IF(NOT(AND(ISNUMBER(N396),ISNUMBER(P396),ISNUMBER(H396))),"시각 결측",IF(P396&lt;=N396,"P0 시각 역전",IF(OR(H396&lt;N396,H396&gt;P396),"측정시각 구간 밖","OK")))))</f>
        <v/>
      </c>
      <c r="N396" s="45">
        <f>IF(COUNTIFS($C:$C,$C396,$D:$D,"P0(전)",$L:$L,"&gt;0")&lt;&gt;1,"",SUMIFS($H:$H,$C:$C,$C396,$D:$D,"P0(전)"))</f>
        <v/>
      </c>
      <c r="O396" s="30">
        <f>IF(COUNTIFS($C:$C,$C396,$D:$D,"P0(전)",$L:$L,"&gt;0")&lt;&gt;1,"",SUMIFS($L:$L,$C:$C,$C396,$D:$D,"P0(전)"))</f>
        <v/>
      </c>
      <c r="P396" s="45">
        <f>IF(COUNTIFS($C:$C,$C396,$D:$D,"P0(후)",$L:$L,"&gt;0")&lt;&gt;1,"",SUMIFS($H:$H,$C:$C,$C396,$D:$D,"P0(후)"))</f>
        <v/>
      </c>
      <c r="Q396" s="30">
        <f>IF(COUNTIFS($C:$C,$C396,$D:$D,"P0(후)",$L:$L,"&gt;0")&lt;&gt;1,"",SUMIFS($L:$L,$C:$C,$C396,$D:$D,"P0(후)"))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IF(OR(NOT(ISNUMBER(S396)),IF(ISNUMBER(G396),G396,F396)=0),"",S396/IF(ISNUMBER(G396),G396,F396))</f>
        <v/>
      </c>
      <c r="U396" s="46">
        <f>IF(ISNUMBER(T396),ABS(T396),"")</f>
        <v/>
      </c>
      <c r="V396" s="46">
        <f>IF(OR($D395&lt;&gt;"측정",$C395&lt;&gt;$C396,NOT(ISNUMBER(L396)),NOT(ISNUMBER(L395)),(IF(ISNUMBER(G396),G396,F396)-IF(ISNUMBER(G395),G395,F395))=0),"",(L396-L395)/(IF(ISNUMBER(G396),G396,F396)-IF(ISNUMBER(G395),G395,F395)))</f>
        <v/>
      </c>
      <c r="W396" s="30">
        <f>IF(NOT(AND(ISNUMBER(N396),ISNUMBER(P396))),"",(P396-N396)*1440)</f>
        <v/>
      </c>
      <c r="X396" s="28" t="n"/>
      <c r="Y396" s="28" t="n"/>
      <c r="Z396" s="28" t="n"/>
      <c r="AA396" s="31" t="n"/>
      <c r="AB396" s="31" t="n"/>
    </row>
    <row r="397">
      <c r="A397" s="25" t="inlineStr">
        <is>
          <t>S08</t>
        </is>
      </c>
      <c r="B397" s="25" t="inlineStr">
        <is>
          <t>청일 신규점2</t>
        </is>
      </c>
      <c r="C397" s="25" t="inlineStr">
        <is>
          <t>S08-H남</t>
        </is>
      </c>
      <c r="D397" s="25" t="inlineStr">
        <is>
          <t>측정</t>
        </is>
      </c>
      <c r="E397" s="25" t="inlineStr">
        <is>
          <t>남</t>
        </is>
      </c>
      <c r="F397" s="30" t="n">
        <v>1</v>
      </c>
      <c r="G397" s="29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IF(COUNTIFS($C:$C,$C397,$D:$D,"P0(전)",$L:$L,"&gt;0")&lt;&gt;1,"P0(전) 유효 1개 아님",IF(COUNTIFS($C:$C,$C397,$D:$D,"P0(후)",$L:$L,"&gt;0")&lt;&gt;1,"P0(후) 유효 1개 아님",IF(NOT(AND(ISNUMBER(N397),ISNUMBER(P397),ISNUMBER(H397))),"시각 결측",IF(P397&lt;=N397,"P0 시각 역전",IF(OR(H397&lt;N397,H397&gt;P397),"측정시각 구간 밖","OK")))))</f>
        <v/>
      </c>
      <c r="N397" s="45">
        <f>IF(COUNTIFS($C:$C,$C397,$D:$D,"P0(전)",$L:$L,"&gt;0")&lt;&gt;1,"",SUMIFS($H:$H,$C:$C,$C397,$D:$D,"P0(전)"))</f>
        <v/>
      </c>
      <c r="O397" s="30">
        <f>IF(COUNTIFS($C:$C,$C397,$D:$D,"P0(전)",$L:$L,"&gt;0")&lt;&gt;1,"",SUMIFS($L:$L,$C:$C,$C397,$D:$D,"P0(전)"))</f>
        <v/>
      </c>
      <c r="P397" s="45">
        <f>IF(COUNTIFS($C:$C,$C397,$D:$D,"P0(후)",$L:$L,"&gt;0")&lt;&gt;1,"",SUMIFS($H:$H,$C:$C,$C397,$D:$D,"P0(후)"))</f>
        <v/>
      </c>
      <c r="Q397" s="30">
        <f>IF(COUNTIFS($C:$C,$C397,$D:$D,"P0(후)",$L:$L,"&gt;0")&lt;&gt;1,"",SUMIFS($L:$L,$C:$C,$C397,$D:$D,"P0(후)"))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IF(OR(NOT(ISNUMBER(S397)),IF(ISNUMBER(G397),G397,F397)=0),"",S397/IF(ISNUMBER(G397),G397,F397))</f>
        <v/>
      </c>
      <c r="U397" s="46">
        <f>IF(ISNUMBER(T397),ABS(T397),"")</f>
        <v/>
      </c>
      <c r="V397" s="46">
        <f>IF(OR($D396&lt;&gt;"측정",$C396&lt;&gt;$C397,NOT(ISNUMBER(L397)),NOT(ISNUMBER(L396)),(IF(ISNUMBER(G397),G397,F397)-IF(ISNUMBER(G396),G396,F396))=0),"",(L397-L396)/(IF(ISNUMBER(G397),G397,F397)-IF(ISNUMBER(G396),G396,F396)))</f>
        <v/>
      </c>
      <c r="W397" s="30">
        <f>IF(NOT(AND(ISNUMBER(N397),ISNUMBER(P397))),"",(P397-N397)*1440)</f>
        <v/>
      </c>
      <c r="X397" s="28" t="n"/>
      <c r="Y397" s="28" t="n"/>
      <c r="Z397" s="28" t="n"/>
      <c r="AA397" s="31" t="n"/>
      <c r="AB397" s="31" t="n"/>
    </row>
    <row r="398">
      <c r="A398" s="25" t="inlineStr">
        <is>
          <t>S08</t>
        </is>
      </c>
      <c r="B398" s="25" t="inlineStr">
        <is>
          <t>청일 신규점2</t>
        </is>
      </c>
      <c r="C398" s="25" t="inlineStr">
        <is>
          <t>S08-H남</t>
        </is>
      </c>
      <c r="D398" s="25" t="inlineStr">
        <is>
          <t>측정</t>
        </is>
      </c>
      <c r="E398" s="25" t="inlineStr">
        <is>
          <t>남</t>
        </is>
      </c>
      <c r="F398" s="30" t="n">
        <v>2</v>
      </c>
      <c r="G398" s="29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IF(COUNTIFS($C:$C,$C398,$D:$D,"P0(전)",$L:$L,"&gt;0")&lt;&gt;1,"P0(전) 유효 1개 아님",IF(COUNTIFS($C:$C,$C398,$D:$D,"P0(후)",$L:$L,"&gt;0")&lt;&gt;1,"P0(후) 유효 1개 아님",IF(NOT(AND(ISNUMBER(N398),ISNUMBER(P398),ISNUMBER(H398))),"시각 결측",IF(P398&lt;=N398,"P0 시각 역전",IF(OR(H398&lt;N398,H398&gt;P398),"측정시각 구간 밖","OK")))))</f>
        <v/>
      </c>
      <c r="N398" s="45">
        <f>IF(COUNTIFS($C:$C,$C398,$D:$D,"P0(전)",$L:$L,"&gt;0")&lt;&gt;1,"",SUMIFS($H:$H,$C:$C,$C398,$D:$D,"P0(전)"))</f>
        <v/>
      </c>
      <c r="O398" s="30">
        <f>IF(COUNTIFS($C:$C,$C398,$D:$D,"P0(전)",$L:$L,"&gt;0")&lt;&gt;1,"",SUMIFS($L:$L,$C:$C,$C398,$D:$D,"P0(전)"))</f>
        <v/>
      </c>
      <c r="P398" s="45">
        <f>IF(COUNTIFS($C:$C,$C398,$D:$D,"P0(후)",$L:$L,"&gt;0")&lt;&gt;1,"",SUMIFS($H:$H,$C:$C,$C398,$D:$D,"P0(후)"))</f>
        <v/>
      </c>
      <c r="Q398" s="30">
        <f>IF(COUNTIFS($C:$C,$C398,$D:$D,"P0(후)",$L:$L,"&gt;0")&lt;&gt;1,"",SUMIFS($L:$L,$C:$C,$C398,$D:$D,"P0(후)"))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IF(OR(NOT(ISNUMBER(S398)),IF(ISNUMBER(G398),G398,F398)=0),"",S398/IF(ISNUMBER(G398),G398,F398))</f>
        <v/>
      </c>
      <c r="U398" s="46">
        <f>IF(ISNUMBER(T398),ABS(T398),"")</f>
        <v/>
      </c>
      <c r="V398" s="46">
        <f>IF(OR($D397&lt;&gt;"측정",$C397&lt;&gt;$C398,NOT(ISNUMBER(L398)),NOT(ISNUMBER(L397)),(IF(ISNUMBER(G398),G398,F398)-IF(ISNUMBER(G397),G397,F397))=0),"",(L398-L397)/(IF(ISNUMBER(G398),G398,F398)-IF(ISNUMBER(G397),G397,F397)))</f>
        <v/>
      </c>
      <c r="W398" s="30">
        <f>IF(NOT(AND(ISNUMBER(N398),ISNUMBER(P398))),"",(P398-N398)*1440)</f>
        <v/>
      </c>
      <c r="X398" s="28" t="n"/>
      <c r="Y398" s="28" t="n"/>
      <c r="Z398" s="28" t="n"/>
      <c r="AA398" s="31" t="n"/>
      <c r="AB398" s="31" t="n"/>
    </row>
    <row r="399">
      <c r="A399" s="25" t="inlineStr">
        <is>
          <t>S08</t>
        </is>
      </c>
      <c r="B399" s="25" t="inlineStr">
        <is>
          <t>청일 신규점2</t>
        </is>
      </c>
      <c r="C399" s="25" t="inlineStr">
        <is>
          <t>S08-H남</t>
        </is>
      </c>
      <c r="D399" s="25" t="inlineStr">
        <is>
          <t>측정</t>
        </is>
      </c>
      <c r="E399" s="25" t="inlineStr">
        <is>
          <t>남</t>
        </is>
      </c>
      <c r="F399" s="30" t="n">
        <v>3</v>
      </c>
      <c r="G399" s="29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IF(COUNTIFS($C:$C,$C399,$D:$D,"P0(전)",$L:$L,"&gt;0")&lt;&gt;1,"P0(전) 유효 1개 아님",IF(COUNTIFS($C:$C,$C399,$D:$D,"P0(후)",$L:$L,"&gt;0")&lt;&gt;1,"P0(후) 유효 1개 아님",IF(NOT(AND(ISNUMBER(N399),ISNUMBER(P399),ISNUMBER(H399))),"시각 결측",IF(P399&lt;=N399,"P0 시각 역전",IF(OR(H399&lt;N399,H399&gt;P399),"측정시각 구간 밖","OK")))))</f>
        <v/>
      </c>
      <c r="N399" s="45">
        <f>IF(COUNTIFS($C:$C,$C399,$D:$D,"P0(전)",$L:$L,"&gt;0")&lt;&gt;1,"",SUMIFS($H:$H,$C:$C,$C399,$D:$D,"P0(전)"))</f>
        <v/>
      </c>
      <c r="O399" s="30">
        <f>IF(COUNTIFS($C:$C,$C399,$D:$D,"P0(전)",$L:$L,"&gt;0")&lt;&gt;1,"",SUMIFS($L:$L,$C:$C,$C399,$D:$D,"P0(전)"))</f>
        <v/>
      </c>
      <c r="P399" s="45">
        <f>IF(COUNTIFS($C:$C,$C399,$D:$D,"P0(후)",$L:$L,"&gt;0")&lt;&gt;1,"",SUMIFS($H:$H,$C:$C,$C399,$D:$D,"P0(후)"))</f>
        <v/>
      </c>
      <c r="Q399" s="30">
        <f>IF(COUNTIFS($C:$C,$C399,$D:$D,"P0(후)",$L:$L,"&gt;0")&lt;&gt;1,"",SUMIFS($L:$L,$C:$C,$C399,$D:$D,"P0(후)"))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IF(OR(NOT(ISNUMBER(S399)),IF(ISNUMBER(G399),G399,F399)=0),"",S399/IF(ISNUMBER(G399),G399,F399))</f>
        <v/>
      </c>
      <c r="U399" s="46">
        <f>IF(ISNUMBER(T399),ABS(T399),"")</f>
        <v/>
      </c>
      <c r="V399" s="46">
        <f>IF(OR($D398&lt;&gt;"측정",$C398&lt;&gt;$C399,NOT(ISNUMBER(L399)),NOT(ISNUMBER(L398)),(IF(ISNUMBER(G399),G399,F399)-IF(ISNUMBER(G398),G398,F398))=0),"",(L399-L398)/(IF(ISNUMBER(G399),G399,F399)-IF(ISNUMBER(G398),G398,F398)))</f>
        <v/>
      </c>
      <c r="W399" s="30">
        <f>IF(NOT(AND(ISNUMBER(N399),ISNUMBER(P399))),"",(P399-N399)*1440)</f>
        <v/>
      </c>
      <c r="X399" s="28" t="n"/>
      <c r="Y399" s="28" t="n"/>
      <c r="Z399" s="28" t="n"/>
      <c r="AA399" s="31" t="n"/>
      <c r="AB399" s="31" t="n"/>
    </row>
    <row r="400">
      <c r="A400" s="25" t="inlineStr">
        <is>
          <t>S08</t>
        </is>
      </c>
      <c r="B400" s="25" t="inlineStr">
        <is>
          <t>청일 신규점2</t>
        </is>
      </c>
      <c r="C400" s="25" t="inlineStr">
        <is>
          <t>S08-H남</t>
        </is>
      </c>
      <c r="D400" s="25" t="inlineStr">
        <is>
          <t>측정</t>
        </is>
      </c>
      <c r="E400" s="25" t="inlineStr">
        <is>
          <t>남</t>
        </is>
      </c>
      <c r="F400" s="30" t="n">
        <v>4</v>
      </c>
      <c r="G400" s="29" t="n"/>
      <c r="H400" s="42" t="n"/>
      <c r="I400" s="40" t="n"/>
      <c r="J400" s="40" t="n"/>
      <c r="K400" s="40" t="n"/>
      <c r="L400" s="30">
        <f>IF(COUNT(I400:K400)=0,"",MEDIAN(I400:K400))</f>
        <v/>
      </c>
      <c r="M400" s="25">
        <f>IF(COUNTIFS($C:$C,$C400,$D:$D,"P0(전)",$L:$L,"&gt;0")&lt;&gt;1,"P0(전) 유효 1개 아님",IF(COUNTIFS($C:$C,$C400,$D:$D,"P0(후)",$L:$L,"&gt;0")&lt;&gt;1,"P0(후) 유효 1개 아님",IF(NOT(AND(ISNUMBER(N400),ISNUMBER(P400),ISNUMBER(H400))),"시각 결측",IF(P400&lt;=N400,"P0 시각 역전",IF(OR(H400&lt;N400,H400&gt;P400),"측정시각 구간 밖","OK")))))</f>
        <v/>
      </c>
      <c r="N400" s="45">
        <f>IF(COUNTIFS($C:$C,$C400,$D:$D,"P0(전)",$L:$L,"&gt;0")&lt;&gt;1,"",SUMIFS($H:$H,$C:$C,$C400,$D:$D,"P0(전)"))</f>
        <v/>
      </c>
      <c r="O400" s="30">
        <f>IF(COUNTIFS($C:$C,$C400,$D:$D,"P0(전)",$L:$L,"&gt;0")&lt;&gt;1,"",SUMIFS($L:$L,$C:$C,$C400,$D:$D,"P0(전)"))</f>
        <v/>
      </c>
      <c r="P400" s="45">
        <f>IF(COUNTIFS($C:$C,$C400,$D:$D,"P0(후)",$L:$L,"&gt;0")&lt;&gt;1,"",SUMIFS($H:$H,$C:$C,$C400,$D:$D,"P0(후)"))</f>
        <v/>
      </c>
      <c r="Q400" s="30">
        <f>IF(COUNTIFS($C:$C,$C400,$D:$D,"P0(후)",$L:$L,"&gt;0")&lt;&gt;1,"",SUMIFS($L:$L,$C:$C,$C400,$D:$D,"P0(후)"))</f>
        <v/>
      </c>
      <c r="R400" s="30">
        <f>IF(M400&lt;&gt;"OK","",O400+(Q400-O400)*(H400-N400)/(P400-N400))</f>
        <v/>
      </c>
      <c r="S400" s="30">
        <f>IF(OR(M400&lt;&gt;"OK",NOT(ISNUMBER(L400))),"",L400-R400)</f>
        <v/>
      </c>
      <c r="T400" s="46">
        <f>IF(OR(NOT(ISNUMBER(S400)),IF(ISNUMBER(G400),G400,F400)=0),"",S400/IF(ISNUMBER(G400),G400,F400))</f>
        <v/>
      </c>
      <c r="U400" s="46">
        <f>IF(ISNUMBER(T400),ABS(T400),"")</f>
        <v/>
      </c>
      <c r="V400" s="46">
        <f>IF(OR($D399&lt;&gt;"측정",$C399&lt;&gt;$C400,NOT(ISNUMBER(L400)),NOT(ISNUMBER(L399)),(IF(ISNUMBER(G400),G400,F400)-IF(ISNUMBER(G399),G399,F399))=0),"",(L400-L399)/(IF(ISNUMBER(G400),G400,F400)-IF(ISNUMBER(G399),G399,F399)))</f>
        <v/>
      </c>
      <c r="W400" s="30">
        <f>IF(NOT(AND(ISNUMBER(N400),ISNUMBER(P400))),"",(P400-N400)*1440)</f>
        <v/>
      </c>
      <c r="X400" s="28" t="n"/>
      <c r="Y400" s="28" t="n"/>
      <c r="Z400" s="28" t="n"/>
      <c r="AA400" s="31" t="n"/>
      <c r="AB400" s="31" t="n"/>
    </row>
    <row r="401">
      <c r="A401" s="25" t="inlineStr">
        <is>
          <t>S08</t>
        </is>
      </c>
      <c r="B401" s="25" t="inlineStr">
        <is>
          <t>청일 신규점2</t>
        </is>
      </c>
      <c r="C401" s="25" t="inlineStr">
        <is>
          <t>S08-H남</t>
        </is>
      </c>
      <c r="D401" s="25" t="inlineStr">
        <is>
          <t>측정</t>
        </is>
      </c>
      <c r="E401" s="25" t="inlineStr">
        <is>
          <t>남</t>
        </is>
      </c>
      <c r="F401" s="30" t="n">
        <v>5</v>
      </c>
      <c r="G401" s="29" t="n"/>
      <c r="H401" s="42" t="n"/>
      <c r="I401" s="40" t="n"/>
      <c r="J401" s="40" t="n"/>
      <c r="K401" s="40" t="n"/>
      <c r="L401" s="30">
        <f>IF(COUNT(I401:K401)=0,"",MEDIAN(I401:K401))</f>
        <v/>
      </c>
      <c r="M401" s="25">
        <f>IF(COUNTIFS($C:$C,$C401,$D:$D,"P0(전)",$L:$L,"&gt;0")&lt;&gt;1,"P0(전) 유효 1개 아님",IF(COUNTIFS($C:$C,$C401,$D:$D,"P0(후)",$L:$L,"&gt;0")&lt;&gt;1,"P0(후) 유효 1개 아님",IF(NOT(AND(ISNUMBER(N401),ISNUMBER(P401),ISNUMBER(H401))),"시각 결측",IF(P401&lt;=N401,"P0 시각 역전",IF(OR(H401&lt;N401,H401&gt;P401),"측정시각 구간 밖","OK")))))</f>
        <v/>
      </c>
      <c r="N401" s="45">
        <f>IF(COUNTIFS($C:$C,$C401,$D:$D,"P0(전)",$L:$L,"&gt;0")&lt;&gt;1,"",SUMIFS($H:$H,$C:$C,$C401,$D:$D,"P0(전)"))</f>
        <v/>
      </c>
      <c r="O401" s="30">
        <f>IF(COUNTIFS($C:$C,$C401,$D:$D,"P0(전)",$L:$L,"&gt;0")&lt;&gt;1,"",SUMIFS($L:$L,$C:$C,$C401,$D:$D,"P0(전)"))</f>
        <v/>
      </c>
      <c r="P401" s="45">
        <f>IF(COUNTIFS($C:$C,$C401,$D:$D,"P0(후)",$L:$L,"&gt;0")&lt;&gt;1,"",SUMIFS($H:$H,$C:$C,$C401,$D:$D,"P0(후)"))</f>
        <v/>
      </c>
      <c r="Q401" s="30">
        <f>IF(COUNTIFS($C:$C,$C401,$D:$D,"P0(후)",$L:$L,"&gt;0")&lt;&gt;1,"",SUMIFS($L:$L,$C:$C,$C401,$D:$D,"P0(후)"))</f>
        <v/>
      </c>
      <c r="R401" s="30">
        <f>IF(M401&lt;&gt;"OK","",O401+(Q401-O401)*(H401-N401)/(P401-N401))</f>
        <v/>
      </c>
      <c r="S401" s="30">
        <f>IF(OR(M401&lt;&gt;"OK",NOT(ISNUMBER(L401))),"",L401-R401)</f>
        <v/>
      </c>
      <c r="T401" s="46">
        <f>IF(OR(NOT(ISNUMBER(S401)),IF(ISNUMBER(G401),G401,F401)=0),"",S401/IF(ISNUMBER(G401),G401,F401))</f>
        <v/>
      </c>
      <c r="U401" s="46">
        <f>IF(ISNUMBER(T401),ABS(T401),"")</f>
        <v/>
      </c>
      <c r="V401" s="46">
        <f>IF(OR($D400&lt;&gt;"측정",$C400&lt;&gt;$C401,NOT(ISNUMBER(L401)),NOT(ISNUMBER(L400)),(IF(ISNUMBER(G401),G401,F401)-IF(ISNUMBER(G400),G400,F400))=0),"",(L401-L400)/(IF(ISNUMBER(G401),G401,F401)-IF(ISNUMBER(G400),G400,F400)))</f>
        <v/>
      </c>
      <c r="W401" s="30">
        <f>IF(NOT(AND(ISNUMBER(N401),ISNUMBER(P401))),"",(P401-N401)*1440)</f>
        <v/>
      </c>
      <c r="X401" s="28" t="n"/>
      <c r="Y401" s="28" t="n"/>
      <c r="Z401" s="28" t="n"/>
      <c r="AA401" s="31" t="n"/>
      <c r="AB401" s="31" t="n"/>
    </row>
    <row r="402">
      <c r="A402" s="25" t="inlineStr">
        <is>
          <t>S08</t>
        </is>
      </c>
      <c r="B402" s="25" t="inlineStr">
        <is>
          <t>청일 신규점2</t>
        </is>
      </c>
      <c r="C402" s="25" t="inlineStr">
        <is>
          <t>S08-H남</t>
        </is>
      </c>
      <c r="D402" s="25" t="inlineStr">
        <is>
          <t>측정</t>
        </is>
      </c>
      <c r="E402" s="25" t="inlineStr">
        <is>
          <t>남</t>
        </is>
      </c>
      <c r="F402" s="30" t="n">
        <v>6</v>
      </c>
      <c r="G402" s="29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IF(COUNTIFS($C:$C,$C402,$D:$D,"P0(전)",$L:$L,"&gt;0")&lt;&gt;1,"P0(전) 유효 1개 아님",IF(COUNTIFS($C:$C,$C402,$D:$D,"P0(후)",$L:$L,"&gt;0")&lt;&gt;1,"P0(후) 유효 1개 아님",IF(NOT(AND(ISNUMBER(N402),ISNUMBER(P402),ISNUMBER(H402))),"시각 결측",IF(P402&lt;=N402,"P0 시각 역전",IF(OR(H402&lt;N402,H402&gt;P402),"측정시각 구간 밖","OK")))))</f>
        <v/>
      </c>
      <c r="N402" s="45">
        <f>IF(COUNTIFS($C:$C,$C402,$D:$D,"P0(전)",$L:$L,"&gt;0")&lt;&gt;1,"",SUMIFS($H:$H,$C:$C,$C402,$D:$D,"P0(전)"))</f>
        <v/>
      </c>
      <c r="O402" s="30">
        <f>IF(COUNTIFS($C:$C,$C402,$D:$D,"P0(전)",$L:$L,"&gt;0")&lt;&gt;1,"",SUMIFS($L:$L,$C:$C,$C402,$D:$D,"P0(전)"))</f>
        <v/>
      </c>
      <c r="P402" s="45">
        <f>IF(COUNTIFS($C:$C,$C402,$D:$D,"P0(후)",$L:$L,"&gt;0")&lt;&gt;1,"",SUMIFS($H:$H,$C:$C,$C402,$D:$D,"P0(후)"))</f>
        <v/>
      </c>
      <c r="Q402" s="30">
        <f>IF(COUNTIFS($C:$C,$C402,$D:$D,"P0(후)",$L:$L,"&gt;0")&lt;&gt;1,"",SUMIFS($L:$L,$C:$C,$C402,$D:$D,"P0(후)"))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IF(OR(NOT(ISNUMBER(S402)),IF(ISNUMBER(G402),G402,F402)=0),"",S402/IF(ISNUMBER(G402),G402,F402))</f>
        <v/>
      </c>
      <c r="U402" s="46">
        <f>IF(ISNUMBER(T402),ABS(T402),"")</f>
        <v/>
      </c>
      <c r="V402" s="46">
        <f>IF(OR($D401&lt;&gt;"측정",$C401&lt;&gt;$C402,NOT(ISNUMBER(L402)),NOT(ISNUMBER(L401)),(IF(ISNUMBER(G402),G402,F402)-IF(ISNUMBER(G401),G401,F401))=0),"",(L402-L401)/(IF(ISNUMBER(G402),G402,F402)-IF(ISNUMBER(G401),G401,F401)))</f>
        <v/>
      </c>
      <c r="W402" s="30">
        <f>IF(NOT(AND(ISNUMBER(N402),ISNUMBER(P402))),"",(P402-N402)*1440)</f>
        <v/>
      </c>
      <c r="X402" s="28" t="n"/>
      <c r="Y402" s="28" t="n"/>
      <c r="Z402" s="28" t="n"/>
      <c r="AA402" s="31" t="n"/>
      <c r="AB402" s="31" t="n"/>
    </row>
    <row r="403">
      <c r="A403" s="25" t="inlineStr">
        <is>
          <t>S08</t>
        </is>
      </c>
      <c r="B403" s="25" t="inlineStr">
        <is>
          <t>청일 신규점2</t>
        </is>
      </c>
      <c r="C403" s="25" t="inlineStr">
        <is>
          <t>S08-H남</t>
        </is>
      </c>
      <c r="D403" s="25" t="inlineStr">
        <is>
          <t>측정</t>
        </is>
      </c>
      <c r="E403" s="25" t="inlineStr">
        <is>
          <t>남</t>
        </is>
      </c>
      <c r="F403" s="30" t="n">
        <v>7</v>
      </c>
      <c r="G403" s="29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IF(COUNTIFS($C:$C,$C403,$D:$D,"P0(전)",$L:$L,"&gt;0")&lt;&gt;1,"P0(전) 유효 1개 아님",IF(COUNTIFS($C:$C,$C403,$D:$D,"P0(후)",$L:$L,"&gt;0")&lt;&gt;1,"P0(후) 유효 1개 아님",IF(NOT(AND(ISNUMBER(N403),ISNUMBER(P403),ISNUMBER(H403))),"시각 결측",IF(P403&lt;=N403,"P0 시각 역전",IF(OR(H403&lt;N403,H403&gt;P403),"측정시각 구간 밖","OK")))))</f>
        <v/>
      </c>
      <c r="N403" s="45">
        <f>IF(COUNTIFS($C:$C,$C403,$D:$D,"P0(전)",$L:$L,"&gt;0")&lt;&gt;1,"",SUMIFS($H:$H,$C:$C,$C403,$D:$D,"P0(전)"))</f>
        <v/>
      </c>
      <c r="O403" s="30">
        <f>IF(COUNTIFS($C:$C,$C403,$D:$D,"P0(전)",$L:$L,"&gt;0")&lt;&gt;1,"",SUMIFS($L:$L,$C:$C,$C403,$D:$D,"P0(전)"))</f>
        <v/>
      </c>
      <c r="P403" s="45">
        <f>IF(COUNTIFS($C:$C,$C403,$D:$D,"P0(후)",$L:$L,"&gt;0")&lt;&gt;1,"",SUMIFS($H:$H,$C:$C,$C403,$D:$D,"P0(후)"))</f>
        <v/>
      </c>
      <c r="Q403" s="30">
        <f>IF(COUNTIFS($C:$C,$C403,$D:$D,"P0(후)",$L:$L,"&gt;0")&lt;&gt;1,"",SUMIFS($L:$L,$C:$C,$C403,$D:$D,"P0(후)"))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IF(OR(NOT(ISNUMBER(S403)),IF(ISNUMBER(G403),G403,F403)=0),"",S403/IF(ISNUMBER(G403),G403,F403))</f>
        <v/>
      </c>
      <c r="U403" s="46">
        <f>IF(ISNUMBER(T403),ABS(T403),"")</f>
        <v/>
      </c>
      <c r="V403" s="46">
        <f>IF(OR($D402&lt;&gt;"측정",$C402&lt;&gt;$C403,NOT(ISNUMBER(L403)),NOT(ISNUMBER(L402)),(IF(ISNUMBER(G403),G403,F403)-IF(ISNUMBER(G402),G402,F402))=0),"",(L403-L402)/(IF(ISNUMBER(G403),G403,F403)-IF(ISNUMBER(G402),G402,F402)))</f>
        <v/>
      </c>
      <c r="W403" s="30">
        <f>IF(NOT(AND(ISNUMBER(N403),ISNUMBER(P403))),"",(P403-N403)*1440)</f>
        <v/>
      </c>
      <c r="X403" s="28" t="n"/>
      <c r="Y403" s="28" t="n"/>
      <c r="Z403" s="28" t="n"/>
      <c r="AA403" s="31" t="n"/>
      <c r="AB403" s="31" t="n"/>
    </row>
    <row r="404">
      <c r="A404" s="25" t="inlineStr">
        <is>
          <t>S08</t>
        </is>
      </c>
      <c r="B404" s="25" t="inlineStr">
        <is>
          <t>청일 신규점2</t>
        </is>
      </c>
      <c r="C404" s="25" t="inlineStr">
        <is>
          <t>S08-H남</t>
        </is>
      </c>
      <c r="D404" s="25" t="inlineStr">
        <is>
          <t>측정</t>
        </is>
      </c>
      <c r="E404" s="25" t="inlineStr">
        <is>
          <t>남</t>
        </is>
      </c>
      <c r="F404" s="30" t="n">
        <v>8</v>
      </c>
      <c r="G404" s="29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IF(COUNTIFS($C:$C,$C404,$D:$D,"P0(전)",$L:$L,"&gt;0")&lt;&gt;1,"P0(전) 유효 1개 아님",IF(COUNTIFS($C:$C,$C404,$D:$D,"P0(후)",$L:$L,"&gt;0")&lt;&gt;1,"P0(후) 유효 1개 아님",IF(NOT(AND(ISNUMBER(N404),ISNUMBER(P404),ISNUMBER(H404))),"시각 결측",IF(P404&lt;=N404,"P0 시각 역전",IF(OR(H404&lt;N404,H404&gt;P404),"측정시각 구간 밖","OK")))))</f>
        <v/>
      </c>
      <c r="N404" s="45">
        <f>IF(COUNTIFS($C:$C,$C404,$D:$D,"P0(전)",$L:$L,"&gt;0")&lt;&gt;1,"",SUMIFS($H:$H,$C:$C,$C404,$D:$D,"P0(전)"))</f>
        <v/>
      </c>
      <c r="O404" s="30">
        <f>IF(COUNTIFS($C:$C,$C404,$D:$D,"P0(전)",$L:$L,"&gt;0")&lt;&gt;1,"",SUMIFS($L:$L,$C:$C,$C404,$D:$D,"P0(전)"))</f>
        <v/>
      </c>
      <c r="P404" s="45">
        <f>IF(COUNTIFS($C:$C,$C404,$D:$D,"P0(후)",$L:$L,"&gt;0")&lt;&gt;1,"",SUMIFS($H:$H,$C:$C,$C404,$D:$D,"P0(후)"))</f>
        <v/>
      </c>
      <c r="Q404" s="30">
        <f>IF(COUNTIFS($C:$C,$C404,$D:$D,"P0(후)",$L:$L,"&gt;0")&lt;&gt;1,"",SUMIFS($L:$L,$C:$C,$C404,$D:$D,"P0(후)"))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IF(OR(NOT(ISNUMBER(S404)),IF(ISNUMBER(G404),G404,F404)=0),"",S404/IF(ISNUMBER(G404),G404,F404))</f>
        <v/>
      </c>
      <c r="U404" s="46">
        <f>IF(ISNUMBER(T404),ABS(T404),"")</f>
        <v/>
      </c>
      <c r="V404" s="46">
        <f>IF(OR($D403&lt;&gt;"측정",$C403&lt;&gt;$C404,NOT(ISNUMBER(L404)),NOT(ISNUMBER(L403)),(IF(ISNUMBER(G404),G404,F404)-IF(ISNUMBER(G403),G403,F403))=0),"",(L404-L403)/(IF(ISNUMBER(G404),G404,F404)-IF(ISNUMBER(G403),G403,F403)))</f>
        <v/>
      </c>
      <c r="W404" s="30">
        <f>IF(NOT(AND(ISNUMBER(N404),ISNUMBER(P404))),"",(P404-N404)*1440)</f>
        <v/>
      </c>
      <c r="X404" s="28" t="n"/>
      <c r="Y404" s="28" t="n"/>
      <c r="Z404" s="28" t="n"/>
      <c r="AA404" s="31" t="n"/>
      <c r="AB404" s="31" t="n"/>
    </row>
    <row r="405">
      <c r="A405" s="25" t="inlineStr">
        <is>
          <t>S08</t>
        </is>
      </c>
      <c r="B405" s="25" t="inlineStr">
        <is>
          <t>청일 신규점2</t>
        </is>
      </c>
      <c r="C405" s="25" t="inlineStr">
        <is>
          <t>S08-H남</t>
        </is>
      </c>
      <c r="D405" s="25" t="inlineStr">
        <is>
          <t>측정</t>
        </is>
      </c>
      <c r="E405" s="25" t="inlineStr">
        <is>
          <t>남</t>
        </is>
      </c>
      <c r="F405" s="30" t="n">
        <v>9</v>
      </c>
      <c r="G405" s="29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IF(COUNTIFS($C:$C,$C405,$D:$D,"P0(전)",$L:$L,"&gt;0")&lt;&gt;1,"P0(전) 유효 1개 아님",IF(COUNTIFS($C:$C,$C405,$D:$D,"P0(후)",$L:$L,"&gt;0")&lt;&gt;1,"P0(후) 유효 1개 아님",IF(NOT(AND(ISNUMBER(N405),ISNUMBER(P405),ISNUMBER(H405))),"시각 결측",IF(P405&lt;=N405,"P0 시각 역전",IF(OR(H405&lt;N405,H405&gt;P405),"측정시각 구간 밖","OK")))))</f>
        <v/>
      </c>
      <c r="N405" s="45">
        <f>IF(COUNTIFS($C:$C,$C405,$D:$D,"P0(전)",$L:$L,"&gt;0")&lt;&gt;1,"",SUMIFS($H:$H,$C:$C,$C405,$D:$D,"P0(전)"))</f>
        <v/>
      </c>
      <c r="O405" s="30">
        <f>IF(COUNTIFS($C:$C,$C405,$D:$D,"P0(전)",$L:$L,"&gt;0")&lt;&gt;1,"",SUMIFS($L:$L,$C:$C,$C405,$D:$D,"P0(전)"))</f>
        <v/>
      </c>
      <c r="P405" s="45">
        <f>IF(COUNTIFS($C:$C,$C405,$D:$D,"P0(후)",$L:$L,"&gt;0")&lt;&gt;1,"",SUMIFS($H:$H,$C:$C,$C405,$D:$D,"P0(후)"))</f>
        <v/>
      </c>
      <c r="Q405" s="30">
        <f>IF(COUNTIFS($C:$C,$C405,$D:$D,"P0(후)",$L:$L,"&gt;0")&lt;&gt;1,"",SUMIFS($L:$L,$C:$C,$C405,$D:$D,"P0(후)"))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IF(OR(NOT(ISNUMBER(S405)),IF(ISNUMBER(G405),G405,F405)=0),"",S405/IF(ISNUMBER(G405),G405,F405))</f>
        <v/>
      </c>
      <c r="U405" s="46">
        <f>IF(ISNUMBER(T405),ABS(T405),"")</f>
        <v/>
      </c>
      <c r="V405" s="46">
        <f>IF(OR($D404&lt;&gt;"측정",$C404&lt;&gt;$C405,NOT(ISNUMBER(L405)),NOT(ISNUMBER(L404)),(IF(ISNUMBER(G405),G405,F405)-IF(ISNUMBER(G404),G404,F404))=0),"",(L405-L404)/(IF(ISNUMBER(G405),G405,F405)-IF(ISNUMBER(G404),G404,F404)))</f>
        <v/>
      </c>
      <c r="W405" s="30">
        <f>IF(NOT(AND(ISNUMBER(N405),ISNUMBER(P405))),"",(P405-N405)*1440)</f>
        <v/>
      </c>
      <c r="X405" s="28" t="n"/>
      <c r="Y405" s="28" t="n"/>
      <c r="Z405" s="28" t="n"/>
      <c r="AA405" s="31" t="n"/>
      <c r="AB405" s="31" t="n"/>
    </row>
    <row r="406">
      <c r="A406" s="25" t="inlineStr">
        <is>
          <t>S08</t>
        </is>
      </c>
      <c r="B406" s="25" t="inlineStr">
        <is>
          <t>청일 신규점2</t>
        </is>
      </c>
      <c r="C406" s="25" t="inlineStr">
        <is>
          <t>S08-H남</t>
        </is>
      </c>
      <c r="D406" s="25" t="inlineStr">
        <is>
          <t>측정</t>
        </is>
      </c>
      <c r="E406" s="25" t="inlineStr">
        <is>
          <t>남</t>
        </is>
      </c>
      <c r="F406" s="30" t="n">
        <v>10</v>
      </c>
      <c r="G406" s="29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IF(COUNTIFS($C:$C,$C406,$D:$D,"P0(전)",$L:$L,"&gt;0")&lt;&gt;1,"P0(전) 유효 1개 아님",IF(COUNTIFS($C:$C,$C406,$D:$D,"P0(후)",$L:$L,"&gt;0")&lt;&gt;1,"P0(후) 유효 1개 아님",IF(NOT(AND(ISNUMBER(N406),ISNUMBER(P406),ISNUMBER(H406))),"시각 결측",IF(P406&lt;=N406,"P0 시각 역전",IF(OR(H406&lt;N406,H406&gt;P406),"측정시각 구간 밖","OK")))))</f>
        <v/>
      </c>
      <c r="N406" s="45">
        <f>IF(COUNTIFS($C:$C,$C406,$D:$D,"P0(전)",$L:$L,"&gt;0")&lt;&gt;1,"",SUMIFS($H:$H,$C:$C,$C406,$D:$D,"P0(전)"))</f>
        <v/>
      </c>
      <c r="O406" s="30">
        <f>IF(COUNTIFS($C:$C,$C406,$D:$D,"P0(전)",$L:$L,"&gt;0")&lt;&gt;1,"",SUMIFS($L:$L,$C:$C,$C406,$D:$D,"P0(전)"))</f>
        <v/>
      </c>
      <c r="P406" s="45">
        <f>IF(COUNTIFS($C:$C,$C406,$D:$D,"P0(후)",$L:$L,"&gt;0")&lt;&gt;1,"",SUMIFS($H:$H,$C:$C,$C406,$D:$D,"P0(후)"))</f>
        <v/>
      </c>
      <c r="Q406" s="30">
        <f>IF(COUNTIFS($C:$C,$C406,$D:$D,"P0(후)",$L:$L,"&gt;0")&lt;&gt;1,"",SUMIFS($L:$L,$C:$C,$C406,$D:$D,"P0(후)"))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IF(OR(NOT(ISNUMBER(S406)),IF(ISNUMBER(G406),G406,F406)=0),"",S406/IF(ISNUMBER(G406),G406,F406))</f>
        <v/>
      </c>
      <c r="U406" s="46">
        <f>IF(ISNUMBER(T406),ABS(T406),"")</f>
        <v/>
      </c>
      <c r="V406" s="46">
        <f>IF(OR($D405&lt;&gt;"측정",$C405&lt;&gt;$C406,NOT(ISNUMBER(L406)),NOT(ISNUMBER(L405)),(IF(ISNUMBER(G406),G406,F406)-IF(ISNUMBER(G405),G405,F405))=0),"",(L406-L405)/(IF(ISNUMBER(G406),G406,F406)-IF(ISNUMBER(G405),G405,F405)))</f>
        <v/>
      </c>
      <c r="W406" s="30">
        <f>IF(NOT(AND(ISNUMBER(N406),ISNUMBER(P406))),"",(P406-N406)*1440)</f>
        <v/>
      </c>
      <c r="X406" s="28" t="n"/>
      <c r="Y406" s="28" t="n"/>
      <c r="Z406" s="28" t="n"/>
      <c r="AA406" s="31" t="n"/>
      <c r="AB406" s="31" t="n"/>
    </row>
    <row r="407">
      <c r="A407" s="43" t="inlineStr">
        <is>
          <t>S08</t>
        </is>
      </c>
      <c r="B407" s="43" t="inlineStr">
        <is>
          <t>청일 신규점2</t>
        </is>
      </c>
      <c r="C407" s="43" t="inlineStr">
        <is>
          <t>S08-H남</t>
        </is>
      </c>
      <c r="D407" s="43" t="inlineStr">
        <is>
          <t>P0(후)</t>
        </is>
      </c>
      <c r="E407" s="43" t="inlineStr">
        <is>
          <t>남</t>
        </is>
      </c>
      <c r="F407" s="44" t="n"/>
      <c r="G407" s="29" t="n"/>
      <c r="H407" s="42" t="n"/>
      <c r="I407" s="40" t="n"/>
      <c r="J407" s="40" t="n"/>
      <c r="K407" s="40" t="n"/>
      <c r="L407" s="30">
        <f>IF(COUNT(I407:K407)=0,"",MEDIAN(I407:K407))</f>
        <v/>
      </c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28" t="n"/>
      <c r="Y407" s="28" t="n"/>
      <c r="Z407" s="28" t="n"/>
      <c r="AA407" s="31" t="n"/>
      <c r="AB407" s="31" t="n"/>
    </row>
    <row r="408">
      <c r="A408" s="43" t="inlineStr">
        <is>
          <t>S08</t>
        </is>
      </c>
      <c r="B408" s="43" t="inlineStr">
        <is>
          <t>청일 신규점2</t>
        </is>
      </c>
      <c r="C408" s="43" t="inlineStr">
        <is>
          <t>S08-H북</t>
        </is>
      </c>
      <c r="D408" s="43" t="inlineStr">
        <is>
          <t>P0(전)</t>
        </is>
      </c>
      <c r="E408" s="43" t="inlineStr">
        <is>
          <t>북</t>
        </is>
      </c>
      <c r="F408" s="44" t="n"/>
      <c r="G408" s="29" t="n"/>
      <c r="H408" s="42" t="n"/>
      <c r="I408" s="40" t="n"/>
      <c r="J408" s="40" t="n"/>
      <c r="K408" s="40" t="n"/>
      <c r="L408" s="30">
        <f>IF(COUNT(I408:K408)=0,"",MEDIAN(I408:K408))</f>
        <v/>
      </c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28" t="n"/>
      <c r="Y408" s="28" t="n"/>
      <c r="Z408" s="28" t="n"/>
      <c r="AA408" s="31" t="n"/>
      <c r="AB408" s="31" t="n"/>
    </row>
    <row r="409">
      <c r="A409" s="25" t="inlineStr">
        <is>
          <t>S08</t>
        </is>
      </c>
      <c r="B409" s="25" t="inlineStr">
        <is>
          <t>청일 신규점2</t>
        </is>
      </c>
      <c r="C409" s="25" t="inlineStr">
        <is>
          <t>S08-H북</t>
        </is>
      </c>
      <c r="D409" s="25" t="inlineStr">
        <is>
          <t>측정</t>
        </is>
      </c>
      <c r="E409" s="25" t="inlineStr">
        <is>
          <t>북</t>
        </is>
      </c>
      <c r="F409" s="30" t="n">
        <v>0.5</v>
      </c>
      <c r="G409" s="29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IF(COUNTIFS($C:$C,$C409,$D:$D,"P0(전)",$L:$L,"&gt;0")&lt;&gt;1,"P0(전) 유효 1개 아님",IF(COUNTIFS($C:$C,$C409,$D:$D,"P0(후)",$L:$L,"&gt;0")&lt;&gt;1,"P0(후) 유효 1개 아님",IF(NOT(AND(ISNUMBER(N409),ISNUMBER(P409),ISNUMBER(H409))),"시각 결측",IF(P409&lt;=N409,"P0 시각 역전",IF(OR(H409&lt;N409,H409&gt;P409),"측정시각 구간 밖","OK")))))</f>
        <v/>
      </c>
      <c r="N409" s="45">
        <f>IF(COUNTIFS($C:$C,$C409,$D:$D,"P0(전)",$L:$L,"&gt;0")&lt;&gt;1,"",SUMIFS($H:$H,$C:$C,$C409,$D:$D,"P0(전)"))</f>
        <v/>
      </c>
      <c r="O409" s="30">
        <f>IF(COUNTIFS($C:$C,$C409,$D:$D,"P0(전)",$L:$L,"&gt;0")&lt;&gt;1,"",SUMIFS($L:$L,$C:$C,$C409,$D:$D,"P0(전)"))</f>
        <v/>
      </c>
      <c r="P409" s="45">
        <f>IF(COUNTIFS($C:$C,$C409,$D:$D,"P0(후)",$L:$L,"&gt;0")&lt;&gt;1,"",SUMIFS($H:$H,$C:$C,$C409,$D:$D,"P0(후)"))</f>
        <v/>
      </c>
      <c r="Q409" s="30">
        <f>IF(COUNTIFS($C:$C,$C409,$D:$D,"P0(후)",$L:$L,"&gt;0")&lt;&gt;1,"",SUMIFS($L:$L,$C:$C,$C409,$D:$D,"P0(후)"))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IF(OR(NOT(ISNUMBER(S409)),IF(ISNUMBER(G409),G409,F409)=0),"",S409/IF(ISNUMBER(G409),G409,F409))</f>
        <v/>
      </c>
      <c r="U409" s="46">
        <f>IF(ISNUMBER(T409),ABS(T409),"")</f>
        <v/>
      </c>
      <c r="V409" s="46">
        <f>IF(OR($D408&lt;&gt;"측정",$C408&lt;&gt;$C409,NOT(ISNUMBER(L409)),NOT(ISNUMBER(L408)),(IF(ISNUMBER(G409),G409,F409)-IF(ISNUMBER(G408),G408,F408))=0),"",(L409-L408)/(IF(ISNUMBER(G409),G409,F409)-IF(ISNUMBER(G408),G408,F408)))</f>
        <v/>
      </c>
      <c r="W409" s="30">
        <f>IF(NOT(AND(ISNUMBER(N409),ISNUMBER(P409))),"",(P409-N409)*1440)</f>
        <v/>
      </c>
      <c r="X409" s="28" t="n"/>
      <c r="Y409" s="28" t="n"/>
      <c r="Z409" s="28" t="n"/>
      <c r="AA409" s="31" t="n"/>
      <c r="AB409" s="31" t="n"/>
    </row>
    <row r="410">
      <c r="A410" s="25" t="inlineStr">
        <is>
          <t>S08</t>
        </is>
      </c>
      <c r="B410" s="25" t="inlineStr">
        <is>
          <t>청일 신규점2</t>
        </is>
      </c>
      <c r="C410" s="25" t="inlineStr">
        <is>
          <t>S08-H북</t>
        </is>
      </c>
      <c r="D410" s="25" t="inlineStr">
        <is>
          <t>측정</t>
        </is>
      </c>
      <c r="E410" s="25" t="inlineStr">
        <is>
          <t>북</t>
        </is>
      </c>
      <c r="F410" s="30" t="n">
        <v>1</v>
      </c>
      <c r="G410" s="29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IF(COUNTIFS($C:$C,$C410,$D:$D,"P0(전)",$L:$L,"&gt;0")&lt;&gt;1,"P0(전) 유효 1개 아님",IF(COUNTIFS($C:$C,$C410,$D:$D,"P0(후)",$L:$L,"&gt;0")&lt;&gt;1,"P0(후) 유효 1개 아님",IF(NOT(AND(ISNUMBER(N410),ISNUMBER(P410),ISNUMBER(H410))),"시각 결측",IF(P410&lt;=N410,"P0 시각 역전",IF(OR(H410&lt;N410,H410&gt;P410),"측정시각 구간 밖","OK")))))</f>
        <v/>
      </c>
      <c r="N410" s="45">
        <f>IF(COUNTIFS($C:$C,$C410,$D:$D,"P0(전)",$L:$L,"&gt;0")&lt;&gt;1,"",SUMIFS($H:$H,$C:$C,$C410,$D:$D,"P0(전)"))</f>
        <v/>
      </c>
      <c r="O410" s="30">
        <f>IF(COUNTIFS($C:$C,$C410,$D:$D,"P0(전)",$L:$L,"&gt;0")&lt;&gt;1,"",SUMIFS($L:$L,$C:$C,$C410,$D:$D,"P0(전)"))</f>
        <v/>
      </c>
      <c r="P410" s="45">
        <f>IF(COUNTIFS($C:$C,$C410,$D:$D,"P0(후)",$L:$L,"&gt;0")&lt;&gt;1,"",SUMIFS($H:$H,$C:$C,$C410,$D:$D,"P0(후)"))</f>
        <v/>
      </c>
      <c r="Q410" s="30">
        <f>IF(COUNTIFS($C:$C,$C410,$D:$D,"P0(후)",$L:$L,"&gt;0")&lt;&gt;1,"",SUMIFS($L:$L,$C:$C,$C410,$D:$D,"P0(후)"))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IF(OR(NOT(ISNUMBER(S410)),IF(ISNUMBER(G410),G410,F410)=0),"",S410/IF(ISNUMBER(G410),G410,F410))</f>
        <v/>
      </c>
      <c r="U410" s="46">
        <f>IF(ISNUMBER(T410),ABS(T410),"")</f>
        <v/>
      </c>
      <c r="V410" s="46">
        <f>IF(OR($D409&lt;&gt;"측정",$C409&lt;&gt;$C410,NOT(ISNUMBER(L410)),NOT(ISNUMBER(L409)),(IF(ISNUMBER(G410),G410,F410)-IF(ISNUMBER(G409),G409,F409))=0),"",(L410-L409)/(IF(ISNUMBER(G410),G410,F410)-IF(ISNUMBER(G409),G409,F409)))</f>
        <v/>
      </c>
      <c r="W410" s="30">
        <f>IF(NOT(AND(ISNUMBER(N410),ISNUMBER(P410))),"",(P410-N410)*1440)</f>
        <v/>
      </c>
      <c r="X410" s="28" t="n"/>
      <c r="Y410" s="28" t="n"/>
      <c r="Z410" s="28" t="n"/>
      <c r="AA410" s="31" t="n"/>
      <c r="AB410" s="31" t="n"/>
    </row>
    <row r="411">
      <c r="A411" s="25" t="inlineStr">
        <is>
          <t>S08</t>
        </is>
      </c>
      <c r="B411" s="25" t="inlineStr">
        <is>
          <t>청일 신규점2</t>
        </is>
      </c>
      <c r="C411" s="25" t="inlineStr">
        <is>
          <t>S08-H북</t>
        </is>
      </c>
      <c r="D411" s="25" t="inlineStr">
        <is>
          <t>측정</t>
        </is>
      </c>
      <c r="E411" s="25" t="inlineStr">
        <is>
          <t>북</t>
        </is>
      </c>
      <c r="F411" s="30" t="n">
        <v>2</v>
      </c>
      <c r="G411" s="29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IF(COUNTIFS($C:$C,$C411,$D:$D,"P0(전)",$L:$L,"&gt;0")&lt;&gt;1,"P0(전) 유효 1개 아님",IF(COUNTIFS($C:$C,$C411,$D:$D,"P0(후)",$L:$L,"&gt;0")&lt;&gt;1,"P0(후) 유효 1개 아님",IF(NOT(AND(ISNUMBER(N411),ISNUMBER(P411),ISNUMBER(H411))),"시각 결측",IF(P411&lt;=N411,"P0 시각 역전",IF(OR(H411&lt;N411,H411&gt;P411),"측정시각 구간 밖","OK")))))</f>
        <v/>
      </c>
      <c r="N411" s="45">
        <f>IF(COUNTIFS($C:$C,$C411,$D:$D,"P0(전)",$L:$L,"&gt;0")&lt;&gt;1,"",SUMIFS($H:$H,$C:$C,$C411,$D:$D,"P0(전)"))</f>
        <v/>
      </c>
      <c r="O411" s="30">
        <f>IF(COUNTIFS($C:$C,$C411,$D:$D,"P0(전)",$L:$L,"&gt;0")&lt;&gt;1,"",SUMIFS($L:$L,$C:$C,$C411,$D:$D,"P0(전)"))</f>
        <v/>
      </c>
      <c r="P411" s="45">
        <f>IF(COUNTIFS($C:$C,$C411,$D:$D,"P0(후)",$L:$L,"&gt;0")&lt;&gt;1,"",SUMIFS($H:$H,$C:$C,$C411,$D:$D,"P0(후)"))</f>
        <v/>
      </c>
      <c r="Q411" s="30">
        <f>IF(COUNTIFS($C:$C,$C411,$D:$D,"P0(후)",$L:$L,"&gt;0")&lt;&gt;1,"",SUMIFS($L:$L,$C:$C,$C411,$D:$D,"P0(후)"))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IF(OR(NOT(ISNUMBER(S411)),IF(ISNUMBER(G411),G411,F411)=0),"",S411/IF(ISNUMBER(G411),G411,F411))</f>
        <v/>
      </c>
      <c r="U411" s="46">
        <f>IF(ISNUMBER(T411),ABS(T411),"")</f>
        <v/>
      </c>
      <c r="V411" s="46">
        <f>IF(OR($D410&lt;&gt;"측정",$C410&lt;&gt;$C411,NOT(ISNUMBER(L411)),NOT(ISNUMBER(L410)),(IF(ISNUMBER(G411),G411,F411)-IF(ISNUMBER(G410),G410,F410))=0),"",(L411-L410)/(IF(ISNUMBER(G411),G411,F411)-IF(ISNUMBER(G410),G410,F410)))</f>
        <v/>
      </c>
      <c r="W411" s="30">
        <f>IF(NOT(AND(ISNUMBER(N411),ISNUMBER(P411))),"",(P411-N411)*1440)</f>
        <v/>
      </c>
      <c r="X411" s="28" t="n"/>
      <c r="Y411" s="28" t="n"/>
      <c r="Z411" s="28" t="n"/>
      <c r="AA411" s="31" t="n"/>
      <c r="AB411" s="31" t="n"/>
    </row>
    <row r="412">
      <c r="A412" s="25" t="inlineStr">
        <is>
          <t>S08</t>
        </is>
      </c>
      <c r="B412" s="25" t="inlineStr">
        <is>
          <t>청일 신규점2</t>
        </is>
      </c>
      <c r="C412" s="25" t="inlineStr">
        <is>
          <t>S08-H북</t>
        </is>
      </c>
      <c r="D412" s="25" t="inlineStr">
        <is>
          <t>측정</t>
        </is>
      </c>
      <c r="E412" s="25" t="inlineStr">
        <is>
          <t>북</t>
        </is>
      </c>
      <c r="F412" s="30" t="n">
        <v>3</v>
      </c>
      <c r="G412" s="29" t="n"/>
      <c r="H412" s="42" t="n"/>
      <c r="I412" s="40" t="n"/>
      <c r="J412" s="40" t="n"/>
      <c r="K412" s="40" t="n"/>
      <c r="L412" s="30">
        <f>IF(COUNT(I412:K412)=0,"",MEDIAN(I412:K412))</f>
        <v/>
      </c>
      <c r="M412" s="25">
        <f>IF(COUNTIFS($C:$C,$C412,$D:$D,"P0(전)",$L:$L,"&gt;0")&lt;&gt;1,"P0(전) 유효 1개 아님",IF(COUNTIFS($C:$C,$C412,$D:$D,"P0(후)",$L:$L,"&gt;0")&lt;&gt;1,"P0(후) 유효 1개 아님",IF(NOT(AND(ISNUMBER(N412),ISNUMBER(P412),ISNUMBER(H412))),"시각 결측",IF(P412&lt;=N412,"P0 시각 역전",IF(OR(H412&lt;N412,H412&gt;P412),"측정시각 구간 밖","OK")))))</f>
        <v/>
      </c>
      <c r="N412" s="45">
        <f>IF(COUNTIFS($C:$C,$C412,$D:$D,"P0(전)",$L:$L,"&gt;0")&lt;&gt;1,"",SUMIFS($H:$H,$C:$C,$C412,$D:$D,"P0(전)"))</f>
        <v/>
      </c>
      <c r="O412" s="30">
        <f>IF(COUNTIFS($C:$C,$C412,$D:$D,"P0(전)",$L:$L,"&gt;0")&lt;&gt;1,"",SUMIFS($L:$L,$C:$C,$C412,$D:$D,"P0(전)"))</f>
        <v/>
      </c>
      <c r="P412" s="45">
        <f>IF(COUNTIFS($C:$C,$C412,$D:$D,"P0(후)",$L:$L,"&gt;0")&lt;&gt;1,"",SUMIFS($H:$H,$C:$C,$C412,$D:$D,"P0(후)"))</f>
        <v/>
      </c>
      <c r="Q412" s="30">
        <f>IF(COUNTIFS($C:$C,$C412,$D:$D,"P0(후)",$L:$L,"&gt;0")&lt;&gt;1,"",SUMIFS($L:$L,$C:$C,$C412,$D:$D,"P0(후)"))</f>
        <v/>
      </c>
      <c r="R412" s="30">
        <f>IF(M412&lt;&gt;"OK","",O412+(Q412-O412)*(H412-N412)/(P412-N412))</f>
        <v/>
      </c>
      <c r="S412" s="30">
        <f>IF(OR(M412&lt;&gt;"OK",NOT(ISNUMBER(L412))),"",L412-R412)</f>
        <v/>
      </c>
      <c r="T412" s="46">
        <f>IF(OR(NOT(ISNUMBER(S412)),IF(ISNUMBER(G412),G412,F412)=0),"",S412/IF(ISNUMBER(G412),G412,F412))</f>
        <v/>
      </c>
      <c r="U412" s="46">
        <f>IF(ISNUMBER(T412),ABS(T412),"")</f>
        <v/>
      </c>
      <c r="V412" s="46">
        <f>IF(OR($D411&lt;&gt;"측정",$C411&lt;&gt;$C412,NOT(ISNUMBER(L412)),NOT(ISNUMBER(L411)),(IF(ISNUMBER(G412),G412,F412)-IF(ISNUMBER(G411),G411,F411))=0),"",(L412-L411)/(IF(ISNUMBER(G412),G412,F412)-IF(ISNUMBER(G411),G411,F411)))</f>
        <v/>
      </c>
      <c r="W412" s="30">
        <f>IF(NOT(AND(ISNUMBER(N412),ISNUMBER(P412))),"",(P412-N412)*1440)</f>
        <v/>
      </c>
      <c r="X412" s="28" t="n"/>
      <c r="Y412" s="28" t="n"/>
      <c r="Z412" s="28" t="n"/>
      <c r="AA412" s="31" t="n"/>
      <c r="AB412" s="31" t="n"/>
    </row>
    <row r="413">
      <c r="A413" s="25" t="inlineStr">
        <is>
          <t>S08</t>
        </is>
      </c>
      <c r="B413" s="25" t="inlineStr">
        <is>
          <t>청일 신규점2</t>
        </is>
      </c>
      <c r="C413" s="25" t="inlineStr">
        <is>
          <t>S08-H북</t>
        </is>
      </c>
      <c r="D413" s="25" t="inlineStr">
        <is>
          <t>측정</t>
        </is>
      </c>
      <c r="E413" s="25" t="inlineStr">
        <is>
          <t>북</t>
        </is>
      </c>
      <c r="F413" s="30" t="n">
        <v>4</v>
      </c>
      <c r="G413" s="29" t="n"/>
      <c r="H413" s="42" t="n"/>
      <c r="I413" s="40" t="n"/>
      <c r="J413" s="40" t="n"/>
      <c r="K413" s="40" t="n"/>
      <c r="L413" s="30">
        <f>IF(COUNT(I413:K413)=0,"",MEDIAN(I413:K413))</f>
        <v/>
      </c>
      <c r="M413" s="25">
        <f>IF(COUNTIFS($C:$C,$C413,$D:$D,"P0(전)",$L:$L,"&gt;0")&lt;&gt;1,"P0(전) 유효 1개 아님",IF(COUNTIFS($C:$C,$C413,$D:$D,"P0(후)",$L:$L,"&gt;0")&lt;&gt;1,"P0(후) 유효 1개 아님",IF(NOT(AND(ISNUMBER(N413),ISNUMBER(P413),ISNUMBER(H413))),"시각 결측",IF(P413&lt;=N413,"P0 시각 역전",IF(OR(H413&lt;N413,H413&gt;P413),"측정시각 구간 밖","OK")))))</f>
        <v/>
      </c>
      <c r="N413" s="45">
        <f>IF(COUNTIFS($C:$C,$C413,$D:$D,"P0(전)",$L:$L,"&gt;0")&lt;&gt;1,"",SUMIFS($H:$H,$C:$C,$C413,$D:$D,"P0(전)"))</f>
        <v/>
      </c>
      <c r="O413" s="30">
        <f>IF(COUNTIFS($C:$C,$C413,$D:$D,"P0(전)",$L:$L,"&gt;0")&lt;&gt;1,"",SUMIFS($L:$L,$C:$C,$C413,$D:$D,"P0(전)"))</f>
        <v/>
      </c>
      <c r="P413" s="45">
        <f>IF(COUNTIFS($C:$C,$C413,$D:$D,"P0(후)",$L:$L,"&gt;0")&lt;&gt;1,"",SUMIFS($H:$H,$C:$C,$C413,$D:$D,"P0(후)"))</f>
        <v/>
      </c>
      <c r="Q413" s="30">
        <f>IF(COUNTIFS($C:$C,$C413,$D:$D,"P0(후)",$L:$L,"&gt;0")&lt;&gt;1,"",SUMIFS($L:$L,$C:$C,$C413,$D:$D,"P0(후)"))</f>
        <v/>
      </c>
      <c r="R413" s="30">
        <f>IF(M413&lt;&gt;"OK","",O413+(Q413-O413)*(H413-N413)/(P413-N413))</f>
        <v/>
      </c>
      <c r="S413" s="30">
        <f>IF(OR(M413&lt;&gt;"OK",NOT(ISNUMBER(L413))),"",L413-R413)</f>
        <v/>
      </c>
      <c r="T413" s="46">
        <f>IF(OR(NOT(ISNUMBER(S413)),IF(ISNUMBER(G413),G413,F413)=0),"",S413/IF(ISNUMBER(G413),G413,F413))</f>
        <v/>
      </c>
      <c r="U413" s="46">
        <f>IF(ISNUMBER(T413),ABS(T413),"")</f>
        <v/>
      </c>
      <c r="V413" s="46">
        <f>IF(OR($D412&lt;&gt;"측정",$C412&lt;&gt;$C413,NOT(ISNUMBER(L413)),NOT(ISNUMBER(L412)),(IF(ISNUMBER(G413),G413,F413)-IF(ISNUMBER(G412),G412,F412))=0),"",(L413-L412)/(IF(ISNUMBER(G413),G413,F413)-IF(ISNUMBER(G412),G412,F412)))</f>
        <v/>
      </c>
      <c r="W413" s="30">
        <f>IF(NOT(AND(ISNUMBER(N413),ISNUMBER(P413))),"",(P413-N413)*1440)</f>
        <v/>
      </c>
      <c r="X413" s="28" t="n"/>
      <c r="Y413" s="28" t="n"/>
      <c r="Z413" s="28" t="n"/>
      <c r="AA413" s="31" t="n"/>
      <c r="AB413" s="31" t="n"/>
    </row>
    <row r="414">
      <c r="A414" s="25" t="inlineStr">
        <is>
          <t>S08</t>
        </is>
      </c>
      <c r="B414" s="25" t="inlineStr">
        <is>
          <t>청일 신규점2</t>
        </is>
      </c>
      <c r="C414" s="25" t="inlineStr">
        <is>
          <t>S08-H북</t>
        </is>
      </c>
      <c r="D414" s="25" t="inlineStr">
        <is>
          <t>측정</t>
        </is>
      </c>
      <c r="E414" s="25" t="inlineStr">
        <is>
          <t>북</t>
        </is>
      </c>
      <c r="F414" s="30" t="n">
        <v>5</v>
      </c>
      <c r="G414" s="29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IF(COUNTIFS($C:$C,$C414,$D:$D,"P0(전)",$L:$L,"&gt;0")&lt;&gt;1,"P0(전) 유효 1개 아님",IF(COUNTIFS($C:$C,$C414,$D:$D,"P0(후)",$L:$L,"&gt;0")&lt;&gt;1,"P0(후) 유효 1개 아님",IF(NOT(AND(ISNUMBER(N414),ISNUMBER(P414),ISNUMBER(H414))),"시각 결측",IF(P414&lt;=N414,"P0 시각 역전",IF(OR(H414&lt;N414,H414&gt;P414),"측정시각 구간 밖","OK")))))</f>
        <v/>
      </c>
      <c r="N414" s="45">
        <f>IF(COUNTIFS($C:$C,$C414,$D:$D,"P0(전)",$L:$L,"&gt;0")&lt;&gt;1,"",SUMIFS($H:$H,$C:$C,$C414,$D:$D,"P0(전)"))</f>
        <v/>
      </c>
      <c r="O414" s="30">
        <f>IF(COUNTIFS($C:$C,$C414,$D:$D,"P0(전)",$L:$L,"&gt;0")&lt;&gt;1,"",SUMIFS($L:$L,$C:$C,$C414,$D:$D,"P0(전)"))</f>
        <v/>
      </c>
      <c r="P414" s="45">
        <f>IF(COUNTIFS($C:$C,$C414,$D:$D,"P0(후)",$L:$L,"&gt;0")&lt;&gt;1,"",SUMIFS($H:$H,$C:$C,$C414,$D:$D,"P0(후)"))</f>
        <v/>
      </c>
      <c r="Q414" s="30">
        <f>IF(COUNTIFS($C:$C,$C414,$D:$D,"P0(후)",$L:$L,"&gt;0")&lt;&gt;1,"",SUMIFS($L:$L,$C:$C,$C414,$D:$D,"P0(후)"))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IF(OR(NOT(ISNUMBER(S414)),IF(ISNUMBER(G414),G414,F414)=0),"",S414/IF(ISNUMBER(G414),G414,F414))</f>
        <v/>
      </c>
      <c r="U414" s="46">
        <f>IF(ISNUMBER(T414),ABS(T414),"")</f>
        <v/>
      </c>
      <c r="V414" s="46">
        <f>IF(OR($D413&lt;&gt;"측정",$C413&lt;&gt;$C414,NOT(ISNUMBER(L414)),NOT(ISNUMBER(L413)),(IF(ISNUMBER(G414),G414,F414)-IF(ISNUMBER(G413),G413,F413))=0),"",(L414-L413)/(IF(ISNUMBER(G414),G414,F414)-IF(ISNUMBER(G413),G413,F413)))</f>
        <v/>
      </c>
      <c r="W414" s="30">
        <f>IF(NOT(AND(ISNUMBER(N414),ISNUMBER(P414))),"",(P414-N414)*1440)</f>
        <v/>
      </c>
      <c r="X414" s="28" t="n"/>
      <c r="Y414" s="28" t="n"/>
      <c r="Z414" s="28" t="n"/>
      <c r="AA414" s="31" t="n"/>
      <c r="AB414" s="31" t="n"/>
    </row>
    <row r="415">
      <c r="A415" s="25" t="inlineStr">
        <is>
          <t>S08</t>
        </is>
      </c>
      <c r="B415" s="25" t="inlineStr">
        <is>
          <t>청일 신규점2</t>
        </is>
      </c>
      <c r="C415" s="25" t="inlineStr">
        <is>
          <t>S08-H북</t>
        </is>
      </c>
      <c r="D415" s="25" t="inlineStr">
        <is>
          <t>측정</t>
        </is>
      </c>
      <c r="E415" s="25" t="inlineStr">
        <is>
          <t>북</t>
        </is>
      </c>
      <c r="F415" s="30" t="n">
        <v>6</v>
      </c>
      <c r="G415" s="29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IF(COUNTIFS($C:$C,$C415,$D:$D,"P0(전)",$L:$L,"&gt;0")&lt;&gt;1,"P0(전) 유효 1개 아님",IF(COUNTIFS($C:$C,$C415,$D:$D,"P0(후)",$L:$L,"&gt;0")&lt;&gt;1,"P0(후) 유효 1개 아님",IF(NOT(AND(ISNUMBER(N415),ISNUMBER(P415),ISNUMBER(H415))),"시각 결측",IF(P415&lt;=N415,"P0 시각 역전",IF(OR(H415&lt;N415,H415&gt;P415),"측정시각 구간 밖","OK")))))</f>
        <v/>
      </c>
      <c r="N415" s="45">
        <f>IF(COUNTIFS($C:$C,$C415,$D:$D,"P0(전)",$L:$L,"&gt;0")&lt;&gt;1,"",SUMIFS($H:$H,$C:$C,$C415,$D:$D,"P0(전)"))</f>
        <v/>
      </c>
      <c r="O415" s="30">
        <f>IF(COUNTIFS($C:$C,$C415,$D:$D,"P0(전)",$L:$L,"&gt;0")&lt;&gt;1,"",SUMIFS($L:$L,$C:$C,$C415,$D:$D,"P0(전)"))</f>
        <v/>
      </c>
      <c r="P415" s="45">
        <f>IF(COUNTIFS($C:$C,$C415,$D:$D,"P0(후)",$L:$L,"&gt;0")&lt;&gt;1,"",SUMIFS($H:$H,$C:$C,$C415,$D:$D,"P0(후)"))</f>
        <v/>
      </c>
      <c r="Q415" s="30">
        <f>IF(COUNTIFS($C:$C,$C415,$D:$D,"P0(후)",$L:$L,"&gt;0")&lt;&gt;1,"",SUMIFS($L:$L,$C:$C,$C415,$D:$D,"P0(후)"))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IF(OR(NOT(ISNUMBER(S415)),IF(ISNUMBER(G415),G415,F415)=0),"",S415/IF(ISNUMBER(G415),G415,F415))</f>
        <v/>
      </c>
      <c r="U415" s="46">
        <f>IF(ISNUMBER(T415),ABS(T415),"")</f>
        <v/>
      </c>
      <c r="V415" s="46">
        <f>IF(OR($D414&lt;&gt;"측정",$C414&lt;&gt;$C415,NOT(ISNUMBER(L415)),NOT(ISNUMBER(L414)),(IF(ISNUMBER(G415),G415,F415)-IF(ISNUMBER(G414),G414,F414))=0),"",(L415-L414)/(IF(ISNUMBER(G415),G415,F415)-IF(ISNUMBER(G414),G414,F414)))</f>
        <v/>
      </c>
      <c r="W415" s="30">
        <f>IF(NOT(AND(ISNUMBER(N415),ISNUMBER(P415))),"",(P415-N415)*1440)</f>
        <v/>
      </c>
      <c r="X415" s="28" t="n"/>
      <c r="Y415" s="28" t="n"/>
      <c r="Z415" s="28" t="n"/>
      <c r="AA415" s="31" t="n"/>
      <c r="AB415" s="31" t="n"/>
    </row>
    <row r="416">
      <c r="A416" s="25" t="inlineStr">
        <is>
          <t>S08</t>
        </is>
      </c>
      <c r="B416" s="25" t="inlineStr">
        <is>
          <t>청일 신규점2</t>
        </is>
      </c>
      <c r="C416" s="25" t="inlineStr">
        <is>
          <t>S08-H북</t>
        </is>
      </c>
      <c r="D416" s="25" t="inlineStr">
        <is>
          <t>측정</t>
        </is>
      </c>
      <c r="E416" s="25" t="inlineStr">
        <is>
          <t>북</t>
        </is>
      </c>
      <c r="F416" s="30" t="n">
        <v>7</v>
      </c>
      <c r="G416" s="29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IF(COUNTIFS($C:$C,$C416,$D:$D,"P0(전)",$L:$L,"&gt;0")&lt;&gt;1,"P0(전) 유효 1개 아님",IF(COUNTIFS($C:$C,$C416,$D:$D,"P0(후)",$L:$L,"&gt;0")&lt;&gt;1,"P0(후) 유효 1개 아님",IF(NOT(AND(ISNUMBER(N416),ISNUMBER(P416),ISNUMBER(H416))),"시각 결측",IF(P416&lt;=N416,"P0 시각 역전",IF(OR(H416&lt;N416,H416&gt;P416),"측정시각 구간 밖","OK")))))</f>
        <v/>
      </c>
      <c r="N416" s="45">
        <f>IF(COUNTIFS($C:$C,$C416,$D:$D,"P0(전)",$L:$L,"&gt;0")&lt;&gt;1,"",SUMIFS($H:$H,$C:$C,$C416,$D:$D,"P0(전)"))</f>
        <v/>
      </c>
      <c r="O416" s="30">
        <f>IF(COUNTIFS($C:$C,$C416,$D:$D,"P0(전)",$L:$L,"&gt;0")&lt;&gt;1,"",SUMIFS($L:$L,$C:$C,$C416,$D:$D,"P0(전)"))</f>
        <v/>
      </c>
      <c r="P416" s="45">
        <f>IF(COUNTIFS($C:$C,$C416,$D:$D,"P0(후)",$L:$L,"&gt;0")&lt;&gt;1,"",SUMIFS($H:$H,$C:$C,$C416,$D:$D,"P0(후)"))</f>
        <v/>
      </c>
      <c r="Q416" s="30">
        <f>IF(COUNTIFS($C:$C,$C416,$D:$D,"P0(후)",$L:$L,"&gt;0")&lt;&gt;1,"",SUMIFS($L:$L,$C:$C,$C416,$D:$D,"P0(후)"))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IF(OR(NOT(ISNUMBER(S416)),IF(ISNUMBER(G416),G416,F416)=0),"",S416/IF(ISNUMBER(G416),G416,F416))</f>
        <v/>
      </c>
      <c r="U416" s="46">
        <f>IF(ISNUMBER(T416),ABS(T416),"")</f>
        <v/>
      </c>
      <c r="V416" s="46">
        <f>IF(OR($D415&lt;&gt;"측정",$C415&lt;&gt;$C416,NOT(ISNUMBER(L416)),NOT(ISNUMBER(L415)),(IF(ISNUMBER(G416),G416,F416)-IF(ISNUMBER(G415),G415,F415))=0),"",(L416-L415)/(IF(ISNUMBER(G416),G416,F416)-IF(ISNUMBER(G415),G415,F415)))</f>
        <v/>
      </c>
      <c r="W416" s="30">
        <f>IF(NOT(AND(ISNUMBER(N416),ISNUMBER(P416))),"",(P416-N416)*1440)</f>
        <v/>
      </c>
      <c r="X416" s="28" t="n"/>
      <c r="Y416" s="28" t="n"/>
      <c r="Z416" s="28" t="n"/>
      <c r="AA416" s="31" t="n"/>
      <c r="AB416" s="31" t="n"/>
    </row>
    <row r="417">
      <c r="A417" s="25" t="inlineStr">
        <is>
          <t>S08</t>
        </is>
      </c>
      <c r="B417" s="25" t="inlineStr">
        <is>
          <t>청일 신규점2</t>
        </is>
      </c>
      <c r="C417" s="25" t="inlineStr">
        <is>
          <t>S08-H북</t>
        </is>
      </c>
      <c r="D417" s="25" t="inlineStr">
        <is>
          <t>측정</t>
        </is>
      </c>
      <c r="E417" s="25" t="inlineStr">
        <is>
          <t>북</t>
        </is>
      </c>
      <c r="F417" s="30" t="n">
        <v>8</v>
      </c>
      <c r="G417" s="29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IF(COUNTIFS($C:$C,$C417,$D:$D,"P0(전)",$L:$L,"&gt;0")&lt;&gt;1,"P0(전) 유효 1개 아님",IF(COUNTIFS($C:$C,$C417,$D:$D,"P0(후)",$L:$L,"&gt;0")&lt;&gt;1,"P0(후) 유효 1개 아님",IF(NOT(AND(ISNUMBER(N417),ISNUMBER(P417),ISNUMBER(H417))),"시각 결측",IF(P417&lt;=N417,"P0 시각 역전",IF(OR(H417&lt;N417,H417&gt;P417),"측정시각 구간 밖","OK")))))</f>
        <v/>
      </c>
      <c r="N417" s="45">
        <f>IF(COUNTIFS($C:$C,$C417,$D:$D,"P0(전)",$L:$L,"&gt;0")&lt;&gt;1,"",SUMIFS($H:$H,$C:$C,$C417,$D:$D,"P0(전)"))</f>
        <v/>
      </c>
      <c r="O417" s="30">
        <f>IF(COUNTIFS($C:$C,$C417,$D:$D,"P0(전)",$L:$L,"&gt;0")&lt;&gt;1,"",SUMIFS($L:$L,$C:$C,$C417,$D:$D,"P0(전)"))</f>
        <v/>
      </c>
      <c r="P417" s="45">
        <f>IF(COUNTIFS($C:$C,$C417,$D:$D,"P0(후)",$L:$L,"&gt;0")&lt;&gt;1,"",SUMIFS($H:$H,$C:$C,$C417,$D:$D,"P0(후)"))</f>
        <v/>
      </c>
      <c r="Q417" s="30">
        <f>IF(COUNTIFS($C:$C,$C417,$D:$D,"P0(후)",$L:$L,"&gt;0")&lt;&gt;1,"",SUMIFS($L:$L,$C:$C,$C417,$D:$D,"P0(후)"))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IF(OR(NOT(ISNUMBER(S417)),IF(ISNUMBER(G417),G417,F417)=0),"",S417/IF(ISNUMBER(G417),G417,F417))</f>
        <v/>
      </c>
      <c r="U417" s="46">
        <f>IF(ISNUMBER(T417),ABS(T417),"")</f>
        <v/>
      </c>
      <c r="V417" s="46">
        <f>IF(OR($D416&lt;&gt;"측정",$C416&lt;&gt;$C417,NOT(ISNUMBER(L417)),NOT(ISNUMBER(L416)),(IF(ISNUMBER(G417),G417,F417)-IF(ISNUMBER(G416),G416,F416))=0),"",(L417-L416)/(IF(ISNUMBER(G417),G417,F417)-IF(ISNUMBER(G416),G416,F416)))</f>
        <v/>
      </c>
      <c r="W417" s="30">
        <f>IF(NOT(AND(ISNUMBER(N417),ISNUMBER(P417))),"",(P417-N417)*1440)</f>
        <v/>
      </c>
      <c r="X417" s="28" t="n"/>
      <c r="Y417" s="28" t="n"/>
      <c r="Z417" s="28" t="n"/>
      <c r="AA417" s="31" t="n"/>
      <c r="AB417" s="31" t="n"/>
    </row>
    <row r="418">
      <c r="A418" s="25" t="inlineStr">
        <is>
          <t>S08</t>
        </is>
      </c>
      <c r="B418" s="25" t="inlineStr">
        <is>
          <t>청일 신규점2</t>
        </is>
      </c>
      <c r="C418" s="25" t="inlineStr">
        <is>
          <t>S08-H북</t>
        </is>
      </c>
      <c r="D418" s="25" t="inlineStr">
        <is>
          <t>측정</t>
        </is>
      </c>
      <c r="E418" s="25" t="inlineStr">
        <is>
          <t>북</t>
        </is>
      </c>
      <c r="F418" s="30" t="n">
        <v>9</v>
      </c>
      <c r="G418" s="29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IF(COUNTIFS($C:$C,$C418,$D:$D,"P0(전)",$L:$L,"&gt;0")&lt;&gt;1,"P0(전) 유효 1개 아님",IF(COUNTIFS($C:$C,$C418,$D:$D,"P0(후)",$L:$L,"&gt;0")&lt;&gt;1,"P0(후) 유효 1개 아님",IF(NOT(AND(ISNUMBER(N418),ISNUMBER(P418),ISNUMBER(H418))),"시각 결측",IF(P418&lt;=N418,"P0 시각 역전",IF(OR(H418&lt;N418,H418&gt;P418),"측정시각 구간 밖","OK")))))</f>
        <v/>
      </c>
      <c r="N418" s="45">
        <f>IF(COUNTIFS($C:$C,$C418,$D:$D,"P0(전)",$L:$L,"&gt;0")&lt;&gt;1,"",SUMIFS($H:$H,$C:$C,$C418,$D:$D,"P0(전)"))</f>
        <v/>
      </c>
      <c r="O418" s="30">
        <f>IF(COUNTIFS($C:$C,$C418,$D:$D,"P0(전)",$L:$L,"&gt;0")&lt;&gt;1,"",SUMIFS($L:$L,$C:$C,$C418,$D:$D,"P0(전)"))</f>
        <v/>
      </c>
      <c r="P418" s="45">
        <f>IF(COUNTIFS($C:$C,$C418,$D:$D,"P0(후)",$L:$L,"&gt;0")&lt;&gt;1,"",SUMIFS($H:$H,$C:$C,$C418,$D:$D,"P0(후)"))</f>
        <v/>
      </c>
      <c r="Q418" s="30">
        <f>IF(COUNTIFS($C:$C,$C418,$D:$D,"P0(후)",$L:$L,"&gt;0")&lt;&gt;1,"",SUMIFS($L:$L,$C:$C,$C418,$D:$D,"P0(후)"))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IF(OR(NOT(ISNUMBER(S418)),IF(ISNUMBER(G418),G418,F418)=0),"",S418/IF(ISNUMBER(G418),G418,F418))</f>
        <v/>
      </c>
      <c r="U418" s="46">
        <f>IF(ISNUMBER(T418),ABS(T418),"")</f>
        <v/>
      </c>
      <c r="V418" s="46">
        <f>IF(OR($D417&lt;&gt;"측정",$C417&lt;&gt;$C418,NOT(ISNUMBER(L418)),NOT(ISNUMBER(L417)),(IF(ISNUMBER(G418),G418,F418)-IF(ISNUMBER(G417),G417,F417))=0),"",(L418-L417)/(IF(ISNUMBER(G418),G418,F418)-IF(ISNUMBER(G417),G417,F417)))</f>
        <v/>
      </c>
      <c r="W418" s="30">
        <f>IF(NOT(AND(ISNUMBER(N418),ISNUMBER(P418))),"",(P418-N418)*1440)</f>
        <v/>
      </c>
      <c r="X418" s="28" t="n"/>
      <c r="Y418" s="28" t="n"/>
      <c r="Z418" s="28" t="n"/>
      <c r="AA418" s="31" t="n"/>
      <c r="AB418" s="31" t="n"/>
    </row>
    <row r="419">
      <c r="A419" s="25" t="inlineStr">
        <is>
          <t>S08</t>
        </is>
      </c>
      <c r="B419" s="25" t="inlineStr">
        <is>
          <t>청일 신규점2</t>
        </is>
      </c>
      <c r="C419" s="25" t="inlineStr">
        <is>
          <t>S08-H북</t>
        </is>
      </c>
      <c r="D419" s="25" t="inlineStr">
        <is>
          <t>측정</t>
        </is>
      </c>
      <c r="E419" s="25" t="inlineStr">
        <is>
          <t>북</t>
        </is>
      </c>
      <c r="F419" s="30" t="n">
        <v>10</v>
      </c>
      <c r="G419" s="29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IF(COUNTIFS($C:$C,$C419,$D:$D,"P0(전)",$L:$L,"&gt;0")&lt;&gt;1,"P0(전) 유효 1개 아님",IF(COUNTIFS($C:$C,$C419,$D:$D,"P0(후)",$L:$L,"&gt;0")&lt;&gt;1,"P0(후) 유효 1개 아님",IF(NOT(AND(ISNUMBER(N419),ISNUMBER(P419),ISNUMBER(H419))),"시각 결측",IF(P419&lt;=N419,"P0 시각 역전",IF(OR(H419&lt;N419,H419&gt;P419),"측정시각 구간 밖","OK")))))</f>
        <v/>
      </c>
      <c r="N419" s="45">
        <f>IF(COUNTIFS($C:$C,$C419,$D:$D,"P0(전)",$L:$L,"&gt;0")&lt;&gt;1,"",SUMIFS($H:$H,$C:$C,$C419,$D:$D,"P0(전)"))</f>
        <v/>
      </c>
      <c r="O419" s="30">
        <f>IF(COUNTIFS($C:$C,$C419,$D:$D,"P0(전)",$L:$L,"&gt;0")&lt;&gt;1,"",SUMIFS($L:$L,$C:$C,$C419,$D:$D,"P0(전)"))</f>
        <v/>
      </c>
      <c r="P419" s="45">
        <f>IF(COUNTIFS($C:$C,$C419,$D:$D,"P0(후)",$L:$L,"&gt;0")&lt;&gt;1,"",SUMIFS($H:$H,$C:$C,$C419,$D:$D,"P0(후)"))</f>
        <v/>
      </c>
      <c r="Q419" s="30">
        <f>IF(COUNTIFS($C:$C,$C419,$D:$D,"P0(후)",$L:$L,"&gt;0")&lt;&gt;1,"",SUMIFS($L:$L,$C:$C,$C419,$D:$D,"P0(후)"))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IF(OR(NOT(ISNUMBER(S419)),IF(ISNUMBER(G419),G419,F419)=0),"",S419/IF(ISNUMBER(G419),G419,F419))</f>
        <v/>
      </c>
      <c r="U419" s="46">
        <f>IF(ISNUMBER(T419),ABS(T419),"")</f>
        <v/>
      </c>
      <c r="V419" s="46">
        <f>IF(OR($D418&lt;&gt;"측정",$C418&lt;&gt;$C419,NOT(ISNUMBER(L419)),NOT(ISNUMBER(L418)),(IF(ISNUMBER(G419),G419,F419)-IF(ISNUMBER(G418),G418,F418))=0),"",(L419-L418)/(IF(ISNUMBER(G419),G419,F419)-IF(ISNUMBER(G418),G418,F418)))</f>
        <v/>
      </c>
      <c r="W419" s="30">
        <f>IF(NOT(AND(ISNUMBER(N419),ISNUMBER(P419))),"",(P419-N419)*1440)</f>
        <v/>
      </c>
      <c r="X419" s="28" t="n"/>
      <c r="Y419" s="28" t="n"/>
      <c r="Z419" s="28" t="n"/>
      <c r="AA419" s="31" t="n"/>
      <c r="AB419" s="31" t="n"/>
    </row>
    <row r="420">
      <c r="A420" s="43" t="inlineStr">
        <is>
          <t>S08</t>
        </is>
      </c>
      <c r="B420" s="43" t="inlineStr">
        <is>
          <t>청일 신규점2</t>
        </is>
      </c>
      <c r="C420" s="43" t="inlineStr">
        <is>
          <t>S08-H북</t>
        </is>
      </c>
      <c r="D420" s="43" t="inlineStr">
        <is>
          <t>P0(후)</t>
        </is>
      </c>
      <c r="E420" s="43" t="inlineStr">
        <is>
          <t>북</t>
        </is>
      </c>
      <c r="F420" s="44" t="n"/>
      <c r="G420" s="29" t="n"/>
      <c r="H420" s="42" t="n"/>
      <c r="I420" s="40" t="n"/>
      <c r="J420" s="40" t="n"/>
      <c r="K420" s="40" t="n"/>
      <c r="L420" s="30">
        <f>IF(COUNT(I420:K420)=0,"",MEDIAN(I420:K420))</f>
        <v/>
      </c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28" t="n"/>
      <c r="Y420" s="28" t="n"/>
      <c r="Z420" s="28" t="n"/>
      <c r="AA420" s="31" t="n"/>
      <c r="AB420" s="31" t="n"/>
    </row>
    <row r="421">
      <c r="A421" s="43" t="inlineStr">
        <is>
          <t>S09</t>
        </is>
      </c>
      <c r="B421" s="43" t="inlineStr">
        <is>
          <t>어론 신규점</t>
        </is>
      </c>
      <c r="C421" s="43" t="inlineStr">
        <is>
          <t>S09-H동</t>
        </is>
      </c>
      <c r="D421" s="43" t="inlineStr">
        <is>
          <t>P0(전)</t>
        </is>
      </c>
      <c r="E421" s="43" t="inlineStr">
        <is>
          <t>동</t>
        </is>
      </c>
      <c r="F421" s="44" t="n"/>
      <c r="G421" s="29" t="n"/>
      <c r="H421" s="42" t="n"/>
      <c r="I421" s="40" t="n"/>
      <c r="J421" s="40" t="n"/>
      <c r="K421" s="40" t="n"/>
      <c r="L421" s="30">
        <f>IF(COUNT(I421:K421)=0,"",MEDIAN(I421:K421))</f>
        <v/>
      </c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28" t="n"/>
      <c r="Y421" s="28" t="n"/>
      <c r="Z421" s="28" t="n"/>
      <c r="AA421" s="31" t="n"/>
      <c r="AB421" s="31" t="n"/>
    </row>
    <row r="422">
      <c r="A422" s="25" t="inlineStr">
        <is>
          <t>S09</t>
        </is>
      </c>
      <c r="B422" s="25" t="inlineStr">
        <is>
          <t>어론 신규점</t>
        </is>
      </c>
      <c r="C422" s="25" t="inlineStr">
        <is>
          <t>S09-H동</t>
        </is>
      </c>
      <c r="D422" s="25" t="inlineStr">
        <is>
          <t>측정</t>
        </is>
      </c>
      <c r="E422" s="25" t="inlineStr">
        <is>
          <t>동</t>
        </is>
      </c>
      <c r="F422" s="30" t="n">
        <v>0.5</v>
      </c>
      <c r="G422" s="29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IF(COUNTIFS($C:$C,$C422,$D:$D,"P0(전)",$L:$L,"&gt;0")&lt;&gt;1,"P0(전) 유효 1개 아님",IF(COUNTIFS($C:$C,$C422,$D:$D,"P0(후)",$L:$L,"&gt;0")&lt;&gt;1,"P0(후) 유효 1개 아님",IF(NOT(AND(ISNUMBER(N422),ISNUMBER(P422),ISNUMBER(H422))),"시각 결측",IF(P422&lt;=N422,"P0 시각 역전",IF(OR(H422&lt;N422,H422&gt;P422),"측정시각 구간 밖","OK")))))</f>
        <v/>
      </c>
      <c r="N422" s="45">
        <f>IF(COUNTIFS($C:$C,$C422,$D:$D,"P0(전)",$L:$L,"&gt;0")&lt;&gt;1,"",SUMIFS($H:$H,$C:$C,$C422,$D:$D,"P0(전)"))</f>
        <v/>
      </c>
      <c r="O422" s="30">
        <f>IF(COUNTIFS($C:$C,$C422,$D:$D,"P0(전)",$L:$L,"&gt;0")&lt;&gt;1,"",SUMIFS($L:$L,$C:$C,$C422,$D:$D,"P0(전)"))</f>
        <v/>
      </c>
      <c r="P422" s="45">
        <f>IF(COUNTIFS($C:$C,$C422,$D:$D,"P0(후)",$L:$L,"&gt;0")&lt;&gt;1,"",SUMIFS($H:$H,$C:$C,$C422,$D:$D,"P0(후)"))</f>
        <v/>
      </c>
      <c r="Q422" s="30">
        <f>IF(COUNTIFS($C:$C,$C422,$D:$D,"P0(후)",$L:$L,"&gt;0")&lt;&gt;1,"",SUMIFS($L:$L,$C:$C,$C422,$D:$D,"P0(후)"))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IF(OR(NOT(ISNUMBER(S422)),IF(ISNUMBER(G422),G422,F422)=0),"",S422/IF(ISNUMBER(G422),G422,F422))</f>
        <v/>
      </c>
      <c r="U422" s="46">
        <f>IF(ISNUMBER(T422),ABS(T422),"")</f>
        <v/>
      </c>
      <c r="V422" s="46">
        <f>IF(OR($D421&lt;&gt;"측정",$C421&lt;&gt;$C422,NOT(ISNUMBER(L422)),NOT(ISNUMBER(L421)),(IF(ISNUMBER(G422),G422,F422)-IF(ISNUMBER(G421),G421,F421))=0),"",(L422-L421)/(IF(ISNUMBER(G422),G422,F422)-IF(ISNUMBER(G421),G421,F421)))</f>
        <v/>
      </c>
      <c r="W422" s="30">
        <f>IF(NOT(AND(ISNUMBER(N422),ISNUMBER(P422))),"",(P422-N422)*1440)</f>
        <v/>
      </c>
      <c r="X422" s="28" t="n"/>
      <c r="Y422" s="28" t="n"/>
      <c r="Z422" s="28" t="n"/>
      <c r="AA422" s="31" t="n"/>
      <c r="AB422" s="31" t="n"/>
    </row>
    <row r="423">
      <c r="A423" s="25" t="inlineStr">
        <is>
          <t>S09</t>
        </is>
      </c>
      <c r="B423" s="25" t="inlineStr">
        <is>
          <t>어론 신규점</t>
        </is>
      </c>
      <c r="C423" s="25" t="inlineStr">
        <is>
          <t>S09-H동</t>
        </is>
      </c>
      <c r="D423" s="25" t="inlineStr">
        <is>
          <t>측정</t>
        </is>
      </c>
      <c r="E423" s="25" t="inlineStr">
        <is>
          <t>동</t>
        </is>
      </c>
      <c r="F423" s="30" t="n">
        <v>1</v>
      </c>
      <c r="G423" s="29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IF(COUNTIFS($C:$C,$C423,$D:$D,"P0(전)",$L:$L,"&gt;0")&lt;&gt;1,"P0(전) 유효 1개 아님",IF(COUNTIFS($C:$C,$C423,$D:$D,"P0(후)",$L:$L,"&gt;0")&lt;&gt;1,"P0(후) 유효 1개 아님",IF(NOT(AND(ISNUMBER(N423),ISNUMBER(P423),ISNUMBER(H423))),"시각 결측",IF(P423&lt;=N423,"P0 시각 역전",IF(OR(H423&lt;N423,H423&gt;P423),"측정시각 구간 밖","OK")))))</f>
        <v/>
      </c>
      <c r="N423" s="45">
        <f>IF(COUNTIFS($C:$C,$C423,$D:$D,"P0(전)",$L:$L,"&gt;0")&lt;&gt;1,"",SUMIFS($H:$H,$C:$C,$C423,$D:$D,"P0(전)"))</f>
        <v/>
      </c>
      <c r="O423" s="30">
        <f>IF(COUNTIFS($C:$C,$C423,$D:$D,"P0(전)",$L:$L,"&gt;0")&lt;&gt;1,"",SUMIFS($L:$L,$C:$C,$C423,$D:$D,"P0(전)"))</f>
        <v/>
      </c>
      <c r="P423" s="45">
        <f>IF(COUNTIFS($C:$C,$C423,$D:$D,"P0(후)",$L:$L,"&gt;0")&lt;&gt;1,"",SUMIFS($H:$H,$C:$C,$C423,$D:$D,"P0(후)"))</f>
        <v/>
      </c>
      <c r="Q423" s="30">
        <f>IF(COUNTIFS($C:$C,$C423,$D:$D,"P0(후)",$L:$L,"&gt;0")&lt;&gt;1,"",SUMIFS($L:$L,$C:$C,$C423,$D:$D,"P0(후)"))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IF(OR(NOT(ISNUMBER(S423)),IF(ISNUMBER(G423),G423,F423)=0),"",S423/IF(ISNUMBER(G423),G423,F423))</f>
        <v/>
      </c>
      <c r="U423" s="46">
        <f>IF(ISNUMBER(T423),ABS(T423),"")</f>
        <v/>
      </c>
      <c r="V423" s="46">
        <f>IF(OR($D422&lt;&gt;"측정",$C422&lt;&gt;$C423,NOT(ISNUMBER(L423)),NOT(ISNUMBER(L422)),(IF(ISNUMBER(G423),G423,F423)-IF(ISNUMBER(G422),G422,F422))=0),"",(L423-L422)/(IF(ISNUMBER(G423),G423,F423)-IF(ISNUMBER(G422),G422,F422)))</f>
        <v/>
      </c>
      <c r="W423" s="30">
        <f>IF(NOT(AND(ISNUMBER(N423),ISNUMBER(P423))),"",(P423-N423)*1440)</f>
        <v/>
      </c>
      <c r="X423" s="28" t="n"/>
      <c r="Y423" s="28" t="n"/>
      <c r="Z423" s="28" t="n"/>
      <c r="AA423" s="31" t="n"/>
      <c r="AB423" s="31" t="n"/>
    </row>
    <row r="424">
      <c r="A424" s="25" t="inlineStr">
        <is>
          <t>S09</t>
        </is>
      </c>
      <c r="B424" s="25" t="inlineStr">
        <is>
          <t>어론 신규점</t>
        </is>
      </c>
      <c r="C424" s="25" t="inlineStr">
        <is>
          <t>S09-H동</t>
        </is>
      </c>
      <c r="D424" s="25" t="inlineStr">
        <is>
          <t>측정</t>
        </is>
      </c>
      <c r="E424" s="25" t="inlineStr">
        <is>
          <t>동</t>
        </is>
      </c>
      <c r="F424" s="30" t="n">
        <v>2</v>
      </c>
      <c r="G424" s="29" t="n"/>
      <c r="H424" s="42" t="n"/>
      <c r="I424" s="40" t="n"/>
      <c r="J424" s="40" t="n"/>
      <c r="K424" s="40" t="n"/>
      <c r="L424" s="30">
        <f>IF(COUNT(I424:K424)=0,"",MEDIAN(I424:K424))</f>
        <v/>
      </c>
      <c r="M424" s="25">
        <f>IF(COUNTIFS($C:$C,$C424,$D:$D,"P0(전)",$L:$L,"&gt;0")&lt;&gt;1,"P0(전) 유효 1개 아님",IF(COUNTIFS($C:$C,$C424,$D:$D,"P0(후)",$L:$L,"&gt;0")&lt;&gt;1,"P0(후) 유효 1개 아님",IF(NOT(AND(ISNUMBER(N424),ISNUMBER(P424),ISNUMBER(H424))),"시각 결측",IF(P424&lt;=N424,"P0 시각 역전",IF(OR(H424&lt;N424,H424&gt;P424),"측정시각 구간 밖","OK")))))</f>
        <v/>
      </c>
      <c r="N424" s="45">
        <f>IF(COUNTIFS($C:$C,$C424,$D:$D,"P0(전)",$L:$L,"&gt;0")&lt;&gt;1,"",SUMIFS($H:$H,$C:$C,$C424,$D:$D,"P0(전)"))</f>
        <v/>
      </c>
      <c r="O424" s="30">
        <f>IF(COUNTIFS($C:$C,$C424,$D:$D,"P0(전)",$L:$L,"&gt;0")&lt;&gt;1,"",SUMIFS($L:$L,$C:$C,$C424,$D:$D,"P0(전)"))</f>
        <v/>
      </c>
      <c r="P424" s="45">
        <f>IF(COUNTIFS($C:$C,$C424,$D:$D,"P0(후)",$L:$L,"&gt;0")&lt;&gt;1,"",SUMIFS($H:$H,$C:$C,$C424,$D:$D,"P0(후)"))</f>
        <v/>
      </c>
      <c r="Q424" s="30">
        <f>IF(COUNTIFS($C:$C,$C424,$D:$D,"P0(후)",$L:$L,"&gt;0")&lt;&gt;1,"",SUMIFS($L:$L,$C:$C,$C424,$D:$D,"P0(후)"))</f>
        <v/>
      </c>
      <c r="R424" s="30">
        <f>IF(M424&lt;&gt;"OK","",O424+(Q424-O424)*(H424-N424)/(P424-N424))</f>
        <v/>
      </c>
      <c r="S424" s="30">
        <f>IF(OR(M424&lt;&gt;"OK",NOT(ISNUMBER(L424))),"",L424-R424)</f>
        <v/>
      </c>
      <c r="T424" s="46">
        <f>IF(OR(NOT(ISNUMBER(S424)),IF(ISNUMBER(G424),G424,F424)=0),"",S424/IF(ISNUMBER(G424),G424,F424))</f>
        <v/>
      </c>
      <c r="U424" s="46">
        <f>IF(ISNUMBER(T424),ABS(T424),"")</f>
        <v/>
      </c>
      <c r="V424" s="46">
        <f>IF(OR($D423&lt;&gt;"측정",$C423&lt;&gt;$C424,NOT(ISNUMBER(L424)),NOT(ISNUMBER(L423)),(IF(ISNUMBER(G424),G424,F424)-IF(ISNUMBER(G423),G423,F423))=0),"",(L424-L423)/(IF(ISNUMBER(G424),G424,F424)-IF(ISNUMBER(G423),G423,F423)))</f>
        <v/>
      </c>
      <c r="W424" s="30">
        <f>IF(NOT(AND(ISNUMBER(N424),ISNUMBER(P424))),"",(P424-N424)*1440)</f>
        <v/>
      </c>
      <c r="X424" s="28" t="n"/>
      <c r="Y424" s="28" t="n"/>
      <c r="Z424" s="28" t="n"/>
      <c r="AA424" s="31" t="n"/>
      <c r="AB424" s="31" t="n"/>
    </row>
    <row r="425">
      <c r="A425" s="25" t="inlineStr">
        <is>
          <t>S09</t>
        </is>
      </c>
      <c r="B425" s="25" t="inlineStr">
        <is>
          <t>어론 신규점</t>
        </is>
      </c>
      <c r="C425" s="25" t="inlineStr">
        <is>
          <t>S09-H동</t>
        </is>
      </c>
      <c r="D425" s="25" t="inlineStr">
        <is>
          <t>측정</t>
        </is>
      </c>
      <c r="E425" s="25" t="inlineStr">
        <is>
          <t>동</t>
        </is>
      </c>
      <c r="F425" s="30" t="n">
        <v>3</v>
      </c>
      <c r="G425" s="29" t="n"/>
      <c r="H425" s="42" t="n"/>
      <c r="I425" s="40" t="n"/>
      <c r="J425" s="40" t="n"/>
      <c r="K425" s="40" t="n"/>
      <c r="L425" s="30">
        <f>IF(COUNT(I425:K425)=0,"",MEDIAN(I425:K425))</f>
        <v/>
      </c>
      <c r="M425" s="25">
        <f>IF(COUNTIFS($C:$C,$C425,$D:$D,"P0(전)",$L:$L,"&gt;0")&lt;&gt;1,"P0(전) 유효 1개 아님",IF(COUNTIFS($C:$C,$C425,$D:$D,"P0(후)",$L:$L,"&gt;0")&lt;&gt;1,"P0(후) 유효 1개 아님",IF(NOT(AND(ISNUMBER(N425),ISNUMBER(P425),ISNUMBER(H425))),"시각 결측",IF(P425&lt;=N425,"P0 시각 역전",IF(OR(H425&lt;N425,H425&gt;P425),"측정시각 구간 밖","OK")))))</f>
        <v/>
      </c>
      <c r="N425" s="45">
        <f>IF(COUNTIFS($C:$C,$C425,$D:$D,"P0(전)",$L:$L,"&gt;0")&lt;&gt;1,"",SUMIFS($H:$H,$C:$C,$C425,$D:$D,"P0(전)"))</f>
        <v/>
      </c>
      <c r="O425" s="30">
        <f>IF(COUNTIFS($C:$C,$C425,$D:$D,"P0(전)",$L:$L,"&gt;0")&lt;&gt;1,"",SUMIFS($L:$L,$C:$C,$C425,$D:$D,"P0(전)"))</f>
        <v/>
      </c>
      <c r="P425" s="45">
        <f>IF(COUNTIFS($C:$C,$C425,$D:$D,"P0(후)",$L:$L,"&gt;0")&lt;&gt;1,"",SUMIFS($H:$H,$C:$C,$C425,$D:$D,"P0(후)"))</f>
        <v/>
      </c>
      <c r="Q425" s="30">
        <f>IF(COUNTIFS($C:$C,$C425,$D:$D,"P0(후)",$L:$L,"&gt;0")&lt;&gt;1,"",SUMIFS($L:$L,$C:$C,$C425,$D:$D,"P0(후)"))</f>
        <v/>
      </c>
      <c r="R425" s="30">
        <f>IF(M425&lt;&gt;"OK","",O425+(Q425-O425)*(H425-N425)/(P425-N425))</f>
        <v/>
      </c>
      <c r="S425" s="30">
        <f>IF(OR(M425&lt;&gt;"OK",NOT(ISNUMBER(L425))),"",L425-R425)</f>
        <v/>
      </c>
      <c r="T425" s="46">
        <f>IF(OR(NOT(ISNUMBER(S425)),IF(ISNUMBER(G425),G425,F425)=0),"",S425/IF(ISNUMBER(G425),G425,F425))</f>
        <v/>
      </c>
      <c r="U425" s="46">
        <f>IF(ISNUMBER(T425),ABS(T425),"")</f>
        <v/>
      </c>
      <c r="V425" s="46">
        <f>IF(OR($D424&lt;&gt;"측정",$C424&lt;&gt;$C425,NOT(ISNUMBER(L425)),NOT(ISNUMBER(L424)),(IF(ISNUMBER(G425),G425,F425)-IF(ISNUMBER(G424),G424,F424))=0),"",(L425-L424)/(IF(ISNUMBER(G425),G425,F425)-IF(ISNUMBER(G424),G424,F424)))</f>
        <v/>
      </c>
      <c r="W425" s="30">
        <f>IF(NOT(AND(ISNUMBER(N425),ISNUMBER(P425))),"",(P425-N425)*1440)</f>
        <v/>
      </c>
      <c r="X425" s="28" t="n"/>
      <c r="Y425" s="28" t="n"/>
      <c r="Z425" s="28" t="n"/>
      <c r="AA425" s="31" t="n"/>
      <c r="AB425" s="31" t="n"/>
    </row>
    <row r="426">
      <c r="A426" s="25" t="inlineStr">
        <is>
          <t>S09</t>
        </is>
      </c>
      <c r="B426" s="25" t="inlineStr">
        <is>
          <t>어론 신규점</t>
        </is>
      </c>
      <c r="C426" s="25" t="inlineStr">
        <is>
          <t>S09-H동</t>
        </is>
      </c>
      <c r="D426" s="25" t="inlineStr">
        <is>
          <t>측정</t>
        </is>
      </c>
      <c r="E426" s="25" t="inlineStr">
        <is>
          <t>동</t>
        </is>
      </c>
      <c r="F426" s="30" t="n">
        <v>4</v>
      </c>
      <c r="G426" s="29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IF(COUNTIFS($C:$C,$C426,$D:$D,"P0(전)",$L:$L,"&gt;0")&lt;&gt;1,"P0(전) 유효 1개 아님",IF(COUNTIFS($C:$C,$C426,$D:$D,"P0(후)",$L:$L,"&gt;0")&lt;&gt;1,"P0(후) 유효 1개 아님",IF(NOT(AND(ISNUMBER(N426),ISNUMBER(P426),ISNUMBER(H426))),"시각 결측",IF(P426&lt;=N426,"P0 시각 역전",IF(OR(H426&lt;N426,H426&gt;P426),"측정시각 구간 밖","OK")))))</f>
        <v/>
      </c>
      <c r="N426" s="45">
        <f>IF(COUNTIFS($C:$C,$C426,$D:$D,"P0(전)",$L:$L,"&gt;0")&lt;&gt;1,"",SUMIFS($H:$H,$C:$C,$C426,$D:$D,"P0(전)"))</f>
        <v/>
      </c>
      <c r="O426" s="30">
        <f>IF(COUNTIFS($C:$C,$C426,$D:$D,"P0(전)",$L:$L,"&gt;0")&lt;&gt;1,"",SUMIFS($L:$L,$C:$C,$C426,$D:$D,"P0(전)"))</f>
        <v/>
      </c>
      <c r="P426" s="45">
        <f>IF(COUNTIFS($C:$C,$C426,$D:$D,"P0(후)",$L:$L,"&gt;0")&lt;&gt;1,"",SUMIFS($H:$H,$C:$C,$C426,$D:$D,"P0(후)"))</f>
        <v/>
      </c>
      <c r="Q426" s="30">
        <f>IF(COUNTIFS($C:$C,$C426,$D:$D,"P0(후)",$L:$L,"&gt;0")&lt;&gt;1,"",SUMIFS($L:$L,$C:$C,$C426,$D:$D,"P0(후)"))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IF(OR(NOT(ISNUMBER(S426)),IF(ISNUMBER(G426),G426,F426)=0),"",S426/IF(ISNUMBER(G426),G426,F426))</f>
        <v/>
      </c>
      <c r="U426" s="46">
        <f>IF(ISNUMBER(T426),ABS(T426),"")</f>
        <v/>
      </c>
      <c r="V426" s="46">
        <f>IF(OR($D425&lt;&gt;"측정",$C425&lt;&gt;$C426,NOT(ISNUMBER(L426)),NOT(ISNUMBER(L425)),(IF(ISNUMBER(G426),G426,F426)-IF(ISNUMBER(G425),G425,F425))=0),"",(L426-L425)/(IF(ISNUMBER(G426),G426,F426)-IF(ISNUMBER(G425),G425,F425)))</f>
        <v/>
      </c>
      <c r="W426" s="30">
        <f>IF(NOT(AND(ISNUMBER(N426),ISNUMBER(P426))),"",(P426-N426)*1440)</f>
        <v/>
      </c>
      <c r="X426" s="28" t="n"/>
      <c r="Y426" s="28" t="n"/>
      <c r="Z426" s="28" t="n"/>
      <c r="AA426" s="31" t="n"/>
      <c r="AB426" s="31" t="n"/>
    </row>
    <row r="427">
      <c r="A427" s="25" t="inlineStr">
        <is>
          <t>S09</t>
        </is>
      </c>
      <c r="B427" s="25" t="inlineStr">
        <is>
          <t>어론 신규점</t>
        </is>
      </c>
      <c r="C427" s="25" t="inlineStr">
        <is>
          <t>S09-H동</t>
        </is>
      </c>
      <c r="D427" s="25" t="inlineStr">
        <is>
          <t>측정</t>
        </is>
      </c>
      <c r="E427" s="25" t="inlineStr">
        <is>
          <t>동</t>
        </is>
      </c>
      <c r="F427" s="30" t="n">
        <v>5</v>
      </c>
      <c r="G427" s="29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IF(COUNTIFS($C:$C,$C427,$D:$D,"P0(전)",$L:$L,"&gt;0")&lt;&gt;1,"P0(전) 유효 1개 아님",IF(COUNTIFS($C:$C,$C427,$D:$D,"P0(후)",$L:$L,"&gt;0")&lt;&gt;1,"P0(후) 유효 1개 아님",IF(NOT(AND(ISNUMBER(N427),ISNUMBER(P427),ISNUMBER(H427))),"시각 결측",IF(P427&lt;=N427,"P0 시각 역전",IF(OR(H427&lt;N427,H427&gt;P427),"측정시각 구간 밖","OK")))))</f>
        <v/>
      </c>
      <c r="N427" s="45">
        <f>IF(COUNTIFS($C:$C,$C427,$D:$D,"P0(전)",$L:$L,"&gt;0")&lt;&gt;1,"",SUMIFS($H:$H,$C:$C,$C427,$D:$D,"P0(전)"))</f>
        <v/>
      </c>
      <c r="O427" s="30">
        <f>IF(COUNTIFS($C:$C,$C427,$D:$D,"P0(전)",$L:$L,"&gt;0")&lt;&gt;1,"",SUMIFS($L:$L,$C:$C,$C427,$D:$D,"P0(전)"))</f>
        <v/>
      </c>
      <c r="P427" s="45">
        <f>IF(COUNTIFS($C:$C,$C427,$D:$D,"P0(후)",$L:$L,"&gt;0")&lt;&gt;1,"",SUMIFS($H:$H,$C:$C,$C427,$D:$D,"P0(후)"))</f>
        <v/>
      </c>
      <c r="Q427" s="30">
        <f>IF(COUNTIFS($C:$C,$C427,$D:$D,"P0(후)",$L:$L,"&gt;0")&lt;&gt;1,"",SUMIFS($L:$L,$C:$C,$C427,$D:$D,"P0(후)"))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IF(OR(NOT(ISNUMBER(S427)),IF(ISNUMBER(G427),G427,F427)=0),"",S427/IF(ISNUMBER(G427),G427,F427))</f>
        <v/>
      </c>
      <c r="U427" s="46">
        <f>IF(ISNUMBER(T427),ABS(T427),"")</f>
        <v/>
      </c>
      <c r="V427" s="46">
        <f>IF(OR($D426&lt;&gt;"측정",$C426&lt;&gt;$C427,NOT(ISNUMBER(L427)),NOT(ISNUMBER(L426)),(IF(ISNUMBER(G427),G427,F427)-IF(ISNUMBER(G426),G426,F426))=0),"",(L427-L426)/(IF(ISNUMBER(G427),G427,F427)-IF(ISNUMBER(G426),G426,F426)))</f>
        <v/>
      </c>
      <c r="W427" s="30">
        <f>IF(NOT(AND(ISNUMBER(N427),ISNUMBER(P427))),"",(P427-N427)*1440)</f>
        <v/>
      </c>
      <c r="X427" s="28" t="n"/>
      <c r="Y427" s="28" t="n"/>
      <c r="Z427" s="28" t="n"/>
      <c r="AA427" s="31" t="n"/>
      <c r="AB427" s="31" t="n"/>
    </row>
    <row r="428">
      <c r="A428" s="25" t="inlineStr">
        <is>
          <t>S09</t>
        </is>
      </c>
      <c r="B428" s="25" t="inlineStr">
        <is>
          <t>어론 신규점</t>
        </is>
      </c>
      <c r="C428" s="25" t="inlineStr">
        <is>
          <t>S09-H동</t>
        </is>
      </c>
      <c r="D428" s="25" t="inlineStr">
        <is>
          <t>측정</t>
        </is>
      </c>
      <c r="E428" s="25" t="inlineStr">
        <is>
          <t>동</t>
        </is>
      </c>
      <c r="F428" s="30" t="n">
        <v>6</v>
      </c>
      <c r="G428" s="29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IF(COUNTIFS($C:$C,$C428,$D:$D,"P0(전)",$L:$L,"&gt;0")&lt;&gt;1,"P0(전) 유효 1개 아님",IF(COUNTIFS($C:$C,$C428,$D:$D,"P0(후)",$L:$L,"&gt;0")&lt;&gt;1,"P0(후) 유효 1개 아님",IF(NOT(AND(ISNUMBER(N428),ISNUMBER(P428),ISNUMBER(H428))),"시각 결측",IF(P428&lt;=N428,"P0 시각 역전",IF(OR(H428&lt;N428,H428&gt;P428),"측정시각 구간 밖","OK")))))</f>
        <v/>
      </c>
      <c r="N428" s="45">
        <f>IF(COUNTIFS($C:$C,$C428,$D:$D,"P0(전)",$L:$L,"&gt;0")&lt;&gt;1,"",SUMIFS($H:$H,$C:$C,$C428,$D:$D,"P0(전)"))</f>
        <v/>
      </c>
      <c r="O428" s="30">
        <f>IF(COUNTIFS($C:$C,$C428,$D:$D,"P0(전)",$L:$L,"&gt;0")&lt;&gt;1,"",SUMIFS($L:$L,$C:$C,$C428,$D:$D,"P0(전)"))</f>
        <v/>
      </c>
      <c r="P428" s="45">
        <f>IF(COUNTIFS($C:$C,$C428,$D:$D,"P0(후)",$L:$L,"&gt;0")&lt;&gt;1,"",SUMIFS($H:$H,$C:$C,$C428,$D:$D,"P0(후)"))</f>
        <v/>
      </c>
      <c r="Q428" s="30">
        <f>IF(COUNTIFS($C:$C,$C428,$D:$D,"P0(후)",$L:$L,"&gt;0")&lt;&gt;1,"",SUMIFS($L:$L,$C:$C,$C428,$D:$D,"P0(후)"))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IF(OR(NOT(ISNUMBER(S428)),IF(ISNUMBER(G428),G428,F428)=0),"",S428/IF(ISNUMBER(G428),G428,F428))</f>
        <v/>
      </c>
      <c r="U428" s="46">
        <f>IF(ISNUMBER(T428),ABS(T428),"")</f>
        <v/>
      </c>
      <c r="V428" s="46">
        <f>IF(OR($D427&lt;&gt;"측정",$C427&lt;&gt;$C428,NOT(ISNUMBER(L428)),NOT(ISNUMBER(L427)),(IF(ISNUMBER(G428),G428,F428)-IF(ISNUMBER(G427),G427,F427))=0),"",(L428-L427)/(IF(ISNUMBER(G428),G428,F428)-IF(ISNUMBER(G427),G427,F427)))</f>
        <v/>
      </c>
      <c r="W428" s="30">
        <f>IF(NOT(AND(ISNUMBER(N428),ISNUMBER(P428))),"",(P428-N428)*1440)</f>
        <v/>
      </c>
      <c r="X428" s="28" t="n"/>
      <c r="Y428" s="28" t="n"/>
      <c r="Z428" s="28" t="n"/>
      <c r="AA428" s="31" t="n"/>
      <c r="AB428" s="31" t="n"/>
    </row>
    <row r="429">
      <c r="A429" s="25" t="inlineStr">
        <is>
          <t>S09</t>
        </is>
      </c>
      <c r="B429" s="25" t="inlineStr">
        <is>
          <t>어론 신규점</t>
        </is>
      </c>
      <c r="C429" s="25" t="inlineStr">
        <is>
          <t>S09-H동</t>
        </is>
      </c>
      <c r="D429" s="25" t="inlineStr">
        <is>
          <t>측정</t>
        </is>
      </c>
      <c r="E429" s="25" t="inlineStr">
        <is>
          <t>동</t>
        </is>
      </c>
      <c r="F429" s="30" t="n">
        <v>7</v>
      </c>
      <c r="G429" s="29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IF(COUNTIFS($C:$C,$C429,$D:$D,"P0(전)",$L:$L,"&gt;0")&lt;&gt;1,"P0(전) 유효 1개 아님",IF(COUNTIFS($C:$C,$C429,$D:$D,"P0(후)",$L:$L,"&gt;0")&lt;&gt;1,"P0(후) 유효 1개 아님",IF(NOT(AND(ISNUMBER(N429),ISNUMBER(P429),ISNUMBER(H429))),"시각 결측",IF(P429&lt;=N429,"P0 시각 역전",IF(OR(H429&lt;N429,H429&gt;P429),"측정시각 구간 밖","OK")))))</f>
        <v/>
      </c>
      <c r="N429" s="45">
        <f>IF(COUNTIFS($C:$C,$C429,$D:$D,"P0(전)",$L:$L,"&gt;0")&lt;&gt;1,"",SUMIFS($H:$H,$C:$C,$C429,$D:$D,"P0(전)"))</f>
        <v/>
      </c>
      <c r="O429" s="30">
        <f>IF(COUNTIFS($C:$C,$C429,$D:$D,"P0(전)",$L:$L,"&gt;0")&lt;&gt;1,"",SUMIFS($L:$L,$C:$C,$C429,$D:$D,"P0(전)"))</f>
        <v/>
      </c>
      <c r="P429" s="45">
        <f>IF(COUNTIFS($C:$C,$C429,$D:$D,"P0(후)",$L:$L,"&gt;0")&lt;&gt;1,"",SUMIFS($H:$H,$C:$C,$C429,$D:$D,"P0(후)"))</f>
        <v/>
      </c>
      <c r="Q429" s="30">
        <f>IF(COUNTIFS($C:$C,$C429,$D:$D,"P0(후)",$L:$L,"&gt;0")&lt;&gt;1,"",SUMIFS($L:$L,$C:$C,$C429,$D:$D,"P0(후)"))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IF(OR(NOT(ISNUMBER(S429)),IF(ISNUMBER(G429),G429,F429)=0),"",S429/IF(ISNUMBER(G429),G429,F429))</f>
        <v/>
      </c>
      <c r="U429" s="46">
        <f>IF(ISNUMBER(T429),ABS(T429),"")</f>
        <v/>
      </c>
      <c r="V429" s="46">
        <f>IF(OR($D428&lt;&gt;"측정",$C428&lt;&gt;$C429,NOT(ISNUMBER(L429)),NOT(ISNUMBER(L428)),(IF(ISNUMBER(G429),G429,F429)-IF(ISNUMBER(G428),G428,F428))=0),"",(L429-L428)/(IF(ISNUMBER(G429),G429,F429)-IF(ISNUMBER(G428),G428,F428)))</f>
        <v/>
      </c>
      <c r="W429" s="30">
        <f>IF(NOT(AND(ISNUMBER(N429),ISNUMBER(P429))),"",(P429-N429)*1440)</f>
        <v/>
      </c>
      <c r="X429" s="28" t="n"/>
      <c r="Y429" s="28" t="n"/>
      <c r="Z429" s="28" t="n"/>
      <c r="AA429" s="31" t="n"/>
      <c r="AB429" s="31" t="n"/>
    </row>
    <row r="430">
      <c r="A430" s="25" t="inlineStr">
        <is>
          <t>S09</t>
        </is>
      </c>
      <c r="B430" s="25" t="inlineStr">
        <is>
          <t>어론 신규점</t>
        </is>
      </c>
      <c r="C430" s="25" t="inlineStr">
        <is>
          <t>S09-H동</t>
        </is>
      </c>
      <c r="D430" s="25" t="inlineStr">
        <is>
          <t>측정</t>
        </is>
      </c>
      <c r="E430" s="25" t="inlineStr">
        <is>
          <t>동</t>
        </is>
      </c>
      <c r="F430" s="30" t="n">
        <v>8</v>
      </c>
      <c r="G430" s="29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IF(COUNTIFS($C:$C,$C430,$D:$D,"P0(전)",$L:$L,"&gt;0")&lt;&gt;1,"P0(전) 유효 1개 아님",IF(COUNTIFS($C:$C,$C430,$D:$D,"P0(후)",$L:$L,"&gt;0")&lt;&gt;1,"P0(후) 유효 1개 아님",IF(NOT(AND(ISNUMBER(N430),ISNUMBER(P430),ISNUMBER(H430))),"시각 결측",IF(P430&lt;=N430,"P0 시각 역전",IF(OR(H430&lt;N430,H430&gt;P430),"측정시각 구간 밖","OK")))))</f>
        <v/>
      </c>
      <c r="N430" s="45">
        <f>IF(COUNTIFS($C:$C,$C430,$D:$D,"P0(전)",$L:$L,"&gt;0")&lt;&gt;1,"",SUMIFS($H:$H,$C:$C,$C430,$D:$D,"P0(전)"))</f>
        <v/>
      </c>
      <c r="O430" s="30">
        <f>IF(COUNTIFS($C:$C,$C430,$D:$D,"P0(전)",$L:$L,"&gt;0")&lt;&gt;1,"",SUMIFS($L:$L,$C:$C,$C430,$D:$D,"P0(전)"))</f>
        <v/>
      </c>
      <c r="P430" s="45">
        <f>IF(COUNTIFS($C:$C,$C430,$D:$D,"P0(후)",$L:$L,"&gt;0")&lt;&gt;1,"",SUMIFS($H:$H,$C:$C,$C430,$D:$D,"P0(후)"))</f>
        <v/>
      </c>
      <c r="Q430" s="30">
        <f>IF(COUNTIFS($C:$C,$C430,$D:$D,"P0(후)",$L:$L,"&gt;0")&lt;&gt;1,"",SUMIFS($L:$L,$C:$C,$C430,$D:$D,"P0(후)"))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IF(OR(NOT(ISNUMBER(S430)),IF(ISNUMBER(G430),G430,F430)=0),"",S430/IF(ISNUMBER(G430),G430,F430))</f>
        <v/>
      </c>
      <c r="U430" s="46">
        <f>IF(ISNUMBER(T430),ABS(T430),"")</f>
        <v/>
      </c>
      <c r="V430" s="46">
        <f>IF(OR($D429&lt;&gt;"측정",$C429&lt;&gt;$C430,NOT(ISNUMBER(L430)),NOT(ISNUMBER(L429)),(IF(ISNUMBER(G430),G430,F430)-IF(ISNUMBER(G429),G429,F429))=0),"",(L430-L429)/(IF(ISNUMBER(G430),G430,F430)-IF(ISNUMBER(G429),G429,F429)))</f>
        <v/>
      </c>
      <c r="W430" s="30">
        <f>IF(NOT(AND(ISNUMBER(N430),ISNUMBER(P430))),"",(P430-N430)*1440)</f>
        <v/>
      </c>
      <c r="X430" s="28" t="n"/>
      <c r="Y430" s="28" t="n"/>
      <c r="Z430" s="28" t="n"/>
      <c r="AA430" s="31" t="n"/>
      <c r="AB430" s="31" t="n"/>
    </row>
    <row r="431">
      <c r="A431" s="25" t="inlineStr">
        <is>
          <t>S09</t>
        </is>
      </c>
      <c r="B431" s="25" t="inlineStr">
        <is>
          <t>어론 신규점</t>
        </is>
      </c>
      <c r="C431" s="25" t="inlineStr">
        <is>
          <t>S09-H동</t>
        </is>
      </c>
      <c r="D431" s="25" t="inlineStr">
        <is>
          <t>측정</t>
        </is>
      </c>
      <c r="E431" s="25" t="inlineStr">
        <is>
          <t>동</t>
        </is>
      </c>
      <c r="F431" s="30" t="n">
        <v>9</v>
      </c>
      <c r="G431" s="29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IF(COUNTIFS($C:$C,$C431,$D:$D,"P0(전)",$L:$L,"&gt;0")&lt;&gt;1,"P0(전) 유효 1개 아님",IF(COUNTIFS($C:$C,$C431,$D:$D,"P0(후)",$L:$L,"&gt;0")&lt;&gt;1,"P0(후) 유효 1개 아님",IF(NOT(AND(ISNUMBER(N431),ISNUMBER(P431),ISNUMBER(H431))),"시각 결측",IF(P431&lt;=N431,"P0 시각 역전",IF(OR(H431&lt;N431,H431&gt;P431),"측정시각 구간 밖","OK")))))</f>
        <v/>
      </c>
      <c r="N431" s="45">
        <f>IF(COUNTIFS($C:$C,$C431,$D:$D,"P0(전)",$L:$L,"&gt;0")&lt;&gt;1,"",SUMIFS($H:$H,$C:$C,$C431,$D:$D,"P0(전)"))</f>
        <v/>
      </c>
      <c r="O431" s="30">
        <f>IF(COUNTIFS($C:$C,$C431,$D:$D,"P0(전)",$L:$L,"&gt;0")&lt;&gt;1,"",SUMIFS($L:$L,$C:$C,$C431,$D:$D,"P0(전)"))</f>
        <v/>
      </c>
      <c r="P431" s="45">
        <f>IF(COUNTIFS($C:$C,$C431,$D:$D,"P0(후)",$L:$L,"&gt;0")&lt;&gt;1,"",SUMIFS($H:$H,$C:$C,$C431,$D:$D,"P0(후)"))</f>
        <v/>
      </c>
      <c r="Q431" s="30">
        <f>IF(COUNTIFS($C:$C,$C431,$D:$D,"P0(후)",$L:$L,"&gt;0")&lt;&gt;1,"",SUMIFS($L:$L,$C:$C,$C431,$D:$D,"P0(후)"))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IF(OR(NOT(ISNUMBER(S431)),IF(ISNUMBER(G431),G431,F431)=0),"",S431/IF(ISNUMBER(G431),G431,F431))</f>
        <v/>
      </c>
      <c r="U431" s="46">
        <f>IF(ISNUMBER(T431),ABS(T431),"")</f>
        <v/>
      </c>
      <c r="V431" s="46">
        <f>IF(OR($D430&lt;&gt;"측정",$C430&lt;&gt;$C431,NOT(ISNUMBER(L431)),NOT(ISNUMBER(L430)),(IF(ISNUMBER(G431),G431,F431)-IF(ISNUMBER(G430),G430,F430))=0),"",(L431-L430)/(IF(ISNUMBER(G431),G431,F431)-IF(ISNUMBER(G430),G430,F430)))</f>
        <v/>
      </c>
      <c r="W431" s="30">
        <f>IF(NOT(AND(ISNUMBER(N431),ISNUMBER(P431))),"",(P431-N431)*1440)</f>
        <v/>
      </c>
      <c r="X431" s="28" t="n"/>
      <c r="Y431" s="28" t="n"/>
      <c r="Z431" s="28" t="n"/>
      <c r="AA431" s="31" t="n"/>
      <c r="AB431" s="31" t="n"/>
    </row>
    <row r="432">
      <c r="A432" s="25" t="inlineStr">
        <is>
          <t>S09</t>
        </is>
      </c>
      <c r="B432" s="25" t="inlineStr">
        <is>
          <t>어론 신규점</t>
        </is>
      </c>
      <c r="C432" s="25" t="inlineStr">
        <is>
          <t>S09-H동</t>
        </is>
      </c>
      <c r="D432" s="25" t="inlineStr">
        <is>
          <t>측정</t>
        </is>
      </c>
      <c r="E432" s="25" t="inlineStr">
        <is>
          <t>동</t>
        </is>
      </c>
      <c r="F432" s="30" t="n">
        <v>10</v>
      </c>
      <c r="G432" s="29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IF(COUNTIFS($C:$C,$C432,$D:$D,"P0(전)",$L:$L,"&gt;0")&lt;&gt;1,"P0(전) 유효 1개 아님",IF(COUNTIFS($C:$C,$C432,$D:$D,"P0(후)",$L:$L,"&gt;0")&lt;&gt;1,"P0(후) 유효 1개 아님",IF(NOT(AND(ISNUMBER(N432),ISNUMBER(P432),ISNUMBER(H432))),"시각 결측",IF(P432&lt;=N432,"P0 시각 역전",IF(OR(H432&lt;N432,H432&gt;P432),"측정시각 구간 밖","OK")))))</f>
        <v/>
      </c>
      <c r="N432" s="45">
        <f>IF(COUNTIFS($C:$C,$C432,$D:$D,"P0(전)",$L:$L,"&gt;0")&lt;&gt;1,"",SUMIFS($H:$H,$C:$C,$C432,$D:$D,"P0(전)"))</f>
        <v/>
      </c>
      <c r="O432" s="30">
        <f>IF(COUNTIFS($C:$C,$C432,$D:$D,"P0(전)",$L:$L,"&gt;0")&lt;&gt;1,"",SUMIFS($L:$L,$C:$C,$C432,$D:$D,"P0(전)"))</f>
        <v/>
      </c>
      <c r="P432" s="45">
        <f>IF(COUNTIFS($C:$C,$C432,$D:$D,"P0(후)",$L:$L,"&gt;0")&lt;&gt;1,"",SUMIFS($H:$H,$C:$C,$C432,$D:$D,"P0(후)"))</f>
        <v/>
      </c>
      <c r="Q432" s="30">
        <f>IF(COUNTIFS($C:$C,$C432,$D:$D,"P0(후)",$L:$L,"&gt;0")&lt;&gt;1,"",SUMIFS($L:$L,$C:$C,$C432,$D:$D,"P0(후)"))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IF(OR(NOT(ISNUMBER(S432)),IF(ISNUMBER(G432),G432,F432)=0),"",S432/IF(ISNUMBER(G432),G432,F432))</f>
        <v/>
      </c>
      <c r="U432" s="46">
        <f>IF(ISNUMBER(T432),ABS(T432),"")</f>
        <v/>
      </c>
      <c r="V432" s="46">
        <f>IF(OR($D431&lt;&gt;"측정",$C431&lt;&gt;$C432,NOT(ISNUMBER(L432)),NOT(ISNUMBER(L431)),(IF(ISNUMBER(G432),G432,F432)-IF(ISNUMBER(G431),G431,F431))=0),"",(L432-L431)/(IF(ISNUMBER(G432),G432,F432)-IF(ISNUMBER(G431),G431,F431)))</f>
        <v/>
      </c>
      <c r="W432" s="30">
        <f>IF(NOT(AND(ISNUMBER(N432),ISNUMBER(P432))),"",(P432-N432)*1440)</f>
        <v/>
      </c>
      <c r="X432" s="28" t="n"/>
      <c r="Y432" s="28" t="n"/>
      <c r="Z432" s="28" t="n"/>
      <c r="AA432" s="31" t="n"/>
      <c r="AB432" s="31" t="n"/>
    </row>
    <row r="433">
      <c r="A433" s="43" t="inlineStr">
        <is>
          <t>S09</t>
        </is>
      </c>
      <c r="B433" s="43" t="inlineStr">
        <is>
          <t>어론 신규점</t>
        </is>
      </c>
      <c r="C433" s="43" t="inlineStr">
        <is>
          <t>S09-H동</t>
        </is>
      </c>
      <c r="D433" s="43" t="inlineStr">
        <is>
          <t>P0(후)</t>
        </is>
      </c>
      <c r="E433" s="43" t="inlineStr">
        <is>
          <t>동</t>
        </is>
      </c>
      <c r="F433" s="44" t="n"/>
      <c r="G433" s="29" t="n"/>
      <c r="H433" s="42" t="n"/>
      <c r="I433" s="40" t="n"/>
      <c r="J433" s="40" t="n"/>
      <c r="K433" s="40" t="n"/>
      <c r="L433" s="30">
        <f>IF(COUNT(I433:K433)=0,"",MEDIAN(I433:K433))</f>
        <v/>
      </c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28" t="n"/>
      <c r="Y433" s="28" t="n"/>
      <c r="Z433" s="28" t="n"/>
      <c r="AA433" s="31" t="n"/>
      <c r="AB433" s="31" t="n"/>
    </row>
    <row r="434">
      <c r="A434" s="43" t="inlineStr">
        <is>
          <t>S09</t>
        </is>
      </c>
      <c r="B434" s="43" t="inlineStr">
        <is>
          <t>어론 신규점</t>
        </is>
      </c>
      <c r="C434" s="43" t="inlineStr">
        <is>
          <t>S09-H서</t>
        </is>
      </c>
      <c r="D434" s="43" t="inlineStr">
        <is>
          <t>P0(전)</t>
        </is>
      </c>
      <c r="E434" s="43" t="inlineStr">
        <is>
          <t>서</t>
        </is>
      </c>
      <c r="F434" s="44" t="n"/>
      <c r="G434" s="29" t="n"/>
      <c r="H434" s="42" t="n"/>
      <c r="I434" s="40" t="n"/>
      <c r="J434" s="40" t="n"/>
      <c r="K434" s="40" t="n"/>
      <c r="L434" s="30">
        <f>IF(COUNT(I434:K434)=0,"",MEDIAN(I434:K434))</f>
        <v/>
      </c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28" t="n"/>
      <c r="Y434" s="28" t="n"/>
      <c r="Z434" s="28" t="n"/>
      <c r="AA434" s="31" t="n"/>
      <c r="AB434" s="31" t="n"/>
    </row>
    <row r="435">
      <c r="A435" s="25" t="inlineStr">
        <is>
          <t>S09</t>
        </is>
      </c>
      <c r="B435" s="25" t="inlineStr">
        <is>
          <t>어론 신규점</t>
        </is>
      </c>
      <c r="C435" s="25" t="inlineStr">
        <is>
          <t>S09-H서</t>
        </is>
      </c>
      <c r="D435" s="25" t="inlineStr">
        <is>
          <t>측정</t>
        </is>
      </c>
      <c r="E435" s="25" t="inlineStr">
        <is>
          <t>서</t>
        </is>
      </c>
      <c r="F435" s="30" t="n">
        <v>0.5</v>
      </c>
      <c r="G435" s="29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IF(COUNTIFS($C:$C,$C435,$D:$D,"P0(전)",$L:$L,"&gt;0")&lt;&gt;1,"P0(전) 유효 1개 아님",IF(COUNTIFS($C:$C,$C435,$D:$D,"P0(후)",$L:$L,"&gt;0")&lt;&gt;1,"P0(후) 유효 1개 아님",IF(NOT(AND(ISNUMBER(N435),ISNUMBER(P435),ISNUMBER(H435))),"시각 결측",IF(P435&lt;=N435,"P0 시각 역전",IF(OR(H435&lt;N435,H435&gt;P435),"측정시각 구간 밖","OK")))))</f>
        <v/>
      </c>
      <c r="N435" s="45">
        <f>IF(COUNTIFS($C:$C,$C435,$D:$D,"P0(전)",$L:$L,"&gt;0")&lt;&gt;1,"",SUMIFS($H:$H,$C:$C,$C435,$D:$D,"P0(전)"))</f>
        <v/>
      </c>
      <c r="O435" s="30">
        <f>IF(COUNTIFS($C:$C,$C435,$D:$D,"P0(전)",$L:$L,"&gt;0")&lt;&gt;1,"",SUMIFS($L:$L,$C:$C,$C435,$D:$D,"P0(전)"))</f>
        <v/>
      </c>
      <c r="P435" s="45">
        <f>IF(COUNTIFS($C:$C,$C435,$D:$D,"P0(후)",$L:$L,"&gt;0")&lt;&gt;1,"",SUMIFS($H:$H,$C:$C,$C435,$D:$D,"P0(후)"))</f>
        <v/>
      </c>
      <c r="Q435" s="30">
        <f>IF(COUNTIFS($C:$C,$C435,$D:$D,"P0(후)",$L:$L,"&gt;0")&lt;&gt;1,"",SUMIFS($L:$L,$C:$C,$C435,$D:$D,"P0(후)"))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IF(OR(NOT(ISNUMBER(S435)),IF(ISNUMBER(G435),G435,F435)=0),"",S435/IF(ISNUMBER(G435),G435,F435))</f>
        <v/>
      </c>
      <c r="U435" s="46">
        <f>IF(ISNUMBER(T435),ABS(T435),"")</f>
        <v/>
      </c>
      <c r="V435" s="46">
        <f>IF(OR($D434&lt;&gt;"측정",$C434&lt;&gt;$C435,NOT(ISNUMBER(L435)),NOT(ISNUMBER(L434)),(IF(ISNUMBER(G435),G435,F435)-IF(ISNUMBER(G434),G434,F434))=0),"",(L435-L434)/(IF(ISNUMBER(G435),G435,F435)-IF(ISNUMBER(G434),G434,F434)))</f>
        <v/>
      </c>
      <c r="W435" s="30">
        <f>IF(NOT(AND(ISNUMBER(N435),ISNUMBER(P435))),"",(P435-N435)*1440)</f>
        <v/>
      </c>
      <c r="X435" s="28" t="n"/>
      <c r="Y435" s="28" t="n"/>
      <c r="Z435" s="28" t="n"/>
      <c r="AA435" s="31" t="n"/>
      <c r="AB435" s="31" t="n"/>
    </row>
    <row r="436">
      <c r="A436" s="25" t="inlineStr">
        <is>
          <t>S09</t>
        </is>
      </c>
      <c r="B436" s="25" t="inlineStr">
        <is>
          <t>어론 신규점</t>
        </is>
      </c>
      <c r="C436" s="25" t="inlineStr">
        <is>
          <t>S09-H서</t>
        </is>
      </c>
      <c r="D436" s="25" t="inlineStr">
        <is>
          <t>측정</t>
        </is>
      </c>
      <c r="E436" s="25" t="inlineStr">
        <is>
          <t>서</t>
        </is>
      </c>
      <c r="F436" s="30" t="n">
        <v>1</v>
      </c>
      <c r="G436" s="29" t="n"/>
      <c r="H436" s="42" t="n"/>
      <c r="I436" s="40" t="n"/>
      <c r="J436" s="40" t="n"/>
      <c r="K436" s="40" t="n"/>
      <c r="L436" s="30">
        <f>IF(COUNT(I436:K436)=0,"",MEDIAN(I436:K436))</f>
        <v/>
      </c>
      <c r="M436" s="25">
        <f>IF(COUNTIFS($C:$C,$C436,$D:$D,"P0(전)",$L:$L,"&gt;0")&lt;&gt;1,"P0(전) 유효 1개 아님",IF(COUNTIFS($C:$C,$C436,$D:$D,"P0(후)",$L:$L,"&gt;0")&lt;&gt;1,"P0(후) 유효 1개 아님",IF(NOT(AND(ISNUMBER(N436),ISNUMBER(P436),ISNUMBER(H436))),"시각 결측",IF(P436&lt;=N436,"P0 시각 역전",IF(OR(H436&lt;N436,H436&gt;P436),"측정시각 구간 밖","OK")))))</f>
        <v/>
      </c>
      <c r="N436" s="45">
        <f>IF(COUNTIFS($C:$C,$C436,$D:$D,"P0(전)",$L:$L,"&gt;0")&lt;&gt;1,"",SUMIFS($H:$H,$C:$C,$C436,$D:$D,"P0(전)"))</f>
        <v/>
      </c>
      <c r="O436" s="30">
        <f>IF(COUNTIFS($C:$C,$C436,$D:$D,"P0(전)",$L:$L,"&gt;0")&lt;&gt;1,"",SUMIFS($L:$L,$C:$C,$C436,$D:$D,"P0(전)"))</f>
        <v/>
      </c>
      <c r="P436" s="45">
        <f>IF(COUNTIFS($C:$C,$C436,$D:$D,"P0(후)",$L:$L,"&gt;0")&lt;&gt;1,"",SUMIFS($H:$H,$C:$C,$C436,$D:$D,"P0(후)"))</f>
        <v/>
      </c>
      <c r="Q436" s="30">
        <f>IF(COUNTIFS($C:$C,$C436,$D:$D,"P0(후)",$L:$L,"&gt;0")&lt;&gt;1,"",SUMIFS($L:$L,$C:$C,$C436,$D:$D,"P0(후)"))</f>
        <v/>
      </c>
      <c r="R436" s="30">
        <f>IF(M436&lt;&gt;"OK","",O436+(Q436-O436)*(H436-N436)/(P436-N436))</f>
        <v/>
      </c>
      <c r="S436" s="30">
        <f>IF(OR(M436&lt;&gt;"OK",NOT(ISNUMBER(L436))),"",L436-R436)</f>
        <v/>
      </c>
      <c r="T436" s="46">
        <f>IF(OR(NOT(ISNUMBER(S436)),IF(ISNUMBER(G436),G436,F436)=0),"",S436/IF(ISNUMBER(G436),G436,F436))</f>
        <v/>
      </c>
      <c r="U436" s="46">
        <f>IF(ISNUMBER(T436),ABS(T436),"")</f>
        <v/>
      </c>
      <c r="V436" s="46">
        <f>IF(OR($D435&lt;&gt;"측정",$C435&lt;&gt;$C436,NOT(ISNUMBER(L436)),NOT(ISNUMBER(L435)),(IF(ISNUMBER(G436),G436,F436)-IF(ISNUMBER(G435),G435,F435))=0),"",(L436-L435)/(IF(ISNUMBER(G436),G436,F436)-IF(ISNUMBER(G435),G435,F435)))</f>
        <v/>
      </c>
      <c r="W436" s="30">
        <f>IF(NOT(AND(ISNUMBER(N436),ISNUMBER(P436))),"",(P436-N436)*1440)</f>
        <v/>
      </c>
      <c r="X436" s="28" t="n"/>
      <c r="Y436" s="28" t="n"/>
      <c r="Z436" s="28" t="n"/>
      <c r="AA436" s="31" t="n"/>
      <c r="AB436" s="31" t="n"/>
    </row>
    <row r="437">
      <c r="A437" s="25" t="inlineStr">
        <is>
          <t>S09</t>
        </is>
      </c>
      <c r="B437" s="25" t="inlineStr">
        <is>
          <t>어론 신규점</t>
        </is>
      </c>
      <c r="C437" s="25" t="inlineStr">
        <is>
          <t>S09-H서</t>
        </is>
      </c>
      <c r="D437" s="25" t="inlineStr">
        <is>
          <t>측정</t>
        </is>
      </c>
      <c r="E437" s="25" t="inlineStr">
        <is>
          <t>서</t>
        </is>
      </c>
      <c r="F437" s="30" t="n">
        <v>2</v>
      </c>
      <c r="G437" s="29" t="n"/>
      <c r="H437" s="42" t="n"/>
      <c r="I437" s="40" t="n"/>
      <c r="J437" s="40" t="n"/>
      <c r="K437" s="40" t="n"/>
      <c r="L437" s="30">
        <f>IF(COUNT(I437:K437)=0,"",MEDIAN(I437:K437))</f>
        <v/>
      </c>
      <c r="M437" s="25">
        <f>IF(COUNTIFS($C:$C,$C437,$D:$D,"P0(전)",$L:$L,"&gt;0")&lt;&gt;1,"P0(전) 유효 1개 아님",IF(COUNTIFS($C:$C,$C437,$D:$D,"P0(후)",$L:$L,"&gt;0")&lt;&gt;1,"P0(후) 유효 1개 아님",IF(NOT(AND(ISNUMBER(N437),ISNUMBER(P437),ISNUMBER(H437))),"시각 결측",IF(P437&lt;=N437,"P0 시각 역전",IF(OR(H437&lt;N437,H437&gt;P437),"측정시각 구간 밖","OK")))))</f>
        <v/>
      </c>
      <c r="N437" s="45">
        <f>IF(COUNTIFS($C:$C,$C437,$D:$D,"P0(전)",$L:$L,"&gt;0")&lt;&gt;1,"",SUMIFS($H:$H,$C:$C,$C437,$D:$D,"P0(전)"))</f>
        <v/>
      </c>
      <c r="O437" s="30">
        <f>IF(COUNTIFS($C:$C,$C437,$D:$D,"P0(전)",$L:$L,"&gt;0")&lt;&gt;1,"",SUMIFS($L:$L,$C:$C,$C437,$D:$D,"P0(전)"))</f>
        <v/>
      </c>
      <c r="P437" s="45">
        <f>IF(COUNTIFS($C:$C,$C437,$D:$D,"P0(후)",$L:$L,"&gt;0")&lt;&gt;1,"",SUMIFS($H:$H,$C:$C,$C437,$D:$D,"P0(후)"))</f>
        <v/>
      </c>
      <c r="Q437" s="30">
        <f>IF(COUNTIFS($C:$C,$C437,$D:$D,"P0(후)",$L:$L,"&gt;0")&lt;&gt;1,"",SUMIFS($L:$L,$C:$C,$C437,$D:$D,"P0(후)"))</f>
        <v/>
      </c>
      <c r="R437" s="30">
        <f>IF(M437&lt;&gt;"OK","",O437+(Q437-O437)*(H437-N437)/(P437-N437))</f>
        <v/>
      </c>
      <c r="S437" s="30">
        <f>IF(OR(M437&lt;&gt;"OK",NOT(ISNUMBER(L437))),"",L437-R437)</f>
        <v/>
      </c>
      <c r="T437" s="46">
        <f>IF(OR(NOT(ISNUMBER(S437)),IF(ISNUMBER(G437),G437,F437)=0),"",S437/IF(ISNUMBER(G437),G437,F437))</f>
        <v/>
      </c>
      <c r="U437" s="46">
        <f>IF(ISNUMBER(T437),ABS(T437),"")</f>
        <v/>
      </c>
      <c r="V437" s="46">
        <f>IF(OR($D436&lt;&gt;"측정",$C436&lt;&gt;$C437,NOT(ISNUMBER(L437)),NOT(ISNUMBER(L436)),(IF(ISNUMBER(G437),G437,F437)-IF(ISNUMBER(G436),G436,F436))=0),"",(L437-L436)/(IF(ISNUMBER(G437),G437,F437)-IF(ISNUMBER(G436),G436,F436)))</f>
        <v/>
      </c>
      <c r="W437" s="30">
        <f>IF(NOT(AND(ISNUMBER(N437),ISNUMBER(P437))),"",(P437-N437)*1440)</f>
        <v/>
      </c>
      <c r="X437" s="28" t="n"/>
      <c r="Y437" s="28" t="n"/>
      <c r="Z437" s="28" t="n"/>
      <c r="AA437" s="31" t="n"/>
      <c r="AB437" s="31" t="n"/>
    </row>
    <row r="438">
      <c r="A438" s="25" t="inlineStr">
        <is>
          <t>S09</t>
        </is>
      </c>
      <c r="B438" s="25" t="inlineStr">
        <is>
          <t>어론 신규점</t>
        </is>
      </c>
      <c r="C438" s="25" t="inlineStr">
        <is>
          <t>S09-H서</t>
        </is>
      </c>
      <c r="D438" s="25" t="inlineStr">
        <is>
          <t>측정</t>
        </is>
      </c>
      <c r="E438" s="25" t="inlineStr">
        <is>
          <t>서</t>
        </is>
      </c>
      <c r="F438" s="30" t="n">
        <v>3</v>
      </c>
      <c r="G438" s="29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IF(COUNTIFS($C:$C,$C438,$D:$D,"P0(전)",$L:$L,"&gt;0")&lt;&gt;1,"P0(전) 유효 1개 아님",IF(COUNTIFS($C:$C,$C438,$D:$D,"P0(후)",$L:$L,"&gt;0")&lt;&gt;1,"P0(후) 유효 1개 아님",IF(NOT(AND(ISNUMBER(N438),ISNUMBER(P438),ISNUMBER(H438))),"시각 결측",IF(P438&lt;=N438,"P0 시각 역전",IF(OR(H438&lt;N438,H438&gt;P438),"측정시각 구간 밖","OK")))))</f>
        <v/>
      </c>
      <c r="N438" s="45">
        <f>IF(COUNTIFS($C:$C,$C438,$D:$D,"P0(전)",$L:$L,"&gt;0")&lt;&gt;1,"",SUMIFS($H:$H,$C:$C,$C438,$D:$D,"P0(전)"))</f>
        <v/>
      </c>
      <c r="O438" s="30">
        <f>IF(COUNTIFS($C:$C,$C438,$D:$D,"P0(전)",$L:$L,"&gt;0")&lt;&gt;1,"",SUMIFS($L:$L,$C:$C,$C438,$D:$D,"P0(전)"))</f>
        <v/>
      </c>
      <c r="P438" s="45">
        <f>IF(COUNTIFS($C:$C,$C438,$D:$D,"P0(후)",$L:$L,"&gt;0")&lt;&gt;1,"",SUMIFS($H:$H,$C:$C,$C438,$D:$D,"P0(후)"))</f>
        <v/>
      </c>
      <c r="Q438" s="30">
        <f>IF(COUNTIFS($C:$C,$C438,$D:$D,"P0(후)",$L:$L,"&gt;0")&lt;&gt;1,"",SUMIFS($L:$L,$C:$C,$C438,$D:$D,"P0(후)"))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IF(OR(NOT(ISNUMBER(S438)),IF(ISNUMBER(G438),G438,F438)=0),"",S438/IF(ISNUMBER(G438),G438,F438))</f>
        <v/>
      </c>
      <c r="U438" s="46">
        <f>IF(ISNUMBER(T438),ABS(T438),"")</f>
        <v/>
      </c>
      <c r="V438" s="46">
        <f>IF(OR($D437&lt;&gt;"측정",$C437&lt;&gt;$C438,NOT(ISNUMBER(L438)),NOT(ISNUMBER(L437)),(IF(ISNUMBER(G438),G438,F438)-IF(ISNUMBER(G437),G437,F437))=0),"",(L438-L437)/(IF(ISNUMBER(G438),G438,F438)-IF(ISNUMBER(G437),G437,F437)))</f>
        <v/>
      </c>
      <c r="W438" s="30">
        <f>IF(NOT(AND(ISNUMBER(N438),ISNUMBER(P438))),"",(P438-N438)*1440)</f>
        <v/>
      </c>
      <c r="X438" s="28" t="n"/>
      <c r="Y438" s="28" t="n"/>
      <c r="Z438" s="28" t="n"/>
      <c r="AA438" s="31" t="n"/>
      <c r="AB438" s="31" t="n"/>
    </row>
    <row r="439">
      <c r="A439" s="25" t="inlineStr">
        <is>
          <t>S09</t>
        </is>
      </c>
      <c r="B439" s="25" t="inlineStr">
        <is>
          <t>어론 신규점</t>
        </is>
      </c>
      <c r="C439" s="25" t="inlineStr">
        <is>
          <t>S09-H서</t>
        </is>
      </c>
      <c r="D439" s="25" t="inlineStr">
        <is>
          <t>측정</t>
        </is>
      </c>
      <c r="E439" s="25" t="inlineStr">
        <is>
          <t>서</t>
        </is>
      </c>
      <c r="F439" s="30" t="n">
        <v>4</v>
      </c>
      <c r="G439" s="29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IF(COUNTIFS($C:$C,$C439,$D:$D,"P0(전)",$L:$L,"&gt;0")&lt;&gt;1,"P0(전) 유효 1개 아님",IF(COUNTIFS($C:$C,$C439,$D:$D,"P0(후)",$L:$L,"&gt;0")&lt;&gt;1,"P0(후) 유효 1개 아님",IF(NOT(AND(ISNUMBER(N439),ISNUMBER(P439),ISNUMBER(H439))),"시각 결측",IF(P439&lt;=N439,"P0 시각 역전",IF(OR(H439&lt;N439,H439&gt;P439),"측정시각 구간 밖","OK")))))</f>
        <v/>
      </c>
      <c r="N439" s="45">
        <f>IF(COUNTIFS($C:$C,$C439,$D:$D,"P0(전)",$L:$L,"&gt;0")&lt;&gt;1,"",SUMIFS($H:$H,$C:$C,$C439,$D:$D,"P0(전)"))</f>
        <v/>
      </c>
      <c r="O439" s="30">
        <f>IF(COUNTIFS($C:$C,$C439,$D:$D,"P0(전)",$L:$L,"&gt;0")&lt;&gt;1,"",SUMIFS($L:$L,$C:$C,$C439,$D:$D,"P0(전)"))</f>
        <v/>
      </c>
      <c r="P439" s="45">
        <f>IF(COUNTIFS($C:$C,$C439,$D:$D,"P0(후)",$L:$L,"&gt;0")&lt;&gt;1,"",SUMIFS($H:$H,$C:$C,$C439,$D:$D,"P0(후)"))</f>
        <v/>
      </c>
      <c r="Q439" s="30">
        <f>IF(COUNTIFS($C:$C,$C439,$D:$D,"P0(후)",$L:$L,"&gt;0")&lt;&gt;1,"",SUMIFS($L:$L,$C:$C,$C439,$D:$D,"P0(후)"))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IF(OR(NOT(ISNUMBER(S439)),IF(ISNUMBER(G439),G439,F439)=0),"",S439/IF(ISNUMBER(G439),G439,F439))</f>
        <v/>
      </c>
      <c r="U439" s="46">
        <f>IF(ISNUMBER(T439),ABS(T439),"")</f>
        <v/>
      </c>
      <c r="V439" s="46">
        <f>IF(OR($D438&lt;&gt;"측정",$C438&lt;&gt;$C439,NOT(ISNUMBER(L439)),NOT(ISNUMBER(L438)),(IF(ISNUMBER(G439),G439,F439)-IF(ISNUMBER(G438),G438,F438))=0),"",(L439-L438)/(IF(ISNUMBER(G439),G439,F439)-IF(ISNUMBER(G438),G438,F438)))</f>
        <v/>
      </c>
      <c r="W439" s="30">
        <f>IF(NOT(AND(ISNUMBER(N439),ISNUMBER(P439))),"",(P439-N439)*1440)</f>
        <v/>
      </c>
      <c r="X439" s="28" t="n"/>
      <c r="Y439" s="28" t="n"/>
      <c r="Z439" s="28" t="n"/>
      <c r="AA439" s="31" t="n"/>
      <c r="AB439" s="31" t="n"/>
    </row>
    <row r="440">
      <c r="A440" s="25" t="inlineStr">
        <is>
          <t>S09</t>
        </is>
      </c>
      <c r="B440" s="25" t="inlineStr">
        <is>
          <t>어론 신규점</t>
        </is>
      </c>
      <c r="C440" s="25" t="inlineStr">
        <is>
          <t>S09-H서</t>
        </is>
      </c>
      <c r="D440" s="25" t="inlineStr">
        <is>
          <t>측정</t>
        </is>
      </c>
      <c r="E440" s="25" t="inlineStr">
        <is>
          <t>서</t>
        </is>
      </c>
      <c r="F440" s="30" t="n">
        <v>5</v>
      </c>
      <c r="G440" s="29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IF(COUNTIFS($C:$C,$C440,$D:$D,"P0(전)",$L:$L,"&gt;0")&lt;&gt;1,"P0(전) 유효 1개 아님",IF(COUNTIFS($C:$C,$C440,$D:$D,"P0(후)",$L:$L,"&gt;0")&lt;&gt;1,"P0(후) 유효 1개 아님",IF(NOT(AND(ISNUMBER(N440),ISNUMBER(P440),ISNUMBER(H440))),"시각 결측",IF(P440&lt;=N440,"P0 시각 역전",IF(OR(H440&lt;N440,H440&gt;P440),"측정시각 구간 밖","OK")))))</f>
        <v/>
      </c>
      <c r="N440" s="45">
        <f>IF(COUNTIFS($C:$C,$C440,$D:$D,"P0(전)",$L:$L,"&gt;0")&lt;&gt;1,"",SUMIFS($H:$H,$C:$C,$C440,$D:$D,"P0(전)"))</f>
        <v/>
      </c>
      <c r="O440" s="30">
        <f>IF(COUNTIFS($C:$C,$C440,$D:$D,"P0(전)",$L:$L,"&gt;0")&lt;&gt;1,"",SUMIFS($L:$L,$C:$C,$C440,$D:$D,"P0(전)"))</f>
        <v/>
      </c>
      <c r="P440" s="45">
        <f>IF(COUNTIFS($C:$C,$C440,$D:$D,"P0(후)",$L:$L,"&gt;0")&lt;&gt;1,"",SUMIFS($H:$H,$C:$C,$C440,$D:$D,"P0(후)"))</f>
        <v/>
      </c>
      <c r="Q440" s="30">
        <f>IF(COUNTIFS($C:$C,$C440,$D:$D,"P0(후)",$L:$L,"&gt;0")&lt;&gt;1,"",SUMIFS($L:$L,$C:$C,$C440,$D:$D,"P0(후)"))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IF(OR(NOT(ISNUMBER(S440)),IF(ISNUMBER(G440),G440,F440)=0),"",S440/IF(ISNUMBER(G440),G440,F440))</f>
        <v/>
      </c>
      <c r="U440" s="46">
        <f>IF(ISNUMBER(T440),ABS(T440),"")</f>
        <v/>
      </c>
      <c r="V440" s="46">
        <f>IF(OR($D439&lt;&gt;"측정",$C439&lt;&gt;$C440,NOT(ISNUMBER(L440)),NOT(ISNUMBER(L439)),(IF(ISNUMBER(G440),G440,F440)-IF(ISNUMBER(G439),G439,F439))=0),"",(L440-L439)/(IF(ISNUMBER(G440),G440,F440)-IF(ISNUMBER(G439),G439,F439)))</f>
        <v/>
      </c>
      <c r="W440" s="30">
        <f>IF(NOT(AND(ISNUMBER(N440),ISNUMBER(P440))),"",(P440-N440)*1440)</f>
        <v/>
      </c>
      <c r="X440" s="28" t="n"/>
      <c r="Y440" s="28" t="n"/>
      <c r="Z440" s="28" t="n"/>
      <c r="AA440" s="31" t="n"/>
      <c r="AB440" s="31" t="n"/>
    </row>
    <row r="441">
      <c r="A441" s="25" t="inlineStr">
        <is>
          <t>S09</t>
        </is>
      </c>
      <c r="B441" s="25" t="inlineStr">
        <is>
          <t>어론 신규점</t>
        </is>
      </c>
      <c r="C441" s="25" t="inlineStr">
        <is>
          <t>S09-H서</t>
        </is>
      </c>
      <c r="D441" s="25" t="inlineStr">
        <is>
          <t>측정</t>
        </is>
      </c>
      <c r="E441" s="25" t="inlineStr">
        <is>
          <t>서</t>
        </is>
      </c>
      <c r="F441" s="30" t="n">
        <v>6</v>
      </c>
      <c r="G441" s="29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IF(COUNTIFS($C:$C,$C441,$D:$D,"P0(전)",$L:$L,"&gt;0")&lt;&gt;1,"P0(전) 유효 1개 아님",IF(COUNTIFS($C:$C,$C441,$D:$D,"P0(후)",$L:$L,"&gt;0")&lt;&gt;1,"P0(후) 유효 1개 아님",IF(NOT(AND(ISNUMBER(N441),ISNUMBER(P441),ISNUMBER(H441))),"시각 결측",IF(P441&lt;=N441,"P0 시각 역전",IF(OR(H441&lt;N441,H441&gt;P441),"측정시각 구간 밖","OK")))))</f>
        <v/>
      </c>
      <c r="N441" s="45">
        <f>IF(COUNTIFS($C:$C,$C441,$D:$D,"P0(전)",$L:$L,"&gt;0")&lt;&gt;1,"",SUMIFS($H:$H,$C:$C,$C441,$D:$D,"P0(전)"))</f>
        <v/>
      </c>
      <c r="O441" s="30">
        <f>IF(COUNTIFS($C:$C,$C441,$D:$D,"P0(전)",$L:$L,"&gt;0")&lt;&gt;1,"",SUMIFS($L:$L,$C:$C,$C441,$D:$D,"P0(전)"))</f>
        <v/>
      </c>
      <c r="P441" s="45">
        <f>IF(COUNTIFS($C:$C,$C441,$D:$D,"P0(후)",$L:$L,"&gt;0")&lt;&gt;1,"",SUMIFS($H:$H,$C:$C,$C441,$D:$D,"P0(후)"))</f>
        <v/>
      </c>
      <c r="Q441" s="30">
        <f>IF(COUNTIFS($C:$C,$C441,$D:$D,"P0(후)",$L:$L,"&gt;0")&lt;&gt;1,"",SUMIFS($L:$L,$C:$C,$C441,$D:$D,"P0(후)"))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IF(OR(NOT(ISNUMBER(S441)),IF(ISNUMBER(G441),G441,F441)=0),"",S441/IF(ISNUMBER(G441),G441,F441))</f>
        <v/>
      </c>
      <c r="U441" s="46">
        <f>IF(ISNUMBER(T441),ABS(T441),"")</f>
        <v/>
      </c>
      <c r="V441" s="46">
        <f>IF(OR($D440&lt;&gt;"측정",$C440&lt;&gt;$C441,NOT(ISNUMBER(L441)),NOT(ISNUMBER(L440)),(IF(ISNUMBER(G441),G441,F441)-IF(ISNUMBER(G440),G440,F440))=0),"",(L441-L440)/(IF(ISNUMBER(G441),G441,F441)-IF(ISNUMBER(G440),G440,F440)))</f>
        <v/>
      </c>
      <c r="W441" s="30">
        <f>IF(NOT(AND(ISNUMBER(N441),ISNUMBER(P441))),"",(P441-N441)*1440)</f>
        <v/>
      </c>
      <c r="X441" s="28" t="n"/>
      <c r="Y441" s="28" t="n"/>
      <c r="Z441" s="28" t="n"/>
      <c r="AA441" s="31" t="n"/>
      <c r="AB441" s="31" t="n"/>
    </row>
    <row r="442">
      <c r="A442" s="25" t="inlineStr">
        <is>
          <t>S09</t>
        </is>
      </c>
      <c r="B442" s="25" t="inlineStr">
        <is>
          <t>어론 신규점</t>
        </is>
      </c>
      <c r="C442" s="25" t="inlineStr">
        <is>
          <t>S09-H서</t>
        </is>
      </c>
      <c r="D442" s="25" t="inlineStr">
        <is>
          <t>측정</t>
        </is>
      </c>
      <c r="E442" s="25" t="inlineStr">
        <is>
          <t>서</t>
        </is>
      </c>
      <c r="F442" s="30" t="n">
        <v>7</v>
      </c>
      <c r="G442" s="29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IF(COUNTIFS($C:$C,$C442,$D:$D,"P0(전)",$L:$L,"&gt;0")&lt;&gt;1,"P0(전) 유효 1개 아님",IF(COUNTIFS($C:$C,$C442,$D:$D,"P0(후)",$L:$L,"&gt;0")&lt;&gt;1,"P0(후) 유효 1개 아님",IF(NOT(AND(ISNUMBER(N442),ISNUMBER(P442),ISNUMBER(H442))),"시각 결측",IF(P442&lt;=N442,"P0 시각 역전",IF(OR(H442&lt;N442,H442&gt;P442),"측정시각 구간 밖","OK")))))</f>
        <v/>
      </c>
      <c r="N442" s="45">
        <f>IF(COUNTIFS($C:$C,$C442,$D:$D,"P0(전)",$L:$L,"&gt;0")&lt;&gt;1,"",SUMIFS($H:$H,$C:$C,$C442,$D:$D,"P0(전)"))</f>
        <v/>
      </c>
      <c r="O442" s="30">
        <f>IF(COUNTIFS($C:$C,$C442,$D:$D,"P0(전)",$L:$L,"&gt;0")&lt;&gt;1,"",SUMIFS($L:$L,$C:$C,$C442,$D:$D,"P0(전)"))</f>
        <v/>
      </c>
      <c r="P442" s="45">
        <f>IF(COUNTIFS($C:$C,$C442,$D:$D,"P0(후)",$L:$L,"&gt;0")&lt;&gt;1,"",SUMIFS($H:$H,$C:$C,$C442,$D:$D,"P0(후)"))</f>
        <v/>
      </c>
      <c r="Q442" s="30">
        <f>IF(COUNTIFS($C:$C,$C442,$D:$D,"P0(후)",$L:$L,"&gt;0")&lt;&gt;1,"",SUMIFS($L:$L,$C:$C,$C442,$D:$D,"P0(후)"))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IF(OR(NOT(ISNUMBER(S442)),IF(ISNUMBER(G442),G442,F442)=0),"",S442/IF(ISNUMBER(G442),G442,F442))</f>
        <v/>
      </c>
      <c r="U442" s="46">
        <f>IF(ISNUMBER(T442),ABS(T442),"")</f>
        <v/>
      </c>
      <c r="V442" s="46">
        <f>IF(OR($D441&lt;&gt;"측정",$C441&lt;&gt;$C442,NOT(ISNUMBER(L442)),NOT(ISNUMBER(L441)),(IF(ISNUMBER(G442),G442,F442)-IF(ISNUMBER(G441),G441,F441))=0),"",(L442-L441)/(IF(ISNUMBER(G442),G442,F442)-IF(ISNUMBER(G441),G441,F441)))</f>
        <v/>
      </c>
      <c r="W442" s="30">
        <f>IF(NOT(AND(ISNUMBER(N442),ISNUMBER(P442))),"",(P442-N442)*1440)</f>
        <v/>
      </c>
      <c r="X442" s="28" t="n"/>
      <c r="Y442" s="28" t="n"/>
      <c r="Z442" s="28" t="n"/>
      <c r="AA442" s="31" t="n"/>
      <c r="AB442" s="31" t="n"/>
    </row>
    <row r="443">
      <c r="A443" s="25" t="inlineStr">
        <is>
          <t>S09</t>
        </is>
      </c>
      <c r="B443" s="25" t="inlineStr">
        <is>
          <t>어론 신규점</t>
        </is>
      </c>
      <c r="C443" s="25" t="inlineStr">
        <is>
          <t>S09-H서</t>
        </is>
      </c>
      <c r="D443" s="25" t="inlineStr">
        <is>
          <t>측정</t>
        </is>
      </c>
      <c r="E443" s="25" t="inlineStr">
        <is>
          <t>서</t>
        </is>
      </c>
      <c r="F443" s="30" t="n">
        <v>8</v>
      </c>
      <c r="G443" s="29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IF(COUNTIFS($C:$C,$C443,$D:$D,"P0(전)",$L:$L,"&gt;0")&lt;&gt;1,"P0(전) 유효 1개 아님",IF(COUNTIFS($C:$C,$C443,$D:$D,"P0(후)",$L:$L,"&gt;0")&lt;&gt;1,"P0(후) 유효 1개 아님",IF(NOT(AND(ISNUMBER(N443),ISNUMBER(P443),ISNUMBER(H443))),"시각 결측",IF(P443&lt;=N443,"P0 시각 역전",IF(OR(H443&lt;N443,H443&gt;P443),"측정시각 구간 밖","OK")))))</f>
        <v/>
      </c>
      <c r="N443" s="45">
        <f>IF(COUNTIFS($C:$C,$C443,$D:$D,"P0(전)",$L:$L,"&gt;0")&lt;&gt;1,"",SUMIFS($H:$H,$C:$C,$C443,$D:$D,"P0(전)"))</f>
        <v/>
      </c>
      <c r="O443" s="30">
        <f>IF(COUNTIFS($C:$C,$C443,$D:$D,"P0(전)",$L:$L,"&gt;0")&lt;&gt;1,"",SUMIFS($L:$L,$C:$C,$C443,$D:$D,"P0(전)"))</f>
        <v/>
      </c>
      <c r="P443" s="45">
        <f>IF(COUNTIFS($C:$C,$C443,$D:$D,"P0(후)",$L:$L,"&gt;0")&lt;&gt;1,"",SUMIFS($H:$H,$C:$C,$C443,$D:$D,"P0(후)"))</f>
        <v/>
      </c>
      <c r="Q443" s="30">
        <f>IF(COUNTIFS($C:$C,$C443,$D:$D,"P0(후)",$L:$L,"&gt;0")&lt;&gt;1,"",SUMIFS($L:$L,$C:$C,$C443,$D:$D,"P0(후)"))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IF(OR(NOT(ISNUMBER(S443)),IF(ISNUMBER(G443),G443,F443)=0),"",S443/IF(ISNUMBER(G443),G443,F443))</f>
        <v/>
      </c>
      <c r="U443" s="46">
        <f>IF(ISNUMBER(T443),ABS(T443),"")</f>
        <v/>
      </c>
      <c r="V443" s="46">
        <f>IF(OR($D442&lt;&gt;"측정",$C442&lt;&gt;$C443,NOT(ISNUMBER(L443)),NOT(ISNUMBER(L442)),(IF(ISNUMBER(G443),G443,F443)-IF(ISNUMBER(G442),G442,F442))=0),"",(L443-L442)/(IF(ISNUMBER(G443),G443,F443)-IF(ISNUMBER(G442),G442,F442)))</f>
        <v/>
      </c>
      <c r="W443" s="30">
        <f>IF(NOT(AND(ISNUMBER(N443),ISNUMBER(P443))),"",(P443-N443)*1440)</f>
        <v/>
      </c>
      <c r="X443" s="28" t="n"/>
      <c r="Y443" s="28" t="n"/>
      <c r="Z443" s="28" t="n"/>
      <c r="AA443" s="31" t="n"/>
      <c r="AB443" s="31" t="n"/>
    </row>
    <row r="444">
      <c r="A444" s="25" t="inlineStr">
        <is>
          <t>S09</t>
        </is>
      </c>
      <c r="B444" s="25" t="inlineStr">
        <is>
          <t>어론 신규점</t>
        </is>
      </c>
      <c r="C444" s="25" t="inlineStr">
        <is>
          <t>S09-H서</t>
        </is>
      </c>
      <c r="D444" s="25" t="inlineStr">
        <is>
          <t>측정</t>
        </is>
      </c>
      <c r="E444" s="25" t="inlineStr">
        <is>
          <t>서</t>
        </is>
      </c>
      <c r="F444" s="30" t="n">
        <v>9</v>
      </c>
      <c r="G444" s="29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IF(COUNTIFS($C:$C,$C444,$D:$D,"P0(전)",$L:$L,"&gt;0")&lt;&gt;1,"P0(전) 유효 1개 아님",IF(COUNTIFS($C:$C,$C444,$D:$D,"P0(후)",$L:$L,"&gt;0")&lt;&gt;1,"P0(후) 유효 1개 아님",IF(NOT(AND(ISNUMBER(N444),ISNUMBER(P444),ISNUMBER(H444))),"시각 결측",IF(P444&lt;=N444,"P0 시각 역전",IF(OR(H444&lt;N444,H444&gt;P444),"측정시각 구간 밖","OK")))))</f>
        <v/>
      </c>
      <c r="N444" s="45">
        <f>IF(COUNTIFS($C:$C,$C444,$D:$D,"P0(전)",$L:$L,"&gt;0")&lt;&gt;1,"",SUMIFS($H:$H,$C:$C,$C444,$D:$D,"P0(전)"))</f>
        <v/>
      </c>
      <c r="O444" s="30">
        <f>IF(COUNTIFS($C:$C,$C444,$D:$D,"P0(전)",$L:$L,"&gt;0")&lt;&gt;1,"",SUMIFS($L:$L,$C:$C,$C444,$D:$D,"P0(전)"))</f>
        <v/>
      </c>
      <c r="P444" s="45">
        <f>IF(COUNTIFS($C:$C,$C444,$D:$D,"P0(후)",$L:$L,"&gt;0")&lt;&gt;1,"",SUMIFS($H:$H,$C:$C,$C444,$D:$D,"P0(후)"))</f>
        <v/>
      </c>
      <c r="Q444" s="30">
        <f>IF(COUNTIFS($C:$C,$C444,$D:$D,"P0(후)",$L:$L,"&gt;0")&lt;&gt;1,"",SUMIFS($L:$L,$C:$C,$C444,$D:$D,"P0(후)"))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IF(OR(NOT(ISNUMBER(S444)),IF(ISNUMBER(G444),G444,F444)=0),"",S444/IF(ISNUMBER(G444),G444,F444))</f>
        <v/>
      </c>
      <c r="U444" s="46">
        <f>IF(ISNUMBER(T444),ABS(T444),"")</f>
        <v/>
      </c>
      <c r="V444" s="46">
        <f>IF(OR($D443&lt;&gt;"측정",$C443&lt;&gt;$C444,NOT(ISNUMBER(L444)),NOT(ISNUMBER(L443)),(IF(ISNUMBER(G444),G444,F444)-IF(ISNUMBER(G443),G443,F443))=0),"",(L444-L443)/(IF(ISNUMBER(G444),G444,F444)-IF(ISNUMBER(G443),G443,F443)))</f>
        <v/>
      </c>
      <c r="W444" s="30">
        <f>IF(NOT(AND(ISNUMBER(N444),ISNUMBER(P444))),"",(P444-N444)*1440)</f>
        <v/>
      </c>
      <c r="X444" s="28" t="n"/>
      <c r="Y444" s="28" t="n"/>
      <c r="Z444" s="28" t="n"/>
      <c r="AA444" s="31" t="n"/>
      <c r="AB444" s="31" t="n"/>
    </row>
    <row r="445">
      <c r="A445" s="25" t="inlineStr">
        <is>
          <t>S09</t>
        </is>
      </c>
      <c r="B445" s="25" t="inlineStr">
        <is>
          <t>어론 신규점</t>
        </is>
      </c>
      <c r="C445" s="25" t="inlineStr">
        <is>
          <t>S09-H서</t>
        </is>
      </c>
      <c r="D445" s="25" t="inlineStr">
        <is>
          <t>측정</t>
        </is>
      </c>
      <c r="E445" s="25" t="inlineStr">
        <is>
          <t>서</t>
        </is>
      </c>
      <c r="F445" s="30" t="n">
        <v>10</v>
      </c>
      <c r="G445" s="29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IF(COUNTIFS($C:$C,$C445,$D:$D,"P0(전)",$L:$L,"&gt;0")&lt;&gt;1,"P0(전) 유효 1개 아님",IF(COUNTIFS($C:$C,$C445,$D:$D,"P0(후)",$L:$L,"&gt;0")&lt;&gt;1,"P0(후) 유효 1개 아님",IF(NOT(AND(ISNUMBER(N445),ISNUMBER(P445),ISNUMBER(H445))),"시각 결측",IF(P445&lt;=N445,"P0 시각 역전",IF(OR(H445&lt;N445,H445&gt;P445),"측정시각 구간 밖","OK")))))</f>
        <v/>
      </c>
      <c r="N445" s="45">
        <f>IF(COUNTIFS($C:$C,$C445,$D:$D,"P0(전)",$L:$L,"&gt;0")&lt;&gt;1,"",SUMIFS($H:$H,$C:$C,$C445,$D:$D,"P0(전)"))</f>
        <v/>
      </c>
      <c r="O445" s="30">
        <f>IF(COUNTIFS($C:$C,$C445,$D:$D,"P0(전)",$L:$L,"&gt;0")&lt;&gt;1,"",SUMIFS($L:$L,$C:$C,$C445,$D:$D,"P0(전)"))</f>
        <v/>
      </c>
      <c r="P445" s="45">
        <f>IF(COUNTIFS($C:$C,$C445,$D:$D,"P0(후)",$L:$L,"&gt;0")&lt;&gt;1,"",SUMIFS($H:$H,$C:$C,$C445,$D:$D,"P0(후)"))</f>
        <v/>
      </c>
      <c r="Q445" s="30">
        <f>IF(COUNTIFS($C:$C,$C445,$D:$D,"P0(후)",$L:$L,"&gt;0")&lt;&gt;1,"",SUMIFS($L:$L,$C:$C,$C445,$D:$D,"P0(후)"))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IF(OR(NOT(ISNUMBER(S445)),IF(ISNUMBER(G445),G445,F445)=0),"",S445/IF(ISNUMBER(G445),G445,F445))</f>
        <v/>
      </c>
      <c r="U445" s="46">
        <f>IF(ISNUMBER(T445),ABS(T445),"")</f>
        <v/>
      </c>
      <c r="V445" s="46">
        <f>IF(OR($D444&lt;&gt;"측정",$C444&lt;&gt;$C445,NOT(ISNUMBER(L445)),NOT(ISNUMBER(L444)),(IF(ISNUMBER(G445),G445,F445)-IF(ISNUMBER(G444),G444,F444))=0),"",(L445-L444)/(IF(ISNUMBER(G445),G445,F445)-IF(ISNUMBER(G444),G444,F444)))</f>
        <v/>
      </c>
      <c r="W445" s="30">
        <f>IF(NOT(AND(ISNUMBER(N445),ISNUMBER(P445))),"",(P445-N445)*1440)</f>
        <v/>
      </c>
      <c r="X445" s="28" t="n"/>
      <c r="Y445" s="28" t="n"/>
      <c r="Z445" s="28" t="n"/>
      <c r="AA445" s="31" t="n"/>
      <c r="AB445" s="31" t="n"/>
    </row>
    <row r="446">
      <c r="A446" s="43" t="inlineStr">
        <is>
          <t>S09</t>
        </is>
      </c>
      <c r="B446" s="43" t="inlineStr">
        <is>
          <t>어론 신규점</t>
        </is>
      </c>
      <c r="C446" s="43" t="inlineStr">
        <is>
          <t>S09-H서</t>
        </is>
      </c>
      <c r="D446" s="43" t="inlineStr">
        <is>
          <t>P0(후)</t>
        </is>
      </c>
      <c r="E446" s="43" t="inlineStr">
        <is>
          <t>서</t>
        </is>
      </c>
      <c r="F446" s="44" t="n"/>
      <c r="G446" s="29" t="n"/>
      <c r="H446" s="42" t="n"/>
      <c r="I446" s="40" t="n"/>
      <c r="J446" s="40" t="n"/>
      <c r="K446" s="40" t="n"/>
      <c r="L446" s="30">
        <f>IF(COUNT(I446:K446)=0,"",MEDIAN(I446:K446))</f>
        <v/>
      </c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28" t="n"/>
      <c r="Y446" s="28" t="n"/>
      <c r="Z446" s="28" t="n"/>
      <c r="AA446" s="31" t="n"/>
      <c r="AB446" s="31" t="n"/>
    </row>
    <row r="447">
      <c r="A447" s="43" t="inlineStr">
        <is>
          <t>S09</t>
        </is>
      </c>
      <c r="B447" s="43" t="inlineStr">
        <is>
          <t>어론 신규점</t>
        </is>
      </c>
      <c r="C447" s="43" t="inlineStr">
        <is>
          <t>S09-H남</t>
        </is>
      </c>
      <c r="D447" s="43" t="inlineStr">
        <is>
          <t>P0(전)</t>
        </is>
      </c>
      <c r="E447" s="43" t="inlineStr">
        <is>
          <t>남</t>
        </is>
      </c>
      <c r="F447" s="44" t="n"/>
      <c r="G447" s="29" t="n"/>
      <c r="H447" s="42" t="n"/>
      <c r="I447" s="40" t="n"/>
      <c r="J447" s="40" t="n"/>
      <c r="K447" s="40" t="n"/>
      <c r="L447" s="30">
        <f>IF(COUNT(I447:K447)=0,"",MEDIAN(I447:K447))</f>
        <v/>
      </c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28" t="n"/>
      <c r="Y447" s="28" t="n"/>
      <c r="Z447" s="28" t="n"/>
      <c r="AA447" s="31" t="n"/>
      <c r="AB447" s="31" t="n"/>
    </row>
    <row r="448">
      <c r="A448" s="25" t="inlineStr">
        <is>
          <t>S09</t>
        </is>
      </c>
      <c r="B448" s="25" t="inlineStr">
        <is>
          <t>어론 신규점</t>
        </is>
      </c>
      <c r="C448" s="25" t="inlineStr">
        <is>
          <t>S09-H남</t>
        </is>
      </c>
      <c r="D448" s="25" t="inlineStr">
        <is>
          <t>측정</t>
        </is>
      </c>
      <c r="E448" s="25" t="inlineStr">
        <is>
          <t>남</t>
        </is>
      </c>
      <c r="F448" s="30" t="n">
        <v>0.5</v>
      </c>
      <c r="G448" s="29" t="n"/>
      <c r="H448" s="42" t="n"/>
      <c r="I448" s="40" t="n"/>
      <c r="J448" s="40" t="n"/>
      <c r="K448" s="40" t="n"/>
      <c r="L448" s="30">
        <f>IF(COUNT(I448:K448)=0,"",MEDIAN(I448:K448))</f>
        <v/>
      </c>
      <c r="M448" s="25">
        <f>IF(COUNTIFS($C:$C,$C448,$D:$D,"P0(전)",$L:$L,"&gt;0")&lt;&gt;1,"P0(전) 유효 1개 아님",IF(COUNTIFS($C:$C,$C448,$D:$D,"P0(후)",$L:$L,"&gt;0")&lt;&gt;1,"P0(후) 유효 1개 아님",IF(NOT(AND(ISNUMBER(N448),ISNUMBER(P448),ISNUMBER(H448))),"시각 결측",IF(P448&lt;=N448,"P0 시각 역전",IF(OR(H448&lt;N448,H448&gt;P448),"측정시각 구간 밖","OK")))))</f>
        <v/>
      </c>
      <c r="N448" s="45">
        <f>IF(COUNTIFS($C:$C,$C448,$D:$D,"P0(전)",$L:$L,"&gt;0")&lt;&gt;1,"",SUMIFS($H:$H,$C:$C,$C448,$D:$D,"P0(전)"))</f>
        <v/>
      </c>
      <c r="O448" s="30">
        <f>IF(COUNTIFS($C:$C,$C448,$D:$D,"P0(전)",$L:$L,"&gt;0")&lt;&gt;1,"",SUMIFS($L:$L,$C:$C,$C448,$D:$D,"P0(전)"))</f>
        <v/>
      </c>
      <c r="P448" s="45">
        <f>IF(COUNTIFS($C:$C,$C448,$D:$D,"P0(후)",$L:$L,"&gt;0")&lt;&gt;1,"",SUMIFS($H:$H,$C:$C,$C448,$D:$D,"P0(후)"))</f>
        <v/>
      </c>
      <c r="Q448" s="30">
        <f>IF(COUNTIFS($C:$C,$C448,$D:$D,"P0(후)",$L:$L,"&gt;0")&lt;&gt;1,"",SUMIFS($L:$L,$C:$C,$C448,$D:$D,"P0(후)"))</f>
        <v/>
      </c>
      <c r="R448" s="30">
        <f>IF(M448&lt;&gt;"OK","",O448+(Q448-O448)*(H448-N448)/(P448-N448))</f>
        <v/>
      </c>
      <c r="S448" s="30">
        <f>IF(OR(M448&lt;&gt;"OK",NOT(ISNUMBER(L448))),"",L448-R448)</f>
        <v/>
      </c>
      <c r="T448" s="46">
        <f>IF(OR(NOT(ISNUMBER(S448)),IF(ISNUMBER(G448),G448,F448)=0),"",S448/IF(ISNUMBER(G448),G448,F448))</f>
        <v/>
      </c>
      <c r="U448" s="46">
        <f>IF(ISNUMBER(T448),ABS(T448),"")</f>
        <v/>
      </c>
      <c r="V448" s="46">
        <f>IF(OR($D447&lt;&gt;"측정",$C447&lt;&gt;$C448,NOT(ISNUMBER(L448)),NOT(ISNUMBER(L447)),(IF(ISNUMBER(G448),G448,F448)-IF(ISNUMBER(G447),G447,F447))=0),"",(L448-L447)/(IF(ISNUMBER(G448),G448,F448)-IF(ISNUMBER(G447),G447,F447)))</f>
        <v/>
      </c>
      <c r="W448" s="30">
        <f>IF(NOT(AND(ISNUMBER(N448),ISNUMBER(P448))),"",(P448-N448)*1440)</f>
        <v/>
      </c>
      <c r="X448" s="28" t="n"/>
      <c r="Y448" s="28" t="n"/>
      <c r="Z448" s="28" t="n"/>
      <c r="AA448" s="31" t="n"/>
      <c r="AB448" s="31" t="n"/>
    </row>
    <row r="449">
      <c r="A449" s="25" t="inlineStr">
        <is>
          <t>S09</t>
        </is>
      </c>
      <c r="B449" s="25" t="inlineStr">
        <is>
          <t>어론 신규점</t>
        </is>
      </c>
      <c r="C449" s="25" t="inlineStr">
        <is>
          <t>S09-H남</t>
        </is>
      </c>
      <c r="D449" s="25" t="inlineStr">
        <is>
          <t>측정</t>
        </is>
      </c>
      <c r="E449" s="25" t="inlineStr">
        <is>
          <t>남</t>
        </is>
      </c>
      <c r="F449" s="30" t="n">
        <v>1</v>
      </c>
      <c r="G449" s="29" t="n"/>
      <c r="H449" s="42" t="n"/>
      <c r="I449" s="40" t="n"/>
      <c r="J449" s="40" t="n"/>
      <c r="K449" s="40" t="n"/>
      <c r="L449" s="30">
        <f>IF(COUNT(I449:K449)=0,"",MEDIAN(I449:K449))</f>
        <v/>
      </c>
      <c r="M449" s="25">
        <f>IF(COUNTIFS($C:$C,$C449,$D:$D,"P0(전)",$L:$L,"&gt;0")&lt;&gt;1,"P0(전) 유효 1개 아님",IF(COUNTIFS($C:$C,$C449,$D:$D,"P0(후)",$L:$L,"&gt;0")&lt;&gt;1,"P0(후) 유효 1개 아님",IF(NOT(AND(ISNUMBER(N449),ISNUMBER(P449),ISNUMBER(H449))),"시각 결측",IF(P449&lt;=N449,"P0 시각 역전",IF(OR(H449&lt;N449,H449&gt;P449),"측정시각 구간 밖","OK")))))</f>
        <v/>
      </c>
      <c r="N449" s="45">
        <f>IF(COUNTIFS($C:$C,$C449,$D:$D,"P0(전)",$L:$L,"&gt;0")&lt;&gt;1,"",SUMIFS($H:$H,$C:$C,$C449,$D:$D,"P0(전)"))</f>
        <v/>
      </c>
      <c r="O449" s="30">
        <f>IF(COUNTIFS($C:$C,$C449,$D:$D,"P0(전)",$L:$L,"&gt;0")&lt;&gt;1,"",SUMIFS($L:$L,$C:$C,$C449,$D:$D,"P0(전)"))</f>
        <v/>
      </c>
      <c r="P449" s="45">
        <f>IF(COUNTIFS($C:$C,$C449,$D:$D,"P0(후)",$L:$L,"&gt;0")&lt;&gt;1,"",SUMIFS($H:$H,$C:$C,$C449,$D:$D,"P0(후)"))</f>
        <v/>
      </c>
      <c r="Q449" s="30">
        <f>IF(COUNTIFS($C:$C,$C449,$D:$D,"P0(후)",$L:$L,"&gt;0")&lt;&gt;1,"",SUMIFS($L:$L,$C:$C,$C449,$D:$D,"P0(후)"))</f>
        <v/>
      </c>
      <c r="R449" s="30">
        <f>IF(M449&lt;&gt;"OK","",O449+(Q449-O449)*(H449-N449)/(P449-N449))</f>
        <v/>
      </c>
      <c r="S449" s="30">
        <f>IF(OR(M449&lt;&gt;"OK",NOT(ISNUMBER(L449))),"",L449-R449)</f>
        <v/>
      </c>
      <c r="T449" s="46">
        <f>IF(OR(NOT(ISNUMBER(S449)),IF(ISNUMBER(G449),G449,F449)=0),"",S449/IF(ISNUMBER(G449),G449,F449))</f>
        <v/>
      </c>
      <c r="U449" s="46">
        <f>IF(ISNUMBER(T449),ABS(T449),"")</f>
        <v/>
      </c>
      <c r="V449" s="46">
        <f>IF(OR($D448&lt;&gt;"측정",$C448&lt;&gt;$C449,NOT(ISNUMBER(L449)),NOT(ISNUMBER(L448)),(IF(ISNUMBER(G449),G449,F449)-IF(ISNUMBER(G448),G448,F448))=0),"",(L449-L448)/(IF(ISNUMBER(G449),G449,F449)-IF(ISNUMBER(G448),G448,F448)))</f>
        <v/>
      </c>
      <c r="W449" s="30">
        <f>IF(NOT(AND(ISNUMBER(N449),ISNUMBER(P449))),"",(P449-N449)*1440)</f>
        <v/>
      </c>
      <c r="X449" s="28" t="n"/>
      <c r="Y449" s="28" t="n"/>
      <c r="Z449" s="28" t="n"/>
      <c r="AA449" s="31" t="n"/>
      <c r="AB449" s="31" t="n"/>
    </row>
    <row r="450">
      <c r="A450" s="25" t="inlineStr">
        <is>
          <t>S09</t>
        </is>
      </c>
      <c r="B450" s="25" t="inlineStr">
        <is>
          <t>어론 신규점</t>
        </is>
      </c>
      <c r="C450" s="25" t="inlineStr">
        <is>
          <t>S09-H남</t>
        </is>
      </c>
      <c r="D450" s="25" t="inlineStr">
        <is>
          <t>측정</t>
        </is>
      </c>
      <c r="E450" s="25" t="inlineStr">
        <is>
          <t>남</t>
        </is>
      </c>
      <c r="F450" s="30" t="n">
        <v>2</v>
      </c>
      <c r="G450" s="29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IF(COUNTIFS($C:$C,$C450,$D:$D,"P0(전)",$L:$L,"&gt;0")&lt;&gt;1,"P0(전) 유효 1개 아님",IF(COUNTIFS($C:$C,$C450,$D:$D,"P0(후)",$L:$L,"&gt;0")&lt;&gt;1,"P0(후) 유효 1개 아님",IF(NOT(AND(ISNUMBER(N450),ISNUMBER(P450),ISNUMBER(H450))),"시각 결측",IF(P450&lt;=N450,"P0 시각 역전",IF(OR(H450&lt;N450,H450&gt;P450),"측정시각 구간 밖","OK")))))</f>
        <v/>
      </c>
      <c r="N450" s="45">
        <f>IF(COUNTIFS($C:$C,$C450,$D:$D,"P0(전)",$L:$L,"&gt;0")&lt;&gt;1,"",SUMIFS($H:$H,$C:$C,$C450,$D:$D,"P0(전)"))</f>
        <v/>
      </c>
      <c r="O450" s="30">
        <f>IF(COUNTIFS($C:$C,$C450,$D:$D,"P0(전)",$L:$L,"&gt;0")&lt;&gt;1,"",SUMIFS($L:$L,$C:$C,$C450,$D:$D,"P0(전)"))</f>
        <v/>
      </c>
      <c r="P450" s="45">
        <f>IF(COUNTIFS($C:$C,$C450,$D:$D,"P0(후)",$L:$L,"&gt;0")&lt;&gt;1,"",SUMIFS($H:$H,$C:$C,$C450,$D:$D,"P0(후)"))</f>
        <v/>
      </c>
      <c r="Q450" s="30">
        <f>IF(COUNTIFS($C:$C,$C450,$D:$D,"P0(후)",$L:$L,"&gt;0")&lt;&gt;1,"",SUMIFS($L:$L,$C:$C,$C450,$D:$D,"P0(후)"))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IF(OR(NOT(ISNUMBER(S450)),IF(ISNUMBER(G450),G450,F450)=0),"",S450/IF(ISNUMBER(G450),G450,F450))</f>
        <v/>
      </c>
      <c r="U450" s="46">
        <f>IF(ISNUMBER(T450),ABS(T450),"")</f>
        <v/>
      </c>
      <c r="V450" s="46">
        <f>IF(OR($D449&lt;&gt;"측정",$C449&lt;&gt;$C450,NOT(ISNUMBER(L450)),NOT(ISNUMBER(L449)),(IF(ISNUMBER(G450),G450,F450)-IF(ISNUMBER(G449),G449,F449))=0),"",(L450-L449)/(IF(ISNUMBER(G450),G450,F450)-IF(ISNUMBER(G449),G449,F449)))</f>
        <v/>
      </c>
      <c r="W450" s="30">
        <f>IF(NOT(AND(ISNUMBER(N450),ISNUMBER(P450))),"",(P450-N450)*1440)</f>
        <v/>
      </c>
      <c r="X450" s="28" t="n"/>
      <c r="Y450" s="28" t="n"/>
      <c r="Z450" s="28" t="n"/>
      <c r="AA450" s="31" t="n"/>
      <c r="AB450" s="31" t="n"/>
    </row>
    <row r="451">
      <c r="A451" s="25" t="inlineStr">
        <is>
          <t>S09</t>
        </is>
      </c>
      <c r="B451" s="25" t="inlineStr">
        <is>
          <t>어론 신규점</t>
        </is>
      </c>
      <c r="C451" s="25" t="inlineStr">
        <is>
          <t>S09-H남</t>
        </is>
      </c>
      <c r="D451" s="25" t="inlineStr">
        <is>
          <t>측정</t>
        </is>
      </c>
      <c r="E451" s="25" t="inlineStr">
        <is>
          <t>남</t>
        </is>
      </c>
      <c r="F451" s="30" t="n">
        <v>3</v>
      </c>
      <c r="G451" s="29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IF(COUNTIFS($C:$C,$C451,$D:$D,"P0(전)",$L:$L,"&gt;0")&lt;&gt;1,"P0(전) 유효 1개 아님",IF(COUNTIFS($C:$C,$C451,$D:$D,"P0(후)",$L:$L,"&gt;0")&lt;&gt;1,"P0(후) 유효 1개 아님",IF(NOT(AND(ISNUMBER(N451),ISNUMBER(P451),ISNUMBER(H451))),"시각 결측",IF(P451&lt;=N451,"P0 시각 역전",IF(OR(H451&lt;N451,H451&gt;P451),"측정시각 구간 밖","OK")))))</f>
        <v/>
      </c>
      <c r="N451" s="45">
        <f>IF(COUNTIFS($C:$C,$C451,$D:$D,"P0(전)",$L:$L,"&gt;0")&lt;&gt;1,"",SUMIFS($H:$H,$C:$C,$C451,$D:$D,"P0(전)"))</f>
        <v/>
      </c>
      <c r="O451" s="30">
        <f>IF(COUNTIFS($C:$C,$C451,$D:$D,"P0(전)",$L:$L,"&gt;0")&lt;&gt;1,"",SUMIFS($L:$L,$C:$C,$C451,$D:$D,"P0(전)"))</f>
        <v/>
      </c>
      <c r="P451" s="45">
        <f>IF(COUNTIFS($C:$C,$C451,$D:$D,"P0(후)",$L:$L,"&gt;0")&lt;&gt;1,"",SUMIFS($H:$H,$C:$C,$C451,$D:$D,"P0(후)"))</f>
        <v/>
      </c>
      <c r="Q451" s="30">
        <f>IF(COUNTIFS($C:$C,$C451,$D:$D,"P0(후)",$L:$L,"&gt;0")&lt;&gt;1,"",SUMIFS($L:$L,$C:$C,$C451,$D:$D,"P0(후)"))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IF(OR(NOT(ISNUMBER(S451)),IF(ISNUMBER(G451),G451,F451)=0),"",S451/IF(ISNUMBER(G451),G451,F451))</f>
        <v/>
      </c>
      <c r="U451" s="46">
        <f>IF(ISNUMBER(T451),ABS(T451),"")</f>
        <v/>
      </c>
      <c r="V451" s="46">
        <f>IF(OR($D450&lt;&gt;"측정",$C450&lt;&gt;$C451,NOT(ISNUMBER(L451)),NOT(ISNUMBER(L450)),(IF(ISNUMBER(G451),G451,F451)-IF(ISNUMBER(G450),G450,F450))=0),"",(L451-L450)/(IF(ISNUMBER(G451),G451,F451)-IF(ISNUMBER(G450),G450,F450)))</f>
        <v/>
      </c>
      <c r="W451" s="30">
        <f>IF(NOT(AND(ISNUMBER(N451),ISNUMBER(P451))),"",(P451-N451)*1440)</f>
        <v/>
      </c>
      <c r="X451" s="28" t="n"/>
      <c r="Y451" s="28" t="n"/>
      <c r="Z451" s="28" t="n"/>
      <c r="AA451" s="31" t="n"/>
      <c r="AB451" s="31" t="n"/>
    </row>
    <row r="452">
      <c r="A452" s="25" t="inlineStr">
        <is>
          <t>S09</t>
        </is>
      </c>
      <c r="B452" s="25" t="inlineStr">
        <is>
          <t>어론 신규점</t>
        </is>
      </c>
      <c r="C452" s="25" t="inlineStr">
        <is>
          <t>S09-H남</t>
        </is>
      </c>
      <c r="D452" s="25" t="inlineStr">
        <is>
          <t>측정</t>
        </is>
      </c>
      <c r="E452" s="25" t="inlineStr">
        <is>
          <t>남</t>
        </is>
      </c>
      <c r="F452" s="30" t="n">
        <v>4</v>
      </c>
      <c r="G452" s="29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IF(COUNTIFS($C:$C,$C452,$D:$D,"P0(전)",$L:$L,"&gt;0")&lt;&gt;1,"P0(전) 유효 1개 아님",IF(COUNTIFS($C:$C,$C452,$D:$D,"P0(후)",$L:$L,"&gt;0")&lt;&gt;1,"P0(후) 유효 1개 아님",IF(NOT(AND(ISNUMBER(N452),ISNUMBER(P452),ISNUMBER(H452))),"시각 결측",IF(P452&lt;=N452,"P0 시각 역전",IF(OR(H452&lt;N452,H452&gt;P452),"측정시각 구간 밖","OK")))))</f>
        <v/>
      </c>
      <c r="N452" s="45">
        <f>IF(COUNTIFS($C:$C,$C452,$D:$D,"P0(전)",$L:$L,"&gt;0")&lt;&gt;1,"",SUMIFS($H:$H,$C:$C,$C452,$D:$D,"P0(전)"))</f>
        <v/>
      </c>
      <c r="O452" s="30">
        <f>IF(COUNTIFS($C:$C,$C452,$D:$D,"P0(전)",$L:$L,"&gt;0")&lt;&gt;1,"",SUMIFS($L:$L,$C:$C,$C452,$D:$D,"P0(전)"))</f>
        <v/>
      </c>
      <c r="P452" s="45">
        <f>IF(COUNTIFS($C:$C,$C452,$D:$D,"P0(후)",$L:$L,"&gt;0")&lt;&gt;1,"",SUMIFS($H:$H,$C:$C,$C452,$D:$D,"P0(후)"))</f>
        <v/>
      </c>
      <c r="Q452" s="30">
        <f>IF(COUNTIFS($C:$C,$C452,$D:$D,"P0(후)",$L:$L,"&gt;0")&lt;&gt;1,"",SUMIFS($L:$L,$C:$C,$C452,$D:$D,"P0(후)"))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IF(OR(NOT(ISNUMBER(S452)),IF(ISNUMBER(G452),G452,F452)=0),"",S452/IF(ISNUMBER(G452),G452,F452))</f>
        <v/>
      </c>
      <c r="U452" s="46">
        <f>IF(ISNUMBER(T452),ABS(T452),"")</f>
        <v/>
      </c>
      <c r="V452" s="46">
        <f>IF(OR($D451&lt;&gt;"측정",$C451&lt;&gt;$C452,NOT(ISNUMBER(L452)),NOT(ISNUMBER(L451)),(IF(ISNUMBER(G452),G452,F452)-IF(ISNUMBER(G451),G451,F451))=0),"",(L452-L451)/(IF(ISNUMBER(G452),G452,F452)-IF(ISNUMBER(G451),G451,F451)))</f>
        <v/>
      </c>
      <c r="W452" s="30">
        <f>IF(NOT(AND(ISNUMBER(N452),ISNUMBER(P452))),"",(P452-N452)*1440)</f>
        <v/>
      </c>
      <c r="X452" s="28" t="n"/>
      <c r="Y452" s="28" t="n"/>
      <c r="Z452" s="28" t="n"/>
      <c r="AA452" s="31" t="n"/>
      <c r="AB452" s="31" t="n"/>
    </row>
    <row r="453">
      <c r="A453" s="25" t="inlineStr">
        <is>
          <t>S09</t>
        </is>
      </c>
      <c r="B453" s="25" t="inlineStr">
        <is>
          <t>어론 신규점</t>
        </is>
      </c>
      <c r="C453" s="25" t="inlineStr">
        <is>
          <t>S09-H남</t>
        </is>
      </c>
      <c r="D453" s="25" t="inlineStr">
        <is>
          <t>측정</t>
        </is>
      </c>
      <c r="E453" s="25" t="inlineStr">
        <is>
          <t>남</t>
        </is>
      </c>
      <c r="F453" s="30" t="n">
        <v>5</v>
      </c>
      <c r="G453" s="29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IF(COUNTIFS($C:$C,$C453,$D:$D,"P0(전)",$L:$L,"&gt;0")&lt;&gt;1,"P0(전) 유효 1개 아님",IF(COUNTIFS($C:$C,$C453,$D:$D,"P0(후)",$L:$L,"&gt;0")&lt;&gt;1,"P0(후) 유효 1개 아님",IF(NOT(AND(ISNUMBER(N453),ISNUMBER(P453),ISNUMBER(H453))),"시각 결측",IF(P453&lt;=N453,"P0 시각 역전",IF(OR(H453&lt;N453,H453&gt;P453),"측정시각 구간 밖","OK")))))</f>
        <v/>
      </c>
      <c r="N453" s="45">
        <f>IF(COUNTIFS($C:$C,$C453,$D:$D,"P0(전)",$L:$L,"&gt;0")&lt;&gt;1,"",SUMIFS($H:$H,$C:$C,$C453,$D:$D,"P0(전)"))</f>
        <v/>
      </c>
      <c r="O453" s="30">
        <f>IF(COUNTIFS($C:$C,$C453,$D:$D,"P0(전)",$L:$L,"&gt;0")&lt;&gt;1,"",SUMIFS($L:$L,$C:$C,$C453,$D:$D,"P0(전)"))</f>
        <v/>
      </c>
      <c r="P453" s="45">
        <f>IF(COUNTIFS($C:$C,$C453,$D:$D,"P0(후)",$L:$L,"&gt;0")&lt;&gt;1,"",SUMIFS($H:$H,$C:$C,$C453,$D:$D,"P0(후)"))</f>
        <v/>
      </c>
      <c r="Q453" s="30">
        <f>IF(COUNTIFS($C:$C,$C453,$D:$D,"P0(후)",$L:$L,"&gt;0")&lt;&gt;1,"",SUMIFS($L:$L,$C:$C,$C453,$D:$D,"P0(후)"))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IF(OR(NOT(ISNUMBER(S453)),IF(ISNUMBER(G453),G453,F453)=0),"",S453/IF(ISNUMBER(G453),G453,F453))</f>
        <v/>
      </c>
      <c r="U453" s="46">
        <f>IF(ISNUMBER(T453),ABS(T453),"")</f>
        <v/>
      </c>
      <c r="V453" s="46">
        <f>IF(OR($D452&lt;&gt;"측정",$C452&lt;&gt;$C453,NOT(ISNUMBER(L453)),NOT(ISNUMBER(L452)),(IF(ISNUMBER(G453),G453,F453)-IF(ISNUMBER(G452),G452,F452))=0),"",(L453-L452)/(IF(ISNUMBER(G453),G453,F453)-IF(ISNUMBER(G452),G452,F452)))</f>
        <v/>
      </c>
      <c r="W453" s="30">
        <f>IF(NOT(AND(ISNUMBER(N453),ISNUMBER(P453))),"",(P453-N453)*1440)</f>
        <v/>
      </c>
      <c r="X453" s="28" t="n"/>
      <c r="Y453" s="28" t="n"/>
      <c r="Z453" s="28" t="n"/>
      <c r="AA453" s="31" t="n"/>
      <c r="AB453" s="31" t="n"/>
    </row>
    <row r="454">
      <c r="A454" s="25" t="inlineStr">
        <is>
          <t>S09</t>
        </is>
      </c>
      <c r="B454" s="25" t="inlineStr">
        <is>
          <t>어론 신규점</t>
        </is>
      </c>
      <c r="C454" s="25" t="inlineStr">
        <is>
          <t>S09-H남</t>
        </is>
      </c>
      <c r="D454" s="25" t="inlineStr">
        <is>
          <t>측정</t>
        </is>
      </c>
      <c r="E454" s="25" t="inlineStr">
        <is>
          <t>남</t>
        </is>
      </c>
      <c r="F454" s="30" t="n">
        <v>6</v>
      </c>
      <c r="G454" s="29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IF(COUNTIFS($C:$C,$C454,$D:$D,"P0(전)",$L:$L,"&gt;0")&lt;&gt;1,"P0(전) 유효 1개 아님",IF(COUNTIFS($C:$C,$C454,$D:$D,"P0(후)",$L:$L,"&gt;0")&lt;&gt;1,"P0(후) 유효 1개 아님",IF(NOT(AND(ISNUMBER(N454),ISNUMBER(P454),ISNUMBER(H454))),"시각 결측",IF(P454&lt;=N454,"P0 시각 역전",IF(OR(H454&lt;N454,H454&gt;P454),"측정시각 구간 밖","OK")))))</f>
        <v/>
      </c>
      <c r="N454" s="45">
        <f>IF(COUNTIFS($C:$C,$C454,$D:$D,"P0(전)",$L:$L,"&gt;0")&lt;&gt;1,"",SUMIFS($H:$H,$C:$C,$C454,$D:$D,"P0(전)"))</f>
        <v/>
      </c>
      <c r="O454" s="30">
        <f>IF(COUNTIFS($C:$C,$C454,$D:$D,"P0(전)",$L:$L,"&gt;0")&lt;&gt;1,"",SUMIFS($L:$L,$C:$C,$C454,$D:$D,"P0(전)"))</f>
        <v/>
      </c>
      <c r="P454" s="45">
        <f>IF(COUNTIFS($C:$C,$C454,$D:$D,"P0(후)",$L:$L,"&gt;0")&lt;&gt;1,"",SUMIFS($H:$H,$C:$C,$C454,$D:$D,"P0(후)"))</f>
        <v/>
      </c>
      <c r="Q454" s="30">
        <f>IF(COUNTIFS($C:$C,$C454,$D:$D,"P0(후)",$L:$L,"&gt;0")&lt;&gt;1,"",SUMIFS($L:$L,$C:$C,$C454,$D:$D,"P0(후)"))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IF(OR(NOT(ISNUMBER(S454)),IF(ISNUMBER(G454),G454,F454)=0),"",S454/IF(ISNUMBER(G454),G454,F454))</f>
        <v/>
      </c>
      <c r="U454" s="46">
        <f>IF(ISNUMBER(T454),ABS(T454),"")</f>
        <v/>
      </c>
      <c r="V454" s="46">
        <f>IF(OR($D453&lt;&gt;"측정",$C453&lt;&gt;$C454,NOT(ISNUMBER(L454)),NOT(ISNUMBER(L453)),(IF(ISNUMBER(G454),G454,F454)-IF(ISNUMBER(G453),G453,F453))=0),"",(L454-L453)/(IF(ISNUMBER(G454),G454,F454)-IF(ISNUMBER(G453),G453,F453)))</f>
        <v/>
      </c>
      <c r="W454" s="30">
        <f>IF(NOT(AND(ISNUMBER(N454),ISNUMBER(P454))),"",(P454-N454)*1440)</f>
        <v/>
      </c>
      <c r="X454" s="28" t="n"/>
      <c r="Y454" s="28" t="n"/>
      <c r="Z454" s="28" t="n"/>
      <c r="AA454" s="31" t="n"/>
      <c r="AB454" s="31" t="n"/>
    </row>
    <row r="455">
      <c r="A455" s="25" t="inlineStr">
        <is>
          <t>S09</t>
        </is>
      </c>
      <c r="B455" s="25" t="inlineStr">
        <is>
          <t>어론 신규점</t>
        </is>
      </c>
      <c r="C455" s="25" t="inlineStr">
        <is>
          <t>S09-H남</t>
        </is>
      </c>
      <c r="D455" s="25" t="inlineStr">
        <is>
          <t>측정</t>
        </is>
      </c>
      <c r="E455" s="25" t="inlineStr">
        <is>
          <t>남</t>
        </is>
      </c>
      <c r="F455" s="30" t="n">
        <v>7</v>
      </c>
      <c r="G455" s="29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IF(COUNTIFS($C:$C,$C455,$D:$D,"P0(전)",$L:$L,"&gt;0")&lt;&gt;1,"P0(전) 유효 1개 아님",IF(COUNTIFS($C:$C,$C455,$D:$D,"P0(후)",$L:$L,"&gt;0")&lt;&gt;1,"P0(후) 유효 1개 아님",IF(NOT(AND(ISNUMBER(N455),ISNUMBER(P455),ISNUMBER(H455))),"시각 결측",IF(P455&lt;=N455,"P0 시각 역전",IF(OR(H455&lt;N455,H455&gt;P455),"측정시각 구간 밖","OK")))))</f>
        <v/>
      </c>
      <c r="N455" s="45">
        <f>IF(COUNTIFS($C:$C,$C455,$D:$D,"P0(전)",$L:$L,"&gt;0")&lt;&gt;1,"",SUMIFS($H:$H,$C:$C,$C455,$D:$D,"P0(전)"))</f>
        <v/>
      </c>
      <c r="O455" s="30">
        <f>IF(COUNTIFS($C:$C,$C455,$D:$D,"P0(전)",$L:$L,"&gt;0")&lt;&gt;1,"",SUMIFS($L:$L,$C:$C,$C455,$D:$D,"P0(전)"))</f>
        <v/>
      </c>
      <c r="P455" s="45">
        <f>IF(COUNTIFS($C:$C,$C455,$D:$D,"P0(후)",$L:$L,"&gt;0")&lt;&gt;1,"",SUMIFS($H:$H,$C:$C,$C455,$D:$D,"P0(후)"))</f>
        <v/>
      </c>
      <c r="Q455" s="30">
        <f>IF(COUNTIFS($C:$C,$C455,$D:$D,"P0(후)",$L:$L,"&gt;0")&lt;&gt;1,"",SUMIFS($L:$L,$C:$C,$C455,$D:$D,"P0(후)"))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IF(OR(NOT(ISNUMBER(S455)),IF(ISNUMBER(G455),G455,F455)=0),"",S455/IF(ISNUMBER(G455),G455,F455))</f>
        <v/>
      </c>
      <c r="U455" s="46">
        <f>IF(ISNUMBER(T455),ABS(T455),"")</f>
        <v/>
      </c>
      <c r="V455" s="46">
        <f>IF(OR($D454&lt;&gt;"측정",$C454&lt;&gt;$C455,NOT(ISNUMBER(L455)),NOT(ISNUMBER(L454)),(IF(ISNUMBER(G455),G455,F455)-IF(ISNUMBER(G454),G454,F454))=0),"",(L455-L454)/(IF(ISNUMBER(G455),G455,F455)-IF(ISNUMBER(G454),G454,F454)))</f>
        <v/>
      </c>
      <c r="W455" s="30">
        <f>IF(NOT(AND(ISNUMBER(N455),ISNUMBER(P455))),"",(P455-N455)*1440)</f>
        <v/>
      </c>
      <c r="X455" s="28" t="n"/>
      <c r="Y455" s="28" t="n"/>
      <c r="Z455" s="28" t="n"/>
      <c r="AA455" s="31" t="n"/>
      <c r="AB455" s="31" t="n"/>
    </row>
    <row r="456">
      <c r="A456" s="25" t="inlineStr">
        <is>
          <t>S09</t>
        </is>
      </c>
      <c r="B456" s="25" t="inlineStr">
        <is>
          <t>어론 신규점</t>
        </is>
      </c>
      <c r="C456" s="25" t="inlineStr">
        <is>
          <t>S09-H남</t>
        </is>
      </c>
      <c r="D456" s="25" t="inlineStr">
        <is>
          <t>측정</t>
        </is>
      </c>
      <c r="E456" s="25" t="inlineStr">
        <is>
          <t>남</t>
        </is>
      </c>
      <c r="F456" s="30" t="n">
        <v>8</v>
      </c>
      <c r="G456" s="29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IF(COUNTIFS($C:$C,$C456,$D:$D,"P0(전)",$L:$L,"&gt;0")&lt;&gt;1,"P0(전) 유효 1개 아님",IF(COUNTIFS($C:$C,$C456,$D:$D,"P0(후)",$L:$L,"&gt;0")&lt;&gt;1,"P0(후) 유효 1개 아님",IF(NOT(AND(ISNUMBER(N456),ISNUMBER(P456),ISNUMBER(H456))),"시각 결측",IF(P456&lt;=N456,"P0 시각 역전",IF(OR(H456&lt;N456,H456&gt;P456),"측정시각 구간 밖","OK")))))</f>
        <v/>
      </c>
      <c r="N456" s="45">
        <f>IF(COUNTIFS($C:$C,$C456,$D:$D,"P0(전)",$L:$L,"&gt;0")&lt;&gt;1,"",SUMIFS($H:$H,$C:$C,$C456,$D:$D,"P0(전)"))</f>
        <v/>
      </c>
      <c r="O456" s="30">
        <f>IF(COUNTIFS($C:$C,$C456,$D:$D,"P0(전)",$L:$L,"&gt;0")&lt;&gt;1,"",SUMIFS($L:$L,$C:$C,$C456,$D:$D,"P0(전)"))</f>
        <v/>
      </c>
      <c r="P456" s="45">
        <f>IF(COUNTIFS($C:$C,$C456,$D:$D,"P0(후)",$L:$L,"&gt;0")&lt;&gt;1,"",SUMIFS($H:$H,$C:$C,$C456,$D:$D,"P0(후)"))</f>
        <v/>
      </c>
      <c r="Q456" s="30">
        <f>IF(COUNTIFS($C:$C,$C456,$D:$D,"P0(후)",$L:$L,"&gt;0")&lt;&gt;1,"",SUMIFS($L:$L,$C:$C,$C456,$D:$D,"P0(후)"))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IF(OR(NOT(ISNUMBER(S456)),IF(ISNUMBER(G456),G456,F456)=0),"",S456/IF(ISNUMBER(G456),G456,F456))</f>
        <v/>
      </c>
      <c r="U456" s="46">
        <f>IF(ISNUMBER(T456),ABS(T456),"")</f>
        <v/>
      </c>
      <c r="V456" s="46">
        <f>IF(OR($D455&lt;&gt;"측정",$C455&lt;&gt;$C456,NOT(ISNUMBER(L456)),NOT(ISNUMBER(L455)),(IF(ISNUMBER(G456),G456,F456)-IF(ISNUMBER(G455),G455,F455))=0),"",(L456-L455)/(IF(ISNUMBER(G456),G456,F456)-IF(ISNUMBER(G455),G455,F455)))</f>
        <v/>
      </c>
      <c r="W456" s="30">
        <f>IF(NOT(AND(ISNUMBER(N456),ISNUMBER(P456))),"",(P456-N456)*1440)</f>
        <v/>
      </c>
      <c r="X456" s="28" t="n"/>
      <c r="Y456" s="28" t="n"/>
      <c r="Z456" s="28" t="n"/>
      <c r="AA456" s="31" t="n"/>
      <c r="AB456" s="31" t="n"/>
    </row>
    <row r="457">
      <c r="A457" s="25" t="inlineStr">
        <is>
          <t>S09</t>
        </is>
      </c>
      <c r="B457" s="25" t="inlineStr">
        <is>
          <t>어론 신규점</t>
        </is>
      </c>
      <c r="C457" s="25" t="inlineStr">
        <is>
          <t>S09-H남</t>
        </is>
      </c>
      <c r="D457" s="25" t="inlineStr">
        <is>
          <t>측정</t>
        </is>
      </c>
      <c r="E457" s="25" t="inlineStr">
        <is>
          <t>남</t>
        </is>
      </c>
      <c r="F457" s="30" t="n">
        <v>9</v>
      </c>
      <c r="G457" s="29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IF(COUNTIFS($C:$C,$C457,$D:$D,"P0(전)",$L:$L,"&gt;0")&lt;&gt;1,"P0(전) 유효 1개 아님",IF(COUNTIFS($C:$C,$C457,$D:$D,"P0(후)",$L:$L,"&gt;0")&lt;&gt;1,"P0(후) 유효 1개 아님",IF(NOT(AND(ISNUMBER(N457),ISNUMBER(P457),ISNUMBER(H457))),"시각 결측",IF(P457&lt;=N457,"P0 시각 역전",IF(OR(H457&lt;N457,H457&gt;P457),"측정시각 구간 밖","OK")))))</f>
        <v/>
      </c>
      <c r="N457" s="45">
        <f>IF(COUNTIFS($C:$C,$C457,$D:$D,"P0(전)",$L:$L,"&gt;0")&lt;&gt;1,"",SUMIFS($H:$H,$C:$C,$C457,$D:$D,"P0(전)"))</f>
        <v/>
      </c>
      <c r="O457" s="30">
        <f>IF(COUNTIFS($C:$C,$C457,$D:$D,"P0(전)",$L:$L,"&gt;0")&lt;&gt;1,"",SUMIFS($L:$L,$C:$C,$C457,$D:$D,"P0(전)"))</f>
        <v/>
      </c>
      <c r="P457" s="45">
        <f>IF(COUNTIFS($C:$C,$C457,$D:$D,"P0(후)",$L:$L,"&gt;0")&lt;&gt;1,"",SUMIFS($H:$H,$C:$C,$C457,$D:$D,"P0(후)"))</f>
        <v/>
      </c>
      <c r="Q457" s="30">
        <f>IF(COUNTIFS($C:$C,$C457,$D:$D,"P0(후)",$L:$L,"&gt;0")&lt;&gt;1,"",SUMIFS($L:$L,$C:$C,$C457,$D:$D,"P0(후)"))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IF(OR(NOT(ISNUMBER(S457)),IF(ISNUMBER(G457),G457,F457)=0),"",S457/IF(ISNUMBER(G457),G457,F457))</f>
        <v/>
      </c>
      <c r="U457" s="46">
        <f>IF(ISNUMBER(T457),ABS(T457),"")</f>
        <v/>
      </c>
      <c r="V457" s="46">
        <f>IF(OR($D456&lt;&gt;"측정",$C456&lt;&gt;$C457,NOT(ISNUMBER(L457)),NOT(ISNUMBER(L456)),(IF(ISNUMBER(G457),G457,F457)-IF(ISNUMBER(G456),G456,F456))=0),"",(L457-L456)/(IF(ISNUMBER(G457),G457,F457)-IF(ISNUMBER(G456),G456,F456)))</f>
        <v/>
      </c>
      <c r="W457" s="30">
        <f>IF(NOT(AND(ISNUMBER(N457),ISNUMBER(P457))),"",(P457-N457)*1440)</f>
        <v/>
      </c>
      <c r="X457" s="28" t="n"/>
      <c r="Y457" s="28" t="n"/>
      <c r="Z457" s="28" t="n"/>
      <c r="AA457" s="31" t="n"/>
      <c r="AB457" s="31" t="n"/>
    </row>
    <row r="458">
      <c r="A458" s="25" t="inlineStr">
        <is>
          <t>S09</t>
        </is>
      </c>
      <c r="B458" s="25" t="inlineStr">
        <is>
          <t>어론 신규점</t>
        </is>
      </c>
      <c r="C458" s="25" t="inlineStr">
        <is>
          <t>S09-H남</t>
        </is>
      </c>
      <c r="D458" s="25" t="inlineStr">
        <is>
          <t>측정</t>
        </is>
      </c>
      <c r="E458" s="25" t="inlineStr">
        <is>
          <t>남</t>
        </is>
      </c>
      <c r="F458" s="30" t="n">
        <v>10</v>
      </c>
      <c r="G458" s="29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IF(COUNTIFS($C:$C,$C458,$D:$D,"P0(전)",$L:$L,"&gt;0")&lt;&gt;1,"P0(전) 유효 1개 아님",IF(COUNTIFS($C:$C,$C458,$D:$D,"P0(후)",$L:$L,"&gt;0")&lt;&gt;1,"P0(후) 유효 1개 아님",IF(NOT(AND(ISNUMBER(N458),ISNUMBER(P458),ISNUMBER(H458))),"시각 결측",IF(P458&lt;=N458,"P0 시각 역전",IF(OR(H458&lt;N458,H458&gt;P458),"측정시각 구간 밖","OK")))))</f>
        <v/>
      </c>
      <c r="N458" s="45">
        <f>IF(COUNTIFS($C:$C,$C458,$D:$D,"P0(전)",$L:$L,"&gt;0")&lt;&gt;1,"",SUMIFS($H:$H,$C:$C,$C458,$D:$D,"P0(전)"))</f>
        <v/>
      </c>
      <c r="O458" s="30">
        <f>IF(COUNTIFS($C:$C,$C458,$D:$D,"P0(전)",$L:$L,"&gt;0")&lt;&gt;1,"",SUMIFS($L:$L,$C:$C,$C458,$D:$D,"P0(전)"))</f>
        <v/>
      </c>
      <c r="P458" s="45">
        <f>IF(COUNTIFS($C:$C,$C458,$D:$D,"P0(후)",$L:$L,"&gt;0")&lt;&gt;1,"",SUMIFS($H:$H,$C:$C,$C458,$D:$D,"P0(후)"))</f>
        <v/>
      </c>
      <c r="Q458" s="30">
        <f>IF(COUNTIFS($C:$C,$C458,$D:$D,"P0(후)",$L:$L,"&gt;0")&lt;&gt;1,"",SUMIFS($L:$L,$C:$C,$C458,$D:$D,"P0(후)"))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IF(OR(NOT(ISNUMBER(S458)),IF(ISNUMBER(G458),G458,F458)=0),"",S458/IF(ISNUMBER(G458),G458,F458))</f>
        <v/>
      </c>
      <c r="U458" s="46">
        <f>IF(ISNUMBER(T458),ABS(T458),"")</f>
        <v/>
      </c>
      <c r="V458" s="46">
        <f>IF(OR($D457&lt;&gt;"측정",$C457&lt;&gt;$C458,NOT(ISNUMBER(L458)),NOT(ISNUMBER(L457)),(IF(ISNUMBER(G458),G458,F458)-IF(ISNUMBER(G457),G457,F457))=0),"",(L458-L457)/(IF(ISNUMBER(G458),G458,F458)-IF(ISNUMBER(G457),G457,F457)))</f>
        <v/>
      </c>
      <c r="W458" s="30">
        <f>IF(NOT(AND(ISNUMBER(N458),ISNUMBER(P458))),"",(P458-N458)*1440)</f>
        <v/>
      </c>
      <c r="X458" s="28" t="n"/>
      <c r="Y458" s="28" t="n"/>
      <c r="Z458" s="28" t="n"/>
      <c r="AA458" s="31" t="n"/>
      <c r="AB458" s="31" t="n"/>
    </row>
    <row r="459">
      <c r="A459" s="43" t="inlineStr">
        <is>
          <t>S09</t>
        </is>
      </c>
      <c r="B459" s="43" t="inlineStr">
        <is>
          <t>어론 신규점</t>
        </is>
      </c>
      <c r="C459" s="43" t="inlineStr">
        <is>
          <t>S09-H남</t>
        </is>
      </c>
      <c r="D459" s="43" t="inlineStr">
        <is>
          <t>P0(후)</t>
        </is>
      </c>
      <c r="E459" s="43" t="inlineStr">
        <is>
          <t>남</t>
        </is>
      </c>
      <c r="F459" s="44" t="n"/>
      <c r="G459" s="29" t="n"/>
      <c r="H459" s="42" t="n"/>
      <c r="I459" s="40" t="n"/>
      <c r="J459" s="40" t="n"/>
      <c r="K459" s="40" t="n"/>
      <c r="L459" s="30">
        <f>IF(COUNT(I459:K459)=0,"",MEDIAN(I459:K459))</f>
        <v/>
      </c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28" t="n"/>
      <c r="Y459" s="28" t="n"/>
      <c r="Z459" s="28" t="n"/>
      <c r="AA459" s="31" t="n"/>
      <c r="AB459" s="31" t="n"/>
    </row>
    <row r="460">
      <c r="A460" s="43" t="inlineStr">
        <is>
          <t>S09</t>
        </is>
      </c>
      <c r="B460" s="43" t="inlineStr">
        <is>
          <t>어론 신규점</t>
        </is>
      </c>
      <c r="C460" s="43" t="inlineStr">
        <is>
          <t>S09-H북</t>
        </is>
      </c>
      <c r="D460" s="43" t="inlineStr">
        <is>
          <t>P0(전)</t>
        </is>
      </c>
      <c r="E460" s="43" t="inlineStr">
        <is>
          <t>북</t>
        </is>
      </c>
      <c r="F460" s="44" t="n"/>
      <c r="G460" s="29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28" t="n"/>
      <c r="Y460" s="28" t="n"/>
      <c r="Z460" s="28" t="n"/>
      <c r="AA460" s="31" t="n"/>
      <c r="AB460" s="31" t="n"/>
    </row>
    <row r="461">
      <c r="A461" s="25" t="inlineStr">
        <is>
          <t>S09</t>
        </is>
      </c>
      <c r="B461" s="25" t="inlineStr">
        <is>
          <t>어론 신규점</t>
        </is>
      </c>
      <c r="C461" s="25" t="inlineStr">
        <is>
          <t>S09-H북</t>
        </is>
      </c>
      <c r="D461" s="25" t="inlineStr">
        <is>
          <t>측정</t>
        </is>
      </c>
      <c r="E461" s="25" t="inlineStr">
        <is>
          <t>북</t>
        </is>
      </c>
      <c r="F461" s="30" t="n">
        <v>0.5</v>
      </c>
      <c r="G461" s="29" t="n"/>
      <c r="H461" s="42" t="n"/>
      <c r="I461" s="40" t="n"/>
      <c r="J461" s="40" t="n"/>
      <c r="K461" s="40" t="n"/>
      <c r="L461" s="30">
        <f>IF(COUNT(I461:K461)=0,"",MEDIAN(I461:K461))</f>
        <v/>
      </c>
      <c r="M461" s="25">
        <f>IF(COUNTIFS($C:$C,$C461,$D:$D,"P0(전)",$L:$L,"&gt;0")&lt;&gt;1,"P0(전) 유효 1개 아님",IF(COUNTIFS($C:$C,$C461,$D:$D,"P0(후)",$L:$L,"&gt;0")&lt;&gt;1,"P0(후) 유효 1개 아님",IF(NOT(AND(ISNUMBER(N461),ISNUMBER(P461),ISNUMBER(H461))),"시각 결측",IF(P461&lt;=N461,"P0 시각 역전",IF(OR(H461&lt;N461,H461&gt;P461),"측정시각 구간 밖","OK")))))</f>
        <v/>
      </c>
      <c r="N461" s="45">
        <f>IF(COUNTIFS($C:$C,$C461,$D:$D,"P0(전)",$L:$L,"&gt;0")&lt;&gt;1,"",SUMIFS($H:$H,$C:$C,$C461,$D:$D,"P0(전)"))</f>
        <v/>
      </c>
      <c r="O461" s="30">
        <f>IF(COUNTIFS($C:$C,$C461,$D:$D,"P0(전)",$L:$L,"&gt;0")&lt;&gt;1,"",SUMIFS($L:$L,$C:$C,$C461,$D:$D,"P0(전)"))</f>
        <v/>
      </c>
      <c r="P461" s="45">
        <f>IF(COUNTIFS($C:$C,$C461,$D:$D,"P0(후)",$L:$L,"&gt;0")&lt;&gt;1,"",SUMIFS($H:$H,$C:$C,$C461,$D:$D,"P0(후)"))</f>
        <v/>
      </c>
      <c r="Q461" s="30">
        <f>IF(COUNTIFS($C:$C,$C461,$D:$D,"P0(후)",$L:$L,"&gt;0")&lt;&gt;1,"",SUMIFS($L:$L,$C:$C,$C461,$D:$D,"P0(후)"))</f>
        <v/>
      </c>
      <c r="R461" s="30">
        <f>IF(M461&lt;&gt;"OK","",O461+(Q461-O461)*(H461-N461)/(P461-N461))</f>
        <v/>
      </c>
      <c r="S461" s="30">
        <f>IF(OR(M461&lt;&gt;"OK",NOT(ISNUMBER(L461))),"",L461-R461)</f>
        <v/>
      </c>
      <c r="T461" s="46">
        <f>IF(OR(NOT(ISNUMBER(S461)),IF(ISNUMBER(G461),G461,F461)=0),"",S461/IF(ISNUMBER(G461),G461,F461))</f>
        <v/>
      </c>
      <c r="U461" s="46">
        <f>IF(ISNUMBER(T461),ABS(T461),"")</f>
        <v/>
      </c>
      <c r="V461" s="46">
        <f>IF(OR($D460&lt;&gt;"측정",$C460&lt;&gt;$C461,NOT(ISNUMBER(L461)),NOT(ISNUMBER(L460)),(IF(ISNUMBER(G461),G461,F461)-IF(ISNUMBER(G460),G460,F460))=0),"",(L461-L460)/(IF(ISNUMBER(G461),G461,F461)-IF(ISNUMBER(G460),G460,F460)))</f>
        <v/>
      </c>
      <c r="W461" s="30">
        <f>IF(NOT(AND(ISNUMBER(N461),ISNUMBER(P461))),"",(P461-N461)*1440)</f>
        <v/>
      </c>
      <c r="X461" s="28" t="n"/>
      <c r="Y461" s="28" t="n"/>
      <c r="Z461" s="28" t="n"/>
      <c r="AA461" s="31" t="n"/>
      <c r="AB461" s="31" t="n"/>
    </row>
    <row r="462">
      <c r="A462" s="25" t="inlineStr">
        <is>
          <t>S09</t>
        </is>
      </c>
      <c r="B462" s="25" t="inlineStr">
        <is>
          <t>어론 신규점</t>
        </is>
      </c>
      <c r="C462" s="25" t="inlineStr">
        <is>
          <t>S09-H북</t>
        </is>
      </c>
      <c r="D462" s="25" t="inlineStr">
        <is>
          <t>측정</t>
        </is>
      </c>
      <c r="E462" s="25" t="inlineStr">
        <is>
          <t>북</t>
        </is>
      </c>
      <c r="F462" s="30" t="n">
        <v>1</v>
      </c>
      <c r="G462" s="29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IF(COUNTIFS($C:$C,$C462,$D:$D,"P0(전)",$L:$L,"&gt;0")&lt;&gt;1,"P0(전) 유효 1개 아님",IF(COUNTIFS($C:$C,$C462,$D:$D,"P0(후)",$L:$L,"&gt;0")&lt;&gt;1,"P0(후) 유효 1개 아님",IF(NOT(AND(ISNUMBER(N462),ISNUMBER(P462),ISNUMBER(H462))),"시각 결측",IF(P462&lt;=N462,"P0 시각 역전",IF(OR(H462&lt;N462,H462&gt;P462),"측정시각 구간 밖","OK")))))</f>
        <v/>
      </c>
      <c r="N462" s="45">
        <f>IF(COUNTIFS($C:$C,$C462,$D:$D,"P0(전)",$L:$L,"&gt;0")&lt;&gt;1,"",SUMIFS($H:$H,$C:$C,$C462,$D:$D,"P0(전)"))</f>
        <v/>
      </c>
      <c r="O462" s="30">
        <f>IF(COUNTIFS($C:$C,$C462,$D:$D,"P0(전)",$L:$L,"&gt;0")&lt;&gt;1,"",SUMIFS($L:$L,$C:$C,$C462,$D:$D,"P0(전)"))</f>
        <v/>
      </c>
      <c r="P462" s="45">
        <f>IF(COUNTIFS($C:$C,$C462,$D:$D,"P0(후)",$L:$L,"&gt;0")&lt;&gt;1,"",SUMIFS($H:$H,$C:$C,$C462,$D:$D,"P0(후)"))</f>
        <v/>
      </c>
      <c r="Q462" s="30">
        <f>IF(COUNTIFS($C:$C,$C462,$D:$D,"P0(후)",$L:$L,"&gt;0")&lt;&gt;1,"",SUMIFS($L:$L,$C:$C,$C462,$D:$D,"P0(후)"))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IF(OR(NOT(ISNUMBER(S462)),IF(ISNUMBER(G462),G462,F462)=0),"",S462/IF(ISNUMBER(G462),G462,F462))</f>
        <v/>
      </c>
      <c r="U462" s="46">
        <f>IF(ISNUMBER(T462),ABS(T462),"")</f>
        <v/>
      </c>
      <c r="V462" s="46">
        <f>IF(OR($D461&lt;&gt;"측정",$C461&lt;&gt;$C462,NOT(ISNUMBER(L462)),NOT(ISNUMBER(L461)),(IF(ISNUMBER(G462),G462,F462)-IF(ISNUMBER(G461),G461,F461))=0),"",(L462-L461)/(IF(ISNUMBER(G462),G462,F462)-IF(ISNUMBER(G461),G461,F461)))</f>
        <v/>
      </c>
      <c r="W462" s="30">
        <f>IF(NOT(AND(ISNUMBER(N462),ISNUMBER(P462))),"",(P462-N462)*1440)</f>
        <v/>
      </c>
      <c r="X462" s="28" t="n"/>
      <c r="Y462" s="28" t="n"/>
      <c r="Z462" s="28" t="n"/>
      <c r="AA462" s="31" t="n"/>
      <c r="AB462" s="31" t="n"/>
    </row>
    <row r="463">
      <c r="A463" s="25" t="inlineStr">
        <is>
          <t>S09</t>
        </is>
      </c>
      <c r="B463" s="25" t="inlineStr">
        <is>
          <t>어론 신규점</t>
        </is>
      </c>
      <c r="C463" s="25" t="inlineStr">
        <is>
          <t>S09-H북</t>
        </is>
      </c>
      <c r="D463" s="25" t="inlineStr">
        <is>
          <t>측정</t>
        </is>
      </c>
      <c r="E463" s="25" t="inlineStr">
        <is>
          <t>북</t>
        </is>
      </c>
      <c r="F463" s="30" t="n">
        <v>2</v>
      </c>
      <c r="G463" s="29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IF(COUNTIFS($C:$C,$C463,$D:$D,"P0(전)",$L:$L,"&gt;0")&lt;&gt;1,"P0(전) 유효 1개 아님",IF(COUNTIFS($C:$C,$C463,$D:$D,"P0(후)",$L:$L,"&gt;0")&lt;&gt;1,"P0(후) 유효 1개 아님",IF(NOT(AND(ISNUMBER(N463),ISNUMBER(P463),ISNUMBER(H463))),"시각 결측",IF(P463&lt;=N463,"P0 시각 역전",IF(OR(H463&lt;N463,H463&gt;P463),"측정시각 구간 밖","OK")))))</f>
        <v/>
      </c>
      <c r="N463" s="45">
        <f>IF(COUNTIFS($C:$C,$C463,$D:$D,"P0(전)",$L:$L,"&gt;0")&lt;&gt;1,"",SUMIFS($H:$H,$C:$C,$C463,$D:$D,"P0(전)"))</f>
        <v/>
      </c>
      <c r="O463" s="30">
        <f>IF(COUNTIFS($C:$C,$C463,$D:$D,"P0(전)",$L:$L,"&gt;0")&lt;&gt;1,"",SUMIFS($L:$L,$C:$C,$C463,$D:$D,"P0(전)"))</f>
        <v/>
      </c>
      <c r="P463" s="45">
        <f>IF(COUNTIFS($C:$C,$C463,$D:$D,"P0(후)",$L:$L,"&gt;0")&lt;&gt;1,"",SUMIFS($H:$H,$C:$C,$C463,$D:$D,"P0(후)"))</f>
        <v/>
      </c>
      <c r="Q463" s="30">
        <f>IF(COUNTIFS($C:$C,$C463,$D:$D,"P0(후)",$L:$L,"&gt;0")&lt;&gt;1,"",SUMIFS($L:$L,$C:$C,$C463,$D:$D,"P0(후)"))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IF(OR(NOT(ISNUMBER(S463)),IF(ISNUMBER(G463),G463,F463)=0),"",S463/IF(ISNUMBER(G463),G463,F463))</f>
        <v/>
      </c>
      <c r="U463" s="46">
        <f>IF(ISNUMBER(T463),ABS(T463),"")</f>
        <v/>
      </c>
      <c r="V463" s="46">
        <f>IF(OR($D462&lt;&gt;"측정",$C462&lt;&gt;$C463,NOT(ISNUMBER(L463)),NOT(ISNUMBER(L462)),(IF(ISNUMBER(G463),G463,F463)-IF(ISNUMBER(G462),G462,F462))=0),"",(L463-L462)/(IF(ISNUMBER(G463),G463,F463)-IF(ISNUMBER(G462),G462,F462)))</f>
        <v/>
      </c>
      <c r="W463" s="30">
        <f>IF(NOT(AND(ISNUMBER(N463),ISNUMBER(P463))),"",(P463-N463)*1440)</f>
        <v/>
      </c>
      <c r="X463" s="28" t="n"/>
      <c r="Y463" s="28" t="n"/>
      <c r="Z463" s="28" t="n"/>
      <c r="AA463" s="31" t="n"/>
      <c r="AB463" s="31" t="n"/>
    </row>
    <row r="464">
      <c r="A464" s="25" t="inlineStr">
        <is>
          <t>S09</t>
        </is>
      </c>
      <c r="B464" s="25" t="inlineStr">
        <is>
          <t>어론 신규점</t>
        </is>
      </c>
      <c r="C464" s="25" t="inlineStr">
        <is>
          <t>S09-H북</t>
        </is>
      </c>
      <c r="D464" s="25" t="inlineStr">
        <is>
          <t>측정</t>
        </is>
      </c>
      <c r="E464" s="25" t="inlineStr">
        <is>
          <t>북</t>
        </is>
      </c>
      <c r="F464" s="30" t="n">
        <v>3</v>
      </c>
      <c r="G464" s="29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IF(COUNTIFS($C:$C,$C464,$D:$D,"P0(전)",$L:$L,"&gt;0")&lt;&gt;1,"P0(전) 유효 1개 아님",IF(COUNTIFS($C:$C,$C464,$D:$D,"P0(후)",$L:$L,"&gt;0")&lt;&gt;1,"P0(후) 유효 1개 아님",IF(NOT(AND(ISNUMBER(N464),ISNUMBER(P464),ISNUMBER(H464))),"시각 결측",IF(P464&lt;=N464,"P0 시각 역전",IF(OR(H464&lt;N464,H464&gt;P464),"측정시각 구간 밖","OK")))))</f>
        <v/>
      </c>
      <c r="N464" s="45">
        <f>IF(COUNTIFS($C:$C,$C464,$D:$D,"P0(전)",$L:$L,"&gt;0")&lt;&gt;1,"",SUMIFS($H:$H,$C:$C,$C464,$D:$D,"P0(전)"))</f>
        <v/>
      </c>
      <c r="O464" s="30">
        <f>IF(COUNTIFS($C:$C,$C464,$D:$D,"P0(전)",$L:$L,"&gt;0")&lt;&gt;1,"",SUMIFS($L:$L,$C:$C,$C464,$D:$D,"P0(전)"))</f>
        <v/>
      </c>
      <c r="P464" s="45">
        <f>IF(COUNTIFS($C:$C,$C464,$D:$D,"P0(후)",$L:$L,"&gt;0")&lt;&gt;1,"",SUMIFS($H:$H,$C:$C,$C464,$D:$D,"P0(후)"))</f>
        <v/>
      </c>
      <c r="Q464" s="30">
        <f>IF(COUNTIFS($C:$C,$C464,$D:$D,"P0(후)",$L:$L,"&gt;0")&lt;&gt;1,"",SUMIFS($L:$L,$C:$C,$C464,$D:$D,"P0(후)"))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IF(OR(NOT(ISNUMBER(S464)),IF(ISNUMBER(G464),G464,F464)=0),"",S464/IF(ISNUMBER(G464),G464,F464))</f>
        <v/>
      </c>
      <c r="U464" s="46">
        <f>IF(ISNUMBER(T464),ABS(T464),"")</f>
        <v/>
      </c>
      <c r="V464" s="46">
        <f>IF(OR($D463&lt;&gt;"측정",$C463&lt;&gt;$C464,NOT(ISNUMBER(L464)),NOT(ISNUMBER(L463)),(IF(ISNUMBER(G464),G464,F464)-IF(ISNUMBER(G463),G463,F463))=0),"",(L464-L463)/(IF(ISNUMBER(G464),G464,F464)-IF(ISNUMBER(G463),G463,F463)))</f>
        <v/>
      </c>
      <c r="W464" s="30">
        <f>IF(NOT(AND(ISNUMBER(N464),ISNUMBER(P464))),"",(P464-N464)*1440)</f>
        <v/>
      </c>
      <c r="X464" s="28" t="n"/>
      <c r="Y464" s="28" t="n"/>
      <c r="Z464" s="28" t="n"/>
      <c r="AA464" s="31" t="n"/>
      <c r="AB464" s="31" t="n"/>
    </row>
    <row r="465">
      <c r="A465" s="25" t="inlineStr">
        <is>
          <t>S09</t>
        </is>
      </c>
      <c r="B465" s="25" t="inlineStr">
        <is>
          <t>어론 신규점</t>
        </is>
      </c>
      <c r="C465" s="25" t="inlineStr">
        <is>
          <t>S09-H북</t>
        </is>
      </c>
      <c r="D465" s="25" t="inlineStr">
        <is>
          <t>측정</t>
        </is>
      </c>
      <c r="E465" s="25" t="inlineStr">
        <is>
          <t>북</t>
        </is>
      </c>
      <c r="F465" s="30" t="n">
        <v>4</v>
      </c>
      <c r="G465" s="29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IF(COUNTIFS($C:$C,$C465,$D:$D,"P0(전)",$L:$L,"&gt;0")&lt;&gt;1,"P0(전) 유효 1개 아님",IF(COUNTIFS($C:$C,$C465,$D:$D,"P0(후)",$L:$L,"&gt;0")&lt;&gt;1,"P0(후) 유효 1개 아님",IF(NOT(AND(ISNUMBER(N465),ISNUMBER(P465),ISNUMBER(H465))),"시각 결측",IF(P465&lt;=N465,"P0 시각 역전",IF(OR(H465&lt;N465,H465&gt;P465),"측정시각 구간 밖","OK")))))</f>
        <v/>
      </c>
      <c r="N465" s="45">
        <f>IF(COUNTIFS($C:$C,$C465,$D:$D,"P0(전)",$L:$L,"&gt;0")&lt;&gt;1,"",SUMIFS($H:$H,$C:$C,$C465,$D:$D,"P0(전)"))</f>
        <v/>
      </c>
      <c r="O465" s="30">
        <f>IF(COUNTIFS($C:$C,$C465,$D:$D,"P0(전)",$L:$L,"&gt;0")&lt;&gt;1,"",SUMIFS($L:$L,$C:$C,$C465,$D:$D,"P0(전)"))</f>
        <v/>
      </c>
      <c r="P465" s="45">
        <f>IF(COUNTIFS($C:$C,$C465,$D:$D,"P0(후)",$L:$L,"&gt;0")&lt;&gt;1,"",SUMIFS($H:$H,$C:$C,$C465,$D:$D,"P0(후)"))</f>
        <v/>
      </c>
      <c r="Q465" s="30">
        <f>IF(COUNTIFS($C:$C,$C465,$D:$D,"P0(후)",$L:$L,"&gt;0")&lt;&gt;1,"",SUMIFS($L:$L,$C:$C,$C465,$D:$D,"P0(후)"))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IF(OR(NOT(ISNUMBER(S465)),IF(ISNUMBER(G465),G465,F465)=0),"",S465/IF(ISNUMBER(G465),G465,F465))</f>
        <v/>
      </c>
      <c r="U465" s="46">
        <f>IF(ISNUMBER(T465),ABS(T465),"")</f>
        <v/>
      </c>
      <c r="V465" s="46">
        <f>IF(OR($D464&lt;&gt;"측정",$C464&lt;&gt;$C465,NOT(ISNUMBER(L465)),NOT(ISNUMBER(L464)),(IF(ISNUMBER(G465),G465,F465)-IF(ISNUMBER(G464),G464,F464))=0),"",(L465-L464)/(IF(ISNUMBER(G465),G465,F465)-IF(ISNUMBER(G464),G464,F464)))</f>
        <v/>
      </c>
      <c r="W465" s="30">
        <f>IF(NOT(AND(ISNUMBER(N465),ISNUMBER(P465))),"",(P465-N465)*1440)</f>
        <v/>
      </c>
      <c r="X465" s="28" t="n"/>
      <c r="Y465" s="28" t="n"/>
      <c r="Z465" s="28" t="n"/>
      <c r="AA465" s="31" t="n"/>
      <c r="AB465" s="31" t="n"/>
    </row>
    <row r="466">
      <c r="A466" s="25" t="inlineStr">
        <is>
          <t>S09</t>
        </is>
      </c>
      <c r="B466" s="25" t="inlineStr">
        <is>
          <t>어론 신규점</t>
        </is>
      </c>
      <c r="C466" s="25" t="inlineStr">
        <is>
          <t>S09-H북</t>
        </is>
      </c>
      <c r="D466" s="25" t="inlineStr">
        <is>
          <t>측정</t>
        </is>
      </c>
      <c r="E466" s="25" t="inlineStr">
        <is>
          <t>북</t>
        </is>
      </c>
      <c r="F466" s="30" t="n">
        <v>5</v>
      </c>
      <c r="G466" s="29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IF(COUNTIFS($C:$C,$C466,$D:$D,"P0(전)",$L:$L,"&gt;0")&lt;&gt;1,"P0(전) 유효 1개 아님",IF(COUNTIFS($C:$C,$C466,$D:$D,"P0(후)",$L:$L,"&gt;0")&lt;&gt;1,"P0(후) 유효 1개 아님",IF(NOT(AND(ISNUMBER(N466),ISNUMBER(P466),ISNUMBER(H466))),"시각 결측",IF(P466&lt;=N466,"P0 시각 역전",IF(OR(H466&lt;N466,H466&gt;P466),"측정시각 구간 밖","OK")))))</f>
        <v/>
      </c>
      <c r="N466" s="45">
        <f>IF(COUNTIFS($C:$C,$C466,$D:$D,"P0(전)",$L:$L,"&gt;0")&lt;&gt;1,"",SUMIFS($H:$H,$C:$C,$C466,$D:$D,"P0(전)"))</f>
        <v/>
      </c>
      <c r="O466" s="30">
        <f>IF(COUNTIFS($C:$C,$C466,$D:$D,"P0(전)",$L:$L,"&gt;0")&lt;&gt;1,"",SUMIFS($L:$L,$C:$C,$C466,$D:$D,"P0(전)"))</f>
        <v/>
      </c>
      <c r="P466" s="45">
        <f>IF(COUNTIFS($C:$C,$C466,$D:$D,"P0(후)",$L:$L,"&gt;0")&lt;&gt;1,"",SUMIFS($H:$H,$C:$C,$C466,$D:$D,"P0(후)"))</f>
        <v/>
      </c>
      <c r="Q466" s="30">
        <f>IF(COUNTIFS($C:$C,$C466,$D:$D,"P0(후)",$L:$L,"&gt;0")&lt;&gt;1,"",SUMIFS($L:$L,$C:$C,$C466,$D:$D,"P0(후)"))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IF(OR(NOT(ISNUMBER(S466)),IF(ISNUMBER(G466),G466,F466)=0),"",S466/IF(ISNUMBER(G466),G466,F466))</f>
        <v/>
      </c>
      <c r="U466" s="46">
        <f>IF(ISNUMBER(T466),ABS(T466),"")</f>
        <v/>
      </c>
      <c r="V466" s="46">
        <f>IF(OR($D465&lt;&gt;"측정",$C465&lt;&gt;$C466,NOT(ISNUMBER(L466)),NOT(ISNUMBER(L465)),(IF(ISNUMBER(G466),G466,F466)-IF(ISNUMBER(G465),G465,F465))=0),"",(L466-L465)/(IF(ISNUMBER(G466),G466,F466)-IF(ISNUMBER(G465),G465,F465)))</f>
        <v/>
      </c>
      <c r="W466" s="30">
        <f>IF(NOT(AND(ISNUMBER(N466),ISNUMBER(P466))),"",(P466-N466)*1440)</f>
        <v/>
      </c>
      <c r="X466" s="28" t="n"/>
      <c r="Y466" s="28" t="n"/>
      <c r="Z466" s="28" t="n"/>
      <c r="AA466" s="31" t="n"/>
      <c r="AB466" s="31" t="n"/>
    </row>
    <row r="467">
      <c r="A467" s="25" t="inlineStr">
        <is>
          <t>S09</t>
        </is>
      </c>
      <c r="B467" s="25" t="inlineStr">
        <is>
          <t>어론 신규점</t>
        </is>
      </c>
      <c r="C467" s="25" t="inlineStr">
        <is>
          <t>S09-H북</t>
        </is>
      </c>
      <c r="D467" s="25" t="inlineStr">
        <is>
          <t>측정</t>
        </is>
      </c>
      <c r="E467" s="25" t="inlineStr">
        <is>
          <t>북</t>
        </is>
      </c>
      <c r="F467" s="30" t="n">
        <v>6</v>
      </c>
      <c r="G467" s="29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IF(COUNTIFS($C:$C,$C467,$D:$D,"P0(전)",$L:$L,"&gt;0")&lt;&gt;1,"P0(전) 유효 1개 아님",IF(COUNTIFS($C:$C,$C467,$D:$D,"P0(후)",$L:$L,"&gt;0")&lt;&gt;1,"P0(후) 유효 1개 아님",IF(NOT(AND(ISNUMBER(N467),ISNUMBER(P467),ISNUMBER(H467))),"시각 결측",IF(P467&lt;=N467,"P0 시각 역전",IF(OR(H467&lt;N467,H467&gt;P467),"측정시각 구간 밖","OK")))))</f>
        <v/>
      </c>
      <c r="N467" s="45">
        <f>IF(COUNTIFS($C:$C,$C467,$D:$D,"P0(전)",$L:$L,"&gt;0")&lt;&gt;1,"",SUMIFS($H:$H,$C:$C,$C467,$D:$D,"P0(전)"))</f>
        <v/>
      </c>
      <c r="O467" s="30">
        <f>IF(COUNTIFS($C:$C,$C467,$D:$D,"P0(전)",$L:$L,"&gt;0")&lt;&gt;1,"",SUMIFS($L:$L,$C:$C,$C467,$D:$D,"P0(전)"))</f>
        <v/>
      </c>
      <c r="P467" s="45">
        <f>IF(COUNTIFS($C:$C,$C467,$D:$D,"P0(후)",$L:$L,"&gt;0")&lt;&gt;1,"",SUMIFS($H:$H,$C:$C,$C467,$D:$D,"P0(후)"))</f>
        <v/>
      </c>
      <c r="Q467" s="30">
        <f>IF(COUNTIFS($C:$C,$C467,$D:$D,"P0(후)",$L:$L,"&gt;0")&lt;&gt;1,"",SUMIFS($L:$L,$C:$C,$C467,$D:$D,"P0(후)"))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IF(OR(NOT(ISNUMBER(S467)),IF(ISNUMBER(G467),G467,F467)=0),"",S467/IF(ISNUMBER(G467),G467,F467))</f>
        <v/>
      </c>
      <c r="U467" s="46">
        <f>IF(ISNUMBER(T467),ABS(T467),"")</f>
        <v/>
      </c>
      <c r="V467" s="46">
        <f>IF(OR($D466&lt;&gt;"측정",$C466&lt;&gt;$C467,NOT(ISNUMBER(L467)),NOT(ISNUMBER(L466)),(IF(ISNUMBER(G467),G467,F467)-IF(ISNUMBER(G466),G466,F466))=0),"",(L467-L466)/(IF(ISNUMBER(G467),G467,F467)-IF(ISNUMBER(G466),G466,F466)))</f>
        <v/>
      </c>
      <c r="W467" s="30">
        <f>IF(NOT(AND(ISNUMBER(N467),ISNUMBER(P467))),"",(P467-N467)*1440)</f>
        <v/>
      </c>
      <c r="X467" s="28" t="n"/>
      <c r="Y467" s="28" t="n"/>
      <c r="Z467" s="28" t="n"/>
      <c r="AA467" s="31" t="n"/>
      <c r="AB467" s="31" t="n"/>
    </row>
    <row r="468">
      <c r="A468" s="25" t="inlineStr">
        <is>
          <t>S09</t>
        </is>
      </c>
      <c r="B468" s="25" t="inlineStr">
        <is>
          <t>어론 신규점</t>
        </is>
      </c>
      <c r="C468" s="25" t="inlineStr">
        <is>
          <t>S09-H북</t>
        </is>
      </c>
      <c r="D468" s="25" t="inlineStr">
        <is>
          <t>측정</t>
        </is>
      </c>
      <c r="E468" s="25" t="inlineStr">
        <is>
          <t>북</t>
        </is>
      </c>
      <c r="F468" s="30" t="n">
        <v>7</v>
      </c>
      <c r="G468" s="29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IF(COUNTIFS($C:$C,$C468,$D:$D,"P0(전)",$L:$L,"&gt;0")&lt;&gt;1,"P0(전) 유효 1개 아님",IF(COUNTIFS($C:$C,$C468,$D:$D,"P0(후)",$L:$L,"&gt;0")&lt;&gt;1,"P0(후) 유효 1개 아님",IF(NOT(AND(ISNUMBER(N468),ISNUMBER(P468),ISNUMBER(H468))),"시각 결측",IF(P468&lt;=N468,"P0 시각 역전",IF(OR(H468&lt;N468,H468&gt;P468),"측정시각 구간 밖","OK")))))</f>
        <v/>
      </c>
      <c r="N468" s="45">
        <f>IF(COUNTIFS($C:$C,$C468,$D:$D,"P0(전)",$L:$L,"&gt;0")&lt;&gt;1,"",SUMIFS($H:$H,$C:$C,$C468,$D:$D,"P0(전)"))</f>
        <v/>
      </c>
      <c r="O468" s="30">
        <f>IF(COUNTIFS($C:$C,$C468,$D:$D,"P0(전)",$L:$L,"&gt;0")&lt;&gt;1,"",SUMIFS($L:$L,$C:$C,$C468,$D:$D,"P0(전)"))</f>
        <v/>
      </c>
      <c r="P468" s="45">
        <f>IF(COUNTIFS($C:$C,$C468,$D:$D,"P0(후)",$L:$L,"&gt;0")&lt;&gt;1,"",SUMIFS($H:$H,$C:$C,$C468,$D:$D,"P0(후)"))</f>
        <v/>
      </c>
      <c r="Q468" s="30">
        <f>IF(COUNTIFS($C:$C,$C468,$D:$D,"P0(후)",$L:$L,"&gt;0")&lt;&gt;1,"",SUMIFS($L:$L,$C:$C,$C468,$D:$D,"P0(후)"))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IF(OR(NOT(ISNUMBER(S468)),IF(ISNUMBER(G468),G468,F468)=0),"",S468/IF(ISNUMBER(G468),G468,F468))</f>
        <v/>
      </c>
      <c r="U468" s="46">
        <f>IF(ISNUMBER(T468),ABS(T468),"")</f>
        <v/>
      </c>
      <c r="V468" s="46">
        <f>IF(OR($D467&lt;&gt;"측정",$C467&lt;&gt;$C468,NOT(ISNUMBER(L468)),NOT(ISNUMBER(L467)),(IF(ISNUMBER(G468),G468,F468)-IF(ISNUMBER(G467),G467,F467))=0),"",(L468-L467)/(IF(ISNUMBER(G468),G468,F468)-IF(ISNUMBER(G467),G467,F467)))</f>
        <v/>
      </c>
      <c r="W468" s="30">
        <f>IF(NOT(AND(ISNUMBER(N468),ISNUMBER(P468))),"",(P468-N468)*1440)</f>
        <v/>
      </c>
      <c r="X468" s="28" t="n"/>
      <c r="Y468" s="28" t="n"/>
      <c r="Z468" s="28" t="n"/>
      <c r="AA468" s="31" t="n"/>
      <c r="AB468" s="31" t="n"/>
    </row>
    <row r="469">
      <c r="A469" s="25" t="inlineStr">
        <is>
          <t>S09</t>
        </is>
      </c>
      <c r="B469" s="25" t="inlineStr">
        <is>
          <t>어론 신규점</t>
        </is>
      </c>
      <c r="C469" s="25" t="inlineStr">
        <is>
          <t>S09-H북</t>
        </is>
      </c>
      <c r="D469" s="25" t="inlineStr">
        <is>
          <t>측정</t>
        </is>
      </c>
      <c r="E469" s="25" t="inlineStr">
        <is>
          <t>북</t>
        </is>
      </c>
      <c r="F469" s="30" t="n">
        <v>8</v>
      </c>
      <c r="G469" s="29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IF(COUNTIFS($C:$C,$C469,$D:$D,"P0(전)",$L:$L,"&gt;0")&lt;&gt;1,"P0(전) 유효 1개 아님",IF(COUNTIFS($C:$C,$C469,$D:$D,"P0(후)",$L:$L,"&gt;0")&lt;&gt;1,"P0(후) 유효 1개 아님",IF(NOT(AND(ISNUMBER(N469),ISNUMBER(P469),ISNUMBER(H469))),"시각 결측",IF(P469&lt;=N469,"P0 시각 역전",IF(OR(H469&lt;N469,H469&gt;P469),"측정시각 구간 밖","OK")))))</f>
        <v/>
      </c>
      <c r="N469" s="45">
        <f>IF(COUNTIFS($C:$C,$C469,$D:$D,"P0(전)",$L:$L,"&gt;0")&lt;&gt;1,"",SUMIFS($H:$H,$C:$C,$C469,$D:$D,"P0(전)"))</f>
        <v/>
      </c>
      <c r="O469" s="30">
        <f>IF(COUNTIFS($C:$C,$C469,$D:$D,"P0(전)",$L:$L,"&gt;0")&lt;&gt;1,"",SUMIFS($L:$L,$C:$C,$C469,$D:$D,"P0(전)"))</f>
        <v/>
      </c>
      <c r="P469" s="45">
        <f>IF(COUNTIFS($C:$C,$C469,$D:$D,"P0(후)",$L:$L,"&gt;0")&lt;&gt;1,"",SUMIFS($H:$H,$C:$C,$C469,$D:$D,"P0(후)"))</f>
        <v/>
      </c>
      <c r="Q469" s="30">
        <f>IF(COUNTIFS($C:$C,$C469,$D:$D,"P0(후)",$L:$L,"&gt;0")&lt;&gt;1,"",SUMIFS($L:$L,$C:$C,$C469,$D:$D,"P0(후)"))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IF(OR(NOT(ISNUMBER(S469)),IF(ISNUMBER(G469),G469,F469)=0),"",S469/IF(ISNUMBER(G469),G469,F469))</f>
        <v/>
      </c>
      <c r="U469" s="46">
        <f>IF(ISNUMBER(T469),ABS(T469),"")</f>
        <v/>
      </c>
      <c r="V469" s="46">
        <f>IF(OR($D468&lt;&gt;"측정",$C468&lt;&gt;$C469,NOT(ISNUMBER(L469)),NOT(ISNUMBER(L468)),(IF(ISNUMBER(G469),G469,F469)-IF(ISNUMBER(G468),G468,F468))=0),"",(L469-L468)/(IF(ISNUMBER(G469),G469,F469)-IF(ISNUMBER(G468),G468,F468)))</f>
        <v/>
      </c>
      <c r="W469" s="30">
        <f>IF(NOT(AND(ISNUMBER(N469),ISNUMBER(P469))),"",(P469-N469)*1440)</f>
        <v/>
      </c>
      <c r="X469" s="28" t="n"/>
      <c r="Y469" s="28" t="n"/>
      <c r="Z469" s="28" t="n"/>
      <c r="AA469" s="31" t="n"/>
      <c r="AB469" s="31" t="n"/>
    </row>
    <row r="470">
      <c r="A470" s="25" t="inlineStr">
        <is>
          <t>S09</t>
        </is>
      </c>
      <c r="B470" s="25" t="inlineStr">
        <is>
          <t>어론 신규점</t>
        </is>
      </c>
      <c r="C470" s="25" t="inlineStr">
        <is>
          <t>S09-H북</t>
        </is>
      </c>
      <c r="D470" s="25" t="inlineStr">
        <is>
          <t>측정</t>
        </is>
      </c>
      <c r="E470" s="25" t="inlineStr">
        <is>
          <t>북</t>
        </is>
      </c>
      <c r="F470" s="30" t="n">
        <v>9</v>
      </c>
      <c r="G470" s="29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IF(COUNTIFS($C:$C,$C470,$D:$D,"P0(전)",$L:$L,"&gt;0")&lt;&gt;1,"P0(전) 유효 1개 아님",IF(COUNTIFS($C:$C,$C470,$D:$D,"P0(후)",$L:$L,"&gt;0")&lt;&gt;1,"P0(후) 유효 1개 아님",IF(NOT(AND(ISNUMBER(N470),ISNUMBER(P470),ISNUMBER(H470))),"시각 결측",IF(P470&lt;=N470,"P0 시각 역전",IF(OR(H470&lt;N470,H470&gt;P470),"측정시각 구간 밖","OK")))))</f>
        <v/>
      </c>
      <c r="N470" s="45">
        <f>IF(COUNTIFS($C:$C,$C470,$D:$D,"P0(전)",$L:$L,"&gt;0")&lt;&gt;1,"",SUMIFS($H:$H,$C:$C,$C470,$D:$D,"P0(전)"))</f>
        <v/>
      </c>
      <c r="O470" s="30">
        <f>IF(COUNTIFS($C:$C,$C470,$D:$D,"P0(전)",$L:$L,"&gt;0")&lt;&gt;1,"",SUMIFS($L:$L,$C:$C,$C470,$D:$D,"P0(전)"))</f>
        <v/>
      </c>
      <c r="P470" s="45">
        <f>IF(COUNTIFS($C:$C,$C470,$D:$D,"P0(후)",$L:$L,"&gt;0")&lt;&gt;1,"",SUMIFS($H:$H,$C:$C,$C470,$D:$D,"P0(후)"))</f>
        <v/>
      </c>
      <c r="Q470" s="30">
        <f>IF(COUNTIFS($C:$C,$C470,$D:$D,"P0(후)",$L:$L,"&gt;0")&lt;&gt;1,"",SUMIFS($L:$L,$C:$C,$C470,$D:$D,"P0(후)"))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IF(OR(NOT(ISNUMBER(S470)),IF(ISNUMBER(G470),G470,F470)=0),"",S470/IF(ISNUMBER(G470),G470,F470))</f>
        <v/>
      </c>
      <c r="U470" s="46">
        <f>IF(ISNUMBER(T470),ABS(T470),"")</f>
        <v/>
      </c>
      <c r="V470" s="46">
        <f>IF(OR($D469&lt;&gt;"측정",$C469&lt;&gt;$C470,NOT(ISNUMBER(L470)),NOT(ISNUMBER(L469)),(IF(ISNUMBER(G470),G470,F470)-IF(ISNUMBER(G469),G469,F469))=0),"",(L470-L469)/(IF(ISNUMBER(G470),G470,F470)-IF(ISNUMBER(G469),G469,F469)))</f>
        <v/>
      </c>
      <c r="W470" s="30">
        <f>IF(NOT(AND(ISNUMBER(N470),ISNUMBER(P470))),"",(P470-N470)*1440)</f>
        <v/>
      </c>
      <c r="X470" s="28" t="n"/>
      <c r="Y470" s="28" t="n"/>
      <c r="Z470" s="28" t="n"/>
      <c r="AA470" s="31" t="n"/>
      <c r="AB470" s="31" t="n"/>
    </row>
    <row r="471">
      <c r="A471" s="25" t="inlineStr">
        <is>
          <t>S09</t>
        </is>
      </c>
      <c r="B471" s="25" t="inlineStr">
        <is>
          <t>어론 신규점</t>
        </is>
      </c>
      <c r="C471" s="25" t="inlineStr">
        <is>
          <t>S09-H북</t>
        </is>
      </c>
      <c r="D471" s="25" t="inlineStr">
        <is>
          <t>측정</t>
        </is>
      </c>
      <c r="E471" s="25" t="inlineStr">
        <is>
          <t>북</t>
        </is>
      </c>
      <c r="F471" s="30" t="n">
        <v>10</v>
      </c>
      <c r="G471" s="29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IF(COUNTIFS($C:$C,$C471,$D:$D,"P0(전)",$L:$L,"&gt;0")&lt;&gt;1,"P0(전) 유효 1개 아님",IF(COUNTIFS($C:$C,$C471,$D:$D,"P0(후)",$L:$L,"&gt;0")&lt;&gt;1,"P0(후) 유효 1개 아님",IF(NOT(AND(ISNUMBER(N471),ISNUMBER(P471),ISNUMBER(H471))),"시각 결측",IF(P471&lt;=N471,"P0 시각 역전",IF(OR(H471&lt;N471,H471&gt;P471),"측정시각 구간 밖","OK")))))</f>
        <v/>
      </c>
      <c r="N471" s="45">
        <f>IF(COUNTIFS($C:$C,$C471,$D:$D,"P0(전)",$L:$L,"&gt;0")&lt;&gt;1,"",SUMIFS($H:$H,$C:$C,$C471,$D:$D,"P0(전)"))</f>
        <v/>
      </c>
      <c r="O471" s="30">
        <f>IF(COUNTIFS($C:$C,$C471,$D:$D,"P0(전)",$L:$L,"&gt;0")&lt;&gt;1,"",SUMIFS($L:$L,$C:$C,$C471,$D:$D,"P0(전)"))</f>
        <v/>
      </c>
      <c r="P471" s="45">
        <f>IF(COUNTIFS($C:$C,$C471,$D:$D,"P0(후)",$L:$L,"&gt;0")&lt;&gt;1,"",SUMIFS($H:$H,$C:$C,$C471,$D:$D,"P0(후)"))</f>
        <v/>
      </c>
      <c r="Q471" s="30">
        <f>IF(COUNTIFS($C:$C,$C471,$D:$D,"P0(후)",$L:$L,"&gt;0")&lt;&gt;1,"",SUMIFS($L:$L,$C:$C,$C471,$D:$D,"P0(후)"))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IF(OR(NOT(ISNUMBER(S471)),IF(ISNUMBER(G471),G471,F471)=0),"",S471/IF(ISNUMBER(G471),G471,F471))</f>
        <v/>
      </c>
      <c r="U471" s="46">
        <f>IF(ISNUMBER(T471),ABS(T471),"")</f>
        <v/>
      </c>
      <c r="V471" s="46">
        <f>IF(OR($D470&lt;&gt;"측정",$C470&lt;&gt;$C471,NOT(ISNUMBER(L471)),NOT(ISNUMBER(L470)),(IF(ISNUMBER(G471),G471,F471)-IF(ISNUMBER(G470),G470,F470))=0),"",(L471-L470)/(IF(ISNUMBER(G471),G471,F471)-IF(ISNUMBER(G470),G470,F470)))</f>
        <v/>
      </c>
      <c r="W471" s="30">
        <f>IF(NOT(AND(ISNUMBER(N471),ISNUMBER(P471))),"",(P471-N471)*1440)</f>
        <v/>
      </c>
      <c r="X471" s="28" t="n"/>
      <c r="Y471" s="28" t="n"/>
      <c r="Z471" s="28" t="n"/>
      <c r="AA471" s="31" t="n"/>
      <c r="AB471" s="31" t="n"/>
    </row>
    <row r="472">
      <c r="A472" s="43" t="inlineStr">
        <is>
          <t>S09</t>
        </is>
      </c>
      <c r="B472" s="43" t="inlineStr">
        <is>
          <t>어론 신규점</t>
        </is>
      </c>
      <c r="C472" s="43" t="inlineStr">
        <is>
          <t>S09-H북</t>
        </is>
      </c>
      <c r="D472" s="43" t="inlineStr">
        <is>
          <t>P0(후)</t>
        </is>
      </c>
      <c r="E472" s="43" t="inlineStr">
        <is>
          <t>북</t>
        </is>
      </c>
      <c r="F472" s="44" t="n"/>
      <c r="G472" s="29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28" t="n"/>
      <c r="Y472" s="28" t="n"/>
      <c r="Z472" s="28" t="n"/>
      <c r="AA472" s="31" t="n"/>
      <c r="AB472" s="31" t="n"/>
    </row>
    <row r="473">
      <c r="A473" s="43" t="inlineStr">
        <is>
          <t>S10</t>
        </is>
      </c>
      <c r="B473" s="43" t="inlineStr">
        <is>
          <t>예안 신규점1</t>
        </is>
      </c>
      <c r="C473" s="43" t="inlineStr">
        <is>
          <t>S10-H동</t>
        </is>
      </c>
      <c r="D473" s="43" t="inlineStr">
        <is>
          <t>P0(전)</t>
        </is>
      </c>
      <c r="E473" s="43" t="inlineStr">
        <is>
          <t>동</t>
        </is>
      </c>
      <c r="F473" s="44" t="n"/>
      <c r="G473" s="29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28" t="n"/>
      <c r="Y473" s="28" t="n"/>
      <c r="Z473" s="28" t="n"/>
      <c r="AA473" s="31" t="n"/>
      <c r="AB473" s="31" t="n"/>
    </row>
    <row r="474">
      <c r="A474" s="25" t="inlineStr">
        <is>
          <t>S10</t>
        </is>
      </c>
      <c r="B474" s="25" t="inlineStr">
        <is>
          <t>예안 신규점1</t>
        </is>
      </c>
      <c r="C474" s="25" t="inlineStr">
        <is>
          <t>S10-H동</t>
        </is>
      </c>
      <c r="D474" s="25" t="inlineStr">
        <is>
          <t>측정</t>
        </is>
      </c>
      <c r="E474" s="25" t="inlineStr">
        <is>
          <t>동</t>
        </is>
      </c>
      <c r="F474" s="30" t="n">
        <v>0.5</v>
      </c>
      <c r="G474" s="29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IF(COUNTIFS($C:$C,$C474,$D:$D,"P0(전)",$L:$L,"&gt;0")&lt;&gt;1,"P0(전) 유효 1개 아님",IF(COUNTIFS($C:$C,$C474,$D:$D,"P0(후)",$L:$L,"&gt;0")&lt;&gt;1,"P0(후) 유효 1개 아님",IF(NOT(AND(ISNUMBER(N474),ISNUMBER(P474),ISNUMBER(H474))),"시각 결측",IF(P474&lt;=N474,"P0 시각 역전",IF(OR(H474&lt;N474,H474&gt;P474),"측정시각 구간 밖","OK")))))</f>
        <v/>
      </c>
      <c r="N474" s="45">
        <f>IF(COUNTIFS($C:$C,$C474,$D:$D,"P0(전)",$L:$L,"&gt;0")&lt;&gt;1,"",SUMIFS($H:$H,$C:$C,$C474,$D:$D,"P0(전)"))</f>
        <v/>
      </c>
      <c r="O474" s="30">
        <f>IF(COUNTIFS($C:$C,$C474,$D:$D,"P0(전)",$L:$L,"&gt;0")&lt;&gt;1,"",SUMIFS($L:$L,$C:$C,$C474,$D:$D,"P0(전)"))</f>
        <v/>
      </c>
      <c r="P474" s="45">
        <f>IF(COUNTIFS($C:$C,$C474,$D:$D,"P0(후)",$L:$L,"&gt;0")&lt;&gt;1,"",SUMIFS($H:$H,$C:$C,$C474,$D:$D,"P0(후)"))</f>
        <v/>
      </c>
      <c r="Q474" s="30">
        <f>IF(COUNTIFS($C:$C,$C474,$D:$D,"P0(후)",$L:$L,"&gt;0")&lt;&gt;1,"",SUMIFS($L:$L,$C:$C,$C474,$D:$D,"P0(후)"))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IF(OR(NOT(ISNUMBER(S474)),IF(ISNUMBER(G474),G474,F474)=0),"",S474/IF(ISNUMBER(G474),G474,F474))</f>
        <v/>
      </c>
      <c r="U474" s="46">
        <f>IF(ISNUMBER(T474),ABS(T474),"")</f>
        <v/>
      </c>
      <c r="V474" s="46">
        <f>IF(OR($D473&lt;&gt;"측정",$C473&lt;&gt;$C474,NOT(ISNUMBER(L474)),NOT(ISNUMBER(L473)),(IF(ISNUMBER(G474),G474,F474)-IF(ISNUMBER(G473),G473,F473))=0),"",(L474-L473)/(IF(ISNUMBER(G474),G474,F474)-IF(ISNUMBER(G473),G473,F473)))</f>
        <v/>
      </c>
      <c r="W474" s="30">
        <f>IF(NOT(AND(ISNUMBER(N474),ISNUMBER(P474))),"",(P474-N474)*1440)</f>
        <v/>
      </c>
      <c r="X474" s="28" t="n"/>
      <c r="Y474" s="28" t="n"/>
      <c r="Z474" s="28" t="n"/>
      <c r="AA474" s="31" t="n"/>
      <c r="AB474" s="31" t="n"/>
    </row>
    <row r="475">
      <c r="A475" s="25" t="inlineStr">
        <is>
          <t>S10</t>
        </is>
      </c>
      <c r="B475" s="25" t="inlineStr">
        <is>
          <t>예안 신규점1</t>
        </is>
      </c>
      <c r="C475" s="25" t="inlineStr">
        <is>
          <t>S10-H동</t>
        </is>
      </c>
      <c r="D475" s="25" t="inlineStr">
        <is>
          <t>측정</t>
        </is>
      </c>
      <c r="E475" s="25" t="inlineStr">
        <is>
          <t>동</t>
        </is>
      </c>
      <c r="F475" s="30" t="n">
        <v>1</v>
      </c>
      <c r="G475" s="29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IF(COUNTIFS($C:$C,$C475,$D:$D,"P0(전)",$L:$L,"&gt;0")&lt;&gt;1,"P0(전) 유효 1개 아님",IF(COUNTIFS($C:$C,$C475,$D:$D,"P0(후)",$L:$L,"&gt;0")&lt;&gt;1,"P0(후) 유효 1개 아님",IF(NOT(AND(ISNUMBER(N475),ISNUMBER(P475),ISNUMBER(H475))),"시각 결측",IF(P475&lt;=N475,"P0 시각 역전",IF(OR(H475&lt;N475,H475&gt;P475),"측정시각 구간 밖","OK")))))</f>
        <v/>
      </c>
      <c r="N475" s="45">
        <f>IF(COUNTIFS($C:$C,$C475,$D:$D,"P0(전)",$L:$L,"&gt;0")&lt;&gt;1,"",SUMIFS($H:$H,$C:$C,$C475,$D:$D,"P0(전)"))</f>
        <v/>
      </c>
      <c r="O475" s="30">
        <f>IF(COUNTIFS($C:$C,$C475,$D:$D,"P0(전)",$L:$L,"&gt;0")&lt;&gt;1,"",SUMIFS($L:$L,$C:$C,$C475,$D:$D,"P0(전)"))</f>
        <v/>
      </c>
      <c r="P475" s="45">
        <f>IF(COUNTIFS($C:$C,$C475,$D:$D,"P0(후)",$L:$L,"&gt;0")&lt;&gt;1,"",SUMIFS($H:$H,$C:$C,$C475,$D:$D,"P0(후)"))</f>
        <v/>
      </c>
      <c r="Q475" s="30">
        <f>IF(COUNTIFS($C:$C,$C475,$D:$D,"P0(후)",$L:$L,"&gt;0")&lt;&gt;1,"",SUMIFS($L:$L,$C:$C,$C475,$D:$D,"P0(후)"))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IF(OR(NOT(ISNUMBER(S475)),IF(ISNUMBER(G475),G475,F475)=0),"",S475/IF(ISNUMBER(G475),G475,F475))</f>
        <v/>
      </c>
      <c r="U475" s="46">
        <f>IF(ISNUMBER(T475),ABS(T475),"")</f>
        <v/>
      </c>
      <c r="V475" s="46">
        <f>IF(OR($D474&lt;&gt;"측정",$C474&lt;&gt;$C475,NOT(ISNUMBER(L475)),NOT(ISNUMBER(L474)),(IF(ISNUMBER(G475),G475,F475)-IF(ISNUMBER(G474),G474,F474))=0),"",(L475-L474)/(IF(ISNUMBER(G475),G475,F475)-IF(ISNUMBER(G474),G474,F474)))</f>
        <v/>
      </c>
      <c r="W475" s="30">
        <f>IF(NOT(AND(ISNUMBER(N475),ISNUMBER(P475))),"",(P475-N475)*1440)</f>
        <v/>
      </c>
      <c r="X475" s="28" t="n"/>
      <c r="Y475" s="28" t="n"/>
      <c r="Z475" s="28" t="n"/>
      <c r="AA475" s="31" t="n"/>
      <c r="AB475" s="31" t="n"/>
    </row>
    <row r="476">
      <c r="A476" s="25" t="inlineStr">
        <is>
          <t>S10</t>
        </is>
      </c>
      <c r="B476" s="25" t="inlineStr">
        <is>
          <t>예안 신규점1</t>
        </is>
      </c>
      <c r="C476" s="25" t="inlineStr">
        <is>
          <t>S10-H동</t>
        </is>
      </c>
      <c r="D476" s="25" t="inlineStr">
        <is>
          <t>측정</t>
        </is>
      </c>
      <c r="E476" s="25" t="inlineStr">
        <is>
          <t>동</t>
        </is>
      </c>
      <c r="F476" s="30" t="n">
        <v>2</v>
      </c>
      <c r="G476" s="29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IF(COUNTIFS($C:$C,$C476,$D:$D,"P0(전)",$L:$L,"&gt;0")&lt;&gt;1,"P0(전) 유효 1개 아님",IF(COUNTIFS($C:$C,$C476,$D:$D,"P0(후)",$L:$L,"&gt;0")&lt;&gt;1,"P0(후) 유효 1개 아님",IF(NOT(AND(ISNUMBER(N476),ISNUMBER(P476),ISNUMBER(H476))),"시각 결측",IF(P476&lt;=N476,"P0 시각 역전",IF(OR(H476&lt;N476,H476&gt;P476),"측정시각 구간 밖","OK")))))</f>
        <v/>
      </c>
      <c r="N476" s="45">
        <f>IF(COUNTIFS($C:$C,$C476,$D:$D,"P0(전)",$L:$L,"&gt;0")&lt;&gt;1,"",SUMIFS($H:$H,$C:$C,$C476,$D:$D,"P0(전)"))</f>
        <v/>
      </c>
      <c r="O476" s="30">
        <f>IF(COUNTIFS($C:$C,$C476,$D:$D,"P0(전)",$L:$L,"&gt;0")&lt;&gt;1,"",SUMIFS($L:$L,$C:$C,$C476,$D:$D,"P0(전)"))</f>
        <v/>
      </c>
      <c r="P476" s="45">
        <f>IF(COUNTIFS($C:$C,$C476,$D:$D,"P0(후)",$L:$L,"&gt;0")&lt;&gt;1,"",SUMIFS($H:$H,$C:$C,$C476,$D:$D,"P0(후)"))</f>
        <v/>
      </c>
      <c r="Q476" s="30">
        <f>IF(COUNTIFS($C:$C,$C476,$D:$D,"P0(후)",$L:$L,"&gt;0")&lt;&gt;1,"",SUMIFS($L:$L,$C:$C,$C476,$D:$D,"P0(후)"))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IF(OR(NOT(ISNUMBER(S476)),IF(ISNUMBER(G476),G476,F476)=0),"",S476/IF(ISNUMBER(G476),G476,F476))</f>
        <v/>
      </c>
      <c r="U476" s="46">
        <f>IF(ISNUMBER(T476),ABS(T476),"")</f>
        <v/>
      </c>
      <c r="V476" s="46">
        <f>IF(OR($D475&lt;&gt;"측정",$C475&lt;&gt;$C476,NOT(ISNUMBER(L476)),NOT(ISNUMBER(L475)),(IF(ISNUMBER(G476),G476,F476)-IF(ISNUMBER(G475),G475,F475))=0),"",(L476-L475)/(IF(ISNUMBER(G476),G476,F476)-IF(ISNUMBER(G475),G475,F475)))</f>
        <v/>
      </c>
      <c r="W476" s="30">
        <f>IF(NOT(AND(ISNUMBER(N476),ISNUMBER(P476))),"",(P476-N476)*1440)</f>
        <v/>
      </c>
      <c r="X476" s="28" t="n"/>
      <c r="Y476" s="28" t="n"/>
      <c r="Z476" s="28" t="n"/>
      <c r="AA476" s="31" t="n"/>
      <c r="AB476" s="31" t="n"/>
    </row>
    <row r="477">
      <c r="A477" s="25" t="inlineStr">
        <is>
          <t>S10</t>
        </is>
      </c>
      <c r="B477" s="25" t="inlineStr">
        <is>
          <t>예안 신규점1</t>
        </is>
      </c>
      <c r="C477" s="25" t="inlineStr">
        <is>
          <t>S10-H동</t>
        </is>
      </c>
      <c r="D477" s="25" t="inlineStr">
        <is>
          <t>측정</t>
        </is>
      </c>
      <c r="E477" s="25" t="inlineStr">
        <is>
          <t>동</t>
        </is>
      </c>
      <c r="F477" s="30" t="n">
        <v>3</v>
      </c>
      <c r="G477" s="29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IF(COUNTIFS($C:$C,$C477,$D:$D,"P0(전)",$L:$L,"&gt;0")&lt;&gt;1,"P0(전) 유효 1개 아님",IF(COUNTIFS($C:$C,$C477,$D:$D,"P0(후)",$L:$L,"&gt;0")&lt;&gt;1,"P0(후) 유효 1개 아님",IF(NOT(AND(ISNUMBER(N477),ISNUMBER(P477),ISNUMBER(H477))),"시각 결측",IF(P477&lt;=N477,"P0 시각 역전",IF(OR(H477&lt;N477,H477&gt;P477),"측정시각 구간 밖","OK")))))</f>
        <v/>
      </c>
      <c r="N477" s="45">
        <f>IF(COUNTIFS($C:$C,$C477,$D:$D,"P0(전)",$L:$L,"&gt;0")&lt;&gt;1,"",SUMIFS($H:$H,$C:$C,$C477,$D:$D,"P0(전)"))</f>
        <v/>
      </c>
      <c r="O477" s="30">
        <f>IF(COUNTIFS($C:$C,$C477,$D:$D,"P0(전)",$L:$L,"&gt;0")&lt;&gt;1,"",SUMIFS($L:$L,$C:$C,$C477,$D:$D,"P0(전)"))</f>
        <v/>
      </c>
      <c r="P477" s="45">
        <f>IF(COUNTIFS($C:$C,$C477,$D:$D,"P0(후)",$L:$L,"&gt;0")&lt;&gt;1,"",SUMIFS($H:$H,$C:$C,$C477,$D:$D,"P0(후)"))</f>
        <v/>
      </c>
      <c r="Q477" s="30">
        <f>IF(COUNTIFS($C:$C,$C477,$D:$D,"P0(후)",$L:$L,"&gt;0")&lt;&gt;1,"",SUMIFS($L:$L,$C:$C,$C477,$D:$D,"P0(후)"))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IF(OR(NOT(ISNUMBER(S477)),IF(ISNUMBER(G477),G477,F477)=0),"",S477/IF(ISNUMBER(G477),G477,F477))</f>
        <v/>
      </c>
      <c r="U477" s="46">
        <f>IF(ISNUMBER(T477),ABS(T477),"")</f>
        <v/>
      </c>
      <c r="V477" s="46">
        <f>IF(OR($D476&lt;&gt;"측정",$C476&lt;&gt;$C477,NOT(ISNUMBER(L477)),NOT(ISNUMBER(L476)),(IF(ISNUMBER(G477),G477,F477)-IF(ISNUMBER(G476),G476,F476))=0),"",(L477-L476)/(IF(ISNUMBER(G477),G477,F477)-IF(ISNUMBER(G476),G476,F476)))</f>
        <v/>
      </c>
      <c r="W477" s="30">
        <f>IF(NOT(AND(ISNUMBER(N477),ISNUMBER(P477))),"",(P477-N477)*1440)</f>
        <v/>
      </c>
      <c r="X477" s="28" t="n"/>
      <c r="Y477" s="28" t="n"/>
      <c r="Z477" s="28" t="n"/>
      <c r="AA477" s="31" t="n"/>
      <c r="AB477" s="31" t="n"/>
    </row>
    <row r="478">
      <c r="A478" s="25" t="inlineStr">
        <is>
          <t>S10</t>
        </is>
      </c>
      <c r="B478" s="25" t="inlineStr">
        <is>
          <t>예안 신규점1</t>
        </is>
      </c>
      <c r="C478" s="25" t="inlineStr">
        <is>
          <t>S10-H동</t>
        </is>
      </c>
      <c r="D478" s="25" t="inlineStr">
        <is>
          <t>측정</t>
        </is>
      </c>
      <c r="E478" s="25" t="inlineStr">
        <is>
          <t>동</t>
        </is>
      </c>
      <c r="F478" s="30" t="n">
        <v>4</v>
      </c>
      <c r="G478" s="29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IF(COUNTIFS($C:$C,$C478,$D:$D,"P0(전)",$L:$L,"&gt;0")&lt;&gt;1,"P0(전) 유효 1개 아님",IF(COUNTIFS($C:$C,$C478,$D:$D,"P0(후)",$L:$L,"&gt;0")&lt;&gt;1,"P0(후) 유효 1개 아님",IF(NOT(AND(ISNUMBER(N478),ISNUMBER(P478),ISNUMBER(H478))),"시각 결측",IF(P478&lt;=N478,"P0 시각 역전",IF(OR(H478&lt;N478,H478&gt;P478),"측정시각 구간 밖","OK")))))</f>
        <v/>
      </c>
      <c r="N478" s="45">
        <f>IF(COUNTIFS($C:$C,$C478,$D:$D,"P0(전)",$L:$L,"&gt;0")&lt;&gt;1,"",SUMIFS($H:$H,$C:$C,$C478,$D:$D,"P0(전)"))</f>
        <v/>
      </c>
      <c r="O478" s="30">
        <f>IF(COUNTIFS($C:$C,$C478,$D:$D,"P0(전)",$L:$L,"&gt;0")&lt;&gt;1,"",SUMIFS($L:$L,$C:$C,$C478,$D:$D,"P0(전)"))</f>
        <v/>
      </c>
      <c r="P478" s="45">
        <f>IF(COUNTIFS($C:$C,$C478,$D:$D,"P0(후)",$L:$L,"&gt;0")&lt;&gt;1,"",SUMIFS($H:$H,$C:$C,$C478,$D:$D,"P0(후)"))</f>
        <v/>
      </c>
      <c r="Q478" s="30">
        <f>IF(COUNTIFS($C:$C,$C478,$D:$D,"P0(후)",$L:$L,"&gt;0")&lt;&gt;1,"",SUMIFS($L:$L,$C:$C,$C478,$D:$D,"P0(후)"))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IF(OR(NOT(ISNUMBER(S478)),IF(ISNUMBER(G478),G478,F478)=0),"",S478/IF(ISNUMBER(G478),G478,F478))</f>
        <v/>
      </c>
      <c r="U478" s="46">
        <f>IF(ISNUMBER(T478),ABS(T478),"")</f>
        <v/>
      </c>
      <c r="V478" s="46">
        <f>IF(OR($D477&lt;&gt;"측정",$C477&lt;&gt;$C478,NOT(ISNUMBER(L478)),NOT(ISNUMBER(L477)),(IF(ISNUMBER(G478),G478,F478)-IF(ISNUMBER(G477),G477,F477))=0),"",(L478-L477)/(IF(ISNUMBER(G478),G478,F478)-IF(ISNUMBER(G477),G477,F477)))</f>
        <v/>
      </c>
      <c r="W478" s="30">
        <f>IF(NOT(AND(ISNUMBER(N478),ISNUMBER(P478))),"",(P478-N478)*1440)</f>
        <v/>
      </c>
      <c r="X478" s="28" t="n"/>
      <c r="Y478" s="28" t="n"/>
      <c r="Z478" s="28" t="n"/>
      <c r="AA478" s="31" t="n"/>
      <c r="AB478" s="31" t="n"/>
    </row>
    <row r="479">
      <c r="A479" s="25" t="inlineStr">
        <is>
          <t>S10</t>
        </is>
      </c>
      <c r="B479" s="25" t="inlineStr">
        <is>
          <t>예안 신규점1</t>
        </is>
      </c>
      <c r="C479" s="25" t="inlineStr">
        <is>
          <t>S10-H동</t>
        </is>
      </c>
      <c r="D479" s="25" t="inlineStr">
        <is>
          <t>측정</t>
        </is>
      </c>
      <c r="E479" s="25" t="inlineStr">
        <is>
          <t>동</t>
        </is>
      </c>
      <c r="F479" s="30" t="n">
        <v>5</v>
      </c>
      <c r="G479" s="29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IF(COUNTIFS($C:$C,$C479,$D:$D,"P0(전)",$L:$L,"&gt;0")&lt;&gt;1,"P0(전) 유효 1개 아님",IF(COUNTIFS($C:$C,$C479,$D:$D,"P0(후)",$L:$L,"&gt;0")&lt;&gt;1,"P0(후) 유효 1개 아님",IF(NOT(AND(ISNUMBER(N479),ISNUMBER(P479),ISNUMBER(H479))),"시각 결측",IF(P479&lt;=N479,"P0 시각 역전",IF(OR(H479&lt;N479,H479&gt;P479),"측정시각 구간 밖","OK")))))</f>
        <v/>
      </c>
      <c r="N479" s="45">
        <f>IF(COUNTIFS($C:$C,$C479,$D:$D,"P0(전)",$L:$L,"&gt;0")&lt;&gt;1,"",SUMIFS($H:$H,$C:$C,$C479,$D:$D,"P0(전)"))</f>
        <v/>
      </c>
      <c r="O479" s="30">
        <f>IF(COUNTIFS($C:$C,$C479,$D:$D,"P0(전)",$L:$L,"&gt;0")&lt;&gt;1,"",SUMIFS($L:$L,$C:$C,$C479,$D:$D,"P0(전)"))</f>
        <v/>
      </c>
      <c r="P479" s="45">
        <f>IF(COUNTIFS($C:$C,$C479,$D:$D,"P0(후)",$L:$L,"&gt;0")&lt;&gt;1,"",SUMIFS($H:$H,$C:$C,$C479,$D:$D,"P0(후)"))</f>
        <v/>
      </c>
      <c r="Q479" s="30">
        <f>IF(COUNTIFS($C:$C,$C479,$D:$D,"P0(후)",$L:$L,"&gt;0")&lt;&gt;1,"",SUMIFS($L:$L,$C:$C,$C479,$D:$D,"P0(후)"))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IF(OR(NOT(ISNUMBER(S479)),IF(ISNUMBER(G479),G479,F479)=0),"",S479/IF(ISNUMBER(G479),G479,F479))</f>
        <v/>
      </c>
      <c r="U479" s="46">
        <f>IF(ISNUMBER(T479),ABS(T479),"")</f>
        <v/>
      </c>
      <c r="V479" s="46">
        <f>IF(OR($D478&lt;&gt;"측정",$C478&lt;&gt;$C479,NOT(ISNUMBER(L479)),NOT(ISNUMBER(L478)),(IF(ISNUMBER(G479),G479,F479)-IF(ISNUMBER(G478),G478,F478))=0),"",(L479-L478)/(IF(ISNUMBER(G479),G479,F479)-IF(ISNUMBER(G478),G478,F478)))</f>
        <v/>
      </c>
      <c r="W479" s="30">
        <f>IF(NOT(AND(ISNUMBER(N479),ISNUMBER(P479))),"",(P479-N479)*1440)</f>
        <v/>
      </c>
      <c r="X479" s="28" t="n"/>
      <c r="Y479" s="28" t="n"/>
      <c r="Z479" s="28" t="n"/>
      <c r="AA479" s="31" t="n"/>
      <c r="AB479" s="31" t="n"/>
    </row>
    <row r="480">
      <c r="A480" s="25" t="inlineStr">
        <is>
          <t>S10</t>
        </is>
      </c>
      <c r="B480" s="25" t="inlineStr">
        <is>
          <t>예안 신규점1</t>
        </is>
      </c>
      <c r="C480" s="25" t="inlineStr">
        <is>
          <t>S10-H동</t>
        </is>
      </c>
      <c r="D480" s="25" t="inlineStr">
        <is>
          <t>측정</t>
        </is>
      </c>
      <c r="E480" s="25" t="inlineStr">
        <is>
          <t>동</t>
        </is>
      </c>
      <c r="F480" s="30" t="n">
        <v>6</v>
      </c>
      <c r="G480" s="29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IF(COUNTIFS($C:$C,$C480,$D:$D,"P0(전)",$L:$L,"&gt;0")&lt;&gt;1,"P0(전) 유효 1개 아님",IF(COUNTIFS($C:$C,$C480,$D:$D,"P0(후)",$L:$L,"&gt;0")&lt;&gt;1,"P0(후) 유효 1개 아님",IF(NOT(AND(ISNUMBER(N480),ISNUMBER(P480),ISNUMBER(H480))),"시각 결측",IF(P480&lt;=N480,"P0 시각 역전",IF(OR(H480&lt;N480,H480&gt;P480),"측정시각 구간 밖","OK")))))</f>
        <v/>
      </c>
      <c r="N480" s="45">
        <f>IF(COUNTIFS($C:$C,$C480,$D:$D,"P0(전)",$L:$L,"&gt;0")&lt;&gt;1,"",SUMIFS($H:$H,$C:$C,$C480,$D:$D,"P0(전)"))</f>
        <v/>
      </c>
      <c r="O480" s="30">
        <f>IF(COUNTIFS($C:$C,$C480,$D:$D,"P0(전)",$L:$L,"&gt;0")&lt;&gt;1,"",SUMIFS($L:$L,$C:$C,$C480,$D:$D,"P0(전)"))</f>
        <v/>
      </c>
      <c r="P480" s="45">
        <f>IF(COUNTIFS($C:$C,$C480,$D:$D,"P0(후)",$L:$L,"&gt;0")&lt;&gt;1,"",SUMIFS($H:$H,$C:$C,$C480,$D:$D,"P0(후)"))</f>
        <v/>
      </c>
      <c r="Q480" s="30">
        <f>IF(COUNTIFS($C:$C,$C480,$D:$D,"P0(후)",$L:$L,"&gt;0")&lt;&gt;1,"",SUMIFS($L:$L,$C:$C,$C480,$D:$D,"P0(후)"))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IF(OR(NOT(ISNUMBER(S480)),IF(ISNUMBER(G480),G480,F480)=0),"",S480/IF(ISNUMBER(G480),G480,F480))</f>
        <v/>
      </c>
      <c r="U480" s="46">
        <f>IF(ISNUMBER(T480),ABS(T480),"")</f>
        <v/>
      </c>
      <c r="V480" s="46">
        <f>IF(OR($D479&lt;&gt;"측정",$C479&lt;&gt;$C480,NOT(ISNUMBER(L480)),NOT(ISNUMBER(L479)),(IF(ISNUMBER(G480),G480,F480)-IF(ISNUMBER(G479),G479,F479))=0),"",(L480-L479)/(IF(ISNUMBER(G480),G480,F480)-IF(ISNUMBER(G479),G479,F479)))</f>
        <v/>
      </c>
      <c r="W480" s="30">
        <f>IF(NOT(AND(ISNUMBER(N480),ISNUMBER(P480))),"",(P480-N480)*1440)</f>
        <v/>
      </c>
      <c r="X480" s="28" t="n"/>
      <c r="Y480" s="28" t="n"/>
      <c r="Z480" s="28" t="n"/>
      <c r="AA480" s="31" t="n"/>
      <c r="AB480" s="31" t="n"/>
    </row>
    <row r="481">
      <c r="A481" s="25" t="inlineStr">
        <is>
          <t>S10</t>
        </is>
      </c>
      <c r="B481" s="25" t="inlineStr">
        <is>
          <t>예안 신규점1</t>
        </is>
      </c>
      <c r="C481" s="25" t="inlineStr">
        <is>
          <t>S10-H동</t>
        </is>
      </c>
      <c r="D481" s="25" t="inlineStr">
        <is>
          <t>측정</t>
        </is>
      </c>
      <c r="E481" s="25" t="inlineStr">
        <is>
          <t>동</t>
        </is>
      </c>
      <c r="F481" s="30" t="n">
        <v>7</v>
      </c>
      <c r="G481" s="29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IF(COUNTIFS($C:$C,$C481,$D:$D,"P0(전)",$L:$L,"&gt;0")&lt;&gt;1,"P0(전) 유효 1개 아님",IF(COUNTIFS($C:$C,$C481,$D:$D,"P0(후)",$L:$L,"&gt;0")&lt;&gt;1,"P0(후) 유효 1개 아님",IF(NOT(AND(ISNUMBER(N481),ISNUMBER(P481),ISNUMBER(H481))),"시각 결측",IF(P481&lt;=N481,"P0 시각 역전",IF(OR(H481&lt;N481,H481&gt;P481),"측정시각 구간 밖","OK")))))</f>
        <v/>
      </c>
      <c r="N481" s="45">
        <f>IF(COUNTIFS($C:$C,$C481,$D:$D,"P0(전)",$L:$L,"&gt;0")&lt;&gt;1,"",SUMIFS($H:$H,$C:$C,$C481,$D:$D,"P0(전)"))</f>
        <v/>
      </c>
      <c r="O481" s="30">
        <f>IF(COUNTIFS($C:$C,$C481,$D:$D,"P0(전)",$L:$L,"&gt;0")&lt;&gt;1,"",SUMIFS($L:$L,$C:$C,$C481,$D:$D,"P0(전)"))</f>
        <v/>
      </c>
      <c r="P481" s="45">
        <f>IF(COUNTIFS($C:$C,$C481,$D:$D,"P0(후)",$L:$L,"&gt;0")&lt;&gt;1,"",SUMIFS($H:$H,$C:$C,$C481,$D:$D,"P0(후)"))</f>
        <v/>
      </c>
      <c r="Q481" s="30">
        <f>IF(COUNTIFS($C:$C,$C481,$D:$D,"P0(후)",$L:$L,"&gt;0")&lt;&gt;1,"",SUMIFS($L:$L,$C:$C,$C481,$D:$D,"P0(후)"))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IF(OR(NOT(ISNUMBER(S481)),IF(ISNUMBER(G481),G481,F481)=0),"",S481/IF(ISNUMBER(G481),G481,F481))</f>
        <v/>
      </c>
      <c r="U481" s="46">
        <f>IF(ISNUMBER(T481),ABS(T481),"")</f>
        <v/>
      </c>
      <c r="V481" s="46">
        <f>IF(OR($D480&lt;&gt;"측정",$C480&lt;&gt;$C481,NOT(ISNUMBER(L481)),NOT(ISNUMBER(L480)),(IF(ISNUMBER(G481),G481,F481)-IF(ISNUMBER(G480),G480,F480))=0),"",(L481-L480)/(IF(ISNUMBER(G481),G481,F481)-IF(ISNUMBER(G480),G480,F480)))</f>
        <v/>
      </c>
      <c r="W481" s="30">
        <f>IF(NOT(AND(ISNUMBER(N481),ISNUMBER(P481))),"",(P481-N481)*1440)</f>
        <v/>
      </c>
      <c r="X481" s="28" t="n"/>
      <c r="Y481" s="28" t="n"/>
      <c r="Z481" s="28" t="n"/>
      <c r="AA481" s="31" t="n"/>
      <c r="AB481" s="31" t="n"/>
    </row>
    <row r="482">
      <c r="A482" s="25" t="inlineStr">
        <is>
          <t>S10</t>
        </is>
      </c>
      <c r="B482" s="25" t="inlineStr">
        <is>
          <t>예안 신규점1</t>
        </is>
      </c>
      <c r="C482" s="25" t="inlineStr">
        <is>
          <t>S10-H동</t>
        </is>
      </c>
      <c r="D482" s="25" t="inlineStr">
        <is>
          <t>측정</t>
        </is>
      </c>
      <c r="E482" s="25" t="inlineStr">
        <is>
          <t>동</t>
        </is>
      </c>
      <c r="F482" s="30" t="n">
        <v>8</v>
      </c>
      <c r="G482" s="29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IF(COUNTIFS($C:$C,$C482,$D:$D,"P0(전)",$L:$L,"&gt;0")&lt;&gt;1,"P0(전) 유효 1개 아님",IF(COUNTIFS($C:$C,$C482,$D:$D,"P0(후)",$L:$L,"&gt;0")&lt;&gt;1,"P0(후) 유효 1개 아님",IF(NOT(AND(ISNUMBER(N482),ISNUMBER(P482),ISNUMBER(H482))),"시각 결측",IF(P482&lt;=N482,"P0 시각 역전",IF(OR(H482&lt;N482,H482&gt;P482),"측정시각 구간 밖","OK")))))</f>
        <v/>
      </c>
      <c r="N482" s="45">
        <f>IF(COUNTIFS($C:$C,$C482,$D:$D,"P0(전)",$L:$L,"&gt;0")&lt;&gt;1,"",SUMIFS($H:$H,$C:$C,$C482,$D:$D,"P0(전)"))</f>
        <v/>
      </c>
      <c r="O482" s="30">
        <f>IF(COUNTIFS($C:$C,$C482,$D:$D,"P0(전)",$L:$L,"&gt;0")&lt;&gt;1,"",SUMIFS($L:$L,$C:$C,$C482,$D:$D,"P0(전)"))</f>
        <v/>
      </c>
      <c r="P482" s="45">
        <f>IF(COUNTIFS($C:$C,$C482,$D:$D,"P0(후)",$L:$L,"&gt;0")&lt;&gt;1,"",SUMIFS($H:$H,$C:$C,$C482,$D:$D,"P0(후)"))</f>
        <v/>
      </c>
      <c r="Q482" s="30">
        <f>IF(COUNTIFS($C:$C,$C482,$D:$D,"P0(후)",$L:$L,"&gt;0")&lt;&gt;1,"",SUMIFS($L:$L,$C:$C,$C482,$D:$D,"P0(후)"))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IF(OR(NOT(ISNUMBER(S482)),IF(ISNUMBER(G482),G482,F482)=0),"",S482/IF(ISNUMBER(G482),G482,F482))</f>
        <v/>
      </c>
      <c r="U482" s="46">
        <f>IF(ISNUMBER(T482),ABS(T482),"")</f>
        <v/>
      </c>
      <c r="V482" s="46">
        <f>IF(OR($D481&lt;&gt;"측정",$C481&lt;&gt;$C482,NOT(ISNUMBER(L482)),NOT(ISNUMBER(L481)),(IF(ISNUMBER(G482),G482,F482)-IF(ISNUMBER(G481),G481,F481))=0),"",(L482-L481)/(IF(ISNUMBER(G482),G482,F482)-IF(ISNUMBER(G481),G481,F481)))</f>
        <v/>
      </c>
      <c r="W482" s="30">
        <f>IF(NOT(AND(ISNUMBER(N482),ISNUMBER(P482))),"",(P482-N482)*1440)</f>
        <v/>
      </c>
      <c r="X482" s="28" t="n"/>
      <c r="Y482" s="28" t="n"/>
      <c r="Z482" s="28" t="n"/>
      <c r="AA482" s="31" t="n"/>
      <c r="AB482" s="31" t="n"/>
    </row>
    <row r="483">
      <c r="A483" s="25" t="inlineStr">
        <is>
          <t>S10</t>
        </is>
      </c>
      <c r="B483" s="25" t="inlineStr">
        <is>
          <t>예안 신규점1</t>
        </is>
      </c>
      <c r="C483" s="25" t="inlineStr">
        <is>
          <t>S10-H동</t>
        </is>
      </c>
      <c r="D483" s="25" t="inlineStr">
        <is>
          <t>측정</t>
        </is>
      </c>
      <c r="E483" s="25" t="inlineStr">
        <is>
          <t>동</t>
        </is>
      </c>
      <c r="F483" s="30" t="n">
        <v>9</v>
      </c>
      <c r="G483" s="29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IF(COUNTIFS($C:$C,$C483,$D:$D,"P0(전)",$L:$L,"&gt;0")&lt;&gt;1,"P0(전) 유효 1개 아님",IF(COUNTIFS($C:$C,$C483,$D:$D,"P0(후)",$L:$L,"&gt;0")&lt;&gt;1,"P0(후) 유효 1개 아님",IF(NOT(AND(ISNUMBER(N483),ISNUMBER(P483),ISNUMBER(H483))),"시각 결측",IF(P483&lt;=N483,"P0 시각 역전",IF(OR(H483&lt;N483,H483&gt;P483),"측정시각 구간 밖","OK")))))</f>
        <v/>
      </c>
      <c r="N483" s="45">
        <f>IF(COUNTIFS($C:$C,$C483,$D:$D,"P0(전)",$L:$L,"&gt;0")&lt;&gt;1,"",SUMIFS($H:$H,$C:$C,$C483,$D:$D,"P0(전)"))</f>
        <v/>
      </c>
      <c r="O483" s="30">
        <f>IF(COUNTIFS($C:$C,$C483,$D:$D,"P0(전)",$L:$L,"&gt;0")&lt;&gt;1,"",SUMIFS($L:$L,$C:$C,$C483,$D:$D,"P0(전)"))</f>
        <v/>
      </c>
      <c r="P483" s="45">
        <f>IF(COUNTIFS($C:$C,$C483,$D:$D,"P0(후)",$L:$L,"&gt;0")&lt;&gt;1,"",SUMIFS($H:$H,$C:$C,$C483,$D:$D,"P0(후)"))</f>
        <v/>
      </c>
      <c r="Q483" s="30">
        <f>IF(COUNTIFS($C:$C,$C483,$D:$D,"P0(후)",$L:$L,"&gt;0")&lt;&gt;1,"",SUMIFS($L:$L,$C:$C,$C483,$D:$D,"P0(후)"))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IF(OR(NOT(ISNUMBER(S483)),IF(ISNUMBER(G483),G483,F483)=0),"",S483/IF(ISNUMBER(G483),G483,F483))</f>
        <v/>
      </c>
      <c r="U483" s="46">
        <f>IF(ISNUMBER(T483),ABS(T483),"")</f>
        <v/>
      </c>
      <c r="V483" s="46">
        <f>IF(OR($D482&lt;&gt;"측정",$C482&lt;&gt;$C483,NOT(ISNUMBER(L483)),NOT(ISNUMBER(L482)),(IF(ISNUMBER(G483),G483,F483)-IF(ISNUMBER(G482),G482,F482))=0),"",(L483-L482)/(IF(ISNUMBER(G483),G483,F483)-IF(ISNUMBER(G482),G482,F482)))</f>
        <v/>
      </c>
      <c r="W483" s="30">
        <f>IF(NOT(AND(ISNUMBER(N483),ISNUMBER(P483))),"",(P483-N483)*1440)</f>
        <v/>
      </c>
      <c r="X483" s="28" t="n"/>
      <c r="Y483" s="28" t="n"/>
      <c r="Z483" s="28" t="n"/>
      <c r="AA483" s="31" t="n"/>
      <c r="AB483" s="31" t="n"/>
    </row>
    <row r="484">
      <c r="A484" s="25" t="inlineStr">
        <is>
          <t>S10</t>
        </is>
      </c>
      <c r="B484" s="25" t="inlineStr">
        <is>
          <t>예안 신규점1</t>
        </is>
      </c>
      <c r="C484" s="25" t="inlineStr">
        <is>
          <t>S10-H동</t>
        </is>
      </c>
      <c r="D484" s="25" t="inlineStr">
        <is>
          <t>측정</t>
        </is>
      </c>
      <c r="E484" s="25" t="inlineStr">
        <is>
          <t>동</t>
        </is>
      </c>
      <c r="F484" s="30" t="n">
        <v>10</v>
      </c>
      <c r="G484" s="29" t="n"/>
      <c r="H484" s="42" t="n"/>
      <c r="I484" s="40" t="n"/>
      <c r="J484" s="40" t="n"/>
      <c r="K484" s="40" t="n"/>
      <c r="L484" s="30">
        <f>IF(COUNT(I484:K484)=0,"",MEDIAN(I484:K484))</f>
        <v/>
      </c>
      <c r="M484" s="25">
        <f>IF(COUNTIFS($C:$C,$C484,$D:$D,"P0(전)",$L:$L,"&gt;0")&lt;&gt;1,"P0(전) 유효 1개 아님",IF(COUNTIFS($C:$C,$C484,$D:$D,"P0(후)",$L:$L,"&gt;0")&lt;&gt;1,"P0(후) 유효 1개 아님",IF(NOT(AND(ISNUMBER(N484),ISNUMBER(P484),ISNUMBER(H484))),"시각 결측",IF(P484&lt;=N484,"P0 시각 역전",IF(OR(H484&lt;N484,H484&gt;P484),"측정시각 구간 밖","OK")))))</f>
        <v/>
      </c>
      <c r="N484" s="45">
        <f>IF(COUNTIFS($C:$C,$C484,$D:$D,"P0(전)",$L:$L,"&gt;0")&lt;&gt;1,"",SUMIFS($H:$H,$C:$C,$C484,$D:$D,"P0(전)"))</f>
        <v/>
      </c>
      <c r="O484" s="30">
        <f>IF(COUNTIFS($C:$C,$C484,$D:$D,"P0(전)",$L:$L,"&gt;0")&lt;&gt;1,"",SUMIFS($L:$L,$C:$C,$C484,$D:$D,"P0(전)"))</f>
        <v/>
      </c>
      <c r="P484" s="45">
        <f>IF(COUNTIFS($C:$C,$C484,$D:$D,"P0(후)",$L:$L,"&gt;0")&lt;&gt;1,"",SUMIFS($H:$H,$C:$C,$C484,$D:$D,"P0(후)"))</f>
        <v/>
      </c>
      <c r="Q484" s="30">
        <f>IF(COUNTIFS($C:$C,$C484,$D:$D,"P0(후)",$L:$L,"&gt;0")&lt;&gt;1,"",SUMIFS($L:$L,$C:$C,$C484,$D:$D,"P0(후)"))</f>
        <v/>
      </c>
      <c r="R484" s="30">
        <f>IF(M484&lt;&gt;"OK","",O484+(Q484-O484)*(H484-N484)/(P484-N484))</f>
        <v/>
      </c>
      <c r="S484" s="30">
        <f>IF(OR(M484&lt;&gt;"OK",NOT(ISNUMBER(L484))),"",L484-R484)</f>
        <v/>
      </c>
      <c r="T484" s="46">
        <f>IF(OR(NOT(ISNUMBER(S484)),IF(ISNUMBER(G484),G484,F484)=0),"",S484/IF(ISNUMBER(G484),G484,F484))</f>
        <v/>
      </c>
      <c r="U484" s="46">
        <f>IF(ISNUMBER(T484),ABS(T484),"")</f>
        <v/>
      </c>
      <c r="V484" s="46">
        <f>IF(OR($D483&lt;&gt;"측정",$C483&lt;&gt;$C484,NOT(ISNUMBER(L484)),NOT(ISNUMBER(L483)),(IF(ISNUMBER(G484),G484,F484)-IF(ISNUMBER(G483),G483,F483))=0),"",(L484-L483)/(IF(ISNUMBER(G484),G484,F484)-IF(ISNUMBER(G483),G483,F483)))</f>
        <v/>
      </c>
      <c r="W484" s="30">
        <f>IF(NOT(AND(ISNUMBER(N484),ISNUMBER(P484))),"",(P484-N484)*1440)</f>
        <v/>
      </c>
      <c r="X484" s="28" t="n"/>
      <c r="Y484" s="28" t="n"/>
      <c r="Z484" s="28" t="n"/>
      <c r="AA484" s="31" t="n"/>
      <c r="AB484" s="31" t="n"/>
    </row>
    <row r="485">
      <c r="A485" s="43" t="inlineStr">
        <is>
          <t>S10</t>
        </is>
      </c>
      <c r="B485" s="43" t="inlineStr">
        <is>
          <t>예안 신규점1</t>
        </is>
      </c>
      <c r="C485" s="43" t="inlineStr">
        <is>
          <t>S10-H동</t>
        </is>
      </c>
      <c r="D485" s="43" t="inlineStr">
        <is>
          <t>P0(후)</t>
        </is>
      </c>
      <c r="E485" s="43" t="inlineStr">
        <is>
          <t>동</t>
        </is>
      </c>
      <c r="F485" s="44" t="n"/>
      <c r="G485" s="29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28" t="n"/>
      <c r="Y485" s="28" t="n"/>
      <c r="Z485" s="28" t="n"/>
      <c r="AA485" s="31" t="n"/>
      <c r="AB485" s="31" t="n"/>
    </row>
    <row r="486">
      <c r="A486" s="43" t="inlineStr">
        <is>
          <t>S10</t>
        </is>
      </c>
      <c r="B486" s="43" t="inlineStr">
        <is>
          <t>예안 신규점1</t>
        </is>
      </c>
      <c r="C486" s="43" t="inlineStr">
        <is>
          <t>S10-H서</t>
        </is>
      </c>
      <c r="D486" s="43" t="inlineStr">
        <is>
          <t>P0(전)</t>
        </is>
      </c>
      <c r="E486" s="43" t="inlineStr">
        <is>
          <t>서</t>
        </is>
      </c>
      <c r="F486" s="44" t="n"/>
      <c r="G486" s="29" t="n"/>
      <c r="H486" s="42" t="n"/>
      <c r="I486" s="40" t="n"/>
      <c r="J486" s="40" t="n"/>
      <c r="K486" s="40" t="n"/>
      <c r="L486" s="30">
        <f>IF(COUNT(I486:K486)=0,"",MEDIAN(I486:K486))</f>
        <v/>
      </c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28" t="n"/>
      <c r="Y486" s="28" t="n"/>
      <c r="Z486" s="28" t="n"/>
      <c r="AA486" s="31" t="n"/>
      <c r="AB486" s="31" t="n"/>
    </row>
    <row r="487">
      <c r="A487" s="25" t="inlineStr">
        <is>
          <t>S10</t>
        </is>
      </c>
      <c r="B487" s="25" t="inlineStr">
        <is>
          <t>예안 신규점1</t>
        </is>
      </c>
      <c r="C487" s="25" t="inlineStr">
        <is>
          <t>S10-H서</t>
        </is>
      </c>
      <c r="D487" s="25" t="inlineStr">
        <is>
          <t>측정</t>
        </is>
      </c>
      <c r="E487" s="25" t="inlineStr">
        <is>
          <t>서</t>
        </is>
      </c>
      <c r="F487" s="30" t="n">
        <v>0.5</v>
      </c>
      <c r="G487" s="29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IF(COUNTIFS($C:$C,$C487,$D:$D,"P0(전)",$L:$L,"&gt;0")&lt;&gt;1,"P0(전) 유효 1개 아님",IF(COUNTIFS($C:$C,$C487,$D:$D,"P0(후)",$L:$L,"&gt;0")&lt;&gt;1,"P0(후) 유효 1개 아님",IF(NOT(AND(ISNUMBER(N487),ISNUMBER(P487),ISNUMBER(H487))),"시각 결측",IF(P487&lt;=N487,"P0 시각 역전",IF(OR(H487&lt;N487,H487&gt;P487),"측정시각 구간 밖","OK")))))</f>
        <v/>
      </c>
      <c r="N487" s="45">
        <f>IF(COUNTIFS($C:$C,$C487,$D:$D,"P0(전)",$L:$L,"&gt;0")&lt;&gt;1,"",SUMIFS($H:$H,$C:$C,$C487,$D:$D,"P0(전)"))</f>
        <v/>
      </c>
      <c r="O487" s="30">
        <f>IF(COUNTIFS($C:$C,$C487,$D:$D,"P0(전)",$L:$L,"&gt;0")&lt;&gt;1,"",SUMIFS($L:$L,$C:$C,$C487,$D:$D,"P0(전)"))</f>
        <v/>
      </c>
      <c r="P487" s="45">
        <f>IF(COUNTIFS($C:$C,$C487,$D:$D,"P0(후)",$L:$L,"&gt;0")&lt;&gt;1,"",SUMIFS($H:$H,$C:$C,$C487,$D:$D,"P0(후)"))</f>
        <v/>
      </c>
      <c r="Q487" s="30">
        <f>IF(COUNTIFS($C:$C,$C487,$D:$D,"P0(후)",$L:$L,"&gt;0")&lt;&gt;1,"",SUMIFS($L:$L,$C:$C,$C487,$D:$D,"P0(후)"))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IF(OR(NOT(ISNUMBER(S487)),IF(ISNUMBER(G487),G487,F487)=0),"",S487/IF(ISNUMBER(G487),G487,F487))</f>
        <v/>
      </c>
      <c r="U487" s="46">
        <f>IF(ISNUMBER(T487),ABS(T487),"")</f>
        <v/>
      </c>
      <c r="V487" s="46">
        <f>IF(OR($D486&lt;&gt;"측정",$C486&lt;&gt;$C487,NOT(ISNUMBER(L487)),NOT(ISNUMBER(L486)),(IF(ISNUMBER(G487),G487,F487)-IF(ISNUMBER(G486),G486,F486))=0),"",(L487-L486)/(IF(ISNUMBER(G487),G487,F487)-IF(ISNUMBER(G486),G486,F486)))</f>
        <v/>
      </c>
      <c r="W487" s="30">
        <f>IF(NOT(AND(ISNUMBER(N487),ISNUMBER(P487))),"",(P487-N487)*1440)</f>
        <v/>
      </c>
      <c r="X487" s="28" t="n"/>
      <c r="Y487" s="28" t="n"/>
      <c r="Z487" s="28" t="n"/>
      <c r="AA487" s="31" t="n"/>
      <c r="AB487" s="31" t="n"/>
    </row>
    <row r="488">
      <c r="A488" s="25" t="inlineStr">
        <is>
          <t>S10</t>
        </is>
      </c>
      <c r="B488" s="25" t="inlineStr">
        <is>
          <t>예안 신규점1</t>
        </is>
      </c>
      <c r="C488" s="25" t="inlineStr">
        <is>
          <t>S10-H서</t>
        </is>
      </c>
      <c r="D488" s="25" t="inlineStr">
        <is>
          <t>측정</t>
        </is>
      </c>
      <c r="E488" s="25" t="inlineStr">
        <is>
          <t>서</t>
        </is>
      </c>
      <c r="F488" s="30" t="n">
        <v>1</v>
      </c>
      <c r="G488" s="29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IF(COUNTIFS($C:$C,$C488,$D:$D,"P0(전)",$L:$L,"&gt;0")&lt;&gt;1,"P0(전) 유효 1개 아님",IF(COUNTIFS($C:$C,$C488,$D:$D,"P0(후)",$L:$L,"&gt;0")&lt;&gt;1,"P0(후) 유효 1개 아님",IF(NOT(AND(ISNUMBER(N488),ISNUMBER(P488),ISNUMBER(H488))),"시각 결측",IF(P488&lt;=N488,"P0 시각 역전",IF(OR(H488&lt;N488,H488&gt;P488),"측정시각 구간 밖","OK")))))</f>
        <v/>
      </c>
      <c r="N488" s="45">
        <f>IF(COUNTIFS($C:$C,$C488,$D:$D,"P0(전)",$L:$L,"&gt;0")&lt;&gt;1,"",SUMIFS($H:$H,$C:$C,$C488,$D:$D,"P0(전)"))</f>
        <v/>
      </c>
      <c r="O488" s="30">
        <f>IF(COUNTIFS($C:$C,$C488,$D:$D,"P0(전)",$L:$L,"&gt;0")&lt;&gt;1,"",SUMIFS($L:$L,$C:$C,$C488,$D:$D,"P0(전)"))</f>
        <v/>
      </c>
      <c r="P488" s="45">
        <f>IF(COUNTIFS($C:$C,$C488,$D:$D,"P0(후)",$L:$L,"&gt;0")&lt;&gt;1,"",SUMIFS($H:$H,$C:$C,$C488,$D:$D,"P0(후)"))</f>
        <v/>
      </c>
      <c r="Q488" s="30">
        <f>IF(COUNTIFS($C:$C,$C488,$D:$D,"P0(후)",$L:$L,"&gt;0")&lt;&gt;1,"",SUMIFS($L:$L,$C:$C,$C488,$D:$D,"P0(후)"))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IF(OR(NOT(ISNUMBER(S488)),IF(ISNUMBER(G488),G488,F488)=0),"",S488/IF(ISNUMBER(G488),G488,F488))</f>
        <v/>
      </c>
      <c r="U488" s="46">
        <f>IF(ISNUMBER(T488),ABS(T488),"")</f>
        <v/>
      </c>
      <c r="V488" s="46">
        <f>IF(OR($D487&lt;&gt;"측정",$C487&lt;&gt;$C488,NOT(ISNUMBER(L488)),NOT(ISNUMBER(L487)),(IF(ISNUMBER(G488),G488,F488)-IF(ISNUMBER(G487),G487,F487))=0),"",(L488-L487)/(IF(ISNUMBER(G488),G488,F488)-IF(ISNUMBER(G487),G487,F487)))</f>
        <v/>
      </c>
      <c r="W488" s="30">
        <f>IF(NOT(AND(ISNUMBER(N488),ISNUMBER(P488))),"",(P488-N488)*1440)</f>
        <v/>
      </c>
      <c r="X488" s="28" t="n"/>
      <c r="Y488" s="28" t="n"/>
      <c r="Z488" s="28" t="n"/>
      <c r="AA488" s="31" t="n"/>
      <c r="AB488" s="31" t="n"/>
    </row>
    <row r="489">
      <c r="A489" s="25" t="inlineStr">
        <is>
          <t>S10</t>
        </is>
      </c>
      <c r="B489" s="25" t="inlineStr">
        <is>
          <t>예안 신규점1</t>
        </is>
      </c>
      <c r="C489" s="25" t="inlineStr">
        <is>
          <t>S10-H서</t>
        </is>
      </c>
      <c r="D489" s="25" t="inlineStr">
        <is>
          <t>측정</t>
        </is>
      </c>
      <c r="E489" s="25" t="inlineStr">
        <is>
          <t>서</t>
        </is>
      </c>
      <c r="F489" s="30" t="n">
        <v>2</v>
      </c>
      <c r="G489" s="29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IF(COUNTIFS($C:$C,$C489,$D:$D,"P0(전)",$L:$L,"&gt;0")&lt;&gt;1,"P0(전) 유효 1개 아님",IF(COUNTIFS($C:$C,$C489,$D:$D,"P0(후)",$L:$L,"&gt;0")&lt;&gt;1,"P0(후) 유효 1개 아님",IF(NOT(AND(ISNUMBER(N489),ISNUMBER(P489),ISNUMBER(H489))),"시각 결측",IF(P489&lt;=N489,"P0 시각 역전",IF(OR(H489&lt;N489,H489&gt;P489),"측정시각 구간 밖","OK")))))</f>
        <v/>
      </c>
      <c r="N489" s="45">
        <f>IF(COUNTIFS($C:$C,$C489,$D:$D,"P0(전)",$L:$L,"&gt;0")&lt;&gt;1,"",SUMIFS($H:$H,$C:$C,$C489,$D:$D,"P0(전)"))</f>
        <v/>
      </c>
      <c r="O489" s="30">
        <f>IF(COUNTIFS($C:$C,$C489,$D:$D,"P0(전)",$L:$L,"&gt;0")&lt;&gt;1,"",SUMIFS($L:$L,$C:$C,$C489,$D:$D,"P0(전)"))</f>
        <v/>
      </c>
      <c r="P489" s="45">
        <f>IF(COUNTIFS($C:$C,$C489,$D:$D,"P0(후)",$L:$L,"&gt;0")&lt;&gt;1,"",SUMIFS($H:$H,$C:$C,$C489,$D:$D,"P0(후)"))</f>
        <v/>
      </c>
      <c r="Q489" s="30">
        <f>IF(COUNTIFS($C:$C,$C489,$D:$D,"P0(후)",$L:$L,"&gt;0")&lt;&gt;1,"",SUMIFS($L:$L,$C:$C,$C489,$D:$D,"P0(후)"))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IF(OR(NOT(ISNUMBER(S489)),IF(ISNUMBER(G489),G489,F489)=0),"",S489/IF(ISNUMBER(G489),G489,F489))</f>
        <v/>
      </c>
      <c r="U489" s="46">
        <f>IF(ISNUMBER(T489),ABS(T489),"")</f>
        <v/>
      </c>
      <c r="V489" s="46">
        <f>IF(OR($D488&lt;&gt;"측정",$C488&lt;&gt;$C489,NOT(ISNUMBER(L489)),NOT(ISNUMBER(L488)),(IF(ISNUMBER(G489),G489,F489)-IF(ISNUMBER(G488),G488,F488))=0),"",(L489-L488)/(IF(ISNUMBER(G489),G489,F489)-IF(ISNUMBER(G488),G488,F488)))</f>
        <v/>
      </c>
      <c r="W489" s="30">
        <f>IF(NOT(AND(ISNUMBER(N489),ISNUMBER(P489))),"",(P489-N489)*1440)</f>
        <v/>
      </c>
      <c r="X489" s="28" t="n"/>
      <c r="Y489" s="28" t="n"/>
      <c r="Z489" s="28" t="n"/>
      <c r="AA489" s="31" t="n"/>
      <c r="AB489" s="31" t="n"/>
    </row>
    <row r="490">
      <c r="A490" s="25" t="inlineStr">
        <is>
          <t>S10</t>
        </is>
      </c>
      <c r="B490" s="25" t="inlineStr">
        <is>
          <t>예안 신규점1</t>
        </is>
      </c>
      <c r="C490" s="25" t="inlineStr">
        <is>
          <t>S10-H서</t>
        </is>
      </c>
      <c r="D490" s="25" t="inlineStr">
        <is>
          <t>측정</t>
        </is>
      </c>
      <c r="E490" s="25" t="inlineStr">
        <is>
          <t>서</t>
        </is>
      </c>
      <c r="F490" s="30" t="n">
        <v>3</v>
      </c>
      <c r="G490" s="29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IF(COUNTIFS($C:$C,$C490,$D:$D,"P0(전)",$L:$L,"&gt;0")&lt;&gt;1,"P0(전) 유효 1개 아님",IF(COUNTIFS($C:$C,$C490,$D:$D,"P0(후)",$L:$L,"&gt;0")&lt;&gt;1,"P0(후) 유효 1개 아님",IF(NOT(AND(ISNUMBER(N490),ISNUMBER(P490),ISNUMBER(H490))),"시각 결측",IF(P490&lt;=N490,"P0 시각 역전",IF(OR(H490&lt;N490,H490&gt;P490),"측정시각 구간 밖","OK")))))</f>
        <v/>
      </c>
      <c r="N490" s="45">
        <f>IF(COUNTIFS($C:$C,$C490,$D:$D,"P0(전)",$L:$L,"&gt;0")&lt;&gt;1,"",SUMIFS($H:$H,$C:$C,$C490,$D:$D,"P0(전)"))</f>
        <v/>
      </c>
      <c r="O490" s="30">
        <f>IF(COUNTIFS($C:$C,$C490,$D:$D,"P0(전)",$L:$L,"&gt;0")&lt;&gt;1,"",SUMIFS($L:$L,$C:$C,$C490,$D:$D,"P0(전)"))</f>
        <v/>
      </c>
      <c r="P490" s="45">
        <f>IF(COUNTIFS($C:$C,$C490,$D:$D,"P0(후)",$L:$L,"&gt;0")&lt;&gt;1,"",SUMIFS($H:$H,$C:$C,$C490,$D:$D,"P0(후)"))</f>
        <v/>
      </c>
      <c r="Q490" s="30">
        <f>IF(COUNTIFS($C:$C,$C490,$D:$D,"P0(후)",$L:$L,"&gt;0")&lt;&gt;1,"",SUMIFS($L:$L,$C:$C,$C490,$D:$D,"P0(후)"))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IF(OR(NOT(ISNUMBER(S490)),IF(ISNUMBER(G490),G490,F490)=0),"",S490/IF(ISNUMBER(G490),G490,F490))</f>
        <v/>
      </c>
      <c r="U490" s="46">
        <f>IF(ISNUMBER(T490),ABS(T490),"")</f>
        <v/>
      </c>
      <c r="V490" s="46">
        <f>IF(OR($D489&lt;&gt;"측정",$C489&lt;&gt;$C490,NOT(ISNUMBER(L490)),NOT(ISNUMBER(L489)),(IF(ISNUMBER(G490),G490,F490)-IF(ISNUMBER(G489),G489,F489))=0),"",(L490-L489)/(IF(ISNUMBER(G490),G490,F490)-IF(ISNUMBER(G489),G489,F489)))</f>
        <v/>
      </c>
      <c r="W490" s="30">
        <f>IF(NOT(AND(ISNUMBER(N490),ISNUMBER(P490))),"",(P490-N490)*1440)</f>
        <v/>
      </c>
      <c r="X490" s="28" t="n"/>
      <c r="Y490" s="28" t="n"/>
      <c r="Z490" s="28" t="n"/>
      <c r="AA490" s="31" t="n"/>
      <c r="AB490" s="31" t="n"/>
    </row>
    <row r="491">
      <c r="A491" s="25" t="inlineStr">
        <is>
          <t>S10</t>
        </is>
      </c>
      <c r="B491" s="25" t="inlineStr">
        <is>
          <t>예안 신규점1</t>
        </is>
      </c>
      <c r="C491" s="25" t="inlineStr">
        <is>
          <t>S10-H서</t>
        </is>
      </c>
      <c r="D491" s="25" t="inlineStr">
        <is>
          <t>측정</t>
        </is>
      </c>
      <c r="E491" s="25" t="inlineStr">
        <is>
          <t>서</t>
        </is>
      </c>
      <c r="F491" s="30" t="n">
        <v>4</v>
      </c>
      <c r="G491" s="29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IF(COUNTIFS($C:$C,$C491,$D:$D,"P0(전)",$L:$L,"&gt;0")&lt;&gt;1,"P0(전) 유효 1개 아님",IF(COUNTIFS($C:$C,$C491,$D:$D,"P0(후)",$L:$L,"&gt;0")&lt;&gt;1,"P0(후) 유효 1개 아님",IF(NOT(AND(ISNUMBER(N491),ISNUMBER(P491),ISNUMBER(H491))),"시각 결측",IF(P491&lt;=N491,"P0 시각 역전",IF(OR(H491&lt;N491,H491&gt;P491),"측정시각 구간 밖","OK")))))</f>
        <v/>
      </c>
      <c r="N491" s="45">
        <f>IF(COUNTIFS($C:$C,$C491,$D:$D,"P0(전)",$L:$L,"&gt;0")&lt;&gt;1,"",SUMIFS($H:$H,$C:$C,$C491,$D:$D,"P0(전)"))</f>
        <v/>
      </c>
      <c r="O491" s="30">
        <f>IF(COUNTIFS($C:$C,$C491,$D:$D,"P0(전)",$L:$L,"&gt;0")&lt;&gt;1,"",SUMIFS($L:$L,$C:$C,$C491,$D:$D,"P0(전)"))</f>
        <v/>
      </c>
      <c r="P491" s="45">
        <f>IF(COUNTIFS($C:$C,$C491,$D:$D,"P0(후)",$L:$L,"&gt;0")&lt;&gt;1,"",SUMIFS($H:$H,$C:$C,$C491,$D:$D,"P0(후)"))</f>
        <v/>
      </c>
      <c r="Q491" s="30">
        <f>IF(COUNTIFS($C:$C,$C491,$D:$D,"P0(후)",$L:$L,"&gt;0")&lt;&gt;1,"",SUMIFS($L:$L,$C:$C,$C491,$D:$D,"P0(후)"))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IF(OR(NOT(ISNUMBER(S491)),IF(ISNUMBER(G491),G491,F491)=0),"",S491/IF(ISNUMBER(G491),G491,F491))</f>
        <v/>
      </c>
      <c r="U491" s="46">
        <f>IF(ISNUMBER(T491),ABS(T491),"")</f>
        <v/>
      </c>
      <c r="V491" s="46">
        <f>IF(OR($D490&lt;&gt;"측정",$C490&lt;&gt;$C491,NOT(ISNUMBER(L491)),NOT(ISNUMBER(L490)),(IF(ISNUMBER(G491),G491,F491)-IF(ISNUMBER(G490),G490,F490))=0),"",(L491-L490)/(IF(ISNUMBER(G491),G491,F491)-IF(ISNUMBER(G490),G490,F490)))</f>
        <v/>
      </c>
      <c r="W491" s="30">
        <f>IF(NOT(AND(ISNUMBER(N491),ISNUMBER(P491))),"",(P491-N491)*1440)</f>
        <v/>
      </c>
      <c r="X491" s="28" t="n"/>
      <c r="Y491" s="28" t="n"/>
      <c r="Z491" s="28" t="n"/>
      <c r="AA491" s="31" t="n"/>
      <c r="AB491" s="31" t="n"/>
    </row>
    <row r="492">
      <c r="A492" s="25" t="inlineStr">
        <is>
          <t>S10</t>
        </is>
      </c>
      <c r="B492" s="25" t="inlineStr">
        <is>
          <t>예안 신규점1</t>
        </is>
      </c>
      <c r="C492" s="25" t="inlineStr">
        <is>
          <t>S10-H서</t>
        </is>
      </c>
      <c r="D492" s="25" t="inlineStr">
        <is>
          <t>측정</t>
        </is>
      </c>
      <c r="E492" s="25" t="inlineStr">
        <is>
          <t>서</t>
        </is>
      </c>
      <c r="F492" s="30" t="n">
        <v>5</v>
      </c>
      <c r="G492" s="29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IF(COUNTIFS($C:$C,$C492,$D:$D,"P0(전)",$L:$L,"&gt;0")&lt;&gt;1,"P0(전) 유효 1개 아님",IF(COUNTIFS($C:$C,$C492,$D:$D,"P0(후)",$L:$L,"&gt;0")&lt;&gt;1,"P0(후) 유효 1개 아님",IF(NOT(AND(ISNUMBER(N492),ISNUMBER(P492),ISNUMBER(H492))),"시각 결측",IF(P492&lt;=N492,"P0 시각 역전",IF(OR(H492&lt;N492,H492&gt;P492),"측정시각 구간 밖","OK")))))</f>
        <v/>
      </c>
      <c r="N492" s="45">
        <f>IF(COUNTIFS($C:$C,$C492,$D:$D,"P0(전)",$L:$L,"&gt;0")&lt;&gt;1,"",SUMIFS($H:$H,$C:$C,$C492,$D:$D,"P0(전)"))</f>
        <v/>
      </c>
      <c r="O492" s="30">
        <f>IF(COUNTIFS($C:$C,$C492,$D:$D,"P0(전)",$L:$L,"&gt;0")&lt;&gt;1,"",SUMIFS($L:$L,$C:$C,$C492,$D:$D,"P0(전)"))</f>
        <v/>
      </c>
      <c r="P492" s="45">
        <f>IF(COUNTIFS($C:$C,$C492,$D:$D,"P0(후)",$L:$L,"&gt;0")&lt;&gt;1,"",SUMIFS($H:$H,$C:$C,$C492,$D:$D,"P0(후)"))</f>
        <v/>
      </c>
      <c r="Q492" s="30">
        <f>IF(COUNTIFS($C:$C,$C492,$D:$D,"P0(후)",$L:$L,"&gt;0")&lt;&gt;1,"",SUMIFS($L:$L,$C:$C,$C492,$D:$D,"P0(후)"))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IF(OR(NOT(ISNUMBER(S492)),IF(ISNUMBER(G492),G492,F492)=0),"",S492/IF(ISNUMBER(G492),G492,F492))</f>
        <v/>
      </c>
      <c r="U492" s="46">
        <f>IF(ISNUMBER(T492),ABS(T492),"")</f>
        <v/>
      </c>
      <c r="V492" s="46">
        <f>IF(OR($D491&lt;&gt;"측정",$C491&lt;&gt;$C492,NOT(ISNUMBER(L492)),NOT(ISNUMBER(L491)),(IF(ISNUMBER(G492),G492,F492)-IF(ISNUMBER(G491),G491,F491))=0),"",(L492-L491)/(IF(ISNUMBER(G492),G492,F492)-IF(ISNUMBER(G491),G491,F491)))</f>
        <v/>
      </c>
      <c r="W492" s="30">
        <f>IF(NOT(AND(ISNUMBER(N492),ISNUMBER(P492))),"",(P492-N492)*1440)</f>
        <v/>
      </c>
      <c r="X492" s="28" t="n"/>
      <c r="Y492" s="28" t="n"/>
      <c r="Z492" s="28" t="n"/>
      <c r="AA492" s="31" t="n"/>
      <c r="AB492" s="31" t="n"/>
    </row>
    <row r="493">
      <c r="A493" s="25" t="inlineStr">
        <is>
          <t>S10</t>
        </is>
      </c>
      <c r="B493" s="25" t="inlineStr">
        <is>
          <t>예안 신규점1</t>
        </is>
      </c>
      <c r="C493" s="25" t="inlineStr">
        <is>
          <t>S10-H서</t>
        </is>
      </c>
      <c r="D493" s="25" t="inlineStr">
        <is>
          <t>측정</t>
        </is>
      </c>
      <c r="E493" s="25" t="inlineStr">
        <is>
          <t>서</t>
        </is>
      </c>
      <c r="F493" s="30" t="n">
        <v>6</v>
      </c>
      <c r="G493" s="29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IF(COUNTIFS($C:$C,$C493,$D:$D,"P0(전)",$L:$L,"&gt;0")&lt;&gt;1,"P0(전) 유효 1개 아님",IF(COUNTIFS($C:$C,$C493,$D:$D,"P0(후)",$L:$L,"&gt;0")&lt;&gt;1,"P0(후) 유효 1개 아님",IF(NOT(AND(ISNUMBER(N493),ISNUMBER(P493),ISNUMBER(H493))),"시각 결측",IF(P493&lt;=N493,"P0 시각 역전",IF(OR(H493&lt;N493,H493&gt;P493),"측정시각 구간 밖","OK")))))</f>
        <v/>
      </c>
      <c r="N493" s="45">
        <f>IF(COUNTIFS($C:$C,$C493,$D:$D,"P0(전)",$L:$L,"&gt;0")&lt;&gt;1,"",SUMIFS($H:$H,$C:$C,$C493,$D:$D,"P0(전)"))</f>
        <v/>
      </c>
      <c r="O493" s="30">
        <f>IF(COUNTIFS($C:$C,$C493,$D:$D,"P0(전)",$L:$L,"&gt;0")&lt;&gt;1,"",SUMIFS($L:$L,$C:$C,$C493,$D:$D,"P0(전)"))</f>
        <v/>
      </c>
      <c r="P493" s="45">
        <f>IF(COUNTIFS($C:$C,$C493,$D:$D,"P0(후)",$L:$L,"&gt;0")&lt;&gt;1,"",SUMIFS($H:$H,$C:$C,$C493,$D:$D,"P0(후)"))</f>
        <v/>
      </c>
      <c r="Q493" s="30">
        <f>IF(COUNTIFS($C:$C,$C493,$D:$D,"P0(후)",$L:$L,"&gt;0")&lt;&gt;1,"",SUMIFS($L:$L,$C:$C,$C493,$D:$D,"P0(후)"))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IF(OR(NOT(ISNUMBER(S493)),IF(ISNUMBER(G493),G493,F493)=0),"",S493/IF(ISNUMBER(G493),G493,F493))</f>
        <v/>
      </c>
      <c r="U493" s="46">
        <f>IF(ISNUMBER(T493),ABS(T493),"")</f>
        <v/>
      </c>
      <c r="V493" s="46">
        <f>IF(OR($D492&lt;&gt;"측정",$C492&lt;&gt;$C493,NOT(ISNUMBER(L493)),NOT(ISNUMBER(L492)),(IF(ISNUMBER(G493),G493,F493)-IF(ISNUMBER(G492),G492,F492))=0),"",(L493-L492)/(IF(ISNUMBER(G493),G493,F493)-IF(ISNUMBER(G492),G492,F492)))</f>
        <v/>
      </c>
      <c r="W493" s="30">
        <f>IF(NOT(AND(ISNUMBER(N493),ISNUMBER(P493))),"",(P493-N493)*1440)</f>
        <v/>
      </c>
      <c r="X493" s="28" t="n"/>
      <c r="Y493" s="28" t="n"/>
      <c r="Z493" s="28" t="n"/>
      <c r="AA493" s="31" t="n"/>
      <c r="AB493" s="31" t="n"/>
    </row>
    <row r="494">
      <c r="A494" s="25" t="inlineStr">
        <is>
          <t>S10</t>
        </is>
      </c>
      <c r="B494" s="25" t="inlineStr">
        <is>
          <t>예안 신규점1</t>
        </is>
      </c>
      <c r="C494" s="25" t="inlineStr">
        <is>
          <t>S10-H서</t>
        </is>
      </c>
      <c r="D494" s="25" t="inlineStr">
        <is>
          <t>측정</t>
        </is>
      </c>
      <c r="E494" s="25" t="inlineStr">
        <is>
          <t>서</t>
        </is>
      </c>
      <c r="F494" s="30" t="n">
        <v>7</v>
      </c>
      <c r="G494" s="29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IF(COUNTIFS($C:$C,$C494,$D:$D,"P0(전)",$L:$L,"&gt;0")&lt;&gt;1,"P0(전) 유효 1개 아님",IF(COUNTIFS($C:$C,$C494,$D:$D,"P0(후)",$L:$L,"&gt;0")&lt;&gt;1,"P0(후) 유효 1개 아님",IF(NOT(AND(ISNUMBER(N494),ISNUMBER(P494),ISNUMBER(H494))),"시각 결측",IF(P494&lt;=N494,"P0 시각 역전",IF(OR(H494&lt;N494,H494&gt;P494),"측정시각 구간 밖","OK")))))</f>
        <v/>
      </c>
      <c r="N494" s="45">
        <f>IF(COUNTIFS($C:$C,$C494,$D:$D,"P0(전)",$L:$L,"&gt;0")&lt;&gt;1,"",SUMIFS($H:$H,$C:$C,$C494,$D:$D,"P0(전)"))</f>
        <v/>
      </c>
      <c r="O494" s="30">
        <f>IF(COUNTIFS($C:$C,$C494,$D:$D,"P0(전)",$L:$L,"&gt;0")&lt;&gt;1,"",SUMIFS($L:$L,$C:$C,$C494,$D:$D,"P0(전)"))</f>
        <v/>
      </c>
      <c r="P494" s="45">
        <f>IF(COUNTIFS($C:$C,$C494,$D:$D,"P0(후)",$L:$L,"&gt;0")&lt;&gt;1,"",SUMIFS($H:$H,$C:$C,$C494,$D:$D,"P0(후)"))</f>
        <v/>
      </c>
      <c r="Q494" s="30">
        <f>IF(COUNTIFS($C:$C,$C494,$D:$D,"P0(후)",$L:$L,"&gt;0")&lt;&gt;1,"",SUMIFS($L:$L,$C:$C,$C494,$D:$D,"P0(후)"))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IF(OR(NOT(ISNUMBER(S494)),IF(ISNUMBER(G494),G494,F494)=0),"",S494/IF(ISNUMBER(G494),G494,F494))</f>
        <v/>
      </c>
      <c r="U494" s="46">
        <f>IF(ISNUMBER(T494),ABS(T494),"")</f>
        <v/>
      </c>
      <c r="V494" s="46">
        <f>IF(OR($D493&lt;&gt;"측정",$C493&lt;&gt;$C494,NOT(ISNUMBER(L494)),NOT(ISNUMBER(L493)),(IF(ISNUMBER(G494),G494,F494)-IF(ISNUMBER(G493),G493,F493))=0),"",(L494-L493)/(IF(ISNUMBER(G494),G494,F494)-IF(ISNUMBER(G493),G493,F493)))</f>
        <v/>
      </c>
      <c r="W494" s="30">
        <f>IF(NOT(AND(ISNUMBER(N494),ISNUMBER(P494))),"",(P494-N494)*1440)</f>
        <v/>
      </c>
      <c r="X494" s="28" t="n"/>
      <c r="Y494" s="28" t="n"/>
      <c r="Z494" s="28" t="n"/>
      <c r="AA494" s="31" t="n"/>
      <c r="AB494" s="31" t="n"/>
    </row>
    <row r="495">
      <c r="A495" s="25" t="inlineStr">
        <is>
          <t>S10</t>
        </is>
      </c>
      <c r="B495" s="25" t="inlineStr">
        <is>
          <t>예안 신규점1</t>
        </is>
      </c>
      <c r="C495" s="25" t="inlineStr">
        <is>
          <t>S10-H서</t>
        </is>
      </c>
      <c r="D495" s="25" t="inlineStr">
        <is>
          <t>측정</t>
        </is>
      </c>
      <c r="E495" s="25" t="inlineStr">
        <is>
          <t>서</t>
        </is>
      </c>
      <c r="F495" s="30" t="n">
        <v>8</v>
      </c>
      <c r="G495" s="29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IF(COUNTIFS($C:$C,$C495,$D:$D,"P0(전)",$L:$L,"&gt;0")&lt;&gt;1,"P0(전) 유효 1개 아님",IF(COUNTIFS($C:$C,$C495,$D:$D,"P0(후)",$L:$L,"&gt;0")&lt;&gt;1,"P0(후) 유효 1개 아님",IF(NOT(AND(ISNUMBER(N495),ISNUMBER(P495),ISNUMBER(H495))),"시각 결측",IF(P495&lt;=N495,"P0 시각 역전",IF(OR(H495&lt;N495,H495&gt;P495),"측정시각 구간 밖","OK")))))</f>
        <v/>
      </c>
      <c r="N495" s="45">
        <f>IF(COUNTIFS($C:$C,$C495,$D:$D,"P0(전)",$L:$L,"&gt;0")&lt;&gt;1,"",SUMIFS($H:$H,$C:$C,$C495,$D:$D,"P0(전)"))</f>
        <v/>
      </c>
      <c r="O495" s="30">
        <f>IF(COUNTIFS($C:$C,$C495,$D:$D,"P0(전)",$L:$L,"&gt;0")&lt;&gt;1,"",SUMIFS($L:$L,$C:$C,$C495,$D:$D,"P0(전)"))</f>
        <v/>
      </c>
      <c r="P495" s="45">
        <f>IF(COUNTIFS($C:$C,$C495,$D:$D,"P0(후)",$L:$L,"&gt;0")&lt;&gt;1,"",SUMIFS($H:$H,$C:$C,$C495,$D:$D,"P0(후)"))</f>
        <v/>
      </c>
      <c r="Q495" s="30">
        <f>IF(COUNTIFS($C:$C,$C495,$D:$D,"P0(후)",$L:$L,"&gt;0")&lt;&gt;1,"",SUMIFS($L:$L,$C:$C,$C495,$D:$D,"P0(후)"))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IF(OR(NOT(ISNUMBER(S495)),IF(ISNUMBER(G495),G495,F495)=0),"",S495/IF(ISNUMBER(G495),G495,F495))</f>
        <v/>
      </c>
      <c r="U495" s="46">
        <f>IF(ISNUMBER(T495),ABS(T495),"")</f>
        <v/>
      </c>
      <c r="V495" s="46">
        <f>IF(OR($D494&lt;&gt;"측정",$C494&lt;&gt;$C495,NOT(ISNUMBER(L495)),NOT(ISNUMBER(L494)),(IF(ISNUMBER(G495),G495,F495)-IF(ISNUMBER(G494),G494,F494))=0),"",(L495-L494)/(IF(ISNUMBER(G495),G495,F495)-IF(ISNUMBER(G494),G494,F494)))</f>
        <v/>
      </c>
      <c r="W495" s="30">
        <f>IF(NOT(AND(ISNUMBER(N495),ISNUMBER(P495))),"",(P495-N495)*1440)</f>
        <v/>
      </c>
      <c r="X495" s="28" t="n"/>
      <c r="Y495" s="28" t="n"/>
      <c r="Z495" s="28" t="n"/>
      <c r="AA495" s="31" t="n"/>
      <c r="AB495" s="31" t="n"/>
    </row>
    <row r="496">
      <c r="A496" s="25" t="inlineStr">
        <is>
          <t>S10</t>
        </is>
      </c>
      <c r="B496" s="25" t="inlineStr">
        <is>
          <t>예안 신규점1</t>
        </is>
      </c>
      <c r="C496" s="25" t="inlineStr">
        <is>
          <t>S10-H서</t>
        </is>
      </c>
      <c r="D496" s="25" t="inlineStr">
        <is>
          <t>측정</t>
        </is>
      </c>
      <c r="E496" s="25" t="inlineStr">
        <is>
          <t>서</t>
        </is>
      </c>
      <c r="F496" s="30" t="n">
        <v>9</v>
      </c>
      <c r="G496" s="29" t="n"/>
      <c r="H496" s="42" t="n"/>
      <c r="I496" s="40" t="n"/>
      <c r="J496" s="40" t="n"/>
      <c r="K496" s="40" t="n"/>
      <c r="L496" s="30">
        <f>IF(COUNT(I496:K496)=0,"",MEDIAN(I496:K496))</f>
        <v/>
      </c>
      <c r="M496" s="25">
        <f>IF(COUNTIFS($C:$C,$C496,$D:$D,"P0(전)",$L:$L,"&gt;0")&lt;&gt;1,"P0(전) 유효 1개 아님",IF(COUNTIFS($C:$C,$C496,$D:$D,"P0(후)",$L:$L,"&gt;0")&lt;&gt;1,"P0(후) 유효 1개 아님",IF(NOT(AND(ISNUMBER(N496),ISNUMBER(P496),ISNUMBER(H496))),"시각 결측",IF(P496&lt;=N496,"P0 시각 역전",IF(OR(H496&lt;N496,H496&gt;P496),"측정시각 구간 밖","OK")))))</f>
        <v/>
      </c>
      <c r="N496" s="45">
        <f>IF(COUNTIFS($C:$C,$C496,$D:$D,"P0(전)",$L:$L,"&gt;0")&lt;&gt;1,"",SUMIFS($H:$H,$C:$C,$C496,$D:$D,"P0(전)"))</f>
        <v/>
      </c>
      <c r="O496" s="30">
        <f>IF(COUNTIFS($C:$C,$C496,$D:$D,"P0(전)",$L:$L,"&gt;0")&lt;&gt;1,"",SUMIFS($L:$L,$C:$C,$C496,$D:$D,"P0(전)"))</f>
        <v/>
      </c>
      <c r="P496" s="45">
        <f>IF(COUNTIFS($C:$C,$C496,$D:$D,"P0(후)",$L:$L,"&gt;0")&lt;&gt;1,"",SUMIFS($H:$H,$C:$C,$C496,$D:$D,"P0(후)"))</f>
        <v/>
      </c>
      <c r="Q496" s="30">
        <f>IF(COUNTIFS($C:$C,$C496,$D:$D,"P0(후)",$L:$L,"&gt;0")&lt;&gt;1,"",SUMIFS($L:$L,$C:$C,$C496,$D:$D,"P0(후)"))</f>
        <v/>
      </c>
      <c r="R496" s="30">
        <f>IF(M496&lt;&gt;"OK","",O496+(Q496-O496)*(H496-N496)/(P496-N496))</f>
        <v/>
      </c>
      <c r="S496" s="30">
        <f>IF(OR(M496&lt;&gt;"OK",NOT(ISNUMBER(L496))),"",L496-R496)</f>
        <v/>
      </c>
      <c r="T496" s="46">
        <f>IF(OR(NOT(ISNUMBER(S496)),IF(ISNUMBER(G496),G496,F496)=0),"",S496/IF(ISNUMBER(G496),G496,F496))</f>
        <v/>
      </c>
      <c r="U496" s="46">
        <f>IF(ISNUMBER(T496),ABS(T496),"")</f>
        <v/>
      </c>
      <c r="V496" s="46">
        <f>IF(OR($D495&lt;&gt;"측정",$C495&lt;&gt;$C496,NOT(ISNUMBER(L496)),NOT(ISNUMBER(L495)),(IF(ISNUMBER(G496),G496,F496)-IF(ISNUMBER(G495),G495,F495))=0),"",(L496-L495)/(IF(ISNUMBER(G496),G496,F496)-IF(ISNUMBER(G495),G495,F495)))</f>
        <v/>
      </c>
      <c r="W496" s="30">
        <f>IF(NOT(AND(ISNUMBER(N496),ISNUMBER(P496))),"",(P496-N496)*1440)</f>
        <v/>
      </c>
      <c r="X496" s="28" t="n"/>
      <c r="Y496" s="28" t="n"/>
      <c r="Z496" s="28" t="n"/>
      <c r="AA496" s="31" t="n"/>
      <c r="AB496" s="31" t="n"/>
    </row>
    <row r="497">
      <c r="A497" s="25" t="inlineStr">
        <is>
          <t>S10</t>
        </is>
      </c>
      <c r="B497" s="25" t="inlineStr">
        <is>
          <t>예안 신규점1</t>
        </is>
      </c>
      <c r="C497" s="25" t="inlineStr">
        <is>
          <t>S10-H서</t>
        </is>
      </c>
      <c r="D497" s="25" t="inlineStr">
        <is>
          <t>측정</t>
        </is>
      </c>
      <c r="E497" s="25" t="inlineStr">
        <is>
          <t>서</t>
        </is>
      </c>
      <c r="F497" s="30" t="n">
        <v>10</v>
      </c>
      <c r="G497" s="29" t="n"/>
      <c r="H497" s="42" t="n"/>
      <c r="I497" s="40" t="n"/>
      <c r="J497" s="40" t="n"/>
      <c r="K497" s="40" t="n"/>
      <c r="L497" s="30">
        <f>IF(COUNT(I497:K497)=0,"",MEDIAN(I497:K497))</f>
        <v/>
      </c>
      <c r="M497" s="25">
        <f>IF(COUNTIFS($C:$C,$C497,$D:$D,"P0(전)",$L:$L,"&gt;0")&lt;&gt;1,"P0(전) 유효 1개 아님",IF(COUNTIFS($C:$C,$C497,$D:$D,"P0(후)",$L:$L,"&gt;0")&lt;&gt;1,"P0(후) 유효 1개 아님",IF(NOT(AND(ISNUMBER(N497),ISNUMBER(P497),ISNUMBER(H497))),"시각 결측",IF(P497&lt;=N497,"P0 시각 역전",IF(OR(H497&lt;N497,H497&gt;P497),"측정시각 구간 밖","OK")))))</f>
        <v/>
      </c>
      <c r="N497" s="45">
        <f>IF(COUNTIFS($C:$C,$C497,$D:$D,"P0(전)",$L:$L,"&gt;0")&lt;&gt;1,"",SUMIFS($H:$H,$C:$C,$C497,$D:$D,"P0(전)"))</f>
        <v/>
      </c>
      <c r="O497" s="30">
        <f>IF(COUNTIFS($C:$C,$C497,$D:$D,"P0(전)",$L:$L,"&gt;0")&lt;&gt;1,"",SUMIFS($L:$L,$C:$C,$C497,$D:$D,"P0(전)"))</f>
        <v/>
      </c>
      <c r="P497" s="45">
        <f>IF(COUNTIFS($C:$C,$C497,$D:$D,"P0(후)",$L:$L,"&gt;0")&lt;&gt;1,"",SUMIFS($H:$H,$C:$C,$C497,$D:$D,"P0(후)"))</f>
        <v/>
      </c>
      <c r="Q497" s="30">
        <f>IF(COUNTIFS($C:$C,$C497,$D:$D,"P0(후)",$L:$L,"&gt;0")&lt;&gt;1,"",SUMIFS($L:$L,$C:$C,$C497,$D:$D,"P0(후)"))</f>
        <v/>
      </c>
      <c r="R497" s="30">
        <f>IF(M497&lt;&gt;"OK","",O497+(Q497-O497)*(H497-N497)/(P497-N497))</f>
        <v/>
      </c>
      <c r="S497" s="30">
        <f>IF(OR(M497&lt;&gt;"OK",NOT(ISNUMBER(L497))),"",L497-R497)</f>
        <v/>
      </c>
      <c r="T497" s="46">
        <f>IF(OR(NOT(ISNUMBER(S497)),IF(ISNUMBER(G497),G497,F497)=0),"",S497/IF(ISNUMBER(G497),G497,F497))</f>
        <v/>
      </c>
      <c r="U497" s="46">
        <f>IF(ISNUMBER(T497),ABS(T497),"")</f>
        <v/>
      </c>
      <c r="V497" s="46">
        <f>IF(OR($D496&lt;&gt;"측정",$C496&lt;&gt;$C497,NOT(ISNUMBER(L497)),NOT(ISNUMBER(L496)),(IF(ISNUMBER(G497),G497,F497)-IF(ISNUMBER(G496),G496,F496))=0),"",(L497-L496)/(IF(ISNUMBER(G497),G497,F497)-IF(ISNUMBER(G496),G496,F496)))</f>
        <v/>
      </c>
      <c r="W497" s="30">
        <f>IF(NOT(AND(ISNUMBER(N497),ISNUMBER(P497))),"",(P497-N497)*1440)</f>
        <v/>
      </c>
      <c r="X497" s="28" t="n"/>
      <c r="Y497" s="28" t="n"/>
      <c r="Z497" s="28" t="n"/>
      <c r="AA497" s="31" t="n"/>
      <c r="AB497" s="31" t="n"/>
    </row>
    <row r="498">
      <c r="A498" s="43" t="inlineStr">
        <is>
          <t>S10</t>
        </is>
      </c>
      <c r="B498" s="43" t="inlineStr">
        <is>
          <t>예안 신규점1</t>
        </is>
      </c>
      <c r="C498" s="43" t="inlineStr">
        <is>
          <t>S10-H서</t>
        </is>
      </c>
      <c r="D498" s="43" t="inlineStr">
        <is>
          <t>P0(후)</t>
        </is>
      </c>
      <c r="E498" s="43" t="inlineStr">
        <is>
          <t>서</t>
        </is>
      </c>
      <c r="F498" s="44" t="n"/>
      <c r="G498" s="29" t="n"/>
      <c r="H498" s="42" t="n"/>
      <c r="I498" s="40" t="n"/>
      <c r="J498" s="40" t="n"/>
      <c r="K498" s="40" t="n"/>
      <c r="L498" s="30">
        <f>IF(COUNT(I498:K498)=0,"",MEDIAN(I498:K498))</f>
        <v/>
      </c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28" t="n"/>
      <c r="Y498" s="28" t="n"/>
      <c r="Z498" s="28" t="n"/>
      <c r="AA498" s="31" t="n"/>
      <c r="AB498" s="31" t="n"/>
    </row>
    <row r="499">
      <c r="A499" s="43" t="inlineStr">
        <is>
          <t>S10</t>
        </is>
      </c>
      <c r="B499" s="43" t="inlineStr">
        <is>
          <t>예안 신규점1</t>
        </is>
      </c>
      <c r="C499" s="43" t="inlineStr">
        <is>
          <t>S10-H남</t>
        </is>
      </c>
      <c r="D499" s="43" t="inlineStr">
        <is>
          <t>P0(전)</t>
        </is>
      </c>
      <c r="E499" s="43" t="inlineStr">
        <is>
          <t>남</t>
        </is>
      </c>
      <c r="F499" s="44" t="n"/>
      <c r="G499" s="29" t="n"/>
      <c r="H499" s="42" t="n"/>
      <c r="I499" s="40" t="n"/>
      <c r="J499" s="40" t="n"/>
      <c r="K499" s="40" t="n"/>
      <c r="L499" s="30">
        <f>IF(COUNT(I499:K499)=0,"",MEDIAN(I499:K499))</f>
        <v/>
      </c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28" t="n"/>
      <c r="Y499" s="28" t="n"/>
      <c r="Z499" s="28" t="n"/>
      <c r="AA499" s="31" t="n"/>
      <c r="AB499" s="31" t="n"/>
    </row>
    <row r="500">
      <c r="A500" s="25" t="inlineStr">
        <is>
          <t>S10</t>
        </is>
      </c>
      <c r="B500" s="25" t="inlineStr">
        <is>
          <t>예안 신규점1</t>
        </is>
      </c>
      <c r="C500" s="25" t="inlineStr">
        <is>
          <t>S10-H남</t>
        </is>
      </c>
      <c r="D500" s="25" t="inlineStr">
        <is>
          <t>측정</t>
        </is>
      </c>
      <c r="E500" s="25" t="inlineStr">
        <is>
          <t>남</t>
        </is>
      </c>
      <c r="F500" s="30" t="n">
        <v>0.5</v>
      </c>
      <c r="G500" s="29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IF(COUNTIFS($C:$C,$C500,$D:$D,"P0(전)",$L:$L,"&gt;0")&lt;&gt;1,"P0(전) 유효 1개 아님",IF(COUNTIFS($C:$C,$C500,$D:$D,"P0(후)",$L:$L,"&gt;0")&lt;&gt;1,"P0(후) 유효 1개 아님",IF(NOT(AND(ISNUMBER(N500),ISNUMBER(P500),ISNUMBER(H500))),"시각 결측",IF(P500&lt;=N500,"P0 시각 역전",IF(OR(H500&lt;N500,H500&gt;P500),"측정시각 구간 밖","OK")))))</f>
        <v/>
      </c>
      <c r="N500" s="45">
        <f>IF(COUNTIFS($C:$C,$C500,$D:$D,"P0(전)",$L:$L,"&gt;0")&lt;&gt;1,"",SUMIFS($H:$H,$C:$C,$C500,$D:$D,"P0(전)"))</f>
        <v/>
      </c>
      <c r="O500" s="30">
        <f>IF(COUNTIFS($C:$C,$C500,$D:$D,"P0(전)",$L:$L,"&gt;0")&lt;&gt;1,"",SUMIFS($L:$L,$C:$C,$C500,$D:$D,"P0(전)"))</f>
        <v/>
      </c>
      <c r="P500" s="45">
        <f>IF(COUNTIFS($C:$C,$C500,$D:$D,"P0(후)",$L:$L,"&gt;0")&lt;&gt;1,"",SUMIFS($H:$H,$C:$C,$C500,$D:$D,"P0(후)"))</f>
        <v/>
      </c>
      <c r="Q500" s="30">
        <f>IF(COUNTIFS($C:$C,$C500,$D:$D,"P0(후)",$L:$L,"&gt;0")&lt;&gt;1,"",SUMIFS($L:$L,$C:$C,$C500,$D:$D,"P0(후)"))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IF(OR(NOT(ISNUMBER(S500)),IF(ISNUMBER(G500),G500,F500)=0),"",S500/IF(ISNUMBER(G500),G500,F500))</f>
        <v/>
      </c>
      <c r="U500" s="46">
        <f>IF(ISNUMBER(T500),ABS(T500),"")</f>
        <v/>
      </c>
      <c r="V500" s="46">
        <f>IF(OR($D499&lt;&gt;"측정",$C499&lt;&gt;$C500,NOT(ISNUMBER(L500)),NOT(ISNUMBER(L499)),(IF(ISNUMBER(G500),G500,F500)-IF(ISNUMBER(G499),G499,F499))=0),"",(L500-L499)/(IF(ISNUMBER(G500),G500,F500)-IF(ISNUMBER(G499),G499,F499)))</f>
        <v/>
      </c>
      <c r="W500" s="30">
        <f>IF(NOT(AND(ISNUMBER(N500),ISNUMBER(P500))),"",(P500-N500)*1440)</f>
        <v/>
      </c>
      <c r="X500" s="28" t="n"/>
      <c r="Y500" s="28" t="n"/>
      <c r="Z500" s="28" t="n"/>
      <c r="AA500" s="31" t="n"/>
      <c r="AB500" s="31" t="n"/>
    </row>
    <row r="501">
      <c r="A501" s="25" t="inlineStr">
        <is>
          <t>S10</t>
        </is>
      </c>
      <c r="B501" s="25" t="inlineStr">
        <is>
          <t>예안 신규점1</t>
        </is>
      </c>
      <c r="C501" s="25" t="inlineStr">
        <is>
          <t>S10-H남</t>
        </is>
      </c>
      <c r="D501" s="25" t="inlineStr">
        <is>
          <t>측정</t>
        </is>
      </c>
      <c r="E501" s="25" t="inlineStr">
        <is>
          <t>남</t>
        </is>
      </c>
      <c r="F501" s="30" t="n">
        <v>1</v>
      </c>
      <c r="G501" s="29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IF(COUNTIFS($C:$C,$C501,$D:$D,"P0(전)",$L:$L,"&gt;0")&lt;&gt;1,"P0(전) 유효 1개 아님",IF(COUNTIFS($C:$C,$C501,$D:$D,"P0(후)",$L:$L,"&gt;0")&lt;&gt;1,"P0(후) 유효 1개 아님",IF(NOT(AND(ISNUMBER(N501),ISNUMBER(P501),ISNUMBER(H501))),"시각 결측",IF(P501&lt;=N501,"P0 시각 역전",IF(OR(H501&lt;N501,H501&gt;P501),"측정시각 구간 밖","OK")))))</f>
        <v/>
      </c>
      <c r="N501" s="45">
        <f>IF(COUNTIFS($C:$C,$C501,$D:$D,"P0(전)",$L:$L,"&gt;0")&lt;&gt;1,"",SUMIFS($H:$H,$C:$C,$C501,$D:$D,"P0(전)"))</f>
        <v/>
      </c>
      <c r="O501" s="30">
        <f>IF(COUNTIFS($C:$C,$C501,$D:$D,"P0(전)",$L:$L,"&gt;0")&lt;&gt;1,"",SUMIFS($L:$L,$C:$C,$C501,$D:$D,"P0(전)"))</f>
        <v/>
      </c>
      <c r="P501" s="45">
        <f>IF(COUNTIFS($C:$C,$C501,$D:$D,"P0(후)",$L:$L,"&gt;0")&lt;&gt;1,"",SUMIFS($H:$H,$C:$C,$C501,$D:$D,"P0(후)"))</f>
        <v/>
      </c>
      <c r="Q501" s="30">
        <f>IF(COUNTIFS($C:$C,$C501,$D:$D,"P0(후)",$L:$L,"&gt;0")&lt;&gt;1,"",SUMIFS($L:$L,$C:$C,$C501,$D:$D,"P0(후)"))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IF(OR(NOT(ISNUMBER(S501)),IF(ISNUMBER(G501),G501,F501)=0),"",S501/IF(ISNUMBER(G501),G501,F501))</f>
        <v/>
      </c>
      <c r="U501" s="46">
        <f>IF(ISNUMBER(T501),ABS(T501),"")</f>
        <v/>
      </c>
      <c r="V501" s="46">
        <f>IF(OR($D500&lt;&gt;"측정",$C500&lt;&gt;$C501,NOT(ISNUMBER(L501)),NOT(ISNUMBER(L500)),(IF(ISNUMBER(G501),G501,F501)-IF(ISNUMBER(G500),G500,F500))=0),"",(L501-L500)/(IF(ISNUMBER(G501),G501,F501)-IF(ISNUMBER(G500),G500,F500)))</f>
        <v/>
      </c>
      <c r="W501" s="30">
        <f>IF(NOT(AND(ISNUMBER(N501),ISNUMBER(P501))),"",(P501-N501)*1440)</f>
        <v/>
      </c>
      <c r="X501" s="28" t="n"/>
      <c r="Y501" s="28" t="n"/>
      <c r="Z501" s="28" t="n"/>
      <c r="AA501" s="31" t="n"/>
      <c r="AB501" s="31" t="n"/>
    </row>
    <row r="502">
      <c r="A502" s="25" t="inlineStr">
        <is>
          <t>S10</t>
        </is>
      </c>
      <c r="B502" s="25" t="inlineStr">
        <is>
          <t>예안 신규점1</t>
        </is>
      </c>
      <c r="C502" s="25" t="inlineStr">
        <is>
          <t>S10-H남</t>
        </is>
      </c>
      <c r="D502" s="25" t="inlineStr">
        <is>
          <t>측정</t>
        </is>
      </c>
      <c r="E502" s="25" t="inlineStr">
        <is>
          <t>남</t>
        </is>
      </c>
      <c r="F502" s="30" t="n">
        <v>2</v>
      </c>
      <c r="G502" s="29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IF(COUNTIFS($C:$C,$C502,$D:$D,"P0(전)",$L:$L,"&gt;0")&lt;&gt;1,"P0(전) 유효 1개 아님",IF(COUNTIFS($C:$C,$C502,$D:$D,"P0(후)",$L:$L,"&gt;0")&lt;&gt;1,"P0(후) 유효 1개 아님",IF(NOT(AND(ISNUMBER(N502),ISNUMBER(P502),ISNUMBER(H502))),"시각 결측",IF(P502&lt;=N502,"P0 시각 역전",IF(OR(H502&lt;N502,H502&gt;P502),"측정시각 구간 밖","OK")))))</f>
        <v/>
      </c>
      <c r="N502" s="45">
        <f>IF(COUNTIFS($C:$C,$C502,$D:$D,"P0(전)",$L:$L,"&gt;0")&lt;&gt;1,"",SUMIFS($H:$H,$C:$C,$C502,$D:$D,"P0(전)"))</f>
        <v/>
      </c>
      <c r="O502" s="30">
        <f>IF(COUNTIFS($C:$C,$C502,$D:$D,"P0(전)",$L:$L,"&gt;0")&lt;&gt;1,"",SUMIFS($L:$L,$C:$C,$C502,$D:$D,"P0(전)"))</f>
        <v/>
      </c>
      <c r="P502" s="45">
        <f>IF(COUNTIFS($C:$C,$C502,$D:$D,"P0(후)",$L:$L,"&gt;0")&lt;&gt;1,"",SUMIFS($H:$H,$C:$C,$C502,$D:$D,"P0(후)"))</f>
        <v/>
      </c>
      <c r="Q502" s="30">
        <f>IF(COUNTIFS($C:$C,$C502,$D:$D,"P0(후)",$L:$L,"&gt;0")&lt;&gt;1,"",SUMIFS($L:$L,$C:$C,$C502,$D:$D,"P0(후)"))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IF(OR(NOT(ISNUMBER(S502)),IF(ISNUMBER(G502),G502,F502)=0),"",S502/IF(ISNUMBER(G502),G502,F502))</f>
        <v/>
      </c>
      <c r="U502" s="46">
        <f>IF(ISNUMBER(T502),ABS(T502),"")</f>
        <v/>
      </c>
      <c r="V502" s="46">
        <f>IF(OR($D501&lt;&gt;"측정",$C501&lt;&gt;$C502,NOT(ISNUMBER(L502)),NOT(ISNUMBER(L501)),(IF(ISNUMBER(G502),G502,F502)-IF(ISNUMBER(G501),G501,F501))=0),"",(L502-L501)/(IF(ISNUMBER(G502),G502,F502)-IF(ISNUMBER(G501),G501,F501)))</f>
        <v/>
      </c>
      <c r="W502" s="30">
        <f>IF(NOT(AND(ISNUMBER(N502),ISNUMBER(P502))),"",(P502-N502)*1440)</f>
        <v/>
      </c>
      <c r="X502" s="28" t="n"/>
      <c r="Y502" s="28" t="n"/>
      <c r="Z502" s="28" t="n"/>
      <c r="AA502" s="31" t="n"/>
      <c r="AB502" s="31" t="n"/>
    </row>
    <row r="503">
      <c r="A503" s="25" t="inlineStr">
        <is>
          <t>S10</t>
        </is>
      </c>
      <c r="B503" s="25" t="inlineStr">
        <is>
          <t>예안 신규점1</t>
        </is>
      </c>
      <c r="C503" s="25" t="inlineStr">
        <is>
          <t>S10-H남</t>
        </is>
      </c>
      <c r="D503" s="25" t="inlineStr">
        <is>
          <t>측정</t>
        </is>
      </c>
      <c r="E503" s="25" t="inlineStr">
        <is>
          <t>남</t>
        </is>
      </c>
      <c r="F503" s="30" t="n">
        <v>3</v>
      </c>
      <c r="G503" s="29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IF(COUNTIFS($C:$C,$C503,$D:$D,"P0(전)",$L:$L,"&gt;0")&lt;&gt;1,"P0(전) 유효 1개 아님",IF(COUNTIFS($C:$C,$C503,$D:$D,"P0(후)",$L:$L,"&gt;0")&lt;&gt;1,"P0(후) 유효 1개 아님",IF(NOT(AND(ISNUMBER(N503),ISNUMBER(P503),ISNUMBER(H503))),"시각 결측",IF(P503&lt;=N503,"P0 시각 역전",IF(OR(H503&lt;N503,H503&gt;P503),"측정시각 구간 밖","OK")))))</f>
        <v/>
      </c>
      <c r="N503" s="45">
        <f>IF(COUNTIFS($C:$C,$C503,$D:$D,"P0(전)",$L:$L,"&gt;0")&lt;&gt;1,"",SUMIFS($H:$H,$C:$C,$C503,$D:$D,"P0(전)"))</f>
        <v/>
      </c>
      <c r="O503" s="30">
        <f>IF(COUNTIFS($C:$C,$C503,$D:$D,"P0(전)",$L:$L,"&gt;0")&lt;&gt;1,"",SUMIFS($L:$L,$C:$C,$C503,$D:$D,"P0(전)"))</f>
        <v/>
      </c>
      <c r="P503" s="45">
        <f>IF(COUNTIFS($C:$C,$C503,$D:$D,"P0(후)",$L:$L,"&gt;0")&lt;&gt;1,"",SUMIFS($H:$H,$C:$C,$C503,$D:$D,"P0(후)"))</f>
        <v/>
      </c>
      <c r="Q503" s="30">
        <f>IF(COUNTIFS($C:$C,$C503,$D:$D,"P0(후)",$L:$L,"&gt;0")&lt;&gt;1,"",SUMIFS($L:$L,$C:$C,$C503,$D:$D,"P0(후)"))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IF(OR(NOT(ISNUMBER(S503)),IF(ISNUMBER(G503),G503,F503)=0),"",S503/IF(ISNUMBER(G503),G503,F503))</f>
        <v/>
      </c>
      <c r="U503" s="46">
        <f>IF(ISNUMBER(T503),ABS(T503),"")</f>
        <v/>
      </c>
      <c r="V503" s="46">
        <f>IF(OR($D502&lt;&gt;"측정",$C502&lt;&gt;$C503,NOT(ISNUMBER(L503)),NOT(ISNUMBER(L502)),(IF(ISNUMBER(G503),G503,F503)-IF(ISNUMBER(G502),G502,F502))=0),"",(L503-L502)/(IF(ISNUMBER(G503),G503,F503)-IF(ISNUMBER(G502),G502,F502)))</f>
        <v/>
      </c>
      <c r="W503" s="30">
        <f>IF(NOT(AND(ISNUMBER(N503),ISNUMBER(P503))),"",(P503-N503)*1440)</f>
        <v/>
      </c>
      <c r="X503" s="28" t="n"/>
      <c r="Y503" s="28" t="n"/>
      <c r="Z503" s="28" t="n"/>
      <c r="AA503" s="31" t="n"/>
      <c r="AB503" s="31" t="n"/>
    </row>
    <row r="504">
      <c r="A504" s="25" t="inlineStr">
        <is>
          <t>S10</t>
        </is>
      </c>
      <c r="B504" s="25" t="inlineStr">
        <is>
          <t>예안 신규점1</t>
        </is>
      </c>
      <c r="C504" s="25" t="inlineStr">
        <is>
          <t>S10-H남</t>
        </is>
      </c>
      <c r="D504" s="25" t="inlineStr">
        <is>
          <t>측정</t>
        </is>
      </c>
      <c r="E504" s="25" t="inlineStr">
        <is>
          <t>남</t>
        </is>
      </c>
      <c r="F504" s="30" t="n">
        <v>4</v>
      </c>
      <c r="G504" s="29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IF(COUNTIFS($C:$C,$C504,$D:$D,"P0(전)",$L:$L,"&gt;0")&lt;&gt;1,"P0(전) 유효 1개 아님",IF(COUNTIFS($C:$C,$C504,$D:$D,"P0(후)",$L:$L,"&gt;0")&lt;&gt;1,"P0(후) 유효 1개 아님",IF(NOT(AND(ISNUMBER(N504),ISNUMBER(P504),ISNUMBER(H504))),"시각 결측",IF(P504&lt;=N504,"P0 시각 역전",IF(OR(H504&lt;N504,H504&gt;P504),"측정시각 구간 밖","OK")))))</f>
        <v/>
      </c>
      <c r="N504" s="45">
        <f>IF(COUNTIFS($C:$C,$C504,$D:$D,"P0(전)",$L:$L,"&gt;0")&lt;&gt;1,"",SUMIFS($H:$H,$C:$C,$C504,$D:$D,"P0(전)"))</f>
        <v/>
      </c>
      <c r="O504" s="30">
        <f>IF(COUNTIFS($C:$C,$C504,$D:$D,"P0(전)",$L:$L,"&gt;0")&lt;&gt;1,"",SUMIFS($L:$L,$C:$C,$C504,$D:$D,"P0(전)"))</f>
        <v/>
      </c>
      <c r="P504" s="45">
        <f>IF(COUNTIFS($C:$C,$C504,$D:$D,"P0(후)",$L:$L,"&gt;0")&lt;&gt;1,"",SUMIFS($H:$H,$C:$C,$C504,$D:$D,"P0(후)"))</f>
        <v/>
      </c>
      <c r="Q504" s="30">
        <f>IF(COUNTIFS($C:$C,$C504,$D:$D,"P0(후)",$L:$L,"&gt;0")&lt;&gt;1,"",SUMIFS($L:$L,$C:$C,$C504,$D:$D,"P0(후)"))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IF(OR(NOT(ISNUMBER(S504)),IF(ISNUMBER(G504),G504,F504)=0),"",S504/IF(ISNUMBER(G504),G504,F504))</f>
        <v/>
      </c>
      <c r="U504" s="46">
        <f>IF(ISNUMBER(T504),ABS(T504),"")</f>
        <v/>
      </c>
      <c r="V504" s="46">
        <f>IF(OR($D503&lt;&gt;"측정",$C503&lt;&gt;$C504,NOT(ISNUMBER(L504)),NOT(ISNUMBER(L503)),(IF(ISNUMBER(G504),G504,F504)-IF(ISNUMBER(G503),G503,F503))=0),"",(L504-L503)/(IF(ISNUMBER(G504),G504,F504)-IF(ISNUMBER(G503),G503,F503)))</f>
        <v/>
      </c>
      <c r="W504" s="30">
        <f>IF(NOT(AND(ISNUMBER(N504),ISNUMBER(P504))),"",(P504-N504)*1440)</f>
        <v/>
      </c>
      <c r="X504" s="28" t="n"/>
      <c r="Y504" s="28" t="n"/>
      <c r="Z504" s="28" t="n"/>
      <c r="AA504" s="31" t="n"/>
      <c r="AB504" s="31" t="n"/>
    </row>
    <row r="505">
      <c r="A505" s="25" t="inlineStr">
        <is>
          <t>S10</t>
        </is>
      </c>
      <c r="B505" s="25" t="inlineStr">
        <is>
          <t>예안 신규점1</t>
        </is>
      </c>
      <c r="C505" s="25" t="inlineStr">
        <is>
          <t>S10-H남</t>
        </is>
      </c>
      <c r="D505" s="25" t="inlineStr">
        <is>
          <t>측정</t>
        </is>
      </c>
      <c r="E505" s="25" t="inlineStr">
        <is>
          <t>남</t>
        </is>
      </c>
      <c r="F505" s="30" t="n">
        <v>5</v>
      </c>
      <c r="G505" s="29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IF(COUNTIFS($C:$C,$C505,$D:$D,"P0(전)",$L:$L,"&gt;0")&lt;&gt;1,"P0(전) 유효 1개 아님",IF(COUNTIFS($C:$C,$C505,$D:$D,"P0(후)",$L:$L,"&gt;0")&lt;&gt;1,"P0(후) 유효 1개 아님",IF(NOT(AND(ISNUMBER(N505),ISNUMBER(P505),ISNUMBER(H505))),"시각 결측",IF(P505&lt;=N505,"P0 시각 역전",IF(OR(H505&lt;N505,H505&gt;P505),"측정시각 구간 밖","OK")))))</f>
        <v/>
      </c>
      <c r="N505" s="45">
        <f>IF(COUNTIFS($C:$C,$C505,$D:$D,"P0(전)",$L:$L,"&gt;0")&lt;&gt;1,"",SUMIFS($H:$H,$C:$C,$C505,$D:$D,"P0(전)"))</f>
        <v/>
      </c>
      <c r="O505" s="30">
        <f>IF(COUNTIFS($C:$C,$C505,$D:$D,"P0(전)",$L:$L,"&gt;0")&lt;&gt;1,"",SUMIFS($L:$L,$C:$C,$C505,$D:$D,"P0(전)"))</f>
        <v/>
      </c>
      <c r="P505" s="45">
        <f>IF(COUNTIFS($C:$C,$C505,$D:$D,"P0(후)",$L:$L,"&gt;0")&lt;&gt;1,"",SUMIFS($H:$H,$C:$C,$C505,$D:$D,"P0(후)"))</f>
        <v/>
      </c>
      <c r="Q505" s="30">
        <f>IF(COUNTIFS($C:$C,$C505,$D:$D,"P0(후)",$L:$L,"&gt;0")&lt;&gt;1,"",SUMIFS($L:$L,$C:$C,$C505,$D:$D,"P0(후)"))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IF(OR(NOT(ISNUMBER(S505)),IF(ISNUMBER(G505),G505,F505)=0),"",S505/IF(ISNUMBER(G505),G505,F505))</f>
        <v/>
      </c>
      <c r="U505" s="46">
        <f>IF(ISNUMBER(T505),ABS(T505),"")</f>
        <v/>
      </c>
      <c r="V505" s="46">
        <f>IF(OR($D504&lt;&gt;"측정",$C504&lt;&gt;$C505,NOT(ISNUMBER(L505)),NOT(ISNUMBER(L504)),(IF(ISNUMBER(G505),G505,F505)-IF(ISNUMBER(G504),G504,F504))=0),"",(L505-L504)/(IF(ISNUMBER(G505),G505,F505)-IF(ISNUMBER(G504),G504,F504)))</f>
        <v/>
      </c>
      <c r="W505" s="30">
        <f>IF(NOT(AND(ISNUMBER(N505),ISNUMBER(P505))),"",(P505-N505)*1440)</f>
        <v/>
      </c>
      <c r="X505" s="28" t="n"/>
      <c r="Y505" s="28" t="n"/>
      <c r="Z505" s="28" t="n"/>
      <c r="AA505" s="31" t="n"/>
      <c r="AB505" s="31" t="n"/>
    </row>
    <row r="506">
      <c r="A506" s="25" t="inlineStr">
        <is>
          <t>S10</t>
        </is>
      </c>
      <c r="B506" s="25" t="inlineStr">
        <is>
          <t>예안 신규점1</t>
        </is>
      </c>
      <c r="C506" s="25" t="inlineStr">
        <is>
          <t>S10-H남</t>
        </is>
      </c>
      <c r="D506" s="25" t="inlineStr">
        <is>
          <t>측정</t>
        </is>
      </c>
      <c r="E506" s="25" t="inlineStr">
        <is>
          <t>남</t>
        </is>
      </c>
      <c r="F506" s="30" t="n">
        <v>6</v>
      </c>
      <c r="G506" s="29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IF(COUNTIFS($C:$C,$C506,$D:$D,"P0(전)",$L:$L,"&gt;0")&lt;&gt;1,"P0(전) 유효 1개 아님",IF(COUNTIFS($C:$C,$C506,$D:$D,"P0(후)",$L:$L,"&gt;0")&lt;&gt;1,"P0(후) 유효 1개 아님",IF(NOT(AND(ISNUMBER(N506),ISNUMBER(P506),ISNUMBER(H506))),"시각 결측",IF(P506&lt;=N506,"P0 시각 역전",IF(OR(H506&lt;N506,H506&gt;P506),"측정시각 구간 밖","OK")))))</f>
        <v/>
      </c>
      <c r="N506" s="45">
        <f>IF(COUNTIFS($C:$C,$C506,$D:$D,"P0(전)",$L:$L,"&gt;0")&lt;&gt;1,"",SUMIFS($H:$H,$C:$C,$C506,$D:$D,"P0(전)"))</f>
        <v/>
      </c>
      <c r="O506" s="30">
        <f>IF(COUNTIFS($C:$C,$C506,$D:$D,"P0(전)",$L:$L,"&gt;0")&lt;&gt;1,"",SUMIFS($L:$L,$C:$C,$C506,$D:$D,"P0(전)"))</f>
        <v/>
      </c>
      <c r="P506" s="45">
        <f>IF(COUNTIFS($C:$C,$C506,$D:$D,"P0(후)",$L:$L,"&gt;0")&lt;&gt;1,"",SUMIFS($H:$H,$C:$C,$C506,$D:$D,"P0(후)"))</f>
        <v/>
      </c>
      <c r="Q506" s="30">
        <f>IF(COUNTIFS($C:$C,$C506,$D:$D,"P0(후)",$L:$L,"&gt;0")&lt;&gt;1,"",SUMIFS($L:$L,$C:$C,$C506,$D:$D,"P0(후)"))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IF(OR(NOT(ISNUMBER(S506)),IF(ISNUMBER(G506),G506,F506)=0),"",S506/IF(ISNUMBER(G506),G506,F506))</f>
        <v/>
      </c>
      <c r="U506" s="46">
        <f>IF(ISNUMBER(T506),ABS(T506),"")</f>
        <v/>
      </c>
      <c r="V506" s="46">
        <f>IF(OR($D505&lt;&gt;"측정",$C505&lt;&gt;$C506,NOT(ISNUMBER(L506)),NOT(ISNUMBER(L505)),(IF(ISNUMBER(G506),G506,F506)-IF(ISNUMBER(G505),G505,F505))=0),"",(L506-L505)/(IF(ISNUMBER(G506),G506,F506)-IF(ISNUMBER(G505),G505,F505)))</f>
        <v/>
      </c>
      <c r="W506" s="30">
        <f>IF(NOT(AND(ISNUMBER(N506),ISNUMBER(P506))),"",(P506-N506)*1440)</f>
        <v/>
      </c>
      <c r="X506" s="28" t="n"/>
      <c r="Y506" s="28" t="n"/>
      <c r="Z506" s="28" t="n"/>
      <c r="AA506" s="31" t="n"/>
      <c r="AB506" s="31" t="n"/>
    </row>
    <row r="507">
      <c r="A507" s="25" t="inlineStr">
        <is>
          <t>S10</t>
        </is>
      </c>
      <c r="B507" s="25" t="inlineStr">
        <is>
          <t>예안 신규점1</t>
        </is>
      </c>
      <c r="C507" s="25" t="inlineStr">
        <is>
          <t>S10-H남</t>
        </is>
      </c>
      <c r="D507" s="25" t="inlineStr">
        <is>
          <t>측정</t>
        </is>
      </c>
      <c r="E507" s="25" t="inlineStr">
        <is>
          <t>남</t>
        </is>
      </c>
      <c r="F507" s="30" t="n">
        <v>7</v>
      </c>
      <c r="G507" s="29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IF(COUNTIFS($C:$C,$C507,$D:$D,"P0(전)",$L:$L,"&gt;0")&lt;&gt;1,"P0(전) 유효 1개 아님",IF(COUNTIFS($C:$C,$C507,$D:$D,"P0(후)",$L:$L,"&gt;0")&lt;&gt;1,"P0(후) 유효 1개 아님",IF(NOT(AND(ISNUMBER(N507),ISNUMBER(P507),ISNUMBER(H507))),"시각 결측",IF(P507&lt;=N507,"P0 시각 역전",IF(OR(H507&lt;N507,H507&gt;P507),"측정시각 구간 밖","OK")))))</f>
        <v/>
      </c>
      <c r="N507" s="45">
        <f>IF(COUNTIFS($C:$C,$C507,$D:$D,"P0(전)",$L:$L,"&gt;0")&lt;&gt;1,"",SUMIFS($H:$H,$C:$C,$C507,$D:$D,"P0(전)"))</f>
        <v/>
      </c>
      <c r="O507" s="30">
        <f>IF(COUNTIFS($C:$C,$C507,$D:$D,"P0(전)",$L:$L,"&gt;0")&lt;&gt;1,"",SUMIFS($L:$L,$C:$C,$C507,$D:$D,"P0(전)"))</f>
        <v/>
      </c>
      <c r="P507" s="45">
        <f>IF(COUNTIFS($C:$C,$C507,$D:$D,"P0(후)",$L:$L,"&gt;0")&lt;&gt;1,"",SUMIFS($H:$H,$C:$C,$C507,$D:$D,"P0(후)"))</f>
        <v/>
      </c>
      <c r="Q507" s="30">
        <f>IF(COUNTIFS($C:$C,$C507,$D:$D,"P0(후)",$L:$L,"&gt;0")&lt;&gt;1,"",SUMIFS($L:$L,$C:$C,$C507,$D:$D,"P0(후)"))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IF(OR(NOT(ISNUMBER(S507)),IF(ISNUMBER(G507),G507,F507)=0),"",S507/IF(ISNUMBER(G507),G507,F507))</f>
        <v/>
      </c>
      <c r="U507" s="46">
        <f>IF(ISNUMBER(T507),ABS(T507),"")</f>
        <v/>
      </c>
      <c r="V507" s="46">
        <f>IF(OR($D506&lt;&gt;"측정",$C506&lt;&gt;$C507,NOT(ISNUMBER(L507)),NOT(ISNUMBER(L506)),(IF(ISNUMBER(G507),G507,F507)-IF(ISNUMBER(G506),G506,F506))=0),"",(L507-L506)/(IF(ISNUMBER(G507),G507,F507)-IF(ISNUMBER(G506),G506,F506)))</f>
        <v/>
      </c>
      <c r="W507" s="30">
        <f>IF(NOT(AND(ISNUMBER(N507),ISNUMBER(P507))),"",(P507-N507)*1440)</f>
        <v/>
      </c>
      <c r="X507" s="28" t="n"/>
      <c r="Y507" s="28" t="n"/>
      <c r="Z507" s="28" t="n"/>
      <c r="AA507" s="31" t="n"/>
      <c r="AB507" s="31" t="n"/>
    </row>
    <row r="508">
      <c r="A508" s="25" t="inlineStr">
        <is>
          <t>S10</t>
        </is>
      </c>
      <c r="B508" s="25" t="inlineStr">
        <is>
          <t>예안 신규점1</t>
        </is>
      </c>
      <c r="C508" s="25" t="inlineStr">
        <is>
          <t>S10-H남</t>
        </is>
      </c>
      <c r="D508" s="25" t="inlineStr">
        <is>
          <t>측정</t>
        </is>
      </c>
      <c r="E508" s="25" t="inlineStr">
        <is>
          <t>남</t>
        </is>
      </c>
      <c r="F508" s="30" t="n">
        <v>8</v>
      </c>
      <c r="G508" s="29" t="n"/>
      <c r="H508" s="42" t="n"/>
      <c r="I508" s="40" t="n"/>
      <c r="J508" s="40" t="n"/>
      <c r="K508" s="40" t="n"/>
      <c r="L508" s="30">
        <f>IF(COUNT(I508:K508)=0,"",MEDIAN(I508:K508))</f>
        <v/>
      </c>
      <c r="M508" s="25">
        <f>IF(COUNTIFS($C:$C,$C508,$D:$D,"P0(전)",$L:$L,"&gt;0")&lt;&gt;1,"P0(전) 유효 1개 아님",IF(COUNTIFS($C:$C,$C508,$D:$D,"P0(후)",$L:$L,"&gt;0")&lt;&gt;1,"P0(후) 유효 1개 아님",IF(NOT(AND(ISNUMBER(N508),ISNUMBER(P508),ISNUMBER(H508))),"시각 결측",IF(P508&lt;=N508,"P0 시각 역전",IF(OR(H508&lt;N508,H508&gt;P508),"측정시각 구간 밖","OK")))))</f>
        <v/>
      </c>
      <c r="N508" s="45">
        <f>IF(COUNTIFS($C:$C,$C508,$D:$D,"P0(전)",$L:$L,"&gt;0")&lt;&gt;1,"",SUMIFS($H:$H,$C:$C,$C508,$D:$D,"P0(전)"))</f>
        <v/>
      </c>
      <c r="O508" s="30">
        <f>IF(COUNTIFS($C:$C,$C508,$D:$D,"P0(전)",$L:$L,"&gt;0")&lt;&gt;1,"",SUMIFS($L:$L,$C:$C,$C508,$D:$D,"P0(전)"))</f>
        <v/>
      </c>
      <c r="P508" s="45">
        <f>IF(COUNTIFS($C:$C,$C508,$D:$D,"P0(후)",$L:$L,"&gt;0")&lt;&gt;1,"",SUMIFS($H:$H,$C:$C,$C508,$D:$D,"P0(후)"))</f>
        <v/>
      </c>
      <c r="Q508" s="30">
        <f>IF(COUNTIFS($C:$C,$C508,$D:$D,"P0(후)",$L:$L,"&gt;0")&lt;&gt;1,"",SUMIFS($L:$L,$C:$C,$C508,$D:$D,"P0(후)"))</f>
        <v/>
      </c>
      <c r="R508" s="30">
        <f>IF(M508&lt;&gt;"OK","",O508+(Q508-O508)*(H508-N508)/(P508-N508))</f>
        <v/>
      </c>
      <c r="S508" s="30">
        <f>IF(OR(M508&lt;&gt;"OK",NOT(ISNUMBER(L508))),"",L508-R508)</f>
        <v/>
      </c>
      <c r="T508" s="46">
        <f>IF(OR(NOT(ISNUMBER(S508)),IF(ISNUMBER(G508),G508,F508)=0),"",S508/IF(ISNUMBER(G508),G508,F508))</f>
        <v/>
      </c>
      <c r="U508" s="46">
        <f>IF(ISNUMBER(T508),ABS(T508),"")</f>
        <v/>
      </c>
      <c r="V508" s="46">
        <f>IF(OR($D507&lt;&gt;"측정",$C507&lt;&gt;$C508,NOT(ISNUMBER(L508)),NOT(ISNUMBER(L507)),(IF(ISNUMBER(G508),G508,F508)-IF(ISNUMBER(G507),G507,F507))=0),"",(L508-L507)/(IF(ISNUMBER(G508),G508,F508)-IF(ISNUMBER(G507),G507,F507)))</f>
        <v/>
      </c>
      <c r="W508" s="30">
        <f>IF(NOT(AND(ISNUMBER(N508),ISNUMBER(P508))),"",(P508-N508)*1440)</f>
        <v/>
      </c>
      <c r="X508" s="28" t="n"/>
      <c r="Y508" s="28" t="n"/>
      <c r="Z508" s="28" t="n"/>
      <c r="AA508" s="31" t="n"/>
      <c r="AB508" s="31" t="n"/>
    </row>
    <row r="509">
      <c r="A509" s="25" t="inlineStr">
        <is>
          <t>S10</t>
        </is>
      </c>
      <c r="B509" s="25" t="inlineStr">
        <is>
          <t>예안 신규점1</t>
        </is>
      </c>
      <c r="C509" s="25" t="inlineStr">
        <is>
          <t>S10-H남</t>
        </is>
      </c>
      <c r="D509" s="25" t="inlineStr">
        <is>
          <t>측정</t>
        </is>
      </c>
      <c r="E509" s="25" t="inlineStr">
        <is>
          <t>남</t>
        </is>
      </c>
      <c r="F509" s="30" t="n">
        <v>9</v>
      </c>
      <c r="G509" s="29" t="n"/>
      <c r="H509" s="42" t="n"/>
      <c r="I509" s="40" t="n"/>
      <c r="J509" s="40" t="n"/>
      <c r="K509" s="40" t="n"/>
      <c r="L509" s="30">
        <f>IF(COUNT(I509:K509)=0,"",MEDIAN(I509:K509))</f>
        <v/>
      </c>
      <c r="M509" s="25">
        <f>IF(COUNTIFS($C:$C,$C509,$D:$D,"P0(전)",$L:$L,"&gt;0")&lt;&gt;1,"P0(전) 유효 1개 아님",IF(COUNTIFS($C:$C,$C509,$D:$D,"P0(후)",$L:$L,"&gt;0")&lt;&gt;1,"P0(후) 유효 1개 아님",IF(NOT(AND(ISNUMBER(N509),ISNUMBER(P509),ISNUMBER(H509))),"시각 결측",IF(P509&lt;=N509,"P0 시각 역전",IF(OR(H509&lt;N509,H509&gt;P509),"측정시각 구간 밖","OK")))))</f>
        <v/>
      </c>
      <c r="N509" s="45">
        <f>IF(COUNTIFS($C:$C,$C509,$D:$D,"P0(전)",$L:$L,"&gt;0")&lt;&gt;1,"",SUMIFS($H:$H,$C:$C,$C509,$D:$D,"P0(전)"))</f>
        <v/>
      </c>
      <c r="O509" s="30">
        <f>IF(COUNTIFS($C:$C,$C509,$D:$D,"P0(전)",$L:$L,"&gt;0")&lt;&gt;1,"",SUMIFS($L:$L,$C:$C,$C509,$D:$D,"P0(전)"))</f>
        <v/>
      </c>
      <c r="P509" s="45">
        <f>IF(COUNTIFS($C:$C,$C509,$D:$D,"P0(후)",$L:$L,"&gt;0")&lt;&gt;1,"",SUMIFS($H:$H,$C:$C,$C509,$D:$D,"P0(후)"))</f>
        <v/>
      </c>
      <c r="Q509" s="30">
        <f>IF(COUNTIFS($C:$C,$C509,$D:$D,"P0(후)",$L:$L,"&gt;0")&lt;&gt;1,"",SUMIFS($L:$L,$C:$C,$C509,$D:$D,"P0(후)"))</f>
        <v/>
      </c>
      <c r="R509" s="30">
        <f>IF(M509&lt;&gt;"OK","",O509+(Q509-O509)*(H509-N509)/(P509-N509))</f>
        <v/>
      </c>
      <c r="S509" s="30">
        <f>IF(OR(M509&lt;&gt;"OK",NOT(ISNUMBER(L509))),"",L509-R509)</f>
        <v/>
      </c>
      <c r="T509" s="46">
        <f>IF(OR(NOT(ISNUMBER(S509)),IF(ISNUMBER(G509),G509,F509)=0),"",S509/IF(ISNUMBER(G509),G509,F509))</f>
        <v/>
      </c>
      <c r="U509" s="46">
        <f>IF(ISNUMBER(T509),ABS(T509),"")</f>
        <v/>
      </c>
      <c r="V509" s="46">
        <f>IF(OR($D508&lt;&gt;"측정",$C508&lt;&gt;$C509,NOT(ISNUMBER(L509)),NOT(ISNUMBER(L508)),(IF(ISNUMBER(G509),G509,F509)-IF(ISNUMBER(G508),G508,F508))=0),"",(L509-L508)/(IF(ISNUMBER(G509),G509,F509)-IF(ISNUMBER(G508),G508,F508)))</f>
        <v/>
      </c>
      <c r="W509" s="30">
        <f>IF(NOT(AND(ISNUMBER(N509),ISNUMBER(P509))),"",(P509-N509)*1440)</f>
        <v/>
      </c>
      <c r="X509" s="28" t="n"/>
      <c r="Y509" s="28" t="n"/>
      <c r="Z509" s="28" t="n"/>
      <c r="AA509" s="31" t="n"/>
      <c r="AB509" s="31" t="n"/>
    </row>
    <row r="510">
      <c r="A510" s="25" t="inlineStr">
        <is>
          <t>S10</t>
        </is>
      </c>
      <c r="B510" s="25" t="inlineStr">
        <is>
          <t>예안 신규점1</t>
        </is>
      </c>
      <c r="C510" s="25" t="inlineStr">
        <is>
          <t>S10-H남</t>
        </is>
      </c>
      <c r="D510" s="25" t="inlineStr">
        <is>
          <t>측정</t>
        </is>
      </c>
      <c r="E510" s="25" t="inlineStr">
        <is>
          <t>남</t>
        </is>
      </c>
      <c r="F510" s="30" t="n">
        <v>10</v>
      </c>
      <c r="G510" s="29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IF(COUNTIFS($C:$C,$C510,$D:$D,"P0(전)",$L:$L,"&gt;0")&lt;&gt;1,"P0(전) 유효 1개 아님",IF(COUNTIFS($C:$C,$C510,$D:$D,"P0(후)",$L:$L,"&gt;0")&lt;&gt;1,"P0(후) 유효 1개 아님",IF(NOT(AND(ISNUMBER(N510),ISNUMBER(P510),ISNUMBER(H510))),"시각 결측",IF(P510&lt;=N510,"P0 시각 역전",IF(OR(H510&lt;N510,H510&gt;P510),"측정시각 구간 밖","OK")))))</f>
        <v/>
      </c>
      <c r="N510" s="45">
        <f>IF(COUNTIFS($C:$C,$C510,$D:$D,"P0(전)",$L:$L,"&gt;0")&lt;&gt;1,"",SUMIFS($H:$H,$C:$C,$C510,$D:$D,"P0(전)"))</f>
        <v/>
      </c>
      <c r="O510" s="30">
        <f>IF(COUNTIFS($C:$C,$C510,$D:$D,"P0(전)",$L:$L,"&gt;0")&lt;&gt;1,"",SUMIFS($L:$L,$C:$C,$C510,$D:$D,"P0(전)"))</f>
        <v/>
      </c>
      <c r="P510" s="45">
        <f>IF(COUNTIFS($C:$C,$C510,$D:$D,"P0(후)",$L:$L,"&gt;0")&lt;&gt;1,"",SUMIFS($H:$H,$C:$C,$C510,$D:$D,"P0(후)"))</f>
        <v/>
      </c>
      <c r="Q510" s="30">
        <f>IF(COUNTIFS($C:$C,$C510,$D:$D,"P0(후)",$L:$L,"&gt;0")&lt;&gt;1,"",SUMIFS($L:$L,$C:$C,$C510,$D:$D,"P0(후)"))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IF(OR(NOT(ISNUMBER(S510)),IF(ISNUMBER(G510),G510,F510)=0),"",S510/IF(ISNUMBER(G510),G510,F510))</f>
        <v/>
      </c>
      <c r="U510" s="46">
        <f>IF(ISNUMBER(T510),ABS(T510),"")</f>
        <v/>
      </c>
      <c r="V510" s="46">
        <f>IF(OR($D509&lt;&gt;"측정",$C509&lt;&gt;$C510,NOT(ISNUMBER(L510)),NOT(ISNUMBER(L509)),(IF(ISNUMBER(G510),G510,F510)-IF(ISNUMBER(G509),G509,F509))=0),"",(L510-L509)/(IF(ISNUMBER(G510),G510,F510)-IF(ISNUMBER(G509),G509,F509)))</f>
        <v/>
      </c>
      <c r="W510" s="30">
        <f>IF(NOT(AND(ISNUMBER(N510),ISNUMBER(P510))),"",(P510-N510)*1440)</f>
        <v/>
      </c>
      <c r="X510" s="28" t="n"/>
      <c r="Y510" s="28" t="n"/>
      <c r="Z510" s="28" t="n"/>
      <c r="AA510" s="31" t="n"/>
      <c r="AB510" s="31" t="n"/>
    </row>
    <row r="511">
      <c r="A511" s="43" t="inlineStr">
        <is>
          <t>S10</t>
        </is>
      </c>
      <c r="B511" s="43" t="inlineStr">
        <is>
          <t>예안 신규점1</t>
        </is>
      </c>
      <c r="C511" s="43" t="inlineStr">
        <is>
          <t>S10-H남</t>
        </is>
      </c>
      <c r="D511" s="43" t="inlineStr">
        <is>
          <t>P0(후)</t>
        </is>
      </c>
      <c r="E511" s="43" t="inlineStr">
        <is>
          <t>남</t>
        </is>
      </c>
      <c r="F511" s="44" t="n"/>
      <c r="G511" s="29" t="n"/>
      <c r="H511" s="42" t="n"/>
      <c r="I511" s="40" t="n"/>
      <c r="J511" s="40" t="n"/>
      <c r="K511" s="40" t="n"/>
      <c r="L511" s="30">
        <f>IF(COUNT(I511:K511)=0,"",MEDIAN(I511:K511))</f>
        <v/>
      </c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28" t="n"/>
      <c r="Y511" s="28" t="n"/>
      <c r="Z511" s="28" t="n"/>
      <c r="AA511" s="31" t="n"/>
      <c r="AB511" s="31" t="n"/>
    </row>
    <row r="512">
      <c r="A512" s="43" t="inlineStr">
        <is>
          <t>S10</t>
        </is>
      </c>
      <c r="B512" s="43" t="inlineStr">
        <is>
          <t>예안 신규점1</t>
        </is>
      </c>
      <c r="C512" s="43" t="inlineStr">
        <is>
          <t>S10-H북</t>
        </is>
      </c>
      <c r="D512" s="43" t="inlineStr">
        <is>
          <t>P0(전)</t>
        </is>
      </c>
      <c r="E512" s="43" t="inlineStr">
        <is>
          <t>북</t>
        </is>
      </c>
      <c r="F512" s="44" t="n"/>
      <c r="G512" s="29" t="n"/>
      <c r="H512" s="42" t="n"/>
      <c r="I512" s="40" t="n"/>
      <c r="J512" s="40" t="n"/>
      <c r="K512" s="40" t="n"/>
      <c r="L512" s="30">
        <f>IF(COUNT(I512:K512)=0,"",MEDIAN(I512:K512))</f>
        <v/>
      </c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28" t="n"/>
      <c r="Y512" s="28" t="n"/>
      <c r="Z512" s="28" t="n"/>
      <c r="AA512" s="31" t="n"/>
      <c r="AB512" s="31" t="n"/>
    </row>
    <row r="513">
      <c r="A513" s="25" t="inlineStr">
        <is>
          <t>S10</t>
        </is>
      </c>
      <c r="B513" s="25" t="inlineStr">
        <is>
          <t>예안 신규점1</t>
        </is>
      </c>
      <c r="C513" s="25" t="inlineStr">
        <is>
          <t>S10-H북</t>
        </is>
      </c>
      <c r="D513" s="25" t="inlineStr">
        <is>
          <t>측정</t>
        </is>
      </c>
      <c r="E513" s="25" t="inlineStr">
        <is>
          <t>북</t>
        </is>
      </c>
      <c r="F513" s="30" t="n">
        <v>0.5</v>
      </c>
      <c r="G513" s="29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IF(COUNTIFS($C:$C,$C513,$D:$D,"P0(전)",$L:$L,"&gt;0")&lt;&gt;1,"P0(전) 유효 1개 아님",IF(COUNTIFS($C:$C,$C513,$D:$D,"P0(후)",$L:$L,"&gt;0")&lt;&gt;1,"P0(후) 유효 1개 아님",IF(NOT(AND(ISNUMBER(N513),ISNUMBER(P513),ISNUMBER(H513))),"시각 결측",IF(P513&lt;=N513,"P0 시각 역전",IF(OR(H513&lt;N513,H513&gt;P513),"측정시각 구간 밖","OK")))))</f>
        <v/>
      </c>
      <c r="N513" s="45">
        <f>IF(COUNTIFS($C:$C,$C513,$D:$D,"P0(전)",$L:$L,"&gt;0")&lt;&gt;1,"",SUMIFS($H:$H,$C:$C,$C513,$D:$D,"P0(전)"))</f>
        <v/>
      </c>
      <c r="O513" s="30">
        <f>IF(COUNTIFS($C:$C,$C513,$D:$D,"P0(전)",$L:$L,"&gt;0")&lt;&gt;1,"",SUMIFS($L:$L,$C:$C,$C513,$D:$D,"P0(전)"))</f>
        <v/>
      </c>
      <c r="P513" s="45">
        <f>IF(COUNTIFS($C:$C,$C513,$D:$D,"P0(후)",$L:$L,"&gt;0")&lt;&gt;1,"",SUMIFS($H:$H,$C:$C,$C513,$D:$D,"P0(후)"))</f>
        <v/>
      </c>
      <c r="Q513" s="30">
        <f>IF(COUNTIFS($C:$C,$C513,$D:$D,"P0(후)",$L:$L,"&gt;0")&lt;&gt;1,"",SUMIFS($L:$L,$C:$C,$C513,$D:$D,"P0(후)"))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IF(OR(NOT(ISNUMBER(S513)),IF(ISNUMBER(G513),G513,F513)=0),"",S513/IF(ISNUMBER(G513),G513,F513))</f>
        <v/>
      </c>
      <c r="U513" s="46">
        <f>IF(ISNUMBER(T513),ABS(T513),"")</f>
        <v/>
      </c>
      <c r="V513" s="46">
        <f>IF(OR($D512&lt;&gt;"측정",$C512&lt;&gt;$C513,NOT(ISNUMBER(L513)),NOT(ISNUMBER(L512)),(IF(ISNUMBER(G513),G513,F513)-IF(ISNUMBER(G512),G512,F512))=0),"",(L513-L512)/(IF(ISNUMBER(G513),G513,F513)-IF(ISNUMBER(G512),G512,F512)))</f>
        <v/>
      </c>
      <c r="W513" s="30">
        <f>IF(NOT(AND(ISNUMBER(N513),ISNUMBER(P513))),"",(P513-N513)*1440)</f>
        <v/>
      </c>
      <c r="X513" s="28" t="n"/>
      <c r="Y513" s="28" t="n"/>
      <c r="Z513" s="28" t="n"/>
      <c r="AA513" s="31" t="n"/>
      <c r="AB513" s="31" t="n"/>
    </row>
    <row r="514">
      <c r="A514" s="25" t="inlineStr">
        <is>
          <t>S10</t>
        </is>
      </c>
      <c r="B514" s="25" t="inlineStr">
        <is>
          <t>예안 신규점1</t>
        </is>
      </c>
      <c r="C514" s="25" t="inlineStr">
        <is>
          <t>S10-H북</t>
        </is>
      </c>
      <c r="D514" s="25" t="inlineStr">
        <is>
          <t>측정</t>
        </is>
      </c>
      <c r="E514" s="25" t="inlineStr">
        <is>
          <t>북</t>
        </is>
      </c>
      <c r="F514" s="30" t="n">
        <v>1</v>
      </c>
      <c r="G514" s="29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IF(COUNTIFS($C:$C,$C514,$D:$D,"P0(전)",$L:$L,"&gt;0")&lt;&gt;1,"P0(전) 유효 1개 아님",IF(COUNTIFS($C:$C,$C514,$D:$D,"P0(후)",$L:$L,"&gt;0")&lt;&gt;1,"P0(후) 유효 1개 아님",IF(NOT(AND(ISNUMBER(N514),ISNUMBER(P514),ISNUMBER(H514))),"시각 결측",IF(P514&lt;=N514,"P0 시각 역전",IF(OR(H514&lt;N514,H514&gt;P514),"측정시각 구간 밖","OK")))))</f>
        <v/>
      </c>
      <c r="N514" s="45">
        <f>IF(COUNTIFS($C:$C,$C514,$D:$D,"P0(전)",$L:$L,"&gt;0")&lt;&gt;1,"",SUMIFS($H:$H,$C:$C,$C514,$D:$D,"P0(전)"))</f>
        <v/>
      </c>
      <c r="O514" s="30">
        <f>IF(COUNTIFS($C:$C,$C514,$D:$D,"P0(전)",$L:$L,"&gt;0")&lt;&gt;1,"",SUMIFS($L:$L,$C:$C,$C514,$D:$D,"P0(전)"))</f>
        <v/>
      </c>
      <c r="P514" s="45">
        <f>IF(COUNTIFS($C:$C,$C514,$D:$D,"P0(후)",$L:$L,"&gt;0")&lt;&gt;1,"",SUMIFS($H:$H,$C:$C,$C514,$D:$D,"P0(후)"))</f>
        <v/>
      </c>
      <c r="Q514" s="30">
        <f>IF(COUNTIFS($C:$C,$C514,$D:$D,"P0(후)",$L:$L,"&gt;0")&lt;&gt;1,"",SUMIFS($L:$L,$C:$C,$C514,$D:$D,"P0(후)"))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IF(OR(NOT(ISNUMBER(S514)),IF(ISNUMBER(G514),G514,F514)=0),"",S514/IF(ISNUMBER(G514),G514,F514))</f>
        <v/>
      </c>
      <c r="U514" s="46">
        <f>IF(ISNUMBER(T514),ABS(T514),"")</f>
        <v/>
      </c>
      <c r="V514" s="46">
        <f>IF(OR($D513&lt;&gt;"측정",$C513&lt;&gt;$C514,NOT(ISNUMBER(L514)),NOT(ISNUMBER(L513)),(IF(ISNUMBER(G514),G514,F514)-IF(ISNUMBER(G513),G513,F513))=0),"",(L514-L513)/(IF(ISNUMBER(G514),G514,F514)-IF(ISNUMBER(G513),G513,F513)))</f>
        <v/>
      </c>
      <c r="W514" s="30">
        <f>IF(NOT(AND(ISNUMBER(N514),ISNUMBER(P514))),"",(P514-N514)*1440)</f>
        <v/>
      </c>
      <c r="X514" s="28" t="n"/>
      <c r="Y514" s="28" t="n"/>
      <c r="Z514" s="28" t="n"/>
      <c r="AA514" s="31" t="n"/>
      <c r="AB514" s="31" t="n"/>
    </row>
    <row r="515">
      <c r="A515" s="25" t="inlineStr">
        <is>
          <t>S10</t>
        </is>
      </c>
      <c r="B515" s="25" t="inlineStr">
        <is>
          <t>예안 신규점1</t>
        </is>
      </c>
      <c r="C515" s="25" t="inlineStr">
        <is>
          <t>S10-H북</t>
        </is>
      </c>
      <c r="D515" s="25" t="inlineStr">
        <is>
          <t>측정</t>
        </is>
      </c>
      <c r="E515" s="25" t="inlineStr">
        <is>
          <t>북</t>
        </is>
      </c>
      <c r="F515" s="30" t="n">
        <v>2</v>
      </c>
      <c r="G515" s="29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IF(COUNTIFS($C:$C,$C515,$D:$D,"P0(전)",$L:$L,"&gt;0")&lt;&gt;1,"P0(전) 유효 1개 아님",IF(COUNTIFS($C:$C,$C515,$D:$D,"P0(후)",$L:$L,"&gt;0")&lt;&gt;1,"P0(후) 유효 1개 아님",IF(NOT(AND(ISNUMBER(N515),ISNUMBER(P515),ISNUMBER(H515))),"시각 결측",IF(P515&lt;=N515,"P0 시각 역전",IF(OR(H515&lt;N515,H515&gt;P515),"측정시각 구간 밖","OK")))))</f>
        <v/>
      </c>
      <c r="N515" s="45">
        <f>IF(COUNTIFS($C:$C,$C515,$D:$D,"P0(전)",$L:$L,"&gt;0")&lt;&gt;1,"",SUMIFS($H:$H,$C:$C,$C515,$D:$D,"P0(전)"))</f>
        <v/>
      </c>
      <c r="O515" s="30">
        <f>IF(COUNTIFS($C:$C,$C515,$D:$D,"P0(전)",$L:$L,"&gt;0")&lt;&gt;1,"",SUMIFS($L:$L,$C:$C,$C515,$D:$D,"P0(전)"))</f>
        <v/>
      </c>
      <c r="P515" s="45">
        <f>IF(COUNTIFS($C:$C,$C515,$D:$D,"P0(후)",$L:$L,"&gt;0")&lt;&gt;1,"",SUMIFS($H:$H,$C:$C,$C515,$D:$D,"P0(후)"))</f>
        <v/>
      </c>
      <c r="Q515" s="30">
        <f>IF(COUNTIFS($C:$C,$C515,$D:$D,"P0(후)",$L:$L,"&gt;0")&lt;&gt;1,"",SUMIFS($L:$L,$C:$C,$C515,$D:$D,"P0(후)"))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IF(OR(NOT(ISNUMBER(S515)),IF(ISNUMBER(G515),G515,F515)=0),"",S515/IF(ISNUMBER(G515),G515,F515))</f>
        <v/>
      </c>
      <c r="U515" s="46">
        <f>IF(ISNUMBER(T515),ABS(T515),"")</f>
        <v/>
      </c>
      <c r="V515" s="46">
        <f>IF(OR($D514&lt;&gt;"측정",$C514&lt;&gt;$C515,NOT(ISNUMBER(L515)),NOT(ISNUMBER(L514)),(IF(ISNUMBER(G515),G515,F515)-IF(ISNUMBER(G514),G514,F514))=0),"",(L515-L514)/(IF(ISNUMBER(G515),G515,F515)-IF(ISNUMBER(G514),G514,F514)))</f>
        <v/>
      </c>
      <c r="W515" s="30">
        <f>IF(NOT(AND(ISNUMBER(N515),ISNUMBER(P515))),"",(P515-N515)*1440)</f>
        <v/>
      </c>
      <c r="X515" s="28" t="n"/>
      <c r="Y515" s="28" t="n"/>
      <c r="Z515" s="28" t="n"/>
      <c r="AA515" s="31" t="n"/>
      <c r="AB515" s="31" t="n"/>
    </row>
    <row r="516">
      <c r="A516" s="25" t="inlineStr">
        <is>
          <t>S10</t>
        </is>
      </c>
      <c r="B516" s="25" t="inlineStr">
        <is>
          <t>예안 신규점1</t>
        </is>
      </c>
      <c r="C516" s="25" t="inlineStr">
        <is>
          <t>S10-H북</t>
        </is>
      </c>
      <c r="D516" s="25" t="inlineStr">
        <is>
          <t>측정</t>
        </is>
      </c>
      <c r="E516" s="25" t="inlineStr">
        <is>
          <t>북</t>
        </is>
      </c>
      <c r="F516" s="30" t="n">
        <v>3</v>
      </c>
      <c r="G516" s="29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IF(COUNTIFS($C:$C,$C516,$D:$D,"P0(전)",$L:$L,"&gt;0")&lt;&gt;1,"P0(전) 유효 1개 아님",IF(COUNTIFS($C:$C,$C516,$D:$D,"P0(후)",$L:$L,"&gt;0")&lt;&gt;1,"P0(후) 유효 1개 아님",IF(NOT(AND(ISNUMBER(N516),ISNUMBER(P516),ISNUMBER(H516))),"시각 결측",IF(P516&lt;=N516,"P0 시각 역전",IF(OR(H516&lt;N516,H516&gt;P516),"측정시각 구간 밖","OK")))))</f>
        <v/>
      </c>
      <c r="N516" s="45">
        <f>IF(COUNTIFS($C:$C,$C516,$D:$D,"P0(전)",$L:$L,"&gt;0")&lt;&gt;1,"",SUMIFS($H:$H,$C:$C,$C516,$D:$D,"P0(전)"))</f>
        <v/>
      </c>
      <c r="O516" s="30">
        <f>IF(COUNTIFS($C:$C,$C516,$D:$D,"P0(전)",$L:$L,"&gt;0")&lt;&gt;1,"",SUMIFS($L:$L,$C:$C,$C516,$D:$D,"P0(전)"))</f>
        <v/>
      </c>
      <c r="P516" s="45">
        <f>IF(COUNTIFS($C:$C,$C516,$D:$D,"P0(후)",$L:$L,"&gt;0")&lt;&gt;1,"",SUMIFS($H:$H,$C:$C,$C516,$D:$D,"P0(후)"))</f>
        <v/>
      </c>
      <c r="Q516" s="30">
        <f>IF(COUNTIFS($C:$C,$C516,$D:$D,"P0(후)",$L:$L,"&gt;0")&lt;&gt;1,"",SUMIFS($L:$L,$C:$C,$C516,$D:$D,"P0(후)"))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IF(OR(NOT(ISNUMBER(S516)),IF(ISNUMBER(G516),G516,F516)=0),"",S516/IF(ISNUMBER(G516),G516,F516))</f>
        <v/>
      </c>
      <c r="U516" s="46">
        <f>IF(ISNUMBER(T516),ABS(T516),"")</f>
        <v/>
      </c>
      <c r="V516" s="46">
        <f>IF(OR($D515&lt;&gt;"측정",$C515&lt;&gt;$C516,NOT(ISNUMBER(L516)),NOT(ISNUMBER(L515)),(IF(ISNUMBER(G516),G516,F516)-IF(ISNUMBER(G515),G515,F515))=0),"",(L516-L515)/(IF(ISNUMBER(G516),G516,F516)-IF(ISNUMBER(G515),G515,F515)))</f>
        <v/>
      </c>
      <c r="W516" s="30">
        <f>IF(NOT(AND(ISNUMBER(N516),ISNUMBER(P516))),"",(P516-N516)*1440)</f>
        <v/>
      </c>
      <c r="X516" s="28" t="n"/>
      <c r="Y516" s="28" t="n"/>
      <c r="Z516" s="28" t="n"/>
      <c r="AA516" s="31" t="n"/>
      <c r="AB516" s="31" t="n"/>
    </row>
    <row r="517">
      <c r="A517" s="25" t="inlineStr">
        <is>
          <t>S10</t>
        </is>
      </c>
      <c r="B517" s="25" t="inlineStr">
        <is>
          <t>예안 신규점1</t>
        </is>
      </c>
      <c r="C517" s="25" t="inlineStr">
        <is>
          <t>S10-H북</t>
        </is>
      </c>
      <c r="D517" s="25" t="inlineStr">
        <is>
          <t>측정</t>
        </is>
      </c>
      <c r="E517" s="25" t="inlineStr">
        <is>
          <t>북</t>
        </is>
      </c>
      <c r="F517" s="30" t="n">
        <v>4</v>
      </c>
      <c r="G517" s="29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IF(COUNTIFS($C:$C,$C517,$D:$D,"P0(전)",$L:$L,"&gt;0")&lt;&gt;1,"P0(전) 유효 1개 아님",IF(COUNTIFS($C:$C,$C517,$D:$D,"P0(후)",$L:$L,"&gt;0")&lt;&gt;1,"P0(후) 유효 1개 아님",IF(NOT(AND(ISNUMBER(N517),ISNUMBER(P517),ISNUMBER(H517))),"시각 결측",IF(P517&lt;=N517,"P0 시각 역전",IF(OR(H517&lt;N517,H517&gt;P517),"측정시각 구간 밖","OK")))))</f>
        <v/>
      </c>
      <c r="N517" s="45">
        <f>IF(COUNTIFS($C:$C,$C517,$D:$D,"P0(전)",$L:$L,"&gt;0")&lt;&gt;1,"",SUMIFS($H:$H,$C:$C,$C517,$D:$D,"P0(전)"))</f>
        <v/>
      </c>
      <c r="O517" s="30">
        <f>IF(COUNTIFS($C:$C,$C517,$D:$D,"P0(전)",$L:$L,"&gt;0")&lt;&gt;1,"",SUMIFS($L:$L,$C:$C,$C517,$D:$D,"P0(전)"))</f>
        <v/>
      </c>
      <c r="P517" s="45">
        <f>IF(COUNTIFS($C:$C,$C517,$D:$D,"P0(후)",$L:$L,"&gt;0")&lt;&gt;1,"",SUMIFS($H:$H,$C:$C,$C517,$D:$D,"P0(후)"))</f>
        <v/>
      </c>
      <c r="Q517" s="30">
        <f>IF(COUNTIFS($C:$C,$C517,$D:$D,"P0(후)",$L:$L,"&gt;0")&lt;&gt;1,"",SUMIFS($L:$L,$C:$C,$C517,$D:$D,"P0(후)"))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IF(OR(NOT(ISNUMBER(S517)),IF(ISNUMBER(G517),G517,F517)=0),"",S517/IF(ISNUMBER(G517),G517,F517))</f>
        <v/>
      </c>
      <c r="U517" s="46">
        <f>IF(ISNUMBER(T517),ABS(T517),"")</f>
        <v/>
      </c>
      <c r="V517" s="46">
        <f>IF(OR($D516&lt;&gt;"측정",$C516&lt;&gt;$C517,NOT(ISNUMBER(L517)),NOT(ISNUMBER(L516)),(IF(ISNUMBER(G517),G517,F517)-IF(ISNUMBER(G516),G516,F516))=0),"",(L517-L516)/(IF(ISNUMBER(G517),G517,F517)-IF(ISNUMBER(G516),G516,F516)))</f>
        <v/>
      </c>
      <c r="W517" s="30">
        <f>IF(NOT(AND(ISNUMBER(N517),ISNUMBER(P517))),"",(P517-N517)*1440)</f>
        <v/>
      </c>
      <c r="X517" s="28" t="n"/>
      <c r="Y517" s="28" t="n"/>
      <c r="Z517" s="28" t="n"/>
      <c r="AA517" s="31" t="n"/>
      <c r="AB517" s="31" t="n"/>
    </row>
    <row r="518">
      <c r="A518" s="25" t="inlineStr">
        <is>
          <t>S10</t>
        </is>
      </c>
      <c r="B518" s="25" t="inlineStr">
        <is>
          <t>예안 신규점1</t>
        </is>
      </c>
      <c r="C518" s="25" t="inlineStr">
        <is>
          <t>S10-H북</t>
        </is>
      </c>
      <c r="D518" s="25" t="inlineStr">
        <is>
          <t>측정</t>
        </is>
      </c>
      <c r="E518" s="25" t="inlineStr">
        <is>
          <t>북</t>
        </is>
      </c>
      <c r="F518" s="30" t="n">
        <v>5</v>
      </c>
      <c r="G518" s="29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IF(COUNTIFS($C:$C,$C518,$D:$D,"P0(전)",$L:$L,"&gt;0")&lt;&gt;1,"P0(전) 유효 1개 아님",IF(COUNTIFS($C:$C,$C518,$D:$D,"P0(후)",$L:$L,"&gt;0")&lt;&gt;1,"P0(후) 유효 1개 아님",IF(NOT(AND(ISNUMBER(N518),ISNUMBER(P518),ISNUMBER(H518))),"시각 결측",IF(P518&lt;=N518,"P0 시각 역전",IF(OR(H518&lt;N518,H518&gt;P518),"측정시각 구간 밖","OK")))))</f>
        <v/>
      </c>
      <c r="N518" s="45">
        <f>IF(COUNTIFS($C:$C,$C518,$D:$D,"P0(전)",$L:$L,"&gt;0")&lt;&gt;1,"",SUMIFS($H:$H,$C:$C,$C518,$D:$D,"P0(전)"))</f>
        <v/>
      </c>
      <c r="O518" s="30">
        <f>IF(COUNTIFS($C:$C,$C518,$D:$D,"P0(전)",$L:$L,"&gt;0")&lt;&gt;1,"",SUMIFS($L:$L,$C:$C,$C518,$D:$D,"P0(전)"))</f>
        <v/>
      </c>
      <c r="P518" s="45">
        <f>IF(COUNTIFS($C:$C,$C518,$D:$D,"P0(후)",$L:$L,"&gt;0")&lt;&gt;1,"",SUMIFS($H:$H,$C:$C,$C518,$D:$D,"P0(후)"))</f>
        <v/>
      </c>
      <c r="Q518" s="30">
        <f>IF(COUNTIFS($C:$C,$C518,$D:$D,"P0(후)",$L:$L,"&gt;0")&lt;&gt;1,"",SUMIFS($L:$L,$C:$C,$C518,$D:$D,"P0(후)"))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IF(OR(NOT(ISNUMBER(S518)),IF(ISNUMBER(G518),G518,F518)=0),"",S518/IF(ISNUMBER(G518),G518,F518))</f>
        <v/>
      </c>
      <c r="U518" s="46">
        <f>IF(ISNUMBER(T518),ABS(T518),"")</f>
        <v/>
      </c>
      <c r="V518" s="46">
        <f>IF(OR($D517&lt;&gt;"측정",$C517&lt;&gt;$C518,NOT(ISNUMBER(L518)),NOT(ISNUMBER(L517)),(IF(ISNUMBER(G518),G518,F518)-IF(ISNUMBER(G517),G517,F517))=0),"",(L518-L517)/(IF(ISNUMBER(G518),G518,F518)-IF(ISNUMBER(G517),G517,F517)))</f>
        <v/>
      </c>
      <c r="W518" s="30">
        <f>IF(NOT(AND(ISNUMBER(N518),ISNUMBER(P518))),"",(P518-N518)*1440)</f>
        <v/>
      </c>
      <c r="X518" s="28" t="n"/>
      <c r="Y518" s="28" t="n"/>
      <c r="Z518" s="28" t="n"/>
      <c r="AA518" s="31" t="n"/>
      <c r="AB518" s="31" t="n"/>
    </row>
    <row r="519">
      <c r="A519" s="25" t="inlineStr">
        <is>
          <t>S10</t>
        </is>
      </c>
      <c r="B519" s="25" t="inlineStr">
        <is>
          <t>예안 신규점1</t>
        </is>
      </c>
      <c r="C519" s="25" t="inlineStr">
        <is>
          <t>S10-H북</t>
        </is>
      </c>
      <c r="D519" s="25" t="inlineStr">
        <is>
          <t>측정</t>
        </is>
      </c>
      <c r="E519" s="25" t="inlineStr">
        <is>
          <t>북</t>
        </is>
      </c>
      <c r="F519" s="30" t="n">
        <v>6</v>
      </c>
      <c r="G519" s="29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IF(COUNTIFS($C:$C,$C519,$D:$D,"P0(전)",$L:$L,"&gt;0")&lt;&gt;1,"P0(전) 유효 1개 아님",IF(COUNTIFS($C:$C,$C519,$D:$D,"P0(후)",$L:$L,"&gt;0")&lt;&gt;1,"P0(후) 유효 1개 아님",IF(NOT(AND(ISNUMBER(N519),ISNUMBER(P519),ISNUMBER(H519))),"시각 결측",IF(P519&lt;=N519,"P0 시각 역전",IF(OR(H519&lt;N519,H519&gt;P519),"측정시각 구간 밖","OK")))))</f>
        <v/>
      </c>
      <c r="N519" s="45">
        <f>IF(COUNTIFS($C:$C,$C519,$D:$D,"P0(전)",$L:$L,"&gt;0")&lt;&gt;1,"",SUMIFS($H:$H,$C:$C,$C519,$D:$D,"P0(전)"))</f>
        <v/>
      </c>
      <c r="O519" s="30">
        <f>IF(COUNTIFS($C:$C,$C519,$D:$D,"P0(전)",$L:$L,"&gt;0")&lt;&gt;1,"",SUMIFS($L:$L,$C:$C,$C519,$D:$D,"P0(전)"))</f>
        <v/>
      </c>
      <c r="P519" s="45">
        <f>IF(COUNTIFS($C:$C,$C519,$D:$D,"P0(후)",$L:$L,"&gt;0")&lt;&gt;1,"",SUMIFS($H:$H,$C:$C,$C519,$D:$D,"P0(후)"))</f>
        <v/>
      </c>
      <c r="Q519" s="30">
        <f>IF(COUNTIFS($C:$C,$C519,$D:$D,"P0(후)",$L:$L,"&gt;0")&lt;&gt;1,"",SUMIFS($L:$L,$C:$C,$C519,$D:$D,"P0(후)"))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IF(OR(NOT(ISNUMBER(S519)),IF(ISNUMBER(G519),G519,F519)=0),"",S519/IF(ISNUMBER(G519),G519,F519))</f>
        <v/>
      </c>
      <c r="U519" s="46">
        <f>IF(ISNUMBER(T519),ABS(T519),"")</f>
        <v/>
      </c>
      <c r="V519" s="46">
        <f>IF(OR($D518&lt;&gt;"측정",$C518&lt;&gt;$C519,NOT(ISNUMBER(L519)),NOT(ISNUMBER(L518)),(IF(ISNUMBER(G519),G519,F519)-IF(ISNUMBER(G518),G518,F518))=0),"",(L519-L518)/(IF(ISNUMBER(G519),G519,F519)-IF(ISNUMBER(G518),G518,F518)))</f>
        <v/>
      </c>
      <c r="W519" s="30">
        <f>IF(NOT(AND(ISNUMBER(N519),ISNUMBER(P519))),"",(P519-N519)*1440)</f>
        <v/>
      </c>
      <c r="X519" s="28" t="n"/>
      <c r="Y519" s="28" t="n"/>
      <c r="Z519" s="28" t="n"/>
      <c r="AA519" s="31" t="n"/>
      <c r="AB519" s="31" t="n"/>
    </row>
    <row r="520">
      <c r="A520" s="25" t="inlineStr">
        <is>
          <t>S10</t>
        </is>
      </c>
      <c r="B520" s="25" t="inlineStr">
        <is>
          <t>예안 신규점1</t>
        </is>
      </c>
      <c r="C520" s="25" t="inlineStr">
        <is>
          <t>S10-H북</t>
        </is>
      </c>
      <c r="D520" s="25" t="inlineStr">
        <is>
          <t>측정</t>
        </is>
      </c>
      <c r="E520" s="25" t="inlineStr">
        <is>
          <t>북</t>
        </is>
      </c>
      <c r="F520" s="30" t="n">
        <v>7</v>
      </c>
      <c r="G520" s="29" t="n"/>
      <c r="H520" s="42" t="n"/>
      <c r="I520" s="40" t="n"/>
      <c r="J520" s="40" t="n"/>
      <c r="K520" s="40" t="n"/>
      <c r="L520" s="30">
        <f>IF(COUNT(I520:K520)=0,"",MEDIAN(I520:K520))</f>
        <v/>
      </c>
      <c r="M520" s="25">
        <f>IF(COUNTIFS($C:$C,$C520,$D:$D,"P0(전)",$L:$L,"&gt;0")&lt;&gt;1,"P0(전) 유효 1개 아님",IF(COUNTIFS($C:$C,$C520,$D:$D,"P0(후)",$L:$L,"&gt;0")&lt;&gt;1,"P0(후) 유효 1개 아님",IF(NOT(AND(ISNUMBER(N520),ISNUMBER(P520),ISNUMBER(H520))),"시각 결측",IF(P520&lt;=N520,"P0 시각 역전",IF(OR(H520&lt;N520,H520&gt;P520),"측정시각 구간 밖","OK")))))</f>
        <v/>
      </c>
      <c r="N520" s="45">
        <f>IF(COUNTIFS($C:$C,$C520,$D:$D,"P0(전)",$L:$L,"&gt;0")&lt;&gt;1,"",SUMIFS($H:$H,$C:$C,$C520,$D:$D,"P0(전)"))</f>
        <v/>
      </c>
      <c r="O520" s="30">
        <f>IF(COUNTIFS($C:$C,$C520,$D:$D,"P0(전)",$L:$L,"&gt;0")&lt;&gt;1,"",SUMIFS($L:$L,$C:$C,$C520,$D:$D,"P0(전)"))</f>
        <v/>
      </c>
      <c r="P520" s="45">
        <f>IF(COUNTIFS($C:$C,$C520,$D:$D,"P0(후)",$L:$L,"&gt;0")&lt;&gt;1,"",SUMIFS($H:$H,$C:$C,$C520,$D:$D,"P0(후)"))</f>
        <v/>
      </c>
      <c r="Q520" s="30">
        <f>IF(COUNTIFS($C:$C,$C520,$D:$D,"P0(후)",$L:$L,"&gt;0")&lt;&gt;1,"",SUMIFS($L:$L,$C:$C,$C520,$D:$D,"P0(후)"))</f>
        <v/>
      </c>
      <c r="R520" s="30">
        <f>IF(M520&lt;&gt;"OK","",O520+(Q520-O520)*(H520-N520)/(P520-N520))</f>
        <v/>
      </c>
      <c r="S520" s="30">
        <f>IF(OR(M520&lt;&gt;"OK",NOT(ISNUMBER(L520))),"",L520-R520)</f>
        <v/>
      </c>
      <c r="T520" s="46">
        <f>IF(OR(NOT(ISNUMBER(S520)),IF(ISNUMBER(G520),G520,F520)=0),"",S520/IF(ISNUMBER(G520),G520,F520))</f>
        <v/>
      </c>
      <c r="U520" s="46">
        <f>IF(ISNUMBER(T520),ABS(T520),"")</f>
        <v/>
      </c>
      <c r="V520" s="46">
        <f>IF(OR($D519&lt;&gt;"측정",$C519&lt;&gt;$C520,NOT(ISNUMBER(L520)),NOT(ISNUMBER(L519)),(IF(ISNUMBER(G520),G520,F520)-IF(ISNUMBER(G519),G519,F519))=0),"",(L520-L519)/(IF(ISNUMBER(G520),G520,F520)-IF(ISNUMBER(G519),G519,F519)))</f>
        <v/>
      </c>
      <c r="W520" s="30">
        <f>IF(NOT(AND(ISNUMBER(N520),ISNUMBER(P520))),"",(P520-N520)*1440)</f>
        <v/>
      </c>
      <c r="X520" s="28" t="n"/>
      <c r="Y520" s="28" t="n"/>
      <c r="Z520" s="28" t="n"/>
      <c r="AA520" s="31" t="n"/>
      <c r="AB520" s="31" t="n"/>
    </row>
    <row r="521">
      <c r="A521" s="25" t="inlineStr">
        <is>
          <t>S10</t>
        </is>
      </c>
      <c r="B521" s="25" t="inlineStr">
        <is>
          <t>예안 신규점1</t>
        </is>
      </c>
      <c r="C521" s="25" t="inlineStr">
        <is>
          <t>S10-H북</t>
        </is>
      </c>
      <c r="D521" s="25" t="inlineStr">
        <is>
          <t>측정</t>
        </is>
      </c>
      <c r="E521" s="25" t="inlineStr">
        <is>
          <t>북</t>
        </is>
      </c>
      <c r="F521" s="30" t="n">
        <v>8</v>
      </c>
      <c r="G521" s="29" t="n"/>
      <c r="H521" s="42" t="n"/>
      <c r="I521" s="40" t="n"/>
      <c r="J521" s="40" t="n"/>
      <c r="K521" s="40" t="n"/>
      <c r="L521" s="30">
        <f>IF(COUNT(I521:K521)=0,"",MEDIAN(I521:K521))</f>
        <v/>
      </c>
      <c r="M521" s="25">
        <f>IF(COUNTIFS($C:$C,$C521,$D:$D,"P0(전)",$L:$L,"&gt;0")&lt;&gt;1,"P0(전) 유효 1개 아님",IF(COUNTIFS($C:$C,$C521,$D:$D,"P0(후)",$L:$L,"&gt;0")&lt;&gt;1,"P0(후) 유효 1개 아님",IF(NOT(AND(ISNUMBER(N521),ISNUMBER(P521),ISNUMBER(H521))),"시각 결측",IF(P521&lt;=N521,"P0 시각 역전",IF(OR(H521&lt;N521,H521&gt;P521),"측정시각 구간 밖","OK")))))</f>
        <v/>
      </c>
      <c r="N521" s="45">
        <f>IF(COUNTIFS($C:$C,$C521,$D:$D,"P0(전)",$L:$L,"&gt;0")&lt;&gt;1,"",SUMIFS($H:$H,$C:$C,$C521,$D:$D,"P0(전)"))</f>
        <v/>
      </c>
      <c r="O521" s="30">
        <f>IF(COUNTIFS($C:$C,$C521,$D:$D,"P0(전)",$L:$L,"&gt;0")&lt;&gt;1,"",SUMIFS($L:$L,$C:$C,$C521,$D:$D,"P0(전)"))</f>
        <v/>
      </c>
      <c r="P521" s="45">
        <f>IF(COUNTIFS($C:$C,$C521,$D:$D,"P0(후)",$L:$L,"&gt;0")&lt;&gt;1,"",SUMIFS($H:$H,$C:$C,$C521,$D:$D,"P0(후)"))</f>
        <v/>
      </c>
      <c r="Q521" s="30">
        <f>IF(COUNTIFS($C:$C,$C521,$D:$D,"P0(후)",$L:$L,"&gt;0")&lt;&gt;1,"",SUMIFS($L:$L,$C:$C,$C521,$D:$D,"P0(후)"))</f>
        <v/>
      </c>
      <c r="R521" s="30">
        <f>IF(M521&lt;&gt;"OK","",O521+(Q521-O521)*(H521-N521)/(P521-N521))</f>
        <v/>
      </c>
      <c r="S521" s="30">
        <f>IF(OR(M521&lt;&gt;"OK",NOT(ISNUMBER(L521))),"",L521-R521)</f>
        <v/>
      </c>
      <c r="T521" s="46">
        <f>IF(OR(NOT(ISNUMBER(S521)),IF(ISNUMBER(G521),G521,F521)=0),"",S521/IF(ISNUMBER(G521),G521,F521))</f>
        <v/>
      </c>
      <c r="U521" s="46">
        <f>IF(ISNUMBER(T521),ABS(T521),"")</f>
        <v/>
      </c>
      <c r="V521" s="46">
        <f>IF(OR($D520&lt;&gt;"측정",$C520&lt;&gt;$C521,NOT(ISNUMBER(L521)),NOT(ISNUMBER(L520)),(IF(ISNUMBER(G521),G521,F521)-IF(ISNUMBER(G520),G520,F520))=0),"",(L521-L520)/(IF(ISNUMBER(G521),G521,F521)-IF(ISNUMBER(G520),G520,F520)))</f>
        <v/>
      </c>
      <c r="W521" s="30">
        <f>IF(NOT(AND(ISNUMBER(N521),ISNUMBER(P521))),"",(P521-N521)*1440)</f>
        <v/>
      </c>
      <c r="X521" s="28" t="n"/>
      <c r="Y521" s="28" t="n"/>
      <c r="Z521" s="28" t="n"/>
      <c r="AA521" s="31" t="n"/>
      <c r="AB521" s="31" t="n"/>
    </row>
    <row r="522">
      <c r="A522" s="25" t="inlineStr">
        <is>
          <t>S10</t>
        </is>
      </c>
      <c r="B522" s="25" t="inlineStr">
        <is>
          <t>예안 신규점1</t>
        </is>
      </c>
      <c r="C522" s="25" t="inlineStr">
        <is>
          <t>S10-H북</t>
        </is>
      </c>
      <c r="D522" s="25" t="inlineStr">
        <is>
          <t>측정</t>
        </is>
      </c>
      <c r="E522" s="25" t="inlineStr">
        <is>
          <t>북</t>
        </is>
      </c>
      <c r="F522" s="30" t="n">
        <v>9</v>
      </c>
      <c r="G522" s="29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IF(COUNTIFS($C:$C,$C522,$D:$D,"P0(전)",$L:$L,"&gt;0")&lt;&gt;1,"P0(전) 유효 1개 아님",IF(COUNTIFS($C:$C,$C522,$D:$D,"P0(후)",$L:$L,"&gt;0")&lt;&gt;1,"P0(후) 유효 1개 아님",IF(NOT(AND(ISNUMBER(N522),ISNUMBER(P522),ISNUMBER(H522))),"시각 결측",IF(P522&lt;=N522,"P0 시각 역전",IF(OR(H522&lt;N522,H522&gt;P522),"측정시각 구간 밖","OK")))))</f>
        <v/>
      </c>
      <c r="N522" s="45">
        <f>IF(COUNTIFS($C:$C,$C522,$D:$D,"P0(전)",$L:$L,"&gt;0")&lt;&gt;1,"",SUMIFS($H:$H,$C:$C,$C522,$D:$D,"P0(전)"))</f>
        <v/>
      </c>
      <c r="O522" s="30">
        <f>IF(COUNTIFS($C:$C,$C522,$D:$D,"P0(전)",$L:$L,"&gt;0")&lt;&gt;1,"",SUMIFS($L:$L,$C:$C,$C522,$D:$D,"P0(전)"))</f>
        <v/>
      </c>
      <c r="P522" s="45">
        <f>IF(COUNTIFS($C:$C,$C522,$D:$D,"P0(후)",$L:$L,"&gt;0")&lt;&gt;1,"",SUMIFS($H:$H,$C:$C,$C522,$D:$D,"P0(후)"))</f>
        <v/>
      </c>
      <c r="Q522" s="30">
        <f>IF(COUNTIFS($C:$C,$C522,$D:$D,"P0(후)",$L:$L,"&gt;0")&lt;&gt;1,"",SUMIFS($L:$L,$C:$C,$C522,$D:$D,"P0(후)"))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IF(OR(NOT(ISNUMBER(S522)),IF(ISNUMBER(G522),G522,F522)=0),"",S522/IF(ISNUMBER(G522),G522,F522))</f>
        <v/>
      </c>
      <c r="U522" s="46">
        <f>IF(ISNUMBER(T522),ABS(T522),"")</f>
        <v/>
      </c>
      <c r="V522" s="46">
        <f>IF(OR($D521&lt;&gt;"측정",$C521&lt;&gt;$C522,NOT(ISNUMBER(L522)),NOT(ISNUMBER(L521)),(IF(ISNUMBER(G522),G522,F522)-IF(ISNUMBER(G521),G521,F521))=0),"",(L522-L521)/(IF(ISNUMBER(G522),G522,F522)-IF(ISNUMBER(G521),G521,F521)))</f>
        <v/>
      </c>
      <c r="W522" s="30">
        <f>IF(NOT(AND(ISNUMBER(N522),ISNUMBER(P522))),"",(P522-N522)*1440)</f>
        <v/>
      </c>
      <c r="X522" s="28" t="n"/>
      <c r="Y522" s="28" t="n"/>
      <c r="Z522" s="28" t="n"/>
      <c r="AA522" s="31" t="n"/>
      <c r="AB522" s="31" t="n"/>
    </row>
    <row r="523">
      <c r="A523" s="25" t="inlineStr">
        <is>
          <t>S10</t>
        </is>
      </c>
      <c r="B523" s="25" t="inlineStr">
        <is>
          <t>예안 신규점1</t>
        </is>
      </c>
      <c r="C523" s="25" t="inlineStr">
        <is>
          <t>S10-H북</t>
        </is>
      </c>
      <c r="D523" s="25" t="inlineStr">
        <is>
          <t>측정</t>
        </is>
      </c>
      <c r="E523" s="25" t="inlineStr">
        <is>
          <t>북</t>
        </is>
      </c>
      <c r="F523" s="30" t="n">
        <v>10</v>
      </c>
      <c r="G523" s="29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IF(COUNTIFS($C:$C,$C523,$D:$D,"P0(전)",$L:$L,"&gt;0")&lt;&gt;1,"P0(전) 유효 1개 아님",IF(COUNTIFS($C:$C,$C523,$D:$D,"P0(후)",$L:$L,"&gt;0")&lt;&gt;1,"P0(후) 유효 1개 아님",IF(NOT(AND(ISNUMBER(N523),ISNUMBER(P523),ISNUMBER(H523))),"시각 결측",IF(P523&lt;=N523,"P0 시각 역전",IF(OR(H523&lt;N523,H523&gt;P523),"측정시각 구간 밖","OK")))))</f>
        <v/>
      </c>
      <c r="N523" s="45">
        <f>IF(COUNTIFS($C:$C,$C523,$D:$D,"P0(전)",$L:$L,"&gt;0")&lt;&gt;1,"",SUMIFS($H:$H,$C:$C,$C523,$D:$D,"P0(전)"))</f>
        <v/>
      </c>
      <c r="O523" s="30">
        <f>IF(COUNTIFS($C:$C,$C523,$D:$D,"P0(전)",$L:$L,"&gt;0")&lt;&gt;1,"",SUMIFS($L:$L,$C:$C,$C523,$D:$D,"P0(전)"))</f>
        <v/>
      </c>
      <c r="P523" s="45">
        <f>IF(COUNTIFS($C:$C,$C523,$D:$D,"P0(후)",$L:$L,"&gt;0")&lt;&gt;1,"",SUMIFS($H:$H,$C:$C,$C523,$D:$D,"P0(후)"))</f>
        <v/>
      </c>
      <c r="Q523" s="30">
        <f>IF(COUNTIFS($C:$C,$C523,$D:$D,"P0(후)",$L:$L,"&gt;0")&lt;&gt;1,"",SUMIFS($L:$L,$C:$C,$C523,$D:$D,"P0(후)"))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IF(OR(NOT(ISNUMBER(S523)),IF(ISNUMBER(G523),G523,F523)=0),"",S523/IF(ISNUMBER(G523),G523,F523))</f>
        <v/>
      </c>
      <c r="U523" s="46">
        <f>IF(ISNUMBER(T523),ABS(T523),"")</f>
        <v/>
      </c>
      <c r="V523" s="46">
        <f>IF(OR($D522&lt;&gt;"측정",$C522&lt;&gt;$C523,NOT(ISNUMBER(L523)),NOT(ISNUMBER(L522)),(IF(ISNUMBER(G523),G523,F523)-IF(ISNUMBER(G522),G522,F522))=0),"",(L523-L522)/(IF(ISNUMBER(G523),G523,F523)-IF(ISNUMBER(G522),G522,F522)))</f>
        <v/>
      </c>
      <c r="W523" s="30">
        <f>IF(NOT(AND(ISNUMBER(N523),ISNUMBER(P523))),"",(P523-N523)*1440)</f>
        <v/>
      </c>
      <c r="X523" s="28" t="n"/>
      <c r="Y523" s="28" t="n"/>
      <c r="Z523" s="28" t="n"/>
      <c r="AA523" s="31" t="n"/>
      <c r="AB523" s="31" t="n"/>
    </row>
    <row r="524">
      <c r="A524" s="43" t="inlineStr">
        <is>
          <t>S10</t>
        </is>
      </c>
      <c r="B524" s="43" t="inlineStr">
        <is>
          <t>예안 신규점1</t>
        </is>
      </c>
      <c r="C524" s="43" t="inlineStr">
        <is>
          <t>S10-H북</t>
        </is>
      </c>
      <c r="D524" s="43" t="inlineStr">
        <is>
          <t>P0(후)</t>
        </is>
      </c>
      <c r="E524" s="43" t="inlineStr">
        <is>
          <t>북</t>
        </is>
      </c>
      <c r="F524" s="44" t="n"/>
      <c r="G524" s="29" t="n"/>
      <c r="H524" s="42" t="n"/>
      <c r="I524" s="40" t="n"/>
      <c r="J524" s="40" t="n"/>
      <c r="K524" s="40" t="n"/>
      <c r="L524" s="30">
        <f>IF(COUNT(I524:K524)=0,"",MEDIAN(I524:K524))</f>
        <v/>
      </c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28" t="n"/>
      <c r="Y524" s="28" t="n"/>
      <c r="Z524" s="28" t="n"/>
      <c r="AA524" s="31" t="n"/>
      <c r="AB524" s="31" t="n"/>
    </row>
    <row r="525">
      <c r="A525" s="43" t="inlineStr">
        <is>
          <t>S11</t>
        </is>
      </c>
      <c r="B525" s="43" t="inlineStr">
        <is>
          <t>소천 신규점4</t>
        </is>
      </c>
      <c r="C525" s="43" t="inlineStr">
        <is>
          <t>S11-H동</t>
        </is>
      </c>
      <c r="D525" s="43" t="inlineStr">
        <is>
          <t>P0(전)</t>
        </is>
      </c>
      <c r="E525" s="43" t="inlineStr">
        <is>
          <t>동</t>
        </is>
      </c>
      <c r="F525" s="44" t="n"/>
      <c r="G525" s="29" t="n"/>
      <c r="H525" s="42" t="n"/>
      <c r="I525" s="40" t="n"/>
      <c r="J525" s="40" t="n"/>
      <c r="K525" s="40" t="n"/>
      <c r="L525" s="30">
        <f>IF(COUNT(I525:K525)=0,"",MEDIAN(I525:K525))</f>
        <v/>
      </c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28" t="n"/>
      <c r="Y525" s="28" t="n"/>
      <c r="Z525" s="28" t="n"/>
      <c r="AA525" s="31" t="n"/>
      <c r="AB525" s="31" t="n"/>
    </row>
    <row r="526">
      <c r="A526" s="25" t="inlineStr">
        <is>
          <t>S11</t>
        </is>
      </c>
      <c r="B526" s="25" t="inlineStr">
        <is>
          <t>소천 신규점4</t>
        </is>
      </c>
      <c r="C526" s="25" t="inlineStr">
        <is>
          <t>S11-H동</t>
        </is>
      </c>
      <c r="D526" s="25" t="inlineStr">
        <is>
          <t>측정</t>
        </is>
      </c>
      <c r="E526" s="25" t="inlineStr">
        <is>
          <t>동</t>
        </is>
      </c>
      <c r="F526" s="30" t="n">
        <v>0.5</v>
      </c>
      <c r="G526" s="29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IF(COUNTIFS($C:$C,$C526,$D:$D,"P0(전)",$L:$L,"&gt;0")&lt;&gt;1,"P0(전) 유효 1개 아님",IF(COUNTIFS($C:$C,$C526,$D:$D,"P0(후)",$L:$L,"&gt;0")&lt;&gt;1,"P0(후) 유효 1개 아님",IF(NOT(AND(ISNUMBER(N526),ISNUMBER(P526),ISNUMBER(H526))),"시각 결측",IF(P526&lt;=N526,"P0 시각 역전",IF(OR(H526&lt;N526,H526&gt;P526),"측정시각 구간 밖","OK")))))</f>
        <v/>
      </c>
      <c r="N526" s="45">
        <f>IF(COUNTIFS($C:$C,$C526,$D:$D,"P0(전)",$L:$L,"&gt;0")&lt;&gt;1,"",SUMIFS($H:$H,$C:$C,$C526,$D:$D,"P0(전)"))</f>
        <v/>
      </c>
      <c r="O526" s="30">
        <f>IF(COUNTIFS($C:$C,$C526,$D:$D,"P0(전)",$L:$L,"&gt;0")&lt;&gt;1,"",SUMIFS($L:$L,$C:$C,$C526,$D:$D,"P0(전)"))</f>
        <v/>
      </c>
      <c r="P526" s="45">
        <f>IF(COUNTIFS($C:$C,$C526,$D:$D,"P0(후)",$L:$L,"&gt;0")&lt;&gt;1,"",SUMIFS($H:$H,$C:$C,$C526,$D:$D,"P0(후)"))</f>
        <v/>
      </c>
      <c r="Q526" s="30">
        <f>IF(COUNTIFS($C:$C,$C526,$D:$D,"P0(후)",$L:$L,"&gt;0")&lt;&gt;1,"",SUMIFS($L:$L,$C:$C,$C526,$D:$D,"P0(후)"))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IF(OR(NOT(ISNUMBER(S526)),IF(ISNUMBER(G526),G526,F526)=0),"",S526/IF(ISNUMBER(G526),G526,F526))</f>
        <v/>
      </c>
      <c r="U526" s="46">
        <f>IF(ISNUMBER(T526),ABS(T526),"")</f>
        <v/>
      </c>
      <c r="V526" s="46">
        <f>IF(OR($D525&lt;&gt;"측정",$C525&lt;&gt;$C526,NOT(ISNUMBER(L526)),NOT(ISNUMBER(L525)),(IF(ISNUMBER(G526),G526,F526)-IF(ISNUMBER(G525),G525,F525))=0),"",(L526-L525)/(IF(ISNUMBER(G526),G526,F526)-IF(ISNUMBER(G525),G525,F525)))</f>
        <v/>
      </c>
      <c r="W526" s="30">
        <f>IF(NOT(AND(ISNUMBER(N526),ISNUMBER(P526))),"",(P526-N526)*1440)</f>
        <v/>
      </c>
      <c r="X526" s="28" t="n"/>
      <c r="Y526" s="28" t="n"/>
      <c r="Z526" s="28" t="n"/>
      <c r="AA526" s="31" t="n"/>
      <c r="AB526" s="31" t="n"/>
    </row>
    <row r="527">
      <c r="A527" s="25" t="inlineStr">
        <is>
          <t>S11</t>
        </is>
      </c>
      <c r="B527" s="25" t="inlineStr">
        <is>
          <t>소천 신규점4</t>
        </is>
      </c>
      <c r="C527" s="25" t="inlineStr">
        <is>
          <t>S11-H동</t>
        </is>
      </c>
      <c r="D527" s="25" t="inlineStr">
        <is>
          <t>측정</t>
        </is>
      </c>
      <c r="E527" s="25" t="inlineStr">
        <is>
          <t>동</t>
        </is>
      </c>
      <c r="F527" s="30" t="n">
        <v>1</v>
      </c>
      <c r="G527" s="29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IF(COUNTIFS($C:$C,$C527,$D:$D,"P0(전)",$L:$L,"&gt;0")&lt;&gt;1,"P0(전) 유효 1개 아님",IF(COUNTIFS($C:$C,$C527,$D:$D,"P0(후)",$L:$L,"&gt;0")&lt;&gt;1,"P0(후) 유효 1개 아님",IF(NOT(AND(ISNUMBER(N527),ISNUMBER(P527),ISNUMBER(H527))),"시각 결측",IF(P527&lt;=N527,"P0 시각 역전",IF(OR(H527&lt;N527,H527&gt;P527),"측정시각 구간 밖","OK")))))</f>
        <v/>
      </c>
      <c r="N527" s="45">
        <f>IF(COUNTIFS($C:$C,$C527,$D:$D,"P0(전)",$L:$L,"&gt;0")&lt;&gt;1,"",SUMIFS($H:$H,$C:$C,$C527,$D:$D,"P0(전)"))</f>
        <v/>
      </c>
      <c r="O527" s="30">
        <f>IF(COUNTIFS($C:$C,$C527,$D:$D,"P0(전)",$L:$L,"&gt;0")&lt;&gt;1,"",SUMIFS($L:$L,$C:$C,$C527,$D:$D,"P0(전)"))</f>
        <v/>
      </c>
      <c r="P527" s="45">
        <f>IF(COUNTIFS($C:$C,$C527,$D:$D,"P0(후)",$L:$L,"&gt;0")&lt;&gt;1,"",SUMIFS($H:$H,$C:$C,$C527,$D:$D,"P0(후)"))</f>
        <v/>
      </c>
      <c r="Q527" s="30">
        <f>IF(COUNTIFS($C:$C,$C527,$D:$D,"P0(후)",$L:$L,"&gt;0")&lt;&gt;1,"",SUMIFS($L:$L,$C:$C,$C527,$D:$D,"P0(후)"))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IF(OR(NOT(ISNUMBER(S527)),IF(ISNUMBER(G527),G527,F527)=0),"",S527/IF(ISNUMBER(G527),G527,F527))</f>
        <v/>
      </c>
      <c r="U527" s="46">
        <f>IF(ISNUMBER(T527),ABS(T527),"")</f>
        <v/>
      </c>
      <c r="V527" s="46">
        <f>IF(OR($D526&lt;&gt;"측정",$C526&lt;&gt;$C527,NOT(ISNUMBER(L527)),NOT(ISNUMBER(L526)),(IF(ISNUMBER(G527),G527,F527)-IF(ISNUMBER(G526),G526,F526))=0),"",(L527-L526)/(IF(ISNUMBER(G527),G527,F527)-IF(ISNUMBER(G526),G526,F526)))</f>
        <v/>
      </c>
      <c r="W527" s="30">
        <f>IF(NOT(AND(ISNUMBER(N527),ISNUMBER(P527))),"",(P527-N527)*1440)</f>
        <v/>
      </c>
      <c r="X527" s="28" t="n"/>
      <c r="Y527" s="28" t="n"/>
      <c r="Z527" s="28" t="n"/>
      <c r="AA527" s="31" t="n"/>
      <c r="AB527" s="31" t="n"/>
    </row>
    <row r="528">
      <c r="A528" s="25" t="inlineStr">
        <is>
          <t>S11</t>
        </is>
      </c>
      <c r="B528" s="25" t="inlineStr">
        <is>
          <t>소천 신규점4</t>
        </is>
      </c>
      <c r="C528" s="25" t="inlineStr">
        <is>
          <t>S11-H동</t>
        </is>
      </c>
      <c r="D528" s="25" t="inlineStr">
        <is>
          <t>측정</t>
        </is>
      </c>
      <c r="E528" s="25" t="inlineStr">
        <is>
          <t>동</t>
        </is>
      </c>
      <c r="F528" s="30" t="n">
        <v>2</v>
      </c>
      <c r="G528" s="29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IF(COUNTIFS($C:$C,$C528,$D:$D,"P0(전)",$L:$L,"&gt;0")&lt;&gt;1,"P0(전) 유효 1개 아님",IF(COUNTIFS($C:$C,$C528,$D:$D,"P0(후)",$L:$L,"&gt;0")&lt;&gt;1,"P0(후) 유효 1개 아님",IF(NOT(AND(ISNUMBER(N528),ISNUMBER(P528),ISNUMBER(H528))),"시각 결측",IF(P528&lt;=N528,"P0 시각 역전",IF(OR(H528&lt;N528,H528&gt;P528),"측정시각 구간 밖","OK")))))</f>
        <v/>
      </c>
      <c r="N528" s="45">
        <f>IF(COUNTIFS($C:$C,$C528,$D:$D,"P0(전)",$L:$L,"&gt;0")&lt;&gt;1,"",SUMIFS($H:$H,$C:$C,$C528,$D:$D,"P0(전)"))</f>
        <v/>
      </c>
      <c r="O528" s="30">
        <f>IF(COUNTIFS($C:$C,$C528,$D:$D,"P0(전)",$L:$L,"&gt;0")&lt;&gt;1,"",SUMIFS($L:$L,$C:$C,$C528,$D:$D,"P0(전)"))</f>
        <v/>
      </c>
      <c r="P528" s="45">
        <f>IF(COUNTIFS($C:$C,$C528,$D:$D,"P0(후)",$L:$L,"&gt;0")&lt;&gt;1,"",SUMIFS($H:$H,$C:$C,$C528,$D:$D,"P0(후)"))</f>
        <v/>
      </c>
      <c r="Q528" s="30">
        <f>IF(COUNTIFS($C:$C,$C528,$D:$D,"P0(후)",$L:$L,"&gt;0")&lt;&gt;1,"",SUMIFS($L:$L,$C:$C,$C528,$D:$D,"P0(후)"))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IF(OR(NOT(ISNUMBER(S528)),IF(ISNUMBER(G528),G528,F528)=0),"",S528/IF(ISNUMBER(G528),G528,F528))</f>
        <v/>
      </c>
      <c r="U528" s="46">
        <f>IF(ISNUMBER(T528),ABS(T528),"")</f>
        <v/>
      </c>
      <c r="V528" s="46">
        <f>IF(OR($D527&lt;&gt;"측정",$C527&lt;&gt;$C528,NOT(ISNUMBER(L528)),NOT(ISNUMBER(L527)),(IF(ISNUMBER(G528),G528,F528)-IF(ISNUMBER(G527),G527,F527))=0),"",(L528-L527)/(IF(ISNUMBER(G528),G528,F528)-IF(ISNUMBER(G527),G527,F527)))</f>
        <v/>
      </c>
      <c r="W528" s="30">
        <f>IF(NOT(AND(ISNUMBER(N528),ISNUMBER(P528))),"",(P528-N528)*1440)</f>
        <v/>
      </c>
      <c r="X528" s="28" t="n"/>
      <c r="Y528" s="28" t="n"/>
      <c r="Z528" s="28" t="n"/>
      <c r="AA528" s="31" t="n"/>
      <c r="AB528" s="31" t="n"/>
    </row>
    <row r="529">
      <c r="A529" s="25" t="inlineStr">
        <is>
          <t>S11</t>
        </is>
      </c>
      <c r="B529" s="25" t="inlineStr">
        <is>
          <t>소천 신규점4</t>
        </is>
      </c>
      <c r="C529" s="25" t="inlineStr">
        <is>
          <t>S11-H동</t>
        </is>
      </c>
      <c r="D529" s="25" t="inlineStr">
        <is>
          <t>측정</t>
        </is>
      </c>
      <c r="E529" s="25" t="inlineStr">
        <is>
          <t>동</t>
        </is>
      </c>
      <c r="F529" s="30" t="n">
        <v>3</v>
      </c>
      <c r="G529" s="29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IF(COUNTIFS($C:$C,$C529,$D:$D,"P0(전)",$L:$L,"&gt;0")&lt;&gt;1,"P0(전) 유효 1개 아님",IF(COUNTIFS($C:$C,$C529,$D:$D,"P0(후)",$L:$L,"&gt;0")&lt;&gt;1,"P0(후) 유효 1개 아님",IF(NOT(AND(ISNUMBER(N529),ISNUMBER(P529),ISNUMBER(H529))),"시각 결측",IF(P529&lt;=N529,"P0 시각 역전",IF(OR(H529&lt;N529,H529&gt;P529),"측정시각 구간 밖","OK")))))</f>
        <v/>
      </c>
      <c r="N529" s="45">
        <f>IF(COUNTIFS($C:$C,$C529,$D:$D,"P0(전)",$L:$L,"&gt;0")&lt;&gt;1,"",SUMIFS($H:$H,$C:$C,$C529,$D:$D,"P0(전)"))</f>
        <v/>
      </c>
      <c r="O529" s="30">
        <f>IF(COUNTIFS($C:$C,$C529,$D:$D,"P0(전)",$L:$L,"&gt;0")&lt;&gt;1,"",SUMIFS($L:$L,$C:$C,$C529,$D:$D,"P0(전)"))</f>
        <v/>
      </c>
      <c r="P529" s="45">
        <f>IF(COUNTIFS($C:$C,$C529,$D:$D,"P0(후)",$L:$L,"&gt;0")&lt;&gt;1,"",SUMIFS($H:$H,$C:$C,$C529,$D:$D,"P0(후)"))</f>
        <v/>
      </c>
      <c r="Q529" s="30">
        <f>IF(COUNTIFS($C:$C,$C529,$D:$D,"P0(후)",$L:$L,"&gt;0")&lt;&gt;1,"",SUMIFS($L:$L,$C:$C,$C529,$D:$D,"P0(후)"))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IF(OR(NOT(ISNUMBER(S529)),IF(ISNUMBER(G529),G529,F529)=0),"",S529/IF(ISNUMBER(G529),G529,F529))</f>
        <v/>
      </c>
      <c r="U529" s="46">
        <f>IF(ISNUMBER(T529),ABS(T529),"")</f>
        <v/>
      </c>
      <c r="V529" s="46">
        <f>IF(OR($D528&lt;&gt;"측정",$C528&lt;&gt;$C529,NOT(ISNUMBER(L529)),NOT(ISNUMBER(L528)),(IF(ISNUMBER(G529),G529,F529)-IF(ISNUMBER(G528),G528,F528))=0),"",(L529-L528)/(IF(ISNUMBER(G529),G529,F529)-IF(ISNUMBER(G528),G528,F528)))</f>
        <v/>
      </c>
      <c r="W529" s="30">
        <f>IF(NOT(AND(ISNUMBER(N529),ISNUMBER(P529))),"",(P529-N529)*1440)</f>
        <v/>
      </c>
      <c r="X529" s="28" t="n"/>
      <c r="Y529" s="28" t="n"/>
      <c r="Z529" s="28" t="n"/>
      <c r="AA529" s="31" t="n"/>
      <c r="AB529" s="31" t="n"/>
    </row>
    <row r="530">
      <c r="A530" s="25" t="inlineStr">
        <is>
          <t>S11</t>
        </is>
      </c>
      <c r="B530" s="25" t="inlineStr">
        <is>
          <t>소천 신규점4</t>
        </is>
      </c>
      <c r="C530" s="25" t="inlineStr">
        <is>
          <t>S11-H동</t>
        </is>
      </c>
      <c r="D530" s="25" t="inlineStr">
        <is>
          <t>측정</t>
        </is>
      </c>
      <c r="E530" s="25" t="inlineStr">
        <is>
          <t>동</t>
        </is>
      </c>
      <c r="F530" s="30" t="n">
        <v>4</v>
      </c>
      <c r="G530" s="29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IF(COUNTIFS($C:$C,$C530,$D:$D,"P0(전)",$L:$L,"&gt;0")&lt;&gt;1,"P0(전) 유효 1개 아님",IF(COUNTIFS($C:$C,$C530,$D:$D,"P0(후)",$L:$L,"&gt;0")&lt;&gt;1,"P0(후) 유효 1개 아님",IF(NOT(AND(ISNUMBER(N530),ISNUMBER(P530),ISNUMBER(H530))),"시각 결측",IF(P530&lt;=N530,"P0 시각 역전",IF(OR(H530&lt;N530,H530&gt;P530),"측정시각 구간 밖","OK")))))</f>
        <v/>
      </c>
      <c r="N530" s="45">
        <f>IF(COUNTIFS($C:$C,$C530,$D:$D,"P0(전)",$L:$L,"&gt;0")&lt;&gt;1,"",SUMIFS($H:$H,$C:$C,$C530,$D:$D,"P0(전)"))</f>
        <v/>
      </c>
      <c r="O530" s="30">
        <f>IF(COUNTIFS($C:$C,$C530,$D:$D,"P0(전)",$L:$L,"&gt;0")&lt;&gt;1,"",SUMIFS($L:$L,$C:$C,$C530,$D:$D,"P0(전)"))</f>
        <v/>
      </c>
      <c r="P530" s="45">
        <f>IF(COUNTIFS($C:$C,$C530,$D:$D,"P0(후)",$L:$L,"&gt;0")&lt;&gt;1,"",SUMIFS($H:$H,$C:$C,$C530,$D:$D,"P0(후)"))</f>
        <v/>
      </c>
      <c r="Q530" s="30">
        <f>IF(COUNTIFS($C:$C,$C530,$D:$D,"P0(후)",$L:$L,"&gt;0")&lt;&gt;1,"",SUMIFS($L:$L,$C:$C,$C530,$D:$D,"P0(후)"))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IF(OR(NOT(ISNUMBER(S530)),IF(ISNUMBER(G530),G530,F530)=0),"",S530/IF(ISNUMBER(G530),G530,F530))</f>
        <v/>
      </c>
      <c r="U530" s="46">
        <f>IF(ISNUMBER(T530),ABS(T530),"")</f>
        <v/>
      </c>
      <c r="V530" s="46">
        <f>IF(OR($D529&lt;&gt;"측정",$C529&lt;&gt;$C530,NOT(ISNUMBER(L530)),NOT(ISNUMBER(L529)),(IF(ISNUMBER(G530),G530,F530)-IF(ISNUMBER(G529),G529,F529))=0),"",(L530-L529)/(IF(ISNUMBER(G530),G530,F530)-IF(ISNUMBER(G529),G529,F529)))</f>
        <v/>
      </c>
      <c r="W530" s="30">
        <f>IF(NOT(AND(ISNUMBER(N530),ISNUMBER(P530))),"",(P530-N530)*1440)</f>
        <v/>
      </c>
      <c r="X530" s="28" t="n"/>
      <c r="Y530" s="28" t="n"/>
      <c r="Z530" s="28" t="n"/>
      <c r="AA530" s="31" t="n"/>
      <c r="AB530" s="31" t="n"/>
    </row>
    <row r="531">
      <c r="A531" s="25" t="inlineStr">
        <is>
          <t>S11</t>
        </is>
      </c>
      <c r="B531" s="25" t="inlineStr">
        <is>
          <t>소천 신규점4</t>
        </is>
      </c>
      <c r="C531" s="25" t="inlineStr">
        <is>
          <t>S11-H동</t>
        </is>
      </c>
      <c r="D531" s="25" t="inlineStr">
        <is>
          <t>측정</t>
        </is>
      </c>
      <c r="E531" s="25" t="inlineStr">
        <is>
          <t>동</t>
        </is>
      </c>
      <c r="F531" s="30" t="n">
        <v>5</v>
      </c>
      <c r="G531" s="29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IF(COUNTIFS($C:$C,$C531,$D:$D,"P0(전)",$L:$L,"&gt;0")&lt;&gt;1,"P0(전) 유효 1개 아님",IF(COUNTIFS($C:$C,$C531,$D:$D,"P0(후)",$L:$L,"&gt;0")&lt;&gt;1,"P0(후) 유효 1개 아님",IF(NOT(AND(ISNUMBER(N531),ISNUMBER(P531),ISNUMBER(H531))),"시각 결측",IF(P531&lt;=N531,"P0 시각 역전",IF(OR(H531&lt;N531,H531&gt;P531),"측정시각 구간 밖","OK")))))</f>
        <v/>
      </c>
      <c r="N531" s="45">
        <f>IF(COUNTIFS($C:$C,$C531,$D:$D,"P0(전)",$L:$L,"&gt;0")&lt;&gt;1,"",SUMIFS($H:$H,$C:$C,$C531,$D:$D,"P0(전)"))</f>
        <v/>
      </c>
      <c r="O531" s="30">
        <f>IF(COUNTIFS($C:$C,$C531,$D:$D,"P0(전)",$L:$L,"&gt;0")&lt;&gt;1,"",SUMIFS($L:$L,$C:$C,$C531,$D:$D,"P0(전)"))</f>
        <v/>
      </c>
      <c r="P531" s="45">
        <f>IF(COUNTIFS($C:$C,$C531,$D:$D,"P0(후)",$L:$L,"&gt;0")&lt;&gt;1,"",SUMIFS($H:$H,$C:$C,$C531,$D:$D,"P0(후)"))</f>
        <v/>
      </c>
      <c r="Q531" s="30">
        <f>IF(COUNTIFS($C:$C,$C531,$D:$D,"P0(후)",$L:$L,"&gt;0")&lt;&gt;1,"",SUMIFS($L:$L,$C:$C,$C531,$D:$D,"P0(후)"))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IF(OR(NOT(ISNUMBER(S531)),IF(ISNUMBER(G531),G531,F531)=0),"",S531/IF(ISNUMBER(G531),G531,F531))</f>
        <v/>
      </c>
      <c r="U531" s="46">
        <f>IF(ISNUMBER(T531),ABS(T531),"")</f>
        <v/>
      </c>
      <c r="V531" s="46">
        <f>IF(OR($D530&lt;&gt;"측정",$C530&lt;&gt;$C531,NOT(ISNUMBER(L531)),NOT(ISNUMBER(L530)),(IF(ISNUMBER(G531),G531,F531)-IF(ISNUMBER(G530),G530,F530))=0),"",(L531-L530)/(IF(ISNUMBER(G531),G531,F531)-IF(ISNUMBER(G530),G530,F530)))</f>
        <v/>
      </c>
      <c r="W531" s="30">
        <f>IF(NOT(AND(ISNUMBER(N531),ISNUMBER(P531))),"",(P531-N531)*1440)</f>
        <v/>
      </c>
      <c r="X531" s="28" t="n"/>
      <c r="Y531" s="28" t="n"/>
      <c r="Z531" s="28" t="n"/>
      <c r="AA531" s="31" t="n"/>
      <c r="AB531" s="31" t="n"/>
    </row>
    <row r="532">
      <c r="A532" s="25" t="inlineStr">
        <is>
          <t>S11</t>
        </is>
      </c>
      <c r="B532" s="25" t="inlineStr">
        <is>
          <t>소천 신규점4</t>
        </is>
      </c>
      <c r="C532" s="25" t="inlineStr">
        <is>
          <t>S11-H동</t>
        </is>
      </c>
      <c r="D532" s="25" t="inlineStr">
        <is>
          <t>측정</t>
        </is>
      </c>
      <c r="E532" s="25" t="inlineStr">
        <is>
          <t>동</t>
        </is>
      </c>
      <c r="F532" s="30" t="n">
        <v>6</v>
      </c>
      <c r="G532" s="29" t="n"/>
      <c r="H532" s="42" t="n"/>
      <c r="I532" s="40" t="n"/>
      <c r="J532" s="40" t="n"/>
      <c r="K532" s="40" t="n"/>
      <c r="L532" s="30">
        <f>IF(COUNT(I532:K532)=0,"",MEDIAN(I532:K532))</f>
        <v/>
      </c>
      <c r="M532" s="25">
        <f>IF(COUNTIFS($C:$C,$C532,$D:$D,"P0(전)",$L:$L,"&gt;0")&lt;&gt;1,"P0(전) 유효 1개 아님",IF(COUNTIFS($C:$C,$C532,$D:$D,"P0(후)",$L:$L,"&gt;0")&lt;&gt;1,"P0(후) 유효 1개 아님",IF(NOT(AND(ISNUMBER(N532),ISNUMBER(P532),ISNUMBER(H532))),"시각 결측",IF(P532&lt;=N532,"P0 시각 역전",IF(OR(H532&lt;N532,H532&gt;P532),"측정시각 구간 밖","OK")))))</f>
        <v/>
      </c>
      <c r="N532" s="45">
        <f>IF(COUNTIFS($C:$C,$C532,$D:$D,"P0(전)",$L:$L,"&gt;0")&lt;&gt;1,"",SUMIFS($H:$H,$C:$C,$C532,$D:$D,"P0(전)"))</f>
        <v/>
      </c>
      <c r="O532" s="30">
        <f>IF(COUNTIFS($C:$C,$C532,$D:$D,"P0(전)",$L:$L,"&gt;0")&lt;&gt;1,"",SUMIFS($L:$L,$C:$C,$C532,$D:$D,"P0(전)"))</f>
        <v/>
      </c>
      <c r="P532" s="45">
        <f>IF(COUNTIFS($C:$C,$C532,$D:$D,"P0(후)",$L:$L,"&gt;0")&lt;&gt;1,"",SUMIFS($H:$H,$C:$C,$C532,$D:$D,"P0(후)"))</f>
        <v/>
      </c>
      <c r="Q532" s="30">
        <f>IF(COUNTIFS($C:$C,$C532,$D:$D,"P0(후)",$L:$L,"&gt;0")&lt;&gt;1,"",SUMIFS($L:$L,$C:$C,$C532,$D:$D,"P0(후)"))</f>
        <v/>
      </c>
      <c r="R532" s="30">
        <f>IF(M532&lt;&gt;"OK","",O532+(Q532-O532)*(H532-N532)/(P532-N532))</f>
        <v/>
      </c>
      <c r="S532" s="30">
        <f>IF(OR(M532&lt;&gt;"OK",NOT(ISNUMBER(L532))),"",L532-R532)</f>
        <v/>
      </c>
      <c r="T532" s="46">
        <f>IF(OR(NOT(ISNUMBER(S532)),IF(ISNUMBER(G532),G532,F532)=0),"",S532/IF(ISNUMBER(G532),G532,F532))</f>
        <v/>
      </c>
      <c r="U532" s="46">
        <f>IF(ISNUMBER(T532),ABS(T532),"")</f>
        <v/>
      </c>
      <c r="V532" s="46">
        <f>IF(OR($D531&lt;&gt;"측정",$C531&lt;&gt;$C532,NOT(ISNUMBER(L532)),NOT(ISNUMBER(L531)),(IF(ISNUMBER(G532),G532,F532)-IF(ISNUMBER(G531),G531,F531))=0),"",(L532-L531)/(IF(ISNUMBER(G532),G532,F532)-IF(ISNUMBER(G531),G531,F531)))</f>
        <v/>
      </c>
      <c r="W532" s="30">
        <f>IF(NOT(AND(ISNUMBER(N532),ISNUMBER(P532))),"",(P532-N532)*1440)</f>
        <v/>
      </c>
      <c r="X532" s="28" t="n"/>
      <c r="Y532" s="28" t="n"/>
      <c r="Z532" s="28" t="n"/>
      <c r="AA532" s="31" t="n"/>
      <c r="AB532" s="31" t="n"/>
    </row>
    <row r="533">
      <c r="A533" s="25" t="inlineStr">
        <is>
          <t>S11</t>
        </is>
      </c>
      <c r="B533" s="25" t="inlineStr">
        <is>
          <t>소천 신규점4</t>
        </is>
      </c>
      <c r="C533" s="25" t="inlineStr">
        <is>
          <t>S11-H동</t>
        </is>
      </c>
      <c r="D533" s="25" t="inlineStr">
        <is>
          <t>측정</t>
        </is>
      </c>
      <c r="E533" s="25" t="inlineStr">
        <is>
          <t>동</t>
        </is>
      </c>
      <c r="F533" s="30" t="n">
        <v>7</v>
      </c>
      <c r="G533" s="29" t="n"/>
      <c r="H533" s="42" t="n"/>
      <c r="I533" s="40" t="n"/>
      <c r="J533" s="40" t="n"/>
      <c r="K533" s="40" t="n"/>
      <c r="L533" s="30">
        <f>IF(COUNT(I533:K533)=0,"",MEDIAN(I533:K533))</f>
        <v/>
      </c>
      <c r="M533" s="25">
        <f>IF(COUNTIFS($C:$C,$C533,$D:$D,"P0(전)",$L:$L,"&gt;0")&lt;&gt;1,"P0(전) 유효 1개 아님",IF(COUNTIFS($C:$C,$C533,$D:$D,"P0(후)",$L:$L,"&gt;0")&lt;&gt;1,"P0(후) 유효 1개 아님",IF(NOT(AND(ISNUMBER(N533),ISNUMBER(P533),ISNUMBER(H533))),"시각 결측",IF(P533&lt;=N533,"P0 시각 역전",IF(OR(H533&lt;N533,H533&gt;P533),"측정시각 구간 밖","OK")))))</f>
        <v/>
      </c>
      <c r="N533" s="45">
        <f>IF(COUNTIFS($C:$C,$C533,$D:$D,"P0(전)",$L:$L,"&gt;0")&lt;&gt;1,"",SUMIFS($H:$H,$C:$C,$C533,$D:$D,"P0(전)"))</f>
        <v/>
      </c>
      <c r="O533" s="30">
        <f>IF(COUNTIFS($C:$C,$C533,$D:$D,"P0(전)",$L:$L,"&gt;0")&lt;&gt;1,"",SUMIFS($L:$L,$C:$C,$C533,$D:$D,"P0(전)"))</f>
        <v/>
      </c>
      <c r="P533" s="45">
        <f>IF(COUNTIFS($C:$C,$C533,$D:$D,"P0(후)",$L:$L,"&gt;0")&lt;&gt;1,"",SUMIFS($H:$H,$C:$C,$C533,$D:$D,"P0(후)"))</f>
        <v/>
      </c>
      <c r="Q533" s="30">
        <f>IF(COUNTIFS($C:$C,$C533,$D:$D,"P0(후)",$L:$L,"&gt;0")&lt;&gt;1,"",SUMIFS($L:$L,$C:$C,$C533,$D:$D,"P0(후)"))</f>
        <v/>
      </c>
      <c r="R533" s="30">
        <f>IF(M533&lt;&gt;"OK","",O533+(Q533-O533)*(H533-N533)/(P533-N533))</f>
        <v/>
      </c>
      <c r="S533" s="30">
        <f>IF(OR(M533&lt;&gt;"OK",NOT(ISNUMBER(L533))),"",L533-R533)</f>
        <v/>
      </c>
      <c r="T533" s="46">
        <f>IF(OR(NOT(ISNUMBER(S533)),IF(ISNUMBER(G533),G533,F533)=0),"",S533/IF(ISNUMBER(G533),G533,F533))</f>
        <v/>
      </c>
      <c r="U533" s="46">
        <f>IF(ISNUMBER(T533),ABS(T533),"")</f>
        <v/>
      </c>
      <c r="V533" s="46">
        <f>IF(OR($D532&lt;&gt;"측정",$C532&lt;&gt;$C533,NOT(ISNUMBER(L533)),NOT(ISNUMBER(L532)),(IF(ISNUMBER(G533),G533,F533)-IF(ISNUMBER(G532),G532,F532))=0),"",(L533-L532)/(IF(ISNUMBER(G533),G533,F533)-IF(ISNUMBER(G532),G532,F532)))</f>
        <v/>
      </c>
      <c r="W533" s="30">
        <f>IF(NOT(AND(ISNUMBER(N533),ISNUMBER(P533))),"",(P533-N533)*1440)</f>
        <v/>
      </c>
      <c r="X533" s="28" t="n"/>
      <c r="Y533" s="28" t="n"/>
      <c r="Z533" s="28" t="n"/>
      <c r="AA533" s="31" t="n"/>
      <c r="AB533" s="31" t="n"/>
    </row>
    <row r="534">
      <c r="A534" s="25" t="inlineStr">
        <is>
          <t>S11</t>
        </is>
      </c>
      <c r="B534" s="25" t="inlineStr">
        <is>
          <t>소천 신규점4</t>
        </is>
      </c>
      <c r="C534" s="25" t="inlineStr">
        <is>
          <t>S11-H동</t>
        </is>
      </c>
      <c r="D534" s="25" t="inlineStr">
        <is>
          <t>측정</t>
        </is>
      </c>
      <c r="E534" s="25" t="inlineStr">
        <is>
          <t>동</t>
        </is>
      </c>
      <c r="F534" s="30" t="n">
        <v>8</v>
      </c>
      <c r="G534" s="29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IF(COUNTIFS($C:$C,$C534,$D:$D,"P0(전)",$L:$L,"&gt;0")&lt;&gt;1,"P0(전) 유효 1개 아님",IF(COUNTIFS($C:$C,$C534,$D:$D,"P0(후)",$L:$L,"&gt;0")&lt;&gt;1,"P0(후) 유효 1개 아님",IF(NOT(AND(ISNUMBER(N534),ISNUMBER(P534),ISNUMBER(H534))),"시각 결측",IF(P534&lt;=N534,"P0 시각 역전",IF(OR(H534&lt;N534,H534&gt;P534),"측정시각 구간 밖","OK")))))</f>
        <v/>
      </c>
      <c r="N534" s="45">
        <f>IF(COUNTIFS($C:$C,$C534,$D:$D,"P0(전)",$L:$L,"&gt;0")&lt;&gt;1,"",SUMIFS($H:$H,$C:$C,$C534,$D:$D,"P0(전)"))</f>
        <v/>
      </c>
      <c r="O534" s="30">
        <f>IF(COUNTIFS($C:$C,$C534,$D:$D,"P0(전)",$L:$L,"&gt;0")&lt;&gt;1,"",SUMIFS($L:$L,$C:$C,$C534,$D:$D,"P0(전)"))</f>
        <v/>
      </c>
      <c r="P534" s="45">
        <f>IF(COUNTIFS($C:$C,$C534,$D:$D,"P0(후)",$L:$L,"&gt;0")&lt;&gt;1,"",SUMIFS($H:$H,$C:$C,$C534,$D:$D,"P0(후)"))</f>
        <v/>
      </c>
      <c r="Q534" s="30">
        <f>IF(COUNTIFS($C:$C,$C534,$D:$D,"P0(후)",$L:$L,"&gt;0")&lt;&gt;1,"",SUMIFS($L:$L,$C:$C,$C534,$D:$D,"P0(후)"))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IF(OR(NOT(ISNUMBER(S534)),IF(ISNUMBER(G534),G534,F534)=0),"",S534/IF(ISNUMBER(G534),G534,F534))</f>
        <v/>
      </c>
      <c r="U534" s="46">
        <f>IF(ISNUMBER(T534),ABS(T534),"")</f>
        <v/>
      </c>
      <c r="V534" s="46">
        <f>IF(OR($D533&lt;&gt;"측정",$C533&lt;&gt;$C534,NOT(ISNUMBER(L534)),NOT(ISNUMBER(L533)),(IF(ISNUMBER(G534),G534,F534)-IF(ISNUMBER(G533),G533,F533))=0),"",(L534-L533)/(IF(ISNUMBER(G534),G534,F534)-IF(ISNUMBER(G533),G533,F533)))</f>
        <v/>
      </c>
      <c r="W534" s="30">
        <f>IF(NOT(AND(ISNUMBER(N534),ISNUMBER(P534))),"",(P534-N534)*1440)</f>
        <v/>
      </c>
      <c r="X534" s="28" t="n"/>
      <c r="Y534" s="28" t="n"/>
      <c r="Z534" s="28" t="n"/>
      <c r="AA534" s="31" t="n"/>
      <c r="AB534" s="31" t="n"/>
    </row>
    <row r="535">
      <c r="A535" s="25" t="inlineStr">
        <is>
          <t>S11</t>
        </is>
      </c>
      <c r="B535" s="25" t="inlineStr">
        <is>
          <t>소천 신규점4</t>
        </is>
      </c>
      <c r="C535" s="25" t="inlineStr">
        <is>
          <t>S11-H동</t>
        </is>
      </c>
      <c r="D535" s="25" t="inlineStr">
        <is>
          <t>측정</t>
        </is>
      </c>
      <c r="E535" s="25" t="inlineStr">
        <is>
          <t>동</t>
        </is>
      </c>
      <c r="F535" s="30" t="n">
        <v>9</v>
      </c>
      <c r="G535" s="29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IF(COUNTIFS($C:$C,$C535,$D:$D,"P0(전)",$L:$L,"&gt;0")&lt;&gt;1,"P0(전) 유효 1개 아님",IF(COUNTIFS($C:$C,$C535,$D:$D,"P0(후)",$L:$L,"&gt;0")&lt;&gt;1,"P0(후) 유효 1개 아님",IF(NOT(AND(ISNUMBER(N535),ISNUMBER(P535),ISNUMBER(H535))),"시각 결측",IF(P535&lt;=N535,"P0 시각 역전",IF(OR(H535&lt;N535,H535&gt;P535),"측정시각 구간 밖","OK")))))</f>
        <v/>
      </c>
      <c r="N535" s="45">
        <f>IF(COUNTIFS($C:$C,$C535,$D:$D,"P0(전)",$L:$L,"&gt;0")&lt;&gt;1,"",SUMIFS($H:$H,$C:$C,$C535,$D:$D,"P0(전)"))</f>
        <v/>
      </c>
      <c r="O535" s="30">
        <f>IF(COUNTIFS($C:$C,$C535,$D:$D,"P0(전)",$L:$L,"&gt;0")&lt;&gt;1,"",SUMIFS($L:$L,$C:$C,$C535,$D:$D,"P0(전)"))</f>
        <v/>
      </c>
      <c r="P535" s="45">
        <f>IF(COUNTIFS($C:$C,$C535,$D:$D,"P0(후)",$L:$L,"&gt;0")&lt;&gt;1,"",SUMIFS($H:$H,$C:$C,$C535,$D:$D,"P0(후)"))</f>
        <v/>
      </c>
      <c r="Q535" s="30">
        <f>IF(COUNTIFS($C:$C,$C535,$D:$D,"P0(후)",$L:$L,"&gt;0")&lt;&gt;1,"",SUMIFS($L:$L,$C:$C,$C535,$D:$D,"P0(후)"))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IF(OR(NOT(ISNUMBER(S535)),IF(ISNUMBER(G535),G535,F535)=0),"",S535/IF(ISNUMBER(G535),G535,F535))</f>
        <v/>
      </c>
      <c r="U535" s="46">
        <f>IF(ISNUMBER(T535),ABS(T535),"")</f>
        <v/>
      </c>
      <c r="V535" s="46">
        <f>IF(OR($D534&lt;&gt;"측정",$C534&lt;&gt;$C535,NOT(ISNUMBER(L535)),NOT(ISNUMBER(L534)),(IF(ISNUMBER(G535),G535,F535)-IF(ISNUMBER(G534),G534,F534))=0),"",(L535-L534)/(IF(ISNUMBER(G535),G535,F535)-IF(ISNUMBER(G534),G534,F534)))</f>
        <v/>
      </c>
      <c r="W535" s="30">
        <f>IF(NOT(AND(ISNUMBER(N535),ISNUMBER(P535))),"",(P535-N535)*1440)</f>
        <v/>
      </c>
      <c r="X535" s="28" t="n"/>
      <c r="Y535" s="28" t="n"/>
      <c r="Z535" s="28" t="n"/>
      <c r="AA535" s="31" t="n"/>
      <c r="AB535" s="31" t="n"/>
    </row>
    <row r="536">
      <c r="A536" s="25" t="inlineStr">
        <is>
          <t>S11</t>
        </is>
      </c>
      <c r="B536" s="25" t="inlineStr">
        <is>
          <t>소천 신규점4</t>
        </is>
      </c>
      <c r="C536" s="25" t="inlineStr">
        <is>
          <t>S11-H동</t>
        </is>
      </c>
      <c r="D536" s="25" t="inlineStr">
        <is>
          <t>측정</t>
        </is>
      </c>
      <c r="E536" s="25" t="inlineStr">
        <is>
          <t>동</t>
        </is>
      </c>
      <c r="F536" s="30" t="n">
        <v>10</v>
      </c>
      <c r="G536" s="29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IF(COUNTIFS($C:$C,$C536,$D:$D,"P0(전)",$L:$L,"&gt;0")&lt;&gt;1,"P0(전) 유효 1개 아님",IF(COUNTIFS($C:$C,$C536,$D:$D,"P0(후)",$L:$L,"&gt;0")&lt;&gt;1,"P0(후) 유효 1개 아님",IF(NOT(AND(ISNUMBER(N536),ISNUMBER(P536),ISNUMBER(H536))),"시각 결측",IF(P536&lt;=N536,"P0 시각 역전",IF(OR(H536&lt;N536,H536&gt;P536),"측정시각 구간 밖","OK")))))</f>
        <v/>
      </c>
      <c r="N536" s="45">
        <f>IF(COUNTIFS($C:$C,$C536,$D:$D,"P0(전)",$L:$L,"&gt;0")&lt;&gt;1,"",SUMIFS($H:$H,$C:$C,$C536,$D:$D,"P0(전)"))</f>
        <v/>
      </c>
      <c r="O536" s="30">
        <f>IF(COUNTIFS($C:$C,$C536,$D:$D,"P0(전)",$L:$L,"&gt;0")&lt;&gt;1,"",SUMIFS($L:$L,$C:$C,$C536,$D:$D,"P0(전)"))</f>
        <v/>
      </c>
      <c r="P536" s="45">
        <f>IF(COUNTIFS($C:$C,$C536,$D:$D,"P0(후)",$L:$L,"&gt;0")&lt;&gt;1,"",SUMIFS($H:$H,$C:$C,$C536,$D:$D,"P0(후)"))</f>
        <v/>
      </c>
      <c r="Q536" s="30">
        <f>IF(COUNTIFS($C:$C,$C536,$D:$D,"P0(후)",$L:$L,"&gt;0")&lt;&gt;1,"",SUMIFS($L:$L,$C:$C,$C536,$D:$D,"P0(후)"))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IF(OR(NOT(ISNUMBER(S536)),IF(ISNUMBER(G536),G536,F536)=0),"",S536/IF(ISNUMBER(G536),G536,F536))</f>
        <v/>
      </c>
      <c r="U536" s="46">
        <f>IF(ISNUMBER(T536),ABS(T536),"")</f>
        <v/>
      </c>
      <c r="V536" s="46">
        <f>IF(OR($D535&lt;&gt;"측정",$C535&lt;&gt;$C536,NOT(ISNUMBER(L536)),NOT(ISNUMBER(L535)),(IF(ISNUMBER(G536),G536,F536)-IF(ISNUMBER(G535),G535,F535))=0),"",(L536-L535)/(IF(ISNUMBER(G536),G536,F536)-IF(ISNUMBER(G535),G535,F535)))</f>
        <v/>
      </c>
      <c r="W536" s="30">
        <f>IF(NOT(AND(ISNUMBER(N536),ISNUMBER(P536))),"",(P536-N536)*1440)</f>
        <v/>
      </c>
      <c r="X536" s="28" t="n"/>
      <c r="Y536" s="28" t="n"/>
      <c r="Z536" s="28" t="n"/>
      <c r="AA536" s="31" t="n"/>
      <c r="AB536" s="31" t="n"/>
    </row>
    <row r="537">
      <c r="A537" s="43" t="inlineStr">
        <is>
          <t>S11</t>
        </is>
      </c>
      <c r="B537" s="43" t="inlineStr">
        <is>
          <t>소천 신규점4</t>
        </is>
      </c>
      <c r="C537" s="43" t="inlineStr">
        <is>
          <t>S11-H동</t>
        </is>
      </c>
      <c r="D537" s="43" t="inlineStr">
        <is>
          <t>P0(후)</t>
        </is>
      </c>
      <c r="E537" s="43" t="inlineStr">
        <is>
          <t>동</t>
        </is>
      </c>
      <c r="F537" s="44" t="n"/>
      <c r="G537" s="29" t="n"/>
      <c r="H537" s="42" t="n"/>
      <c r="I537" s="40" t="n"/>
      <c r="J537" s="40" t="n"/>
      <c r="K537" s="40" t="n"/>
      <c r="L537" s="30">
        <f>IF(COUNT(I537:K537)=0,"",MEDIAN(I537:K537))</f>
        <v/>
      </c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28" t="n"/>
      <c r="Y537" s="28" t="n"/>
      <c r="Z537" s="28" t="n"/>
      <c r="AA537" s="31" t="n"/>
      <c r="AB537" s="31" t="n"/>
    </row>
    <row r="538">
      <c r="A538" s="43" t="inlineStr">
        <is>
          <t>S11</t>
        </is>
      </c>
      <c r="B538" s="43" t="inlineStr">
        <is>
          <t>소천 신규점4</t>
        </is>
      </c>
      <c r="C538" s="43" t="inlineStr">
        <is>
          <t>S11-H서</t>
        </is>
      </c>
      <c r="D538" s="43" t="inlineStr">
        <is>
          <t>P0(전)</t>
        </is>
      </c>
      <c r="E538" s="43" t="inlineStr">
        <is>
          <t>서</t>
        </is>
      </c>
      <c r="F538" s="44" t="n"/>
      <c r="G538" s="29" t="n"/>
      <c r="H538" s="42" t="n"/>
      <c r="I538" s="40" t="n"/>
      <c r="J538" s="40" t="n"/>
      <c r="K538" s="40" t="n"/>
      <c r="L538" s="30">
        <f>IF(COUNT(I538:K538)=0,"",MEDIAN(I538:K538))</f>
        <v/>
      </c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28" t="n"/>
      <c r="Y538" s="28" t="n"/>
      <c r="Z538" s="28" t="n"/>
      <c r="AA538" s="31" t="n"/>
      <c r="AB538" s="31" t="n"/>
    </row>
    <row r="539">
      <c r="A539" s="25" t="inlineStr">
        <is>
          <t>S11</t>
        </is>
      </c>
      <c r="B539" s="25" t="inlineStr">
        <is>
          <t>소천 신규점4</t>
        </is>
      </c>
      <c r="C539" s="25" t="inlineStr">
        <is>
          <t>S11-H서</t>
        </is>
      </c>
      <c r="D539" s="25" t="inlineStr">
        <is>
          <t>측정</t>
        </is>
      </c>
      <c r="E539" s="25" t="inlineStr">
        <is>
          <t>서</t>
        </is>
      </c>
      <c r="F539" s="30" t="n">
        <v>0.5</v>
      </c>
      <c r="G539" s="29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IF(COUNTIFS($C:$C,$C539,$D:$D,"P0(전)",$L:$L,"&gt;0")&lt;&gt;1,"P0(전) 유효 1개 아님",IF(COUNTIFS($C:$C,$C539,$D:$D,"P0(후)",$L:$L,"&gt;0")&lt;&gt;1,"P0(후) 유효 1개 아님",IF(NOT(AND(ISNUMBER(N539),ISNUMBER(P539),ISNUMBER(H539))),"시각 결측",IF(P539&lt;=N539,"P0 시각 역전",IF(OR(H539&lt;N539,H539&gt;P539),"측정시각 구간 밖","OK")))))</f>
        <v/>
      </c>
      <c r="N539" s="45">
        <f>IF(COUNTIFS($C:$C,$C539,$D:$D,"P0(전)",$L:$L,"&gt;0")&lt;&gt;1,"",SUMIFS($H:$H,$C:$C,$C539,$D:$D,"P0(전)"))</f>
        <v/>
      </c>
      <c r="O539" s="30">
        <f>IF(COUNTIFS($C:$C,$C539,$D:$D,"P0(전)",$L:$L,"&gt;0")&lt;&gt;1,"",SUMIFS($L:$L,$C:$C,$C539,$D:$D,"P0(전)"))</f>
        <v/>
      </c>
      <c r="P539" s="45">
        <f>IF(COUNTIFS($C:$C,$C539,$D:$D,"P0(후)",$L:$L,"&gt;0")&lt;&gt;1,"",SUMIFS($H:$H,$C:$C,$C539,$D:$D,"P0(후)"))</f>
        <v/>
      </c>
      <c r="Q539" s="30">
        <f>IF(COUNTIFS($C:$C,$C539,$D:$D,"P0(후)",$L:$L,"&gt;0")&lt;&gt;1,"",SUMIFS($L:$L,$C:$C,$C539,$D:$D,"P0(후)"))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IF(OR(NOT(ISNUMBER(S539)),IF(ISNUMBER(G539),G539,F539)=0),"",S539/IF(ISNUMBER(G539),G539,F539))</f>
        <v/>
      </c>
      <c r="U539" s="46">
        <f>IF(ISNUMBER(T539),ABS(T539),"")</f>
        <v/>
      </c>
      <c r="V539" s="46">
        <f>IF(OR($D538&lt;&gt;"측정",$C538&lt;&gt;$C539,NOT(ISNUMBER(L539)),NOT(ISNUMBER(L538)),(IF(ISNUMBER(G539),G539,F539)-IF(ISNUMBER(G538),G538,F538))=0),"",(L539-L538)/(IF(ISNUMBER(G539),G539,F539)-IF(ISNUMBER(G538),G538,F538)))</f>
        <v/>
      </c>
      <c r="W539" s="30">
        <f>IF(NOT(AND(ISNUMBER(N539),ISNUMBER(P539))),"",(P539-N539)*1440)</f>
        <v/>
      </c>
      <c r="X539" s="28" t="n"/>
      <c r="Y539" s="28" t="n"/>
      <c r="Z539" s="28" t="n"/>
      <c r="AA539" s="31" t="n"/>
      <c r="AB539" s="31" t="n"/>
    </row>
    <row r="540">
      <c r="A540" s="25" t="inlineStr">
        <is>
          <t>S11</t>
        </is>
      </c>
      <c r="B540" s="25" t="inlineStr">
        <is>
          <t>소천 신규점4</t>
        </is>
      </c>
      <c r="C540" s="25" t="inlineStr">
        <is>
          <t>S11-H서</t>
        </is>
      </c>
      <c r="D540" s="25" t="inlineStr">
        <is>
          <t>측정</t>
        </is>
      </c>
      <c r="E540" s="25" t="inlineStr">
        <is>
          <t>서</t>
        </is>
      </c>
      <c r="F540" s="30" t="n">
        <v>1</v>
      </c>
      <c r="G540" s="29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IF(COUNTIFS($C:$C,$C540,$D:$D,"P0(전)",$L:$L,"&gt;0")&lt;&gt;1,"P0(전) 유효 1개 아님",IF(COUNTIFS($C:$C,$C540,$D:$D,"P0(후)",$L:$L,"&gt;0")&lt;&gt;1,"P0(후) 유효 1개 아님",IF(NOT(AND(ISNUMBER(N540),ISNUMBER(P540),ISNUMBER(H540))),"시각 결측",IF(P540&lt;=N540,"P0 시각 역전",IF(OR(H540&lt;N540,H540&gt;P540),"측정시각 구간 밖","OK")))))</f>
        <v/>
      </c>
      <c r="N540" s="45">
        <f>IF(COUNTIFS($C:$C,$C540,$D:$D,"P0(전)",$L:$L,"&gt;0")&lt;&gt;1,"",SUMIFS($H:$H,$C:$C,$C540,$D:$D,"P0(전)"))</f>
        <v/>
      </c>
      <c r="O540" s="30">
        <f>IF(COUNTIFS($C:$C,$C540,$D:$D,"P0(전)",$L:$L,"&gt;0")&lt;&gt;1,"",SUMIFS($L:$L,$C:$C,$C540,$D:$D,"P0(전)"))</f>
        <v/>
      </c>
      <c r="P540" s="45">
        <f>IF(COUNTIFS($C:$C,$C540,$D:$D,"P0(후)",$L:$L,"&gt;0")&lt;&gt;1,"",SUMIFS($H:$H,$C:$C,$C540,$D:$D,"P0(후)"))</f>
        <v/>
      </c>
      <c r="Q540" s="30">
        <f>IF(COUNTIFS($C:$C,$C540,$D:$D,"P0(후)",$L:$L,"&gt;0")&lt;&gt;1,"",SUMIFS($L:$L,$C:$C,$C540,$D:$D,"P0(후)"))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IF(OR(NOT(ISNUMBER(S540)),IF(ISNUMBER(G540),G540,F540)=0),"",S540/IF(ISNUMBER(G540),G540,F540))</f>
        <v/>
      </c>
      <c r="U540" s="46">
        <f>IF(ISNUMBER(T540),ABS(T540),"")</f>
        <v/>
      </c>
      <c r="V540" s="46">
        <f>IF(OR($D539&lt;&gt;"측정",$C539&lt;&gt;$C540,NOT(ISNUMBER(L540)),NOT(ISNUMBER(L539)),(IF(ISNUMBER(G540),G540,F540)-IF(ISNUMBER(G539),G539,F539))=0),"",(L540-L539)/(IF(ISNUMBER(G540),G540,F540)-IF(ISNUMBER(G539),G539,F539)))</f>
        <v/>
      </c>
      <c r="W540" s="30">
        <f>IF(NOT(AND(ISNUMBER(N540),ISNUMBER(P540))),"",(P540-N540)*1440)</f>
        <v/>
      </c>
      <c r="X540" s="28" t="n"/>
      <c r="Y540" s="28" t="n"/>
      <c r="Z540" s="28" t="n"/>
      <c r="AA540" s="31" t="n"/>
      <c r="AB540" s="31" t="n"/>
    </row>
    <row r="541">
      <c r="A541" s="25" t="inlineStr">
        <is>
          <t>S11</t>
        </is>
      </c>
      <c r="B541" s="25" t="inlineStr">
        <is>
          <t>소천 신규점4</t>
        </is>
      </c>
      <c r="C541" s="25" t="inlineStr">
        <is>
          <t>S11-H서</t>
        </is>
      </c>
      <c r="D541" s="25" t="inlineStr">
        <is>
          <t>측정</t>
        </is>
      </c>
      <c r="E541" s="25" t="inlineStr">
        <is>
          <t>서</t>
        </is>
      </c>
      <c r="F541" s="30" t="n">
        <v>2</v>
      </c>
      <c r="G541" s="29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IF(COUNTIFS($C:$C,$C541,$D:$D,"P0(전)",$L:$L,"&gt;0")&lt;&gt;1,"P0(전) 유효 1개 아님",IF(COUNTIFS($C:$C,$C541,$D:$D,"P0(후)",$L:$L,"&gt;0")&lt;&gt;1,"P0(후) 유효 1개 아님",IF(NOT(AND(ISNUMBER(N541),ISNUMBER(P541),ISNUMBER(H541))),"시각 결측",IF(P541&lt;=N541,"P0 시각 역전",IF(OR(H541&lt;N541,H541&gt;P541),"측정시각 구간 밖","OK")))))</f>
        <v/>
      </c>
      <c r="N541" s="45">
        <f>IF(COUNTIFS($C:$C,$C541,$D:$D,"P0(전)",$L:$L,"&gt;0")&lt;&gt;1,"",SUMIFS($H:$H,$C:$C,$C541,$D:$D,"P0(전)"))</f>
        <v/>
      </c>
      <c r="O541" s="30">
        <f>IF(COUNTIFS($C:$C,$C541,$D:$D,"P0(전)",$L:$L,"&gt;0")&lt;&gt;1,"",SUMIFS($L:$L,$C:$C,$C541,$D:$D,"P0(전)"))</f>
        <v/>
      </c>
      <c r="P541" s="45">
        <f>IF(COUNTIFS($C:$C,$C541,$D:$D,"P0(후)",$L:$L,"&gt;0")&lt;&gt;1,"",SUMIFS($H:$H,$C:$C,$C541,$D:$D,"P0(후)"))</f>
        <v/>
      </c>
      <c r="Q541" s="30">
        <f>IF(COUNTIFS($C:$C,$C541,$D:$D,"P0(후)",$L:$L,"&gt;0")&lt;&gt;1,"",SUMIFS($L:$L,$C:$C,$C541,$D:$D,"P0(후)"))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IF(OR(NOT(ISNUMBER(S541)),IF(ISNUMBER(G541),G541,F541)=0),"",S541/IF(ISNUMBER(G541),G541,F541))</f>
        <v/>
      </c>
      <c r="U541" s="46">
        <f>IF(ISNUMBER(T541),ABS(T541),"")</f>
        <v/>
      </c>
      <c r="V541" s="46">
        <f>IF(OR($D540&lt;&gt;"측정",$C540&lt;&gt;$C541,NOT(ISNUMBER(L541)),NOT(ISNUMBER(L540)),(IF(ISNUMBER(G541),G541,F541)-IF(ISNUMBER(G540),G540,F540))=0),"",(L541-L540)/(IF(ISNUMBER(G541),G541,F541)-IF(ISNUMBER(G540),G540,F540)))</f>
        <v/>
      </c>
      <c r="W541" s="30">
        <f>IF(NOT(AND(ISNUMBER(N541),ISNUMBER(P541))),"",(P541-N541)*1440)</f>
        <v/>
      </c>
      <c r="X541" s="28" t="n"/>
      <c r="Y541" s="28" t="n"/>
      <c r="Z541" s="28" t="n"/>
      <c r="AA541" s="31" t="n"/>
      <c r="AB541" s="31" t="n"/>
    </row>
    <row r="542">
      <c r="A542" s="25" t="inlineStr">
        <is>
          <t>S11</t>
        </is>
      </c>
      <c r="B542" s="25" t="inlineStr">
        <is>
          <t>소천 신규점4</t>
        </is>
      </c>
      <c r="C542" s="25" t="inlineStr">
        <is>
          <t>S11-H서</t>
        </is>
      </c>
      <c r="D542" s="25" t="inlineStr">
        <is>
          <t>측정</t>
        </is>
      </c>
      <c r="E542" s="25" t="inlineStr">
        <is>
          <t>서</t>
        </is>
      </c>
      <c r="F542" s="30" t="n">
        <v>3</v>
      </c>
      <c r="G542" s="29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IF(COUNTIFS($C:$C,$C542,$D:$D,"P0(전)",$L:$L,"&gt;0")&lt;&gt;1,"P0(전) 유효 1개 아님",IF(COUNTIFS($C:$C,$C542,$D:$D,"P0(후)",$L:$L,"&gt;0")&lt;&gt;1,"P0(후) 유효 1개 아님",IF(NOT(AND(ISNUMBER(N542),ISNUMBER(P542),ISNUMBER(H542))),"시각 결측",IF(P542&lt;=N542,"P0 시각 역전",IF(OR(H542&lt;N542,H542&gt;P542),"측정시각 구간 밖","OK")))))</f>
        <v/>
      </c>
      <c r="N542" s="45">
        <f>IF(COUNTIFS($C:$C,$C542,$D:$D,"P0(전)",$L:$L,"&gt;0")&lt;&gt;1,"",SUMIFS($H:$H,$C:$C,$C542,$D:$D,"P0(전)"))</f>
        <v/>
      </c>
      <c r="O542" s="30">
        <f>IF(COUNTIFS($C:$C,$C542,$D:$D,"P0(전)",$L:$L,"&gt;0")&lt;&gt;1,"",SUMIFS($L:$L,$C:$C,$C542,$D:$D,"P0(전)"))</f>
        <v/>
      </c>
      <c r="P542" s="45">
        <f>IF(COUNTIFS($C:$C,$C542,$D:$D,"P0(후)",$L:$L,"&gt;0")&lt;&gt;1,"",SUMIFS($H:$H,$C:$C,$C542,$D:$D,"P0(후)"))</f>
        <v/>
      </c>
      <c r="Q542" s="30">
        <f>IF(COUNTIFS($C:$C,$C542,$D:$D,"P0(후)",$L:$L,"&gt;0")&lt;&gt;1,"",SUMIFS($L:$L,$C:$C,$C542,$D:$D,"P0(후)"))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IF(OR(NOT(ISNUMBER(S542)),IF(ISNUMBER(G542),G542,F542)=0),"",S542/IF(ISNUMBER(G542),G542,F542))</f>
        <v/>
      </c>
      <c r="U542" s="46">
        <f>IF(ISNUMBER(T542),ABS(T542),"")</f>
        <v/>
      </c>
      <c r="V542" s="46">
        <f>IF(OR($D541&lt;&gt;"측정",$C541&lt;&gt;$C542,NOT(ISNUMBER(L542)),NOT(ISNUMBER(L541)),(IF(ISNUMBER(G542),G542,F542)-IF(ISNUMBER(G541),G541,F541))=0),"",(L542-L541)/(IF(ISNUMBER(G542),G542,F542)-IF(ISNUMBER(G541),G541,F541)))</f>
        <v/>
      </c>
      <c r="W542" s="30">
        <f>IF(NOT(AND(ISNUMBER(N542),ISNUMBER(P542))),"",(P542-N542)*1440)</f>
        <v/>
      </c>
      <c r="X542" s="28" t="n"/>
      <c r="Y542" s="28" t="n"/>
      <c r="Z542" s="28" t="n"/>
      <c r="AA542" s="31" t="n"/>
      <c r="AB542" s="31" t="n"/>
    </row>
    <row r="543">
      <c r="A543" s="25" t="inlineStr">
        <is>
          <t>S11</t>
        </is>
      </c>
      <c r="B543" s="25" t="inlineStr">
        <is>
          <t>소천 신규점4</t>
        </is>
      </c>
      <c r="C543" s="25" t="inlineStr">
        <is>
          <t>S11-H서</t>
        </is>
      </c>
      <c r="D543" s="25" t="inlineStr">
        <is>
          <t>측정</t>
        </is>
      </c>
      <c r="E543" s="25" t="inlineStr">
        <is>
          <t>서</t>
        </is>
      </c>
      <c r="F543" s="30" t="n">
        <v>4</v>
      </c>
      <c r="G543" s="29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IF(COUNTIFS($C:$C,$C543,$D:$D,"P0(전)",$L:$L,"&gt;0")&lt;&gt;1,"P0(전) 유효 1개 아님",IF(COUNTIFS($C:$C,$C543,$D:$D,"P0(후)",$L:$L,"&gt;0")&lt;&gt;1,"P0(후) 유효 1개 아님",IF(NOT(AND(ISNUMBER(N543),ISNUMBER(P543),ISNUMBER(H543))),"시각 결측",IF(P543&lt;=N543,"P0 시각 역전",IF(OR(H543&lt;N543,H543&gt;P543),"측정시각 구간 밖","OK")))))</f>
        <v/>
      </c>
      <c r="N543" s="45">
        <f>IF(COUNTIFS($C:$C,$C543,$D:$D,"P0(전)",$L:$L,"&gt;0")&lt;&gt;1,"",SUMIFS($H:$H,$C:$C,$C543,$D:$D,"P0(전)"))</f>
        <v/>
      </c>
      <c r="O543" s="30">
        <f>IF(COUNTIFS($C:$C,$C543,$D:$D,"P0(전)",$L:$L,"&gt;0")&lt;&gt;1,"",SUMIFS($L:$L,$C:$C,$C543,$D:$D,"P0(전)"))</f>
        <v/>
      </c>
      <c r="P543" s="45">
        <f>IF(COUNTIFS($C:$C,$C543,$D:$D,"P0(후)",$L:$L,"&gt;0")&lt;&gt;1,"",SUMIFS($H:$H,$C:$C,$C543,$D:$D,"P0(후)"))</f>
        <v/>
      </c>
      <c r="Q543" s="30">
        <f>IF(COUNTIFS($C:$C,$C543,$D:$D,"P0(후)",$L:$L,"&gt;0")&lt;&gt;1,"",SUMIFS($L:$L,$C:$C,$C543,$D:$D,"P0(후)"))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IF(OR(NOT(ISNUMBER(S543)),IF(ISNUMBER(G543),G543,F543)=0),"",S543/IF(ISNUMBER(G543),G543,F543))</f>
        <v/>
      </c>
      <c r="U543" s="46">
        <f>IF(ISNUMBER(T543),ABS(T543),"")</f>
        <v/>
      </c>
      <c r="V543" s="46">
        <f>IF(OR($D542&lt;&gt;"측정",$C542&lt;&gt;$C543,NOT(ISNUMBER(L543)),NOT(ISNUMBER(L542)),(IF(ISNUMBER(G543),G543,F543)-IF(ISNUMBER(G542),G542,F542))=0),"",(L543-L542)/(IF(ISNUMBER(G543),G543,F543)-IF(ISNUMBER(G542),G542,F542)))</f>
        <v/>
      </c>
      <c r="W543" s="30">
        <f>IF(NOT(AND(ISNUMBER(N543),ISNUMBER(P543))),"",(P543-N543)*1440)</f>
        <v/>
      </c>
      <c r="X543" s="28" t="n"/>
      <c r="Y543" s="28" t="n"/>
      <c r="Z543" s="28" t="n"/>
      <c r="AA543" s="31" t="n"/>
      <c r="AB543" s="31" t="n"/>
    </row>
    <row r="544">
      <c r="A544" s="25" t="inlineStr">
        <is>
          <t>S11</t>
        </is>
      </c>
      <c r="B544" s="25" t="inlineStr">
        <is>
          <t>소천 신규점4</t>
        </is>
      </c>
      <c r="C544" s="25" t="inlineStr">
        <is>
          <t>S11-H서</t>
        </is>
      </c>
      <c r="D544" s="25" t="inlineStr">
        <is>
          <t>측정</t>
        </is>
      </c>
      <c r="E544" s="25" t="inlineStr">
        <is>
          <t>서</t>
        </is>
      </c>
      <c r="F544" s="30" t="n">
        <v>5</v>
      </c>
      <c r="G544" s="29" t="n"/>
      <c r="H544" s="42" t="n"/>
      <c r="I544" s="40" t="n"/>
      <c r="J544" s="40" t="n"/>
      <c r="K544" s="40" t="n"/>
      <c r="L544" s="30">
        <f>IF(COUNT(I544:K544)=0,"",MEDIAN(I544:K544))</f>
        <v/>
      </c>
      <c r="M544" s="25">
        <f>IF(COUNTIFS($C:$C,$C544,$D:$D,"P0(전)",$L:$L,"&gt;0")&lt;&gt;1,"P0(전) 유효 1개 아님",IF(COUNTIFS($C:$C,$C544,$D:$D,"P0(후)",$L:$L,"&gt;0")&lt;&gt;1,"P0(후) 유효 1개 아님",IF(NOT(AND(ISNUMBER(N544),ISNUMBER(P544),ISNUMBER(H544))),"시각 결측",IF(P544&lt;=N544,"P0 시각 역전",IF(OR(H544&lt;N544,H544&gt;P544),"측정시각 구간 밖","OK")))))</f>
        <v/>
      </c>
      <c r="N544" s="45">
        <f>IF(COUNTIFS($C:$C,$C544,$D:$D,"P0(전)",$L:$L,"&gt;0")&lt;&gt;1,"",SUMIFS($H:$H,$C:$C,$C544,$D:$D,"P0(전)"))</f>
        <v/>
      </c>
      <c r="O544" s="30">
        <f>IF(COUNTIFS($C:$C,$C544,$D:$D,"P0(전)",$L:$L,"&gt;0")&lt;&gt;1,"",SUMIFS($L:$L,$C:$C,$C544,$D:$D,"P0(전)"))</f>
        <v/>
      </c>
      <c r="P544" s="45">
        <f>IF(COUNTIFS($C:$C,$C544,$D:$D,"P0(후)",$L:$L,"&gt;0")&lt;&gt;1,"",SUMIFS($H:$H,$C:$C,$C544,$D:$D,"P0(후)"))</f>
        <v/>
      </c>
      <c r="Q544" s="30">
        <f>IF(COUNTIFS($C:$C,$C544,$D:$D,"P0(후)",$L:$L,"&gt;0")&lt;&gt;1,"",SUMIFS($L:$L,$C:$C,$C544,$D:$D,"P0(후)"))</f>
        <v/>
      </c>
      <c r="R544" s="30">
        <f>IF(M544&lt;&gt;"OK","",O544+(Q544-O544)*(H544-N544)/(P544-N544))</f>
        <v/>
      </c>
      <c r="S544" s="30">
        <f>IF(OR(M544&lt;&gt;"OK",NOT(ISNUMBER(L544))),"",L544-R544)</f>
        <v/>
      </c>
      <c r="T544" s="46">
        <f>IF(OR(NOT(ISNUMBER(S544)),IF(ISNUMBER(G544),G544,F544)=0),"",S544/IF(ISNUMBER(G544),G544,F544))</f>
        <v/>
      </c>
      <c r="U544" s="46">
        <f>IF(ISNUMBER(T544),ABS(T544),"")</f>
        <v/>
      </c>
      <c r="V544" s="46">
        <f>IF(OR($D543&lt;&gt;"측정",$C543&lt;&gt;$C544,NOT(ISNUMBER(L544)),NOT(ISNUMBER(L543)),(IF(ISNUMBER(G544),G544,F544)-IF(ISNUMBER(G543),G543,F543))=0),"",(L544-L543)/(IF(ISNUMBER(G544),G544,F544)-IF(ISNUMBER(G543),G543,F543)))</f>
        <v/>
      </c>
      <c r="W544" s="30">
        <f>IF(NOT(AND(ISNUMBER(N544),ISNUMBER(P544))),"",(P544-N544)*1440)</f>
        <v/>
      </c>
      <c r="X544" s="28" t="n"/>
      <c r="Y544" s="28" t="n"/>
      <c r="Z544" s="28" t="n"/>
      <c r="AA544" s="31" t="n"/>
      <c r="AB544" s="31" t="n"/>
    </row>
    <row r="545">
      <c r="A545" s="25" t="inlineStr">
        <is>
          <t>S11</t>
        </is>
      </c>
      <c r="B545" s="25" t="inlineStr">
        <is>
          <t>소천 신규점4</t>
        </is>
      </c>
      <c r="C545" s="25" t="inlineStr">
        <is>
          <t>S11-H서</t>
        </is>
      </c>
      <c r="D545" s="25" t="inlineStr">
        <is>
          <t>측정</t>
        </is>
      </c>
      <c r="E545" s="25" t="inlineStr">
        <is>
          <t>서</t>
        </is>
      </c>
      <c r="F545" s="30" t="n">
        <v>6</v>
      </c>
      <c r="G545" s="29" t="n"/>
      <c r="H545" s="42" t="n"/>
      <c r="I545" s="40" t="n"/>
      <c r="J545" s="40" t="n"/>
      <c r="K545" s="40" t="n"/>
      <c r="L545" s="30">
        <f>IF(COUNT(I545:K545)=0,"",MEDIAN(I545:K545))</f>
        <v/>
      </c>
      <c r="M545" s="25">
        <f>IF(COUNTIFS($C:$C,$C545,$D:$D,"P0(전)",$L:$L,"&gt;0")&lt;&gt;1,"P0(전) 유효 1개 아님",IF(COUNTIFS($C:$C,$C545,$D:$D,"P0(후)",$L:$L,"&gt;0")&lt;&gt;1,"P0(후) 유효 1개 아님",IF(NOT(AND(ISNUMBER(N545),ISNUMBER(P545),ISNUMBER(H545))),"시각 결측",IF(P545&lt;=N545,"P0 시각 역전",IF(OR(H545&lt;N545,H545&gt;P545),"측정시각 구간 밖","OK")))))</f>
        <v/>
      </c>
      <c r="N545" s="45">
        <f>IF(COUNTIFS($C:$C,$C545,$D:$D,"P0(전)",$L:$L,"&gt;0")&lt;&gt;1,"",SUMIFS($H:$H,$C:$C,$C545,$D:$D,"P0(전)"))</f>
        <v/>
      </c>
      <c r="O545" s="30">
        <f>IF(COUNTIFS($C:$C,$C545,$D:$D,"P0(전)",$L:$L,"&gt;0")&lt;&gt;1,"",SUMIFS($L:$L,$C:$C,$C545,$D:$D,"P0(전)"))</f>
        <v/>
      </c>
      <c r="P545" s="45">
        <f>IF(COUNTIFS($C:$C,$C545,$D:$D,"P0(후)",$L:$L,"&gt;0")&lt;&gt;1,"",SUMIFS($H:$H,$C:$C,$C545,$D:$D,"P0(후)"))</f>
        <v/>
      </c>
      <c r="Q545" s="30">
        <f>IF(COUNTIFS($C:$C,$C545,$D:$D,"P0(후)",$L:$L,"&gt;0")&lt;&gt;1,"",SUMIFS($L:$L,$C:$C,$C545,$D:$D,"P0(후)"))</f>
        <v/>
      </c>
      <c r="R545" s="30">
        <f>IF(M545&lt;&gt;"OK","",O545+(Q545-O545)*(H545-N545)/(P545-N545))</f>
        <v/>
      </c>
      <c r="S545" s="30">
        <f>IF(OR(M545&lt;&gt;"OK",NOT(ISNUMBER(L545))),"",L545-R545)</f>
        <v/>
      </c>
      <c r="T545" s="46">
        <f>IF(OR(NOT(ISNUMBER(S545)),IF(ISNUMBER(G545),G545,F545)=0),"",S545/IF(ISNUMBER(G545),G545,F545))</f>
        <v/>
      </c>
      <c r="U545" s="46">
        <f>IF(ISNUMBER(T545),ABS(T545),"")</f>
        <v/>
      </c>
      <c r="V545" s="46">
        <f>IF(OR($D544&lt;&gt;"측정",$C544&lt;&gt;$C545,NOT(ISNUMBER(L545)),NOT(ISNUMBER(L544)),(IF(ISNUMBER(G545),G545,F545)-IF(ISNUMBER(G544),G544,F544))=0),"",(L545-L544)/(IF(ISNUMBER(G545),G545,F545)-IF(ISNUMBER(G544),G544,F544)))</f>
        <v/>
      </c>
      <c r="W545" s="30">
        <f>IF(NOT(AND(ISNUMBER(N545),ISNUMBER(P545))),"",(P545-N545)*1440)</f>
        <v/>
      </c>
      <c r="X545" s="28" t="n"/>
      <c r="Y545" s="28" t="n"/>
      <c r="Z545" s="28" t="n"/>
      <c r="AA545" s="31" t="n"/>
      <c r="AB545" s="31" t="n"/>
    </row>
    <row r="546">
      <c r="A546" s="25" t="inlineStr">
        <is>
          <t>S11</t>
        </is>
      </c>
      <c r="B546" s="25" t="inlineStr">
        <is>
          <t>소천 신규점4</t>
        </is>
      </c>
      <c r="C546" s="25" t="inlineStr">
        <is>
          <t>S11-H서</t>
        </is>
      </c>
      <c r="D546" s="25" t="inlineStr">
        <is>
          <t>측정</t>
        </is>
      </c>
      <c r="E546" s="25" t="inlineStr">
        <is>
          <t>서</t>
        </is>
      </c>
      <c r="F546" s="30" t="n">
        <v>7</v>
      </c>
      <c r="G546" s="29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IF(COUNTIFS($C:$C,$C546,$D:$D,"P0(전)",$L:$L,"&gt;0")&lt;&gt;1,"P0(전) 유효 1개 아님",IF(COUNTIFS($C:$C,$C546,$D:$D,"P0(후)",$L:$L,"&gt;0")&lt;&gt;1,"P0(후) 유효 1개 아님",IF(NOT(AND(ISNUMBER(N546),ISNUMBER(P546),ISNUMBER(H546))),"시각 결측",IF(P546&lt;=N546,"P0 시각 역전",IF(OR(H546&lt;N546,H546&gt;P546),"측정시각 구간 밖","OK")))))</f>
        <v/>
      </c>
      <c r="N546" s="45">
        <f>IF(COUNTIFS($C:$C,$C546,$D:$D,"P0(전)",$L:$L,"&gt;0")&lt;&gt;1,"",SUMIFS($H:$H,$C:$C,$C546,$D:$D,"P0(전)"))</f>
        <v/>
      </c>
      <c r="O546" s="30">
        <f>IF(COUNTIFS($C:$C,$C546,$D:$D,"P0(전)",$L:$L,"&gt;0")&lt;&gt;1,"",SUMIFS($L:$L,$C:$C,$C546,$D:$D,"P0(전)"))</f>
        <v/>
      </c>
      <c r="P546" s="45">
        <f>IF(COUNTIFS($C:$C,$C546,$D:$D,"P0(후)",$L:$L,"&gt;0")&lt;&gt;1,"",SUMIFS($H:$H,$C:$C,$C546,$D:$D,"P0(후)"))</f>
        <v/>
      </c>
      <c r="Q546" s="30">
        <f>IF(COUNTIFS($C:$C,$C546,$D:$D,"P0(후)",$L:$L,"&gt;0")&lt;&gt;1,"",SUMIFS($L:$L,$C:$C,$C546,$D:$D,"P0(후)"))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IF(OR(NOT(ISNUMBER(S546)),IF(ISNUMBER(G546),G546,F546)=0),"",S546/IF(ISNUMBER(G546),G546,F546))</f>
        <v/>
      </c>
      <c r="U546" s="46">
        <f>IF(ISNUMBER(T546),ABS(T546),"")</f>
        <v/>
      </c>
      <c r="V546" s="46">
        <f>IF(OR($D545&lt;&gt;"측정",$C545&lt;&gt;$C546,NOT(ISNUMBER(L546)),NOT(ISNUMBER(L545)),(IF(ISNUMBER(G546),G546,F546)-IF(ISNUMBER(G545),G545,F545))=0),"",(L546-L545)/(IF(ISNUMBER(G546),G546,F546)-IF(ISNUMBER(G545),G545,F545)))</f>
        <v/>
      </c>
      <c r="W546" s="30">
        <f>IF(NOT(AND(ISNUMBER(N546),ISNUMBER(P546))),"",(P546-N546)*1440)</f>
        <v/>
      </c>
      <c r="X546" s="28" t="n"/>
      <c r="Y546" s="28" t="n"/>
      <c r="Z546" s="28" t="n"/>
      <c r="AA546" s="31" t="n"/>
      <c r="AB546" s="31" t="n"/>
    </row>
    <row r="547">
      <c r="A547" s="25" t="inlineStr">
        <is>
          <t>S11</t>
        </is>
      </c>
      <c r="B547" s="25" t="inlineStr">
        <is>
          <t>소천 신규점4</t>
        </is>
      </c>
      <c r="C547" s="25" t="inlineStr">
        <is>
          <t>S11-H서</t>
        </is>
      </c>
      <c r="D547" s="25" t="inlineStr">
        <is>
          <t>측정</t>
        </is>
      </c>
      <c r="E547" s="25" t="inlineStr">
        <is>
          <t>서</t>
        </is>
      </c>
      <c r="F547" s="30" t="n">
        <v>8</v>
      </c>
      <c r="G547" s="29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IF(COUNTIFS($C:$C,$C547,$D:$D,"P0(전)",$L:$L,"&gt;0")&lt;&gt;1,"P0(전) 유효 1개 아님",IF(COUNTIFS($C:$C,$C547,$D:$D,"P0(후)",$L:$L,"&gt;0")&lt;&gt;1,"P0(후) 유효 1개 아님",IF(NOT(AND(ISNUMBER(N547),ISNUMBER(P547),ISNUMBER(H547))),"시각 결측",IF(P547&lt;=N547,"P0 시각 역전",IF(OR(H547&lt;N547,H547&gt;P547),"측정시각 구간 밖","OK")))))</f>
        <v/>
      </c>
      <c r="N547" s="45">
        <f>IF(COUNTIFS($C:$C,$C547,$D:$D,"P0(전)",$L:$L,"&gt;0")&lt;&gt;1,"",SUMIFS($H:$H,$C:$C,$C547,$D:$D,"P0(전)"))</f>
        <v/>
      </c>
      <c r="O547" s="30">
        <f>IF(COUNTIFS($C:$C,$C547,$D:$D,"P0(전)",$L:$L,"&gt;0")&lt;&gt;1,"",SUMIFS($L:$L,$C:$C,$C547,$D:$D,"P0(전)"))</f>
        <v/>
      </c>
      <c r="P547" s="45">
        <f>IF(COUNTIFS($C:$C,$C547,$D:$D,"P0(후)",$L:$L,"&gt;0")&lt;&gt;1,"",SUMIFS($H:$H,$C:$C,$C547,$D:$D,"P0(후)"))</f>
        <v/>
      </c>
      <c r="Q547" s="30">
        <f>IF(COUNTIFS($C:$C,$C547,$D:$D,"P0(후)",$L:$L,"&gt;0")&lt;&gt;1,"",SUMIFS($L:$L,$C:$C,$C547,$D:$D,"P0(후)"))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IF(OR(NOT(ISNUMBER(S547)),IF(ISNUMBER(G547),G547,F547)=0),"",S547/IF(ISNUMBER(G547),G547,F547))</f>
        <v/>
      </c>
      <c r="U547" s="46">
        <f>IF(ISNUMBER(T547),ABS(T547),"")</f>
        <v/>
      </c>
      <c r="V547" s="46">
        <f>IF(OR($D546&lt;&gt;"측정",$C546&lt;&gt;$C547,NOT(ISNUMBER(L547)),NOT(ISNUMBER(L546)),(IF(ISNUMBER(G547),G547,F547)-IF(ISNUMBER(G546),G546,F546))=0),"",(L547-L546)/(IF(ISNUMBER(G547),G547,F547)-IF(ISNUMBER(G546),G546,F546)))</f>
        <v/>
      </c>
      <c r="W547" s="30">
        <f>IF(NOT(AND(ISNUMBER(N547),ISNUMBER(P547))),"",(P547-N547)*1440)</f>
        <v/>
      </c>
      <c r="X547" s="28" t="n"/>
      <c r="Y547" s="28" t="n"/>
      <c r="Z547" s="28" t="n"/>
      <c r="AA547" s="31" t="n"/>
      <c r="AB547" s="31" t="n"/>
    </row>
    <row r="548">
      <c r="A548" s="25" t="inlineStr">
        <is>
          <t>S11</t>
        </is>
      </c>
      <c r="B548" s="25" t="inlineStr">
        <is>
          <t>소천 신규점4</t>
        </is>
      </c>
      <c r="C548" s="25" t="inlineStr">
        <is>
          <t>S11-H서</t>
        </is>
      </c>
      <c r="D548" s="25" t="inlineStr">
        <is>
          <t>측정</t>
        </is>
      </c>
      <c r="E548" s="25" t="inlineStr">
        <is>
          <t>서</t>
        </is>
      </c>
      <c r="F548" s="30" t="n">
        <v>9</v>
      </c>
      <c r="G548" s="29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IF(COUNTIFS($C:$C,$C548,$D:$D,"P0(전)",$L:$L,"&gt;0")&lt;&gt;1,"P0(전) 유효 1개 아님",IF(COUNTIFS($C:$C,$C548,$D:$D,"P0(후)",$L:$L,"&gt;0")&lt;&gt;1,"P0(후) 유효 1개 아님",IF(NOT(AND(ISNUMBER(N548),ISNUMBER(P548),ISNUMBER(H548))),"시각 결측",IF(P548&lt;=N548,"P0 시각 역전",IF(OR(H548&lt;N548,H548&gt;P548),"측정시각 구간 밖","OK")))))</f>
        <v/>
      </c>
      <c r="N548" s="45">
        <f>IF(COUNTIFS($C:$C,$C548,$D:$D,"P0(전)",$L:$L,"&gt;0")&lt;&gt;1,"",SUMIFS($H:$H,$C:$C,$C548,$D:$D,"P0(전)"))</f>
        <v/>
      </c>
      <c r="O548" s="30">
        <f>IF(COUNTIFS($C:$C,$C548,$D:$D,"P0(전)",$L:$L,"&gt;0")&lt;&gt;1,"",SUMIFS($L:$L,$C:$C,$C548,$D:$D,"P0(전)"))</f>
        <v/>
      </c>
      <c r="P548" s="45">
        <f>IF(COUNTIFS($C:$C,$C548,$D:$D,"P0(후)",$L:$L,"&gt;0")&lt;&gt;1,"",SUMIFS($H:$H,$C:$C,$C548,$D:$D,"P0(후)"))</f>
        <v/>
      </c>
      <c r="Q548" s="30">
        <f>IF(COUNTIFS($C:$C,$C548,$D:$D,"P0(후)",$L:$L,"&gt;0")&lt;&gt;1,"",SUMIFS($L:$L,$C:$C,$C548,$D:$D,"P0(후)"))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IF(OR(NOT(ISNUMBER(S548)),IF(ISNUMBER(G548),G548,F548)=0),"",S548/IF(ISNUMBER(G548),G548,F548))</f>
        <v/>
      </c>
      <c r="U548" s="46">
        <f>IF(ISNUMBER(T548),ABS(T548),"")</f>
        <v/>
      </c>
      <c r="V548" s="46">
        <f>IF(OR($D547&lt;&gt;"측정",$C547&lt;&gt;$C548,NOT(ISNUMBER(L548)),NOT(ISNUMBER(L547)),(IF(ISNUMBER(G548),G548,F548)-IF(ISNUMBER(G547),G547,F547))=0),"",(L548-L547)/(IF(ISNUMBER(G548),G548,F548)-IF(ISNUMBER(G547),G547,F547)))</f>
        <v/>
      </c>
      <c r="W548" s="30">
        <f>IF(NOT(AND(ISNUMBER(N548),ISNUMBER(P548))),"",(P548-N548)*1440)</f>
        <v/>
      </c>
      <c r="X548" s="28" t="n"/>
      <c r="Y548" s="28" t="n"/>
      <c r="Z548" s="28" t="n"/>
      <c r="AA548" s="31" t="n"/>
      <c r="AB548" s="31" t="n"/>
    </row>
    <row r="549">
      <c r="A549" s="25" t="inlineStr">
        <is>
          <t>S11</t>
        </is>
      </c>
      <c r="B549" s="25" t="inlineStr">
        <is>
          <t>소천 신규점4</t>
        </is>
      </c>
      <c r="C549" s="25" t="inlineStr">
        <is>
          <t>S11-H서</t>
        </is>
      </c>
      <c r="D549" s="25" t="inlineStr">
        <is>
          <t>측정</t>
        </is>
      </c>
      <c r="E549" s="25" t="inlineStr">
        <is>
          <t>서</t>
        </is>
      </c>
      <c r="F549" s="30" t="n">
        <v>10</v>
      </c>
      <c r="G549" s="29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IF(COUNTIFS($C:$C,$C549,$D:$D,"P0(전)",$L:$L,"&gt;0")&lt;&gt;1,"P0(전) 유효 1개 아님",IF(COUNTIFS($C:$C,$C549,$D:$D,"P0(후)",$L:$L,"&gt;0")&lt;&gt;1,"P0(후) 유효 1개 아님",IF(NOT(AND(ISNUMBER(N549),ISNUMBER(P549),ISNUMBER(H549))),"시각 결측",IF(P549&lt;=N549,"P0 시각 역전",IF(OR(H549&lt;N549,H549&gt;P549),"측정시각 구간 밖","OK")))))</f>
        <v/>
      </c>
      <c r="N549" s="45">
        <f>IF(COUNTIFS($C:$C,$C549,$D:$D,"P0(전)",$L:$L,"&gt;0")&lt;&gt;1,"",SUMIFS($H:$H,$C:$C,$C549,$D:$D,"P0(전)"))</f>
        <v/>
      </c>
      <c r="O549" s="30">
        <f>IF(COUNTIFS($C:$C,$C549,$D:$D,"P0(전)",$L:$L,"&gt;0")&lt;&gt;1,"",SUMIFS($L:$L,$C:$C,$C549,$D:$D,"P0(전)"))</f>
        <v/>
      </c>
      <c r="P549" s="45">
        <f>IF(COUNTIFS($C:$C,$C549,$D:$D,"P0(후)",$L:$L,"&gt;0")&lt;&gt;1,"",SUMIFS($H:$H,$C:$C,$C549,$D:$D,"P0(후)"))</f>
        <v/>
      </c>
      <c r="Q549" s="30">
        <f>IF(COUNTIFS($C:$C,$C549,$D:$D,"P0(후)",$L:$L,"&gt;0")&lt;&gt;1,"",SUMIFS($L:$L,$C:$C,$C549,$D:$D,"P0(후)"))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IF(OR(NOT(ISNUMBER(S549)),IF(ISNUMBER(G549),G549,F549)=0),"",S549/IF(ISNUMBER(G549),G549,F549))</f>
        <v/>
      </c>
      <c r="U549" s="46">
        <f>IF(ISNUMBER(T549),ABS(T549),"")</f>
        <v/>
      </c>
      <c r="V549" s="46">
        <f>IF(OR($D548&lt;&gt;"측정",$C548&lt;&gt;$C549,NOT(ISNUMBER(L549)),NOT(ISNUMBER(L548)),(IF(ISNUMBER(G549),G549,F549)-IF(ISNUMBER(G548),G548,F548))=0),"",(L549-L548)/(IF(ISNUMBER(G549),G549,F549)-IF(ISNUMBER(G548),G548,F548)))</f>
        <v/>
      </c>
      <c r="W549" s="30">
        <f>IF(NOT(AND(ISNUMBER(N549),ISNUMBER(P549))),"",(P549-N549)*1440)</f>
        <v/>
      </c>
      <c r="X549" s="28" t="n"/>
      <c r="Y549" s="28" t="n"/>
      <c r="Z549" s="28" t="n"/>
      <c r="AA549" s="31" t="n"/>
      <c r="AB549" s="31" t="n"/>
    </row>
    <row r="550">
      <c r="A550" s="43" t="inlineStr">
        <is>
          <t>S11</t>
        </is>
      </c>
      <c r="B550" s="43" t="inlineStr">
        <is>
          <t>소천 신규점4</t>
        </is>
      </c>
      <c r="C550" s="43" t="inlineStr">
        <is>
          <t>S11-H서</t>
        </is>
      </c>
      <c r="D550" s="43" t="inlineStr">
        <is>
          <t>P0(후)</t>
        </is>
      </c>
      <c r="E550" s="43" t="inlineStr">
        <is>
          <t>서</t>
        </is>
      </c>
      <c r="F550" s="44" t="n"/>
      <c r="G550" s="29" t="n"/>
      <c r="H550" s="42" t="n"/>
      <c r="I550" s="40" t="n"/>
      <c r="J550" s="40" t="n"/>
      <c r="K550" s="40" t="n"/>
      <c r="L550" s="30">
        <f>IF(COUNT(I550:K550)=0,"",MEDIAN(I550:K550))</f>
        <v/>
      </c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28" t="n"/>
      <c r="Y550" s="28" t="n"/>
      <c r="Z550" s="28" t="n"/>
      <c r="AA550" s="31" t="n"/>
      <c r="AB550" s="31" t="n"/>
    </row>
    <row r="551">
      <c r="A551" s="43" t="inlineStr">
        <is>
          <t>S11</t>
        </is>
      </c>
      <c r="B551" s="43" t="inlineStr">
        <is>
          <t>소천 신규점4</t>
        </is>
      </c>
      <c r="C551" s="43" t="inlineStr">
        <is>
          <t>S11-H남</t>
        </is>
      </c>
      <c r="D551" s="43" t="inlineStr">
        <is>
          <t>P0(전)</t>
        </is>
      </c>
      <c r="E551" s="43" t="inlineStr">
        <is>
          <t>남</t>
        </is>
      </c>
      <c r="F551" s="44" t="n"/>
      <c r="G551" s="29" t="n"/>
      <c r="H551" s="42" t="n"/>
      <c r="I551" s="40" t="n"/>
      <c r="J551" s="40" t="n"/>
      <c r="K551" s="40" t="n"/>
      <c r="L551" s="30">
        <f>IF(COUNT(I551:K551)=0,"",MEDIAN(I551:K551))</f>
        <v/>
      </c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28" t="n"/>
      <c r="Y551" s="28" t="n"/>
      <c r="Z551" s="28" t="n"/>
      <c r="AA551" s="31" t="n"/>
      <c r="AB551" s="31" t="n"/>
    </row>
    <row r="552">
      <c r="A552" s="25" t="inlineStr">
        <is>
          <t>S11</t>
        </is>
      </c>
      <c r="B552" s="25" t="inlineStr">
        <is>
          <t>소천 신규점4</t>
        </is>
      </c>
      <c r="C552" s="25" t="inlineStr">
        <is>
          <t>S11-H남</t>
        </is>
      </c>
      <c r="D552" s="25" t="inlineStr">
        <is>
          <t>측정</t>
        </is>
      </c>
      <c r="E552" s="25" t="inlineStr">
        <is>
          <t>남</t>
        </is>
      </c>
      <c r="F552" s="30" t="n">
        <v>0.5</v>
      </c>
      <c r="G552" s="29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IF(COUNTIFS($C:$C,$C552,$D:$D,"P0(전)",$L:$L,"&gt;0")&lt;&gt;1,"P0(전) 유효 1개 아님",IF(COUNTIFS($C:$C,$C552,$D:$D,"P0(후)",$L:$L,"&gt;0")&lt;&gt;1,"P0(후) 유효 1개 아님",IF(NOT(AND(ISNUMBER(N552),ISNUMBER(P552),ISNUMBER(H552))),"시각 결측",IF(P552&lt;=N552,"P0 시각 역전",IF(OR(H552&lt;N552,H552&gt;P552),"측정시각 구간 밖","OK")))))</f>
        <v/>
      </c>
      <c r="N552" s="45">
        <f>IF(COUNTIFS($C:$C,$C552,$D:$D,"P0(전)",$L:$L,"&gt;0")&lt;&gt;1,"",SUMIFS($H:$H,$C:$C,$C552,$D:$D,"P0(전)"))</f>
        <v/>
      </c>
      <c r="O552" s="30">
        <f>IF(COUNTIFS($C:$C,$C552,$D:$D,"P0(전)",$L:$L,"&gt;0")&lt;&gt;1,"",SUMIFS($L:$L,$C:$C,$C552,$D:$D,"P0(전)"))</f>
        <v/>
      </c>
      <c r="P552" s="45">
        <f>IF(COUNTIFS($C:$C,$C552,$D:$D,"P0(후)",$L:$L,"&gt;0")&lt;&gt;1,"",SUMIFS($H:$H,$C:$C,$C552,$D:$D,"P0(후)"))</f>
        <v/>
      </c>
      <c r="Q552" s="30">
        <f>IF(COUNTIFS($C:$C,$C552,$D:$D,"P0(후)",$L:$L,"&gt;0")&lt;&gt;1,"",SUMIFS($L:$L,$C:$C,$C552,$D:$D,"P0(후)"))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IF(OR(NOT(ISNUMBER(S552)),IF(ISNUMBER(G552),G552,F552)=0),"",S552/IF(ISNUMBER(G552),G552,F552))</f>
        <v/>
      </c>
      <c r="U552" s="46">
        <f>IF(ISNUMBER(T552),ABS(T552),"")</f>
        <v/>
      </c>
      <c r="V552" s="46">
        <f>IF(OR($D551&lt;&gt;"측정",$C551&lt;&gt;$C552,NOT(ISNUMBER(L552)),NOT(ISNUMBER(L551)),(IF(ISNUMBER(G552),G552,F552)-IF(ISNUMBER(G551),G551,F551))=0),"",(L552-L551)/(IF(ISNUMBER(G552),G552,F552)-IF(ISNUMBER(G551),G551,F551)))</f>
        <v/>
      </c>
      <c r="W552" s="30">
        <f>IF(NOT(AND(ISNUMBER(N552),ISNUMBER(P552))),"",(P552-N552)*1440)</f>
        <v/>
      </c>
      <c r="X552" s="28" t="n"/>
      <c r="Y552" s="28" t="n"/>
      <c r="Z552" s="28" t="n"/>
      <c r="AA552" s="31" t="n"/>
      <c r="AB552" s="31" t="n"/>
    </row>
    <row r="553">
      <c r="A553" s="25" t="inlineStr">
        <is>
          <t>S11</t>
        </is>
      </c>
      <c r="B553" s="25" t="inlineStr">
        <is>
          <t>소천 신규점4</t>
        </is>
      </c>
      <c r="C553" s="25" t="inlineStr">
        <is>
          <t>S11-H남</t>
        </is>
      </c>
      <c r="D553" s="25" t="inlineStr">
        <is>
          <t>측정</t>
        </is>
      </c>
      <c r="E553" s="25" t="inlineStr">
        <is>
          <t>남</t>
        </is>
      </c>
      <c r="F553" s="30" t="n">
        <v>1</v>
      </c>
      <c r="G553" s="29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IF(COUNTIFS($C:$C,$C553,$D:$D,"P0(전)",$L:$L,"&gt;0")&lt;&gt;1,"P0(전) 유효 1개 아님",IF(COUNTIFS($C:$C,$C553,$D:$D,"P0(후)",$L:$L,"&gt;0")&lt;&gt;1,"P0(후) 유효 1개 아님",IF(NOT(AND(ISNUMBER(N553),ISNUMBER(P553),ISNUMBER(H553))),"시각 결측",IF(P553&lt;=N553,"P0 시각 역전",IF(OR(H553&lt;N553,H553&gt;P553),"측정시각 구간 밖","OK")))))</f>
        <v/>
      </c>
      <c r="N553" s="45">
        <f>IF(COUNTIFS($C:$C,$C553,$D:$D,"P0(전)",$L:$L,"&gt;0")&lt;&gt;1,"",SUMIFS($H:$H,$C:$C,$C553,$D:$D,"P0(전)"))</f>
        <v/>
      </c>
      <c r="O553" s="30">
        <f>IF(COUNTIFS($C:$C,$C553,$D:$D,"P0(전)",$L:$L,"&gt;0")&lt;&gt;1,"",SUMIFS($L:$L,$C:$C,$C553,$D:$D,"P0(전)"))</f>
        <v/>
      </c>
      <c r="P553" s="45">
        <f>IF(COUNTIFS($C:$C,$C553,$D:$D,"P0(후)",$L:$L,"&gt;0")&lt;&gt;1,"",SUMIFS($H:$H,$C:$C,$C553,$D:$D,"P0(후)"))</f>
        <v/>
      </c>
      <c r="Q553" s="30">
        <f>IF(COUNTIFS($C:$C,$C553,$D:$D,"P0(후)",$L:$L,"&gt;0")&lt;&gt;1,"",SUMIFS($L:$L,$C:$C,$C553,$D:$D,"P0(후)"))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IF(OR(NOT(ISNUMBER(S553)),IF(ISNUMBER(G553),G553,F553)=0),"",S553/IF(ISNUMBER(G553),G553,F553))</f>
        <v/>
      </c>
      <c r="U553" s="46">
        <f>IF(ISNUMBER(T553),ABS(T553),"")</f>
        <v/>
      </c>
      <c r="V553" s="46">
        <f>IF(OR($D552&lt;&gt;"측정",$C552&lt;&gt;$C553,NOT(ISNUMBER(L553)),NOT(ISNUMBER(L552)),(IF(ISNUMBER(G553),G553,F553)-IF(ISNUMBER(G552),G552,F552))=0),"",(L553-L552)/(IF(ISNUMBER(G553),G553,F553)-IF(ISNUMBER(G552),G552,F552)))</f>
        <v/>
      </c>
      <c r="W553" s="30">
        <f>IF(NOT(AND(ISNUMBER(N553),ISNUMBER(P553))),"",(P553-N553)*1440)</f>
        <v/>
      </c>
      <c r="X553" s="28" t="n"/>
      <c r="Y553" s="28" t="n"/>
      <c r="Z553" s="28" t="n"/>
      <c r="AA553" s="31" t="n"/>
      <c r="AB553" s="31" t="n"/>
    </row>
    <row r="554">
      <c r="A554" s="25" t="inlineStr">
        <is>
          <t>S11</t>
        </is>
      </c>
      <c r="B554" s="25" t="inlineStr">
        <is>
          <t>소천 신규점4</t>
        </is>
      </c>
      <c r="C554" s="25" t="inlineStr">
        <is>
          <t>S11-H남</t>
        </is>
      </c>
      <c r="D554" s="25" t="inlineStr">
        <is>
          <t>측정</t>
        </is>
      </c>
      <c r="E554" s="25" t="inlineStr">
        <is>
          <t>남</t>
        </is>
      </c>
      <c r="F554" s="30" t="n">
        <v>2</v>
      </c>
      <c r="G554" s="29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IF(COUNTIFS($C:$C,$C554,$D:$D,"P0(전)",$L:$L,"&gt;0")&lt;&gt;1,"P0(전) 유효 1개 아님",IF(COUNTIFS($C:$C,$C554,$D:$D,"P0(후)",$L:$L,"&gt;0")&lt;&gt;1,"P0(후) 유효 1개 아님",IF(NOT(AND(ISNUMBER(N554),ISNUMBER(P554),ISNUMBER(H554))),"시각 결측",IF(P554&lt;=N554,"P0 시각 역전",IF(OR(H554&lt;N554,H554&gt;P554),"측정시각 구간 밖","OK")))))</f>
        <v/>
      </c>
      <c r="N554" s="45">
        <f>IF(COUNTIFS($C:$C,$C554,$D:$D,"P0(전)",$L:$L,"&gt;0")&lt;&gt;1,"",SUMIFS($H:$H,$C:$C,$C554,$D:$D,"P0(전)"))</f>
        <v/>
      </c>
      <c r="O554" s="30">
        <f>IF(COUNTIFS($C:$C,$C554,$D:$D,"P0(전)",$L:$L,"&gt;0")&lt;&gt;1,"",SUMIFS($L:$L,$C:$C,$C554,$D:$D,"P0(전)"))</f>
        <v/>
      </c>
      <c r="P554" s="45">
        <f>IF(COUNTIFS($C:$C,$C554,$D:$D,"P0(후)",$L:$L,"&gt;0")&lt;&gt;1,"",SUMIFS($H:$H,$C:$C,$C554,$D:$D,"P0(후)"))</f>
        <v/>
      </c>
      <c r="Q554" s="30">
        <f>IF(COUNTIFS($C:$C,$C554,$D:$D,"P0(후)",$L:$L,"&gt;0")&lt;&gt;1,"",SUMIFS($L:$L,$C:$C,$C554,$D:$D,"P0(후)"))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IF(OR(NOT(ISNUMBER(S554)),IF(ISNUMBER(G554),G554,F554)=0),"",S554/IF(ISNUMBER(G554),G554,F554))</f>
        <v/>
      </c>
      <c r="U554" s="46">
        <f>IF(ISNUMBER(T554),ABS(T554),"")</f>
        <v/>
      </c>
      <c r="V554" s="46">
        <f>IF(OR($D553&lt;&gt;"측정",$C553&lt;&gt;$C554,NOT(ISNUMBER(L554)),NOT(ISNUMBER(L553)),(IF(ISNUMBER(G554),G554,F554)-IF(ISNUMBER(G553),G553,F553))=0),"",(L554-L553)/(IF(ISNUMBER(G554),G554,F554)-IF(ISNUMBER(G553),G553,F553)))</f>
        <v/>
      </c>
      <c r="W554" s="30">
        <f>IF(NOT(AND(ISNUMBER(N554),ISNUMBER(P554))),"",(P554-N554)*1440)</f>
        <v/>
      </c>
      <c r="X554" s="28" t="n"/>
      <c r="Y554" s="28" t="n"/>
      <c r="Z554" s="28" t="n"/>
      <c r="AA554" s="31" t="n"/>
      <c r="AB554" s="31" t="n"/>
    </row>
    <row r="555">
      <c r="A555" s="25" t="inlineStr">
        <is>
          <t>S11</t>
        </is>
      </c>
      <c r="B555" s="25" t="inlineStr">
        <is>
          <t>소천 신규점4</t>
        </is>
      </c>
      <c r="C555" s="25" t="inlineStr">
        <is>
          <t>S11-H남</t>
        </is>
      </c>
      <c r="D555" s="25" t="inlineStr">
        <is>
          <t>측정</t>
        </is>
      </c>
      <c r="E555" s="25" t="inlineStr">
        <is>
          <t>남</t>
        </is>
      </c>
      <c r="F555" s="30" t="n">
        <v>3</v>
      </c>
      <c r="G555" s="29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IF(COUNTIFS($C:$C,$C555,$D:$D,"P0(전)",$L:$L,"&gt;0")&lt;&gt;1,"P0(전) 유효 1개 아님",IF(COUNTIFS($C:$C,$C555,$D:$D,"P0(후)",$L:$L,"&gt;0")&lt;&gt;1,"P0(후) 유효 1개 아님",IF(NOT(AND(ISNUMBER(N555),ISNUMBER(P555),ISNUMBER(H555))),"시각 결측",IF(P555&lt;=N555,"P0 시각 역전",IF(OR(H555&lt;N555,H555&gt;P555),"측정시각 구간 밖","OK")))))</f>
        <v/>
      </c>
      <c r="N555" s="45">
        <f>IF(COUNTIFS($C:$C,$C555,$D:$D,"P0(전)",$L:$L,"&gt;0")&lt;&gt;1,"",SUMIFS($H:$H,$C:$C,$C555,$D:$D,"P0(전)"))</f>
        <v/>
      </c>
      <c r="O555" s="30">
        <f>IF(COUNTIFS($C:$C,$C555,$D:$D,"P0(전)",$L:$L,"&gt;0")&lt;&gt;1,"",SUMIFS($L:$L,$C:$C,$C555,$D:$D,"P0(전)"))</f>
        <v/>
      </c>
      <c r="P555" s="45">
        <f>IF(COUNTIFS($C:$C,$C555,$D:$D,"P0(후)",$L:$L,"&gt;0")&lt;&gt;1,"",SUMIFS($H:$H,$C:$C,$C555,$D:$D,"P0(후)"))</f>
        <v/>
      </c>
      <c r="Q555" s="30">
        <f>IF(COUNTIFS($C:$C,$C555,$D:$D,"P0(후)",$L:$L,"&gt;0")&lt;&gt;1,"",SUMIFS($L:$L,$C:$C,$C555,$D:$D,"P0(후)"))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IF(OR(NOT(ISNUMBER(S555)),IF(ISNUMBER(G555),G555,F555)=0),"",S555/IF(ISNUMBER(G555),G555,F555))</f>
        <v/>
      </c>
      <c r="U555" s="46">
        <f>IF(ISNUMBER(T555),ABS(T555),"")</f>
        <v/>
      </c>
      <c r="V555" s="46">
        <f>IF(OR($D554&lt;&gt;"측정",$C554&lt;&gt;$C555,NOT(ISNUMBER(L555)),NOT(ISNUMBER(L554)),(IF(ISNUMBER(G555),G555,F555)-IF(ISNUMBER(G554),G554,F554))=0),"",(L555-L554)/(IF(ISNUMBER(G555),G555,F555)-IF(ISNUMBER(G554),G554,F554)))</f>
        <v/>
      </c>
      <c r="W555" s="30">
        <f>IF(NOT(AND(ISNUMBER(N555),ISNUMBER(P555))),"",(P555-N555)*1440)</f>
        <v/>
      </c>
      <c r="X555" s="28" t="n"/>
      <c r="Y555" s="28" t="n"/>
      <c r="Z555" s="28" t="n"/>
      <c r="AA555" s="31" t="n"/>
      <c r="AB555" s="31" t="n"/>
    </row>
    <row r="556">
      <c r="A556" s="25" t="inlineStr">
        <is>
          <t>S11</t>
        </is>
      </c>
      <c r="B556" s="25" t="inlineStr">
        <is>
          <t>소천 신규점4</t>
        </is>
      </c>
      <c r="C556" s="25" t="inlineStr">
        <is>
          <t>S11-H남</t>
        </is>
      </c>
      <c r="D556" s="25" t="inlineStr">
        <is>
          <t>측정</t>
        </is>
      </c>
      <c r="E556" s="25" t="inlineStr">
        <is>
          <t>남</t>
        </is>
      </c>
      <c r="F556" s="30" t="n">
        <v>4</v>
      </c>
      <c r="G556" s="29" t="n"/>
      <c r="H556" s="42" t="n"/>
      <c r="I556" s="40" t="n"/>
      <c r="J556" s="40" t="n"/>
      <c r="K556" s="40" t="n"/>
      <c r="L556" s="30">
        <f>IF(COUNT(I556:K556)=0,"",MEDIAN(I556:K556))</f>
        <v/>
      </c>
      <c r="M556" s="25">
        <f>IF(COUNTIFS($C:$C,$C556,$D:$D,"P0(전)",$L:$L,"&gt;0")&lt;&gt;1,"P0(전) 유효 1개 아님",IF(COUNTIFS($C:$C,$C556,$D:$D,"P0(후)",$L:$L,"&gt;0")&lt;&gt;1,"P0(후) 유효 1개 아님",IF(NOT(AND(ISNUMBER(N556),ISNUMBER(P556),ISNUMBER(H556))),"시각 결측",IF(P556&lt;=N556,"P0 시각 역전",IF(OR(H556&lt;N556,H556&gt;P556),"측정시각 구간 밖","OK")))))</f>
        <v/>
      </c>
      <c r="N556" s="45">
        <f>IF(COUNTIFS($C:$C,$C556,$D:$D,"P0(전)",$L:$L,"&gt;0")&lt;&gt;1,"",SUMIFS($H:$H,$C:$C,$C556,$D:$D,"P0(전)"))</f>
        <v/>
      </c>
      <c r="O556" s="30">
        <f>IF(COUNTIFS($C:$C,$C556,$D:$D,"P0(전)",$L:$L,"&gt;0")&lt;&gt;1,"",SUMIFS($L:$L,$C:$C,$C556,$D:$D,"P0(전)"))</f>
        <v/>
      </c>
      <c r="P556" s="45">
        <f>IF(COUNTIFS($C:$C,$C556,$D:$D,"P0(후)",$L:$L,"&gt;0")&lt;&gt;1,"",SUMIFS($H:$H,$C:$C,$C556,$D:$D,"P0(후)"))</f>
        <v/>
      </c>
      <c r="Q556" s="30">
        <f>IF(COUNTIFS($C:$C,$C556,$D:$D,"P0(후)",$L:$L,"&gt;0")&lt;&gt;1,"",SUMIFS($L:$L,$C:$C,$C556,$D:$D,"P0(후)"))</f>
        <v/>
      </c>
      <c r="R556" s="30">
        <f>IF(M556&lt;&gt;"OK","",O556+(Q556-O556)*(H556-N556)/(P556-N556))</f>
        <v/>
      </c>
      <c r="S556" s="30">
        <f>IF(OR(M556&lt;&gt;"OK",NOT(ISNUMBER(L556))),"",L556-R556)</f>
        <v/>
      </c>
      <c r="T556" s="46">
        <f>IF(OR(NOT(ISNUMBER(S556)),IF(ISNUMBER(G556),G556,F556)=0),"",S556/IF(ISNUMBER(G556),G556,F556))</f>
        <v/>
      </c>
      <c r="U556" s="46">
        <f>IF(ISNUMBER(T556),ABS(T556),"")</f>
        <v/>
      </c>
      <c r="V556" s="46">
        <f>IF(OR($D555&lt;&gt;"측정",$C555&lt;&gt;$C556,NOT(ISNUMBER(L556)),NOT(ISNUMBER(L555)),(IF(ISNUMBER(G556),G556,F556)-IF(ISNUMBER(G555),G555,F555))=0),"",(L556-L555)/(IF(ISNUMBER(G556),G556,F556)-IF(ISNUMBER(G555),G555,F555)))</f>
        <v/>
      </c>
      <c r="W556" s="30">
        <f>IF(NOT(AND(ISNUMBER(N556),ISNUMBER(P556))),"",(P556-N556)*1440)</f>
        <v/>
      </c>
      <c r="X556" s="28" t="n"/>
      <c r="Y556" s="28" t="n"/>
      <c r="Z556" s="28" t="n"/>
      <c r="AA556" s="31" t="n"/>
      <c r="AB556" s="31" t="n"/>
    </row>
    <row r="557">
      <c r="A557" s="25" t="inlineStr">
        <is>
          <t>S11</t>
        </is>
      </c>
      <c r="B557" s="25" t="inlineStr">
        <is>
          <t>소천 신규점4</t>
        </is>
      </c>
      <c r="C557" s="25" t="inlineStr">
        <is>
          <t>S11-H남</t>
        </is>
      </c>
      <c r="D557" s="25" t="inlineStr">
        <is>
          <t>측정</t>
        </is>
      </c>
      <c r="E557" s="25" t="inlineStr">
        <is>
          <t>남</t>
        </is>
      </c>
      <c r="F557" s="30" t="n">
        <v>5</v>
      </c>
      <c r="G557" s="29" t="n"/>
      <c r="H557" s="42" t="n"/>
      <c r="I557" s="40" t="n"/>
      <c r="J557" s="40" t="n"/>
      <c r="K557" s="40" t="n"/>
      <c r="L557" s="30">
        <f>IF(COUNT(I557:K557)=0,"",MEDIAN(I557:K557))</f>
        <v/>
      </c>
      <c r="M557" s="25">
        <f>IF(COUNTIFS($C:$C,$C557,$D:$D,"P0(전)",$L:$L,"&gt;0")&lt;&gt;1,"P0(전) 유효 1개 아님",IF(COUNTIFS($C:$C,$C557,$D:$D,"P0(후)",$L:$L,"&gt;0")&lt;&gt;1,"P0(후) 유효 1개 아님",IF(NOT(AND(ISNUMBER(N557),ISNUMBER(P557),ISNUMBER(H557))),"시각 결측",IF(P557&lt;=N557,"P0 시각 역전",IF(OR(H557&lt;N557,H557&gt;P557),"측정시각 구간 밖","OK")))))</f>
        <v/>
      </c>
      <c r="N557" s="45">
        <f>IF(COUNTIFS($C:$C,$C557,$D:$D,"P0(전)",$L:$L,"&gt;0")&lt;&gt;1,"",SUMIFS($H:$H,$C:$C,$C557,$D:$D,"P0(전)"))</f>
        <v/>
      </c>
      <c r="O557" s="30">
        <f>IF(COUNTIFS($C:$C,$C557,$D:$D,"P0(전)",$L:$L,"&gt;0")&lt;&gt;1,"",SUMIFS($L:$L,$C:$C,$C557,$D:$D,"P0(전)"))</f>
        <v/>
      </c>
      <c r="P557" s="45">
        <f>IF(COUNTIFS($C:$C,$C557,$D:$D,"P0(후)",$L:$L,"&gt;0")&lt;&gt;1,"",SUMIFS($H:$H,$C:$C,$C557,$D:$D,"P0(후)"))</f>
        <v/>
      </c>
      <c r="Q557" s="30">
        <f>IF(COUNTIFS($C:$C,$C557,$D:$D,"P0(후)",$L:$L,"&gt;0")&lt;&gt;1,"",SUMIFS($L:$L,$C:$C,$C557,$D:$D,"P0(후)"))</f>
        <v/>
      </c>
      <c r="R557" s="30">
        <f>IF(M557&lt;&gt;"OK","",O557+(Q557-O557)*(H557-N557)/(P557-N557))</f>
        <v/>
      </c>
      <c r="S557" s="30">
        <f>IF(OR(M557&lt;&gt;"OK",NOT(ISNUMBER(L557))),"",L557-R557)</f>
        <v/>
      </c>
      <c r="T557" s="46">
        <f>IF(OR(NOT(ISNUMBER(S557)),IF(ISNUMBER(G557),G557,F557)=0),"",S557/IF(ISNUMBER(G557),G557,F557))</f>
        <v/>
      </c>
      <c r="U557" s="46">
        <f>IF(ISNUMBER(T557),ABS(T557),"")</f>
        <v/>
      </c>
      <c r="V557" s="46">
        <f>IF(OR($D556&lt;&gt;"측정",$C556&lt;&gt;$C557,NOT(ISNUMBER(L557)),NOT(ISNUMBER(L556)),(IF(ISNUMBER(G557),G557,F557)-IF(ISNUMBER(G556),G556,F556))=0),"",(L557-L556)/(IF(ISNUMBER(G557),G557,F557)-IF(ISNUMBER(G556),G556,F556)))</f>
        <v/>
      </c>
      <c r="W557" s="30">
        <f>IF(NOT(AND(ISNUMBER(N557),ISNUMBER(P557))),"",(P557-N557)*1440)</f>
        <v/>
      </c>
      <c r="X557" s="28" t="n"/>
      <c r="Y557" s="28" t="n"/>
      <c r="Z557" s="28" t="n"/>
      <c r="AA557" s="31" t="n"/>
      <c r="AB557" s="31" t="n"/>
    </row>
    <row r="558">
      <c r="A558" s="25" t="inlineStr">
        <is>
          <t>S11</t>
        </is>
      </c>
      <c r="B558" s="25" t="inlineStr">
        <is>
          <t>소천 신규점4</t>
        </is>
      </c>
      <c r="C558" s="25" t="inlineStr">
        <is>
          <t>S11-H남</t>
        </is>
      </c>
      <c r="D558" s="25" t="inlineStr">
        <is>
          <t>측정</t>
        </is>
      </c>
      <c r="E558" s="25" t="inlineStr">
        <is>
          <t>남</t>
        </is>
      </c>
      <c r="F558" s="30" t="n">
        <v>6</v>
      </c>
      <c r="G558" s="29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IF(COUNTIFS($C:$C,$C558,$D:$D,"P0(전)",$L:$L,"&gt;0")&lt;&gt;1,"P0(전) 유효 1개 아님",IF(COUNTIFS($C:$C,$C558,$D:$D,"P0(후)",$L:$L,"&gt;0")&lt;&gt;1,"P0(후) 유효 1개 아님",IF(NOT(AND(ISNUMBER(N558),ISNUMBER(P558),ISNUMBER(H558))),"시각 결측",IF(P558&lt;=N558,"P0 시각 역전",IF(OR(H558&lt;N558,H558&gt;P558),"측정시각 구간 밖","OK")))))</f>
        <v/>
      </c>
      <c r="N558" s="45">
        <f>IF(COUNTIFS($C:$C,$C558,$D:$D,"P0(전)",$L:$L,"&gt;0")&lt;&gt;1,"",SUMIFS($H:$H,$C:$C,$C558,$D:$D,"P0(전)"))</f>
        <v/>
      </c>
      <c r="O558" s="30">
        <f>IF(COUNTIFS($C:$C,$C558,$D:$D,"P0(전)",$L:$L,"&gt;0")&lt;&gt;1,"",SUMIFS($L:$L,$C:$C,$C558,$D:$D,"P0(전)"))</f>
        <v/>
      </c>
      <c r="P558" s="45">
        <f>IF(COUNTIFS($C:$C,$C558,$D:$D,"P0(후)",$L:$L,"&gt;0")&lt;&gt;1,"",SUMIFS($H:$H,$C:$C,$C558,$D:$D,"P0(후)"))</f>
        <v/>
      </c>
      <c r="Q558" s="30">
        <f>IF(COUNTIFS($C:$C,$C558,$D:$D,"P0(후)",$L:$L,"&gt;0")&lt;&gt;1,"",SUMIFS($L:$L,$C:$C,$C558,$D:$D,"P0(후)"))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IF(OR(NOT(ISNUMBER(S558)),IF(ISNUMBER(G558),G558,F558)=0),"",S558/IF(ISNUMBER(G558),G558,F558))</f>
        <v/>
      </c>
      <c r="U558" s="46">
        <f>IF(ISNUMBER(T558),ABS(T558),"")</f>
        <v/>
      </c>
      <c r="V558" s="46">
        <f>IF(OR($D557&lt;&gt;"측정",$C557&lt;&gt;$C558,NOT(ISNUMBER(L558)),NOT(ISNUMBER(L557)),(IF(ISNUMBER(G558),G558,F558)-IF(ISNUMBER(G557),G557,F557))=0),"",(L558-L557)/(IF(ISNUMBER(G558),G558,F558)-IF(ISNUMBER(G557),G557,F557)))</f>
        <v/>
      </c>
      <c r="W558" s="30">
        <f>IF(NOT(AND(ISNUMBER(N558),ISNUMBER(P558))),"",(P558-N558)*1440)</f>
        <v/>
      </c>
      <c r="X558" s="28" t="n"/>
      <c r="Y558" s="28" t="n"/>
      <c r="Z558" s="28" t="n"/>
      <c r="AA558" s="31" t="n"/>
      <c r="AB558" s="31" t="n"/>
    </row>
    <row r="559">
      <c r="A559" s="25" t="inlineStr">
        <is>
          <t>S11</t>
        </is>
      </c>
      <c r="B559" s="25" t="inlineStr">
        <is>
          <t>소천 신규점4</t>
        </is>
      </c>
      <c r="C559" s="25" t="inlineStr">
        <is>
          <t>S11-H남</t>
        </is>
      </c>
      <c r="D559" s="25" t="inlineStr">
        <is>
          <t>측정</t>
        </is>
      </c>
      <c r="E559" s="25" t="inlineStr">
        <is>
          <t>남</t>
        </is>
      </c>
      <c r="F559" s="30" t="n">
        <v>7</v>
      </c>
      <c r="G559" s="29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IF(COUNTIFS($C:$C,$C559,$D:$D,"P0(전)",$L:$L,"&gt;0")&lt;&gt;1,"P0(전) 유효 1개 아님",IF(COUNTIFS($C:$C,$C559,$D:$D,"P0(후)",$L:$L,"&gt;0")&lt;&gt;1,"P0(후) 유효 1개 아님",IF(NOT(AND(ISNUMBER(N559),ISNUMBER(P559),ISNUMBER(H559))),"시각 결측",IF(P559&lt;=N559,"P0 시각 역전",IF(OR(H559&lt;N559,H559&gt;P559),"측정시각 구간 밖","OK")))))</f>
        <v/>
      </c>
      <c r="N559" s="45">
        <f>IF(COUNTIFS($C:$C,$C559,$D:$D,"P0(전)",$L:$L,"&gt;0")&lt;&gt;1,"",SUMIFS($H:$H,$C:$C,$C559,$D:$D,"P0(전)"))</f>
        <v/>
      </c>
      <c r="O559" s="30">
        <f>IF(COUNTIFS($C:$C,$C559,$D:$D,"P0(전)",$L:$L,"&gt;0")&lt;&gt;1,"",SUMIFS($L:$L,$C:$C,$C559,$D:$D,"P0(전)"))</f>
        <v/>
      </c>
      <c r="P559" s="45">
        <f>IF(COUNTIFS($C:$C,$C559,$D:$D,"P0(후)",$L:$L,"&gt;0")&lt;&gt;1,"",SUMIFS($H:$H,$C:$C,$C559,$D:$D,"P0(후)"))</f>
        <v/>
      </c>
      <c r="Q559" s="30">
        <f>IF(COUNTIFS($C:$C,$C559,$D:$D,"P0(후)",$L:$L,"&gt;0")&lt;&gt;1,"",SUMIFS($L:$L,$C:$C,$C559,$D:$D,"P0(후)"))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IF(OR(NOT(ISNUMBER(S559)),IF(ISNUMBER(G559),G559,F559)=0),"",S559/IF(ISNUMBER(G559),G559,F559))</f>
        <v/>
      </c>
      <c r="U559" s="46">
        <f>IF(ISNUMBER(T559),ABS(T559),"")</f>
        <v/>
      </c>
      <c r="V559" s="46">
        <f>IF(OR($D558&lt;&gt;"측정",$C558&lt;&gt;$C559,NOT(ISNUMBER(L559)),NOT(ISNUMBER(L558)),(IF(ISNUMBER(G559),G559,F559)-IF(ISNUMBER(G558),G558,F558))=0),"",(L559-L558)/(IF(ISNUMBER(G559),G559,F559)-IF(ISNUMBER(G558),G558,F558)))</f>
        <v/>
      </c>
      <c r="W559" s="30">
        <f>IF(NOT(AND(ISNUMBER(N559),ISNUMBER(P559))),"",(P559-N559)*1440)</f>
        <v/>
      </c>
      <c r="X559" s="28" t="n"/>
      <c r="Y559" s="28" t="n"/>
      <c r="Z559" s="28" t="n"/>
      <c r="AA559" s="31" t="n"/>
      <c r="AB559" s="31" t="n"/>
    </row>
    <row r="560">
      <c r="A560" s="25" t="inlineStr">
        <is>
          <t>S11</t>
        </is>
      </c>
      <c r="B560" s="25" t="inlineStr">
        <is>
          <t>소천 신규점4</t>
        </is>
      </c>
      <c r="C560" s="25" t="inlineStr">
        <is>
          <t>S11-H남</t>
        </is>
      </c>
      <c r="D560" s="25" t="inlineStr">
        <is>
          <t>측정</t>
        </is>
      </c>
      <c r="E560" s="25" t="inlineStr">
        <is>
          <t>남</t>
        </is>
      </c>
      <c r="F560" s="30" t="n">
        <v>8</v>
      </c>
      <c r="G560" s="29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IF(COUNTIFS($C:$C,$C560,$D:$D,"P0(전)",$L:$L,"&gt;0")&lt;&gt;1,"P0(전) 유효 1개 아님",IF(COUNTIFS($C:$C,$C560,$D:$D,"P0(후)",$L:$L,"&gt;0")&lt;&gt;1,"P0(후) 유효 1개 아님",IF(NOT(AND(ISNUMBER(N560),ISNUMBER(P560),ISNUMBER(H560))),"시각 결측",IF(P560&lt;=N560,"P0 시각 역전",IF(OR(H560&lt;N560,H560&gt;P560),"측정시각 구간 밖","OK")))))</f>
        <v/>
      </c>
      <c r="N560" s="45">
        <f>IF(COUNTIFS($C:$C,$C560,$D:$D,"P0(전)",$L:$L,"&gt;0")&lt;&gt;1,"",SUMIFS($H:$H,$C:$C,$C560,$D:$D,"P0(전)"))</f>
        <v/>
      </c>
      <c r="O560" s="30">
        <f>IF(COUNTIFS($C:$C,$C560,$D:$D,"P0(전)",$L:$L,"&gt;0")&lt;&gt;1,"",SUMIFS($L:$L,$C:$C,$C560,$D:$D,"P0(전)"))</f>
        <v/>
      </c>
      <c r="P560" s="45">
        <f>IF(COUNTIFS($C:$C,$C560,$D:$D,"P0(후)",$L:$L,"&gt;0")&lt;&gt;1,"",SUMIFS($H:$H,$C:$C,$C560,$D:$D,"P0(후)"))</f>
        <v/>
      </c>
      <c r="Q560" s="30">
        <f>IF(COUNTIFS($C:$C,$C560,$D:$D,"P0(후)",$L:$L,"&gt;0")&lt;&gt;1,"",SUMIFS($L:$L,$C:$C,$C560,$D:$D,"P0(후)"))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IF(OR(NOT(ISNUMBER(S560)),IF(ISNUMBER(G560),G560,F560)=0),"",S560/IF(ISNUMBER(G560),G560,F560))</f>
        <v/>
      </c>
      <c r="U560" s="46">
        <f>IF(ISNUMBER(T560),ABS(T560),"")</f>
        <v/>
      </c>
      <c r="V560" s="46">
        <f>IF(OR($D559&lt;&gt;"측정",$C559&lt;&gt;$C560,NOT(ISNUMBER(L560)),NOT(ISNUMBER(L559)),(IF(ISNUMBER(G560),G560,F560)-IF(ISNUMBER(G559),G559,F559))=0),"",(L560-L559)/(IF(ISNUMBER(G560),G560,F560)-IF(ISNUMBER(G559),G559,F559)))</f>
        <v/>
      </c>
      <c r="W560" s="30">
        <f>IF(NOT(AND(ISNUMBER(N560),ISNUMBER(P560))),"",(P560-N560)*1440)</f>
        <v/>
      </c>
      <c r="X560" s="28" t="n"/>
      <c r="Y560" s="28" t="n"/>
      <c r="Z560" s="28" t="n"/>
      <c r="AA560" s="31" t="n"/>
      <c r="AB560" s="31" t="n"/>
    </row>
    <row r="561">
      <c r="A561" s="25" t="inlineStr">
        <is>
          <t>S11</t>
        </is>
      </c>
      <c r="B561" s="25" t="inlineStr">
        <is>
          <t>소천 신규점4</t>
        </is>
      </c>
      <c r="C561" s="25" t="inlineStr">
        <is>
          <t>S11-H남</t>
        </is>
      </c>
      <c r="D561" s="25" t="inlineStr">
        <is>
          <t>측정</t>
        </is>
      </c>
      <c r="E561" s="25" t="inlineStr">
        <is>
          <t>남</t>
        </is>
      </c>
      <c r="F561" s="30" t="n">
        <v>9</v>
      </c>
      <c r="G561" s="29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IF(COUNTIFS($C:$C,$C561,$D:$D,"P0(전)",$L:$L,"&gt;0")&lt;&gt;1,"P0(전) 유효 1개 아님",IF(COUNTIFS($C:$C,$C561,$D:$D,"P0(후)",$L:$L,"&gt;0")&lt;&gt;1,"P0(후) 유효 1개 아님",IF(NOT(AND(ISNUMBER(N561),ISNUMBER(P561),ISNUMBER(H561))),"시각 결측",IF(P561&lt;=N561,"P0 시각 역전",IF(OR(H561&lt;N561,H561&gt;P561),"측정시각 구간 밖","OK")))))</f>
        <v/>
      </c>
      <c r="N561" s="45">
        <f>IF(COUNTIFS($C:$C,$C561,$D:$D,"P0(전)",$L:$L,"&gt;0")&lt;&gt;1,"",SUMIFS($H:$H,$C:$C,$C561,$D:$D,"P0(전)"))</f>
        <v/>
      </c>
      <c r="O561" s="30">
        <f>IF(COUNTIFS($C:$C,$C561,$D:$D,"P0(전)",$L:$L,"&gt;0")&lt;&gt;1,"",SUMIFS($L:$L,$C:$C,$C561,$D:$D,"P0(전)"))</f>
        <v/>
      </c>
      <c r="P561" s="45">
        <f>IF(COUNTIFS($C:$C,$C561,$D:$D,"P0(후)",$L:$L,"&gt;0")&lt;&gt;1,"",SUMIFS($H:$H,$C:$C,$C561,$D:$D,"P0(후)"))</f>
        <v/>
      </c>
      <c r="Q561" s="30">
        <f>IF(COUNTIFS($C:$C,$C561,$D:$D,"P0(후)",$L:$L,"&gt;0")&lt;&gt;1,"",SUMIFS($L:$L,$C:$C,$C561,$D:$D,"P0(후)"))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IF(OR(NOT(ISNUMBER(S561)),IF(ISNUMBER(G561),G561,F561)=0),"",S561/IF(ISNUMBER(G561),G561,F561))</f>
        <v/>
      </c>
      <c r="U561" s="46">
        <f>IF(ISNUMBER(T561),ABS(T561),"")</f>
        <v/>
      </c>
      <c r="V561" s="46">
        <f>IF(OR($D560&lt;&gt;"측정",$C560&lt;&gt;$C561,NOT(ISNUMBER(L561)),NOT(ISNUMBER(L560)),(IF(ISNUMBER(G561),G561,F561)-IF(ISNUMBER(G560),G560,F560))=0),"",(L561-L560)/(IF(ISNUMBER(G561),G561,F561)-IF(ISNUMBER(G560),G560,F560)))</f>
        <v/>
      </c>
      <c r="W561" s="30">
        <f>IF(NOT(AND(ISNUMBER(N561),ISNUMBER(P561))),"",(P561-N561)*1440)</f>
        <v/>
      </c>
      <c r="X561" s="28" t="n"/>
      <c r="Y561" s="28" t="n"/>
      <c r="Z561" s="28" t="n"/>
      <c r="AA561" s="31" t="n"/>
      <c r="AB561" s="31" t="n"/>
    </row>
    <row r="562">
      <c r="A562" s="25" t="inlineStr">
        <is>
          <t>S11</t>
        </is>
      </c>
      <c r="B562" s="25" t="inlineStr">
        <is>
          <t>소천 신규점4</t>
        </is>
      </c>
      <c r="C562" s="25" t="inlineStr">
        <is>
          <t>S11-H남</t>
        </is>
      </c>
      <c r="D562" s="25" t="inlineStr">
        <is>
          <t>측정</t>
        </is>
      </c>
      <c r="E562" s="25" t="inlineStr">
        <is>
          <t>남</t>
        </is>
      </c>
      <c r="F562" s="30" t="n">
        <v>10</v>
      </c>
      <c r="G562" s="29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IF(COUNTIFS($C:$C,$C562,$D:$D,"P0(전)",$L:$L,"&gt;0")&lt;&gt;1,"P0(전) 유효 1개 아님",IF(COUNTIFS($C:$C,$C562,$D:$D,"P0(후)",$L:$L,"&gt;0")&lt;&gt;1,"P0(후) 유효 1개 아님",IF(NOT(AND(ISNUMBER(N562),ISNUMBER(P562),ISNUMBER(H562))),"시각 결측",IF(P562&lt;=N562,"P0 시각 역전",IF(OR(H562&lt;N562,H562&gt;P562),"측정시각 구간 밖","OK")))))</f>
        <v/>
      </c>
      <c r="N562" s="45">
        <f>IF(COUNTIFS($C:$C,$C562,$D:$D,"P0(전)",$L:$L,"&gt;0")&lt;&gt;1,"",SUMIFS($H:$H,$C:$C,$C562,$D:$D,"P0(전)"))</f>
        <v/>
      </c>
      <c r="O562" s="30">
        <f>IF(COUNTIFS($C:$C,$C562,$D:$D,"P0(전)",$L:$L,"&gt;0")&lt;&gt;1,"",SUMIFS($L:$L,$C:$C,$C562,$D:$D,"P0(전)"))</f>
        <v/>
      </c>
      <c r="P562" s="45">
        <f>IF(COUNTIFS($C:$C,$C562,$D:$D,"P0(후)",$L:$L,"&gt;0")&lt;&gt;1,"",SUMIFS($H:$H,$C:$C,$C562,$D:$D,"P0(후)"))</f>
        <v/>
      </c>
      <c r="Q562" s="30">
        <f>IF(COUNTIFS($C:$C,$C562,$D:$D,"P0(후)",$L:$L,"&gt;0")&lt;&gt;1,"",SUMIFS($L:$L,$C:$C,$C562,$D:$D,"P0(후)"))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IF(OR(NOT(ISNUMBER(S562)),IF(ISNUMBER(G562),G562,F562)=0),"",S562/IF(ISNUMBER(G562),G562,F562))</f>
        <v/>
      </c>
      <c r="U562" s="46">
        <f>IF(ISNUMBER(T562),ABS(T562),"")</f>
        <v/>
      </c>
      <c r="V562" s="46">
        <f>IF(OR($D561&lt;&gt;"측정",$C561&lt;&gt;$C562,NOT(ISNUMBER(L562)),NOT(ISNUMBER(L561)),(IF(ISNUMBER(G562),G562,F562)-IF(ISNUMBER(G561),G561,F561))=0),"",(L562-L561)/(IF(ISNUMBER(G562),G562,F562)-IF(ISNUMBER(G561),G561,F561)))</f>
        <v/>
      </c>
      <c r="W562" s="30">
        <f>IF(NOT(AND(ISNUMBER(N562),ISNUMBER(P562))),"",(P562-N562)*1440)</f>
        <v/>
      </c>
      <c r="X562" s="28" t="n"/>
      <c r="Y562" s="28" t="n"/>
      <c r="Z562" s="28" t="n"/>
      <c r="AA562" s="31" t="n"/>
      <c r="AB562" s="31" t="n"/>
    </row>
    <row r="563">
      <c r="A563" s="43" t="inlineStr">
        <is>
          <t>S11</t>
        </is>
      </c>
      <c r="B563" s="43" t="inlineStr">
        <is>
          <t>소천 신규점4</t>
        </is>
      </c>
      <c r="C563" s="43" t="inlineStr">
        <is>
          <t>S11-H남</t>
        </is>
      </c>
      <c r="D563" s="43" t="inlineStr">
        <is>
          <t>P0(후)</t>
        </is>
      </c>
      <c r="E563" s="43" t="inlineStr">
        <is>
          <t>남</t>
        </is>
      </c>
      <c r="F563" s="44" t="n"/>
      <c r="G563" s="29" t="n"/>
      <c r="H563" s="42" t="n"/>
      <c r="I563" s="40" t="n"/>
      <c r="J563" s="40" t="n"/>
      <c r="K563" s="40" t="n"/>
      <c r="L563" s="30">
        <f>IF(COUNT(I563:K563)=0,"",MEDIAN(I563:K563))</f>
        <v/>
      </c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28" t="n"/>
      <c r="Y563" s="28" t="n"/>
      <c r="Z563" s="28" t="n"/>
      <c r="AA563" s="31" t="n"/>
      <c r="AB563" s="31" t="n"/>
    </row>
    <row r="564">
      <c r="A564" s="43" t="inlineStr">
        <is>
          <t>S11</t>
        </is>
      </c>
      <c r="B564" s="43" t="inlineStr">
        <is>
          <t>소천 신규점4</t>
        </is>
      </c>
      <c r="C564" s="43" t="inlineStr">
        <is>
          <t>S11-H북</t>
        </is>
      </c>
      <c r="D564" s="43" t="inlineStr">
        <is>
          <t>P0(전)</t>
        </is>
      </c>
      <c r="E564" s="43" t="inlineStr">
        <is>
          <t>북</t>
        </is>
      </c>
      <c r="F564" s="44" t="n"/>
      <c r="G564" s="29" t="n"/>
      <c r="H564" s="42" t="n"/>
      <c r="I564" s="40" t="n"/>
      <c r="J564" s="40" t="n"/>
      <c r="K564" s="40" t="n"/>
      <c r="L564" s="30">
        <f>IF(COUNT(I564:K564)=0,"",MEDIAN(I564:K564))</f>
        <v/>
      </c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28" t="n"/>
      <c r="Y564" s="28" t="n"/>
      <c r="Z564" s="28" t="n"/>
      <c r="AA564" s="31" t="n"/>
      <c r="AB564" s="31" t="n"/>
    </row>
    <row r="565">
      <c r="A565" s="25" t="inlineStr">
        <is>
          <t>S11</t>
        </is>
      </c>
      <c r="B565" s="25" t="inlineStr">
        <is>
          <t>소천 신규점4</t>
        </is>
      </c>
      <c r="C565" s="25" t="inlineStr">
        <is>
          <t>S11-H북</t>
        </is>
      </c>
      <c r="D565" s="25" t="inlineStr">
        <is>
          <t>측정</t>
        </is>
      </c>
      <c r="E565" s="25" t="inlineStr">
        <is>
          <t>북</t>
        </is>
      </c>
      <c r="F565" s="30" t="n">
        <v>0.5</v>
      </c>
      <c r="G565" s="29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IF(COUNTIFS($C:$C,$C565,$D:$D,"P0(전)",$L:$L,"&gt;0")&lt;&gt;1,"P0(전) 유효 1개 아님",IF(COUNTIFS($C:$C,$C565,$D:$D,"P0(후)",$L:$L,"&gt;0")&lt;&gt;1,"P0(후) 유효 1개 아님",IF(NOT(AND(ISNUMBER(N565),ISNUMBER(P565),ISNUMBER(H565))),"시각 결측",IF(P565&lt;=N565,"P0 시각 역전",IF(OR(H565&lt;N565,H565&gt;P565),"측정시각 구간 밖","OK")))))</f>
        <v/>
      </c>
      <c r="N565" s="45">
        <f>IF(COUNTIFS($C:$C,$C565,$D:$D,"P0(전)",$L:$L,"&gt;0")&lt;&gt;1,"",SUMIFS($H:$H,$C:$C,$C565,$D:$D,"P0(전)"))</f>
        <v/>
      </c>
      <c r="O565" s="30">
        <f>IF(COUNTIFS($C:$C,$C565,$D:$D,"P0(전)",$L:$L,"&gt;0")&lt;&gt;1,"",SUMIFS($L:$L,$C:$C,$C565,$D:$D,"P0(전)"))</f>
        <v/>
      </c>
      <c r="P565" s="45">
        <f>IF(COUNTIFS($C:$C,$C565,$D:$D,"P0(후)",$L:$L,"&gt;0")&lt;&gt;1,"",SUMIFS($H:$H,$C:$C,$C565,$D:$D,"P0(후)"))</f>
        <v/>
      </c>
      <c r="Q565" s="30">
        <f>IF(COUNTIFS($C:$C,$C565,$D:$D,"P0(후)",$L:$L,"&gt;0")&lt;&gt;1,"",SUMIFS($L:$L,$C:$C,$C565,$D:$D,"P0(후)"))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IF(OR(NOT(ISNUMBER(S565)),IF(ISNUMBER(G565),G565,F565)=0),"",S565/IF(ISNUMBER(G565),G565,F565))</f>
        <v/>
      </c>
      <c r="U565" s="46">
        <f>IF(ISNUMBER(T565),ABS(T565),"")</f>
        <v/>
      </c>
      <c r="V565" s="46">
        <f>IF(OR($D564&lt;&gt;"측정",$C564&lt;&gt;$C565,NOT(ISNUMBER(L565)),NOT(ISNUMBER(L564)),(IF(ISNUMBER(G565),G565,F565)-IF(ISNUMBER(G564),G564,F564))=0),"",(L565-L564)/(IF(ISNUMBER(G565),G565,F565)-IF(ISNUMBER(G564),G564,F564)))</f>
        <v/>
      </c>
      <c r="W565" s="30">
        <f>IF(NOT(AND(ISNUMBER(N565),ISNUMBER(P565))),"",(P565-N565)*1440)</f>
        <v/>
      </c>
      <c r="X565" s="28" t="n"/>
      <c r="Y565" s="28" t="n"/>
      <c r="Z565" s="28" t="n"/>
      <c r="AA565" s="31" t="n"/>
      <c r="AB565" s="31" t="n"/>
    </row>
    <row r="566">
      <c r="A566" s="25" t="inlineStr">
        <is>
          <t>S11</t>
        </is>
      </c>
      <c r="B566" s="25" t="inlineStr">
        <is>
          <t>소천 신규점4</t>
        </is>
      </c>
      <c r="C566" s="25" t="inlineStr">
        <is>
          <t>S11-H북</t>
        </is>
      </c>
      <c r="D566" s="25" t="inlineStr">
        <is>
          <t>측정</t>
        </is>
      </c>
      <c r="E566" s="25" t="inlineStr">
        <is>
          <t>북</t>
        </is>
      </c>
      <c r="F566" s="30" t="n">
        <v>1</v>
      </c>
      <c r="G566" s="29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IF(COUNTIFS($C:$C,$C566,$D:$D,"P0(전)",$L:$L,"&gt;0")&lt;&gt;1,"P0(전) 유효 1개 아님",IF(COUNTIFS($C:$C,$C566,$D:$D,"P0(후)",$L:$L,"&gt;0")&lt;&gt;1,"P0(후) 유효 1개 아님",IF(NOT(AND(ISNUMBER(N566),ISNUMBER(P566),ISNUMBER(H566))),"시각 결측",IF(P566&lt;=N566,"P0 시각 역전",IF(OR(H566&lt;N566,H566&gt;P566),"측정시각 구간 밖","OK")))))</f>
        <v/>
      </c>
      <c r="N566" s="45">
        <f>IF(COUNTIFS($C:$C,$C566,$D:$D,"P0(전)",$L:$L,"&gt;0")&lt;&gt;1,"",SUMIFS($H:$H,$C:$C,$C566,$D:$D,"P0(전)"))</f>
        <v/>
      </c>
      <c r="O566" s="30">
        <f>IF(COUNTIFS($C:$C,$C566,$D:$D,"P0(전)",$L:$L,"&gt;0")&lt;&gt;1,"",SUMIFS($L:$L,$C:$C,$C566,$D:$D,"P0(전)"))</f>
        <v/>
      </c>
      <c r="P566" s="45">
        <f>IF(COUNTIFS($C:$C,$C566,$D:$D,"P0(후)",$L:$L,"&gt;0")&lt;&gt;1,"",SUMIFS($H:$H,$C:$C,$C566,$D:$D,"P0(후)"))</f>
        <v/>
      </c>
      <c r="Q566" s="30">
        <f>IF(COUNTIFS($C:$C,$C566,$D:$D,"P0(후)",$L:$L,"&gt;0")&lt;&gt;1,"",SUMIFS($L:$L,$C:$C,$C566,$D:$D,"P0(후)"))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IF(OR(NOT(ISNUMBER(S566)),IF(ISNUMBER(G566),G566,F566)=0),"",S566/IF(ISNUMBER(G566),G566,F566))</f>
        <v/>
      </c>
      <c r="U566" s="46">
        <f>IF(ISNUMBER(T566),ABS(T566),"")</f>
        <v/>
      </c>
      <c r="V566" s="46">
        <f>IF(OR($D565&lt;&gt;"측정",$C565&lt;&gt;$C566,NOT(ISNUMBER(L566)),NOT(ISNUMBER(L565)),(IF(ISNUMBER(G566),G566,F566)-IF(ISNUMBER(G565),G565,F565))=0),"",(L566-L565)/(IF(ISNUMBER(G566),G566,F566)-IF(ISNUMBER(G565),G565,F565)))</f>
        <v/>
      </c>
      <c r="W566" s="30">
        <f>IF(NOT(AND(ISNUMBER(N566),ISNUMBER(P566))),"",(P566-N566)*1440)</f>
        <v/>
      </c>
      <c r="X566" s="28" t="n"/>
      <c r="Y566" s="28" t="n"/>
      <c r="Z566" s="28" t="n"/>
      <c r="AA566" s="31" t="n"/>
      <c r="AB566" s="31" t="n"/>
    </row>
    <row r="567">
      <c r="A567" s="25" t="inlineStr">
        <is>
          <t>S11</t>
        </is>
      </c>
      <c r="B567" s="25" t="inlineStr">
        <is>
          <t>소천 신규점4</t>
        </is>
      </c>
      <c r="C567" s="25" t="inlineStr">
        <is>
          <t>S11-H북</t>
        </is>
      </c>
      <c r="D567" s="25" t="inlineStr">
        <is>
          <t>측정</t>
        </is>
      </c>
      <c r="E567" s="25" t="inlineStr">
        <is>
          <t>북</t>
        </is>
      </c>
      <c r="F567" s="30" t="n">
        <v>2</v>
      </c>
      <c r="G567" s="29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IF(COUNTIFS($C:$C,$C567,$D:$D,"P0(전)",$L:$L,"&gt;0")&lt;&gt;1,"P0(전) 유효 1개 아님",IF(COUNTIFS($C:$C,$C567,$D:$D,"P0(후)",$L:$L,"&gt;0")&lt;&gt;1,"P0(후) 유효 1개 아님",IF(NOT(AND(ISNUMBER(N567),ISNUMBER(P567),ISNUMBER(H567))),"시각 결측",IF(P567&lt;=N567,"P0 시각 역전",IF(OR(H567&lt;N567,H567&gt;P567),"측정시각 구간 밖","OK")))))</f>
        <v/>
      </c>
      <c r="N567" s="45">
        <f>IF(COUNTIFS($C:$C,$C567,$D:$D,"P0(전)",$L:$L,"&gt;0")&lt;&gt;1,"",SUMIFS($H:$H,$C:$C,$C567,$D:$D,"P0(전)"))</f>
        <v/>
      </c>
      <c r="O567" s="30">
        <f>IF(COUNTIFS($C:$C,$C567,$D:$D,"P0(전)",$L:$L,"&gt;0")&lt;&gt;1,"",SUMIFS($L:$L,$C:$C,$C567,$D:$D,"P0(전)"))</f>
        <v/>
      </c>
      <c r="P567" s="45">
        <f>IF(COUNTIFS($C:$C,$C567,$D:$D,"P0(후)",$L:$L,"&gt;0")&lt;&gt;1,"",SUMIFS($H:$H,$C:$C,$C567,$D:$D,"P0(후)"))</f>
        <v/>
      </c>
      <c r="Q567" s="30">
        <f>IF(COUNTIFS($C:$C,$C567,$D:$D,"P0(후)",$L:$L,"&gt;0")&lt;&gt;1,"",SUMIFS($L:$L,$C:$C,$C567,$D:$D,"P0(후)"))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IF(OR(NOT(ISNUMBER(S567)),IF(ISNUMBER(G567),G567,F567)=0),"",S567/IF(ISNUMBER(G567),G567,F567))</f>
        <v/>
      </c>
      <c r="U567" s="46">
        <f>IF(ISNUMBER(T567),ABS(T567),"")</f>
        <v/>
      </c>
      <c r="V567" s="46">
        <f>IF(OR($D566&lt;&gt;"측정",$C566&lt;&gt;$C567,NOT(ISNUMBER(L567)),NOT(ISNUMBER(L566)),(IF(ISNUMBER(G567),G567,F567)-IF(ISNUMBER(G566),G566,F566))=0),"",(L567-L566)/(IF(ISNUMBER(G567),G567,F567)-IF(ISNUMBER(G566),G566,F566)))</f>
        <v/>
      </c>
      <c r="W567" s="30">
        <f>IF(NOT(AND(ISNUMBER(N567),ISNUMBER(P567))),"",(P567-N567)*1440)</f>
        <v/>
      </c>
      <c r="X567" s="28" t="n"/>
      <c r="Y567" s="28" t="n"/>
      <c r="Z567" s="28" t="n"/>
      <c r="AA567" s="31" t="n"/>
      <c r="AB567" s="31" t="n"/>
    </row>
    <row r="568">
      <c r="A568" s="25" t="inlineStr">
        <is>
          <t>S11</t>
        </is>
      </c>
      <c r="B568" s="25" t="inlineStr">
        <is>
          <t>소천 신규점4</t>
        </is>
      </c>
      <c r="C568" s="25" t="inlineStr">
        <is>
          <t>S11-H북</t>
        </is>
      </c>
      <c r="D568" s="25" t="inlineStr">
        <is>
          <t>측정</t>
        </is>
      </c>
      <c r="E568" s="25" t="inlineStr">
        <is>
          <t>북</t>
        </is>
      </c>
      <c r="F568" s="30" t="n">
        <v>3</v>
      </c>
      <c r="G568" s="29" t="n"/>
      <c r="H568" s="42" t="n"/>
      <c r="I568" s="40" t="n"/>
      <c r="J568" s="40" t="n"/>
      <c r="K568" s="40" t="n"/>
      <c r="L568" s="30">
        <f>IF(COUNT(I568:K568)=0,"",MEDIAN(I568:K568))</f>
        <v/>
      </c>
      <c r="M568" s="25">
        <f>IF(COUNTIFS($C:$C,$C568,$D:$D,"P0(전)",$L:$L,"&gt;0")&lt;&gt;1,"P0(전) 유효 1개 아님",IF(COUNTIFS($C:$C,$C568,$D:$D,"P0(후)",$L:$L,"&gt;0")&lt;&gt;1,"P0(후) 유효 1개 아님",IF(NOT(AND(ISNUMBER(N568),ISNUMBER(P568),ISNUMBER(H568))),"시각 결측",IF(P568&lt;=N568,"P0 시각 역전",IF(OR(H568&lt;N568,H568&gt;P568),"측정시각 구간 밖","OK")))))</f>
        <v/>
      </c>
      <c r="N568" s="45">
        <f>IF(COUNTIFS($C:$C,$C568,$D:$D,"P0(전)",$L:$L,"&gt;0")&lt;&gt;1,"",SUMIFS($H:$H,$C:$C,$C568,$D:$D,"P0(전)"))</f>
        <v/>
      </c>
      <c r="O568" s="30">
        <f>IF(COUNTIFS($C:$C,$C568,$D:$D,"P0(전)",$L:$L,"&gt;0")&lt;&gt;1,"",SUMIFS($L:$L,$C:$C,$C568,$D:$D,"P0(전)"))</f>
        <v/>
      </c>
      <c r="P568" s="45">
        <f>IF(COUNTIFS($C:$C,$C568,$D:$D,"P0(후)",$L:$L,"&gt;0")&lt;&gt;1,"",SUMIFS($H:$H,$C:$C,$C568,$D:$D,"P0(후)"))</f>
        <v/>
      </c>
      <c r="Q568" s="30">
        <f>IF(COUNTIFS($C:$C,$C568,$D:$D,"P0(후)",$L:$L,"&gt;0")&lt;&gt;1,"",SUMIFS($L:$L,$C:$C,$C568,$D:$D,"P0(후)"))</f>
        <v/>
      </c>
      <c r="R568" s="30">
        <f>IF(M568&lt;&gt;"OK","",O568+(Q568-O568)*(H568-N568)/(P568-N568))</f>
        <v/>
      </c>
      <c r="S568" s="30">
        <f>IF(OR(M568&lt;&gt;"OK",NOT(ISNUMBER(L568))),"",L568-R568)</f>
        <v/>
      </c>
      <c r="T568" s="46">
        <f>IF(OR(NOT(ISNUMBER(S568)),IF(ISNUMBER(G568),G568,F568)=0),"",S568/IF(ISNUMBER(G568),G568,F568))</f>
        <v/>
      </c>
      <c r="U568" s="46">
        <f>IF(ISNUMBER(T568),ABS(T568),"")</f>
        <v/>
      </c>
      <c r="V568" s="46">
        <f>IF(OR($D567&lt;&gt;"측정",$C567&lt;&gt;$C568,NOT(ISNUMBER(L568)),NOT(ISNUMBER(L567)),(IF(ISNUMBER(G568),G568,F568)-IF(ISNUMBER(G567),G567,F567))=0),"",(L568-L567)/(IF(ISNUMBER(G568),G568,F568)-IF(ISNUMBER(G567),G567,F567)))</f>
        <v/>
      </c>
      <c r="W568" s="30">
        <f>IF(NOT(AND(ISNUMBER(N568),ISNUMBER(P568))),"",(P568-N568)*1440)</f>
        <v/>
      </c>
      <c r="X568" s="28" t="n"/>
      <c r="Y568" s="28" t="n"/>
      <c r="Z568" s="28" t="n"/>
      <c r="AA568" s="31" t="n"/>
      <c r="AB568" s="31" t="n"/>
    </row>
    <row r="569">
      <c r="A569" s="25" t="inlineStr">
        <is>
          <t>S11</t>
        </is>
      </c>
      <c r="B569" s="25" t="inlineStr">
        <is>
          <t>소천 신규점4</t>
        </is>
      </c>
      <c r="C569" s="25" t="inlineStr">
        <is>
          <t>S11-H북</t>
        </is>
      </c>
      <c r="D569" s="25" t="inlineStr">
        <is>
          <t>측정</t>
        </is>
      </c>
      <c r="E569" s="25" t="inlineStr">
        <is>
          <t>북</t>
        </is>
      </c>
      <c r="F569" s="30" t="n">
        <v>4</v>
      </c>
      <c r="G569" s="29" t="n"/>
      <c r="H569" s="42" t="n"/>
      <c r="I569" s="40" t="n"/>
      <c r="J569" s="40" t="n"/>
      <c r="K569" s="40" t="n"/>
      <c r="L569" s="30">
        <f>IF(COUNT(I569:K569)=0,"",MEDIAN(I569:K569))</f>
        <v/>
      </c>
      <c r="M569" s="25">
        <f>IF(COUNTIFS($C:$C,$C569,$D:$D,"P0(전)",$L:$L,"&gt;0")&lt;&gt;1,"P0(전) 유효 1개 아님",IF(COUNTIFS($C:$C,$C569,$D:$D,"P0(후)",$L:$L,"&gt;0")&lt;&gt;1,"P0(후) 유효 1개 아님",IF(NOT(AND(ISNUMBER(N569),ISNUMBER(P569),ISNUMBER(H569))),"시각 결측",IF(P569&lt;=N569,"P0 시각 역전",IF(OR(H569&lt;N569,H569&gt;P569),"측정시각 구간 밖","OK")))))</f>
        <v/>
      </c>
      <c r="N569" s="45">
        <f>IF(COUNTIFS($C:$C,$C569,$D:$D,"P0(전)",$L:$L,"&gt;0")&lt;&gt;1,"",SUMIFS($H:$H,$C:$C,$C569,$D:$D,"P0(전)"))</f>
        <v/>
      </c>
      <c r="O569" s="30">
        <f>IF(COUNTIFS($C:$C,$C569,$D:$D,"P0(전)",$L:$L,"&gt;0")&lt;&gt;1,"",SUMIFS($L:$L,$C:$C,$C569,$D:$D,"P0(전)"))</f>
        <v/>
      </c>
      <c r="P569" s="45">
        <f>IF(COUNTIFS($C:$C,$C569,$D:$D,"P0(후)",$L:$L,"&gt;0")&lt;&gt;1,"",SUMIFS($H:$H,$C:$C,$C569,$D:$D,"P0(후)"))</f>
        <v/>
      </c>
      <c r="Q569" s="30">
        <f>IF(COUNTIFS($C:$C,$C569,$D:$D,"P0(후)",$L:$L,"&gt;0")&lt;&gt;1,"",SUMIFS($L:$L,$C:$C,$C569,$D:$D,"P0(후)"))</f>
        <v/>
      </c>
      <c r="R569" s="30">
        <f>IF(M569&lt;&gt;"OK","",O569+(Q569-O569)*(H569-N569)/(P569-N569))</f>
        <v/>
      </c>
      <c r="S569" s="30">
        <f>IF(OR(M569&lt;&gt;"OK",NOT(ISNUMBER(L569))),"",L569-R569)</f>
        <v/>
      </c>
      <c r="T569" s="46">
        <f>IF(OR(NOT(ISNUMBER(S569)),IF(ISNUMBER(G569),G569,F569)=0),"",S569/IF(ISNUMBER(G569),G569,F569))</f>
        <v/>
      </c>
      <c r="U569" s="46">
        <f>IF(ISNUMBER(T569),ABS(T569),"")</f>
        <v/>
      </c>
      <c r="V569" s="46">
        <f>IF(OR($D568&lt;&gt;"측정",$C568&lt;&gt;$C569,NOT(ISNUMBER(L569)),NOT(ISNUMBER(L568)),(IF(ISNUMBER(G569),G569,F569)-IF(ISNUMBER(G568),G568,F568))=0),"",(L569-L568)/(IF(ISNUMBER(G569),G569,F569)-IF(ISNUMBER(G568),G568,F568)))</f>
        <v/>
      </c>
      <c r="W569" s="30">
        <f>IF(NOT(AND(ISNUMBER(N569),ISNUMBER(P569))),"",(P569-N569)*1440)</f>
        <v/>
      </c>
      <c r="X569" s="28" t="n"/>
      <c r="Y569" s="28" t="n"/>
      <c r="Z569" s="28" t="n"/>
      <c r="AA569" s="31" t="n"/>
      <c r="AB569" s="31" t="n"/>
    </row>
    <row r="570">
      <c r="A570" s="25" t="inlineStr">
        <is>
          <t>S11</t>
        </is>
      </c>
      <c r="B570" s="25" t="inlineStr">
        <is>
          <t>소천 신규점4</t>
        </is>
      </c>
      <c r="C570" s="25" t="inlineStr">
        <is>
          <t>S11-H북</t>
        </is>
      </c>
      <c r="D570" s="25" t="inlineStr">
        <is>
          <t>측정</t>
        </is>
      </c>
      <c r="E570" s="25" t="inlineStr">
        <is>
          <t>북</t>
        </is>
      </c>
      <c r="F570" s="30" t="n">
        <v>5</v>
      </c>
      <c r="G570" s="29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IF(COUNTIFS($C:$C,$C570,$D:$D,"P0(전)",$L:$L,"&gt;0")&lt;&gt;1,"P0(전) 유효 1개 아님",IF(COUNTIFS($C:$C,$C570,$D:$D,"P0(후)",$L:$L,"&gt;0")&lt;&gt;1,"P0(후) 유효 1개 아님",IF(NOT(AND(ISNUMBER(N570),ISNUMBER(P570),ISNUMBER(H570))),"시각 결측",IF(P570&lt;=N570,"P0 시각 역전",IF(OR(H570&lt;N570,H570&gt;P570),"측정시각 구간 밖","OK")))))</f>
        <v/>
      </c>
      <c r="N570" s="45">
        <f>IF(COUNTIFS($C:$C,$C570,$D:$D,"P0(전)",$L:$L,"&gt;0")&lt;&gt;1,"",SUMIFS($H:$H,$C:$C,$C570,$D:$D,"P0(전)"))</f>
        <v/>
      </c>
      <c r="O570" s="30">
        <f>IF(COUNTIFS($C:$C,$C570,$D:$D,"P0(전)",$L:$L,"&gt;0")&lt;&gt;1,"",SUMIFS($L:$L,$C:$C,$C570,$D:$D,"P0(전)"))</f>
        <v/>
      </c>
      <c r="P570" s="45">
        <f>IF(COUNTIFS($C:$C,$C570,$D:$D,"P0(후)",$L:$L,"&gt;0")&lt;&gt;1,"",SUMIFS($H:$H,$C:$C,$C570,$D:$D,"P0(후)"))</f>
        <v/>
      </c>
      <c r="Q570" s="30">
        <f>IF(COUNTIFS($C:$C,$C570,$D:$D,"P0(후)",$L:$L,"&gt;0")&lt;&gt;1,"",SUMIFS($L:$L,$C:$C,$C570,$D:$D,"P0(후)"))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IF(OR(NOT(ISNUMBER(S570)),IF(ISNUMBER(G570),G570,F570)=0),"",S570/IF(ISNUMBER(G570),G570,F570))</f>
        <v/>
      </c>
      <c r="U570" s="46">
        <f>IF(ISNUMBER(T570),ABS(T570),"")</f>
        <v/>
      </c>
      <c r="V570" s="46">
        <f>IF(OR($D569&lt;&gt;"측정",$C569&lt;&gt;$C570,NOT(ISNUMBER(L570)),NOT(ISNUMBER(L569)),(IF(ISNUMBER(G570),G570,F570)-IF(ISNUMBER(G569),G569,F569))=0),"",(L570-L569)/(IF(ISNUMBER(G570),G570,F570)-IF(ISNUMBER(G569),G569,F569)))</f>
        <v/>
      </c>
      <c r="W570" s="30">
        <f>IF(NOT(AND(ISNUMBER(N570),ISNUMBER(P570))),"",(P570-N570)*1440)</f>
        <v/>
      </c>
      <c r="X570" s="28" t="n"/>
      <c r="Y570" s="28" t="n"/>
      <c r="Z570" s="28" t="n"/>
      <c r="AA570" s="31" t="n"/>
      <c r="AB570" s="31" t="n"/>
    </row>
    <row r="571">
      <c r="A571" s="25" t="inlineStr">
        <is>
          <t>S11</t>
        </is>
      </c>
      <c r="B571" s="25" t="inlineStr">
        <is>
          <t>소천 신규점4</t>
        </is>
      </c>
      <c r="C571" s="25" t="inlineStr">
        <is>
          <t>S11-H북</t>
        </is>
      </c>
      <c r="D571" s="25" t="inlineStr">
        <is>
          <t>측정</t>
        </is>
      </c>
      <c r="E571" s="25" t="inlineStr">
        <is>
          <t>북</t>
        </is>
      </c>
      <c r="F571" s="30" t="n">
        <v>6</v>
      </c>
      <c r="G571" s="29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IF(COUNTIFS($C:$C,$C571,$D:$D,"P0(전)",$L:$L,"&gt;0")&lt;&gt;1,"P0(전) 유효 1개 아님",IF(COUNTIFS($C:$C,$C571,$D:$D,"P0(후)",$L:$L,"&gt;0")&lt;&gt;1,"P0(후) 유효 1개 아님",IF(NOT(AND(ISNUMBER(N571),ISNUMBER(P571),ISNUMBER(H571))),"시각 결측",IF(P571&lt;=N571,"P0 시각 역전",IF(OR(H571&lt;N571,H571&gt;P571),"측정시각 구간 밖","OK")))))</f>
        <v/>
      </c>
      <c r="N571" s="45">
        <f>IF(COUNTIFS($C:$C,$C571,$D:$D,"P0(전)",$L:$L,"&gt;0")&lt;&gt;1,"",SUMIFS($H:$H,$C:$C,$C571,$D:$D,"P0(전)"))</f>
        <v/>
      </c>
      <c r="O571" s="30">
        <f>IF(COUNTIFS($C:$C,$C571,$D:$D,"P0(전)",$L:$L,"&gt;0")&lt;&gt;1,"",SUMIFS($L:$L,$C:$C,$C571,$D:$D,"P0(전)"))</f>
        <v/>
      </c>
      <c r="P571" s="45">
        <f>IF(COUNTIFS($C:$C,$C571,$D:$D,"P0(후)",$L:$L,"&gt;0")&lt;&gt;1,"",SUMIFS($H:$H,$C:$C,$C571,$D:$D,"P0(후)"))</f>
        <v/>
      </c>
      <c r="Q571" s="30">
        <f>IF(COUNTIFS($C:$C,$C571,$D:$D,"P0(후)",$L:$L,"&gt;0")&lt;&gt;1,"",SUMIFS($L:$L,$C:$C,$C571,$D:$D,"P0(후)"))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IF(OR(NOT(ISNUMBER(S571)),IF(ISNUMBER(G571),G571,F571)=0),"",S571/IF(ISNUMBER(G571),G571,F571))</f>
        <v/>
      </c>
      <c r="U571" s="46">
        <f>IF(ISNUMBER(T571),ABS(T571),"")</f>
        <v/>
      </c>
      <c r="V571" s="46">
        <f>IF(OR($D570&lt;&gt;"측정",$C570&lt;&gt;$C571,NOT(ISNUMBER(L571)),NOT(ISNUMBER(L570)),(IF(ISNUMBER(G571),G571,F571)-IF(ISNUMBER(G570),G570,F570))=0),"",(L571-L570)/(IF(ISNUMBER(G571),G571,F571)-IF(ISNUMBER(G570),G570,F570)))</f>
        <v/>
      </c>
      <c r="W571" s="30">
        <f>IF(NOT(AND(ISNUMBER(N571),ISNUMBER(P571))),"",(P571-N571)*1440)</f>
        <v/>
      </c>
      <c r="X571" s="28" t="n"/>
      <c r="Y571" s="28" t="n"/>
      <c r="Z571" s="28" t="n"/>
      <c r="AA571" s="31" t="n"/>
      <c r="AB571" s="31" t="n"/>
    </row>
    <row r="572">
      <c r="A572" s="25" t="inlineStr">
        <is>
          <t>S11</t>
        </is>
      </c>
      <c r="B572" s="25" t="inlineStr">
        <is>
          <t>소천 신규점4</t>
        </is>
      </c>
      <c r="C572" s="25" t="inlineStr">
        <is>
          <t>S11-H북</t>
        </is>
      </c>
      <c r="D572" s="25" t="inlineStr">
        <is>
          <t>측정</t>
        </is>
      </c>
      <c r="E572" s="25" t="inlineStr">
        <is>
          <t>북</t>
        </is>
      </c>
      <c r="F572" s="30" t="n">
        <v>7</v>
      </c>
      <c r="G572" s="29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IF(COUNTIFS($C:$C,$C572,$D:$D,"P0(전)",$L:$L,"&gt;0")&lt;&gt;1,"P0(전) 유효 1개 아님",IF(COUNTIFS($C:$C,$C572,$D:$D,"P0(후)",$L:$L,"&gt;0")&lt;&gt;1,"P0(후) 유효 1개 아님",IF(NOT(AND(ISNUMBER(N572),ISNUMBER(P572),ISNUMBER(H572))),"시각 결측",IF(P572&lt;=N572,"P0 시각 역전",IF(OR(H572&lt;N572,H572&gt;P572),"측정시각 구간 밖","OK")))))</f>
        <v/>
      </c>
      <c r="N572" s="45">
        <f>IF(COUNTIFS($C:$C,$C572,$D:$D,"P0(전)",$L:$L,"&gt;0")&lt;&gt;1,"",SUMIFS($H:$H,$C:$C,$C572,$D:$D,"P0(전)"))</f>
        <v/>
      </c>
      <c r="O572" s="30">
        <f>IF(COUNTIFS($C:$C,$C572,$D:$D,"P0(전)",$L:$L,"&gt;0")&lt;&gt;1,"",SUMIFS($L:$L,$C:$C,$C572,$D:$D,"P0(전)"))</f>
        <v/>
      </c>
      <c r="P572" s="45">
        <f>IF(COUNTIFS($C:$C,$C572,$D:$D,"P0(후)",$L:$L,"&gt;0")&lt;&gt;1,"",SUMIFS($H:$H,$C:$C,$C572,$D:$D,"P0(후)"))</f>
        <v/>
      </c>
      <c r="Q572" s="30">
        <f>IF(COUNTIFS($C:$C,$C572,$D:$D,"P0(후)",$L:$L,"&gt;0")&lt;&gt;1,"",SUMIFS($L:$L,$C:$C,$C572,$D:$D,"P0(후)"))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IF(OR(NOT(ISNUMBER(S572)),IF(ISNUMBER(G572),G572,F572)=0),"",S572/IF(ISNUMBER(G572),G572,F572))</f>
        <v/>
      </c>
      <c r="U572" s="46">
        <f>IF(ISNUMBER(T572),ABS(T572),"")</f>
        <v/>
      </c>
      <c r="V572" s="46">
        <f>IF(OR($D571&lt;&gt;"측정",$C571&lt;&gt;$C572,NOT(ISNUMBER(L572)),NOT(ISNUMBER(L571)),(IF(ISNUMBER(G572),G572,F572)-IF(ISNUMBER(G571),G571,F571))=0),"",(L572-L571)/(IF(ISNUMBER(G572),G572,F572)-IF(ISNUMBER(G571),G571,F571)))</f>
        <v/>
      </c>
      <c r="W572" s="30">
        <f>IF(NOT(AND(ISNUMBER(N572),ISNUMBER(P572))),"",(P572-N572)*1440)</f>
        <v/>
      </c>
      <c r="X572" s="28" t="n"/>
      <c r="Y572" s="28" t="n"/>
      <c r="Z572" s="28" t="n"/>
      <c r="AA572" s="31" t="n"/>
      <c r="AB572" s="31" t="n"/>
    </row>
    <row r="573">
      <c r="A573" s="25" t="inlineStr">
        <is>
          <t>S11</t>
        </is>
      </c>
      <c r="B573" s="25" t="inlineStr">
        <is>
          <t>소천 신규점4</t>
        </is>
      </c>
      <c r="C573" s="25" t="inlineStr">
        <is>
          <t>S11-H북</t>
        </is>
      </c>
      <c r="D573" s="25" t="inlineStr">
        <is>
          <t>측정</t>
        </is>
      </c>
      <c r="E573" s="25" t="inlineStr">
        <is>
          <t>북</t>
        </is>
      </c>
      <c r="F573" s="30" t="n">
        <v>8</v>
      </c>
      <c r="G573" s="29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IF(COUNTIFS($C:$C,$C573,$D:$D,"P0(전)",$L:$L,"&gt;0")&lt;&gt;1,"P0(전) 유효 1개 아님",IF(COUNTIFS($C:$C,$C573,$D:$D,"P0(후)",$L:$L,"&gt;0")&lt;&gt;1,"P0(후) 유효 1개 아님",IF(NOT(AND(ISNUMBER(N573),ISNUMBER(P573),ISNUMBER(H573))),"시각 결측",IF(P573&lt;=N573,"P0 시각 역전",IF(OR(H573&lt;N573,H573&gt;P573),"측정시각 구간 밖","OK")))))</f>
        <v/>
      </c>
      <c r="N573" s="45">
        <f>IF(COUNTIFS($C:$C,$C573,$D:$D,"P0(전)",$L:$L,"&gt;0")&lt;&gt;1,"",SUMIFS($H:$H,$C:$C,$C573,$D:$D,"P0(전)"))</f>
        <v/>
      </c>
      <c r="O573" s="30">
        <f>IF(COUNTIFS($C:$C,$C573,$D:$D,"P0(전)",$L:$L,"&gt;0")&lt;&gt;1,"",SUMIFS($L:$L,$C:$C,$C573,$D:$D,"P0(전)"))</f>
        <v/>
      </c>
      <c r="P573" s="45">
        <f>IF(COUNTIFS($C:$C,$C573,$D:$D,"P0(후)",$L:$L,"&gt;0")&lt;&gt;1,"",SUMIFS($H:$H,$C:$C,$C573,$D:$D,"P0(후)"))</f>
        <v/>
      </c>
      <c r="Q573" s="30">
        <f>IF(COUNTIFS($C:$C,$C573,$D:$D,"P0(후)",$L:$L,"&gt;0")&lt;&gt;1,"",SUMIFS($L:$L,$C:$C,$C573,$D:$D,"P0(후)"))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IF(OR(NOT(ISNUMBER(S573)),IF(ISNUMBER(G573),G573,F573)=0),"",S573/IF(ISNUMBER(G573),G573,F573))</f>
        <v/>
      </c>
      <c r="U573" s="46">
        <f>IF(ISNUMBER(T573),ABS(T573),"")</f>
        <v/>
      </c>
      <c r="V573" s="46">
        <f>IF(OR($D572&lt;&gt;"측정",$C572&lt;&gt;$C573,NOT(ISNUMBER(L573)),NOT(ISNUMBER(L572)),(IF(ISNUMBER(G573),G573,F573)-IF(ISNUMBER(G572),G572,F572))=0),"",(L573-L572)/(IF(ISNUMBER(G573),G573,F573)-IF(ISNUMBER(G572),G572,F572)))</f>
        <v/>
      </c>
      <c r="W573" s="30">
        <f>IF(NOT(AND(ISNUMBER(N573),ISNUMBER(P573))),"",(P573-N573)*1440)</f>
        <v/>
      </c>
      <c r="X573" s="28" t="n"/>
      <c r="Y573" s="28" t="n"/>
      <c r="Z573" s="28" t="n"/>
      <c r="AA573" s="31" t="n"/>
      <c r="AB573" s="31" t="n"/>
    </row>
    <row r="574">
      <c r="A574" s="25" t="inlineStr">
        <is>
          <t>S11</t>
        </is>
      </c>
      <c r="B574" s="25" t="inlineStr">
        <is>
          <t>소천 신규점4</t>
        </is>
      </c>
      <c r="C574" s="25" t="inlineStr">
        <is>
          <t>S11-H북</t>
        </is>
      </c>
      <c r="D574" s="25" t="inlineStr">
        <is>
          <t>측정</t>
        </is>
      </c>
      <c r="E574" s="25" t="inlineStr">
        <is>
          <t>북</t>
        </is>
      </c>
      <c r="F574" s="30" t="n">
        <v>9</v>
      </c>
      <c r="G574" s="29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IF(COUNTIFS($C:$C,$C574,$D:$D,"P0(전)",$L:$L,"&gt;0")&lt;&gt;1,"P0(전) 유효 1개 아님",IF(COUNTIFS($C:$C,$C574,$D:$D,"P0(후)",$L:$L,"&gt;0")&lt;&gt;1,"P0(후) 유효 1개 아님",IF(NOT(AND(ISNUMBER(N574),ISNUMBER(P574),ISNUMBER(H574))),"시각 결측",IF(P574&lt;=N574,"P0 시각 역전",IF(OR(H574&lt;N574,H574&gt;P574),"측정시각 구간 밖","OK")))))</f>
        <v/>
      </c>
      <c r="N574" s="45">
        <f>IF(COUNTIFS($C:$C,$C574,$D:$D,"P0(전)",$L:$L,"&gt;0")&lt;&gt;1,"",SUMIFS($H:$H,$C:$C,$C574,$D:$D,"P0(전)"))</f>
        <v/>
      </c>
      <c r="O574" s="30">
        <f>IF(COUNTIFS($C:$C,$C574,$D:$D,"P0(전)",$L:$L,"&gt;0")&lt;&gt;1,"",SUMIFS($L:$L,$C:$C,$C574,$D:$D,"P0(전)"))</f>
        <v/>
      </c>
      <c r="P574" s="45">
        <f>IF(COUNTIFS($C:$C,$C574,$D:$D,"P0(후)",$L:$L,"&gt;0")&lt;&gt;1,"",SUMIFS($H:$H,$C:$C,$C574,$D:$D,"P0(후)"))</f>
        <v/>
      </c>
      <c r="Q574" s="30">
        <f>IF(COUNTIFS($C:$C,$C574,$D:$D,"P0(후)",$L:$L,"&gt;0")&lt;&gt;1,"",SUMIFS($L:$L,$C:$C,$C574,$D:$D,"P0(후)"))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IF(OR(NOT(ISNUMBER(S574)),IF(ISNUMBER(G574),G574,F574)=0),"",S574/IF(ISNUMBER(G574),G574,F574))</f>
        <v/>
      </c>
      <c r="U574" s="46">
        <f>IF(ISNUMBER(T574),ABS(T574),"")</f>
        <v/>
      </c>
      <c r="V574" s="46">
        <f>IF(OR($D573&lt;&gt;"측정",$C573&lt;&gt;$C574,NOT(ISNUMBER(L574)),NOT(ISNUMBER(L573)),(IF(ISNUMBER(G574),G574,F574)-IF(ISNUMBER(G573),G573,F573))=0),"",(L574-L573)/(IF(ISNUMBER(G574),G574,F574)-IF(ISNUMBER(G573),G573,F573)))</f>
        <v/>
      </c>
      <c r="W574" s="30">
        <f>IF(NOT(AND(ISNUMBER(N574),ISNUMBER(P574))),"",(P574-N574)*1440)</f>
        <v/>
      </c>
      <c r="X574" s="28" t="n"/>
      <c r="Y574" s="28" t="n"/>
      <c r="Z574" s="28" t="n"/>
      <c r="AA574" s="31" t="n"/>
      <c r="AB574" s="31" t="n"/>
    </row>
    <row r="575">
      <c r="A575" s="25" t="inlineStr">
        <is>
          <t>S11</t>
        </is>
      </c>
      <c r="B575" s="25" t="inlineStr">
        <is>
          <t>소천 신규점4</t>
        </is>
      </c>
      <c r="C575" s="25" t="inlineStr">
        <is>
          <t>S11-H북</t>
        </is>
      </c>
      <c r="D575" s="25" t="inlineStr">
        <is>
          <t>측정</t>
        </is>
      </c>
      <c r="E575" s="25" t="inlineStr">
        <is>
          <t>북</t>
        </is>
      </c>
      <c r="F575" s="30" t="n">
        <v>10</v>
      </c>
      <c r="G575" s="29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IF(COUNTIFS($C:$C,$C575,$D:$D,"P0(전)",$L:$L,"&gt;0")&lt;&gt;1,"P0(전) 유효 1개 아님",IF(COUNTIFS($C:$C,$C575,$D:$D,"P0(후)",$L:$L,"&gt;0")&lt;&gt;1,"P0(후) 유효 1개 아님",IF(NOT(AND(ISNUMBER(N575),ISNUMBER(P575),ISNUMBER(H575))),"시각 결측",IF(P575&lt;=N575,"P0 시각 역전",IF(OR(H575&lt;N575,H575&gt;P575),"측정시각 구간 밖","OK")))))</f>
        <v/>
      </c>
      <c r="N575" s="45">
        <f>IF(COUNTIFS($C:$C,$C575,$D:$D,"P0(전)",$L:$L,"&gt;0")&lt;&gt;1,"",SUMIFS($H:$H,$C:$C,$C575,$D:$D,"P0(전)"))</f>
        <v/>
      </c>
      <c r="O575" s="30">
        <f>IF(COUNTIFS($C:$C,$C575,$D:$D,"P0(전)",$L:$L,"&gt;0")&lt;&gt;1,"",SUMIFS($L:$L,$C:$C,$C575,$D:$D,"P0(전)"))</f>
        <v/>
      </c>
      <c r="P575" s="45">
        <f>IF(COUNTIFS($C:$C,$C575,$D:$D,"P0(후)",$L:$L,"&gt;0")&lt;&gt;1,"",SUMIFS($H:$H,$C:$C,$C575,$D:$D,"P0(후)"))</f>
        <v/>
      </c>
      <c r="Q575" s="30">
        <f>IF(COUNTIFS($C:$C,$C575,$D:$D,"P0(후)",$L:$L,"&gt;0")&lt;&gt;1,"",SUMIFS($L:$L,$C:$C,$C575,$D:$D,"P0(후)"))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IF(OR(NOT(ISNUMBER(S575)),IF(ISNUMBER(G575),G575,F575)=0),"",S575/IF(ISNUMBER(G575),G575,F575))</f>
        <v/>
      </c>
      <c r="U575" s="46">
        <f>IF(ISNUMBER(T575),ABS(T575),"")</f>
        <v/>
      </c>
      <c r="V575" s="46">
        <f>IF(OR($D574&lt;&gt;"측정",$C574&lt;&gt;$C575,NOT(ISNUMBER(L575)),NOT(ISNUMBER(L574)),(IF(ISNUMBER(G575),G575,F575)-IF(ISNUMBER(G574),G574,F574))=0),"",(L575-L574)/(IF(ISNUMBER(G575),G575,F575)-IF(ISNUMBER(G574),G574,F574)))</f>
        <v/>
      </c>
      <c r="W575" s="30">
        <f>IF(NOT(AND(ISNUMBER(N575),ISNUMBER(P575))),"",(P575-N575)*1440)</f>
        <v/>
      </c>
      <c r="X575" s="28" t="n"/>
      <c r="Y575" s="28" t="n"/>
      <c r="Z575" s="28" t="n"/>
      <c r="AA575" s="31" t="n"/>
      <c r="AB575" s="31" t="n"/>
    </row>
    <row r="576">
      <c r="A576" s="43" t="inlineStr">
        <is>
          <t>S11</t>
        </is>
      </c>
      <c r="B576" s="43" t="inlineStr">
        <is>
          <t>소천 신규점4</t>
        </is>
      </c>
      <c r="C576" s="43" t="inlineStr">
        <is>
          <t>S11-H북</t>
        </is>
      </c>
      <c r="D576" s="43" t="inlineStr">
        <is>
          <t>P0(후)</t>
        </is>
      </c>
      <c r="E576" s="43" t="inlineStr">
        <is>
          <t>북</t>
        </is>
      </c>
      <c r="F576" s="44" t="n"/>
      <c r="G576" s="29" t="n"/>
      <c r="H576" s="42" t="n"/>
      <c r="I576" s="40" t="n"/>
      <c r="J576" s="40" t="n"/>
      <c r="K576" s="40" t="n"/>
      <c r="L576" s="30">
        <f>IF(COUNT(I576:K576)=0,"",MEDIAN(I576:K576))</f>
        <v/>
      </c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28" t="n"/>
      <c r="Y576" s="28" t="n"/>
      <c r="Z576" s="28" t="n"/>
      <c r="AA576" s="31" t="n"/>
      <c r="AB576" s="31" t="n"/>
    </row>
    <row r="577">
      <c r="A577" s="43" t="inlineStr">
        <is>
          <t>S12</t>
        </is>
      </c>
      <c r="B577" s="43" t="inlineStr">
        <is>
          <t>순창 신규점</t>
        </is>
      </c>
      <c r="C577" s="43" t="inlineStr">
        <is>
          <t>S12-H동</t>
        </is>
      </c>
      <c r="D577" s="43" t="inlineStr">
        <is>
          <t>P0(전)</t>
        </is>
      </c>
      <c r="E577" s="43" t="inlineStr">
        <is>
          <t>동</t>
        </is>
      </c>
      <c r="F577" s="44" t="n"/>
      <c r="G577" s="29" t="n"/>
      <c r="H577" s="42" t="n"/>
      <c r="I577" s="40" t="n"/>
      <c r="J577" s="40" t="n"/>
      <c r="K577" s="40" t="n"/>
      <c r="L577" s="30">
        <f>IF(COUNT(I577:K577)=0,"",MEDIAN(I577:K577))</f>
        <v/>
      </c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28" t="n"/>
      <c r="Y577" s="28" t="n"/>
      <c r="Z577" s="28" t="n"/>
      <c r="AA577" s="31" t="n"/>
      <c r="AB577" s="31" t="n"/>
    </row>
    <row r="578">
      <c r="A578" s="25" t="inlineStr">
        <is>
          <t>S12</t>
        </is>
      </c>
      <c r="B578" s="25" t="inlineStr">
        <is>
          <t>순창 신규점</t>
        </is>
      </c>
      <c r="C578" s="25" t="inlineStr">
        <is>
          <t>S12-H동</t>
        </is>
      </c>
      <c r="D578" s="25" t="inlineStr">
        <is>
          <t>측정</t>
        </is>
      </c>
      <c r="E578" s="25" t="inlineStr">
        <is>
          <t>동</t>
        </is>
      </c>
      <c r="F578" s="30" t="n">
        <v>0.5</v>
      </c>
      <c r="G578" s="29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IF(COUNTIFS($C:$C,$C578,$D:$D,"P0(전)",$L:$L,"&gt;0")&lt;&gt;1,"P0(전) 유효 1개 아님",IF(COUNTIFS($C:$C,$C578,$D:$D,"P0(후)",$L:$L,"&gt;0")&lt;&gt;1,"P0(후) 유효 1개 아님",IF(NOT(AND(ISNUMBER(N578),ISNUMBER(P578),ISNUMBER(H578))),"시각 결측",IF(P578&lt;=N578,"P0 시각 역전",IF(OR(H578&lt;N578,H578&gt;P578),"측정시각 구간 밖","OK")))))</f>
        <v/>
      </c>
      <c r="N578" s="45">
        <f>IF(COUNTIFS($C:$C,$C578,$D:$D,"P0(전)",$L:$L,"&gt;0")&lt;&gt;1,"",SUMIFS($H:$H,$C:$C,$C578,$D:$D,"P0(전)"))</f>
        <v/>
      </c>
      <c r="O578" s="30">
        <f>IF(COUNTIFS($C:$C,$C578,$D:$D,"P0(전)",$L:$L,"&gt;0")&lt;&gt;1,"",SUMIFS($L:$L,$C:$C,$C578,$D:$D,"P0(전)"))</f>
        <v/>
      </c>
      <c r="P578" s="45">
        <f>IF(COUNTIFS($C:$C,$C578,$D:$D,"P0(후)",$L:$L,"&gt;0")&lt;&gt;1,"",SUMIFS($H:$H,$C:$C,$C578,$D:$D,"P0(후)"))</f>
        <v/>
      </c>
      <c r="Q578" s="30">
        <f>IF(COUNTIFS($C:$C,$C578,$D:$D,"P0(후)",$L:$L,"&gt;0")&lt;&gt;1,"",SUMIFS($L:$L,$C:$C,$C578,$D:$D,"P0(후)"))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IF(OR(NOT(ISNUMBER(S578)),IF(ISNUMBER(G578),G578,F578)=0),"",S578/IF(ISNUMBER(G578),G578,F578))</f>
        <v/>
      </c>
      <c r="U578" s="46">
        <f>IF(ISNUMBER(T578),ABS(T578),"")</f>
        <v/>
      </c>
      <c r="V578" s="46">
        <f>IF(OR($D577&lt;&gt;"측정",$C577&lt;&gt;$C578,NOT(ISNUMBER(L578)),NOT(ISNUMBER(L577)),(IF(ISNUMBER(G578),G578,F578)-IF(ISNUMBER(G577),G577,F577))=0),"",(L578-L577)/(IF(ISNUMBER(G578),G578,F578)-IF(ISNUMBER(G577),G577,F577)))</f>
        <v/>
      </c>
      <c r="W578" s="30">
        <f>IF(NOT(AND(ISNUMBER(N578),ISNUMBER(P578))),"",(P578-N578)*1440)</f>
        <v/>
      </c>
      <c r="X578" s="28" t="n"/>
      <c r="Y578" s="28" t="n"/>
      <c r="Z578" s="28" t="n"/>
      <c r="AA578" s="31" t="n"/>
      <c r="AB578" s="31" t="n"/>
    </row>
    <row r="579">
      <c r="A579" s="25" t="inlineStr">
        <is>
          <t>S12</t>
        </is>
      </c>
      <c r="B579" s="25" t="inlineStr">
        <is>
          <t>순창 신규점</t>
        </is>
      </c>
      <c r="C579" s="25" t="inlineStr">
        <is>
          <t>S12-H동</t>
        </is>
      </c>
      <c r="D579" s="25" t="inlineStr">
        <is>
          <t>측정</t>
        </is>
      </c>
      <c r="E579" s="25" t="inlineStr">
        <is>
          <t>동</t>
        </is>
      </c>
      <c r="F579" s="30" t="n">
        <v>1</v>
      </c>
      <c r="G579" s="29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IF(COUNTIFS($C:$C,$C579,$D:$D,"P0(전)",$L:$L,"&gt;0")&lt;&gt;1,"P0(전) 유효 1개 아님",IF(COUNTIFS($C:$C,$C579,$D:$D,"P0(후)",$L:$L,"&gt;0")&lt;&gt;1,"P0(후) 유효 1개 아님",IF(NOT(AND(ISNUMBER(N579),ISNUMBER(P579),ISNUMBER(H579))),"시각 결측",IF(P579&lt;=N579,"P0 시각 역전",IF(OR(H579&lt;N579,H579&gt;P579),"측정시각 구간 밖","OK")))))</f>
        <v/>
      </c>
      <c r="N579" s="45">
        <f>IF(COUNTIFS($C:$C,$C579,$D:$D,"P0(전)",$L:$L,"&gt;0")&lt;&gt;1,"",SUMIFS($H:$H,$C:$C,$C579,$D:$D,"P0(전)"))</f>
        <v/>
      </c>
      <c r="O579" s="30">
        <f>IF(COUNTIFS($C:$C,$C579,$D:$D,"P0(전)",$L:$L,"&gt;0")&lt;&gt;1,"",SUMIFS($L:$L,$C:$C,$C579,$D:$D,"P0(전)"))</f>
        <v/>
      </c>
      <c r="P579" s="45">
        <f>IF(COUNTIFS($C:$C,$C579,$D:$D,"P0(후)",$L:$L,"&gt;0")&lt;&gt;1,"",SUMIFS($H:$H,$C:$C,$C579,$D:$D,"P0(후)"))</f>
        <v/>
      </c>
      <c r="Q579" s="30">
        <f>IF(COUNTIFS($C:$C,$C579,$D:$D,"P0(후)",$L:$L,"&gt;0")&lt;&gt;1,"",SUMIFS($L:$L,$C:$C,$C579,$D:$D,"P0(후)"))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IF(OR(NOT(ISNUMBER(S579)),IF(ISNUMBER(G579),G579,F579)=0),"",S579/IF(ISNUMBER(G579),G579,F579))</f>
        <v/>
      </c>
      <c r="U579" s="46">
        <f>IF(ISNUMBER(T579),ABS(T579),"")</f>
        <v/>
      </c>
      <c r="V579" s="46">
        <f>IF(OR($D578&lt;&gt;"측정",$C578&lt;&gt;$C579,NOT(ISNUMBER(L579)),NOT(ISNUMBER(L578)),(IF(ISNUMBER(G579),G579,F579)-IF(ISNUMBER(G578),G578,F578))=0),"",(L579-L578)/(IF(ISNUMBER(G579),G579,F579)-IF(ISNUMBER(G578),G578,F578)))</f>
        <v/>
      </c>
      <c r="W579" s="30">
        <f>IF(NOT(AND(ISNUMBER(N579),ISNUMBER(P579))),"",(P579-N579)*1440)</f>
        <v/>
      </c>
      <c r="X579" s="28" t="n"/>
      <c r="Y579" s="28" t="n"/>
      <c r="Z579" s="28" t="n"/>
      <c r="AA579" s="31" t="n"/>
      <c r="AB579" s="31" t="n"/>
    </row>
    <row r="580">
      <c r="A580" s="25" t="inlineStr">
        <is>
          <t>S12</t>
        </is>
      </c>
      <c r="B580" s="25" t="inlineStr">
        <is>
          <t>순창 신규점</t>
        </is>
      </c>
      <c r="C580" s="25" t="inlineStr">
        <is>
          <t>S12-H동</t>
        </is>
      </c>
      <c r="D580" s="25" t="inlineStr">
        <is>
          <t>측정</t>
        </is>
      </c>
      <c r="E580" s="25" t="inlineStr">
        <is>
          <t>동</t>
        </is>
      </c>
      <c r="F580" s="30" t="n">
        <v>2</v>
      </c>
      <c r="G580" s="29" t="n"/>
      <c r="H580" s="42" t="n"/>
      <c r="I580" s="40" t="n"/>
      <c r="J580" s="40" t="n"/>
      <c r="K580" s="40" t="n"/>
      <c r="L580" s="30">
        <f>IF(COUNT(I580:K580)=0,"",MEDIAN(I580:K580))</f>
        <v/>
      </c>
      <c r="M580" s="25">
        <f>IF(COUNTIFS($C:$C,$C580,$D:$D,"P0(전)",$L:$L,"&gt;0")&lt;&gt;1,"P0(전) 유효 1개 아님",IF(COUNTIFS($C:$C,$C580,$D:$D,"P0(후)",$L:$L,"&gt;0")&lt;&gt;1,"P0(후) 유효 1개 아님",IF(NOT(AND(ISNUMBER(N580),ISNUMBER(P580),ISNUMBER(H580))),"시각 결측",IF(P580&lt;=N580,"P0 시각 역전",IF(OR(H580&lt;N580,H580&gt;P580),"측정시각 구간 밖","OK")))))</f>
        <v/>
      </c>
      <c r="N580" s="45">
        <f>IF(COUNTIFS($C:$C,$C580,$D:$D,"P0(전)",$L:$L,"&gt;0")&lt;&gt;1,"",SUMIFS($H:$H,$C:$C,$C580,$D:$D,"P0(전)"))</f>
        <v/>
      </c>
      <c r="O580" s="30">
        <f>IF(COUNTIFS($C:$C,$C580,$D:$D,"P0(전)",$L:$L,"&gt;0")&lt;&gt;1,"",SUMIFS($L:$L,$C:$C,$C580,$D:$D,"P0(전)"))</f>
        <v/>
      </c>
      <c r="P580" s="45">
        <f>IF(COUNTIFS($C:$C,$C580,$D:$D,"P0(후)",$L:$L,"&gt;0")&lt;&gt;1,"",SUMIFS($H:$H,$C:$C,$C580,$D:$D,"P0(후)"))</f>
        <v/>
      </c>
      <c r="Q580" s="30">
        <f>IF(COUNTIFS($C:$C,$C580,$D:$D,"P0(후)",$L:$L,"&gt;0")&lt;&gt;1,"",SUMIFS($L:$L,$C:$C,$C580,$D:$D,"P0(후)"))</f>
        <v/>
      </c>
      <c r="R580" s="30">
        <f>IF(M580&lt;&gt;"OK","",O580+(Q580-O580)*(H580-N580)/(P580-N580))</f>
        <v/>
      </c>
      <c r="S580" s="30">
        <f>IF(OR(M580&lt;&gt;"OK",NOT(ISNUMBER(L580))),"",L580-R580)</f>
        <v/>
      </c>
      <c r="T580" s="46">
        <f>IF(OR(NOT(ISNUMBER(S580)),IF(ISNUMBER(G580),G580,F580)=0),"",S580/IF(ISNUMBER(G580),G580,F580))</f>
        <v/>
      </c>
      <c r="U580" s="46">
        <f>IF(ISNUMBER(T580),ABS(T580),"")</f>
        <v/>
      </c>
      <c r="V580" s="46">
        <f>IF(OR($D579&lt;&gt;"측정",$C579&lt;&gt;$C580,NOT(ISNUMBER(L580)),NOT(ISNUMBER(L579)),(IF(ISNUMBER(G580),G580,F580)-IF(ISNUMBER(G579),G579,F579))=0),"",(L580-L579)/(IF(ISNUMBER(G580),G580,F580)-IF(ISNUMBER(G579),G579,F579)))</f>
        <v/>
      </c>
      <c r="W580" s="30">
        <f>IF(NOT(AND(ISNUMBER(N580),ISNUMBER(P580))),"",(P580-N580)*1440)</f>
        <v/>
      </c>
      <c r="X580" s="28" t="n"/>
      <c r="Y580" s="28" t="n"/>
      <c r="Z580" s="28" t="n"/>
      <c r="AA580" s="31" t="n"/>
      <c r="AB580" s="31" t="n"/>
    </row>
    <row r="581">
      <c r="A581" s="25" t="inlineStr">
        <is>
          <t>S12</t>
        </is>
      </c>
      <c r="B581" s="25" t="inlineStr">
        <is>
          <t>순창 신규점</t>
        </is>
      </c>
      <c r="C581" s="25" t="inlineStr">
        <is>
          <t>S12-H동</t>
        </is>
      </c>
      <c r="D581" s="25" t="inlineStr">
        <is>
          <t>측정</t>
        </is>
      </c>
      <c r="E581" s="25" t="inlineStr">
        <is>
          <t>동</t>
        </is>
      </c>
      <c r="F581" s="30" t="n">
        <v>3</v>
      </c>
      <c r="G581" s="29" t="n"/>
      <c r="H581" s="42" t="n"/>
      <c r="I581" s="40" t="n"/>
      <c r="J581" s="40" t="n"/>
      <c r="K581" s="40" t="n"/>
      <c r="L581" s="30">
        <f>IF(COUNT(I581:K581)=0,"",MEDIAN(I581:K581))</f>
        <v/>
      </c>
      <c r="M581" s="25">
        <f>IF(COUNTIFS($C:$C,$C581,$D:$D,"P0(전)",$L:$L,"&gt;0")&lt;&gt;1,"P0(전) 유효 1개 아님",IF(COUNTIFS($C:$C,$C581,$D:$D,"P0(후)",$L:$L,"&gt;0")&lt;&gt;1,"P0(후) 유효 1개 아님",IF(NOT(AND(ISNUMBER(N581),ISNUMBER(P581),ISNUMBER(H581))),"시각 결측",IF(P581&lt;=N581,"P0 시각 역전",IF(OR(H581&lt;N581,H581&gt;P581),"측정시각 구간 밖","OK")))))</f>
        <v/>
      </c>
      <c r="N581" s="45">
        <f>IF(COUNTIFS($C:$C,$C581,$D:$D,"P0(전)",$L:$L,"&gt;0")&lt;&gt;1,"",SUMIFS($H:$H,$C:$C,$C581,$D:$D,"P0(전)"))</f>
        <v/>
      </c>
      <c r="O581" s="30">
        <f>IF(COUNTIFS($C:$C,$C581,$D:$D,"P0(전)",$L:$L,"&gt;0")&lt;&gt;1,"",SUMIFS($L:$L,$C:$C,$C581,$D:$D,"P0(전)"))</f>
        <v/>
      </c>
      <c r="P581" s="45">
        <f>IF(COUNTIFS($C:$C,$C581,$D:$D,"P0(후)",$L:$L,"&gt;0")&lt;&gt;1,"",SUMIFS($H:$H,$C:$C,$C581,$D:$D,"P0(후)"))</f>
        <v/>
      </c>
      <c r="Q581" s="30">
        <f>IF(COUNTIFS($C:$C,$C581,$D:$D,"P0(후)",$L:$L,"&gt;0")&lt;&gt;1,"",SUMIFS($L:$L,$C:$C,$C581,$D:$D,"P0(후)"))</f>
        <v/>
      </c>
      <c r="R581" s="30">
        <f>IF(M581&lt;&gt;"OK","",O581+(Q581-O581)*(H581-N581)/(P581-N581))</f>
        <v/>
      </c>
      <c r="S581" s="30">
        <f>IF(OR(M581&lt;&gt;"OK",NOT(ISNUMBER(L581))),"",L581-R581)</f>
        <v/>
      </c>
      <c r="T581" s="46">
        <f>IF(OR(NOT(ISNUMBER(S581)),IF(ISNUMBER(G581),G581,F581)=0),"",S581/IF(ISNUMBER(G581),G581,F581))</f>
        <v/>
      </c>
      <c r="U581" s="46">
        <f>IF(ISNUMBER(T581),ABS(T581),"")</f>
        <v/>
      </c>
      <c r="V581" s="46">
        <f>IF(OR($D580&lt;&gt;"측정",$C580&lt;&gt;$C581,NOT(ISNUMBER(L581)),NOT(ISNUMBER(L580)),(IF(ISNUMBER(G581),G581,F581)-IF(ISNUMBER(G580),G580,F580))=0),"",(L581-L580)/(IF(ISNUMBER(G581),G581,F581)-IF(ISNUMBER(G580),G580,F580)))</f>
        <v/>
      </c>
      <c r="W581" s="30">
        <f>IF(NOT(AND(ISNUMBER(N581),ISNUMBER(P581))),"",(P581-N581)*1440)</f>
        <v/>
      </c>
      <c r="X581" s="28" t="n"/>
      <c r="Y581" s="28" t="n"/>
      <c r="Z581" s="28" t="n"/>
      <c r="AA581" s="31" t="n"/>
      <c r="AB581" s="31" t="n"/>
    </row>
    <row r="582">
      <c r="A582" s="25" t="inlineStr">
        <is>
          <t>S12</t>
        </is>
      </c>
      <c r="B582" s="25" t="inlineStr">
        <is>
          <t>순창 신규점</t>
        </is>
      </c>
      <c r="C582" s="25" t="inlineStr">
        <is>
          <t>S12-H동</t>
        </is>
      </c>
      <c r="D582" s="25" t="inlineStr">
        <is>
          <t>측정</t>
        </is>
      </c>
      <c r="E582" s="25" t="inlineStr">
        <is>
          <t>동</t>
        </is>
      </c>
      <c r="F582" s="30" t="n">
        <v>4</v>
      </c>
      <c r="G582" s="29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IF(COUNTIFS($C:$C,$C582,$D:$D,"P0(전)",$L:$L,"&gt;0")&lt;&gt;1,"P0(전) 유효 1개 아님",IF(COUNTIFS($C:$C,$C582,$D:$D,"P0(후)",$L:$L,"&gt;0")&lt;&gt;1,"P0(후) 유효 1개 아님",IF(NOT(AND(ISNUMBER(N582),ISNUMBER(P582),ISNUMBER(H582))),"시각 결측",IF(P582&lt;=N582,"P0 시각 역전",IF(OR(H582&lt;N582,H582&gt;P582),"측정시각 구간 밖","OK")))))</f>
        <v/>
      </c>
      <c r="N582" s="45">
        <f>IF(COUNTIFS($C:$C,$C582,$D:$D,"P0(전)",$L:$L,"&gt;0")&lt;&gt;1,"",SUMIFS($H:$H,$C:$C,$C582,$D:$D,"P0(전)"))</f>
        <v/>
      </c>
      <c r="O582" s="30">
        <f>IF(COUNTIFS($C:$C,$C582,$D:$D,"P0(전)",$L:$L,"&gt;0")&lt;&gt;1,"",SUMIFS($L:$L,$C:$C,$C582,$D:$D,"P0(전)"))</f>
        <v/>
      </c>
      <c r="P582" s="45">
        <f>IF(COUNTIFS($C:$C,$C582,$D:$D,"P0(후)",$L:$L,"&gt;0")&lt;&gt;1,"",SUMIFS($H:$H,$C:$C,$C582,$D:$D,"P0(후)"))</f>
        <v/>
      </c>
      <c r="Q582" s="30">
        <f>IF(COUNTIFS($C:$C,$C582,$D:$D,"P0(후)",$L:$L,"&gt;0")&lt;&gt;1,"",SUMIFS($L:$L,$C:$C,$C582,$D:$D,"P0(후)"))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IF(OR(NOT(ISNUMBER(S582)),IF(ISNUMBER(G582),G582,F582)=0),"",S582/IF(ISNUMBER(G582),G582,F582))</f>
        <v/>
      </c>
      <c r="U582" s="46">
        <f>IF(ISNUMBER(T582),ABS(T582),"")</f>
        <v/>
      </c>
      <c r="V582" s="46">
        <f>IF(OR($D581&lt;&gt;"측정",$C581&lt;&gt;$C582,NOT(ISNUMBER(L582)),NOT(ISNUMBER(L581)),(IF(ISNUMBER(G582),G582,F582)-IF(ISNUMBER(G581),G581,F581))=0),"",(L582-L581)/(IF(ISNUMBER(G582),G582,F582)-IF(ISNUMBER(G581),G581,F581)))</f>
        <v/>
      </c>
      <c r="W582" s="30">
        <f>IF(NOT(AND(ISNUMBER(N582),ISNUMBER(P582))),"",(P582-N582)*1440)</f>
        <v/>
      </c>
      <c r="X582" s="28" t="n"/>
      <c r="Y582" s="28" t="n"/>
      <c r="Z582" s="28" t="n"/>
      <c r="AA582" s="31" t="n"/>
      <c r="AB582" s="31" t="n"/>
    </row>
    <row r="583">
      <c r="A583" s="25" t="inlineStr">
        <is>
          <t>S12</t>
        </is>
      </c>
      <c r="B583" s="25" t="inlineStr">
        <is>
          <t>순창 신규점</t>
        </is>
      </c>
      <c r="C583" s="25" t="inlineStr">
        <is>
          <t>S12-H동</t>
        </is>
      </c>
      <c r="D583" s="25" t="inlineStr">
        <is>
          <t>측정</t>
        </is>
      </c>
      <c r="E583" s="25" t="inlineStr">
        <is>
          <t>동</t>
        </is>
      </c>
      <c r="F583" s="30" t="n">
        <v>5</v>
      </c>
      <c r="G583" s="29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IF(COUNTIFS($C:$C,$C583,$D:$D,"P0(전)",$L:$L,"&gt;0")&lt;&gt;1,"P0(전) 유효 1개 아님",IF(COUNTIFS($C:$C,$C583,$D:$D,"P0(후)",$L:$L,"&gt;0")&lt;&gt;1,"P0(후) 유효 1개 아님",IF(NOT(AND(ISNUMBER(N583),ISNUMBER(P583),ISNUMBER(H583))),"시각 결측",IF(P583&lt;=N583,"P0 시각 역전",IF(OR(H583&lt;N583,H583&gt;P583),"측정시각 구간 밖","OK")))))</f>
        <v/>
      </c>
      <c r="N583" s="45">
        <f>IF(COUNTIFS($C:$C,$C583,$D:$D,"P0(전)",$L:$L,"&gt;0")&lt;&gt;1,"",SUMIFS($H:$H,$C:$C,$C583,$D:$D,"P0(전)"))</f>
        <v/>
      </c>
      <c r="O583" s="30">
        <f>IF(COUNTIFS($C:$C,$C583,$D:$D,"P0(전)",$L:$L,"&gt;0")&lt;&gt;1,"",SUMIFS($L:$L,$C:$C,$C583,$D:$D,"P0(전)"))</f>
        <v/>
      </c>
      <c r="P583" s="45">
        <f>IF(COUNTIFS($C:$C,$C583,$D:$D,"P0(후)",$L:$L,"&gt;0")&lt;&gt;1,"",SUMIFS($H:$H,$C:$C,$C583,$D:$D,"P0(후)"))</f>
        <v/>
      </c>
      <c r="Q583" s="30">
        <f>IF(COUNTIFS($C:$C,$C583,$D:$D,"P0(후)",$L:$L,"&gt;0")&lt;&gt;1,"",SUMIFS($L:$L,$C:$C,$C583,$D:$D,"P0(후)"))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IF(OR(NOT(ISNUMBER(S583)),IF(ISNUMBER(G583),G583,F583)=0),"",S583/IF(ISNUMBER(G583),G583,F583))</f>
        <v/>
      </c>
      <c r="U583" s="46">
        <f>IF(ISNUMBER(T583),ABS(T583),"")</f>
        <v/>
      </c>
      <c r="V583" s="46">
        <f>IF(OR($D582&lt;&gt;"측정",$C582&lt;&gt;$C583,NOT(ISNUMBER(L583)),NOT(ISNUMBER(L582)),(IF(ISNUMBER(G583),G583,F583)-IF(ISNUMBER(G582),G582,F582))=0),"",(L583-L582)/(IF(ISNUMBER(G583),G583,F583)-IF(ISNUMBER(G582),G582,F582)))</f>
        <v/>
      </c>
      <c r="W583" s="30">
        <f>IF(NOT(AND(ISNUMBER(N583),ISNUMBER(P583))),"",(P583-N583)*1440)</f>
        <v/>
      </c>
      <c r="X583" s="28" t="n"/>
      <c r="Y583" s="28" t="n"/>
      <c r="Z583" s="28" t="n"/>
      <c r="AA583" s="31" t="n"/>
      <c r="AB583" s="31" t="n"/>
    </row>
    <row r="584">
      <c r="A584" s="25" t="inlineStr">
        <is>
          <t>S12</t>
        </is>
      </c>
      <c r="B584" s="25" t="inlineStr">
        <is>
          <t>순창 신규점</t>
        </is>
      </c>
      <c r="C584" s="25" t="inlineStr">
        <is>
          <t>S12-H동</t>
        </is>
      </c>
      <c r="D584" s="25" t="inlineStr">
        <is>
          <t>측정</t>
        </is>
      </c>
      <c r="E584" s="25" t="inlineStr">
        <is>
          <t>동</t>
        </is>
      </c>
      <c r="F584" s="30" t="n">
        <v>6</v>
      </c>
      <c r="G584" s="29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IF(COUNTIFS($C:$C,$C584,$D:$D,"P0(전)",$L:$L,"&gt;0")&lt;&gt;1,"P0(전) 유효 1개 아님",IF(COUNTIFS($C:$C,$C584,$D:$D,"P0(후)",$L:$L,"&gt;0")&lt;&gt;1,"P0(후) 유효 1개 아님",IF(NOT(AND(ISNUMBER(N584),ISNUMBER(P584),ISNUMBER(H584))),"시각 결측",IF(P584&lt;=N584,"P0 시각 역전",IF(OR(H584&lt;N584,H584&gt;P584),"측정시각 구간 밖","OK")))))</f>
        <v/>
      </c>
      <c r="N584" s="45">
        <f>IF(COUNTIFS($C:$C,$C584,$D:$D,"P0(전)",$L:$L,"&gt;0")&lt;&gt;1,"",SUMIFS($H:$H,$C:$C,$C584,$D:$D,"P0(전)"))</f>
        <v/>
      </c>
      <c r="O584" s="30">
        <f>IF(COUNTIFS($C:$C,$C584,$D:$D,"P0(전)",$L:$L,"&gt;0")&lt;&gt;1,"",SUMIFS($L:$L,$C:$C,$C584,$D:$D,"P0(전)"))</f>
        <v/>
      </c>
      <c r="P584" s="45">
        <f>IF(COUNTIFS($C:$C,$C584,$D:$D,"P0(후)",$L:$L,"&gt;0")&lt;&gt;1,"",SUMIFS($H:$H,$C:$C,$C584,$D:$D,"P0(후)"))</f>
        <v/>
      </c>
      <c r="Q584" s="30">
        <f>IF(COUNTIFS($C:$C,$C584,$D:$D,"P0(후)",$L:$L,"&gt;0")&lt;&gt;1,"",SUMIFS($L:$L,$C:$C,$C584,$D:$D,"P0(후)"))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IF(OR(NOT(ISNUMBER(S584)),IF(ISNUMBER(G584),G584,F584)=0),"",S584/IF(ISNUMBER(G584),G584,F584))</f>
        <v/>
      </c>
      <c r="U584" s="46">
        <f>IF(ISNUMBER(T584),ABS(T584),"")</f>
        <v/>
      </c>
      <c r="V584" s="46">
        <f>IF(OR($D583&lt;&gt;"측정",$C583&lt;&gt;$C584,NOT(ISNUMBER(L584)),NOT(ISNUMBER(L583)),(IF(ISNUMBER(G584),G584,F584)-IF(ISNUMBER(G583),G583,F583))=0),"",(L584-L583)/(IF(ISNUMBER(G584),G584,F584)-IF(ISNUMBER(G583),G583,F583)))</f>
        <v/>
      </c>
      <c r="W584" s="30">
        <f>IF(NOT(AND(ISNUMBER(N584),ISNUMBER(P584))),"",(P584-N584)*1440)</f>
        <v/>
      </c>
      <c r="X584" s="28" t="n"/>
      <c r="Y584" s="28" t="n"/>
      <c r="Z584" s="28" t="n"/>
      <c r="AA584" s="31" t="n"/>
      <c r="AB584" s="31" t="n"/>
    </row>
    <row r="585">
      <c r="A585" s="25" t="inlineStr">
        <is>
          <t>S12</t>
        </is>
      </c>
      <c r="B585" s="25" t="inlineStr">
        <is>
          <t>순창 신규점</t>
        </is>
      </c>
      <c r="C585" s="25" t="inlineStr">
        <is>
          <t>S12-H동</t>
        </is>
      </c>
      <c r="D585" s="25" t="inlineStr">
        <is>
          <t>측정</t>
        </is>
      </c>
      <c r="E585" s="25" t="inlineStr">
        <is>
          <t>동</t>
        </is>
      </c>
      <c r="F585" s="30" t="n">
        <v>7</v>
      </c>
      <c r="G585" s="29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IF(COUNTIFS($C:$C,$C585,$D:$D,"P0(전)",$L:$L,"&gt;0")&lt;&gt;1,"P0(전) 유효 1개 아님",IF(COUNTIFS($C:$C,$C585,$D:$D,"P0(후)",$L:$L,"&gt;0")&lt;&gt;1,"P0(후) 유효 1개 아님",IF(NOT(AND(ISNUMBER(N585),ISNUMBER(P585),ISNUMBER(H585))),"시각 결측",IF(P585&lt;=N585,"P0 시각 역전",IF(OR(H585&lt;N585,H585&gt;P585),"측정시각 구간 밖","OK")))))</f>
        <v/>
      </c>
      <c r="N585" s="45">
        <f>IF(COUNTIFS($C:$C,$C585,$D:$D,"P0(전)",$L:$L,"&gt;0")&lt;&gt;1,"",SUMIFS($H:$H,$C:$C,$C585,$D:$D,"P0(전)"))</f>
        <v/>
      </c>
      <c r="O585" s="30">
        <f>IF(COUNTIFS($C:$C,$C585,$D:$D,"P0(전)",$L:$L,"&gt;0")&lt;&gt;1,"",SUMIFS($L:$L,$C:$C,$C585,$D:$D,"P0(전)"))</f>
        <v/>
      </c>
      <c r="P585" s="45">
        <f>IF(COUNTIFS($C:$C,$C585,$D:$D,"P0(후)",$L:$L,"&gt;0")&lt;&gt;1,"",SUMIFS($H:$H,$C:$C,$C585,$D:$D,"P0(후)"))</f>
        <v/>
      </c>
      <c r="Q585" s="30">
        <f>IF(COUNTIFS($C:$C,$C585,$D:$D,"P0(후)",$L:$L,"&gt;0")&lt;&gt;1,"",SUMIFS($L:$L,$C:$C,$C585,$D:$D,"P0(후)"))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IF(OR(NOT(ISNUMBER(S585)),IF(ISNUMBER(G585),G585,F585)=0),"",S585/IF(ISNUMBER(G585),G585,F585))</f>
        <v/>
      </c>
      <c r="U585" s="46">
        <f>IF(ISNUMBER(T585),ABS(T585),"")</f>
        <v/>
      </c>
      <c r="V585" s="46">
        <f>IF(OR($D584&lt;&gt;"측정",$C584&lt;&gt;$C585,NOT(ISNUMBER(L585)),NOT(ISNUMBER(L584)),(IF(ISNUMBER(G585),G585,F585)-IF(ISNUMBER(G584),G584,F584))=0),"",(L585-L584)/(IF(ISNUMBER(G585),G585,F585)-IF(ISNUMBER(G584),G584,F584)))</f>
        <v/>
      </c>
      <c r="W585" s="30">
        <f>IF(NOT(AND(ISNUMBER(N585),ISNUMBER(P585))),"",(P585-N585)*1440)</f>
        <v/>
      </c>
      <c r="X585" s="28" t="n"/>
      <c r="Y585" s="28" t="n"/>
      <c r="Z585" s="28" t="n"/>
      <c r="AA585" s="31" t="n"/>
      <c r="AB585" s="31" t="n"/>
    </row>
    <row r="586">
      <c r="A586" s="25" t="inlineStr">
        <is>
          <t>S12</t>
        </is>
      </c>
      <c r="B586" s="25" t="inlineStr">
        <is>
          <t>순창 신규점</t>
        </is>
      </c>
      <c r="C586" s="25" t="inlineStr">
        <is>
          <t>S12-H동</t>
        </is>
      </c>
      <c r="D586" s="25" t="inlineStr">
        <is>
          <t>측정</t>
        </is>
      </c>
      <c r="E586" s="25" t="inlineStr">
        <is>
          <t>동</t>
        </is>
      </c>
      <c r="F586" s="30" t="n">
        <v>8</v>
      </c>
      <c r="G586" s="29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IF(COUNTIFS($C:$C,$C586,$D:$D,"P0(전)",$L:$L,"&gt;0")&lt;&gt;1,"P0(전) 유효 1개 아님",IF(COUNTIFS($C:$C,$C586,$D:$D,"P0(후)",$L:$L,"&gt;0")&lt;&gt;1,"P0(후) 유효 1개 아님",IF(NOT(AND(ISNUMBER(N586),ISNUMBER(P586),ISNUMBER(H586))),"시각 결측",IF(P586&lt;=N586,"P0 시각 역전",IF(OR(H586&lt;N586,H586&gt;P586),"측정시각 구간 밖","OK")))))</f>
        <v/>
      </c>
      <c r="N586" s="45">
        <f>IF(COUNTIFS($C:$C,$C586,$D:$D,"P0(전)",$L:$L,"&gt;0")&lt;&gt;1,"",SUMIFS($H:$H,$C:$C,$C586,$D:$D,"P0(전)"))</f>
        <v/>
      </c>
      <c r="O586" s="30">
        <f>IF(COUNTIFS($C:$C,$C586,$D:$D,"P0(전)",$L:$L,"&gt;0")&lt;&gt;1,"",SUMIFS($L:$L,$C:$C,$C586,$D:$D,"P0(전)"))</f>
        <v/>
      </c>
      <c r="P586" s="45">
        <f>IF(COUNTIFS($C:$C,$C586,$D:$D,"P0(후)",$L:$L,"&gt;0")&lt;&gt;1,"",SUMIFS($H:$H,$C:$C,$C586,$D:$D,"P0(후)"))</f>
        <v/>
      </c>
      <c r="Q586" s="30">
        <f>IF(COUNTIFS($C:$C,$C586,$D:$D,"P0(후)",$L:$L,"&gt;0")&lt;&gt;1,"",SUMIFS($L:$L,$C:$C,$C586,$D:$D,"P0(후)"))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IF(OR(NOT(ISNUMBER(S586)),IF(ISNUMBER(G586),G586,F586)=0),"",S586/IF(ISNUMBER(G586),G586,F586))</f>
        <v/>
      </c>
      <c r="U586" s="46">
        <f>IF(ISNUMBER(T586),ABS(T586),"")</f>
        <v/>
      </c>
      <c r="V586" s="46">
        <f>IF(OR($D585&lt;&gt;"측정",$C585&lt;&gt;$C586,NOT(ISNUMBER(L586)),NOT(ISNUMBER(L585)),(IF(ISNUMBER(G586),G586,F586)-IF(ISNUMBER(G585),G585,F585))=0),"",(L586-L585)/(IF(ISNUMBER(G586),G586,F586)-IF(ISNUMBER(G585),G585,F585)))</f>
        <v/>
      </c>
      <c r="W586" s="30">
        <f>IF(NOT(AND(ISNUMBER(N586),ISNUMBER(P586))),"",(P586-N586)*1440)</f>
        <v/>
      </c>
      <c r="X586" s="28" t="n"/>
      <c r="Y586" s="28" t="n"/>
      <c r="Z586" s="28" t="n"/>
      <c r="AA586" s="31" t="n"/>
      <c r="AB586" s="31" t="n"/>
    </row>
    <row r="587">
      <c r="A587" s="25" t="inlineStr">
        <is>
          <t>S12</t>
        </is>
      </c>
      <c r="B587" s="25" t="inlineStr">
        <is>
          <t>순창 신규점</t>
        </is>
      </c>
      <c r="C587" s="25" t="inlineStr">
        <is>
          <t>S12-H동</t>
        </is>
      </c>
      <c r="D587" s="25" t="inlineStr">
        <is>
          <t>측정</t>
        </is>
      </c>
      <c r="E587" s="25" t="inlineStr">
        <is>
          <t>동</t>
        </is>
      </c>
      <c r="F587" s="30" t="n">
        <v>9</v>
      </c>
      <c r="G587" s="29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IF(COUNTIFS($C:$C,$C587,$D:$D,"P0(전)",$L:$L,"&gt;0")&lt;&gt;1,"P0(전) 유효 1개 아님",IF(COUNTIFS($C:$C,$C587,$D:$D,"P0(후)",$L:$L,"&gt;0")&lt;&gt;1,"P0(후) 유효 1개 아님",IF(NOT(AND(ISNUMBER(N587),ISNUMBER(P587),ISNUMBER(H587))),"시각 결측",IF(P587&lt;=N587,"P0 시각 역전",IF(OR(H587&lt;N587,H587&gt;P587),"측정시각 구간 밖","OK")))))</f>
        <v/>
      </c>
      <c r="N587" s="45">
        <f>IF(COUNTIFS($C:$C,$C587,$D:$D,"P0(전)",$L:$L,"&gt;0")&lt;&gt;1,"",SUMIFS($H:$H,$C:$C,$C587,$D:$D,"P0(전)"))</f>
        <v/>
      </c>
      <c r="O587" s="30">
        <f>IF(COUNTIFS($C:$C,$C587,$D:$D,"P0(전)",$L:$L,"&gt;0")&lt;&gt;1,"",SUMIFS($L:$L,$C:$C,$C587,$D:$D,"P0(전)"))</f>
        <v/>
      </c>
      <c r="P587" s="45">
        <f>IF(COUNTIFS($C:$C,$C587,$D:$D,"P0(후)",$L:$L,"&gt;0")&lt;&gt;1,"",SUMIFS($H:$H,$C:$C,$C587,$D:$D,"P0(후)"))</f>
        <v/>
      </c>
      <c r="Q587" s="30">
        <f>IF(COUNTIFS($C:$C,$C587,$D:$D,"P0(후)",$L:$L,"&gt;0")&lt;&gt;1,"",SUMIFS($L:$L,$C:$C,$C587,$D:$D,"P0(후)"))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IF(OR(NOT(ISNUMBER(S587)),IF(ISNUMBER(G587),G587,F587)=0),"",S587/IF(ISNUMBER(G587),G587,F587))</f>
        <v/>
      </c>
      <c r="U587" s="46">
        <f>IF(ISNUMBER(T587),ABS(T587),"")</f>
        <v/>
      </c>
      <c r="V587" s="46">
        <f>IF(OR($D586&lt;&gt;"측정",$C586&lt;&gt;$C587,NOT(ISNUMBER(L587)),NOT(ISNUMBER(L586)),(IF(ISNUMBER(G587),G587,F587)-IF(ISNUMBER(G586),G586,F586))=0),"",(L587-L586)/(IF(ISNUMBER(G587),G587,F587)-IF(ISNUMBER(G586),G586,F586)))</f>
        <v/>
      </c>
      <c r="W587" s="30">
        <f>IF(NOT(AND(ISNUMBER(N587),ISNUMBER(P587))),"",(P587-N587)*1440)</f>
        <v/>
      </c>
      <c r="X587" s="28" t="n"/>
      <c r="Y587" s="28" t="n"/>
      <c r="Z587" s="28" t="n"/>
      <c r="AA587" s="31" t="n"/>
      <c r="AB587" s="31" t="n"/>
    </row>
    <row r="588">
      <c r="A588" s="25" t="inlineStr">
        <is>
          <t>S12</t>
        </is>
      </c>
      <c r="B588" s="25" t="inlineStr">
        <is>
          <t>순창 신규점</t>
        </is>
      </c>
      <c r="C588" s="25" t="inlineStr">
        <is>
          <t>S12-H동</t>
        </is>
      </c>
      <c r="D588" s="25" t="inlineStr">
        <is>
          <t>측정</t>
        </is>
      </c>
      <c r="E588" s="25" t="inlineStr">
        <is>
          <t>동</t>
        </is>
      </c>
      <c r="F588" s="30" t="n">
        <v>10</v>
      </c>
      <c r="G588" s="29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IF(COUNTIFS($C:$C,$C588,$D:$D,"P0(전)",$L:$L,"&gt;0")&lt;&gt;1,"P0(전) 유효 1개 아님",IF(COUNTIFS($C:$C,$C588,$D:$D,"P0(후)",$L:$L,"&gt;0")&lt;&gt;1,"P0(후) 유효 1개 아님",IF(NOT(AND(ISNUMBER(N588),ISNUMBER(P588),ISNUMBER(H588))),"시각 결측",IF(P588&lt;=N588,"P0 시각 역전",IF(OR(H588&lt;N588,H588&gt;P588),"측정시각 구간 밖","OK")))))</f>
        <v/>
      </c>
      <c r="N588" s="45">
        <f>IF(COUNTIFS($C:$C,$C588,$D:$D,"P0(전)",$L:$L,"&gt;0")&lt;&gt;1,"",SUMIFS($H:$H,$C:$C,$C588,$D:$D,"P0(전)"))</f>
        <v/>
      </c>
      <c r="O588" s="30">
        <f>IF(COUNTIFS($C:$C,$C588,$D:$D,"P0(전)",$L:$L,"&gt;0")&lt;&gt;1,"",SUMIFS($L:$L,$C:$C,$C588,$D:$D,"P0(전)"))</f>
        <v/>
      </c>
      <c r="P588" s="45">
        <f>IF(COUNTIFS($C:$C,$C588,$D:$D,"P0(후)",$L:$L,"&gt;0")&lt;&gt;1,"",SUMIFS($H:$H,$C:$C,$C588,$D:$D,"P0(후)"))</f>
        <v/>
      </c>
      <c r="Q588" s="30">
        <f>IF(COUNTIFS($C:$C,$C588,$D:$D,"P0(후)",$L:$L,"&gt;0")&lt;&gt;1,"",SUMIFS($L:$L,$C:$C,$C588,$D:$D,"P0(후)"))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IF(OR(NOT(ISNUMBER(S588)),IF(ISNUMBER(G588),G588,F588)=0),"",S588/IF(ISNUMBER(G588),G588,F588))</f>
        <v/>
      </c>
      <c r="U588" s="46">
        <f>IF(ISNUMBER(T588),ABS(T588),"")</f>
        <v/>
      </c>
      <c r="V588" s="46">
        <f>IF(OR($D587&lt;&gt;"측정",$C587&lt;&gt;$C588,NOT(ISNUMBER(L588)),NOT(ISNUMBER(L587)),(IF(ISNUMBER(G588),G588,F588)-IF(ISNUMBER(G587),G587,F587))=0),"",(L588-L587)/(IF(ISNUMBER(G588),G588,F588)-IF(ISNUMBER(G587),G587,F587)))</f>
        <v/>
      </c>
      <c r="W588" s="30">
        <f>IF(NOT(AND(ISNUMBER(N588),ISNUMBER(P588))),"",(P588-N588)*1440)</f>
        <v/>
      </c>
      <c r="X588" s="28" t="n"/>
      <c r="Y588" s="28" t="n"/>
      <c r="Z588" s="28" t="n"/>
      <c r="AA588" s="31" t="n"/>
      <c r="AB588" s="31" t="n"/>
    </row>
    <row r="589">
      <c r="A589" s="43" t="inlineStr">
        <is>
          <t>S12</t>
        </is>
      </c>
      <c r="B589" s="43" t="inlineStr">
        <is>
          <t>순창 신규점</t>
        </is>
      </c>
      <c r="C589" s="43" t="inlineStr">
        <is>
          <t>S12-H동</t>
        </is>
      </c>
      <c r="D589" s="43" t="inlineStr">
        <is>
          <t>P0(후)</t>
        </is>
      </c>
      <c r="E589" s="43" t="inlineStr">
        <is>
          <t>동</t>
        </is>
      </c>
      <c r="F589" s="44" t="n"/>
      <c r="G589" s="29" t="n"/>
      <c r="H589" s="42" t="n"/>
      <c r="I589" s="40" t="n"/>
      <c r="J589" s="40" t="n"/>
      <c r="K589" s="40" t="n"/>
      <c r="L589" s="30">
        <f>IF(COUNT(I589:K589)=0,"",MEDIAN(I589:K589))</f>
        <v/>
      </c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28" t="n"/>
      <c r="Y589" s="28" t="n"/>
      <c r="Z589" s="28" t="n"/>
      <c r="AA589" s="31" t="n"/>
      <c r="AB589" s="31" t="n"/>
    </row>
    <row r="590">
      <c r="A590" s="43" t="inlineStr">
        <is>
          <t>S12</t>
        </is>
      </c>
      <c r="B590" s="43" t="inlineStr">
        <is>
          <t>순창 신규점</t>
        </is>
      </c>
      <c r="C590" s="43" t="inlineStr">
        <is>
          <t>S12-H서</t>
        </is>
      </c>
      <c r="D590" s="43" t="inlineStr">
        <is>
          <t>P0(전)</t>
        </is>
      </c>
      <c r="E590" s="43" t="inlineStr">
        <is>
          <t>서</t>
        </is>
      </c>
      <c r="F590" s="44" t="n"/>
      <c r="G590" s="29" t="n"/>
      <c r="H590" s="42" t="n"/>
      <c r="I590" s="40" t="n"/>
      <c r="J590" s="40" t="n"/>
      <c r="K590" s="40" t="n"/>
      <c r="L590" s="30">
        <f>IF(COUNT(I590:K590)=0,"",MEDIAN(I590:K590))</f>
        <v/>
      </c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28" t="n"/>
      <c r="Y590" s="28" t="n"/>
      <c r="Z590" s="28" t="n"/>
      <c r="AA590" s="31" t="n"/>
      <c r="AB590" s="31" t="n"/>
    </row>
    <row r="591">
      <c r="A591" s="25" t="inlineStr">
        <is>
          <t>S12</t>
        </is>
      </c>
      <c r="B591" s="25" t="inlineStr">
        <is>
          <t>순창 신규점</t>
        </is>
      </c>
      <c r="C591" s="25" t="inlineStr">
        <is>
          <t>S12-H서</t>
        </is>
      </c>
      <c r="D591" s="25" t="inlineStr">
        <is>
          <t>측정</t>
        </is>
      </c>
      <c r="E591" s="25" t="inlineStr">
        <is>
          <t>서</t>
        </is>
      </c>
      <c r="F591" s="30" t="n">
        <v>0.5</v>
      </c>
      <c r="G591" s="29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IF(COUNTIFS($C:$C,$C591,$D:$D,"P0(전)",$L:$L,"&gt;0")&lt;&gt;1,"P0(전) 유효 1개 아님",IF(COUNTIFS($C:$C,$C591,$D:$D,"P0(후)",$L:$L,"&gt;0")&lt;&gt;1,"P0(후) 유효 1개 아님",IF(NOT(AND(ISNUMBER(N591),ISNUMBER(P591),ISNUMBER(H591))),"시각 결측",IF(P591&lt;=N591,"P0 시각 역전",IF(OR(H591&lt;N591,H591&gt;P591),"측정시각 구간 밖","OK")))))</f>
        <v/>
      </c>
      <c r="N591" s="45">
        <f>IF(COUNTIFS($C:$C,$C591,$D:$D,"P0(전)",$L:$L,"&gt;0")&lt;&gt;1,"",SUMIFS($H:$H,$C:$C,$C591,$D:$D,"P0(전)"))</f>
        <v/>
      </c>
      <c r="O591" s="30">
        <f>IF(COUNTIFS($C:$C,$C591,$D:$D,"P0(전)",$L:$L,"&gt;0")&lt;&gt;1,"",SUMIFS($L:$L,$C:$C,$C591,$D:$D,"P0(전)"))</f>
        <v/>
      </c>
      <c r="P591" s="45">
        <f>IF(COUNTIFS($C:$C,$C591,$D:$D,"P0(후)",$L:$L,"&gt;0")&lt;&gt;1,"",SUMIFS($H:$H,$C:$C,$C591,$D:$D,"P0(후)"))</f>
        <v/>
      </c>
      <c r="Q591" s="30">
        <f>IF(COUNTIFS($C:$C,$C591,$D:$D,"P0(후)",$L:$L,"&gt;0")&lt;&gt;1,"",SUMIFS($L:$L,$C:$C,$C591,$D:$D,"P0(후)"))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IF(OR(NOT(ISNUMBER(S591)),IF(ISNUMBER(G591),G591,F591)=0),"",S591/IF(ISNUMBER(G591),G591,F591))</f>
        <v/>
      </c>
      <c r="U591" s="46">
        <f>IF(ISNUMBER(T591),ABS(T591),"")</f>
        <v/>
      </c>
      <c r="V591" s="46">
        <f>IF(OR($D590&lt;&gt;"측정",$C590&lt;&gt;$C591,NOT(ISNUMBER(L591)),NOT(ISNUMBER(L590)),(IF(ISNUMBER(G591),G591,F591)-IF(ISNUMBER(G590),G590,F590))=0),"",(L591-L590)/(IF(ISNUMBER(G591),G591,F591)-IF(ISNUMBER(G590),G590,F590)))</f>
        <v/>
      </c>
      <c r="W591" s="30">
        <f>IF(NOT(AND(ISNUMBER(N591),ISNUMBER(P591))),"",(P591-N591)*1440)</f>
        <v/>
      </c>
      <c r="X591" s="28" t="n"/>
      <c r="Y591" s="28" t="n"/>
      <c r="Z591" s="28" t="n"/>
      <c r="AA591" s="31" t="n"/>
      <c r="AB591" s="31" t="n"/>
    </row>
    <row r="592">
      <c r="A592" s="25" t="inlineStr">
        <is>
          <t>S12</t>
        </is>
      </c>
      <c r="B592" s="25" t="inlineStr">
        <is>
          <t>순창 신규점</t>
        </is>
      </c>
      <c r="C592" s="25" t="inlineStr">
        <is>
          <t>S12-H서</t>
        </is>
      </c>
      <c r="D592" s="25" t="inlineStr">
        <is>
          <t>측정</t>
        </is>
      </c>
      <c r="E592" s="25" t="inlineStr">
        <is>
          <t>서</t>
        </is>
      </c>
      <c r="F592" s="30" t="n">
        <v>1</v>
      </c>
      <c r="G592" s="29" t="n"/>
      <c r="H592" s="42" t="n"/>
      <c r="I592" s="40" t="n"/>
      <c r="J592" s="40" t="n"/>
      <c r="K592" s="40" t="n"/>
      <c r="L592" s="30">
        <f>IF(COUNT(I592:K592)=0,"",MEDIAN(I592:K592))</f>
        <v/>
      </c>
      <c r="M592" s="25">
        <f>IF(COUNTIFS($C:$C,$C592,$D:$D,"P0(전)",$L:$L,"&gt;0")&lt;&gt;1,"P0(전) 유효 1개 아님",IF(COUNTIFS($C:$C,$C592,$D:$D,"P0(후)",$L:$L,"&gt;0")&lt;&gt;1,"P0(후) 유효 1개 아님",IF(NOT(AND(ISNUMBER(N592),ISNUMBER(P592),ISNUMBER(H592))),"시각 결측",IF(P592&lt;=N592,"P0 시각 역전",IF(OR(H592&lt;N592,H592&gt;P592),"측정시각 구간 밖","OK")))))</f>
        <v/>
      </c>
      <c r="N592" s="45">
        <f>IF(COUNTIFS($C:$C,$C592,$D:$D,"P0(전)",$L:$L,"&gt;0")&lt;&gt;1,"",SUMIFS($H:$H,$C:$C,$C592,$D:$D,"P0(전)"))</f>
        <v/>
      </c>
      <c r="O592" s="30">
        <f>IF(COUNTIFS($C:$C,$C592,$D:$D,"P0(전)",$L:$L,"&gt;0")&lt;&gt;1,"",SUMIFS($L:$L,$C:$C,$C592,$D:$D,"P0(전)"))</f>
        <v/>
      </c>
      <c r="P592" s="45">
        <f>IF(COUNTIFS($C:$C,$C592,$D:$D,"P0(후)",$L:$L,"&gt;0")&lt;&gt;1,"",SUMIFS($H:$H,$C:$C,$C592,$D:$D,"P0(후)"))</f>
        <v/>
      </c>
      <c r="Q592" s="30">
        <f>IF(COUNTIFS($C:$C,$C592,$D:$D,"P0(후)",$L:$L,"&gt;0")&lt;&gt;1,"",SUMIFS($L:$L,$C:$C,$C592,$D:$D,"P0(후)"))</f>
        <v/>
      </c>
      <c r="R592" s="30">
        <f>IF(M592&lt;&gt;"OK","",O592+(Q592-O592)*(H592-N592)/(P592-N592))</f>
        <v/>
      </c>
      <c r="S592" s="30">
        <f>IF(OR(M592&lt;&gt;"OK",NOT(ISNUMBER(L592))),"",L592-R592)</f>
        <v/>
      </c>
      <c r="T592" s="46">
        <f>IF(OR(NOT(ISNUMBER(S592)),IF(ISNUMBER(G592),G592,F592)=0),"",S592/IF(ISNUMBER(G592),G592,F592))</f>
        <v/>
      </c>
      <c r="U592" s="46">
        <f>IF(ISNUMBER(T592),ABS(T592),"")</f>
        <v/>
      </c>
      <c r="V592" s="46">
        <f>IF(OR($D591&lt;&gt;"측정",$C591&lt;&gt;$C592,NOT(ISNUMBER(L592)),NOT(ISNUMBER(L591)),(IF(ISNUMBER(G592),G592,F592)-IF(ISNUMBER(G591),G591,F591))=0),"",(L592-L591)/(IF(ISNUMBER(G592),G592,F592)-IF(ISNUMBER(G591),G591,F591)))</f>
        <v/>
      </c>
      <c r="W592" s="30">
        <f>IF(NOT(AND(ISNUMBER(N592),ISNUMBER(P592))),"",(P592-N592)*1440)</f>
        <v/>
      </c>
      <c r="X592" s="28" t="n"/>
      <c r="Y592" s="28" t="n"/>
      <c r="Z592" s="28" t="n"/>
      <c r="AA592" s="31" t="n"/>
      <c r="AB592" s="31" t="n"/>
    </row>
    <row r="593">
      <c r="A593" s="25" t="inlineStr">
        <is>
          <t>S12</t>
        </is>
      </c>
      <c r="B593" s="25" t="inlineStr">
        <is>
          <t>순창 신규점</t>
        </is>
      </c>
      <c r="C593" s="25" t="inlineStr">
        <is>
          <t>S12-H서</t>
        </is>
      </c>
      <c r="D593" s="25" t="inlineStr">
        <is>
          <t>측정</t>
        </is>
      </c>
      <c r="E593" s="25" t="inlineStr">
        <is>
          <t>서</t>
        </is>
      </c>
      <c r="F593" s="30" t="n">
        <v>2</v>
      </c>
      <c r="G593" s="29" t="n"/>
      <c r="H593" s="42" t="n"/>
      <c r="I593" s="40" t="n"/>
      <c r="J593" s="40" t="n"/>
      <c r="K593" s="40" t="n"/>
      <c r="L593" s="30">
        <f>IF(COUNT(I593:K593)=0,"",MEDIAN(I593:K593))</f>
        <v/>
      </c>
      <c r="M593" s="25">
        <f>IF(COUNTIFS($C:$C,$C593,$D:$D,"P0(전)",$L:$L,"&gt;0")&lt;&gt;1,"P0(전) 유효 1개 아님",IF(COUNTIFS($C:$C,$C593,$D:$D,"P0(후)",$L:$L,"&gt;0")&lt;&gt;1,"P0(후) 유효 1개 아님",IF(NOT(AND(ISNUMBER(N593),ISNUMBER(P593),ISNUMBER(H593))),"시각 결측",IF(P593&lt;=N593,"P0 시각 역전",IF(OR(H593&lt;N593,H593&gt;P593),"측정시각 구간 밖","OK")))))</f>
        <v/>
      </c>
      <c r="N593" s="45">
        <f>IF(COUNTIFS($C:$C,$C593,$D:$D,"P0(전)",$L:$L,"&gt;0")&lt;&gt;1,"",SUMIFS($H:$H,$C:$C,$C593,$D:$D,"P0(전)"))</f>
        <v/>
      </c>
      <c r="O593" s="30">
        <f>IF(COUNTIFS($C:$C,$C593,$D:$D,"P0(전)",$L:$L,"&gt;0")&lt;&gt;1,"",SUMIFS($L:$L,$C:$C,$C593,$D:$D,"P0(전)"))</f>
        <v/>
      </c>
      <c r="P593" s="45">
        <f>IF(COUNTIFS($C:$C,$C593,$D:$D,"P0(후)",$L:$L,"&gt;0")&lt;&gt;1,"",SUMIFS($H:$H,$C:$C,$C593,$D:$D,"P0(후)"))</f>
        <v/>
      </c>
      <c r="Q593" s="30">
        <f>IF(COUNTIFS($C:$C,$C593,$D:$D,"P0(후)",$L:$L,"&gt;0")&lt;&gt;1,"",SUMIFS($L:$L,$C:$C,$C593,$D:$D,"P0(후)"))</f>
        <v/>
      </c>
      <c r="R593" s="30">
        <f>IF(M593&lt;&gt;"OK","",O593+(Q593-O593)*(H593-N593)/(P593-N593))</f>
        <v/>
      </c>
      <c r="S593" s="30">
        <f>IF(OR(M593&lt;&gt;"OK",NOT(ISNUMBER(L593))),"",L593-R593)</f>
        <v/>
      </c>
      <c r="T593" s="46">
        <f>IF(OR(NOT(ISNUMBER(S593)),IF(ISNUMBER(G593),G593,F593)=0),"",S593/IF(ISNUMBER(G593),G593,F593))</f>
        <v/>
      </c>
      <c r="U593" s="46">
        <f>IF(ISNUMBER(T593),ABS(T593),"")</f>
        <v/>
      </c>
      <c r="V593" s="46">
        <f>IF(OR($D592&lt;&gt;"측정",$C592&lt;&gt;$C593,NOT(ISNUMBER(L593)),NOT(ISNUMBER(L592)),(IF(ISNUMBER(G593),G593,F593)-IF(ISNUMBER(G592),G592,F592))=0),"",(L593-L592)/(IF(ISNUMBER(G593),G593,F593)-IF(ISNUMBER(G592),G592,F592)))</f>
        <v/>
      </c>
      <c r="W593" s="30">
        <f>IF(NOT(AND(ISNUMBER(N593),ISNUMBER(P593))),"",(P593-N593)*1440)</f>
        <v/>
      </c>
      <c r="X593" s="28" t="n"/>
      <c r="Y593" s="28" t="n"/>
      <c r="Z593" s="28" t="n"/>
      <c r="AA593" s="31" t="n"/>
      <c r="AB593" s="31" t="n"/>
    </row>
    <row r="594">
      <c r="A594" s="25" t="inlineStr">
        <is>
          <t>S12</t>
        </is>
      </c>
      <c r="B594" s="25" t="inlineStr">
        <is>
          <t>순창 신규점</t>
        </is>
      </c>
      <c r="C594" s="25" t="inlineStr">
        <is>
          <t>S12-H서</t>
        </is>
      </c>
      <c r="D594" s="25" t="inlineStr">
        <is>
          <t>측정</t>
        </is>
      </c>
      <c r="E594" s="25" t="inlineStr">
        <is>
          <t>서</t>
        </is>
      </c>
      <c r="F594" s="30" t="n">
        <v>3</v>
      </c>
      <c r="G594" s="29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IF(COUNTIFS($C:$C,$C594,$D:$D,"P0(전)",$L:$L,"&gt;0")&lt;&gt;1,"P0(전) 유효 1개 아님",IF(COUNTIFS($C:$C,$C594,$D:$D,"P0(후)",$L:$L,"&gt;0")&lt;&gt;1,"P0(후) 유효 1개 아님",IF(NOT(AND(ISNUMBER(N594),ISNUMBER(P594),ISNUMBER(H594))),"시각 결측",IF(P594&lt;=N594,"P0 시각 역전",IF(OR(H594&lt;N594,H594&gt;P594),"측정시각 구간 밖","OK")))))</f>
        <v/>
      </c>
      <c r="N594" s="45">
        <f>IF(COUNTIFS($C:$C,$C594,$D:$D,"P0(전)",$L:$L,"&gt;0")&lt;&gt;1,"",SUMIFS($H:$H,$C:$C,$C594,$D:$D,"P0(전)"))</f>
        <v/>
      </c>
      <c r="O594" s="30">
        <f>IF(COUNTIFS($C:$C,$C594,$D:$D,"P0(전)",$L:$L,"&gt;0")&lt;&gt;1,"",SUMIFS($L:$L,$C:$C,$C594,$D:$D,"P0(전)"))</f>
        <v/>
      </c>
      <c r="P594" s="45">
        <f>IF(COUNTIFS($C:$C,$C594,$D:$D,"P0(후)",$L:$L,"&gt;0")&lt;&gt;1,"",SUMIFS($H:$H,$C:$C,$C594,$D:$D,"P0(후)"))</f>
        <v/>
      </c>
      <c r="Q594" s="30">
        <f>IF(COUNTIFS($C:$C,$C594,$D:$D,"P0(후)",$L:$L,"&gt;0")&lt;&gt;1,"",SUMIFS($L:$L,$C:$C,$C594,$D:$D,"P0(후)"))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IF(OR(NOT(ISNUMBER(S594)),IF(ISNUMBER(G594),G594,F594)=0),"",S594/IF(ISNUMBER(G594),G594,F594))</f>
        <v/>
      </c>
      <c r="U594" s="46">
        <f>IF(ISNUMBER(T594),ABS(T594),"")</f>
        <v/>
      </c>
      <c r="V594" s="46">
        <f>IF(OR($D593&lt;&gt;"측정",$C593&lt;&gt;$C594,NOT(ISNUMBER(L594)),NOT(ISNUMBER(L593)),(IF(ISNUMBER(G594),G594,F594)-IF(ISNUMBER(G593),G593,F593))=0),"",(L594-L593)/(IF(ISNUMBER(G594),G594,F594)-IF(ISNUMBER(G593),G593,F593)))</f>
        <v/>
      </c>
      <c r="W594" s="30">
        <f>IF(NOT(AND(ISNUMBER(N594),ISNUMBER(P594))),"",(P594-N594)*1440)</f>
        <v/>
      </c>
      <c r="X594" s="28" t="n"/>
      <c r="Y594" s="28" t="n"/>
      <c r="Z594" s="28" t="n"/>
      <c r="AA594" s="31" t="n"/>
      <c r="AB594" s="31" t="n"/>
    </row>
    <row r="595">
      <c r="A595" s="25" t="inlineStr">
        <is>
          <t>S12</t>
        </is>
      </c>
      <c r="B595" s="25" t="inlineStr">
        <is>
          <t>순창 신규점</t>
        </is>
      </c>
      <c r="C595" s="25" t="inlineStr">
        <is>
          <t>S12-H서</t>
        </is>
      </c>
      <c r="D595" s="25" t="inlineStr">
        <is>
          <t>측정</t>
        </is>
      </c>
      <c r="E595" s="25" t="inlineStr">
        <is>
          <t>서</t>
        </is>
      </c>
      <c r="F595" s="30" t="n">
        <v>4</v>
      </c>
      <c r="G595" s="29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IF(COUNTIFS($C:$C,$C595,$D:$D,"P0(전)",$L:$L,"&gt;0")&lt;&gt;1,"P0(전) 유효 1개 아님",IF(COUNTIFS($C:$C,$C595,$D:$D,"P0(후)",$L:$L,"&gt;0")&lt;&gt;1,"P0(후) 유효 1개 아님",IF(NOT(AND(ISNUMBER(N595),ISNUMBER(P595),ISNUMBER(H595))),"시각 결측",IF(P595&lt;=N595,"P0 시각 역전",IF(OR(H595&lt;N595,H595&gt;P595),"측정시각 구간 밖","OK")))))</f>
        <v/>
      </c>
      <c r="N595" s="45">
        <f>IF(COUNTIFS($C:$C,$C595,$D:$D,"P0(전)",$L:$L,"&gt;0")&lt;&gt;1,"",SUMIFS($H:$H,$C:$C,$C595,$D:$D,"P0(전)"))</f>
        <v/>
      </c>
      <c r="O595" s="30">
        <f>IF(COUNTIFS($C:$C,$C595,$D:$D,"P0(전)",$L:$L,"&gt;0")&lt;&gt;1,"",SUMIFS($L:$L,$C:$C,$C595,$D:$D,"P0(전)"))</f>
        <v/>
      </c>
      <c r="P595" s="45">
        <f>IF(COUNTIFS($C:$C,$C595,$D:$D,"P0(후)",$L:$L,"&gt;0")&lt;&gt;1,"",SUMIFS($H:$H,$C:$C,$C595,$D:$D,"P0(후)"))</f>
        <v/>
      </c>
      <c r="Q595" s="30">
        <f>IF(COUNTIFS($C:$C,$C595,$D:$D,"P0(후)",$L:$L,"&gt;0")&lt;&gt;1,"",SUMIFS($L:$L,$C:$C,$C595,$D:$D,"P0(후)"))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IF(OR(NOT(ISNUMBER(S595)),IF(ISNUMBER(G595),G595,F595)=0),"",S595/IF(ISNUMBER(G595),G595,F595))</f>
        <v/>
      </c>
      <c r="U595" s="46">
        <f>IF(ISNUMBER(T595),ABS(T595),"")</f>
        <v/>
      </c>
      <c r="V595" s="46">
        <f>IF(OR($D594&lt;&gt;"측정",$C594&lt;&gt;$C595,NOT(ISNUMBER(L595)),NOT(ISNUMBER(L594)),(IF(ISNUMBER(G595),G595,F595)-IF(ISNUMBER(G594),G594,F594))=0),"",(L595-L594)/(IF(ISNUMBER(G595),G595,F595)-IF(ISNUMBER(G594),G594,F594)))</f>
        <v/>
      </c>
      <c r="W595" s="30">
        <f>IF(NOT(AND(ISNUMBER(N595),ISNUMBER(P595))),"",(P595-N595)*1440)</f>
        <v/>
      </c>
      <c r="X595" s="28" t="n"/>
      <c r="Y595" s="28" t="n"/>
      <c r="Z595" s="28" t="n"/>
      <c r="AA595" s="31" t="n"/>
      <c r="AB595" s="31" t="n"/>
    </row>
    <row r="596">
      <c r="A596" s="25" t="inlineStr">
        <is>
          <t>S12</t>
        </is>
      </c>
      <c r="B596" s="25" t="inlineStr">
        <is>
          <t>순창 신규점</t>
        </is>
      </c>
      <c r="C596" s="25" t="inlineStr">
        <is>
          <t>S12-H서</t>
        </is>
      </c>
      <c r="D596" s="25" t="inlineStr">
        <is>
          <t>측정</t>
        </is>
      </c>
      <c r="E596" s="25" t="inlineStr">
        <is>
          <t>서</t>
        </is>
      </c>
      <c r="F596" s="30" t="n">
        <v>5</v>
      </c>
      <c r="G596" s="29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IF(COUNTIFS($C:$C,$C596,$D:$D,"P0(전)",$L:$L,"&gt;0")&lt;&gt;1,"P0(전) 유효 1개 아님",IF(COUNTIFS($C:$C,$C596,$D:$D,"P0(후)",$L:$L,"&gt;0")&lt;&gt;1,"P0(후) 유효 1개 아님",IF(NOT(AND(ISNUMBER(N596),ISNUMBER(P596),ISNUMBER(H596))),"시각 결측",IF(P596&lt;=N596,"P0 시각 역전",IF(OR(H596&lt;N596,H596&gt;P596),"측정시각 구간 밖","OK")))))</f>
        <v/>
      </c>
      <c r="N596" s="45">
        <f>IF(COUNTIFS($C:$C,$C596,$D:$D,"P0(전)",$L:$L,"&gt;0")&lt;&gt;1,"",SUMIFS($H:$H,$C:$C,$C596,$D:$D,"P0(전)"))</f>
        <v/>
      </c>
      <c r="O596" s="30">
        <f>IF(COUNTIFS($C:$C,$C596,$D:$D,"P0(전)",$L:$L,"&gt;0")&lt;&gt;1,"",SUMIFS($L:$L,$C:$C,$C596,$D:$D,"P0(전)"))</f>
        <v/>
      </c>
      <c r="P596" s="45">
        <f>IF(COUNTIFS($C:$C,$C596,$D:$D,"P0(후)",$L:$L,"&gt;0")&lt;&gt;1,"",SUMIFS($H:$H,$C:$C,$C596,$D:$D,"P0(후)"))</f>
        <v/>
      </c>
      <c r="Q596" s="30">
        <f>IF(COUNTIFS($C:$C,$C596,$D:$D,"P0(후)",$L:$L,"&gt;0")&lt;&gt;1,"",SUMIFS($L:$L,$C:$C,$C596,$D:$D,"P0(후)"))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IF(OR(NOT(ISNUMBER(S596)),IF(ISNUMBER(G596),G596,F596)=0),"",S596/IF(ISNUMBER(G596),G596,F596))</f>
        <v/>
      </c>
      <c r="U596" s="46">
        <f>IF(ISNUMBER(T596),ABS(T596),"")</f>
        <v/>
      </c>
      <c r="V596" s="46">
        <f>IF(OR($D595&lt;&gt;"측정",$C595&lt;&gt;$C596,NOT(ISNUMBER(L596)),NOT(ISNUMBER(L595)),(IF(ISNUMBER(G596),G596,F596)-IF(ISNUMBER(G595),G595,F595))=0),"",(L596-L595)/(IF(ISNUMBER(G596),G596,F596)-IF(ISNUMBER(G595),G595,F595)))</f>
        <v/>
      </c>
      <c r="W596" s="30">
        <f>IF(NOT(AND(ISNUMBER(N596),ISNUMBER(P596))),"",(P596-N596)*1440)</f>
        <v/>
      </c>
      <c r="X596" s="28" t="n"/>
      <c r="Y596" s="28" t="n"/>
      <c r="Z596" s="28" t="n"/>
      <c r="AA596" s="31" t="n"/>
      <c r="AB596" s="31" t="n"/>
    </row>
    <row r="597">
      <c r="A597" s="25" t="inlineStr">
        <is>
          <t>S12</t>
        </is>
      </c>
      <c r="B597" s="25" t="inlineStr">
        <is>
          <t>순창 신규점</t>
        </is>
      </c>
      <c r="C597" s="25" t="inlineStr">
        <is>
          <t>S12-H서</t>
        </is>
      </c>
      <c r="D597" s="25" t="inlineStr">
        <is>
          <t>측정</t>
        </is>
      </c>
      <c r="E597" s="25" t="inlineStr">
        <is>
          <t>서</t>
        </is>
      </c>
      <c r="F597" s="30" t="n">
        <v>6</v>
      </c>
      <c r="G597" s="29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IF(COUNTIFS($C:$C,$C597,$D:$D,"P0(전)",$L:$L,"&gt;0")&lt;&gt;1,"P0(전) 유효 1개 아님",IF(COUNTIFS($C:$C,$C597,$D:$D,"P0(후)",$L:$L,"&gt;0")&lt;&gt;1,"P0(후) 유효 1개 아님",IF(NOT(AND(ISNUMBER(N597),ISNUMBER(P597),ISNUMBER(H597))),"시각 결측",IF(P597&lt;=N597,"P0 시각 역전",IF(OR(H597&lt;N597,H597&gt;P597),"측정시각 구간 밖","OK")))))</f>
        <v/>
      </c>
      <c r="N597" s="45">
        <f>IF(COUNTIFS($C:$C,$C597,$D:$D,"P0(전)",$L:$L,"&gt;0")&lt;&gt;1,"",SUMIFS($H:$H,$C:$C,$C597,$D:$D,"P0(전)"))</f>
        <v/>
      </c>
      <c r="O597" s="30">
        <f>IF(COUNTIFS($C:$C,$C597,$D:$D,"P0(전)",$L:$L,"&gt;0")&lt;&gt;1,"",SUMIFS($L:$L,$C:$C,$C597,$D:$D,"P0(전)"))</f>
        <v/>
      </c>
      <c r="P597" s="45">
        <f>IF(COUNTIFS($C:$C,$C597,$D:$D,"P0(후)",$L:$L,"&gt;0")&lt;&gt;1,"",SUMIFS($H:$H,$C:$C,$C597,$D:$D,"P0(후)"))</f>
        <v/>
      </c>
      <c r="Q597" s="30">
        <f>IF(COUNTIFS($C:$C,$C597,$D:$D,"P0(후)",$L:$L,"&gt;0")&lt;&gt;1,"",SUMIFS($L:$L,$C:$C,$C597,$D:$D,"P0(후)"))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IF(OR(NOT(ISNUMBER(S597)),IF(ISNUMBER(G597),G597,F597)=0),"",S597/IF(ISNUMBER(G597),G597,F597))</f>
        <v/>
      </c>
      <c r="U597" s="46">
        <f>IF(ISNUMBER(T597),ABS(T597),"")</f>
        <v/>
      </c>
      <c r="V597" s="46">
        <f>IF(OR($D596&lt;&gt;"측정",$C596&lt;&gt;$C597,NOT(ISNUMBER(L597)),NOT(ISNUMBER(L596)),(IF(ISNUMBER(G597),G597,F597)-IF(ISNUMBER(G596),G596,F596))=0),"",(L597-L596)/(IF(ISNUMBER(G597),G597,F597)-IF(ISNUMBER(G596),G596,F596)))</f>
        <v/>
      </c>
      <c r="W597" s="30">
        <f>IF(NOT(AND(ISNUMBER(N597),ISNUMBER(P597))),"",(P597-N597)*1440)</f>
        <v/>
      </c>
      <c r="X597" s="28" t="n"/>
      <c r="Y597" s="28" t="n"/>
      <c r="Z597" s="28" t="n"/>
      <c r="AA597" s="31" t="n"/>
      <c r="AB597" s="31" t="n"/>
    </row>
    <row r="598">
      <c r="A598" s="25" t="inlineStr">
        <is>
          <t>S12</t>
        </is>
      </c>
      <c r="B598" s="25" t="inlineStr">
        <is>
          <t>순창 신규점</t>
        </is>
      </c>
      <c r="C598" s="25" t="inlineStr">
        <is>
          <t>S12-H서</t>
        </is>
      </c>
      <c r="D598" s="25" t="inlineStr">
        <is>
          <t>측정</t>
        </is>
      </c>
      <c r="E598" s="25" t="inlineStr">
        <is>
          <t>서</t>
        </is>
      </c>
      <c r="F598" s="30" t="n">
        <v>7</v>
      </c>
      <c r="G598" s="29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IF(COUNTIFS($C:$C,$C598,$D:$D,"P0(전)",$L:$L,"&gt;0")&lt;&gt;1,"P0(전) 유효 1개 아님",IF(COUNTIFS($C:$C,$C598,$D:$D,"P0(후)",$L:$L,"&gt;0")&lt;&gt;1,"P0(후) 유효 1개 아님",IF(NOT(AND(ISNUMBER(N598),ISNUMBER(P598),ISNUMBER(H598))),"시각 결측",IF(P598&lt;=N598,"P0 시각 역전",IF(OR(H598&lt;N598,H598&gt;P598),"측정시각 구간 밖","OK")))))</f>
        <v/>
      </c>
      <c r="N598" s="45">
        <f>IF(COUNTIFS($C:$C,$C598,$D:$D,"P0(전)",$L:$L,"&gt;0")&lt;&gt;1,"",SUMIFS($H:$H,$C:$C,$C598,$D:$D,"P0(전)"))</f>
        <v/>
      </c>
      <c r="O598" s="30">
        <f>IF(COUNTIFS($C:$C,$C598,$D:$D,"P0(전)",$L:$L,"&gt;0")&lt;&gt;1,"",SUMIFS($L:$L,$C:$C,$C598,$D:$D,"P0(전)"))</f>
        <v/>
      </c>
      <c r="P598" s="45">
        <f>IF(COUNTIFS($C:$C,$C598,$D:$D,"P0(후)",$L:$L,"&gt;0")&lt;&gt;1,"",SUMIFS($H:$H,$C:$C,$C598,$D:$D,"P0(후)"))</f>
        <v/>
      </c>
      <c r="Q598" s="30">
        <f>IF(COUNTIFS($C:$C,$C598,$D:$D,"P0(후)",$L:$L,"&gt;0")&lt;&gt;1,"",SUMIFS($L:$L,$C:$C,$C598,$D:$D,"P0(후)"))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IF(OR(NOT(ISNUMBER(S598)),IF(ISNUMBER(G598),G598,F598)=0),"",S598/IF(ISNUMBER(G598),G598,F598))</f>
        <v/>
      </c>
      <c r="U598" s="46">
        <f>IF(ISNUMBER(T598),ABS(T598),"")</f>
        <v/>
      </c>
      <c r="V598" s="46">
        <f>IF(OR($D597&lt;&gt;"측정",$C597&lt;&gt;$C598,NOT(ISNUMBER(L598)),NOT(ISNUMBER(L597)),(IF(ISNUMBER(G598),G598,F598)-IF(ISNUMBER(G597),G597,F597))=0),"",(L598-L597)/(IF(ISNUMBER(G598),G598,F598)-IF(ISNUMBER(G597),G597,F597)))</f>
        <v/>
      </c>
      <c r="W598" s="30">
        <f>IF(NOT(AND(ISNUMBER(N598),ISNUMBER(P598))),"",(P598-N598)*1440)</f>
        <v/>
      </c>
      <c r="X598" s="28" t="n"/>
      <c r="Y598" s="28" t="n"/>
      <c r="Z598" s="28" t="n"/>
      <c r="AA598" s="31" t="n"/>
      <c r="AB598" s="31" t="n"/>
    </row>
    <row r="599">
      <c r="A599" s="25" t="inlineStr">
        <is>
          <t>S12</t>
        </is>
      </c>
      <c r="B599" s="25" t="inlineStr">
        <is>
          <t>순창 신규점</t>
        </is>
      </c>
      <c r="C599" s="25" t="inlineStr">
        <is>
          <t>S12-H서</t>
        </is>
      </c>
      <c r="D599" s="25" t="inlineStr">
        <is>
          <t>측정</t>
        </is>
      </c>
      <c r="E599" s="25" t="inlineStr">
        <is>
          <t>서</t>
        </is>
      </c>
      <c r="F599" s="30" t="n">
        <v>8</v>
      </c>
      <c r="G599" s="29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IF(COUNTIFS($C:$C,$C599,$D:$D,"P0(전)",$L:$L,"&gt;0")&lt;&gt;1,"P0(전) 유효 1개 아님",IF(COUNTIFS($C:$C,$C599,$D:$D,"P0(후)",$L:$L,"&gt;0")&lt;&gt;1,"P0(후) 유효 1개 아님",IF(NOT(AND(ISNUMBER(N599),ISNUMBER(P599),ISNUMBER(H599))),"시각 결측",IF(P599&lt;=N599,"P0 시각 역전",IF(OR(H599&lt;N599,H599&gt;P599),"측정시각 구간 밖","OK")))))</f>
        <v/>
      </c>
      <c r="N599" s="45">
        <f>IF(COUNTIFS($C:$C,$C599,$D:$D,"P0(전)",$L:$L,"&gt;0")&lt;&gt;1,"",SUMIFS($H:$H,$C:$C,$C599,$D:$D,"P0(전)"))</f>
        <v/>
      </c>
      <c r="O599" s="30">
        <f>IF(COUNTIFS($C:$C,$C599,$D:$D,"P0(전)",$L:$L,"&gt;0")&lt;&gt;1,"",SUMIFS($L:$L,$C:$C,$C599,$D:$D,"P0(전)"))</f>
        <v/>
      </c>
      <c r="P599" s="45">
        <f>IF(COUNTIFS($C:$C,$C599,$D:$D,"P0(후)",$L:$L,"&gt;0")&lt;&gt;1,"",SUMIFS($H:$H,$C:$C,$C599,$D:$D,"P0(후)"))</f>
        <v/>
      </c>
      <c r="Q599" s="30">
        <f>IF(COUNTIFS($C:$C,$C599,$D:$D,"P0(후)",$L:$L,"&gt;0")&lt;&gt;1,"",SUMIFS($L:$L,$C:$C,$C599,$D:$D,"P0(후)"))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IF(OR(NOT(ISNUMBER(S599)),IF(ISNUMBER(G599),G599,F599)=0),"",S599/IF(ISNUMBER(G599),G599,F599))</f>
        <v/>
      </c>
      <c r="U599" s="46">
        <f>IF(ISNUMBER(T599),ABS(T599),"")</f>
        <v/>
      </c>
      <c r="V599" s="46">
        <f>IF(OR($D598&lt;&gt;"측정",$C598&lt;&gt;$C599,NOT(ISNUMBER(L599)),NOT(ISNUMBER(L598)),(IF(ISNUMBER(G599),G599,F599)-IF(ISNUMBER(G598),G598,F598))=0),"",(L599-L598)/(IF(ISNUMBER(G599),G599,F599)-IF(ISNUMBER(G598),G598,F598)))</f>
        <v/>
      </c>
      <c r="W599" s="30">
        <f>IF(NOT(AND(ISNUMBER(N599),ISNUMBER(P599))),"",(P599-N599)*1440)</f>
        <v/>
      </c>
      <c r="X599" s="28" t="n"/>
      <c r="Y599" s="28" t="n"/>
      <c r="Z599" s="28" t="n"/>
      <c r="AA599" s="31" t="n"/>
      <c r="AB599" s="31" t="n"/>
    </row>
    <row r="600">
      <c r="A600" s="25" t="inlineStr">
        <is>
          <t>S12</t>
        </is>
      </c>
      <c r="B600" s="25" t="inlineStr">
        <is>
          <t>순창 신규점</t>
        </is>
      </c>
      <c r="C600" s="25" t="inlineStr">
        <is>
          <t>S12-H서</t>
        </is>
      </c>
      <c r="D600" s="25" t="inlineStr">
        <is>
          <t>측정</t>
        </is>
      </c>
      <c r="E600" s="25" t="inlineStr">
        <is>
          <t>서</t>
        </is>
      </c>
      <c r="F600" s="30" t="n">
        <v>9</v>
      </c>
      <c r="G600" s="29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IF(COUNTIFS($C:$C,$C600,$D:$D,"P0(전)",$L:$L,"&gt;0")&lt;&gt;1,"P0(전) 유효 1개 아님",IF(COUNTIFS($C:$C,$C600,$D:$D,"P0(후)",$L:$L,"&gt;0")&lt;&gt;1,"P0(후) 유효 1개 아님",IF(NOT(AND(ISNUMBER(N600),ISNUMBER(P600),ISNUMBER(H600))),"시각 결측",IF(P600&lt;=N600,"P0 시각 역전",IF(OR(H600&lt;N600,H600&gt;P600),"측정시각 구간 밖","OK")))))</f>
        <v/>
      </c>
      <c r="N600" s="45">
        <f>IF(COUNTIFS($C:$C,$C600,$D:$D,"P0(전)",$L:$L,"&gt;0")&lt;&gt;1,"",SUMIFS($H:$H,$C:$C,$C600,$D:$D,"P0(전)"))</f>
        <v/>
      </c>
      <c r="O600" s="30">
        <f>IF(COUNTIFS($C:$C,$C600,$D:$D,"P0(전)",$L:$L,"&gt;0")&lt;&gt;1,"",SUMIFS($L:$L,$C:$C,$C600,$D:$D,"P0(전)"))</f>
        <v/>
      </c>
      <c r="P600" s="45">
        <f>IF(COUNTIFS($C:$C,$C600,$D:$D,"P0(후)",$L:$L,"&gt;0")&lt;&gt;1,"",SUMIFS($H:$H,$C:$C,$C600,$D:$D,"P0(후)"))</f>
        <v/>
      </c>
      <c r="Q600" s="30">
        <f>IF(COUNTIFS($C:$C,$C600,$D:$D,"P0(후)",$L:$L,"&gt;0")&lt;&gt;1,"",SUMIFS($L:$L,$C:$C,$C600,$D:$D,"P0(후)"))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IF(OR(NOT(ISNUMBER(S600)),IF(ISNUMBER(G600),G600,F600)=0),"",S600/IF(ISNUMBER(G600),G600,F600))</f>
        <v/>
      </c>
      <c r="U600" s="46">
        <f>IF(ISNUMBER(T600),ABS(T600),"")</f>
        <v/>
      </c>
      <c r="V600" s="46">
        <f>IF(OR($D599&lt;&gt;"측정",$C599&lt;&gt;$C600,NOT(ISNUMBER(L600)),NOT(ISNUMBER(L599)),(IF(ISNUMBER(G600),G600,F600)-IF(ISNUMBER(G599),G599,F599))=0),"",(L600-L599)/(IF(ISNUMBER(G600),G600,F600)-IF(ISNUMBER(G599),G599,F599)))</f>
        <v/>
      </c>
      <c r="W600" s="30">
        <f>IF(NOT(AND(ISNUMBER(N600),ISNUMBER(P600))),"",(P600-N600)*1440)</f>
        <v/>
      </c>
      <c r="X600" s="28" t="n"/>
      <c r="Y600" s="28" t="n"/>
      <c r="Z600" s="28" t="n"/>
      <c r="AA600" s="31" t="n"/>
      <c r="AB600" s="31" t="n"/>
    </row>
    <row r="601">
      <c r="A601" s="25" t="inlineStr">
        <is>
          <t>S12</t>
        </is>
      </c>
      <c r="B601" s="25" t="inlineStr">
        <is>
          <t>순창 신규점</t>
        </is>
      </c>
      <c r="C601" s="25" t="inlineStr">
        <is>
          <t>S12-H서</t>
        </is>
      </c>
      <c r="D601" s="25" t="inlineStr">
        <is>
          <t>측정</t>
        </is>
      </c>
      <c r="E601" s="25" t="inlineStr">
        <is>
          <t>서</t>
        </is>
      </c>
      <c r="F601" s="30" t="n">
        <v>10</v>
      </c>
      <c r="G601" s="29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IF(COUNTIFS($C:$C,$C601,$D:$D,"P0(전)",$L:$L,"&gt;0")&lt;&gt;1,"P0(전) 유효 1개 아님",IF(COUNTIFS($C:$C,$C601,$D:$D,"P0(후)",$L:$L,"&gt;0")&lt;&gt;1,"P0(후) 유효 1개 아님",IF(NOT(AND(ISNUMBER(N601),ISNUMBER(P601),ISNUMBER(H601))),"시각 결측",IF(P601&lt;=N601,"P0 시각 역전",IF(OR(H601&lt;N601,H601&gt;P601),"측정시각 구간 밖","OK")))))</f>
        <v/>
      </c>
      <c r="N601" s="45">
        <f>IF(COUNTIFS($C:$C,$C601,$D:$D,"P0(전)",$L:$L,"&gt;0")&lt;&gt;1,"",SUMIFS($H:$H,$C:$C,$C601,$D:$D,"P0(전)"))</f>
        <v/>
      </c>
      <c r="O601" s="30">
        <f>IF(COUNTIFS($C:$C,$C601,$D:$D,"P0(전)",$L:$L,"&gt;0")&lt;&gt;1,"",SUMIFS($L:$L,$C:$C,$C601,$D:$D,"P0(전)"))</f>
        <v/>
      </c>
      <c r="P601" s="45">
        <f>IF(COUNTIFS($C:$C,$C601,$D:$D,"P0(후)",$L:$L,"&gt;0")&lt;&gt;1,"",SUMIFS($H:$H,$C:$C,$C601,$D:$D,"P0(후)"))</f>
        <v/>
      </c>
      <c r="Q601" s="30">
        <f>IF(COUNTIFS($C:$C,$C601,$D:$D,"P0(후)",$L:$L,"&gt;0")&lt;&gt;1,"",SUMIFS($L:$L,$C:$C,$C601,$D:$D,"P0(후)"))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IF(OR(NOT(ISNUMBER(S601)),IF(ISNUMBER(G601),G601,F601)=0),"",S601/IF(ISNUMBER(G601),G601,F601))</f>
        <v/>
      </c>
      <c r="U601" s="46">
        <f>IF(ISNUMBER(T601),ABS(T601),"")</f>
        <v/>
      </c>
      <c r="V601" s="46">
        <f>IF(OR($D600&lt;&gt;"측정",$C600&lt;&gt;$C601,NOT(ISNUMBER(L601)),NOT(ISNUMBER(L600)),(IF(ISNUMBER(G601),G601,F601)-IF(ISNUMBER(G600),G600,F600))=0),"",(L601-L600)/(IF(ISNUMBER(G601),G601,F601)-IF(ISNUMBER(G600),G600,F600)))</f>
        <v/>
      </c>
      <c r="W601" s="30">
        <f>IF(NOT(AND(ISNUMBER(N601),ISNUMBER(P601))),"",(P601-N601)*1440)</f>
        <v/>
      </c>
      <c r="X601" s="28" t="n"/>
      <c r="Y601" s="28" t="n"/>
      <c r="Z601" s="28" t="n"/>
      <c r="AA601" s="31" t="n"/>
      <c r="AB601" s="31" t="n"/>
    </row>
    <row r="602">
      <c r="A602" s="43" t="inlineStr">
        <is>
          <t>S12</t>
        </is>
      </c>
      <c r="B602" s="43" t="inlineStr">
        <is>
          <t>순창 신규점</t>
        </is>
      </c>
      <c r="C602" s="43" t="inlineStr">
        <is>
          <t>S12-H서</t>
        </is>
      </c>
      <c r="D602" s="43" t="inlineStr">
        <is>
          <t>P0(후)</t>
        </is>
      </c>
      <c r="E602" s="43" t="inlineStr">
        <is>
          <t>서</t>
        </is>
      </c>
      <c r="F602" s="44" t="n"/>
      <c r="G602" s="29" t="n"/>
      <c r="H602" s="42" t="n"/>
      <c r="I602" s="40" t="n"/>
      <c r="J602" s="40" t="n"/>
      <c r="K602" s="40" t="n"/>
      <c r="L602" s="30">
        <f>IF(COUNT(I602:K602)=0,"",MEDIAN(I602:K602))</f>
        <v/>
      </c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28" t="n"/>
      <c r="Y602" s="28" t="n"/>
      <c r="Z602" s="28" t="n"/>
      <c r="AA602" s="31" t="n"/>
      <c r="AB602" s="31" t="n"/>
    </row>
    <row r="603">
      <c r="A603" s="43" t="inlineStr">
        <is>
          <t>S12</t>
        </is>
      </c>
      <c r="B603" s="43" t="inlineStr">
        <is>
          <t>순창 신규점</t>
        </is>
      </c>
      <c r="C603" s="43" t="inlineStr">
        <is>
          <t>S12-H남</t>
        </is>
      </c>
      <c r="D603" s="43" t="inlineStr">
        <is>
          <t>P0(전)</t>
        </is>
      </c>
      <c r="E603" s="43" t="inlineStr">
        <is>
          <t>남</t>
        </is>
      </c>
      <c r="F603" s="44" t="n"/>
      <c r="G603" s="29" t="n"/>
      <c r="H603" s="42" t="n"/>
      <c r="I603" s="40" t="n"/>
      <c r="J603" s="40" t="n"/>
      <c r="K603" s="40" t="n"/>
      <c r="L603" s="30">
        <f>IF(COUNT(I603:K603)=0,"",MEDIAN(I603:K603))</f>
        <v/>
      </c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28" t="n"/>
      <c r="Y603" s="28" t="n"/>
      <c r="Z603" s="28" t="n"/>
      <c r="AA603" s="31" t="n"/>
      <c r="AB603" s="31" t="n"/>
    </row>
    <row r="604">
      <c r="A604" s="25" t="inlineStr">
        <is>
          <t>S12</t>
        </is>
      </c>
      <c r="B604" s="25" t="inlineStr">
        <is>
          <t>순창 신규점</t>
        </is>
      </c>
      <c r="C604" s="25" t="inlineStr">
        <is>
          <t>S12-H남</t>
        </is>
      </c>
      <c r="D604" s="25" t="inlineStr">
        <is>
          <t>측정</t>
        </is>
      </c>
      <c r="E604" s="25" t="inlineStr">
        <is>
          <t>남</t>
        </is>
      </c>
      <c r="F604" s="30" t="n">
        <v>0.5</v>
      </c>
      <c r="G604" s="29" t="n"/>
      <c r="H604" s="42" t="n"/>
      <c r="I604" s="40" t="n"/>
      <c r="J604" s="40" t="n"/>
      <c r="K604" s="40" t="n"/>
      <c r="L604" s="30">
        <f>IF(COUNT(I604:K604)=0,"",MEDIAN(I604:K604))</f>
        <v/>
      </c>
      <c r="M604" s="25">
        <f>IF(COUNTIFS($C:$C,$C604,$D:$D,"P0(전)",$L:$L,"&gt;0")&lt;&gt;1,"P0(전) 유효 1개 아님",IF(COUNTIFS($C:$C,$C604,$D:$D,"P0(후)",$L:$L,"&gt;0")&lt;&gt;1,"P0(후) 유효 1개 아님",IF(NOT(AND(ISNUMBER(N604),ISNUMBER(P604),ISNUMBER(H604))),"시각 결측",IF(P604&lt;=N604,"P0 시각 역전",IF(OR(H604&lt;N604,H604&gt;P604),"측정시각 구간 밖","OK")))))</f>
        <v/>
      </c>
      <c r="N604" s="45">
        <f>IF(COUNTIFS($C:$C,$C604,$D:$D,"P0(전)",$L:$L,"&gt;0")&lt;&gt;1,"",SUMIFS($H:$H,$C:$C,$C604,$D:$D,"P0(전)"))</f>
        <v/>
      </c>
      <c r="O604" s="30">
        <f>IF(COUNTIFS($C:$C,$C604,$D:$D,"P0(전)",$L:$L,"&gt;0")&lt;&gt;1,"",SUMIFS($L:$L,$C:$C,$C604,$D:$D,"P0(전)"))</f>
        <v/>
      </c>
      <c r="P604" s="45">
        <f>IF(COUNTIFS($C:$C,$C604,$D:$D,"P0(후)",$L:$L,"&gt;0")&lt;&gt;1,"",SUMIFS($H:$H,$C:$C,$C604,$D:$D,"P0(후)"))</f>
        <v/>
      </c>
      <c r="Q604" s="30">
        <f>IF(COUNTIFS($C:$C,$C604,$D:$D,"P0(후)",$L:$L,"&gt;0")&lt;&gt;1,"",SUMIFS($L:$L,$C:$C,$C604,$D:$D,"P0(후)"))</f>
        <v/>
      </c>
      <c r="R604" s="30">
        <f>IF(M604&lt;&gt;"OK","",O604+(Q604-O604)*(H604-N604)/(P604-N604))</f>
        <v/>
      </c>
      <c r="S604" s="30">
        <f>IF(OR(M604&lt;&gt;"OK",NOT(ISNUMBER(L604))),"",L604-R604)</f>
        <v/>
      </c>
      <c r="T604" s="46">
        <f>IF(OR(NOT(ISNUMBER(S604)),IF(ISNUMBER(G604),G604,F604)=0),"",S604/IF(ISNUMBER(G604),G604,F604))</f>
        <v/>
      </c>
      <c r="U604" s="46">
        <f>IF(ISNUMBER(T604),ABS(T604),"")</f>
        <v/>
      </c>
      <c r="V604" s="46">
        <f>IF(OR($D603&lt;&gt;"측정",$C603&lt;&gt;$C604,NOT(ISNUMBER(L604)),NOT(ISNUMBER(L603)),(IF(ISNUMBER(G604),G604,F604)-IF(ISNUMBER(G603),G603,F603))=0),"",(L604-L603)/(IF(ISNUMBER(G604),G604,F604)-IF(ISNUMBER(G603),G603,F603)))</f>
        <v/>
      </c>
      <c r="W604" s="30">
        <f>IF(NOT(AND(ISNUMBER(N604),ISNUMBER(P604))),"",(P604-N604)*1440)</f>
        <v/>
      </c>
      <c r="X604" s="28" t="n"/>
      <c r="Y604" s="28" t="n"/>
      <c r="Z604" s="28" t="n"/>
      <c r="AA604" s="31" t="n"/>
      <c r="AB604" s="31" t="n"/>
    </row>
    <row r="605">
      <c r="A605" s="25" t="inlineStr">
        <is>
          <t>S12</t>
        </is>
      </c>
      <c r="B605" s="25" t="inlineStr">
        <is>
          <t>순창 신규점</t>
        </is>
      </c>
      <c r="C605" s="25" t="inlineStr">
        <is>
          <t>S12-H남</t>
        </is>
      </c>
      <c r="D605" s="25" t="inlineStr">
        <is>
          <t>측정</t>
        </is>
      </c>
      <c r="E605" s="25" t="inlineStr">
        <is>
          <t>남</t>
        </is>
      </c>
      <c r="F605" s="30" t="n">
        <v>1</v>
      </c>
      <c r="G605" s="29" t="n"/>
      <c r="H605" s="42" t="n"/>
      <c r="I605" s="40" t="n"/>
      <c r="J605" s="40" t="n"/>
      <c r="K605" s="40" t="n"/>
      <c r="L605" s="30">
        <f>IF(COUNT(I605:K605)=0,"",MEDIAN(I605:K605))</f>
        <v/>
      </c>
      <c r="M605" s="25">
        <f>IF(COUNTIFS($C:$C,$C605,$D:$D,"P0(전)",$L:$L,"&gt;0")&lt;&gt;1,"P0(전) 유효 1개 아님",IF(COUNTIFS($C:$C,$C605,$D:$D,"P0(후)",$L:$L,"&gt;0")&lt;&gt;1,"P0(후) 유효 1개 아님",IF(NOT(AND(ISNUMBER(N605),ISNUMBER(P605),ISNUMBER(H605))),"시각 결측",IF(P605&lt;=N605,"P0 시각 역전",IF(OR(H605&lt;N605,H605&gt;P605),"측정시각 구간 밖","OK")))))</f>
        <v/>
      </c>
      <c r="N605" s="45">
        <f>IF(COUNTIFS($C:$C,$C605,$D:$D,"P0(전)",$L:$L,"&gt;0")&lt;&gt;1,"",SUMIFS($H:$H,$C:$C,$C605,$D:$D,"P0(전)"))</f>
        <v/>
      </c>
      <c r="O605" s="30">
        <f>IF(COUNTIFS($C:$C,$C605,$D:$D,"P0(전)",$L:$L,"&gt;0")&lt;&gt;1,"",SUMIFS($L:$L,$C:$C,$C605,$D:$D,"P0(전)"))</f>
        <v/>
      </c>
      <c r="P605" s="45">
        <f>IF(COUNTIFS($C:$C,$C605,$D:$D,"P0(후)",$L:$L,"&gt;0")&lt;&gt;1,"",SUMIFS($H:$H,$C:$C,$C605,$D:$D,"P0(후)"))</f>
        <v/>
      </c>
      <c r="Q605" s="30">
        <f>IF(COUNTIFS($C:$C,$C605,$D:$D,"P0(후)",$L:$L,"&gt;0")&lt;&gt;1,"",SUMIFS($L:$L,$C:$C,$C605,$D:$D,"P0(후)"))</f>
        <v/>
      </c>
      <c r="R605" s="30">
        <f>IF(M605&lt;&gt;"OK","",O605+(Q605-O605)*(H605-N605)/(P605-N605))</f>
        <v/>
      </c>
      <c r="S605" s="30">
        <f>IF(OR(M605&lt;&gt;"OK",NOT(ISNUMBER(L605))),"",L605-R605)</f>
        <v/>
      </c>
      <c r="T605" s="46">
        <f>IF(OR(NOT(ISNUMBER(S605)),IF(ISNUMBER(G605),G605,F605)=0),"",S605/IF(ISNUMBER(G605),G605,F605))</f>
        <v/>
      </c>
      <c r="U605" s="46">
        <f>IF(ISNUMBER(T605),ABS(T605),"")</f>
        <v/>
      </c>
      <c r="V605" s="46">
        <f>IF(OR($D604&lt;&gt;"측정",$C604&lt;&gt;$C605,NOT(ISNUMBER(L605)),NOT(ISNUMBER(L604)),(IF(ISNUMBER(G605),G605,F605)-IF(ISNUMBER(G604),G604,F604))=0),"",(L605-L604)/(IF(ISNUMBER(G605),G605,F605)-IF(ISNUMBER(G604),G604,F604)))</f>
        <v/>
      </c>
      <c r="W605" s="30">
        <f>IF(NOT(AND(ISNUMBER(N605),ISNUMBER(P605))),"",(P605-N605)*1440)</f>
        <v/>
      </c>
      <c r="X605" s="28" t="n"/>
      <c r="Y605" s="28" t="n"/>
      <c r="Z605" s="28" t="n"/>
      <c r="AA605" s="31" t="n"/>
      <c r="AB605" s="31" t="n"/>
    </row>
    <row r="606">
      <c r="A606" s="25" t="inlineStr">
        <is>
          <t>S12</t>
        </is>
      </c>
      <c r="B606" s="25" t="inlineStr">
        <is>
          <t>순창 신규점</t>
        </is>
      </c>
      <c r="C606" s="25" t="inlineStr">
        <is>
          <t>S12-H남</t>
        </is>
      </c>
      <c r="D606" s="25" t="inlineStr">
        <is>
          <t>측정</t>
        </is>
      </c>
      <c r="E606" s="25" t="inlineStr">
        <is>
          <t>남</t>
        </is>
      </c>
      <c r="F606" s="30" t="n">
        <v>2</v>
      </c>
      <c r="G606" s="29" t="n"/>
      <c r="H606" s="42" t="n"/>
      <c r="I606" s="40" t="n"/>
      <c r="J606" s="40" t="n"/>
      <c r="K606" s="40" t="n"/>
      <c r="L606" s="30">
        <f>IF(COUNT(I606:K606)=0,"",MEDIAN(I606:K606))</f>
        <v/>
      </c>
      <c r="M606" s="25">
        <f>IF(COUNTIFS($C:$C,$C606,$D:$D,"P0(전)",$L:$L,"&gt;0")&lt;&gt;1,"P0(전) 유효 1개 아님",IF(COUNTIFS($C:$C,$C606,$D:$D,"P0(후)",$L:$L,"&gt;0")&lt;&gt;1,"P0(후) 유효 1개 아님",IF(NOT(AND(ISNUMBER(N606),ISNUMBER(P606),ISNUMBER(H606))),"시각 결측",IF(P606&lt;=N606,"P0 시각 역전",IF(OR(H606&lt;N606,H606&gt;P606),"측정시각 구간 밖","OK")))))</f>
        <v/>
      </c>
      <c r="N606" s="45">
        <f>IF(COUNTIFS($C:$C,$C606,$D:$D,"P0(전)",$L:$L,"&gt;0")&lt;&gt;1,"",SUMIFS($H:$H,$C:$C,$C606,$D:$D,"P0(전)"))</f>
        <v/>
      </c>
      <c r="O606" s="30">
        <f>IF(COUNTIFS($C:$C,$C606,$D:$D,"P0(전)",$L:$L,"&gt;0")&lt;&gt;1,"",SUMIFS($L:$L,$C:$C,$C606,$D:$D,"P0(전)"))</f>
        <v/>
      </c>
      <c r="P606" s="45">
        <f>IF(COUNTIFS($C:$C,$C606,$D:$D,"P0(후)",$L:$L,"&gt;0")&lt;&gt;1,"",SUMIFS($H:$H,$C:$C,$C606,$D:$D,"P0(후)"))</f>
        <v/>
      </c>
      <c r="Q606" s="30">
        <f>IF(COUNTIFS($C:$C,$C606,$D:$D,"P0(후)",$L:$L,"&gt;0")&lt;&gt;1,"",SUMIFS($L:$L,$C:$C,$C606,$D:$D,"P0(후)"))</f>
        <v/>
      </c>
      <c r="R606" s="30">
        <f>IF(M606&lt;&gt;"OK","",O606+(Q606-O606)*(H606-N606)/(P606-N606))</f>
        <v/>
      </c>
      <c r="S606" s="30">
        <f>IF(OR(M606&lt;&gt;"OK",NOT(ISNUMBER(L606))),"",L606-R606)</f>
        <v/>
      </c>
      <c r="T606" s="46">
        <f>IF(OR(NOT(ISNUMBER(S606)),IF(ISNUMBER(G606),G606,F606)=0),"",S606/IF(ISNUMBER(G606),G606,F606))</f>
        <v/>
      </c>
      <c r="U606" s="46">
        <f>IF(ISNUMBER(T606),ABS(T606),"")</f>
        <v/>
      </c>
      <c r="V606" s="46">
        <f>IF(OR($D605&lt;&gt;"측정",$C605&lt;&gt;$C606,NOT(ISNUMBER(L606)),NOT(ISNUMBER(L605)),(IF(ISNUMBER(G606),G606,F606)-IF(ISNUMBER(G605),G605,F605))=0),"",(L606-L605)/(IF(ISNUMBER(G606),G606,F606)-IF(ISNUMBER(G605),G605,F605)))</f>
        <v/>
      </c>
      <c r="W606" s="30">
        <f>IF(NOT(AND(ISNUMBER(N606),ISNUMBER(P606))),"",(P606-N606)*1440)</f>
        <v/>
      </c>
      <c r="X606" s="28" t="n"/>
      <c r="Y606" s="28" t="n"/>
      <c r="Z606" s="28" t="n"/>
      <c r="AA606" s="31" t="n"/>
      <c r="AB606" s="31" t="n"/>
    </row>
    <row r="607">
      <c r="A607" s="25" t="inlineStr">
        <is>
          <t>S12</t>
        </is>
      </c>
      <c r="B607" s="25" t="inlineStr">
        <is>
          <t>순창 신규점</t>
        </is>
      </c>
      <c r="C607" s="25" t="inlineStr">
        <is>
          <t>S12-H남</t>
        </is>
      </c>
      <c r="D607" s="25" t="inlineStr">
        <is>
          <t>측정</t>
        </is>
      </c>
      <c r="E607" s="25" t="inlineStr">
        <is>
          <t>남</t>
        </is>
      </c>
      <c r="F607" s="30" t="n">
        <v>3</v>
      </c>
      <c r="G607" s="29" t="n"/>
      <c r="H607" s="42" t="n"/>
      <c r="I607" s="40" t="n"/>
      <c r="J607" s="40" t="n"/>
      <c r="K607" s="40" t="n"/>
      <c r="L607" s="30">
        <f>IF(COUNT(I607:K607)=0,"",MEDIAN(I607:K607))</f>
        <v/>
      </c>
      <c r="M607" s="25">
        <f>IF(COUNTIFS($C:$C,$C607,$D:$D,"P0(전)",$L:$L,"&gt;0")&lt;&gt;1,"P0(전) 유효 1개 아님",IF(COUNTIFS($C:$C,$C607,$D:$D,"P0(후)",$L:$L,"&gt;0")&lt;&gt;1,"P0(후) 유효 1개 아님",IF(NOT(AND(ISNUMBER(N607),ISNUMBER(P607),ISNUMBER(H607))),"시각 결측",IF(P607&lt;=N607,"P0 시각 역전",IF(OR(H607&lt;N607,H607&gt;P607),"측정시각 구간 밖","OK")))))</f>
        <v/>
      </c>
      <c r="N607" s="45">
        <f>IF(COUNTIFS($C:$C,$C607,$D:$D,"P0(전)",$L:$L,"&gt;0")&lt;&gt;1,"",SUMIFS($H:$H,$C:$C,$C607,$D:$D,"P0(전)"))</f>
        <v/>
      </c>
      <c r="O607" s="30">
        <f>IF(COUNTIFS($C:$C,$C607,$D:$D,"P0(전)",$L:$L,"&gt;0")&lt;&gt;1,"",SUMIFS($L:$L,$C:$C,$C607,$D:$D,"P0(전)"))</f>
        <v/>
      </c>
      <c r="P607" s="45">
        <f>IF(COUNTIFS($C:$C,$C607,$D:$D,"P0(후)",$L:$L,"&gt;0")&lt;&gt;1,"",SUMIFS($H:$H,$C:$C,$C607,$D:$D,"P0(후)"))</f>
        <v/>
      </c>
      <c r="Q607" s="30">
        <f>IF(COUNTIFS($C:$C,$C607,$D:$D,"P0(후)",$L:$L,"&gt;0")&lt;&gt;1,"",SUMIFS($L:$L,$C:$C,$C607,$D:$D,"P0(후)"))</f>
        <v/>
      </c>
      <c r="R607" s="30">
        <f>IF(M607&lt;&gt;"OK","",O607+(Q607-O607)*(H607-N607)/(P607-N607))</f>
        <v/>
      </c>
      <c r="S607" s="30">
        <f>IF(OR(M607&lt;&gt;"OK",NOT(ISNUMBER(L607))),"",L607-R607)</f>
        <v/>
      </c>
      <c r="T607" s="46">
        <f>IF(OR(NOT(ISNUMBER(S607)),IF(ISNUMBER(G607),G607,F607)=0),"",S607/IF(ISNUMBER(G607),G607,F607))</f>
        <v/>
      </c>
      <c r="U607" s="46">
        <f>IF(ISNUMBER(T607),ABS(T607),"")</f>
        <v/>
      </c>
      <c r="V607" s="46">
        <f>IF(OR($D606&lt;&gt;"측정",$C606&lt;&gt;$C607,NOT(ISNUMBER(L607)),NOT(ISNUMBER(L606)),(IF(ISNUMBER(G607),G607,F607)-IF(ISNUMBER(G606),G606,F606))=0),"",(L607-L606)/(IF(ISNUMBER(G607),G607,F607)-IF(ISNUMBER(G606),G606,F606)))</f>
        <v/>
      </c>
      <c r="W607" s="30">
        <f>IF(NOT(AND(ISNUMBER(N607),ISNUMBER(P607))),"",(P607-N607)*1440)</f>
        <v/>
      </c>
      <c r="X607" s="28" t="n"/>
      <c r="Y607" s="28" t="n"/>
      <c r="Z607" s="28" t="n"/>
      <c r="AA607" s="31" t="n"/>
      <c r="AB607" s="31" t="n"/>
    </row>
    <row r="608">
      <c r="A608" s="25" t="inlineStr">
        <is>
          <t>S12</t>
        </is>
      </c>
      <c r="B608" s="25" t="inlineStr">
        <is>
          <t>순창 신규점</t>
        </is>
      </c>
      <c r="C608" s="25" t="inlineStr">
        <is>
          <t>S12-H남</t>
        </is>
      </c>
      <c r="D608" s="25" t="inlineStr">
        <is>
          <t>측정</t>
        </is>
      </c>
      <c r="E608" s="25" t="inlineStr">
        <is>
          <t>남</t>
        </is>
      </c>
      <c r="F608" s="30" t="n">
        <v>4</v>
      </c>
      <c r="G608" s="29" t="n"/>
      <c r="H608" s="42" t="n"/>
      <c r="I608" s="40" t="n"/>
      <c r="J608" s="40" t="n"/>
      <c r="K608" s="40" t="n"/>
      <c r="L608" s="30">
        <f>IF(COUNT(I608:K608)=0,"",MEDIAN(I608:K608))</f>
        <v/>
      </c>
      <c r="M608" s="25">
        <f>IF(COUNTIFS($C:$C,$C608,$D:$D,"P0(전)",$L:$L,"&gt;0")&lt;&gt;1,"P0(전) 유효 1개 아님",IF(COUNTIFS($C:$C,$C608,$D:$D,"P0(후)",$L:$L,"&gt;0")&lt;&gt;1,"P0(후) 유효 1개 아님",IF(NOT(AND(ISNUMBER(N608),ISNUMBER(P608),ISNUMBER(H608))),"시각 결측",IF(P608&lt;=N608,"P0 시각 역전",IF(OR(H608&lt;N608,H608&gt;P608),"측정시각 구간 밖","OK")))))</f>
        <v/>
      </c>
      <c r="N608" s="45">
        <f>IF(COUNTIFS($C:$C,$C608,$D:$D,"P0(전)",$L:$L,"&gt;0")&lt;&gt;1,"",SUMIFS($H:$H,$C:$C,$C608,$D:$D,"P0(전)"))</f>
        <v/>
      </c>
      <c r="O608" s="30">
        <f>IF(COUNTIFS($C:$C,$C608,$D:$D,"P0(전)",$L:$L,"&gt;0")&lt;&gt;1,"",SUMIFS($L:$L,$C:$C,$C608,$D:$D,"P0(전)"))</f>
        <v/>
      </c>
      <c r="P608" s="45">
        <f>IF(COUNTIFS($C:$C,$C608,$D:$D,"P0(후)",$L:$L,"&gt;0")&lt;&gt;1,"",SUMIFS($H:$H,$C:$C,$C608,$D:$D,"P0(후)"))</f>
        <v/>
      </c>
      <c r="Q608" s="30">
        <f>IF(COUNTIFS($C:$C,$C608,$D:$D,"P0(후)",$L:$L,"&gt;0")&lt;&gt;1,"",SUMIFS($L:$L,$C:$C,$C608,$D:$D,"P0(후)"))</f>
        <v/>
      </c>
      <c r="R608" s="30">
        <f>IF(M608&lt;&gt;"OK","",O608+(Q608-O608)*(H608-N608)/(P608-N608))</f>
        <v/>
      </c>
      <c r="S608" s="30">
        <f>IF(OR(M608&lt;&gt;"OK",NOT(ISNUMBER(L608))),"",L608-R608)</f>
        <v/>
      </c>
      <c r="T608" s="46">
        <f>IF(OR(NOT(ISNUMBER(S608)),IF(ISNUMBER(G608),G608,F608)=0),"",S608/IF(ISNUMBER(G608),G608,F608))</f>
        <v/>
      </c>
      <c r="U608" s="46">
        <f>IF(ISNUMBER(T608),ABS(T608),"")</f>
        <v/>
      </c>
      <c r="V608" s="46">
        <f>IF(OR($D607&lt;&gt;"측정",$C607&lt;&gt;$C608,NOT(ISNUMBER(L608)),NOT(ISNUMBER(L607)),(IF(ISNUMBER(G608),G608,F608)-IF(ISNUMBER(G607),G607,F607))=0),"",(L608-L607)/(IF(ISNUMBER(G608),G608,F608)-IF(ISNUMBER(G607),G607,F607)))</f>
        <v/>
      </c>
      <c r="W608" s="30">
        <f>IF(NOT(AND(ISNUMBER(N608),ISNUMBER(P608))),"",(P608-N608)*1440)</f>
        <v/>
      </c>
      <c r="X608" s="28" t="n"/>
      <c r="Y608" s="28" t="n"/>
      <c r="Z608" s="28" t="n"/>
      <c r="AA608" s="31" t="n"/>
      <c r="AB608" s="31" t="n"/>
    </row>
    <row r="609">
      <c r="A609" s="25" t="inlineStr">
        <is>
          <t>S12</t>
        </is>
      </c>
      <c r="B609" s="25" t="inlineStr">
        <is>
          <t>순창 신규점</t>
        </is>
      </c>
      <c r="C609" s="25" t="inlineStr">
        <is>
          <t>S12-H남</t>
        </is>
      </c>
      <c r="D609" s="25" t="inlineStr">
        <is>
          <t>측정</t>
        </is>
      </c>
      <c r="E609" s="25" t="inlineStr">
        <is>
          <t>남</t>
        </is>
      </c>
      <c r="F609" s="30" t="n">
        <v>5</v>
      </c>
      <c r="G609" s="29" t="n"/>
      <c r="H609" s="42" t="n"/>
      <c r="I609" s="40" t="n"/>
      <c r="J609" s="40" t="n"/>
      <c r="K609" s="40" t="n"/>
      <c r="L609" s="30">
        <f>IF(COUNT(I609:K609)=0,"",MEDIAN(I609:K609))</f>
        <v/>
      </c>
      <c r="M609" s="25">
        <f>IF(COUNTIFS($C:$C,$C609,$D:$D,"P0(전)",$L:$L,"&gt;0")&lt;&gt;1,"P0(전) 유효 1개 아님",IF(COUNTIFS($C:$C,$C609,$D:$D,"P0(후)",$L:$L,"&gt;0")&lt;&gt;1,"P0(후) 유효 1개 아님",IF(NOT(AND(ISNUMBER(N609),ISNUMBER(P609),ISNUMBER(H609))),"시각 결측",IF(P609&lt;=N609,"P0 시각 역전",IF(OR(H609&lt;N609,H609&gt;P609),"측정시각 구간 밖","OK")))))</f>
        <v/>
      </c>
      <c r="N609" s="45">
        <f>IF(COUNTIFS($C:$C,$C609,$D:$D,"P0(전)",$L:$L,"&gt;0")&lt;&gt;1,"",SUMIFS($H:$H,$C:$C,$C609,$D:$D,"P0(전)"))</f>
        <v/>
      </c>
      <c r="O609" s="30">
        <f>IF(COUNTIFS($C:$C,$C609,$D:$D,"P0(전)",$L:$L,"&gt;0")&lt;&gt;1,"",SUMIFS($L:$L,$C:$C,$C609,$D:$D,"P0(전)"))</f>
        <v/>
      </c>
      <c r="P609" s="45">
        <f>IF(COUNTIFS($C:$C,$C609,$D:$D,"P0(후)",$L:$L,"&gt;0")&lt;&gt;1,"",SUMIFS($H:$H,$C:$C,$C609,$D:$D,"P0(후)"))</f>
        <v/>
      </c>
      <c r="Q609" s="30">
        <f>IF(COUNTIFS($C:$C,$C609,$D:$D,"P0(후)",$L:$L,"&gt;0")&lt;&gt;1,"",SUMIFS($L:$L,$C:$C,$C609,$D:$D,"P0(후)"))</f>
        <v/>
      </c>
      <c r="R609" s="30">
        <f>IF(M609&lt;&gt;"OK","",O609+(Q609-O609)*(H609-N609)/(P609-N609))</f>
        <v/>
      </c>
      <c r="S609" s="30">
        <f>IF(OR(M609&lt;&gt;"OK",NOT(ISNUMBER(L609))),"",L609-R609)</f>
        <v/>
      </c>
      <c r="T609" s="46">
        <f>IF(OR(NOT(ISNUMBER(S609)),IF(ISNUMBER(G609),G609,F609)=0),"",S609/IF(ISNUMBER(G609),G609,F609))</f>
        <v/>
      </c>
      <c r="U609" s="46">
        <f>IF(ISNUMBER(T609),ABS(T609),"")</f>
        <v/>
      </c>
      <c r="V609" s="46">
        <f>IF(OR($D608&lt;&gt;"측정",$C608&lt;&gt;$C609,NOT(ISNUMBER(L609)),NOT(ISNUMBER(L608)),(IF(ISNUMBER(G609),G609,F609)-IF(ISNUMBER(G608),G608,F608))=0),"",(L609-L608)/(IF(ISNUMBER(G609),G609,F609)-IF(ISNUMBER(G608),G608,F608)))</f>
        <v/>
      </c>
      <c r="W609" s="30">
        <f>IF(NOT(AND(ISNUMBER(N609),ISNUMBER(P609))),"",(P609-N609)*1440)</f>
        <v/>
      </c>
      <c r="X609" s="28" t="n"/>
      <c r="Y609" s="28" t="n"/>
      <c r="Z609" s="28" t="n"/>
      <c r="AA609" s="31" t="n"/>
      <c r="AB609" s="31" t="n"/>
    </row>
    <row r="610">
      <c r="A610" s="25" t="inlineStr">
        <is>
          <t>S12</t>
        </is>
      </c>
      <c r="B610" s="25" t="inlineStr">
        <is>
          <t>순창 신규점</t>
        </is>
      </c>
      <c r="C610" s="25" t="inlineStr">
        <is>
          <t>S12-H남</t>
        </is>
      </c>
      <c r="D610" s="25" t="inlineStr">
        <is>
          <t>측정</t>
        </is>
      </c>
      <c r="E610" s="25" t="inlineStr">
        <is>
          <t>남</t>
        </is>
      </c>
      <c r="F610" s="30" t="n">
        <v>6</v>
      </c>
      <c r="G610" s="29" t="n"/>
      <c r="H610" s="42" t="n"/>
      <c r="I610" s="40" t="n"/>
      <c r="J610" s="40" t="n"/>
      <c r="K610" s="40" t="n"/>
      <c r="L610" s="30">
        <f>IF(COUNT(I610:K610)=0,"",MEDIAN(I610:K610))</f>
        <v/>
      </c>
      <c r="M610" s="25">
        <f>IF(COUNTIFS($C:$C,$C610,$D:$D,"P0(전)",$L:$L,"&gt;0")&lt;&gt;1,"P0(전) 유효 1개 아님",IF(COUNTIFS($C:$C,$C610,$D:$D,"P0(후)",$L:$L,"&gt;0")&lt;&gt;1,"P0(후) 유효 1개 아님",IF(NOT(AND(ISNUMBER(N610),ISNUMBER(P610),ISNUMBER(H610))),"시각 결측",IF(P610&lt;=N610,"P0 시각 역전",IF(OR(H610&lt;N610,H610&gt;P610),"측정시각 구간 밖","OK")))))</f>
        <v/>
      </c>
      <c r="N610" s="45">
        <f>IF(COUNTIFS($C:$C,$C610,$D:$D,"P0(전)",$L:$L,"&gt;0")&lt;&gt;1,"",SUMIFS($H:$H,$C:$C,$C610,$D:$D,"P0(전)"))</f>
        <v/>
      </c>
      <c r="O610" s="30">
        <f>IF(COUNTIFS($C:$C,$C610,$D:$D,"P0(전)",$L:$L,"&gt;0")&lt;&gt;1,"",SUMIFS($L:$L,$C:$C,$C610,$D:$D,"P0(전)"))</f>
        <v/>
      </c>
      <c r="P610" s="45">
        <f>IF(COUNTIFS($C:$C,$C610,$D:$D,"P0(후)",$L:$L,"&gt;0")&lt;&gt;1,"",SUMIFS($H:$H,$C:$C,$C610,$D:$D,"P0(후)"))</f>
        <v/>
      </c>
      <c r="Q610" s="30">
        <f>IF(COUNTIFS($C:$C,$C610,$D:$D,"P0(후)",$L:$L,"&gt;0")&lt;&gt;1,"",SUMIFS($L:$L,$C:$C,$C610,$D:$D,"P0(후)"))</f>
        <v/>
      </c>
      <c r="R610" s="30">
        <f>IF(M610&lt;&gt;"OK","",O610+(Q610-O610)*(H610-N610)/(P610-N610))</f>
        <v/>
      </c>
      <c r="S610" s="30">
        <f>IF(OR(M610&lt;&gt;"OK",NOT(ISNUMBER(L610))),"",L610-R610)</f>
        <v/>
      </c>
      <c r="T610" s="46">
        <f>IF(OR(NOT(ISNUMBER(S610)),IF(ISNUMBER(G610),G610,F610)=0),"",S610/IF(ISNUMBER(G610),G610,F610))</f>
        <v/>
      </c>
      <c r="U610" s="46">
        <f>IF(ISNUMBER(T610),ABS(T610),"")</f>
        <v/>
      </c>
      <c r="V610" s="46">
        <f>IF(OR($D609&lt;&gt;"측정",$C609&lt;&gt;$C610,NOT(ISNUMBER(L610)),NOT(ISNUMBER(L609)),(IF(ISNUMBER(G610),G610,F610)-IF(ISNUMBER(G609),G609,F609))=0),"",(L610-L609)/(IF(ISNUMBER(G610),G610,F610)-IF(ISNUMBER(G609),G609,F609)))</f>
        <v/>
      </c>
      <c r="W610" s="30">
        <f>IF(NOT(AND(ISNUMBER(N610),ISNUMBER(P610))),"",(P610-N610)*1440)</f>
        <v/>
      </c>
      <c r="X610" s="28" t="n"/>
      <c r="Y610" s="28" t="n"/>
      <c r="Z610" s="28" t="n"/>
      <c r="AA610" s="31" t="n"/>
      <c r="AB610" s="31" t="n"/>
    </row>
    <row r="611">
      <c r="A611" s="25" t="inlineStr">
        <is>
          <t>S12</t>
        </is>
      </c>
      <c r="B611" s="25" t="inlineStr">
        <is>
          <t>순창 신규점</t>
        </is>
      </c>
      <c r="C611" s="25" t="inlineStr">
        <is>
          <t>S12-H남</t>
        </is>
      </c>
      <c r="D611" s="25" t="inlineStr">
        <is>
          <t>측정</t>
        </is>
      </c>
      <c r="E611" s="25" t="inlineStr">
        <is>
          <t>남</t>
        </is>
      </c>
      <c r="F611" s="30" t="n">
        <v>7</v>
      </c>
      <c r="G611" s="29" t="n"/>
      <c r="H611" s="42" t="n"/>
      <c r="I611" s="40" t="n"/>
      <c r="J611" s="40" t="n"/>
      <c r="K611" s="40" t="n"/>
      <c r="L611" s="30">
        <f>IF(COUNT(I611:K611)=0,"",MEDIAN(I611:K611))</f>
        <v/>
      </c>
      <c r="M611" s="25">
        <f>IF(COUNTIFS($C:$C,$C611,$D:$D,"P0(전)",$L:$L,"&gt;0")&lt;&gt;1,"P0(전) 유효 1개 아님",IF(COUNTIFS($C:$C,$C611,$D:$D,"P0(후)",$L:$L,"&gt;0")&lt;&gt;1,"P0(후) 유효 1개 아님",IF(NOT(AND(ISNUMBER(N611),ISNUMBER(P611),ISNUMBER(H611))),"시각 결측",IF(P611&lt;=N611,"P0 시각 역전",IF(OR(H611&lt;N611,H611&gt;P611),"측정시각 구간 밖","OK")))))</f>
        <v/>
      </c>
      <c r="N611" s="45">
        <f>IF(COUNTIFS($C:$C,$C611,$D:$D,"P0(전)",$L:$L,"&gt;0")&lt;&gt;1,"",SUMIFS($H:$H,$C:$C,$C611,$D:$D,"P0(전)"))</f>
        <v/>
      </c>
      <c r="O611" s="30">
        <f>IF(COUNTIFS($C:$C,$C611,$D:$D,"P0(전)",$L:$L,"&gt;0")&lt;&gt;1,"",SUMIFS($L:$L,$C:$C,$C611,$D:$D,"P0(전)"))</f>
        <v/>
      </c>
      <c r="P611" s="45">
        <f>IF(COUNTIFS($C:$C,$C611,$D:$D,"P0(후)",$L:$L,"&gt;0")&lt;&gt;1,"",SUMIFS($H:$H,$C:$C,$C611,$D:$D,"P0(후)"))</f>
        <v/>
      </c>
      <c r="Q611" s="30">
        <f>IF(COUNTIFS($C:$C,$C611,$D:$D,"P0(후)",$L:$L,"&gt;0")&lt;&gt;1,"",SUMIFS($L:$L,$C:$C,$C611,$D:$D,"P0(후)"))</f>
        <v/>
      </c>
      <c r="R611" s="30">
        <f>IF(M611&lt;&gt;"OK","",O611+(Q611-O611)*(H611-N611)/(P611-N611))</f>
        <v/>
      </c>
      <c r="S611" s="30">
        <f>IF(OR(M611&lt;&gt;"OK",NOT(ISNUMBER(L611))),"",L611-R611)</f>
        <v/>
      </c>
      <c r="T611" s="46">
        <f>IF(OR(NOT(ISNUMBER(S611)),IF(ISNUMBER(G611),G611,F611)=0),"",S611/IF(ISNUMBER(G611),G611,F611))</f>
        <v/>
      </c>
      <c r="U611" s="46">
        <f>IF(ISNUMBER(T611),ABS(T611),"")</f>
        <v/>
      </c>
      <c r="V611" s="46">
        <f>IF(OR($D610&lt;&gt;"측정",$C610&lt;&gt;$C611,NOT(ISNUMBER(L611)),NOT(ISNUMBER(L610)),(IF(ISNUMBER(G611),G611,F611)-IF(ISNUMBER(G610),G610,F610))=0),"",(L611-L610)/(IF(ISNUMBER(G611),G611,F611)-IF(ISNUMBER(G610),G610,F610)))</f>
        <v/>
      </c>
      <c r="W611" s="30">
        <f>IF(NOT(AND(ISNUMBER(N611),ISNUMBER(P611))),"",(P611-N611)*1440)</f>
        <v/>
      </c>
      <c r="X611" s="28" t="n"/>
      <c r="Y611" s="28" t="n"/>
      <c r="Z611" s="28" t="n"/>
      <c r="AA611" s="31" t="n"/>
      <c r="AB611" s="31" t="n"/>
    </row>
    <row r="612">
      <c r="A612" s="25" t="inlineStr">
        <is>
          <t>S12</t>
        </is>
      </c>
      <c r="B612" s="25" t="inlineStr">
        <is>
          <t>순창 신규점</t>
        </is>
      </c>
      <c r="C612" s="25" t="inlineStr">
        <is>
          <t>S12-H남</t>
        </is>
      </c>
      <c r="D612" s="25" t="inlineStr">
        <is>
          <t>측정</t>
        </is>
      </c>
      <c r="E612" s="25" t="inlineStr">
        <is>
          <t>남</t>
        </is>
      </c>
      <c r="F612" s="30" t="n">
        <v>8</v>
      </c>
      <c r="G612" s="29" t="n"/>
      <c r="H612" s="42" t="n"/>
      <c r="I612" s="40" t="n"/>
      <c r="J612" s="40" t="n"/>
      <c r="K612" s="40" t="n"/>
      <c r="L612" s="30">
        <f>IF(COUNT(I612:K612)=0,"",MEDIAN(I612:K612))</f>
        <v/>
      </c>
      <c r="M612" s="25">
        <f>IF(COUNTIFS($C:$C,$C612,$D:$D,"P0(전)",$L:$L,"&gt;0")&lt;&gt;1,"P0(전) 유효 1개 아님",IF(COUNTIFS($C:$C,$C612,$D:$D,"P0(후)",$L:$L,"&gt;0")&lt;&gt;1,"P0(후) 유효 1개 아님",IF(NOT(AND(ISNUMBER(N612),ISNUMBER(P612),ISNUMBER(H612))),"시각 결측",IF(P612&lt;=N612,"P0 시각 역전",IF(OR(H612&lt;N612,H612&gt;P612),"측정시각 구간 밖","OK")))))</f>
        <v/>
      </c>
      <c r="N612" s="45">
        <f>IF(COUNTIFS($C:$C,$C612,$D:$D,"P0(전)",$L:$L,"&gt;0")&lt;&gt;1,"",SUMIFS($H:$H,$C:$C,$C612,$D:$D,"P0(전)"))</f>
        <v/>
      </c>
      <c r="O612" s="30">
        <f>IF(COUNTIFS($C:$C,$C612,$D:$D,"P0(전)",$L:$L,"&gt;0")&lt;&gt;1,"",SUMIFS($L:$L,$C:$C,$C612,$D:$D,"P0(전)"))</f>
        <v/>
      </c>
      <c r="P612" s="45">
        <f>IF(COUNTIFS($C:$C,$C612,$D:$D,"P0(후)",$L:$L,"&gt;0")&lt;&gt;1,"",SUMIFS($H:$H,$C:$C,$C612,$D:$D,"P0(후)"))</f>
        <v/>
      </c>
      <c r="Q612" s="30">
        <f>IF(COUNTIFS($C:$C,$C612,$D:$D,"P0(후)",$L:$L,"&gt;0")&lt;&gt;1,"",SUMIFS($L:$L,$C:$C,$C612,$D:$D,"P0(후)"))</f>
        <v/>
      </c>
      <c r="R612" s="30">
        <f>IF(M612&lt;&gt;"OK","",O612+(Q612-O612)*(H612-N612)/(P612-N612))</f>
        <v/>
      </c>
      <c r="S612" s="30">
        <f>IF(OR(M612&lt;&gt;"OK",NOT(ISNUMBER(L612))),"",L612-R612)</f>
        <v/>
      </c>
      <c r="T612" s="46">
        <f>IF(OR(NOT(ISNUMBER(S612)),IF(ISNUMBER(G612),G612,F612)=0),"",S612/IF(ISNUMBER(G612),G612,F612))</f>
        <v/>
      </c>
      <c r="U612" s="46">
        <f>IF(ISNUMBER(T612),ABS(T612),"")</f>
        <v/>
      </c>
      <c r="V612" s="46">
        <f>IF(OR($D611&lt;&gt;"측정",$C611&lt;&gt;$C612,NOT(ISNUMBER(L612)),NOT(ISNUMBER(L611)),(IF(ISNUMBER(G612),G612,F612)-IF(ISNUMBER(G611),G611,F611))=0),"",(L612-L611)/(IF(ISNUMBER(G612),G612,F612)-IF(ISNUMBER(G611),G611,F611)))</f>
        <v/>
      </c>
      <c r="W612" s="30">
        <f>IF(NOT(AND(ISNUMBER(N612),ISNUMBER(P612))),"",(P612-N612)*1440)</f>
        <v/>
      </c>
      <c r="X612" s="28" t="n"/>
      <c r="Y612" s="28" t="n"/>
      <c r="Z612" s="28" t="n"/>
      <c r="AA612" s="31" t="n"/>
      <c r="AB612" s="31" t="n"/>
    </row>
    <row r="613">
      <c r="A613" s="25" t="inlineStr">
        <is>
          <t>S12</t>
        </is>
      </c>
      <c r="B613" s="25" t="inlineStr">
        <is>
          <t>순창 신규점</t>
        </is>
      </c>
      <c r="C613" s="25" t="inlineStr">
        <is>
          <t>S12-H남</t>
        </is>
      </c>
      <c r="D613" s="25" t="inlineStr">
        <is>
          <t>측정</t>
        </is>
      </c>
      <c r="E613" s="25" t="inlineStr">
        <is>
          <t>남</t>
        </is>
      </c>
      <c r="F613" s="30" t="n">
        <v>9</v>
      </c>
      <c r="G613" s="29" t="n"/>
      <c r="H613" s="42" t="n"/>
      <c r="I613" s="40" t="n"/>
      <c r="J613" s="40" t="n"/>
      <c r="K613" s="40" t="n"/>
      <c r="L613" s="30">
        <f>IF(COUNT(I613:K613)=0,"",MEDIAN(I613:K613))</f>
        <v/>
      </c>
      <c r="M613" s="25">
        <f>IF(COUNTIFS($C:$C,$C613,$D:$D,"P0(전)",$L:$L,"&gt;0")&lt;&gt;1,"P0(전) 유효 1개 아님",IF(COUNTIFS($C:$C,$C613,$D:$D,"P0(후)",$L:$L,"&gt;0")&lt;&gt;1,"P0(후) 유효 1개 아님",IF(NOT(AND(ISNUMBER(N613),ISNUMBER(P613),ISNUMBER(H613))),"시각 결측",IF(P613&lt;=N613,"P0 시각 역전",IF(OR(H613&lt;N613,H613&gt;P613),"측정시각 구간 밖","OK")))))</f>
        <v/>
      </c>
      <c r="N613" s="45">
        <f>IF(COUNTIFS($C:$C,$C613,$D:$D,"P0(전)",$L:$L,"&gt;0")&lt;&gt;1,"",SUMIFS($H:$H,$C:$C,$C613,$D:$D,"P0(전)"))</f>
        <v/>
      </c>
      <c r="O613" s="30">
        <f>IF(COUNTIFS($C:$C,$C613,$D:$D,"P0(전)",$L:$L,"&gt;0")&lt;&gt;1,"",SUMIFS($L:$L,$C:$C,$C613,$D:$D,"P0(전)"))</f>
        <v/>
      </c>
      <c r="P613" s="45">
        <f>IF(COUNTIFS($C:$C,$C613,$D:$D,"P0(후)",$L:$L,"&gt;0")&lt;&gt;1,"",SUMIFS($H:$H,$C:$C,$C613,$D:$D,"P0(후)"))</f>
        <v/>
      </c>
      <c r="Q613" s="30">
        <f>IF(COUNTIFS($C:$C,$C613,$D:$D,"P0(후)",$L:$L,"&gt;0")&lt;&gt;1,"",SUMIFS($L:$L,$C:$C,$C613,$D:$D,"P0(후)"))</f>
        <v/>
      </c>
      <c r="R613" s="30">
        <f>IF(M613&lt;&gt;"OK","",O613+(Q613-O613)*(H613-N613)/(P613-N613))</f>
        <v/>
      </c>
      <c r="S613" s="30">
        <f>IF(OR(M613&lt;&gt;"OK",NOT(ISNUMBER(L613))),"",L613-R613)</f>
        <v/>
      </c>
      <c r="T613" s="46">
        <f>IF(OR(NOT(ISNUMBER(S613)),IF(ISNUMBER(G613),G613,F613)=0),"",S613/IF(ISNUMBER(G613),G613,F613))</f>
        <v/>
      </c>
      <c r="U613" s="46">
        <f>IF(ISNUMBER(T613),ABS(T613),"")</f>
        <v/>
      </c>
      <c r="V613" s="46">
        <f>IF(OR($D612&lt;&gt;"측정",$C612&lt;&gt;$C613,NOT(ISNUMBER(L613)),NOT(ISNUMBER(L612)),(IF(ISNUMBER(G613),G613,F613)-IF(ISNUMBER(G612),G612,F612))=0),"",(L613-L612)/(IF(ISNUMBER(G613),G613,F613)-IF(ISNUMBER(G612),G612,F612)))</f>
        <v/>
      </c>
      <c r="W613" s="30">
        <f>IF(NOT(AND(ISNUMBER(N613),ISNUMBER(P613))),"",(P613-N613)*1440)</f>
        <v/>
      </c>
      <c r="X613" s="28" t="n"/>
      <c r="Y613" s="28" t="n"/>
      <c r="Z613" s="28" t="n"/>
      <c r="AA613" s="31" t="n"/>
      <c r="AB613" s="31" t="n"/>
    </row>
    <row r="614">
      <c r="A614" s="25" t="inlineStr">
        <is>
          <t>S12</t>
        </is>
      </c>
      <c r="B614" s="25" t="inlineStr">
        <is>
          <t>순창 신규점</t>
        </is>
      </c>
      <c r="C614" s="25" t="inlineStr">
        <is>
          <t>S12-H남</t>
        </is>
      </c>
      <c r="D614" s="25" t="inlineStr">
        <is>
          <t>측정</t>
        </is>
      </c>
      <c r="E614" s="25" t="inlineStr">
        <is>
          <t>남</t>
        </is>
      </c>
      <c r="F614" s="30" t="n">
        <v>10</v>
      </c>
      <c r="G614" s="29" t="n"/>
      <c r="H614" s="42" t="n"/>
      <c r="I614" s="40" t="n"/>
      <c r="J614" s="40" t="n"/>
      <c r="K614" s="40" t="n"/>
      <c r="L614" s="30">
        <f>IF(COUNT(I614:K614)=0,"",MEDIAN(I614:K614))</f>
        <v/>
      </c>
      <c r="M614" s="25">
        <f>IF(COUNTIFS($C:$C,$C614,$D:$D,"P0(전)",$L:$L,"&gt;0")&lt;&gt;1,"P0(전) 유효 1개 아님",IF(COUNTIFS($C:$C,$C614,$D:$D,"P0(후)",$L:$L,"&gt;0")&lt;&gt;1,"P0(후) 유효 1개 아님",IF(NOT(AND(ISNUMBER(N614),ISNUMBER(P614),ISNUMBER(H614))),"시각 결측",IF(P614&lt;=N614,"P0 시각 역전",IF(OR(H614&lt;N614,H614&gt;P614),"측정시각 구간 밖","OK")))))</f>
        <v/>
      </c>
      <c r="N614" s="45">
        <f>IF(COUNTIFS($C:$C,$C614,$D:$D,"P0(전)",$L:$L,"&gt;0")&lt;&gt;1,"",SUMIFS($H:$H,$C:$C,$C614,$D:$D,"P0(전)"))</f>
        <v/>
      </c>
      <c r="O614" s="30">
        <f>IF(COUNTIFS($C:$C,$C614,$D:$D,"P0(전)",$L:$L,"&gt;0")&lt;&gt;1,"",SUMIFS($L:$L,$C:$C,$C614,$D:$D,"P0(전)"))</f>
        <v/>
      </c>
      <c r="P614" s="45">
        <f>IF(COUNTIFS($C:$C,$C614,$D:$D,"P0(후)",$L:$L,"&gt;0")&lt;&gt;1,"",SUMIFS($H:$H,$C:$C,$C614,$D:$D,"P0(후)"))</f>
        <v/>
      </c>
      <c r="Q614" s="30">
        <f>IF(COUNTIFS($C:$C,$C614,$D:$D,"P0(후)",$L:$L,"&gt;0")&lt;&gt;1,"",SUMIFS($L:$L,$C:$C,$C614,$D:$D,"P0(후)"))</f>
        <v/>
      </c>
      <c r="R614" s="30">
        <f>IF(M614&lt;&gt;"OK","",O614+(Q614-O614)*(H614-N614)/(P614-N614))</f>
        <v/>
      </c>
      <c r="S614" s="30">
        <f>IF(OR(M614&lt;&gt;"OK",NOT(ISNUMBER(L614))),"",L614-R614)</f>
        <v/>
      </c>
      <c r="T614" s="46">
        <f>IF(OR(NOT(ISNUMBER(S614)),IF(ISNUMBER(G614),G614,F614)=0),"",S614/IF(ISNUMBER(G614),G614,F614))</f>
        <v/>
      </c>
      <c r="U614" s="46">
        <f>IF(ISNUMBER(T614),ABS(T614),"")</f>
        <v/>
      </c>
      <c r="V614" s="46">
        <f>IF(OR($D613&lt;&gt;"측정",$C613&lt;&gt;$C614,NOT(ISNUMBER(L614)),NOT(ISNUMBER(L613)),(IF(ISNUMBER(G614),G614,F614)-IF(ISNUMBER(G613),G613,F613))=0),"",(L614-L613)/(IF(ISNUMBER(G614),G614,F614)-IF(ISNUMBER(G613),G613,F613)))</f>
        <v/>
      </c>
      <c r="W614" s="30">
        <f>IF(NOT(AND(ISNUMBER(N614),ISNUMBER(P614))),"",(P614-N614)*1440)</f>
        <v/>
      </c>
      <c r="X614" s="28" t="n"/>
      <c r="Y614" s="28" t="n"/>
      <c r="Z614" s="28" t="n"/>
      <c r="AA614" s="31" t="n"/>
      <c r="AB614" s="31" t="n"/>
    </row>
    <row r="615">
      <c r="A615" s="43" t="inlineStr">
        <is>
          <t>S12</t>
        </is>
      </c>
      <c r="B615" s="43" t="inlineStr">
        <is>
          <t>순창 신규점</t>
        </is>
      </c>
      <c r="C615" s="43" t="inlineStr">
        <is>
          <t>S12-H남</t>
        </is>
      </c>
      <c r="D615" s="43" t="inlineStr">
        <is>
          <t>P0(후)</t>
        </is>
      </c>
      <c r="E615" s="43" t="inlineStr">
        <is>
          <t>남</t>
        </is>
      </c>
      <c r="F615" s="44" t="n"/>
      <c r="G615" s="29" t="n"/>
      <c r="H615" s="42" t="n"/>
      <c r="I615" s="40" t="n"/>
      <c r="J615" s="40" t="n"/>
      <c r="K615" s="40" t="n"/>
      <c r="L615" s="30">
        <f>IF(COUNT(I615:K615)=0,"",MEDIAN(I615:K615))</f>
        <v/>
      </c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28" t="n"/>
      <c r="Y615" s="28" t="n"/>
      <c r="Z615" s="28" t="n"/>
      <c r="AA615" s="31" t="n"/>
      <c r="AB615" s="31" t="n"/>
    </row>
    <row r="616">
      <c r="A616" s="43" t="inlineStr">
        <is>
          <t>S12</t>
        </is>
      </c>
      <c r="B616" s="43" t="inlineStr">
        <is>
          <t>순창 신규점</t>
        </is>
      </c>
      <c r="C616" s="43" t="inlineStr">
        <is>
          <t>S12-H북</t>
        </is>
      </c>
      <c r="D616" s="43" t="inlineStr">
        <is>
          <t>P0(전)</t>
        </is>
      </c>
      <c r="E616" s="43" t="inlineStr">
        <is>
          <t>북</t>
        </is>
      </c>
      <c r="F616" s="44" t="n"/>
      <c r="G616" s="29" t="n"/>
      <c r="H616" s="42" t="n"/>
      <c r="I616" s="40" t="n"/>
      <c r="J616" s="40" t="n"/>
      <c r="K616" s="40" t="n"/>
      <c r="L616" s="30">
        <f>IF(COUNT(I616:K616)=0,"",MEDIAN(I616:K616))</f>
        <v/>
      </c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28" t="n"/>
      <c r="Y616" s="28" t="n"/>
      <c r="Z616" s="28" t="n"/>
      <c r="AA616" s="31" t="n"/>
      <c r="AB616" s="31" t="n"/>
    </row>
    <row r="617">
      <c r="A617" s="25" t="inlineStr">
        <is>
          <t>S12</t>
        </is>
      </c>
      <c r="B617" s="25" t="inlineStr">
        <is>
          <t>순창 신규점</t>
        </is>
      </c>
      <c r="C617" s="25" t="inlineStr">
        <is>
          <t>S12-H북</t>
        </is>
      </c>
      <c r="D617" s="25" t="inlineStr">
        <is>
          <t>측정</t>
        </is>
      </c>
      <c r="E617" s="25" t="inlineStr">
        <is>
          <t>북</t>
        </is>
      </c>
      <c r="F617" s="30" t="n">
        <v>0.5</v>
      </c>
      <c r="G617" s="29" t="n"/>
      <c r="H617" s="42" t="n"/>
      <c r="I617" s="40" t="n"/>
      <c r="J617" s="40" t="n"/>
      <c r="K617" s="40" t="n"/>
      <c r="L617" s="30">
        <f>IF(COUNT(I617:K617)=0,"",MEDIAN(I617:K617))</f>
        <v/>
      </c>
      <c r="M617" s="25">
        <f>IF(COUNTIFS($C:$C,$C617,$D:$D,"P0(전)",$L:$L,"&gt;0")&lt;&gt;1,"P0(전) 유효 1개 아님",IF(COUNTIFS($C:$C,$C617,$D:$D,"P0(후)",$L:$L,"&gt;0")&lt;&gt;1,"P0(후) 유효 1개 아님",IF(NOT(AND(ISNUMBER(N617),ISNUMBER(P617),ISNUMBER(H617))),"시각 결측",IF(P617&lt;=N617,"P0 시각 역전",IF(OR(H617&lt;N617,H617&gt;P617),"측정시각 구간 밖","OK")))))</f>
        <v/>
      </c>
      <c r="N617" s="45">
        <f>IF(COUNTIFS($C:$C,$C617,$D:$D,"P0(전)",$L:$L,"&gt;0")&lt;&gt;1,"",SUMIFS($H:$H,$C:$C,$C617,$D:$D,"P0(전)"))</f>
        <v/>
      </c>
      <c r="O617" s="30">
        <f>IF(COUNTIFS($C:$C,$C617,$D:$D,"P0(전)",$L:$L,"&gt;0")&lt;&gt;1,"",SUMIFS($L:$L,$C:$C,$C617,$D:$D,"P0(전)"))</f>
        <v/>
      </c>
      <c r="P617" s="45">
        <f>IF(COUNTIFS($C:$C,$C617,$D:$D,"P0(후)",$L:$L,"&gt;0")&lt;&gt;1,"",SUMIFS($H:$H,$C:$C,$C617,$D:$D,"P0(후)"))</f>
        <v/>
      </c>
      <c r="Q617" s="30">
        <f>IF(COUNTIFS($C:$C,$C617,$D:$D,"P0(후)",$L:$L,"&gt;0")&lt;&gt;1,"",SUMIFS($L:$L,$C:$C,$C617,$D:$D,"P0(후)"))</f>
        <v/>
      </c>
      <c r="R617" s="30">
        <f>IF(M617&lt;&gt;"OK","",O617+(Q617-O617)*(H617-N617)/(P617-N617))</f>
        <v/>
      </c>
      <c r="S617" s="30">
        <f>IF(OR(M617&lt;&gt;"OK",NOT(ISNUMBER(L617))),"",L617-R617)</f>
        <v/>
      </c>
      <c r="T617" s="46">
        <f>IF(OR(NOT(ISNUMBER(S617)),IF(ISNUMBER(G617),G617,F617)=0),"",S617/IF(ISNUMBER(G617),G617,F617))</f>
        <v/>
      </c>
      <c r="U617" s="46">
        <f>IF(ISNUMBER(T617),ABS(T617),"")</f>
        <v/>
      </c>
      <c r="V617" s="46">
        <f>IF(OR($D616&lt;&gt;"측정",$C616&lt;&gt;$C617,NOT(ISNUMBER(L617)),NOT(ISNUMBER(L616)),(IF(ISNUMBER(G617),G617,F617)-IF(ISNUMBER(G616),G616,F616))=0),"",(L617-L616)/(IF(ISNUMBER(G617),G617,F617)-IF(ISNUMBER(G616),G616,F616)))</f>
        <v/>
      </c>
      <c r="W617" s="30">
        <f>IF(NOT(AND(ISNUMBER(N617),ISNUMBER(P617))),"",(P617-N617)*1440)</f>
        <v/>
      </c>
      <c r="X617" s="28" t="n"/>
      <c r="Y617" s="28" t="n"/>
      <c r="Z617" s="28" t="n"/>
      <c r="AA617" s="31" t="n"/>
      <c r="AB617" s="31" t="n"/>
    </row>
    <row r="618">
      <c r="A618" s="25" t="inlineStr">
        <is>
          <t>S12</t>
        </is>
      </c>
      <c r="B618" s="25" t="inlineStr">
        <is>
          <t>순창 신규점</t>
        </is>
      </c>
      <c r="C618" s="25" t="inlineStr">
        <is>
          <t>S12-H북</t>
        </is>
      </c>
      <c r="D618" s="25" t="inlineStr">
        <is>
          <t>측정</t>
        </is>
      </c>
      <c r="E618" s="25" t="inlineStr">
        <is>
          <t>북</t>
        </is>
      </c>
      <c r="F618" s="30" t="n">
        <v>1</v>
      </c>
      <c r="G618" s="29" t="n"/>
      <c r="H618" s="42" t="n"/>
      <c r="I618" s="40" t="n"/>
      <c r="J618" s="40" t="n"/>
      <c r="K618" s="40" t="n"/>
      <c r="L618" s="30">
        <f>IF(COUNT(I618:K618)=0,"",MEDIAN(I618:K618))</f>
        <v/>
      </c>
      <c r="M618" s="25">
        <f>IF(COUNTIFS($C:$C,$C618,$D:$D,"P0(전)",$L:$L,"&gt;0")&lt;&gt;1,"P0(전) 유효 1개 아님",IF(COUNTIFS($C:$C,$C618,$D:$D,"P0(후)",$L:$L,"&gt;0")&lt;&gt;1,"P0(후) 유효 1개 아님",IF(NOT(AND(ISNUMBER(N618),ISNUMBER(P618),ISNUMBER(H618))),"시각 결측",IF(P618&lt;=N618,"P0 시각 역전",IF(OR(H618&lt;N618,H618&gt;P618),"측정시각 구간 밖","OK")))))</f>
        <v/>
      </c>
      <c r="N618" s="45">
        <f>IF(COUNTIFS($C:$C,$C618,$D:$D,"P0(전)",$L:$L,"&gt;0")&lt;&gt;1,"",SUMIFS($H:$H,$C:$C,$C618,$D:$D,"P0(전)"))</f>
        <v/>
      </c>
      <c r="O618" s="30">
        <f>IF(COUNTIFS($C:$C,$C618,$D:$D,"P0(전)",$L:$L,"&gt;0")&lt;&gt;1,"",SUMIFS($L:$L,$C:$C,$C618,$D:$D,"P0(전)"))</f>
        <v/>
      </c>
      <c r="P618" s="45">
        <f>IF(COUNTIFS($C:$C,$C618,$D:$D,"P0(후)",$L:$L,"&gt;0")&lt;&gt;1,"",SUMIFS($H:$H,$C:$C,$C618,$D:$D,"P0(후)"))</f>
        <v/>
      </c>
      <c r="Q618" s="30">
        <f>IF(COUNTIFS($C:$C,$C618,$D:$D,"P0(후)",$L:$L,"&gt;0")&lt;&gt;1,"",SUMIFS($L:$L,$C:$C,$C618,$D:$D,"P0(후)"))</f>
        <v/>
      </c>
      <c r="R618" s="30">
        <f>IF(M618&lt;&gt;"OK","",O618+(Q618-O618)*(H618-N618)/(P618-N618))</f>
        <v/>
      </c>
      <c r="S618" s="30">
        <f>IF(OR(M618&lt;&gt;"OK",NOT(ISNUMBER(L618))),"",L618-R618)</f>
        <v/>
      </c>
      <c r="T618" s="46">
        <f>IF(OR(NOT(ISNUMBER(S618)),IF(ISNUMBER(G618),G618,F618)=0),"",S618/IF(ISNUMBER(G618),G618,F618))</f>
        <v/>
      </c>
      <c r="U618" s="46">
        <f>IF(ISNUMBER(T618),ABS(T618),"")</f>
        <v/>
      </c>
      <c r="V618" s="46">
        <f>IF(OR($D617&lt;&gt;"측정",$C617&lt;&gt;$C618,NOT(ISNUMBER(L618)),NOT(ISNUMBER(L617)),(IF(ISNUMBER(G618),G618,F618)-IF(ISNUMBER(G617),G617,F617))=0),"",(L618-L617)/(IF(ISNUMBER(G618),G618,F618)-IF(ISNUMBER(G617),G617,F617)))</f>
        <v/>
      </c>
      <c r="W618" s="30">
        <f>IF(NOT(AND(ISNUMBER(N618),ISNUMBER(P618))),"",(P618-N618)*1440)</f>
        <v/>
      </c>
      <c r="X618" s="28" t="n"/>
      <c r="Y618" s="28" t="n"/>
      <c r="Z618" s="28" t="n"/>
      <c r="AA618" s="31" t="n"/>
      <c r="AB618" s="31" t="n"/>
    </row>
    <row r="619">
      <c r="A619" s="25" t="inlineStr">
        <is>
          <t>S12</t>
        </is>
      </c>
      <c r="B619" s="25" t="inlineStr">
        <is>
          <t>순창 신규점</t>
        </is>
      </c>
      <c r="C619" s="25" t="inlineStr">
        <is>
          <t>S12-H북</t>
        </is>
      </c>
      <c r="D619" s="25" t="inlineStr">
        <is>
          <t>측정</t>
        </is>
      </c>
      <c r="E619" s="25" t="inlineStr">
        <is>
          <t>북</t>
        </is>
      </c>
      <c r="F619" s="30" t="n">
        <v>2</v>
      </c>
      <c r="G619" s="29" t="n"/>
      <c r="H619" s="42" t="n"/>
      <c r="I619" s="40" t="n"/>
      <c r="J619" s="40" t="n"/>
      <c r="K619" s="40" t="n"/>
      <c r="L619" s="30">
        <f>IF(COUNT(I619:K619)=0,"",MEDIAN(I619:K619))</f>
        <v/>
      </c>
      <c r="M619" s="25">
        <f>IF(COUNTIFS($C:$C,$C619,$D:$D,"P0(전)",$L:$L,"&gt;0")&lt;&gt;1,"P0(전) 유효 1개 아님",IF(COUNTIFS($C:$C,$C619,$D:$D,"P0(후)",$L:$L,"&gt;0")&lt;&gt;1,"P0(후) 유효 1개 아님",IF(NOT(AND(ISNUMBER(N619),ISNUMBER(P619),ISNUMBER(H619))),"시각 결측",IF(P619&lt;=N619,"P0 시각 역전",IF(OR(H619&lt;N619,H619&gt;P619),"측정시각 구간 밖","OK")))))</f>
        <v/>
      </c>
      <c r="N619" s="45">
        <f>IF(COUNTIFS($C:$C,$C619,$D:$D,"P0(전)",$L:$L,"&gt;0")&lt;&gt;1,"",SUMIFS($H:$H,$C:$C,$C619,$D:$D,"P0(전)"))</f>
        <v/>
      </c>
      <c r="O619" s="30">
        <f>IF(COUNTIFS($C:$C,$C619,$D:$D,"P0(전)",$L:$L,"&gt;0")&lt;&gt;1,"",SUMIFS($L:$L,$C:$C,$C619,$D:$D,"P0(전)"))</f>
        <v/>
      </c>
      <c r="P619" s="45">
        <f>IF(COUNTIFS($C:$C,$C619,$D:$D,"P0(후)",$L:$L,"&gt;0")&lt;&gt;1,"",SUMIFS($H:$H,$C:$C,$C619,$D:$D,"P0(후)"))</f>
        <v/>
      </c>
      <c r="Q619" s="30">
        <f>IF(COUNTIFS($C:$C,$C619,$D:$D,"P0(후)",$L:$L,"&gt;0")&lt;&gt;1,"",SUMIFS($L:$L,$C:$C,$C619,$D:$D,"P0(후)"))</f>
        <v/>
      </c>
      <c r="R619" s="30">
        <f>IF(M619&lt;&gt;"OK","",O619+(Q619-O619)*(H619-N619)/(P619-N619))</f>
        <v/>
      </c>
      <c r="S619" s="30">
        <f>IF(OR(M619&lt;&gt;"OK",NOT(ISNUMBER(L619))),"",L619-R619)</f>
        <v/>
      </c>
      <c r="T619" s="46">
        <f>IF(OR(NOT(ISNUMBER(S619)),IF(ISNUMBER(G619),G619,F619)=0),"",S619/IF(ISNUMBER(G619),G619,F619))</f>
        <v/>
      </c>
      <c r="U619" s="46">
        <f>IF(ISNUMBER(T619),ABS(T619),"")</f>
        <v/>
      </c>
      <c r="V619" s="46">
        <f>IF(OR($D618&lt;&gt;"측정",$C618&lt;&gt;$C619,NOT(ISNUMBER(L619)),NOT(ISNUMBER(L618)),(IF(ISNUMBER(G619),G619,F619)-IF(ISNUMBER(G618),G618,F618))=0),"",(L619-L618)/(IF(ISNUMBER(G619),G619,F619)-IF(ISNUMBER(G618),G618,F618)))</f>
        <v/>
      </c>
      <c r="W619" s="30">
        <f>IF(NOT(AND(ISNUMBER(N619),ISNUMBER(P619))),"",(P619-N619)*1440)</f>
        <v/>
      </c>
      <c r="X619" s="28" t="n"/>
      <c r="Y619" s="28" t="n"/>
      <c r="Z619" s="28" t="n"/>
      <c r="AA619" s="31" t="n"/>
      <c r="AB619" s="31" t="n"/>
    </row>
    <row r="620">
      <c r="A620" s="25" t="inlineStr">
        <is>
          <t>S12</t>
        </is>
      </c>
      <c r="B620" s="25" t="inlineStr">
        <is>
          <t>순창 신규점</t>
        </is>
      </c>
      <c r="C620" s="25" t="inlineStr">
        <is>
          <t>S12-H북</t>
        </is>
      </c>
      <c r="D620" s="25" t="inlineStr">
        <is>
          <t>측정</t>
        </is>
      </c>
      <c r="E620" s="25" t="inlineStr">
        <is>
          <t>북</t>
        </is>
      </c>
      <c r="F620" s="30" t="n">
        <v>3</v>
      </c>
      <c r="G620" s="29" t="n"/>
      <c r="H620" s="42" t="n"/>
      <c r="I620" s="40" t="n"/>
      <c r="J620" s="40" t="n"/>
      <c r="K620" s="40" t="n"/>
      <c r="L620" s="30">
        <f>IF(COUNT(I620:K620)=0,"",MEDIAN(I620:K620))</f>
        <v/>
      </c>
      <c r="M620" s="25">
        <f>IF(COUNTIFS($C:$C,$C620,$D:$D,"P0(전)",$L:$L,"&gt;0")&lt;&gt;1,"P0(전) 유효 1개 아님",IF(COUNTIFS($C:$C,$C620,$D:$D,"P0(후)",$L:$L,"&gt;0")&lt;&gt;1,"P0(후) 유효 1개 아님",IF(NOT(AND(ISNUMBER(N620),ISNUMBER(P620),ISNUMBER(H620))),"시각 결측",IF(P620&lt;=N620,"P0 시각 역전",IF(OR(H620&lt;N620,H620&gt;P620),"측정시각 구간 밖","OK")))))</f>
        <v/>
      </c>
      <c r="N620" s="45">
        <f>IF(COUNTIFS($C:$C,$C620,$D:$D,"P0(전)",$L:$L,"&gt;0")&lt;&gt;1,"",SUMIFS($H:$H,$C:$C,$C620,$D:$D,"P0(전)"))</f>
        <v/>
      </c>
      <c r="O620" s="30">
        <f>IF(COUNTIFS($C:$C,$C620,$D:$D,"P0(전)",$L:$L,"&gt;0")&lt;&gt;1,"",SUMIFS($L:$L,$C:$C,$C620,$D:$D,"P0(전)"))</f>
        <v/>
      </c>
      <c r="P620" s="45">
        <f>IF(COUNTIFS($C:$C,$C620,$D:$D,"P0(후)",$L:$L,"&gt;0")&lt;&gt;1,"",SUMIFS($H:$H,$C:$C,$C620,$D:$D,"P0(후)"))</f>
        <v/>
      </c>
      <c r="Q620" s="30">
        <f>IF(COUNTIFS($C:$C,$C620,$D:$D,"P0(후)",$L:$L,"&gt;0")&lt;&gt;1,"",SUMIFS($L:$L,$C:$C,$C620,$D:$D,"P0(후)"))</f>
        <v/>
      </c>
      <c r="R620" s="30">
        <f>IF(M620&lt;&gt;"OK","",O620+(Q620-O620)*(H620-N620)/(P620-N620))</f>
        <v/>
      </c>
      <c r="S620" s="30">
        <f>IF(OR(M620&lt;&gt;"OK",NOT(ISNUMBER(L620))),"",L620-R620)</f>
        <v/>
      </c>
      <c r="T620" s="46">
        <f>IF(OR(NOT(ISNUMBER(S620)),IF(ISNUMBER(G620),G620,F620)=0),"",S620/IF(ISNUMBER(G620),G620,F620))</f>
        <v/>
      </c>
      <c r="U620" s="46">
        <f>IF(ISNUMBER(T620),ABS(T620),"")</f>
        <v/>
      </c>
      <c r="V620" s="46">
        <f>IF(OR($D619&lt;&gt;"측정",$C619&lt;&gt;$C620,NOT(ISNUMBER(L620)),NOT(ISNUMBER(L619)),(IF(ISNUMBER(G620),G620,F620)-IF(ISNUMBER(G619),G619,F619))=0),"",(L620-L619)/(IF(ISNUMBER(G620),G620,F620)-IF(ISNUMBER(G619),G619,F619)))</f>
        <v/>
      </c>
      <c r="W620" s="30">
        <f>IF(NOT(AND(ISNUMBER(N620),ISNUMBER(P620))),"",(P620-N620)*1440)</f>
        <v/>
      </c>
      <c r="X620" s="28" t="n"/>
      <c r="Y620" s="28" t="n"/>
      <c r="Z620" s="28" t="n"/>
      <c r="AA620" s="31" t="n"/>
      <c r="AB620" s="31" t="n"/>
    </row>
    <row r="621">
      <c r="A621" s="25" t="inlineStr">
        <is>
          <t>S12</t>
        </is>
      </c>
      <c r="B621" s="25" t="inlineStr">
        <is>
          <t>순창 신규점</t>
        </is>
      </c>
      <c r="C621" s="25" t="inlineStr">
        <is>
          <t>S12-H북</t>
        </is>
      </c>
      <c r="D621" s="25" t="inlineStr">
        <is>
          <t>측정</t>
        </is>
      </c>
      <c r="E621" s="25" t="inlineStr">
        <is>
          <t>북</t>
        </is>
      </c>
      <c r="F621" s="30" t="n">
        <v>4</v>
      </c>
      <c r="G621" s="29" t="n"/>
      <c r="H621" s="42" t="n"/>
      <c r="I621" s="40" t="n"/>
      <c r="J621" s="40" t="n"/>
      <c r="K621" s="40" t="n"/>
      <c r="L621" s="30">
        <f>IF(COUNT(I621:K621)=0,"",MEDIAN(I621:K621))</f>
        <v/>
      </c>
      <c r="M621" s="25">
        <f>IF(COUNTIFS($C:$C,$C621,$D:$D,"P0(전)",$L:$L,"&gt;0")&lt;&gt;1,"P0(전) 유효 1개 아님",IF(COUNTIFS($C:$C,$C621,$D:$D,"P0(후)",$L:$L,"&gt;0")&lt;&gt;1,"P0(후) 유효 1개 아님",IF(NOT(AND(ISNUMBER(N621),ISNUMBER(P621),ISNUMBER(H621))),"시각 결측",IF(P621&lt;=N621,"P0 시각 역전",IF(OR(H621&lt;N621,H621&gt;P621),"측정시각 구간 밖","OK")))))</f>
        <v/>
      </c>
      <c r="N621" s="45">
        <f>IF(COUNTIFS($C:$C,$C621,$D:$D,"P0(전)",$L:$L,"&gt;0")&lt;&gt;1,"",SUMIFS($H:$H,$C:$C,$C621,$D:$D,"P0(전)"))</f>
        <v/>
      </c>
      <c r="O621" s="30">
        <f>IF(COUNTIFS($C:$C,$C621,$D:$D,"P0(전)",$L:$L,"&gt;0")&lt;&gt;1,"",SUMIFS($L:$L,$C:$C,$C621,$D:$D,"P0(전)"))</f>
        <v/>
      </c>
      <c r="P621" s="45">
        <f>IF(COUNTIFS($C:$C,$C621,$D:$D,"P0(후)",$L:$L,"&gt;0")&lt;&gt;1,"",SUMIFS($H:$H,$C:$C,$C621,$D:$D,"P0(후)"))</f>
        <v/>
      </c>
      <c r="Q621" s="30">
        <f>IF(COUNTIFS($C:$C,$C621,$D:$D,"P0(후)",$L:$L,"&gt;0")&lt;&gt;1,"",SUMIFS($L:$L,$C:$C,$C621,$D:$D,"P0(후)"))</f>
        <v/>
      </c>
      <c r="R621" s="30">
        <f>IF(M621&lt;&gt;"OK","",O621+(Q621-O621)*(H621-N621)/(P621-N621))</f>
        <v/>
      </c>
      <c r="S621" s="30">
        <f>IF(OR(M621&lt;&gt;"OK",NOT(ISNUMBER(L621))),"",L621-R621)</f>
        <v/>
      </c>
      <c r="T621" s="46">
        <f>IF(OR(NOT(ISNUMBER(S621)),IF(ISNUMBER(G621),G621,F621)=0),"",S621/IF(ISNUMBER(G621),G621,F621))</f>
        <v/>
      </c>
      <c r="U621" s="46">
        <f>IF(ISNUMBER(T621),ABS(T621),"")</f>
        <v/>
      </c>
      <c r="V621" s="46">
        <f>IF(OR($D620&lt;&gt;"측정",$C620&lt;&gt;$C621,NOT(ISNUMBER(L621)),NOT(ISNUMBER(L620)),(IF(ISNUMBER(G621),G621,F621)-IF(ISNUMBER(G620),G620,F620))=0),"",(L621-L620)/(IF(ISNUMBER(G621),G621,F621)-IF(ISNUMBER(G620),G620,F620)))</f>
        <v/>
      </c>
      <c r="W621" s="30">
        <f>IF(NOT(AND(ISNUMBER(N621),ISNUMBER(P621))),"",(P621-N621)*1440)</f>
        <v/>
      </c>
      <c r="X621" s="28" t="n"/>
      <c r="Y621" s="28" t="n"/>
      <c r="Z621" s="28" t="n"/>
      <c r="AA621" s="31" t="n"/>
      <c r="AB621" s="31" t="n"/>
    </row>
    <row r="622">
      <c r="A622" s="25" t="inlineStr">
        <is>
          <t>S12</t>
        </is>
      </c>
      <c r="B622" s="25" t="inlineStr">
        <is>
          <t>순창 신규점</t>
        </is>
      </c>
      <c r="C622" s="25" t="inlineStr">
        <is>
          <t>S12-H북</t>
        </is>
      </c>
      <c r="D622" s="25" t="inlineStr">
        <is>
          <t>측정</t>
        </is>
      </c>
      <c r="E622" s="25" t="inlineStr">
        <is>
          <t>북</t>
        </is>
      </c>
      <c r="F622" s="30" t="n">
        <v>5</v>
      </c>
      <c r="G622" s="29" t="n"/>
      <c r="H622" s="42" t="n"/>
      <c r="I622" s="40" t="n"/>
      <c r="J622" s="40" t="n"/>
      <c r="K622" s="40" t="n"/>
      <c r="L622" s="30">
        <f>IF(COUNT(I622:K622)=0,"",MEDIAN(I622:K622))</f>
        <v/>
      </c>
      <c r="M622" s="25">
        <f>IF(COUNTIFS($C:$C,$C622,$D:$D,"P0(전)",$L:$L,"&gt;0")&lt;&gt;1,"P0(전) 유효 1개 아님",IF(COUNTIFS($C:$C,$C622,$D:$D,"P0(후)",$L:$L,"&gt;0")&lt;&gt;1,"P0(후) 유효 1개 아님",IF(NOT(AND(ISNUMBER(N622),ISNUMBER(P622),ISNUMBER(H622))),"시각 결측",IF(P622&lt;=N622,"P0 시각 역전",IF(OR(H622&lt;N622,H622&gt;P622),"측정시각 구간 밖","OK")))))</f>
        <v/>
      </c>
      <c r="N622" s="45">
        <f>IF(COUNTIFS($C:$C,$C622,$D:$D,"P0(전)",$L:$L,"&gt;0")&lt;&gt;1,"",SUMIFS($H:$H,$C:$C,$C622,$D:$D,"P0(전)"))</f>
        <v/>
      </c>
      <c r="O622" s="30">
        <f>IF(COUNTIFS($C:$C,$C622,$D:$D,"P0(전)",$L:$L,"&gt;0")&lt;&gt;1,"",SUMIFS($L:$L,$C:$C,$C622,$D:$D,"P0(전)"))</f>
        <v/>
      </c>
      <c r="P622" s="45">
        <f>IF(COUNTIFS($C:$C,$C622,$D:$D,"P0(후)",$L:$L,"&gt;0")&lt;&gt;1,"",SUMIFS($H:$H,$C:$C,$C622,$D:$D,"P0(후)"))</f>
        <v/>
      </c>
      <c r="Q622" s="30">
        <f>IF(COUNTIFS($C:$C,$C622,$D:$D,"P0(후)",$L:$L,"&gt;0")&lt;&gt;1,"",SUMIFS($L:$L,$C:$C,$C622,$D:$D,"P0(후)"))</f>
        <v/>
      </c>
      <c r="R622" s="30">
        <f>IF(M622&lt;&gt;"OK","",O622+(Q622-O622)*(H622-N622)/(P622-N622))</f>
        <v/>
      </c>
      <c r="S622" s="30">
        <f>IF(OR(M622&lt;&gt;"OK",NOT(ISNUMBER(L622))),"",L622-R622)</f>
        <v/>
      </c>
      <c r="T622" s="46">
        <f>IF(OR(NOT(ISNUMBER(S622)),IF(ISNUMBER(G622),G622,F622)=0),"",S622/IF(ISNUMBER(G622),G622,F622))</f>
        <v/>
      </c>
      <c r="U622" s="46">
        <f>IF(ISNUMBER(T622),ABS(T622),"")</f>
        <v/>
      </c>
      <c r="V622" s="46">
        <f>IF(OR($D621&lt;&gt;"측정",$C621&lt;&gt;$C622,NOT(ISNUMBER(L622)),NOT(ISNUMBER(L621)),(IF(ISNUMBER(G622),G622,F622)-IF(ISNUMBER(G621),G621,F621))=0),"",(L622-L621)/(IF(ISNUMBER(G622),G622,F622)-IF(ISNUMBER(G621),G621,F621)))</f>
        <v/>
      </c>
      <c r="W622" s="30">
        <f>IF(NOT(AND(ISNUMBER(N622),ISNUMBER(P622))),"",(P622-N622)*1440)</f>
        <v/>
      </c>
      <c r="X622" s="28" t="n"/>
      <c r="Y622" s="28" t="n"/>
      <c r="Z622" s="28" t="n"/>
      <c r="AA622" s="31" t="n"/>
      <c r="AB622" s="31" t="n"/>
    </row>
    <row r="623">
      <c r="A623" s="25" t="inlineStr">
        <is>
          <t>S12</t>
        </is>
      </c>
      <c r="B623" s="25" t="inlineStr">
        <is>
          <t>순창 신규점</t>
        </is>
      </c>
      <c r="C623" s="25" t="inlineStr">
        <is>
          <t>S12-H북</t>
        </is>
      </c>
      <c r="D623" s="25" t="inlineStr">
        <is>
          <t>측정</t>
        </is>
      </c>
      <c r="E623" s="25" t="inlineStr">
        <is>
          <t>북</t>
        </is>
      </c>
      <c r="F623" s="30" t="n">
        <v>6</v>
      </c>
      <c r="G623" s="29" t="n"/>
      <c r="H623" s="42" t="n"/>
      <c r="I623" s="40" t="n"/>
      <c r="J623" s="40" t="n"/>
      <c r="K623" s="40" t="n"/>
      <c r="L623" s="30">
        <f>IF(COUNT(I623:K623)=0,"",MEDIAN(I623:K623))</f>
        <v/>
      </c>
      <c r="M623" s="25">
        <f>IF(COUNTIFS($C:$C,$C623,$D:$D,"P0(전)",$L:$L,"&gt;0")&lt;&gt;1,"P0(전) 유효 1개 아님",IF(COUNTIFS($C:$C,$C623,$D:$D,"P0(후)",$L:$L,"&gt;0")&lt;&gt;1,"P0(후) 유효 1개 아님",IF(NOT(AND(ISNUMBER(N623),ISNUMBER(P623),ISNUMBER(H623))),"시각 결측",IF(P623&lt;=N623,"P0 시각 역전",IF(OR(H623&lt;N623,H623&gt;P623),"측정시각 구간 밖","OK")))))</f>
        <v/>
      </c>
      <c r="N623" s="45">
        <f>IF(COUNTIFS($C:$C,$C623,$D:$D,"P0(전)",$L:$L,"&gt;0")&lt;&gt;1,"",SUMIFS($H:$H,$C:$C,$C623,$D:$D,"P0(전)"))</f>
        <v/>
      </c>
      <c r="O623" s="30">
        <f>IF(COUNTIFS($C:$C,$C623,$D:$D,"P0(전)",$L:$L,"&gt;0")&lt;&gt;1,"",SUMIFS($L:$L,$C:$C,$C623,$D:$D,"P0(전)"))</f>
        <v/>
      </c>
      <c r="P623" s="45">
        <f>IF(COUNTIFS($C:$C,$C623,$D:$D,"P0(후)",$L:$L,"&gt;0")&lt;&gt;1,"",SUMIFS($H:$H,$C:$C,$C623,$D:$D,"P0(후)"))</f>
        <v/>
      </c>
      <c r="Q623" s="30">
        <f>IF(COUNTIFS($C:$C,$C623,$D:$D,"P0(후)",$L:$L,"&gt;0")&lt;&gt;1,"",SUMIFS($L:$L,$C:$C,$C623,$D:$D,"P0(후)"))</f>
        <v/>
      </c>
      <c r="R623" s="30">
        <f>IF(M623&lt;&gt;"OK","",O623+(Q623-O623)*(H623-N623)/(P623-N623))</f>
        <v/>
      </c>
      <c r="S623" s="30">
        <f>IF(OR(M623&lt;&gt;"OK",NOT(ISNUMBER(L623))),"",L623-R623)</f>
        <v/>
      </c>
      <c r="T623" s="46">
        <f>IF(OR(NOT(ISNUMBER(S623)),IF(ISNUMBER(G623),G623,F623)=0),"",S623/IF(ISNUMBER(G623),G623,F623))</f>
        <v/>
      </c>
      <c r="U623" s="46">
        <f>IF(ISNUMBER(T623),ABS(T623),"")</f>
        <v/>
      </c>
      <c r="V623" s="46">
        <f>IF(OR($D622&lt;&gt;"측정",$C622&lt;&gt;$C623,NOT(ISNUMBER(L623)),NOT(ISNUMBER(L622)),(IF(ISNUMBER(G623),G623,F623)-IF(ISNUMBER(G622),G622,F622))=0),"",(L623-L622)/(IF(ISNUMBER(G623),G623,F623)-IF(ISNUMBER(G622),G622,F622)))</f>
        <v/>
      </c>
      <c r="W623" s="30">
        <f>IF(NOT(AND(ISNUMBER(N623),ISNUMBER(P623))),"",(P623-N623)*1440)</f>
        <v/>
      </c>
      <c r="X623" s="28" t="n"/>
      <c r="Y623" s="28" t="n"/>
      <c r="Z623" s="28" t="n"/>
      <c r="AA623" s="31" t="n"/>
      <c r="AB623" s="31" t="n"/>
    </row>
    <row r="624">
      <c r="A624" s="25" t="inlineStr">
        <is>
          <t>S12</t>
        </is>
      </c>
      <c r="B624" s="25" t="inlineStr">
        <is>
          <t>순창 신규점</t>
        </is>
      </c>
      <c r="C624" s="25" t="inlineStr">
        <is>
          <t>S12-H북</t>
        </is>
      </c>
      <c r="D624" s="25" t="inlineStr">
        <is>
          <t>측정</t>
        </is>
      </c>
      <c r="E624" s="25" t="inlineStr">
        <is>
          <t>북</t>
        </is>
      </c>
      <c r="F624" s="30" t="n">
        <v>7</v>
      </c>
      <c r="G624" s="29" t="n"/>
      <c r="H624" s="42" t="n"/>
      <c r="I624" s="40" t="n"/>
      <c r="J624" s="40" t="n"/>
      <c r="K624" s="40" t="n"/>
      <c r="L624" s="30">
        <f>IF(COUNT(I624:K624)=0,"",MEDIAN(I624:K624))</f>
        <v/>
      </c>
      <c r="M624" s="25">
        <f>IF(COUNTIFS($C:$C,$C624,$D:$D,"P0(전)",$L:$L,"&gt;0")&lt;&gt;1,"P0(전) 유효 1개 아님",IF(COUNTIFS($C:$C,$C624,$D:$D,"P0(후)",$L:$L,"&gt;0")&lt;&gt;1,"P0(후) 유효 1개 아님",IF(NOT(AND(ISNUMBER(N624),ISNUMBER(P624),ISNUMBER(H624))),"시각 결측",IF(P624&lt;=N624,"P0 시각 역전",IF(OR(H624&lt;N624,H624&gt;P624),"측정시각 구간 밖","OK")))))</f>
        <v/>
      </c>
      <c r="N624" s="45">
        <f>IF(COUNTIFS($C:$C,$C624,$D:$D,"P0(전)",$L:$L,"&gt;0")&lt;&gt;1,"",SUMIFS($H:$H,$C:$C,$C624,$D:$D,"P0(전)"))</f>
        <v/>
      </c>
      <c r="O624" s="30">
        <f>IF(COUNTIFS($C:$C,$C624,$D:$D,"P0(전)",$L:$L,"&gt;0")&lt;&gt;1,"",SUMIFS($L:$L,$C:$C,$C624,$D:$D,"P0(전)"))</f>
        <v/>
      </c>
      <c r="P624" s="45">
        <f>IF(COUNTIFS($C:$C,$C624,$D:$D,"P0(후)",$L:$L,"&gt;0")&lt;&gt;1,"",SUMIFS($H:$H,$C:$C,$C624,$D:$D,"P0(후)"))</f>
        <v/>
      </c>
      <c r="Q624" s="30">
        <f>IF(COUNTIFS($C:$C,$C624,$D:$D,"P0(후)",$L:$L,"&gt;0")&lt;&gt;1,"",SUMIFS($L:$L,$C:$C,$C624,$D:$D,"P0(후)"))</f>
        <v/>
      </c>
      <c r="R624" s="30">
        <f>IF(M624&lt;&gt;"OK","",O624+(Q624-O624)*(H624-N624)/(P624-N624))</f>
        <v/>
      </c>
      <c r="S624" s="30">
        <f>IF(OR(M624&lt;&gt;"OK",NOT(ISNUMBER(L624))),"",L624-R624)</f>
        <v/>
      </c>
      <c r="T624" s="46">
        <f>IF(OR(NOT(ISNUMBER(S624)),IF(ISNUMBER(G624),G624,F624)=0),"",S624/IF(ISNUMBER(G624),G624,F624))</f>
        <v/>
      </c>
      <c r="U624" s="46">
        <f>IF(ISNUMBER(T624),ABS(T624),"")</f>
        <v/>
      </c>
      <c r="V624" s="46">
        <f>IF(OR($D623&lt;&gt;"측정",$C623&lt;&gt;$C624,NOT(ISNUMBER(L624)),NOT(ISNUMBER(L623)),(IF(ISNUMBER(G624),G624,F624)-IF(ISNUMBER(G623),G623,F623))=0),"",(L624-L623)/(IF(ISNUMBER(G624),G624,F624)-IF(ISNUMBER(G623),G623,F623)))</f>
        <v/>
      </c>
      <c r="W624" s="30">
        <f>IF(NOT(AND(ISNUMBER(N624),ISNUMBER(P624))),"",(P624-N624)*1440)</f>
        <v/>
      </c>
      <c r="X624" s="28" t="n"/>
      <c r="Y624" s="28" t="n"/>
      <c r="Z624" s="28" t="n"/>
      <c r="AA624" s="31" t="n"/>
      <c r="AB624" s="31" t="n"/>
    </row>
    <row r="625">
      <c r="A625" s="25" t="inlineStr">
        <is>
          <t>S12</t>
        </is>
      </c>
      <c r="B625" s="25" t="inlineStr">
        <is>
          <t>순창 신규점</t>
        </is>
      </c>
      <c r="C625" s="25" t="inlineStr">
        <is>
          <t>S12-H북</t>
        </is>
      </c>
      <c r="D625" s="25" t="inlineStr">
        <is>
          <t>측정</t>
        </is>
      </c>
      <c r="E625" s="25" t="inlineStr">
        <is>
          <t>북</t>
        </is>
      </c>
      <c r="F625" s="30" t="n">
        <v>8</v>
      </c>
      <c r="G625" s="29" t="n"/>
      <c r="H625" s="42" t="n"/>
      <c r="I625" s="40" t="n"/>
      <c r="J625" s="40" t="n"/>
      <c r="K625" s="40" t="n"/>
      <c r="L625" s="30">
        <f>IF(COUNT(I625:K625)=0,"",MEDIAN(I625:K625))</f>
        <v/>
      </c>
      <c r="M625" s="25">
        <f>IF(COUNTIFS($C:$C,$C625,$D:$D,"P0(전)",$L:$L,"&gt;0")&lt;&gt;1,"P0(전) 유효 1개 아님",IF(COUNTIFS($C:$C,$C625,$D:$D,"P0(후)",$L:$L,"&gt;0")&lt;&gt;1,"P0(후) 유효 1개 아님",IF(NOT(AND(ISNUMBER(N625),ISNUMBER(P625),ISNUMBER(H625))),"시각 결측",IF(P625&lt;=N625,"P0 시각 역전",IF(OR(H625&lt;N625,H625&gt;P625),"측정시각 구간 밖","OK")))))</f>
        <v/>
      </c>
      <c r="N625" s="45">
        <f>IF(COUNTIFS($C:$C,$C625,$D:$D,"P0(전)",$L:$L,"&gt;0")&lt;&gt;1,"",SUMIFS($H:$H,$C:$C,$C625,$D:$D,"P0(전)"))</f>
        <v/>
      </c>
      <c r="O625" s="30">
        <f>IF(COUNTIFS($C:$C,$C625,$D:$D,"P0(전)",$L:$L,"&gt;0")&lt;&gt;1,"",SUMIFS($L:$L,$C:$C,$C625,$D:$D,"P0(전)"))</f>
        <v/>
      </c>
      <c r="P625" s="45">
        <f>IF(COUNTIFS($C:$C,$C625,$D:$D,"P0(후)",$L:$L,"&gt;0")&lt;&gt;1,"",SUMIFS($H:$H,$C:$C,$C625,$D:$D,"P0(후)"))</f>
        <v/>
      </c>
      <c r="Q625" s="30">
        <f>IF(COUNTIFS($C:$C,$C625,$D:$D,"P0(후)",$L:$L,"&gt;0")&lt;&gt;1,"",SUMIFS($L:$L,$C:$C,$C625,$D:$D,"P0(후)"))</f>
        <v/>
      </c>
      <c r="R625" s="30">
        <f>IF(M625&lt;&gt;"OK","",O625+(Q625-O625)*(H625-N625)/(P625-N625))</f>
        <v/>
      </c>
      <c r="S625" s="30">
        <f>IF(OR(M625&lt;&gt;"OK",NOT(ISNUMBER(L625))),"",L625-R625)</f>
        <v/>
      </c>
      <c r="T625" s="46">
        <f>IF(OR(NOT(ISNUMBER(S625)),IF(ISNUMBER(G625),G625,F625)=0),"",S625/IF(ISNUMBER(G625),G625,F625))</f>
        <v/>
      </c>
      <c r="U625" s="46">
        <f>IF(ISNUMBER(T625),ABS(T625),"")</f>
        <v/>
      </c>
      <c r="V625" s="46">
        <f>IF(OR($D624&lt;&gt;"측정",$C624&lt;&gt;$C625,NOT(ISNUMBER(L625)),NOT(ISNUMBER(L624)),(IF(ISNUMBER(G625),G625,F625)-IF(ISNUMBER(G624),G624,F624))=0),"",(L625-L624)/(IF(ISNUMBER(G625),G625,F625)-IF(ISNUMBER(G624),G624,F624)))</f>
        <v/>
      </c>
      <c r="W625" s="30">
        <f>IF(NOT(AND(ISNUMBER(N625),ISNUMBER(P625))),"",(P625-N625)*1440)</f>
        <v/>
      </c>
      <c r="X625" s="28" t="n"/>
      <c r="Y625" s="28" t="n"/>
      <c r="Z625" s="28" t="n"/>
      <c r="AA625" s="31" t="n"/>
      <c r="AB625" s="31" t="n"/>
    </row>
    <row r="626">
      <c r="A626" s="25" t="inlineStr">
        <is>
          <t>S12</t>
        </is>
      </c>
      <c r="B626" s="25" t="inlineStr">
        <is>
          <t>순창 신규점</t>
        </is>
      </c>
      <c r="C626" s="25" t="inlineStr">
        <is>
          <t>S12-H북</t>
        </is>
      </c>
      <c r="D626" s="25" t="inlineStr">
        <is>
          <t>측정</t>
        </is>
      </c>
      <c r="E626" s="25" t="inlineStr">
        <is>
          <t>북</t>
        </is>
      </c>
      <c r="F626" s="30" t="n">
        <v>9</v>
      </c>
      <c r="G626" s="29" t="n"/>
      <c r="H626" s="42" t="n"/>
      <c r="I626" s="40" t="n"/>
      <c r="J626" s="40" t="n"/>
      <c r="K626" s="40" t="n"/>
      <c r="L626" s="30">
        <f>IF(COUNT(I626:K626)=0,"",MEDIAN(I626:K626))</f>
        <v/>
      </c>
      <c r="M626" s="25">
        <f>IF(COUNTIFS($C:$C,$C626,$D:$D,"P0(전)",$L:$L,"&gt;0")&lt;&gt;1,"P0(전) 유효 1개 아님",IF(COUNTIFS($C:$C,$C626,$D:$D,"P0(후)",$L:$L,"&gt;0")&lt;&gt;1,"P0(후) 유효 1개 아님",IF(NOT(AND(ISNUMBER(N626),ISNUMBER(P626),ISNUMBER(H626))),"시각 결측",IF(P626&lt;=N626,"P0 시각 역전",IF(OR(H626&lt;N626,H626&gt;P626),"측정시각 구간 밖","OK")))))</f>
        <v/>
      </c>
      <c r="N626" s="45">
        <f>IF(COUNTIFS($C:$C,$C626,$D:$D,"P0(전)",$L:$L,"&gt;0")&lt;&gt;1,"",SUMIFS($H:$H,$C:$C,$C626,$D:$D,"P0(전)"))</f>
        <v/>
      </c>
      <c r="O626" s="30">
        <f>IF(COUNTIFS($C:$C,$C626,$D:$D,"P0(전)",$L:$L,"&gt;0")&lt;&gt;1,"",SUMIFS($L:$L,$C:$C,$C626,$D:$D,"P0(전)"))</f>
        <v/>
      </c>
      <c r="P626" s="45">
        <f>IF(COUNTIFS($C:$C,$C626,$D:$D,"P0(후)",$L:$L,"&gt;0")&lt;&gt;1,"",SUMIFS($H:$H,$C:$C,$C626,$D:$D,"P0(후)"))</f>
        <v/>
      </c>
      <c r="Q626" s="30">
        <f>IF(COUNTIFS($C:$C,$C626,$D:$D,"P0(후)",$L:$L,"&gt;0")&lt;&gt;1,"",SUMIFS($L:$L,$C:$C,$C626,$D:$D,"P0(후)"))</f>
        <v/>
      </c>
      <c r="R626" s="30">
        <f>IF(M626&lt;&gt;"OK","",O626+(Q626-O626)*(H626-N626)/(P626-N626))</f>
        <v/>
      </c>
      <c r="S626" s="30">
        <f>IF(OR(M626&lt;&gt;"OK",NOT(ISNUMBER(L626))),"",L626-R626)</f>
        <v/>
      </c>
      <c r="T626" s="46">
        <f>IF(OR(NOT(ISNUMBER(S626)),IF(ISNUMBER(G626),G626,F626)=0),"",S626/IF(ISNUMBER(G626),G626,F626))</f>
        <v/>
      </c>
      <c r="U626" s="46">
        <f>IF(ISNUMBER(T626),ABS(T626),"")</f>
        <v/>
      </c>
      <c r="V626" s="46">
        <f>IF(OR($D625&lt;&gt;"측정",$C625&lt;&gt;$C626,NOT(ISNUMBER(L626)),NOT(ISNUMBER(L625)),(IF(ISNUMBER(G626),G626,F626)-IF(ISNUMBER(G625),G625,F625))=0),"",(L626-L625)/(IF(ISNUMBER(G626),G626,F626)-IF(ISNUMBER(G625),G625,F625)))</f>
        <v/>
      </c>
      <c r="W626" s="30">
        <f>IF(NOT(AND(ISNUMBER(N626),ISNUMBER(P626))),"",(P626-N626)*1440)</f>
        <v/>
      </c>
      <c r="X626" s="28" t="n"/>
      <c r="Y626" s="28" t="n"/>
      <c r="Z626" s="28" t="n"/>
      <c r="AA626" s="31" t="n"/>
      <c r="AB626" s="31" t="n"/>
    </row>
    <row r="627">
      <c r="A627" s="25" t="inlineStr">
        <is>
          <t>S12</t>
        </is>
      </c>
      <c r="B627" s="25" t="inlineStr">
        <is>
          <t>순창 신규점</t>
        </is>
      </c>
      <c r="C627" s="25" t="inlineStr">
        <is>
          <t>S12-H북</t>
        </is>
      </c>
      <c r="D627" s="25" t="inlineStr">
        <is>
          <t>측정</t>
        </is>
      </c>
      <c r="E627" s="25" t="inlineStr">
        <is>
          <t>북</t>
        </is>
      </c>
      <c r="F627" s="30" t="n">
        <v>10</v>
      </c>
      <c r="G627" s="29" t="n"/>
      <c r="H627" s="42" t="n"/>
      <c r="I627" s="40" t="n"/>
      <c r="J627" s="40" t="n"/>
      <c r="K627" s="40" t="n"/>
      <c r="L627" s="30">
        <f>IF(COUNT(I627:K627)=0,"",MEDIAN(I627:K627))</f>
        <v/>
      </c>
      <c r="M627" s="25">
        <f>IF(COUNTIFS($C:$C,$C627,$D:$D,"P0(전)",$L:$L,"&gt;0")&lt;&gt;1,"P0(전) 유효 1개 아님",IF(COUNTIFS($C:$C,$C627,$D:$D,"P0(후)",$L:$L,"&gt;0")&lt;&gt;1,"P0(후) 유효 1개 아님",IF(NOT(AND(ISNUMBER(N627),ISNUMBER(P627),ISNUMBER(H627))),"시각 결측",IF(P627&lt;=N627,"P0 시각 역전",IF(OR(H627&lt;N627,H627&gt;P627),"측정시각 구간 밖","OK")))))</f>
        <v/>
      </c>
      <c r="N627" s="45">
        <f>IF(COUNTIFS($C:$C,$C627,$D:$D,"P0(전)",$L:$L,"&gt;0")&lt;&gt;1,"",SUMIFS($H:$H,$C:$C,$C627,$D:$D,"P0(전)"))</f>
        <v/>
      </c>
      <c r="O627" s="30">
        <f>IF(COUNTIFS($C:$C,$C627,$D:$D,"P0(전)",$L:$L,"&gt;0")&lt;&gt;1,"",SUMIFS($L:$L,$C:$C,$C627,$D:$D,"P0(전)"))</f>
        <v/>
      </c>
      <c r="P627" s="45">
        <f>IF(COUNTIFS($C:$C,$C627,$D:$D,"P0(후)",$L:$L,"&gt;0")&lt;&gt;1,"",SUMIFS($H:$H,$C:$C,$C627,$D:$D,"P0(후)"))</f>
        <v/>
      </c>
      <c r="Q627" s="30">
        <f>IF(COUNTIFS($C:$C,$C627,$D:$D,"P0(후)",$L:$L,"&gt;0")&lt;&gt;1,"",SUMIFS($L:$L,$C:$C,$C627,$D:$D,"P0(후)"))</f>
        <v/>
      </c>
      <c r="R627" s="30">
        <f>IF(M627&lt;&gt;"OK","",O627+(Q627-O627)*(H627-N627)/(P627-N627))</f>
        <v/>
      </c>
      <c r="S627" s="30">
        <f>IF(OR(M627&lt;&gt;"OK",NOT(ISNUMBER(L627))),"",L627-R627)</f>
        <v/>
      </c>
      <c r="T627" s="46">
        <f>IF(OR(NOT(ISNUMBER(S627)),IF(ISNUMBER(G627),G627,F627)=0),"",S627/IF(ISNUMBER(G627),G627,F627))</f>
        <v/>
      </c>
      <c r="U627" s="46">
        <f>IF(ISNUMBER(T627),ABS(T627),"")</f>
        <v/>
      </c>
      <c r="V627" s="46">
        <f>IF(OR($D626&lt;&gt;"측정",$C626&lt;&gt;$C627,NOT(ISNUMBER(L627)),NOT(ISNUMBER(L626)),(IF(ISNUMBER(G627),G627,F627)-IF(ISNUMBER(G626),G626,F626))=0),"",(L627-L626)/(IF(ISNUMBER(G627),G627,F627)-IF(ISNUMBER(G626),G626,F626)))</f>
        <v/>
      </c>
      <c r="W627" s="30">
        <f>IF(NOT(AND(ISNUMBER(N627),ISNUMBER(P627))),"",(P627-N627)*1440)</f>
        <v/>
      </c>
      <c r="X627" s="28" t="n"/>
      <c r="Y627" s="28" t="n"/>
      <c r="Z627" s="28" t="n"/>
      <c r="AA627" s="31" t="n"/>
      <c r="AB627" s="31" t="n"/>
    </row>
    <row r="628">
      <c r="A628" s="43" t="inlineStr">
        <is>
          <t>S12</t>
        </is>
      </c>
      <c r="B628" s="43" t="inlineStr">
        <is>
          <t>순창 신규점</t>
        </is>
      </c>
      <c r="C628" s="43" t="inlineStr">
        <is>
          <t>S12-H북</t>
        </is>
      </c>
      <c r="D628" s="43" t="inlineStr">
        <is>
          <t>P0(후)</t>
        </is>
      </c>
      <c r="E628" s="43" t="inlineStr">
        <is>
          <t>북</t>
        </is>
      </c>
      <c r="F628" s="44" t="n"/>
      <c r="G628" s="29" t="n"/>
      <c r="H628" s="42" t="n"/>
      <c r="I628" s="40" t="n"/>
      <c r="J628" s="40" t="n"/>
      <c r="K628" s="40" t="n"/>
      <c r="L628" s="30">
        <f>IF(COUNT(I628:K628)=0,"",MEDIAN(I628:K628))</f>
        <v/>
      </c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28" t="n"/>
      <c r="Y628" s="28" t="n"/>
      <c r="Z628" s="28" t="n"/>
      <c r="AA628" s="31" t="n"/>
      <c r="AB628" s="31" t="n"/>
    </row>
    <row r="629">
      <c r="A629" s="43" t="inlineStr">
        <is>
          <t>S13</t>
        </is>
      </c>
      <c r="B629" s="43" t="inlineStr">
        <is>
          <t>순천 신규점</t>
        </is>
      </c>
      <c r="C629" s="43" t="inlineStr">
        <is>
          <t>S13-H동</t>
        </is>
      </c>
      <c r="D629" s="43" t="inlineStr">
        <is>
          <t>P0(전)</t>
        </is>
      </c>
      <c r="E629" s="43" t="inlineStr">
        <is>
          <t>동</t>
        </is>
      </c>
      <c r="F629" s="44" t="n"/>
      <c r="G629" s="29" t="n"/>
      <c r="H629" s="42" t="n"/>
      <c r="I629" s="40" t="n"/>
      <c r="J629" s="40" t="n"/>
      <c r="K629" s="40" t="n"/>
      <c r="L629" s="30">
        <f>IF(COUNT(I629:K629)=0,"",MEDIAN(I629:K629))</f>
        <v/>
      </c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28" t="n"/>
      <c r="Y629" s="28" t="n"/>
      <c r="Z629" s="28" t="n"/>
      <c r="AA629" s="31" t="n"/>
      <c r="AB629" s="31" t="n"/>
    </row>
    <row r="630">
      <c r="A630" s="25" t="inlineStr">
        <is>
          <t>S13</t>
        </is>
      </c>
      <c r="B630" s="25" t="inlineStr">
        <is>
          <t>순천 신규점</t>
        </is>
      </c>
      <c r="C630" s="25" t="inlineStr">
        <is>
          <t>S13-H동</t>
        </is>
      </c>
      <c r="D630" s="25" t="inlineStr">
        <is>
          <t>측정</t>
        </is>
      </c>
      <c r="E630" s="25" t="inlineStr">
        <is>
          <t>동</t>
        </is>
      </c>
      <c r="F630" s="30" t="n">
        <v>0.5</v>
      </c>
      <c r="G630" s="29" t="n"/>
      <c r="H630" s="42" t="n"/>
      <c r="I630" s="40" t="n"/>
      <c r="J630" s="40" t="n"/>
      <c r="K630" s="40" t="n"/>
      <c r="L630" s="30">
        <f>IF(COUNT(I630:K630)=0,"",MEDIAN(I630:K630))</f>
        <v/>
      </c>
      <c r="M630" s="25">
        <f>IF(COUNTIFS($C:$C,$C630,$D:$D,"P0(전)",$L:$L,"&gt;0")&lt;&gt;1,"P0(전) 유효 1개 아님",IF(COUNTIFS($C:$C,$C630,$D:$D,"P0(후)",$L:$L,"&gt;0")&lt;&gt;1,"P0(후) 유효 1개 아님",IF(NOT(AND(ISNUMBER(N630),ISNUMBER(P630),ISNUMBER(H630))),"시각 결측",IF(P630&lt;=N630,"P0 시각 역전",IF(OR(H630&lt;N630,H630&gt;P630),"측정시각 구간 밖","OK")))))</f>
        <v/>
      </c>
      <c r="N630" s="45">
        <f>IF(COUNTIFS($C:$C,$C630,$D:$D,"P0(전)",$L:$L,"&gt;0")&lt;&gt;1,"",SUMIFS($H:$H,$C:$C,$C630,$D:$D,"P0(전)"))</f>
        <v/>
      </c>
      <c r="O630" s="30">
        <f>IF(COUNTIFS($C:$C,$C630,$D:$D,"P0(전)",$L:$L,"&gt;0")&lt;&gt;1,"",SUMIFS($L:$L,$C:$C,$C630,$D:$D,"P0(전)"))</f>
        <v/>
      </c>
      <c r="P630" s="45">
        <f>IF(COUNTIFS($C:$C,$C630,$D:$D,"P0(후)",$L:$L,"&gt;0")&lt;&gt;1,"",SUMIFS($H:$H,$C:$C,$C630,$D:$D,"P0(후)"))</f>
        <v/>
      </c>
      <c r="Q630" s="30">
        <f>IF(COUNTIFS($C:$C,$C630,$D:$D,"P0(후)",$L:$L,"&gt;0")&lt;&gt;1,"",SUMIFS($L:$L,$C:$C,$C630,$D:$D,"P0(후)"))</f>
        <v/>
      </c>
      <c r="R630" s="30">
        <f>IF(M630&lt;&gt;"OK","",O630+(Q630-O630)*(H630-N630)/(P630-N630))</f>
        <v/>
      </c>
      <c r="S630" s="30">
        <f>IF(OR(M630&lt;&gt;"OK",NOT(ISNUMBER(L630))),"",L630-R630)</f>
        <v/>
      </c>
      <c r="T630" s="46">
        <f>IF(OR(NOT(ISNUMBER(S630)),IF(ISNUMBER(G630),G630,F630)=0),"",S630/IF(ISNUMBER(G630),G630,F630))</f>
        <v/>
      </c>
      <c r="U630" s="46">
        <f>IF(ISNUMBER(T630),ABS(T630),"")</f>
        <v/>
      </c>
      <c r="V630" s="46">
        <f>IF(OR($D629&lt;&gt;"측정",$C629&lt;&gt;$C630,NOT(ISNUMBER(L630)),NOT(ISNUMBER(L629)),(IF(ISNUMBER(G630),G630,F630)-IF(ISNUMBER(G629),G629,F629))=0),"",(L630-L629)/(IF(ISNUMBER(G630),G630,F630)-IF(ISNUMBER(G629),G629,F629)))</f>
        <v/>
      </c>
      <c r="W630" s="30">
        <f>IF(NOT(AND(ISNUMBER(N630),ISNUMBER(P630))),"",(P630-N630)*1440)</f>
        <v/>
      </c>
      <c r="X630" s="28" t="n"/>
      <c r="Y630" s="28" t="n"/>
      <c r="Z630" s="28" t="n"/>
      <c r="AA630" s="31" t="n"/>
      <c r="AB630" s="31" t="n"/>
    </row>
    <row r="631">
      <c r="A631" s="25" t="inlineStr">
        <is>
          <t>S13</t>
        </is>
      </c>
      <c r="B631" s="25" t="inlineStr">
        <is>
          <t>순천 신규점</t>
        </is>
      </c>
      <c r="C631" s="25" t="inlineStr">
        <is>
          <t>S13-H동</t>
        </is>
      </c>
      <c r="D631" s="25" t="inlineStr">
        <is>
          <t>측정</t>
        </is>
      </c>
      <c r="E631" s="25" t="inlineStr">
        <is>
          <t>동</t>
        </is>
      </c>
      <c r="F631" s="30" t="n">
        <v>1</v>
      </c>
      <c r="G631" s="29" t="n"/>
      <c r="H631" s="42" t="n"/>
      <c r="I631" s="40" t="n"/>
      <c r="J631" s="40" t="n"/>
      <c r="K631" s="40" t="n"/>
      <c r="L631" s="30">
        <f>IF(COUNT(I631:K631)=0,"",MEDIAN(I631:K631))</f>
        <v/>
      </c>
      <c r="M631" s="25">
        <f>IF(COUNTIFS($C:$C,$C631,$D:$D,"P0(전)",$L:$L,"&gt;0")&lt;&gt;1,"P0(전) 유효 1개 아님",IF(COUNTIFS($C:$C,$C631,$D:$D,"P0(후)",$L:$L,"&gt;0")&lt;&gt;1,"P0(후) 유효 1개 아님",IF(NOT(AND(ISNUMBER(N631),ISNUMBER(P631),ISNUMBER(H631))),"시각 결측",IF(P631&lt;=N631,"P0 시각 역전",IF(OR(H631&lt;N631,H631&gt;P631),"측정시각 구간 밖","OK")))))</f>
        <v/>
      </c>
      <c r="N631" s="45">
        <f>IF(COUNTIFS($C:$C,$C631,$D:$D,"P0(전)",$L:$L,"&gt;0")&lt;&gt;1,"",SUMIFS($H:$H,$C:$C,$C631,$D:$D,"P0(전)"))</f>
        <v/>
      </c>
      <c r="O631" s="30">
        <f>IF(COUNTIFS($C:$C,$C631,$D:$D,"P0(전)",$L:$L,"&gt;0")&lt;&gt;1,"",SUMIFS($L:$L,$C:$C,$C631,$D:$D,"P0(전)"))</f>
        <v/>
      </c>
      <c r="P631" s="45">
        <f>IF(COUNTIFS($C:$C,$C631,$D:$D,"P0(후)",$L:$L,"&gt;0")&lt;&gt;1,"",SUMIFS($H:$H,$C:$C,$C631,$D:$D,"P0(후)"))</f>
        <v/>
      </c>
      <c r="Q631" s="30">
        <f>IF(COUNTIFS($C:$C,$C631,$D:$D,"P0(후)",$L:$L,"&gt;0")&lt;&gt;1,"",SUMIFS($L:$L,$C:$C,$C631,$D:$D,"P0(후)"))</f>
        <v/>
      </c>
      <c r="R631" s="30">
        <f>IF(M631&lt;&gt;"OK","",O631+(Q631-O631)*(H631-N631)/(P631-N631))</f>
        <v/>
      </c>
      <c r="S631" s="30">
        <f>IF(OR(M631&lt;&gt;"OK",NOT(ISNUMBER(L631))),"",L631-R631)</f>
        <v/>
      </c>
      <c r="T631" s="46">
        <f>IF(OR(NOT(ISNUMBER(S631)),IF(ISNUMBER(G631),G631,F631)=0),"",S631/IF(ISNUMBER(G631),G631,F631))</f>
        <v/>
      </c>
      <c r="U631" s="46">
        <f>IF(ISNUMBER(T631),ABS(T631),"")</f>
        <v/>
      </c>
      <c r="V631" s="46">
        <f>IF(OR($D630&lt;&gt;"측정",$C630&lt;&gt;$C631,NOT(ISNUMBER(L631)),NOT(ISNUMBER(L630)),(IF(ISNUMBER(G631),G631,F631)-IF(ISNUMBER(G630),G630,F630))=0),"",(L631-L630)/(IF(ISNUMBER(G631),G631,F631)-IF(ISNUMBER(G630),G630,F630)))</f>
        <v/>
      </c>
      <c r="W631" s="30">
        <f>IF(NOT(AND(ISNUMBER(N631),ISNUMBER(P631))),"",(P631-N631)*1440)</f>
        <v/>
      </c>
      <c r="X631" s="28" t="n"/>
      <c r="Y631" s="28" t="n"/>
      <c r="Z631" s="28" t="n"/>
      <c r="AA631" s="31" t="n"/>
      <c r="AB631" s="31" t="n"/>
    </row>
    <row r="632">
      <c r="A632" s="25" t="inlineStr">
        <is>
          <t>S13</t>
        </is>
      </c>
      <c r="B632" s="25" t="inlineStr">
        <is>
          <t>순천 신규점</t>
        </is>
      </c>
      <c r="C632" s="25" t="inlineStr">
        <is>
          <t>S13-H동</t>
        </is>
      </c>
      <c r="D632" s="25" t="inlineStr">
        <is>
          <t>측정</t>
        </is>
      </c>
      <c r="E632" s="25" t="inlineStr">
        <is>
          <t>동</t>
        </is>
      </c>
      <c r="F632" s="30" t="n">
        <v>2</v>
      </c>
      <c r="G632" s="29" t="n"/>
      <c r="H632" s="42" t="n"/>
      <c r="I632" s="40" t="n"/>
      <c r="J632" s="40" t="n"/>
      <c r="K632" s="40" t="n"/>
      <c r="L632" s="30">
        <f>IF(COUNT(I632:K632)=0,"",MEDIAN(I632:K632))</f>
        <v/>
      </c>
      <c r="M632" s="25">
        <f>IF(COUNTIFS($C:$C,$C632,$D:$D,"P0(전)",$L:$L,"&gt;0")&lt;&gt;1,"P0(전) 유효 1개 아님",IF(COUNTIFS($C:$C,$C632,$D:$D,"P0(후)",$L:$L,"&gt;0")&lt;&gt;1,"P0(후) 유효 1개 아님",IF(NOT(AND(ISNUMBER(N632),ISNUMBER(P632),ISNUMBER(H632))),"시각 결측",IF(P632&lt;=N632,"P0 시각 역전",IF(OR(H632&lt;N632,H632&gt;P632),"측정시각 구간 밖","OK")))))</f>
        <v/>
      </c>
      <c r="N632" s="45">
        <f>IF(COUNTIFS($C:$C,$C632,$D:$D,"P0(전)",$L:$L,"&gt;0")&lt;&gt;1,"",SUMIFS($H:$H,$C:$C,$C632,$D:$D,"P0(전)"))</f>
        <v/>
      </c>
      <c r="O632" s="30">
        <f>IF(COUNTIFS($C:$C,$C632,$D:$D,"P0(전)",$L:$L,"&gt;0")&lt;&gt;1,"",SUMIFS($L:$L,$C:$C,$C632,$D:$D,"P0(전)"))</f>
        <v/>
      </c>
      <c r="P632" s="45">
        <f>IF(COUNTIFS($C:$C,$C632,$D:$D,"P0(후)",$L:$L,"&gt;0")&lt;&gt;1,"",SUMIFS($H:$H,$C:$C,$C632,$D:$D,"P0(후)"))</f>
        <v/>
      </c>
      <c r="Q632" s="30">
        <f>IF(COUNTIFS($C:$C,$C632,$D:$D,"P0(후)",$L:$L,"&gt;0")&lt;&gt;1,"",SUMIFS($L:$L,$C:$C,$C632,$D:$D,"P0(후)"))</f>
        <v/>
      </c>
      <c r="R632" s="30">
        <f>IF(M632&lt;&gt;"OK","",O632+(Q632-O632)*(H632-N632)/(P632-N632))</f>
        <v/>
      </c>
      <c r="S632" s="30">
        <f>IF(OR(M632&lt;&gt;"OK",NOT(ISNUMBER(L632))),"",L632-R632)</f>
        <v/>
      </c>
      <c r="T632" s="46">
        <f>IF(OR(NOT(ISNUMBER(S632)),IF(ISNUMBER(G632),G632,F632)=0),"",S632/IF(ISNUMBER(G632),G632,F632))</f>
        <v/>
      </c>
      <c r="U632" s="46">
        <f>IF(ISNUMBER(T632),ABS(T632),"")</f>
        <v/>
      </c>
      <c r="V632" s="46">
        <f>IF(OR($D631&lt;&gt;"측정",$C631&lt;&gt;$C632,NOT(ISNUMBER(L632)),NOT(ISNUMBER(L631)),(IF(ISNUMBER(G632),G632,F632)-IF(ISNUMBER(G631),G631,F631))=0),"",(L632-L631)/(IF(ISNUMBER(G632),G632,F632)-IF(ISNUMBER(G631),G631,F631)))</f>
        <v/>
      </c>
      <c r="W632" s="30">
        <f>IF(NOT(AND(ISNUMBER(N632),ISNUMBER(P632))),"",(P632-N632)*1440)</f>
        <v/>
      </c>
      <c r="X632" s="28" t="n"/>
      <c r="Y632" s="28" t="n"/>
      <c r="Z632" s="28" t="n"/>
      <c r="AA632" s="31" t="n"/>
      <c r="AB632" s="31" t="n"/>
    </row>
    <row r="633">
      <c r="A633" s="25" t="inlineStr">
        <is>
          <t>S13</t>
        </is>
      </c>
      <c r="B633" s="25" t="inlineStr">
        <is>
          <t>순천 신규점</t>
        </is>
      </c>
      <c r="C633" s="25" t="inlineStr">
        <is>
          <t>S13-H동</t>
        </is>
      </c>
      <c r="D633" s="25" t="inlineStr">
        <is>
          <t>측정</t>
        </is>
      </c>
      <c r="E633" s="25" t="inlineStr">
        <is>
          <t>동</t>
        </is>
      </c>
      <c r="F633" s="30" t="n">
        <v>3</v>
      </c>
      <c r="G633" s="29" t="n"/>
      <c r="H633" s="42" t="n"/>
      <c r="I633" s="40" t="n"/>
      <c r="J633" s="40" t="n"/>
      <c r="K633" s="40" t="n"/>
      <c r="L633" s="30">
        <f>IF(COUNT(I633:K633)=0,"",MEDIAN(I633:K633))</f>
        <v/>
      </c>
      <c r="M633" s="25">
        <f>IF(COUNTIFS($C:$C,$C633,$D:$D,"P0(전)",$L:$L,"&gt;0")&lt;&gt;1,"P0(전) 유효 1개 아님",IF(COUNTIFS($C:$C,$C633,$D:$D,"P0(후)",$L:$L,"&gt;0")&lt;&gt;1,"P0(후) 유효 1개 아님",IF(NOT(AND(ISNUMBER(N633),ISNUMBER(P633),ISNUMBER(H633))),"시각 결측",IF(P633&lt;=N633,"P0 시각 역전",IF(OR(H633&lt;N633,H633&gt;P633),"측정시각 구간 밖","OK")))))</f>
        <v/>
      </c>
      <c r="N633" s="45">
        <f>IF(COUNTIFS($C:$C,$C633,$D:$D,"P0(전)",$L:$L,"&gt;0")&lt;&gt;1,"",SUMIFS($H:$H,$C:$C,$C633,$D:$D,"P0(전)"))</f>
        <v/>
      </c>
      <c r="O633" s="30">
        <f>IF(COUNTIFS($C:$C,$C633,$D:$D,"P0(전)",$L:$L,"&gt;0")&lt;&gt;1,"",SUMIFS($L:$L,$C:$C,$C633,$D:$D,"P0(전)"))</f>
        <v/>
      </c>
      <c r="P633" s="45">
        <f>IF(COUNTIFS($C:$C,$C633,$D:$D,"P0(후)",$L:$L,"&gt;0")&lt;&gt;1,"",SUMIFS($H:$H,$C:$C,$C633,$D:$D,"P0(후)"))</f>
        <v/>
      </c>
      <c r="Q633" s="30">
        <f>IF(COUNTIFS($C:$C,$C633,$D:$D,"P0(후)",$L:$L,"&gt;0")&lt;&gt;1,"",SUMIFS($L:$L,$C:$C,$C633,$D:$D,"P0(후)"))</f>
        <v/>
      </c>
      <c r="R633" s="30">
        <f>IF(M633&lt;&gt;"OK","",O633+(Q633-O633)*(H633-N633)/(P633-N633))</f>
        <v/>
      </c>
      <c r="S633" s="30">
        <f>IF(OR(M633&lt;&gt;"OK",NOT(ISNUMBER(L633))),"",L633-R633)</f>
        <v/>
      </c>
      <c r="T633" s="46">
        <f>IF(OR(NOT(ISNUMBER(S633)),IF(ISNUMBER(G633),G633,F633)=0),"",S633/IF(ISNUMBER(G633),G633,F633))</f>
        <v/>
      </c>
      <c r="U633" s="46">
        <f>IF(ISNUMBER(T633),ABS(T633),"")</f>
        <v/>
      </c>
      <c r="V633" s="46">
        <f>IF(OR($D632&lt;&gt;"측정",$C632&lt;&gt;$C633,NOT(ISNUMBER(L633)),NOT(ISNUMBER(L632)),(IF(ISNUMBER(G633),G633,F633)-IF(ISNUMBER(G632),G632,F632))=0),"",(L633-L632)/(IF(ISNUMBER(G633),G633,F633)-IF(ISNUMBER(G632),G632,F632)))</f>
        <v/>
      </c>
      <c r="W633" s="30">
        <f>IF(NOT(AND(ISNUMBER(N633),ISNUMBER(P633))),"",(P633-N633)*1440)</f>
        <v/>
      </c>
      <c r="X633" s="28" t="n"/>
      <c r="Y633" s="28" t="n"/>
      <c r="Z633" s="28" t="n"/>
      <c r="AA633" s="31" t="n"/>
      <c r="AB633" s="31" t="n"/>
    </row>
    <row r="634">
      <c r="A634" s="25" t="inlineStr">
        <is>
          <t>S13</t>
        </is>
      </c>
      <c r="B634" s="25" t="inlineStr">
        <is>
          <t>순천 신규점</t>
        </is>
      </c>
      <c r="C634" s="25" t="inlineStr">
        <is>
          <t>S13-H동</t>
        </is>
      </c>
      <c r="D634" s="25" t="inlineStr">
        <is>
          <t>측정</t>
        </is>
      </c>
      <c r="E634" s="25" t="inlineStr">
        <is>
          <t>동</t>
        </is>
      </c>
      <c r="F634" s="30" t="n">
        <v>4</v>
      </c>
      <c r="G634" s="29" t="n"/>
      <c r="H634" s="42" t="n"/>
      <c r="I634" s="40" t="n"/>
      <c r="J634" s="40" t="n"/>
      <c r="K634" s="40" t="n"/>
      <c r="L634" s="30">
        <f>IF(COUNT(I634:K634)=0,"",MEDIAN(I634:K634))</f>
        <v/>
      </c>
      <c r="M634" s="25">
        <f>IF(COUNTIFS($C:$C,$C634,$D:$D,"P0(전)",$L:$L,"&gt;0")&lt;&gt;1,"P0(전) 유효 1개 아님",IF(COUNTIFS($C:$C,$C634,$D:$D,"P0(후)",$L:$L,"&gt;0")&lt;&gt;1,"P0(후) 유효 1개 아님",IF(NOT(AND(ISNUMBER(N634),ISNUMBER(P634),ISNUMBER(H634))),"시각 결측",IF(P634&lt;=N634,"P0 시각 역전",IF(OR(H634&lt;N634,H634&gt;P634),"측정시각 구간 밖","OK")))))</f>
        <v/>
      </c>
      <c r="N634" s="45">
        <f>IF(COUNTIFS($C:$C,$C634,$D:$D,"P0(전)",$L:$L,"&gt;0")&lt;&gt;1,"",SUMIFS($H:$H,$C:$C,$C634,$D:$D,"P0(전)"))</f>
        <v/>
      </c>
      <c r="O634" s="30">
        <f>IF(COUNTIFS($C:$C,$C634,$D:$D,"P0(전)",$L:$L,"&gt;0")&lt;&gt;1,"",SUMIFS($L:$L,$C:$C,$C634,$D:$D,"P0(전)"))</f>
        <v/>
      </c>
      <c r="P634" s="45">
        <f>IF(COUNTIFS($C:$C,$C634,$D:$D,"P0(후)",$L:$L,"&gt;0")&lt;&gt;1,"",SUMIFS($H:$H,$C:$C,$C634,$D:$D,"P0(후)"))</f>
        <v/>
      </c>
      <c r="Q634" s="30">
        <f>IF(COUNTIFS($C:$C,$C634,$D:$D,"P0(후)",$L:$L,"&gt;0")&lt;&gt;1,"",SUMIFS($L:$L,$C:$C,$C634,$D:$D,"P0(후)"))</f>
        <v/>
      </c>
      <c r="R634" s="30">
        <f>IF(M634&lt;&gt;"OK","",O634+(Q634-O634)*(H634-N634)/(P634-N634))</f>
        <v/>
      </c>
      <c r="S634" s="30">
        <f>IF(OR(M634&lt;&gt;"OK",NOT(ISNUMBER(L634))),"",L634-R634)</f>
        <v/>
      </c>
      <c r="T634" s="46">
        <f>IF(OR(NOT(ISNUMBER(S634)),IF(ISNUMBER(G634),G634,F634)=0),"",S634/IF(ISNUMBER(G634),G634,F634))</f>
        <v/>
      </c>
      <c r="U634" s="46">
        <f>IF(ISNUMBER(T634),ABS(T634),"")</f>
        <v/>
      </c>
      <c r="V634" s="46">
        <f>IF(OR($D633&lt;&gt;"측정",$C633&lt;&gt;$C634,NOT(ISNUMBER(L634)),NOT(ISNUMBER(L633)),(IF(ISNUMBER(G634),G634,F634)-IF(ISNUMBER(G633),G633,F633))=0),"",(L634-L633)/(IF(ISNUMBER(G634),G634,F634)-IF(ISNUMBER(G633),G633,F633)))</f>
        <v/>
      </c>
      <c r="W634" s="30">
        <f>IF(NOT(AND(ISNUMBER(N634),ISNUMBER(P634))),"",(P634-N634)*1440)</f>
        <v/>
      </c>
      <c r="X634" s="28" t="n"/>
      <c r="Y634" s="28" t="n"/>
      <c r="Z634" s="28" t="n"/>
      <c r="AA634" s="31" t="n"/>
      <c r="AB634" s="31" t="n"/>
    </row>
    <row r="635">
      <c r="A635" s="25" t="inlineStr">
        <is>
          <t>S13</t>
        </is>
      </c>
      <c r="B635" s="25" t="inlineStr">
        <is>
          <t>순천 신규점</t>
        </is>
      </c>
      <c r="C635" s="25" t="inlineStr">
        <is>
          <t>S13-H동</t>
        </is>
      </c>
      <c r="D635" s="25" t="inlineStr">
        <is>
          <t>측정</t>
        </is>
      </c>
      <c r="E635" s="25" t="inlineStr">
        <is>
          <t>동</t>
        </is>
      </c>
      <c r="F635" s="30" t="n">
        <v>5</v>
      </c>
      <c r="G635" s="29" t="n"/>
      <c r="H635" s="42" t="n"/>
      <c r="I635" s="40" t="n"/>
      <c r="J635" s="40" t="n"/>
      <c r="K635" s="40" t="n"/>
      <c r="L635" s="30">
        <f>IF(COUNT(I635:K635)=0,"",MEDIAN(I635:K635))</f>
        <v/>
      </c>
      <c r="M635" s="25">
        <f>IF(COUNTIFS($C:$C,$C635,$D:$D,"P0(전)",$L:$L,"&gt;0")&lt;&gt;1,"P0(전) 유효 1개 아님",IF(COUNTIFS($C:$C,$C635,$D:$D,"P0(후)",$L:$L,"&gt;0")&lt;&gt;1,"P0(후) 유효 1개 아님",IF(NOT(AND(ISNUMBER(N635),ISNUMBER(P635),ISNUMBER(H635))),"시각 결측",IF(P635&lt;=N635,"P0 시각 역전",IF(OR(H635&lt;N635,H635&gt;P635),"측정시각 구간 밖","OK")))))</f>
        <v/>
      </c>
      <c r="N635" s="45">
        <f>IF(COUNTIFS($C:$C,$C635,$D:$D,"P0(전)",$L:$L,"&gt;0")&lt;&gt;1,"",SUMIFS($H:$H,$C:$C,$C635,$D:$D,"P0(전)"))</f>
        <v/>
      </c>
      <c r="O635" s="30">
        <f>IF(COUNTIFS($C:$C,$C635,$D:$D,"P0(전)",$L:$L,"&gt;0")&lt;&gt;1,"",SUMIFS($L:$L,$C:$C,$C635,$D:$D,"P0(전)"))</f>
        <v/>
      </c>
      <c r="P635" s="45">
        <f>IF(COUNTIFS($C:$C,$C635,$D:$D,"P0(후)",$L:$L,"&gt;0")&lt;&gt;1,"",SUMIFS($H:$H,$C:$C,$C635,$D:$D,"P0(후)"))</f>
        <v/>
      </c>
      <c r="Q635" s="30">
        <f>IF(COUNTIFS($C:$C,$C635,$D:$D,"P0(후)",$L:$L,"&gt;0")&lt;&gt;1,"",SUMIFS($L:$L,$C:$C,$C635,$D:$D,"P0(후)"))</f>
        <v/>
      </c>
      <c r="R635" s="30">
        <f>IF(M635&lt;&gt;"OK","",O635+(Q635-O635)*(H635-N635)/(P635-N635))</f>
        <v/>
      </c>
      <c r="S635" s="30">
        <f>IF(OR(M635&lt;&gt;"OK",NOT(ISNUMBER(L635))),"",L635-R635)</f>
        <v/>
      </c>
      <c r="T635" s="46">
        <f>IF(OR(NOT(ISNUMBER(S635)),IF(ISNUMBER(G635),G635,F635)=0),"",S635/IF(ISNUMBER(G635),G635,F635))</f>
        <v/>
      </c>
      <c r="U635" s="46">
        <f>IF(ISNUMBER(T635),ABS(T635),"")</f>
        <v/>
      </c>
      <c r="V635" s="46">
        <f>IF(OR($D634&lt;&gt;"측정",$C634&lt;&gt;$C635,NOT(ISNUMBER(L635)),NOT(ISNUMBER(L634)),(IF(ISNUMBER(G635),G635,F635)-IF(ISNUMBER(G634),G634,F634))=0),"",(L635-L634)/(IF(ISNUMBER(G635),G635,F635)-IF(ISNUMBER(G634),G634,F634)))</f>
        <v/>
      </c>
      <c r="W635" s="30">
        <f>IF(NOT(AND(ISNUMBER(N635),ISNUMBER(P635))),"",(P635-N635)*1440)</f>
        <v/>
      </c>
      <c r="X635" s="28" t="n"/>
      <c r="Y635" s="28" t="n"/>
      <c r="Z635" s="28" t="n"/>
      <c r="AA635" s="31" t="n"/>
      <c r="AB635" s="31" t="n"/>
    </row>
    <row r="636">
      <c r="A636" s="25" t="inlineStr">
        <is>
          <t>S13</t>
        </is>
      </c>
      <c r="B636" s="25" t="inlineStr">
        <is>
          <t>순천 신규점</t>
        </is>
      </c>
      <c r="C636" s="25" t="inlineStr">
        <is>
          <t>S13-H동</t>
        </is>
      </c>
      <c r="D636" s="25" t="inlineStr">
        <is>
          <t>측정</t>
        </is>
      </c>
      <c r="E636" s="25" t="inlineStr">
        <is>
          <t>동</t>
        </is>
      </c>
      <c r="F636" s="30" t="n">
        <v>6</v>
      </c>
      <c r="G636" s="29" t="n"/>
      <c r="H636" s="42" t="n"/>
      <c r="I636" s="40" t="n"/>
      <c r="J636" s="40" t="n"/>
      <c r="K636" s="40" t="n"/>
      <c r="L636" s="30">
        <f>IF(COUNT(I636:K636)=0,"",MEDIAN(I636:K636))</f>
        <v/>
      </c>
      <c r="M636" s="25">
        <f>IF(COUNTIFS($C:$C,$C636,$D:$D,"P0(전)",$L:$L,"&gt;0")&lt;&gt;1,"P0(전) 유효 1개 아님",IF(COUNTIFS($C:$C,$C636,$D:$D,"P0(후)",$L:$L,"&gt;0")&lt;&gt;1,"P0(후) 유효 1개 아님",IF(NOT(AND(ISNUMBER(N636),ISNUMBER(P636),ISNUMBER(H636))),"시각 결측",IF(P636&lt;=N636,"P0 시각 역전",IF(OR(H636&lt;N636,H636&gt;P636),"측정시각 구간 밖","OK")))))</f>
        <v/>
      </c>
      <c r="N636" s="45">
        <f>IF(COUNTIFS($C:$C,$C636,$D:$D,"P0(전)",$L:$L,"&gt;0")&lt;&gt;1,"",SUMIFS($H:$H,$C:$C,$C636,$D:$D,"P0(전)"))</f>
        <v/>
      </c>
      <c r="O636" s="30">
        <f>IF(COUNTIFS($C:$C,$C636,$D:$D,"P0(전)",$L:$L,"&gt;0")&lt;&gt;1,"",SUMIFS($L:$L,$C:$C,$C636,$D:$D,"P0(전)"))</f>
        <v/>
      </c>
      <c r="P636" s="45">
        <f>IF(COUNTIFS($C:$C,$C636,$D:$D,"P0(후)",$L:$L,"&gt;0")&lt;&gt;1,"",SUMIFS($H:$H,$C:$C,$C636,$D:$D,"P0(후)"))</f>
        <v/>
      </c>
      <c r="Q636" s="30">
        <f>IF(COUNTIFS($C:$C,$C636,$D:$D,"P0(후)",$L:$L,"&gt;0")&lt;&gt;1,"",SUMIFS($L:$L,$C:$C,$C636,$D:$D,"P0(후)"))</f>
        <v/>
      </c>
      <c r="R636" s="30">
        <f>IF(M636&lt;&gt;"OK","",O636+(Q636-O636)*(H636-N636)/(P636-N636))</f>
        <v/>
      </c>
      <c r="S636" s="30">
        <f>IF(OR(M636&lt;&gt;"OK",NOT(ISNUMBER(L636))),"",L636-R636)</f>
        <v/>
      </c>
      <c r="T636" s="46">
        <f>IF(OR(NOT(ISNUMBER(S636)),IF(ISNUMBER(G636),G636,F636)=0),"",S636/IF(ISNUMBER(G636),G636,F636))</f>
        <v/>
      </c>
      <c r="U636" s="46">
        <f>IF(ISNUMBER(T636),ABS(T636),"")</f>
        <v/>
      </c>
      <c r="V636" s="46">
        <f>IF(OR($D635&lt;&gt;"측정",$C635&lt;&gt;$C636,NOT(ISNUMBER(L636)),NOT(ISNUMBER(L635)),(IF(ISNUMBER(G636),G636,F636)-IF(ISNUMBER(G635),G635,F635))=0),"",(L636-L635)/(IF(ISNUMBER(G636),G636,F636)-IF(ISNUMBER(G635),G635,F635)))</f>
        <v/>
      </c>
      <c r="W636" s="30">
        <f>IF(NOT(AND(ISNUMBER(N636),ISNUMBER(P636))),"",(P636-N636)*1440)</f>
        <v/>
      </c>
      <c r="X636" s="28" t="n"/>
      <c r="Y636" s="28" t="n"/>
      <c r="Z636" s="28" t="n"/>
      <c r="AA636" s="31" t="n"/>
      <c r="AB636" s="31" t="n"/>
    </row>
    <row r="637">
      <c r="A637" s="25" t="inlineStr">
        <is>
          <t>S13</t>
        </is>
      </c>
      <c r="B637" s="25" t="inlineStr">
        <is>
          <t>순천 신규점</t>
        </is>
      </c>
      <c r="C637" s="25" t="inlineStr">
        <is>
          <t>S13-H동</t>
        </is>
      </c>
      <c r="D637" s="25" t="inlineStr">
        <is>
          <t>측정</t>
        </is>
      </c>
      <c r="E637" s="25" t="inlineStr">
        <is>
          <t>동</t>
        </is>
      </c>
      <c r="F637" s="30" t="n">
        <v>7</v>
      </c>
      <c r="G637" s="29" t="n"/>
      <c r="H637" s="42" t="n"/>
      <c r="I637" s="40" t="n"/>
      <c r="J637" s="40" t="n"/>
      <c r="K637" s="40" t="n"/>
      <c r="L637" s="30">
        <f>IF(COUNT(I637:K637)=0,"",MEDIAN(I637:K637))</f>
        <v/>
      </c>
      <c r="M637" s="25">
        <f>IF(COUNTIFS($C:$C,$C637,$D:$D,"P0(전)",$L:$L,"&gt;0")&lt;&gt;1,"P0(전) 유효 1개 아님",IF(COUNTIFS($C:$C,$C637,$D:$D,"P0(후)",$L:$L,"&gt;0")&lt;&gt;1,"P0(후) 유효 1개 아님",IF(NOT(AND(ISNUMBER(N637),ISNUMBER(P637),ISNUMBER(H637))),"시각 결측",IF(P637&lt;=N637,"P0 시각 역전",IF(OR(H637&lt;N637,H637&gt;P637),"측정시각 구간 밖","OK")))))</f>
        <v/>
      </c>
      <c r="N637" s="45">
        <f>IF(COUNTIFS($C:$C,$C637,$D:$D,"P0(전)",$L:$L,"&gt;0")&lt;&gt;1,"",SUMIFS($H:$H,$C:$C,$C637,$D:$D,"P0(전)"))</f>
        <v/>
      </c>
      <c r="O637" s="30">
        <f>IF(COUNTIFS($C:$C,$C637,$D:$D,"P0(전)",$L:$L,"&gt;0")&lt;&gt;1,"",SUMIFS($L:$L,$C:$C,$C637,$D:$D,"P0(전)"))</f>
        <v/>
      </c>
      <c r="P637" s="45">
        <f>IF(COUNTIFS($C:$C,$C637,$D:$D,"P0(후)",$L:$L,"&gt;0")&lt;&gt;1,"",SUMIFS($H:$H,$C:$C,$C637,$D:$D,"P0(후)"))</f>
        <v/>
      </c>
      <c r="Q637" s="30">
        <f>IF(COUNTIFS($C:$C,$C637,$D:$D,"P0(후)",$L:$L,"&gt;0")&lt;&gt;1,"",SUMIFS($L:$L,$C:$C,$C637,$D:$D,"P0(후)"))</f>
        <v/>
      </c>
      <c r="R637" s="30">
        <f>IF(M637&lt;&gt;"OK","",O637+(Q637-O637)*(H637-N637)/(P637-N637))</f>
        <v/>
      </c>
      <c r="S637" s="30">
        <f>IF(OR(M637&lt;&gt;"OK",NOT(ISNUMBER(L637))),"",L637-R637)</f>
        <v/>
      </c>
      <c r="T637" s="46">
        <f>IF(OR(NOT(ISNUMBER(S637)),IF(ISNUMBER(G637),G637,F637)=0),"",S637/IF(ISNUMBER(G637),G637,F637))</f>
        <v/>
      </c>
      <c r="U637" s="46">
        <f>IF(ISNUMBER(T637),ABS(T637),"")</f>
        <v/>
      </c>
      <c r="V637" s="46">
        <f>IF(OR($D636&lt;&gt;"측정",$C636&lt;&gt;$C637,NOT(ISNUMBER(L637)),NOT(ISNUMBER(L636)),(IF(ISNUMBER(G637),G637,F637)-IF(ISNUMBER(G636),G636,F636))=0),"",(L637-L636)/(IF(ISNUMBER(G637),G637,F637)-IF(ISNUMBER(G636),G636,F636)))</f>
        <v/>
      </c>
      <c r="W637" s="30">
        <f>IF(NOT(AND(ISNUMBER(N637),ISNUMBER(P637))),"",(P637-N637)*1440)</f>
        <v/>
      </c>
      <c r="X637" s="28" t="n"/>
      <c r="Y637" s="28" t="n"/>
      <c r="Z637" s="28" t="n"/>
      <c r="AA637" s="31" t="n"/>
      <c r="AB637" s="31" t="n"/>
    </row>
    <row r="638">
      <c r="A638" s="25" t="inlineStr">
        <is>
          <t>S13</t>
        </is>
      </c>
      <c r="B638" s="25" t="inlineStr">
        <is>
          <t>순천 신규점</t>
        </is>
      </c>
      <c r="C638" s="25" t="inlineStr">
        <is>
          <t>S13-H동</t>
        </is>
      </c>
      <c r="D638" s="25" t="inlineStr">
        <is>
          <t>측정</t>
        </is>
      </c>
      <c r="E638" s="25" t="inlineStr">
        <is>
          <t>동</t>
        </is>
      </c>
      <c r="F638" s="30" t="n">
        <v>8</v>
      </c>
      <c r="G638" s="29" t="n"/>
      <c r="H638" s="42" t="n"/>
      <c r="I638" s="40" t="n"/>
      <c r="J638" s="40" t="n"/>
      <c r="K638" s="40" t="n"/>
      <c r="L638" s="30">
        <f>IF(COUNT(I638:K638)=0,"",MEDIAN(I638:K638))</f>
        <v/>
      </c>
      <c r="M638" s="25">
        <f>IF(COUNTIFS($C:$C,$C638,$D:$D,"P0(전)",$L:$L,"&gt;0")&lt;&gt;1,"P0(전) 유효 1개 아님",IF(COUNTIFS($C:$C,$C638,$D:$D,"P0(후)",$L:$L,"&gt;0")&lt;&gt;1,"P0(후) 유효 1개 아님",IF(NOT(AND(ISNUMBER(N638),ISNUMBER(P638),ISNUMBER(H638))),"시각 결측",IF(P638&lt;=N638,"P0 시각 역전",IF(OR(H638&lt;N638,H638&gt;P638),"측정시각 구간 밖","OK")))))</f>
        <v/>
      </c>
      <c r="N638" s="45">
        <f>IF(COUNTIFS($C:$C,$C638,$D:$D,"P0(전)",$L:$L,"&gt;0")&lt;&gt;1,"",SUMIFS($H:$H,$C:$C,$C638,$D:$D,"P0(전)"))</f>
        <v/>
      </c>
      <c r="O638" s="30">
        <f>IF(COUNTIFS($C:$C,$C638,$D:$D,"P0(전)",$L:$L,"&gt;0")&lt;&gt;1,"",SUMIFS($L:$L,$C:$C,$C638,$D:$D,"P0(전)"))</f>
        <v/>
      </c>
      <c r="P638" s="45">
        <f>IF(COUNTIFS($C:$C,$C638,$D:$D,"P0(후)",$L:$L,"&gt;0")&lt;&gt;1,"",SUMIFS($H:$H,$C:$C,$C638,$D:$D,"P0(후)"))</f>
        <v/>
      </c>
      <c r="Q638" s="30">
        <f>IF(COUNTIFS($C:$C,$C638,$D:$D,"P0(후)",$L:$L,"&gt;0")&lt;&gt;1,"",SUMIFS($L:$L,$C:$C,$C638,$D:$D,"P0(후)"))</f>
        <v/>
      </c>
      <c r="R638" s="30">
        <f>IF(M638&lt;&gt;"OK","",O638+(Q638-O638)*(H638-N638)/(P638-N638))</f>
        <v/>
      </c>
      <c r="S638" s="30">
        <f>IF(OR(M638&lt;&gt;"OK",NOT(ISNUMBER(L638))),"",L638-R638)</f>
        <v/>
      </c>
      <c r="T638" s="46">
        <f>IF(OR(NOT(ISNUMBER(S638)),IF(ISNUMBER(G638),G638,F638)=0),"",S638/IF(ISNUMBER(G638),G638,F638))</f>
        <v/>
      </c>
      <c r="U638" s="46">
        <f>IF(ISNUMBER(T638),ABS(T638),"")</f>
        <v/>
      </c>
      <c r="V638" s="46">
        <f>IF(OR($D637&lt;&gt;"측정",$C637&lt;&gt;$C638,NOT(ISNUMBER(L638)),NOT(ISNUMBER(L637)),(IF(ISNUMBER(G638),G638,F638)-IF(ISNUMBER(G637),G637,F637))=0),"",(L638-L637)/(IF(ISNUMBER(G638),G638,F638)-IF(ISNUMBER(G637),G637,F637)))</f>
        <v/>
      </c>
      <c r="W638" s="30">
        <f>IF(NOT(AND(ISNUMBER(N638),ISNUMBER(P638))),"",(P638-N638)*1440)</f>
        <v/>
      </c>
      <c r="X638" s="28" t="n"/>
      <c r="Y638" s="28" t="n"/>
      <c r="Z638" s="28" t="n"/>
      <c r="AA638" s="31" t="n"/>
      <c r="AB638" s="31" t="n"/>
    </row>
    <row r="639">
      <c r="A639" s="25" t="inlineStr">
        <is>
          <t>S13</t>
        </is>
      </c>
      <c r="B639" s="25" t="inlineStr">
        <is>
          <t>순천 신규점</t>
        </is>
      </c>
      <c r="C639" s="25" t="inlineStr">
        <is>
          <t>S13-H동</t>
        </is>
      </c>
      <c r="D639" s="25" t="inlineStr">
        <is>
          <t>측정</t>
        </is>
      </c>
      <c r="E639" s="25" t="inlineStr">
        <is>
          <t>동</t>
        </is>
      </c>
      <c r="F639" s="30" t="n">
        <v>9</v>
      </c>
      <c r="G639" s="29" t="n"/>
      <c r="H639" s="42" t="n"/>
      <c r="I639" s="40" t="n"/>
      <c r="J639" s="40" t="n"/>
      <c r="K639" s="40" t="n"/>
      <c r="L639" s="30">
        <f>IF(COUNT(I639:K639)=0,"",MEDIAN(I639:K639))</f>
        <v/>
      </c>
      <c r="M639" s="25">
        <f>IF(COUNTIFS($C:$C,$C639,$D:$D,"P0(전)",$L:$L,"&gt;0")&lt;&gt;1,"P0(전) 유효 1개 아님",IF(COUNTIFS($C:$C,$C639,$D:$D,"P0(후)",$L:$L,"&gt;0")&lt;&gt;1,"P0(후) 유효 1개 아님",IF(NOT(AND(ISNUMBER(N639),ISNUMBER(P639),ISNUMBER(H639))),"시각 결측",IF(P639&lt;=N639,"P0 시각 역전",IF(OR(H639&lt;N639,H639&gt;P639),"측정시각 구간 밖","OK")))))</f>
        <v/>
      </c>
      <c r="N639" s="45">
        <f>IF(COUNTIFS($C:$C,$C639,$D:$D,"P0(전)",$L:$L,"&gt;0")&lt;&gt;1,"",SUMIFS($H:$H,$C:$C,$C639,$D:$D,"P0(전)"))</f>
        <v/>
      </c>
      <c r="O639" s="30">
        <f>IF(COUNTIFS($C:$C,$C639,$D:$D,"P0(전)",$L:$L,"&gt;0")&lt;&gt;1,"",SUMIFS($L:$L,$C:$C,$C639,$D:$D,"P0(전)"))</f>
        <v/>
      </c>
      <c r="P639" s="45">
        <f>IF(COUNTIFS($C:$C,$C639,$D:$D,"P0(후)",$L:$L,"&gt;0")&lt;&gt;1,"",SUMIFS($H:$H,$C:$C,$C639,$D:$D,"P0(후)"))</f>
        <v/>
      </c>
      <c r="Q639" s="30">
        <f>IF(COUNTIFS($C:$C,$C639,$D:$D,"P0(후)",$L:$L,"&gt;0")&lt;&gt;1,"",SUMIFS($L:$L,$C:$C,$C639,$D:$D,"P0(후)"))</f>
        <v/>
      </c>
      <c r="R639" s="30">
        <f>IF(M639&lt;&gt;"OK","",O639+(Q639-O639)*(H639-N639)/(P639-N639))</f>
        <v/>
      </c>
      <c r="S639" s="30">
        <f>IF(OR(M639&lt;&gt;"OK",NOT(ISNUMBER(L639))),"",L639-R639)</f>
        <v/>
      </c>
      <c r="T639" s="46">
        <f>IF(OR(NOT(ISNUMBER(S639)),IF(ISNUMBER(G639),G639,F639)=0),"",S639/IF(ISNUMBER(G639),G639,F639))</f>
        <v/>
      </c>
      <c r="U639" s="46">
        <f>IF(ISNUMBER(T639),ABS(T639),"")</f>
        <v/>
      </c>
      <c r="V639" s="46">
        <f>IF(OR($D638&lt;&gt;"측정",$C638&lt;&gt;$C639,NOT(ISNUMBER(L639)),NOT(ISNUMBER(L638)),(IF(ISNUMBER(G639),G639,F639)-IF(ISNUMBER(G638),G638,F638))=0),"",(L639-L638)/(IF(ISNUMBER(G639),G639,F639)-IF(ISNUMBER(G638),G638,F638)))</f>
        <v/>
      </c>
      <c r="W639" s="30">
        <f>IF(NOT(AND(ISNUMBER(N639),ISNUMBER(P639))),"",(P639-N639)*1440)</f>
        <v/>
      </c>
      <c r="X639" s="28" t="n"/>
      <c r="Y639" s="28" t="n"/>
      <c r="Z639" s="28" t="n"/>
      <c r="AA639" s="31" t="n"/>
      <c r="AB639" s="31" t="n"/>
    </row>
    <row r="640">
      <c r="A640" s="25" t="inlineStr">
        <is>
          <t>S13</t>
        </is>
      </c>
      <c r="B640" s="25" t="inlineStr">
        <is>
          <t>순천 신규점</t>
        </is>
      </c>
      <c r="C640" s="25" t="inlineStr">
        <is>
          <t>S13-H동</t>
        </is>
      </c>
      <c r="D640" s="25" t="inlineStr">
        <is>
          <t>측정</t>
        </is>
      </c>
      <c r="E640" s="25" t="inlineStr">
        <is>
          <t>동</t>
        </is>
      </c>
      <c r="F640" s="30" t="n">
        <v>10</v>
      </c>
      <c r="G640" s="29" t="n"/>
      <c r="H640" s="42" t="n"/>
      <c r="I640" s="40" t="n"/>
      <c r="J640" s="40" t="n"/>
      <c r="K640" s="40" t="n"/>
      <c r="L640" s="30">
        <f>IF(COUNT(I640:K640)=0,"",MEDIAN(I640:K640))</f>
        <v/>
      </c>
      <c r="M640" s="25">
        <f>IF(COUNTIFS($C:$C,$C640,$D:$D,"P0(전)",$L:$L,"&gt;0")&lt;&gt;1,"P0(전) 유효 1개 아님",IF(COUNTIFS($C:$C,$C640,$D:$D,"P0(후)",$L:$L,"&gt;0")&lt;&gt;1,"P0(후) 유효 1개 아님",IF(NOT(AND(ISNUMBER(N640),ISNUMBER(P640),ISNUMBER(H640))),"시각 결측",IF(P640&lt;=N640,"P0 시각 역전",IF(OR(H640&lt;N640,H640&gt;P640),"측정시각 구간 밖","OK")))))</f>
        <v/>
      </c>
      <c r="N640" s="45">
        <f>IF(COUNTIFS($C:$C,$C640,$D:$D,"P0(전)",$L:$L,"&gt;0")&lt;&gt;1,"",SUMIFS($H:$H,$C:$C,$C640,$D:$D,"P0(전)"))</f>
        <v/>
      </c>
      <c r="O640" s="30">
        <f>IF(COUNTIFS($C:$C,$C640,$D:$D,"P0(전)",$L:$L,"&gt;0")&lt;&gt;1,"",SUMIFS($L:$L,$C:$C,$C640,$D:$D,"P0(전)"))</f>
        <v/>
      </c>
      <c r="P640" s="45">
        <f>IF(COUNTIFS($C:$C,$C640,$D:$D,"P0(후)",$L:$L,"&gt;0")&lt;&gt;1,"",SUMIFS($H:$H,$C:$C,$C640,$D:$D,"P0(후)"))</f>
        <v/>
      </c>
      <c r="Q640" s="30">
        <f>IF(COUNTIFS($C:$C,$C640,$D:$D,"P0(후)",$L:$L,"&gt;0")&lt;&gt;1,"",SUMIFS($L:$L,$C:$C,$C640,$D:$D,"P0(후)"))</f>
        <v/>
      </c>
      <c r="R640" s="30">
        <f>IF(M640&lt;&gt;"OK","",O640+(Q640-O640)*(H640-N640)/(P640-N640))</f>
        <v/>
      </c>
      <c r="S640" s="30">
        <f>IF(OR(M640&lt;&gt;"OK",NOT(ISNUMBER(L640))),"",L640-R640)</f>
        <v/>
      </c>
      <c r="T640" s="46">
        <f>IF(OR(NOT(ISNUMBER(S640)),IF(ISNUMBER(G640),G640,F640)=0),"",S640/IF(ISNUMBER(G640),G640,F640))</f>
        <v/>
      </c>
      <c r="U640" s="46">
        <f>IF(ISNUMBER(T640),ABS(T640),"")</f>
        <v/>
      </c>
      <c r="V640" s="46">
        <f>IF(OR($D639&lt;&gt;"측정",$C639&lt;&gt;$C640,NOT(ISNUMBER(L640)),NOT(ISNUMBER(L639)),(IF(ISNUMBER(G640),G640,F640)-IF(ISNUMBER(G639),G639,F639))=0),"",(L640-L639)/(IF(ISNUMBER(G640),G640,F640)-IF(ISNUMBER(G639),G639,F639)))</f>
        <v/>
      </c>
      <c r="W640" s="30">
        <f>IF(NOT(AND(ISNUMBER(N640),ISNUMBER(P640))),"",(P640-N640)*1440)</f>
        <v/>
      </c>
      <c r="X640" s="28" t="n"/>
      <c r="Y640" s="28" t="n"/>
      <c r="Z640" s="28" t="n"/>
      <c r="AA640" s="31" t="n"/>
      <c r="AB640" s="31" t="n"/>
    </row>
    <row r="641">
      <c r="A641" s="43" t="inlineStr">
        <is>
          <t>S13</t>
        </is>
      </c>
      <c r="B641" s="43" t="inlineStr">
        <is>
          <t>순천 신규점</t>
        </is>
      </c>
      <c r="C641" s="43" t="inlineStr">
        <is>
          <t>S13-H동</t>
        </is>
      </c>
      <c r="D641" s="43" t="inlineStr">
        <is>
          <t>P0(후)</t>
        </is>
      </c>
      <c r="E641" s="43" t="inlineStr">
        <is>
          <t>동</t>
        </is>
      </c>
      <c r="F641" s="44" t="n"/>
      <c r="G641" s="29" t="n"/>
      <c r="H641" s="42" t="n"/>
      <c r="I641" s="40" t="n"/>
      <c r="J641" s="40" t="n"/>
      <c r="K641" s="40" t="n"/>
      <c r="L641" s="30">
        <f>IF(COUNT(I641:K641)=0,"",MEDIAN(I641:K641))</f>
        <v/>
      </c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28" t="n"/>
      <c r="Y641" s="28" t="n"/>
      <c r="Z641" s="28" t="n"/>
      <c r="AA641" s="31" t="n"/>
      <c r="AB641" s="31" t="n"/>
    </row>
    <row r="642">
      <c r="A642" s="43" t="inlineStr">
        <is>
          <t>S13</t>
        </is>
      </c>
      <c r="B642" s="43" t="inlineStr">
        <is>
          <t>순천 신규점</t>
        </is>
      </c>
      <c r="C642" s="43" t="inlineStr">
        <is>
          <t>S13-H서</t>
        </is>
      </c>
      <c r="D642" s="43" t="inlineStr">
        <is>
          <t>P0(전)</t>
        </is>
      </c>
      <c r="E642" s="43" t="inlineStr">
        <is>
          <t>서</t>
        </is>
      </c>
      <c r="F642" s="44" t="n"/>
      <c r="G642" s="29" t="n"/>
      <c r="H642" s="42" t="n"/>
      <c r="I642" s="40" t="n"/>
      <c r="J642" s="40" t="n"/>
      <c r="K642" s="40" t="n"/>
      <c r="L642" s="30">
        <f>IF(COUNT(I642:K642)=0,"",MEDIAN(I642:K642))</f>
        <v/>
      </c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28" t="n"/>
      <c r="Y642" s="28" t="n"/>
      <c r="Z642" s="28" t="n"/>
      <c r="AA642" s="31" t="n"/>
      <c r="AB642" s="31" t="n"/>
    </row>
    <row r="643">
      <c r="A643" s="25" t="inlineStr">
        <is>
          <t>S13</t>
        </is>
      </c>
      <c r="B643" s="25" t="inlineStr">
        <is>
          <t>순천 신규점</t>
        </is>
      </c>
      <c r="C643" s="25" t="inlineStr">
        <is>
          <t>S13-H서</t>
        </is>
      </c>
      <c r="D643" s="25" t="inlineStr">
        <is>
          <t>측정</t>
        </is>
      </c>
      <c r="E643" s="25" t="inlineStr">
        <is>
          <t>서</t>
        </is>
      </c>
      <c r="F643" s="30" t="n">
        <v>0.5</v>
      </c>
      <c r="G643" s="29" t="n"/>
      <c r="H643" s="42" t="n"/>
      <c r="I643" s="40" t="n"/>
      <c r="J643" s="40" t="n"/>
      <c r="K643" s="40" t="n"/>
      <c r="L643" s="30">
        <f>IF(COUNT(I643:K643)=0,"",MEDIAN(I643:K643))</f>
        <v/>
      </c>
      <c r="M643" s="25">
        <f>IF(COUNTIFS($C:$C,$C643,$D:$D,"P0(전)",$L:$L,"&gt;0")&lt;&gt;1,"P0(전) 유효 1개 아님",IF(COUNTIFS($C:$C,$C643,$D:$D,"P0(후)",$L:$L,"&gt;0")&lt;&gt;1,"P0(후) 유효 1개 아님",IF(NOT(AND(ISNUMBER(N643),ISNUMBER(P643),ISNUMBER(H643))),"시각 결측",IF(P643&lt;=N643,"P0 시각 역전",IF(OR(H643&lt;N643,H643&gt;P643),"측정시각 구간 밖","OK")))))</f>
        <v/>
      </c>
      <c r="N643" s="45">
        <f>IF(COUNTIFS($C:$C,$C643,$D:$D,"P0(전)",$L:$L,"&gt;0")&lt;&gt;1,"",SUMIFS($H:$H,$C:$C,$C643,$D:$D,"P0(전)"))</f>
        <v/>
      </c>
      <c r="O643" s="30">
        <f>IF(COUNTIFS($C:$C,$C643,$D:$D,"P0(전)",$L:$L,"&gt;0")&lt;&gt;1,"",SUMIFS($L:$L,$C:$C,$C643,$D:$D,"P0(전)"))</f>
        <v/>
      </c>
      <c r="P643" s="45">
        <f>IF(COUNTIFS($C:$C,$C643,$D:$D,"P0(후)",$L:$L,"&gt;0")&lt;&gt;1,"",SUMIFS($H:$H,$C:$C,$C643,$D:$D,"P0(후)"))</f>
        <v/>
      </c>
      <c r="Q643" s="30">
        <f>IF(COUNTIFS($C:$C,$C643,$D:$D,"P0(후)",$L:$L,"&gt;0")&lt;&gt;1,"",SUMIFS($L:$L,$C:$C,$C643,$D:$D,"P0(후)"))</f>
        <v/>
      </c>
      <c r="R643" s="30">
        <f>IF(M643&lt;&gt;"OK","",O643+(Q643-O643)*(H643-N643)/(P643-N643))</f>
        <v/>
      </c>
      <c r="S643" s="30">
        <f>IF(OR(M643&lt;&gt;"OK",NOT(ISNUMBER(L643))),"",L643-R643)</f>
        <v/>
      </c>
      <c r="T643" s="46">
        <f>IF(OR(NOT(ISNUMBER(S643)),IF(ISNUMBER(G643),G643,F643)=0),"",S643/IF(ISNUMBER(G643),G643,F643))</f>
        <v/>
      </c>
      <c r="U643" s="46">
        <f>IF(ISNUMBER(T643),ABS(T643),"")</f>
        <v/>
      </c>
      <c r="V643" s="46">
        <f>IF(OR($D642&lt;&gt;"측정",$C642&lt;&gt;$C643,NOT(ISNUMBER(L643)),NOT(ISNUMBER(L642)),(IF(ISNUMBER(G643),G643,F643)-IF(ISNUMBER(G642),G642,F642))=0),"",(L643-L642)/(IF(ISNUMBER(G643),G643,F643)-IF(ISNUMBER(G642),G642,F642)))</f>
        <v/>
      </c>
      <c r="W643" s="30">
        <f>IF(NOT(AND(ISNUMBER(N643),ISNUMBER(P643))),"",(P643-N643)*1440)</f>
        <v/>
      </c>
      <c r="X643" s="28" t="n"/>
      <c r="Y643" s="28" t="n"/>
      <c r="Z643" s="28" t="n"/>
      <c r="AA643" s="31" t="n"/>
      <c r="AB643" s="31" t="n"/>
    </row>
    <row r="644">
      <c r="A644" s="25" t="inlineStr">
        <is>
          <t>S13</t>
        </is>
      </c>
      <c r="B644" s="25" t="inlineStr">
        <is>
          <t>순천 신규점</t>
        </is>
      </c>
      <c r="C644" s="25" t="inlineStr">
        <is>
          <t>S13-H서</t>
        </is>
      </c>
      <c r="D644" s="25" t="inlineStr">
        <is>
          <t>측정</t>
        </is>
      </c>
      <c r="E644" s="25" t="inlineStr">
        <is>
          <t>서</t>
        </is>
      </c>
      <c r="F644" s="30" t="n">
        <v>1</v>
      </c>
      <c r="G644" s="29" t="n"/>
      <c r="H644" s="42" t="n"/>
      <c r="I644" s="40" t="n"/>
      <c r="J644" s="40" t="n"/>
      <c r="K644" s="40" t="n"/>
      <c r="L644" s="30">
        <f>IF(COUNT(I644:K644)=0,"",MEDIAN(I644:K644))</f>
        <v/>
      </c>
      <c r="M644" s="25">
        <f>IF(COUNTIFS($C:$C,$C644,$D:$D,"P0(전)",$L:$L,"&gt;0")&lt;&gt;1,"P0(전) 유효 1개 아님",IF(COUNTIFS($C:$C,$C644,$D:$D,"P0(후)",$L:$L,"&gt;0")&lt;&gt;1,"P0(후) 유효 1개 아님",IF(NOT(AND(ISNUMBER(N644),ISNUMBER(P644),ISNUMBER(H644))),"시각 결측",IF(P644&lt;=N644,"P0 시각 역전",IF(OR(H644&lt;N644,H644&gt;P644),"측정시각 구간 밖","OK")))))</f>
        <v/>
      </c>
      <c r="N644" s="45">
        <f>IF(COUNTIFS($C:$C,$C644,$D:$D,"P0(전)",$L:$L,"&gt;0")&lt;&gt;1,"",SUMIFS($H:$H,$C:$C,$C644,$D:$D,"P0(전)"))</f>
        <v/>
      </c>
      <c r="O644" s="30">
        <f>IF(COUNTIFS($C:$C,$C644,$D:$D,"P0(전)",$L:$L,"&gt;0")&lt;&gt;1,"",SUMIFS($L:$L,$C:$C,$C644,$D:$D,"P0(전)"))</f>
        <v/>
      </c>
      <c r="P644" s="45">
        <f>IF(COUNTIFS($C:$C,$C644,$D:$D,"P0(후)",$L:$L,"&gt;0")&lt;&gt;1,"",SUMIFS($H:$H,$C:$C,$C644,$D:$D,"P0(후)"))</f>
        <v/>
      </c>
      <c r="Q644" s="30">
        <f>IF(COUNTIFS($C:$C,$C644,$D:$D,"P0(후)",$L:$L,"&gt;0")&lt;&gt;1,"",SUMIFS($L:$L,$C:$C,$C644,$D:$D,"P0(후)"))</f>
        <v/>
      </c>
      <c r="R644" s="30">
        <f>IF(M644&lt;&gt;"OK","",O644+(Q644-O644)*(H644-N644)/(P644-N644))</f>
        <v/>
      </c>
      <c r="S644" s="30">
        <f>IF(OR(M644&lt;&gt;"OK",NOT(ISNUMBER(L644))),"",L644-R644)</f>
        <v/>
      </c>
      <c r="T644" s="46">
        <f>IF(OR(NOT(ISNUMBER(S644)),IF(ISNUMBER(G644),G644,F644)=0),"",S644/IF(ISNUMBER(G644),G644,F644))</f>
        <v/>
      </c>
      <c r="U644" s="46">
        <f>IF(ISNUMBER(T644),ABS(T644),"")</f>
        <v/>
      </c>
      <c r="V644" s="46">
        <f>IF(OR($D643&lt;&gt;"측정",$C643&lt;&gt;$C644,NOT(ISNUMBER(L644)),NOT(ISNUMBER(L643)),(IF(ISNUMBER(G644),G644,F644)-IF(ISNUMBER(G643),G643,F643))=0),"",(L644-L643)/(IF(ISNUMBER(G644),G644,F644)-IF(ISNUMBER(G643),G643,F643)))</f>
        <v/>
      </c>
      <c r="W644" s="30">
        <f>IF(NOT(AND(ISNUMBER(N644),ISNUMBER(P644))),"",(P644-N644)*1440)</f>
        <v/>
      </c>
      <c r="X644" s="28" t="n"/>
      <c r="Y644" s="28" t="n"/>
      <c r="Z644" s="28" t="n"/>
      <c r="AA644" s="31" t="n"/>
      <c r="AB644" s="31" t="n"/>
    </row>
    <row r="645">
      <c r="A645" s="25" t="inlineStr">
        <is>
          <t>S13</t>
        </is>
      </c>
      <c r="B645" s="25" t="inlineStr">
        <is>
          <t>순천 신규점</t>
        </is>
      </c>
      <c r="C645" s="25" t="inlineStr">
        <is>
          <t>S13-H서</t>
        </is>
      </c>
      <c r="D645" s="25" t="inlineStr">
        <is>
          <t>측정</t>
        </is>
      </c>
      <c r="E645" s="25" t="inlineStr">
        <is>
          <t>서</t>
        </is>
      </c>
      <c r="F645" s="30" t="n">
        <v>2</v>
      </c>
      <c r="G645" s="29" t="n"/>
      <c r="H645" s="42" t="n"/>
      <c r="I645" s="40" t="n"/>
      <c r="J645" s="40" t="n"/>
      <c r="K645" s="40" t="n"/>
      <c r="L645" s="30">
        <f>IF(COUNT(I645:K645)=0,"",MEDIAN(I645:K645))</f>
        <v/>
      </c>
      <c r="M645" s="25">
        <f>IF(COUNTIFS($C:$C,$C645,$D:$D,"P0(전)",$L:$L,"&gt;0")&lt;&gt;1,"P0(전) 유효 1개 아님",IF(COUNTIFS($C:$C,$C645,$D:$D,"P0(후)",$L:$L,"&gt;0")&lt;&gt;1,"P0(후) 유효 1개 아님",IF(NOT(AND(ISNUMBER(N645),ISNUMBER(P645),ISNUMBER(H645))),"시각 결측",IF(P645&lt;=N645,"P0 시각 역전",IF(OR(H645&lt;N645,H645&gt;P645),"측정시각 구간 밖","OK")))))</f>
        <v/>
      </c>
      <c r="N645" s="45">
        <f>IF(COUNTIFS($C:$C,$C645,$D:$D,"P0(전)",$L:$L,"&gt;0")&lt;&gt;1,"",SUMIFS($H:$H,$C:$C,$C645,$D:$D,"P0(전)"))</f>
        <v/>
      </c>
      <c r="O645" s="30">
        <f>IF(COUNTIFS($C:$C,$C645,$D:$D,"P0(전)",$L:$L,"&gt;0")&lt;&gt;1,"",SUMIFS($L:$L,$C:$C,$C645,$D:$D,"P0(전)"))</f>
        <v/>
      </c>
      <c r="P645" s="45">
        <f>IF(COUNTIFS($C:$C,$C645,$D:$D,"P0(후)",$L:$L,"&gt;0")&lt;&gt;1,"",SUMIFS($H:$H,$C:$C,$C645,$D:$D,"P0(후)"))</f>
        <v/>
      </c>
      <c r="Q645" s="30">
        <f>IF(COUNTIFS($C:$C,$C645,$D:$D,"P0(후)",$L:$L,"&gt;0")&lt;&gt;1,"",SUMIFS($L:$L,$C:$C,$C645,$D:$D,"P0(후)"))</f>
        <v/>
      </c>
      <c r="R645" s="30">
        <f>IF(M645&lt;&gt;"OK","",O645+(Q645-O645)*(H645-N645)/(P645-N645))</f>
        <v/>
      </c>
      <c r="S645" s="30">
        <f>IF(OR(M645&lt;&gt;"OK",NOT(ISNUMBER(L645))),"",L645-R645)</f>
        <v/>
      </c>
      <c r="T645" s="46">
        <f>IF(OR(NOT(ISNUMBER(S645)),IF(ISNUMBER(G645),G645,F645)=0),"",S645/IF(ISNUMBER(G645),G645,F645))</f>
        <v/>
      </c>
      <c r="U645" s="46">
        <f>IF(ISNUMBER(T645),ABS(T645),"")</f>
        <v/>
      </c>
      <c r="V645" s="46">
        <f>IF(OR($D644&lt;&gt;"측정",$C644&lt;&gt;$C645,NOT(ISNUMBER(L645)),NOT(ISNUMBER(L644)),(IF(ISNUMBER(G645),G645,F645)-IF(ISNUMBER(G644),G644,F644))=0),"",(L645-L644)/(IF(ISNUMBER(G645),G645,F645)-IF(ISNUMBER(G644),G644,F644)))</f>
        <v/>
      </c>
      <c r="W645" s="30">
        <f>IF(NOT(AND(ISNUMBER(N645),ISNUMBER(P645))),"",(P645-N645)*1440)</f>
        <v/>
      </c>
      <c r="X645" s="28" t="n"/>
      <c r="Y645" s="28" t="n"/>
      <c r="Z645" s="28" t="n"/>
      <c r="AA645" s="31" t="n"/>
      <c r="AB645" s="31" t="n"/>
    </row>
    <row r="646">
      <c r="A646" s="25" t="inlineStr">
        <is>
          <t>S13</t>
        </is>
      </c>
      <c r="B646" s="25" t="inlineStr">
        <is>
          <t>순천 신규점</t>
        </is>
      </c>
      <c r="C646" s="25" t="inlineStr">
        <is>
          <t>S13-H서</t>
        </is>
      </c>
      <c r="D646" s="25" t="inlineStr">
        <is>
          <t>측정</t>
        </is>
      </c>
      <c r="E646" s="25" t="inlineStr">
        <is>
          <t>서</t>
        </is>
      </c>
      <c r="F646" s="30" t="n">
        <v>3</v>
      </c>
      <c r="G646" s="29" t="n"/>
      <c r="H646" s="42" t="n"/>
      <c r="I646" s="40" t="n"/>
      <c r="J646" s="40" t="n"/>
      <c r="K646" s="40" t="n"/>
      <c r="L646" s="30">
        <f>IF(COUNT(I646:K646)=0,"",MEDIAN(I646:K646))</f>
        <v/>
      </c>
      <c r="M646" s="25">
        <f>IF(COUNTIFS($C:$C,$C646,$D:$D,"P0(전)",$L:$L,"&gt;0")&lt;&gt;1,"P0(전) 유효 1개 아님",IF(COUNTIFS($C:$C,$C646,$D:$D,"P0(후)",$L:$L,"&gt;0")&lt;&gt;1,"P0(후) 유효 1개 아님",IF(NOT(AND(ISNUMBER(N646),ISNUMBER(P646),ISNUMBER(H646))),"시각 결측",IF(P646&lt;=N646,"P0 시각 역전",IF(OR(H646&lt;N646,H646&gt;P646),"측정시각 구간 밖","OK")))))</f>
        <v/>
      </c>
      <c r="N646" s="45">
        <f>IF(COUNTIFS($C:$C,$C646,$D:$D,"P0(전)",$L:$L,"&gt;0")&lt;&gt;1,"",SUMIFS($H:$H,$C:$C,$C646,$D:$D,"P0(전)"))</f>
        <v/>
      </c>
      <c r="O646" s="30">
        <f>IF(COUNTIFS($C:$C,$C646,$D:$D,"P0(전)",$L:$L,"&gt;0")&lt;&gt;1,"",SUMIFS($L:$L,$C:$C,$C646,$D:$D,"P0(전)"))</f>
        <v/>
      </c>
      <c r="P646" s="45">
        <f>IF(COUNTIFS($C:$C,$C646,$D:$D,"P0(후)",$L:$L,"&gt;0")&lt;&gt;1,"",SUMIFS($H:$H,$C:$C,$C646,$D:$D,"P0(후)"))</f>
        <v/>
      </c>
      <c r="Q646" s="30">
        <f>IF(COUNTIFS($C:$C,$C646,$D:$D,"P0(후)",$L:$L,"&gt;0")&lt;&gt;1,"",SUMIFS($L:$L,$C:$C,$C646,$D:$D,"P0(후)"))</f>
        <v/>
      </c>
      <c r="R646" s="30">
        <f>IF(M646&lt;&gt;"OK","",O646+(Q646-O646)*(H646-N646)/(P646-N646))</f>
        <v/>
      </c>
      <c r="S646" s="30">
        <f>IF(OR(M646&lt;&gt;"OK",NOT(ISNUMBER(L646))),"",L646-R646)</f>
        <v/>
      </c>
      <c r="T646" s="46">
        <f>IF(OR(NOT(ISNUMBER(S646)),IF(ISNUMBER(G646),G646,F646)=0),"",S646/IF(ISNUMBER(G646),G646,F646))</f>
        <v/>
      </c>
      <c r="U646" s="46">
        <f>IF(ISNUMBER(T646),ABS(T646),"")</f>
        <v/>
      </c>
      <c r="V646" s="46">
        <f>IF(OR($D645&lt;&gt;"측정",$C645&lt;&gt;$C646,NOT(ISNUMBER(L646)),NOT(ISNUMBER(L645)),(IF(ISNUMBER(G646),G646,F646)-IF(ISNUMBER(G645),G645,F645))=0),"",(L646-L645)/(IF(ISNUMBER(G646),G646,F646)-IF(ISNUMBER(G645),G645,F645)))</f>
        <v/>
      </c>
      <c r="W646" s="30">
        <f>IF(NOT(AND(ISNUMBER(N646),ISNUMBER(P646))),"",(P646-N646)*1440)</f>
        <v/>
      </c>
      <c r="X646" s="28" t="n"/>
      <c r="Y646" s="28" t="n"/>
      <c r="Z646" s="28" t="n"/>
      <c r="AA646" s="31" t="n"/>
      <c r="AB646" s="31" t="n"/>
    </row>
    <row r="647">
      <c r="A647" s="25" t="inlineStr">
        <is>
          <t>S13</t>
        </is>
      </c>
      <c r="B647" s="25" t="inlineStr">
        <is>
          <t>순천 신규점</t>
        </is>
      </c>
      <c r="C647" s="25" t="inlineStr">
        <is>
          <t>S13-H서</t>
        </is>
      </c>
      <c r="D647" s="25" t="inlineStr">
        <is>
          <t>측정</t>
        </is>
      </c>
      <c r="E647" s="25" t="inlineStr">
        <is>
          <t>서</t>
        </is>
      </c>
      <c r="F647" s="30" t="n">
        <v>4</v>
      </c>
      <c r="G647" s="29" t="n"/>
      <c r="H647" s="42" t="n"/>
      <c r="I647" s="40" t="n"/>
      <c r="J647" s="40" t="n"/>
      <c r="K647" s="40" t="n"/>
      <c r="L647" s="30">
        <f>IF(COUNT(I647:K647)=0,"",MEDIAN(I647:K647))</f>
        <v/>
      </c>
      <c r="M647" s="25">
        <f>IF(COUNTIFS($C:$C,$C647,$D:$D,"P0(전)",$L:$L,"&gt;0")&lt;&gt;1,"P0(전) 유효 1개 아님",IF(COUNTIFS($C:$C,$C647,$D:$D,"P0(후)",$L:$L,"&gt;0")&lt;&gt;1,"P0(후) 유효 1개 아님",IF(NOT(AND(ISNUMBER(N647),ISNUMBER(P647),ISNUMBER(H647))),"시각 결측",IF(P647&lt;=N647,"P0 시각 역전",IF(OR(H647&lt;N647,H647&gt;P647),"측정시각 구간 밖","OK")))))</f>
        <v/>
      </c>
      <c r="N647" s="45">
        <f>IF(COUNTIFS($C:$C,$C647,$D:$D,"P0(전)",$L:$L,"&gt;0")&lt;&gt;1,"",SUMIFS($H:$H,$C:$C,$C647,$D:$D,"P0(전)"))</f>
        <v/>
      </c>
      <c r="O647" s="30">
        <f>IF(COUNTIFS($C:$C,$C647,$D:$D,"P0(전)",$L:$L,"&gt;0")&lt;&gt;1,"",SUMIFS($L:$L,$C:$C,$C647,$D:$D,"P0(전)"))</f>
        <v/>
      </c>
      <c r="P647" s="45">
        <f>IF(COUNTIFS($C:$C,$C647,$D:$D,"P0(후)",$L:$L,"&gt;0")&lt;&gt;1,"",SUMIFS($H:$H,$C:$C,$C647,$D:$D,"P0(후)"))</f>
        <v/>
      </c>
      <c r="Q647" s="30">
        <f>IF(COUNTIFS($C:$C,$C647,$D:$D,"P0(후)",$L:$L,"&gt;0")&lt;&gt;1,"",SUMIFS($L:$L,$C:$C,$C647,$D:$D,"P0(후)"))</f>
        <v/>
      </c>
      <c r="R647" s="30">
        <f>IF(M647&lt;&gt;"OK","",O647+(Q647-O647)*(H647-N647)/(P647-N647))</f>
        <v/>
      </c>
      <c r="S647" s="30">
        <f>IF(OR(M647&lt;&gt;"OK",NOT(ISNUMBER(L647))),"",L647-R647)</f>
        <v/>
      </c>
      <c r="T647" s="46">
        <f>IF(OR(NOT(ISNUMBER(S647)),IF(ISNUMBER(G647),G647,F647)=0),"",S647/IF(ISNUMBER(G647),G647,F647))</f>
        <v/>
      </c>
      <c r="U647" s="46">
        <f>IF(ISNUMBER(T647),ABS(T647),"")</f>
        <v/>
      </c>
      <c r="V647" s="46">
        <f>IF(OR($D646&lt;&gt;"측정",$C646&lt;&gt;$C647,NOT(ISNUMBER(L647)),NOT(ISNUMBER(L646)),(IF(ISNUMBER(G647),G647,F647)-IF(ISNUMBER(G646),G646,F646))=0),"",(L647-L646)/(IF(ISNUMBER(G647),G647,F647)-IF(ISNUMBER(G646),G646,F646)))</f>
        <v/>
      </c>
      <c r="W647" s="30">
        <f>IF(NOT(AND(ISNUMBER(N647),ISNUMBER(P647))),"",(P647-N647)*1440)</f>
        <v/>
      </c>
      <c r="X647" s="28" t="n"/>
      <c r="Y647" s="28" t="n"/>
      <c r="Z647" s="28" t="n"/>
      <c r="AA647" s="31" t="n"/>
      <c r="AB647" s="31" t="n"/>
    </row>
    <row r="648">
      <c r="A648" s="25" t="inlineStr">
        <is>
          <t>S13</t>
        </is>
      </c>
      <c r="B648" s="25" t="inlineStr">
        <is>
          <t>순천 신규점</t>
        </is>
      </c>
      <c r="C648" s="25" t="inlineStr">
        <is>
          <t>S13-H서</t>
        </is>
      </c>
      <c r="D648" s="25" t="inlineStr">
        <is>
          <t>측정</t>
        </is>
      </c>
      <c r="E648" s="25" t="inlineStr">
        <is>
          <t>서</t>
        </is>
      </c>
      <c r="F648" s="30" t="n">
        <v>5</v>
      </c>
      <c r="G648" s="29" t="n"/>
      <c r="H648" s="42" t="n"/>
      <c r="I648" s="40" t="n"/>
      <c r="J648" s="40" t="n"/>
      <c r="K648" s="40" t="n"/>
      <c r="L648" s="30">
        <f>IF(COUNT(I648:K648)=0,"",MEDIAN(I648:K648))</f>
        <v/>
      </c>
      <c r="M648" s="25">
        <f>IF(COUNTIFS($C:$C,$C648,$D:$D,"P0(전)",$L:$L,"&gt;0")&lt;&gt;1,"P0(전) 유효 1개 아님",IF(COUNTIFS($C:$C,$C648,$D:$D,"P0(후)",$L:$L,"&gt;0")&lt;&gt;1,"P0(후) 유효 1개 아님",IF(NOT(AND(ISNUMBER(N648),ISNUMBER(P648),ISNUMBER(H648))),"시각 결측",IF(P648&lt;=N648,"P0 시각 역전",IF(OR(H648&lt;N648,H648&gt;P648),"측정시각 구간 밖","OK")))))</f>
        <v/>
      </c>
      <c r="N648" s="45">
        <f>IF(COUNTIFS($C:$C,$C648,$D:$D,"P0(전)",$L:$L,"&gt;0")&lt;&gt;1,"",SUMIFS($H:$H,$C:$C,$C648,$D:$D,"P0(전)"))</f>
        <v/>
      </c>
      <c r="O648" s="30">
        <f>IF(COUNTIFS($C:$C,$C648,$D:$D,"P0(전)",$L:$L,"&gt;0")&lt;&gt;1,"",SUMIFS($L:$L,$C:$C,$C648,$D:$D,"P0(전)"))</f>
        <v/>
      </c>
      <c r="P648" s="45">
        <f>IF(COUNTIFS($C:$C,$C648,$D:$D,"P0(후)",$L:$L,"&gt;0")&lt;&gt;1,"",SUMIFS($H:$H,$C:$C,$C648,$D:$D,"P0(후)"))</f>
        <v/>
      </c>
      <c r="Q648" s="30">
        <f>IF(COUNTIFS($C:$C,$C648,$D:$D,"P0(후)",$L:$L,"&gt;0")&lt;&gt;1,"",SUMIFS($L:$L,$C:$C,$C648,$D:$D,"P0(후)"))</f>
        <v/>
      </c>
      <c r="R648" s="30">
        <f>IF(M648&lt;&gt;"OK","",O648+(Q648-O648)*(H648-N648)/(P648-N648))</f>
        <v/>
      </c>
      <c r="S648" s="30">
        <f>IF(OR(M648&lt;&gt;"OK",NOT(ISNUMBER(L648))),"",L648-R648)</f>
        <v/>
      </c>
      <c r="T648" s="46">
        <f>IF(OR(NOT(ISNUMBER(S648)),IF(ISNUMBER(G648),G648,F648)=0),"",S648/IF(ISNUMBER(G648),G648,F648))</f>
        <v/>
      </c>
      <c r="U648" s="46">
        <f>IF(ISNUMBER(T648),ABS(T648),"")</f>
        <v/>
      </c>
      <c r="V648" s="46">
        <f>IF(OR($D647&lt;&gt;"측정",$C647&lt;&gt;$C648,NOT(ISNUMBER(L648)),NOT(ISNUMBER(L647)),(IF(ISNUMBER(G648),G648,F648)-IF(ISNUMBER(G647),G647,F647))=0),"",(L648-L647)/(IF(ISNUMBER(G648),G648,F648)-IF(ISNUMBER(G647),G647,F647)))</f>
        <v/>
      </c>
      <c r="W648" s="30">
        <f>IF(NOT(AND(ISNUMBER(N648),ISNUMBER(P648))),"",(P648-N648)*1440)</f>
        <v/>
      </c>
      <c r="X648" s="28" t="n"/>
      <c r="Y648" s="28" t="n"/>
      <c r="Z648" s="28" t="n"/>
      <c r="AA648" s="31" t="n"/>
      <c r="AB648" s="31" t="n"/>
    </row>
    <row r="649">
      <c r="A649" s="25" t="inlineStr">
        <is>
          <t>S13</t>
        </is>
      </c>
      <c r="B649" s="25" t="inlineStr">
        <is>
          <t>순천 신규점</t>
        </is>
      </c>
      <c r="C649" s="25" t="inlineStr">
        <is>
          <t>S13-H서</t>
        </is>
      </c>
      <c r="D649" s="25" t="inlineStr">
        <is>
          <t>측정</t>
        </is>
      </c>
      <c r="E649" s="25" t="inlineStr">
        <is>
          <t>서</t>
        </is>
      </c>
      <c r="F649" s="30" t="n">
        <v>6</v>
      </c>
      <c r="G649" s="29" t="n"/>
      <c r="H649" s="42" t="n"/>
      <c r="I649" s="40" t="n"/>
      <c r="J649" s="40" t="n"/>
      <c r="K649" s="40" t="n"/>
      <c r="L649" s="30">
        <f>IF(COUNT(I649:K649)=0,"",MEDIAN(I649:K649))</f>
        <v/>
      </c>
      <c r="M649" s="25">
        <f>IF(COUNTIFS($C:$C,$C649,$D:$D,"P0(전)",$L:$L,"&gt;0")&lt;&gt;1,"P0(전) 유효 1개 아님",IF(COUNTIFS($C:$C,$C649,$D:$D,"P0(후)",$L:$L,"&gt;0")&lt;&gt;1,"P0(후) 유효 1개 아님",IF(NOT(AND(ISNUMBER(N649),ISNUMBER(P649),ISNUMBER(H649))),"시각 결측",IF(P649&lt;=N649,"P0 시각 역전",IF(OR(H649&lt;N649,H649&gt;P649),"측정시각 구간 밖","OK")))))</f>
        <v/>
      </c>
      <c r="N649" s="45">
        <f>IF(COUNTIFS($C:$C,$C649,$D:$D,"P0(전)",$L:$L,"&gt;0")&lt;&gt;1,"",SUMIFS($H:$H,$C:$C,$C649,$D:$D,"P0(전)"))</f>
        <v/>
      </c>
      <c r="O649" s="30">
        <f>IF(COUNTIFS($C:$C,$C649,$D:$D,"P0(전)",$L:$L,"&gt;0")&lt;&gt;1,"",SUMIFS($L:$L,$C:$C,$C649,$D:$D,"P0(전)"))</f>
        <v/>
      </c>
      <c r="P649" s="45">
        <f>IF(COUNTIFS($C:$C,$C649,$D:$D,"P0(후)",$L:$L,"&gt;0")&lt;&gt;1,"",SUMIFS($H:$H,$C:$C,$C649,$D:$D,"P0(후)"))</f>
        <v/>
      </c>
      <c r="Q649" s="30">
        <f>IF(COUNTIFS($C:$C,$C649,$D:$D,"P0(후)",$L:$L,"&gt;0")&lt;&gt;1,"",SUMIFS($L:$L,$C:$C,$C649,$D:$D,"P0(후)"))</f>
        <v/>
      </c>
      <c r="R649" s="30">
        <f>IF(M649&lt;&gt;"OK","",O649+(Q649-O649)*(H649-N649)/(P649-N649))</f>
        <v/>
      </c>
      <c r="S649" s="30">
        <f>IF(OR(M649&lt;&gt;"OK",NOT(ISNUMBER(L649))),"",L649-R649)</f>
        <v/>
      </c>
      <c r="T649" s="46">
        <f>IF(OR(NOT(ISNUMBER(S649)),IF(ISNUMBER(G649),G649,F649)=0),"",S649/IF(ISNUMBER(G649),G649,F649))</f>
        <v/>
      </c>
      <c r="U649" s="46">
        <f>IF(ISNUMBER(T649),ABS(T649),"")</f>
        <v/>
      </c>
      <c r="V649" s="46">
        <f>IF(OR($D648&lt;&gt;"측정",$C648&lt;&gt;$C649,NOT(ISNUMBER(L649)),NOT(ISNUMBER(L648)),(IF(ISNUMBER(G649),G649,F649)-IF(ISNUMBER(G648),G648,F648))=0),"",(L649-L648)/(IF(ISNUMBER(G649),G649,F649)-IF(ISNUMBER(G648),G648,F648)))</f>
        <v/>
      </c>
      <c r="W649" s="30">
        <f>IF(NOT(AND(ISNUMBER(N649),ISNUMBER(P649))),"",(P649-N649)*1440)</f>
        <v/>
      </c>
      <c r="X649" s="28" t="n"/>
      <c r="Y649" s="28" t="n"/>
      <c r="Z649" s="28" t="n"/>
      <c r="AA649" s="31" t="n"/>
      <c r="AB649" s="31" t="n"/>
    </row>
    <row r="650">
      <c r="A650" s="25" t="inlineStr">
        <is>
          <t>S13</t>
        </is>
      </c>
      <c r="B650" s="25" t="inlineStr">
        <is>
          <t>순천 신규점</t>
        </is>
      </c>
      <c r="C650" s="25" t="inlineStr">
        <is>
          <t>S13-H서</t>
        </is>
      </c>
      <c r="D650" s="25" t="inlineStr">
        <is>
          <t>측정</t>
        </is>
      </c>
      <c r="E650" s="25" t="inlineStr">
        <is>
          <t>서</t>
        </is>
      </c>
      <c r="F650" s="30" t="n">
        <v>7</v>
      </c>
      <c r="G650" s="29" t="n"/>
      <c r="H650" s="42" t="n"/>
      <c r="I650" s="40" t="n"/>
      <c r="J650" s="40" t="n"/>
      <c r="K650" s="40" t="n"/>
      <c r="L650" s="30">
        <f>IF(COUNT(I650:K650)=0,"",MEDIAN(I650:K650))</f>
        <v/>
      </c>
      <c r="M650" s="25">
        <f>IF(COUNTIFS($C:$C,$C650,$D:$D,"P0(전)",$L:$L,"&gt;0")&lt;&gt;1,"P0(전) 유효 1개 아님",IF(COUNTIFS($C:$C,$C650,$D:$D,"P0(후)",$L:$L,"&gt;0")&lt;&gt;1,"P0(후) 유효 1개 아님",IF(NOT(AND(ISNUMBER(N650),ISNUMBER(P650),ISNUMBER(H650))),"시각 결측",IF(P650&lt;=N650,"P0 시각 역전",IF(OR(H650&lt;N650,H650&gt;P650),"측정시각 구간 밖","OK")))))</f>
        <v/>
      </c>
      <c r="N650" s="45">
        <f>IF(COUNTIFS($C:$C,$C650,$D:$D,"P0(전)",$L:$L,"&gt;0")&lt;&gt;1,"",SUMIFS($H:$H,$C:$C,$C650,$D:$D,"P0(전)"))</f>
        <v/>
      </c>
      <c r="O650" s="30">
        <f>IF(COUNTIFS($C:$C,$C650,$D:$D,"P0(전)",$L:$L,"&gt;0")&lt;&gt;1,"",SUMIFS($L:$L,$C:$C,$C650,$D:$D,"P0(전)"))</f>
        <v/>
      </c>
      <c r="P650" s="45">
        <f>IF(COUNTIFS($C:$C,$C650,$D:$D,"P0(후)",$L:$L,"&gt;0")&lt;&gt;1,"",SUMIFS($H:$H,$C:$C,$C650,$D:$D,"P0(후)"))</f>
        <v/>
      </c>
      <c r="Q650" s="30">
        <f>IF(COUNTIFS($C:$C,$C650,$D:$D,"P0(후)",$L:$L,"&gt;0")&lt;&gt;1,"",SUMIFS($L:$L,$C:$C,$C650,$D:$D,"P0(후)"))</f>
        <v/>
      </c>
      <c r="R650" s="30">
        <f>IF(M650&lt;&gt;"OK","",O650+(Q650-O650)*(H650-N650)/(P650-N650))</f>
        <v/>
      </c>
      <c r="S650" s="30">
        <f>IF(OR(M650&lt;&gt;"OK",NOT(ISNUMBER(L650))),"",L650-R650)</f>
        <v/>
      </c>
      <c r="T650" s="46">
        <f>IF(OR(NOT(ISNUMBER(S650)),IF(ISNUMBER(G650),G650,F650)=0),"",S650/IF(ISNUMBER(G650),G650,F650))</f>
        <v/>
      </c>
      <c r="U650" s="46">
        <f>IF(ISNUMBER(T650),ABS(T650),"")</f>
        <v/>
      </c>
      <c r="V650" s="46">
        <f>IF(OR($D649&lt;&gt;"측정",$C649&lt;&gt;$C650,NOT(ISNUMBER(L650)),NOT(ISNUMBER(L649)),(IF(ISNUMBER(G650),G650,F650)-IF(ISNUMBER(G649),G649,F649))=0),"",(L650-L649)/(IF(ISNUMBER(G650),G650,F650)-IF(ISNUMBER(G649),G649,F649)))</f>
        <v/>
      </c>
      <c r="W650" s="30">
        <f>IF(NOT(AND(ISNUMBER(N650),ISNUMBER(P650))),"",(P650-N650)*1440)</f>
        <v/>
      </c>
      <c r="X650" s="28" t="n"/>
      <c r="Y650" s="28" t="n"/>
      <c r="Z650" s="28" t="n"/>
      <c r="AA650" s="31" t="n"/>
      <c r="AB650" s="31" t="n"/>
    </row>
    <row r="651">
      <c r="A651" s="25" t="inlineStr">
        <is>
          <t>S13</t>
        </is>
      </c>
      <c r="B651" s="25" t="inlineStr">
        <is>
          <t>순천 신규점</t>
        </is>
      </c>
      <c r="C651" s="25" t="inlineStr">
        <is>
          <t>S13-H서</t>
        </is>
      </c>
      <c r="D651" s="25" t="inlineStr">
        <is>
          <t>측정</t>
        </is>
      </c>
      <c r="E651" s="25" t="inlineStr">
        <is>
          <t>서</t>
        </is>
      </c>
      <c r="F651" s="30" t="n">
        <v>8</v>
      </c>
      <c r="G651" s="29" t="n"/>
      <c r="H651" s="42" t="n"/>
      <c r="I651" s="40" t="n"/>
      <c r="J651" s="40" t="n"/>
      <c r="K651" s="40" t="n"/>
      <c r="L651" s="30">
        <f>IF(COUNT(I651:K651)=0,"",MEDIAN(I651:K651))</f>
        <v/>
      </c>
      <c r="M651" s="25">
        <f>IF(COUNTIFS($C:$C,$C651,$D:$D,"P0(전)",$L:$L,"&gt;0")&lt;&gt;1,"P0(전) 유효 1개 아님",IF(COUNTIFS($C:$C,$C651,$D:$D,"P0(후)",$L:$L,"&gt;0")&lt;&gt;1,"P0(후) 유효 1개 아님",IF(NOT(AND(ISNUMBER(N651),ISNUMBER(P651),ISNUMBER(H651))),"시각 결측",IF(P651&lt;=N651,"P0 시각 역전",IF(OR(H651&lt;N651,H651&gt;P651),"측정시각 구간 밖","OK")))))</f>
        <v/>
      </c>
      <c r="N651" s="45">
        <f>IF(COUNTIFS($C:$C,$C651,$D:$D,"P0(전)",$L:$L,"&gt;0")&lt;&gt;1,"",SUMIFS($H:$H,$C:$C,$C651,$D:$D,"P0(전)"))</f>
        <v/>
      </c>
      <c r="O651" s="30">
        <f>IF(COUNTIFS($C:$C,$C651,$D:$D,"P0(전)",$L:$L,"&gt;0")&lt;&gt;1,"",SUMIFS($L:$L,$C:$C,$C651,$D:$D,"P0(전)"))</f>
        <v/>
      </c>
      <c r="P651" s="45">
        <f>IF(COUNTIFS($C:$C,$C651,$D:$D,"P0(후)",$L:$L,"&gt;0")&lt;&gt;1,"",SUMIFS($H:$H,$C:$C,$C651,$D:$D,"P0(후)"))</f>
        <v/>
      </c>
      <c r="Q651" s="30">
        <f>IF(COUNTIFS($C:$C,$C651,$D:$D,"P0(후)",$L:$L,"&gt;0")&lt;&gt;1,"",SUMIFS($L:$L,$C:$C,$C651,$D:$D,"P0(후)"))</f>
        <v/>
      </c>
      <c r="R651" s="30">
        <f>IF(M651&lt;&gt;"OK","",O651+(Q651-O651)*(H651-N651)/(P651-N651))</f>
        <v/>
      </c>
      <c r="S651" s="30">
        <f>IF(OR(M651&lt;&gt;"OK",NOT(ISNUMBER(L651))),"",L651-R651)</f>
        <v/>
      </c>
      <c r="T651" s="46">
        <f>IF(OR(NOT(ISNUMBER(S651)),IF(ISNUMBER(G651),G651,F651)=0),"",S651/IF(ISNUMBER(G651),G651,F651))</f>
        <v/>
      </c>
      <c r="U651" s="46">
        <f>IF(ISNUMBER(T651),ABS(T651),"")</f>
        <v/>
      </c>
      <c r="V651" s="46">
        <f>IF(OR($D650&lt;&gt;"측정",$C650&lt;&gt;$C651,NOT(ISNUMBER(L651)),NOT(ISNUMBER(L650)),(IF(ISNUMBER(G651),G651,F651)-IF(ISNUMBER(G650),G650,F650))=0),"",(L651-L650)/(IF(ISNUMBER(G651),G651,F651)-IF(ISNUMBER(G650),G650,F650)))</f>
        <v/>
      </c>
      <c r="W651" s="30">
        <f>IF(NOT(AND(ISNUMBER(N651),ISNUMBER(P651))),"",(P651-N651)*1440)</f>
        <v/>
      </c>
      <c r="X651" s="28" t="n"/>
      <c r="Y651" s="28" t="n"/>
      <c r="Z651" s="28" t="n"/>
      <c r="AA651" s="31" t="n"/>
      <c r="AB651" s="31" t="n"/>
    </row>
    <row r="652">
      <c r="A652" s="25" t="inlineStr">
        <is>
          <t>S13</t>
        </is>
      </c>
      <c r="B652" s="25" t="inlineStr">
        <is>
          <t>순천 신규점</t>
        </is>
      </c>
      <c r="C652" s="25" t="inlineStr">
        <is>
          <t>S13-H서</t>
        </is>
      </c>
      <c r="D652" s="25" t="inlineStr">
        <is>
          <t>측정</t>
        </is>
      </c>
      <c r="E652" s="25" t="inlineStr">
        <is>
          <t>서</t>
        </is>
      </c>
      <c r="F652" s="30" t="n">
        <v>9</v>
      </c>
      <c r="G652" s="29" t="n"/>
      <c r="H652" s="42" t="n"/>
      <c r="I652" s="40" t="n"/>
      <c r="J652" s="40" t="n"/>
      <c r="K652" s="40" t="n"/>
      <c r="L652" s="30">
        <f>IF(COUNT(I652:K652)=0,"",MEDIAN(I652:K652))</f>
        <v/>
      </c>
      <c r="M652" s="25">
        <f>IF(COUNTIFS($C:$C,$C652,$D:$D,"P0(전)",$L:$L,"&gt;0")&lt;&gt;1,"P0(전) 유효 1개 아님",IF(COUNTIFS($C:$C,$C652,$D:$D,"P0(후)",$L:$L,"&gt;0")&lt;&gt;1,"P0(후) 유효 1개 아님",IF(NOT(AND(ISNUMBER(N652),ISNUMBER(P652),ISNUMBER(H652))),"시각 결측",IF(P652&lt;=N652,"P0 시각 역전",IF(OR(H652&lt;N652,H652&gt;P652),"측정시각 구간 밖","OK")))))</f>
        <v/>
      </c>
      <c r="N652" s="45">
        <f>IF(COUNTIFS($C:$C,$C652,$D:$D,"P0(전)",$L:$L,"&gt;0")&lt;&gt;1,"",SUMIFS($H:$H,$C:$C,$C652,$D:$D,"P0(전)"))</f>
        <v/>
      </c>
      <c r="O652" s="30">
        <f>IF(COUNTIFS($C:$C,$C652,$D:$D,"P0(전)",$L:$L,"&gt;0")&lt;&gt;1,"",SUMIFS($L:$L,$C:$C,$C652,$D:$D,"P0(전)"))</f>
        <v/>
      </c>
      <c r="P652" s="45">
        <f>IF(COUNTIFS($C:$C,$C652,$D:$D,"P0(후)",$L:$L,"&gt;0")&lt;&gt;1,"",SUMIFS($H:$H,$C:$C,$C652,$D:$D,"P0(후)"))</f>
        <v/>
      </c>
      <c r="Q652" s="30">
        <f>IF(COUNTIFS($C:$C,$C652,$D:$D,"P0(후)",$L:$L,"&gt;0")&lt;&gt;1,"",SUMIFS($L:$L,$C:$C,$C652,$D:$D,"P0(후)"))</f>
        <v/>
      </c>
      <c r="R652" s="30">
        <f>IF(M652&lt;&gt;"OK","",O652+(Q652-O652)*(H652-N652)/(P652-N652))</f>
        <v/>
      </c>
      <c r="S652" s="30">
        <f>IF(OR(M652&lt;&gt;"OK",NOT(ISNUMBER(L652))),"",L652-R652)</f>
        <v/>
      </c>
      <c r="T652" s="46">
        <f>IF(OR(NOT(ISNUMBER(S652)),IF(ISNUMBER(G652),G652,F652)=0),"",S652/IF(ISNUMBER(G652),G652,F652))</f>
        <v/>
      </c>
      <c r="U652" s="46">
        <f>IF(ISNUMBER(T652),ABS(T652),"")</f>
        <v/>
      </c>
      <c r="V652" s="46">
        <f>IF(OR($D651&lt;&gt;"측정",$C651&lt;&gt;$C652,NOT(ISNUMBER(L652)),NOT(ISNUMBER(L651)),(IF(ISNUMBER(G652),G652,F652)-IF(ISNUMBER(G651),G651,F651))=0),"",(L652-L651)/(IF(ISNUMBER(G652),G652,F652)-IF(ISNUMBER(G651),G651,F651)))</f>
        <v/>
      </c>
      <c r="W652" s="30">
        <f>IF(NOT(AND(ISNUMBER(N652),ISNUMBER(P652))),"",(P652-N652)*1440)</f>
        <v/>
      </c>
      <c r="X652" s="28" t="n"/>
      <c r="Y652" s="28" t="n"/>
      <c r="Z652" s="28" t="n"/>
      <c r="AA652" s="31" t="n"/>
      <c r="AB652" s="31" t="n"/>
    </row>
    <row r="653">
      <c r="A653" s="25" t="inlineStr">
        <is>
          <t>S13</t>
        </is>
      </c>
      <c r="B653" s="25" t="inlineStr">
        <is>
          <t>순천 신규점</t>
        </is>
      </c>
      <c r="C653" s="25" t="inlineStr">
        <is>
          <t>S13-H서</t>
        </is>
      </c>
      <c r="D653" s="25" t="inlineStr">
        <is>
          <t>측정</t>
        </is>
      </c>
      <c r="E653" s="25" t="inlineStr">
        <is>
          <t>서</t>
        </is>
      </c>
      <c r="F653" s="30" t="n">
        <v>10</v>
      </c>
      <c r="G653" s="29" t="n"/>
      <c r="H653" s="42" t="n"/>
      <c r="I653" s="40" t="n"/>
      <c r="J653" s="40" t="n"/>
      <c r="K653" s="40" t="n"/>
      <c r="L653" s="30">
        <f>IF(COUNT(I653:K653)=0,"",MEDIAN(I653:K653))</f>
        <v/>
      </c>
      <c r="M653" s="25">
        <f>IF(COUNTIFS($C:$C,$C653,$D:$D,"P0(전)",$L:$L,"&gt;0")&lt;&gt;1,"P0(전) 유효 1개 아님",IF(COUNTIFS($C:$C,$C653,$D:$D,"P0(후)",$L:$L,"&gt;0")&lt;&gt;1,"P0(후) 유효 1개 아님",IF(NOT(AND(ISNUMBER(N653),ISNUMBER(P653),ISNUMBER(H653))),"시각 결측",IF(P653&lt;=N653,"P0 시각 역전",IF(OR(H653&lt;N653,H653&gt;P653),"측정시각 구간 밖","OK")))))</f>
        <v/>
      </c>
      <c r="N653" s="45">
        <f>IF(COUNTIFS($C:$C,$C653,$D:$D,"P0(전)",$L:$L,"&gt;0")&lt;&gt;1,"",SUMIFS($H:$H,$C:$C,$C653,$D:$D,"P0(전)"))</f>
        <v/>
      </c>
      <c r="O653" s="30">
        <f>IF(COUNTIFS($C:$C,$C653,$D:$D,"P0(전)",$L:$L,"&gt;0")&lt;&gt;1,"",SUMIFS($L:$L,$C:$C,$C653,$D:$D,"P0(전)"))</f>
        <v/>
      </c>
      <c r="P653" s="45">
        <f>IF(COUNTIFS($C:$C,$C653,$D:$D,"P0(후)",$L:$L,"&gt;0")&lt;&gt;1,"",SUMIFS($H:$H,$C:$C,$C653,$D:$D,"P0(후)"))</f>
        <v/>
      </c>
      <c r="Q653" s="30">
        <f>IF(COUNTIFS($C:$C,$C653,$D:$D,"P0(후)",$L:$L,"&gt;0")&lt;&gt;1,"",SUMIFS($L:$L,$C:$C,$C653,$D:$D,"P0(후)"))</f>
        <v/>
      </c>
      <c r="R653" s="30">
        <f>IF(M653&lt;&gt;"OK","",O653+(Q653-O653)*(H653-N653)/(P653-N653))</f>
        <v/>
      </c>
      <c r="S653" s="30">
        <f>IF(OR(M653&lt;&gt;"OK",NOT(ISNUMBER(L653))),"",L653-R653)</f>
        <v/>
      </c>
      <c r="T653" s="46">
        <f>IF(OR(NOT(ISNUMBER(S653)),IF(ISNUMBER(G653),G653,F653)=0),"",S653/IF(ISNUMBER(G653),G653,F653))</f>
        <v/>
      </c>
      <c r="U653" s="46">
        <f>IF(ISNUMBER(T653),ABS(T653),"")</f>
        <v/>
      </c>
      <c r="V653" s="46">
        <f>IF(OR($D652&lt;&gt;"측정",$C652&lt;&gt;$C653,NOT(ISNUMBER(L653)),NOT(ISNUMBER(L652)),(IF(ISNUMBER(G653),G653,F653)-IF(ISNUMBER(G652),G652,F652))=0),"",(L653-L652)/(IF(ISNUMBER(G653),G653,F653)-IF(ISNUMBER(G652),G652,F652)))</f>
        <v/>
      </c>
      <c r="W653" s="30">
        <f>IF(NOT(AND(ISNUMBER(N653),ISNUMBER(P653))),"",(P653-N653)*1440)</f>
        <v/>
      </c>
      <c r="X653" s="28" t="n"/>
      <c r="Y653" s="28" t="n"/>
      <c r="Z653" s="28" t="n"/>
      <c r="AA653" s="31" t="n"/>
      <c r="AB653" s="31" t="n"/>
    </row>
    <row r="654">
      <c r="A654" s="43" t="inlineStr">
        <is>
          <t>S13</t>
        </is>
      </c>
      <c r="B654" s="43" t="inlineStr">
        <is>
          <t>순천 신규점</t>
        </is>
      </c>
      <c r="C654" s="43" t="inlineStr">
        <is>
          <t>S13-H서</t>
        </is>
      </c>
      <c r="D654" s="43" t="inlineStr">
        <is>
          <t>P0(후)</t>
        </is>
      </c>
      <c r="E654" s="43" t="inlineStr">
        <is>
          <t>서</t>
        </is>
      </c>
      <c r="F654" s="44" t="n"/>
      <c r="G654" s="29" t="n"/>
      <c r="H654" s="42" t="n"/>
      <c r="I654" s="40" t="n"/>
      <c r="J654" s="40" t="n"/>
      <c r="K654" s="40" t="n"/>
      <c r="L654" s="30">
        <f>IF(COUNT(I654:K654)=0,"",MEDIAN(I654:K654))</f>
        <v/>
      </c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28" t="n"/>
      <c r="Y654" s="28" t="n"/>
      <c r="Z654" s="28" t="n"/>
      <c r="AA654" s="31" t="n"/>
      <c r="AB654" s="31" t="n"/>
    </row>
    <row r="655">
      <c r="A655" s="43" t="inlineStr">
        <is>
          <t>S13</t>
        </is>
      </c>
      <c r="B655" s="43" t="inlineStr">
        <is>
          <t>순천 신규점</t>
        </is>
      </c>
      <c r="C655" s="43" t="inlineStr">
        <is>
          <t>S13-H남</t>
        </is>
      </c>
      <c r="D655" s="43" t="inlineStr">
        <is>
          <t>P0(전)</t>
        </is>
      </c>
      <c r="E655" s="43" t="inlineStr">
        <is>
          <t>남</t>
        </is>
      </c>
      <c r="F655" s="44" t="n"/>
      <c r="G655" s="29" t="n"/>
      <c r="H655" s="42" t="n"/>
      <c r="I655" s="40" t="n"/>
      <c r="J655" s="40" t="n"/>
      <c r="K655" s="40" t="n"/>
      <c r="L655" s="30">
        <f>IF(COUNT(I655:K655)=0,"",MEDIAN(I655:K655))</f>
        <v/>
      </c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28" t="n"/>
      <c r="Y655" s="28" t="n"/>
      <c r="Z655" s="28" t="n"/>
      <c r="AA655" s="31" t="n"/>
      <c r="AB655" s="31" t="n"/>
    </row>
    <row r="656">
      <c r="A656" s="25" t="inlineStr">
        <is>
          <t>S13</t>
        </is>
      </c>
      <c r="B656" s="25" t="inlineStr">
        <is>
          <t>순천 신규점</t>
        </is>
      </c>
      <c r="C656" s="25" t="inlineStr">
        <is>
          <t>S13-H남</t>
        </is>
      </c>
      <c r="D656" s="25" t="inlineStr">
        <is>
          <t>측정</t>
        </is>
      </c>
      <c r="E656" s="25" t="inlineStr">
        <is>
          <t>남</t>
        </is>
      </c>
      <c r="F656" s="30" t="n">
        <v>0.5</v>
      </c>
      <c r="G656" s="29" t="n"/>
      <c r="H656" s="42" t="n"/>
      <c r="I656" s="40" t="n"/>
      <c r="J656" s="40" t="n"/>
      <c r="K656" s="40" t="n"/>
      <c r="L656" s="30">
        <f>IF(COUNT(I656:K656)=0,"",MEDIAN(I656:K656))</f>
        <v/>
      </c>
      <c r="M656" s="25">
        <f>IF(COUNTIFS($C:$C,$C656,$D:$D,"P0(전)",$L:$L,"&gt;0")&lt;&gt;1,"P0(전) 유효 1개 아님",IF(COUNTIFS($C:$C,$C656,$D:$D,"P0(후)",$L:$L,"&gt;0")&lt;&gt;1,"P0(후) 유효 1개 아님",IF(NOT(AND(ISNUMBER(N656),ISNUMBER(P656),ISNUMBER(H656))),"시각 결측",IF(P656&lt;=N656,"P0 시각 역전",IF(OR(H656&lt;N656,H656&gt;P656),"측정시각 구간 밖","OK")))))</f>
        <v/>
      </c>
      <c r="N656" s="45">
        <f>IF(COUNTIFS($C:$C,$C656,$D:$D,"P0(전)",$L:$L,"&gt;0")&lt;&gt;1,"",SUMIFS($H:$H,$C:$C,$C656,$D:$D,"P0(전)"))</f>
        <v/>
      </c>
      <c r="O656" s="30">
        <f>IF(COUNTIFS($C:$C,$C656,$D:$D,"P0(전)",$L:$L,"&gt;0")&lt;&gt;1,"",SUMIFS($L:$L,$C:$C,$C656,$D:$D,"P0(전)"))</f>
        <v/>
      </c>
      <c r="P656" s="45">
        <f>IF(COUNTIFS($C:$C,$C656,$D:$D,"P0(후)",$L:$L,"&gt;0")&lt;&gt;1,"",SUMIFS($H:$H,$C:$C,$C656,$D:$D,"P0(후)"))</f>
        <v/>
      </c>
      <c r="Q656" s="30">
        <f>IF(COUNTIFS($C:$C,$C656,$D:$D,"P0(후)",$L:$L,"&gt;0")&lt;&gt;1,"",SUMIFS($L:$L,$C:$C,$C656,$D:$D,"P0(후)"))</f>
        <v/>
      </c>
      <c r="R656" s="30">
        <f>IF(M656&lt;&gt;"OK","",O656+(Q656-O656)*(H656-N656)/(P656-N656))</f>
        <v/>
      </c>
      <c r="S656" s="30">
        <f>IF(OR(M656&lt;&gt;"OK",NOT(ISNUMBER(L656))),"",L656-R656)</f>
        <v/>
      </c>
      <c r="T656" s="46">
        <f>IF(OR(NOT(ISNUMBER(S656)),IF(ISNUMBER(G656),G656,F656)=0),"",S656/IF(ISNUMBER(G656),G656,F656))</f>
        <v/>
      </c>
      <c r="U656" s="46">
        <f>IF(ISNUMBER(T656),ABS(T656),"")</f>
        <v/>
      </c>
      <c r="V656" s="46">
        <f>IF(OR($D655&lt;&gt;"측정",$C655&lt;&gt;$C656,NOT(ISNUMBER(L656)),NOT(ISNUMBER(L655)),(IF(ISNUMBER(G656),G656,F656)-IF(ISNUMBER(G655),G655,F655))=0),"",(L656-L655)/(IF(ISNUMBER(G656),G656,F656)-IF(ISNUMBER(G655),G655,F655)))</f>
        <v/>
      </c>
      <c r="W656" s="30">
        <f>IF(NOT(AND(ISNUMBER(N656),ISNUMBER(P656))),"",(P656-N656)*1440)</f>
        <v/>
      </c>
      <c r="X656" s="28" t="n"/>
      <c r="Y656" s="28" t="n"/>
      <c r="Z656" s="28" t="n"/>
      <c r="AA656" s="31" t="n"/>
      <c r="AB656" s="31" t="n"/>
    </row>
    <row r="657">
      <c r="A657" s="25" t="inlineStr">
        <is>
          <t>S13</t>
        </is>
      </c>
      <c r="B657" s="25" t="inlineStr">
        <is>
          <t>순천 신규점</t>
        </is>
      </c>
      <c r="C657" s="25" t="inlineStr">
        <is>
          <t>S13-H남</t>
        </is>
      </c>
      <c r="D657" s="25" t="inlineStr">
        <is>
          <t>측정</t>
        </is>
      </c>
      <c r="E657" s="25" t="inlineStr">
        <is>
          <t>남</t>
        </is>
      </c>
      <c r="F657" s="30" t="n">
        <v>1</v>
      </c>
      <c r="G657" s="29" t="n"/>
      <c r="H657" s="42" t="n"/>
      <c r="I657" s="40" t="n"/>
      <c r="J657" s="40" t="n"/>
      <c r="K657" s="40" t="n"/>
      <c r="L657" s="30">
        <f>IF(COUNT(I657:K657)=0,"",MEDIAN(I657:K657))</f>
        <v/>
      </c>
      <c r="M657" s="25">
        <f>IF(COUNTIFS($C:$C,$C657,$D:$D,"P0(전)",$L:$L,"&gt;0")&lt;&gt;1,"P0(전) 유효 1개 아님",IF(COUNTIFS($C:$C,$C657,$D:$D,"P0(후)",$L:$L,"&gt;0")&lt;&gt;1,"P0(후) 유효 1개 아님",IF(NOT(AND(ISNUMBER(N657),ISNUMBER(P657),ISNUMBER(H657))),"시각 결측",IF(P657&lt;=N657,"P0 시각 역전",IF(OR(H657&lt;N657,H657&gt;P657),"측정시각 구간 밖","OK")))))</f>
        <v/>
      </c>
      <c r="N657" s="45">
        <f>IF(COUNTIFS($C:$C,$C657,$D:$D,"P0(전)",$L:$L,"&gt;0")&lt;&gt;1,"",SUMIFS($H:$H,$C:$C,$C657,$D:$D,"P0(전)"))</f>
        <v/>
      </c>
      <c r="O657" s="30">
        <f>IF(COUNTIFS($C:$C,$C657,$D:$D,"P0(전)",$L:$L,"&gt;0")&lt;&gt;1,"",SUMIFS($L:$L,$C:$C,$C657,$D:$D,"P0(전)"))</f>
        <v/>
      </c>
      <c r="P657" s="45">
        <f>IF(COUNTIFS($C:$C,$C657,$D:$D,"P0(후)",$L:$L,"&gt;0")&lt;&gt;1,"",SUMIFS($H:$H,$C:$C,$C657,$D:$D,"P0(후)"))</f>
        <v/>
      </c>
      <c r="Q657" s="30">
        <f>IF(COUNTIFS($C:$C,$C657,$D:$D,"P0(후)",$L:$L,"&gt;0")&lt;&gt;1,"",SUMIFS($L:$L,$C:$C,$C657,$D:$D,"P0(후)"))</f>
        <v/>
      </c>
      <c r="R657" s="30">
        <f>IF(M657&lt;&gt;"OK","",O657+(Q657-O657)*(H657-N657)/(P657-N657))</f>
        <v/>
      </c>
      <c r="S657" s="30">
        <f>IF(OR(M657&lt;&gt;"OK",NOT(ISNUMBER(L657))),"",L657-R657)</f>
        <v/>
      </c>
      <c r="T657" s="46">
        <f>IF(OR(NOT(ISNUMBER(S657)),IF(ISNUMBER(G657),G657,F657)=0),"",S657/IF(ISNUMBER(G657),G657,F657))</f>
        <v/>
      </c>
      <c r="U657" s="46">
        <f>IF(ISNUMBER(T657),ABS(T657),"")</f>
        <v/>
      </c>
      <c r="V657" s="46">
        <f>IF(OR($D656&lt;&gt;"측정",$C656&lt;&gt;$C657,NOT(ISNUMBER(L657)),NOT(ISNUMBER(L656)),(IF(ISNUMBER(G657),G657,F657)-IF(ISNUMBER(G656),G656,F656))=0),"",(L657-L656)/(IF(ISNUMBER(G657),G657,F657)-IF(ISNUMBER(G656),G656,F656)))</f>
        <v/>
      </c>
      <c r="W657" s="30">
        <f>IF(NOT(AND(ISNUMBER(N657),ISNUMBER(P657))),"",(P657-N657)*1440)</f>
        <v/>
      </c>
      <c r="X657" s="28" t="n"/>
      <c r="Y657" s="28" t="n"/>
      <c r="Z657" s="28" t="n"/>
      <c r="AA657" s="31" t="n"/>
      <c r="AB657" s="31" t="n"/>
    </row>
    <row r="658">
      <c r="A658" s="25" t="inlineStr">
        <is>
          <t>S13</t>
        </is>
      </c>
      <c r="B658" s="25" t="inlineStr">
        <is>
          <t>순천 신규점</t>
        </is>
      </c>
      <c r="C658" s="25" t="inlineStr">
        <is>
          <t>S13-H남</t>
        </is>
      </c>
      <c r="D658" s="25" t="inlineStr">
        <is>
          <t>측정</t>
        </is>
      </c>
      <c r="E658" s="25" t="inlineStr">
        <is>
          <t>남</t>
        </is>
      </c>
      <c r="F658" s="30" t="n">
        <v>2</v>
      </c>
      <c r="G658" s="29" t="n"/>
      <c r="H658" s="42" t="n"/>
      <c r="I658" s="40" t="n"/>
      <c r="J658" s="40" t="n"/>
      <c r="K658" s="40" t="n"/>
      <c r="L658" s="30">
        <f>IF(COUNT(I658:K658)=0,"",MEDIAN(I658:K658))</f>
        <v/>
      </c>
      <c r="M658" s="25">
        <f>IF(COUNTIFS($C:$C,$C658,$D:$D,"P0(전)",$L:$L,"&gt;0")&lt;&gt;1,"P0(전) 유효 1개 아님",IF(COUNTIFS($C:$C,$C658,$D:$D,"P0(후)",$L:$L,"&gt;0")&lt;&gt;1,"P0(후) 유효 1개 아님",IF(NOT(AND(ISNUMBER(N658),ISNUMBER(P658),ISNUMBER(H658))),"시각 결측",IF(P658&lt;=N658,"P0 시각 역전",IF(OR(H658&lt;N658,H658&gt;P658),"측정시각 구간 밖","OK")))))</f>
        <v/>
      </c>
      <c r="N658" s="45">
        <f>IF(COUNTIFS($C:$C,$C658,$D:$D,"P0(전)",$L:$L,"&gt;0")&lt;&gt;1,"",SUMIFS($H:$H,$C:$C,$C658,$D:$D,"P0(전)"))</f>
        <v/>
      </c>
      <c r="O658" s="30">
        <f>IF(COUNTIFS($C:$C,$C658,$D:$D,"P0(전)",$L:$L,"&gt;0")&lt;&gt;1,"",SUMIFS($L:$L,$C:$C,$C658,$D:$D,"P0(전)"))</f>
        <v/>
      </c>
      <c r="P658" s="45">
        <f>IF(COUNTIFS($C:$C,$C658,$D:$D,"P0(후)",$L:$L,"&gt;0")&lt;&gt;1,"",SUMIFS($H:$H,$C:$C,$C658,$D:$D,"P0(후)"))</f>
        <v/>
      </c>
      <c r="Q658" s="30">
        <f>IF(COUNTIFS($C:$C,$C658,$D:$D,"P0(후)",$L:$L,"&gt;0")&lt;&gt;1,"",SUMIFS($L:$L,$C:$C,$C658,$D:$D,"P0(후)"))</f>
        <v/>
      </c>
      <c r="R658" s="30">
        <f>IF(M658&lt;&gt;"OK","",O658+(Q658-O658)*(H658-N658)/(P658-N658))</f>
        <v/>
      </c>
      <c r="S658" s="30">
        <f>IF(OR(M658&lt;&gt;"OK",NOT(ISNUMBER(L658))),"",L658-R658)</f>
        <v/>
      </c>
      <c r="T658" s="46">
        <f>IF(OR(NOT(ISNUMBER(S658)),IF(ISNUMBER(G658),G658,F658)=0),"",S658/IF(ISNUMBER(G658),G658,F658))</f>
        <v/>
      </c>
      <c r="U658" s="46">
        <f>IF(ISNUMBER(T658),ABS(T658),"")</f>
        <v/>
      </c>
      <c r="V658" s="46">
        <f>IF(OR($D657&lt;&gt;"측정",$C657&lt;&gt;$C658,NOT(ISNUMBER(L658)),NOT(ISNUMBER(L657)),(IF(ISNUMBER(G658),G658,F658)-IF(ISNUMBER(G657),G657,F657))=0),"",(L658-L657)/(IF(ISNUMBER(G658),G658,F658)-IF(ISNUMBER(G657),G657,F657)))</f>
        <v/>
      </c>
      <c r="W658" s="30">
        <f>IF(NOT(AND(ISNUMBER(N658),ISNUMBER(P658))),"",(P658-N658)*1440)</f>
        <v/>
      </c>
      <c r="X658" s="28" t="n"/>
      <c r="Y658" s="28" t="n"/>
      <c r="Z658" s="28" t="n"/>
      <c r="AA658" s="31" t="n"/>
      <c r="AB658" s="31" t="n"/>
    </row>
    <row r="659">
      <c r="A659" s="25" t="inlineStr">
        <is>
          <t>S13</t>
        </is>
      </c>
      <c r="B659" s="25" t="inlineStr">
        <is>
          <t>순천 신규점</t>
        </is>
      </c>
      <c r="C659" s="25" t="inlineStr">
        <is>
          <t>S13-H남</t>
        </is>
      </c>
      <c r="D659" s="25" t="inlineStr">
        <is>
          <t>측정</t>
        </is>
      </c>
      <c r="E659" s="25" t="inlineStr">
        <is>
          <t>남</t>
        </is>
      </c>
      <c r="F659" s="30" t="n">
        <v>3</v>
      </c>
      <c r="G659" s="29" t="n"/>
      <c r="H659" s="42" t="n"/>
      <c r="I659" s="40" t="n"/>
      <c r="J659" s="40" t="n"/>
      <c r="K659" s="40" t="n"/>
      <c r="L659" s="30">
        <f>IF(COUNT(I659:K659)=0,"",MEDIAN(I659:K659))</f>
        <v/>
      </c>
      <c r="M659" s="25">
        <f>IF(COUNTIFS($C:$C,$C659,$D:$D,"P0(전)",$L:$L,"&gt;0")&lt;&gt;1,"P0(전) 유효 1개 아님",IF(COUNTIFS($C:$C,$C659,$D:$D,"P0(후)",$L:$L,"&gt;0")&lt;&gt;1,"P0(후) 유효 1개 아님",IF(NOT(AND(ISNUMBER(N659),ISNUMBER(P659),ISNUMBER(H659))),"시각 결측",IF(P659&lt;=N659,"P0 시각 역전",IF(OR(H659&lt;N659,H659&gt;P659),"측정시각 구간 밖","OK")))))</f>
        <v/>
      </c>
      <c r="N659" s="45">
        <f>IF(COUNTIFS($C:$C,$C659,$D:$D,"P0(전)",$L:$L,"&gt;0")&lt;&gt;1,"",SUMIFS($H:$H,$C:$C,$C659,$D:$D,"P0(전)"))</f>
        <v/>
      </c>
      <c r="O659" s="30">
        <f>IF(COUNTIFS($C:$C,$C659,$D:$D,"P0(전)",$L:$L,"&gt;0")&lt;&gt;1,"",SUMIFS($L:$L,$C:$C,$C659,$D:$D,"P0(전)"))</f>
        <v/>
      </c>
      <c r="P659" s="45">
        <f>IF(COUNTIFS($C:$C,$C659,$D:$D,"P0(후)",$L:$L,"&gt;0")&lt;&gt;1,"",SUMIFS($H:$H,$C:$C,$C659,$D:$D,"P0(후)"))</f>
        <v/>
      </c>
      <c r="Q659" s="30">
        <f>IF(COUNTIFS($C:$C,$C659,$D:$D,"P0(후)",$L:$L,"&gt;0")&lt;&gt;1,"",SUMIFS($L:$L,$C:$C,$C659,$D:$D,"P0(후)"))</f>
        <v/>
      </c>
      <c r="R659" s="30">
        <f>IF(M659&lt;&gt;"OK","",O659+(Q659-O659)*(H659-N659)/(P659-N659))</f>
        <v/>
      </c>
      <c r="S659" s="30">
        <f>IF(OR(M659&lt;&gt;"OK",NOT(ISNUMBER(L659))),"",L659-R659)</f>
        <v/>
      </c>
      <c r="T659" s="46">
        <f>IF(OR(NOT(ISNUMBER(S659)),IF(ISNUMBER(G659),G659,F659)=0),"",S659/IF(ISNUMBER(G659),G659,F659))</f>
        <v/>
      </c>
      <c r="U659" s="46">
        <f>IF(ISNUMBER(T659),ABS(T659),"")</f>
        <v/>
      </c>
      <c r="V659" s="46">
        <f>IF(OR($D658&lt;&gt;"측정",$C658&lt;&gt;$C659,NOT(ISNUMBER(L659)),NOT(ISNUMBER(L658)),(IF(ISNUMBER(G659),G659,F659)-IF(ISNUMBER(G658),G658,F658))=0),"",(L659-L658)/(IF(ISNUMBER(G659),G659,F659)-IF(ISNUMBER(G658),G658,F658)))</f>
        <v/>
      </c>
      <c r="W659" s="30">
        <f>IF(NOT(AND(ISNUMBER(N659),ISNUMBER(P659))),"",(P659-N659)*1440)</f>
        <v/>
      </c>
      <c r="X659" s="28" t="n"/>
      <c r="Y659" s="28" t="n"/>
      <c r="Z659" s="28" t="n"/>
      <c r="AA659" s="31" t="n"/>
      <c r="AB659" s="31" t="n"/>
    </row>
    <row r="660">
      <c r="A660" s="25" t="inlineStr">
        <is>
          <t>S13</t>
        </is>
      </c>
      <c r="B660" s="25" t="inlineStr">
        <is>
          <t>순천 신규점</t>
        </is>
      </c>
      <c r="C660" s="25" t="inlineStr">
        <is>
          <t>S13-H남</t>
        </is>
      </c>
      <c r="D660" s="25" t="inlineStr">
        <is>
          <t>측정</t>
        </is>
      </c>
      <c r="E660" s="25" t="inlineStr">
        <is>
          <t>남</t>
        </is>
      </c>
      <c r="F660" s="30" t="n">
        <v>4</v>
      </c>
      <c r="G660" s="29" t="n"/>
      <c r="H660" s="42" t="n"/>
      <c r="I660" s="40" t="n"/>
      <c r="J660" s="40" t="n"/>
      <c r="K660" s="40" t="n"/>
      <c r="L660" s="30">
        <f>IF(COUNT(I660:K660)=0,"",MEDIAN(I660:K660))</f>
        <v/>
      </c>
      <c r="M660" s="25">
        <f>IF(COUNTIFS($C:$C,$C660,$D:$D,"P0(전)",$L:$L,"&gt;0")&lt;&gt;1,"P0(전) 유효 1개 아님",IF(COUNTIFS($C:$C,$C660,$D:$D,"P0(후)",$L:$L,"&gt;0")&lt;&gt;1,"P0(후) 유효 1개 아님",IF(NOT(AND(ISNUMBER(N660),ISNUMBER(P660),ISNUMBER(H660))),"시각 결측",IF(P660&lt;=N660,"P0 시각 역전",IF(OR(H660&lt;N660,H660&gt;P660),"측정시각 구간 밖","OK")))))</f>
        <v/>
      </c>
      <c r="N660" s="45">
        <f>IF(COUNTIFS($C:$C,$C660,$D:$D,"P0(전)",$L:$L,"&gt;0")&lt;&gt;1,"",SUMIFS($H:$H,$C:$C,$C660,$D:$D,"P0(전)"))</f>
        <v/>
      </c>
      <c r="O660" s="30">
        <f>IF(COUNTIFS($C:$C,$C660,$D:$D,"P0(전)",$L:$L,"&gt;0")&lt;&gt;1,"",SUMIFS($L:$L,$C:$C,$C660,$D:$D,"P0(전)"))</f>
        <v/>
      </c>
      <c r="P660" s="45">
        <f>IF(COUNTIFS($C:$C,$C660,$D:$D,"P0(후)",$L:$L,"&gt;0")&lt;&gt;1,"",SUMIFS($H:$H,$C:$C,$C660,$D:$D,"P0(후)"))</f>
        <v/>
      </c>
      <c r="Q660" s="30">
        <f>IF(COUNTIFS($C:$C,$C660,$D:$D,"P0(후)",$L:$L,"&gt;0")&lt;&gt;1,"",SUMIFS($L:$L,$C:$C,$C660,$D:$D,"P0(후)"))</f>
        <v/>
      </c>
      <c r="R660" s="30">
        <f>IF(M660&lt;&gt;"OK","",O660+(Q660-O660)*(H660-N660)/(P660-N660))</f>
        <v/>
      </c>
      <c r="S660" s="30">
        <f>IF(OR(M660&lt;&gt;"OK",NOT(ISNUMBER(L660))),"",L660-R660)</f>
        <v/>
      </c>
      <c r="T660" s="46">
        <f>IF(OR(NOT(ISNUMBER(S660)),IF(ISNUMBER(G660),G660,F660)=0),"",S660/IF(ISNUMBER(G660),G660,F660))</f>
        <v/>
      </c>
      <c r="U660" s="46">
        <f>IF(ISNUMBER(T660),ABS(T660),"")</f>
        <v/>
      </c>
      <c r="V660" s="46">
        <f>IF(OR($D659&lt;&gt;"측정",$C659&lt;&gt;$C660,NOT(ISNUMBER(L660)),NOT(ISNUMBER(L659)),(IF(ISNUMBER(G660),G660,F660)-IF(ISNUMBER(G659),G659,F659))=0),"",(L660-L659)/(IF(ISNUMBER(G660),G660,F660)-IF(ISNUMBER(G659),G659,F659)))</f>
        <v/>
      </c>
      <c r="W660" s="30">
        <f>IF(NOT(AND(ISNUMBER(N660),ISNUMBER(P660))),"",(P660-N660)*1440)</f>
        <v/>
      </c>
      <c r="X660" s="28" t="n"/>
      <c r="Y660" s="28" t="n"/>
      <c r="Z660" s="28" t="n"/>
      <c r="AA660" s="31" t="n"/>
      <c r="AB660" s="31" t="n"/>
    </row>
    <row r="661">
      <c r="A661" s="25" t="inlineStr">
        <is>
          <t>S13</t>
        </is>
      </c>
      <c r="B661" s="25" t="inlineStr">
        <is>
          <t>순천 신규점</t>
        </is>
      </c>
      <c r="C661" s="25" t="inlineStr">
        <is>
          <t>S13-H남</t>
        </is>
      </c>
      <c r="D661" s="25" t="inlineStr">
        <is>
          <t>측정</t>
        </is>
      </c>
      <c r="E661" s="25" t="inlineStr">
        <is>
          <t>남</t>
        </is>
      </c>
      <c r="F661" s="30" t="n">
        <v>5</v>
      </c>
      <c r="G661" s="29" t="n"/>
      <c r="H661" s="42" t="n"/>
      <c r="I661" s="40" t="n"/>
      <c r="J661" s="40" t="n"/>
      <c r="K661" s="40" t="n"/>
      <c r="L661" s="30">
        <f>IF(COUNT(I661:K661)=0,"",MEDIAN(I661:K661))</f>
        <v/>
      </c>
      <c r="M661" s="25">
        <f>IF(COUNTIFS($C:$C,$C661,$D:$D,"P0(전)",$L:$L,"&gt;0")&lt;&gt;1,"P0(전) 유효 1개 아님",IF(COUNTIFS($C:$C,$C661,$D:$D,"P0(후)",$L:$L,"&gt;0")&lt;&gt;1,"P0(후) 유효 1개 아님",IF(NOT(AND(ISNUMBER(N661),ISNUMBER(P661),ISNUMBER(H661))),"시각 결측",IF(P661&lt;=N661,"P0 시각 역전",IF(OR(H661&lt;N661,H661&gt;P661),"측정시각 구간 밖","OK")))))</f>
        <v/>
      </c>
      <c r="N661" s="45">
        <f>IF(COUNTIFS($C:$C,$C661,$D:$D,"P0(전)",$L:$L,"&gt;0")&lt;&gt;1,"",SUMIFS($H:$H,$C:$C,$C661,$D:$D,"P0(전)"))</f>
        <v/>
      </c>
      <c r="O661" s="30">
        <f>IF(COUNTIFS($C:$C,$C661,$D:$D,"P0(전)",$L:$L,"&gt;0")&lt;&gt;1,"",SUMIFS($L:$L,$C:$C,$C661,$D:$D,"P0(전)"))</f>
        <v/>
      </c>
      <c r="P661" s="45">
        <f>IF(COUNTIFS($C:$C,$C661,$D:$D,"P0(후)",$L:$L,"&gt;0")&lt;&gt;1,"",SUMIFS($H:$H,$C:$C,$C661,$D:$D,"P0(후)"))</f>
        <v/>
      </c>
      <c r="Q661" s="30">
        <f>IF(COUNTIFS($C:$C,$C661,$D:$D,"P0(후)",$L:$L,"&gt;0")&lt;&gt;1,"",SUMIFS($L:$L,$C:$C,$C661,$D:$D,"P0(후)"))</f>
        <v/>
      </c>
      <c r="R661" s="30">
        <f>IF(M661&lt;&gt;"OK","",O661+(Q661-O661)*(H661-N661)/(P661-N661))</f>
        <v/>
      </c>
      <c r="S661" s="30">
        <f>IF(OR(M661&lt;&gt;"OK",NOT(ISNUMBER(L661))),"",L661-R661)</f>
        <v/>
      </c>
      <c r="T661" s="46">
        <f>IF(OR(NOT(ISNUMBER(S661)),IF(ISNUMBER(G661),G661,F661)=0),"",S661/IF(ISNUMBER(G661),G661,F661))</f>
        <v/>
      </c>
      <c r="U661" s="46">
        <f>IF(ISNUMBER(T661),ABS(T661),"")</f>
        <v/>
      </c>
      <c r="V661" s="46">
        <f>IF(OR($D660&lt;&gt;"측정",$C660&lt;&gt;$C661,NOT(ISNUMBER(L661)),NOT(ISNUMBER(L660)),(IF(ISNUMBER(G661),G661,F661)-IF(ISNUMBER(G660),G660,F660))=0),"",(L661-L660)/(IF(ISNUMBER(G661),G661,F661)-IF(ISNUMBER(G660),G660,F660)))</f>
        <v/>
      </c>
      <c r="W661" s="30">
        <f>IF(NOT(AND(ISNUMBER(N661),ISNUMBER(P661))),"",(P661-N661)*1440)</f>
        <v/>
      </c>
      <c r="X661" s="28" t="n"/>
      <c r="Y661" s="28" t="n"/>
      <c r="Z661" s="28" t="n"/>
      <c r="AA661" s="31" t="n"/>
      <c r="AB661" s="31" t="n"/>
    </row>
    <row r="662">
      <c r="A662" s="25" t="inlineStr">
        <is>
          <t>S13</t>
        </is>
      </c>
      <c r="B662" s="25" t="inlineStr">
        <is>
          <t>순천 신규점</t>
        </is>
      </c>
      <c r="C662" s="25" t="inlineStr">
        <is>
          <t>S13-H남</t>
        </is>
      </c>
      <c r="D662" s="25" t="inlineStr">
        <is>
          <t>측정</t>
        </is>
      </c>
      <c r="E662" s="25" t="inlineStr">
        <is>
          <t>남</t>
        </is>
      </c>
      <c r="F662" s="30" t="n">
        <v>6</v>
      </c>
      <c r="G662" s="29" t="n"/>
      <c r="H662" s="42" t="n"/>
      <c r="I662" s="40" t="n"/>
      <c r="J662" s="40" t="n"/>
      <c r="K662" s="40" t="n"/>
      <c r="L662" s="30">
        <f>IF(COUNT(I662:K662)=0,"",MEDIAN(I662:K662))</f>
        <v/>
      </c>
      <c r="M662" s="25">
        <f>IF(COUNTIFS($C:$C,$C662,$D:$D,"P0(전)",$L:$L,"&gt;0")&lt;&gt;1,"P0(전) 유효 1개 아님",IF(COUNTIFS($C:$C,$C662,$D:$D,"P0(후)",$L:$L,"&gt;0")&lt;&gt;1,"P0(후) 유효 1개 아님",IF(NOT(AND(ISNUMBER(N662),ISNUMBER(P662),ISNUMBER(H662))),"시각 결측",IF(P662&lt;=N662,"P0 시각 역전",IF(OR(H662&lt;N662,H662&gt;P662),"측정시각 구간 밖","OK")))))</f>
        <v/>
      </c>
      <c r="N662" s="45">
        <f>IF(COUNTIFS($C:$C,$C662,$D:$D,"P0(전)",$L:$L,"&gt;0")&lt;&gt;1,"",SUMIFS($H:$H,$C:$C,$C662,$D:$D,"P0(전)"))</f>
        <v/>
      </c>
      <c r="O662" s="30">
        <f>IF(COUNTIFS($C:$C,$C662,$D:$D,"P0(전)",$L:$L,"&gt;0")&lt;&gt;1,"",SUMIFS($L:$L,$C:$C,$C662,$D:$D,"P0(전)"))</f>
        <v/>
      </c>
      <c r="P662" s="45">
        <f>IF(COUNTIFS($C:$C,$C662,$D:$D,"P0(후)",$L:$L,"&gt;0")&lt;&gt;1,"",SUMIFS($H:$H,$C:$C,$C662,$D:$D,"P0(후)"))</f>
        <v/>
      </c>
      <c r="Q662" s="30">
        <f>IF(COUNTIFS($C:$C,$C662,$D:$D,"P0(후)",$L:$L,"&gt;0")&lt;&gt;1,"",SUMIFS($L:$L,$C:$C,$C662,$D:$D,"P0(후)"))</f>
        <v/>
      </c>
      <c r="R662" s="30">
        <f>IF(M662&lt;&gt;"OK","",O662+(Q662-O662)*(H662-N662)/(P662-N662))</f>
        <v/>
      </c>
      <c r="S662" s="30">
        <f>IF(OR(M662&lt;&gt;"OK",NOT(ISNUMBER(L662))),"",L662-R662)</f>
        <v/>
      </c>
      <c r="T662" s="46">
        <f>IF(OR(NOT(ISNUMBER(S662)),IF(ISNUMBER(G662),G662,F662)=0),"",S662/IF(ISNUMBER(G662),G662,F662))</f>
        <v/>
      </c>
      <c r="U662" s="46">
        <f>IF(ISNUMBER(T662),ABS(T662),"")</f>
        <v/>
      </c>
      <c r="V662" s="46">
        <f>IF(OR($D661&lt;&gt;"측정",$C661&lt;&gt;$C662,NOT(ISNUMBER(L662)),NOT(ISNUMBER(L661)),(IF(ISNUMBER(G662),G662,F662)-IF(ISNUMBER(G661),G661,F661))=0),"",(L662-L661)/(IF(ISNUMBER(G662),G662,F662)-IF(ISNUMBER(G661),G661,F661)))</f>
        <v/>
      </c>
      <c r="W662" s="30">
        <f>IF(NOT(AND(ISNUMBER(N662),ISNUMBER(P662))),"",(P662-N662)*1440)</f>
        <v/>
      </c>
      <c r="X662" s="28" t="n"/>
      <c r="Y662" s="28" t="n"/>
      <c r="Z662" s="28" t="n"/>
      <c r="AA662" s="31" t="n"/>
      <c r="AB662" s="31" t="n"/>
    </row>
    <row r="663">
      <c r="A663" s="25" t="inlineStr">
        <is>
          <t>S13</t>
        </is>
      </c>
      <c r="B663" s="25" t="inlineStr">
        <is>
          <t>순천 신규점</t>
        </is>
      </c>
      <c r="C663" s="25" t="inlineStr">
        <is>
          <t>S13-H남</t>
        </is>
      </c>
      <c r="D663" s="25" t="inlineStr">
        <is>
          <t>측정</t>
        </is>
      </c>
      <c r="E663" s="25" t="inlineStr">
        <is>
          <t>남</t>
        </is>
      </c>
      <c r="F663" s="30" t="n">
        <v>7</v>
      </c>
      <c r="G663" s="29" t="n"/>
      <c r="H663" s="42" t="n"/>
      <c r="I663" s="40" t="n"/>
      <c r="J663" s="40" t="n"/>
      <c r="K663" s="40" t="n"/>
      <c r="L663" s="30">
        <f>IF(COUNT(I663:K663)=0,"",MEDIAN(I663:K663))</f>
        <v/>
      </c>
      <c r="M663" s="25">
        <f>IF(COUNTIFS($C:$C,$C663,$D:$D,"P0(전)",$L:$L,"&gt;0")&lt;&gt;1,"P0(전) 유효 1개 아님",IF(COUNTIFS($C:$C,$C663,$D:$D,"P0(후)",$L:$L,"&gt;0")&lt;&gt;1,"P0(후) 유효 1개 아님",IF(NOT(AND(ISNUMBER(N663),ISNUMBER(P663),ISNUMBER(H663))),"시각 결측",IF(P663&lt;=N663,"P0 시각 역전",IF(OR(H663&lt;N663,H663&gt;P663),"측정시각 구간 밖","OK")))))</f>
        <v/>
      </c>
      <c r="N663" s="45">
        <f>IF(COUNTIFS($C:$C,$C663,$D:$D,"P0(전)",$L:$L,"&gt;0")&lt;&gt;1,"",SUMIFS($H:$H,$C:$C,$C663,$D:$D,"P0(전)"))</f>
        <v/>
      </c>
      <c r="O663" s="30">
        <f>IF(COUNTIFS($C:$C,$C663,$D:$D,"P0(전)",$L:$L,"&gt;0")&lt;&gt;1,"",SUMIFS($L:$L,$C:$C,$C663,$D:$D,"P0(전)"))</f>
        <v/>
      </c>
      <c r="P663" s="45">
        <f>IF(COUNTIFS($C:$C,$C663,$D:$D,"P0(후)",$L:$L,"&gt;0")&lt;&gt;1,"",SUMIFS($H:$H,$C:$C,$C663,$D:$D,"P0(후)"))</f>
        <v/>
      </c>
      <c r="Q663" s="30">
        <f>IF(COUNTIFS($C:$C,$C663,$D:$D,"P0(후)",$L:$L,"&gt;0")&lt;&gt;1,"",SUMIFS($L:$L,$C:$C,$C663,$D:$D,"P0(후)"))</f>
        <v/>
      </c>
      <c r="R663" s="30">
        <f>IF(M663&lt;&gt;"OK","",O663+(Q663-O663)*(H663-N663)/(P663-N663))</f>
        <v/>
      </c>
      <c r="S663" s="30">
        <f>IF(OR(M663&lt;&gt;"OK",NOT(ISNUMBER(L663))),"",L663-R663)</f>
        <v/>
      </c>
      <c r="T663" s="46">
        <f>IF(OR(NOT(ISNUMBER(S663)),IF(ISNUMBER(G663),G663,F663)=0),"",S663/IF(ISNUMBER(G663),G663,F663))</f>
        <v/>
      </c>
      <c r="U663" s="46">
        <f>IF(ISNUMBER(T663),ABS(T663),"")</f>
        <v/>
      </c>
      <c r="V663" s="46">
        <f>IF(OR($D662&lt;&gt;"측정",$C662&lt;&gt;$C663,NOT(ISNUMBER(L663)),NOT(ISNUMBER(L662)),(IF(ISNUMBER(G663),G663,F663)-IF(ISNUMBER(G662),G662,F662))=0),"",(L663-L662)/(IF(ISNUMBER(G663),G663,F663)-IF(ISNUMBER(G662),G662,F662)))</f>
        <v/>
      </c>
      <c r="W663" s="30">
        <f>IF(NOT(AND(ISNUMBER(N663),ISNUMBER(P663))),"",(P663-N663)*1440)</f>
        <v/>
      </c>
      <c r="X663" s="28" t="n"/>
      <c r="Y663" s="28" t="n"/>
      <c r="Z663" s="28" t="n"/>
      <c r="AA663" s="31" t="n"/>
      <c r="AB663" s="31" t="n"/>
    </row>
    <row r="664">
      <c r="A664" s="25" t="inlineStr">
        <is>
          <t>S13</t>
        </is>
      </c>
      <c r="B664" s="25" t="inlineStr">
        <is>
          <t>순천 신규점</t>
        </is>
      </c>
      <c r="C664" s="25" t="inlineStr">
        <is>
          <t>S13-H남</t>
        </is>
      </c>
      <c r="D664" s="25" t="inlineStr">
        <is>
          <t>측정</t>
        </is>
      </c>
      <c r="E664" s="25" t="inlineStr">
        <is>
          <t>남</t>
        </is>
      </c>
      <c r="F664" s="30" t="n">
        <v>8</v>
      </c>
      <c r="G664" s="29" t="n"/>
      <c r="H664" s="42" t="n"/>
      <c r="I664" s="40" t="n"/>
      <c r="J664" s="40" t="n"/>
      <c r="K664" s="40" t="n"/>
      <c r="L664" s="30">
        <f>IF(COUNT(I664:K664)=0,"",MEDIAN(I664:K664))</f>
        <v/>
      </c>
      <c r="M664" s="25">
        <f>IF(COUNTIFS($C:$C,$C664,$D:$D,"P0(전)",$L:$L,"&gt;0")&lt;&gt;1,"P0(전) 유효 1개 아님",IF(COUNTIFS($C:$C,$C664,$D:$D,"P0(후)",$L:$L,"&gt;0")&lt;&gt;1,"P0(후) 유효 1개 아님",IF(NOT(AND(ISNUMBER(N664),ISNUMBER(P664),ISNUMBER(H664))),"시각 결측",IF(P664&lt;=N664,"P0 시각 역전",IF(OR(H664&lt;N664,H664&gt;P664),"측정시각 구간 밖","OK")))))</f>
        <v/>
      </c>
      <c r="N664" s="45">
        <f>IF(COUNTIFS($C:$C,$C664,$D:$D,"P0(전)",$L:$L,"&gt;0")&lt;&gt;1,"",SUMIFS($H:$H,$C:$C,$C664,$D:$D,"P0(전)"))</f>
        <v/>
      </c>
      <c r="O664" s="30">
        <f>IF(COUNTIFS($C:$C,$C664,$D:$D,"P0(전)",$L:$L,"&gt;0")&lt;&gt;1,"",SUMIFS($L:$L,$C:$C,$C664,$D:$D,"P0(전)"))</f>
        <v/>
      </c>
      <c r="P664" s="45">
        <f>IF(COUNTIFS($C:$C,$C664,$D:$D,"P0(후)",$L:$L,"&gt;0")&lt;&gt;1,"",SUMIFS($H:$H,$C:$C,$C664,$D:$D,"P0(후)"))</f>
        <v/>
      </c>
      <c r="Q664" s="30">
        <f>IF(COUNTIFS($C:$C,$C664,$D:$D,"P0(후)",$L:$L,"&gt;0")&lt;&gt;1,"",SUMIFS($L:$L,$C:$C,$C664,$D:$D,"P0(후)"))</f>
        <v/>
      </c>
      <c r="R664" s="30">
        <f>IF(M664&lt;&gt;"OK","",O664+(Q664-O664)*(H664-N664)/(P664-N664))</f>
        <v/>
      </c>
      <c r="S664" s="30">
        <f>IF(OR(M664&lt;&gt;"OK",NOT(ISNUMBER(L664))),"",L664-R664)</f>
        <v/>
      </c>
      <c r="T664" s="46">
        <f>IF(OR(NOT(ISNUMBER(S664)),IF(ISNUMBER(G664),G664,F664)=0),"",S664/IF(ISNUMBER(G664),G664,F664))</f>
        <v/>
      </c>
      <c r="U664" s="46">
        <f>IF(ISNUMBER(T664),ABS(T664),"")</f>
        <v/>
      </c>
      <c r="V664" s="46">
        <f>IF(OR($D663&lt;&gt;"측정",$C663&lt;&gt;$C664,NOT(ISNUMBER(L664)),NOT(ISNUMBER(L663)),(IF(ISNUMBER(G664),G664,F664)-IF(ISNUMBER(G663),G663,F663))=0),"",(L664-L663)/(IF(ISNUMBER(G664),G664,F664)-IF(ISNUMBER(G663),G663,F663)))</f>
        <v/>
      </c>
      <c r="W664" s="30">
        <f>IF(NOT(AND(ISNUMBER(N664),ISNUMBER(P664))),"",(P664-N664)*1440)</f>
        <v/>
      </c>
      <c r="X664" s="28" t="n"/>
      <c r="Y664" s="28" t="n"/>
      <c r="Z664" s="28" t="n"/>
      <c r="AA664" s="31" t="n"/>
      <c r="AB664" s="31" t="n"/>
    </row>
    <row r="665">
      <c r="A665" s="25" t="inlineStr">
        <is>
          <t>S13</t>
        </is>
      </c>
      <c r="B665" s="25" t="inlineStr">
        <is>
          <t>순천 신규점</t>
        </is>
      </c>
      <c r="C665" s="25" t="inlineStr">
        <is>
          <t>S13-H남</t>
        </is>
      </c>
      <c r="D665" s="25" t="inlineStr">
        <is>
          <t>측정</t>
        </is>
      </c>
      <c r="E665" s="25" t="inlineStr">
        <is>
          <t>남</t>
        </is>
      </c>
      <c r="F665" s="30" t="n">
        <v>9</v>
      </c>
      <c r="G665" s="29" t="n"/>
      <c r="H665" s="42" t="n"/>
      <c r="I665" s="40" t="n"/>
      <c r="J665" s="40" t="n"/>
      <c r="K665" s="40" t="n"/>
      <c r="L665" s="30">
        <f>IF(COUNT(I665:K665)=0,"",MEDIAN(I665:K665))</f>
        <v/>
      </c>
      <c r="M665" s="25">
        <f>IF(COUNTIFS($C:$C,$C665,$D:$D,"P0(전)",$L:$L,"&gt;0")&lt;&gt;1,"P0(전) 유효 1개 아님",IF(COUNTIFS($C:$C,$C665,$D:$D,"P0(후)",$L:$L,"&gt;0")&lt;&gt;1,"P0(후) 유효 1개 아님",IF(NOT(AND(ISNUMBER(N665),ISNUMBER(P665),ISNUMBER(H665))),"시각 결측",IF(P665&lt;=N665,"P0 시각 역전",IF(OR(H665&lt;N665,H665&gt;P665),"측정시각 구간 밖","OK")))))</f>
        <v/>
      </c>
      <c r="N665" s="45">
        <f>IF(COUNTIFS($C:$C,$C665,$D:$D,"P0(전)",$L:$L,"&gt;0")&lt;&gt;1,"",SUMIFS($H:$H,$C:$C,$C665,$D:$D,"P0(전)"))</f>
        <v/>
      </c>
      <c r="O665" s="30">
        <f>IF(COUNTIFS($C:$C,$C665,$D:$D,"P0(전)",$L:$L,"&gt;0")&lt;&gt;1,"",SUMIFS($L:$L,$C:$C,$C665,$D:$D,"P0(전)"))</f>
        <v/>
      </c>
      <c r="P665" s="45">
        <f>IF(COUNTIFS($C:$C,$C665,$D:$D,"P0(후)",$L:$L,"&gt;0")&lt;&gt;1,"",SUMIFS($H:$H,$C:$C,$C665,$D:$D,"P0(후)"))</f>
        <v/>
      </c>
      <c r="Q665" s="30">
        <f>IF(COUNTIFS($C:$C,$C665,$D:$D,"P0(후)",$L:$L,"&gt;0")&lt;&gt;1,"",SUMIFS($L:$L,$C:$C,$C665,$D:$D,"P0(후)"))</f>
        <v/>
      </c>
      <c r="R665" s="30">
        <f>IF(M665&lt;&gt;"OK","",O665+(Q665-O665)*(H665-N665)/(P665-N665))</f>
        <v/>
      </c>
      <c r="S665" s="30">
        <f>IF(OR(M665&lt;&gt;"OK",NOT(ISNUMBER(L665))),"",L665-R665)</f>
        <v/>
      </c>
      <c r="T665" s="46">
        <f>IF(OR(NOT(ISNUMBER(S665)),IF(ISNUMBER(G665),G665,F665)=0),"",S665/IF(ISNUMBER(G665),G665,F665))</f>
        <v/>
      </c>
      <c r="U665" s="46">
        <f>IF(ISNUMBER(T665),ABS(T665),"")</f>
        <v/>
      </c>
      <c r="V665" s="46">
        <f>IF(OR($D664&lt;&gt;"측정",$C664&lt;&gt;$C665,NOT(ISNUMBER(L665)),NOT(ISNUMBER(L664)),(IF(ISNUMBER(G665),G665,F665)-IF(ISNUMBER(G664),G664,F664))=0),"",(L665-L664)/(IF(ISNUMBER(G665),G665,F665)-IF(ISNUMBER(G664),G664,F664)))</f>
        <v/>
      </c>
      <c r="W665" s="30">
        <f>IF(NOT(AND(ISNUMBER(N665),ISNUMBER(P665))),"",(P665-N665)*1440)</f>
        <v/>
      </c>
      <c r="X665" s="28" t="n"/>
      <c r="Y665" s="28" t="n"/>
      <c r="Z665" s="28" t="n"/>
      <c r="AA665" s="31" t="n"/>
      <c r="AB665" s="31" t="n"/>
    </row>
    <row r="666">
      <c r="A666" s="25" t="inlineStr">
        <is>
          <t>S13</t>
        </is>
      </c>
      <c r="B666" s="25" t="inlineStr">
        <is>
          <t>순천 신규점</t>
        </is>
      </c>
      <c r="C666" s="25" t="inlineStr">
        <is>
          <t>S13-H남</t>
        </is>
      </c>
      <c r="D666" s="25" t="inlineStr">
        <is>
          <t>측정</t>
        </is>
      </c>
      <c r="E666" s="25" t="inlineStr">
        <is>
          <t>남</t>
        </is>
      </c>
      <c r="F666" s="30" t="n">
        <v>10</v>
      </c>
      <c r="G666" s="29" t="n"/>
      <c r="H666" s="42" t="n"/>
      <c r="I666" s="40" t="n"/>
      <c r="J666" s="40" t="n"/>
      <c r="K666" s="40" t="n"/>
      <c r="L666" s="30">
        <f>IF(COUNT(I666:K666)=0,"",MEDIAN(I666:K666))</f>
        <v/>
      </c>
      <c r="M666" s="25">
        <f>IF(COUNTIFS($C:$C,$C666,$D:$D,"P0(전)",$L:$L,"&gt;0")&lt;&gt;1,"P0(전) 유효 1개 아님",IF(COUNTIFS($C:$C,$C666,$D:$D,"P0(후)",$L:$L,"&gt;0")&lt;&gt;1,"P0(후) 유효 1개 아님",IF(NOT(AND(ISNUMBER(N666),ISNUMBER(P666),ISNUMBER(H666))),"시각 결측",IF(P666&lt;=N666,"P0 시각 역전",IF(OR(H666&lt;N666,H666&gt;P666),"측정시각 구간 밖","OK")))))</f>
        <v/>
      </c>
      <c r="N666" s="45">
        <f>IF(COUNTIFS($C:$C,$C666,$D:$D,"P0(전)",$L:$L,"&gt;0")&lt;&gt;1,"",SUMIFS($H:$H,$C:$C,$C666,$D:$D,"P0(전)"))</f>
        <v/>
      </c>
      <c r="O666" s="30">
        <f>IF(COUNTIFS($C:$C,$C666,$D:$D,"P0(전)",$L:$L,"&gt;0")&lt;&gt;1,"",SUMIFS($L:$L,$C:$C,$C666,$D:$D,"P0(전)"))</f>
        <v/>
      </c>
      <c r="P666" s="45">
        <f>IF(COUNTIFS($C:$C,$C666,$D:$D,"P0(후)",$L:$L,"&gt;0")&lt;&gt;1,"",SUMIFS($H:$H,$C:$C,$C666,$D:$D,"P0(후)"))</f>
        <v/>
      </c>
      <c r="Q666" s="30">
        <f>IF(COUNTIFS($C:$C,$C666,$D:$D,"P0(후)",$L:$L,"&gt;0")&lt;&gt;1,"",SUMIFS($L:$L,$C:$C,$C666,$D:$D,"P0(후)"))</f>
        <v/>
      </c>
      <c r="R666" s="30">
        <f>IF(M666&lt;&gt;"OK","",O666+(Q666-O666)*(H666-N666)/(P666-N666))</f>
        <v/>
      </c>
      <c r="S666" s="30">
        <f>IF(OR(M666&lt;&gt;"OK",NOT(ISNUMBER(L666))),"",L666-R666)</f>
        <v/>
      </c>
      <c r="T666" s="46">
        <f>IF(OR(NOT(ISNUMBER(S666)),IF(ISNUMBER(G666),G666,F666)=0),"",S666/IF(ISNUMBER(G666),G666,F666))</f>
        <v/>
      </c>
      <c r="U666" s="46">
        <f>IF(ISNUMBER(T666),ABS(T666),"")</f>
        <v/>
      </c>
      <c r="V666" s="46">
        <f>IF(OR($D665&lt;&gt;"측정",$C665&lt;&gt;$C666,NOT(ISNUMBER(L666)),NOT(ISNUMBER(L665)),(IF(ISNUMBER(G666),G666,F666)-IF(ISNUMBER(G665),G665,F665))=0),"",(L666-L665)/(IF(ISNUMBER(G666),G666,F666)-IF(ISNUMBER(G665),G665,F665)))</f>
        <v/>
      </c>
      <c r="W666" s="30">
        <f>IF(NOT(AND(ISNUMBER(N666),ISNUMBER(P666))),"",(P666-N666)*1440)</f>
        <v/>
      </c>
      <c r="X666" s="28" t="n"/>
      <c r="Y666" s="28" t="n"/>
      <c r="Z666" s="28" t="n"/>
      <c r="AA666" s="31" t="n"/>
      <c r="AB666" s="31" t="n"/>
    </row>
    <row r="667">
      <c r="A667" s="43" t="inlineStr">
        <is>
          <t>S13</t>
        </is>
      </c>
      <c r="B667" s="43" t="inlineStr">
        <is>
          <t>순천 신규점</t>
        </is>
      </c>
      <c r="C667" s="43" t="inlineStr">
        <is>
          <t>S13-H남</t>
        </is>
      </c>
      <c r="D667" s="43" t="inlineStr">
        <is>
          <t>P0(후)</t>
        </is>
      </c>
      <c r="E667" s="43" t="inlineStr">
        <is>
          <t>남</t>
        </is>
      </c>
      <c r="F667" s="44" t="n"/>
      <c r="G667" s="29" t="n"/>
      <c r="H667" s="42" t="n"/>
      <c r="I667" s="40" t="n"/>
      <c r="J667" s="40" t="n"/>
      <c r="K667" s="40" t="n"/>
      <c r="L667" s="30">
        <f>IF(COUNT(I667:K667)=0,"",MEDIAN(I667:K667))</f>
        <v/>
      </c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28" t="n"/>
      <c r="Y667" s="28" t="n"/>
      <c r="Z667" s="28" t="n"/>
      <c r="AA667" s="31" t="n"/>
      <c r="AB667" s="31" t="n"/>
    </row>
    <row r="668">
      <c r="A668" s="43" t="inlineStr">
        <is>
          <t>S13</t>
        </is>
      </c>
      <c r="B668" s="43" t="inlineStr">
        <is>
          <t>순천 신규점</t>
        </is>
      </c>
      <c r="C668" s="43" t="inlineStr">
        <is>
          <t>S13-H북</t>
        </is>
      </c>
      <c r="D668" s="43" t="inlineStr">
        <is>
          <t>P0(전)</t>
        </is>
      </c>
      <c r="E668" s="43" t="inlineStr">
        <is>
          <t>북</t>
        </is>
      </c>
      <c r="F668" s="44" t="n"/>
      <c r="G668" s="29" t="n"/>
      <c r="H668" s="42" t="n"/>
      <c r="I668" s="40" t="n"/>
      <c r="J668" s="40" t="n"/>
      <c r="K668" s="40" t="n"/>
      <c r="L668" s="30">
        <f>IF(COUNT(I668:K668)=0,"",MEDIAN(I668:K668))</f>
        <v/>
      </c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28" t="n"/>
      <c r="Y668" s="28" t="n"/>
      <c r="Z668" s="28" t="n"/>
      <c r="AA668" s="31" t="n"/>
      <c r="AB668" s="31" t="n"/>
    </row>
    <row r="669">
      <c r="A669" s="25" t="inlineStr">
        <is>
          <t>S13</t>
        </is>
      </c>
      <c r="B669" s="25" t="inlineStr">
        <is>
          <t>순천 신규점</t>
        </is>
      </c>
      <c r="C669" s="25" t="inlineStr">
        <is>
          <t>S13-H북</t>
        </is>
      </c>
      <c r="D669" s="25" t="inlineStr">
        <is>
          <t>측정</t>
        </is>
      </c>
      <c r="E669" s="25" t="inlineStr">
        <is>
          <t>북</t>
        </is>
      </c>
      <c r="F669" s="30" t="n">
        <v>0.5</v>
      </c>
      <c r="G669" s="29" t="n"/>
      <c r="H669" s="42" t="n"/>
      <c r="I669" s="40" t="n"/>
      <c r="J669" s="40" t="n"/>
      <c r="K669" s="40" t="n"/>
      <c r="L669" s="30">
        <f>IF(COUNT(I669:K669)=0,"",MEDIAN(I669:K669))</f>
        <v/>
      </c>
      <c r="M669" s="25">
        <f>IF(COUNTIFS($C:$C,$C669,$D:$D,"P0(전)",$L:$L,"&gt;0")&lt;&gt;1,"P0(전) 유효 1개 아님",IF(COUNTIFS($C:$C,$C669,$D:$D,"P0(후)",$L:$L,"&gt;0")&lt;&gt;1,"P0(후) 유효 1개 아님",IF(NOT(AND(ISNUMBER(N669),ISNUMBER(P669),ISNUMBER(H669))),"시각 결측",IF(P669&lt;=N669,"P0 시각 역전",IF(OR(H669&lt;N669,H669&gt;P669),"측정시각 구간 밖","OK")))))</f>
        <v/>
      </c>
      <c r="N669" s="45">
        <f>IF(COUNTIFS($C:$C,$C669,$D:$D,"P0(전)",$L:$L,"&gt;0")&lt;&gt;1,"",SUMIFS($H:$H,$C:$C,$C669,$D:$D,"P0(전)"))</f>
        <v/>
      </c>
      <c r="O669" s="30">
        <f>IF(COUNTIFS($C:$C,$C669,$D:$D,"P0(전)",$L:$L,"&gt;0")&lt;&gt;1,"",SUMIFS($L:$L,$C:$C,$C669,$D:$D,"P0(전)"))</f>
        <v/>
      </c>
      <c r="P669" s="45">
        <f>IF(COUNTIFS($C:$C,$C669,$D:$D,"P0(후)",$L:$L,"&gt;0")&lt;&gt;1,"",SUMIFS($H:$H,$C:$C,$C669,$D:$D,"P0(후)"))</f>
        <v/>
      </c>
      <c r="Q669" s="30">
        <f>IF(COUNTIFS($C:$C,$C669,$D:$D,"P0(후)",$L:$L,"&gt;0")&lt;&gt;1,"",SUMIFS($L:$L,$C:$C,$C669,$D:$D,"P0(후)"))</f>
        <v/>
      </c>
      <c r="R669" s="30">
        <f>IF(M669&lt;&gt;"OK","",O669+(Q669-O669)*(H669-N669)/(P669-N669))</f>
        <v/>
      </c>
      <c r="S669" s="30">
        <f>IF(OR(M669&lt;&gt;"OK",NOT(ISNUMBER(L669))),"",L669-R669)</f>
        <v/>
      </c>
      <c r="T669" s="46">
        <f>IF(OR(NOT(ISNUMBER(S669)),IF(ISNUMBER(G669),G669,F669)=0),"",S669/IF(ISNUMBER(G669),G669,F669))</f>
        <v/>
      </c>
      <c r="U669" s="46">
        <f>IF(ISNUMBER(T669),ABS(T669),"")</f>
        <v/>
      </c>
      <c r="V669" s="46">
        <f>IF(OR($D668&lt;&gt;"측정",$C668&lt;&gt;$C669,NOT(ISNUMBER(L669)),NOT(ISNUMBER(L668)),(IF(ISNUMBER(G669),G669,F669)-IF(ISNUMBER(G668),G668,F668))=0),"",(L669-L668)/(IF(ISNUMBER(G669),G669,F669)-IF(ISNUMBER(G668),G668,F668)))</f>
        <v/>
      </c>
      <c r="W669" s="30">
        <f>IF(NOT(AND(ISNUMBER(N669),ISNUMBER(P669))),"",(P669-N669)*1440)</f>
        <v/>
      </c>
      <c r="X669" s="28" t="n"/>
      <c r="Y669" s="28" t="n"/>
      <c r="Z669" s="28" t="n"/>
      <c r="AA669" s="31" t="n"/>
      <c r="AB669" s="31" t="n"/>
    </row>
    <row r="670">
      <c r="A670" s="25" t="inlineStr">
        <is>
          <t>S13</t>
        </is>
      </c>
      <c r="B670" s="25" t="inlineStr">
        <is>
          <t>순천 신규점</t>
        </is>
      </c>
      <c r="C670" s="25" t="inlineStr">
        <is>
          <t>S13-H북</t>
        </is>
      </c>
      <c r="D670" s="25" t="inlineStr">
        <is>
          <t>측정</t>
        </is>
      </c>
      <c r="E670" s="25" t="inlineStr">
        <is>
          <t>북</t>
        </is>
      </c>
      <c r="F670" s="30" t="n">
        <v>1</v>
      </c>
      <c r="G670" s="29" t="n"/>
      <c r="H670" s="42" t="n"/>
      <c r="I670" s="40" t="n"/>
      <c r="J670" s="40" t="n"/>
      <c r="K670" s="40" t="n"/>
      <c r="L670" s="30">
        <f>IF(COUNT(I670:K670)=0,"",MEDIAN(I670:K670))</f>
        <v/>
      </c>
      <c r="M670" s="25">
        <f>IF(COUNTIFS($C:$C,$C670,$D:$D,"P0(전)",$L:$L,"&gt;0")&lt;&gt;1,"P0(전) 유효 1개 아님",IF(COUNTIFS($C:$C,$C670,$D:$D,"P0(후)",$L:$L,"&gt;0")&lt;&gt;1,"P0(후) 유효 1개 아님",IF(NOT(AND(ISNUMBER(N670),ISNUMBER(P670),ISNUMBER(H670))),"시각 결측",IF(P670&lt;=N670,"P0 시각 역전",IF(OR(H670&lt;N670,H670&gt;P670),"측정시각 구간 밖","OK")))))</f>
        <v/>
      </c>
      <c r="N670" s="45">
        <f>IF(COUNTIFS($C:$C,$C670,$D:$D,"P0(전)",$L:$L,"&gt;0")&lt;&gt;1,"",SUMIFS($H:$H,$C:$C,$C670,$D:$D,"P0(전)"))</f>
        <v/>
      </c>
      <c r="O670" s="30">
        <f>IF(COUNTIFS($C:$C,$C670,$D:$D,"P0(전)",$L:$L,"&gt;0")&lt;&gt;1,"",SUMIFS($L:$L,$C:$C,$C670,$D:$D,"P0(전)"))</f>
        <v/>
      </c>
      <c r="P670" s="45">
        <f>IF(COUNTIFS($C:$C,$C670,$D:$D,"P0(후)",$L:$L,"&gt;0")&lt;&gt;1,"",SUMIFS($H:$H,$C:$C,$C670,$D:$D,"P0(후)"))</f>
        <v/>
      </c>
      <c r="Q670" s="30">
        <f>IF(COUNTIFS($C:$C,$C670,$D:$D,"P0(후)",$L:$L,"&gt;0")&lt;&gt;1,"",SUMIFS($L:$L,$C:$C,$C670,$D:$D,"P0(후)"))</f>
        <v/>
      </c>
      <c r="R670" s="30">
        <f>IF(M670&lt;&gt;"OK","",O670+(Q670-O670)*(H670-N670)/(P670-N670))</f>
        <v/>
      </c>
      <c r="S670" s="30">
        <f>IF(OR(M670&lt;&gt;"OK",NOT(ISNUMBER(L670))),"",L670-R670)</f>
        <v/>
      </c>
      <c r="T670" s="46">
        <f>IF(OR(NOT(ISNUMBER(S670)),IF(ISNUMBER(G670),G670,F670)=0),"",S670/IF(ISNUMBER(G670),G670,F670))</f>
        <v/>
      </c>
      <c r="U670" s="46">
        <f>IF(ISNUMBER(T670),ABS(T670),"")</f>
        <v/>
      </c>
      <c r="V670" s="46">
        <f>IF(OR($D669&lt;&gt;"측정",$C669&lt;&gt;$C670,NOT(ISNUMBER(L670)),NOT(ISNUMBER(L669)),(IF(ISNUMBER(G670),G670,F670)-IF(ISNUMBER(G669),G669,F669))=0),"",(L670-L669)/(IF(ISNUMBER(G670),G670,F670)-IF(ISNUMBER(G669),G669,F669)))</f>
        <v/>
      </c>
      <c r="W670" s="30">
        <f>IF(NOT(AND(ISNUMBER(N670),ISNUMBER(P670))),"",(P670-N670)*1440)</f>
        <v/>
      </c>
      <c r="X670" s="28" t="n"/>
      <c r="Y670" s="28" t="n"/>
      <c r="Z670" s="28" t="n"/>
      <c r="AA670" s="31" t="n"/>
      <c r="AB670" s="31" t="n"/>
    </row>
    <row r="671">
      <c r="A671" s="25" t="inlineStr">
        <is>
          <t>S13</t>
        </is>
      </c>
      <c r="B671" s="25" t="inlineStr">
        <is>
          <t>순천 신규점</t>
        </is>
      </c>
      <c r="C671" s="25" t="inlineStr">
        <is>
          <t>S13-H북</t>
        </is>
      </c>
      <c r="D671" s="25" t="inlineStr">
        <is>
          <t>측정</t>
        </is>
      </c>
      <c r="E671" s="25" t="inlineStr">
        <is>
          <t>북</t>
        </is>
      </c>
      <c r="F671" s="30" t="n">
        <v>2</v>
      </c>
      <c r="G671" s="29" t="n"/>
      <c r="H671" s="42" t="n"/>
      <c r="I671" s="40" t="n"/>
      <c r="J671" s="40" t="n"/>
      <c r="K671" s="40" t="n"/>
      <c r="L671" s="30">
        <f>IF(COUNT(I671:K671)=0,"",MEDIAN(I671:K671))</f>
        <v/>
      </c>
      <c r="M671" s="25">
        <f>IF(COUNTIFS($C:$C,$C671,$D:$D,"P0(전)",$L:$L,"&gt;0")&lt;&gt;1,"P0(전) 유효 1개 아님",IF(COUNTIFS($C:$C,$C671,$D:$D,"P0(후)",$L:$L,"&gt;0")&lt;&gt;1,"P0(후) 유효 1개 아님",IF(NOT(AND(ISNUMBER(N671),ISNUMBER(P671),ISNUMBER(H671))),"시각 결측",IF(P671&lt;=N671,"P0 시각 역전",IF(OR(H671&lt;N671,H671&gt;P671),"측정시각 구간 밖","OK")))))</f>
        <v/>
      </c>
      <c r="N671" s="45">
        <f>IF(COUNTIFS($C:$C,$C671,$D:$D,"P0(전)",$L:$L,"&gt;0")&lt;&gt;1,"",SUMIFS($H:$H,$C:$C,$C671,$D:$D,"P0(전)"))</f>
        <v/>
      </c>
      <c r="O671" s="30">
        <f>IF(COUNTIFS($C:$C,$C671,$D:$D,"P0(전)",$L:$L,"&gt;0")&lt;&gt;1,"",SUMIFS($L:$L,$C:$C,$C671,$D:$D,"P0(전)"))</f>
        <v/>
      </c>
      <c r="P671" s="45">
        <f>IF(COUNTIFS($C:$C,$C671,$D:$D,"P0(후)",$L:$L,"&gt;0")&lt;&gt;1,"",SUMIFS($H:$H,$C:$C,$C671,$D:$D,"P0(후)"))</f>
        <v/>
      </c>
      <c r="Q671" s="30">
        <f>IF(COUNTIFS($C:$C,$C671,$D:$D,"P0(후)",$L:$L,"&gt;0")&lt;&gt;1,"",SUMIFS($L:$L,$C:$C,$C671,$D:$D,"P0(후)"))</f>
        <v/>
      </c>
      <c r="R671" s="30">
        <f>IF(M671&lt;&gt;"OK","",O671+(Q671-O671)*(H671-N671)/(P671-N671))</f>
        <v/>
      </c>
      <c r="S671" s="30">
        <f>IF(OR(M671&lt;&gt;"OK",NOT(ISNUMBER(L671))),"",L671-R671)</f>
        <v/>
      </c>
      <c r="T671" s="46">
        <f>IF(OR(NOT(ISNUMBER(S671)),IF(ISNUMBER(G671),G671,F671)=0),"",S671/IF(ISNUMBER(G671),G671,F671))</f>
        <v/>
      </c>
      <c r="U671" s="46">
        <f>IF(ISNUMBER(T671),ABS(T671),"")</f>
        <v/>
      </c>
      <c r="V671" s="46">
        <f>IF(OR($D670&lt;&gt;"측정",$C670&lt;&gt;$C671,NOT(ISNUMBER(L671)),NOT(ISNUMBER(L670)),(IF(ISNUMBER(G671),G671,F671)-IF(ISNUMBER(G670),G670,F670))=0),"",(L671-L670)/(IF(ISNUMBER(G671),G671,F671)-IF(ISNUMBER(G670),G670,F670)))</f>
        <v/>
      </c>
      <c r="W671" s="30">
        <f>IF(NOT(AND(ISNUMBER(N671),ISNUMBER(P671))),"",(P671-N671)*1440)</f>
        <v/>
      </c>
      <c r="X671" s="28" t="n"/>
      <c r="Y671" s="28" t="n"/>
      <c r="Z671" s="28" t="n"/>
      <c r="AA671" s="31" t="n"/>
      <c r="AB671" s="31" t="n"/>
    </row>
    <row r="672">
      <c r="A672" s="25" t="inlineStr">
        <is>
          <t>S13</t>
        </is>
      </c>
      <c r="B672" s="25" t="inlineStr">
        <is>
          <t>순천 신규점</t>
        </is>
      </c>
      <c r="C672" s="25" t="inlineStr">
        <is>
          <t>S13-H북</t>
        </is>
      </c>
      <c r="D672" s="25" t="inlineStr">
        <is>
          <t>측정</t>
        </is>
      </c>
      <c r="E672" s="25" t="inlineStr">
        <is>
          <t>북</t>
        </is>
      </c>
      <c r="F672" s="30" t="n">
        <v>3</v>
      </c>
      <c r="G672" s="29" t="n"/>
      <c r="H672" s="42" t="n"/>
      <c r="I672" s="40" t="n"/>
      <c r="J672" s="40" t="n"/>
      <c r="K672" s="40" t="n"/>
      <c r="L672" s="30">
        <f>IF(COUNT(I672:K672)=0,"",MEDIAN(I672:K672))</f>
        <v/>
      </c>
      <c r="M672" s="25">
        <f>IF(COUNTIFS($C:$C,$C672,$D:$D,"P0(전)",$L:$L,"&gt;0")&lt;&gt;1,"P0(전) 유효 1개 아님",IF(COUNTIFS($C:$C,$C672,$D:$D,"P0(후)",$L:$L,"&gt;0")&lt;&gt;1,"P0(후) 유효 1개 아님",IF(NOT(AND(ISNUMBER(N672),ISNUMBER(P672),ISNUMBER(H672))),"시각 결측",IF(P672&lt;=N672,"P0 시각 역전",IF(OR(H672&lt;N672,H672&gt;P672),"측정시각 구간 밖","OK")))))</f>
        <v/>
      </c>
      <c r="N672" s="45">
        <f>IF(COUNTIFS($C:$C,$C672,$D:$D,"P0(전)",$L:$L,"&gt;0")&lt;&gt;1,"",SUMIFS($H:$H,$C:$C,$C672,$D:$D,"P0(전)"))</f>
        <v/>
      </c>
      <c r="O672" s="30">
        <f>IF(COUNTIFS($C:$C,$C672,$D:$D,"P0(전)",$L:$L,"&gt;0")&lt;&gt;1,"",SUMIFS($L:$L,$C:$C,$C672,$D:$D,"P0(전)"))</f>
        <v/>
      </c>
      <c r="P672" s="45">
        <f>IF(COUNTIFS($C:$C,$C672,$D:$D,"P0(후)",$L:$L,"&gt;0")&lt;&gt;1,"",SUMIFS($H:$H,$C:$C,$C672,$D:$D,"P0(후)"))</f>
        <v/>
      </c>
      <c r="Q672" s="30">
        <f>IF(COUNTIFS($C:$C,$C672,$D:$D,"P0(후)",$L:$L,"&gt;0")&lt;&gt;1,"",SUMIFS($L:$L,$C:$C,$C672,$D:$D,"P0(후)"))</f>
        <v/>
      </c>
      <c r="R672" s="30">
        <f>IF(M672&lt;&gt;"OK","",O672+(Q672-O672)*(H672-N672)/(P672-N672))</f>
        <v/>
      </c>
      <c r="S672" s="30">
        <f>IF(OR(M672&lt;&gt;"OK",NOT(ISNUMBER(L672))),"",L672-R672)</f>
        <v/>
      </c>
      <c r="T672" s="46">
        <f>IF(OR(NOT(ISNUMBER(S672)),IF(ISNUMBER(G672),G672,F672)=0),"",S672/IF(ISNUMBER(G672),G672,F672))</f>
        <v/>
      </c>
      <c r="U672" s="46">
        <f>IF(ISNUMBER(T672),ABS(T672),"")</f>
        <v/>
      </c>
      <c r="V672" s="46">
        <f>IF(OR($D671&lt;&gt;"측정",$C671&lt;&gt;$C672,NOT(ISNUMBER(L672)),NOT(ISNUMBER(L671)),(IF(ISNUMBER(G672),G672,F672)-IF(ISNUMBER(G671),G671,F671))=0),"",(L672-L671)/(IF(ISNUMBER(G672),G672,F672)-IF(ISNUMBER(G671),G671,F671)))</f>
        <v/>
      </c>
      <c r="W672" s="30">
        <f>IF(NOT(AND(ISNUMBER(N672),ISNUMBER(P672))),"",(P672-N672)*1440)</f>
        <v/>
      </c>
      <c r="X672" s="28" t="n"/>
      <c r="Y672" s="28" t="n"/>
      <c r="Z672" s="28" t="n"/>
      <c r="AA672" s="31" t="n"/>
      <c r="AB672" s="31" t="n"/>
    </row>
    <row r="673">
      <c r="A673" s="25" t="inlineStr">
        <is>
          <t>S13</t>
        </is>
      </c>
      <c r="B673" s="25" t="inlineStr">
        <is>
          <t>순천 신규점</t>
        </is>
      </c>
      <c r="C673" s="25" t="inlineStr">
        <is>
          <t>S13-H북</t>
        </is>
      </c>
      <c r="D673" s="25" t="inlineStr">
        <is>
          <t>측정</t>
        </is>
      </c>
      <c r="E673" s="25" t="inlineStr">
        <is>
          <t>북</t>
        </is>
      </c>
      <c r="F673" s="30" t="n">
        <v>4</v>
      </c>
      <c r="G673" s="29" t="n"/>
      <c r="H673" s="42" t="n"/>
      <c r="I673" s="40" t="n"/>
      <c r="J673" s="40" t="n"/>
      <c r="K673" s="40" t="n"/>
      <c r="L673" s="30">
        <f>IF(COUNT(I673:K673)=0,"",MEDIAN(I673:K673))</f>
        <v/>
      </c>
      <c r="M673" s="25">
        <f>IF(COUNTIFS($C:$C,$C673,$D:$D,"P0(전)",$L:$L,"&gt;0")&lt;&gt;1,"P0(전) 유효 1개 아님",IF(COUNTIFS($C:$C,$C673,$D:$D,"P0(후)",$L:$L,"&gt;0")&lt;&gt;1,"P0(후) 유효 1개 아님",IF(NOT(AND(ISNUMBER(N673),ISNUMBER(P673),ISNUMBER(H673))),"시각 결측",IF(P673&lt;=N673,"P0 시각 역전",IF(OR(H673&lt;N673,H673&gt;P673),"측정시각 구간 밖","OK")))))</f>
        <v/>
      </c>
      <c r="N673" s="45">
        <f>IF(COUNTIFS($C:$C,$C673,$D:$D,"P0(전)",$L:$L,"&gt;0")&lt;&gt;1,"",SUMIFS($H:$H,$C:$C,$C673,$D:$D,"P0(전)"))</f>
        <v/>
      </c>
      <c r="O673" s="30">
        <f>IF(COUNTIFS($C:$C,$C673,$D:$D,"P0(전)",$L:$L,"&gt;0")&lt;&gt;1,"",SUMIFS($L:$L,$C:$C,$C673,$D:$D,"P0(전)"))</f>
        <v/>
      </c>
      <c r="P673" s="45">
        <f>IF(COUNTIFS($C:$C,$C673,$D:$D,"P0(후)",$L:$L,"&gt;0")&lt;&gt;1,"",SUMIFS($H:$H,$C:$C,$C673,$D:$D,"P0(후)"))</f>
        <v/>
      </c>
      <c r="Q673" s="30">
        <f>IF(COUNTIFS($C:$C,$C673,$D:$D,"P0(후)",$L:$L,"&gt;0")&lt;&gt;1,"",SUMIFS($L:$L,$C:$C,$C673,$D:$D,"P0(후)"))</f>
        <v/>
      </c>
      <c r="R673" s="30">
        <f>IF(M673&lt;&gt;"OK","",O673+(Q673-O673)*(H673-N673)/(P673-N673))</f>
        <v/>
      </c>
      <c r="S673" s="30">
        <f>IF(OR(M673&lt;&gt;"OK",NOT(ISNUMBER(L673))),"",L673-R673)</f>
        <v/>
      </c>
      <c r="T673" s="46">
        <f>IF(OR(NOT(ISNUMBER(S673)),IF(ISNUMBER(G673),G673,F673)=0),"",S673/IF(ISNUMBER(G673),G673,F673))</f>
        <v/>
      </c>
      <c r="U673" s="46">
        <f>IF(ISNUMBER(T673),ABS(T673),"")</f>
        <v/>
      </c>
      <c r="V673" s="46">
        <f>IF(OR($D672&lt;&gt;"측정",$C672&lt;&gt;$C673,NOT(ISNUMBER(L673)),NOT(ISNUMBER(L672)),(IF(ISNUMBER(G673),G673,F673)-IF(ISNUMBER(G672),G672,F672))=0),"",(L673-L672)/(IF(ISNUMBER(G673),G673,F673)-IF(ISNUMBER(G672),G672,F672)))</f>
        <v/>
      </c>
      <c r="W673" s="30">
        <f>IF(NOT(AND(ISNUMBER(N673),ISNUMBER(P673))),"",(P673-N673)*1440)</f>
        <v/>
      </c>
      <c r="X673" s="28" t="n"/>
      <c r="Y673" s="28" t="n"/>
      <c r="Z673" s="28" t="n"/>
      <c r="AA673" s="31" t="n"/>
      <c r="AB673" s="31" t="n"/>
    </row>
    <row r="674">
      <c r="A674" s="25" t="inlineStr">
        <is>
          <t>S13</t>
        </is>
      </c>
      <c r="B674" s="25" t="inlineStr">
        <is>
          <t>순천 신규점</t>
        </is>
      </c>
      <c r="C674" s="25" t="inlineStr">
        <is>
          <t>S13-H북</t>
        </is>
      </c>
      <c r="D674" s="25" t="inlineStr">
        <is>
          <t>측정</t>
        </is>
      </c>
      <c r="E674" s="25" t="inlineStr">
        <is>
          <t>북</t>
        </is>
      </c>
      <c r="F674" s="30" t="n">
        <v>5</v>
      </c>
      <c r="G674" s="29" t="n"/>
      <c r="H674" s="42" t="n"/>
      <c r="I674" s="40" t="n"/>
      <c r="J674" s="40" t="n"/>
      <c r="K674" s="40" t="n"/>
      <c r="L674" s="30">
        <f>IF(COUNT(I674:K674)=0,"",MEDIAN(I674:K674))</f>
        <v/>
      </c>
      <c r="M674" s="25">
        <f>IF(COUNTIFS($C:$C,$C674,$D:$D,"P0(전)",$L:$L,"&gt;0")&lt;&gt;1,"P0(전) 유효 1개 아님",IF(COUNTIFS($C:$C,$C674,$D:$D,"P0(후)",$L:$L,"&gt;0")&lt;&gt;1,"P0(후) 유효 1개 아님",IF(NOT(AND(ISNUMBER(N674),ISNUMBER(P674),ISNUMBER(H674))),"시각 결측",IF(P674&lt;=N674,"P0 시각 역전",IF(OR(H674&lt;N674,H674&gt;P674),"측정시각 구간 밖","OK")))))</f>
        <v/>
      </c>
      <c r="N674" s="45">
        <f>IF(COUNTIFS($C:$C,$C674,$D:$D,"P0(전)",$L:$L,"&gt;0")&lt;&gt;1,"",SUMIFS($H:$H,$C:$C,$C674,$D:$D,"P0(전)"))</f>
        <v/>
      </c>
      <c r="O674" s="30">
        <f>IF(COUNTIFS($C:$C,$C674,$D:$D,"P0(전)",$L:$L,"&gt;0")&lt;&gt;1,"",SUMIFS($L:$L,$C:$C,$C674,$D:$D,"P0(전)"))</f>
        <v/>
      </c>
      <c r="P674" s="45">
        <f>IF(COUNTIFS($C:$C,$C674,$D:$D,"P0(후)",$L:$L,"&gt;0")&lt;&gt;1,"",SUMIFS($H:$H,$C:$C,$C674,$D:$D,"P0(후)"))</f>
        <v/>
      </c>
      <c r="Q674" s="30">
        <f>IF(COUNTIFS($C:$C,$C674,$D:$D,"P0(후)",$L:$L,"&gt;0")&lt;&gt;1,"",SUMIFS($L:$L,$C:$C,$C674,$D:$D,"P0(후)"))</f>
        <v/>
      </c>
      <c r="R674" s="30">
        <f>IF(M674&lt;&gt;"OK","",O674+(Q674-O674)*(H674-N674)/(P674-N674))</f>
        <v/>
      </c>
      <c r="S674" s="30">
        <f>IF(OR(M674&lt;&gt;"OK",NOT(ISNUMBER(L674))),"",L674-R674)</f>
        <v/>
      </c>
      <c r="T674" s="46">
        <f>IF(OR(NOT(ISNUMBER(S674)),IF(ISNUMBER(G674),G674,F674)=0),"",S674/IF(ISNUMBER(G674),G674,F674))</f>
        <v/>
      </c>
      <c r="U674" s="46">
        <f>IF(ISNUMBER(T674),ABS(T674),"")</f>
        <v/>
      </c>
      <c r="V674" s="46">
        <f>IF(OR($D673&lt;&gt;"측정",$C673&lt;&gt;$C674,NOT(ISNUMBER(L674)),NOT(ISNUMBER(L673)),(IF(ISNUMBER(G674),G674,F674)-IF(ISNUMBER(G673),G673,F673))=0),"",(L674-L673)/(IF(ISNUMBER(G674),G674,F674)-IF(ISNUMBER(G673),G673,F673)))</f>
        <v/>
      </c>
      <c r="W674" s="30">
        <f>IF(NOT(AND(ISNUMBER(N674),ISNUMBER(P674))),"",(P674-N674)*1440)</f>
        <v/>
      </c>
      <c r="X674" s="28" t="n"/>
      <c r="Y674" s="28" t="n"/>
      <c r="Z674" s="28" t="n"/>
      <c r="AA674" s="31" t="n"/>
      <c r="AB674" s="31" t="n"/>
    </row>
    <row r="675">
      <c r="A675" s="25" t="inlineStr">
        <is>
          <t>S13</t>
        </is>
      </c>
      <c r="B675" s="25" t="inlineStr">
        <is>
          <t>순천 신규점</t>
        </is>
      </c>
      <c r="C675" s="25" t="inlineStr">
        <is>
          <t>S13-H북</t>
        </is>
      </c>
      <c r="D675" s="25" t="inlineStr">
        <is>
          <t>측정</t>
        </is>
      </c>
      <c r="E675" s="25" t="inlineStr">
        <is>
          <t>북</t>
        </is>
      </c>
      <c r="F675" s="30" t="n">
        <v>6</v>
      </c>
      <c r="G675" s="29" t="n"/>
      <c r="H675" s="42" t="n"/>
      <c r="I675" s="40" t="n"/>
      <c r="J675" s="40" t="n"/>
      <c r="K675" s="40" t="n"/>
      <c r="L675" s="30">
        <f>IF(COUNT(I675:K675)=0,"",MEDIAN(I675:K675))</f>
        <v/>
      </c>
      <c r="M675" s="25">
        <f>IF(COUNTIFS($C:$C,$C675,$D:$D,"P0(전)",$L:$L,"&gt;0")&lt;&gt;1,"P0(전) 유효 1개 아님",IF(COUNTIFS($C:$C,$C675,$D:$D,"P0(후)",$L:$L,"&gt;0")&lt;&gt;1,"P0(후) 유효 1개 아님",IF(NOT(AND(ISNUMBER(N675),ISNUMBER(P675),ISNUMBER(H675))),"시각 결측",IF(P675&lt;=N675,"P0 시각 역전",IF(OR(H675&lt;N675,H675&gt;P675),"측정시각 구간 밖","OK")))))</f>
        <v/>
      </c>
      <c r="N675" s="45">
        <f>IF(COUNTIFS($C:$C,$C675,$D:$D,"P0(전)",$L:$L,"&gt;0")&lt;&gt;1,"",SUMIFS($H:$H,$C:$C,$C675,$D:$D,"P0(전)"))</f>
        <v/>
      </c>
      <c r="O675" s="30">
        <f>IF(COUNTIFS($C:$C,$C675,$D:$D,"P0(전)",$L:$L,"&gt;0")&lt;&gt;1,"",SUMIFS($L:$L,$C:$C,$C675,$D:$D,"P0(전)"))</f>
        <v/>
      </c>
      <c r="P675" s="45">
        <f>IF(COUNTIFS($C:$C,$C675,$D:$D,"P0(후)",$L:$L,"&gt;0")&lt;&gt;1,"",SUMIFS($H:$H,$C:$C,$C675,$D:$D,"P0(후)"))</f>
        <v/>
      </c>
      <c r="Q675" s="30">
        <f>IF(COUNTIFS($C:$C,$C675,$D:$D,"P0(후)",$L:$L,"&gt;0")&lt;&gt;1,"",SUMIFS($L:$L,$C:$C,$C675,$D:$D,"P0(후)"))</f>
        <v/>
      </c>
      <c r="R675" s="30">
        <f>IF(M675&lt;&gt;"OK","",O675+(Q675-O675)*(H675-N675)/(P675-N675))</f>
        <v/>
      </c>
      <c r="S675" s="30">
        <f>IF(OR(M675&lt;&gt;"OK",NOT(ISNUMBER(L675))),"",L675-R675)</f>
        <v/>
      </c>
      <c r="T675" s="46">
        <f>IF(OR(NOT(ISNUMBER(S675)),IF(ISNUMBER(G675),G675,F675)=0),"",S675/IF(ISNUMBER(G675),G675,F675))</f>
        <v/>
      </c>
      <c r="U675" s="46">
        <f>IF(ISNUMBER(T675),ABS(T675),"")</f>
        <v/>
      </c>
      <c r="V675" s="46">
        <f>IF(OR($D674&lt;&gt;"측정",$C674&lt;&gt;$C675,NOT(ISNUMBER(L675)),NOT(ISNUMBER(L674)),(IF(ISNUMBER(G675),G675,F675)-IF(ISNUMBER(G674),G674,F674))=0),"",(L675-L674)/(IF(ISNUMBER(G675),G675,F675)-IF(ISNUMBER(G674),G674,F674)))</f>
        <v/>
      </c>
      <c r="W675" s="30">
        <f>IF(NOT(AND(ISNUMBER(N675),ISNUMBER(P675))),"",(P675-N675)*1440)</f>
        <v/>
      </c>
      <c r="X675" s="28" t="n"/>
      <c r="Y675" s="28" t="n"/>
      <c r="Z675" s="28" t="n"/>
      <c r="AA675" s="31" t="n"/>
      <c r="AB675" s="31" t="n"/>
    </row>
    <row r="676">
      <c r="A676" s="25" t="inlineStr">
        <is>
          <t>S13</t>
        </is>
      </c>
      <c r="B676" s="25" t="inlineStr">
        <is>
          <t>순천 신규점</t>
        </is>
      </c>
      <c r="C676" s="25" t="inlineStr">
        <is>
          <t>S13-H북</t>
        </is>
      </c>
      <c r="D676" s="25" t="inlineStr">
        <is>
          <t>측정</t>
        </is>
      </c>
      <c r="E676" s="25" t="inlineStr">
        <is>
          <t>북</t>
        </is>
      </c>
      <c r="F676" s="30" t="n">
        <v>7</v>
      </c>
      <c r="G676" s="29" t="n"/>
      <c r="H676" s="42" t="n"/>
      <c r="I676" s="40" t="n"/>
      <c r="J676" s="40" t="n"/>
      <c r="K676" s="40" t="n"/>
      <c r="L676" s="30">
        <f>IF(COUNT(I676:K676)=0,"",MEDIAN(I676:K676))</f>
        <v/>
      </c>
      <c r="M676" s="25">
        <f>IF(COUNTIFS($C:$C,$C676,$D:$D,"P0(전)",$L:$L,"&gt;0")&lt;&gt;1,"P0(전) 유효 1개 아님",IF(COUNTIFS($C:$C,$C676,$D:$D,"P0(후)",$L:$L,"&gt;0")&lt;&gt;1,"P0(후) 유효 1개 아님",IF(NOT(AND(ISNUMBER(N676),ISNUMBER(P676),ISNUMBER(H676))),"시각 결측",IF(P676&lt;=N676,"P0 시각 역전",IF(OR(H676&lt;N676,H676&gt;P676),"측정시각 구간 밖","OK")))))</f>
        <v/>
      </c>
      <c r="N676" s="45">
        <f>IF(COUNTIFS($C:$C,$C676,$D:$D,"P0(전)",$L:$L,"&gt;0")&lt;&gt;1,"",SUMIFS($H:$H,$C:$C,$C676,$D:$D,"P0(전)"))</f>
        <v/>
      </c>
      <c r="O676" s="30">
        <f>IF(COUNTIFS($C:$C,$C676,$D:$D,"P0(전)",$L:$L,"&gt;0")&lt;&gt;1,"",SUMIFS($L:$L,$C:$C,$C676,$D:$D,"P0(전)"))</f>
        <v/>
      </c>
      <c r="P676" s="45">
        <f>IF(COUNTIFS($C:$C,$C676,$D:$D,"P0(후)",$L:$L,"&gt;0")&lt;&gt;1,"",SUMIFS($H:$H,$C:$C,$C676,$D:$D,"P0(후)"))</f>
        <v/>
      </c>
      <c r="Q676" s="30">
        <f>IF(COUNTIFS($C:$C,$C676,$D:$D,"P0(후)",$L:$L,"&gt;0")&lt;&gt;1,"",SUMIFS($L:$L,$C:$C,$C676,$D:$D,"P0(후)"))</f>
        <v/>
      </c>
      <c r="R676" s="30">
        <f>IF(M676&lt;&gt;"OK","",O676+(Q676-O676)*(H676-N676)/(P676-N676))</f>
        <v/>
      </c>
      <c r="S676" s="30">
        <f>IF(OR(M676&lt;&gt;"OK",NOT(ISNUMBER(L676))),"",L676-R676)</f>
        <v/>
      </c>
      <c r="T676" s="46">
        <f>IF(OR(NOT(ISNUMBER(S676)),IF(ISNUMBER(G676),G676,F676)=0),"",S676/IF(ISNUMBER(G676),G676,F676))</f>
        <v/>
      </c>
      <c r="U676" s="46">
        <f>IF(ISNUMBER(T676),ABS(T676),"")</f>
        <v/>
      </c>
      <c r="V676" s="46">
        <f>IF(OR($D675&lt;&gt;"측정",$C675&lt;&gt;$C676,NOT(ISNUMBER(L676)),NOT(ISNUMBER(L675)),(IF(ISNUMBER(G676),G676,F676)-IF(ISNUMBER(G675),G675,F675))=0),"",(L676-L675)/(IF(ISNUMBER(G676),G676,F676)-IF(ISNUMBER(G675),G675,F675)))</f>
        <v/>
      </c>
      <c r="W676" s="30">
        <f>IF(NOT(AND(ISNUMBER(N676),ISNUMBER(P676))),"",(P676-N676)*1440)</f>
        <v/>
      </c>
      <c r="X676" s="28" t="n"/>
      <c r="Y676" s="28" t="n"/>
      <c r="Z676" s="28" t="n"/>
      <c r="AA676" s="31" t="n"/>
      <c r="AB676" s="31" t="n"/>
    </row>
    <row r="677">
      <c r="A677" s="25" t="inlineStr">
        <is>
          <t>S13</t>
        </is>
      </c>
      <c r="B677" s="25" t="inlineStr">
        <is>
          <t>순천 신규점</t>
        </is>
      </c>
      <c r="C677" s="25" t="inlineStr">
        <is>
          <t>S13-H북</t>
        </is>
      </c>
      <c r="D677" s="25" t="inlineStr">
        <is>
          <t>측정</t>
        </is>
      </c>
      <c r="E677" s="25" t="inlineStr">
        <is>
          <t>북</t>
        </is>
      </c>
      <c r="F677" s="30" t="n">
        <v>8</v>
      </c>
      <c r="G677" s="29" t="n"/>
      <c r="H677" s="42" t="n"/>
      <c r="I677" s="40" t="n"/>
      <c r="J677" s="40" t="n"/>
      <c r="K677" s="40" t="n"/>
      <c r="L677" s="30">
        <f>IF(COUNT(I677:K677)=0,"",MEDIAN(I677:K677))</f>
        <v/>
      </c>
      <c r="M677" s="25">
        <f>IF(COUNTIFS($C:$C,$C677,$D:$D,"P0(전)",$L:$L,"&gt;0")&lt;&gt;1,"P0(전) 유효 1개 아님",IF(COUNTIFS($C:$C,$C677,$D:$D,"P0(후)",$L:$L,"&gt;0")&lt;&gt;1,"P0(후) 유효 1개 아님",IF(NOT(AND(ISNUMBER(N677),ISNUMBER(P677),ISNUMBER(H677))),"시각 결측",IF(P677&lt;=N677,"P0 시각 역전",IF(OR(H677&lt;N677,H677&gt;P677),"측정시각 구간 밖","OK")))))</f>
        <v/>
      </c>
      <c r="N677" s="45">
        <f>IF(COUNTIFS($C:$C,$C677,$D:$D,"P0(전)",$L:$L,"&gt;0")&lt;&gt;1,"",SUMIFS($H:$H,$C:$C,$C677,$D:$D,"P0(전)"))</f>
        <v/>
      </c>
      <c r="O677" s="30">
        <f>IF(COUNTIFS($C:$C,$C677,$D:$D,"P0(전)",$L:$L,"&gt;0")&lt;&gt;1,"",SUMIFS($L:$L,$C:$C,$C677,$D:$D,"P0(전)"))</f>
        <v/>
      </c>
      <c r="P677" s="45">
        <f>IF(COUNTIFS($C:$C,$C677,$D:$D,"P0(후)",$L:$L,"&gt;0")&lt;&gt;1,"",SUMIFS($H:$H,$C:$C,$C677,$D:$D,"P0(후)"))</f>
        <v/>
      </c>
      <c r="Q677" s="30">
        <f>IF(COUNTIFS($C:$C,$C677,$D:$D,"P0(후)",$L:$L,"&gt;0")&lt;&gt;1,"",SUMIFS($L:$L,$C:$C,$C677,$D:$D,"P0(후)"))</f>
        <v/>
      </c>
      <c r="R677" s="30">
        <f>IF(M677&lt;&gt;"OK","",O677+(Q677-O677)*(H677-N677)/(P677-N677))</f>
        <v/>
      </c>
      <c r="S677" s="30">
        <f>IF(OR(M677&lt;&gt;"OK",NOT(ISNUMBER(L677))),"",L677-R677)</f>
        <v/>
      </c>
      <c r="T677" s="46">
        <f>IF(OR(NOT(ISNUMBER(S677)),IF(ISNUMBER(G677),G677,F677)=0),"",S677/IF(ISNUMBER(G677),G677,F677))</f>
        <v/>
      </c>
      <c r="U677" s="46">
        <f>IF(ISNUMBER(T677),ABS(T677),"")</f>
        <v/>
      </c>
      <c r="V677" s="46">
        <f>IF(OR($D676&lt;&gt;"측정",$C676&lt;&gt;$C677,NOT(ISNUMBER(L677)),NOT(ISNUMBER(L676)),(IF(ISNUMBER(G677),G677,F677)-IF(ISNUMBER(G676),G676,F676))=0),"",(L677-L676)/(IF(ISNUMBER(G677),G677,F677)-IF(ISNUMBER(G676),G676,F676)))</f>
        <v/>
      </c>
      <c r="W677" s="30">
        <f>IF(NOT(AND(ISNUMBER(N677),ISNUMBER(P677))),"",(P677-N677)*1440)</f>
        <v/>
      </c>
      <c r="X677" s="28" t="n"/>
      <c r="Y677" s="28" t="n"/>
      <c r="Z677" s="28" t="n"/>
      <c r="AA677" s="31" t="n"/>
      <c r="AB677" s="31" t="n"/>
    </row>
    <row r="678">
      <c r="A678" s="25" t="inlineStr">
        <is>
          <t>S13</t>
        </is>
      </c>
      <c r="B678" s="25" t="inlineStr">
        <is>
          <t>순천 신규점</t>
        </is>
      </c>
      <c r="C678" s="25" t="inlineStr">
        <is>
          <t>S13-H북</t>
        </is>
      </c>
      <c r="D678" s="25" t="inlineStr">
        <is>
          <t>측정</t>
        </is>
      </c>
      <c r="E678" s="25" t="inlineStr">
        <is>
          <t>북</t>
        </is>
      </c>
      <c r="F678" s="30" t="n">
        <v>9</v>
      </c>
      <c r="G678" s="29" t="n"/>
      <c r="H678" s="42" t="n"/>
      <c r="I678" s="40" t="n"/>
      <c r="J678" s="40" t="n"/>
      <c r="K678" s="40" t="n"/>
      <c r="L678" s="30">
        <f>IF(COUNT(I678:K678)=0,"",MEDIAN(I678:K678))</f>
        <v/>
      </c>
      <c r="M678" s="25">
        <f>IF(COUNTIFS($C:$C,$C678,$D:$D,"P0(전)",$L:$L,"&gt;0")&lt;&gt;1,"P0(전) 유효 1개 아님",IF(COUNTIFS($C:$C,$C678,$D:$D,"P0(후)",$L:$L,"&gt;0")&lt;&gt;1,"P0(후) 유효 1개 아님",IF(NOT(AND(ISNUMBER(N678),ISNUMBER(P678),ISNUMBER(H678))),"시각 결측",IF(P678&lt;=N678,"P0 시각 역전",IF(OR(H678&lt;N678,H678&gt;P678),"측정시각 구간 밖","OK")))))</f>
        <v/>
      </c>
      <c r="N678" s="45">
        <f>IF(COUNTIFS($C:$C,$C678,$D:$D,"P0(전)",$L:$L,"&gt;0")&lt;&gt;1,"",SUMIFS($H:$H,$C:$C,$C678,$D:$D,"P0(전)"))</f>
        <v/>
      </c>
      <c r="O678" s="30">
        <f>IF(COUNTIFS($C:$C,$C678,$D:$D,"P0(전)",$L:$L,"&gt;0")&lt;&gt;1,"",SUMIFS($L:$L,$C:$C,$C678,$D:$D,"P0(전)"))</f>
        <v/>
      </c>
      <c r="P678" s="45">
        <f>IF(COUNTIFS($C:$C,$C678,$D:$D,"P0(후)",$L:$L,"&gt;0")&lt;&gt;1,"",SUMIFS($H:$H,$C:$C,$C678,$D:$D,"P0(후)"))</f>
        <v/>
      </c>
      <c r="Q678" s="30">
        <f>IF(COUNTIFS($C:$C,$C678,$D:$D,"P0(후)",$L:$L,"&gt;0")&lt;&gt;1,"",SUMIFS($L:$L,$C:$C,$C678,$D:$D,"P0(후)"))</f>
        <v/>
      </c>
      <c r="R678" s="30">
        <f>IF(M678&lt;&gt;"OK","",O678+(Q678-O678)*(H678-N678)/(P678-N678))</f>
        <v/>
      </c>
      <c r="S678" s="30">
        <f>IF(OR(M678&lt;&gt;"OK",NOT(ISNUMBER(L678))),"",L678-R678)</f>
        <v/>
      </c>
      <c r="T678" s="46">
        <f>IF(OR(NOT(ISNUMBER(S678)),IF(ISNUMBER(G678),G678,F678)=0),"",S678/IF(ISNUMBER(G678),G678,F678))</f>
        <v/>
      </c>
      <c r="U678" s="46">
        <f>IF(ISNUMBER(T678),ABS(T678),"")</f>
        <v/>
      </c>
      <c r="V678" s="46">
        <f>IF(OR($D677&lt;&gt;"측정",$C677&lt;&gt;$C678,NOT(ISNUMBER(L678)),NOT(ISNUMBER(L677)),(IF(ISNUMBER(G678),G678,F678)-IF(ISNUMBER(G677),G677,F677))=0),"",(L678-L677)/(IF(ISNUMBER(G678),G678,F678)-IF(ISNUMBER(G677),G677,F677)))</f>
        <v/>
      </c>
      <c r="W678" s="30">
        <f>IF(NOT(AND(ISNUMBER(N678),ISNUMBER(P678))),"",(P678-N678)*1440)</f>
        <v/>
      </c>
      <c r="X678" s="28" t="n"/>
      <c r="Y678" s="28" t="n"/>
      <c r="Z678" s="28" t="n"/>
      <c r="AA678" s="31" t="n"/>
      <c r="AB678" s="31" t="n"/>
    </row>
    <row r="679">
      <c r="A679" s="25" t="inlineStr">
        <is>
          <t>S13</t>
        </is>
      </c>
      <c r="B679" s="25" t="inlineStr">
        <is>
          <t>순천 신규점</t>
        </is>
      </c>
      <c r="C679" s="25" t="inlineStr">
        <is>
          <t>S13-H북</t>
        </is>
      </c>
      <c r="D679" s="25" t="inlineStr">
        <is>
          <t>측정</t>
        </is>
      </c>
      <c r="E679" s="25" t="inlineStr">
        <is>
          <t>북</t>
        </is>
      </c>
      <c r="F679" s="30" t="n">
        <v>10</v>
      </c>
      <c r="G679" s="29" t="n"/>
      <c r="H679" s="42" t="n"/>
      <c r="I679" s="40" t="n"/>
      <c r="J679" s="40" t="n"/>
      <c r="K679" s="40" t="n"/>
      <c r="L679" s="30">
        <f>IF(COUNT(I679:K679)=0,"",MEDIAN(I679:K679))</f>
        <v/>
      </c>
      <c r="M679" s="25">
        <f>IF(COUNTIFS($C:$C,$C679,$D:$D,"P0(전)",$L:$L,"&gt;0")&lt;&gt;1,"P0(전) 유효 1개 아님",IF(COUNTIFS($C:$C,$C679,$D:$D,"P0(후)",$L:$L,"&gt;0")&lt;&gt;1,"P0(후) 유효 1개 아님",IF(NOT(AND(ISNUMBER(N679),ISNUMBER(P679),ISNUMBER(H679))),"시각 결측",IF(P679&lt;=N679,"P0 시각 역전",IF(OR(H679&lt;N679,H679&gt;P679),"측정시각 구간 밖","OK")))))</f>
        <v/>
      </c>
      <c r="N679" s="45">
        <f>IF(COUNTIFS($C:$C,$C679,$D:$D,"P0(전)",$L:$L,"&gt;0")&lt;&gt;1,"",SUMIFS($H:$H,$C:$C,$C679,$D:$D,"P0(전)"))</f>
        <v/>
      </c>
      <c r="O679" s="30">
        <f>IF(COUNTIFS($C:$C,$C679,$D:$D,"P0(전)",$L:$L,"&gt;0")&lt;&gt;1,"",SUMIFS($L:$L,$C:$C,$C679,$D:$D,"P0(전)"))</f>
        <v/>
      </c>
      <c r="P679" s="45">
        <f>IF(COUNTIFS($C:$C,$C679,$D:$D,"P0(후)",$L:$L,"&gt;0")&lt;&gt;1,"",SUMIFS($H:$H,$C:$C,$C679,$D:$D,"P0(후)"))</f>
        <v/>
      </c>
      <c r="Q679" s="30">
        <f>IF(COUNTIFS($C:$C,$C679,$D:$D,"P0(후)",$L:$L,"&gt;0")&lt;&gt;1,"",SUMIFS($L:$L,$C:$C,$C679,$D:$D,"P0(후)"))</f>
        <v/>
      </c>
      <c r="R679" s="30">
        <f>IF(M679&lt;&gt;"OK","",O679+(Q679-O679)*(H679-N679)/(P679-N679))</f>
        <v/>
      </c>
      <c r="S679" s="30">
        <f>IF(OR(M679&lt;&gt;"OK",NOT(ISNUMBER(L679))),"",L679-R679)</f>
        <v/>
      </c>
      <c r="T679" s="46">
        <f>IF(OR(NOT(ISNUMBER(S679)),IF(ISNUMBER(G679),G679,F679)=0),"",S679/IF(ISNUMBER(G679),G679,F679))</f>
        <v/>
      </c>
      <c r="U679" s="46">
        <f>IF(ISNUMBER(T679),ABS(T679),"")</f>
        <v/>
      </c>
      <c r="V679" s="46">
        <f>IF(OR($D678&lt;&gt;"측정",$C678&lt;&gt;$C679,NOT(ISNUMBER(L679)),NOT(ISNUMBER(L678)),(IF(ISNUMBER(G679),G679,F679)-IF(ISNUMBER(G678),G678,F678))=0),"",(L679-L678)/(IF(ISNUMBER(G679),G679,F679)-IF(ISNUMBER(G678),G678,F678)))</f>
        <v/>
      </c>
      <c r="W679" s="30">
        <f>IF(NOT(AND(ISNUMBER(N679),ISNUMBER(P679))),"",(P679-N679)*1440)</f>
        <v/>
      </c>
      <c r="X679" s="28" t="n"/>
      <c r="Y679" s="28" t="n"/>
      <c r="Z679" s="28" t="n"/>
      <c r="AA679" s="31" t="n"/>
      <c r="AB679" s="31" t="n"/>
    </row>
    <row r="680">
      <c r="A680" s="43" t="inlineStr">
        <is>
          <t>S13</t>
        </is>
      </c>
      <c r="B680" s="43" t="inlineStr">
        <is>
          <t>순천 신규점</t>
        </is>
      </c>
      <c r="C680" s="43" t="inlineStr">
        <is>
          <t>S13-H북</t>
        </is>
      </c>
      <c r="D680" s="43" t="inlineStr">
        <is>
          <t>P0(후)</t>
        </is>
      </c>
      <c r="E680" s="43" t="inlineStr">
        <is>
          <t>북</t>
        </is>
      </c>
      <c r="F680" s="44" t="n"/>
      <c r="G680" s="29" t="n"/>
      <c r="H680" s="42" t="n"/>
      <c r="I680" s="40" t="n"/>
      <c r="J680" s="40" t="n"/>
      <c r="K680" s="40" t="n"/>
      <c r="L680" s="30">
        <f>IF(COUNT(I680:K680)=0,"",MEDIAN(I680:K680))</f>
        <v/>
      </c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28" t="n"/>
      <c r="Y680" s="28" t="n"/>
      <c r="Z680" s="28" t="n"/>
      <c r="AA680" s="31" t="n"/>
      <c r="AB680" s="31" t="n"/>
    </row>
    <row r="681">
      <c r="A681" s="43" t="inlineStr">
        <is>
          <t>S14</t>
        </is>
      </c>
      <c r="B681" s="43" t="inlineStr">
        <is>
          <t>청송 신규점1</t>
        </is>
      </c>
      <c r="C681" s="43" t="inlineStr">
        <is>
          <t>S14-H동</t>
        </is>
      </c>
      <c r="D681" s="43" t="inlineStr">
        <is>
          <t>P0(전)</t>
        </is>
      </c>
      <c r="E681" s="43" t="inlineStr">
        <is>
          <t>동</t>
        </is>
      </c>
      <c r="F681" s="44" t="n"/>
      <c r="G681" s="29" t="n"/>
      <c r="H681" s="42" t="n"/>
      <c r="I681" s="40" t="n"/>
      <c r="J681" s="40" t="n"/>
      <c r="K681" s="40" t="n"/>
      <c r="L681" s="30">
        <f>IF(COUNT(I681:K681)=0,"",MEDIAN(I681:K681))</f>
        <v/>
      </c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28" t="n"/>
      <c r="Y681" s="28" t="n"/>
      <c r="Z681" s="28" t="n"/>
      <c r="AA681" s="31" t="n"/>
      <c r="AB681" s="31" t="n"/>
    </row>
    <row r="682">
      <c r="A682" s="25" t="inlineStr">
        <is>
          <t>S14</t>
        </is>
      </c>
      <c r="B682" s="25" t="inlineStr">
        <is>
          <t>청송 신규점1</t>
        </is>
      </c>
      <c r="C682" s="25" t="inlineStr">
        <is>
          <t>S14-H동</t>
        </is>
      </c>
      <c r="D682" s="25" t="inlineStr">
        <is>
          <t>측정</t>
        </is>
      </c>
      <c r="E682" s="25" t="inlineStr">
        <is>
          <t>동</t>
        </is>
      </c>
      <c r="F682" s="30" t="n">
        <v>0.5</v>
      </c>
      <c r="G682" s="29" t="n"/>
      <c r="H682" s="42" t="n"/>
      <c r="I682" s="40" t="n"/>
      <c r="J682" s="40" t="n"/>
      <c r="K682" s="40" t="n"/>
      <c r="L682" s="30">
        <f>IF(COUNT(I682:K682)=0,"",MEDIAN(I682:K682))</f>
        <v/>
      </c>
      <c r="M682" s="25">
        <f>IF(COUNTIFS($C:$C,$C682,$D:$D,"P0(전)",$L:$L,"&gt;0")&lt;&gt;1,"P0(전) 유효 1개 아님",IF(COUNTIFS($C:$C,$C682,$D:$D,"P0(후)",$L:$L,"&gt;0")&lt;&gt;1,"P0(후) 유효 1개 아님",IF(NOT(AND(ISNUMBER(N682),ISNUMBER(P682),ISNUMBER(H682))),"시각 결측",IF(P682&lt;=N682,"P0 시각 역전",IF(OR(H682&lt;N682,H682&gt;P682),"측정시각 구간 밖","OK")))))</f>
        <v/>
      </c>
      <c r="N682" s="45">
        <f>IF(COUNTIFS($C:$C,$C682,$D:$D,"P0(전)",$L:$L,"&gt;0")&lt;&gt;1,"",SUMIFS($H:$H,$C:$C,$C682,$D:$D,"P0(전)"))</f>
        <v/>
      </c>
      <c r="O682" s="30">
        <f>IF(COUNTIFS($C:$C,$C682,$D:$D,"P0(전)",$L:$L,"&gt;0")&lt;&gt;1,"",SUMIFS($L:$L,$C:$C,$C682,$D:$D,"P0(전)"))</f>
        <v/>
      </c>
      <c r="P682" s="45">
        <f>IF(COUNTIFS($C:$C,$C682,$D:$D,"P0(후)",$L:$L,"&gt;0")&lt;&gt;1,"",SUMIFS($H:$H,$C:$C,$C682,$D:$D,"P0(후)"))</f>
        <v/>
      </c>
      <c r="Q682" s="30">
        <f>IF(COUNTIFS($C:$C,$C682,$D:$D,"P0(후)",$L:$L,"&gt;0")&lt;&gt;1,"",SUMIFS($L:$L,$C:$C,$C682,$D:$D,"P0(후)"))</f>
        <v/>
      </c>
      <c r="R682" s="30">
        <f>IF(M682&lt;&gt;"OK","",O682+(Q682-O682)*(H682-N682)/(P682-N682))</f>
        <v/>
      </c>
      <c r="S682" s="30">
        <f>IF(OR(M682&lt;&gt;"OK",NOT(ISNUMBER(L682))),"",L682-R682)</f>
        <v/>
      </c>
      <c r="T682" s="46">
        <f>IF(OR(NOT(ISNUMBER(S682)),IF(ISNUMBER(G682),G682,F682)=0),"",S682/IF(ISNUMBER(G682),G682,F682))</f>
        <v/>
      </c>
      <c r="U682" s="46">
        <f>IF(ISNUMBER(T682),ABS(T682),"")</f>
        <v/>
      </c>
      <c r="V682" s="46">
        <f>IF(OR($D681&lt;&gt;"측정",$C681&lt;&gt;$C682,NOT(ISNUMBER(L682)),NOT(ISNUMBER(L681)),(IF(ISNUMBER(G682),G682,F682)-IF(ISNUMBER(G681),G681,F681))=0),"",(L682-L681)/(IF(ISNUMBER(G682),G682,F682)-IF(ISNUMBER(G681),G681,F681)))</f>
        <v/>
      </c>
      <c r="W682" s="30">
        <f>IF(NOT(AND(ISNUMBER(N682),ISNUMBER(P682))),"",(P682-N682)*1440)</f>
        <v/>
      </c>
      <c r="X682" s="28" t="n"/>
      <c r="Y682" s="28" t="n"/>
      <c r="Z682" s="28" t="n"/>
      <c r="AA682" s="31" t="n"/>
      <c r="AB682" s="31" t="n"/>
    </row>
    <row r="683">
      <c r="A683" s="25" t="inlineStr">
        <is>
          <t>S14</t>
        </is>
      </c>
      <c r="B683" s="25" t="inlineStr">
        <is>
          <t>청송 신규점1</t>
        </is>
      </c>
      <c r="C683" s="25" t="inlineStr">
        <is>
          <t>S14-H동</t>
        </is>
      </c>
      <c r="D683" s="25" t="inlineStr">
        <is>
          <t>측정</t>
        </is>
      </c>
      <c r="E683" s="25" t="inlineStr">
        <is>
          <t>동</t>
        </is>
      </c>
      <c r="F683" s="30" t="n">
        <v>1</v>
      </c>
      <c r="G683" s="29" t="n"/>
      <c r="H683" s="42" t="n"/>
      <c r="I683" s="40" t="n"/>
      <c r="J683" s="40" t="n"/>
      <c r="K683" s="40" t="n"/>
      <c r="L683" s="30">
        <f>IF(COUNT(I683:K683)=0,"",MEDIAN(I683:K683))</f>
        <v/>
      </c>
      <c r="M683" s="25">
        <f>IF(COUNTIFS($C:$C,$C683,$D:$D,"P0(전)",$L:$L,"&gt;0")&lt;&gt;1,"P0(전) 유효 1개 아님",IF(COUNTIFS($C:$C,$C683,$D:$D,"P0(후)",$L:$L,"&gt;0")&lt;&gt;1,"P0(후) 유효 1개 아님",IF(NOT(AND(ISNUMBER(N683),ISNUMBER(P683),ISNUMBER(H683))),"시각 결측",IF(P683&lt;=N683,"P0 시각 역전",IF(OR(H683&lt;N683,H683&gt;P683),"측정시각 구간 밖","OK")))))</f>
        <v/>
      </c>
      <c r="N683" s="45">
        <f>IF(COUNTIFS($C:$C,$C683,$D:$D,"P0(전)",$L:$L,"&gt;0")&lt;&gt;1,"",SUMIFS($H:$H,$C:$C,$C683,$D:$D,"P0(전)"))</f>
        <v/>
      </c>
      <c r="O683" s="30">
        <f>IF(COUNTIFS($C:$C,$C683,$D:$D,"P0(전)",$L:$L,"&gt;0")&lt;&gt;1,"",SUMIFS($L:$L,$C:$C,$C683,$D:$D,"P0(전)"))</f>
        <v/>
      </c>
      <c r="P683" s="45">
        <f>IF(COUNTIFS($C:$C,$C683,$D:$D,"P0(후)",$L:$L,"&gt;0")&lt;&gt;1,"",SUMIFS($H:$H,$C:$C,$C683,$D:$D,"P0(후)"))</f>
        <v/>
      </c>
      <c r="Q683" s="30">
        <f>IF(COUNTIFS($C:$C,$C683,$D:$D,"P0(후)",$L:$L,"&gt;0")&lt;&gt;1,"",SUMIFS($L:$L,$C:$C,$C683,$D:$D,"P0(후)"))</f>
        <v/>
      </c>
      <c r="R683" s="30">
        <f>IF(M683&lt;&gt;"OK","",O683+(Q683-O683)*(H683-N683)/(P683-N683))</f>
        <v/>
      </c>
      <c r="S683" s="30">
        <f>IF(OR(M683&lt;&gt;"OK",NOT(ISNUMBER(L683))),"",L683-R683)</f>
        <v/>
      </c>
      <c r="T683" s="46">
        <f>IF(OR(NOT(ISNUMBER(S683)),IF(ISNUMBER(G683),G683,F683)=0),"",S683/IF(ISNUMBER(G683),G683,F683))</f>
        <v/>
      </c>
      <c r="U683" s="46">
        <f>IF(ISNUMBER(T683),ABS(T683),"")</f>
        <v/>
      </c>
      <c r="V683" s="46">
        <f>IF(OR($D682&lt;&gt;"측정",$C682&lt;&gt;$C683,NOT(ISNUMBER(L683)),NOT(ISNUMBER(L682)),(IF(ISNUMBER(G683),G683,F683)-IF(ISNUMBER(G682),G682,F682))=0),"",(L683-L682)/(IF(ISNUMBER(G683),G683,F683)-IF(ISNUMBER(G682),G682,F682)))</f>
        <v/>
      </c>
      <c r="W683" s="30">
        <f>IF(NOT(AND(ISNUMBER(N683),ISNUMBER(P683))),"",(P683-N683)*1440)</f>
        <v/>
      </c>
      <c r="X683" s="28" t="n"/>
      <c r="Y683" s="28" t="n"/>
      <c r="Z683" s="28" t="n"/>
      <c r="AA683" s="31" t="n"/>
      <c r="AB683" s="31" t="n"/>
    </row>
    <row r="684">
      <c r="A684" s="25" t="inlineStr">
        <is>
          <t>S14</t>
        </is>
      </c>
      <c r="B684" s="25" t="inlineStr">
        <is>
          <t>청송 신규점1</t>
        </is>
      </c>
      <c r="C684" s="25" t="inlineStr">
        <is>
          <t>S14-H동</t>
        </is>
      </c>
      <c r="D684" s="25" t="inlineStr">
        <is>
          <t>측정</t>
        </is>
      </c>
      <c r="E684" s="25" t="inlineStr">
        <is>
          <t>동</t>
        </is>
      </c>
      <c r="F684" s="30" t="n">
        <v>2</v>
      </c>
      <c r="G684" s="29" t="n"/>
      <c r="H684" s="42" t="n"/>
      <c r="I684" s="40" t="n"/>
      <c r="J684" s="40" t="n"/>
      <c r="K684" s="40" t="n"/>
      <c r="L684" s="30">
        <f>IF(COUNT(I684:K684)=0,"",MEDIAN(I684:K684))</f>
        <v/>
      </c>
      <c r="M684" s="25">
        <f>IF(COUNTIFS($C:$C,$C684,$D:$D,"P0(전)",$L:$L,"&gt;0")&lt;&gt;1,"P0(전) 유효 1개 아님",IF(COUNTIFS($C:$C,$C684,$D:$D,"P0(후)",$L:$L,"&gt;0")&lt;&gt;1,"P0(후) 유효 1개 아님",IF(NOT(AND(ISNUMBER(N684),ISNUMBER(P684),ISNUMBER(H684))),"시각 결측",IF(P684&lt;=N684,"P0 시각 역전",IF(OR(H684&lt;N684,H684&gt;P684),"측정시각 구간 밖","OK")))))</f>
        <v/>
      </c>
      <c r="N684" s="45">
        <f>IF(COUNTIFS($C:$C,$C684,$D:$D,"P0(전)",$L:$L,"&gt;0")&lt;&gt;1,"",SUMIFS($H:$H,$C:$C,$C684,$D:$D,"P0(전)"))</f>
        <v/>
      </c>
      <c r="O684" s="30">
        <f>IF(COUNTIFS($C:$C,$C684,$D:$D,"P0(전)",$L:$L,"&gt;0")&lt;&gt;1,"",SUMIFS($L:$L,$C:$C,$C684,$D:$D,"P0(전)"))</f>
        <v/>
      </c>
      <c r="P684" s="45">
        <f>IF(COUNTIFS($C:$C,$C684,$D:$D,"P0(후)",$L:$L,"&gt;0")&lt;&gt;1,"",SUMIFS($H:$H,$C:$C,$C684,$D:$D,"P0(후)"))</f>
        <v/>
      </c>
      <c r="Q684" s="30">
        <f>IF(COUNTIFS($C:$C,$C684,$D:$D,"P0(후)",$L:$L,"&gt;0")&lt;&gt;1,"",SUMIFS($L:$L,$C:$C,$C684,$D:$D,"P0(후)"))</f>
        <v/>
      </c>
      <c r="R684" s="30">
        <f>IF(M684&lt;&gt;"OK","",O684+(Q684-O684)*(H684-N684)/(P684-N684))</f>
        <v/>
      </c>
      <c r="S684" s="30">
        <f>IF(OR(M684&lt;&gt;"OK",NOT(ISNUMBER(L684))),"",L684-R684)</f>
        <v/>
      </c>
      <c r="T684" s="46">
        <f>IF(OR(NOT(ISNUMBER(S684)),IF(ISNUMBER(G684),G684,F684)=0),"",S684/IF(ISNUMBER(G684),G684,F684))</f>
        <v/>
      </c>
      <c r="U684" s="46">
        <f>IF(ISNUMBER(T684),ABS(T684),"")</f>
        <v/>
      </c>
      <c r="V684" s="46">
        <f>IF(OR($D683&lt;&gt;"측정",$C683&lt;&gt;$C684,NOT(ISNUMBER(L684)),NOT(ISNUMBER(L683)),(IF(ISNUMBER(G684),G684,F684)-IF(ISNUMBER(G683),G683,F683))=0),"",(L684-L683)/(IF(ISNUMBER(G684),G684,F684)-IF(ISNUMBER(G683),G683,F683)))</f>
        <v/>
      </c>
      <c r="W684" s="30">
        <f>IF(NOT(AND(ISNUMBER(N684),ISNUMBER(P684))),"",(P684-N684)*1440)</f>
        <v/>
      </c>
      <c r="X684" s="28" t="n"/>
      <c r="Y684" s="28" t="n"/>
      <c r="Z684" s="28" t="n"/>
      <c r="AA684" s="31" t="n"/>
      <c r="AB684" s="31" t="n"/>
    </row>
    <row r="685">
      <c r="A685" s="25" t="inlineStr">
        <is>
          <t>S14</t>
        </is>
      </c>
      <c r="B685" s="25" t="inlineStr">
        <is>
          <t>청송 신규점1</t>
        </is>
      </c>
      <c r="C685" s="25" t="inlineStr">
        <is>
          <t>S14-H동</t>
        </is>
      </c>
      <c r="D685" s="25" t="inlineStr">
        <is>
          <t>측정</t>
        </is>
      </c>
      <c r="E685" s="25" t="inlineStr">
        <is>
          <t>동</t>
        </is>
      </c>
      <c r="F685" s="30" t="n">
        <v>3</v>
      </c>
      <c r="G685" s="29" t="n"/>
      <c r="H685" s="42" t="n"/>
      <c r="I685" s="40" t="n"/>
      <c r="J685" s="40" t="n"/>
      <c r="K685" s="40" t="n"/>
      <c r="L685" s="30">
        <f>IF(COUNT(I685:K685)=0,"",MEDIAN(I685:K685))</f>
        <v/>
      </c>
      <c r="M685" s="25">
        <f>IF(COUNTIFS($C:$C,$C685,$D:$D,"P0(전)",$L:$L,"&gt;0")&lt;&gt;1,"P0(전) 유효 1개 아님",IF(COUNTIFS($C:$C,$C685,$D:$D,"P0(후)",$L:$L,"&gt;0")&lt;&gt;1,"P0(후) 유효 1개 아님",IF(NOT(AND(ISNUMBER(N685),ISNUMBER(P685),ISNUMBER(H685))),"시각 결측",IF(P685&lt;=N685,"P0 시각 역전",IF(OR(H685&lt;N685,H685&gt;P685),"측정시각 구간 밖","OK")))))</f>
        <v/>
      </c>
      <c r="N685" s="45">
        <f>IF(COUNTIFS($C:$C,$C685,$D:$D,"P0(전)",$L:$L,"&gt;0")&lt;&gt;1,"",SUMIFS($H:$H,$C:$C,$C685,$D:$D,"P0(전)"))</f>
        <v/>
      </c>
      <c r="O685" s="30">
        <f>IF(COUNTIFS($C:$C,$C685,$D:$D,"P0(전)",$L:$L,"&gt;0")&lt;&gt;1,"",SUMIFS($L:$L,$C:$C,$C685,$D:$D,"P0(전)"))</f>
        <v/>
      </c>
      <c r="P685" s="45">
        <f>IF(COUNTIFS($C:$C,$C685,$D:$D,"P0(후)",$L:$L,"&gt;0")&lt;&gt;1,"",SUMIFS($H:$H,$C:$C,$C685,$D:$D,"P0(후)"))</f>
        <v/>
      </c>
      <c r="Q685" s="30">
        <f>IF(COUNTIFS($C:$C,$C685,$D:$D,"P0(후)",$L:$L,"&gt;0")&lt;&gt;1,"",SUMIFS($L:$L,$C:$C,$C685,$D:$D,"P0(후)"))</f>
        <v/>
      </c>
      <c r="R685" s="30">
        <f>IF(M685&lt;&gt;"OK","",O685+(Q685-O685)*(H685-N685)/(P685-N685))</f>
        <v/>
      </c>
      <c r="S685" s="30">
        <f>IF(OR(M685&lt;&gt;"OK",NOT(ISNUMBER(L685))),"",L685-R685)</f>
        <v/>
      </c>
      <c r="T685" s="46">
        <f>IF(OR(NOT(ISNUMBER(S685)),IF(ISNUMBER(G685),G685,F685)=0),"",S685/IF(ISNUMBER(G685),G685,F685))</f>
        <v/>
      </c>
      <c r="U685" s="46">
        <f>IF(ISNUMBER(T685),ABS(T685),"")</f>
        <v/>
      </c>
      <c r="V685" s="46">
        <f>IF(OR($D684&lt;&gt;"측정",$C684&lt;&gt;$C685,NOT(ISNUMBER(L685)),NOT(ISNUMBER(L684)),(IF(ISNUMBER(G685),G685,F685)-IF(ISNUMBER(G684),G684,F684))=0),"",(L685-L684)/(IF(ISNUMBER(G685),G685,F685)-IF(ISNUMBER(G684),G684,F684)))</f>
        <v/>
      </c>
      <c r="W685" s="30">
        <f>IF(NOT(AND(ISNUMBER(N685),ISNUMBER(P685))),"",(P685-N685)*1440)</f>
        <v/>
      </c>
      <c r="X685" s="28" t="n"/>
      <c r="Y685" s="28" t="n"/>
      <c r="Z685" s="28" t="n"/>
      <c r="AA685" s="31" t="n"/>
      <c r="AB685" s="31" t="n"/>
    </row>
    <row r="686">
      <c r="A686" s="25" t="inlineStr">
        <is>
          <t>S14</t>
        </is>
      </c>
      <c r="B686" s="25" t="inlineStr">
        <is>
          <t>청송 신규점1</t>
        </is>
      </c>
      <c r="C686" s="25" t="inlineStr">
        <is>
          <t>S14-H동</t>
        </is>
      </c>
      <c r="D686" s="25" t="inlineStr">
        <is>
          <t>측정</t>
        </is>
      </c>
      <c r="E686" s="25" t="inlineStr">
        <is>
          <t>동</t>
        </is>
      </c>
      <c r="F686" s="30" t="n">
        <v>4</v>
      </c>
      <c r="G686" s="29" t="n"/>
      <c r="H686" s="42" t="n"/>
      <c r="I686" s="40" t="n"/>
      <c r="J686" s="40" t="n"/>
      <c r="K686" s="40" t="n"/>
      <c r="L686" s="30">
        <f>IF(COUNT(I686:K686)=0,"",MEDIAN(I686:K686))</f>
        <v/>
      </c>
      <c r="M686" s="25">
        <f>IF(COUNTIFS($C:$C,$C686,$D:$D,"P0(전)",$L:$L,"&gt;0")&lt;&gt;1,"P0(전) 유효 1개 아님",IF(COUNTIFS($C:$C,$C686,$D:$D,"P0(후)",$L:$L,"&gt;0")&lt;&gt;1,"P0(후) 유효 1개 아님",IF(NOT(AND(ISNUMBER(N686),ISNUMBER(P686),ISNUMBER(H686))),"시각 결측",IF(P686&lt;=N686,"P0 시각 역전",IF(OR(H686&lt;N686,H686&gt;P686),"측정시각 구간 밖","OK")))))</f>
        <v/>
      </c>
      <c r="N686" s="45">
        <f>IF(COUNTIFS($C:$C,$C686,$D:$D,"P0(전)",$L:$L,"&gt;0")&lt;&gt;1,"",SUMIFS($H:$H,$C:$C,$C686,$D:$D,"P0(전)"))</f>
        <v/>
      </c>
      <c r="O686" s="30">
        <f>IF(COUNTIFS($C:$C,$C686,$D:$D,"P0(전)",$L:$L,"&gt;0")&lt;&gt;1,"",SUMIFS($L:$L,$C:$C,$C686,$D:$D,"P0(전)"))</f>
        <v/>
      </c>
      <c r="P686" s="45">
        <f>IF(COUNTIFS($C:$C,$C686,$D:$D,"P0(후)",$L:$L,"&gt;0")&lt;&gt;1,"",SUMIFS($H:$H,$C:$C,$C686,$D:$D,"P0(후)"))</f>
        <v/>
      </c>
      <c r="Q686" s="30">
        <f>IF(COUNTIFS($C:$C,$C686,$D:$D,"P0(후)",$L:$L,"&gt;0")&lt;&gt;1,"",SUMIFS($L:$L,$C:$C,$C686,$D:$D,"P0(후)"))</f>
        <v/>
      </c>
      <c r="R686" s="30">
        <f>IF(M686&lt;&gt;"OK","",O686+(Q686-O686)*(H686-N686)/(P686-N686))</f>
        <v/>
      </c>
      <c r="S686" s="30">
        <f>IF(OR(M686&lt;&gt;"OK",NOT(ISNUMBER(L686))),"",L686-R686)</f>
        <v/>
      </c>
      <c r="T686" s="46">
        <f>IF(OR(NOT(ISNUMBER(S686)),IF(ISNUMBER(G686),G686,F686)=0),"",S686/IF(ISNUMBER(G686),G686,F686))</f>
        <v/>
      </c>
      <c r="U686" s="46">
        <f>IF(ISNUMBER(T686),ABS(T686),"")</f>
        <v/>
      </c>
      <c r="V686" s="46">
        <f>IF(OR($D685&lt;&gt;"측정",$C685&lt;&gt;$C686,NOT(ISNUMBER(L686)),NOT(ISNUMBER(L685)),(IF(ISNUMBER(G686),G686,F686)-IF(ISNUMBER(G685),G685,F685))=0),"",(L686-L685)/(IF(ISNUMBER(G686),G686,F686)-IF(ISNUMBER(G685),G685,F685)))</f>
        <v/>
      </c>
      <c r="W686" s="30">
        <f>IF(NOT(AND(ISNUMBER(N686),ISNUMBER(P686))),"",(P686-N686)*1440)</f>
        <v/>
      </c>
      <c r="X686" s="28" t="n"/>
      <c r="Y686" s="28" t="n"/>
      <c r="Z686" s="28" t="n"/>
      <c r="AA686" s="31" t="n"/>
      <c r="AB686" s="31" t="n"/>
    </row>
    <row r="687">
      <c r="A687" s="25" t="inlineStr">
        <is>
          <t>S14</t>
        </is>
      </c>
      <c r="B687" s="25" t="inlineStr">
        <is>
          <t>청송 신규점1</t>
        </is>
      </c>
      <c r="C687" s="25" t="inlineStr">
        <is>
          <t>S14-H동</t>
        </is>
      </c>
      <c r="D687" s="25" t="inlineStr">
        <is>
          <t>측정</t>
        </is>
      </c>
      <c r="E687" s="25" t="inlineStr">
        <is>
          <t>동</t>
        </is>
      </c>
      <c r="F687" s="30" t="n">
        <v>5</v>
      </c>
      <c r="G687" s="29" t="n"/>
      <c r="H687" s="42" t="n"/>
      <c r="I687" s="40" t="n"/>
      <c r="J687" s="40" t="n"/>
      <c r="K687" s="40" t="n"/>
      <c r="L687" s="30">
        <f>IF(COUNT(I687:K687)=0,"",MEDIAN(I687:K687))</f>
        <v/>
      </c>
      <c r="M687" s="25">
        <f>IF(COUNTIFS($C:$C,$C687,$D:$D,"P0(전)",$L:$L,"&gt;0")&lt;&gt;1,"P0(전) 유효 1개 아님",IF(COUNTIFS($C:$C,$C687,$D:$D,"P0(후)",$L:$L,"&gt;0")&lt;&gt;1,"P0(후) 유효 1개 아님",IF(NOT(AND(ISNUMBER(N687),ISNUMBER(P687),ISNUMBER(H687))),"시각 결측",IF(P687&lt;=N687,"P0 시각 역전",IF(OR(H687&lt;N687,H687&gt;P687),"측정시각 구간 밖","OK")))))</f>
        <v/>
      </c>
      <c r="N687" s="45">
        <f>IF(COUNTIFS($C:$C,$C687,$D:$D,"P0(전)",$L:$L,"&gt;0")&lt;&gt;1,"",SUMIFS($H:$H,$C:$C,$C687,$D:$D,"P0(전)"))</f>
        <v/>
      </c>
      <c r="O687" s="30">
        <f>IF(COUNTIFS($C:$C,$C687,$D:$D,"P0(전)",$L:$L,"&gt;0")&lt;&gt;1,"",SUMIFS($L:$L,$C:$C,$C687,$D:$D,"P0(전)"))</f>
        <v/>
      </c>
      <c r="P687" s="45">
        <f>IF(COUNTIFS($C:$C,$C687,$D:$D,"P0(후)",$L:$L,"&gt;0")&lt;&gt;1,"",SUMIFS($H:$H,$C:$C,$C687,$D:$D,"P0(후)"))</f>
        <v/>
      </c>
      <c r="Q687" s="30">
        <f>IF(COUNTIFS($C:$C,$C687,$D:$D,"P0(후)",$L:$L,"&gt;0")&lt;&gt;1,"",SUMIFS($L:$L,$C:$C,$C687,$D:$D,"P0(후)"))</f>
        <v/>
      </c>
      <c r="R687" s="30">
        <f>IF(M687&lt;&gt;"OK","",O687+(Q687-O687)*(H687-N687)/(P687-N687))</f>
        <v/>
      </c>
      <c r="S687" s="30">
        <f>IF(OR(M687&lt;&gt;"OK",NOT(ISNUMBER(L687))),"",L687-R687)</f>
        <v/>
      </c>
      <c r="T687" s="46">
        <f>IF(OR(NOT(ISNUMBER(S687)),IF(ISNUMBER(G687),G687,F687)=0),"",S687/IF(ISNUMBER(G687),G687,F687))</f>
        <v/>
      </c>
      <c r="U687" s="46">
        <f>IF(ISNUMBER(T687),ABS(T687),"")</f>
        <v/>
      </c>
      <c r="V687" s="46">
        <f>IF(OR($D686&lt;&gt;"측정",$C686&lt;&gt;$C687,NOT(ISNUMBER(L687)),NOT(ISNUMBER(L686)),(IF(ISNUMBER(G687),G687,F687)-IF(ISNUMBER(G686),G686,F686))=0),"",(L687-L686)/(IF(ISNUMBER(G687),G687,F687)-IF(ISNUMBER(G686),G686,F686)))</f>
        <v/>
      </c>
      <c r="W687" s="30">
        <f>IF(NOT(AND(ISNUMBER(N687),ISNUMBER(P687))),"",(P687-N687)*1440)</f>
        <v/>
      </c>
      <c r="X687" s="28" t="n"/>
      <c r="Y687" s="28" t="n"/>
      <c r="Z687" s="28" t="n"/>
      <c r="AA687" s="31" t="n"/>
      <c r="AB687" s="31" t="n"/>
    </row>
    <row r="688">
      <c r="A688" s="25" t="inlineStr">
        <is>
          <t>S14</t>
        </is>
      </c>
      <c r="B688" s="25" t="inlineStr">
        <is>
          <t>청송 신규점1</t>
        </is>
      </c>
      <c r="C688" s="25" t="inlineStr">
        <is>
          <t>S14-H동</t>
        </is>
      </c>
      <c r="D688" s="25" t="inlineStr">
        <is>
          <t>측정</t>
        </is>
      </c>
      <c r="E688" s="25" t="inlineStr">
        <is>
          <t>동</t>
        </is>
      </c>
      <c r="F688" s="30" t="n">
        <v>6</v>
      </c>
      <c r="G688" s="29" t="n"/>
      <c r="H688" s="42" t="n"/>
      <c r="I688" s="40" t="n"/>
      <c r="J688" s="40" t="n"/>
      <c r="K688" s="40" t="n"/>
      <c r="L688" s="30">
        <f>IF(COUNT(I688:K688)=0,"",MEDIAN(I688:K688))</f>
        <v/>
      </c>
      <c r="M688" s="25">
        <f>IF(COUNTIFS($C:$C,$C688,$D:$D,"P0(전)",$L:$L,"&gt;0")&lt;&gt;1,"P0(전) 유효 1개 아님",IF(COUNTIFS($C:$C,$C688,$D:$D,"P0(후)",$L:$L,"&gt;0")&lt;&gt;1,"P0(후) 유효 1개 아님",IF(NOT(AND(ISNUMBER(N688),ISNUMBER(P688),ISNUMBER(H688))),"시각 결측",IF(P688&lt;=N688,"P0 시각 역전",IF(OR(H688&lt;N688,H688&gt;P688),"측정시각 구간 밖","OK")))))</f>
        <v/>
      </c>
      <c r="N688" s="45">
        <f>IF(COUNTIFS($C:$C,$C688,$D:$D,"P0(전)",$L:$L,"&gt;0")&lt;&gt;1,"",SUMIFS($H:$H,$C:$C,$C688,$D:$D,"P0(전)"))</f>
        <v/>
      </c>
      <c r="O688" s="30">
        <f>IF(COUNTIFS($C:$C,$C688,$D:$D,"P0(전)",$L:$L,"&gt;0")&lt;&gt;1,"",SUMIFS($L:$L,$C:$C,$C688,$D:$D,"P0(전)"))</f>
        <v/>
      </c>
      <c r="P688" s="45">
        <f>IF(COUNTIFS($C:$C,$C688,$D:$D,"P0(후)",$L:$L,"&gt;0")&lt;&gt;1,"",SUMIFS($H:$H,$C:$C,$C688,$D:$D,"P0(후)"))</f>
        <v/>
      </c>
      <c r="Q688" s="30">
        <f>IF(COUNTIFS($C:$C,$C688,$D:$D,"P0(후)",$L:$L,"&gt;0")&lt;&gt;1,"",SUMIFS($L:$L,$C:$C,$C688,$D:$D,"P0(후)"))</f>
        <v/>
      </c>
      <c r="R688" s="30">
        <f>IF(M688&lt;&gt;"OK","",O688+(Q688-O688)*(H688-N688)/(P688-N688))</f>
        <v/>
      </c>
      <c r="S688" s="30">
        <f>IF(OR(M688&lt;&gt;"OK",NOT(ISNUMBER(L688))),"",L688-R688)</f>
        <v/>
      </c>
      <c r="T688" s="46">
        <f>IF(OR(NOT(ISNUMBER(S688)),IF(ISNUMBER(G688),G688,F688)=0),"",S688/IF(ISNUMBER(G688),G688,F688))</f>
        <v/>
      </c>
      <c r="U688" s="46">
        <f>IF(ISNUMBER(T688),ABS(T688),"")</f>
        <v/>
      </c>
      <c r="V688" s="46">
        <f>IF(OR($D687&lt;&gt;"측정",$C687&lt;&gt;$C688,NOT(ISNUMBER(L688)),NOT(ISNUMBER(L687)),(IF(ISNUMBER(G688),G688,F688)-IF(ISNUMBER(G687),G687,F687))=0),"",(L688-L687)/(IF(ISNUMBER(G688),G688,F688)-IF(ISNUMBER(G687),G687,F687)))</f>
        <v/>
      </c>
      <c r="W688" s="30">
        <f>IF(NOT(AND(ISNUMBER(N688),ISNUMBER(P688))),"",(P688-N688)*1440)</f>
        <v/>
      </c>
      <c r="X688" s="28" t="n"/>
      <c r="Y688" s="28" t="n"/>
      <c r="Z688" s="28" t="n"/>
      <c r="AA688" s="31" t="n"/>
      <c r="AB688" s="31" t="n"/>
    </row>
    <row r="689">
      <c r="A689" s="25" t="inlineStr">
        <is>
          <t>S14</t>
        </is>
      </c>
      <c r="B689" s="25" t="inlineStr">
        <is>
          <t>청송 신규점1</t>
        </is>
      </c>
      <c r="C689" s="25" t="inlineStr">
        <is>
          <t>S14-H동</t>
        </is>
      </c>
      <c r="D689" s="25" t="inlineStr">
        <is>
          <t>측정</t>
        </is>
      </c>
      <c r="E689" s="25" t="inlineStr">
        <is>
          <t>동</t>
        </is>
      </c>
      <c r="F689" s="30" t="n">
        <v>7</v>
      </c>
      <c r="G689" s="29" t="n"/>
      <c r="H689" s="42" t="n"/>
      <c r="I689" s="40" t="n"/>
      <c r="J689" s="40" t="n"/>
      <c r="K689" s="40" t="n"/>
      <c r="L689" s="30">
        <f>IF(COUNT(I689:K689)=0,"",MEDIAN(I689:K689))</f>
        <v/>
      </c>
      <c r="M689" s="25">
        <f>IF(COUNTIFS($C:$C,$C689,$D:$D,"P0(전)",$L:$L,"&gt;0")&lt;&gt;1,"P0(전) 유효 1개 아님",IF(COUNTIFS($C:$C,$C689,$D:$D,"P0(후)",$L:$L,"&gt;0")&lt;&gt;1,"P0(후) 유효 1개 아님",IF(NOT(AND(ISNUMBER(N689),ISNUMBER(P689),ISNUMBER(H689))),"시각 결측",IF(P689&lt;=N689,"P0 시각 역전",IF(OR(H689&lt;N689,H689&gt;P689),"측정시각 구간 밖","OK")))))</f>
        <v/>
      </c>
      <c r="N689" s="45">
        <f>IF(COUNTIFS($C:$C,$C689,$D:$D,"P0(전)",$L:$L,"&gt;0")&lt;&gt;1,"",SUMIFS($H:$H,$C:$C,$C689,$D:$D,"P0(전)"))</f>
        <v/>
      </c>
      <c r="O689" s="30">
        <f>IF(COUNTIFS($C:$C,$C689,$D:$D,"P0(전)",$L:$L,"&gt;0")&lt;&gt;1,"",SUMIFS($L:$L,$C:$C,$C689,$D:$D,"P0(전)"))</f>
        <v/>
      </c>
      <c r="P689" s="45">
        <f>IF(COUNTIFS($C:$C,$C689,$D:$D,"P0(후)",$L:$L,"&gt;0")&lt;&gt;1,"",SUMIFS($H:$H,$C:$C,$C689,$D:$D,"P0(후)"))</f>
        <v/>
      </c>
      <c r="Q689" s="30">
        <f>IF(COUNTIFS($C:$C,$C689,$D:$D,"P0(후)",$L:$L,"&gt;0")&lt;&gt;1,"",SUMIFS($L:$L,$C:$C,$C689,$D:$D,"P0(후)"))</f>
        <v/>
      </c>
      <c r="R689" s="30">
        <f>IF(M689&lt;&gt;"OK","",O689+(Q689-O689)*(H689-N689)/(P689-N689))</f>
        <v/>
      </c>
      <c r="S689" s="30">
        <f>IF(OR(M689&lt;&gt;"OK",NOT(ISNUMBER(L689))),"",L689-R689)</f>
        <v/>
      </c>
      <c r="T689" s="46">
        <f>IF(OR(NOT(ISNUMBER(S689)),IF(ISNUMBER(G689),G689,F689)=0),"",S689/IF(ISNUMBER(G689),G689,F689))</f>
        <v/>
      </c>
      <c r="U689" s="46">
        <f>IF(ISNUMBER(T689),ABS(T689),"")</f>
        <v/>
      </c>
      <c r="V689" s="46">
        <f>IF(OR($D688&lt;&gt;"측정",$C688&lt;&gt;$C689,NOT(ISNUMBER(L689)),NOT(ISNUMBER(L688)),(IF(ISNUMBER(G689),G689,F689)-IF(ISNUMBER(G688),G688,F688))=0),"",(L689-L688)/(IF(ISNUMBER(G689),G689,F689)-IF(ISNUMBER(G688),G688,F688)))</f>
        <v/>
      </c>
      <c r="W689" s="30">
        <f>IF(NOT(AND(ISNUMBER(N689),ISNUMBER(P689))),"",(P689-N689)*1440)</f>
        <v/>
      </c>
      <c r="X689" s="28" t="n"/>
      <c r="Y689" s="28" t="n"/>
      <c r="Z689" s="28" t="n"/>
      <c r="AA689" s="31" t="n"/>
      <c r="AB689" s="31" t="n"/>
    </row>
    <row r="690">
      <c r="A690" s="25" t="inlineStr">
        <is>
          <t>S14</t>
        </is>
      </c>
      <c r="B690" s="25" t="inlineStr">
        <is>
          <t>청송 신규점1</t>
        </is>
      </c>
      <c r="C690" s="25" t="inlineStr">
        <is>
          <t>S14-H동</t>
        </is>
      </c>
      <c r="D690" s="25" t="inlineStr">
        <is>
          <t>측정</t>
        </is>
      </c>
      <c r="E690" s="25" t="inlineStr">
        <is>
          <t>동</t>
        </is>
      </c>
      <c r="F690" s="30" t="n">
        <v>8</v>
      </c>
      <c r="G690" s="29" t="n"/>
      <c r="H690" s="42" t="n"/>
      <c r="I690" s="40" t="n"/>
      <c r="J690" s="40" t="n"/>
      <c r="K690" s="40" t="n"/>
      <c r="L690" s="30">
        <f>IF(COUNT(I690:K690)=0,"",MEDIAN(I690:K690))</f>
        <v/>
      </c>
      <c r="M690" s="25">
        <f>IF(COUNTIFS($C:$C,$C690,$D:$D,"P0(전)",$L:$L,"&gt;0")&lt;&gt;1,"P0(전) 유효 1개 아님",IF(COUNTIFS($C:$C,$C690,$D:$D,"P0(후)",$L:$L,"&gt;0")&lt;&gt;1,"P0(후) 유효 1개 아님",IF(NOT(AND(ISNUMBER(N690),ISNUMBER(P690),ISNUMBER(H690))),"시각 결측",IF(P690&lt;=N690,"P0 시각 역전",IF(OR(H690&lt;N690,H690&gt;P690),"측정시각 구간 밖","OK")))))</f>
        <v/>
      </c>
      <c r="N690" s="45">
        <f>IF(COUNTIFS($C:$C,$C690,$D:$D,"P0(전)",$L:$L,"&gt;0")&lt;&gt;1,"",SUMIFS($H:$H,$C:$C,$C690,$D:$D,"P0(전)"))</f>
        <v/>
      </c>
      <c r="O690" s="30">
        <f>IF(COUNTIFS($C:$C,$C690,$D:$D,"P0(전)",$L:$L,"&gt;0")&lt;&gt;1,"",SUMIFS($L:$L,$C:$C,$C690,$D:$D,"P0(전)"))</f>
        <v/>
      </c>
      <c r="P690" s="45">
        <f>IF(COUNTIFS($C:$C,$C690,$D:$D,"P0(후)",$L:$L,"&gt;0")&lt;&gt;1,"",SUMIFS($H:$H,$C:$C,$C690,$D:$D,"P0(후)"))</f>
        <v/>
      </c>
      <c r="Q690" s="30">
        <f>IF(COUNTIFS($C:$C,$C690,$D:$D,"P0(후)",$L:$L,"&gt;0")&lt;&gt;1,"",SUMIFS($L:$L,$C:$C,$C690,$D:$D,"P0(후)"))</f>
        <v/>
      </c>
      <c r="R690" s="30">
        <f>IF(M690&lt;&gt;"OK","",O690+(Q690-O690)*(H690-N690)/(P690-N690))</f>
        <v/>
      </c>
      <c r="S690" s="30">
        <f>IF(OR(M690&lt;&gt;"OK",NOT(ISNUMBER(L690))),"",L690-R690)</f>
        <v/>
      </c>
      <c r="T690" s="46">
        <f>IF(OR(NOT(ISNUMBER(S690)),IF(ISNUMBER(G690),G690,F690)=0),"",S690/IF(ISNUMBER(G690),G690,F690))</f>
        <v/>
      </c>
      <c r="U690" s="46">
        <f>IF(ISNUMBER(T690),ABS(T690),"")</f>
        <v/>
      </c>
      <c r="V690" s="46">
        <f>IF(OR($D689&lt;&gt;"측정",$C689&lt;&gt;$C690,NOT(ISNUMBER(L690)),NOT(ISNUMBER(L689)),(IF(ISNUMBER(G690),G690,F690)-IF(ISNUMBER(G689),G689,F689))=0),"",(L690-L689)/(IF(ISNUMBER(G690),G690,F690)-IF(ISNUMBER(G689),G689,F689)))</f>
        <v/>
      </c>
      <c r="W690" s="30">
        <f>IF(NOT(AND(ISNUMBER(N690),ISNUMBER(P690))),"",(P690-N690)*1440)</f>
        <v/>
      </c>
      <c r="X690" s="28" t="n"/>
      <c r="Y690" s="28" t="n"/>
      <c r="Z690" s="28" t="n"/>
      <c r="AA690" s="31" t="n"/>
      <c r="AB690" s="31" t="n"/>
    </row>
    <row r="691">
      <c r="A691" s="25" t="inlineStr">
        <is>
          <t>S14</t>
        </is>
      </c>
      <c r="B691" s="25" t="inlineStr">
        <is>
          <t>청송 신규점1</t>
        </is>
      </c>
      <c r="C691" s="25" t="inlineStr">
        <is>
          <t>S14-H동</t>
        </is>
      </c>
      <c r="D691" s="25" t="inlineStr">
        <is>
          <t>측정</t>
        </is>
      </c>
      <c r="E691" s="25" t="inlineStr">
        <is>
          <t>동</t>
        </is>
      </c>
      <c r="F691" s="30" t="n">
        <v>9</v>
      </c>
      <c r="G691" s="29" t="n"/>
      <c r="H691" s="42" t="n"/>
      <c r="I691" s="40" t="n"/>
      <c r="J691" s="40" t="n"/>
      <c r="K691" s="40" t="n"/>
      <c r="L691" s="30">
        <f>IF(COUNT(I691:K691)=0,"",MEDIAN(I691:K691))</f>
        <v/>
      </c>
      <c r="M691" s="25">
        <f>IF(COUNTIFS($C:$C,$C691,$D:$D,"P0(전)",$L:$L,"&gt;0")&lt;&gt;1,"P0(전) 유효 1개 아님",IF(COUNTIFS($C:$C,$C691,$D:$D,"P0(후)",$L:$L,"&gt;0")&lt;&gt;1,"P0(후) 유효 1개 아님",IF(NOT(AND(ISNUMBER(N691),ISNUMBER(P691),ISNUMBER(H691))),"시각 결측",IF(P691&lt;=N691,"P0 시각 역전",IF(OR(H691&lt;N691,H691&gt;P691),"측정시각 구간 밖","OK")))))</f>
        <v/>
      </c>
      <c r="N691" s="45">
        <f>IF(COUNTIFS($C:$C,$C691,$D:$D,"P0(전)",$L:$L,"&gt;0")&lt;&gt;1,"",SUMIFS($H:$H,$C:$C,$C691,$D:$D,"P0(전)"))</f>
        <v/>
      </c>
      <c r="O691" s="30">
        <f>IF(COUNTIFS($C:$C,$C691,$D:$D,"P0(전)",$L:$L,"&gt;0")&lt;&gt;1,"",SUMIFS($L:$L,$C:$C,$C691,$D:$D,"P0(전)"))</f>
        <v/>
      </c>
      <c r="P691" s="45">
        <f>IF(COUNTIFS($C:$C,$C691,$D:$D,"P0(후)",$L:$L,"&gt;0")&lt;&gt;1,"",SUMIFS($H:$H,$C:$C,$C691,$D:$D,"P0(후)"))</f>
        <v/>
      </c>
      <c r="Q691" s="30">
        <f>IF(COUNTIFS($C:$C,$C691,$D:$D,"P0(후)",$L:$L,"&gt;0")&lt;&gt;1,"",SUMIFS($L:$L,$C:$C,$C691,$D:$D,"P0(후)"))</f>
        <v/>
      </c>
      <c r="R691" s="30">
        <f>IF(M691&lt;&gt;"OK","",O691+(Q691-O691)*(H691-N691)/(P691-N691))</f>
        <v/>
      </c>
      <c r="S691" s="30">
        <f>IF(OR(M691&lt;&gt;"OK",NOT(ISNUMBER(L691))),"",L691-R691)</f>
        <v/>
      </c>
      <c r="T691" s="46">
        <f>IF(OR(NOT(ISNUMBER(S691)),IF(ISNUMBER(G691),G691,F691)=0),"",S691/IF(ISNUMBER(G691),G691,F691))</f>
        <v/>
      </c>
      <c r="U691" s="46">
        <f>IF(ISNUMBER(T691),ABS(T691),"")</f>
        <v/>
      </c>
      <c r="V691" s="46">
        <f>IF(OR($D690&lt;&gt;"측정",$C690&lt;&gt;$C691,NOT(ISNUMBER(L691)),NOT(ISNUMBER(L690)),(IF(ISNUMBER(G691),G691,F691)-IF(ISNUMBER(G690),G690,F690))=0),"",(L691-L690)/(IF(ISNUMBER(G691),G691,F691)-IF(ISNUMBER(G690),G690,F690)))</f>
        <v/>
      </c>
      <c r="W691" s="30">
        <f>IF(NOT(AND(ISNUMBER(N691),ISNUMBER(P691))),"",(P691-N691)*1440)</f>
        <v/>
      </c>
      <c r="X691" s="28" t="n"/>
      <c r="Y691" s="28" t="n"/>
      <c r="Z691" s="28" t="n"/>
      <c r="AA691" s="31" t="n"/>
      <c r="AB691" s="31" t="n"/>
    </row>
    <row r="692">
      <c r="A692" s="25" t="inlineStr">
        <is>
          <t>S14</t>
        </is>
      </c>
      <c r="B692" s="25" t="inlineStr">
        <is>
          <t>청송 신규점1</t>
        </is>
      </c>
      <c r="C692" s="25" t="inlineStr">
        <is>
          <t>S14-H동</t>
        </is>
      </c>
      <c r="D692" s="25" t="inlineStr">
        <is>
          <t>측정</t>
        </is>
      </c>
      <c r="E692" s="25" t="inlineStr">
        <is>
          <t>동</t>
        </is>
      </c>
      <c r="F692" s="30" t="n">
        <v>10</v>
      </c>
      <c r="G692" s="29" t="n"/>
      <c r="H692" s="42" t="n"/>
      <c r="I692" s="40" t="n"/>
      <c r="J692" s="40" t="n"/>
      <c r="K692" s="40" t="n"/>
      <c r="L692" s="30">
        <f>IF(COUNT(I692:K692)=0,"",MEDIAN(I692:K692))</f>
        <v/>
      </c>
      <c r="M692" s="25">
        <f>IF(COUNTIFS($C:$C,$C692,$D:$D,"P0(전)",$L:$L,"&gt;0")&lt;&gt;1,"P0(전) 유효 1개 아님",IF(COUNTIFS($C:$C,$C692,$D:$D,"P0(후)",$L:$L,"&gt;0")&lt;&gt;1,"P0(후) 유효 1개 아님",IF(NOT(AND(ISNUMBER(N692),ISNUMBER(P692),ISNUMBER(H692))),"시각 결측",IF(P692&lt;=N692,"P0 시각 역전",IF(OR(H692&lt;N692,H692&gt;P692),"측정시각 구간 밖","OK")))))</f>
        <v/>
      </c>
      <c r="N692" s="45">
        <f>IF(COUNTIFS($C:$C,$C692,$D:$D,"P0(전)",$L:$L,"&gt;0")&lt;&gt;1,"",SUMIFS($H:$H,$C:$C,$C692,$D:$D,"P0(전)"))</f>
        <v/>
      </c>
      <c r="O692" s="30">
        <f>IF(COUNTIFS($C:$C,$C692,$D:$D,"P0(전)",$L:$L,"&gt;0")&lt;&gt;1,"",SUMIFS($L:$L,$C:$C,$C692,$D:$D,"P0(전)"))</f>
        <v/>
      </c>
      <c r="P692" s="45">
        <f>IF(COUNTIFS($C:$C,$C692,$D:$D,"P0(후)",$L:$L,"&gt;0")&lt;&gt;1,"",SUMIFS($H:$H,$C:$C,$C692,$D:$D,"P0(후)"))</f>
        <v/>
      </c>
      <c r="Q692" s="30">
        <f>IF(COUNTIFS($C:$C,$C692,$D:$D,"P0(후)",$L:$L,"&gt;0")&lt;&gt;1,"",SUMIFS($L:$L,$C:$C,$C692,$D:$D,"P0(후)"))</f>
        <v/>
      </c>
      <c r="R692" s="30">
        <f>IF(M692&lt;&gt;"OK","",O692+(Q692-O692)*(H692-N692)/(P692-N692))</f>
        <v/>
      </c>
      <c r="S692" s="30">
        <f>IF(OR(M692&lt;&gt;"OK",NOT(ISNUMBER(L692))),"",L692-R692)</f>
        <v/>
      </c>
      <c r="T692" s="46">
        <f>IF(OR(NOT(ISNUMBER(S692)),IF(ISNUMBER(G692),G692,F692)=0),"",S692/IF(ISNUMBER(G692),G692,F692))</f>
        <v/>
      </c>
      <c r="U692" s="46">
        <f>IF(ISNUMBER(T692),ABS(T692),"")</f>
        <v/>
      </c>
      <c r="V692" s="46">
        <f>IF(OR($D691&lt;&gt;"측정",$C691&lt;&gt;$C692,NOT(ISNUMBER(L692)),NOT(ISNUMBER(L691)),(IF(ISNUMBER(G692),G692,F692)-IF(ISNUMBER(G691),G691,F691))=0),"",(L692-L691)/(IF(ISNUMBER(G692),G692,F692)-IF(ISNUMBER(G691),G691,F691)))</f>
        <v/>
      </c>
      <c r="W692" s="30">
        <f>IF(NOT(AND(ISNUMBER(N692),ISNUMBER(P692))),"",(P692-N692)*1440)</f>
        <v/>
      </c>
      <c r="X692" s="28" t="n"/>
      <c r="Y692" s="28" t="n"/>
      <c r="Z692" s="28" t="n"/>
      <c r="AA692" s="31" t="n"/>
      <c r="AB692" s="31" t="n"/>
    </row>
    <row r="693">
      <c r="A693" s="43" t="inlineStr">
        <is>
          <t>S14</t>
        </is>
      </c>
      <c r="B693" s="43" t="inlineStr">
        <is>
          <t>청송 신규점1</t>
        </is>
      </c>
      <c r="C693" s="43" t="inlineStr">
        <is>
          <t>S14-H동</t>
        </is>
      </c>
      <c r="D693" s="43" t="inlineStr">
        <is>
          <t>P0(후)</t>
        </is>
      </c>
      <c r="E693" s="43" t="inlineStr">
        <is>
          <t>동</t>
        </is>
      </c>
      <c r="F693" s="44" t="n"/>
      <c r="G693" s="29" t="n"/>
      <c r="H693" s="42" t="n"/>
      <c r="I693" s="40" t="n"/>
      <c r="J693" s="40" t="n"/>
      <c r="K693" s="40" t="n"/>
      <c r="L693" s="30">
        <f>IF(COUNT(I693:K693)=0,"",MEDIAN(I693:K693))</f>
        <v/>
      </c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28" t="n"/>
      <c r="Y693" s="28" t="n"/>
      <c r="Z693" s="28" t="n"/>
      <c r="AA693" s="31" t="n"/>
      <c r="AB693" s="31" t="n"/>
    </row>
    <row r="694">
      <c r="A694" s="43" t="inlineStr">
        <is>
          <t>S14</t>
        </is>
      </c>
      <c r="B694" s="43" t="inlineStr">
        <is>
          <t>청송 신규점1</t>
        </is>
      </c>
      <c r="C694" s="43" t="inlineStr">
        <is>
          <t>S14-H서</t>
        </is>
      </c>
      <c r="D694" s="43" t="inlineStr">
        <is>
          <t>P0(전)</t>
        </is>
      </c>
      <c r="E694" s="43" t="inlineStr">
        <is>
          <t>서</t>
        </is>
      </c>
      <c r="F694" s="44" t="n"/>
      <c r="G694" s="29" t="n"/>
      <c r="H694" s="42" t="n"/>
      <c r="I694" s="40" t="n"/>
      <c r="J694" s="40" t="n"/>
      <c r="K694" s="40" t="n"/>
      <c r="L694" s="30">
        <f>IF(COUNT(I694:K694)=0,"",MEDIAN(I694:K694))</f>
        <v/>
      </c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28" t="n"/>
      <c r="Y694" s="28" t="n"/>
      <c r="Z694" s="28" t="n"/>
      <c r="AA694" s="31" t="n"/>
      <c r="AB694" s="31" t="n"/>
    </row>
    <row r="695">
      <c r="A695" s="25" t="inlineStr">
        <is>
          <t>S14</t>
        </is>
      </c>
      <c r="B695" s="25" t="inlineStr">
        <is>
          <t>청송 신규점1</t>
        </is>
      </c>
      <c r="C695" s="25" t="inlineStr">
        <is>
          <t>S14-H서</t>
        </is>
      </c>
      <c r="D695" s="25" t="inlineStr">
        <is>
          <t>측정</t>
        </is>
      </c>
      <c r="E695" s="25" t="inlineStr">
        <is>
          <t>서</t>
        </is>
      </c>
      <c r="F695" s="30" t="n">
        <v>0.5</v>
      </c>
      <c r="G695" s="29" t="n"/>
      <c r="H695" s="42" t="n"/>
      <c r="I695" s="40" t="n"/>
      <c r="J695" s="40" t="n"/>
      <c r="K695" s="40" t="n"/>
      <c r="L695" s="30">
        <f>IF(COUNT(I695:K695)=0,"",MEDIAN(I695:K695))</f>
        <v/>
      </c>
      <c r="M695" s="25">
        <f>IF(COUNTIFS($C:$C,$C695,$D:$D,"P0(전)",$L:$L,"&gt;0")&lt;&gt;1,"P0(전) 유효 1개 아님",IF(COUNTIFS($C:$C,$C695,$D:$D,"P0(후)",$L:$L,"&gt;0")&lt;&gt;1,"P0(후) 유효 1개 아님",IF(NOT(AND(ISNUMBER(N695),ISNUMBER(P695),ISNUMBER(H695))),"시각 결측",IF(P695&lt;=N695,"P0 시각 역전",IF(OR(H695&lt;N695,H695&gt;P695),"측정시각 구간 밖","OK")))))</f>
        <v/>
      </c>
      <c r="N695" s="45">
        <f>IF(COUNTIFS($C:$C,$C695,$D:$D,"P0(전)",$L:$L,"&gt;0")&lt;&gt;1,"",SUMIFS($H:$H,$C:$C,$C695,$D:$D,"P0(전)"))</f>
        <v/>
      </c>
      <c r="O695" s="30">
        <f>IF(COUNTIFS($C:$C,$C695,$D:$D,"P0(전)",$L:$L,"&gt;0")&lt;&gt;1,"",SUMIFS($L:$L,$C:$C,$C695,$D:$D,"P0(전)"))</f>
        <v/>
      </c>
      <c r="P695" s="45">
        <f>IF(COUNTIFS($C:$C,$C695,$D:$D,"P0(후)",$L:$L,"&gt;0")&lt;&gt;1,"",SUMIFS($H:$H,$C:$C,$C695,$D:$D,"P0(후)"))</f>
        <v/>
      </c>
      <c r="Q695" s="30">
        <f>IF(COUNTIFS($C:$C,$C695,$D:$D,"P0(후)",$L:$L,"&gt;0")&lt;&gt;1,"",SUMIFS($L:$L,$C:$C,$C695,$D:$D,"P0(후)"))</f>
        <v/>
      </c>
      <c r="R695" s="30">
        <f>IF(M695&lt;&gt;"OK","",O695+(Q695-O695)*(H695-N695)/(P695-N695))</f>
        <v/>
      </c>
      <c r="S695" s="30">
        <f>IF(OR(M695&lt;&gt;"OK",NOT(ISNUMBER(L695))),"",L695-R695)</f>
        <v/>
      </c>
      <c r="T695" s="46">
        <f>IF(OR(NOT(ISNUMBER(S695)),IF(ISNUMBER(G695),G695,F695)=0),"",S695/IF(ISNUMBER(G695),G695,F695))</f>
        <v/>
      </c>
      <c r="U695" s="46">
        <f>IF(ISNUMBER(T695),ABS(T695),"")</f>
        <v/>
      </c>
      <c r="V695" s="46">
        <f>IF(OR($D694&lt;&gt;"측정",$C694&lt;&gt;$C695,NOT(ISNUMBER(L695)),NOT(ISNUMBER(L694)),(IF(ISNUMBER(G695),G695,F695)-IF(ISNUMBER(G694),G694,F694))=0),"",(L695-L694)/(IF(ISNUMBER(G695),G695,F695)-IF(ISNUMBER(G694),G694,F694)))</f>
        <v/>
      </c>
      <c r="W695" s="30">
        <f>IF(NOT(AND(ISNUMBER(N695),ISNUMBER(P695))),"",(P695-N695)*1440)</f>
        <v/>
      </c>
      <c r="X695" s="28" t="n"/>
      <c r="Y695" s="28" t="n"/>
      <c r="Z695" s="28" t="n"/>
      <c r="AA695" s="31" t="n"/>
      <c r="AB695" s="31" t="n"/>
    </row>
    <row r="696">
      <c r="A696" s="25" t="inlineStr">
        <is>
          <t>S14</t>
        </is>
      </c>
      <c r="B696" s="25" t="inlineStr">
        <is>
          <t>청송 신규점1</t>
        </is>
      </c>
      <c r="C696" s="25" t="inlineStr">
        <is>
          <t>S14-H서</t>
        </is>
      </c>
      <c r="D696" s="25" t="inlineStr">
        <is>
          <t>측정</t>
        </is>
      </c>
      <c r="E696" s="25" t="inlineStr">
        <is>
          <t>서</t>
        </is>
      </c>
      <c r="F696" s="30" t="n">
        <v>1</v>
      </c>
      <c r="G696" s="29" t="n"/>
      <c r="H696" s="42" t="n"/>
      <c r="I696" s="40" t="n"/>
      <c r="J696" s="40" t="n"/>
      <c r="K696" s="40" t="n"/>
      <c r="L696" s="30">
        <f>IF(COUNT(I696:K696)=0,"",MEDIAN(I696:K696))</f>
        <v/>
      </c>
      <c r="M696" s="25">
        <f>IF(COUNTIFS($C:$C,$C696,$D:$D,"P0(전)",$L:$L,"&gt;0")&lt;&gt;1,"P0(전) 유효 1개 아님",IF(COUNTIFS($C:$C,$C696,$D:$D,"P0(후)",$L:$L,"&gt;0")&lt;&gt;1,"P0(후) 유효 1개 아님",IF(NOT(AND(ISNUMBER(N696),ISNUMBER(P696),ISNUMBER(H696))),"시각 결측",IF(P696&lt;=N696,"P0 시각 역전",IF(OR(H696&lt;N696,H696&gt;P696),"측정시각 구간 밖","OK")))))</f>
        <v/>
      </c>
      <c r="N696" s="45">
        <f>IF(COUNTIFS($C:$C,$C696,$D:$D,"P0(전)",$L:$L,"&gt;0")&lt;&gt;1,"",SUMIFS($H:$H,$C:$C,$C696,$D:$D,"P0(전)"))</f>
        <v/>
      </c>
      <c r="O696" s="30">
        <f>IF(COUNTIFS($C:$C,$C696,$D:$D,"P0(전)",$L:$L,"&gt;0")&lt;&gt;1,"",SUMIFS($L:$L,$C:$C,$C696,$D:$D,"P0(전)"))</f>
        <v/>
      </c>
      <c r="P696" s="45">
        <f>IF(COUNTIFS($C:$C,$C696,$D:$D,"P0(후)",$L:$L,"&gt;0")&lt;&gt;1,"",SUMIFS($H:$H,$C:$C,$C696,$D:$D,"P0(후)"))</f>
        <v/>
      </c>
      <c r="Q696" s="30">
        <f>IF(COUNTIFS($C:$C,$C696,$D:$D,"P0(후)",$L:$L,"&gt;0")&lt;&gt;1,"",SUMIFS($L:$L,$C:$C,$C696,$D:$D,"P0(후)"))</f>
        <v/>
      </c>
      <c r="R696" s="30">
        <f>IF(M696&lt;&gt;"OK","",O696+(Q696-O696)*(H696-N696)/(P696-N696))</f>
        <v/>
      </c>
      <c r="S696" s="30">
        <f>IF(OR(M696&lt;&gt;"OK",NOT(ISNUMBER(L696))),"",L696-R696)</f>
        <v/>
      </c>
      <c r="T696" s="46">
        <f>IF(OR(NOT(ISNUMBER(S696)),IF(ISNUMBER(G696),G696,F696)=0),"",S696/IF(ISNUMBER(G696),G696,F696))</f>
        <v/>
      </c>
      <c r="U696" s="46">
        <f>IF(ISNUMBER(T696),ABS(T696),"")</f>
        <v/>
      </c>
      <c r="V696" s="46">
        <f>IF(OR($D695&lt;&gt;"측정",$C695&lt;&gt;$C696,NOT(ISNUMBER(L696)),NOT(ISNUMBER(L695)),(IF(ISNUMBER(G696),G696,F696)-IF(ISNUMBER(G695),G695,F695))=0),"",(L696-L695)/(IF(ISNUMBER(G696),G696,F696)-IF(ISNUMBER(G695),G695,F695)))</f>
        <v/>
      </c>
      <c r="W696" s="30">
        <f>IF(NOT(AND(ISNUMBER(N696),ISNUMBER(P696))),"",(P696-N696)*1440)</f>
        <v/>
      </c>
      <c r="X696" s="28" t="n"/>
      <c r="Y696" s="28" t="n"/>
      <c r="Z696" s="28" t="n"/>
      <c r="AA696" s="31" t="n"/>
      <c r="AB696" s="31" t="n"/>
    </row>
    <row r="697">
      <c r="A697" s="25" t="inlineStr">
        <is>
          <t>S14</t>
        </is>
      </c>
      <c r="B697" s="25" t="inlineStr">
        <is>
          <t>청송 신규점1</t>
        </is>
      </c>
      <c r="C697" s="25" t="inlineStr">
        <is>
          <t>S14-H서</t>
        </is>
      </c>
      <c r="D697" s="25" t="inlineStr">
        <is>
          <t>측정</t>
        </is>
      </c>
      <c r="E697" s="25" t="inlineStr">
        <is>
          <t>서</t>
        </is>
      </c>
      <c r="F697" s="30" t="n">
        <v>2</v>
      </c>
      <c r="G697" s="29" t="n"/>
      <c r="H697" s="42" t="n"/>
      <c r="I697" s="40" t="n"/>
      <c r="J697" s="40" t="n"/>
      <c r="K697" s="40" t="n"/>
      <c r="L697" s="30">
        <f>IF(COUNT(I697:K697)=0,"",MEDIAN(I697:K697))</f>
        <v/>
      </c>
      <c r="M697" s="25">
        <f>IF(COUNTIFS($C:$C,$C697,$D:$D,"P0(전)",$L:$L,"&gt;0")&lt;&gt;1,"P0(전) 유효 1개 아님",IF(COUNTIFS($C:$C,$C697,$D:$D,"P0(후)",$L:$L,"&gt;0")&lt;&gt;1,"P0(후) 유효 1개 아님",IF(NOT(AND(ISNUMBER(N697),ISNUMBER(P697),ISNUMBER(H697))),"시각 결측",IF(P697&lt;=N697,"P0 시각 역전",IF(OR(H697&lt;N697,H697&gt;P697),"측정시각 구간 밖","OK")))))</f>
        <v/>
      </c>
      <c r="N697" s="45">
        <f>IF(COUNTIFS($C:$C,$C697,$D:$D,"P0(전)",$L:$L,"&gt;0")&lt;&gt;1,"",SUMIFS($H:$H,$C:$C,$C697,$D:$D,"P0(전)"))</f>
        <v/>
      </c>
      <c r="O697" s="30">
        <f>IF(COUNTIFS($C:$C,$C697,$D:$D,"P0(전)",$L:$L,"&gt;0")&lt;&gt;1,"",SUMIFS($L:$L,$C:$C,$C697,$D:$D,"P0(전)"))</f>
        <v/>
      </c>
      <c r="P697" s="45">
        <f>IF(COUNTIFS($C:$C,$C697,$D:$D,"P0(후)",$L:$L,"&gt;0")&lt;&gt;1,"",SUMIFS($H:$H,$C:$C,$C697,$D:$D,"P0(후)"))</f>
        <v/>
      </c>
      <c r="Q697" s="30">
        <f>IF(COUNTIFS($C:$C,$C697,$D:$D,"P0(후)",$L:$L,"&gt;0")&lt;&gt;1,"",SUMIFS($L:$L,$C:$C,$C697,$D:$D,"P0(후)"))</f>
        <v/>
      </c>
      <c r="R697" s="30">
        <f>IF(M697&lt;&gt;"OK","",O697+(Q697-O697)*(H697-N697)/(P697-N697))</f>
        <v/>
      </c>
      <c r="S697" s="30">
        <f>IF(OR(M697&lt;&gt;"OK",NOT(ISNUMBER(L697))),"",L697-R697)</f>
        <v/>
      </c>
      <c r="T697" s="46">
        <f>IF(OR(NOT(ISNUMBER(S697)),IF(ISNUMBER(G697),G697,F697)=0),"",S697/IF(ISNUMBER(G697),G697,F697))</f>
        <v/>
      </c>
      <c r="U697" s="46">
        <f>IF(ISNUMBER(T697),ABS(T697),"")</f>
        <v/>
      </c>
      <c r="V697" s="46">
        <f>IF(OR($D696&lt;&gt;"측정",$C696&lt;&gt;$C697,NOT(ISNUMBER(L697)),NOT(ISNUMBER(L696)),(IF(ISNUMBER(G697),G697,F697)-IF(ISNUMBER(G696),G696,F696))=0),"",(L697-L696)/(IF(ISNUMBER(G697),G697,F697)-IF(ISNUMBER(G696),G696,F696)))</f>
        <v/>
      </c>
      <c r="W697" s="30">
        <f>IF(NOT(AND(ISNUMBER(N697),ISNUMBER(P697))),"",(P697-N697)*1440)</f>
        <v/>
      </c>
      <c r="X697" s="28" t="n"/>
      <c r="Y697" s="28" t="n"/>
      <c r="Z697" s="28" t="n"/>
      <c r="AA697" s="31" t="n"/>
      <c r="AB697" s="31" t="n"/>
    </row>
    <row r="698">
      <c r="A698" s="25" t="inlineStr">
        <is>
          <t>S14</t>
        </is>
      </c>
      <c r="B698" s="25" t="inlineStr">
        <is>
          <t>청송 신규점1</t>
        </is>
      </c>
      <c r="C698" s="25" t="inlineStr">
        <is>
          <t>S14-H서</t>
        </is>
      </c>
      <c r="D698" s="25" t="inlineStr">
        <is>
          <t>측정</t>
        </is>
      </c>
      <c r="E698" s="25" t="inlineStr">
        <is>
          <t>서</t>
        </is>
      </c>
      <c r="F698" s="30" t="n">
        <v>3</v>
      </c>
      <c r="G698" s="29" t="n"/>
      <c r="H698" s="42" t="n"/>
      <c r="I698" s="40" t="n"/>
      <c r="J698" s="40" t="n"/>
      <c r="K698" s="40" t="n"/>
      <c r="L698" s="30">
        <f>IF(COUNT(I698:K698)=0,"",MEDIAN(I698:K698))</f>
        <v/>
      </c>
      <c r="M698" s="25">
        <f>IF(COUNTIFS($C:$C,$C698,$D:$D,"P0(전)",$L:$L,"&gt;0")&lt;&gt;1,"P0(전) 유효 1개 아님",IF(COUNTIFS($C:$C,$C698,$D:$D,"P0(후)",$L:$L,"&gt;0")&lt;&gt;1,"P0(후) 유효 1개 아님",IF(NOT(AND(ISNUMBER(N698),ISNUMBER(P698),ISNUMBER(H698))),"시각 결측",IF(P698&lt;=N698,"P0 시각 역전",IF(OR(H698&lt;N698,H698&gt;P698),"측정시각 구간 밖","OK")))))</f>
        <v/>
      </c>
      <c r="N698" s="45">
        <f>IF(COUNTIFS($C:$C,$C698,$D:$D,"P0(전)",$L:$L,"&gt;0")&lt;&gt;1,"",SUMIFS($H:$H,$C:$C,$C698,$D:$D,"P0(전)"))</f>
        <v/>
      </c>
      <c r="O698" s="30">
        <f>IF(COUNTIFS($C:$C,$C698,$D:$D,"P0(전)",$L:$L,"&gt;0")&lt;&gt;1,"",SUMIFS($L:$L,$C:$C,$C698,$D:$D,"P0(전)"))</f>
        <v/>
      </c>
      <c r="P698" s="45">
        <f>IF(COUNTIFS($C:$C,$C698,$D:$D,"P0(후)",$L:$L,"&gt;0")&lt;&gt;1,"",SUMIFS($H:$H,$C:$C,$C698,$D:$D,"P0(후)"))</f>
        <v/>
      </c>
      <c r="Q698" s="30">
        <f>IF(COUNTIFS($C:$C,$C698,$D:$D,"P0(후)",$L:$L,"&gt;0")&lt;&gt;1,"",SUMIFS($L:$L,$C:$C,$C698,$D:$D,"P0(후)"))</f>
        <v/>
      </c>
      <c r="R698" s="30">
        <f>IF(M698&lt;&gt;"OK","",O698+(Q698-O698)*(H698-N698)/(P698-N698))</f>
        <v/>
      </c>
      <c r="S698" s="30">
        <f>IF(OR(M698&lt;&gt;"OK",NOT(ISNUMBER(L698))),"",L698-R698)</f>
        <v/>
      </c>
      <c r="T698" s="46">
        <f>IF(OR(NOT(ISNUMBER(S698)),IF(ISNUMBER(G698),G698,F698)=0),"",S698/IF(ISNUMBER(G698),G698,F698))</f>
        <v/>
      </c>
      <c r="U698" s="46">
        <f>IF(ISNUMBER(T698),ABS(T698),"")</f>
        <v/>
      </c>
      <c r="V698" s="46">
        <f>IF(OR($D697&lt;&gt;"측정",$C697&lt;&gt;$C698,NOT(ISNUMBER(L698)),NOT(ISNUMBER(L697)),(IF(ISNUMBER(G698),G698,F698)-IF(ISNUMBER(G697),G697,F697))=0),"",(L698-L697)/(IF(ISNUMBER(G698),G698,F698)-IF(ISNUMBER(G697),G697,F697)))</f>
        <v/>
      </c>
      <c r="W698" s="30">
        <f>IF(NOT(AND(ISNUMBER(N698),ISNUMBER(P698))),"",(P698-N698)*1440)</f>
        <v/>
      </c>
      <c r="X698" s="28" t="n"/>
      <c r="Y698" s="28" t="n"/>
      <c r="Z698" s="28" t="n"/>
      <c r="AA698" s="31" t="n"/>
      <c r="AB698" s="31" t="n"/>
    </row>
    <row r="699">
      <c r="A699" s="25" t="inlineStr">
        <is>
          <t>S14</t>
        </is>
      </c>
      <c r="B699" s="25" t="inlineStr">
        <is>
          <t>청송 신규점1</t>
        </is>
      </c>
      <c r="C699" s="25" t="inlineStr">
        <is>
          <t>S14-H서</t>
        </is>
      </c>
      <c r="D699" s="25" t="inlineStr">
        <is>
          <t>측정</t>
        </is>
      </c>
      <c r="E699" s="25" t="inlineStr">
        <is>
          <t>서</t>
        </is>
      </c>
      <c r="F699" s="30" t="n">
        <v>4</v>
      </c>
      <c r="G699" s="29" t="n"/>
      <c r="H699" s="42" t="n"/>
      <c r="I699" s="40" t="n"/>
      <c r="J699" s="40" t="n"/>
      <c r="K699" s="40" t="n"/>
      <c r="L699" s="30">
        <f>IF(COUNT(I699:K699)=0,"",MEDIAN(I699:K699))</f>
        <v/>
      </c>
      <c r="M699" s="25">
        <f>IF(COUNTIFS($C:$C,$C699,$D:$D,"P0(전)",$L:$L,"&gt;0")&lt;&gt;1,"P0(전) 유효 1개 아님",IF(COUNTIFS($C:$C,$C699,$D:$D,"P0(후)",$L:$L,"&gt;0")&lt;&gt;1,"P0(후) 유효 1개 아님",IF(NOT(AND(ISNUMBER(N699),ISNUMBER(P699),ISNUMBER(H699))),"시각 결측",IF(P699&lt;=N699,"P0 시각 역전",IF(OR(H699&lt;N699,H699&gt;P699),"측정시각 구간 밖","OK")))))</f>
        <v/>
      </c>
      <c r="N699" s="45">
        <f>IF(COUNTIFS($C:$C,$C699,$D:$D,"P0(전)",$L:$L,"&gt;0")&lt;&gt;1,"",SUMIFS($H:$H,$C:$C,$C699,$D:$D,"P0(전)"))</f>
        <v/>
      </c>
      <c r="O699" s="30">
        <f>IF(COUNTIFS($C:$C,$C699,$D:$D,"P0(전)",$L:$L,"&gt;0")&lt;&gt;1,"",SUMIFS($L:$L,$C:$C,$C699,$D:$D,"P0(전)"))</f>
        <v/>
      </c>
      <c r="P699" s="45">
        <f>IF(COUNTIFS($C:$C,$C699,$D:$D,"P0(후)",$L:$L,"&gt;0")&lt;&gt;1,"",SUMIFS($H:$H,$C:$C,$C699,$D:$D,"P0(후)"))</f>
        <v/>
      </c>
      <c r="Q699" s="30">
        <f>IF(COUNTIFS($C:$C,$C699,$D:$D,"P0(후)",$L:$L,"&gt;0")&lt;&gt;1,"",SUMIFS($L:$L,$C:$C,$C699,$D:$D,"P0(후)"))</f>
        <v/>
      </c>
      <c r="R699" s="30">
        <f>IF(M699&lt;&gt;"OK","",O699+(Q699-O699)*(H699-N699)/(P699-N699))</f>
        <v/>
      </c>
      <c r="S699" s="30">
        <f>IF(OR(M699&lt;&gt;"OK",NOT(ISNUMBER(L699))),"",L699-R699)</f>
        <v/>
      </c>
      <c r="T699" s="46">
        <f>IF(OR(NOT(ISNUMBER(S699)),IF(ISNUMBER(G699),G699,F699)=0),"",S699/IF(ISNUMBER(G699),G699,F699))</f>
        <v/>
      </c>
      <c r="U699" s="46">
        <f>IF(ISNUMBER(T699),ABS(T699),"")</f>
        <v/>
      </c>
      <c r="V699" s="46">
        <f>IF(OR($D698&lt;&gt;"측정",$C698&lt;&gt;$C699,NOT(ISNUMBER(L699)),NOT(ISNUMBER(L698)),(IF(ISNUMBER(G699),G699,F699)-IF(ISNUMBER(G698),G698,F698))=0),"",(L699-L698)/(IF(ISNUMBER(G699),G699,F699)-IF(ISNUMBER(G698),G698,F698)))</f>
        <v/>
      </c>
      <c r="W699" s="30">
        <f>IF(NOT(AND(ISNUMBER(N699),ISNUMBER(P699))),"",(P699-N699)*1440)</f>
        <v/>
      </c>
      <c r="X699" s="28" t="n"/>
      <c r="Y699" s="28" t="n"/>
      <c r="Z699" s="28" t="n"/>
      <c r="AA699" s="31" t="n"/>
      <c r="AB699" s="31" t="n"/>
    </row>
    <row r="700">
      <c r="A700" s="25" t="inlineStr">
        <is>
          <t>S14</t>
        </is>
      </c>
      <c r="B700" s="25" t="inlineStr">
        <is>
          <t>청송 신규점1</t>
        </is>
      </c>
      <c r="C700" s="25" t="inlineStr">
        <is>
          <t>S14-H서</t>
        </is>
      </c>
      <c r="D700" s="25" t="inlineStr">
        <is>
          <t>측정</t>
        </is>
      </c>
      <c r="E700" s="25" t="inlineStr">
        <is>
          <t>서</t>
        </is>
      </c>
      <c r="F700" s="30" t="n">
        <v>5</v>
      </c>
      <c r="G700" s="29" t="n"/>
      <c r="H700" s="42" t="n"/>
      <c r="I700" s="40" t="n"/>
      <c r="J700" s="40" t="n"/>
      <c r="K700" s="40" t="n"/>
      <c r="L700" s="30">
        <f>IF(COUNT(I700:K700)=0,"",MEDIAN(I700:K700))</f>
        <v/>
      </c>
      <c r="M700" s="25">
        <f>IF(COUNTIFS($C:$C,$C700,$D:$D,"P0(전)",$L:$L,"&gt;0")&lt;&gt;1,"P0(전) 유효 1개 아님",IF(COUNTIFS($C:$C,$C700,$D:$D,"P0(후)",$L:$L,"&gt;0")&lt;&gt;1,"P0(후) 유효 1개 아님",IF(NOT(AND(ISNUMBER(N700),ISNUMBER(P700),ISNUMBER(H700))),"시각 결측",IF(P700&lt;=N700,"P0 시각 역전",IF(OR(H700&lt;N700,H700&gt;P700),"측정시각 구간 밖","OK")))))</f>
        <v/>
      </c>
      <c r="N700" s="45">
        <f>IF(COUNTIFS($C:$C,$C700,$D:$D,"P0(전)",$L:$L,"&gt;0")&lt;&gt;1,"",SUMIFS($H:$H,$C:$C,$C700,$D:$D,"P0(전)"))</f>
        <v/>
      </c>
      <c r="O700" s="30">
        <f>IF(COUNTIFS($C:$C,$C700,$D:$D,"P0(전)",$L:$L,"&gt;0")&lt;&gt;1,"",SUMIFS($L:$L,$C:$C,$C700,$D:$D,"P0(전)"))</f>
        <v/>
      </c>
      <c r="P700" s="45">
        <f>IF(COUNTIFS($C:$C,$C700,$D:$D,"P0(후)",$L:$L,"&gt;0")&lt;&gt;1,"",SUMIFS($H:$H,$C:$C,$C700,$D:$D,"P0(후)"))</f>
        <v/>
      </c>
      <c r="Q700" s="30">
        <f>IF(COUNTIFS($C:$C,$C700,$D:$D,"P0(후)",$L:$L,"&gt;0")&lt;&gt;1,"",SUMIFS($L:$L,$C:$C,$C700,$D:$D,"P0(후)"))</f>
        <v/>
      </c>
      <c r="R700" s="30">
        <f>IF(M700&lt;&gt;"OK","",O700+(Q700-O700)*(H700-N700)/(P700-N700))</f>
        <v/>
      </c>
      <c r="S700" s="30">
        <f>IF(OR(M700&lt;&gt;"OK",NOT(ISNUMBER(L700))),"",L700-R700)</f>
        <v/>
      </c>
      <c r="T700" s="46">
        <f>IF(OR(NOT(ISNUMBER(S700)),IF(ISNUMBER(G700),G700,F700)=0),"",S700/IF(ISNUMBER(G700),G700,F700))</f>
        <v/>
      </c>
      <c r="U700" s="46">
        <f>IF(ISNUMBER(T700),ABS(T700),"")</f>
        <v/>
      </c>
      <c r="V700" s="46">
        <f>IF(OR($D699&lt;&gt;"측정",$C699&lt;&gt;$C700,NOT(ISNUMBER(L700)),NOT(ISNUMBER(L699)),(IF(ISNUMBER(G700),G700,F700)-IF(ISNUMBER(G699),G699,F699))=0),"",(L700-L699)/(IF(ISNUMBER(G700),G700,F700)-IF(ISNUMBER(G699),G699,F699)))</f>
        <v/>
      </c>
      <c r="W700" s="30">
        <f>IF(NOT(AND(ISNUMBER(N700),ISNUMBER(P700))),"",(P700-N700)*1440)</f>
        <v/>
      </c>
      <c r="X700" s="28" t="n"/>
      <c r="Y700" s="28" t="n"/>
      <c r="Z700" s="28" t="n"/>
      <c r="AA700" s="31" t="n"/>
      <c r="AB700" s="31" t="n"/>
    </row>
    <row r="701">
      <c r="A701" s="25" t="inlineStr">
        <is>
          <t>S14</t>
        </is>
      </c>
      <c r="B701" s="25" t="inlineStr">
        <is>
          <t>청송 신규점1</t>
        </is>
      </c>
      <c r="C701" s="25" t="inlineStr">
        <is>
          <t>S14-H서</t>
        </is>
      </c>
      <c r="D701" s="25" t="inlineStr">
        <is>
          <t>측정</t>
        </is>
      </c>
      <c r="E701" s="25" t="inlineStr">
        <is>
          <t>서</t>
        </is>
      </c>
      <c r="F701" s="30" t="n">
        <v>6</v>
      </c>
      <c r="G701" s="29" t="n"/>
      <c r="H701" s="42" t="n"/>
      <c r="I701" s="40" t="n"/>
      <c r="J701" s="40" t="n"/>
      <c r="K701" s="40" t="n"/>
      <c r="L701" s="30">
        <f>IF(COUNT(I701:K701)=0,"",MEDIAN(I701:K701))</f>
        <v/>
      </c>
      <c r="M701" s="25">
        <f>IF(COUNTIFS($C:$C,$C701,$D:$D,"P0(전)",$L:$L,"&gt;0")&lt;&gt;1,"P0(전) 유효 1개 아님",IF(COUNTIFS($C:$C,$C701,$D:$D,"P0(후)",$L:$L,"&gt;0")&lt;&gt;1,"P0(후) 유효 1개 아님",IF(NOT(AND(ISNUMBER(N701),ISNUMBER(P701),ISNUMBER(H701))),"시각 결측",IF(P701&lt;=N701,"P0 시각 역전",IF(OR(H701&lt;N701,H701&gt;P701),"측정시각 구간 밖","OK")))))</f>
        <v/>
      </c>
      <c r="N701" s="45">
        <f>IF(COUNTIFS($C:$C,$C701,$D:$D,"P0(전)",$L:$L,"&gt;0")&lt;&gt;1,"",SUMIFS($H:$H,$C:$C,$C701,$D:$D,"P0(전)"))</f>
        <v/>
      </c>
      <c r="O701" s="30">
        <f>IF(COUNTIFS($C:$C,$C701,$D:$D,"P0(전)",$L:$L,"&gt;0")&lt;&gt;1,"",SUMIFS($L:$L,$C:$C,$C701,$D:$D,"P0(전)"))</f>
        <v/>
      </c>
      <c r="P701" s="45">
        <f>IF(COUNTIFS($C:$C,$C701,$D:$D,"P0(후)",$L:$L,"&gt;0")&lt;&gt;1,"",SUMIFS($H:$H,$C:$C,$C701,$D:$D,"P0(후)"))</f>
        <v/>
      </c>
      <c r="Q701" s="30">
        <f>IF(COUNTIFS($C:$C,$C701,$D:$D,"P0(후)",$L:$L,"&gt;0")&lt;&gt;1,"",SUMIFS($L:$L,$C:$C,$C701,$D:$D,"P0(후)"))</f>
        <v/>
      </c>
      <c r="R701" s="30">
        <f>IF(M701&lt;&gt;"OK","",O701+(Q701-O701)*(H701-N701)/(P701-N701))</f>
        <v/>
      </c>
      <c r="S701" s="30">
        <f>IF(OR(M701&lt;&gt;"OK",NOT(ISNUMBER(L701))),"",L701-R701)</f>
        <v/>
      </c>
      <c r="T701" s="46">
        <f>IF(OR(NOT(ISNUMBER(S701)),IF(ISNUMBER(G701),G701,F701)=0),"",S701/IF(ISNUMBER(G701),G701,F701))</f>
        <v/>
      </c>
      <c r="U701" s="46">
        <f>IF(ISNUMBER(T701),ABS(T701),"")</f>
        <v/>
      </c>
      <c r="V701" s="46">
        <f>IF(OR($D700&lt;&gt;"측정",$C700&lt;&gt;$C701,NOT(ISNUMBER(L701)),NOT(ISNUMBER(L700)),(IF(ISNUMBER(G701),G701,F701)-IF(ISNUMBER(G700),G700,F700))=0),"",(L701-L700)/(IF(ISNUMBER(G701),G701,F701)-IF(ISNUMBER(G700),G700,F700)))</f>
        <v/>
      </c>
      <c r="W701" s="30">
        <f>IF(NOT(AND(ISNUMBER(N701),ISNUMBER(P701))),"",(P701-N701)*1440)</f>
        <v/>
      </c>
      <c r="X701" s="28" t="n"/>
      <c r="Y701" s="28" t="n"/>
      <c r="Z701" s="28" t="n"/>
      <c r="AA701" s="31" t="n"/>
      <c r="AB701" s="31" t="n"/>
    </row>
    <row r="702">
      <c r="A702" s="25" t="inlineStr">
        <is>
          <t>S14</t>
        </is>
      </c>
      <c r="B702" s="25" t="inlineStr">
        <is>
          <t>청송 신규점1</t>
        </is>
      </c>
      <c r="C702" s="25" t="inlineStr">
        <is>
          <t>S14-H서</t>
        </is>
      </c>
      <c r="D702" s="25" t="inlineStr">
        <is>
          <t>측정</t>
        </is>
      </c>
      <c r="E702" s="25" t="inlineStr">
        <is>
          <t>서</t>
        </is>
      </c>
      <c r="F702" s="30" t="n">
        <v>7</v>
      </c>
      <c r="G702" s="29" t="n"/>
      <c r="H702" s="42" t="n"/>
      <c r="I702" s="40" t="n"/>
      <c r="J702" s="40" t="n"/>
      <c r="K702" s="40" t="n"/>
      <c r="L702" s="30">
        <f>IF(COUNT(I702:K702)=0,"",MEDIAN(I702:K702))</f>
        <v/>
      </c>
      <c r="M702" s="25">
        <f>IF(COUNTIFS($C:$C,$C702,$D:$D,"P0(전)",$L:$L,"&gt;0")&lt;&gt;1,"P0(전) 유효 1개 아님",IF(COUNTIFS($C:$C,$C702,$D:$D,"P0(후)",$L:$L,"&gt;0")&lt;&gt;1,"P0(후) 유효 1개 아님",IF(NOT(AND(ISNUMBER(N702),ISNUMBER(P702),ISNUMBER(H702))),"시각 결측",IF(P702&lt;=N702,"P0 시각 역전",IF(OR(H702&lt;N702,H702&gt;P702),"측정시각 구간 밖","OK")))))</f>
        <v/>
      </c>
      <c r="N702" s="45">
        <f>IF(COUNTIFS($C:$C,$C702,$D:$D,"P0(전)",$L:$L,"&gt;0")&lt;&gt;1,"",SUMIFS($H:$H,$C:$C,$C702,$D:$D,"P0(전)"))</f>
        <v/>
      </c>
      <c r="O702" s="30">
        <f>IF(COUNTIFS($C:$C,$C702,$D:$D,"P0(전)",$L:$L,"&gt;0")&lt;&gt;1,"",SUMIFS($L:$L,$C:$C,$C702,$D:$D,"P0(전)"))</f>
        <v/>
      </c>
      <c r="P702" s="45">
        <f>IF(COUNTIFS($C:$C,$C702,$D:$D,"P0(후)",$L:$L,"&gt;0")&lt;&gt;1,"",SUMIFS($H:$H,$C:$C,$C702,$D:$D,"P0(후)"))</f>
        <v/>
      </c>
      <c r="Q702" s="30">
        <f>IF(COUNTIFS($C:$C,$C702,$D:$D,"P0(후)",$L:$L,"&gt;0")&lt;&gt;1,"",SUMIFS($L:$L,$C:$C,$C702,$D:$D,"P0(후)"))</f>
        <v/>
      </c>
      <c r="R702" s="30">
        <f>IF(M702&lt;&gt;"OK","",O702+(Q702-O702)*(H702-N702)/(P702-N702))</f>
        <v/>
      </c>
      <c r="S702" s="30">
        <f>IF(OR(M702&lt;&gt;"OK",NOT(ISNUMBER(L702))),"",L702-R702)</f>
        <v/>
      </c>
      <c r="T702" s="46">
        <f>IF(OR(NOT(ISNUMBER(S702)),IF(ISNUMBER(G702),G702,F702)=0),"",S702/IF(ISNUMBER(G702),G702,F702))</f>
        <v/>
      </c>
      <c r="U702" s="46">
        <f>IF(ISNUMBER(T702),ABS(T702),"")</f>
        <v/>
      </c>
      <c r="V702" s="46">
        <f>IF(OR($D701&lt;&gt;"측정",$C701&lt;&gt;$C702,NOT(ISNUMBER(L702)),NOT(ISNUMBER(L701)),(IF(ISNUMBER(G702),G702,F702)-IF(ISNUMBER(G701),G701,F701))=0),"",(L702-L701)/(IF(ISNUMBER(G702),G702,F702)-IF(ISNUMBER(G701),G701,F701)))</f>
        <v/>
      </c>
      <c r="W702" s="30">
        <f>IF(NOT(AND(ISNUMBER(N702),ISNUMBER(P702))),"",(P702-N702)*1440)</f>
        <v/>
      </c>
      <c r="X702" s="28" t="n"/>
      <c r="Y702" s="28" t="n"/>
      <c r="Z702" s="28" t="n"/>
      <c r="AA702" s="31" t="n"/>
      <c r="AB702" s="31" t="n"/>
    </row>
    <row r="703">
      <c r="A703" s="25" t="inlineStr">
        <is>
          <t>S14</t>
        </is>
      </c>
      <c r="B703" s="25" t="inlineStr">
        <is>
          <t>청송 신규점1</t>
        </is>
      </c>
      <c r="C703" s="25" t="inlineStr">
        <is>
          <t>S14-H서</t>
        </is>
      </c>
      <c r="D703" s="25" t="inlineStr">
        <is>
          <t>측정</t>
        </is>
      </c>
      <c r="E703" s="25" t="inlineStr">
        <is>
          <t>서</t>
        </is>
      </c>
      <c r="F703" s="30" t="n">
        <v>8</v>
      </c>
      <c r="G703" s="29" t="n"/>
      <c r="H703" s="42" t="n"/>
      <c r="I703" s="40" t="n"/>
      <c r="J703" s="40" t="n"/>
      <c r="K703" s="40" t="n"/>
      <c r="L703" s="30">
        <f>IF(COUNT(I703:K703)=0,"",MEDIAN(I703:K703))</f>
        <v/>
      </c>
      <c r="M703" s="25">
        <f>IF(COUNTIFS($C:$C,$C703,$D:$D,"P0(전)",$L:$L,"&gt;0")&lt;&gt;1,"P0(전) 유효 1개 아님",IF(COUNTIFS($C:$C,$C703,$D:$D,"P0(후)",$L:$L,"&gt;0")&lt;&gt;1,"P0(후) 유효 1개 아님",IF(NOT(AND(ISNUMBER(N703),ISNUMBER(P703),ISNUMBER(H703))),"시각 결측",IF(P703&lt;=N703,"P0 시각 역전",IF(OR(H703&lt;N703,H703&gt;P703),"측정시각 구간 밖","OK")))))</f>
        <v/>
      </c>
      <c r="N703" s="45">
        <f>IF(COUNTIFS($C:$C,$C703,$D:$D,"P0(전)",$L:$L,"&gt;0")&lt;&gt;1,"",SUMIFS($H:$H,$C:$C,$C703,$D:$D,"P0(전)"))</f>
        <v/>
      </c>
      <c r="O703" s="30">
        <f>IF(COUNTIFS($C:$C,$C703,$D:$D,"P0(전)",$L:$L,"&gt;0")&lt;&gt;1,"",SUMIFS($L:$L,$C:$C,$C703,$D:$D,"P0(전)"))</f>
        <v/>
      </c>
      <c r="P703" s="45">
        <f>IF(COUNTIFS($C:$C,$C703,$D:$D,"P0(후)",$L:$L,"&gt;0")&lt;&gt;1,"",SUMIFS($H:$H,$C:$C,$C703,$D:$D,"P0(후)"))</f>
        <v/>
      </c>
      <c r="Q703" s="30">
        <f>IF(COUNTIFS($C:$C,$C703,$D:$D,"P0(후)",$L:$L,"&gt;0")&lt;&gt;1,"",SUMIFS($L:$L,$C:$C,$C703,$D:$D,"P0(후)"))</f>
        <v/>
      </c>
      <c r="R703" s="30">
        <f>IF(M703&lt;&gt;"OK","",O703+(Q703-O703)*(H703-N703)/(P703-N703))</f>
        <v/>
      </c>
      <c r="S703" s="30">
        <f>IF(OR(M703&lt;&gt;"OK",NOT(ISNUMBER(L703))),"",L703-R703)</f>
        <v/>
      </c>
      <c r="T703" s="46">
        <f>IF(OR(NOT(ISNUMBER(S703)),IF(ISNUMBER(G703),G703,F703)=0),"",S703/IF(ISNUMBER(G703),G703,F703))</f>
        <v/>
      </c>
      <c r="U703" s="46">
        <f>IF(ISNUMBER(T703),ABS(T703),"")</f>
        <v/>
      </c>
      <c r="V703" s="46">
        <f>IF(OR($D702&lt;&gt;"측정",$C702&lt;&gt;$C703,NOT(ISNUMBER(L703)),NOT(ISNUMBER(L702)),(IF(ISNUMBER(G703),G703,F703)-IF(ISNUMBER(G702),G702,F702))=0),"",(L703-L702)/(IF(ISNUMBER(G703),G703,F703)-IF(ISNUMBER(G702),G702,F702)))</f>
        <v/>
      </c>
      <c r="W703" s="30">
        <f>IF(NOT(AND(ISNUMBER(N703),ISNUMBER(P703))),"",(P703-N703)*1440)</f>
        <v/>
      </c>
      <c r="X703" s="28" t="n"/>
      <c r="Y703" s="28" t="n"/>
      <c r="Z703" s="28" t="n"/>
      <c r="AA703" s="31" t="n"/>
      <c r="AB703" s="31" t="n"/>
    </row>
    <row r="704">
      <c r="A704" s="25" t="inlineStr">
        <is>
          <t>S14</t>
        </is>
      </c>
      <c r="B704" s="25" t="inlineStr">
        <is>
          <t>청송 신규점1</t>
        </is>
      </c>
      <c r="C704" s="25" t="inlineStr">
        <is>
          <t>S14-H서</t>
        </is>
      </c>
      <c r="D704" s="25" t="inlineStr">
        <is>
          <t>측정</t>
        </is>
      </c>
      <c r="E704" s="25" t="inlineStr">
        <is>
          <t>서</t>
        </is>
      </c>
      <c r="F704" s="30" t="n">
        <v>9</v>
      </c>
      <c r="G704" s="29" t="n"/>
      <c r="H704" s="42" t="n"/>
      <c r="I704" s="40" t="n"/>
      <c r="J704" s="40" t="n"/>
      <c r="K704" s="40" t="n"/>
      <c r="L704" s="30">
        <f>IF(COUNT(I704:K704)=0,"",MEDIAN(I704:K704))</f>
        <v/>
      </c>
      <c r="M704" s="25">
        <f>IF(COUNTIFS($C:$C,$C704,$D:$D,"P0(전)",$L:$L,"&gt;0")&lt;&gt;1,"P0(전) 유효 1개 아님",IF(COUNTIFS($C:$C,$C704,$D:$D,"P0(후)",$L:$L,"&gt;0")&lt;&gt;1,"P0(후) 유효 1개 아님",IF(NOT(AND(ISNUMBER(N704),ISNUMBER(P704),ISNUMBER(H704))),"시각 결측",IF(P704&lt;=N704,"P0 시각 역전",IF(OR(H704&lt;N704,H704&gt;P704),"측정시각 구간 밖","OK")))))</f>
        <v/>
      </c>
      <c r="N704" s="45">
        <f>IF(COUNTIFS($C:$C,$C704,$D:$D,"P0(전)",$L:$L,"&gt;0")&lt;&gt;1,"",SUMIFS($H:$H,$C:$C,$C704,$D:$D,"P0(전)"))</f>
        <v/>
      </c>
      <c r="O704" s="30">
        <f>IF(COUNTIFS($C:$C,$C704,$D:$D,"P0(전)",$L:$L,"&gt;0")&lt;&gt;1,"",SUMIFS($L:$L,$C:$C,$C704,$D:$D,"P0(전)"))</f>
        <v/>
      </c>
      <c r="P704" s="45">
        <f>IF(COUNTIFS($C:$C,$C704,$D:$D,"P0(후)",$L:$L,"&gt;0")&lt;&gt;1,"",SUMIFS($H:$H,$C:$C,$C704,$D:$D,"P0(후)"))</f>
        <v/>
      </c>
      <c r="Q704" s="30">
        <f>IF(COUNTIFS($C:$C,$C704,$D:$D,"P0(후)",$L:$L,"&gt;0")&lt;&gt;1,"",SUMIFS($L:$L,$C:$C,$C704,$D:$D,"P0(후)"))</f>
        <v/>
      </c>
      <c r="R704" s="30">
        <f>IF(M704&lt;&gt;"OK","",O704+(Q704-O704)*(H704-N704)/(P704-N704))</f>
        <v/>
      </c>
      <c r="S704" s="30">
        <f>IF(OR(M704&lt;&gt;"OK",NOT(ISNUMBER(L704))),"",L704-R704)</f>
        <v/>
      </c>
      <c r="T704" s="46">
        <f>IF(OR(NOT(ISNUMBER(S704)),IF(ISNUMBER(G704),G704,F704)=0),"",S704/IF(ISNUMBER(G704),G704,F704))</f>
        <v/>
      </c>
      <c r="U704" s="46">
        <f>IF(ISNUMBER(T704),ABS(T704),"")</f>
        <v/>
      </c>
      <c r="V704" s="46">
        <f>IF(OR($D703&lt;&gt;"측정",$C703&lt;&gt;$C704,NOT(ISNUMBER(L704)),NOT(ISNUMBER(L703)),(IF(ISNUMBER(G704),G704,F704)-IF(ISNUMBER(G703),G703,F703))=0),"",(L704-L703)/(IF(ISNUMBER(G704),G704,F704)-IF(ISNUMBER(G703),G703,F703)))</f>
        <v/>
      </c>
      <c r="W704" s="30">
        <f>IF(NOT(AND(ISNUMBER(N704),ISNUMBER(P704))),"",(P704-N704)*1440)</f>
        <v/>
      </c>
      <c r="X704" s="28" t="n"/>
      <c r="Y704" s="28" t="n"/>
      <c r="Z704" s="28" t="n"/>
      <c r="AA704" s="31" t="n"/>
      <c r="AB704" s="31" t="n"/>
    </row>
    <row r="705">
      <c r="A705" s="25" t="inlineStr">
        <is>
          <t>S14</t>
        </is>
      </c>
      <c r="B705" s="25" t="inlineStr">
        <is>
          <t>청송 신규점1</t>
        </is>
      </c>
      <c r="C705" s="25" t="inlineStr">
        <is>
          <t>S14-H서</t>
        </is>
      </c>
      <c r="D705" s="25" t="inlineStr">
        <is>
          <t>측정</t>
        </is>
      </c>
      <c r="E705" s="25" t="inlineStr">
        <is>
          <t>서</t>
        </is>
      </c>
      <c r="F705" s="30" t="n">
        <v>10</v>
      </c>
      <c r="G705" s="29" t="n"/>
      <c r="H705" s="42" t="n"/>
      <c r="I705" s="40" t="n"/>
      <c r="J705" s="40" t="n"/>
      <c r="K705" s="40" t="n"/>
      <c r="L705" s="30">
        <f>IF(COUNT(I705:K705)=0,"",MEDIAN(I705:K705))</f>
        <v/>
      </c>
      <c r="M705" s="25">
        <f>IF(COUNTIFS($C:$C,$C705,$D:$D,"P0(전)",$L:$L,"&gt;0")&lt;&gt;1,"P0(전) 유효 1개 아님",IF(COUNTIFS($C:$C,$C705,$D:$D,"P0(후)",$L:$L,"&gt;0")&lt;&gt;1,"P0(후) 유효 1개 아님",IF(NOT(AND(ISNUMBER(N705),ISNUMBER(P705),ISNUMBER(H705))),"시각 결측",IF(P705&lt;=N705,"P0 시각 역전",IF(OR(H705&lt;N705,H705&gt;P705),"측정시각 구간 밖","OK")))))</f>
        <v/>
      </c>
      <c r="N705" s="45">
        <f>IF(COUNTIFS($C:$C,$C705,$D:$D,"P0(전)",$L:$L,"&gt;0")&lt;&gt;1,"",SUMIFS($H:$H,$C:$C,$C705,$D:$D,"P0(전)"))</f>
        <v/>
      </c>
      <c r="O705" s="30">
        <f>IF(COUNTIFS($C:$C,$C705,$D:$D,"P0(전)",$L:$L,"&gt;0")&lt;&gt;1,"",SUMIFS($L:$L,$C:$C,$C705,$D:$D,"P0(전)"))</f>
        <v/>
      </c>
      <c r="P705" s="45">
        <f>IF(COUNTIFS($C:$C,$C705,$D:$D,"P0(후)",$L:$L,"&gt;0")&lt;&gt;1,"",SUMIFS($H:$H,$C:$C,$C705,$D:$D,"P0(후)"))</f>
        <v/>
      </c>
      <c r="Q705" s="30">
        <f>IF(COUNTIFS($C:$C,$C705,$D:$D,"P0(후)",$L:$L,"&gt;0")&lt;&gt;1,"",SUMIFS($L:$L,$C:$C,$C705,$D:$D,"P0(후)"))</f>
        <v/>
      </c>
      <c r="R705" s="30">
        <f>IF(M705&lt;&gt;"OK","",O705+(Q705-O705)*(H705-N705)/(P705-N705))</f>
        <v/>
      </c>
      <c r="S705" s="30">
        <f>IF(OR(M705&lt;&gt;"OK",NOT(ISNUMBER(L705))),"",L705-R705)</f>
        <v/>
      </c>
      <c r="T705" s="46">
        <f>IF(OR(NOT(ISNUMBER(S705)),IF(ISNUMBER(G705),G705,F705)=0),"",S705/IF(ISNUMBER(G705),G705,F705))</f>
        <v/>
      </c>
      <c r="U705" s="46">
        <f>IF(ISNUMBER(T705),ABS(T705),"")</f>
        <v/>
      </c>
      <c r="V705" s="46">
        <f>IF(OR($D704&lt;&gt;"측정",$C704&lt;&gt;$C705,NOT(ISNUMBER(L705)),NOT(ISNUMBER(L704)),(IF(ISNUMBER(G705),G705,F705)-IF(ISNUMBER(G704),G704,F704))=0),"",(L705-L704)/(IF(ISNUMBER(G705),G705,F705)-IF(ISNUMBER(G704),G704,F704)))</f>
        <v/>
      </c>
      <c r="W705" s="30">
        <f>IF(NOT(AND(ISNUMBER(N705),ISNUMBER(P705))),"",(P705-N705)*1440)</f>
        <v/>
      </c>
      <c r="X705" s="28" t="n"/>
      <c r="Y705" s="28" t="n"/>
      <c r="Z705" s="28" t="n"/>
      <c r="AA705" s="31" t="n"/>
      <c r="AB705" s="31" t="n"/>
    </row>
    <row r="706">
      <c r="A706" s="43" t="inlineStr">
        <is>
          <t>S14</t>
        </is>
      </c>
      <c r="B706" s="43" t="inlineStr">
        <is>
          <t>청송 신규점1</t>
        </is>
      </c>
      <c r="C706" s="43" t="inlineStr">
        <is>
          <t>S14-H서</t>
        </is>
      </c>
      <c r="D706" s="43" t="inlineStr">
        <is>
          <t>P0(후)</t>
        </is>
      </c>
      <c r="E706" s="43" t="inlineStr">
        <is>
          <t>서</t>
        </is>
      </c>
      <c r="F706" s="44" t="n"/>
      <c r="G706" s="29" t="n"/>
      <c r="H706" s="42" t="n"/>
      <c r="I706" s="40" t="n"/>
      <c r="J706" s="40" t="n"/>
      <c r="K706" s="40" t="n"/>
      <c r="L706" s="30">
        <f>IF(COUNT(I706:K706)=0,"",MEDIAN(I706:K706))</f>
        <v/>
      </c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28" t="n"/>
      <c r="Y706" s="28" t="n"/>
      <c r="Z706" s="28" t="n"/>
      <c r="AA706" s="31" t="n"/>
      <c r="AB706" s="31" t="n"/>
    </row>
    <row r="707">
      <c r="A707" s="43" t="inlineStr">
        <is>
          <t>S14</t>
        </is>
      </c>
      <c r="B707" s="43" t="inlineStr">
        <is>
          <t>청송 신규점1</t>
        </is>
      </c>
      <c r="C707" s="43" t="inlineStr">
        <is>
          <t>S14-H남</t>
        </is>
      </c>
      <c r="D707" s="43" t="inlineStr">
        <is>
          <t>P0(전)</t>
        </is>
      </c>
      <c r="E707" s="43" t="inlineStr">
        <is>
          <t>남</t>
        </is>
      </c>
      <c r="F707" s="44" t="n"/>
      <c r="G707" s="29" t="n"/>
      <c r="H707" s="42" t="n"/>
      <c r="I707" s="40" t="n"/>
      <c r="J707" s="40" t="n"/>
      <c r="K707" s="40" t="n"/>
      <c r="L707" s="30">
        <f>IF(COUNT(I707:K707)=0,"",MEDIAN(I707:K707))</f>
        <v/>
      </c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28" t="n"/>
      <c r="Y707" s="28" t="n"/>
      <c r="Z707" s="28" t="n"/>
      <c r="AA707" s="31" t="n"/>
      <c r="AB707" s="31" t="n"/>
    </row>
    <row r="708">
      <c r="A708" s="25" t="inlineStr">
        <is>
          <t>S14</t>
        </is>
      </c>
      <c r="B708" s="25" t="inlineStr">
        <is>
          <t>청송 신규점1</t>
        </is>
      </c>
      <c r="C708" s="25" t="inlineStr">
        <is>
          <t>S14-H남</t>
        </is>
      </c>
      <c r="D708" s="25" t="inlineStr">
        <is>
          <t>측정</t>
        </is>
      </c>
      <c r="E708" s="25" t="inlineStr">
        <is>
          <t>남</t>
        </is>
      </c>
      <c r="F708" s="30" t="n">
        <v>0.5</v>
      </c>
      <c r="G708" s="29" t="n"/>
      <c r="H708" s="42" t="n"/>
      <c r="I708" s="40" t="n"/>
      <c r="J708" s="40" t="n"/>
      <c r="K708" s="40" t="n"/>
      <c r="L708" s="30">
        <f>IF(COUNT(I708:K708)=0,"",MEDIAN(I708:K708))</f>
        <v/>
      </c>
      <c r="M708" s="25">
        <f>IF(COUNTIFS($C:$C,$C708,$D:$D,"P0(전)",$L:$L,"&gt;0")&lt;&gt;1,"P0(전) 유효 1개 아님",IF(COUNTIFS($C:$C,$C708,$D:$D,"P0(후)",$L:$L,"&gt;0")&lt;&gt;1,"P0(후) 유효 1개 아님",IF(NOT(AND(ISNUMBER(N708),ISNUMBER(P708),ISNUMBER(H708))),"시각 결측",IF(P708&lt;=N708,"P0 시각 역전",IF(OR(H708&lt;N708,H708&gt;P708),"측정시각 구간 밖","OK")))))</f>
        <v/>
      </c>
      <c r="N708" s="45">
        <f>IF(COUNTIFS($C:$C,$C708,$D:$D,"P0(전)",$L:$L,"&gt;0")&lt;&gt;1,"",SUMIFS($H:$H,$C:$C,$C708,$D:$D,"P0(전)"))</f>
        <v/>
      </c>
      <c r="O708" s="30">
        <f>IF(COUNTIFS($C:$C,$C708,$D:$D,"P0(전)",$L:$L,"&gt;0")&lt;&gt;1,"",SUMIFS($L:$L,$C:$C,$C708,$D:$D,"P0(전)"))</f>
        <v/>
      </c>
      <c r="P708" s="45">
        <f>IF(COUNTIFS($C:$C,$C708,$D:$D,"P0(후)",$L:$L,"&gt;0")&lt;&gt;1,"",SUMIFS($H:$H,$C:$C,$C708,$D:$D,"P0(후)"))</f>
        <v/>
      </c>
      <c r="Q708" s="30">
        <f>IF(COUNTIFS($C:$C,$C708,$D:$D,"P0(후)",$L:$L,"&gt;0")&lt;&gt;1,"",SUMIFS($L:$L,$C:$C,$C708,$D:$D,"P0(후)"))</f>
        <v/>
      </c>
      <c r="R708" s="30">
        <f>IF(M708&lt;&gt;"OK","",O708+(Q708-O708)*(H708-N708)/(P708-N708))</f>
        <v/>
      </c>
      <c r="S708" s="30">
        <f>IF(OR(M708&lt;&gt;"OK",NOT(ISNUMBER(L708))),"",L708-R708)</f>
        <v/>
      </c>
      <c r="T708" s="46">
        <f>IF(OR(NOT(ISNUMBER(S708)),IF(ISNUMBER(G708),G708,F708)=0),"",S708/IF(ISNUMBER(G708),G708,F708))</f>
        <v/>
      </c>
      <c r="U708" s="46">
        <f>IF(ISNUMBER(T708),ABS(T708),"")</f>
        <v/>
      </c>
      <c r="V708" s="46">
        <f>IF(OR($D707&lt;&gt;"측정",$C707&lt;&gt;$C708,NOT(ISNUMBER(L708)),NOT(ISNUMBER(L707)),(IF(ISNUMBER(G708),G708,F708)-IF(ISNUMBER(G707),G707,F707))=0),"",(L708-L707)/(IF(ISNUMBER(G708),G708,F708)-IF(ISNUMBER(G707),G707,F707)))</f>
        <v/>
      </c>
      <c r="W708" s="30">
        <f>IF(NOT(AND(ISNUMBER(N708),ISNUMBER(P708))),"",(P708-N708)*1440)</f>
        <v/>
      </c>
      <c r="X708" s="28" t="n"/>
      <c r="Y708" s="28" t="n"/>
      <c r="Z708" s="28" t="n"/>
      <c r="AA708" s="31" t="n"/>
      <c r="AB708" s="31" t="n"/>
    </row>
    <row r="709">
      <c r="A709" s="25" t="inlineStr">
        <is>
          <t>S14</t>
        </is>
      </c>
      <c r="B709" s="25" t="inlineStr">
        <is>
          <t>청송 신규점1</t>
        </is>
      </c>
      <c r="C709" s="25" t="inlineStr">
        <is>
          <t>S14-H남</t>
        </is>
      </c>
      <c r="D709" s="25" t="inlineStr">
        <is>
          <t>측정</t>
        </is>
      </c>
      <c r="E709" s="25" t="inlineStr">
        <is>
          <t>남</t>
        </is>
      </c>
      <c r="F709" s="30" t="n">
        <v>1</v>
      </c>
      <c r="G709" s="29" t="n"/>
      <c r="H709" s="42" t="n"/>
      <c r="I709" s="40" t="n"/>
      <c r="J709" s="40" t="n"/>
      <c r="K709" s="40" t="n"/>
      <c r="L709" s="30">
        <f>IF(COUNT(I709:K709)=0,"",MEDIAN(I709:K709))</f>
        <v/>
      </c>
      <c r="M709" s="25">
        <f>IF(COUNTIFS($C:$C,$C709,$D:$D,"P0(전)",$L:$L,"&gt;0")&lt;&gt;1,"P0(전) 유효 1개 아님",IF(COUNTIFS($C:$C,$C709,$D:$D,"P0(후)",$L:$L,"&gt;0")&lt;&gt;1,"P0(후) 유효 1개 아님",IF(NOT(AND(ISNUMBER(N709),ISNUMBER(P709),ISNUMBER(H709))),"시각 결측",IF(P709&lt;=N709,"P0 시각 역전",IF(OR(H709&lt;N709,H709&gt;P709),"측정시각 구간 밖","OK")))))</f>
        <v/>
      </c>
      <c r="N709" s="45">
        <f>IF(COUNTIFS($C:$C,$C709,$D:$D,"P0(전)",$L:$L,"&gt;0")&lt;&gt;1,"",SUMIFS($H:$H,$C:$C,$C709,$D:$D,"P0(전)"))</f>
        <v/>
      </c>
      <c r="O709" s="30">
        <f>IF(COUNTIFS($C:$C,$C709,$D:$D,"P0(전)",$L:$L,"&gt;0")&lt;&gt;1,"",SUMIFS($L:$L,$C:$C,$C709,$D:$D,"P0(전)"))</f>
        <v/>
      </c>
      <c r="P709" s="45">
        <f>IF(COUNTIFS($C:$C,$C709,$D:$D,"P0(후)",$L:$L,"&gt;0")&lt;&gt;1,"",SUMIFS($H:$H,$C:$C,$C709,$D:$D,"P0(후)"))</f>
        <v/>
      </c>
      <c r="Q709" s="30">
        <f>IF(COUNTIFS($C:$C,$C709,$D:$D,"P0(후)",$L:$L,"&gt;0")&lt;&gt;1,"",SUMIFS($L:$L,$C:$C,$C709,$D:$D,"P0(후)"))</f>
        <v/>
      </c>
      <c r="R709" s="30">
        <f>IF(M709&lt;&gt;"OK","",O709+(Q709-O709)*(H709-N709)/(P709-N709))</f>
        <v/>
      </c>
      <c r="S709" s="30">
        <f>IF(OR(M709&lt;&gt;"OK",NOT(ISNUMBER(L709))),"",L709-R709)</f>
        <v/>
      </c>
      <c r="T709" s="46">
        <f>IF(OR(NOT(ISNUMBER(S709)),IF(ISNUMBER(G709),G709,F709)=0),"",S709/IF(ISNUMBER(G709),G709,F709))</f>
        <v/>
      </c>
      <c r="U709" s="46">
        <f>IF(ISNUMBER(T709),ABS(T709),"")</f>
        <v/>
      </c>
      <c r="V709" s="46">
        <f>IF(OR($D708&lt;&gt;"측정",$C708&lt;&gt;$C709,NOT(ISNUMBER(L709)),NOT(ISNUMBER(L708)),(IF(ISNUMBER(G709),G709,F709)-IF(ISNUMBER(G708),G708,F708))=0),"",(L709-L708)/(IF(ISNUMBER(G709),G709,F709)-IF(ISNUMBER(G708),G708,F708)))</f>
        <v/>
      </c>
      <c r="W709" s="30">
        <f>IF(NOT(AND(ISNUMBER(N709),ISNUMBER(P709))),"",(P709-N709)*1440)</f>
        <v/>
      </c>
      <c r="X709" s="28" t="n"/>
      <c r="Y709" s="28" t="n"/>
      <c r="Z709" s="28" t="n"/>
      <c r="AA709" s="31" t="n"/>
      <c r="AB709" s="31" t="n"/>
    </row>
    <row r="710">
      <c r="A710" s="25" t="inlineStr">
        <is>
          <t>S14</t>
        </is>
      </c>
      <c r="B710" s="25" t="inlineStr">
        <is>
          <t>청송 신규점1</t>
        </is>
      </c>
      <c r="C710" s="25" t="inlineStr">
        <is>
          <t>S14-H남</t>
        </is>
      </c>
      <c r="D710" s="25" t="inlineStr">
        <is>
          <t>측정</t>
        </is>
      </c>
      <c r="E710" s="25" t="inlineStr">
        <is>
          <t>남</t>
        </is>
      </c>
      <c r="F710" s="30" t="n">
        <v>2</v>
      </c>
      <c r="G710" s="29" t="n"/>
      <c r="H710" s="42" t="n"/>
      <c r="I710" s="40" t="n"/>
      <c r="J710" s="40" t="n"/>
      <c r="K710" s="40" t="n"/>
      <c r="L710" s="30">
        <f>IF(COUNT(I710:K710)=0,"",MEDIAN(I710:K710))</f>
        <v/>
      </c>
      <c r="M710" s="25">
        <f>IF(COUNTIFS($C:$C,$C710,$D:$D,"P0(전)",$L:$L,"&gt;0")&lt;&gt;1,"P0(전) 유효 1개 아님",IF(COUNTIFS($C:$C,$C710,$D:$D,"P0(후)",$L:$L,"&gt;0")&lt;&gt;1,"P0(후) 유효 1개 아님",IF(NOT(AND(ISNUMBER(N710),ISNUMBER(P710),ISNUMBER(H710))),"시각 결측",IF(P710&lt;=N710,"P0 시각 역전",IF(OR(H710&lt;N710,H710&gt;P710),"측정시각 구간 밖","OK")))))</f>
        <v/>
      </c>
      <c r="N710" s="45">
        <f>IF(COUNTIFS($C:$C,$C710,$D:$D,"P0(전)",$L:$L,"&gt;0")&lt;&gt;1,"",SUMIFS($H:$H,$C:$C,$C710,$D:$D,"P0(전)"))</f>
        <v/>
      </c>
      <c r="O710" s="30">
        <f>IF(COUNTIFS($C:$C,$C710,$D:$D,"P0(전)",$L:$L,"&gt;0")&lt;&gt;1,"",SUMIFS($L:$L,$C:$C,$C710,$D:$D,"P0(전)"))</f>
        <v/>
      </c>
      <c r="P710" s="45">
        <f>IF(COUNTIFS($C:$C,$C710,$D:$D,"P0(후)",$L:$L,"&gt;0")&lt;&gt;1,"",SUMIFS($H:$H,$C:$C,$C710,$D:$D,"P0(후)"))</f>
        <v/>
      </c>
      <c r="Q710" s="30">
        <f>IF(COUNTIFS($C:$C,$C710,$D:$D,"P0(후)",$L:$L,"&gt;0")&lt;&gt;1,"",SUMIFS($L:$L,$C:$C,$C710,$D:$D,"P0(후)"))</f>
        <v/>
      </c>
      <c r="R710" s="30">
        <f>IF(M710&lt;&gt;"OK","",O710+(Q710-O710)*(H710-N710)/(P710-N710))</f>
        <v/>
      </c>
      <c r="S710" s="30">
        <f>IF(OR(M710&lt;&gt;"OK",NOT(ISNUMBER(L710))),"",L710-R710)</f>
        <v/>
      </c>
      <c r="T710" s="46">
        <f>IF(OR(NOT(ISNUMBER(S710)),IF(ISNUMBER(G710),G710,F710)=0),"",S710/IF(ISNUMBER(G710),G710,F710))</f>
        <v/>
      </c>
      <c r="U710" s="46">
        <f>IF(ISNUMBER(T710),ABS(T710),"")</f>
        <v/>
      </c>
      <c r="V710" s="46">
        <f>IF(OR($D709&lt;&gt;"측정",$C709&lt;&gt;$C710,NOT(ISNUMBER(L710)),NOT(ISNUMBER(L709)),(IF(ISNUMBER(G710),G710,F710)-IF(ISNUMBER(G709),G709,F709))=0),"",(L710-L709)/(IF(ISNUMBER(G710),G710,F710)-IF(ISNUMBER(G709),G709,F709)))</f>
        <v/>
      </c>
      <c r="W710" s="30">
        <f>IF(NOT(AND(ISNUMBER(N710),ISNUMBER(P710))),"",(P710-N710)*1440)</f>
        <v/>
      </c>
      <c r="X710" s="28" t="n"/>
      <c r="Y710" s="28" t="n"/>
      <c r="Z710" s="28" t="n"/>
      <c r="AA710" s="31" t="n"/>
      <c r="AB710" s="31" t="n"/>
    </row>
    <row r="711">
      <c r="A711" s="25" t="inlineStr">
        <is>
          <t>S14</t>
        </is>
      </c>
      <c r="B711" s="25" t="inlineStr">
        <is>
          <t>청송 신규점1</t>
        </is>
      </c>
      <c r="C711" s="25" t="inlineStr">
        <is>
          <t>S14-H남</t>
        </is>
      </c>
      <c r="D711" s="25" t="inlineStr">
        <is>
          <t>측정</t>
        </is>
      </c>
      <c r="E711" s="25" t="inlineStr">
        <is>
          <t>남</t>
        </is>
      </c>
      <c r="F711" s="30" t="n">
        <v>3</v>
      </c>
      <c r="G711" s="29" t="n"/>
      <c r="H711" s="42" t="n"/>
      <c r="I711" s="40" t="n"/>
      <c r="J711" s="40" t="n"/>
      <c r="K711" s="40" t="n"/>
      <c r="L711" s="30">
        <f>IF(COUNT(I711:K711)=0,"",MEDIAN(I711:K711))</f>
        <v/>
      </c>
      <c r="M711" s="25">
        <f>IF(COUNTIFS($C:$C,$C711,$D:$D,"P0(전)",$L:$L,"&gt;0")&lt;&gt;1,"P0(전) 유효 1개 아님",IF(COUNTIFS($C:$C,$C711,$D:$D,"P0(후)",$L:$L,"&gt;0")&lt;&gt;1,"P0(후) 유효 1개 아님",IF(NOT(AND(ISNUMBER(N711),ISNUMBER(P711),ISNUMBER(H711))),"시각 결측",IF(P711&lt;=N711,"P0 시각 역전",IF(OR(H711&lt;N711,H711&gt;P711),"측정시각 구간 밖","OK")))))</f>
        <v/>
      </c>
      <c r="N711" s="45">
        <f>IF(COUNTIFS($C:$C,$C711,$D:$D,"P0(전)",$L:$L,"&gt;0")&lt;&gt;1,"",SUMIFS($H:$H,$C:$C,$C711,$D:$D,"P0(전)"))</f>
        <v/>
      </c>
      <c r="O711" s="30">
        <f>IF(COUNTIFS($C:$C,$C711,$D:$D,"P0(전)",$L:$L,"&gt;0")&lt;&gt;1,"",SUMIFS($L:$L,$C:$C,$C711,$D:$D,"P0(전)"))</f>
        <v/>
      </c>
      <c r="P711" s="45">
        <f>IF(COUNTIFS($C:$C,$C711,$D:$D,"P0(후)",$L:$L,"&gt;0")&lt;&gt;1,"",SUMIFS($H:$H,$C:$C,$C711,$D:$D,"P0(후)"))</f>
        <v/>
      </c>
      <c r="Q711" s="30">
        <f>IF(COUNTIFS($C:$C,$C711,$D:$D,"P0(후)",$L:$L,"&gt;0")&lt;&gt;1,"",SUMIFS($L:$L,$C:$C,$C711,$D:$D,"P0(후)"))</f>
        <v/>
      </c>
      <c r="R711" s="30">
        <f>IF(M711&lt;&gt;"OK","",O711+(Q711-O711)*(H711-N711)/(P711-N711))</f>
        <v/>
      </c>
      <c r="S711" s="30">
        <f>IF(OR(M711&lt;&gt;"OK",NOT(ISNUMBER(L711))),"",L711-R711)</f>
        <v/>
      </c>
      <c r="T711" s="46">
        <f>IF(OR(NOT(ISNUMBER(S711)),IF(ISNUMBER(G711),G711,F711)=0),"",S711/IF(ISNUMBER(G711),G711,F711))</f>
        <v/>
      </c>
      <c r="U711" s="46">
        <f>IF(ISNUMBER(T711),ABS(T711),"")</f>
        <v/>
      </c>
      <c r="V711" s="46">
        <f>IF(OR($D710&lt;&gt;"측정",$C710&lt;&gt;$C711,NOT(ISNUMBER(L711)),NOT(ISNUMBER(L710)),(IF(ISNUMBER(G711),G711,F711)-IF(ISNUMBER(G710),G710,F710))=0),"",(L711-L710)/(IF(ISNUMBER(G711),G711,F711)-IF(ISNUMBER(G710),G710,F710)))</f>
        <v/>
      </c>
      <c r="W711" s="30">
        <f>IF(NOT(AND(ISNUMBER(N711),ISNUMBER(P711))),"",(P711-N711)*1440)</f>
        <v/>
      </c>
      <c r="X711" s="28" t="n"/>
      <c r="Y711" s="28" t="n"/>
      <c r="Z711" s="28" t="n"/>
      <c r="AA711" s="31" t="n"/>
      <c r="AB711" s="31" t="n"/>
    </row>
    <row r="712">
      <c r="A712" s="25" t="inlineStr">
        <is>
          <t>S14</t>
        </is>
      </c>
      <c r="B712" s="25" t="inlineStr">
        <is>
          <t>청송 신규점1</t>
        </is>
      </c>
      <c r="C712" s="25" t="inlineStr">
        <is>
          <t>S14-H남</t>
        </is>
      </c>
      <c r="D712" s="25" t="inlineStr">
        <is>
          <t>측정</t>
        </is>
      </c>
      <c r="E712" s="25" t="inlineStr">
        <is>
          <t>남</t>
        </is>
      </c>
      <c r="F712" s="30" t="n">
        <v>4</v>
      </c>
      <c r="G712" s="29" t="n"/>
      <c r="H712" s="42" t="n"/>
      <c r="I712" s="40" t="n"/>
      <c r="J712" s="40" t="n"/>
      <c r="K712" s="40" t="n"/>
      <c r="L712" s="30">
        <f>IF(COUNT(I712:K712)=0,"",MEDIAN(I712:K712))</f>
        <v/>
      </c>
      <c r="M712" s="25">
        <f>IF(COUNTIFS($C:$C,$C712,$D:$D,"P0(전)",$L:$L,"&gt;0")&lt;&gt;1,"P0(전) 유효 1개 아님",IF(COUNTIFS($C:$C,$C712,$D:$D,"P0(후)",$L:$L,"&gt;0")&lt;&gt;1,"P0(후) 유효 1개 아님",IF(NOT(AND(ISNUMBER(N712),ISNUMBER(P712),ISNUMBER(H712))),"시각 결측",IF(P712&lt;=N712,"P0 시각 역전",IF(OR(H712&lt;N712,H712&gt;P712),"측정시각 구간 밖","OK")))))</f>
        <v/>
      </c>
      <c r="N712" s="45">
        <f>IF(COUNTIFS($C:$C,$C712,$D:$D,"P0(전)",$L:$L,"&gt;0")&lt;&gt;1,"",SUMIFS($H:$H,$C:$C,$C712,$D:$D,"P0(전)"))</f>
        <v/>
      </c>
      <c r="O712" s="30">
        <f>IF(COUNTIFS($C:$C,$C712,$D:$D,"P0(전)",$L:$L,"&gt;0")&lt;&gt;1,"",SUMIFS($L:$L,$C:$C,$C712,$D:$D,"P0(전)"))</f>
        <v/>
      </c>
      <c r="P712" s="45">
        <f>IF(COUNTIFS($C:$C,$C712,$D:$D,"P0(후)",$L:$L,"&gt;0")&lt;&gt;1,"",SUMIFS($H:$H,$C:$C,$C712,$D:$D,"P0(후)"))</f>
        <v/>
      </c>
      <c r="Q712" s="30">
        <f>IF(COUNTIFS($C:$C,$C712,$D:$D,"P0(후)",$L:$L,"&gt;0")&lt;&gt;1,"",SUMIFS($L:$L,$C:$C,$C712,$D:$D,"P0(후)"))</f>
        <v/>
      </c>
      <c r="R712" s="30">
        <f>IF(M712&lt;&gt;"OK","",O712+(Q712-O712)*(H712-N712)/(P712-N712))</f>
        <v/>
      </c>
      <c r="S712" s="30">
        <f>IF(OR(M712&lt;&gt;"OK",NOT(ISNUMBER(L712))),"",L712-R712)</f>
        <v/>
      </c>
      <c r="T712" s="46">
        <f>IF(OR(NOT(ISNUMBER(S712)),IF(ISNUMBER(G712),G712,F712)=0),"",S712/IF(ISNUMBER(G712),G712,F712))</f>
        <v/>
      </c>
      <c r="U712" s="46">
        <f>IF(ISNUMBER(T712),ABS(T712),"")</f>
        <v/>
      </c>
      <c r="V712" s="46">
        <f>IF(OR($D711&lt;&gt;"측정",$C711&lt;&gt;$C712,NOT(ISNUMBER(L712)),NOT(ISNUMBER(L711)),(IF(ISNUMBER(G712),G712,F712)-IF(ISNUMBER(G711),G711,F711))=0),"",(L712-L711)/(IF(ISNUMBER(G712),G712,F712)-IF(ISNUMBER(G711),G711,F711)))</f>
        <v/>
      </c>
      <c r="W712" s="30">
        <f>IF(NOT(AND(ISNUMBER(N712),ISNUMBER(P712))),"",(P712-N712)*1440)</f>
        <v/>
      </c>
      <c r="X712" s="28" t="n"/>
      <c r="Y712" s="28" t="n"/>
      <c r="Z712" s="28" t="n"/>
      <c r="AA712" s="31" t="n"/>
      <c r="AB712" s="31" t="n"/>
    </row>
    <row r="713">
      <c r="A713" s="25" t="inlineStr">
        <is>
          <t>S14</t>
        </is>
      </c>
      <c r="B713" s="25" t="inlineStr">
        <is>
          <t>청송 신규점1</t>
        </is>
      </c>
      <c r="C713" s="25" t="inlineStr">
        <is>
          <t>S14-H남</t>
        </is>
      </c>
      <c r="D713" s="25" t="inlineStr">
        <is>
          <t>측정</t>
        </is>
      </c>
      <c r="E713" s="25" t="inlineStr">
        <is>
          <t>남</t>
        </is>
      </c>
      <c r="F713" s="30" t="n">
        <v>5</v>
      </c>
      <c r="G713" s="29" t="n"/>
      <c r="H713" s="42" t="n"/>
      <c r="I713" s="40" t="n"/>
      <c r="J713" s="40" t="n"/>
      <c r="K713" s="40" t="n"/>
      <c r="L713" s="30">
        <f>IF(COUNT(I713:K713)=0,"",MEDIAN(I713:K713))</f>
        <v/>
      </c>
      <c r="M713" s="25">
        <f>IF(COUNTIFS($C:$C,$C713,$D:$D,"P0(전)",$L:$L,"&gt;0")&lt;&gt;1,"P0(전) 유효 1개 아님",IF(COUNTIFS($C:$C,$C713,$D:$D,"P0(후)",$L:$L,"&gt;0")&lt;&gt;1,"P0(후) 유효 1개 아님",IF(NOT(AND(ISNUMBER(N713),ISNUMBER(P713),ISNUMBER(H713))),"시각 결측",IF(P713&lt;=N713,"P0 시각 역전",IF(OR(H713&lt;N713,H713&gt;P713),"측정시각 구간 밖","OK")))))</f>
        <v/>
      </c>
      <c r="N713" s="45">
        <f>IF(COUNTIFS($C:$C,$C713,$D:$D,"P0(전)",$L:$L,"&gt;0")&lt;&gt;1,"",SUMIFS($H:$H,$C:$C,$C713,$D:$D,"P0(전)"))</f>
        <v/>
      </c>
      <c r="O713" s="30">
        <f>IF(COUNTIFS($C:$C,$C713,$D:$D,"P0(전)",$L:$L,"&gt;0")&lt;&gt;1,"",SUMIFS($L:$L,$C:$C,$C713,$D:$D,"P0(전)"))</f>
        <v/>
      </c>
      <c r="P713" s="45">
        <f>IF(COUNTIFS($C:$C,$C713,$D:$D,"P0(후)",$L:$L,"&gt;0")&lt;&gt;1,"",SUMIFS($H:$H,$C:$C,$C713,$D:$D,"P0(후)"))</f>
        <v/>
      </c>
      <c r="Q713" s="30">
        <f>IF(COUNTIFS($C:$C,$C713,$D:$D,"P0(후)",$L:$L,"&gt;0")&lt;&gt;1,"",SUMIFS($L:$L,$C:$C,$C713,$D:$D,"P0(후)"))</f>
        <v/>
      </c>
      <c r="R713" s="30">
        <f>IF(M713&lt;&gt;"OK","",O713+(Q713-O713)*(H713-N713)/(P713-N713))</f>
        <v/>
      </c>
      <c r="S713" s="30">
        <f>IF(OR(M713&lt;&gt;"OK",NOT(ISNUMBER(L713))),"",L713-R713)</f>
        <v/>
      </c>
      <c r="T713" s="46">
        <f>IF(OR(NOT(ISNUMBER(S713)),IF(ISNUMBER(G713),G713,F713)=0),"",S713/IF(ISNUMBER(G713),G713,F713))</f>
        <v/>
      </c>
      <c r="U713" s="46">
        <f>IF(ISNUMBER(T713),ABS(T713),"")</f>
        <v/>
      </c>
      <c r="V713" s="46">
        <f>IF(OR($D712&lt;&gt;"측정",$C712&lt;&gt;$C713,NOT(ISNUMBER(L713)),NOT(ISNUMBER(L712)),(IF(ISNUMBER(G713),G713,F713)-IF(ISNUMBER(G712),G712,F712))=0),"",(L713-L712)/(IF(ISNUMBER(G713),G713,F713)-IF(ISNUMBER(G712),G712,F712)))</f>
        <v/>
      </c>
      <c r="W713" s="30">
        <f>IF(NOT(AND(ISNUMBER(N713),ISNUMBER(P713))),"",(P713-N713)*1440)</f>
        <v/>
      </c>
      <c r="X713" s="28" t="n"/>
      <c r="Y713" s="28" t="n"/>
      <c r="Z713" s="28" t="n"/>
      <c r="AA713" s="31" t="n"/>
      <c r="AB713" s="31" t="n"/>
    </row>
    <row r="714">
      <c r="A714" s="25" t="inlineStr">
        <is>
          <t>S14</t>
        </is>
      </c>
      <c r="B714" s="25" t="inlineStr">
        <is>
          <t>청송 신규점1</t>
        </is>
      </c>
      <c r="C714" s="25" t="inlineStr">
        <is>
          <t>S14-H남</t>
        </is>
      </c>
      <c r="D714" s="25" t="inlineStr">
        <is>
          <t>측정</t>
        </is>
      </c>
      <c r="E714" s="25" t="inlineStr">
        <is>
          <t>남</t>
        </is>
      </c>
      <c r="F714" s="30" t="n">
        <v>6</v>
      </c>
      <c r="G714" s="29" t="n"/>
      <c r="H714" s="42" t="n"/>
      <c r="I714" s="40" t="n"/>
      <c r="J714" s="40" t="n"/>
      <c r="K714" s="40" t="n"/>
      <c r="L714" s="30">
        <f>IF(COUNT(I714:K714)=0,"",MEDIAN(I714:K714))</f>
        <v/>
      </c>
      <c r="M714" s="25">
        <f>IF(COUNTIFS($C:$C,$C714,$D:$D,"P0(전)",$L:$L,"&gt;0")&lt;&gt;1,"P0(전) 유효 1개 아님",IF(COUNTIFS($C:$C,$C714,$D:$D,"P0(후)",$L:$L,"&gt;0")&lt;&gt;1,"P0(후) 유효 1개 아님",IF(NOT(AND(ISNUMBER(N714),ISNUMBER(P714),ISNUMBER(H714))),"시각 결측",IF(P714&lt;=N714,"P0 시각 역전",IF(OR(H714&lt;N714,H714&gt;P714),"측정시각 구간 밖","OK")))))</f>
        <v/>
      </c>
      <c r="N714" s="45">
        <f>IF(COUNTIFS($C:$C,$C714,$D:$D,"P0(전)",$L:$L,"&gt;0")&lt;&gt;1,"",SUMIFS($H:$H,$C:$C,$C714,$D:$D,"P0(전)"))</f>
        <v/>
      </c>
      <c r="O714" s="30">
        <f>IF(COUNTIFS($C:$C,$C714,$D:$D,"P0(전)",$L:$L,"&gt;0")&lt;&gt;1,"",SUMIFS($L:$L,$C:$C,$C714,$D:$D,"P0(전)"))</f>
        <v/>
      </c>
      <c r="P714" s="45">
        <f>IF(COUNTIFS($C:$C,$C714,$D:$D,"P0(후)",$L:$L,"&gt;0")&lt;&gt;1,"",SUMIFS($H:$H,$C:$C,$C714,$D:$D,"P0(후)"))</f>
        <v/>
      </c>
      <c r="Q714" s="30">
        <f>IF(COUNTIFS($C:$C,$C714,$D:$D,"P0(후)",$L:$L,"&gt;0")&lt;&gt;1,"",SUMIFS($L:$L,$C:$C,$C714,$D:$D,"P0(후)"))</f>
        <v/>
      </c>
      <c r="R714" s="30">
        <f>IF(M714&lt;&gt;"OK","",O714+(Q714-O714)*(H714-N714)/(P714-N714))</f>
        <v/>
      </c>
      <c r="S714" s="30">
        <f>IF(OR(M714&lt;&gt;"OK",NOT(ISNUMBER(L714))),"",L714-R714)</f>
        <v/>
      </c>
      <c r="T714" s="46">
        <f>IF(OR(NOT(ISNUMBER(S714)),IF(ISNUMBER(G714),G714,F714)=0),"",S714/IF(ISNUMBER(G714),G714,F714))</f>
        <v/>
      </c>
      <c r="U714" s="46">
        <f>IF(ISNUMBER(T714),ABS(T714),"")</f>
        <v/>
      </c>
      <c r="V714" s="46">
        <f>IF(OR($D713&lt;&gt;"측정",$C713&lt;&gt;$C714,NOT(ISNUMBER(L714)),NOT(ISNUMBER(L713)),(IF(ISNUMBER(G714),G714,F714)-IF(ISNUMBER(G713),G713,F713))=0),"",(L714-L713)/(IF(ISNUMBER(G714),G714,F714)-IF(ISNUMBER(G713),G713,F713)))</f>
        <v/>
      </c>
      <c r="W714" s="30">
        <f>IF(NOT(AND(ISNUMBER(N714),ISNUMBER(P714))),"",(P714-N714)*1440)</f>
        <v/>
      </c>
      <c r="X714" s="28" t="n"/>
      <c r="Y714" s="28" t="n"/>
      <c r="Z714" s="28" t="n"/>
      <c r="AA714" s="31" t="n"/>
      <c r="AB714" s="31" t="n"/>
    </row>
    <row r="715">
      <c r="A715" s="25" t="inlineStr">
        <is>
          <t>S14</t>
        </is>
      </c>
      <c r="B715" s="25" t="inlineStr">
        <is>
          <t>청송 신규점1</t>
        </is>
      </c>
      <c r="C715" s="25" t="inlineStr">
        <is>
          <t>S14-H남</t>
        </is>
      </c>
      <c r="D715" s="25" t="inlineStr">
        <is>
          <t>측정</t>
        </is>
      </c>
      <c r="E715" s="25" t="inlineStr">
        <is>
          <t>남</t>
        </is>
      </c>
      <c r="F715" s="30" t="n">
        <v>7</v>
      </c>
      <c r="G715" s="29" t="n"/>
      <c r="H715" s="42" t="n"/>
      <c r="I715" s="40" t="n"/>
      <c r="J715" s="40" t="n"/>
      <c r="K715" s="40" t="n"/>
      <c r="L715" s="30">
        <f>IF(COUNT(I715:K715)=0,"",MEDIAN(I715:K715))</f>
        <v/>
      </c>
      <c r="M715" s="25">
        <f>IF(COUNTIFS($C:$C,$C715,$D:$D,"P0(전)",$L:$L,"&gt;0")&lt;&gt;1,"P0(전) 유효 1개 아님",IF(COUNTIFS($C:$C,$C715,$D:$D,"P0(후)",$L:$L,"&gt;0")&lt;&gt;1,"P0(후) 유효 1개 아님",IF(NOT(AND(ISNUMBER(N715),ISNUMBER(P715),ISNUMBER(H715))),"시각 결측",IF(P715&lt;=N715,"P0 시각 역전",IF(OR(H715&lt;N715,H715&gt;P715),"측정시각 구간 밖","OK")))))</f>
        <v/>
      </c>
      <c r="N715" s="45">
        <f>IF(COUNTIFS($C:$C,$C715,$D:$D,"P0(전)",$L:$L,"&gt;0")&lt;&gt;1,"",SUMIFS($H:$H,$C:$C,$C715,$D:$D,"P0(전)"))</f>
        <v/>
      </c>
      <c r="O715" s="30">
        <f>IF(COUNTIFS($C:$C,$C715,$D:$D,"P0(전)",$L:$L,"&gt;0")&lt;&gt;1,"",SUMIFS($L:$L,$C:$C,$C715,$D:$D,"P0(전)"))</f>
        <v/>
      </c>
      <c r="P715" s="45">
        <f>IF(COUNTIFS($C:$C,$C715,$D:$D,"P0(후)",$L:$L,"&gt;0")&lt;&gt;1,"",SUMIFS($H:$H,$C:$C,$C715,$D:$D,"P0(후)"))</f>
        <v/>
      </c>
      <c r="Q715" s="30">
        <f>IF(COUNTIFS($C:$C,$C715,$D:$D,"P0(후)",$L:$L,"&gt;0")&lt;&gt;1,"",SUMIFS($L:$L,$C:$C,$C715,$D:$D,"P0(후)"))</f>
        <v/>
      </c>
      <c r="R715" s="30">
        <f>IF(M715&lt;&gt;"OK","",O715+(Q715-O715)*(H715-N715)/(P715-N715))</f>
        <v/>
      </c>
      <c r="S715" s="30">
        <f>IF(OR(M715&lt;&gt;"OK",NOT(ISNUMBER(L715))),"",L715-R715)</f>
        <v/>
      </c>
      <c r="T715" s="46">
        <f>IF(OR(NOT(ISNUMBER(S715)),IF(ISNUMBER(G715),G715,F715)=0),"",S715/IF(ISNUMBER(G715),G715,F715))</f>
        <v/>
      </c>
      <c r="U715" s="46">
        <f>IF(ISNUMBER(T715),ABS(T715),"")</f>
        <v/>
      </c>
      <c r="V715" s="46">
        <f>IF(OR($D714&lt;&gt;"측정",$C714&lt;&gt;$C715,NOT(ISNUMBER(L715)),NOT(ISNUMBER(L714)),(IF(ISNUMBER(G715),G715,F715)-IF(ISNUMBER(G714),G714,F714))=0),"",(L715-L714)/(IF(ISNUMBER(G715),G715,F715)-IF(ISNUMBER(G714),G714,F714)))</f>
        <v/>
      </c>
      <c r="W715" s="30">
        <f>IF(NOT(AND(ISNUMBER(N715),ISNUMBER(P715))),"",(P715-N715)*1440)</f>
        <v/>
      </c>
      <c r="X715" s="28" t="n"/>
      <c r="Y715" s="28" t="n"/>
      <c r="Z715" s="28" t="n"/>
      <c r="AA715" s="31" t="n"/>
      <c r="AB715" s="31" t="n"/>
    </row>
    <row r="716">
      <c r="A716" s="25" t="inlineStr">
        <is>
          <t>S14</t>
        </is>
      </c>
      <c r="B716" s="25" t="inlineStr">
        <is>
          <t>청송 신규점1</t>
        </is>
      </c>
      <c r="C716" s="25" t="inlineStr">
        <is>
          <t>S14-H남</t>
        </is>
      </c>
      <c r="D716" s="25" t="inlineStr">
        <is>
          <t>측정</t>
        </is>
      </c>
      <c r="E716" s="25" t="inlineStr">
        <is>
          <t>남</t>
        </is>
      </c>
      <c r="F716" s="30" t="n">
        <v>8</v>
      </c>
      <c r="G716" s="29" t="n"/>
      <c r="H716" s="42" t="n"/>
      <c r="I716" s="40" t="n"/>
      <c r="J716" s="40" t="n"/>
      <c r="K716" s="40" t="n"/>
      <c r="L716" s="30">
        <f>IF(COUNT(I716:K716)=0,"",MEDIAN(I716:K716))</f>
        <v/>
      </c>
      <c r="M716" s="25">
        <f>IF(COUNTIFS($C:$C,$C716,$D:$D,"P0(전)",$L:$L,"&gt;0")&lt;&gt;1,"P0(전) 유효 1개 아님",IF(COUNTIFS($C:$C,$C716,$D:$D,"P0(후)",$L:$L,"&gt;0")&lt;&gt;1,"P0(후) 유효 1개 아님",IF(NOT(AND(ISNUMBER(N716),ISNUMBER(P716),ISNUMBER(H716))),"시각 결측",IF(P716&lt;=N716,"P0 시각 역전",IF(OR(H716&lt;N716,H716&gt;P716),"측정시각 구간 밖","OK")))))</f>
        <v/>
      </c>
      <c r="N716" s="45">
        <f>IF(COUNTIFS($C:$C,$C716,$D:$D,"P0(전)",$L:$L,"&gt;0")&lt;&gt;1,"",SUMIFS($H:$H,$C:$C,$C716,$D:$D,"P0(전)"))</f>
        <v/>
      </c>
      <c r="O716" s="30">
        <f>IF(COUNTIFS($C:$C,$C716,$D:$D,"P0(전)",$L:$L,"&gt;0")&lt;&gt;1,"",SUMIFS($L:$L,$C:$C,$C716,$D:$D,"P0(전)"))</f>
        <v/>
      </c>
      <c r="P716" s="45">
        <f>IF(COUNTIFS($C:$C,$C716,$D:$D,"P0(후)",$L:$L,"&gt;0")&lt;&gt;1,"",SUMIFS($H:$H,$C:$C,$C716,$D:$D,"P0(후)"))</f>
        <v/>
      </c>
      <c r="Q716" s="30">
        <f>IF(COUNTIFS($C:$C,$C716,$D:$D,"P0(후)",$L:$L,"&gt;0")&lt;&gt;1,"",SUMIFS($L:$L,$C:$C,$C716,$D:$D,"P0(후)"))</f>
        <v/>
      </c>
      <c r="R716" s="30">
        <f>IF(M716&lt;&gt;"OK","",O716+(Q716-O716)*(H716-N716)/(P716-N716))</f>
        <v/>
      </c>
      <c r="S716" s="30">
        <f>IF(OR(M716&lt;&gt;"OK",NOT(ISNUMBER(L716))),"",L716-R716)</f>
        <v/>
      </c>
      <c r="T716" s="46">
        <f>IF(OR(NOT(ISNUMBER(S716)),IF(ISNUMBER(G716),G716,F716)=0),"",S716/IF(ISNUMBER(G716),G716,F716))</f>
        <v/>
      </c>
      <c r="U716" s="46">
        <f>IF(ISNUMBER(T716),ABS(T716),"")</f>
        <v/>
      </c>
      <c r="V716" s="46">
        <f>IF(OR($D715&lt;&gt;"측정",$C715&lt;&gt;$C716,NOT(ISNUMBER(L716)),NOT(ISNUMBER(L715)),(IF(ISNUMBER(G716),G716,F716)-IF(ISNUMBER(G715),G715,F715))=0),"",(L716-L715)/(IF(ISNUMBER(G716),G716,F716)-IF(ISNUMBER(G715),G715,F715)))</f>
        <v/>
      </c>
      <c r="W716" s="30">
        <f>IF(NOT(AND(ISNUMBER(N716),ISNUMBER(P716))),"",(P716-N716)*1440)</f>
        <v/>
      </c>
      <c r="X716" s="28" t="n"/>
      <c r="Y716" s="28" t="n"/>
      <c r="Z716" s="28" t="n"/>
      <c r="AA716" s="31" t="n"/>
      <c r="AB716" s="31" t="n"/>
    </row>
    <row r="717">
      <c r="A717" s="25" t="inlineStr">
        <is>
          <t>S14</t>
        </is>
      </c>
      <c r="B717" s="25" t="inlineStr">
        <is>
          <t>청송 신규점1</t>
        </is>
      </c>
      <c r="C717" s="25" t="inlineStr">
        <is>
          <t>S14-H남</t>
        </is>
      </c>
      <c r="D717" s="25" t="inlineStr">
        <is>
          <t>측정</t>
        </is>
      </c>
      <c r="E717" s="25" t="inlineStr">
        <is>
          <t>남</t>
        </is>
      </c>
      <c r="F717" s="30" t="n">
        <v>9</v>
      </c>
      <c r="G717" s="29" t="n"/>
      <c r="H717" s="42" t="n"/>
      <c r="I717" s="40" t="n"/>
      <c r="J717" s="40" t="n"/>
      <c r="K717" s="40" t="n"/>
      <c r="L717" s="30">
        <f>IF(COUNT(I717:K717)=0,"",MEDIAN(I717:K717))</f>
        <v/>
      </c>
      <c r="M717" s="25">
        <f>IF(COUNTIFS($C:$C,$C717,$D:$D,"P0(전)",$L:$L,"&gt;0")&lt;&gt;1,"P0(전) 유효 1개 아님",IF(COUNTIFS($C:$C,$C717,$D:$D,"P0(후)",$L:$L,"&gt;0")&lt;&gt;1,"P0(후) 유효 1개 아님",IF(NOT(AND(ISNUMBER(N717),ISNUMBER(P717),ISNUMBER(H717))),"시각 결측",IF(P717&lt;=N717,"P0 시각 역전",IF(OR(H717&lt;N717,H717&gt;P717),"측정시각 구간 밖","OK")))))</f>
        <v/>
      </c>
      <c r="N717" s="45">
        <f>IF(COUNTIFS($C:$C,$C717,$D:$D,"P0(전)",$L:$L,"&gt;0")&lt;&gt;1,"",SUMIFS($H:$H,$C:$C,$C717,$D:$D,"P0(전)"))</f>
        <v/>
      </c>
      <c r="O717" s="30">
        <f>IF(COUNTIFS($C:$C,$C717,$D:$D,"P0(전)",$L:$L,"&gt;0")&lt;&gt;1,"",SUMIFS($L:$L,$C:$C,$C717,$D:$D,"P0(전)"))</f>
        <v/>
      </c>
      <c r="P717" s="45">
        <f>IF(COUNTIFS($C:$C,$C717,$D:$D,"P0(후)",$L:$L,"&gt;0")&lt;&gt;1,"",SUMIFS($H:$H,$C:$C,$C717,$D:$D,"P0(후)"))</f>
        <v/>
      </c>
      <c r="Q717" s="30">
        <f>IF(COUNTIFS($C:$C,$C717,$D:$D,"P0(후)",$L:$L,"&gt;0")&lt;&gt;1,"",SUMIFS($L:$L,$C:$C,$C717,$D:$D,"P0(후)"))</f>
        <v/>
      </c>
      <c r="R717" s="30">
        <f>IF(M717&lt;&gt;"OK","",O717+(Q717-O717)*(H717-N717)/(P717-N717))</f>
        <v/>
      </c>
      <c r="S717" s="30">
        <f>IF(OR(M717&lt;&gt;"OK",NOT(ISNUMBER(L717))),"",L717-R717)</f>
        <v/>
      </c>
      <c r="T717" s="46">
        <f>IF(OR(NOT(ISNUMBER(S717)),IF(ISNUMBER(G717),G717,F717)=0),"",S717/IF(ISNUMBER(G717),G717,F717))</f>
        <v/>
      </c>
      <c r="U717" s="46">
        <f>IF(ISNUMBER(T717),ABS(T717),"")</f>
        <v/>
      </c>
      <c r="V717" s="46">
        <f>IF(OR($D716&lt;&gt;"측정",$C716&lt;&gt;$C717,NOT(ISNUMBER(L717)),NOT(ISNUMBER(L716)),(IF(ISNUMBER(G717),G717,F717)-IF(ISNUMBER(G716),G716,F716))=0),"",(L717-L716)/(IF(ISNUMBER(G717),G717,F717)-IF(ISNUMBER(G716),G716,F716)))</f>
        <v/>
      </c>
      <c r="W717" s="30">
        <f>IF(NOT(AND(ISNUMBER(N717),ISNUMBER(P717))),"",(P717-N717)*1440)</f>
        <v/>
      </c>
      <c r="X717" s="28" t="n"/>
      <c r="Y717" s="28" t="n"/>
      <c r="Z717" s="28" t="n"/>
      <c r="AA717" s="31" t="n"/>
      <c r="AB717" s="31" t="n"/>
    </row>
    <row r="718">
      <c r="A718" s="25" t="inlineStr">
        <is>
          <t>S14</t>
        </is>
      </c>
      <c r="B718" s="25" t="inlineStr">
        <is>
          <t>청송 신규점1</t>
        </is>
      </c>
      <c r="C718" s="25" t="inlineStr">
        <is>
          <t>S14-H남</t>
        </is>
      </c>
      <c r="D718" s="25" t="inlineStr">
        <is>
          <t>측정</t>
        </is>
      </c>
      <c r="E718" s="25" t="inlineStr">
        <is>
          <t>남</t>
        </is>
      </c>
      <c r="F718" s="30" t="n">
        <v>10</v>
      </c>
      <c r="G718" s="29" t="n"/>
      <c r="H718" s="42" t="n"/>
      <c r="I718" s="40" t="n"/>
      <c r="J718" s="40" t="n"/>
      <c r="K718" s="40" t="n"/>
      <c r="L718" s="30">
        <f>IF(COUNT(I718:K718)=0,"",MEDIAN(I718:K718))</f>
        <v/>
      </c>
      <c r="M718" s="25">
        <f>IF(COUNTIFS($C:$C,$C718,$D:$D,"P0(전)",$L:$L,"&gt;0")&lt;&gt;1,"P0(전) 유효 1개 아님",IF(COUNTIFS($C:$C,$C718,$D:$D,"P0(후)",$L:$L,"&gt;0")&lt;&gt;1,"P0(후) 유효 1개 아님",IF(NOT(AND(ISNUMBER(N718),ISNUMBER(P718),ISNUMBER(H718))),"시각 결측",IF(P718&lt;=N718,"P0 시각 역전",IF(OR(H718&lt;N718,H718&gt;P718),"측정시각 구간 밖","OK")))))</f>
        <v/>
      </c>
      <c r="N718" s="45">
        <f>IF(COUNTIFS($C:$C,$C718,$D:$D,"P0(전)",$L:$L,"&gt;0")&lt;&gt;1,"",SUMIFS($H:$H,$C:$C,$C718,$D:$D,"P0(전)"))</f>
        <v/>
      </c>
      <c r="O718" s="30">
        <f>IF(COUNTIFS($C:$C,$C718,$D:$D,"P0(전)",$L:$L,"&gt;0")&lt;&gt;1,"",SUMIFS($L:$L,$C:$C,$C718,$D:$D,"P0(전)"))</f>
        <v/>
      </c>
      <c r="P718" s="45">
        <f>IF(COUNTIFS($C:$C,$C718,$D:$D,"P0(후)",$L:$L,"&gt;0")&lt;&gt;1,"",SUMIFS($H:$H,$C:$C,$C718,$D:$D,"P0(후)"))</f>
        <v/>
      </c>
      <c r="Q718" s="30">
        <f>IF(COUNTIFS($C:$C,$C718,$D:$D,"P0(후)",$L:$L,"&gt;0")&lt;&gt;1,"",SUMIFS($L:$L,$C:$C,$C718,$D:$D,"P0(후)"))</f>
        <v/>
      </c>
      <c r="R718" s="30">
        <f>IF(M718&lt;&gt;"OK","",O718+(Q718-O718)*(H718-N718)/(P718-N718))</f>
        <v/>
      </c>
      <c r="S718" s="30">
        <f>IF(OR(M718&lt;&gt;"OK",NOT(ISNUMBER(L718))),"",L718-R718)</f>
        <v/>
      </c>
      <c r="T718" s="46">
        <f>IF(OR(NOT(ISNUMBER(S718)),IF(ISNUMBER(G718),G718,F718)=0),"",S718/IF(ISNUMBER(G718),G718,F718))</f>
        <v/>
      </c>
      <c r="U718" s="46">
        <f>IF(ISNUMBER(T718),ABS(T718),"")</f>
        <v/>
      </c>
      <c r="V718" s="46">
        <f>IF(OR($D717&lt;&gt;"측정",$C717&lt;&gt;$C718,NOT(ISNUMBER(L718)),NOT(ISNUMBER(L717)),(IF(ISNUMBER(G718),G718,F718)-IF(ISNUMBER(G717),G717,F717))=0),"",(L718-L717)/(IF(ISNUMBER(G718),G718,F718)-IF(ISNUMBER(G717),G717,F717)))</f>
        <v/>
      </c>
      <c r="W718" s="30">
        <f>IF(NOT(AND(ISNUMBER(N718),ISNUMBER(P718))),"",(P718-N718)*1440)</f>
        <v/>
      </c>
      <c r="X718" s="28" t="n"/>
      <c r="Y718" s="28" t="n"/>
      <c r="Z718" s="28" t="n"/>
      <c r="AA718" s="31" t="n"/>
      <c r="AB718" s="31" t="n"/>
    </row>
    <row r="719">
      <c r="A719" s="43" t="inlineStr">
        <is>
          <t>S14</t>
        </is>
      </c>
      <c r="B719" s="43" t="inlineStr">
        <is>
          <t>청송 신규점1</t>
        </is>
      </c>
      <c r="C719" s="43" t="inlineStr">
        <is>
          <t>S14-H남</t>
        </is>
      </c>
      <c r="D719" s="43" t="inlineStr">
        <is>
          <t>P0(후)</t>
        </is>
      </c>
      <c r="E719" s="43" t="inlineStr">
        <is>
          <t>남</t>
        </is>
      </c>
      <c r="F719" s="44" t="n"/>
      <c r="G719" s="29" t="n"/>
      <c r="H719" s="42" t="n"/>
      <c r="I719" s="40" t="n"/>
      <c r="J719" s="40" t="n"/>
      <c r="K719" s="40" t="n"/>
      <c r="L719" s="30">
        <f>IF(COUNT(I719:K719)=0,"",MEDIAN(I719:K719))</f>
        <v/>
      </c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28" t="n"/>
      <c r="Y719" s="28" t="n"/>
      <c r="Z719" s="28" t="n"/>
      <c r="AA719" s="31" t="n"/>
      <c r="AB719" s="31" t="n"/>
    </row>
    <row r="720">
      <c r="A720" s="43" t="inlineStr">
        <is>
          <t>S14</t>
        </is>
      </c>
      <c r="B720" s="43" t="inlineStr">
        <is>
          <t>청송 신규점1</t>
        </is>
      </c>
      <c r="C720" s="43" t="inlineStr">
        <is>
          <t>S14-H북</t>
        </is>
      </c>
      <c r="D720" s="43" t="inlineStr">
        <is>
          <t>P0(전)</t>
        </is>
      </c>
      <c r="E720" s="43" t="inlineStr">
        <is>
          <t>북</t>
        </is>
      </c>
      <c r="F720" s="44" t="n"/>
      <c r="G720" s="29" t="n"/>
      <c r="H720" s="42" t="n"/>
      <c r="I720" s="40" t="n"/>
      <c r="J720" s="40" t="n"/>
      <c r="K720" s="40" t="n"/>
      <c r="L720" s="30">
        <f>IF(COUNT(I720:K720)=0,"",MEDIAN(I720:K720))</f>
        <v/>
      </c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28" t="n"/>
      <c r="Y720" s="28" t="n"/>
      <c r="Z720" s="28" t="n"/>
      <c r="AA720" s="31" t="n"/>
      <c r="AB720" s="31" t="n"/>
    </row>
    <row r="721">
      <c r="A721" s="25" t="inlineStr">
        <is>
          <t>S14</t>
        </is>
      </c>
      <c r="B721" s="25" t="inlineStr">
        <is>
          <t>청송 신규점1</t>
        </is>
      </c>
      <c r="C721" s="25" t="inlineStr">
        <is>
          <t>S14-H북</t>
        </is>
      </c>
      <c r="D721" s="25" t="inlineStr">
        <is>
          <t>측정</t>
        </is>
      </c>
      <c r="E721" s="25" t="inlineStr">
        <is>
          <t>북</t>
        </is>
      </c>
      <c r="F721" s="30" t="n">
        <v>0.5</v>
      </c>
      <c r="G721" s="29" t="n"/>
      <c r="H721" s="42" t="n"/>
      <c r="I721" s="40" t="n"/>
      <c r="J721" s="40" t="n"/>
      <c r="K721" s="40" t="n"/>
      <c r="L721" s="30">
        <f>IF(COUNT(I721:K721)=0,"",MEDIAN(I721:K721))</f>
        <v/>
      </c>
      <c r="M721" s="25">
        <f>IF(COUNTIFS($C:$C,$C721,$D:$D,"P0(전)",$L:$L,"&gt;0")&lt;&gt;1,"P0(전) 유효 1개 아님",IF(COUNTIFS($C:$C,$C721,$D:$D,"P0(후)",$L:$L,"&gt;0")&lt;&gt;1,"P0(후) 유효 1개 아님",IF(NOT(AND(ISNUMBER(N721),ISNUMBER(P721),ISNUMBER(H721))),"시각 결측",IF(P721&lt;=N721,"P0 시각 역전",IF(OR(H721&lt;N721,H721&gt;P721),"측정시각 구간 밖","OK")))))</f>
        <v/>
      </c>
      <c r="N721" s="45">
        <f>IF(COUNTIFS($C:$C,$C721,$D:$D,"P0(전)",$L:$L,"&gt;0")&lt;&gt;1,"",SUMIFS($H:$H,$C:$C,$C721,$D:$D,"P0(전)"))</f>
        <v/>
      </c>
      <c r="O721" s="30">
        <f>IF(COUNTIFS($C:$C,$C721,$D:$D,"P0(전)",$L:$L,"&gt;0")&lt;&gt;1,"",SUMIFS($L:$L,$C:$C,$C721,$D:$D,"P0(전)"))</f>
        <v/>
      </c>
      <c r="P721" s="45">
        <f>IF(COUNTIFS($C:$C,$C721,$D:$D,"P0(후)",$L:$L,"&gt;0")&lt;&gt;1,"",SUMIFS($H:$H,$C:$C,$C721,$D:$D,"P0(후)"))</f>
        <v/>
      </c>
      <c r="Q721" s="30">
        <f>IF(COUNTIFS($C:$C,$C721,$D:$D,"P0(후)",$L:$L,"&gt;0")&lt;&gt;1,"",SUMIFS($L:$L,$C:$C,$C721,$D:$D,"P0(후)"))</f>
        <v/>
      </c>
      <c r="R721" s="30">
        <f>IF(M721&lt;&gt;"OK","",O721+(Q721-O721)*(H721-N721)/(P721-N721))</f>
        <v/>
      </c>
      <c r="S721" s="30">
        <f>IF(OR(M721&lt;&gt;"OK",NOT(ISNUMBER(L721))),"",L721-R721)</f>
        <v/>
      </c>
      <c r="T721" s="46">
        <f>IF(OR(NOT(ISNUMBER(S721)),IF(ISNUMBER(G721),G721,F721)=0),"",S721/IF(ISNUMBER(G721),G721,F721))</f>
        <v/>
      </c>
      <c r="U721" s="46">
        <f>IF(ISNUMBER(T721),ABS(T721),"")</f>
        <v/>
      </c>
      <c r="V721" s="46">
        <f>IF(OR($D720&lt;&gt;"측정",$C720&lt;&gt;$C721,NOT(ISNUMBER(L721)),NOT(ISNUMBER(L720)),(IF(ISNUMBER(G721),G721,F721)-IF(ISNUMBER(G720),G720,F720))=0),"",(L721-L720)/(IF(ISNUMBER(G721),G721,F721)-IF(ISNUMBER(G720),G720,F720)))</f>
        <v/>
      </c>
      <c r="W721" s="30">
        <f>IF(NOT(AND(ISNUMBER(N721),ISNUMBER(P721))),"",(P721-N721)*1440)</f>
        <v/>
      </c>
      <c r="X721" s="28" t="n"/>
      <c r="Y721" s="28" t="n"/>
      <c r="Z721" s="28" t="n"/>
      <c r="AA721" s="31" t="n"/>
      <c r="AB721" s="31" t="n"/>
    </row>
    <row r="722">
      <c r="A722" s="25" t="inlineStr">
        <is>
          <t>S14</t>
        </is>
      </c>
      <c r="B722" s="25" t="inlineStr">
        <is>
          <t>청송 신규점1</t>
        </is>
      </c>
      <c r="C722" s="25" t="inlineStr">
        <is>
          <t>S14-H북</t>
        </is>
      </c>
      <c r="D722" s="25" t="inlineStr">
        <is>
          <t>측정</t>
        </is>
      </c>
      <c r="E722" s="25" t="inlineStr">
        <is>
          <t>북</t>
        </is>
      </c>
      <c r="F722" s="30" t="n">
        <v>1</v>
      </c>
      <c r="G722" s="29" t="n"/>
      <c r="H722" s="42" t="n"/>
      <c r="I722" s="40" t="n"/>
      <c r="J722" s="40" t="n"/>
      <c r="K722" s="40" t="n"/>
      <c r="L722" s="30">
        <f>IF(COUNT(I722:K722)=0,"",MEDIAN(I722:K722))</f>
        <v/>
      </c>
      <c r="M722" s="25">
        <f>IF(COUNTIFS($C:$C,$C722,$D:$D,"P0(전)",$L:$L,"&gt;0")&lt;&gt;1,"P0(전) 유효 1개 아님",IF(COUNTIFS($C:$C,$C722,$D:$D,"P0(후)",$L:$L,"&gt;0")&lt;&gt;1,"P0(후) 유효 1개 아님",IF(NOT(AND(ISNUMBER(N722),ISNUMBER(P722),ISNUMBER(H722))),"시각 결측",IF(P722&lt;=N722,"P0 시각 역전",IF(OR(H722&lt;N722,H722&gt;P722),"측정시각 구간 밖","OK")))))</f>
        <v/>
      </c>
      <c r="N722" s="45">
        <f>IF(COUNTIFS($C:$C,$C722,$D:$D,"P0(전)",$L:$L,"&gt;0")&lt;&gt;1,"",SUMIFS($H:$H,$C:$C,$C722,$D:$D,"P0(전)"))</f>
        <v/>
      </c>
      <c r="O722" s="30">
        <f>IF(COUNTIFS($C:$C,$C722,$D:$D,"P0(전)",$L:$L,"&gt;0")&lt;&gt;1,"",SUMIFS($L:$L,$C:$C,$C722,$D:$D,"P0(전)"))</f>
        <v/>
      </c>
      <c r="P722" s="45">
        <f>IF(COUNTIFS($C:$C,$C722,$D:$D,"P0(후)",$L:$L,"&gt;0")&lt;&gt;1,"",SUMIFS($H:$H,$C:$C,$C722,$D:$D,"P0(후)"))</f>
        <v/>
      </c>
      <c r="Q722" s="30">
        <f>IF(COUNTIFS($C:$C,$C722,$D:$D,"P0(후)",$L:$L,"&gt;0")&lt;&gt;1,"",SUMIFS($L:$L,$C:$C,$C722,$D:$D,"P0(후)"))</f>
        <v/>
      </c>
      <c r="R722" s="30">
        <f>IF(M722&lt;&gt;"OK","",O722+(Q722-O722)*(H722-N722)/(P722-N722))</f>
        <v/>
      </c>
      <c r="S722" s="30">
        <f>IF(OR(M722&lt;&gt;"OK",NOT(ISNUMBER(L722))),"",L722-R722)</f>
        <v/>
      </c>
      <c r="T722" s="46">
        <f>IF(OR(NOT(ISNUMBER(S722)),IF(ISNUMBER(G722),G722,F722)=0),"",S722/IF(ISNUMBER(G722),G722,F722))</f>
        <v/>
      </c>
      <c r="U722" s="46">
        <f>IF(ISNUMBER(T722),ABS(T722),"")</f>
        <v/>
      </c>
      <c r="V722" s="46">
        <f>IF(OR($D721&lt;&gt;"측정",$C721&lt;&gt;$C722,NOT(ISNUMBER(L722)),NOT(ISNUMBER(L721)),(IF(ISNUMBER(G722),G722,F722)-IF(ISNUMBER(G721),G721,F721))=0),"",(L722-L721)/(IF(ISNUMBER(G722),G722,F722)-IF(ISNUMBER(G721),G721,F721)))</f>
        <v/>
      </c>
      <c r="W722" s="30">
        <f>IF(NOT(AND(ISNUMBER(N722),ISNUMBER(P722))),"",(P722-N722)*1440)</f>
        <v/>
      </c>
      <c r="X722" s="28" t="n"/>
      <c r="Y722" s="28" t="n"/>
      <c r="Z722" s="28" t="n"/>
      <c r="AA722" s="31" t="n"/>
      <c r="AB722" s="31" t="n"/>
    </row>
    <row r="723">
      <c r="A723" s="25" t="inlineStr">
        <is>
          <t>S14</t>
        </is>
      </c>
      <c r="B723" s="25" t="inlineStr">
        <is>
          <t>청송 신규점1</t>
        </is>
      </c>
      <c r="C723" s="25" t="inlineStr">
        <is>
          <t>S14-H북</t>
        </is>
      </c>
      <c r="D723" s="25" t="inlineStr">
        <is>
          <t>측정</t>
        </is>
      </c>
      <c r="E723" s="25" t="inlineStr">
        <is>
          <t>북</t>
        </is>
      </c>
      <c r="F723" s="30" t="n">
        <v>2</v>
      </c>
      <c r="G723" s="29" t="n"/>
      <c r="H723" s="42" t="n"/>
      <c r="I723" s="40" t="n"/>
      <c r="J723" s="40" t="n"/>
      <c r="K723" s="40" t="n"/>
      <c r="L723" s="30">
        <f>IF(COUNT(I723:K723)=0,"",MEDIAN(I723:K723))</f>
        <v/>
      </c>
      <c r="M723" s="25">
        <f>IF(COUNTIFS($C:$C,$C723,$D:$D,"P0(전)",$L:$L,"&gt;0")&lt;&gt;1,"P0(전) 유효 1개 아님",IF(COUNTIFS($C:$C,$C723,$D:$D,"P0(후)",$L:$L,"&gt;0")&lt;&gt;1,"P0(후) 유효 1개 아님",IF(NOT(AND(ISNUMBER(N723),ISNUMBER(P723),ISNUMBER(H723))),"시각 결측",IF(P723&lt;=N723,"P0 시각 역전",IF(OR(H723&lt;N723,H723&gt;P723),"측정시각 구간 밖","OK")))))</f>
        <v/>
      </c>
      <c r="N723" s="45">
        <f>IF(COUNTIFS($C:$C,$C723,$D:$D,"P0(전)",$L:$L,"&gt;0")&lt;&gt;1,"",SUMIFS($H:$H,$C:$C,$C723,$D:$D,"P0(전)"))</f>
        <v/>
      </c>
      <c r="O723" s="30">
        <f>IF(COUNTIFS($C:$C,$C723,$D:$D,"P0(전)",$L:$L,"&gt;0")&lt;&gt;1,"",SUMIFS($L:$L,$C:$C,$C723,$D:$D,"P0(전)"))</f>
        <v/>
      </c>
      <c r="P723" s="45">
        <f>IF(COUNTIFS($C:$C,$C723,$D:$D,"P0(후)",$L:$L,"&gt;0")&lt;&gt;1,"",SUMIFS($H:$H,$C:$C,$C723,$D:$D,"P0(후)"))</f>
        <v/>
      </c>
      <c r="Q723" s="30">
        <f>IF(COUNTIFS($C:$C,$C723,$D:$D,"P0(후)",$L:$L,"&gt;0")&lt;&gt;1,"",SUMIFS($L:$L,$C:$C,$C723,$D:$D,"P0(후)"))</f>
        <v/>
      </c>
      <c r="R723" s="30">
        <f>IF(M723&lt;&gt;"OK","",O723+(Q723-O723)*(H723-N723)/(P723-N723))</f>
        <v/>
      </c>
      <c r="S723" s="30">
        <f>IF(OR(M723&lt;&gt;"OK",NOT(ISNUMBER(L723))),"",L723-R723)</f>
        <v/>
      </c>
      <c r="T723" s="46">
        <f>IF(OR(NOT(ISNUMBER(S723)),IF(ISNUMBER(G723),G723,F723)=0),"",S723/IF(ISNUMBER(G723),G723,F723))</f>
        <v/>
      </c>
      <c r="U723" s="46">
        <f>IF(ISNUMBER(T723),ABS(T723),"")</f>
        <v/>
      </c>
      <c r="V723" s="46">
        <f>IF(OR($D722&lt;&gt;"측정",$C722&lt;&gt;$C723,NOT(ISNUMBER(L723)),NOT(ISNUMBER(L722)),(IF(ISNUMBER(G723),G723,F723)-IF(ISNUMBER(G722),G722,F722))=0),"",(L723-L722)/(IF(ISNUMBER(G723),G723,F723)-IF(ISNUMBER(G722),G722,F722)))</f>
        <v/>
      </c>
      <c r="W723" s="30">
        <f>IF(NOT(AND(ISNUMBER(N723),ISNUMBER(P723))),"",(P723-N723)*1440)</f>
        <v/>
      </c>
      <c r="X723" s="28" t="n"/>
      <c r="Y723" s="28" t="n"/>
      <c r="Z723" s="28" t="n"/>
      <c r="AA723" s="31" t="n"/>
      <c r="AB723" s="31" t="n"/>
    </row>
    <row r="724">
      <c r="A724" s="25" t="inlineStr">
        <is>
          <t>S14</t>
        </is>
      </c>
      <c r="B724" s="25" t="inlineStr">
        <is>
          <t>청송 신규점1</t>
        </is>
      </c>
      <c r="C724" s="25" t="inlineStr">
        <is>
          <t>S14-H북</t>
        </is>
      </c>
      <c r="D724" s="25" t="inlineStr">
        <is>
          <t>측정</t>
        </is>
      </c>
      <c r="E724" s="25" t="inlineStr">
        <is>
          <t>북</t>
        </is>
      </c>
      <c r="F724" s="30" t="n">
        <v>3</v>
      </c>
      <c r="G724" s="29" t="n"/>
      <c r="H724" s="42" t="n"/>
      <c r="I724" s="40" t="n"/>
      <c r="J724" s="40" t="n"/>
      <c r="K724" s="40" t="n"/>
      <c r="L724" s="30">
        <f>IF(COUNT(I724:K724)=0,"",MEDIAN(I724:K724))</f>
        <v/>
      </c>
      <c r="M724" s="25">
        <f>IF(COUNTIFS($C:$C,$C724,$D:$D,"P0(전)",$L:$L,"&gt;0")&lt;&gt;1,"P0(전) 유효 1개 아님",IF(COUNTIFS($C:$C,$C724,$D:$D,"P0(후)",$L:$L,"&gt;0")&lt;&gt;1,"P0(후) 유효 1개 아님",IF(NOT(AND(ISNUMBER(N724),ISNUMBER(P724),ISNUMBER(H724))),"시각 결측",IF(P724&lt;=N724,"P0 시각 역전",IF(OR(H724&lt;N724,H724&gt;P724),"측정시각 구간 밖","OK")))))</f>
        <v/>
      </c>
      <c r="N724" s="45">
        <f>IF(COUNTIFS($C:$C,$C724,$D:$D,"P0(전)",$L:$L,"&gt;0")&lt;&gt;1,"",SUMIFS($H:$H,$C:$C,$C724,$D:$D,"P0(전)"))</f>
        <v/>
      </c>
      <c r="O724" s="30">
        <f>IF(COUNTIFS($C:$C,$C724,$D:$D,"P0(전)",$L:$L,"&gt;0")&lt;&gt;1,"",SUMIFS($L:$L,$C:$C,$C724,$D:$D,"P0(전)"))</f>
        <v/>
      </c>
      <c r="P724" s="45">
        <f>IF(COUNTIFS($C:$C,$C724,$D:$D,"P0(후)",$L:$L,"&gt;0")&lt;&gt;1,"",SUMIFS($H:$H,$C:$C,$C724,$D:$D,"P0(후)"))</f>
        <v/>
      </c>
      <c r="Q724" s="30">
        <f>IF(COUNTIFS($C:$C,$C724,$D:$D,"P0(후)",$L:$L,"&gt;0")&lt;&gt;1,"",SUMIFS($L:$L,$C:$C,$C724,$D:$D,"P0(후)"))</f>
        <v/>
      </c>
      <c r="R724" s="30">
        <f>IF(M724&lt;&gt;"OK","",O724+(Q724-O724)*(H724-N724)/(P724-N724))</f>
        <v/>
      </c>
      <c r="S724" s="30">
        <f>IF(OR(M724&lt;&gt;"OK",NOT(ISNUMBER(L724))),"",L724-R724)</f>
        <v/>
      </c>
      <c r="T724" s="46">
        <f>IF(OR(NOT(ISNUMBER(S724)),IF(ISNUMBER(G724),G724,F724)=0),"",S724/IF(ISNUMBER(G724),G724,F724))</f>
        <v/>
      </c>
      <c r="U724" s="46">
        <f>IF(ISNUMBER(T724),ABS(T724),"")</f>
        <v/>
      </c>
      <c r="V724" s="46">
        <f>IF(OR($D723&lt;&gt;"측정",$C723&lt;&gt;$C724,NOT(ISNUMBER(L724)),NOT(ISNUMBER(L723)),(IF(ISNUMBER(G724),G724,F724)-IF(ISNUMBER(G723),G723,F723))=0),"",(L724-L723)/(IF(ISNUMBER(G724),G724,F724)-IF(ISNUMBER(G723),G723,F723)))</f>
        <v/>
      </c>
      <c r="W724" s="30">
        <f>IF(NOT(AND(ISNUMBER(N724),ISNUMBER(P724))),"",(P724-N724)*1440)</f>
        <v/>
      </c>
      <c r="X724" s="28" t="n"/>
      <c r="Y724" s="28" t="n"/>
      <c r="Z724" s="28" t="n"/>
      <c r="AA724" s="31" t="n"/>
      <c r="AB724" s="31" t="n"/>
    </row>
    <row r="725">
      <c r="A725" s="25" t="inlineStr">
        <is>
          <t>S14</t>
        </is>
      </c>
      <c r="B725" s="25" t="inlineStr">
        <is>
          <t>청송 신규점1</t>
        </is>
      </c>
      <c r="C725" s="25" t="inlineStr">
        <is>
          <t>S14-H북</t>
        </is>
      </c>
      <c r="D725" s="25" t="inlineStr">
        <is>
          <t>측정</t>
        </is>
      </c>
      <c r="E725" s="25" t="inlineStr">
        <is>
          <t>북</t>
        </is>
      </c>
      <c r="F725" s="30" t="n">
        <v>4</v>
      </c>
      <c r="G725" s="29" t="n"/>
      <c r="H725" s="42" t="n"/>
      <c r="I725" s="40" t="n"/>
      <c r="J725" s="40" t="n"/>
      <c r="K725" s="40" t="n"/>
      <c r="L725" s="30">
        <f>IF(COUNT(I725:K725)=0,"",MEDIAN(I725:K725))</f>
        <v/>
      </c>
      <c r="M725" s="25">
        <f>IF(COUNTIFS($C:$C,$C725,$D:$D,"P0(전)",$L:$L,"&gt;0")&lt;&gt;1,"P0(전) 유효 1개 아님",IF(COUNTIFS($C:$C,$C725,$D:$D,"P0(후)",$L:$L,"&gt;0")&lt;&gt;1,"P0(후) 유효 1개 아님",IF(NOT(AND(ISNUMBER(N725),ISNUMBER(P725),ISNUMBER(H725))),"시각 결측",IF(P725&lt;=N725,"P0 시각 역전",IF(OR(H725&lt;N725,H725&gt;P725),"측정시각 구간 밖","OK")))))</f>
        <v/>
      </c>
      <c r="N725" s="45">
        <f>IF(COUNTIFS($C:$C,$C725,$D:$D,"P0(전)",$L:$L,"&gt;0")&lt;&gt;1,"",SUMIFS($H:$H,$C:$C,$C725,$D:$D,"P0(전)"))</f>
        <v/>
      </c>
      <c r="O725" s="30">
        <f>IF(COUNTIFS($C:$C,$C725,$D:$D,"P0(전)",$L:$L,"&gt;0")&lt;&gt;1,"",SUMIFS($L:$L,$C:$C,$C725,$D:$D,"P0(전)"))</f>
        <v/>
      </c>
      <c r="P725" s="45">
        <f>IF(COUNTIFS($C:$C,$C725,$D:$D,"P0(후)",$L:$L,"&gt;0")&lt;&gt;1,"",SUMIFS($H:$H,$C:$C,$C725,$D:$D,"P0(후)"))</f>
        <v/>
      </c>
      <c r="Q725" s="30">
        <f>IF(COUNTIFS($C:$C,$C725,$D:$D,"P0(후)",$L:$L,"&gt;0")&lt;&gt;1,"",SUMIFS($L:$L,$C:$C,$C725,$D:$D,"P0(후)"))</f>
        <v/>
      </c>
      <c r="R725" s="30">
        <f>IF(M725&lt;&gt;"OK","",O725+(Q725-O725)*(H725-N725)/(P725-N725))</f>
        <v/>
      </c>
      <c r="S725" s="30">
        <f>IF(OR(M725&lt;&gt;"OK",NOT(ISNUMBER(L725))),"",L725-R725)</f>
        <v/>
      </c>
      <c r="T725" s="46">
        <f>IF(OR(NOT(ISNUMBER(S725)),IF(ISNUMBER(G725),G725,F725)=0),"",S725/IF(ISNUMBER(G725),G725,F725))</f>
        <v/>
      </c>
      <c r="U725" s="46">
        <f>IF(ISNUMBER(T725),ABS(T725),"")</f>
        <v/>
      </c>
      <c r="V725" s="46">
        <f>IF(OR($D724&lt;&gt;"측정",$C724&lt;&gt;$C725,NOT(ISNUMBER(L725)),NOT(ISNUMBER(L724)),(IF(ISNUMBER(G725),G725,F725)-IF(ISNUMBER(G724),G724,F724))=0),"",(L725-L724)/(IF(ISNUMBER(G725),G725,F725)-IF(ISNUMBER(G724),G724,F724)))</f>
        <v/>
      </c>
      <c r="W725" s="30">
        <f>IF(NOT(AND(ISNUMBER(N725),ISNUMBER(P725))),"",(P725-N725)*1440)</f>
        <v/>
      </c>
      <c r="X725" s="28" t="n"/>
      <c r="Y725" s="28" t="n"/>
      <c r="Z725" s="28" t="n"/>
      <c r="AA725" s="31" t="n"/>
      <c r="AB725" s="31" t="n"/>
    </row>
    <row r="726">
      <c r="A726" s="25" t="inlineStr">
        <is>
          <t>S14</t>
        </is>
      </c>
      <c r="B726" s="25" t="inlineStr">
        <is>
          <t>청송 신규점1</t>
        </is>
      </c>
      <c r="C726" s="25" t="inlineStr">
        <is>
          <t>S14-H북</t>
        </is>
      </c>
      <c r="D726" s="25" t="inlineStr">
        <is>
          <t>측정</t>
        </is>
      </c>
      <c r="E726" s="25" t="inlineStr">
        <is>
          <t>북</t>
        </is>
      </c>
      <c r="F726" s="30" t="n">
        <v>5</v>
      </c>
      <c r="G726" s="29" t="n"/>
      <c r="H726" s="42" t="n"/>
      <c r="I726" s="40" t="n"/>
      <c r="J726" s="40" t="n"/>
      <c r="K726" s="40" t="n"/>
      <c r="L726" s="30">
        <f>IF(COUNT(I726:K726)=0,"",MEDIAN(I726:K726))</f>
        <v/>
      </c>
      <c r="M726" s="25">
        <f>IF(COUNTIFS($C:$C,$C726,$D:$D,"P0(전)",$L:$L,"&gt;0")&lt;&gt;1,"P0(전) 유효 1개 아님",IF(COUNTIFS($C:$C,$C726,$D:$D,"P0(후)",$L:$L,"&gt;0")&lt;&gt;1,"P0(후) 유효 1개 아님",IF(NOT(AND(ISNUMBER(N726),ISNUMBER(P726),ISNUMBER(H726))),"시각 결측",IF(P726&lt;=N726,"P0 시각 역전",IF(OR(H726&lt;N726,H726&gt;P726),"측정시각 구간 밖","OK")))))</f>
        <v/>
      </c>
      <c r="N726" s="45">
        <f>IF(COUNTIFS($C:$C,$C726,$D:$D,"P0(전)",$L:$L,"&gt;0")&lt;&gt;1,"",SUMIFS($H:$H,$C:$C,$C726,$D:$D,"P0(전)"))</f>
        <v/>
      </c>
      <c r="O726" s="30">
        <f>IF(COUNTIFS($C:$C,$C726,$D:$D,"P0(전)",$L:$L,"&gt;0")&lt;&gt;1,"",SUMIFS($L:$L,$C:$C,$C726,$D:$D,"P0(전)"))</f>
        <v/>
      </c>
      <c r="P726" s="45">
        <f>IF(COUNTIFS($C:$C,$C726,$D:$D,"P0(후)",$L:$L,"&gt;0")&lt;&gt;1,"",SUMIFS($H:$H,$C:$C,$C726,$D:$D,"P0(후)"))</f>
        <v/>
      </c>
      <c r="Q726" s="30">
        <f>IF(COUNTIFS($C:$C,$C726,$D:$D,"P0(후)",$L:$L,"&gt;0")&lt;&gt;1,"",SUMIFS($L:$L,$C:$C,$C726,$D:$D,"P0(후)"))</f>
        <v/>
      </c>
      <c r="R726" s="30">
        <f>IF(M726&lt;&gt;"OK","",O726+(Q726-O726)*(H726-N726)/(P726-N726))</f>
        <v/>
      </c>
      <c r="S726" s="30">
        <f>IF(OR(M726&lt;&gt;"OK",NOT(ISNUMBER(L726))),"",L726-R726)</f>
        <v/>
      </c>
      <c r="T726" s="46">
        <f>IF(OR(NOT(ISNUMBER(S726)),IF(ISNUMBER(G726),G726,F726)=0),"",S726/IF(ISNUMBER(G726),G726,F726))</f>
        <v/>
      </c>
      <c r="U726" s="46">
        <f>IF(ISNUMBER(T726),ABS(T726),"")</f>
        <v/>
      </c>
      <c r="V726" s="46">
        <f>IF(OR($D725&lt;&gt;"측정",$C725&lt;&gt;$C726,NOT(ISNUMBER(L726)),NOT(ISNUMBER(L725)),(IF(ISNUMBER(G726),G726,F726)-IF(ISNUMBER(G725),G725,F725))=0),"",(L726-L725)/(IF(ISNUMBER(G726),G726,F726)-IF(ISNUMBER(G725),G725,F725)))</f>
        <v/>
      </c>
      <c r="W726" s="30">
        <f>IF(NOT(AND(ISNUMBER(N726),ISNUMBER(P726))),"",(P726-N726)*1440)</f>
        <v/>
      </c>
      <c r="X726" s="28" t="n"/>
      <c r="Y726" s="28" t="n"/>
      <c r="Z726" s="28" t="n"/>
      <c r="AA726" s="31" t="n"/>
      <c r="AB726" s="31" t="n"/>
    </row>
    <row r="727">
      <c r="A727" s="25" t="inlineStr">
        <is>
          <t>S14</t>
        </is>
      </c>
      <c r="B727" s="25" t="inlineStr">
        <is>
          <t>청송 신규점1</t>
        </is>
      </c>
      <c r="C727" s="25" t="inlineStr">
        <is>
          <t>S14-H북</t>
        </is>
      </c>
      <c r="D727" s="25" t="inlineStr">
        <is>
          <t>측정</t>
        </is>
      </c>
      <c r="E727" s="25" t="inlineStr">
        <is>
          <t>북</t>
        </is>
      </c>
      <c r="F727" s="30" t="n">
        <v>6</v>
      </c>
      <c r="G727" s="29" t="n"/>
      <c r="H727" s="42" t="n"/>
      <c r="I727" s="40" t="n"/>
      <c r="J727" s="40" t="n"/>
      <c r="K727" s="40" t="n"/>
      <c r="L727" s="30">
        <f>IF(COUNT(I727:K727)=0,"",MEDIAN(I727:K727))</f>
        <v/>
      </c>
      <c r="M727" s="25">
        <f>IF(COUNTIFS($C:$C,$C727,$D:$D,"P0(전)",$L:$L,"&gt;0")&lt;&gt;1,"P0(전) 유효 1개 아님",IF(COUNTIFS($C:$C,$C727,$D:$D,"P0(후)",$L:$L,"&gt;0")&lt;&gt;1,"P0(후) 유효 1개 아님",IF(NOT(AND(ISNUMBER(N727),ISNUMBER(P727),ISNUMBER(H727))),"시각 결측",IF(P727&lt;=N727,"P0 시각 역전",IF(OR(H727&lt;N727,H727&gt;P727),"측정시각 구간 밖","OK")))))</f>
        <v/>
      </c>
      <c r="N727" s="45">
        <f>IF(COUNTIFS($C:$C,$C727,$D:$D,"P0(전)",$L:$L,"&gt;0")&lt;&gt;1,"",SUMIFS($H:$H,$C:$C,$C727,$D:$D,"P0(전)"))</f>
        <v/>
      </c>
      <c r="O727" s="30">
        <f>IF(COUNTIFS($C:$C,$C727,$D:$D,"P0(전)",$L:$L,"&gt;0")&lt;&gt;1,"",SUMIFS($L:$L,$C:$C,$C727,$D:$D,"P0(전)"))</f>
        <v/>
      </c>
      <c r="P727" s="45">
        <f>IF(COUNTIFS($C:$C,$C727,$D:$D,"P0(후)",$L:$L,"&gt;0")&lt;&gt;1,"",SUMIFS($H:$H,$C:$C,$C727,$D:$D,"P0(후)"))</f>
        <v/>
      </c>
      <c r="Q727" s="30">
        <f>IF(COUNTIFS($C:$C,$C727,$D:$D,"P0(후)",$L:$L,"&gt;0")&lt;&gt;1,"",SUMIFS($L:$L,$C:$C,$C727,$D:$D,"P0(후)"))</f>
        <v/>
      </c>
      <c r="R727" s="30">
        <f>IF(M727&lt;&gt;"OK","",O727+(Q727-O727)*(H727-N727)/(P727-N727))</f>
        <v/>
      </c>
      <c r="S727" s="30">
        <f>IF(OR(M727&lt;&gt;"OK",NOT(ISNUMBER(L727))),"",L727-R727)</f>
        <v/>
      </c>
      <c r="T727" s="46">
        <f>IF(OR(NOT(ISNUMBER(S727)),IF(ISNUMBER(G727),G727,F727)=0),"",S727/IF(ISNUMBER(G727),G727,F727))</f>
        <v/>
      </c>
      <c r="U727" s="46">
        <f>IF(ISNUMBER(T727),ABS(T727),"")</f>
        <v/>
      </c>
      <c r="V727" s="46">
        <f>IF(OR($D726&lt;&gt;"측정",$C726&lt;&gt;$C727,NOT(ISNUMBER(L727)),NOT(ISNUMBER(L726)),(IF(ISNUMBER(G727),G727,F727)-IF(ISNUMBER(G726),G726,F726))=0),"",(L727-L726)/(IF(ISNUMBER(G727),G727,F727)-IF(ISNUMBER(G726),G726,F726)))</f>
        <v/>
      </c>
      <c r="W727" s="30">
        <f>IF(NOT(AND(ISNUMBER(N727),ISNUMBER(P727))),"",(P727-N727)*1440)</f>
        <v/>
      </c>
      <c r="X727" s="28" t="n"/>
      <c r="Y727" s="28" t="n"/>
      <c r="Z727" s="28" t="n"/>
      <c r="AA727" s="31" t="n"/>
      <c r="AB727" s="31" t="n"/>
    </row>
    <row r="728">
      <c r="A728" s="25" t="inlineStr">
        <is>
          <t>S14</t>
        </is>
      </c>
      <c r="B728" s="25" t="inlineStr">
        <is>
          <t>청송 신규점1</t>
        </is>
      </c>
      <c r="C728" s="25" t="inlineStr">
        <is>
          <t>S14-H북</t>
        </is>
      </c>
      <c r="D728" s="25" t="inlineStr">
        <is>
          <t>측정</t>
        </is>
      </c>
      <c r="E728" s="25" t="inlineStr">
        <is>
          <t>북</t>
        </is>
      </c>
      <c r="F728" s="30" t="n">
        <v>7</v>
      </c>
      <c r="G728" s="29" t="n"/>
      <c r="H728" s="42" t="n"/>
      <c r="I728" s="40" t="n"/>
      <c r="J728" s="40" t="n"/>
      <c r="K728" s="40" t="n"/>
      <c r="L728" s="30">
        <f>IF(COUNT(I728:K728)=0,"",MEDIAN(I728:K728))</f>
        <v/>
      </c>
      <c r="M728" s="25">
        <f>IF(COUNTIFS($C:$C,$C728,$D:$D,"P0(전)",$L:$L,"&gt;0")&lt;&gt;1,"P0(전) 유효 1개 아님",IF(COUNTIFS($C:$C,$C728,$D:$D,"P0(후)",$L:$L,"&gt;0")&lt;&gt;1,"P0(후) 유효 1개 아님",IF(NOT(AND(ISNUMBER(N728),ISNUMBER(P728),ISNUMBER(H728))),"시각 결측",IF(P728&lt;=N728,"P0 시각 역전",IF(OR(H728&lt;N728,H728&gt;P728),"측정시각 구간 밖","OK")))))</f>
        <v/>
      </c>
      <c r="N728" s="45">
        <f>IF(COUNTIFS($C:$C,$C728,$D:$D,"P0(전)",$L:$L,"&gt;0")&lt;&gt;1,"",SUMIFS($H:$H,$C:$C,$C728,$D:$D,"P0(전)"))</f>
        <v/>
      </c>
      <c r="O728" s="30">
        <f>IF(COUNTIFS($C:$C,$C728,$D:$D,"P0(전)",$L:$L,"&gt;0")&lt;&gt;1,"",SUMIFS($L:$L,$C:$C,$C728,$D:$D,"P0(전)"))</f>
        <v/>
      </c>
      <c r="P728" s="45">
        <f>IF(COUNTIFS($C:$C,$C728,$D:$D,"P0(후)",$L:$L,"&gt;0")&lt;&gt;1,"",SUMIFS($H:$H,$C:$C,$C728,$D:$D,"P0(후)"))</f>
        <v/>
      </c>
      <c r="Q728" s="30">
        <f>IF(COUNTIFS($C:$C,$C728,$D:$D,"P0(후)",$L:$L,"&gt;0")&lt;&gt;1,"",SUMIFS($L:$L,$C:$C,$C728,$D:$D,"P0(후)"))</f>
        <v/>
      </c>
      <c r="R728" s="30">
        <f>IF(M728&lt;&gt;"OK","",O728+(Q728-O728)*(H728-N728)/(P728-N728))</f>
        <v/>
      </c>
      <c r="S728" s="30">
        <f>IF(OR(M728&lt;&gt;"OK",NOT(ISNUMBER(L728))),"",L728-R728)</f>
        <v/>
      </c>
      <c r="T728" s="46">
        <f>IF(OR(NOT(ISNUMBER(S728)),IF(ISNUMBER(G728),G728,F728)=0),"",S728/IF(ISNUMBER(G728),G728,F728))</f>
        <v/>
      </c>
      <c r="U728" s="46">
        <f>IF(ISNUMBER(T728),ABS(T728),"")</f>
        <v/>
      </c>
      <c r="V728" s="46">
        <f>IF(OR($D727&lt;&gt;"측정",$C727&lt;&gt;$C728,NOT(ISNUMBER(L728)),NOT(ISNUMBER(L727)),(IF(ISNUMBER(G728),G728,F728)-IF(ISNUMBER(G727),G727,F727))=0),"",(L728-L727)/(IF(ISNUMBER(G728),G728,F728)-IF(ISNUMBER(G727),G727,F727)))</f>
        <v/>
      </c>
      <c r="W728" s="30">
        <f>IF(NOT(AND(ISNUMBER(N728),ISNUMBER(P728))),"",(P728-N728)*1440)</f>
        <v/>
      </c>
      <c r="X728" s="28" t="n"/>
      <c r="Y728" s="28" t="n"/>
      <c r="Z728" s="28" t="n"/>
      <c r="AA728" s="31" t="n"/>
      <c r="AB728" s="31" t="n"/>
    </row>
    <row r="729">
      <c r="A729" s="25" t="inlineStr">
        <is>
          <t>S14</t>
        </is>
      </c>
      <c r="B729" s="25" t="inlineStr">
        <is>
          <t>청송 신규점1</t>
        </is>
      </c>
      <c r="C729" s="25" t="inlineStr">
        <is>
          <t>S14-H북</t>
        </is>
      </c>
      <c r="D729" s="25" t="inlineStr">
        <is>
          <t>측정</t>
        </is>
      </c>
      <c r="E729" s="25" t="inlineStr">
        <is>
          <t>북</t>
        </is>
      </c>
      <c r="F729" s="30" t="n">
        <v>8</v>
      </c>
      <c r="G729" s="29" t="n"/>
      <c r="H729" s="42" t="n"/>
      <c r="I729" s="40" t="n"/>
      <c r="J729" s="40" t="n"/>
      <c r="K729" s="40" t="n"/>
      <c r="L729" s="30">
        <f>IF(COUNT(I729:K729)=0,"",MEDIAN(I729:K729))</f>
        <v/>
      </c>
      <c r="M729" s="25">
        <f>IF(COUNTIFS($C:$C,$C729,$D:$D,"P0(전)",$L:$L,"&gt;0")&lt;&gt;1,"P0(전) 유효 1개 아님",IF(COUNTIFS($C:$C,$C729,$D:$D,"P0(후)",$L:$L,"&gt;0")&lt;&gt;1,"P0(후) 유효 1개 아님",IF(NOT(AND(ISNUMBER(N729),ISNUMBER(P729),ISNUMBER(H729))),"시각 결측",IF(P729&lt;=N729,"P0 시각 역전",IF(OR(H729&lt;N729,H729&gt;P729),"측정시각 구간 밖","OK")))))</f>
        <v/>
      </c>
      <c r="N729" s="45">
        <f>IF(COUNTIFS($C:$C,$C729,$D:$D,"P0(전)",$L:$L,"&gt;0")&lt;&gt;1,"",SUMIFS($H:$H,$C:$C,$C729,$D:$D,"P0(전)"))</f>
        <v/>
      </c>
      <c r="O729" s="30">
        <f>IF(COUNTIFS($C:$C,$C729,$D:$D,"P0(전)",$L:$L,"&gt;0")&lt;&gt;1,"",SUMIFS($L:$L,$C:$C,$C729,$D:$D,"P0(전)"))</f>
        <v/>
      </c>
      <c r="P729" s="45">
        <f>IF(COUNTIFS($C:$C,$C729,$D:$D,"P0(후)",$L:$L,"&gt;0")&lt;&gt;1,"",SUMIFS($H:$H,$C:$C,$C729,$D:$D,"P0(후)"))</f>
        <v/>
      </c>
      <c r="Q729" s="30">
        <f>IF(COUNTIFS($C:$C,$C729,$D:$D,"P0(후)",$L:$L,"&gt;0")&lt;&gt;1,"",SUMIFS($L:$L,$C:$C,$C729,$D:$D,"P0(후)"))</f>
        <v/>
      </c>
      <c r="R729" s="30">
        <f>IF(M729&lt;&gt;"OK","",O729+(Q729-O729)*(H729-N729)/(P729-N729))</f>
        <v/>
      </c>
      <c r="S729" s="30">
        <f>IF(OR(M729&lt;&gt;"OK",NOT(ISNUMBER(L729))),"",L729-R729)</f>
        <v/>
      </c>
      <c r="T729" s="46">
        <f>IF(OR(NOT(ISNUMBER(S729)),IF(ISNUMBER(G729),G729,F729)=0),"",S729/IF(ISNUMBER(G729),G729,F729))</f>
        <v/>
      </c>
      <c r="U729" s="46">
        <f>IF(ISNUMBER(T729),ABS(T729),"")</f>
        <v/>
      </c>
      <c r="V729" s="46">
        <f>IF(OR($D728&lt;&gt;"측정",$C728&lt;&gt;$C729,NOT(ISNUMBER(L729)),NOT(ISNUMBER(L728)),(IF(ISNUMBER(G729),G729,F729)-IF(ISNUMBER(G728),G728,F728))=0),"",(L729-L728)/(IF(ISNUMBER(G729),G729,F729)-IF(ISNUMBER(G728),G728,F728)))</f>
        <v/>
      </c>
      <c r="W729" s="30">
        <f>IF(NOT(AND(ISNUMBER(N729),ISNUMBER(P729))),"",(P729-N729)*1440)</f>
        <v/>
      </c>
      <c r="X729" s="28" t="n"/>
      <c r="Y729" s="28" t="n"/>
      <c r="Z729" s="28" t="n"/>
      <c r="AA729" s="31" t="n"/>
      <c r="AB729" s="31" t="n"/>
    </row>
    <row r="730">
      <c r="A730" s="25" t="inlineStr">
        <is>
          <t>S14</t>
        </is>
      </c>
      <c r="B730" s="25" t="inlineStr">
        <is>
          <t>청송 신규점1</t>
        </is>
      </c>
      <c r="C730" s="25" t="inlineStr">
        <is>
          <t>S14-H북</t>
        </is>
      </c>
      <c r="D730" s="25" t="inlineStr">
        <is>
          <t>측정</t>
        </is>
      </c>
      <c r="E730" s="25" t="inlineStr">
        <is>
          <t>북</t>
        </is>
      </c>
      <c r="F730" s="30" t="n">
        <v>9</v>
      </c>
      <c r="G730" s="29" t="n"/>
      <c r="H730" s="42" t="n"/>
      <c r="I730" s="40" t="n"/>
      <c r="J730" s="40" t="n"/>
      <c r="K730" s="40" t="n"/>
      <c r="L730" s="30">
        <f>IF(COUNT(I730:K730)=0,"",MEDIAN(I730:K730))</f>
        <v/>
      </c>
      <c r="M730" s="25">
        <f>IF(COUNTIFS($C:$C,$C730,$D:$D,"P0(전)",$L:$L,"&gt;0")&lt;&gt;1,"P0(전) 유효 1개 아님",IF(COUNTIFS($C:$C,$C730,$D:$D,"P0(후)",$L:$L,"&gt;0")&lt;&gt;1,"P0(후) 유효 1개 아님",IF(NOT(AND(ISNUMBER(N730),ISNUMBER(P730),ISNUMBER(H730))),"시각 결측",IF(P730&lt;=N730,"P0 시각 역전",IF(OR(H730&lt;N730,H730&gt;P730),"측정시각 구간 밖","OK")))))</f>
        <v/>
      </c>
      <c r="N730" s="45">
        <f>IF(COUNTIFS($C:$C,$C730,$D:$D,"P0(전)",$L:$L,"&gt;0")&lt;&gt;1,"",SUMIFS($H:$H,$C:$C,$C730,$D:$D,"P0(전)"))</f>
        <v/>
      </c>
      <c r="O730" s="30">
        <f>IF(COUNTIFS($C:$C,$C730,$D:$D,"P0(전)",$L:$L,"&gt;0")&lt;&gt;1,"",SUMIFS($L:$L,$C:$C,$C730,$D:$D,"P0(전)"))</f>
        <v/>
      </c>
      <c r="P730" s="45">
        <f>IF(COUNTIFS($C:$C,$C730,$D:$D,"P0(후)",$L:$L,"&gt;0")&lt;&gt;1,"",SUMIFS($H:$H,$C:$C,$C730,$D:$D,"P0(후)"))</f>
        <v/>
      </c>
      <c r="Q730" s="30">
        <f>IF(COUNTIFS($C:$C,$C730,$D:$D,"P0(후)",$L:$L,"&gt;0")&lt;&gt;1,"",SUMIFS($L:$L,$C:$C,$C730,$D:$D,"P0(후)"))</f>
        <v/>
      </c>
      <c r="R730" s="30">
        <f>IF(M730&lt;&gt;"OK","",O730+(Q730-O730)*(H730-N730)/(P730-N730))</f>
        <v/>
      </c>
      <c r="S730" s="30">
        <f>IF(OR(M730&lt;&gt;"OK",NOT(ISNUMBER(L730))),"",L730-R730)</f>
        <v/>
      </c>
      <c r="T730" s="46">
        <f>IF(OR(NOT(ISNUMBER(S730)),IF(ISNUMBER(G730),G730,F730)=0),"",S730/IF(ISNUMBER(G730),G730,F730))</f>
        <v/>
      </c>
      <c r="U730" s="46">
        <f>IF(ISNUMBER(T730),ABS(T730),"")</f>
        <v/>
      </c>
      <c r="V730" s="46">
        <f>IF(OR($D729&lt;&gt;"측정",$C729&lt;&gt;$C730,NOT(ISNUMBER(L730)),NOT(ISNUMBER(L729)),(IF(ISNUMBER(G730),G730,F730)-IF(ISNUMBER(G729),G729,F729))=0),"",(L730-L729)/(IF(ISNUMBER(G730),G730,F730)-IF(ISNUMBER(G729),G729,F729)))</f>
        <v/>
      </c>
      <c r="W730" s="30">
        <f>IF(NOT(AND(ISNUMBER(N730),ISNUMBER(P730))),"",(P730-N730)*1440)</f>
        <v/>
      </c>
      <c r="X730" s="28" t="n"/>
      <c r="Y730" s="28" t="n"/>
      <c r="Z730" s="28" t="n"/>
      <c r="AA730" s="31" t="n"/>
      <c r="AB730" s="31" t="n"/>
    </row>
    <row r="731">
      <c r="A731" s="25" t="inlineStr">
        <is>
          <t>S14</t>
        </is>
      </c>
      <c r="B731" s="25" t="inlineStr">
        <is>
          <t>청송 신규점1</t>
        </is>
      </c>
      <c r="C731" s="25" t="inlineStr">
        <is>
          <t>S14-H북</t>
        </is>
      </c>
      <c r="D731" s="25" t="inlineStr">
        <is>
          <t>측정</t>
        </is>
      </c>
      <c r="E731" s="25" t="inlineStr">
        <is>
          <t>북</t>
        </is>
      </c>
      <c r="F731" s="30" t="n">
        <v>10</v>
      </c>
      <c r="G731" s="29" t="n"/>
      <c r="H731" s="42" t="n"/>
      <c r="I731" s="40" t="n"/>
      <c r="J731" s="40" t="n"/>
      <c r="K731" s="40" t="n"/>
      <c r="L731" s="30">
        <f>IF(COUNT(I731:K731)=0,"",MEDIAN(I731:K731))</f>
        <v/>
      </c>
      <c r="M731" s="25">
        <f>IF(COUNTIFS($C:$C,$C731,$D:$D,"P0(전)",$L:$L,"&gt;0")&lt;&gt;1,"P0(전) 유효 1개 아님",IF(COUNTIFS($C:$C,$C731,$D:$D,"P0(후)",$L:$L,"&gt;0")&lt;&gt;1,"P0(후) 유효 1개 아님",IF(NOT(AND(ISNUMBER(N731),ISNUMBER(P731),ISNUMBER(H731))),"시각 결측",IF(P731&lt;=N731,"P0 시각 역전",IF(OR(H731&lt;N731,H731&gt;P731),"측정시각 구간 밖","OK")))))</f>
        <v/>
      </c>
      <c r="N731" s="45">
        <f>IF(COUNTIFS($C:$C,$C731,$D:$D,"P0(전)",$L:$L,"&gt;0")&lt;&gt;1,"",SUMIFS($H:$H,$C:$C,$C731,$D:$D,"P0(전)"))</f>
        <v/>
      </c>
      <c r="O731" s="30">
        <f>IF(COUNTIFS($C:$C,$C731,$D:$D,"P0(전)",$L:$L,"&gt;0")&lt;&gt;1,"",SUMIFS($L:$L,$C:$C,$C731,$D:$D,"P0(전)"))</f>
        <v/>
      </c>
      <c r="P731" s="45">
        <f>IF(COUNTIFS($C:$C,$C731,$D:$D,"P0(후)",$L:$L,"&gt;0")&lt;&gt;1,"",SUMIFS($H:$H,$C:$C,$C731,$D:$D,"P0(후)"))</f>
        <v/>
      </c>
      <c r="Q731" s="30">
        <f>IF(COUNTIFS($C:$C,$C731,$D:$D,"P0(후)",$L:$L,"&gt;0")&lt;&gt;1,"",SUMIFS($L:$L,$C:$C,$C731,$D:$D,"P0(후)"))</f>
        <v/>
      </c>
      <c r="R731" s="30">
        <f>IF(M731&lt;&gt;"OK","",O731+(Q731-O731)*(H731-N731)/(P731-N731))</f>
        <v/>
      </c>
      <c r="S731" s="30">
        <f>IF(OR(M731&lt;&gt;"OK",NOT(ISNUMBER(L731))),"",L731-R731)</f>
        <v/>
      </c>
      <c r="T731" s="46">
        <f>IF(OR(NOT(ISNUMBER(S731)),IF(ISNUMBER(G731),G731,F731)=0),"",S731/IF(ISNUMBER(G731),G731,F731))</f>
        <v/>
      </c>
      <c r="U731" s="46">
        <f>IF(ISNUMBER(T731),ABS(T731),"")</f>
        <v/>
      </c>
      <c r="V731" s="46">
        <f>IF(OR($D730&lt;&gt;"측정",$C730&lt;&gt;$C731,NOT(ISNUMBER(L731)),NOT(ISNUMBER(L730)),(IF(ISNUMBER(G731),G731,F731)-IF(ISNUMBER(G730),G730,F730))=0),"",(L731-L730)/(IF(ISNUMBER(G731),G731,F731)-IF(ISNUMBER(G730),G730,F730)))</f>
        <v/>
      </c>
      <c r="W731" s="30">
        <f>IF(NOT(AND(ISNUMBER(N731),ISNUMBER(P731))),"",(P731-N731)*1440)</f>
        <v/>
      </c>
      <c r="X731" s="28" t="n"/>
      <c r="Y731" s="28" t="n"/>
      <c r="Z731" s="28" t="n"/>
      <c r="AA731" s="31" t="n"/>
      <c r="AB731" s="31" t="n"/>
    </row>
    <row r="732">
      <c r="A732" s="43" t="inlineStr">
        <is>
          <t>S14</t>
        </is>
      </c>
      <c r="B732" s="43" t="inlineStr">
        <is>
          <t>청송 신규점1</t>
        </is>
      </c>
      <c r="C732" s="43" t="inlineStr">
        <is>
          <t>S14-H북</t>
        </is>
      </c>
      <c r="D732" s="43" t="inlineStr">
        <is>
          <t>P0(후)</t>
        </is>
      </c>
      <c r="E732" s="43" t="inlineStr">
        <is>
          <t>북</t>
        </is>
      </c>
      <c r="F732" s="44" t="n"/>
      <c r="G732" s="29" t="n"/>
      <c r="H732" s="42" t="n"/>
      <c r="I732" s="40" t="n"/>
      <c r="J732" s="40" t="n"/>
      <c r="K732" s="40" t="n"/>
      <c r="L732" s="30">
        <f>IF(COUNT(I732:K732)=0,"",MEDIAN(I732:K732))</f>
        <v/>
      </c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28" t="n"/>
      <c r="Y732" s="28" t="n"/>
      <c r="Z732" s="28" t="n"/>
      <c r="AA732" s="31" t="n"/>
      <c r="AB732" s="31" t="n"/>
    </row>
    <row r="733">
      <c r="A733" s="43" t="inlineStr">
        <is>
          <t>S15</t>
        </is>
      </c>
      <c r="B733" s="43" t="inlineStr">
        <is>
          <t>의성 신규점</t>
        </is>
      </c>
      <c r="C733" s="43" t="inlineStr">
        <is>
          <t>S15-H동</t>
        </is>
      </c>
      <c r="D733" s="43" t="inlineStr">
        <is>
          <t>P0(전)</t>
        </is>
      </c>
      <c r="E733" s="43" t="inlineStr">
        <is>
          <t>동</t>
        </is>
      </c>
      <c r="F733" s="44" t="n"/>
      <c r="G733" s="29" t="n"/>
      <c r="H733" s="42" t="n"/>
      <c r="I733" s="40" t="n"/>
      <c r="J733" s="40" t="n"/>
      <c r="K733" s="40" t="n"/>
      <c r="L733" s="30">
        <f>IF(COUNT(I733:K733)=0,"",MEDIAN(I733:K733))</f>
        <v/>
      </c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28" t="n"/>
      <c r="Y733" s="28" t="n"/>
      <c r="Z733" s="28" t="n"/>
      <c r="AA733" s="31" t="n"/>
      <c r="AB733" s="31" t="n"/>
    </row>
    <row r="734">
      <c r="A734" s="25" t="inlineStr">
        <is>
          <t>S15</t>
        </is>
      </c>
      <c r="B734" s="25" t="inlineStr">
        <is>
          <t>의성 신규점</t>
        </is>
      </c>
      <c r="C734" s="25" t="inlineStr">
        <is>
          <t>S15-H동</t>
        </is>
      </c>
      <c r="D734" s="25" t="inlineStr">
        <is>
          <t>측정</t>
        </is>
      </c>
      <c r="E734" s="25" t="inlineStr">
        <is>
          <t>동</t>
        </is>
      </c>
      <c r="F734" s="30" t="n">
        <v>0.5</v>
      </c>
      <c r="G734" s="29" t="n"/>
      <c r="H734" s="42" t="n"/>
      <c r="I734" s="40" t="n"/>
      <c r="J734" s="40" t="n"/>
      <c r="K734" s="40" t="n"/>
      <c r="L734" s="30">
        <f>IF(COUNT(I734:K734)=0,"",MEDIAN(I734:K734))</f>
        <v/>
      </c>
      <c r="M734" s="25">
        <f>IF(COUNTIFS($C:$C,$C734,$D:$D,"P0(전)",$L:$L,"&gt;0")&lt;&gt;1,"P0(전) 유효 1개 아님",IF(COUNTIFS($C:$C,$C734,$D:$D,"P0(후)",$L:$L,"&gt;0")&lt;&gt;1,"P0(후) 유효 1개 아님",IF(NOT(AND(ISNUMBER(N734),ISNUMBER(P734),ISNUMBER(H734))),"시각 결측",IF(P734&lt;=N734,"P0 시각 역전",IF(OR(H734&lt;N734,H734&gt;P734),"측정시각 구간 밖","OK")))))</f>
        <v/>
      </c>
      <c r="N734" s="45">
        <f>IF(COUNTIFS($C:$C,$C734,$D:$D,"P0(전)",$L:$L,"&gt;0")&lt;&gt;1,"",SUMIFS($H:$H,$C:$C,$C734,$D:$D,"P0(전)"))</f>
        <v/>
      </c>
      <c r="O734" s="30">
        <f>IF(COUNTIFS($C:$C,$C734,$D:$D,"P0(전)",$L:$L,"&gt;0")&lt;&gt;1,"",SUMIFS($L:$L,$C:$C,$C734,$D:$D,"P0(전)"))</f>
        <v/>
      </c>
      <c r="P734" s="45">
        <f>IF(COUNTIFS($C:$C,$C734,$D:$D,"P0(후)",$L:$L,"&gt;0")&lt;&gt;1,"",SUMIFS($H:$H,$C:$C,$C734,$D:$D,"P0(후)"))</f>
        <v/>
      </c>
      <c r="Q734" s="30">
        <f>IF(COUNTIFS($C:$C,$C734,$D:$D,"P0(후)",$L:$L,"&gt;0")&lt;&gt;1,"",SUMIFS($L:$L,$C:$C,$C734,$D:$D,"P0(후)"))</f>
        <v/>
      </c>
      <c r="R734" s="30">
        <f>IF(M734&lt;&gt;"OK","",O734+(Q734-O734)*(H734-N734)/(P734-N734))</f>
        <v/>
      </c>
      <c r="S734" s="30">
        <f>IF(OR(M734&lt;&gt;"OK",NOT(ISNUMBER(L734))),"",L734-R734)</f>
        <v/>
      </c>
      <c r="T734" s="46">
        <f>IF(OR(NOT(ISNUMBER(S734)),IF(ISNUMBER(G734),G734,F734)=0),"",S734/IF(ISNUMBER(G734),G734,F734))</f>
        <v/>
      </c>
      <c r="U734" s="46">
        <f>IF(ISNUMBER(T734),ABS(T734),"")</f>
        <v/>
      </c>
      <c r="V734" s="46">
        <f>IF(OR($D733&lt;&gt;"측정",$C733&lt;&gt;$C734,NOT(ISNUMBER(L734)),NOT(ISNUMBER(L733)),(IF(ISNUMBER(G734),G734,F734)-IF(ISNUMBER(G733),G733,F733))=0),"",(L734-L733)/(IF(ISNUMBER(G734),G734,F734)-IF(ISNUMBER(G733),G733,F733)))</f>
        <v/>
      </c>
      <c r="W734" s="30">
        <f>IF(NOT(AND(ISNUMBER(N734),ISNUMBER(P734))),"",(P734-N734)*1440)</f>
        <v/>
      </c>
      <c r="X734" s="28" t="n"/>
      <c r="Y734" s="28" t="n"/>
      <c r="Z734" s="28" t="n"/>
      <c r="AA734" s="31" t="n"/>
      <c r="AB734" s="31" t="n"/>
    </row>
    <row r="735">
      <c r="A735" s="25" t="inlineStr">
        <is>
          <t>S15</t>
        </is>
      </c>
      <c r="B735" s="25" t="inlineStr">
        <is>
          <t>의성 신규점</t>
        </is>
      </c>
      <c r="C735" s="25" t="inlineStr">
        <is>
          <t>S15-H동</t>
        </is>
      </c>
      <c r="D735" s="25" t="inlineStr">
        <is>
          <t>측정</t>
        </is>
      </c>
      <c r="E735" s="25" t="inlineStr">
        <is>
          <t>동</t>
        </is>
      </c>
      <c r="F735" s="30" t="n">
        <v>1</v>
      </c>
      <c r="G735" s="29" t="n"/>
      <c r="H735" s="42" t="n"/>
      <c r="I735" s="40" t="n"/>
      <c r="J735" s="40" t="n"/>
      <c r="K735" s="40" t="n"/>
      <c r="L735" s="30">
        <f>IF(COUNT(I735:K735)=0,"",MEDIAN(I735:K735))</f>
        <v/>
      </c>
      <c r="M735" s="25">
        <f>IF(COUNTIFS($C:$C,$C735,$D:$D,"P0(전)",$L:$L,"&gt;0")&lt;&gt;1,"P0(전) 유효 1개 아님",IF(COUNTIFS($C:$C,$C735,$D:$D,"P0(후)",$L:$L,"&gt;0")&lt;&gt;1,"P0(후) 유효 1개 아님",IF(NOT(AND(ISNUMBER(N735),ISNUMBER(P735),ISNUMBER(H735))),"시각 결측",IF(P735&lt;=N735,"P0 시각 역전",IF(OR(H735&lt;N735,H735&gt;P735),"측정시각 구간 밖","OK")))))</f>
        <v/>
      </c>
      <c r="N735" s="45">
        <f>IF(COUNTIFS($C:$C,$C735,$D:$D,"P0(전)",$L:$L,"&gt;0")&lt;&gt;1,"",SUMIFS($H:$H,$C:$C,$C735,$D:$D,"P0(전)"))</f>
        <v/>
      </c>
      <c r="O735" s="30">
        <f>IF(COUNTIFS($C:$C,$C735,$D:$D,"P0(전)",$L:$L,"&gt;0")&lt;&gt;1,"",SUMIFS($L:$L,$C:$C,$C735,$D:$D,"P0(전)"))</f>
        <v/>
      </c>
      <c r="P735" s="45">
        <f>IF(COUNTIFS($C:$C,$C735,$D:$D,"P0(후)",$L:$L,"&gt;0")&lt;&gt;1,"",SUMIFS($H:$H,$C:$C,$C735,$D:$D,"P0(후)"))</f>
        <v/>
      </c>
      <c r="Q735" s="30">
        <f>IF(COUNTIFS($C:$C,$C735,$D:$D,"P0(후)",$L:$L,"&gt;0")&lt;&gt;1,"",SUMIFS($L:$L,$C:$C,$C735,$D:$D,"P0(후)"))</f>
        <v/>
      </c>
      <c r="R735" s="30">
        <f>IF(M735&lt;&gt;"OK","",O735+(Q735-O735)*(H735-N735)/(P735-N735))</f>
        <v/>
      </c>
      <c r="S735" s="30">
        <f>IF(OR(M735&lt;&gt;"OK",NOT(ISNUMBER(L735))),"",L735-R735)</f>
        <v/>
      </c>
      <c r="T735" s="46">
        <f>IF(OR(NOT(ISNUMBER(S735)),IF(ISNUMBER(G735),G735,F735)=0),"",S735/IF(ISNUMBER(G735),G735,F735))</f>
        <v/>
      </c>
      <c r="U735" s="46">
        <f>IF(ISNUMBER(T735),ABS(T735),"")</f>
        <v/>
      </c>
      <c r="V735" s="46">
        <f>IF(OR($D734&lt;&gt;"측정",$C734&lt;&gt;$C735,NOT(ISNUMBER(L735)),NOT(ISNUMBER(L734)),(IF(ISNUMBER(G735),G735,F735)-IF(ISNUMBER(G734),G734,F734))=0),"",(L735-L734)/(IF(ISNUMBER(G735),G735,F735)-IF(ISNUMBER(G734),G734,F734)))</f>
        <v/>
      </c>
      <c r="W735" s="30">
        <f>IF(NOT(AND(ISNUMBER(N735),ISNUMBER(P735))),"",(P735-N735)*1440)</f>
        <v/>
      </c>
      <c r="X735" s="28" t="n"/>
      <c r="Y735" s="28" t="n"/>
      <c r="Z735" s="28" t="n"/>
      <c r="AA735" s="31" t="n"/>
      <c r="AB735" s="31" t="n"/>
    </row>
    <row r="736">
      <c r="A736" s="25" t="inlineStr">
        <is>
          <t>S15</t>
        </is>
      </c>
      <c r="B736" s="25" t="inlineStr">
        <is>
          <t>의성 신규점</t>
        </is>
      </c>
      <c r="C736" s="25" t="inlineStr">
        <is>
          <t>S15-H동</t>
        </is>
      </c>
      <c r="D736" s="25" t="inlineStr">
        <is>
          <t>측정</t>
        </is>
      </c>
      <c r="E736" s="25" t="inlineStr">
        <is>
          <t>동</t>
        </is>
      </c>
      <c r="F736" s="30" t="n">
        <v>2</v>
      </c>
      <c r="G736" s="29" t="n"/>
      <c r="H736" s="42" t="n"/>
      <c r="I736" s="40" t="n"/>
      <c r="J736" s="40" t="n"/>
      <c r="K736" s="40" t="n"/>
      <c r="L736" s="30">
        <f>IF(COUNT(I736:K736)=0,"",MEDIAN(I736:K736))</f>
        <v/>
      </c>
      <c r="M736" s="25">
        <f>IF(COUNTIFS($C:$C,$C736,$D:$D,"P0(전)",$L:$L,"&gt;0")&lt;&gt;1,"P0(전) 유효 1개 아님",IF(COUNTIFS($C:$C,$C736,$D:$D,"P0(후)",$L:$L,"&gt;0")&lt;&gt;1,"P0(후) 유효 1개 아님",IF(NOT(AND(ISNUMBER(N736),ISNUMBER(P736),ISNUMBER(H736))),"시각 결측",IF(P736&lt;=N736,"P0 시각 역전",IF(OR(H736&lt;N736,H736&gt;P736),"측정시각 구간 밖","OK")))))</f>
        <v/>
      </c>
      <c r="N736" s="45">
        <f>IF(COUNTIFS($C:$C,$C736,$D:$D,"P0(전)",$L:$L,"&gt;0")&lt;&gt;1,"",SUMIFS($H:$H,$C:$C,$C736,$D:$D,"P0(전)"))</f>
        <v/>
      </c>
      <c r="O736" s="30">
        <f>IF(COUNTIFS($C:$C,$C736,$D:$D,"P0(전)",$L:$L,"&gt;0")&lt;&gt;1,"",SUMIFS($L:$L,$C:$C,$C736,$D:$D,"P0(전)"))</f>
        <v/>
      </c>
      <c r="P736" s="45">
        <f>IF(COUNTIFS($C:$C,$C736,$D:$D,"P0(후)",$L:$L,"&gt;0")&lt;&gt;1,"",SUMIFS($H:$H,$C:$C,$C736,$D:$D,"P0(후)"))</f>
        <v/>
      </c>
      <c r="Q736" s="30">
        <f>IF(COUNTIFS($C:$C,$C736,$D:$D,"P0(후)",$L:$L,"&gt;0")&lt;&gt;1,"",SUMIFS($L:$L,$C:$C,$C736,$D:$D,"P0(후)"))</f>
        <v/>
      </c>
      <c r="R736" s="30">
        <f>IF(M736&lt;&gt;"OK","",O736+(Q736-O736)*(H736-N736)/(P736-N736))</f>
        <v/>
      </c>
      <c r="S736" s="30">
        <f>IF(OR(M736&lt;&gt;"OK",NOT(ISNUMBER(L736))),"",L736-R736)</f>
        <v/>
      </c>
      <c r="T736" s="46">
        <f>IF(OR(NOT(ISNUMBER(S736)),IF(ISNUMBER(G736),G736,F736)=0),"",S736/IF(ISNUMBER(G736),G736,F736))</f>
        <v/>
      </c>
      <c r="U736" s="46">
        <f>IF(ISNUMBER(T736),ABS(T736),"")</f>
        <v/>
      </c>
      <c r="V736" s="46">
        <f>IF(OR($D735&lt;&gt;"측정",$C735&lt;&gt;$C736,NOT(ISNUMBER(L736)),NOT(ISNUMBER(L735)),(IF(ISNUMBER(G736),G736,F736)-IF(ISNUMBER(G735),G735,F735))=0),"",(L736-L735)/(IF(ISNUMBER(G736),G736,F736)-IF(ISNUMBER(G735),G735,F735)))</f>
        <v/>
      </c>
      <c r="W736" s="30">
        <f>IF(NOT(AND(ISNUMBER(N736),ISNUMBER(P736))),"",(P736-N736)*1440)</f>
        <v/>
      </c>
      <c r="X736" s="28" t="n"/>
      <c r="Y736" s="28" t="n"/>
      <c r="Z736" s="28" t="n"/>
      <c r="AA736" s="31" t="n"/>
      <c r="AB736" s="31" t="n"/>
    </row>
    <row r="737">
      <c r="A737" s="25" t="inlineStr">
        <is>
          <t>S15</t>
        </is>
      </c>
      <c r="B737" s="25" t="inlineStr">
        <is>
          <t>의성 신규점</t>
        </is>
      </c>
      <c r="C737" s="25" t="inlineStr">
        <is>
          <t>S15-H동</t>
        </is>
      </c>
      <c r="D737" s="25" t="inlineStr">
        <is>
          <t>측정</t>
        </is>
      </c>
      <c r="E737" s="25" t="inlineStr">
        <is>
          <t>동</t>
        </is>
      </c>
      <c r="F737" s="30" t="n">
        <v>3</v>
      </c>
      <c r="G737" s="29" t="n"/>
      <c r="H737" s="42" t="n"/>
      <c r="I737" s="40" t="n"/>
      <c r="J737" s="40" t="n"/>
      <c r="K737" s="40" t="n"/>
      <c r="L737" s="30">
        <f>IF(COUNT(I737:K737)=0,"",MEDIAN(I737:K737))</f>
        <v/>
      </c>
      <c r="M737" s="25">
        <f>IF(COUNTIFS($C:$C,$C737,$D:$D,"P0(전)",$L:$L,"&gt;0")&lt;&gt;1,"P0(전) 유효 1개 아님",IF(COUNTIFS($C:$C,$C737,$D:$D,"P0(후)",$L:$L,"&gt;0")&lt;&gt;1,"P0(후) 유효 1개 아님",IF(NOT(AND(ISNUMBER(N737),ISNUMBER(P737),ISNUMBER(H737))),"시각 결측",IF(P737&lt;=N737,"P0 시각 역전",IF(OR(H737&lt;N737,H737&gt;P737),"측정시각 구간 밖","OK")))))</f>
        <v/>
      </c>
      <c r="N737" s="45">
        <f>IF(COUNTIFS($C:$C,$C737,$D:$D,"P0(전)",$L:$L,"&gt;0")&lt;&gt;1,"",SUMIFS($H:$H,$C:$C,$C737,$D:$D,"P0(전)"))</f>
        <v/>
      </c>
      <c r="O737" s="30">
        <f>IF(COUNTIFS($C:$C,$C737,$D:$D,"P0(전)",$L:$L,"&gt;0")&lt;&gt;1,"",SUMIFS($L:$L,$C:$C,$C737,$D:$D,"P0(전)"))</f>
        <v/>
      </c>
      <c r="P737" s="45">
        <f>IF(COUNTIFS($C:$C,$C737,$D:$D,"P0(후)",$L:$L,"&gt;0")&lt;&gt;1,"",SUMIFS($H:$H,$C:$C,$C737,$D:$D,"P0(후)"))</f>
        <v/>
      </c>
      <c r="Q737" s="30">
        <f>IF(COUNTIFS($C:$C,$C737,$D:$D,"P0(후)",$L:$L,"&gt;0")&lt;&gt;1,"",SUMIFS($L:$L,$C:$C,$C737,$D:$D,"P0(후)"))</f>
        <v/>
      </c>
      <c r="R737" s="30">
        <f>IF(M737&lt;&gt;"OK","",O737+(Q737-O737)*(H737-N737)/(P737-N737))</f>
        <v/>
      </c>
      <c r="S737" s="30">
        <f>IF(OR(M737&lt;&gt;"OK",NOT(ISNUMBER(L737))),"",L737-R737)</f>
        <v/>
      </c>
      <c r="T737" s="46">
        <f>IF(OR(NOT(ISNUMBER(S737)),IF(ISNUMBER(G737),G737,F737)=0),"",S737/IF(ISNUMBER(G737),G737,F737))</f>
        <v/>
      </c>
      <c r="U737" s="46">
        <f>IF(ISNUMBER(T737),ABS(T737),"")</f>
        <v/>
      </c>
      <c r="V737" s="46">
        <f>IF(OR($D736&lt;&gt;"측정",$C736&lt;&gt;$C737,NOT(ISNUMBER(L737)),NOT(ISNUMBER(L736)),(IF(ISNUMBER(G737),G737,F737)-IF(ISNUMBER(G736),G736,F736))=0),"",(L737-L736)/(IF(ISNUMBER(G737),G737,F737)-IF(ISNUMBER(G736),G736,F736)))</f>
        <v/>
      </c>
      <c r="W737" s="30">
        <f>IF(NOT(AND(ISNUMBER(N737),ISNUMBER(P737))),"",(P737-N737)*1440)</f>
        <v/>
      </c>
      <c r="X737" s="28" t="n"/>
      <c r="Y737" s="28" t="n"/>
      <c r="Z737" s="28" t="n"/>
      <c r="AA737" s="31" t="n"/>
      <c r="AB737" s="31" t="n"/>
    </row>
    <row r="738">
      <c r="A738" s="25" t="inlineStr">
        <is>
          <t>S15</t>
        </is>
      </c>
      <c r="B738" s="25" t="inlineStr">
        <is>
          <t>의성 신규점</t>
        </is>
      </c>
      <c r="C738" s="25" t="inlineStr">
        <is>
          <t>S15-H동</t>
        </is>
      </c>
      <c r="D738" s="25" t="inlineStr">
        <is>
          <t>측정</t>
        </is>
      </c>
      <c r="E738" s="25" t="inlineStr">
        <is>
          <t>동</t>
        </is>
      </c>
      <c r="F738" s="30" t="n">
        <v>4</v>
      </c>
      <c r="G738" s="29" t="n"/>
      <c r="H738" s="42" t="n"/>
      <c r="I738" s="40" t="n"/>
      <c r="J738" s="40" t="n"/>
      <c r="K738" s="40" t="n"/>
      <c r="L738" s="30">
        <f>IF(COUNT(I738:K738)=0,"",MEDIAN(I738:K738))</f>
        <v/>
      </c>
      <c r="M738" s="25">
        <f>IF(COUNTIFS($C:$C,$C738,$D:$D,"P0(전)",$L:$L,"&gt;0")&lt;&gt;1,"P0(전) 유효 1개 아님",IF(COUNTIFS($C:$C,$C738,$D:$D,"P0(후)",$L:$L,"&gt;0")&lt;&gt;1,"P0(후) 유효 1개 아님",IF(NOT(AND(ISNUMBER(N738),ISNUMBER(P738),ISNUMBER(H738))),"시각 결측",IF(P738&lt;=N738,"P0 시각 역전",IF(OR(H738&lt;N738,H738&gt;P738),"측정시각 구간 밖","OK")))))</f>
        <v/>
      </c>
      <c r="N738" s="45">
        <f>IF(COUNTIFS($C:$C,$C738,$D:$D,"P0(전)",$L:$L,"&gt;0")&lt;&gt;1,"",SUMIFS($H:$H,$C:$C,$C738,$D:$D,"P0(전)"))</f>
        <v/>
      </c>
      <c r="O738" s="30">
        <f>IF(COUNTIFS($C:$C,$C738,$D:$D,"P0(전)",$L:$L,"&gt;0")&lt;&gt;1,"",SUMIFS($L:$L,$C:$C,$C738,$D:$D,"P0(전)"))</f>
        <v/>
      </c>
      <c r="P738" s="45">
        <f>IF(COUNTIFS($C:$C,$C738,$D:$D,"P0(후)",$L:$L,"&gt;0")&lt;&gt;1,"",SUMIFS($H:$H,$C:$C,$C738,$D:$D,"P0(후)"))</f>
        <v/>
      </c>
      <c r="Q738" s="30">
        <f>IF(COUNTIFS($C:$C,$C738,$D:$D,"P0(후)",$L:$L,"&gt;0")&lt;&gt;1,"",SUMIFS($L:$L,$C:$C,$C738,$D:$D,"P0(후)"))</f>
        <v/>
      </c>
      <c r="R738" s="30">
        <f>IF(M738&lt;&gt;"OK","",O738+(Q738-O738)*(H738-N738)/(P738-N738))</f>
        <v/>
      </c>
      <c r="S738" s="30">
        <f>IF(OR(M738&lt;&gt;"OK",NOT(ISNUMBER(L738))),"",L738-R738)</f>
        <v/>
      </c>
      <c r="T738" s="46">
        <f>IF(OR(NOT(ISNUMBER(S738)),IF(ISNUMBER(G738),G738,F738)=0),"",S738/IF(ISNUMBER(G738),G738,F738))</f>
        <v/>
      </c>
      <c r="U738" s="46">
        <f>IF(ISNUMBER(T738),ABS(T738),"")</f>
        <v/>
      </c>
      <c r="V738" s="46">
        <f>IF(OR($D737&lt;&gt;"측정",$C737&lt;&gt;$C738,NOT(ISNUMBER(L738)),NOT(ISNUMBER(L737)),(IF(ISNUMBER(G738),G738,F738)-IF(ISNUMBER(G737),G737,F737))=0),"",(L738-L737)/(IF(ISNUMBER(G738),G738,F738)-IF(ISNUMBER(G737),G737,F737)))</f>
        <v/>
      </c>
      <c r="W738" s="30">
        <f>IF(NOT(AND(ISNUMBER(N738),ISNUMBER(P738))),"",(P738-N738)*1440)</f>
        <v/>
      </c>
      <c r="X738" s="28" t="n"/>
      <c r="Y738" s="28" t="n"/>
      <c r="Z738" s="28" t="n"/>
      <c r="AA738" s="31" t="n"/>
      <c r="AB738" s="31" t="n"/>
    </row>
    <row r="739">
      <c r="A739" s="25" t="inlineStr">
        <is>
          <t>S15</t>
        </is>
      </c>
      <c r="B739" s="25" t="inlineStr">
        <is>
          <t>의성 신규점</t>
        </is>
      </c>
      <c r="C739" s="25" t="inlineStr">
        <is>
          <t>S15-H동</t>
        </is>
      </c>
      <c r="D739" s="25" t="inlineStr">
        <is>
          <t>측정</t>
        </is>
      </c>
      <c r="E739" s="25" t="inlineStr">
        <is>
          <t>동</t>
        </is>
      </c>
      <c r="F739" s="30" t="n">
        <v>5</v>
      </c>
      <c r="G739" s="29" t="n"/>
      <c r="H739" s="42" t="n"/>
      <c r="I739" s="40" t="n"/>
      <c r="J739" s="40" t="n"/>
      <c r="K739" s="40" t="n"/>
      <c r="L739" s="30">
        <f>IF(COUNT(I739:K739)=0,"",MEDIAN(I739:K739))</f>
        <v/>
      </c>
      <c r="M739" s="25">
        <f>IF(COUNTIFS($C:$C,$C739,$D:$D,"P0(전)",$L:$L,"&gt;0")&lt;&gt;1,"P0(전) 유효 1개 아님",IF(COUNTIFS($C:$C,$C739,$D:$D,"P0(후)",$L:$L,"&gt;0")&lt;&gt;1,"P0(후) 유효 1개 아님",IF(NOT(AND(ISNUMBER(N739),ISNUMBER(P739),ISNUMBER(H739))),"시각 결측",IF(P739&lt;=N739,"P0 시각 역전",IF(OR(H739&lt;N739,H739&gt;P739),"측정시각 구간 밖","OK")))))</f>
        <v/>
      </c>
      <c r="N739" s="45">
        <f>IF(COUNTIFS($C:$C,$C739,$D:$D,"P0(전)",$L:$L,"&gt;0")&lt;&gt;1,"",SUMIFS($H:$H,$C:$C,$C739,$D:$D,"P0(전)"))</f>
        <v/>
      </c>
      <c r="O739" s="30">
        <f>IF(COUNTIFS($C:$C,$C739,$D:$D,"P0(전)",$L:$L,"&gt;0")&lt;&gt;1,"",SUMIFS($L:$L,$C:$C,$C739,$D:$D,"P0(전)"))</f>
        <v/>
      </c>
      <c r="P739" s="45">
        <f>IF(COUNTIFS($C:$C,$C739,$D:$D,"P0(후)",$L:$L,"&gt;0")&lt;&gt;1,"",SUMIFS($H:$H,$C:$C,$C739,$D:$D,"P0(후)"))</f>
        <v/>
      </c>
      <c r="Q739" s="30">
        <f>IF(COUNTIFS($C:$C,$C739,$D:$D,"P0(후)",$L:$L,"&gt;0")&lt;&gt;1,"",SUMIFS($L:$L,$C:$C,$C739,$D:$D,"P0(후)"))</f>
        <v/>
      </c>
      <c r="R739" s="30">
        <f>IF(M739&lt;&gt;"OK","",O739+(Q739-O739)*(H739-N739)/(P739-N739))</f>
        <v/>
      </c>
      <c r="S739" s="30">
        <f>IF(OR(M739&lt;&gt;"OK",NOT(ISNUMBER(L739))),"",L739-R739)</f>
        <v/>
      </c>
      <c r="T739" s="46">
        <f>IF(OR(NOT(ISNUMBER(S739)),IF(ISNUMBER(G739),G739,F739)=0),"",S739/IF(ISNUMBER(G739),G739,F739))</f>
        <v/>
      </c>
      <c r="U739" s="46">
        <f>IF(ISNUMBER(T739),ABS(T739),"")</f>
        <v/>
      </c>
      <c r="V739" s="46">
        <f>IF(OR($D738&lt;&gt;"측정",$C738&lt;&gt;$C739,NOT(ISNUMBER(L739)),NOT(ISNUMBER(L738)),(IF(ISNUMBER(G739),G739,F739)-IF(ISNUMBER(G738),G738,F738))=0),"",(L739-L738)/(IF(ISNUMBER(G739),G739,F739)-IF(ISNUMBER(G738),G738,F738)))</f>
        <v/>
      </c>
      <c r="W739" s="30">
        <f>IF(NOT(AND(ISNUMBER(N739),ISNUMBER(P739))),"",(P739-N739)*1440)</f>
        <v/>
      </c>
      <c r="X739" s="28" t="n"/>
      <c r="Y739" s="28" t="n"/>
      <c r="Z739" s="28" t="n"/>
      <c r="AA739" s="31" t="n"/>
      <c r="AB739" s="31" t="n"/>
    </row>
    <row r="740">
      <c r="A740" s="25" t="inlineStr">
        <is>
          <t>S15</t>
        </is>
      </c>
      <c r="B740" s="25" t="inlineStr">
        <is>
          <t>의성 신규점</t>
        </is>
      </c>
      <c r="C740" s="25" t="inlineStr">
        <is>
          <t>S15-H동</t>
        </is>
      </c>
      <c r="D740" s="25" t="inlineStr">
        <is>
          <t>측정</t>
        </is>
      </c>
      <c r="E740" s="25" t="inlineStr">
        <is>
          <t>동</t>
        </is>
      </c>
      <c r="F740" s="30" t="n">
        <v>6</v>
      </c>
      <c r="G740" s="29" t="n"/>
      <c r="H740" s="42" t="n"/>
      <c r="I740" s="40" t="n"/>
      <c r="J740" s="40" t="n"/>
      <c r="K740" s="40" t="n"/>
      <c r="L740" s="30">
        <f>IF(COUNT(I740:K740)=0,"",MEDIAN(I740:K740))</f>
        <v/>
      </c>
      <c r="M740" s="25">
        <f>IF(COUNTIFS($C:$C,$C740,$D:$D,"P0(전)",$L:$L,"&gt;0")&lt;&gt;1,"P0(전) 유효 1개 아님",IF(COUNTIFS($C:$C,$C740,$D:$D,"P0(후)",$L:$L,"&gt;0")&lt;&gt;1,"P0(후) 유효 1개 아님",IF(NOT(AND(ISNUMBER(N740),ISNUMBER(P740),ISNUMBER(H740))),"시각 결측",IF(P740&lt;=N740,"P0 시각 역전",IF(OR(H740&lt;N740,H740&gt;P740),"측정시각 구간 밖","OK")))))</f>
        <v/>
      </c>
      <c r="N740" s="45">
        <f>IF(COUNTIFS($C:$C,$C740,$D:$D,"P0(전)",$L:$L,"&gt;0")&lt;&gt;1,"",SUMIFS($H:$H,$C:$C,$C740,$D:$D,"P0(전)"))</f>
        <v/>
      </c>
      <c r="O740" s="30">
        <f>IF(COUNTIFS($C:$C,$C740,$D:$D,"P0(전)",$L:$L,"&gt;0")&lt;&gt;1,"",SUMIFS($L:$L,$C:$C,$C740,$D:$D,"P0(전)"))</f>
        <v/>
      </c>
      <c r="P740" s="45">
        <f>IF(COUNTIFS($C:$C,$C740,$D:$D,"P0(후)",$L:$L,"&gt;0")&lt;&gt;1,"",SUMIFS($H:$H,$C:$C,$C740,$D:$D,"P0(후)"))</f>
        <v/>
      </c>
      <c r="Q740" s="30">
        <f>IF(COUNTIFS($C:$C,$C740,$D:$D,"P0(후)",$L:$L,"&gt;0")&lt;&gt;1,"",SUMIFS($L:$L,$C:$C,$C740,$D:$D,"P0(후)"))</f>
        <v/>
      </c>
      <c r="R740" s="30">
        <f>IF(M740&lt;&gt;"OK","",O740+(Q740-O740)*(H740-N740)/(P740-N740))</f>
        <v/>
      </c>
      <c r="S740" s="30">
        <f>IF(OR(M740&lt;&gt;"OK",NOT(ISNUMBER(L740))),"",L740-R740)</f>
        <v/>
      </c>
      <c r="T740" s="46">
        <f>IF(OR(NOT(ISNUMBER(S740)),IF(ISNUMBER(G740),G740,F740)=0),"",S740/IF(ISNUMBER(G740),G740,F740))</f>
        <v/>
      </c>
      <c r="U740" s="46">
        <f>IF(ISNUMBER(T740),ABS(T740),"")</f>
        <v/>
      </c>
      <c r="V740" s="46">
        <f>IF(OR($D739&lt;&gt;"측정",$C739&lt;&gt;$C740,NOT(ISNUMBER(L740)),NOT(ISNUMBER(L739)),(IF(ISNUMBER(G740),G740,F740)-IF(ISNUMBER(G739),G739,F739))=0),"",(L740-L739)/(IF(ISNUMBER(G740),G740,F740)-IF(ISNUMBER(G739),G739,F739)))</f>
        <v/>
      </c>
      <c r="W740" s="30">
        <f>IF(NOT(AND(ISNUMBER(N740),ISNUMBER(P740))),"",(P740-N740)*1440)</f>
        <v/>
      </c>
      <c r="X740" s="28" t="n"/>
      <c r="Y740" s="28" t="n"/>
      <c r="Z740" s="28" t="n"/>
      <c r="AA740" s="31" t="n"/>
      <c r="AB740" s="31" t="n"/>
    </row>
    <row r="741">
      <c r="A741" s="25" t="inlineStr">
        <is>
          <t>S15</t>
        </is>
      </c>
      <c r="B741" s="25" t="inlineStr">
        <is>
          <t>의성 신규점</t>
        </is>
      </c>
      <c r="C741" s="25" t="inlineStr">
        <is>
          <t>S15-H동</t>
        </is>
      </c>
      <c r="D741" s="25" t="inlineStr">
        <is>
          <t>측정</t>
        </is>
      </c>
      <c r="E741" s="25" t="inlineStr">
        <is>
          <t>동</t>
        </is>
      </c>
      <c r="F741" s="30" t="n">
        <v>7</v>
      </c>
      <c r="G741" s="29" t="n"/>
      <c r="H741" s="42" t="n"/>
      <c r="I741" s="40" t="n"/>
      <c r="J741" s="40" t="n"/>
      <c r="K741" s="40" t="n"/>
      <c r="L741" s="30">
        <f>IF(COUNT(I741:K741)=0,"",MEDIAN(I741:K741))</f>
        <v/>
      </c>
      <c r="M741" s="25">
        <f>IF(COUNTIFS($C:$C,$C741,$D:$D,"P0(전)",$L:$L,"&gt;0")&lt;&gt;1,"P0(전) 유효 1개 아님",IF(COUNTIFS($C:$C,$C741,$D:$D,"P0(후)",$L:$L,"&gt;0")&lt;&gt;1,"P0(후) 유효 1개 아님",IF(NOT(AND(ISNUMBER(N741),ISNUMBER(P741),ISNUMBER(H741))),"시각 결측",IF(P741&lt;=N741,"P0 시각 역전",IF(OR(H741&lt;N741,H741&gt;P741),"측정시각 구간 밖","OK")))))</f>
        <v/>
      </c>
      <c r="N741" s="45">
        <f>IF(COUNTIFS($C:$C,$C741,$D:$D,"P0(전)",$L:$L,"&gt;0")&lt;&gt;1,"",SUMIFS($H:$H,$C:$C,$C741,$D:$D,"P0(전)"))</f>
        <v/>
      </c>
      <c r="O741" s="30">
        <f>IF(COUNTIFS($C:$C,$C741,$D:$D,"P0(전)",$L:$L,"&gt;0")&lt;&gt;1,"",SUMIFS($L:$L,$C:$C,$C741,$D:$D,"P0(전)"))</f>
        <v/>
      </c>
      <c r="P741" s="45">
        <f>IF(COUNTIFS($C:$C,$C741,$D:$D,"P0(후)",$L:$L,"&gt;0")&lt;&gt;1,"",SUMIFS($H:$H,$C:$C,$C741,$D:$D,"P0(후)"))</f>
        <v/>
      </c>
      <c r="Q741" s="30">
        <f>IF(COUNTIFS($C:$C,$C741,$D:$D,"P0(후)",$L:$L,"&gt;0")&lt;&gt;1,"",SUMIFS($L:$L,$C:$C,$C741,$D:$D,"P0(후)"))</f>
        <v/>
      </c>
      <c r="R741" s="30">
        <f>IF(M741&lt;&gt;"OK","",O741+(Q741-O741)*(H741-N741)/(P741-N741))</f>
        <v/>
      </c>
      <c r="S741" s="30">
        <f>IF(OR(M741&lt;&gt;"OK",NOT(ISNUMBER(L741))),"",L741-R741)</f>
        <v/>
      </c>
      <c r="T741" s="46">
        <f>IF(OR(NOT(ISNUMBER(S741)),IF(ISNUMBER(G741),G741,F741)=0),"",S741/IF(ISNUMBER(G741),G741,F741))</f>
        <v/>
      </c>
      <c r="U741" s="46">
        <f>IF(ISNUMBER(T741),ABS(T741),"")</f>
        <v/>
      </c>
      <c r="V741" s="46">
        <f>IF(OR($D740&lt;&gt;"측정",$C740&lt;&gt;$C741,NOT(ISNUMBER(L741)),NOT(ISNUMBER(L740)),(IF(ISNUMBER(G741),G741,F741)-IF(ISNUMBER(G740),G740,F740))=0),"",(L741-L740)/(IF(ISNUMBER(G741),G741,F741)-IF(ISNUMBER(G740),G740,F740)))</f>
        <v/>
      </c>
      <c r="W741" s="30">
        <f>IF(NOT(AND(ISNUMBER(N741),ISNUMBER(P741))),"",(P741-N741)*1440)</f>
        <v/>
      </c>
      <c r="X741" s="28" t="n"/>
      <c r="Y741" s="28" t="n"/>
      <c r="Z741" s="28" t="n"/>
      <c r="AA741" s="31" t="n"/>
      <c r="AB741" s="31" t="n"/>
    </row>
    <row r="742">
      <c r="A742" s="25" t="inlineStr">
        <is>
          <t>S15</t>
        </is>
      </c>
      <c r="B742" s="25" t="inlineStr">
        <is>
          <t>의성 신규점</t>
        </is>
      </c>
      <c r="C742" s="25" t="inlineStr">
        <is>
          <t>S15-H동</t>
        </is>
      </c>
      <c r="D742" s="25" t="inlineStr">
        <is>
          <t>측정</t>
        </is>
      </c>
      <c r="E742" s="25" t="inlineStr">
        <is>
          <t>동</t>
        </is>
      </c>
      <c r="F742" s="30" t="n">
        <v>8</v>
      </c>
      <c r="G742" s="29" t="n"/>
      <c r="H742" s="42" t="n"/>
      <c r="I742" s="40" t="n"/>
      <c r="J742" s="40" t="n"/>
      <c r="K742" s="40" t="n"/>
      <c r="L742" s="30">
        <f>IF(COUNT(I742:K742)=0,"",MEDIAN(I742:K742))</f>
        <v/>
      </c>
      <c r="M742" s="25">
        <f>IF(COUNTIFS($C:$C,$C742,$D:$D,"P0(전)",$L:$L,"&gt;0")&lt;&gt;1,"P0(전) 유효 1개 아님",IF(COUNTIFS($C:$C,$C742,$D:$D,"P0(후)",$L:$L,"&gt;0")&lt;&gt;1,"P0(후) 유효 1개 아님",IF(NOT(AND(ISNUMBER(N742),ISNUMBER(P742),ISNUMBER(H742))),"시각 결측",IF(P742&lt;=N742,"P0 시각 역전",IF(OR(H742&lt;N742,H742&gt;P742),"측정시각 구간 밖","OK")))))</f>
        <v/>
      </c>
      <c r="N742" s="45">
        <f>IF(COUNTIFS($C:$C,$C742,$D:$D,"P0(전)",$L:$L,"&gt;0")&lt;&gt;1,"",SUMIFS($H:$H,$C:$C,$C742,$D:$D,"P0(전)"))</f>
        <v/>
      </c>
      <c r="O742" s="30">
        <f>IF(COUNTIFS($C:$C,$C742,$D:$D,"P0(전)",$L:$L,"&gt;0")&lt;&gt;1,"",SUMIFS($L:$L,$C:$C,$C742,$D:$D,"P0(전)"))</f>
        <v/>
      </c>
      <c r="P742" s="45">
        <f>IF(COUNTIFS($C:$C,$C742,$D:$D,"P0(후)",$L:$L,"&gt;0")&lt;&gt;1,"",SUMIFS($H:$H,$C:$C,$C742,$D:$D,"P0(후)"))</f>
        <v/>
      </c>
      <c r="Q742" s="30">
        <f>IF(COUNTIFS($C:$C,$C742,$D:$D,"P0(후)",$L:$L,"&gt;0")&lt;&gt;1,"",SUMIFS($L:$L,$C:$C,$C742,$D:$D,"P0(후)"))</f>
        <v/>
      </c>
      <c r="R742" s="30">
        <f>IF(M742&lt;&gt;"OK","",O742+(Q742-O742)*(H742-N742)/(P742-N742))</f>
        <v/>
      </c>
      <c r="S742" s="30">
        <f>IF(OR(M742&lt;&gt;"OK",NOT(ISNUMBER(L742))),"",L742-R742)</f>
        <v/>
      </c>
      <c r="T742" s="46">
        <f>IF(OR(NOT(ISNUMBER(S742)),IF(ISNUMBER(G742),G742,F742)=0),"",S742/IF(ISNUMBER(G742),G742,F742))</f>
        <v/>
      </c>
      <c r="U742" s="46">
        <f>IF(ISNUMBER(T742),ABS(T742),"")</f>
        <v/>
      </c>
      <c r="V742" s="46">
        <f>IF(OR($D741&lt;&gt;"측정",$C741&lt;&gt;$C742,NOT(ISNUMBER(L742)),NOT(ISNUMBER(L741)),(IF(ISNUMBER(G742),G742,F742)-IF(ISNUMBER(G741),G741,F741))=0),"",(L742-L741)/(IF(ISNUMBER(G742),G742,F742)-IF(ISNUMBER(G741),G741,F741)))</f>
        <v/>
      </c>
      <c r="W742" s="30">
        <f>IF(NOT(AND(ISNUMBER(N742),ISNUMBER(P742))),"",(P742-N742)*1440)</f>
        <v/>
      </c>
      <c r="X742" s="28" t="n"/>
      <c r="Y742" s="28" t="n"/>
      <c r="Z742" s="28" t="n"/>
      <c r="AA742" s="31" t="n"/>
      <c r="AB742" s="31" t="n"/>
    </row>
    <row r="743">
      <c r="A743" s="25" t="inlineStr">
        <is>
          <t>S15</t>
        </is>
      </c>
      <c r="B743" s="25" t="inlineStr">
        <is>
          <t>의성 신규점</t>
        </is>
      </c>
      <c r="C743" s="25" t="inlineStr">
        <is>
          <t>S15-H동</t>
        </is>
      </c>
      <c r="D743" s="25" t="inlineStr">
        <is>
          <t>측정</t>
        </is>
      </c>
      <c r="E743" s="25" t="inlineStr">
        <is>
          <t>동</t>
        </is>
      </c>
      <c r="F743" s="30" t="n">
        <v>9</v>
      </c>
      <c r="G743" s="29" t="n"/>
      <c r="H743" s="42" t="n"/>
      <c r="I743" s="40" t="n"/>
      <c r="J743" s="40" t="n"/>
      <c r="K743" s="40" t="n"/>
      <c r="L743" s="30">
        <f>IF(COUNT(I743:K743)=0,"",MEDIAN(I743:K743))</f>
        <v/>
      </c>
      <c r="M743" s="25">
        <f>IF(COUNTIFS($C:$C,$C743,$D:$D,"P0(전)",$L:$L,"&gt;0")&lt;&gt;1,"P0(전) 유효 1개 아님",IF(COUNTIFS($C:$C,$C743,$D:$D,"P0(후)",$L:$L,"&gt;0")&lt;&gt;1,"P0(후) 유효 1개 아님",IF(NOT(AND(ISNUMBER(N743),ISNUMBER(P743),ISNUMBER(H743))),"시각 결측",IF(P743&lt;=N743,"P0 시각 역전",IF(OR(H743&lt;N743,H743&gt;P743),"측정시각 구간 밖","OK")))))</f>
        <v/>
      </c>
      <c r="N743" s="45">
        <f>IF(COUNTIFS($C:$C,$C743,$D:$D,"P0(전)",$L:$L,"&gt;0")&lt;&gt;1,"",SUMIFS($H:$H,$C:$C,$C743,$D:$D,"P0(전)"))</f>
        <v/>
      </c>
      <c r="O743" s="30">
        <f>IF(COUNTIFS($C:$C,$C743,$D:$D,"P0(전)",$L:$L,"&gt;0")&lt;&gt;1,"",SUMIFS($L:$L,$C:$C,$C743,$D:$D,"P0(전)"))</f>
        <v/>
      </c>
      <c r="P743" s="45">
        <f>IF(COUNTIFS($C:$C,$C743,$D:$D,"P0(후)",$L:$L,"&gt;0")&lt;&gt;1,"",SUMIFS($H:$H,$C:$C,$C743,$D:$D,"P0(후)"))</f>
        <v/>
      </c>
      <c r="Q743" s="30">
        <f>IF(COUNTIFS($C:$C,$C743,$D:$D,"P0(후)",$L:$L,"&gt;0")&lt;&gt;1,"",SUMIFS($L:$L,$C:$C,$C743,$D:$D,"P0(후)"))</f>
        <v/>
      </c>
      <c r="R743" s="30">
        <f>IF(M743&lt;&gt;"OK","",O743+(Q743-O743)*(H743-N743)/(P743-N743))</f>
        <v/>
      </c>
      <c r="S743" s="30">
        <f>IF(OR(M743&lt;&gt;"OK",NOT(ISNUMBER(L743))),"",L743-R743)</f>
        <v/>
      </c>
      <c r="T743" s="46">
        <f>IF(OR(NOT(ISNUMBER(S743)),IF(ISNUMBER(G743),G743,F743)=0),"",S743/IF(ISNUMBER(G743),G743,F743))</f>
        <v/>
      </c>
      <c r="U743" s="46">
        <f>IF(ISNUMBER(T743),ABS(T743),"")</f>
        <v/>
      </c>
      <c r="V743" s="46">
        <f>IF(OR($D742&lt;&gt;"측정",$C742&lt;&gt;$C743,NOT(ISNUMBER(L743)),NOT(ISNUMBER(L742)),(IF(ISNUMBER(G743),G743,F743)-IF(ISNUMBER(G742),G742,F742))=0),"",(L743-L742)/(IF(ISNUMBER(G743),G743,F743)-IF(ISNUMBER(G742),G742,F742)))</f>
        <v/>
      </c>
      <c r="W743" s="30">
        <f>IF(NOT(AND(ISNUMBER(N743),ISNUMBER(P743))),"",(P743-N743)*1440)</f>
        <v/>
      </c>
      <c r="X743" s="28" t="n"/>
      <c r="Y743" s="28" t="n"/>
      <c r="Z743" s="28" t="n"/>
      <c r="AA743" s="31" t="n"/>
      <c r="AB743" s="31" t="n"/>
    </row>
    <row r="744">
      <c r="A744" s="25" t="inlineStr">
        <is>
          <t>S15</t>
        </is>
      </c>
      <c r="B744" s="25" t="inlineStr">
        <is>
          <t>의성 신규점</t>
        </is>
      </c>
      <c r="C744" s="25" t="inlineStr">
        <is>
          <t>S15-H동</t>
        </is>
      </c>
      <c r="D744" s="25" t="inlineStr">
        <is>
          <t>측정</t>
        </is>
      </c>
      <c r="E744" s="25" t="inlineStr">
        <is>
          <t>동</t>
        </is>
      </c>
      <c r="F744" s="30" t="n">
        <v>10</v>
      </c>
      <c r="G744" s="29" t="n"/>
      <c r="H744" s="42" t="n"/>
      <c r="I744" s="40" t="n"/>
      <c r="J744" s="40" t="n"/>
      <c r="K744" s="40" t="n"/>
      <c r="L744" s="30">
        <f>IF(COUNT(I744:K744)=0,"",MEDIAN(I744:K744))</f>
        <v/>
      </c>
      <c r="M744" s="25">
        <f>IF(COUNTIFS($C:$C,$C744,$D:$D,"P0(전)",$L:$L,"&gt;0")&lt;&gt;1,"P0(전) 유효 1개 아님",IF(COUNTIFS($C:$C,$C744,$D:$D,"P0(후)",$L:$L,"&gt;0")&lt;&gt;1,"P0(후) 유효 1개 아님",IF(NOT(AND(ISNUMBER(N744),ISNUMBER(P744),ISNUMBER(H744))),"시각 결측",IF(P744&lt;=N744,"P0 시각 역전",IF(OR(H744&lt;N744,H744&gt;P744),"측정시각 구간 밖","OK")))))</f>
        <v/>
      </c>
      <c r="N744" s="45">
        <f>IF(COUNTIFS($C:$C,$C744,$D:$D,"P0(전)",$L:$L,"&gt;0")&lt;&gt;1,"",SUMIFS($H:$H,$C:$C,$C744,$D:$D,"P0(전)"))</f>
        <v/>
      </c>
      <c r="O744" s="30">
        <f>IF(COUNTIFS($C:$C,$C744,$D:$D,"P0(전)",$L:$L,"&gt;0")&lt;&gt;1,"",SUMIFS($L:$L,$C:$C,$C744,$D:$D,"P0(전)"))</f>
        <v/>
      </c>
      <c r="P744" s="45">
        <f>IF(COUNTIFS($C:$C,$C744,$D:$D,"P0(후)",$L:$L,"&gt;0")&lt;&gt;1,"",SUMIFS($H:$H,$C:$C,$C744,$D:$D,"P0(후)"))</f>
        <v/>
      </c>
      <c r="Q744" s="30">
        <f>IF(COUNTIFS($C:$C,$C744,$D:$D,"P0(후)",$L:$L,"&gt;0")&lt;&gt;1,"",SUMIFS($L:$L,$C:$C,$C744,$D:$D,"P0(후)"))</f>
        <v/>
      </c>
      <c r="R744" s="30">
        <f>IF(M744&lt;&gt;"OK","",O744+(Q744-O744)*(H744-N744)/(P744-N744))</f>
        <v/>
      </c>
      <c r="S744" s="30">
        <f>IF(OR(M744&lt;&gt;"OK",NOT(ISNUMBER(L744))),"",L744-R744)</f>
        <v/>
      </c>
      <c r="T744" s="46">
        <f>IF(OR(NOT(ISNUMBER(S744)),IF(ISNUMBER(G744),G744,F744)=0),"",S744/IF(ISNUMBER(G744),G744,F744))</f>
        <v/>
      </c>
      <c r="U744" s="46">
        <f>IF(ISNUMBER(T744),ABS(T744),"")</f>
        <v/>
      </c>
      <c r="V744" s="46">
        <f>IF(OR($D743&lt;&gt;"측정",$C743&lt;&gt;$C744,NOT(ISNUMBER(L744)),NOT(ISNUMBER(L743)),(IF(ISNUMBER(G744),G744,F744)-IF(ISNUMBER(G743),G743,F743))=0),"",(L744-L743)/(IF(ISNUMBER(G744),G744,F744)-IF(ISNUMBER(G743),G743,F743)))</f>
        <v/>
      </c>
      <c r="W744" s="30">
        <f>IF(NOT(AND(ISNUMBER(N744),ISNUMBER(P744))),"",(P744-N744)*1440)</f>
        <v/>
      </c>
      <c r="X744" s="28" t="n"/>
      <c r="Y744" s="28" t="n"/>
      <c r="Z744" s="28" t="n"/>
      <c r="AA744" s="31" t="n"/>
      <c r="AB744" s="31" t="n"/>
    </row>
    <row r="745">
      <c r="A745" s="43" t="inlineStr">
        <is>
          <t>S15</t>
        </is>
      </c>
      <c r="B745" s="43" t="inlineStr">
        <is>
          <t>의성 신규점</t>
        </is>
      </c>
      <c r="C745" s="43" t="inlineStr">
        <is>
          <t>S15-H동</t>
        </is>
      </c>
      <c r="D745" s="43" t="inlineStr">
        <is>
          <t>P0(후)</t>
        </is>
      </c>
      <c r="E745" s="43" t="inlineStr">
        <is>
          <t>동</t>
        </is>
      </c>
      <c r="F745" s="44" t="n"/>
      <c r="G745" s="29" t="n"/>
      <c r="H745" s="42" t="n"/>
      <c r="I745" s="40" t="n"/>
      <c r="J745" s="40" t="n"/>
      <c r="K745" s="40" t="n"/>
      <c r="L745" s="30">
        <f>IF(COUNT(I745:K745)=0,"",MEDIAN(I745:K745))</f>
        <v/>
      </c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28" t="n"/>
      <c r="Y745" s="28" t="n"/>
      <c r="Z745" s="28" t="n"/>
      <c r="AA745" s="31" t="n"/>
      <c r="AB745" s="31" t="n"/>
    </row>
    <row r="746">
      <c r="A746" s="43" t="inlineStr">
        <is>
          <t>S15</t>
        </is>
      </c>
      <c r="B746" s="43" t="inlineStr">
        <is>
          <t>의성 신규점</t>
        </is>
      </c>
      <c r="C746" s="43" t="inlineStr">
        <is>
          <t>S15-H서</t>
        </is>
      </c>
      <c r="D746" s="43" t="inlineStr">
        <is>
          <t>P0(전)</t>
        </is>
      </c>
      <c r="E746" s="43" t="inlineStr">
        <is>
          <t>서</t>
        </is>
      </c>
      <c r="F746" s="44" t="n"/>
      <c r="G746" s="29" t="n"/>
      <c r="H746" s="42" t="n"/>
      <c r="I746" s="40" t="n"/>
      <c r="J746" s="40" t="n"/>
      <c r="K746" s="40" t="n"/>
      <c r="L746" s="30">
        <f>IF(COUNT(I746:K746)=0,"",MEDIAN(I746:K746))</f>
        <v/>
      </c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28" t="n"/>
      <c r="Y746" s="28" t="n"/>
      <c r="Z746" s="28" t="n"/>
      <c r="AA746" s="31" t="n"/>
      <c r="AB746" s="31" t="n"/>
    </row>
    <row r="747">
      <c r="A747" s="25" t="inlineStr">
        <is>
          <t>S15</t>
        </is>
      </c>
      <c r="B747" s="25" t="inlineStr">
        <is>
          <t>의성 신규점</t>
        </is>
      </c>
      <c r="C747" s="25" t="inlineStr">
        <is>
          <t>S15-H서</t>
        </is>
      </c>
      <c r="D747" s="25" t="inlineStr">
        <is>
          <t>측정</t>
        </is>
      </c>
      <c r="E747" s="25" t="inlineStr">
        <is>
          <t>서</t>
        </is>
      </c>
      <c r="F747" s="30" t="n">
        <v>0.5</v>
      </c>
      <c r="G747" s="29" t="n"/>
      <c r="H747" s="42" t="n"/>
      <c r="I747" s="40" t="n"/>
      <c r="J747" s="40" t="n"/>
      <c r="K747" s="40" t="n"/>
      <c r="L747" s="30">
        <f>IF(COUNT(I747:K747)=0,"",MEDIAN(I747:K747))</f>
        <v/>
      </c>
      <c r="M747" s="25">
        <f>IF(COUNTIFS($C:$C,$C747,$D:$D,"P0(전)",$L:$L,"&gt;0")&lt;&gt;1,"P0(전) 유효 1개 아님",IF(COUNTIFS($C:$C,$C747,$D:$D,"P0(후)",$L:$L,"&gt;0")&lt;&gt;1,"P0(후) 유효 1개 아님",IF(NOT(AND(ISNUMBER(N747),ISNUMBER(P747),ISNUMBER(H747))),"시각 결측",IF(P747&lt;=N747,"P0 시각 역전",IF(OR(H747&lt;N747,H747&gt;P747),"측정시각 구간 밖","OK")))))</f>
        <v/>
      </c>
      <c r="N747" s="45">
        <f>IF(COUNTIFS($C:$C,$C747,$D:$D,"P0(전)",$L:$L,"&gt;0")&lt;&gt;1,"",SUMIFS($H:$H,$C:$C,$C747,$D:$D,"P0(전)"))</f>
        <v/>
      </c>
      <c r="O747" s="30">
        <f>IF(COUNTIFS($C:$C,$C747,$D:$D,"P0(전)",$L:$L,"&gt;0")&lt;&gt;1,"",SUMIFS($L:$L,$C:$C,$C747,$D:$D,"P0(전)"))</f>
        <v/>
      </c>
      <c r="P747" s="45">
        <f>IF(COUNTIFS($C:$C,$C747,$D:$D,"P0(후)",$L:$L,"&gt;0")&lt;&gt;1,"",SUMIFS($H:$H,$C:$C,$C747,$D:$D,"P0(후)"))</f>
        <v/>
      </c>
      <c r="Q747" s="30">
        <f>IF(COUNTIFS($C:$C,$C747,$D:$D,"P0(후)",$L:$L,"&gt;0")&lt;&gt;1,"",SUMIFS($L:$L,$C:$C,$C747,$D:$D,"P0(후)"))</f>
        <v/>
      </c>
      <c r="R747" s="30">
        <f>IF(M747&lt;&gt;"OK","",O747+(Q747-O747)*(H747-N747)/(P747-N747))</f>
        <v/>
      </c>
      <c r="S747" s="30">
        <f>IF(OR(M747&lt;&gt;"OK",NOT(ISNUMBER(L747))),"",L747-R747)</f>
        <v/>
      </c>
      <c r="T747" s="46">
        <f>IF(OR(NOT(ISNUMBER(S747)),IF(ISNUMBER(G747),G747,F747)=0),"",S747/IF(ISNUMBER(G747),G747,F747))</f>
        <v/>
      </c>
      <c r="U747" s="46">
        <f>IF(ISNUMBER(T747),ABS(T747),"")</f>
        <v/>
      </c>
      <c r="V747" s="46">
        <f>IF(OR($D746&lt;&gt;"측정",$C746&lt;&gt;$C747,NOT(ISNUMBER(L747)),NOT(ISNUMBER(L746)),(IF(ISNUMBER(G747),G747,F747)-IF(ISNUMBER(G746),G746,F746))=0),"",(L747-L746)/(IF(ISNUMBER(G747),G747,F747)-IF(ISNUMBER(G746),G746,F746)))</f>
        <v/>
      </c>
      <c r="W747" s="30">
        <f>IF(NOT(AND(ISNUMBER(N747),ISNUMBER(P747))),"",(P747-N747)*1440)</f>
        <v/>
      </c>
      <c r="X747" s="28" t="n"/>
      <c r="Y747" s="28" t="n"/>
      <c r="Z747" s="28" t="n"/>
      <c r="AA747" s="31" t="n"/>
      <c r="AB747" s="31" t="n"/>
    </row>
    <row r="748">
      <c r="A748" s="25" t="inlineStr">
        <is>
          <t>S15</t>
        </is>
      </c>
      <c r="B748" s="25" t="inlineStr">
        <is>
          <t>의성 신규점</t>
        </is>
      </c>
      <c r="C748" s="25" t="inlineStr">
        <is>
          <t>S15-H서</t>
        </is>
      </c>
      <c r="D748" s="25" t="inlineStr">
        <is>
          <t>측정</t>
        </is>
      </c>
      <c r="E748" s="25" t="inlineStr">
        <is>
          <t>서</t>
        </is>
      </c>
      <c r="F748" s="30" t="n">
        <v>1</v>
      </c>
      <c r="G748" s="29" t="n"/>
      <c r="H748" s="42" t="n"/>
      <c r="I748" s="40" t="n"/>
      <c r="J748" s="40" t="n"/>
      <c r="K748" s="40" t="n"/>
      <c r="L748" s="30">
        <f>IF(COUNT(I748:K748)=0,"",MEDIAN(I748:K748))</f>
        <v/>
      </c>
      <c r="M748" s="25">
        <f>IF(COUNTIFS($C:$C,$C748,$D:$D,"P0(전)",$L:$L,"&gt;0")&lt;&gt;1,"P0(전) 유효 1개 아님",IF(COUNTIFS($C:$C,$C748,$D:$D,"P0(후)",$L:$L,"&gt;0")&lt;&gt;1,"P0(후) 유효 1개 아님",IF(NOT(AND(ISNUMBER(N748),ISNUMBER(P748),ISNUMBER(H748))),"시각 결측",IF(P748&lt;=N748,"P0 시각 역전",IF(OR(H748&lt;N748,H748&gt;P748),"측정시각 구간 밖","OK")))))</f>
        <v/>
      </c>
      <c r="N748" s="45">
        <f>IF(COUNTIFS($C:$C,$C748,$D:$D,"P0(전)",$L:$L,"&gt;0")&lt;&gt;1,"",SUMIFS($H:$H,$C:$C,$C748,$D:$D,"P0(전)"))</f>
        <v/>
      </c>
      <c r="O748" s="30">
        <f>IF(COUNTIFS($C:$C,$C748,$D:$D,"P0(전)",$L:$L,"&gt;0")&lt;&gt;1,"",SUMIFS($L:$L,$C:$C,$C748,$D:$D,"P0(전)"))</f>
        <v/>
      </c>
      <c r="P748" s="45">
        <f>IF(COUNTIFS($C:$C,$C748,$D:$D,"P0(후)",$L:$L,"&gt;0")&lt;&gt;1,"",SUMIFS($H:$H,$C:$C,$C748,$D:$D,"P0(후)"))</f>
        <v/>
      </c>
      <c r="Q748" s="30">
        <f>IF(COUNTIFS($C:$C,$C748,$D:$D,"P0(후)",$L:$L,"&gt;0")&lt;&gt;1,"",SUMIFS($L:$L,$C:$C,$C748,$D:$D,"P0(후)"))</f>
        <v/>
      </c>
      <c r="R748" s="30">
        <f>IF(M748&lt;&gt;"OK","",O748+(Q748-O748)*(H748-N748)/(P748-N748))</f>
        <v/>
      </c>
      <c r="S748" s="30">
        <f>IF(OR(M748&lt;&gt;"OK",NOT(ISNUMBER(L748))),"",L748-R748)</f>
        <v/>
      </c>
      <c r="T748" s="46">
        <f>IF(OR(NOT(ISNUMBER(S748)),IF(ISNUMBER(G748),G748,F748)=0),"",S748/IF(ISNUMBER(G748),G748,F748))</f>
        <v/>
      </c>
      <c r="U748" s="46">
        <f>IF(ISNUMBER(T748),ABS(T748),"")</f>
        <v/>
      </c>
      <c r="V748" s="46">
        <f>IF(OR($D747&lt;&gt;"측정",$C747&lt;&gt;$C748,NOT(ISNUMBER(L748)),NOT(ISNUMBER(L747)),(IF(ISNUMBER(G748),G748,F748)-IF(ISNUMBER(G747),G747,F747))=0),"",(L748-L747)/(IF(ISNUMBER(G748),G748,F748)-IF(ISNUMBER(G747),G747,F747)))</f>
        <v/>
      </c>
      <c r="W748" s="30">
        <f>IF(NOT(AND(ISNUMBER(N748),ISNUMBER(P748))),"",(P748-N748)*1440)</f>
        <v/>
      </c>
      <c r="X748" s="28" t="n"/>
      <c r="Y748" s="28" t="n"/>
      <c r="Z748" s="28" t="n"/>
      <c r="AA748" s="31" t="n"/>
      <c r="AB748" s="31" t="n"/>
    </row>
    <row r="749">
      <c r="A749" s="25" t="inlineStr">
        <is>
          <t>S15</t>
        </is>
      </c>
      <c r="B749" s="25" t="inlineStr">
        <is>
          <t>의성 신규점</t>
        </is>
      </c>
      <c r="C749" s="25" t="inlineStr">
        <is>
          <t>S15-H서</t>
        </is>
      </c>
      <c r="D749" s="25" t="inlineStr">
        <is>
          <t>측정</t>
        </is>
      </c>
      <c r="E749" s="25" t="inlineStr">
        <is>
          <t>서</t>
        </is>
      </c>
      <c r="F749" s="30" t="n">
        <v>2</v>
      </c>
      <c r="G749" s="29" t="n"/>
      <c r="H749" s="42" t="n"/>
      <c r="I749" s="40" t="n"/>
      <c r="J749" s="40" t="n"/>
      <c r="K749" s="40" t="n"/>
      <c r="L749" s="30">
        <f>IF(COUNT(I749:K749)=0,"",MEDIAN(I749:K749))</f>
        <v/>
      </c>
      <c r="M749" s="25">
        <f>IF(COUNTIFS($C:$C,$C749,$D:$D,"P0(전)",$L:$L,"&gt;0")&lt;&gt;1,"P0(전) 유효 1개 아님",IF(COUNTIFS($C:$C,$C749,$D:$D,"P0(후)",$L:$L,"&gt;0")&lt;&gt;1,"P0(후) 유효 1개 아님",IF(NOT(AND(ISNUMBER(N749),ISNUMBER(P749),ISNUMBER(H749))),"시각 결측",IF(P749&lt;=N749,"P0 시각 역전",IF(OR(H749&lt;N749,H749&gt;P749),"측정시각 구간 밖","OK")))))</f>
        <v/>
      </c>
      <c r="N749" s="45">
        <f>IF(COUNTIFS($C:$C,$C749,$D:$D,"P0(전)",$L:$L,"&gt;0")&lt;&gt;1,"",SUMIFS($H:$H,$C:$C,$C749,$D:$D,"P0(전)"))</f>
        <v/>
      </c>
      <c r="O749" s="30">
        <f>IF(COUNTIFS($C:$C,$C749,$D:$D,"P0(전)",$L:$L,"&gt;0")&lt;&gt;1,"",SUMIFS($L:$L,$C:$C,$C749,$D:$D,"P0(전)"))</f>
        <v/>
      </c>
      <c r="P749" s="45">
        <f>IF(COUNTIFS($C:$C,$C749,$D:$D,"P0(후)",$L:$L,"&gt;0")&lt;&gt;1,"",SUMIFS($H:$H,$C:$C,$C749,$D:$D,"P0(후)"))</f>
        <v/>
      </c>
      <c r="Q749" s="30">
        <f>IF(COUNTIFS($C:$C,$C749,$D:$D,"P0(후)",$L:$L,"&gt;0")&lt;&gt;1,"",SUMIFS($L:$L,$C:$C,$C749,$D:$D,"P0(후)"))</f>
        <v/>
      </c>
      <c r="R749" s="30">
        <f>IF(M749&lt;&gt;"OK","",O749+(Q749-O749)*(H749-N749)/(P749-N749))</f>
        <v/>
      </c>
      <c r="S749" s="30">
        <f>IF(OR(M749&lt;&gt;"OK",NOT(ISNUMBER(L749))),"",L749-R749)</f>
        <v/>
      </c>
      <c r="T749" s="46">
        <f>IF(OR(NOT(ISNUMBER(S749)),IF(ISNUMBER(G749),G749,F749)=0),"",S749/IF(ISNUMBER(G749),G749,F749))</f>
        <v/>
      </c>
      <c r="U749" s="46">
        <f>IF(ISNUMBER(T749),ABS(T749),"")</f>
        <v/>
      </c>
      <c r="V749" s="46">
        <f>IF(OR($D748&lt;&gt;"측정",$C748&lt;&gt;$C749,NOT(ISNUMBER(L749)),NOT(ISNUMBER(L748)),(IF(ISNUMBER(G749),G749,F749)-IF(ISNUMBER(G748),G748,F748))=0),"",(L749-L748)/(IF(ISNUMBER(G749),G749,F749)-IF(ISNUMBER(G748),G748,F748)))</f>
        <v/>
      </c>
      <c r="W749" s="30">
        <f>IF(NOT(AND(ISNUMBER(N749),ISNUMBER(P749))),"",(P749-N749)*1440)</f>
        <v/>
      </c>
      <c r="X749" s="28" t="n"/>
      <c r="Y749" s="28" t="n"/>
      <c r="Z749" s="28" t="n"/>
      <c r="AA749" s="31" t="n"/>
      <c r="AB749" s="31" t="n"/>
    </row>
    <row r="750">
      <c r="A750" s="25" t="inlineStr">
        <is>
          <t>S15</t>
        </is>
      </c>
      <c r="B750" s="25" t="inlineStr">
        <is>
          <t>의성 신규점</t>
        </is>
      </c>
      <c r="C750" s="25" t="inlineStr">
        <is>
          <t>S15-H서</t>
        </is>
      </c>
      <c r="D750" s="25" t="inlineStr">
        <is>
          <t>측정</t>
        </is>
      </c>
      <c r="E750" s="25" t="inlineStr">
        <is>
          <t>서</t>
        </is>
      </c>
      <c r="F750" s="30" t="n">
        <v>3</v>
      </c>
      <c r="G750" s="29" t="n"/>
      <c r="H750" s="42" t="n"/>
      <c r="I750" s="40" t="n"/>
      <c r="J750" s="40" t="n"/>
      <c r="K750" s="40" t="n"/>
      <c r="L750" s="30">
        <f>IF(COUNT(I750:K750)=0,"",MEDIAN(I750:K750))</f>
        <v/>
      </c>
      <c r="M750" s="25">
        <f>IF(COUNTIFS($C:$C,$C750,$D:$D,"P0(전)",$L:$L,"&gt;0")&lt;&gt;1,"P0(전) 유효 1개 아님",IF(COUNTIFS($C:$C,$C750,$D:$D,"P0(후)",$L:$L,"&gt;0")&lt;&gt;1,"P0(후) 유효 1개 아님",IF(NOT(AND(ISNUMBER(N750),ISNUMBER(P750),ISNUMBER(H750))),"시각 결측",IF(P750&lt;=N750,"P0 시각 역전",IF(OR(H750&lt;N750,H750&gt;P750),"측정시각 구간 밖","OK")))))</f>
        <v/>
      </c>
      <c r="N750" s="45">
        <f>IF(COUNTIFS($C:$C,$C750,$D:$D,"P0(전)",$L:$L,"&gt;0")&lt;&gt;1,"",SUMIFS($H:$H,$C:$C,$C750,$D:$D,"P0(전)"))</f>
        <v/>
      </c>
      <c r="O750" s="30">
        <f>IF(COUNTIFS($C:$C,$C750,$D:$D,"P0(전)",$L:$L,"&gt;0")&lt;&gt;1,"",SUMIFS($L:$L,$C:$C,$C750,$D:$D,"P0(전)"))</f>
        <v/>
      </c>
      <c r="P750" s="45">
        <f>IF(COUNTIFS($C:$C,$C750,$D:$D,"P0(후)",$L:$L,"&gt;0")&lt;&gt;1,"",SUMIFS($H:$H,$C:$C,$C750,$D:$D,"P0(후)"))</f>
        <v/>
      </c>
      <c r="Q750" s="30">
        <f>IF(COUNTIFS($C:$C,$C750,$D:$D,"P0(후)",$L:$L,"&gt;0")&lt;&gt;1,"",SUMIFS($L:$L,$C:$C,$C750,$D:$D,"P0(후)"))</f>
        <v/>
      </c>
      <c r="R750" s="30">
        <f>IF(M750&lt;&gt;"OK","",O750+(Q750-O750)*(H750-N750)/(P750-N750))</f>
        <v/>
      </c>
      <c r="S750" s="30">
        <f>IF(OR(M750&lt;&gt;"OK",NOT(ISNUMBER(L750))),"",L750-R750)</f>
        <v/>
      </c>
      <c r="T750" s="46">
        <f>IF(OR(NOT(ISNUMBER(S750)),IF(ISNUMBER(G750),G750,F750)=0),"",S750/IF(ISNUMBER(G750),G750,F750))</f>
        <v/>
      </c>
      <c r="U750" s="46">
        <f>IF(ISNUMBER(T750),ABS(T750),"")</f>
        <v/>
      </c>
      <c r="V750" s="46">
        <f>IF(OR($D749&lt;&gt;"측정",$C749&lt;&gt;$C750,NOT(ISNUMBER(L750)),NOT(ISNUMBER(L749)),(IF(ISNUMBER(G750),G750,F750)-IF(ISNUMBER(G749),G749,F749))=0),"",(L750-L749)/(IF(ISNUMBER(G750),G750,F750)-IF(ISNUMBER(G749),G749,F749)))</f>
        <v/>
      </c>
      <c r="W750" s="30">
        <f>IF(NOT(AND(ISNUMBER(N750),ISNUMBER(P750))),"",(P750-N750)*1440)</f>
        <v/>
      </c>
      <c r="X750" s="28" t="n"/>
      <c r="Y750" s="28" t="n"/>
      <c r="Z750" s="28" t="n"/>
      <c r="AA750" s="31" t="n"/>
      <c r="AB750" s="31" t="n"/>
    </row>
    <row r="751">
      <c r="A751" s="25" t="inlineStr">
        <is>
          <t>S15</t>
        </is>
      </c>
      <c r="B751" s="25" t="inlineStr">
        <is>
          <t>의성 신규점</t>
        </is>
      </c>
      <c r="C751" s="25" t="inlineStr">
        <is>
          <t>S15-H서</t>
        </is>
      </c>
      <c r="D751" s="25" t="inlineStr">
        <is>
          <t>측정</t>
        </is>
      </c>
      <c r="E751" s="25" t="inlineStr">
        <is>
          <t>서</t>
        </is>
      </c>
      <c r="F751" s="30" t="n">
        <v>4</v>
      </c>
      <c r="G751" s="29" t="n"/>
      <c r="H751" s="42" t="n"/>
      <c r="I751" s="40" t="n"/>
      <c r="J751" s="40" t="n"/>
      <c r="K751" s="40" t="n"/>
      <c r="L751" s="30">
        <f>IF(COUNT(I751:K751)=0,"",MEDIAN(I751:K751))</f>
        <v/>
      </c>
      <c r="M751" s="25">
        <f>IF(COUNTIFS($C:$C,$C751,$D:$D,"P0(전)",$L:$L,"&gt;0")&lt;&gt;1,"P0(전) 유효 1개 아님",IF(COUNTIFS($C:$C,$C751,$D:$D,"P0(후)",$L:$L,"&gt;0")&lt;&gt;1,"P0(후) 유효 1개 아님",IF(NOT(AND(ISNUMBER(N751),ISNUMBER(P751),ISNUMBER(H751))),"시각 결측",IF(P751&lt;=N751,"P0 시각 역전",IF(OR(H751&lt;N751,H751&gt;P751),"측정시각 구간 밖","OK")))))</f>
        <v/>
      </c>
      <c r="N751" s="45">
        <f>IF(COUNTIFS($C:$C,$C751,$D:$D,"P0(전)",$L:$L,"&gt;0")&lt;&gt;1,"",SUMIFS($H:$H,$C:$C,$C751,$D:$D,"P0(전)"))</f>
        <v/>
      </c>
      <c r="O751" s="30">
        <f>IF(COUNTIFS($C:$C,$C751,$D:$D,"P0(전)",$L:$L,"&gt;0")&lt;&gt;1,"",SUMIFS($L:$L,$C:$C,$C751,$D:$D,"P0(전)"))</f>
        <v/>
      </c>
      <c r="P751" s="45">
        <f>IF(COUNTIFS($C:$C,$C751,$D:$D,"P0(후)",$L:$L,"&gt;0")&lt;&gt;1,"",SUMIFS($H:$H,$C:$C,$C751,$D:$D,"P0(후)"))</f>
        <v/>
      </c>
      <c r="Q751" s="30">
        <f>IF(COUNTIFS($C:$C,$C751,$D:$D,"P0(후)",$L:$L,"&gt;0")&lt;&gt;1,"",SUMIFS($L:$L,$C:$C,$C751,$D:$D,"P0(후)"))</f>
        <v/>
      </c>
      <c r="R751" s="30">
        <f>IF(M751&lt;&gt;"OK","",O751+(Q751-O751)*(H751-N751)/(P751-N751))</f>
        <v/>
      </c>
      <c r="S751" s="30">
        <f>IF(OR(M751&lt;&gt;"OK",NOT(ISNUMBER(L751))),"",L751-R751)</f>
        <v/>
      </c>
      <c r="T751" s="46">
        <f>IF(OR(NOT(ISNUMBER(S751)),IF(ISNUMBER(G751),G751,F751)=0),"",S751/IF(ISNUMBER(G751),G751,F751))</f>
        <v/>
      </c>
      <c r="U751" s="46">
        <f>IF(ISNUMBER(T751),ABS(T751),"")</f>
        <v/>
      </c>
      <c r="V751" s="46">
        <f>IF(OR($D750&lt;&gt;"측정",$C750&lt;&gt;$C751,NOT(ISNUMBER(L751)),NOT(ISNUMBER(L750)),(IF(ISNUMBER(G751),G751,F751)-IF(ISNUMBER(G750),G750,F750))=0),"",(L751-L750)/(IF(ISNUMBER(G751),G751,F751)-IF(ISNUMBER(G750),G750,F750)))</f>
        <v/>
      </c>
      <c r="W751" s="30">
        <f>IF(NOT(AND(ISNUMBER(N751),ISNUMBER(P751))),"",(P751-N751)*1440)</f>
        <v/>
      </c>
      <c r="X751" s="28" t="n"/>
      <c r="Y751" s="28" t="n"/>
      <c r="Z751" s="28" t="n"/>
      <c r="AA751" s="31" t="n"/>
      <c r="AB751" s="31" t="n"/>
    </row>
    <row r="752">
      <c r="A752" s="25" t="inlineStr">
        <is>
          <t>S15</t>
        </is>
      </c>
      <c r="B752" s="25" t="inlineStr">
        <is>
          <t>의성 신규점</t>
        </is>
      </c>
      <c r="C752" s="25" t="inlineStr">
        <is>
          <t>S15-H서</t>
        </is>
      </c>
      <c r="D752" s="25" t="inlineStr">
        <is>
          <t>측정</t>
        </is>
      </c>
      <c r="E752" s="25" t="inlineStr">
        <is>
          <t>서</t>
        </is>
      </c>
      <c r="F752" s="30" t="n">
        <v>5</v>
      </c>
      <c r="G752" s="29" t="n"/>
      <c r="H752" s="42" t="n"/>
      <c r="I752" s="40" t="n"/>
      <c r="J752" s="40" t="n"/>
      <c r="K752" s="40" t="n"/>
      <c r="L752" s="30">
        <f>IF(COUNT(I752:K752)=0,"",MEDIAN(I752:K752))</f>
        <v/>
      </c>
      <c r="M752" s="25">
        <f>IF(COUNTIFS($C:$C,$C752,$D:$D,"P0(전)",$L:$L,"&gt;0")&lt;&gt;1,"P0(전) 유효 1개 아님",IF(COUNTIFS($C:$C,$C752,$D:$D,"P0(후)",$L:$L,"&gt;0")&lt;&gt;1,"P0(후) 유효 1개 아님",IF(NOT(AND(ISNUMBER(N752),ISNUMBER(P752),ISNUMBER(H752))),"시각 결측",IF(P752&lt;=N752,"P0 시각 역전",IF(OR(H752&lt;N752,H752&gt;P752),"측정시각 구간 밖","OK")))))</f>
        <v/>
      </c>
      <c r="N752" s="45">
        <f>IF(COUNTIFS($C:$C,$C752,$D:$D,"P0(전)",$L:$L,"&gt;0")&lt;&gt;1,"",SUMIFS($H:$H,$C:$C,$C752,$D:$D,"P0(전)"))</f>
        <v/>
      </c>
      <c r="O752" s="30">
        <f>IF(COUNTIFS($C:$C,$C752,$D:$D,"P0(전)",$L:$L,"&gt;0")&lt;&gt;1,"",SUMIFS($L:$L,$C:$C,$C752,$D:$D,"P0(전)"))</f>
        <v/>
      </c>
      <c r="P752" s="45">
        <f>IF(COUNTIFS($C:$C,$C752,$D:$D,"P0(후)",$L:$L,"&gt;0")&lt;&gt;1,"",SUMIFS($H:$H,$C:$C,$C752,$D:$D,"P0(후)"))</f>
        <v/>
      </c>
      <c r="Q752" s="30">
        <f>IF(COUNTIFS($C:$C,$C752,$D:$D,"P0(후)",$L:$L,"&gt;0")&lt;&gt;1,"",SUMIFS($L:$L,$C:$C,$C752,$D:$D,"P0(후)"))</f>
        <v/>
      </c>
      <c r="R752" s="30">
        <f>IF(M752&lt;&gt;"OK","",O752+(Q752-O752)*(H752-N752)/(P752-N752))</f>
        <v/>
      </c>
      <c r="S752" s="30">
        <f>IF(OR(M752&lt;&gt;"OK",NOT(ISNUMBER(L752))),"",L752-R752)</f>
        <v/>
      </c>
      <c r="T752" s="46">
        <f>IF(OR(NOT(ISNUMBER(S752)),IF(ISNUMBER(G752),G752,F752)=0),"",S752/IF(ISNUMBER(G752),G752,F752))</f>
        <v/>
      </c>
      <c r="U752" s="46">
        <f>IF(ISNUMBER(T752),ABS(T752),"")</f>
        <v/>
      </c>
      <c r="V752" s="46">
        <f>IF(OR($D751&lt;&gt;"측정",$C751&lt;&gt;$C752,NOT(ISNUMBER(L752)),NOT(ISNUMBER(L751)),(IF(ISNUMBER(G752),G752,F752)-IF(ISNUMBER(G751),G751,F751))=0),"",(L752-L751)/(IF(ISNUMBER(G752),G752,F752)-IF(ISNUMBER(G751),G751,F751)))</f>
        <v/>
      </c>
      <c r="W752" s="30">
        <f>IF(NOT(AND(ISNUMBER(N752),ISNUMBER(P752))),"",(P752-N752)*1440)</f>
        <v/>
      </c>
      <c r="X752" s="28" t="n"/>
      <c r="Y752" s="28" t="n"/>
      <c r="Z752" s="28" t="n"/>
      <c r="AA752" s="31" t="n"/>
      <c r="AB752" s="31" t="n"/>
    </row>
    <row r="753">
      <c r="A753" s="25" t="inlineStr">
        <is>
          <t>S15</t>
        </is>
      </c>
      <c r="B753" s="25" t="inlineStr">
        <is>
          <t>의성 신규점</t>
        </is>
      </c>
      <c r="C753" s="25" t="inlineStr">
        <is>
          <t>S15-H서</t>
        </is>
      </c>
      <c r="D753" s="25" t="inlineStr">
        <is>
          <t>측정</t>
        </is>
      </c>
      <c r="E753" s="25" t="inlineStr">
        <is>
          <t>서</t>
        </is>
      </c>
      <c r="F753" s="30" t="n">
        <v>6</v>
      </c>
      <c r="G753" s="29" t="n"/>
      <c r="H753" s="42" t="n"/>
      <c r="I753" s="40" t="n"/>
      <c r="J753" s="40" t="n"/>
      <c r="K753" s="40" t="n"/>
      <c r="L753" s="30">
        <f>IF(COUNT(I753:K753)=0,"",MEDIAN(I753:K753))</f>
        <v/>
      </c>
      <c r="M753" s="25">
        <f>IF(COUNTIFS($C:$C,$C753,$D:$D,"P0(전)",$L:$L,"&gt;0")&lt;&gt;1,"P0(전) 유효 1개 아님",IF(COUNTIFS($C:$C,$C753,$D:$D,"P0(후)",$L:$L,"&gt;0")&lt;&gt;1,"P0(후) 유효 1개 아님",IF(NOT(AND(ISNUMBER(N753),ISNUMBER(P753),ISNUMBER(H753))),"시각 결측",IF(P753&lt;=N753,"P0 시각 역전",IF(OR(H753&lt;N753,H753&gt;P753),"측정시각 구간 밖","OK")))))</f>
        <v/>
      </c>
      <c r="N753" s="45">
        <f>IF(COUNTIFS($C:$C,$C753,$D:$D,"P0(전)",$L:$L,"&gt;0")&lt;&gt;1,"",SUMIFS($H:$H,$C:$C,$C753,$D:$D,"P0(전)"))</f>
        <v/>
      </c>
      <c r="O753" s="30">
        <f>IF(COUNTIFS($C:$C,$C753,$D:$D,"P0(전)",$L:$L,"&gt;0")&lt;&gt;1,"",SUMIFS($L:$L,$C:$C,$C753,$D:$D,"P0(전)"))</f>
        <v/>
      </c>
      <c r="P753" s="45">
        <f>IF(COUNTIFS($C:$C,$C753,$D:$D,"P0(후)",$L:$L,"&gt;0")&lt;&gt;1,"",SUMIFS($H:$H,$C:$C,$C753,$D:$D,"P0(후)"))</f>
        <v/>
      </c>
      <c r="Q753" s="30">
        <f>IF(COUNTIFS($C:$C,$C753,$D:$D,"P0(후)",$L:$L,"&gt;0")&lt;&gt;1,"",SUMIFS($L:$L,$C:$C,$C753,$D:$D,"P0(후)"))</f>
        <v/>
      </c>
      <c r="R753" s="30">
        <f>IF(M753&lt;&gt;"OK","",O753+(Q753-O753)*(H753-N753)/(P753-N753))</f>
        <v/>
      </c>
      <c r="S753" s="30">
        <f>IF(OR(M753&lt;&gt;"OK",NOT(ISNUMBER(L753))),"",L753-R753)</f>
        <v/>
      </c>
      <c r="T753" s="46">
        <f>IF(OR(NOT(ISNUMBER(S753)),IF(ISNUMBER(G753),G753,F753)=0),"",S753/IF(ISNUMBER(G753),G753,F753))</f>
        <v/>
      </c>
      <c r="U753" s="46">
        <f>IF(ISNUMBER(T753),ABS(T753),"")</f>
        <v/>
      </c>
      <c r="V753" s="46">
        <f>IF(OR($D752&lt;&gt;"측정",$C752&lt;&gt;$C753,NOT(ISNUMBER(L753)),NOT(ISNUMBER(L752)),(IF(ISNUMBER(G753),G753,F753)-IF(ISNUMBER(G752),G752,F752))=0),"",(L753-L752)/(IF(ISNUMBER(G753),G753,F753)-IF(ISNUMBER(G752),G752,F752)))</f>
        <v/>
      </c>
      <c r="W753" s="30">
        <f>IF(NOT(AND(ISNUMBER(N753),ISNUMBER(P753))),"",(P753-N753)*1440)</f>
        <v/>
      </c>
      <c r="X753" s="28" t="n"/>
      <c r="Y753" s="28" t="n"/>
      <c r="Z753" s="28" t="n"/>
      <c r="AA753" s="31" t="n"/>
      <c r="AB753" s="31" t="n"/>
    </row>
    <row r="754">
      <c r="A754" s="25" t="inlineStr">
        <is>
          <t>S15</t>
        </is>
      </c>
      <c r="B754" s="25" t="inlineStr">
        <is>
          <t>의성 신규점</t>
        </is>
      </c>
      <c r="C754" s="25" t="inlineStr">
        <is>
          <t>S15-H서</t>
        </is>
      </c>
      <c r="D754" s="25" t="inlineStr">
        <is>
          <t>측정</t>
        </is>
      </c>
      <c r="E754" s="25" t="inlineStr">
        <is>
          <t>서</t>
        </is>
      </c>
      <c r="F754" s="30" t="n">
        <v>7</v>
      </c>
      <c r="G754" s="29" t="n"/>
      <c r="H754" s="42" t="n"/>
      <c r="I754" s="40" t="n"/>
      <c r="J754" s="40" t="n"/>
      <c r="K754" s="40" t="n"/>
      <c r="L754" s="30">
        <f>IF(COUNT(I754:K754)=0,"",MEDIAN(I754:K754))</f>
        <v/>
      </c>
      <c r="M754" s="25">
        <f>IF(COUNTIFS($C:$C,$C754,$D:$D,"P0(전)",$L:$L,"&gt;0")&lt;&gt;1,"P0(전) 유효 1개 아님",IF(COUNTIFS($C:$C,$C754,$D:$D,"P0(후)",$L:$L,"&gt;0")&lt;&gt;1,"P0(후) 유효 1개 아님",IF(NOT(AND(ISNUMBER(N754),ISNUMBER(P754),ISNUMBER(H754))),"시각 결측",IF(P754&lt;=N754,"P0 시각 역전",IF(OR(H754&lt;N754,H754&gt;P754),"측정시각 구간 밖","OK")))))</f>
        <v/>
      </c>
      <c r="N754" s="45">
        <f>IF(COUNTIFS($C:$C,$C754,$D:$D,"P0(전)",$L:$L,"&gt;0")&lt;&gt;1,"",SUMIFS($H:$H,$C:$C,$C754,$D:$D,"P0(전)"))</f>
        <v/>
      </c>
      <c r="O754" s="30">
        <f>IF(COUNTIFS($C:$C,$C754,$D:$D,"P0(전)",$L:$L,"&gt;0")&lt;&gt;1,"",SUMIFS($L:$L,$C:$C,$C754,$D:$D,"P0(전)"))</f>
        <v/>
      </c>
      <c r="P754" s="45">
        <f>IF(COUNTIFS($C:$C,$C754,$D:$D,"P0(후)",$L:$L,"&gt;0")&lt;&gt;1,"",SUMIFS($H:$H,$C:$C,$C754,$D:$D,"P0(후)"))</f>
        <v/>
      </c>
      <c r="Q754" s="30">
        <f>IF(COUNTIFS($C:$C,$C754,$D:$D,"P0(후)",$L:$L,"&gt;0")&lt;&gt;1,"",SUMIFS($L:$L,$C:$C,$C754,$D:$D,"P0(후)"))</f>
        <v/>
      </c>
      <c r="R754" s="30">
        <f>IF(M754&lt;&gt;"OK","",O754+(Q754-O754)*(H754-N754)/(P754-N754))</f>
        <v/>
      </c>
      <c r="S754" s="30">
        <f>IF(OR(M754&lt;&gt;"OK",NOT(ISNUMBER(L754))),"",L754-R754)</f>
        <v/>
      </c>
      <c r="T754" s="46">
        <f>IF(OR(NOT(ISNUMBER(S754)),IF(ISNUMBER(G754),G754,F754)=0),"",S754/IF(ISNUMBER(G754),G754,F754))</f>
        <v/>
      </c>
      <c r="U754" s="46">
        <f>IF(ISNUMBER(T754),ABS(T754),"")</f>
        <v/>
      </c>
      <c r="V754" s="46">
        <f>IF(OR($D753&lt;&gt;"측정",$C753&lt;&gt;$C754,NOT(ISNUMBER(L754)),NOT(ISNUMBER(L753)),(IF(ISNUMBER(G754),G754,F754)-IF(ISNUMBER(G753),G753,F753))=0),"",(L754-L753)/(IF(ISNUMBER(G754),G754,F754)-IF(ISNUMBER(G753),G753,F753)))</f>
        <v/>
      </c>
      <c r="W754" s="30">
        <f>IF(NOT(AND(ISNUMBER(N754),ISNUMBER(P754))),"",(P754-N754)*1440)</f>
        <v/>
      </c>
      <c r="X754" s="28" t="n"/>
      <c r="Y754" s="28" t="n"/>
      <c r="Z754" s="28" t="n"/>
      <c r="AA754" s="31" t="n"/>
      <c r="AB754" s="31" t="n"/>
    </row>
    <row r="755">
      <c r="A755" s="25" t="inlineStr">
        <is>
          <t>S15</t>
        </is>
      </c>
      <c r="B755" s="25" t="inlineStr">
        <is>
          <t>의성 신규점</t>
        </is>
      </c>
      <c r="C755" s="25" t="inlineStr">
        <is>
          <t>S15-H서</t>
        </is>
      </c>
      <c r="D755" s="25" t="inlineStr">
        <is>
          <t>측정</t>
        </is>
      </c>
      <c r="E755" s="25" t="inlineStr">
        <is>
          <t>서</t>
        </is>
      </c>
      <c r="F755" s="30" t="n">
        <v>8</v>
      </c>
      <c r="G755" s="29" t="n"/>
      <c r="H755" s="42" t="n"/>
      <c r="I755" s="40" t="n"/>
      <c r="J755" s="40" t="n"/>
      <c r="K755" s="40" t="n"/>
      <c r="L755" s="30">
        <f>IF(COUNT(I755:K755)=0,"",MEDIAN(I755:K755))</f>
        <v/>
      </c>
      <c r="M755" s="25">
        <f>IF(COUNTIFS($C:$C,$C755,$D:$D,"P0(전)",$L:$L,"&gt;0")&lt;&gt;1,"P0(전) 유효 1개 아님",IF(COUNTIFS($C:$C,$C755,$D:$D,"P0(후)",$L:$L,"&gt;0")&lt;&gt;1,"P0(후) 유효 1개 아님",IF(NOT(AND(ISNUMBER(N755),ISNUMBER(P755),ISNUMBER(H755))),"시각 결측",IF(P755&lt;=N755,"P0 시각 역전",IF(OR(H755&lt;N755,H755&gt;P755),"측정시각 구간 밖","OK")))))</f>
        <v/>
      </c>
      <c r="N755" s="45">
        <f>IF(COUNTIFS($C:$C,$C755,$D:$D,"P0(전)",$L:$L,"&gt;0")&lt;&gt;1,"",SUMIFS($H:$H,$C:$C,$C755,$D:$D,"P0(전)"))</f>
        <v/>
      </c>
      <c r="O755" s="30">
        <f>IF(COUNTIFS($C:$C,$C755,$D:$D,"P0(전)",$L:$L,"&gt;0")&lt;&gt;1,"",SUMIFS($L:$L,$C:$C,$C755,$D:$D,"P0(전)"))</f>
        <v/>
      </c>
      <c r="P755" s="45">
        <f>IF(COUNTIFS($C:$C,$C755,$D:$D,"P0(후)",$L:$L,"&gt;0")&lt;&gt;1,"",SUMIFS($H:$H,$C:$C,$C755,$D:$D,"P0(후)"))</f>
        <v/>
      </c>
      <c r="Q755" s="30">
        <f>IF(COUNTIFS($C:$C,$C755,$D:$D,"P0(후)",$L:$L,"&gt;0")&lt;&gt;1,"",SUMIFS($L:$L,$C:$C,$C755,$D:$D,"P0(후)"))</f>
        <v/>
      </c>
      <c r="R755" s="30">
        <f>IF(M755&lt;&gt;"OK","",O755+(Q755-O755)*(H755-N755)/(P755-N755))</f>
        <v/>
      </c>
      <c r="S755" s="30">
        <f>IF(OR(M755&lt;&gt;"OK",NOT(ISNUMBER(L755))),"",L755-R755)</f>
        <v/>
      </c>
      <c r="T755" s="46">
        <f>IF(OR(NOT(ISNUMBER(S755)),IF(ISNUMBER(G755),G755,F755)=0),"",S755/IF(ISNUMBER(G755),G755,F755))</f>
        <v/>
      </c>
      <c r="U755" s="46">
        <f>IF(ISNUMBER(T755),ABS(T755),"")</f>
        <v/>
      </c>
      <c r="V755" s="46">
        <f>IF(OR($D754&lt;&gt;"측정",$C754&lt;&gt;$C755,NOT(ISNUMBER(L755)),NOT(ISNUMBER(L754)),(IF(ISNUMBER(G755),G755,F755)-IF(ISNUMBER(G754),G754,F754))=0),"",(L755-L754)/(IF(ISNUMBER(G755),G755,F755)-IF(ISNUMBER(G754),G754,F754)))</f>
        <v/>
      </c>
      <c r="W755" s="30">
        <f>IF(NOT(AND(ISNUMBER(N755),ISNUMBER(P755))),"",(P755-N755)*1440)</f>
        <v/>
      </c>
      <c r="X755" s="28" t="n"/>
      <c r="Y755" s="28" t="n"/>
      <c r="Z755" s="28" t="n"/>
      <c r="AA755" s="31" t="n"/>
      <c r="AB755" s="31" t="n"/>
    </row>
    <row r="756">
      <c r="A756" s="25" t="inlineStr">
        <is>
          <t>S15</t>
        </is>
      </c>
      <c r="B756" s="25" t="inlineStr">
        <is>
          <t>의성 신규점</t>
        </is>
      </c>
      <c r="C756" s="25" t="inlineStr">
        <is>
          <t>S15-H서</t>
        </is>
      </c>
      <c r="D756" s="25" t="inlineStr">
        <is>
          <t>측정</t>
        </is>
      </c>
      <c r="E756" s="25" t="inlineStr">
        <is>
          <t>서</t>
        </is>
      </c>
      <c r="F756" s="30" t="n">
        <v>9</v>
      </c>
      <c r="G756" s="29" t="n"/>
      <c r="H756" s="42" t="n"/>
      <c r="I756" s="40" t="n"/>
      <c r="J756" s="40" t="n"/>
      <c r="K756" s="40" t="n"/>
      <c r="L756" s="30">
        <f>IF(COUNT(I756:K756)=0,"",MEDIAN(I756:K756))</f>
        <v/>
      </c>
      <c r="M756" s="25">
        <f>IF(COUNTIFS($C:$C,$C756,$D:$D,"P0(전)",$L:$L,"&gt;0")&lt;&gt;1,"P0(전) 유효 1개 아님",IF(COUNTIFS($C:$C,$C756,$D:$D,"P0(후)",$L:$L,"&gt;0")&lt;&gt;1,"P0(후) 유효 1개 아님",IF(NOT(AND(ISNUMBER(N756),ISNUMBER(P756),ISNUMBER(H756))),"시각 결측",IF(P756&lt;=N756,"P0 시각 역전",IF(OR(H756&lt;N756,H756&gt;P756),"측정시각 구간 밖","OK")))))</f>
        <v/>
      </c>
      <c r="N756" s="45">
        <f>IF(COUNTIFS($C:$C,$C756,$D:$D,"P0(전)",$L:$L,"&gt;0")&lt;&gt;1,"",SUMIFS($H:$H,$C:$C,$C756,$D:$D,"P0(전)"))</f>
        <v/>
      </c>
      <c r="O756" s="30">
        <f>IF(COUNTIFS($C:$C,$C756,$D:$D,"P0(전)",$L:$L,"&gt;0")&lt;&gt;1,"",SUMIFS($L:$L,$C:$C,$C756,$D:$D,"P0(전)"))</f>
        <v/>
      </c>
      <c r="P756" s="45">
        <f>IF(COUNTIFS($C:$C,$C756,$D:$D,"P0(후)",$L:$L,"&gt;0")&lt;&gt;1,"",SUMIFS($H:$H,$C:$C,$C756,$D:$D,"P0(후)"))</f>
        <v/>
      </c>
      <c r="Q756" s="30">
        <f>IF(COUNTIFS($C:$C,$C756,$D:$D,"P0(후)",$L:$L,"&gt;0")&lt;&gt;1,"",SUMIFS($L:$L,$C:$C,$C756,$D:$D,"P0(후)"))</f>
        <v/>
      </c>
      <c r="R756" s="30">
        <f>IF(M756&lt;&gt;"OK","",O756+(Q756-O756)*(H756-N756)/(P756-N756))</f>
        <v/>
      </c>
      <c r="S756" s="30">
        <f>IF(OR(M756&lt;&gt;"OK",NOT(ISNUMBER(L756))),"",L756-R756)</f>
        <v/>
      </c>
      <c r="T756" s="46">
        <f>IF(OR(NOT(ISNUMBER(S756)),IF(ISNUMBER(G756),G756,F756)=0),"",S756/IF(ISNUMBER(G756),G756,F756))</f>
        <v/>
      </c>
      <c r="U756" s="46">
        <f>IF(ISNUMBER(T756),ABS(T756),"")</f>
        <v/>
      </c>
      <c r="V756" s="46">
        <f>IF(OR($D755&lt;&gt;"측정",$C755&lt;&gt;$C756,NOT(ISNUMBER(L756)),NOT(ISNUMBER(L755)),(IF(ISNUMBER(G756),G756,F756)-IF(ISNUMBER(G755),G755,F755))=0),"",(L756-L755)/(IF(ISNUMBER(G756),G756,F756)-IF(ISNUMBER(G755),G755,F755)))</f>
        <v/>
      </c>
      <c r="W756" s="30">
        <f>IF(NOT(AND(ISNUMBER(N756),ISNUMBER(P756))),"",(P756-N756)*1440)</f>
        <v/>
      </c>
      <c r="X756" s="28" t="n"/>
      <c r="Y756" s="28" t="n"/>
      <c r="Z756" s="28" t="n"/>
      <c r="AA756" s="31" t="n"/>
      <c r="AB756" s="31" t="n"/>
    </row>
    <row r="757">
      <c r="A757" s="25" t="inlineStr">
        <is>
          <t>S15</t>
        </is>
      </c>
      <c r="B757" s="25" t="inlineStr">
        <is>
          <t>의성 신규점</t>
        </is>
      </c>
      <c r="C757" s="25" t="inlineStr">
        <is>
          <t>S15-H서</t>
        </is>
      </c>
      <c r="D757" s="25" t="inlineStr">
        <is>
          <t>측정</t>
        </is>
      </c>
      <c r="E757" s="25" t="inlineStr">
        <is>
          <t>서</t>
        </is>
      </c>
      <c r="F757" s="30" t="n">
        <v>10</v>
      </c>
      <c r="G757" s="29" t="n"/>
      <c r="H757" s="42" t="n"/>
      <c r="I757" s="40" t="n"/>
      <c r="J757" s="40" t="n"/>
      <c r="K757" s="40" t="n"/>
      <c r="L757" s="30">
        <f>IF(COUNT(I757:K757)=0,"",MEDIAN(I757:K757))</f>
        <v/>
      </c>
      <c r="M757" s="25">
        <f>IF(COUNTIFS($C:$C,$C757,$D:$D,"P0(전)",$L:$L,"&gt;0")&lt;&gt;1,"P0(전) 유효 1개 아님",IF(COUNTIFS($C:$C,$C757,$D:$D,"P0(후)",$L:$L,"&gt;0")&lt;&gt;1,"P0(후) 유효 1개 아님",IF(NOT(AND(ISNUMBER(N757),ISNUMBER(P757),ISNUMBER(H757))),"시각 결측",IF(P757&lt;=N757,"P0 시각 역전",IF(OR(H757&lt;N757,H757&gt;P757),"측정시각 구간 밖","OK")))))</f>
        <v/>
      </c>
      <c r="N757" s="45">
        <f>IF(COUNTIFS($C:$C,$C757,$D:$D,"P0(전)",$L:$L,"&gt;0")&lt;&gt;1,"",SUMIFS($H:$H,$C:$C,$C757,$D:$D,"P0(전)"))</f>
        <v/>
      </c>
      <c r="O757" s="30">
        <f>IF(COUNTIFS($C:$C,$C757,$D:$D,"P0(전)",$L:$L,"&gt;0")&lt;&gt;1,"",SUMIFS($L:$L,$C:$C,$C757,$D:$D,"P0(전)"))</f>
        <v/>
      </c>
      <c r="P757" s="45">
        <f>IF(COUNTIFS($C:$C,$C757,$D:$D,"P0(후)",$L:$L,"&gt;0")&lt;&gt;1,"",SUMIFS($H:$H,$C:$C,$C757,$D:$D,"P0(후)"))</f>
        <v/>
      </c>
      <c r="Q757" s="30">
        <f>IF(COUNTIFS($C:$C,$C757,$D:$D,"P0(후)",$L:$L,"&gt;0")&lt;&gt;1,"",SUMIFS($L:$L,$C:$C,$C757,$D:$D,"P0(후)"))</f>
        <v/>
      </c>
      <c r="R757" s="30">
        <f>IF(M757&lt;&gt;"OK","",O757+(Q757-O757)*(H757-N757)/(P757-N757))</f>
        <v/>
      </c>
      <c r="S757" s="30">
        <f>IF(OR(M757&lt;&gt;"OK",NOT(ISNUMBER(L757))),"",L757-R757)</f>
        <v/>
      </c>
      <c r="T757" s="46">
        <f>IF(OR(NOT(ISNUMBER(S757)),IF(ISNUMBER(G757),G757,F757)=0),"",S757/IF(ISNUMBER(G757),G757,F757))</f>
        <v/>
      </c>
      <c r="U757" s="46">
        <f>IF(ISNUMBER(T757),ABS(T757),"")</f>
        <v/>
      </c>
      <c r="V757" s="46">
        <f>IF(OR($D756&lt;&gt;"측정",$C756&lt;&gt;$C757,NOT(ISNUMBER(L757)),NOT(ISNUMBER(L756)),(IF(ISNUMBER(G757),G757,F757)-IF(ISNUMBER(G756),G756,F756))=0),"",(L757-L756)/(IF(ISNUMBER(G757),G757,F757)-IF(ISNUMBER(G756),G756,F756)))</f>
        <v/>
      </c>
      <c r="W757" s="30">
        <f>IF(NOT(AND(ISNUMBER(N757),ISNUMBER(P757))),"",(P757-N757)*1440)</f>
        <v/>
      </c>
      <c r="X757" s="28" t="n"/>
      <c r="Y757" s="28" t="n"/>
      <c r="Z757" s="28" t="n"/>
      <c r="AA757" s="31" t="n"/>
      <c r="AB757" s="31" t="n"/>
    </row>
    <row r="758">
      <c r="A758" s="43" t="inlineStr">
        <is>
          <t>S15</t>
        </is>
      </c>
      <c r="B758" s="43" t="inlineStr">
        <is>
          <t>의성 신규점</t>
        </is>
      </c>
      <c r="C758" s="43" t="inlineStr">
        <is>
          <t>S15-H서</t>
        </is>
      </c>
      <c r="D758" s="43" t="inlineStr">
        <is>
          <t>P0(후)</t>
        </is>
      </c>
      <c r="E758" s="43" t="inlineStr">
        <is>
          <t>서</t>
        </is>
      </c>
      <c r="F758" s="44" t="n"/>
      <c r="G758" s="29" t="n"/>
      <c r="H758" s="42" t="n"/>
      <c r="I758" s="40" t="n"/>
      <c r="J758" s="40" t="n"/>
      <c r="K758" s="40" t="n"/>
      <c r="L758" s="30">
        <f>IF(COUNT(I758:K758)=0,"",MEDIAN(I758:K758))</f>
        <v/>
      </c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28" t="n"/>
      <c r="Y758" s="28" t="n"/>
      <c r="Z758" s="28" t="n"/>
      <c r="AA758" s="31" t="n"/>
      <c r="AB758" s="31" t="n"/>
    </row>
    <row r="759">
      <c r="A759" s="43" t="inlineStr">
        <is>
          <t>S15</t>
        </is>
      </c>
      <c r="B759" s="43" t="inlineStr">
        <is>
          <t>의성 신규점</t>
        </is>
      </c>
      <c r="C759" s="43" t="inlineStr">
        <is>
          <t>S15-H남</t>
        </is>
      </c>
      <c r="D759" s="43" t="inlineStr">
        <is>
          <t>P0(전)</t>
        </is>
      </c>
      <c r="E759" s="43" t="inlineStr">
        <is>
          <t>남</t>
        </is>
      </c>
      <c r="F759" s="44" t="n"/>
      <c r="G759" s="29" t="n"/>
      <c r="H759" s="42" t="n"/>
      <c r="I759" s="40" t="n"/>
      <c r="J759" s="40" t="n"/>
      <c r="K759" s="40" t="n"/>
      <c r="L759" s="30">
        <f>IF(COUNT(I759:K759)=0,"",MEDIAN(I759:K759))</f>
        <v/>
      </c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28" t="n"/>
      <c r="Y759" s="28" t="n"/>
      <c r="Z759" s="28" t="n"/>
      <c r="AA759" s="31" t="n"/>
      <c r="AB759" s="31" t="n"/>
    </row>
    <row r="760">
      <c r="A760" s="25" t="inlineStr">
        <is>
          <t>S15</t>
        </is>
      </c>
      <c r="B760" s="25" t="inlineStr">
        <is>
          <t>의성 신규점</t>
        </is>
      </c>
      <c r="C760" s="25" t="inlineStr">
        <is>
          <t>S15-H남</t>
        </is>
      </c>
      <c r="D760" s="25" t="inlineStr">
        <is>
          <t>측정</t>
        </is>
      </c>
      <c r="E760" s="25" t="inlineStr">
        <is>
          <t>남</t>
        </is>
      </c>
      <c r="F760" s="30" t="n">
        <v>0.5</v>
      </c>
      <c r="G760" s="29" t="n"/>
      <c r="H760" s="42" t="n"/>
      <c r="I760" s="40" t="n"/>
      <c r="J760" s="40" t="n"/>
      <c r="K760" s="40" t="n"/>
      <c r="L760" s="30">
        <f>IF(COUNT(I760:K760)=0,"",MEDIAN(I760:K760))</f>
        <v/>
      </c>
      <c r="M760" s="25">
        <f>IF(COUNTIFS($C:$C,$C760,$D:$D,"P0(전)",$L:$L,"&gt;0")&lt;&gt;1,"P0(전) 유효 1개 아님",IF(COUNTIFS($C:$C,$C760,$D:$D,"P0(후)",$L:$L,"&gt;0")&lt;&gt;1,"P0(후) 유효 1개 아님",IF(NOT(AND(ISNUMBER(N760),ISNUMBER(P760),ISNUMBER(H760))),"시각 결측",IF(P760&lt;=N760,"P0 시각 역전",IF(OR(H760&lt;N760,H760&gt;P760),"측정시각 구간 밖","OK")))))</f>
        <v/>
      </c>
      <c r="N760" s="45">
        <f>IF(COUNTIFS($C:$C,$C760,$D:$D,"P0(전)",$L:$L,"&gt;0")&lt;&gt;1,"",SUMIFS($H:$H,$C:$C,$C760,$D:$D,"P0(전)"))</f>
        <v/>
      </c>
      <c r="O760" s="30">
        <f>IF(COUNTIFS($C:$C,$C760,$D:$D,"P0(전)",$L:$L,"&gt;0")&lt;&gt;1,"",SUMIFS($L:$L,$C:$C,$C760,$D:$D,"P0(전)"))</f>
        <v/>
      </c>
      <c r="P760" s="45">
        <f>IF(COUNTIFS($C:$C,$C760,$D:$D,"P0(후)",$L:$L,"&gt;0")&lt;&gt;1,"",SUMIFS($H:$H,$C:$C,$C760,$D:$D,"P0(후)"))</f>
        <v/>
      </c>
      <c r="Q760" s="30">
        <f>IF(COUNTIFS($C:$C,$C760,$D:$D,"P0(후)",$L:$L,"&gt;0")&lt;&gt;1,"",SUMIFS($L:$L,$C:$C,$C760,$D:$D,"P0(후)"))</f>
        <v/>
      </c>
      <c r="R760" s="30">
        <f>IF(M760&lt;&gt;"OK","",O760+(Q760-O760)*(H760-N760)/(P760-N760))</f>
        <v/>
      </c>
      <c r="S760" s="30">
        <f>IF(OR(M760&lt;&gt;"OK",NOT(ISNUMBER(L760))),"",L760-R760)</f>
        <v/>
      </c>
      <c r="T760" s="46">
        <f>IF(OR(NOT(ISNUMBER(S760)),IF(ISNUMBER(G760),G760,F760)=0),"",S760/IF(ISNUMBER(G760),G760,F760))</f>
        <v/>
      </c>
      <c r="U760" s="46">
        <f>IF(ISNUMBER(T760),ABS(T760),"")</f>
        <v/>
      </c>
      <c r="V760" s="46">
        <f>IF(OR($D759&lt;&gt;"측정",$C759&lt;&gt;$C760,NOT(ISNUMBER(L760)),NOT(ISNUMBER(L759)),(IF(ISNUMBER(G760),G760,F760)-IF(ISNUMBER(G759),G759,F759))=0),"",(L760-L759)/(IF(ISNUMBER(G760),G760,F760)-IF(ISNUMBER(G759),G759,F759)))</f>
        <v/>
      </c>
      <c r="W760" s="30">
        <f>IF(NOT(AND(ISNUMBER(N760),ISNUMBER(P760))),"",(P760-N760)*1440)</f>
        <v/>
      </c>
      <c r="X760" s="28" t="n"/>
      <c r="Y760" s="28" t="n"/>
      <c r="Z760" s="28" t="n"/>
      <c r="AA760" s="31" t="n"/>
      <c r="AB760" s="31" t="n"/>
    </row>
    <row r="761">
      <c r="A761" s="25" t="inlineStr">
        <is>
          <t>S15</t>
        </is>
      </c>
      <c r="B761" s="25" t="inlineStr">
        <is>
          <t>의성 신규점</t>
        </is>
      </c>
      <c r="C761" s="25" t="inlineStr">
        <is>
          <t>S15-H남</t>
        </is>
      </c>
      <c r="D761" s="25" t="inlineStr">
        <is>
          <t>측정</t>
        </is>
      </c>
      <c r="E761" s="25" t="inlineStr">
        <is>
          <t>남</t>
        </is>
      </c>
      <c r="F761" s="30" t="n">
        <v>1</v>
      </c>
      <c r="G761" s="29" t="n"/>
      <c r="H761" s="42" t="n"/>
      <c r="I761" s="40" t="n"/>
      <c r="J761" s="40" t="n"/>
      <c r="K761" s="40" t="n"/>
      <c r="L761" s="30">
        <f>IF(COUNT(I761:K761)=0,"",MEDIAN(I761:K761))</f>
        <v/>
      </c>
      <c r="M761" s="25">
        <f>IF(COUNTIFS($C:$C,$C761,$D:$D,"P0(전)",$L:$L,"&gt;0")&lt;&gt;1,"P0(전) 유효 1개 아님",IF(COUNTIFS($C:$C,$C761,$D:$D,"P0(후)",$L:$L,"&gt;0")&lt;&gt;1,"P0(후) 유효 1개 아님",IF(NOT(AND(ISNUMBER(N761),ISNUMBER(P761),ISNUMBER(H761))),"시각 결측",IF(P761&lt;=N761,"P0 시각 역전",IF(OR(H761&lt;N761,H761&gt;P761),"측정시각 구간 밖","OK")))))</f>
        <v/>
      </c>
      <c r="N761" s="45">
        <f>IF(COUNTIFS($C:$C,$C761,$D:$D,"P0(전)",$L:$L,"&gt;0")&lt;&gt;1,"",SUMIFS($H:$H,$C:$C,$C761,$D:$D,"P0(전)"))</f>
        <v/>
      </c>
      <c r="O761" s="30">
        <f>IF(COUNTIFS($C:$C,$C761,$D:$D,"P0(전)",$L:$L,"&gt;0")&lt;&gt;1,"",SUMIFS($L:$L,$C:$C,$C761,$D:$D,"P0(전)"))</f>
        <v/>
      </c>
      <c r="P761" s="45">
        <f>IF(COUNTIFS($C:$C,$C761,$D:$D,"P0(후)",$L:$L,"&gt;0")&lt;&gt;1,"",SUMIFS($H:$H,$C:$C,$C761,$D:$D,"P0(후)"))</f>
        <v/>
      </c>
      <c r="Q761" s="30">
        <f>IF(COUNTIFS($C:$C,$C761,$D:$D,"P0(후)",$L:$L,"&gt;0")&lt;&gt;1,"",SUMIFS($L:$L,$C:$C,$C761,$D:$D,"P0(후)"))</f>
        <v/>
      </c>
      <c r="R761" s="30">
        <f>IF(M761&lt;&gt;"OK","",O761+(Q761-O761)*(H761-N761)/(P761-N761))</f>
        <v/>
      </c>
      <c r="S761" s="30">
        <f>IF(OR(M761&lt;&gt;"OK",NOT(ISNUMBER(L761))),"",L761-R761)</f>
        <v/>
      </c>
      <c r="T761" s="46">
        <f>IF(OR(NOT(ISNUMBER(S761)),IF(ISNUMBER(G761),G761,F761)=0),"",S761/IF(ISNUMBER(G761),G761,F761))</f>
        <v/>
      </c>
      <c r="U761" s="46">
        <f>IF(ISNUMBER(T761),ABS(T761),"")</f>
        <v/>
      </c>
      <c r="V761" s="46">
        <f>IF(OR($D760&lt;&gt;"측정",$C760&lt;&gt;$C761,NOT(ISNUMBER(L761)),NOT(ISNUMBER(L760)),(IF(ISNUMBER(G761),G761,F761)-IF(ISNUMBER(G760),G760,F760))=0),"",(L761-L760)/(IF(ISNUMBER(G761),G761,F761)-IF(ISNUMBER(G760),G760,F760)))</f>
        <v/>
      </c>
      <c r="W761" s="30">
        <f>IF(NOT(AND(ISNUMBER(N761),ISNUMBER(P761))),"",(P761-N761)*1440)</f>
        <v/>
      </c>
      <c r="X761" s="28" t="n"/>
      <c r="Y761" s="28" t="n"/>
      <c r="Z761" s="28" t="n"/>
      <c r="AA761" s="31" t="n"/>
      <c r="AB761" s="31" t="n"/>
    </row>
    <row r="762">
      <c r="A762" s="25" t="inlineStr">
        <is>
          <t>S15</t>
        </is>
      </c>
      <c r="B762" s="25" t="inlineStr">
        <is>
          <t>의성 신규점</t>
        </is>
      </c>
      <c r="C762" s="25" t="inlineStr">
        <is>
          <t>S15-H남</t>
        </is>
      </c>
      <c r="D762" s="25" t="inlineStr">
        <is>
          <t>측정</t>
        </is>
      </c>
      <c r="E762" s="25" t="inlineStr">
        <is>
          <t>남</t>
        </is>
      </c>
      <c r="F762" s="30" t="n">
        <v>2</v>
      </c>
      <c r="G762" s="29" t="n"/>
      <c r="H762" s="42" t="n"/>
      <c r="I762" s="40" t="n"/>
      <c r="J762" s="40" t="n"/>
      <c r="K762" s="40" t="n"/>
      <c r="L762" s="30">
        <f>IF(COUNT(I762:K762)=0,"",MEDIAN(I762:K762))</f>
        <v/>
      </c>
      <c r="M762" s="25">
        <f>IF(COUNTIFS($C:$C,$C762,$D:$D,"P0(전)",$L:$L,"&gt;0")&lt;&gt;1,"P0(전) 유효 1개 아님",IF(COUNTIFS($C:$C,$C762,$D:$D,"P0(후)",$L:$L,"&gt;0")&lt;&gt;1,"P0(후) 유효 1개 아님",IF(NOT(AND(ISNUMBER(N762),ISNUMBER(P762),ISNUMBER(H762))),"시각 결측",IF(P762&lt;=N762,"P0 시각 역전",IF(OR(H762&lt;N762,H762&gt;P762),"측정시각 구간 밖","OK")))))</f>
        <v/>
      </c>
      <c r="N762" s="45">
        <f>IF(COUNTIFS($C:$C,$C762,$D:$D,"P0(전)",$L:$L,"&gt;0")&lt;&gt;1,"",SUMIFS($H:$H,$C:$C,$C762,$D:$D,"P0(전)"))</f>
        <v/>
      </c>
      <c r="O762" s="30">
        <f>IF(COUNTIFS($C:$C,$C762,$D:$D,"P0(전)",$L:$L,"&gt;0")&lt;&gt;1,"",SUMIFS($L:$L,$C:$C,$C762,$D:$D,"P0(전)"))</f>
        <v/>
      </c>
      <c r="P762" s="45">
        <f>IF(COUNTIFS($C:$C,$C762,$D:$D,"P0(후)",$L:$L,"&gt;0")&lt;&gt;1,"",SUMIFS($H:$H,$C:$C,$C762,$D:$D,"P0(후)"))</f>
        <v/>
      </c>
      <c r="Q762" s="30">
        <f>IF(COUNTIFS($C:$C,$C762,$D:$D,"P0(후)",$L:$L,"&gt;0")&lt;&gt;1,"",SUMIFS($L:$L,$C:$C,$C762,$D:$D,"P0(후)"))</f>
        <v/>
      </c>
      <c r="R762" s="30">
        <f>IF(M762&lt;&gt;"OK","",O762+(Q762-O762)*(H762-N762)/(P762-N762))</f>
        <v/>
      </c>
      <c r="S762" s="30">
        <f>IF(OR(M762&lt;&gt;"OK",NOT(ISNUMBER(L762))),"",L762-R762)</f>
        <v/>
      </c>
      <c r="T762" s="46">
        <f>IF(OR(NOT(ISNUMBER(S762)),IF(ISNUMBER(G762),G762,F762)=0),"",S762/IF(ISNUMBER(G762),G762,F762))</f>
        <v/>
      </c>
      <c r="U762" s="46">
        <f>IF(ISNUMBER(T762),ABS(T762),"")</f>
        <v/>
      </c>
      <c r="V762" s="46">
        <f>IF(OR($D761&lt;&gt;"측정",$C761&lt;&gt;$C762,NOT(ISNUMBER(L762)),NOT(ISNUMBER(L761)),(IF(ISNUMBER(G762),G762,F762)-IF(ISNUMBER(G761),G761,F761))=0),"",(L762-L761)/(IF(ISNUMBER(G762),G762,F762)-IF(ISNUMBER(G761),G761,F761)))</f>
        <v/>
      </c>
      <c r="W762" s="30">
        <f>IF(NOT(AND(ISNUMBER(N762),ISNUMBER(P762))),"",(P762-N762)*1440)</f>
        <v/>
      </c>
      <c r="X762" s="28" t="n"/>
      <c r="Y762" s="28" t="n"/>
      <c r="Z762" s="28" t="n"/>
      <c r="AA762" s="31" t="n"/>
      <c r="AB762" s="31" t="n"/>
    </row>
    <row r="763">
      <c r="A763" s="25" t="inlineStr">
        <is>
          <t>S15</t>
        </is>
      </c>
      <c r="B763" s="25" t="inlineStr">
        <is>
          <t>의성 신규점</t>
        </is>
      </c>
      <c r="C763" s="25" t="inlineStr">
        <is>
          <t>S15-H남</t>
        </is>
      </c>
      <c r="D763" s="25" t="inlineStr">
        <is>
          <t>측정</t>
        </is>
      </c>
      <c r="E763" s="25" t="inlineStr">
        <is>
          <t>남</t>
        </is>
      </c>
      <c r="F763" s="30" t="n">
        <v>3</v>
      </c>
      <c r="G763" s="29" t="n"/>
      <c r="H763" s="42" t="n"/>
      <c r="I763" s="40" t="n"/>
      <c r="J763" s="40" t="n"/>
      <c r="K763" s="40" t="n"/>
      <c r="L763" s="30">
        <f>IF(COUNT(I763:K763)=0,"",MEDIAN(I763:K763))</f>
        <v/>
      </c>
      <c r="M763" s="25">
        <f>IF(COUNTIFS($C:$C,$C763,$D:$D,"P0(전)",$L:$L,"&gt;0")&lt;&gt;1,"P0(전) 유효 1개 아님",IF(COUNTIFS($C:$C,$C763,$D:$D,"P0(후)",$L:$L,"&gt;0")&lt;&gt;1,"P0(후) 유효 1개 아님",IF(NOT(AND(ISNUMBER(N763),ISNUMBER(P763),ISNUMBER(H763))),"시각 결측",IF(P763&lt;=N763,"P0 시각 역전",IF(OR(H763&lt;N763,H763&gt;P763),"측정시각 구간 밖","OK")))))</f>
        <v/>
      </c>
      <c r="N763" s="45">
        <f>IF(COUNTIFS($C:$C,$C763,$D:$D,"P0(전)",$L:$L,"&gt;0")&lt;&gt;1,"",SUMIFS($H:$H,$C:$C,$C763,$D:$D,"P0(전)"))</f>
        <v/>
      </c>
      <c r="O763" s="30">
        <f>IF(COUNTIFS($C:$C,$C763,$D:$D,"P0(전)",$L:$L,"&gt;0")&lt;&gt;1,"",SUMIFS($L:$L,$C:$C,$C763,$D:$D,"P0(전)"))</f>
        <v/>
      </c>
      <c r="P763" s="45">
        <f>IF(COUNTIFS($C:$C,$C763,$D:$D,"P0(후)",$L:$L,"&gt;0")&lt;&gt;1,"",SUMIFS($H:$H,$C:$C,$C763,$D:$D,"P0(후)"))</f>
        <v/>
      </c>
      <c r="Q763" s="30">
        <f>IF(COUNTIFS($C:$C,$C763,$D:$D,"P0(후)",$L:$L,"&gt;0")&lt;&gt;1,"",SUMIFS($L:$L,$C:$C,$C763,$D:$D,"P0(후)"))</f>
        <v/>
      </c>
      <c r="R763" s="30">
        <f>IF(M763&lt;&gt;"OK","",O763+(Q763-O763)*(H763-N763)/(P763-N763))</f>
        <v/>
      </c>
      <c r="S763" s="30">
        <f>IF(OR(M763&lt;&gt;"OK",NOT(ISNUMBER(L763))),"",L763-R763)</f>
        <v/>
      </c>
      <c r="T763" s="46">
        <f>IF(OR(NOT(ISNUMBER(S763)),IF(ISNUMBER(G763),G763,F763)=0),"",S763/IF(ISNUMBER(G763),G763,F763))</f>
        <v/>
      </c>
      <c r="U763" s="46">
        <f>IF(ISNUMBER(T763),ABS(T763),"")</f>
        <v/>
      </c>
      <c r="V763" s="46">
        <f>IF(OR($D762&lt;&gt;"측정",$C762&lt;&gt;$C763,NOT(ISNUMBER(L763)),NOT(ISNUMBER(L762)),(IF(ISNUMBER(G763),G763,F763)-IF(ISNUMBER(G762),G762,F762))=0),"",(L763-L762)/(IF(ISNUMBER(G763),G763,F763)-IF(ISNUMBER(G762),G762,F762)))</f>
        <v/>
      </c>
      <c r="W763" s="30">
        <f>IF(NOT(AND(ISNUMBER(N763),ISNUMBER(P763))),"",(P763-N763)*1440)</f>
        <v/>
      </c>
      <c r="X763" s="28" t="n"/>
      <c r="Y763" s="28" t="n"/>
      <c r="Z763" s="28" t="n"/>
      <c r="AA763" s="31" t="n"/>
      <c r="AB763" s="31" t="n"/>
    </row>
    <row r="764">
      <c r="A764" s="25" t="inlineStr">
        <is>
          <t>S15</t>
        </is>
      </c>
      <c r="B764" s="25" t="inlineStr">
        <is>
          <t>의성 신규점</t>
        </is>
      </c>
      <c r="C764" s="25" t="inlineStr">
        <is>
          <t>S15-H남</t>
        </is>
      </c>
      <c r="D764" s="25" t="inlineStr">
        <is>
          <t>측정</t>
        </is>
      </c>
      <c r="E764" s="25" t="inlineStr">
        <is>
          <t>남</t>
        </is>
      </c>
      <c r="F764" s="30" t="n">
        <v>4</v>
      </c>
      <c r="G764" s="29" t="n"/>
      <c r="H764" s="42" t="n"/>
      <c r="I764" s="40" t="n"/>
      <c r="J764" s="40" t="n"/>
      <c r="K764" s="40" t="n"/>
      <c r="L764" s="30">
        <f>IF(COUNT(I764:K764)=0,"",MEDIAN(I764:K764))</f>
        <v/>
      </c>
      <c r="M764" s="25">
        <f>IF(COUNTIFS($C:$C,$C764,$D:$D,"P0(전)",$L:$L,"&gt;0")&lt;&gt;1,"P0(전) 유효 1개 아님",IF(COUNTIFS($C:$C,$C764,$D:$D,"P0(후)",$L:$L,"&gt;0")&lt;&gt;1,"P0(후) 유효 1개 아님",IF(NOT(AND(ISNUMBER(N764),ISNUMBER(P764),ISNUMBER(H764))),"시각 결측",IF(P764&lt;=N764,"P0 시각 역전",IF(OR(H764&lt;N764,H764&gt;P764),"측정시각 구간 밖","OK")))))</f>
        <v/>
      </c>
      <c r="N764" s="45">
        <f>IF(COUNTIFS($C:$C,$C764,$D:$D,"P0(전)",$L:$L,"&gt;0")&lt;&gt;1,"",SUMIFS($H:$H,$C:$C,$C764,$D:$D,"P0(전)"))</f>
        <v/>
      </c>
      <c r="O764" s="30">
        <f>IF(COUNTIFS($C:$C,$C764,$D:$D,"P0(전)",$L:$L,"&gt;0")&lt;&gt;1,"",SUMIFS($L:$L,$C:$C,$C764,$D:$D,"P0(전)"))</f>
        <v/>
      </c>
      <c r="P764" s="45">
        <f>IF(COUNTIFS($C:$C,$C764,$D:$D,"P0(후)",$L:$L,"&gt;0")&lt;&gt;1,"",SUMIFS($H:$H,$C:$C,$C764,$D:$D,"P0(후)"))</f>
        <v/>
      </c>
      <c r="Q764" s="30">
        <f>IF(COUNTIFS($C:$C,$C764,$D:$D,"P0(후)",$L:$L,"&gt;0")&lt;&gt;1,"",SUMIFS($L:$L,$C:$C,$C764,$D:$D,"P0(후)"))</f>
        <v/>
      </c>
      <c r="R764" s="30">
        <f>IF(M764&lt;&gt;"OK","",O764+(Q764-O764)*(H764-N764)/(P764-N764))</f>
        <v/>
      </c>
      <c r="S764" s="30">
        <f>IF(OR(M764&lt;&gt;"OK",NOT(ISNUMBER(L764))),"",L764-R764)</f>
        <v/>
      </c>
      <c r="T764" s="46">
        <f>IF(OR(NOT(ISNUMBER(S764)),IF(ISNUMBER(G764),G764,F764)=0),"",S764/IF(ISNUMBER(G764),G764,F764))</f>
        <v/>
      </c>
      <c r="U764" s="46">
        <f>IF(ISNUMBER(T764),ABS(T764),"")</f>
        <v/>
      </c>
      <c r="V764" s="46">
        <f>IF(OR($D763&lt;&gt;"측정",$C763&lt;&gt;$C764,NOT(ISNUMBER(L764)),NOT(ISNUMBER(L763)),(IF(ISNUMBER(G764),G764,F764)-IF(ISNUMBER(G763),G763,F763))=0),"",(L764-L763)/(IF(ISNUMBER(G764),G764,F764)-IF(ISNUMBER(G763),G763,F763)))</f>
        <v/>
      </c>
      <c r="W764" s="30">
        <f>IF(NOT(AND(ISNUMBER(N764),ISNUMBER(P764))),"",(P764-N764)*1440)</f>
        <v/>
      </c>
      <c r="X764" s="28" t="n"/>
      <c r="Y764" s="28" t="n"/>
      <c r="Z764" s="28" t="n"/>
      <c r="AA764" s="31" t="n"/>
      <c r="AB764" s="31" t="n"/>
    </row>
    <row r="765">
      <c r="A765" s="25" t="inlineStr">
        <is>
          <t>S15</t>
        </is>
      </c>
      <c r="B765" s="25" t="inlineStr">
        <is>
          <t>의성 신규점</t>
        </is>
      </c>
      <c r="C765" s="25" t="inlineStr">
        <is>
          <t>S15-H남</t>
        </is>
      </c>
      <c r="D765" s="25" t="inlineStr">
        <is>
          <t>측정</t>
        </is>
      </c>
      <c r="E765" s="25" t="inlineStr">
        <is>
          <t>남</t>
        </is>
      </c>
      <c r="F765" s="30" t="n">
        <v>5</v>
      </c>
      <c r="G765" s="29" t="n"/>
      <c r="H765" s="42" t="n"/>
      <c r="I765" s="40" t="n"/>
      <c r="J765" s="40" t="n"/>
      <c r="K765" s="40" t="n"/>
      <c r="L765" s="30">
        <f>IF(COUNT(I765:K765)=0,"",MEDIAN(I765:K765))</f>
        <v/>
      </c>
      <c r="M765" s="25">
        <f>IF(COUNTIFS($C:$C,$C765,$D:$D,"P0(전)",$L:$L,"&gt;0")&lt;&gt;1,"P0(전) 유효 1개 아님",IF(COUNTIFS($C:$C,$C765,$D:$D,"P0(후)",$L:$L,"&gt;0")&lt;&gt;1,"P0(후) 유효 1개 아님",IF(NOT(AND(ISNUMBER(N765),ISNUMBER(P765),ISNUMBER(H765))),"시각 결측",IF(P765&lt;=N765,"P0 시각 역전",IF(OR(H765&lt;N765,H765&gt;P765),"측정시각 구간 밖","OK")))))</f>
        <v/>
      </c>
      <c r="N765" s="45">
        <f>IF(COUNTIFS($C:$C,$C765,$D:$D,"P0(전)",$L:$L,"&gt;0")&lt;&gt;1,"",SUMIFS($H:$H,$C:$C,$C765,$D:$D,"P0(전)"))</f>
        <v/>
      </c>
      <c r="O765" s="30">
        <f>IF(COUNTIFS($C:$C,$C765,$D:$D,"P0(전)",$L:$L,"&gt;0")&lt;&gt;1,"",SUMIFS($L:$L,$C:$C,$C765,$D:$D,"P0(전)"))</f>
        <v/>
      </c>
      <c r="P765" s="45">
        <f>IF(COUNTIFS($C:$C,$C765,$D:$D,"P0(후)",$L:$L,"&gt;0")&lt;&gt;1,"",SUMIFS($H:$H,$C:$C,$C765,$D:$D,"P0(후)"))</f>
        <v/>
      </c>
      <c r="Q765" s="30">
        <f>IF(COUNTIFS($C:$C,$C765,$D:$D,"P0(후)",$L:$L,"&gt;0")&lt;&gt;1,"",SUMIFS($L:$L,$C:$C,$C765,$D:$D,"P0(후)"))</f>
        <v/>
      </c>
      <c r="R765" s="30">
        <f>IF(M765&lt;&gt;"OK","",O765+(Q765-O765)*(H765-N765)/(P765-N765))</f>
        <v/>
      </c>
      <c r="S765" s="30">
        <f>IF(OR(M765&lt;&gt;"OK",NOT(ISNUMBER(L765))),"",L765-R765)</f>
        <v/>
      </c>
      <c r="T765" s="46">
        <f>IF(OR(NOT(ISNUMBER(S765)),IF(ISNUMBER(G765),G765,F765)=0),"",S765/IF(ISNUMBER(G765),G765,F765))</f>
        <v/>
      </c>
      <c r="U765" s="46">
        <f>IF(ISNUMBER(T765),ABS(T765),"")</f>
        <v/>
      </c>
      <c r="V765" s="46">
        <f>IF(OR($D764&lt;&gt;"측정",$C764&lt;&gt;$C765,NOT(ISNUMBER(L765)),NOT(ISNUMBER(L764)),(IF(ISNUMBER(G765),G765,F765)-IF(ISNUMBER(G764),G764,F764))=0),"",(L765-L764)/(IF(ISNUMBER(G765),G765,F765)-IF(ISNUMBER(G764),G764,F764)))</f>
        <v/>
      </c>
      <c r="W765" s="30">
        <f>IF(NOT(AND(ISNUMBER(N765),ISNUMBER(P765))),"",(P765-N765)*1440)</f>
        <v/>
      </c>
      <c r="X765" s="28" t="n"/>
      <c r="Y765" s="28" t="n"/>
      <c r="Z765" s="28" t="n"/>
      <c r="AA765" s="31" t="n"/>
      <c r="AB765" s="31" t="n"/>
    </row>
    <row r="766">
      <c r="A766" s="25" t="inlineStr">
        <is>
          <t>S15</t>
        </is>
      </c>
      <c r="B766" s="25" t="inlineStr">
        <is>
          <t>의성 신규점</t>
        </is>
      </c>
      <c r="C766" s="25" t="inlineStr">
        <is>
          <t>S15-H남</t>
        </is>
      </c>
      <c r="D766" s="25" t="inlineStr">
        <is>
          <t>측정</t>
        </is>
      </c>
      <c r="E766" s="25" t="inlineStr">
        <is>
          <t>남</t>
        </is>
      </c>
      <c r="F766" s="30" t="n">
        <v>6</v>
      </c>
      <c r="G766" s="29" t="n"/>
      <c r="H766" s="42" t="n"/>
      <c r="I766" s="40" t="n"/>
      <c r="J766" s="40" t="n"/>
      <c r="K766" s="40" t="n"/>
      <c r="L766" s="30">
        <f>IF(COUNT(I766:K766)=0,"",MEDIAN(I766:K766))</f>
        <v/>
      </c>
      <c r="M766" s="25">
        <f>IF(COUNTIFS($C:$C,$C766,$D:$D,"P0(전)",$L:$L,"&gt;0")&lt;&gt;1,"P0(전) 유효 1개 아님",IF(COUNTIFS($C:$C,$C766,$D:$D,"P0(후)",$L:$L,"&gt;0")&lt;&gt;1,"P0(후) 유효 1개 아님",IF(NOT(AND(ISNUMBER(N766),ISNUMBER(P766),ISNUMBER(H766))),"시각 결측",IF(P766&lt;=N766,"P0 시각 역전",IF(OR(H766&lt;N766,H766&gt;P766),"측정시각 구간 밖","OK")))))</f>
        <v/>
      </c>
      <c r="N766" s="45">
        <f>IF(COUNTIFS($C:$C,$C766,$D:$D,"P0(전)",$L:$L,"&gt;0")&lt;&gt;1,"",SUMIFS($H:$H,$C:$C,$C766,$D:$D,"P0(전)"))</f>
        <v/>
      </c>
      <c r="O766" s="30">
        <f>IF(COUNTIFS($C:$C,$C766,$D:$D,"P0(전)",$L:$L,"&gt;0")&lt;&gt;1,"",SUMIFS($L:$L,$C:$C,$C766,$D:$D,"P0(전)"))</f>
        <v/>
      </c>
      <c r="P766" s="45">
        <f>IF(COUNTIFS($C:$C,$C766,$D:$D,"P0(후)",$L:$L,"&gt;0")&lt;&gt;1,"",SUMIFS($H:$H,$C:$C,$C766,$D:$D,"P0(후)"))</f>
        <v/>
      </c>
      <c r="Q766" s="30">
        <f>IF(COUNTIFS($C:$C,$C766,$D:$D,"P0(후)",$L:$L,"&gt;0")&lt;&gt;1,"",SUMIFS($L:$L,$C:$C,$C766,$D:$D,"P0(후)"))</f>
        <v/>
      </c>
      <c r="R766" s="30">
        <f>IF(M766&lt;&gt;"OK","",O766+(Q766-O766)*(H766-N766)/(P766-N766))</f>
        <v/>
      </c>
      <c r="S766" s="30">
        <f>IF(OR(M766&lt;&gt;"OK",NOT(ISNUMBER(L766))),"",L766-R766)</f>
        <v/>
      </c>
      <c r="T766" s="46">
        <f>IF(OR(NOT(ISNUMBER(S766)),IF(ISNUMBER(G766),G766,F766)=0),"",S766/IF(ISNUMBER(G766),G766,F766))</f>
        <v/>
      </c>
      <c r="U766" s="46">
        <f>IF(ISNUMBER(T766),ABS(T766),"")</f>
        <v/>
      </c>
      <c r="V766" s="46">
        <f>IF(OR($D765&lt;&gt;"측정",$C765&lt;&gt;$C766,NOT(ISNUMBER(L766)),NOT(ISNUMBER(L765)),(IF(ISNUMBER(G766),G766,F766)-IF(ISNUMBER(G765),G765,F765))=0),"",(L766-L765)/(IF(ISNUMBER(G766),G766,F766)-IF(ISNUMBER(G765),G765,F765)))</f>
        <v/>
      </c>
      <c r="W766" s="30">
        <f>IF(NOT(AND(ISNUMBER(N766),ISNUMBER(P766))),"",(P766-N766)*1440)</f>
        <v/>
      </c>
      <c r="X766" s="28" t="n"/>
      <c r="Y766" s="28" t="n"/>
      <c r="Z766" s="28" t="n"/>
      <c r="AA766" s="31" t="n"/>
      <c r="AB766" s="31" t="n"/>
    </row>
    <row r="767">
      <c r="A767" s="25" t="inlineStr">
        <is>
          <t>S15</t>
        </is>
      </c>
      <c r="B767" s="25" t="inlineStr">
        <is>
          <t>의성 신규점</t>
        </is>
      </c>
      <c r="C767" s="25" t="inlineStr">
        <is>
          <t>S15-H남</t>
        </is>
      </c>
      <c r="D767" s="25" t="inlineStr">
        <is>
          <t>측정</t>
        </is>
      </c>
      <c r="E767" s="25" t="inlineStr">
        <is>
          <t>남</t>
        </is>
      </c>
      <c r="F767" s="30" t="n">
        <v>7</v>
      </c>
      <c r="G767" s="29" t="n"/>
      <c r="H767" s="42" t="n"/>
      <c r="I767" s="40" t="n"/>
      <c r="J767" s="40" t="n"/>
      <c r="K767" s="40" t="n"/>
      <c r="L767" s="30">
        <f>IF(COUNT(I767:K767)=0,"",MEDIAN(I767:K767))</f>
        <v/>
      </c>
      <c r="M767" s="25">
        <f>IF(COUNTIFS($C:$C,$C767,$D:$D,"P0(전)",$L:$L,"&gt;0")&lt;&gt;1,"P0(전) 유효 1개 아님",IF(COUNTIFS($C:$C,$C767,$D:$D,"P0(후)",$L:$L,"&gt;0")&lt;&gt;1,"P0(후) 유효 1개 아님",IF(NOT(AND(ISNUMBER(N767),ISNUMBER(P767),ISNUMBER(H767))),"시각 결측",IF(P767&lt;=N767,"P0 시각 역전",IF(OR(H767&lt;N767,H767&gt;P767),"측정시각 구간 밖","OK")))))</f>
        <v/>
      </c>
      <c r="N767" s="45">
        <f>IF(COUNTIFS($C:$C,$C767,$D:$D,"P0(전)",$L:$L,"&gt;0")&lt;&gt;1,"",SUMIFS($H:$H,$C:$C,$C767,$D:$D,"P0(전)"))</f>
        <v/>
      </c>
      <c r="O767" s="30">
        <f>IF(COUNTIFS($C:$C,$C767,$D:$D,"P0(전)",$L:$L,"&gt;0")&lt;&gt;1,"",SUMIFS($L:$L,$C:$C,$C767,$D:$D,"P0(전)"))</f>
        <v/>
      </c>
      <c r="P767" s="45">
        <f>IF(COUNTIFS($C:$C,$C767,$D:$D,"P0(후)",$L:$L,"&gt;0")&lt;&gt;1,"",SUMIFS($H:$H,$C:$C,$C767,$D:$D,"P0(후)"))</f>
        <v/>
      </c>
      <c r="Q767" s="30">
        <f>IF(COUNTIFS($C:$C,$C767,$D:$D,"P0(후)",$L:$L,"&gt;0")&lt;&gt;1,"",SUMIFS($L:$L,$C:$C,$C767,$D:$D,"P0(후)"))</f>
        <v/>
      </c>
      <c r="R767" s="30">
        <f>IF(M767&lt;&gt;"OK","",O767+(Q767-O767)*(H767-N767)/(P767-N767))</f>
        <v/>
      </c>
      <c r="S767" s="30">
        <f>IF(OR(M767&lt;&gt;"OK",NOT(ISNUMBER(L767))),"",L767-R767)</f>
        <v/>
      </c>
      <c r="T767" s="46">
        <f>IF(OR(NOT(ISNUMBER(S767)),IF(ISNUMBER(G767),G767,F767)=0),"",S767/IF(ISNUMBER(G767),G767,F767))</f>
        <v/>
      </c>
      <c r="U767" s="46">
        <f>IF(ISNUMBER(T767),ABS(T767),"")</f>
        <v/>
      </c>
      <c r="V767" s="46">
        <f>IF(OR($D766&lt;&gt;"측정",$C766&lt;&gt;$C767,NOT(ISNUMBER(L767)),NOT(ISNUMBER(L766)),(IF(ISNUMBER(G767),G767,F767)-IF(ISNUMBER(G766),G766,F766))=0),"",(L767-L766)/(IF(ISNUMBER(G767),G767,F767)-IF(ISNUMBER(G766),G766,F766)))</f>
        <v/>
      </c>
      <c r="W767" s="30">
        <f>IF(NOT(AND(ISNUMBER(N767),ISNUMBER(P767))),"",(P767-N767)*1440)</f>
        <v/>
      </c>
      <c r="X767" s="28" t="n"/>
      <c r="Y767" s="28" t="n"/>
      <c r="Z767" s="28" t="n"/>
      <c r="AA767" s="31" t="n"/>
      <c r="AB767" s="31" t="n"/>
    </row>
    <row r="768">
      <c r="A768" s="25" t="inlineStr">
        <is>
          <t>S15</t>
        </is>
      </c>
      <c r="B768" s="25" t="inlineStr">
        <is>
          <t>의성 신규점</t>
        </is>
      </c>
      <c r="C768" s="25" t="inlineStr">
        <is>
          <t>S15-H남</t>
        </is>
      </c>
      <c r="D768" s="25" t="inlineStr">
        <is>
          <t>측정</t>
        </is>
      </c>
      <c r="E768" s="25" t="inlineStr">
        <is>
          <t>남</t>
        </is>
      </c>
      <c r="F768" s="30" t="n">
        <v>8</v>
      </c>
      <c r="G768" s="29" t="n"/>
      <c r="H768" s="42" t="n"/>
      <c r="I768" s="40" t="n"/>
      <c r="J768" s="40" t="n"/>
      <c r="K768" s="40" t="n"/>
      <c r="L768" s="30">
        <f>IF(COUNT(I768:K768)=0,"",MEDIAN(I768:K768))</f>
        <v/>
      </c>
      <c r="M768" s="25">
        <f>IF(COUNTIFS($C:$C,$C768,$D:$D,"P0(전)",$L:$L,"&gt;0")&lt;&gt;1,"P0(전) 유효 1개 아님",IF(COUNTIFS($C:$C,$C768,$D:$D,"P0(후)",$L:$L,"&gt;0")&lt;&gt;1,"P0(후) 유효 1개 아님",IF(NOT(AND(ISNUMBER(N768),ISNUMBER(P768),ISNUMBER(H768))),"시각 결측",IF(P768&lt;=N768,"P0 시각 역전",IF(OR(H768&lt;N768,H768&gt;P768),"측정시각 구간 밖","OK")))))</f>
        <v/>
      </c>
      <c r="N768" s="45">
        <f>IF(COUNTIFS($C:$C,$C768,$D:$D,"P0(전)",$L:$L,"&gt;0")&lt;&gt;1,"",SUMIFS($H:$H,$C:$C,$C768,$D:$D,"P0(전)"))</f>
        <v/>
      </c>
      <c r="O768" s="30">
        <f>IF(COUNTIFS($C:$C,$C768,$D:$D,"P0(전)",$L:$L,"&gt;0")&lt;&gt;1,"",SUMIFS($L:$L,$C:$C,$C768,$D:$D,"P0(전)"))</f>
        <v/>
      </c>
      <c r="P768" s="45">
        <f>IF(COUNTIFS($C:$C,$C768,$D:$D,"P0(후)",$L:$L,"&gt;0")&lt;&gt;1,"",SUMIFS($H:$H,$C:$C,$C768,$D:$D,"P0(후)"))</f>
        <v/>
      </c>
      <c r="Q768" s="30">
        <f>IF(COUNTIFS($C:$C,$C768,$D:$D,"P0(후)",$L:$L,"&gt;0")&lt;&gt;1,"",SUMIFS($L:$L,$C:$C,$C768,$D:$D,"P0(후)"))</f>
        <v/>
      </c>
      <c r="R768" s="30">
        <f>IF(M768&lt;&gt;"OK","",O768+(Q768-O768)*(H768-N768)/(P768-N768))</f>
        <v/>
      </c>
      <c r="S768" s="30">
        <f>IF(OR(M768&lt;&gt;"OK",NOT(ISNUMBER(L768))),"",L768-R768)</f>
        <v/>
      </c>
      <c r="T768" s="46">
        <f>IF(OR(NOT(ISNUMBER(S768)),IF(ISNUMBER(G768),G768,F768)=0),"",S768/IF(ISNUMBER(G768),G768,F768))</f>
        <v/>
      </c>
      <c r="U768" s="46">
        <f>IF(ISNUMBER(T768),ABS(T768),"")</f>
        <v/>
      </c>
      <c r="V768" s="46">
        <f>IF(OR($D767&lt;&gt;"측정",$C767&lt;&gt;$C768,NOT(ISNUMBER(L768)),NOT(ISNUMBER(L767)),(IF(ISNUMBER(G768),G768,F768)-IF(ISNUMBER(G767),G767,F767))=0),"",(L768-L767)/(IF(ISNUMBER(G768),G768,F768)-IF(ISNUMBER(G767),G767,F767)))</f>
        <v/>
      </c>
      <c r="W768" s="30">
        <f>IF(NOT(AND(ISNUMBER(N768),ISNUMBER(P768))),"",(P768-N768)*1440)</f>
        <v/>
      </c>
      <c r="X768" s="28" t="n"/>
      <c r="Y768" s="28" t="n"/>
      <c r="Z768" s="28" t="n"/>
      <c r="AA768" s="31" t="n"/>
      <c r="AB768" s="31" t="n"/>
    </row>
    <row r="769">
      <c r="A769" s="25" t="inlineStr">
        <is>
          <t>S15</t>
        </is>
      </c>
      <c r="B769" s="25" t="inlineStr">
        <is>
          <t>의성 신규점</t>
        </is>
      </c>
      <c r="C769" s="25" t="inlineStr">
        <is>
          <t>S15-H남</t>
        </is>
      </c>
      <c r="D769" s="25" t="inlineStr">
        <is>
          <t>측정</t>
        </is>
      </c>
      <c r="E769" s="25" t="inlineStr">
        <is>
          <t>남</t>
        </is>
      </c>
      <c r="F769" s="30" t="n">
        <v>9</v>
      </c>
      <c r="G769" s="29" t="n"/>
      <c r="H769" s="42" t="n"/>
      <c r="I769" s="40" t="n"/>
      <c r="J769" s="40" t="n"/>
      <c r="K769" s="40" t="n"/>
      <c r="L769" s="30">
        <f>IF(COUNT(I769:K769)=0,"",MEDIAN(I769:K769))</f>
        <v/>
      </c>
      <c r="M769" s="25">
        <f>IF(COUNTIFS($C:$C,$C769,$D:$D,"P0(전)",$L:$L,"&gt;0")&lt;&gt;1,"P0(전) 유효 1개 아님",IF(COUNTIFS($C:$C,$C769,$D:$D,"P0(후)",$L:$L,"&gt;0")&lt;&gt;1,"P0(후) 유효 1개 아님",IF(NOT(AND(ISNUMBER(N769),ISNUMBER(P769),ISNUMBER(H769))),"시각 결측",IF(P769&lt;=N769,"P0 시각 역전",IF(OR(H769&lt;N769,H769&gt;P769),"측정시각 구간 밖","OK")))))</f>
        <v/>
      </c>
      <c r="N769" s="45">
        <f>IF(COUNTIFS($C:$C,$C769,$D:$D,"P0(전)",$L:$L,"&gt;0")&lt;&gt;1,"",SUMIFS($H:$H,$C:$C,$C769,$D:$D,"P0(전)"))</f>
        <v/>
      </c>
      <c r="O769" s="30">
        <f>IF(COUNTIFS($C:$C,$C769,$D:$D,"P0(전)",$L:$L,"&gt;0")&lt;&gt;1,"",SUMIFS($L:$L,$C:$C,$C769,$D:$D,"P0(전)"))</f>
        <v/>
      </c>
      <c r="P769" s="45">
        <f>IF(COUNTIFS($C:$C,$C769,$D:$D,"P0(후)",$L:$L,"&gt;0")&lt;&gt;1,"",SUMIFS($H:$H,$C:$C,$C769,$D:$D,"P0(후)"))</f>
        <v/>
      </c>
      <c r="Q769" s="30">
        <f>IF(COUNTIFS($C:$C,$C769,$D:$D,"P0(후)",$L:$L,"&gt;0")&lt;&gt;1,"",SUMIFS($L:$L,$C:$C,$C769,$D:$D,"P0(후)"))</f>
        <v/>
      </c>
      <c r="R769" s="30">
        <f>IF(M769&lt;&gt;"OK","",O769+(Q769-O769)*(H769-N769)/(P769-N769))</f>
        <v/>
      </c>
      <c r="S769" s="30">
        <f>IF(OR(M769&lt;&gt;"OK",NOT(ISNUMBER(L769))),"",L769-R769)</f>
        <v/>
      </c>
      <c r="T769" s="46">
        <f>IF(OR(NOT(ISNUMBER(S769)),IF(ISNUMBER(G769),G769,F769)=0),"",S769/IF(ISNUMBER(G769),G769,F769))</f>
        <v/>
      </c>
      <c r="U769" s="46">
        <f>IF(ISNUMBER(T769),ABS(T769),"")</f>
        <v/>
      </c>
      <c r="V769" s="46">
        <f>IF(OR($D768&lt;&gt;"측정",$C768&lt;&gt;$C769,NOT(ISNUMBER(L769)),NOT(ISNUMBER(L768)),(IF(ISNUMBER(G769),G769,F769)-IF(ISNUMBER(G768),G768,F768))=0),"",(L769-L768)/(IF(ISNUMBER(G769),G769,F769)-IF(ISNUMBER(G768),G768,F768)))</f>
        <v/>
      </c>
      <c r="W769" s="30">
        <f>IF(NOT(AND(ISNUMBER(N769),ISNUMBER(P769))),"",(P769-N769)*1440)</f>
        <v/>
      </c>
      <c r="X769" s="28" t="n"/>
      <c r="Y769" s="28" t="n"/>
      <c r="Z769" s="28" t="n"/>
      <c r="AA769" s="31" t="n"/>
      <c r="AB769" s="31" t="n"/>
    </row>
    <row r="770">
      <c r="A770" s="25" t="inlineStr">
        <is>
          <t>S15</t>
        </is>
      </c>
      <c r="B770" s="25" t="inlineStr">
        <is>
          <t>의성 신규점</t>
        </is>
      </c>
      <c r="C770" s="25" t="inlineStr">
        <is>
          <t>S15-H남</t>
        </is>
      </c>
      <c r="D770" s="25" t="inlineStr">
        <is>
          <t>측정</t>
        </is>
      </c>
      <c r="E770" s="25" t="inlineStr">
        <is>
          <t>남</t>
        </is>
      </c>
      <c r="F770" s="30" t="n">
        <v>10</v>
      </c>
      <c r="G770" s="29" t="n"/>
      <c r="H770" s="42" t="n"/>
      <c r="I770" s="40" t="n"/>
      <c r="J770" s="40" t="n"/>
      <c r="K770" s="40" t="n"/>
      <c r="L770" s="30">
        <f>IF(COUNT(I770:K770)=0,"",MEDIAN(I770:K770))</f>
        <v/>
      </c>
      <c r="M770" s="25">
        <f>IF(COUNTIFS($C:$C,$C770,$D:$D,"P0(전)",$L:$L,"&gt;0")&lt;&gt;1,"P0(전) 유효 1개 아님",IF(COUNTIFS($C:$C,$C770,$D:$D,"P0(후)",$L:$L,"&gt;0")&lt;&gt;1,"P0(후) 유효 1개 아님",IF(NOT(AND(ISNUMBER(N770),ISNUMBER(P770),ISNUMBER(H770))),"시각 결측",IF(P770&lt;=N770,"P0 시각 역전",IF(OR(H770&lt;N770,H770&gt;P770),"측정시각 구간 밖","OK")))))</f>
        <v/>
      </c>
      <c r="N770" s="45">
        <f>IF(COUNTIFS($C:$C,$C770,$D:$D,"P0(전)",$L:$L,"&gt;0")&lt;&gt;1,"",SUMIFS($H:$H,$C:$C,$C770,$D:$D,"P0(전)"))</f>
        <v/>
      </c>
      <c r="O770" s="30">
        <f>IF(COUNTIFS($C:$C,$C770,$D:$D,"P0(전)",$L:$L,"&gt;0")&lt;&gt;1,"",SUMIFS($L:$L,$C:$C,$C770,$D:$D,"P0(전)"))</f>
        <v/>
      </c>
      <c r="P770" s="45">
        <f>IF(COUNTIFS($C:$C,$C770,$D:$D,"P0(후)",$L:$L,"&gt;0")&lt;&gt;1,"",SUMIFS($H:$H,$C:$C,$C770,$D:$D,"P0(후)"))</f>
        <v/>
      </c>
      <c r="Q770" s="30">
        <f>IF(COUNTIFS($C:$C,$C770,$D:$D,"P0(후)",$L:$L,"&gt;0")&lt;&gt;1,"",SUMIFS($L:$L,$C:$C,$C770,$D:$D,"P0(후)"))</f>
        <v/>
      </c>
      <c r="R770" s="30">
        <f>IF(M770&lt;&gt;"OK","",O770+(Q770-O770)*(H770-N770)/(P770-N770))</f>
        <v/>
      </c>
      <c r="S770" s="30">
        <f>IF(OR(M770&lt;&gt;"OK",NOT(ISNUMBER(L770))),"",L770-R770)</f>
        <v/>
      </c>
      <c r="T770" s="46">
        <f>IF(OR(NOT(ISNUMBER(S770)),IF(ISNUMBER(G770),G770,F770)=0),"",S770/IF(ISNUMBER(G770),G770,F770))</f>
        <v/>
      </c>
      <c r="U770" s="46">
        <f>IF(ISNUMBER(T770),ABS(T770),"")</f>
        <v/>
      </c>
      <c r="V770" s="46">
        <f>IF(OR($D769&lt;&gt;"측정",$C769&lt;&gt;$C770,NOT(ISNUMBER(L770)),NOT(ISNUMBER(L769)),(IF(ISNUMBER(G770),G770,F770)-IF(ISNUMBER(G769),G769,F769))=0),"",(L770-L769)/(IF(ISNUMBER(G770),G770,F770)-IF(ISNUMBER(G769),G769,F769)))</f>
        <v/>
      </c>
      <c r="W770" s="30">
        <f>IF(NOT(AND(ISNUMBER(N770),ISNUMBER(P770))),"",(P770-N770)*1440)</f>
        <v/>
      </c>
      <c r="X770" s="28" t="n"/>
      <c r="Y770" s="28" t="n"/>
      <c r="Z770" s="28" t="n"/>
      <c r="AA770" s="31" t="n"/>
      <c r="AB770" s="31" t="n"/>
    </row>
    <row r="771">
      <c r="A771" s="43" t="inlineStr">
        <is>
          <t>S15</t>
        </is>
      </c>
      <c r="B771" s="43" t="inlineStr">
        <is>
          <t>의성 신규점</t>
        </is>
      </c>
      <c r="C771" s="43" t="inlineStr">
        <is>
          <t>S15-H남</t>
        </is>
      </c>
      <c r="D771" s="43" t="inlineStr">
        <is>
          <t>P0(후)</t>
        </is>
      </c>
      <c r="E771" s="43" t="inlineStr">
        <is>
          <t>남</t>
        </is>
      </c>
      <c r="F771" s="44" t="n"/>
      <c r="G771" s="29" t="n"/>
      <c r="H771" s="42" t="n"/>
      <c r="I771" s="40" t="n"/>
      <c r="J771" s="40" t="n"/>
      <c r="K771" s="40" t="n"/>
      <c r="L771" s="30">
        <f>IF(COUNT(I771:K771)=0,"",MEDIAN(I771:K771))</f>
        <v/>
      </c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28" t="n"/>
      <c r="Y771" s="28" t="n"/>
      <c r="Z771" s="28" t="n"/>
      <c r="AA771" s="31" t="n"/>
      <c r="AB771" s="31" t="n"/>
    </row>
    <row r="772">
      <c r="A772" s="43" t="inlineStr">
        <is>
          <t>S15</t>
        </is>
      </c>
      <c r="B772" s="43" t="inlineStr">
        <is>
          <t>의성 신규점</t>
        </is>
      </c>
      <c r="C772" s="43" t="inlineStr">
        <is>
          <t>S15-H북</t>
        </is>
      </c>
      <c r="D772" s="43" t="inlineStr">
        <is>
          <t>P0(전)</t>
        </is>
      </c>
      <c r="E772" s="43" t="inlineStr">
        <is>
          <t>북</t>
        </is>
      </c>
      <c r="F772" s="44" t="n"/>
      <c r="G772" s="29" t="n"/>
      <c r="H772" s="42" t="n"/>
      <c r="I772" s="40" t="n"/>
      <c r="J772" s="40" t="n"/>
      <c r="K772" s="40" t="n"/>
      <c r="L772" s="30">
        <f>IF(COUNT(I772:K772)=0,"",MEDIAN(I772:K772))</f>
        <v/>
      </c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28" t="n"/>
      <c r="Y772" s="28" t="n"/>
      <c r="Z772" s="28" t="n"/>
      <c r="AA772" s="31" t="n"/>
      <c r="AB772" s="31" t="n"/>
    </row>
    <row r="773">
      <c r="A773" s="25" t="inlineStr">
        <is>
          <t>S15</t>
        </is>
      </c>
      <c r="B773" s="25" t="inlineStr">
        <is>
          <t>의성 신규점</t>
        </is>
      </c>
      <c r="C773" s="25" t="inlineStr">
        <is>
          <t>S15-H북</t>
        </is>
      </c>
      <c r="D773" s="25" t="inlineStr">
        <is>
          <t>측정</t>
        </is>
      </c>
      <c r="E773" s="25" t="inlineStr">
        <is>
          <t>북</t>
        </is>
      </c>
      <c r="F773" s="30" t="n">
        <v>0.5</v>
      </c>
      <c r="G773" s="29" t="n"/>
      <c r="H773" s="42" t="n"/>
      <c r="I773" s="40" t="n"/>
      <c r="J773" s="40" t="n"/>
      <c r="K773" s="40" t="n"/>
      <c r="L773" s="30">
        <f>IF(COUNT(I773:K773)=0,"",MEDIAN(I773:K773))</f>
        <v/>
      </c>
      <c r="M773" s="25">
        <f>IF(COUNTIFS($C:$C,$C773,$D:$D,"P0(전)",$L:$L,"&gt;0")&lt;&gt;1,"P0(전) 유효 1개 아님",IF(COUNTIFS($C:$C,$C773,$D:$D,"P0(후)",$L:$L,"&gt;0")&lt;&gt;1,"P0(후) 유효 1개 아님",IF(NOT(AND(ISNUMBER(N773),ISNUMBER(P773),ISNUMBER(H773))),"시각 결측",IF(P773&lt;=N773,"P0 시각 역전",IF(OR(H773&lt;N773,H773&gt;P773),"측정시각 구간 밖","OK")))))</f>
        <v/>
      </c>
      <c r="N773" s="45">
        <f>IF(COUNTIFS($C:$C,$C773,$D:$D,"P0(전)",$L:$L,"&gt;0")&lt;&gt;1,"",SUMIFS($H:$H,$C:$C,$C773,$D:$D,"P0(전)"))</f>
        <v/>
      </c>
      <c r="O773" s="30">
        <f>IF(COUNTIFS($C:$C,$C773,$D:$D,"P0(전)",$L:$L,"&gt;0")&lt;&gt;1,"",SUMIFS($L:$L,$C:$C,$C773,$D:$D,"P0(전)"))</f>
        <v/>
      </c>
      <c r="P773" s="45">
        <f>IF(COUNTIFS($C:$C,$C773,$D:$D,"P0(후)",$L:$L,"&gt;0")&lt;&gt;1,"",SUMIFS($H:$H,$C:$C,$C773,$D:$D,"P0(후)"))</f>
        <v/>
      </c>
      <c r="Q773" s="30">
        <f>IF(COUNTIFS($C:$C,$C773,$D:$D,"P0(후)",$L:$L,"&gt;0")&lt;&gt;1,"",SUMIFS($L:$L,$C:$C,$C773,$D:$D,"P0(후)"))</f>
        <v/>
      </c>
      <c r="R773" s="30">
        <f>IF(M773&lt;&gt;"OK","",O773+(Q773-O773)*(H773-N773)/(P773-N773))</f>
        <v/>
      </c>
      <c r="S773" s="30">
        <f>IF(OR(M773&lt;&gt;"OK",NOT(ISNUMBER(L773))),"",L773-R773)</f>
        <v/>
      </c>
      <c r="T773" s="46">
        <f>IF(OR(NOT(ISNUMBER(S773)),IF(ISNUMBER(G773),G773,F773)=0),"",S773/IF(ISNUMBER(G773),G773,F773))</f>
        <v/>
      </c>
      <c r="U773" s="46">
        <f>IF(ISNUMBER(T773),ABS(T773),"")</f>
        <v/>
      </c>
      <c r="V773" s="46">
        <f>IF(OR($D772&lt;&gt;"측정",$C772&lt;&gt;$C773,NOT(ISNUMBER(L773)),NOT(ISNUMBER(L772)),(IF(ISNUMBER(G773),G773,F773)-IF(ISNUMBER(G772),G772,F772))=0),"",(L773-L772)/(IF(ISNUMBER(G773),G773,F773)-IF(ISNUMBER(G772),G772,F772)))</f>
        <v/>
      </c>
      <c r="W773" s="30">
        <f>IF(NOT(AND(ISNUMBER(N773),ISNUMBER(P773))),"",(P773-N773)*1440)</f>
        <v/>
      </c>
      <c r="X773" s="28" t="n"/>
      <c r="Y773" s="28" t="n"/>
      <c r="Z773" s="28" t="n"/>
      <c r="AA773" s="31" t="n"/>
      <c r="AB773" s="31" t="n"/>
    </row>
    <row r="774">
      <c r="A774" s="25" t="inlineStr">
        <is>
          <t>S15</t>
        </is>
      </c>
      <c r="B774" s="25" t="inlineStr">
        <is>
          <t>의성 신규점</t>
        </is>
      </c>
      <c r="C774" s="25" t="inlineStr">
        <is>
          <t>S15-H북</t>
        </is>
      </c>
      <c r="D774" s="25" t="inlineStr">
        <is>
          <t>측정</t>
        </is>
      </c>
      <c r="E774" s="25" t="inlineStr">
        <is>
          <t>북</t>
        </is>
      </c>
      <c r="F774" s="30" t="n">
        <v>1</v>
      </c>
      <c r="G774" s="29" t="n"/>
      <c r="H774" s="42" t="n"/>
      <c r="I774" s="40" t="n"/>
      <c r="J774" s="40" t="n"/>
      <c r="K774" s="40" t="n"/>
      <c r="L774" s="30">
        <f>IF(COUNT(I774:K774)=0,"",MEDIAN(I774:K774))</f>
        <v/>
      </c>
      <c r="M774" s="25">
        <f>IF(COUNTIFS($C:$C,$C774,$D:$D,"P0(전)",$L:$L,"&gt;0")&lt;&gt;1,"P0(전) 유효 1개 아님",IF(COUNTIFS($C:$C,$C774,$D:$D,"P0(후)",$L:$L,"&gt;0")&lt;&gt;1,"P0(후) 유효 1개 아님",IF(NOT(AND(ISNUMBER(N774),ISNUMBER(P774),ISNUMBER(H774))),"시각 결측",IF(P774&lt;=N774,"P0 시각 역전",IF(OR(H774&lt;N774,H774&gt;P774),"측정시각 구간 밖","OK")))))</f>
        <v/>
      </c>
      <c r="N774" s="45">
        <f>IF(COUNTIFS($C:$C,$C774,$D:$D,"P0(전)",$L:$L,"&gt;0")&lt;&gt;1,"",SUMIFS($H:$H,$C:$C,$C774,$D:$D,"P0(전)"))</f>
        <v/>
      </c>
      <c r="O774" s="30">
        <f>IF(COUNTIFS($C:$C,$C774,$D:$D,"P0(전)",$L:$L,"&gt;0")&lt;&gt;1,"",SUMIFS($L:$L,$C:$C,$C774,$D:$D,"P0(전)"))</f>
        <v/>
      </c>
      <c r="P774" s="45">
        <f>IF(COUNTIFS($C:$C,$C774,$D:$D,"P0(후)",$L:$L,"&gt;0")&lt;&gt;1,"",SUMIFS($H:$H,$C:$C,$C774,$D:$D,"P0(후)"))</f>
        <v/>
      </c>
      <c r="Q774" s="30">
        <f>IF(COUNTIFS($C:$C,$C774,$D:$D,"P0(후)",$L:$L,"&gt;0")&lt;&gt;1,"",SUMIFS($L:$L,$C:$C,$C774,$D:$D,"P0(후)"))</f>
        <v/>
      </c>
      <c r="R774" s="30">
        <f>IF(M774&lt;&gt;"OK","",O774+(Q774-O774)*(H774-N774)/(P774-N774))</f>
        <v/>
      </c>
      <c r="S774" s="30">
        <f>IF(OR(M774&lt;&gt;"OK",NOT(ISNUMBER(L774))),"",L774-R774)</f>
        <v/>
      </c>
      <c r="T774" s="46">
        <f>IF(OR(NOT(ISNUMBER(S774)),IF(ISNUMBER(G774),G774,F774)=0),"",S774/IF(ISNUMBER(G774),G774,F774))</f>
        <v/>
      </c>
      <c r="U774" s="46">
        <f>IF(ISNUMBER(T774),ABS(T774),"")</f>
        <v/>
      </c>
      <c r="V774" s="46">
        <f>IF(OR($D773&lt;&gt;"측정",$C773&lt;&gt;$C774,NOT(ISNUMBER(L774)),NOT(ISNUMBER(L773)),(IF(ISNUMBER(G774),G774,F774)-IF(ISNUMBER(G773),G773,F773))=0),"",(L774-L773)/(IF(ISNUMBER(G774),G774,F774)-IF(ISNUMBER(G773),G773,F773)))</f>
        <v/>
      </c>
      <c r="W774" s="30">
        <f>IF(NOT(AND(ISNUMBER(N774),ISNUMBER(P774))),"",(P774-N774)*1440)</f>
        <v/>
      </c>
      <c r="X774" s="28" t="n"/>
      <c r="Y774" s="28" t="n"/>
      <c r="Z774" s="28" t="n"/>
      <c r="AA774" s="31" t="n"/>
      <c r="AB774" s="31" t="n"/>
    </row>
    <row r="775">
      <c r="A775" s="25" t="inlineStr">
        <is>
          <t>S15</t>
        </is>
      </c>
      <c r="B775" s="25" t="inlineStr">
        <is>
          <t>의성 신규점</t>
        </is>
      </c>
      <c r="C775" s="25" t="inlineStr">
        <is>
          <t>S15-H북</t>
        </is>
      </c>
      <c r="D775" s="25" t="inlineStr">
        <is>
          <t>측정</t>
        </is>
      </c>
      <c r="E775" s="25" t="inlineStr">
        <is>
          <t>북</t>
        </is>
      </c>
      <c r="F775" s="30" t="n">
        <v>2</v>
      </c>
      <c r="G775" s="29" t="n"/>
      <c r="H775" s="42" t="n"/>
      <c r="I775" s="40" t="n"/>
      <c r="J775" s="40" t="n"/>
      <c r="K775" s="40" t="n"/>
      <c r="L775" s="30">
        <f>IF(COUNT(I775:K775)=0,"",MEDIAN(I775:K775))</f>
        <v/>
      </c>
      <c r="M775" s="25">
        <f>IF(COUNTIFS($C:$C,$C775,$D:$D,"P0(전)",$L:$L,"&gt;0")&lt;&gt;1,"P0(전) 유효 1개 아님",IF(COUNTIFS($C:$C,$C775,$D:$D,"P0(후)",$L:$L,"&gt;0")&lt;&gt;1,"P0(후) 유효 1개 아님",IF(NOT(AND(ISNUMBER(N775),ISNUMBER(P775),ISNUMBER(H775))),"시각 결측",IF(P775&lt;=N775,"P0 시각 역전",IF(OR(H775&lt;N775,H775&gt;P775),"측정시각 구간 밖","OK")))))</f>
        <v/>
      </c>
      <c r="N775" s="45">
        <f>IF(COUNTIFS($C:$C,$C775,$D:$D,"P0(전)",$L:$L,"&gt;0")&lt;&gt;1,"",SUMIFS($H:$H,$C:$C,$C775,$D:$D,"P0(전)"))</f>
        <v/>
      </c>
      <c r="O775" s="30">
        <f>IF(COUNTIFS($C:$C,$C775,$D:$D,"P0(전)",$L:$L,"&gt;0")&lt;&gt;1,"",SUMIFS($L:$L,$C:$C,$C775,$D:$D,"P0(전)"))</f>
        <v/>
      </c>
      <c r="P775" s="45">
        <f>IF(COUNTIFS($C:$C,$C775,$D:$D,"P0(후)",$L:$L,"&gt;0")&lt;&gt;1,"",SUMIFS($H:$H,$C:$C,$C775,$D:$D,"P0(후)"))</f>
        <v/>
      </c>
      <c r="Q775" s="30">
        <f>IF(COUNTIFS($C:$C,$C775,$D:$D,"P0(후)",$L:$L,"&gt;0")&lt;&gt;1,"",SUMIFS($L:$L,$C:$C,$C775,$D:$D,"P0(후)"))</f>
        <v/>
      </c>
      <c r="R775" s="30">
        <f>IF(M775&lt;&gt;"OK","",O775+(Q775-O775)*(H775-N775)/(P775-N775))</f>
        <v/>
      </c>
      <c r="S775" s="30">
        <f>IF(OR(M775&lt;&gt;"OK",NOT(ISNUMBER(L775))),"",L775-R775)</f>
        <v/>
      </c>
      <c r="T775" s="46">
        <f>IF(OR(NOT(ISNUMBER(S775)),IF(ISNUMBER(G775),G775,F775)=0),"",S775/IF(ISNUMBER(G775),G775,F775))</f>
        <v/>
      </c>
      <c r="U775" s="46">
        <f>IF(ISNUMBER(T775),ABS(T775),"")</f>
        <v/>
      </c>
      <c r="V775" s="46">
        <f>IF(OR($D774&lt;&gt;"측정",$C774&lt;&gt;$C775,NOT(ISNUMBER(L775)),NOT(ISNUMBER(L774)),(IF(ISNUMBER(G775),G775,F775)-IF(ISNUMBER(G774),G774,F774))=0),"",(L775-L774)/(IF(ISNUMBER(G775),G775,F775)-IF(ISNUMBER(G774),G774,F774)))</f>
        <v/>
      </c>
      <c r="W775" s="30">
        <f>IF(NOT(AND(ISNUMBER(N775),ISNUMBER(P775))),"",(P775-N775)*1440)</f>
        <v/>
      </c>
      <c r="X775" s="28" t="n"/>
      <c r="Y775" s="28" t="n"/>
      <c r="Z775" s="28" t="n"/>
      <c r="AA775" s="31" t="n"/>
      <c r="AB775" s="31" t="n"/>
    </row>
    <row r="776">
      <c r="A776" s="25" t="inlineStr">
        <is>
          <t>S15</t>
        </is>
      </c>
      <c r="B776" s="25" t="inlineStr">
        <is>
          <t>의성 신규점</t>
        </is>
      </c>
      <c r="C776" s="25" t="inlineStr">
        <is>
          <t>S15-H북</t>
        </is>
      </c>
      <c r="D776" s="25" t="inlineStr">
        <is>
          <t>측정</t>
        </is>
      </c>
      <c r="E776" s="25" t="inlineStr">
        <is>
          <t>북</t>
        </is>
      </c>
      <c r="F776" s="30" t="n">
        <v>3</v>
      </c>
      <c r="G776" s="29" t="n"/>
      <c r="H776" s="42" t="n"/>
      <c r="I776" s="40" t="n"/>
      <c r="J776" s="40" t="n"/>
      <c r="K776" s="40" t="n"/>
      <c r="L776" s="30">
        <f>IF(COUNT(I776:K776)=0,"",MEDIAN(I776:K776))</f>
        <v/>
      </c>
      <c r="M776" s="25">
        <f>IF(COUNTIFS($C:$C,$C776,$D:$D,"P0(전)",$L:$L,"&gt;0")&lt;&gt;1,"P0(전) 유효 1개 아님",IF(COUNTIFS($C:$C,$C776,$D:$D,"P0(후)",$L:$L,"&gt;0")&lt;&gt;1,"P0(후) 유효 1개 아님",IF(NOT(AND(ISNUMBER(N776),ISNUMBER(P776),ISNUMBER(H776))),"시각 결측",IF(P776&lt;=N776,"P0 시각 역전",IF(OR(H776&lt;N776,H776&gt;P776),"측정시각 구간 밖","OK")))))</f>
        <v/>
      </c>
      <c r="N776" s="45">
        <f>IF(COUNTIFS($C:$C,$C776,$D:$D,"P0(전)",$L:$L,"&gt;0")&lt;&gt;1,"",SUMIFS($H:$H,$C:$C,$C776,$D:$D,"P0(전)"))</f>
        <v/>
      </c>
      <c r="O776" s="30">
        <f>IF(COUNTIFS($C:$C,$C776,$D:$D,"P0(전)",$L:$L,"&gt;0")&lt;&gt;1,"",SUMIFS($L:$L,$C:$C,$C776,$D:$D,"P0(전)"))</f>
        <v/>
      </c>
      <c r="P776" s="45">
        <f>IF(COUNTIFS($C:$C,$C776,$D:$D,"P0(후)",$L:$L,"&gt;0")&lt;&gt;1,"",SUMIFS($H:$H,$C:$C,$C776,$D:$D,"P0(후)"))</f>
        <v/>
      </c>
      <c r="Q776" s="30">
        <f>IF(COUNTIFS($C:$C,$C776,$D:$D,"P0(후)",$L:$L,"&gt;0")&lt;&gt;1,"",SUMIFS($L:$L,$C:$C,$C776,$D:$D,"P0(후)"))</f>
        <v/>
      </c>
      <c r="R776" s="30">
        <f>IF(M776&lt;&gt;"OK","",O776+(Q776-O776)*(H776-N776)/(P776-N776))</f>
        <v/>
      </c>
      <c r="S776" s="30">
        <f>IF(OR(M776&lt;&gt;"OK",NOT(ISNUMBER(L776))),"",L776-R776)</f>
        <v/>
      </c>
      <c r="T776" s="46">
        <f>IF(OR(NOT(ISNUMBER(S776)),IF(ISNUMBER(G776),G776,F776)=0),"",S776/IF(ISNUMBER(G776),G776,F776))</f>
        <v/>
      </c>
      <c r="U776" s="46">
        <f>IF(ISNUMBER(T776),ABS(T776),"")</f>
        <v/>
      </c>
      <c r="V776" s="46">
        <f>IF(OR($D775&lt;&gt;"측정",$C775&lt;&gt;$C776,NOT(ISNUMBER(L776)),NOT(ISNUMBER(L775)),(IF(ISNUMBER(G776),G776,F776)-IF(ISNUMBER(G775),G775,F775))=0),"",(L776-L775)/(IF(ISNUMBER(G776),G776,F776)-IF(ISNUMBER(G775),G775,F775)))</f>
        <v/>
      </c>
      <c r="W776" s="30">
        <f>IF(NOT(AND(ISNUMBER(N776),ISNUMBER(P776))),"",(P776-N776)*1440)</f>
        <v/>
      </c>
      <c r="X776" s="28" t="n"/>
      <c r="Y776" s="28" t="n"/>
      <c r="Z776" s="28" t="n"/>
      <c r="AA776" s="31" t="n"/>
      <c r="AB776" s="31" t="n"/>
    </row>
    <row r="777">
      <c r="A777" s="25" t="inlineStr">
        <is>
          <t>S15</t>
        </is>
      </c>
      <c r="B777" s="25" t="inlineStr">
        <is>
          <t>의성 신규점</t>
        </is>
      </c>
      <c r="C777" s="25" t="inlineStr">
        <is>
          <t>S15-H북</t>
        </is>
      </c>
      <c r="D777" s="25" t="inlineStr">
        <is>
          <t>측정</t>
        </is>
      </c>
      <c r="E777" s="25" t="inlineStr">
        <is>
          <t>북</t>
        </is>
      </c>
      <c r="F777" s="30" t="n">
        <v>4</v>
      </c>
      <c r="G777" s="29" t="n"/>
      <c r="H777" s="42" t="n"/>
      <c r="I777" s="40" t="n"/>
      <c r="J777" s="40" t="n"/>
      <c r="K777" s="40" t="n"/>
      <c r="L777" s="30">
        <f>IF(COUNT(I777:K777)=0,"",MEDIAN(I777:K777))</f>
        <v/>
      </c>
      <c r="M777" s="25">
        <f>IF(COUNTIFS($C:$C,$C777,$D:$D,"P0(전)",$L:$L,"&gt;0")&lt;&gt;1,"P0(전) 유효 1개 아님",IF(COUNTIFS($C:$C,$C777,$D:$D,"P0(후)",$L:$L,"&gt;0")&lt;&gt;1,"P0(후) 유효 1개 아님",IF(NOT(AND(ISNUMBER(N777),ISNUMBER(P777),ISNUMBER(H777))),"시각 결측",IF(P777&lt;=N777,"P0 시각 역전",IF(OR(H777&lt;N777,H777&gt;P777),"측정시각 구간 밖","OK")))))</f>
        <v/>
      </c>
      <c r="N777" s="45">
        <f>IF(COUNTIFS($C:$C,$C777,$D:$D,"P0(전)",$L:$L,"&gt;0")&lt;&gt;1,"",SUMIFS($H:$H,$C:$C,$C777,$D:$D,"P0(전)"))</f>
        <v/>
      </c>
      <c r="O777" s="30">
        <f>IF(COUNTIFS($C:$C,$C777,$D:$D,"P0(전)",$L:$L,"&gt;0")&lt;&gt;1,"",SUMIFS($L:$L,$C:$C,$C777,$D:$D,"P0(전)"))</f>
        <v/>
      </c>
      <c r="P777" s="45">
        <f>IF(COUNTIFS($C:$C,$C777,$D:$D,"P0(후)",$L:$L,"&gt;0")&lt;&gt;1,"",SUMIFS($H:$H,$C:$C,$C777,$D:$D,"P0(후)"))</f>
        <v/>
      </c>
      <c r="Q777" s="30">
        <f>IF(COUNTIFS($C:$C,$C777,$D:$D,"P0(후)",$L:$L,"&gt;0")&lt;&gt;1,"",SUMIFS($L:$L,$C:$C,$C777,$D:$D,"P0(후)"))</f>
        <v/>
      </c>
      <c r="R777" s="30">
        <f>IF(M777&lt;&gt;"OK","",O777+(Q777-O777)*(H777-N777)/(P777-N777))</f>
        <v/>
      </c>
      <c r="S777" s="30">
        <f>IF(OR(M777&lt;&gt;"OK",NOT(ISNUMBER(L777))),"",L777-R777)</f>
        <v/>
      </c>
      <c r="T777" s="46">
        <f>IF(OR(NOT(ISNUMBER(S777)),IF(ISNUMBER(G777),G777,F777)=0),"",S777/IF(ISNUMBER(G777),G777,F777))</f>
        <v/>
      </c>
      <c r="U777" s="46">
        <f>IF(ISNUMBER(T777),ABS(T777),"")</f>
        <v/>
      </c>
      <c r="V777" s="46">
        <f>IF(OR($D776&lt;&gt;"측정",$C776&lt;&gt;$C777,NOT(ISNUMBER(L777)),NOT(ISNUMBER(L776)),(IF(ISNUMBER(G777),G777,F777)-IF(ISNUMBER(G776),G776,F776))=0),"",(L777-L776)/(IF(ISNUMBER(G777),G777,F777)-IF(ISNUMBER(G776),G776,F776)))</f>
        <v/>
      </c>
      <c r="W777" s="30">
        <f>IF(NOT(AND(ISNUMBER(N777),ISNUMBER(P777))),"",(P777-N777)*1440)</f>
        <v/>
      </c>
      <c r="X777" s="28" t="n"/>
      <c r="Y777" s="28" t="n"/>
      <c r="Z777" s="28" t="n"/>
      <c r="AA777" s="31" t="n"/>
      <c r="AB777" s="31" t="n"/>
    </row>
    <row r="778">
      <c r="A778" s="25" t="inlineStr">
        <is>
          <t>S15</t>
        </is>
      </c>
      <c r="B778" s="25" t="inlineStr">
        <is>
          <t>의성 신규점</t>
        </is>
      </c>
      <c r="C778" s="25" t="inlineStr">
        <is>
          <t>S15-H북</t>
        </is>
      </c>
      <c r="D778" s="25" t="inlineStr">
        <is>
          <t>측정</t>
        </is>
      </c>
      <c r="E778" s="25" t="inlineStr">
        <is>
          <t>북</t>
        </is>
      </c>
      <c r="F778" s="30" t="n">
        <v>5</v>
      </c>
      <c r="G778" s="29" t="n"/>
      <c r="H778" s="42" t="n"/>
      <c r="I778" s="40" t="n"/>
      <c r="J778" s="40" t="n"/>
      <c r="K778" s="40" t="n"/>
      <c r="L778" s="30">
        <f>IF(COUNT(I778:K778)=0,"",MEDIAN(I778:K778))</f>
        <v/>
      </c>
      <c r="M778" s="25">
        <f>IF(COUNTIFS($C:$C,$C778,$D:$D,"P0(전)",$L:$L,"&gt;0")&lt;&gt;1,"P0(전) 유효 1개 아님",IF(COUNTIFS($C:$C,$C778,$D:$D,"P0(후)",$L:$L,"&gt;0")&lt;&gt;1,"P0(후) 유효 1개 아님",IF(NOT(AND(ISNUMBER(N778),ISNUMBER(P778),ISNUMBER(H778))),"시각 결측",IF(P778&lt;=N778,"P0 시각 역전",IF(OR(H778&lt;N778,H778&gt;P778),"측정시각 구간 밖","OK")))))</f>
        <v/>
      </c>
      <c r="N778" s="45">
        <f>IF(COUNTIFS($C:$C,$C778,$D:$D,"P0(전)",$L:$L,"&gt;0")&lt;&gt;1,"",SUMIFS($H:$H,$C:$C,$C778,$D:$D,"P0(전)"))</f>
        <v/>
      </c>
      <c r="O778" s="30">
        <f>IF(COUNTIFS($C:$C,$C778,$D:$D,"P0(전)",$L:$L,"&gt;0")&lt;&gt;1,"",SUMIFS($L:$L,$C:$C,$C778,$D:$D,"P0(전)"))</f>
        <v/>
      </c>
      <c r="P778" s="45">
        <f>IF(COUNTIFS($C:$C,$C778,$D:$D,"P0(후)",$L:$L,"&gt;0")&lt;&gt;1,"",SUMIFS($H:$H,$C:$C,$C778,$D:$D,"P0(후)"))</f>
        <v/>
      </c>
      <c r="Q778" s="30">
        <f>IF(COUNTIFS($C:$C,$C778,$D:$D,"P0(후)",$L:$L,"&gt;0")&lt;&gt;1,"",SUMIFS($L:$L,$C:$C,$C778,$D:$D,"P0(후)"))</f>
        <v/>
      </c>
      <c r="R778" s="30">
        <f>IF(M778&lt;&gt;"OK","",O778+(Q778-O778)*(H778-N778)/(P778-N778))</f>
        <v/>
      </c>
      <c r="S778" s="30">
        <f>IF(OR(M778&lt;&gt;"OK",NOT(ISNUMBER(L778))),"",L778-R778)</f>
        <v/>
      </c>
      <c r="T778" s="46">
        <f>IF(OR(NOT(ISNUMBER(S778)),IF(ISNUMBER(G778),G778,F778)=0),"",S778/IF(ISNUMBER(G778),G778,F778))</f>
        <v/>
      </c>
      <c r="U778" s="46">
        <f>IF(ISNUMBER(T778),ABS(T778),"")</f>
        <v/>
      </c>
      <c r="V778" s="46">
        <f>IF(OR($D777&lt;&gt;"측정",$C777&lt;&gt;$C778,NOT(ISNUMBER(L778)),NOT(ISNUMBER(L777)),(IF(ISNUMBER(G778),G778,F778)-IF(ISNUMBER(G777),G777,F777))=0),"",(L778-L777)/(IF(ISNUMBER(G778),G778,F778)-IF(ISNUMBER(G777),G777,F777)))</f>
        <v/>
      </c>
      <c r="W778" s="30">
        <f>IF(NOT(AND(ISNUMBER(N778),ISNUMBER(P778))),"",(P778-N778)*1440)</f>
        <v/>
      </c>
      <c r="X778" s="28" t="n"/>
      <c r="Y778" s="28" t="n"/>
      <c r="Z778" s="28" t="n"/>
      <c r="AA778" s="31" t="n"/>
      <c r="AB778" s="31" t="n"/>
    </row>
    <row r="779">
      <c r="A779" s="25" t="inlineStr">
        <is>
          <t>S15</t>
        </is>
      </c>
      <c r="B779" s="25" t="inlineStr">
        <is>
          <t>의성 신규점</t>
        </is>
      </c>
      <c r="C779" s="25" t="inlineStr">
        <is>
          <t>S15-H북</t>
        </is>
      </c>
      <c r="D779" s="25" t="inlineStr">
        <is>
          <t>측정</t>
        </is>
      </c>
      <c r="E779" s="25" t="inlineStr">
        <is>
          <t>북</t>
        </is>
      </c>
      <c r="F779" s="30" t="n">
        <v>6</v>
      </c>
      <c r="G779" s="29" t="n"/>
      <c r="H779" s="42" t="n"/>
      <c r="I779" s="40" t="n"/>
      <c r="J779" s="40" t="n"/>
      <c r="K779" s="40" t="n"/>
      <c r="L779" s="30">
        <f>IF(COUNT(I779:K779)=0,"",MEDIAN(I779:K779))</f>
        <v/>
      </c>
      <c r="M779" s="25">
        <f>IF(COUNTIFS($C:$C,$C779,$D:$D,"P0(전)",$L:$L,"&gt;0")&lt;&gt;1,"P0(전) 유효 1개 아님",IF(COUNTIFS($C:$C,$C779,$D:$D,"P0(후)",$L:$L,"&gt;0")&lt;&gt;1,"P0(후) 유효 1개 아님",IF(NOT(AND(ISNUMBER(N779),ISNUMBER(P779),ISNUMBER(H779))),"시각 결측",IF(P779&lt;=N779,"P0 시각 역전",IF(OR(H779&lt;N779,H779&gt;P779),"측정시각 구간 밖","OK")))))</f>
        <v/>
      </c>
      <c r="N779" s="45">
        <f>IF(COUNTIFS($C:$C,$C779,$D:$D,"P0(전)",$L:$L,"&gt;0")&lt;&gt;1,"",SUMIFS($H:$H,$C:$C,$C779,$D:$D,"P0(전)"))</f>
        <v/>
      </c>
      <c r="O779" s="30">
        <f>IF(COUNTIFS($C:$C,$C779,$D:$D,"P0(전)",$L:$L,"&gt;0")&lt;&gt;1,"",SUMIFS($L:$L,$C:$C,$C779,$D:$D,"P0(전)"))</f>
        <v/>
      </c>
      <c r="P779" s="45">
        <f>IF(COUNTIFS($C:$C,$C779,$D:$D,"P0(후)",$L:$L,"&gt;0")&lt;&gt;1,"",SUMIFS($H:$H,$C:$C,$C779,$D:$D,"P0(후)"))</f>
        <v/>
      </c>
      <c r="Q779" s="30">
        <f>IF(COUNTIFS($C:$C,$C779,$D:$D,"P0(후)",$L:$L,"&gt;0")&lt;&gt;1,"",SUMIFS($L:$L,$C:$C,$C779,$D:$D,"P0(후)"))</f>
        <v/>
      </c>
      <c r="R779" s="30">
        <f>IF(M779&lt;&gt;"OK","",O779+(Q779-O779)*(H779-N779)/(P779-N779))</f>
        <v/>
      </c>
      <c r="S779" s="30">
        <f>IF(OR(M779&lt;&gt;"OK",NOT(ISNUMBER(L779))),"",L779-R779)</f>
        <v/>
      </c>
      <c r="T779" s="46">
        <f>IF(OR(NOT(ISNUMBER(S779)),IF(ISNUMBER(G779),G779,F779)=0),"",S779/IF(ISNUMBER(G779),G779,F779))</f>
        <v/>
      </c>
      <c r="U779" s="46">
        <f>IF(ISNUMBER(T779),ABS(T779),"")</f>
        <v/>
      </c>
      <c r="V779" s="46">
        <f>IF(OR($D778&lt;&gt;"측정",$C778&lt;&gt;$C779,NOT(ISNUMBER(L779)),NOT(ISNUMBER(L778)),(IF(ISNUMBER(G779),G779,F779)-IF(ISNUMBER(G778),G778,F778))=0),"",(L779-L778)/(IF(ISNUMBER(G779),G779,F779)-IF(ISNUMBER(G778),G778,F778)))</f>
        <v/>
      </c>
      <c r="W779" s="30">
        <f>IF(NOT(AND(ISNUMBER(N779),ISNUMBER(P779))),"",(P779-N779)*1440)</f>
        <v/>
      </c>
      <c r="X779" s="28" t="n"/>
      <c r="Y779" s="28" t="n"/>
      <c r="Z779" s="28" t="n"/>
      <c r="AA779" s="31" t="n"/>
      <c r="AB779" s="31" t="n"/>
    </row>
    <row r="780">
      <c r="A780" s="25" t="inlineStr">
        <is>
          <t>S15</t>
        </is>
      </c>
      <c r="B780" s="25" t="inlineStr">
        <is>
          <t>의성 신규점</t>
        </is>
      </c>
      <c r="C780" s="25" t="inlineStr">
        <is>
          <t>S15-H북</t>
        </is>
      </c>
      <c r="D780" s="25" t="inlineStr">
        <is>
          <t>측정</t>
        </is>
      </c>
      <c r="E780" s="25" t="inlineStr">
        <is>
          <t>북</t>
        </is>
      </c>
      <c r="F780" s="30" t="n">
        <v>7</v>
      </c>
      <c r="G780" s="29" t="n"/>
      <c r="H780" s="42" t="n"/>
      <c r="I780" s="40" t="n"/>
      <c r="J780" s="40" t="n"/>
      <c r="K780" s="40" t="n"/>
      <c r="L780" s="30">
        <f>IF(COUNT(I780:K780)=0,"",MEDIAN(I780:K780))</f>
        <v/>
      </c>
      <c r="M780" s="25">
        <f>IF(COUNTIFS($C:$C,$C780,$D:$D,"P0(전)",$L:$L,"&gt;0")&lt;&gt;1,"P0(전) 유효 1개 아님",IF(COUNTIFS($C:$C,$C780,$D:$D,"P0(후)",$L:$L,"&gt;0")&lt;&gt;1,"P0(후) 유효 1개 아님",IF(NOT(AND(ISNUMBER(N780),ISNUMBER(P780),ISNUMBER(H780))),"시각 결측",IF(P780&lt;=N780,"P0 시각 역전",IF(OR(H780&lt;N780,H780&gt;P780),"측정시각 구간 밖","OK")))))</f>
        <v/>
      </c>
      <c r="N780" s="45">
        <f>IF(COUNTIFS($C:$C,$C780,$D:$D,"P0(전)",$L:$L,"&gt;0")&lt;&gt;1,"",SUMIFS($H:$H,$C:$C,$C780,$D:$D,"P0(전)"))</f>
        <v/>
      </c>
      <c r="O780" s="30">
        <f>IF(COUNTIFS($C:$C,$C780,$D:$D,"P0(전)",$L:$L,"&gt;0")&lt;&gt;1,"",SUMIFS($L:$L,$C:$C,$C780,$D:$D,"P0(전)"))</f>
        <v/>
      </c>
      <c r="P780" s="45">
        <f>IF(COUNTIFS($C:$C,$C780,$D:$D,"P0(후)",$L:$L,"&gt;0")&lt;&gt;1,"",SUMIFS($H:$H,$C:$C,$C780,$D:$D,"P0(후)"))</f>
        <v/>
      </c>
      <c r="Q780" s="30">
        <f>IF(COUNTIFS($C:$C,$C780,$D:$D,"P0(후)",$L:$L,"&gt;0")&lt;&gt;1,"",SUMIFS($L:$L,$C:$C,$C780,$D:$D,"P0(후)"))</f>
        <v/>
      </c>
      <c r="R780" s="30">
        <f>IF(M780&lt;&gt;"OK","",O780+(Q780-O780)*(H780-N780)/(P780-N780))</f>
        <v/>
      </c>
      <c r="S780" s="30">
        <f>IF(OR(M780&lt;&gt;"OK",NOT(ISNUMBER(L780))),"",L780-R780)</f>
        <v/>
      </c>
      <c r="T780" s="46">
        <f>IF(OR(NOT(ISNUMBER(S780)),IF(ISNUMBER(G780),G780,F780)=0),"",S780/IF(ISNUMBER(G780),G780,F780))</f>
        <v/>
      </c>
      <c r="U780" s="46">
        <f>IF(ISNUMBER(T780),ABS(T780),"")</f>
        <v/>
      </c>
      <c r="V780" s="46">
        <f>IF(OR($D779&lt;&gt;"측정",$C779&lt;&gt;$C780,NOT(ISNUMBER(L780)),NOT(ISNUMBER(L779)),(IF(ISNUMBER(G780),G780,F780)-IF(ISNUMBER(G779),G779,F779))=0),"",(L780-L779)/(IF(ISNUMBER(G780),G780,F780)-IF(ISNUMBER(G779),G779,F779)))</f>
        <v/>
      </c>
      <c r="W780" s="30">
        <f>IF(NOT(AND(ISNUMBER(N780),ISNUMBER(P780))),"",(P780-N780)*1440)</f>
        <v/>
      </c>
      <c r="X780" s="28" t="n"/>
      <c r="Y780" s="28" t="n"/>
      <c r="Z780" s="28" t="n"/>
      <c r="AA780" s="31" t="n"/>
      <c r="AB780" s="31" t="n"/>
    </row>
    <row r="781">
      <c r="A781" s="25" t="inlineStr">
        <is>
          <t>S15</t>
        </is>
      </c>
      <c r="B781" s="25" t="inlineStr">
        <is>
          <t>의성 신규점</t>
        </is>
      </c>
      <c r="C781" s="25" t="inlineStr">
        <is>
          <t>S15-H북</t>
        </is>
      </c>
      <c r="D781" s="25" t="inlineStr">
        <is>
          <t>측정</t>
        </is>
      </c>
      <c r="E781" s="25" t="inlineStr">
        <is>
          <t>북</t>
        </is>
      </c>
      <c r="F781" s="30" t="n">
        <v>8</v>
      </c>
      <c r="G781" s="29" t="n"/>
      <c r="H781" s="42" t="n"/>
      <c r="I781" s="40" t="n"/>
      <c r="J781" s="40" t="n"/>
      <c r="K781" s="40" t="n"/>
      <c r="L781" s="30">
        <f>IF(COUNT(I781:K781)=0,"",MEDIAN(I781:K781))</f>
        <v/>
      </c>
      <c r="M781" s="25">
        <f>IF(COUNTIFS($C:$C,$C781,$D:$D,"P0(전)",$L:$L,"&gt;0")&lt;&gt;1,"P0(전) 유효 1개 아님",IF(COUNTIFS($C:$C,$C781,$D:$D,"P0(후)",$L:$L,"&gt;0")&lt;&gt;1,"P0(후) 유효 1개 아님",IF(NOT(AND(ISNUMBER(N781),ISNUMBER(P781),ISNUMBER(H781))),"시각 결측",IF(P781&lt;=N781,"P0 시각 역전",IF(OR(H781&lt;N781,H781&gt;P781),"측정시각 구간 밖","OK")))))</f>
        <v/>
      </c>
      <c r="N781" s="45">
        <f>IF(COUNTIFS($C:$C,$C781,$D:$D,"P0(전)",$L:$L,"&gt;0")&lt;&gt;1,"",SUMIFS($H:$H,$C:$C,$C781,$D:$D,"P0(전)"))</f>
        <v/>
      </c>
      <c r="O781" s="30">
        <f>IF(COUNTIFS($C:$C,$C781,$D:$D,"P0(전)",$L:$L,"&gt;0")&lt;&gt;1,"",SUMIFS($L:$L,$C:$C,$C781,$D:$D,"P0(전)"))</f>
        <v/>
      </c>
      <c r="P781" s="45">
        <f>IF(COUNTIFS($C:$C,$C781,$D:$D,"P0(후)",$L:$L,"&gt;0")&lt;&gt;1,"",SUMIFS($H:$H,$C:$C,$C781,$D:$D,"P0(후)"))</f>
        <v/>
      </c>
      <c r="Q781" s="30">
        <f>IF(COUNTIFS($C:$C,$C781,$D:$D,"P0(후)",$L:$L,"&gt;0")&lt;&gt;1,"",SUMIFS($L:$L,$C:$C,$C781,$D:$D,"P0(후)"))</f>
        <v/>
      </c>
      <c r="R781" s="30">
        <f>IF(M781&lt;&gt;"OK","",O781+(Q781-O781)*(H781-N781)/(P781-N781))</f>
        <v/>
      </c>
      <c r="S781" s="30">
        <f>IF(OR(M781&lt;&gt;"OK",NOT(ISNUMBER(L781))),"",L781-R781)</f>
        <v/>
      </c>
      <c r="T781" s="46">
        <f>IF(OR(NOT(ISNUMBER(S781)),IF(ISNUMBER(G781),G781,F781)=0),"",S781/IF(ISNUMBER(G781),G781,F781))</f>
        <v/>
      </c>
      <c r="U781" s="46">
        <f>IF(ISNUMBER(T781),ABS(T781),"")</f>
        <v/>
      </c>
      <c r="V781" s="46">
        <f>IF(OR($D780&lt;&gt;"측정",$C780&lt;&gt;$C781,NOT(ISNUMBER(L781)),NOT(ISNUMBER(L780)),(IF(ISNUMBER(G781),G781,F781)-IF(ISNUMBER(G780),G780,F780))=0),"",(L781-L780)/(IF(ISNUMBER(G781),G781,F781)-IF(ISNUMBER(G780),G780,F780)))</f>
        <v/>
      </c>
      <c r="W781" s="30">
        <f>IF(NOT(AND(ISNUMBER(N781),ISNUMBER(P781))),"",(P781-N781)*1440)</f>
        <v/>
      </c>
      <c r="X781" s="28" t="n"/>
      <c r="Y781" s="28" t="n"/>
      <c r="Z781" s="28" t="n"/>
      <c r="AA781" s="31" t="n"/>
      <c r="AB781" s="31" t="n"/>
    </row>
    <row r="782">
      <c r="A782" s="25" t="inlineStr">
        <is>
          <t>S15</t>
        </is>
      </c>
      <c r="B782" s="25" t="inlineStr">
        <is>
          <t>의성 신규점</t>
        </is>
      </c>
      <c r="C782" s="25" t="inlineStr">
        <is>
          <t>S15-H북</t>
        </is>
      </c>
      <c r="D782" s="25" t="inlineStr">
        <is>
          <t>측정</t>
        </is>
      </c>
      <c r="E782" s="25" t="inlineStr">
        <is>
          <t>북</t>
        </is>
      </c>
      <c r="F782" s="30" t="n">
        <v>9</v>
      </c>
      <c r="G782" s="29" t="n"/>
      <c r="H782" s="42" t="n"/>
      <c r="I782" s="40" t="n"/>
      <c r="J782" s="40" t="n"/>
      <c r="K782" s="40" t="n"/>
      <c r="L782" s="30">
        <f>IF(COUNT(I782:K782)=0,"",MEDIAN(I782:K782))</f>
        <v/>
      </c>
      <c r="M782" s="25">
        <f>IF(COUNTIFS($C:$C,$C782,$D:$D,"P0(전)",$L:$L,"&gt;0")&lt;&gt;1,"P0(전) 유효 1개 아님",IF(COUNTIFS($C:$C,$C782,$D:$D,"P0(후)",$L:$L,"&gt;0")&lt;&gt;1,"P0(후) 유효 1개 아님",IF(NOT(AND(ISNUMBER(N782),ISNUMBER(P782),ISNUMBER(H782))),"시각 결측",IF(P782&lt;=N782,"P0 시각 역전",IF(OR(H782&lt;N782,H782&gt;P782),"측정시각 구간 밖","OK")))))</f>
        <v/>
      </c>
      <c r="N782" s="45">
        <f>IF(COUNTIFS($C:$C,$C782,$D:$D,"P0(전)",$L:$L,"&gt;0")&lt;&gt;1,"",SUMIFS($H:$H,$C:$C,$C782,$D:$D,"P0(전)"))</f>
        <v/>
      </c>
      <c r="O782" s="30">
        <f>IF(COUNTIFS($C:$C,$C782,$D:$D,"P0(전)",$L:$L,"&gt;0")&lt;&gt;1,"",SUMIFS($L:$L,$C:$C,$C782,$D:$D,"P0(전)"))</f>
        <v/>
      </c>
      <c r="P782" s="45">
        <f>IF(COUNTIFS($C:$C,$C782,$D:$D,"P0(후)",$L:$L,"&gt;0")&lt;&gt;1,"",SUMIFS($H:$H,$C:$C,$C782,$D:$D,"P0(후)"))</f>
        <v/>
      </c>
      <c r="Q782" s="30">
        <f>IF(COUNTIFS($C:$C,$C782,$D:$D,"P0(후)",$L:$L,"&gt;0")&lt;&gt;1,"",SUMIFS($L:$L,$C:$C,$C782,$D:$D,"P0(후)"))</f>
        <v/>
      </c>
      <c r="R782" s="30">
        <f>IF(M782&lt;&gt;"OK","",O782+(Q782-O782)*(H782-N782)/(P782-N782))</f>
        <v/>
      </c>
      <c r="S782" s="30">
        <f>IF(OR(M782&lt;&gt;"OK",NOT(ISNUMBER(L782))),"",L782-R782)</f>
        <v/>
      </c>
      <c r="T782" s="46">
        <f>IF(OR(NOT(ISNUMBER(S782)),IF(ISNUMBER(G782),G782,F782)=0),"",S782/IF(ISNUMBER(G782),G782,F782))</f>
        <v/>
      </c>
      <c r="U782" s="46">
        <f>IF(ISNUMBER(T782),ABS(T782),"")</f>
        <v/>
      </c>
      <c r="V782" s="46">
        <f>IF(OR($D781&lt;&gt;"측정",$C781&lt;&gt;$C782,NOT(ISNUMBER(L782)),NOT(ISNUMBER(L781)),(IF(ISNUMBER(G782),G782,F782)-IF(ISNUMBER(G781),G781,F781))=0),"",(L782-L781)/(IF(ISNUMBER(G782),G782,F782)-IF(ISNUMBER(G781),G781,F781)))</f>
        <v/>
      </c>
      <c r="W782" s="30">
        <f>IF(NOT(AND(ISNUMBER(N782),ISNUMBER(P782))),"",(P782-N782)*1440)</f>
        <v/>
      </c>
      <c r="X782" s="28" t="n"/>
      <c r="Y782" s="28" t="n"/>
      <c r="Z782" s="28" t="n"/>
      <c r="AA782" s="31" t="n"/>
      <c r="AB782" s="31" t="n"/>
    </row>
    <row r="783">
      <c r="A783" s="25" t="inlineStr">
        <is>
          <t>S15</t>
        </is>
      </c>
      <c r="B783" s="25" t="inlineStr">
        <is>
          <t>의성 신규점</t>
        </is>
      </c>
      <c r="C783" s="25" t="inlineStr">
        <is>
          <t>S15-H북</t>
        </is>
      </c>
      <c r="D783" s="25" t="inlineStr">
        <is>
          <t>측정</t>
        </is>
      </c>
      <c r="E783" s="25" t="inlineStr">
        <is>
          <t>북</t>
        </is>
      </c>
      <c r="F783" s="30" t="n">
        <v>10</v>
      </c>
      <c r="G783" s="29" t="n"/>
      <c r="H783" s="42" t="n"/>
      <c r="I783" s="40" t="n"/>
      <c r="J783" s="40" t="n"/>
      <c r="K783" s="40" t="n"/>
      <c r="L783" s="30">
        <f>IF(COUNT(I783:K783)=0,"",MEDIAN(I783:K783))</f>
        <v/>
      </c>
      <c r="M783" s="25">
        <f>IF(COUNTIFS($C:$C,$C783,$D:$D,"P0(전)",$L:$L,"&gt;0")&lt;&gt;1,"P0(전) 유효 1개 아님",IF(COUNTIFS($C:$C,$C783,$D:$D,"P0(후)",$L:$L,"&gt;0")&lt;&gt;1,"P0(후) 유효 1개 아님",IF(NOT(AND(ISNUMBER(N783),ISNUMBER(P783),ISNUMBER(H783))),"시각 결측",IF(P783&lt;=N783,"P0 시각 역전",IF(OR(H783&lt;N783,H783&gt;P783),"측정시각 구간 밖","OK")))))</f>
        <v/>
      </c>
      <c r="N783" s="45">
        <f>IF(COUNTIFS($C:$C,$C783,$D:$D,"P0(전)",$L:$L,"&gt;0")&lt;&gt;1,"",SUMIFS($H:$H,$C:$C,$C783,$D:$D,"P0(전)"))</f>
        <v/>
      </c>
      <c r="O783" s="30">
        <f>IF(COUNTIFS($C:$C,$C783,$D:$D,"P0(전)",$L:$L,"&gt;0")&lt;&gt;1,"",SUMIFS($L:$L,$C:$C,$C783,$D:$D,"P0(전)"))</f>
        <v/>
      </c>
      <c r="P783" s="45">
        <f>IF(COUNTIFS($C:$C,$C783,$D:$D,"P0(후)",$L:$L,"&gt;0")&lt;&gt;1,"",SUMIFS($H:$H,$C:$C,$C783,$D:$D,"P0(후)"))</f>
        <v/>
      </c>
      <c r="Q783" s="30">
        <f>IF(COUNTIFS($C:$C,$C783,$D:$D,"P0(후)",$L:$L,"&gt;0")&lt;&gt;1,"",SUMIFS($L:$L,$C:$C,$C783,$D:$D,"P0(후)"))</f>
        <v/>
      </c>
      <c r="R783" s="30">
        <f>IF(M783&lt;&gt;"OK","",O783+(Q783-O783)*(H783-N783)/(P783-N783))</f>
        <v/>
      </c>
      <c r="S783" s="30">
        <f>IF(OR(M783&lt;&gt;"OK",NOT(ISNUMBER(L783))),"",L783-R783)</f>
        <v/>
      </c>
      <c r="T783" s="46">
        <f>IF(OR(NOT(ISNUMBER(S783)),IF(ISNUMBER(G783),G783,F783)=0),"",S783/IF(ISNUMBER(G783),G783,F783))</f>
        <v/>
      </c>
      <c r="U783" s="46">
        <f>IF(ISNUMBER(T783),ABS(T783),"")</f>
        <v/>
      </c>
      <c r="V783" s="46">
        <f>IF(OR($D782&lt;&gt;"측정",$C782&lt;&gt;$C783,NOT(ISNUMBER(L783)),NOT(ISNUMBER(L782)),(IF(ISNUMBER(G783),G783,F783)-IF(ISNUMBER(G782),G782,F782))=0),"",(L783-L782)/(IF(ISNUMBER(G783),G783,F783)-IF(ISNUMBER(G782),G782,F782)))</f>
        <v/>
      </c>
      <c r="W783" s="30">
        <f>IF(NOT(AND(ISNUMBER(N783),ISNUMBER(P783))),"",(P783-N783)*1440)</f>
        <v/>
      </c>
      <c r="X783" s="28" t="n"/>
      <c r="Y783" s="28" t="n"/>
      <c r="Z783" s="28" t="n"/>
      <c r="AA783" s="31" t="n"/>
      <c r="AB783" s="31" t="n"/>
    </row>
    <row r="784">
      <c r="A784" s="43" t="inlineStr">
        <is>
          <t>S15</t>
        </is>
      </c>
      <c r="B784" s="43" t="inlineStr">
        <is>
          <t>의성 신규점</t>
        </is>
      </c>
      <c r="C784" s="43" t="inlineStr">
        <is>
          <t>S15-H북</t>
        </is>
      </c>
      <c r="D784" s="43" t="inlineStr">
        <is>
          <t>P0(후)</t>
        </is>
      </c>
      <c r="E784" s="43" t="inlineStr">
        <is>
          <t>북</t>
        </is>
      </c>
      <c r="F784" s="44" t="n"/>
      <c r="G784" s="29" t="n"/>
      <c r="H784" s="42" t="n"/>
      <c r="I784" s="40" t="n"/>
      <c r="J784" s="40" t="n"/>
      <c r="K784" s="40" t="n"/>
      <c r="L784" s="30">
        <f>IF(COUNT(I784:K784)=0,"",MEDIAN(I784:K784))</f>
        <v/>
      </c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28" t="n"/>
      <c r="Y784" s="28" t="n"/>
      <c r="Z784" s="28" t="n"/>
      <c r="AA784" s="31" t="n"/>
      <c r="AB784" s="31" t="n"/>
    </row>
    <row r="785">
      <c r="A785" s="43" t="inlineStr">
        <is>
          <t>S16</t>
        </is>
      </c>
      <c r="B785" s="43" t="inlineStr">
        <is>
          <t>예천 신규점</t>
        </is>
      </c>
      <c r="C785" s="43" t="inlineStr">
        <is>
          <t>S16-H동</t>
        </is>
      </c>
      <c r="D785" s="43" t="inlineStr">
        <is>
          <t>P0(전)</t>
        </is>
      </c>
      <c r="E785" s="43" t="inlineStr">
        <is>
          <t>동</t>
        </is>
      </c>
      <c r="F785" s="44" t="n"/>
      <c r="G785" s="29" t="n"/>
      <c r="H785" s="42" t="n"/>
      <c r="I785" s="40" t="n"/>
      <c r="J785" s="40" t="n"/>
      <c r="K785" s="40" t="n"/>
      <c r="L785" s="30">
        <f>IF(COUNT(I785:K785)=0,"",MEDIAN(I785:K785))</f>
        <v/>
      </c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28" t="n"/>
      <c r="Y785" s="28" t="n"/>
      <c r="Z785" s="28" t="n"/>
      <c r="AA785" s="31" t="n"/>
      <c r="AB785" s="31" t="n"/>
    </row>
    <row r="786">
      <c r="A786" s="25" t="inlineStr">
        <is>
          <t>S16</t>
        </is>
      </c>
      <c r="B786" s="25" t="inlineStr">
        <is>
          <t>예천 신규점</t>
        </is>
      </c>
      <c r="C786" s="25" t="inlineStr">
        <is>
          <t>S16-H동</t>
        </is>
      </c>
      <c r="D786" s="25" t="inlineStr">
        <is>
          <t>측정</t>
        </is>
      </c>
      <c r="E786" s="25" t="inlineStr">
        <is>
          <t>동</t>
        </is>
      </c>
      <c r="F786" s="30" t="n">
        <v>0.5</v>
      </c>
      <c r="G786" s="29" t="n"/>
      <c r="H786" s="42" t="n"/>
      <c r="I786" s="40" t="n"/>
      <c r="J786" s="40" t="n"/>
      <c r="K786" s="40" t="n"/>
      <c r="L786" s="30">
        <f>IF(COUNT(I786:K786)=0,"",MEDIAN(I786:K786))</f>
        <v/>
      </c>
      <c r="M786" s="25">
        <f>IF(COUNTIFS($C:$C,$C786,$D:$D,"P0(전)",$L:$L,"&gt;0")&lt;&gt;1,"P0(전) 유효 1개 아님",IF(COUNTIFS($C:$C,$C786,$D:$D,"P0(후)",$L:$L,"&gt;0")&lt;&gt;1,"P0(후) 유효 1개 아님",IF(NOT(AND(ISNUMBER(N786),ISNUMBER(P786),ISNUMBER(H786))),"시각 결측",IF(P786&lt;=N786,"P0 시각 역전",IF(OR(H786&lt;N786,H786&gt;P786),"측정시각 구간 밖","OK")))))</f>
        <v/>
      </c>
      <c r="N786" s="45">
        <f>IF(COUNTIFS($C:$C,$C786,$D:$D,"P0(전)",$L:$L,"&gt;0")&lt;&gt;1,"",SUMIFS($H:$H,$C:$C,$C786,$D:$D,"P0(전)"))</f>
        <v/>
      </c>
      <c r="O786" s="30">
        <f>IF(COUNTIFS($C:$C,$C786,$D:$D,"P0(전)",$L:$L,"&gt;0")&lt;&gt;1,"",SUMIFS($L:$L,$C:$C,$C786,$D:$D,"P0(전)"))</f>
        <v/>
      </c>
      <c r="P786" s="45">
        <f>IF(COUNTIFS($C:$C,$C786,$D:$D,"P0(후)",$L:$L,"&gt;0")&lt;&gt;1,"",SUMIFS($H:$H,$C:$C,$C786,$D:$D,"P0(후)"))</f>
        <v/>
      </c>
      <c r="Q786" s="30">
        <f>IF(COUNTIFS($C:$C,$C786,$D:$D,"P0(후)",$L:$L,"&gt;0")&lt;&gt;1,"",SUMIFS($L:$L,$C:$C,$C786,$D:$D,"P0(후)"))</f>
        <v/>
      </c>
      <c r="R786" s="30">
        <f>IF(M786&lt;&gt;"OK","",O786+(Q786-O786)*(H786-N786)/(P786-N786))</f>
        <v/>
      </c>
      <c r="S786" s="30">
        <f>IF(OR(M786&lt;&gt;"OK",NOT(ISNUMBER(L786))),"",L786-R786)</f>
        <v/>
      </c>
      <c r="T786" s="46">
        <f>IF(OR(NOT(ISNUMBER(S786)),IF(ISNUMBER(G786),G786,F786)=0),"",S786/IF(ISNUMBER(G786),G786,F786))</f>
        <v/>
      </c>
      <c r="U786" s="46">
        <f>IF(ISNUMBER(T786),ABS(T786),"")</f>
        <v/>
      </c>
      <c r="V786" s="46">
        <f>IF(OR($D785&lt;&gt;"측정",$C785&lt;&gt;$C786,NOT(ISNUMBER(L786)),NOT(ISNUMBER(L785)),(IF(ISNUMBER(G786),G786,F786)-IF(ISNUMBER(G785),G785,F785))=0),"",(L786-L785)/(IF(ISNUMBER(G786),G786,F786)-IF(ISNUMBER(G785),G785,F785)))</f>
        <v/>
      </c>
      <c r="W786" s="30">
        <f>IF(NOT(AND(ISNUMBER(N786),ISNUMBER(P786))),"",(P786-N786)*1440)</f>
        <v/>
      </c>
      <c r="X786" s="28" t="n"/>
      <c r="Y786" s="28" t="n"/>
      <c r="Z786" s="28" t="n"/>
      <c r="AA786" s="31" t="n"/>
      <c r="AB786" s="31" t="n"/>
    </row>
    <row r="787">
      <c r="A787" s="25" t="inlineStr">
        <is>
          <t>S16</t>
        </is>
      </c>
      <c r="B787" s="25" t="inlineStr">
        <is>
          <t>예천 신규점</t>
        </is>
      </c>
      <c r="C787" s="25" t="inlineStr">
        <is>
          <t>S16-H동</t>
        </is>
      </c>
      <c r="D787" s="25" t="inlineStr">
        <is>
          <t>측정</t>
        </is>
      </c>
      <c r="E787" s="25" t="inlineStr">
        <is>
          <t>동</t>
        </is>
      </c>
      <c r="F787" s="30" t="n">
        <v>1</v>
      </c>
      <c r="G787" s="29" t="n"/>
      <c r="H787" s="42" t="n"/>
      <c r="I787" s="40" t="n"/>
      <c r="J787" s="40" t="n"/>
      <c r="K787" s="40" t="n"/>
      <c r="L787" s="30">
        <f>IF(COUNT(I787:K787)=0,"",MEDIAN(I787:K787))</f>
        <v/>
      </c>
      <c r="M787" s="25">
        <f>IF(COUNTIFS($C:$C,$C787,$D:$D,"P0(전)",$L:$L,"&gt;0")&lt;&gt;1,"P0(전) 유효 1개 아님",IF(COUNTIFS($C:$C,$C787,$D:$D,"P0(후)",$L:$L,"&gt;0")&lt;&gt;1,"P0(후) 유효 1개 아님",IF(NOT(AND(ISNUMBER(N787),ISNUMBER(P787),ISNUMBER(H787))),"시각 결측",IF(P787&lt;=N787,"P0 시각 역전",IF(OR(H787&lt;N787,H787&gt;P787),"측정시각 구간 밖","OK")))))</f>
        <v/>
      </c>
      <c r="N787" s="45">
        <f>IF(COUNTIFS($C:$C,$C787,$D:$D,"P0(전)",$L:$L,"&gt;0")&lt;&gt;1,"",SUMIFS($H:$H,$C:$C,$C787,$D:$D,"P0(전)"))</f>
        <v/>
      </c>
      <c r="O787" s="30">
        <f>IF(COUNTIFS($C:$C,$C787,$D:$D,"P0(전)",$L:$L,"&gt;0")&lt;&gt;1,"",SUMIFS($L:$L,$C:$C,$C787,$D:$D,"P0(전)"))</f>
        <v/>
      </c>
      <c r="P787" s="45">
        <f>IF(COUNTIFS($C:$C,$C787,$D:$D,"P0(후)",$L:$L,"&gt;0")&lt;&gt;1,"",SUMIFS($H:$H,$C:$C,$C787,$D:$D,"P0(후)"))</f>
        <v/>
      </c>
      <c r="Q787" s="30">
        <f>IF(COUNTIFS($C:$C,$C787,$D:$D,"P0(후)",$L:$L,"&gt;0")&lt;&gt;1,"",SUMIFS($L:$L,$C:$C,$C787,$D:$D,"P0(후)"))</f>
        <v/>
      </c>
      <c r="R787" s="30">
        <f>IF(M787&lt;&gt;"OK","",O787+(Q787-O787)*(H787-N787)/(P787-N787))</f>
        <v/>
      </c>
      <c r="S787" s="30">
        <f>IF(OR(M787&lt;&gt;"OK",NOT(ISNUMBER(L787))),"",L787-R787)</f>
        <v/>
      </c>
      <c r="T787" s="46">
        <f>IF(OR(NOT(ISNUMBER(S787)),IF(ISNUMBER(G787),G787,F787)=0),"",S787/IF(ISNUMBER(G787),G787,F787))</f>
        <v/>
      </c>
      <c r="U787" s="46">
        <f>IF(ISNUMBER(T787),ABS(T787),"")</f>
        <v/>
      </c>
      <c r="V787" s="46">
        <f>IF(OR($D786&lt;&gt;"측정",$C786&lt;&gt;$C787,NOT(ISNUMBER(L787)),NOT(ISNUMBER(L786)),(IF(ISNUMBER(G787),G787,F787)-IF(ISNUMBER(G786),G786,F786))=0),"",(L787-L786)/(IF(ISNUMBER(G787),G787,F787)-IF(ISNUMBER(G786),G786,F786)))</f>
        <v/>
      </c>
      <c r="W787" s="30">
        <f>IF(NOT(AND(ISNUMBER(N787),ISNUMBER(P787))),"",(P787-N787)*1440)</f>
        <v/>
      </c>
      <c r="X787" s="28" t="n"/>
      <c r="Y787" s="28" t="n"/>
      <c r="Z787" s="28" t="n"/>
      <c r="AA787" s="31" t="n"/>
      <c r="AB787" s="31" t="n"/>
    </row>
    <row r="788">
      <c r="A788" s="25" t="inlineStr">
        <is>
          <t>S16</t>
        </is>
      </c>
      <c r="B788" s="25" t="inlineStr">
        <is>
          <t>예천 신규점</t>
        </is>
      </c>
      <c r="C788" s="25" t="inlineStr">
        <is>
          <t>S16-H동</t>
        </is>
      </c>
      <c r="D788" s="25" t="inlineStr">
        <is>
          <t>측정</t>
        </is>
      </c>
      <c r="E788" s="25" t="inlineStr">
        <is>
          <t>동</t>
        </is>
      </c>
      <c r="F788" s="30" t="n">
        <v>2</v>
      </c>
      <c r="G788" s="29" t="n"/>
      <c r="H788" s="42" t="n"/>
      <c r="I788" s="40" t="n"/>
      <c r="J788" s="40" t="n"/>
      <c r="K788" s="40" t="n"/>
      <c r="L788" s="30">
        <f>IF(COUNT(I788:K788)=0,"",MEDIAN(I788:K788))</f>
        <v/>
      </c>
      <c r="M788" s="25">
        <f>IF(COUNTIFS($C:$C,$C788,$D:$D,"P0(전)",$L:$L,"&gt;0")&lt;&gt;1,"P0(전) 유효 1개 아님",IF(COUNTIFS($C:$C,$C788,$D:$D,"P0(후)",$L:$L,"&gt;0")&lt;&gt;1,"P0(후) 유효 1개 아님",IF(NOT(AND(ISNUMBER(N788),ISNUMBER(P788),ISNUMBER(H788))),"시각 결측",IF(P788&lt;=N788,"P0 시각 역전",IF(OR(H788&lt;N788,H788&gt;P788),"측정시각 구간 밖","OK")))))</f>
        <v/>
      </c>
      <c r="N788" s="45">
        <f>IF(COUNTIFS($C:$C,$C788,$D:$D,"P0(전)",$L:$L,"&gt;0")&lt;&gt;1,"",SUMIFS($H:$H,$C:$C,$C788,$D:$D,"P0(전)"))</f>
        <v/>
      </c>
      <c r="O788" s="30">
        <f>IF(COUNTIFS($C:$C,$C788,$D:$D,"P0(전)",$L:$L,"&gt;0")&lt;&gt;1,"",SUMIFS($L:$L,$C:$C,$C788,$D:$D,"P0(전)"))</f>
        <v/>
      </c>
      <c r="P788" s="45">
        <f>IF(COUNTIFS($C:$C,$C788,$D:$D,"P0(후)",$L:$L,"&gt;0")&lt;&gt;1,"",SUMIFS($H:$H,$C:$C,$C788,$D:$D,"P0(후)"))</f>
        <v/>
      </c>
      <c r="Q788" s="30">
        <f>IF(COUNTIFS($C:$C,$C788,$D:$D,"P0(후)",$L:$L,"&gt;0")&lt;&gt;1,"",SUMIFS($L:$L,$C:$C,$C788,$D:$D,"P0(후)"))</f>
        <v/>
      </c>
      <c r="R788" s="30">
        <f>IF(M788&lt;&gt;"OK","",O788+(Q788-O788)*(H788-N788)/(P788-N788))</f>
        <v/>
      </c>
      <c r="S788" s="30">
        <f>IF(OR(M788&lt;&gt;"OK",NOT(ISNUMBER(L788))),"",L788-R788)</f>
        <v/>
      </c>
      <c r="T788" s="46">
        <f>IF(OR(NOT(ISNUMBER(S788)),IF(ISNUMBER(G788),G788,F788)=0),"",S788/IF(ISNUMBER(G788),G788,F788))</f>
        <v/>
      </c>
      <c r="U788" s="46">
        <f>IF(ISNUMBER(T788),ABS(T788),"")</f>
        <v/>
      </c>
      <c r="V788" s="46">
        <f>IF(OR($D787&lt;&gt;"측정",$C787&lt;&gt;$C788,NOT(ISNUMBER(L788)),NOT(ISNUMBER(L787)),(IF(ISNUMBER(G788),G788,F788)-IF(ISNUMBER(G787),G787,F787))=0),"",(L788-L787)/(IF(ISNUMBER(G788),G788,F788)-IF(ISNUMBER(G787),G787,F787)))</f>
        <v/>
      </c>
      <c r="W788" s="30">
        <f>IF(NOT(AND(ISNUMBER(N788),ISNUMBER(P788))),"",(P788-N788)*1440)</f>
        <v/>
      </c>
      <c r="X788" s="28" t="n"/>
      <c r="Y788" s="28" t="n"/>
      <c r="Z788" s="28" t="n"/>
      <c r="AA788" s="31" t="n"/>
      <c r="AB788" s="31" t="n"/>
    </row>
    <row r="789">
      <c r="A789" s="25" t="inlineStr">
        <is>
          <t>S16</t>
        </is>
      </c>
      <c r="B789" s="25" t="inlineStr">
        <is>
          <t>예천 신규점</t>
        </is>
      </c>
      <c r="C789" s="25" t="inlineStr">
        <is>
          <t>S16-H동</t>
        </is>
      </c>
      <c r="D789" s="25" t="inlineStr">
        <is>
          <t>측정</t>
        </is>
      </c>
      <c r="E789" s="25" t="inlineStr">
        <is>
          <t>동</t>
        </is>
      </c>
      <c r="F789" s="30" t="n">
        <v>3</v>
      </c>
      <c r="G789" s="29" t="n"/>
      <c r="H789" s="42" t="n"/>
      <c r="I789" s="40" t="n"/>
      <c r="J789" s="40" t="n"/>
      <c r="K789" s="40" t="n"/>
      <c r="L789" s="30">
        <f>IF(COUNT(I789:K789)=0,"",MEDIAN(I789:K789))</f>
        <v/>
      </c>
      <c r="M789" s="25">
        <f>IF(COUNTIFS($C:$C,$C789,$D:$D,"P0(전)",$L:$L,"&gt;0")&lt;&gt;1,"P0(전) 유효 1개 아님",IF(COUNTIFS($C:$C,$C789,$D:$D,"P0(후)",$L:$L,"&gt;0")&lt;&gt;1,"P0(후) 유효 1개 아님",IF(NOT(AND(ISNUMBER(N789),ISNUMBER(P789),ISNUMBER(H789))),"시각 결측",IF(P789&lt;=N789,"P0 시각 역전",IF(OR(H789&lt;N789,H789&gt;P789),"측정시각 구간 밖","OK")))))</f>
        <v/>
      </c>
      <c r="N789" s="45">
        <f>IF(COUNTIFS($C:$C,$C789,$D:$D,"P0(전)",$L:$L,"&gt;0")&lt;&gt;1,"",SUMIFS($H:$H,$C:$C,$C789,$D:$D,"P0(전)"))</f>
        <v/>
      </c>
      <c r="O789" s="30">
        <f>IF(COUNTIFS($C:$C,$C789,$D:$D,"P0(전)",$L:$L,"&gt;0")&lt;&gt;1,"",SUMIFS($L:$L,$C:$C,$C789,$D:$D,"P0(전)"))</f>
        <v/>
      </c>
      <c r="P789" s="45">
        <f>IF(COUNTIFS($C:$C,$C789,$D:$D,"P0(후)",$L:$L,"&gt;0")&lt;&gt;1,"",SUMIFS($H:$H,$C:$C,$C789,$D:$D,"P0(후)"))</f>
        <v/>
      </c>
      <c r="Q789" s="30">
        <f>IF(COUNTIFS($C:$C,$C789,$D:$D,"P0(후)",$L:$L,"&gt;0")&lt;&gt;1,"",SUMIFS($L:$L,$C:$C,$C789,$D:$D,"P0(후)"))</f>
        <v/>
      </c>
      <c r="R789" s="30">
        <f>IF(M789&lt;&gt;"OK","",O789+(Q789-O789)*(H789-N789)/(P789-N789))</f>
        <v/>
      </c>
      <c r="S789" s="30">
        <f>IF(OR(M789&lt;&gt;"OK",NOT(ISNUMBER(L789))),"",L789-R789)</f>
        <v/>
      </c>
      <c r="T789" s="46">
        <f>IF(OR(NOT(ISNUMBER(S789)),IF(ISNUMBER(G789),G789,F789)=0),"",S789/IF(ISNUMBER(G789),G789,F789))</f>
        <v/>
      </c>
      <c r="U789" s="46">
        <f>IF(ISNUMBER(T789),ABS(T789),"")</f>
        <v/>
      </c>
      <c r="V789" s="46">
        <f>IF(OR($D788&lt;&gt;"측정",$C788&lt;&gt;$C789,NOT(ISNUMBER(L789)),NOT(ISNUMBER(L788)),(IF(ISNUMBER(G789),G789,F789)-IF(ISNUMBER(G788),G788,F788))=0),"",(L789-L788)/(IF(ISNUMBER(G789),G789,F789)-IF(ISNUMBER(G788),G788,F788)))</f>
        <v/>
      </c>
      <c r="W789" s="30">
        <f>IF(NOT(AND(ISNUMBER(N789),ISNUMBER(P789))),"",(P789-N789)*1440)</f>
        <v/>
      </c>
      <c r="X789" s="28" t="n"/>
      <c r="Y789" s="28" t="n"/>
      <c r="Z789" s="28" t="n"/>
      <c r="AA789" s="31" t="n"/>
      <c r="AB789" s="31" t="n"/>
    </row>
    <row r="790">
      <c r="A790" s="25" t="inlineStr">
        <is>
          <t>S16</t>
        </is>
      </c>
      <c r="B790" s="25" t="inlineStr">
        <is>
          <t>예천 신규점</t>
        </is>
      </c>
      <c r="C790" s="25" t="inlineStr">
        <is>
          <t>S16-H동</t>
        </is>
      </c>
      <c r="D790" s="25" t="inlineStr">
        <is>
          <t>측정</t>
        </is>
      </c>
      <c r="E790" s="25" t="inlineStr">
        <is>
          <t>동</t>
        </is>
      </c>
      <c r="F790" s="30" t="n">
        <v>4</v>
      </c>
      <c r="G790" s="29" t="n"/>
      <c r="H790" s="42" t="n"/>
      <c r="I790" s="40" t="n"/>
      <c r="J790" s="40" t="n"/>
      <c r="K790" s="40" t="n"/>
      <c r="L790" s="30">
        <f>IF(COUNT(I790:K790)=0,"",MEDIAN(I790:K790))</f>
        <v/>
      </c>
      <c r="M790" s="25">
        <f>IF(COUNTIFS($C:$C,$C790,$D:$D,"P0(전)",$L:$L,"&gt;0")&lt;&gt;1,"P0(전) 유효 1개 아님",IF(COUNTIFS($C:$C,$C790,$D:$D,"P0(후)",$L:$L,"&gt;0")&lt;&gt;1,"P0(후) 유효 1개 아님",IF(NOT(AND(ISNUMBER(N790),ISNUMBER(P790),ISNUMBER(H790))),"시각 결측",IF(P790&lt;=N790,"P0 시각 역전",IF(OR(H790&lt;N790,H790&gt;P790),"측정시각 구간 밖","OK")))))</f>
        <v/>
      </c>
      <c r="N790" s="45">
        <f>IF(COUNTIFS($C:$C,$C790,$D:$D,"P0(전)",$L:$L,"&gt;0")&lt;&gt;1,"",SUMIFS($H:$H,$C:$C,$C790,$D:$D,"P0(전)"))</f>
        <v/>
      </c>
      <c r="O790" s="30">
        <f>IF(COUNTIFS($C:$C,$C790,$D:$D,"P0(전)",$L:$L,"&gt;0")&lt;&gt;1,"",SUMIFS($L:$L,$C:$C,$C790,$D:$D,"P0(전)"))</f>
        <v/>
      </c>
      <c r="P790" s="45">
        <f>IF(COUNTIFS($C:$C,$C790,$D:$D,"P0(후)",$L:$L,"&gt;0")&lt;&gt;1,"",SUMIFS($H:$H,$C:$C,$C790,$D:$D,"P0(후)"))</f>
        <v/>
      </c>
      <c r="Q790" s="30">
        <f>IF(COUNTIFS($C:$C,$C790,$D:$D,"P0(후)",$L:$L,"&gt;0")&lt;&gt;1,"",SUMIFS($L:$L,$C:$C,$C790,$D:$D,"P0(후)"))</f>
        <v/>
      </c>
      <c r="R790" s="30">
        <f>IF(M790&lt;&gt;"OK","",O790+(Q790-O790)*(H790-N790)/(P790-N790))</f>
        <v/>
      </c>
      <c r="S790" s="30">
        <f>IF(OR(M790&lt;&gt;"OK",NOT(ISNUMBER(L790))),"",L790-R790)</f>
        <v/>
      </c>
      <c r="T790" s="46">
        <f>IF(OR(NOT(ISNUMBER(S790)),IF(ISNUMBER(G790),G790,F790)=0),"",S790/IF(ISNUMBER(G790),G790,F790))</f>
        <v/>
      </c>
      <c r="U790" s="46">
        <f>IF(ISNUMBER(T790),ABS(T790),"")</f>
        <v/>
      </c>
      <c r="V790" s="46">
        <f>IF(OR($D789&lt;&gt;"측정",$C789&lt;&gt;$C790,NOT(ISNUMBER(L790)),NOT(ISNUMBER(L789)),(IF(ISNUMBER(G790),G790,F790)-IF(ISNUMBER(G789),G789,F789))=0),"",(L790-L789)/(IF(ISNUMBER(G790),G790,F790)-IF(ISNUMBER(G789),G789,F789)))</f>
        <v/>
      </c>
      <c r="W790" s="30">
        <f>IF(NOT(AND(ISNUMBER(N790),ISNUMBER(P790))),"",(P790-N790)*1440)</f>
        <v/>
      </c>
      <c r="X790" s="28" t="n"/>
      <c r="Y790" s="28" t="n"/>
      <c r="Z790" s="28" t="n"/>
      <c r="AA790" s="31" t="n"/>
      <c r="AB790" s="31" t="n"/>
    </row>
    <row r="791">
      <c r="A791" s="25" t="inlineStr">
        <is>
          <t>S16</t>
        </is>
      </c>
      <c r="B791" s="25" t="inlineStr">
        <is>
          <t>예천 신규점</t>
        </is>
      </c>
      <c r="C791" s="25" t="inlineStr">
        <is>
          <t>S16-H동</t>
        </is>
      </c>
      <c r="D791" s="25" t="inlineStr">
        <is>
          <t>측정</t>
        </is>
      </c>
      <c r="E791" s="25" t="inlineStr">
        <is>
          <t>동</t>
        </is>
      </c>
      <c r="F791" s="30" t="n">
        <v>5</v>
      </c>
      <c r="G791" s="29" t="n"/>
      <c r="H791" s="42" t="n"/>
      <c r="I791" s="40" t="n"/>
      <c r="J791" s="40" t="n"/>
      <c r="K791" s="40" t="n"/>
      <c r="L791" s="30">
        <f>IF(COUNT(I791:K791)=0,"",MEDIAN(I791:K791))</f>
        <v/>
      </c>
      <c r="M791" s="25">
        <f>IF(COUNTIFS($C:$C,$C791,$D:$D,"P0(전)",$L:$L,"&gt;0")&lt;&gt;1,"P0(전) 유효 1개 아님",IF(COUNTIFS($C:$C,$C791,$D:$D,"P0(후)",$L:$L,"&gt;0")&lt;&gt;1,"P0(후) 유효 1개 아님",IF(NOT(AND(ISNUMBER(N791),ISNUMBER(P791),ISNUMBER(H791))),"시각 결측",IF(P791&lt;=N791,"P0 시각 역전",IF(OR(H791&lt;N791,H791&gt;P791),"측정시각 구간 밖","OK")))))</f>
        <v/>
      </c>
      <c r="N791" s="45">
        <f>IF(COUNTIFS($C:$C,$C791,$D:$D,"P0(전)",$L:$L,"&gt;0")&lt;&gt;1,"",SUMIFS($H:$H,$C:$C,$C791,$D:$D,"P0(전)"))</f>
        <v/>
      </c>
      <c r="O791" s="30">
        <f>IF(COUNTIFS($C:$C,$C791,$D:$D,"P0(전)",$L:$L,"&gt;0")&lt;&gt;1,"",SUMIFS($L:$L,$C:$C,$C791,$D:$D,"P0(전)"))</f>
        <v/>
      </c>
      <c r="P791" s="45">
        <f>IF(COUNTIFS($C:$C,$C791,$D:$D,"P0(후)",$L:$L,"&gt;0")&lt;&gt;1,"",SUMIFS($H:$H,$C:$C,$C791,$D:$D,"P0(후)"))</f>
        <v/>
      </c>
      <c r="Q791" s="30">
        <f>IF(COUNTIFS($C:$C,$C791,$D:$D,"P0(후)",$L:$L,"&gt;0")&lt;&gt;1,"",SUMIFS($L:$L,$C:$C,$C791,$D:$D,"P0(후)"))</f>
        <v/>
      </c>
      <c r="R791" s="30">
        <f>IF(M791&lt;&gt;"OK","",O791+(Q791-O791)*(H791-N791)/(P791-N791))</f>
        <v/>
      </c>
      <c r="S791" s="30">
        <f>IF(OR(M791&lt;&gt;"OK",NOT(ISNUMBER(L791))),"",L791-R791)</f>
        <v/>
      </c>
      <c r="T791" s="46">
        <f>IF(OR(NOT(ISNUMBER(S791)),IF(ISNUMBER(G791),G791,F791)=0),"",S791/IF(ISNUMBER(G791),G791,F791))</f>
        <v/>
      </c>
      <c r="U791" s="46">
        <f>IF(ISNUMBER(T791),ABS(T791),"")</f>
        <v/>
      </c>
      <c r="V791" s="46">
        <f>IF(OR($D790&lt;&gt;"측정",$C790&lt;&gt;$C791,NOT(ISNUMBER(L791)),NOT(ISNUMBER(L790)),(IF(ISNUMBER(G791),G791,F791)-IF(ISNUMBER(G790),G790,F790))=0),"",(L791-L790)/(IF(ISNUMBER(G791),G791,F791)-IF(ISNUMBER(G790),G790,F790)))</f>
        <v/>
      </c>
      <c r="W791" s="30">
        <f>IF(NOT(AND(ISNUMBER(N791),ISNUMBER(P791))),"",(P791-N791)*1440)</f>
        <v/>
      </c>
      <c r="X791" s="28" t="n"/>
      <c r="Y791" s="28" t="n"/>
      <c r="Z791" s="28" t="n"/>
      <c r="AA791" s="31" t="n"/>
      <c r="AB791" s="31" t="n"/>
    </row>
    <row r="792">
      <c r="A792" s="25" t="inlineStr">
        <is>
          <t>S16</t>
        </is>
      </c>
      <c r="B792" s="25" t="inlineStr">
        <is>
          <t>예천 신규점</t>
        </is>
      </c>
      <c r="C792" s="25" t="inlineStr">
        <is>
          <t>S16-H동</t>
        </is>
      </c>
      <c r="D792" s="25" t="inlineStr">
        <is>
          <t>측정</t>
        </is>
      </c>
      <c r="E792" s="25" t="inlineStr">
        <is>
          <t>동</t>
        </is>
      </c>
      <c r="F792" s="30" t="n">
        <v>6</v>
      </c>
      <c r="G792" s="29" t="n"/>
      <c r="H792" s="42" t="n"/>
      <c r="I792" s="40" t="n"/>
      <c r="J792" s="40" t="n"/>
      <c r="K792" s="40" t="n"/>
      <c r="L792" s="30">
        <f>IF(COUNT(I792:K792)=0,"",MEDIAN(I792:K792))</f>
        <v/>
      </c>
      <c r="M792" s="25">
        <f>IF(COUNTIFS($C:$C,$C792,$D:$D,"P0(전)",$L:$L,"&gt;0")&lt;&gt;1,"P0(전) 유효 1개 아님",IF(COUNTIFS($C:$C,$C792,$D:$D,"P0(후)",$L:$L,"&gt;0")&lt;&gt;1,"P0(후) 유효 1개 아님",IF(NOT(AND(ISNUMBER(N792),ISNUMBER(P792),ISNUMBER(H792))),"시각 결측",IF(P792&lt;=N792,"P0 시각 역전",IF(OR(H792&lt;N792,H792&gt;P792),"측정시각 구간 밖","OK")))))</f>
        <v/>
      </c>
      <c r="N792" s="45">
        <f>IF(COUNTIFS($C:$C,$C792,$D:$D,"P0(전)",$L:$L,"&gt;0")&lt;&gt;1,"",SUMIFS($H:$H,$C:$C,$C792,$D:$D,"P0(전)"))</f>
        <v/>
      </c>
      <c r="O792" s="30">
        <f>IF(COUNTIFS($C:$C,$C792,$D:$D,"P0(전)",$L:$L,"&gt;0")&lt;&gt;1,"",SUMIFS($L:$L,$C:$C,$C792,$D:$D,"P0(전)"))</f>
        <v/>
      </c>
      <c r="P792" s="45">
        <f>IF(COUNTIFS($C:$C,$C792,$D:$D,"P0(후)",$L:$L,"&gt;0")&lt;&gt;1,"",SUMIFS($H:$H,$C:$C,$C792,$D:$D,"P0(후)"))</f>
        <v/>
      </c>
      <c r="Q792" s="30">
        <f>IF(COUNTIFS($C:$C,$C792,$D:$D,"P0(후)",$L:$L,"&gt;0")&lt;&gt;1,"",SUMIFS($L:$L,$C:$C,$C792,$D:$D,"P0(후)"))</f>
        <v/>
      </c>
      <c r="R792" s="30">
        <f>IF(M792&lt;&gt;"OK","",O792+(Q792-O792)*(H792-N792)/(P792-N792))</f>
        <v/>
      </c>
      <c r="S792" s="30">
        <f>IF(OR(M792&lt;&gt;"OK",NOT(ISNUMBER(L792))),"",L792-R792)</f>
        <v/>
      </c>
      <c r="T792" s="46">
        <f>IF(OR(NOT(ISNUMBER(S792)),IF(ISNUMBER(G792),G792,F792)=0),"",S792/IF(ISNUMBER(G792),G792,F792))</f>
        <v/>
      </c>
      <c r="U792" s="46">
        <f>IF(ISNUMBER(T792),ABS(T792),"")</f>
        <v/>
      </c>
      <c r="V792" s="46">
        <f>IF(OR($D791&lt;&gt;"측정",$C791&lt;&gt;$C792,NOT(ISNUMBER(L792)),NOT(ISNUMBER(L791)),(IF(ISNUMBER(G792),G792,F792)-IF(ISNUMBER(G791),G791,F791))=0),"",(L792-L791)/(IF(ISNUMBER(G792),G792,F792)-IF(ISNUMBER(G791),G791,F791)))</f>
        <v/>
      </c>
      <c r="W792" s="30">
        <f>IF(NOT(AND(ISNUMBER(N792),ISNUMBER(P792))),"",(P792-N792)*1440)</f>
        <v/>
      </c>
      <c r="X792" s="28" t="n"/>
      <c r="Y792" s="28" t="n"/>
      <c r="Z792" s="28" t="n"/>
      <c r="AA792" s="31" t="n"/>
      <c r="AB792" s="31" t="n"/>
    </row>
    <row r="793">
      <c r="A793" s="25" t="inlineStr">
        <is>
          <t>S16</t>
        </is>
      </c>
      <c r="B793" s="25" t="inlineStr">
        <is>
          <t>예천 신규점</t>
        </is>
      </c>
      <c r="C793" s="25" t="inlineStr">
        <is>
          <t>S16-H동</t>
        </is>
      </c>
      <c r="D793" s="25" t="inlineStr">
        <is>
          <t>측정</t>
        </is>
      </c>
      <c r="E793" s="25" t="inlineStr">
        <is>
          <t>동</t>
        </is>
      </c>
      <c r="F793" s="30" t="n">
        <v>7</v>
      </c>
      <c r="G793" s="29" t="n"/>
      <c r="H793" s="42" t="n"/>
      <c r="I793" s="40" t="n"/>
      <c r="J793" s="40" t="n"/>
      <c r="K793" s="40" t="n"/>
      <c r="L793" s="30">
        <f>IF(COUNT(I793:K793)=0,"",MEDIAN(I793:K793))</f>
        <v/>
      </c>
      <c r="M793" s="25">
        <f>IF(COUNTIFS($C:$C,$C793,$D:$D,"P0(전)",$L:$L,"&gt;0")&lt;&gt;1,"P0(전) 유효 1개 아님",IF(COUNTIFS($C:$C,$C793,$D:$D,"P0(후)",$L:$L,"&gt;0")&lt;&gt;1,"P0(후) 유효 1개 아님",IF(NOT(AND(ISNUMBER(N793),ISNUMBER(P793),ISNUMBER(H793))),"시각 결측",IF(P793&lt;=N793,"P0 시각 역전",IF(OR(H793&lt;N793,H793&gt;P793),"측정시각 구간 밖","OK")))))</f>
        <v/>
      </c>
      <c r="N793" s="45">
        <f>IF(COUNTIFS($C:$C,$C793,$D:$D,"P0(전)",$L:$L,"&gt;0")&lt;&gt;1,"",SUMIFS($H:$H,$C:$C,$C793,$D:$D,"P0(전)"))</f>
        <v/>
      </c>
      <c r="O793" s="30">
        <f>IF(COUNTIFS($C:$C,$C793,$D:$D,"P0(전)",$L:$L,"&gt;0")&lt;&gt;1,"",SUMIFS($L:$L,$C:$C,$C793,$D:$D,"P0(전)"))</f>
        <v/>
      </c>
      <c r="P793" s="45">
        <f>IF(COUNTIFS($C:$C,$C793,$D:$D,"P0(후)",$L:$L,"&gt;0")&lt;&gt;1,"",SUMIFS($H:$H,$C:$C,$C793,$D:$D,"P0(후)"))</f>
        <v/>
      </c>
      <c r="Q793" s="30">
        <f>IF(COUNTIFS($C:$C,$C793,$D:$D,"P0(후)",$L:$L,"&gt;0")&lt;&gt;1,"",SUMIFS($L:$L,$C:$C,$C793,$D:$D,"P0(후)"))</f>
        <v/>
      </c>
      <c r="R793" s="30">
        <f>IF(M793&lt;&gt;"OK","",O793+(Q793-O793)*(H793-N793)/(P793-N793))</f>
        <v/>
      </c>
      <c r="S793" s="30">
        <f>IF(OR(M793&lt;&gt;"OK",NOT(ISNUMBER(L793))),"",L793-R793)</f>
        <v/>
      </c>
      <c r="T793" s="46">
        <f>IF(OR(NOT(ISNUMBER(S793)),IF(ISNUMBER(G793),G793,F793)=0),"",S793/IF(ISNUMBER(G793),G793,F793))</f>
        <v/>
      </c>
      <c r="U793" s="46">
        <f>IF(ISNUMBER(T793),ABS(T793),"")</f>
        <v/>
      </c>
      <c r="V793" s="46">
        <f>IF(OR($D792&lt;&gt;"측정",$C792&lt;&gt;$C793,NOT(ISNUMBER(L793)),NOT(ISNUMBER(L792)),(IF(ISNUMBER(G793),G793,F793)-IF(ISNUMBER(G792),G792,F792))=0),"",(L793-L792)/(IF(ISNUMBER(G793),G793,F793)-IF(ISNUMBER(G792),G792,F792)))</f>
        <v/>
      </c>
      <c r="W793" s="30">
        <f>IF(NOT(AND(ISNUMBER(N793),ISNUMBER(P793))),"",(P793-N793)*1440)</f>
        <v/>
      </c>
      <c r="X793" s="28" t="n"/>
      <c r="Y793" s="28" t="n"/>
      <c r="Z793" s="28" t="n"/>
      <c r="AA793" s="31" t="n"/>
      <c r="AB793" s="31" t="n"/>
    </row>
    <row r="794">
      <c r="A794" s="25" t="inlineStr">
        <is>
          <t>S16</t>
        </is>
      </c>
      <c r="B794" s="25" t="inlineStr">
        <is>
          <t>예천 신규점</t>
        </is>
      </c>
      <c r="C794" s="25" t="inlineStr">
        <is>
          <t>S16-H동</t>
        </is>
      </c>
      <c r="D794" s="25" t="inlineStr">
        <is>
          <t>측정</t>
        </is>
      </c>
      <c r="E794" s="25" t="inlineStr">
        <is>
          <t>동</t>
        </is>
      </c>
      <c r="F794" s="30" t="n">
        <v>8</v>
      </c>
      <c r="G794" s="29" t="n"/>
      <c r="H794" s="42" t="n"/>
      <c r="I794" s="40" t="n"/>
      <c r="J794" s="40" t="n"/>
      <c r="K794" s="40" t="n"/>
      <c r="L794" s="30">
        <f>IF(COUNT(I794:K794)=0,"",MEDIAN(I794:K794))</f>
        <v/>
      </c>
      <c r="M794" s="25">
        <f>IF(COUNTIFS($C:$C,$C794,$D:$D,"P0(전)",$L:$L,"&gt;0")&lt;&gt;1,"P0(전) 유효 1개 아님",IF(COUNTIFS($C:$C,$C794,$D:$D,"P0(후)",$L:$L,"&gt;0")&lt;&gt;1,"P0(후) 유효 1개 아님",IF(NOT(AND(ISNUMBER(N794),ISNUMBER(P794),ISNUMBER(H794))),"시각 결측",IF(P794&lt;=N794,"P0 시각 역전",IF(OR(H794&lt;N794,H794&gt;P794),"측정시각 구간 밖","OK")))))</f>
        <v/>
      </c>
      <c r="N794" s="45">
        <f>IF(COUNTIFS($C:$C,$C794,$D:$D,"P0(전)",$L:$L,"&gt;0")&lt;&gt;1,"",SUMIFS($H:$H,$C:$C,$C794,$D:$D,"P0(전)"))</f>
        <v/>
      </c>
      <c r="O794" s="30">
        <f>IF(COUNTIFS($C:$C,$C794,$D:$D,"P0(전)",$L:$L,"&gt;0")&lt;&gt;1,"",SUMIFS($L:$L,$C:$C,$C794,$D:$D,"P0(전)"))</f>
        <v/>
      </c>
      <c r="P794" s="45">
        <f>IF(COUNTIFS($C:$C,$C794,$D:$D,"P0(후)",$L:$L,"&gt;0")&lt;&gt;1,"",SUMIFS($H:$H,$C:$C,$C794,$D:$D,"P0(후)"))</f>
        <v/>
      </c>
      <c r="Q794" s="30">
        <f>IF(COUNTIFS($C:$C,$C794,$D:$D,"P0(후)",$L:$L,"&gt;0")&lt;&gt;1,"",SUMIFS($L:$L,$C:$C,$C794,$D:$D,"P0(후)"))</f>
        <v/>
      </c>
      <c r="R794" s="30">
        <f>IF(M794&lt;&gt;"OK","",O794+(Q794-O794)*(H794-N794)/(P794-N794))</f>
        <v/>
      </c>
      <c r="S794" s="30">
        <f>IF(OR(M794&lt;&gt;"OK",NOT(ISNUMBER(L794))),"",L794-R794)</f>
        <v/>
      </c>
      <c r="T794" s="46">
        <f>IF(OR(NOT(ISNUMBER(S794)),IF(ISNUMBER(G794),G794,F794)=0),"",S794/IF(ISNUMBER(G794),G794,F794))</f>
        <v/>
      </c>
      <c r="U794" s="46">
        <f>IF(ISNUMBER(T794),ABS(T794),"")</f>
        <v/>
      </c>
      <c r="V794" s="46">
        <f>IF(OR($D793&lt;&gt;"측정",$C793&lt;&gt;$C794,NOT(ISNUMBER(L794)),NOT(ISNUMBER(L793)),(IF(ISNUMBER(G794),G794,F794)-IF(ISNUMBER(G793),G793,F793))=0),"",(L794-L793)/(IF(ISNUMBER(G794),G794,F794)-IF(ISNUMBER(G793),G793,F793)))</f>
        <v/>
      </c>
      <c r="W794" s="30">
        <f>IF(NOT(AND(ISNUMBER(N794),ISNUMBER(P794))),"",(P794-N794)*1440)</f>
        <v/>
      </c>
      <c r="X794" s="28" t="n"/>
      <c r="Y794" s="28" t="n"/>
      <c r="Z794" s="28" t="n"/>
      <c r="AA794" s="31" t="n"/>
      <c r="AB794" s="31" t="n"/>
    </row>
    <row r="795">
      <c r="A795" s="25" t="inlineStr">
        <is>
          <t>S16</t>
        </is>
      </c>
      <c r="B795" s="25" t="inlineStr">
        <is>
          <t>예천 신규점</t>
        </is>
      </c>
      <c r="C795" s="25" t="inlineStr">
        <is>
          <t>S16-H동</t>
        </is>
      </c>
      <c r="D795" s="25" t="inlineStr">
        <is>
          <t>측정</t>
        </is>
      </c>
      <c r="E795" s="25" t="inlineStr">
        <is>
          <t>동</t>
        </is>
      </c>
      <c r="F795" s="30" t="n">
        <v>9</v>
      </c>
      <c r="G795" s="29" t="n"/>
      <c r="H795" s="42" t="n"/>
      <c r="I795" s="40" t="n"/>
      <c r="J795" s="40" t="n"/>
      <c r="K795" s="40" t="n"/>
      <c r="L795" s="30">
        <f>IF(COUNT(I795:K795)=0,"",MEDIAN(I795:K795))</f>
        <v/>
      </c>
      <c r="M795" s="25">
        <f>IF(COUNTIFS($C:$C,$C795,$D:$D,"P0(전)",$L:$L,"&gt;0")&lt;&gt;1,"P0(전) 유효 1개 아님",IF(COUNTIFS($C:$C,$C795,$D:$D,"P0(후)",$L:$L,"&gt;0")&lt;&gt;1,"P0(후) 유효 1개 아님",IF(NOT(AND(ISNUMBER(N795),ISNUMBER(P795),ISNUMBER(H795))),"시각 결측",IF(P795&lt;=N795,"P0 시각 역전",IF(OR(H795&lt;N795,H795&gt;P795),"측정시각 구간 밖","OK")))))</f>
        <v/>
      </c>
      <c r="N795" s="45">
        <f>IF(COUNTIFS($C:$C,$C795,$D:$D,"P0(전)",$L:$L,"&gt;0")&lt;&gt;1,"",SUMIFS($H:$H,$C:$C,$C795,$D:$D,"P0(전)"))</f>
        <v/>
      </c>
      <c r="O795" s="30">
        <f>IF(COUNTIFS($C:$C,$C795,$D:$D,"P0(전)",$L:$L,"&gt;0")&lt;&gt;1,"",SUMIFS($L:$L,$C:$C,$C795,$D:$D,"P0(전)"))</f>
        <v/>
      </c>
      <c r="P795" s="45">
        <f>IF(COUNTIFS($C:$C,$C795,$D:$D,"P0(후)",$L:$L,"&gt;0")&lt;&gt;1,"",SUMIFS($H:$H,$C:$C,$C795,$D:$D,"P0(후)"))</f>
        <v/>
      </c>
      <c r="Q795" s="30">
        <f>IF(COUNTIFS($C:$C,$C795,$D:$D,"P0(후)",$L:$L,"&gt;0")&lt;&gt;1,"",SUMIFS($L:$L,$C:$C,$C795,$D:$D,"P0(후)"))</f>
        <v/>
      </c>
      <c r="R795" s="30">
        <f>IF(M795&lt;&gt;"OK","",O795+(Q795-O795)*(H795-N795)/(P795-N795))</f>
        <v/>
      </c>
      <c r="S795" s="30">
        <f>IF(OR(M795&lt;&gt;"OK",NOT(ISNUMBER(L795))),"",L795-R795)</f>
        <v/>
      </c>
      <c r="T795" s="46">
        <f>IF(OR(NOT(ISNUMBER(S795)),IF(ISNUMBER(G795),G795,F795)=0),"",S795/IF(ISNUMBER(G795),G795,F795))</f>
        <v/>
      </c>
      <c r="U795" s="46">
        <f>IF(ISNUMBER(T795),ABS(T795),"")</f>
        <v/>
      </c>
      <c r="V795" s="46">
        <f>IF(OR($D794&lt;&gt;"측정",$C794&lt;&gt;$C795,NOT(ISNUMBER(L795)),NOT(ISNUMBER(L794)),(IF(ISNUMBER(G795),G795,F795)-IF(ISNUMBER(G794),G794,F794))=0),"",(L795-L794)/(IF(ISNUMBER(G795),G795,F795)-IF(ISNUMBER(G794),G794,F794)))</f>
        <v/>
      </c>
      <c r="W795" s="30">
        <f>IF(NOT(AND(ISNUMBER(N795),ISNUMBER(P795))),"",(P795-N795)*1440)</f>
        <v/>
      </c>
      <c r="X795" s="28" t="n"/>
      <c r="Y795" s="28" t="n"/>
      <c r="Z795" s="28" t="n"/>
      <c r="AA795" s="31" t="n"/>
      <c r="AB795" s="31" t="n"/>
    </row>
    <row r="796">
      <c r="A796" s="25" t="inlineStr">
        <is>
          <t>S16</t>
        </is>
      </c>
      <c r="B796" s="25" t="inlineStr">
        <is>
          <t>예천 신규점</t>
        </is>
      </c>
      <c r="C796" s="25" t="inlineStr">
        <is>
          <t>S16-H동</t>
        </is>
      </c>
      <c r="D796" s="25" t="inlineStr">
        <is>
          <t>측정</t>
        </is>
      </c>
      <c r="E796" s="25" t="inlineStr">
        <is>
          <t>동</t>
        </is>
      </c>
      <c r="F796" s="30" t="n">
        <v>10</v>
      </c>
      <c r="G796" s="29" t="n"/>
      <c r="H796" s="42" t="n"/>
      <c r="I796" s="40" t="n"/>
      <c r="J796" s="40" t="n"/>
      <c r="K796" s="40" t="n"/>
      <c r="L796" s="30">
        <f>IF(COUNT(I796:K796)=0,"",MEDIAN(I796:K796))</f>
        <v/>
      </c>
      <c r="M796" s="25">
        <f>IF(COUNTIFS($C:$C,$C796,$D:$D,"P0(전)",$L:$L,"&gt;0")&lt;&gt;1,"P0(전) 유효 1개 아님",IF(COUNTIFS($C:$C,$C796,$D:$D,"P0(후)",$L:$L,"&gt;0")&lt;&gt;1,"P0(후) 유효 1개 아님",IF(NOT(AND(ISNUMBER(N796),ISNUMBER(P796),ISNUMBER(H796))),"시각 결측",IF(P796&lt;=N796,"P0 시각 역전",IF(OR(H796&lt;N796,H796&gt;P796),"측정시각 구간 밖","OK")))))</f>
        <v/>
      </c>
      <c r="N796" s="45">
        <f>IF(COUNTIFS($C:$C,$C796,$D:$D,"P0(전)",$L:$L,"&gt;0")&lt;&gt;1,"",SUMIFS($H:$H,$C:$C,$C796,$D:$D,"P0(전)"))</f>
        <v/>
      </c>
      <c r="O796" s="30">
        <f>IF(COUNTIFS($C:$C,$C796,$D:$D,"P0(전)",$L:$L,"&gt;0")&lt;&gt;1,"",SUMIFS($L:$L,$C:$C,$C796,$D:$D,"P0(전)"))</f>
        <v/>
      </c>
      <c r="P796" s="45">
        <f>IF(COUNTIFS($C:$C,$C796,$D:$D,"P0(후)",$L:$L,"&gt;0")&lt;&gt;1,"",SUMIFS($H:$H,$C:$C,$C796,$D:$D,"P0(후)"))</f>
        <v/>
      </c>
      <c r="Q796" s="30">
        <f>IF(COUNTIFS($C:$C,$C796,$D:$D,"P0(후)",$L:$L,"&gt;0")&lt;&gt;1,"",SUMIFS($L:$L,$C:$C,$C796,$D:$D,"P0(후)"))</f>
        <v/>
      </c>
      <c r="R796" s="30">
        <f>IF(M796&lt;&gt;"OK","",O796+(Q796-O796)*(H796-N796)/(P796-N796))</f>
        <v/>
      </c>
      <c r="S796" s="30">
        <f>IF(OR(M796&lt;&gt;"OK",NOT(ISNUMBER(L796))),"",L796-R796)</f>
        <v/>
      </c>
      <c r="T796" s="46">
        <f>IF(OR(NOT(ISNUMBER(S796)),IF(ISNUMBER(G796),G796,F796)=0),"",S796/IF(ISNUMBER(G796),G796,F796))</f>
        <v/>
      </c>
      <c r="U796" s="46">
        <f>IF(ISNUMBER(T796),ABS(T796),"")</f>
        <v/>
      </c>
      <c r="V796" s="46">
        <f>IF(OR($D795&lt;&gt;"측정",$C795&lt;&gt;$C796,NOT(ISNUMBER(L796)),NOT(ISNUMBER(L795)),(IF(ISNUMBER(G796),G796,F796)-IF(ISNUMBER(G795),G795,F795))=0),"",(L796-L795)/(IF(ISNUMBER(G796),G796,F796)-IF(ISNUMBER(G795),G795,F795)))</f>
        <v/>
      </c>
      <c r="W796" s="30">
        <f>IF(NOT(AND(ISNUMBER(N796),ISNUMBER(P796))),"",(P796-N796)*1440)</f>
        <v/>
      </c>
      <c r="X796" s="28" t="n"/>
      <c r="Y796" s="28" t="n"/>
      <c r="Z796" s="28" t="n"/>
      <c r="AA796" s="31" t="n"/>
      <c r="AB796" s="31" t="n"/>
    </row>
    <row r="797">
      <c r="A797" s="43" t="inlineStr">
        <is>
          <t>S16</t>
        </is>
      </c>
      <c r="B797" s="43" t="inlineStr">
        <is>
          <t>예천 신규점</t>
        </is>
      </c>
      <c r="C797" s="43" t="inlineStr">
        <is>
          <t>S16-H동</t>
        </is>
      </c>
      <c r="D797" s="43" t="inlineStr">
        <is>
          <t>P0(후)</t>
        </is>
      </c>
      <c r="E797" s="43" t="inlineStr">
        <is>
          <t>동</t>
        </is>
      </c>
      <c r="F797" s="44" t="n"/>
      <c r="G797" s="29" t="n"/>
      <c r="H797" s="42" t="n"/>
      <c r="I797" s="40" t="n"/>
      <c r="J797" s="40" t="n"/>
      <c r="K797" s="40" t="n"/>
      <c r="L797" s="30">
        <f>IF(COUNT(I797:K797)=0,"",MEDIAN(I797:K797))</f>
        <v/>
      </c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28" t="n"/>
      <c r="Y797" s="28" t="n"/>
      <c r="Z797" s="28" t="n"/>
      <c r="AA797" s="31" t="n"/>
      <c r="AB797" s="31" t="n"/>
    </row>
    <row r="798">
      <c r="A798" s="43" t="inlineStr">
        <is>
          <t>S16</t>
        </is>
      </c>
      <c r="B798" s="43" t="inlineStr">
        <is>
          <t>예천 신규점</t>
        </is>
      </c>
      <c r="C798" s="43" t="inlineStr">
        <is>
          <t>S16-H서</t>
        </is>
      </c>
      <c r="D798" s="43" t="inlineStr">
        <is>
          <t>P0(전)</t>
        </is>
      </c>
      <c r="E798" s="43" t="inlineStr">
        <is>
          <t>서</t>
        </is>
      </c>
      <c r="F798" s="44" t="n"/>
      <c r="G798" s="29" t="n"/>
      <c r="H798" s="42" t="n"/>
      <c r="I798" s="40" t="n"/>
      <c r="J798" s="40" t="n"/>
      <c r="K798" s="40" t="n"/>
      <c r="L798" s="30">
        <f>IF(COUNT(I798:K798)=0,"",MEDIAN(I798:K798))</f>
        <v/>
      </c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28" t="n"/>
      <c r="Y798" s="28" t="n"/>
      <c r="Z798" s="28" t="n"/>
      <c r="AA798" s="31" t="n"/>
      <c r="AB798" s="31" t="n"/>
    </row>
    <row r="799">
      <c r="A799" s="25" t="inlineStr">
        <is>
          <t>S16</t>
        </is>
      </c>
      <c r="B799" s="25" t="inlineStr">
        <is>
          <t>예천 신규점</t>
        </is>
      </c>
      <c r="C799" s="25" t="inlineStr">
        <is>
          <t>S16-H서</t>
        </is>
      </c>
      <c r="D799" s="25" t="inlineStr">
        <is>
          <t>측정</t>
        </is>
      </c>
      <c r="E799" s="25" t="inlineStr">
        <is>
          <t>서</t>
        </is>
      </c>
      <c r="F799" s="30" t="n">
        <v>0.5</v>
      </c>
      <c r="G799" s="29" t="n"/>
      <c r="H799" s="42" t="n"/>
      <c r="I799" s="40" t="n"/>
      <c r="J799" s="40" t="n"/>
      <c r="K799" s="40" t="n"/>
      <c r="L799" s="30">
        <f>IF(COUNT(I799:K799)=0,"",MEDIAN(I799:K799))</f>
        <v/>
      </c>
      <c r="M799" s="25">
        <f>IF(COUNTIFS($C:$C,$C799,$D:$D,"P0(전)",$L:$L,"&gt;0")&lt;&gt;1,"P0(전) 유효 1개 아님",IF(COUNTIFS($C:$C,$C799,$D:$D,"P0(후)",$L:$L,"&gt;0")&lt;&gt;1,"P0(후) 유효 1개 아님",IF(NOT(AND(ISNUMBER(N799),ISNUMBER(P799),ISNUMBER(H799))),"시각 결측",IF(P799&lt;=N799,"P0 시각 역전",IF(OR(H799&lt;N799,H799&gt;P799),"측정시각 구간 밖","OK")))))</f>
        <v/>
      </c>
      <c r="N799" s="45">
        <f>IF(COUNTIFS($C:$C,$C799,$D:$D,"P0(전)",$L:$L,"&gt;0")&lt;&gt;1,"",SUMIFS($H:$H,$C:$C,$C799,$D:$D,"P0(전)"))</f>
        <v/>
      </c>
      <c r="O799" s="30">
        <f>IF(COUNTIFS($C:$C,$C799,$D:$D,"P0(전)",$L:$L,"&gt;0")&lt;&gt;1,"",SUMIFS($L:$L,$C:$C,$C799,$D:$D,"P0(전)"))</f>
        <v/>
      </c>
      <c r="P799" s="45">
        <f>IF(COUNTIFS($C:$C,$C799,$D:$D,"P0(후)",$L:$L,"&gt;0")&lt;&gt;1,"",SUMIFS($H:$H,$C:$C,$C799,$D:$D,"P0(후)"))</f>
        <v/>
      </c>
      <c r="Q799" s="30">
        <f>IF(COUNTIFS($C:$C,$C799,$D:$D,"P0(후)",$L:$L,"&gt;0")&lt;&gt;1,"",SUMIFS($L:$L,$C:$C,$C799,$D:$D,"P0(후)"))</f>
        <v/>
      </c>
      <c r="R799" s="30">
        <f>IF(M799&lt;&gt;"OK","",O799+(Q799-O799)*(H799-N799)/(P799-N799))</f>
        <v/>
      </c>
      <c r="S799" s="30">
        <f>IF(OR(M799&lt;&gt;"OK",NOT(ISNUMBER(L799))),"",L799-R799)</f>
        <v/>
      </c>
      <c r="T799" s="46">
        <f>IF(OR(NOT(ISNUMBER(S799)),IF(ISNUMBER(G799),G799,F799)=0),"",S799/IF(ISNUMBER(G799),G799,F799))</f>
        <v/>
      </c>
      <c r="U799" s="46">
        <f>IF(ISNUMBER(T799),ABS(T799),"")</f>
        <v/>
      </c>
      <c r="V799" s="46">
        <f>IF(OR($D798&lt;&gt;"측정",$C798&lt;&gt;$C799,NOT(ISNUMBER(L799)),NOT(ISNUMBER(L798)),(IF(ISNUMBER(G799),G799,F799)-IF(ISNUMBER(G798),G798,F798))=0),"",(L799-L798)/(IF(ISNUMBER(G799),G799,F799)-IF(ISNUMBER(G798),G798,F798)))</f>
        <v/>
      </c>
      <c r="W799" s="30">
        <f>IF(NOT(AND(ISNUMBER(N799),ISNUMBER(P799))),"",(P799-N799)*1440)</f>
        <v/>
      </c>
      <c r="X799" s="28" t="n"/>
      <c r="Y799" s="28" t="n"/>
      <c r="Z799" s="28" t="n"/>
      <c r="AA799" s="31" t="n"/>
      <c r="AB799" s="31" t="n"/>
    </row>
    <row r="800">
      <c r="A800" s="25" t="inlineStr">
        <is>
          <t>S16</t>
        </is>
      </c>
      <c r="B800" s="25" t="inlineStr">
        <is>
          <t>예천 신규점</t>
        </is>
      </c>
      <c r="C800" s="25" t="inlineStr">
        <is>
          <t>S16-H서</t>
        </is>
      </c>
      <c r="D800" s="25" t="inlineStr">
        <is>
          <t>측정</t>
        </is>
      </c>
      <c r="E800" s="25" t="inlineStr">
        <is>
          <t>서</t>
        </is>
      </c>
      <c r="F800" s="30" t="n">
        <v>1</v>
      </c>
      <c r="G800" s="29" t="n"/>
      <c r="H800" s="42" t="n"/>
      <c r="I800" s="40" t="n"/>
      <c r="J800" s="40" t="n"/>
      <c r="K800" s="40" t="n"/>
      <c r="L800" s="30">
        <f>IF(COUNT(I800:K800)=0,"",MEDIAN(I800:K800))</f>
        <v/>
      </c>
      <c r="M800" s="25">
        <f>IF(COUNTIFS($C:$C,$C800,$D:$D,"P0(전)",$L:$L,"&gt;0")&lt;&gt;1,"P0(전) 유효 1개 아님",IF(COUNTIFS($C:$C,$C800,$D:$D,"P0(후)",$L:$L,"&gt;0")&lt;&gt;1,"P0(후) 유효 1개 아님",IF(NOT(AND(ISNUMBER(N800),ISNUMBER(P800),ISNUMBER(H800))),"시각 결측",IF(P800&lt;=N800,"P0 시각 역전",IF(OR(H800&lt;N800,H800&gt;P800),"측정시각 구간 밖","OK")))))</f>
        <v/>
      </c>
      <c r="N800" s="45">
        <f>IF(COUNTIFS($C:$C,$C800,$D:$D,"P0(전)",$L:$L,"&gt;0")&lt;&gt;1,"",SUMIFS($H:$H,$C:$C,$C800,$D:$D,"P0(전)"))</f>
        <v/>
      </c>
      <c r="O800" s="30">
        <f>IF(COUNTIFS($C:$C,$C800,$D:$D,"P0(전)",$L:$L,"&gt;0")&lt;&gt;1,"",SUMIFS($L:$L,$C:$C,$C800,$D:$D,"P0(전)"))</f>
        <v/>
      </c>
      <c r="P800" s="45">
        <f>IF(COUNTIFS($C:$C,$C800,$D:$D,"P0(후)",$L:$L,"&gt;0")&lt;&gt;1,"",SUMIFS($H:$H,$C:$C,$C800,$D:$D,"P0(후)"))</f>
        <v/>
      </c>
      <c r="Q800" s="30">
        <f>IF(COUNTIFS($C:$C,$C800,$D:$D,"P0(후)",$L:$L,"&gt;0")&lt;&gt;1,"",SUMIFS($L:$L,$C:$C,$C800,$D:$D,"P0(후)"))</f>
        <v/>
      </c>
      <c r="R800" s="30">
        <f>IF(M800&lt;&gt;"OK","",O800+(Q800-O800)*(H800-N800)/(P800-N800))</f>
        <v/>
      </c>
      <c r="S800" s="30">
        <f>IF(OR(M800&lt;&gt;"OK",NOT(ISNUMBER(L800))),"",L800-R800)</f>
        <v/>
      </c>
      <c r="T800" s="46">
        <f>IF(OR(NOT(ISNUMBER(S800)),IF(ISNUMBER(G800),G800,F800)=0),"",S800/IF(ISNUMBER(G800),G800,F800))</f>
        <v/>
      </c>
      <c r="U800" s="46">
        <f>IF(ISNUMBER(T800),ABS(T800),"")</f>
        <v/>
      </c>
      <c r="V800" s="46">
        <f>IF(OR($D799&lt;&gt;"측정",$C799&lt;&gt;$C800,NOT(ISNUMBER(L800)),NOT(ISNUMBER(L799)),(IF(ISNUMBER(G800),G800,F800)-IF(ISNUMBER(G799),G799,F799))=0),"",(L800-L799)/(IF(ISNUMBER(G800),G800,F800)-IF(ISNUMBER(G799),G799,F799)))</f>
        <v/>
      </c>
      <c r="W800" s="30">
        <f>IF(NOT(AND(ISNUMBER(N800),ISNUMBER(P800))),"",(P800-N800)*1440)</f>
        <v/>
      </c>
      <c r="X800" s="28" t="n"/>
      <c r="Y800" s="28" t="n"/>
      <c r="Z800" s="28" t="n"/>
      <c r="AA800" s="31" t="n"/>
      <c r="AB800" s="31" t="n"/>
    </row>
    <row r="801">
      <c r="A801" s="25" t="inlineStr">
        <is>
          <t>S16</t>
        </is>
      </c>
      <c r="B801" s="25" t="inlineStr">
        <is>
          <t>예천 신규점</t>
        </is>
      </c>
      <c r="C801" s="25" t="inlineStr">
        <is>
          <t>S16-H서</t>
        </is>
      </c>
      <c r="D801" s="25" t="inlineStr">
        <is>
          <t>측정</t>
        </is>
      </c>
      <c r="E801" s="25" t="inlineStr">
        <is>
          <t>서</t>
        </is>
      </c>
      <c r="F801" s="30" t="n">
        <v>2</v>
      </c>
      <c r="G801" s="29" t="n"/>
      <c r="H801" s="42" t="n"/>
      <c r="I801" s="40" t="n"/>
      <c r="J801" s="40" t="n"/>
      <c r="K801" s="40" t="n"/>
      <c r="L801" s="30">
        <f>IF(COUNT(I801:K801)=0,"",MEDIAN(I801:K801))</f>
        <v/>
      </c>
      <c r="M801" s="25">
        <f>IF(COUNTIFS($C:$C,$C801,$D:$D,"P0(전)",$L:$L,"&gt;0")&lt;&gt;1,"P0(전) 유효 1개 아님",IF(COUNTIFS($C:$C,$C801,$D:$D,"P0(후)",$L:$L,"&gt;0")&lt;&gt;1,"P0(후) 유효 1개 아님",IF(NOT(AND(ISNUMBER(N801),ISNUMBER(P801),ISNUMBER(H801))),"시각 결측",IF(P801&lt;=N801,"P0 시각 역전",IF(OR(H801&lt;N801,H801&gt;P801),"측정시각 구간 밖","OK")))))</f>
        <v/>
      </c>
      <c r="N801" s="45">
        <f>IF(COUNTIFS($C:$C,$C801,$D:$D,"P0(전)",$L:$L,"&gt;0")&lt;&gt;1,"",SUMIFS($H:$H,$C:$C,$C801,$D:$D,"P0(전)"))</f>
        <v/>
      </c>
      <c r="O801" s="30">
        <f>IF(COUNTIFS($C:$C,$C801,$D:$D,"P0(전)",$L:$L,"&gt;0")&lt;&gt;1,"",SUMIFS($L:$L,$C:$C,$C801,$D:$D,"P0(전)"))</f>
        <v/>
      </c>
      <c r="P801" s="45">
        <f>IF(COUNTIFS($C:$C,$C801,$D:$D,"P0(후)",$L:$L,"&gt;0")&lt;&gt;1,"",SUMIFS($H:$H,$C:$C,$C801,$D:$D,"P0(후)"))</f>
        <v/>
      </c>
      <c r="Q801" s="30">
        <f>IF(COUNTIFS($C:$C,$C801,$D:$D,"P0(후)",$L:$L,"&gt;0")&lt;&gt;1,"",SUMIFS($L:$L,$C:$C,$C801,$D:$D,"P0(후)"))</f>
        <v/>
      </c>
      <c r="R801" s="30">
        <f>IF(M801&lt;&gt;"OK","",O801+(Q801-O801)*(H801-N801)/(P801-N801))</f>
        <v/>
      </c>
      <c r="S801" s="30">
        <f>IF(OR(M801&lt;&gt;"OK",NOT(ISNUMBER(L801))),"",L801-R801)</f>
        <v/>
      </c>
      <c r="T801" s="46">
        <f>IF(OR(NOT(ISNUMBER(S801)),IF(ISNUMBER(G801),G801,F801)=0),"",S801/IF(ISNUMBER(G801),G801,F801))</f>
        <v/>
      </c>
      <c r="U801" s="46">
        <f>IF(ISNUMBER(T801),ABS(T801),"")</f>
        <v/>
      </c>
      <c r="V801" s="46">
        <f>IF(OR($D800&lt;&gt;"측정",$C800&lt;&gt;$C801,NOT(ISNUMBER(L801)),NOT(ISNUMBER(L800)),(IF(ISNUMBER(G801),G801,F801)-IF(ISNUMBER(G800),G800,F800))=0),"",(L801-L800)/(IF(ISNUMBER(G801),G801,F801)-IF(ISNUMBER(G800),G800,F800)))</f>
        <v/>
      </c>
      <c r="W801" s="30">
        <f>IF(NOT(AND(ISNUMBER(N801),ISNUMBER(P801))),"",(P801-N801)*1440)</f>
        <v/>
      </c>
      <c r="X801" s="28" t="n"/>
      <c r="Y801" s="28" t="n"/>
      <c r="Z801" s="28" t="n"/>
      <c r="AA801" s="31" t="n"/>
      <c r="AB801" s="31" t="n"/>
    </row>
    <row r="802">
      <c r="A802" s="25" t="inlineStr">
        <is>
          <t>S16</t>
        </is>
      </c>
      <c r="B802" s="25" t="inlineStr">
        <is>
          <t>예천 신규점</t>
        </is>
      </c>
      <c r="C802" s="25" t="inlineStr">
        <is>
          <t>S16-H서</t>
        </is>
      </c>
      <c r="D802" s="25" t="inlineStr">
        <is>
          <t>측정</t>
        </is>
      </c>
      <c r="E802" s="25" t="inlineStr">
        <is>
          <t>서</t>
        </is>
      </c>
      <c r="F802" s="30" t="n">
        <v>3</v>
      </c>
      <c r="G802" s="29" t="n"/>
      <c r="H802" s="42" t="n"/>
      <c r="I802" s="40" t="n"/>
      <c r="J802" s="40" t="n"/>
      <c r="K802" s="40" t="n"/>
      <c r="L802" s="30">
        <f>IF(COUNT(I802:K802)=0,"",MEDIAN(I802:K802))</f>
        <v/>
      </c>
      <c r="M802" s="25">
        <f>IF(COUNTIFS($C:$C,$C802,$D:$D,"P0(전)",$L:$L,"&gt;0")&lt;&gt;1,"P0(전) 유효 1개 아님",IF(COUNTIFS($C:$C,$C802,$D:$D,"P0(후)",$L:$L,"&gt;0")&lt;&gt;1,"P0(후) 유효 1개 아님",IF(NOT(AND(ISNUMBER(N802),ISNUMBER(P802),ISNUMBER(H802))),"시각 결측",IF(P802&lt;=N802,"P0 시각 역전",IF(OR(H802&lt;N802,H802&gt;P802),"측정시각 구간 밖","OK")))))</f>
        <v/>
      </c>
      <c r="N802" s="45">
        <f>IF(COUNTIFS($C:$C,$C802,$D:$D,"P0(전)",$L:$L,"&gt;0")&lt;&gt;1,"",SUMIFS($H:$H,$C:$C,$C802,$D:$D,"P0(전)"))</f>
        <v/>
      </c>
      <c r="O802" s="30">
        <f>IF(COUNTIFS($C:$C,$C802,$D:$D,"P0(전)",$L:$L,"&gt;0")&lt;&gt;1,"",SUMIFS($L:$L,$C:$C,$C802,$D:$D,"P0(전)"))</f>
        <v/>
      </c>
      <c r="P802" s="45">
        <f>IF(COUNTIFS($C:$C,$C802,$D:$D,"P0(후)",$L:$L,"&gt;0")&lt;&gt;1,"",SUMIFS($H:$H,$C:$C,$C802,$D:$D,"P0(후)"))</f>
        <v/>
      </c>
      <c r="Q802" s="30">
        <f>IF(COUNTIFS($C:$C,$C802,$D:$D,"P0(후)",$L:$L,"&gt;0")&lt;&gt;1,"",SUMIFS($L:$L,$C:$C,$C802,$D:$D,"P0(후)"))</f>
        <v/>
      </c>
      <c r="R802" s="30">
        <f>IF(M802&lt;&gt;"OK","",O802+(Q802-O802)*(H802-N802)/(P802-N802))</f>
        <v/>
      </c>
      <c r="S802" s="30">
        <f>IF(OR(M802&lt;&gt;"OK",NOT(ISNUMBER(L802))),"",L802-R802)</f>
        <v/>
      </c>
      <c r="T802" s="46">
        <f>IF(OR(NOT(ISNUMBER(S802)),IF(ISNUMBER(G802),G802,F802)=0),"",S802/IF(ISNUMBER(G802),G802,F802))</f>
        <v/>
      </c>
      <c r="U802" s="46">
        <f>IF(ISNUMBER(T802),ABS(T802),"")</f>
        <v/>
      </c>
      <c r="V802" s="46">
        <f>IF(OR($D801&lt;&gt;"측정",$C801&lt;&gt;$C802,NOT(ISNUMBER(L802)),NOT(ISNUMBER(L801)),(IF(ISNUMBER(G802),G802,F802)-IF(ISNUMBER(G801),G801,F801))=0),"",(L802-L801)/(IF(ISNUMBER(G802),G802,F802)-IF(ISNUMBER(G801),G801,F801)))</f>
        <v/>
      </c>
      <c r="W802" s="30">
        <f>IF(NOT(AND(ISNUMBER(N802),ISNUMBER(P802))),"",(P802-N802)*1440)</f>
        <v/>
      </c>
      <c r="X802" s="28" t="n"/>
      <c r="Y802" s="28" t="n"/>
      <c r="Z802" s="28" t="n"/>
      <c r="AA802" s="31" t="n"/>
      <c r="AB802" s="31" t="n"/>
    </row>
    <row r="803">
      <c r="A803" s="25" t="inlineStr">
        <is>
          <t>S16</t>
        </is>
      </c>
      <c r="B803" s="25" t="inlineStr">
        <is>
          <t>예천 신규점</t>
        </is>
      </c>
      <c r="C803" s="25" t="inlineStr">
        <is>
          <t>S16-H서</t>
        </is>
      </c>
      <c r="D803" s="25" t="inlineStr">
        <is>
          <t>측정</t>
        </is>
      </c>
      <c r="E803" s="25" t="inlineStr">
        <is>
          <t>서</t>
        </is>
      </c>
      <c r="F803" s="30" t="n">
        <v>4</v>
      </c>
      <c r="G803" s="29" t="n"/>
      <c r="H803" s="42" t="n"/>
      <c r="I803" s="40" t="n"/>
      <c r="J803" s="40" t="n"/>
      <c r="K803" s="40" t="n"/>
      <c r="L803" s="30">
        <f>IF(COUNT(I803:K803)=0,"",MEDIAN(I803:K803))</f>
        <v/>
      </c>
      <c r="M803" s="25">
        <f>IF(COUNTIFS($C:$C,$C803,$D:$D,"P0(전)",$L:$L,"&gt;0")&lt;&gt;1,"P0(전) 유효 1개 아님",IF(COUNTIFS($C:$C,$C803,$D:$D,"P0(후)",$L:$L,"&gt;0")&lt;&gt;1,"P0(후) 유효 1개 아님",IF(NOT(AND(ISNUMBER(N803),ISNUMBER(P803),ISNUMBER(H803))),"시각 결측",IF(P803&lt;=N803,"P0 시각 역전",IF(OR(H803&lt;N803,H803&gt;P803),"측정시각 구간 밖","OK")))))</f>
        <v/>
      </c>
      <c r="N803" s="45">
        <f>IF(COUNTIFS($C:$C,$C803,$D:$D,"P0(전)",$L:$L,"&gt;0")&lt;&gt;1,"",SUMIFS($H:$H,$C:$C,$C803,$D:$D,"P0(전)"))</f>
        <v/>
      </c>
      <c r="O803" s="30">
        <f>IF(COUNTIFS($C:$C,$C803,$D:$D,"P0(전)",$L:$L,"&gt;0")&lt;&gt;1,"",SUMIFS($L:$L,$C:$C,$C803,$D:$D,"P0(전)"))</f>
        <v/>
      </c>
      <c r="P803" s="45">
        <f>IF(COUNTIFS($C:$C,$C803,$D:$D,"P0(후)",$L:$L,"&gt;0")&lt;&gt;1,"",SUMIFS($H:$H,$C:$C,$C803,$D:$D,"P0(후)"))</f>
        <v/>
      </c>
      <c r="Q803" s="30">
        <f>IF(COUNTIFS($C:$C,$C803,$D:$D,"P0(후)",$L:$L,"&gt;0")&lt;&gt;1,"",SUMIFS($L:$L,$C:$C,$C803,$D:$D,"P0(후)"))</f>
        <v/>
      </c>
      <c r="R803" s="30">
        <f>IF(M803&lt;&gt;"OK","",O803+(Q803-O803)*(H803-N803)/(P803-N803))</f>
        <v/>
      </c>
      <c r="S803" s="30">
        <f>IF(OR(M803&lt;&gt;"OK",NOT(ISNUMBER(L803))),"",L803-R803)</f>
        <v/>
      </c>
      <c r="T803" s="46">
        <f>IF(OR(NOT(ISNUMBER(S803)),IF(ISNUMBER(G803),G803,F803)=0),"",S803/IF(ISNUMBER(G803),G803,F803))</f>
        <v/>
      </c>
      <c r="U803" s="46">
        <f>IF(ISNUMBER(T803),ABS(T803),"")</f>
        <v/>
      </c>
      <c r="V803" s="46">
        <f>IF(OR($D802&lt;&gt;"측정",$C802&lt;&gt;$C803,NOT(ISNUMBER(L803)),NOT(ISNUMBER(L802)),(IF(ISNUMBER(G803),G803,F803)-IF(ISNUMBER(G802),G802,F802))=0),"",(L803-L802)/(IF(ISNUMBER(G803),G803,F803)-IF(ISNUMBER(G802),G802,F802)))</f>
        <v/>
      </c>
      <c r="W803" s="30">
        <f>IF(NOT(AND(ISNUMBER(N803),ISNUMBER(P803))),"",(P803-N803)*1440)</f>
        <v/>
      </c>
      <c r="X803" s="28" t="n"/>
      <c r="Y803" s="28" t="n"/>
      <c r="Z803" s="28" t="n"/>
      <c r="AA803" s="31" t="n"/>
      <c r="AB803" s="31" t="n"/>
    </row>
    <row r="804">
      <c r="A804" s="25" t="inlineStr">
        <is>
          <t>S16</t>
        </is>
      </c>
      <c r="B804" s="25" t="inlineStr">
        <is>
          <t>예천 신규점</t>
        </is>
      </c>
      <c r="C804" s="25" t="inlineStr">
        <is>
          <t>S16-H서</t>
        </is>
      </c>
      <c r="D804" s="25" t="inlineStr">
        <is>
          <t>측정</t>
        </is>
      </c>
      <c r="E804" s="25" t="inlineStr">
        <is>
          <t>서</t>
        </is>
      </c>
      <c r="F804" s="30" t="n">
        <v>5</v>
      </c>
      <c r="G804" s="29" t="n"/>
      <c r="H804" s="42" t="n"/>
      <c r="I804" s="40" t="n"/>
      <c r="J804" s="40" t="n"/>
      <c r="K804" s="40" t="n"/>
      <c r="L804" s="30">
        <f>IF(COUNT(I804:K804)=0,"",MEDIAN(I804:K804))</f>
        <v/>
      </c>
      <c r="M804" s="25">
        <f>IF(COUNTIFS($C:$C,$C804,$D:$D,"P0(전)",$L:$L,"&gt;0")&lt;&gt;1,"P0(전) 유효 1개 아님",IF(COUNTIFS($C:$C,$C804,$D:$D,"P0(후)",$L:$L,"&gt;0")&lt;&gt;1,"P0(후) 유효 1개 아님",IF(NOT(AND(ISNUMBER(N804),ISNUMBER(P804),ISNUMBER(H804))),"시각 결측",IF(P804&lt;=N804,"P0 시각 역전",IF(OR(H804&lt;N804,H804&gt;P804),"측정시각 구간 밖","OK")))))</f>
        <v/>
      </c>
      <c r="N804" s="45">
        <f>IF(COUNTIFS($C:$C,$C804,$D:$D,"P0(전)",$L:$L,"&gt;0")&lt;&gt;1,"",SUMIFS($H:$H,$C:$C,$C804,$D:$D,"P0(전)"))</f>
        <v/>
      </c>
      <c r="O804" s="30">
        <f>IF(COUNTIFS($C:$C,$C804,$D:$D,"P0(전)",$L:$L,"&gt;0")&lt;&gt;1,"",SUMIFS($L:$L,$C:$C,$C804,$D:$D,"P0(전)"))</f>
        <v/>
      </c>
      <c r="P804" s="45">
        <f>IF(COUNTIFS($C:$C,$C804,$D:$D,"P0(후)",$L:$L,"&gt;0")&lt;&gt;1,"",SUMIFS($H:$H,$C:$C,$C804,$D:$D,"P0(후)"))</f>
        <v/>
      </c>
      <c r="Q804" s="30">
        <f>IF(COUNTIFS($C:$C,$C804,$D:$D,"P0(후)",$L:$L,"&gt;0")&lt;&gt;1,"",SUMIFS($L:$L,$C:$C,$C804,$D:$D,"P0(후)"))</f>
        <v/>
      </c>
      <c r="R804" s="30">
        <f>IF(M804&lt;&gt;"OK","",O804+(Q804-O804)*(H804-N804)/(P804-N804))</f>
        <v/>
      </c>
      <c r="S804" s="30">
        <f>IF(OR(M804&lt;&gt;"OK",NOT(ISNUMBER(L804))),"",L804-R804)</f>
        <v/>
      </c>
      <c r="T804" s="46">
        <f>IF(OR(NOT(ISNUMBER(S804)),IF(ISNUMBER(G804),G804,F804)=0),"",S804/IF(ISNUMBER(G804),G804,F804))</f>
        <v/>
      </c>
      <c r="U804" s="46">
        <f>IF(ISNUMBER(T804),ABS(T804),"")</f>
        <v/>
      </c>
      <c r="V804" s="46">
        <f>IF(OR($D803&lt;&gt;"측정",$C803&lt;&gt;$C804,NOT(ISNUMBER(L804)),NOT(ISNUMBER(L803)),(IF(ISNUMBER(G804),G804,F804)-IF(ISNUMBER(G803),G803,F803))=0),"",(L804-L803)/(IF(ISNUMBER(G804),G804,F804)-IF(ISNUMBER(G803),G803,F803)))</f>
        <v/>
      </c>
      <c r="W804" s="30">
        <f>IF(NOT(AND(ISNUMBER(N804),ISNUMBER(P804))),"",(P804-N804)*1440)</f>
        <v/>
      </c>
      <c r="X804" s="28" t="n"/>
      <c r="Y804" s="28" t="n"/>
      <c r="Z804" s="28" t="n"/>
      <c r="AA804" s="31" t="n"/>
      <c r="AB804" s="31" t="n"/>
    </row>
    <row r="805">
      <c r="A805" s="25" t="inlineStr">
        <is>
          <t>S16</t>
        </is>
      </c>
      <c r="B805" s="25" t="inlineStr">
        <is>
          <t>예천 신규점</t>
        </is>
      </c>
      <c r="C805" s="25" t="inlineStr">
        <is>
          <t>S16-H서</t>
        </is>
      </c>
      <c r="D805" s="25" t="inlineStr">
        <is>
          <t>측정</t>
        </is>
      </c>
      <c r="E805" s="25" t="inlineStr">
        <is>
          <t>서</t>
        </is>
      </c>
      <c r="F805" s="30" t="n">
        <v>6</v>
      </c>
      <c r="G805" s="29" t="n"/>
      <c r="H805" s="42" t="n"/>
      <c r="I805" s="40" t="n"/>
      <c r="J805" s="40" t="n"/>
      <c r="K805" s="40" t="n"/>
      <c r="L805" s="30">
        <f>IF(COUNT(I805:K805)=0,"",MEDIAN(I805:K805))</f>
        <v/>
      </c>
      <c r="M805" s="25">
        <f>IF(COUNTIFS($C:$C,$C805,$D:$D,"P0(전)",$L:$L,"&gt;0")&lt;&gt;1,"P0(전) 유효 1개 아님",IF(COUNTIFS($C:$C,$C805,$D:$D,"P0(후)",$L:$L,"&gt;0")&lt;&gt;1,"P0(후) 유효 1개 아님",IF(NOT(AND(ISNUMBER(N805),ISNUMBER(P805),ISNUMBER(H805))),"시각 결측",IF(P805&lt;=N805,"P0 시각 역전",IF(OR(H805&lt;N805,H805&gt;P805),"측정시각 구간 밖","OK")))))</f>
        <v/>
      </c>
      <c r="N805" s="45">
        <f>IF(COUNTIFS($C:$C,$C805,$D:$D,"P0(전)",$L:$L,"&gt;0")&lt;&gt;1,"",SUMIFS($H:$H,$C:$C,$C805,$D:$D,"P0(전)"))</f>
        <v/>
      </c>
      <c r="O805" s="30">
        <f>IF(COUNTIFS($C:$C,$C805,$D:$D,"P0(전)",$L:$L,"&gt;0")&lt;&gt;1,"",SUMIFS($L:$L,$C:$C,$C805,$D:$D,"P0(전)"))</f>
        <v/>
      </c>
      <c r="P805" s="45">
        <f>IF(COUNTIFS($C:$C,$C805,$D:$D,"P0(후)",$L:$L,"&gt;0")&lt;&gt;1,"",SUMIFS($H:$H,$C:$C,$C805,$D:$D,"P0(후)"))</f>
        <v/>
      </c>
      <c r="Q805" s="30">
        <f>IF(COUNTIFS($C:$C,$C805,$D:$D,"P0(후)",$L:$L,"&gt;0")&lt;&gt;1,"",SUMIFS($L:$L,$C:$C,$C805,$D:$D,"P0(후)"))</f>
        <v/>
      </c>
      <c r="R805" s="30">
        <f>IF(M805&lt;&gt;"OK","",O805+(Q805-O805)*(H805-N805)/(P805-N805))</f>
        <v/>
      </c>
      <c r="S805" s="30">
        <f>IF(OR(M805&lt;&gt;"OK",NOT(ISNUMBER(L805))),"",L805-R805)</f>
        <v/>
      </c>
      <c r="T805" s="46">
        <f>IF(OR(NOT(ISNUMBER(S805)),IF(ISNUMBER(G805),G805,F805)=0),"",S805/IF(ISNUMBER(G805),G805,F805))</f>
        <v/>
      </c>
      <c r="U805" s="46">
        <f>IF(ISNUMBER(T805),ABS(T805),"")</f>
        <v/>
      </c>
      <c r="V805" s="46">
        <f>IF(OR($D804&lt;&gt;"측정",$C804&lt;&gt;$C805,NOT(ISNUMBER(L805)),NOT(ISNUMBER(L804)),(IF(ISNUMBER(G805),G805,F805)-IF(ISNUMBER(G804),G804,F804))=0),"",(L805-L804)/(IF(ISNUMBER(G805),G805,F805)-IF(ISNUMBER(G804),G804,F804)))</f>
        <v/>
      </c>
      <c r="W805" s="30">
        <f>IF(NOT(AND(ISNUMBER(N805),ISNUMBER(P805))),"",(P805-N805)*1440)</f>
        <v/>
      </c>
      <c r="X805" s="28" t="n"/>
      <c r="Y805" s="28" t="n"/>
      <c r="Z805" s="28" t="n"/>
      <c r="AA805" s="31" t="n"/>
      <c r="AB805" s="31" t="n"/>
    </row>
    <row r="806">
      <c r="A806" s="25" t="inlineStr">
        <is>
          <t>S16</t>
        </is>
      </c>
      <c r="B806" s="25" t="inlineStr">
        <is>
          <t>예천 신규점</t>
        </is>
      </c>
      <c r="C806" s="25" t="inlineStr">
        <is>
          <t>S16-H서</t>
        </is>
      </c>
      <c r="D806" s="25" t="inlineStr">
        <is>
          <t>측정</t>
        </is>
      </c>
      <c r="E806" s="25" t="inlineStr">
        <is>
          <t>서</t>
        </is>
      </c>
      <c r="F806" s="30" t="n">
        <v>7</v>
      </c>
      <c r="G806" s="29" t="n"/>
      <c r="H806" s="42" t="n"/>
      <c r="I806" s="40" t="n"/>
      <c r="J806" s="40" t="n"/>
      <c r="K806" s="40" t="n"/>
      <c r="L806" s="30">
        <f>IF(COUNT(I806:K806)=0,"",MEDIAN(I806:K806))</f>
        <v/>
      </c>
      <c r="M806" s="25">
        <f>IF(COUNTIFS($C:$C,$C806,$D:$D,"P0(전)",$L:$L,"&gt;0")&lt;&gt;1,"P0(전) 유효 1개 아님",IF(COUNTIFS($C:$C,$C806,$D:$D,"P0(후)",$L:$L,"&gt;0")&lt;&gt;1,"P0(후) 유효 1개 아님",IF(NOT(AND(ISNUMBER(N806),ISNUMBER(P806),ISNUMBER(H806))),"시각 결측",IF(P806&lt;=N806,"P0 시각 역전",IF(OR(H806&lt;N806,H806&gt;P806),"측정시각 구간 밖","OK")))))</f>
        <v/>
      </c>
      <c r="N806" s="45">
        <f>IF(COUNTIFS($C:$C,$C806,$D:$D,"P0(전)",$L:$L,"&gt;0")&lt;&gt;1,"",SUMIFS($H:$H,$C:$C,$C806,$D:$D,"P0(전)"))</f>
        <v/>
      </c>
      <c r="O806" s="30">
        <f>IF(COUNTIFS($C:$C,$C806,$D:$D,"P0(전)",$L:$L,"&gt;0")&lt;&gt;1,"",SUMIFS($L:$L,$C:$C,$C806,$D:$D,"P0(전)"))</f>
        <v/>
      </c>
      <c r="P806" s="45">
        <f>IF(COUNTIFS($C:$C,$C806,$D:$D,"P0(후)",$L:$L,"&gt;0")&lt;&gt;1,"",SUMIFS($H:$H,$C:$C,$C806,$D:$D,"P0(후)"))</f>
        <v/>
      </c>
      <c r="Q806" s="30">
        <f>IF(COUNTIFS($C:$C,$C806,$D:$D,"P0(후)",$L:$L,"&gt;0")&lt;&gt;1,"",SUMIFS($L:$L,$C:$C,$C806,$D:$D,"P0(후)"))</f>
        <v/>
      </c>
      <c r="R806" s="30">
        <f>IF(M806&lt;&gt;"OK","",O806+(Q806-O806)*(H806-N806)/(P806-N806))</f>
        <v/>
      </c>
      <c r="S806" s="30">
        <f>IF(OR(M806&lt;&gt;"OK",NOT(ISNUMBER(L806))),"",L806-R806)</f>
        <v/>
      </c>
      <c r="T806" s="46">
        <f>IF(OR(NOT(ISNUMBER(S806)),IF(ISNUMBER(G806),G806,F806)=0),"",S806/IF(ISNUMBER(G806),G806,F806))</f>
        <v/>
      </c>
      <c r="U806" s="46">
        <f>IF(ISNUMBER(T806),ABS(T806),"")</f>
        <v/>
      </c>
      <c r="V806" s="46">
        <f>IF(OR($D805&lt;&gt;"측정",$C805&lt;&gt;$C806,NOT(ISNUMBER(L806)),NOT(ISNUMBER(L805)),(IF(ISNUMBER(G806),G806,F806)-IF(ISNUMBER(G805),G805,F805))=0),"",(L806-L805)/(IF(ISNUMBER(G806),G806,F806)-IF(ISNUMBER(G805),G805,F805)))</f>
        <v/>
      </c>
      <c r="W806" s="30">
        <f>IF(NOT(AND(ISNUMBER(N806),ISNUMBER(P806))),"",(P806-N806)*1440)</f>
        <v/>
      </c>
      <c r="X806" s="28" t="n"/>
      <c r="Y806" s="28" t="n"/>
      <c r="Z806" s="28" t="n"/>
      <c r="AA806" s="31" t="n"/>
      <c r="AB806" s="31" t="n"/>
    </row>
    <row r="807">
      <c r="A807" s="25" t="inlineStr">
        <is>
          <t>S16</t>
        </is>
      </c>
      <c r="B807" s="25" t="inlineStr">
        <is>
          <t>예천 신규점</t>
        </is>
      </c>
      <c r="C807" s="25" t="inlineStr">
        <is>
          <t>S16-H서</t>
        </is>
      </c>
      <c r="D807" s="25" t="inlineStr">
        <is>
          <t>측정</t>
        </is>
      </c>
      <c r="E807" s="25" t="inlineStr">
        <is>
          <t>서</t>
        </is>
      </c>
      <c r="F807" s="30" t="n">
        <v>8</v>
      </c>
      <c r="G807" s="29" t="n"/>
      <c r="H807" s="42" t="n"/>
      <c r="I807" s="40" t="n"/>
      <c r="J807" s="40" t="n"/>
      <c r="K807" s="40" t="n"/>
      <c r="L807" s="30">
        <f>IF(COUNT(I807:K807)=0,"",MEDIAN(I807:K807))</f>
        <v/>
      </c>
      <c r="M807" s="25">
        <f>IF(COUNTIFS($C:$C,$C807,$D:$D,"P0(전)",$L:$L,"&gt;0")&lt;&gt;1,"P0(전) 유효 1개 아님",IF(COUNTIFS($C:$C,$C807,$D:$D,"P0(후)",$L:$L,"&gt;0")&lt;&gt;1,"P0(후) 유효 1개 아님",IF(NOT(AND(ISNUMBER(N807),ISNUMBER(P807),ISNUMBER(H807))),"시각 결측",IF(P807&lt;=N807,"P0 시각 역전",IF(OR(H807&lt;N807,H807&gt;P807),"측정시각 구간 밖","OK")))))</f>
        <v/>
      </c>
      <c r="N807" s="45">
        <f>IF(COUNTIFS($C:$C,$C807,$D:$D,"P0(전)",$L:$L,"&gt;0")&lt;&gt;1,"",SUMIFS($H:$H,$C:$C,$C807,$D:$D,"P0(전)"))</f>
        <v/>
      </c>
      <c r="O807" s="30">
        <f>IF(COUNTIFS($C:$C,$C807,$D:$D,"P0(전)",$L:$L,"&gt;0")&lt;&gt;1,"",SUMIFS($L:$L,$C:$C,$C807,$D:$D,"P0(전)"))</f>
        <v/>
      </c>
      <c r="P807" s="45">
        <f>IF(COUNTIFS($C:$C,$C807,$D:$D,"P0(후)",$L:$L,"&gt;0")&lt;&gt;1,"",SUMIFS($H:$H,$C:$C,$C807,$D:$D,"P0(후)"))</f>
        <v/>
      </c>
      <c r="Q807" s="30">
        <f>IF(COUNTIFS($C:$C,$C807,$D:$D,"P0(후)",$L:$L,"&gt;0")&lt;&gt;1,"",SUMIFS($L:$L,$C:$C,$C807,$D:$D,"P0(후)"))</f>
        <v/>
      </c>
      <c r="R807" s="30">
        <f>IF(M807&lt;&gt;"OK","",O807+(Q807-O807)*(H807-N807)/(P807-N807))</f>
        <v/>
      </c>
      <c r="S807" s="30">
        <f>IF(OR(M807&lt;&gt;"OK",NOT(ISNUMBER(L807))),"",L807-R807)</f>
        <v/>
      </c>
      <c r="T807" s="46">
        <f>IF(OR(NOT(ISNUMBER(S807)),IF(ISNUMBER(G807),G807,F807)=0),"",S807/IF(ISNUMBER(G807),G807,F807))</f>
        <v/>
      </c>
      <c r="U807" s="46">
        <f>IF(ISNUMBER(T807),ABS(T807),"")</f>
        <v/>
      </c>
      <c r="V807" s="46">
        <f>IF(OR($D806&lt;&gt;"측정",$C806&lt;&gt;$C807,NOT(ISNUMBER(L807)),NOT(ISNUMBER(L806)),(IF(ISNUMBER(G807),G807,F807)-IF(ISNUMBER(G806),G806,F806))=0),"",(L807-L806)/(IF(ISNUMBER(G807),G807,F807)-IF(ISNUMBER(G806),G806,F806)))</f>
        <v/>
      </c>
      <c r="W807" s="30">
        <f>IF(NOT(AND(ISNUMBER(N807),ISNUMBER(P807))),"",(P807-N807)*1440)</f>
        <v/>
      </c>
      <c r="X807" s="28" t="n"/>
      <c r="Y807" s="28" t="n"/>
      <c r="Z807" s="28" t="n"/>
      <c r="AA807" s="31" t="n"/>
      <c r="AB807" s="31" t="n"/>
    </row>
    <row r="808">
      <c r="A808" s="25" t="inlineStr">
        <is>
          <t>S16</t>
        </is>
      </c>
      <c r="B808" s="25" t="inlineStr">
        <is>
          <t>예천 신규점</t>
        </is>
      </c>
      <c r="C808" s="25" t="inlineStr">
        <is>
          <t>S16-H서</t>
        </is>
      </c>
      <c r="D808" s="25" t="inlineStr">
        <is>
          <t>측정</t>
        </is>
      </c>
      <c r="E808" s="25" t="inlineStr">
        <is>
          <t>서</t>
        </is>
      </c>
      <c r="F808" s="30" t="n">
        <v>9</v>
      </c>
      <c r="G808" s="29" t="n"/>
      <c r="H808" s="42" t="n"/>
      <c r="I808" s="40" t="n"/>
      <c r="J808" s="40" t="n"/>
      <c r="K808" s="40" t="n"/>
      <c r="L808" s="30">
        <f>IF(COUNT(I808:K808)=0,"",MEDIAN(I808:K808))</f>
        <v/>
      </c>
      <c r="M808" s="25">
        <f>IF(COUNTIFS($C:$C,$C808,$D:$D,"P0(전)",$L:$L,"&gt;0")&lt;&gt;1,"P0(전) 유효 1개 아님",IF(COUNTIFS($C:$C,$C808,$D:$D,"P0(후)",$L:$L,"&gt;0")&lt;&gt;1,"P0(후) 유효 1개 아님",IF(NOT(AND(ISNUMBER(N808),ISNUMBER(P808),ISNUMBER(H808))),"시각 결측",IF(P808&lt;=N808,"P0 시각 역전",IF(OR(H808&lt;N808,H808&gt;P808),"측정시각 구간 밖","OK")))))</f>
        <v/>
      </c>
      <c r="N808" s="45">
        <f>IF(COUNTIFS($C:$C,$C808,$D:$D,"P0(전)",$L:$L,"&gt;0")&lt;&gt;1,"",SUMIFS($H:$H,$C:$C,$C808,$D:$D,"P0(전)"))</f>
        <v/>
      </c>
      <c r="O808" s="30">
        <f>IF(COUNTIFS($C:$C,$C808,$D:$D,"P0(전)",$L:$L,"&gt;0")&lt;&gt;1,"",SUMIFS($L:$L,$C:$C,$C808,$D:$D,"P0(전)"))</f>
        <v/>
      </c>
      <c r="P808" s="45">
        <f>IF(COUNTIFS($C:$C,$C808,$D:$D,"P0(후)",$L:$L,"&gt;0")&lt;&gt;1,"",SUMIFS($H:$H,$C:$C,$C808,$D:$D,"P0(후)"))</f>
        <v/>
      </c>
      <c r="Q808" s="30">
        <f>IF(COUNTIFS($C:$C,$C808,$D:$D,"P0(후)",$L:$L,"&gt;0")&lt;&gt;1,"",SUMIFS($L:$L,$C:$C,$C808,$D:$D,"P0(후)"))</f>
        <v/>
      </c>
      <c r="R808" s="30">
        <f>IF(M808&lt;&gt;"OK","",O808+(Q808-O808)*(H808-N808)/(P808-N808))</f>
        <v/>
      </c>
      <c r="S808" s="30">
        <f>IF(OR(M808&lt;&gt;"OK",NOT(ISNUMBER(L808))),"",L808-R808)</f>
        <v/>
      </c>
      <c r="T808" s="46">
        <f>IF(OR(NOT(ISNUMBER(S808)),IF(ISNUMBER(G808),G808,F808)=0),"",S808/IF(ISNUMBER(G808),G808,F808))</f>
        <v/>
      </c>
      <c r="U808" s="46">
        <f>IF(ISNUMBER(T808),ABS(T808),"")</f>
        <v/>
      </c>
      <c r="V808" s="46">
        <f>IF(OR($D807&lt;&gt;"측정",$C807&lt;&gt;$C808,NOT(ISNUMBER(L808)),NOT(ISNUMBER(L807)),(IF(ISNUMBER(G808),G808,F808)-IF(ISNUMBER(G807),G807,F807))=0),"",(L808-L807)/(IF(ISNUMBER(G808),G808,F808)-IF(ISNUMBER(G807),G807,F807)))</f>
        <v/>
      </c>
      <c r="W808" s="30">
        <f>IF(NOT(AND(ISNUMBER(N808),ISNUMBER(P808))),"",(P808-N808)*1440)</f>
        <v/>
      </c>
      <c r="X808" s="28" t="n"/>
      <c r="Y808" s="28" t="n"/>
      <c r="Z808" s="28" t="n"/>
      <c r="AA808" s="31" t="n"/>
      <c r="AB808" s="31" t="n"/>
    </row>
    <row r="809">
      <c r="A809" s="25" t="inlineStr">
        <is>
          <t>S16</t>
        </is>
      </c>
      <c r="B809" s="25" t="inlineStr">
        <is>
          <t>예천 신규점</t>
        </is>
      </c>
      <c r="C809" s="25" t="inlineStr">
        <is>
          <t>S16-H서</t>
        </is>
      </c>
      <c r="D809" s="25" t="inlineStr">
        <is>
          <t>측정</t>
        </is>
      </c>
      <c r="E809" s="25" t="inlineStr">
        <is>
          <t>서</t>
        </is>
      </c>
      <c r="F809" s="30" t="n">
        <v>10</v>
      </c>
      <c r="G809" s="29" t="n"/>
      <c r="H809" s="42" t="n"/>
      <c r="I809" s="40" t="n"/>
      <c r="J809" s="40" t="n"/>
      <c r="K809" s="40" t="n"/>
      <c r="L809" s="30">
        <f>IF(COUNT(I809:K809)=0,"",MEDIAN(I809:K809))</f>
        <v/>
      </c>
      <c r="M809" s="25">
        <f>IF(COUNTIFS($C:$C,$C809,$D:$D,"P0(전)",$L:$L,"&gt;0")&lt;&gt;1,"P0(전) 유효 1개 아님",IF(COUNTIFS($C:$C,$C809,$D:$D,"P0(후)",$L:$L,"&gt;0")&lt;&gt;1,"P0(후) 유효 1개 아님",IF(NOT(AND(ISNUMBER(N809),ISNUMBER(P809),ISNUMBER(H809))),"시각 결측",IF(P809&lt;=N809,"P0 시각 역전",IF(OR(H809&lt;N809,H809&gt;P809),"측정시각 구간 밖","OK")))))</f>
        <v/>
      </c>
      <c r="N809" s="45">
        <f>IF(COUNTIFS($C:$C,$C809,$D:$D,"P0(전)",$L:$L,"&gt;0")&lt;&gt;1,"",SUMIFS($H:$H,$C:$C,$C809,$D:$D,"P0(전)"))</f>
        <v/>
      </c>
      <c r="O809" s="30">
        <f>IF(COUNTIFS($C:$C,$C809,$D:$D,"P0(전)",$L:$L,"&gt;0")&lt;&gt;1,"",SUMIFS($L:$L,$C:$C,$C809,$D:$D,"P0(전)"))</f>
        <v/>
      </c>
      <c r="P809" s="45">
        <f>IF(COUNTIFS($C:$C,$C809,$D:$D,"P0(후)",$L:$L,"&gt;0")&lt;&gt;1,"",SUMIFS($H:$H,$C:$C,$C809,$D:$D,"P0(후)"))</f>
        <v/>
      </c>
      <c r="Q809" s="30">
        <f>IF(COUNTIFS($C:$C,$C809,$D:$D,"P0(후)",$L:$L,"&gt;0")&lt;&gt;1,"",SUMIFS($L:$L,$C:$C,$C809,$D:$D,"P0(후)"))</f>
        <v/>
      </c>
      <c r="R809" s="30">
        <f>IF(M809&lt;&gt;"OK","",O809+(Q809-O809)*(H809-N809)/(P809-N809))</f>
        <v/>
      </c>
      <c r="S809" s="30">
        <f>IF(OR(M809&lt;&gt;"OK",NOT(ISNUMBER(L809))),"",L809-R809)</f>
        <v/>
      </c>
      <c r="T809" s="46">
        <f>IF(OR(NOT(ISNUMBER(S809)),IF(ISNUMBER(G809),G809,F809)=0),"",S809/IF(ISNUMBER(G809),G809,F809))</f>
        <v/>
      </c>
      <c r="U809" s="46">
        <f>IF(ISNUMBER(T809),ABS(T809),"")</f>
        <v/>
      </c>
      <c r="V809" s="46">
        <f>IF(OR($D808&lt;&gt;"측정",$C808&lt;&gt;$C809,NOT(ISNUMBER(L809)),NOT(ISNUMBER(L808)),(IF(ISNUMBER(G809),G809,F809)-IF(ISNUMBER(G808),G808,F808))=0),"",(L809-L808)/(IF(ISNUMBER(G809),G809,F809)-IF(ISNUMBER(G808),G808,F808)))</f>
        <v/>
      </c>
      <c r="W809" s="30">
        <f>IF(NOT(AND(ISNUMBER(N809),ISNUMBER(P809))),"",(P809-N809)*1440)</f>
        <v/>
      </c>
      <c r="X809" s="28" t="n"/>
      <c r="Y809" s="28" t="n"/>
      <c r="Z809" s="28" t="n"/>
      <c r="AA809" s="31" t="n"/>
      <c r="AB809" s="31" t="n"/>
    </row>
    <row r="810">
      <c r="A810" s="43" t="inlineStr">
        <is>
          <t>S16</t>
        </is>
      </c>
      <c r="B810" s="43" t="inlineStr">
        <is>
          <t>예천 신규점</t>
        </is>
      </c>
      <c r="C810" s="43" t="inlineStr">
        <is>
          <t>S16-H서</t>
        </is>
      </c>
      <c r="D810" s="43" t="inlineStr">
        <is>
          <t>P0(후)</t>
        </is>
      </c>
      <c r="E810" s="43" t="inlineStr">
        <is>
          <t>서</t>
        </is>
      </c>
      <c r="F810" s="44" t="n"/>
      <c r="G810" s="29" t="n"/>
      <c r="H810" s="42" t="n"/>
      <c r="I810" s="40" t="n"/>
      <c r="J810" s="40" t="n"/>
      <c r="K810" s="40" t="n"/>
      <c r="L810" s="30">
        <f>IF(COUNT(I810:K810)=0,"",MEDIAN(I810:K810))</f>
        <v/>
      </c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28" t="n"/>
      <c r="Y810" s="28" t="n"/>
      <c r="Z810" s="28" t="n"/>
      <c r="AA810" s="31" t="n"/>
      <c r="AB810" s="31" t="n"/>
    </row>
    <row r="811">
      <c r="A811" s="43" t="inlineStr">
        <is>
          <t>S16</t>
        </is>
      </c>
      <c r="B811" s="43" t="inlineStr">
        <is>
          <t>예천 신규점</t>
        </is>
      </c>
      <c r="C811" s="43" t="inlineStr">
        <is>
          <t>S16-H남</t>
        </is>
      </c>
      <c r="D811" s="43" t="inlineStr">
        <is>
          <t>P0(전)</t>
        </is>
      </c>
      <c r="E811" s="43" t="inlineStr">
        <is>
          <t>남</t>
        </is>
      </c>
      <c r="F811" s="44" t="n"/>
      <c r="G811" s="29" t="n"/>
      <c r="H811" s="42" t="n"/>
      <c r="I811" s="40" t="n"/>
      <c r="J811" s="40" t="n"/>
      <c r="K811" s="40" t="n"/>
      <c r="L811" s="30">
        <f>IF(COUNT(I811:K811)=0,"",MEDIAN(I811:K811))</f>
        <v/>
      </c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28" t="n"/>
      <c r="Y811" s="28" t="n"/>
      <c r="Z811" s="28" t="n"/>
      <c r="AA811" s="31" t="n"/>
      <c r="AB811" s="31" t="n"/>
    </row>
    <row r="812">
      <c r="A812" s="25" t="inlineStr">
        <is>
          <t>S16</t>
        </is>
      </c>
      <c r="B812" s="25" t="inlineStr">
        <is>
          <t>예천 신규점</t>
        </is>
      </c>
      <c r="C812" s="25" t="inlineStr">
        <is>
          <t>S16-H남</t>
        </is>
      </c>
      <c r="D812" s="25" t="inlineStr">
        <is>
          <t>측정</t>
        </is>
      </c>
      <c r="E812" s="25" t="inlineStr">
        <is>
          <t>남</t>
        </is>
      </c>
      <c r="F812" s="30" t="n">
        <v>0.5</v>
      </c>
      <c r="G812" s="29" t="n"/>
      <c r="H812" s="42" t="n"/>
      <c r="I812" s="40" t="n"/>
      <c r="J812" s="40" t="n"/>
      <c r="K812" s="40" t="n"/>
      <c r="L812" s="30">
        <f>IF(COUNT(I812:K812)=0,"",MEDIAN(I812:K812))</f>
        <v/>
      </c>
      <c r="M812" s="25">
        <f>IF(COUNTIFS($C:$C,$C812,$D:$D,"P0(전)",$L:$L,"&gt;0")&lt;&gt;1,"P0(전) 유효 1개 아님",IF(COUNTIFS($C:$C,$C812,$D:$D,"P0(후)",$L:$L,"&gt;0")&lt;&gt;1,"P0(후) 유효 1개 아님",IF(NOT(AND(ISNUMBER(N812),ISNUMBER(P812),ISNUMBER(H812))),"시각 결측",IF(P812&lt;=N812,"P0 시각 역전",IF(OR(H812&lt;N812,H812&gt;P812),"측정시각 구간 밖","OK")))))</f>
        <v/>
      </c>
      <c r="N812" s="45">
        <f>IF(COUNTIFS($C:$C,$C812,$D:$D,"P0(전)",$L:$L,"&gt;0")&lt;&gt;1,"",SUMIFS($H:$H,$C:$C,$C812,$D:$D,"P0(전)"))</f>
        <v/>
      </c>
      <c r="O812" s="30">
        <f>IF(COUNTIFS($C:$C,$C812,$D:$D,"P0(전)",$L:$L,"&gt;0")&lt;&gt;1,"",SUMIFS($L:$L,$C:$C,$C812,$D:$D,"P0(전)"))</f>
        <v/>
      </c>
      <c r="P812" s="45">
        <f>IF(COUNTIFS($C:$C,$C812,$D:$D,"P0(후)",$L:$L,"&gt;0")&lt;&gt;1,"",SUMIFS($H:$H,$C:$C,$C812,$D:$D,"P0(후)"))</f>
        <v/>
      </c>
      <c r="Q812" s="30">
        <f>IF(COUNTIFS($C:$C,$C812,$D:$D,"P0(후)",$L:$L,"&gt;0")&lt;&gt;1,"",SUMIFS($L:$L,$C:$C,$C812,$D:$D,"P0(후)"))</f>
        <v/>
      </c>
      <c r="R812" s="30">
        <f>IF(M812&lt;&gt;"OK","",O812+(Q812-O812)*(H812-N812)/(P812-N812))</f>
        <v/>
      </c>
      <c r="S812" s="30">
        <f>IF(OR(M812&lt;&gt;"OK",NOT(ISNUMBER(L812))),"",L812-R812)</f>
        <v/>
      </c>
      <c r="T812" s="46">
        <f>IF(OR(NOT(ISNUMBER(S812)),IF(ISNUMBER(G812),G812,F812)=0),"",S812/IF(ISNUMBER(G812),G812,F812))</f>
        <v/>
      </c>
      <c r="U812" s="46">
        <f>IF(ISNUMBER(T812),ABS(T812),"")</f>
        <v/>
      </c>
      <c r="V812" s="46">
        <f>IF(OR($D811&lt;&gt;"측정",$C811&lt;&gt;$C812,NOT(ISNUMBER(L812)),NOT(ISNUMBER(L811)),(IF(ISNUMBER(G812),G812,F812)-IF(ISNUMBER(G811),G811,F811))=0),"",(L812-L811)/(IF(ISNUMBER(G812),G812,F812)-IF(ISNUMBER(G811),G811,F811)))</f>
        <v/>
      </c>
      <c r="W812" s="30">
        <f>IF(NOT(AND(ISNUMBER(N812),ISNUMBER(P812))),"",(P812-N812)*1440)</f>
        <v/>
      </c>
      <c r="X812" s="28" t="n"/>
      <c r="Y812" s="28" t="n"/>
      <c r="Z812" s="28" t="n"/>
      <c r="AA812" s="31" t="n"/>
      <c r="AB812" s="31" t="n"/>
    </row>
    <row r="813">
      <c r="A813" s="25" t="inlineStr">
        <is>
          <t>S16</t>
        </is>
      </c>
      <c r="B813" s="25" t="inlineStr">
        <is>
          <t>예천 신규점</t>
        </is>
      </c>
      <c r="C813" s="25" t="inlineStr">
        <is>
          <t>S16-H남</t>
        </is>
      </c>
      <c r="D813" s="25" t="inlineStr">
        <is>
          <t>측정</t>
        </is>
      </c>
      <c r="E813" s="25" t="inlineStr">
        <is>
          <t>남</t>
        </is>
      </c>
      <c r="F813" s="30" t="n">
        <v>1</v>
      </c>
      <c r="G813" s="29" t="n"/>
      <c r="H813" s="42" t="n"/>
      <c r="I813" s="40" t="n"/>
      <c r="J813" s="40" t="n"/>
      <c r="K813" s="40" t="n"/>
      <c r="L813" s="30">
        <f>IF(COUNT(I813:K813)=0,"",MEDIAN(I813:K813))</f>
        <v/>
      </c>
      <c r="M813" s="25">
        <f>IF(COUNTIFS($C:$C,$C813,$D:$D,"P0(전)",$L:$L,"&gt;0")&lt;&gt;1,"P0(전) 유효 1개 아님",IF(COUNTIFS($C:$C,$C813,$D:$D,"P0(후)",$L:$L,"&gt;0")&lt;&gt;1,"P0(후) 유효 1개 아님",IF(NOT(AND(ISNUMBER(N813),ISNUMBER(P813),ISNUMBER(H813))),"시각 결측",IF(P813&lt;=N813,"P0 시각 역전",IF(OR(H813&lt;N813,H813&gt;P813),"측정시각 구간 밖","OK")))))</f>
        <v/>
      </c>
      <c r="N813" s="45">
        <f>IF(COUNTIFS($C:$C,$C813,$D:$D,"P0(전)",$L:$L,"&gt;0")&lt;&gt;1,"",SUMIFS($H:$H,$C:$C,$C813,$D:$D,"P0(전)"))</f>
        <v/>
      </c>
      <c r="O813" s="30">
        <f>IF(COUNTIFS($C:$C,$C813,$D:$D,"P0(전)",$L:$L,"&gt;0")&lt;&gt;1,"",SUMIFS($L:$L,$C:$C,$C813,$D:$D,"P0(전)"))</f>
        <v/>
      </c>
      <c r="P813" s="45">
        <f>IF(COUNTIFS($C:$C,$C813,$D:$D,"P0(후)",$L:$L,"&gt;0")&lt;&gt;1,"",SUMIFS($H:$H,$C:$C,$C813,$D:$D,"P0(후)"))</f>
        <v/>
      </c>
      <c r="Q813" s="30">
        <f>IF(COUNTIFS($C:$C,$C813,$D:$D,"P0(후)",$L:$L,"&gt;0")&lt;&gt;1,"",SUMIFS($L:$L,$C:$C,$C813,$D:$D,"P0(후)"))</f>
        <v/>
      </c>
      <c r="R813" s="30">
        <f>IF(M813&lt;&gt;"OK","",O813+(Q813-O813)*(H813-N813)/(P813-N813))</f>
        <v/>
      </c>
      <c r="S813" s="30">
        <f>IF(OR(M813&lt;&gt;"OK",NOT(ISNUMBER(L813))),"",L813-R813)</f>
        <v/>
      </c>
      <c r="T813" s="46">
        <f>IF(OR(NOT(ISNUMBER(S813)),IF(ISNUMBER(G813),G813,F813)=0),"",S813/IF(ISNUMBER(G813),G813,F813))</f>
        <v/>
      </c>
      <c r="U813" s="46">
        <f>IF(ISNUMBER(T813),ABS(T813),"")</f>
        <v/>
      </c>
      <c r="V813" s="46">
        <f>IF(OR($D812&lt;&gt;"측정",$C812&lt;&gt;$C813,NOT(ISNUMBER(L813)),NOT(ISNUMBER(L812)),(IF(ISNUMBER(G813),G813,F813)-IF(ISNUMBER(G812),G812,F812))=0),"",(L813-L812)/(IF(ISNUMBER(G813),G813,F813)-IF(ISNUMBER(G812),G812,F812)))</f>
        <v/>
      </c>
      <c r="W813" s="30">
        <f>IF(NOT(AND(ISNUMBER(N813),ISNUMBER(P813))),"",(P813-N813)*1440)</f>
        <v/>
      </c>
      <c r="X813" s="28" t="n"/>
      <c r="Y813" s="28" t="n"/>
      <c r="Z813" s="28" t="n"/>
      <c r="AA813" s="31" t="n"/>
      <c r="AB813" s="31" t="n"/>
    </row>
    <row r="814">
      <c r="A814" s="25" t="inlineStr">
        <is>
          <t>S16</t>
        </is>
      </c>
      <c r="B814" s="25" t="inlineStr">
        <is>
          <t>예천 신규점</t>
        </is>
      </c>
      <c r="C814" s="25" t="inlineStr">
        <is>
          <t>S16-H남</t>
        </is>
      </c>
      <c r="D814" s="25" t="inlineStr">
        <is>
          <t>측정</t>
        </is>
      </c>
      <c r="E814" s="25" t="inlineStr">
        <is>
          <t>남</t>
        </is>
      </c>
      <c r="F814" s="30" t="n">
        <v>2</v>
      </c>
      <c r="G814" s="29" t="n"/>
      <c r="H814" s="42" t="n"/>
      <c r="I814" s="40" t="n"/>
      <c r="J814" s="40" t="n"/>
      <c r="K814" s="40" t="n"/>
      <c r="L814" s="30">
        <f>IF(COUNT(I814:K814)=0,"",MEDIAN(I814:K814))</f>
        <v/>
      </c>
      <c r="M814" s="25">
        <f>IF(COUNTIFS($C:$C,$C814,$D:$D,"P0(전)",$L:$L,"&gt;0")&lt;&gt;1,"P0(전) 유효 1개 아님",IF(COUNTIFS($C:$C,$C814,$D:$D,"P0(후)",$L:$L,"&gt;0")&lt;&gt;1,"P0(후) 유효 1개 아님",IF(NOT(AND(ISNUMBER(N814),ISNUMBER(P814),ISNUMBER(H814))),"시각 결측",IF(P814&lt;=N814,"P0 시각 역전",IF(OR(H814&lt;N814,H814&gt;P814),"측정시각 구간 밖","OK")))))</f>
        <v/>
      </c>
      <c r="N814" s="45">
        <f>IF(COUNTIFS($C:$C,$C814,$D:$D,"P0(전)",$L:$L,"&gt;0")&lt;&gt;1,"",SUMIFS($H:$H,$C:$C,$C814,$D:$D,"P0(전)"))</f>
        <v/>
      </c>
      <c r="O814" s="30">
        <f>IF(COUNTIFS($C:$C,$C814,$D:$D,"P0(전)",$L:$L,"&gt;0")&lt;&gt;1,"",SUMIFS($L:$L,$C:$C,$C814,$D:$D,"P0(전)"))</f>
        <v/>
      </c>
      <c r="P814" s="45">
        <f>IF(COUNTIFS($C:$C,$C814,$D:$D,"P0(후)",$L:$L,"&gt;0")&lt;&gt;1,"",SUMIFS($H:$H,$C:$C,$C814,$D:$D,"P0(후)"))</f>
        <v/>
      </c>
      <c r="Q814" s="30">
        <f>IF(COUNTIFS($C:$C,$C814,$D:$D,"P0(후)",$L:$L,"&gt;0")&lt;&gt;1,"",SUMIFS($L:$L,$C:$C,$C814,$D:$D,"P0(후)"))</f>
        <v/>
      </c>
      <c r="R814" s="30">
        <f>IF(M814&lt;&gt;"OK","",O814+(Q814-O814)*(H814-N814)/(P814-N814))</f>
        <v/>
      </c>
      <c r="S814" s="30">
        <f>IF(OR(M814&lt;&gt;"OK",NOT(ISNUMBER(L814))),"",L814-R814)</f>
        <v/>
      </c>
      <c r="T814" s="46">
        <f>IF(OR(NOT(ISNUMBER(S814)),IF(ISNUMBER(G814),G814,F814)=0),"",S814/IF(ISNUMBER(G814),G814,F814))</f>
        <v/>
      </c>
      <c r="U814" s="46">
        <f>IF(ISNUMBER(T814),ABS(T814),"")</f>
        <v/>
      </c>
      <c r="V814" s="46">
        <f>IF(OR($D813&lt;&gt;"측정",$C813&lt;&gt;$C814,NOT(ISNUMBER(L814)),NOT(ISNUMBER(L813)),(IF(ISNUMBER(G814),G814,F814)-IF(ISNUMBER(G813),G813,F813))=0),"",(L814-L813)/(IF(ISNUMBER(G814),G814,F814)-IF(ISNUMBER(G813),G813,F813)))</f>
        <v/>
      </c>
      <c r="W814" s="30">
        <f>IF(NOT(AND(ISNUMBER(N814),ISNUMBER(P814))),"",(P814-N814)*1440)</f>
        <v/>
      </c>
      <c r="X814" s="28" t="n"/>
      <c r="Y814" s="28" t="n"/>
      <c r="Z814" s="28" t="n"/>
      <c r="AA814" s="31" t="n"/>
      <c r="AB814" s="31" t="n"/>
    </row>
    <row r="815">
      <c r="A815" s="25" t="inlineStr">
        <is>
          <t>S16</t>
        </is>
      </c>
      <c r="B815" s="25" t="inlineStr">
        <is>
          <t>예천 신규점</t>
        </is>
      </c>
      <c r="C815" s="25" t="inlineStr">
        <is>
          <t>S16-H남</t>
        </is>
      </c>
      <c r="D815" s="25" t="inlineStr">
        <is>
          <t>측정</t>
        </is>
      </c>
      <c r="E815" s="25" t="inlineStr">
        <is>
          <t>남</t>
        </is>
      </c>
      <c r="F815" s="30" t="n">
        <v>3</v>
      </c>
      <c r="G815" s="29" t="n"/>
      <c r="H815" s="42" t="n"/>
      <c r="I815" s="40" t="n"/>
      <c r="J815" s="40" t="n"/>
      <c r="K815" s="40" t="n"/>
      <c r="L815" s="30">
        <f>IF(COUNT(I815:K815)=0,"",MEDIAN(I815:K815))</f>
        <v/>
      </c>
      <c r="M815" s="25">
        <f>IF(COUNTIFS($C:$C,$C815,$D:$D,"P0(전)",$L:$L,"&gt;0")&lt;&gt;1,"P0(전) 유효 1개 아님",IF(COUNTIFS($C:$C,$C815,$D:$D,"P0(후)",$L:$L,"&gt;0")&lt;&gt;1,"P0(후) 유효 1개 아님",IF(NOT(AND(ISNUMBER(N815),ISNUMBER(P815),ISNUMBER(H815))),"시각 결측",IF(P815&lt;=N815,"P0 시각 역전",IF(OR(H815&lt;N815,H815&gt;P815),"측정시각 구간 밖","OK")))))</f>
        <v/>
      </c>
      <c r="N815" s="45">
        <f>IF(COUNTIFS($C:$C,$C815,$D:$D,"P0(전)",$L:$L,"&gt;0")&lt;&gt;1,"",SUMIFS($H:$H,$C:$C,$C815,$D:$D,"P0(전)"))</f>
        <v/>
      </c>
      <c r="O815" s="30">
        <f>IF(COUNTIFS($C:$C,$C815,$D:$D,"P0(전)",$L:$L,"&gt;0")&lt;&gt;1,"",SUMIFS($L:$L,$C:$C,$C815,$D:$D,"P0(전)"))</f>
        <v/>
      </c>
      <c r="P815" s="45">
        <f>IF(COUNTIFS($C:$C,$C815,$D:$D,"P0(후)",$L:$L,"&gt;0")&lt;&gt;1,"",SUMIFS($H:$H,$C:$C,$C815,$D:$D,"P0(후)"))</f>
        <v/>
      </c>
      <c r="Q815" s="30">
        <f>IF(COUNTIFS($C:$C,$C815,$D:$D,"P0(후)",$L:$L,"&gt;0")&lt;&gt;1,"",SUMIFS($L:$L,$C:$C,$C815,$D:$D,"P0(후)"))</f>
        <v/>
      </c>
      <c r="R815" s="30">
        <f>IF(M815&lt;&gt;"OK","",O815+(Q815-O815)*(H815-N815)/(P815-N815))</f>
        <v/>
      </c>
      <c r="S815" s="30">
        <f>IF(OR(M815&lt;&gt;"OK",NOT(ISNUMBER(L815))),"",L815-R815)</f>
        <v/>
      </c>
      <c r="T815" s="46">
        <f>IF(OR(NOT(ISNUMBER(S815)),IF(ISNUMBER(G815),G815,F815)=0),"",S815/IF(ISNUMBER(G815),G815,F815))</f>
        <v/>
      </c>
      <c r="U815" s="46">
        <f>IF(ISNUMBER(T815),ABS(T815),"")</f>
        <v/>
      </c>
      <c r="V815" s="46">
        <f>IF(OR($D814&lt;&gt;"측정",$C814&lt;&gt;$C815,NOT(ISNUMBER(L815)),NOT(ISNUMBER(L814)),(IF(ISNUMBER(G815),G815,F815)-IF(ISNUMBER(G814),G814,F814))=0),"",(L815-L814)/(IF(ISNUMBER(G815),G815,F815)-IF(ISNUMBER(G814),G814,F814)))</f>
        <v/>
      </c>
      <c r="W815" s="30">
        <f>IF(NOT(AND(ISNUMBER(N815),ISNUMBER(P815))),"",(P815-N815)*1440)</f>
        <v/>
      </c>
      <c r="X815" s="28" t="n"/>
      <c r="Y815" s="28" t="n"/>
      <c r="Z815" s="28" t="n"/>
      <c r="AA815" s="31" t="n"/>
      <c r="AB815" s="31" t="n"/>
    </row>
    <row r="816">
      <c r="A816" s="25" t="inlineStr">
        <is>
          <t>S16</t>
        </is>
      </c>
      <c r="B816" s="25" t="inlineStr">
        <is>
          <t>예천 신규점</t>
        </is>
      </c>
      <c r="C816" s="25" t="inlineStr">
        <is>
          <t>S16-H남</t>
        </is>
      </c>
      <c r="D816" s="25" t="inlineStr">
        <is>
          <t>측정</t>
        </is>
      </c>
      <c r="E816" s="25" t="inlineStr">
        <is>
          <t>남</t>
        </is>
      </c>
      <c r="F816" s="30" t="n">
        <v>4</v>
      </c>
      <c r="G816" s="29" t="n"/>
      <c r="H816" s="42" t="n"/>
      <c r="I816" s="40" t="n"/>
      <c r="J816" s="40" t="n"/>
      <c r="K816" s="40" t="n"/>
      <c r="L816" s="30">
        <f>IF(COUNT(I816:K816)=0,"",MEDIAN(I816:K816))</f>
        <v/>
      </c>
      <c r="M816" s="25">
        <f>IF(COUNTIFS($C:$C,$C816,$D:$D,"P0(전)",$L:$L,"&gt;0")&lt;&gt;1,"P0(전) 유효 1개 아님",IF(COUNTIFS($C:$C,$C816,$D:$D,"P0(후)",$L:$L,"&gt;0")&lt;&gt;1,"P0(후) 유효 1개 아님",IF(NOT(AND(ISNUMBER(N816),ISNUMBER(P816),ISNUMBER(H816))),"시각 결측",IF(P816&lt;=N816,"P0 시각 역전",IF(OR(H816&lt;N816,H816&gt;P816),"측정시각 구간 밖","OK")))))</f>
        <v/>
      </c>
      <c r="N816" s="45">
        <f>IF(COUNTIFS($C:$C,$C816,$D:$D,"P0(전)",$L:$L,"&gt;0")&lt;&gt;1,"",SUMIFS($H:$H,$C:$C,$C816,$D:$D,"P0(전)"))</f>
        <v/>
      </c>
      <c r="O816" s="30">
        <f>IF(COUNTIFS($C:$C,$C816,$D:$D,"P0(전)",$L:$L,"&gt;0")&lt;&gt;1,"",SUMIFS($L:$L,$C:$C,$C816,$D:$D,"P0(전)"))</f>
        <v/>
      </c>
      <c r="P816" s="45">
        <f>IF(COUNTIFS($C:$C,$C816,$D:$D,"P0(후)",$L:$L,"&gt;0")&lt;&gt;1,"",SUMIFS($H:$H,$C:$C,$C816,$D:$D,"P0(후)"))</f>
        <v/>
      </c>
      <c r="Q816" s="30">
        <f>IF(COUNTIFS($C:$C,$C816,$D:$D,"P0(후)",$L:$L,"&gt;0")&lt;&gt;1,"",SUMIFS($L:$L,$C:$C,$C816,$D:$D,"P0(후)"))</f>
        <v/>
      </c>
      <c r="R816" s="30">
        <f>IF(M816&lt;&gt;"OK","",O816+(Q816-O816)*(H816-N816)/(P816-N816))</f>
        <v/>
      </c>
      <c r="S816" s="30">
        <f>IF(OR(M816&lt;&gt;"OK",NOT(ISNUMBER(L816))),"",L816-R816)</f>
        <v/>
      </c>
      <c r="T816" s="46">
        <f>IF(OR(NOT(ISNUMBER(S816)),IF(ISNUMBER(G816),G816,F816)=0),"",S816/IF(ISNUMBER(G816),G816,F816))</f>
        <v/>
      </c>
      <c r="U816" s="46">
        <f>IF(ISNUMBER(T816),ABS(T816),"")</f>
        <v/>
      </c>
      <c r="V816" s="46">
        <f>IF(OR($D815&lt;&gt;"측정",$C815&lt;&gt;$C816,NOT(ISNUMBER(L816)),NOT(ISNUMBER(L815)),(IF(ISNUMBER(G816),G816,F816)-IF(ISNUMBER(G815),G815,F815))=0),"",(L816-L815)/(IF(ISNUMBER(G816),G816,F816)-IF(ISNUMBER(G815),G815,F815)))</f>
        <v/>
      </c>
      <c r="W816" s="30">
        <f>IF(NOT(AND(ISNUMBER(N816),ISNUMBER(P816))),"",(P816-N816)*1440)</f>
        <v/>
      </c>
      <c r="X816" s="28" t="n"/>
      <c r="Y816" s="28" t="n"/>
      <c r="Z816" s="28" t="n"/>
      <c r="AA816" s="31" t="n"/>
      <c r="AB816" s="31" t="n"/>
    </row>
    <row r="817">
      <c r="A817" s="25" t="inlineStr">
        <is>
          <t>S16</t>
        </is>
      </c>
      <c r="B817" s="25" t="inlineStr">
        <is>
          <t>예천 신규점</t>
        </is>
      </c>
      <c r="C817" s="25" t="inlineStr">
        <is>
          <t>S16-H남</t>
        </is>
      </c>
      <c r="D817" s="25" t="inlineStr">
        <is>
          <t>측정</t>
        </is>
      </c>
      <c r="E817" s="25" t="inlineStr">
        <is>
          <t>남</t>
        </is>
      </c>
      <c r="F817" s="30" t="n">
        <v>5</v>
      </c>
      <c r="G817" s="29" t="n"/>
      <c r="H817" s="42" t="n"/>
      <c r="I817" s="40" t="n"/>
      <c r="J817" s="40" t="n"/>
      <c r="K817" s="40" t="n"/>
      <c r="L817" s="30">
        <f>IF(COUNT(I817:K817)=0,"",MEDIAN(I817:K817))</f>
        <v/>
      </c>
      <c r="M817" s="25">
        <f>IF(COUNTIFS($C:$C,$C817,$D:$D,"P0(전)",$L:$L,"&gt;0")&lt;&gt;1,"P0(전) 유효 1개 아님",IF(COUNTIFS($C:$C,$C817,$D:$D,"P0(후)",$L:$L,"&gt;0")&lt;&gt;1,"P0(후) 유효 1개 아님",IF(NOT(AND(ISNUMBER(N817),ISNUMBER(P817),ISNUMBER(H817))),"시각 결측",IF(P817&lt;=N817,"P0 시각 역전",IF(OR(H817&lt;N817,H817&gt;P817),"측정시각 구간 밖","OK")))))</f>
        <v/>
      </c>
      <c r="N817" s="45">
        <f>IF(COUNTIFS($C:$C,$C817,$D:$D,"P0(전)",$L:$L,"&gt;0")&lt;&gt;1,"",SUMIFS($H:$H,$C:$C,$C817,$D:$D,"P0(전)"))</f>
        <v/>
      </c>
      <c r="O817" s="30">
        <f>IF(COUNTIFS($C:$C,$C817,$D:$D,"P0(전)",$L:$L,"&gt;0")&lt;&gt;1,"",SUMIFS($L:$L,$C:$C,$C817,$D:$D,"P0(전)"))</f>
        <v/>
      </c>
      <c r="P817" s="45">
        <f>IF(COUNTIFS($C:$C,$C817,$D:$D,"P0(후)",$L:$L,"&gt;0")&lt;&gt;1,"",SUMIFS($H:$H,$C:$C,$C817,$D:$D,"P0(후)"))</f>
        <v/>
      </c>
      <c r="Q817" s="30">
        <f>IF(COUNTIFS($C:$C,$C817,$D:$D,"P0(후)",$L:$L,"&gt;0")&lt;&gt;1,"",SUMIFS($L:$L,$C:$C,$C817,$D:$D,"P0(후)"))</f>
        <v/>
      </c>
      <c r="R817" s="30">
        <f>IF(M817&lt;&gt;"OK","",O817+(Q817-O817)*(H817-N817)/(P817-N817))</f>
        <v/>
      </c>
      <c r="S817" s="30">
        <f>IF(OR(M817&lt;&gt;"OK",NOT(ISNUMBER(L817))),"",L817-R817)</f>
        <v/>
      </c>
      <c r="T817" s="46">
        <f>IF(OR(NOT(ISNUMBER(S817)),IF(ISNUMBER(G817),G817,F817)=0),"",S817/IF(ISNUMBER(G817),G817,F817))</f>
        <v/>
      </c>
      <c r="U817" s="46">
        <f>IF(ISNUMBER(T817),ABS(T817),"")</f>
        <v/>
      </c>
      <c r="V817" s="46">
        <f>IF(OR($D816&lt;&gt;"측정",$C816&lt;&gt;$C817,NOT(ISNUMBER(L817)),NOT(ISNUMBER(L816)),(IF(ISNUMBER(G817),G817,F817)-IF(ISNUMBER(G816),G816,F816))=0),"",(L817-L816)/(IF(ISNUMBER(G817),G817,F817)-IF(ISNUMBER(G816),G816,F816)))</f>
        <v/>
      </c>
      <c r="W817" s="30">
        <f>IF(NOT(AND(ISNUMBER(N817),ISNUMBER(P817))),"",(P817-N817)*1440)</f>
        <v/>
      </c>
      <c r="X817" s="28" t="n"/>
      <c r="Y817" s="28" t="n"/>
      <c r="Z817" s="28" t="n"/>
      <c r="AA817" s="31" t="n"/>
      <c r="AB817" s="31" t="n"/>
    </row>
    <row r="818">
      <c r="A818" s="25" t="inlineStr">
        <is>
          <t>S16</t>
        </is>
      </c>
      <c r="B818" s="25" t="inlineStr">
        <is>
          <t>예천 신규점</t>
        </is>
      </c>
      <c r="C818" s="25" t="inlineStr">
        <is>
          <t>S16-H남</t>
        </is>
      </c>
      <c r="D818" s="25" t="inlineStr">
        <is>
          <t>측정</t>
        </is>
      </c>
      <c r="E818" s="25" t="inlineStr">
        <is>
          <t>남</t>
        </is>
      </c>
      <c r="F818" s="30" t="n">
        <v>6</v>
      </c>
      <c r="G818" s="29" t="n"/>
      <c r="H818" s="42" t="n"/>
      <c r="I818" s="40" t="n"/>
      <c r="J818" s="40" t="n"/>
      <c r="K818" s="40" t="n"/>
      <c r="L818" s="30">
        <f>IF(COUNT(I818:K818)=0,"",MEDIAN(I818:K818))</f>
        <v/>
      </c>
      <c r="M818" s="25">
        <f>IF(COUNTIFS($C:$C,$C818,$D:$D,"P0(전)",$L:$L,"&gt;0")&lt;&gt;1,"P0(전) 유효 1개 아님",IF(COUNTIFS($C:$C,$C818,$D:$D,"P0(후)",$L:$L,"&gt;0")&lt;&gt;1,"P0(후) 유효 1개 아님",IF(NOT(AND(ISNUMBER(N818),ISNUMBER(P818),ISNUMBER(H818))),"시각 결측",IF(P818&lt;=N818,"P0 시각 역전",IF(OR(H818&lt;N818,H818&gt;P818),"측정시각 구간 밖","OK")))))</f>
        <v/>
      </c>
      <c r="N818" s="45">
        <f>IF(COUNTIFS($C:$C,$C818,$D:$D,"P0(전)",$L:$L,"&gt;0")&lt;&gt;1,"",SUMIFS($H:$H,$C:$C,$C818,$D:$D,"P0(전)"))</f>
        <v/>
      </c>
      <c r="O818" s="30">
        <f>IF(COUNTIFS($C:$C,$C818,$D:$D,"P0(전)",$L:$L,"&gt;0")&lt;&gt;1,"",SUMIFS($L:$L,$C:$C,$C818,$D:$D,"P0(전)"))</f>
        <v/>
      </c>
      <c r="P818" s="45">
        <f>IF(COUNTIFS($C:$C,$C818,$D:$D,"P0(후)",$L:$L,"&gt;0")&lt;&gt;1,"",SUMIFS($H:$H,$C:$C,$C818,$D:$D,"P0(후)"))</f>
        <v/>
      </c>
      <c r="Q818" s="30">
        <f>IF(COUNTIFS($C:$C,$C818,$D:$D,"P0(후)",$L:$L,"&gt;0")&lt;&gt;1,"",SUMIFS($L:$L,$C:$C,$C818,$D:$D,"P0(후)"))</f>
        <v/>
      </c>
      <c r="R818" s="30">
        <f>IF(M818&lt;&gt;"OK","",O818+(Q818-O818)*(H818-N818)/(P818-N818))</f>
        <v/>
      </c>
      <c r="S818" s="30">
        <f>IF(OR(M818&lt;&gt;"OK",NOT(ISNUMBER(L818))),"",L818-R818)</f>
        <v/>
      </c>
      <c r="T818" s="46">
        <f>IF(OR(NOT(ISNUMBER(S818)),IF(ISNUMBER(G818),G818,F818)=0),"",S818/IF(ISNUMBER(G818),G818,F818))</f>
        <v/>
      </c>
      <c r="U818" s="46">
        <f>IF(ISNUMBER(T818),ABS(T818),"")</f>
        <v/>
      </c>
      <c r="V818" s="46">
        <f>IF(OR($D817&lt;&gt;"측정",$C817&lt;&gt;$C818,NOT(ISNUMBER(L818)),NOT(ISNUMBER(L817)),(IF(ISNUMBER(G818),G818,F818)-IF(ISNUMBER(G817),G817,F817))=0),"",(L818-L817)/(IF(ISNUMBER(G818),G818,F818)-IF(ISNUMBER(G817),G817,F817)))</f>
        <v/>
      </c>
      <c r="W818" s="30">
        <f>IF(NOT(AND(ISNUMBER(N818),ISNUMBER(P818))),"",(P818-N818)*1440)</f>
        <v/>
      </c>
      <c r="X818" s="28" t="n"/>
      <c r="Y818" s="28" t="n"/>
      <c r="Z818" s="28" t="n"/>
      <c r="AA818" s="31" t="n"/>
      <c r="AB818" s="31" t="n"/>
    </row>
    <row r="819">
      <c r="A819" s="25" t="inlineStr">
        <is>
          <t>S16</t>
        </is>
      </c>
      <c r="B819" s="25" t="inlineStr">
        <is>
          <t>예천 신규점</t>
        </is>
      </c>
      <c r="C819" s="25" t="inlineStr">
        <is>
          <t>S16-H남</t>
        </is>
      </c>
      <c r="D819" s="25" t="inlineStr">
        <is>
          <t>측정</t>
        </is>
      </c>
      <c r="E819" s="25" t="inlineStr">
        <is>
          <t>남</t>
        </is>
      </c>
      <c r="F819" s="30" t="n">
        <v>7</v>
      </c>
      <c r="G819" s="29" t="n"/>
      <c r="H819" s="42" t="n"/>
      <c r="I819" s="40" t="n"/>
      <c r="J819" s="40" t="n"/>
      <c r="K819" s="40" t="n"/>
      <c r="L819" s="30">
        <f>IF(COUNT(I819:K819)=0,"",MEDIAN(I819:K819))</f>
        <v/>
      </c>
      <c r="M819" s="25">
        <f>IF(COUNTIFS($C:$C,$C819,$D:$D,"P0(전)",$L:$L,"&gt;0")&lt;&gt;1,"P0(전) 유효 1개 아님",IF(COUNTIFS($C:$C,$C819,$D:$D,"P0(후)",$L:$L,"&gt;0")&lt;&gt;1,"P0(후) 유효 1개 아님",IF(NOT(AND(ISNUMBER(N819),ISNUMBER(P819),ISNUMBER(H819))),"시각 결측",IF(P819&lt;=N819,"P0 시각 역전",IF(OR(H819&lt;N819,H819&gt;P819),"측정시각 구간 밖","OK")))))</f>
        <v/>
      </c>
      <c r="N819" s="45">
        <f>IF(COUNTIFS($C:$C,$C819,$D:$D,"P0(전)",$L:$L,"&gt;0")&lt;&gt;1,"",SUMIFS($H:$H,$C:$C,$C819,$D:$D,"P0(전)"))</f>
        <v/>
      </c>
      <c r="O819" s="30">
        <f>IF(COUNTIFS($C:$C,$C819,$D:$D,"P0(전)",$L:$L,"&gt;0")&lt;&gt;1,"",SUMIFS($L:$L,$C:$C,$C819,$D:$D,"P0(전)"))</f>
        <v/>
      </c>
      <c r="P819" s="45">
        <f>IF(COUNTIFS($C:$C,$C819,$D:$D,"P0(후)",$L:$L,"&gt;0")&lt;&gt;1,"",SUMIFS($H:$H,$C:$C,$C819,$D:$D,"P0(후)"))</f>
        <v/>
      </c>
      <c r="Q819" s="30">
        <f>IF(COUNTIFS($C:$C,$C819,$D:$D,"P0(후)",$L:$L,"&gt;0")&lt;&gt;1,"",SUMIFS($L:$L,$C:$C,$C819,$D:$D,"P0(후)"))</f>
        <v/>
      </c>
      <c r="R819" s="30">
        <f>IF(M819&lt;&gt;"OK","",O819+(Q819-O819)*(H819-N819)/(P819-N819))</f>
        <v/>
      </c>
      <c r="S819" s="30">
        <f>IF(OR(M819&lt;&gt;"OK",NOT(ISNUMBER(L819))),"",L819-R819)</f>
        <v/>
      </c>
      <c r="T819" s="46">
        <f>IF(OR(NOT(ISNUMBER(S819)),IF(ISNUMBER(G819),G819,F819)=0),"",S819/IF(ISNUMBER(G819),G819,F819))</f>
        <v/>
      </c>
      <c r="U819" s="46">
        <f>IF(ISNUMBER(T819),ABS(T819),"")</f>
        <v/>
      </c>
      <c r="V819" s="46">
        <f>IF(OR($D818&lt;&gt;"측정",$C818&lt;&gt;$C819,NOT(ISNUMBER(L819)),NOT(ISNUMBER(L818)),(IF(ISNUMBER(G819),G819,F819)-IF(ISNUMBER(G818),G818,F818))=0),"",(L819-L818)/(IF(ISNUMBER(G819),G819,F819)-IF(ISNUMBER(G818),G818,F818)))</f>
        <v/>
      </c>
      <c r="W819" s="30">
        <f>IF(NOT(AND(ISNUMBER(N819),ISNUMBER(P819))),"",(P819-N819)*1440)</f>
        <v/>
      </c>
      <c r="X819" s="28" t="n"/>
      <c r="Y819" s="28" t="n"/>
      <c r="Z819" s="28" t="n"/>
      <c r="AA819" s="31" t="n"/>
      <c r="AB819" s="31" t="n"/>
    </row>
    <row r="820">
      <c r="A820" s="25" t="inlineStr">
        <is>
          <t>S16</t>
        </is>
      </c>
      <c r="B820" s="25" t="inlineStr">
        <is>
          <t>예천 신규점</t>
        </is>
      </c>
      <c r="C820" s="25" t="inlineStr">
        <is>
          <t>S16-H남</t>
        </is>
      </c>
      <c r="D820" s="25" t="inlineStr">
        <is>
          <t>측정</t>
        </is>
      </c>
      <c r="E820" s="25" t="inlineStr">
        <is>
          <t>남</t>
        </is>
      </c>
      <c r="F820" s="30" t="n">
        <v>8</v>
      </c>
      <c r="G820" s="29" t="n"/>
      <c r="H820" s="42" t="n"/>
      <c r="I820" s="40" t="n"/>
      <c r="J820" s="40" t="n"/>
      <c r="K820" s="40" t="n"/>
      <c r="L820" s="30">
        <f>IF(COUNT(I820:K820)=0,"",MEDIAN(I820:K820))</f>
        <v/>
      </c>
      <c r="M820" s="25">
        <f>IF(COUNTIFS($C:$C,$C820,$D:$D,"P0(전)",$L:$L,"&gt;0")&lt;&gt;1,"P0(전) 유효 1개 아님",IF(COUNTIFS($C:$C,$C820,$D:$D,"P0(후)",$L:$L,"&gt;0")&lt;&gt;1,"P0(후) 유효 1개 아님",IF(NOT(AND(ISNUMBER(N820),ISNUMBER(P820),ISNUMBER(H820))),"시각 결측",IF(P820&lt;=N820,"P0 시각 역전",IF(OR(H820&lt;N820,H820&gt;P820),"측정시각 구간 밖","OK")))))</f>
        <v/>
      </c>
      <c r="N820" s="45">
        <f>IF(COUNTIFS($C:$C,$C820,$D:$D,"P0(전)",$L:$L,"&gt;0")&lt;&gt;1,"",SUMIFS($H:$H,$C:$C,$C820,$D:$D,"P0(전)"))</f>
        <v/>
      </c>
      <c r="O820" s="30">
        <f>IF(COUNTIFS($C:$C,$C820,$D:$D,"P0(전)",$L:$L,"&gt;0")&lt;&gt;1,"",SUMIFS($L:$L,$C:$C,$C820,$D:$D,"P0(전)"))</f>
        <v/>
      </c>
      <c r="P820" s="45">
        <f>IF(COUNTIFS($C:$C,$C820,$D:$D,"P0(후)",$L:$L,"&gt;0")&lt;&gt;1,"",SUMIFS($H:$H,$C:$C,$C820,$D:$D,"P0(후)"))</f>
        <v/>
      </c>
      <c r="Q820" s="30">
        <f>IF(COUNTIFS($C:$C,$C820,$D:$D,"P0(후)",$L:$L,"&gt;0")&lt;&gt;1,"",SUMIFS($L:$L,$C:$C,$C820,$D:$D,"P0(후)"))</f>
        <v/>
      </c>
      <c r="R820" s="30">
        <f>IF(M820&lt;&gt;"OK","",O820+(Q820-O820)*(H820-N820)/(P820-N820))</f>
        <v/>
      </c>
      <c r="S820" s="30">
        <f>IF(OR(M820&lt;&gt;"OK",NOT(ISNUMBER(L820))),"",L820-R820)</f>
        <v/>
      </c>
      <c r="T820" s="46">
        <f>IF(OR(NOT(ISNUMBER(S820)),IF(ISNUMBER(G820),G820,F820)=0),"",S820/IF(ISNUMBER(G820),G820,F820))</f>
        <v/>
      </c>
      <c r="U820" s="46">
        <f>IF(ISNUMBER(T820),ABS(T820),"")</f>
        <v/>
      </c>
      <c r="V820" s="46">
        <f>IF(OR($D819&lt;&gt;"측정",$C819&lt;&gt;$C820,NOT(ISNUMBER(L820)),NOT(ISNUMBER(L819)),(IF(ISNUMBER(G820),G820,F820)-IF(ISNUMBER(G819),G819,F819))=0),"",(L820-L819)/(IF(ISNUMBER(G820),G820,F820)-IF(ISNUMBER(G819),G819,F819)))</f>
        <v/>
      </c>
      <c r="W820" s="30">
        <f>IF(NOT(AND(ISNUMBER(N820),ISNUMBER(P820))),"",(P820-N820)*1440)</f>
        <v/>
      </c>
      <c r="X820" s="28" t="n"/>
      <c r="Y820" s="28" t="n"/>
      <c r="Z820" s="28" t="n"/>
      <c r="AA820" s="31" t="n"/>
      <c r="AB820" s="31" t="n"/>
    </row>
    <row r="821">
      <c r="A821" s="25" t="inlineStr">
        <is>
          <t>S16</t>
        </is>
      </c>
      <c r="B821" s="25" t="inlineStr">
        <is>
          <t>예천 신규점</t>
        </is>
      </c>
      <c r="C821" s="25" t="inlineStr">
        <is>
          <t>S16-H남</t>
        </is>
      </c>
      <c r="D821" s="25" t="inlineStr">
        <is>
          <t>측정</t>
        </is>
      </c>
      <c r="E821" s="25" t="inlineStr">
        <is>
          <t>남</t>
        </is>
      </c>
      <c r="F821" s="30" t="n">
        <v>9</v>
      </c>
      <c r="G821" s="29" t="n"/>
      <c r="H821" s="42" t="n"/>
      <c r="I821" s="40" t="n"/>
      <c r="J821" s="40" t="n"/>
      <c r="K821" s="40" t="n"/>
      <c r="L821" s="30">
        <f>IF(COUNT(I821:K821)=0,"",MEDIAN(I821:K821))</f>
        <v/>
      </c>
      <c r="M821" s="25">
        <f>IF(COUNTIFS($C:$C,$C821,$D:$D,"P0(전)",$L:$L,"&gt;0")&lt;&gt;1,"P0(전) 유효 1개 아님",IF(COUNTIFS($C:$C,$C821,$D:$D,"P0(후)",$L:$L,"&gt;0")&lt;&gt;1,"P0(후) 유효 1개 아님",IF(NOT(AND(ISNUMBER(N821),ISNUMBER(P821),ISNUMBER(H821))),"시각 결측",IF(P821&lt;=N821,"P0 시각 역전",IF(OR(H821&lt;N821,H821&gt;P821),"측정시각 구간 밖","OK")))))</f>
        <v/>
      </c>
      <c r="N821" s="45">
        <f>IF(COUNTIFS($C:$C,$C821,$D:$D,"P0(전)",$L:$L,"&gt;0")&lt;&gt;1,"",SUMIFS($H:$H,$C:$C,$C821,$D:$D,"P0(전)"))</f>
        <v/>
      </c>
      <c r="O821" s="30">
        <f>IF(COUNTIFS($C:$C,$C821,$D:$D,"P0(전)",$L:$L,"&gt;0")&lt;&gt;1,"",SUMIFS($L:$L,$C:$C,$C821,$D:$D,"P0(전)"))</f>
        <v/>
      </c>
      <c r="P821" s="45">
        <f>IF(COUNTIFS($C:$C,$C821,$D:$D,"P0(후)",$L:$L,"&gt;0")&lt;&gt;1,"",SUMIFS($H:$H,$C:$C,$C821,$D:$D,"P0(후)"))</f>
        <v/>
      </c>
      <c r="Q821" s="30">
        <f>IF(COUNTIFS($C:$C,$C821,$D:$D,"P0(후)",$L:$L,"&gt;0")&lt;&gt;1,"",SUMIFS($L:$L,$C:$C,$C821,$D:$D,"P0(후)"))</f>
        <v/>
      </c>
      <c r="R821" s="30">
        <f>IF(M821&lt;&gt;"OK","",O821+(Q821-O821)*(H821-N821)/(P821-N821))</f>
        <v/>
      </c>
      <c r="S821" s="30">
        <f>IF(OR(M821&lt;&gt;"OK",NOT(ISNUMBER(L821))),"",L821-R821)</f>
        <v/>
      </c>
      <c r="T821" s="46">
        <f>IF(OR(NOT(ISNUMBER(S821)),IF(ISNUMBER(G821),G821,F821)=0),"",S821/IF(ISNUMBER(G821),G821,F821))</f>
        <v/>
      </c>
      <c r="U821" s="46">
        <f>IF(ISNUMBER(T821),ABS(T821),"")</f>
        <v/>
      </c>
      <c r="V821" s="46">
        <f>IF(OR($D820&lt;&gt;"측정",$C820&lt;&gt;$C821,NOT(ISNUMBER(L821)),NOT(ISNUMBER(L820)),(IF(ISNUMBER(G821),G821,F821)-IF(ISNUMBER(G820),G820,F820))=0),"",(L821-L820)/(IF(ISNUMBER(G821),G821,F821)-IF(ISNUMBER(G820),G820,F820)))</f>
        <v/>
      </c>
      <c r="W821" s="30">
        <f>IF(NOT(AND(ISNUMBER(N821),ISNUMBER(P821))),"",(P821-N821)*1440)</f>
        <v/>
      </c>
      <c r="X821" s="28" t="n"/>
      <c r="Y821" s="28" t="n"/>
      <c r="Z821" s="28" t="n"/>
      <c r="AA821" s="31" t="n"/>
      <c r="AB821" s="31" t="n"/>
    </row>
    <row r="822">
      <c r="A822" s="25" t="inlineStr">
        <is>
          <t>S16</t>
        </is>
      </c>
      <c r="B822" s="25" t="inlineStr">
        <is>
          <t>예천 신규점</t>
        </is>
      </c>
      <c r="C822" s="25" t="inlineStr">
        <is>
          <t>S16-H남</t>
        </is>
      </c>
      <c r="D822" s="25" t="inlineStr">
        <is>
          <t>측정</t>
        </is>
      </c>
      <c r="E822" s="25" t="inlineStr">
        <is>
          <t>남</t>
        </is>
      </c>
      <c r="F822" s="30" t="n">
        <v>10</v>
      </c>
      <c r="G822" s="29" t="n"/>
      <c r="H822" s="42" t="n"/>
      <c r="I822" s="40" t="n"/>
      <c r="J822" s="40" t="n"/>
      <c r="K822" s="40" t="n"/>
      <c r="L822" s="30">
        <f>IF(COUNT(I822:K822)=0,"",MEDIAN(I822:K822))</f>
        <v/>
      </c>
      <c r="M822" s="25">
        <f>IF(COUNTIFS($C:$C,$C822,$D:$D,"P0(전)",$L:$L,"&gt;0")&lt;&gt;1,"P0(전) 유효 1개 아님",IF(COUNTIFS($C:$C,$C822,$D:$D,"P0(후)",$L:$L,"&gt;0")&lt;&gt;1,"P0(후) 유효 1개 아님",IF(NOT(AND(ISNUMBER(N822),ISNUMBER(P822),ISNUMBER(H822))),"시각 결측",IF(P822&lt;=N822,"P0 시각 역전",IF(OR(H822&lt;N822,H822&gt;P822),"측정시각 구간 밖","OK")))))</f>
        <v/>
      </c>
      <c r="N822" s="45">
        <f>IF(COUNTIFS($C:$C,$C822,$D:$D,"P0(전)",$L:$L,"&gt;0")&lt;&gt;1,"",SUMIFS($H:$H,$C:$C,$C822,$D:$D,"P0(전)"))</f>
        <v/>
      </c>
      <c r="O822" s="30">
        <f>IF(COUNTIFS($C:$C,$C822,$D:$D,"P0(전)",$L:$L,"&gt;0")&lt;&gt;1,"",SUMIFS($L:$L,$C:$C,$C822,$D:$D,"P0(전)"))</f>
        <v/>
      </c>
      <c r="P822" s="45">
        <f>IF(COUNTIFS($C:$C,$C822,$D:$D,"P0(후)",$L:$L,"&gt;0")&lt;&gt;1,"",SUMIFS($H:$H,$C:$C,$C822,$D:$D,"P0(후)"))</f>
        <v/>
      </c>
      <c r="Q822" s="30">
        <f>IF(COUNTIFS($C:$C,$C822,$D:$D,"P0(후)",$L:$L,"&gt;0")&lt;&gt;1,"",SUMIFS($L:$L,$C:$C,$C822,$D:$D,"P0(후)"))</f>
        <v/>
      </c>
      <c r="R822" s="30">
        <f>IF(M822&lt;&gt;"OK","",O822+(Q822-O822)*(H822-N822)/(P822-N822))</f>
        <v/>
      </c>
      <c r="S822" s="30">
        <f>IF(OR(M822&lt;&gt;"OK",NOT(ISNUMBER(L822))),"",L822-R822)</f>
        <v/>
      </c>
      <c r="T822" s="46">
        <f>IF(OR(NOT(ISNUMBER(S822)),IF(ISNUMBER(G822),G822,F822)=0),"",S822/IF(ISNUMBER(G822),G822,F822))</f>
        <v/>
      </c>
      <c r="U822" s="46">
        <f>IF(ISNUMBER(T822),ABS(T822),"")</f>
        <v/>
      </c>
      <c r="V822" s="46">
        <f>IF(OR($D821&lt;&gt;"측정",$C821&lt;&gt;$C822,NOT(ISNUMBER(L822)),NOT(ISNUMBER(L821)),(IF(ISNUMBER(G822),G822,F822)-IF(ISNUMBER(G821),G821,F821))=0),"",(L822-L821)/(IF(ISNUMBER(G822),G822,F822)-IF(ISNUMBER(G821),G821,F821)))</f>
        <v/>
      </c>
      <c r="W822" s="30">
        <f>IF(NOT(AND(ISNUMBER(N822),ISNUMBER(P822))),"",(P822-N822)*1440)</f>
        <v/>
      </c>
      <c r="X822" s="28" t="n"/>
      <c r="Y822" s="28" t="n"/>
      <c r="Z822" s="28" t="n"/>
      <c r="AA822" s="31" t="n"/>
      <c r="AB822" s="31" t="n"/>
    </row>
    <row r="823">
      <c r="A823" s="43" t="inlineStr">
        <is>
          <t>S16</t>
        </is>
      </c>
      <c r="B823" s="43" t="inlineStr">
        <is>
          <t>예천 신규점</t>
        </is>
      </c>
      <c r="C823" s="43" t="inlineStr">
        <is>
          <t>S16-H남</t>
        </is>
      </c>
      <c r="D823" s="43" t="inlineStr">
        <is>
          <t>P0(후)</t>
        </is>
      </c>
      <c r="E823" s="43" t="inlineStr">
        <is>
          <t>남</t>
        </is>
      </c>
      <c r="F823" s="44" t="n"/>
      <c r="G823" s="29" t="n"/>
      <c r="H823" s="42" t="n"/>
      <c r="I823" s="40" t="n"/>
      <c r="J823" s="40" t="n"/>
      <c r="K823" s="40" t="n"/>
      <c r="L823" s="30">
        <f>IF(COUNT(I823:K823)=0,"",MEDIAN(I823:K823))</f>
        <v/>
      </c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28" t="n"/>
      <c r="Y823" s="28" t="n"/>
      <c r="Z823" s="28" t="n"/>
      <c r="AA823" s="31" t="n"/>
      <c r="AB823" s="31" t="n"/>
    </row>
    <row r="824">
      <c r="A824" s="43" t="inlineStr">
        <is>
          <t>S16</t>
        </is>
      </c>
      <c r="B824" s="43" t="inlineStr">
        <is>
          <t>예천 신규점</t>
        </is>
      </c>
      <c r="C824" s="43" t="inlineStr">
        <is>
          <t>S16-H북</t>
        </is>
      </c>
      <c r="D824" s="43" t="inlineStr">
        <is>
          <t>P0(전)</t>
        </is>
      </c>
      <c r="E824" s="43" t="inlineStr">
        <is>
          <t>북</t>
        </is>
      </c>
      <c r="F824" s="44" t="n"/>
      <c r="G824" s="29" t="n"/>
      <c r="H824" s="42" t="n"/>
      <c r="I824" s="40" t="n"/>
      <c r="J824" s="40" t="n"/>
      <c r="K824" s="40" t="n"/>
      <c r="L824" s="30">
        <f>IF(COUNT(I824:K824)=0,"",MEDIAN(I824:K824))</f>
        <v/>
      </c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28" t="n"/>
      <c r="Y824" s="28" t="n"/>
      <c r="Z824" s="28" t="n"/>
      <c r="AA824" s="31" t="n"/>
      <c r="AB824" s="31" t="n"/>
    </row>
    <row r="825">
      <c r="A825" s="25" t="inlineStr">
        <is>
          <t>S16</t>
        </is>
      </c>
      <c r="B825" s="25" t="inlineStr">
        <is>
          <t>예천 신규점</t>
        </is>
      </c>
      <c r="C825" s="25" t="inlineStr">
        <is>
          <t>S16-H북</t>
        </is>
      </c>
      <c r="D825" s="25" t="inlineStr">
        <is>
          <t>측정</t>
        </is>
      </c>
      <c r="E825" s="25" t="inlineStr">
        <is>
          <t>북</t>
        </is>
      </c>
      <c r="F825" s="30" t="n">
        <v>0.5</v>
      </c>
      <c r="G825" s="29" t="n"/>
      <c r="H825" s="42" t="n"/>
      <c r="I825" s="40" t="n"/>
      <c r="J825" s="40" t="n"/>
      <c r="K825" s="40" t="n"/>
      <c r="L825" s="30">
        <f>IF(COUNT(I825:K825)=0,"",MEDIAN(I825:K825))</f>
        <v/>
      </c>
      <c r="M825" s="25">
        <f>IF(COUNTIFS($C:$C,$C825,$D:$D,"P0(전)",$L:$L,"&gt;0")&lt;&gt;1,"P0(전) 유효 1개 아님",IF(COUNTIFS($C:$C,$C825,$D:$D,"P0(후)",$L:$L,"&gt;0")&lt;&gt;1,"P0(후) 유효 1개 아님",IF(NOT(AND(ISNUMBER(N825),ISNUMBER(P825),ISNUMBER(H825))),"시각 결측",IF(P825&lt;=N825,"P0 시각 역전",IF(OR(H825&lt;N825,H825&gt;P825),"측정시각 구간 밖","OK")))))</f>
        <v/>
      </c>
      <c r="N825" s="45">
        <f>IF(COUNTIFS($C:$C,$C825,$D:$D,"P0(전)",$L:$L,"&gt;0")&lt;&gt;1,"",SUMIFS($H:$H,$C:$C,$C825,$D:$D,"P0(전)"))</f>
        <v/>
      </c>
      <c r="O825" s="30">
        <f>IF(COUNTIFS($C:$C,$C825,$D:$D,"P0(전)",$L:$L,"&gt;0")&lt;&gt;1,"",SUMIFS($L:$L,$C:$C,$C825,$D:$D,"P0(전)"))</f>
        <v/>
      </c>
      <c r="P825" s="45">
        <f>IF(COUNTIFS($C:$C,$C825,$D:$D,"P0(후)",$L:$L,"&gt;0")&lt;&gt;1,"",SUMIFS($H:$H,$C:$C,$C825,$D:$D,"P0(후)"))</f>
        <v/>
      </c>
      <c r="Q825" s="30">
        <f>IF(COUNTIFS($C:$C,$C825,$D:$D,"P0(후)",$L:$L,"&gt;0")&lt;&gt;1,"",SUMIFS($L:$L,$C:$C,$C825,$D:$D,"P0(후)"))</f>
        <v/>
      </c>
      <c r="R825" s="30">
        <f>IF(M825&lt;&gt;"OK","",O825+(Q825-O825)*(H825-N825)/(P825-N825))</f>
        <v/>
      </c>
      <c r="S825" s="30">
        <f>IF(OR(M825&lt;&gt;"OK",NOT(ISNUMBER(L825))),"",L825-R825)</f>
        <v/>
      </c>
      <c r="T825" s="46">
        <f>IF(OR(NOT(ISNUMBER(S825)),IF(ISNUMBER(G825),G825,F825)=0),"",S825/IF(ISNUMBER(G825),G825,F825))</f>
        <v/>
      </c>
      <c r="U825" s="46">
        <f>IF(ISNUMBER(T825),ABS(T825),"")</f>
        <v/>
      </c>
      <c r="V825" s="46">
        <f>IF(OR($D824&lt;&gt;"측정",$C824&lt;&gt;$C825,NOT(ISNUMBER(L825)),NOT(ISNUMBER(L824)),(IF(ISNUMBER(G825),G825,F825)-IF(ISNUMBER(G824),G824,F824))=0),"",(L825-L824)/(IF(ISNUMBER(G825),G825,F825)-IF(ISNUMBER(G824),G824,F824)))</f>
        <v/>
      </c>
      <c r="W825" s="30">
        <f>IF(NOT(AND(ISNUMBER(N825),ISNUMBER(P825))),"",(P825-N825)*1440)</f>
        <v/>
      </c>
      <c r="X825" s="28" t="n"/>
      <c r="Y825" s="28" t="n"/>
      <c r="Z825" s="28" t="n"/>
      <c r="AA825" s="31" t="n"/>
      <c r="AB825" s="31" t="n"/>
    </row>
    <row r="826">
      <c r="A826" s="25" t="inlineStr">
        <is>
          <t>S16</t>
        </is>
      </c>
      <c r="B826" s="25" t="inlineStr">
        <is>
          <t>예천 신규점</t>
        </is>
      </c>
      <c r="C826" s="25" t="inlineStr">
        <is>
          <t>S16-H북</t>
        </is>
      </c>
      <c r="D826" s="25" t="inlineStr">
        <is>
          <t>측정</t>
        </is>
      </c>
      <c r="E826" s="25" t="inlineStr">
        <is>
          <t>북</t>
        </is>
      </c>
      <c r="F826" s="30" t="n">
        <v>1</v>
      </c>
      <c r="G826" s="29" t="n"/>
      <c r="H826" s="42" t="n"/>
      <c r="I826" s="40" t="n"/>
      <c r="J826" s="40" t="n"/>
      <c r="K826" s="40" t="n"/>
      <c r="L826" s="30">
        <f>IF(COUNT(I826:K826)=0,"",MEDIAN(I826:K826))</f>
        <v/>
      </c>
      <c r="M826" s="25">
        <f>IF(COUNTIFS($C:$C,$C826,$D:$D,"P0(전)",$L:$L,"&gt;0")&lt;&gt;1,"P0(전) 유효 1개 아님",IF(COUNTIFS($C:$C,$C826,$D:$D,"P0(후)",$L:$L,"&gt;0")&lt;&gt;1,"P0(후) 유효 1개 아님",IF(NOT(AND(ISNUMBER(N826),ISNUMBER(P826),ISNUMBER(H826))),"시각 결측",IF(P826&lt;=N826,"P0 시각 역전",IF(OR(H826&lt;N826,H826&gt;P826),"측정시각 구간 밖","OK")))))</f>
        <v/>
      </c>
      <c r="N826" s="45">
        <f>IF(COUNTIFS($C:$C,$C826,$D:$D,"P0(전)",$L:$L,"&gt;0")&lt;&gt;1,"",SUMIFS($H:$H,$C:$C,$C826,$D:$D,"P0(전)"))</f>
        <v/>
      </c>
      <c r="O826" s="30">
        <f>IF(COUNTIFS($C:$C,$C826,$D:$D,"P0(전)",$L:$L,"&gt;0")&lt;&gt;1,"",SUMIFS($L:$L,$C:$C,$C826,$D:$D,"P0(전)"))</f>
        <v/>
      </c>
      <c r="P826" s="45">
        <f>IF(COUNTIFS($C:$C,$C826,$D:$D,"P0(후)",$L:$L,"&gt;0")&lt;&gt;1,"",SUMIFS($H:$H,$C:$C,$C826,$D:$D,"P0(후)"))</f>
        <v/>
      </c>
      <c r="Q826" s="30">
        <f>IF(COUNTIFS($C:$C,$C826,$D:$D,"P0(후)",$L:$L,"&gt;0")&lt;&gt;1,"",SUMIFS($L:$L,$C:$C,$C826,$D:$D,"P0(후)"))</f>
        <v/>
      </c>
      <c r="R826" s="30">
        <f>IF(M826&lt;&gt;"OK","",O826+(Q826-O826)*(H826-N826)/(P826-N826))</f>
        <v/>
      </c>
      <c r="S826" s="30">
        <f>IF(OR(M826&lt;&gt;"OK",NOT(ISNUMBER(L826))),"",L826-R826)</f>
        <v/>
      </c>
      <c r="T826" s="46">
        <f>IF(OR(NOT(ISNUMBER(S826)),IF(ISNUMBER(G826),G826,F826)=0),"",S826/IF(ISNUMBER(G826),G826,F826))</f>
        <v/>
      </c>
      <c r="U826" s="46">
        <f>IF(ISNUMBER(T826),ABS(T826),"")</f>
        <v/>
      </c>
      <c r="V826" s="46">
        <f>IF(OR($D825&lt;&gt;"측정",$C825&lt;&gt;$C826,NOT(ISNUMBER(L826)),NOT(ISNUMBER(L825)),(IF(ISNUMBER(G826),G826,F826)-IF(ISNUMBER(G825),G825,F825))=0),"",(L826-L825)/(IF(ISNUMBER(G826),G826,F826)-IF(ISNUMBER(G825),G825,F825)))</f>
        <v/>
      </c>
      <c r="W826" s="30">
        <f>IF(NOT(AND(ISNUMBER(N826),ISNUMBER(P826))),"",(P826-N826)*1440)</f>
        <v/>
      </c>
      <c r="X826" s="28" t="n"/>
      <c r="Y826" s="28" t="n"/>
      <c r="Z826" s="28" t="n"/>
      <c r="AA826" s="31" t="n"/>
      <c r="AB826" s="31" t="n"/>
    </row>
    <row r="827">
      <c r="A827" s="25" t="inlineStr">
        <is>
          <t>S16</t>
        </is>
      </c>
      <c r="B827" s="25" t="inlineStr">
        <is>
          <t>예천 신규점</t>
        </is>
      </c>
      <c r="C827" s="25" t="inlineStr">
        <is>
          <t>S16-H북</t>
        </is>
      </c>
      <c r="D827" s="25" t="inlineStr">
        <is>
          <t>측정</t>
        </is>
      </c>
      <c r="E827" s="25" t="inlineStr">
        <is>
          <t>북</t>
        </is>
      </c>
      <c r="F827" s="30" t="n">
        <v>2</v>
      </c>
      <c r="G827" s="29" t="n"/>
      <c r="H827" s="42" t="n"/>
      <c r="I827" s="40" t="n"/>
      <c r="J827" s="40" t="n"/>
      <c r="K827" s="40" t="n"/>
      <c r="L827" s="30">
        <f>IF(COUNT(I827:K827)=0,"",MEDIAN(I827:K827))</f>
        <v/>
      </c>
      <c r="M827" s="25">
        <f>IF(COUNTIFS($C:$C,$C827,$D:$D,"P0(전)",$L:$L,"&gt;0")&lt;&gt;1,"P0(전) 유효 1개 아님",IF(COUNTIFS($C:$C,$C827,$D:$D,"P0(후)",$L:$L,"&gt;0")&lt;&gt;1,"P0(후) 유효 1개 아님",IF(NOT(AND(ISNUMBER(N827),ISNUMBER(P827),ISNUMBER(H827))),"시각 결측",IF(P827&lt;=N827,"P0 시각 역전",IF(OR(H827&lt;N827,H827&gt;P827),"측정시각 구간 밖","OK")))))</f>
        <v/>
      </c>
      <c r="N827" s="45">
        <f>IF(COUNTIFS($C:$C,$C827,$D:$D,"P0(전)",$L:$L,"&gt;0")&lt;&gt;1,"",SUMIFS($H:$H,$C:$C,$C827,$D:$D,"P0(전)"))</f>
        <v/>
      </c>
      <c r="O827" s="30">
        <f>IF(COUNTIFS($C:$C,$C827,$D:$D,"P0(전)",$L:$L,"&gt;0")&lt;&gt;1,"",SUMIFS($L:$L,$C:$C,$C827,$D:$D,"P0(전)"))</f>
        <v/>
      </c>
      <c r="P827" s="45">
        <f>IF(COUNTIFS($C:$C,$C827,$D:$D,"P0(후)",$L:$L,"&gt;0")&lt;&gt;1,"",SUMIFS($H:$H,$C:$C,$C827,$D:$D,"P0(후)"))</f>
        <v/>
      </c>
      <c r="Q827" s="30">
        <f>IF(COUNTIFS($C:$C,$C827,$D:$D,"P0(후)",$L:$L,"&gt;0")&lt;&gt;1,"",SUMIFS($L:$L,$C:$C,$C827,$D:$D,"P0(후)"))</f>
        <v/>
      </c>
      <c r="R827" s="30">
        <f>IF(M827&lt;&gt;"OK","",O827+(Q827-O827)*(H827-N827)/(P827-N827))</f>
        <v/>
      </c>
      <c r="S827" s="30">
        <f>IF(OR(M827&lt;&gt;"OK",NOT(ISNUMBER(L827))),"",L827-R827)</f>
        <v/>
      </c>
      <c r="T827" s="46">
        <f>IF(OR(NOT(ISNUMBER(S827)),IF(ISNUMBER(G827),G827,F827)=0),"",S827/IF(ISNUMBER(G827),G827,F827))</f>
        <v/>
      </c>
      <c r="U827" s="46">
        <f>IF(ISNUMBER(T827),ABS(T827),"")</f>
        <v/>
      </c>
      <c r="V827" s="46">
        <f>IF(OR($D826&lt;&gt;"측정",$C826&lt;&gt;$C827,NOT(ISNUMBER(L827)),NOT(ISNUMBER(L826)),(IF(ISNUMBER(G827),G827,F827)-IF(ISNUMBER(G826),G826,F826))=0),"",(L827-L826)/(IF(ISNUMBER(G827),G827,F827)-IF(ISNUMBER(G826),G826,F826)))</f>
        <v/>
      </c>
      <c r="W827" s="30">
        <f>IF(NOT(AND(ISNUMBER(N827),ISNUMBER(P827))),"",(P827-N827)*1440)</f>
        <v/>
      </c>
      <c r="X827" s="28" t="n"/>
      <c r="Y827" s="28" t="n"/>
      <c r="Z827" s="28" t="n"/>
      <c r="AA827" s="31" t="n"/>
      <c r="AB827" s="31" t="n"/>
    </row>
    <row r="828">
      <c r="A828" s="25" t="inlineStr">
        <is>
          <t>S16</t>
        </is>
      </c>
      <c r="B828" s="25" t="inlineStr">
        <is>
          <t>예천 신규점</t>
        </is>
      </c>
      <c r="C828" s="25" t="inlineStr">
        <is>
          <t>S16-H북</t>
        </is>
      </c>
      <c r="D828" s="25" t="inlineStr">
        <is>
          <t>측정</t>
        </is>
      </c>
      <c r="E828" s="25" t="inlineStr">
        <is>
          <t>북</t>
        </is>
      </c>
      <c r="F828" s="30" t="n">
        <v>3</v>
      </c>
      <c r="G828" s="29" t="n"/>
      <c r="H828" s="42" t="n"/>
      <c r="I828" s="40" t="n"/>
      <c r="J828" s="40" t="n"/>
      <c r="K828" s="40" t="n"/>
      <c r="L828" s="30">
        <f>IF(COUNT(I828:K828)=0,"",MEDIAN(I828:K828))</f>
        <v/>
      </c>
      <c r="M828" s="25">
        <f>IF(COUNTIFS($C:$C,$C828,$D:$D,"P0(전)",$L:$L,"&gt;0")&lt;&gt;1,"P0(전) 유효 1개 아님",IF(COUNTIFS($C:$C,$C828,$D:$D,"P0(후)",$L:$L,"&gt;0")&lt;&gt;1,"P0(후) 유효 1개 아님",IF(NOT(AND(ISNUMBER(N828),ISNUMBER(P828),ISNUMBER(H828))),"시각 결측",IF(P828&lt;=N828,"P0 시각 역전",IF(OR(H828&lt;N828,H828&gt;P828),"측정시각 구간 밖","OK")))))</f>
        <v/>
      </c>
      <c r="N828" s="45">
        <f>IF(COUNTIFS($C:$C,$C828,$D:$D,"P0(전)",$L:$L,"&gt;0")&lt;&gt;1,"",SUMIFS($H:$H,$C:$C,$C828,$D:$D,"P0(전)"))</f>
        <v/>
      </c>
      <c r="O828" s="30">
        <f>IF(COUNTIFS($C:$C,$C828,$D:$D,"P0(전)",$L:$L,"&gt;0")&lt;&gt;1,"",SUMIFS($L:$L,$C:$C,$C828,$D:$D,"P0(전)"))</f>
        <v/>
      </c>
      <c r="P828" s="45">
        <f>IF(COUNTIFS($C:$C,$C828,$D:$D,"P0(후)",$L:$L,"&gt;0")&lt;&gt;1,"",SUMIFS($H:$H,$C:$C,$C828,$D:$D,"P0(후)"))</f>
        <v/>
      </c>
      <c r="Q828" s="30">
        <f>IF(COUNTIFS($C:$C,$C828,$D:$D,"P0(후)",$L:$L,"&gt;0")&lt;&gt;1,"",SUMIFS($L:$L,$C:$C,$C828,$D:$D,"P0(후)"))</f>
        <v/>
      </c>
      <c r="R828" s="30">
        <f>IF(M828&lt;&gt;"OK","",O828+(Q828-O828)*(H828-N828)/(P828-N828))</f>
        <v/>
      </c>
      <c r="S828" s="30">
        <f>IF(OR(M828&lt;&gt;"OK",NOT(ISNUMBER(L828))),"",L828-R828)</f>
        <v/>
      </c>
      <c r="T828" s="46">
        <f>IF(OR(NOT(ISNUMBER(S828)),IF(ISNUMBER(G828),G828,F828)=0),"",S828/IF(ISNUMBER(G828),G828,F828))</f>
        <v/>
      </c>
      <c r="U828" s="46">
        <f>IF(ISNUMBER(T828),ABS(T828),"")</f>
        <v/>
      </c>
      <c r="V828" s="46">
        <f>IF(OR($D827&lt;&gt;"측정",$C827&lt;&gt;$C828,NOT(ISNUMBER(L828)),NOT(ISNUMBER(L827)),(IF(ISNUMBER(G828),G828,F828)-IF(ISNUMBER(G827),G827,F827))=0),"",(L828-L827)/(IF(ISNUMBER(G828),G828,F828)-IF(ISNUMBER(G827),G827,F827)))</f>
        <v/>
      </c>
      <c r="W828" s="30">
        <f>IF(NOT(AND(ISNUMBER(N828),ISNUMBER(P828))),"",(P828-N828)*1440)</f>
        <v/>
      </c>
      <c r="X828" s="28" t="n"/>
      <c r="Y828" s="28" t="n"/>
      <c r="Z828" s="28" t="n"/>
      <c r="AA828" s="31" t="n"/>
      <c r="AB828" s="31" t="n"/>
    </row>
    <row r="829">
      <c r="A829" s="25" t="inlineStr">
        <is>
          <t>S16</t>
        </is>
      </c>
      <c r="B829" s="25" t="inlineStr">
        <is>
          <t>예천 신규점</t>
        </is>
      </c>
      <c r="C829" s="25" t="inlineStr">
        <is>
          <t>S16-H북</t>
        </is>
      </c>
      <c r="D829" s="25" t="inlineStr">
        <is>
          <t>측정</t>
        </is>
      </c>
      <c r="E829" s="25" t="inlineStr">
        <is>
          <t>북</t>
        </is>
      </c>
      <c r="F829" s="30" t="n">
        <v>4</v>
      </c>
      <c r="G829" s="29" t="n"/>
      <c r="H829" s="42" t="n"/>
      <c r="I829" s="40" t="n"/>
      <c r="J829" s="40" t="n"/>
      <c r="K829" s="40" t="n"/>
      <c r="L829" s="30">
        <f>IF(COUNT(I829:K829)=0,"",MEDIAN(I829:K829))</f>
        <v/>
      </c>
      <c r="M829" s="25">
        <f>IF(COUNTIFS($C:$C,$C829,$D:$D,"P0(전)",$L:$L,"&gt;0")&lt;&gt;1,"P0(전) 유효 1개 아님",IF(COUNTIFS($C:$C,$C829,$D:$D,"P0(후)",$L:$L,"&gt;0")&lt;&gt;1,"P0(후) 유효 1개 아님",IF(NOT(AND(ISNUMBER(N829),ISNUMBER(P829),ISNUMBER(H829))),"시각 결측",IF(P829&lt;=N829,"P0 시각 역전",IF(OR(H829&lt;N829,H829&gt;P829),"측정시각 구간 밖","OK")))))</f>
        <v/>
      </c>
      <c r="N829" s="45">
        <f>IF(COUNTIFS($C:$C,$C829,$D:$D,"P0(전)",$L:$L,"&gt;0")&lt;&gt;1,"",SUMIFS($H:$H,$C:$C,$C829,$D:$D,"P0(전)"))</f>
        <v/>
      </c>
      <c r="O829" s="30">
        <f>IF(COUNTIFS($C:$C,$C829,$D:$D,"P0(전)",$L:$L,"&gt;0")&lt;&gt;1,"",SUMIFS($L:$L,$C:$C,$C829,$D:$D,"P0(전)"))</f>
        <v/>
      </c>
      <c r="P829" s="45">
        <f>IF(COUNTIFS($C:$C,$C829,$D:$D,"P0(후)",$L:$L,"&gt;0")&lt;&gt;1,"",SUMIFS($H:$H,$C:$C,$C829,$D:$D,"P0(후)"))</f>
        <v/>
      </c>
      <c r="Q829" s="30">
        <f>IF(COUNTIFS($C:$C,$C829,$D:$D,"P0(후)",$L:$L,"&gt;0")&lt;&gt;1,"",SUMIFS($L:$L,$C:$C,$C829,$D:$D,"P0(후)"))</f>
        <v/>
      </c>
      <c r="R829" s="30">
        <f>IF(M829&lt;&gt;"OK","",O829+(Q829-O829)*(H829-N829)/(P829-N829))</f>
        <v/>
      </c>
      <c r="S829" s="30">
        <f>IF(OR(M829&lt;&gt;"OK",NOT(ISNUMBER(L829))),"",L829-R829)</f>
        <v/>
      </c>
      <c r="T829" s="46">
        <f>IF(OR(NOT(ISNUMBER(S829)),IF(ISNUMBER(G829),G829,F829)=0),"",S829/IF(ISNUMBER(G829),G829,F829))</f>
        <v/>
      </c>
      <c r="U829" s="46">
        <f>IF(ISNUMBER(T829),ABS(T829),"")</f>
        <v/>
      </c>
      <c r="V829" s="46">
        <f>IF(OR($D828&lt;&gt;"측정",$C828&lt;&gt;$C829,NOT(ISNUMBER(L829)),NOT(ISNUMBER(L828)),(IF(ISNUMBER(G829),G829,F829)-IF(ISNUMBER(G828),G828,F828))=0),"",(L829-L828)/(IF(ISNUMBER(G829),G829,F829)-IF(ISNUMBER(G828),G828,F828)))</f>
        <v/>
      </c>
      <c r="W829" s="30">
        <f>IF(NOT(AND(ISNUMBER(N829),ISNUMBER(P829))),"",(P829-N829)*1440)</f>
        <v/>
      </c>
      <c r="X829" s="28" t="n"/>
      <c r="Y829" s="28" t="n"/>
      <c r="Z829" s="28" t="n"/>
      <c r="AA829" s="31" t="n"/>
      <c r="AB829" s="31" t="n"/>
    </row>
    <row r="830">
      <c r="A830" s="25" t="inlineStr">
        <is>
          <t>S16</t>
        </is>
      </c>
      <c r="B830" s="25" t="inlineStr">
        <is>
          <t>예천 신규점</t>
        </is>
      </c>
      <c r="C830" s="25" t="inlineStr">
        <is>
          <t>S16-H북</t>
        </is>
      </c>
      <c r="D830" s="25" t="inlineStr">
        <is>
          <t>측정</t>
        </is>
      </c>
      <c r="E830" s="25" t="inlineStr">
        <is>
          <t>북</t>
        </is>
      </c>
      <c r="F830" s="30" t="n">
        <v>5</v>
      </c>
      <c r="G830" s="29" t="n"/>
      <c r="H830" s="42" t="n"/>
      <c r="I830" s="40" t="n"/>
      <c r="J830" s="40" t="n"/>
      <c r="K830" s="40" t="n"/>
      <c r="L830" s="30">
        <f>IF(COUNT(I830:K830)=0,"",MEDIAN(I830:K830))</f>
        <v/>
      </c>
      <c r="M830" s="25">
        <f>IF(COUNTIFS($C:$C,$C830,$D:$D,"P0(전)",$L:$L,"&gt;0")&lt;&gt;1,"P0(전) 유효 1개 아님",IF(COUNTIFS($C:$C,$C830,$D:$D,"P0(후)",$L:$L,"&gt;0")&lt;&gt;1,"P0(후) 유효 1개 아님",IF(NOT(AND(ISNUMBER(N830),ISNUMBER(P830),ISNUMBER(H830))),"시각 결측",IF(P830&lt;=N830,"P0 시각 역전",IF(OR(H830&lt;N830,H830&gt;P830),"측정시각 구간 밖","OK")))))</f>
        <v/>
      </c>
      <c r="N830" s="45">
        <f>IF(COUNTIFS($C:$C,$C830,$D:$D,"P0(전)",$L:$L,"&gt;0")&lt;&gt;1,"",SUMIFS($H:$H,$C:$C,$C830,$D:$D,"P0(전)"))</f>
        <v/>
      </c>
      <c r="O830" s="30">
        <f>IF(COUNTIFS($C:$C,$C830,$D:$D,"P0(전)",$L:$L,"&gt;0")&lt;&gt;1,"",SUMIFS($L:$L,$C:$C,$C830,$D:$D,"P0(전)"))</f>
        <v/>
      </c>
      <c r="P830" s="45">
        <f>IF(COUNTIFS($C:$C,$C830,$D:$D,"P0(후)",$L:$L,"&gt;0")&lt;&gt;1,"",SUMIFS($H:$H,$C:$C,$C830,$D:$D,"P0(후)"))</f>
        <v/>
      </c>
      <c r="Q830" s="30">
        <f>IF(COUNTIFS($C:$C,$C830,$D:$D,"P0(후)",$L:$L,"&gt;0")&lt;&gt;1,"",SUMIFS($L:$L,$C:$C,$C830,$D:$D,"P0(후)"))</f>
        <v/>
      </c>
      <c r="R830" s="30">
        <f>IF(M830&lt;&gt;"OK","",O830+(Q830-O830)*(H830-N830)/(P830-N830))</f>
        <v/>
      </c>
      <c r="S830" s="30">
        <f>IF(OR(M830&lt;&gt;"OK",NOT(ISNUMBER(L830))),"",L830-R830)</f>
        <v/>
      </c>
      <c r="T830" s="46">
        <f>IF(OR(NOT(ISNUMBER(S830)),IF(ISNUMBER(G830),G830,F830)=0),"",S830/IF(ISNUMBER(G830),G830,F830))</f>
        <v/>
      </c>
      <c r="U830" s="46">
        <f>IF(ISNUMBER(T830),ABS(T830),"")</f>
        <v/>
      </c>
      <c r="V830" s="46">
        <f>IF(OR($D829&lt;&gt;"측정",$C829&lt;&gt;$C830,NOT(ISNUMBER(L830)),NOT(ISNUMBER(L829)),(IF(ISNUMBER(G830),G830,F830)-IF(ISNUMBER(G829),G829,F829))=0),"",(L830-L829)/(IF(ISNUMBER(G830),G830,F830)-IF(ISNUMBER(G829),G829,F829)))</f>
        <v/>
      </c>
      <c r="W830" s="30">
        <f>IF(NOT(AND(ISNUMBER(N830),ISNUMBER(P830))),"",(P830-N830)*1440)</f>
        <v/>
      </c>
      <c r="X830" s="28" t="n"/>
      <c r="Y830" s="28" t="n"/>
      <c r="Z830" s="28" t="n"/>
      <c r="AA830" s="31" t="n"/>
      <c r="AB830" s="31" t="n"/>
    </row>
    <row r="831">
      <c r="A831" s="25" t="inlineStr">
        <is>
          <t>S16</t>
        </is>
      </c>
      <c r="B831" s="25" t="inlineStr">
        <is>
          <t>예천 신규점</t>
        </is>
      </c>
      <c r="C831" s="25" t="inlineStr">
        <is>
          <t>S16-H북</t>
        </is>
      </c>
      <c r="D831" s="25" t="inlineStr">
        <is>
          <t>측정</t>
        </is>
      </c>
      <c r="E831" s="25" t="inlineStr">
        <is>
          <t>북</t>
        </is>
      </c>
      <c r="F831" s="30" t="n">
        <v>6</v>
      </c>
      <c r="G831" s="29" t="n"/>
      <c r="H831" s="42" t="n"/>
      <c r="I831" s="40" t="n"/>
      <c r="J831" s="40" t="n"/>
      <c r="K831" s="40" t="n"/>
      <c r="L831" s="30">
        <f>IF(COUNT(I831:K831)=0,"",MEDIAN(I831:K831))</f>
        <v/>
      </c>
      <c r="M831" s="25">
        <f>IF(COUNTIFS($C:$C,$C831,$D:$D,"P0(전)",$L:$L,"&gt;0")&lt;&gt;1,"P0(전) 유효 1개 아님",IF(COUNTIFS($C:$C,$C831,$D:$D,"P0(후)",$L:$L,"&gt;0")&lt;&gt;1,"P0(후) 유효 1개 아님",IF(NOT(AND(ISNUMBER(N831),ISNUMBER(P831),ISNUMBER(H831))),"시각 결측",IF(P831&lt;=N831,"P0 시각 역전",IF(OR(H831&lt;N831,H831&gt;P831),"측정시각 구간 밖","OK")))))</f>
        <v/>
      </c>
      <c r="N831" s="45">
        <f>IF(COUNTIFS($C:$C,$C831,$D:$D,"P0(전)",$L:$L,"&gt;0")&lt;&gt;1,"",SUMIFS($H:$H,$C:$C,$C831,$D:$D,"P0(전)"))</f>
        <v/>
      </c>
      <c r="O831" s="30">
        <f>IF(COUNTIFS($C:$C,$C831,$D:$D,"P0(전)",$L:$L,"&gt;0")&lt;&gt;1,"",SUMIFS($L:$L,$C:$C,$C831,$D:$D,"P0(전)"))</f>
        <v/>
      </c>
      <c r="P831" s="45">
        <f>IF(COUNTIFS($C:$C,$C831,$D:$D,"P0(후)",$L:$L,"&gt;0")&lt;&gt;1,"",SUMIFS($H:$H,$C:$C,$C831,$D:$D,"P0(후)"))</f>
        <v/>
      </c>
      <c r="Q831" s="30">
        <f>IF(COUNTIFS($C:$C,$C831,$D:$D,"P0(후)",$L:$L,"&gt;0")&lt;&gt;1,"",SUMIFS($L:$L,$C:$C,$C831,$D:$D,"P0(후)"))</f>
        <v/>
      </c>
      <c r="R831" s="30">
        <f>IF(M831&lt;&gt;"OK","",O831+(Q831-O831)*(H831-N831)/(P831-N831))</f>
        <v/>
      </c>
      <c r="S831" s="30">
        <f>IF(OR(M831&lt;&gt;"OK",NOT(ISNUMBER(L831))),"",L831-R831)</f>
        <v/>
      </c>
      <c r="T831" s="46">
        <f>IF(OR(NOT(ISNUMBER(S831)),IF(ISNUMBER(G831),G831,F831)=0),"",S831/IF(ISNUMBER(G831),G831,F831))</f>
        <v/>
      </c>
      <c r="U831" s="46">
        <f>IF(ISNUMBER(T831),ABS(T831),"")</f>
        <v/>
      </c>
      <c r="V831" s="46">
        <f>IF(OR($D830&lt;&gt;"측정",$C830&lt;&gt;$C831,NOT(ISNUMBER(L831)),NOT(ISNUMBER(L830)),(IF(ISNUMBER(G831),G831,F831)-IF(ISNUMBER(G830),G830,F830))=0),"",(L831-L830)/(IF(ISNUMBER(G831),G831,F831)-IF(ISNUMBER(G830),G830,F830)))</f>
        <v/>
      </c>
      <c r="W831" s="30">
        <f>IF(NOT(AND(ISNUMBER(N831),ISNUMBER(P831))),"",(P831-N831)*1440)</f>
        <v/>
      </c>
      <c r="X831" s="28" t="n"/>
      <c r="Y831" s="28" t="n"/>
      <c r="Z831" s="28" t="n"/>
      <c r="AA831" s="31" t="n"/>
      <c r="AB831" s="31" t="n"/>
    </row>
    <row r="832">
      <c r="A832" s="25" t="inlineStr">
        <is>
          <t>S16</t>
        </is>
      </c>
      <c r="B832" s="25" t="inlineStr">
        <is>
          <t>예천 신규점</t>
        </is>
      </c>
      <c r="C832" s="25" t="inlineStr">
        <is>
          <t>S16-H북</t>
        </is>
      </c>
      <c r="D832" s="25" t="inlineStr">
        <is>
          <t>측정</t>
        </is>
      </c>
      <c r="E832" s="25" t="inlineStr">
        <is>
          <t>북</t>
        </is>
      </c>
      <c r="F832" s="30" t="n">
        <v>7</v>
      </c>
      <c r="G832" s="29" t="n"/>
      <c r="H832" s="42" t="n"/>
      <c r="I832" s="40" t="n"/>
      <c r="J832" s="40" t="n"/>
      <c r="K832" s="40" t="n"/>
      <c r="L832" s="30">
        <f>IF(COUNT(I832:K832)=0,"",MEDIAN(I832:K832))</f>
        <v/>
      </c>
      <c r="M832" s="25">
        <f>IF(COUNTIFS($C:$C,$C832,$D:$D,"P0(전)",$L:$L,"&gt;0")&lt;&gt;1,"P0(전) 유효 1개 아님",IF(COUNTIFS($C:$C,$C832,$D:$D,"P0(후)",$L:$L,"&gt;0")&lt;&gt;1,"P0(후) 유효 1개 아님",IF(NOT(AND(ISNUMBER(N832),ISNUMBER(P832),ISNUMBER(H832))),"시각 결측",IF(P832&lt;=N832,"P0 시각 역전",IF(OR(H832&lt;N832,H832&gt;P832),"측정시각 구간 밖","OK")))))</f>
        <v/>
      </c>
      <c r="N832" s="45">
        <f>IF(COUNTIFS($C:$C,$C832,$D:$D,"P0(전)",$L:$L,"&gt;0")&lt;&gt;1,"",SUMIFS($H:$H,$C:$C,$C832,$D:$D,"P0(전)"))</f>
        <v/>
      </c>
      <c r="O832" s="30">
        <f>IF(COUNTIFS($C:$C,$C832,$D:$D,"P0(전)",$L:$L,"&gt;0")&lt;&gt;1,"",SUMIFS($L:$L,$C:$C,$C832,$D:$D,"P0(전)"))</f>
        <v/>
      </c>
      <c r="P832" s="45">
        <f>IF(COUNTIFS($C:$C,$C832,$D:$D,"P0(후)",$L:$L,"&gt;0")&lt;&gt;1,"",SUMIFS($H:$H,$C:$C,$C832,$D:$D,"P0(후)"))</f>
        <v/>
      </c>
      <c r="Q832" s="30">
        <f>IF(COUNTIFS($C:$C,$C832,$D:$D,"P0(후)",$L:$L,"&gt;0")&lt;&gt;1,"",SUMIFS($L:$L,$C:$C,$C832,$D:$D,"P0(후)"))</f>
        <v/>
      </c>
      <c r="R832" s="30">
        <f>IF(M832&lt;&gt;"OK","",O832+(Q832-O832)*(H832-N832)/(P832-N832))</f>
        <v/>
      </c>
      <c r="S832" s="30">
        <f>IF(OR(M832&lt;&gt;"OK",NOT(ISNUMBER(L832))),"",L832-R832)</f>
        <v/>
      </c>
      <c r="T832" s="46">
        <f>IF(OR(NOT(ISNUMBER(S832)),IF(ISNUMBER(G832),G832,F832)=0),"",S832/IF(ISNUMBER(G832),G832,F832))</f>
        <v/>
      </c>
      <c r="U832" s="46">
        <f>IF(ISNUMBER(T832),ABS(T832),"")</f>
        <v/>
      </c>
      <c r="V832" s="46">
        <f>IF(OR($D831&lt;&gt;"측정",$C831&lt;&gt;$C832,NOT(ISNUMBER(L832)),NOT(ISNUMBER(L831)),(IF(ISNUMBER(G832),G832,F832)-IF(ISNUMBER(G831),G831,F831))=0),"",(L832-L831)/(IF(ISNUMBER(G832),G832,F832)-IF(ISNUMBER(G831),G831,F831)))</f>
        <v/>
      </c>
      <c r="W832" s="30">
        <f>IF(NOT(AND(ISNUMBER(N832),ISNUMBER(P832))),"",(P832-N832)*1440)</f>
        <v/>
      </c>
      <c r="X832" s="28" t="n"/>
      <c r="Y832" s="28" t="n"/>
      <c r="Z832" s="28" t="n"/>
      <c r="AA832" s="31" t="n"/>
      <c r="AB832" s="31" t="n"/>
    </row>
    <row r="833">
      <c r="A833" s="25" t="inlineStr">
        <is>
          <t>S16</t>
        </is>
      </c>
      <c r="B833" s="25" t="inlineStr">
        <is>
          <t>예천 신규점</t>
        </is>
      </c>
      <c r="C833" s="25" t="inlineStr">
        <is>
          <t>S16-H북</t>
        </is>
      </c>
      <c r="D833" s="25" t="inlineStr">
        <is>
          <t>측정</t>
        </is>
      </c>
      <c r="E833" s="25" t="inlineStr">
        <is>
          <t>북</t>
        </is>
      </c>
      <c r="F833" s="30" t="n">
        <v>8</v>
      </c>
      <c r="G833" s="29" t="n"/>
      <c r="H833" s="42" t="n"/>
      <c r="I833" s="40" t="n"/>
      <c r="J833" s="40" t="n"/>
      <c r="K833" s="40" t="n"/>
      <c r="L833" s="30">
        <f>IF(COUNT(I833:K833)=0,"",MEDIAN(I833:K833))</f>
        <v/>
      </c>
      <c r="M833" s="25">
        <f>IF(COUNTIFS($C:$C,$C833,$D:$D,"P0(전)",$L:$L,"&gt;0")&lt;&gt;1,"P0(전) 유효 1개 아님",IF(COUNTIFS($C:$C,$C833,$D:$D,"P0(후)",$L:$L,"&gt;0")&lt;&gt;1,"P0(후) 유효 1개 아님",IF(NOT(AND(ISNUMBER(N833),ISNUMBER(P833),ISNUMBER(H833))),"시각 결측",IF(P833&lt;=N833,"P0 시각 역전",IF(OR(H833&lt;N833,H833&gt;P833),"측정시각 구간 밖","OK")))))</f>
        <v/>
      </c>
      <c r="N833" s="45">
        <f>IF(COUNTIFS($C:$C,$C833,$D:$D,"P0(전)",$L:$L,"&gt;0")&lt;&gt;1,"",SUMIFS($H:$H,$C:$C,$C833,$D:$D,"P0(전)"))</f>
        <v/>
      </c>
      <c r="O833" s="30">
        <f>IF(COUNTIFS($C:$C,$C833,$D:$D,"P0(전)",$L:$L,"&gt;0")&lt;&gt;1,"",SUMIFS($L:$L,$C:$C,$C833,$D:$D,"P0(전)"))</f>
        <v/>
      </c>
      <c r="P833" s="45">
        <f>IF(COUNTIFS($C:$C,$C833,$D:$D,"P0(후)",$L:$L,"&gt;0")&lt;&gt;1,"",SUMIFS($H:$H,$C:$C,$C833,$D:$D,"P0(후)"))</f>
        <v/>
      </c>
      <c r="Q833" s="30">
        <f>IF(COUNTIFS($C:$C,$C833,$D:$D,"P0(후)",$L:$L,"&gt;0")&lt;&gt;1,"",SUMIFS($L:$L,$C:$C,$C833,$D:$D,"P0(후)"))</f>
        <v/>
      </c>
      <c r="R833" s="30">
        <f>IF(M833&lt;&gt;"OK","",O833+(Q833-O833)*(H833-N833)/(P833-N833))</f>
        <v/>
      </c>
      <c r="S833" s="30">
        <f>IF(OR(M833&lt;&gt;"OK",NOT(ISNUMBER(L833))),"",L833-R833)</f>
        <v/>
      </c>
      <c r="T833" s="46">
        <f>IF(OR(NOT(ISNUMBER(S833)),IF(ISNUMBER(G833),G833,F833)=0),"",S833/IF(ISNUMBER(G833),G833,F833))</f>
        <v/>
      </c>
      <c r="U833" s="46">
        <f>IF(ISNUMBER(T833),ABS(T833),"")</f>
        <v/>
      </c>
      <c r="V833" s="46">
        <f>IF(OR($D832&lt;&gt;"측정",$C832&lt;&gt;$C833,NOT(ISNUMBER(L833)),NOT(ISNUMBER(L832)),(IF(ISNUMBER(G833),G833,F833)-IF(ISNUMBER(G832),G832,F832))=0),"",(L833-L832)/(IF(ISNUMBER(G833),G833,F833)-IF(ISNUMBER(G832),G832,F832)))</f>
        <v/>
      </c>
      <c r="W833" s="30">
        <f>IF(NOT(AND(ISNUMBER(N833),ISNUMBER(P833))),"",(P833-N833)*1440)</f>
        <v/>
      </c>
      <c r="X833" s="28" t="n"/>
      <c r="Y833" s="28" t="n"/>
      <c r="Z833" s="28" t="n"/>
      <c r="AA833" s="31" t="n"/>
      <c r="AB833" s="31" t="n"/>
    </row>
    <row r="834">
      <c r="A834" s="25" t="inlineStr">
        <is>
          <t>S16</t>
        </is>
      </c>
      <c r="B834" s="25" t="inlineStr">
        <is>
          <t>예천 신규점</t>
        </is>
      </c>
      <c r="C834" s="25" t="inlineStr">
        <is>
          <t>S16-H북</t>
        </is>
      </c>
      <c r="D834" s="25" t="inlineStr">
        <is>
          <t>측정</t>
        </is>
      </c>
      <c r="E834" s="25" t="inlineStr">
        <is>
          <t>북</t>
        </is>
      </c>
      <c r="F834" s="30" t="n">
        <v>9</v>
      </c>
      <c r="G834" s="29" t="n"/>
      <c r="H834" s="42" t="n"/>
      <c r="I834" s="40" t="n"/>
      <c r="J834" s="40" t="n"/>
      <c r="K834" s="40" t="n"/>
      <c r="L834" s="30">
        <f>IF(COUNT(I834:K834)=0,"",MEDIAN(I834:K834))</f>
        <v/>
      </c>
      <c r="M834" s="25">
        <f>IF(COUNTIFS($C:$C,$C834,$D:$D,"P0(전)",$L:$L,"&gt;0")&lt;&gt;1,"P0(전) 유효 1개 아님",IF(COUNTIFS($C:$C,$C834,$D:$D,"P0(후)",$L:$L,"&gt;0")&lt;&gt;1,"P0(후) 유효 1개 아님",IF(NOT(AND(ISNUMBER(N834),ISNUMBER(P834),ISNUMBER(H834))),"시각 결측",IF(P834&lt;=N834,"P0 시각 역전",IF(OR(H834&lt;N834,H834&gt;P834),"측정시각 구간 밖","OK")))))</f>
        <v/>
      </c>
      <c r="N834" s="45">
        <f>IF(COUNTIFS($C:$C,$C834,$D:$D,"P0(전)",$L:$L,"&gt;0")&lt;&gt;1,"",SUMIFS($H:$H,$C:$C,$C834,$D:$D,"P0(전)"))</f>
        <v/>
      </c>
      <c r="O834" s="30">
        <f>IF(COUNTIFS($C:$C,$C834,$D:$D,"P0(전)",$L:$L,"&gt;0")&lt;&gt;1,"",SUMIFS($L:$L,$C:$C,$C834,$D:$D,"P0(전)"))</f>
        <v/>
      </c>
      <c r="P834" s="45">
        <f>IF(COUNTIFS($C:$C,$C834,$D:$D,"P0(후)",$L:$L,"&gt;0")&lt;&gt;1,"",SUMIFS($H:$H,$C:$C,$C834,$D:$D,"P0(후)"))</f>
        <v/>
      </c>
      <c r="Q834" s="30">
        <f>IF(COUNTIFS($C:$C,$C834,$D:$D,"P0(후)",$L:$L,"&gt;0")&lt;&gt;1,"",SUMIFS($L:$L,$C:$C,$C834,$D:$D,"P0(후)"))</f>
        <v/>
      </c>
      <c r="R834" s="30">
        <f>IF(M834&lt;&gt;"OK","",O834+(Q834-O834)*(H834-N834)/(P834-N834))</f>
        <v/>
      </c>
      <c r="S834" s="30">
        <f>IF(OR(M834&lt;&gt;"OK",NOT(ISNUMBER(L834))),"",L834-R834)</f>
        <v/>
      </c>
      <c r="T834" s="46">
        <f>IF(OR(NOT(ISNUMBER(S834)),IF(ISNUMBER(G834),G834,F834)=0),"",S834/IF(ISNUMBER(G834),G834,F834))</f>
        <v/>
      </c>
      <c r="U834" s="46">
        <f>IF(ISNUMBER(T834),ABS(T834),"")</f>
        <v/>
      </c>
      <c r="V834" s="46">
        <f>IF(OR($D833&lt;&gt;"측정",$C833&lt;&gt;$C834,NOT(ISNUMBER(L834)),NOT(ISNUMBER(L833)),(IF(ISNUMBER(G834),G834,F834)-IF(ISNUMBER(G833),G833,F833))=0),"",(L834-L833)/(IF(ISNUMBER(G834),G834,F834)-IF(ISNUMBER(G833),G833,F833)))</f>
        <v/>
      </c>
      <c r="W834" s="30">
        <f>IF(NOT(AND(ISNUMBER(N834),ISNUMBER(P834))),"",(P834-N834)*1440)</f>
        <v/>
      </c>
      <c r="X834" s="28" t="n"/>
      <c r="Y834" s="28" t="n"/>
      <c r="Z834" s="28" t="n"/>
      <c r="AA834" s="31" t="n"/>
      <c r="AB834" s="31" t="n"/>
    </row>
    <row r="835">
      <c r="A835" s="25" t="inlineStr">
        <is>
          <t>S16</t>
        </is>
      </c>
      <c r="B835" s="25" t="inlineStr">
        <is>
          <t>예천 신규점</t>
        </is>
      </c>
      <c r="C835" s="25" t="inlineStr">
        <is>
          <t>S16-H북</t>
        </is>
      </c>
      <c r="D835" s="25" t="inlineStr">
        <is>
          <t>측정</t>
        </is>
      </c>
      <c r="E835" s="25" t="inlineStr">
        <is>
          <t>북</t>
        </is>
      </c>
      <c r="F835" s="30" t="n">
        <v>10</v>
      </c>
      <c r="G835" s="29" t="n"/>
      <c r="H835" s="42" t="n"/>
      <c r="I835" s="40" t="n"/>
      <c r="J835" s="40" t="n"/>
      <c r="K835" s="40" t="n"/>
      <c r="L835" s="30">
        <f>IF(COUNT(I835:K835)=0,"",MEDIAN(I835:K835))</f>
        <v/>
      </c>
      <c r="M835" s="25">
        <f>IF(COUNTIFS($C:$C,$C835,$D:$D,"P0(전)",$L:$L,"&gt;0")&lt;&gt;1,"P0(전) 유효 1개 아님",IF(COUNTIFS($C:$C,$C835,$D:$D,"P0(후)",$L:$L,"&gt;0")&lt;&gt;1,"P0(후) 유효 1개 아님",IF(NOT(AND(ISNUMBER(N835),ISNUMBER(P835),ISNUMBER(H835))),"시각 결측",IF(P835&lt;=N835,"P0 시각 역전",IF(OR(H835&lt;N835,H835&gt;P835),"측정시각 구간 밖","OK")))))</f>
        <v/>
      </c>
      <c r="N835" s="45">
        <f>IF(COUNTIFS($C:$C,$C835,$D:$D,"P0(전)",$L:$L,"&gt;0")&lt;&gt;1,"",SUMIFS($H:$H,$C:$C,$C835,$D:$D,"P0(전)"))</f>
        <v/>
      </c>
      <c r="O835" s="30">
        <f>IF(COUNTIFS($C:$C,$C835,$D:$D,"P0(전)",$L:$L,"&gt;0")&lt;&gt;1,"",SUMIFS($L:$L,$C:$C,$C835,$D:$D,"P0(전)"))</f>
        <v/>
      </c>
      <c r="P835" s="45">
        <f>IF(COUNTIFS($C:$C,$C835,$D:$D,"P0(후)",$L:$L,"&gt;0")&lt;&gt;1,"",SUMIFS($H:$H,$C:$C,$C835,$D:$D,"P0(후)"))</f>
        <v/>
      </c>
      <c r="Q835" s="30">
        <f>IF(COUNTIFS($C:$C,$C835,$D:$D,"P0(후)",$L:$L,"&gt;0")&lt;&gt;1,"",SUMIFS($L:$L,$C:$C,$C835,$D:$D,"P0(후)"))</f>
        <v/>
      </c>
      <c r="R835" s="30">
        <f>IF(M835&lt;&gt;"OK","",O835+(Q835-O835)*(H835-N835)/(P835-N835))</f>
        <v/>
      </c>
      <c r="S835" s="30">
        <f>IF(OR(M835&lt;&gt;"OK",NOT(ISNUMBER(L835))),"",L835-R835)</f>
        <v/>
      </c>
      <c r="T835" s="46">
        <f>IF(OR(NOT(ISNUMBER(S835)),IF(ISNUMBER(G835),G835,F835)=0),"",S835/IF(ISNUMBER(G835),G835,F835))</f>
        <v/>
      </c>
      <c r="U835" s="46">
        <f>IF(ISNUMBER(T835),ABS(T835),"")</f>
        <v/>
      </c>
      <c r="V835" s="46">
        <f>IF(OR($D834&lt;&gt;"측정",$C834&lt;&gt;$C835,NOT(ISNUMBER(L835)),NOT(ISNUMBER(L834)),(IF(ISNUMBER(G835),G835,F835)-IF(ISNUMBER(G834),G834,F834))=0),"",(L835-L834)/(IF(ISNUMBER(G835),G835,F835)-IF(ISNUMBER(G834),G834,F834)))</f>
        <v/>
      </c>
      <c r="W835" s="30">
        <f>IF(NOT(AND(ISNUMBER(N835),ISNUMBER(P835))),"",(P835-N835)*1440)</f>
        <v/>
      </c>
      <c r="X835" s="28" t="n"/>
      <c r="Y835" s="28" t="n"/>
      <c r="Z835" s="28" t="n"/>
      <c r="AA835" s="31" t="n"/>
      <c r="AB835" s="31" t="n"/>
    </row>
    <row r="836">
      <c r="A836" s="43" t="inlineStr">
        <is>
          <t>S16</t>
        </is>
      </c>
      <c r="B836" s="43" t="inlineStr">
        <is>
          <t>예천 신규점</t>
        </is>
      </c>
      <c r="C836" s="43" t="inlineStr">
        <is>
          <t>S16-H북</t>
        </is>
      </c>
      <c r="D836" s="43" t="inlineStr">
        <is>
          <t>P0(후)</t>
        </is>
      </c>
      <c r="E836" s="43" t="inlineStr">
        <is>
          <t>북</t>
        </is>
      </c>
      <c r="F836" s="44" t="n"/>
      <c r="G836" s="29" t="n"/>
      <c r="H836" s="42" t="n"/>
      <c r="I836" s="40" t="n"/>
      <c r="J836" s="40" t="n"/>
      <c r="K836" s="40" t="n"/>
      <c r="L836" s="30">
        <f>IF(COUNT(I836:K836)=0,"",MEDIAN(I836:K836))</f>
        <v/>
      </c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28" t="n"/>
      <c r="Y836" s="28" t="n"/>
      <c r="Z836" s="28" t="n"/>
      <c r="AA836" s="31" t="n"/>
      <c r="AB836" s="31" t="n"/>
    </row>
    <row r="837">
      <c r="A837" s="43" t="inlineStr">
        <is>
          <t>S17</t>
        </is>
      </c>
      <c r="B837" s="43" t="inlineStr">
        <is>
          <t>영양 신규점4</t>
        </is>
      </c>
      <c r="C837" s="43" t="inlineStr">
        <is>
          <t>S17-H동</t>
        </is>
      </c>
      <c r="D837" s="43" t="inlineStr">
        <is>
          <t>P0(전)</t>
        </is>
      </c>
      <c r="E837" s="43" t="inlineStr">
        <is>
          <t>동</t>
        </is>
      </c>
      <c r="F837" s="44" t="n"/>
      <c r="G837" s="29" t="n"/>
      <c r="H837" s="42" t="n"/>
      <c r="I837" s="40" t="n"/>
      <c r="J837" s="40" t="n"/>
      <c r="K837" s="40" t="n"/>
      <c r="L837" s="30">
        <f>IF(COUNT(I837:K837)=0,"",MEDIAN(I837:K837))</f>
        <v/>
      </c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28" t="n"/>
      <c r="Y837" s="28" t="n"/>
      <c r="Z837" s="28" t="n"/>
      <c r="AA837" s="31" t="n"/>
      <c r="AB837" s="31" t="n"/>
    </row>
    <row r="838">
      <c r="A838" s="25" t="inlineStr">
        <is>
          <t>S17</t>
        </is>
      </c>
      <c r="B838" s="25" t="inlineStr">
        <is>
          <t>영양 신규점4</t>
        </is>
      </c>
      <c r="C838" s="25" t="inlineStr">
        <is>
          <t>S17-H동</t>
        </is>
      </c>
      <c r="D838" s="25" t="inlineStr">
        <is>
          <t>측정</t>
        </is>
      </c>
      <c r="E838" s="25" t="inlineStr">
        <is>
          <t>동</t>
        </is>
      </c>
      <c r="F838" s="30" t="n">
        <v>0.5</v>
      </c>
      <c r="G838" s="29" t="n"/>
      <c r="H838" s="42" t="n"/>
      <c r="I838" s="40" t="n"/>
      <c r="J838" s="40" t="n"/>
      <c r="K838" s="40" t="n"/>
      <c r="L838" s="30">
        <f>IF(COUNT(I838:K838)=0,"",MEDIAN(I838:K838))</f>
        <v/>
      </c>
      <c r="M838" s="25">
        <f>IF(COUNTIFS($C:$C,$C838,$D:$D,"P0(전)",$L:$L,"&gt;0")&lt;&gt;1,"P0(전) 유효 1개 아님",IF(COUNTIFS($C:$C,$C838,$D:$D,"P0(후)",$L:$L,"&gt;0")&lt;&gt;1,"P0(후) 유효 1개 아님",IF(NOT(AND(ISNUMBER(N838),ISNUMBER(P838),ISNUMBER(H838))),"시각 결측",IF(P838&lt;=N838,"P0 시각 역전",IF(OR(H838&lt;N838,H838&gt;P838),"측정시각 구간 밖","OK")))))</f>
        <v/>
      </c>
      <c r="N838" s="45">
        <f>IF(COUNTIFS($C:$C,$C838,$D:$D,"P0(전)",$L:$L,"&gt;0")&lt;&gt;1,"",SUMIFS($H:$H,$C:$C,$C838,$D:$D,"P0(전)"))</f>
        <v/>
      </c>
      <c r="O838" s="30">
        <f>IF(COUNTIFS($C:$C,$C838,$D:$D,"P0(전)",$L:$L,"&gt;0")&lt;&gt;1,"",SUMIFS($L:$L,$C:$C,$C838,$D:$D,"P0(전)"))</f>
        <v/>
      </c>
      <c r="P838" s="45">
        <f>IF(COUNTIFS($C:$C,$C838,$D:$D,"P0(후)",$L:$L,"&gt;0")&lt;&gt;1,"",SUMIFS($H:$H,$C:$C,$C838,$D:$D,"P0(후)"))</f>
        <v/>
      </c>
      <c r="Q838" s="30">
        <f>IF(COUNTIFS($C:$C,$C838,$D:$D,"P0(후)",$L:$L,"&gt;0")&lt;&gt;1,"",SUMIFS($L:$L,$C:$C,$C838,$D:$D,"P0(후)"))</f>
        <v/>
      </c>
      <c r="R838" s="30">
        <f>IF(M838&lt;&gt;"OK","",O838+(Q838-O838)*(H838-N838)/(P838-N838))</f>
        <v/>
      </c>
      <c r="S838" s="30">
        <f>IF(OR(M838&lt;&gt;"OK",NOT(ISNUMBER(L838))),"",L838-R838)</f>
        <v/>
      </c>
      <c r="T838" s="46">
        <f>IF(OR(NOT(ISNUMBER(S838)),IF(ISNUMBER(G838),G838,F838)=0),"",S838/IF(ISNUMBER(G838),G838,F838))</f>
        <v/>
      </c>
      <c r="U838" s="46">
        <f>IF(ISNUMBER(T838),ABS(T838),"")</f>
        <v/>
      </c>
      <c r="V838" s="46">
        <f>IF(OR($D837&lt;&gt;"측정",$C837&lt;&gt;$C838,NOT(ISNUMBER(L838)),NOT(ISNUMBER(L837)),(IF(ISNUMBER(G838),G838,F838)-IF(ISNUMBER(G837),G837,F837))=0),"",(L838-L837)/(IF(ISNUMBER(G838),G838,F838)-IF(ISNUMBER(G837),G837,F837)))</f>
        <v/>
      </c>
      <c r="W838" s="30">
        <f>IF(NOT(AND(ISNUMBER(N838),ISNUMBER(P838))),"",(P838-N838)*1440)</f>
        <v/>
      </c>
      <c r="X838" s="28" t="n"/>
      <c r="Y838" s="28" t="n"/>
      <c r="Z838" s="28" t="n"/>
      <c r="AA838" s="31" t="n"/>
      <c r="AB838" s="31" t="n"/>
    </row>
    <row r="839">
      <c r="A839" s="25" t="inlineStr">
        <is>
          <t>S17</t>
        </is>
      </c>
      <c r="B839" s="25" t="inlineStr">
        <is>
          <t>영양 신규점4</t>
        </is>
      </c>
      <c r="C839" s="25" t="inlineStr">
        <is>
          <t>S17-H동</t>
        </is>
      </c>
      <c r="D839" s="25" t="inlineStr">
        <is>
          <t>측정</t>
        </is>
      </c>
      <c r="E839" s="25" t="inlineStr">
        <is>
          <t>동</t>
        </is>
      </c>
      <c r="F839" s="30" t="n">
        <v>1</v>
      </c>
      <c r="G839" s="29" t="n"/>
      <c r="H839" s="42" t="n"/>
      <c r="I839" s="40" t="n"/>
      <c r="J839" s="40" t="n"/>
      <c r="K839" s="40" t="n"/>
      <c r="L839" s="30">
        <f>IF(COUNT(I839:K839)=0,"",MEDIAN(I839:K839))</f>
        <v/>
      </c>
      <c r="M839" s="25">
        <f>IF(COUNTIFS($C:$C,$C839,$D:$D,"P0(전)",$L:$L,"&gt;0")&lt;&gt;1,"P0(전) 유효 1개 아님",IF(COUNTIFS($C:$C,$C839,$D:$D,"P0(후)",$L:$L,"&gt;0")&lt;&gt;1,"P0(후) 유효 1개 아님",IF(NOT(AND(ISNUMBER(N839),ISNUMBER(P839),ISNUMBER(H839))),"시각 결측",IF(P839&lt;=N839,"P0 시각 역전",IF(OR(H839&lt;N839,H839&gt;P839),"측정시각 구간 밖","OK")))))</f>
        <v/>
      </c>
      <c r="N839" s="45">
        <f>IF(COUNTIFS($C:$C,$C839,$D:$D,"P0(전)",$L:$L,"&gt;0")&lt;&gt;1,"",SUMIFS($H:$H,$C:$C,$C839,$D:$D,"P0(전)"))</f>
        <v/>
      </c>
      <c r="O839" s="30">
        <f>IF(COUNTIFS($C:$C,$C839,$D:$D,"P0(전)",$L:$L,"&gt;0")&lt;&gt;1,"",SUMIFS($L:$L,$C:$C,$C839,$D:$D,"P0(전)"))</f>
        <v/>
      </c>
      <c r="P839" s="45">
        <f>IF(COUNTIFS($C:$C,$C839,$D:$D,"P0(후)",$L:$L,"&gt;0")&lt;&gt;1,"",SUMIFS($H:$H,$C:$C,$C839,$D:$D,"P0(후)"))</f>
        <v/>
      </c>
      <c r="Q839" s="30">
        <f>IF(COUNTIFS($C:$C,$C839,$D:$D,"P0(후)",$L:$L,"&gt;0")&lt;&gt;1,"",SUMIFS($L:$L,$C:$C,$C839,$D:$D,"P0(후)"))</f>
        <v/>
      </c>
      <c r="R839" s="30">
        <f>IF(M839&lt;&gt;"OK","",O839+(Q839-O839)*(H839-N839)/(P839-N839))</f>
        <v/>
      </c>
      <c r="S839" s="30">
        <f>IF(OR(M839&lt;&gt;"OK",NOT(ISNUMBER(L839))),"",L839-R839)</f>
        <v/>
      </c>
      <c r="T839" s="46">
        <f>IF(OR(NOT(ISNUMBER(S839)),IF(ISNUMBER(G839),G839,F839)=0),"",S839/IF(ISNUMBER(G839),G839,F839))</f>
        <v/>
      </c>
      <c r="U839" s="46">
        <f>IF(ISNUMBER(T839),ABS(T839),"")</f>
        <v/>
      </c>
      <c r="V839" s="46">
        <f>IF(OR($D838&lt;&gt;"측정",$C838&lt;&gt;$C839,NOT(ISNUMBER(L839)),NOT(ISNUMBER(L838)),(IF(ISNUMBER(G839),G839,F839)-IF(ISNUMBER(G838),G838,F838))=0),"",(L839-L838)/(IF(ISNUMBER(G839),G839,F839)-IF(ISNUMBER(G838),G838,F838)))</f>
        <v/>
      </c>
      <c r="W839" s="30">
        <f>IF(NOT(AND(ISNUMBER(N839),ISNUMBER(P839))),"",(P839-N839)*1440)</f>
        <v/>
      </c>
      <c r="X839" s="28" t="n"/>
      <c r="Y839" s="28" t="n"/>
      <c r="Z839" s="28" t="n"/>
      <c r="AA839" s="31" t="n"/>
      <c r="AB839" s="31" t="n"/>
    </row>
    <row r="840">
      <c r="A840" s="25" t="inlineStr">
        <is>
          <t>S17</t>
        </is>
      </c>
      <c r="B840" s="25" t="inlineStr">
        <is>
          <t>영양 신규점4</t>
        </is>
      </c>
      <c r="C840" s="25" t="inlineStr">
        <is>
          <t>S17-H동</t>
        </is>
      </c>
      <c r="D840" s="25" t="inlineStr">
        <is>
          <t>측정</t>
        </is>
      </c>
      <c r="E840" s="25" t="inlineStr">
        <is>
          <t>동</t>
        </is>
      </c>
      <c r="F840" s="30" t="n">
        <v>2</v>
      </c>
      <c r="G840" s="29" t="n"/>
      <c r="H840" s="42" t="n"/>
      <c r="I840" s="40" t="n"/>
      <c r="J840" s="40" t="n"/>
      <c r="K840" s="40" t="n"/>
      <c r="L840" s="30">
        <f>IF(COUNT(I840:K840)=0,"",MEDIAN(I840:K840))</f>
        <v/>
      </c>
      <c r="M840" s="25">
        <f>IF(COUNTIFS($C:$C,$C840,$D:$D,"P0(전)",$L:$L,"&gt;0")&lt;&gt;1,"P0(전) 유효 1개 아님",IF(COUNTIFS($C:$C,$C840,$D:$D,"P0(후)",$L:$L,"&gt;0")&lt;&gt;1,"P0(후) 유효 1개 아님",IF(NOT(AND(ISNUMBER(N840),ISNUMBER(P840),ISNUMBER(H840))),"시각 결측",IF(P840&lt;=N840,"P0 시각 역전",IF(OR(H840&lt;N840,H840&gt;P840),"측정시각 구간 밖","OK")))))</f>
        <v/>
      </c>
      <c r="N840" s="45">
        <f>IF(COUNTIFS($C:$C,$C840,$D:$D,"P0(전)",$L:$L,"&gt;0")&lt;&gt;1,"",SUMIFS($H:$H,$C:$C,$C840,$D:$D,"P0(전)"))</f>
        <v/>
      </c>
      <c r="O840" s="30">
        <f>IF(COUNTIFS($C:$C,$C840,$D:$D,"P0(전)",$L:$L,"&gt;0")&lt;&gt;1,"",SUMIFS($L:$L,$C:$C,$C840,$D:$D,"P0(전)"))</f>
        <v/>
      </c>
      <c r="P840" s="45">
        <f>IF(COUNTIFS($C:$C,$C840,$D:$D,"P0(후)",$L:$L,"&gt;0")&lt;&gt;1,"",SUMIFS($H:$H,$C:$C,$C840,$D:$D,"P0(후)"))</f>
        <v/>
      </c>
      <c r="Q840" s="30">
        <f>IF(COUNTIFS($C:$C,$C840,$D:$D,"P0(후)",$L:$L,"&gt;0")&lt;&gt;1,"",SUMIFS($L:$L,$C:$C,$C840,$D:$D,"P0(후)"))</f>
        <v/>
      </c>
      <c r="R840" s="30">
        <f>IF(M840&lt;&gt;"OK","",O840+(Q840-O840)*(H840-N840)/(P840-N840))</f>
        <v/>
      </c>
      <c r="S840" s="30">
        <f>IF(OR(M840&lt;&gt;"OK",NOT(ISNUMBER(L840))),"",L840-R840)</f>
        <v/>
      </c>
      <c r="T840" s="46">
        <f>IF(OR(NOT(ISNUMBER(S840)),IF(ISNUMBER(G840),G840,F840)=0),"",S840/IF(ISNUMBER(G840),G840,F840))</f>
        <v/>
      </c>
      <c r="U840" s="46">
        <f>IF(ISNUMBER(T840),ABS(T840),"")</f>
        <v/>
      </c>
      <c r="V840" s="46">
        <f>IF(OR($D839&lt;&gt;"측정",$C839&lt;&gt;$C840,NOT(ISNUMBER(L840)),NOT(ISNUMBER(L839)),(IF(ISNUMBER(G840),G840,F840)-IF(ISNUMBER(G839),G839,F839))=0),"",(L840-L839)/(IF(ISNUMBER(G840),G840,F840)-IF(ISNUMBER(G839),G839,F839)))</f>
        <v/>
      </c>
      <c r="W840" s="30">
        <f>IF(NOT(AND(ISNUMBER(N840),ISNUMBER(P840))),"",(P840-N840)*1440)</f>
        <v/>
      </c>
      <c r="X840" s="28" t="n"/>
      <c r="Y840" s="28" t="n"/>
      <c r="Z840" s="28" t="n"/>
      <c r="AA840" s="31" t="n"/>
      <c r="AB840" s="31" t="n"/>
    </row>
    <row r="841">
      <c r="A841" s="25" t="inlineStr">
        <is>
          <t>S17</t>
        </is>
      </c>
      <c r="B841" s="25" t="inlineStr">
        <is>
          <t>영양 신규점4</t>
        </is>
      </c>
      <c r="C841" s="25" t="inlineStr">
        <is>
          <t>S17-H동</t>
        </is>
      </c>
      <c r="D841" s="25" t="inlineStr">
        <is>
          <t>측정</t>
        </is>
      </c>
      <c r="E841" s="25" t="inlineStr">
        <is>
          <t>동</t>
        </is>
      </c>
      <c r="F841" s="30" t="n">
        <v>3</v>
      </c>
      <c r="G841" s="29" t="n"/>
      <c r="H841" s="42" t="n"/>
      <c r="I841" s="40" t="n"/>
      <c r="J841" s="40" t="n"/>
      <c r="K841" s="40" t="n"/>
      <c r="L841" s="30">
        <f>IF(COUNT(I841:K841)=0,"",MEDIAN(I841:K841))</f>
        <v/>
      </c>
      <c r="M841" s="25">
        <f>IF(COUNTIFS($C:$C,$C841,$D:$D,"P0(전)",$L:$L,"&gt;0")&lt;&gt;1,"P0(전) 유효 1개 아님",IF(COUNTIFS($C:$C,$C841,$D:$D,"P0(후)",$L:$L,"&gt;0")&lt;&gt;1,"P0(후) 유효 1개 아님",IF(NOT(AND(ISNUMBER(N841),ISNUMBER(P841),ISNUMBER(H841))),"시각 결측",IF(P841&lt;=N841,"P0 시각 역전",IF(OR(H841&lt;N841,H841&gt;P841),"측정시각 구간 밖","OK")))))</f>
        <v/>
      </c>
      <c r="N841" s="45">
        <f>IF(COUNTIFS($C:$C,$C841,$D:$D,"P0(전)",$L:$L,"&gt;0")&lt;&gt;1,"",SUMIFS($H:$H,$C:$C,$C841,$D:$D,"P0(전)"))</f>
        <v/>
      </c>
      <c r="O841" s="30">
        <f>IF(COUNTIFS($C:$C,$C841,$D:$D,"P0(전)",$L:$L,"&gt;0")&lt;&gt;1,"",SUMIFS($L:$L,$C:$C,$C841,$D:$D,"P0(전)"))</f>
        <v/>
      </c>
      <c r="P841" s="45">
        <f>IF(COUNTIFS($C:$C,$C841,$D:$D,"P0(후)",$L:$L,"&gt;0")&lt;&gt;1,"",SUMIFS($H:$H,$C:$C,$C841,$D:$D,"P0(후)"))</f>
        <v/>
      </c>
      <c r="Q841" s="30">
        <f>IF(COUNTIFS($C:$C,$C841,$D:$D,"P0(후)",$L:$L,"&gt;0")&lt;&gt;1,"",SUMIFS($L:$L,$C:$C,$C841,$D:$D,"P0(후)"))</f>
        <v/>
      </c>
      <c r="R841" s="30">
        <f>IF(M841&lt;&gt;"OK","",O841+(Q841-O841)*(H841-N841)/(P841-N841))</f>
        <v/>
      </c>
      <c r="S841" s="30">
        <f>IF(OR(M841&lt;&gt;"OK",NOT(ISNUMBER(L841))),"",L841-R841)</f>
        <v/>
      </c>
      <c r="T841" s="46">
        <f>IF(OR(NOT(ISNUMBER(S841)),IF(ISNUMBER(G841),G841,F841)=0),"",S841/IF(ISNUMBER(G841),G841,F841))</f>
        <v/>
      </c>
      <c r="U841" s="46">
        <f>IF(ISNUMBER(T841),ABS(T841),"")</f>
        <v/>
      </c>
      <c r="V841" s="46">
        <f>IF(OR($D840&lt;&gt;"측정",$C840&lt;&gt;$C841,NOT(ISNUMBER(L841)),NOT(ISNUMBER(L840)),(IF(ISNUMBER(G841),G841,F841)-IF(ISNUMBER(G840),G840,F840))=0),"",(L841-L840)/(IF(ISNUMBER(G841),G841,F841)-IF(ISNUMBER(G840),G840,F840)))</f>
        <v/>
      </c>
      <c r="W841" s="30">
        <f>IF(NOT(AND(ISNUMBER(N841),ISNUMBER(P841))),"",(P841-N841)*1440)</f>
        <v/>
      </c>
      <c r="X841" s="28" t="n"/>
      <c r="Y841" s="28" t="n"/>
      <c r="Z841" s="28" t="n"/>
      <c r="AA841" s="31" t="n"/>
      <c r="AB841" s="31" t="n"/>
    </row>
    <row r="842">
      <c r="A842" s="25" t="inlineStr">
        <is>
          <t>S17</t>
        </is>
      </c>
      <c r="B842" s="25" t="inlineStr">
        <is>
          <t>영양 신규점4</t>
        </is>
      </c>
      <c r="C842" s="25" t="inlineStr">
        <is>
          <t>S17-H동</t>
        </is>
      </c>
      <c r="D842" s="25" t="inlineStr">
        <is>
          <t>측정</t>
        </is>
      </c>
      <c r="E842" s="25" t="inlineStr">
        <is>
          <t>동</t>
        </is>
      </c>
      <c r="F842" s="30" t="n">
        <v>4</v>
      </c>
      <c r="G842" s="29" t="n"/>
      <c r="H842" s="42" t="n"/>
      <c r="I842" s="40" t="n"/>
      <c r="J842" s="40" t="n"/>
      <c r="K842" s="40" t="n"/>
      <c r="L842" s="30">
        <f>IF(COUNT(I842:K842)=0,"",MEDIAN(I842:K842))</f>
        <v/>
      </c>
      <c r="M842" s="25">
        <f>IF(COUNTIFS($C:$C,$C842,$D:$D,"P0(전)",$L:$L,"&gt;0")&lt;&gt;1,"P0(전) 유효 1개 아님",IF(COUNTIFS($C:$C,$C842,$D:$D,"P0(후)",$L:$L,"&gt;0")&lt;&gt;1,"P0(후) 유효 1개 아님",IF(NOT(AND(ISNUMBER(N842),ISNUMBER(P842),ISNUMBER(H842))),"시각 결측",IF(P842&lt;=N842,"P0 시각 역전",IF(OR(H842&lt;N842,H842&gt;P842),"측정시각 구간 밖","OK")))))</f>
        <v/>
      </c>
      <c r="N842" s="45">
        <f>IF(COUNTIFS($C:$C,$C842,$D:$D,"P0(전)",$L:$L,"&gt;0")&lt;&gt;1,"",SUMIFS($H:$H,$C:$C,$C842,$D:$D,"P0(전)"))</f>
        <v/>
      </c>
      <c r="O842" s="30">
        <f>IF(COUNTIFS($C:$C,$C842,$D:$D,"P0(전)",$L:$L,"&gt;0")&lt;&gt;1,"",SUMIFS($L:$L,$C:$C,$C842,$D:$D,"P0(전)"))</f>
        <v/>
      </c>
      <c r="P842" s="45">
        <f>IF(COUNTIFS($C:$C,$C842,$D:$D,"P0(후)",$L:$L,"&gt;0")&lt;&gt;1,"",SUMIFS($H:$H,$C:$C,$C842,$D:$D,"P0(후)"))</f>
        <v/>
      </c>
      <c r="Q842" s="30">
        <f>IF(COUNTIFS($C:$C,$C842,$D:$D,"P0(후)",$L:$L,"&gt;0")&lt;&gt;1,"",SUMIFS($L:$L,$C:$C,$C842,$D:$D,"P0(후)"))</f>
        <v/>
      </c>
      <c r="R842" s="30">
        <f>IF(M842&lt;&gt;"OK","",O842+(Q842-O842)*(H842-N842)/(P842-N842))</f>
        <v/>
      </c>
      <c r="S842" s="30">
        <f>IF(OR(M842&lt;&gt;"OK",NOT(ISNUMBER(L842))),"",L842-R842)</f>
        <v/>
      </c>
      <c r="T842" s="46">
        <f>IF(OR(NOT(ISNUMBER(S842)),IF(ISNUMBER(G842),G842,F842)=0),"",S842/IF(ISNUMBER(G842),G842,F842))</f>
        <v/>
      </c>
      <c r="U842" s="46">
        <f>IF(ISNUMBER(T842),ABS(T842),"")</f>
        <v/>
      </c>
      <c r="V842" s="46">
        <f>IF(OR($D841&lt;&gt;"측정",$C841&lt;&gt;$C842,NOT(ISNUMBER(L842)),NOT(ISNUMBER(L841)),(IF(ISNUMBER(G842),G842,F842)-IF(ISNUMBER(G841),G841,F841))=0),"",(L842-L841)/(IF(ISNUMBER(G842),G842,F842)-IF(ISNUMBER(G841),G841,F841)))</f>
        <v/>
      </c>
      <c r="W842" s="30">
        <f>IF(NOT(AND(ISNUMBER(N842),ISNUMBER(P842))),"",(P842-N842)*1440)</f>
        <v/>
      </c>
      <c r="X842" s="28" t="n"/>
      <c r="Y842" s="28" t="n"/>
      <c r="Z842" s="28" t="n"/>
      <c r="AA842" s="31" t="n"/>
      <c r="AB842" s="31" t="n"/>
    </row>
    <row r="843">
      <c r="A843" s="25" t="inlineStr">
        <is>
          <t>S17</t>
        </is>
      </c>
      <c r="B843" s="25" t="inlineStr">
        <is>
          <t>영양 신규점4</t>
        </is>
      </c>
      <c r="C843" s="25" t="inlineStr">
        <is>
          <t>S17-H동</t>
        </is>
      </c>
      <c r="D843" s="25" t="inlineStr">
        <is>
          <t>측정</t>
        </is>
      </c>
      <c r="E843" s="25" t="inlineStr">
        <is>
          <t>동</t>
        </is>
      </c>
      <c r="F843" s="30" t="n">
        <v>5</v>
      </c>
      <c r="G843" s="29" t="n"/>
      <c r="H843" s="42" t="n"/>
      <c r="I843" s="40" t="n"/>
      <c r="J843" s="40" t="n"/>
      <c r="K843" s="40" t="n"/>
      <c r="L843" s="30">
        <f>IF(COUNT(I843:K843)=0,"",MEDIAN(I843:K843))</f>
        <v/>
      </c>
      <c r="M843" s="25">
        <f>IF(COUNTIFS($C:$C,$C843,$D:$D,"P0(전)",$L:$L,"&gt;0")&lt;&gt;1,"P0(전) 유효 1개 아님",IF(COUNTIFS($C:$C,$C843,$D:$D,"P0(후)",$L:$L,"&gt;0")&lt;&gt;1,"P0(후) 유효 1개 아님",IF(NOT(AND(ISNUMBER(N843),ISNUMBER(P843),ISNUMBER(H843))),"시각 결측",IF(P843&lt;=N843,"P0 시각 역전",IF(OR(H843&lt;N843,H843&gt;P843),"측정시각 구간 밖","OK")))))</f>
        <v/>
      </c>
      <c r="N843" s="45">
        <f>IF(COUNTIFS($C:$C,$C843,$D:$D,"P0(전)",$L:$L,"&gt;0")&lt;&gt;1,"",SUMIFS($H:$H,$C:$C,$C843,$D:$D,"P0(전)"))</f>
        <v/>
      </c>
      <c r="O843" s="30">
        <f>IF(COUNTIFS($C:$C,$C843,$D:$D,"P0(전)",$L:$L,"&gt;0")&lt;&gt;1,"",SUMIFS($L:$L,$C:$C,$C843,$D:$D,"P0(전)"))</f>
        <v/>
      </c>
      <c r="P843" s="45">
        <f>IF(COUNTIFS($C:$C,$C843,$D:$D,"P0(후)",$L:$L,"&gt;0")&lt;&gt;1,"",SUMIFS($H:$H,$C:$C,$C843,$D:$D,"P0(후)"))</f>
        <v/>
      </c>
      <c r="Q843" s="30">
        <f>IF(COUNTIFS($C:$C,$C843,$D:$D,"P0(후)",$L:$L,"&gt;0")&lt;&gt;1,"",SUMIFS($L:$L,$C:$C,$C843,$D:$D,"P0(후)"))</f>
        <v/>
      </c>
      <c r="R843" s="30">
        <f>IF(M843&lt;&gt;"OK","",O843+(Q843-O843)*(H843-N843)/(P843-N843))</f>
        <v/>
      </c>
      <c r="S843" s="30">
        <f>IF(OR(M843&lt;&gt;"OK",NOT(ISNUMBER(L843))),"",L843-R843)</f>
        <v/>
      </c>
      <c r="T843" s="46">
        <f>IF(OR(NOT(ISNUMBER(S843)),IF(ISNUMBER(G843),G843,F843)=0),"",S843/IF(ISNUMBER(G843),G843,F843))</f>
        <v/>
      </c>
      <c r="U843" s="46">
        <f>IF(ISNUMBER(T843),ABS(T843),"")</f>
        <v/>
      </c>
      <c r="V843" s="46">
        <f>IF(OR($D842&lt;&gt;"측정",$C842&lt;&gt;$C843,NOT(ISNUMBER(L843)),NOT(ISNUMBER(L842)),(IF(ISNUMBER(G843),G843,F843)-IF(ISNUMBER(G842),G842,F842))=0),"",(L843-L842)/(IF(ISNUMBER(G843),G843,F843)-IF(ISNUMBER(G842),G842,F842)))</f>
        <v/>
      </c>
      <c r="W843" s="30">
        <f>IF(NOT(AND(ISNUMBER(N843),ISNUMBER(P843))),"",(P843-N843)*1440)</f>
        <v/>
      </c>
      <c r="X843" s="28" t="n"/>
      <c r="Y843" s="28" t="n"/>
      <c r="Z843" s="28" t="n"/>
      <c r="AA843" s="31" t="n"/>
      <c r="AB843" s="31" t="n"/>
    </row>
    <row r="844">
      <c r="A844" s="25" t="inlineStr">
        <is>
          <t>S17</t>
        </is>
      </c>
      <c r="B844" s="25" t="inlineStr">
        <is>
          <t>영양 신규점4</t>
        </is>
      </c>
      <c r="C844" s="25" t="inlineStr">
        <is>
          <t>S17-H동</t>
        </is>
      </c>
      <c r="D844" s="25" t="inlineStr">
        <is>
          <t>측정</t>
        </is>
      </c>
      <c r="E844" s="25" t="inlineStr">
        <is>
          <t>동</t>
        </is>
      </c>
      <c r="F844" s="30" t="n">
        <v>6</v>
      </c>
      <c r="G844" s="29" t="n"/>
      <c r="H844" s="42" t="n"/>
      <c r="I844" s="40" t="n"/>
      <c r="J844" s="40" t="n"/>
      <c r="K844" s="40" t="n"/>
      <c r="L844" s="30">
        <f>IF(COUNT(I844:K844)=0,"",MEDIAN(I844:K844))</f>
        <v/>
      </c>
      <c r="M844" s="25">
        <f>IF(COUNTIFS($C:$C,$C844,$D:$D,"P0(전)",$L:$L,"&gt;0")&lt;&gt;1,"P0(전) 유효 1개 아님",IF(COUNTIFS($C:$C,$C844,$D:$D,"P0(후)",$L:$L,"&gt;0")&lt;&gt;1,"P0(후) 유효 1개 아님",IF(NOT(AND(ISNUMBER(N844),ISNUMBER(P844),ISNUMBER(H844))),"시각 결측",IF(P844&lt;=N844,"P0 시각 역전",IF(OR(H844&lt;N844,H844&gt;P844),"측정시각 구간 밖","OK")))))</f>
        <v/>
      </c>
      <c r="N844" s="45">
        <f>IF(COUNTIFS($C:$C,$C844,$D:$D,"P0(전)",$L:$L,"&gt;0")&lt;&gt;1,"",SUMIFS($H:$H,$C:$C,$C844,$D:$D,"P0(전)"))</f>
        <v/>
      </c>
      <c r="O844" s="30">
        <f>IF(COUNTIFS($C:$C,$C844,$D:$D,"P0(전)",$L:$L,"&gt;0")&lt;&gt;1,"",SUMIFS($L:$L,$C:$C,$C844,$D:$D,"P0(전)"))</f>
        <v/>
      </c>
      <c r="P844" s="45">
        <f>IF(COUNTIFS($C:$C,$C844,$D:$D,"P0(후)",$L:$L,"&gt;0")&lt;&gt;1,"",SUMIFS($H:$H,$C:$C,$C844,$D:$D,"P0(후)"))</f>
        <v/>
      </c>
      <c r="Q844" s="30">
        <f>IF(COUNTIFS($C:$C,$C844,$D:$D,"P0(후)",$L:$L,"&gt;0")&lt;&gt;1,"",SUMIFS($L:$L,$C:$C,$C844,$D:$D,"P0(후)"))</f>
        <v/>
      </c>
      <c r="R844" s="30">
        <f>IF(M844&lt;&gt;"OK","",O844+(Q844-O844)*(H844-N844)/(P844-N844))</f>
        <v/>
      </c>
      <c r="S844" s="30">
        <f>IF(OR(M844&lt;&gt;"OK",NOT(ISNUMBER(L844))),"",L844-R844)</f>
        <v/>
      </c>
      <c r="T844" s="46">
        <f>IF(OR(NOT(ISNUMBER(S844)),IF(ISNUMBER(G844),G844,F844)=0),"",S844/IF(ISNUMBER(G844),G844,F844))</f>
        <v/>
      </c>
      <c r="U844" s="46">
        <f>IF(ISNUMBER(T844),ABS(T844),"")</f>
        <v/>
      </c>
      <c r="V844" s="46">
        <f>IF(OR($D843&lt;&gt;"측정",$C843&lt;&gt;$C844,NOT(ISNUMBER(L844)),NOT(ISNUMBER(L843)),(IF(ISNUMBER(G844),G844,F844)-IF(ISNUMBER(G843),G843,F843))=0),"",(L844-L843)/(IF(ISNUMBER(G844),G844,F844)-IF(ISNUMBER(G843),G843,F843)))</f>
        <v/>
      </c>
      <c r="W844" s="30">
        <f>IF(NOT(AND(ISNUMBER(N844),ISNUMBER(P844))),"",(P844-N844)*1440)</f>
        <v/>
      </c>
      <c r="X844" s="28" t="n"/>
      <c r="Y844" s="28" t="n"/>
      <c r="Z844" s="28" t="n"/>
      <c r="AA844" s="31" t="n"/>
      <c r="AB844" s="31" t="n"/>
    </row>
    <row r="845">
      <c r="A845" s="25" t="inlineStr">
        <is>
          <t>S17</t>
        </is>
      </c>
      <c r="B845" s="25" t="inlineStr">
        <is>
          <t>영양 신규점4</t>
        </is>
      </c>
      <c r="C845" s="25" t="inlineStr">
        <is>
          <t>S17-H동</t>
        </is>
      </c>
      <c r="D845" s="25" t="inlineStr">
        <is>
          <t>측정</t>
        </is>
      </c>
      <c r="E845" s="25" t="inlineStr">
        <is>
          <t>동</t>
        </is>
      </c>
      <c r="F845" s="30" t="n">
        <v>7</v>
      </c>
      <c r="G845" s="29" t="n"/>
      <c r="H845" s="42" t="n"/>
      <c r="I845" s="40" t="n"/>
      <c r="J845" s="40" t="n"/>
      <c r="K845" s="40" t="n"/>
      <c r="L845" s="30">
        <f>IF(COUNT(I845:K845)=0,"",MEDIAN(I845:K845))</f>
        <v/>
      </c>
      <c r="M845" s="25">
        <f>IF(COUNTIFS($C:$C,$C845,$D:$D,"P0(전)",$L:$L,"&gt;0")&lt;&gt;1,"P0(전) 유효 1개 아님",IF(COUNTIFS($C:$C,$C845,$D:$D,"P0(후)",$L:$L,"&gt;0")&lt;&gt;1,"P0(후) 유효 1개 아님",IF(NOT(AND(ISNUMBER(N845),ISNUMBER(P845),ISNUMBER(H845))),"시각 결측",IF(P845&lt;=N845,"P0 시각 역전",IF(OR(H845&lt;N845,H845&gt;P845),"측정시각 구간 밖","OK")))))</f>
        <v/>
      </c>
      <c r="N845" s="45">
        <f>IF(COUNTIFS($C:$C,$C845,$D:$D,"P0(전)",$L:$L,"&gt;0")&lt;&gt;1,"",SUMIFS($H:$H,$C:$C,$C845,$D:$D,"P0(전)"))</f>
        <v/>
      </c>
      <c r="O845" s="30">
        <f>IF(COUNTIFS($C:$C,$C845,$D:$D,"P0(전)",$L:$L,"&gt;0")&lt;&gt;1,"",SUMIFS($L:$L,$C:$C,$C845,$D:$D,"P0(전)"))</f>
        <v/>
      </c>
      <c r="P845" s="45">
        <f>IF(COUNTIFS($C:$C,$C845,$D:$D,"P0(후)",$L:$L,"&gt;0")&lt;&gt;1,"",SUMIFS($H:$H,$C:$C,$C845,$D:$D,"P0(후)"))</f>
        <v/>
      </c>
      <c r="Q845" s="30">
        <f>IF(COUNTIFS($C:$C,$C845,$D:$D,"P0(후)",$L:$L,"&gt;0")&lt;&gt;1,"",SUMIFS($L:$L,$C:$C,$C845,$D:$D,"P0(후)"))</f>
        <v/>
      </c>
      <c r="R845" s="30">
        <f>IF(M845&lt;&gt;"OK","",O845+(Q845-O845)*(H845-N845)/(P845-N845))</f>
        <v/>
      </c>
      <c r="S845" s="30">
        <f>IF(OR(M845&lt;&gt;"OK",NOT(ISNUMBER(L845))),"",L845-R845)</f>
        <v/>
      </c>
      <c r="T845" s="46">
        <f>IF(OR(NOT(ISNUMBER(S845)),IF(ISNUMBER(G845),G845,F845)=0),"",S845/IF(ISNUMBER(G845),G845,F845))</f>
        <v/>
      </c>
      <c r="U845" s="46">
        <f>IF(ISNUMBER(T845),ABS(T845),"")</f>
        <v/>
      </c>
      <c r="V845" s="46">
        <f>IF(OR($D844&lt;&gt;"측정",$C844&lt;&gt;$C845,NOT(ISNUMBER(L845)),NOT(ISNUMBER(L844)),(IF(ISNUMBER(G845),G845,F845)-IF(ISNUMBER(G844),G844,F844))=0),"",(L845-L844)/(IF(ISNUMBER(G845),G845,F845)-IF(ISNUMBER(G844),G844,F844)))</f>
        <v/>
      </c>
      <c r="W845" s="30">
        <f>IF(NOT(AND(ISNUMBER(N845),ISNUMBER(P845))),"",(P845-N845)*1440)</f>
        <v/>
      </c>
      <c r="X845" s="28" t="n"/>
      <c r="Y845" s="28" t="n"/>
      <c r="Z845" s="28" t="n"/>
      <c r="AA845" s="31" t="n"/>
      <c r="AB845" s="31" t="n"/>
    </row>
    <row r="846">
      <c r="A846" s="25" t="inlineStr">
        <is>
          <t>S17</t>
        </is>
      </c>
      <c r="B846" s="25" t="inlineStr">
        <is>
          <t>영양 신규점4</t>
        </is>
      </c>
      <c r="C846" s="25" t="inlineStr">
        <is>
          <t>S17-H동</t>
        </is>
      </c>
      <c r="D846" s="25" t="inlineStr">
        <is>
          <t>측정</t>
        </is>
      </c>
      <c r="E846" s="25" t="inlineStr">
        <is>
          <t>동</t>
        </is>
      </c>
      <c r="F846" s="30" t="n">
        <v>8</v>
      </c>
      <c r="G846" s="29" t="n"/>
      <c r="H846" s="42" t="n"/>
      <c r="I846" s="40" t="n"/>
      <c r="J846" s="40" t="n"/>
      <c r="K846" s="40" t="n"/>
      <c r="L846" s="30">
        <f>IF(COUNT(I846:K846)=0,"",MEDIAN(I846:K846))</f>
        <v/>
      </c>
      <c r="M846" s="25">
        <f>IF(COUNTIFS($C:$C,$C846,$D:$D,"P0(전)",$L:$L,"&gt;0")&lt;&gt;1,"P0(전) 유효 1개 아님",IF(COUNTIFS($C:$C,$C846,$D:$D,"P0(후)",$L:$L,"&gt;0")&lt;&gt;1,"P0(후) 유효 1개 아님",IF(NOT(AND(ISNUMBER(N846),ISNUMBER(P846),ISNUMBER(H846))),"시각 결측",IF(P846&lt;=N846,"P0 시각 역전",IF(OR(H846&lt;N846,H846&gt;P846),"측정시각 구간 밖","OK")))))</f>
        <v/>
      </c>
      <c r="N846" s="45">
        <f>IF(COUNTIFS($C:$C,$C846,$D:$D,"P0(전)",$L:$L,"&gt;0")&lt;&gt;1,"",SUMIFS($H:$H,$C:$C,$C846,$D:$D,"P0(전)"))</f>
        <v/>
      </c>
      <c r="O846" s="30">
        <f>IF(COUNTIFS($C:$C,$C846,$D:$D,"P0(전)",$L:$L,"&gt;0")&lt;&gt;1,"",SUMIFS($L:$L,$C:$C,$C846,$D:$D,"P0(전)"))</f>
        <v/>
      </c>
      <c r="P846" s="45">
        <f>IF(COUNTIFS($C:$C,$C846,$D:$D,"P0(후)",$L:$L,"&gt;0")&lt;&gt;1,"",SUMIFS($H:$H,$C:$C,$C846,$D:$D,"P0(후)"))</f>
        <v/>
      </c>
      <c r="Q846" s="30">
        <f>IF(COUNTIFS($C:$C,$C846,$D:$D,"P0(후)",$L:$L,"&gt;0")&lt;&gt;1,"",SUMIFS($L:$L,$C:$C,$C846,$D:$D,"P0(후)"))</f>
        <v/>
      </c>
      <c r="R846" s="30">
        <f>IF(M846&lt;&gt;"OK","",O846+(Q846-O846)*(H846-N846)/(P846-N846))</f>
        <v/>
      </c>
      <c r="S846" s="30">
        <f>IF(OR(M846&lt;&gt;"OK",NOT(ISNUMBER(L846))),"",L846-R846)</f>
        <v/>
      </c>
      <c r="T846" s="46">
        <f>IF(OR(NOT(ISNUMBER(S846)),IF(ISNUMBER(G846),G846,F846)=0),"",S846/IF(ISNUMBER(G846),G846,F846))</f>
        <v/>
      </c>
      <c r="U846" s="46">
        <f>IF(ISNUMBER(T846),ABS(T846),"")</f>
        <v/>
      </c>
      <c r="V846" s="46">
        <f>IF(OR($D845&lt;&gt;"측정",$C845&lt;&gt;$C846,NOT(ISNUMBER(L846)),NOT(ISNUMBER(L845)),(IF(ISNUMBER(G846),G846,F846)-IF(ISNUMBER(G845),G845,F845))=0),"",(L846-L845)/(IF(ISNUMBER(G846),G846,F846)-IF(ISNUMBER(G845),G845,F845)))</f>
        <v/>
      </c>
      <c r="W846" s="30">
        <f>IF(NOT(AND(ISNUMBER(N846),ISNUMBER(P846))),"",(P846-N846)*1440)</f>
        <v/>
      </c>
      <c r="X846" s="28" t="n"/>
      <c r="Y846" s="28" t="n"/>
      <c r="Z846" s="28" t="n"/>
      <c r="AA846" s="31" t="n"/>
      <c r="AB846" s="31" t="n"/>
    </row>
    <row r="847">
      <c r="A847" s="25" t="inlineStr">
        <is>
          <t>S17</t>
        </is>
      </c>
      <c r="B847" s="25" t="inlineStr">
        <is>
          <t>영양 신규점4</t>
        </is>
      </c>
      <c r="C847" s="25" t="inlineStr">
        <is>
          <t>S17-H동</t>
        </is>
      </c>
      <c r="D847" s="25" t="inlineStr">
        <is>
          <t>측정</t>
        </is>
      </c>
      <c r="E847" s="25" t="inlineStr">
        <is>
          <t>동</t>
        </is>
      </c>
      <c r="F847" s="30" t="n">
        <v>9</v>
      </c>
      <c r="G847" s="29" t="n"/>
      <c r="H847" s="42" t="n"/>
      <c r="I847" s="40" t="n"/>
      <c r="J847" s="40" t="n"/>
      <c r="K847" s="40" t="n"/>
      <c r="L847" s="30">
        <f>IF(COUNT(I847:K847)=0,"",MEDIAN(I847:K847))</f>
        <v/>
      </c>
      <c r="M847" s="25">
        <f>IF(COUNTIFS($C:$C,$C847,$D:$D,"P0(전)",$L:$L,"&gt;0")&lt;&gt;1,"P0(전) 유효 1개 아님",IF(COUNTIFS($C:$C,$C847,$D:$D,"P0(후)",$L:$L,"&gt;0")&lt;&gt;1,"P0(후) 유효 1개 아님",IF(NOT(AND(ISNUMBER(N847),ISNUMBER(P847),ISNUMBER(H847))),"시각 결측",IF(P847&lt;=N847,"P0 시각 역전",IF(OR(H847&lt;N847,H847&gt;P847),"측정시각 구간 밖","OK")))))</f>
        <v/>
      </c>
      <c r="N847" s="45">
        <f>IF(COUNTIFS($C:$C,$C847,$D:$D,"P0(전)",$L:$L,"&gt;0")&lt;&gt;1,"",SUMIFS($H:$H,$C:$C,$C847,$D:$D,"P0(전)"))</f>
        <v/>
      </c>
      <c r="O847" s="30">
        <f>IF(COUNTIFS($C:$C,$C847,$D:$D,"P0(전)",$L:$L,"&gt;0")&lt;&gt;1,"",SUMIFS($L:$L,$C:$C,$C847,$D:$D,"P0(전)"))</f>
        <v/>
      </c>
      <c r="P847" s="45">
        <f>IF(COUNTIFS($C:$C,$C847,$D:$D,"P0(후)",$L:$L,"&gt;0")&lt;&gt;1,"",SUMIFS($H:$H,$C:$C,$C847,$D:$D,"P0(후)"))</f>
        <v/>
      </c>
      <c r="Q847" s="30">
        <f>IF(COUNTIFS($C:$C,$C847,$D:$D,"P0(후)",$L:$L,"&gt;0")&lt;&gt;1,"",SUMIFS($L:$L,$C:$C,$C847,$D:$D,"P0(후)"))</f>
        <v/>
      </c>
      <c r="R847" s="30">
        <f>IF(M847&lt;&gt;"OK","",O847+(Q847-O847)*(H847-N847)/(P847-N847))</f>
        <v/>
      </c>
      <c r="S847" s="30">
        <f>IF(OR(M847&lt;&gt;"OK",NOT(ISNUMBER(L847))),"",L847-R847)</f>
        <v/>
      </c>
      <c r="T847" s="46">
        <f>IF(OR(NOT(ISNUMBER(S847)),IF(ISNUMBER(G847),G847,F847)=0),"",S847/IF(ISNUMBER(G847),G847,F847))</f>
        <v/>
      </c>
      <c r="U847" s="46">
        <f>IF(ISNUMBER(T847),ABS(T847),"")</f>
        <v/>
      </c>
      <c r="V847" s="46">
        <f>IF(OR($D846&lt;&gt;"측정",$C846&lt;&gt;$C847,NOT(ISNUMBER(L847)),NOT(ISNUMBER(L846)),(IF(ISNUMBER(G847),G847,F847)-IF(ISNUMBER(G846),G846,F846))=0),"",(L847-L846)/(IF(ISNUMBER(G847),G847,F847)-IF(ISNUMBER(G846),G846,F846)))</f>
        <v/>
      </c>
      <c r="W847" s="30">
        <f>IF(NOT(AND(ISNUMBER(N847),ISNUMBER(P847))),"",(P847-N847)*1440)</f>
        <v/>
      </c>
      <c r="X847" s="28" t="n"/>
      <c r="Y847" s="28" t="n"/>
      <c r="Z847" s="28" t="n"/>
      <c r="AA847" s="31" t="n"/>
      <c r="AB847" s="31" t="n"/>
    </row>
    <row r="848">
      <c r="A848" s="25" t="inlineStr">
        <is>
          <t>S17</t>
        </is>
      </c>
      <c r="B848" s="25" t="inlineStr">
        <is>
          <t>영양 신규점4</t>
        </is>
      </c>
      <c r="C848" s="25" t="inlineStr">
        <is>
          <t>S17-H동</t>
        </is>
      </c>
      <c r="D848" s="25" t="inlineStr">
        <is>
          <t>측정</t>
        </is>
      </c>
      <c r="E848" s="25" t="inlineStr">
        <is>
          <t>동</t>
        </is>
      </c>
      <c r="F848" s="30" t="n">
        <v>10</v>
      </c>
      <c r="G848" s="29" t="n"/>
      <c r="H848" s="42" t="n"/>
      <c r="I848" s="40" t="n"/>
      <c r="J848" s="40" t="n"/>
      <c r="K848" s="40" t="n"/>
      <c r="L848" s="30">
        <f>IF(COUNT(I848:K848)=0,"",MEDIAN(I848:K848))</f>
        <v/>
      </c>
      <c r="M848" s="25">
        <f>IF(COUNTIFS($C:$C,$C848,$D:$D,"P0(전)",$L:$L,"&gt;0")&lt;&gt;1,"P0(전) 유효 1개 아님",IF(COUNTIFS($C:$C,$C848,$D:$D,"P0(후)",$L:$L,"&gt;0")&lt;&gt;1,"P0(후) 유효 1개 아님",IF(NOT(AND(ISNUMBER(N848),ISNUMBER(P848),ISNUMBER(H848))),"시각 결측",IF(P848&lt;=N848,"P0 시각 역전",IF(OR(H848&lt;N848,H848&gt;P848),"측정시각 구간 밖","OK")))))</f>
        <v/>
      </c>
      <c r="N848" s="45">
        <f>IF(COUNTIFS($C:$C,$C848,$D:$D,"P0(전)",$L:$L,"&gt;0")&lt;&gt;1,"",SUMIFS($H:$H,$C:$C,$C848,$D:$D,"P0(전)"))</f>
        <v/>
      </c>
      <c r="O848" s="30">
        <f>IF(COUNTIFS($C:$C,$C848,$D:$D,"P0(전)",$L:$L,"&gt;0")&lt;&gt;1,"",SUMIFS($L:$L,$C:$C,$C848,$D:$D,"P0(전)"))</f>
        <v/>
      </c>
      <c r="P848" s="45">
        <f>IF(COUNTIFS($C:$C,$C848,$D:$D,"P0(후)",$L:$L,"&gt;0")&lt;&gt;1,"",SUMIFS($H:$H,$C:$C,$C848,$D:$D,"P0(후)"))</f>
        <v/>
      </c>
      <c r="Q848" s="30">
        <f>IF(COUNTIFS($C:$C,$C848,$D:$D,"P0(후)",$L:$L,"&gt;0")&lt;&gt;1,"",SUMIFS($L:$L,$C:$C,$C848,$D:$D,"P0(후)"))</f>
        <v/>
      </c>
      <c r="R848" s="30">
        <f>IF(M848&lt;&gt;"OK","",O848+(Q848-O848)*(H848-N848)/(P848-N848))</f>
        <v/>
      </c>
      <c r="S848" s="30">
        <f>IF(OR(M848&lt;&gt;"OK",NOT(ISNUMBER(L848))),"",L848-R848)</f>
        <v/>
      </c>
      <c r="T848" s="46">
        <f>IF(OR(NOT(ISNUMBER(S848)),IF(ISNUMBER(G848),G848,F848)=0),"",S848/IF(ISNUMBER(G848),G848,F848))</f>
        <v/>
      </c>
      <c r="U848" s="46">
        <f>IF(ISNUMBER(T848),ABS(T848),"")</f>
        <v/>
      </c>
      <c r="V848" s="46">
        <f>IF(OR($D847&lt;&gt;"측정",$C847&lt;&gt;$C848,NOT(ISNUMBER(L848)),NOT(ISNUMBER(L847)),(IF(ISNUMBER(G848),G848,F848)-IF(ISNUMBER(G847),G847,F847))=0),"",(L848-L847)/(IF(ISNUMBER(G848),G848,F848)-IF(ISNUMBER(G847),G847,F847)))</f>
        <v/>
      </c>
      <c r="W848" s="30">
        <f>IF(NOT(AND(ISNUMBER(N848),ISNUMBER(P848))),"",(P848-N848)*1440)</f>
        <v/>
      </c>
      <c r="X848" s="28" t="n"/>
      <c r="Y848" s="28" t="n"/>
      <c r="Z848" s="28" t="n"/>
      <c r="AA848" s="31" t="n"/>
      <c r="AB848" s="31" t="n"/>
    </row>
    <row r="849">
      <c r="A849" s="43" t="inlineStr">
        <is>
          <t>S17</t>
        </is>
      </c>
      <c r="B849" s="43" t="inlineStr">
        <is>
          <t>영양 신규점4</t>
        </is>
      </c>
      <c r="C849" s="43" t="inlineStr">
        <is>
          <t>S17-H동</t>
        </is>
      </c>
      <c r="D849" s="43" t="inlineStr">
        <is>
          <t>P0(후)</t>
        </is>
      </c>
      <c r="E849" s="43" t="inlineStr">
        <is>
          <t>동</t>
        </is>
      </c>
      <c r="F849" s="44" t="n"/>
      <c r="G849" s="29" t="n"/>
      <c r="H849" s="42" t="n"/>
      <c r="I849" s="40" t="n"/>
      <c r="J849" s="40" t="n"/>
      <c r="K849" s="40" t="n"/>
      <c r="L849" s="30">
        <f>IF(COUNT(I849:K849)=0,"",MEDIAN(I849:K849))</f>
        <v/>
      </c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28" t="n"/>
      <c r="Y849" s="28" t="n"/>
      <c r="Z849" s="28" t="n"/>
      <c r="AA849" s="31" t="n"/>
      <c r="AB849" s="31" t="n"/>
    </row>
    <row r="850">
      <c r="A850" s="43" t="inlineStr">
        <is>
          <t>S17</t>
        </is>
      </c>
      <c r="B850" s="43" t="inlineStr">
        <is>
          <t>영양 신규점4</t>
        </is>
      </c>
      <c r="C850" s="43" t="inlineStr">
        <is>
          <t>S17-H서</t>
        </is>
      </c>
      <c r="D850" s="43" t="inlineStr">
        <is>
          <t>P0(전)</t>
        </is>
      </c>
      <c r="E850" s="43" t="inlineStr">
        <is>
          <t>서</t>
        </is>
      </c>
      <c r="F850" s="44" t="n"/>
      <c r="G850" s="29" t="n"/>
      <c r="H850" s="42" t="n"/>
      <c r="I850" s="40" t="n"/>
      <c r="J850" s="40" t="n"/>
      <c r="K850" s="40" t="n"/>
      <c r="L850" s="30">
        <f>IF(COUNT(I850:K850)=0,"",MEDIAN(I850:K850))</f>
        <v/>
      </c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28" t="n"/>
      <c r="Y850" s="28" t="n"/>
      <c r="Z850" s="28" t="n"/>
      <c r="AA850" s="31" t="n"/>
      <c r="AB850" s="31" t="n"/>
    </row>
    <row r="851">
      <c r="A851" s="25" t="inlineStr">
        <is>
          <t>S17</t>
        </is>
      </c>
      <c r="B851" s="25" t="inlineStr">
        <is>
          <t>영양 신규점4</t>
        </is>
      </c>
      <c r="C851" s="25" t="inlineStr">
        <is>
          <t>S17-H서</t>
        </is>
      </c>
      <c r="D851" s="25" t="inlineStr">
        <is>
          <t>측정</t>
        </is>
      </c>
      <c r="E851" s="25" t="inlineStr">
        <is>
          <t>서</t>
        </is>
      </c>
      <c r="F851" s="30" t="n">
        <v>0.5</v>
      </c>
      <c r="G851" s="29" t="n"/>
      <c r="H851" s="42" t="n"/>
      <c r="I851" s="40" t="n"/>
      <c r="J851" s="40" t="n"/>
      <c r="K851" s="40" t="n"/>
      <c r="L851" s="30">
        <f>IF(COUNT(I851:K851)=0,"",MEDIAN(I851:K851))</f>
        <v/>
      </c>
      <c r="M851" s="25">
        <f>IF(COUNTIFS($C:$C,$C851,$D:$D,"P0(전)",$L:$L,"&gt;0")&lt;&gt;1,"P0(전) 유효 1개 아님",IF(COUNTIFS($C:$C,$C851,$D:$D,"P0(후)",$L:$L,"&gt;0")&lt;&gt;1,"P0(후) 유효 1개 아님",IF(NOT(AND(ISNUMBER(N851),ISNUMBER(P851),ISNUMBER(H851))),"시각 결측",IF(P851&lt;=N851,"P0 시각 역전",IF(OR(H851&lt;N851,H851&gt;P851),"측정시각 구간 밖","OK")))))</f>
        <v/>
      </c>
      <c r="N851" s="45">
        <f>IF(COUNTIFS($C:$C,$C851,$D:$D,"P0(전)",$L:$L,"&gt;0")&lt;&gt;1,"",SUMIFS($H:$H,$C:$C,$C851,$D:$D,"P0(전)"))</f>
        <v/>
      </c>
      <c r="O851" s="30">
        <f>IF(COUNTIFS($C:$C,$C851,$D:$D,"P0(전)",$L:$L,"&gt;0")&lt;&gt;1,"",SUMIFS($L:$L,$C:$C,$C851,$D:$D,"P0(전)"))</f>
        <v/>
      </c>
      <c r="P851" s="45">
        <f>IF(COUNTIFS($C:$C,$C851,$D:$D,"P0(후)",$L:$L,"&gt;0")&lt;&gt;1,"",SUMIFS($H:$H,$C:$C,$C851,$D:$D,"P0(후)"))</f>
        <v/>
      </c>
      <c r="Q851" s="30">
        <f>IF(COUNTIFS($C:$C,$C851,$D:$D,"P0(후)",$L:$L,"&gt;0")&lt;&gt;1,"",SUMIFS($L:$L,$C:$C,$C851,$D:$D,"P0(후)"))</f>
        <v/>
      </c>
      <c r="R851" s="30">
        <f>IF(M851&lt;&gt;"OK","",O851+(Q851-O851)*(H851-N851)/(P851-N851))</f>
        <v/>
      </c>
      <c r="S851" s="30">
        <f>IF(OR(M851&lt;&gt;"OK",NOT(ISNUMBER(L851))),"",L851-R851)</f>
        <v/>
      </c>
      <c r="T851" s="46">
        <f>IF(OR(NOT(ISNUMBER(S851)),IF(ISNUMBER(G851),G851,F851)=0),"",S851/IF(ISNUMBER(G851),G851,F851))</f>
        <v/>
      </c>
      <c r="U851" s="46">
        <f>IF(ISNUMBER(T851),ABS(T851),"")</f>
        <v/>
      </c>
      <c r="V851" s="46">
        <f>IF(OR($D850&lt;&gt;"측정",$C850&lt;&gt;$C851,NOT(ISNUMBER(L851)),NOT(ISNUMBER(L850)),(IF(ISNUMBER(G851),G851,F851)-IF(ISNUMBER(G850),G850,F850))=0),"",(L851-L850)/(IF(ISNUMBER(G851),G851,F851)-IF(ISNUMBER(G850),G850,F850)))</f>
        <v/>
      </c>
      <c r="W851" s="30">
        <f>IF(NOT(AND(ISNUMBER(N851),ISNUMBER(P851))),"",(P851-N851)*1440)</f>
        <v/>
      </c>
      <c r="X851" s="28" t="n"/>
      <c r="Y851" s="28" t="n"/>
      <c r="Z851" s="28" t="n"/>
      <c r="AA851" s="31" t="n"/>
      <c r="AB851" s="31" t="n"/>
    </row>
    <row r="852">
      <c r="A852" s="25" t="inlineStr">
        <is>
          <t>S17</t>
        </is>
      </c>
      <c r="B852" s="25" t="inlineStr">
        <is>
          <t>영양 신규점4</t>
        </is>
      </c>
      <c r="C852" s="25" t="inlineStr">
        <is>
          <t>S17-H서</t>
        </is>
      </c>
      <c r="D852" s="25" t="inlineStr">
        <is>
          <t>측정</t>
        </is>
      </c>
      <c r="E852" s="25" t="inlineStr">
        <is>
          <t>서</t>
        </is>
      </c>
      <c r="F852" s="30" t="n">
        <v>1</v>
      </c>
      <c r="G852" s="29" t="n"/>
      <c r="H852" s="42" t="n"/>
      <c r="I852" s="40" t="n"/>
      <c r="J852" s="40" t="n"/>
      <c r="K852" s="40" t="n"/>
      <c r="L852" s="30">
        <f>IF(COUNT(I852:K852)=0,"",MEDIAN(I852:K852))</f>
        <v/>
      </c>
      <c r="M852" s="25">
        <f>IF(COUNTIFS($C:$C,$C852,$D:$D,"P0(전)",$L:$L,"&gt;0")&lt;&gt;1,"P0(전) 유효 1개 아님",IF(COUNTIFS($C:$C,$C852,$D:$D,"P0(후)",$L:$L,"&gt;0")&lt;&gt;1,"P0(후) 유효 1개 아님",IF(NOT(AND(ISNUMBER(N852),ISNUMBER(P852),ISNUMBER(H852))),"시각 결측",IF(P852&lt;=N852,"P0 시각 역전",IF(OR(H852&lt;N852,H852&gt;P852),"측정시각 구간 밖","OK")))))</f>
        <v/>
      </c>
      <c r="N852" s="45">
        <f>IF(COUNTIFS($C:$C,$C852,$D:$D,"P0(전)",$L:$L,"&gt;0")&lt;&gt;1,"",SUMIFS($H:$H,$C:$C,$C852,$D:$D,"P0(전)"))</f>
        <v/>
      </c>
      <c r="O852" s="30">
        <f>IF(COUNTIFS($C:$C,$C852,$D:$D,"P0(전)",$L:$L,"&gt;0")&lt;&gt;1,"",SUMIFS($L:$L,$C:$C,$C852,$D:$D,"P0(전)"))</f>
        <v/>
      </c>
      <c r="P852" s="45">
        <f>IF(COUNTIFS($C:$C,$C852,$D:$D,"P0(후)",$L:$L,"&gt;0")&lt;&gt;1,"",SUMIFS($H:$H,$C:$C,$C852,$D:$D,"P0(후)"))</f>
        <v/>
      </c>
      <c r="Q852" s="30">
        <f>IF(COUNTIFS($C:$C,$C852,$D:$D,"P0(후)",$L:$L,"&gt;0")&lt;&gt;1,"",SUMIFS($L:$L,$C:$C,$C852,$D:$D,"P0(후)"))</f>
        <v/>
      </c>
      <c r="R852" s="30">
        <f>IF(M852&lt;&gt;"OK","",O852+(Q852-O852)*(H852-N852)/(P852-N852))</f>
        <v/>
      </c>
      <c r="S852" s="30">
        <f>IF(OR(M852&lt;&gt;"OK",NOT(ISNUMBER(L852))),"",L852-R852)</f>
        <v/>
      </c>
      <c r="T852" s="46">
        <f>IF(OR(NOT(ISNUMBER(S852)),IF(ISNUMBER(G852),G852,F852)=0),"",S852/IF(ISNUMBER(G852),G852,F852))</f>
        <v/>
      </c>
      <c r="U852" s="46">
        <f>IF(ISNUMBER(T852),ABS(T852),"")</f>
        <v/>
      </c>
      <c r="V852" s="46">
        <f>IF(OR($D851&lt;&gt;"측정",$C851&lt;&gt;$C852,NOT(ISNUMBER(L852)),NOT(ISNUMBER(L851)),(IF(ISNUMBER(G852),G852,F852)-IF(ISNUMBER(G851),G851,F851))=0),"",(L852-L851)/(IF(ISNUMBER(G852),G852,F852)-IF(ISNUMBER(G851),G851,F851)))</f>
        <v/>
      </c>
      <c r="W852" s="30">
        <f>IF(NOT(AND(ISNUMBER(N852),ISNUMBER(P852))),"",(P852-N852)*1440)</f>
        <v/>
      </c>
      <c r="X852" s="28" t="n"/>
      <c r="Y852" s="28" t="n"/>
      <c r="Z852" s="28" t="n"/>
      <c r="AA852" s="31" t="n"/>
      <c r="AB852" s="31" t="n"/>
    </row>
    <row r="853">
      <c r="A853" s="25" t="inlineStr">
        <is>
          <t>S17</t>
        </is>
      </c>
      <c r="B853" s="25" t="inlineStr">
        <is>
          <t>영양 신규점4</t>
        </is>
      </c>
      <c r="C853" s="25" t="inlineStr">
        <is>
          <t>S17-H서</t>
        </is>
      </c>
      <c r="D853" s="25" t="inlineStr">
        <is>
          <t>측정</t>
        </is>
      </c>
      <c r="E853" s="25" t="inlineStr">
        <is>
          <t>서</t>
        </is>
      </c>
      <c r="F853" s="30" t="n">
        <v>2</v>
      </c>
      <c r="G853" s="29" t="n"/>
      <c r="H853" s="42" t="n"/>
      <c r="I853" s="40" t="n"/>
      <c r="J853" s="40" t="n"/>
      <c r="K853" s="40" t="n"/>
      <c r="L853" s="30">
        <f>IF(COUNT(I853:K853)=0,"",MEDIAN(I853:K853))</f>
        <v/>
      </c>
      <c r="M853" s="25">
        <f>IF(COUNTIFS($C:$C,$C853,$D:$D,"P0(전)",$L:$L,"&gt;0")&lt;&gt;1,"P0(전) 유효 1개 아님",IF(COUNTIFS($C:$C,$C853,$D:$D,"P0(후)",$L:$L,"&gt;0")&lt;&gt;1,"P0(후) 유효 1개 아님",IF(NOT(AND(ISNUMBER(N853),ISNUMBER(P853),ISNUMBER(H853))),"시각 결측",IF(P853&lt;=N853,"P0 시각 역전",IF(OR(H853&lt;N853,H853&gt;P853),"측정시각 구간 밖","OK")))))</f>
        <v/>
      </c>
      <c r="N853" s="45">
        <f>IF(COUNTIFS($C:$C,$C853,$D:$D,"P0(전)",$L:$L,"&gt;0")&lt;&gt;1,"",SUMIFS($H:$H,$C:$C,$C853,$D:$D,"P0(전)"))</f>
        <v/>
      </c>
      <c r="O853" s="30">
        <f>IF(COUNTIFS($C:$C,$C853,$D:$D,"P0(전)",$L:$L,"&gt;0")&lt;&gt;1,"",SUMIFS($L:$L,$C:$C,$C853,$D:$D,"P0(전)"))</f>
        <v/>
      </c>
      <c r="P853" s="45">
        <f>IF(COUNTIFS($C:$C,$C853,$D:$D,"P0(후)",$L:$L,"&gt;0")&lt;&gt;1,"",SUMIFS($H:$H,$C:$C,$C853,$D:$D,"P0(후)"))</f>
        <v/>
      </c>
      <c r="Q853" s="30">
        <f>IF(COUNTIFS($C:$C,$C853,$D:$D,"P0(후)",$L:$L,"&gt;0")&lt;&gt;1,"",SUMIFS($L:$L,$C:$C,$C853,$D:$D,"P0(후)"))</f>
        <v/>
      </c>
      <c r="R853" s="30">
        <f>IF(M853&lt;&gt;"OK","",O853+(Q853-O853)*(H853-N853)/(P853-N853))</f>
        <v/>
      </c>
      <c r="S853" s="30">
        <f>IF(OR(M853&lt;&gt;"OK",NOT(ISNUMBER(L853))),"",L853-R853)</f>
        <v/>
      </c>
      <c r="T853" s="46">
        <f>IF(OR(NOT(ISNUMBER(S853)),IF(ISNUMBER(G853),G853,F853)=0),"",S853/IF(ISNUMBER(G853),G853,F853))</f>
        <v/>
      </c>
      <c r="U853" s="46">
        <f>IF(ISNUMBER(T853),ABS(T853),"")</f>
        <v/>
      </c>
      <c r="V853" s="46">
        <f>IF(OR($D852&lt;&gt;"측정",$C852&lt;&gt;$C853,NOT(ISNUMBER(L853)),NOT(ISNUMBER(L852)),(IF(ISNUMBER(G853),G853,F853)-IF(ISNUMBER(G852),G852,F852))=0),"",(L853-L852)/(IF(ISNUMBER(G853),G853,F853)-IF(ISNUMBER(G852),G852,F852)))</f>
        <v/>
      </c>
      <c r="W853" s="30">
        <f>IF(NOT(AND(ISNUMBER(N853),ISNUMBER(P853))),"",(P853-N853)*1440)</f>
        <v/>
      </c>
      <c r="X853" s="28" t="n"/>
      <c r="Y853" s="28" t="n"/>
      <c r="Z853" s="28" t="n"/>
      <c r="AA853" s="31" t="n"/>
      <c r="AB853" s="31" t="n"/>
    </row>
    <row r="854">
      <c r="A854" s="25" t="inlineStr">
        <is>
          <t>S17</t>
        </is>
      </c>
      <c r="B854" s="25" t="inlineStr">
        <is>
          <t>영양 신규점4</t>
        </is>
      </c>
      <c r="C854" s="25" t="inlineStr">
        <is>
          <t>S17-H서</t>
        </is>
      </c>
      <c r="D854" s="25" t="inlineStr">
        <is>
          <t>측정</t>
        </is>
      </c>
      <c r="E854" s="25" t="inlineStr">
        <is>
          <t>서</t>
        </is>
      </c>
      <c r="F854" s="30" t="n">
        <v>3</v>
      </c>
      <c r="G854" s="29" t="n"/>
      <c r="H854" s="42" t="n"/>
      <c r="I854" s="40" t="n"/>
      <c r="J854" s="40" t="n"/>
      <c r="K854" s="40" t="n"/>
      <c r="L854" s="30">
        <f>IF(COUNT(I854:K854)=0,"",MEDIAN(I854:K854))</f>
        <v/>
      </c>
      <c r="M854" s="25">
        <f>IF(COUNTIFS($C:$C,$C854,$D:$D,"P0(전)",$L:$L,"&gt;0")&lt;&gt;1,"P0(전) 유효 1개 아님",IF(COUNTIFS($C:$C,$C854,$D:$D,"P0(후)",$L:$L,"&gt;0")&lt;&gt;1,"P0(후) 유효 1개 아님",IF(NOT(AND(ISNUMBER(N854),ISNUMBER(P854),ISNUMBER(H854))),"시각 결측",IF(P854&lt;=N854,"P0 시각 역전",IF(OR(H854&lt;N854,H854&gt;P854),"측정시각 구간 밖","OK")))))</f>
        <v/>
      </c>
      <c r="N854" s="45">
        <f>IF(COUNTIFS($C:$C,$C854,$D:$D,"P0(전)",$L:$L,"&gt;0")&lt;&gt;1,"",SUMIFS($H:$H,$C:$C,$C854,$D:$D,"P0(전)"))</f>
        <v/>
      </c>
      <c r="O854" s="30">
        <f>IF(COUNTIFS($C:$C,$C854,$D:$D,"P0(전)",$L:$L,"&gt;0")&lt;&gt;1,"",SUMIFS($L:$L,$C:$C,$C854,$D:$D,"P0(전)"))</f>
        <v/>
      </c>
      <c r="P854" s="45">
        <f>IF(COUNTIFS($C:$C,$C854,$D:$D,"P0(후)",$L:$L,"&gt;0")&lt;&gt;1,"",SUMIFS($H:$H,$C:$C,$C854,$D:$D,"P0(후)"))</f>
        <v/>
      </c>
      <c r="Q854" s="30">
        <f>IF(COUNTIFS($C:$C,$C854,$D:$D,"P0(후)",$L:$L,"&gt;0")&lt;&gt;1,"",SUMIFS($L:$L,$C:$C,$C854,$D:$D,"P0(후)"))</f>
        <v/>
      </c>
      <c r="R854" s="30">
        <f>IF(M854&lt;&gt;"OK","",O854+(Q854-O854)*(H854-N854)/(P854-N854))</f>
        <v/>
      </c>
      <c r="S854" s="30">
        <f>IF(OR(M854&lt;&gt;"OK",NOT(ISNUMBER(L854))),"",L854-R854)</f>
        <v/>
      </c>
      <c r="T854" s="46">
        <f>IF(OR(NOT(ISNUMBER(S854)),IF(ISNUMBER(G854),G854,F854)=0),"",S854/IF(ISNUMBER(G854),G854,F854))</f>
        <v/>
      </c>
      <c r="U854" s="46">
        <f>IF(ISNUMBER(T854),ABS(T854),"")</f>
        <v/>
      </c>
      <c r="V854" s="46">
        <f>IF(OR($D853&lt;&gt;"측정",$C853&lt;&gt;$C854,NOT(ISNUMBER(L854)),NOT(ISNUMBER(L853)),(IF(ISNUMBER(G854),G854,F854)-IF(ISNUMBER(G853),G853,F853))=0),"",(L854-L853)/(IF(ISNUMBER(G854),G854,F854)-IF(ISNUMBER(G853),G853,F853)))</f>
        <v/>
      </c>
      <c r="W854" s="30">
        <f>IF(NOT(AND(ISNUMBER(N854),ISNUMBER(P854))),"",(P854-N854)*1440)</f>
        <v/>
      </c>
      <c r="X854" s="28" t="n"/>
      <c r="Y854" s="28" t="n"/>
      <c r="Z854" s="28" t="n"/>
      <c r="AA854" s="31" t="n"/>
      <c r="AB854" s="31" t="n"/>
    </row>
    <row r="855">
      <c r="A855" s="25" t="inlineStr">
        <is>
          <t>S17</t>
        </is>
      </c>
      <c r="B855" s="25" t="inlineStr">
        <is>
          <t>영양 신규점4</t>
        </is>
      </c>
      <c r="C855" s="25" t="inlineStr">
        <is>
          <t>S17-H서</t>
        </is>
      </c>
      <c r="D855" s="25" t="inlineStr">
        <is>
          <t>측정</t>
        </is>
      </c>
      <c r="E855" s="25" t="inlineStr">
        <is>
          <t>서</t>
        </is>
      </c>
      <c r="F855" s="30" t="n">
        <v>4</v>
      </c>
      <c r="G855" s="29" t="n"/>
      <c r="H855" s="42" t="n"/>
      <c r="I855" s="40" t="n"/>
      <c r="J855" s="40" t="n"/>
      <c r="K855" s="40" t="n"/>
      <c r="L855" s="30">
        <f>IF(COUNT(I855:K855)=0,"",MEDIAN(I855:K855))</f>
        <v/>
      </c>
      <c r="M855" s="25">
        <f>IF(COUNTIFS($C:$C,$C855,$D:$D,"P0(전)",$L:$L,"&gt;0")&lt;&gt;1,"P0(전) 유효 1개 아님",IF(COUNTIFS($C:$C,$C855,$D:$D,"P0(후)",$L:$L,"&gt;0")&lt;&gt;1,"P0(후) 유효 1개 아님",IF(NOT(AND(ISNUMBER(N855),ISNUMBER(P855),ISNUMBER(H855))),"시각 결측",IF(P855&lt;=N855,"P0 시각 역전",IF(OR(H855&lt;N855,H855&gt;P855),"측정시각 구간 밖","OK")))))</f>
        <v/>
      </c>
      <c r="N855" s="45">
        <f>IF(COUNTIFS($C:$C,$C855,$D:$D,"P0(전)",$L:$L,"&gt;0")&lt;&gt;1,"",SUMIFS($H:$H,$C:$C,$C855,$D:$D,"P0(전)"))</f>
        <v/>
      </c>
      <c r="O855" s="30">
        <f>IF(COUNTIFS($C:$C,$C855,$D:$D,"P0(전)",$L:$L,"&gt;0")&lt;&gt;1,"",SUMIFS($L:$L,$C:$C,$C855,$D:$D,"P0(전)"))</f>
        <v/>
      </c>
      <c r="P855" s="45">
        <f>IF(COUNTIFS($C:$C,$C855,$D:$D,"P0(후)",$L:$L,"&gt;0")&lt;&gt;1,"",SUMIFS($H:$H,$C:$C,$C855,$D:$D,"P0(후)"))</f>
        <v/>
      </c>
      <c r="Q855" s="30">
        <f>IF(COUNTIFS($C:$C,$C855,$D:$D,"P0(후)",$L:$L,"&gt;0")&lt;&gt;1,"",SUMIFS($L:$L,$C:$C,$C855,$D:$D,"P0(후)"))</f>
        <v/>
      </c>
      <c r="R855" s="30">
        <f>IF(M855&lt;&gt;"OK","",O855+(Q855-O855)*(H855-N855)/(P855-N855))</f>
        <v/>
      </c>
      <c r="S855" s="30">
        <f>IF(OR(M855&lt;&gt;"OK",NOT(ISNUMBER(L855))),"",L855-R855)</f>
        <v/>
      </c>
      <c r="T855" s="46">
        <f>IF(OR(NOT(ISNUMBER(S855)),IF(ISNUMBER(G855),G855,F855)=0),"",S855/IF(ISNUMBER(G855),G855,F855))</f>
        <v/>
      </c>
      <c r="U855" s="46">
        <f>IF(ISNUMBER(T855),ABS(T855),"")</f>
        <v/>
      </c>
      <c r="V855" s="46">
        <f>IF(OR($D854&lt;&gt;"측정",$C854&lt;&gt;$C855,NOT(ISNUMBER(L855)),NOT(ISNUMBER(L854)),(IF(ISNUMBER(G855),G855,F855)-IF(ISNUMBER(G854),G854,F854))=0),"",(L855-L854)/(IF(ISNUMBER(G855),G855,F855)-IF(ISNUMBER(G854),G854,F854)))</f>
        <v/>
      </c>
      <c r="W855" s="30">
        <f>IF(NOT(AND(ISNUMBER(N855),ISNUMBER(P855))),"",(P855-N855)*1440)</f>
        <v/>
      </c>
      <c r="X855" s="28" t="n"/>
      <c r="Y855" s="28" t="n"/>
      <c r="Z855" s="28" t="n"/>
      <c r="AA855" s="31" t="n"/>
      <c r="AB855" s="31" t="n"/>
    </row>
    <row r="856">
      <c r="A856" s="25" t="inlineStr">
        <is>
          <t>S17</t>
        </is>
      </c>
      <c r="B856" s="25" t="inlineStr">
        <is>
          <t>영양 신규점4</t>
        </is>
      </c>
      <c r="C856" s="25" t="inlineStr">
        <is>
          <t>S17-H서</t>
        </is>
      </c>
      <c r="D856" s="25" t="inlineStr">
        <is>
          <t>측정</t>
        </is>
      </c>
      <c r="E856" s="25" t="inlineStr">
        <is>
          <t>서</t>
        </is>
      </c>
      <c r="F856" s="30" t="n">
        <v>5</v>
      </c>
      <c r="G856" s="29" t="n"/>
      <c r="H856" s="42" t="n"/>
      <c r="I856" s="40" t="n"/>
      <c r="J856" s="40" t="n"/>
      <c r="K856" s="40" t="n"/>
      <c r="L856" s="30">
        <f>IF(COUNT(I856:K856)=0,"",MEDIAN(I856:K856))</f>
        <v/>
      </c>
      <c r="M856" s="25">
        <f>IF(COUNTIFS($C:$C,$C856,$D:$D,"P0(전)",$L:$L,"&gt;0")&lt;&gt;1,"P0(전) 유효 1개 아님",IF(COUNTIFS($C:$C,$C856,$D:$D,"P0(후)",$L:$L,"&gt;0")&lt;&gt;1,"P0(후) 유효 1개 아님",IF(NOT(AND(ISNUMBER(N856),ISNUMBER(P856),ISNUMBER(H856))),"시각 결측",IF(P856&lt;=N856,"P0 시각 역전",IF(OR(H856&lt;N856,H856&gt;P856),"측정시각 구간 밖","OK")))))</f>
        <v/>
      </c>
      <c r="N856" s="45">
        <f>IF(COUNTIFS($C:$C,$C856,$D:$D,"P0(전)",$L:$L,"&gt;0")&lt;&gt;1,"",SUMIFS($H:$H,$C:$C,$C856,$D:$D,"P0(전)"))</f>
        <v/>
      </c>
      <c r="O856" s="30">
        <f>IF(COUNTIFS($C:$C,$C856,$D:$D,"P0(전)",$L:$L,"&gt;0")&lt;&gt;1,"",SUMIFS($L:$L,$C:$C,$C856,$D:$D,"P0(전)"))</f>
        <v/>
      </c>
      <c r="P856" s="45">
        <f>IF(COUNTIFS($C:$C,$C856,$D:$D,"P0(후)",$L:$L,"&gt;0")&lt;&gt;1,"",SUMIFS($H:$H,$C:$C,$C856,$D:$D,"P0(후)"))</f>
        <v/>
      </c>
      <c r="Q856" s="30">
        <f>IF(COUNTIFS($C:$C,$C856,$D:$D,"P0(후)",$L:$L,"&gt;0")&lt;&gt;1,"",SUMIFS($L:$L,$C:$C,$C856,$D:$D,"P0(후)"))</f>
        <v/>
      </c>
      <c r="R856" s="30">
        <f>IF(M856&lt;&gt;"OK","",O856+(Q856-O856)*(H856-N856)/(P856-N856))</f>
        <v/>
      </c>
      <c r="S856" s="30">
        <f>IF(OR(M856&lt;&gt;"OK",NOT(ISNUMBER(L856))),"",L856-R856)</f>
        <v/>
      </c>
      <c r="T856" s="46">
        <f>IF(OR(NOT(ISNUMBER(S856)),IF(ISNUMBER(G856),G856,F856)=0),"",S856/IF(ISNUMBER(G856),G856,F856))</f>
        <v/>
      </c>
      <c r="U856" s="46">
        <f>IF(ISNUMBER(T856),ABS(T856),"")</f>
        <v/>
      </c>
      <c r="V856" s="46">
        <f>IF(OR($D855&lt;&gt;"측정",$C855&lt;&gt;$C856,NOT(ISNUMBER(L856)),NOT(ISNUMBER(L855)),(IF(ISNUMBER(G856),G856,F856)-IF(ISNUMBER(G855),G855,F855))=0),"",(L856-L855)/(IF(ISNUMBER(G856),G856,F856)-IF(ISNUMBER(G855),G855,F855)))</f>
        <v/>
      </c>
      <c r="W856" s="30">
        <f>IF(NOT(AND(ISNUMBER(N856),ISNUMBER(P856))),"",(P856-N856)*1440)</f>
        <v/>
      </c>
      <c r="X856" s="28" t="n"/>
      <c r="Y856" s="28" t="n"/>
      <c r="Z856" s="28" t="n"/>
      <c r="AA856" s="31" t="n"/>
      <c r="AB856" s="31" t="n"/>
    </row>
    <row r="857">
      <c r="A857" s="25" t="inlineStr">
        <is>
          <t>S17</t>
        </is>
      </c>
      <c r="B857" s="25" t="inlineStr">
        <is>
          <t>영양 신규점4</t>
        </is>
      </c>
      <c r="C857" s="25" t="inlineStr">
        <is>
          <t>S17-H서</t>
        </is>
      </c>
      <c r="D857" s="25" t="inlineStr">
        <is>
          <t>측정</t>
        </is>
      </c>
      <c r="E857" s="25" t="inlineStr">
        <is>
          <t>서</t>
        </is>
      </c>
      <c r="F857" s="30" t="n">
        <v>6</v>
      </c>
      <c r="G857" s="29" t="n"/>
      <c r="H857" s="42" t="n"/>
      <c r="I857" s="40" t="n"/>
      <c r="J857" s="40" t="n"/>
      <c r="K857" s="40" t="n"/>
      <c r="L857" s="30">
        <f>IF(COUNT(I857:K857)=0,"",MEDIAN(I857:K857))</f>
        <v/>
      </c>
      <c r="M857" s="25">
        <f>IF(COUNTIFS($C:$C,$C857,$D:$D,"P0(전)",$L:$L,"&gt;0")&lt;&gt;1,"P0(전) 유효 1개 아님",IF(COUNTIFS($C:$C,$C857,$D:$D,"P0(후)",$L:$L,"&gt;0")&lt;&gt;1,"P0(후) 유효 1개 아님",IF(NOT(AND(ISNUMBER(N857),ISNUMBER(P857),ISNUMBER(H857))),"시각 결측",IF(P857&lt;=N857,"P0 시각 역전",IF(OR(H857&lt;N857,H857&gt;P857),"측정시각 구간 밖","OK")))))</f>
        <v/>
      </c>
      <c r="N857" s="45">
        <f>IF(COUNTIFS($C:$C,$C857,$D:$D,"P0(전)",$L:$L,"&gt;0")&lt;&gt;1,"",SUMIFS($H:$H,$C:$C,$C857,$D:$D,"P0(전)"))</f>
        <v/>
      </c>
      <c r="O857" s="30">
        <f>IF(COUNTIFS($C:$C,$C857,$D:$D,"P0(전)",$L:$L,"&gt;0")&lt;&gt;1,"",SUMIFS($L:$L,$C:$C,$C857,$D:$D,"P0(전)"))</f>
        <v/>
      </c>
      <c r="P857" s="45">
        <f>IF(COUNTIFS($C:$C,$C857,$D:$D,"P0(후)",$L:$L,"&gt;0")&lt;&gt;1,"",SUMIFS($H:$H,$C:$C,$C857,$D:$D,"P0(후)"))</f>
        <v/>
      </c>
      <c r="Q857" s="30">
        <f>IF(COUNTIFS($C:$C,$C857,$D:$D,"P0(후)",$L:$L,"&gt;0")&lt;&gt;1,"",SUMIFS($L:$L,$C:$C,$C857,$D:$D,"P0(후)"))</f>
        <v/>
      </c>
      <c r="R857" s="30">
        <f>IF(M857&lt;&gt;"OK","",O857+(Q857-O857)*(H857-N857)/(P857-N857))</f>
        <v/>
      </c>
      <c r="S857" s="30">
        <f>IF(OR(M857&lt;&gt;"OK",NOT(ISNUMBER(L857))),"",L857-R857)</f>
        <v/>
      </c>
      <c r="T857" s="46">
        <f>IF(OR(NOT(ISNUMBER(S857)),IF(ISNUMBER(G857),G857,F857)=0),"",S857/IF(ISNUMBER(G857),G857,F857))</f>
        <v/>
      </c>
      <c r="U857" s="46">
        <f>IF(ISNUMBER(T857),ABS(T857),"")</f>
        <v/>
      </c>
      <c r="V857" s="46">
        <f>IF(OR($D856&lt;&gt;"측정",$C856&lt;&gt;$C857,NOT(ISNUMBER(L857)),NOT(ISNUMBER(L856)),(IF(ISNUMBER(G857),G857,F857)-IF(ISNUMBER(G856),G856,F856))=0),"",(L857-L856)/(IF(ISNUMBER(G857),G857,F857)-IF(ISNUMBER(G856),G856,F856)))</f>
        <v/>
      </c>
      <c r="W857" s="30">
        <f>IF(NOT(AND(ISNUMBER(N857),ISNUMBER(P857))),"",(P857-N857)*1440)</f>
        <v/>
      </c>
      <c r="X857" s="28" t="n"/>
      <c r="Y857" s="28" t="n"/>
      <c r="Z857" s="28" t="n"/>
      <c r="AA857" s="31" t="n"/>
      <c r="AB857" s="31" t="n"/>
    </row>
    <row r="858">
      <c r="A858" s="25" t="inlineStr">
        <is>
          <t>S17</t>
        </is>
      </c>
      <c r="B858" s="25" t="inlineStr">
        <is>
          <t>영양 신규점4</t>
        </is>
      </c>
      <c r="C858" s="25" t="inlineStr">
        <is>
          <t>S17-H서</t>
        </is>
      </c>
      <c r="D858" s="25" t="inlineStr">
        <is>
          <t>측정</t>
        </is>
      </c>
      <c r="E858" s="25" t="inlineStr">
        <is>
          <t>서</t>
        </is>
      </c>
      <c r="F858" s="30" t="n">
        <v>7</v>
      </c>
      <c r="G858" s="29" t="n"/>
      <c r="H858" s="42" t="n"/>
      <c r="I858" s="40" t="n"/>
      <c r="J858" s="40" t="n"/>
      <c r="K858" s="40" t="n"/>
      <c r="L858" s="30">
        <f>IF(COUNT(I858:K858)=0,"",MEDIAN(I858:K858))</f>
        <v/>
      </c>
      <c r="M858" s="25">
        <f>IF(COUNTIFS($C:$C,$C858,$D:$D,"P0(전)",$L:$L,"&gt;0")&lt;&gt;1,"P0(전) 유효 1개 아님",IF(COUNTIFS($C:$C,$C858,$D:$D,"P0(후)",$L:$L,"&gt;0")&lt;&gt;1,"P0(후) 유효 1개 아님",IF(NOT(AND(ISNUMBER(N858),ISNUMBER(P858),ISNUMBER(H858))),"시각 결측",IF(P858&lt;=N858,"P0 시각 역전",IF(OR(H858&lt;N858,H858&gt;P858),"측정시각 구간 밖","OK")))))</f>
        <v/>
      </c>
      <c r="N858" s="45">
        <f>IF(COUNTIFS($C:$C,$C858,$D:$D,"P0(전)",$L:$L,"&gt;0")&lt;&gt;1,"",SUMIFS($H:$H,$C:$C,$C858,$D:$D,"P0(전)"))</f>
        <v/>
      </c>
      <c r="O858" s="30">
        <f>IF(COUNTIFS($C:$C,$C858,$D:$D,"P0(전)",$L:$L,"&gt;0")&lt;&gt;1,"",SUMIFS($L:$L,$C:$C,$C858,$D:$D,"P0(전)"))</f>
        <v/>
      </c>
      <c r="P858" s="45">
        <f>IF(COUNTIFS($C:$C,$C858,$D:$D,"P0(후)",$L:$L,"&gt;0")&lt;&gt;1,"",SUMIFS($H:$H,$C:$C,$C858,$D:$D,"P0(후)"))</f>
        <v/>
      </c>
      <c r="Q858" s="30">
        <f>IF(COUNTIFS($C:$C,$C858,$D:$D,"P0(후)",$L:$L,"&gt;0")&lt;&gt;1,"",SUMIFS($L:$L,$C:$C,$C858,$D:$D,"P0(후)"))</f>
        <v/>
      </c>
      <c r="R858" s="30">
        <f>IF(M858&lt;&gt;"OK","",O858+(Q858-O858)*(H858-N858)/(P858-N858))</f>
        <v/>
      </c>
      <c r="S858" s="30">
        <f>IF(OR(M858&lt;&gt;"OK",NOT(ISNUMBER(L858))),"",L858-R858)</f>
        <v/>
      </c>
      <c r="T858" s="46">
        <f>IF(OR(NOT(ISNUMBER(S858)),IF(ISNUMBER(G858),G858,F858)=0),"",S858/IF(ISNUMBER(G858),G858,F858))</f>
        <v/>
      </c>
      <c r="U858" s="46">
        <f>IF(ISNUMBER(T858),ABS(T858),"")</f>
        <v/>
      </c>
      <c r="V858" s="46">
        <f>IF(OR($D857&lt;&gt;"측정",$C857&lt;&gt;$C858,NOT(ISNUMBER(L858)),NOT(ISNUMBER(L857)),(IF(ISNUMBER(G858),G858,F858)-IF(ISNUMBER(G857),G857,F857))=0),"",(L858-L857)/(IF(ISNUMBER(G858),G858,F858)-IF(ISNUMBER(G857),G857,F857)))</f>
        <v/>
      </c>
      <c r="W858" s="30">
        <f>IF(NOT(AND(ISNUMBER(N858),ISNUMBER(P858))),"",(P858-N858)*1440)</f>
        <v/>
      </c>
      <c r="X858" s="28" t="n"/>
      <c r="Y858" s="28" t="n"/>
      <c r="Z858" s="28" t="n"/>
      <c r="AA858" s="31" t="n"/>
      <c r="AB858" s="31" t="n"/>
    </row>
    <row r="859">
      <c r="A859" s="25" t="inlineStr">
        <is>
          <t>S17</t>
        </is>
      </c>
      <c r="B859" s="25" t="inlineStr">
        <is>
          <t>영양 신규점4</t>
        </is>
      </c>
      <c r="C859" s="25" t="inlineStr">
        <is>
          <t>S17-H서</t>
        </is>
      </c>
      <c r="D859" s="25" t="inlineStr">
        <is>
          <t>측정</t>
        </is>
      </c>
      <c r="E859" s="25" t="inlineStr">
        <is>
          <t>서</t>
        </is>
      </c>
      <c r="F859" s="30" t="n">
        <v>8</v>
      </c>
      <c r="G859" s="29" t="n"/>
      <c r="H859" s="42" t="n"/>
      <c r="I859" s="40" t="n"/>
      <c r="J859" s="40" t="n"/>
      <c r="K859" s="40" t="n"/>
      <c r="L859" s="30">
        <f>IF(COUNT(I859:K859)=0,"",MEDIAN(I859:K859))</f>
        <v/>
      </c>
      <c r="M859" s="25">
        <f>IF(COUNTIFS($C:$C,$C859,$D:$D,"P0(전)",$L:$L,"&gt;0")&lt;&gt;1,"P0(전) 유효 1개 아님",IF(COUNTIFS($C:$C,$C859,$D:$D,"P0(후)",$L:$L,"&gt;0")&lt;&gt;1,"P0(후) 유효 1개 아님",IF(NOT(AND(ISNUMBER(N859),ISNUMBER(P859),ISNUMBER(H859))),"시각 결측",IF(P859&lt;=N859,"P0 시각 역전",IF(OR(H859&lt;N859,H859&gt;P859),"측정시각 구간 밖","OK")))))</f>
        <v/>
      </c>
      <c r="N859" s="45">
        <f>IF(COUNTIFS($C:$C,$C859,$D:$D,"P0(전)",$L:$L,"&gt;0")&lt;&gt;1,"",SUMIFS($H:$H,$C:$C,$C859,$D:$D,"P0(전)"))</f>
        <v/>
      </c>
      <c r="O859" s="30">
        <f>IF(COUNTIFS($C:$C,$C859,$D:$D,"P0(전)",$L:$L,"&gt;0")&lt;&gt;1,"",SUMIFS($L:$L,$C:$C,$C859,$D:$D,"P0(전)"))</f>
        <v/>
      </c>
      <c r="P859" s="45">
        <f>IF(COUNTIFS($C:$C,$C859,$D:$D,"P0(후)",$L:$L,"&gt;0")&lt;&gt;1,"",SUMIFS($H:$H,$C:$C,$C859,$D:$D,"P0(후)"))</f>
        <v/>
      </c>
      <c r="Q859" s="30">
        <f>IF(COUNTIFS($C:$C,$C859,$D:$D,"P0(후)",$L:$L,"&gt;0")&lt;&gt;1,"",SUMIFS($L:$L,$C:$C,$C859,$D:$D,"P0(후)"))</f>
        <v/>
      </c>
      <c r="R859" s="30">
        <f>IF(M859&lt;&gt;"OK","",O859+(Q859-O859)*(H859-N859)/(P859-N859))</f>
        <v/>
      </c>
      <c r="S859" s="30">
        <f>IF(OR(M859&lt;&gt;"OK",NOT(ISNUMBER(L859))),"",L859-R859)</f>
        <v/>
      </c>
      <c r="T859" s="46">
        <f>IF(OR(NOT(ISNUMBER(S859)),IF(ISNUMBER(G859),G859,F859)=0),"",S859/IF(ISNUMBER(G859),G859,F859))</f>
        <v/>
      </c>
      <c r="U859" s="46">
        <f>IF(ISNUMBER(T859),ABS(T859),"")</f>
        <v/>
      </c>
      <c r="V859" s="46">
        <f>IF(OR($D858&lt;&gt;"측정",$C858&lt;&gt;$C859,NOT(ISNUMBER(L859)),NOT(ISNUMBER(L858)),(IF(ISNUMBER(G859),G859,F859)-IF(ISNUMBER(G858),G858,F858))=0),"",(L859-L858)/(IF(ISNUMBER(G859),G859,F859)-IF(ISNUMBER(G858),G858,F858)))</f>
        <v/>
      </c>
      <c r="W859" s="30">
        <f>IF(NOT(AND(ISNUMBER(N859),ISNUMBER(P859))),"",(P859-N859)*1440)</f>
        <v/>
      </c>
      <c r="X859" s="28" t="n"/>
      <c r="Y859" s="28" t="n"/>
      <c r="Z859" s="28" t="n"/>
      <c r="AA859" s="31" t="n"/>
      <c r="AB859" s="31" t="n"/>
    </row>
    <row r="860">
      <c r="A860" s="25" t="inlineStr">
        <is>
          <t>S17</t>
        </is>
      </c>
      <c r="B860" s="25" t="inlineStr">
        <is>
          <t>영양 신규점4</t>
        </is>
      </c>
      <c r="C860" s="25" t="inlineStr">
        <is>
          <t>S17-H서</t>
        </is>
      </c>
      <c r="D860" s="25" t="inlineStr">
        <is>
          <t>측정</t>
        </is>
      </c>
      <c r="E860" s="25" t="inlineStr">
        <is>
          <t>서</t>
        </is>
      </c>
      <c r="F860" s="30" t="n">
        <v>9</v>
      </c>
      <c r="G860" s="29" t="n"/>
      <c r="H860" s="42" t="n"/>
      <c r="I860" s="40" t="n"/>
      <c r="J860" s="40" t="n"/>
      <c r="K860" s="40" t="n"/>
      <c r="L860" s="30">
        <f>IF(COUNT(I860:K860)=0,"",MEDIAN(I860:K860))</f>
        <v/>
      </c>
      <c r="M860" s="25">
        <f>IF(COUNTIFS($C:$C,$C860,$D:$D,"P0(전)",$L:$L,"&gt;0")&lt;&gt;1,"P0(전) 유효 1개 아님",IF(COUNTIFS($C:$C,$C860,$D:$D,"P0(후)",$L:$L,"&gt;0")&lt;&gt;1,"P0(후) 유효 1개 아님",IF(NOT(AND(ISNUMBER(N860),ISNUMBER(P860),ISNUMBER(H860))),"시각 결측",IF(P860&lt;=N860,"P0 시각 역전",IF(OR(H860&lt;N860,H860&gt;P860),"측정시각 구간 밖","OK")))))</f>
        <v/>
      </c>
      <c r="N860" s="45">
        <f>IF(COUNTIFS($C:$C,$C860,$D:$D,"P0(전)",$L:$L,"&gt;0")&lt;&gt;1,"",SUMIFS($H:$H,$C:$C,$C860,$D:$D,"P0(전)"))</f>
        <v/>
      </c>
      <c r="O860" s="30">
        <f>IF(COUNTIFS($C:$C,$C860,$D:$D,"P0(전)",$L:$L,"&gt;0")&lt;&gt;1,"",SUMIFS($L:$L,$C:$C,$C860,$D:$D,"P0(전)"))</f>
        <v/>
      </c>
      <c r="P860" s="45">
        <f>IF(COUNTIFS($C:$C,$C860,$D:$D,"P0(후)",$L:$L,"&gt;0")&lt;&gt;1,"",SUMIFS($H:$H,$C:$C,$C860,$D:$D,"P0(후)"))</f>
        <v/>
      </c>
      <c r="Q860" s="30">
        <f>IF(COUNTIFS($C:$C,$C860,$D:$D,"P0(후)",$L:$L,"&gt;0")&lt;&gt;1,"",SUMIFS($L:$L,$C:$C,$C860,$D:$D,"P0(후)"))</f>
        <v/>
      </c>
      <c r="R860" s="30">
        <f>IF(M860&lt;&gt;"OK","",O860+(Q860-O860)*(H860-N860)/(P860-N860))</f>
        <v/>
      </c>
      <c r="S860" s="30">
        <f>IF(OR(M860&lt;&gt;"OK",NOT(ISNUMBER(L860))),"",L860-R860)</f>
        <v/>
      </c>
      <c r="T860" s="46">
        <f>IF(OR(NOT(ISNUMBER(S860)),IF(ISNUMBER(G860),G860,F860)=0),"",S860/IF(ISNUMBER(G860),G860,F860))</f>
        <v/>
      </c>
      <c r="U860" s="46">
        <f>IF(ISNUMBER(T860),ABS(T860),"")</f>
        <v/>
      </c>
      <c r="V860" s="46">
        <f>IF(OR($D859&lt;&gt;"측정",$C859&lt;&gt;$C860,NOT(ISNUMBER(L860)),NOT(ISNUMBER(L859)),(IF(ISNUMBER(G860),G860,F860)-IF(ISNUMBER(G859),G859,F859))=0),"",(L860-L859)/(IF(ISNUMBER(G860),G860,F860)-IF(ISNUMBER(G859),G859,F859)))</f>
        <v/>
      </c>
      <c r="W860" s="30">
        <f>IF(NOT(AND(ISNUMBER(N860),ISNUMBER(P860))),"",(P860-N860)*1440)</f>
        <v/>
      </c>
      <c r="X860" s="28" t="n"/>
      <c r="Y860" s="28" t="n"/>
      <c r="Z860" s="28" t="n"/>
      <c r="AA860" s="31" t="n"/>
      <c r="AB860" s="31" t="n"/>
    </row>
    <row r="861">
      <c r="A861" s="25" t="inlineStr">
        <is>
          <t>S17</t>
        </is>
      </c>
      <c r="B861" s="25" t="inlineStr">
        <is>
          <t>영양 신규점4</t>
        </is>
      </c>
      <c r="C861" s="25" t="inlineStr">
        <is>
          <t>S17-H서</t>
        </is>
      </c>
      <c r="D861" s="25" t="inlineStr">
        <is>
          <t>측정</t>
        </is>
      </c>
      <c r="E861" s="25" t="inlineStr">
        <is>
          <t>서</t>
        </is>
      </c>
      <c r="F861" s="30" t="n">
        <v>10</v>
      </c>
      <c r="G861" s="29" t="n"/>
      <c r="H861" s="42" t="n"/>
      <c r="I861" s="40" t="n"/>
      <c r="J861" s="40" t="n"/>
      <c r="K861" s="40" t="n"/>
      <c r="L861" s="30">
        <f>IF(COUNT(I861:K861)=0,"",MEDIAN(I861:K861))</f>
        <v/>
      </c>
      <c r="M861" s="25">
        <f>IF(COUNTIFS($C:$C,$C861,$D:$D,"P0(전)",$L:$L,"&gt;0")&lt;&gt;1,"P0(전) 유효 1개 아님",IF(COUNTIFS($C:$C,$C861,$D:$D,"P0(후)",$L:$L,"&gt;0")&lt;&gt;1,"P0(후) 유효 1개 아님",IF(NOT(AND(ISNUMBER(N861),ISNUMBER(P861),ISNUMBER(H861))),"시각 결측",IF(P861&lt;=N861,"P0 시각 역전",IF(OR(H861&lt;N861,H861&gt;P861),"측정시각 구간 밖","OK")))))</f>
        <v/>
      </c>
      <c r="N861" s="45">
        <f>IF(COUNTIFS($C:$C,$C861,$D:$D,"P0(전)",$L:$L,"&gt;0")&lt;&gt;1,"",SUMIFS($H:$H,$C:$C,$C861,$D:$D,"P0(전)"))</f>
        <v/>
      </c>
      <c r="O861" s="30">
        <f>IF(COUNTIFS($C:$C,$C861,$D:$D,"P0(전)",$L:$L,"&gt;0")&lt;&gt;1,"",SUMIFS($L:$L,$C:$C,$C861,$D:$D,"P0(전)"))</f>
        <v/>
      </c>
      <c r="P861" s="45">
        <f>IF(COUNTIFS($C:$C,$C861,$D:$D,"P0(후)",$L:$L,"&gt;0")&lt;&gt;1,"",SUMIFS($H:$H,$C:$C,$C861,$D:$D,"P0(후)"))</f>
        <v/>
      </c>
      <c r="Q861" s="30">
        <f>IF(COUNTIFS($C:$C,$C861,$D:$D,"P0(후)",$L:$L,"&gt;0")&lt;&gt;1,"",SUMIFS($L:$L,$C:$C,$C861,$D:$D,"P0(후)"))</f>
        <v/>
      </c>
      <c r="R861" s="30">
        <f>IF(M861&lt;&gt;"OK","",O861+(Q861-O861)*(H861-N861)/(P861-N861))</f>
        <v/>
      </c>
      <c r="S861" s="30">
        <f>IF(OR(M861&lt;&gt;"OK",NOT(ISNUMBER(L861))),"",L861-R861)</f>
        <v/>
      </c>
      <c r="T861" s="46">
        <f>IF(OR(NOT(ISNUMBER(S861)),IF(ISNUMBER(G861),G861,F861)=0),"",S861/IF(ISNUMBER(G861),G861,F861))</f>
        <v/>
      </c>
      <c r="U861" s="46">
        <f>IF(ISNUMBER(T861),ABS(T861),"")</f>
        <v/>
      </c>
      <c r="V861" s="46">
        <f>IF(OR($D860&lt;&gt;"측정",$C860&lt;&gt;$C861,NOT(ISNUMBER(L861)),NOT(ISNUMBER(L860)),(IF(ISNUMBER(G861),G861,F861)-IF(ISNUMBER(G860),G860,F860))=0),"",(L861-L860)/(IF(ISNUMBER(G861),G861,F861)-IF(ISNUMBER(G860),G860,F860)))</f>
        <v/>
      </c>
      <c r="W861" s="30">
        <f>IF(NOT(AND(ISNUMBER(N861),ISNUMBER(P861))),"",(P861-N861)*1440)</f>
        <v/>
      </c>
      <c r="X861" s="28" t="n"/>
      <c r="Y861" s="28" t="n"/>
      <c r="Z861" s="28" t="n"/>
      <c r="AA861" s="31" t="n"/>
      <c r="AB861" s="31" t="n"/>
    </row>
    <row r="862">
      <c r="A862" s="43" t="inlineStr">
        <is>
          <t>S17</t>
        </is>
      </c>
      <c r="B862" s="43" t="inlineStr">
        <is>
          <t>영양 신규점4</t>
        </is>
      </c>
      <c r="C862" s="43" t="inlineStr">
        <is>
          <t>S17-H서</t>
        </is>
      </c>
      <c r="D862" s="43" t="inlineStr">
        <is>
          <t>P0(후)</t>
        </is>
      </c>
      <c r="E862" s="43" t="inlineStr">
        <is>
          <t>서</t>
        </is>
      </c>
      <c r="F862" s="44" t="n"/>
      <c r="G862" s="29" t="n"/>
      <c r="H862" s="42" t="n"/>
      <c r="I862" s="40" t="n"/>
      <c r="J862" s="40" t="n"/>
      <c r="K862" s="40" t="n"/>
      <c r="L862" s="30">
        <f>IF(COUNT(I862:K862)=0,"",MEDIAN(I862:K862))</f>
        <v/>
      </c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28" t="n"/>
      <c r="Y862" s="28" t="n"/>
      <c r="Z862" s="28" t="n"/>
      <c r="AA862" s="31" t="n"/>
      <c r="AB862" s="31" t="n"/>
    </row>
    <row r="863">
      <c r="A863" s="43" t="inlineStr">
        <is>
          <t>S17</t>
        </is>
      </c>
      <c r="B863" s="43" t="inlineStr">
        <is>
          <t>영양 신규점4</t>
        </is>
      </c>
      <c r="C863" s="43" t="inlineStr">
        <is>
          <t>S17-H남</t>
        </is>
      </c>
      <c r="D863" s="43" t="inlineStr">
        <is>
          <t>P0(전)</t>
        </is>
      </c>
      <c r="E863" s="43" t="inlineStr">
        <is>
          <t>남</t>
        </is>
      </c>
      <c r="F863" s="44" t="n"/>
      <c r="G863" s="29" t="n"/>
      <c r="H863" s="42" t="n"/>
      <c r="I863" s="40" t="n"/>
      <c r="J863" s="40" t="n"/>
      <c r="K863" s="40" t="n"/>
      <c r="L863" s="30">
        <f>IF(COUNT(I863:K863)=0,"",MEDIAN(I863:K863))</f>
        <v/>
      </c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28" t="n"/>
      <c r="Y863" s="28" t="n"/>
      <c r="Z863" s="28" t="n"/>
      <c r="AA863" s="31" t="n"/>
      <c r="AB863" s="31" t="n"/>
    </row>
    <row r="864">
      <c r="A864" s="25" t="inlineStr">
        <is>
          <t>S17</t>
        </is>
      </c>
      <c r="B864" s="25" t="inlineStr">
        <is>
          <t>영양 신규점4</t>
        </is>
      </c>
      <c r="C864" s="25" t="inlineStr">
        <is>
          <t>S17-H남</t>
        </is>
      </c>
      <c r="D864" s="25" t="inlineStr">
        <is>
          <t>측정</t>
        </is>
      </c>
      <c r="E864" s="25" t="inlineStr">
        <is>
          <t>남</t>
        </is>
      </c>
      <c r="F864" s="30" t="n">
        <v>0.5</v>
      </c>
      <c r="G864" s="29" t="n"/>
      <c r="H864" s="42" t="n"/>
      <c r="I864" s="40" t="n"/>
      <c r="J864" s="40" t="n"/>
      <c r="K864" s="40" t="n"/>
      <c r="L864" s="30">
        <f>IF(COUNT(I864:K864)=0,"",MEDIAN(I864:K864))</f>
        <v/>
      </c>
      <c r="M864" s="25">
        <f>IF(COUNTIFS($C:$C,$C864,$D:$D,"P0(전)",$L:$L,"&gt;0")&lt;&gt;1,"P0(전) 유효 1개 아님",IF(COUNTIFS($C:$C,$C864,$D:$D,"P0(후)",$L:$L,"&gt;0")&lt;&gt;1,"P0(후) 유효 1개 아님",IF(NOT(AND(ISNUMBER(N864),ISNUMBER(P864),ISNUMBER(H864))),"시각 결측",IF(P864&lt;=N864,"P0 시각 역전",IF(OR(H864&lt;N864,H864&gt;P864),"측정시각 구간 밖","OK")))))</f>
        <v/>
      </c>
      <c r="N864" s="45">
        <f>IF(COUNTIFS($C:$C,$C864,$D:$D,"P0(전)",$L:$L,"&gt;0")&lt;&gt;1,"",SUMIFS($H:$H,$C:$C,$C864,$D:$D,"P0(전)"))</f>
        <v/>
      </c>
      <c r="O864" s="30">
        <f>IF(COUNTIFS($C:$C,$C864,$D:$D,"P0(전)",$L:$L,"&gt;0")&lt;&gt;1,"",SUMIFS($L:$L,$C:$C,$C864,$D:$D,"P0(전)"))</f>
        <v/>
      </c>
      <c r="P864" s="45">
        <f>IF(COUNTIFS($C:$C,$C864,$D:$D,"P0(후)",$L:$L,"&gt;0")&lt;&gt;1,"",SUMIFS($H:$H,$C:$C,$C864,$D:$D,"P0(후)"))</f>
        <v/>
      </c>
      <c r="Q864" s="30">
        <f>IF(COUNTIFS($C:$C,$C864,$D:$D,"P0(후)",$L:$L,"&gt;0")&lt;&gt;1,"",SUMIFS($L:$L,$C:$C,$C864,$D:$D,"P0(후)"))</f>
        <v/>
      </c>
      <c r="R864" s="30">
        <f>IF(M864&lt;&gt;"OK","",O864+(Q864-O864)*(H864-N864)/(P864-N864))</f>
        <v/>
      </c>
      <c r="S864" s="30">
        <f>IF(OR(M864&lt;&gt;"OK",NOT(ISNUMBER(L864))),"",L864-R864)</f>
        <v/>
      </c>
      <c r="T864" s="46">
        <f>IF(OR(NOT(ISNUMBER(S864)),IF(ISNUMBER(G864),G864,F864)=0),"",S864/IF(ISNUMBER(G864),G864,F864))</f>
        <v/>
      </c>
      <c r="U864" s="46">
        <f>IF(ISNUMBER(T864),ABS(T864),"")</f>
        <v/>
      </c>
      <c r="V864" s="46">
        <f>IF(OR($D863&lt;&gt;"측정",$C863&lt;&gt;$C864,NOT(ISNUMBER(L864)),NOT(ISNUMBER(L863)),(IF(ISNUMBER(G864),G864,F864)-IF(ISNUMBER(G863),G863,F863))=0),"",(L864-L863)/(IF(ISNUMBER(G864),G864,F864)-IF(ISNUMBER(G863),G863,F863)))</f>
        <v/>
      </c>
      <c r="W864" s="30">
        <f>IF(NOT(AND(ISNUMBER(N864),ISNUMBER(P864))),"",(P864-N864)*1440)</f>
        <v/>
      </c>
      <c r="X864" s="28" t="n"/>
      <c r="Y864" s="28" t="n"/>
      <c r="Z864" s="28" t="n"/>
      <c r="AA864" s="31" t="n"/>
      <c r="AB864" s="31" t="n"/>
    </row>
    <row r="865">
      <c r="A865" s="25" t="inlineStr">
        <is>
          <t>S17</t>
        </is>
      </c>
      <c r="B865" s="25" t="inlineStr">
        <is>
          <t>영양 신규점4</t>
        </is>
      </c>
      <c r="C865" s="25" t="inlineStr">
        <is>
          <t>S17-H남</t>
        </is>
      </c>
      <c r="D865" s="25" t="inlineStr">
        <is>
          <t>측정</t>
        </is>
      </c>
      <c r="E865" s="25" t="inlineStr">
        <is>
          <t>남</t>
        </is>
      </c>
      <c r="F865" s="30" t="n">
        <v>1</v>
      </c>
      <c r="G865" s="29" t="n"/>
      <c r="H865" s="42" t="n"/>
      <c r="I865" s="40" t="n"/>
      <c r="J865" s="40" t="n"/>
      <c r="K865" s="40" t="n"/>
      <c r="L865" s="30">
        <f>IF(COUNT(I865:K865)=0,"",MEDIAN(I865:K865))</f>
        <v/>
      </c>
      <c r="M865" s="25">
        <f>IF(COUNTIFS($C:$C,$C865,$D:$D,"P0(전)",$L:$L,"&gt;0")&lt;&gt;1,"P0(전) 유효 1개 아님",IF(COUNTIFS($C:$C,$C865,$D:$D,"P0(후)",$L:$L,"&gt;0")&lt;&gt;1,"P0(후) 유효 1개 아님",IF(NOT(AND(ISNUMBER(N865),ISNUMBER(P865),ISNUMBER(H865))),"시각 결측",IF(P865&lt;=N865,"P0 시각 역전",IF(OR(H865&lt;N865,H865&gt;P865),"측정시각 구간 밖","OK")))))</f>
        <v/>
      </c>
      <c r="N865" s="45">
        <f>IF(COUNTIFS($C:$C,$C865,$D:$D,"P0(전)",$L:$L,"&gt;0")&lt;&gt;1,"",SUMIFS($H:$H,$C:$C,$C865,$D:$D,"P0(전)"))</f>
        <v/>
      </c>
      <c r="O865" s="30">
        <f>IF(COUNTIFS($C:$C,$C865,$D:$D,"P0(전)",$L:$L,"&gt;0")&lt;&gt;1,"",SUMIFS($L:$L,$C:$C,$C865,$D:$D,"P0(전)"))</f>
        <v/>
      </c>
      <c r="P865" s="45">
        <f>IF(COUNTIFS($C:$C,$C865,$D:$D,"P0(후)",$L:$L,"&gt;0")&lt;&gt;1,"",SUMIFS($H:$H,$C:$C,$C865,$D:$D,"P0(후)"))</f>
        <v/>
      </c>
      <c r="Q865" s="30">
        <f>IF(COUNTIFS($C:$C,$C865,$D:$D,"P0(후)",$L:$L,"&gt;0")&lt;&gt;1,"",SUMIFS($L:$L,$C:$C,$C865,$D:$D,"P0(후)"))</f>
        <v/>
      </c>
      <c r="R865" s="30">
        <f>IF(M865&lt;&gt;"OK","",O865+(Q865-O865)*(H865-N865)/(P865-N865))</f>
        <v/>
      </c>
      <c r="S865" s="30">
        <f>IF(OR(M865&lt;&gt;"OK",NOT(ISNUMBER(L865))),"",L865-R865)</f>
        <v/>
      </c>
      <c r="T865" s="46">
        <f>IF(OR(NOT(ISNUMBER(S865)),IF(ISNUMBER(G865),G865,F865)=0),"",S865/IF(ISNUMBER(G865),G865,F865))</f>
        <v/>
      </c>
      <c r="U865" s="46">
        <f>IF(ISNUMBER(T865),ABS(T865),"")</f>
        <v/>
      </c>
      <c r="V865" s="46">
        <f>IF(OR($D864&lt;&gt;"측정",$C864&lt;&gt;$C865,NOT(ISNUMBER(L865)),NOT(ISNUMBER(L864)),(IF(ISNUMBER(G865),G865,F865)-IF(ISNUMBER(G864),G864,F864))=0),"",(L865-L864)/(IF(ISNUMBER(G865),G865,F865)-IF(ISNUMBER(G864),G864,F864)))</f>
        <v/>
      </c>
      <c r="W865" s="30">
        <f>IF(NOT(AND(ISNUMBER(N865),ISNUMBER(P865))),"",(P865-N865)*1440)</f>
        <v/>
      </c>
      <c r="X865" s="28" t="n"/>
      <c r="Y865" s="28" t="n"/>
      <c r="Z865" s="28" t="n"/>
      <c r="AA865" s="31" t="n"/>
      <c r="AB865" s="31" t="n"/>
    </row>
    <row r="866">
      <c r="A866" s="25" t="inlineStr">
        <is>
          <t>S17</t>
        </is>
      </c>
      <c r="B866" s="25" t="inlineStr">
        <is>
          <t>영양 신규점4</t>
        </is>
      </c>
      <c r="C866" s="25" t="inlineStr">
        <is>
          <t>S17-H남</t>
        </is>
      </c>
      <c r="D866" s="25" t="inlineStr">
        <is>
          <t>측정</t>
        </is>
      </c>
      <c r="E866" s="25" t="inlineStr">
        <is>
          <t>남</t>
        </is>
      </c>
      <c r="F866" s="30" t="n">
        <v>2</v>
      </c>
      <c r="G866" s="29" t="n"/>
      <c r="H866" s="42" t="n"/>
      <c r="I866" s="40" t="n"/>
      <c r="J866" s="40" t="n"/>
      <c r="K866" s="40" t="n"/>
      <c r="L866" s="30">
        <f>IF(COUNT(I866:K866)=0,"",MEDIAN(I866:K866))</f>
        <v/>
      </c>
      <c r="M866" s="25">
        <f>IF(COUNTIFS($C:$C,$C866,$D:$D,"P0(전)",$L:$L,"&gt;0")&lt;&gt;1,"P0(전) 유효 1개 아님",IF(COUNTIFS($C:$C,$C866,$D:$D,"P0(후)",$L:$L,"&gt;0")&lt;&gt;1,"P0(후) 유효 1개 아님",IF(NOT(AND(ISNUMBER(N866),ISNUMBER(P866),ISNUMBER(H866))),"시각 결측",IF(P866&lt;=N866,"P0 시각 역전",IF(OR(H866&lt;N866,H866&gt;P866),"측정시각 구간 밖","OK")))))</f>
        <v/>
      </c>
      <c r="N866" s="45">
        <f>IF(COUNTIFS($C:$C,$C866,$D:$D,"P0(전)",$L:$L,"&gt;0")&lt;&gt;1,"",SUMIFS($H:$H,$C:$C,$C866,$D:$D,"P0(전)"))</f>
        <v/>
      </c>
      <c r="O866" s="30">
        <f>IF(COUNTIFS($C:$C,$C866,$D:$D,"P0(전)",$L:$L,"&gt;0")&lt;&gt;1,"",SUMIFS($L:$L,$C:$C,$C866,$D:$D,"P0(전)"))</f>
        <v/>
      </c>
      <c r="P866" s="45">
        <f>IF(COUNTIFS($C:$C,$C866,$D:$D,"P0(후)",$L:$L,"&gt;0")&lt;&gt;1,"",SUMIFS($H:$H,$C:$C,$C866,$D:$D,"P0(후)"))</f>
        <v/>
      </c>
      <c r="Q866" s="30">
        <f>IF(COUNTIFS($C:$C,$C866,$D:$D,"P0(후)",$L:$L,"&gt;0")&lt;&gt;1,"",SUMIFS($L:$L,$C:$C,$C866,$D:$D,"P0(후)"))</f>
        <v/>
      </c>
      <c r="R866" s="30">
        <f>IF(M866&lt;&gt;"OK","",O866+(Q866-O866)*(H866-N866)/(P866-N866))</f>
        <v/>
      </c>
      <c r="S866" s="30">
        <f>IF(OR(M866&lt;&gt;"OK",NOT(ISNUMBER(L866))),"",L866-R866)</f>
        <v/>
      </c>
      <c r="T866" s="46">
        <f>IF(OR(NOT(ISNUMBER(S866)),IF(ISNUMBER(G866),G866,F866)=0),"",S866/IF(ISNUMBER(G866),G866,F866))</f>
        <v/>
      </c>
      <c r="U866" s="46">
        <f>IF(ISNUMBER(T866),ABS(T866),"")</f>
        <v/>
      </c>
      <c r="V866" s="46">
        <f>IF(OR($D865&lt;&gt;"측정",$C865&lt;&gt;$C866,NOT(ISNUMBER(L866)),NOT(ISNUMBER(L865)),(IF(ISNUMBER(G866),G866,F866)-IF(ISNUMBER(G865),G865,F865))=0),"",(L866-L865)/(IF(ISNUMBER(G866),G866,F866)-IF(ISNUMBER(G865),G865,F865)))</f>
        <v/>
      </c>
      <c r="W866" s="30">
        <f>IF(NOT(AND(ISNUMBER(N866),ISNUMBER(P866))),"",(P866-N866)*1440)</f>
        <v/>
      </c>
      <c r="X866" s="28" t="n"/>
      <c r="Y866" s="28" t="n"/>
      <c r="Z866" s="28" t="n"/>
      <c r="AA866" s="31" t="n"/>
      <c r="AB866" s="31" t="n"/>
    </row>
    <row r="867">
      <c r="A867" s="25" t="inlineStr">
        <is>
          <t>S17</t>
        </is>
      </c>
      <c r="B867" s="25" t="inlineStr">
        <is>
          <t>영양 신규점4</t>
        </is>
      </c>
      <c r="C867" s="25" t="inlineStr">
        <is>
          <t>S17-H남</t>
        </is>
      </c>
      <c r="D867" s="25" t="inlineStr">
        <is>
          <t>측정</t>
        </is>
      </c>
      <c r="E867" s="25" t="inlineStr">
        <is>
          <t>남</t>
        </is>
      </c>
      <c r="F867" s="30" t="n">
        <v>3</v>
      </c>
      <c r="G867" s="29" t="n"/>
      <c r="H867" s="42" t="n"/>
      <c r="I867" s="40" t="n"/>
      <c r="J867" s="40" t="n"/>
      <c r="K867" s="40" t="n"/>
      <c r="L867" s="30">
        <f>IF(COUNT(I867:K867)=0,"",MEDIAN(I867:K867))</f>
        <v/>
      </c>
      <c r="M867" s="25">
        <f>IF(COUNTIFS($C:$C,$C867,$D:$D,"P0(전)",$L:$L,"&gt;0")&lt;&gt;1,"P0(전) 유효 1개 아님",IF(COUNTIFS($C:$C,$C867,$D:$D,"P0(후)",$L:$L,"&gt;0")&lt;&gt;1,"P0(후) 유효 1개 아님",IF(NOT(AND(ISNUMBER(N867),ISNUMBER(P867),ISNUMBER(H867))),"시각 결측",IF(P867&lt;=N867,"P0 시각 역전",IF(OR(H867&lt;N867,H867&gt;P867),"측정시각 구간 밖","OK")))))</f>
        <v/>
      </c>
      <c r="N867" s="45">
        <f>IF(COUNTIFS($C:$C,$C867,$D:$D,"P0(전)",$L:$L,"&gt;0")&lt;&gt;1,"",SUMIFS($H:$H,$C:$C,$C867,$D:$D,"P0(전)"))</f>
        <v/>
      </c>
      <c r="O867" s="30">
        <f>IF(COUNTIFS($C:$C,$C867,$D:$D,"P0(전)",$L:$L,"&gt;0")&lt;&gt;1,"",SUMIFS($L:$L,$C:$C,$C867,$D:$D,"P0(전)"))</f>
        <v/>
      </c>
      <c r="P867" s="45">
        <f>IF(COUNTIFS($C:$C,$C867,$D:$D,"P0(후)",$L:$L,"&gt;0")&lt;&gt;1,"",SUMIFS($H:$H,$C:$C,$C867,$D:$D,"P0(후)"))</f>
        <v/>
      </c>
      <c r="Q867" s="30">
        <f>IF(COUNTIFS($C:$C,$C867,$D:$D,"P0(후)",$L:$L,"&gt;0")&lt;&gt;1,"",SUMIFS($L:$L,$C:$C,$C867,$D:$D,"P0(후)"))</f>
        <v/>
      </c>
      <c r="R867" s="30">
        <f>IF(M867&lt;&gt;"OK","",O867+(Q867-O867)*(H867-N867)/(P867-N867))</f>
        <v/>
      </c>
      <c r="S867" s="30">
        <f>IF(OR(M867&lt;&gt;"OK",NOT(ISNUMBER(L867))),"",L867-R867)</f>
        <v/>
      </c>
      <c r="T867" s="46">
        <f>IF(OR(NOT(ISNUMBER(S867)),IF(ISNUMBER(G867),G867,F867)=0),"",S867/IF(ISNUMBER(G867),G867,F867))</f>
        <v/>
      </c>
      <c r="U867" s="46">
        <f>IF(ISNUMBER(T867),ABS(T867),"")</f>
        <v/>
      </c>
      <c r="V867" s="46">
        <f>IF(OR($D866&lt;&gt;"측정",$C866&lt;&gt;$C867,NOT(ISNUMBER(L867)),NOT(ISNUMBER(L866)),(IF(ISNUMBER(G867),G867,F867)-IF(ISNUMBER(G866),G866,F866))=0),"",(L867-L866)/(IF(ISNUMBER(G867),G867,F867)-IF(ISNUMBER(G866),G866,F866)))</f>
        <v/>
      </c>
      <c r="W867" s="30">
        <f>IF(NOT(AND(ISNUMBER(N867),ISNUMBER(P867))),"",(P867-N867)*1440)</f>
        <v/>
      </c>
      <c r="X867" s="28" t="n"/>
      <c r="Y867" s="28" t="n"/>
      <c r="Z867" s="28" t="n"/>
      <c r="AA867" s="31" t="n"/>
      <c r="AB867" s="31" t="n"/>
    </row>
    <row r="868">
      <c r="A868" s="25" t="inlineStr">
        <is>
          <t>S17</t>
        </is>
      </c>
      <c r="B868" s="25" t="inlineStr">
        <is>
          <t>영양 신규점4</t>
        </is>
      </c>
      <c r="C868" s="25" t="inlineStr">
        <is>
          <t>S17-H남</t>
        </is>
      </c>
      <c r="D868" s="25" t="inlineStr">
        <is>
          <t>측정</t>
        </is>
      </c>
      <c r="E868" s="25" t="inlineStr">
        <is>
          <t>남</t>
        </is>
      </c>
      <c r="F868" s="30" t="n">
        <v>4</v>
      </c>
      <c r="G868" s="29" t="n"/>
      <c r="H868" s="42" t="n"/>
      <c r="I868" s="40" t="n"/>
      <c r="J868" s="40" t="n"/>
      <c r="K868" s="40" t="n"/>
      <c r="L868" s="30">
        <f>IF(COUNT(I868:K868)=0,"",MEDIAN(I868:K868))</f>
        <v/>
      </c>
      <c r="M868" s="25">
        <f>IF(COUNTIFS($C:$C,$C868,$D:$D,"P0(전)",$L:$L,"&gt;0")&lt;&gt;1,"P0(전) 유효 1개 아님",IF(COUNTIFS($C:$C,$C868,$D:$D,"P0(후)",$L:$L,"&gt;0")&lt;&gt;1,"P0(후) 유효 1개 아님",IF(NOT(AND(ISNUMBER(N868),ISNUMBER(P868),ISNUMBER(H868))),"시각 결측",IF(P868&lt;=N868,"P0 시각 역전",IF(OR(H868&lt;N868,H868&gt;P868),"측정시각 구간 밖","OK")))))</f>
        <v/>
      </c>
      <c r="N868" s="45">
        <f>IF(COUNTIFS($C:$C,$C868,$D:$D,"P0(전)",$L:$L,"&gt;0")&lt;&gt;1,"",SUMIFS($H:$H,$C:$C,$C868,$D:$D,"P0(전)"))</f>
        <v/>
      </c>
      <c r="O868" s="30">
        <f>IF(COUNTIFS($C:$C,$C868,$D:$D,"P0(전)",$L:$L,"&gt;0")&lt;&gt;1,"",SUMIFS($L:$L,$C:$C,$C868,$D:$D,"P0(전)"))</f>
        <v/>
      </c>
      <c r="P868" s="45">
        <f>IF(COUNTIFS($C:$C,$C868,$D:$D,"P0(후)",$L:$L,"&gt;0")&lt;&gt;1,"",SUMIFS($H:$H,$C:$C,$C868,$D:$D,"P0(후)"))</f>
        <v/>
      </c>
      <c r="Q868" s="30">
        <f>IF(COUNTIFS($C:$C,$C868,$D:$D,"P0(후)",$L:$L,"&gt;0")&lt;&gt;1,"",SUMIFS($L:$L,$C:$C,$C868,$D:$D,"P0(후)"))</f>
        <v/>
      </c>
      <c r="R868" s="30">
        <f>IF(M868&lt;&gt;"OK","",O868+(Q868-O868)*(H868-N868)/(P868-N868))</f>
        <v/>
      </c>
      <c r="S868" s="30">
        <f>IF(OR(M868&lt;&gt;"OK",NOT(ISNUMBER(L868))),"",L868-R868)</f>
        <v/>
      </c>
      <c r="T868" s="46">
        <f>IF(OR(NOT(ISNUMBER(S868)),IF(ISNUMBER(G868),G868,F868)=0),"",S868/IF(ISNUMBER(G868),G868,F868))</f>
        <v/>
      </c>
      <c r="U868" s="46">
        <f>IF(ISNUMBER(T868),ABS(T868),"")</f>
        <v/>
      </c>
      <c r="V868" s="46">
        <f>IF(OR($D867&lt;&gt;"측정",$C867&lt;&gt;$C868,NOT(ISNUMBER(L868)),NOT(ISNUMBER(L867)),(IF(ISNUMBER(G868),G868,F868)-IF(ISNUMBER(G867),G867,F867))=0),"",(L868-L867)/(IF(ISNUMBER(G868),G868,F868)-IF(ISNUMBER(G867),G867,F867)))</f>
        <v/>
      </c>
      <c r="W868" s="30">
        <f>IF(NOT(AND(ISNUMBER(N868),ISNUMBER(P868))),"",(P868-N868)*1440)</f>
        <v/>
      </c>
      <c r="X868" s="28" t="n"/>
      <c r="Y868" s="28" t="n"/>
      <c r="Z868" s="28" t="n"/>
      <c r="AA868" s="31" t="n"/>
      <c r="AB868" s="31" t="n"/>
    </row>
    <row r="869">
      <c r="A869" s="25" t="inlineStr">
        <is>
          <t>S17</t>
        </is>
      </c>
      <c r="B869" s="25" t="inlineStr">
        <is>
          <t>영양 신규점4</t>
        </is>
      </c>
      <c r="C869" s="25" t="inlineStr">
        <is>
          <t>S17-H남</t>
        </is>
      </c>
      <c r="D869" s="25" t="inlineStr">
        <is>
          <t>측정</t>
        </is>
      </c>
      <c r="E869" s="25" t="inlineStr">
        <is>
          <t>남</t>
        </is>
      </c>
      <c r="F869" s="30" t="n">
        <v>5</v>
      </c>
      <c r="G869" s="29" t="n"/>
      <c r="H869" s="42" t="n"/>
      <c r="I869" s="40" t="n"/>
      <c r="J869" s="40" t="n"/>
      <c r="K869" s="40" t="n"/>
      <c r="L869" s="30">
        <f>IF(COUNT(I869:K869)=0,"",MEDIAN(I869:K869))</f>
        <v/>
      </c>
      <c r="M869" s="25">
        <f>IF(COUNTIFS($C:$C,$C869,$D:$D,"P0(전)",$L:$L,"&gt;0")&lt;&gt;1,"P0(전) 유효 1개 아님",IF(COUNTIFS($C:$C,$C869,$D:$D,"P0(후)",$L:$L,"&gt;0")&lt;&gt;1,"P0(후) 유효 1개 아님",IF(NOT(AND(ISNUMBER(N869),ISNUMBER(P869),ISNUMBER(H869))),"시각 결측",IF(P869&lt;=N869,"P0 시각 역전",IF(OR(H869&lt;N869,H869&gt;P869),"측정시각 구간 밖","OK")))))</f>
        <v/>
      </c>
      <c r="N869" s="45">
        <f>IF(COUNTIFS($C:$C,$C869,$D:$D,"P0(전)",$L:$L,"&gt;0")&lt;&gt;1,"",SUMIFS($H:$H,$C:$C,$C869,$D:$D,"P0(전)"))</f>
        <v/>
      </c>
      <c r="O869" s="30">
        <f>IF(COUNTIFS($C:$C,$C869,$D:$D,"P0(전)",$L:$L,"&gt;0")&lt;&gt;1,"",SUMIFS($L:$L,$C:$C,$C869,$D:$D,"P0(전)"))</f>
        <v/>
      </c>
      <c r="P869" s="45">
        <f>IF(COUNTIFS($C:$C,$C869,$D:$D,"P0(후)",$L:$L,"&gt;0")&lt;&gt;1,"",SUMIFS($H:$H,$C:$C,$C869,$D:$D,"P0(후)"))</f>
        <v/>
      </c>
      <c r="Q869" s="30">
        <f>IF(COUNTIFS($C:$C,$C869,$D:$D,"P0(후)",$L:$L,"&gt;0")&lt;&gt;1,"",SUMIFS($L:$L,$C:$C,$C869,$D:$D,"P0(후)"))</f>
        <v/>
      </c>
      <c r="R869" s="30">
        <f>IF(M869&lt;&gt;"OK","",O869+(Q869-O869)*(H869-N869)/(P869-N869))</f>
        <v/>
      </c>
      <c r="S869" s="30">
        <f>IF(OR(M869&lt;&gt;"OK",NOT(ISNUMBER(L869))),"",L869-R869)</f>
        <v/>
      </c>
      <c r="T869" s="46">
        <f>IF(OR(NOT(ISNUMBER(S869)),IF(ISNUMBER(G869),G869,F869)=0),"",S869/IF(ISNUMBER(G869),G869,F869))</f>
        <v/>
      </c>
      <c r="U869" s="46">
        <f>IF(ISNUMBER(T869),ABS(T869),"")</f>
        <v/>
      </c>
      <c r="V869" s="46">
        <f>IF(OR($D868&lt;&gt;"측정",$C868&lt;&gt;$C869,NOT(ISNUMBER(L869)),NOT(ISNUMBER(L868)),(IF(ISNUMBER(G869),G869,F869)-IF(ISNUMBER(G868),G868,F868))=0),"",(L869-L868)/(IF(ISNUMBER(G869),G869,F869)-IF(ISNUMBER(G868),G868,F868)))</f>
        <v/>
      </c>
      <c r="W869" s="30">
        <f>IF(NOT(AND(ISNUMBER(N869),ISNUMBER(P869))),"",(P869-N869)*1440)</f>
        <v/>
      </c>
      <c r="X869" s="28" t="n"/>
      <c r="Y869" s="28" t="n"/>
      <c r="Z869" s="28" t="n"/>
      <c r="AA869" s="31" t="n"/>
      <c r="AB869" s="31" t="n"/>
    </row>
    <row r="870">
      <c r="A870" s="25" t="inlineStr">
        <is>
          <t>S17</t>
        </is>
      </c>
      <c r="B870" s="25" t="inlineStr">
        <is>
          <t>영양 신규점4</t>
        </is>
      </c>
      <c r="C870" s="25" t="inlineStr">
        <is>
          <t>S17-H남</t>
        </is>
      </c>
      <c r="D870" s="25" t="inlineStr">
        <is>
          <t>측정</t>
        </is>
      </c>
      <c r="E870" s="25" t="inlineStr">
        <is>
          <t>남</t>
        </is>
      </c>
      <c r="F870" s="30" t="n">
        <v>6</v>
      </c>
      <c r="G870" s="29" t="n"/>
      <c r="H870" s="42" t="n"/>
      <c r="I870" s="40" t="n"/>
      <c r="J870" s="40" t="n"/>
      <c r="K870" s="40" t="n"/>
      <c r="L870" s="30">
        <f>IF(COUNT(I870:K870)=0,"",MEDIAN(I870:K870))</f>
        <v/>
      </c>
      <c r="M870" s="25">
        <f>IF(COUNTIFS($C:$C,$C870,$D:$D,"P0(전)",$L:$L,"&gt;0")&lt;&gt;1,"P0(전) 유효 1개 아님",IF(COUNTIFS($C:$C,$C870,$D:$D,"P0(후)",$L:$L,"&gt;0")&lt;&gt;1,"P0(후) 유효 1개 아님",IF(NOT(AND(ISNUMBER(N870),ISNUMBER(P870),ISNUMBER(H870))),"시각 결측",IF(P870&lt;=N870,"P0 시각 역전",IF(OR(H870&lt;N870,H870&gt;P870),"측정시각 구간 밖","OK")))))</f>
        <v/>
      </c>
      <c r="N870" s="45">
        <f>IF(COUNTIFS($C:$C,$C870,$D:$D,"P0(전)",$L:$L,"&gt;0")&lt;&gt;1,"",SUMIFS($H:$H,$C:$C,$C870,$D:$D,"P0(전)"))</f>
        <v/>
      </c>
      <c r="O870" s="30">
        <f>IF(COUNTIFS($C:$C,$C870,$D:$D,"P0(전)",$L:$L,"&gt;0")&lt;&gt;1,"",SUMIFS($L:$L,$C:$C,$C870,$D:$D,"P0(전)"))</f>
        <v/>
      </c>
      <c r="P870" s="45">
        <f>IF(COUNTIFS($C:$C,$C870,$D:$D,"P0(후)",$L:$L,"&gt;0")&lt;&gt;1,"",SUMIFS($H:$H,$C:$C,$C870,$D:$D,"P0(후)"))</f>
        <v/>
      </c>
      <c r="Q870" s="30">
        <f>IF(COUNTIFS($C:$C,$C870,$D:$D,"P0(후)",$L:$L,"&gt;0")&lt;&gt;1,"",SUMIFS($L:$L,$C:$C,$C870,$D:$D,"P0(후)"))</f>
        <v/>
      </c>
      <c r="R870" s="30">
        <f>IF(M870&lt;&gt;"OK","",O870+(Q870-O870)*(H870-N870)/(P870-N870))</f>
        <v/>
      </c>
      <c r="S870" s="30">
        <f>IF(OR(M870&lt;&gt;"OK",NOT(ISNUMBER(L870))),"",L870-R870)</f>
        <v/>
      </c>
      <c r="T870" s="46">
        <f>IF(OR(NOT(ISNUMBER(S870)),IF(ISNUMBER(G870),G870,F870)=0),"",S870/IF(ISNUMBER(G870),G870,F870))</f>
        <v/>
      </c>
      <c r="U870" s="46">
        <f>IF(ISNUMBER(T870),ABS(T870),"")</f>
        <v/>
      </c>
      <c r="V870" s="46">
        <f>IF(OR($D869&lt;&gt;"측정",$C869&lt;&gt;$C870,NOT(ISNUMBER(L870)),NOT(ISNUMBER(L869)),(IF(ISNUMBER(G870),G870,F870)-IF(ISNUMBER(G869),G869,F869))=0),"",(L870-L869)/(IF(ISNUMBER(G870),G870,F870)-IF(ISNUMBER(G869),G869,F869)))</f>
        <v/>
      </c>
      <c r="W870" s="30">
        <f>IF(NOT(AND(ISNUMBER(N870),ISNUMBER(P870))),"",(P870-N870)*1440)</f>
        <v/>
      </c>
      <c r="X870" s="28" t="n"/>
      <c r="Y870" s="28" t="n"/>
      <c r="Z870" s="28" t="n"/>
      <c r="AA870" s="31" t="n"/>
      <c r="AB870" s="31" t="n"/>
    </row>
    <row r="871">
      <c r="A871" s="25" t="inlineStr">
        <is>
          <t>S17</t>
        </is>
      </c>
      <c r="B871" s="25" t="inlineStr">
        <is>
          <t>영양 신규점4</t>
        </is>
      </c>
      <c r="C871" s="25" t="inlineStr">
        <is>
          <t>S17-H남</t>
        </is>
      </c>
      <c r="D871" s="25" t="inlineStr">
        <is>
          <t>측정</t>
        </is>
      </c>
      <c r="E871" s="25" t="inlineStr">
        <is>
          <t>남</t>
        </is>
      </c>
      <c r="F871" s="30" t="n">
        <v>7</v>
      </c>
      <c r="G871" s="29" t="n"/>
      <c r="H871" s="42" t="n"/>
      <c r="I871" s="40" t="n"/>
      <c r="J871" s="40" t="n"/>
      <c r="K871" s="40" t="n"/>
      <c r="L871" s="30">
        <f>IF(COUNT(I871:K871)=0,"",MEDIAN(I871:K871))</f>
        <v/>
      </c>
      <c r="M871" s="25">
        <f>IF(COUNTIFS($C:$C,$C871,$D:$D,"P0(전)",$L:$L,"&gt;0")&lt;&gt;1,"P0(전) 유효 1개 아님",IF(COUNTIFS($C:$C,$C871,$D:$D,"P0(후)",$L:$L,"&gt;0")&lt;&gt;1,"P0(후) 유효 1개 아님",IF(NOT(AND(ISNUMBER(N871),ISNUMBER(P871),ISNUMBER(H871))),"시각 결측",IF(P871&lt;=N871,"P0 시각 역전",IF(OR(H871&lt;N871,H871&gt;P871),"측정시각 구간 밖","OK")))))</f>
        <v/>
      </c>
      <c r="N871" s="45">
        <f>IF(COUNTIFS($C:$C,$C871,$D:$D,"P0(전)",$L:$L,"&gt;0")&lt;&gt;1,"",SUMIFS($H:$H,$C:$C,$C871,$D:$D,"P0(전)"))</f>
        <v/>
      </c>
      <c r="O871" s="30">
        <f>IF(COUNTIFS($C:$C,$C871,$D:$D,"P0(전)",$L:$L,"&gt;0")&lt;&gt;1,"",SUMIFS($L:$L,$C:$C,$C871,$D:$D,"P0(전)"))</f>
        <v/>
      </c>
      <c r="P871" s="45">
        <f>IF(COUNTIFS($C:$C,$C871,$D:$D,"P0(후)",$L:$L,"&gt;0")&lt;&gt;1,"",SUMIFS($H:$H,$C:$C,$C871,$D:$D,"P0(후)"))</f>
        <v/>
      </c>
      <c r="Q871" s="30">
        <f>IF(COUNTIFS($C:$C,$C871,$D:$D,"P0(후)",$L:$L,"&gt;0")&lt;&gt;1,"",SUMIFS($L:$L,$C:$C,$C871,$D:$D,"P0(후)"))</f>
        <v/>
      </c>
      <c r="R871" s="30">
        <f>IF(M871&lt;&gt;"OK","",O871+(Q871-O871)*(H871-N871)/(P871-N871))</f>
        <v/>
      </c>
      <c r="S871" s="30">
        <f>IF(OR(M871&lt;&gt;"OK",NOT(ISNUMBER(L871))),"",L871-R871)</f>
        <v/>
      </c>
      <c r="T871" s="46">
        <f>IF(OR(NOT(ISNUMBER(S871)),IF(ISNUMBER(G871),G871,F871)=0),"",S871/IF(ISNUMBER(G871),G871,F871))</f>
        <v/>
      </c>
      <c r="U871" s="46">
        <f>IF(ISNUMBER(T871),ABS(T871),"")</f>
        <v/>
      </c>
      <c r="V871" s="46">
        <f>IF(OR($D870&lt;&gt;"측정",$C870&lt;&gt;$C871,NOT(ISNUMBER(L871)),NOT(ISNUMBER(L870)),(IF(ISNUMBER(G871),G871,F871)-IF(ISNUMBER(G870),G870,F870))=0),"",(L871-L870)/(IF(ISNUMBER(G871),G871,F871)-IF(ISNUMBER(G870),G870,F870)))</f>
        <v/>
      </c>
      <c r="W871" s="30">
        <f>IF(NOT(AND(ISNUMBER(N871),ISNUMBER(P871))),"",(P871-N871)*1440)</f>
        <v/>
      </c>
      <c r="X871" s="28" t="n"/>
      <c r="Y871" s="28" t="n"/>
      <c r="Z871" s="28" t="n"/>
      <c r="AA871" s="31" t="n"/>
      <c r="AB871" s="31" t="n"/>
    </row>
    <row r="872">
      <c r="A872" s="25" t="inlineStr">
        <is>
          <t>S17</t>
        </is>
      </c>
      <c r="B872" s="25" t="inlineStr">
        <is>
          <t>영양 신규점4</t>
        </is>
      </c>
      <c r="C872" s="25" t="inlineStr">
        <is>
          <t>S17-H남</t>
        </is>
      </c>
      <c r="D872" s="25" t="inlineStr">
        <is>
          <t>측정</t>
        </is>
      </c>
      <c r="E872" s="25" t="inlineStr">
        <is>
          <t>남</t>
        </is>
      </c>
      <c r="F872" s="30" t="n">
        <v>8</v>
      </c>
      <c r="G872" s="29" t="n"/>
      <c r="H872" s="42" t="n"/>
      <c r="I872" s="40" t="n"/>
      <c r="J872" s="40" t="n"/>
      <c r="K872" s="40" t="n"/>
      <c r="L872" s="30">
        <f>IF(COUNT(I872:K872)=0,"",MEDIAN(I872:K872))</f>
        <v/>
      </c>
      <c r="M872" s="25">
        <f>IF(COUNTIFS($C:$C,$C872,$D:$D,"P0(전)",$L:$L,"&gt;0")&lt;&gt;1,"P0(전) 유효 1개 아님",IF(COUNTIFS($C:$C,$C872,$D:$D,"P0(후)",$L:$L,"&gt;0")&lt;&gt;1,"P0(후) 유효 1개 아님",IF(NOT(AND(ISNUMBER(N872),ISNUMBER(P872),ISNUMBER(H872))),"시각 결측",IF(P872&lt;=N872,"P0 시각 역전",IF(OR(H872&lt;N872,H872&gt;P872),"측정시각 구간 밖","OK")))))</f>
        <v/>
      </c>
      <c r="N872" s="45">
        <f>IF(COUNTIFS($C:$C,$C872,$D:$D,"P0(전)",$L:$L,"&gt;0")&lt;&gt;1,"",SUMIFS($H:$H,$C:$C,$C872,$D:$D,"P0(전)"))</f>
        <v/>
      </c>
      <c r="O872" s="30">
        <f>IF(COUNTIFS($C:$C,$C872,$D:$D,"P0(전)",$L:$L,"&gt;0")&lt;&gt;1,"",SUMIFS($L:$L,$C:$C,$C872,$D:$D,"P0(전)"))</f>
        <v/>
      </c>
      <c r="P872" s="45">
        <f>IF(COUNTIFS($C:$C,$C872,$D:$D,"P0(후)",$L:$L,"&gt;0")&lt;&gt;1,"",SUMIFS($H:$H,$C:$C,$C872,$D:$D,"P0(후)"))</f>
        <v/>
      </c>
      <c r="Q872" s="30">
        <f>IF(COUNTIFS($C:$C,$C872,$D:$D,"P0(후)",$L:$L,"&gt;0")&lt;&gt;1,"",SUMIFS($L:$L,$C:$C,$C872,$D:$D,"P0(후)"))</f>
        <v/>
      </c>
      <c r="R872" s="30">
        <f>IF(M872&lt;&gt;"OK","",O872+(Q872-O872)*(H872-N872)/(P872-N872))</f>
        <v/>
      </c>
      <c r="S872" s="30">
        <f>IF(OR(M872&lt;&gt;"OK",NOT(ISNUMBER(L872))),"",L872-R872)</f>
        <v/>
      </c>
      <c r="T872" s="46">
        <f>IF(OR(NOT(ISNUMBER(S872)),IF(ISNUMBER(G872),G872,F872)=0),"",S872/IF(ISNUMBER(G872),G872,F872))</f>
        <v/>
      </c>
      <c r="U872" s="46">
        <f>IF(ISNUMBER(T872),ABS(T872),"")</f>
        <v/>
      </c>
      <c r="V872" s="46">
        <f>IF(OR($D871&lt;&gt;"측정",$C871&lt;&gt;$C872,NOT(ISNUMBER(L872)),NOT(ISNUMBER(L871)),(IF(ISNUMBER(G872),G872,F872)-IF(ISNUMBER(G871),G871,F871))=0),"",(L872-L871)/(IF(ISNUMBER(G872),G872,F872)-IF(ISNUMBER(G871),G871,F871)))</f>
        <v/>
      </c>
      <c r="W872" s="30">
        <f>IF(NOT(AND(ISNUMBER(N872),ISNUMBER(P872))),"",(P872-N872)*1440)</f>
        <v/>
      </c>
      <c r="X872" s="28" t="n"/>
      <c r="Y872" s="28" t="n"/>
      <c r="Z872" s="28" t="n"/>
      <c r="AA872" s="31" t="n"/>
      <c r="AB872" s="31" t="n"/>
    </row>
    <row r="873">
      <c r="A873" s="25" t="inlineStr">
        <is>
          <t>S17</t>
        </is>
      </c>
      <c r="B873" s="25" t="inlineStr">
        <is>
          <t>영양 신규점4</t>
        </is>
      </c>
      <c r="C873" s="25" t="inlineStr">
        <is>
          <t>S17-H남</t>
        </is>
      </c>
      <c r="D873" s="25" t="inlineStr">
        <is>
          <t>측정</t>
        </is>
      </c>
      <c r="E873" s="25" t="inlineStr">
        <is>
          <t>남</t>
        </is>
      </c>
      <c r="F873" s="30" t="n">
        <v>9</v>
      </c>
      <c r="G873" s="29" t="n"/>
      <c r="H873" s="42" t="n"/>
      <c r="I873" s="40" t="n"/>
      <c r="J873" s="40" t="n"/>
      <c r="K873" s="40" t="n"/>
      <c r="L873" s="30">
        <f>IF(COUNT(I873:K873)=0,"",MEDIAN(I873:K873))</f>
        <v/>
      </c>
      <c r="M873" s="25">
        <f>IF(COUNTIFS($C:$C,$C873,$D:$D,"P0(전)",$L:$L,"&gt;0")&lt;&gt;1,"P0(전) 유효 1개 아님",IF(COUNTIFS($C:$C,$C873,$D:$D,"P0(후)",$L:$L,"&gt;0")&lt;&gt;1,"P0(후) 유효 1개 아님",IF(NOT(AND(ISNUMBER(N873),ISNUMBER(P873),ISNUMBER(H873))),"시각 결측",IF(P873&lt;=N873,"P0 시각 역전",IF(OR(H873&lt;N873,H873&gt;P873),"측정시각 구간 밖","OK")))))</f>
        <v/>
      </c>
      <c r="N873" s="45">
        <f>IF(COUNTIFS($C:$C,$C873,$D:$D,"P0(전)",$L:$L,"&gt;0")&lt;&gt;1,"",SUMIFS($H:$H,$C:$C,$C873,$D:$D,"P0(전)"))</f>
        <v/>
      </c>
      <c r="O873" s="30">
        <f>IF(COUNTIFS($C:$C,$C873,$D:$D,"P0(전)",$L:$L,"&gt;0")&lt;&gt;1,"",SUMIFS($L:$L,$C:$C,$C873,$D:$D,"P0(전)"))</f>
        <v/>
      </c>
      <c r="P873" s="45">
        <f>IF(COUNTIFS($C:$C,$C873,$D:$D,"P0(후)",$L:$L,"&gt;0")&lt;&gt;1,"",SUMIFS($H:$H,$C:$C,$C873,$D:$D,"P0(후)"))</f>
        <v/>
      </c>
      <c r="Q873" s="30">
        <f>IF(COUNTIFS($C:$C,$C873,$D:$D,"P0(후)",$L:$L,"&gt;0")&lt;&gt;1,"",SUMIFS($L:$L,$C:$C,$C873,$D:$D,"P0(후)"))</f>
        <v/>
      </c>
      <c r="R873" s="30">
        <f>IF(M873&lt;&gt;"OK","",O873+(Q873-O873)*(H873-N873)/(P873-N873))</f>
        <v/>
      </c>
      <c r="S873" s="30">
        <f>IF(OR(M873&lt;&gt;"OK",NOT(ISNUMBER(L873))),"",L873-R873)</f>
        <v/>
      </c>
      <c r="T873" s="46">
        <f>IF(OR(NOT(ISNUMBER(S873)),IF(ISNUMBER(G873),G873,F873)=0),"",S873/IF(ISNUMBER(G873),G873,F873))</f>
        <v/>
      </c>
      <c r="U873" s="46">
        <f>IF(ISNUMBER(T873),ABS(T873),"")</f>
        <v/>
      </c>
      <c r="V873" s="46">
        <f>IF(OR($D872&lt;&gt;"측정",$C872&lt;&gt;$C873,NOT(ISNUMBER(L873)),NOT(ISNUMBER(L872)),(IF(ISNUMBER(G873),G873,F873)-IF(ISNUMBER(G872),G872,F872))=0),"",(L873-L872)/(IF(ISNUMBER(G873),G873,F873)-IF(ISNUMBER(G872),G872,F872)))</f>
        <v/>
      </c>
      <c r="W873" s="30">
        <f>IF(NOT(AND(ISNUMBER(N873),ISNUMBER(P873))),"",(P873-N873)*1440)</f>
        <v/>
      </c>
      <c r="X873" s="28" t="n"/>
      <c r="Y873" s="28" t="n"/>
      <c r="Z873" s="28" t="n"/>
      <c r="AA873" s="31" t="n"/>
      <c r="AB873" s="31" t="n"/>
    </row>
    <row r="874">
      <c r="A874" s="25" t="inlineStr">
        <is>
          <t>S17</t>
        </is>
      </c>
      <c r="B874" s="25" t="inlineStr">
        <is>
          <t>영양 신규점4</t>
        </is>
      </c>
      <c r="C874" s="25" t="inlineStr">
        <is>
          <t>S17-H남</t>
        </is>
      </c>
      <c r="D874" s="25" t="inlineStr">
        <is>
          <t>측정</t>
        </is>
      </c>
      <c r="E874" s="25" t="inlineStr">
        <is>
          <t>남</t>
        </is>
      </c>
      <c r="F874" s="30" t="n">
        <v>10</v>
      </c>
      <c r="G874" s="29" t="n"/>
      <c r="H874" s="42" t="n"/>
      <c r="I874" s="40" t="n"/>
      <c r="J874" s="40" t="n"/>
      <c r="K874" s="40" t="n"/>
      <c r="L874" s="30">
        <f>IF(COUNT(I874:K874)=0,"",MEDIAN(I874:K874))</f>
        <v/>
      </c>
      <c r="M874" s="25">
        <f>IF(COUNTIFS($C:$C,$C874,$D:$D,"P0(전)",$L:$L,"&gt;0")&lt;&gt;1,"P0(전) 유효 1개 아님",IF(COUNTIFS($C:$C,$C874,$D:$D,"P0(후)",$L:$L,"&gt;0")&lt;&gt;1,"P0(후) 유효 1개 아님",IF(NOT(AND(ISNUMBER(N874),ISNUMBER(P874),ISNUMBER(H874))),"시각 결측",IF(P874&lt;=N874,"P0 시각 역전",IF(OR(H874&lt;N874,H874&gt;P874),"측정시각 구간 밖","OK")))))</f>
        <v/>
      </c>
      <c r="N874" s="45">
        <f>IF(COUNTIFS($C:$C,$C874,$D:$D,"P0(전)",$L:$L,"&gt;0")&lt;&gt;1,"",SUMIFS($H:$H,$C:$C,$C874,$D:$D,"P0(전)"))</f>
        <v/>
      </c>
      <c r="O874" s="30">
        <f>IF(COUNTIFS($C:$C,$C874,$D:$D,"P0(전)",$L:$L,"&gt;0")&lt;&gt;1,"",SUMIFS($L:$L,$C:$C,$C874,$D:$D,"P0(전)"))</f>
        <v/>
      </c>
      <c r="P874" s="45">
        <f>IF(COUNTIFS($C:$C,$C874,$D:$D,"P0(후)",$L:$L,"&gt;0")&lt;&gt;1,"",SUMIFS($H:$H,$C:$C,$C874,$D:$D,"P0(후)"))</f>
        <v/>
      </c>
      <c r="Q874" s="30">
        <f>IF(COUNTIFS($C:$C,$C874,$D:$D,"P0(후)",$L:$L,"&gt;0")&lt;&gt;1,"",SUMIFS($L:$L,$C:$C,$C874,$D:$D,"P0(후)"))</f>
        <v/>
      </c>
      <c r="R874" s="30">
        <f>IF(M874&lt;&gt;"OK","",O874+(Q874-O874)*(H874-N874)/(P874-N874))</f>
        <v/>
      </c>
      <c r="S874" s="30">
        <f>IF(OR(M874&lt;&gt;"OK",NOT(ISNUMBER(L874))),"",L874-R874)</f>
        <v/>
      </c>
      <c r="T874" s="46">
        <f>IF(OR(NOT(ISNUMBER(S874)),IF(ISNUMBER(G874),G874,F874)=0),"",S874/IF(ISNUMBER(G874),G874,F874))</f>
        <v/>
      </c>
      <c r="U874" s="46">
        <f>IF(ISNUMBER(T874),ABS(T874),"")</f>
        <v/>
      </c>
      <c r="V874" s="46">
        <f>IF(OR($D873&lt;&gt;"측정",$C873&lt;&gt;$C874,NOT(ISNUMBER(L874)),NOT(ISNUMBER(L873)),(IF(ISNUMBER(G874),G874,F874)-IF(ISNUMBER(G873),G873,F873))=0),"",(L874-L873)/(IF(ISNUMBER(G874),G874,F874)-IF(ISNUMBER(G873),G873,F873)))</f>
        <v/>
      </c>
      <c r="W874" s="30">
        <f>IF(NOT(AND(ISNUMBER(N874),ISNUMBER(P874))),"",(P874-N874)*1440)</f>
        <v/>
      </c>
      <c r="X874" s="28" t="n"/>
      <c r="Y874" s="28" t="n"/>
      <c r="Z874" s="28" t="n"/>
      <c r="AA874" s="31" t="n"/>
      <c r="AB874" s="31" t="n"/>
    </row>
    <row r="875">
      <c r="A875" s="43" t="inlineStr">
        <is>
          <t>S17</t>
        </is>
      </c>
      <c r="B875" s="43" t="inlineStr">
        <is>
          <t>영양 신규점4</t>
        </is>
      </c>
      <c r="C875" s="43" t="inlineStr">
        <is>
          <t>S17-H남</t>
        </is>
      </c>
      <c r="D875" s="43" t="inlineStr">
        <is>
          <t>P0(후)</t>
        </is>
      </c>
      <c r="E875" s="43" t="inlineStr">
        <is>
          <t>남</t>
        </is>
      </c>
      <c r="F875" s="44" t="n"/>
      <c r="G875" s="29" t="n"/>
      <c r="H875" s="42" t="n"/>
      <c r="I875" s="40" t="n"/>
      <c r="J875" s="40" t="n"/>
      <c r="K875" s="40" t="n"/>
      <c r="L875" s="30">
        <f>IF(COUNT(I875:K875)=0,"",MEDIAN(I875:K875))</f>
        <v/>
      </c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28" t="n"/>
      <c r="Y875" s="28" t="n"/>
      <c r="Z875" s="28" t="n"/>
      <c r="AA875" s="31" t="n"/>
      <c r="AB875" s="31" t="n"/>
    </row>
    <row r="876">
      <c r="A876" s="43" t="inlineStr">
        <is>
          <t>S17</t>
        </is>
      </c>
      <c r="B876" s="43" t="inlineStr">
        <is>
          <t>영양 신규점4</t>
        </is>
      </c>
      <c r="C876" s="43" t="inlineStr">
        <is>
          <t>S17-H북</t>
        </is>
      </c>
      <c r="D876" s="43" t="inlineStr">
        <is>
          <t>P0(전)</t>
        </is>
      </c>
      <c r="E876" s="43" t="inlineStr">
        <is>
          <t>북</t>
        </is>
      </c>
      <c r="F876" s="44" t="n"/>
      <c r="G876" s="29" t="n"/>
      <c r="H876" s="42" t="n"/>
      <c r="I876" s="40" t="n"/>
      <c r="J876" s="40" t="n"/>
      <c r="K876" s="40" t="n"/>
      <c r="L876" s="30">
        <f>IF(COUNT(I876:K876)=0,"",MEDIAN(I876:K876))</f>
        <v/>
      </c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28" t="n"/>
      <c r="Y876" s="28" t="n"/>
      <c r="Z876" s="28" t="n"/>
      <c r="AA876" s="31" t="n"/>
      <c r="AB876" s="31" t="n"/>
    </row>
    <row r="877">
      <c r="A877" s="25" t="inlineStr">
        <is>
          <t>S17</t>
        </is>
      </c>
      <c r="B877" s="25" t="inlineStr">
        <is>
          <t>영양 신규점4</t>
        </is>
      </c>
      <c r="C877" s="25" t="inlineStr">
        <is>
          <t>S17-H북</t>
        </is>
      </c>
      <c r="D877" s="25" t="inlineStr">
        <is>
          <t>측정</t>
        </is>
      </c>
      <c r="E877" s="25" t="inlineStr">
        <is>
          <t>북</t>
        </is>
      </c>
      <c r="F877" s="30" t="n">
        <v>0.5</v>
      </c>
      <c r="G877" s="29" t="n"/>
      <c r="H877" s="42" t="n"/>
      <c r="I877" s="40" t="n"/>
      <c r="J877" s="40" t="n"/>
      <c r="K877" s="40" t="n"/>
      <c r="L877" s="30">
        <f>IF(COUNT(I877:K877)=0,"",MEDIAN(I877:K877))</f>
        <v/>
      </c>
      <c r="M877" s="25">
        <f>IF(COUNTIFS($C:$C,$C877,$D:$D,"P0(전)",$L:$L,"&gt;0")&lt;&gt;1,"P0(전) 유효 1개 아님",IF(COUNTIFS($C:$C,$C877,$D:$D,"P0(후)",$L:$L,"&gt;0")&lt;&gt;1,"P0(후) 유효 1개 아님",IF(NOT(AND(ISNUMBER(N877),ISNUMBER(P877),ISNUMBER(H877))),"시각 결측",IF(P877&lt;=N877,"P0 시각 역전",IF(OR(H877&lt;N877,H877&gt;P877),"측정시각 구간 밖","OK")))))</f>
        <v/>
      </c>
      <c r="N877" s="45">
        <f>IF(COUNTIFS($C:$C,$C877,$D:$D,"P0(전)",$L:$L,"&gt;0")&lt;&gt;1,"",SUMIFS($H:$H,$C:$C,$C877,$D:$D,"P0(전)"))</f>
        <v/>
      </c>
      <c r="O877" s="30">
        <f>IF(COUNTIFS($C:$C,$C877,$D:$D,"P0(전)",$L:$L,"&gt;0")&lt;&gt;1,"",SUMIFS($L:$L,$C:$C,$C877,$D:$D,"P0(전)"))</f>
        <v/>
      </c>
      <c r="P877" s="45">
        <f>IF(COUNTIFS($C:$C,$C877,$D:$D,"P0(후)",$L:$L,"&gt;0")&lt;&gt;1,"",SUMIFS($H:$H,$C:$C,$C877,$D:$D,"P0(후)"))</f>
        <v/>
      </c>
      <c r="Q877" s="30">
        <f>IF(COUNTIFS($C:$C,$C877,$D:$D,"P0(후)",$L:$L,"&gt;0")&lt;&gt;1,"",SUMIFS($L:$L,$C:$C,$C877,$D:$D,"P0(후)"))</f>
        <v/>
      </c>
      <c r="R877" s="30">
        <f>IF(M877&lt;&gt;"OK","",O877+(Q877-O877)*(H877-N877)/(P877-N877))</f>
        <v/>
      </c>
      <c r="S877" s="30">
        <f>IF(OR(M877&lt;&gt;"OK",NOT(ISNUMBER(L877))),"",L877-R877)</f>
        <v/>
      </c>
      <c r="T877" s="46">
        <f>IF(OR(NOT(ISNUMBER(S877)),IF(ISNUMBER(G877),G877,F877)=0),"",S877/IF(ISNUMBER(G877),G877,F877))</f>
        <v/>
      </c>
      <c r="U877" s="46">
        <f>IF(ISNUMBER(T877),ABS(T877),"")</f>
        <v/>
      </c>
      <c r="V877" s="46">
        <f>IF(OR($D876&lt;&gt;"측정",$C876&lt;&gt;$C877,NOT(ISNUMBER(L877)),NOT(ISNUMBER(L876)),(IF(ISNUMBER(G877),G877,F877)-IF(ISNUMBER(G876),G876,F876))=0),"",(L877-L876)/(IF(ISNUMBER(G877),G877,F877)-IF(ISNUMBER(G876),G876,F876)))</f>
        <v/>
      </c>
      <c r="W877" s="30">
        <f>IF(NOT(AND(ISNUMBER(N877),ISNUMBER(P877))),"",(P877-N877)*1440)</f>
        <v/>
      </c>
      <c r="X877" s="28" t="n"/>
      <c r="Y877" s="28" t="n"/>
      <c r="Z877" s="28" t="n"/>
      <c r="AA877" s="31" t="n"/>
      <c r="AB877" s="31" t="n"/>
    </row>
    <row r="878">
      <c r="A878" s="25" t="inlineStr">
        <is>
          <t>S17</t>
        </is>
      </c>
      <c r="B878" s="25" t="inlineStr">
        <is>
          <t>영양 신규점4</t>
        </is>
      </c>
      <c r="C878" s="25" t="inlineStr">
        <is>
          <t>S17-H북</t>
        </is>
      </c>
      <c r="D878" s="25" t="inlineStr">
        <is>
          <t>측정</t>
        </is>
      </c>
      <c r="E878" s="25" t="inlineStr">
        <is>
          <t>북</t>
        </is>
      </c>
      <c r="F878" s="30" t="n">
        <v>1</v>
      </c>
      <c r="G878" s="29" t="n"/>
      <c r="H878" s="42" t="n"/>
      <c r="I878" s="40" t="n"/>
      <c r="J878" s="40" t="n"/>
      <c r="K878" s="40" t="n"/>
      <c r="L878" s="30">
        <f>IF(COUNT(I878:K878)=0,"",MEDIAN(I878:K878))</f>
        <v/>
      </c>
      <c r="M878" s="25">
        <f>IF(COUNTIFS($C:$C,$C878,$D:$D,"P0(전)",$L:$L,"&gt;0")&lt;&gt;1,"P0(전) 유효 1개 아님",IF(COUNTIFS($C:$C,$C878,$D:$D,"P0(후)",$L:$L,"&gt;0")&lt;&gt;1,"P0(후) 유효 1개 아님",IF(NOT(AND(ISNUMBER(N878),ISNUMBER(P878),ISNUMBER(H878))),"시각 결측",IF(P878&lt;=N878,"P0 시각 역전",IF(OR(H878&lt;N878,H878&gt;P878),"측정시각 구간 밖","OK")))))</f>
        <v/>
      </c>
      <c r="N878" s="45">
        <f>IF(COUNTIFS($C:$C,$C878,$D:$D,"P0(전)",$L:$L,"&gt;0")&lt;&gt;1,"",SUMIFS($H:$H,$C:$C,$C878,$D:$D,"P0(전)"))</f>
        <v/>
      </c>
      <c r="O878" s="30">
        <f>IF(COUNTIFS($C:$C,$C878,$D:$D,"P0(전)",$L:$L,"&gt;0")&lt;&gt;1,"",SUMIFS($L:$L,$C:$C,$C878,$D:$D,"P0(전)"))</f>
        <v/>
      </c>
      <c r="P878" s="45">
        <f>IF(COUNTIFS($C:$C,$C878,$D:$D,"P0(후)",$L:$L,"&gt;0")&lt;&gt;1,"",SUMIFS($H:$H,$C:$C,$C878,$D:$D,"P0(후)"))</f>
        <v/>
      </c>
      <c r="Q878" s="30">
        <f>IF(COUNTIFS($C:$C,$C878,$D:$D,"P0(후)",$L:$L,"&gt;0")&lt;&gt;1,"",SUMIFS($L:$L,$C:$C,$C878,$D:$D,"P0(후)"))</f>
        <v/>
      </c>
      <c r="R878" s="30">
        <f>IF(M878&lt;&gt;"OK","",O878+(Q878-O878)*(H878-N878)/(P878-N878))</f>
        <v/>
      </c>
      <c r="S878" s="30">
        <f>IF(OR(M878&lt;&gt;"OK",NOT(ISNUMBER(L878))),"",L878-R878)</f>
        <v/>
      </c>
      <c r="T878" s="46">
        <f>IF(OR(NOT(ISNUMBER(S878)),IF(ISNUMBER(G878),G878,F878)=0),"",S878/IF(ISNUMBER(G878),G878,F878))</f>
        <v/>
      </c>
      <c r="U878" s="46">
        <f>IF(ISNUMBER(T878),ABS(T878),"")</f>
        <v/>
      </c>
      <c r="V878" s="46">
        <f>IF(OR($D877&lt;&gt;"측정",$C877&lt;&gt;$C878,NOT(ISNUMBER(L878)),NOT(ISNUMBER(L877)),(IF(ISNUMBER(G878),G878,F878)-IF(ISNUMBER(G877),G877,F877))=0),"",(L878-L877)/(IF(ISNUMBER(G878),G878,F878)-IF(ISNUMBER(G877),G877,F877)))</f>
        <v/>
      </c>
      <c r="W878" s="30">
        <f>IF(NOT(AND(ISNUMBER(N878),ISNUMBER(P878))),"",(P878-N878)*1440)</f>
        <v/>
      </c>
      <c r="X878" s="28" t="n"/>
      <c r="Y878" s="28" t="n"/>
      <c r="Z878" s="28" t="n"/>
      <c r="AA878" s="31" t="n"/>
      <c r="AB878" s="31" t="n"/>
    </row>
    <row r="879">
      <c r="A879" s="25" t="inlineStr">
        <is>
          <t>S17</t>
        </is>
      </c>
      <c r="B879" s="25" t="inlineStr">
        <is>
          <t>영양 신규점4</t>
        </is>
      </c>
      <c r="C879" s="25" t="inlineStr">
        <is>
          <t>S17-H북</t>
        </is>
      </c>
      <c r="D879" s="25" t="inlineStr">
        <is>
          <t>측정</t>
        </is>
      </c>
      <c r="E879" s="25" t="inlineStr">
        <is>
          <t>북</t>
        </is>
      </c>
      <c r="F879" s="30" t="n">
        <v>2</v>
      </c>
      <c r="G879" s="29" t="n"/>
      <c r="H879" s="42" t="n"/>
      <c r="I879" s="40" t="n"/>
      <c r="J879" s="40" t="n"/>
      <c r="K879" s="40" t="n"/>
      <c r="L879" s="30">
        <f>IF(COUNT(I879:K879)=0,"",MEDIAN(I879:K879))</f>
        <v/>
      </c>
      <c r="M879" s="25">
        <f>IF(COUNTIFS($C:$C,$C879,$D:$D,"P0(전)",$L:$L,"&gt;0")&lt;&gt;1,"P0(전) 유효 1개 아님",IF(COUNTIFS($C:$C,$C879,$D:$D,"P0(후)",$L:$L,"&gt;0")&lt;&gt;1,"P0(후) 유효 1개 아님",IF(NOT(AND(ISNUMBER(N879),ISNUMBER(P879),ISNUMBER(H879))),"시각 결측",IF(P879&lt;=N879,"P0 시각 역전",IF(OR(H879&lt;N879,H879&gt;P879),"측정시각 구간 밖","OK")))))</f>
        <v/>
      </c>
      <c r="N879" s="45">
        <f>IF(COUNTIFS($C:$C,$C879,$D:$D,"P0(전)",$L:$L,"&gt;0")&lt;&gt;1,"",SUMIFS($H:$H,$C:$C,$C879,$D:$D,"P0(전)"))</f>
        <v/>
      </c>
      <c r="O879" s="30">
        <f>IF(COUNTIFS($C:$C,$C879,$D:$D,"P0(전)",$L:$L,"&gt;0")&lt;&gt;1,"",SUMIFS($L:$L,$C:$C,$C879,$D:$D,"P0(전)"))</f>
        <v/>
      </c>
      <c r="P879" s="45">
        <f>IF(COUNTIFS($C:$C,$C879,$D:$D,"P0(후)",$L:$L,"&gt;0")&lt;&gt;1,"",SUMIFS($H:$H,$C:$C,$C879,$D:$D,"P0(후)"))</f>
        <v/>
      </c>
      <c r="Q879" s="30">
        <f>IF(COUNTIFS($C:$C,$C879,$D:$D,"P0(후)",$L:$L,"&gt;0")&lt;&gt;1,"",SUMIFS($L:$L,$C:$C,$C879,$D:$D,"P0(후)"))</f>
        <v/>
      </c>
      <c r="R879" s="30">
        <f>IF(M879&lt;&gt;"OK","",O879+(Q879-O879)*(H879-N879)/(P879-N879))</f>
        <v/>
      </c>
      <c r="S879" s="30">
        <f>IF(OR(M879&lt;&gt;"OK",NOT(ISNUMBER(L879))),"",L879-R879)</f>
        <v/>
      </c>
      <c r="T879" s="46">
        <f>IF(OR(NOT(ISNUMBER(S879)),IF(ISNUMBER(G879),G879,F879)=0),"",S879/IF(ISNUMBER(G879),G879,F879))</f>
        <v/>
      </c>
      <c r="U879" s="46">
        <f>IF(ISNUMBER(T879),ABS(T879),"")</f>
        <v/>
      </c>
      <c r="V879" s="46">
        <f>IF(OR($D878&lt;&gt;"측정",$C878&lt;&gt;$C879,NOT(ISNUMBER(L879)),NOT(ISNUMBER(L878)),(IF(ISNUMBER(G879),G879,F879)-IF(ISNUMBER(G878),G878,F878))=0),"",(L879-L878)/(IF(ISNUMBER(G879),G879,F879)-IF(ISNUMBER(G878),G878,F878)))</f>
        <v/>
      </c>
      <c r="W879" s="30">
        <f>IF(NOT(AND(ISNUMBER(N879),ISNUMBER(P879))),"",(P879-N879)*1440)</f>
        <v/>
      </c>
      <c r="X879" s="28" t="n"/>
      <c r="Y879" s="28" t="n"/>
      <c r="Z879" s="28" t="n"/>
      <c r="AA879" s="31" t="n"/>
      <c r="AB879" s="31" t="n"/>
    </row>
    <row r="880">
      <c r="A880" s="25" t="inlineStr">
        <is>
          <t>S17</t>
        </is>
      </c>
      <c r="B880" s="25" t="inlineStr">
        <is>
          <t>영양 신규점4</t>
        </is>
      </c>
      <c r="C880" s="25" t="inlineStr">
        <is>
          <t>S17-H북</t>
        </is>
      </c>
      <c r="D880" s="25" t="inlineStr">
        <is>
          <t>측정</t>
        </is>
      </c>
      <c r="E880" s="25" t="inlineStr">
        <is>
          <t>북</t>
        </is>
      </c>
      <c r="F880" s="30" t="n">
        <v>3</v>
      </c>
      <c r="G880" s="29" t="n"/>
      <c r="H880" s="42" t="n"/>
      <c r="I880" s="40" t="n"/>
      <c r="J880" s="40" t="n"/>
      <c r="K880" s="40" t="n"/>
      <c r="L880" s="30">
        <f>IF(COUNT(I880:K880)=0,"",MEDIAN(I880:K880))</f>
        <v/>
      </c>
      <c r="M880" s="25">
        <f>IF(COUNTIFS($C:$C,$C880,$D:$D,"P0(전)",$L:$L,"&gt;0")&lt;&gt;1,"P0(전) 유효 1개 아님",IF(COUNTIFS($C:$C,$C880,$D:$D,"P0(후)",$L:$L,"&gt;0")&lt;&gt;1,"P0(후) 유효 1개 아님",IF(NOT(AND(ISNUMBER(N880),ISNUMBER(P880),ISNUMBER(H880))),"시각 결측",IF(P880&lt;=N880,"P0 시각 역전",IF(OR(H880&lt;N880,H880&gt;P880),"측정시각 구간 밖","OK")))))</f>
        <v/>
      </c>
      <c r="N880" s="45">
        <f>IF(COUNTIFS($C:$C,$C880,$D:$D,"P0(전)",$L:$L,"&gt;0")&lt;&gt;1,"",SUMIFS($H:$H,$C:$C,$C880,$D:$D,"P0(전)"))</f>
        <v/>
      </c>
      <c r="O880" s="30">
        <f>IF(COUNTIFS($C:$C,$C880,$D:$D,"P0(전)",$L:$L,"&gt;0")&lt;&gt;1,"",SUMIFS($L:$L,$C:$C,$C880,$D:$D,"P0(전)"))</f>
        <v/>
      </c>
      <c r="P880" s="45">
        <f>IF(COUNTIFS($C:$C,$C880,$D:$D,"P0(후)",$L:$L,"&gt;0")&lt;&gt;1,"",SUMIFS($H:$H,$C:$C,$C880,$D:$D,"P0(후)"))</f>
        <v/>
      </c>
      <c r="Q880" s="30">
        <f>IF(COUNTIFS($C:$C,$C880,$D:$D,"P0(후)",$L:$L,"&gt;0")&lt;&gt;1,"",SUMIFS($L:$L,$C:$C,$C880,$D:$D,"P0(후)"))</f>
        <v/>
      </c>
      <c r="R880" s="30">
        <f>IF(M880&lt;&gt;"OK","",O880+(Q880-O880)*(H880-N880)/(P880-N880))</f>
        <v/>
      </c>
      <c r="S880" s="30">
        <f>IF(OR(M880&lt;&gt;"OK",NOT(ISNUMBER(L880))),"",L880-R880)</f>
        <v/>
      </c>
      <c r="T880" s="46">
        <f>IF(OR(NOT(ISNUMBER(S880)),IF(ISNUMBER(G880),G880,F880)=0),"",S880/IF(ISNUMBER(G880),G880,F880))</f>
        <v/>
      </c>
      <c r="U880" s="46">
        <f>IF(ISNUMBER(T880),ABS(T880),"")</f>
        <v/>
      </c>
      <c r="V880" s="46">
        <f>IF(OR($D879&lt;&gt;"측정",$C879&lt;&gt;$C880,NOT(ISNUMBER(L880)),NOT(ISNUMBER(L879)),(IF(ISNUMBER(G880),G880,F880)-IF(ISNUMBER(G879),G879,F879))=0),"",(L880-L879)/(IF(ISNUMBER(G880),G880,F880)-IF(ISNUMBER(G879),G879,F879)))</f>
        <v/>
      </c>
      <c r="W880" s="30">
        <f>IF(NOT(AND(ISNUMBER(N880),ISNUMBER(P880))),"",(P880-N880)*1440)</f>
        <v/>
      </c>
      <c r="X880" s="28" t="n"/>
      <c r="Y880" s="28" t="n"/>
      <c r="Z880" s="28" t="n"/>
      <c r="AA880" s="31" t="n"/>
      <c r="AB880" s="31" t="n"/>
    </row>
    <row r="881">
      <c r="A881" s="25" t="inlineStr">
        <is>
          <t>S17</t>
        </is>
      </c>
      <c r="B881" s="25" t="inlineStr">
        <is>
          <t>영양 신규점4</t>
        </is>
      </c>
      <c r="C881" s="25" t="inlineStr">
        <is>
          <t>S17-H북</t>
        </is>
      </c>
      <c r="D881" s="25" t="inlineStr">
        <is>
          <t>측정</t>
        </is>
      </c>
      <c r="E881" s="25" t="inlineStr">
        <is>
          <t>북</t>
        </is>
      </c>
      <c r="F881" s="30" t="n">
        <v>4</v>
      </c>
      <c r="G881" s="29" t="n"/>
      <c r="H881" s="42" t="n"/>
      <c r="I881" s="40" t="n"/>
      <c r="J881" s="40" t="n"/>
      <c r="K881" s="40" t="n"/>
      <c r="L881" s="30">
        <f>IF(COUNT(I881:K881)=0,"",MEDIAN(I881:K881))</f>
        <v/>
      </c>
      <c r="M881" s="25">
        <f>IF(COUNTIFS($C:$C,$C881,$D:$D,"P0(전)",$L:$L,"&gt;0")&lt;&gt;1,"P0(전) 유효 1개 아님",IF(COUNTIFS($C:$C,$C881,$D:$D,"P0(후)",$L:$L,"&gt;0")&lt;&gt;1,"P0(후) 유효 1개 아님",IF(NOT(AND(ISNUMBER(N881),ISNUMBER(P881),ISNUMBER(H881))),"시각 결측",IF(P881&lt;=N881,"P0 시각 역전",IF(OR(H881&lt;N881,H881&gt;P881),"측정시각 구간 밖","OK")))))</f>
        <v/>
      </c>
      <c r="N881" s="45">
        <f>IF(COUNTIFS($C:$C,$C881,$D:$D,"P0(전)",$L:$L,"&gt;0")&lt;&gt;1,"",SUMIFS($H:$H,$C:$C,$C881,$D:$D,"P0(전)"))</f>
        <v/>
      </c>
      <c r="O881" s="30">
        <f>IF(COUNTIFS($C:$C,$C881,$D:$D,"P0(전)",$L:$L,"&gt;0")&lt;&gt;1,"",SUMIFS($L:$L,$C:$C,$C881,$D:$D,"P0(전)"))</f>
        <v/>
      </c>
      <c r="P881" s="45">
        <f>IF(COUNTIFS($C:$C,$C881,$D:$D,"P0(후)",$L:$L,"&gt;0")&lt;&gt;1,"",SUMIFS($H:$H,$C:$C,$C881,$D:$D,"P0(후)"))</f>
        <v/>
      </c>
      <c r="Q881" s="30">
        <f>IF(COUNTIFS($C:$C,$C881,$D:$D,"P0(후)",$L:$L,"&gt;0")&lt;&gt;1,"",SUMIFS($L:$L,$C:$C,$C881,$D:$D,"P0(후)"))</f>
        <v/>
      </c>
      <c r="R881" s="30">
        <f>IF(M881&lt;&gt;"OK","",O881+(Q881-O881)*(H881-N881)/(P881-N881))</f>
        <v/>
      </c>
      <c r="S881" s="30">
        <f>IF(OR(M881&lt;&gt;"OK",NOT(ISNUMBER(L881))),"",L881-R881)</f>
        <v/>
      </c>
      <c r="T881" s="46">
        <f>IF(OR(NOT(ISNUMBER(S881)),IF(ISNUMBER(G881),G881,F881)=0),"",S881/IF(ISNUMBER(G881),G881,F881))</f>
        <v/>
      </c>
      <c r="U881" s="46">
        <f>IF(ISNUMBER(T881),ABS(T881),"")</f>
        <v/>
      </c>
      <c r="V881" s="46">
        <f>IF(OR($D880&lt;&gt;"측정",$C880&lt;&gt;$C881,NOT(ISNUMBER(L881)),NOT(ISNUMBER(L880)),(IF(ISNUMBER(G881),G881,F881)-IF(ISNUMBER(G880),G880,F880))=0),"",(L881-L880)/(IF(ISNUMBER(G881),G881,F881)-IF(ISNUMBER(G880),G880,F880)))</f>
        <v/>
      </c>
      <c r="W881" s="30">
        <f>IF(NOT(AND(ISNUMBER(N881),ISNUMBER(P881))),"",(P881-N881)*1440)</f>
        <v/>
      </c>
      <c r="X881" s="28" t="n"/>
      <c r="Y881" s="28" t="n"/>
      <c r="Z881" s="28" t="n"/>
      <c r="AA881" s="31" t="n"/>
      <c r="AB881" s="31" t="n"/>
    </row>
    <row r="882">
      <c r="A882" s="25" t="inlineStr">
        <is>
          <t>S17</t>
        </is>
      </c>
      <c r="B882" s="25" t="inlineStr">
        <is>
          <t>영양 신규점4</t>
        </is>
      </c>
      <c r="C882" s="25" t="inlineStr">
        <is>
          <t>S17-H북</t>
        </is>
      </c>
      <c r="D882" s="25" t="inlineStr">
        <is>
          <t>측정</t>
        </is>
      </c>
      <c r="E882" s="25" t="inlineStr">
        <is>
          <t>북</t>
        </is>
      </c>
      <c r="F882" s="30" t="n">
        <v>5</v>
      </c>
      <c r="G882" s="29" t="n"/>
      <c r="H882" s="42" t="n"/>
      <c r="I882" s="40" t="n"/>
      <c r="J882" s="40" t="n"/>
      <c r="K882" s="40" t="n"/>
      <c r="L882" s="30">
        <f>IF(COUNT(I882:K882)=0,"",MEDIAN(I882:K882))</f>
        <v/>
      </c>
      <c r="M882" s="25">
        <f>IF(COUNTIFS($C:$C,$C882,$D:$D,"P0(전)",$L:$L,"&gt;0")&lt;&gt;1,"P0(전) 유효 1개 아님",IF(COUNTIFS($C:$C,$C882,$D:$D,"P0(후)",$L:$L,"&gt;0")&lt;&gt;1,"P0(후) 유효 1개 아님",IF(NOT(AND(ISNUMBER(N882),ISNUMBER(P882),ISNUMBER(H882))),"시각 결측",IF(P882&lt;=N882,"P0 시각 역전",IF(OR(H882&lt;N882,H882&gt;P882),"측정시각 구간 밖","OK")))))</f>
        <v/>
      </c>
      <c r="N882" s="45">
        <f>IF(COUNTIFS($C:$C,$C882,$D:$D,"P0(전)",$L:$L,"&gt;0")&lt;&gt;1,"",SUMIFS($H:$H,$C:$C,$C882,$D:$D,"P0(전)"))</f>
        <v/>
      </c>
      <c r="O882" s="30">
        <f>IF(COUNTIFS($C:$C,$C882,$D:$D,"P0(전)",$L:$L,"&gt;0")&lt;&gt;1,"",SUMIFS($L:$L,$C:$C,$C882,$D:$D,"P0(전)"))</f>
        <v/>
      </c>
      <c r="P882" s="45">
        <f>IF(COUNTIFS($C:$C,$C882,$D:$D,"P0(후)",$L:$L,"&gt;0")&lt;&gt;1,"",SUMIFS($H:$H,$C:$C,$C882,$D:$D,"P0(후)"))</f>
        <v/>
      </c>
      <c r="Q882" s="30">
        <f>IF(COUNTIFS($C:$C,$C882,$D:$D,"P0(후)",$L:$L,"&gt;0")&lt;&gt;1,"",SUMIFS($L:$L,$C:$C,$C882,$D:$D,"P0(후)"))</f>
        <v/>
      </c>
      <c r="R882" s="30">
        <f>IF(M882&lt;&gt;"OK","",O882+(Q882-O882)*(H882-N882)/(P882-N882))</f>
        <v/>
      </c>
      <c r="S882" s="30">
        <f>IF(OR(M882&lt;&gt;"OK",NOT(ISNUMBER(L882))),"",L882-R882)</f>
        <v/>
      </c>
      <c r="T882" s="46">
        <f>IF(OR(NOT(ISNUMBER(S882)),IF(ISNUMBER(G882),G882,F882)=0),"",S882/IF(ISNUMBER(G882),G882,F882))</f>
        <v/>
      </c>
      <c r="U882" s="46">
        <f>IF(ISNUMBER(T882),ABS(T882),"")</f>
        <v/>
      </c>
      <c r="V882" s="46">
        <f>IF(OR($D881&lt;&gt;"측정",$C881&lt;&gt;$C882,NOT(ISNUMBER(L882)),NOT(ISNUMBER(L881)),(IF(ISNUMBER(G882),G882,F882)-IF(ISNUMBER(G881),G881,F881))=0),"",(L882-L881)/(IF(ISNUMBER(G882),G882,F882)-IF(ISNUMBER(G881),G881,F881)))</f>
        <v/>
      </c>
      <c r="W882" s="30">
        <f>IF(NOT(AND(ISNUMBER(N882),ISNUMBER(P882))),"",(P882-N882)*1440)</f>
        <v/>
      </c>
      <c r="X882" s="28" t="n"/>
      <c r="Y882" s="28" t="n"/>
      <c r="Z882" s="28" t="n"/>
      <c r="AA882" s="31" t="n"/>
      <c r="AB882" s="31" t="n"/>
    </row>
    <row r="883">
      <c r="A883" s="25" t="inlineStr">
        <is>
          <t>S17</t>
        </is>
      </c>
      <c r="B883" s="25" t="inlineStr">
        <is>
          <t>영양 신규점4</t>
        </is>
      </c>
      <c r="C883" s="25" t="inlineStr">
        <is>
          <t>S17-H북</t>
        </is>
      </c>
      <c r="D883" s="25" t="inlineStr">
        <is>
          <t>측정</t>
        </is>
      </c>
      <c r="E883" s="25" t="inlineStr">
        <is>
          <t>북</t>
        </is>
      </c>
      <c r="F883" s="30" t="n">
        <v>6</v>
      </c>
      <c r="G883" s="29" t="n"/>
      <c r="H883" s="42" t="n"/>
      <c r="I883" s="40" t="n"/>
      <c r="J883" s="40" t="n"/>
      <c r="K883" s="40" t="n"/>
      <c r="L883" s="30">
        <f>IF(COUNT(I883:K883)=0,"",MEDIAN(I883:K883))</f>
        <v/>
      </c>
      <c r="M883" s="25">
        <f>IF(COUNTIFS($C:$C,$C883,$D:$D,"P0(전)",$L:$L,"&gt;0")&lt;&gt;1,"P0(전) 유효 1개 아님",IF(COUNTIFS($C:$C,$C883,$D:$D,"P0(후)",$L:$L,"&gt;0")&lt;&gt;1,"P0(후) 유효 1개 아님",IF(NOT(AND(ISNUMBER(N883),ISNUMBER(P883),ISNUMBER(H883))),"시각 결측",IF(P883&lt;=N883,"P0 시각 역전",IF(OR(H883&lt;N883,H883&gt;P883),"측정시각 구간 밖","OK")))))</f>
        <v/>
      </c>
      <c r="N883" s="45">
        <f>IF(COUNTIFS($C:$C,$C883,$D:$D,"P0(전)",$L:$L,"&gt;0")&lt;&gt;1,"",SUMIFS($H:$H,$C:$C,$C883,$D:$D,"P0(전)"))</f>
        <v/>
      </c>
      <c r="O883" s="30">
        <f>IF(COUNTIFS($C:$C,$C883,$D:$D,"P0(전)",$L:$L,"&gt;0")&lt;&gt;1,"",SUMIFS($L:$L,$C:$C,$C883,$D:$D,"P0(전)"))</f>
        <v/>
      </c>
      <c r="P883" s="45">
        <f>IF(COUNTIFS($C:$C,$C883,$D:$D,"P0(후)",$L:$L,"&gt;0")&lt;&gt;1,"",SUMIFS($H:$H,$C:$C,$C883,$D:$D,"P0(후)"))</f>
        <v/>
      </c>
      <c r="Q883" s="30">
        <f>IF(COUNTIFS($C:$C,$C883,$D:$D,"P0(후)",$L:$L,"&gt;0")&lt;&gt;1,"",SUMIFS($L:$L,$C:$C,$C883,$D:$D,"P0(후)"))</f>
        <v/>
      </c>
      <c r="R883" s="30">
        <f>IF(M883&lt;&gt;"OK","",O883+(Q883-O883)*(H883-N883)/(P883-N883))</f>
        <v/>
      </c>
      <c r="S883" s="30">
        <f>IF(OR(M883&lt;&gt;"OK",NOT(ISNUMBER(L883))),"",L883-R883)</f>
        <v/>
      </c>
      <c r="T883" s="46">
        <f>IF(OR(NOT(ISNUMBER(S883)),IF(ISNUMBER(G883),G883,F883)=0),"",S883/IF(ISNUMBER(G883),G883,F883))</f>
        <v/>
      </c>
      <c r="U883" s="46">
        <f>IF(ISNUMBER(T883),ABS(T883),"")</f>
        <v/>
      </c>
      <c r="V883" s="46">
        <f>IF(OR($D882&lt;&gt;"측정",$C882&lt;&gt;$C883,NOT(ISNUMBER(L883)),NOT(ISNUMBER(L882)),(IF(ISNUMBER(G883),G883,F883)-IF(ISNUMBER(G882),G882,F882))=0),"",(L883-L882)/(IF(ISNUMBER(G883),G883,F883)-IF(ISNUMBER(G882),G882,F882)))</f>
        <v/>
      </c>
      <c r="W883" s="30">
        <f>IF(NOT(AND(ISNUMBER(N883),ISNUMBER(P883))),"",(P883-N883)*1440)</f>
        <v/>
      </c>
      <c r="X883" s="28" t="n"/>
      <c r="Y883" s="28" t="n"/>
      <c r="Z883" s="28" t="n"/>
      <c r="AA883" s="31" t="n"/>
      <c r="AB883" s="31" t="n"/>
    </row>
    <row r="884">
      <c r="A884" s="25" t="inlineStr">
        <is>
          <t>S17</t>
        </is>
      </c>
      <c r="B884" s="25" t="inlineStr">
        <is>
          <t>영양 신규점4</t>
        </is>
      </c>
      <c r="C884" s="25" t="inlineStr">
        <is>
          <t>S17-H북</t>
        </is>
      </c>
      <c r="D884" s="25" t="inlineStr">
        <is>
          <t>측정</t>
        </is>
      </c>
      <c r="E884" s="25" t="inlineStr">
        <is>
          <t>북</t>
        </is>
      </c>
      <c r="F884" s="30" t="n">
        <v>7</v>
      </c>
      <c r="G884" s="29" t="n"/>
      <c r="H884" s="42" t="n"/>
      <c r="I884" s="40" t="n"/>
      <c r="J884" s="40" t="n"/>
      <c r="K884" s="40" t="n"/>
      <c r="L884" s="30">
        <f>IF(COUNT(I884:K884)=0,"",MEDIAN(I884:K884))</f>
        <v/>
      </c>
      <c r="M884" s="25">
        <f>IF(COUNTIFS($C:$C,$C884,$D:$D,"P0(전)",$L:$L,"&gt;0")&lt;&gt;1,"P0(전) 유효 1개 아님",IF(COUNTIFS($C:$C,$C884,$D:$D,"P0(후)",$L:$L,"&gt;0")&lt;&gt;1,"P0(후) 유효 1개 아님",IF(NOT(AND(ISNUMBER(N884),ISNUMBER(P884),ISNUMBER(H884))),"시각 결측",IF(P884&lt;=N884,"P0 시각 역전",IF(OR(H884&lt;N884,H884&gt;P884),"측정시각 구간 밖","OK")))))</f>
        <v/>
      </c>
      <c r="N884" s="45">
        <f>IF(COUNTIFS($C:$C,$C884,$D:$D,"P0(전)",$L:$L,"&gt;0")&lt;&gt;1,"",SUMIFS($H:$H,$C:$C,$C884,$D:$D,"P0(전)"))</f>
        <v/>
      </c>
      <c r="O884" s="30">
        <f>IF(COUNTIFS($C:$C,$C884,$D:$D,"P0(전)",$L:$L,"&gt;0")&lt;&gt;1,"",SUMIFS($L:$L,$C:$C,$C884,$D:$D,"P0(전)"))</f>
        <v/>
      </c>
      <c r="P884" s="45">
        <f>IF(COUNTIFS($C:$C,$C884,$D:$D,"P0(후)",$L:$L,"&gt;0")&lt;&gt;1,"",SUMIFS($H:$H,$C:$C,$C884,$D:$D,"P0(후)"))</f>
        <v/>
      </c>
      <c r="Q884" s="30">
        <f>IF(COUNTIFS($C:$C,$C884,$D:$D,"P0(후)",$L:$L,"&gt;0")&lt;&gt;1,"",SUMIFS($L:$L,$C:$C,$C884,$D:$D,"P0(후)"))</f>
        <v/>
      </c>
      <c r="R884" s="30">
        <f>IF(M884&lt;&gt;"OK","",O884+(Q884-O884)*(H884-N884)/(P884-N884))</f>
        <v/>
      </c>
      <c r="S884" s="30">
        <f>IF(OR(M884&lt;&gt;"OK",NOT(ISNUMBER(L884))),"",L884-R884)</f>
        <v/>
      </c>
      <c r="T884" s="46">
        <f>IF(OR(NOT(ISNUMBER(S884)),IF(ISNUMBER(G884),G884,F884)=0),"",S884/IF(ISNUMBER(G884),G884,F884))</f>
        <v/>
      </c>
      <c r="U884" s="46">
        <f>IF(ISNUMBER(T884),ABS(T884),"")</f>
        <v/>
      </c>
      <c r="V884" s="46">
        <f>IF(OR($D883&lt;&gt;"측정",$C883&lt;&gt;$C884,NOT(ISNUMBER(L884)),NOT(ISNUMBER(L883)),(IF(ISNUMBER(G884),G884,F884)-IF(ISNUMBER(G883),G883,F883))=0),"",(L884-L883)/(IF(ISNUMBER(G884),G884,F884)-IF(ISNUMBER(G883),G883,F883)))</f>
        <v/>
      </c>
      <c r="W884" s="30">
        <f>IF(NOT(AND(ISNUMBER(N884),ISNUMBER(P884))),"",(P884-N884)*1440)</f>
        <v/>
      </c>
      <c r="X884" s="28" t="n"/>
      <c r="Y884" s="28" t="n"/>
      <c r="Z884" s="28" t="n"/>
      <c r="AA884" s="31" t="n"/>
      <c r="AB884" s="31" t="n"/>
    </row>
    <row r="885">
      <c r="A885" s="25" t="inlineStr">
        <is>
          <t>S17</t>
        </is>
      </c>
      <c r="B885" s="25" t="inlineStr">
        <is>
          <t>영양 신규점4</t>
        </is>
      </c>
      <c r="C885" s="25" t="inlineStr">
        <is>
          <t>S17-H북</t>
        </is>
      </c>
      <c r="D885" s="25" t="inlineStr">
        <is>
          <t>측정</t>
        </is>
      </c>
      <c r="E885" s="25" t="inlineStr">
        <is>
          <t>북</t>
        </is>
      </c>
      <c r="F885" s="30" t="n">
        <v>8</v>
      </c>
      <c r="G885" s="29" t="n"/>
      <c r="H885" s="42" t="n"/>
      <c r="I885" s="40" t="n"/>
      <c r="J885" s="40" t="n"/>
      <c r="K885" s="40" t="n"/>
      <c r="L885" s="30">
        <f>IF(COUNT(I885:K885)=0,"",MEDIAN(I885:K885))</f>
        <v/>
      </c>
      <c r="M885" s="25">
        <f>IF(COUNTIFS($C:$C,$C885,$D:$D,"P0(전)",$L:$L,"&gt;0")&lt;&gt;1,"P0(전) 유효 1개 아님",IF(COUNTIFS($C:$C,$C885,$D:$D,"P0(후)",$L:$L,"&gt;0")&lt;&gt;1,"P0(후) 유효 1개 아님",IF(NOT(AND(ISNUMBER(N885),ISNUMBER(P885),ISNUMBER(H885))),"시각 결측",IF(P885&lt;=N885,"P0 시각 역전",IF(OR(H885&lt;N885,H885&gt;P885),"측정시각 구간 밖","OK")))))</f>
        <v/>
      </c>
      <c r="N885" s="45">
        <f>IF(COUNTIFS($C:$C,$C885,$D:$D,"P0(전)",$L:$L,"&gt;0")&lt;&gt;1,"",SUMIFS($H:$H,$C:$C,$C885,$D:$D,"P0(전)"))</f>
        <v/>
      </c>
      <c r="O885" s="30">
        <f>IF(COUNTIFS($C:$C,$C885,$D:$D,"P0(전)",$L:$L,"&gt;0")&lt;&gt;1,"",SUMIFS($L:$L,$C:$C,$C885,$D:$D,"P0(전)"))</f>
        <v/>
      </c>
      <c r="P885" s="45">
        <f>IF(COUNTIFS($C:$C,$C885,$D:$D,"P0(후)",$L:$L,"&gt;0")&lt;&gt;1,"",SUMIFS($H:$H,$C:$C,$C885,$D:$D,"P0(후)"))</f>
        <v/>
      </c>
      <c r="Q885" s="30">
        <f>IF(COUNTIFS($C:$C,$C885,$D:$D,"P0(후)",$L:$L,"&gt;0")&lt;&gt;1,"",SUMIFS($L:$L,$C:$C,$C885,$D:$D,"P0(후)"))</f>
        <v/>
      </c>
      <c r="R885" s="30">
        <f>IF(M885&lt;&gt;"OK","",O885+(Q885-O885)*(H885-N885)/(P885-N885))</f>
        <v/>
      </c>
      <c r="S885" s="30">
        <f>IF(OR(M885&lt;&gt;"OK",NOT(ISNUMBER(L885))),"",L885-R885)</f>
        <v/>
      </c>
      <c r="T885" s="46">
        <f>IF(OR(NOT(ISNUMBER(S885)),IF(ISNUMBER(G885),G885,F885)=0),"",S885/IF(ISNUMBER(G885),G885,F885))</f>
        <v/>
      </c>
      <c r="U885" s="46">
        <f>IF(ISNUMBER(T885),ABS(T885),"")</f>
        <v/>
      </c>
      <c r="V885" s="46">
        <f>IF(OR($D884&lt;&gt;"측정",$C884&lt;&gt;$C885,NOT(ISNUMBER(L885)),NOT(ISNUMBER(L884)),(IF(ISNUMBER(G885),G885,F885)-IF(ISNUMBER(G884),G884,F884))=0),"",(L885-L884)/(IF(ISNUMBER(G885),G885,F885)-IF(ISNUMBER(G884),G884,F884)))</f>
        <v/>
      </c>
      <c r="W885" s="30">
        <f>IF(NOT(AND(ISNUMBER(N885),ISNUMBER(P885))),"",(P885-N885)*1440)</f>
        <v/>
      </c>
      <c r="X885" s="28" t="n"/>
      <c r="Y885" s="28" t="n"/>
      <c r="Z885" s="28" t="n"/>
      <c r="AA885" s="31" t="n"/>
      <c r="AB885" s="31" t="n"/>
    </row>
    <row r="886">
      <c r="A886" s="25" t="inlineStr">
        <is>
          <t>S17</t>
        </is>
      </c>
      <c r="B886" s="25" t="inlineStr">
        <is>
          <t>영양 신규점4</t>
        </is>
      </c>
      <c r="C886" s="25" t="inlineStr">
        <is>
          <t>S17-H북</t>
        </is>
      </c>
      <c r="D886" s="25" t="inlineStr">
        <is>
          <t>측정</t>
        </is>
      </c>
      <c r="E886" s="25" t="inlineStr">
        <is>
          <t>북</t>
        </is>
      </c>
      <c r="F886" s="30" t="n">
        <v>9</v>
      </c>
      <c r="G886" s="29" t="n"/>
      <c r="H886" s="42" t="n"/>
      <c r="I886" s="40" t="n"/>
      <c r="J886" s="40" t="n"/>
      <c r="K886" s="40" t="n"/>
      <c r="L886" s="30">
        <f>IF(COUNT(I886:K886)=0,"",MEDIAN(I886:K886))</f>
        <v/>
      </c>
      <c r="M886" s="25">
        <f>IF(COUNTIFS($C:$C,$C886,$D:$D,"P0(전)",$L:$L,"&gt;0")&lt;&gt;1,"P0(전) 유효 1개 아님",IF(COUNTIFS($C:$C,$C886,$D:$D,"P0(후)",$L:$L,"&gt;0")&lt;&gt;1,"P0(후) 유효 1개 아님",IF(NOT(AND(ISNUMBER(N886),ISNUMBER(P886),ISNUMBER(H886))),"시각 결측",IF(P886&lt;=N886,"P0 시각 역전",IF(OR(H886&lt;N886,H886&gt;P886),"측정시각 구간 밖","OK")))))</f>
        <v/>
      </c>
      <c r="N886" s="45">
        <f>IF(COUNTIFS($C:$C,$C886,$D:$D,"P0(전)",$L:$L,"&gt;0")&lt;&gt;1,"",SUMIFS($H:$H,$C:$C,$C886,$D:$D,"P0(전)"))</f>
        <v/>
      </c>
      <c r="O886" s="30">
        <f>IF(COUNTIFS($C:$C,$C886,$D:$D,"P0(전)",$L:$L,"&gt;0")&lt;&gt;1,"",SUMIFS($L:$L,$C:$C,$C886,$D:$D,"P0(전)"))</f>
        <v/>
      </c>
      <c r="P886" s="45">
        <f>IF(COUNTIFS($C:$C,$C886,$D:$D,"P0(후)",$L:$L,"&gt;0")&lt;&gt;1,"",SUMIFS($H:$H,$C:$C,$C886,$D:$D,"P0(후)"))</f>
        <v/>
      </c>
      <c r="Q886" s="30">
        <f>IF(COUNTIFS($C:$C,$C886,$D:$D,"P0(후)",$L:$L,"&gt;0")&lt;&gt;1,"",SUMIFS($L:$L,$C:$C,$C886,$D:$D,"P0(후)"))</f>
        <v/>
      </c>
      <c r="R886" s="30">
        <f>IF(M886&lt;&gt;"OK","",O886+(Q886-O886)*(H886-N886)/(P886-N886))</f>
        <v/>
      </c>
      <c r="S886" s="30">
        <f>IF(OR(M886&lt;&gt;"OK",NOT(ISNUMBER(L886))),"",L886-R886)</f>
        <v/>
      </c>
      <c r="T886" s="46">
        <f>IF(OR(NOT(ISNUMBER(S886)),IF(ISNUMBER(G886),G886,F886)=0),"",S886/IF(ISNUMBER(G886),G886,F886))</f>
        <v/>
      </c>
      <c r="U886" s="46">
        <f>IF(ISNUMBER(T886),ABS(T886),"")</f>
        <v/>
      </c>
      <c r="V886" s="46">
        <f>IF(OR($D885&lt;&gt;"측정",$C885&lt;&gt;$C886,NOT(ISNUMBER(L886)),NOT(ISNUMBER(L885)),(IF(ISNUMBER(G886),G886,F886)-IF(ISNUMBER(G885),G885,F885))=0),"",(L886-L885)/(IF(ISNUMBER(G886),G886,F886)-IF(ISNUMBER(G885),G885,F885)))</f>
        <v/>
      </c>
      <c r="W886" s="30">
        <f>IF(NOT(AND(ISNUMBER(N886),ISNUMBER(P886))),"",(P886-N886)*1440)</f>
        <v/>
      </c>
      <c r="X886" s="28" t="n"/>
      <c r="Y886" s="28" t="n"/>
      <c r="Z886" s="28" t="n"/>
      <c r="AA886" s="31" t="n"/>
      <c r="AB886" s="31" t="n"/>
    </row>
    <row r="887">
      <c r="A887" s="25" t="inlineStr">
        <is>
          <t>S17</t>
        </is>
      </c>
      <c r="B887" s="25" t="inlineStr">
        <is>
          <t>영양 신규점4</t>
        </is>
      </c>
      <c r="C887" s="25" t="inlineStr">
        <is>
          <t>S17-H북</t>
        </is>
      </c>
      <c r="D887" s="25" t="inlineStr">
        <is>
          <t>측정</t>
        </is>
      </c>
      <c r="E887" s="25" t="inlineStr">
        <is>
          <t>북</t>
        </is>
      </c>
      <c r="F887" s="30" t="n">
        <v>10</v>
      </c>
      <c r="G887" s="29" t="n"/>
      <c r="H887" s="42" t="n"/>
      <c r="I887" s="40" t="n"/>
      <c r="J887" s="40" t="n"/>
      <c r="K887" s="40" t="n"/>
      <c r="L887" s="30">
        <f>IF(COUNT(I887:K887)=0,"",MEDIAN(I887:K887))</f>
        <v/>
      </c>
      <c r="M887" s="25">
        <f>IF(COUNTIFS($C:$C,$C887,$D:$D,"P0(전)",$L:$L,"&gt;0")&lt;&gt;1,"P0(전) 유효 1개 아님",IF(COUNTIFS($C:$C,$C887,$D:$D,"P0(후)",$L:$L,"&gt;0")&lt;&gt;1,"P0(후) 유효 1개 아님",IF(NOT(AND(ISNUMBER(N887),ISNUMBER(P887),ISNUMBER(H887))),"시각 결측",IF(P887&lt;=N887,"P0 시각 역전",IF(OR(H887&lt;N887,H887&gt;P887),"측정시각 구간 밖","OK")))))</f>
        <v/>
      </c>
      <c r="N887" s="45">
        <f>IF(COUNTIFS($C:$C,$C887,$D:$D,"P0(전)",$L:$L,"&gt;0")&lt;&gt;1,"",SUMIFS($H:$H,$C:$C,$C887,$D:$D,"P0(전)"))</f>
        <v/>
      </c>
      <c r="O887" s="30">
        <f>IF(COUNTIFS($C:$C,$C887,$D:$D,"P0(전)",$L:$L,"&gt;0")&lt;&gt;1,"",SUMIFS($L:$L,$C:$C,$C887,$D:$D,"P0(전)"))</f>
        <v/>
      </c>
      <c r="P887" s="45">
        <f>IF(COUNTIFS($C:$C,$C887,$D:$D,"P0(후)",$L:$L,"&gt;0")&lt;&gt;1,"",SUMIFS($H:$H,$C:$C,$C887,$D:$D,"P0(후)"))</f>
        <v/>
      </c>
      <c r="Q887" s="30">
        <f>IF(COUNTIFS($C:$C,$C887,$D:$D,"P0(후)",$L:$L,"&gt;0")&lt;&gt;1,"",SUMIFS($L:$L,$C:$C,$C887,$D:$D,"P0(후)"))</f>
        <v/>
      </c>
      <c r="R887" s="30">
        <f>IF(M887&lt;&gt;"OK","",O887+(Q887-O887)*(H887-N887)/(P887-N887))</f>
        <v/>
      </c>
      <c r="S887" s="30">
        <f>IF(OR(M887&lt;&gt;"OK",NOT(ISNUMBER(L887))),"",L887-R887)</f>
        <v/>
      </c>
      <c r="T887" s="46">
        <f>IF(OR(NOT(ISNUMBER(S887)),IF(ISNUMBER(G887),G887,F887)=0),"",S887/IF(ISNUMBER(G887),G887,F887))</f>
        <v/>
      </c>
      <c r="U887" s="46">
        <f>IF(ISNUMBER(T887),ABS(T887),"")</f>
        <v/>
      </c>
      <c r="V887" s="46">
        <f>IF(OR($D886&lt;&gt;"측정",$C886&lt;&gt;$C887,NOT(ISNUMBER(L887)),NOT(ISNUMBER(L886)),(IF(ISNUMBER(G887),G887,F887)-IF(ISNUMBER(G886),G886,F886))=0),"",(L887-L886)/(IF(ISNUMBER(G887),G887,F887)-IF(ISNUMBER(G886),G886,F886)))</f>
        <v/>
      </c>
      <c r="W887" s="30">
        <f>IF(NOT(AND(ISNUMBER(N887),ISNUMBER(P887))),"",(P887-N887)*1440)</f>
        <v/>
      </c>
      <c r="X887" s="28" t="n"/>
      <c r="Y887" s="28" t="n"/>
      <c r="Z887" s="28" t="n"/>
      <c r="AA887" s="31" t="n"/>
      <c r="AB887" s="31" t="n"/>
    </row>
    <row r="888">
      <c r="A888" s="43" t="inlineStr">
        <is>
          <t>S17</t>
        </is>
      </c>
      <c r="B888" s="43" t="inlineStr">
        <is>
          <t>영양 신규점4</t>
        </is>
      </c>
      <c r="C888" s="43" t="inlineStr">
        <is>
          <t>S17-H북</t>
        </is>
      </c>
      <c r="D888" s="43" t="inlineStr">
        <is>
          <t>P0(후)</t>
        </is>
      </c>
      <c r="E888" s="43" t="inlineStr">
        <is>
          <t>북</t>
        </is>
      </c>
      <c r="F888" s="44" t="n"/>
      <c r="G888" s="29" t="n"/>
      <c r="H888" s="42" t="n"/>
      <c r="I888" s="40" t="n"/>
      <c r="J888" s="40" t="n"/>
      <c r="K888" s="40" t="n"/>
      <c r="L888" s="30">
        <f>IF(COUNT(I888:K888)=0,"",MEDIAN(I888:K888))</f>
        <v/>
      </c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28" t="n"/>
      <c r="Y888" s="28" t="n"/>
      <c r="Z888" s="28" t="n"/>
      <c r="AA888" s="31" t="n"/>
      <c r="AB888" s="31" t="n"/>
    </row>
    <row r="889">
      <c r="A889" s="43" t="inlineStr">
        <is>
          <t>S18</t>
        </is>
      </c>
      <c r="B889" s="43" t="inlineStr">
        <is>
          <t>통영 신규점</t>
        </is>
      </c>
      <c r="C889" s="43" t="inlineStr">
        <is>
          <t>S18-H동</t>
        </is>
      </c>
      <c r="D889" s="43" t="inlineStr">
        <is>
          <t>P0(전)</t>
        </is>
      </c>
      <c r="E889" s="43" t="inlineStr">
        <is>
          <t>동</t>
        </is>
      </c>
      <c r="F889" s="44" t="n"/>
      <c r="G889" s="29" t="n"/>
      <c r="H889" s="42" t="n"/>
      <c r="I889" s="40" t="n"/>
      <c r="J889" s="40" t="n"/>
      <c r="K889" s="40" t="n"/>
      <c r="L889" s="30">
        <f>IF(COUNT(I889:K889)=0,"",MEDIAN(I889:K889))</f>
        <v/>
      </c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28" t="n"/>
      <c r="Y889" s="28" t="n"/>
      <c r="Z889" s="28" t="n"/>
      <c r="AA889" s="31" t="n"/>
      <c r="AB889" s="31" t="n"/>
    </row>
    <row r="890">
      <c r="A890" s="25" t="inlineStr">
        <is>
          <t>S18</t>
        </is>
      </c>
      <c r="B890" s="25" t="inlineStr">
        <is>
          <t>통영 신규점</t>
        </is>
      </c>
      <c r="C890" s="25" t="inlineStr">
        <is>
          <t>S18-H동</t>
        </is>
      </c>
      <c r="D890" s="25" t="inlineStr">
        <is>
          <t>측정</t>
        </is>
      </c>
      <c r="E890" s="25" t="inlineStr">
        <is>
          <t>동</t>
        </is>
      </c>
      <c r="F890" s="30" t="n">
        <v>0.5</v>
      </c>
      <c r="G890" s="29" t="n"/>
      <c r="H890" s="42" t="n"/>
      <c r="I890" s="40" t="n"/>
      <c r="J890" s="40" t="n"/>
      <c r="K890" s="40" t="n"/>
      <c r="L890" s="30">
        <f>IF(COUNT(I890:K890)=0,"",MEDIAN(I890:K890))</f>
        <v/>
      </c>
      <c r="M890" s="25">
        <f>IF(COUNTIFS($C:$C,$C890,$D:$D,"P0(전)",$L:$L,"&gt;0")&lt;&gt;1,"P0(전) 유효 1개 아님",IF(COUNTIFS($C:$C,$C890,$D:$D,"P0(후)",$L:$L,"&gt;0")&lt;&gt;1,"P0(후) 유효 1개 아님",IF(NOT(AND(ISNUMBER(N890),ISNUMBER(P890),ISNUMBER(H890))),"시각 결측",IF(P890&lt;=N890,"P0 시각 역전",IF(OR(H890&lt;N890,H890&gt;P890),"측정시각 구간 밖","OK")))))</f>
        <v/>
      </c>
      <c r="N890" s="45">
        <f>IF(COUNTIFS($C:$C,$C890,$D:$D,"P0(전)",$L:$L,"&gt;0")&lt;&gt;1,"",SUMIFS($H:$H,$C:$C,$C890,$D:$D,"P0(전)"))</f>
        <v/>
      </c>
      <c r="O890" s="30">
        <f>IF(COUNTIFS($C:$C,$C890,$D:$D,"P0(전)",$L:$L,"&gt;0")&lt;&gt;1,"",SUMIFS($L:$L,$C:$C,$C890,$D:$D,"P0(전)"))</f>
        <v/>
      </c>
      <c r="P890" s="45">
        <f>IF(COUNTIFS($C:$C,$C890,$D:$D,"P0(후)",$L:$L,"&gt;0")&lt;&gt;1,"",SUMIFS($H:$H,$C:$C,$C890,$D:$D,"P0(후)"))</f>
        <v/>
      </c>
      <c r="Q890" s="30">
        <f>IF(COUNTIFS($C:$C,$C890,$D:$D,"P0(후)",$L:$L,"&gt;0")&lt;&gt;1,"",SUMIFS($L:$L,$C:$C,$C890,$D:$D,"P0(후)"))</f>
        <v/>
      </c>
      <c r="R890" s="30">
        <f>IF(M890&lt;&gt;"OK","",O890+(Q890-O890)*(H890-N890)/(P890-N890))</f>
        <v/>
      </c>
      <c r="S890" s="30">
        <f>IF(OR(M890&lt;&gt;"OK",NOT(ISNUMBER(L890))),"",L890-R890)</f>
        <v/>
      </c>
      <c r="T890" s="46">
        <f>IF(OR(NOT(ISNUMBER(S890)),IF(ISNUMBER(G890),G890,F890)=0),"",S890/IF(ISNUMBER(G890),G890,F890))</f>
        <v/>
      </c>
      <c r="U890" s="46">
        <f>IF(ISNUMBER(T890),ABS(T890),"")</f>
        <v/>
      </c>
      <c r="V890" s="46">
        <f>IF(OR($D889&lt;&gt;"측정",$C889&lt;&gt;$C890,NOT(ISNUMBER(L890)),NOT(ISNUMBER(L889)),(IF(ISNUMBER(G890),G890,F890)-IF(ISNUMBER(G889),G889,F889))=0),"",(L890-L889)/(IF(ISNUMBER(G890),G890,F890)-IF(ISNUMBER(G889),G889,F889)))</f>
        <v/>
      </c>
      <c r="W890" s="30">
        <f>IF(NOT(AND(ISNUMBER(N890),ISNUMBER(P890))),"",(P890-N890)*1440)</f>
        <v/>
      </c>
      <c r="X890" s="28" t="n"/>
      <c r="Y890" s="28" t="n"/>
      <c r="Z890" s="28" t="n"/>
      <c r="AA890" s="31" t="n"/>
      <c r="AB890" s="31" t="n"/>
    </row>
    <row r="891">
      <c r="A891" s="25" t="inlineStr">
        <is>
          <t>S18</t>
        </is>
      </c>
      <c r="B891" s="25" t="inlineStr">
        <is>
          <t>통영 신규점</t>
        </is>
      </c>
      <c r="C891" s="25" t="inlineStr">
        <is>
          <t>S18-H동</t>
        </is>
      </c>
      <c r="D891" s="25" t="inlineStr">
        <is>
          <t>측정</t>
        </is>
      </c>
      <c r="E891" s="25" t="inlineStr">
        <is>
          <t>동</t>
        </is>
      </c>
      <c r="F891" s="30" t="n">
        <v>1</v>
      </c>
      <c r="G891" s="29" t="n"/>
      <c r="H891" s="42" t="n"/>
      <c r="I891" s="40" t="n"/>
      <c r="J891" s="40" t="n"/>
      <c r="K891" s="40" t="n"/>
      <c r="L891" s="30">
        <f>IF(COUNT(I891:K891)=0,"",MEDIAN(I891:K891))</f>
        <v/>
      </c>
      <c r="M891" s="25">
        <f>IF(COUNTIFS($C:$C,$C891,$D:$D,"P0(전)",$L:$L,"&gt;0")&lt;&gt;1,"P0(전) 유효 1개 아님",IF(COUNTIFS($C:$C,$C891,$D:$D,"P0(후)",$L:$L,"&gt;0")&lt;&gt;1,"P0(후) 유효 1개 아님",IF(NOT(AND(ISNUMBER(N891),ISNUMBER(P891),ISNUMBER(H891))),"시각 결측",IF(P891&lt;=N891,"P0 시각 역전",IF(OR(H891&lt;N891,H891&gt;P891),"측정시각 구간 밖","OK")))))</f>
        <v/>
      </c>
      <c r="N891" s="45">
        <f>IF(COUNTIFS($C:$C,$C891,$D:$D,"P0(전)",$L:$L,"&gt;0")&lt;&gt;1,"",SUMIFS($H:$H,$C:$C,$C891,$D:$D,"P0(전)"))</f>
        <v/>
      </c>
      <c r="O891" s="30">
        <f>IF(COUNTIFS($C:$C,$C891,$D:$D,"P0(전)",$L:$L,"&gt;0")&lt;&gt;1,"",SUMIFS($L:$L,$C:$C,$C891,$D:$D,"P0(전)"))</f>
        <v/>
      </c>
      <c r="P891" s="45">
        <f>IF(COUNTIFS($C:$C,$C891,$D:$D,"P0(후)",$L:$L,"&gt;0")&lt;&gt;1,"",SUMIFS($H:$H,$C:$C,$C891,$D:$D,"P0(후)"))</f>
        <v/>
      </c>
      <c r="Q891" s="30">
        <f>IF(COUNTIFS($C:$C,$C891,$D:$D,"P0(후)",$L:$L,"&gt;0")&lt;&gt;1,"",SUMIFS($L:$L,$C:$C,$C891,$D:$D,"P0(후)"))</f>
        <v/>
      </c>
      <c r="R891" s="30">
        <f>IF(M891&lt;&gt;"OK","",O891+(Q891-O891)*(H891-N891)/(P891-N891))</f>
        <v/>
      </c>
      <c r="S891" s="30">
        <f>IF(OR(M891&lt;&gt;"OK",NOT(ISNUMBER(L891))),"",L891-R891)</f>
        <v/>
      </c>
      <c r="T891" s="46">
        <f>IF(OR(NOT(ISNUMBER(S891)),IF(ISNUMBER(G891),G891,F891)=0),"",S891/IF(ISNUMBER(G891),G891,F891))</f>
        <v/>
      </c>
      <c r="U891" s="46">
        <f>IF(ISNUMBER(T891),ABS(T891),"")</f>
        <v/>
      </c>
      <c r="V891" s="46">
        <f>IF(OR($D890&lt;&gt;"측정",$C890&lt;&gt;$C891,NOT(ISNUMBER(L891)),NOT(ISNUMBER(L890)),(IF(ISNUMBER(G891),G891,F891)-IF(ISNUMBER(G890),G890,F890))=0),"",(L891-L890)/(IF(ISNUMBER(G891),G891,F891)-IF(ISNUMBER(G890),G890,F890)))</f>
        <v/>
      </c>
      <c r="W891" s="30">
        <f>IF(NOT(AND(ISNUMBER(N891),ISNUMBER(P891))),"",(P891-N891)*1440)</f>
        <v/>
      </c>
      <c r="X891" s="28" t="n"/>
      <c r="Y891" s="28" t="n"/>
      <c r="Z891" s="28" t="n"/>
      <c r="AA891" s="31" t="n"/>
      <c r="AB891" s="31" t="n"/>
    </row>
    <row r="892">
      <c r="A892" s="25" t="inlineStr">
        <is>
          <t>S18</t>
        </is>
      </c>
      <c r="B892" s="25" t="inlineStr">
        <is>
          <t>통영 신규점</t>
        </is>
      </c>
      <c r="C892" s="25" t="inlineStr">
        <is>
          <t>S18-H동</t>
        </is>
      </c>
      <c r="D892" s="25" t="inlineStr">
        <is>
          <t>측정</t>
        </is>
      </c>
      <c r="E892" s="25" t="inlineStr">
        <is>
          <t>동</t>
        </is>
      </c>
      <c r="F892" s="30" t="n">
        <v>2</v>
      </c>
      <c r="G892" s="29" t="n"/>
      <c r="H892" s="42" t="n"/>
      <c r="I892" s="40" t="n"/>
      <c r="J892" s="40" t="n"/>
      <c r="K892" s="40" t="n"/>
      <c r="L892" s="30">
        <f>IF(COUNT(I892:K892)=0,"",MEDIAN(I892:K892))</f>
        <v/>
      </c>
      <c r="M892" s="25">
        <f>IF(COUNTIFS($C:$C,$C892,$D:$D,"P0(전)",$L:$L,"&gt;0")&lt;&gt;1,"P0(전) 유효 1개 아님",IF(COUNTIFS($C:$C,$C892,$D:$D,"P0(후)",$L:$L,"&gt;0")&lt;&gt;1,"P0(후) 유효 1개 아님",IF(NOT(AND(ISNUMBER(N892),ISNUMBER(P892),ISNUMBER(H892))),"시각 결측",IF(P892&lt;=N892,"P0 시각 역전",IF(OR(H892&lt;N892,H892&gt;P892),"측정시각 구간 밖","OK")))))</f>
        <v/>
      </c>
      <c r="N892" s="45">
        <f>IF(COUNTIFS($C:$C,$C892,$D:$D,"P0(전)",$L:$L,"&gt;0")&lt;&gt;1,"",SUMIFS($H:$H,$C:$C,$C892,$D:$D,"P0(전)"))</f>
        <v/>
      </c>
      <c r="O892" s="30">
        <f>IF(COUNTIFS($C:$C,$C892,$D:$D,"P0(전)",$L:$L,"&gt;0")&lt;&gt;1,"",SUMIFS($L:$L,$C:$C,$C892,$D:$D,"P0(전)"))</f>
        <v/>
      </c>
      <c r="P892" s="45">
        <f>IF(COUNTIFS($C:$C,$C892,$D:$D,"P0(후)",$L:$L,"&gt;0")&lt;&gt;1,"",SUMIFS($H:$H,$C:$C,$C892,$D:$D,"P0(후)"))</f>
        <v/>
      </c>
      <c r="Q892" s="30">
        <f>IF(COUNTIFS($C:$C,$C892,$D:$D,"P0(후)",$L:$L,"&gt;0")&lt;&gt;1,"",SUMIFS($L:$L,$C:$C,$C892,$D:$D,"P0(후)"))</f>
        <v/>
      </c>
      <c r="R892" s="30">
        <f>IF(M892&lt;&gt;"OK","",O892+(Q892-O892)*(H892-N892)/(P892-N892))</f>
        <v/>
      </c>
      <c r="S892" s="30">
        <f>IF(OR(M892&lt;&gt;"OK",NOT(ISNUMBER(L892))),"",L892-R892)</f>
        <v/>
      </c>
      <c r="T892" s="46">
        <f>IF(OR(NOT(ISNUMBER(S892)),IF(ISNUMBER(G892),G892,F892)=0),"",S892/IF(ISNUMBER(G892),G892,F892))</f>
        <v/>
      </c>
      <c r="U892" s="46">
        <f>IF(ISNUMBER(T892),ABS(T892),"")</f>
        <v/>
      </c>
      <c r="V892" s="46">
        <f>IF(OR($D891&lt;&gt;"측정",$C891&lt;&gt;$C892,NOT(ISNUMBER(L892)),NOT(ISNUMBER(L891)),(IF(ISNUMBER(G892),G892,F892)-IF(ISNUMBER(G891),G891,F891))=0),"",(L892-L891)/(IF(ISNUMBER(G892),G892,F892)-IF(ISNUMBER(G891),G891,F891)))</f>
        <v/>
      </c>
      <c r="W892" s="30">
        <f>IF(NOT(AND(ISNUMBER(N892),ISNUMBER(P892))),"",(P892-N892)*1440)</f>
        <v/>
      </c>
      <c r="X892" s="28" t="n"/>
      <c r="Y892" s="28" t="n"/>
      <c r="Z892" s="28" t="n"/>
      <c r="AA892" s="31" t="n"/>
      <c r="AB892" s="31" t="n"/>
    </row>
    <row r="893">
      <c r="A893" s="25" t="inlineStr">
        <is>
          <t>S18</t>
        </is>
      </c>
      <c r="B893" s="25" t="inlineStr">
        <is>
          <t>통영 신규점</t>
        </is>
      </c>
      <c r="C893" s="25" t="inlineStr">
        <is>
          <t>S18-H동</t>
        </is>
      </c>
      <c r="D893" s="25" t="inlineStr">
        <is>
          <t>측정</t>
        </is>
      </c>
      <c r="E893" s="25" t="inlineStr">
        <is>
          <t>동</t>
        </is>
      </c>
      <c r="F893" s="30" t="n">
        <v>3</v>
      </c>
      <c r="G893" s="29" t="n"/>
      <c r="H893" s="42" t="n"/>
      <c r="I893" s="40" t="n"/>
      <c r="J893" s="40" t="n"/>
      <c r="K893" s="40" t="n"/>
      <c r="L893" s="30">
        <f>IF(COUNT(I893:K893)=0,"",MEDIAN(I893:K893))</f>
        <v/>
      </c>
      <c r="M893" s="25">
        <f>IF(COUNTIFS($C:$C,$C893,$D:$D,"P0(전)",$L:$L,"&gt;0")&lt;&gt;1,"P0(전) 유효 1개 아님",IF(COUNTIFS($C:$C,$C893,$D:$D,"P0(후)",$L:$L,"&gt;0")&lt;&gt;1,"P0(후) 유효 1개 아님",IF(NOT(AND(ISNUMBER(N893),ISNUMBER(P893),ISNUMBER(H893))),"시각 결측",IF(P893&lt;=N893,"P0 시각 역전",IF(OR(H893&lt;N893,H893&gt;P893),"측정시각 구간 밖","OK")))))</f>
        <v/>
      </c>
      <c r="N893" s="45">
        <f>IF(COUNTIFS($C:$C,$C893,$D:$D,"P0(전)",$L:$L,"&gt;0")&lt;&gt;1,"",SUMIFS($H:$H,$C:$C,$C893,$D:$D,"P0(전)"))</f>
        <v/>
      </c>
      <c r="O893" s="30">
        <f>IF(COUNTIFS($C:$C,$C893,$D:$D,"P0(전)",$L:$L,"&gt;0")&lt;&gt;1,"",SUMIFS($L:$L,$C:$C,$C893,$D:$D,"P0(전)"))</f>
        <v/>
      </c>
      <c r="P893" s="45">
        <f>IF(COUNTIFS($C:$C,$C893,$D:$D,"P0(후)",$L:$L,"&gt;0")&lt;&gt;1,"",SUMIFS($H:$H,$C:$C,$C893,$D:$D,"P0(후)"))</f>
        <v/>
      </c>
      <c r="Q893" s="30">
        <f>IF(COUNTIFS($C:$C,$C893,$D:$D,"P0(후)",$L:$L,"&gt;0")&lt;&gt;1,"",SUMIFS($L:$L,$C:$C,$C893,$D:$D,"P0(후)"))</f>
        <v/>
      </c>
      <c r="R893" s="30">
        <f>IF(M893&lt;&gt;"OK","",O893+(Q893-O893)*(H893-N893)/(P893-N893))</f>
        <v/>
      </c>
      <c r="S893" s="30">
        <f>IF(OR(M893&lt;&gt;"OK",NOT(ISNUMBER(L893))),"",L893-R893)</f>
        <v/>
      </c>
      <c r="T893" s="46">
        <f>IF(OR(NOT(ISNUMBER(S893)),IF(ISNUMBER(G893),G893,F893)=0),"",S893/IF(ISNUMBER(G893),G893,F893))</f>
        <v/>
      </c>
      <c r="U893" s="46">
        <f>IF(ISNUMBER(T893),ABS(T893),"")</f>
        <v/>
      </c>
      <c r="V893" s="46">
        <f>IF(OR($D892&lt;&gt;"측정",$C892&lt;&gt;$C893,NOT(ISNUMBER(L893)),NOT(ISNUMBER(L892)),(IF(ISNUMBER(G893),G893,F893)-IF(ISNUMBER(G892),G892,F892))=0),"",(L893-L892)/(IF(ISNUMBER(G893),G893,F893)-IF(ISNUMBER(G892),G892,F892)))</f>
        <v/>
      </c>
      <c r="W893" s="30">
        <f>IF(NOT(AND(ISNUMBER(N893),ISNUMBER(P893))),"",(P893-N893)*1440)</f>
        <v/>
      </c>
      <c r="X893" s="28" t="n"/>
      <c r="Y893" s="28" t="n"/>
      <c r="Z893" s="28" t="n"/>
      <c r="AA893" s="31" t="n"/>
      <c r="AB893" s="31" t="n"/>
    </row>
    <row r="894">
      <c r="A894" s="25" t="inlineStr">
        <is>
          <t>S18</t>
        </is>
      </c>
      <c r="B894" s="25" t="inlineStr">
        <is>
          <t>통영 신규점</t>
        </is>
      </c>
      <c r="C894" s="25" t="inlineStr">
        <is>
          <t>S18-H동</t>
        </is>
      </c>
      <c r="D894" s="25" t="inlineStr">
        <is>
          <t>측정</t>
        </is>
      </c>
      <c r="E894" s="25" t="inlineStr">
        <is>
          <t>동</t>
        </is>
      </c>
      <c r="F894" s="30" t="n">
        <v>4</v>
      </c>
      <c r="G894" s="29" t="n"/>
      <c r="H894" s="42" t="n"/>
      <c r="I894" s="40" t="n"/>
      <c r="J894" s="40" t="n"/>
      <c r="K894" s="40" t="n"/>
      <c r="L894" s="30">
        <f>IF(COUNT(I894:K894)=0,"",MEDIAN(I894:K894))</f>
        <v/>
      </c>
      <c r="M894" s="25">
        <f>IF(COUNTIFS($C:$C,$C894,$D:$D,"P0(전)",$L:$L,"&gt;0")&lt;&gt;1,"P0(전) 유효 1개 아님",IF(COUNTIFS($C:$C,$C894,$D:$D,"P0(후)",$L:$L,"&gt;0")&lt;&gt;1,"P0(후) 유효 1개 아님",IF(NOT(AND(ISNUMBER(N894),ISNUMBER(P894),ISNUMBER(H894))),"시각 결측",IF(P894&lt;=N894,"P0 시각 역전",IF(OR(H894&lt;N894,H894&gt;P894),"측정시각 구간 밖","OK")))))</f>
        <v/>
      </c>
      <c r="N894" s="45">
        <f>IF(COUNTIFS($C:$C,$C894,$D:$D,"P0(전)",$L:$L,"&gt;0")&lt;&gt;1,"",SUMIFS($H:$H,$C:$C,$C894,$D:$D,"P0(전)"))</f>
        <v/>
      </c>
      <c r="O894" s="30">
        <f>IF(COUNTIFS($C:$C,$C894,$D:$D,"P0(전)",$L:$L,"&gt;0")&lt;&gt;1,"",SUMIFS($L:$L,$C:$C,$C894,$D:$D,"P0(전)"))</f>
        <v/>
      </c>
      <c r="P894" s="45">
        <f>IF(COUNTIFS($C:$C,$C894,$D:$D,"P0(후)",$L:$L,"&gt;0")&lt;&gt;1,"",SUMIFS($H:$H,$C:$C,$C894,$D:$D,"P0(후)"))</f>
        <v/>
      </c>
      <c r="Q894" s="30">
        <f>IF(COUNTIFS($C:$C,$C894,$D:$D,"P0(후)",$L:$L,"&gt;0")&lt;&gt;1,"",SUMIFS($L:$L,$C:$C,$C894,$D:$D,"P0(후)"))</f>
        <v/>
      </c>
      <c r="R894" s="30">
        <f>IF(M894&lt;&gt;"OK","",O894+(Q894-O894)*(H894-N894)/(P894-N894))</f>
        <v/>
      </c>
      <c r="S894" s="30">
        <f>IF(OR(M894&lt;&gt;"OK",NOT(ISNUMBER(L894))),"",L894-R894)</f>
        <v/>
      </c>
      <c r="T894" s="46">
        <f>IF(OR(NOT(ISNUMBER(S894)),IF(ISNUMBER(G894),G894,F894)=0),"",S894/IF(ISNUMBER(G894),G894,F894))</f>
        <v/>
      </c>
      <c r="U894" s="46">
        <f>IF(ISNUMBER(T894),ABS(T894),"")</f>
        <v/>
      </c>
      <c r="V894" s="46">
        <f>IF(OR($D893&lt;&gt;"측정",$C893&lt;&gt;$C894,NOT(ISNUMBER(L894)),NOT(ISNUMBER(L893)),(IF(ISNUMBER(G894),G894,F894)-IF(ISNUMBER(G893),G893,F893))=0),"",(L894-L893)/(IF(ISNUMBER(G894),G894,F894)-IF(ISNUMBER(G893),G893,F893)))</f>
        <v/>
      </c>
      <c r="W894" s="30">
        <f>IF(NOT(AND(ISNUMBER(N894),ISNUMBER(P894))),"",(P894-N894)*1440)</f>
        <v/>
      </c>
      <c r="X894" s="28" t="n"/>
      <c r="Y894" s="28" t="n"/>
      <c r="Z894" s="28" t="n"/>
      <c r="AA894" s="31" t="n"/>
      <c r="AB894" s="31" t="n"/>
    </row>
    <row r="895">
      <c r="A895" s="25" t="inlineStr">
        <is>
          <t>S18</t>
        </is>
      </c>
      <c r="B895" s="25" t="inlineStr">
        <is>
          <t>통영 신규점</t>
        </is>
      </c>
      <c r="C895" s="25" t="inlineStr">
        <is>
          <t>S18-H동</t>
        </is>
      </c>
      <c r="D895" s="25" t="inlineStr">
        <is>
          <t>측정</t>
        </is>
      </c>
      <c r="E895" s="25" t="inlineStr">
        <is>
          <t>동</t>
        </is>
      </c>
      <c r="F895" s="30" t="n">
        <v>5</v>
      </c>
      <c r="G895" s="29" t="n"/>
      <c r="H895" s="42" t="n"/>
      <c r="I895" s="40" t="n"/>
      <c r="J895" s="40" t="n"/>
      <c r="K895" s="40" t="n"/>
      <c r="L895" s="30">
        <f>IF(COUNT(I895:K895)=0,"",MEDIAN(I895:K895))</f>
        <v/>
      </c>
      <c r="M895" s="25">
        <f>IF(COUNTIFS($C:$C,$C895,$D:$D,"P0(전)",$L:$L,"&gt;0")&lt;&gt;1,"P0(전) 유효 1개 아님",IF(COUNTIFS($C:$C,$C895,$D:$D,"P0(후)",$L:$L,"&gt;0")&lt;&gt;1,"P0(후) 유효 1개 아님",IF(NOT(AND(ISNUMBER(N895),ISNUMBER(P895),ISNUMBER(H895))),"시각 결측",IF(P895&lt;=N895,"P0 시각 역전",IF(OR(H895&lt;N895,H895&gt;P895),"측정시각 구간 밖","OK")))))</f>
        <v/>
      </c>
      <c r="N895" s="45">
        <f>IF(COUNTIFS($C:$C,$C895,$D:$D,"P0(전)",$L:$L,"&gt;0")&lt;&gt;1,"",SUMIFS($H:$H,$C:$C,$C895,$D:$D,"P0(전)"))</f>
        <v/>
      </c>
      <c r="O895" s="30">
        <f>IF(COUNTIFS($C:$C,$C895,$D:$D,"P0(전)",$L:$L,"&gt;0")&lt;&gt;1,"",SUMIFS($L:$L,$C:$C,$C895,$D:$D,"P0(전)"))</f>
        <v/>
      </c>
      <c r="P895" s="45">
        <f>IF(COUNTIFS($C:$C,$C895,$D:$D,"P0(후)",$L:$L,"&gt;0")&lt;&gt;1,"",SUMIFS($H:$H,$C:$C,$C895,$D:$D,"P0(후)"))</f>
        <v/>
      </c>
      <c r="Q895" s="30">
        <f>IF(COUNTIFS($C:$C,$C895,$D:$D,"P0(후)",$L:$L,"&gt;0")&lt;&gt;1,"",SUMIFS($L:$L,$C:$C,$C895,$D:$D,"P0(후)"))</f>
        <v/>
      </c>
      <c r="R895" s="30">
        <f>IF(M895&lt;&gt;"OK","",O895+(Q895-O895)*(H895-N895)/(P895-N895))</f>
        <v/>
      </c>
      <c r="S895" s="30">
        <f>IF(OR(M895&lt;&gt;"OK",NOT(ISNUMBER(L895))),"",L895-R895)</f>
        <v/>
      </c>
      <c r="T895" s="46">
        <f>IF(OR(NOT(ISNUMBER(S895)),IF(ISNUMBER(G895),G895,F895)=0),"",S895/IF(ISNUMBER(G895),G895,F895))</f>
        <v/>
      </c>
      <c r="U895" s="46">
        <f>IF(ISNUMBER(T895),ABS(T895),"")</f>
        <v/>
      </c>
      <c r="V895" s="46">
        <f>IF(OR($D894&lt;&gt;"측정",$C894&lt;&gt;$C895,NOT(ISNUMBER(L895)),NOT(ISNUMBER(L894)),(IF(ISNUMBER(G895),G895,F895)-IF(ISNUMBER(G894),G894,F894))=0),"",(L895-L894)/(IF(ISNUMBER(G895),G895,F895)-IF(ISNUMBER(G894),G894,F894)))</f>
        <v/>
      </c>
      <c r="W895" s="30">
        <f>IF(NOT(AND(ISNUMBER(N895),ISNUMBER(P895))),"",(P895-N895)*1440)</f>
        <v/>
      </c>
      <c r="X895" s="28" t="n"/>
      <c r="Y895" s="28" t="n"/>
      <c r="Z895" s="28" t="n"/>
      <c r="AA895" s="31" t="n"/>
      <c r="AB895" s="31" t="n"/>
    </row>
    <row r="896">
      <c r="A896" s="25" t="inlineStr">
        <is>
          <t>S18</t>
        </is>
      </c>
      <c r="B896" s="25" t="inlineStr">
        <is>
          <t>통영 신규점</t>
        </is>
      </c>
      <c r="C896" s="25" t="inlineStr">
        <is>
          <t>S18-H동</t>
        </is>
      </c>
      <c r="D896" s="25" t="inlineStr">
        <is>
          <t>측정</t>
        </is>
      </c>
      <c r="E896" s="25" t="inlineStr">
        <is>
          <t>동</t>
        </is>
      </c>
      <c r="F896" s="30" t="n">
        <v>6</v>
      </c>
      <c r="G896" s="29" t="n"/>
      <c r="H896" s="42" t="n"/>
      <c r="I896" s="40" t="n"/>
      <c r="J896" s="40" t="n"/>
      <c r="K896" s="40" t="n"/>
      <c r="L896" s="30">
        <f>IF(COUNT(I896:K896)=0,"",MEDIAN(I896:K896))</f>
        <v/>
      </c>
      <c r="M896" s="25">
        <f>IF(COUNTIFS($C:$C,$C896,$D:$D,"P0(전)",$L:$L,"&gt;0")&lt;&gt;1,"P0(전) 유효 1개 아님",IF(COUNTIFS($C:$C,$C896,$D:$D,"P0(후)",$L:$L,"&gt;0")&lt;&gt;1,"P0(후) 유효 1개 아님",IF(NOT(AND(ISNUMBER(N896),ISNUMBER(P896),ISNUMBER(H896))),"시각 결측",IF(P896&lt;=N896,"P0 시각 역전",IF(OR(H896&lt;N896,H896&gt;P896),"측정시각 구간 밖","OK")))))</f>
        <v/>
      </c>
      <c r="N896" s="45">
        <f>IF(COUNTIFS($C:$C,$C896,$D:$D,"P0(전)",$L:$L,"&gt;0")&lt;&gt;1,"",SUMIFS($H:$H,$C:$C,$C896,$D:$D,"P0(전)"))</f>
        <v/>
      </c>
      <c r="O896" s="30">
        <f>IF(COUNTIFS($C:$C,$C896,$D:$D,"P0(전)",$L:$L,"&gt;0")&lt;&gt;1,"",SUMIFS($L:$L,$C:$C,$C896,$D:$D,"P0(전)"))</f>
        <v/>
      </c>
      <c r="P896" s="45">
        <f>IF(COUNTIFS($C:$C,$C896,$D:$D,"P0(후)",$L:$L,"&gt;0")&lt;&gt;1,"",SUMIFS($H:$H,$C:$C,$C896,$D:$D,"P0(후)"))</f>
        <v/>
      </c>
      <c r="Q896" s="30">
        <f>IF(COUNTIFS($C:$C,$C896,$D:$D,"P0(후)",$L:$L,"&gt;0")&lt;&gt;1,"",SUMIFS($L:$L,$C:$C,$C896,$D:$D,"P0(후)"))</f>
        <v/>
      </c>
      <c r="R896" s="30">
        <f>IF(M896&lt;&gt;"OK","",O896+(Q896-O896)*(H896-N896)/(P896-N896))</f>
        <v/>
      </c>
      <c r="S896" s="30">
        <f>IF(OR(M896&lt;&gt;"OK",NOT(ISNUMBER(L896))),"",L896-R896)</f>
        <v/>
      </c>
      <c r="T896" s="46">
        <f>IF(OR(NOT(ISNUMBER(S896)),IF(ISNUMBER(G896),G896,F896)=0),"",S896/IF(ISNUMBER(G896),G896,F896))</f>
        <v/>
      </c>
      <c r="U896" s="46">
        <f>IF(ISNUMBER(T896),ABS(T896),"")</f>
        <v/>
      </c>
      <c r="V896" s="46">
        <f>IF(OR($D895&lt;&gt;"측정",$C895&lt;&gt;$C896,NOT(ISNUMBER(L896)),NOT(ISNUMBER(L895)),(IF(ISNUMBER(G896),G896,F896)-IF(ISNUMBER(G895),G895,F895))=0),"",(L896-L895)/(IF(ISNUMBER(G896),G896,F896)-IF(ISNUMBER(G895),G895,F895)))</f>
        <v/>
      </c>
      <c r="W896" s="30">
        <f>IF(NOT(AND(ISNUMBER(N896),ISNUMBER(P896))),"",(P896-N896)*1440)</f>
        <v/>
      </c>
      <c r="X896" s="28" t="n"/>
      <c r="Y896" s="28" t="n"/>
      <c r="Z896" s="28" t="n"/>
      <c r="AA896" s="31" t="n"/>
      <c r="AB896" s="31" t="n"/>
    </row>
    <row r="897">
      <c r="A897" s="25" t="inlineStr">
        <is>
          <t>S18</t>
        </is>
      </c>
      <c r="B897" s="25" t="inlineStr">
        <is>
          <t>통영 신규점</t>
        </is>
      </c>
      <c r="C897" s="25" t="inlineStr">
        <is>
          <t>S18-H동</t>
        </is>
      </c>
      <c r="D897" s="25" t="inlineStr">
        <is>
          <t>측정</t>
        </is>
      </c>
      <c r="E897" s="25" t="inlineStr">
        <is>
          <t>동</t>
        </is>
      </c>
      <c r="F897" s="30" t="n">
        <v>7</v>
      </c>
      <c r="G897" s="29" t="n"/>
      <c r="H897" s="42" t="n"/>
      <c r="I897" s="40" t="n"/>
      <c r="J897" s="40" t="n"/>
      <c r="K897" s="40" t="n"/>
      <c r="L897" s="30">
        <f>IF(COUNT(I897:K897)=0,"",MEDIAN(I897:K897))</f>
        <v/>
      </c>
      <c r="M897" s="25">
        <f>IF(COUNTIFS($C:$C,$C897,$D:$D,"P0(전)",$L:$L,"&gt;0")&lt;&gt;1,"P0(전) 유효 1개 아님",IF(COUNTIFS($C:$C,$C897,$D:$D,"P0(후)",$L:$L,"&gt;0")&lt;&gt;1,"P0(후) 유효 1개 아님",IF(NOT(AND(ISNUMBER(N897),ISNUMBER(P897),ISNUMBER(H897))),"시각 결측",IF(P897&lt;=N897,"P0 시각 역전",IF(OR(H897&lt;N897,H897&gt;P897),"측정시각 구간 밖","OK")))))</f>
        <v/>
      </c>
      <c r="N897" s="45">
        <f>IF(COUNTIFS($C:$C,$C897,$D:$D,"P0(전)",$L:$L,"&gt;0")&lt;&gt;1,"",SUMIFS($H:$H,$C:$C,$C897,$D:$D,"P0(전)"))</f>
        <v/>
      </c>
      <c r="O897" s="30">
        <f>IF(COUNTIFS($C:$C,$C897,$D:$D,"P0(전)",$L:$L,"&gt;0")&lt;&gt;1,"",SUMIFS($L:$L,$C:$C,$C897,$D:$D,"P0(전)"))</f>
        <v/>
      </c>
      <c r="P897" s="45">
        <f>IF(COUNTIFS($C:$C,$C897,$D:$D,"P0(후)",$L:$L,"&gt;0")&lt;&gt;1,"",SUMIFS($H:$H,$C:$C,$C897,$D:$D,"P0(후)"))</f>
        <v/>
      </c>
      <c r="Q897" s="30">
        <f>IF(COUNTIFS($C:$C,$C897,$D:$D,"P0(후)",$L:$L,"&gt;0")&lt;&gt;1,"",SUMIFS($L:$L,$C:$C,$C897,$D:$D,"P0(후)"))</f>
        <v/>
      </c>
      <c r="R897" s="30">
        <f>IF(M897&lt;&gt;"OK","",O897+(Q897-O897)*(H897-N897)/(P897-N897))</f>
        <v/>
      </c>
      <c r="S897" s="30">
        <f>IF(OR(M897&lt;&gt;"OK",NOT(ISNUMBER(L897))),"",L897-R897)</f>
        <v/>
      </c>
      <c r="T897" s="46">
        <f>IF(OR(NOT(ISNUMBER(S897)),IF(ISNUMBER(G897),G897,F897)=0),"",S897/IF(ISNUMBER(G897),G897,F897))</f>
        <v/>
      </c>
      <c r="U897" s="46">
        <f>IF(ISNUMBER(T897),ABS(T897),"")</f>
        <v/>
      </c>
      <c r="V897" s="46">
        <f>IF(OR($D896&lt;&gt;"측정",$C896&lt;&gt;$C897,NOT(ISNUMBER(L897)),NOT(ISNUMBER(L896)),(IF(ISNUMBER(G897),G897,F897)-IF(ISNUMBER(G896),G896,F896))=0),"",(L897-L896)/(IF(ISNUMBER(G897),G897,F897)-IF(ISNUMBER(G896),G896,F896)))</f>
        <v/>
      </c>
      <c r="W897" s="30">
        <f>IF(NOT(AND(ISNUMBER(N897),ISNUMBER(P897))),"",(P897-N897)*1440)</f>
        <v/>
      </c>
      <c r="X897" s="28" t="n"/>
      <c r="Y897" s="28" t="n"/>
      <c r="Z897" s="28" t="n"/>
      <c r="AA897" s="31" t="n"/>
      <c r="AB897" s="31" t="n"/>
    </row>
    <row r="898">
      <c r="A898" s="25" t="inlineStr">
        <is>
          <t>S18</t>
        </is>
      </c>
      <c r="B898" s="25" t="inlineStr">
        <is>
          <t>통영 신규점</t>
        </is>
      </c>
      <c r="C898" s="25" t="inlineStr">
        <is>
          <t>S18-H동</t>
        </is>
      </c>
      <c r="D898" s="25" t="inlineStr">
        <is>
          <t>측정</t>
        </is>
      </c>
      <c r="E898" s="25" t="inlineStr">
        <is>
          <t>동</t>
        </is>
      </c>
      <c r="F898" s="30" t="n">
        <v>8</v>
      </c>
      <c r="G898" s="29" t="n"/>
      <c r="H898" s="42" t="n"/>
      <c r="I898" s="40" t="n"/>
      <c r="J898" s="40" t="n"/>
      <c r="K898" s="40" t="n"/>
      <c r="L898" s="30">
        <f>IF(COUNT(I898:K898)=0,"",MEDIAN(I898:K898))</f>
        <v/>
      </c>
      <c r="M898" s="25">
        <f>IF(COUNTIFS($C:$C,$C898,$D:$D,"P0(전)",$L:$L,"&gt;0")&lt;&gt;1,"P0(전) 유효 1개 아님",IF(COUNTIFS($C:$C,$C898,$D:$D,"P0(후)",$L:$L,"&gt;0")&lt;&gt;1,"P0(후) 유효 1개 아님",IF(NOT(AND(ISNUMBER(N898),ISNUMBER(P898),ISNUMBER(H898))),"시각 결측",IF(P898&lt;=N898,"P0 시각 역전",IF(OR(H898&lt;N898,H898&gt;P898),"측정시각 구간 밖","OK")))))</f>
        <v/>
      </c>
      <c r="N898" s="45">
        <f>IF(COUNTIFS($C:$C,$C898,$D:$D,"P0(전)",$L:$L,"&gt;0")&lt;&gt;1,"",SUMIFS($H:$H,$C:$C,$C898,$D:$D,"P0(전)"))</f>
        <v/>
      </c>
      <c r="O898" s="30">
        <f>IF(COUNTIFS($C:$C,$C898,$D:$D,"P0(전)",$L:$L,"&gt;0")&lt;&gt;1,"",SUMIFS($L:$L,$C:$C,$C898,$D:$D,"P0(전)"))</f>
        <v/>
      </c>
      <c r="P898" s="45">
        <f>IF(COUNTIFS($C:$C,$C898,$D:$D,"P0(후)",$L:$L,"&gt;0")&lt;&gt;1,"",SUMIFS($H:$H,$C:$C,$C898,$D:$D,"P0(후)"))</f>
        <v/>
      </c>
      <c r="Q898" s="30">
        <f>IF(COUNTIFS($C:$C,$C898,$D:$D,"P0(후)",$L:$L,"&gt;0")&lt;&gt;1,"",SUMIFS($L:$L,$C:$C,$C898,$D:$D,"P0(후)"))</f>
        <v/>
      </c>
      <c r="R898" s="30">
        <f>IF(M898&lt;&gt;"OK","",O898+(Q898-O898)*(H898-N898)/(P898-N898))</f>
        <v/>
      </c>
      <c r="S898" s="30">
        <f>IF(OR(M898&lt;&gt;"OK",NOT(ISNUMBER(L898))),"",L898-R898)</f>
        <v/>
      </c>
      <c r="T898" s="46">
        <f>IF(OR(NOT(ISNUMBER(S898)),IF(ISNUMBER(G898),G898,F898)=0),"",S898/IF(ISNUMBER(G898),G898,F898))</f>
        <v/>
      </c>
      <c r="U898" s="46">
        <f>IF(ISNUMBER(T898),ABS(T898),"")</f>
        <v/>
      </c>
      <c r="V898" s="46">
        <f>IF(OR($D897&lt;&gt;"측정",$C897&lt;&gt;$C898,NOT(ISNUMBER(L898)),NOT(ISNUMBER(L897)),(IF(ISNUMBER(G898),G898,F898)-IF(ISNUMBER(G897),G897,F897))=0),"",(L898-L897)/(IF(ISNUMBER(G898),G898,F898)-IF(ISNUMBER(G897),G897,F897)))</f>
        <v/>
      </c>
      <c r="W898" s="30">
        <f>IF(NOT(AND(ISNUMBER(N898),ISNUMBER(P898))),"",(P898-N898)*1440)</f>
        <v/>
      </c>
      <c r="X898" s="28" t="n"/>
      <c r="Y898" s="28" t="n"/>
      <c r="Z898" s="28" t="n"/>
      <c r="AA898" s="31" t="n"/>
      <c r="AB898" s="31" t="n"/>
    </row>
    <row r="899">
      <c r="A899" s="25" t="inlineStr">
        <is>
          <t>S18</t>
        </is>
      </c>
      <c r="B899" s="25" t="inlineStr">
        <is>
          <t>통영 신규점</t>
        </is>
      </c>
      <c r="C899" s="25" t="inlineStr">
        <is>
          <t>S18-H동</t>
        </is>
      </c>
      <c r="D899" s="25" t="inlineStr">
        <is>
          <t>측정</t>
        </is>
      </c>
      <c r="E899" s="25" t="inlineStr">
        <is>
          <t>동</t>
        </is>
      </c>
      <c r="F899" s="30" t="n">
        <v>9</v>
      </c>
      <c r="G899" s="29" t="n"/>
      <c r="H899" s="42" t="n"/>
      <c r="I899" s="40" t="n"/>
      <c r="J899" s="40" t="n"/>
      <c r="K899" s="40" t="n"/>
      <c r="L899" s="30">
        <f>IF(COUNT(I899:K899)=0,"",MEDIAN(I899:K899))</f>
        <v/>
      </c>
      <c r="M899" s="25">
        <f>IF(COUNTIFS($C:$C,$C899,$D:$D,"P0(전)",$L:$L,"&gt;0")&lt;&gt;1,"P0(전) 유효 1개 아님",IF(COUNTIFS($C:$C,$C899,$D:$D,"P0(후)",$L:$L,"&gt;0")&lt;&gt;1,"P0(후) 유효 1개 아님",IF(NOT(AND(ISNUMBER(N899),ISNUMBER(P899),ISNUMBER(H899))),"시각 결측",IF(P899&lt;=N899,"P0 시각 역전",IF(OR(H899&lt;N899,H899&gt;P899),"측정시각 구간 밖","OK")))))</f>
        <v/>
      </c>
      <c r="N899" s="45">
        <f>IF(COUNTIFS($C:$C,$C899,$D:$D,"P0(전)",$L:$L,"&gt;0")&lt;&gt;1,"",SUMIFS($H:$H,$C:$C,$C899,$D:$D,"P0(전)"))</f>
        <v/>
      </c>
      <c r="O899" s="30">
        <f>IF(COUNTIFS($C:$C,$C899,$D:$D,"P0(전)",$L:$L,"&gt;0")&lt;&gt;1,"",SUMIFS($L:$L,$C:$C,$C899,$D:$D,"P0(전)"))</f>
        <v/>
      </c>
      <c r="P899" s="45">
        <f>IF(COUNTIFS($C:$C,$C899,$D:$D,"P0(후)",$L:$L,"&gt;0")&lt;&gt;1,"",SUMIFS($H:$H,$C:$C,$C899,$D:$D,"P0(후)"))</f>
        <v/>
      </c>
      <c r="Q899" s="30">
        <f>IF(COUNTIFS($C:$C,$C899,$D:$D,"P0(후)",$L:$L,"&gt;0")&lt;&gt;1,"",SUMIFS($L:$L,$C:$C,$C899,$D:$D,"P0(후)"))</f>
        <v/>
      </c>
      <c r="R899" s="30">
        <f>IF(M899&lt;&gt;"OK","",O899+(Q899-O899)*(H899-N899)/(P899-N899))</f>
        <v/>
      </c>
      <c r="S899" s="30">
        <f>IF(OR(M899&lt;&gt;"OK",NOT(ISNUMBER(L899))),"",L899-R899)</f>
        <v/>
      </c>
      <c r="T899" s="46">
        <f>IF(OR(NOT(ISNUMBER(S899)),IF(ISNUMBER(G899),G899,F899)=0),"",S899/IF(ISNUMBER(G899),G899,F899))</f>
        <v/>
      </c>
      <c r="U899" s="46">
        <f>IF(ISNUMBER(T899),ABS(T899),"")</f>
        <v/>
      </c>
      <c r="V899" s="46">
        <f>IF(OR($D898&lt;&gt;"측정",$C898&lt;&gt;$C899,NOT(ISNUMBER(L899)),NOT(ISNUMBER(L898)),(IF(ISNUMBER(G899),G899,F899)-IF(ISNUMBER(G898),G898,F898))=0),"",(L899-L898)/(IF(ISNUMBER(G899),G899,F899)-IF(ISNUMBER(G898),G898,F898)))</f>
        <v/>
      </c>
      <c r="W899" s="30">
        <f>IF(NOT(AND(ISNUMBER(N899),ISNUMBER(P899))),"",(P899-N899)*1440)</f>
        <v/>
      </c>
      <c r="X899" s="28" t="n"/>
      <c r="Y899" s="28" t="n"/>
      <c r="Z899" s="28" t="n"/>
      <c r="AA899" s="31" t="n"/>
      <c r="AB899" s="31" t="n"/>
    </row>
    <row r="900">
      <c r="A900" s="25" t="inlineStr">
        <is>
          <t>S18</t>
        </is>
      </c>
      <c r="B900" s="25" t="inlineStr">
        <is>
          <t>통영 신규점</t>
        </is>
      </c>
      <c r="C900" s="25" t="inlineStr">
        <is>
          <t>S18-H동</t>
        </is>
      </c>
      <c r="D900" s="25" t="inlineStr">
        <is>
          <t>측정</t>
        </is>
      </c>
      <c r="E900" s="25" t="inlineStr">
        <is>
          <t>동</t>
        </is>
      </c>
      <c r="F900" s="30" t="n">
        <v>10</v>
      </c>
      <c r="G900" s="29" t="n"/>
      <c r="H900" s="42" t="n"/>
      <c r="I900" s="40" t="n"/>
      <c r="J900" s="40" t="n"/>
      <c r="K900" s="40" t="n"/>
      <c r="L900" s="30">
        <f>IF(COUNT(I900:K900)=0,"",MEDIAN(I900:K900))</f>
        <v/>
      </c>
      <c r="M900" s="25">
        <f>IF(COUNTIFS($C:$C,$C900,$D:$D,"P0(전)",$L:$L,"&gt;0")&lt;&gt;1,"P0(전) 유효 1개 아님",IF(COUNTIFS($C:$C,$C900,$D:$D,"P0(후)",$L:$L,"&gt;0")&lt;&gt;1,"P0(후) 유효 1개 아님",IF(NOT(AND(ISNUMBER(N900),ISNUMBER(P900),ISNUMBER(H900))),"시각 결측",IF(P900&lt;=N900,"P0 시각 역전",IF(OR(H900&lt;N900,H900&gt;P900),"측정시각 구간 밖","OK")))))</f>
        <v/>
      </c>
      <c r="N900" s="45">
        <f>IF(COUNTIFS($C:$C,$C900,$D:$D,"P0(전)",$L:$L,"&gt;0")&lt;&gt;1,"",SUMIFS($H:$H,$C:$C,$C900,$D:$D,"P0(전)"))</f>
        <v/>
      </c>
      <c r="O900" s="30">
        <f>IF(COUNTIFS($C:$C,$C900,$D:$D,"P0(전)",$L:$L,"&gt;0")&lt;&gt;1,"",SUMIFS($L:$L,$C:$C,$C900,$D:$D,"P0(전)"))</f>
        <v/>
      </c>
      <c r="P900" s="45">
        <f>IF(COUNTIFS($C:$C,$C900,$D:$D,"P0(후)",$L:$L,"&gt;0")&lt;&gt;1,"",SUMIFS($H:$H,$C:$C,$C900,$D:$D,"P0(후)"))</f>
        <v/>
      </c>
      <c r="Q900" s="30">
        <f>IF(COUNTIFS($C:$C,$C900,$D:$D,"P0(후)",$L:$L,"&gt;0")&lt;&gt;1,"",SUMIFS($L:$L,$C:$C,$C900,$D:$D,"P0(후)"))</f>
        <v/>
      </c>
      <c r="R900" s="30">
        <f>IF(M900&lt;&gt;"OK","",O900+(Q900-O900)*(H900-N900)/(P900-N900))</f>
        <v/>
      </c>
      <c r="S900" s="30">
        <f>IF(OR(M900&lt;&gt;"OK",NOT(ISNUMBER(L900))),"",L900-R900)</f>
        <v/>
      </c>
      <c r="T900" s="46">
        <f>IF(OR(NOT(ISNUMBER(S900)),IF(ISNUMBER(G900),G900,F900)=0),"",S900/IF(ISNUMBER(G900),G900,F900))</f>
        <v/>
      </c>
      <c r="U900" s="46">
        <f>IF(ISNUMBER(T900),ABS(T900),"")</f>
        <v/>
      </c>
      <c r="V900" s="46">
        <f>IF(OR($D899&lt;&gt;"측정",$C899&lt;&gt;$C900,NOT(ISNUMBER(L900)),NOT(ISNUMBER(L899)),(IF(ISNUMBER(G900),G900,F900)-IF(ISNUMBER(G899),G899,F899))=0),"",(L900-L899)/(IF(ISNUMBER(G900),G900,F900)-IF(ISNUMBER(G899),G899,F899)))</f>
        <v/>
      </c>
      <c r="W900" s="30">
        <f>IF(NOT(AND(ISNUMBER(N900),ISNUMBER(P900))),"",(P900-N900)*1440)</f>
        <v/>
      </c>
      <c r="X900" s="28" t="n"/>
      <c r="Y900" s="28" t="n"/>
      <c r="Z900" s="28" t="n"/>
      <c r="AA900" s="31" t="n"/>
      <c r="AB900" s="31" t="n"/>
    </row>
    <row r="901">
      <c r="A901" s="43" t="inlineStr">
        <is>
          <t>S18</t>
        </is>
      </c>
      <c r="B901" s="43" t="inlineStr">
        <is>
          <t>통영 신규점</t>
        </is>
      </c>
      <c r="C901" s="43" t="inlineStr">
        <is>
          <t>S18-H동</t>
        </is>
      </c>
      <c r="D901" s="43" t="inlineStr">
        <is>
          <t>P0(후)</t>
        </is>
      </c>
      <c r="E901" s="43" t="inlineStr">
        <is>
          <t>동</t>
        </is>
      </c>
      <c r="F901" s="44" t="n"/>
      <c r="G901" s="29" t="n"/>
      <c r="H901" s="42" t="n"/>
      <c r="I901" s="40" t="n"/>
      <c r="J901" s="40" t="n"/>
      <c r="K901" s="40" t="n"/>
      <c r="L901" s="30">
        <f>IF(COUNT(I901:K901)=0,"",MEDIAN(I901:K901))</f>
        <v/>
      </c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28" t="n"/>
      <c r="Y901" s="28" t="n"/>
      <c r="Z901" s="28" t="n"/>
      <c r="AA901" s="31" t="n"/>
      <c r="AB901" s="31" t="n"/>
    </row>
    <row r="902">
      <c r="A902" s="43" t="inlineStr">
        <is>
          <t>S18</t>
        </is>
      </c>
      <c r="B902" s="43" t="inlineStr">
        <is>
          <t>통영 신규점</t>
        </is>
      </c>
      <c r="C902" s="43" t="inlineStr">
        <is>
          <t>S18-H서</t>
        </is>
      </c>
      <c r="D902" s="43" t="inlineStr">
        <is>
          <t>P0(전)</t>
        </is>
      </c>
      <c r="E902" s="43" t="inlineStr">
        <is>
          <t>서</t>
        </is>
      </c>
      <c r="F902" s="44" t="n"/>
      <c r="G902" s="29" t="n"/>
      <c r="H902" s="42" t="n"/>
      <c r="I902" s="40" t="n"/>
      <c r="J902" s="40" t="n"/>
      <c r="K902" s="40" t="n"/>
      <c r="L902" s="30">
        <f>IF(COUNT(I902:K902)=0,"",MEDIAN(I902:K902))</f>
        <v/>
      </c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28" t="n"/>
      <c r="Y902" s="28" t="n"/>
      <c r="Z902" s="28" t="n"/>
      <c r="AA902" s="31" t="n"/>
      <c r="AB902" s="31" t="n"/>
    </row>
    <row r="903">
      <c r="A903" s="25" t="inlineStr">
        <is>
          <t>S18</t>
        </is>
      </c>
      <c r="B903" s="25" t="inlineStr">
        <is>
          <t>통영 신규점</t>
        </is>
      </c>
      <c r="C903" s="25" t="inlineStr">
        <is>
          <t>S18-H서</t>
        </is>
      </c>
      <c r="D903" s="25" t="inlineStr">
        <is>
          <t>측정</t>
        </is>
      </c>
      <c r="E903" s="25" t="inlineStr">
        <is>
          <t>서</t>
        </is>
      </c>
      <c r="F903" s="30" t="n">
        <v>0.5</v>
      </c>
      <c r="G903" s="29" t="n"/>
      <c r="H903" s="42" t="n"/>
      <c r="I903" s="40" t="n"/>
      <c r="J903" s="40" t="n"/>
      <c r="K903" s="40" t="n"/>
      <c r="L903" s="30">
        <f>IF(COUNT(I903:K903)=0,"",MEDIAN(I903:K903))</f>
        <v/>
      </c>
      <c r="M903" s="25">
        <f>IF(COUNTIFS($C:$C,$C903,$D:$D,"P0(전)",$L:$L,"&gt;0")&lt;&gt;1,"P0(전) 유효 1개 아님",IF(COUNTIFS($C:$C,$C903,$D:$D,"P0(후)",$L:$L,"&gt;0")&lt;&gt;1,"P0(후) 유효 1개 아님",IF(NOT(AND(ISNUMBER(N903),ISNUMBER(P903),ISNUMBER(H903))),"시각 결측",IF(P903&lt;=N903,"P0 시각 역전",IF(OR(H903&lt;N903,H903&gt;P903),"측정시각 구간 밖","OK")))))</f>
        <v/>
      </c>
      <c r="N903" s="45">
        <f>IF(COUNTIFS($C:$C,$C903,$D:$D,"P0(전)",$L:$L,"&gt;0")&lt;&gt;1,"",SUMIFS($H:$H,$C:$C,$C903,$D:$D,"P0(전)"))</f>
        <v/>
      </c>
      <c r="O903" s="30">
        <f>IF(COUNTIFS($C:$C,$C903,$D:$D,"P0(전)",$L:$L,"&gt;0")&lt;&gt;1,"",SUMIFS($L:$L,$C:$C,$C903,$D:$D,"P0(전)"))</f>
        <v/>
      </c>
      <c r="P903" s="45">
        <f>IF(COUNTIFS($C:$C,$C903,$D:$D,"P0(후)",$L:$L,"&gt;0")&lt;&gt;1,"",SUMIFS($H:$H,$C:$C,$C903,$D:$D,"P0(후)"))</f>
        <v/>
      </c>
      <c r="Q903" s="30">
        <f>IF(COUNTIFS($C:$C,$C903,$D:$D,"P0(후)",$L:$L,"&gt;0")&lt;&gt;1,"",SUMIFS($L:$L,$C:$C,$C903,$D:$D,"P0(후)"))</f>
        <v/>
      </c>
      <c r="R903" s="30">
        <f>IF(M903&lt;&gt;"OK","",O903+(Q903-O903)*(H903-N903)/(P903-N903))</f>
        <v/>
      </c>
      <c r="S903" s="30">
        <f>IF(OR(M903&lt;&gt;"OK",NOT(ISNUMBER(L903))),"",L903-R903)</f>
        <v/>
      </c>
      <c r="T903" s="46">
        <f>IF(OR(NOT(ISNUMBER(S903)),IF(ISNUMBER(G903),G903,F903)=0),"",S903/IF(ISNUMBER(G903),G903,F903))</f>
        <v/>
      </c>
      <c r="U903" s="46">
        <f>IF(ISNUMBER(T903),ABS(T903),"")</f>
        <v/>
      </c>
      <c r="V903" s="46">
        <f>IF(OR($D902&lt;&gt;"측정",$C902&lt;&gt;$C903,NOT(ISNUMBER(L903)),NOT(ISNUMBER(L902)),(IF(ISNUMBER(G903),G903,F903)-IF(ISNUMBER(G902),G902,F902))=0),"",(L903-L902)/(IF(ISNUMBER(G903),G903,F903)-IF(ISNUMBER(G902),G902,F902)))</f>
        <v/>
      </c>
      <c r="W903" s="30">
        <f>IF(NOT(AND(ISNUMBER(N903),ISNUMBER(P903))),"",(P903-N903)*1440)</f>
        <v/>
      </c>
      <c r="X903" s="28" t="n"/>
      <c r="Y903" s="28" t="n"/>
      <c r="Z903" s="28" t="n"/>
      <c r="AA903" s="31" t="n"/>
      <c r="AB903" s="31" t="n"/>
    </row>
    <row r="904">
      <c r="A904" s="25" t="inlineStr">
        <is>
          <t>S18</t>
        </is>
      </c>
      <c r="B904" s="25" t="inlineStr">
        <is>
          <t>통영 신규점</t>
        </is>
      </c>
      <c r="C904" s="25" t="inlineStr">
        <is>
          <t>S18-H서</t>
        </is>
      </c>
      <c r="D904" s="25" t="inlineStr">
        <is>
          <t>측정</t>
        </is>
      </c>
      <c r="E904" s="25" t="inlineStr">
        <is>
          <t>서</t>
        </is>
      </c>
      <c r="F904" s="30" t="n">
        <v>1</v>
      </c>
      <c r="G904" s="29" t="n"/>
      <c r="H904" s="42" t="n"/>
      <c r="I904" s="40" t="n"/>
      <c r="J904" s="40" t="n"/>
      <c r="K904" s="40" t="n"/>
      <c r="L904" s="30">
        <f>IF(COUNT(I904:K904)=0,"",MEDIAN(I904:K904))</f>
        <v/>
      </c>
      <c r="M904" s="25">
        <f>IF(COUNTIFS($C:$C,$C904,$D:$D,"P0(전)",$L:$L,"&gt;0")&lt;&gt;1,"P0(전) 유효 1개 아님",IF(COUNTIFS($C:$C,$C904,$D:$D,"P0(후)",$L:$L,"&gt;0")&lt;&gt;1,"P0(후) 유효 1개 아님",IF(NOT(AND(ISNUMBER(N904),ISNUMBER(P904),ISNUMBER(H904))),"시각 결측",IF(P904&lt;=N904,"P0 시각 역전",IF(OR(H904&lt;N904,H904&gt;P904),"측정시각 구간 밖","OK")))))</f>
        <v/>
      </c>
      <c r="N904" s="45">
        <f>IF(COUNTIFS($C:$C,$C904,$D:$D,"P0(전)",$L:$L,"&gt;0")&lt;&gt;1,"",SUMIFS($H:$H,$C:$C,$C904,$D:$D,"P0(전)"))</f>
        <v/>
      </c>
      <c r="O904" s="30">
        <f>IF(COUNTIFS($C:$C,$C904,$D:$D,"P0(전)",$L:$L,"&gt;0")&lt;&gt;1,"",SUMIFS($L:$L,$C:$C,$C904,$D:$D,"P0(전)"))</f>
        <v/>
      </c>
      <c r="P904" s="45">
        <f>IF(COUNTIFS($C:$C,$C904,$D:$D,"P0(후)",$L:$L,"&gt;0")&lt;&gt;1,"",SUMIFS($H:$H,$C:$C,$C904,$D:$D,"P0(후)"))</f>
        <v/>
      </c>
      <c r="Q904" s="30">
        <f>IF(COUNTIFS($C:$C,$C904,$D:$D,"P0(후)",$L:$L,"&gt;0")&lt;&gt;1,"",SUMIFS($L:$L,$C:$C,$C904,$D:$D,"P0(후)"))</f>
        <v/>
      </c>
      <c r="R904" s="30">
        <f>IF(M904&lt;&gt;"OK","",O904+(Q904-O904)*(H904-N904)/(P904-N904))</f>
        <v/>
      </c>
      <c r="S904" s="30">
        <f>IF(OR(M904&lt;&gt;"OK",NOT(ISNUMBER(L904))),"",L904-R904)</f>
        <v/>
      </c>
      <c r="T904" s="46">
        <f>IF(OR(NOT(ISNUMBER(S904)),IF(ISNUMBER(G904),G904,F904)=0),"",S904/IF(ISNUMBER(G904),G904,F904))</f>
        <v/>
      </c>
      <c r="U904" s="46">
        <f>IF(ISNUMBER(T904),ABS(T904),"")</f>
        <v/>
      </c>
      <c r="V904" s="46">
        <f>IF(OR($D903&lt;&gt;"측정",$C903&lt;&gt;$C904,NOT(ISNUMBER(L904)),NOT(ISNUMBER(L903)),(IF(ISNUMBER(G904),G904,F904)-IF(ISNUMBER(G903),G903,F903))=0),"",(L904-L903)/(IF(ISNUMBER(G904),G904,F904)-IF(ISNUMBER(G903),G903,F903)))</f>
        <v/>
      </c>
      <c r="W904" s="30">
        <f>IF(NOT(AND(ISNUMBER(N904),ISNUMBER(P904))),"",(P904-N904)*1440)</f>
        <v/>
      </c>
      <c r="X904" s="28" t="n"/>
      <c r="Y904" s="28" t="n"/>
      <c r="Z904" s="28" t="n"/>
      <c r="AA904" s="31" t="n"/>
      <c r="AB904" s="31" t="n"/>
    </row>
    <row r="905">
      <c r="A905" s="25" t="inlineStr">
        <is>
          <t>S18</t>
        </is>
      </c>
      <c r="B905" s="25" t="inlineStr">
        <is>
          <t>통영 신규점</t>
        </is>
      </c>
      <c r="C905" s="25" t="inlineStr">
        <is>
          <t>S18-H서</t>
        </is>
      </c>
      <c r="D905" s="25" t="inlineStr">
        <is>
          <t>측정</t>
        </is>
      </c>
      <c r="E905" s="25" t="inlineStr">
        <is>
          <t>서</t>
        </is>
      </c>
      <c r="F905" s="30" t="n">
        <v>2</v>
      </c>
      <c r="G905" s="29" t="n"/>
      <c r="H905" s="42" t="n"/>
      <c r="I905" s="40" t="n"/>
      <c r="J905" s="40" t="n"/>
      <c r="K905" s="40" t="n"/>
      <c r="L905" s="30">
        <f>IF(COUNT(I905:K905)=0,"",MEDIAN(I905:K905))</f>
        <v/>
      </c>
      <c r="M905" s="25">
        <f>IF(COUNTIFS($C:$C,$C905,$D:$D,"P0(전)",$L:$L,"&gt;0")&lt;&gt;1,"P0(전) 유효 1개 아님",IF(COUNTIFS($C:$C,$C905,$D:$D,"P0(후)",$L:$L,"&gt;0")&lt;&gt;1,"P0(후) 유효 1개 아님",IF(NOT(AND(ISNUMBER(N905),ISNUMBER(P905),ISNUMBER(H905))),"시각 결측",IF(P905&lt;=N905,"P0 시각 역전",IF(OR(H905&lt;N905,H905&gt;P905),"측정시각 구간 밖","OK")))))</f>
        <v/>
      </c>
      <c r="N905" s="45">
        <f>IF(COUNTIFS($C:$C,$C905,$D:$D,"P0(전)",$L:$L,"&gt;0")&lt;&gt;1,"",SUMIFS($H:$H,$C:$C,$C905,$D:$D,"P0(전)"))</f>
        <v/>
      </c>
      <c r="O905" s="30">
        <f>IF(COUNTIFS($C:$C,$C905,$D:$D,"P0(전)",$L:$L,"&gt;0")&lt;&gt;1,"",SUMIFS($L:$L,$C:$C,$C905,$D:$D,"P0(전)"))</f>
        <v/>
      </c>
      <c r="P905" s="45">
        <f>IF(COUNTIFS($C:$C,$C905,$D:$D,"P0(후)",$L:$L,"&gt;0")&lt;&gt;1,"",SUMIFS($H:$H,$C:$C,$C905,$D:$D,"P0(후)"))</f>
        <v/>
      </c>
      <c r="Q905" s="30">
        <f>IF(COUNTIFS($C:$C,$C905,$D:$D,"P0(후)",$L:$L,"&gt;0")&lt;&gt;1,"",SUMIFS($L:$L,$C:$C,$C905,$D:$D,"P0(후)"))</f>
        <v/>
      </c>
      <c r="R905" s="30">
        <f>IF(M905&lt;&gt;"OK","",O905+(Q905-O905)*(H905-N905)/(P905-N905))</f>
        <v/>
      </c>
      <c r="S905" s="30">
        <f>IF(OR(M905&lt;&gt;"OK",NOT(ISNUMBER(L905))),"",L905-R905)</f>
        <v/>
      </c>
      <c r="T905" s="46">
        <f>IF(OR(NOT(ISNUMBER(S905)),IF(ISNUMBER(G905),G905,F905)=0),"",S905/IF(ISNUMBER(G905),G905,F905))</f>
        <v/>
      </c>
      <c r="U905" s="46">
        <f>IF(ISNUMBER(T905),ABS(T905),"")</f>
        <v/>
      </c>
      <c r="V905" s="46">
        <f>IF(OR($D904&lt;&gt;"측정",$C904&lt;&gt;$C905,NOT(ISNUMBER(L905)),NOT(ISNUMBER(L904)),(IF(ISNUMBER(G905),G905,F905)-IF(ISNUMBER(G904),G904,F904))=0),"",(L905-L904)/(IF(ISNUMBER(G905),G905,F905)-IF(ISNUMBER(G904),G904,F904)))</f>
        <v/>
      </c>
      <c r="W905" s="30">
        <f>IF(NOT(AND(ISNUMBER(N905),ISNUMBER(P905))),"",(P905-N905)*1440)</f>
        <v/>
      </c>
      <c r="X905" s="28" t="n"/>
      <c r="Y905" s="28" t="n"/>
      <c r="Z905" s="28" t="n"/>
      <c r="AA905" s="31" t="n"/>
      <c r="AB905" s="31" t="n"/>
    </row>
    <row r="906">
      <c r="A906" s="25" t="inlineStr">
        <is>
          <t>S18</t>
        </is>
      </c>
      <c r="B906" s="25" t="inlineStr">
        <is>
          <t>통영 신규점</t>
        </is>
      </c>
      <c r="C906" s="25" t="inlineStr">
        <is>
          <t>S18-H서</t>
        </is>
      </c>
      <c r="D906" s="25" t="inlineStr">
        <is>
          <t>측정</t>
        </is>
      </c>
      <c r="E906" s="25" t="inlineStr">
        <is>
          <t>서</t>
        </is>
      </c>
      <c r="F906" s="30" t="n">
        <v>3</v>
      </c>
      <c r="G906" s="29" t="n"/>
      <c r="H906" s="42" t="n"/>
      <c r="I906" s="40" t="n"/>
      <c r="J906" s="40" t="n"/>
      <c r="K906" s="40" t="n"/>
      <c r="L906" s="30">
        <f>IF(COUNT(I906:K906)=0,"",MEDIAN(I906:K906))</f>
        <v/>
      </c>
      <c r="M906" s="25">
        <f>IF(COUNTIFS($C:$C,$C906,$D:$D,"P0(전)",$L:$L,"&gt;0")&lt;&gt;1,"P0(전) 유효 1개 아님",IF(COUNTIFS($C:$C,$C906,$D:$D,"P0(후)",$L:$L,"&gt;0")&lt;&gt;1,"P0(후) 유효 1개 아님",IF(NOT(AND(ISNUMBER(N906),ISNUMBER(P906),ISNUMBER(H906))),"시각 결측",IF(P906&lt;=N906,"P0 시각 역전",IF(OR(H906&lt;N906,H906&gt;P906),"측정시각 구간 밖","OK")))))</f>
        <v/>
      </c>
      <c r="N906" s="45">
        <f>IF(COUNTIFS($C:$C,$C906,$D:$D,"P0(전)",$L:$L,"&gt;0")&lt;&gt;1,"",SUMIFS($H:$H,$C:$C,$C906,$D:$D,"P0(전)"))</f>
        <v/>
      </c>
      <c r="O906" s="30">
        <f>IF(COUNTIFS($C:$C,$C906,$D:$D,"P0(전)",$L:$L,"&gt;0")&lt;&gt;1,"",SUMIFS($L:$L,$C:$C,$C906,$D:$D,"P0(전)"))</f>
        <v/>
      </c>
      <c r="P906" s="45">
        <f>IF(COUNTIFS($C:$C,$C906,$D:$D,"P0(후)",$L:$L,"&gt;0")&lt;&gt;1,"",SUMIFS($H:$H,$C:$C,$C906,$D:$D,"P0(후)"))</f>
        <v/>
      </c>
      <c r="Q906" s="30">
        <f>IF(COUNTIFS($C:$C,$C906,$D:$D,"P0(후)",$L:$L,"&gt;0")&lt;&gt;1,"",SUMIFS($L:$L,$C:$C,$C906,$D:$D,"P0(후)"))</f>
        <v/>
      </c>
      <c r="R906" s="30">
        <f>IF(M906&lt;&gt;"OK","",O906+(Q906-O906)*(H906-N906)/(P906-N906))</f>
        <v/>
      </c>
      <c r="S906" s="30">
        <f>IF(OR(M906&lt;&gt;"OK",NOT(ISNUMBER(L906))),"",L906-R906)</f>
        <v/>
      </c>
      <c r="T906" s="46">
        <f>IF(OR(NOT(ISNUMBER(S906)),IF(ISNUMBER(G906),G906,F906)=0),"",S906/IF(ISNUMBER(G906),G906,F906))</f>
        <v/>
      </c>
      <c r="U906" s="46">
        <f>IF(ISNUMBER(T906),ABS(T906),"")</f>
        <v/>
      </c>
      <c r="V906" s="46">
        <f>IF(OR($D905&lt;&gt;"측정",$C905&lt;&gt;$C906,NOT(ISNUMBER(L906)),NOT(ISNUMBER(L905)),(IF(ISNUMBER(G906),G906,F906)-IF(ISNUMBER(G905),G905,F905))=0),"",(L906-L905)/(IF(ISNUMBER(G906),G906,F906)-IF(ISNUMBER(G905),G905,F905)))</f>
        <v/>
      </c>
      <c r="W906" s="30">
        <f>IF(NOT(AND(ISNUMBER(N906),ISNUMBER(P906))),"",(P906-N906)*1440)</f>
        <v/>
      </c>
      <c r="X906" s="28" t="n"/>
      <c r="Y906" s="28" t="n"/>
      <c r="Z906" s="28" t="n"/>
      <c r="AA906" s="31" t="n"/>
      <c r="AB906" s="31" t="n"/>
    </row>
    <row r="907">
      <c r="A907" s="25" t="inlineStr">
        <is>
          <t>S18</t>
        </is>
      </c>
      <c r="B907" s="25" t="inlineStr">
        <is>
          <t>통영 신규점</t>
        </is>
      </c>
      <c r="C907" s="25" t="inlineStr">
        <is>
          <t>S18-H서</t>
        </is>
      </c>
      <c r="D907" s="25" t="inlineStr">
        <is>
          <t>측정</t>
        </is>
      </c>
      <c r="E907" s="25" t="inlineStr">
        <is>
          <t>서</t>
        </is>
      </c>
      <c r="F907" s="30" t="n">
        <v>4</v>
      </c>
      <c r="G907" s="29" t="n"/>
      <c r="H907" s="42" t="n"/>
      <c r="I907" s="40" t="n"/>
      <c r="J907" s="40" t="n"/>
      <c r="K907" s="40" t="n"/>
      <c r="L907" s="30">
        <f>IF(COUNT(I907:K907)=0,"",MEDIAN(I907:K907))</f>
        <v/>
      </c>
      <c r="M907" s="25">
        <f>IF(COUNTIFS($C:$C,$C907,$D:$D,"P0(전)",$L:$L,"&gt;0")&lt;&gt;1,"P0(전) 유효 1개 아님",IF(COUNTIFS($C:$C,$C907,$D:$D,"P0(후)",$L:$L,"&gt;0")&lt;&gt;1,"P0(후) 유효 1개 아님",IF(NOT(AND(ISNUMBER(N907),ISNUMBER(P907),ISNUMBER(H907))),"시각 결측",IF(P907&lt;=N907,"P0 시각 역전",IF(OR(H907&lt;N907,H907&gt;P907),"측정시각 구간 밖","OK")))))</f>
        <v/>
      </c>
      <c r="N907" s="45">
        <f>IF(COUNTIFS($C:$C,$C907,$D:$D,"P0(전)",$L:$L,"&gt;0")&lt;&gt;1,"",SUMIFS($H:$H,$C:$C,$C907,$D:$D,"P0(전)"))</f>
        <v/>
      </c>
      <c r="O907" s="30">
        <f>IF(COUNTIFS($C:$C,$C907,$D:$D,"P0(전)",$L:$L,"&gt;0")&lt;&gt;1,"",SUMIFS($L:$L,$C:$C,$C907,$D:$D,"P0(전)"))</f>
        <v/>
      </c>
      <c r="P907" s="45">
        <f>IF(COUNTIFS($C:$C,$C907,$D:$D,"P0(후)",$L:$L,"&gt;0")&lt;&gt;1,"",SUMIFS($H:$H,$C:$C,$C907,$D:$D,"P0(후)"))</f>
        <v/>
      </c>
      <c r="Q907" s="30">
        <f>IF(COUNTIFS($C:$C,$C907,$D:$D,"P0(후)",$L:$L,"&gt;0")&lt;&gt;1,"",SUMIFS($L:$L,$C:$C,$C907,$D:$D,"P0(후)"))</f>
        <v/>
      </c>
      <c r="R907" s="30">
        <f>IF(M907&lt;&gt;"OK","",O907+(Q907-O907)*(H907-N907)/(P907-N907))</f>
        <v/>
      </c>
      <c r="S907" s="30">
        <f>IF(OR(M907&lt;&gt;"OK",NOT(ISNUMBER(L907))),"",L907-R907)</f>
        <v/>
      </c>
      <c r="T907" s="46">
        <f>IF(OR(NOT(ISNUMBER(S907)),IF(ISNUMBER(G907),G907,F907)=0),"",S907/IF(ISNUMBER(G907),G907,F907))</f>
        <v/>
      </c>
      <c r="U907" s="46">
        <f>IF(ISNUMBER(T907),ABS(T907),"")</f>
        <v/>
      </c>
      <c r="V907" s="46">
        <f>IF(OR($D906&lt;&gt;"측정",$C906&lt;&gt;$C907,NOT(ISNUMBER(L907)),NOT(ISNUMBER(L906)),(IF(ISNUMBER(G907),G907,F907)-IF(ISNUMBER(G906),G906,F906))=0),"",(L907-L906)/(IF(ISNUMBER(G907),G907,F907)-IF(ISNUMBER(G906),G906,F906)))</f>
        <v/>
      </c>
      <c r="W907" s="30">
        <f>IF(NOT(AND(ISNUMBER(N907),ISNUMBER(P907))),"",(P907-N907)*1440)</f>
        <v/>
      </c>
      <c r="X907" s="28" t="n"/>
      <c r="Y907" s="28" t="n"/>
      <c r="Z907" s="28" t="n"/>
      <c r="AA907" s="31" t="n"/>
      <c r="AB907" s="31" t="n"/>
    </row>
    <row r="908">
      <c r="A908" s="25" t="inlineStr">
        <is>
          <t>S18</t>
        </is>
      </c>
      <c r="B908" s="25" t="inlineStr">
        <is>
          <t>통영 신규점</t>
        </is>
      </c>
      <c r="C908" s="25" t="inlineStr">
        <is>
          <t>S18-H서</t>
        </is>
      </c>
      <c r="D908" s="25" t="inlineStr">
        <is>
          <t>측정</t>
        </is>
      </c>
      <c r="E908" s="25" t="inlineStr">
        <is>
          <t>서</t>
        </is>
      </c>
      <c r="F908" s="30" t="n">
        <v>5</v>
      </c>
      <c r="G908" s="29" t="n"/>
      <c r="H908" s="42" t="n"/>
      <c r="I908" s="40" t="n"/>
      <c r="J908" s="40" t="n"/>
      <c r="K908" s="40" t="n"/>
      <c r="L908" s="30">
        <f>IF(COUNT(I908:K908)=0,"",MEDIAN(I908:K908))</f>
        <v/>
      </c>
      <c r="M908" s="25">
        <f>IF(COUNTIFS($C:$C,$C908,$D:$D,"P0(전)",$L:$L,"&gt;0")&lt;&gt;1,"P0(전) 유효 1개 아님",IF(COUNTIFS($C:$C,$C908,$D:$D,"P0(후)",$L:$L,"&gt;0")&lt;&gt;1,"P0(후) 유효 1개 아님",IF(NOT(AND(ISNUMBER(N908),ISNUMBER(P908),ISNUMBER(H908))),"시각 결측",IF(P908&lt;=N908,"P0 시각 역전",IF(OR(H908&lt;N908,H908&gt;P908),"측정시각 구간 밖","OK")))))</f>
        <v/>
      </c>
      <c r="N908" s="45">
        <f>IF(COUNTIFS($C:$C,$C908,$D:$D,"P0(전)",$L:$L,"&gt;0")&lt;&gt;1,"",SUMIFS($H:$H,$C:$C,$C908,$D:$D,"P0(전)"))</f>
        <v/>
      </c>
      <c r="O908" s="30">
        <f>IF(COUNTIFS($C:$C,$C908,$D:$D,"P0(전)",$L:$L,"&gt;0")&lt;&gt;1,"",SUMIFS($L:$L,$C:$C,$C908,$D:$D,"P0(전)"))</f>
        <v/>
      </c>
      <c r="P908" s="45">
        <f>IF(COUNTIFS($C:$C,$C908,$D:$D,"P0(후)",$L:$L,"&gt;0")&lt;&gt;1,"",SUMIFS($H:$H,$C:$C,$C908,$D:$D,"P0(후)"))</f>
        <v/>
      </c>
      <c r="Q908" s="30">
        <f>IF(COUNTIFS($C:$C,$C908,$D:$D,"P0(후)",$L:$L,"&gt;0")&lt;&gt;1,"",SUMIFS($L:$L,$C:$C,$C908,$D:$D,"P0(후)"))</f>
        <v/>
      </c>
      <c r="R908" s="30">
        <f>IF(M908&lt;&gt;"OK","",O908+(Q908-O908)*(H908-N908)/(P908-N908))</f>
        <v/>
      </c>
      <c r="S908" s="30">
        <f>IF(OR(M908&lt;&gt;"OK",NOT(ISNUMBER(L908))),"",L908-R908)</f>
        <v/>
      </c>
      <c r="T908" s="46">
        <f>IF(OR(NOT(ISNUMBER(S908)),IF(ISNUMBER(G908),G908,F908)=0),"",S908/IF(ISNUMBER(G908),G908,F908))</f>
        <v/>
      </c>
      <c r="U908" s="46">
        <f>IF(ISNUMBER(T908),ABS(T908),"")</f>
        <v/>
      </c>
      <c r="V908" s="46">
        <f>IF(OR($D907&lt;&gt;"측정",$C907&lt;&gt;$C908,NOT(ISNUMBER(L908)),NOT(ISNUMBER(L907)),(IF(ISNUMBER(G908),G908,F908)-IF(ISNUMBER(G907),G907,F907))=0),"",(L908-L907)/(IF(ISNUMBER(G908),G908,F908)-IF(ISNUMBER(G907),G907,F907)))</f>
        <v/>
      </c>
      <c r="W908" s="30">
        <f>IF(NOT(AND(ISNUMBER(N908),ISNUMBER(P908))),"",(P908-N908)*1440)</f>
        <v/>
      </c>
      <c r="X908" s="28" t="n"/>
      <c r="Y908" s="28" t="n"/>
      <c r="Z908" s="28" t="n"/>
      <c r="AA908" s="31" t="n"/>
      <c r="AB908" s="31" t="n"/>
    </row>
    <row r="909">
      <c r="A909" s="25" t="inlineStr">
        <is>
          <t>S18</t>
        </is>
      </c>
      <c r="B909" s="25" t="inlineStr">
        <is>
          <t>통영 신규점</t>
        </is>
      </c>
      <c r="C909" s="25" t="inlineStr">
        <is>
          <t>S18-H서</t>
        </is>
      </c>
      <c r="D909" s="25" t="inlineStr">
        <is>
          <t>측정</t>
        </is>
      </c>
      <c r="E909" s="25" t="inlineStr">
        <is>
          <t>서</t>
        </is>
      </c>
      <c r="F909" s="30" t="n">
        <v>6</v>
      </c>
      <c r="G909" s="29" t="n"/>
      <c r="H909" s="42" t="n"/>
      <c r="I909" s="40" t="n"/>
      <c r="J909" s="40" t="n"/>
      <c r="K909" s="40" t="n"/>
      <c r="L909" s="30">
        <f>IF(COUNT(I909:K909)=0,"",MEDIAN(I909:K909))</f>
        <v/>
      </c>
      <c r="M909" s="25">
        <f>IF(COUNTIFS($C:$C,$C909,$D:$D,"P0(전)",$L:$L,"&gt;0")&lt;&gt;1,"P0(전) 유효 1개 아님",IF(COUNTIFS($C:$C,$C909,$D:$D,"P0(후)",$L:$L,"&gt;0")&lt;&gt;1,"P0(후) 유효 1개 아님",IF(NOT(AND(ISNUMBER(N909),ISNUMBER(P909),ISNUMBER(H909))),"시각 결측",IF(P909&lt;=N909,"P0 시각 역전",IF(OR(H909&lt;N909,H909&gt;P909),"측정시각 구간 밖","OK")))))</f>
        <v/>
      </c>
      <c r="N909" s="45">
        <f>IF(COUNTIFS($C:$C,$C909,$D:$D,"P0(전)",$L:$L,"&gt;0")&lt;&gt;1,"",SUMIFS($H:$H,$C:$C,$C909,$D:$D,"P0(전)"))</f>
        <v/>
      </c>
      <c r="O909" s="30">
        <f>IF(COUNTIFS($C:$C,$C909,$D:$D,"P0(전)",$L:$L,"&gt;0")&lt;&gt;1,"",SUMIFS($L:$L,$C:$C,$C909,$D:$D,"P0(전)"))</f>
        <v/>
      </c>
      <c r="P909" s="45">
        <f>IF(COUNTIFS($C:$C,$C909,$D:$D,"P0(후)",$L:$L,"&gt;0")&lt;&gt;1,"",SUMIFS($H:$H,$C:$C,$C909,$D:$D,"P0(후)"))</f>
        <v/>
      </c>
      <c r="Q909" s="30">
        <f>IF(COUNTIFS($C:$C,$C909,$D:$D,"P0(후)",$L:$L,"&gt;0")&lt;&gt;1,"",SUMIFS($L:$L,$C:$C,$C909,$D:$D,"P0(후)"))</f>
        <v/>
      </c>
      <c r="R909" s="30">
        <f>IF(M909&lt;&gt;"OK","",O909+(Q909-O909)*(H909-N909)/(P909-N909))</f>
        <v/>
      </c>
      <c r="S909" s="30">
        <f>IF(OR(M909&lt;&gt;"OK",NOT(ISNUMBER(L909))),"",L909-R909)</f>
        <v/>
      </c>
      <c r="T909" s="46">
        <f>IF(OR(NOT(ISNUMBER(S909)),IF(ISNUMBER(G909),G909,F909)=0),"",S909/IF(ISNUMBER(G909),G909,F909))</f>
        <v/>
      </c>
      <c r="U909" s="46">
        <f>IF(ISNUMBER(T909),ABS(T909),"")</f>
        <v/>
      </c>
      <c r="V909" s="46">
        <f>IF(OR($D908&lt;&gt;"측정",$C908&lt;&gt;$C909,NOT(ISNUMBER(L909)),NOT(ISNUMBER(L908)),(IF(ISNUMBER(G909),G909,F909)-IF(ISNUMBER(G908),G908,F908))=0),"",(L909-L908)/(IF(ISNUMBER(G909),G909,F909)-IF(ISNUMBER(G908),G908,F908)))</f>
        <v/>
      </c>
      <c r="W909" s="30">
        <f>IF(NOT(AND(ISNUMBER(N909),ISNUMBER(P909))),"",(P909-N909)*1440)</f>
        <v/>
      </c>
      <c r="X909" s="28" t="n"/>
      <c r="Y909" s="28" t="n"/>
      <c r="Z909" s="28" t="n"/>
      <c r="AA909" s="31" t="n"/>
      <c r="AB909" s="31" t="n"/>
    </row>
    <row r="910">
      <c r="A910" s="25" t="inlineStr">
        <is>
          <t>S18</t>
        </is>
      </c>
      <c r="B910" s="25" t="inlineStr">
        <is>
          <t>통영 신규점</t>
        </is>
      </c>
      <c r="C910" s="25" t="inlineStr">
        <is>
          <t>S18-H서</t>
        </is>
      </c>
      <c r="D910" s="25" t="inlineStr">
        <is>
          <t>측정</t>
        </is>
      </c>
      <c r="E910" s="25" t="inlineStr">
        <is>
          <t>서</t>
        </is>
      </c>
      <c r="F910" s="30" t="n">
        <v>7</v>
      </c>
      <c r="G910" s="29" t="n"/>
      <c r="H910" s="42" t="n"/>
      <c r="I910" s="40" t="n"/>
      <c r="J910" s="40" t="n"/>
      <c r="K910" s="40" t="n"/>
      <c r="L910" s="30">
        <f>IF(COUNT(I910:K910)=0,"",MEDIAN(I910:K910))</f>
        <v/>
      </c>
      <c r="M910" s="25">
        <f>IF(COUNTIFS($C:$C,$C910,$D:$D,"P0(전)",$L:$L,"&gt;0")&lt;&gt;1,"P0(전) 유효 1개 아님",IF(COUNTIFS($C:$C,$C910,$D:$D,"P0(후)",$L:$L,"&gt;0")&lt;&gt;1,"P0(후) 유효 1개 아님",IF(NOT(AND(ISNUMBER(N910),ISNUMBER(P910),ISNUMBER(H910))),"시각 결측",IF(P910&lt;=N910,"P0 시각 역전",IF(OR(H910&lt;N910,H910&gt;P910),"측정시각 구간 밖","OK")))))</f>
        <v/>
      </c>
      <c r="N910" s="45">
        <f>IF(COUNTIFS($C:$C,$C910,$D:$D,"P0(전)",$L:$L,"&gt;0")&lt;&gt;1,"",SUMIFS($H:$H,$C:$C,$C910,$D:$D,"P0(전)"))</f>
        <v/>
      </c>
      <c r="O910" s="30">
        <f>IF(COUNTIFS($C:$C,$C910,$D:$D,"P0(전)",$L:$L,"&gt;0")&lt;&gt;1,"",SUMIFS($L:$L,$C:$C,$C910,$D:$D,"P0(전)"))</f>
        <v/>
      </c>
      <c r="P910" s="45">
        <f>IF(COUNTIFS($C:$C,$C910,$D:$D,"P0(후)",$L:$L,"&gt;0")&lt;&gt;1,"",SUMIFS($H:$H,$C:$C,$C910,$D:$D,"P0(후)"))</f>
        <v/>
      </c>
      <c r="Q910" s="30">
        <f>IF(COUNTIFS($C:$C,$C910,$D:$D,"P0(후)",$L:$L,"&gt;0")&lt;&gt;1,"",SUMIFS($L:$L,$C:$C,$C910,$D:$D,"P0(후)"))</f>
        <v/>
      </c>
      <c r="R910" s="30">
        <f>IF(M910&lt;&gt;"OK","",O910+(Q910-O910)*(H910-N910)/(P910-N910))</f>
        <v/>
      </c>
      <c r="S910" s="30">
        <f>IF(OR(M910&lt;&gt;"OK",NOT(ISNUMBER(L910))),"",L910-R910)</f>
        <v/>
      </c>
      <c r="T910" s="46">
        <f>IF(OR(NOT(ISNUMBER(S910)),IF(ISNUMBER(G910),G910,F910)=0),"",S910/IF(ISNUMBER(G910),G910,F910))</f>
        <v/>
      </c>
      <c r="U910" s="46">
        <f>IF(ISNUMBER(T910),ABS(T910),"")</f>
        <v/>
      </c>
      <c r="V910" s="46">
        <f>IF(OR($D909&lt;&gt;"측정",$C909&lt;&gt;$C910,NOT(ISNUMBER(L910)),NOT(ISNUMBER(L909)),(IF(ISNUMBER(G910),G910,F910)-IF(ISNUMBER(G909),G909,F909))=0),"",(L910-L909)/(IF(ISNUMBER(G910),G910,F910)-IF(ISNUMBER(G909),G909,F909)))</f>
        <v/>
      </c>
      <c r="W910" s="30">
        <f>IF(NOT(AND(ISNUMBER(N910),ISNUMBER(P910))),"",(P910-N910)*1440)</f>
        <v/>
      </c>
      <c r="X910" s="28" t="n"/>
      <c r="Y910" s="28" t="n"/>
      <c r="Z910" s="28" t="n"/>
      <c r="AA910" s="31" t="n"/>
      <c r="AB910" s="31" t="n"/>
    </row>
    <row r="911">
      <c r="A911" s="25" t="inlineStr">
        <is>
          <t>S18</t>
        </is>
      </c>
      <c r="B911" s="25" t="inlineStr">
        <is>
          <t>통영 신규점</t>
        </is>
      </c>
      <c r="C911" s="25" t="inlineStr">
        <is>
          <t>S18-H서</t>
        </is>
      </c>
      <c r="D911" s="25" t="inlineStr">
        <is>
          <t>측정</t>
        </is>
      </c>
      <c r="E911" s="25" t="inlineStr">
        <is>
          <t>서</t>
        </is>
      </c>
      <c r="F911" s="30" t="n">
        <v>8</v>
      </c>
      <c r="G911" s="29" t="n"/>
      <c r="H911" s="42" t="n"/>
      <c r="I911" s="40" t="n"/>
      <c r="J911" s="40" t="n"/>
      <c r="K911" s="40" t="n"/>
      <c r="L911" s="30">
        <f>IF(COUNT(I911:K911)=0,"",MEDIAN(I911:K911))</f>
        <v/>
      </c>
      <c r="M911" s="25">
        <f>IF(COUNTIFS($C:$C,$C911,$D:$D,"P0(전)",$L:$L,"&gt;0")&lt;&gt;1,"P0(전) 유효 1개 아님",IF(COUNTIFS($C:$C,$C911,$D:$D,"P0(후)",$L:$L,"&gt;0")&lt;&gt;1,"P0(후) 유효 1개 아님",IF(NOT(AND(ISNUMBER(N911),ISNUMBER(P911),ISNUMBER(H911))),"시각 결측",IF(P911&lt;=N911,"P0 시각 역전",IF(OR(H911&lt;N911,H911&gt;P911),"측정시각 구간 밖","OK")))))</f>
        <v/>
      </c>
      <c r="N911" s="45">
        <f>IF(COUNTIFS($C:$C,$C911,$D:$D,"P0(전)",$L:$L,"&gt;0")&lt;&gt;1,"",SUMIFS($H:$H,$C:$C,$C911,$D:$D,"P0(전)"))</f>
        <v/>
      </c>
      <c r="O911" s="30">
        <f>IF(COUNTIFS($C:$C,$C911,$D:$D,"P0(전)",$L:$L,"&gt;0")&lt;&gt;1,"",SUMIFS($L:$L,$C:$C,$C911,$D:$D,"P0(전)"))</f>
        <v/>
      </c>
      <c r="P911" s="45">
        <f>IF(COUNTIFS($C:$C,$C911,$D:$D,"P0(후)",$L:$L,"&gt;0")&lt;&gt;1,"",SUMIFS($H:$H,$C:$C,$C911,$D:$D,"P0(후)"))</f>
        <v/>
      </c>
      <c r="Q911" s="30">
        <f>IF(COUNTIFS($C:$C,$C911,$D:$D,"P0(후)",$L:$L,"&gt;0")&lt;&gt;1,"",SUMIFS($L:$L,$C:$C,$C911,$D:$D,"P0(후)"))</f>
        <v/>
      </c>
      <c r="R911" s="30">
        <f>IF(M911&lt;&gt;"OK","",O911+(Q911-O911)*(H911-N911)/(P911-N911))</f>
        <v/>
      </c>
      <c r="S911" s="30">
        <f>IF(OR(M911&lt;&gt;"OK",NOT(ISNUMBER(L911))),"",L911-R911)</f>
        <v/>
      </c>
      <c r="T911" s="46">
        <f>IF(OR(NOT(ISNUMBER(S911)),IF(ISNUMBER(G911),G911,F911)=0),"",S911/IF(ISNUMBER(G911),G911,F911))</f>
        <v/>
      </c>
      <c r="U911" s="46">
        <f>IF(ISNUMBER(T911),ABS(T911),"")</f>
        <v/>
      </c>
      <c r="V911" s="46">
        <f>IF(OR($D910&lt;&gt;"측정",$C910&lt;&gt;$C911,NOT(ISNUMBER(L911)),NOT(ISNUMBER(L910)),(IF(ISNUMBER(G911),G911,F911)-IF(ISNUMBER(G910),G910,F910))=0),"",(L911-L910)/(IF(ISNUMBER(G911),G911,F911)-IF(ISNUMBER(G910),G910,F910)))</f>
        <v/>
      </c>
      <c r="W911" s="30">
        <f>IF(NOT(AND(ISNUMBER(N911),ISNUMBER(P911))),"",(P911-N911)*1440)</f>
        <v/>
      </c>
      <c r="X911" s="28" t="n"/>
      <c r="Y911" s="28" t="n"/>
      <c r="Z911" s="28" t="n"/>
      <c r="AA911" s="31" t="n"/>
      <c r="AB911" s="31" t="n"/>
    </row>
    <row r="912">
      <c r="A912" s="25" t="inlineStr">
        <is>
          <t>S18</t>
        </is>
      </c>
      <c r="B912" s="25" t="inlineStr">
        <is>
          <t>통영 신규점</t>
        </is>
      </c>
      <c r="C912" s="25" t="inlineStr">
        <is>
          <t>S18-H서</t>
        </is>
      </c>
      <c r="D912" s="25" t="inlineStr">
        <is>
          <t>측정</t>
        </is>
      </c>
      <c r="E912" s="25" t="inlineStr">
        <is>
          <t>서</t>
        </is>
      </c>
      <c r="F912" s="30" t="n">
        <v>9</v>
      </c>
      <c r="G912" s="29" t="n"/>
      <c r="H912" s="42" t="n"/>
      <c r="I912" s="40" t="n"/>
      <c r="J912" s="40" t="n"/>
      <c r="K912" s="40" t="n"/>
      <c r="L912" s="30">
        <f>IF(COUNT(I912:K912)=0,"",MEDIAN(I912:K912))</f>
        <v/>
      </c>
      <c r="M912" s="25">
        <f>IF(COUNTIFS($C:$C,$C912,$D:$D,"P0(전)",$L:$L,"&gt;0")&lt;&gt;1,"P0(전) 유효 1개 아님",IF(COUNTIFS($C:$C,$C912,$D:$D,"P0(후)",$L:$L,"&gt;0")&lt;&gt;1,"P0(후) 유효 1개 아님",IF(NOT(AND(ISNUMBER(N912),ISNUMBER(P912),ISNUMBER(H912))),"시각 결측",IF(P912&lt;=N912,"P0 시각 역전",IF(OR(H912&lt;N912,H912&gt;P912),"측정시각 구간 밖","OK")))))</f>
        <v/>
      </c>
      <c r="N912" s="45">
        <f>IF(COUNTIFS($C:$C,$C912,$D:$D,"P0(전)",$L:$L,"&gt;0")&lt;&gt;1,"",SUMIFS($H:$H,$C:$C,$C912,$D:$D,"P0(전)"))</f>
        <v/>
      </c>
      <c r="O912" s="30">
        <f>IF(COUNTIFS($C:$C,$C912,$D:$D,"P0(전)",$L:$L,"&gt;0")&lt;&gt;1,"",SUMIFS($L:$L,$C:$C,$C912,$D:$D,"P0(전)"))</f>
        <v/>
      </c>
      <c r="P912" s="45">
        <f>IF(COUNTIFS($C:$C,$C912,$D:$D,"P0(후)",$L:$L,"&gt;0")&lt;&gt;1,"",SUMIFS($H:$H,$C:$C,$C912,$D:$D,"P0(후)"))</f>
        <v/>
      </c>
      <c r="Q912" s="30">
        <f>IF(COUNTIFS($C:$C,$C912,$D:$D,"P0(후)",$L:$L,"&gt;0")&lt;&gt;1,"",SUMIFS($L:$L,$C:$C,$C912,$D:$D,"P0(후)"))</f>
        <v/>
      </c>
      <c r="R912" s="30">
        <f>IF(M912&lt;&gt;"OK","",O912+(Q912-O912)*(H912-N912)/(P912-N912))</f>
        <v/>
      </c>
      <c r="S912" s="30">
        <f>IF(OR(M912&lt;&gt;"OK",NOT(ISNUMBER(L912))),"",L912-R912)</f>
        <v/>
      </c>
      <c r="T912" s="46">
        <f>IF(OR(NOT(ISNUMBER(S912)),IF(ISNUMBER(G912),G912,F912)=0),"",S912/IF(ISNUMBER(G912),G912,F912))</f>
        <v/>
      </c>
      <c r="U912" s="46">
        <f>IF(ISNUMBER(T912),ABS(T912),"")</f>
        <v/>
      </c>
      <c r="V912" s="46">
        <f>IF(OR($D911&lt;&gt;"측정",$C911&lt;&gt;$C912,NOT(ISNUMBER(L912)),NOT(ISNUMBER(L911)),(IF(ISNUMBER(G912),G912,F912)-IF(ISNUMBER(G911),G911,F911))=0),"",(L912-L911)/(IF(ISNUMBER(G912),G912,F912)-IF(ISNUMBER(G911),G911,F911)))</f>
        <v/>
      </c>
      <c r="W912" s="30">
        <f>IF(NOT(AND(ISNUMBER(N912),ISNUMBER(P912))),"",(P912-N912)*1440)</f>
        <v/>
      </c>
      <c r="X912" s="28" t="n"/>
      <c r="Y912" s="28" t="n"/>
      <c r="Z912" s="28" t="n"/>
      <c r="AA912" s="31" t="n"/>
      <c r="AB912" s="31" t="n"/>
    </row>
    <row r="913">
      <c r="A913" s="25" t="inlineStr">
        <is>
          <t>S18</t>
        </is>
      </c>
      <c r="B913" s="25" t="inlineStr">
        <is>
          <t>통영 신규점</t>
        </is>
      </c>
      <c r="C913" s="25" t="inlineStr">
        <is>
          <t>S18-H서</t>
        </is>
      </c>
      <c r="D913" s="25" t="inlineStr">
        <is>
          <t>측정</t>
        </is>
      </c>
      <c r="E913" s="25" t="inlineStr">
        <is>
          <t>서</t>
        </is>
      </c>
      <c r="F913" s="30" t="n">
        <v>10</v>
      </c>
      <c r="G913" s="29" t="n"/>
      <c r="H913" s="42" t="n"/>
      <c r="I913" s="40" t="n"/>
      <c r="J913" s="40" t="n"/>
      <c r="K913" s="40" t="n"/>
      <c r="L913" s="30">
        <f>IF(COUNT(I913:K913)=0,"",MEDIAN(I913:K913))</f>
        <v/>
      </c>
      <c r="M913" s="25">
        <f>IF(COUNTIFS($C:$C,$C913,$D:$D,"P0(전)",$L:$L,"&gt;0")&lt;&gt;1,"P0(전) 유효 1개 아님",IF(COUNTIFS($C:$C,$C913,$D:$D,"P0(후)",$L:$L,"&gt;0")&lt;&gt;1,"P0(후) 유효 1개 아님",IF(NOT(AND(ISNUMBER(N913),ISNUMBER(P913),ISNUMBER(H913))),"시각 결측",IF(P913&lt;=N913,"P0 시각 역전",IF(OR(H913&lt;N913,H913&gt;P913),"측정시각 구간 밖","OK")))))</f>
        <v/>
      </c>
      <c r="N913" s="45">
        <f>IF(COUNTIFS($C:$C,$C913,$D:$D,"P0(전)",$L:$L,"&gt;0")&lt;&gt;1,"",SUMIFS($H:$H,$C:$C,$C913,$D:$D,"P0(전)"))</f>
        <v/>
      </c>
      <c r="O913" s="30">
        <f>IF(COUNTIFS($C:$C,$C913,$D:$D,"P0(전)",$L:$L,"&gt;0")&lt;&gt;1,"",SUMIFS($L:$L,$C:$C,$C913,$D:$D,"P0(전)"))</f>
        <v/>
      </c>
      <c r="P913" s="45">
        <f>IF(COUNTIFS($C:$C,$C913,$D:$D,"P0(후)",$L:$L,"&gt;0")&lt;&gt;1,"",SUMIFS($H:$H,$C:$C,$C913,$D:$D,"P0(후)"))</f>
        <v/>
      </c>
      <c r="Q913" s="30">
        <f>IF(COUNTIFS($C:$C,$C913,$D:$D,"P0(후)",$L:$L,"&gt;0")&lt;&gt;1,"",SUMIFS($L:$L,$C:$C,$C913,$D:$D,"P0(후)"))</f>
        <v/>
      </c>
      <c r="R913" s="30">
        <f>IF(M913&lt;&gt;"OK","",O913+(Q913-O913)*(H913-N913)/(P913-N913))</f>
        <v/>
      </c>
      <c r="S913" s="30">
        <f>IF(OR(M913&lt;&gt;"OK",NOT(ISNUMBER(L913))),"",L913-R913)</f>
        <v/>
      </c>
      <c r="T913" s="46">
        <f>IF(OR(NOT(ISNUMBER(S913)),IF(ISNUMBER(G913),G913,F913)=0),"",S913/IF(ISNUMBER(G913),G913,F913))</f>
        <v/>
      </c>
      <c r="U913" s="46">
        <f>IF(ISNUMBER(T913),ABS(T913),"")</f>
        <v/>
      </c>
      <c r="V913" s="46">
        <f>IF(OR($D912&lt;&gt;"측정",$C912&lt;&gt;$C913,NOT(ISNUMBER(L913)),NOT(ISNUMBER(L912)),(IF(ISNUMBER(G913),G913,F913)-IF(ISNUMBER(G912),G912,F912))=0),"",(L913-L912)/(IF(ISNUMBER(G913),G913,F913)-IF(ISNUMBER(G912),G912,F912)))</f>
        <v/>
      </c>
      <c r="W913" s="30">
        <f>IF(NOT(AND(ISNUMBER(N913),ISNUMBER(P913))),"",(P913-N913)*1440)</f>
        <v/>
      </c>
      <c r="X913" s="28" t="n"/>
      <c r="Y913" s="28" t="n"/>
      <c r="Z913" s="28" t="n"/>
      <c r="AA913" s="31" t="n"/>
      <c r="AB913" s="31" t="n"/>
    </row>
    <row r="914">
      <c r="A914" s="43" t="inlineStr">
        <is>
          <t>S18</t>
        </is>
      </c>
      <c r="B914" s="43" t="inlineStr">
        <is>
          <t>통영 신규점</t>
        </is>
      </c>
      <c r="C914" s="43" t="inlineStr">
        <is>
          <t>S18-H서</t>
        </is>
      </c>
      <c r="D914" s="43" t="inlineStr">
        <is>
          <t>P0(후)</t>
        </is>
      </c>
      <c r="E914" s="43" t="inlineStr">
        <is>
          <t>서</t>
        </is>
      </c>
      <c r="F914" s="44" t="n"/>
      <c r="G914" s="29" t="n"/>
      <c r="H914" s="42" t="n"/>
      <c r="I914" s="40" t="n"/>
      <c r="J914" s="40" t="n"/>
      <c r="K914" s="40" t="n"/>
      <c r="L914" s="30">
        <f>IF(COUNT(I914:K914)=0,"",MEDIAN(I914:K914))</f>
        <v/>
      </c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28" t="n"/>
      <c r="Y914" s="28" t="n"/>
      <c r="Z914" s="28" t="n"/>
      <c r="AA914" s="31" t="n"/>
      <c r="AB914" s="31" t="n"/>
    </row>
    <row r="915">
      <c r="A915" s="43" t="inlineStr">
        <is>
          <t>S18</t>
        </is>
      </c>
      <c r="B915" s="43" t="inlineStr">
        <is>
          <t>통영 신규점</t>
        </is>
      </c>
      <c r="C915" s="43" t="inlineStr">
        <is>
          <t>S18-H남</t>
        </is>
      </c>
      <c r="D915" s="43" t="inlineStr">
        <is>
          <t>P0(전)</t>
        </is>
      </c>
      <c r="E915" s="43" t="inlineStr">
        <is>
          <t>남</t>
        </is>
      </c>
      <c r="F915" s="44" t="n"/>
      <c r="G915" s="29" t="n"/>
      <c r="H915" s="42" t="n"/>
      <c r="I915" s="40" t="n"/>
      <c r="J915" s="40" t="n"/>
      <c r="K915" s="40" t="n"/>
      <c r="L915" s="30">
        <f>IF(COUNT(I915:K915)=0,"",MEDIAN(I915:K915))</f>
        <v/>
      </c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28" t="n"/>
      <c r="Y915" s="28" t="n"/>
      <c r="Z915" s="28" t="n"/>
      <c r="AA915" s="31" t="n"/>
      <c r="AB915" s="31" t="n"/>
    </row>
    <row r="916">
      <c r="A916" s="25" t="inlineStr">
        <is>
          <t>S18</t>
        </is>
      </c>
      <c r="B916" s="25" t="inlineStr">
        <is>
          <t>통영 신규점</t>
        </is>
      </c>
      <c r="C916" s="25" t="inlineStr">
        <is>
          <t>S18-H남</t>
        </is>
      </c>
      <c r="D916" s="25" t="inlineStr">
        <is>
          <t>측정</t>
        </is>
      </c>
      <c r="E916" s="25" t="inlineStr">
        <is>
          <t>남</t>
        </is>
      </c>
      <c r="F916" s="30" t="n">
        <v>0.5</v>
      </c>
      <c r="G916" s="29" t="n"/>
      <c r="H916" s="42" t="n"/>
      <c r="I916" s="40" t="n"/>
      <c r="J916" s="40" t="n"/>
      <c r="K916" s="40" t="n"/>
      <c r="L916" s="30">
        <f>IF(COUNT(I916:K916)=0,"",MEDIAN(I916:K916))</f>
        <v/>
      </c>
      <c r="M916" s="25">
        <f>IF(COUNTIFS($C:$C,$C916,$D:$D,"P0(전)",$L:$L,"&gt;0")&lt;&gt;1,"P0(전) 유효 1개 아님",IF(COUNTIFS($C:$C,$C916,$D:$D,"P0(후)",$L:$L,"&gt;0")&lt;&gt;1,"P0(후) 유효 1개 아님",IF(NOT(AND(ISNUMBER(N916),ISNUMBER(P916),ISNUMBER(H916))),"시각 결측",IF(P916&lt;=N916,"P0 시각 역전",IF(OR(H916&lt;N916,H916&gt;P916),"측정시각 구간 밖","OK")))))</f>
        <v/>
      </c>
      <c r="N916" s="45">
        <f>IF(COUNTIFS($C:$C,$C916,$D:$D,"P0(전)",$L:$L,"&gt;0")&lt;&gt;1,"",SUMIFS($H:$H,$C:$C,$C916,$D:$D,"P0(전)"))</f>
        <v/>
      </c>
      <c r="O916" s="30">
        <f>IF(COUNTIFS($C:$C,$C916,$D:$D,"P0(전)",$L:$L,"&gt;0")&lt;&gt;1,"",SUMIFS($L:$L,$C:$C,$C916,$D:$D,"P0(전)"))</f>
        <v/>
      </c>
      <c r="P916" s="45">
        <f>IF(COUNTIFS($C:$C,$C916,$D:$D,"P0(후)",$L:$L,"&gt;0")&lt;&gt;1,"",SUMIFS($H:$H,$C:$C,$C916,$D:$D,"P0(후)"))</f>
        <v/>
      </c>
      <c r="Q916" s="30">
        <f>IF(COUNTIFS($C:$C,$C916,$D:$D,"P0(후)",$L:$L,"&gt;0")&lt;&gt;1,"",SUMIFS($L:$L,$C:$C,$C916,$D:$D,"P0(후)"))</f>
        <v/>
      </c>
      <c r="R916" s="30">
        <f>IF(M916&lt;&gt;"OK","",O916+(Q916-O916)*(H916-N916)/(P916-N916))</f>
        <v/>
      </c>
      <c r="S916" s="30">
        <f>IF(OR(M916&lt;&gt;"OK",NOT(ISNUMBER(L916))),"",L916-R916)</f>
        <v/>
      </c>
      <c r="T916" s="46">
        <f>IF(OR(NOT(ISNUMBER(S916)),IF(ISNUMBER(G916),G916,F916)=0),"",S916/IF(ISNUMBER(G916),G916,F916))</f>
        <v/>
      </c>
      <c r="U916" s="46">
        <f>IF(ISNUMBER(T916),ABS(T916),"")</f>
        <v/>
      </c>
      <c r="V916" s="46">
        <f>IF(OR($D915&lt;&gt;"측정",$C915&lt;&gt;$C916,NOT(ISNUMBER(L916)),NOT(ISNUMBER(L915)),(IF(ISNUMBER(G916),G916,F916)-IF(ISNUMBER(G915),G915,F915))=0),"",(L916-L915)/(IF(ISNUMBER(G916),G916,F916)-IF(ISNUMBER(G915),G915,F915)))</f>
        <v/>
      </c>
      <c r="W916" s="30">
        <f>IF(NOT(AND(ISNUMBER(N916),ISNUMBER(P916))),"",(P916-N916)*1440)</f>
        <v/>
      </c>
      <c r="X916" s="28" t="n"/>
      <c r="Y916" s="28" t="n"/>
      <c r="Z916" s="28" t="n"/>
      <c r="AA916" s="31" t="n"/>
      <c r="AB916" s="31" t="n"/>
    </row>
    <row r="917">
      <c r="A917" s="25" t="inlineStr">
        <is>
          <t>S18</t>
        </is>
      </c>
      <c r="B917" s="25" t="inlineStr">
        <is>
          <t>통영 신규점</t>
        </is>
      </c>
      <c r="C917" s="25" t="inlineStr">
        <is>
          <t>S18-H남</t>
        </is>
      </c>
      <c r="D917" s="25" t="inlineStr">
        <is>
          <t>측정</t>
        </is>
      </c>
      <c r="E917" s="25" t="inlineStr">
        <is>
          <t>남</t>
        </is>
      </c>
      <c r="F917" s="30" t="n">
        <v>1</v>
      </c>
      <c r="G917" s="29" t="n"/>
      <c r="H917" s="42" t="n"/>
      <c r="I917" s="40" t="n"/>
      <c r="J917" s="40" t="n"/>
      <c r="K917" s="40" t="n"/>
      <c r="L917" s="30">
        <f>IF(COUNT(I917:K917)=0,"",MEDIAN(I917:K917))</f>
        <v/>
      </c>
      <c r="M917" s="25">
        <f>IF(COUNTIFS($C:$C,$C917,$D:$D,"P0(전)",$L:$L,"&gt;0")&lt;&gt;1,"P0(전) 유효 1개 아님",IF(COUNTIFS($C:$C,$C917,$D:$D,"P0(후)",$L:$L,"&gt;0")&lt;&gt;1,"P0(후) 유효 1개 아님",IF(NOT(AND(ISNUMBER(N917),ISNUMBER(P917),ISNUMBER(H917))),"시각 결측",IF(P917&lt;=N917,"P0 시각 역전",IF(OR(H917&lt;N917,H917&gt;P917),"측정시각 구간 밖","OK")))))</f>
        <v/>
      </c>
      <c r="N917" s="45">
        <f>IF(COUNTIFS($C:$C,$C917,$D:$D,"P0(전)",$L:$L,"&gt;0")&lt;&gt;1,"",SUMIFS($H:$H,$C:$C,$C917,$D:$D,"P0(전)"))</f>
        <v/>
      </c>
      <c r="O917" s="30">
        <f>IF(COUNTIFS($C:$C,$C917,$D:$D,"P0(전)",$L:$L,"&gt;0")&lt;&gt;1,"",SUMIFS($L:$L,$C:$C,$C917,$D:$D,"P0(전)"))</f>
        <v/>
      </c>
      <c r="P917" s="45">
        <f>IF(COUNTIFS($C:$C,$C917,$D:$D,"P0(후)",$L:$L,"&gt;0")&lt;&gt;1,"",SUMIFS($H:$H,$C:$C,$C917,$D:$D,"P0(후)"))</f>
        <v/>
      </c>
      <c r="Q917" s="30">
        <f>IF(COUNTIFS($C:$C,$C917,$D:$D,"P0(후)",$L:$L,"&gt;0")&lt;&gt;1,"",SUMIFS($L:$L,$C:$C,$C917,$D:$D,"P0(후)"))</f>
        <v/>
      </c>
      <c r="R917" s="30">
        <f>IF(M917&lt;&gt;"OK","",O917+(Q917-O917)*(H917-N917)/(P917-N917))</f>
        <v/>
      </c>
      <c r="S917" s="30">
        <f>IF(OR(M917&lt;&gt;"OK",NOT(ISNUMBER(L917))),"",L917-R917)</f>
        <v/>
      </c>
      <c r="T917" s="46">
        <f>IF(OR(NOT(ISNUMBER(S917)),IF(ISNUMBER(G917),G917,F917)=0),"",S917/IF(ISNUMBER(G917),G917,F917))</f>
        <v/>
      </c>
      <c r="U917" s="46">
        <f>IF(ISNUMBER(T917),ABS(T917),"")</f>
        <v/>
      </c>
      <c r="V917" s="46">
        <f>IF(OR($D916&lt;&gt;"측정",$C916&lt;&gt;$C917,NOT(ISNUMBER(L917)),NOT(ISNUMBER(L916)),(IF(ISNUMBER(G917),G917,F917)-IF(ISNUMBER(G916),G916,F916))=0),"",(L917-L916)/(IF(ISNUMBER(G917),G917,F917)-IF(ISNUMBER(G916),G916,F916)))</f>
        <v/>
      </c>
      <c r="W917" s="30">
        <f>IF(NOT(AND(ISNUMBER(N917),ISNUMBER(P917))),"",(P917-N917)*1440)</f>
        <v/>
      </c>
      <c r="X917" s="28" t="n"/>
      <c r="Y917" s="28" t="n"/>
      <c r="Z917" s="28" t="n"/>
      <c r="AA917" s="31" t="n"/>
      <c r="AB917" s="31" t="n"/>
    </row>
    <row r="918">
      <c r="A918" s="25" t="inlineStr">
        <is>
          <t>S18</t>
        </is>
      </c>
      <c r="B918" s="25" t="inlineStr">
        <is>
          <t>통영 신규점</t>
        </is>
      </c>
      <c r="C918" s="25" t="inlineStr">
        <is>
          <t>S18-H남</t>
        </is>
      </c>
      <c r="D918" s="25" t="inlineStr">
        <is>
          <t>측정</t>
        </is>
      </c>
      <c r="E918" s="25" t="inlineStr">
        <is>
          <t>남</t>
        </is>
      </c>
      <c r="F918" s="30" t="n">
        <v>2</v>
      </c>
      <c r="G918" s="29" t="n"/>
      <c r="H918" s="42" t="n"/>
      <c r="I918" s="40" t="n"/>
      <c r="J918" s="40" t="n"/>
      <c r="K918" s="40" t="n"/>
      <c r="L918" s="30">
        <f>IF(COUNT(I918:K918)=0,"",MEDIAN(I918:K918))</f>
        <v/>
      </c>
      <c r="M918" s="25">
        <f>IF(COUNTIFS($C:$C,$C918,$D:$D,"P0(전)",$L:$L,"&gt;0")&lt;&gt;1,"P0(전) 유효 1개 아님",IF(COUNTIFS($C:$C,$C918,$D:$D,"P0(후)",$L:$L,"&gt;0")&lt;&gt;1,"P0(후) 유효 1개 아님",IF(NOT(AND(ISNUMBER(N918),ISNUMBER(P918),ISNUMBER(H918))),"시각 결측",IF(P918&lt;=N918,"P0 시각 역전",IF(OR(H918&lt;N918,H918&gt;P918),"측정시각 구간 밖","OK")))))</f>
        <v/>
      </c>
      <c r="N918" s="45">
        <f>IF(COUNTIFS($C:$C,$C918,$D:$D,"P0(전)",$L:$L,"&gt;0")&lt;&gt;1,"",SUMIFS($H:$H,$C:$C,$C918,$D:$D,"P0(전)"))</f>
        <v/>
      </c>
      <c r="O918" s="30">
        <f>IF(COUNTIFS($C:$C,$C918,$D:$D,"P0(전)",$L:$L,"&gt;0")&lt;&gt;1,"",SUMIFS($L:$L,$C:$C,$C918,$D:$D,"P0(전)"))</f>
        <v/>
      </c>
      <c r="P918" s="45">
        <f>IF(COUNTIFS($C:$C,$C918,$D:$D,"P0(후)",$L:$L,"&gt;0")&lt;&gt;1,"",SUMIFS($H:$H,$C:$C,$C918,$D:$D,"P0(후)"))</f>
        <v/>
      </c>
      <c r="Q918" s="30">
        <f>IF(COUNTIFS($C:$C,$C918,$D:$D,"P0(후)",$L:$L,"&gt;0")&lt;&gt;1,"",SUMIFS($L:$L,$C:$C,$C918,$D:$D,"P0(후)"))</f>
        <v/>
      </c>
      <c r="R918" s="30">
        <f>IF(M918&lt;&gt;"OK","",O918+(Q918-O918)*(H918-N918)/(P918-N918))</f>
        <v/>
      </c>
      <c r="S918" s="30">
        <f>IF(OR(M918&lt;&gt;"OK",NOT(ISNUMBER(L918))),"",L918-R918)</f>
        <v/>
      </c>
      <c r="T918" s="46">
        <f>IF(OR(NOT(ISNUMBER(S918)),IF(ISNUMBER(G918),G918,F918)=0),"",S918/IF(ISNUMBER(G918),G918,F918))</f>
        <v/>
      </c>
      <c r="U918" s="46">
        <f>IF(ISNUMBER(T918),ABS(T918),"")</f>
        <v/>
      </c>
      <c r="V918" s="46">
        <f>IF(OR($D917&lt;&gt;"측정",$C917&lt;&gt;$C918,NOT(ISNUMBER(L918)),NOT(ISNUMBER(L917)),(IF(ISNUMBER(G918),G918,F918)-IF(ISNUMBER(G917),G917,F917))=0),"",(L918-L917)/(IF(ISNUMBER(G918),G918,F918)-IF(ISNUMBER(G917),G917,F917)))</f>
        <v/>
      </c>
      <c r="W918" s="30">
        <f>IF(NOT(AND(ISNUMBER(N918),ISNUMBER(P918))),"",(P918-N918)*1440)</f>
        <v/>
      </c>
      <c r="X918" s="28" t="n"/>
      <c r="Y918" s="28" t="n"/>
      <c r="Z918" s="28" t="n"/>
      <c r="AA918" s="31" t="n"/>
      <c r="AB918" s="31" t="n"/>
    </row>
    <row r="919">
      <c r="A919" s="25" t="inlineStr">
        <is>
          <t>S18</t>
        </is>
      </c>
      <c r="B919" s="25" t="inlineStr">
        <is>
          <t>통영 신규점</t>
        </is>
      </c>
      <c r="C919" s="25" t="inlineStr">
        <is>
          <t>S18-H남</t>
        </is>
      </c>
      <c r="D919" s="25" t="inlineStr">
        <is>
          <t>측정</t>
        </is>
      </c>
      <c r="E919" s="25" t="inlineStr">
        <is>
          <t>남</t>
        </is>
      </c>
      <c r="F919" s="30" t="n">
        <v>3</v>
      </c>
      <c r="G919" s="29" t="n"/>
      <c r="H919" s="42" t="n"/>
      <c r="I919" s="40" t="n"/>
      <c r="J919" s="40" t="n"/>
      <c r="K919" s="40" t="n"/>
      <c r="L919" s="30">
        <f>IF(COUNT(I919:K919)=0,"",MEDIAN(I919:K919))</f>
        <v/>
      </c>
      <c r="M919" s="25">
        <f>IF(COUNTIFS($C:$C,$C919,$D:$D,"P0(전)",$L:$L,"&gt;0")&lt;&gt;1,"P0(전) 유효 1개 아님",IF(COUNTIFS($C:$C,$C919,$D:$D,"P0(후)",$L:$L,"&gt;0")&lt;&gt;1,"P0(후) 유효 1개 아님",IF(NOT(AND(ISNUMBER(N919),ISNUMBER(P919),ISNUMBER(H919))),"시각 결측",IF(P919&lt;=N919,"P0 시각 역전",IF(OR(H919&lt;N919,H919&gt;P919),"측정시각 구간 밖","OK")))))</f>
        <v/>
      </c>
      <c r="N919" s="45">
        <f>IF(COUNTIFS($C:$C,$C919,$D:$D,"P0(전)",$L:$L,"&gt;0")&lt;&gt;1,"",SUMIFS($H:$H,$C:$C,$C919,$D:$D,"P0(전)"))</f>
        <v/>
      </c>
      <c r="O919" s="30">
        <f>IF(COUNTIFS($C:$C,$C919,$D:$D,"P0(전)",$L:$L,"&gt;0")&lt;&gt;1,"",SUMIFS($L:$L,$C:$C,$C919,$D:$D,"P0(전)"))</f>
        <v/>
      </c>
      <c r="P919" s="45">
        <f>IF(COUNTIFS($C:$C,$C919,$D:$D,"P0(후)",$L:$L,"&gt;0")&lt;&gt;1,"",SUMIFS($H:$H,$C:$C,$C919,$D:$D,"P0(후)"))</f>
        <v/>
      </c>
      <c r="Q919" s="30">
        <f>IF(COUNTIFS($C:$C,$C919,$D:$D,"P0(후)",$L:$L,"&gt;0")&lt;&gt;1,"",SUMIFS($L:$L,$C:$C,$C919,$D:$D,"P0(후)"))</f>
        <v/>
      </c>
      <c r="R919" s="30">
        <f>IF(M919&lt;&gt;"OK","",O919+(Q919-O919)*(H919-N919)/(P919-N919))</f>
        <v/>
      </c>
      <c r="S919" s="30">
        <f>IF(OR(M919&lt;&gt;"OK",NOT(ISNUMBER(L919))),"",L919-R919)</f>
        <v/>
      </c>
      <c r="T919" s="46">
        <f>IF(OR(NOT(ISNUMBER(S919)),IF(ISNUMBER(G919),G919,F919)=0),"",S919/IF(ISNUMBER(G919),G919,F919))</f>
        <v/>
      </c>
      <c r="U919" s="46">
        <f>IF(ISNUMBER(T919),ABS(T919),"")</f>
        <v/>
      </c>
      <c r="V919" s="46">
        <f>IF(OR($D918&lt;&gt;"측정",$C918&lt;&gt;$C919,NOT(ISNUMBER(L919)),NOT(ISNUMBER(L918)),(IF(ISNUMBER(G919),G919,F919)-IF(ISNUMBER(G918),G918,F918))=0),"",(L919-L918)/(IF(ISNUMBER(G919),G919,F919)-IF(ISNUMBER(G918),G918,F918)))</f>
        <v/>
      </c>
      <c r="W919" s="30">
        <f>IF(NOT(AND(ISNUMBER(N919),ISNUMBER(P919))),"",(P919-N919)*1440)</f>
        <v/>
      </c>
      <c r="X919" s="28" t="n"/>
      <c r="Y919" s="28" t="n"/>
      <c r="Z919" s="28" t="n"/>
      <c r="AA919" s="31" t="n"/>
      <c r="AB919" s="31" t="n"/>
    </row>
    <row r="920">
      <c r="A920" s="25" t="inlineStr">
        <is>
          <t>S18</t>
        </is>
      </c>
      <c r="B920" s="25" t="inlineStr">
        <is>
          <t>통영 신규점</t>
        </is>
      </c>
      <c r="C920" s="25" t="inlineStr">
        <is>
          <t>S18-H남</t>
        </is>
      </c>
      <c r="D920" s="25" t="inlineStr">
        <is>
          <t>측정</t>
        </is>
      </c>
      <c r="E920" s="25" t="inlineStr">
        <is>
          <t>남</t>
        </is>
      </c>
      <c r="F920" s="30" t="n">
        <v>4</v>
      </c>
      <c r="G920" s="29" t="n"/>
      <c r="H920" s="42" t="n"/>
      <c r="I920" s="40" t="n"/>
      <c r="J920" s="40" t="n"/>
      <c r="K920" s="40" t="n"/>
      <c r="L920" s="30">
        <f>IF(COUNT(I920:K920)=0,"",MEDIAN(I920:K920))</f>
        <v/>
      </c>
      <c r="M920" s="25">
        <f>IF(COUNTIFS($C:$C,$C920,$D:$D,"P0(전)",$L:$L,"&gt;0")&lt;&gt;1,"P0(전) 유효 1개 아님",IF(COUNTIFS($C:$C,$C920,$D:$D,"P0(후)",$L:$L,"&gt;0")&lt;&gt;1,"P0(후) 유효 1개 아님",IF(NOT(AND(ISNUMBER(N920),ISNUMBER(P920),ISNUMBER(H920))),"시각 결측",IF(P920&lt;=N920,"P0 시각 역전",IF(OR(H920&lt;N920,H920&gt;P920),"측정시각 구간 밖","OK")))))</f>
        <v/>
      </c>
      <c r="N920" s="45">
        <f>IF(COUNTIFS($C:$C,$C920,$D:$D,"P0(전)",$L:$L,"&gt;0")&lt;&gt;1,"",SUMIFS($H:$H,$C:$C,$C920,$D:$D,"P0(전)"))</f>
        <v/>
      </c>
      <c r="O920" s="30">
        <f>IF(COUNTIFS($C:$C,$C920,$D:$D,"P0(전)",$L:$L,"&gt;0")&lt;&gt;1,"",SUMIFS($L:$L,$C:$C,$C920,$D:$D,"P0(전)"))</f>
        <v/>
      </c>
      <c r="P920" s="45">
        <f>IF(COUNTIFS($C:$C,$C920,$D:$D,"P0(후)",$L:$L,"&gt;0")&lt;&gt;1,"",SUMIFS($H:$H,$C:$C,$C920,$D:$D,"P0(후)"))</f>
        <v/>
      </c>
      <c r="Q920" s="30">
        <f>IF(COUNTIFS($C:$C,$C920,$D:$D,"P0(후)",$L:$L,"&gt;0")&lt;&gt;1,"",SUMIFS($L:$L,$C:$C,$C920,$D:$D,"P0(후)"))</f>
        <v/>
      </c>
      <c r="R920" s="30">
        <f>IF(M920&lt;&gt;"OK","",O920+(Q920-O920)*(H920-N920)/(P920-N920))</f>
        <v/>
      </c>
      <c r="S920" s="30">
        <f>IF(OR(M920&lt;&gt;"OK",NOT(ISNUMBER(L920))),"",L920-R920)</f>
        <v/>
      </c>
      <c r="T920" s="46">
        <f>IF(OR(NOT(ISNUMBER(S920)),IF(ISNUMBER(G920),G920,F920)=0),"",S920/IF(ISNUMBER(G920),G920,F920))</f>
        <v/>
      </c>
      <c r="U920" s="46">
        <f>IF(ISNUMBER(T920),ABS(T920),"")</f>
        <v/>
      </c>
      <c r="V920" s="46">
        <f>IF(OR($D919&lt;&gt;"측정",$C919&lt;&gt;$C920,NOT(ISNUMBER(L920)),NOT(ISNUMBER(L919)),(IF(ISNUMBER(G920),G920,F920)-IF(ISNUMBER(G919),G919,F919))=0),"",(L920-L919)/(IF(ISNUMBER(G920),G920,F920)-IF(ISNUMBER(G919),G919,F919)))</f>
        <v/>
      </c>
      <c r="W920" s="30">
        <f>IF(NOT(AND(ISNUMBER(N920),ISNUMBER(P920))),"",(P920-N920)*1440)</f>
        <v/>
      </c>
      <c r="X920" s="28" t="n"/>
      <c r="Y920" s="28" t="n"/>
      <c r="Z920" s="28" t="n"/>
      <c r="AA920" s="31" t="n"/>
      <c r="AB920" s="31" t="n"/>
    </row>
    <row r="921">
      <c r="A921" s="25" t="inlineStr">
        <is>
          <t>S18</t>
        </is>
      </c>
      <c r="B921" s="25" t="inlineStr">
        <is>
          <t>통영 신규점</t>
        </is>
      </c>
      <c r="C921" s="25" t="inlineStr">
        <is>
          <t>S18-H남</t>
        </is>
      </c>
      <c r="D921" s="25" t="inlineStr">
        <is>
          <t>측정</t>
        </is>
      </c>
      <c r="E921" s="25" t="inlineStr">
        <is>
          <t>남</t>
        </is>
      </c>
      <c r="F921" s="30" t="n">
        <v>5</v>
      </c>
      <c r="G921" s="29" t="n"/>
      <c r="H921" s="42" t="n"/>
      <c r="I921" s="40" t="n"/>
      <c r="J921" s="40" t="n"/>
      <c r="K921" s="40" t="n"/>
      <c r="L921" s="30">
        <f>IF(COUNT(I921:K921)=0,"",MEDIAN(I921:K921))</f>
        <v/>
      </c>
      <c r="M921" s="25">
        <f>IF(COUNTIFS($C:$C,$C921,$D:$D,"P0(전)",$L:$L,"&gt;0")&lt;&gt;1,"P0(전) 유효 1개 아님",IF(COUNTIFS($C:$C,$C921,$D:$D,"P0(후)",$L:$L,"&gt;0")&lt;&gt;1,"P0(후) 유효 1개 아님",IF(NOT(AND(ISNUMBER(N921),ISNUMBER(P921),ISNUMBER(H921))),"시각 결측",IF(P921&lt;=N921,"P0 시각 역전",IF(OR(H921&lt;N921,H921&gt;P921),"측정시각 구간 밖","OK")))))</f>
        <v/>
      </c>
      <c r="N921" s="45">
        <f>IF(COUNTIFS($C:$C,$C921,$D:$D,"P0(전)",$L:$L,"&gt;0")&lt;&gt;1,"",SUMIFS($H:$H,$C:$C,$C921,$D:$D,"P0(전)"))</f>
        <v/>
      </c>
      <c r="O921" s="30">
        <f>IF(COUNTIFS($C:$C,$C921,$D:$D,"P0(전)",$L:$L,"&gt;0")&lt;&gt;1,"",SUMIFS($L:$L,$C:$C,$C921,$D:$D,"P0(전)"))</f>
        <v/>
      </c>
      <c r="P921" s="45">
        <f>IF(COUNTIFS($C:$C,$C921,$D:$D,"P0(후)",$L:$L,"&gt;0")&lt;&gt;1,"",SUMIFS($H:$H,$C:$C,$C921,$D:$D,"P0(후)"))</f>
        <v/>
      </c>
      <c r="Q921" s="30">
        <f>IF(COUNTIFS($C:$C,$C921,$D:$D,"P0(후)",$L:$L,"&gt;0")&lt;&gt;1,"",SUMIFS($L:$L,$C:$C,$C921,$D:$D,"P0(후)"))</f>
        <v/>
      </c>
      <c r="R921" s="30">
        <f>IF(M921&lt;&gt;"OK","",O921+(Q921-O921)*(H921-N921)/(P921-N921))</f>
        <v/>
      </c>
      <c r="S921" s="30">
        <f>IF(OR(M921&lt;&gt;"OK",NOT(ISNUMBER(L921))),"",L921-R921)</f>
        <v/>
      </c>
      <c r="T921" s="46">
        <f>IF(OR(NOT(ISNUMBER(S921)),IF(ISNUMBER(G921),G921,F921)=0),"",S921/IF(ISNUMBER(G921),G921,F921))</f>
        <v/>
      </c>
      <c r="U921" s="46">
        <f>IF(ISNUMBER(T921),ABS(T921),"")</f>
        <v/>
      </c>
      <c r="V921" s="46">
        <f>IF(OR($D920&lt;&gt;"측정",$C920&lt;&gt;$C921,NOT(ISNUMBER(L921)),NOT(ISNUMBER(L920)),(IF(ISNUMBER(G921),G921,F921)-IF(ISNUMBER(G920),G920,F920))=0),"",(L921-L920)/(IF(ISNUMBER(G921),G921,F921)-IF(ISNUMBER(G920),G920,F920)))</f>
        <v/>
      </c>
      <c r="W921" s="30">
        <f>IF(NOT(AND(ISNUMBER(N921),ISNUMBER(P921))),"",(P921-N921)*1440)</f>
        <v/>
      </c>
      <c r="X921" s="28" t="n"/>
      <c r="Y921" s="28" t="n"/>
      <c r="Z921" s="28" t="n"/>
      <c r="AA921" s="31" t="n"/>
      <c r="AB921" s="31" t="n"/>
    </row>
    <row r="922">
      <c r="A922" s="25" t="inlineStr">
        <is>
          <t>S18</t>
        </is>
      </c>
      <c r="B922" s="25" t="inlineStr">
        <is>
          <t>통영 신규점</t>
        </is>
      </c>
      <c r="C922" s="25" t="inlineStr">
        <is>
          <t>S18-H남</t>
        </is>
      </c>
      <c r="D922" s="25" t="inlineStr">
        <is>
          <t>측정</t>
        </is>
      </c>
      <c r="E922" s="25" t="inlineStr">
        <is>
          <t>남</t>
        </is>
      </c>
      <c r="F922" s="30" t="n">
        <v>6</v>
      </c>
      <c r="G922" s="29" t="n"/>
      <c r="H922" s="42" t="n"/>
      <c r="I922" s="40" t="n"/>
      <c r="J922" s="40" t="n"/>
      <c r="K922" s="40" t="n"/>
      <c r="L922" s="30">
        <f>IF(COUNT(I922:K922)=0,"",MEDIAN(I922:K922))</f>
        <v/>
      </c>
      <c r="M922" s="25">
        <f>IF(COUNTIFS($C:$C,$C922,$D:$D,"P0(전)",$L:$L,"&gt;0")&lt;&gt;1,"P0(전) 유효 1개 아님",IF(COUNTIFS($C:$C,$C922,$D:$D,"P0(후)",$L:$L,"&gt;0")&lt;&gt;1,"P0(후) 유효 1개 아님",IF(NOT(AND(ISNUMBER(N922),ISNUMBER(P922),ISNUMBER(H922))),"시각 결측",IF(P922&lt;=N922,"P0 시각 역전",IF(OR(H922&lt;N922,H922&gt;P922),"측정시각 구간 밖","OK")))))</f>
        <v/>
      </c>
      <c r="N922" s="45">
        <f>IF(COUNTIFS($C:$C,$C922,$D:$D,"P0(전)",$L:$L,"&gt;0")&lt;&gt;1,"",SUMIFS($H:$H,$C:$C,$C922,$D:$D,"P0(전)"))</f>
        <v/>
      </c>
      <c r="O922" s="30">
        <f>IF(COUNTIFS($C:$C,$C922,$D:$D,"P0(전)",$L:$L,"&gt;0")&lt;&gt;1,"",SUMIFS($L:$L,$C:$C,$C922,$D:$D,"P0(전)"))</f>
        <v/>
      </c>
      <c r="P922" s="45">
        <f>IF(COUNTIFS($C:$C,$C922,$D:$D,"P0(후)",$L:$L,"&gt;0")&lt;&gt;1,"",SUMIFS($H:$H,$C:$C,$C922,$D:$D,"P0(후)"))</f>
        <v/>
      </c>
      <c r="Q922" s="30">
        <f>IF(COUNTIFS($C:$C,$C922,$D:$D,"P0(후)",$L:$L,"&gt;0")&lt;&gt;1,"",SUMIFS($L:$L,$C:$C,$C922,$D:$D,"P0(후)"))</f>
        <v/>
      </c>
      <c r="R922" s="30">
        <f>IF(M922&lt;&gt;"OK","",O922+(Q922-O922)*(H922-N922)/(P922-N922))</f>
        <v/>
      </c>
      <c r="S922" s="30">
        <f>IF(OR(M922&lt;&gt;"OK",NOT(ISNUMBER(L922))),"",L922-R922)</f>
        <v/>
      </c>
      <c r="T922" s="46">
        <f>IF(OR(NOT(ISNUMBER(S922)),IF(ISNUMBER(G922),G922,F922)=0),"",S922/IF(ISNUMBER(G922),G922,F922))</f>
        <v/>
      </c>
      <c r="U922" s="46">
        <f>IF(ISNUMBER(T922),ABS(T922),"")</f>
        <v/>
      </c>
      <c r="V922" s="46">
        <f>IF(OR($D921&lt;&gt;"측정",$C921&lt;&gt;$C922,NOT(ISNUMBER(L922)),NOT(ISNUMBER(L921)),(IF(ISNUMBER(G922),G922,F922)-IF(ISNUMBER(G921),G921,F921))=0),"",(L922-L921)/(IF(ISNUMBER(G922),G922,F922)-IF(ISNUMBER(G921),G921,F921)))</f>
        <v/>
      </c>
      <c r="W922" s="30">
        <f>IF(NOT(AND(ISNUMBER(N922),ISNUMBER(P922))),"",(P922-N922)*1440)</f>
        <v/>
      </c>
      <c r="X922" s="28" t="n"/>
      <c r="Y922" s="28" t="n"/>
      <c r="Z922" s="28" t="n"/>
      <c r="AA922" s="31" t="n"/>
      <c r="AB922" s="31" t="n"/>
    </row>
    <row r="923">
      <c r="A923" s="25" t="inlineStr">
        <is>
          <t>S18</t>
        </is>
      </c>
      <c r="B923" s="25" t="inlineStr">
        <is>
          <t>통영 신규점</t>
        </is>
      </c>
      <c r="C923" s="25" t="inlineStr">
        <is>
          <t>S18-H남</t>
        </is>
      </c>
      <c r="D923" s="25" t="inlineStr">
        <is>
          <t>측정</t>
        </is>
      </c>
      <c r="E923" s="25" t="inlineStr">
        <is>
          <t>남</t>
        </is>
      </c>
      <c r="F923" s="30" t="n">
        <v>7</v>
      </c>
      <c r="G923" s="29" t="n"/>
      <c r="H923" s="42" t="n"/>
      <c r="I923" s="40" t="n"/>
      <c r="J923" s="40" t="n"/>
      <c r="K923" s="40" t="n"/>
      <c r="L923" s="30">
        <f>IF(COUNT(I923:K923)=0,"",MEDIAN(I923:K923))</f>
        <v/>
      </c>
      <c r="M923" s="25">
        <f>IF(COUNTIFS($C:$C,$C923,$D:$D,"P0(전)",$L:$L,"&gt;0")&lt;&gt;1,"P0(전) 유효 1개 아님",IF(COUNTIFS($C:$C,$C923,$D:$D,"P0(후)",$L:$L,"&gt;0")&lt;&gt;1,"P0(후) 유효 1개 아님",IF(NOT(AND(ISNUMBER(N923),ISNUMBER(P923),ISNUMBER(H923))),"시각 결측",IF(P923&lt;=N923,"P0 시각 역전",IF(OR(H923&lt;N923,H923&gt;P923),"측정시각 구간 밖","OK")))))</f>
        <v/>
      </c>
      <c r="N923" s="45">
        <f>IF(COUNTIFS($C:$C,$C923,$D:$D,"P0(전)",$L:$L,"&gt;0")&lt;&gt;1,"",SUMIFS($H:$H,$C:$C,$C923,$D:$D,"P0(전)"))</f>
        <v/>
      </c>
      <c r="O923" s="30">
        <f>IF(COUNTIFS($C:$C,$C923,$D:$D,"P0(전)",$L:$L,"&gt;0")&lt;&gt;1,"",SUMIFS($L:$L,$C:$C,$C923,$D:$D,"P0(전)"))</f>
        <v/>
      </c>
      <c r="P923" s="45">
        <f>IF(COUNTIFS($C:$C,$C923,$D:$D,"P0(후)",$L:$L,"&gt;0")&lt;&gt;1,"",SUMIFS($H:$H,$C:$C,$C923,$D:$D,"P0(후)"))</f>
        <v/>
      </c>
      <c r="Q923" s="30">
        <f>IF(COUNTIFS($C:$C,$C923,$D:$D,"P0(후)",$L:$L,"&gt;0")&lt;&gt;1,"",SUMIFS($L:$L,$C:$C,$C923,$D:$D,"P0(후)"))</f>
        <v/>
      </c>
      <c r="R923" s="30">
        <f>IF(M923&lt;&gt;"OK","",O923+(Q923-O923)*(H923-N923)/(P923-N923))</f>
        <v/>
      </c>
      <c r="S923" s="30">
        <f>IF(OR(M923&lt;&gt;"OK",NOT(ISNUMBER(L923))),"",L923-R923)</f>
        <v/>
      </c>
      <c r="T923" s="46">
        <f>IF(OR(NOT(ISNUMBER(S923)),IF(ISNUMBER(G923),G923,F923)=0),"",S923/IF(ISNUMBER(G923),G923,F923))</f>
        <v/>
      </c>
      <c r="U923" s="46">
        <f>IF(ISNUMBER(T923),ABS(T923),"")</f>
        <v/>
      </c>
      <c r="V923" s="46">
        <f>IF(OR($D922&lt;&gt;"측정",$C922&lt;&gt;$C923,NOT(ISNUMBER(L923)),NOT(ISNUMBER(L922)),(IF(ISNUMBER(G923),G923,F923)-IF(ISNUMBER(G922),G922,F922))=0),"",(L923-L922)/(IF(ISNUMBER(G923),G923,F923)-IF(ISNUMBER(G922),G922,F922)))</f>
        <v/>
      </c>
      <c r="W923" s="30">
        <f>IF(NOT(AND(ISNUMBER(N923),ISNUMBER(P923))),"",(P923-N923)*1440)</f>
        <v/>
      </c>
      <c r="X923" s="28" t="n"/>
      <c r="Y923" s="28" t="n"/>
      <c r="Z923" s="28" t="n"/>
      <c r="AA923" s="31" t="n"/>
      <c r="AB923" s="31" t="n"/>
    </row>
    <row r="924">
      <c r="A924" s="25" t="inlineStr">
        <is>
          <t>S18</t>
        </is>
      </c>
      <c r="B924" s="25" t="inlineStr">
        <is>
          <t>통영 신규점</t>
        </is>
      </c>
      <c r="C924" s="25" t="inlineStr">
        <is>
          <t>S18-H남</t>
        </is>
      </c>
      <c r="D924" s="25" t="inlineStr">
        <is>
          <t>측정</t>
        </is>
      </c>
      <c r="E924" s="25" t="inlineStr">
        <is>
          <t>남</t>
        </is>
      </c>
      <c r="F924" s="30" t="n">
        <v>8</v>
      </c>
      <c r="G924" s="29" t="n"/>
      <c r="H924" s="42" t="n"/>
      <c r="I924" s="40" t="n"/>
      <c r="J924" s="40" t="n"/>
      <c r="K924" s="40" t="n"/>
      <c r="L924" s="30">
        <f>IF(COUNT(I924:K924)=0,"",MEDIAN(I924:K924))</f>
        <v/>
      </c>
      <c r="M924" s="25">
        <f>IF(COUNTIFS($C:$C,$C924,$D:$D,"P0(전)",$L:$L,"&gt;0")&lt;&gt;1,"P0(전) 유효 1개 아님",IF(COUNTIFS($C:$C,$C924,$D:$D,"P0(후)",$L:$L,"&gt;0")&lt;&gt;1,"P0(후) 유효 1개 아님",IF(NOT(AND(ISNUMBER(N924),ISNUMBER(P924),ISNUMBER(H924))),"시각 결측",IF(P924&lt;=N924,"P0 시각 역전",IF(OR(H924&lt;N924,H924&gt;P924),"측정시각 구간 밖","OK")))))</f>
        <v/>
      </c>
      <c r="N924" s="45">
        <f>IF(COUNTIFS($C:$C,$C924,$D:$D,"P0(전)",$L:$L,"&gt;0")&lt;&gt;1,"",SUMIFS($H:$H,$C:$C,$C924,$D:$D,"P0(전)"))</f>
        <v/>
      </c>
      <c r="O924" s="30">
        <f>IF(COUNTIFS($C:$C,$C924,$D:$D,"P0(전)",$L:$L,"&gt;0")&lt;&gt;1,"",SUMIFS($L:$L,$C:$C,$C924,$D:$D,"P0(전)"))</f>
        <v/>
      </c>
      <c r="P924" s="45">
        <f>IF(COUNTIFS($C:$C,$C924,$D:$D,"P0(후)",$L:$L,"&gt;0")&lt;&gt;1,"",SUMIFS($H:$H,$C:$C,$C924,$D:$D,"P0(후)"))</f>
        <v/>
      </c>
      <c r="Q924" s="30">
        <f>IF(COUNTIFS($C:$C,$C924,$D:$D,"P0(후)",$L:$L,"&gt;0")&lt;&gt;1,"",SUMIFS($L:$L,$C:$C,$C924,$D:$D,"P0(후)"))</f>
        <v/>
      </c>
      <c r="R924" s="30">
        <f>IF(M924&lt;&gt;"OK","",O924+(Q924-O924)*(H924-N924)/(P924-N924))</f>
        <v/>
      </c>
      <c r="S924" s="30">
        <f>IF(OR(M924&lt;&gt;"OK",NOT(ISNUMBER(L924))),"",L924-R924)</f>
        <v/>
      </c>
      <c r="T924" s="46">
        <f>IF(OR(NOT(ISNUMBER(S924)),IF(ISNUMBER(G924),G924,F924)=0),"",S924/IF(ISNUMBER(G924),G924,F924))</f>
        <v/>
      </c>
      <c r="U924" s="46">
        <f>IF(ISNUMBER(T924),ABS(T924),"")</f>
        <v/>
      </c>
      <c r="V924" s="46">
        <f>IF(OR($D923&lt;&gt;"측정",$C923&lt;&gt;$C924,NOT(ISNUMBER(L924)),NOT(ISNUMBER(L923)),(IF(ISNUMBER(G924),G924,F924)-IF(ISNUMBER(G923),G923,F923))=0),"",(L924-L923)/(IF(ISNUMBER(G924),G924,F924)-IF(ISNUMBER(G923),G923,F923)))</f>
        <v/>
      </c>
      <c r="W924" s="30">
        <f>IF(NOT(AND(ISNUMBER(N924),ISNUMBER(P924))),"",(P924-N924)*1440)</f>
        <v/>
      </c>
      <c r="X924" s="28" t="n"/>
      <c r="Y924" s="28" t="n"/>
      <c r="Z924" s="28" t="n"/>
      <c r="AA924" s="31" t="n"/>
      <c r="AB924" s="31" t="n"/>
    </row>
    <row r="925">
      <c r="A925" s="25" t="inlineStr">
        <is>
          <t>S18</t>
        </is>
      </c>
      <c r="B925" s="25" t="inlineStr">
        <is>
          <t>통영 신규점</t>
        </is>
      </c>
      <c r="C925" s="25" t="inlineStr">
        <is>
          <t>S18-H남</t>
        </is>
      </c>
      <c r="D925" s="25" t="inlineStr">
        <is>
          <t>측정</t>
        </is>
      </c>
      <c r="E925" s="25" t="inlineStr">
        <is>
          <t>남</t>
        </is>
      </c>
      <c r="F925" s="30" t="n">
        <v>9</v>
      </c>
      <c r="G925" s="29" t="n"/>
      <c r="H925" s="42" t="n"/>
      <c r="I925" s="40" t="n"/>
      <c r="J925" s="40" t="n"/>
      <c r="K925" s="40" t="n"/>
      <c r="L925" s="30">
        <f>IF(COUNT(I925:K925)=0,"",MEDIAN(I925:K925))</f>
        <v/>
      </c>
      <c r="M925" s="25">
        <f>IF(COUNTIFS($C:$C,$C925,$D:$D,"P0(전)",$L:$L,"&gt;0")&lt;&gt;1,"P0(전) 유효 1개 아님",IF(COUNTIFS($C:$C,$C925,$D:$D,"P0(후)",$L:$L,"&gt;0")&lt;&gt;1,"P0(후) 유효 1개 아님",IF(NOT(AND(ISNUMBER(N925),ISNUMBER(P925),ISNUMBER(H925))),"시각 결측",IF(P925&lt;=N925,"P0 시각 역전",IF(OR(H925&lt;N925,H925&gt;P925),"측정시각 구간 밖","OK")))))</f>
        <v/>
      </c>
      <c r="N925" s="45">
        <f>IF(COUNTIFS($C:$C,$C925,$D:$D,"P0(전)",$L:$L,"&gt;0")&lt;&gt;1,"",SUMIFS($H:$H,$C:$C,$C925,$D:$D,"P0(전)"))</f>
        <v/>
      </c>
      <c r="O925" s="30">
        <f>IF(COUNTIFS($C:$C,$C925,$D:$D,"P0(전)",$L:$L,"&gt;0")&lt;&gt;1,"",SUMIFS($L:$L,$C:$C,$C925,$D:$D,"P0(전)"))</f>
        <v/>
      </c>
      <c r="P925" s="45">
        <f>IF(COUNTIFS($C:$C,$C925,$D:$D,"P0(후)",$L:$L,"&gt;0")&lt;&gt;1,"",SUMIFS($H:$H,$C:$C,$C925,$D:$D,"P0(후)"))</f>
        <v/>
      </c>
      <c r="Q925" s="30">
        <f>IF(COUNTIFS($C:$C,$C925,$D:$D,"P0(후)",$L:$L,"&gt;0")&lt;&gt;1,"",SUMIFS($L:$L,$C:$C,$C925,$D:$D,"P0(후)"))</f>
        <v/>
      </c>
      <c r="R925" s="30">
        <f>IF(M925&lt;&gt;"OK","",O925+(Q925-O925)*(H925-N925)/(P925-N925))</f>
        <v/>
      </c>
      <c r="S925" s="30">
        <f>IF(OR(M925&lt;&gt;"OK",NOT(ISNUMBER(L925))),"",L925-R925)</f>
        <v/>
      </c>
      <c r="T925" s="46">
        <f>IF(OR(NOT(ISNUMBER(S925)),IF(ISNUMBER(G925),G925,F925)=0),"",S925/IF(ISNUMBER(G925),G925,F925))</f>
        <v/>
      </c>
      <c r="U925" s="46">
        <f>IF(ISNUMBER(T925),ABS(T925),"")</f>
        <v/>
      </c>
      <c r="V925" s="46">
        <f>IF(OR($D924&lt;&gt;"측정",$C924&lt;&gt;$C925,NOT(ISNUMBER(L925)),NOT(ISNUMBER(L924)),(IF(ISNUMBER(G925),G925,F925)-IF(ISNUMBER(G924),G924,F924))=0),"",(L925-L924)/(IF(ISNUMBER(G925),G925,F925)-IF(ISNUMBER(G924),G924,F924)))</f>
        <v/>
      </c>
      <c r="W925" s="30">
        <f>IF(NOT(AND(ISNUMBER(N925),ISNUMBER(P925))),"",(P925-N925)*1440)</f>
        <v/>
      </c>
      <c r="X925" s="28" t="n"/>
      <c r="Y925" s="28" t="n"/>
      <c r="Z925" s="28" t="n"/>
      <c r="AA925" s="31" t="n"/>
      <c r="AB925" s="31" t="n"/>
    </row>
    <row r="926">
      <c r="A926" s="25" t="inlineStr">
        <is>
          <t>S18</t>
        </is>
      </c>
      <c r="B926" s="25" t="inlineStr">
        <is>
          <t>통영 신규점</t>
        </is>
      </c>
      <c r="C926" s="25" t="inlineStr">
        <is>
          <t>S18-H남</t>
        </is>
      </c>
      <c r="D926" s="25" t="inlineStr">
        <is>
          <t>측정</t>
        </is>
      </c>
      <c r="E926" s="25" t="inlineStr">
        <is>
          <t>남</t>
        </is>
      </c>
      <c r="F926" s="30" t="n">
        <v>10</v>
      </c>
      <c r="G926" s="29" t="n"/>
      <c r="H926" s="42" t="n"/>
      <c r="I926" s="40" t="n"/>
      <c r="J926" s="40" t="n"/>
      <c r="K926" s="40" t="n"/>
      <c r="L926" s="30">
        <f>IF(COUNT(I926:K926)=0,"",MEDIAN(I926:K926))</f>
        <v/>
      </c>
      <c r="M926" s="25">
        <f>IF(COUNTIFS($C:$C,$C926,$D:$D,"P0(전)",$L:$L,"&gt;0")&lt;&gt;1,"P0(전) 유효 1개 아님",IF(COUNTIFS($C:$C,$C926,$D:$D,"P0(후)",$L:$L,"&gt;0")&lt;&gt;1,"P0(후) 유효 1개 아님",IF(NOT(AND(ISNUMBER(N926),ISNUMBER(P926),ISNUMBER(H926))),"시각 결측",IF(P926&lt;=N926,"P0 시각 역전",IF(OR(H926&lt;N926,H926&gt;P926),"측정시각 구간 밖","OK")))))</f>
        <v/>
      </c>
      <c r="N926" s="45">
        <f>IF(COUNTIFS($C:$C,$C926,$D:$D,"P0(전)",$L:$L,"&gt;0")&lt;&gt;1,"",SUMIFS($H:$H,$C:$C,$C926,$D:$D,"P0(전)"))</f>
        <v/>
      </c>
      <c r="O926" s="30">
        <f>IF(COUNTIFS($C:$C,$C926,$D:$D,"P0(전)",$L:$L,"&gt;0")&lt;&gt;1,"",SUMIFS($L:$L,$C:$C,$C926,$D:$D,"P0(전)"))</f>
        <v/>
      </c>
      <c r="P926" s="45">
        <f>IF(COUNTIFS($C:$C,$C926,$D:$D,"P0(후)",$L:$L,"&gt;0")&lt;&gt;1,"",SUMIFS($H:$H,$C:$C,$C926,$D:$D,"P0(후)"))</f>
        <v/>
      </c>
      <c r="Q926" s="30">
        <f>IF(COUNTIFS($C:$C,$C926,$D:$D,"P0(후)",$L:$L,"&gt;0")&lt;&gt;1,"",SUMIFS($L:$L,$C:$C,$C926,$D:$D,"P0(후)"))</f>
        <v/>
      </c>
      <c r="R926" s="30">
        <f>IF(M926&lt;&gt;"OK","",O926+(Q926-O926)*(H926-N926)/(P926-N926))</f>
        <v/>
      </c>
      <c r="S926" s="30">
        <f>IF(OR(M926&lt;&gt;"OK",NOT(ISNUMBER(L926))),"",L926-R926)</f>
        <v/>
      </c>
      <c r="T926" s="46">
        <f>IF(OR(NOT(ISNUMBER(S926)),IF(ISNUMBER(G926),G926,F926)=0),"",S926/IF(ISNUMBER(G926),G926,F926))</f>
        <v/>
      </c>
      <c r="U926" s="46">
        <f>IF(ISNUMBER(T926),ABS(T926),"")</f>
        <v/>
      </c>
      <c r="V926" s="46">
        <f>IF(OR($D925&lt;&gt;"측정",$C925&lt;&gt;$C926,NOT(ISNUMBER(L926)),NOT(ISNUMBER(L925)),(IF(ISNUMBER(G926),G926,F926)-IF(ISNUMBER(G925),G925,F925))=0),"",(L926-L925)/(IF(ISNUMBER(G926),G926,F926)-IF(ISNUMBER(G925),G925,F925)))</f>
        <v/>
      </c>
      <c r="W926" s="30">
        <f>IF(NOT(AND(ISNUMBER(N926),ISNUMBER(P926))),"",(P926-N926)*1440)</f>
        <v/>
      </c>
      <c r="X926" s="28" t="n"/>
      <c r="Y926" s="28" t="n"/>
      <c r="Z926" s="28" t="n"/>
      <c r="AA926" s="31" t="n"/>
      <c r="AB926" s="31" t="n"/>
    </row>
    <row r="927">
      <c r="A927" s="43" t="inlineStr">
        <is>
          <t>S18</t>
        </is>
      </c>
      <c r="B927" s="43" t="inlineStr">
        <is>
          <t>통영 신규점</t>
        </is>
      </c>
      <c r="C927" s="43" t="inlineStr">
        <is>
          <t>S18-H남</t>
        </is>
      </c>
      <c r="D927" s="43" t="inlineStr">
        <is>
          <t>P0(후)</t>
        </is>
      </c>
      <c r="E927" s="43" t="inlineStr">
        <is>
          <t>남</t>
        </is>
      </c>
      <c r="F927" s="44" t="n"/>
      <c r="G927" s="29" t="n"/>
      <c r="H927" s="42" t="n"/>
      <c r="I927" s="40" t="n"/>
      <c r="J927" s="40" t="n"/>
      <c r="K927" s="40" t="n"/>
      <c r="L927" s="30">
        <f>IF(COUNT(I927:K927)=0,"",MEDIAN(I927:K927))</f>
        <v/>
      </c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28" t="n"/>
      <c r="Y927" s="28" t="n"/>
      <c r="Z927" s="28" t="n"/>
      <c r="AA927" s="31" t="n"/>
      <c r="AB927" s="31" t="n"/>
    </row>
    <row r="928">
      <c r="A928" s="43" t="inlineStr">
        <is>
          <t>S18</t>
        </is>
      </c>
      <c r="B928" s="43" t="inlineStr">
        <is>
          <t>통영 신규점</t>
        </is>
      </c>
      <c r="C928" s="43" t="inlineStr">
        <is>
          <t>S18-H북</t>
        </is>
      </c>
      <c r="D928" s="43" t="inlineStr">
        <is>
          <t>P0(전)</t>
        </is>
      </c>
      <c r="E928" s="43" t="inlineStr">
        <is>
          <t>북</t>
        </is>
      </c>
      <c r="F928" s="44" t="n"/>
      <c r="G928" s="29" t="n"/>
      <c r="H928" s="42" t="n"/>
      <c r="I928" s="40" t="n"/>
      <c r="J928" s="40" t="n"/>
      <c r="K928" s="40" t="n"/>
      <c r="L928" s="30">
        <f>IF(COUNT(I928:K928)=0,"",MEDIAN(I928:K928))</f>
        <v/>
      </c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28" t="n"/>
      <c r="Y928" s="28" t="n"/>
      <c r="Z928" s="28" t="n"/>
      <c r="AA928" s="31" t="n"/>
      <c r="AB928" s="31" t="n"/>
    </row>
    <row r="929">
      <c r="A929" s="25" t="inlineStr">
        <is>
          <t>S18</t>
        </is>
      </c>
      <c r="B929" s="25" t="inlineStr">
        <is>
          <t>통영 신규점</t>
        </is>
      </c>
      <c r="C929" s="25" t="inlineStr">
        <is>
          <t>S18-H북</t>
        </is>
      </c>
      <c r="D929" s="25" t="inlineStr">
        <is>
          <t>측정</t>
        </is>
      </c>
      <c r="E929" s="25" t="inlineStr">
        <is>
          <t>북</t>
        </is>
      </c>
      <c r="F929" s="30" t="n">
        <v>0.5</v>
      </c>
      <c r="G929" s="29" t="n"/>
      <c r="H929" s="42" t="n"/>
      <c r="I929" s="40" t="n"/>
      <c r="J929" s="40" t="n"/>
      <c r="K929" s="40" t="n"/>
      <c r="L929" s="30">
        <f>IF(COUNT(I929:K929)=0,"",MEDIAN(I929:K929))</f>
        <v/>
      </c>
      <c r="M929" s="25">
        <f>IF(COUNTIFS($C:$C,$C929,$D:$D,"P0(전)",$L:$L,"&gt;0")&lt;&gt;1,"P0(전) 유효 1개 아님",IF(COUNTIFS($C:$C,$C929,$D:$D,"P0(후)",$L:$L,"&gt;0")&lt;&gt;1,"P0(후) 유효 1개 아님",IF(NOT(AND(ISNUMBER(N929),ISNUMBER(P929),ISNUMBER(H929))),"시각 결측",IF(P929&lt;=N929,"P0 시각 역전",IF(OR(H929&lt;N929,H929&gt;P929),"측정시각 구간 밖","OK")))))</f>
        <v/>
      </c>
      <c r="N929" s="45">
        <f>IF(COUNTIFS($C:$C,$C929,$D:$D,"P0(전)",$L:$L,"&gt;0")&lt;&gt;1,"",SUMIFS($H:$H,$C:$C,$C929,$D:$D,"P0(전)"))</f>
        <v/>
      </c>
      <c r="O929" s="30">
        <f>IF(COUNTIFS($C:$C,$C929,$D:$D,"P0(전)",$L:$L,"&gt;0")&lt;&gt;1,"",SUMIFS($L:$L,$C:$C,$C929,$D:$D,"P0(전)"))</f>
        <v/>
      </c>
      <c r="P929" s="45">
        <f>IF(COUNTIFS($C:$C,$C929,$D:$D,"P0(후)",$L:$L,"&gt;0")&lt;&gt;1,"",SUMIFS($H:$H,$C:$C,$C929,$D:$D,"P0(후)"))</f>
        <v/>
      </c>
      <c r="Q929" s="30">
        <f>IF(COUNTIFS($C:$C,$C929,$D:$D,"P0(후)",$L:$L,"&gt;0")&lt;&gt;1,"",SUMIFS($L:$L,$C:$C,$C929,$D:$D,"P0(후)"))</f>
        <v/>
      </c>
      <c r="R929" s="30">
        <f>IF(M929&lt;&gt;"OK","",O929+(Q929-O929)*(H929-N929)/(P929-N929))</f>
        <v/>
      </c>
      <c r="S929" s="30">
        <f>IF(OR(M929&lt;&gt;"OK",NOT(ISNUMBER(L929))),"",L929-R929)</f>
        <v/>
      </c>
      <c r="T929" s="46">
        <f>IF(OR(NOT(ISNUMBER(S929)),IF(ISNUMBER(G929),G929,F929)=0),"",S929/IF(ISNUMBER(G929),G929,F929))</f>
        <v/>
      </c>
      <c r="U929" s="46">
        <f>IF(ISNUMBER(T929),ABS(T929),"")</f>
        <v/>
      </c>
      <c r="V929" s="46">
        <f>IF(OR($D928&lt;&gt;"측정",$C928&lt;&gt;$C929,NOT(ISNUMBER(L929)),NOT(ISNUMBER(L928)),(IF(ISNUMBER(G929),G929,F929)-IF(ISNUMBER(G928),G928,F928))=0),"",(L929-L928)/(IF(ISNUMBER(G929),G929,F929)-IF(ISNUMBER(G928),G928,F928)))</f>
        <v/>
      </c>
      <c r="W929" s="30">
        <f>IF(NOT(AND(ISNUMBER(N929),ISNUMBER(P929))),"",(P929-N929)*1440)</f>
        <v/>
      </c>
      <c r="X929" s="28" t="n"/>
      <c r="Y929" s="28" t="n"/>
      <c r="Z929" s="28" t="n"/>
      <c r="AA929" s="31" t="n"/>
      <c r="AB929" s="31" t="n"/>
    </row>
    <row r="930">
      <c r="A930" s="25" t="inlineStr">
        <is>
          <t>S18</t>
        </is>
      </c>
      <c r="B930" s="25" t="inlineStr">
        <is>
          <t>통영 신규점</t>
        </is>
      </c>
      <c r="C930" s="25" t="inlineStr">
        <is>
          <t>S18-H북</t>
        </is>
      </c>
      <c r="D930" s="25" t="inlineStr">
        <is>
          <t>측정</t>
        </is>
      </c>
      <c r="E930" s="25" t="inlineStr">
        <is>
          <t>북</t>
        </is>
      </c>
      <c r="F930" s="30" t="n">
        <v>1</v>
      </c>
      <c r="G930" s="29" t="n"/>
      <c r="H930" s="42" t="n"/>
      <c r="I930" s="40" t="n"/>
      <c r="J930" s="40" t="n"/>
      <c r="K930" s="40" t="n"/>
      <c r="L930" s="30">
        <f>IF(COUNT(I930:K930)=0,"",MEDIAN(I930:K930))</f>
        <v/>
      </c>
      <c r="M930" s="25">
        <f>IF(COUNTIFS($C:$C,$C930,$D:$D,"P0(전)",$L:$L,"&gt;0")&lt;&gt;1,"P0(전) 유효 1개 아님",IF(COUNTIFS($C:$C,$C930,$D:$D,"P0(후)",$L:$L,"&gt;0")&lt;&gt;1,"P0(후) 유효 1개 아님",IF(NOT(AND(ISNUMBER(N930),ISNUMBER(P930),ISNUMBER(H930))),"시각 결측",IF(P930&lt;=N930,"P0 시각 역전",IF(OR(H930&lt;N930,H930&gt;P930),"측정시각 구간 밖","OK")))))</f>
        <v/>
      </c>
      <c r="N930" s="45">
        <f>IF(COUNTIFS($C:$C,$C930,$D:$D,"P0(전)",$L:$L,"&gt;0")&lt;&gt;1,"",SUMIFS($H:$H,$C:$C,$C930,$D:$D,"P0(전)"))</f>
        <v/>
      </c>
      <c r="O930" s="30">
        <f>IF(COUNTIFS($C:$C,$C930,$D:$D,"P0(전)",$L:$L,"&gt;0")&lt;&gt;1,"",SUMIFS($L:$L,$C:$C,$C930,$D:$D,"P0(전)"))</f>
        <v/>
      </c>
      <c r="P930" s="45">
        <f>IF(COUNTIFS($C:$C,$C930,$D:$D,"P0(후)",$L:$L,"&gt;0")&lt;&gt;1,"",SUMIFS($H:$H,$C:$C,$C930,$D:$D,"P0(후)"))</f>
        <v/>
      </c>
      <c r="Q930" s="30">
        <f>IF(COUNTIFS($C:$C,$C930,$D:$D,"P0(후)",$L:$L,"&gt;0")&lt;&gt;1,"",SUMIFS($L:$L,$C:$C,$C930,$D:$D,"P0(후)"))</f>
        <v/>
      </c>
      <c r="R930" s="30">
        <f>IF(M930&lt;&gt;"OK","",O930+(Q930-O930)*(H930-N930)/(P930-N930))</f>
        <v/>
      </c>
      <c r="S930" s="30">
        <f>IF(OR(M930&lt;&gt;"OK",NOT(ISNUMBER(L930))),"",L930-R930)</f>
        <v/>
      </c>
      <c r="T930" s="46">
        <f>IF(OR(NOT(ISNUMBER(S930)),IF(ISNUMBER(G930),G930,F930)=0),"",S930/IF(ISNUMBER(G930),G930,F930))</f>
        <v/>
      </c>
      <c r="U930" s="46">
        <f>IF(ISNUMBER(T930),ABS(T930),"")</f>
        <v/>
      </c>
      <c r="V930" s="46">
        <f>IF(OR($D929&lt;&gt;"측정",$C929&lt;&gt;$C930,NOT(ISNUMBER(L930)),NOT(ISNUMBER(L929)),(IF(ISNUMBER(G930),G930,F930)-IF(ISNUMBER(G929),G929,F929))=0),"",(L930-L929)/(IF(ISNUMBER(G930),G930,F930)-IF(ISNUMBER(G929),G929,F929)))</f>
        <v/>
      </c>
      <c r="W930" s="30">
        <f>IF(NOT(AND(ISNUMBER(N930),ISNUMBER(P930))),"",(P930-N930)*1440)</f>
        <v/>
      </c>
      <c r="X930" s="28" t="n"/>
      <c r="Y930" s="28" t="n"/>
      <c r="Z930" s="28" t="n"/>
      <c r="AA930" s="31" t="n"/>
      <c r="AB930" s="31" t="n"/>
    </row>
    <row r="931">
      <c r="A931" s="25" t="inlineStr">
        <is>
          <t>S18</t>
        </is>
      </c>
      <c r="B931" s="25" t="inlineStr">
        <is>
          <t>통영 신규점</t>
        </is>
      </c>
      <c r="C931" s="25" t="inlineStr">
        <is>
          <t>S18-H북</t>
        </is>
      </c>
      <c r="D931" s="25" t="inlineStr">
        <is>
          <t>측정</t>
        </is>
      </c>
      <c r="E931" s="25" t="inlineStr">
        <is>
          <t>북</t>
        </is>
      </c>
      <c r="F931" s="30" t="n">
        <v>2</v>
      </c>
      <c r="G931" s="29" t="n"/>
      <c r="H931" s="42" t="n"/>
      <c r="I931" s="40" t="n"/>
      <c r="J931" s="40" t="n"/>
      <c r="K931" s="40" t="n"/>
      <c r="L931" s="30">
        <f>IF(COUNT(I931:K931)=0,"",MEDIAN(I931:K931))</f>
        <v/>
      </c>
      <c r="M931" s="25">
        <f>IF(COUNTIFS($C:$C,$C931,$D:$D,"P0(전)",$L:$L,"&gt;0")&lt;&gt;1,"P0(전) 유효 1개 아님",IF(COUNTIFS($C:$C,$C931,$D:$D,"P0(후)",$L:$L,"&gt;0")&lt;&gt;1,"P0(후) 유효 1개 아님",IF(NOT(AND(ISNUMBER(N931),ISNUMBER(P931),ISNUMBER(H931))),"시각 결측",IF(P931&lt;=N931,"P0 시각 역전",IF(OR(H931&lt;N931,H931&gt;P931),"측정시각 구간 밖","OK")))))</f>
        <v/>
      </c>
      <c r="N931" s="45">
        <f>IF(COUNTIFS($C:$C,$C931,$D:$D,"P0(전)",$L:$L,"&gt;0")&lt;&gt;1,"",SUMIFS($H:$H,$C:$C,$C931,$D:$D,"P0(전)"))</f>
        <v/>
      </c>
      <c r="O931" s="30">
        <f>IF(COUNTIFS($C:$C,$C931,$D:$D,"P0(전)",$L:$L,"&gt;0")&lt;&gt;1,"",SUMIFS($L:$L,$C:$C,$C931,$D:$D,"P0(전)"))</f>
        <v/>
      </c>
      <c r="P931" s="45">
        <f>IF(COUNTIFS($C:$C,$C931,$D:$D,"P0(후)",$L:$L,"&gt;0")&lt;&gt;1,"",SUMIFS($H:$H,$C:$C,$C931,$D:$D,"P0(후)"))</f>
        <v/>
      </c>
      <c r="Q931" s="30">
        <f>IF(COUNTIFS($C:$C,$C931,$D:$D,"P0(후)",$L:$L,"&gt;0")&lt;&gt;1,"",SUMIFS($L:$L,$C:$C,$C931,$D:$D,"P0(후)"))</f>
        <v/>
      </c>
      <c r="R931" s="30">
        <f>IF(M931&lt;&gt;"OK","",O931+(Q931-O931)*(H931-N931)/(P931-N931))</f>
        <v/>
      </c>
      <c r="S931" s="30">
        <f>IF(OR(M931&lt;&gt;"OK",NOT(ISNUMBER(L931))),"",L931-R931)</f>
        <v/>
      </c>
      <c r="T931" s="46">
        <f>IF(OR(NOT(ISNUMBER(S931)),IF(ISNUMBER(G931),G931,F931)=0),"",S931/IF(ISNUMBER(G931),G931,F931))</f>
        <v/>
      </c>
      <c r="U931" s="46">
        <f>IF(ISNUMBER(T931),ABS(T931),"")</f>
        <v/>
      </c>
      <c r="V931" s="46">
        <f>IF(OR($D930&lt;&gt;"측정",$C930&lt;&gt;$C931,NOT(ISNUMBER(L931)),NOT(ISNUMBER(L930)),(IF(ISNUMBER(G931),G931,F931)-IF(ISNUMBER(G930),G930,F930))=0),"",(L931-L930)/(IF(ISNUMBER(G931),G931,F931)-IF(ISNUMBER(G930),G930,F930)))</f>
        <v/>
      </c>
      <c r="W931" s="30">
        <f>IF(NOT(AND(ISNUMBER(N931),ISNUMBER(P931))),"",(P931-N931)*1440)</f>
        <v/>
      </c>
      <c r="X931" s="28" t="n"/>
      <c r="Y931" s="28" t="n"/>
      <c r="Z931" s="28" t="n"/>
      <c r="AA931" s="31" t="n"/>
      <c r="AB931" s="31" t="n"/>
    </row>
    <row r="932">
      <c r="A932" s="25" t="inlineStr">
        <is>
          <t>S18</t>
        </is>
      </c>
      <c r="B932" s="25" t="inlineStr">
        <is>
          <t>통영 신규점</t>
        </is>
      </c>
      <c r="C932" s="25" t="inlineStr">
        <is>
          <t>S18-H북</t>
        </is>
      </c>
      <c r="D932" s="25" t="inlineStr">
        <is>
          <t>측정</t>
        </is>
      </c>
      <c r="E932" s="25" t="inlineStr">
        <is>
          <t>북</t>
        </is>
      </c>
      <c r="F932" s="30" t="n">
        <v>3</v>
      </c>
      <c r="G932" s="29" t="n"/>
      <c r="H932" s="42" t="n"/>
      <c r="I932" s="40" t="n"/>
      <c r="J932" s="40" t="n"/>
      <c r="K932" s="40" t="n"/>
      <c r="L932" s="30">
        <f>IF(COUNT(I932:K932)=0,"",MEDIAN(I932:K932))</f>
        <v/>
      </c>
      <c r="M932" s="25">
        <f>IF(COUNTIFS($C:$C,$C932,$D:$D,"P0(전)",$L:$L,"&gt;0")&lt;&gt;1,"P0(전) 유효 1개 아님",IF(COUNTIFS($C:$C,$C932,$D:$D,"P0(후)",$L:$L,"&gt;0")&lt;&gt;1,"P0(후) 유효 1개 아님",IF(NOT(AND(ISNUMBER(N932),ISNUMBER(P932),ISNUMBER(H932))),"시각 결측",IF(P932&lt;=N932,"P0 시각 역전",IF(OR(H932&lt;N932,H932&gt;P932),"측정시각 구간 밖","OK")))))</f>
        <v/>
      </c>
      <c r="N932" s="45">
        <f>IF(COUNTIFS($C:$C,$C932,$D:$D,"P0(전)",$L:$L,"&gt;0")&lt;&gt;1,"",SUMIFS($H:$H,$C:$C,$C932,$D:$D,"P0(전)"))</f>
        <v/>
      </c>
      <c r="O932" s="30">
        <f>IF(COUNTIFS($C:$C,$C932,$D:$D,"P0(전)",$L:$L,"&gt;0")&lt;&gt;1,"",SUMIFS($L:$L,$C:$C,$C932,$D:$D,"P0(전)"))</f>
        <v/>
      </c>
      <c r="P932" s="45">
        <f>IF(COUNTIFS($C:$C,$C932,$D:$D,"P0(후)",$L:$L,"&gt;0")&lt;&gt;1,"",SUMIFS($H:$H,$C:$C,$C932,$D:$D,"P0(후)"))</f>
        <v/>
      </c>
      <c r="Q932" s="30">
        <f>IF(COUNTIFS($C:$C,$C932,$D:$D,"P0(후)",$L:$L,"&gt;0")&lt;&gt;1,"",SUMIFS($L:$L,$C:$C,$C932,$D:$D,"P0(후)"))</f>
        <v/>
      </c>
      <c r="R932" s="30">
        <f>IF(M932&lt;&gt;"OK","",O932+(Q932-O932)*(H932-N932)/(P932-N932))</f>
        <v/>
      </c>
      <c r="S932" s="30">
        <f>IF(OR(M932&lt;&gt;"OK",NOT(ISNUMBER(L932))),"",L932-R932)</f>
        <v/>
      </c>
      <c r="T932" s="46">
        <f>IF(OR(NOT(ISNUMBER(S932)),IF(ISNUMBER(G932),G932,F932)=0),"",S932/IF(ISNUMBER(G932),G932,F932))</f>
        <v/>
      </c>
      <c r="U932" s="46">
        <f>IF(ISNUMBER(T932),ABS(T932),"")</f>
        <v/>
      </c>
      <c r="V932" s="46">
        <f>IF(OR($D931&lt;&gt;"측정",$C931&lt;&gt;$C932,NOT(ISNUMBER(L932)),NOT(ISNUMBER(L931)),(IF(ISNUMBER(G932),G932,F932)-IF(ISNUMBER(G931),G931,F931))=0),"",(L932-L931)/(IF(ISNUMBER(G932),G932,F932)-IF(ISNUMBER(G931),G931,F931)))</f>
        <v/>
      </c>
      <c r="W932" s="30">
        <f>IF(NOT(AND(ISNUMBER(N932),ISNUMBER(P932))),"",(P932-N932)*1440)</f>
        <v/>
      </c>
      <c r="X932" s="28" t="n"/>
      <c r="Y932" s="28" t="n"/>
      <c r="Z932" s="28" t="n"/>
      <c r="AA932" s="31" t="n"/>
      <c r="AB932" s="31" t="n"/>
    </row>
    <row r="933">
      <c r="A933" s="25" t="inlineStr">
        <is>
          <t>S18</t>
        </is>
      </c>
      <c r="B933" s="25" t="inlineStr">
        <is>
          <t>통영 신규점</t>
        </is>
      </c>
      <c r="C933" s="25" t="inlineStr">
        <is>
          <t>S18-H북</t>
        </is>
      </c>
      <c r="D933" s="25" t="inlineStr">
        <is>
          <t>측정</t>
        </is>
      </c>
      <c r="E933" s="25" t="inlineStr">
        <is>
          <t>북</t>
        </is>
      </c>
      <c r="F933" s="30" t="n">
        <v>4</v>
      </c>
      <c r="G933" s="29" t="n"/>
      <c r="H933" s="42" t="n"/>
      <c r="I933" s="40" t="n"/>
      <c r="J933" s="40" t="n"/>
      <c r="K933" s="40" t="n"/>
      <c r="L933" s="30">
        <f>IF(COUNT(I933:K933)=0,"",MEDIAN(I933:K933))</f>
        <v/>
      </c>
      <c r="M933" s="25">
        <f>IF(COUNTIFS($C:$C,$C933,$D:$D,"P0(전)",$L:$L,"&gt;0")&lt;&gt;1,"P0(전) 유효 1개 아님",IF(COUNTIFS($C:$C,$C933,$D:$D,"P0(후)",$L:$L,"&gt;0")&lt;&gt;1,"P0(후) 유효 1개 아님",IF(NOT(AND(ISNUMBER(N933),ISNUMBER(P933),ISNUMBER(H933))),"시각 결측",IF(P933&lt;=N933,"P0 시각 역전",IF(OR(H933&lt;N933,H933&gt;P933),"측정시각 구간 밖","OK")))))</f>
        <v/>
      </c>
      <c r="N933" s="45">
        <f>IF(COUNTIFS($C:$C,$C933,$D:$D,"P0(전)",$L:$L,"&gt;0")&lt;&gt;1,"",SUMIFS($H:$H,$C:$C,$C933,$D:$D,"P0(전)"))</f>
        <v/>
      </c>
      <c r="O933" s="30">
        <f>IF(COUNTIFS($C:$C,$C933,$D:$D,"P0(전)",$L:$L,"&gt;0")&lt;&gt;1,"",SUMIFS($L:$L,$C:$C,$C933,$D:$D,"P0(전)"))</f>
        <v/>
      </c>
      <c r="P933" s="45">
        <f>IF(COUNTIFS($C:$C,$C933,$D:$D,"P0(후)",$L:$L,"&gt;0")&lt;&gt;1,"",SUMIFS($H:$H,$C:$C,$C933,$D:$D,"P0(후)"))</f>
        <v/>
      </c>
      <c r="Q933" s="30">
        <f>IF(COUNTIFS($C:$C,$C933,$D:$D,"P0(후)",$L:$L,"&gt;0")&lt;&gt;1,"",SUMIFS($L:$L,$C:$C,$C933,$D:$D,"P0(후)"))</f>
        <v/>
      </c>
      <c r="R933" s="30">
        <f>IF(M933&lt;&gt;"OK","",O933+(Q933-O933)*(H933-N933)/(P933-N933))</f>
        <v/>
      </c>
      <c r="S933" s="30">
        <f>IF(OR(M933&lt;&gt;"OK",NOT(ISNUMBER(L933))),"",L933-R933)</f>
        <v/>
      </c>
      <c r="T933" s="46">
        <f>IF(OR(NOT(ISNUMBER(S933)),IF(ISNUMBER(G933),G933,F933)=0),"",S933/IF(ISNUMBER(G933),G933,F933))</f>
        <v/>
      </c>
      <c r="U933" s="46">
        <f>IF(ISNUMBER(T933),ABS(T933),"")</f>
        <v/>
      </c>
      <c r="V933" s="46">
        <f>IF(OR($D932&lt;&gt;"측정",$C932&lt;&gt;$C933,NOT(ISNUMBER(L933)),NOT(ISNUMBER(L932)),(IF(ISNUMBER(G933),G933,F933)-IF(ISNUMBER(G932),G932,F932))=0),"",(L933-L932)/(IF(ISNUMBER(G933),G933,F933)-IF(ISNUMBER(G932),G932,F932)))</f>
        <v/>
      </c>
      <c r="W933" s="30">
        <f>IF(NOT(AND(ISNUMBER(N933),ISNUMBER(P933))),"",(P933-N933)*1440)</f>
        <v/>
      </c>
      <c r="X933" s="28" t="n"/>
      <c r="Y933" s="28" t="n"/>
      <c r="Z933" s="28" t="n"/>
      <c r="AA933" s="31" t="n"/>
      <c r="AB933" s="31" t="n"/>
    </row>
    <row r="934">
      <c r="A934" s="25" t="inlineStr">
        <is>
          <t>S18</t>
        </is>
      </c>
      <c r="B934" s="25" t="inlineStr">
        <is>
          <t>통영 신규점</t>
        </is>
      </c>
      <c r="C934" s="25" t="inlineStr">
        <is>
          <t>S18-H북</t>
        </is>
      </c>
      <c r="D934" s="25" t="inlineStr">
        <is>
          <t>측정</t>
        </is>
      </c>
      <c r="E934" s="25" t="inlineStr">
        <is>
          <t>북</t>
        </is>
      </c>
      <c r="F934" s="30" t="n">
        <v>5</v>
      </c>
      <c r="G934" s="29" t="n"/>
      <c r="H934" s="42" t="n"/>
      <c r="I934" s="40" t="n"/>
      <c r="J934" s="40" t="n"/>
      <c r="K934" s="40" t="n"/>
      <c r="L934" s="30">
        <f>IF(COUNT(I934:K934)=0,"",MEDIAN(I934:K934))</f>
        <v/>
      </c>
      <c r="M934" s="25">
        <f>IF(COUNTIFS($C:$C,$C934,$D:$D,"P0(전)",$L:$L,"&gt;0")&lt;&gt;1,"P0(전) 유효 1개 아님",IF(COUNTIFS($C:$C,$C934,$D:$D,"P0(후)",$L:$L,"&gt;0")&lt;&gt;1,"P0(후) 유효 1개 아님",IF(NOT(AND(ISNUMBER(N934),ISNUMBER(P934),ISNUMBER(H934))),"시각 결측",IF(P934&lt;=N934,"P0 시각 역전",IF(OR(H934&lt;N934,H934&gt;P934),"측정시각 구간 밖","OK")))))</f>
        <v/>
      </c>
      <c r="N934" s="45">
        <f>IF(COUNTIFS($C:$C,$C934,$D:$D,"P0(전)",$L:$L,"&gt;0")&lt;&gt;1,"",SUMIFS($H:$H,$C:$C,$C934,$D:$D,"P0(전)"))</f>
        <v/>
      </c>
      <c r="O934" s="30">
        <f>IF(COUNTIFS($C:$C,$C934,$D:$D,"P0(전)",$L:$L,"&gt;0")&lt;&gt;1,"",SUMIFS($L:$L,$C:$C,$C934,$D:$D,"P0(전)"))</f>
        <v/>
      </c>
      <c r="P934" s="45">
        <f>IF(COUNTIFS($C:$C,$C934,$D:$D,"P0(후)",$L:$L,"&gt;0")&lt;&gt;1,"",SUMIFS($H:$H,$C:$C,$C934,$D:$D,"P0(후)"))</f>
        <v/>
      </c>
      <c r="Q934" s="30">
        <f>IF(COUNTIFS($C:$C,$C934,$D:$D,"P0(후)",$L:$L,"&gt;0")&lt;&gt;1,"",SUMIFS($L:$L,$C:$C,$C934,$D:$D,"P0(후)"))</f>
        <v/>
      </c>
      <c r="R934" s="30">
        <f>IF(M934&lt;&gt;"OK","",O934+(Q934-O934)*(H934-N934)/(P934-N934))</f>
        <v/>
      </c>
      <c r="S934" s="30">
        <f>IF(OR(M934&lt;&gt;"OK",NOT(ISNUMBER(L934))),"",L934-R934)</f>
        <v/>
      </c>
      <c r="T934" s="46">
        <f>IF(OR(NOT(ISNUMBER(S934)),IF(ISNUMBER(G934),G934,F934)=0),"",S934/IF(ISNUMBER(G934),G934,F934))</f>
        <v/>
      </c>
      <c r="U934" s="46">
        <f>IF(ISNUMBER(T934),ABS(T934),"")</f>
        <v/>
      </c>
      <c r="V934" s="46">
        <f>IF(OR($D933&lt;&gt;"측정",$C933&lt;&gt;$C934,NOT(ISNUMBER(L934)),NOT(ISNUMBER(L933)),(IF(ISNUMBER(G934),G934,F934)-IF(ISNUMBER(G933),G933,F933))=0),"",(L934-L933)/(IF(ISNUMBER(G934),G934,F934)-IF(ISNUMBER(G933),G933,F933)))</f>
        <v/>
      </c>
      <c r="W934" s="30">
        <f>IF(NOT(AND(ISNUMBER(N934),ISNUMBER(P934))),"",(P934-N934)*1440)</f>
        <v/>
      </c>
      <c r="X934" s="28" t="n"/>
      <c r="Y934" s="28" t="n"/>
      <c r="Z934" s="28" t="n"/>
      <c r="AA934" s="31" t="n"/>
      <c r="AB934" s="31" t="n"/>
    </row>
    <row r="935">
      <c r="A935" s="25" t="inlineStr">
        <is>
          <t>S18</t>
        </is>
      </c>
      <c r="B935" s="25" t="inlineStr">
        <is>
          <t>통영 신규점</t>
        </is>
      </c>
      <c r="C935" s="25" t="inlineStr">
        <is>
          <t>S18-H북</t>
        </is>
      </c>
      <c r="D935" s="25" t="inlineStr">
        <is>
          <t>측정</t>
        </is>
      </c>
      <c r="E935" s="25" t="inlineStr">
        <is>
          <t>북</t>
        </is>
      </c>
      <c r="F935" s="30" t="n">
        <v>6</v>
      </c>
      <c r="G935" s="29" t="n"/>
      <c r="H935" s="42" t="n"/>
      <c r="I935" s="40" t="n"/>
      <c r="J935" s="40" t="n"/>
      <c r="K935" s="40" t="n"/>
      <c r="L935" s="30">
        <f>IF(COUNT(I935:K935)=0,"",MEDIAN(I935:K935))</f>
        <v/>
      </c>
      <c r="M935" s="25">
        <f>IF(COUNTIFS($C:$C,$C935,$D:$D,"P0(전)",$L:$L,"&gt;0")&lt;&gt;1,"P0(전) 유효 1개 아님",IF(COUNTIFS($C:$C,$C935,$D:$D,"P0(후)",$L:$L,"&gt;0")&lt;&gt;1,"P0(후) 유효 1개 아님",IF(NOT(AND(ISNUMBER(N935),ISNUMBER(P935),ISNUMBER(H935))),"시각 결측",IF(P935&lt;=N935,"P0 시각 역전",IF(OR(H935&lt;N935,H935&gt;P935),"측정시각 구간 밖","OK")))))</f>
        <v/>
      </c>
      <c r="N935" s="45">
        <f>IF(COUNTIFS($C:$C,$C935,$D:$D,"P0(전)",$L:$L,"&gt;0")&lt;&gt;1,"",SUMIFS($H:$H,$C:$C,$C935,$D:$D,"P0(전)"))</f>
        <v/>
      </c>
      <c r="O935" s="30">
        <f>IF(COUNTIFS($C:$C,$C935,$D:$D,"P0(전)",$L:$L,"&gt;0")&lt;&gt;1,"",SUMIFS($L:$L,$C:$C,$C935,$D:$D,"P0(전)"))</f>
        <v/>
      </c>
      <c r="P935" s="45">
        <f>IF(COUNTIFS($C:$C,$C935,$D:$D,"P0(후)",$L:$L,"&gt;0")&lt;&gt;1,"",SUMIFS($H:$H,$C:$C,$C935,$D:$D,"P0(후)"))</f>
        <v/>
      </c>
      <c r="Q935" s="30">
        <f>IF(COUNTIFS($C:$C,$C935,$D:$D,"P0(후)",$L:$L,"&gt;0")&lt;&gt;1,"",SUMIFS($L:$L,$C:$C,$C935,$D:$D,"P0(후)"))</f>
        <v/>
      </c>
      <c r="R935" s="30">
        <f>IF(M935&lt;&gt;"OK","",O935+(Q935-O935)*(H935-N935)/(P935-N935))</f>
        <v/>
      </c>
      <c r="S935" s="30">
        <f>IF(OR(M935&lt;&gt;"OK",NOT(ISNUMBER(L935))),"",L935-R935)</f>
        <v/>
      </c>
      <c r="T935" s="46">
        <f>IF(OR(NOT(ISNUMBER(S935)),IF(ISNUMBER(G935),G935,F935)=0),"",S935/IF(ISNUMBER(G935),G935,F935))</f>
        <v/>
      </c>
      <c r="U935" s="46">
        <f>IF(ISNUMBER(T935),ABS(T935),"")</f>
        <v/>
      </c>
      <c r="V935" s="46">
        <f>IF(OR($D934&lt;&gt;"측정",$C934&lt;&gt;$C935,NOT(ISNUMBER(L935)),NOT(ISNUMBER(L934)),(IF(ISNUMBER(G935),G935,F935)-IF(ISNUMBER(G934),G934,F934))=0),"",(L935-L934)/(IF(ISNUMBER(G935),G935,F935)-IF(ISNUMBER(G934),G934,F934)))</f>
        <v/>
      </c>
      <c r="W935" s="30">
        <f>IF(NOT(AND(ISNUMBER(N935),ISNUMBER(P935))),"",(P935-N935)*1440)</f>
        <v/>
      </c>
      <c r="X935" s="28" t="n"/>
      <c r="Y935" s="28" t="n"/>
      <c r="Z935" s="28" t="n"/>
      <c r="AA935" s="31" t="n"/>
      <c r="AB935" s="31" t="n"/>
    </row>
    <row r="936">
      <c r="A936" s="25" t="inlineStr">
        <is>
          <t>S18</t>
        </is>
      </c>
      <c r="B936" s="25" t="inlineStr">
        <is>
          <t>통영 신규점</t>
        </is>
      </c>
      <c r="C936" s="25" t="inlineStr">
        <is>
          <t>S18-H북</t>
        </is>
      </c>
      <c r="D936" s="25" t="inlineStr">
        <is>
          <t>측정</t>
        </is>
      </c>
      <c r="E936" s="25" t="inlineStr">
        <is>
          <t>북</t>
        </is>
      </c>
      <c r="F936" s="30" t="n">
        <v>7</v>
      </c>
      <c r="G936" s="29" t="n"/>
      <c r="H936" s="42" t="n"/>
      <c r="I936" s="40" t="n"/>
      <c r="J936" s="40" t="n"/>
      <c r="K936" s="40" t="n"/>
      <c r="L936" s="30">
        <f>IF(COUNT(I936:K936)=0,"",MEDIAN(I936:K936))</f>
        <v/>
      </c>
      <c r="M936" s="25">
        <f>IF(COUNTIFS($C:$C,$C936,$D:$D,"P0(전)",$L:$L,"&gt;0")&lt;&gt;1,"P0(전) 유효 1개 아님",IF(COUNTIFS($C:$C,$C936,$D:$D,"P0(후)",$L:$L,"&gt;0")&lt;&gt;1,"P0(후) 유효 1개 아님",IF(NOT(AND(ISNUMBER(N936),ISNUMBER(P936),ISNUMBER(H936))),"시각 결측",IF(P936&lt;=N936,"P0 시각 역전",IF(OR(H936&lt;N936,H936&gt;P936),"측정시각 구간 밖","OK")))))</f>
        <v/>
      </c>
      <c r="N936" s="45">
        <f>IF(COUNTIFS($C:$C,$C936,$D:$D,"P0(전)",$L:$L,"&gt;0")&lt;&gt;1,"",SUMIFS($H:$H,$C:$C,$C936,$D:$D,"P0(전)"))</f>
        <v/>
      </c>
      <c r="O936" s="30">
        <f>IF(COUNTIFS($C:$C,$C936,$D:$D,"P0(전)",$L:$L,"&gt;0")&lt;&gt;1,"",SUMIFS($L:$L,$C:$C,$C936,$D:$D,"P0(전)"))</f>
        <v/>
      </c>
      <c r="P936" s="45">
        <f>IF(COUNTIFS($C:$C,$C936,$D:$D,"P0(후)",$L:$L,"&gt;0")&lt;&gt;1,"",SUMIFS($H:$H,$C:$C,$C936,$D:$D,"P0(후)"))</f>
        <v/>
      </c>
      <c r="Q936" s="30">
        <f>IF(COUNTIFS($C:$C,$C936,$D:$D,"P0(후)",$L:$L,"&gt;0")&lt;&gt;1,"",SUMIFS($L:$L,$C:$C,$C936,$D:$D,"P0(후)"))</f>
        <v/>
      </c>
      <c r="R936" s="30">
        <f>IF(M936&lt;&gt;"OK","",O936+(Q936-O936)*(H936-N936)/(P936-N936))</f>
        <v/>
      </c>
      <c r="S936" s="30">
        <f>IF(OR(M936&lt;&gt;"OK",NOT(ISNUMBER(L936))),"",L936-R936)</f>
        <v/>
      </c>
      <c r="T936" s="46">
        <f>IF(OR(NOT(ISNUMBER(S936)),IF(ISNUMBER(G936),G936,F936)=0),"",S936/IF(ISNUMBER(G936),G936,F936))</f>
        <v/>
      </c>
      <c r="U936" s="46">
        <f>IF(ISNUMBER(T936),ABS(T936),"")</f>
        <v/>
      </c>
      <c r="V936" s="46">
        <f>IF(OR($D935&lt;&gt;"측정",$C935&lt;&gt;$C936,NOT(ISNUMBER(L936)),NOT(ISNUMBER(L935)),(IF(ISNUMBER(G936),G936,F936)-IF(ISNUMBER(G935),G935,F935))=0),"",(L936-L935)/(IF(ISNUMBER(G936),G936,F936)-IF(ISNUMBER(G935),G935,F935)))</f>
        <v/>
      </c>
      <c r="W936" s="30">
        <f>IF(NOT(AND(ISNUMBER(N936),ISNUMBER(P936))),"",(P936-N936)*1440)</f>
        <v/>
      </c>
      <c r="X936" s="28" t="n"/>
      <c r="Y936" s="28" t="n"/>
      <c r="Z936" s="28" t="n"/>
      <c r="AA936" s="31" t="n"/>
      <c r="AB936" s="31" t="n"/>
    </row>
    <row r="937">
      <c r="A937" s="25" t="inlineStr">
        <is>
          <t>S18</t>
        </is>
      </c>
      <c r="B937" s="25" t="inlineStr">
        <is>
          <t>통영 신규점</t>
        </is>
      </c>
      <c r="C937" s="25" t="inlineStr">
        <is>
          <t>S18-H북</t>
        </is>
      </c>
      <c r="D937" s="25" t="inlineStr">
        <is>
          <t>측정</t>
        </is>
      </c>
      <c r="E937" s="25" t="inlineStr">
        <is>
          <t>북</t>
        </is>
      </c>
      <c r="F937" s="30" t="n">
        <v>8</v>
      </c>
      <c r="G937" s="29" t="n"/>
      <c r="H937" s="42" t="n"/>
      <c r="I937" s="40" t="n"/>
      <c r="J937" s="40" t="n"/>
      <c r="K937" s="40" t="n"/>
      <c r="L937" s="30">
        <f>IF(COUNT(I937:K937)=0,"",MEDIAN(I937:K937))</f>
        <v/>
      </c>
      <c r="M937" s="25">
        <f>IF(COUNTIFS($C:$C,$C937,$D:$D,"P0(전)",$L:$L,"&gt;0")&lt;&gt;1,"P0(전) 유효 1개 아님",IF(COUNTIFS($C:$C,$C937,$D:$D,"P0(후)",$L:$L,"&gt;0")&lt;&gt;1,"P0(후) 유효 1개 아님",IF(NOT(AND(ISNUMBER(N937),ISNUMBER(P937),ISNUMBER(H937))),"시각 결측",IF(P937&lt;=N937,"P0 시각 역전",IF(OR(H937&lt;N937,H937&gt;P937),"측정시각 구간 밖","OK")))))</f>
        <v/>
      </c>
      <c r="N937" s="45">
        <f>IF(COUNTIFS($C:$C,$C937,$D:$D,"P0(전)",$L:$L,"&gt;0")&lt;&gt;1,"",SUMIFS($H:$H,$C:$C,$C937,$D:$D,"P0(전)"))</f>
        <v/>
      </c>
      <c r="O937" s="30">
        <f>IF(COUNTIFS($C:$C,$C937,$D:$D,"P0(전)",$L:$L,"&gt;0")&lt;&gt;1,"",SUMIFS($L:$L,$C:$C,$C937,$D:$D,"P0(전)"))</f>
        <v/>
      </c>
      <c r="P937" s="45">
        <f>IF(COUNTIFS($C:$C,$C937,$D:$D,"P0(후)",$L:$L,"&gt;0")&lt;&gt;1,"",SUMIFS($H:$H,$C:$C,$C937,$D:$D,"P0(후)"))</f>
        <v/>
      </c>
      <c r="Q937" s="30">
        <f>IF(COUNTIFS($C:$C,$C937,$D:$D,"P0(후)",$L:$L,"&gt;0")&lt;&gt;1,"",SUMIFS($L:$L,$C:$C,$C937,$D:$D,"P0(후)"))</f>
        <v/>
      </c>
      <c r="R937" s="30">
        <f>IF(M937&lt;&gt;"OK","",O937+(Q937-O937)*(H937-N937)/(P937-N937))</f>
        <v/>
      </c>
      <c r="S937" s="30">
        <f>IF(OR(M937&lt;&gt;"OK",NOT(ISNUMBER(L937))),"",L937-R937)</f>
        <v/>
      </c>
      <c r="T937" s="46">
        <f>IF(OR(NOT(ISNUMBER(S937)),IF(ISNUMBER(G937),G937,F937)=0),"",S937/IF(ISNUMBER(G937),G937,F937))</f>
        <v/>
      </c>
      <c r="U937" s="46">
        <f>IF(ISNUMBER(T937),ABS(T937),"")</f>
        <v/>
      </c>
      <c r="V937" s="46">
        <f>IF(OR($D936&lt;&gt;"측정",$C936&lt;&gt;$C937,NOT(ISNUMBER(L937)),NOT(ISNUMBER(L936)),(IF(ISNUMBER(G937),G937,F937)-IF(ISNUMBER(G936),G936,F936))=0),"",(L937-L936)/(IF(ISNUMBER(G937),G937,F937)-IF(ISNUMBER(G936),G936,F936)))</f>
        <v/>
      </c>
      <c r="W937" s="30">
        <f>IF(NOT(AND(ISNUMBER(N937),ISNUMBER(P937))),"",(P937-N937)*1440)</f>
        <v/>
      </c>
      <c r="X937" s="28" t="n"/>
      <c r="Y937" s="28" t="n"/>
      <c r="Z937" s="28" t="n"/>
      <c r="AA937" s="31" t="n"/>
      <c r="AB937" s="31" t="n"/>
    </row>
    <row r="938">
      <c r="A938" s="25" t="inlineStr">
        <is>
          <t>S18</t>
        </is>
      </c>
      <c r="B938" s="25" t="inlineStr">
        <is>
          <t>통영 신규점</t>
        </is>
      </c>
      <c r="C938" s="25" t="inlineStr">
        <is>
          <t>S18-H북</t>
        </is>
      </c>
      <c r="D938" s="25" t="inlineStr">
        <is>
          <t>측정</t>
        </is>
      </c>
      <c r="E938" s="25" t="inlineStr">
        <is>
          <t>북</t>
        </is>
      </c>
      <c r="F938" s="30" t="n">
        <v>9</v>
      </c>
      <c r="G938" s="29" t="n"/>
      <c r="H938" s="42" t="n"/>
      <c r="I938" s="40" t="n"/>
      <c r="J938" s="40" t="n"/>
      <c r="K938" s="40" t="n"/>
      <c r="L938" s="30">
        <f>IF(COUNT(I938:K938)=0,"",MEDIAN(I938:K938))</f>
        <v/>
      </c>
      <c r="M938" s="25">
        <f>IF(COUNTIFS($C:$C,$C938,$D:$D,"P0(전)",$L:$L,"&gt;0")&lt;&gt;1,"P0(전) 유효 1개 아님",IF(COUNTIFS($C:$C,$C938,$D:$D,"P0(후)",$L:$L,"&gt;0")&lt;&gt;1,"P0(후) 유효 1개 아님",IF(NOT(AND(ISNUMBER(N938),ISNUMBER(P938),ISNUMBER(H938))),"시각 결측",IF(P938&lt;=N938,"P0 시각 역전",IF(OR(H938&lt;N938,H938&gt;P938),"측정시각 구간 밖","OK")))))</f>
        <v/>
      </c>
      <c r="N938" s="45">
        <f>IF(COUNTIFS($C:$C,$C938,$D:$D,"P0(전)",$L:$L,"&gt;0")&lt;&gt;1,"",SUMIFS($H:$H,$C:$C,$C938,$D:$D,"P0(전)"))</f>
        <v/>
      </c>
      <c r="O938" s="30">
        <f>IF(COUNTIFS($C:$C,$C938,$D:$D,"P0(전)",$L:$L,"&gt;0")&lt;&gt;1,"",SUMIFS($L:$L,$C:$C,$C938,$D:$D,"P0(전)"))</f>
        <v/>
      </c>
      <c r="P938" s="45">
        <f>IF(COUNTIFS($C:$C,$C938,$D:$D,"P0(후)",$L:$L,"&gt;0")&lt;&gt;1,"",SUMIFS($H:$H,$C:$C,$C938,$D:$D,"P0(후)"))</f>
        <v/>
      </c>
      <c r="Q938" s="30">
        <f>IF(COUNTIFS($C:$C,$C938,$D:$D,"P0(후)",$L:$L,"&gt;0")&lt;&gt;1,"",SUMIFS($L:$L,$C:$C,$C938,$D:$D,"P0(후)"))</f>
        <v/>
      </c>
      <c r="R938" s="30">
        <f>IF(M938&lt;&gt;"OK","",O938+(Q938-O938)*(H938-N938)/(P938-N938))</f>
        <v/>
      </c>
      <c r="S938" s="30">
        <f>IF(OR(M938&lt;&gt;"OK",NOT(ISNUMBER(L938))),"",L938-R938)</f>
        <v/>
      </c>
      <c r="T938" s="46">
        <f>IF(OR(NOT(ISNUMBER(S938)),IF(ISNUMBER(G938),G938,F938)=0),"",S938/IF(ISNUMBER(G938),G938,F938))</f>
        <v/>
      </c>
      <c r="U938" s="46">
        <f>IF(ISNUMBER(T938),ABS(T938),"")</f>
        <v/>
      </c>
      <c r="V938" s="46">
        <f>IF(OR($D937&lt;&gt;"측정",$C937&lt;&gt;$C938,NOT(ISNUMBER(L938)),NOT(ISNUMBER(L937)),(IF(ISNUMBER(G938),G938,F938)-IF(ISNUMBER(G937),G937,F937))=0),"",(L938-L937)/(IF(ISNUMBER(G938),G938,F938)-IF(ISNUMBER(G937),G937,F937)))</f>
        <v/>
      </c>
      <c r="W938" s="30">
        <f>IF(NOT(AND(ISNUMBER(N938),ISNUMBER(P938))),"",(P938-N938)*1440)</f>
        <v/>
      </c>
      <c r="X938" s="28" t="n"/>
      <c r="Y938" s="28" t="n"/>
      <c r="Z938" s="28" t="n"/>
      <c r="AA938" s="31" t="n"/>
      <c r="AB938" s="31" t="n"/>
    </row>
    <row r="939">
      <c r="A939" s="25" t="inlineStr">
        <is>
          <t>S18</t>
        </is>
      </c>
      <c r="B939" s="25" t="inlineStr">
        <is>
          <t>통영 신규점</t>
        </is>
      </c>
      <c r="C939" s="25" t="inlineStr">
        <is>
          <t>S18-H북</t>
        </is>
      </c>
      <c r="D939" s="25" t="inlineStr">
        <is>
          <t>측정</t>
        </is>
      </c>
      <c r="E939" s="25" t="inlineStr">
        <is>
          <t>북</t>
        </is>
      </c>
      <c r="F939" s="30" t="n">
        <v>10</v>
      </c>
      <c r="G939" s="29" t="n"/>
      <c r="H939" s="42" t="n"/>
      <c r="I939" s="40" t="n"/>
      <c r="J939" s="40" t="n"/>
      <c r="K939" s="40" t="n"/>
      <c r="L939" s="30">
        <f>IF(COUNT(I939:K939)=0,"",MEDIAN(I939:K939))</f>
        <v/>
      </c>
      <c r="M939" s="25">
        <f>IF(COUNTIFS($C:$C,$C939,$D:$D,"P0(전)",$L:$L,"&gt;0")&lt;&gt;1,"P0(전) 유효 1개 아님",IF(COUNTIFS($C:$C,$C939,$D:$D,"P0(후)",$L:$L,"&gt;0")&lt;&gt;1,"P0(후) 유효 1개 아님",IF(NOT(AND(ISNUMBER(N939),ISNUMBER(P939),ISNUMBER(H939))),"시각 결측",IF(P939&lt;=N939,"P0 시각 역전",IF(OR(H939&lt;N939,H939&gt;P939),"측정시각 구간 밖","OK")))))</f>
        <v/>
      </c>
      <c r="N939" s="45">
        <f>IF(COUNTIFS($C:$C,$C939,$D:$D,"P0(전)",$L:$L,"&gt;0")&lt;&gt;1,"",SUMIFS($H:$H,$C:$C,$C939,$D:$D,"P0(전)"))</f>
        <v/>
      </c>
      <c r="O939" s="30">
        <f>IF(COUNTIFS($C:$C,$C939,$D:$D,"P0(전)",$L:$L,"&gt;0")&lt;&gt;1,"",SUMIFS($L:$L,$C:$C,$C939,$D:$D,"P0(전)"))</f>
        <v/>
      </c>
      <c r="P939" s="45">
        <f>IF(COUNTIFS($C:$C,$C939,$D:$D,"P0(후)",$L:$L,"&gt;0")&lt;&gt;1,"",SUMIFS($H:$H,$C:$C,$C939,$D:$D,"P0(후)"))</f>
        <v/>
      </c>
      <c r="Q939" s="30">
        <f>IF(COUNTIFS($C:$C,$C939,$D:$D,"P0(후)",$L:$L,"&gt;0")&lt;&gt;1,"",SUMIFS($L:$L,$C:$C,$C939,$D:$D,"P0(후)"))</f>
        <v/>
      </c>
      <c r="R939" s="30">
        <f>IF(M939&lt;&gt;"OK","",O939+(Q939-O939)*(H939-N939)/(P939-N939))</f>
        <v/>
      </c>
      <c r="S939" s="30">
        <f>IF(OR(M939&lt;&gt;"OK",NOT(ISNUMBER(L939))),"",L939-R939)</f>
        <v/>
      </c>
      <c r="T939" s="46">
        <f>IF(OR(NOT(ISNUMBER(S939)),IF(ISNUMBER(G939),G939,F939)=0),"",S939/IF(ISNUMBER(G939),G939,F939))</f>
        <v/>
      </c>
      <c r="U939" s="46">
        <f>IF(ISNUMBER(T939),ABS(T939),"")</f>
        <v/>
      </c>
      <c r="V939" s="46">
        <f>IF(OR($D938&lt;&gt;"측정",$C938&lt;&gt;$C939,NOT(ISNUMBER(L939)),NOT(ISNUMBER(L938)),(IF(ISNUMBER(G939),G939,F939)-IF(ISNUMBER(G938),G938,F938))=0),"",(L939-L938)/(IF(ISNUMBER(G939),G939,F939)-IF(ISNUMBER(G938),G938,F938)))</f>
        <v/>
      </c>
      <c r="W939" s="30">
        <f>IF(NOT(AND(ISNUMBER(N939),ISNUMBER(P939))),"",(P939-N939)*1440)</f>
        <v/>
      </c>
      <c r="X939" s="28" t="n"/>
      <c r="Y939" s="28" t="n"/>
      <c r="Z939" s="28" t="n"/>
      <c r="AA939" s="31" t="n"/>
      <c r="AB939" s="31" t="n"/>
    </row>
    <row r="940">
      <c r="A940" s="43" t="inlineStr">
        <is>
          <t>S18</t>
        </is>
      </c>
      <c r="B940" s="43" t="inlineStr">
        <is>
          <t>통영 신규점</t>
        </is>
      </c>
      <c r="C940" s="43" t="inlineStr">
        <is>
          <t>S18-H북</t>
        </is>
      </c>
      <c r="D940" s="43" t="inlineStr">
        <is>
          <t>P0(후)</t>
        </is>
      </c>
      <c r="E940" s="43" t="inlineStr">
        <is>
          <t>북</t>
        </is>
      </c>
      <c r="F940" s="44" t="n"/>
      <c r="G940" s="29" t="n"/>
      <c r="H940" s="42" t="n"/>
      <c r="I940" s="40" t="n"/>
      <c r="J940" s="40" t="n"/>
      <c r="K940" s="40" t="n"/>
      <c r="L940" s="30">
        <f>IF(COUNT(I940:K940)=0,"",MEDIAN(I940:K940))</f>
        <v/>
      </c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28" t="n"/>
      <c r="Y940" s="28" t="n"/>
      <c r="Z940" s="28" t="n"/>
      <c r="AA940" s="31" t="n"/>
      <c r="AB940" s="31" t="n"/>
    </row>
    <row r="941">
      <c r="A941" s="43" t="inlineStr">
        <is>
          <t>S19</t>
        </is>
      </c>
      <c r="B941" s="43" t="inlineStr">
        <is>
          <t>오호 신규점</t>
        </is>
      </c>
      <c r="C941" s="43" t="inlineStr">
        <is>
          <t>S19-H동</t>
        </is>
      </c>
      <c r="D941" s="43" t="inlineStr">
        <is>
          <t>P0(전)</t>
        </is>
      </c>
      <c r="E941" s="43" t="inlineStr">
        <is>
          <t>동</t>
        </is>
      </c>
      <c r="F941" s="44" t="n"/>
      <c r="G941" s="29" t="n"/>
      <c r="H941" s="42" t="n"/>
      <c r="I941" s="40" t="n"/>
      <c r="J941" s="40" t="n"/>
      <c r="K941" s="40" t="n"/>
      <c r="L941" s="30">
        <f>IF(COUNT(I941:K941)=0,"",MEDIAN(I941:K941))</f>
        <v/>
      </c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28" t="n"/>
      <c r="Y941" s="28" t="n"/>
      <c r="Z941" s="28" t="n"/>
      <c r="AA941" s="31" t="n"/>
      <c r="AB941" s="31" t="n"/>
    </row>
    <row r="942">
      <c r="A942" s="25" t="inlineStr">
        <is>
          <t>S19</t>
        </is>
      </c>
      <c r="B942" s="25" t="inlineStr">
        <is>
          <t>오호 신규점</t>
        </is>
      </c>
      <c r="C942" s="25" t="inlineStr">
        <is>
          <t>S19-H동</t>
        </is>
      </c>
      <c r="D942" s="25" t="inlineStr">
        <is>
          <t>측정</t>
        </is>
      </c>
      <c r="E942" s="25" t="inlineStr">
        <is>
          <t>동</t>
        </is>
      </c>
      <c r="F942" s="30" t="n">
        <v>0.5</v>
      </c>
      <c r="G942" s="29" t="n"/>
      <c r="H942" s="42" t="n"/>
      <c r="I942" s="40" t="n"/>
      <c r="J942" s="40" t="n"/>
      <c r="K942" s="40" t="n"/>
      <c r="L942" s="30">
        <f>IF(COUNT(I942:K942)=0,"",MEDIAN(I942:K942))</f>
        <v/>
      </c>
      <c r="M942" s="25">
        <f>IF(COUNTIFS($C:$C,$C942,$D:$D,"P0(전)",$L:$L,"&gt;0")&lt;&gt;1,"P0(전) 유효 1개 아님",IF(COUNTIFS($C:$C,$C942,$D:$D,"P0(후)",$L:$L,"&gt;0")&lt;&gt;1,"P0(후) 유효 1개 아님",IF(NOT(AND(ISNUMBER(N942),ISNUMBER(P942),ISNUMBER(H942))),"시각 결측",IF(P942&lt;=N942,"P0 시각 역전",IF(OR(H942&lt;N942,H942&gt;P942),"측정시각 구간 밖","OK")))))</f>
        <v/>
      </c>
      <c r="N942" s="45">
        <f>IF(COUNTIFS($C:$C,$C942,$D:$D,"P0(전)",$L:$L,"&gt;0")&lt;&gt;1,"",SUMIFS($H:$H,$C:$C,$C942,$D:$D,"P0(전)"))</f>
        <v/>
      </c>
      <c r="O942" s="30">
        <f>IF(COUNTIFS($C:$C,$C942,$D:$D,"P0(전)",$L:$L,"&gt;0")&lt;&gt;1,"",SUMIFS($L:$L,$C:$C,$C942,$D:$D,"P0(전)"))</f>
        <v/>
      </c>
      <c r="P942" s="45">
        <f>IF(COUNTIFS($C:$C,$C942,$D:$D,"P0(후)",$L:$L,"&gt;0")&lt;&gt;1,"",SUMIFS($H:$H,$C:$C,$C942,$D:$D,"P0(후)"))</f>
        <v/>
      </c>
      <c r="Q942" s="30">
        <f>IF(COUNTIFS($C:$C,$C942,$D:$D,"P0(후)",$L:$L,"&gt;0")&lt;&gt;1,"",SUMIFS($L:$L,$C:$C,$C942,$D:$D,"P0(후)"))</f>
        <v/>
      </c>
      <c r="R942" s="30">
        <f>IF(M942&lt;&gt;"OK","",O942+(Q942-O942)*(H942-N942)/(P942-N942))</f>
        <v/>
      </c>
      <c r="S942" s="30">
        <f>IF(OR(M942&lt;&gt;"OK",NOT(ISNUMBER(L942))),"",L942-R942)</f>
        <v/>
      </c>
      <c r="T942" s="46">
        <f>IF(OR(NOT(ISNUMBER(S942)),IF(ISNUMBER(G942),G942,F942)=0),"",S942/IF(ISNUMBER(G942),G942,F942))</f>
        <v/>
      </c>
      <c r="U942" s="46">
        <f>IF(ISNUMBER(T942),ABS(T942),"")</f>
        <v/>
      </c>
      <c r="V942" s="46">
        <f>IF(OR($D941&lt;&gt;"측정",$C941&lt;&gt;$C942,NOT(ISNUMBER(L942)),NOT(ISNUMBER(L941)),(IF(ISNUMBER(G942),G942,F942)-IF(ISNUMBER(G941),G941,F941))=0),"",(L942-L941)/(IF(ISNUMBER(G942),G942,F942)-IF(ISNUMBER(G941),G941,F941)))</f>
        <v/>
      </c>
      <c r="W942" s="30">
        <f>IF(NOT(AND(ISNUMBER(N942),ISNUMBER(P942))),"",(P942-N942)*1440)</f>
        <v/>
      </c>
      <c r="X942" s="28" t="n"/>
      <c r="Y942" s="28" t="n"/>
      <c r="Z942" s="28" t="n"/>
      <c r="AA942" s="31" t="n"/>
      <c r="AB942" s="31" t="n"/>
    </row>
    <row r="943">
      <c r="A943" s="25" t="inlineStr">
        <is>
          <t>S19</t>
        </is>
      </c>
      <c r="B943" s="25" t="inlineStr">
        <is>
          <t>오호 신규점</t>
        </is>
      </c>
      <c r="C943" s="25" t="inlineStr">
        <is>
          <t>S19-H동</t>
        </is>
      </c>
      <c r="D943" s="25" t="inlineStr">
        <is>
          <t>측정</t>
        </is>
      </c>
      <c r="E943" s="25" t="inlineStr">
        <is>
          <t>동</t>
        </is>
      </c>
      <c r="F943" s="30" t="n">
        <v>1</v>
      </c>
      <c r="G943" s="29" t="n"/>
      <c r="H943" s="42" t="n"/>
      <c r="I943" s="40" t="n"/>
      <c r="J943" s="40" t="n"/>
      <c r="K943" s="40" t="n"/>
      <c r="L943" s="30">
        <f>IF(COUNT(I943:K943)=0,"",MEDIAN(I943:K943))</f>
        <v/>
      </c>
      <c r="M943" s="25">
        <f>IF(COUNTIFS($C:$C,$C943,$D:$D,"P0(전)",$L:$L,"&gt;0")&lt;&gt;1,"P0(전) 유효 1개 아님",IF(COUNTIFS($C:$C,$C943,$D:$D,"P0(후)",$L:$L,"&gt;0")&lt;&gt;1,"P0(후) 유효 1개 아님",IF(NOT(AND(ISNUMBER(N943),ISNUMBER(P943),ISNUMBER(H943))),"시각 결측",IF(P943&lt;=N943,"P0 시각 역전",IF(OR(H943&lt;N943,H943&gt;P943),"측정시각 구간 밖","OK")))))</f>
        <v/>
      </c>
      <c r="N943" s="45">
        <f>IF(COUNTIFS($C:$C,$C943,$D:$D,"P0(전)",$L:$L,"&gt;0")&lt;&gt;1,"",SUMIFS($H:$H,$C:$C,$C943,$D:$D,"P0(전)"))</f>
        <v/>
      </c>
      <c r="O943" s="30">
        <f>IF(COUNTIFS($C:$C,$C943,$D:$D,"P0(전)",$L:$L,"&gt;0")&lt;&gt;1,"",SUMIFS($L:$L,$C:$C,$C943,$D:$D,"P0(전)"))</f>
        <v/>
      </c>
      <c r="P943" s="45">
        <f>IF(COUNTIFS($C:$C,$C943,$D:$D,"P0(후)",$L:$L,"&gt;0")&lt;&gt;1,"",SUMIFS($H:$H,$C:$C,$C943,$D:$D,"P0(후)"))</f>
        <v/>
      </c>
      <c r="Q943" s="30">
        <f>IF(COUNTIFS($C:$C,$C943,$D:$D,"P0(후)",$L:$L,"&gt;0")&lt;&gt;1,"",SUMIFS($L:$L,$C:$C,$C943,$D:$D,"P0(후)"))</f>
        <v/>
      </c>
      <c r="R943" s="30">
        <f>IF(M943&lt;&gt;"OK","",O943+(Q943-O943)*(H943-N943)/(P943-N943))</f>
        <v/>
      </c>
      <c r="S943" s="30">
        <f>IF(OR(M943&lt;&gt;"OK",NOT(ISNUMBER(L943))),"",L943-R943)</f>
        <v/>
      </c>
      <c r="T943" s="46">
        <f>IF(OR(NOT(ISNUMBER(S943)),IF(ISNUMBER(G943),G943,F943)=0),"",S943/IF(ISNUMBER(G943),G943,F943))</f>
        <v/>
      </c>
      <c r="U943" s="46">
        <f>IF(ISNUMBER(T943),ABS(T943),"")</f>
        <v/>
      </c>
      <c r="V943" s="46">
        <f>IF(OR($D942&lt;&gt;"측정",$C942&lt;&gt;$C943,NOT(ISNUMBER(L943)),NOT(ISNUMBER(L942)),(IF(ISNUMBER(G943),G943,F943)-IF(ISNUMBER(G942),G942,F942))=0),"",(L943-L942)/(IF(ISNUMBER(G943),G943,F943)-IF(ISNUMBER(G942),G942,F942)))</f>
        <v/>
      </c>
      <c r="W943" s="30">
        <f>IF(NOT(AND(ISNUMBER(N943),ISNUMBER(P943))),"",(P943-N943)*1440)</f>
        <v/>
      </c>
      <c r="X943" s="28" t="n"/>
      <c r="Y943" s="28" t="n"/>
      <c r="Z943" s="28" t="n"/>
      <c r="AA943" s="31" t="n"/>
      <c r="AB943" s="31" t="n"/>
    </row>
    <row r="944">
      <c r="A944" s="25" t="inlineStr">
        <is>
          <t>S19</t>
        </is>
      </c>
      <c r="B944" s="25" t="inlineStr">
        <is>
          <t>오호 신규점</t>
        </is>
      </c>
      <c r="C944" s="25" t="inlineStr">
        <is>
          <t>S19-H동</t>
        </is>
      </c>
      <c r="D944" s="25" t="inlineStr">
        <is>
          <t>측정</t>
        </is>
      </c>
      <c r="E944" s="25" t="inlineStr">
        <is>
          <t>동</t>
        </is>
      </c>
      <c r="F944" s="30" t="n">
        <v>2</v>
      </c>
      <c r="G944" s="29" t="n"/>
      <c r="H944" s="42" t="n"/>
      <c r="I944" s="40" t="n"/>
      <c r="J944" s="40" t="n"/>
      <c r="K944" s="40" t="n"/>
      <c r="L944" s="30">
        <f>IF(COUNT(I944:K944)=0,"",MEDIAN(I944:K944))</f>
        <v/>
      </c>
      <c r="M944" s="25">
        <f>IF(COUNTIFS($C:$C,$C944,$D:$D,"P0(전)",$L:$L,"&gt;0")&lt;&gt;1,"P0(전) 유효 1개 아님",IF(COUNTIFS($C:$C,$C944,$D:$D,"P0(후)",$L:$L,"&gt;0")&lt;&gt;1,"P0(후) 유효 1개 아님",IF(NOT(AND(ISNUMBER(N944),ISNUMBER(P944),ISNUMBER(H944))),"시각 결측",IF(P944&lt;=N944,"P0 시각 역전",IF(OR(H944&lt;N944,H944&gt;P944),"측정시각 구간 밖","OK")))))</f>
        <v/>
      </c>
      <c r="N944" s="45">
        <f>IF(COUNTIFS($C:$C,$C944,$D:$D,"P0(전)",$L:$L,"&gt;0")&lt;&gt;1,"",SUMIFS($H:$H,$C:$C,$C944,$D:$D,"P0(전)"))</f>
        <v/>
      </c>
      <c r="O944" s="30">
        <f>IF(COUNTIFS($C:$C,$C944,$D:$D,"P0(전)",$L:$L,"&gt;0")&lt;&gt;1,"",SUMIFS($L:$L,$C:$C,$C944,$D:$D,"P0(전)"))</f>
        <v/>
      </c>
      <c r="P944" s="45">
        <f>IF(COUNTIFS($C:$C,$C944,$D:$D,"P0(후)",$L:$L,"&gt;0")&lt;&gt;1,"",SUMIFS($H:$H,$C:$C,$C944,$D:$D,"P0(후)"))</f>
        <v/>
      </c>
      <c r="Q944" s="30">
        <f>IF(COUNTIFS($C:$C,$C944,$D:$D,"P0(후)",$L:$L,"&gt;0")&lt;&gt;1,"",SUMIFS($L:$L,$C:$C,$C944,$D:$D,"P0(후)"))</f>
        <v/>
      </c>
      <c r="R944" s="30">
        <f>IF(M944&lt;&gt;"OK","",O944+(Q944-O944)*(H944-N944)/(P944-N944))</f>
        <v/>
      </c>
      <c r="S944" s="30">
        <f>IF(OR(M944&lt;&gt;"OK",NOT(ISNUMBER(L944))),"",L944-R944)</f>
        <v/>
      </c>
      <c r="T944" s="46">
        <f>IF(OR(NOT(ISNUMBER(S944)),IF(ISNUMBER(G944),G944,F944)=0),"",S944/IF(ISNUMBER(G944),G944,F944))</f>
        <v/>
      </c>
      <c r="U944" s="46">
        <f>IF(ISNUMBER(T944),ABS(T944),"")</f>
        <v/>
      </c>
      <c r="V944" s="46">
        <f>IF(OR($D943&lt;&gt;"측정",$C943&lt;&gt;$C944,NOT(ISNUMBER(L944)),NOT(ISNUMBER(L943)),(IF(ISNUMBER(G944),G944,F944)-IF(ISNUMBER(G943),G943,F943))=0),"",(L944-L943)/(IF(ISNUMBER(G944),G944,F944)-IF(ISNUMBER(G943),G943,F943)))</f>
        <v/>
      </c>
      <c r="W944" s="30">
        <f>IF(NOT(AND(ISNUMBER(N944),ISNUMBER(P944))),"",(P944-N944)*1440)</f>
        <v/>
      </c>
      <c r="X944" s="28" t="n"/>
      <c r="Y944" s="28" t="n"/>
      <c r="Z944" s="28" t="n"/>
      <c r="AA944" s="31" t="n"/>
      <c r="AB944" s="31" t="n"/>
    </row>
    <row r="945">
      <c r="A945" s="25" t="inlineStr">
        <is>
          <t>S19</t>
        </is>
      </c>
      <c r="B945" s="25" t="inlineStr">
        <is>
          <t>오호 신규점</t>
        </is>
      </c>
      <c r="C945" s="25" t="inlineStr">
        <is>
          <t>S19-H동</t>
        </is>
      </c>
      <c r="D945" s="25" t="inlineStr">
        <is>
          <t>측정</t>
        </is>
      </c>
      <c r="E945" s="25" t="inlineStr">
        <is>
          <t>동</t>
        </is>
      </c>
      <c r="F945" s="30" t="n">
        <v>3</v>
      </c>
      <c r="G945" s="29" t="n"/>
      <c r="H945" s="42" t="n"/>
      <c r="I945" s="40" t="n"/>
      <c r="J945" s="40" t="n"/>
      <c r="K945" s="40" t="n"/>
      <c r="L945" s="30">
        <f>IF(COUNT(I945:K945)=0,"",MEDIAN(I945:K945))</f>
        <v/>
      </c>
      <c r="M945" s="25">
        <f>IF(COUNTIFS($C:$C,$C945,$D:$D,"P0(전)",$L:$L,"&gt;0")&lt;&gt;1,"P0(전) 유효 1개 아님",IF(COUNTIFS($C:$C,$C945,$D:$D,"P0(후)",$L:$L,"&gt;0")&lt;&gt;1,"P0(후) 유효 1개 아님",IF(NOT(AND(ISNUMBER(N945),ISNUMBER(P945),ISNUMBER(H945))),"시각 결측",IF(P945&lt;=N945,"P0 시각 역전",IF(OR(H945&lt;N945,H945&gt;P945),"측정시각 구간 밖","OK")))))</f>
        <v/>
      </c>
      <c r="N945" s="45">
        <f>IF(COUNTIFS($C:$C,$C945,$D:$D,"P0(전)",$L:$L,"&gt;0")&lt;&gt;1,"",SUMIFS($H:$H,$C:$C,$C945,$D:$D,"P0(전)"))</f>
        <v/>
      </c>
      <c r="O945" s="30">
        <f>IF(COUNTIFS($C:$C,$C945,$D:$D,"P0(전)",$L:$L,"&gt;0")&lt;&gt;1,"",SUMIFS($L:$L,$C:$C,$C945,$D:$D,"P0(전)"))</f>
        <v/>
      </c>
      <c r="P945" s="45">
        <f>IF(COUNTIFS($C:$C,$C945,$D:$D,"P0(후)",$L:$L,"&gt;0")&lt;&gt;1,"",SUMIFS($H:$H,$C:$C,$C945,$D:$D,"P0(후)"))</f>
        <v/>
      </c>
      <c r="Q945" s="30">
        <f>IF(COUNTIFS($C:$C,$C945,$D:$D,"P0(후)",$L:$L,"&gt;0")&lt;&gt;1,"",SUMIFS($L:$L,$C:$C,$C945,$D:$D,"P0(후)"))</f>
        <v/>
      </c>
      <c r="R945" s="30">
        <f>IF(M945&lt;&gt;"OK","",O945+(Q945-O945)*(H945-N945)/(P945-N945))</f>
        <v/>
      </c>
      <c r="S945" s="30">
        <f>IF(OR(M945&lt;&gt;"OK",NOT(ISNUMBER(L945))),"",L945-R945)</f>
        <v/>
      </c>
      <c r="T945" s="46">
        <f>IF(OR(NOT(ISNUMBER(S945)),IF(ISNUMBER(G945),G945,F945)=0),"",S945/IF(ISNUMBER(G945),G945,F945))</f>
        <v/>
      </c>
      <c r="U945" s="46">
        <f>IF(ISNUMBER(T945),ABS(T945),"")</f>
        <v/>
      </c>
      <c r="V945" s="46">
        <f>IF(OR($D944&lt;&gt;"측정",$C944&lt;&gt;$C945,NOT(ISNUMBER(L945)),NOT(ISNUMBER(L944)),(IF(ISNUMBER(G945),G945,F945)-IF(ISNUMBER(G944),G944,F944))=0),"",(L945-L944)/(IF(ISNUMBER(G945),G945,F945)-IF(ISNUMBER(G944),G944,F944)))</f>
        <v/>
      </c>
      <c r="W945" s="30">
        <f>IF(NOT(AND(ISNUMBER(N945),ISNUMBER(P945))),"",(P945-N945)*1440)</f>
        <v/>
      </c>
      <c r="X945" s="28" t="n"/>
      <c r="Y945" s="28" t="n"/>
      <c r="Z945" s="28" t="n"/>
      <c r="AA945" s="31" t="n"/>
      <c r="AB945" s="31" t="n"/>
    </row>
    <row r="946">
      <c r="A946" s="25" t="inlineStr">
        <is>
          <t>S19</t>
        </is>
      </c>
      <c r="B946" s="25" t="inlineStr">
        <is>
          <t>오호 신규점</t>
        </is>
      </c>
      <c r="C946" s="25" t="inlineStr">
        <is>
          <t>S19-H동</t>
        </is>
      </c>
      <c r="D946" s="25" t="inlineStr">
        <is>
          <t>측정</t>
        </is>
      </c>
      <c r="E946" s="25" t="inlineStr">
        <is>
          <t>동</t>
        </is>
      </c>
      <c r="F946" s="30" t="n">
        <v>4</v>
      </c>
      <c r="G946" s="29" t="n"/>
      <c r="H946" s="42" t="n"/>
      <c r="I946" s="40" t="n"/>
      <c r="J946" s="40" t="n"/>
      <c r="K946" s="40" t="n"/>
      <c r="L946" s="30">
        <f>IF(COUNT(I946:K946)=0,"",MEDIAN(I946:K946))</f>
        <v/>
      </c>
      <c r="M946" s="25">
        <f>IF(COUNTIFS($C:$C,$C946,$D:$D,"P0(전)",$L:$L,"&gt;0")&lt;&gt;1,"P0(전) 유효 1개 아님",IF(COUNTIFS($C:$C,$C946,$D:$D,"P0(후)",$L:$L,"&gt;0")&lt;&gt;1,"P0(후) 유효 1개 아님",IF(NOT(AND(ISNUMBER(N946),ISNUMBER(P946),ISNUMBER(H946))),"시각 결측",IF(P946&lt;=N946,"P0 시각 역전",IF(OR(H946&lt;N946,H946&gt;P946),"측정시각 구간 밖","OK")))))</f>
        <v/>
      </c>
      <c r="N946" s="45">
        <f>IF(COUNTIFS($C:$C,$C946,$D:$D,"P0(전)",$L:$L,"&gt;0")&lt;&gt;1,"",SUMIFS($H:$H,$C:$C,$C946,$D:$D,"P0(전)"))</f>
        <v/>
      </c>
      <c r="O946" s="30">
        <f>IF(COUNTIFS($C:$C,$C946,$D:$D,"P0(전)",$L:$L,"&gt;0")&lt;&gt;1,"",SUMIFS($L:$L,$C:$C,$C946,$D:$D,"P0(전)"))</f>
        <v/>
      </c>
      <c r="P946" s="45">
        <f>IF(COUNTIFS($C:$C,$C946,$D:$D,"P0(후)",$L:$L,"&gt;0")&lt;&gt;1,"",SUMIFS($H:$H,$C:$C,$C946,$D:$D,"P0(후)"))</f>
        <v/>
      </c>
      <c r="Q946" s="30">
        <f>IF(COUNTIFS($C:$C,$C946,$D:$D,"P0(후)",$L:$L,"&gt;0")&lt;&gt;1,"",SUMIFS($L:$L,$C:$C,$C946,$D:$D,"P0(후)"))</f>
        <v/>
      </c>
      <c r="R946" s="30">
        <f>IF(M946&lt;&gt;"OK","",O946+(Q946-O946)*(H946-N946)/(P946-N946))</f>
        <v/>
      </c>
      <c r="S946" s="30">
        <f>IF(OR(M946&lt;&gt;"OK",NOT(ISNUMBER(L946))),"",L946-R946)</f>
        <v/>
      </c>
      <c r="T946" s="46">
        <f>IF(OR(NOT(ISNUMBER(S946)),IF(ISNUMBER(G946),G946,F946)=0),"",S946/IF(ISNUMBER(G946),G946,F946))</f>
        <v/>
      </c>
      <c r="U946" s="46">
        <f>IF(ISNUMBER(T946),ABS(T946),"")</f>
        <v/>
      </c>
      <c r="V946" s="46">
        <f>IF(OR($D945&lt;&gt;"측정",$C945&lt;&gt;$C946,NOT(ISNUMBER(L946)),NOT(ISNUMBER(L945)),(IF(ISNUMBER(G946),G946,F946)-IF(ISNUMBER(G945),G945,F945))=0),"",(L946-L945)/(IF(ISNUMBER(G946),G946,F946)-IF(ISNUMBER(G945),G945,F945)))</f>
        <v/>
      </c>
      <c r="W946" s="30">
        <f>IF(NOT(AND(ISNUMBER(N946),ISNUMBER(P946))),"",(P946-N946)*1440)</f>
        <v/>
      </c>
      <c r="X946" s="28" t="n"/>
      <c r="Y946" s="28" t="n"/>
      <c r="Z946" s="28" t="n"/>
      <c r="AA946" s="31" t="n"/>
      <c r="AB946" s="31" t="n"/>
    </row>
    <row r="947">
      <c r="A947" s="25" t="inlineStr">
        <is>
          <t>S19</t>
        </is>
      </c>
      <c r="B947" s="25" t="inlineStr">
        <is>
          <t>오호 신규점</t>
        </is>
      </c>
      <c r="C947" s="25" t="inlineStr">
        <is>
          <t>S19-H동</t>
        </is>
      </c>
      <c r="D947" s="25" t="inlineStr">
        <is>
          <t>측정</t>
        </is>
      </c>
      <c r="E947" s="25" t="inlineStr">
        <is>
          <t>동</t>
        </is>
      </c>
      <c r="F947" s="30" t="n">
        <v>5</v>
      </c>
      <c r="G947" s="29" t="n"/>
      <c r="H947" s="42" t="n"/>
      <c r="I947" s="40" t="n"/>
      <c r="J947" s="40" t="n"/>
      <c r="K947" s="40" t="n"/>
      <c r="L947" s="30">
        <f>IF(COUNT(I947:K947)=0,"",MEDIAN(I947:K947))</f>
        <v/>
      </c>
      <c r="M947" s="25">
        <f>IF(COUNTIFS($C:$C,$C947,$D:$D,"P0(전)",$L:$L,"&gt;0")&lt;&gt;1,"P0(전) 유효 1개 아님",IF(COUNTIFS($C:$C,$C947,$D:$D,"P0(후)",$L:$L,"&gt;0")&lt;&gt;1,"P0(후) 유효 1개 아님",IF(NOT(AND(ISNUMBER(N947),ISNUMBER(P947),ISNUMBER(H947))),"시각 결측",IF(P947&lt;=N947,"P0 시각 역전",IF(OR(H947&lt;N947,H947&gt;P947),"측정시각 구간 밖","OK")))))</f>
        <v/>
      </c>
      <c r="N947" s="45">
        <f>IF(COUNTIFS($C:$C,$C947,$D:$D,"P0(전)",$L:$L,"&gt;0")&lt;&gt;1,"",SUMIFS($H:$H,$C:$C,$C947,$D:$D,"P0(전)"))</f>
        <v/>
      </c>
      <c r="O947" s="30">
        <f>IF(COUNTIFS($C:$C,$C947,$D:$D,"P0(전)",$L:$L,"&gt;0")&lt;&gt;1,"",SUMIFS($L:$L,$C:$C,$C947,$D:$D,"P0(전)"))</f>
        <v/>
      </c>
      <c r="P947" s="45">
        <f>IF(COUNTIFS($C:$C,$C947,$D:$D,"P0(후)",$L:$L,"&gt;0")&lt;&gt;1,"",SUMIFS($H:$H,$C:$C,$C947,$D:$D,"P0(후)"))</f>
        <v/>
      </c>
      <c r="Q947" s="30">
        <f>IF(COUNTIFS($C:$C,$C947,$D:$D,"P0(후)",$L:$L,"&gt;0")&lt;&gt;1,"",SUMIFS($L:$L,$C:$C,$C947,$D:$D,"P0(후)"))</f>
        <v/>
      </c>
      <c r="R947" s="30">
        <f>IF(M947&lt;&gt;"OK","",O947+(Q947-O947)*(H947-N947)/(P947-N947))</f>
        <v/>
      </c>
      <c r="S947" s="30">
        <f>IF(OR(M947&lt;&gt;"OK",NOT(ISNUMBER(L947))),"",L947-R947)</f>
        <v/>
      </c>
      <c r="T947" s="46">
        <f>IF(OR(NOT(ISNUMBER(S947)),IF(ISNUMBER(G947),G947,F947)=0),"",S947/IF(ISNUMBER(G947),G947,F947))</f>
        <v/>
      </c>
      <c r="U947" s="46">
        <f>IF(ISNUMBER(T947),ABS(T947),"")</f>
        <v/>
      </c>
      <c r="V947" s="46">
        <f>IF(OR($D946&lt;&gt;"측정",$C946&lt;&gt;$C947,NOT(ISNUMBER(L947)),NOT(ISNUMBER(L946)),(IF(ISNUMBER(G947),G947,F947)-IF(ISNUMBER(G946),G946,F946))=0),"",(L947-L946)/(IF(ISNUMBER(G947),G947,F947)-IF(ISNUMBER(G946),G946,F946)))</f>
        <v/>
      </c>
      <c r="W947" s="30">
        <f>IF(NOT(AND(ISNUMBER(N947),ISNUMBER(P947))),"",(P947-N947)*1440)</f>
        <v/>
      </c>
      <c r="X947" s="28" t="n"/>
      <c r="Y947" s="28" t="n"/>
      <c r="Z947" s="28" t="n"/>
      <c r="AA947" s="31" t="n"/>
      <c r="AB947" s="31" t="n"/>
    </row>
    <row r="948">
      <c r="A948" s="25" t="inlineStr">
        <is>
          <t>S19</t>
        </is>
      </c>
      <c r="B948" s="25" t="inlineStr">
        <is>
          <t>오호 신규점</t>
        </is>
      </c>
      <c r="C948" s="25" t="inlineStr">
        <is>
          <t>S19-H동</t>
        </is>
      </c>
      <c r="D948" s="25" t="inlineStr">
        <is>
          <t>측정</t>
        </is>
      </c>
      <c r="E948" s="25" t="inlineStr">
        <is>
          <t>동</t>
        </is>
      </c>
      <c r="F948" s="30" t="n">
        <v>6</v>
      </c>
      <c r="G948" s="29" t="n"/>
      <c r="H948" s="42" t="n"/>
      <c r="I948" s="40" t="n"/>
      <c r="J948" s="40" t="n"/>
      <c r="K948" s="40" t="n"/>
      <c r="L948" s="30">
        <f>IF(COUNT(I948:K948)=0,"",MEDIAN(I948:K948))</f>
        <v/>
      </c>
      <c r="M948" s="25">
        <f>IF(COUNTIFS($C:$C,$C948,$D:$D,"P0(전)",$L:$L,"&gt;0")&lt;&gt;1,"P0(전) 유효 1개 아님",IF(COUNTIFS($C:$C,$C948,$D:$D,"P0(후)",$L:$L,"&gt;0")&lt;&gt;1,"P0(후) 유효 1개 아님",IF(NOT(AND(ISNUMBER(N948),ISNUMBER(P948),ISNUMBER(H948))),"시각 결측",IF(P948&lt;=N948,"P0 시각 역전",IF(OR(H948&lt;N948,H948&gt;P948),"측정시각 구간 밖","OK")))))</f>
        <v/>
      </c>
      <c r="N948" s="45">
        <f>IF(COUNTIFS($C:$C,$C948,$D:$D,"P0(전)",$L:$L,"&gt;0")&lt;&gt;1,"",SUMIFS($H:$H,$C:$C,$C948,$D:$D,"P0(전)"))</f>
        <v/>
      </c>
      <c r="O948" s="30">
        <f>IF(COUNTIFS($C:$C,$C948,$D:$D,"P0(전)",$L:$L,"&gt;0")&lt;&gt;1,"",SUMIFS($L:$L,$C:$C,$C948,$D:$D,"P0(전)"))</f>
        <v/>
      </c>
      <c r="P948" s="45">
        <f>IF(COUNTIFS($C:$C,$C948,$D:$D,"P0(후)",$L:$L,"&gt;0")&lt;&gt;1,"",SUMIFS($H:$H,$C:$C,$C948,$D:$D,"P0(후)"))</f>
        <v/>
      </c>
      <c r="Q948" s="30">
        <f>IF(COUNTIFS($C:$C,$C948,$D:$D,"P0(후)",$L:$L,"&gt;0")&lt;&gt;1,"",SUMIFS($L:$L,$C:$C,$C948,$D:$D,"P0(후)"))</f>
        <v/>
      </c>
      <c r="R948" s="30">
        <f>IF(M948&lt;&gt;"OK","",O948+(Q948-O948)*(H948-N948)/(P948-N948))</f>
        <v/>
      </c>
      <c r="S948" s="30">
        <f>IF(OR(M948&lt;&gt;"OK",NOT(ISNUMBER(L948))),"",L948-R948)</f>
        <v/>
      </c>
      <c r="T948" s="46">
        <f>IF(OR(NOT(ISNUMBER(S948)),IF(ISNUMBER(G948),G948,F948)=0),"",S948/IF(ISNUMBER(G948),G948,F948))</f>
        <v/>
      </c>
      <c r="U948" s="46">
        <f>IF(ISNUMBER(T948),ABS(T948),"")</f>
        <v/>
      </c>
      <c r="V948" s="46">
        <f>IF(OR($D947&lt;&gt;"측정",$C947&lt;&gt;$C948,NOT(ISNUMBER(L948)),NOT(ISNUMBER(L947)),(IF(ISNUMBER(G948),G948,F948)-IF(ISNUMBER(G947),G947,F947))=0),"",(L948-L947)/(IF(ISNUMBER(G948),G948,F948)-IF(ISNUMBER(G947),G947,F947)))</f>
        <v/>
      </c>
      <c r="W948" s="30">
        <f>IF(NOT(AND(ISNUMBER(N948),ISNUMBER(P948))),"",(P948-N948)*1440)</f>
        <v/>
      </c>
      <c r="X948" s="28" t="n"/>
      <c r="Y948" s="28" t="n"/>
      <c r="Z948" s="28" t="n"/>
      <c r="AA948" s="31" t="n"/>
      <c r="AB948" s="31" t="n"/>
    </row>
    <row r="949">
      <c r="A949" s="25" t="inlineStr">
        <is>
          <t>S19</t>
        </is>
      </c>
      <c r="B949" s="25" t="inlineStr">
        <is>
          <t>오호 신규점</t>
        </is>
      </c>
      <c r="C949" s="25" t="inlineStr">
        <is>
          <t>S19-H동</t>
        </is>
      </c>
      <c r="D949" s="25" t="inlineStr">
        <is>
          <t>측정</t>
        </is>
      </c>
      <c r="E949" s="25" t="inlineStr">
        <is>
          <t>동</t>
        </is>
      </c>
      <c r="F949" s="30" t="n">
        <v>7</v>
      </c>
      <c r="G949" s="29" t="n"/>
      <c r="H949" s="42" t="n"/>
      <c r="I949" s="40" t="n"/>
      <c r="J949" s="40" t="n"/>
      <c r="K949" s="40" t="n"/>
      <c r="L949" s="30">
        <f>IF(COUNT(I949:K949)=0,"",MEDIAN(I949:K949))</f>
        <v/>
      </c>
      <c r="M949" s="25">
        <f>IF(COUNTIFS($C:$C,$C949,$D:$D,"P0(전)",$L:$L,"&gt;0")&lt;&gt;1,"P0(전) 유효 1개 아님",IF(COUNTIFS($C:$C,$C949,$D:$D,"P0(후)",$L:$L,"&gt;0")&lt;&gt;1,"P0(후) 유효 1개 아님",IF(NOT(AND(ISNUMBER(N949),ISNUMBER(P949),ISNUMBER(H949))),"시각 결측",IF(P949&lt;=N949,"P0 시각 역전",IF(OR(H949&lt;N949,H949&gt;P949),"측정시각 구간 밖","OK")))))</f>
        <v/>
      </c>
      <c r="N949" s="45">
        <f>IF(COUNTIFS($C:$C,$C949,$D:$D,"P0(전)",$L:$L,"&gt;0")&lt;&gt;1,"",SUMIFS($H:$H,$C:$C,$C949,$D:$D,"P0(전)"))</f>
        <v/>
      </c>
      <c r="O949" s="30">
        <f>IF(COUNTIFS($C:$C,$C949,$D:$D,"P0(전)",$L:$L,"&gt;0")&lt;&gt;1,"",SUMIFS($L:$L,$C:$C,$C949,$D:$D,"P0(전)"))</f>
        <v/>
      </c>
      <c r="P949" s="45">
        <f>IF(COUNTIFS($C:$C,$C949,$D:$D,"P0(후)",$L:$L,"&gt;0")&lt;&gt;1,"",SUMIFS($H:$H,$C:$C,$C949,$D:$D,"P0(후)"))</f>
        <v/>
      </c>
      <c r="Q949" s="30">
        <f>IF(COUNTIFS($C:$C,$C949,$D:$D,"P0(후)",$L:$L,"&gt;0")&lt;&gt;1,"",SUMIFS($L:$L,$C:$C,$C949,$D:$D,"P0(후)"))</f>
        <v/>
      </c>
      <c r="R949" s="30">
        <f>IF(M949&lt;&gt;"OK","",O949+(Q949-O949)*(H949-N949)/(P949-N949))</f>
        <v/>
      </c>
      <c r="S949" s="30">
        <f>IF(OR(M949&lt;&gt;"OK",NOT(ISNUMBER(L949))),"",L949-R949)</f>
        <v/>
      </c>
      <c r="T949" s="46">
        <f>IF(OR(NOT(ISNUMBER(S949)),IF(ISNUMBER(G949),G949,F949)=0),"",S949/IF(ISNUMBER(G949),G949,F949))</f>
        <v/>
      </c>
      <c r="U949" s="46">
        <f>IF(ISNUMBER(T949),ABS(T949),"")</f>
        <v/>
      </c>
      <c r="V949" s="46">
        <f>IF(OR($D948&lt;&gt;"측정",$C948&lt;&gt;$C949,NOT(ISNUMBER(L949)),NOT(ISNUMBER(L948)),(IF(ISNUMBER(G949),G949,F949)-IF(ISNUMBER(G948),G948,F948))=0),"",(L949-L948)/(IF(ISNUMBER(G949),G949,F949)-IF(ISNUMBER(G948),G948,F948)))</f>
        <v/>
      </c>
      <c r="W949" s="30">
        <f>IF(NOT(AND(ISNUMBER(N949),ISNUMBER(P949))),"",(P949-N949)*1440)</f>
        <v/>
      </c>
      <c r="X949" s="28" t="n"/>
      <c r="Y949" s="28" t="n"/>
      <c r="Z949" s="28" t="n"/>
      <c r="AA949" s="31" t="n"/>
      <c r="AB949" s="31" t="n"/>
    </row>
    <row r="950">
      <c r="A950" s="25" t="inlineStr">
        <is>
          <t>S19</t>
        </is>
      </c>
      <c r="B950" s="25" t="inlineStr">
        <is>
          <t>오호 신규점</t>
        </is>
      </c>
      <c r="C950" s="25" t="inlineStr">
        <is>
          <t>S19-H동</t>
        </is>
      </c>
      <c r="D950" s="25" t="inlineStr">
        <is>
          <t>측정</t>
        </is>
      </c>
      <c r="E950" s="25" t="inlineStr">
        <is>
          <t>동</t>
        </is>
      </c>
      <c r="F950" s="30" t="n">
        <v>8</v>
      </c>
      <c r="G950" s="29" t="n"/>
      <c r="H950" s="42" t="n"/>
      <c r="I950" s="40" t="n"/>
      <c r="J950" s="40" t="n"/>
      <c r="K950" s="40" t="n"/>
      <c r="L950" s="30">
        <f>IF(COUNT(I950:K950)=0,"",MEDIAN(I950:K950))</f>
        <v/>
      </c>
      <c r="M950" s="25">
        <f>IF(COUNTIFS($C:$C,$C950,$D:$D,"P0(전)",$L:$L,"&gt;0")&lt;&gt;1,"P0(전) 유효 1개 아님",IF(COUNTIFS($C:$C,$C950,$D:$D,"P0(후)",$L:$L,"&gt;0")&lt;&gt;1,"P0(후) 유효 1개 아님",IF(NOT(AND(ISNUMBER(N950),ISNUMBER(P950),ISNUMBER(H950))),"시각 결측",IF(P950&lt;=N950,"P0 시각 역전",IF(OR(H950&lt;N950,H950&gt;P950),"측정시각 구간 밖","OK")))))</f>
        <v/>
      </c>
      <c r="N950" s="45">
        <f>IF(COUNTIFS($C:$C,$C950,$D:$D,"P0(전)",$L:$L,"&gt;0")&lt;&gt;1,"",SUMIFS($H:$H,$C:$C,$C950,$D:$D,"P0(전)"))</f>
        <v/>
      </c>
      <c r="O950" s="30">
        <f>IF(COUNTIFS($C:$C,$C950,$D:$D,"P0(전)",$L:$L,"&gt;0")&lt;&gt;1,"",SUMIFS($L:$L,$C:$C,$C950,$D:$D,"P0(전)"))</f>
        <v/>
      </c>
      <c r="P950" s="45">
        <f>IF(COUNTIFS($C:$C,$C950,$D:$D,"P0(후)",$L:$L,"&gt;0")&lt;&gt;1,"",SUMIFS($H:$H,$C:$C,$C950,$D:$D,"P0(후)"))</f>
        <v/>
      </c>
      <c r="Q950" s="30">
        <f>IF(COUNTIFS($C:$C,$C950,$D:$D,"P0(후)",$L:$L,"&gt;0")&lt;&gt;1,"",SUMIFS($L:$L,$C:$C,$C950,$D:$D,"P0(후)"))</f>
        <v/>
      </c>
      <c r="R950" s="30">
        <f>IF(M950&lt;&gt;"OK","",O950+(Q950-O950)*(H950-N950)/(P950-N950))</f>
        <v/>
      </c>
      <c r="S950" s="30">
        <f>IF(OR(M950&lt;&gt;"OK",NOT(ISNUMBER(L950))),"",L950-R950)</f>
        <v/>
      </c>
      <c r="T950" s="46">
        <f>IF(OR(NOT(ISNUMBER(S950)),IF(ISNUMBER(G950),G950,F950)=0),"",S950/IF(ISNUMBER(G950),G950,F950))</f>
        <v/>
      </c>
      <c r="U950" s="46">
        <f>IF(ISNUMBER(T950),ABS(T950),"")</f>
        <v/>
      </c>
      <c r="V950" s="46">
        <f>IF(OR($D949&lt;&gt;"측정",$C949&lt;&gt;$C950,NOT(ISNUMBER(L950)),NOT(ISNUMBER(L949)),(IF(ISNUMBER(G950),G950,F950)-IF(ISNUMBER(G949),G949,F949))=0),"",(L950-L949)/(IF(ISNUMBER(G950),G950,F950)-IF(ISNUMBER(G949),G949,F949)))</f>
        <v/>
      </c>
      <c r="W950" s="30">
        <f>IF(NOT(AND(ISNUMBER(N950),ISNUMBER(P950))),"",(P950-N950)*1440)</f>
        <v/>
      </c>
      <c r="X950" s="28" t="n"/>
      <c r="Y950" s="28" t="n"/>
      <c r="Z950" s="28" t="n"/>
      <c r="AA950" s="31" t="n"/>
      <c r="AB950" s="31" t="n"/>
    </row>
    <row r="951">
      <c r="A951" s="25" t="inlineStr">
        <is>
          <t>S19</t>
        </is>
      </c>
      <c r="B951" s="25" t="inlineStr">
        <is>
          <t>오호 신규점</t>
        </is>
      </c>
      <c r="C951" s="25" t="inlineStr">
        <is>
          <t>S19-H동</t>
        </is>
      </c>
      <c r="D951" s="25" t="inlineStr">
        <is>
          <t>측정</t>
        </is>
      </c>
      <c r="E951" s="25" t="inlineStr">
        <is>
          <t>동</t>
        </is>
      </c>
      <c r="F951" s="30" t="n">
        <v>9</v>
      </c>
      <c r="G951" s="29" t="n"/>
      <c r="H951" s="42" t="n"/>
      <c r="I951" s="40" t="n"/>
      <c r="J951" s="40" t="n"/>
      <c r="K951" s="40" t="n"/>
      <c r="L951" s="30">
        <f>IF(COUNT(I951:K951)=0,"",MEDIAN(I951:K951))</f>
        <v/>
      </c>
      <c r="M951" s="25">
        <f>IF(COUNTIFS($C:$C,$C951,$D:$D,"P0(전)",$L:$L,"&gt;0")&lt;&gt;1,"P0(전) 유효 1개 아님",IF(COUNTIFS($C:$C,$C951,$D:$D,"P0(후)",$L:$L,"&gt;0")&lt;&gt;1,"P0(후) 유효 1개 아님",IF(NOT(AND(ISNUMBER(N951),ISNUMBER(P951),ISNUMBER(H951))),"시각 결측",IF(P951&lt;=N951,"P0 시각 역전",IF(OR(H951&lt;N951,H951&gt;P951),"측정시각 구간 밖","OK")))))</f>
        <v/>
      </c>
      <c r="N951" s="45">
        <f>IF(COUNTIFS($C:$C,$C951,$D:$D,"P0(전)",$L:$L,"&gt;0")&lt;&gt;1,"",SUMIFS($H:$H,$C:$C,$C951,$D:$D,"P0(전)"))</f>
        <v/>
      </c>
      <c r="O951" s="30">
        <f>IF(COUNTIFS($C:$C,$C951,$D:$D,"P0(전)",$L:$L,"&gt;0")&lt;&gt;1,"",SUMIFS($L:$L,$C:$C,$C951,$D:$D,"P0(전)"))</f>
        <v/>
      </c>
      <c r="P951" s="45">
        <f>IF(COUNTIFS($C:$C,$C951,$D:$D,"P0(후)",$L:$L,"&gt;0")&lt;&gt;1,"",SUMIFS($H:$H,$C:$C,$C951,$D:$D,"P0(후)"))</f>
        <v/>
      </c>
      <c r="Q951" s="30">
        <f>IF(COUNTIFS($C:$C,$C951,$D:$D,"P0(후)",$L:$L,"&gt;0")&lt;&gt;1,"",SUMIFS($L:$L,$C:$C,$C951,$D:$D,"P0(후)"))</f>
        <v/>
      </c>
      <c r="R951" s="30">
        <f>IF(M951&lt;&gt;"OK","",O951+(Q951-O951)*(H951-N951)/(P951-N951))</f>
        <v/>
      </c>
      <c r="S951" s="30">
        <f>IF(OR(M951&lt;&gt;"OK",NOT(ISNUMBER(L951))),"",L951-R951)</f>
        <v/>
      </c>
      <c r="T951" s="46">
        <f>IF(OR(NOT(ISNUMBER(S951)),IF(ISNUMBER(G951),G951,F951)=0),"",S951/IF(ISNUMBER(G951),G951,F951))</f>
        <v/>
      </c>
      <c r="U951" s="46">
        <f>IF(ISNUMBER(T951),ABS(T951),"")</f>
        <v/>
      </c>
      <c r="V951" s="46">
        <f>IF(OR($D950&lt;&gt;"측정",$C950&lt;&gt;$C951,NOT(ISNUMBER(L951)),NOT(ISNUMBER(L950)),(IF(ISNUMBER(G951),G951,F951)-IF(ISNUMBER(G950),G950,F950))=0),"",(L951-L950)/(IF(ISNUMBER(G951),G951,F951)-IF(ISNUMBER(G950),G950,F950)))</f>
        <v/>
      </c>
      <c r="W951" s="30">
        <f>IF(NOT(AND(ISNUMBER(N951),ISNUMBER(P951))),"",(P951-N951)*1440)</f>
        <v/>
      </c>
      <c r="X951" s="28" t="n"/>
      <c r="Y951" s="28" t="n"/>
      <c r="Z951" s="28" t="n"/>
      <c r="AA951" s="31" t="n"/>
      <c r="AB951" s="31" t="n"/>
    </row>
    <row r="952">
      <c r="A952" s="25" t="inlineStr">
        <is>
          <t>S19</t>
        </is>
      </c>
      <c r="B952" s="25" t="inlineStr">
        <is>
          <t>오호 신규점</t>
        </is>
      </c>
      <c r="C952" s="25" t="inlineStr">
        <is>
          <t>S19-H동</t>
        </is>
      </c>
      <c r="D952" s="25" t="inlineStr">
        <is>
          <t>측정</t>
        </is>
      </c>
      <c r="E952" s="25" t="inlineStr">
        <is>
          <t>동</t>
        </is>
      </c>
      <c r="F952" s="30" t="n">
        <v>10</v>
      </c>
      <c r="G952" s="29" t="n"/>
      <c r="H952" s="42" t="n"/>
      <c r="I952" s="40" t="n"/>
      <c r="J952" s="40" t="n"/>
      <c r="K952" s="40" t="n"/>
      <c r="L952" s="30">
        <f>IF(COUNT(I952:K952)=0,"",MEDIAN(I952:K952))</f>
        <v/>
      </c>
      <c r="M952" s="25">
        <f>IF(COUNTIFS($C:$C,$C952,$D:$D,"P0(전)",$L:$L,"&gt;0")&lt;&gt;1,"P0(전) 유효 1개 아님",IF(COUNTIFS($C:$C,$C952,$D:$D,"P0(후)",$L:$L,"&gt;0")&lt;&gt;1,"P0(후) 유효 1개 아님",IF(NOT(AND(ISNUMBER(N952),ISNUMBER(P952),ISNUMBER(H952))),"시각 결측",IF(P952&lt;=N952,"P0 시각 역전",IF(OR(H952&lt;N952,H952&gt;P952),"측정시각 구간 밖","OK")))))</f>
        <v/>
      </c>
      <c r="N952" s="45">
        <f>IF(COUNTIFS($C:$C,$C952,$D:$D,"P0(전)",$L:$L,"&gt;0")&lt;&gt;1,"",SUMIFS($H:$H,$C:$C,$C952,$D:$D,"P0(전)"))</f>
        <v/>
      </c>
      <c r="O952" s="30">
        <f>IF(COUNTIFS($C:$C,$C952,$D:$D,"P0(전)",$L:$L,"&gt;0")&lt;&gt;1,"",SUMIFS($L:$L,$C:$C,$C952,$D:$D,"P0(전)"))</f>
        <v/>
      </c>
      <c r="P952" s="45">
        <f>IF(COUNTIFS($C:$C,$C952,$D:$D,"P0(후)",$L:$L,"&gt;0")&lt;&gt;1,"",SUMIFS($H:$H,$C:$C,$C952,$D:$D,"P0(후)"))</f>
        <v/>
      </c>
      <c r="Q952" s="30">
        <f>IF(COUNTIFS($C:$C,$C952,$D:$D,"P0(후)",$L:$L,"&gt;0")&lt;&gt;1,"",SUMIFS($L:$L,$C:$C,$C952,$D:$D,"P0(후)"))</f>
        <v/>
      </c>
      <c r="R952" s="30">
        <f>IF(M952&lt;&gt;"OK","",O952+(Q952-O952)*(H952-N952)/(P952-N952))</f>
        <v/>
      </c>
      <c r="S952" s="30">
        <f>IF(OR(M952&lt;&gt;"OK",NOT(ISNUMBER(L952))),"",L952-R952)</f>
        <v/>
      </c>
      <c r="T952" s="46">
        <f>IF(OR(NOT(ISNUMBER(S952)),IF(ISNUMBER(G952),G952,F952)=0),"",S952/IF(ISNUMBER(G952),G952,F952))</f>
        <v/>
      </c>
      <c r="U952" s="46">
        <f>IF(ISNUMBER(T952),ABS(T952),"")</f>
        <v/>
      </c>
      <c r="V952" s="46">
        <f>IF(OR($D951&lt;&gt;"측정",$C951&lt;&gt;$C952,NOT(ISNUMBER(L952)),NOT(ISNUMBER(L951)),(IF(ISNUMBER(G952),G952,F952)-IF(ISNUMBER(G951),G951,F951))=0),"",(L952-L951)/(IF(ISNUMBER(G952),G952,F952)-IF(ISNUMBER(G951),G951,F951)))</f>
        <v/>
      </c>
      <c r="W952" s="30">
        <f>IF(NOT(AND(ISNUMBER(N952),ISNUMBER(P952))),"",(P952-N952)*1440)</f>
        <v/>
      </c>
      <c r="X952" s="28" t="n"/>
      <c r="Y952" s="28" t="n"/>
      <c r="Z952" s="28" t="n"/>
      <c r="AA952" s="31" t="n"/>
      <c r="AB952" s="31" t="n"/>
    </row>
    <row r="953">
      <c r="A953" s="43" t="inlineStr">
        <is>
          <t>S19</t>
        </is>
      </c>
      <c r="B953" s="43" t="inlineStr">
        <is>
          <t>오호 신규점</t>
        </is>
      </c>
      <c r="C953" s="43" t="inlineStr">
        <is>
          <t>S19-H동</t>
        </is>
      </c>
      <c r="D953" s="43" t="inlineStr">
        <is>
          <t>P0(후)</t>
        </is>
      </c>
      <c r="E953" s="43" t="inlineStr">
        <is>
          <t>동</t>
        </is>
      </c>
      <c r="F953" s="44" t="n"/>
      <c r="G953" s="29" t="n"/>
      <c r="H953" s="42" t="n"/>
      <c r="I953" s="40" t="n"/>
      <c r="J953" s="40" t="n"/>
      <c r="K953" s="40" t="n"/>
      <c r="L953" s="30">
        <f>IF(COUNT(I953:K953)=0,"",MEDIAN(I953:K953))</f>
        <v/>
      </c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28" t="n"/>
      <c r="Y953" s="28" t="n"/>
      <c r="Z953" s="28" t="n"/>
      <c r="AA953" s="31" t="n"/>
      <c r="AB953" s="31" t="n"/>
    </row>
    <row r="954">
      <c r="A954" s="43" t="inlineStr">
        <is>
          <t>S19</t>
        </is>
      </c>
      <c r="B954" s="43" t="inlineStr">
        <is>
          <t>오호 신규점</t>
        </is>
      </c>
      <c r="C954" s="43" t="inlineStr">
        <is>
          <t>S19-H서</t>
        </is>
      </c>
      <c r="D954" s="43" t="inlineStr">
        <is>
          <t>P0(전)</t>
        </is>
      </c>
      <c r="E954" s="43" t="inlineStr">
        <is>
          <t>서</t>
        </is>
      </c>
      <c r="F954" s="44" t="n"/>
      <c r="G954" s="29" t="n"/>
      <c r="H954" s="42" t="n"/>
      <c r="I954" s="40" t="n"/>
      <c r="J954" s="40" t="n"/>
      <c r="K954" s="40" t="n"/>
      <c r="L954" s="30">
        <f>IF(COUNT(I954:K954)=0,"",MEDIAN(I954:K954))</f>
        <v/>
      </c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28" t="n"/>
      <c r="Y954" s="28" t="n"/>
      <c r="Z954" s="28" t="n"/>
      <c r="AA954" s="31" t="n"/>
      <c r="AB954" s="31" t="n"/>
    </row>
    <row r="955">
      <c r="A955" s="25" t="inlineStr">
        <is>
          <t>S19</t>
        </is>
      </c>
      <c r="B955" s="25" t="inlineStr">
        <is>
          <t>오호 신규점</t>
        </is>
      </c>
      <c r="C955" s="25" t="inlineStr">
        <is>
          <t>S19-H서</t>
        </is>
      </c>
      <c r="D955" s="25" t="inlineStr">
        <is>
          <t>측정</t>
        </is>
      </c>
      <c r="E955" s="25" t="inlineStr">
        <is>
          <t>서</t>
        </is>
      </c>
      <c r="F955" s="30" t="n">
        <v>0.5</v>
      </c>
      <c r="G955" s="29" t="n"/>
      <c r="H955" s="42" t="n"/>
      <c r="I955" s="40" t="n"/>
      <c r="J955" s="40" t="n"/>
      <c r="K955" s="40" t="n"/>
      <c r="L955" s="30">
        <f>IF(COUNT(I955:K955)=0,"",MEDIAN(I955:K955))</f>
        <v/>
      </c>
      <c r="M955" s="25">
        <f>IF(COUNTIFS($C:$C,$C955,$D:$D,"P0(전)",$L:$L,"&gt;0")&lt;&gt;1,"P0(전) 유효 1개 아님",IF(COUNTIFS($C:$C,$C955,$D:$D,"P0(후)",$L:$L,"&gt;0")&lt;&gt;1,"P0(후) 유효 1개 아님",IF(NOT(AND(ISNUMBER(N955),ISNUMBER(P955),ISNUMBER(H955))),"시각 결측",IF(P955&lt;=N955,"P0 시각 역전",IF(OR(H955&lt;N955,H955&gt;P955),"측정시각 구간 밖","OK")))))</f>
        <v/>
      </c>
      <c r="N955" s="45">
        <f>IF(COUNTIFS($C:$C,$C955,$D:$D,"P0(전)",$L:$L,"&gt;0")&lt;&gt;1,"",SUMIFS($H:$H,$C:$C,$C955,$D:$D,"P0(전)"))</f>
        <v/>
      </c>
      <c r="O955" s="30">
        <f>IF(COUNTIFS($C:$C,$C955,$D:$D,"P0(전)",$L:$L,"&gt;0")&lt;&gt;1,"",SUMIFS($L:$L,$C:$C,$C955,$D:$D,"P0(전)"))</f>
        <v/>
      </c>
      <c r="P955" s="45">
        <f>IF(COUNTIFS($C:$C,$C955,$D:$D,"P0(후)",$L:$L,"&gt;0")&lt;&gt;1,"",SUMIFS($H:$H,$C:$C,$C955,$D:$D,"P0(후)"))</f>
        <v/>
      </c>
      <c r="Q955" s="30">
        <f>IF(COUNTIFS($C:$C,$C955,$D:$D,"P0(후)",$L:$L,"&gt;0")&lt;&gt;1,"",SUMIFS($L:$L,$C:$C,$C955,$D:$D,"P0(후)"))</f>
        <v/>
      </c>
      <c r="R955" s="30">
        <f>IF(M955&lt;&gt;"OK","",O955+(Q955-O955)*(H955-N955)/(P955-N955))</f>
        <v/>
      </c>
      <c r="S955" s="30">
        <f>IF(OR(M955&lt;&gt;"OK",NOT(ISNUMBER(L955))),"",L955-R955)</f>
        <v/>
      </c>
      <c r="T955" s="46">
        <f>IF(OR(NOT(ISNUMBER(S955)),IF(ISNUMBER(G955),G955,F955)=0),"",S955/IF(ISNUMBER(G955),G955,F955))</f>
        <v/>
      </c>
      <c r="U955" s="46">
        <f>IF(ISNUMBER(T955),ABS(T955),"")</f>
        <v/>
      </c>
      <c r="V955" s="46">
        <f>IF(OR($D954&lt;&gt;"측정",$C954&lt;&gt;$C955,NOT(ISNUMBER(L955)),NOT(ISNUMBER(L954)),(IF(ISNUMBER(G955),G955,F955)-IF(ISNUMBER(G954),G954,F954))=0),"",(L955-L954)/(IF(ISNUMBER(G955),G955,F955)-IF(ISNUMBER(G954),G954,F954)))</f>
        <v/>
      </c>
      <c r="W955" s="30">
        <f>IF(NOT(AND(ISNUMBER(N955),ISNUMBER(P955))),"",(P955-N955)*1440)</f>
        <v/>
      </c>
      <c r="X955" s="28" t="n"/>
      <c r="Y955" s="28" t="n"/>
      <c r="Z955" s="28" t="n"/>
      <c r="AA955" s="31" t="n"/>
      <c r="AB955" s="31" t="n"/>
    </row>
    <row r="956">
      <c r="A956" s="25" t="inlineStr">
        <is>
          <t>S19</t>
        </is>
      </c>
      <c r="B956" s="25" t="inlineStr">
        <is>
          <t>오호 신규점</t>
        </is>
      </c>
      <c r="C956" s="25" t="inlineStr">
        <is>
          <t>S19-H서</t>
        </is>
      </c>
      <c r="D956" s="25" t="inlineStr">
        <is>
          <t>측정</t>
        </is>
      </c>
      <c r="E956" s="25" t="inlineStr">
        <is>
          <t>서</t>
        </is>
      </c>
      <c r="F956" s="30" t="n">
        <v>1</v>
      </c>
      <c r="G956" s="29" t="n"/>
      <c r="H956" s="42" t="n"/>
      <c r="I956" s="40" t="n"/>
      <c r="J956" s="40" t="n"/>
      <c r="K956" s="40" t="n"/>
      <c r="L956" s="30">
        <f>IF(COUNT(I956:K956)=0,"",MEDIAN(I956:K956))</f>
        <v/>
      </c>
      <c r="M956" s="25">
        <f>IF(COUNTIFS($C:$C,$C956,$D:$D,"P0(전)",$L:$L,"&gt;0")&lt;&gt;1,"P0(전) 유효 1개 아님",IF(COUNTIFS($C:$C,$C956,$D:$D,"P0(후)",$L:$L,"&gt;0")&lt;&gt;1,"P0(후) 유효 1개 아님",IF(NOT(AND(ISNUMBER(N956),ISNUMBER(P956),ISNUMBER(H956))),"시각 결측",IF(P956&lt;=N956,"P0 시각 역전",IF(OR(H956&lt;N956,H956&gt;P956),"측정시각 구간 밖","OK")))))</f>
        <v/>
      </c>
      <c r="N956" s="45">
        <f>IF(COUNTIFS($C:$C,$C956,$D:$D,"P0(전)",$L:$L,"&gt;0")&lt;&gt;1,"",SUMIFS($H:$H,$C:$C,$C956,$D:$D,"P0(전)"))</f>
        <v/>
      </c>
      <c r="O956" s="30">
        <f>IF(COUNTIFS($C:$C,$C956,$D:$D,"P0(전)",$L:$L,"&gt;0")&lt;&gt;1,"",SUMIFS($L:$L,$C:$C,$C956,$D:$D,"P0(전)"))</f>
        <v/>
      </c>
      <c r="P956" s="45">
        <f>IF(COUNTIFS($C:$C,$C956,$D:$D,"P0(후)",$L:$L,"&gt;0")&lt;&gt;1,"",SUMIFS($H:$H,$C:$C,$C956,$D:$D,"P0(후)"))</f>
        <v/>
      </c>
      <c r="Q956" s="30">
        <f>IF(COUNTIFS($C:$C,$C956,$D:$D,"P0(후)",$L:$L,"&gt;0")&lt;&gt;1,"",SUMIFS($L:$L,$C:$C,$C956,$D:$D,"P0(후)"))</f>
        <v/>
      </c>
      <c r="R956" s="30">
        <f>IF(M956&lt;&gt;"OK","",O956+(Q956-O956)*(H956-N956)/(P956-N956))</f>
        <v/>
      </c>
      <c r="S956" s="30">
        <f>IF(OR(M956&lt;&gt;"OK",NOT(ISNUMBER(L956))),"",L956-R956)</f>
        <v/>
      </c>
      <c r="T956" s="46">
        <f>IF(OR(NOT(ISNUMBER(S956)),IF(ISNUMBER(G956),G956,F956)=0),"",S956/IF(ISNUMBER(G956),G956,F956))</f>
        <v/>
      </c>
      <c r="U956" s="46">
        <f>IF(ISNUMBER(T956),ABS(T956),"")</f>
        <v/>
      </c>
      <c r="V956" s="46">
        <f>IF(OR($D955&lt;&gt;"측정",$C955&lt;&gt;$C956,NOT(ISNUMBER(L956)),NOT(ISNUMBER(L955)),(IF(ISNUMBER(G956),G956,F956)-IF(ISNUMBER(G955),G955,F955))=0),"",(L956-L955)/(IF(ISNUMBER(G956),G956,F956)-IF(ISNUMBER(G955),G955,F955)))</f>
        <v/>
      </c>
      <c r="W956" s="30">
        <f>IF(NOT(AND(ISNUMBER(N956),ISNUMBER(P956))),"",(P956-N956)*1440)</f>
        <v/>
      </c>
      <c r="X956" s="28" t="n"/>
      <c r="Y956" s="28" t="n"/>
      <c r="Z956" s="28" t="n"/>
      <c r="AA956" s="31" t="n"/>
      <c r="AB956" s="31" t="n"/>
    </row>
    <row r="957">
      <c r="A957" s="25" t="inlineStr">
        <is>
          <t>S19</t>
        </is>
      </c>
      <c r="B957" s="25" t="inlineStr">
        <is>
          <t>오호 신규점</t>
        </is>
      </c>
      <c r="C957" s="25" t="inlineStr">
        <is>
          <t>S19-H서</t>
        </is>
      </c>
      <c r="D957" s="25" t="inlineStr">
        <is>
          <t>측정</t>
        </is>
      </c>
      <c r="E957" s="25" t="inlineStr">
        <is>
          <t>서</t>
        </is>
      </c>
      <c r="F957" s="30" t="n">
        <v>2</v>
      </c>
      <c r="G957" s="29" t="n"/>
      <c r="H957" s="42" t="n"/>
      <c r="I957" s="40" t="n"/>
      <c r="J957" s="40" t="n"/>
      <c r="K957" s="40" t="n"/>
      <c r="L957" s="30">
        <f>IF(COUNT(I957:K957)=0,"",MEDIAN(I957:K957))</f>
        <v/>
      </c>
      <c r="M957" s="25">
        <f>IF(COUNTIFS($C:$C,$C957,$D:$D,"P0(전)",$L:$L,"&gt;0")&lt;&gt;1,"P0(전) 유효 1개 아님",IF(COUNTIFS($C:$C,$C957,$D:$D,"P0(후)",$L:$L,"&gt;0")&lt;&gt;1,"P0(후) 유효 1개 아님",IF(NOT(AND(ISNUMBER(N957),ISNUMBER(P957),ISNUMBER(H957))),"시각 결측",IF(P957&lt;=N957,"P0 시각 역전",IF(OR(H957&lt;N957,H957&gt;P957),"측정시각 구간 밖","OK")))))</f>
        <v/>
      </c>
      <c r="N957" s="45">
        <f>IF(COUNTIFS($C:$C,$C957,$D:$D,"P0(전)",$L:$L,"&gt;0")&lt;&gt;1,"",SUMIFS($H:$H,$C:$C,$C957,$D:$D,"P0(전)"))</f>
        <v/>
      </c>
      <c r="O957" s="30">
        <f>IF(COUNTIFS($C:$C,$C957,$D:$D,"P0(전)",$L:$L,"&gt;0")&lt;&gt;1,"",SUMIFS($L:$L,$C:$C,$C957,$D:$D,"P0(전)"))</f>
        <v/>
      </c>
      <c r="P957" s="45">
        <f>IF(COUNTIFS($C:$C,$C957,$D:$D,"P0(후)",$L:$L,"&gt;0")&lt;&gt;1,"",SUMIFS($H:$H,$C:$C,$C957,$D:$D,"P0(후)"))</f>
        <v/>
      </c>
      <c r="Q957" s="30">
        <f>IF(COUNTIFS($C:$C,$C957,$D:$D,"P0(후)",$L:$L,"&gt;0")&lt;&gt;1,"",SUMIFS($L:$L,$C:$C,$C957,$D:$D,"P0(후)"))</f>
        <v/>
      </c>
      <c r="R957" s="30">
        <f>IF(M957&lt;&gt;"OK","",O957+(Q957-O957)*(H957-N957)/(P957-N957))</f>
        <v/>
      </c>
      <c r="S957" s="30">
        <f>IF(OR(M957&lt;&gt;"OK",NOT(ISNUMBER(L957))),"",L957-R957)</f>
        <v/>
      </c>
      <c r="T957" s="46">
        <f>IF(OR(NOT(ISNUMBER(S957)),IF(ISNUMBER(G957),G957,F957)=0),"",S957/IF(ISNUMBER(G957),G957,F957))</f>
        <v/>
      </c>
      <c r="U957" s="46">
        <f>IF(ISNUMBER(T957),ABS(T957),"")</f>
        <v/>
      </c>
      <c r="V957" s="46">
        <f>IF(OR($D956&lt;&gt;"측정",$C956&lt;&gt;$C957,NOT(ISNUMBER(L957)),NOT(ISNUMBER(L956)),(IF(ISNUMBER(G957),G957,F957)-IF(ISNUMBER(G956),G956,F956))=0),"",(L957-L956)/(IF(ISNUMBER(G957),G957,F957)-IF(ISNUMBER(G956),G956,F956)))</f>
        <v/>
      </c>
      <c r="W957" s="30">
        <f>IF(NOT(AND(ISNUMBER(N957),ISNUMBER(P957))),"",(P957-N957)*1440)</f>
        <v/>
      </c>
      <c r="X957" s="28" t="n"/>
      <c r="Y957" s="28" t="n"/>
      <c r="Z957" s="28" t="n"/>
      <c r="AA957" s="31" t="n"/>
      <c r="AB957" s="31" t="n"/>
    </row>
    <row r="958">
      <c r="A958" s="25" t="inlineStr">
        <is>
          <t>S19</t>
        </is>
      </c>
      <c r="B958" s="25" t="inlineStr">
        <is>
          <t>오호 신규점</t>
        </is>
      </c>
      <c r="C958" s="25" t="inlineStr">
        <is>
          <t>S19-H서</t>
        </is>
      </c>
      <c r="D958" s="25" t="inlineStr">
        <is>
          <t>측정</t>
        </is>
      </c>
      <c r="E958" s="25" t="inlineStr">
        <is>
          <t>서</t>
        </is>
      </c>
      <c r="F958" s="30" t="n">
        <v>3</v>
      </c>
      <c r="G958" s="29" t="n"/>
      <c r="H958" s="42" t="n"/>
      <c r="I958" s="40" t="n"/>
      <c r="J958" s="40" t="n"/>
      <c r="K958" s="40" t="n"/>
      <c r="L958" s="30">
        <f>IF(COUNT(I958:K958)=0,"",MEDIAN(I958:K958))</f>
        <v/>
      </c>
      <c r="M958" s="25">
        <f>IF(COUNTIFS($C:$C,$C958,$D:$D,"P0(전)",$L:$L,"&gt;0")&lt;&gt;1,"P0(전) 유효 1개 아님",IF(COUNTIFS($C:$C,$C958,$D:$D,"P0(후)",$L:$L,"&gt;0")&lt;&gt;1,"P0(후) 유효 1개 아님",IF(NOT(AND(ISNUMBER(N958),ISNUMBER(P958),ISNUMBER(H958))),"시각 결측",IF(P958&lt;=N958,"P0 시각 역전",IF(OR(H958&lt;N958,H958&gt;P958),"측정시각 구간 밖","OK")))))</f>
        <v/>
      </c>
      <c r="N958" s="45">
        <f>IF(COUNTIFS($C:$C,$C958,$D:$D,"P0(전)",$L:$L,"&gt;0")&lt;&gt;1,"",SUMIFS($H:$H,$C:$C,$C958,$D:$D,"P0(전)"))</f>
        <v/>
      </c>
      <c r="O958" s="30">
        <f>IF(COUNTIFS($C:$C,$C958,$D:$D,"P0(전)",$L:$L,"&gt;0")&lt;&gt;1,"",SUMIFS($L:$L,$C:$C,$C958,$D:$D,"P0(전)"))</f>
        <v/>
      </c>
      <c r="P958" s="45">
        <f>IF(COUNTIFS($C:$C,$C958,$D:$D,"P0(후)",$L:$L,"&gt;0")&lt;&gt;1,"",SUMIFS($H:$H,$C:$C,$C958,$D:$D,"P0(후)"))</f>
        <v/>
      </c>
      <c r="Q958" s="30">
        <f>IF(COUNTIFS($C:$C,$C958,$D:$D,"P0(후)",$L:$L,"&gt;0")&lt;&gt;1,"",SUMIFS($L:$L,$C:$C,$C958,$D:$D,"P0(후)"))</f>
        <v/>
      </c>
      <c r="R958" s="30">
        <f>IF(M958&lt;&gt;"OK","",O958+(Q958-O958)*(H958-N958)/(P958-N958))</f>
        <v/>
      </c>
      <c r="S958" s="30">
        <f>IF(OR(M958&lt;&gt;"OK",NOT(ISNUMBER(L958))),"",L958-R958)</f>
        <v/>
      </c>
      <c r="T958" s="46">
        <f>IF(OR(NOT(ISNUMBER(S958)),IF(ISNUMBER(G958),G958,F958)=0),"",S958/IF(ISNUMBER(G958),G958,F958))</f>
        <v/>
      </c>
      <c r="U958" s="46">
        <f>IF(ISNUMBER(T958),ABS(T958),"")</f>
        <v/>
      </c>
      <c r="V958" s="46">
        <f>IF(OR($D957&lt;&gt;"측정",$C957&lt;&gt;$C958,NOT(ISNUMBER(L958)),NOT(ISNUMBER(L957)),(IF(ISNUMBER(G958),G958,F958)-IF(ISNUMBER(G957),G957,F957))=0),"",(L958-L957)/(IF(ISNUMBER(G958),G958,F958)-IF(ISNUMBER(G957),G957,F957)))</f>
        <v/>
      </c>
      <c r="W958" s="30">
        <f>IF(NOT(AND(ISNUMBER(N958),ISNUMBER(P958))),"",(P958-N958)*1440)</f>
        <v/>
      </c>
      <c r="X958" s="28" t="n"/>
      <c r="Y958" s="28" t="n"/>
      <c r="Z958" s="28" t="n"/>
      <c r="AA958" s="31" t="n"/>
      <c r="AB958" s="31" t="n"/>
    </row>
    <row r="959">
      <c r="A959" s="25" t="inlineStr">
        <is>
          <t>S19</t>
        </is>
      </c>
      <c r="B959" s="25" t="inlineStr">
        <is>
          <t>오호 신규점</t>
        </is>
      </c>
      <c r="C959" s="25" t="inlineStr">
        <is>
          <t>S19-H서</t>
        </is>
      </c>
      <c r="D959" s="25" t="inlineStr">
        <is>
          <t>측정</t>
        </is>
      </c>
      <c r="E959" s="25" t="inlineStr">
        <is>
          <t>서</t>
        </is>
      </c>
      <c r="F959" s="30" t="n">
        <v>4</v>
      </c>
      <c r="G959" s="29" t="n"/>
      <c r="H959" s="42" t="n"/>
      <c r="I959" s="40" t="n"/>
      <c r="J959" s="40" t="n"/>
      <c r="K959" s="40" t="n"/>
      <c r="L959" s="30">
        <f>IF(COUNT(I959:K959)=0,"",MEDIAN(I959:K959))</f>
        <v/>
      </c>
      <c r="M959" s="25">
        <f>IF(COUNTIFS($C:$C,$C959,$D:$D,"P0(전)",$L:$L,"&gt;0")&lt;&gt;1,"P0(전) 유효 1개 아님",IF(COUNTIFS($C:$C,$C959,$D:$D,"P0(후)",$L:$L,"&gt;0")&lt;&gt;1,"P0(후) 유효 1개 아님",IF(NOT(AND(ISNUMBER(N959),ISNUMBER(P959),ISNUMBER(H959))),"시각 결측",IF(P959&lt;=N959,"P0 시각 역전",IF(OR(H959&lt;N959,H959&gt;P959),"측정시각 구간 밖","OK")))))</f>
        <v/>
      </c>
      <c r="N959" s="45">
        <f>IF(COUNTIFS($C:$C,$C959,$D:$D,"P0(전)",$L:$L,"&gt;0")&lt;&gt;1,"",SUMIFS($H:$H,$C:$C,$C959,$D:$D,"P0(전)"))</f>
        <v/>
      </c>
      <c r="O959" s="30">
        <f>IF(COUNTIFS($C:$C,$C959,$D:$D,"P0(전)",$L:$L,"&gt;0")&lt;&gt;1,"",SUMIFS($L:$L,$C:$C,$C959,$D:$D,"P0(전)"))</f>
        <v/>
      </c>
      <c r="P959" s="45">
        <f>IF(COUNTIFS($C:$C,$C959,$D:$D,"P0(후)",$L:$L,"&gt;0")&lt;&gt;1,"",SUMIFS($H:$H,$C:$C,$C959,$D:$D,"P0(후)"))</f>
        <v/>
      </c>
      <c r="Q959" s="30">
        <f>IF(COUNTIFS($C:$C,$C959,$D:$D,"P0(후)",$L:$L,"&gt;0")&lt;&gt;1,"",SUMIFS($L:$L,$C:$C,$C959,$D:$D,"P0(후)"))</f>
        <v/>
      </c>
      <c r="R959" s="30">
        <f>IF(M959&lt;&gt;"OK","",O959+(Q959-O959)*(H959-N959)/(P959-N959))</f>
        <v/>
      </c>
      <c r="S959" s="30">
        <f>IF(OR(M959&lt;&gt;"OK",NOT(ISNUMBER(L959))),"",L959-R959)</f>
        <v/>
      </c>
      <c r="T959" s="46">
        <f>IF(OR(NOT(ISNUMBER(S959)),IF(ISNUMBER(G959),G959,F959)=0),"",S959/IF(ISNUMBER(G959),G959,F959))</f>
        <v/>
      </c>
      <c r="U959" s="46">
        <f>IF(ISNUMBER(T959),ABS(T959),"")</f>
        <v/>
      </c>
      <c r="V959" s="46">
        <f>IF(OR($D958&lt;&gt;"측정",$C958&lt;&gt;$C959,NOT(ISNUMBER(L959)),NOT(ISNUMBER(L958)),(IF(ISNUMBER(G959),G959,F959)-IF(ISNUMBER(G958),G958,F958))=0),"",(L959-L958)/(IF(ISNUMBER(G959),G959,F959)-IF(ISNUMBER(G958),G958,F958)))</f>
        <v/>
      </c>
      <c r="W959" s="30">
        <f>IF(NOT(AND(ISNUMBER(N959),ISNUMBER(P959))),"",(P959-N959)*1440)</f>
        <v/>
      </c>
      <c r="X959" s="28" t="n"/>
      <c r="Y959" s="28" t="n"/>
      <c r="Z959" s="28" t="n"/>
      <c r="AA959" s="31" t="n"/>
      <c r="AB959" s="31" t="n"/>
    </row>
    <row r="960">
      <c r="A960" s="25" t="inlineStr">
        <is>
          <t>S19</t>
        </is>
      </c>
      <c r="B960" s="25" t="inlineStr">
        <is>
          <t>오호 신규점</t>
        </is>
      </c>
      <c r="C960" s="25" t="inlineStr">
        <is>
          <t>S19-H서</t>
        </is>
      </c>
      <c r="D960" s="25" t="inlineStr">
        <is>
          <t>측정</t>
        </is>
      </c>
      <c r="E960" s="25" t="inlineStr">
        <is>
          <t>서</t>
        </is>
      </c>
      <c r="F960" s="30" t="n">
        <v>5</v>
      </c>
      <c r="G960" s="29" t="n"/>
      <c r="H960" s="42" t="n"/>
      <c r="I960" s="40" t="n"/>
      <c r="J960" s="40" t="n"/>
      <c r="K960" s="40" t="n"/>
      <c r="L960" s="30">
        <f>IF(COUNT(I960:K960)=0,"",MEDIAN(I960:K960))</f>
        <v/>
      </c>
      <c r="M960" s="25">
        <f>IF(COUNTIFS($C:$C,$C960,$D:$D,"P0(전)",$L:$L,"&gt;0")&lt;&gt;1,"P0(전) 유효 1개 아님",IF(COUNTIFS($C:$C,$C960,$D:$D,"P0(후)",$L:$L,"&gt;0")&lt;&gt;1,"P0(후) 유효 1개 아님",IF(NOT(AND(ISNUMBER(N960),ISNUMBER(P960),ISNUMBER(H960))),"시각 결측",IF(P960&lt;=N960,"P0 시각 역전",IF(OR(H960&lt;N960,H960&gt;P960),"측정시각 구간 밖","OK")))))</f>
        <v/>
      </c>
      <c r="N960" s="45">
        <f>IF(COUNTIFS($C:$C,$C960,$D:$D,"P0(전)",$L:$L,"&gt;0")&lt;&gt;1,"",SUMIFS($H:$H,$C:$C,$C960,$D:$D,"P0(전)"))</f>
        <v/>
      </c>
      <c r="O960" s="30">
        <f>IF(COUNTIFS($C:$C,$C960,$D:$D,"P0(전)",$L:$L,"&gt;0")&lt;&gt;1,"",SUMIFS($L:$L,$C:$C,$C960,$D:$D,"P0(전)"))</f>
        <v/>
      </c>
      <c r="P960" s="45">
        <f>IF(COUNTIFS($C:$C,$C960,$D:$D,"P0(후)",$L:$L,"&gt;0")&lt;&gt;1,"",SUMIFS($H:$H,$C:$C,$C960,$D:$D,"P0(후)"))</f>
        <v/>
      </c>
      <c r="Q960" s="30">
        <f>IF(COUNTIFS($C:$C,$C960,$D:$D,"P0(후)",$L:$L,"&gt;0")&lt;&gt;1,"",SUMIFS($L:$L,$C:$C,$C960,$D:$D,"P0(후)"))</f>
        <v/>
      </c>
      <c r="R960" s="30">
        <f>IF(M960&lt;&gt;"OK","",O960+(Q960-O960)*(H960-N960)/(P960-N960))</f>
        <v/>
      </c>
      <c r="S960" s="30">
        <f>IF(OR(M960&lt;&gt;"OK",NOT(ISNUMBER(L960))),"",L960-R960)</f>
        <v/>
      </c>
      <c r="T960" s="46">
        <f>IF(OR(NOT(ISNUMBER(S960)),IF(ISNUMBER(G960),G960,F960)=0),"",S960/IF(ISNUMBER(G960),G960,F960))</f>
        <v/>
      </c>
      <c r="U960" s="46">
        <f>IF(ISNUMBER(T960),ABS(T960),"")</f>
        <v/>
      </c>
      <c r="V960" s="46">
        <f>IF(OR($D959&lt;&gt;"측정",$C959&lt;&gt;$C960,NOT(ISNUMBER(L960)),NOT(ISNUMBER(L959)),(IF(ISNUMBER(G960),G960,F960)-IF(ISNUMBER(G959),G959,F959))=0),"",(L960-L959)/(IF(ISNUMBER(G960),G960,F960)-IF(ISNUMBER(G959),G959,F959)))</f>
        <v/>
      </c>
      <c r="W960" s="30">
        <f>IF(NOT(AND(ISNUMBER(N960),ISNUMBER(P960))),"",(P960-N960)*1440)</f>
        <v/>
      </c>
      <c r="X960" s="28" t="n"/>
      <c r="Y960" s="28" t="n"/>
      <c r="Z960" s="28" t="n"/>
      <c r="AA960" s="31" t="n"/>
      <c r="AB960" s="31" t="n"/>
    </row>
    <row r="961">
      <c r="A961" s="25" t="inlineStr">
        <is>
          <t>S19</t>
        </is>
      </c>
      <c r="B961" s="25" t="inlineStr">
        <is>
          <t>오호 신규점</t>
        </is>
      </c>
      <c r="C961" s="25" t="inlineStr">
        <is>
          <t>S19-H서</t>
        </is>
      </c>
      <c r="D961" s="25" t="inlineStr">
        <is>
          <t>측정</t>
        </is>
      </c>
      <c r="E961" s="25" t="inlineStr">
        <is>
          <t>서</t>
        </is>
      </c>
      <c r="F961" s="30" t="n">
        <v>6</v>
      </c>
      <c r="G961" s="29" t="n"/>
      <c r="H961" s="42" t="n"/>
      <c r="I961" s="40" t="n"/>
      <c r="J961" s="40" t="n"/>
      <c r="K961" s="40" t="n"/>
      <c r="L961" s="30">
        <f>IF(COUNT(I961:K961)=0,"",MEDIAN(I961:K961))</f>
        <v/>
      </c>
      <c r="M961" s="25">
        <f>IF(COUNTIFS($C:$C,$C961,$D:$D,"P0(전)",$L:$L,"&gt;0")&lt;&gt;1,"P0(전) 유효 1개 아님",IF(COUNTIFS($C:$C,$C961,$D:$D,"P0(후)",$L:$L,"&gt;0")&lt;&gt;1,"P0(후) 유효 1개 아님",IF(NOT(AND(ISNUMBER(N961),ISNUMBER(P961),ISNUMBER(H961))),"시각 결측",IF(P961&lt;=N961,"P0 시각 역전",IF(OR(H961&lt;N961,H961&gt;P961),"측정시각 구간 밖","OK")))))</f>
        <v/>
      </c>
      <c r="N961" s="45">
        <f>IF(COUNTIFS($C:$C,$C961,$D:$D,"P0(전)",$L:$L,"&gt;0")&lt;&gt;1,"",SUMIFS($H:$H,$C:$C,$C961,$D:$D,"P0(전)"))</f>
        <v/>
      </c>
      <c r="O961" s="30">
        <f>IF(COUNTIFS($C:$C,$C961,$D:$D,"P0(전)",$L:$L,"&gt;0")&lt;&gt;1,"",SUMIFS($L:$L,$C:$C,$C961,$D:$D,"P0(전)"))</f>
        <v/>
      </c>
      <c r="P961" s="45">
        <f>IF(COUNTIFS($C:$C,$C961,$D:$D,"P0(후)",$L:$L,"&gt;0")&lt;&gt;1,"",SUMIFS($H:$H,$C:$C,$C961,$D:$D,"P0(후)"))</f>
        <v/>
      </c>
      <c r="Q961" s="30">
        <f>IF(COUNTIFS($C:$C,$C961,$D:$D,"P0(후)",$L:$L,"&gt;0")&lt;&gt;1,"",SUMIFS($L:$L,$C:$C,$C961,$D:$D,"P0(후)"))</f>
        <v/>
      </c>
      <c r="R961" s="30">
        <f>IF(M961&lt;&gt;"OK","",O961+(Q961-O961)*(H961-N961)/(P961-N961))</f>
        <v/>
      </c>
      <c r="S961" s="30">
        <f>IF(OR(M961&lt;&gt;"OK",NOT(ISNUMBER(L961))),"",L961-R961)</f>
        <v/>
      </c>
      <c r="T961" s="46">
        <f>IF(OR(NOT(ISNUMBER(S961)),IF(ISNUMBER(G961),G961,F961)=0),"",S961/IF(ISNUMBER(G961),G961,F961))</f>
        <v/>
      </c>
      <c r="U961" s="46">
        <f>IF(ISNUMBER(T961),ABS(T961),"")</f>
        <v/>
      </c>
      <c r="V961" s="46">
        <f>IF(OR($D960&lt;&gt;"측정",$C960&lt;&gt;$C961,NOT(ISNUMBER(L961)),NOT(ISNUMBER(L960)),(IF(ISNUMBER(G961),G961,F961)-IF(ISNUMBER(G960),G960,F960))=0),"",(L961-L960)/(IF(ISNUMBER(G961),G961,F961)-IF(ISNUMBER(G960),G960,F960)))</f>
        <v/>
      </c>
      <c r="W961" s="30">
        <f>IF(NOT(AND(ISNUMBER(N961),ISNUMBER(P961))),"",(P961-N961)*1440)</f>
        <v/>
      </c>
      <c r="X961" s="28" t="n"/>
      <c r="Y961" s="28" t="n"/>
      <c r="Z961" s="28" t="n"/>
      <c r="AA961" s="31" t="n"/>
      <c r="AB961" s="31" t="n"/>
    </row>
    <row r="962">
      <c r="A962" s="25" t="inlineStr">
        <is>
          <t>S19</t>
        </is>
      </c>
      <c r="B962" s="25" t="inlineStr">
        <is>
          <t>오호 신규점</t>
        </is>
      </c>
      <c r="C962" s="25" t="inlineStr">
        <is>
          <t>S19-H서</t>
        </is>
      </c>
      <c r="D962" s="25" t="inlineStr">
        <is>
          <t>측정</t>
        </is>
      </c>
      <c r="E962" s="25" t="inlineStr">
        <is>
          <t>서</t>
        </is>
      </c>
      <c r="F962" s="30" t="n">
        <v>7</v>
      </c>
      <c r="G962" s="29" t="n"/>
      <c r="H962" s="42" t="n"/>
      <c r="I962" s="40" t="n"/>
      <c r="J962" s="40" t="n"/>
      <c r="K962" s="40" t="n"/>
      <c r="L962" s="30">
        <f>IF(COUNT(I962:K962)=0,"",MEDIAN(I962:K962))</f>
        <v/>
      </c>
      <c r="M962" s="25">
        <f>IF(COUNTIFS($C:$C,$C962,$D:$D,"P0(전)",$L:$L,"&gt;0")&lt;&gt;1,"P0(전) 유효 1개 아님",IF(COUNTIFS($C:$C,$C962,$D:$D,"P0(후)",$L:$L,"&gt;0")&lt;&gt;1,"P0(후) 유효 1개 아님",IF(NOT(AND(ISNUMBER(N962),ISNUMBER(P962),ISNUMBER(H962))),"시각 결측",IF(P962&lt;=N962,"P0 시각 역전",IF(OR(H962&lt;N962,H962&gt;P962),"측정시각 구간 밖","OK")))))</f>
        <v/>
      </c>
      <c r="N962" s="45">
        <f>IF(COUNTIFS($C:$C,$C962,$D:$D,"P0(전)",$L:$L,"&gt;0")&lt;&gt;1,"",SUMIFS($H:$H,$C:$C,$C962,$D:$D,"P0(전)"))</f>
        <v/>
      </c>
      <c r="O962" s="30">
        <f>IF(COUNTIFS($C:$C,$C962,$D:$D,"P0(전)",$L:$L,"&gt;0")&lt;&gt;1,"",SUMIFS($L:$L,$C:$C,$C962,$D:$D,"P0(전)"))</f>
        <v/>
      </c>
      <c r="P962" s="45">
        <f>IF(COUNTIFS($C:$C,$C962,$D:$D,"P0(후)",$L:$L,"&gt;0")&lt;&gt;1,"",SUMIFS($H:$H,$C:$C,$C962,$D:$D,"P0(후)"))</f>
        <v/>
      </c>
      <c r="Q962" s="30">
        <f>IF(COUNTIFS($C:$C,$C962,$D:$D,"P0(후)",$L:$L,"&gt;0")&lt;&gt;1,"",SUMIFS($L:$L,$C:$C,$C962,$D:$D,"P0(후)"))</f>
        <v/>
      </c>
      <c r="R962" s="30">
        <f>IF(M962&lt;&gt;"OK","",O962+(Q962-O962)*(H962-N962)/(P962-N962))</f>
        <v/>
      </c>
      <c r="S962" s="30">
        <f>IF(OR(M962&lt;&gt;"OK",NOT(ISNUMBER(L962))),"",L962-R962)</f>
        <v/>
      </c>
      <c r="T962" s="46">
        <f>IF(OR(NOT(ISNUMBER(S962)),IF(ISNUMBER(G962),G962,F962)=0),"",S962/IF(ISNUMBER(G962),G962,F962))</f>
        <v/>
      </c>
      <c r="U962" s="46">
        <f>IF(ISNUMBER(T962),ABS(T962),"")</f>
        <v/>
      </c>
      <c r="V962" s="46">
        <f>IF(OR($D961&lt;&gt;"측정",$C961&lt;&gt;$C962,NOT(ISNUMBER(L962)),NOT(ISNUMBER(L961)),(IF(ISNUMBER(G962),G962,F962)-IF(ISNUMBER(G961),G961,F961))=0),"",(L962-L961)/(IF(ISNUMBER(G962),G962,F962)-IF(ISNUMBER(G961),G961,F961)))</f>
        <v/>
      </c>
      <c r="W962" s="30">
        <f>IF(NOT(AND(ISNUMBER(N962),ISNUMBER(P962))),"",(P962-N962)*1440)</f>
        <v/>
      </c>
      <c r="X962" s="28" t="n"/>
      <c r="Y962" s="28" t="n"/>
      <c r="Z962" s="28" t="n"/>
      <c r="AA962" s="31" t="n"/>
      <c r="AB962" s="31" t="n"/>
    </row>
    <row r="963">
      <c r="A963" s="25" t="inlineStr">
        <is>
          <t>S19</t>
        </is>
      </c>
      <c r="B963" s="25" t="inlineStr">
        <is>
          <t>오호 신규점</t>
        </is>
      </c>
      <c r="C963" s="25" t="inlineStr">
        <is>
          <t>S19-H서</t>
        </is>
      </c>
      <c r="D963" s="25" t="inlineStr">
        <is>
          <t>측정</t>
        </is>
      </c>
      <c r="E963" s="25" t="inlineStr">
        <is>
          <t>서</t>
        </is>
      </c>
      <c r="F963" s="30" t="n">
        <v>8</v>
      </c>
      <c r="G963" s="29" t="n"/>
      <c r="H963" s="42" t="n"/>
      <c r="I963" s="40" t="n"/>
      <c r="J963" s="40" t="n"/>
      <c r="K963" s="40" t="n"/>
      <c r="L963" s="30">
        <f>IF(COUNT(I963:K963)=0,"",MEDIAN(I963:K963))</f>
        <v/>
      </c>
      <c r="M963" s="25">
        <f>IF(COUNTIFS($C:$C,$C963,$D:$D,"P0(전)",$L:$L,"&gt;0")&lt;&gt;1,"P0(전) 유효 1개 아님",IF(COUNTIFS($C:$C,$C963,$D:$D,"P0(후)",$L:$L,"&gt;0")&lt;&gt;1,"P0(후) 유효 1개 아님",IF(NOT(AND(ISNUMBER(N963),ISNUMBER(P963),ISNUMBER(H963))),"시각 결측",IF(P963&lt;=N963,"P0 시각 역전",IF(OR(H963&lt;N963,H963&gt;P963),"측정시각 구간 밖","OK")))))</f>
        <v/>
      </c>
      <c r="N963" s="45">
        <f>IF(COUNTIFS($C:$C,$C963,$D:$D,"P0(전)",$L:$L,"&gt;0")&lt;&gt;1,"",SUMIFS($H:$H,$C:$C,$C963,$D:$D,"P0(전)"))</f>
        <v/>
      </c>
      <c r="O963" s="30">
        <f>IF(COUNTIFS($C:$C,$C963,$D:$D,"P0(전)",$L:$L,"&gt;0")&lt;&gt;1,"",SUMIFS($L:$L,$C:$C,$C963,$D:$D,"P0(전)"))</f>
        <v/>
      </c>
      <c r="P963" s="45">
        <f>IF(COUNTIFS($C:$C,$C963,$D:$D,"P0(후)",$L:$L,"&gt;0")&lt;&gt;1,"",SUMIFS($H:$H,$C:$C,$C963,$D:$D,"P0(후)"))</f>
        <v/>
      </c>
      <c r="Q963" s="30">
        <f>IF(COUNTIFS($C:$C,$C963,$D:$D,"P0(후)",$L:$L,"&gt;0")&lt;&gt;1,"",SUMIFS($L:$L,$C:$C,$C963,$D:$D,"P0(후)"))</f>
        <v/>
      </c>
      <c r="R963" s="30">
        <f>IF(M963&lt;&gt;"OK","",O963+(Q963-O963)*(H963-N963)/(P963-N963))</f>
        <v/>
      </c>
      <c r="S963" s="30">
        <f>IF(OR(M963&lt;&gt;"OK",NOT(ISNUMBER(L963))),"",L963-R963)</f>
        <v/>
      </c>
      <c r="T963" s="46">
        <f>IF(OR(NOT(ISNUMBER(S963)),IF(ISNUMBER(G963),G963,F963)=0),"",S963/IF(ISNUMBER(G963),G963,F963))</f>
        <v/>
      </c>
      <c r="U963" s="46">
        <f>IF(ISNUMBER(T963),ABS(T963),"")</f>
        <v/>
      </c>
      <c r="V963" s="46">
        <f>IF(OR($D962&lt;&gt;"측정",$C962&lt;&gt;$C963,NOT(ISNUMBER(L963)),NOT(ISNUMBER(L962)),(IF(ISNUMBER(G963),G963,F963)-IF(ISNUMBER(G962),G962,F962))=0),"",(L963-L962)/(IF(ISNUMBER(G963),G963,F963)-IF(ISNUMBER(G962),G962,F962)))</f>
        <v/>
      </c>
      <c r="W963" s="30">
        <f>IF(NOT(AND(ISNUMBER(N963),ISNUMBER(P963))),"",(P963-N963)*1440)</f>
        <v/>
      </c>
      <c r="X963" s="28" t="n"/>
      <c r="Y963" s="28" t="n"/>
      <c r="Z963" s="28" t="n"/>
      <c r="AA963" s="31" t="n"/>
      <c r="AB963" s="31" t="n"/>
    </row>
    <row r="964">
      <c r="A964" s="25" t="inlineStr">
        <is>
          <t>S19</t>
        </is>
      </c>
      <c r="B964" s="25" t="inlineStr">
        <is>
          <t>오호 신규점</t>
        </is>
      </c>
      <c r="C964" s="25" t="inlineStr">
        <is>
          <t>S19-H서</t>
        </is>
      </c>
      <c r="D964" s="25" t="inlineStr">
        <is>
          <t>측정</t>
        </is>
      </c>
      <c r="E964" s="25" t="inlineStr">
        <is>
          <t>서</t>
        </is>
      </c>
      <c r="F964" s="30" t="n">
        <v>9</v>
      </c>
      <c r="G964" s="29" t="n"/>
      <c r="H964" s="42" t="n"/>
      <c r="I964" s="40" t="n"/>
      <c r="J964" s="40" t="n"/>
      <c r="K964" s="40" t="n"/>
      <c r="L964" s="30">
        <f>IF(COUNT(I964:K964)=0,"",MEDIAN(I964:K964))</f>
        <v/>
      </c>
      <c r="M964" s="25">
        <f>IF(COUNTIFS($C:$C,$C964,$D:$D,"P0(전)",$L:$L,"&gt;0")&lt;&gt;1,"P0(전) 유효 1개 아님",IF(COUNTIFS($C:$C,$C964,$D:$D,"P0(후)",$L:$L,"&gt;0")&lt;&gt;1,"P0(후) 유효 1개 아님",IF(NOT(AND(ISNUMBER(N964),ISNUMBER(P964),ISNUMBER(H964))),"시각 결측",IF(P964&lt;=N964,"P0 시각 역전",IF(OR(H964&lt;N964,H964&gt;P964),"측정시각 구간 밖","OK")))))</f>
        <v/>
      </c>
      <c r="N964" s="45">
        <f>IF(COUNTIFS($C:$C,$C964,$D:$D,"P0(전)",$L:$L,"&gt;0")&lt;&gt;1,"",SUMIFS($H:$H,$C:$C,$C964,$D:$D,"P0(전)"))</f>
        <v/>
      </c>
      <c r="O964" s="30">
        <f>IF(COUNTIFS($C:$C,$C964,$D:$D,"P0(전)",$L:$L,"&gt;0")&lt;&gt;1,"",SUMIFS($L:$L,$C:$C,$C964,$D:$D,"P0(전)"))</f>
        <v/>
      </c>
      <c r="P964" s="45">
        <f>IF(COUNTIFS($C:$C,$C964,$D:$D,"P0(후)",$L:$L,"&gt;0")&lt;&gt;1,"",SUMIFS($H:$H,$C:$C,$C964,$D:$D,"P0(후)"))</f>
        <v/>
      </c>
      <c r="Q964" s="30">
        <f>IF(COUNTIFS($C:$C,$C964,$D:$D,"P0(후)",$L:$L,"&gt;0")&lt;&gt;1,"",SUMIFS($L:$L,$C:$C,$C964,$D:$D,"P0(후)"))</f>
        <v/>
      </c>
      <c r="R964" s="30">
        <f>IF(M964&lt;&gt;"OK","",O964+(Q964-O964)*(H964-N964)/(P964-N964))</f>
        <v/>
      </c>
      <c r="S964" s="30">
        <f>IF(OR(M964&lt;&gt;"OK",NOT(ISNUMBER(L964))),"",L964-R964)</f>
        <v/>
      </c>
      <c r="T964" s="46">
        <f>IF(OR(NOT(ISNUMBER(S964)),IF(ISNUMBER(G964),G964,F964)=0),"",S964/IF(ISNUMBER(G964),G964,F964))</f>
        <v/>
      </c>
      <c r="U964" s="46">
        <f>IF(ISNUMBER(T964),ABS(T964),"")</f>
        <v/>
      </c>
      <c r="V964" s="46">
        <f>IF(OR($D963&lt;&gt;"측정",$C963&lt;&gt;$C964,NOT(ISNUMBER(L964)),NOT(ISNUMBER(L963)),(IF(ISNUMBER(G964),G964,F964)-IF(ISNUMBER(G963),G963,F963))=0),"",(L964-L963)/(IF(ISNUMBER(G964),G964,F964)-IF(ISNUMBER(G963),G963,F963)))</f>
        <v/>
      </c>
      <c r="W964" s="30">
        <f>IF(NOT(AND(ISNUMBER(N964),ISNUMBER(P964))),"",(P964-N964)*1440)</f>
        <v/>
      </c>
      <c r="X964" s="28" t="n"/>
      <c r="Y964" s="28" t="n"/>
      <c r="Z964" s="28" t="n"/>
      <c r="AA964" s="31" t="n"/>
      <c r="AB964" s="31" t="n"/>
    </row>
    <row r="965">
      <c r="A965" s="25" t="inlineStr">
        <is>
          <t>S19</t>
        </is>
      </c>
      <c r="B965" s="25" t="inlineStr">
        <is>
          <t>오호 신규점</t>
        </is>
      </c>
      <c r="C965" s="25" t="inlineStr">
        <is>
          <t>S19-H서</t>
        </is>
      </c>
      <c r="D965" s="25" t="inlineStr">
        <is>
          <t>측정</t>
        </is>
      </c>
      <c r="E965" s="25" t="inlineStr">
        <is>
          <t>서</t>
        </is>
      </c>
      <c r="F965" s="30" t="n">
        <v>10</v>
      </c>
      <c r="G965" s="29" t="n"/>
      <c r="H965" s="42" t="n"/>
      <c r="I965" s="40" t="n"/>
      <c r="J965" s="40" t="n"/>
      <c r="K965" s="40" t="n"/>
      <c r="L965" s="30">
        <f>IF(COUNT(I965:K965)=0,"",MEDIAN(I965:K965))</f>
        <v/>
      </c>
      <c r="M965" s="25">
        <f>IF(COUNTIFS($C:$C,$C965,$D:$D,"P0(전)",$L:$L,"&gt;0")&lt;&gt;1,"P0(전) 유효 1개 아님",IF(COUNTIFS($C:$C,$C965,$D:$D,"P0(후)",$L:$L,"&gt;0")&lt;&gt;1,"P0(후) 유효 1개 아님",IF(NOT(AND(ISNUMBER(N965),ISNUMBER(P965),ISNUMBER(H965))),"시각 결측",IF(P965&lt;=N965,"P0 시각 역전",IF(OR(H965&lt;N965,H965&gt;P965),"측정시각 구간 밖","OK")))))</f>
        <v/>
      </c>
      <c r="N965" s="45">
        <f>IF(COUNTIFS($C:$C,$C965,$D:$D,"P0(전)",$L:$L,"&gt;0")&lt;&gt;1,"",SUMIFS($H:$H,$C:$C,$C965,$D:$D,"P0(전)"))</f>
        <v/>
      </c>
      <c r="O965" s="30">
        <f>IF(COUNTIFS($C:$C,$C965,$D:$D,"P0(전)",$L:$L,"&gt;0")&lt;&gt;1,"",SUMIFS($L:$L,$C:$C,$C965,$D:$D,"P0(전)"))</f>
        <v/>
      </c>
      <c r="P965" s="45">
        <f>IF(COUNTIFS($C:$C,$C965,$D:$D,"P0(후)",$L:$L,"&gt;0")&lt;&gt;1,"",SUMIFS($H:$H,$C:$C,$C965,$D:$D,"P0(후)"))</f>
        <v/>
      </c>
      <c r="Q965" s="30">
        <f>IF(COUNTIFS($C:$C,$C965,$D:$D,"P0(후)",$L:$L,"&gt;0")&lt;&gt;1,"",SUMIFS($L:$L,$C:$C,$C965,$D:$D,"P0(후)"))</f>
        <v/>
      </c>
      <c r="R965" s="30">
        <f>IF(M965&lt;&gt;"OK","",O965+(Q965-O965)*(H965-N965)/(P965-N965))</f>
        <v/>
      </c>
      <c r="S965" s="30">
        <f>IF(OR(M965&lt;&gt;"OK",NOT(ISNUMBER(L965))),"",L965-R965)</f>
        <v/>
      </c>
      <c r="T965" s="46">
        <f>IF(OR(NOT(ISNUMBER(S965)),IF(ISNUMBER(G965),G965,F965)=0),"",S965/IF(ISNUMBER(G965),G965,F965))</f>
        <v/>
      </c>
      <c r="U965" s="46">
        <f>IF(ISNUMBER(T965),ABS(T965),"")</f>
        <v/>
      </c>
      <c r="V965" s="46">
        <f>IF(OR($D964&lt;&gt;"측정",$C964&lt;&gt;$C965,NOT(ISNUMBER(L965)),NOT(ISNUMBER(L964)),(IF(ISNUMBER(G965),G965,F965)-IF(ISNUMBER(G964),G964,F964))=0),"",(L965-L964)/(IF(ISNUMBER(G965),G965,F965)-IF(ISNUMBER(G964),G964,F964)))</f>
        <v/>
      </c>
      <c r="W965" s="30">
        <f>IF(NOT(AND(ISNUMBER(N965),ISNUMBER(P965))),"",(P965-N965)*1440)</f>
        <v/>
      </c>
      <c r="X965" s="28" t="n"/>
      <c r="Y965" s="28" t="n"/>
      <c r="Z965" s="28" t="n"/>
      <c r="AA965" s="31" t="n"/>
      <c r="AB965" s="31" t="n"/>
    </row>
    <row r="966">
      <c r="A966" s="43" t="inlineStr">
        <is>
          <t>S19</t>
        </is>
      </c>
      <c r="B966" s="43" t="inlineStr">
        <is>
          <t>오호 신규점</t>
        </is>
      </c>
      <c r="C966" s="43" t="inlineStr">
        <is>
          <t>S19-H서</t>
        </is>
      </c>
      <c r="D966" s="43" t="inlineStr">
        <is>
          <t>P0(후)</t>
        </is>
      </c>
      <c r="E966" s="43" t="inlineStr">
        <is>
          <t>서</t>
        </is>
      </c>
      <c r="F966" s="44" t="n"/>
      <c r="G966" s="29" t="n"/>
      <c r="H966" s="42" t="n"/>
      <c r="I966" s="40" t="n"/>
      <c r="J966" s="40" t="n"/>
      <c r="K966" s="40" t="n"/>
      <c r="L966" s="30">
        <f>IF(COUNT(I966:K966)=0,"",MEDIAN(I966:K966))</f>
        <v/>
      </c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28" t="n"/>
      <c r="Y966" s="28" t="n"/>
      <c r="Z966" s="28" t="n"/>
      <c r="AA966" s="31" t="n"/>
      <c r="AB966" s="31" t="n"/>
    </row>
    <row r="967">
      <c r="A967" s="43" t="inlineStr">
        <is>
          <t>S19</t>
        </is>
      </c>
      <c r="B967" s="43" t="inlineStr">
        <is>
          <t>오호 신규점</t>
        </is>
      </c>
      <c r="C967" s="43" t="inlineStr">
        <is>
          <t>S19-H남</t>
        </is>
      </c>
      <c r="D967" s="43" t="inlineStr">
        <is>
          <t>P0(전)</t>
        </is>
      </c>
      <c r="E967" s="43" t="inlineStr">
        <is>
          <t>남</t>
        </is>
      </c>
      <c r="F967" s="44" t="n"/>
      <c r="G967" s="29" t="n"/>
      <c r="H967" s="42" t="n"/>
      <c r="I967" s="40" t="n"/>
      <c r="J967" s="40" t="n"/>
      <c r="K967" s="40" t="n"/>
      <c r="L967" s="30">
        <f>IF(COUNT(I967:K967)=0,"",MEDIAN(I967:K967))</f>
        <v/>
      </c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28" t="n"/>
      <c r="Y967" s="28" t="n"/>
      <c r="Z967" s="28" t="n"/>
      <c r="AA967" s="31" t="n"/>
      <c r="AB967" s="31" t="n"/>
    </row>
    <row r="968">
      <c r="A968" s="25" t="inlineStr">
        <is>
          <t>S19</t>
        </is>
      </c>
      <c r="B968" s="25" t="inlineStr">
        <is>
          <t>오호 신규점</t>
        </is>
      </c>
      <c r="C968" s="25" t="inlineStr">
        <is>
          <t>S19-H남</t>
        </is>
      </c>
      <c r="D968" s="25" t="inlineStr">
        <is>
          <t>측정</t>
        </is>
      </c>
      <c r="E968" s="25" t="inlineStr">
        <is>
          <t>남</t>
        </is>
      </c>
      <c r="F968" s="30" t="n">
        <v>0.5</v>
      </c>
      <c r="G968" s="29" t="n"/>
      <c r="H968" s="42" t="n"/>
      <c r="I968" s="40" t="n"/>
      <c r="J968" s="40" t="n"/>
      <c r="K968" s="40" t="n"/>
      <c r="L968" s="30">
        <f>IF(COUNT(I968:K968)=0,"",MEDIAN(I968:K968))</f>
        <v/>
      </c>
      <c r="M968" s="25">
        <f>IF(COUNTIFS($C:$C,$C968,$D:$D,"P0(전)",$L:$L,"&gt;0")&lt;&gt;1,"P0(전) 유효 1개 아님",IF(COUNTIFS($C:$C,$C968,$D:$D,"P0(후)",$L:$L,"&gt;0")&lt;&gt;1,"P0(후) 유효 1개 아님",IF(NOT(AND(ISNUMBER(N968),ISNUMBER(P968),ISNUMBER(H968))),"시각 결측",IF(P968&lt;=N968,"P0 시각 역전",IF(OR(H968&lt;N968,H968&gt;P968),"측정시각 구간 밖","OK")))))</f>
        <v/>
      </c>
      <c r="N968" s="45">
        <f>IF(COUNTIFS($C:$C,$C968,$D:$D,"P0(전)",$L:$L,"&gt;0")&lt;&gt;1,"",SUMIFS($H:$H,$C:$C,$C968,$D:$D,"P0(전)"))</f>
        <v/>
      </c>
      <c r="O968" s="30">
        <f>IF(COUNTIFS($C:$C,$C968,$D:$D,"P0(전)",$L:$L,"&gt;0")&lt;&gt;1,"",SUMIFS($L:$L,$C:$C,$C968,$D:$D,"P0(전)"))</f>
        <v/>
      </c>
      <c r="P968" s="45">
        <f>IF(COUNTIFS($C:$C,$C968,$D:$D,"P0(후)",$L:$L,"&gt;0")&lt;&gt;1,"",SUMIFS($H:$H,$C:$C,$C968,$D:$D,"P0(후)"))</f>
        <v/>
      </c>
      <c r="Q968" s="30">
        <f>IF(COUNTIFS($C:$C,$C968,$D:$D,"P0(후)",$L:$L,"&gt;0")&lt;&gt;1,"",SUMIFS($L:$L,$C:$C,$C968,$D:$D,"P0(후)"))</f>
        <v/>
      </c>
      <c r="R968" s="30">
        <f>IF(M968&lt;&gt;"OK","",O968+(Q968-O968)*(H968-N968)/(P968-N968))</f>
        <v/>
      </c>
      <c r="S968" s="30">
        <f>IF(OR(M968&lt;&gt;"OK",NOT(ISNUMBER(L968))),"",L968-R968)</f>
        <v/>
      </c>
      <c r="T968" s="46">
        <f>IF(OR(NOT(ISNUMBER(S968)),IF(ISNUMBER(G968),G968,F968)=0),"",S968/IF(ISNUMBER(G968),G968,F968))</f>
        <v/>
      </c>
      <c r="U968" s="46">
        <f>IF(ISNUMBER(T968),ABS(T968),"")</f>
        <v/>
      </c>
      <c r="V968" s="46">
        <f>IF(OR($D967&lt;&gt;"측정",$C967&lt;&gt;$C968,NOT(ISNUMBER(L968)),NOT(ISNUMBER(L967)),(IF(ISNUMBER(G968),G968,F968)-IF(ISNUMBER(G967),G967,F967))=0),"",(L968-L967)/(IF(ISNUMBER(G968),G968,F968)-IF(ISNUMBER(G967),G967,F967)))</f>
        <v/>
      </c>
      <c r="W968" s="30">
        <f>IF(NOT(AND(ISNUMBER(N968),ISNUMBER(P968))),"",(P968-N968)*1440)</f>
        <v/>
      </c>
      <c r="X968" s="28" t="n"/>
      <c r="Y968" s="28" t="n"/>
      <c r="Z968" s="28" t="n"/>
      <c r="AA968" s="31" t="n"/>
      <c r="AB968" s="31" t="n"/>
    </row>
    <row r="969">
      <c r="A969" s="25" t="inlineStr">
        <is>
          <t>S19</t>
        </is>
      </c>
      <c r="B969" s="25" t="inlineStr">
        <is>
          <t>오호 신규점</t>
        </is>
      </c>
      <c r="C969" s="25" t="inlineStr">
        <is>
          <t>S19-H남</t>
        </is>
      </c>
      <c r="D969" s="25" t="inlineStr">
        <is>
          <t>측정</t>
        </is>
      </c>
      <c r="E969" s="25" t="inlineStr">
        <is>
          <t>남</t>
        </is>
      </c>
      <c r="F969" s="30" t="n">
        <v>1</v>
      </c>
      <c r="G969" s="29" t="n"/>
      <c r="H969" s="42" t="n"/>
      <c r="I969" s="40" t="n"/>
      <c r="J969" s="40" t="n"/>
      <c r="K969" s="40" t="n"/>
      <c r="L969" s="30">
        <f>IF(COUNT(I969:K969)=0,"",MEDIAN(I969:K969))</f>
        <v/>
      </c>
      <c r="M969" s="25">
        <f>IF(COUNTIFS($C:$C,$C969,$D:$D,"P0(전)",$L:$L,"&gt;0")&lt;&gt;1,"P0(전) 유효 1개 아님",IF(COUNTIFS($C:$C,$C969,$D:$D,"P0(후)",$L:$L,"&gt;0")&lt;&gt;1,"P0(후) 유효 1개 아님",IF(NOT(AND(ISNUMBER(N969),ISNUMBER(P969),ISNUMBER(H969))),"시각 결측",IF(P969&lt;=N969,"P0 시각 역전",IF(OR(H969&lt;N969,H969&gt;P969),"측정시각 구간 밖","OK")))))</f>
        <v/>
      </c>
      <c r="N969" s="45">
        <f>IF(COUNTIFS($C:$C,$C969,$D:$D,"P0(전)",$L:$L,"&gt;0")&lt;&gt;1,"",SUMIFS($H:$H,$C:$C,$C969,$D:$D,"P0(전)"))</f>
        <v/>
      </c>
      <c r="O969" s="30">
        <f>IF(COUNTIFS($C:$C,$C969,$D:$D,"P0(전)",$L:$L,"&gt;0")&lt;&gt;1,"",SUMIFS($L:$L,$C:$C,$C969,$D:$D,"P0(전)"))</f>
        <v/>
      </c>
      <c r="P969" s="45">
        <f>IF(COUNTIFS($C:$C,$C969,$D:$D,"P0(후)",$L:$L,"&gt;0")&lt;&gt;1,"",SUMIFS($H:$H,$C:$C,$C969,$D:$D,"P0(후)"))</f>
        <v/>
      </c>
      <c r="Q969" s="30">
        <f>IF(COUNTIFS($C:$C,$C969,$D:$D,"P0(후)",$L:$L,"&gt;0")&lt;&gt;1,"",SUMIFS($L:$L,$C:$C,$C969,$D:$D,"P0(후)"))</f>
        <v/>
      </c>
      <c r="R969" s="30">
        <f>IF(M969&lt;&gt;"OK","",O969+(Q969-O969)*(H969-N969)/(P969-N969))</f>
        <v/>
      </c>
      <c r="S969" s="30">
        <f>IF(OR(M969&lt;&gt;"OK",NOT(ISNUMBER(L969))),"",L969-R969)</f>
        <v/>
      </c>
      <c r="T969" s="46">
        <f>IF(OR(NOT(ISNUMBER(S969)),IF(ISNUMBER(G969),G969,F969)=0),"",S969/IF(ISNUMBER(G969),G969,F969))</f>
        <v/>
      </c>
      <c r="U969" s="46">
        <f>IF(ISNUMBER(T969),ABS(T969),"")</f>
        <v/>
      </c>
      <c r="V969" s="46">
        <f>IF(OR($D968&lt;&gt;"측정",$C968&lt;&gt;$C969,NOT(ISNUMBER(L969)),NOT(ISNUMBER(L968)),(IF(ISNUMBER(G969),G969,F969)-IF(ISNUMBER(G968),G968,F968))=0),"",(L969-L968)/(IF(ISNUMBER(G969),G969,F969)-IF(ISNUMBER(G968),G968,F968)))</f>
        <v/>
      </c>
      <c r="W969" s="30">
        <f>IF(NOT(AND(ISNUMBER(N969),ISNUMBER(P969))),"",(P969-N969)*1440)</f>
        <v/>
      </c>
      <c r="X969" s="28" t="n"/>
      <c r="Y969" s="28" t="n"/>
      <c r="Z969" s="28" t="n"/>
      <c r="AA969" s="31" t="n"/>
      <c r="AB969" s="31" t="n"/>
    </row>
    <row r="970">
      <c r="A970" s="25" t="inlineStr">
        <is>
          <t>S19</t>
        </is>
      </c>
      <c r="B970" s="25" t="inlineStr">
        <is>
          <t>오호 신규점</t>
        </is>
      </c>
      <c r="C970" s="25" t="inlineStr">
        <is>
          <t>S19-H남</t>
        </is>
      </c>
      <c r="D970" s="25" t="inlineStr">
        <is>
          <t>측정</t>
        </is>
      </c>
      <c r="E970" s="25" t="inlineStr">
        <is>
          <t>남</t>
        </is>
      </c>
      <c r="F970" s="30" t="n">
        <v>2</v>
      </c>
      <c r="G970" s="29" t="n"/>
      <c r="H970" s="42" t="n"/>
      <c r="I970" s="40" t="n"/>
      <c r="J970" s="40" t="n"/>
      <c r="K970" s="40" t="n"/>
      <c r="L970" s="30">
        <f>IF(COUNT(I970:K970)=0,"",MEDIAN(I970:K970))</f>
        <v/>
      </c>
      <c r="M970" s="25">
        <f>IF(COUNTIFS($C:$C,$C970,$D:$D,"P0(전)",$L:$L,"&gt;0")&lt;&gt;1,"P0(전) 유효 1개 아님",IF(COUNTIFS($C:$C,$C970,$D:$D,"P0(후)",$L:$L,"&gt;0")&lt;&gt;1,"P0(후) 유효 1개 아님",IF(NOT(AND(ISNUMBER(N970),ISNUMBER(P970),ISNUMBER(H970))),"시각 결측",IF(P970&lt;=N970,"P0 시각 역전",IF(OR(H970&lt;N970,H970&gt;P970),"측정시각 구간 밖","OK")))))</f>
        <v/>
      </c>
      <c r="N970" s="45">
        <f>IF(COUNTIFS($C:$C,$C970,$D:$D,"P0(전)",$L:$L,"&gt;0")&lt;&gt;1,"",SUMIFS($H:$H,$C:$C,$C970,$D:$D,"P0(전)"))</f>
        <v/>
      </c>
      <c r="O970" s="30">
        <f>IF(COUNTIFS($C:$C,$C970,$D:$D,"P0(전)",$L:$L,"&gt;0")&lt;&gt;1,"",SUMIFS($L:$L,$C:$C,$C970,$D:$D,"P0(전)"))</f>
        <v/>
      </c>
      <c r="P970" s="45">
        <f>IF(COUNTIFS($C:$C,$C970,$D:$D,"P0(후)",$L:$L,"&gt;0")&lt;&gt;1,"",SUMIFS($H:$H,$C:$C,$C970,$D:$D,"P0(후)"))</f>
        <v/>
      </c>
      <c r="Q970" s="30">
        <f>IF(COUNTIFS($C:$C,$C970,$D:$D,"P0(후)",$L:$L,"&gt;0")&lt;&gt;1,"",SUMIFS($L:$L,$C:$C,$C970,$D:$D,"P0(후)"))</f>
        <v/>
      </c>
      <c r="R970" s="30">
        <f>IF(M970&lt;&gt;"OK","",O970+(Q970-O970)*(H970-N970)/(P970-N970))</f>
        <v/>
      </c>
      <c r="S970" s="30">
        <f>IF(OR(M970&lt;&gt;"OK",NOT(ISNUMBER(L970))),"",L970-R970)</f>
        <v/>
      </c>
      <c r="T970" s="46">
        <f>IF(OR(NOT(ISNUMBER(S970)),IF(ISNUMBER(G970),G970,F970)=0),"",S970/IF(ISNUMBER(G970),G970,F970))</f>
        <v/>
      </c>
      <c r="U970" s="46">
        <f>IF(ISNUMBER(T970),ABS(T970),"")</f>
        <v/>
      </c>
      <c r="V970" s="46">
        <f>IF(OR($D969&lt;&gt;"측정",$C969&lt;&gt;$C970,NOT(ISNUMBER(L970)),NOT(ISNUMBER(L969)),(IF(ISNUMBER(G970),G970,F970)-IF(ISNUMBER(G969),G969,F969))=0),"",(L970-L969)/(IF(ISNUMBER(G970),G970,F970)-IF(ISNUMBER(G969),G969,F969)))</f>
        <v/>
      </c>
      <c r="W970" s="30">
        <f>IF(NOT(AND(ISNUMBER(N970),ISNUMBER(P970))),"",(P970-N970)*1440)</f>
        <v/>
      </c>
      <c r="X970" s="28" t="n"/>
      <c r="Y970" s="28" t="n"/>
      <c r="Z970" s="28" t="n"/>
      <c r="AA970" s="31" t="n"/>
      <c r="AB970" s="31" t="n"/>
    </row>
    <row r="971">
      <c r="A971" s="25" t="inlineStr">
        <is>
          <t>S19</t>
        </is>
      </c>
      <c r="B971" s="25" t="inlineStr">
        <is>
          <t>오호 신규점</t>
        </is>
      </c>
      <c r="C971" s="25" t="inlineStr">
        <is>
          <t>S19-H남</t>
        </is>
      </c>
      <c r="D971" s="25" t="inlineStr">
        <is>
          <t>측정</t>
        </is>
      </c>
      <c r="E971" s="25" t="inlineStr">
        <is>
          <t>남</t>
        </is>
      </c>
      <c r="F971" s="30" t="n">
        <v>3</v>
      </c>
      <c r="G971" s="29" t="n"/>
      <c r="H971" s="42" t="n"/>
      <c r="I971" s="40" t="n"/>
      <c r="J971" s="40" t="n"/>
      <c r="K971" s="40" t="n"/>
      <c r="L971" s="30">
        <f>IF(COUNT(I971:K971)=0,"",MEDIAN(I971:K971))</f>
        <v/>
      </c>
      <c r="M971" s="25">
        <f>IF(COUNTIFS($C:$C,$C971,$D:$D,"P0(전)",$L:$L,"&gt;0")&lt;&gt;1,"P0(전) 유효 1개 아님",IF(COUNTIFS($C:$C,$C971,$D:$D,"P0(후)",$L:$L,"&gt;0")&lt;&gt;1,"P0(후) 유효 1개 아님",IF(NOT(AND(ISNUMBER(N971),ISNUMBER(P971),ISNUMBER(H971))),"시각 결측",IF(P971&lt;=N971,"P0 시각 역전",IF(OR(H971&lt;N971,H971&gt;P971),"측정시각 구간 밖","OK")))))</f>
        <v/>
      </c>
      <c r="N971" s="45">
        <f>IF(COUNTIFS($C:$C,$C971,$D:$D,"P0(전)",$L:$L,"&gt;0")&lt;&gt;1,"",SUMIFS($H:$H,$C:$C,$C971,$D:$D,"P0(전)"))</f>
        <v/>
      </c>
      <c r="O971" s="30">
        <f>IF(COUNTIFS($C:$C,$C971,$D:$D,"P0(전)",$L:$L,"&gt;0")&lt;&gt;1,"",SUMIFS($L:$L,$C:$C,$C971,$D:$D,"P0(전)"))</f>
        <v/>
      </c>
      <c r="P971" s="45">
        <f>IF(COUNTIFS($C:$C,$C971,$D:$D,"P0(후)",$L:$L,"&gt;0")&lt;&gt;1,"",SUMIFS($H:$H,$C:$C,$C971,$D:$D,"P0(후)"))</f>
        <v/>
      </c>
      <c r="Q971" s="30">
        <f>IF(COUNTIFS($C:$C,$C971,$D:$D,"P0(후)",$L:$L,"&gt;0")&lt;&gt;1,"",SUMIFS($L:$L,$C:$C,$C971,$D:$D,"P0(후)"))</f>
        <v/>
      </c>
      <c r="R971" s="30">
        <f>IF(M971&lt;&gt;"OK","",O971+(Q971-O971)*(H971-N971)/(P971-N971))</f>
        <v/>
      </c>
      <c r="S971" s="30">
        <f>IF(OR(M971&lt;&gt;"OK",NOT(ISNUMBER(L971))),"",L971-R971)</f>
        <v/>
      </c>
      <c r="T971" s="46">
        <f>IF(OR(NOT(ISNUMBER(S971)),IF(ISNUMBER(G971),G971,F971)=0),"",S971/IF(ISNUMBER(G971),G971,F971))</f>
        <v/>
      </c>
      <c r="U971" s="46">
        <f>IF(ISNUMBER(T971),ABS(T971),"")</f>
        <v/>
      </c>
      <c r="V971" s="46">
        <f>IF(OR($D970&lt;&gt;"측정",$C970&lt;&gt;$C971,NOT(ISNUMBER(L971)),NOT(ISNUMBER(L970)),(IF(ISNUMBER(G971),G971,F971)-IF(ISNUMBER(G970),G970,F970))=0),"",(L971-L970)/(IF(ISNUMBER(G971),G971,F971)-IF(ISNUMBER(G970),G970,F970)))</f>
        <v/>
      </c>
      <c r="W971" s="30">
        <f>IF(NOT(AND(ISNUMBER(N971),ISNUMBER(P971))),"",(P971-N971)*1440)</f>
        <v/>
      </c>
      <c r="X971" s="28" t="n"/>
      <c r="Y971" s="28" t="n"/>
      <c r="Z971" s="28" t="n"/>
      <c r="AA971" s="31" t="n"/>
      <c r="AB971" s="31" t="n"/>
    </row>
    <row r="972">
      <c r="A972" s="25" t="inlineStr">
        <is>
          <t>S19</t>
        </is>
      </c>
      <c r="B972" s="25" t="inlineStr">
        <is>
          <t>오호 신규점</t>
        </is>
      </c>
      <c r="C972" s="25" t="inlineStr">
        <is>
          <t>S19-H남</t>
        </is>
      </c>
      <c r="D972" s="25" t="inlineStr">
        <is>
          <t>측정</t>
        </is>
      </c>
      <c r="E972" s="25" t="inlineStr">
        <is>
          <t>남</t>
        </is>
      </c>
      <c r="F972" s="30" t="n">
        <v>4</v>
      </c>
      <c r="G972" s="29" t="n"/>
      <c r="H972" s="42" t="n"/>
      <c r="I972" s="40" t="n"/>
      <c r="J972" s="40" t="n"/>
      <c r="K972" s="40" t="n"/>
      <c r="L972" s="30">
        <f>IF(COUNT(I972:K972)=0,"",MEDIAN(I972:K972))</f>
        <v/>
      </c>
      <c r="M972" s="25">
        <f>IF(COUNTIFS($C:$C,$C972,$D:$D,"P0(전)",$L:$L,"&gt;0")&lt;&gt;1,"P0(전) 유효 1개 아님",IF(COUNTIFS($C:$C,$C972,$D:$D,"P0(후)",$L:$L,"&gt;0")&lt;&gt;1,"P0(후) 유효 1개 아님",IF(NOT(AND(ISNUMBER(N972),ISNUMBER(P972),ISNUMBER(H972))),"시각 결측",IF(P972&lt;=N972,"P0 시각 역전",IF(OR(H972&lt;N972,H972&gt;P972),"측정시각 구간 밖","OK")))))</f>
        <v/>
      </c>
      <c r="N972" s="45">
        <f>IF(COUNTIFS($C:$C,$C972,$D:$D,"P0(전)",$L:$L,"&gt;0")&lt;&gt;1,"",SUMIFS($H:$H,$C:$C,$C972,$D:$D,"P0(전)"))</f>
        <v/>
      </c>
      <c r="O972" s="30">
        <f>IF(COUNTIFS($C:$C,$C972,$D:$D,"P0(전)",$L:$L,"&gt;0")&lt;&gt;1,"",SUMIFS($L:$L,$C:$C,$C972,$D:$D,"P0(전)"))</f>
        <v/>
      </c>
      <c r="P972" s="45">
        <f>IF(COUNTIFS($C:$C,$C972,$D:$D,"P0(후)",$L:$L,"&gt;0")&lt;&gt;1,"",SUMIFS($H:$H,$C:$C,$C972,$D:$D,"P0(후)"))</f>
        <v/>
      </c>
      <c r="Q972" s="30">
        <f>IF(COUNTIFS($C:$C,$C972,$D:$D,"P0(후)",$L:$L,"&gt;0")&lt;&gt;1,"",SUMIFS($L:$L,$C:$C,$C972,$D:$D,"P0(후)"))</f>
        <v/>
      </c>
      <c r="R972" s="30">
        <f>IF(M972&lt;&gt;"OK","",O972+(Q972-O972)*(H972-N972)/(P972-N972))</f>
        <v/>
      </c>
      <c r="S972" s="30">
        <f>IF(OR(M972&lt;&gt;"OK",NOT(ISNUMBER(L972))),"",L972-R972)</f>
        <v/>
      </c>
      <c r="T972" s="46">
        <f>IF(OR(NOT(ISNUMBER(S972)),IF(ISNUMBER(G972),G972,F972)=0),"",S972/IF(ISNUMBER(G972),G972,F972))</f>
        <v/>
      </c>
      <c r="U972" s="46">
        <f>IF(ISNUMBER(T972),ABS(T972),"")</f>
        <v/>
      </c>
      <c r="V972" s="46">
        <f>IF(OR($D971&lt;&gt;"측정",$C971&lt;&gt;$C972,NOT(ISNUMBER(L972)),NOT(ISNUMBER(L971)),(IF(ISNUMBER(G972),G972,F972)-IF(ISNUMBER(G971),G971,F971))=0),"",(L972-L971)/(IF(ISNUMBER(G972),G972,F972)-IF(ISNUMBER(G971),G971,F971)))</f>
        <v/>
      </c>
      <c r="W972" s="30">
        <f>IF(NOT(AND(ISNUMBER(N972),ISNUMBER(P972))),"",(P972-N972)*1440)</f>
        <v/>
      </c>
      <c r="X972" s="28" t="n"/>
      <c r="Y972" s="28" t="n"/>
      <c r="Z972" s="28" t="n"/>
      <c r="AA972" s="31" t="n"/>
      <c r="AB972" s="31" t="n"/>
    </row>
    <row r="973">
      <c r="A973" s="25" t="inlineStr">
        <is>
          <t>S19</t>
        </is>
      </c>
      <c r="B973" s="25" t="inlineStr">
        <is>
          <t>오호 신규점</t>
        </is>
      </c>
      <c r="C973" s="25" t="inlineStr">
        <is>
          <t>S19-H남</t>
        </is>
      </c>
      <c r="D973" s="25" t="inlineStr">
        <is>
          <t>측정</t>
        </is>
      </c>
      <c r="E973" s="25" t="inlineStr">
        <is>
          <t>남</t>
        </is>
      </c>
      <c r="F973" s="30" t="n">
        <v>5</v>
      </c>
      <c r="G973" s="29" t="n"/>
      <c r="H973" s="42" t="n"/>
      <c r="I973" s="40" t="n"/>
      <c r="J973" s="40" t="n"/>
      <c r="K973" s="40" t="n"/>
      <c r="L973" s="30">
        <f>IF(COUNT(I973:K973)=0,"",MEDIAN(I973:K973))</f>
        <v/>
      </c>
      <c r="M973" s="25">
        <f>IF(COUNTIFS($C:$C,$C973,$D:$D,"P0(전)",$L:$L,"&gt;0")&lt;&gt;1,"P0(전) 유효 1개 아님",IF(COUNTIFS($C:$C,$C973,$D:$D,"P0(후)",$L:$L,"&gt;0")&lt;&gt;1,"P0(후) 유효 1개 아님",IF(NOT(AND(ISNUMBER(N973),ISNUMBER(P973),ISNUMBER(H973))),"시각 결측",IF(P973&lt;=N973,"P0 시각 역전",IF(OR(H973&lt;N973,H973&gt;P973),"측정시각 구간 밖","OK")))))</f>
        <v/>
      </c>
      <c r="N973" s="45">
        <f>IF(COUNTIFS($C:$C,$C973,$D:$D,"P0(전)",$L:$L,"&gt;0")&lt;&gt;1,"",SUMIFS($H:$H,$C:$C,$C973,$D:$D,"P0(전)"))</f>
        <v/>
      </c>
      <c r="O973" s="30">
        <f>IF(COUNTIFS($C:$C,$C973,$D:$D,"P0(전)",$L:$L,"&gt;0")&lt;&gt;1,"",SUMIFS($L:$L,$C:$C,$C973,$D:$D,"P0(전)"))</f>
        <v/>
      </c>
      <c r="P973" s="45">
        <f>IF(COUNTIFS($C:$C,$C973,$D:$D,"P0(후)",$L:$L,"&gt;0")&lt;&gt;1,"",SUMIFS($H:$H,$C:$C,$C973,$D:$D,"P0(후)"))</f>
        <v/>
      </c>
      <c r="Q973" s="30">
        <f>IF(COUNTIFS($C:$C,$C973,$D:$D,"P0(후)",$L:$L,"&gt;0")&lt;&gt;1,"",SUMIFS($L:$L,$C:$C,$C973,$D:$D,"P0(후)"))</f>
        <v/>
      </c>
      <c r="R973" s="30">
        <f>IF(M973&lt;&gt;"OK","",O973+(Q973-O973)*(H973-N973)/(P973-N973))</f>
        <v/>
      </c>
      <c r="S973" s="30">
        <f>IF(OR(M973&lt;&gt;"OK",NOT(ISNUMBER(L973))),"",L973-R973)</f>
        <v/>
      </c>
      <c r="T973" s="46">
        <f>IF(OR(NOT(ISNUMBER(S973)),IF(ISNUMBER(G973),G973,F973)=0),"",S973/IF(ISNUMBER(G973),G973,F973))</f>
        <v/>
      </c>
      <c r="U973" s="46">
        <f>IF(ISNUMBER(T973),ABS(T973),"")</f>
        <v/>
      </c>
      <c r="V973" s="46">
        <f>IF(OR($D972&lt;&gt;"측정",$C972&lt;&gt;$C973,NOT(ISNUMBER(L973)),NOT(ISNUMBER(L972)),(IF(ISNUMBER(G973),G973,F973)-IF(ISNUMBER(G972),G972,F972))=0),"",(L973-L972)/(IF(ISNUMBER(G973),G973,F973)-IF(ISNUMBER(G972),G972,F972)))</f>
        <v/>
      </c>
      <c r="W973" s="30">
        <f>IF(NOT(AND(ISNUMBER(N973),ISNUMBER(P973))),"",(P973-N973)*1440)</f>
        <v/>
      </c>
      <c r="X973" s="28" t="n"/>
      <c r="Y973" s="28" t="n"/>
      <c r="Z973" s="28" t="n"/>
      <c r="AA973" s="31" t="n"/>
      <c r="AB973" s="31" t="n"/>
    </row>
    <row r="974">
      <c r="A974" s="25" t="inlineStr">
        <is>
          <t>S19</t>
        </is>
      </c>
      <c r="B974" s="25" t="inlineStr">
        <is>
          <t>오호 신규점</t>
        </is>
      </c>
      <c r="C974" s="25" t="inlineStr">
        <is>
          <t>S19-H남</t>
        </is>
      </c>
      <c r="D974" s="25" t="inlineStr">
        <is>
          <t>측정</t>
        </is>
      </c>
      <c r="E974" s="25" t="inlineStr">
        <is>
          <t>남</t>
        </is>
      </c>
      <c r="F974" s="30" t="n">
        <v>6</v>
      </c>
      <c r="G974" s="29" t="n"/>
      <c r="H974" s="42" t="n"/>
      <c r="I974" s="40" t="n"/>
      <c r="J974" s="40" t="n"/>
      <c r="K974" s="40" t="n"/>
      <c r="L974" s="30">
        <f>IF(COUNT(I974:K974)=0,"",MEDIAN(I974:K974))</f>
        <v/>
      </c>
      <c r="M974" s="25">
        <f>IF(COUNTIFS($C:$C,$C974,$D:$D,"P0(전)",$L:$L,"&gt;0")&lt;&gt;1,"P0(전) 유효 1개 아님",IF(COUNTIFS($C:$C,$C974,$D:$D,"P0(후)",$L:$L,"&gt;0")&lt;&gt;1,"P0(후) 유효 1개 아님",IF(NOT(AND(ISNUMBER(N974),ISNUMBER(P974),ISNUMBER(H974))),"시각 결측",IF(P974&lt;=N974,"P0 시각 역전",IF(OR(H974&lt;N974,H974&gt;P974),"측정시각 구간 밖","OK")))))</f>
        <v/>
      </c>
      <c r="N974" s="45">
        <f>IF(COUNTIFS($C:$C,$C974,$D:$D,"P0(전)",$L:$L,"&gt;0")&lt;&gt;1,"",SUMIFS($H:$H,$C:$C,$C974,$D:$D,"P0(전)"))</f>
        <v/>
      </c>
      <c r="O974" s="30">
        <f>IF(COUNTIFS($C:$C,$C974,$D:$D,"P0(전)",$L:$L,"&gt;0")&lt;&gt;1,"",SUMIFS($L:$L,$C:$C,$C974,$D:$D,"P0(전)"))</f>
        <v/>
      </c>
      <c r="P974" s="45">
        <f>IF(COUNTIFS($C:$C,$C974,$D:$D,"P0(후)",$L:$L,"&gt;0")&lt;&gt;1,"",SUMIFS($H:$H,$C:$C,$C974,$D:$D,"P0(후)"))</f>
        <v/>
      </c>
      <c r="Q974" s="30">
        <f>IF(COUNTIFS($C:$C,$C974,$D:$D,"P0(후)",$L:$L,"&gt;0")&lt;&gt;1,"",SUMIFS($L:$L,$C:$C,$C974,$D:$D,"P0(후)"))</f>
        <v/>
      </c>
      <c r="R974" s="30">
        <f>IF(M974&lt;&gt;"OK","",O974+(Q974-O974)*(H974-N974)/(P974-N974))</f>
        <v/>
      </c>
      <c r="S974" s="30">
        <f>IF(OR(M974&lt;&gt;"OK",NOT(ISNUMBER(L974))),"",L974-R974)</f>
        <v/>
      </c>
      <c r="T974" s="46">
        <f>IF(OR(NOT(ISNUMBER(S974)),IF(ISNUMBER(G974),G974,F974)=0),"",S974/IF(ISNUMBER(G974),G974,F974))</f>
        <v/>
      </c>
      <c r="U974" s="46">
        <f>IF(ISNUMBER(T974),ABS(T974),"")</f>
        <v/>
      </c>
      <c r="V974" s="46">
        <f>IF(OR($D973&lt;&gt;"측정",$C973&lt;&gt;$C974,NOT(ISNUMBER(L974)),NOT(ISNUMBER(L973)),(IF(ISNUMBER(G974),G974,F974)-IF(ISNUMBER(G973),G973,F973))=0),"",(L974-L973)/(IF(ISNUMBER(G974),G974,F974)-IF(ISNUMBER(G973),G973,F973)))</f>
        <v/>
      </c>
      <c r="W974" s="30">
        <f>IF(NOT(AND(ISNUMBER(N974),ISNUMBER(P974))),"",(P974-N974)*1440)</f>
        <v/>
      </c>
      <c r="X974" s="28" t="n"/>
      <c r="Y974" s="28" t="n"/>
      <c r="Z974" s="28" t="n"/>
      <c r="AA974" s="31" t="n"/>
      <c r="AB974" s="31" t="n"/>
    </row>
    <row r="975">
      <c r="A975" s="25" t="inlineStr">
        <is>
          <t>S19</t>
        </is>
      </c>
      <c r="B975" s="25" t="inlineStr">
        <is>
          <t>오호 신규점</t>
        </is>
      </c>
      <c r="C975" s="25" t="inlineStr">
        <is>
          <t>S19-H남</t>
        </is>
      </c>
      <c r="D975" s="25" t="inlineStr">
        <is>
          <t>측정</t>
        </is>
      </c>
      <c r="E975" s="25" t="inlineStr">
        <is>
          <t>남</t>
        </is>
      </c>
      <c r="F975" s="30" t="n">
        <v>7</v>
      </c>
      <c r="G975" s="29" t="n"/>
      <c r="H975" s="42" t="n"/>
      <c r="I975" s="40" t="n"/>
      <c r="J975" s="40" t="n"/>
      <c r="K975" s="40" t="n"/>
      <c r="L975" s="30">
        <f>IF(COUNT(I975:K975)=0,"",MEDIAN(I975:K975))</f>
        <v/>
      </c>
      <c r="M975" s="25">
        <f>IF(COUNTIFS($C:$C,$C975,$D:$D,"P0(전)",$L:$L,"&gt;0")&lt;&gt;1,"P0(전) 유효 1개 아님",IF(COUNTIFS($C:$C,$C975,$D:$D,"P0(후)",$L:$L,"&gt;0")&lt;&gt;1,"P0(후) 유효 1개 아님",IF(NOT(AND(ISNUMBER(N975),ISNUMBER(P975),ISNUMBER(H975))),"시각 결측",IF(P975&lt;=N975,"P0 시각 역전",IF(OR(H975&lt;N975,H975&gt;P975),"측정시각 구간 밖","OK")))))</f>
        <v/>
      </c>
      <c r="N975" s="45">
        <f>IF(COUNTIFS($C:$C,$C975,$D:$D,"P0(전)",$L:$L,"&gt;0")&lt;&gt;1,"",SUMIFS($H:$H,$C:$C,$C975,$D:$D,"P0(전)"))</f>
        <v/>
      </c>
      <c r="O975" s="30">
        <f>IF(COUNTIFS($C:$C,$C975,$D:$D,"P0(전)",$L:$L,"&gt;0")&lt;&gt;1,"",SUMIFS($L:$L,$C:$C,$C975,$D:$D,"P0(전)"))</f>
        <v/>
      </c>
      <c r="P975" s="45">
        <f>IF(COUNTIFS($C:$C,$C975,$D:$D,"P0(후)",$L:$L,"&gt;0")&lt;&gt;1,"",SUMIFS($H:$H,$C:$C,$C975,$D:$D,"P0(후)"))</f>
        <v/>
      </c>
      <c r="Q975" s="30">
        <f>IF(COUNTIFS($C:$C,$C975,$D:$D,"P0(후)",$L:$L,"&gt;0")&lt;&gt;1,"",SUMIFS($L:$L,$C:$C,$C975,$D:$D,"P0(후)"))</f>
        <v/>
      </c>
      <c r="R975" s="30">
        <f>IF(M975&lt;&gt;"OK","",O975+(Q975-O975)*(H975-N975)/(P975-N975))</f>
        <v/>
      </c>
      <c r="S975" s="30">
        <f>IF(OR(M975&lt;&gt;"OK",NOT(ISNUMBER(L975))),"",L975-R975)</f>
        <v/>
      </c>
      <c r="T975" s="46">
        <f>IF(OR(NOT(ISNUMBER(S975)),IF(ISNUMBER(G975),G975,F975)=0),"",S975/IF(ISNUMBER(G975),G975,F975))</f>
        <v/>
      </c>
      <c r="U975" s="46">
        <f>IF(ISNUMBER(T975),ABS(T975),"")</f>
        <v/>
      </c>
      <c r="V975" s="46">
        <f>IF(OR($D974&lt;&gt;"측정",$C974&lt;&gt;$C975,NOT(ISNUMBER(L975)),NOT(ISNUMBER(L974)),(IF(ISNUMBER(G975),G975,F975)-IF(ISNUMBER(G974),G974,F974))=0),"",(L975-L974)/(IF(ISNUMBER(G975),G975,F975)-IF(ISNUMBER(G974),G974,F974)))</f>
        <v/>
      </c>
      <c r="W975" s="30">
        <f>IF(NOT(AND(ISNUMBER(N975),ISNUMBER(P975))),"",(P975-N975)*1440)</f>
        <v/>
      </c>
      <c r="X975" s="28" t="n"/>
      <c r="Y975" s="28" t="n"/>
      <c r="Z975" s="28" t="n"/>
      <c r="AA975" s="31" t="n"/>
      <c r="AB975" s="31" t="n"/>
    </row>
    <row r="976">
      <c r="A976" s="25" t="inlineStr">
        <is>
          <t>S19</t>
        </is>
      </c>
      <c r="B976" s="25" t="inlineStr">
        <is>
          <t>오호 신규점</t>
        </is>
      </c>
      <c r="C976" s="25" t="inlineStr">
        <is>
          <t>S19-H남</t>
        </is>
      </c>
      <c r="D976" s="25" t="inlineStr">
        <is>
          <t>측정</t>
        </is>
      </c>
      <c r="E976" s="25" t="inlineStr">
        <is>
          <t>남</t>
        </is>
      </c>
      <c r="F976" s="30" t="n">
        <v>8</v>
      </c>
      <c r="G976" s="29" t="n"/>
      <c r="H976" s="42" t="n"/>
      <c r="I976" s="40" t="n"/>
      <c r="J976" s="40" t="n"/>
      <c r="K976" s="40" t="n"/>
      <c r="L976" s="30">
        <f>IF(COUNT(I976:K976)=0,"",MEDIAN(I976:K976))</f>
        <v/>
      </c>
      <c r="M976" s="25">
        <f>IF(COUNTIFS($C:$C,$C976,$D:$D,"P0(전)",$L:$L,"&gt;0")&lt;&gt;1,"P0(전) 유효 1개 아님",IF(COUNTIFS($C:$C,$C976,$D:$D,"P0(후)",$L:$L,"&gt;0")&lt;&gt;1,"P0(후) 유효 1개 아님",IF(NOT(AND(ISNUMBER(N976),ISNUMBER(P976),ISNUMBER(H976))),"시각 결측",IF(P976&lt;=N976,"P0 시각 역전",IF(OR(H976&lt;N976,H976&gt;P976),"측정시각 구간 밖","OK")))))</f>
        <v/>
      </c>
      <c r="N976" s="45">
        <f>IF(COUNTIFS($C:$C,$C976,$D:$D,"P0(전)",$L:$L,"&gt;0")&lt;&gt;1,"",SUMIFS($H:$H,$C:$C,$C976,$D:$D,"P0(전)"))</f>
        <v/>
      </c>
      <c r="O976" s="30">
        <f>IF(COUNTIFS($C:$C,$C976,$D:$D,"P0(전)",$L:$L,"&gt;0")&lt;&gt;1,"",SUMIFS($L:$L,$C:$C,$C976,$D:$D,"P0(전)"))</f>
        <v/>
      </c>
      <c r="P976" s="45">
        <f>IF(COUNTIFS($C:$C,$C976,$D:$D,"P0(후)",$L:$L,"&gt;0")&lt;&gt;1,"",SUMIFS($H:$H,$C:$C,$C976,$D:$D,"P0(후)"))</f>
        <v/>
      </c>
      <c r="Q976" s="30">
        <f>IF(COUNTIFS($C:$C,$C976,$D:$D,"P0(후)",$L:$L,"&gt;0")&lt;&gt;1,"",SUMIFS($L:$L,$C:$C,$C976,$D:$D,"P0(후)"))</f>
        <v/>
      </c>
      <c r="R976" s="30">
        <f>IF(M976&lt;&gt;"OK","",O976+(Q976-O976)*(H976-N976)/(P976-N976))</f>
        <v/>
      </c>
      <c r="S976" s="30">
        <f>IF(OR(M976&lt;&gt;"OK",NOT(ISNUMBER(L976))),"",L976-R976)</f>
        <v/>
      </c>
      <c r="T976" s="46">
        <f>IF(OR(NOT(ISNUMBER(S976)),IF(ISNUMBER(G976),G976,F976)=0),"",S976/IF(ISNUMBER(G976),G976,F976))</f>
        <v/>
      </c>
      <c r="U976" s="46">
        <f>IF(ISNUMBER(T976),ABS(T976),"")</f>
        <v/>
      </c>
      <c r="V976" s="46">
        <f>IF(OR($D975&lt;&gt;"측정",$C975&lt;&gt;$C976,NOT(ISNUMBER(L976)),NOT(ISNUMBER(L975)),(IF(ISNUMBER(G976),G976,F976)-IF(ISNUMBER(G975),G975,F975))=0),"",(L976-L975)/(IF(ISNUMBER(G976),G976,F976)-IF(ISNUMBER(G975),G975,F975)))</f>
        <v/>
      </c>
      <c r="W976" s="30">
        <f>IF(NOT(AND(ISNUMBER(N976),ISNUMBER(P976))),"",(P976-N976)*1440)</f>
        <v/>
      </c>
      <c r="X976" s="28" t="n"/>
      <c r="Y976" s="28" t="n"/>
      <c r="Z976" s="28" t="n"/>
      <c r="AA976" s="31" t="n"/>
      <c r="AB976" s="31" t="n"/>
    </row>
    <row r="977">
      <c r="A977" s="25" t="inlineStr">
        <is>
          <t>S19</t>
        </is>
      </c>
      <c r="B977" s="25" t="inlineStr">
        <is>
          <t>오호 신규점</t>
        </is>
      </c>
      <c r="C977" s="25" t="inlineStr">
        <is>
          <t>S19-H남</t>
        </is>
      </c>
      <c r="D977" s="25" t="inlineStr">
        <is>
          <t>측정</t>
        </is>
      </c>
      <c r="E977" s="25" t="inlineStr">
        <is>
          <t>남</t>
        </is>
      </c>
      <c r="F977" s="30" t="n">
        <v>9</v>
      </c>
      <c r="G977" s="29" t="n"/>
      <c r="H977" s="42" t="n"/>
      <c r="I977" s="40" t="n"/>
      <c r="J977" s="40" t="n"/>
      <c r="K977" s="40" t="n"/>
      <c r="L977" s="30">
        <f>IF(COUNT(I977:K977)=0,"",MEDIAN(I977:K977))</f>
        <v/>
      </c>
      <c r="M977" s="25">
        <f>IF(COUNTIFS($C:$C,$C977,$D:$D,"P0(전)",$L:$L,"&gt;0")&lt;&gt;1,"P0(전) 유효 1개 아님",IF(COUNTIFS($C:$C,$C977,$D:$D,"P0(후)",$L:$L,"&gt;0")&lt;&gt;1,"P0(후) 유효 1개 아님",IF(NOT(AND(ISNUMBER(N977),ISNUMBER(P977),ISNUMBER(H977))),"시각 결측",IF(P977&lt;=N977,"P0 시각 역전",IF(OR(H977&lt;N977,H977&gt;P977),"측정시각 구간 밖","OK")))))</f>
        <v/>
      </c>
      <c r="N977" s="45">
        <f>IF(COUNTIFS($C:$C,$C977,$D:$D,"P0(전)",$L:$L,"&gt;0")&lt;&gt;1,"",SUMIFS($H:$H,$C:$C,$C977,$D:$D,"P0(전)"))</f>
        <v/>
      </c>
      <c r="O977" s="30">
        <f>IF(COUNTIFS($C:$C,$C977,$D:$D,"P0(전)",$L:$L,"&gt;0")&lt;&gt;1,"",SUMIFS($L:$L,$C:$C,$C977,$D:$D,"P0(전)"))</f>
        <v/>
      </c>
      <c r="P977" s="45">
        <f>IF(COUNTIFS($C:$C,$C977,$D:$D,"P0(후)",$L:$L,"&gt;0")&lt;&gt;1,"",SUMIFS($H:$H,$C:$C,$C977,$D:$D,"P0(후)"))</f>
        <v/>
      </c>
      <c r="Q977" s="30">
        <f>IF(COUNTIFS($C:$C,$C977,$D:$D,"P0(후)",$L:$L,"&gt;0")&lt;&gt;1,"",SUMIFS($L:$L,$C:$C,$C977,$D:$D,"P0(후)"))</f>
        <v/>
      </c>
      <c r="R977" s="30">
        <f>IF(M977&lt;&gt;"OK","",O977+(Q977-O977)*(H977-N977)/(P977-N977))</f>
        <v/>
      </c>
      <c r="S977" s="30">
        <f>IF(OR(M977&lt;&gt;"OK",NOT(ISNUMBER(L977))),"",L977-R977)</f>
        <v/>
      </c>
      <c r="T977" s="46">
        <f>IF(OR(NOT(ISNUMBER(S977)),IF(ISNUMBER(G977),G977,F977)=0),"",S977/IF(ISNUMBER(G977),G977,F977))</f>
        <v/>
      </c>
      <c r="U977" s="46">
        <f>IF(ISNUMBER(T977),ABS(T977),"")</f>
        <v/>
      </c>
      <c r="V977" s="46">
        <f>IF(OR($D976&lt;&gt;"측정",$C976&lt;&gt;$C977,NOT(ISNUMBER(L977)),NOT(ISNUMBER(L976)),(IF(ISNUMBER(G977),G977,F977)-IF(ISNUMBER(G976),G976,F976))=0),"",(L977-L976)/(IF(ISNUMBER(G977),G977,F977)-IF(ISNUMBER(G976),G976,F976)))</f>
        <v/>
      </c>
      <c r="W977" s="30">
        <f>IF(NOT(AND(ISNUMBER(N977),ISNUMBER(P977))),"",(P977-N977)*1440)</f>
        <v/>
      </c>
      <c r="X977" s="28" t="n"/>
      <c r="Y977" s="28" t="n"/>
      <c r="Z977" s="28" t="n"/>
      <c r="AA977" s="31" t="n"/>
      <c r="AB977" s="31" t="n"/>
    </row>
    <row r="978">
      <c r="A978" s="25" t="inlineStr">
        <is>
          <t>S19</t>
        </is>
      </c>
      <c r="B978" s="25" t="inlineStr">
        <is>
          <t>오호 신규점</t>
        </is>
      </c>
      <c r="C978" s="25" t="inlineStr">
        <is>
          <t>S19-H남</t>
        </is>
      </c>
      <c r="D978" s="25" t="inlineStr">
        <is>
          <t>측정</t>
        </is>
      </c>
      <c r="E978" s="25" t="inlineStr">
        <is>
          <t>남</t>
        </is>
      </c>
      <c r="F978" s="30" t="n">
        <v>10</v>
      </c>
      <c r="G978" s="29" t="n"/>
      <c r="H978" s="42" t="n"/>
      <c r="I978" s="40" t="n"/>
      <c r="J978" s="40" t="n"/>
      <c r="K978" s="40" t="n"/>
      <c r="L978" s="30">
        <f>IF(COUNT(I978:K978)=0,"",MEDIAN(I978:K978))</f>
        <v/>
      </c>
      <c r="M978" s="25">
        <f>IF(COUNTIFS($C:$C,$C978,$D:$D,"P0(전)",$L:$L,"&gt;0")&lt;&gt;1,"P0(전) 유효 1개 아님",IF(COUNTIFS($C:$C,$C978,$D:$D,"P0(후)",$L:$L,"&gt;0")&lt;&gt;1,"P0(후) 유효 1개 아님",IF(NOT(AND(ISNUMBER(N978),ISNUMBER(P978),ISNUMBER(H978))),"시각 결측",IF(P978&lt;=N978,"P0 시각 역전",IF(OR(H978&lt;N978,H978&gt;P978),"측정시각 구간 밖","OK")))))</f>
        <v/>
      </c>
      <c r="N978" s="45">
        <f>IF(COUNTIFS($C:$C,$C978,$D:$D,"P0(전)",$L:$L,"&gt;0")&lt;&gt;1,"",SUMIFS($H:$H,$C:$C,$C978,$D:$D,"P0(전)"))</f>
        <v/>
      </c>
      <c r="O978" s="30">
        <f>IF(COUNTIFS($C:$C,$C978,$D:$D,"P0(전)",$L:$L,"&gt;0")&lt;&gt;1,"",SUMIFS($L:$L,$C:$C,$C978,$D:$D,"P0(전)"))</f>
        <v/>
      </c>
      <c r="P978" s="45">
        <f>IF(COUNTIFS($C:$C,$C978,$D:$D,"P0(후)",$L:$L,"&gt;0")&lt;&gt;1,"",SUMIFS($H:$H,$C:$C,$C978,$D:$D,"P0(후)"))</f>
        <v/>
      </c>
      <c r="Q978" s="30">
        <f>IF(COUNTIFS($C:$C,$C978,$D:$D,"P0(후)",$L:$L,"&gt;0")&lt;&gt;1,"",SUMIFS($L:$L,$C:$C,$C978,$D:$D,"P0(후)"))</f>
        <v/>
      </c>
      <c r="R978" s="30">
        <f>IF(M978&lt;&gt;"OK","",O978+(Q978-O978)*(H978-N978)/(P978-N978))</f>
        <v/>
      </c>
      <c r="S978" s="30">
        <f>IF(OR(M978&lt;&gt;"OK",NOT(ISNUMBER(L978))),"",L978-R978)</f>
        <v/>
      </c>
      <c r="T978" s="46">
        <f>IF(OR(NOT(ISNUMBER(S978)),IF(ISNUMBER(G978),G978,F978)=0),"",S978/IF(ISNUMBER(G978),G978,F978))</f>
        <v/>
      </c>
      <c r="U978" s="46">
        <f>IF(ISNUMBER(T978),ABS(T978),"")</f>
        <v/>
      </c>
      <c r="V978" s="46">
        <f>IF(OR($D977&lt;&gt;"측정",$C977&lt;&gt;$C978,NOT(ISNUMBER(L978)),NOT(ISNUMBER(L977)),(IF(ISNUMBER(G978),G978,F978)-IF(ISNUMBER(G977),G977,F977))=0),"",(L978-L977)/(IF(ISNUMBER(G978),G978,F978)-IF(ISNUMBER(G977),G977,F977)))</f>
        <v/>
      </c>
      <c r="W978" s="30">
        <f>IF(NOT(AND(ISNUMBER(N978),ISNUMBER(P978))),"",(P978-N978)*1440)</f>
        <v/>
      </c>
      <c r="X978" s="28" t="n"/>
      <c r="Y978" s="28" t="n"/>
      <c r="Z978" s="28" t="n"/>
      <c r="AA978" s="31" t="n"/>
      <c r="AB978" s="31" t="n"/>
    </row>
    <row r="979">
      <c r="A979" s="43" t="inlineStr">
        <is>
          <t>S19</t>
        </is>
      </c>
      <c r="B979" s="43" t="inlineStr">
        <is>
          <t>오호 신규점</t>
        </is>
      </c>
      <c r="C979" s="43" t="inlineStr">
        <is>
          <t>S19-H남</t>
        </is>
      </c>
      <c r="D979" s="43" t="inlineStr">
        <is>
          <t>P0(후)</t>
        </is>
      </c>
      <c r="E979" s="43" t="inlineStr">
        <is>
          <t>남</t>
        </is>
      </c>
      <c r="F979" s="44" t="n"/>
      <c r="G979" s="29" t="n"/>
      <c r="H979" s="42" t="n"/>
      <c r="I979" s="40" t="n"/>
      <c r="J979" s="40" t="n"/>
      <c r="K979" s="40" t="n"/>
      <c r="L979" s="30">
        <f>IF(COUNT(I979:K979)=0,"",MEDIAN(I979:K979))</f>
        <v/>
      </c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28" t="n"/>
      <c r="Y979" s="28" t="n"/>
      <c r="Z979" s="28" t="n"/>
      <c r="AA979" s="31" t="n"/>
      <c r="AB979" s="31" t="n"/>
    </row>
    <row r="980">
      <c r="A980" s="43" t="inlineStr">
        <is>
          <t>S19</t>
        </is>
      </c>
      <c r="B980" s="43" t="inlineStr">
        <is>
          <t>오호 신규점</t>
        </is>
      </c>
      <c r="C980" s="43" t="inlineStr">
        <is>
          <t>S19-H북</t>
        </is>
      </c>
      <c r="D980" s="43" t="inlineStr">
        <is>
          <t>P0(전)</t>
        </is>
      </c>
      <c r="E980" s="43" t="inlineStr">
        <is>
          <t>북</t>
        </is>
      </c>
      <c r="F980" s="44" t="n"/>
      <c r="G980" s="29" t="n"/>
      <c r="H980" s="42" t="n"/>
      <c r="I980" s="40" t="n"/>
      <c r="J980" s="40" t="n"/>
      <c r="K980" s="40" t="n"/>
      <c r="L980" s="30">
        <f>IF(COUNT(I980:K980)=0,"",MEDIAN(I980:K980))</f>
        <v/>
      </c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28" t="n"/>
      <c r="Y980" s="28" t="n"/>
      <c r="Z980" s="28" t="n"/>
      <c r="AA980" s="31" t="n"/>
      <c r="AB980" s="31" t="n"/>
    </row>
    <row r="981">
      <c r="A981" s="25" t="inlineStr">
        <is>
          <t>S19</t>
        </is>
      </c>
      <c r="B981" s="25" t="inlineStr">
        <is>
          <t>오호 신규점</t>
        </is>
      </c>
      <c r="C981" s="25" t="inlineStr">
        <is>
          <t>S19-H북</t>
        </is>
      </c>
      <c r="D981" s="25" t="inlineStr">
        <is>
          <t>측정</t>
        </is>
      </c>
      <c r="E981" s="25" t="inlineStr">
        <is>
          <t>북</t>
        </is>
      </c>
      <c r="F981" s="30" t="n">
        <v>0.5</v>
      </c>
      <c r="G981" s="29" t="n"/>
      <c r="H981" s="42" t="n"/>
      <c r="I981" s="40" t="n"/>
      <c r="J981" s="40" t="n"/>
      <c r="K981" s="40" t="n"/>
      <c r="L981" s="30">
        <f>IF(COUNT(I981:K981)=0,"",MEDIAN(I981:K981))</f>
        <v/>
      </c>
      <c r="M981" s="25">
        <f>IF(COUNTIFS($C:$C,$C981,$D:$D,"P0(전)",$L:$L,"&gt;0")&lt;&gt;1,"P0(전) 유효 1개 아님",IF(COUNTIFS($C:$C,$C981,$D:$D,"P0(후)",$L:$L,"&gt;0")&lt;&gt;1,"P0(후) 유효 1개 아님",IF(NOT(AND(ISNUMBER(N981),ISNUMBER(P981),ISNUMBER(H981))),"시각 결측",IF(P981&lt;=N981,"P0 시각 역전",IF(OR(H981&lt;N981,H981&gt;P981),"측정시각 구간 밖","OK")))))</f>
        <v/>
      </c>
      <c r="N981" s="45">
        <f>IF(COUNTIFS($C:$C,$C981,$D:$D,"P0(전)",$L:$L,"&gt;0")&lt;&gt;1,"",SUMIFS($H:$H,$C:$C,$C981,$D:$D,"P0(전)"))</f>
        <v/>
      </c>
      <c r="O981" s="30">
        <f>IF(COUNTIFS($C:$C,$C981,$D:$D,"P0(전)",$L:$L,"&gt;0")&lt;&gt;1,"",SUMIFS($L:$L,$C:$C,$C981,$D:$D,"P0(전)"))</f>
        <v/>
      </c>
      <c r="P981" s="45">
        <f>IF(COUNTIFS($C:$C,$C981,$D:$D,"P0(후)",$L:$L,"&gt;0")&lt;&gt;1,"",SUMIFS($H:$H,$C:$C,$C981,$D:$D,"P0(후)"))</f>
        <v/>
      </c>
      <c r="Q981" s="30">
        <f>IF(COUNTIFS($C:$C,$C981,$D:$D,"P0(후)",$L:$L,"&gt;0")&lt;&gt;1,"",SUMIFS($L:$L,$C:$C,$C981,$D:$D,"P0(후)"))</f>
        <v/>
      </c>
      <c r="R981" s="30">
        <f>IF(M981&lt;&gt;"OK","",O981+(Q981-O981)*(H981-N981)/(P981-N981))</f>
        <v/>
      </c>
      <c r="S981" s="30">
        <f>IF(OR(M981&lt;&gt;"OK",NOT(ISNUMBER(L981))),"",L981-R981)</f>
        <v/>
      </c>
      <c r="T981" s="46">
        <f>IF(OR(NOT(ISNUMBER(S981)),IF(ISNUMBER(G981),G981,F981)=0),"",S981/IF(ISNUMBER(G981),G981,F981))</f>
        <v/>
      </c>
      <c r="U981" s="46">
        <f>IF(ISNUMBER(T981),ABS(T981),"")</f>
        <v/>
      </c>
      <c r="V981" s="46">
        <f>IF(OR($D980&lt;&gt;"측정",$C980&lt;&gt;$C981,NOT(ISNUMBER(L981)),NOT(ISNUMBER(L980)),(IF(ISNUMBER(G981),G981,F981)-IF(ISNUMBER(G980),G980,F980))=0),"",(L981-L980)/(IF(ISNUMBER(G981),G981,F981)-IF(ISNUMBER(G980),G980,F980)))</f>
        <v/>
      </c>
      <c r="W981" s="30">
        <f>IF(NOT(AND(ISNUMBER(N981),ISNUMBER(P981))),"",(P981-N981)*1440)</f>
        <v/>
      </c>
      <c r="X981" s="28" t="n"/>
      <c r="Y981" s="28" t="n"/>
      <c r="Z981" s="28" t="n"/>
      <c r="AA981" s="31" t="n"/>
      <c r="AB981" s="31" t="n"/>
    </row>
    <row r="982">
      <c r="A982" s="25" t="inlineStr">
        <is>
          <t>S19</t>
        </is>
      </c>
      <c r="B982" s="25" t="inlineStr">
        <is>
          <t>오호 신규점</t>
        </is>
      </c>
      <c r="C982" s="25" t="inlineStr">
        <is>
          <t>S19-H북</t>
        </is>
      </c>
      <c r="D982" s="25" t="inlineStr">
        <is>
          <t>측정</t>
        </is>
      </c>
      <c r="E982" s="25" t="inlineStr">
        <is>
          <t>북</t>
        </is>
      </c>
      <c r="F982" s="30" t="n">
        <v>1</v>
      </c>
      <c r="G982" s="29" t="n"/>
      <c r="H982" s="42" t="n"/>
      <c r="I982" s="40" t="n"/>
      <c r="J982" s="40" t="n"/>
      <c r="K982" s="40" t="n"/>
      <c r="L982" s="30">
        <f>IF(COUNT(I982:K982)=0,"",MEDIAN(I982:K982))</f>
        <v/>
      </c>
      <c r="M982" s="25">
        <f>IF(COUNTIFS($C:$C,$C982,$D:$D,"P0(전)",$L:$L,"&gt;0")&lt;&gt;1,"P0(전) 유효 1개 아님",IF(COUNTIFS($C:$C,$C982,$D:$D,"P0(후)",$L:$L,"&gt;0")&lt;&gt;1,"P0(후) 유효 1개 아님",IF(NOT(AND(ISNUMBER(N982),ISNUMBER(P982),ISNUMBER(H982))),"시각 결측",IF(P982&lt;=N982,"P0 시각 역전",IF(OR(H982&lt;N982,H982&gt;P982),"측정시각 구간 밖","OK")))))</f>
        <v/>
      </c>
      <c r="N982" s="45">
        <f>IF(COUNTIFS($C:$C,$C982,$D:$D,"P0(전)",$L:$L,"&gt;0")&lt;&gt;1,"",SUMIFS($H:$H,$C:$C,$C982,$D:$D,"P0(전)"))</f>
        <v/>
      </c>
      <c r="O982" s="30">
        <f>IF(COUNTIFS($C:$C,$C982,$D:$D,"P0(전)",$L:$L,"&gt;0")&lt;&gt;1,"",SUMIFS($L:$L,$C:$C,$C982,$D:$D,"P0(전)"))</f>
        <v/>
      </c>
      <c r="P982" s="45">
        <f>IF(COUNTIFS($C:$C,$C982,$D:$D,"P0(후)",$L:$L,"&gt;0")&lt;&gt;1,"",SUMIFS($H:$H,$C:$C,$C982,$D:$D,"P0(후)"))</f>
        <v/>
      </c>
      <c r="Q982" s="30">
        <f>IF(COUNTIFS($C:$C,$C982,$D:$D,"P0(후)",$L:$L,"&gt;0")&lt;&gt;1,"",SUMIFS($L:$L,$C:$C,$C982,$D:$D,"P0(후)"))</f>
        <v/>
      </c>
      <c r="R982" s="30">
        <f>IF(M982&lt;&gt;"OK","",O982+(Q982-O982)*(H982-N982)/(P982-N982))</f>
        <v/>
      </c>
      <c r="S982" s="30">
        <f>IF(OR(M982&lt;&gt;"OK",NOT(ISNUMBER(L982))),"",L982-R982)</f>
        <v/>
      </c>
      <c r="T982" s="46">
        <f>IF(OR(NOT(ISNUMBER(S982)),IF(ISNUMBER(G982),G982,F982)=0),"",S982/IF(ISNUMBER(G982),G982,F982))</f>
        <v/>
      </c>
      <c r="U982" s="46">
        <f>IF(ISNUMBER(T982),ABS(T982),"")</f>
        <v/>
      </c>
      <c r="V982" s="46">
        <f>IF(OR($D981&lt;&gt;"측정",$C981&lt;&gt;$C982,NOT(ISNUMBER(L982)),NOT(ISNUMBER(L981)),(IF(ISNUMBER(G982),G982,F982)-IF(ISNUMBER(G981),G981,F981))=0),"",(L982-L981)/(IF(ISNUMBER(G982),G982,F982)-IF(ISNUMBER(G981),G981,F981)))</f>
        <v/>
      </c>
      <c r="W982" s="30">
        <f>IF(NOT(AND(ISNUMBER(N982),ISNUMBER(P982))),"",(P982-N982)*1440)</f>
        <v/>
      </c>
      <c r="X982" s="28" t="n"/>
      <c r="Y982" s="28" t="n"/>
      <c r="Z982" s="28" t="n"/>
      <c r="AA982" s="31" t="n"/>
      <c r="AB982" s="31" t="n"/>
    </row>
    <row r="983">
      <c r="A983" s="25" t="inlineStr">
        <is>
          <t>S19</t>
        </is>
      </c>
      <c r="B983" s="25" t="inlineStr">
        <is>
          <t>오호 신규점</t>
        </is>
      </c>
      <c r="C983" s="25" t="inlineStr">
        <is>
          <t>S19-H북</t>
        </is>
      </c>
      <c r="D983" s="25" t="inlineStr">
        <is>
          <t>측정</t>
        </is>
      </c>
      <c r="E983" s="25" t="inlineStr">
        <is>
          <t>북</t>
        </is>
      </c>
      <c r="F983" s="30" t="n">
        <v>2</v>
      </c>
      <c r="G983" s="29" t="n"/>
      <c r="H983" s="42" t="n"/>
      <c r="I983" s="40" t="n"/>
      <c r="J983" s="40" t="n"/>
      <c r="K983" s="40" t="n"/>
      <c r="L983" s="30">
        <f>IF(COUNT(I983:K983)=0,"",MEDIAN(I983:K983))</f>
        <v/>
      </c>
      <c r="M983" s="25">
        <f>IF(COUNTIFS($C:$C,$C983,$D:$D,"P0(전)",$L:$L,"&gt;0")&lt;&gt;1,"P0(전) 유효 1개 아님",IF(COUNTIFS($C:$C,$C983,$D:$D,"P0(후)",$L:$L,"&gt;0")&lt;&gt;1,"P0(후) 유효 1개 아님",IF(NOT(AND(ISNUMBER(N983),ISNUMBER(P983),ISNUMBER(H983))),"시각 결측",IF(P983&lt;=N983,"P0 시각 역전",IF(OR(H983&lt;N983,H983&gt;P983),"측정시각 구간 밖","OK")))))</f>
        <v/>
      </c>
      <c r="N983" s="45">
        <f>IF(COUNTIFS($C:$C,$C983,$D:$D,"P0(전)",$L:$L,"&gt;0")&lt;&gt;1,"",SUMIFS($H:$H,$C:$C,$C983,$D:$D,"P0(전)"))</f>
        <v/>
      </c>
      <c r="O983" s="30">
        <f>IF(COUNTIFS($C:$C,$C983,$D:$D,"P0(전)",$L:$L,"&gt;0")&lt;&gt;1,"",SUMIFS($L:$L,$C:$C,$C983,$D:$D,"P0(전)"))</f>
        <v/>
      </c>
      <c r="P983" s="45">
        <f>IF(COUNTIFS($C:$C,$C983,$D:$D,"P0(후)",$L:$L,"&gt;0")&lt;&gt;1,"",SUMIFS($H:$H,$C:$C,$C983,$D:$D,"P0(후)"))</f>
        <v/>
      </c>
      <c r="Q983" s="30">
        <f>IF(COUNTIFS($C:$C,$C983,$D:$D,"P0(후)",$L:$L,"&gt;0")&lt;&gt;1,"",SUMIFS($L:$L,$C:$C,$C983,$D:$D,"P0(후)"))</f>
        <v/>
      </c>
      <c r="R983" s="30">
        <f>IF(M983&lt;&gt;"OK","",O983+(Q983-O983)*(H983-N983)/(P983-N983))</f>
        <v/>
      </c>
      <c r="S983" s="30">
        <f>IF(OR(M983&lt;&gt;"OK",NOT(ISNUMBER(L983))),"",L983-R983)</f>
        <v/>
      </c>
      <c r="T983" s="46">
        <f>IF(OR(NOT(ISNUMBER(S983)),IF(ISNUMBER(G983),G983,F983)=0),"",S983/IF(ISNUMBER(G983),G983,F983))</f>
        <v/>
      </c>
      <c r="U983" s="46">
        <f>IF(ISNUMBER(T983),ABS(T983),"")</f>
        <v/>
      </c>
      <c r="V983" s="46">
        <f>IF(OR($D982&lt;&gt;"측정",$C982&lt;&gt;$C983,NOT(ISNUMBER(L983)),NOT(ISNUMBER(L982)),(IF(ISNUMBER(G983),G983,F983)-IF(ISNUMBER(G982),G982,F982))=0),"",(L983-L982)/(IF(ISNUMBER(G983),G983,F983)-IF(ISNUMBER(G982),G982,F982)))</f>
        <v/>
      </c>
      <c r="W983" s="30">
        <f>IF(NOT(AND(ISNUMBER(N983),ISNUMBER(P983))),"",(P983-N983)*1440)</f>
        <v/>
      </c>
      <c r="X983" s="28" t="n"/>
      <c r="Y983" s="28" t="n"/>
      <c r="Z983" s="28" t="n"/>
      <c r="AA983" s="31" t="n"/>
      <c r="AB983" s="31" t="n"/>
    </row>
    <row r="984">
      <c r="A984" s="25" t="inlineStr">
        <is>
          <t>S19</t>
        </is>
      </c>
      <c r="B984" s="25" t="inlineStr">
        <is>
          <t>오호 신규점</t>
        </is>
      </c>
      <c r="C984" s="25" t="inlineStr">
        <is>
          <t>S19-H북</t>
        </is>
      </c>
      <c r="D984" s="25" t="inlineStr">
        <is>
          <t>측정</t>
        </is>
      </c>
      <c r="E984" s="25" t="inlineStr">
        <is>
          <t>북</t>
        </is>
      </c>
      <c r="F984" s="30" t="n">
        <v>3</v>
      </c>
      <c r="G984" s="29" t="n"/>
      <c r="H984" s="42" t="n"/>
      <c r="I984" s="40" t="n"/>
      <c r="J984" s="40" t="n"/>
      <c r="K984" s="40" t="n"/>
      <c r="L984" s="30">
        <f>IF(COUNT(I984:K984)=0,"",MEDIAN(I984:K984))</f>
        <v/>
      </c>
      <c r="M984" s="25">
        <f>IF(COUNTIFS($C:$C,$C984,$D:$D,"P0(전)",$L:$L,"&gt;0")&lt;&gt;1,"P0(전) 유효 1개 아님",IF(COUNTIFS($C:$C,$C984,$D:$D,"P0(후)",$L:$L,"&gt;0")&lt;&gt;1,"P0(후) 유효 1개 아님",IF(NOT(AND(ISNUMBER(N984),ISNUMBER(P984),ISNUMBER(H984))),"시각 결측",IF(P984&lt;=N984,"P0 시각 역전",IF(OR(H984&lt;N984,H984&gt;P984),"측정시각 구간 밖","OK")))))</f>
        <v/>
      </c>
      <c r="N984" s="45">
        <f>IF(COUNTIFS($C:$C,$C984,$D:$D,"P0(전)",$L:$L,"&gt;0")&lt;&gt;1,"",SUMIFS($H:$H,$C:$C,$C984,$D:$D,"P0(전)"))</f>
        <v/>
      </c>
      <c r="O984" s="30">
        <f>IF(COUNTIFS($C:$C,$C984,$D:$D,"P0(전)",$L:$L,"&gt;0")&lt;&gt;1,"",SUMIFS($L:$L,$C:$C,$C984,$D:$D,"P0(전)"))</f>
        <v/>
      </c>
      <c r="P984" s="45">
        <f>IF(COUNTIFS($C:$C,$C984,$D:$D,"P0(후)",$L:$L,"&gt;0")&lt;&gt;1,"",SUMIFS($H:$H,$C:$C,$C984,$D:$D,"P0(후)"))</f>
        <v/>
      </c>
      <c r="Q984" s="30">
        <f>IF(COUNTIFS($C:$C,$C984,$D:$D,"P0(후)",$L:$L,"&gt;0")&lt;&gt;1,"",SUMIFS($L:$L,$C:$C,$C984,$D:$D,"P0(후)"))</f>
        <v/>
      </c>
      <c r="R984" s="30">
        <f>IF(M984&lt;&gt;"OK","",O984+(Q984-O984)*(H984-N984)/(P984-N984))</f>
        <v/>
      </c>
      <c r="S984" s="30">
        <f>IF(OR(M984&lt;&gt;"OK",NOT(ISNUMBER(L984))),"",L984-R984)</f>
        <v/>
      </c>
      <c r="T984" s="46">
        <f>IF(OR(NOT(ISNUMBER(S984)),IF(ISNUMBER(G984),G984,F984)=0),"",S984/IF(ISNUMBER(G984),G984,F984))</f>
        <v/>
      </c>
      <c r="U984" s="46">
        <f>IF(ISNUMBER(T984),ABS(T984),"")</f>
        <v/>
      </c>
      <c r="V984" s="46">
        <f>IF(OR($D983&lt;&gt;"측정",$C983&lt;&gt;$C984,NOT(ISNUMBER(L984)),NOT(ISNUMBER(L983)),(IF(ISNUMBER(G984),G984,F984)-IF(ISNUMBER(G983),G983,F983))=0),"",(L984-L983)/(IF(ISNUMBER(G984),G984,F984)-IF(ISNUMBER(G983),G983,F983)))</f>
        <v/>
      </c>
      <c r="W984" s="30">
        <f>IF(NOT(AND(ISNUMBER(N984),ISNUMBER(P984))),"",(P984-N984)*1440)</f>
        <v/>
      </c>
      <c r="X984" s="28" t="n"/>
      <c r="Y984" s="28" t="n"/>
      <c r="Z984" s="28" t="n"/>
      <c r="AA984" s="31" t="n"/>
      <c r="AB984" s="31" t="n"/>
    </row>
    <row r="985">
      <c r="A985" s="25" t="inlineStr">
        <is>
          <t>S19</t>
        </is>
      </c>
      <c r="B985" s="25" t="inlineStr">
        <is>
          <t>오호 신규점</t>
        </is>
      </c>
      <c r="C985" s="25" t="inlineStr">
        <is>
          <t>S19-H북</t>
        </is>
      </c>
      <c r="D985" s="25" t="inlineStr">
        <is>
          <t>측정</t>
        </is>
      </c>
      <c r="E985" s="25" t="inlineStr">
        <is>
          <t>북</t>
        </is>
      </c>
      <c r="F985" s="30" t="n">
        <v>4</v>
      </c>
      <c r="G985" s="29" t="n"/>
      <c r="H985" s="42" t="n"/>
      <c r="I985" s="40" t="n"/>
      <c r="J985" s="40" t="n"/>
      <c r="K985" s="40" t="n"/>
      <c r="L985" s="30">
        <f>IF(COUNT(I985:K985)=0,"",MEDIAN(I985:K985))</f>
        <v/>
      </c>
      <c r="M985" s="25">
        <f>IF(COUNTIFS($C:$C,$C985,$D:$D,"P0(전)",$L:$L,"&gt;0")&lt;&gt;1,"P0(전) 유효 1개 아님",IF(COUNTIFS($C:$C,$C985,$D:$D,"P0(후)",$L:$L,"&gt;0")&lt;&gt;1,"P0(후) 유효 1개 아님",IF(NOT(AND(ISNUMBER(N985),ISNUMBER(P985),ISNUMBER(H985))),"시각 결측",IF(P985&lt;=N985,"P0 시각 역전",IF(OR(H985&lt;N985,H985&gt;P985),"측정시각 구간 밖","OK")))))</f>
        <v/>
      </c>
      <c r="N985" s="45">
        <f>IF(COUNTIFS($C:$C,$C985,$D:$D,"P0(전)",$L:$L,"&gt;0")&lt;&gt;1,"",SUMIFS($H:$H,$C:$C,$C985,$D:$D,"P0(전)"))</f>
        <v/>
      </c>
      <c r="O985" s="30">
        <f>IF(COUNTIFS($C:$C,$C985,$D:$D,"P0(전)",$L:$L,"&gt;0")&lt;&gt;1,"",SUMIFS($L:$L,$C:$C,$C985,$D:$D,"P0(전)"))</f>
        <v/>
      </c>
      <c r="P985" s="45">
        <f>IF(COUNTIFS($C:$C,$C985,$D:$D,"P0(후)",$L:$L,"&gt;0")&lt;&gt;1,"",SUMIFS($H:$H,$C:$C,$C985,$D:$D,"P0(후)"))</f>
        <v/>
      </c>
      <c r="Q985" s="30">
        <f>IF(COUNTIFS($C:$C,$C985,$D:$D,"P0(후)",$L:$L,"&gt;0")&lt;&gt;1,"",SUMIFS($L:$L,$C:$C,$C985,$D:$D,"P0(후)"))</f>
        <v/>
      </c>
      <c r="R985" s="30">
        <f>IF(M985&lt;&gt;"OK","",O985+(Q985-O985)*(H985-N985)/(P985-N985))</f>
        <v/>
      </c>
      <c r="S985" s="30">
        <f>IF(OR(M985&lt;&gt;"OK",NOT(ISNUMBER(L985))),"",L985-R985)</f>
        <v/>
      </c>
      <c r="T985" s="46">
        <f>IF(OR(NOT(ISNUMBER(S985)),IF(ISNUMBER(G985),G985,F985)=0),"",S985/IF(ISNUMBER(G985),G985,F985))</f>
        <v/>
      </c>
      <c r="U985" s="46">
        <f>IF(ISNUMBER(T985),ABS(T985),"")</f>
        <v/>
      </c>
      <c r="V985" s="46">
        <f>IF(OR($D984&lt;&gt;"측정",$C984&lt;&gt;$C985,NOT(ISNUMBER(L985)),NOT(ISNUMBER(L984)),(IF(ISNUMBER(G985),G985,F985)-IF(ISNUMBER(G984),G984,F984))=0),"",(L985-L984)/(IF(ISNUMBER(G985),G985,F985)-IF(ISNUMBER(G984),G984,F984)))</f>
        <v/>
      </c>
      <c r="W985" s="30">
        <f>IF(NOT(AND(ISNUMBER(N985),ISNUMBER(P985))),"",(P985-N985)*1440)</f>
        <v/>
      </c>
      <c r="X985" s="28" t="n"/>
      <c r="Y985" s="28" t="n"/>
      <c r="Z985" s="28" t="n"/>
      <c r="AA985" s="31" t="n"/>
      <c r="AB985" s="31" t="n"/>
    </row>
    <row r="986">
      <c r="A986" s="25" t="inlineStr">
        <is>
          <t>S19</t>
        </is>
      </c>
      <c r="B986" s="25" t="inlineStr">
        <is>
          <t>오호 신규점</t>
        </is>
      </c>
      <c r="C986" s="25" t="inlineStr">
        <is>
          <t>S19-H북</t>
        </is>
      </c>
      <c r="D986" s="25" t="inlineStr">
        <is>
          <t>측정</t>
        </is>
      </c>
      <c r="E986" s="25" t="inlineStr">
        <is>
          <t>북</t>
        </is>
      </c>
      <c r="F986" s="30" t="n">
        <v>5</v>
      </c>
      <c r="G986" s="29" t="n"/>
      <c r="H986" s="42" t="n"/>
      <c r="I986" s="40" t="n"/>
      <c r="J986" s="40" t="n"/>
      <c r="K986" s="40" t="n"/>
      <c r="L986" s="30">
        <f>IF(COUNT(I986:K986)=0,"",MEDIAN(I986:K986))</f>
        <v/>
      </c>
      <c r="M986" s="25">
        <f>IF(COUNTIFS($C:$C,$C986,$D:$D,"P0(전)",$L:$L,"&gt;0")&lt;&gt;1,"P0(전) 유효 1개 아님",IF(COUNTIFS($C:$C,$C986,$D:$D,"P0(후)",$L:$L,"&gt;0")&lt;&gt;1,"P0(후) 유효 1개 아님",IF(NOT(AND(ISNUMBER(N986),ISNUMBER(P986),ISNUMBER(H986))),"시각 결측",IF(P986&lt;=N986,"P0 시각 역전",IF(OR(H986&lt;N986,H986&gt;P986),"측정시각 구간 밖","OK")))))</f>
        <v/>
      </c>
      <c r="N986" s="45">
        <f>IF(COUNTIFS($C:$C,$C986,$D:$D,"P0(전)",$L:$L,"&gt;0")&lt;&gt;1,"",SUMIFS($H:$H,$C:$C,$C986,$D:$D,"P0(전)"))</f>
        <v/>
      </c>
      <c r="O986" s="30">
        <f>IF(COUNTIFS($C:$C,$C986,$D:$D,"P0(전)",$L:$L,"&gt;0")&lt;&gt;1,"",SUMIFS($L:$L,$C:$C,$C986,$D:$D,"P0(전)"))</f>
        <v/>
      </c>
      <c r="P986" s="45">
        <f>IF(COUNTIFS($C:$C,$C986,$D:$D,"P0(후)",$L:$L,"&gt;0")&lt;&gt;1,"",SUMIFS($H:$H,$C:$C,$C986,$D:$D,"P0(후)"))</f>
        <v/>
      </c>
      <c r="Q986" s="30">
        <f>IF(COUNTIFS($C:$C,$C986,$D:$D,"P0(후)",$L:$L,"&gt;0")&lt;&gt;1,"",SUMIFS($L:$L,$C:$C,$C986,$D:$D,"P0(후)"))</f>
        <v/>
      </c>
      <c r="R986" s="30">
        <f>IF(M986&lt;&gt;"OK","",O986+(Q986-O986)*(H986-N986)/(P986-N986))</f>
        <v/>
      </c>
      <c r="S986" s="30">
        <f>IF(OR(M986&lt;&gt;"OK",NOT(ISNUMBER(L986))),"",L986-R986)</f>
        <v/>
      </c>
      <c r="T986" s="46">
        <f>IF(OR(NOT(ISNUMBER(S986)),IF(ISNUMBER(G986),G986,F986)=0),"",S986/IF(ISNUMBER(G986),G986,F986))</f>
        <v/>
      </c>
      <c r="U986" s="46">
        <f>IF(ISNUMBER(T986),ABS(T986),"")</f>
        <v/>
      </c>
      <c r="V986" s="46">
        <f>IF(OR($D985&lt;&gt;"측정",$C985&lt;&gt;$C986,NOT(ISNUMBER(L986)),NOT(ISNUMBER(L985)),(IF(ISNUMBER(G986),G986,F986)-IF(ISNUMBER(G985),G985,F985))=0),"",(L986-L985)/(IF(ISNUMBER(G986),G986,F986)-IF(ISNUMBER(G985),G985,F985)))</f>
        <v/>
      </c>
      <c r="W986" s="30">
        <f>IF(NOT(AND(ISNUMBER(N986),ISNUMBER(P986))),"",(P986-N986)*1440)</f>
        <v/>
      </c>
      <c r="X986" s="28" t="n"/>
      <c r="Y986" s="28" t="n"/>
      <c r="Z986" s="28" t="n"/>
      <c r="AA986" s="31" t="n"/>
      <c r="AB986" s="31" t="n"/>
    </row>
    <row r="987">
      <c r="A987" s="25" t="inlineStr">
        <is>
          <t>S19</t>
        </is>
      </c>
      <c r="B987" s="25" t="inlineStr">
        <is>
          <t>오호 신규점</t>
        </is>
      </c>
      <c r="C987" s="25" t="inlineStr">
        <is>
          <t>S19-H북</t>
        </is>
      </c>
      <c r="D987" s="25" t="inlineStr">
        <is>
          <t>측정</t>
        </is>
      </c>
      <c r="E987" s="25" t="inlineStr">
        <is>
          <t>북</t>
        </is>
      </c>
      <c r="F987" s="30" t="n">
        <v>6</v>
      </c>
      <c r="G987" s="29" t="n"/>
      <c r="H987" s="42" t="n"/>
      <c r="I987" s="40" t="n"/>
      <c r="J987" s="40" t="n"/>
      <c r="K987" s="40" t="n"/>
      <c r="L987" s="30">
        <f>IF(COUNT(I987:K987)=0,"",MEDIAN(I987:K987))</f>
        <v/>
      </c>
      <c r="M987" s="25">
        <f>IF(COUNTIFS($C:$C,$C987,$D:$D,"P0(전)",$L:$L,"&gt;0")&lt;&gt;1,"P0(전) 유효 1개 아님",IF(COUNTIFS($C:$C,$C987,$D:$D,"P0(후)",$L:$L,"&gt;0")&lt;&gt;1,"P0(후) 유효 1개 아님",IF(NOT(AND(ISNUMBER(N987),ISNUMBER(P987),ISNUMBER(H987))),"시각 결측",IF(P987&lt;=N987,"P0 시각 역전",IF(OR(H987&lt;N987,H987&gt;P987),"측정시각 구간 밖","OK")))))</f>
        <v/>
      </c>
      <c r="N987" s="45">
        <f>IF(COUNTIFS($C:$C,$C987,$D:$D,"P0(전)",$L:$L,"&gt;0")&lt;&gt;1,"",SUMIFS($H:$H,$C:$C,$C987,$D:$D,"P0(전)"))</f>
        <v/>
      </c>
      <c r="O987" s="30">
        <f>IF(COUNTIFS($C:$C,$C987,$D:$D,"P0(전)",$L:$L,"&gt;0")&lt;&gt;1,"",SUMIFS($L:$L,$C:$C,$C987,$D:$D,"P0(전)"))</f>
        <v/>
      </c>
      <c r="P987" s="45">
        <f>IF(COUNTIFS($C:$C,$C987,$D:$D,"P0(후)",$L:$L,"&gt;0")&lt;&gt;1,"",SUMIFS($H:$H,$C:$C,$C987,$D:$D,"P0(후)"))</f>
        <v/>
      </c>
      <c r="Q987" s="30">
        <f>IF(COUNTIFS($C:$C,$C987,$D:$D,"P0(후)",$L:$L,"&gt;0")&lt;&gt;1,"",SUMIFS($L:$L,$C:$C,$C987,$D:$D,"P0(후)"))</f>
        <v/>
      </c>
      <c r="R987" s="30">
        <f>IF(M987&lt;&gt;"OK","",O987+(Q987-O987)*(H987-N987)/(P987-N987))</f>
        <v/>
      </c>
      <c r="S987" s="30">
        <f>IF(OR(M987&lt;&gt;"OK",NOT(ISNUMBER(L987))),"",L987-R987)</f>
        <v/>
      </c>
      <c r="T987" s="46">
        <f>IF(OR(NOT(ISNUMBER(S987)),IF(ISNUMBER(G987),G987,F987)=0),"",S987/IF(ISNUMBER(G987),G987,F987))</f>
        <v/>
      </c>
      <c r="U987" s="46">
        <f>IF(ISNUMBER(T987),ABS(T987),"")</f>
        <v/>
      </c>
      <c r="V987" s="46">
        <f>IF(OR($D986&lt;&gt;"측정",$C986&lt;&gt;$C987,NOT(ISNUMBER(L987)),NOT(ISNUMBER(L986)),(IF(ISNUMBER(G987),G987,F987)-IF(ISNUMBER(G986),G986,F986))=0),"",(L987-L986)/(IF(ISNUMBER(G987),G987,F987)-IF(ISNUMBER(G986),G986,F986)))</f>
        <v/>
      </c>
      <c r="W987" s="30">
        <f>IF(NOT(AND(ISNUMBER(N987),ISNUMBER(P987))),"",(P987-N987)*1440)</f>
        <v/>
      </c>
      <c r="X987" s="28" t="n"/>
      <c r="Y987" s="28" t="n"/>
      <c r="Z987" s="28" t="n"/>
      <c r="AA987" s="31" t="n"/>
      <c r="AB987" s="31" t="n"/>
    </row>
    <row r="988">
      <c r="A988" s="25" t="inlineStr">
        <is>
          <t>S19</t>
        </is>
      </c>
      <c r="B988" s="25" t="inlineStr">
        <is>
          <t>오호 신규점</t>
        </is>
      </c>
      <c r="C988" s="25" t="inlineStr">
        <is>
          <t>S19-H북</t>
        </is>
      </c>
      <c r="D988" s="25" t="inlineStr">
        <is>
          <t>측정</t>
        </is>
      </c>
      <c r="E988" s="25" t="inlineStr">
        <is>
          <t>북</t>
        </is>
      </c>
      <c r="F988" s="30" t="n">
        <v>7</v>
      </c>
      <c r="G988" s="29" t="n"/>
      <c r="H988" s="42" t="n"/>
      <c r="I988" s="40" t="n"/>
      <c r="J988" s="40" t="n"/>
      <c r="K988" s="40" t="n"/>
      <c r="L988" s="30">
        <f>IF(COUNT(I988:K988)=0,"",MEDIAN(I988:K988))</f>
        <v/>
      </c>
      <c r="M988" s="25">
        <f>IF(COUNTIFS($C:$C,$C988,$D:$D,"P0(전)",$L:$L,"&gt;0")&lt;&gt;1,"P0(전) 유효 1개 아님",IF(COUNTIFS($C:$C,$C988,$D:$D,"P0(후)",$L:$L,"&gt;0")&lt;&gt;1,"P0(후) 유효 1개 아님",IF(NOT(AND(ISNUMBER(N988),ISNUMBER(P988),ISNUMBER(H988))),"시각 결측",IF(P988&lt;=N988,"P0 시각 역전",IF(OR(H988&lt;N988,H988&gt;P988),"측정시각 구간 밖","OK")))))</f>
        <v/>
      </c>
      <c r="N988" s="45">
        <f>IF(COUNTIFS($C:$C,$C988,$D:$D,"P0(전)",$L:$L,"&gt;0")&lt;&gt;1,"",SUMIFS($H:$H,$C:$C,$C988,$D:$D,"P0(전)"))</f>
        <v/>
      </c>
      <c r="O988" s="30">
        <f>IF(COUNTIFS($C:$C,$C988,$D:$D,"P0(전)",$L:$L,"&gt;0")&lt;&gt;1,"",SUMIFS($L:$L,$C:$C,$C988,$D:$D,"P0(전)"))</f>
        <v/>
      </c>
      <c r="P988" s="45">
        <f>IF(COUNTIFS($C:$C,$C988,$D:$D,"P0(후)",$L:$L,"&gt;0")&lt;&gt;1,"",SUMIFS($H:$H,$C:$C,$C988,$D:$D,"P0(후)"))</f>
        <v/>
      </c>
      <c r="Q988" s="30">
        <f>IF(COUNTIFS($C:$C,$C988,$D:$D,"P0(후)",$L:$L,"&gt;0")&lt;&gt;1,"",SUMIFS($L:$L,$C:$C,$C988,$D:$D,"P0(후)"))</f>
        <v/>
      </c>
      <c r="R988" s="30">
        <f>IF(M988&lt;&gt;"OK","",O988+(Q988-O988)*(H988-N988)/(P988-N988))</f>
        <v/>
      </c>
      <c r="S988" s="30">
        <f>IF(OR(M988&lt;&gt;"OK",NOT(ISNUMBER(L988))),"",L988-R988)</f>
        <v/>
      </c>
      <c r="T988" s="46">
        <f>IF(OR(NOT(ISNUMBER(S988)),IF(ISNUMBER(G988),G988,F988)=0),"",S988/IF(ISNUMBER(G988),G988,F988))</f>
        <v/>
      </c>
      <c r="U988" s="46">
        <f>IF(ISNUMBER(T988),ABS(T988),"")</f>
        <v/>
      </c>
      <c r="V988" s="46">
        <f>IF(OR($D987&lt;&gt;"측정",$C987&lt;&gt;$C988,NOT(ISNUMBER(L988)),NOT(ISNUMBER(L987)),(IF(ISNUMBER(G988),G988,F988)-IF(ISNUMBER(G987),G987,F987))=0),"",(L988-L987)/(IF(ISNUMBER(G988),G988,F988)-IF(ISNUMBER(G987),G987,F987)))</f>
        <v/>
      </c>
      <c r="W988" s="30">
        <f>IF(NOT(AND(ISNUMBER(N988),ISNUMBER(P988))),"",(P988-N988)*1440)</f>
        <v/>
      </c>
      <c r="X988" s="28" t="n"/>
      <c r="Y988" s="28" t="n"/>
      <c r="Z988" s="28" t="n"/>
      <c r="AA988" s="31" t="n"/>
      <c r="AB988" s="31" t="n"/>
    </row>
    <row r="989">
      <c r="A989" s="25" t="inlineStr">
        <is>
          <t>S19</t>
        </is>
      </c>
      <c r="B989" s="25" t="inlineStr">
        <is>
          <t>오호 신규점</t>
        </is>
      </c>
      <c r="C989" s="25" t="inlineStr">
        <is>
          <t>S19-H북</t>
        </is>
      </c>
      <c r="D989" s="25" t="inlineStr">
        <is>
          <t>측정</t>
        </is>
      </c>
      <c r="E989" s="25" t="inlineStr">
        <is>
          <t>북</t>
        </is>
      </c>
      <c r="F989" s="30" t="n">
        <v>8</v>
      </c>
      <c r="G989" s="29" t="n"/>
      <c r="H989" s="42" t="n"/>
      <c r="I989" s="40" t="n"/>
      <c r="J989" s="40" t="n"/>
      <c r="K989" s="40" t="n"/>
      <c r="L989" s="30">
        <f>IF(COUNT(I989:K989)=0,"",MEDIAN(I989:K989))</f>
        <v/>
      </c>
      <c r="M989" s="25">
        <f>IF(COUNTIFS($C:$C,$C989,$D:$D,"P0(전)",$L:$L,"&gt;0")&lt;&gt;1,"P0(전) 유효 1개 아님",IF(COUNTIFS($C:$C,$C989,$D:$D,"P0(후)",$L:$L,"&gt;0")&lt;&gt;1,"P0(후) 유효 1개 아님",IF(NOT(AND(ISNUMBER(N989),ISNUMBER(P989),ISNUMBER(H989))),"시각 결측",IF(P989&lt;=N989,"P0 시각 역전",IF(OR(H989&lt;N989,H989&gt;P989),"측정시각 구간 밖","OK")))))</f>
        <v/>
      </c>
      <c r="N989" s="45">
        <f>IF(COUNTIFS($C:$C,$C989,$D:$D,"P0(전)",$L:$L,"&gt;0")&lt;&gt;1,"",SUMIFS($H:$H,$C:$C,$C989,$D:$D,"P0(전)"))</f>
        <v/>
      </c>
      <c r="O989" s="30">
        <f>IF(COUNTIFS($C:$C,$C989,$D:$D,"P0(전)",$L:$L,"&gt;0")&lt;&gt;1,"",SUMIFS($L:$L,$C:$C,$C989,$D:$D,"P0(전)"))</f>
        <v/>
      </c>
      <c r="P989" s="45">
        <f>IF(COUNTIFS($C:$C,$C989,$D:$D,"P0(후)",$L:$L,"&gt;0")&lt;&gt;1,"",SUMIFS($H:$H,$C:$C,$C989,$D:$D,"P0(후)"))</f>
        <v/>
      </c>
      <c r="Q989" s="30">
        <f>IF(COUNTIFS($C:$C,$C989,$D:$D,"P0(후)",$L:$L,"&gt;0")&lt;&gt;1,"",SUMIFS($L:$L,$C:$C,$C989,$D:$D,"P0(후)"))</f>
        <v/>
      </c>
      <c r="R989" s="30">
        <f>IF(M989&lt;&gt;"OK","",O989+(Q989-O989)*(H989-N989)/(P989-N989))</f>
        <v/>
      </c>
      <c r="S989" s="30">
        <f>IF(OR(M989&lt;&gt;"OK",NOT(ISNUMBER(L989))),"",L989-R989)</f>
        <v/>
      </c>
      <c r="T989" s="46">
        <f>IF(OR(NOT(ISNUMBER(S989)),IF(ISNUMBER(G989),G989,F989)=0),"",S989/IF(ISNUMBER(G989),G989,F989))</f>
        <v/>
      </c>
      <c r="U989" s="46">
        <f>IF(ISNUMBER(T989),ABS(T989),"")</f>
        <v/>
      </c>
      <c r="V989" s="46">
        <f>IF(OR($D988&lt;&gt;"측정",$C988&lt;&gt;$C989,NOT(ISNUMBER(L989)),NOT(ISNUMBER(L988)),(IF(ISNUMBER(G989),G989,F989)-IF(ISNUMBER(G988),G988,F988))=0),"",(L989-L988)/(IF(ISNUMBER(G989),G989,F989)-IF(ISNUMBER(G988),G988,F988)))</f>
        <v/>
      </c>
      <c r="W989" s="30">
        <f>IF(NOT(AND(ISNUMBER(N989),ISNUMBER(P989))),"",(P989-N989)*1440)</f>
        <v/>
      </c>
      <c r="X989" s="28" t="n"/>
      <c r="Y989" s="28" t="n"/>
      <c r="Z989" s="28" t="n"/>
      <c r="AA989" s="31" t="n"/>
      <c r="AB989" s="31" t="n"/>
    </row>
    <row r="990">
      <c r="A990" s="25" t="inlineStr">
        <is>
          <t>S19</t>
        </is>
      </c>
      <c r="B990" s="25" t="inlineStr">
        <is>
          <t>오호 신규점</t>
        </is>
      </c>
      <c r="C990" s="25" t="inlineStr">
        <is>
          <t>S19-H북</t>
        </is>
      </c>
      <c r="D990" s="25" t="inlineStr">
        <is>
          <t>측정</t>
        </is>
      </c>
      <c r="E990" s="25" t="inlineStr">
        <is>
          <t>북</t>
        </is>
      </c>
      <c r="F990" s="30" t="n">
        <v>9</v>
      </c>
      <c r="G990" s="29" t="n"/>
      <c r="H990" s="42" t="n"/>
      <c r="I990" s="40" t="n"/>
      <c r="J990" s="40" t="n"/>
      <c r="K990" s="40" t="n"/>
      <c r="L990" s="30">
        <f>IF(COUNT(I990:K990)=0,"",MEDIAN(I990:K990))</f>
        <v/>
      </c>
      <c r="M990" s="25">
        <f>IF(COUNTIFS($C:$C,$C990,$D:$D,"P0(전)",$L:$L,"&gt;0")&lt;&gt;1,"P0(전) 유효 1개 아님",IF(COUNTIFS($C:$C,$C990,$D:$D,"P0(후)",$L:$L,"&gt;0")&lt;&gt;1,"P0(후) 유효 1개 아님",IF(NOT(AND(ISNUMBER(N990),ISNUMBER(P990),ISNUMBER(H990))),"시각 결측",IF(P990&lt;=N990,"P0 시각 역전",IF(OR(H990&lt;N990,H990&gt;P990),"측정시각 구간 밖","OK")))))</f>
        <v/>
      </c>
      <c r="N990" s="45">
        <f>IF(COUNTIFS($C:$C,$C990,$D:$D,"P0(전)",$L:$L,"&gt;0")&lt;&gt;1,"",SUMIFS($H:$H,$C:$C,$C990,$D:$D,"P0(전)"))</f>
        <v/>
      </c>
      <c r="O990" s="30">
        <f>IF(COUNTIFS($C:$C,$C990,$D:$D,"P0(전)",$L:$L,"&gt;0")&lt;&gt;1,"",SUMIFS($L:$L,$C:$C,$C990,$D:$D,"P0(전)"))</f>
        <v/>
      </c>
      <c r="P990" s="45">
        <f>IF(COUNTIFS($C:$C,$C990,$D:$D,"P0(후)",$L:$L,"&gt;0")&lt;&gt;1,"",SUMIFS($H:$H,$C:$C,$C990,$D:$D,"P0(후)"))</f>
        <v/>
      </c>
      <c r="Q990" s="30">
        <f>IF(COUNTIFS($C:$C,$C990,$D:$D,"P0(후)",$L:$L,"&gt;0")&lt;&gt;1,"",SUMIFS($L:$L,$C:$C,$C990,$D:$D,"P0(후)"))</f>
        <v/>
      </c>
      <c r="R990" s="30">
        <f>IF(M990&lt;&gt;"OK","",O990+(Q990-O990)*(H990-N990)/(P990-N990))</f>
        <v/>
      </c>
      <c r="S990" s="30">
        <f>IF(OR(M990&lt;&gt;"OK",NOT(ISNUMBER(L990))),"",L990-R990)</f>
        <v/>
      </c>
      <c r="T990" s="46">
        <f>IF(OR(NOT(ISNUMBER(S990)),IF(ISNUMBER(G990),G990,F990)=0),"",S990/IF(ISNUMBER(G990),G990,F990))</f>
        <v/>
      </c>
      <c r="U990" s="46">
        <f>IF(ISNUMBER(T990),ABS(T990),"")</f>
        <v/>
      </c>
      <c r="V990" s="46">
        <f>IF(OR($D989&lt;&gt;"측정",$C989&lt;&gt;$C990,NOT(ISNUMBER(L990)),NOT(ISNUMBER(L989)),(IF(ISNUMBER(G990),G990,F990)-IF(ISNUMBER(G989),G989,F989))=0),"",(L990-L989)/(IF(ISNUMBER(G990),G990,F990)-IF(ISNUMBER(G989),G989,F989)))</f>
        <v/>
      </c>
      <c r="W990" s="30">
        <f>IF(NOT(AND(ISNUMBER(N990),ISNUMBER(P990))),"",(P990-N990)*1440)</f>
        <v/>
      </c>
      <c r="X990" s="28" t="n"/>
      <c r="Y990" s="28" t="n"/>
      <c r="Z990" s="28" t="n"/>
      <c r="AA990" s="31" t="n"/>
      <c r="AB990" s="31" t="n"/>
    </row>
    <row r="991">
      <c r="A991" s="25" t="inlineStr">
        <is>
          <t>S19</t>
        </is>
      </c>
      <c r="B991" s="25" t="inlineStr">
        <is>
          <t>오호 신규점</t>
        </is>
      </c>
      <c r="C991" s="25" t="inlineStr">
        <is>
          <t>S19-H북</t>
        </is>
      </c>
      <c r="D991" s="25" t="inlineStr">
        <is>
          <t>측정</t>
        </is>
      </c>
      <c r="E991" s="25" t="inlineStr">
        <is>
          <t>북</t>
        </is>
      </c>
      <c r="F991" s="30" t="n">
        <v>10</v>
      </c>
      <c r="G991" s="29" t="n"/>
      <c r="H991" s="42" t="n"/>
      <c r="I991" s="40" t="n"/>
      <c r="J991" s="40" t="n"/>
      <c r="K991" s="40" t="n"/>
      <c r="L991" s="30">
        <f>IF(COUNT(I991:K991)=0,"",MEDIAN(I991:K991))</f>
        <v/>
      </c>
      <c r="M991" s="25">
        <f>IF(COUNTIFS($C:$C,$C991,$D:$D,"P0(전)",$L:$L,"&gt;0")&lt;&gt;1,"P0(전) 유효 1개 아님",IF(COUNTIFS($C:$C,$C991,$D:$D,"P0(후)",$L:$L,"&gt;0")&lt;&gt;1,"P0(후) 유효 1개 아님",IF(NOT(AND(ISNUMBER(N991),ISNUMBER(P991),ISNUMBER(H991))),"시각 결측",IF(P991&lt;=N991,"P0 시각 역전",IF(OR(H991&lt;N991,H991&gt;P991),"측정시각 구간 밖","OK")))))</f>
        <v/>
      </c>
      <c r="N991" s="45">
        <f>IF(COUNTIFS($C:$C,$C991,$D:$D,"P0(전)",$L:$L,"&gt;0")&lt;&gt;1,"",SUMIFS($H:$H,$C:$C,$C991,$D:$D,"P0(전)"))</f>
        <v/>
      </c>
      <c r="O991" s="30">
        <f>IF(COUNTIFS($C:$C,$C991,$D:$D,"P0(전)",$L:$L,"&gt;0")&lt;&gt;1,"",SUMIFS($L:$L,$C:$C,$C991,$D:$D,"P0(전)"))</f>
        <v/>
      </c>
      <c r="P991" s="45">
        <f>IF(COUNTIFS($C:$C,$C991,$D:$D,"P0(후)",$L:$L,"&gt;0")&lt;&gt;1,"",SUMIFS($H:$H,$C:$C,$C991,$D:$D,"P0(후)"))</f>
        <v/>
      </c>
      <c r="Q991" s="30">
        <f>IF(COUNTIFS($C:$C,$C991,$D:$D,"P0(후)",$L:$L,"&gt;0")&lt;&gt;1,"",SUMIFS($L:$L,$C:$C,$C991,$D:$D,"P0(후)"))</f>
        <v/>
      </c>
      <c r="R991" s="30">
        <f>IF(M991&lt;&gt;"OK","",O991+(Q991-O991)*(H991-N991)/(P991-N991))</f>
        <v/>
      </c>
      <c r="S991" s="30">
        <f>IF(OR(M991&lt;&gt;"OK",NOT(ISNUMBER(L991))),"",L991-R991)</f>
        <v/>
      </c>
      <c r="T991" s="46">
        <f>IF(OR(NOT(ISNUMBER(S991)),IF(ISNUMBER(G991),G991,F991)=0),"",S991/IF(ISNUMBER(G991),G991,F991))</f>
        <v/>
      </c>
      <c r="U991" s="46">
        <f>IF(ISNUMBER(T991),ABS(T991),"")</f>
        <v/>
      </c>
      <c r="V991" s="46">
        <f>IF(OR($D990&lt;&gt;"측정",$C990&lt;&gt;$C991,NOT(ISNUMBER(L991)),NOT(ISNUMBER(L990)),(IF(ISNUMBER(G991),G991,F991)-IF(ISNUMBER(G990),G990,F990))=0),"",(L991-L990)/(IF(ISNUMBER(G991),G991,F991)-IF(ISNUMBER(G990),G990,F990)))</f>
        <v/>
      </c>
      <c r="W991" s="30">
        <f>IF(NOT(AND(ISNUMBER(N991),ISNUMBER(P991))),"",(P991-N991)*1440)</f>
        <v/>
      </c>
      <c r="X991" s="28" t="n"/>
      <c r="Y991" s="28" t="n"/>
      <c r="Z991" s="28" t="n"/>
      <c r="AA991" s="31" t="n"/>
      <c r="AB991" s="31" t="n"/>
    </row>
    <row r="992">
      <c r="A992" s="43" t="inlineStr">
        <is>
          <t>S19</t>
        </is>
      </c>
      <c r="B992" s="43" t="inlineStr">
        <is>
          <t>오호 신규점</t>
        </is>
      </c>
      <c r="C992" s="43" t="inlineStr">
        <is>
          <t>S19-H북</t>
        </is>
      </c>
      <c r="D992" s="43" t="inlineStr">
        <is>
          <t>P0(후)</t>
        </is>
      </c>
      <c r="E992" s="43" t="inlineStr">
        <is>
          <t>북</t>
        </is>
      </c>
      <c r="F992" s="44" t="n"/>
      <c r="G992" s="29" t="n"/>
      <c r="H992" s="42" t="n"/>
      <c r="I992" s="40" t="n"/>
      <c r="J992" s="40" t="n"/>
      <c r="K992" s="40" t="n"/>
      <c r="L992" s="30">
        <f>IF(COUNT(I992:K992)=0,"",MEDIAN(I992:K992))</f>
        <v/>
      </c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28" t="n"/>
      <c r="Y992" s="28" t="n"/>
      <c r="Z992" s="28" t="n"/>
      <c r="AA992" s="31" t="n"/>
      <c r="AB992" s="31" t="n"/>
    </row>
    <row r="993">
      <c r="A993" s="43" t="inlineStr">
        <is>
          <t>S20</t>
        </is>
      </c>
      <c r="B993" s="43" t="inlineStr">
        <is>
          <t>보령 신규점2</t>
        </is>
      </c>
      <c r="C993" s="43" t="inlineStr">
        <is>
          <t>S20-H동</t>
        </is>
      </c>
      <c r="D993" s="43" t="inlineStr">
        <is>
          <t>P0(전)</t>
        </is>
      </c>
      <c r="E993" s="43" t="inlineStr">
        <is>
          <t>동</t>
        </is>
      </c>
      <c r="F993" s="44" t="n"/>
      <c r="G993" s="29" t="n"/>
      <c r="H993" s="42" t="n"/>
      <c r="I993" s="40" t="n"/>
      <c r="J993" s="40" t="n"/>
      <c r="K993" s="40" t="n"/>
      <c r="L993" s="30">
        <f>IF(COUNT(I993:K993)=0,"",MEDIAN(I993:K993))</f>
        <v/>
      </c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28" t="n"/>
      <c r="Y993" s="28" t="n"/>
      <c r="Z993" s="28" t="n"/>
      <c r="AA993" s="31" t="n"/>
      <c r="AB993" s="31" t="n"/>
    </row>
    <row r="994">
      <c r="A994" s="25" t="inlineStr">
        <is>
          <t>S20</t>
        </is>
      </c>
      <c r="B994" s="25" t="inlineStr">
        <is>
          <t>보령 신규점2</t>
        </is>
      </c>
      <c r="C994" s="25" t="inlineStr">
        <is>
          <t>S20-H동</t>
        </is>
      </c>
      <c r="D994" s="25" t="inlineStr">
        <is>
          <t>측정</t>
        </is>
      </c>
      <c r="E994" s="25" t="inlineStr">
        <is>
          <t>동</t>
        </is>
      </c>
      <c r="F994" s="30" t="n">
        <v>0.5</v>
      </c>
      <c r="G994" s="29" t="n"/>
      <c r="H994" s="42" t="n"/>
      <c r="I994" s="40" t="n"/>
      <c r="J994" s="40" t="n"/>
      <c r="K994" s="40" t="n"/>
      <c r="L994" s="30">
        <f>IF(COUNT(I994:K994)=0,"",MEDIAN(I994:K994))</f>
        <v/>
      </c>
      <c r="M994" s="25">
        <f>IF(COUNTIFS($C:$C,$C994,$D:$D,"P0(전)",$L:$L,"&gt;0")&lt;&gt;1,"P0(전) 유효 1개 아님",IF(COUNTIFS($C:$C,$C994,$D:$D,"P0(후)",$L:$L,"&gt;0")&lt;&gt;1,"P0(후) 유효 1개 아님",IF(NOT(AND(ISNUMBER(N994),ISNUMBER(P994),ISNUMBER(H994))),"시각 결측",IF(P994&lt;=N994,"P0 시각 역전",IF(OR(H994&lt;N994,H994&gt;P994),"측정시각 구간 밖","OK")))))</f>
        <v/>
      </c>
      <c r="N994" s="45">
        <f>IF(COUNTIFS($C:$C,$C994,$D:$D,"P0(전)",$L:$L,"&gt;0")&lt;&gt;1,"",SUMIFS($H:$H,$C:$C,$C994,$D:$D,"P0(전)"))</f>
        <v/>
      </c>
      <c r="O994" s="30">
        <f>IF(COUNTIFS($C:$C,$C994,$D:$D,"P0(전)",$L:$L,"&gt;0")&lt;&gt;1,"",SUMIFS($L:$L,$C:$C,$C994,$D:$D,"P0(전)"))</f>
        <v/>
      </c>
      <c r="P994" s="45">
        <f>IF(COUNTIFS($C:$C,$C994,$D:$D,"P0(후)",$L:$L,"&gt;0")&lt;&gt;1,"",SUMIFS($H:$H,$C:$C,$C994,$D:$D,"P0(후)"))</f>
        <v/>
      </c>
      <c r="Q994" s="30">
        <f>IF(COUNTIFS($C:$C,$C994,$D:$D,"P0(후)",$L:$L,"&gt;0")&lt;&gt;1,"",SUMIFS($L:$L,$C:$C,$C994,$D:$D,"P0(후)"))</f>
        <v/>
      </c>
      <c r="R994" s="30">
        <f>IF(M994&lt;&gt;"OK","",O994+(Q994-O994)*(H994-N994)/(P994-N994))</f>
        <v/>
      </c>
      <c r="S994" s="30">
        <f>IF(OR(M994&lt;&gt;"OK",NOT(ISNUMBER(L994))),"",L994-R994)</f>
        <v/>
      </c>
      <c r="T994" s="46">
        <f>IF(OR(NOT(ISNUMBER(S994)),IF(ISNUMBER(G994),G994,F994)=0),"",S994/IF(ISNUMBER(G994),G994,F994))</f>
        <v/>
      </c>
      <c r="U994" s="46">
        <f>IF(ISNUMBER(T994),ABS(T994),"")</f>
        <v/>
      </c>
      <c r="V994" s="46">
        <f>IF(OR($D993&lt;&gt;"측정",$C993&lt;&gt;$C994,NOT(ISNUMBER(L994)),NOT(ISNUMBER(L993)),(IF(ISNUMBER(G994),G994,F994)-IF(ISNUMBER(G993),G993,F993))=0),"",(L994-L993)/(IF(ISNUMBER(G994),G994,F994)-IF(ISNUMBER(G993),G993,F993)))</f>
        <v/>
      </c>
      <c r="W994" s="30">
        <f>IF(NOT(AND(ISNUMBER(N994),ISNUMBER(P994))),"",(P994-N994)*1440)</f>
        <v/>
      </c>
      <c r="X994" s="28" t="n"/>
      <c r="Y994" s="28" t="n"/>
      <c r="Z994" s="28" t="n"/>
      <c r="AA994" s="31" t="n"/>
      <c r="AB994" s="31" t="n"/>
    </row>
    <row r="995">
      <c r="A995" s="25" t="inlineStr">
        <is>
          <t>S20</t>
        </is>
      </c>
      <c r="B995" s="25" t="inlineStr">
        <is>
          <t>보령 신규점2</t>
        </is>
      </c>
      <c r="C995" s="25" t="inlineStr">
        <is>
          <t>S20-H동</t>
        </is>
      </c>
      <c r="D995" s="25" t="inlineStr">
        <is>
          <t>측정</t>
        </is>
      </c>
      <c r="E995" s="25" t="inlineStr">
        <is>
          <t>동</t>
        </is>
      </c>
      <c r="F995" s="30" t="n">
        <v>1</v>
      </c>
      <c r="G995" s="29" t="n"/>
      <c r="H995" s="42" t="n"/>
      <c r="I995" s="40" t="n"/>
      <c r="J995" s="40" t="n"/>
      <c r="K995" s="40" t="n"/>
      <c r="L995" s="30">
        <f>IF(COUNT(I995:K995)=0,"",MEDIAN(I995:K995))</f>
        <v/>
      </c>
      <c r="M995" s="25">
        <f>IF(COUNTIFS($C:$C,$C995,$D:$D,"P0(전)",$L:$L,"&gt;0")&lt;&gt;1,"P0(전) 유효 1개 아님",IF(COUNTIFS($C:$C,$C995,$D:$D,"P0(후)",$L:$L,"&gt;0")&lt;&gt;1,"P0(후) 유효 1개 아님",IF(NOT(AND(ISNUMBER(N995),ISNUMBER(P995),ISNUMBER(H995))),"시각 결측",IF(P995&lt;=N995,"P0 시각 역전",IF(OR(H995&lt;N995,H995&gt;P995),"측정시각 구간 밖","OK")))))</f>
        <v/>
      </c>
      <c r="N995" s="45">
        <f>IF(COUNTIFS($C:$C,$C995,$D:$D,"P0(전)",$L:$L,"&gt;0")&lt;&gt;1,"",SUMIFS($H:$H,$C:$C,$C995,$D:$D,"P0(전)"))</f>
        <v/>
      </c>
      <c r="O995" s="30">
        <f>IF(COUNTIFS($C:$C,$C995,$D:$D,"P0(전)",$L:$L,"&gt;0")&lt;&gt;1,"",SUMIFS($L:$L,$C:$C,$C995,$D:$D,"P0(전)"))</f>
        <v/>
      </c>
      <c r="P995" s="45">
        <f>IF(COUNTIFS($C:$C,$C995,$D:$D,"P0(후)",$L:$L,"&gt;0")&lt;&gt;1,"",SUMIFS($H:$H,$C:$C,$C995,$D:$D,"P0(후)"))</f>
        <v/>
      </c>
      <c r="Q995" s="30">
        <f>IF(COUNTIFS($C:$C,$C995,$D:$D,"P0(후)",$L:$L,"&gt;0")&lt;&gt;1,"",SUMIFS($L:$L,$C:$C,$C995,$D:$D,"P0(후)"))</f>
        <v/>
      </c>
      <c r="R995" s="30">
        <f>IF(M995&lt;&gt;"OK","",O995+(Q995-O995)*(H995-N995)/(P995-N995))</f>
        <v/>
      </c>
      <c r="S995" s="30">
        <f>IF(OR(M995&lt;&gt;"OK",NOT(ISNUMBER(L995))),"",L995-R995)</f>
        <v/>
      </c>
      <c r="T995" s="46">
        <f>IF(OR(NOT(ISNUMBER(S995)),IF(ISNUMBER(G995),G995,F995)=0),"",S995/IF(ISNUMBER(G995),G995,F995))</f>
        <v/>
      </c>
      <c r="U995" s="46">
        <f>IF(ISNUMBER(T995),ABS(T995),"")</f>
        <v/>
      </c>
      <c r="V995" s="46">
        <f>IF(OR($D994&lt;&gt;"측정",$C994&lt;&gt;$C995,NOT(ISNUMBER(L995)),NOT(ISNUMBER(L994)),(IF(ISNUMBER(G995),G995,F995)-IF(ISNUMBER(G994),G994,F994))=0),"",(L995-L994)/(IF(ISNUMBER(G995),G995,F995)-IF(ISNUMBER(G994),G994,F994)))</f>
        <v/>
      </c>
      <c r="W995" s="30">
        <f>IF(NOT(AND(ISNUMBER(N995),ISNUMBER(P995))),"",(P995-N995)*1440)</f>
        <v/>
      </c>
      <c r="X995" s="28" t="n"/>
      <c r="Y995" s="28" t="n"/>
      <c r="Z995" s="28" t="n"/>
      <c r="AA995" s="31" t="n"/>
      <c r="AB995" s="31" t="n"/>
    </row>
    <row r="996">
      <c r="A996" s="25" t="inlineStr">
        <is>
          <t>S20</t>
        </is>
      </c>
      <c r="B996" s="25" t="inlineStr">
        <is>
          <t>보령 신규점2</t>
        </is>
      </c>
      <c r="C996" s="25" t="inlineStr">
        <is>
          <t>S20-H동</t>
        </is>
      </c>
      <c r="D996" s="25" t="inlineStr">
        <is>
          <t>측정</t>
        </is>
      </c>
      <c r="E996" s="25" t="inlineStr">
        <is>
          <t>동</t>
        </is>
      </c>
      <c r="F996" s="30" t="n">
        <v>2</v>
      </c>
      <c r="G996" s="29" t="n"/>
      <c r="H996" s="42" t="n"/>
      <c r="I996" s="40" t="n"/>
      <c r="J996" s="40" t="n"/>
      <c r="K996" s="40" t="n"/>
      <c r="L996" s="30">
        <f>IF(COUNT(I996:K996)=0,"",MEDIAN(I996:K996))</f>
        <v/>
      </c>
      <c r="M996" s="25">
        <f>IF(COUNTIFS($C:$C,$C996,$D:$D,"P0(전)",$L:$L,"&gt;0")&lt;&gt;1,"P0(전) 유효 1개 아님",IF(COUNTIFS($C:$C,$C996,$D:$D,"P0(후)",$L:$L,"&gt;0")&lt;&gt;1,"P0(후) 유효 1개 아님",IF(NOT(AND(ISNUMBER(N996),ISNUMBER(P996),ISNUMBER(H996))),"시각 결측",IF(P996&lt;=N996,"P0 시각 역전",IF(OR(H996&lt;N996,H996&gt;P996),"측정시각 구간 밖","OK")))))</f>
        <v/>
      </c>
      <c r="N996" s="45">
        <f>IF(COUNTIFS($C:$C,$C996,$D:$D,"P0(전)",$L:$L,"&gt;0")&lt;&gt;1,"",SUMIFS($H:$H,$C:$C,$C996,$D:$D,"P0(전)"))</f>
        <v/>
      </c>
      <c r="O996" s="30">
        <f>IF(COUNTIFS($C:$C,$C996,$D:$D,"P0(전)",$L:$L,"&gt;0")&lt;&gt;1,"",SUMIFS($L:$L,$C:$C,$C996,$D:$D,"P0(전)"))</f>
        <v/>
      </c>
      <c r="P996" s="45">
        <f>IF(COUNTIFS($C:$C,$C996,$D:$D,"P0(후)",$L:$L,"&gt;0")&lt;&gt;1,"",SUMIFS($H:$H,$C:$C,$C996,$D:$D,"P0(후)"))</f>
        <v/>
      </c>
      <c r="Q996" s="30">
        <f>IF(COUNTIFS($C:$C,$C996,$D:$D,"P0(후)",$L:$L,"&gt;0")&lt;&gt;1,"",SUMIFS($L:$L,$C:$C,$C996,$D:$D,"P0(후)"))</f>
        <v/>
      </c>
      <c r="R996" s="30">
        <f>IF(M996&lt;&gt;"OK","",O996+(Q996-O996)*(H996-N996)/(P996-N996))</f>
        <v/>
      </c>
      <c r="S996" s="30">
        <f>IF(OR(M996&lt;&gt;"OK",NOT(ISNUMBER(L996))),"",L996-R996)</f>
        <v/>
      </c>
      <c r="T996" s="46">
        <f>IF(OR(NOT(ISNUMBER(S996)),IF(ISNUMBER(G996),G996,F996)=0),"",S996/IF(ISNUMBER(G996),G996,F996))</f>
        <v/>
      </c>
      <c r="U996" s="46">
        <f>IF(ISNUMBER(T996),ABS(T996),"")</f>
        <v/>
      </c>
      <c r="V996" s="46">
        <f>IF(OR($D995&lt;&gt;"측정",$C995&lt;&gt;$C996,NOT(ISNUMBER(L996)),NOT(ISNUMBER(L995)),(IF(ISNUMBER(G996),G996,F996)-IF(ISNUMBER(G995),G995,F995))=0),"",(L996-L995)/(IF(ISNUMBER(G996),G996,F996)-IF(ISNUMBER(G995),G995,F995)))</f>
        <v/>
      </c>
      <c r="W996" s="30">
        <f>IF(NOT(AND(ISNUMBER(N996),ISNUMBER(P996))),"",(P996-N996)*1440)</f>
        <v/>
      </c>
      <c r="X996" s="28" t="n"/>
      <c r="Y996" s="28" t="n"/>
      <c r="Z996" s="28" t="n"/>
      <c r="AA996" s="31" t="n"/>
      <c r="AB996" s="31" t="n"/>
    </row>
    <row r="997">
      <c r="A997" s="25" t="inlineStr">
        <is>
          <t>S20</t>
        </is>
      </c>
      <c r="B997" s="25" t="inlineStr">
        <is>
          <t>보령 신규점2</t>
        </is>
      </c>
      <c r="C997" s="25" t="inlineStr">
        <is>
          <t>S20-H동</t>
        </is>
      </c>
      <c r="D997" s="25" t="inlineStr">
        <is>
          <t>측정</t>
        </is>
      </c>
      <c r="E997" s="25" t="inlineStr">
        <is>
          <t>동</t>
        </is>
      </c>
      <c r="F997" s="30" t="n">
        <v>3</v>
      </c>
      <c r="G997" s="29" t="n"/>
      <c r="H997" s="42" t="n"/>
      <c r="I997" s="40" t="n"/>
      <c r="J997" s="40" t="n"/>
      <c r="K997" s="40" t="n"/>
      <c r="L997" s="30">
        <f>IF(COUNT(I997:K997)=0,"",MEDIAN(I997:K997))</f>
        <v/>
      </c>
      <c r="M997" s="25">
        <f>IF(COUNTIFS($C:$C,$C997,$D:$D,"P0(전)",$L:$L,"&gt;0")&lt;&gt;1,"P0(전) 유효 1개 아님",IF(COUNTIFS($C:$C,$C997,$D:$D,"P0(후)",$L:$L,"&gt;0")&lt;&gt;1,"P0(후) 유효 1개 아님",IF(NOT(AND(ISNUMBER(N997),ISNUMBER(P997),ISNUMBER(H997))),"시각 결측",IF(P997&lt;=N997,"P0 시각 역전",IF(OR(H997&lt;N997,H997&gt;P997),"측정시각 구간 밖","OK")))))</f>
        <v/>
      </c>
      <c r="N997" s="45">
        <f>IF(COUNTIFS($C:$C,$C997,$D:$D,"P0(전)",$L:$L,"&gt;0")&lt;&gt;1,"",SUMIFS($H:$H,$C:$C,$C997,$D:$D,"P0(전)"))</f>
        <v/>
      </c>
      <c r="O997" s="30">
        <f>IF(COUNTIFS($C:$C,$C997,$D:$D,"P0(전)",$L:$L,"&gt;0")&lt;&gt;1,"",SUMIFS($L:$L,$C:$C,$C997,$D:$D,"P0(전)"))</f>
        <v/>
      </c>
      <c r="P997" s="45">
        <f>IF(COUNTIFS($C:$C,$C997,$D:$D,"P0(후)",$L:$L,"&gt;0")&lt;&gt;1,"",SUMIFS($H:$H,$C:$C,$C997,$D:$D,"P0(후)"))</f>
        <v/>
      </c>
      <c r="Q997" s="30">
        <f>IF(COUNTIFS($C:$C,$C997,$D:$D,"P0(후)",$L:$L,"&gt;0")&lt;&gt;1,"",SUMIFS($L:$L,$C:$C,$C997,$D:$D,"P0(후)"))</f>
        <v/>
      </c>
      <c r="R997" s="30">
        <f>IF(M997&lt;&gt;"OK","",O997+(Q997-O997)*(H997-N997)/(P997-N997))</f>
        <v/>
      </c>
      <c r="S997" s="30">
        <f>IF(OR(M997&lt;&gt;"OK",NOT(ISNUMBER(L997))),"",L997-R997)</f>
        <v/>
      </c>
      <c r="T997" s="46">
        <f>IF(OR(NOT(ISNUMBER(S997)),IF(ISNUMBER(G997),G997,F997)=0),"",S997/IF(ISNUMBER(G997),G997,F997))</f>
        <v/>
      </c>
      <c r="U997" s="46">
        <f>IF(ISNUMBER(T997),ABS(T997),"")</f>
        <v/>
      </c>
      <c r="V997" s="46">
        <f>IF(OR($D996&lt;&gt;"측정",$C996&lt;&gt;$C997,NOT(ISNUMBER(L997)),NOT(ISNUMBER(L996)),(IF(ISNUMBER(G997),G997,F997)-IF(ISNUMBER(G996),G996,F996))=0),"",(L997-L996)/(IF(ISNUMBER(G997),G997,F997)-IF(ISNUMBER(G996),G996,F996)))</f>
        <v/>
      </c>
      <c r="W997" s="30">
        <f>IF(NOT(AND(ISNUMBER(N997),ISNUMBER(P997))),"",(P997-N997)*1440)</f>
        <v/>
      </c>
      <c r="X997" s="28" t="n"/>
      <c r="Y997" s="28" t="n"/>
      <c r="Z997" s="28" t="n"/>
      <c r="AA997" s="31" t="n"/>
      <c r="AB997" s="31" t="n"/>
    </row>
    <row r="998">
      <c r="A998" s="25" t="inlineStr">
        <is>
          <t>S20</t>
        </is>
      </c>
      <c r="B998" s="25" t="inlineStr">
        <is>
          <t>보령 신규점2</t>
        </is>
      </c>
      <c r="C998" s="25" t="inlineStr">
        <is>
          <t>S20-H동</t>
        </is>
      </c>
      <c r="D998" s="25" t="inlineStr">
        <is>
          <t>측정</t>
        </is>
      </c>
      <c r="E998" s="25" t="inlineStr">
        <is>
          <t>동</t>
        </is>
      </c>
      <c r="F998" s="30" t="n">
        <v>4</v>
      </c>
      <c r="G998" s="29" t="n"/>
      <c r="H998" s="42" t="n"/>
      <c r="I998" s="40" t="n"/>
      <c r="J998" s="40" t="n"/>
      <c r="K998" s="40" t="n"/>
      <c r="L998" s="30">
        <f>IF(COUNT(I998:K998)=0,"",MEDIAN(I998:K998))</f>
        <v/>
      </c>
      <c r="M998" s="25">
        <f>IF(COUNTIFS($C:$C,$C998,$D:$D,"P0(전)",$L:$L,"&gt;0")&lt;&gt;1,"P0(전) 유효 1개 아님",IF(COUNTIFS($C:$C,$C998,$D:$D,"P0(후)",$L:$L,"&gt;0")&lt;&gt;1,"P0(후) 유효 1개 아님",IF(NOT(AND(ISNUMBER(N998),ISNUMBER(P998),ISNUMBER(H998))),"시각 결측",IF(P998&lt;=N998,"P0 시각 역전",IF(OR(H998&lt;N998,H998&gt;P998),"측정시각 구간 밖","OK")))))</f>
        <v/>
      </c>
      <c r="N998" s="45">
        <f>IF(COUNTIFS($C:$C,$C998,$D:$D,"P0(전)",$L:$L,"&gt;0")&lt;&gt;1,"",SUMIFS($H:$H,$C:$C,$C998,$D:$D,"P0(전)"))</f>
        <v/>
      </c>
      <c r="O998" s="30">
        <f>IF(COUNTIFS($C:$C,$C998,$D:$D,"P0(전)",$L:$L,"&gt;0")&lt;&gt;1,"",SUMIFS($L:$L,$C:$C,$C998,$D:$D,"P0(전)"))</f>
        <v/>
      </c>
      <c r="P998" s="45">
        <f>IF(COUNTIFS($C:$C,$C998,$D:$D,"P0(후)",$L:$L,"&gt;0")&lt;&gt;1,"",SUMIFS($H:$H,$C:$C,$C998,$D:$D,"P0(후)"))</f>
        <v/>
      </c>
      <c r="Q998" s="30">
        <f>IF(COUNTIFS($C:$C,$C998,$D:$D,"P0(후)",$L:$L,"&gt;0")&lt;&gt;1,"",SUMIFS($L:$L,$C:$C,$C998,$D:$D,"P0(후)"))</f>
        <v/>
      </c>
      <c r="R998" s="30">
        <f>IF(M998&lt;&gt;"OK","",O998+(Q998-O998)*(H998-N998)/(P998-N998))</f>
        <v/>
      </c>
      <c r="S998" s="30">
        <f>IF(OR(M998&lt;&gt;"OK",NOT(ISNUMBER(L998))),"",L998-R998)</f>
        <v/>
      </c>
      <c r="T998" s="46">
        <f>IF(OR(NOT(ISNUMBER(S998)),IF(ISNUMBER(G998),G998,F998)=0),"",S998/IF(ISNUMBER(G998),G998,F998))</f>
        <v/>
      </c>
      <c r="U998" s="46">
        <f>IF(ISNUMBER(T998),ABS(T998),"")</f>
        <v/>
      </c>
      <c r="V998" s="46">
        <f>IF(OR($D997&lt;&gt;"측정",$C997&lt;&gt;$C998,NOT(ISNUMBER(L998)),NOT(ISNUMBER(L997)),(IF(ISNUMBER(G998),G998,F998)-IF(ISNUMBER(G997),G997,F997))=0),"",(L998-L997)/(IF(ISNUMBER(G998),G998,F998)-IF(ISNUMBER(G997),G997,F997)))</f>
        <v/>
      </c>
      <c r="W998" s="30">
        <f>IF(NOT(AND(ISNUMBER(N998),ISNUMBER(P998))),"",(P998-N998)*1440)</f>
        <v/>
      </c>
      <c r="X998" s="28" t="n"/>
      <c r="Y998" s="28" t="n"/>
      <c r="Z998" s="28" t="n"/>
      <c r="AA998" s="31" t="n"/>
      <c r="AB998" s="31" t="n"/>
    </row>
    <row r="999">
      <c r="A999" s="25" t="inlineStr">
        <is>
          <t>S20</t>
        </is>
      </c>
      <c r="B999" s="25" t="inlineStr">
        <is>
          <t>보령 신규점2</t>
        </is>
      </c>
      <c r="C999" s="25" t="inlineStr">
        <is>
          <t>S20-H동</t>
        </is>
      </c>
      <c r="D999" s="25" t="inlineStr">
        <is>
          <t>측정</t>
        </is>
      </c>
      <c r="E999" s="25" t="inlineStr">
        <is>
          <t>동</t>
        </is>
      </c>
      <c r="F999" s="30" t="n">
        <v>5</v>
      </c>
      <c r="G999" s="29" t="n"/>
      <c r="H999" s="42" t="n"/>
      <c r="I999" s="40" t="n"/>
      <c r="J999" s="40" t="n"/>
      <c r="K999" s="40" t="n"/>
      <c r="L999" s="30">
        <f>IF(COUNT(I999:K999)=0,"",MEDIAN(I999:K999))</f>
        <v/>
      </c>
      <c r="M999" s="25">
        <f>IF(COUNTIFS($C:$C,$C999,$D:$D,"P0(전)",$L:$L,"&gt;0")&lt;&gt;1,"P0(전) 유효 1개 아님",IF(COUNTIFS($C:$C,$C999,$D:$D,"P0(후)",$L:$L,"&gt;0")&lt;&gt;1,"P0(후) 유효 1개 아님",IF(NOT(AND(ISNUMBER(N999),ISNUMBER(P999),ISNUMBER(H999))),"시각 결측",IF(P999&lt;=N999,"P0 시각 역전",IF(OR(H999&lt;N999,H999&gt;P999),"측정시각 구간 밖","OK")))))</f>
        <v/>
      </c>
      <c r="N999" s="45">
        <f>IF(COUNTIFS($C:$C,$C999,$D:$D,"P0(전)",$L:$L,"&gt;0")&lt;&gt;1,"",SUMIFS($H:$H,$C:$C,$C999,$D:$D,"P0(전)"))</f>
        <v/>
      </c>
      <c r="O999" s="30">
        <f>IF(COUNTIFS($C:$C,$C999,$D:$D,"P0(전)",$L:$L,"&gt;0")&lt;&gt;1,"",SUMIFS($L:$L,$C:$C,$C999,$D:$D,"P0(전)"))</f>
        <v/>
      </c>
      <c r="P999" s="45">
        <f>IF(COUNTIFS($C:$C,$C999,$D:$D,"P0(후)",$L:$L,"&gt;0")&lt;&gt;1,"",SUMIFS($H:$H,$C:$C,$C999,$D:$D,"P0(후)"))</f>
        <v/>
      </c>
      <c r="Q999" s="30">
        <f>IF(COUNTIFS($C:$C,$C999,$D:$D,"P0(후)",$L:$L,"&gt;0")&lt;&gt;1,"",SUMIFS($L:$L,$C:$C,$C999,$D:$D,"P0(후)"))</f>
        <v/>
      </c>
      <c r="R999" s="30">
        <f>IF(M999&lt;&gt;"OK","",O999+(Q999-O999)*(H999-N999)/(P999-N999))</f>
        <v/>
      </c>
      <c r="S999" s="30">
        <f>IF(OR(M999&lt;&gt;"OK",NOT(ISNUMBER(L999))),"",L999-R999)</f>
        <v/>
      </c>
      <c r="T999" s="46">
        <f>IF(OR(NOT(ISNUMBER(S999)),IF(ISNUMBER(G999),G999,F999)=0),"",S999/IF(ISNUMBER(G999),G999,F999))</f>
        <v/>
      </c>
      <c r="U999" s="46">
        <f>IF(ISNUMBER(T999),ABS(T999),"")</f>
        <v/>
      </c>
      <c r="V999" s="46">
        <f>IF(OR($D998&lt;&gt;"측정",$C998&lt;&gt;$C999,NOT(ISNUMBER(L999)),NOT(ISNUMBER(L998)),(IF(ISNUMBER(G999),G999,F999)-IF(ISNUMBER(G998),G998,F998))=0),"",(L999-L998)/(IF(ISNUMBER(G999),G999,F999)-IF(ISNUMBER(G998),G998,F998)))</f>
        <v/>
      </c>
      <c r="W999" s="30">
        <f>IF(NOT(AND(ISNUMBER(N999),ISNUMBER(P999))),"",(P999-N999)*1440)</f>
        <v/>
      </c>
      <c r="X999" s="28" t="n"/>
      <c r="Y999" s="28" t="n"/>
      <c r="Z999" s="28" t="n"/>
      <c r="AA999" s="31" t="n"/>
      <c r="AB999" s="31" t="n"/>
    </row>
    <row r="1000">
      <c r="A1000" s="25" t="inlineStr">
        <is>
          <t>S20</t>
        </is>
      </c>
      <c r="B1000" s="25" t="inlineStr">
        <is>
          <t>보령 신규점2</t>
        </is>
      </c>
      <c r="C1000" s="25" t="inlineStr">
        <is>
          <t>S20-H동</t>
        </is>
      </c>
      <c r="D1000" s="25" t="inlineStr">
        <is>
          <t>측정</t>
        </is>
      </c>
      <c r="E1000" s="25" t="inlineStr">
        <is>
          <t>동</t>
        </is>
      </c>
      <c r="F1000" s="30" t="n">
        <v>6</v>
      </c>
      <c r="G1000" s="29" t="n"/>
      <c r="H1000" s="42" t="n"/>
      <c r="I1000" s="40" t="n"/>
      <c r="J1000" s="40" t="n"/>
      <c r="K1000" s="40" t="n"/>
      <c r="L1000" s="30">
        <f>IF(COUNT(I1000:K1000)=0,"",MEDIAN(I1000:K1000))</f>
        <v/>
      </c>
      <c r="M1000" s="25">
        <f>IF(COUNTIFS($C:$C,$C1000,$D:$D,"P0(전)",$L:$L,"&gt;0")&lt;&gt;1,"P0(전) 유효 1개 아님",IF(COUNTIFS($C:$C,$C1000,$D:$D,"P0(후)",$L:$L,"&gt;0")&lt;&gt;1,"P0(후) 유효 1개 아님",IF(NOT(AND(ISNUMBER(N1000),ISNUMBER(P1000),ISNUMBER(H1000))),"시각 결측",IF(P1000&lt;=N1000,"P0 시각 역전",IF(OR(H1000&lt;N1000,H1000&gt;P1000),"측정시각 구간 밖","OK")))))</f>
        <v/>
      </c>
      <c r="N1000" s="45">
        <f>IF(COUNTIFS($C:$C,$C1000,$D:$D,"P0(전)",$L:$L,"&gt;0")&lt;&gt;1,"",SUMIFS($H:$H,$C:$C,$C1000,$D:$D,"P0(전)"))</f>
        <v/>
      </c>
      <c r="O1000" s="30">
        <f>IF(COUNTIFS($C:$C,$C1000,$D:$D,"P0(전)",$L:$L,"&gt;0")&lt;&gt;1,"",SUMIFS($L:$L,$C:$C,$C1000,$D:$D,"P0(전)"))</f>
        <v/>
      </c>
      <c r="P1000" s="45">
        <f>IF(COUNTIFS($C:$C,$C1000,$D:$D,"P0(후)",$L:$L,"&gt;0")&lt;&gt;1,"",SUMIFS($H:$H,$C:$C,$C1000,$D:$D,"P0(후)"))</f>
        <v/>
      </c>
      <c r="Q1000" s="30">
        <f>IF(COUNTIFS($C:$C,$C1000,$D:$D,"P0(후)",$L:$L,"&gt;0")&lt;&gt;1,"",SUMIFS($L:$L,$C:$C,$C1000,$D:$D,"P0(후)"))</f>
        <v/>
      </c>
      <c r="R1000" s="30">
        <f>IF(M1000&lt;&gt;"OK","",O1000+(Q1000-O1000)*(H1000-N1000)/(P1000-N1000))</f>
        <v/>
      </c>
      <c r="S1000" s="30">
        <f>IF(OR(M1000&lt;&gt;"OK",NOT(ISNUMBER(L1000))),"",L1000-R1000)</f>
        <v/>
      </c>
      <c r="T1000" s="46">
        <f>IF(OR(NOT(ISNUMBER(S1000)),IF(ISNUMBER(G1000),G1000,F1000)=0),"",S1000/IF(ISNUMBER(G1000),G1000,F1000))</f>
        <v/>
      </c>
      <c r="U1000" s="46">
        <f>IF(ISNUMBER(T1000),ABS(T1000),"")</f>
        <v/>
      </c>
      <c r="V1000" s="46">
        <f>IF(OR($D999&lt;&gt;"측정",$C999&lt;&gt;$C1000,NOT(ISNUMBER(L1000)),NOT(ISNUMBER(L999)),(IF(ISNUMBER(G1000),G1000,F1000)-IF(ISNUMBER(G999),G999,F999))=0),"",(L1000-L999)/(IF(ISNUMBER(G1000),G1000,F1000)-IF(ISNUMBER(G999),G999,F999)))</f>
        <v/>
      </c>
      <c r="W1000" s="30">
        <f>IF(NOT(AND(ISNUMBER(N1000),ISNUMBER(P1000))),"",(P1000-N1000)*1440)</f>
        <v/>
      </c>
      <c r="X1000" s="28" t="n"/>
      <c r="Y1000" s="28" t="n"/>
      <c r="Z1000" s="28" t="n"/>
      <c r="AA1000" s="31" t="n"/>
      <c r="AB1000" s="31" t="n"/>
    </row>
    <row r="1001">
      <c r="A1001" s="25" t="inlineStr">
        <is>
          <t>S20</t>
        </is>
      </c>
      <c r="B1001" s="25" t="inlineStr">
        <is>
          <t>보령 신규점2</t>
        </is>
      </c>
      <c r="C1001" s="25" t="inlineStr">
        <is>
          <t>S20-H동</t>
        </is>
      </c>
      <c r="D1001" s="25" t="inlineStr">
        <is>
          <t>측정</t>
        </is>
      </c>
      <c r="E1001" s="25" t="inlineStr">
        <is>
          <t>동</t>
        </is>
      </c>
      <c r="F1001" s="30" t="n">
        <v>7</v>
      </c>
      <c r="G1001" s="29" t="n"/>
      <c r="H1001" s="42" t="n"/>
      <c r="I1001" s="40" t="n"/>
      <c r="J1001" s="40" t="n"/>
      <c r="K1001" s="40" t="n"/>
      <c r="L1001" s="30">
        <f>IF(COUNT(I1001:K1001)=0,"",MEDIAN(I1001:K1001))</f>
        <v/>
      </c>
      <c r="M1001" s="25">
        <f>IF(COUNTIFS($C:$C,$C1001,$D:$D,"P0(전)",$L:$L,"&gt;0")&lt;&gt;1,"P0(전) 유효 1개 아님",IF(COUNTIFS($C:$C,$C1001,$D:$D,"P0(후)",$L:$L,"&gt;0")&lt;&gt;1,"P0(후) 유효 1개 아님",IF(NOT(AND(ISNUMBER(N1001),ISNUMBER(P1001),ISNUMBER(H1001))),"시각 결측",IF(P1001&lt;=N1001,"P0 시각 역전",IF(OR(H1001&lt;N1001,H1001&gt;P1001),"측정시각 구간 밖","OK")))))</f>
        <v/>
      </c>
      <c r="N1001" s="45">
        <f>IF(COUNTIFS($C:$C,$C1001,$D:$D,"P0(전)",$L:$L,"&gt;0")&lt;&gt;1,"",SUMIFS($H:$H,$C:$C,$C1001,$D:$D,"P0(전)"))</f>
        <v/>
      </c>
      <c r="O1001" s="30">
        <f>IF(COUNTIFS($C:$C,$C1001,$D:$D,"P0(전)",$L:$L,"&gt;0")&lt;&gt;1,"",SUMIFS($L:$L,$C:$C,$C1001,$D:$D,"P0(전)"))</f>
        <v/>
      </c>
      <c r="P1001" s="45">
        <f>IF(COUNTIFS($C:$C,$C1001,$D:$D,"P0(후)",$L:$L,"&gt;0")&lt;&gt;1,"",SUMIFS($H:$H,$C:$C,$C1001,$D:$D,"P0(후)"))</f>
        <v/>
      </c>
      <c r="Q1001" s="30">
        <f>IF(COUNTIFS($C:$C,$C1001,$D:$D,"P0(후)",$L:$L,"&gt;0")&lt;&gt;1,"",SUMIFS($L:$L,$C:$C,$C1001,$D:$D,"P0(후)"))</f>
        <v/>
      </c>
      <c r="R1001" s="30">
        <f>IF(M1001&lt;&gt;"OK","",O1001+(Q1001-O1001)*(H1001-N1001)/(P1001-N1001))</f>
        <v/>
      </c>
      <c r="S1001" s="30">
        <f>IF(OR(M1001&lt;&gt;"OK",NOT(ISNUMBER(L1001))),"",L1001-R1001)</f>
        <v/>
      </c>
      <c r="T1001" s="46">
        <f>IF(OR(NOT(ISNUMBER(S1001)),IF(ISNUMBER(G1001),G1001,F1001)=0),"",S1001/IF(ISNUMBER(G1001),G1001,F1001))</f>
        <v/>
      </c>
      <c r="U1001" s="46">
        <f>IF(ISNUMBER(T1001),ABS(T1001),"")</f>
        <v/>
      </c>
      <c r="V1001" s="46">
        <f>IF(OR($D1000&lt;&gt;"측정",$C1000&lt;&gt;$C1001,NOT(ISNUMBER(L1001)),NOT(ISNUMBER(L1000)),(IF(ISNUMBER(G1001),G1001,F1001)-IF(ISNUMBER(G1000),G1000,F1000))=0),"",(L1001-L1000)/(IF(ISNUMBER(G1001),G1001,F1001)-IF(ISNUMBER(G1000),G1000,F1000)))</f>
        <v/>
      </c>
      <c r="W1001" s="30">
        <f>IF(NOT(AND(ISNUMBER(N1001),ISNUMBER(P1001))),"",(P1001-N1001)*1440)</f>
        <v/>
      </c>
      <c r="X1001" s="28" t="n"/>
      <c r="Y1001" s="28" t="n"/>
      <c r="Z1001" s="28" t="n"/>
      <c r="AA1001" s="31" t="n"/>
      <c r="AB1001" s="31" t="n"/>
    </row>
    <row r="1002">
      <c r="A1002" s="25" t="inlineStr">
        <is>
          <t>S20</t>
        </is>
      </c>
      <c r="B1002" s="25" t="inlineStr">
        <is>
          <t>보령 신규점2</t>
        </is>
      </c>
      <c r="C1002" s="25" t="inlineStr">
        <is>
          <t>S20-H동</t>
        </is>
      </c>
      <c r="D1002" s="25" t="inlineStr">
        <is>
          <t>측정</t>
        </is>
      </c>
      <c r="E1002" s="25" t="inlineStr">
        <is>
          <t>동</t>
        </is>
      </c>
      <c r="F1002" s="30" t="n">
        <v>8</v>
      </c>
      <c r="G1002" s="29" t="n"/>
      <c r="H1002" s="42" t="n"/>
      <c r="I1002" s="40" t="n"/>
      <c r="J1002" s="40" t="n"/>
      <c r="K1002" s="40" t="n"/>
      <c r="L1002" s="30">
        <f>IF(COUNT(I1002:K1002)=0,"",MEDIAN(I1002:K1002))</f>
        <v/>
      </c>
      <c r="M1002" s="25">
        <f>IF(COUNTIFS($C:$C,$C1002,$D:$D,"P0(전)",$L:$L,"&gt;0")&lt;&gt;1,"P0(전) 유효 1개 아님",IF(COUNTIFS($C:$C,$C1002,$D:$D,"P0(후)",$L:$L,"&gt;0")&lt;&gt;1,"P0(후) 유효 1개 아님",IF(NOT(AND(ISNUMBER(N1002),ISNUMBER(P1002),ISNUMBER(H1002))),"시각 결측",IF(P1002&lt;=N1002,"P0 시각 역전",IF(OR(H1002&lt;N1002,H1002&gt;P1002),"측정시각 구간 밖","OK")))))</f>
        <v/>
      </c>
      <c r="N1002" s="45">
        <f>IF(COUNTIFS($C:$C,$C1002,$D:$D,"P0(전)",$L:$L,"&gt;0")&lt;&gt;1,"",SUMIFS($H:$H,$C:$C,$C1002,$D:$D,"P0(전)"))</f>
        <v/>
      </c>
      <c r="O1002" s="30">
        <f>IF(COUNTIFS($C:$C,$C1002,$D:$D,"P0(전)",$L:$L,"&gt;0")&lt;&gt;1,"",SUMIFS($L:$L,$C:$C,$C1002,$D:$D,"P0(전)"))</f>
        <v/>
      </c>
      <c r="P1002" s="45">
        <f>IF(COUNTIFS($C:$C,$C1002,$D:$D,"P0(후)",$L:$L,"&gt;0")&lt;&gt;1,"",SUMIFS($H:$H,$C:$C,$C1002,$D:$D,"P0(후)"))</f>
        <v/>
      </c>
      <c r="Q1002" s="30">
        <f>IF(COUNTIFS($C:$C,$C1002,$D:$D,"P0(후)",$L:$L,"&gt;0")&lt;&gt;1,"",SUMIFS($L:$L,$C:$C,$C1002,$D:$D,"P0(후)"))</f>
        <v/>
      </c>
      <c r="R1002" s="30">
        <f>IF(M1002&lt;&gt;"OK","",O1002+(Q1002-O1002)*(H1002-N1002)/(P1002-N1002))</f>
        <v/>
      </c>
      <c r="S1002" s="30">
        <f>IF(OR(M1002&lt;&gt;"OK",NOT(ISNUMBER(L1002))),"",L1002-R1002)</f>
        <v/>
      </c>
      <c r="T1002" s="46">
        <f>IF(OR(NOT(ISNUMBER(S1002)),IF(ISNUMBER(G1002),G1002,F1002)=0),"",S1002/IF(ISNUMBER(G1002),G1002,F1002))</f>
        <v/>
      </c>
      <c r="U1002" s="46">
        <f>IF(ISNUMBER(T1002),ABS(T1002),"")</f>
        <v/>
      </c>
      <c r="V1002" s="46">
        <f>IF(OR($D1001&lt;&gt;"측정",$C1001&lt;&gt;$C1002,NOT(ISNUMBER(L1002)),NOT(ISNUMBER(L1001)),(IF(ISNUMBER(G1002),G1002,F1002)-IF(ISNUMBER(G1001),G1001,F1001))=0),"",(L1002-L1001)/(IF(ISNUMBER(G1002),G1002,F1002)-IF(ISNUMBER(G1001),G1001,F1001)))</f>
        <v/>
      </c>
      <c r="W1002" s="30">
        <f>IF(NOT(AND(ISNUMBER(N1002),ISNUMBER(P1002))),"",(P1002-N1002)*1440)</f>
        <v/>
      </c>
      <c r="X1002" s="28" t="n"/>
      <c r="Y1002" s="28" t="n"/>
      <c r="Z1002" s="28" t="n"/>
      <c r="AA1002" s="31" t="n"/>
      <c r="AB1002" s="31" t="n"/>
    </row>
    <row r="1003">
      <c r="A1003" s="25" t="inlineStr">
        <is>
          <t>S20</t>
        </is>
      </c>
      <c r="B1003" s="25" t="inlineStr">
        <is>
          <t>보령 신규점2</t>
        </is>
      </c>
      <c r="C1003" s="25" t="inlineStr">
        <is>
          <t>S20-H동</t>
        </is>
      </c>
      <c r="D1003" s="25" t="inlineStr">
        <is>
          <t>측정</t>
        </is>
      </c>
      <c r="E1003" s="25" t="inlineStr">
        <is>
          <t>동</t>
        </is>
      </c>
      <c r="F1003" s="30" t="n">
        <v>9</v>
      </c>
      <c r="G1003" s="29" t="n"/>
      <c r="H1003" s="42" t="n"/>
      <c r="I1003" s="40" t="n"/>
      <c r="J1003" s="40" t="n"/>
      <c r="K1003" s="40" t="n"/>
      <c r="L1003" s="30">
        <f>IF(COUNT(I1003:K1003)=0,"",MEDIAN(I1003:K1003))</f>
        <v/>
      </c>
      <c r="M1003" s="25">
        <f>IF(COUNTIFS($C:$C,$C1003,$D:$D,"P0(전)",$L:$L,"&gt;0")&lt;&gt;1,"P0(전) 유효 1개 아님",IF(COUNTIFS($C:$C,$C1003,$D:$D,"P0(후)",$L:$L,"&gt;0")&lt;&gt;1,"P0(후) 유효 1개 아님",IF(NOT(AND(ISNUMBER(N1003),ISNUMBER(P1003),ISNUMBER(H1003))),"시각 결측",IF(P1003&lt;=N1003,"P0 시각 역전",IF(OR(H1003&lt;N1003,H1003&gt;P1003),"측정시각 구간 밖","OK")))))</f>
        <v/>
      </c>
      <c r="N1003" s="45">
        <f>IF(COUNTIFS($C:$C,$C1003,$D:$D,"P0(전)",$L:$L,"&gt;0")&lt;&gt;1,"",SUMIFS($H:$H,$C:$C,$C1003,$D:$D,"P0(전)"))</f>
        <v/>
      </c>
      <c r="O1003" s="30">
        <f>IF(COUNTIFS($C:$C,$C1003,$D:$D,"P0(전)",$L:$L,"&gt;0")&lt;&gt;1,"",SUMIFS($L:$L,$C:$C,$C1003,$D:$D,"P0(전)"))</f>
        <v/>
      </c>
      <c r="P1003" s="45">
        <f>IF(COUNTIFS($C:$C,$C1003,$D:$D,"P0(후)",$L:$L,"&gt;0")&lt;&gt;1,"",SUMIFS($H:$H,$C:$C,$C1003,$D:$D,"P0(후)"))</f>
        <v/>
      </c>
      <c r="Q1003" s="30">
        <f>IF(COUNTIFS($C:$C,$C1003,$D:$D,"P0(후)",$L:$L,"&gt;0")&lt;&gt;1,"",SUMIFS($L:$L,$C:$C,$C1003,$D:$D,"P0(후)"))</f>
        <v/>
      </c>
      <c r="R1003" s="30">
        <f>IF(M1003&lt;&gt;"OK","",O1003+(Q1003-O1003)*(H1003-N1003)/(P1003-N1003))</f>
        <v/>
      </c>
      <c r="S1003" s="30">
        <f>IF(OR(M1003&lt;&gt;"OK",NOT(ISNUMBER(L1003))),"",L1003-R1003)</f>
        <v/>
      </c>
      <c r="T1003" s="46">
        <f>IF(OR(NOT(ISNUMBER(S1003)),IF(ISNUMBER(G1003),G1003,F1003)=0),"",S1003/IF(ISNUMBER(G1003),G1003,F1003))</f>
        <v/>
      </c>
      <c r="U1003" s="46">
        <f>IF(ISNUMBER(T1003),ABS(T1003),"")</f>
        <v/>
      </c>
      <c r="V1003" s="46">
        <f>IF(OR($D1002&lt;&gt;"측정",$C1002&lt;&gt;$C1003,NOT(ISNUMBER(L1003)),NOT(ISNUMBER(L1002)),(IF(ISNUMBER(G1003),G1003,F1003)-IF(ISNUMBER(G1002),G1002,F1002))=0),"",(L1003-L1002)/(IF(ISNUMBER(G1003),G1003,F1003)-IF(ISNUMBER(G1002),G1002,F1002)))</f>
        <v/>
      </c>
      <c r="W1003" s="30">
        <f>IF(NOT(AND(ISNUMBER(N1003),ISNUMBER(P1003))),"",(P1003-N1003)*1440)</f>
        <v/>
      </c>
      <c r="X1003" s="28" t="n"/>
      <c r="Y1003" s="28" t="n"/>
      <c r="Z1003" s="28" t="n"/>
      <c r="AA1003" s="31" t="n"/>
      <c r="AB1003" s="31" t="n"/>
    </row>
    <row r="1004">
      <c r="A1004" s="25" t="inlineStr">
        <is>
          <t>S20</t>
        </is>
      </c>
      <c r="B1004" s="25" t="inlineStr">
        <is>
          <t>보령 신규점2</t>
        </is>
      </c>
      <c r="C1004" s="25" t="inlineStr">
        <is>
          <t>S20-H동</t>
        </is>
      </c>
      <c r="D1004" s="25" t="inlineStr">
        <is>
          <t>측정</t>
        </is>
      </c>
      <c r="E1004" s="25" t="inlineStr">
        <is>
          <t>동</t>
        </is>
      </c>
      <c r="F1004" s="30" t="n">
        <v>10</v>
      </c>
      <c r="G1004" s="29" t="n"/>
      <c r="H1004" s="42" t="n"/>
      <c r="I1004" s="40" t="n"/>
      <c r="J1004" s="40" t="n"/>
      <c r="K1004" s="40" t="n"/>
      <c r="L1004" s="30">
        <f>IF(COUNT(I1004:K1004)=0,"",MEDIAN(I1004:K1004))</f>
        <v/>
      </c>
      <c r="M1004" s="25">
        <f>IF(COUNTIFS($C:$C,$C1004,$D:$D,"P0(전)",$L:$L,"&gt;0")&lt;&gt;1,"P0(전) 유효 1개 아님",IF(COUNTIFS($C:$C,$C1004,$D:$D,"P0(후)",$L:$L,"&gt;0")&lt;&gt;1,"P0(후) 유효 1개 아님",IF(NOT(AND(ISNUMBER(N1004),ISNUMBER(P1004),ISNUMBER(H1004))),"시각 결측",IF(P1004&lt;=N1004,"P0 시각 역전",IF(OR(H1004&lt;N1004,H1004&gt;P1004),"측정시각 구간 밖","OK")))))</f>
        <v/>
      </c>
      <c r="N1004" s="45">
        <f>IF(COUNTIFS($C:$C,$C1004,$D:$D,"P0(전)",$L:$L,"&gt;0")&lt;&gt;1,"",SUMIFS($H:$H,$C:$C,$C1004,$D:$D,"P0(전)"))</f>
        <v/>
      </c>
      <c r="O1004" s="30">
        <f>IF(COUNTIFS($C:$C,$C1004,$D:$D,"P0(전)",$L:$L,"&gt;0")&lt;&gt;1,"",SUMIFS($L:$L,$C:$C,$C1004,$D:$D,"P0(전)"))</f>
        <v/>
      </c>
      <c r="P1004" s="45">
        <f>IF(COUNTIFS($C:$C,$C1004,$D:$D,"P0(후)",$L:$L,"&gt;0")&lt;&gt;1,"",SUMIFS($H:$H,$C:$C,$C1004,$D:$D,"P0(후)"))</f>
        <v/>
      </c>
      <c r="Q1004" s="30">
        <f>IF(COUNTIFS($C:$C,$C1004,$D:$D,"P0(후)",$L:$L,"&gt;0")&lt;&gt;1,"",SUMIFS($L:$L,$C:$C,$C1004,$D:$D,"P0(후)"))</f>
        <v/>
      </c>
      <c r="R1004" s="30">
        <f>IF(M1004&lt;&gt;"OK","",O1004+(Q1004-O1004)*(H1004-N1004)/(P1004-N1004))</f>
        <v/>
      </c>
      <c r="S1004" s="30">
        <f>IF(OR(M1004&lt;&gt;"OK",NOT(ISNUMBER(L1004))),"",L1004-R1004)</f>
        <v/>
      </c>
      <c r="T1004" s="46">
        <f>IF(OR(NOT(ISNUMBER(S1004)),IF(ISNUMBER(G1004),G1004,F1004)=0),"",S1004/IF(ISNUMBER(G1004),G1004,F1004))</f>
        <v/>
      </c>
      <c r="U1004" s="46">
        <f>IF(ISNUMBER(T1004),ABS(T1004),"")</f>
        <v/>
      </c>
      <c r="V1004" s="46">
        <f>IF(OR($D1003&lt;&gt;"측정",$C1003&lt;&gt;$C1004,NOT(ISNUMBER(L1004)),NOT(ISNUMBER(L1003)),(IF(ISNUMBER(G1004),G1004,F1004)-IF(ISNUMBER(G1003),G1003,F1003))=0),"",(L1004-L1003)/(IF(ISNUMBER(G1004),G1004,F1004)-IF(ISNUMBER(G1003),G1003,F1003)))</f>
        <v/>
      </c>
      <c r="W1004" s="30">
        <f>IF(NOT(AND(ISNUMBER(N1004),ISNUMBER(P1004))),"",(P1004-N1004)*1440)</f>
        <v/>
      </c>
      <c r="X1004" s="28" t="n"/>
      <c r="Y1004" s="28" t="n"/>
      <c r="Z1004" s="28" t="n"/>
      <c r="AA1004" s="31" t="n"/>
      <c r="AB1004" s="31" t="n"/>
    </row>
    <row r="1005">
      <c r="A1005" s="43" t="inlineStr">
        <is>
          <t>S20</t>
        </is>
      </c>
      <c r="B1005" s="43" t="inlineStr">
        <is>
          <t>보령 신규점2</t>
        </is>
      </c>
      <c r="C1005" s="43" t="inlineStr">
        <is>
          <t>S20-H동</t>
        </is>
      </c>
      <c r="D1005" s="43" t="inlineStr">
        <is>
          <t>P0(후)</t>
        </is>
      </c>
      <c r="E1005" s="43" t="inlineStr">
        <is>
          <t>동</t>
        </is>
      </c>
      <c r="F1005" s="44" t="n"/>
      <c r="G1005" s="29" t="n"/>
      <c r="H1005" s="42" t="n"/>
      <c r="I1005" s="40" t="n"/>
      <c r="J1005" s="40" t="n"/>
      <c r="K1005" s="40" t="n"/>
      <c r="L1005" s="30">
        <f>IF(COUNT(I1005:K1005)=0,"",MEDIAN(I1005:K1005))</f>
        <v/>
      </c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28" t="n"/>
      <c r="Y1005" s="28" t="n"/>
      <c r="Z1005" s="28" t="n"/>
      <c r="AA1005" s="31" t="n"/>
      <c r="AB1005" s="31" t="n"/>
    </row>
    <row r="1006">
      <c r="A1006" s="43" t="inlineStr">
        <is>
          <t>S20</t>
        </is>
      </c>
      <c r="B1006" s="43" t="inlineStr">
        <is>
          <t>보령 신규점2</t>
        </is>
      </c>
      <c r="C1006" s="43" t="inlineStr">
        <is>
          <t>S20-H서</t>
        </is>
      </c>
      <c r="D1006" s="43" t="inlineStr">
        <is>
          <t>P0(전)</t>
        </is>
      </c>
      <c r="E1006" s="43" t="inlineStr">
        <is>
          <t>서</t>
        </is>
      </c>
      <c r="F1006" s="44" t="n"/>
      <c r="G1006" s="29" t="n"/>
      <c r="H1006" s="42" t="n"/>
      <c r="I1006" s="40" t="n"/>
      <c r="J1006" s="40" t="n"/>
      <c r="K1006" s="40" t="n"/>
      <c r="L1006" s="30">
        <f>IF(COUNT(I1006:K1006)=0,"",MEDIAN(I1006:K1006))</f>
        <v/>
      </c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28" t="n"/>
      <c r="Y1006" s="28" t="n"/>
      <c r="Z1006" s="28" t="n"/>
      <c r="AA1006" s="31" t="n"/>
      <c r="AB1006" s="31" t="n"/>
    </row>
    <row r="1007">
      <c r="A1007" s="25" t="inlineStr">
        <is>
          <t>S20</t>
        </is>
      </c>
      <c r="B1007" s="25" t="inlineStr">
        <is>
          <t>보령 신규점2</t>
        </is>
      </c>
      <c r="C1007" s="25" t="inlineStr">
        <is>
          <t>S20-H서</t>
        </is>
      </c>
      <c r="D1007" s="25" t="inlineStr">
        <is>
          <t>측정</t>
        </is>
      </c>
      <c r="E1007" s="25" t="inlineStr">
        <is>
          <t>서</t>
        </is>
      </c>
      <c r="F1007" s="30" t="n">
        <v>0.5</v>
      </c>
      <c r="G1007" s="29" t="n"/>
      <c r="H1007" s="42" t="n"/>
      <c r="I1007" s="40" t="n"/>
      <c r="J1007" s="40" t="n"/>
      <c r="K1007" s="40" t="n"/>
      <c r="L1007" s="30">
        <f>IF(COUNT(I1007:K1007)=0,"",MEDIAN(I1007:K1007))</f>
        <v/>
      </c>
      <c r="M1007" s="25">
        <f>IF(COUNTIFS($C:$C,$C1007,$D:$D,"P0(전)",$L:$L,"&gt;0")&lt;&gt;1,"P0(전) 유효 1개 아님",IF(COUNTIFS($C:$C,$C1007,$D:$D,"P0(후)",$L:$L,"&gt;0")&lt;&gt;1,"P0(후) 유효 1개 아님",IF(NOT(AND(ISNUMBER(N1007),ISNUMBER(P1007),ISNUMBER(H1007))),"시각 결측",IF(P1007&lt;=N1007,"P0 시각 역전",IF(OR(H1007&lt;N1007,H1007&gt;P1007),"측정시각 구간 밖","OK")))))</f>
        <v/>
      </c>
      <c r="N1007" s="45">
        <f>IF(COUNTIFS($C:$C,$C1007,$D:$D,"P0(전)",$L:$L,"&gt;0")&lt;&gt;1,"",SUMIFS($H:$H,$C:$C,$C1007,$D:$D,"P0(전)"))</f>
        <v/>
      </c>
      <c r="O1007" s="30">
        <f>IF(COUNTIFS($C:$C,$C1007,$D:$D,"P0(전)",$L:$L,"&gt;0")&lt;&gt;1,"",SUMIFS($L:$L,$C:$C,$C1007,$D:$D,"P0(전)"))</f>
        <v/>
      </c>
      <c r="P1007" s="45">
        <f>IF(COUNTIFS($C:$C,$C1007,$D:$D,"P0(후)",$L:$L,"&gt;0")&lt;&gt;1,"",SUMIFS($H:$H,$C:$C,$C1007,$D:$D,"P0(후)"))</f>
        <v/>
      </c>
      <c r="Q1007" s="30">
        <f>IF(COUNTIFS($C:$C,$C1007,$D:$D,"P0(후)",$L:$L,"&gt;0")&lt;&gt;1,"",SUMIFS($L:$L,$C:$C,$C1007,$D:$D,"P0(후)"))</f>
        <v/>
      </c>
      <c r="R1007" s="30">
        <f>IF(M1007&lt;&gt;"OK","",O1007+(Q1007-O1007)*(H1007-N1007)/(P1007-N1007))</f>
        <v/>
      </c>
      <c r="S1007" s="30">
        <f>IF(OR(M1007&lt;&gt;"OK",NOT(ISNUMBER(L1007))),"",L1007-R1007)</f>
        <v/>
      </c>
      <c r="T1007" s="46">
        <f>IF(OR(NOT(ISNUMBER(S1007)),IF(ISNUMBER(G1007),G1007,F1007)=0),"",S1007/IF(ISNUMBER(G1007),G1007,F1007))</f>
        <v/>
      </c>
      <c r="U1007" s="46">
        <f>IF(ISNUMBER(T1007),ABS(T1007),"")</f>
        <v/>
      </c>
      <c r="V1007" s="46">
        <f>IF(OR($D1006&lt;&gt;"측정",$C1006&lt;&gt;$C1007,NOT(ISNUMBER(L1007)),NOT(ISNUMBER(L1006)),(IF(ISNUMBER(G1007),G1007,F1007)-IF(ISNUMBER(G1006),G1006,F1006))=0),"",(L1007-L1006)/(IF(ISNUMBER(G1007),G1007,F1007)-IF(ISNUMBER(G1006),G1006,F1006)))</f>
        <v/>
      </c>
      <c r="W1007" s="30">
        <f>IF(NOT(AND(ISNUMBER(N1007),ISNUMBER(P1007))),"",(P1007-N1007)*1440)</f>
        <v/>
      </c>
      <c r="X1007" s="28" t="n"/>
      <c r="Y1007" s="28" t="n"/>
      <c r="Z1007" s="28" t="n"/>
      <c r="AA1007" s="31" t="n"/>
      <c r="AB1007" s="31" t="n"/>
    </row>
    <row r="1008">
      <c r="A1008" s="25" t="inlineStr">
        <is>
          <t>S20</t>
        </is>
      </c>
      <c r="B1008" s="25" t="inlineStr">
        <is>
          <t>보령 신규점2</t>
        </is>
      </c>
      <c r="C1008" s="25" t="inlineStr">
        <is>
          <t>S20-H서</t>
        </is>
      </c>
      <c r="D1008" s="25" t="inlineStr">
        <is>
          <t>측정</t>
        </is>
      </c>
      <c r="E1008" s="25" t="inlineStr">
        <is>
          <t>서</t>
        </is>
      </c>
      <c r="F1008" s="30" t="n">
        <v>1</v>
      </c>
      <c r="G1008" s="29" t="n"/>
      <c r="H1008" s="42" t="n"/>
      <c r="I1008" s="40" t="n"/>
      <c r="J1008" s="40" t="n"/>
      <c r="K1008" s="40" t="n"/>
      <c r="L1008" s="30">
        <f>IF(COUNT(I1008:K1008)=0,"",MEDIAN(I1008:K1008))</f>
        <v/>
      </c>
      <c r="M1008" s="25">
        <f>IF(COUNTIFS($C:$C,$C1008,$D:$D,"P0(전)",$L:$L,"&gt;0")&lt;&gt;1,"P0(전) 유효 1개 아님",IF(COUNTIFS($C:$C,$C1008,$D:$D,"P0(후)",$L:$L,"&gt;0")&lt;&gt;1,"P0(후) 유효 1개 아님",IF(NOT(AND(ISNUMBER(N1008),ISNUMBER(P1008),ISNUMBER(H1008))),"시각 결측",IF(P1008&lt;=N1008,"P0 시각 역전",IF(OR(H1008&lt;N1008,H1008&gt;P1008),"측정시각 구간 밖","OK")))))</f>
        <v/>
      </c>
      <c r="N1008" s="45">
        <f>IF(COUNTIFS($C:$C,$C1008,$D:$D,"P0(전)",$L:$L,"&gt;0")&lt;&gt;1,"",SUMIFS($H:$H,$C:$C,$C1008,$D:$D,"P0(전)"))</f>
        <v/>
      </c>
      <c r="O1008" s="30">
        <f>IF(COUNTIFS($C:$C,$C1008,$D:$D,"P0(전)",$L:$L,"&gt;0")&lt;&gt;1,"",SUMIFS($L:$L,$C:$C,$C1008,$D:$D,"P0(전)"))</f>
        <v/>
      </c>
      <c r="P1008" s="45">
        <f>IF(COUNTIFS($C:$C,$C1008,$D:$D,"P0(후)",$L:$L,"&gt;0")&lt;&gt;1,"",SUMIFS($H:$H,$C:$C,$C1008,$D:$D,"P0(후)"))</f>
        <v/>
      </c>
      <c r="Q1008" s="30">
        <f>IF(COUNTIFS($C:$C,$C1008,$D:$D,"P0(후)",$L:$L,"&gt;0")&lt;&gt;1,"",SUMIFS($L:$L,$C:$C,$C1008,$D:$D,"P0(후)"))</f>
        <v/>
      </c>
      <c r="R1008" s="30">
        <f>IF(M1008&lt;&gt;"OK","",O1008+(Q1008-O1008)*(H1008-N1008)/(P1008-N1008))</f>
        <v/>
      </c>
      <c r="S1008" s="30">
        <f>IF(OR(M1008&lt;&gt;"OK",NOT(ISNUMBER(L1008))),"",L1008-R1008)</f>
        <v/>
      </c>
      <c r="T1008" s="46">
        <f>IF(OR(NOT(ISNUMBER(S1008)),IF(ISNUMBER(G1008),G1008,F1008)=0),"",S1008/IF(ISNUMBER(G1008),G1008,F1008))</f>
        <v/>
      </c>
      <c r="U1008" s="46">
        <f>IF(ISNUMBER(T1008),ABS(T1008),"")</f>
        <v/>
      </c>
      <c r="V1008" s="46">
        <f>IF(OR($D1007&lt;&gt;"측정",$C1007&lt;&gt;$C1008,NOT(ISNUMBER(L1008)),NOT(ISNUMBER(L1007)),(IF(ISNUMBER(G1008),G1008,F1008)-IF(ISNUMBER(G1007),G1007,F1007))=0),"",(L1008-L1007)/(IF(ISNUMBER(G1008),G1008,F1008)-IF(ISNUMBER(G1007),G1007,F1007)))</f>
        <v/>
      </c>
      <c r="W1008" s="30">
        <f>IF(NOT(AND(ISNUMBER(N1008),ISNUMBER(P1008))),"",(P1008-N1008)*1440)</f>
        <v/>
      </c>
      <c r="X1008" s="28" t="n"/>
      <c r="Y1008" s="28" t="n"/>
      <c r="Z1008" s="28" t="n"/>
      <c r="AA1008" s="31" t="n"/>
      <c r="AB1008" s="31" t="n"/>
    </row>
    <row r="1009">
      <c r="A1009" s="25" t="inlineStr">
        <is>
          <t>S20</t>
        </is>
      </c>
      <c r="B1009" s="25" t="inlineStr">
        <is>
          <t>보령 신규점2</t>
        </is>
      </c>
      <c r="C1009" s="25" t="inlineStr">
        <is>
          <t>S20-H서</t>
        </is>
      </c>
      <c r="D1009" s="25" t="inlineStr">
        <is>
          <t>측정</t>
        </is>
      </c>
      <c r="E1009" s="25" t="inlineStr">
        <is>
          <t>서</t>
        </is>
      </c>
      <c r="F1009" s="30" t="n">
        <v>2</v>
      </c>
      <c r="G1009" s="29" t="n"/>
      <c r="H1009" s="42" t="n"/>
      <c r="I1009" s="40" t="n"/>
      <c r="J1009" s="40" t="n"/>
      <c r="K1009" s="40" t="n"/>
      <c r="L1009" s="30">
        <f>IF(COUNT(I1009:K1009)=0,"",MEDIAN(I1009:K1009))</f>
        <v/>
      </c>
      <c r="M1009" s="25">
        <f>IF(COUNTIFS($C:$C,$C1009,$D:$D,"P0(전)",$L:$L,"&gt;0")&lt;&gt;1,"P0(전) 유효 1개 아님",IF(COUNTIFS($C:$C,$C1009,$D:$D,"P0(후)",$L:$L,"&gt;0")&lt;&gt;1,"P0(후) 유효 1개 아님",IF(NOT(AND(ISNUMBER(N1009),ISNUMBER(P1009),ISNUMBER(H1009))),"시각 결측",IF(P1009&lt;=N1009,"P0 시각 역전",IF(OR(H1009&lt;N1009,H1009&gt;P1009),"측정시각 구간 밖","OK")))))</f>
        <v/>
      </c>
      <c r="N1009" s="45">
        <f>IF(COUNTIFS($C:$C,$C1009,$D:$D,"P0(전)",$L:$L,"&gt;0")&lt;&gt;1,"",SUMIFS($H:$H,$C:$C,$C1009,$D:$D,"P0(전)"))</f>
        <v/>
      </c>
      <c r="O1009" s="30">
        <f>IF(COUNTIFS($C:$C,$C1009,$D:$D,"P0(전)",$L:$L,"&gt;0")&lt;&gt;1,"",SUMIFS($L:$L,$C:$C,$C1009,$D:$D,"P0(전)"))</f>
        <v/>
      </c>
      <c r="P1009" s="45">
        <f>IF(COUNTIFS($C:$C,$C1009,$D:$D,"P0(후)",$L:$L,"&gt;0")&lt;&gt;1,"",SUMIFS($H:$H,$C:$C,$C1009,$D:$D,"P0(후)"))</f>
        <v/>
      </c>
      <c r="Q1009" s="30">
        <f>IF(COUNTIFS($C:$C,$C1009,$D:$D,"P0(후)",$L:$L,"&gt;0")&lt;&gt;1,"",SUMIFS($L:$L,$C:$C,$C1009,$D:$D,"P0(후)"))</f>
        <v/>
      </c>
      <c r="R1009" s="30">
        <f>IF(M1009&lt;&gt;"OK","",O1009+(Q1009-O1009)*(H1009-N1009)/(P1009-N1009))</f>
        <v/>
      </c>
      <c r="S1009" s="30">
        <f>IF(OR(M1009&lt;&gt;"OK",NOT(ISNUMBER(L1009))),"",L1009-R1009)</f>
        <v/>
      </c>
      <c r="T1009" s="46">
        <f>IF(OR(NOT(ISNUMBER(S1009)),IF(ISNUMBER(G1009),G1009,F1009)=0),"",S1009/IF(ISNUMBER(G1009),G1009,F1009))</f>
        <v/>
      </c>
      <c r="U1009" s="46">
        <f>IF(ISNUMBER(T1009),ABS(T1009),"")</f>
        <v/>
      </c>
      <c r="V1009" s="46">
        <f>IF(OR($D1008&lt;&gt;"측정",$C1008&lt;&gt;$C1009,NOT(ISNUMBER(L1009)),NOT(ISNUMBER(L1008)),(IF(ISNUMBER(G1009),G1009,F1009)-IF(ISNUMBER(G1008),G1008,F1008))=0),"",(L1009-L1008)/(IF(ISNUMBER(G1009),G1009,F1009)-IF(ISNUMBER(G1008),G1008,F1008)))</f>
        <v/>
      </c>
      <c r="W1009" s="30">
        <f>IF(NOT(AND(ISNUMBER(N1009),ISNUMBER(P1009))),"",(P1009-N1009)*1440)</f>
        <v/>
      </c>
      <c r="X1009" s="28" t="n"/>
      <c r="Y1009" s="28" t="n"/>
      <c r="Z1009" s="28" t="n"/>
      <c r="AA1009" s="31" t="n"/>
      <c r="AB1009" s="31" t="n"/>
    </row>
    <row r="1010">
      <c r="A1010" s="25" t="inlineStr">
        <is>
          <t>S20</t>
        </is>
      </c>
      <c r="B1010" s="25" t="inlineStr">
        <is>
          <t>보령 신규점2</t>
        </is>
      </c>
      <c r="C1010" s="25" t="inlineStr">
        <is>
          <t>S20-H서</t>
        </is>
      </c>
      <c r="D1010" s="25" t="inlineStr">
        <is>
          <t>측정</t>
        </is>
      </c>
      <c r="E1010" s="25" t="inlineStr">
        <is>
          <t>서</t>
        </is>
      </c>
      <c r="F1010" s="30" t="n">
        <v>3</v>
      </c>
      <c r="G1010" s="29" t="n"/>
      <c r="H1010" s="42" t="n"/>
      <c r="I1010" s="40" t="n"/>
      <c r="J1010" s="40" t="n"/>
      <c r="K1010" s="40" t="n"/>
      <c r="L1010" s="30">
        <f>IF(COUNT(I1010:K1010)=0,"",MEDIAN(I1010:K1010))</f>
        <v/>
      </c>
      <c r="M1010" s="25">
        <f>IF(COUNTIFS($C:$C,$C1010,$D:$D,"P0(전)",$L:$L,"&gt;0")&lt;&gt;1,"P0(전) 유효 1개 아님",IF(COUNTIFS($C:$C,$C1010,$D:$D,"P0(후)",$L:$L,"&gt;0")&lt;&gt;1,"P0(후) 유효 1개 아님",IF(NOT(AND(ISNUMBER(N1010),ISNUMBER(P1010),ISNUMBER(H1010))),"시각 결측",IF(P1010&lt;=N1010,"P0 시각 역전",IF(OR(H1010&lt;N1010,H1010&gt;P1010),"측정시각 구간 밖","OK")))))</f>
        <v/>
      </c>
      <c r="N1010" s="45">
        <f>IF(COUNTIFS($C:$C,$C1010,$D:$D,"P0(전)",$L:$L,"&gt;0")&lt;&gt;1,"",SUMIFS($H:$H,$C:$C,$C1010,$D:$D,"P0(전)"))</f>
        <v/>
      </c>
      <c r="O1010" s="30">
        <f>IF(COUNTIFS($C:$C,$C1010,$D:$D,"P0(전)",$L:$L,"&gt;0")&lt;&gt;1,"",SUMIFS($L:$L,$C:$C,$C1010,$D:$D,"P0(전)"))</f>
        <v/>
      </c>
      <c r="P1010" s="45">
        <f>IF(COUNTIFS($C:$C,$C1010,$D:$D,"P0(후)",$L:$L,"&gt;0")&lt;&gt;1,"",SUMIFS($H:$H,$C:$C,$C1010,$D:$D,"P0(후)"))</f>
        <v/>
      </c>
      <c r="Q1010" s="30">
        <f>IF(COUNTIFS($C:$C,$C1010,$D:$D,"P0(후)",$L:$L,"&gt;0")&lt;&gt;1,"",SUMIFS($L:$L,$C:$C,$C1010,$D:$D,"P0(후)"))</f>
        <v/>
      </c>
      <c r="R1010" s="30">
        <f>IF(M1010&lt;&gt;"OK","",O1010+(Q1010-O1010)*(H1010-N1010)/(P1010-N1010))</f>
        <v/>
      </c>
      <c r="S1010" s="30">
        <f>IF(OR(M1010&lt;&gt;"OK",NOT(ISNUMBER(L1010))),"",L1010-R1010)</f>
        <v/>
      </c>
      <c r="T1010" s="46">
        <f>IF(OR(NOT(ISNUMBER(S1010)),IF(ISNUMBER(G1010),G1010,F1010)=0),"",S1010/IF(ISNUMBER(G1010),G1010,F1010))</f>
        <v/>
      </c>
      <c r="U1010" s="46">
        <f>IF(ISNUMBER(T1010),ABS(T1010),"")</f>
        <v/>
      </c>
      <c r="V1010" s="46">
        <f>IF(OR($D1009&lt;&gt;"측정",$C1009&lt;&gt;$C1010,NOT(ISNUMBER(L1010)),NOT(ISNUMBER(L1009)),(IF(ISNUMBER(G1010),G1010,F1010)-IF(ISNUMBER(G1009),G1009,F1009))=0),"",(L1010-L1009)/(IF(ISNUMBER(G1010),G1010,F1010)-IF(ISNUMBER(G1009),G1009,F1009)))</f>
        <v/>
      </c>
      <c r="W1010" s="30">
        <f>IF(NOT(AND(ISNUMBER(N1010),ISNUMBER(P1010))),"",(P1010-N1010)*1440)</f>
        <v/>
      </c>
      <c r="X1010" s="28" t="n"/>
      <c r="Y1010" s="28" t="n"/>
      <c r="Z1010" s="28" t="n"/>
      <c r="AA1010" s="31" t="n"/>
      <c r="AB1010" s="31" t="n"/>
    </row>
    <row r="1011">
      <c r="A1011" s="25" t="inlineStr">
        <is>
          <t>S20</t>
        </is>
      </c>
      <c r="B1011" s="25" t="inlineStr">
        <is>
          <t>보령 신규점2</t>
        </is>
      </c>
      <c r="C1011" s="25" t="inlineStr">
        <is>
          <t>S20-H서</t>
        </is>
      </c>
      <c r="D1011" s="25" t="inlineStr">
        <is>
          <t>측정</t>
        </is>
      </c>
      <c r="E1011" s="25" t="inlineStr">
        <is>
          <t>서</t>
        </is>
      </c>
      <c r="F1011" s="30" t="n">
        <v>4</v>
      </c>
      <c r="G1011" s="29" t="n"/>
      <c r="H1011" s="42" t="n"/>
      <c r="I1011" s="40" t="n"/>
      <c r="J1011" s="40" t="n"/>
      <c r="K1011" s="40" t="n"/>
      <c r="L1011" s="30">
        <f>IF(COUNT(I1011:K1011)=0,"",MEDIAN(I1011:K1011))</f>
        <v/>
      </c>
      <c r="M1011" s="25">
        <f>IF(COUNTIFS($C:$C,$C1011,$D:$D,"P0(전)",$L:$L,"&gt;0")&lt;&gt;1,"P0(전) 유효 1개 아님",IF(COUNTIFS($C:$C,$C1011,$D:$D,"P0(후)",$L:$L,"&gt;0")&lt;&gt;1,"P0(후) 유효 1개 아님",IF(NOT(AND(ISNUMBER(N1011),ISNUMBER(P1011),ISNUMBER(H1011))),"시각 결측",IF(P1011&lt;=N1011,"P0 시각 역전",IF(OR(H1011&lt;N1011,H1011&gt;P1011),"측정시각 구간 밖","OK")))))</f>
        <v/>
      </c>
      <c r="N1011" s="45">
        <f>IF(COUNTIFS($C:$C,$C1011,$D:$D,"P0(전)",$L:$L,"&gt;0")&lt;&gt;1,"",SUMIFS($H:$H,$C:$C,$C1011,$D:$D,"P0(전)"))</f>
        <v/>
      </c>
      <c r="O1011" s="30">
        <f>IF(COUNTIFS($C:$C,$C1011,$D:$D,"P0(전)",$L:$L,"&gt;0")&lt;&gt;1,"",SUMIFS($L:$L,$C:$C,$C1011,$D:$D,"P0(전)"))</f>
        <v/>
      </c>
      <c r="P1011" s="45">
        <f>IF(COUNTIFS($C:$C,$C1011,$D:$D,"P0(후)",$L:$L,"&gt;0")&lt;&gt;1,"",SUMIFS($H:$H,$C:$C,$C1011,$D:$D,"P0(후)"))</f>
        <v/>
      </c>
      <c r="Q1011" s="30">
        <f>IF(COUNTIFS($C:$C,$C1011,$D:$D,"P0(후)",$L:$L,"&gt;0")&lt;&gt;1,"",SUMIFS($L:$L,$C:$C,$C1011,$D:$D,"P0(후)"))</f>
        <v/>
      </c>
      <c r="R1011" s="30">
        <f>IF(M1011&lt;&gt;"OK","",O1011+(Q1011-O1011)*(H1011-N1011)/(P1011-N1011))</f>
        <v/>
      </c>
      <c r="S1011" s="30">
        <f>IF(OR(M1011&lt;&gt;"OK",NOT(ISNUMBER(L1011))),"",L1011-R1011)</f>
        <v/>
      </c>
      <c r="T1011" s="46">
        <f>IF(OR(NOT(ISNUMBER(S1011)),IF(ISNUMBER(G1011),G1011,F1011)=0),"",S1011/IF(ISNUMBER(G1011),G1011,F1011))</f>
        <v/>
      </c>
      <c r="U1011" s="46">
        <f>IF(ISNUMBER(T1011),ABS(T1011),"")</f>
        <v/>
      </c>
      <c r="V1011" s="46">
        <f>IF(OR($D1010&lt;&gt;"측정",$C1010&lt;&gt;$C1011,NOT(ISNUMBER(L1011)),NOT(ISNUMBER(L1010)),(IF(ISNUMBER(G1011),G1011,F1011)-IF(ISNUMBER(G1010),G1010,F1010))=0),"",(L1011-L1010)/(IF(ISNUMBER(G1011),G1011,F1011)-IF(ISNUMBER(G1010),G1010,F1010)))</f>
        <v/>
      </c>
      <c r="W1011" s="30">
        <f>IF(NOT(AND(ISNUMBER(N1011),ISNUMBER(P1011))),"",(P1011-N1011)*1440)</f>
        <v/>
      </c>
      <c r="X1011" s="28" t="n"/>
      <c r="Y1011" s="28" t="n"/>
      <c r="Z1011" s="28" t="n"/>
      <c r="AA1011" s="31" t="n"/>
      <c r="AB1011" s="31" t="n"/>
    </row>
    <row r="1012">
      <c r="A1012" s="25" t="inlineStr">
        <is>
          <t>S20</t>
        </is>
      </c>
      <c r="B1012" s="25" t="inlineStr">
        <is>
          <t>보령 신규점2</t>
        </is>
      </c>
      <c r="C1012" s="25" t="inlineStr">
        <is>
          <t>S20-H서</t>
        </is>
      </c>
      <c r="D1012" s="25" t="inlineStr">
        <is>
          <t>측정</t>
        </is>
      </c>
      <c r="E1012" s="25" t="inlineStr">
        <is>
          <t>서</t>
        </is>
      </c>
      <c r="F1012" s="30" t="n">
        <v>5</v>
      </c>
      <c r="G1012" s="29" t="n"/>
      <c r="H1012" s="42" t="n"/>
      <c r="I1012" s="40" t="n"/>
      <c r="J1012" s="40" t="n"/>
      <c r="K1012" s="40" t="n"/>
      <c r="L1012" s="30">
        <f>IF(COUNT(I1012:K1012)=0,"",MEDIAN(I1012:K1012))</f>
        <v/>
      </c>
      <c r="M1012" s="25">
        <f>IF(COUNTIFS($C:$C,$C1012,$D:$D,"P0(전)",$L:$L,"&gt;0")&lt;&gt;1,"P0(전) 유효 1개 아님",IF(COUNTIFS($C:$C,$C1012,$D:$D,"P0(후)",$L:$L,"&gt;0")&lt;&gt;1,"P0(후) 유효 1개 아님",IF(NOT(AND(ISNUMBER(N1012),ISNUMBER(P1012),ISNUMBER(H1012))),"시각 결측",IF(P1012&lt;=N1012,"P0 시각 역전",IF(OR(H1012&lt;N1012,H1012&gt;P1012),"측정시각 구간 밖","OK")))))</f>
        <v/>
      </c>
      <c r="N1012" s="45">
        <f>IF(COUNTIFS($C:$C,$C1012,$D:$D,"P0(전)",$L:$L,"&gt;0")&lt;&gt;1,"",SUMIFS($H:$H,$C:$C,$C1012,$D:$D,"P0(전)"))</f>
        <v/>
      </c>
      <c r="O1012" s="30">
        <f>IF(COUNTIFS($C:$C,$C1012,$D:$D,"P0(전)",$L:$L,"&gt;0")&lt;&gt;1,"",SUMIFS($L:$L,$C:$C,$C1012,$D:$D,"P0(전)"))</f>
        <v/>
      </c>
      <c r="P1012" s="45">
        <f>IF(COUNTIFS($C:$C,$C1012,$D:$D,"P0(후)",$L:$L,"&gt;0")&lt;&gt;1,"",SUMIFS($H:$H,$C:$C,$C1012,$D:$D,"P0(후)"))</f>
        <v/>
      </c>
      <c r="Q1012" s="30">
        <f>IF(COUNTIFS($C:$C,$C1012,$D:$D,"P0(후)",$L:$L,"&gt;0")&lt;&gt;1,"",SUMIFS($L:$L,$C:$C,$C1012,$D:$D,"P0(후)"))</f>
        <v/>
      </c>
      <c r="R1012" s="30">
        <f>IF(M1012&lt;&gt;"OK","",O1012+(Q1012-O1012)*(H1012-N1012)/(P1012-N1012))</f>
        <v/>
      </c>
      <c r="S1012" s="30">
        <f>IF(OR(M1012&lt;&gt;"OK",NOT(ISNUMBER(L1012))),"",L1012-R1012)</f>
        <v/>
      </c>
      <c r="T1012" s="46">
        <f>IF(OR(NOT(ISNUMBER(S1012)),IF(ISNUMBER(G1012),G1012,F1012)=0),"",S1012/IF(ISNUMBER(G1012),G1012,F1012))</f>
        <v/>
      </c>
      <c r="U1012" s="46">
        <f>IF(ISNUMBER(T1012),ABS(T1012),"")</f>
        <v/>
      </c>
      <c r="V1012" s="46">
        <f>IF(OR($D1011&lt;&gt;"측정",$C1011&lt;&gt;$C1012,NOT(ISNUMBER(L1012)),NOT(ISNUMBER(L1011)),(IF(ISNUMBER(G1012),G1012,F1012)-IF(ISNUMBER(G1011),G1011,F1011))=0),"",(L1012-L1011)/(IF(ISNUMBER(G1012),G1012,F1012)-IF(ISNUMBER(G1011),G1011,F1011)))</f>
        <v/>
      </c>
      <c r="W1012" s="30">
        <f>IF(NOT(AND(ISNUMBER(N1012),ISNUMBER(P1012))),"",(P1012-N1012)*1440)</f>
        <v/>
      </c>
      <c r="X1012" s="28" t="n"/>
      <c r="Y1012" s="28" t="n"/>
      <c r="Z1012" s="28" t="n"/>
      <c r="AA1012" s="31" t="n"/>
      <c r="AB1012" s="31" t="n"/>
    </row>
    <row r="1013">
      <c r="A1013" s="25" t="inlineStr">
        <is>
          <t>S20</t>
        </is>
      </c>
      <c r="B1013" s="25" t="inlineStr">
        <is>
          <t>보령 신규점2</t>
        </is>
      </c>
      <c r="C1013" s="25" t="inlineStr">
        <is>
          <t>S20-H서</t>
        </is>
      </c>
      <c r="D1013" s="25" t="inlineStr">
        <is>
          <t>측정</t>
        </is>
      </c>
      <c r="E1013" s="25" t="inlineStr">
        <is>
          <t>서</t>
        </is>
      </c>
      <c r="F1013" s="30" t="n">
        <v>6</v>
      </c>
      <c r="G1013" s="29" t="n"/>
      <c r="H1013" s="42" t="n"/>
      <c r="I1013" s="40" t="n"/>
      <c r="J1013" s="40" t="n"/>
      <c r="K1013" s="40" t="n"/>
      <c r="L1013" s="30">
        <f>IF(COUNT(I1013:K1013)=0,"",MEDIAN(I1013:K1013))</f>
        <v/>
      </c>
      <c r="M1013" s="25">
        <f>IF(COUNTIFS($C:$C,$C1013,$D:$D,"P0(전)",$L:$L,"&gt;0")&lt;&gt;1,"P0(전) 유효 1개 아님",IF(COUNTIFS($C:$C,$C1013,$D:$D,"P0(후)",$L:$L,"&gt;0")&lt;&gt;1,"P0(후) 유효 1개 아님",IF(NOT(AND(ISNUMBER(N1013),ISNUMBER(P1013),ISNUMBER(H1013))),"시각 결측",IF(P1013&lt;=N1013,"P0 시각 역전",IF(OR(H1013&lt;N1013,H1013&gt;P1013),"측정시각 구간 밖","OK")))))</f>
        <v/>
      </c>
      <c r="N1013" s="45">
        <f>IF(COUNTIFS($C:$C,$C1013,$D:$D,"P0(전)",$L:$L,"&gt;0")&lt;&gt;1,"",SUMIFS($H:$H,$C:$C,$C1013,$D:$D,"P0(전)"))</f>
        <v/>
      </c>
      <c r="O1013" s="30">
        <f>IF(COUNTIFS($C:$C,$C1013,$D:$D,"P0(전)",$L:$L,"&gt;0")&lt;&gt;1,"",SUMIFS($L:$L,$C:$C,$C1013,$D:$D,"P0(전)"))</f>
        <v/>
      </c>
      <c r="P1013" s="45">
        <f>IF(COUNTIFS($C:$C,$C1013,$D:$D,"P0(후)",$L:$L,"&gt;0")&lt;&gt;1,"",SUMIFS($H:$H,$C:$C,$C1013,$D:$D,"P0(후)"))</f>
        <v/>
      </c>
      <c r="Q1013" s="30">
        <f>IF(COUNTIFS($C:$C,$C1013,$D:$D,"P0(후)",$L:$L,"&gt;0")&lt;&gt;1,"",SUMIFS($L:$L,$C:$C,$C1013,$D:$D,"P0(후)"))</f>
        <v/>
      </c>
      <c r="R1013" s="30">
        <f>IF(M1013&lt;&gt;"OK","",O1013+(Q1013-O1013)*(H1013-N1013)/(P1013-N1013))</f>
        <v/>
      </c>
      <c r="S1013" s="30">
        <f>IF(OR(M1013&lt;&gt;"OK",NOT(ISNUMBER(L1013))),"",L1013-R1013)</f>
        <v/>
      </c>
      <c r="T1013" s="46">
        <f>IF(OR(NOT(ISNUMBER(S1013)),IF(ISNUMBER(G1013),G1013,F1013)=0),"",S1013/IF(ISNUMBER(G1013),G1013,F1013))</f>
        <v/>
      </c>
      <c r="U1013" s="46">
        <f>IF(ISNUMBER(T1013),ABS(T1013),"")</f>
        <v/>
      </c>
      <c r="V1013" s="46">
        <f>IF(OR($D1012&lt;&gt;"측정",$C1012&lt;&gt;$C1013,NOT(ISNUMBER(L1013)),NOT(ISNUMBER(L1012)),(IF(ISNUMBER(G1013),G1013,F1013)-IF(ISNUMBER(G1012),G1012,F1012))=0),"",(L1013-L1012)/(IF(ISNUMBER(G1013),G1013,F1013)-IF(ISNUMBER(G1012),G1012,F1012)))</f>
        <v/>
      </c>
      <c r="W1013" s="30">
        <f>IF(NOT(AND(ISNUMBER(N1013),ISNUMBER(P1013))),"",(P1013-N1013)*1440)</f>
        <v/>
      </c>
      <c r="X1013" s="28" t="n"/>
      <c r="Y1013" s="28" t="n"/>
      <c r="Z1013" s="28" t="n"/>
      <c r="AA1013" s="31" t="n"/>
      <c r="AB1013" s="31" t="n"/>
    </row>
    <row r="1014">
      <c r="A1014" s="25" t="inlineStr">
        <is>
          <t>S20</t>
        </is>
      </c>
      <c r="B1014" s="25" t="inlineStr">
        <is>
          <t>보령 신규점2</t>
        </is>
      </c>
      <c r="C1014" s="25" t="inlineStr">
        <is>
          <t>S20-H서</t>
        </is>
      </c>
      <c r="D1014" s="25" t="inlineStr">
        <is>
          <t>측정</t>
        </is>
      </c>
      <c r="E1014" s="25" t="inlineStr">
        <is>
          <t>서</t>
        </is>
      </c>
      <c r="F1014" s="30" t="n">
        <v>7</v>
      </c>
      <c r="G1014" s="29" t="n"/>
      <c r="H1014" s="42" t="n"/>
      <c r="I1014" s="40" t="n"/>
      <c r="J1014" s="40" t="n"/>
      <c r="K1014" s="40" t="n"/>
      <c r="L1014" s="30">
        <f>IF(COUNT(I1014:K1014)=0,"",MEDIAN(I1014:K1014))</f>
        <v/>
      </c>
      <c r="M1014" s="25">
        <f>IF(COUNTIFS($C:$C,$C1014,$D:$D,"P0(전)",$L:$L,"&gt;0")&lt;&gt;1,"P0(전) 유효 1개 아님",IF(COUNTIFS($C:$C,$C1014,$D:$D,"P0(후)",$L:$L,"&gt;0")&lt;&gt;1,"P0(후) 유효 1개 아님",IF(NOT(AND(ISNUMBER(N1014),ISNUMBER(P1014),ISNUMBER(H1014))),"시각 결측",IF(P1014&lt;=N1014,"P0 시각 역전",IF(OR(H1014&lt;N1014,H1014&gt;P1014),"측정시각 구간 밖","OK")))))</f>
        <v/>
      </c>
      <c r="N1014" s="45">
        <f>IF(COUNTIFS($C:$C,$C1014,$D:$D,"P0(전)",$L:$L,"&gt;0")&lt;&gt;1,"",SUMIFS($H:$H,$C:$C,$C1014,$D:$D,"P0(전)"))</f>
        <v/>
      </c>
      <c r="O1014" s="30">
        <f>IF(COUNTIFS($C:$C,$C1014,$D:$D,"P0(전)",$L:$L,"&gt;0")&lt;&gt;1,"",SUMIFS($L:$L,$C:$C,$C1014,$D:$D,"P0(전)"))</f>
        <v/>
      </c>
      <c r="P1014" s="45">
        <f>IF(COUNTIFS($C:$C,$C1014,$D:$D,"P0(후)",$L:$L,"&gt;0")&lt;&gt;1,"",SUMIFS($H:$H,$C:$C,$C1014,$D:$D,"P0(후)"))</f>
        <v/>
      </c>
      <c r="Q1014" s="30">
        <f>IF(COUNTIFS($C:$C,$C1014,$D:$D,"P0(후)",$L:$L,"&gt;0")&lt;&gt;1,"",SUMIFS($L:$L,$C:$C,$C1014,$D:$D,"P0(후)"))</f>
        <v/>
      </c>
      <c r="R1014" s="30">
        <f>IF(M1014&lt;&gt;"OK","",O1014+(Q1014-O1014)*(H1014-N1014)/(P1014-N1014))</f>
        <v/>
      </c>
      <c r="S1014" s="30">
        <f>IF(OR(M1014&lt;&gt;"OK",NOT(ISNUMBER(L1014))),"",L1014-R1014)</f>
        <v/>
      </c>
      <c r="T1014" s="46">
        <f>IF(OR(NOT(ISNUMBER(S1014)),IF(ISNUMBER(G1014),G1014,F1014)=0),"",S1014/IF(ISNUMBER(G1014),G1014,F1014))</f>
        <v/>
      </c>
      <c r="U1014" s="46">
        <f>IF(ISNUMBER(T1014),ABS(T1014),"")</f>
        <v/>
      </c>
      <c r="V1014" s="46">
        <f>IF(OR($D1013&lt;&gt;"측정",$C1013&lt;&gt;$C1014,NOT(ISNUMBER(L1014)),NOT(ISNUMBER(L1013)),(IF(ISNUMBER(G1014),G1014,F1014)-IF(ISNUMBER(G1013),G1013,F1013))=0),"",(L1014-L1013)/(IF(ISNUMBER(G1014),G1014,F1014)-IF(ISNUMBER(G1013),G1013,F1013)))</f>
        <v/>
      </c>
      <c r="W1014" s="30">
        <f>IF(NOT(AND(ISNUMBER(N1014),ISNUMBER(P1014))),"",(P1014-N1014)*1440)</f>
        <v/>
      </c>
      <c r="X1014" s="28" t="n"/>
      <c r="Y1014" s="28" t="n"/>
      <c r="Z1014" s="28" t="n"/>
      <c r="AA1014" s="31" t="n"/>
      <c r="AB1014" s="31" t="n"/>
    </row>
    <row r="1015">
      <c r="A1015" s="25" t="inlineStr">
        <is>
          <t>S20</t>
        </is>
      </c>
      <c r="B1015" s="25" t="inlineStr">
        <is>
          <t>보령 신규점2</t>
        </is>
      </c>
      <c r="C1015" s="25" t="inlineStr">
        <is>
          <t>S20-H서</t>
        </is>
      </c>
      <c r="D1015" s="25" t="inlineStr">
        <is>
          <t>측정</t>
        </is>
      </c>
      <c r="E1015" s="25" t="inlineStr">
        <is>
          <t>서</t>
        </is>
      </c>
      <c r="F1015" s="30" t="n">
        <v>8</v>
      </c>
      <c r="G1015" s="29" t="n"/>
      <c r="H1015" s="42" t="n"/>
      <c r="I1015" s="40" t="n"/>
      <c r="J1015" s="40" t="n"/>
      <c r="K1015" s="40" t="n"/>
      <c r="L1015" s="30">
        <f>IF(COUNT(I1015:K1015)=0,"",MEDIAN(I1015:K1015))</f>
        <v/>
      </c>
      <c r="M1015" s="25">
        <f>IF(COUNTIFS($C:$C,$C1015,$D:$D,"P0(전)",$L:$L,"&gt;0")&lt;&gt;1,"P0(전) 유효 1개 아님",IF(COUNTIFS($C:$C,$C1015,$D:$D,"P0(후)",$L:$L,"&gt;0")&lt;&gt;1,"P0(후) 유효 1개 아님",IF(NOT(AND(ISNUMBER(N1015),ISNUMBER(P1015),ISNUMBER(H1015))),"시각 결측",IF(P1015&lt;=N1015,"P0 시각 역전",IF(OR(H1015&lt;N1015,H1015&gt;P1015),"측정시각 구간 밖","OK")))))</f>
        <v/>
      </c>
      <c r="N1015" s="45">
        <f>IF(COUNTIFS($C:$C,$C1015,$D:$D,"P0(전)",$L:$L,"&gt;0")&lt;&gt;1,"",SUMIFS($H:$H,$C:$C,$C1015,$D:$D,"P0(전)"))</f>
        <v/>
      </c>
      <c r="O1015" s="30">
        <f>IF(COUNTIFS($C:$C,$C1015,$D:$D,"P0(전)",$L:$L,"&gt;0")&lt;&gt;1,"",SUMIFS($L:$L,$C:$C,$C1015,$D:$D,"P0(전)"))</f>
        <v/>
      </c>
      <c r="P1015" s="45">
        <f>IF(COUNTIFS($C:$C,$C1015,$D:$D,"P0(후)",$L:$L,"&gt;0")&lt;&gt;1,"",SUMIFS($H:$H,$C:$C,$C1015,$D:$D,"P0(후)"))</f>
        <v/>
      </c>
      <c r="Q1015" s="30">
        <f>IF(COUNTIFS($C:$C,$C1015,$D:$D,"P0(후)",$L:$L,"&gt;0")&lt;&gt;1,"",SUMIFS($L:$L,$C:$C,$C1015,$D:$D,"P0(후)"))</f>
        <v/>
      </c>
      <c r="R1015" s="30">
        <f>IF(M1015&lt;&gt;"OK","",O1015+(Q1015-O1015)*(H1015-N1015)/(P1015-N1015))</f>
        <v/>
      </c>
      <c r="S1015" s="30">
        <f>IF(OR(M1015&lt;&gt;"OK",NOT(ISNUMBER(L1015))),"",L1015-R1015)</f>
        <v/>
      </c>
      <c r="T1015" s="46">
        <f>IF(OR(NOT(ISNUMBER(S1015)),IF(ISNUMBER(G1015),G1015,F1015)=0),"",S1015/IF(ISNUMBER(G1015),G1015,F1015))</f>
        <v/>
      </c>
      <c r="U1015" s="46">
        <f>IF(ISNUMBER(T1015),ABS(T1015),"")</f>
        <v/>
      </c>
      <c r="V1015" s="46">
        <f>IF(OR($D1014&lt;&gt;"측정",$C1014&lt;&gt;$C1015,NOT(ISNUMBER(L1015)),NOT(ISNUMBER(L1014)),(IF(ISNUMBER(G1015),G1015,F1015)-IF(ISNUMBER(G1014),G1014,F1014))=0),"",(L1015-L1014)/(IF(ISNUMBER(G1015),G1015,F1015)-IF(ISNUMBER(G1014),G1014,F1014)))</f>
        <v/>
      </c>
      <c r="W1015" s="30">
        <f>IF(NOT(AND(ISNUMBER(N1015),ISNUMBER(P1015))),"",(P1015-N1015)*1440)</f>
        <v/>
      </c>
      <c r="X1015" s="28" t="n"/>
      <c r="Y1015" s="28" t="n"/>
      <c r="Z1015" s="28" t="n"/>
      <c r="AA1015" s="31" t="n"/>
      <c r="AB1015" s="31" t="n"/>
    </row>
    <row r="1016">
      <c r="A1016" s="25" t="inlineStr">
        <is>
          <t>S20</t>
        </is>
      </c>
      <c r="B1016" s="25" t="inlineStr">
        <is>
          <t>보령 신규점2</t>
        </is>
      </c>
      <c r="C1016" s="25" t="inlineStr">
        <is>
          <t>S20-H서</t>
        </is>
      </c>
      <c r="D1016" s="25" t="inlineStr">
        <is>
          <t>측정</t>
        </is>
      </c>
      <c r="E1016" s="25" t="inlineStr">
        <is>
          <t>서</t>
        </is>
      </c>
      <c r="F1016" s="30" t="n">
        <v>9</v>
      </c>
      <c r="G1016" s="29" t="n"/>
      <c r="H1016" s="42" t="n"/>
      <c r="I1016" s="40" t="n"/>
      <c r="J1016" s="40" t="n"/>
      <c r="K1016" s="40" t="n"/>
      <c r="L1016" s="30">
        <f>IF(COUNT(I1016:K1016)=0,"",MEDIAN(I1016:K1016))</f>
        <v/>
      </c>
      <c r="M1016" s="25">
        <f>IF(COUNTIFS($C:$C,$C1016,$D:$D,"P0(전)",$L:$L,"&gt;0")&lt;&gt;1,"P0(전) 유효 1개 아님",IF(COUNTIFS($C:$C,$C1016,$D:$D,"P0(후)",$L:$L,"&gt;0")&lt;&gt;1,"P0(후) 유효 1개 아님",IF(NOT(AND(ISNUMBER(N1016),ISNUMBER(P1016),ISNUMBER(H1016))),"시각 결측",IF(P1016&lt;=N1016,"P0 시각 역전",IF(OR(H1016&lt;N1016,H1016&gt;P1016),"측정시각 구간 밖","OK")))))</f>
        <v/>
      </c>
      <c r="N1016" s="45">
        <f>IF(COUNTIFS($C:$C,$C1016,$D:$D,"P0(전)",$L:$L,"&gt;0")&lt;&gt;1,"",SUMIFS($H:$H,$C:$C,$C1016,$D:$D,"P0(전)"))</f>
        <v/>
      </c>
      <c r="O1016" s="30">
        <f>IF(COUNTIFS($C:$C,$C1016,$D:$D,"P0(전)",$L:$L,"&gt;0")&lt;&gt;1,"",SUMIFS($L:$L,$C:$C,$C1016,$D:$D,"P0(전)"))</f>
        <v/>
      </c>
      <c r="P1016" s="45">
        <f>IF(COUNTIFS($C:$C,$C1016,$D:$D,"P0(후)",$L:$L,"&gt;0")&lt;&gt;1,"",SUMIFS($H:$H,$C:$C,$C1016,$D:$D,"P0(후)"))</f>
        <v/>
      </c>
      <c r="Q1016" s="30">
        <f>IF(COUNTIFS($C:$C,$C1016,$D:$D,"P0(후)",$L:$L,"&gt;0")&lt;&gt;1,"",SUMIFS($L:$L,$C:$C,$C1016,$D:$D,"P0(후)"))</f>
        <v/>
      </c>
      <c r="R1016" s="30">
        <f>IF(M1016&lt;&gt;"OK","",O1016+(Q1016-O1016)*(H1016-N1016)/(P1016-N1016))</f>
        <v/>
      </c>
      <c r="S1016" s="30">
        <f>IF(OR(M1016&lt;&gt;"OK",NOT(ISNUMBER(L1016))),"",L1016-R1016)</f>
        <v/>
      </c>
      <c r="T1016" s="46">
        <f>IF(OR(NOT(ISNUMBER(S1016)),IF(ISNUMBER(G1016),G1016,F1016)=0),"",S1016/IF(ISNUMBER(G1016),G1016,F1016))</f>
        <v/>
      </c>
      <c r="U1016" s="46">
        <f>IF(ISNUMBER(T1016),ABS(T1016),"")</f>
        <v/>
      </c>
      <c r="V1016" s="46">
        <f>IF(OR($D1015&lt;&gt;"측정",$C1015&lt;&gt;$C1016,NOT(ISNUMBER(L1016)),NOT(ISNUMBER(L1015)),(IF(ISNUMBER(G1016),G1016,F1016)-IF(ISNUMBER(G1015),G1015,F1015))=0),"",(L1016-L1015)/(IF(ISNUMBER(G1016),G1016,F1016)-IF(ISNUMBER(G1015),G1015,F1015)))</f>
        <v/>
      </c>
      <c r="W1016" s="30">
        <f>IF(NOT(AND(ISNUMBER(N1016),ISNUMBER(P1016))),"",(P1016-N1016)*1440)</f>
        <v/>
      </c>
      <c r="X1016" s="28" t="n"/>
      <c r="Y1016" s="28" t="n"/>
      <c r="Z1016" s="28" t="n"/>
      <c r="AA1016" s="31" t="n"/>
      <c r="AB1016" s="31" t="n"/>
    </row>
    <row r="1017">
      <c r="A1017" s="25" t="inlineStr">
        <is>
          <t>S20</t>
        </is>
      </c>
      <c r="B1017" s="25" t="inlineStr">
        <is>
          <t>보령 신규점2</t>
        </is>
      </c>
      <c r="C1017" s="25" t="inlineStr">
        <is>
          <t>S20-H서</t>
        </is>
      </c>
      <c r="D1017" s="25" t="inlineStr">
        <is>
          <t>측정</t>
        </is>
      </c>
      <c r="E1017" s="25" t="inlineStr">
        <is>
          <t>서</t>
        </is>
      </c>
      <c r="F1017" s="30" t="n">
        <v>10</v>
      </c>
      <c r="G1017" s="29" t="n"/>
      <c r="H1017" s="42" t="n"/>
      <c r="I1017" s="40" t="n"/>
      <c r="J1017" s="40" t="n"/>
      <c r="K1017" s="40" t="n"/>
      <c r="L1017" s="30">
        <f>IF(COUNT(I1017:K1017)=0,"",MEDIAN(I1017:K1017))</f>
        <v/>
      </c>
      <c r="M1017" s="25">
        <f>IF(COUNTIFS($C:$C,$C1017,$D:$D,"P0(전)",$L:$L,"&gt;0")&lt;&gt;1,"P0(전) 유효 1개 아님",IF(COUNTIFS($C:$C,$C1017,$D:$D,"P0(후)",$L:$L,"&gt;0")&lt;&gt;1,"P0(후) 유효 1개 아님",IF(NOT(AND(ISNUMBER(N1017),ISNUMBER(P1017),ISNUMBER(H1017))),"시각 결측",IF(P1017&lt;=N1017,"P0 시각 역전",IF(OR(H1017&lt;N1017,H1017&gt;P1017),"측정시각 구간 밖","OK")))))</f>
        <v/>
      </c>
      <c r="N1017" s="45">
        <f>IF(COUNTIFS($C:$C,$C1017,$D:$D,"P0(전)",$L:$L,"&gt;0")&lt;&gt;1,"",SUMIFS($H:$H,$C:$C,$C1017,$D:$D,"P0(전)"))</f>
        <v/>
      </c>
      <c r="O1017" s="30">
        <f>IF(COUNTIFS($C:$C,$C1017,$D:$D,"P0(전)",$L:$L,"&gt;0")&lt;&gt;1,"",SUMIFS($L:$L,$C:$C,$C1017,$D:$D,"P0(전)"))</f>
        <v/>
      </c>
      <c r="P1017" s="45">
        <f>IF(COUNTIFS($C:$C,$C1017,$D:$D,"P0(후)",$L:$L,"&gt;0")&lt;&gt;1,"",SUMIFS($H:$H,$C:$C,$C1017,$D:$D,"P0(후)"))</f>
        <v/>
      </c>
      <c r="Q1017" s="30">
        <f>IF(COUNTIFS($C:$C,$C1017,$D:$D,"P0(후)",$L:$L,"&gt;0")&lt;&gt;1,"",SUMIFS($L:$L,$C:$C,$C1017,$D:$D,"P0(후)"))</f>
        <v/>
      </c>
      <c r="R1017" s="30">
        <f>IF(M1017&lt;&gt;"OK","",O1017+(Q1017-O1017)*(H1017-N1017)/(P1017-N1017))</f>
        <v/>
      </c>
      <c r="S1017" s="30">
        <f>IF(OR(M1017&lt;&gt;"OK",NOT(ISNUMBER(L1017))),"",L1017-R1017)</f>
        <v/>
      </c>
      <c r="T1017" s="46">
        <f>IF(OR(NOT(ISNUMBER(S1017)),IF(ISNUMBER(G1017),G1017,F1017)=0),"",S1017/IF(ISNUMBER(G1017),G1017,F1017))</f>
        <v/>
      </c>
      <c r="U1017" s="46">
        <f>IF(ISNUMBER(T1017),ABS(T1017),"")</f>
        <v/>
      </c>
      <c r="V1017" s="46">
        <f>IF(OR($D1016&lt;&gt;"측정",$C1016&lt;&gt;$C1017,NOT(ISNUMBER(L1017)),NOT(ISNUMBER(L1016)),(IF(ISNUMBER(G1017),G1017,F1017)-IF(ISNUMBER(G1016),G1016,F1016))=0),"",(L1017-L1016)/(IF(ISNUMBER(G1017),G1017,F1017)-IF(ISNUMBER(G1016),G1016,F1016)))</f>
        <v/>
      </c>
      <c r="W1017" s="30">
        <f>IF(NOT(AND(ISNUMBER(N1017),ISNUMBER(P1017))),"",(P1017-N1017)*1440)</f>
        <v/>
      </c>
      <c r="X1017" s="28" t="n"/>
      <c r="Y1017" s="28" t="n"/>
      <c r="Z1017" s="28" t="n"/>
      <c r="AA1017" s="31" t="n"/>
      <c r="AB1017" s="31" t="n"/>
    </row>
    <row r="1018">
      <c r="A1018" s="43" t="inlineStr">
        <is>
          <t>S20</t>
        </is>
      </c>
      <c r="B1018" s="43" t="inlineStr">
        <is>
          <t>보령 신규점2</t>
        </is>
      </c>
      <c r="C1018" s="43" t="inlineStr">
        <is>
          <t>S20-H서</t>
        </is>
      </c>
      <c r="D1018" s="43" t="inlineStr">
        <is>
          <t>P0(후)</t>
        </is>
      </c>
      <c r="E1018" s="43" t="inlineStr">
        <is>
          <t>서</t>
        </is>
      </c>
      <c r="F1018" s="44" t="n"/>
      <c r="G1018" s="29" t="n"/>
      <c r="H1018" s="42" t="n"/>
      <c r="I1018" s="40" t="n"/>
      <c r="J1018" s="40" t="n"/>
      <c r="K1018" s="40" t="n"/>
      <c r="L1018" s="30">
        <f>IF(COUNT(I1018:K1018)=0,"",MEDIAN(I1018:K1018))</f>
        <v/>
      </c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28" t="n"/>
      <c r="Y1018" s="28" t="n"/>
      <c r="Z1018" s="28" t="n"/>
      <c r="AA1018" s="31" t="n"/>
      <c r="AB1018" s="31" t="n"/>
    </row>
    <row r="1019">
      <c r="A1019" s="43" t="inlineStr">
        <is>
          <t>S20</t>
        </is>
      </c>
      <c r="B1019" s="43" t="inlineStr">
        <is>
          <t>보령 신규점2</t>
        </is>
      </c>
      <c r="C1019" s="43" t="inlineStr">
        <is>
          <t>S20-H남</t>
        </is>
      </c>
      <c r="D1019" s="43" t="inlineStr">
        <is>
          <t>P0(전)</t>
        </is>
      </c>
      <c r="E1019" s="43" t="inlineStr">
        <is>
          <t>남</t>
        </is>
      </c>
      <c r="F1019" s="44" t="n"/>
      <c r="G1019" s="29" t="n"/>
      <c r="H1019" s="42" t="n"/>
      <c r="I1019" s="40" t="n"/>
      <c r="J1019" s="40" t="n"/>
      <c r="K1019" s="40" t="n"/>
      <c r="L1019" s="30">
        <f>IF(COUNT(I1019:K1019)=0,"",MEDIAN(I1019:K1019))</f>
        <v/>
      </c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28" t="n"/>
      <c r="Y1019" s="28" t="n"/>
      <c r="Z1019" s="28" t="n"/>
      <c r="AA1019" s="31" t="n"/>
      <c r="AB1019" s="31" t="n"/>
    </row>
    <row r="1020">
      <c r="A1020" s="25" t="inlineStr">
        <is>
          <t>S20</t>
        </is>
      </c>
      <c r="B1020" s="25" t="inlineStr">
        <is>
          <t>보령 신규점2</t>
        </is>
      </c>
      <c r="C1020" s="25" t="inlineStr">
        <is>
          <t>S20-H남</t>
        </is>
      </c>
      <c r="D1020" s="25" t="inlineStr">
        <is>
          <t>측정</t>
        </is>
      </c>
      <c r="E1020" s="25" t="inlineStr">
        <is>
          <t>남</t>
        </is>
      </c>
      <c r="F1020" s="30" t="n">
        <v>0.5</v>
      </c>
      <c r="G1020" s="29" t="n"/>
      <c r="H1020" s="42" t="n"/>
      <c r="I1020" s="40" t="n"/>
      <c r="J1020" s="40" t="n"/>
      <c r="K1020" s="40" t="n"/>
      <c r="L1020" s="30">
        <f>IF(COUNT(I1020:K1020)=0,"",MEDIAN(I1020:K1020))</f>
        <v/>
      </c>
      <c r="M1020" s="25">
        <f>IF(COUNTIFS($C:$C,$C1020,$D:$D,"P0(전)",$L:$L,"&gt;0")&lt;&gt;1,"P0(전) 유효 1개 아님",IF(COUNTIFS($C:$C,$C1020,$D:$D,"P0(후)",$L:$L,"&gt;0")&lt;&gt;1,"P0(후) 유효 1개 아님",IF(NOT(AND(ISNUMBER(N1020),ISNUMBER(P1020),ISNUMBER(H1020))),"시각 결측",IF(P1020&lt;=N1020,"P0 시각 역전",IF(OR(H1020&lt;N1020,H1020&gt;P1020),"측정시각 구간 밖","OK")))))</f>
        <v/>
      </c>
      <c r="N1020" s="45">
        <f>IF(COUNTIFS($C:$C,$C1020,$D:$D,"P0(전)",$L:$L,"&gt;0")&lt;&gt;1,"",SUMIFS($H:$H,$C:$C,$C1020,$D:$D,"P0(전)"))</f>
        <v/>
      </c>
      <c r="O1020" s="30">
        <f>IF(COUNTIFS($C:$C,$C1020,$D:$D,"P0(전)",$L:$L,"&gt;0")&lt;&gt;1,"",SUMIFS($L:$L,$C:$C,$C1020,$D:$D,"P0(전)"))</f>
        <v/>
      </c>
      <c r="P1020" s="45">
        <f>IF(COUNTIFS($C:$C,$C1020,$D:$D,"P0(후)",$L:$L,"&gt;0")&lt;&gt;1,"",SUMIFS($H:$H,$C:$C,$C1020,$D:$D,"P0(후)"))</f>
        <v/>
      </c>
      <c r="Q1020" s="30">
        <f>IF(COUNTIFS($C:$C,$C1020,$D:$D,"P0(후)",$L:$L,"&gt;0")&lt;&gt;1,"",SUMIFS($L:$L,$C:$C,$C1020,$D:$D,"P0(후)"))</f>
        <v/>
      </c>
      <c r="R1020" s="30">
        <f>IF(M1020&lt;&gt;"OK","",O1020+(Q1020-O1020)*(H1020-N1020)/(P1020-N1020))</f>
        <v/>
      </c>
      <c r="S1020" s="30">
        <f>IF(OR(M1020&lt;&gt;"OK",NOT(ISNUMBER(L1020))),"",L1020-R1020)</f>
        <v/>
      </c>
      <c r="T1020" s="46">
        <f>IF(OR(NOT(ISNUMBER(S1020)),IF(ISNUMBER(G1020),G1020,F1020)=0),"",S1020/IF(ISNUMBER(G1020),G1020,F1020))</f>
        <v/>
      </c>
      <c r="U1020" s="46">
        <f>IF(ISNUMBER(T1020),ABS(T1020),"")</f>
        <v/>
      </c>
      <c r="V1020" s="46">
        <f>IF(OR($D1019&lt;&gt;"측정",$C1019&lt;&gt;$C1020,NOT(ISNUMBER(L1020)),NOT(ISNUMBER(L1019)),(IF(ISNUMBER(G1020),G1020,F1020)-IF(ISNUMBER(G1019),G1019,F1019))=0),"",(L1020-L1019)/(IF(ISNUMBER(G1020),G1020,F1020)-IF(ISNUMBER(G1019),G1019,F1019)))</f>
        <v/>
      </c>
      <c r="W1020" s="30">
        <f>IF(NOT(AND(ISNUMBER(N1020),ISNUMBER(P1020))),"",(P1020-N1020)*1440)</f>
        <v/>
      </c>
      <c r="X1020" s="28" t="n"/>
      <c r="Y1020" s="28" t="n"/>
      <c r="Z1020" s="28" t="n"/>
      <c r="AA1020" s="31" t="n"/>
      <c r="AB1020" s="31" t="n"/>
    </row>
    <row r="1021">
      <c r="A1021" s="25" t="inlineStr">
        <is>
          <t>S20</t>
        </is>
      </c>
      <c r="B1021" s="25" t="inlineStr">
        <is>
          <t>보령 신규점2</t>
        </is>
      </c>
      <c r="C1021" s="25" t="inlineStr">
        <is>
          <t>S20-H남</t>
        </is>
      </c>
      <c r="D1021" s="25" t="inlineStr">
        <is>
          <t>측정</t>
        </is>
      </c>
      <c r="E1021" s="25" t="inlineStr">
        <is>
          <t>남</t>
        </is>
      </c>
      <c r="F1021" s="30" t="n">
        <v>1</v>
      </c>
      <c r="G1021" s="29" t="n"/>
      <c r="H1021" s="42" t="n"/>
      <c r="I1021" s="40" t="n"/>
      <c r="J1021" s="40" t="n"/>
      <c r="K1021" s="40" t="n"/>
      <c r="L1021" s="30">
        <f>IF(COUNT(I1021:K1021)=0,"",MEDIAN(I1021:K1021))</f>
        <v/>
      </c>
      <c r="M1021" s="25">
        <f>IF(COUNTIFS($C:$C,$C1021,$D:$D,"P0(전)",$L:$L,"&gt;0")&lt;&gt;1,"P0(전) 유효 1개 아님",IF(COUNTIFS($C:$C,$C1021,$D:$D,"P0(후)",$L:$L,"&gt;0")&lt;&gt;1,"P0(후) 유효 1개 아님",IF(NOT(AND(ISNUMBER(N1021),ISNUMBER(P1021),ISNUMBER(H1021))),"시각 결측",IF(P1021&lt;=N1021,"P0 시각 역전",IF(OR(H1021&lt;N1021,H1021&gt;P1021),"측정시각 구간 밖","OK")))))</f>
        <v/>
      </c>
      <c r="N1021" s="45">
        <f>IF(COUNTIFS($C:$C,$C1021,$D:$D,"P0(전)",$L:$L,"&gt;0")&lt;&gt;1,"",SUMIFS($H:$H,$C:$C,$C1021,$D:$D,"P0(전)"))</f>
        <v/>
      </c>
      <c r="O1021" s="30">
        <f>IF(COUNTIFS($C:$C,$C1021,$D:$D,"P0(전)",$L:$L,"&gt;0")&lt;&gt;1,"",SUMIFS($L:$L,$C:$C,$C1021,$D:$D,"P0(전)"))</f>
        <v/>
      </c>
      <c r="P1021" s="45">
        <f>IF(COUNTIFS($C:$C,$C1021,$D:$D,"P0(후)",$L:$L,"&gt;0")&lt;&gt;1,"",SUMIFS($H:$H,$C:$C,$C1021,$D:$D,"P0(후)"))</f>
        <v/>
      </c>
      <c r="Q1021" s="30">
        <f>IF(COUNTIFS($C:$C,$C1021,$D:$D,"P0(후)",$L:$L,"&gt;0")&lt;&gt;1,"",SUMIFS($L:$L,$C:$C,$C1021,$D:$D,"P0(후)"))</f>
        <v/>
      </c>
      <c r="R1021" s="30">
        <f>IF(M1021&lt;&gt;"OK","",O1021+(Q1021-O1021)*(H1021-N1021)/(P1021-N1021))</f>
        <v/>
      </c>
      <c r="S1021" s="30">
        <f>IF(OR(M1021&lt;&gt;"OK",NOT(ISNUMBER(L1021))),"",L1021-R1021)</f>
        <v/>
      </c>
      <c r="T1021" s="46">
        <f>IF(OR(NOT(ISNUMBER(S1021)),IF(ISNUMBER(G1021),G1021,F1021)=0),"",S1021/IF(ISNUMBER(G1021),G1021,F1021))</f>
        <v/>
      </c>
      <c r="U1021" s="46">
        <f>IF(ISNUMBER(T1021),ABS(T1021),"")</f>
        <v/>
      </c>
      <c r="V1021" s="46">
        <f>IF(OR($D1020&lt;&gt;"측정",$C1020&lt;&gt;$C1021,NOT(ISNUMBER(L1021)),NOT(ISNUMBER(L1020)),(IF(ISNUMBER(G1021),G1021,F1021)-IF(ISNUMBER(G1020),G1020,F1020))=0),"",(L1021-L1020)/(IF(ISNUMBER(G1021),G1021,F1021)-IF(ISNUMBER(G1020),G1020,F1020)))</f>
        <v/>
      </c>
      <c r="W1021" s="30">
        <f>IF(NOT(AND(ISNUMBER(N1021),ISNUMBER(P1021))),"",(P1021-N1021)*1440)</f>
        <v/>
      </c>
      <c r="X1021" s="28" t="n"/>
      <c r="Y1021" s="28" t="n"/>
      <c r="Z1021" s="28" t="n"/>
      <c r="AA1021" s="31" t="n"/>
      <c r="AB1021" s="31" t="n"/>
    </row>
    <row r="1022">
      <c r="A1022" s="25" t="inlineStr">
        <is>
          <t>S20</t>
        </is>
      </c>
      <c r="B1022" s="25" t="inlineStr">
        <is>
          <t>보령 신규점2</t>
        </is>
      </c>
      <c r="C1022" s="25" t="inlineStr">
        <is>
          <t>S20-H남</t>
        </is>
      </c>
      <c r="D1022" s="25" t="inlineStr">
        <is>
          <t>측정</t>
        </is>
      </c>
      <c r="E1022" s="25" t="inlineStr">
        <is>
          <t>남</t>
        </is>
      </c>
      <c r="F1022" s="30" t="n">
        <v>2</v>
      </c>
      <c r="G1022" s="29" t="n"/>
      <c r="H1022" s="42" t="n"/>
      <c r="I1022" s="40" t="n"/>
      <c r="J1022" s="40" t="n"/>
      <c r="K1022" s="40" t="n"/>
      <c r="L1022" s="30">
        <f>IF(COUNT(I1022:K1022)=0,"",MEDIAN(I1022:K1022))</f>
        <v/>
      </c>
      <c r="M1022" s="25">
        <f>IF(COUNTIFS($C:$C,$C1022,$D:$D,"P0(전)",$L:$L,"&gt;0")&lt;&gt;1,"P0(전) 유효 1개 아님",IF(COUNTIFS($C:$C,$C1022,$D:$D,"P0(후)",$L:$L,"&gt;0")&lt;&gt;1,"P0(후) 유효 1개 아님",IF(NOT(AND(ISNUMBER(N1022),ISNUMBER(P1022),ISNUMBER(H1022))),"시각 결측",IF(P1022&lt;=N1022,"P0 시각 역전",IF(OR(H1022&lt;N1022,H1022&gt;P1022),"측정시각 구간 밖","OK")))))</f>
        <v/>
      </c>
      <c r="N1022" s="45">
        <f>IF(COUNTIFS($C:$C,$C1022,$D:$D,"P0(전)",$L:$L,"&gt;0")&lt;&gt;1,"",SUMIFS($H:$H,$C:$C,$C1022,$D:$D,"P0(전)"))</f>
        <v/>
      </c>
      <c r="O1022" s="30">
        <f>IF(COUNTIFS($C:$C,$C1022,$D:$D,"P0(전)",$L:$L,"&gt;0")&lt;&gt;1,"",SUMIFS($L:$L,$C:$C,$C1022,$D:$D,"P0(전)"))</f>
        <v/>
      </c>
      <c r="P1022" s="45">
        <f>IF(COUNTIFS($C:$C,$C1022,$D:$D,"P0(후)",$L:$L,"&gt;0")&lt;&gt;1,"",SUMIFS($H:$H,$C:$C,$C1022,$D:$D,"P0(후)"))</f>
        <v/>
      </c>
      <c r="Q1022" s="30">
        <f>IF(COUNTIFS($C:$C,$C1022,$D:$D,"P0(후)",$L:$L,"&gt;0")&lt;&gt;1,"",SUMIFS($L:$L,$C:$C,$C1022,$D:$D,"P0(후)"))</f>
        <v/>
      </c>
      <c r="R1022" s="30">
        <f>IF(M1022&lt;&gt;"OK","",O1022+(Q1022-O1022)*(H1022-N1022)/(P1022-N1022))</f>
        <v/>
      </c>
      <c r="S1022" s="30">
        <f>IF(OR(M1022&lt;&gt;"OK",NOT(ISNUMBER(L1022))),"",L1022-R1022)</f>
        <v/>
      </c>
      <c r="T1022" s="46">
        <f>IF(OR(NOT(ISNUMBER(S1022)),IF(ISNUMBER(G1022),G1022,F1022)=0),"",S1022/IF(ISNUMBER(G1022),G1022,F1022))</f>
        <v/>
      </c>
      <c r="U1022" s="46">
        <f>IF(ISNUMBER(T1022),ABS(T1022),"")</f>
        <v/>
      </c>
      <c r="V1022" s="46">
        <f>IF(OR($D1021&lt;&gt;"측정",$C1021&lt;&gt;$C1022,NOT(ISNUMBER(L1022)),NOT(ISNUMBER(L1021)),(IF(ISNUMBER(G1022),G1022,F1022)-IF(ISNUMBER(G1021),G1021,F1021))=0),"",(L1022-L1021)/(IF(ISNUMBER(G1022),G1022,F1022)-IF(ISNUMBER(G1021),G1021,F1021)))</f>
        <v/>
      </c>
      <c r="W1022" s="30">
        <f>IF(NOT(AND(ISNUMBER(N1022),ISNUMBER(P1022))),"",(P1022-N1022)*1440)</f>
        <v/>
      </c>
      <c r="X1022" s="28" t="n"/>
      <c r="Y1022" s="28" t="n"/>
      <c r="Z1022" s="28" t="n"/>
      <c r="AA1022" s="31" t="n"/>
      <c r="AB1022" s="31" t="n"/>
    </row>
    <row r="1023">
      <c r="A1023" s="25" t="inlineStr">
        <is>
          <t>S20</t>
        </is>
      </c>
      <c r="B1023" s="25" t="inlineStr">
        <is>
          <t>보령 신규점2</t>
        </is>
      </c>
      <c r="C1023" s="25" t="inlineStr">
        <is>
          <t>S20-H남</t>
        </is>
      </c>
      <c r="D1023" s="25" t="inlineStr">
        <is>
          <t>측정</t>
        </is>
      </c>
      <c r="E1023" s="25" t="inlineStr">
        <is>
          <t>남</t>
        </is>
      </c>
      <c r="F1023" s="30" t="n">
        <v>3</v>
      </c>
      <c r="G1023" s="29" t="n"/>
      <c r="H1023" s="42" t="n"/>
      <c r="I1023" s="40" t="n"/>
      <c r="J1023" s="40" t="n"/>
      <c r="K1023" s="40" t="n"/>
      <c r="L1023" s="30">
        <f>IF(COUNT(I1023:K1023)=0,"",MEDIAN(I1023:K1023))</f>
        <v/>
      </c>
      <c r="M1023" s="25">
        <f>IF(COUNTIFS($C:$C,$C1023,$D:$D,"P0(전)",$L:$L,"&gt;0")&lt;&gt;1,"P0(전) 유효 1개 아님",IF(COUNTIFS($C:$C,$C1023,$D:$D,"P0(후)",$L:$L,"&gt;0")&lt;&gt;1,"P0(후) 유효 1개 아님",IF(NOT(AND(ISNUMBER(N1023),ISNUMBER(P1023),ISNUMBER(H1023))),"시각 결측",IF(P1023&lt;=N1023,"P0 시각 역전",IF(OR(H1023&lt;N1023,H1023&gt;P1023),"측정시각 구간 밖","OK")))))</f>
        <v/>
      </c>
      <c r="N1023" s="45">
        <f>IF(COUNTIFS($C:$C,$C1023,$D:$D,"P0(전)",$L:$L,"&gt;0")&lt;&gt;1,"",SUMIFS($H:$H,$C:$C,$C1023,$D:$D,"P0(전)"))</f>
        <v/>
      </c>
      <c r="O1023" s="30">
        <f>IF(COUNTIFS($C:$C,$C1023,$D:$D,"P0(전)",$L:$L,"&gt;0")&lt;&gt;1,"",SUMIFS($L:$L,$C:$C,$C1023,$D:$D,"P0(전)"))</f>
        <v/>
      </c>
      <c r="P1023" s="45">
        <f>IF(COUNTIFS($C:$C,$C1023,$D:$D,"P0(후)",$L:$L,"&gt;0")&lt;&gt;1,"",SUMIFS($H:$H,$C:$C,$C1023,$D:$D,"P0(후)"))</f>
        <v/>
      </c>
      <c r="Q1023" s="30">
        <f>IF(COUNTIFS($C:$C,$C1023,$D:$D,"P0(후)",$L:$L,"&gt;0")&lt;&gt;1,"",SUMIFS($L:$L,$C:$C,$C1023,$D:$D,"P0(후)"))</f>
        <v/>
      </c>
      <c r="R1023" s="30">
        <f>IF(M1023&lt;&gt;"OK","",O1023+(Q1023-O1023)*(H1023-N1023)/(P1023-N1023))</f>
        <v/>
      </c>
      <c r="S1023" s="30">
        <f>IF(OR(M1023&lt;&gt;"OK",NOT(ISNUMBER(L1023))),"",L1023-R1023)</f>
        <v/>
      </c>
      <c r="T1023" s="46">
        <f>IF(OR(NOT(ISNUMBER(S1023)),IF(ISNUMBER(G1023),G1023,F1023)=0),"",S1023/IF(ISNUMBER(G1023),G1023,F1023))</f>
        <v/>
      </c>
      <c r="U1023" s="46">
        <f>IF(ISNUMBER(T1023),ABS(T1023),"")</f>
        <v/>
      </c>
      <c r="V1023" s="46">
        <f>IF(OR($D1022&lt;&gt;"측정",$C1022&lt;&gt;$C1023,NOT(ISNUMBER(L1023)),NOT(ISNUMBER(L1022)),(IF(ISNUMBER(G1023),G1023,F1023)-IF(ISNUMBER(G1022),G1022,F1022))=0),"",(L1023-L1022)/(IF(ISNUMBER(G1023),G1023,F1023)-IF(ISNUMBER(G1022),G1022,F1022)))</f>
        <v/>
      </c>
      <c r="W1023" s="30">
        <f>IF(NOT(AND(ISNUMBER(N1023),ISNUMBER(P1023))),"",(P1023-N1023)*1440)</f>
        <v/>
      </c>
      <c r="X1023" s="28" t="n"/>
      <c r="Y1023" s="28" t="n"/>
      <c r="Z1023" s="28" t="n"/>
      <c r="AA1023" s="31" t="n"/>
      <c r="AB1023" s="31" t="n"/>
    </row>
    <row r="1024">
      <c r="A1024" s="25" t="inlineStr">
        <is>
          <t>S20</t>
        </is>
      </c>
      <c r="B1024" s="25" t="inlineStr">
        <is>
          <t>보령 신규점2</t>
        </is>
      </c>
      <c r="C1024" s="25" t="inlineStr">
        <is>
          <t>S20-H남</t>
        </is>
      </c>
      <c r="D1024" s="25" t="inlineStr">
        <is>
          <t>측정</t>
        </is>
      </c>
      <c r="E1024" s="25" t="inlineStr">
        <is>
          <t>남</t>
        </is>
      </c>
      <c r="F1024" s="30" t="n">
        <v>4</v>
      </c>
      <c r="G1024" s="29" t="n"/>
      <c r="H1024" s="42" t="n"/>
      <c r="I1024" s="40" t="n"/>
      <c r="J1024" s="40" t="n"/>
      <c r="K1024" s="40" t="n"/>
      <c r="L1024" s="30">
        <f>IF(COUNT(I1024:K1024)=0,"",MEDIAN(I1024:K1024))</f>
        <v/>
      </c>
      <c r="M1024" s="25">
        <f>IF(COUNTIFS($C:$C,$C1024,$D:$D,"P0(전)",$L:$L,"&gt;0")&lt;&gt;1,"P0(전) 유효 1개 아님",IF(COUNTIFS($C:$C,$C1024,$D:$D,"P0(후)",$L:$L,"&gt;0")&lt;&gt;1,"P0(후) 유효 1개 아님",IF(NOT(AND(ISNUMBER(N1024),ISNUMBER(P1024),ISNUMBER(H1024))),"시각 결측",IF(P1024&lt;=N1024,"P0 시각 역전",IF(OR(H1024&lt;N1024,H1024&gt;P1024),"측정시각 구간 밖","OK")))))</f>
        <v/>
      </c>
      <c r="N1024" s="45">
        <f>IF(COUNTIFS($C:$C,$C1024,$D:$D,"P0(전)",$L:$L,"&gt;0")&lt;&gt;1,"",SUMIFS($H:$H,$C:$C,$C1024,$D:$D,"P0(전)"))</f>
        <v/>
      </c>
      <c r="O1024" s="30">
        <f>IF(COUNTIFS($C:$C,$C1024,$D:$D,"P0(전)",$L:$L,"&gt;0")&lt;&gt;1,"",SUMIFS($L:$L,$C:$C,$C1024,$D:$D,"P0(전)"))</f>
        <v/>
      </c>
      <c r="P1024" s="45">
        <f>IF(COUNTIFS($C:$C,$C1024,$D:$D,"P0(후)",$L:$L,"&gt;0")&lt;&gt;1,"",SUMIFS($H:$H,$C:$C,$C1024,$D:$D,"P0(후)"))</f>
        <v/>
      </c>
      <c r="Q1024" s="30">
        <f>IF(COUNTIFS($C:$C,$C1024,$D:$D,"P0(후)",$L:$L,"&gt;0")&lt;&gt;1,"",SUMIFS($L:$L,$C:$C,$C1024,$D:$D,"P0(후)"))</f>
        <v/>
      </c>
      <c r="R1024" s="30">
        <f>IF(M1024&lt;&gt;"OK","",O1024+(Q1024-O1024)*(H1024-N1024)/(P1024-N1024))</f>
        <v/>
      </c>
      <c r="S1024" s="30">
        <f>IF(OR(M1024&lt;&gt;"OK",NOT(ISNUMBER(L1024))),"",L1024-R1024)</f>
        <v/>
      </c>
      <c r="T1024" s="46">
        <f>IF(OR(NOT(ISNUMBER(S1024)),IF(ISNUMBER(G1024),G1024,F1024)=0),"",S1024/IF(ISNUMBER(G1024),G1024,F1024))</f>
        <v/>
      </c>
      <c r="U1024" s="46">
        <f>IF(ISNUMBER(T1024),ABS(T1024),"")</f>
        <v/>
      </c>
      <c r="V1024" s="46">
        <f>IF(OR($D1023&lt;&gt;"측정",$C1023&lt;&gt;$C1024,NOT(ISNUMBER(L1024)),NOT(ISNUMBER(L1023)),(IF(ISNUMBER(G1024),G1024,F1024)-IF(ISNUMBER(G1023),G1023,F1023))=0),"",(L1024-L1023)/(IF(ISNUMBER(G1024),G1024,F1024)-IF(ISNUMBER(G1023),G1023,F1023)))</f>
        <v/>
      </c>
      <c r="W1024" s="30">
        <f>IF(NOT(AND(ISNUMBER(N1024),ISNUMBER(P1024))),"",(P1024-N1024)*1440)</f>
        <v/>
      </c>
      <c r="X1024" s="28" t="n"/>
      <c r="Y1024" s="28" t="n"/>
      <c r="Z1024" s="28" t="n"/>
      <c r="AA1024" s="31" t="n"/>
      <c r="AB1024" s="31" t="n"/>
    </row>
    <row r="1025">
      <c r="A1025" s="25" t="inlineStr">
        <is>
          <t>S20</t>
        </is>
      </c>
      <c r="B1025" s="25" t="inlineStr">
        <is>
          <t>보령 신규점2</t>
        </is>
      </c>
      <c r="C1025" s="25" t="inlineStr">
        <is>
          <t>S20-H남</t>
        </is>
      </c>
      <c r="D1025" s="25" t="inlineStr">
        <is>
          <t>측정</t>
        </is>
      </c>
      <c r="E1025" s="25" t="inlineStr">
        <is>
          <t>남</t>
        </is>
      </c>
      <c r="F1025" s="30" t="n">
        <v>5</v>
      </c>
      <c r="G1025" s="29" t="n"/>
      <c r="H1025" s="42" t="n"/>
      <c r="I1025" s="40" t="n"/>
      <c r="J1025" s="40" t="n"/>
      <c r="K1025" s="40" t="n"/>
      <c r="L1025" s="30">
        <f>IF(COUNT(I1025:K1025)=0,"",MEDIAN(I1025:K1025))</f>
        <v/>
      </c>
      <c r="M1025" s="25">
        <f>IF(COUNTIFS($C:$C,$C1025,$D:$D,"P0(전)",$L:$L,"&gt;0")&lt;&gt;1,"P0(전) 유효 1개 아님",IF(COUNTIFS($C:$C,$C1025,$D:$D,"P0(후)",$L:$L,"&gt;0")&lt;&gt;1,"P0(후) 유효 1개 아님",IF(NOT(AND(ISNUMBER(N1025),ISNUMBER(P1025),ISNUMBER(H1025))),"시각 결측",IF(P1025&lt;=N1025,"P0 시각 역전",IF(OR(H1025&lt;N1025,H1025&gt;P1025),"측정시각 구간 밖","OK")))))</f>
        <v/>
      </c>
      <c r="N1025" s="45">
        <f>IF(COUNTIFS($C:$C,$C1025,$D:$D,"P0(전)",$L:$L,"&gt;0")&lt;&gt;1,"",SUMIFS($H:$H,$C:$C,$C1025,$D:$D,"P0(전)"))</f>
        <v/>
      </c>
      <c r="O1025" s="30">
        <f>IF(COUNTIFS($C:$C,$C1025,$D:$D,"P0(전)",$L:$L,"&gt;0")&lt;&gt;1,"",SUMIFS($L:$L,$C:$C,$C1025,$D:$D,"P0(전)"))</f>
        <v/>
      </c>
      <c r="P1025" s="45">
        <f>IF(COUNTIFS($C:$C,$C1025,$D:$D,"P0(후)",$L:$L,"&gt;0")&lt;&gt;1,"",SUMIFS($H:$H,$C:$C,$C1025,$D:$D,"P0(후)"))</f>
        <v/>
      </c>
      <c r="Q1025" s="30">
        <f>IF(COUNTIFS($C:$C,$C1025,$D:$D,"P0(후)",$L:$L,"&gt;0")&lt;&gt;1,"",SUMIFS($L:$L,$C:$C,$C1025,$D:$D,"P0(후)"))</f>
        <v/>
      </c>
      <c r="R1025" s="30">
        <f>IF(M1025&lt;&gt;"OK","",O1025+(Q1025-O1025)*(H1025-N1025)/(P1025-N1025))</f>
        <v/>
      </c>
      <c r="S1025" s="30">
        <f>IF(OR(M1025&lt;&gt;"OK",NOT(ISNUMBER(L1025))),"",L1025-R1025)</f>
        <v/>
      </c>
      <c r="T1025" s="46">
        <f>IF(OR(NOT(ISNUMBER(S1025)),IF(ISNUMBER(G1025),G1025,F1025)=0),"",S1025/IF(ISNUMBER(G1025),G1025,F1025))</f>
        <v/>
      </c>
      <c r="U1025" s="46">
        <f>IF(ISNUMBER(T1025),ABS(T1025),"")</f>
        <v/>
      </c>
      <c r="V1025" s="46">
        <f>IF(OR($D1024&lt;&gt;"측정",$C1024&lt;&gt;$C1025,NOT(ISNUMBER(L1025)),NOT(ISNUMBER(L1024)),(IF(ISNUMBER(G1025),G1025,F1025)-IF(ISNUMBER(G1024),G1024,F1024))=0),"",(L1025-L1024)/(IF(ISNUMBER(G1025),G1025,F1025)-IF(ISNUMBER(G1024),G1024,F1024)))</f>
        <v/>
      </c>
      <c r="W1025" s="30">
        <f>IF(NOT(AND(ISNUMBER(N1025),ISNUMBER(P1025))),"",(P1025-N1025)*1440)</f>
        <v/>
      </c>
      <c r="X1025" s="28" t="n"/>
      <c r="Y1025" s="28" t="n"/>
      <c r="Z1025" s="28" t="n"/>
      <c r="AA1025" s="31" t="n"/>
      <c r="AB1025" s="31" t="n"/>
    </row>
    <row r="1026">
      <c r="A1026" s="25" t="inlineStr">
        <is>
          <t>S20</t>
        </is>
      </c>
      <c r="B1026" s="25" t="inlineStr">
        <is>
          <t>보령 신규점2</t>
        </is>
      </c>
      <c r="C1026" s="25" t="inlineStr">
        <is>
          <t>S20-H남</t>
        </is>
      </c>
      <c r="D1026" s="25" t="inlineStr">
        <is>
          <t>측정</t>
        </is>
      </c>
      <c r="E1026" s="25" t="inlineStr">
        <is>
          <t>남</t>
        </is>
      </c>
      <c r="F1026" s="30" t="n">
        <v>6</v>
      </c>
      <c r="G1026" s="29" t="n"/>
      <c r="H1026" s="42" t="n"/>
      <c r="I1026" s="40" t="n"/>
      <c r="J1026" s="40" t="n"/>
      <c r="K1026" s="40" t="n"/>
      <c r="L1026" s="30">
        <f>IF(COUNT(I1026:K1026)=0,"",MEDIAN(I1026:K1026))</f>
        <v/>
      </c>
      <c r="M1026" s="25">
        <f>IF(COUNTIFS($C:$C,$C1026,$D:$D,"P0(전)",$L:$L,"&gt;0")&lt;&gt;1,"P0(전) 유효 1개 아님",IF(COUNTIFS($C:$C,$C1026,$D:$D,"P0(후)",$L:$L,"&gt;0")&lt;&gt;1,"P0(후) 유효 1개 아님",IF(NOT(AND(ISNUMBER(N1026),ISNUMBER(P1026),ISNUMBER(H1026))),"시각 결측",IF(P1026&lt;=N1026,"P0 시각 역전",IF(OR(H1026&lt;N1026,H1026&gt;P1026),"측정시각 구간 밖","OK")))))</f>
        <v/>
      </c>
      <c r="N1026" s="45">
        <f>IF(COUNTIFS($C:$C,$C1026,$D:$D,"P0(전)",$L:$L,"&gt;0")&lt;&gt;1,"",SUMIFS($H:$H,$C:$C,$C1026,$D:$D,"P0(전)"))</f>
        <v/>
      </c>
      <c r="O1026" s="30">
        <f>IF(COUNTIFS($C:$C,$C1026,$D:$D,"P0(전)",$L:$L,"&gt;0")&lt;&gt;1,"",SUMIFS($L:$L,$C:$C,$C1026,$D:$D,"P0(전)"))</f>
        <v/>
      </c>
      <c r="P1026" s="45">
        <f>IF(COUNTIFS($C:$C,$C1026,$D:$D,"P0(후)",$L:$L,"&gt;0")&lt;&gt;1,"",SUMIFS($H:$H,$C:$C,$C1026,$D:$D,"P0(후)"))</f>
        <v/>
      </c>
      <c r="Q1026" s="30">
        <f>IF(COUNTIFS($C:$C,$C1026,$D:$D,"P0(후)",$L:$L,"&gt;0")&lt;&gt;1,"",SUMIFS($L:$L,$C:$C,$C1026,$D:$D,"P0(후)"))</f>
        <v/>
      </c>
      <c r="R1026" s="30">
        <f>IF(M1026&lt;&gt;"OK","",O1026+(Q1026-O1026)*(H1026-N1026)/(P1026-N1026))</f>
        <v/>
      </c>
      <c r="S1026" s="30">
        <f>IF(OR(M1026&lt;&gt;"OK",NOT(ISNUMBER(L1026))),"",L1026-R1026)</f>
        <v/>
      </c>
      <c r="T1026" s="46">
        <f>IF(OR(NOT(ISNUMBER(S1026)),IF(ISNUMBER(G1026),G1026,F1026)=0),"",S1026/IF(ISNUMBER(G1026),G1026,F1026))</f>
        <v/>
      </c>
      <c r="U1026" s="46">
        <f>IF(ISNUMBER(T1026),ABS(T1026),"")</f>
        <v/>
      </c>
      <c r="V1026" s="46">
        <f>IF(OR($D1025&lt;&gt;"측정",$C1025&lt;&gt;$C1026,NOT(ISNUMBER(L1026)),NOT(ISNUMBER(L1025)),(IF(ISNUMBER(G1026),G1026,F1026)-IF(ISNUMBER(G1025),G1025,F1025))=0),"",(L1026-L1025)/(IF(ISNUMBER(G1026),G1026,F1026)-IF(ISNUMBER(G1025),G1025,F1025)))</f>
        <v/>
      </c>
      <c r="W1026" s="30">
        <f>IF(NOT(AND(ISNUMBER(N1026),ISNUMBER(P1026))),"",(P1026-N1026)*1440)</f>
        <v/>
      </c>
      <c r="X1026" s="28" t="n"/>
      <c r="Y1026" s="28" t="n"/>
      <c r="Z1026" s="28" t="n"/>
      <c r="AA1026" s="31" t="n"/>
      <c r="AB1026" s="31" t="n"/>
    </row>
    <row r="1027">
      <c r="A1027" s="25" t="inlineStr">
        <is>
          <t>S20</t>
        </is>
      </c>
      <c r="B1027" s="25" t="inlineStr">
        <is>
          <t>보령 신규점2</t>
        </is>
      </c>
      <c r="C1027" s="25" t="inlineStr">
        <is>
          <t>S20-H남</t>
        </is>
      </c>
      <c r="D1027" s="25" t="inlineStr">
        <is>
          <t>측정</t>
        </is>
      </c>
      <c r="E1027" s="25" t="inlineStr">
        <is>
          <t>남</t>
        </is>
      </c>
      <c r="F1027" s="30" t="n">
        <v>7</v>
      </c>
      <c r="G1027" s="29" t="n"/>
      <c r="H1027" s="42" t="n"/>
      <c r="I1027" s="40" t="n"/>
      <c r="J1027" s="40" t="n"/>
      <c r="K1027" s="40" t="n"/>
      <c r="L1027" s="30">
        <f>IF(COUNT(I1027:K1027)=0,"",MEDIAN(I1027:K1027))</f>
        <v/>
      </c>
      <c r="M1027" s="25">
        <f>IF(COUNTIFS($C:$C,$C1027,$D:$D,"P0(전)",$L:$L,"&gt;0")&lt;&gt;1,"P0(전) 유효 1개 아님",IF(COUNTIFS($C:$C,$C1027,$D:$D,"P0(후)",$L:$L,"&gt;0")&lt;&gt;1,"P0(후) 유효 1개 아님",IF(NOT(AND(ISNUMBER(N1027),ISNUMBER(P1027),ISNUMBER(H1027))),"시각 결측",IF(P1027&lt;=N1027,"P0 시각 역전",IF(OR(H1027&lt;N1027,H1027&gt;P1027),"측정시각 구간 밖","OK")))))</f>
        <v/>
      </c>
      <c r="N1027" s="45">
        <f>IF(COUNTIFS($C:$C,$C1027,$D:$D,"P0(전)",$L:$L,"&gt;0")&lt;&gt;1,"",SUMIFS($H:$H,$C:$C,$C1027,$D:$D,"P0(전)"))</f>
        <v/>
      </c>
      <c r="O1027" s="30">
        <f>IF(COUNTIFS($C:$C,$C1027,$D:$D,"P0(전)",$L:$L,"&gt;0")&lt;&gt;1,"",SUMIFS($L:$L,$C:$C,$C1027,$D:$D,"P0(전)"))</f>
        <v/>
      </c>
      <c r="P1027" s="45">
        <f>IF(COUNTIFS($C:$C,$C1027,$D:$D,"P0(후)",$L:$L,"&gt;0")&lt;&gt;1,"",SUMIFS($H:$H,$C:$C,$C1027,$D:$D,"P0(후)"))</f>
        <v/>
      </c>
      <c r="Q1027" s="30">
        <f>IF(COUNTIFS($C:$C,$C1027,$D:$D,"P0(후)",$L:$L,"&gt;0")&lt;&gt;1,"",SUMIFS($L:$L,$C:$C,$C1027,$D:$D,"P0(후)"))</f>
        <v/>
      </c>
      <c r="R1027" s="30">
        <f>IF(M1027&lt;&gt;"OK","",O1027+(Q1027-O1027)*(H1027-N1027)/(P1027-N1027))</f>
        <v/>
      </c>
      <c r="S1027" s="30">
        <f>IF(OR(M1027&lt;&gt;"OK",NOT(ISNUMBER(L1027))),"",L1027-R1027)</f>
        <v/>
      </c>
      <c r="T1027" s="46">
        <f>IF(OR(NOT(ISNUMBER(S1027)),IF(ISNUMBER(G1027),G1027,F1027)=0),"",S1027/IF(ISNUMBER(G1027),G1027,F1027))</f>
        <v/>
      </c>
      <c r="U1027" s="46">
        <f>IF(ISNUMBER(T1027),ABS(T1027),"")</f>
        <v/>
      </c>
      <c r="V1027" s="46">
        <f>IF(OR($D1026&lt;&gt;"측정",$C1026&lt;&gt;$C1027,NOT(ISNUMBER(L1027)),NOT(ISNUMBER(L1026)),(IF(ISNUMBER(G1027),G1027,F1027)-IF(ISNUMBER(G1026),G1026,F1026))=0),"",(L1027-L1026)/(IF(ISNUMBER(G1027),G1027,F1027)-IF(ISNUMBER(G1026),G1026,F1026)))</f>
        <v/>
      </c>
      <c r="W1027" s="30">
        <f>IF(NOT(AND(ISNUMBER(N1027),ISNUMBER(P1027))),"",(P1027-N1027)*1440)</f>
        <v/>
      </c>
      <c r="X1027" s="28" t="n"/>
      <c r="Y1027" s="28" t="n"/>
      <c r="Z1027" s="28" t="n"/>
      <c r="AA1027" s="31" t="n"/>
      <c r="AB1027" s="31" t="n"/>
    </row>
    <row r="1028">
      <c r="A1028" s="25" t="inlineStr">
        <is>
          <t>S20</t>
        </is>
      </c>
      <c r="B1028" s="25" t="inlineStr">
        <is>
          <t>보령 신규점2</t>
        </is>
      </c>
      <c r="C1028" s="25" t="inlineStr">
        <is>
          <t>S20-H남</t>
        </is>
      </c>
      <c r="D1028" s="25" t="inlineStr">
        <is>
          <t>측정</t>
        </is>
      </c>
      <c r="E1028" s="25" t="inlineStr">
        <is>
          <t>남</t>
        </is>
      </c>
      <c r="F1028" s="30" t="n">
        <v>8</v>
      </c>
      <c r="G1028" s="29" t="n"/>
      <c r="H1028" s="42" t="n"/>
      <c r="I1028" s="40" t="n"/>
      <c r="J1028" s="40" t="n"/>
      <c r="K1028" s="40" t="n"/>
      <c r="L1028" s="30">
        <f>IF(COUNT(I1028:K1028)=0,"",MEDIAN(I1028:K1028))</f>
        <v/>
      </c>
      <c r="M1028" s="25">
        <f>IF(COUNTIFS($C:$C,$C1028,$D:$D,"P0(전)",$L:$L,"&gt;0")&lt;&gt;1,"P0(전) 유효 1개 아님",IF(COUNTIFS($C:$C,$C1028,$D:$D,"P0(후)",$L:$L,"&gt;0")&lt;&gt;1,"P0(후) 유효 1개 아님",IF(NOT(AND(ISNUMBER(N1028),ISNUMBER(P1028),ISNUMBER(H1028))),"시각 결측",IF(P1028&lt;=N1028,"P0 시각 역전",IF(OR(H1028&lt;N1028,H1028&gt;P1028),"측정시각 구간 밖","OK")))))</f>
        <v/>
      </c>
      <c r="N1028" s="45">
        <f>IF(COUNTIFS($C:$C,$C1028,$D:$D,"P0(전)",$L:$L,"&gt;0")&lt;&gt;1,"",SUMIFS($H:$H,$C:$C,$C1028,$D:$D,"P0(전)"))</f>
        <v/>
      </c>
      <c r="O1028" s="30">
        <f>IF(COUNTIFS($C:$C,$C1028,$D:$D,"P0(전)",$L:$L,"&gt;0")&lt;&gt;1,"",SUMIFS($L:$L,$C:$C,$C1028,$D:$D,"P0(전)"))</f>
        <v/>
      </c>
      <c r="P1028" s="45">
        <f>IF(COUNTIFS($C:$C,$C1028,$D:$D,"P0(후)",$L:$L,"&gt;0")&lt;&gt;1,"",SUMIFS($H:$H,$C:$C,$C1028,$D:$D,"P0(후)"))</f>
        <v/>
      </c>
      <c r="Q1028" s="30">
        <f>IF(COUNTIFS($C:$C,$C1028,$D:$D,"P0(후)",$L:$L,"&gt;0")&lt;&gt;1,"",SUMIFS($L:$L,$C:$C,$C1028,$D:$D,"P0(후)"))</f>
        <v/>
      </c>
      <c r="R1028" s="30">
        <f>IF(M1028&lt;&gt;"OK","",O1028+(Q1028-O1028)*(H1028-N1028)/(P1028-N1028))</f>
        <v/>
      </c>
      <c r="S1028" s="30">
        <f>IF(OR(M1028&lt;&gt;"OK",NOT(ISNUMBER(L1028))),"",L1028-R1028)</f>
        <v/>
      </c>
      <c r="T1028" s="46">
        <f>IF(OR(NOT(ISNUMBER(S1028)),IF(ISNUMBER(G1028),G1028,F1028)=0),"",S1028/IF(ISNUMBER(G1028),G1028,F1028))</f>
        <v/>
      </c>
      <c r="U1028" s="46">
        <f>IF(ISNUMBER(T1028),ABS(T1028),"")</f>
        <v/>
      </c>
      <c r="V1028" s="46">
        <f>IF(OR($D1027&lt;&gt;"측정",$C1027&lt;&gt;$C1028,NOT(ISNUMBER(L1028)),NOT(ISNUMBER(L1027)),(IF(ISNUMBER(G1028),G1028,F1028)-IF(ISNUMBER(G1027),G1027,F1027))=0),"",(L1028-L1027)/(IF(ISNUMBER(G1028),G1028,F1028)-IF(ISNUMBER(G1027),G1027,F1027)))</f>
        <v/>
      </c>
      <c r="W1028" s="30">
        <f>IF(NOT(AND(ISNUMBER(N1028),ISNUMBER(P1028))),"",(P1028-N1028)*1440)</f>
        <v/>
      </c>
      <c r="X1028" s="28" t="n"/>
      <c r="Y1028" s="28" t="n"/>
      <c r="Z1028" s="28" t="n"/>
      <c r="AA1028" s="31" t="n"/>
      <c r="AB1028" s="31" t="n"/>
    </row>
    <row r="1029">
      <c r="A1029" s="25" t="inlineStr">
        <is>
          <t>S20</t>
        </is>
      </c>
      <c r="B1029" s="25" t="inlineStr">
        <is>
          <t>보령 신규점2</t>
        </is>
      </c>
      <c r="C1029" s="25" t="inlineStr">
        <is>
          <t>S20-H남</t>
        </is>
      </c>
      <c r="D1029" s="25" t="inlineStr">
        <is>
          <t>측정</t>
        </is>
      </c>
      <c r="E1029" s="25" t="inlineStr">
        <is>
          <t>남</t>
        </is>
      </c>
      <c r="F1029" s="30" t="n">
        <v>9</v>
      </c>
      <c r="G1029" s="29" t="n"/>
      <c r="H1029" s="42" t="n"/>
      <c r="I1029" s="40" t="n"/>
      <c r="J1029" s="40" t="n"/>
      <c r="K1029" s="40" t="n"/>
      <c r="L1029" s="30">
        <f>IF(COUNT(I1029:K1029)=0,"",MEDIAN(I1029:K1029))</f>
        <v/>
      </c>
      <c r="M1029" s="25">
        <f>IF(COUNTIFS($C:$C,$C1029,$D:$D,"P0(전)",$L:$L,"&gt;0")&lt;&gt;1,"P0(전) 유효 1개 아님",IF(COUNTIFS($C:$C,$C1029,$D:$D,"P0(후)",$L:$L,"&gt;0")&lt;&gt;1,"P0(후) 유효 1개 아님",IF(NOT(AND(ISNUMBER(N1029),ISNUMBER(P1029),ISNUMBER(H1029))),"시각 결측",IF(P1029&lt;=N1029,"P0 시각 역전",IF(OR(H1029&lt;N1029,H1029&gt;P1029),"측정시각 구간 밖","OK")))))</f>
        <v/>
      </c>
      <c r="N1029" s="45">
        <f>IF(COUNTIFS($C:$C,$C1029,$D:$D,"P0(전)",$L:$L,"&gt;0")&lt;&gt;1,"",SUMIFS($H:$H,$C:$C,$C1029,$D:$D,"P0(전)"))</f>
        <v/>
      </c>
      <c r="O1029" s="30">
        <f>IF(COUNTIFS($C:$C,$C1029,$D:$D,"P0(전)",$L:$L,"&gt;0")&lt;&gt;1,"",SUMIFS($L:$L,$C:$C,$C1029,$D:$D,"P0(전)"))</f>
        <v/>
      </c>
      <c r="P1029" s="45">
        <f>IF(COUNTIFS($C:$C,$C1029,$D:$D,"P0(후)",$L:$L,"&gt;0")&lt;&gt;1,"",SUMIFS($H:$H,$C:$C,$C1029,$D:$D,"P0(후)"))</f>
        <v/>
      </c>
      <c r="Q1029" s="30">
        <f>IF(COUNTIFS($C:$C,$C1029,$D:$D,"P0(후)",$L:$L,"&gt;0")&lt;&gt;1,"",SUMIFS($L:$L,$C:$C,$C1029,$D:$D,"P0(후)"))</f>
        <v/>
      </c>
      <c r="R1029" s="30">
        <f>IF(M1029&lt;&gt;"OK","",O1029+(Q1029-O1029)*(H1029-N1029)/(P1029-N1029))</f>
        <v/>
      </c>
      <c r="S1029" s="30">
        <f>IF(OR(M1029&lt;&gt;"OK",NOT(ISNUMBER(L1029))),"",L1029-R1029)</f>
        <v/>
      </c>
      <c r="T1029" s="46">
        <f>IF(OR(NOT(ISNUMBER(S1029)),IF(ISNUMBER(G1029),G1029,F1029)=0),"",S1029/IF(ISNUMBER(G1029),G1029,F1029))</f>
        <v/>
      </c>
      <c r="U1029" s="46">
        <f>IF(ISNUMBER(T1029),ABS(T1029),"")</f>
        <v/>
      </c>
      <c r="V1029" s="46">
        <f>IF(OR($D1028&lt;&gt;"측정",$C1028&lt;&gt;$C1029,NOT(ISNUMBER(L1029)),NOT(ISNUMBER(L1028)),(IF(ISNUMBER(G1029),G1029,F1029)-IF(ISNUMBER(G1028),G1028,F1028))=0),"",(L1029-L1028)/(IF(ISNUMBER(G1029),G1029,F1029)-IF(ISNUMBER(G1028),G1028,F1028)))</f>
        <v/>
      </c>
      <c r="W1029" s="30">
        <f>IF(NOT(AND(ISNUMBER(N1029),ISNUMBER(P1029))),"",(P1029-N1029)*1440)</f>
        <v/>
      </c>
      <c r="X1029" s="28" t="n"/>
      <c r="Y1029" s="28" t="n"/>
      <c r="Z1029" s="28" t="n"/>
      <c r="AA1029" s="31" t="n"/>
      <c r="AB1029" s="31" t="n"/>
    </row>
    <row r="1030">
      <c r="A1030" s="25" t="inlineStr">
        <is>
          <t>S20</t>
        </is>
      </c>
      <c r="B1030" s="25" t="inlineStr">
        <is>
          <t>보령 신규점2</t>
        </is>
      </c>
      <c r="C1030" s="25" t="inlineStr">
        <is>
          <t>S20-H남</t>
        </is>
      </c>
      <c r="D1030" s="25" t="inlineStr">
        <is>
          <t>측정</t>
        </is>
      </c>
      <c r="E1030" s="25" t="inlineStr">
        <is>
          <t>남</t>
        </is>
      </c>
      <c r="F1030" s="30" t="n">
        <v>10</v>
      </c>
      <c r="G1030" s="29" t="n"/>
      <c r="H1030" s="42" t="n"/>
      <c r="I1030" s="40" t="n"/>
      <c r="J1030" s="40" t="n"/>
      <c r="K1030" s="40" t="n"/>
      <c r="L1030" s="30">
        <f>IF(COUNT(I1030:K1030)=0,"",MEDIAN(I1030:K1030))</f>
        <v/>
      </c>
      <c r="M1030" s="25">
        <f>IF(COUNTIFS($C:$C,$C1030,$D:$D,"P0(전)",$L:$L,"&gt;0")&lt;&gt;1,"P0(전) 유효 1개 아님",IF(COUNTIFS($C:$C,$C1030,$D:$D,"P0(후)",$L:$L,"&gt;0")&lt;&gt;1,"P0(후) 유효 1개 아님",IF(NOT(AND(ISNUMBER(N1030),ISNUMBER(P1030),ISNUMBER(H1030))),"시각 결측",IF(P1030&lt;=N1030,"P0 시각 역전",IF(OR(H1030&lt;N1030,H1030&gt;P1030),"측정시각 구간 밖","OK")))))</f>
        <v/>
      </c>
      <c r="N1030" s="45">
        <f>IF(COUNTIFS($C:$C,$C1030,$D:$D,"P0(전)",$L:$L,"&gt;0")&lt;&gt;1,"",SUMIFS($H:$H,$C:$C,$C1030,$D:$D,"P0(전)"))</f>
        <v/>
      </c>
      <c r="O1030" s="30">
        <f>IF(COUNTIFS($C:$C,$C1030,$D:$D,"P0(전)",$L:$L,"&gt;0")&lt;&gt;1,"",SUMIFS($L:$L,$C:$C,$C1030,$D:$D,"P0(전)"))</f>
        <v/>
      </c>
      <c r="P1030" s="45">
        <f>IF(COUNTIFS($C:$C,$C1030,$D:$D,"P0(후)",$L:$L,"&gt;0")&lt;&gt;1,"",SUMIFS($H:$H,$C:$C,$C1030,$D:$D,"P0(후)"))</f>
        <v/>
      </c>
      <c r="Q1030" s="30">
        <f>IF(COUNTIFS($C:$C,$C1030,$D:$D,"P0(후)",$L:$L,"&gt;0")&lt;&gt;1,"",SUMIFS($L:$L,$C:$C,$C1030,$D:$D,"P0(후)"))</f>
        <v/>
      </c>
      <c r="R1030" s="30">
        <f>IF(M1030&lt;&gt;"OK","",O1030+(Q1030-O1030)*(H1030-N1030)/(P1030-N1030))</f>
        <v/>
      </c>
      <c r="S1030" s="30">
        <f>IF(OR(M1030&lt;&gt;"OK",NOT(ISNUMBER(L1030))),"",L1030-R1030)</f>
        <v/>
      </c>
      <c r="T1030" s="46">
        <f>IF(OR(NOT(ISNUMBER(S1030)),IF(ISNUMBER(G1030),G1030,F1030)=0),"",S1030/IF(ISNUMBER(G1030),G1030,F1030))</f>
        <v/>
      </c>
      <c r="U1030" s="46">
        <f>IF(ISNUMBER(T1030),ABS(T1030),"")</f>
        <v/>
      </c>
      <c r="V1030" s="46">
        <f>IF(OR($D1029&lt;&gt;"측정",$C1029&lt;&gt;$C1030,NOT(ISNUMBER(L1030)),NOT(ISNUMBER(L1029)),(IF(ISNUMBER(G1030),G1030,F1030)-IF(ISNUMBER(G1029),G1029,F1029))=0),"",(L1030-L1029)/(IF(ISNUMBER(G1030),G1030,F1030)-IF(ISNUMBER(G1029),G1029,F1029)))</f>
        <v/>
      </c>
      <c r="W1030" s="30">
        <f>IF(NOT(AND(ISNUMBER(N1030),ISNUMBER(P1030))),"",(P1030-N1030)*1440)</f>
        <v/>
      </c>
      <c r="X1030" s="28" t="n"/>
      <c r="Y1030" s="28" t="n"/>
      <c r="Z1030" s="28" t="n"/>
      <c r="AA1030" s="31" t="n"/>
      <c r="AB1030" s="31" t="n"/>
    </row>
    <row r="1031">
      <c r="A1031" s="43" t="inlineStr">
        <is>
          <t>S20</t>
        </is>
      </c>
      <c r="B1031" s="43" t="inlineStr">
        <is>
          <t>보령 신규점2</t>
        </is>
      </c>
      <c r="C1031" s="43" t="inlineStr">
        <is>
          <t>S20-H남</t>
        </is>
      </c>
      <c r="D1031" s="43" t="inlineStr">
        <is>
          <t>P0(후)</t>
        </is>
      </c>
      <c r="E1031" s="43" t="inlineStr">
        <is>
          <t>남</t>
        </is>
      </c>
      <c r="F1031" s="44" t="n"/>
      <c r="G1031" s="29" t="n"/>
      <c r="H1031" s="42" t="n"/>
      <c r="I1031" s="40" t="n"/>
      <c r="J1031" s="40" t="n"/>
      <c r="K1031" s="40" t="n"/>
      <c r="L1031" s="30">
        <f>IF(COUNT(I1031:K1031)=0,"",MEDIAN(I1031:K1031))</f>
        <v/>
      </c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28" t="n"/>
      <c r="Y1031" s="28" t="n"/>
      <c r="Z1031" s="28" t="n"/>
      <c r="AA1031" s="31" t="n"/>
      <c r="AB1031" s="31" t="n"/>
    </row>
    <row r="1032">
      <c r="A1032" s="43" t="inlineStr">
        <is>
          <t>S20</t>
        </is>
      </c>
      <c r="B1032" s="43" t="inlineStr">
        <is>
          <t>보령 신규점2</t>
        </is>
      </c>
      <c r="C1032" s="43" t="inlineStr">
        <is>
          <t>S20-H북</t>
        </is>
      </c>
      <c r="D1032" s="43" t="inlineStr">
        <is>
          <t>P0(전)</t>
        </is>
      </c>
      <c r="E1032" s="43" t="inlineStr">
        <is>
          <t>북</t>
        </is>
      </c>
      <c r="F1032" s="44" t="n"/>
      <c r="G1032" s="29" t="n"/>
      <c r="H1032" s="42" t="n"/>
      <c r="I1032" s="40" t="n"/>
      <c r="J1032" s="40" t="n"/>
      <c r="K1032" s="40" t="n"/>
      <c r="L1032" s="30">
        <f>IF(COUNT(I1032:K1032)=0,"",MEDIAN(I1032:K1032))</f>
        <v/>
      </c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28" t="n"/>
      <c r="Y1032" s="28" t="n"/>
      <c r="Z1032" s="28" t="n"/>
      <c r="AA1032" s="31" t="n"/>
      <c r="AB1032" s="31" t="n"/>
    </row>
    <row r="1033">
      <c r="A1033" s="25" t="inlineStr">
        <is>
          <t>S20</t>
        </is>
      </c>
      <c r="B1033" s="25" t="inlineStr">
        <is>
          <t>보령 신규점2</t>
        </is>
      </c>
      <c r="C1033" s="25" t="inlineStr">
        <is>
          <t>S20-H북</t>
        </is>
      </c>
      <c r="D1033" s="25" t="inlineStr">
        <is>
          <t>측정</t>
        </is>
      </c>
      <c r="E1033" s="25" t="inlineStr">
        <is>
          <t>북</t>
        </is>
      </c>
      <c r="F1033" s="30" t="n">
        <v>0.5</v>
      </c>
      <c r="G1033" s="29" t="n"/>
      <c r="H1033" s="42" t="n"/>
      <c r="I1033" s="40" t="n"/>
      <c r="J1033" s="40" t="n"/>
      <c r="K1033" s="40" t="n"/>
      <c r="L1033" s="30">
        <f>IF(COUNT(I1033:K1033)=0,"",MEDIAN(I1033:K1033))</f>
        <v/>
      </c>
      <c r="M1033" s="25">
        <f>IF(COUNTIFS($C:$C,$C1033,$D:$D,"P0(전)",$L:$L,"&gt;0")&lt;&gt;1,"P0(전) 유효 1개 아님",IF(COUNTIFS($C:$C,$C1033,$D:$D,"P0(후)",$L:$L,"&gt;0")&lt;&gt;1,"P0(후) 유효 1개 아님",IF(NOT(AND(ISNUMBER(N1033),ISNUMBER(P1033),ISNUMBER(H1033))),"시각 결측",IF(P1033&lt;=N1033,"P0 시각 역전",IF(OR(H1033&lt;N1033,H1033&gt;P1033),"측정시각 구간 밖","OK")))))</f>
        <v/>
      </c>
      <c r="N1033" s="45">
        <f>IF(COUNTIFS($C:$C,$C1033,$D:$D,"P0(전)",$L:$L,"&gt;0")&lt;&gt;1,"",SUMIFS($H:$H,$C:$C,$C1033,$D:$D,"P0(전)"))</f>
        <v/>
      </c>
      <c r="O1033" s="30">
        <f>IF(COUNTIFS($C:$C,$C1033,$D:$D,"P0(전)",$L:$L,"&gt;0")&lt;&gt;1,"",SUMIFS($L:$L,$C:$C,$C1033,$D:$D,"P0(전)"))</f>
        <v/>
      </c>
      <c r="P1033" s="45">
        <f>IF(COUNTIFS($C:$C,$C1033,$D:$D,"P0(후)",$L:$L,"&gt;0")&lt;&gt;1,"",SUMIFS($H:$H,$C:$C,$C1033,$D:$D,"P0(후)"))</f>
        <v/>
      </c>
      <c r="Q1033" s="30">
        <f>IF(COUNTIFS($C:$C,$C1033,$D:$D,"P0(후)",$L:$L,"&gt;0")&lt;&gt;1,"",SUMIFS($L:$L,$C:$C,$C1033,$D:$D,"P0(후)"))</f>
        <v/>
      </c>
      <c r="R1033" s="30">
        <f>IF(M1033&lt;&gt;"OK","",O1033+(Q1033-O1033)*(H1033-N1033)/(P1033-N1033))</f>
        <v/>
      </c>
      <c r="S1033" s="30">
        <f>IF(OR(M1033&lt;&gt;"OK",NOT(ISNUMBER(L1033))),"",L1033-R1033)</f>
        <v/>
      </c>
      <c r="T1033" s="46">
        <f>IF(OR(NOT(ISNUMBER(S1033)),IF(ISNUMBER(G1033),G1033,F1033)=0),"",S1033/IF(ISNUMBER(G1033),G1033,F1033))</f>
        <v/>
      </c>
      <c r="U1033" s="46">
        <f>IF(ISNUMBER(T1033),ABS(T1033),"")</f>
        <v/>
      </c>
      <c r="V1033" s="46">
        <f>IF(OR($D1032&lt;&gt;"측정",$C1032&lt;&gt;$C1033,NOT(ISNUMBER(L1033)),NOT(ISNUMBER(L1032)),(IF(ISNUMBER(G1033),G1033,F1033)-IF(ISNUMBER(G1032),G1032,F1032))=0),"",(L1033-L1032)/(IF(ISNUMBER(G1033),G1033,F1033)-IF(ISNUMBER(G1032),G1032,F1032)))</f>
        <v/>
      </c>
      <c r="W1033" s="30">
        <f>IF(NOT(AND(ISNUMBER(N1033),ISNUMBER(P1033))),"",(P1033-N1033)*1440)</f>
        <v/>
      </c>
      <c r="X1033" s="28" t="n"/>
      <c r="Y1033" s="28" t="n"/>
      <c r="Z1033" s="28" t="n"/>
      <c r="AA1033" s="31" t="n"/>
      <c r="AB1033" s="31" t="n"/>
    </row>
    <row r="1034">
      <c r="A1034" s="25" t="inlineStr">
        <is>
          <t>S20</t>
        </is>
      </c>
      <c r="B1034" s="25" t="inlineStr">
        <is>
          <t>보령 신규점2</t>
        </is>
      </c>
      <c r="C1034" s="25" t="inlineStr">
        <is>
          <t>S20-H북</t>
        </is>
      </c>
      <c r="D1034" s="25" t="inlineStr">
        <is>
          <t>측정</t>
        </is>
      </c>
      <c r="E1034" s="25" t="inlineStr">
        <is>
          <t>북</t>
        </is>
      </c>
      <c r="F1034" s="30" t="n">
        <v>1</v>
      </c>
      <c r="G1034" s="29" t="n"/>
      <c r="H1034" s="42" t="n"/>
      <c r="I1034" s="40" t="n"/>
      <c r="J1034" s="40" t="n"/>
      <c r="K1034" s="40" t="n"/>
      <c r="L1034" s="30">
        <f>IF(COUNT(I1034:K1034)=0,"",MEDIAN(I1034:K1034))</f>
        <v/>
      </c>
      <c r="M1034" s="25">
        <f>IF(COUNTIFS($C:$C,$C1034,$D:$D,"P0(전)",$L:$L,"&gt;0")&lt;&gt;1,"P0(전) 유효 1개 아님",IF(COUNTIFS($C:$C,$C1034,$D:$D,"P0(후)",$L:$L,"&gt;0")&lt;&gt;1,"P0(후) 유효 1개 아님",IF(NOT(AND(ISNUMBER(N1034),ISNUMBER(P1034),ISNUMBER(H1034))),"시각 결측",IF(P1034&lt;=N1034,"P0 시각 역전",IF(OR(H1034&lt;N1034,H1034&gt;P1034),"측정시각 구간 밖","OK")))))</f>
        <v/>
      </c>
      <c r="N1034" s="45">
        <f>IF(COUNTIFS($C:$C,$C1034,$D:$D,"P0(전)",$L:$L,"&gt;0")&lt;&gt;1,"",SUMIFS($H:$H,$C:$C,$C1034,$D:$D,"P0(전)"))</f>
        <v/>
      </c>
      <c r="O1034" s="30">
        <f>IF(COUNTIFS($C:$C,$C1034,$D:$D,"P0(전)",$L:$L,"&gt;0")&lt;&gt;1,"",SUMIFS($L:$L,$C:$C,$C1034,$D:$D,"P0(전)"))</f>
        <v/>
      </c>
      <c r="P1034" s="45">
        <f>IF(COUNTIFS($C:$C,$C1034,$D:$D,"P0(후)",$L:$L,"&gt;0")&lt;&gt;1,"",SUMIFS($H:$H,$C:$C,$C1034,$D:$D,"P0(후)"))</f>
        <v/>
      </c>
      <c r="Q1034" s="30">
        <f>IF(COUNTIFS($C:$C,$C1034,$D:$D,"P0(후)",$L:$L,"&gt;0")&lt;&gt;1,"",SUMIFS($L:$L,$C:$C,$C1034,$D:$D,"P0(후)"))</f>
        <v/>
      </c>
      <c r="R1034" s="30">
        <f>IF(M1034&lt;&gt;"OK","",O1034+(Q1034-O1034)*(H1034-N1034)/(P1034-N1034))</f>
        <v/>
      </c>
      <c r="S1034" s="30">
        <f>IF(OR(M1034&lt;&gt;"OK",NOT(ISNUMBER(L1034))),"",L1034-R1034)</f>
        <v/>
      </c>
      <c r="T1034" s="46">
        <f>IF(OR(NOT(ISNUMBER(S1034)),IF(ISNUMBER(G1034),G1034,F1034)=0),"",S1034/IF(ISNUMBER(G1034),G1034,F1034))</f>
        <v/>
      </c>
      <c r="U1034" s="46">
        <f>IF(ISNUMBER(T1034),ABS(T1034),"")</f>
        <v/>
      </c>
      <c r="V1034" s="46">
        <f>IF(OR($D1033&lt;&gt;"측정",$C1033&lt;&gt;$C1034,NOT(ISNUMBER(L1034)),NOT(ISNUMBER(L1033)),(IF(ISNUMBER(G1034),G1034,F1034)-IF(ISNUMBER(G1033),G1033,F1033))=0),"",(L1034-L1033)/(IF(ISNUMBER(G1034),G1034,F1034)-IF(ISNUMBER(G1033),G1033,F1033)))</f>
        <v/>
      </c>
      <c r="W1034" s="30">
        <f>IF(NOT(AND(ISNUMBER(N1034),ISNUMBER(P1034))),"",(P1034-N1034)*1440)</f>
        <v/>
      </c>
      <c r="X1034" s="28" t="n"/>
      <c r="Y1034" s="28" t="n"/>
      <c r="Z1034" s="28" t="n"/>
      <c r="AA1034" s="31" t="n"/>
      <c r="AB1034" s="31" t="n"/>
    </row>
    <row r="1035">
      <c r="A1035" s="25" t="inlineStr">
        <is>
          <t>S20</t>
        </is>
      </c>
      <c r="B1035" s="25" t="inlineStr">
        <is>
          <t>보령 신규점2</t>
        </is>
      </c>
      <c r="C1035" s="25" t="inlineStr">
        <is>
          <t>S20-H북</t>
        </is>
      </c>
      <c r="D1035" s="25" t="inlineStr">
        <is>
          <t>측정</t>
        </is>
      </c>
      <c r="E1035" s="25" t="inlineStr">
        <is>
          <t>북</t>
        </is>
      </c>
      <c r="F1035" s="30" t="n">
        <v>2</v>
      </c>
      <c r="G1035" s="29" t="n"/>
      <c r="H1035" s="42" t="n"/>
      <c r="I1035" s="40" t="n"/>
      <c r="J1035" s="40" t="n"/>
      <c r="K1035" s="40" t="n"/>
      <c r="L1035" s="30">
        <f>IF(COUNT(I1035:K1035)=0,"",MEDIAN(I1035:K1035))</f>
        <v/>
      </c>
      <c r="M1035" s="25">
        <f>IF(COUNTIFS($C:$C,$C1035,$D:$D,"P0(전)",$L:$L,"&gt;0")&lt;&gt;1,"P0(전) 유효 1개 아님",IF(COUNTIFS($C:$C,$C1035,$D:$D,"P0(후)",$L:$L,"&gt;0")&lt;&gt;1,"P0(후) 유효 1개 아님",IF(NOT(AND(ISNUMBER(N1035),ISNUMBER(P1035),ISNUMBER(H1035))),"시각 결측",IF(P1035&lt;=N1035,"P0 시각 역전",IF(OR(H1035&lt;N1035,H1035&gt;P1035),"측정시각 구간 밖","OK")))))</f>
        <v/>
      </c>
      <c r="N1035" s="45">
        <f>IF(COUNTIFS($C:$C,$C1035,$D:$D,"P0(전)",$L:$L,"&gt;0")&lt;&gt;1,"",SUMIFS($H:$H,$C:$C,$C1035,$D:$D,"P0(전)"))</f>
        <v/>
      </c>
      <c r="O1035" s="30">
        <f>IF(COUNTIFS($C:$C,$C1035,$D:$D,"P0(전)",$L:$L,"&gt;0")&lt;&gt;1,"",SUMIFS($L:$L,$C:$C,$C1035,$D:$D,"P0(전)"))</f>
        <v/>
      </c>
      <c r="P1035" s="45">
        <f>IF(COUNTIFS($C:$C,$C1035,$D:$D,"P0(후)",$L:$L,"&gt;0")&lt;&gt;1,"",SUMIFS($H:$H,$C:$C,$C1035,$D:$D,"P0(후)"))</f>
        <v/>
      </c>
      <c r="Q1035" s="30">
        <f>IF(COUNTIFS($C:$C,$C1035,$D:$D,"P0(후)",$L:$L,"&gt;0")&lt;&gt;1,"",SUMIFS($L:$L,$C:$C,$C1035,$D:$D,"P0(후)"))</f>
        <v/>
      </c>
      <c r="R1035" s="30">
        <f>IF(M1035&lt;&gt;"OK","",O1035+(Q1035-O1035)*(H1035-N1035)/(P1035-N1035))</f>
        <v/>
      </c>
      <c r="S1035" s="30">
        <f>IF(OR(M1035&lt;&gt;"OK",NOT(ISNUMBER(L1035))),"",L1035-R1035)</f>
        <v/>
      </c>
      <c r="T1035" s="46">
        <f>IF(OR(NOT(ISNUMBER(S1035)),IF(ISNUMBER(G1035),G1035,F1035)=0),"",S1035/IF(ISNUMBER(G1035),G1035,F1035))</f>
        <v/>
      </c>
      <c r="U1035" s="46">
        <f>IF(ISNUMBER(T1035),ABS(T1035),"")</f>
        <v/>
      </c>
      <c r="V1035" s="46">
        <f>IF(OR($D1034&lt;&gt;"측정",$C1034&lt;&gt;$C1035,NOT(ISNUMBER(L1035)),NOT(ISNUMBER(L1034)),(IF(ISNUMBER(G1035),G1035,F1035)-IF(ISNUMBER(G1034),G1034,F1034))=0),"",(L1035-L1034)/(IF(ISNUMBER(G1035),G1035,F1035)-IF(ISNUMBER(G1034),G1034,F1034)))</f>
        <v/>
      </c>
      <c r="W1035" s="30">
        <f>IF(NOT(AND(ISNUMBER(N1035),ISNUMBER(P1035))),"",(P1035-N1035)*1440)</f>
        <v/>
      </c>
      <c r="X1035" s="28" t="n"/>
      <c r="Y1035" s="28" t="n"/>
      <c r="Z1035" s="28" t="n"/>
      <c r="AA1035" s="31" t="n"/>
      <c r="AB1035" s="31" t="n"/>
    </row>
    <row r="1036">
      <c r="A1036" s="25" t="inlineStr">
        <is>
          <t>S20</t>
        </is>
      </c>
      <c r="B1036" s="25" t="inlineStr">
        <is>
          <t>보령 신규점2</t>
        </is>
      </c>
      <c r="C1036" s="25" t="inlineStr">
        <is>
          <t>S20-H북</t>
        </is>
      </c>
      <c r="D1036" s="25" t="inlineStr">
        <is>
          <t>측정</t>
        </is>
      </c>
      <c r="E1036" s="25" t="inlineStr">
        <is>
          <t>북</t>
        </is>
      </c>
      <c r="F1036" s="30" t="n">
        <v>3</v>
      </c>
      <c r="G1036" s="29" t="n"/>
      <c r="H1036" s="42" t="n"/>
      <c r="I1036" s="40" t="n"/>
      <c r="J1036" s="40" t="n"/>
      <c r="K1036" s="40" t="n"/>
      <c r="L1036" s="30">
        <f>IF(COUNT(I1036:K1036)=0,"",MEDIAN(I1036:K1036))</f>
        <v/>
      </c>
      <c r="M1036" s="25">
        <f>IF(COUNTIFS($C:$C,$C1036,$D:$D,"P0(전)",$L:$L,"&gt;0")&lt;&gt;1,"P0(전) 유효 1개 아님",IF(COUNTIFS($C:$C,$C1036,$D:$D,"P0(후)",$L:$L,"&gt;0")&lt;&gt;1,"P0(후) 유효 1개 아님",IF(NOT(AND(ISNUMBER(N1036),ISNUMBER(P1036),ISNUMBER(H1036))),"시각 결측",IF(P1036&lt;=N1036,"P0 시각 역전",IF(OR(H1036&lt;N1036,H1036&gt;P1036),"측정시각 구간 밖","OK")))))</f>
        <v/>
      </c>
      <c r="N1036" s="45">
        <f>IF(COUNTIFS($C:$C,$C1036,$D:$D,"P0(전)",$L:$L,"&gt;0")&lt;&gt;1,"",SUMIFS($H:$H,$C:$C,$C1036,$D:$D,"P0(전)"))</f>
        <v/>
      </c>
      <c r="O1036" s="30">
        <f>IF(COUNTIFS($C:$C,$C1036,$D:$D,"P0(전)",$L:$L,"&gt;0")&lt;&gt;1,"",SUMIFS($L:$L,$C:$C,$C1036,$D:$D,"P0(전)"))</f>
        <v/>
      </c>
      <c r="P1036" s="45">
        <f>IF(COUNTIFS($C:$C,$C1036,$D:$D,"P0(후)",$L:$L,"&gt;0")&lt;&gt;1,"",SUMIFS($H:$H,$C:$C,$C1036,$D:$D,"P0(후)"))</f>
        <v/>
      </c>
      <c r="Q1036" s="30">
        <f>IF(COUNTIFS($C:$C,$C1036,$D:$D,"P0(후)",$L:$L,"&gt;0")&lt;&gt;1,"",SUMIFS($L:$L,$C:$C,$C1036,$D:$D,"P0(후)"))</f>
        <v/>
      </c>
      <c r="R1036" s="30">
        <f>IF(M1036&lt;&gt;"OK","",O1036+(Q1036-O1036)*(H1036-N1036)/(P1036-N1036))</f>
        <v/>
      </c>
      <c r="S1036" s="30">
        <f>IF(OR(M1036&lt;&gt;"OK",NOT(ISNUMBER(L1036))),"",L1036-R1036)</f>
        <v/>
      </c>
      <c r="T1036" s="46">
        <f>IF(OR(NOT(ISNUMBER(S1036)),IF(ISNUMBER(G1036),G1036,F1036)=0),"",S1036/IF(ISNUMBER(G1036),G1036,F1036))</f>
        <v/>
      </c>
      <c r="U1036" s="46">
        <f>IF(ISNUMBER(T1036),ABS(T1036),"")</f>
        <v/>
      </c>
      <c r="V1036" s="46">
        <f>IF(OR($D1035&lt;&gt;"측정",$C1035&lt;&gt;$C1036,NOT(ISNUMBER(L1036)),NOT(ISNUMBER(L1035)),(IF(ISNUMBER(G1036),G1036,F1036)-IF(ISNUMBER(G1035),G1035,F1035))=0),"",(L1036-L1035)/(IF(ISNUMBER(G1036),G1036,F1036)-IF(ISNUMBER(G1035),G1035,F1035)))</f>
        <v/>
      </c>
      <c r="W1036" s="30">
        <f>IF(NOT(AND(ISNUMBER(N1036),ISNUMBER(P1036))),"",(P1036-N1036)*1440)</f>
        <v/>
      </c>
      <c r="X1036" s="28" t="n"/>
      <c r="Y1036" s="28" t="n"/>
      <c r="Z1036" s="28" t="n"/>
      <c r="AA1036" s="31" t="n"/>
      <c r="AB1036" s="31" t="n"/>
    </row>
    <row r="1037">
      <c r="A1037" s="25" t="inlineStr">
        <is>
          <t>S20</t>
        </is>
      </c>
      <c r="B1037" s="25" t="inlineStr">
        <is>
          <t>보령 신규점2</t>
        </is>
      </c>
      <c r="C1037" s="25" t="inlineStr">
        <is>
          <t>S20-H북</t>
        </is>
      </c>
      <c r="D1037" s="25" t="inlineStr">
        <is>
          <t>측정</t>
        </is>
      </c>
      <c r="E1037" s="25" t="inlineStr">
        <is>
          <t>북</t>
        </is>
      </c>
      <c r="F1037" s="30" t="n">
        <v>4</v>
      </c>
      <c r="G1037" s="29" t="n"/>
      <c r="H1037" s="42" t="n"/>
      <c r="I1037" s="40" t="n"/>
      <c r="J1037" s="40" t="n"/>
      <c r="K1037" s="40" t="n"/>
      <c r="L1037" s="30">
        <f>IF(COUNT(I1037:K1037)=0,"",MEDIAN(I1037:K1037))</f>
        <v/>
      </c>
      <c r="M1037" s="25">
        <f>IF(COUNTIFS($C:$C,$C1037,$D:$D,"P0(전)",$L:$L,"&gt;0")&lt;&gt;1,"P0(전) 유효 1개 아님",IF(COUNTIFS($C:$C,$C1037,$D:$D,"P0(후)",$L:$L,"&gt;0")&lt;&gt;1,"P0(후) 유효 1개 아님",IF(NOT(AND(ISNUMBER(N1037),ISNUMBER(P1037),ISNUMBER(H1037))),"시각 결측",IF(P1037&lt;=N1037,"P0 시각 역전",IF(OR(H1037&lt;N1037,H1037&gt;P1037),"측정시각 구간 밖","OK")))))</f>
        <v/>
      </c>
      <c r="N1037" s="45">
        <f>IF(COUNTIFS($C:$C,$C1037,$D:$D,"P0(전)",$L:$L,"&gt;0")&lt;&gt;1,"",SUMIFS($H:$H,$C:$C,$C1037,$D:$D,"P0(전)"))</f>
        <v/>
      </c>
      <c r="O1037" s="30">
        <f>IF(COUNTIFS($C:$C,$C1037,$D:$D,"P0(전)",$L:$L,"&gt;0")&lt;&gt;1,"",SUMIFS($L:$L,$C:$C,$C1037,$D:$D,"P0(전)"))</f>
        <v/>
      </c>
      <c r="P1037" s="45">
        <f>IF(COUNTIFS($C:$C,$C1037,$D:$D,"P0(후)",$L:$L,"&gt;0")&lt;&gt;1,"",SUMIFS($H:$H,$C:$C,$C1037,$D:$D,"P0(후)"))</f>
        <v/>
      </c>
      <c r="Q1037" s="30">
        <f>IF(COUNTIFS($C:$C,$C1037,$D:$D,"P0(후)",$L:$L,"&gt;0")&lt;&gt;1,"",SUMIFS($L:$L,$C:$C,$C1037,$D:$D,"P0(후)"))</f>
        <v/>
      </c>
      <c r="R1037" s="30">
        <f>IF(M1037&lt;&gt;"OK","",O1037+(Q1037-O1037)*(H1037-N1037)/(P1037-N1037))</f>
        <v/>
      </c>
      <c r="S1037" s="30">
        <f>IF(OR(M1037&lt;&gt;"OK",NOT(ISNUMBER(L1037))),"",L1037-R1037)</f>
        <v/>
      </c>
      <c r="T1037" s="46">
        <f>IF(OR(NOT(ISNUMBER(S1037)),IF(ISNUMBER(G1037),G1037,F1037)=0),"",S1037/IF(ISNUMBER(G1037),G1037,F1037))</f>
        <v/>
      </c>
      <c r="U1037" s="46">
        <f>IF(ISNUMBER(T1037),ABS(T1037),"")</f>
        <v/>
      </c>
      <c r="V1037" s="46">
        <f>IF(OR($D1036&lt;&gt;"측정",$C1036&lt;&gt;$C1037,NOT(ISNUMBER(L1037)),NOT(ISNUMBER(L1036)),(IF(ISNUMBER(G1037),G1037,F1037)-IF(ISNUMBER(G1036),G1036,F1036))=0),"",(L1037-L1036)/(IF(ISNUMBER(G1037),G1037,F1037)-IF(ISNUMBER(G1036),G1036,F1036)))</f>
        <v/>
      </c>
      <c r="W1037" s="30">
        <f>IF(NOT(AND(ISNUMBER(N1037),ISNUMBER(P1037))),"",(P1037-N1037)*1440)</f>
        <v/>
      </c>
      <c r="X1037" s="28" t="n"/>
      <c r="Y1037" s="28" t="n"/>
      <c r="Z1037" s="28" t="n"/>
      <c r="AA1037" s="31" t="n"/>
      <c r="AB1037" s="31" t="n"/>
    </row>
    <row r="1038">
      <c r="A1038" s="25" t="inlineStr">
        <is>
          <t>S20</t>
        </is>
      </c>
      <c r="B1038" s="25" t="inlineStr">
        <is>
          <t>보령 신규점2</t>
        </is>
      </c>
      <c r="C1038" s="25" t="inlineStr">
        <is>
          <t>S20-H북</t>
        </is>
      </c>
      <c r="D1038" s="25" t="inlineStr">
        <is>
          <t>측정</t>
        </is>
      </c>
      <c r="E1038" s="25" t="inlineStr">
        <is>
          <t>북</t>
        </is>
      </c>
      <c r="F1038" s="30" t="n">
        <v>5</v>
      </c>
      <c r="G1038" s="29" t="n"/>
      <c r="H1038" s="42" t="n"/>
      <c r="I1038" s="40" t="n"/>
      <c r="J1038" s="40" t="n"/>
      <c r="K1038" s="40" t="n"/>
      <c r="L1038" s="30">
        <f>IF(COUNT(I1038:K1038)=0,"",MEDIAN(I1038:K1038))</f>
        <v/>
      </c>
      <c r="M1038" s="25">
        <f>IF(COUNTIFS($C:$C,$C1038,$D:$D,"P0(전)",$L:$L,"&gt;0")&lt;&gt;1,"P0(전) 유효 1개 아님",IF(COUNTIFS($C:$C,$C1038,$D:$D,"P0(후)",$L:$L,"&gt;0")&lt;&gt;1,"P0(후) 유효 1개 아님",IF(NOT(AND(ISNUMBER(N1038),ISNUMBER(P1038),ISNUMBER(H1038))),"시각 결측",IF(P1038&lt;=N1038,"P0 시각 역전",IF(OR(H1038&lt;N1038,H1038&gt;P1038),"측정시각 구간 밖","OK")))))</f>
        <v/>
      </c>
      <c r="N1038" s="45">
        <f>IF(COUNTIFS($C:$C,$C1038,$D:$D,"P0(전)",$L:$L,"&gt;0")&lt;&gt;1,"",SUMIFS($H:$H,$C:$C,$C1038,$D:$D,"P0(전)"))</f>
        <v/>
      </c>
      <c r="O1038" s="30">
        <f>IF(COUNTIFS($C:$C,$C1038,$D:$D,"P0(전)",$L:$L,"&gt;0")&lt;&gt;1,"",SUMIFS($L:$L,$C:$C,$C1038,$D:$D,"P0(전)"))</f>
        <v/>
      </c>
      <c r="P1038" s="45">
        <f>IF(COUNTIFS($C:$C,$C1038,$D:$D,"P0(후)",$L:$L,"&gt;0")&lt;&gt;1,"",SUMIFS($H:$H,$C:$C,$C1038,$D:$D,"P0(후)"))</f>
        <v/>
      </c>
      <c r="Q1038" s="30">
        <f>IF(COUNTIFS($C:$C,$C1038,$D:$D,"P0(후)",$L:$L,"&gt;0")&lt;&gt;1,"",SUMIFS($L:$L,$C:$C,$C1038,$D:$D,"P0(후)"))</f>
        <v/>
      </c>
      <c r="R1038" s="30">
        <f>IF(M1038&lt;&gt;"OK","",O1038+(Q1038-O1038)*(H1038-N1038)/(P1038-N1038))</f>
        <v/>
      </c>
      <c r="S1038" s="30">
        <f>IF(OR(M1038&lt;&gt;"OK",NOT(ISNUMBER(L1038))),"",L1038-R1038)</f>
        <v/>
      </c>
      <c r="T1038" s="46">
        <f>IF(OR(NOT(ISNUMBER(S1038)),IF(ISNUMBER(G1038),G1038,F1038)=0),"",S1038/IF(ISNUMBER(G1038),G1038,F1038))</f>
        <v/>
      </c>
      <c r="U1038" s="46">
        <f>IF(ISNUMBER(T1038),ABS(T1038),"")</f>
        <v/>
      </c>
      <c r="V1038" s="46">
        <f>IF(OR($D1037&lt;&gt;"측정",$C1037&lt;&gt;$C1038,NOT(ISNUMBER(L1038)),NOT(ISNUMBER(L1037)),(IF(ISNUMBER(G1038),G1038,F1038)-IF(ISNUMBER(G1037),G1037,F1037))=0),"",(L1038-L1037)/(IF(ISNUMBER(G1038),G1038,F1038)-IF(ISNUMBER(G1037),G1037,F1037)))</f>
        <v/>
      </c>
      <c r="W1038" s="30">
        <f>IF(NOT(AND(ISNUMBER(N1038),ISNUMBER(P1038))),"",(P1038-N1038)*1440)</f>
        <v/>
      </c>
      <c r="X1038" s="28" t="n"/>
      <c r="Y1038" s="28" t="n"/>
      <c r="Z1038" s="28" t="n"/>
      <c r="AA1038" s="31" t="n"/>
      <c r="AB1038" s="31" t="n"/>
    </row>
    <row r="1039">
      <c r="A1039" s="25" t="inlineStr">
        <is>
          <t>S20</t>
        </is>
      </c>
      <c r="B1039" s="25" t="inlineStr">
        <is>
          <t>보령 신규점2</t>
        </is>
      </c>
      <c r="C1039" s="25" t="inlineStr">
        <is>
          <t>S20-H북</t>
        </is>
      </c>
      <c r="D1039" s="25" t="inlineStr">
        <is>
          <t>측정</t>
        </is>
      </c>
      <c r="E1039" s="25" t="inlineStr">
        <is>
          <t>북</t>
        </is>
      </c>
      <c r="F1039" s="30" t="n">
        <v>6</v>
      </c>
      <c r="G1039" s="29" t="n"/>
      <c r="H1039" s="42" t="n"/>
      <c r="I1039" s="40" t="n"/>
      <c r="J1039" s="40" t="n"/>
      <c r="K1039" s="40" t="n"/>
      <c r="L1039" s="30">
        <f>IF(COUNT(I1039:K1039)=0,"",MEDIAN(I1039:K1039))</f>
        <v/>
      </c>
      <c r="M1039" s="25">
        <f>IF(COUNTIFS($C:$C,$C1039,$D:$D,"P0(전)",$L:$L,"&gt;0")&lt;&gt;1,"P0(전) 유효 1개 아님",IF(COUNTIFS($C:$C,$C1039,$D:$D,"P0(후)",$L:$L,"&gt;0")&lt;&gt;1,"P0(후) 유효 1개 아님",IF(NOT(AND(ISNUMBER(N1039),ISNUMBER(P1039),ISNUMBER(H1039))),"시각 결측",IF(P1039&lt;=N1039,"P0 시각 역전",IF(OR(H1039&lt;N1039,H1039&gt;P1039),"측정시각 구간 밖","OK")))))</f>
        <v/>
      </c>
      <c r="N1039" s="45">
        <f>IF(COUNTIFS($C:$C,$C1039,$D:$D,"P0(전)",$L:$L,"&gt;0")&lt;&gt;1,"",SUMIFS($H:$H,$C:$C,$C1039,$D:$D,"P0(전)"))</f>
        <v/>
      </c>
      <c r="O1039" s="30">
        <f>IF(COUNTIFS($C:$C,$C1039,$D:$D,"P0(전)",$L:$L,"&gt;0")&lt;&gt;1,"",SUMIFS($L:$L,$C:$C,$C1039,$D:$D,"P0(전)"))</f>
        <v/>
      </c>
      <c r="P1039" s="45">
        <f>IF(COUNTIFS($C:$C,$C1039,$D:$D,"P0(후)",$L:$L,"&gt;0")&lt;&gt;1,"",SUMIFS($H:$H,$C:$C,$C1039,$D:$D,"P0(후)"))</f>
        <v/>
      </c>
      <c r="Q1039" s="30">
        <f>IF(COUNTIFS($C:$C,$C1039,$D:$D,"P0(후)",$L:$L,"&gt;0")&lt;&gt;1,"",SUMIFS($L:$L,$C:$C,$C1039,$D:$D,"P0(후)"))</f>
        <v/>
      </c>
      <c r="R1039" s="30">
        <f>IF(M1039&lt;&gt;"OK","",O1039+(Q1039-O1039)*(H1039-N1039)/(P1039-N1039))</f>
        <v/>
      </c>
      <c r="S1039" s="30">
        <f>IF(OR(M1039&lt;&gt;"OK",NOT(ISNUMBER(L1039))),"",L1039-R1039)</f>
        <v/>
      </c>
      <c r="T1039" s="46">
        <f>IF(OR(NOT(ISNUMBER(S1039)),IF(ISNUMBER(G1039),G1039,F1039)=0),"",S1039/IF(ISNUMBER(G1039),G1039,F1039))</f>
        <v/>
      </c>
      <c r="U1039" s="46">
        <f>IF(ISNUMBER(T1039),ABS(T1039),"")</f>
        <v/>
      </c>
      <c r="V1039" s="46">
        <f>IF(OR($D1038&lt;&gt;"측정",$C1038&lt;&gt;$C1039,NOT(ISNUMBER(L1039)),NOT(ISNUMBER(L1038)),(IF(ISNUMBER(G1039),G1039,F1039)-IF(ISNUMBER(G1038),G1038,F1038))=0),"",(L1039-L1038)/(IF(ISNUMBER(G1039),G1039,F1039)-IF(ISNUMBER(G1038),G1038,F1038)))</f>
        <v/>
      </c>
      <c r="W1039" s="30">
        <f>IF(NOT(AND(ISNUMBER(N1039),ISNUMBER(P1039))),"",(P1039-N1039)*1440)</f>
        <v/>
      </c>
      <c r="X1039" s="28" t="n"/>
      <c r="Y1039" s="28" t="n"/>
      <c r="Z1039" s="28" t="n"/>
      <c r="AA1039" s="31" t="n"/>
      <c r="AB1039" s="31" t="n"/>
    </row>
    <row r="1040">
      <c r="A1040" s="25" t="inlineStr">
        <is>
          <t>S20</t>
        </is>
      </c>
      <c r="B1040" s="25" t="inlineStr">
        <is>
          <t>보령 신규점2</t>
        </is>
      </c>
      <c r="C1040" s="25" t="inlineStr">
        <is>
          <t>S20-H북</t>
        </is>
      </c>
      <c r="D1040" s="25" t="inlineStr">
        <is>
          <t>측정</t>
        </is>
      </c>
      <c r="E1040" s="25" t="inlineStr">
        <is>
          <t>북</t>
        </is>
      </c>
      <c r="F1040" s="30" t="n">
        <v>7</v>
      </c>
      <c r="G1040" s="29" t="n"/>
      <c r="H1040" s="42" t="n"/>
      <c r="I1040" s="40" t="n"/>
      <c r="J1040" s="40" t="n"/>
      <c r="K1040" s="40" t="n"/>
      <c r="L1040" s="30">
        <f>IF(COUNT(I1040:K1040)=0,"",MEDIAN(I1040:K1040))</f>
        <v/>
      </c>
      <c r="M1040" s="25">
        <f>IF(COUNTIFS($C:$C,$C1040,$D:$D,"P0(전)",$L:$L,"&gt;0")&lt;&gt;1,"P0(전) 유효 1개 아님",IF(COUNTIFS($C:$C,$C1040,$D:$D,"P0(후)",$L:$L,"&gt;0")&lt;&gt;1,"P0(후) 유효 1개 아님",IF(NOT(AND(ISNUMBER(N1040),ISNUMBER(P1040),ISNUMBER(H1040))),"시각 결측",IF(P1040&lt;=N1040,"P0 시각 역전",IF(OR(H1040&lt;N1040,H1040&gt;P1040),"측정시각 구간 밖","OK")))))</f>
        <v/>
      </c>
      <c r="N1040" s="45">
        <f>IF(COUNTIFS($C:$C,$C1040,$D:$D,"P0(전)",$L:$L,"&gt;0")&lt;&gt;1,"",SUMIFS($H:$H,$C:$C,$C1040,$D:$D,"P0(전)"))</f>
        <v/>
      </c>
      <c r="O1040" s="30">
        <f>IF(COUNTIFS($C:$C,$C1040,$D:$D,"P0(전)",$L:$L,"&gt;0")&lt;&gt;1,"",SUMIFS($L:$L,$C:$C,$C1040,$D:$D,"P0(전)"))</f>
        <v/>
      </c>
      <c r="P1040" s="45">
        <f>IF(COUNTIFS($C:$C,$C1040,$D:$D,"P0(후)",$L:$L,"&gt;0")&lt;&gt;1,"",SUMIFS($H:$H,$C:$C,$C1040,$D:$D,"P0(후)"))</f>
        <v/>
      </c>
      <c r="Q1040" s="30">
        <f>IF(COUNTIFS($C:$C,$C1040,$D:$D,"P0(후)",$L:$L,"&gt;0")&lt;&gt;1,"",SUMIFS($L:$L,$C:$C,$C1040,$D:$D,"P0(후)"))</f>
        <v/>
      </c>
      <c r="R1040" s="30">
        <f>IF(M1040&lt;&gt;"OK","",O1040+(Q1040-O1040)*(H1040-N1040)/(P1040-N1040))</f>
        <v/>
      </c>
      <c r="S1040" s="30">
        <f>IF(OR(M1040&lt;&gt;"OK",NOT(ISNUMBER(L1040))),"",L1040-R1040)</f>
        <v/>
      </c>
      <c r="T1040" s="46">
        <f>IF(OR(NOT(ISNUMBER(S1040)),IF(ISNUMBER(G1040),G1040,F1040)=0),"",S1040/IF(ISNUMBER(G1040),G1040,F1040))</f>
        <v/>
      </c>
      <c r="U1040" s="46">
        <f>IF(ISNUMBER(T1040),ABS(T1040),"")</f>
        <v/>
      </c>
      <c r="V1040" s="46">
        <f>IF(OR($D1039&lt;&gt;"측정",$C1039&lt;&gt;$C1040,NOT(ISNUMBER(L1040)),NOT(ISNUMBER(L1039)),(IF(ISNUMBER(G1040),G1040,F1040)-IF(ISNUMBER(G1039),G1039,F1039))=0),"",(L1040-L1039)/(IF(ISNUMBER(G1040),G1040,F1040)-IF(ISNUMBER(G1039),G1039,F1039)))</f>
        <v/>
      </c>
      <c r="W1040" s="30">
        <f>IF(NOT(AND(ISNUMBER(N1040),ISNUMBER(P1040))),"",(P1040-N1040)*1440)</f>
        <v/>
      </c>
      <c r="X1040" s="28" t="n"/>
      <c r="Y1040" s="28" t="n"/>
      <c r="Z1040" s="28" t="n"/>
      <c r="AA1040" s="31" t="n"/>
      <c r="AB1040" s="31" t="n"/>
    </row>
    <row r="1041">
      <c r="A1041" s="25" t="inlineStr">
        <is>
          <t>S20</t>
        </is>
      </c>
      <c r="B1041" s="25" t="inlineStr">
        <is>
          <t>보령 신규점2</t>
        </is>
      </c>
      <c r="C1041" s="25" t="inlineStr">
        <is>
          <t>S20-H북</t>
        </is>
      </c>
      <c r="D1041" s="25" t="inlineStr">
        <is>
          <t>측정</t>
        </is>
      </c>
      <c r="E1041" s="25" t="inlineStr">
        <is>
          <t>북</t>
        </is>
      </c>
      <c r="F1041" s="30" t="n">
        <v>8</v>
      </c>
      <c r="G1041" s="29" t="n"/>
      <c r="H1041" s="42" t="n"/>
      <c r="I1041" s="40" t="n"/>
      <c r="J1041" s="40" t="n"/>
      <c r="K1041" s="40" t="n"/>
      <c r="L1041" s="30">
        <f>IF(COUNT(I1041:K1041)=0,"",MEDIAN(I1041:K1041))</f>
        <v/>
      </c>
      <c r="M1041" s="25">
        <f>IF(COUNTIFS($C:$C,$C1041,$D:$D,"P0(전)",$L:$L,"&gt;0")&lt;&gt;1,"P0(전) 유효 1개 아님",IF(COUNTIFS($C:$C,$C1041,$D:$D,"P0(후)",$L:$L,"&gt;0")&lt;&gt;1,"P0(후) 유효 1개 아님",IF(NOT(AND(ISNUMBER(N1041),ISNUMBER(P1041),ISNUMBER(H1041))),"시각 결측",IF(P1041&lt;=N1041,"P0 시각 역전",IF(OR(H1041&lt;N1041,H1041&gt;P1041),"측정시각 구간 밖","OK")))))</f>
        <v/>
      </c>
      <c r="N1041" s="45">
        <f>IF(COUNTIFS($C:$C,$C1041,$D:$D,"P0(전)",$L:$L,"&gt;0")&lt;&gt;1,"",SUMIFS($H:$H,$C:$C,$C1041,$D:$D,"P0(전)"))</f>
        <v/>
      </c>
      <c r="O1041" s="30">
        <f>IF(COUNTIFS($C:$C,$C1041,$D:$D,"P0(전)",$L:$L,"&gt;0")&lt;&gt;1,"",SUMIFS($L:$L,$C:$C,$C1041,$D:$D,"P0(전)"))</f>
        <v/>
      </c>
      <c r="P1041" s="45">
        <f>IF(COUNTIFS($C:$C,$C1041,$D:$D,"P0(후)",$L:$L,"&gt;0")&lt;&gt;1,"",SUMIFS($H:$H,$C:$C,$C1041,$D:$D,"P0(후)"))</f>
        <v/>
      </c>
      <c r="Q1041" s="30">
        <f>IF(COUNTIFS($C:$C,$C1041,$D:$D,"P0(후)",$L:$L,"&gt;0")&lt;&gt;1,"",SUMIFS($L:$L,$C:$C,$C1041,$D:$D,"P0(후)"))</f>
        <v/>
      </c>
      <c r="R1041" s="30">
        <f>IF(M1041&lt;&gt;"OK","",O1041+(Q1041-O1041)*(H1041-N1041)/(P1041-N1041))</f>
        <v/>
      </c>
      <c r="S1041" s="30">
        <f>IF(OR(M1041&lt;&gt;"OK",NOT(ISNUMBER(L1041))),"",L1041-R1041)</f>
        <v/>
      </c>
      <c r="T1041" s="46">
        <f>IF(OR(NOT(ISNUMBER(S1041)),IF(ISNUMBER(G1041),G1041,F1041)=0),"",S1041/IF(ISNUMBER(G1041),G1041,F1041))</f>
        <v/>
      </c>
      <c r="U1041" s="46">
        <f>IF(ISNUMBER(T1041),ABS(T1041),"")</f>
        <v/>
      </c>
      <c r="V1041" s="46">
        <f>IF(OR($D1040&lt;&gt;"측정",$C1040&lt;&gt;$C1041,NOT(ISNUMBER(L1041)),NOT(ISNUMBER(L1040)),(IF(ISNUMBER(G1041),G1041,F1041)-IF(ISNUMBER(G1040),G1040,F1040))=0),"",(L1041-L1040)/(IF(ISNUMBER(G1041),G1041,F1041)-IF(ISNUMBER(G1040),G1040,F1040)))</f>
        <v/>
      </c>
      <c r="W1041" s="30">
        <f>IF(NOT(AND(ISNUMBER(N1041),ISNUMBER(P1041))),"",(P1041-N1041)*1440)</f>
        <v/>
      </c>
      <c r="X1041" s="28" t="n"/>
      <c r="Y1041" s="28" t="n"/>
      <c r="Z1041" s="28" t="n"/>
      <c r="AA1041" s="31" t="n"/>
      <c r="AB1041" s="31" t="n"/>
    </row>
    <row r="1042">
      <c r="A1042" s="25" t="inlineStr">
        <is>
          <t>S20</t>
        </is>
      </c>
      <c r="B1042" s="25" t="inlineStr">
        <is>
          <t>보령 신규점2</t>
        </is>
      </c>
      <c r="C1042" s="25" t="inlineStr">
        <is>
          <t>S20-H북</t>
        </is>
      </c>
      <c r="D1042" s="25" t="inlineStr">
        <is>
          <t>측정</t>
        </is>
      </c>
      <c r="E1042" s="25" t="inlineStr">
        <is>
          <t>북</t>
        </is>
      </c>
      <c r="F1042" s="30" t="n">
        <v>9</v>
      </c>
      <c r="G1042" s="29" t="n"/>
      <c r="H1042" s="42" t="n"/>
      <c r="I1042" s="40" t="n"/>
      <c r="J1042" s="40" t="n"/>
      <c r="K1042" s="40" t="n"/>
      <c r="L1042" s="30">
        <f>IF(COUNT(I1042:K1042)=0,"",MEDIAN(I1042:K1042))</f>
        <v/>
      </c>
      <c r="M1042" s="25">
        <f>IF(COUNTIFS($C:$C,$C1042,$D:$D,"P0(전)",$L:$L,"&gt;0")&lt;&gt;1,"P0(전) 유효 1개 아님",IF(COUNTIFS($C:$C,$C1042,$D:$D,"P0(후)",$L:$L,"&gt;0")&lt;&gt;1,"P0(후) 유효 1개 아님",IF(NOT(AND(ISNUMBER(N1042),ISNUMBER(P1042),ISNUMBER(H1042))),"시각 결측",IF(P1042&lt;=N1042,"P0 시각 역전",IF(OR(H1042&lt;N1042,H1042&gt;P1042),"측정시각 구간 밖","OK")))))</f>
        <v/>
      </c>
      <c r="N1042" s="45">
        <f>IF(COUNTIFS($C:$C,$C1042,$D:$D,"P0(전)",$L:$L,"&gt;0")&lt;&gt;1,"",SUMIFS($H:$H,$C:$C,$C1042,$D:$D,"P0(전)"))</f>
        <v/>
      </c>
      <c r="O1042" s="30">
        <f>IF(COUNTIFS($C:$C,$C1042,$D:$D,"P0(전)",$L:$L,"&gt;0")&lt;&gt;1,"",SUMIFS($L:$L,$C:$C,$C1042,$D:$D,"P0(전)"))</f>
        <v/>
      </c>
      <c r="P1042" s="45">
        <f>IF(COUNTIFS($C:$C,$C1042,$D:$D,"P0(후)",$L:$L,"&gt;0")&lt;&gt;1,"",SUMIFS($H:$H,$C:$C,$C1042,$D:$D,"P0(후)"))</f>
        <v/>
      </c>
      <c r="Q1042" s="30">
        <f>IF(COUNTIFS($C:$C,$C1042,$D:$D,"P0(후)",$L:$L,"&gt;0")&lt;&gt;1,"",SUMIFS($L:$L,$C:$C,$C1042,$D:$D,"P0(후)"))</f>
        <v/>
      </c>
      <c r="R1042" s="30">
        <f>IF(M1042&lt;&gt;"OK","",O1042+(Q1042-O1042)*(H1042-N1042)/(P1042-N1042))</f>
        <v/>
      </c>
      <c r="S1042" s="30">
        <f>IF(OR(M1042&lt;&gt;"OK",NOT(ISNUMBER(L1042))),"",L1042-R1042)</f>
        <v/>
      </c>
      <c r="T1042" s="46">
        <f>IF(OR(NOT(ISNUMBER(S1042)),IF(ISNUMBER(G1042),G1042,F1042)=0),"",S1042/IF(ISNUMBER(G1042),G1042,F1042))</f>
        <v/>
      </c>
      <c r="U1042" s="46">
        <f>IF(ISNUMBER(T1042),ABS(T1042),"")</f>
        <v/>
      </c>
      <c r="V1042" s="46">
        <f>IF(OR($D1041&lt;&gt;"측정",$C1041&lt;&gt;$C1042,NOT(ISNUMBER(L1042)),NOT(ISNUMBER(L1041)),(IF(ISNUMBER(G1042),G1042,F1042)-IF(ISNUMBER(G1041),G1041,F1041))=0),"",(L1042-L1041)/(IF(ISNUMBER(G1042),G1042,F1042)-IF(ISNUMBER(G1041),G1041,F1041)))</f>
        <v/>
      </c>
      <c r="W1042" s="30">
        <f>IF(NOT(AND(ISNUMBER(N1042),ISNUMBER(P1042))),"",(P1042-N1042)*1440)</f>
        <v/>
      </c>
      <c r="X1042" s="28" t="n"/>
      <c r="Y1042" s="28" t="n"/>
      <c r="Z1042" s="28" t="n"/>
      <c r="AA1042" s="31" t="n"/>
      <c r="AB1042" s="31" t="n"/>
    </row>
    <row r="1043">
      <c r="A1043" s="25" t="inlineStr">
        <is>
          <t>S20</t>
        </is>
      </c>
      <c r="B1043" s="25" t="inlineStr">
        <is>
          <t>보령 신규점2</t>
        </is>
      </c>
      <c r="C1043" s="25" t="inlineStr">
        <is>
          <t>S20-H북</t>
        </is>
      </c>
      <c r="D1043" s="25" t="inlineStr">
        <is>
          <t>측정</t>
        </is>
      </c>
      <c r="E1043" s="25" t="inlineStr">
        <is>
          <t>북</t>
        </is>
      </c>
      <c r="F1043" s="30" t="n">
        <v>10</v>
      </c>
      <c r="G1043" s="29" t="n"/>
      <c r="H1043" s="42" t="n"/>
      <c r="I1043" s="40" t="n"/>
      <c r="J1043" s="40" t="n"/>
      <c r="K1043" s="40" t="n"/>
      <c r="L1043" s="30">
        <f>IF(COUNT(I1043:K1043)=0,"",MEDIAN(I1043:K1043))</f>
        <v/>
      </c>
      <c r="M1043" s="25">
        <f>IF(COUNTIFS($C:$C,$C1043,$D:$D,"P0(전)",$L:$L,"&gt;0")&lt;&gt;1,"P0(전) 유효 1개 아님",IF(COUNTIFS($C:$C,$C1043,$D:$D,"P0(후)",$L:$L,"&gt;0")&lt;&gt;1,"P0(후) 유효 1개 아님",IF(NOT(AND(ISNUMBER(N1043),ISNUMBER(P1043),ISNUMBER(H1043))),"시각 결측",IF(P1043&lt;=N1043,"P0 시각 역전",IF(OR(H1043&lt;N1043,H1043&gt;P1043),"측정시각 구간 밖","OK")))))</f>
        <v/>
      </c>
      <c r="N1043" s="45">
        <f>IF(COUNTIFS($C:$C,$C1043,$D:$D,"P0(전)",$L:$L,"&gt;0")&lt;&gt;1,"",SUMIFS($H:$H,$C:$C,$C1043,$D:$D,"P0(전)"))</f>
        <v/>
      </c>
      <c r="O1043" s="30">
        <f>IF(COUNTIFS($C:$C,$C1043,$D:$D,"P0(전)",$L:$L,"&gt;0")&lt;&gt;1,"",SUMIFS($L:$L,$C:$C,$C1043,$D:$D,"P0(전)"))</f>
        <v/>
      </c>
      <c r="P1043" s="45">
        <f>IF(COUNTIFS($C:$C,$C1043,$D:$D,"P0(후)",$L:$L,"&gt;0")&lt;&gt;1,"",SUMIFS($H:$H,$C:$C,$C1043,$D:$D,"P0(후)"))</f>
        <v/>
      </c>
      <c r="Q1043" s="30">
        <f>IF(COUNTIFS($C:$C,$C1043,$D:$D,"P0(후)",$L:$L,"&gt;0")&lt;&gt;1,"",SUMIFS($L:$L,$C:$C,$C1043,$D:$D,"P0(후)"))</f>
        <v/>
      </c>
      <c r="R1043" s="30">
        <f>IF(M1043&lt;&gt;"OK","",O1043+(Q1043-O1043)*(H1043-N1043)/(P1043-N1043))</f>
        <v/>
      </c>
      <c r="S1043" s="30">
        <f>IF(OR(M1043&lt;&gt;"OK",NOT(ISNUMBER(L1043))),"",L1043-R1043)</f>
        <v/>
      </c>
      <c r="T1043" s="46">
        <f>IF(OR(NOT(ISNUMBER(S1043)),IF(ISNUMBER(G1043),G1043,F1043)=0),"",S1043/IF(ISNUMBER(G1043),G1043,F1043))</f>
        <v/>
      </c>
      <c r="U1043" s="46">
        <f>IF(ISNUMBER(T1043),ABS(T1043),"")</f>
        <v/>
      </c>
      <c r="V1043" s="46">
        <f>IF(OR($D1042&lt;&gt;"측정",$C1042&lt;&gt;$C1043,NOT(ISNUMBER(L1043)),NOT(ISNUMBER(L1042)),(IF(ISNUMBER(G1043),G1043,F1043)-IF(ISNUMBER(G1042),G1042,F1042))=0),"",(L1043-L1042)/(IF(ISNUMBER(G1043),G1043,F1043)-IF(ISNUMBER(G1042),G1042,F1042)))</f>
        <v/>
      </c>
      <c r="W1043" s="30">
        <f>IF(NOT(AND(ISNUMBER(N1043),ISNUMBER(P1043))),"",(P1043-N1043)*1440)</f>
        <v/>
      </c>
      <c r="X1043" s="28" t="n"/>
      <c r="Y1043" s="28" t="n"/>
      <c r="Z1043" s="28" t="n"/>
      <c r="AA1043" s="31" t="n"/>
      <c r="AB1043" s="31" t="n"/>
    </row>
    <row r="1044">
      <c r="A1044" s="43" t="inlineStr">
        <is>
          <t>S20</t>
        </is>
      </c>
      <c r="B1044" s="43" t="inlineStr">
        <is>
          <t>보령 신규점2</t>
        </is>
      </c>
      <c r="C1044" s="43" t="inlineStr">
        <is>
          <t>S20-H북</t>
        </is>
      </c>
      <c r="D1044" s="43" t="inlineStr">
        <is>
          <t>P0(후)</t>
        </is>
      </c>
      <c r="E1044" s="43" t="inlineStr">
        <is>
          <t>북</t>
        </is>
      </c>
      <c r="F1044" s="44" t="n"/>
      <c r="G1044" s="29" t="n"/>
      <c r="H1044" s="42" t="n"/>
      <c r="I1044" s="40" t="n"/>
      <c r="J1044" s="40" t="n"/>
      <c r="K1044" s="40" t="n"/>
      <c r="L1044" s="30">
        <f>IF(COUNT(I1044:K1044)=0,"",MEDIAN(I1044:K1044))</f>
        <v/>
      </c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28" t="n"/>
      <c r="Y1044" s="28" t="n"/>
      <c r="Z1044" s="28" t="n"/>
      <c r="AA1044" s="31" t="n"/>
      <c r="AB1044" s="31" t="n"/>
    </row>
    <row r="1045">
      <c r="A1045" s="43" t="inlineStr">
        <is>
          <t>S21</t>
        </is>
      </c>
      <c r="B1045" s="43" t="inlineStr">
        <is>
          <t>담양 신규점2</t>
        </is>
      </c>
      <c r="C1045" s="43" t="inlineStr">
        <is>
          <t>S21-H동</t>
        </is>
      </c>
      <c r="D1045" s="43" t="inlineStr">
        <is>
          <t>P0(전)</t>
        </is>
      </c>
      <c r="E1045" s="43" t="inlineStr">
        <is>
          <t>동</t>
        </is>
      </c>
      <c r="F1045" s="44" t="n"/>
      <c r="G1045" s="29" t="n"/>
      <c r="H1045" s="42" t="n"/>
      <c r="I1045" s="40" t="n"/>
      <c r="J1045" s="40" t="n"/>
      <c r="K1045" s="40" t="n"/>
      <c r="L1045" s="30">
        <f>IF(COUNT(I1045:K1045)=0,"",MEDIAN(I1045:K1045))</f>
        <v/>
      </c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28" t="n"/>
      <c r="Y1045" s="28" t="n"/>
      <c r="Z1045" s="28" t="n"/>
      <c r="AA1045" s="31" t="n"/>
      <c r="AB1045" s="31" t="n"/>
    </row>
    <row r="1046">
      <c r="A1046" s="25" t="inlineStr">
        <is>
          <t>S21</t>
        </is>
      </c>
      <c r="B1046" s="25" t="inlineStr">
        <is>
          <t>담양 신규점2</t>
        </is>
      </c>
      <c r="C1046" s="25" t="inlineStr">
        <is>
          <t>S21-H동</t>
        </is>
      </c>
      <c r="D1046" s="25" t="inlineStr">
        <is>
          <t>측정</t>
        </is>
      </c>
      <c r="E1046" s="25" t="inlineStr">
        <is>
          <t>동</t>
        </is>
      </c>
      <c r="F1046" s="30" t="n">
        <v>0.5</v>
      </c>
      <c r="G1046" s="29" t="n"/>
      <c r="H1046" s="42" t="n"/>
      <c r="I1046" s="40" t="n"/>
      <c r="J1046" s="40" t="n"/>
      <c r="K1046" s="40" t="n"/>
      <c r="L1046" s="30">
        <f>IF(COUNT(I1046:K1046)=0,"",MEDIAN(I1046:K1046))</f>
        <v/>
      </c>
      <c r="M1046" s="25">
        <f>IF(COUNTIFS($C:$C,$C1046,$D:$D,"P0(전)",$L:$L,"&gt;0")&lt;&gt;1,"P0(전) 유효 1개 아님",IF(COUNTIFS($C:$C,$C1046,$D:$D,"P0(후)",$L:$L,"&gt;0")&lt;&gt;1,"P0(후) 유효 1개 아님",IF(NOT(AND(ISNUMBER(N1046),ISNUMBER(P1046),ISNUMBER(H1046))),"시각 결측",IF(P1046&lt;=N1046,"P0 시각 역전",IF(OR(H1046&lt;N1046,H1046&gt;P1046),"측정시각 구간 밖","OK")))))</f>
        <v/>
      </c>
      <c r="N1046" s="45">
        <f>IF(COUNTIFS($C:$C,$C1046,$D:$D,"P0(전)",$L:$L,"&gt;0")&lt;&gt;1,"",SUMIFS($H:$H,$C:$C,$C1046,$D:$D,"P0(전)"))</f>
        <v/>
      </c>
      <c r="O1046" s="30">
        <f>IF(COUNTIFS($C:$C,$C1046,$D:$D,"P0(전)",$L:$L,"&gt;0")&lt;&gt;1,"",SUMIFS($L:$L,$C:$C,$C1046,$D:$D,"P0(전)"))</f>
        <v/>
      </c>
      <c r="P1046" s="45">
        <f>IF(COUNTIFS($C:$C,$C1046,$D:$D,"P0(후)",$L:$L,"&gt;0")&lt;&gt;1,"",SUMIFS($H:$H,$C:$C,$C1046,$D:$D,"P0(후)"))</f>
        <v/>
      </c>
      <c r="Q1046" s="30">
        <f>IF(COUNTIFS($C:$C,$C1046,$D:$D,"P0(후)",$L:$L,"&gt;0")&lt;&gt;1,"",SUMIFS($L:$L,$C:$C,$C1046,$D:$D,"P0(후)"))</f>
        <v/>
      </c>
      <c r="R1046" s="30">
        <f>IF(M1046&lt;&gt;"OK","",O1046+(Q1046-O1046)*(H1046-N1046)/(P1046-N1046))</f>
        <v/>
      </c>
      <c r="S1046" s="30">
        <f>IF(OR(M1046&lt;&gt;"OK",NOT(ISNUMBER(L1046))),"",L1046-R1046)</f>
        <v/>
      </c>
      <c r="T1046" s="46">
        <f>IF(OR(NOT(ISNUMBER(S1046)),IF(ISNUMBER(G1046),G1046,F1046)=0),"",S1046/IF(ISNUMBER(G1046),G1046,F1046))</f>
        <v/>
      </c>
      <c r="U1046" s="46">
        <f>IF(ISNUMBER(T1046),ABS(T1046),"")</f>
        <v/>
      </c>
      <c r="V1046" s="46">
        <f>IF(OR($D1045&lt;&gt;"측정",$C1045&lt;&gt;$C1046,NOT(ISNUMBER(L1046)),NOT(ISNUMBER(L1045)),(IF(ISNUMBER(G1046),G1046,F1046)-IF(ISNUMBER(G1045),G1045,F1045))=0),"",(L1046-L1045)/(IF(ISNUMBER(G1046),G1046,F1046)-IF(ISNUMBER(G1045),G1045,F1045)))</f>
        <v/>
      </c>
      <c r="W1046" s="30">
        <f>IF(NOT(AND(ISNUMBER(N1046),ISNUMBER(P1046))),"",(P1046-N1046)*1440)</f>
        <v/>
      </c>
      <c r="X1046" s="28" t="n"/>
      <c r="Y1046" s="28" t="n"/>
      <c r="Z1046" s="28" t="n"/>
      <c r="AA1046" s="31" t="n"/>
      <c r="AB1046" s="31" t="n"/>
    </row>
    <row r="1047">
      <c r="A1047" s="25" t="inlineStr">
        <is>
          <t>S21</t>
        </is>
      </c>
      <c r="B1047" s="25" t="inlineStr">
        <is>
          <t>담양 신규점2</t>
        </is>
      </c>
      <c r="C1047" s="25" t="inlineStr">
        <is>
          <t>S21-H동</t>
        </is>
      </c>
      <c r="D1047" s="25" t="inlineStr">
        <is>
          <t>측정</t>
        </is>
      </c>
      <c r="E1047" s="25" t="inlineStr">
        <is>
          <t>동</t>
        </is>
      </c>
      <c r="F1047" s="30" t="n">
        <v>1</v>
      </c>
      <c r="G1047" s="29" t="n"/>
      <c r="H1047" s="42" t="n"/>
      <c r="I1047" s="40" t="n"/>
      <c r="J1047" s="40" t="n"/>
      <c r="K1047" s="40" t="n"/>
      <c r="L1047" s="30">
        <f>IF(COUNT(I1047:K1047)=0,"",MEDIAN(I1047:K1047))</f>
        <v/>
      </c>
      <c r="M1047" s="25">
        <f>IF(COUNTIFS($C:$C,$C1047,$D:$D,"P0(전)",$L:$L,"&gt;0")&lt;&gt;1,"P0(전) 유효 1개 아님",IF(COUNTIFS($C:$C,$C1047,$D:$D,"P0(후)",$L:$L,"&gt;0")&lt;&gt;1,"P0(후) 유효 1개 아님",IF(NOT(AND(ISNUMBER(N1047),ISNUMBER(P1047),ISNUMBER(H1047))),"시각 결측",IF(P1047&lt;=N1047,"P0 시각 역전",IF(OR(H1047&lt;N1047,H1047&gt;P1047),"측정시각 구간 밖","OK")))))</f>
        <v/>
      </c>
      <c r="N1047" s="45">
        <f>IF(COUNTIFS($C:$C,$C1047,$D:$D,"P0(전)",$L:$L,"&gt;0")&lt;&gt;1,"",SUMIFS($H:$H,$C:$C,$C1047,$D:$D,"P0(전)"))</f>
        <v/>
      </c>
      <c r="O1047" s="30">
        <f>IF(COUNTIFS($C:$C,$C1047,$D:$D,"P0(전)",$L:$L,"&gt;0")&lt;&gt;1,"",SUMIFS($L:$L,$C:$C,$C1047,$D:$D,"P0(전)"))</f>
        <v/>
      </c>
      <c r="P1047" s="45">
        <f>IF(COUNTIFS($C:$C,$C1047,$D:$D,"P0(후)",$L:$L,"&gt;0")&lt;&gt;1,"",SUMIFS($H:$H,$C:$C,$C1047,$D:$D,"P0(후)"))</f>
        <v/>
      </c>
      <c r="Q1047" s="30">
        <f>IF(COUNTIFS($C:$C,$C1047,$D:$D,"P0(후)",$L:$L,"&gt;0")&lt;&gt;1,"",SUMIFS($L:$L,$C:$C,$C1047,$D:$D,"P0(후)"))</f>
        <v/>
      </c>
      <c r="R1047" s="30">
        <f>IF(M1047&lt;&gt;"OK","",O1047+(Q1047-O1047)*(H1047-N1047)/(P1047-N1047))</f>
        <v/>
      </c>
      <c r="S1047" s="30">
        <f>IF(OR(M1047&lt;&gt;"OK",NOT(ISNUMBER(L1047))),"",L1047-R1047)</f>
        <v/>
      </c>
      <c r="T1047" s="46">
        <f>IF(OR(NOT(ISNUMBER(S1047)),IF(ISNUMBER(G1047),G1047,F1047)=0),"",S1047/IF(ISNUMBER(G1047),G1047,F1047))</f>
        <v/>
      </c>
      <c r="U1047" s="46">
        <f>IF(ISNUMBER(T1047),ABS(T1047),"")</f>
        <v/>
      </c>
      <c r="V1047" s="46">
        <f>IF(OR($D1046&lt;&gt;"측정",$C1046&lt;&gt;$C1047,NOT(ISNUMBER(L1047)),NOT(ISNUMBER(L1046)),(IF(ISNUMBER(G1047),G1047,F1047)-IF(ISNUMBER(G1046),G1046,F1046))=0),"",(L1047-L1046)/(IF(ISNUMBER(G1047),G1047,F1047)-IF(ISNUMBER(G1046),G1046,F1046)))</f>
        <v/>
      </c>
      <c r="W1047" s="30">
        <f>IF(NOT(AND(ISNUMBER(N1047),ISNUMBER(P1047))),"",(P1047-N1047)*1440)</f>
        <v/>
      </c>
      <c r="X1047" s="28" t="n"/>
      <c r="Y1047" s="28" t="n"/>
      <c r="Z1047" s="28" t="n"/>
      <c r="AA1047" s="31" t="n"/>
      <c r="AB1047" s="31" t="n"/>
    </row>
    <row r="1048">
      <c r="A1048" s="25" t="inlineStr">
        <is>
          <t>S21</t>
        </is>
      </c>
      <c r="B1048" s="25" t="inlineStr">
        <is>
          <t>담양 신규점2</t>
        </is>
      </c>
      <c r="C1048" s="25" t="inlineStr">
        <is>
          <t>S21-H동</t>
        </is>
      </c>
      <c r="D1048" s="25" t="inlineStr">
        <is>
          <t>측정</t>
        </is>
      </c>
      <c r="E1048" s="25" t="inlineStr">
        <is>
          <t>동</t>
        </is>
      </c>
      <c r="F1048" s="30" t="n">
        <v>2</v>
      </c>
      <c r="G1048" s="29" t="n"/>
      <c r="H1048" s="42" t="n"/>
      <c r="I1048" s="40" t="n"/>
      <c r="J1048" s="40" t="n"/>
      <c r="K1048" s="40" t="n"/>
      <c r="L1048" s="30">
        <f>IF(COUNT(I1048:K1048)=0,"",MEDIAN(I1048:K1048))</f>
        <v/>
      </c>
      <c r="M1048" s="25">
        <f>IF(COUNTIFS($C:$C,$C1048,$D:$D,"P0(전)",$L:$L,"&gt;0")&lt;&gt;1,"P0(전) 유효 1개 아님",IF(COUNTIFS($C:$C,$C1048,$D:$D,"P0(후)",$L:$L,"&gt;0")&lt;&gt;1,"P0(후) 유효 1개 아님",IF(NOT(AND(ISNUMBER(N1048),ISNUMBER(P1048),ISNUMBER(H1048))),"시각 결측",IF(P1048&lt;=N1048,"P0 시각 역전",IF(OR(H1048&lt;N1048,H1048&gt;P1048),"측정시각 구간 밖","OK")))))</f>
        <v/>
      </c>
      <c r="N1048" s="45">
        <f>IF(COUNTIFS($C:$C,$C1048,$D:$D,"P0(전)",$L:$L,"&gt;0")&lt;&gt;1,"",SUMIFS($H:$H,$C:$C,$C1048,$D:$D,"P0(전)"))</f>
        <v/>
      </c>
      <c r="O1048" s="30">
        <f>IF(COUNTIFS($C:$C,$C1048,$D:$D,"P0(전)",$L:$L,"&gt;0")&lt;&gt;1,"",SUMIFS($L:$L,$C:$C,$C1048,$D:$D,"P0(전)"))</f>
        <v/>
      </c>
      <c r="P1048" s="45">
        <f>IF(COUNTIFS($C:$C,$C1048,$D:$D,"P0(후)",$L:$L,"&gt;0")&lt;&gt;1,"",SUMIFS($H:$H,$C:$C,$C1048,$D:$D,"P0(후)"))</f>
        <v/>
      </c>
      <c r="Q1048" s="30">
        <f>IF(COUNTIFS($C:$C,$C1048,$D:$D,"P0(후)",$L:$L,"&gt;0")&lt;&gt;1,"",SUMIFS($L:$L,$C:$C,$C1048,$D:$D,"P0(후)"))</f>
        <v/>
      </c>
      <c r="R1048" s="30">
        <f>IF(M1048&lt;&gt;"OK","",O1048+(Q1048-O1048)*(H1048-N1048)/(P1048-N1048))</f>
        <v/>
      </c>
      <c r="S1048" s="30">
        <f>IF(OR(M1048&lt;&gt;"OK",NOT(ISNUMBER(L1048))),"",L1048-R1048)</f>
        <v/>
      </c>
      <c r="T1048" s="46">
        <f>IF(OR(NOT(ISNUMBER(S1048)),IF(ISNUMBER(G1048),G1048,F1048)=0),"",S1048/IF(ISNUMBER(G1048),G1048,F1048))</f>
        <v/>
      </c>
      <c r="U1048" s="46">
        <f>IF(ISNUMBER(T1048),ABS(T1048),"")</f>
        <v/>
      </c>
      <c r="V1048" s="46">
        <f>IF(OR($D1047&lt;&gt;"측정",$C1047&lt;&gt;$C1048,NOT(ISNUMBER(L1048)),NOT(ISNUMBER(L1047)),(IF(ISNUMBER(G1048),G1048,F1048)-IF(ISNUMBER(G1047),G1047,F1047))=0),"",(L1048-L1047)/(IF(ISNUMBER(G1048),G1048,F1048)-IF(ISNUMBER(G1047),G1047,F1047)))</f>
        <v/>
      </c>
      <c r="W1048" s="30">
        <f>IF(NOT(AND(ISNUMBER(N1048),ISNUMBER(P1048))),"",(P1048-N1048)*1440)</f>
        <v/>
      </c>
      <c r="X1048" s="28" t="n"/>
      <c r="Y1048" s="28" t="n"/>
      <c r="Z1048" s="28" t="n"/>
      <c r="AA1048" s="31" t="n"/>
      <c r="AB1048" s="31" t="n"/>
    </row>
    <row r="1049">
      <c r="A1049" s="25" t="inlineStr">
        <is>
          <t>S21</t>
        </is>
      </c>
      <c r="B1049" s="25" t="inlineStr">
        <is>
          <t>담양 신규점2</t>
        </is>
      </c>
      <c r="C1049" s="25" t="inlineStr">
        <is>
          <t>S21-H동</t>
        </is>
      </c>
      <c r="D1049" s="25" t="inlineStr">
        <is>
          <t>측정</t>
        </is>
      </c>
      <c r="E1049" s="25" t="inlineStr">
        <is>
          <t>동</t>
        </is>
      </c>
      <c r="F1049" s="30" t="n">
        <v>3</v>
      </c>
      <c r="G1049" s="29" t="n"/>
      <c r="H1049" s="42" t="n"/>
      <c r="I1049" s="40" t="n"/>
      <c r="J1049" s="40" t="n"/>
      <c r="K1049" s="40" t="n"/>
      <c r="L1049" s="30">
        <f>IF(COUNT(I1049:K1049)=0,"",MEDIAN(I1049:K1049))</f>
        <v/>
      </c>
      <c r="M1049" s="25">
        <f>IF(COUNTIFS($C:$C,$C1049,$D:$D,"P0(전)",$L:$L,"&gt;0")&lt;&gt;1,"P0(전) 유효 1개 아님",IF(COUNTIFS($C:$C,$C1049,$D:$D,"P0(후)",$L:$L,"&gt;0")&lt;&gt;1,"P0(후) 유효 1개 아님",IF(NOT(AND(ISNUMBER(N1049),ISNUMBER(P1049),ISNUMBER(H1049))),"시각 결측",IF(P1049&lt;=N1049,"P0 시각 역전",IF(OR(H1049&lt;N1049,H1049&gt;P1049),"측정시각 구간 밖","OK")))))</f>
        <v/>
      </c>
      <c r="N1049" s="45">
        <f>IF(COUNTIFS($C:$C,$C1049,$D:$D,"P0(전)",$L:$L,"&gt;0")&lt;&gt;1,"",SUMIFS($H:$H,$C:$C,$C1049,$D:$D,"P0(전)"))</f>
        <v/>
      </c>
      <c r="O1049" s="30">
        <f>IF(COUNTIFS($C:$C,$C1049,$D:$D,"P0(전)",$L:$L,"&gt;0")&lt;&gt;1,"",SUMIFS($L:$L,$C:$C,$C1049,$D:$D,"P0(전)"))</f>
        <v/>
      </c>
      <c r="P1049" s="45">
        <f>IF(COUNTIFS($C:$C,$C1049,$D:$D,"P0(후)",$L:$L,"&gt;0")&lt;&gt;1,"",SUMIFS($H:$H,$C:$C,$C1049,$D:$D,"P0(후)"))</f>
        <v/>
      </c>
      <c r="Q1049" s="30">
        <f>IF(COUNTIFS($C:$C,$C1049,$D:$D,"P0(후)",$L:$L,"&gt;0")&lt;&gt;1,"",SUMIFS($L:$L,$C:$C,$C1049,$D:$D,"P0(후)"))</f>
        <v/>
      </c>
      <c r="R1049" s="30">
        <f>IF(M1049&lt;&gt;"OK","",O1049+(Q1049-O1049)*(H1049-N1049)/(P1049-N1049))</f>
        <v/>
      </c>
      <c r="S1049" s="30">
        <f>IF(OR(M1049&lt;&gt;"OK",NOT(ISNUMBER(L1049))),"",L1049-R1049)</f>
        <v/>
      </c>
      <c r="T1049" s="46">
        <f>IF(OR(NOT(ISNUMBER(S1049)),IF(ISNUMBER(G1049),G1049,F1049)=0),"",S1049/IF(ISNUMBER(G1049),G1049,F1049))</f>
        <v/>
      </c>
      <c r="U1049" s="46">
        <f>IF(ISNUMBER(T1049),ABS(T1049),"")</f>
        <v/>
      </c>
      <c r="V1049" s="46">
        <f>IF(OR($D1048&lt;&gt;"측정",$C1048&lt;&gt;$C1049,NOT(ISNUMBER(L1049)),NOT(ISNUMBER(L1048)),(IF(ISNUMBER(G1049),G1049,F1049)-IF(ISNUMBER(G1048),G1048,F1048))=0),"",(L1049-L1048)/(IF(ISNUMBER(G1049),G1049,F1049)-IF(ISNUMBER(G1048),G1048,F1048)))</f>
        <v/>
      </c>
      <c r="W1049" s="30">
        <f>IF(NOT(AND(ISNUMBER(N1049),ISNUMBER(P1049))),"",(P1049-N1049)*1440)</f>
        <v/>
      </c>
      <c r="X1049" s="28" t="n"/>
      <c r="Y1049" s="28" t="n"/>
      <c r="Z1049" s="28" t="n"/>
      <c r="AA1049" s="31" t="n"/>
      <c r="AB1049" s="31" t="n"/>
    </row>
    <row r="1050">
      <c r="A1050" s="25" t="inlineStr">
        <is>
          <t>S21</t>
        </is>
      </c>
      <c r="B1050" s="25" t="inlineStr">
        <is>
          <t>담양 신규점2</t>
        </is>
      </c>
      <c r="C1050" s="25" t="inlineStr">
        <is>
          <t>S21-H동</t>
        </is>
      </c>
      <c r="D1050" s="25" t="inlineStr">
        <is>
          <t>측정</t>
        </is>
      </c>
      <c r="E1050" s="25" t="inlineStr">
        <is>
          <t>동</t>
        </is>
      </c>
      <c r="F1050" s="30" t="n">
        <v>4</v>
      </c>
      <c r="G1050" s="29" t="n"/>
      <c r="H1050" s="42" t="n"/>
      <c r="I1050" s="40" t="n"/>
      <c r="J1050" s="40" t="n"/>
      <c r="K1050" s="40" t="n"/>
      <c r="L1050" s="30">
        <f>IF(COUNT(I1050:K1050)=0,"",MEDIAN(I1050:K1050))</f>
        <v/>
      </c>
      <c r="M1050" s="25">
        <f>IF(COUNTIFS($C:$C,$C1050,$D:$D,"P0(전)",$L:$L,"&gt;0")&lt;&gt;1,"P0(전) 유효 1개 아님",IF(COUNTIFS($C:$C,$C1050,$D:$D,"P0(후)",$L:$L,"&gt;0")&lt;&gt;1,"P0(후) 유효 1개 아님",IF(NOT(AND(ISNUMBER(N1050),ISNUMBER(P1050),ISNUMBER(H1050))),"시각 결측",IF(P1050&lt;=N1050,"P0 시각 역전",IF(OR(H1050&lt;N1050,H1050&gt;P1050),"측정시각 구간 밖","OK")))))</f>
        <v/>
      </c>
      <c r="N1050" s="45">
        <f>IF(COUNTIFS($C:$C,$C1050,$D:$D,"P0(전)",$L:$L,"&gt;0")&lt;&gt;1,"",SUMIFS($H:$H,$C:$C,$C1050,$D:$D,"P0(전)"))</f>
        <v/>
      </c>
      <c r="O1050" s="30">
        <f>IF(COUNTIFS($C:$C,$C1050,$D:$D,"P0(전)",$L:$L,"&gt;0")&lt;&gt;1,"",SUMIFS($L:$L,$C:$C,$C1050,$D:$D,"P0(전)"))</f>
        <v/>
      </c>
      <c r="P1050" s="45">
        <f>IF(COUNTIFS($C:$C,$C1050,$D:$D,"P0(후)",$L:$L,"&gt;0")&lt;&gt;1,"",SUMIFS($H:$H,$C:$C,$C1050,$D:$D,"P0(후)"))</f>
        <v/>
      </c>
      <c r="Q1050" s="30">
        <f>IF(COUNTIFS($C:$C,$C1050,$D:$D,"P0(후)",$L:$L,"&gt;0")&lt;&gt;1,"",SUMIFS($L:$L,$C:$C,$C1050,$D:$D,"P0(후)"))</f>
        <v/>
      </c>
      <c r="R1050" s="30">
        <f>IF(M1050&lt;&gt;"OK","",O1050+(Q1050-O1050)*(H1050-N1050)/(P1050-N1050))</f>
        <v/>
      </c>
      <c r="S1050" s="30">
        <f>IF(OR(M1050&lt;&gt;"OK",NOT(ISNUMBER(L1050))),"",L1050-R1050)</f>
        <v/>
      </c>
      <c r="T1050" s="46">
        <f>IF(OR(NOT(ISNUMBER(S1050)),IF(ISNUMBER(G1050),G1050,F1050)=0),"",S1050/IF(ISNUMBER(G1050),G1050,F1050))</f>
        <v/>
      </c>
      <c r="U1050" s="46">
        <f>IF(ISNUMBER(T1050),ABS(T1050),"")</f>
        <v/>
      </c>
      <c r="V1050" s="46">
        <f>IF(OR($D1049&lt;&gt;"측정",$C1049&lt;&gt;$C1050,NOT(ISNUMBER(L1050)),NOT(ISNUMBER(L1049)),(IF(ISNUMBER(G1050),G1050,F1050)-IF(ISNUMBER(G1049),G1049,F1049))=0),"",(L1050-L1049)/(IF(ISNUMBER(G1050),G1050,F1050)-IF(ISNUMBER(G1049),G1049,F1049)))</f>
        <v/>
      </c>
      <c r="W1050" s="30">
        <f>IF(NOT(AND(ISNUMBER(N1050),ISNUMBER(P1050))),"",(P1050-N1050)*1440)</f>
        <v/>
      </c>
      <c r="X1050" s="28" t="n"/>
      <c r="Y1050" s="28" t="n"/>
      <c r="Z1050" s="28" t="n"/>
      <c r="AA1050" s="31" t="n"/>
      <c r="AB1050" s="31" t="n"/>
    </row>
    <row r="1051">
      <c r="A1051" s="25" t="inlineStr">
        <is>
          <t>S21</t>
        </is>
      </c>
      <c r="B1051" s="25" t="inlineStr">
        <is>
          <t>담양 신규점2</t>
        </is>
      </c>
      <c r="C1051" s="25" t="inlineStr">
        <is>
          <t>S21-H동</t>
        </is>
      </c>
      <c r="D1051" s="25" t="inlineStr">
        <is>
          <t>측정</t>
        </is>
      </c>
      <c r="E1051" s="25" t="inlineStr">
        <is>
          <t>동</t>
        </is>
      </c>
      <c r="F1051" s="30" t="n">
        <v>5</v>
      </c>
      <c r="G1051" s="29" t="n"/>
      <c r="H1051" s="42" t="n"/>
      <c r="I1051" s="40" t="n"/>
      <c r="J1051" s="40" t="n"/>
      <c r="K1051" s="40" t="n"/>
      <c r="L1051" s="30">
        <f>IF(COUNT(I1051:K1051)=0,"",MEDIAN(I1051:K1051))</f>
        <v/>
      </c>
      <c r="M1051" s="25">
        <f>IF(COUNTIFS($C:$C,$C1051,$D:$D,"P0(전)",$L:$L,"&gt;0")&lt;&gt;1,"P0(전) 유효 1개 아님",IF(COUNTIFS($C:$C,$C1051,$D:$D,"P0(후)",$L:$L,"&gt;0")&lt;&gt;1,"P0(후) 유효 1개 아님",IF(NOT(AND(ISNUMBER(N1051),ISNUMBER(P1051),ISNUMBER(H1051))),"시각 결측",IF(P1051&lt;=N1051,"P0 시각 역전",IF(OR(H1051&lt;N1051,H1051&gt;P1051),"측정시각 구간 밖","OK")))))</f>
        <v/>
      </c>
      <c r="N1051" s="45">
        <f>IF(COUNTIFS($C:$C,$C1051,$D:$D,"P0(전)",$L:$L,"&gt;0")&lt;&gt;1,"",SUMIFS($H:$H,$C:$C,$C1051,$D:$D,"P0(전)"))</f>
        <v/>
      </c>
      <c r="O1051" s="30">
        <f>IF(COUNTIFS($C:$C,$C1051,$D:$D,"P0(전)",$L:$L,"&gt;0")&lt;&gt;1,"",SUMIFS($L:$L,$C:$C,$C1051,$D:$D,"P0(전)"))</f>
        <v/>
      </c>
      <c r="P1051" s="45">
        <f>IF(COUNTIFS($C:$C,$C1051,$D:$D,"P0(후)",$L:$L,"&gt;0")&lt;&gt;1,"",SUMIFS($H:$H,$C:$C,$C1051,$D:$D,"P0(후)"))</f>
        <v/>
      </c>
      <c r="Q1051" s="30">
        <f>IF(COUNTIFS($C:$C,$C1051,$D:$D,"P0(후)",$L:$L,"&gt;0")&lt;&gt;1,"",SUMIFS($L:$L,$C:$C,$C1051,$D:$D,"P0(후)"))</f>
        <v/>
      </c>
      <c r="R1051" s="30">
        <f>IF(M1051&lt;&gt;"OK","",O1051+(Q1051-O1051)*(H1051-N1051)/(P1051-N1051))</f>
        <v/>
      </c>
      <c r="S1051" s="30">
        <f>IF(OR(M1051&lt;&gt;"OK",NOT(ISNUMBER(L1051))),"",L1051-R1051)</f>
        <v/>
      </c>
      <c r="T1051" s="46">
        <f>IF(OR(NOT(ISNUMBER(S1051)),IF(ISNUMBER(G1051),G1051,F1051)=0),"",S1051/IF(ISNUMBER(G1051),G1051,F1051))</f>
        <v/>
      </c>
      <c r="U1051" s="46">
        <f>IF(ISNUMBER(T1051),ABS(T1051),"")</f>
        <v/>
      </c>
      <c r="V1051" s="46">
        <f>IF(OR($D1050&lt;&gt;"측정",$C1050&lt;&gt;$C1051,NOT(ISNUMBER(L1051)),NOT(ISNUMBER(L1050)),(IF(ISNUMBER(G1051),G1051,F1051)-IF(ISNUMBER(G1050),G1050,F1050))=0),"",(L1051-L1050)/(IF(ISNUMBER(G1051),G1051,F1051)-IF(ISNUMBER(G1050),G1050,F1050)))</f>
        <v/>
      </c>
      <c r="W1051" s="30">
        <f>IF(NOT(AND(ISNUMBER(N1051),ISNUMBER(P1051))),"",(P1051-N1051)*1440)</f>
        <v/>
      </c>
      <c r="X1051" s="28" t="n"/>
      <c r="Y1051" s="28" t="n"/>
      <c r="Z1051" s="28" t="n"/>
      <c r="AA1051" s="31" t="n"/>
      <c r="AB1051" s="31" t="n"/>
    </row>
    <row r="1052">
      <c r="A1052" s="25" t="inlineStr">
        <is>
          <t>S21</t>
        </is>
      </c>
      <c r="B1052" s="25" t="inlineStr">
        <is>
          <t>담양 신규점2</t>
        </is>
      </c>
      <c r="C1052" s="25" t="inlineStr">
        <is>
          <t>S21-H동</t>
        </is>
      </c>
      <c r="D1052" s="25" t="inlineStr">
        <is>
          <t>측정</t>
        </is>
      </c>
      <c r="E1052" s="25" t="inlineStr">
        <is>
          <t>동</t>
        </is>
      </c>
      <c r="F1052" s="30" t="n">
        <v>6</v>
      </c>
      <c r="G1052" s="29" t="n"/>
      <c r="H1052" s="42" t="n"/>
      <c r="I1052" s="40" t="n"/>
      <c r="J1052" s="40" t="n"/>
      <c r="K1052" s="40" t="n"/>
      <c r="L1052" s="30">
        <f>IF(COUNT(I1052:K1052)=0,"",MEDIAN(I1052:K1052))</f>
        <v/>
      </c>
      <c r="M1052" s="25">
        <f>IF(COUNTIFS($C:$C,$C1052,$D:$D,"P0(전)",$L:$L,"&gt;0")&lt;&gt;1,"P0(전) 유효 1개 아님",IF(COUNTIFS($C:$C,$C1052,$D:$D,"P0(후)",$L:$L,"&gt;0")&lt;&gt;1,"P0(후) 유효 1개 아님",IF(NOT(AND(ISNUMBER(N1052),ISNUMBER(P1052),ISNUMBER(H1052))),"시각 결측",IF(P1052&lt;=N1052,"P0 시각 역전",IF(OR(H1052&lt;N1052,H1052&gt;P1052),"측정시각 구간 밖","OK")))))</f>
        <v/>
      </c>
      <c r="N1052" s="45">
        <f>IF(COUNTIFS($C:$C,$C1052,$D:$D,"P0(전)",$L:$L,"&gt;0")&lt;&gt;1,"",SUMIFS($H:$H,$C:$C,$C1052,$D:$D,"P0(전)"))</f>
        <v/>
      </c>
      <c r="O1052" s="30">
        <f>IF(COUNTIFS($C:$C,$C1052,$D:$D,"P0(전)",$L:$L,"&gt;0")&lt;&gt;1,"",SUMIFS($L:$L,$C:$C,$C1052,$D:$D,"P0(전)"))</f>
        <v/>
      </c>
      <c r="P1052" s="45">
        <f>IF(COUNTIFS($C:$C,$C1052,$D:$D,"P0(후)",$L:$L,"&gt;0")&lt;&gt;1,"",SUMIFS($H:$H,$C:$C,$C1052,$D:$D,"P0(후)"))</f>
        <v/>
      </c>
      <c r="Q1052" s="30">
        <f>IF(COUNTIFS($C:$C,$C1052,$D:$D,"P0(후)",$L:$L,"&gt;0")&lt;&gt;1,"",SUMIFS($L:$L,$C:$C,$C1052,$D:$D,"P0(후)"))</f>
        <v/>
      </c>
      <c r="R1052" s="30">
        <f>IF(M1052&lt;&gt;"OK","",O1052+(Q1052-O1052)*(H1052-N1052)/(P1052-N1052))</f>
        <v/>
      </c>
      <c r="S1052" s="30">
        <f>IF(OR(M1052&lt;&gt;"OK",NOT(ISNUMBER(L1052))),"",L1052-R1052)</f>
        <v/>
      </c>
      <c r="T1052" s="46">
        <f>IF(OR(NOT(ISNUMBER(S1052)),IF(ISNUMBER(G1052),G1052,F1052)=0),"",S1052/IF(ISNUMBER(G1052),G1052,F1052))</f>
        <v/>
      </c>
      <c r="U1052" s="46">
        <f>IF(ISNUMBER(T1052),ABS(T1052),"")</f>
        <v/>
      </c>
      <c r="V1052" s="46">
        <f>IF(OR($D1051&lt;&gt;"측정",$C1051&lt;&gt;$C1052,NOT(ISNUMBER(L1052)),NOT(ISNUMBER(L1051)),(IF(ISNUMBER(G1052),G1052,F1052)-IF(ISNUMBER(G1051),G1051,F1051))=0),"",(L1052-L1051)/(IF(ISNUMBER(G1052),G1052,F1052)-IF(ISNUMBER(G1051),G1051,F1051)))</f>
        <v/>
      </c>
      <c r="W1052" s="30">
        <f>IF(NOT(AND(ISNUMBER(N1052),ISNUMBER(P1052))),"",(P1052-N1052)*1440)</f>
        <v/>
      </c>
      <c r="X1052" s="28" t="n"/>
      <c r="Y1052" s="28" t="n"/>
      <c r="Z1052" s="28" t="n"/>
      <c r="AA1052" s="31" t="n"/>
      <c r="AB1052" s="31" t="n"/>
    </row>
    <row r="1053">
      <c r="A1053" s="25" t="inlineStr">
        <is>
          <t>S21</t>
        </is>
      </c>
      <c r="B1053" s="25" t="inlineStr">
        <is>
          <t>담양 신규점2</t>
        </is>
      </c>
      <c r="C1053" s="25" t="inlineStr">
        <is>
          <t>S21-H동</t>
        </is>
      </c>
      <c r="D1053" s="25" t="inlineStr">
        <is>
          <t>측정</t>
        </is>
      </c>
      <c r="E1053" s="25" t="inlineStr">
        <is>
          <t>동</t>
        </is>
      </c>
      <c r="F1053" s="30" t="n">
        <v>7</v>
      </c>
      <c r="G1053" s="29" t="n"/>
      <c r="H1053" s="42" t="n"/>
      <c r="I1053" s="40" t="n"/>
      <c r="J1053" s="40" t="n"/>
      <c r="K1053" s="40" t="n"/>
      <c r="L1053" s="30">
        <f>IF(COUNT(I1053:K1053)=0,"",MEDIAN(I1053:K1053))</f>
        <v/>
      </c>
      <c r="M1053" s="25">
        <f>IF(COUNTIFS($C:$C,$C1053,$D:$D,"P0(전)",$L:$L,"&gt;0")&lt;&gt;1,"P0(전) 유효 1개 아님",IF(COUNTIFS($C:$C,$C1053,$D:$D,"P0(후)",$L:$L,"&gt;0")&lt;&gt;1,"P0(후) 유효 1개 아님",IF(NOT(AND(ISNUMBER(N1053),ISNUMBER(P1053),ISNUMBER(H1053))),"시각 결측",IF(P1053&lt;=N1053,"P0 시각 역전",IF(OR(H1053&lt;N1053,H1053&gt;P1053),"측정시각 구간 밖","OK")))))</f>
        <v/>
      </c>
      <c r="N1053" s="45">
        <f>IF(COUNTIFS($C:$C,$C1053,$D:$D,"P0(전)",$L:$L,"&gt;0")&lt;&gt;1,"",SUMIFS($H:$H,$C:$C,$C1053,$D:$D,"P0(전)"))</f>
        <v/>
      </c>
      <c r="O1053" s="30">
        <f>IF(COUNTIFS($C:$C,$C1053,$D:$D,"P0(전)",$L:$L,"&gt;0")&lt;&gt;1,"",SUMIFS($L:$L,$C:$C,$C1053,$D:$D,"P0(전)"))</f>
        <v/>
      </c>
      <c r="P1053" s="45">
        <f>IF(COUNTIFS($C:$C,$C1053,$D:$D,"P0(후)",$L:$L,"&gt;0")&lt;&gt;1,"",SUMIFS($H:$H,$C:$C,$C1053,$D:$D,"P0(후)"))</f>
        <v/>
      </c>
      <c r="Q1053" s="30">
        <f>IF(COUNTIFS($C:$C,$C1053,$D:$D,"P0(후)",$L:$L,"&gt;0")&lt;&gt;1,"",SUMIFS($L:$L,$C:$C,$C1053,$D:$D,"P0(후)"))</f>
        <v/>
      </c>
      <c r="R1053" s="30">
        <f>IF(M1053&lt;&gt;"OK","",O1053+(Q1053-O1053)*(H1053-N1053)/(P1053-N1053))</f>
        <v/>
      </c>
      <c r="S1053" s="30">
        <f>IF(OR(M1053&lt;&gt;"OK",NOT(ISNUMBER(L1053))),"",L1053-R1053)</f>
        <v/>
      </c>
      <c r="T1053" s="46">
        <f>IF(OR(NOT(ISNUMBER(S1053)),IF(ISNUMBER(G1053),G1053,F1053)=0),"",S1053/IF(ISNUMBER(G1053),G1053,F1053))</f>
        <v/>
      </c>
      <c r="U1053" s="46">
        <f>IF(ISNUMBER(T1053),ABS(T1053),"")</f>
        <v/>
      </c>
      <c r="V1053" s="46">
        <f>IF(OR($D1052&lt;&gt;"측정",$C1052&lt;&gt;$C1053,NOT(ISNUMBER(L1053)),NOT(ISNUMBER(L1052)),(IF(ISNUMBER(G1053),G1053,F1053)-IF(ISNUMBER(G1052),G1052,F1052))=0),"",(L1053-L1052)/(IF(ISNUMBER(G1053),G1053,F1053)-IF(ISNUMBER(G1052),G1052,F1052)))</f>
        <v/>
      </c>
      <c r="W1053" s="30">
        <f>IF(NOT(AND(ISNUMBER(N1053),ISNUMBER(P1053))),"",(P1053-N1053)*1440)</f>
        <v/>
      </c>
      <c r="X1053" s="28" t="n"/>
      <c r="Y1053" s="28" t="n"/>
      <c r="Z1053" s="28" t="n"/>
      <c r="AA1053" s="31" t="n"/>
      <c r="AB1053" s="31" t="n"/>
    </row>
    <row r="1054">
      <c r="A1054" s="25" t="inlineStr">
        <is>
          <t>S21</t>
        </is>
      </c>
      <c r="B1054" s="25" t="inlineStr">
        <is>
          <t>담양 신규점2</t>
        </is>
      </c>
      <c r="C1054" s="25" t="inlineStr">
        <is>
          <t>S21-H동</t>
        </is>
      </c>
      <c r="D1054" s="25" t="inlineStr">
        <is>
          <t>측정</t>
        </is>
      </c>
      <c r="E1054" s="25" t="inlineStr">
        <is>
          <t>동</t>
        </is>
      </c>
      <c r="F1054" s="30" t="n">
        <v>8</v>
      </c>
      <c r="G1054" s="29" t="n"/>
      <c r="H1054" s="42" t="n"/>
      <c r="I1054" s="40" t="n"/>
      <c r="J1054" s="40" t="n"/>
      <c r="K1054" s="40" t="n"/>
      <c r="L1054" s="30">
        <f>IF(COUNT(I1054:K1054)=0,"",MEDIAN(I1054:K1054))</f>
        <v/>
      </c>
      <c r="M1054" s="25">
        <f>IF(COUNTIFS($C:$C,$C1054,$D:$D,"P0(전)",$L:$L,"&gt;0")&lt;&gt;1,"P0(전) 유효 1개 아님",IF(COUNTIFS($C:$C,$C1054,$D:$D,"P0(후)",$L:$L,"&gt;0")&lt;&gt;1,"P0(후) 유효 1개 아님",IF(NOT(AND(ISNUMBER(N1054),ISNUMBER(P1054),ISNUMBER(H1054))),"시각 결측",IF(P1054&lt;=N1054,"P0 시각 역전",IF(OR(H1054&lt;N1054,H1054&gt;P1054),"측정시각 구간 밖","OK")))))</f>
        <v/>
      </c>
      <c r="N1054" s="45">
        <f>IF(COUNTIFS($C:$C,$C1054,$D:$D,"P0(전)",$L:$L,"&gt;0")&lt;&gt;1,"",SUMIFS($H:$H,$C:$C,$C1054,$D:$D,"P0(전)"))</f>
        <v/>
      </c>
      <c r="O1054" s="30">
        <f>IF(COUNTIFS($C:$C,$C1054,$D:$D,"P0(전)",$L:$L,"&gt;0")&lt;&gt;1,"",SUMIFS($L:$L,$C:$C,$C1054,$D:$D,"P0(전)"))</f>
        <v/>
      </c>
      <c r="P1054" s="45">
        <f>IF(COUNTIFS($C:$C,$C1054,$D:$D,"P0(후)",$L:$L,"&gt;0")&lt;&gt;1,"",SUMIFS($H:$H,$C:$C,$C1054,$D:$D,"P0(후)"))</f>
        <v/>
      </c>
      <c r="Q1054" s="30">
        <f>IF(COUNTIFS($C:$C,$C1054,$D:$D,"P0(후)",$L:$L,"&gt;0")&lt;&gt;1,"",SUMIFS($L:$L,$C:$C,$C1054,$D:$D,"P0(후)"))</f>
        <v/>
      </c>
      <c r="R1054" s="30">
        <f>IF(M1054&lt;&gt;"OK","",O1054+(Q1054-O1054)*(H1054-N1054)/(P1054-N1054))</f>
        <v/>
      </c>
      <c r="S1054" s="30">
        <f>IF(OR(M1054&lt;&gt;"OK",NOT(ISNUMBER(L1054))),"",L1054-R1054)</f>
        <v/>
      </c>
      <c r="T1054" s="46">
        <f>IF(OR(NOT(ISNUMBER(S1054)),IF(ISNUMBER(G1054),G1054,F1054)=0),"",S1054/IF(ISNUMBER(G1054),G1054,F1054))</f>
        <v/>
      </c>
      <c r="U1054" s="46">
        <f>IF(ISNUMBER(T1054),ABS(T1054),"")</f>
        <v/>
      </c>
      <c r="V1054" s="46">
        <f>IF(OR($D1053&lt;&gt;"측정",$C1053&lt;&gt;$C1054,NOT(ISNUMBER(L1054)),NOT(ISNUMBER(L1053)),(IF(ISNUMBER(G1054),G1054,F1054)-IF(ISNUMBER(G1053),G1053,F1053))=0),"",(L1054-L1053)/(IF(ISNUMBER(G1054),G1054,F1054)-IF(ISNUMBER(G1053),G1053,F1053)))</f>
        <v/>
      </c>
      <c r="W1054" s="30">
        <f>IF(NOT(AND(ISNUMBER(N1054),ISNUMBER(P1054))),"",(P1054-N1054)*1440)</f>
        <v/>
      </c>
      <c r="X1054" s="28" t="n"/>
      <c r="Y1054" s="28" t="n"/>
      <c r="Z1054" s="28" t="n"/>
      <c r="AA1054" s="31" t="n"/>
      <c r="AB1054" s="31" t="n"/>
    </row>
    <row r="1055">
      <c r="A1055" s="25" t="inlineStr">
        <is>
          <t>S21</t>
        </is>
      </c>
      <c r="B1055" s="25" t="inlineStr">
        <is>
          <t>담양 신규점2</t>
        </is>
      </c>
      <c r="C1055" s="25" t="inlineStr">
        <is>
          <t>S21-H동</t>
        </is>
      </c>
      <c r="D1055" s="25" t="inlineStr">
        <is>
          <t>측정</t>
        </is>
      </c>
      <c r="E1055" s="25" t="inlineStr">
        <is>
          <t>동</t>
        </is>
      </c>
      <c r="F1055" s="30" t="n">
        <v>9</v>
      </c>
      <c r="G1055" s="29" t="n"/>
      <c r="H1055" s="42" t="n"/>
      <c r="I1055" s="40" t="n"/>
      <c r="J1055" s="40" t="n"/>
      <c r="K1055" s="40" t="n"/>
      <c r="L1055" s="30">
        <f>IF(COUNT(I1055:K1055)=0,"",MEDIAN(I1055:K1055))</f>
        <v/>
      </c>
      <c r="M1055" s="25">
        <f>IF(COUNTIFS($C:$C,$C1055,$D:$D,"P0(전)",$L:$L,"&gt;0")&lt;&gt;1,"P0(전) 유효 1개 아님",IF(COUNTIFS($C:$C,$C1055,$D:$D,"P0(후)",$L:$L,"&gt;0")&lt;&gt;1,"P0(후) 유효 1개 아님",IF(NOT(AND(ISNUMBER(N1055),ISNUMBER(P1055),ISNUMBER(H1055))),"시각 결측",IF(P1055&lt;=N1055,"P0 시각 역전",IF(OR(H1055&lt;N1055,H1055&gt;P1055),"측정시각 구간 밖","OK")))))</f>
        <v/>
      </c>
      <c r="N1055" s="45">
        <f>IF(COUNTIFS($C:$C,$C1055,$D:$D,"P0(전)",$L:$L,"&gt;0")&lt;&gt;1,"",SUMIFS($H:$H,$C:$C,$C1055,$D:$D,"P0(전)"))</f>
        <v/>
      </c>
      <c r="O1055" s="30">
        <f>IF(COUNTIFS($C:$C,$C1055,$D:$D,"P0(전)",$L:$L,"&gt;0")&lt;&gt;1,"",SUMIFS($L:$L,$C:$C,$C1055,$D:$D,"P0(전)"))</f>
        <v/>
      </c>
      <c r="P1055" s="45">
        <f>IF(COUNTIFS($C:$C,$C1055,$D:$D,"P0(후)",$L:$L,"&gt;0")&lt;&gt;1,"",SUMIFS($H:$H,$C:$C,$C1055,$D:$D,"P0(후)"))</f>
        <v/>
      </c>
      <c r="Q1055" s="30">
        <f>IF(COUNTIFS($C:$C,$C1055,$D:$D,"P0(후)",$L:$L,"&gt;0")&lt;&gt;1,"",SUMIFS($L:$L,$C:$C,$C1055,$D:$D,"P0(후)"))</f>
        <v/>
      </c>
      <c r="R1055" s="30">
        <f>IF(M1055&lt;&gt;"OK","",O1055+(Q1055-O1055)*(H1055-N1055)/(P1055-N1055))</f>
        <v/>
      </c>
      <c r="S1055" s="30">
        <f>IF(OR(M1055&lt;&gt;"OK",NOT(ISNUMBER(L1055))),"",L1055-R1055)</f>
        <v/>
      </c>
      <c r="T1055" s="46">
        <f>IF(OR(NOT(ISNUMBER(S1055)),IF(ISNUMBER(G1055),G1055,F1055)=0),"",S1055/IF(ISNUMBER(G1055),G1055,F1055))</f>
        <v/>
      </c>
      <c r="U1055" s="46">
        <f>IF(ISNUMBER(T1055),ABS(T1055),"")</f>
        <v/>
      </c>
      <c r="V1055" s="46">
        <f>IF(OR($D1054&lt;&gt;"측정",$C1054&lt;&gt;$C1055,NOT(ISNUMBER(L1055)),NOT(ISNUMBER(L1054)),(IF(ISNUMBER(G1055),G1055,F1055)-IF(ISNUMBER(G1054),G1054,F1054))=0),"",(L1055-L1054)/(IF(ISNUMBER(G1055),G1055,F1055)-IF(ISNUMBER(G1054),G1054,F1054)))</f>
        <v/>
      </c>
      <c r="W1055" s="30">
        <f>IF(NOT(AND(ISNUMBER(N1055),ISNUMBER(P1055))),"",(P1055-N1055)*1440)</f>
        <v/>
      </c>
      <c r="X1055" s="28" t="n"/>
      <c r="Y1055" s="28" t="n"/>
      <c r="Z1055" s="28" t="n"/>
      <c r="AA1055" s="31" t="n"/>
      <c r="AB1055" s="31" t="n"/>
    </row>
    <row r="1056">
      <c r="A1056" s="25" t="inlineStr">
        <is>
          <t>S21</t>
        </is>
      </c>
      <c r="B1056" s="25" t="inlineStr">
        <is>
          <t>담양 신규점2</t>
        </is>
      </c>
      <c r="C1056" s="25" t="inlineStr">
        <is>
          <t>S21-H동</t>
        </is>
      </c>
      <c r="D1056" s="25" t="inlineStr">
        <is>
          <t>측정</t>
        </is>
      </c>
      <c r="E1056" s="25" t="inlineStr">
        <is>
          <t>동</t>
        </is>
      </c>
      <c r="F1056" s="30" t="n">
        <v>10</v>
      </c>
      <c r="G1056" s="29" t="n"/>
      <c r="H1056" s="42" t="n"/>
      <c r="I1056" s="40" t="n"/>
      <c r="J1056" s="40" t="n"/>
      <c r="K1056" s="40" t="n"/>
      <c r="L1056" s="30">
        <f>IF(COUNT(I1056:K1056)=0,"",MEDIAN(I1056:K1056))</f>
        <v/>
      </c>
      <c r="M1056" s="25">
        <f>IF(COUNTIFS($C:$C,$C1056,$D:$D,"P0(전)",$L:$L,"&gt;0")&lt;&gt;1,"P0(전) 유효 1개 아님",IF(COUNTIFS($C:$C,$C1056,$D:$D,"P0(후)",$L:$L,"&gt;0")&lt;&gt;1,"P0(후) 유효 1개 아님",IF(NOT(AND(ISNUMBER(N1056),ISNUMBER(P1056),ISNUMBER(H1056))),"시각 결측",IF(P1056&lt;=N1056,"P0 시각 역전",IF(OR(H1056&lt;N1056,H1056&gt;P1056),"측정시각 구간 밖","OK")))))</f>
        <v/>
      </c>
      <c r="N1056" s="45">
        <f>IF(COUNTIFS($C:$C,$C1056,$D:$D,"P0(전)",$L:$L,"&gt;0")&lt;&gt;1,"",SUMIFS($H:$H,$C:$C,$C1056,$D:$D,"P0(전)"))</f>
        <v/>
      </c>
      <c r="O1056" s="30">
        <f>IF(COUNTIFS($C:$C,$C1056,$D:$D,"P0(전)",$L:$L,"&gt;0")&lt;&gt;1,"",SUMIFS($L:$L,$C:$C,$C1056,$D:$D,"P0(전)"))</f>
        <v/>
      </c>
      <c r="P1056" s="45">
        <f>IF(COUNTIFS($C:$C,$C1056,$D:$D,"P0(후)",$L:$L,"&gt;0")&lt;&gt;1,"",SUMIFS($H:$H,$C:$C,$C1056,$D:$D,"P0(후)"))</f>
        <v/>
      </c>
      <c r="Q1056" s="30">
        <f>IF(COUNTIFS($C:$C,$C1056,$D:$D,"P0(후)",$L:$L,"&gt;0")&lt;&gt;1,"",SUMIFS($L:$L,$C:$C,$C1056,$D:$D,"P0(후)"))</f>
        <v/>
      </c>
      <c r="R1056" s="30">
        <f>IF(M1056&lt;&gt;"OK","",O1056+(Q1056-O1056)*(H1056-N1056)/(P1056-N1056))</f>
        <v/>
      </c>
      <c r="S1056" s="30">
        <f>IF(OR(M1056&lt;&gt;"OK",NOT(ISNUMBER(L1056))),"",L1056-R1056)</f>
        <v/>
      </c>
      <c r="T1056" s="46">
        <f>IF(OR(NOT(ISNUMBER(S1056)),IF(ISNUMBER(G1056),G1056,F1056)=0),"",S1056/IF(ISNUMBER(G1056),G1056,F1056))</f>
        <v/>
      </c>
      <c r="U1056" s="46">
        <f>IF(ISNUMBER(T1056),ABS(T1056),"")</f>
        <v/>
      </c>
      <c r="V1056" s="46">
        <f>IF(OR($D1055&lt;&gt;"측정",$C1055&lt;&gt;$C1056,NOT(ISNUMBER(L1056)),NOT(ISNUMBER(L1055)),(IF(ISNUMBER(G1056),G1056,F1056)-IF(ISNUMBER(G1055),G1055,F1055))=0),"",(L1056-L1055)/(IF(ISNUMBER(G1056),G1056,F1056)-IF(ISNUMBER(G1055),G1055,F1055)))</f>
        <v/>
      </c>
      <c r="W1056" s="30">
        <f>IF(NOT(AND(ISNUMBER(N1056),ISNUMBER(P1056))),"",(P1056-N1056)*1440)</f>
        <v/>
      </c>
      <c r="X1056" s="28" t="n"/>
      <c r="Y1056" s="28" t="n"/>
      <c r="Z1056" s="28" t="n"/>
      <c r="AA1056" s="31" t="n"/>
      <c r="AB1056" s="31" t="n"/>
    </row>
    <row r="1057">
      <c r="A1057" s="43" t="inlineStr">
        <is>
          <t>S21</t>
        </is>
      </c>
      <c r="B1057" s="43" t="inlineStr">
        <is>
          <t>담양 신규점2</t>
        </is>
      </c>
      <c r="C1057" s="43" t="inlineStr">
        <is>
          <t>S21-H동</t>
        </is>
      </c>
      <c r="D1057" s="43" t="inlineStr">
        <is>
          <t>P0(후)</t>
        </is>
      </c>
      <c r="E1057" s="43" t="inlineStr">
        <is>
          <t>동</t>
        </is>
      </c>
      <c r="F1057" s="44" t="n"/>
      <c r="G1057" s="29" t="n"/>
      <c r="H1057" s="42" t="n"/>
      <c r="I1057" s="40" t="n"/>
      <c r="J1057" s="40" t="n"/>
      <c r="K1057" s="40" t="n"/>
      <c r="L1057" s="30">
        <f>IF(COUNT(I1057:K1057)=0,"",MEDIAN(I1057:K1057))</f>
        <v/>
      </c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28" t="n"/>
      <c r="Y1057" s="28" t="n"/>
      <c r="Z1057" s="28" t="n"/>
      <c r="AA1057" s="31" t="n"/>
      <c r="AB1057" s="31" t="n"/>
    </row>
    <row r="1058">
      <c r="A1058" s="43" t="inlineStr">
        <is>
          <t>S21</t>
        </is>
      </c>
      <c r="B1058" s="43" t="inlineStr">
        <is>
          <t>담양 신규점2</t>
        </is>
      </c>
      <c r="C1058" s="43" t="inlineStr">
        <is>
          <t>S21-H서</t>
        </is>
      </c>
      <c r="D1058" s="43" t="inlineStr">
        <is>
          <t>P0(전)</t>
        </is>
      </c>
      <c r="E1058" s="43" t="inlineStr">
        <is>
          <t>서</t>
        </is>
      </c>
      <c r="F1058" s="44" t="n"/>
      <c r="G1058" s="29" t="n"/>
      <c r="H1058" s="42" t="n"/>
      <c r="I1058" s="40" t="n"/>
      <c r="J1058" s="40" t="n"/>
      <c r="K1058" s="40" t="n"/>
      <c r="L1058" s="30">
        <f>IF(COUNT(I1058:K1058)=0,"",MEDIAN(I1058:K1058))</f>
        <v/>
      </c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28" t="n"/>
      <c r="Y1058" s="28" t="n"/>
      <c r="Z1058" s="28" t="n"/>
      <c r="AA1058" s="31" t="n"/>
      <c r="AB1058" s="31" t="n"/>
    </row>
    <row r="1059">
      <c r="A1059" s="25" t="inlineStr">
        <is>
          <t>S21</t>
        </is>
      </c>
      <c r="B1059" s="25" t="inlineStr">
        <is>
          <t>담양 신규점2</t>
        </is>
      </c>
      <c r="C1059" s="25" t="inlineStr">
        <is>
          <t>S21-H서</t>
        </is>
      </c>
      <c r="D1059" s="25" t="inlineStr">
        <is>
          <t>측정</t>
        </is>
      </c>
      <c r="E1059" s="25" t="inlineStr">
        <is>
          <t>서</t>
        </is>
      </c>
      <c r="F1059" s="30" t="n">
        <v>0.5</v>
      </c>
      <c r="G1059" s="29" t="n"/>
      <c r="H1059" s="42" t="n"/>
      <c r="I1059" s="40" t="n"/>
      <c r="J1059" s="40" t="n"/>
      <c r="K1059" s="40" t="n"/>
      <c r="L1059" s="30">
        <f>IF(COUNT(I1059:K1059)=0,"",MEDIAN(I1059:K1059))</f>
        <v/>
      </c>
      <c r="M1059" s="25">
        <f>IF(COUNTIFS($C:$C,$C1059,$D:$D,"P0(전)",$L:$L,"&gt;0")&lt;&gt;1,"P0(전) 유효 1개 아님",IF(COUNTIFS($C:$C,$C1059,$D:$D,"P0(후)",$L:$L,"&gt;0")&lt;&gt;1,"P0(후) 유효 1개 아님",IF(NOT(AND(ISNUMBER(N1059),ISNUMBER(P1059),ISNUMBER(H1059))),"시각 결측",IF(P1059&lt;=N1059,"P0 시각 역전",IF(OR(H1059&lt;N1059,H1059&gt;P1059),"측정시각 구간 밖","OK")))))</f>
        <v/>
      </c>
      <c r="N1059" s="45">
        <f>IF(COUNTIFS($C:$C,$C1059,$D:$D,"P0(전)",$L:$L,"&gt;0")&lt;&gt;1,"",SUMIFS($H:$H,$C:$C,$C1059,$D:$D,"P0(전)"))</f>
        <v/>
      </c>
      <c r="O1059" s="30">
        <f>IF(COUNTIFS($C:$C,$C1059,$D:$D,"P0(전)",$L:$L,"&gt;0")&lt;&gt;1,"",SUMIFS($L:$L,$C:$C,$C1059,$D:$D,"P0(전)"))</f>
        <v/>
      </c>
      <c r="P1059" s="45">
        <f>IF(COUNTIFS($C:$C,$C1059,$D:$D,"P0(후)",$L:$L,"&gt;0")&lt;&gt;1,"",SUMIFS($H:$H,$C:$C,$C1059,$D:$D,"P0(후)"))</f>
        <v/>
      </c>
      <c r="Q1059" s="30">
        <f>IF(COUNTIFS($C:$C,$C1059,$D:$D,"P0(후)",$L:$L,"&gt;0")&lt;&gt;1,"",SUMIFS($L:$L,$C:$C,$C1059,$D:$D,"P0(후)"))</f>
        <v/>
      </c>
      <c r="R1059" s="30">
        <f>IF(M1059&lt;&gt;"OK","",O1059+(Q1059-O1059)*(H1059-N1059)/(P1059-N1059))</f>
        <v/>
      </c>
      <c r="S1059" s="30">
        <f>IF(OR(M1059&lt;&gt;"OK",NOT(ISNUMBER(L1059))),"",L1059-R1059)</f>
        <v/>
      </c>
      <c r="T1059" s="46">
        <f>IF(OR(NOT(ISNUMBER(S1059)),IF(ISNUMBER(G1059),G1059,F1059)=0),"",S1059/IF(ISNUMBER(G1059),G1059,F1059))</f>
        <v/>
      </c>
      <c r="U1059" s="46">
        <f>IF(ISNUMBER(T1059),ABS(T1059),"")</f>
        <v/>
      </c>
      <c r="V1059" s="46">
        <f>IF(OR($D1058&lt;&gt;"측정",$C1058&lt;&gt;$C1059,NOT(ISNUMBER(L1059)),NOT(ISNUMBER(L1058)),(IF(ISNUMBER(G1059),G1059,F1059)-IF(ISNUMBER(G1058),G1058,F1058))=0),"",(L1059-L1058)/(IF(ISNUMBER(G1059),G1059,F1059)-IF(ISNUMBER(G1058),G1058,F1058)))</f>
        <v/>
      </c>
      <c r="W1059" s="30">
        <f>IF(NOT(AND(ISNUMBER(N1059),ISNUMBER(P1059))),"",(P1059-N1059)*1440)</f>
        <v/>
      </c>
      <c r="X1059" s="28" t="n"/>
      <c r="Y1059" s="28" t="n"/>
      <c r="Z1059" s="28" t="n"/>
      <c r="AA1059" s="31" t="n"/>
      <c r="AB1059" s="31" t="n"/>
    </row>
    <row r="1060">
      <c r="A1060" s="25" t="inlineStr">
        <is>
          <t>S21</t>
        </is>
      </c>
      <c r="B1060" s="25" t="inlineStr">
        <is>
          <t>담양 신규점2</t>
        </is>
      </c>
      <c r="C1060" s="25" t="inlineStr">
        <is>
          <t>S21-H서</t>
        </is>
      </c>
      <c r="D1060" s="25" t="inlineStr">
        <is>
          <t>측정</t>
        </is>
      </c>
      <c r="E1060" s="25" t="inlineStr">
        <is>
          <t>서</t>
        </is>
      </c>
      <c r="F1060" s="30" t="n">
        <v>1</v>
      </c>
      <c r="G1060" s="29" t="n"/>
      <c r="H1060" s="42" t="n"/>
      <c r="I1060" s="40" t="n"/>
      <c r="J1060" s="40" t="n"/>
      <c r="K1060" s="40" t="n"/>
      <c r="L1060" s="30">
        <f>IF(COUNT(I1060:K1060)=0,"",MEDIAN(I1060:K1060))</f>
        <v/>
      </c>
      <c r="M1060" s="25">
        <f>IF(COUNTIFS($C:$C,$C1060,$D:$D,"P0(전)",$L:$L,"&gt;0")&lt;&gt;1,"P0(전) 유효 1개 아님",IF(COUNTIFS($C:$C,$C1060,$D:$D,"P0(후)",$L:$L,"&gt;0")&lt;&gt;1,"P0(후) 유효 1개 아님",IF(NOT(AND(ISNUMBER(N1060),ISNUMBER(P1060),ISNUMBER(H1060))),"시각 결측",IF(P1060&lt;=N1060,"P0 시각 역전",IF(OR(H1060&lt;N1060,H1060&gt;P1060),"측정시각 구간 밖","OK")))))</f>
        <v/>
      </c>
      <c r="N1060" s="45">
        <f>IF(COUNTIFS($C:$C,$C1060,$D:$D,"P0(전)",$L:$L,"&gt;0")&lt;&gt;1,"",SUMIFS($H:$H,$C:$C,$C1060,$D:$D,"P0(전)"))</f>
        <v/>
      </c>
      <c r="O1060" s="30">
        <f>IF(COUNTIFS($C:$C,$C1060,$D:$D,"P0(전)",$L:$L,"&gt;0")&lt;&gt;1,"",SUMIFS($L:$L,$C:$C,$C1060,$D:$D,"P0(전)"))</f>
        <v/>
      </c>
      <c r="P1060" s="45">
        <f>IF(COUNTIFS($C:$C,$C1060,$D:$D,"P0(후)",$L:$L,"&gt;0")&lt;&gt;1,"",SUMIFS($H:$H,$C:$C,$C1060,$D:$D,"P0(후)"))</f>
        <v/>
      </c>
      <c r="Q1060" s="30">
        <f>IF(COUNTIFS($C:$C,$C1060,$D:$D,"P0(후)",$L:$L,"&gt;0")&lt;&gt;1,"",SUMIFS($L:$L,$C:$C,$C1060,$D:$D,"P0(후)"))</f>
        <v/>
      </c>
      <c r="R1060" s="30">
        <f>IF(M1060&lt;&gt;"OK","",O1060+(Q1060-O1060)*(H1060-N1060)/(P1060-N1060))</f>
        <v/>
      </c>
      <c r="S1060" s="30">
        <f>IF(OR(M1060&lt;&gt;"OK",NOT(ISNUMBER(L1060))),"",L1060-R1060)</f>
        <v/>
      </c>
      <c r="T1060" s="46">
        <f>IF(OR(NOT(ISNUMBER(S1060)),IF(ISNUMBER(G1060),G1060,F1060)=0),"",S1060/IF(ISNUMBER(G1060),G1060,F1060))</f>
        <v/>
      </c>
      <c r="U1060" s="46">
        <f>IF(ISNUMBER(T1060),ABS(T1060),"")</f>
        <v/>
      </c>
      <c r="V1060" s="46">
        <f>IF(OR($D1059&lt;&gt;"측정",$C1059&lt;&gt;$C1060,NOT(ISNUMBER(L1060)),NOT(ISNUMBER(L1059)),(IF(ISNUMBER(G1060),G1060,F1060)-IF(ISNUMBER(G1059),G1059,F1059))=0),"",(L1060-L1059)/(IF(ISNUMBER(G1060),G1060,F1060)-IF(ISNUMBER(G1059),G1059,F1059)))</f>
        <v/>
      </c>
      <c r="W1060" s="30">
        <f>IF(NOT(AND(ISNUMBER(N1060),ISNUMBER(P1060))),"",(P1060-N1060)*1440)</f>
        <v/>
      </c>
      <c r="X1060" s="28" t="n"/>
      <c r="Y1060" s="28" t="n"/>
      <c r="Z1060" s="28" t="n"/>
      <c r="AA1060" s="31" t="n"/>
      <c r="AB1060" s="31" t="n"/>
    </row>
    <row r="1061">
      <c r="A1061" s="25" t="inlineStr">
        <is>
          <t>S21</t>
        </is>
      </c>
      <c r="B1061" s="25" t="inlineStr">
        <is>
          <t>담양 신규점2</t>
        </is>
      </c>
      <c r="C1061" s="25" t="inlineStr">
        <is>
          <t>S21-H서</t>
        </is>
      </c>
      <c r="D1061" s="25" t="inlineStr">
        <is>
          <t>측정</t>
        </is>
      </c>
      <c r="E1061" s="25" t="inlineStr">
        <is>
          <t>서</t>
        </is>
      </c>
      <c r="F1061" s="30" t="n">
        <v>2</v>
      </c>
      <c r="G1061" s="29" t="n"/>
      <c r="H1061" s="42" t="n"/>
      <c r="I1061" s="40" t="n"/>
      <c r="J1061" s="40" t="n"/>
      <c r="K1061" s="40" t="n"/>
      <c r="L1061" s="30">
        <f>IF(COUNT(I1061:K1061)=0,"",MEDIAN(I1061:K1061))</f>
        <v/>
      </c>
      <c r="M1061" s="25">
        <f>IF(COUNTIFS($C:$C,$C1061,$D:$D,"P0(전)",$L:$L,"&gt;0")&lt;&gt;1,"P0(전) 유효 1개 아님",IF(COUNTIFS($C:$C,$C1061,$D:$D,"P0(후)",$L:$L,"&gt;0")&lt;&gt;1,"P0(후) 유효 1개 아님",IF(NOT(AND(ISNUMBER(N1061),ISNUMBER(P1061),ISNUMBER(H1061))),"시각 결측",IF(P1061&lt;=N1061,"P0 시각 역전",IF(OR(H1061&lt;N1061,H1061&gt;P1061),"측정시각 구간 밖","OK")))))</f>
        <v/>
      </c>
      <c r="N1061" s="45">
        <f>IF(COUNTIFS($C:$C,$C1061,$D:$D,"P0(전)",$L:$L,"&gt;0")&lt;&gt;1,"",SUMIFS($H:$H,$C:$C,$C1061,$D:$D,"P0(전)"))</f>
        <v/>
      </c>
      <c r="O1061" s="30">
        <f>IF(COUNTIFS($C:$C,$C1061,$D:$D,"P0(전)",$L:$L,"&gt;0")&lt;&gt;1,"",SUMIFS($L:$L,$C:$C,$C1061,$D:$D,"P0(전)"))</f>
        <v/>
      </c>
      <c r="P1061" s="45">
        <f>IF(COUNTIFS($C:$C,$C1061,$D:$D,"P0(후)",$L:$L,"&gt;0")&lt;&gt;1,"",SUMIFS($H:$H,$C:$C,$C1061,$D:$D,"P0(후)"))</f>
        <v/>
      </c>
      <c r="Q1061" s="30">
        <f>IF(COUNTIFS($C:$C,$C1061,$D:$D,"P0(후)",$L:$L,"&gt;0")&lt;&gt;1,"",SUMIFS($L:$L,$C:$C,$C1061,$D:$D,"P0(후)"))</f>
        <v/>
      </c>
      <c r="R1061" s="30">
        <f>IF(M1061&lt;&gt;"OK","",O1061+(Q1061-O1061)*(H1061-N1061)/(P1061-N1061))</f>
        <v/>
      </c>
      <c r="S1061" s="30">
        <f>IF(OR(M1061&lt;&gt;"OK",NOT(ISNUMBER(L1061))),"",L1061-R1061)</f>
        <v/>
      </c>
      <c r="T1061" s="46">
        <f>IF(OR(NOT(ISNUMBER(S1061)),IF(ISNUMBER(G1061),G1061,F1061)=0),"",S1061/IF(ISNUMBER(G1061),G1061,F1061))</f>
        <v/>
      </c>
      <c r="U1061" s="46">
        <f>IF(ISNUMBER(T1061),ABS(T1061),"")</f>
        <v/>
      </c>
      <c r="V1061" s="46">
        <f>IF(OR($D1060&lt;&gt;"측정",$C1060&lt;&gt;$C1061,NOT(ISNUMBER(L1061)),NOT(ISNUMBER(L1060)),(IF(ISNUMBER(G1061),G1061,F1061)-IF(ISNUMBER(G1060),G1060,F1060))=0),"",(L1061-L1060)/(IF(ISNUMBER(G1061),G1061,F1061)-IF(ISNUMBER(G1060),G1060,F1060)))</f>
        <v/>
      </c>
      <c r="W1061" s="30">
        <f>IF(NOT(AND(ISNUMBER(N1061),ISNUMBER(P1061))),"",(P1061-N1061)*1440)</f>
        <v/>
      </c>
      <c r="X1061" s="28" t="n"/>
      <c r="Y1061" s="28" t="n"/>
      <c r="Z1061" s="28" t="n"/>
      <c r="AA1061" s="31" t="n"/>
      <c r="AB1061" s="31" t="n"/>
    </row>
    <row r="1062">
      <c r="A1062" s="25" t="inlineStr">
        <is>
          <t>S21</t>
        </is>
      </c>
      <c r="B1062" s="25" t="inlineStr">
        <is>
          <t>담양 신규점2</t>
        </is>
      </c>
      <c r="C1062" s="25" t="inlineStr">
        <is>
          <t>S21-H서</t>
        </is>
      </c>
      <c r="D1062" s="25" t="inlineStr">
        <is>
          <t>측정</t>
        </is>
      </c>
      <c r="E1062" s="25" t="inlineStr">
        <is>
          <t>서</t>
        </is>
      </c>
      <c r="F1062" s="30" t="n">
        <v>3</v>
      </c>
      <c r="G1062" s="29" t="n"/>
      <c r="H1062" s="42" t="n"/>
      <c r="I1062" s="40" t="n"/>
      <c r="J1062" s="40" t="n"/>
      <c r="K1062" s="40" t="n"/>
      <c r="L1062" s="30">
        <f>IF(COUNT(I1062:K1062)=0,"",MEDIAN(I1062:K1062))</f>
        <v/>
      </c>
      <c r="M1062" s="25">
        <f>IF(COUNTIFS($C:$C,$C1062,$D:$D,"P0(전)",$L:$L,"&gt;0")&lt;&gt;1,"P0(전) 유효 1개 아님",IF(COUNTIFS($C:$C,$C1062,$D:$D,"P0(후)",$L:$L,"&gt;0")&lt;&gt;1,"P0(후) 유효 1개 아님",IF(NOT(AND(ISNUMBER(N1062),ISNUMBER(P1062),ISNUMBER(H1062))),"시각 결측",IF(P1062&lt;=N1062,"P0 시각 역전",IF(OR(H1062&lt;N1062,H1062&gt;P1062),"측정시각 구간 밖","OK")))))</f>
        <v/>
      </c>
      <c r="N1062" s="45">
        <f>IF(COUNTIFS($C:$C,$C1062,$D:$D,"P0(전)",$L:$L,"&gt;0")&lt;&gt;1,"",SUMIFS($H:$H,$C:$C,$C1062,$D:$D,"P0(전)"))</f>
        <v/>
      </c>
      <c r="O1062" s="30">
        <f>IF(COUNTIFS($C:$C,$C1062,$D:$D,"P0(전)",$L:$L,"&gt;0")&lt;&gt;1,"",SUMIFS($L:$L,$C:$C,$C1062,$D:$D,"P0(전)"))</f>
        <v/>
      </c>
      <c r="P1062" s="45">
        <f>IF(COUNTIFS($C:$C,$C1062,$D:$D,"P0(후)",$L:$L,"&gt;0")&lt;&gt;1,"",SUMIFS($H:$H,$C:$C,$C1062,$D:$D,"P0(후)"))</f>
        <v/>
      </c>
      <c r="Q1062" s="30">
        <f>IF(COUNTIFS($C:$C,$C1062,$D:$D,"P0(후)",$L:$L,"&gt;0")&lt;&gt;1,"",SUMIFS($L:$L,$C:$C,$C1062,$D:$D,"P0(후)"))</f>
        <v/>
      </c>
      <c r="R1062" s="30">
        <f>IF(M1062&lt;&gt;"OK","",O1062+(Q1062-O1062)*(H1062-N1062)/(P1062-N1062))</f>
        <v/>
      </c>
      <c r="S1062" s="30">
        <f>IF(OR(M1062&lt;&gt;"OK",NOT(ISNUMBER(L1062))),"",L1062-R1062)</f>
        <v/>
      </c>
      <c r="T1062" s="46">
        <f>IF(OR(NOT(ISNUMBER(S1062)),IF(ISNUMBER(G1062),G1062,F1062)=0),"",S1062/IF(ISNUMBER(G1062),G1062,F1062))</f>
        <v/>
      </c>
      <c r="U1062" s="46">
        <f>IF(ISNUMBER(T1062),ABS(T1062),"")</f>
        <v/>
      </c>
      <c r="V1062" s="46">
        <f>IF(OR($D1061&lt;&gt;"측정",$C1061&lt;&gt;$C1062,NOT(ISNUMBER(L1062)),NOT(ISNUMBER(L1061)),(IF(ISNUMBER(G1062),G1062,F1062)-IF(ISNUMBER(G1061),G1061,F1061))=0),"",(L1062-L1061)/(IF(ISNUMBER(G1062),G1062,F1062)-IF(ISNUMBER(G1061),G1061,F1061)))</f>
        <v/>
      </c>
      <c r="W1062" s="30">
        <f>IF(NOT(AND(ISNUMBER(N1062),ISNUMBER(P1062))),"",(P1062-N1062)*1440)</f>
        <v/>
      </c>
      <c r="X1062" s="28" t="n"/>
      <c r="Y1062" s="28" t="n"/>
      <c r="Z1062" s="28" t="n"/>
      <c r="AA1062" s="31" t="n"/>
      <c r="AB1062" s="31" t="n"/>
    </row>
    <row r="1063">
      <c r="A1063" s="25" t="inlineStr">
        <is>
          <t>S21</t>
        </is>
      </c>
      <c r="B1063" s="25" t="inlineStr">
        <is>
          <t>담양 신규점2</t>
        </is>
      </c>
      <c r="C1063" s="25" t="inlineStr">
        <is>
          <t>S21-H서</t>
        </is>
      </c>
      <c r="D1063" s="25" t="inlineStr">
        <is>
          <t>측정</t>
        </is>
      </c>
      <c r="E1063" s="25" t="inlineStr">
        <is>
          <t>서</t>
        </is>
      </c>
      <c r="F1063" s="30" t="n">
        <v>4</v>
      </c>
      <c r="G1063" s="29" t="n"/>
      <c r="H1063" s="42" t="n"/>
      <c r="I1063" s="40" t="n"/>
      <c r="J1063" s="40" t="n"/>
      <c r="K1063" s="40" t="n"/>
      <c r="L1063" s="30">
        <f>IF(COUNT(I1063:K1063)=0,"",MEDIAN(I1063:K1063))</f>
        <v/>
      </c>
      <c r="M1063" s="25">
        <f>IF(COUNTIFS($C:$C,$C1063,$D:$D,"P0(전)",$L:$L,"&gt;0")&lt;&gt;1,"P0(전) 유효 1개 아님",IF(COUNTIFS($C:$C,$C1063,$D:$D,"P0(후)",$L:$L,"&gt;0")&lt;&gt;1,"P0(후) 유효 1개 아님",IF(NOT(AND(ISNUMBER(N1063),ISNUMBER(P1063),ISNUMBER(H1063))),"시각 결측",IF(P1063&lt;=N1063,"P0 시각 역전",IF(OR(H1063&lt;N1063,H1063&gt;P1063),"측정시각 구간 밖","OK")))))</f>
        <v/>
      </c>
      <c r="N1063" s="45">
        <f>IF(COUNTIFS($C:$C,$C1063,$D:$D,"P0(전)",$L:$L,"&gt;0")&lt;&gt;1,"",SUMIFS($H:$H,$C:$C,$C1063,$D:$D,"P0(전)"))</f>
        <v/>
      </c>
      <c r="O1063" s="30">
        <f>IF(COUNTIFS($C:$C,$C1063,$D:$D,"P0(전)",$L:$L,"&gt;0")&lt;&gt;1,"",SUMIFS($L:$L,$C:$C,$C1063,$D:$D,"P0(전)"))</f>
        <v/>
      </c>
      <c r="P1063" s="45">
        <f>IF(COUNTIFS($C:$C,$C1063,$D:$D,"P0(후)",$L:$L,"&gt;0")&lt;&gt;1,"",SUMIFS($H:$H,$C:$C,$C1063,$D:$D,"P0(후)"))</f>
        <v/>
      </c>
      <c r="Q1063" s="30">
        <f>IF(COUNTIFS($C:$C,$C1063,$D:$D,"P0(후)",$L:$L,"&gt;0")&lt;&gt;1,"",SUMIFS($L:$L,$C:$C,$C1063,$D:$D,"P0(후)"))</f>
        <v/>
      </c>
      <c r="R1063" s="30">
        <f>IF(M1063&lt;&gt;"OK","",O1063+(Q1063-O1063)*(H1063-N1063)/(P1063-N1063))</f>
        <v/>
      </c>
      <c r="S1063" s="30">
        <f>IF(OR(M1063&lt;&gt;"OK",NOT(ISNUMBER(L1063))),"",L1063-R1063)</f>
        <v/>
      </c>
      <c r="T1063" s="46">
        <f>IF(OR(NOT(ISNUMBER(S1063)),IF(ISNUMBER(G1063),G1063,F1063)=0),"",S1063/IF(ISNUMBER(G1063),G1063,F1063))</f>
        <v/>
      </c>
      <c r="U1063" s="46">
        <f>IF(ISNUMBER(T1063),ABS(T1063),"")</f>
        <v/>
      </c>
      <c r="V1063" s="46">
        <f>IF(OR($D1062&lt;&gt;"측정",$C1062&lt;&gt;$C1063,NOT(ISNUMBER(L1063)),NOT(ISNUMBER(L1062)),(IF(ISNUMBER(G1063),G1063,F1063)-IF(ISNUMBER(G1062),G1062,F1062))=0),"",(L1063-L1062)/(IF(ISNUMBER(G1063),G1063,F1063)-IF(ISNUMBER(G1062),G1062,F1062)))</f>
        <v/>
      </c>
      <c r="W1063" s="30">
        <f>IF(NOT(AND(ISNUMBER(N1063),ISNUMBER(P1063))),"",(P1063-N1063)*1440)</f>
        <v/>
      </c>
      <c r="X1063" s="28" t="n"/>
      <c r="Y1063" s="28" t="n"/>
      <c r="Z1063" s="28" t="n"/>
      <c r="AA1063" s="31" t="n"/>
      <c r="AB1063" s="31" t="n"/>
    </row>
    <row r="1064">
      <c r="A1064" s="25" t="inlineStr">
        <is>
          <t>S21</t>
        </is>
      </c>
      <c r="B1064" s="25" t="inlineStr">
        <is>
          <t>담양 신규점2</t>
        </is>
      </c>
      <c r="C1064" s="25" t="inlineStr">
        <is>
          <t>S21-H서</t>
        </is>
      </c>
      <c r="D1064" s="25" t="inlineStr">
        <is>
          <t>측정</t>
        </is>
      </c>
      <c r="E1064" s="25" t="inlineStr">
        <is>
          <t>서</t>
        </is>
      </c>
      <c r="F1064" s="30" t="n">
        <v>5</v>
      </c>
      <c r="G1064" s="29" t="n"/>
      <c r="H1064" s="42" t="n"/>
      <c r="I1064" s="40" t="n"/>
      <c r="J1064" s="40" t="n"/>
      <c r="K1064" s="40" t="n"/>
      <c r="L1064" s="30">
        <f>IF(COUNT(I1064:K1064)=0,"",MEDIAN(I1064:K1064))</f>
        <v/>
      </c>
      <c r="M1064" s="25">
        <f>IF(COUNTIFS($C:$C,$C1064,$D:$D,"P0(전)",$L:$L,"&gt;0")&lt;&gt;1,"P0(전) 유효 1개 아님",IF(COUNTIFS($C:$C,$C1064,$D:$D,"P0(후)",$L:$L,"&gt;0")&lt;&gt;1,"P0(후) 유효 1개 아님",IF(NOT(AND(ISNUMBER(N1064),ISNUMBER(P1064),ISNUMBER(H1064))),"시각 결측",IF(P1064&lt;=N1064,"P0 시각 역전",IF(OR(H1064&lt;N1064,H1064&gt;P1064),"측정시각 구간 밖","OK")))))</f>
        <v/>
      </c>
      <c r="N1064" s="45">
        <f>IF(COUNTIFS($C:$C,$C1064,$D:$D,"P0(전)",$L:$L,"&gt;0")&lt;&gt;1,"",SUMIFS($H:$H,$C:$C,$C1064,$D:$D,"P0(전)"))</f>
        <v/>
      </c>
      <c r="O1064" s="30">
        <f>IF(COUNTIFS($C:$C,$C1064,$D:$D,"P0(전)",$L:$L,"&gt;0")&lt;&gt;1,"",SUMIFS($L:$L,$C:$C,$C1064,$D:$D,"P0(전)"))</f>
        <v/>
      </c>
      <c r="P1064" s="45">
        <f>IF(COUNTIFS($C:$C,$C1064,$D:$D,"P0(후)",$L:$L,"&gt;0")&lt;&gt;1,"",SUMIFS($H:$H,$C:$C,$C1064,$D:$D,"P0(후)"))</f>
        <v/>
      </c>
      <c r="Q1064" s="30">
        <f>IF(COUNTIFS($C:$C,$C1064,$D:$D,"P0(후)",$L:$L,"&gt;0")&lt;&gt;1,"",SUMIFS($L:$L,$C:$C,$C1064,$D:$D,"P0(후)"))</f>
        <v/>
      </c>
      <c r="R1064" s="30">
        <f>IF(M1064&lt;&gt;"OK","",O1064+(Q1064-O1064)*(H1064-N1064)/(P1064-N1064))</f>
        <v/>
      </c>
      <c r="S1064" s="30">
        <f>IF(OR(M1064&lt;&gt;"OK",NOT(ISNUMBER(L1064))),"",L1064-R1064)</f>
        <v/>
      </c>
      <c r="T1064" s="46">
        <f>IF(OR(NOT(ISNUMBER(S1064)),IF(ISNUMBER(G1064),G1064,F1064)=0),"",S1064/IF(ISNUMBER(G1064),G1064,F1064))</f>
        <v/>
      </c>
      <c r="U1064" s="46">
        <f>IF(ISNUMBER(T1064),ABS(T1064),"")</f>
        <v/>
      </c>
      <c r="V1064" s="46">
        <f>IF(OR($D1063&lt;&gt;"측정",$C1063&lt;&gt;$C1064,NOT(ISNUMBER(L1064)),NOT(ISNUMBER(L1063)),(IF(ISNUMBER(G1064),G1064,F1064)-IF(ISNUMBER(G1063),G1063,F1063))=0),"",(L1064-L1063)/(IF(ISNUMBER(G1064),G1064,F1064)-IF(ISNUMBER(G1063),G1063,F1063)))</f>
        <v/>
      </c>
      <c r="W1064" s="30">
        <f>IF(NOT(AND(ISNUMBER(N1064),ISNUMBER(P1064))),"",(P1064-N1064)*1440)</f>
        <v/>
      </c>
      <c r="X1064" s="28" t="n"/>
      <c r="Y1064" s="28" t="n"/>
      <c r="Z1064" s="28" t="n"/>
      <c r="AA1064" s="31" t="n"/>
      <c r="AB1064" s="31" t="n"/>
    </row>
    <row r="1065">
      <c r="A1065" s="25" t="inlineStr">
        <is>
          <t>S21</t>
        </is>
      </c>
      <c r="B1065" s="25" t="inlineStr">
        <is>
          <t>담양 신규점2</t>
        </is>
      </c>
      <c r="C1065" s="25" t="inlineStr">
        <is>
          <t>S21-H서</t>
        </is>
      </c>
      <c r="D1065" s="25" t="inlineStr">
        <is>
          <t>측정</t>
        </is>
      </c>
      <c r="E1065" s="25" t="inlineStr">
        <is>
          <t>서</t>
        </is>
      </c>
      <c r="F1065" s="30" t="n">
        <v>6</v>
      </c>
      <c r="G1065" s="29" t="n"/>
      <c r="H1065" s="42" t="n"/>
      <c r="I1065" s="40" t="n"/>
      <c r="J1065" s="40" t="n"/>
      <c r="K1065" s="40" t="n"/>
      <c r="L1065" s="30">
        <f>IF(COUNT(I1065:K1065)=0,"",MEDIAN(I1065:K1065))</f>
        <v/>
      </c>
      <c r="M1065" s="25">
        <f>IF(COUNTIFS($C:$C,$C1065,$D:$D,"P0(전)",$L:$L,"&gt;0")&lt;&gt;1,"P0(전) 유효 1개 아님",IF(COUNTIFS($C:$C,$C1065,$D:$D,"P0(후)",$L:$L,"&gt;0")&lt;&gt;1,"P0(후) 유효 1개 아님",IF(NOT(AND(ISNUMBER(N1065),ISNUMBER(P1065),ISNUMBER(H1065))),"시각 결측",IF(P1065&lt;=N1065,"P0 시각 역전",IF(OR(H1065&lt;N1065,H1065&gt;P1065),"측정시각 구간 밖","OK")))))</f>
        <v/>
      </c>
      <c r="N1065" s="45">
        <f>IF(COUNTIFS($C:$C,$C1065,$D:$D,"P0(전)",$L:$L,"&gt;0")&lt;&gt;1,"",SUMIFS($H:$H,$C:$C,$C1065,$D:$D,"P0(전)"))</f>
        <v/>
      </c>
      <c r="O1065" s="30">
        <f>IF(COUNTIFS($C:$C,$C1065,$D:$D,"P0(전)",$L:$L,"&gt;0")&lt;&gt;1,"",SUMIFS($L:$L,$C:$C,$C1065,$D:$D,"P0(전)"))</f>
        <v/>
      </c>
      <c r="P1065" s="45">
        <f>IF(COUNTIFS($C:$C,$C1065,$D:$D,"P0(후)",$L:$L,"&gt;0")&lt;&gt;1,"",SUMIFS($H:$H,$C:$C,$C1065,$D:$D,"P0(후)"))</f>
        <v/>
      </c>
      <c r="Q1065" s="30">
        <f>IF(COUNTIFS($C:$C,$C1065,$D:$D,"P0(후)",$L:$L,"&gt;0")&lt;&gt;1,"",SUMIFS($L:$L,$C:$C,$C1065,$D:$D,"P0(후)"))</f>
        <v/>
      </c>
      <c r="R1065" s="30">
        <f>IF(M1065&lt;&gt;"OK","",O1065+(Q1065-O1065)*(H1065-N1065)/(P1065-N1065))</f>
        <v/>
      </c>
      <c r="S1065" s="30">
        <f>IF(OR(M1065&lt;&gt;"OK",NOT(ISNUMBER(L1065))),"",L1065-R1065)</f>
        <v/>
      </c>
      <c r="T1065" s="46">
        <f>IF(OR(NOT(ISNUMBER(S1065)),IF(ISNUMBER(G1065),G1065,F1065)=0),"",S1065/IF(ISNUMBER(G1065),G1065,F1065))</f>
        <v/>
      </c>
      <c r="U1065" s="46">
        <f>IF(ISNUMBER(T1065),ABS(T1065),"")</f>
        <v/>
      </c>
      <c r="V1065" s="46">
        <f>IF(OR($D1064&lt;&gt;"측정",$C1064&lt;&gt;$C1065,NOT(ISNUMBER(L1065)),NOT(ISNUMBER(L1064)),(IF(ISNUMBER(G1065),G1065,F1065)-IF(ISNUMBER(G1064),G1064,F1064))=0),"",(L1065-L1064)/(IF(ISNUMBER(G1065),G1065,F1065)-IF(ISNUMBER(G1064),G1064,F1064)))</f>
        <v/>
      </c>
      <c r="W1065" s="30">
        <f>IF(NOT(AND(ISNUMBER(N1065),ISNUMBER(P1065))),"",(P1065-N1065)*1440)</f>
        <v/>
      </c>
      <c r="X1065" s="28" t="n"/>
      <c r="Y1065" s="28" t="n"/>
      <c r="Z1065" s="28" t="n"/>
      <c r="AA1065" s="31" t="n"/>
      <c r="AB1065" s="31" t="n"/>
    </row>
    <row r="1066">
      <c r="A1066" s="25" t="inlineStr">
        <is>
          <t>S21</t>
        </is>
      </c>
      <c r="B1066" s="25" t="inlineStr">
        <is>
          <t>담양 신규점2</t>
        </is>
      </c>
      <c r="C1066" s="25" t="inlineStr">
        <is>
          <t>S21-H서</t>
        </is>
      </c>
      <c r="D1066" s="25" t="inlineStr">
        <is>
          <t>측정</t>
        </is>
      </c>
      <c r="E1066" s="25" t="inlineStr">
        <is>
          <t>서</t>
        </is>
      </c>
      <c r="F1066" s="30" t="n">
        <v>7</v>
      </c>
      <c r="G1066" s="29" t="n"/>
      <c r="H1066" s="42" t="n"/>
      <c r="I1066" s="40" t="n"/>
      <c r="J1066" s="40" t="n"/>
      <c r="K1066" s="40" t="n"/>
      <c r="L1066" s="30">
        <f>IF(COUNT(I1066:K1066)=0,"",MEDIAN(I1066:K1066))</f>
        <v/>
      </c>
      <c r="M1066" s="25">
        <f>IF(COUNTIFS($C:$C,$C1066,$D:$D,"P0(전)",$L:$L,"&gt;0")&lt;&gt;1,"P0(전) 유효 1개 아님",IF(COUNTIFS($C:$C,$C1066,$D:$D,"P0(후)",$L:$L,"&gt;0")&lt;&gt;1,"P0(후) 유효 1개 아님",IF(NOT(AND(ISNUMBER(N1066),ISNUMBER(P1066),ISNUMBER(H1066))),"시각 결측",IF(P1066&lt;=N1066,"P0 시각 역전",IF(OR(H1066&lt;N1066,H1066&gt;P1066),"측정시각 구간 밖","OK")))))</f>
        <v/>
      </c>
      <c r="N1066" s="45">
        <f>IF(COUNTIFS($C:$C,$C1066,$D:$D,"P0(전)",$L:$L,"&gt;0")&lt;&gt;1,"",SUMIFS($H:$H,$C:$C,$C1066,$D:$D,"P0(전)"))</f>
        <v/>
      </c>
      <c r="O1066" s="30">
        <f>IF(COUNTIFS($C:$C,$C1066,$D:$D,"P0(전)",$L:$L,"&gt;0")&lt;&gt;1,"",SUMIFS($L:$L,$C:$C,$C1066,$D:$D,"P0(전)"))</f>
        <v/>
      </c>
      <c r="P1066" s="45">
        <f>IF(COUNTIFS($C:$C,$C1066,$D:$D,"P0(후)",$L:$L,"&gt;0")&lt;&gt;1,"",SUMIFS($H:$H,$C:$C,$C1066,$D:$D,"P0(후)"))</f>
        <v/>
      </c>
      <c r="Q1066" s="30">
        <f>IF(COUNTIFS($C:$C,$C1066,$D:$D,"P0(후)",$L:$L,"&gt;0")&lt;&gt;1,"",SUMIFS($L:$L,$C:$C,$C1066,$D:$D,"P0(후)"))</f>
        <v/>
      </c>
      <c r="R1066" s="30">
        <f>IF(M1066&lt;&gt;"OK","",O1066+(Q1066-O1066)*(H1066-N1066)/(P1066-N1066))</f>
        <v/>
      </c>
      <c r="S1066" s="30">
        <f>IF(OR(M1066&lt;&gt;"OK",NOT(ISNUMBER(L1066))),"",L1066-R1066)</f>
        <v/>
      </c>
      <c r="T1066" s="46">
        <f>IF(OR(NOT(ISNUMBER(S1066)),IF(ISNUMBER(G1066),G1066,F1066)=0),"",S1066/IF(ISNUMBER(G1066),G1066,F1066))</f>
        <v/>
      </c>
      <c r="U1066" s="46">
        <f>IF(ISNUMBER(T1066),ABS(T1066),"")</f>
        <v/>
      </c>
      <c r="V1066" s="46">
        <f>IF(OR($D1065&lt;&gt;"측정",$C1065&lt;&gt;$C1066,NOT(ISNUMBER(L1066)),NOT(ISNUMBER(L1065)),(IF(ISNUMBER(G1066),G1066,F1066)-IF(ISNUMBER(G1065),G1065,F1065))=0),"",(L1066-L1065)/(IF(ISNUMBER(G1066),G1066,F1066)-IF(ISNUMBER(G1065),G1065,F1065)))</f>
        <v/>
      </c>
      <c r="W1066" s="30">
        <f>IF(NOT(AND(ISNUMBER(N1066),ISNUMBER(P1066))),"",(P1066-N1066)*1440)</f>
        <v/>
      </c>
      <c r="X1066" s="28" t="n"/>
      <c r="Y1066" s="28" t="n"/>
      <c r="Z1066" s="28" t="n"/>
      <c r="AA1066" s="31" t="n"/>
      <c r="AB1066" s="31" t="n"/>
    </row>
    <row r="1067">
      <c r="A1067" s="25" t="inlineStr">
        <is>
          <t>S21</t>
        </is>
      </c>
      <c r="B1067" s="25" t="inlineStr">
        <is>
          <t>담양 신규점2</t>
        </is>
      </c>
      <c r="C1067" s="25" t="inlineStr">
        <is>
          <t>S21-H서</t>
        </is>
      </c>
      <c r="D1067" s="25" t="inlineStr">
        <is>
          <t>측정</t>
        </is>
      </c>
      <c r="E1067" s="25" t="inlineStr">
        <is>
          <t>서</t>
        </is>
      </c>
      <c r="F1067" s="30" t="n">
        <v>8</v>
      </c>
      <c r="G1067" s="29" t="n"/>
      <c r="H1067" s="42" t="n"/>
      <c r="I1067" s="40" t="n"/>
      <c r="J1067" s="40" t="n"/>
      <c r="K1067" s="40" t="n"/>
      <c r="L1067" s="30">
        <f>IF(COUNT(I1067:K1067)=0,"",MEDIAN(I1067:K1067))</f>
        <v/>
      </c>
      <c r="M1067" s="25">
        <f>IF(COUNTIFS($C:$C,$C1067,$D:$D,"P0(전)",$L:$L,"&gt;0")&lt;&gt;1,"P0(전) 유효 1개 아님",IF(COUNTIFS($C:$C,$C1067,$D:$D,"P0(후)",$L:$L,"&gt;0")&lt;&gt;1,"P0(후) 유효 1개 아님",IF(NOT(AND(ISNUMBER(N1067),ISNUMBER(P1067),ISNUMBER(H1067))),"시각 결측",IF(P1067&lt;=N1067,"P0 시각 역전",IF(OR(H1067&lt;N1067,H1067&gt;P1067),"측정시각 구간 밖","OK")))))</f>
        <v/>
      </c>
      <c r="N1067" s="45">
        <f>IF(COUNTIFS($C:$C,$C1067,$D:$D,"P0(전)",$L:$L,"&gt;0")&lt;&gt;1,"",SUMIFS($H:$H,$C:$C,$C1067,$D:$D,"P0(전)"))</f>
        <v/>
      </c>
      <c r="O1067" s="30">
        <f>IF(COUNTIFS($C:$C,$C1067,$D:$D,"P0(전)",$L:$L,"&gt;0")&lt;&gt;1,"",SUMIFS($L:$L,$C:$C,$C1067,$D:$D,"P0(전)"))</f>
        <v/>
      </c>
      <c r="P1067" s="45">
        <f>IF(COUNTIFS($C:$C,$C1067,$D:$D,"P0(후)",$L:$L,"&gt;0")&lt;&gt;1,"",SUMIFS($H:$H,$C:$C,$C1067,$D:$D,"P0(후)"))</f>
        <v/>
      </c>
      <c r="Q1067" s="30">
        <f>IF(COUNTIFS($C:$C,$C1067,$D:$D,"P0(후)",$L:$L,"&gt;0")&lt;&gt;1,"",SUMIFS($L:$L,$C:$C,$C1067,$D:$D,"P0(후)"))</f>
        <v/>
      </c>
      <c r="R1067" s="30">
        <f>IF(M1067&lt;&gt;"OK","",O1067+(Q1067-O1067)*(H1067-N1067)/(P1067-N1067))</f>
        <v/>
      </c>
      <c r="S1067" s="30">
        <f>IF(OR(M1067&lt;&gt;"OK",NOT(ISNUMBER(L1067))),"",L1067-R1067)</f>
        <v/>
      </c>
      <c r="T1067" s="46">
        <f>IF(OR(NOT(ISNUMBER(S1067)),IF(ISNUMBER(G1067),G1067,F1067)=0),"",S1067/IF(ISNUMBER(G1067),G1067,F1067))</f>
        <v/>
      </c>
      <c r="U1067" s="46">
        <f>IF(ISNUMBER(T1067),ABS(T1067),"")</f>
        <v/>
      </c>
      <c r="V1067" s="46">
        <f>IF(OR($D1066&lt;&gt;"측정",$C1066&lt;&gt;$C1067,NOT(ISNUMBER(L1067)),NOT(ISNUMBER(L1066)),(IF(ISNUMBER(G1067),G1067,F1067)-IF(ISNUMBER(G1066),G1066,F1066))=0),"",(L1067-L1066)/(IF(ISNUMBER(G1067),G1067,F1067)-IF(ISNUMBER(G1066),G1066,F1066)))</f>
        <v/>
      </c>
      <c r="W1067" s="30">
        <f>IF(NOT(AND(ISNUMBER(N1067),ISNUMBER(P1067))),"",(P1067-N1067)*1440)</f>
        <v/>
      </c>
      <c r="X1067" s="28" t="n"/>
      <c r="Y1067" s="28" t="n"/>
      <c r="Z1067" s="28" t="n"/>
      <c r="AA1067" s="31" t="n"/>
      <c r="AB1067" s="31" t="n"/>
    </row>
    <row r="1068">
      <c r="A1068" s="25" t="inlineStr">
        <is>
          <t>S21</t>
        </is>
      </c>
      <c r="B1068" s="25" t="inlineStr">
        <is>
          <t>담양 신규점2</t>
        </is>
      </c>
      <c r="C1068" s="25" t="inlineStr">
        <is>
          <t>S21-H서</t>
        </is>
      </c>
      <c r="D1068" s="25" t="inlineStr">
        <is>
          <t>측정</t>
        </is>
      </c>
      <c r="E1068" s="25" t="inlineStr">
        <is>
          <t>서</t>
        </is>
      </c>
      <c r="F1068" s="30" t="n">
        <v>9</v>
      </c>
      <c r="G1068" s="29" t="n"/>
      <c r="H1068" s="42" t="n"/>
      <c r="I1068" s="40" t="n"/>
      <c r="J1068" s="40" t="n"/>
      <c r="K1068" s="40" t="n"/>
      <c r="L1068" s="30">
        <f>IF(COUNT(I1068:K1068)=0,"",MEDIAN(I1068:K1068))</f>
        <v/>
      </c>
      <c r="M1068" s="25">
        <f>IF(COUNTIFS($C:$C,$C1068,$D:$D,"P0(전)",$L:$L,"&gt;0")&lt;&gt;1,"P0(전) 유효 1개 아님",IF(COUNTIFS($C:$C,$C1068,$D:$D,"P0(후)",$L:$L,"&gt;0")&lt;&gt;1,"P0(후) 유효 1개 아님",IF(NOT(AND(ISNUMBER(N1068),ISNUMBER(P1068),ISNUMBER(H1068))),"시각 결측",IF(P1068&lt;=N1068,"P0 시각 역전",IF(OR(H1068&lt;N1068,H1068&gt;P1068),"측정시각 구간 밖","OK")))))</f>
        <v/>
      </c>
      <c r="N1068" s="45">
        <f>IF(COUNTIFS($C:$C,$C1068,$D:$D,"P0(전)",$L:$L,"&gt;0")&lt;&gt;1,"",SUMIFS($H:$H,$C:$C,$C1068,$D:$D,"P0(전)"))</f>
        <v/>
      </c>
      <c r="O1068" s="30">
        <f>IF(COUNTIFS($C:$C,$C1068,$D:$D,"P0(전)",$L:$L,"&gt;0")&lt;&gt;1,"",SUMIFS($L:$L,$C:$C,$C1068,$D:$D,"P0(전)"))</f>
        <v/>
      </c>
      <c r="P1068" s="45">
        <f>IF(COUNTIFS($C:$C,$C1068,$D:$D,"P0(후)",$L:$L,"&gt;0")&lt;&gt;1,"",SUMIFS($H:$H,$C:$C,$C1068,$D:$D,"P0(후)"))</f>
        <v/>
      </c>
      <c r="Q1068" s="30">
        <f>IF(COUNTIFS($C:$C,$C1068,$D:$D,"P0(후)",$L:$L,"&gt;0")&lt;&gt;1,"",SUMIFS($L:$L,$C:$C,$C1068,$D:$D,"P0(후)"))</f>
        <v/>
      </c>
      <c r="R1068" s="30">
        <f>IF(M1068&lt;&gt;"OK","",O1068+(Q1068-O1068)*(H1068-N1068)/(P1068-N1068))</f>
        <v/>
      </c>
      <c r="S1068" s="30">
        <f>IF(OR(M1068&lt;&gt;"OK",NOT(ISNUMBER(L1068))),"",L1068-R1068)</f>
        <v/>
      </c>
      <c r="T1068" s="46">
        <f>IF(OR(NOT(ISNUMBER(S1068)),IF(ISNUMBER(G1068),G1068,F1068)=0),"",S1068/IF(ISNUMBER(G1068),G1068,F1068))</f>
        <v/>
      </c>
      <c r="U1068" s="46">
        <f>IF(ISNUMBER(T1068),ABS(T1068),"")</f>
        <v/>
      </c>
      <c r="V1068" s="46">
        <f>IF(OR($D1067&lt;&gt;"측정",$C1067&lt;&gt;$C1068,NOT(ISNUMBER(L1068)),NOT(ISNUMBER(L1067)),(IF(ISNUMBER(G1068),G1068,F1068)-IF(ISNUMBER(G1067),G1067,F1067))=0),"",(L1068-L1067)/(IF(ISNUMBER(G1068),G1068,F1068)-IF(ISNUMBER(G1067),G1067,F1067)))</f>
        <v/>
      </c>
      <c r="W1068" s="30">
        <f>IF(NOT(AND(ISNUMBER(N1068),ISNUMBER(P1068))),"",(P1068-N1068)*1440)</f>
        <v/>
      </c>
      <c r="X1068" s="28" t="n"/>
      <c r="Y1068" s="28" t="n"/>
      <c r="Z1068" s="28" t="n"/>
      <c r="AA1068" s="31" t="n"/>
      <c r="AB1068" s="31" t="n"/>
    </row>
    <row r="1069">
      <c r="A1069" s="25" t="inlineStr">
        <is>
          <t>S21</t>
        </is>
      </c>
      <c r="B1069" s="25" t="inlineStr">
        <is>
          <t>담양 신규점2</t>
        </is>
      </c>
      <c r="C1069" s="25" t="inlineStr">
        <is>
          <t>S21-H서</t>
        </is>
      </c>
      <c r="D1069" s="25" t="inlineStr">
        <is>
          <t>측정</t>
        </is>
      </c>
      <c r="E1069" s="25" t="inlineStr">
        <is>
          <t>서</t>
        </is>
      </c>
      <c r="F1069" s="30" t="n">
        <v>10</v>
      </c>
      <c r="G1069" s="29" t="n"/>
      <c r="H1069" s="42" t="n"/>
      <c r="I1069" s="40" t="n"/>
      <c r="J1069" s="40" t="n"/>
      <c r="K1069" s="40" t="n"/>
      <c r="L1069" s="30">
        <f>IF(COUNT(I1069:K1069)=0,"",MEDIAN(I1069:K1069))</f>
        <v/>
      </c>
      <c r="M1069" s="25">
        <f>IF(COUNTIFS($C:$C,$C1069,$D:$D,"P0(전)",$L:$L,"&gt;0")&lt;&gt;1,"P0(전) 유효 1개 아님",IF(COUNTIFS($C:$C,$C1069,$D:$D,"P0(후)",$L:$L,"&gt;0")&lt;&gt;1,"P0(후) 유효 1개 아님",IF(NOT(AND(ISNUMBER(N1069),ISNUMBER(P1069),ISNUMBER(H1069))),"시각 결측",IF(P1069&lt;=N1069,"P0 시각 역전",IF(OR(H1069&lt;N1069,H1069&gt;P1069),"측정시각 구간 밖","OK")))))</f>
        <v/>
      </c>
      <c r="N1069" s="45">
        <f>IF(COUNTIFS($C:$C,$C1069,$D:$D,"P0(전)",$L:$L,"&gt;0")&lt;&gt;1,"",SUMIFS($H:$H,$C:$C,$C1069,$D:$D,"P0(전)"))</f>
        <v/>
      </c>
      <c r="O1069" s="30">
        <f>IF(COUNTIFS($C:$C,$C1069,$D:$D,"P0(전)",$L:$L,"&gt;0")&lt;&gt;1,"",SUMIFS($L:$L,$C:$C,$C1069,$D:$D,"P0(전)"))</f>
        <v/>
      </c>
      <c r="P1069" s="45">
        <f>IF(COUNTIFS($C:$C,$C1069,$D:$D,"P0(후)",$L:$L,"&gt;0")&lt;&gt;1,"",SUMIFS($H:$H,$C:$C,$C1069,$D:$D,"P0(후)"))</f>
        <v/>
      </c>
      <c r="Q1069" s="30">
        <f>IF(COUNTIFS($C:$C,$C1069,$D:$D,"P0(후)",$L:$L,"&gt;0")&lt;&gt;1,"",SUMIFS($L:$L,$C:$C,$C1069,$D:$D,"P0(후)"))</f>
        <v/>
      </c>
      <c r="R1069" s="30">
        <f>IF(M1069&lt;&gt;"OK","",O1069+(Q1069-O1069)*(H1069-N1069)/(P1069-N1069))</f>
        <v/>
      </c>
      <c r="S1069" s="30">
        <f>IF(OR(M1069&lt;&gt;"OK",NOT(ISNUMBER(L1069))),"",L1069-R1069)</f>
        <v/>
      </c>
      <c r="T1069" s="46">
        <f>IF(OR(NOT(ISNUMBER(S1069)),IF(ISNUMBER(G1069),G1069,F1069)=0),"",S1069/IF(ISNUMBER(G1069),G1069,F1069))</f>
        <v/>
      </c>
      <c r="U1069" s="46">
        <f>IF(ISNUMBER(T1069),ABS(T1069),"")</f>
        <v/>
      </c>
      <c r="V1069" s="46">
        <f>IF(OR($D1068&lt;&gt;"측정",$C1068&lt;&gt;$C1069,NOT(ISNUMBER(L1069)),NOT(ISNUMBER(L1068)),(IF(ISNUMBER(G1069),G1069,F1069)-IF(ISNUMBER(G1068),G1068,F1068))=0),"",(L1069-L1068)/(IF(ISNUMBER(G1069),G1069,F1069)-IF(ISNUMBER(G1068),G1068,F1068)))</f>
        <v/>
      </c>
      <c r="W1069" s="30">
        <f>IF(NOT(AND(ISNUMBER(N1069),ISNUMBER(P1069))),"",(P1069-N1069)*1440)</f>
        <v/>
      </c>
      <c r="X1069" s="28" t="n"/>
      <c r="Y1069" s="28" t="n"/>
      <c r="Z1069" s="28" t="n"/>
      <c r="AA1069" s="31" t="n"/>
      <c r="AB1069" s="31" t="n"/>
    </row>
    <row r="1070">
      <c r="A1070" s="43" t="inlineStr">
        <is>
          <t>S21</t>
        </is>
      </c>
      <c r="B1070" s="43" t="inlineStr">
        <is>
          <t>담양 신규점2</t>
        </is>
      </c>
      <c r="C1070" s="43" t="inlineStr">
        <is>
          <t>S21-H서</t>
        </is>
      </c>
      <c r="D1070" s="43" t="inlineStr">
        <is>
          <t>P0(후)</t>
        </is>
      </c>
      <c r="E1070" s="43" t="inlineStr">
        <is>
          <t>서</t>
        </is>
      </c>
      <c r="F1070" s="44" t="n"/>
      <c r="G1070" s="29" t="n"/>
      <c r="H1070" s="42" t="n"/>
      <c r="I1070" s="40" t="n"/>
      <c r="J1070" s="40" t="n"/>
      <c r="K1070" s="40" t="n"/>
      <c r="L1070" s="30">
        <f>IF(COUNT(I1070:K1070)=0,"",MEDIAN(I1070:K1070))</f>
        <v/>
      </c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28" t="n"/>
      <c r="Y1070" s="28" t="n"/>
      <c r="Z1070" s="28" t="n"/>
      <c r="AA1070" s="31" t="n"/>
      <c r="AB1070" s="31" t="n"/>
    </row>
    <row r="1071">
      <c r="A1071" s="43" t="inlineStr">
        <is>
          <t>S21</t>
        </is>
      </c>
      <c r="B1071" s="43" t="inlineStr">
        <is>
          <t>담양 신규점2</t>
        </is>
      </c>
      <c r="C1071" s="43" t="inlineStr">
        <is>
          <t>S21-H남</t>
        </is>
      </c>
      <c r="D1071" s="43" t="inlineStr">
        <is>
          <t>P0(전)</t>
        </is>
      </c>
      <c r="E1071" s="43" t="inlineStr">
        <is>
          <t>남</t>
        </is>
      </c>
      <c r="F1071" s="44" t="n"/>
      <c r="G1071" s="29" t="n"/>
      <c r="H1071" s="42" t="n"/>
      <c r="I1071" s="40" t="n"/>
      <c r="J1071" s="40" t="n"/>
      <c r="K1071" s="40" t="n"/>
      <c r="L1071" s="30">
        <f>IF(COUNT(I1071:K1071)=0,"",MEDIAN(I1071:K1071))</f>
        <v/>
      </c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28" t="n"/>
      <c r="Y1071" s="28" t="n"/>
      <c r="Z1071" s="28" t="n"/>
      <c r="AA1071" s="31" t="n"/>
      <c r="AB1071" s="31" t="n"/>
    </row>
    <row r="1072">
      <c r="A1072" s="25" t="inlineStr">
        <is>
          <t>S21</t>
        </is>
      </c>
      <c r="B1072" s="25" t="inlineStr">
        <is>
          <t>담양 신규점2</t>
        </is>
      </c>
      <c r="C1072" s="25" t="inlineStr">
        <is>
          <t>S21-H남</t>
        </is>
      </c>
      <c r="D1072" s="25" t="inlineStr">
        <is>
          <t>측정</t>
        </is>
      </c>
      <c r="E1072" s="25" t="inlineStr">
        <is>
          <t>남</t>
        </is>
      </c>
      <c r="F1072" s="30" t="n">
        <v>0.5</v>
      </c>
      <c r="G1072" s="29" t="n"/>
      <c r="H1072" s="42" t="n"/>
      <c r="I1072" s="40" t="n"/>
      <c r="J1072" s="40" t="n"/>
      <c r="K1072" s="40" t="n"/>
      <c r="L1072" s="30">
        <f>IF(COUNT(I1072:K1072)=0,"",MEDIAN(I1072:K1072))</f>
        <v/>
      </c>
      <c r="M1072" s="25">
        <f>IF(COUNTIFS($C:$C,$C1072,$D:$D,"P0(전)",$L:$L,"&gt;0")&lt;&gt;1,"P0(전) 유효 1개 아님",IF(COUNTIFS($C:$C,$C1072,$D:$D,"P0(후)",$L:$L,"&gt;0")&lt;&gt;1,"P0(후) 유효 1개 아님",IF(NOT(AND(ISNUMBER(N1072),ISNUMBER(P1072),ISNUMBER(H1072))),"시각 결측",IF(P1072&lt;=N1072,"P0 시각 역전",IF(OR(H1072&lt;N1072,H1072&gt;P1072),"측정시각 구간 밖","OK")))))</f>
        <v/>
      </c>
      <c r="N1072" s="45">
        <f>IF(COUNTIFS($C:$C,$C1072,$D:$D,"P0(전)",$L:$L,"&gt;0")&lt;&gt;1,"",SUMIFS($H:$H,$C:$C,$C1072,$D:$D,"P0(전)"))</f>
        <v/>
      </c>
      <c r="O1072" s="30">
        <f>IF(COUNTIFS($C:$C,$C1072,$D:$D,"P0(전)",$L:$L,"&gt;0")&lt;&gt;1,"",SUMIFS($L:$L,$C:$C,$C1072,$D:$D,"P0(전)"))</f>
        <v/>
      </c>
      <c r="P1072" s="45">
        <f>IF(COUNTIFS($C:$C,$C1072,$D:$D,"P0(후)",$L:$L,"&gt;0")&lt;&gt;1,"",SUMIFS($H:$H,$C:$C,$C1072,$D:$D,"P0(후)"))</f>
        <v/>
      </c>
      <c r="Q1072" s="30">
        <f>IF(COUNTIFS($C:$C,$C1072,$D:$D,"P0(후)",$L:$L,"&gt;0")&lt;&gt;1,"",SUMIFS($L:$L,$C:$C,$C1072,$D:$D,"P0(후)"))</f>
        <v/>
      </c>
      <c r="R1072" s="30">
        <f>IF(M1072&lt;&gt;"OK","",O1072+(Q1072-O1072)*(H1072-N1072)/(P1072-N1072))</f>
        <v/>
      </c>
      <c r="S1072" s="30">
        <f>IF(OR(M1072&lt;&gt;"OK",NOT(ISNUMBER(L1072))),"",L1072-R1072)</f>
        <v/>
      </c>
      <c r="T1072" s="46">
        <f>IF(OR(NOT(ISNUMBER(S1072)),IF(ISNUMBER(G1072),G1072,F1072)=0),"",S1072/IF(ISNUMBER(G1072),G1072,F1072))</f>
        <v/>
      </c>
      <c r="U1072" s="46">
        <f>IF(ISNUMBER(T1072),ABS(T1072),"")</f>
        <v/>
      </c>
      <c r="V1072" s="46">
        <f>IF(OR($D1071&lt;&gt;"측정",$C1071&lt;&gt;$C1072,NOT(ISNUMBER(L1072)),NOT(ISNUMBER(L1071)),(IF(ISNUMBER(G1072),G1072,F1072)-IF(ISNUMBER(G1071),G1071,F1071))=0),"",(L1072-L1071)/(IF(ISNUMBER(G1072),G1072,F1072)-IF(ISNUMBER(G1071),G1071,F1071)))</f>
        <v/>
      </c>
      <c r="W1072" s="30">
        <f>IF(NOT(AND(ISNUMBER(N1072),ISNUMBER(P1072))),"",(P1072-N1072)*1440)</f>
        <v/>
      </c>
      <c r="X1072" s="28" t="n"/>
      <c r="Y1072" s="28" t="n"/>
      <c r="Z1072" s="28" t="n"/>
      <c r="AA1072" s="31" t="n"/>
      <c r="AB1072" s="31" t="n"/>
    </row>
    <row r="1073">
      <c r="A1073" s="25" t="inlineStr">
        <is>
          <t>S21</t>
        </is>
      </c>
      <c r="B1073" s="25" t="inlineStr">
        <is>
          <t>담양 신규점2</t>
        </is>
      </c>
      <c r="C1073" s="25" t="inlineStr">
        <is>
          <t>S21-H남</t>
        </is>
      </c>
      <c r="D1073" s="25" t="inlineStr">
        <is>
          <t>측정</t>
        </is>
      </c>
      <c r="E1073" s="25" t="inlineStr">
        <is>
          <t>남</t>
        </is>
      </c>
      <c r="F1073" s="30" t="n">
        <v>1</v>
      </c>
      <c r="G1073" s="29" t="n"/>
      <c r="H1073" s="42" t="n"/>
      <c r="I1073" s="40" t="n"/>
      <c r="J1073" s="40" t="n"/>
      <c r="K1073" s="40" t="n"/>
      <c r="L1073" s="30">
        <f>IF(COUNT(I1073:K1073)=0,"",MEDIAN(I1073:K1073))</f>
        <v/>
      </c>
      <c r="M1073" s="25">
        <f>IF(COUNTIFS($C:$C,$C1073,$D:$D,"P0(전)",$L:$L,"&gt;0")&lt;&gt;1,"P0(전) 유효 1개 아님",IF(COUNTIFS($C:$C,$C1073,$D:$D,"P0(후)",$L:$L,"&gt;0")&lt;&gt;1,"P0(후) 유효 1개 아님",IF(NOT(AND(ISNUMBER(N1073),ISNUMBER(P1073),ISNUMBER(H1073))),"시각 결측",IF(P1073&lt;=N1073,"P0 시각 역전",IF(OR(H1073&lt;N1073,H1073&gt;P1073),"측정시각 구간 밖","OK")))))</f>
        <v/>
      </c>
      <c r="N1073" s="45">
        <f>IF(COUNTIFS($C:$C,$C1073,$D:$D,"P0(전)",$L:$L,"&gt;0")&lt;&gt;1,"",SUMIFS($H:$H,$C:$C,$C1073,$D:$D,"P0(전)"))</f>
        <v/>
      </c>
      <c r="O1073" s="30">
        <f>IF(COUNTIFS($C:$C,$C1073,$D:$D,"P0(전)",$L:$L,"&gt;0")&lt;&gt;1,"",SUMIFS($L:$L,$C:$C,$C1073,$D:$D,"P0(전)"))</f>
        <v/>
      </c>
      <c r="P1073" s="45">
        <f>IF(COUNTIFS($C:$C,$C1073,$D:$D,"P0(후)",$L:$L,"&gt;0")&lt;&gt;1,"",SUMIFS($H:$H,$C:$C,$C1073,$D:$D,"P0(후)"))</f>
        <v/>
      </c>
      <c r="Q1073" s="30">
        <f>IF(COUNTIFS($C:$C,$C1073,$D:$D,"P0(후)",$L:$L,"&gt;0")&lt;&gt;1,"",SUMIFS($L:$L,$C:$C,$C1073,$D:$D,"P0(후)"))</f>
        <v/>
      </c>
      <c r="R1073" s="30">
        <f>IF(M1073&lt;&gt;"OK","",O1073+(Q1073-O1073)*(H1073-N1073)/(P1073-N1073))</f>
        <v/>
      </c>
      <c r="S1073" s="30">
        <f>IF(OR(M1073&lt;&gt;"OK",NOT(ISNUMBER(L1073))),"",L1073-R1073)</f>
        <v/>
      </c>
      <c r="T1073" s="46">
        <f>IF(OR(NOT(ISNUMBER(S1073)),IF(ISNUMBER(G1073),G1073,F1073)=0),"",S1073/IF(ISNUMBER(G1073),G1073,F1073))</f>
        <v/>
      </c>
      <c r="U1073" s="46">
        <f>IF(ISNUMBER(T1073),ABS(T1073),"")</f>
        <v/>
      </c>
      <c r="V1073" s="46">
        <f>IF(OR($D1072&lt;&gt;"측정",$C1072&lt;&gt;$C1073,NOT(ISNUMBER(L1073)),NOT(ISNUMBER(L1072)),(IF(ISNUMBER(G1073),G1073,F1073)-IF(ISNUMBER(G1072),G1072,F1072))=0),"",(L1073-L1072)/(IF(ISNUMBER(G1073),G1073,F1073)-IF(ISNUMBER(G1072),G1072,F1072)))</f>
        <v/>
      </c>
      <c r="W1073" s="30">
        <f>IF(NOT(AND(ISNUMBER(N1073),ISNUMBER(P1073))),"",(P1073-N1073)*1440)</f>
        <v/>
      </c>
      <c r="X1073" s="28" t="n"/>
      <c r="Y1073" s="28" t="n"/>
      <c r="Z1073" s="28" t="n"/>
      <c r="AA1073" s="31" t="n"/>
      <c r="AB1073" s="31" t="n"/>
    </row>
    <row r="1074">
      <c r="A1074" s="25" t="inlineStr">
        <is>
          <t>S21</t>
        </is>
      </c>
      <c r="B1074" s="25" t="inlineStr">
        <is>
          <t>담양 신규점2</t>
        </is>
      </c>
      <c r="C1074" s="25" t="inlineStr">
        <is>
          <t>S21-H남</t>
        </is>
      </c>
      <c r="D1074" s="25" t="inlineStr">
        <is>
          <t>측정</t>
        </is>
      </c>
      <c r="E1074" s="25" t="inlineStr">
        <is>
          <t>남</t>
        </is>
      </c>
      <c r="F1074" s="30" t="n">
        <v>2</v>
      </c>
      <c r="G1074" s="29" t="n"/>
      <c r="H1074" s="42" t="n"/>
      <c r="I1074" s="40" t="n"/>
      <c r="J1074" s="40" t="n"/>
      <c r="K1074" s="40" t="n"/>
      <c r="L1074" s="30">
        <f>IF(COUNT(I1074:K1074)=0,"",MEDIAN(I1074:K1074))</f>
        <v/>
      </c>
      <c r="M1074" s="25">
        <f>IF(COUNTIFS($C:$C,$C1074,$D:$D,"P0(전)",$L:$L,"&gt;0")&lt;&gt;1,"P0(전) 유효 1개 아님",IF(COUNTIFS($C:$C,$C1074,$D:$D,"P0(후)",$L:$L,"&gt;0")&lt;&gt;1,"P0(후) 유효 1개 아님",IF(NOT(AND(ISNUMBER(N1074),ISNUMBER(P1074),ISNUMBER(H1074))),"시각 결측",IF(P1074&lt;=N1074,"P0 시각 역전",IF(OR(H1074&lt;N1074,H1074&gt;P1074),"측정시각 구간 밖","OK")))))</f>
        <v/>
      </c>
      <c r="N1074" s="45">
        <f>IF(COUNTIFS($C:$C,$C1074,$D:$D,"P0(전)",$L:$L,"&gt;0")&lt;&gt;1,"",SUMIFS($H:$H,$C:$C,$C1074,$D:$D,"P0(전)"))</f>
        <v/>
      </c>
      <c r="O1074" s="30">
        <f>IF(COUNTIFS($C:$C,$C1074,$D:$D,"P0(전)",$L:$L,"&gt;0")&lt;&gt;1,"",SUMIFS($L:$L,$C:$C,$C1074,$D:$D,"P0(전)"))</f>
        <v/>
      </c>
      <c r="P1074" s="45">
        <f>IF(COUNTIFS($C:$C,$C1074,$D:$D,"P0(후)",$L:$L,"&gt;0")&lt;&gt;1,"",SUMIFS($H:$H,$C:$C,$C1074,$D:$D,"P0(후)"))</f>
        <v/>
      </c>
      <c r="Q1074" s="30">
        <f>IF(COUNTIFS($C:$C,$C1074,$D:$D,"P0(후)",$L:$L,"&gt;0")&lt;&gt;1,"",SUMIFS($L:$L,$C:$C,$C1074,$D:$D,"P0(후)"))</f>
        <v/>
      </c>
      <c r="R1074" s="30">
        <f>IF(M1074&lt;&gt;"OK","",O1074+(Q1074-O1074)*(H1074-N1074)/(P1074-N1074))</f>
        <v/>
      </c>
      <c r="S1074" s="30">
        <f>IF(OR(M1074&lt;&gt;"OK",NOT(ISNUMBER(L1074))),"",L1074-R1074)</f>
        <v/>
      </c>
      <c r="T1074" s="46">
        <f>IF(OR(NOT(ISNUMBER(S1074)),IF(ISNUMBER(G1074),G1074,F1074)=0),"",S1074/IF(ISNUMBER(G1074),G1074,F1074))</f>
        <v/>
      </c>
      <c r="U1074" s="46">
        <f>IF(ISNUMBER(T1074),ABS(T1074),"")</f>
        <v/>
      </c>
      <c r="V1074" s="46">
        <f>IF(OR($D1073&lt;&gt;"측정",$C1073&lt;&gt;$C1074,NOT(ISNUMBER(L1074)),NOT(ISNUMBER(L1073)),(IF(ISNUMBER(G1074),G1074,F1074)-IF(ISNUMBER(G1073),G1073,F1073))=0),"",(L1074-L1073)/(IF(ISNUMBER(G1074),G1074,F1074)-IF(ISNUMBER(G1073),G1073,F1073)))</f>
        <v/>
      </c>
      <c r="W1074" s="30">
        <f>IF(NOT(AND(ISNUMBER(N1074),ISNUMBER(P1074))),"",(P1074-N1074)*1440)</f>
        <v/>
      </c>
      <c r="X1074" s="28" t="n"/>
      <c r="Y1074" s="28" t="n"/>
      <c r="Z1074" s="28" t="n"/>
      <c r="AA1074" s="31" t="n"/>
      <c r="AB1074" s="31" t="n"/>
    </row>
    <row r="1075">
      <c r="A1075" s="25" t="inlineStr">
        <is>
          <t>S21</t>
        </is>
      </c>
      <c r="B1075" s="25" t="inlineStr">
        <is>
          <t>담양 신규점2</t>
        </is>
      </c>
      <c r="C1075" s="25" t="inlineStr">
        <is>
          <t>S21-H남</t>
        </is>
      </c>
      <c r="D1075" s="25" t="inlineStr">
        <is>
          <t>측정</t>
        </is>
      </c>
      <c r="E1075" s="25" t="inlineStr">
        <is>
          <t>남</t>
        </is>
      </c>
      <c r="F1075" s="30" t="n">
        <v>3</v>
      </c>
      <c r="G1075" s="29" t="n"/>
      <c r="H1075" s="42" t="n"/>
      <c r="I1075" s="40" t="n"/>
      <c r="J1075" s="40" t="n"/>
      <c r="K1075" s="40" t="n"/>
      <c r="L1075" s="30">
        <f>IF(COUNT(I1075:K1075)=0,"",MEDIAN(I1075:K1075))</f>
        <v/>
      </c>
      <c r="M1075" s="25">
        <f>IF(COUNTIFS($C:$C,$C1075,$D:$D,"P0(전)",$L:$L,"&gt;0")&lt;&gt;1,"P0(전) 유효 1개 아님",IF(COUNTIFS($C:$C,$C1075,$D:$D,"P0(후)",$L:$L,"&gt;0")&lt;&gt;1,"P0(후) 유효 1개 아님",IF(NOT(AND(ISNUMBER(N1075),ISNUMBER(P1075),ISNUMBER(H1075))),"시각 결측",IF(P1075&lt;=N1075,"P0 시각 역전",IF(OR(H1075&lt;N1075,H1075&gt;P1075),"측정시각 구간 밖","OK")))))</f>
        <v/>
      </c>
      <c r="N1075" s="45">
        <f>IF(COUNTIFS($C:$C,$C1075,$D:$D,"P0(전)",$L:$L,"&gt;0")&lt;&gt;1,"",SUMIFS($H:$H,$C:$C,$C1075,$D:$D,"P0(전)"))</f>
        <v/>
      </c>
      <c r="O1075" s="30">
        <f>IF(COUNTIFS($C:$C,$C1075,$D:$D,"P0(전)",$L:$L,"&gt;0")&lt;&gt;1,"",SUMIFS($L:$L,$C:$C,$C1075,$D:$D,"P0(전)"))</f>
        <v/>
      </c>
      <c r="P1075" s="45">
        <f>IF(COUNTIFS($C:$C,$C1075,$D:$D,"P0(후)",$L:$L,"&gt;0")&lt;&gt;1,"",SUMIFS($H:$H,$C:$C,$C1075,$D:$D,"P0(후)"))</f>
        <v/>
      </c>
      <c r="Q1075" s="30">
        <f>IF(COUNTIFS($C:$C,$C1075,$D:$D,"P0(후)",$L:$L,"&gt;0")&lt;&gt;1,"",SUMIFS($L:$L,$C:$C,$C1075,$D:$D,"P0(후)"))</f>
        <v/>
      </c>
      <c r="R1075" s="30">
        <f>IF(M1075&lt;&gt;"OK","",O1075+(Q1075-O1075)*(H1075-N1075)/(P1075-N1075))</f>
        <v/>
      </c>
      <c r="S1075" s="30">
        <f>IF(OR(M1075&lt;&gt;"OK",NOT(ISNUMBER(L1075))),"",L1075-R1075)</f>
        <v/>
      </c>
      <c r="T1075" s="46">
        <f>IF(OR(NOT(ISNUMBER(S1075)),IF(ISNUMBER(G1075),G1075,F1075)=0),"",S1075/IF(ISNUMBER(G1075),G1075,F1075))</f>
        <v/>
      </c>
      <c r="U1075" s="46">
        <f>IF(ISNUMBER(T1075),ABS(T1075),"")</f>
        <v/>
      </c>
      <c r="V1075" s="46">
        <f>IF(OR($D1074&lt;&gt;"측정",$C1074&lt;&gt;$C1075,NOT(ISNUMBER(L1075)),NOT(ISNUMBER(L1074)),(IF(ISNUMBER(G1075),G1075,F1075)-IF(ISNUMBER(G1074),G1074,F1074))=0),"",(L1075-L1074)/(IF(ISNUMBER(G1075),G1075,F1075)-IF(ISNUMBER(G1074),G1074,F1074)))</f>
        <v/>
      </c>
      <c r="W1075" s="30">
        <f>IF(NOT(AND(ISNUMBER(N1075),ISNUMBER(P1075))),"",(P1075-N1075)*1440)</f>
        <v/>
      </c>
      <c r="X1075" s="28" t="n"/>
      <c r="Y1075" s="28" t="n"/>
      <c r="Z1075" s="28" t="n"/>
      <c r="AA1075" s="31" t="n"/>
      <c r="AB1075" s="31" t="n"/>
    </row>
    <row r="1076">
      <c r="A1076" s="25" t="inlineStr">
        <is>
          <t>S21</t>
        </is>
      </c>
      <c r="B1076" s="25" t="inlineStr">
        <is>
          <t>담양 신규점2</t>
        </is>
      </c>
      <c r="C1076" s="25" t="inlineStr">
        <is>
          <t>S21-H남</t>
        </is>
      </c>
      <c r="D1076" s="25" t="inlineStr">
        <is>
          <t>측정</t>
        </is>
      </c>
      <c r="E1076" s="25" t="inlineStr">
        <is>
          <t>남</t>
        </is>
      </c>
      <c r="F1076" s="30" t="n">
        <v>4</v>
      </c>
      <c r="G1076" s="29" t="n"/>
      <c r="H1076" s="42" t="n"/>
      <c r="I1076" s="40" t="n"/>
      <c r="J1076" s="40" t="n"/>
      <c r="K1076" s="40" t="n"/>
      <c r="L1076" s="30">
        <f>IF(COUNT(I1076:K1076)=0,"",MEDIAN(I1076:K1076))</f>
        <v/>
      </c>
      <c r="M1076" s="25">
        <f>IF(COUNTIFS($C:$C,$C1076,$D:$D,"P0(전)",$L:$L,"&gt;0")&lt;&gt;1,"P0(전) 유효 1개 아님",IF(COUNTIFS($C:$C,$C1076,$D:$D,"P0(후)",$L:$L,"&gt;0")&lt;&gt;1,"P0(후) 유효 1개 아님",IF(NOT(AND(ISNUMBER(N1076),ISNUMBER(P1076),ISNUMBER(H1076))),"시각 결측",IF(P1076&lt;=N1076,"P0 시각 역전",IF(OR(H1076&lt;N1076,H1076&gt;P1076),"측정시각 구간 밖","OK")))))</f>
        <v/>
      </c>
      <c r="N1076" s="45">
        <f>IF(COUNTIFS($C:$C,$C1076,$D:$D,"P0(전)",$L:$L,"&gt;0")&lt;&gt;1,"",SUMIFS($H:$H,$C:$C,$C1076,$D:$D,"P0(전)"))</f>
        <v/>
      </c>
      <c r="O1076" s="30">
        <f>IF(COUNTIFS($C:$C,$C1076,$D:$D,"P0(전)",$L:$L,"&gt;0")&lt;&gt;1,"",SUMIFS($L:$L,$C:$C,$C1076,$D:$D,"P0(전)"))</f>
        <v/>
      </c>
      <c r="P1076" s="45">
        <f>IF(COUNTIFS($C:$C,$C1076,$D:$D,"P0(후)",$L:$L,"&gt;0")&lt;&gt;1,"",SUMIFS($H:$H,$C:$C,$C1076,$D:$D,"P0(후)"))</f>
        <v/>
      </c>
      <c r="Q1076" s="30">
        <f>IF(COUNTIFS($C:$C,$C1076,$D:$D,"P0(후)",$L:$L,"&gt;0")&lt;&gt;1,"",SUMIFS($L:$L,$C:$C,$C1076,$D:$D,"P0(후)"))</f>
        <v/>
      </c>
      <c r="R1076" s="30">
        <f>IF(M1076&lt;&gt;"OK","",O1076+(Q1076-O1076)*(H1076-N1076)/(P1076-N1076))</f>
        <v/>
      </c>
      <c r="S1076" s="30">
        <f>IF(OR(M1076&lt;&gt;"OK",NOT(ISNUMBER(L1076))),"",L1076-R1076)</f>
        <v/>
      </c>
      <c r="T1076" s="46">
        <f>IF(OR(NOT(ISNUMBER(S1076)),IF(ISNUMBER(G1076),G1076,F1076)=0),"",S1076/IF(ISNUMBER(G1076),G1076,F1076))</f>
        <v/>
      </c>
      <c r="U1076" s="46">
        <f>IF(ISNUMBER(T1076),ABS(T1076),"")</f>
        <v/>
      </c>
      <c r="V1076" s="46">
        <f>IF(OR($D1075&lt;&gt;"측정",$C1075&lt;&gt;$C1076,NOT(ISNUMBER(L1076)),NOT(ISNUMBER(L1075)),(IF(ISNUMBER(G1076),G1076,F1076)-IF(ISNUMBER(G1075),G1075,F1075))=0),"",(L1076-L1075)/(IF(ISNUMBER(G1076),G1076,F1076)-IF(ISNUMBER(G1075),G1075,F1075)))</f>
        <v/>
      </c>
      <c r="W1076" s="30">
        <f>IF(NOT(AND(ISNUMBER(N1076),ISNUMBER(P1076))),"",(P1076-N1076)*1440)</f>
        <v/>
      </c>
      <c r="X1076" s="28" t="n"/>
      <c r="Y1076" s="28" t="n"/>
      <c r="Z1076" s="28" t="n"/>
      <c r="AA1076" s="31" t="n"/>
      <c r="AB1076" s="31" t="n"/>
    </row>
    <row r="1077">
      <c r="A1077" s="25" t="inlineStr">
        <is>
          <t>S21</t>
        </is>
      </c>
      <c r="B1077" s="25" t="inlineStr">
        <is>
          <t>담양 신규점2</t>
        </is>
      </c>
      <c r="C1077" s="25" t="inlineStr">
        <is>
          <t>S21-H남</t>
        </is>
      </c>
      <c r="D1077" s="25" t="inlineStr">
        <is>
          <t>측정</t>
        </is>
      </c>
      <c r="E1077" s="25" t="inlineStr">
        <is>
          <t>남</t>
        </is>
      </c>
      <c r="F1077" s="30" t="n">
        <v>5</v>
      </c>
      <c r="G1077" s="29" t="n"/>
      <c r="H1077" s="42" t="n"/>
      <c r="I1077" s="40" t="n"/>
      <c r="J1077" s="40" t="n"/>
      <c r="K1077" s="40" t="n"/>
      <c r="L1077" s="30">
        <f>IF(COUNT(I1077:K1077)=0,"",MEDIAN(I1077:K1077))</f>
        <v/>
      </c>
      <c r="M1077" s="25">
        <f>IF(COUNTIFS($C:$C,$C1077,$D:$D,"P0(전)",$L:$L,"&gt;0")&lt;&gt;1,"P0(전) 유효 1개 아님",IF(COUNTIFS($C:$C,$C1077,$D:$D,"P0(후)",$L:$L,"&gt;0")&lt;&gt;1,"P0(후) 유효 1개 아님",IF(NOT(AND(ISNUMBER(N1077),ISNUMBER(P1077),ISNUMBER(H1077))),"시각 결측",IF(P1077&lt;=N1077,"P0 시각 역전",IF(OR(H1077&lt;N1077,H1077&gt;P1077),"측정시각 구간 밖","OK")))))</f>
        <v/>
      </c>
      <c r="N1077" s="45">
        <f>IF(COUNTIFS($C:$C,$C1077,$D:$D,"P0(전)",$L:$L,"&gt;0")&lt;&gt;1,"",SUMIFS($H:$H,$C:$C,$C1077,$D:$D,"P0(전)"))</f>
        <v/>
      </c>
      <c r="O1077" s="30">
        <f>IF(COUNTIFS($C:$C,$C1077,$D:$D,"P0(전)",$L:$L,"&gt;0")&lt;&gt;1,"",SUMIFS($L:$L,$C:$C,$C1077,$D:$D,"P0(전)"))</f>
        <v/>
      </c>
      <c r="P1077" s="45">
        <f>IF(COUNTIFS($C:$C,$C1077,$D:$D,"P0(후)",$L:$L,"&gt;0")&lt;&gt;1,"",SUMIFS($H:$H,$C:$C,$C1077,$D:$D,"P0(후)"))</f>
        <v/>
      </c>
      <c r="Q1077" s="30">
        <f>IF(COUNTIFS($C:$C,$C1077,$D:$D,"P0(후)",$L:$L,"&gt;0")&lt;&gt;1,"",SUMIFS($L:$L,$C:$C,$C1077,$D:$D,"P0(후)"))</f>
        <v/>
      </c>
      <c r="R1077" s="30">
        <f>IF(M1077&lt;&gt;"OK","",O1077+(Q1077-O1077)*(H1077-N1077)/(P1077-N1077))</f>
        <v/>
      </c>
      <c r="S1077" s="30">
        <f>IF(OR(M1077&lt;&gt;"OK",NOT(ISNUMBER(L1077))),"",L1077-R1077)</f>
        <v/>
      </c>
      <c r="T1077" s="46">
        <f>IF(OR(NOT(ISNUMBER(S1077)),IF(ISNUMBER(G1077),G1077,F1077)=0),"",S1077/IF(ISNUMBER(G1077),G1077,F1077))</f>
        <v/>
      </c>
      <c r="U1077" s="46">
        <f>IF(ISNUMBER(T1077),ABS(T1077),"")</f>
        <v/>
      </c>
      <c r="V1077" s="46">
        <f>IF(OR($D1076&lt;&gt;"측정",$C1076&lt;&gt;$C1077,NOT(ISNUMBER(L1077)),NOT(ISNUMBER(L1076)),(IF(ISNUMBER(G1077),G1077,F1077)-IF(ISNUMBER(G1076),G1076,F1076))=0),"",(L1077-L1076)/(IF(ISNUMBER(G1077),G1077,F1077)-IF(ISNUMBER(G1076),G1076,F1076)))</f>
        <v/>
      </c>
      <c r="W1077" s="30">
        <f>IF(NOT(AND(ISNUMBER(N1077),ISNUMBER(P1077))),"",(P1077-N1077)*1440)</f>
        <v/>
      </c>
      <c r="X1077" s="28" t="n"/>
      <c r="Y1077" s="28" t="n"/>
      <c r="Z1077" s="28" t="n"/>
      <c r="AA1077" s="31" t="n"/>
      <c r="AB1077" s="31" t="n"/>
    </row>
    <row r="1078">
      <c r="A1078" s="25" t="inlineStr">
        <is>
          <t>S21</t>
        </is>
      </c>
      <c r="B1078" s="25" t="inlineStr">
        <is>
          <t>담양 신규점2</t>
        </is>
      </c>
      <c r="C1078" s="25" t="inlineStr">
        <is>
          <t>S21-H남</t>
        </is>
      </c>
      <c r="D1078" s="25" t="inlineStr">
        <is>
          <t>측정</t>
        </is>
      </c>
      <c r="E1078" s="25" t="inlineStr">
        <is>
          <t>남</t>
        </is>
      </c>
      <c r="F1078" s="30" t="n">
        <v>6</v>
      </c>
      <c r="G1078" s="29" t="n"/>
      <c r="H1078" s="42" t="n"/>
      <c r="I1078" s="40" t="n"/>
      <c r="J1078" s="40" t="n"/>
      <c r="K1078" s="40" t="n"/>
      <c r="L1078" s="30">
        <f>IF(COUNT(I1078:K1078)=0,"",MEDIAN(I1078:K1078))</f>
        <v/>
      </c>
      <c r="M1078" s="25">
        <f>IF(COUNTIFS($C:$C,$C1078,$D:$D,"P0(전)",$L:$L,"&gt;0")&lt;&gt;1,"P0(전) 유효 1개 아님",IF(COUNTIFS($C:$C,$C1078,$D:$D,"P0(후)",$L:$L,"&gt;0")&lt;&gt;1,"P0(후) 유효 1개 아님",IF(NOT(AND(ISNUMBER(N1078),ISNUMBER(P1078),ISNUMBER(H1078))),"시각 결측",IF(P1078&lt;=N1078,"P0 시각 역전",IF(OR(H1078&lt;N1078,H1078&gt;P1078),"측정시각 구간 밖","OK")))))</f>
        <v/>
      </c>
      <c r="N1078" s="45">
        <f>IF(COUNTIFS($C:$C,$C1078,$D:$D,"P0(전)",$L:$L,"&gt;0")&lt;&gt;1,"",SUMIFS($H:$H,$C:$C,$C1078,$D:$D,"P0(전)"))</f>
        <v/>
      </c>
      <c r="O1078" s="30">
        <f>IF(COUNTIFS($C:$C,$C1078,$D:$D,"P0(전)",$L:$L,"&gt;0")&lt;&gt;1,"",SUMIFS($L:$L,$C:$C,$C1078,$D:$D,"P0(전)"))</f>
        <v/>
      </c>
      <c r="P1078" s="45">
        <f>IF(COUNTIFS($C:$C,$C1078,$D:$D,"P0(후)",$L:$L,"&gt;0")&lt;&gt;1,"",SUMIFS($H:$H,$C:$C,$C1078,$D:$D,"P0(후)"))</f>
        <v/>
      </c>
      <c r="Q1078" s="30">
        <f>IF(COUNTIFS($C:$C,$C1078,$D:$D,"P0(후)",$L:$L,"&gt;0")&lt;&gt;1,"",SUMIFS($L:$L,$C:$C,$C1078,$D:$D,"P0(후)"))</f>
        <v/>
      </c>
      <c r="R1078" s="30">
        <f>IF(M1078&lt;&gt;"OK","",O1078+(Q1078-O1078)*(H1078-N1078)/(P1078-N1078))</f>
        <v/>
      </c>
      <c r="S1078" s="30">
        <f>IF(OR(M1078&lt;&gt;"OK",NOT(ISNUMBER(L1078))),"",L1078-R1078)</f>
        <v/>
      </c>
      <c r="T1078" s="46">
        <f>IF(OR(NOT(ISNUMBER(S1078)),IF(ISNUMBER(G1078),G1078,F1078)=0),"",S1078/IF(ISNUMBER(G1078),G1078,F1078))</f>
        <v/>
      </c>
      <c r="U1078" s="46">
        <f>IF(ISNUMBER(T1078),ABS(T1078),"")</f>
        <v/>
      </c>
      <c r="V1078" s="46">
        <f>IF(OR($D1077&lt;&gt;"측정",$C1077&lt;&gt;$C1078,NOT(ISNUMBER(L1078)),NOT(ISNUMBER(L1077)),(IF(ISNUMBER(G1078),G1078,F1078)-IF(ISNUMBER(G1077),G1077,F1077))=0),"",(L1078-L1077)/(IF(ISNUMBER(G1078),G1078,F1078)-IF(ISNUMBER(G1077),G1077,F1077)))</f>
        <v/>
      </c>
      <c r="W1078" s="30">
        <f>IF(NOT(AND(ISNUMBER(N1078),ISNUMBER(P1078))),"",(P1078-N1078)*1440)</f>
        <v/>
      </c>
      <c r="X1078" s="28" t="n"/>
      <c r="Y1078" s="28" t="n"/>
      <c r="Z1078" s="28" t="n"/>
      <c r="AA1078" s="31" t="n"/>
      <c r="AB1078" s="31" t="n"/>
    </row>
    <row r="1079">
      <c r="A1079" s="25" t="inlineStr">
        <is>
          <t>S21</t>
        </is>
      </c>
      <c r="B1079" s="25" t="inlineStr">
        <is>
          <t>담양 신규점2</t>
        </is>
      </c>
      <c r="C1079" s="25" t="inlineStr">
        <is>
          <t>S21-H남</t>
        </is>
      </c>
      <c r="D1079" s="25" t="inlineStr">
        <is>
          <t>측정</t>
        </is>
      </c>
      <c r="E1079" s="25" t="inlineStr">
        <is>
          <t>남</t>
        </is>
      </c>
      <c r="F1079" s="30" t="n">
        <v>7</v>
      </c>
      <c r="G1079" s="29" t="n"/>
      <c r="H1079" s="42" t="n"/>
      <c r="I1079" s="40" t="n"/>
      <c r="J1079" s="40" t="n"/>
      <c r="K1079" s="40" t="n"/>
      <c r="L1079" s="30">
        <f>IF(COUNT(I1079:K1079)=0,"",MEDIAN(I1079:K1079))</f>
        <v/>
      </c>
      <c r="M1079" s="25">
        <f>IF(COUNTIFS($C:$C,$C1079,$D:$D,"P0(전)",$L:$L,"&gt;0")&lt;&gt;1,"P0(전) 유효 1개 아님",IF(COUNTIFS($C:$C,$C1079,$D:$D,"P0(후)",$L:$L,"&gt;0")&lt;&gt;1,"P0(후) 유효 1개 아님",IF(NOT(AND(ISNUMBER(N1079),ISNUMBER(P1079),ISNUMBER(H1079))),"시각 결측",IF(P1079&lt;=N1079,"P0 시각 역전",IF(OR(H1079&lt;N1079,H1079&gt;P1079),"측정시각 구간 밖","OK")))))</f>
        <v/>
      </c>
      <c r="N1079" s="45">
        <f>IF(COUNTIFS($C:$C,$C1079,$D:$D,"P0(전)",$L:$L,"&gt;0")&lt;&gt;1,"",SUMIFS($H:$H,$C:$C,$C1079,$D:$D,"P0(전)"))</f>
        <v/>
      </c>
      <c r="O1079" s="30">
        <f>IF(COUNTIFS($C:$C,$C1079,$D:$D,"P0(전)",$L:$L,"&gt;0")&lt;&gt;1,"",SUMIFS($L:$L,$C:$C,$C1079,$D:$D,"P0(전)"))</f>
        <v/>
      </c>
      <c r="P1079" s="45">
        <f>IF(COUNTIFS($C:$C,$C1079,$D:$D,"P0(후)",$L:$L,"&gt;0")&lt;&gt;1,"",SUMIFS($H:$H,$C:$C,$C1079,$D:$D,"P0(후)"))</f>
        <v/>
      </c>
      <c r="Q1079" s="30">
        <f>IF(COUNTIFS($C:$C,$C1079,$D:$D,"P0(후)",$L:$L,"&gt;0")&lt;&gt;1,"",SUMIFS($L:$L,$C:$C,$C1079,$D:$D,"P0(후)"))</f>
        <v/>
      </c>
      <c r="R1079" s="30">
        <f>IF(M1079&lt;&gt;"OK","",O1079+(Q1079-O1079)*(H1079-N1079)/(P1079-N1079))</f>
        <v/>
      </c>
      <c r="S1079" s="30">
        <f>IF(OR(M1079&lt;&gt;"OK",NOT(ISNUMBER(L1079))),"",L1079-R1079)</f>
        <v/>
      </c>
      <c r="T1079" s="46">
        <f>IF(OR(NOT(ISNUMBER(S1079)),IF(ISNUMBER(G1079),G1079,F1079)=0),"",S1079/IF(ISNUMBER(G1079),G1079,F1079))</f>
        <v/>
      </c>
      <c r="U1079" s="46">
        <f>IF(ISNUMBER(T1079),ABS(T1079),"")</f>
        <v/>
      </c>
      <c r="V1079" s="46">
        <f>IF(OR($D1078&lt;&gt;"측정",$C1078&lt;&gt;$C1079,NOT(ISNUMBER(L1079)),NOT(ISNUMBER(L1078)),(IF(ISNUMBER(G1079),G1079,F1079)-IF(ISNUMBER(G1078),G1078,F1078))=0),"",(L1079-L1078)/(IF(ISNUMBER(G1079),G1079,F1079)-IF(ISNUMBER(G1078),G1078,F1078)))</f>
        <v/>
      </c>
      <c r="W1079" s="30">
        <f>IF(NOT(AND(ISNUMBER(N1079),ISNUMBER(P1079))),"",(P1079-N1079)*1440)</f>
        <v/>
      </c>
      <c r="X1079" s="28" t="n"/>
      <c r="Y1079" s="28" t="n"/>
      <c r="Z1079" s="28" t="n"/>
      <c r="AA1079" s="31" t="n"/>
      <c r="AB1079" s="31" t="n"/>
    </row>
    <row r="1080">
      <c r="A1080" s="25" t="inlineStr">
        <is>
          <t>S21</t>
        </is>
      </c>
      <c r="B1080" s="25" t="inlineStr">
        <is>
          <t>담양 신규점2</t>
        </is>
      </c>
      <c r="C1080" s="25" t="inlineStr">
        <is>
          <t>S21-H남</t>
        </is>
      </c>
      <c r="D1080" s="25" t="inlineStr">
        <is>
          <t>측정</t>
        </is>
      </c>
      <c r="E1080" s="25" t="inlineStr">
        <is>
          <t>남</t>
        </is>
      </c>
      <c r="F1080" s="30" t="n">
        <v>8</v>
      </c>
      <c r="G1080" s="29" t="n"/>
      <c r="H1080" s="42" t="n"/>
      <c r="I1080" s="40" t="n"/>
      <c r="J1080" s="40" t="n"/>
      <c r="K1080" s="40" t="n"/>
      <c r="L1080" s="30">
        <f>IF(COUNT(I1080:K1080)=0,"",MEDIAN(I1080:K1080))</f>
        <v/>
      </c>
      <c r="M1080" s="25">
        <f>IF(COUNTIFS($C:$C,$C1080,$D:$D,"P0(전)",$L:$L,"&gt;0")&lt;&gt;1,"P0(전) 유효 1개 아님",IF(COUNTIFS($C:$C,$C1080,$D:$D,"P0(후)",$L:$L,"&gt;0")&lt;&gt;1,"P0(후) 유효 1개 아님",IF(NOT(AND(ISNUMBER(N1080),ISNUMBER(P1080),ISNUMBER(H1080))),"시각 결측",IF(P1080&lt;=N1080,"P0 시각 역전",IF(OR(H1080&lt;N1080,H1080&gt;P1080),"측정시각 구간 밖","OK")))))</f>
        <v/>
      </c>
      <c r="N1080" s="45">
        <f>IF(COUNTIFS($C:$C,$C1080,$D:$D,"P0(전)",$L:$L,"&gt;0")&lt;&gt;1,"",SUMIFS($H:$H,$C:$C,$C1080,$D:$D,"P0(전)"))</f>
        <v/>
      </c>
      <c r="O1080" s="30">
        <f>IF(COUNTIFS($C:$C,$C1080,$D:$D,"P0(전)",$L:$L,"&gt;0")&lt;&gt;1,"",SUMIFS($L:$L,$C:$C,$C1080,$D:$D,"P0(전)"))</f>
        <v/>
      </c>
      <c r="P1080" s="45">
        <f>IF(COUNTIFS($C:$C,$C1080,$D:$D,"P0(후)",$L:$L,"&gt;0")&lt;&gt;1,"",SUMIFS($H:$H,$C:$C,$C1080,$D:$D,"P0(후)"))</f>
        <v/>
      </c>
      <c r="Q1080" s="30">
        <f>IF(COUNTIFS($C:$C,$C1080,$D:$D,"P0(후)",$L:$L,"&gt;0")&lt;&gt;1,"",SUMIFS($L:$L,$C:$C,$C1080,$D:$D,"P0(후)"))</f>
        <v/>
      </c>
      <c r="R1080" s="30">
        <f>IF(M1080&lt;&gt;"OK","",O1080+(Q1080-O1080)*(H1080-N1080)/(P1080-N1080))</f>
        <v/>
      </c>
      <c r="S1080" s="30">
        <f>IF(OR(M1080&lt;&gt;"OK",NOT(ISNUMBER(L1080))),"",L1080-R1080)</f>
        <v/>
      </c>
      <c r="T1080" s="46">
        <f>IF(OR(NOT(ISNUMBER(S1080)),IF(ISNUMBER(G1080),G1080,F1080)=0),"",S1080/IF(ISNUMBER(G1080),G1080,F1080))</f>
        <v/>
      </c>
      <c r="U1080" s="46">
        <f>IF(ISNUMBER(T1080),ABS(T1080),"")</f>
        <v/>
      </c>
      <c r="V1080" s="46">
        <f>IF(OR($D1079&lt;&gt;"측정",$C1079&lt;&gt;$C1080,NOT(ISNUMBER(L1080)),NOT(ISNUMBER(L1079)),(IF(ISNUMBER(G1080),G1080,F1080)-IF(ISNUMBER(G1079),G1079,F1079))=0),"",(L1080-L1079)/(IF(ISNUMBER(G1080),G1080,F1080)-IF(ISNUMBER(G1079),G1079,F1079)))</f>
        <v/>
      </c>
      <c r="W1080" s="30">
        <f>IF(NOT(AND(ISNUMBER(N1080),ISNUMBER(P1080))),"",(P1080-N1080)*1440)</f>
        <v/>
      </c>
      <c r="X1080" s="28" t="n"/>
      <c r="Y1080" s="28" t="n"/>
      <c r="Z1080" s="28" t="n"/>
      <c r="AA1080" s="31" t="n"/>
      <c r="AB1080" s="31" t="n"/>
    </row>
    <row r="1081">
      <c r="A1081" s="25" t="inlineStr">
        <is>
          <t>S21</t>
        </is>
      </c>
      <c r="B1081" s="25" t="inlineStr">
        <is>
          <t>담양 신규점2</t>
        </is>
      </c>
      <c r="C1081" s="25" t="inlineStr">
        <is>
          <t>S21-H남</t>
        </is>
      </c>
      <c r="D1081" s="25" t="inlineStr">
        <is>
          <t>측정</t>
        </is>
      </c>
      <c r="E1081" s="25" t="inlineStr">
        <is>
          <t>남</t>
        </is>
      </c>
      <c r="F1081" s="30" t="n">
        <v>9</v>
      </c>
      <c r="G1081" s="29" t="n"/>
      <c r="H1081" s="42" t="n"/>
      <c r="I1081" s="40" t="n"/>
      <c r="J1081" s="40" t="n"/>
      <c r="K1081" s="40" t="n"/>
      <c r="L1081" s="30">
        <f>IF(COUNT(I1081:K1081)=0,"",MEDIAN(I1081:K1081))</f>
        <v/>
      </c>
      <c r="M1081" s="25">
        <f>IF(COUNTIFS($C:$C,$C1081,$D:$D,"P0(전)",$L:$L,"&gt;0")&lt;&gt;1,"P0(전) 유효 1개 아님",IF(COUNTIFS($C:$C,$C1081,$D:$D,"P0(후)",$L:$L,"&gt;0")&lt;&gt;1,"P0(후) 유효 1개 아님",IF(NOT(AND(ISNUMBER(N1081),ISNUMBER(P1081),ISNUMBER(H1081))),"시각 결측",IF(P1081&lt;=N1081,"P0 시각 역전",IF(OR(H1081&lt;N1081,H1081&gt;P1081),"측정시각 구간 밖","OK")))))</f>
        <v/>
      </c>
      <c r="N1081" s="45">
        <f>IF(COUNTIFS($C:$C,$C1081,$D:$D,"P0(전)",$L:$L,"&gt;0")&lt;&gt;1,"",SUMIFS($H:$H,$C:$C,$C1081,$D:$D,"P0(전)"))</f>
        <v/>
      </c>
      <c r="O1081" s="30">
        <f>IF(COUNTIFS($C:$C,$C1081,$D:$D,"P0(전)",$L:$L,"&gt;0")&lt;&gt;1,"",SUMIFS($L:$L,$C:$C,$C1081,$D:$D,"P0(전)"))</f>
        <v/>
      </c>
      <c r="P1081" s="45">
        <f>IF(COUNTIFS($C:$C,$C1081,$D:$D,"P0(후)",$L:$L,"&gt;0")&lt;&gt;1,"",SUMIFS($H:$H,$C:$C,$C1081,$D:$D,"P0(후)"))</f>
        <v/>
      </c>
      <c r="Q1081" s="30">
        <f>IF(COUNTIFS($C:$C,$C1081,$D:$D,"P0(후)",$L:$L,"&gt;0")&lt;&gt;1,"",SUMIFS($L:$L,$C:$C,$C1081,$D:$D,"P0(후)"))</f>
        <v/>
      </c>
      <c r="R1081" s="30">
        <f>IF(M1081&lt;&gt;"OK","",O1081+(Q1081-O1081)*(H1081-N1081)/(P1081-N1081))</f>
        <v/>
      </c>
      <c r="S1081" s="30">
        <f>IF(OR(M1081&lt;&gt;"OK",NOT(ISNUMBER(L1081))),"",L1081-R1081)</f>
        <v/>
      </c>
      <c r="T1081" s="46">
        <f>IF(OR(NOT(ISNUMBER(S1081)),IF(ISNUMBER(G1081),G1081,F1081)=0),"",S1081/IF(ISNUMBER(G1081),G1081,F1081))</f>
        <v/>
      </c>
      <c r="U1081" s="46">
        <f>IF(ISNUMBER(T1081),ABS(T1081),"")</f>
        <v/>
      </c>
      <c r="V1081" s="46">
        <f>IF(OR($D1080&lt;&gt;"측정",$C1080&lt;&gt;$C1081,NOT(ISNUMBER(L1081)),NOT(ISNUMBER(L1080)),(IF(ISNUMBER(G1081),G1081,F1081)-IF(ISNUMBER(G1080),G1080,F1080))=0),"",(L1081-L1080)/(IF(ISNUMBER(G1081),G1081,F1081)-IF(ISNUMBER(G1080),G1080,F1080)))</f>
        <v/>
      </c>
      <c r="W1081" s="30">
        <f>IF(NOT(AND(ISNUMBER(N1081),ISNUMBER(P1081))),"",(P1081-N1081)*1440)</f>
        <v/>
      </c>
      <c r="X1081" s="28" t="n"/>
      <c r="Y1081" s="28" t="n"/>
      <c r="Z1081" s="28" t="n"/>
      <c r="AA1081" s="31" t="n"/>
      <c r="AB1081" s="31" t="n"/>
    </row>
    <row r="1082">
      <c r="A1082" s="25" t="inlineStr">
        <is>
          <t>S21</t>
        </is>
      </c>
      <c r="B1082" s="25" t="inlineStr">
        <is>
          <t>담양 신규점2</t>
        </is>
      </c>
      <c r="C1082" s="25" t="inlineStr">
        <is>
          <t>S21-H남</t>
        </is>
      </c>
      <c r="D1082" s="25" t="inlineStr">
        <is>
          <t>측정</t>
        </is>
      </c>
      <c r="E1082" s="25" t="inlineStr">
        <is>
          <t>남</t>
        </is>
      </c>
      <c r="F1082" s="30" t="n">
        <v>10</v>
      </c>
      <c r="G1082" s="29" t="n"/>
      <c r="H1082" s="42" t="n"/>
      <c r="I1082" s="40" t="n"/>
      <c r="J1082" s="40" t="n"/>
      <c r="K1082" s="40" t="n"/>
      <c r="L1082" s="30">
        <f>IF(COUNT(I1082:K1082)=0,"",MEDIAN(I1082:K1082))</f>
        <v/>
      </c>
      <c r="M1082" s="25">
        <f>IF(COUNTIFS($C:$C,$C1082,$D:$D,"P0(전)",$L:$L,"&gt;0")&lt;&gt;1,"P0(전) 유효 1개 아님",IF(COUNTIFS($C:$C,$C1082,$D:$D,"P0(후)",$L:$L,"&gt;0")&lt;&gt;1,"P0(후) 유효 1개 아님",IF(NOT(AND(ISNUMBER(N1082),ISNUMBER(P1082),ISNUMBER(H1082))),"시각 결측",IF(P1082&lt;=N1082,"P0 시각 역전",IF(OR(H1082&lt;N1082,H1082&gt;P1082),"측정시각 구간 밖","OK")))))</f>
        <v/>
      </c>
      <c r="N1082" s="45">
        <f>IF(COUNTIFS($C:$C,$C1082,$D:$D,"P0(전)",$L:$L,"&gt;0")&lt;&gt;1,"",SUMIFS($H:$H,$C:$C,$C1082,$D:$D,"P0(전)"))</f>
        <v/>
      </c>
      <c r="O1082" s="30">
        <f>IF(COUNTIFS($C:$C,$C1082,$D:$D,"P0(전)",$L:$L,"&gt;0")&lt;&gt;1,"",SUMIFS($L:$L,$C:$C,$C1082,$D:$D,"P0(전)"))</f>
        <v/>
      </c>
      <c r="P1082" s="45">
        <f>IF(COUNTIFS($C:$C,$C1082,$D:$D,"P0(후)",$L:$L,"&gt;0")&lt;&gt;1,"",SUMIFS($H:$H,$C:$C,$C1082,$D:$D,"P0(후)"))</f>
        <v/>
      </c>
      <c r="Q1082" s="30">
        <f>IF(COUNTIFS($C:$C,$C1082,$D:$D,"P0(후)",$L:$L,"&gt;0")&lt;&gt;1,"",SUMIFS($L:$L,$C:$C,$C1082,$D:$D,"P0(후)"))</f>
        <v/>
      </c>
      <c r="R1082" s="30">
        <f>IF(M1082&lt;&gt;"OK","",O1082+(Q1082-O1082)*(H1082-N1082)/(P1082-N1082))</f>
        <v/>
      </c>
      <c r="S1082" s="30">
        <f>IF(OR(M1082&lt;&gt;"OK",NOT(ISNUMBER(L1082))),"",L1082-R1082)</f>
        <v/>
      </c>
      <c r="T1082" s="46">
        <f>IF(OR(NOT(ISNUMBER(S1082)),IF(ISNUMBER(G1082),G1082,F1082)=0),"",S1082/IF(ISNUMBER(G1082),G1082,F1082))</f>
        <v/>
      </c>
      <c r="U1082" s="46">
        <f>IF(ISNUMBER(T1082),ABS(T1082),"")</f>
        <v/>
      </c>
      <c r="V1082" s="46">
        <f>IF(OR($D1081&lt;&gt;"측정",$C1081&lt;&gt;$C1082,NOT(ISNUMBER(L1082)),NOT(ISNUMBER(L1081)),(IF(ISNUMBER(G1082),G1082,F1082)-IF(ISNUMBER(G1081),G1081,F1081))=0),"",(L1082-L1081)/(IF(ISNUMBER(G1082),G1082,F1082)-IF(ISNUMBER(G1081),G1081,F1081)))</f>
        <v/>
      </c>
      <c r="W1082" s="30">
        <f>IF(NOT(AND(ISNUMBER(N1082),ISNUMBER(P1082))),"",(P1082-N1082)*1440)</f>
        <v/>
      </c>
      <c r="X1082" s="28" t="n"/>
      <c r="Y1082" s="28" t="n"/>
      <c r="Z1082" s="28" t="n"/>
      <c r="AA1082" s="31" t="n"/>
      <c r="AB1082" s="31" t="n"/>
    </row>
    <row r="1083">
      <c r="A1083" s="43" t="inlineStr">
        <is>
          <t>S21</t>
        </is>
      </c>
      <c r="B1083" s="43" t="inlineStr">
        <is>
          <t>담양 신규점2</t>
        </is>
      </c>
      <c r="C1083" s="43" t="inlineStr">
        <is>
          <t>S21-H남</t>
        </is>
      </c>
      <c r="D1083" s="43" t="inlineStr">
        <is>
          <t>P0(후)</t>
        </is>
      </c>
      <c r="E1083" s="43" t="inlineStr">
        <is>
          <t>남</t>
        </is>
      </c>
      <c r="F1083" s="44" t="n"/>
      <c r="G1083" s="29" t="n"/>
      <c r="H1083" s="42" t="n"/>
      <c r="I1083" s="40" t="n"/>
      <c r="J1083" s="40" t="n"/>
      <c r="K1083" s="40" t="n"/>
      <c r="L1083" s="30">
        <f>IF(COUNT(I1083:K1083)=0,"",MEDIAN(I1083:K1083))</f>
        <v/>
      </c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28" t="n"/>
      <c r="Y1083" s="28" t="n"/>
      <c r="Z1083" s="28" t="n"/>
      <c r="AA1083" s="31" t="n"/>
      <c r="AB1083" s="31" t="n"/>
    </row>
    <row r="1084">
      <c r="A1084" s="43" t="inlineStr">
        <is>
          <t>S21</t>
        </is>
      </c>
      <c r="B1084" s="43" t="inlineStr">
        <is>
          <t>담양 신규점2</t>
        </is>
      </c>
      <c r="C1084" s="43" t="inlineStr">
        <is>
          <t>S21-H북</t>
        </is>
      </c>
      <c r="D1084" s="43" t="inlineStr">
        <is>
          <t>P0(전)</t>
        </is>
      </c>
      <c r="E1084" s="43" t="inlineStr">
        <is>
          <t>북</t>
        </is>
      </c>
      <c r="F1084" s="44" t="n"/>
      <c r="G1084" s="29" t="n"/>
      <c r="H1084" s="42" t="n"/>
      <c r="I1084" s="40" t="n"/>
      <c r="J1084" s="40" t="n"/>
      <c r="K1084" s="40" t="n"/>
      <c r="L1084" s="30">
        <f>IF(COUNT(I1084:K1084)=0,"",MEDIAN(I1084:K1084))</f>
        <v/>
      </c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28" t="n"/>
      <c r="Y1084" s="28" t="n"/>
      <c r="Z1084" s="28" t="n"/>
      <c r="AA1084" s="31" t="n"/>
      <c r="AB1084" s="31" t="n"/>
    </row>
    <row r="1085">
      <c r="A1085" s="25" t="inlineStr">
        <is>
          <t>S21</t>
        </is>
      </c>
      <c r="B1085" s="25" t="inlineStr">
        <is>
          <t>담양 신규점2</t>
        </is>
      </c>
      <c r="C1085" s="25" t="inlineStr">
        <is>
          <t>S21-H북</t>
        </is>
      </c>
      <c r="D1085" s="25" t="inlineStr">
        <is>
          <t>측정</t>
        </is>
      </c>
      <c r="E1085" s="25" t="inlineStr">
        <is>
          <t>북</t>
        </is>
      </c>
      <c r="F1085" s="30" t="n">
        <v>0.5</v>
      </c>
      <c r="G1085" s="29" t="n"/>
      <c r="H1085" s="42" t="n"/>
      <c r="I1085" s="40" t="n"/>
      <c r="J1085" s="40" t="n"/>
      <c r="K1085" s="40" t="n"/>
      <c r="L1085" s="30">
        <f>IF(COUNT(I1085:K1085)=0,"",MEDIAN(I1085:K1085))</f>
        <v/>
      </c>
      <c r="M1085" s="25">
        <f>IF(COUNTIFS($C:$C,$C1085,$D:$D,"P0(전)",$L:$L,"&gt;0")&lt;&gt;1,"P0(전) 유효 1개 아님",IF(COUNTIFS($C:$C,$C1085,$D:$D,"P0(후)",$L:$L,"&gt;0")&lt;&gt;1,"P0(후) 유효 1개 아님",IF(NOT(AND(ISNUMBER(N1085),ISNUMBER(P1085),ISNUMBER(H1085))),"시각 결측",IF(P1085&lt;=N1085,"P0 시각 역전",IF(OR(H1085&lt;N1085,H1085&gt;P1085),"측정시각 구간 밖","OK")))))</f>
        <v/>
      </c>
      <c r="N1085" s="45">
        <f>IF(COUNTIFS($C:$C,$C1085,$D:$D,"P0(전)",$L:$L,"&gt;0")&lt;&gt;1,"",SUMIFS($H:$H,$C:$C,$C1085,$D:$D,"P0(전)"))</f>
        <v/>
      </c>
      <c r="O1085" s="30">
        <f>IF(COUNTIFS($C:$C,$C1085,$D:$D,"P0(전)",$L:$L,"&gt;0")&lt;&gt;1,"",SUMIFS($L:$L,$C:$C,$C1085,$D:$D,"P0(전)"))</f>
        <v/>
      </c>
      <c r="P1085" s="45">
        <f>IF(COUNTIFS($C:$C,$C1085,$D:$D,"P0(후)",$L:$L,"&gt;0")&lt;&gt;1,"",SUMIFS($H:$H,$C:$C,$C1085,$D:$D,"P0(후)"))</f>
        <v/>
      </c>
      <c r="Q1085" s="30">
        <f>IF(COUNTIFS($C:$C,$C1085,$D:$D,"P0(후)",$L:$L,"&gt;0")&lt;&gt;1,"",SUMIFS($L:$L,$C:$C,$C1085,$D:$D,"P0(후)"))</f>
        <v/>
      </c>
      <c r="R1085" s="30">
        <f>IF(M1085&lt;&gt;"OK","",O1085+(Q1085-O1085)*(H1085-N1085)/(P1085-N1085))</f>
        <v/>
      </c>
      <c r="S1085" s="30">
        <f>IF(OR(M1085&lt;&gt;"OK",NOT(ISNUMBER(L1085))),"",L1085-R1085)</f>
        <v/>
      </c>
      <c r="T1085" s="46">
        <f>IF(OR(NOT(ISNUMBER(S1085)),IF(ISNUMBER(G1085),G1085,F1085)=0),"",S1085/IF(ISNUMBER(G1085),G1085,F1085))</f>
        <v/>
      </c>
      <c r="U1085" s="46">
        <f>IF(ISNUMBER(T1085),ABS(T1085),"")</f>
        <v/>
      </c>
      <c r="V1085" s="46">
        <f>IF(OR($D1084&lt;&gt;"측정",$C1084&lt;&gt;$C1085,NOT(ISNUMBER(L1085)),NOT(ISNUMBER(L1084)),(IF(ISNUMBER(G1085),G1085,F1085)-IF(ISNUMBER(G1084),G1084,F1084))=0),"",(L1085-L1084)/(IF(ISNUMBER(G1085),G1085,F1085)-IF(ISNUMBER(G1084),G1084,F1084)))</f>
        <v/>
      </c>
      <c r="W1085" s="30">
        <f>IF(NOT(AND(ISNUMBER(N1085),ISNUMBER(P1085))),"",(P1085-N1085)*1440)</f>
        <v/>
      </c>
      <c r="X1085" s="28" t="n"/>
      <c r="Y1085" s="28" t="n"/>
      <c r="Z1085" s="28" t="n"/>
      <c r="AA1085" s="31" t="n"/>
      <c r="AB1085" s="31" t="n"/>
    </row>
    <row r="1086">
      <c r="A1086" s="25" t="inlineStr">
        <is>
          <t>S21</t>
        </is>
      </c>
      <c r="B1086" s="25" t="inlineStr">
        <is>
          <t>담양 신규점2</t>
        </is>
      </c>
      <c r="C1086" s="25" t="inlineStr">
        <is>
          <t>S21-H북</t>
        </is>
      </c>
      <c r="D1086" s="25" t="inlineStr">
        <is>
          <t>측정</t>
        </is>
      </c>
      <c r="E1086" s="25" t="inlineStr">
        <is>
          <t>북</t>
        </is>
      </c>
      <c r="F1086" s="30" t="n">
        <v>1</v>
      </c>
      <c r="G1086" s="29" t="n"/>
      <c r="H1086" s="42" t="n"/>
      <c r="I1086" s="40" t="n"/>
      <c r="J1086" s="40" t="n"/>
      <c r="K1086" s="40" t="n"/>
      <c r="L1086" s="30">
        <f>IF(COUNT(I1086:K1086)=0,"",MEDIAN(I1086:K1086))</f>
        <v/>
      </c>
      <c r="M1086" s="25">
        <f>IF(COUNTIFS($C:$C,$C1086,$D:$D,"P0(전)",$L:$L,"&gt;0")&lt;&gt;1,"P0(전) 유효 1개 아님",IF(COUNTIFS($C:$C,$C1086,$D:$D,"P0(후)",$L:$L,"&gt;0")&lt;&gt;1,"P0(후) 유효 1개 아님",IF(NOT(AND(ISNUMBER(N1086),ISNUMBER(P1086),ISNUMBER(H1086))),"시각 결측",IF(P1086&lt;=N1086,"P0 시각 역전",IF(OR(H1086&lt;N1086,H1086&gt;P1086),"측정시각 구간 밖","OK")))))</f>
        <v/>
      </c>
      <c r="N1086" s="45">
        <f>IF(COUNTIFS($C:$C,$C1086,$D:$D,"P0(전)",$L:$L,"&gt;0")&lt;&gt;1,"",SUMIFS($H:$H,$C:$C,$C1086,$D:$D,"P0(전)"))</f>
        <v/>
      </c>
      <c r="O1086" s="30">
        <f>IF(COUNTIFS($C:$C,$C1086,$D:$D,"P0(전)",$L:$L,"&gt;0")&lt;&gt;1,"",SUMIFS($L:$L,$C:$C,$C1086,$D:$D,"P0(전)"))</f>
        <v/>
      </c>
      <c r="P1086" s="45">
        <f>IF(COUNTIFS($C:$C,$C1086,$D:$D,"P0(후)",$L:$L,"&gt;0")&lt;&gt;1,"",SUMIFS($H:$H,$C:$C,$C1086,$D:$D,"P0(후)"))</f>
        <v/>
      </c>
      <c r="Q1086" s="30">
        <f>IF(COUNTIFS($C:$C,$C1086,$D:$D,"P0(후)",$L:$L,"&gt;0")&lt;&gt;1,"",SUMIFS($L:$L,$C:$C,$C1086,$D:$D,"P0(후)"))</f>
        <v/>
      </c>
      <c r="R1086" s="30">
        <f>IF(M1086&lt;&gt;"OK","",O1086+(Q1086-O1086)*(H1086-N1086)/(P1086-N1086))</f>
        <v/>
      </c>
      <c r="S1086" s="30">
        <f>IF(OR(M1086&lt;&gt;"OK",NOT(ISNUMBER(L1086))),"",L1086-R1086)</f>
        <v/>
      </c>
      <c r="T1086" s="46">
        <f>IF(OR(NOT(ISNUMBER(S1086)),IF(ISNUMBER(G1086),G1086,F1086)=0),"",S1086/IF(ISNUMBER(G1086),G1086,F1086))</f>
        <v/>
      </c>
      <c r="U1086" s="46">
        <f>IF(ISNUMBER(T1086),ABS(T1086),"")</f>
        <v/>
      </c>
      <c r="V1086" s="46">
        <f>IF(OR($D1085&lt;&gt;"측정",$C1085&lt;&gt;$C1086,NOT(ISNUMBER(L1086)),NOT(ISNUMBER(L1085)),(IF(ISNUMBER(G1086),G1086,F1086)-IF(ISNUMBER(G1085),G1085,F1085))=0),"",(L1086-L1085)/(IF(ISNUMBER(G1086),G1086,F1086)-IF(ISNUMBER(G1085),G1085,F1085)))</f>
        <v/>
      </c>
      <c r="W1086" s="30">
        <f>IF(NOT(AND(ISNUMBER(N1086),ISNUMBER(P1086))),"",(P1086-N1086)*1440)</f>
        <v/>
      </c>
      <c r="X1086" s="28" t="n"/>
      <c r="Y1086" s="28" t="n"/>
      <c r="Z1086" s="28" t="n"/>
      <c r="AA1086" s="31" t="n"/>
      <c r="AB1086" s="31" t="n"/>
    </row>
    <row r="1087">
      <c r="A1087" s="25" t="inlineStr">
        <is>
          <t>S21</t>
        </is>
      </c>
      <c r="B1087" s="25" t="inlineStr">
        <is>
          <t>담양 신규점2</t>
        </is>
      </c>
      <c r="C1087" s="25" t="inlineStr">
        <is>
          <t>S21-H북</t>
        </is>
      </c>
      <c r="D1087" s="25" t="inlineStr">
        <is>
          <t>측정</t>
        </is>
      </c>
      <c r="E1087" s="25" t="inlineStr">
        <is>
          <t>북</t>
        </is>
      </c>
      <c r="F1087" s="30" t="n">
        <v>2</v>
      </c>
      <c r="G1087" s="29" t="n"/>
      <c r="H1087" s="42" t="n"/>
      <c r="I1087" s="40" t="n"/>
      <c r="J1087" s="40" t="n"/>
      <c r="K1087" s="40" t="n"/>
      <c r="L1087" s="30">
        <f>IF(COUNT(I1087:K1087)=0,"",MEDIAN(I1087:K1087))</f>
        <v/>
      </c>
      <c r="M1087" s="25">
        <f>IF(COUNTIFS($C:$C,$C1087,$D:$D,"P0(전)",$L:$L,"&gt;0")&lt;&gt;1,"P0(전) 유효 1개 아님",IF(COUNTIFS($C:$C,$C1087,$D:$D,"P0(후)",$L:$L,"&gt;0")&lt;&gt;1,"P0(후) 유효 1개 아님",IF(NOT(AND(ISNUMBER(N1087),ISNUMBER(P1087),ISNUMBER(H1087))),"시각 결측",IF(P1087&lt;=N1087,"P0 시각 역전",IF(OR(H1087&lt;N1087,H1087&gt;P1087),"측정시각 구간 밖","OK")))))</f>
        <v/>
      </c>
      <c r="N1087" s="45">
        <f>IF(COUNTIFS($C:$C,$C1087,$D:$D,"P0(전)",$L:$L,"&gt;0")&lt;&gt;1,"",SUMIFS($H:$H,$C:$C,$C1087,$D:$D,"P0(전)"))</f>
        <v/>
      </c>
      <c r="O1087" s="30">
        <f>IF(COUNTIFS($C:$C,$C1087,$D:$D,"P0(전)",$L:$L,"&gt;0")&lt;&gt;1,"",SUMIFS($L:$L,$C:$C,$C1087,$D:$D,"P0(전)"))</f>
        <v/>
      </c>
      <c r="P1087" s="45">
        <f>IF(COUNTIFS($C:$C,$C1087,$D:$D,"P0(후)",$L:$L,"&gt;0")&lt;&gt;1,"",SUMIFS($H:$H,$C:$C,$C1087,$D:$D,"P0(후)"))</f>
        <v/>
      </c>
      <c r="Q1087" s="30">
        <f>IF(COUNTIFS($C:$C,$C1087,$D:$D,"P0(후)",$L:$L,"&gt;0")&lt;&gt;1,"",SUMIFS($L:$L,$C:$C,$C1087,$D:$D,"P0(후)"))</f>
        <v/>
      </c>
      <c r="R1087" s="30">
        <f>IF(M1087&lt;&gt;"OK","",O1087+(Q1087-O1087)*(H1087-N1087)/(P1087-N1087))</f>
        <v/>
      </c>
      <c r="S1087" s="30">
        <f>IF(OR(M1087&lt;&gt;"OK",NOT(ISNUMBER(L1087))),"",L1087-R1087)</f>
        <v/>
      </c>
      <c r="T1087" s="46">
        <f>IF(OR(NOT(ISNUMBER(S1087)),IF(ISNUMBER(G1087),G1087,F1087)=0),"",S1087/IF(ISNUMBER(G1087),G1087,F1087))</f>
        <v/>
      </c>
      <c r="U1087" s="46">
        <f>IF(ISNUMBER(T1087),ABS(T1087),"")</f>
        <v/>
      </c>
      <c r="V1087" s="46">
        <f>IF(OR($D1086&lt;&gt;"측정",$C1086&lt;&gt;$C1087,NOT(ISNUMBER(L1087)),NOT(ISNUMBER(L1086)),(IF(ISNUMBER(G1087),G1087,F1087)-IF(ISNUMBER(G1086),G1086,F1086))=0),"",(L1087-L1086)/(IF(ISNUMBER(G1087),G1087,F1087)-IF(ISNUMBER(G1086),G1086,F1086)))</f>
        <v/>
      </c>
      <c r="W1087" s="30">
        <f>IF(NOT(AND(ISNUMBER(N1087),ISNUMBER(P1087))),"",(P1087-N1087)*1440)</f>
        <v/>
      </c>
      <c r="X1087" s="28" t="n"/>
      <c r="Y1087" s="28" t="n"/>
      <c r="Z1087" s="28" t="n"/>
      <c r="AA1087" s="31" t="n"/>
      <c r="AB1087" s="31" t="n"/>
    </row>
    <row r="1088">
      <c r="A1088" s="25" t="inlineStr">
        <is>
          <t>S21</t>
        </is>
      </c>
      <c r="B1088" s="25" t="inlineStr">
        <is>
          <t>담양 신규점2</t>
        </is>
      </c>
      <c r="C1088" s="25" t="inlineStr">
        <is>
          <t>S21-H북</t>
        </is>
      </c>
      <c r="D1088" s="25" t="inlineStr">
        <is>
          <t>측정</t>
        </is>
      </c>
      <c r="E1088" s="25" t="inlineStr">
        <is>
          <t>북</t>
        </is>
      </c>
      <c r="F1088" s="30" t="n">
        <v>3</v>
      </c>
      <c r="G1088" s="29" t="n"/>
      <c r="H1088" s="42" t="n"/>
      <c r="I1088" s="40" t="n"/>
      <c r="J1088" s="40" t="n"/>
      <c r="K1088" s="40" t="n"/>
      <c r="L1088" s="30">
        <f>IF(COUNT(I1088:K1088)=0,"",MEDIAN(I1088:K1088))</f>
        <v/>
      </c>
      <c r="M1088" s="25">
        <f>IF(COUNTIFS($C:$C,$C1088,$D:$D,"P0(전)",$L:$L,"&gt;0")&lt;&gt;1,"P0(전) 유효 1개 아님",IF(COUNTIFS($C:$C,$C1088,$D:$D,"P0(후)",$L:$L,"&gt;0")&lt;&gt;1,"P0(후) 유효 1개 아님",IF(NOT(AND(ISNUMBER(N1088),ISNUMBER(P1088),ISNUMBER(H1088))),"시각 결측",IF(P1088&lt;=N1088,"P0 시각 역전",IF(OR(H1088&lt;N1088,H1088&gt;P1088),"측정시각 구간 밖","OK")))))</f>
        <v/>
      </c>
      <c r="N1088" s="45">
        <f>IF(COUNTIFS($C:$C,$C1088,$D:$D,"P0(전)",$L:$L,"&gt;0")&lt;&gt;1,"",SUMIFS($H:$H,$C:$C,$C1088,$D:$D,"P0(전)"))</f>
        <v/>
      </c>
      <c r="O1088" s="30">
        <f>IF(COUNTIFS($C:$C,$C1088,$D:$D,"P0(전)",$L:$L,"&gt;0")&lt;&gt;1,"",SUMIFS($L:$L,$C:$C,$C1088,$D:$D,"P0(전)"))</f>
        <v/>
      </c>
      <c r="P1088" s="45">
        <f>IF(COUNTIFS($C:$C,$C1088,$D:$D,"P0(후)",$L:$L,"&gt;0")&lt;&gt;1,"",SUMIFS($H:$H,$C:$C,$C1088,$D:$D,"P0(후)"))</f>
        <v/>
      </c>
      <c r="Q1088" s="30">
        <f>IF(COUNTIFS($C:$C,$C1088,$D:$D,"P0(후)",$L:$L,"&gt;0")&lt;&gt;1,"",SUMIFS($L:$L,$C:$C,$C1088,$D:$D,"P0(후)"))</f>
        <v/>
      </c>
      <c r="R1088" s="30">
        <f>IF(M1088&lt;&gt;"OK","",O1088+(Q1088-O1088)*(H1088-N1088)/(P1088-N1088))</f>
        <v/>
      </c>
      <c r="S1088" s="30">
        <f>IF(OR(M1088&lt;&gt;"OK",NOT(ISNUMBER(L1088))),"",L1088-R1088)</f>
        <v/>
      </c>
      <c r="T1088" s="46">
        <f>IF(OR(NOT(ISNUMBER(S1088)),IF(ISNUMBER(G1088),G1088,F1088)=0),"",S1088/IF(ISNUMBER(G1088),G1088,F1088))</f>
        <v/>
      </c>
      <c r="U1088" s="46">
        <f>IF(ISNUMBER(T1088),ABS(T1088),"")</f>
        <v/>
      </c>
      <c r="V1088" s="46">
        <f>IF(OR($D1087&lt;&gt;"측정",$C1087&lt;&gt;$C1088,NOT(ISNUMBER(L1088)),NOT(ISNUMBER(L1087)),(IF(ISNUMBER(G1088),G1088,F1088)-IF(ISNUMBER(G1087),G1087,F1087))=0),"",(L1088-L1087)/(IF(ISNUMBER(G1088),G1088,F1088)-IF(ISNUMBER(G1087),G1087,F1087)))</f>
        <v/>
      </c>
      <c r="W1088" s="30">
        <f>IF(NOT(AND(ISNUMBER(N1088),ISNUMBER(P1088))),"",(P1088-N1088)*1440)</f>
        <v/>
      </c>
      <c r="X1088" s="28" t="n"/>
      <c r="Y1088" s="28" t="n"/>
      <c r="Z1088" s="28" t="n"/>
      <c r="AA1088" s="31" t="n"/>
      <c r="AB1088" s="31" t="n"/>
    </row>
    <row r="1089">
      <c r="A1089" s="25" t="inlineStr">
        <is>
          <t>S21</t>
        </is>
      </c>
      <c r="B1089" s="25" t="inlineStr">
        <is>
          <t>담양 신규점2</t>
        </is>
      </c>
      <c r="C1089" s="25" t="inlineStr">
        <is>
          <t>S21-H북</t>
        </is>
      </c>
      <c r="D1089" s="25" t="inlineStr">
        <is>
          <t>측정</t>
        </is>
      </c>
      <c r="E1089" s="25" t="inlineStr">
        <is>
          <t>북</t>
        </is>
      </c>
      <c r="F1089" s="30" t="n">
        <v>4</v>
      </c>
      <c r="G1089" s="29" t="n"/>
      <c r="H1089" s="42" t="n"/>
      <c r="I1089" s="40" t="n"/>
      <c r="J1089" s="40" t="n"/>
      <c r="K1089" s="40" t="n"/>
      <c r="L1089" s="30">
        <f>IF(COUNT(I1089:K1089)=0,"",MEDIAN(I1089:K1089))</f>
        <v/>
      </c>
      <c r="M1089" s="25">
        <f>IF(COUNTIFS($C:$C,$C1089,$D:$D,"P0(전)",$L:$L,"&gt;0")&lt;&gt;1,"P0(전) 유효 1개 아님",IF(COUNTIFS($C:$C,$C1089,$D:$D,"P0(후)",$L:$L,"&gt;0")&lt;&gt;1,"P0(후) 유효 1개 아님",IF(NOT(AND(ISNUMBER(N1089),ISNUMBER(P1089),ISNUMBER(H1089))),"시각 결측",IF(P1089&lt;=N1089,"P0 시각 역전",IF(OR(H1089&lt;N1089,H1089&gt;P1089),"측정시각 구간 밖","OK")))))</f>
        <v/>
      </c>
      <c r="N1089" s="45">
        <f>IF(COUNTIFS($C:$C,$C1089,$D:$D,"P0(전)",$L:$L,"&gt;0")&lt;&gt;1,"",SUMIFS($H:$H,$C:$C,$C1089,$D:$D,"P0(전)"))</f>
        <v/>
      </c>
      <c r="O1089" s="30">
        <f>IF(COUNTIFS($C:$C,$C1089,$D:$D,"P0(전)",$L:$L,"&gt;0")&lt;&gt;1,"",SUMIFS($L:$L,$C:$C,$C1089,$D:$D,"P0(전)"))</f>
        <v/>
      </c>
      <c r="P1089" s="45">
        <f>IF(COUNTIFS($C:$C,$C1089,$D:$D,"P0(후)",$L:$L,"&gt;0")&lt;&gt;1,"",SUMIFS($H:$H,$C:$C,$C1089,$D:$D,"P0(후)"))</f>
        <v/>
      </c>
      <c r="Q1089" s="30">
        <f>IF(COUNTIFS($C:$C,$C1089,$D:$D,"P0(후)",$L:$L,"&gt;0")&lt;&gt;1,"",SUMIFS($L:$L,$C:$C,$C1089,$D:$D,"P0(후)"))</f>
        <v/>
      </c>
      <c r="R1089" s="30">
        <f>IF(M1089&lt;&gt;"OK","",O1089+(Q1089-O1089)*(H1089-N1089)/(P1089-N1089))</f>
        <v/>
      </c>
      <c r="S1089" s="30">
        <f>IF(OR(M1089&lt;&gt;"OK",NOT(ISNUMBER(L1089))),"",L1089-R1089)</f>
        <v/>
      </c>
      <c r="T1089" s="46">
        <f>IF(OR(NOT(ISNUMBER(S1089)),IF(ISNUMBER(G1089),G1089,F1089)=0),"",S1089/IF(ISNUMBER(G1089),G1089,F1089))</f>
        <v/>
      </c>
      <c r="U1089" s="46">
        <f>IF(ISNUMBER(T1089),ABS(T1089),"")</f>
        <v/>
      </c>
      <c r="V1089" s="46">
        <f>IF(OR($D1088&lt;&gt;"측정",$C1088&lt;&gt;$C1089,NOT(ISNUMBER(L1089)),NOT(ISNUMBER(L1088)),(IF(ISNUMBER(G1089),G1089,F1089)-IF(ISNUMBER(G1088),G1088,F1088))=0),"",(L1089-L1088)/(IF(ISNUMBER(G1089),G1089,F1089)-IF(ISNUMBER(G1088),G1088,F1088)))</f>
        <v/>
      </c>
      <c r="W1089" s="30">
        <f>IF(NOT(AND(ISNUMBER(N1089),ISNUMBER(P1089))),"",(P1089-N1089)*1440)</f>
        <v/>
      </c>
      <c r="X1089" s="28" t="n"/>
      <c r="Y1089" s="28" t="n"/>
      <c r="Z1089" s="28" t="n"/>
      <c r="AA1089" s="31" t="n"/>
      <c r="AB1089" s="31" t="n"/>
    </row>
    <row r="1090">
      <c r="A1090" s="25" t="inlineStr">
        <is>
          <t>S21</t>
        </is>
      </c>
      <c r="B1090" s="25" t="inlineStr">
        <is>
          <t>담양 신규점2</t>
        </is>
      </c>
      <c r="C1090" s="25" t="inlineStr">
        <is>
          <t>S21-H북</t>
        </is>
      </c>
      <c r="D1090" s="25" t="inlineStr">
        <is>
          <t>측정</t>
        </is>
      </c>
      <c r="E1090" s="25" t="inlineStr">
        <is>
          <t>북</t>
        </is>
      </c>
      <c r="F1090" s="30" t="n">
        <v>5</v>
      </c>
      <c r="G1090" s="29" t="n"/>
      <c r="H1090" s="42" t="n"/>
      <c r="I1090" s="40" t="n"/>
      <c r="J1090" s="40" t="n"/>
      <c r="K1090" s="40" t="n"/>
      <c r="L1090" s="30">
        <f>IF(COUNT(I1090:K1090)=0,"",MEDIAN(I1090:K1090))</f>
        <v/>
      </c>
      <c r="M1090" s="25">
        <f>IF(COUNTIFS($C:$C,$C1090,$D:$D,"P0(전)",$L:$L,"&gt;0")&lt;&gt;1,"P0(전) 유효 1개 아님",IF(COUNTIFS($C:$C,$C1090,$D:$D,"P0(후)",$L:$L,"&gt;0")&lt;&gt;1,"P0(후) 유효 1개 아님",IF(NOT(AND(ISNUMBER(N1090),ISNUMBER(P1090),ISNUMBER(H1090))),"시각 결측",IF(P1090&lt;=N1090,"P0 시각 역전",IF(OR(H1090&lt;N1090,H1090&gt;P1090),"측정시각 구간 밖","OK")))))</f>
        <v/>
      </c>
      <c r="N1090" s="45">
        <f>IF(COUNTIFS($C:$C,$C1090,$D:$D,"P0(전)",$L:$L,"&gt;0")&lt;&gt;1,"",SUMIFS($H:$H,$C:$C,$C1090,$D:$D,"P0(전)"))</f>
        <v/>
      </c>
      <c r="O1090" s="30">
        <f>IF(COUNTIFS($C:$C,$C1090,$D:$D,"P0(전)",$L:$L,"&gt;0")&lt;&gt;1,"",SUMIFS($L:$L,$C:$C,$C1090,$D:$D,"P0(전)"))</f>
        <v/>
      </c>
      <c r="P1090" s="45">
        <f>IF(COUNTIFS($C:$C,$C1090,$D:$D,"P0(후)",$L:$L,"&gt;0")&lt;&gt;1,"",SUMIFS($H:$H,$C:$C,$C1090,$D:$D,"P0(후)"))</f>
        <v/>
      </c>
      <c r="Q1090" s="30">
        <f>IF(COUNTIFS($C:$C,$C1090,$D:$D,"P0(후)",$L:$L,"&gt;0")&lt;&gt;1,"",SUMIFS($L:$L,$C:$C,$C1090,$D:$D,"P0(후)"))</f>
        <v/>
      </c>
      <c r="R1090" s="30">
        <f>IF(M1090&lt;&gt;"OK","",O1090+(Q1090-O1090)*(H1090-N1090)/(P1090-N1090))</f>
        <v/>
      </c>
      <c r="S1090" s="30">
        <f>IF(OR(M1090&lt;&gt;"OK",NOT(ISNUMBER(L1090))),"",L1090-R1090)</f>
        <v/>
      </c>
      <c r="T1090" s="46">
        <f>IF(OR(NOT(ISNUMBER(S1090)),IF(ISNUMBER(G1090),G1090,F1090)=0),"",S1090/IF(ISNUMBER(G1090),G1090,F1090))</f>
        <v/>
      </c>
      <c r="U1090" s="46">
        <f>IF(ISNUMBER(T1090),ABS(T1090),"")</f>
        <v/>
      </c>
      <c r="V1090" s="46">
        <f>IF(OR($D1089&lt;&gt;"측정",$C1089&lt;&gt;$C1090,NOT(ISNUMBER(L1090)),NOT(ISNUMBER(L1089)),(IF(ISNUMBER(G1090),G1090,F1090)-IF(ISNUMBER(G1089),G1089,F1089))=0),"",(L1090-L1089)/(IF(ISNUMBER(G1090),G1090,F1090)-IF(ISNUMBER(G1089),G1089,F1089)))</f>
        <v/>
      </c>
      <c r="W1090" s="30">
        <f>IF(NOT(AND(ISNUMBER(N1090),ISNUMBER(P1090))),"",(P1090-N1090)*1440)</f>
        <v/>
      </c>
      <c r="X1090" s="28" t="n"/>
      <c r="Y1090" s="28" t="n"/>
      <c r="Z1090" s="28" t="n"/>
      <c r="AA1090" s="31" t="n"/>
      <c r="AB1090" s="31" t="n"/>
    </row>
    <row r="1091">
      <c r="A1091" s="25" t="inlineStr">
        <is>
          <t>S21</t>
        </is>
      </c>
      <c r="B1091" s="25" t="inlineStr">
        <is>
          <t>담양 신규점2</t>
        </is>
      </c>
      <c r="C1091" s="25" t="inlineStr">
        <is>
          <t>S21-H북</t>
        </is>
      </c>
      <c r="D1091" s="25" t="inlineStr">
        <is>
          <t>측정</t>
        </is>
      </c>
      <c r="E1091" s="25" t="inlineStr">
        <is>
          <t>북</t>
        </is>
      </c>
      <c r="F1091" s="30" t="n">
        <v>6</v>
      </c>
      <c r="G1091" s="29" t="n"/>
      <c r="H1091" s="42" t="n"/>
      <c r="I1091" s="40" t="n"/>
      <c r="J1091" s="40" t="n"/>
      <c r="K1091" s="40" t="n"/>
      <c r="L1091" s="30">
        <f>IF(COUNT(I1091:K1091)=0,"",MEDIAN(I1091:K1091))</f>
        <v/>
      </c>
      <c r="M1091" s="25">
        <f>IF(COUNTIFS($C:$C,$C1091,$D:$D,"P0(전)",$L:$L,"&gt;0")&lt;&gt;1,"P0(전) 유효 1개 아님",IF(COUNTIFS($C:$C,$C1091,$D:$D,"P0(후)",$L:$L,"&gt;0")&lt;&gt;1,"P0(후) 유효 1개 아님",IF(NOT(AND(ISNUMBER(N1091),ISNUMBER(P1091),ISNUMBER(H1091))),"시각 결측",IF(P1091&lt;=N1091,"P0 시각 역전",IF(OR(H1091&lt;N1091,H1091&gt;P1091),"측정시각 구간 밖","OK")))))</f>
        <v/>
      </c>
      <c r="N1091" s="45">
        <f>IF(COUNTIFS($C:$C,$C1091,$D:$D,"P0(전)",$L:$L,"&gt;0")&lt;&gt;1,"",SUMIFS($H:$H,$C:$C,$C1091,$D:$D,"P0(전)"))</f>
        <v/>
      </c>
      <c r="O1091" s="30">
        <f>IF(COUNTIFS($C:$C,$C1091,$D:$D,"P0(전)",$L:$L,"&gt;0")&lt;&gt;1,"",SUMIFS($L:$L,$C:$C,$C1091,$D:$D,"P0(전)"))</f>
        <v/>
      </c>
      <c r="P1091" s="45">
        <f>IF(COUNTIFS($C:$C,$C1091,$D:$D,"P0(후)",$L:$L,"&gt;0")&lt;&gt;1,"",SUMIFS($H:$H,$C:$C,$C1091,$D:$D,"P0(후)"))</f>
        <v/>
      </c>
      <c r="Q1091" s="30">
        <f>IF(COUNTIFS($C:$C,$C1091,$D:$D,"P0(후)",$L:$L,"&gt;0")&lt;&gt;1,"",SUMIFS($L:$L,$C:$C,$C1091,$D:$D,"P0(후)"))</f>
        <v/>
      </c>
      <c r="R1091" s="30">
        <f>IF(M1091&lt;&gt;"OK","",O1091+(Q1091-O1091)*(H1091-N1091)/(P1091-N1091))</f>
        <v/>
      </c>
      <c r="S1091" s="30">
        <f>IF(OR(M1091&lt;&gt;"OK",NOT(ISNUMBER(L1091))),"",L1091-R1091)</f>
        <v/>
      </c>
      <c r="T1091" s="46">
        <f>IF(OR(NOT(ISNUMBER(S1091)),IF(ISNUMBER(G1091),G1091,F1091)=0),"",S1091/IF(ISNUMBER(G1091),G1091,F1091))</f>
        <v/>
      </c>
      <c r="U1091" s="46">
        <f>IF(ISNUMBER(T1091),ABS(T1091),"")</f>
        <v/>
      </c>
      <c r="V1091" s="46">
        <f>IF(OR($D1090&lt;&gt;"측정",$C1090&lt;&gt;$C1091,NOT(ISNUMBER(L1091)),NOT(ISNUMBER(L1090)),(IF(ISNUMBER(G1091),G1091,F1091)-IF(ISNUMBER(G1090),G1090,F1090))=0),"",(L1091-L1090)/(IF(ISNUMBER(G1091),G1091,F1091)-IF(ISNUMBER(G1090),G1090,F1090)))</f>
        <v/>
      </c>
      <c r="W1091" s="30">
        <f>IF(NOT(AND(ISNUMBER(N1091),ISNUMBER(P1091))),"",(P1091-N1091)*1440)</f>
        <v/>
      </c>
      <c r="X1091" s="28" t="n"/>
      <c r="Y1091" s="28" t="n"/>
      <c r="Z1091" s="28" t="n"/>
      <c r="AA1091" s="31" t="n"/>
      <c r="AB1091" s="31" t="n"/>
    </row>
    <row r="1092">
      <c r="A1092" s="25" t="inlineStr">
        <is>
          <t>S21</t>
        </is>
      </c>
      <c r="B1092" s="25" t="inlineStr">
        <is>
          <t>담양 신규점2</t>
        </is>
      </c>
      <c r="C1092" s="25" t="inlineStr">
        <is>
          <t>S21-H북</t>
        </is>
      </c>
      <c r="D1092" s="25" t="inlineStr">
        <is>
          <t>측정</t>
        </is>
      </c>
      <c r="E1092" s="25" t="inlineStr">
        <is>
          <t>북</t>
        </is>
      </c>
      <c r="F1092" s="30" t="n">
        <v>7</v>
      </c>
      <c r="G1092" s="29" t="n"/>
      <c r="H1092" s="42" t="n"/>
      <c r="I1092" s="40" t="n"/>
      <c r="J1092" s="40" t="n"/>
      <c r="K1092" s="40" t="n"/>
      <c r="L1092" s="30">
        <f>IF(COUNT(I1092:K1092)=0,"",MEDIAN(I1092:K1092))</f>
        <v/>
      </c>
      <c r="M1092" s="25">
        <f>IF(COUNTIFS($C:$C,$C1092,$D:$D,"P0(전)",$L:$L,"&gt;0")&lt;&gt;1,"P0(전) 유효 1개 아님",IF(COUNTIFS($C:$C,$C1092,$D:$D,"P0(후)",$L:$L,"&gt;0")&lt;&gt;1,"P0(후) 유효 1개 아님",IF(NOT(AND(ISNUMBER(N1092),ISNUMBER(P1092),ISNUMBER(H1092))),"시각 결측",IF(P1092&lt;=N1092,"P0 시각 역전",IF(OR(H1092&lt;N1092,H1092&gt;P1092),"측정시각 구간 밖","OK")))))</f>
        <v/>
      </c>
      <c r="N1092" s="45">
        <f>IF(COUNTIFS($C:$C,$C1092,$D:$D,"P0(전)",$L:$L,"&gt;0")&lt;&gt;1,"",SUMIFS($H:$H,$C:$C,$C1092,$D:$D,"P0(전)"))</f>
        <v/>
      </c>
      <c r="O1092" s="30">
        <f>IF(COUNTIFS($C:$C,$C1092,$D:$D,"P0(전)",$L:$L,"&gt;0")&lt;&gt;1,"",SUMIFS($L:$L,$C:$C,$C1092,$D:$D,"P0(전)"))</f>
        <v/>
      </c>
      <c r="P1092" s="45">
        <f>IF(COUNTIFS($C:$C,$C1092,$D:$D,"P0(후)",$L:$L,"&gt;0")&lt;&gt;1,"",SUMIFS($H:$H,$C:$C,$C1092,$D:$D,"P0(후)"))</f>
        <v/>
      </c>
      <c r="Q1092" s="30">
        <f>IF(COUNTIFS($C:$C,$C1092,$D:$D,"P0(후)",$L:$L,"&gt;0")&lt;&gt;1,"",SUMIFS($L:$L,$C:$C,$C1092,$D:$D,"P0(후)"))</f>
        <v/>
      </c>
      <c r="R1092" s="30">
        <f>IF(M1092&lt;&gt;"OK","",O1092+(Q1092-O1092)*(H1092-N1092)/(P1092-N1092))</f>
        <v/>
      </c>
      <c r="S1092" s="30">
        <f>IF(OR(M1092&lt;&gt;"OK",NOT(ISNUMBER(L1092))),"",L1092-R1092)</f>
        <v/>
      </c>
      <c r="T1092" s="46">
        <f>IF(OR(NOT(ISNUMBER(S1092)),IF(ISNUMBER(G1092),G1092,F1092)=0),"",S1092/IF(ISNUMBER(G1092),G1092,F1092))</f>
        <v/>
      </c>
      <c r="U1092" s="46">
        <f>IF(ISNUMBER(T1092),ABS(T1092),"")</f>
        <v/>
      </c>
      <c r="V1092" s="46">
        <f>IF(OR($D1091&lt;&gt;"측정",$C1091&lt;&gt;$C1092,NOT(ISNUMBER(L1092)),NOT(ISNUMBER(L1091)),(IF(ISNUMBER(G1092),G1092,F1092)-IF(ISNUMBER(G1091),G1091,F1091))=0),"",(L1092-L1091)/(IF(ISNUMBER(G1092),G1092,F1092)-IF(ISNUMBER(G1091),G1091,F1091)))</f>
        <v/>
      </c>
      <c r="W1092" s="30">
        <f>IF(NOT(AND(ISNUMBER(N1092),ISNUMBER(P1092))),"",(P1092-N1092)*1440)</f>
        <v/>
      </c>
      <c r="X1092" s="28" t="n"/>
      <c r="Y1092" s="28" t="n"/>
      <c r="Z1092" s="28" t="n"/>
      <c r="AA1092" s="31" t="n"/>
      <c r="AB1092" s="31" t="n"/>
    </row>
    <row r="1093">
      <c r="A1093" s="25" t="inlineStr">
        <is>
          <t>S21</t>
        </is>
      </c>
      <c r="B1093" s="25" t="inlineStr">
        <is>
          <t>담양 신규점2</t>
        </is>
      </c>
      <c r="C1093" s="25" t="inlineStr">
        <is>
          <t>S21-H북</t>
        </is>
      </c>
      <c r="D1093" s="25" t="inlineStr">
        <is>
          <t>측정</t>
        </is>
      </c>
      <c r="E1093" s="25" t="inlineStr">
        <is>
          <t>북</t>
        </is>
      </c>
      <c r="F1093" s="30" t="n">
        <v>8</v>
      </c>
      <c r="G1093" s="29" t="n"/>
      <c r="H1093" s="42" t="n"/>
      <c r="I1093" s="40" t="n"/>
      <c r="J1093" s="40" t="n"/>
      <c r="K1093" s="40" t="n"/>
      <c r="L1093" s="30">
        <f>IF(COUNT(I1093:K1093)=0,"",MEDIAN(I1093:K1093))</f>
        <v/>
      </c>
      <c r="M1093" s="25">
        <f>IF(COUNTIFS($C:$C,$C1093,$D:$D,"P0(전)",$L:$L,"&gt;0")&lt;&gt;1,"P0(전) 유효 1개 아님",IF(COUNTIFS($C:$C,$C1093,$D:$D,"P0(후)",$L:$L,"&gt;0")&lt;&gt;1,"P0(후) 유효 1개 아님",IF(NOT(AND(ISNUMBER(N1093),ISNUMBER(P1093),ISNUMBER(H1093))),"시각 결측",IF(P1093&lt;=N1093,"P0 시각 역전",IF(OR(H1093&lt;N1093,H1093&gt;P1093),"측정시각 구간 밖","OK")))))</f>
        <v/>
      </c>
      <c r="N1093" s="45">
        <f>IF(COUNTIFS($C:$C,$C1093,$D:$D,"P0(전)",$L:$L,"&gt;0")&lt;&gt;1,"",SUMIFS($H:$H,$C:$C,$C1093,$D:$D,"P0(전)"))</f>
        <v/>
      </c>
      <c r="O1093" s="30">
        <f>IF(COUNTIFS($C:$C,$C1093,$D:$D,"P0(전)",$L:$L,"&gt;0")&lt;&gt;1,"",SUMIFS($L:$L,$C:$C,$C1093,$D:$D,"P0(전)"))</f>
        <v/>
      </c>
      <c r="P1093" s="45">
        <f>IF(COUNTIFS($C:$C,$C1093,$D:$D,"P0(후)",$L:$L,"&gt;0")&lt;&gt;1,"",SUMIFS($H:$H,$C:$C,$C1093,$D:$D,"P0(후)"))</f>
        <v/>
      </c>
      <c r="Q1093" s="30">
        <f>IF(COUNTIFS($C:$C,$C1093,$D:$D,"P0(후)",$L:$L,"&gt;0")&lt;&gt;1,"",SUMIFS($L:$L,$C:$C,$C1093,$D:$D,"P0(후)"))</f>
        <v/>
      </c>
      <c r="R1093" s="30">
        <f>IF(M1093&lt;&gt;"OK","",O1093+(Q1093-O1093)*(H1093-N1093)/(P1093-N1093))</f>
        <v/>
      </c>
      <c r="S1093" s="30">
        <f>IF(OR(M1093&lt;&gt;"OK",NOT(ISNUMBER(L1093))),"",L1093-R1093)</f>
        <v/>
      </c>
      <c r="T1093" s="46">
        <f>IF(OR(NOT(ISNUMBER(S1093)),IF(ISNUMBER(G1093),G1093,F1093)=0),"",S1093/IF(ISNUMBER(G1093),G1093,F1093))</f>
        <v/>
      </c>
      <c r="U1093" s="46">
        <f>IF(ISNUMBER(T1093),ABS(T1093),"")</f>
        <v/>
      </c>
      <c r="V1093" s="46">
        <f>IF(OR($D1092&lt;&gt;"측정",$C1092&lt;&gt;$C1093,NOT(ISNUMBER(L1093)),NOT(ISNUMBER(L1092)),(IF(ISNUMBER(G1093),G1093,F1093)-IF(ISNUMBER(G1092),G1092,F1092))=0),"",(L1093-L1092)/(IF(ISNUMBER(G1093),G1093,F1093)-IF(ISNUMBER(G1092),G1092,F1092)))</f>
        <v/>
      </c>
      <c r="W1093" s="30">
        <f>IF(NOT(AND(ISNUMBER(N1093),ISNUMBER(P1093))),"",(P1093-N1093)*1440)</f>
        <v/>
      </c>
      <c r="X1093" s="28" t="n"/>
      <c r="Y1093" s="28" t="n"/>
      <c r="Z1093" s="28" t="n"/>
      <c r="AA1093" s="31" t="n"/>
      <c r="AB1093" s="31" t="n"/>
    </row>
    <row r="1094">
      <c r="A1094" s="25" t="inlineStr">
        <is>
          <t>S21</t>
        </is>
      </c>
      <c r="B1094" s="25" t="inlineStr">
        <is>
          <t>담양 신규점2</t>
        </is>
      </c>
      <c r="C1094" s="25" t="inlineStr">
        <is>
          <t>S21-H북</t>
        </is>
      </c>
      <c r="D1094" s="25" t="inlineStr">
        <is>
          <t>측정</t>
        </is>
      </c>
      <c r="E1094" s="25" t="inlineStr">
        <is>
          <t>북</t>
        </is>
      </c>
      <c r="F1094" s="30" t="n">
        <v>9</v>
      </c>
      <c r="G1094" s="29" t="n"/>
      <c r="H1094" s="42" t="n"/>
      <c r="I1094" s="40" t="n"/>
      <c r="J1094" s="40" t="n"/>
      <c r="K1094" s="40" t="n"/>
      <c r="L1094" s="30">
        <f>IF(COUNT(I1094:K1094)=0,"",MEDIAN(I1094:K1094))</f>
        <v/>
      </c>
      <c r="M1094" s="25">
        <f>IF(COUNTIFS($C:$C,$C1094,$D:$D,"P0(전)",$L:$L,"&gt;0")&lt;&gt;1,"P0(전) 유효 1개 아님",IF(COUNTIFS($C:$C,$C1094,$D:$D,"P0(후)",$L:$L,"&gt;0")&lt;&gt;1,"P0(후) 유효 1개 아님",IF(NOT(AND(ISNUMBER(N1094),ISNUMBER(P1094),ISNUMBER(H1094))),"시각 결측",IF(P1094&lt;=N1094,"P0 시각 역전",IF(OR(H1094&lt;N1094,H1094&gt;P1094),"측정시각 구간 밖","OK")))))</f>
        <v/>
      </c>
      <c r="N1094" s="45">
        <f>IF(COUNTIFS($C:$C,$C1094,$D:$D,"P0(전)",$L:$L,"&gt;0")&lt;&gt;1,"",SUMIFS($H:$H,$C:$C,$C1094,$D:$D,"P0(전)"))</f>
        <v/>
      </c>
      <c r="O1094" s="30">
        <f>IF(COUNTIFS($C:$C,$C1094,$D:$D,"P0(전)",$L:$L,"&gt;0")&lt;&gt;1,"",SUMIFS($L:$L,$C:$C,$C1094,$D:$D,"P0(전)"))</f>
        <v/>
      </c>
      <c r="P1094" s="45">
        <f>IF(COUNTIFS($C:$C,$C1094,$D:$D,"P0(후)",$L:$L,"&gt;0")&lt;&gt;1,"",SUMIFS($H:$H,$C:$C,$C1094,$D:$D,"P0(후)"))</f>
        <v/>
      </c>
      <c r="Q1094" s="30">
        <f>IF(COUNTIFS($C:$C,$C1094,$D:$D,"P0(후)",$L:$L,"&gt;0")&lt;&gt;1,"",SUMIFS($L:$L,$C:$C,$C1094,$D:$D,"P0(후)"))</f>
        <v/>
      </c>
      <c r="R1094" s="30">
        <f>IF(M1094&lt;&gt;"OK","",O1094+(Q1094-O1094)*(H1094-N1094)/(P1094-N1094))</f>
        <v/>
      </c>
      <c r="S1094" s="30">
        <f>IF(OR(M1094&lt;&gt;"OK",NOT(ISNUMBER(L1094))),"",L1094-R1094)</f>
        <v/>
      </c>
      <c r="T1094" s="46">
        <f>IF(OR(NOT(ISNUMBER(S1094)),IF(ISNUMBER(G1094),G1094,F1094)=0),"",S1094/IF(ISNUMBER(G1094),G1094,F1094))</f>
        <v/>
      </c>
      <c r="U1094" s="46">
        <f>IF(ISNUMBER(T1094),ABS(T1094),"")</f>
        <v/>
      </c>
      <c r="V1094" s="46">
        <f>IF(OR($D1093&lt;&gt;"측정",$C1093&lt;&gt;$C1094,NOT(ISNUMBER(L1094)),NOT(ISNUMBER(L1093)),(IF(ISNUMBER(G1094),G1094,F1094)-IF(ISNUMBER(G1093),G1093,F1093))=0),"",(L1094-L1093)/(IF(ISNUMBER(G1094),G1094,F1094)-IF(ISNUMBER(G1093),G1093,F1093)))</f>
        <v/>
      </c>
      <c r="W1094" s="30">
        <f>IF(NOT(AND(ISNUMBER(N1094),ISNUMBER(P1094))),"",(P1094-N1094)*1440)</f>
        <v/>
      </c>
      <c r="X1094" s="28" t="n"/>
      <c r="Y1094" s="28" t="n"/>
      <c r="Z1094" s="28" t="n"/>
      <c r="AA1094" s="31" t="n"/>
      <c r="AB1094" s="31" t="n"/>
    </row>
    <row r="1095">
      <c r="A1095" s="25" t="inlineStr">
        <is>
          <t>S21</t>
        </is>
      </c>
      <c r="B1095" s="25" t="inlineStr">
        <is>
          <t>담양 신규점2</t>
        </is>
      </c>
      <c r="C1095" s="25" t="inlineStr">
        <is>
          <t>S21-H북</t>
        </is>
      </c>
      <c r="D1095" s="25" t="inlineStr">
        <is>
          <t>측정</t>
        </is>
      </c>
      <c r="E1095" s="25" t="inlineStr">
        <is>
          <t>북</t>
        </is>
      </c>
      <c r="F1095" s="30" t="n">
        <v>10</v>
      </c>
      <c r="G1095" s="29" t="n"/>
      <c r="H1095" s="42" t="n"/>
      <c r="I1095" s="40" t="n"/>
      <c r="J1095" s="40" t="n"/>
      <c r="K1095" s="40" t="n"/>
      <c r="L1095" s="30">
        <f>IF(COUNT(I1095:K1095)=0,"",MEDIAN(I1095:K1095))</f>
        <v/>
      </c>
      <c r="M1095" s="25">
        <f>IF(COUNTIFS($C:$C,$C1095,$D:$D,"P0(전)",$L:$L,"&gt;0")&lt;&gt;1,"P0(전) 유효 1개 아님",IF(COUNTIFS($C:$C,$C1095,$D:$D,"P0(후)",$L:$L,"&gt;0")&lt;&gt;1,"P0(후) 유효 1개 아님",IF(NOT(AND(ISNUMBER(N1095),ISNUMBER(P1095),ISNUMBER(H1095))),"시각 결측",IF(P1095&lt;=N1095,"P0 시각 역전",IF(OR(H1095&lt;N1095,H1095&gt;P1095),"측정시각 구간 밖","OK")))))</f>
        <v/>
      </c>
      <c r="N1095" s="45">
        <f>IF(COUNTIFS($C:$C,$C1095,$D:$D,"P0(전)",$L:$L,"&gt;0")&lt;&gt;1,"",SUMIFS($H:$H,$C:$C,$C1095,$D:$D,"P0(전)"))</f>
        <v/>
      </c>
      <c r="O1095" s="30">
        <f>IF(COUNTIFS($C:$C,$C1095,$D:$D,"P0(전)",$L:$L,"&gt;0")&lt;&gt;1,"",SUMIFS($L:$L,$C:$C,$C1095,$D:$D,"P0(전)"))</f>
        <v/>
      </c>
      <c r="P1095" s="45">
        <f>IF(COUNTIFS($C:$C,$C1095,$D:$D,"P0(후)",$L:$L,"&gt;0")&lt;&gt;1,"",SUMIFS($H:$H,$C:$C,$C1095,$D:$D,"P0(후)"))</f>
        <v/>
      </c>
      <c r="Q1095" s="30">
        <f>IF(COUNTIFS($C:$C,$C1095,$D:$D,"P0(후)",$L:$L,"&gt;0")&lt;&gt;1,"",SUMIFS($L:$L,$C:$C,$C1095,$D:$D,"P0(후)"))</f>
        <v/>
      </c>
      <c r="R1095" s="30">
        <f>IF(M1095&lt;&gt;"OK","",O1095+(Q1095-O1095)*(H1095-N1095)/(P1095-N1095))</f>
        <v/>
      </c>
      <c r="S1095" s="30">
        <f>IF(OR(M1095&lt;&gt;"OK",NOT(ISNUMBER(L1095))),"",L1095-R1095)</f>
        <v/>
      </c>
      <c r="T1095" s="46">
        <f>IF(OR(NOT(ISNUMBER(S1095)),IF(ISNUMBER(G1095),G1095,F1095)=0),"",S1095/IF(ISNUMBER(G1095),G1095,F1095))</f>
        <v/>
      </c>
      <c r="U1095" s="46">
        <f>IF(ISNUMBER(T1095),ABS(T1095),"")</f>
        <v/>
      </c>
      <c r="V1095" s="46">
        <f>IF(OR($D1094&lt;&gt;"측정",$C1094&lt;&gt;$C1095,NOT(ISNUMBER(L1095)),NOT(ISNUMBER(L1094)),(IF(ISNUMBER(G1095),G1095,F1095)-IF(ISNUMBER(G1094),G1094,F1094))=0),"",(L1095-L1094)/(IF(ISNUMBER(G1095),G1095,F1095)-IF(ISNUMBER(G1094),G1094,F1094)))</f>
        <v/>
      </c>
      <c r="W1095" s="30">
        <f>IF(NOT(AND(ISNUMBER(N1095),ISNUMBER(P1095))),"",(P1095-N1095)*1440)</f>
        <v/>
      </c>
      <c r="X1095" s="28" t="n"/>
      <c r="Y1095" s="28" t="n"/>
      <c r="Z1095" s="28" t="n"/>
      <c r="AA1095" s="31" t="n"/>
      <c r="AB1095" s="31" t="n"/>
    </row>
    <row r="1096">
      <c r="A1096" s="43" t="inlineStr">
        <is>
          <t>S21</t>
        </is>
      </c>
      <c r="B1096" s="43" t="inlineStr">
        <is>
          <t>담양 신규점2</t>
        </is>
      </c>
      <c r="C1096" s="43" t="inlineStr">
        <is>
          <t>S21-H북</t>
        </is>
      </c>
      <c r="D1096" s="43" t="inlineStr">
        <is>
          <t>P0(후)</t>
        </is>
      </c>
      <c r="E1096" s="43" t="inlineStr">
        <is>
          <t>북</t>
        </is>
      </c>
      <c r="F1096" s="44" t="n"/>
      <c r="G1096" s="29" t="n"/>
      <c r="H1096" s="42" t="n"/>
      <c r="I1096" s="40" t="n"/>
      <c r="J1096" s="40" t="n"/>
      <c r="K1096" s="40" t="n"/>
      <c r="L1096" s="30">
        <f>IF(COUNT(I1096:K1096)=0,"",MEDIAN(I1096:K1096))</f>
        <v/>
      </c>
      <c r="M1096" s="37" t="n"/>
      <c r="N1096" s="37" t="n"/>
      <c r="O1096" s="37" t="n"/>
      <c r="P1096" s="37" t="n"/>
      <c r="Q1096" s="37" t="n"/>
      <c r="R1096" s="37" t="n"/>
      <c r="S1096" s="37" t="n"/>
      <c r="T1096" s="37" t="n"/>
      <c r="U1096" s="37" t="n"/>
      <c r="V1096" s="37" t="n"/>
      <c r="W1096" s="37" t="n"/>
      <c r="X1096" s="28" t="n"/>
      <c r="Y1096" s="28" t="n"/>
      <c r="Z1096" s="28" t="n"/>
      <c r="AA1096" s="31" t="n"/>
      <c r="AB1096" s="31" t="n"/>
    </row>
    <row r="1097">
      <c r="A1097" s="43" t="inlineStr">
        <is>
          <t>S22</t>
        </is>
      </c>
      <c r="B1097" s="43" t="inlineStr">
        <is>
          <t>완도 신규점</t>
        </is>
      </c>
      <c r="C1097" s="43" t="inlineStr">
        <is>
          <t>S22-H동</t>
        </is>
      </c>
      <c r="D1097" s="43" t="inlineStr">
        <is>
          <t>P0(전)</t>
        </is>
      </c>
      <c r="E1097" s="43" t="inlineStr">
        <is>
          <t>동</t>
        </is>
      </c>
      <c r="F1097" s="44" t="n"/>
      <c r="G1097" s="29" t="n"/>
      <c r="H1097" s="42" t="n"/>
      <c r="I1097" s="40" t="n"/>
      <c r="J1097" s="40" t="n"/>
      <c r="K1097" s="40" t="n"/>
      <c r="L1097" s="30">
        <f>IF(COUNT(I1097:K1097)=0,"",MEDIAN(I1097:K1097))</f>
        <v/>
      </c>
      <c r="M1097" s="37" t="n"/>
      <c r="N1097" s="37" t="n"/>
      <c r="O1097" s="37" t="n"/>
      <c r="P1097" s="37" t="n"/>
      <c r="Q1097" s="37" t="n"/>
      <c r="R1097" s="37" t="n"/>
      <c r="S1097" s="37" t="n"/>
      <c r="T1097" s="37" t="n"/>
      <c r="U1097" s="37" t="n"/>
      <c r="V1097" s="37" t="n"/>
      <c r="W1097" s="37" t="n"/>
      <c r="X1097" s="28" t="n"/>
      <c r="Y1097" s="28" t="n"/>
      <c r="Z1097" s="28" t="n"/>
      <c r="AA1097" s="31" t="n"/>
      <c r="AB1097" s="31" t="n"/>
    </row>
    <row r="1098">
      <c r="A1098" s="25" t="inlineStr">
        <is>
          <t>S22</t>
        </is>
      </c>
      <c r="B1098" s="25" t="inlineStr">
        <is>
          <t>완도 신규점</t>
        </is>
      </c>
      <c r="C1098" s="25" t="inlineStr">
        <is>
          <t>S22-H동</t>
        </is>
      </c>
      <c r="D1098" s="25" t="inlineStr">
        <is>
          <t>측정</t>
        </is>
      </c>
      <c r="E1098" s="25" t="inlineStr">
        <is>
          <t>동</t>
        </is>
      </c>
      <c r="F1098" s="30" t="n">
        <v>0.5</v>
      </c>
      <c r="G1098" s="29" t="n"/>
      <c r="H1098" s="42" t="n"/>
      <c r="I1098" s="40" t="n"/>
      <c r="J1098" s="40" t="n"/>
      <c r="K1098" s="40" t="n"/>
      <c r="L1098" s="30">
        <f>IF(COUNT(I1098:K1098)=0,"",MEDIAN(I1098:K1098))</f>
        <v/>
      </c>
      <c r="M1098" s="25">
        <f>IF(COUNTIFS($C:$C,$C1098,$D:$D,"P0(전)",$L:$L,"&gt;0")&lt;&gt;1,"P0(전) 유효 1개 아님",IF(COUNTIFS($C:$C,$C1098,$D:$D,"P0(후)",$L:$L,"&gt;0")&lt;&gt;1,"P0(후) 유효 1개 아님",IF(NOT(AND(ISNUMBER(N1098),ISNUMBER(P1098),ISNUMBER(H1098))),"시각 결측",IF(P1098&lt;=N1098,"P0 시각 역전",IF(OR(H1098&lt;N1098,H1098&gt;P1098),"측정시각 구간 밖","OK")))))</f>
        <v/>
      </c>
      <c r="N1098" s="45">
        <f>IF(COUNTIFS($C:$C,$C1098,$D:$D,"P0(전)",$L:$L,"&gt;0")&lt;&gt;1,"",SUMIFS($H:$H,$C:$C,$C1098,$D:$D,"P0(전)"))</f>
        <v/>
      </c>
      <c r="O1098" s="30">
        <f>IF(COUNTIFS($C:$C,$C1098,$D:$D,"P0(전)",$L:$L,"&gt;0")&lt;&gt;1,"",SUMIFS($L:$L,$C:$C,$C1098,$D:$D,"P0(전)"))</f>
        <v/>
      </c>
      <c r="P1098" s="45">
        <f>IF(COUNTIFS($C:$C,$C1098,$D:$D,"P0(후)",$L:$L,"&gt;0")&lt;&gt;1,"",SUMIFS($H:$H,$C:$C,$C1098,$D:$D,"P0(후)"))</f>
        <v/>
      </c>
      <c r="Q1098" s="30">
        <f>IF(COUNTIFS($C:$C,$C1098,$D:$D,"P0(후)",$L:$L,"&gt;0")&lt;&gt;1,"",SUMIFS($L:$L,$C:$C,$C1098,$D:$D,"P0(후)"))</f>
        <v/>
      </c>
      <c r="R1098" s="30">
        <f>IF(M1098&lt;&gt;"OK","",O1098+(Q1098-O1098)*(H1098-N1098)/(P1098-N1098))</f>
        <v/>
      </c>
      <c r="S1098" s="30">
        <f>IF(OR(M1098&lt;&gt;"OK",NOT(ISNUMBER(L1098))),"",L1098-R1098)</f>
        <v/>
      </c>
      <c r="T1098" s="46">
        <f>IF(OR(NOT(ISNUMBER(S1098)),IF(ISNUMBER(G1098),G1098,F1098)=0),"",S1098/IF(ISNUMBER(G1098),G1098,F1098))</f>
        <v/>
      </c>
      <c r="U1098" s="46">
        <f>IF(ISNUMBER(T1098),ABS(T1098),"")</f>
        <v/>
      </c>
      <c r="V1098" s="46">
        <f>IF(OR($D1097&lt;&gt;"측정",$C1097&lt;&gt;$C1098,NOT(ISNUMBER(L1098)),NOT(ISNUMBER(L1097)),(IF(ISNUMBER(G1098),G1098,F1098)-IF(ISNUMBER(G1097),G1097,F1097))=0),"",(L1098-L1097)/(IF(ISNUMBER(G1098),G1098,F1098)-IF(ISNUMBER(G1097),G1097,F1097)))</f>
        <v/>
      </c>
      <c r="W1098" s="30">
        <f>IF(NOT(AND(ISNUMBER(N1098),ISNUMBER(P1098))),"",(P1098-N1098)*1440)</f>
        <v/>
      </c>
      <c r="X1098" s="28" t="n"/>
      <c r="Y1098" s="28" t="n"/>
      <c r="Z1098" s="28" t="n"/>
      <c r="AA1098" s="31" t="n"/>
      <c r="AB1098" s="31" t="n"/>
    </row>
    <row r="1099">
      <c r="A1099" s="25" t="inlineStr">
        <is>
          <t>S22</t>
        </is>
      </c>
      <c r="B1099" s="25" t="inlineStr">
        <is>
          <t>완도 신규점</t>
        </is>
      </c>
      <c r="C1099" s="25" t="inlineStr">
        <is>
          <t>S22-H동</t>
        </is>
      </c>
      <c r="D1099" s="25" t="inlineStr">
        <is>
          <t>측정</t>
        </is>
      </c>
      <c r="E1099" s="25" t="inlineStr">
        <is>
          <t>동</t>
        </is>
      </c>
      <c r="F1099" s="30" t="n">
        <v>1</v>
      </c>
      <c r="G1099" s="29" t="n"/>
      <c r="H1099" s="42" t="n"/>
      <c r="I1099" s="40" t="n"/>
      <c r="J1099" s="40" t="n"/>
      <c r="K1099" s="40" t="n"/>
      <c r="L1099" s="30">
        <f>IF(COUNT(I1099:K1099)=0,"",MEDIAN(I1099:K1099))</f>
        <v/>
      </c>
      <c r="M1099" s="25">
        <f>IF(COUNTIFS($C:$C,$C1099,$D:$D,"P0(전)",$L:$L,"&gt;0")&lt;&gt;1,"P0(전) 유효 1개 아님",IF(COUNTIFS($C:$C,$C1099,$D:$D,"P0(후)",$L:$L,"&gt;0")&lt;&gt;1,"P0(후) 유효 1개 아님",IF(NOT(AND(ISNUMBER(N1099),ISNUMBER(P1099),ISNUMBER(H1099))),"시각 결측",IF(P1099&lt;=N1099,"P0 시각 역전",IF(OR(H1099&lt;N1099,H1099&gt;P1099),"측정시각 구간 밖","OK")))))</f>
        <v/>
      </c>
      <c r="N1099" s="45">
        <f>IF(COUNTIFS($C:$C,$C1099,$D:$D,"P0(전)",$L:$L,"&gt;0")&lt;&gt;1,"",SUMIFS($H:$H,$C:$C,$C1099,$D:$D,"P0(전)"))</f>
        <v/>
      </c>
      <c r="O1099" s="30">
        <f>IF(COUNTIFS($C:$C,$C1099,$D:$D,"P0(전)",$L:$L,"&gt;0")&lt;&gt;1,"",SUMIFS($L:$L,$C:$C,$C1099,$D:$D,"P0(전)"))</f>
        <v/>
      </c>
      <c r="P1099" s="45">
        <f>IF(COUNTIFS($C:$C,$C1099,$D:$D,"P0(후)",$L:$L,"&gt;0")&lt;&gt;1,"",SUMIFS($H:$H,$C:$C,$C1099,$D:$D,"P0(후)"))</f>
        <v/>
      </c>
      <c r="Q1099" s="30">
        <f>IF(COUNTIFS($C:$C,$C1099,$D:$D,"P0(후)",$L:$L,"&gt;0")&lt;&gt;1,"",SUMIFS($L:$L,$C:$C,$C1099,$D:$D,"P0(후)"))</f>
        <v/>
      </c>
      <c r="R1099" s="30">
        <f>IF(M1099&lt;&gt;"OK","",O1099+(Q1099-O1099)*(H1099-N1099)/(P1099-N1099))</f>
        <v/>
      </c>
      <c r="S1099" s="30">
        <f>IF(OR(M1099&lt;&gt;"OK",NOT(ISNUMBER(L1099))),"",L1099-R1099)</f>
        <v/>
      </c>
      <c r="T1099" s="46">
        <f>IF(OR(NOT(ISNUMBER(S1099)),IF(ISNUMBER(G1099),G1099,F1099)=0),"",S1099/IF(ISNUMBER(G1099),G1099,F1099))</f>
        <v/>
      </c>
      <c r="U1099" s="46">
        <f>IF(ISNUMBER(T1099),ABS(T1099),"")</f>
        <v/>
      </c>
      <c r="V1099" s="46">
        <f>IF(OR($D1098&lt;&gt;"측정",$C1098&lt;&gt;$C1099,NOT(ISNUMBER(L1099)),NOT(ISNUMBER(L1098)),(IF(ISNUMBER(G1099),G1099,F1099)-IF(ISNUMBER(G1098),G1098,F1098))=0),"",(L1099-L1098)/(IF(ISNUMBER(G1099),G1099,F1099)-IF(ISNUMBER(G1098),G1098,F1098)))</f>
        <v/>
      </c>
      <c r="W1099" s="30">
        <f>IF(NOT(AND(ISNUMBER(N1099),ISNUMBER(P1099))),"",(P1099-N1099)*1440)</f>
        <v/>
      </c>
      <c r="X1099" s="28" t="n"/>
      <c r="Y1099" s="28" t="n"/>
      <c r="Z1099" s="28" t="n"/>
      <c r="AA1099" s="31" t="n"/>
      <c r="AB1099" s="31" t="n"/>
    </row>
    <row r="1100">
      <c r="A1100" s="25" t="inlineStr">
        <is>
          <t>S22</t>
        </is>
      </c>
      <c r="B1100" s="25" t="inlineStr">
        <is>
          <t>완도 신규점</t>
        </is>
      </c>
      <c r="C1100" s="25" t="inlineStr">
        <is>
          <t>S22-H동</t>
        </is>
      </c>
      <c r="D1100" s="25" t="inlineStr">
        <is>
          <t>측정</t>
        </is>
      </c>
      <c r="E1100" s="25" t="inlineStr">
        <is>
          <t>동</t>
        </is>
      </c>
      <c r="F1100" s="30" t="n">
        <v>2</v>
      </c>
      <c r="G1100" s="29" t="n"/>
      <c r="H1100" s="42" t="n"/>
      <c r="I1100" s="40" t="n"/>
      <c r="J1100" s="40" t="n"/>
      <c r="K1100" s="40" t="n"/>
      <c r="L1100" s="30">
        <f>IF(COUNT(I1100:K1100)=0,"",MEDIAN(I1100:K1100))</f>
        <v/>
      </c>
      <c r="M1100" s="25">
        <f>IF(COUNTIFS($C:$C,$C1100,$D:$D,"P0(전)",$L:$L,"&gt;0")&lt;&gt;1,"P0(전) 유효 1개 아님",IF(COUNTIFS($C:$C,$C1100,$D:$D,"P0(후)",$L:$L,"&gt;0")&lt;&gt;1,"P0(후) 유효 1개 아님",IF(NOT(AND(ISNUMBER(N1100),ISNUMBER(P1100),ISNUMBER(H1100))),"시각 결측",IF(P1100&lt;=N1100,"P0 시각 역전",IF(OR(H1100&lt;N1100,H1100&gt;P1100),"측정시각 구간 밖","OK")))))</f>
        <v/>
      </c>
      <c r="N1100" s="45">
        <f>IF(COUNTIFS($C:$C,$C1100,$D:$D,"P0(전)",$L:$L,"&gt;0")&lt;&gt;1,"",SUMIFS($H:$H,$C:$C,$C1100,$D:$D,"P0(전)"))</f>
        <v/>
      </c>
      <c r="O1100" s="30">
        <f>IF(COUNTIFS($C:$C,$C1100,$D:$D,"P0(전)",$L:$L,"&gt;0")&lt;&gt;1,"",SUMIFS($L:$L,$C:$C,$C1100,$D:$D,"P0(전)"))</f>
        <v/>
      </c>
      <c r="P1100" s="45">
        <f>IF(COUNTIFS($C:$C,$C1100,$D:$D,"P0(후)",$L:$L,"&gt;0")&lt;&gt;1,"",SUMIFS($H:$H,$C:$C,$C1100,$D:$D,"P0(후)"))</f>
        <v/>
      </c>
      <c r="Q1100" s="30">
        <f>IF(COUNTIFS($C:$C,$C1100,$D:$D,"P0(후)",$L:$L,"&gt;0")&lt;&gt;1,"",SUMIFS($L:$L,$C:$C,$C1100,$D:$D,"P0(후)"))</f>
        <v/>
      </c>
      <c r="R1100" s="30">
        <f>IF(M1100&lt;&gt;"OK","",O1100+(Q1100-O1100)*(H1100-N1100)/(P1100-N1100))</f>
        <v/>
      </c>
      <c r="S1100" s="30">
        <f>IF(OR(M1100&lt;&gt;"OK",NOT(ISNUMBER(L1100))),"",L1100-R1100)</f>
        <v/>
      </c>
      <c r="T1100" s="46">
        <f>IF(OR(NOT(ISNUMBER(S1100)),IF(ISNUMBER(G1100),G1100,F1100)=0),"",S1100/IF(ISNUMBER(G1100),G1100,F1100))</f>
        <v/>
      </c>
      <c r="U1100" s="46">
        <f>IF(ISNUMBER(T1100),ABS(T1100),"")</f>
        <v/>
      </c>
      <c r="V1100" s="46">
        <f>IF(OR($D1099&lt;&gt;"측정",$C1099&lt;&gt;$C1100,NOT(ISNUMBER(L1100)),NOT(ISNUMBER(L1099)),(IF(ISNUMBER(G1100),G1100,F1100)-IF(ISNUMBER(G1099),G1099,F1099))=0),"",(L1100-L1099)/(IF(ISNUMBER(G1100),G1100,F1100)-IF(ISNUMBER(G1099),G1099,F1099)))</f>
        <v/>
      </c>
      <c r="W1100" s="30">
        <f>IF(NOT(AND(ISNUMBER(N1100),ISNUMBER(P1100))),"",(P1100-N1100)*1440)</f>
        <v/>
      </c>
      <c r="X1100" s="28" t="n"/>
      <c r="Y1100" s="28" t="n"/>
      <c r="Z1100" s="28" t="n"/>
      <c r="AA1100" s="31" t="n"/>
      <c r="AB1100" s="31" t="n"/>
    </row>
    <row r="1101">
      <c r="A1101" s="25" t="inlineStr">
        <is>
          <t>S22</t>
        </is>
      </c>
      <c r="B1101" s="25" t="inlineStr">
        <is>
          <t>완도 신규점</t>
        </is>
      </c>
      <c r="C1101" s="25" t="inlineStr">
        <is>
          <t>S22-H동</t>
        </is>
      </c>
      <c r="D1101" s="25" t="inlineStr">
        <is>
          <t>측정</t>
        </is>
      </c>
      <c r="E1101" s="25" t="inlineStr">
        <is>
          <t>동</t>
        </is>
      </c>
      <c r="F1101" s="30" t="n">
        <v>3</v>
      </c>
      <c r="G1101" s="29" t="n"/>
      <c r="H1101" s="42" t="n"/>
      <c r="I1101" s="40" t="n"/>
      <c r="J1101" s="40" t="n"/>
      <c r="K1101" s="40" t="n"/>
      <c r="L1101" s="30">
        <f>IF(COUNT(I1101:K1101)=0,"",MEDIAN(I1101:K1101))</f>
        <v/>
      </c>
      <c r="M1101" s="25">
        <f>IF(COUNTIFS($C:$C,$C1101,$D:$D,"P0(전)",$L:$L,"&gt;0")&lt;&gt;1,"P0(전) 유효 1개 아님",IF(COUNTIFS($C:$C,$C1101,$D:$D,"P0(후)",$L:$L,"&gt;0")&lt;&gt;1,"P0(후) 유효 1개 아님",IF(NOT(AND(ISNUMBER(N1101),ISNUMBER(P1101),ISNUMBER(H1101))),"시각 결측",IF(P1101&lt;=N1101,"P0 시각 역전",IF(OR(H1101&lt;N1101,H1101&gt;P1101),"측정시각 구간 밖","OK")))))</f>
        <v/>
      </c>
      <c r="N1101" s="45">
        <f>IF(COUNTIFS($C:$C,$C1101,$D:$D,"P0(전)",$L:$L,"&gt;0")&lt;&gt;1,"",SUMIFS($H:$H,$C:$C,$C1101,$D:$D,"P0(전)"))</f>
        <v/>
      </c>
      <c r="O1101" s="30">
        <f>IF(COUNTIFS($C:$C,$C1101,$D:$D,"P0(전)",$L:$L,"&gt;0")&lt;&gt;1,"",SUMIFS($L:$L,$C:$C,$C1101,$D:$D,"P0(전)"))</f>
        <v/>
      </c>
      <c r="P1101" s="45">
        <f>IF(COUNTIFS($C:$C,$C1101,$D:$D,"P0(후)",$L:$L,"&gt;0")&lt;&gt;1,"",SUMIFS($H:$H,$C:$C,$C1101,$D:$D,"P0(후)"))</f>
        <v/>
      </c>
      <c r="Q1101" s="30">
        <f>IF(COUNTIFS($C:$C,$C1101,$D:$D,"P0(후)",$L:$L,"&gt;0")&lt;&gt;1,"",SUMIFS($L:$L,$C:$C,$C1101,$D:$D,"P0(후)"))</f>
        <v/>
      </c>
      <c r="R1101" s="30">
        <f>IF(M1101&lt;&gt;"OK","",O1101+(Q1101-O1101)*(H1101-N1101)/(P1101-N1101))</f>
        <v/>
      </c>
      <c r="S1101" s="30">
        <f>IF(OR(M1101&lt;&gt;"OK",NOT(ISNUMBER(L1101))),"",L1101-R1101)</f>
        <v/>
      </c>
      <c r="T1101" s="46">
        <f>IF(OR(NOT(ISNUMBER(S1101)),IF(ISNUMBER(G1101),G1101,F1101)=0),"",S1101/IF(ISNUMBER(G1101),G1101,F1101))</f>
        <v/>
      </c>
      <c r="U1101" s="46">
        <f>IF(ISNUMBER(T1101),ABS(T1101),"")</f>
        <v/>
      </c>
      <c r="V1101" s="46">
        <f>IF(OR($D1100&lt;&gt;"측정",$C1100&lt;&gt;$C1101,NOT(ISNUMBER(L1101)),NOT(ISNUMBER(L1100)),(IF(ISNUMBER(G1101),G1101,F1101)-IF(ISNUMBER(G1100),G1100,F1100))=0),"",(L1101-L1100)/(IF(ISNUMBER(G1101),G1101,F1101)-IF(ISNUMBER(G1100),G1100,F1100)))</f>
        <v/>
      </c>
      <c r="W1101" s="30">
        <f>IF(NOT(AND(ISNUMBER(N1101),ISNUMBER(P1101))),"",(P1101-N1101)*1440)</f>
        <v/>
      </c>
      <c r="X1101" s="28" t="n"/>
      <c r="Y1101" s="28" t="n"/>
      <c r="Z1101" s="28" t="n"/>
      <c r="AA1101" s="31" t="n"/>
      <c r="AB1101" s="31" t="n"/>
    </row>
    <row r="1102">
      <c r="A1102" s="25" t="inlineStr">
        <is>
          <t>S22</t>
        </is>
      </c>
      <c r="B1102" s="25" t="inlineStr">
        <is>
          <t>완도 신규점</t>
        </is>
      </c>
      <c r="C1102" s="25" t="inlineStr">
        <is>
          <t>S22-H동</t>
        </is>
      </c>
      <c r="D1102" s="25" t="inlineStr">
        <is>
          <t>측정</t>
        </is>
      </c>
      <c r="E1102" s="25" t="inlineStr">
        <is>
          <t>동</t>
        </is>
      </c>
      <c r="F1102" s="30" t="n">
        <v>4</v>
      </c>
      <c r="G1102" s="29" t="n"/>
      <c r="H1102" s="42" t="n"/>
      <c r="I1102" s="40" t="n"/>
      <c r="J1102" s="40" t="n"/>
      <c r="K1102" s="40" t="n"/>
      <c r="L1102" s="30">
        <f>IF(COUNT(I1102:K1102)=0,"",MEDIAN(I1102:K1102))</f>
        <v/>
      </c>
      <c r="M1102" s="25">
        <f>IF(COUNTIFS($C:$C,$C1102,$D:$D,"P0(전)",$L:$L,"&gt;0")&lt;&gt;1,"P0(전) 유효 1개 아님",IF(COUNTIFS($C:$C,$C1102,$D:$D,"P0(후)",$L:$L,"&gt;0")&lt;&gt;1,"P0(후) 유효 1개 아님",IF(NOT(AND(ISNUMBER(N1102),ISNUMBER(P1102),ISNUMBER(H1102))),"시각 결측",IF(P1102&lt;=N1102,"P0 시각 역전",IF(OR(H1102&lt;N1102,H1102&gt;P1102),"측정시각 구간 밖","OK")))))</f>
        <v/>
      </c>
      <c r="N1102" s="45">
        <f>IF(COUNTIFS($C:$C,$C1102,$D:$D,"P0(전)",$L:$L,"&gt;0")&lt;&gt;1,"",SUMIFS($H:$H,$C:$C,$C1102,$D:$D,"P0(전)"))</f>
        <v/>
      </c>
      <c r="O1102" s="30">
        <f>IF(COUNTIFS($C:$C,$C1102,$D:$D,"P0(전)",$L:$L,"&gt;0")&lt;&gt;1,"",SUMIFS($L:$L,$C:$C,$C1102,$D:$D,"P0(전)"))</f>
        <v/>
      </c>
      <c r="P1102" s="45">
        <f>IF(COUNTIFS($C:$C,$C1102,$D:$D,"P0(후)",$L:$L,"&gt;0")&lt;&gt;1,"",SUMIFS($H:$H,$C:$C,$C1102,$D:$D,"P0(후)"))</f>
        <v/>
      </c>
      <c r="Q1102" s="30">
        <f>IF(COUNTIFS($C:$C,$C1102,$D:$D,"P0(후)",$L:$L,"&gt;0")&lt;&gt;1,"",SUMIFS($L:$L,$C:$C,$C1102,$D:$D,"P0(후)"))</f>
        <v/>
      </c>
      <c r="R1102" s="30">
        <f>IF(M1102&lt;&gt;"OK","",O1102+(Q1102-O1102)*(H1102-N1102)/(P1102-N1102))</f>
        <v/>
      </c>
      <c r="S1102" s="30">
        <f>IF(OR(M1102&lt;&gt;"OK",NOT(ISNUMBER(L1102))),"",L1102-R1102)</f>
        <v/>
      </c>
      <c r="T1102" s="46">
        <f>IF(OR(NOT(ISNUMBER(S1102)),IF(ISNUMBER(G1102),G1102,F1102)=0),"",S1102/IF(ISNUMBER(G1102),G1102,F1102))</f>
        <v/>
      </c>
      <c r="U1102" s="46">
        <f>IF(ISNUMBER(T1102),ABS(T1102),"")</f>
        <v/>
      </c>
      <c r="V1102" s="46">
        <f>IF(OR($D1101&lt;&gt;"측정",$C1101&lt;&gt;$C1102,NOT(ISNUMBER(L1102)),NOT(ISNUMBER(L1101)),(IF(ISNUMBER(G1102),G1102,F1102)-IF(ISNUMBER(G1101),G1101,F1101))=0),"",(L1102-L1101)/(IF(ISNUMBER(G1102),G1102,F1102)-IF(ISNUMBER(G1101),G1101,F1101)))</f>
        <v/>
      </c>
      <c r="W1102" s="30">
        <f>IF(NOT(AND(ISNUMBER(N1102),ISNUMBER(P1102))),"",(P1102-N1102)*1440)</f>
        <v/>
      </c>
      <c r="X1102" s="28" t="n"/>
      <c r="Y1102" s="28" t="n"/>
      <c r="Z1102" s="28" t="n"/>
      <c r="AA1102" s="31" t="n"/>
      <c r="AB1102" s="31" t="n"/>
    </row>
    <row r="1103">
      <c r="A1103" s="25" t="inlineStr">
        <is>
          <t>S22</t>
        </is>
      </c>
      <c r="B1103" s="25" t="inlineStr">
        <is>
          <t>완도 신규점</t>
        </is>
      </c>
      <c r="C1103" s="25" t="inlineStr">
        <is>
          <t>S22-H동</t>
        </is>
      </c>
      <c r="D1103" s="25" t="inlineStr">
        <is>
          <t>측정</t>
        </is>
      </c>
      <c r="E1103" s="25" t="inlineStr">
        <is>
          <t>동</t>
        </is>
      </c>
      <c r="F1103" s="30" t="n">
        <v>5</v>
      </c>
      <c r="G1103" s="29" t="n"/>
      <c r="H1103" s="42" t="n"/>
      <c r="I1103" s="40" t="n"/>
      <c r="J1103" s="40" t="n"/>
      <c r="K1103" s="40" t="n"/>
      <c r="L1103" s="30">
        <f>IF(COUNT(I1103:K1103)=0,"",MEDIAN(I1103:K1103))</f>
        <v/>
      </c>
      <c r="M1103" s="25">
        <f>IF(COUNTIFS($C:$C,$C1103,$D:$D,"P0(전)",$L:$L,"&gt;0")&lt;&gt;1,"P0(전) 유효 1개 아님",IF(COUNTIFS($C:$C,$C1103,$D:$D,"P0(후)",$L:$L,"&gt;0")&lt;&gt;1,"P0(후) 유효 1개 아님",IF(NOT(AND(ISNUMBER(N1103),ISNUMBER(P1103),ISNUMBER(H1103))),"시각 결측",IF(P1103&lt;=N1103,"P0 시각 역전",IF(OR(H1103&lt;N1103,H1103&gt;P1103),"측정시각 구간 밖","OK")))))</f>
        <v/>
      </c>
      <c r="N1103" s="45">
        <f>IF(COUNTIFS($C:$C,$C1103,$D:$D,"P0(전)",$L:$L,"&gt;0")&lt;&gt;1,"",SUMIFS($H:$H,$C:$C,$C1103,$D:$D,"P0(전)"))</f>
        <v/>
      </c>
      <c r="O1103" s="30">
        <f>IF(COUNTIFS($C:$C,$C1103,$D:$D,"P0(전)",$L:$L,"&gt;0")&lt;&gt;1,"",SUMIFS($L:$L,$C:$C,$C1103,$D:$D,"P0(전)"))</f>
        <v/>
      </c>
      <c r="P1103" s="45">
        <f>IF(COUNTIFS($C:$C,$C1103,$D:$D,"P0(후)",$L:$L,"&gt;0")&lt;&gt;1,"",SUMIFS($H:$H,$C:$C,$C1103,$D:$D,"P0(후)"))</f>
        <v/>
      </c>
      <c r="Q1103" s="30">
        <f>IF(COUNTIFS($C:$C,$C1103,$D:$D,"P0(후)",$L:$L,"&gt;0")&lt;&gt;1,"",SUMIFS($L:$L,$C:$C,$C1103,$D:$D,"P0(후)"))</f>
        <v/>
      </c>
      <c r="R1103" s="30">
        <f>IF(M1103&lt;&gt;"OK","",O1103+(Q1103-O1103)*(H1103-N1103)/(P1103-N1103))</f>
        <v/>
      </c>
      <c r="S1103" s="30">
        <f>IF(OR(M1103&lt;&gt;"OK",NOT(ISNUMBER(L1103))),"",L1103-R1103)</f>
        <v/>
      </c>
      <c r="T1103" s="46">
        <f>IF(OR(NOT(ISNUMBER(S1103)),IF(ISNUMBER(G1103),G1103,F1103)=0),"",S1103/IF(ISNUMBER(G1103),G1103,F1103))</f>
        <v/>
      </c>
      <c r="U1103" s="46">
        <f>IF(ISNUMBER(T1103),ABS(T1103),"")</f>
        <v/>
      </c>
      <c r="V1103" s="46">
        <f>IF(OR($D1102&lt;&gt;"측정",$C1102&lt;&gt;$C1103,NOT(ISNUMBER(L1103)),NOT(ISNUMBER(L1102)),(IF(ISNUMBER(G1103),G1103,F1103)-IF(ISNUMBER(G1102),G1102,F1102))=0),"",(L1103-L1102)/(IF(ISNUMBER(G1103),G1103,F1103)-IF(ISNUMBER(G1102),G1102,F1102)))</f>
        <v/>
      </c>
      <c r="W1103" s="30">
        <f>IF(NOT(AND(ISNUMBER(N1103),ISNUMBER(P1103))),"",(P1103-N1103)*1440)</f>
        <v/>
      </c>
      <c r="X1103" s="28" t="n"/>
      <c r="Y1103" s="28" t="n"/>
      <c r="Z1103" s="28" t="n"/>
      <c r="AA1103" s="31" t="n"/>
      <c r="AB1103" s="31" t="n"/>
    </row>
    <row r="1104">
      <c r="A1104" s="25" t="inlineStr">
        <is>
          <t>S22</t>
        </is>
      </c>
      <c r="B1104" s="25" t="inlineStr">
        <is>
          <t>완도 신규점</t>
        </is>
      </c>
      <c r="C1104" s="25" t="inlineStr">
        <is>
          <t>S22-H동</t>
        </is>
      </c>
      <c r="D1104" s="25" t="inlineStr">
        <is>
          <t>측정</t>
        </is>
      </c>
      <c r="E1104" s="25" t="inlineStr">
        <is>
          <t>동</t>
        </is>
      </c>
      <c r="F1104" s="30" t="n">
        <v>6</v>
      </c>
      <c r="G1104" s="29" t="n"/>
      <c r="H1104" s="42" t="n"/>
      <c r="I1104" s="40" t="n"/>
      <c r="J1104" s="40" t="n"/>
      <c r="K1104" s="40" t="n"/>
      <c r="L1104" s="30">
        <f>IF(COUNT(I1104:K1104)=0,"",MEDIAN(I1104:K1104))</f>
        <v/>
      </c>
      <c r="M1104" s="25">
        <f>IF(COUNTIFS($C:$C,$C1104,$D:$D,"P0(전)",$L:$L,"&gt;0")&lt;&gt;1,"P0(전) 유효 1개 아님",IF(COUNTIFS($C:$C,$C1104,$D:$D,"P0(후)",$L:$L,"&gt;0")&lt;&gt;1,"P0(후) 유효 1개 아님",IF(NOT(AND(ISNUMBER(N1104),ISNUMBER(P1104),ISNUMBER(H1104))),"시각 결측",IF(P1104&lt;=N1104,"P0 시각 역전",IF(OR(H1104&lt;N1104,H1104&gt;P1104),"측정시각 구간 밖","OK")))))</f>
        <v/>
      </c>
      <c r="N1104" s="45">
        <f>IF(COUNTIFS($C:$C,$C1104,$D:$D,"P0(전)",$L:$L,"&gt;0")&lt;&gt;1,"",SUMIFS($H:$H,$C:$C,$C1104,$D:$D,"P0(전)"))</f>
        <v/>
      </c>
      <c r="O1104" s="30">
        <f>IF(COUNTIFS($C:$C,$C1104,$D:$D,"P0(전)",$L:$L,"&gt;0")&lt;&gt;1,"",SUMIFS($L:$L,$C:$C,$C1104,$D:$D,"P0(전)"))</f>
        <v/>
      </c>
      <c r="P1104" s="45">
        <f>IF(COUNTIFS($C:$C,$C1104,$D:$D,"P0(후)",$L:$L,"&gt;0")&lt;&gt;1,"",SUMIFS($H:$H,$C:$C,$C1104,$D:$D,"P0(후)"))</f>
        <v/>
      </c>
      <c r="Q1104" s="30">
        <f>IF(COUNTIFS($C:$C,$C1104,$D:$D,"P0(후)",$L:$L,"&gt;0")&lt;&gt;1,"",SUMIFS($L:$L,$C:$C,$C1104,$D:$D,"P0(후)"))</f>
        <v/>
      </c>
      <c r="R1104" s="30">
        <f>IF(M1104&lt;&gt;"OK","",O1104+(Q1104-O1104)*(H1104-N1104)/(P1104-N1104))</f>
        <v/>
      </c>
      <c r="S1104" s="30">
        <f>IF(OR(M1104&lt;&gt;"OK",NOT(ISNUMBER(L1104))),"",L1104-R1104)</f>
        <v/>
      </c>
      <c r="T1104" s="46">
        <f>IF(OR(NOT(ISNUMBER(S1104)),IF(ISNUMBER(G1104),G1104,F1104)=0),"",S1104/IF(ISNUMBER(G1104),G1104,F1104))</f>
        <v/>
      </c>
      <c r="U1104" s="46">
        <f>IF(ISNUMBER(T1104),ABS(T1104),"")</f>
        <v/>
      </c>
      <c r="V1104" s="46">
        <f>IF(OR($D1103&lt;&gt;"측정",$C1103&lt;&gt;$C1104,NOT(ISNUMBER(L1104)),NOT(ISNUMBER(L1103)),(IF(ISNUMBER(G1104),G1104,F1104)-IF(ISNUMBER(G1103),G1103,F1103))=0),"",(L1104-L1103)/(IF(ISNUMBER(G1104),G1104,F1104)-IF(ISNUMBER(G1103),G1103,F1103)))</f>
        <v/>
      </c>
      <c r="W1104" s="30">
        <f>IF(NOT(AND(ISNUMBER(N1104),ISNUMBER(P1104))),"",(P1104-N1104)*1440)</f>
        <v/>
      </c>
      <c r="X1104" s="28" t="n"/>
      <c r="Y1104" s="28" t="n"/>
      <c r="Z1104" s="28" t="n"/>
      <c r="AA1104" s="31" t="n"/>
      <c r="AB1104" s="31" t="n"/>
    </row>
    <row r="1105">
      <c r="A1105" s="25" t="inlineStr">
        <is>
          <t>S22</t>
        </is>
      </c>
      <c r="B1105" s="25" t="inlineStr">
        <is>
          <t>완도 신규점</t>
        </is>
      </c>
      <c r="C1105" s="25" t="inlineStr">
        <is>
          <t>S22-H동</t>
        </is>
      </c>
      <c r="D1105" s="25" t="inlineStr">
        <is>
          <t>측정</t>
        </is>
      </c>
      <c r="E1105" s="25" t="inlineStr">
        <is>
          <t>동</t>
        </is>
      </c>
      <c r="F1105" s="30" t="n">
        <v>7</v>
      </c>
      <c r="G1105" s="29" t="n"/>
      <c r="H1105" s="42" t="n"/>
      <c r="I1105" s="40" t="n"/>
      <c r="J1105" s="40" t="n"/>
      <c r="K1105" s="40" t="n"/>
      <c r="L1105" s="30">
        <f>IF(COUNT(I1105:K1105)=0,"",MEDIAN(I1105:K1105))</f>
        <v/>
      </c>
      <c r="M1105" s="25">
        <f>IF(COUNTIFS($C:$C,$C1105,$D:$D,"P0(전)",$L:$L,"&gt;0")&lt;&gt;1,"P0(전) 유효 1개 아님",IF(COUNTIFS($C:$C,$C1105,$D:$D,"P0(후)",$L:$L,"&gt;0")&lt;&gt;1,"P0(후) 유효 1개 아님",IF(NOT(AND(ISNUMBER(N1105),ISNUMBER(P1105),ISNUMBER(H1105))),"시각 결측",IF(P1105&lt;=N1105,"P0 시각 역전",IF(OR(H1105&lt;N1105,H1105&gt;P1105),"측정시각 구간 밖","OK")))))</f>
        <v/>
      </c>
      <c r="N1105" s="45">
        <f>IF(COUNTIFS($C:$C,$C1105,$D:$D,"P0(전)",$L:$L,"&gt;0")&lt;&gt;1,"",SUMIFS($H:$H,$C:$C,$C1105,$D:$D,"P0(전)"))</f>
        <v/>
      </c>
      <c r="O1105" s="30">
        <f>IF(COUNTIFS($C:$C,$C1105,$D:$D,"P0(전)",$L:$L,"&gt;0")&lt;&gt;1,"",SUMIFS($L:$L,$C:$C,$C1105,$D:$D,"P0(전)"))</f>
        <v/>
      </c>
      <c r="P1105" s="45">
        <f>IF(COUNTIFS($C:$C,$C1105,$D:$D,"P0(후)",$L:$L,"&gt;0")&lt;&gt;1,"",SUMIFS($H:$H,$C:$C,$C1105,$D:$D,"P0(후)"))</f>
        <v/>
      </c>
      <c r="Q1105" s="30">
        <f>IF(COUNTIFS($C:$C,$C1105,$D:$D,"P0(후)",$L:$L,"&gt;0")&lt;&gt;1,"",SUMIFS($L:$L,$C:$C,$C1105,$D:$D,"P0(후)"))</f>
        <v/>
      </c>
      <c r="R1105" s="30">
        <f>IF(M1105&lt;&gt;"OK","",O1105+(Q1105-O1105)*(H1105-N1105)/(P1105-N1105))</f>
        <v/>
      </c>
      <c r="S1105" s="30">
        <f>IF(OR(M1105&lt;&gt;"OK",NOT(ISNUMBER(L1105))),"",L1105-R1105)</f>
        <v/>
      </c>
      <c r="T1105" s="46">
        <f>IF(OR(NOT(ISNUMBER(S1105)),IF(ISNUMBER(G1105),G1105,F1105)=0),"",S1105/IF(ISNUMBER(G1105),G1105,F1105))</f>
        <v/>
      </c>
      <c r="U1105" s="46">
        <f>IF(ISNUMBER(T1105),ABS(T1105),"")</f>
        <v/>
      </c>
      <c r="V1105" s="46">
        <f>IF(OR($D1104&lt;&gt;"측정",$C1104&lt;&gt;$C1105,NOT(ISNUMBER(L1105)),NOT(ISNUMBER(L1104)),(IF(ISNUMBER(G1105),G1105,F1105)-IF(ISNUMBER(G1104),G1104,F1104))=0),"",(L1105-L1104)/(IF(ISNUMBER(G1105),G1105,F1105)-IF(ISNUMBER(G1104),G1104,F1104)))</f>
        <v/>
      </c>
      <c r="W1105" s="30">
        <f>IF(NOT(AND(ISNUMBER(N1105),ISNUMBER(P1105))),"",(P1105-N1105)*1440)</f>
        <v/>
      </c>
      <c r="X1105" s="28" t="n"/>
      <c r="Y1105" s="28" t="n"/>
      <c r="Z1105" s="28" t="n"/>
      <c r="AA1105" s="31" t="n"/>
      <c r="AB1105" s="31" t="n"/>
    </row>
    <row r="1106">
      <c r="A1106" s="25" t="inlineStr">
        <is>
          <t>S22</t>
        </is>
      </c>
      <c r="B1106" s="25" t="inlineStr">
        <is>
          <t>완도 신규점</t>
        </is>
      </c>
      <c r="C1106" s="25" t="inlineStr">
        <is>
          <t>S22-H동</t>
        </is>
      </c>
      <c r="D1106" s="25" t="inlineStr">
        <is>
          <t>측정</t>
        </is>
      </c>
      <c r="E1106" s="25" t="inlineStr">
        <is>
          <t>동</t>
        </is>
      </c>
      <c r="F1106" s="30" t="n">
        <v>8</v>
      </c>
      <c r="G1106" s="29" t="n"/>
      <c r="H1106" s="42" t="n"/>
      <c r="I1106" s="40" t="n"/>
      <c r="J1106" s="40" t="n"/>
      <c r="K1106" s="40" t="n"/>
      <c r="L1106" s="30">
        <f>IF(COUNT(I1106:K1106)=0,"",MEDIAN(I1106:K1106))</f>
        <v/>
      </c>
      <c r="M1106" s="25">
        <f>IF(COUNTIFS($C:$C,$C1106,$D:$D,"P0(전)",$L:$L,"&gt;0")&lt;&gt;1,"P0(전) 유효 1개 아님",IF(COUNTIFS($C:$C,$C1106,$D:$D,"P0(후)",$L:$L,"&gt;0")&lt;&gt;1,"P0(후) 유효 1개 아님",IF(NOT(AND(ISNUMBER(N1106),ISNUMBER(P1106),ISNUMBER(H1106))),"시각 결측",IF(P1106&lt;=N1106,"P0 시각 역전",IF(OR(H1106&lt;N1106,H1106&gt;P1106),"측정시각 구간 밖","OK")))))</f>
        <v/>
      </c>
      <c r="N1106" s="45">
        <f>IF(COUNTIFS($C:$C,$C1106,$D:$D,"P0(전)",$L:$L,"&gt;0")&lt;&gt;1,"",SUMIFS($H:$H,$C:$C,$C1106,$D:$D,"P0(전)"))</f>
        <v/>
      </c>
      <c r="O1106" s="30">
        <f>IF(COUNTIFS($C:$C,$C1106,$D:$D,"P0(전)",$L:$L,"&gt;0")&lt;&gt;1,"",SUMIFS($L:$L,$C:$C,$C1106,$D:$D,"P0(전)"))</f>
        <v/>
      </c>
      <c r="P1106" s="45">
        <f>IF(COUNTIFS($C:$C,$C1106,$D:$D,"P0(후)",$L:$L,"&gt;0")&lt;&gt;1,"",SUMIFS($H:$H,$C:$C,$C1106,$D:$D,"P0(후)"))</f>
        <v/>
      </c>
      <c r="Q1106" s="30">
        <f>IF(COUNTIFS($C:$C,$C1106,$D:$D,"P0(후)",$L:$L,"&gt;0")&lt;&gt;1,"",SUMIFS($L:$L,$C:$C,$C1106,$D:$D,"P0(후)"))</f>
        <v/>
      </c>
      <c r="R1106" s="30">
        <f>IF(M1106&lt;&gt;"OK","",O1106+(Q1106-O1106)*(H1106-N1106)/(P1106-N1106))</f>
        <v/>
      </c>
      <c r="S1106" s="30">
        <f>IF(OR(M1106&lt;&gt;"OK",NOT(ISNUMBER(L1106))),"",L1106-R1106)</f>
        <v/>
      </c>
      <c r="T1106" s="46">
        <f>IF(OR(NOT(ISNUMBER(S1106)),IF(ISNUMBER(G1106),G1106,F1106)=0),"",S1106/IF(ISNUMBER(G1106),G1106,F1106))</f>
        <v/>
      </c>
      <c r="U1106" s="46">
        <f>IF(ISNUMBER(T1106),ABS(T1106),"")</f>
        <v/>
      </c>
      <c r="V1106" s="46">
        <f>IF(OR($D1105&lt;&gt;"측정",$C1105&lt;&gt;$C1106,NOT(ISNUMBER(L1106)),NOT(ISNUMBER(L1105)),(IF(ISNUMBER(G1106),G1106,F1106)-IF(ISNUMBER(G1105),G1105,F1105))=0),"",(L1106-L1105)/(IF(ISNUMBER(G1106),G1106,F1106)-IF(ISNUMBER(G1105),G1105,F1105)))</f>
        <v/>
      </c>
      <c r="W1106" s="30">
        <f>IF(NOT(AND(ISNUMBER(N1106),ISNUMBER(P1106))),"",(P1106-N1106)*1440)</f>
        <v/>
      </c>
      <c r="X1106" s="28" t="n"/>
      <c r="Y1106" s="28" t="n"/>
      <c r="Z1106" s="28" t="n"/>
      <c r="AA1106" s="31" t="n"/>
      <c r="AB1106" s="31" t="n"/>
    </row>
    <row r="1107">
      <c r="A1107" s="25" t="inlineStr">
        <is>
          <t>S22</t>
        </is>
      </c>
      <c r="B1107" s="25" t="inlineStr">
        <is>
          <t>완도 신규점</t>
        </is>
      </c>
      <c r="C1107" s="25" t="inlineStr">
        <is>
          <t>S22-H동</t>
        </is>
      </c>
      <c r="D1107" s="25" t="inlineStr">
        <is>
          <t>측정</t>
        </is>
      </c>
      <c r="E1107" s="25" t="inlineStr">
        <is>
          <t>동</t>
        </is>
      </c>
      <c r="F1107" s="30" t="n">
        <v>9</v>
      </c>
      <c r="G1107" s="29" t="n"/>
      <c r="H1107" s="42" t="n"/>
      <c r="I1107" s="40" t="n"/>
      <c r="J1107" s="40" t="n"/>
      <c r="K1107" s="40" t="n"/>
      <c r="L1107" s="30">
        <f>IF(COUNT(I1107:K1107)=0,"",MEDIAN(I1107:K1107))</f>
        <v/>
      </c>
      <c r="M1107" s="25">
        <f>IF(COUNTIFS($C:$C,$C1107,$D:$D,"P0(전)",$L:$L,"&gt;0")&lt;&gt;1,"P0(전) 유효 1개 아님",IF(COUNTIFS($C:$C,$C1107,$D:$D,"P0(후)",$L:$L,"&gt;0")&lt;&gt;1,"P0(후) 유효 1개 아님",IF(NOT(AND(ISNUMBER(N1107),ISNUMBER(P1107),ISNUMBER(H1107))),"시각 결측",IF(P1107&lt;=N1107,"P0 시각 역전",IF(OR(H1107&lt;N1107,H1107&gt;P1107),"측정시각 구간 밖","OK")))))</f>
        <v/>
      </c>
      <c r="N1107" s="45">
        <f>IF(COUNTIFS($C:$C,$C1107,$D:$D,"P0(전)",$L:$L,"&gt;0")&lt;&gt;1,"",SUMIFS($H:$H,$C:$C,$C1107,$D:$D,"P0(전)"))</f>
        <v/>
      </c>
      <c r="O1107" s="30">
        <f>IF(COUNTIFS($C:$C,$C1107,$D:$D,"P0(전)",$L:$L,"&gt;0")&lt;&gt;1,"",SUMIFS($L:$L,$C:$C,$C1107,$D:$D,"P0(전)"))</f>
        <v/>
      </c>
      <c r="P1107" s="45">
        <f>IF(COUNTIFS($C:$C,$C1107,$D:$D,"P0(후)",$L:$L,"&gt;0")&lt;&gt;1,"",SUMIFS($H:$H,$C:$C,$C1107,$D:$D,"P0(후)"))</f>
        <v/>
      </c>
      <c r="Q1107" s="30">
        <f>IF(COUNTIFS($C:$C,$C1107,$D:$D,"P0(후)",$L:$L,"&gt;0")&lt;&gt;1,"",SUMIFS($L:$L,$C:$C,$C1107,$D:$D,"P0(후)"))</f>
        <v/>
      </c>
      <c r="R1107" s="30">
        <f>IF(M1107&lt;&gt;"OK","",O1107+(Q1107-O1107)*(H1107-N1107)/(P1107-N1107))</f>
        <v/>
      </c>
      <c r="S1107" s="30">
        <f>IF(OR(M1107&lt;&gt;"OK",NOT(ISNUMBER(L1107))),"",L1107-R1107)</f>
        <v/>
      </c>
      <c r="T1107" s="46">
        <f>IF(OR(NOT(ISNUMBER(S1107)),IF(ISNUMBER(G1107),G1107,F1107)=0),"",S1107/IF(ISNUMBER(G1107),G1107,F1107))</f>
        <v/>
      </c>
      <c r="U1107" s="46">
        <f>IF(ISNUMBER(T1107),ABS(T1107),"")</f>
        <v/>
      </c>
      <c r="V1107" s="46">
        <f>IF(OR($D1106&lt;&gt;"측정",$C1106&lt;&gt;$C1107,NOT(ISNUMBER(L1107)),NOT(ISNUMBER(L1106)),(IF(ISNUMBER(G1107),G1107,F1107)-IF(ISNUMBER(G1106),G1106,F1106))=0),"",(L1107-L1106)/(IF(ISNUMBER(G1107),G1107,F1107)-IF(ISNUMBER(G1106),G1106,F1106)))</f>
        <v/>
      </c>
      <c r="W1107" s="30">
        <f>IF(NOT(AND(ISNUMBER(N1107),ISNUMBER(P1107))),"",(P1107-N1107)*1440)</f>
        <v/>
      </c>
      <c r="X1107" s="28" t="n"/>
      <c r="Y1107" s="28" t="n"/>
      <c r="Z1107" s="28" t="n"/>
      <c r="AA1107" s="31" t="n"/>
      <c r="AB1107" s="31" t="n"/>
    </row>
    <row r="1108">
      <c r="A1108" s="25" t="inlineStr">
        <is>
          <t>S22</t>
        </is>
      </c>
      <c r="B1108" s="25" t="inlineStr">
        <is>
          <t>완도 신규점</t>
        </is>
      </c>
      <c r="C1108" s="25" t="inlineStr">
        <is>
          <t>S22-H동</t>
        </is>
      </c>
      <c r="D1108" s="25" t="inlineStr">
        <is>
          <t>측정</t>
        </is>
      </c>
      <c r="E1108" s="25" t="inlineStr">
        <is>
          <t>동</t>
        </is>
      </c>
      <c r="F1108" s="30" t="n">
        <v>10</v>
      </c>
      <c r="G1108" s="29" t="n"/>
      <c r="H1108" s="42" t="n"/>
      <c r="I1108" s="40" t="n"/>
      <c r="J1108" s="40" t="n"/>
      <c r="K1108" s="40" t="n"/>
      <c r="L1108" s="30">
        <f>IF(COUNT(I1108:K1108)=0,"",MEDIAN(I1108:K1108))</f>
        <v/>
      </c>
      <c r="M1108" s="25">
        <f>IF(COUNTIFS($C:$C,$C1108,$D:$D,"P0(전)",$L:$L,"&gt;0")&lt;&gt;1,"P0(전) 유효 1개 아님",IF(COUNTIFS($C:$C,$C1108,$D:$D,"P0(후)",$L:$L,"&gt;0")&lt;&gt;1,"P0(후) 유효 1개 아님",IF(NOT(AND(ISNUMBER(N1108),ISNUMBER(P1108),ISNUMBER(H1108))),"시각 결측",IF(P1108&lt;=N1108,"P0 시각 역전",IF(OR(H1108&lt;N1108,H1108&gt;P1108),"측정시각 구간 밖","OK")))))</f>
        <v/>
      </c>
      <c r="N1108" s="45">
        <f>IF(COUNTIFS($C:$C,$C1108,$D:$D,"P0(전)",$L:$L,"&gt;0")&lt;&gt;1,"",SUMIFS($H:$H,$C:$C,$C1108,$D:$D,"P0(전)"))</f>
        <v/>
      </c>
      <c r="O1108" s="30">
        <f>IF(COUNTIFS($C:$C,$C1108,$D:$D,"P0(전)",$L:$L,"&gt;0")&lt;&gt;1,"",SUMIFS($L:$L,$C:$C,$C1108,$D:$D,"P0(전)"))</f>
        <v/>
      </c>
      <c r="P1108" s="45">
        <f>IF(COUNTIFS($C:$C,$C1108,$D:$D,"P0(후)",$L:$L,"&gt;0")&lt;&gt;1,"",SUMIFS($H:$H,$C:$C,$C1108,$D:$D,"P0(후)"))</f>
        <v/>
      </c>
      <c r="Q1108" s="30">
        <f>IF(COUNTIFS($C:$C,$C1108,$D:$D,"P0(후)",$L:$L,"&gt;0")&lt;&gt;1,"",SUMIFS($L:$L,$C:$C,$C1108,$D:$D,"P0(후)"))</f>
        <v/>
      </c>
      <c r="R1108" s="30">
        <f>IF(M1108&lt;&gt;"OK","",O1108+(Q1108-O1108)*(H1108-N1108)/(P1108-N1108))</f>
        <v/>
      </c>
      <c r="S1108" s="30">
        <f>IF(OR(M1108&lt;&gt;"OK",NOT(ISNUMBER(L1108))),"",L1108-R1108)</f>
        <v/>
      </c>
      <c r="T1108" s="46">
        <f>IF(OR(NOT(ISNUMBER(S1108)),IF(ISNUMBER(G1108),G1108,F1108)=0),"",S1108/IF(ISNUMBER(G1108),G1108,F1108))</f>
        <v/>
      </c>
      <c r="U1108" s="46">
        <f>IF(ISNUMBER(T1108),ABS(T1108),"")</f>
        <v/>
      </c>
      <c r="V1108" s="46">
        <f>IF(OR($D1107&lt;&gt;"측정",$C1107&lt;&gt;$C1108,NOT(ISNUMBER(L1108)),NOT(ISNUMBER(L1107)),(IF(ISNUMBER(G1108),G1108,F1108)-IF(ISNUMBER(G1107),G1107,F1107))=0),"",(L1108-L1107)/(IF(ISNUMBER(G1108),G1108,F1108)-IF(ISNUMBER(G1107),G1107,F1107)))</f>
        <v/>
      </c>
      <c r="W1108" s="30">
        <f>IF(NOT(AND(ISNUMBER(N1108),ISNUMBER(P1108))),"",(P1108-N1108)*1440)</f>
        <v/>
      </c>
      <c r="X1108" s="28" t="n"/>
      <c r="Y1108" s="28" t="n"/>
      <c r="Z1108" s="28" t="n"/>
      <c r="AA1108" s="31" t="n"/>
      <c r="AB1108" s="31" t="n"/>
    </row>
    <row r="1109">
      <c r="A1109" s="43" t="inlineStr">
        <is>
          <t>S22</t>
        </is>
      </c>
      <c r="B1109" s="43" t="inlineStr">
        <is>
          <t>완도 신규점</t>
        </is>
      </c>
      <c r="C1109" s="43" t="inlineStr">
        <is>
          <t>S22-H동</t>
        </is>
      </c>
      <c r="D1109" s="43" t="inlineStr">
        <is>
          <t>P0(후)</t>
        </is>
      </c>
      <c r="E1109" s="43" t="inlineStr">
        <is>
          <t>동</t>
        </is>
      </c>
      <c r="F1109" s="44" t="n"/>
      <c r="G1109" s="29" t="n"/>
      <c r="H1109" s="42" t="n"/>
      <c r="I1109" s="40" t="n"/>
      <c r="J1109" s="40" t="n"/>
      <c r="K1109" s="40" t="n"/>
      <c r="L1109" s="30">
        <f>IF(COUNT(I1109:K1109)=0,"",MEDIAN(I1109:K1109))</f>
        <v/>
      </c>
      <c r="M1109" s="37" t="n"/>
      <c r="N1109" s="37" t="n"/>
      <c r="O1109" s="37" t="n"/>
      <c r="P1109" s="37" t="n"/>
      <c r="Q1109" s="37" t="n"/>
      <c r="R1109" s="37" t="n"/>
      <c r="S1109" s="37" t="n"/>
      <c r="T1109" s="37" t="n"/>
      <c r="U1109" s="37" t="n"/>
      <c r="V1109" s="37" t="n"/>
      <c r="W1109" s="37" t="n"/>
      <c r="X1109" s="28" t="n"/>
      <c r="Y1109" s="28" t="n"/>
      <c r="Z1109" s="28" t="n"/>
      <c r="AA1109" s="31" t="n"/>
      <c r="AB1109" s="31" t="n"/>
    </row>
    <row r="1110">
      <c r="A1110" s="43" t="inlineStr">
        <is>
          <t>S22</t>
        </is>
      </c>
      <c r="B1110" s="43" t="inlineStr">
        <is>
          <t>완도 신규점</t>
        </is>
      </c>
      <c r="C1110" s="43" t="inlineStr">
        <is>
          <t>S22-H서</t>
        </is>
      </c>
      <c r="D1110" s="43" t="inlineStr">
        <is>
          <t>P0(전)</t>
        </is>
      </c>
      <c r="E1110" s="43" t="inlineStr">
        <is>
          <t>서</t>
        </is>
      </c>
      <c r="F1110" s="44" t="n"/>
      <c r="G1110" s="29" t="n"/>
      <c r="H1110" s="42" t="n"/>
      <c r="I1110" s="40" t="n"/>
      <c r="J1110" s="40" t="n"/>
      <c r="K1110" s="40" t="n"/>
      <c r="L1110" s="30">
        <f>IF(COUNT(I1110:K1110)=0,"",MEDIAN(I1110:K1110))</f>
        <v/>
      </c>
      <c r="M1110" s="37" t="n"/>
      <c r="N1110" s="37" t="n"/>
      <c r="O1110" s="37" t="n"/>
      <c r="P1110" s="37" t="n"/>
      <c r="Q1110" s="37" t="n"/>
      <c r="R1110" s="37" t="n"/>
      <c r="S1110" s="37" t="n"/>
      <c r="T1110" s="37" t="n"/>
      <c r="U1110" s="37" t="n"/>
      <c r="V1110" s="37" t="n"/>
      <c r="W1110" s="37" t="n"/>
      <c r="X1110" s="28" t="n"/>
      <c r="Y1110" s="28" t="n"/>
      <c r="Z1110" s="28" t="n"/>
      <c r="AA1110" s="31" t="n"/>
      <c r="AB1110" s="31" t="n"/>
    </row>
    <row r="1111">
      <c r="A1111" s="25" t="inlineStr">
        <is>
          <t>S22</t>
        </is>
      </c>
      <c r="B1111" s="25" t="inlineStr">
        <is>
          <t>완도 신규점</t>
        </is>
      </c>
      <c r="C1111" s="25" t="inlineStr">
        <is>
          <t>S22-H서</t>
        </is>
      </c>
      <c r="D1111" s="25" t="inlineStr">
        <is>
          <t>측정</t>
        </is>
      </c>
      <c r="E1111" s="25" t="inlineStr">
        <is>
          <t>서</t>
        </is>
      </c>
      <c r="F1111" s="30" t="n">
        <v>0.5</v>
      </c>
      <c r="G1111" s="29" t="n"/>
      <c r="H1111" s="42" t="n"/>
      <c r="I1111" s="40" t="n"/>
      <c r="J1111" s="40" t="n"/>
      <c r="K1111" s="40" t="n"/>
      <c r="L1111" s="30">
        <f>IF(COUNT(I1111:K1111)=0,"",MEDIAN(I1111:K1111))</f>
        <v/>
      </c>
      <c r="M1111" s="25">
        <f>IF(COUNTIFS($C:$C,$C1111,$D:$D,"P0(전)",$L:$L,"&gt;0")&lt;&gt;1,"P0(전) 유효 1개 아님",IF(COUNTIFS($C:$C,$C1111,$D:$D,"P0(후)",$L:$L,"&gt;0")&lt;&gt;1,"P0(후) 유효 1개 아님",IF(NOT(AND(ISNUMBER(N1111),ISNUMBER(P1111),ISNUMBER(H1111))),"시각 결측",IF(P1111&lt;=N1111,"P0 시각 역전",IF(OR(H1111&lt;N1111,H1111&gt;P1111),"측정시각 구간 밖","OK")))))</f>
        <v/>
      </c>
      <c r="N1111" s="45">
        <f>IF(COUNTIFS($C:$C,$C1111,$D:$D,"P0(전)",$L:$L,"&gt;0")&lt;&gt;1,"",SUMIFS($H:$H,$C:$C,$C1111,$D:$D,"P0(전)"))</f>
        <v/>
      </c>
      <c r="O1111" s="30">
        <f>IF(COUNTIFS($C:$C,$C1111,$D:$D,"P0(전)",$L:$L,"&gt;0")&lt;&gt;1,"",SUMIFS($L:$L,$C:$C,$C1111,$D:$D,"P0(전)"))</f>
        <v/>
      </c>
      <c r="P1111" s="45">
        <f>IF(COUNTIFS($C:$C,$C1111,$D:$D,"P0(후)",$L:$L,"&gt;0")&lt;&gt;1,"",SUMIFS($H:$H,$C:$C,$C1111,$D:$D,"P0(후)"))</f>
        <v/>
      </c>
      <c r="Q1111" s="30">
        <f>IF(COUNTIFS($C:$C,$C1111,$D:$D,"P0(후)",$L:$L,"&gt;0")&lt;&gt;1,"",SUMIFS($L:$L,$C:$C,$C1111,$D:$D,"P0(후)"))</f>
        <v/>
      </c>
      <c r="R1111" s="30">
        <f>IF(M1111&lt;&gt;"OK","",O1111+(Q1111-O1111)*(H1111-N1111)/(P1111-N1111))</f>
        <v/>
      </c>
      <c r="S1111" s="30">
        <f>IF(OR(M1111&lt;&gt;"OK",NOT(ISNUMBER(L1111))),"",L1111-R1111)</f>
        <v/>
      </c>
      <c r="T1111" s="46">
        <f>IF(OR(NOT(ISNUMBER(S1111)),IF(ISNUMBER(G1111),G1111,F1111)=0),"",S1111/IF(ISNUMBER(G1111),G1111,F1111))</f>
        <v/>
      </c>
      <c r="U1111" s="46">
        <f>IF(ISNUMBER(T1111),ABS(T1111),"")</f>
        <v/>
      </c>
      <c r="V1111" s="46">
        <f>IF(OR($D1110&lt;&gt;"측정",$C1110&lt;&gt;$C1111,NOT(ISNUMBER(L1111)),NOT(ISNUMBER(L1110)),(IF(ISNUMBER(G1111),G1111,F1111)-IF(ISNUMBER(G1110),G1110,F1110))=0),"",(L1111-L1110)/(IF(ISNUMBER(G1111),G1111,F1111)-IF(ISNUMBER(G1110),G1110,F1110)))</f>
        <v/>
      </c>
      <c r="W1111" s="30">
        <f>IF(NOT(AND(ISNUMBER(N1111),ISNUMBER(P1111))),"",(P1111-N1111)*1440)</f>
        <v/>
      </c>
      <c r="X1111" s="28" t="n"/>
      <c r="Y1111" s="28" t="n"/>
      <c r="Z1111" s="28" t="n"/>
      <c r="AA1111" s="31" t="n"/>
      <c r="AB1111" s="31" t="n"/>
    </row>
    <row r="1112">
      <c r="A1112" s="25" t="inlineStr">
        <is>
          <t>S22</t>
        </is>
      </c>
      <c r="B1112" s="25" t="inlineStr">
        <is>
          <t>완도 신규점</t>
        </is>
      </c>
      <c r="C1112" s="25" t="inlineStr">
        <is>
          <t>S22-H서</t>
        </is>
      </c>
      <c r="D1112" s="25" t="inlineStr">
        <is>
          <t>측정</t>
        </is>
      </c>
      <c r="E1112" s="25" t="inlineStr">
        <is>
          <t>서</t>
        </is>
      </c>
      <c r="F1112" s="30" t="n">
        <v>1</v>
      </c>
      <c r="G1112" s="29" t="n"/>
      <c r="H1112" s="42" t="n"/>
      <c r="I1112" s="40" t="n"/>
      <c r="J1112" s="40" t="n"/>
      <c r="K1112" s="40" t="n"/>
      <c r="L1112" s="30">
        <f>IF(COUNT(I1112:K1112)=0,"",MEDIAN(I1112:K1112))</f>
        <v/>
      </c>
      <c r="M1112" s="25">
        <f>IF(COUNTIFS($C:$C,$C1112,$D:$D,"P0(전)",$L:$L,"&gt;0")&lt;&gt;1,"P0(전) 유효 1개 아님",IF(COUNTIFS($C:$C,$C1112,$D:$D,"P0(후)",$L:$L,"&gt;0")&lt;&gt;1,"P0(후) 유효 1개 아님",IF(NOT(AND(ISNUMBER(N1112),ISNUMBER(P1112),ISNUMBER(H1112))),"시각 결측",IF(P1112&lt;=N1112,"P0 시각 역전",IF(OR(H1112&lt;N1112,H1112&gt;P1112),"측정시각 구간 밖","OK")))))</f>
        <v/>
      </c>
      <c r="N1112" s="45">
        <f>IF(COUNTIFS($C:$C,$C1112,$D:$D,"P0(전)",$L:$L,"&gt;0")&lt;&gt;1,"",SUMIFS($H:$H,$C:$C,$C1112,$D:$D,"P0(전)"))</f>
        <v/>
      </c>
      <c r="O1112" s="30">
        <f>IF(COUNTIFS($C:$C,$C1112,$D:$D,"P0(전)",$L:$L,"&gt;0")&lt;&gt;1,"",SUMIFS($L:$L,$C:$C,$C1112,$D:$D,"P0(전)"))</f>
        <v/>
      </c>
      <c r="P1112" s="45">
        <f>IF(COUNTIFS($C:$C,$C1112,$D:$D,"P0(후)",$L:$L,"&gt;0")&lt;&gt;1,"",SUMIFS($H:$H,$C:$C,$C1112,$D:$D,"P0(후)"))</f>
        <v/>
      </c>
      <c r="Q1112" s="30">
        <f>IF(COUNTIFS($C:$C,$C1112,$D:$D,"P0(후)",$L:$L,"&gt;0")&lt;&gt;1,"",SUMIFS($L:$L,$C:$C,$C1112,$D:$D,"P0(후)"))</f>
        <v/>
      </c>
      <c r="R1112" s="30">
        <f>IF(M1112&lt;&gt;"OK","",O1112+(Q1112-O1112)*(H1112-N1112)/(P1112-N1112))</f>
        <v/>
      </c>
      <c r="S1112" s="30">
        <f>IF(OR(M1112&lt;&gt;"OK",NOT(ISNUMBER(L1112))),"",L1112-R1112)</f>
        <v/>
      </c>
      <c r="T1112" s="46">
        <f>IF(OR(NOT(ISNUMBER(S1112)),IF(ISNUMBER(G1112),G1112,F1112)=0),"",S1112/IF(ISNUMBER(G1112),G1112,F1112))</f>
        <v/>
      </c>
      <c r="U1112" s="46">
        <f>IF(ISNUMBER(T1112),ABS(T1112),"")</f>
        <v/>
      </c>
      <c r="V1112" s="46">
        <f>IF(OR($D1111&lt;&gt;"측정",$C1111&lt;&gt;$C1112,NOT(ISNUMBER(L1112)),NOT(ISNUMBER(L1111)),(IF(ISNUMBER(G1112),G1112,F1112)-IF(ISNUMBER(G1111),G1111,F1111))=0),"",(L1112-L1111)/(IF(ISNUMBER(G1112),G1112,F1112)-IF(ISNUMBER(G1111),G1111,F1111)))</f>
        <v/>
      </c>
      <c r="W1112" s="30">
        <f>IF(NOT(AND(ISNUMBER(N1112),ISNUMBER(P1112))),"",(P1112-N1112)*1440)</f>
        <v/>
      </c>
      <c r="X1112" s="28" t="n"/>
      <c r="Y1112" s="28" t="n"/>
      <c r="Z1112" s="28" t="n"/>
      <c r="AA1112" s="31" t="n"/>
      <c r="AB1112" s="31" t="n"/>
    </row>
    <row r="1113">
      <c r="A1113" s="25" t="inlineStr">
        <is>
          <t>S22</t>
        </is>
      </c>
      <c r="B1113" s="25" t="inlineStr">
        <is>
          <t>완도 신규점</t>
        </is>
      </c>
      <c r="C1113" s="25" t="inlineStr">
        <is>
          <t>S22-H서</t>
        </is>
      </c>
      <c r="D1113" s="25" t="inlineStr">
        <is>
          <t>측정</t>
        </is>
      </c>
      <c r="E1113" s="25" t="inlineStr">
        <is>
          <t>서</t>
        </is>
      </c>
      <c r="F1113" s="30" t="n">
        <v>2</v>
      </c>
      <c r="G1113" s="29" t="n"/>
      <c r="H1113" s="42" t="n"/>
      <c r="I1113" s="40" t="n"/>
      <c r="J1113" s="40" t="n"/>
      <c r="K1113" s="40" t="n"/>
      <c r="L1113" s="30">
        <f>IF(COUNT(I1113:K1113)=0,"",MEDIAN(I1113:K1113))</f>
        <v/>
      </c>
      <c r="M1113" s="25">
        <f>IF(COUNTIFS($C:$C,$C1113,$D:$D,"P0(전)",$L:$L,"&gt;0")&lt;&gt;1,"P0(전) 유효 1개 아님",IF(COUNTIFS($C:$C,$C1113,$D:$D,"P0(후)",$L:$L,"&gt;0")&lt;&gt;1,"P0(후) 유효 1개 아님",IF(NOT(AND(ISNUMBER(N1113),ISNUMBER(P1113),ISNUMBER(H1113))),"시각 결측",IF(P1113&lt;=N1113,"P0 시각 역전",IF(OR(H1113&lt;N1113,H1113&gt;P1113),"측정시각 구간 밖","OK")))))</f>
        <v/>
      </c>
      <c r="N1113" s="45">
        <f>IF(COUNTIFS($C:$C,$C1113,$D:$D,"P0(전)",$L:$L,"&gt;0")&lt;&gt;1,"",SUMIFS($H:$H,$C:$C,$C1113,$D:$D,"P0(전)"))</f>
        <v/>
      </c>
      <c r="O1113" s="30">
        <f>IF(COUNTIFS($C:$C,$C1113,$D:$D,"P0(전)",$L:$L,"&gt;0")&lt;&gt;1,"",SUMIFS($L:$L,$C:$C,$C1113,$D:$D,"P0(전)"))</f>
        <v/>
      </c>
      <c r="P1113" s="45">
        <f>IF(COUNTIFS($C:$C,$C1113,$D:$D,"P0(후)",$L:$L,"&gt;0")&lt;&gt;1,"",SUMIFS($H:$H,$C:$C,$C1113,$D:$D,"P0(후)"))</f>
        <v/>
      </c>
      <c r="Q1113" s="30">
        <f>IF(COUNTIFS($C:$C,$C1113,$D:$D,"P0(후)",$L:$L,"&gt;0")&lt;&gt;1,"",SUMIFS($L:$L,$C:$C,$C1113,$D:$D,"P0(후)"))</f>
        <v/>
      </c>
      <c r="R1113" s="30">
        <f>IF(M1113&lt;&gt;"OK","",O1113+(Q1113-O1113)*(H1113-N1113)/(P1113-N1113))</f>
        <v/>
      </c>
      <c r="S1113" s="30">
        <f>IF(OR(M1113&lt;&gt;"OK",NOT(ISNUMBER(L1113))),"",L1113-R1113)</f>
        <v/>
      </c>
      <c r="T1113" s="46">
        <f>IF(OR(NOT(ISNUMBER(S1113)),IF(ISNUMBER(G1113),G1113,F1113)=0),"",S1113/IF(ISNUMBER(G1113),G1113,F1113))</f>
        <v/>
      </c>
      <c r="U1113" s="46">
        <f>IF(ISNUMBER(T1113),ABS(T1113),"")</f>
        <v/>
      </c>
      <c r="V1113" s="46">
        <f>IF(OR($D1112&lt;&gt;"측정",$C1112&lt;&gt;$C1113,NOT(ISNUMBER(L1113)),NOT(ISNUMBER(L1112)),(IF(ISNUMBER(G1113),G1113,F1113)-IF(ISNUMBER(G1112),G1112,F1112))=0),"",(L1113-L1112)/(IF(ISNUMBER(G1113),G1113,F1113)-IF(ISNUMBER(G1112),G1112,F1112)))</f>
        <v/>
      </c>
      <c r="W1113" s="30">
        <f>IF(NOT(AND(ISNUMBER(N1113),ISNUMBER(P1113))),"",(P1113-N1113)*1440)</f>
        <v/>
      </c>
      <c r="X1113" s="28" t="n"/>
      <c r="Y1113" s="28" t="n"/>
      <c r="Z1113" s="28" t="n"/>
      <c r="AA1113" s="31" t="n"/>
      <c r="AB1113" s="31" t="n"/>
    </row>
    <row r="1114">
      <c r="A1114" s="25" t="inlineStr">
        <is>
          <t>S22</t>
        </is>
      </c>
      <c r="B1114" s="25" t="inlineStr">
        <is>
          <t>완도 신규점</t>
        </is>
      </c>
      <c r="C1114" s="25" t="inlineStr">
        <is>
          <t>S22-H서</t>
        </is>
      </c>
      <c r="D1114" s="25" t="inlineStr">
        <is>
          <t>측정</t>
        </is>
      </c>
      <c r="E1114" s="25" t="inlineStr">
        <is>
          <t>서</t>
        </is>
      </c>
      <c r="F1114" s="30" t="n">
        <v>3</v>
      </c>
      <c r="G1114" s="29" t="n"/>
      <c r="H1114" s="42" t="n"/>
      <c r="I1114" s="40" t="n"/>
      <c r="J1114" s="40" t="n"/>
      <c r="K1114" s="40" t="n"/>
      <c r="L1114" s="30">
        <f>IF(COUNT(I1114:K1114)=0,"",MEDIAN(I1114:K1114))</f>
        <v/>
      </c>
      <c r="M1114" s="25">
        <f>IF(COUNTIFS($C:$C,$C1114,$D:$D,"P0(전)",$L:$L,"&gt;0")&lt;&gt;1,"P0(전) 유효 1개 아님",IF(COUNTIFS($C:$C,$C1114,$D:$D,"P0(후)",$L:$L,"&gt;0")&lt;&gt;1,"P0(후) 유효 1개 아님",IF(NOT(AND(ISNUMBER(N1114),ISNUMBER(P1114),ISNUMBER(H1114))),"시각 결측",IF(P1114&lt;=N1114,"P0 시각 역전",IF(OR(H1114&lt;N1114,H1114&gt;P1114),"측정시각 구간 밖","OK")))))</f>
        <v/>
      </c>
      <c r="N1114" s="45">
        <f>IF(COUNTIFS($C:$C,$C1114,$D:$D,"P0(전)",$L:$L,"&gt;0")&lt;&gt;1,"",SUMIFS($H:$H,$C:$C,$C1114,$D:$D,"P0(전)"))</f>
        <v/>
      </c>
      <c r="O1114" s="30">
        <f>IF(COUNTIFS($C:$C,$C1114,$D:$D,"P0(전)",$L:$L,"&gt;0")&lt;&gt;1,"",SUMIFS($L:$L,$C:$C,$C1114,$D:$D,"P0(전)"))</f>
        <v/>
      </c>
      <c r="P1114" s="45">
        <f>IF(COUNTIFS($C:$C,$C1114,$D:$D,"P0(후)",$L:$L,"&gt;0")&lt;&gt;1,"",SUMIFS($H:$H,$C:$C,$C1114,$D:$D,"P0(후)"))</f>
        <v/>
      </c>
      <c r="Q1114" s="30">
        <f>IF(COUNTIFS($C:$C,$C1114,$D:$D,"P0(후)",$L:$L,"&gt;0")&lt;&gt;1,"",SUMIFS($L:$L,$C:$C,$C1114,$D:$D,"P0(후)"))</f>
        <v/>
      </c>
      <c r="R1114" s="30">
        <f>IF(M1114&lt;&gt;"OK","",O1114+(Q1114-O1114)*(H1114-N1114)/(P1114-N1114))</f>
        <v/>
      </c>
      <c r="S1114" s="30">
        <f>IF(OR(M1114&lt;&gt;"OK",NOT(ISNUMBER(L1114))),"",L1114-R1114)</f>
        <v/>
      </c>
      <c r="T1114" s="46">
        <f>IF(OR(NOT(ISNUMBER(S1114)),IF(ISNUMBER(G1114),G1114,F1114)=0),"",S1114/IF(ISNUMBER(G1114),G1114,F1114))</f>
        <v/>
      </c>
      <c r="U1114" s="46">
        <f>IF(ISNUMBER(T1114),ABS(T1114),"")</f>
        <v/>
      </c>
      <c r="V1114" s="46">
        <f>IF(OR($D1113&lt;&gt;"측정",$C1113&lt;&gt;$C1114,NOT(ISNUMBER(L1114)),NOT(ISNUMBER(L1113)),(IF(ISNUMBER(G1114),G1114,F1114)-IF(ISNUMBER(G1113),G1113,F1113))=0),"",(L1114-L1113)/(IF(ISNUMBER(G1114),G1114,F1114)-IF(ISNUMBER(G1113),G1113,F1113)))</f>
        <v/>
      </c>
      <c r="W1114" s="30">
        <f>IF(NOT(AND(ISNUMBER(N1114),ISNUMBER(P1114))),"",(P1114-N1114)*1440)</f>
        <v/>
      </c>
      <c r="X1114" s="28" t="n"/>
      <c r="Y1114" s="28" t="n"/>
      <c r="Z1114" s="28" t="n"/>
      <c r="AA1114" s="31" t="n"/>
      <c r="AB1114" s="31" t="n"/>
    </row>
    <row r="1115">
      <c r="A1115" s="25" t="inlineStr">
        <is>
          <t>S22</t>
        </is>
      </c>
      <c r="B1115" s="25" t="inlineStr">
        <is>
          <t>완도 신규점</t>
        </is>
      </c>
      <c r="C1115" s="25" t="inlineStr">
        <is>
          <t>S22-H서</t>
        </is>
      </c>
      <c r="D1115" s="25" t="inlineStr">
        <is>
          <t>측정</t>
        </is>
      </c>
      <c r="E1115" s="25" t="inlineStr">
        <is>
          <t>서</t>
        </is>
      </c>
      <c r="F1115" s="30" t="n">
        <v>4</v>
      </c>
      <c r="G1115" s="29" t="n"/>
      <c r="H1115" s="42" t="n"/>
      <c r="I1115" s="40" t="n"/>
      <c r="J1115" s="40" t="n"/>
      <c r="K1115" s="40" t="n"/>
      <c r="L1115" s="30">
        <f>IF(COUNT(I1115:K1115)=0,"",MEDIAN(I1115:K1115))</f>
        <v/>
      </c>
      <c r="M1115" s="25">
        <f>IF(COUNTIFS($C:$C,$C1115,$D:$D,"P0(전)",$L:$L,"&gt;0")&lt;&gt;1,"P0(전) 유효 1개 아님",IF(COUNTIFS($C:$C,$C1115,$D:$D,"P0(후)",$L:$L,"&gt;0")&lt;&gt;1,"P0(후) 유효 1개 아님",IF(NOT(AND(ISNUMBER(N1115),ISNUMBER(P1115),ISNUMBER(H1115))),"시각 결측",IF(P1115&lt;=N1115,"P0 시각 역전",IF(OR(H1115&lt;N1115,H1115&gt;P1115),"측정시각 구간 밖","OK")))))</f>
        <v/>
      </c>
      <c r="N1115" s="45">
        <f>IF(COUNTIFS($C:$C,$C1115,$D:$D,"P0(전)",$L:$L,"&gt;0")&lt;&gt;1,"",SUMIFS($H:$H,$C:$C,$C1115,$D:$D,"P0(전)"))</f>
        <v/>
      </c>
      <c r="O1115" s="30">
        <f>IF(COUNTIFS($C:$C,$C1115,$D:$D,"P0(전)",$L:$L,"&gt;0")&lt;&gt;1,"",SUMIFS($L:$L,$C:$C,$C1115,$D:$D,"P0(전)"))</f>
        <v/>
      </c>
      <c r="P1115" s="45">
        <f>IF(COUNTIFS($C:$C,$C1115,$D:$D,"P0(후)",$L:$L,"&gt;0")&lt;&gt;1,"",SUMIFS($H:$H,$C:$C,$C1115,$D:$D,"P0(후)"))</f>
        <v/>
      </c>
      <c r="Q1115" s="30">
        <f>IF(COUNTIFS($C:$C,$C1115,$D:$D,"P0(후)",$L:$L,"&gt;0")&lt;&gt;1,"",SUMIFS($L:$L,$C:$C,$C1115,$D:$D,"P0(후)"))</f>
        <v/>
      </c>
      <c r="R1115" s="30">
        <f>IF(M1115&lt;&gt;"OK","",O1115+(Q1115-O1115)*(H1115-N1115)/(P1115-N1115))</f>
        <v/>
      </c>
      <c r="S1115" s="30">
        <f>IF(OR(M1115&lt;&gt;"OK",NOT(ISNUMBER(L1115))),"",L1115-R1115)</f>
        <v/>
      </c>
      <c r="T1115" s="46">
        <f>IF(OR(NOT(ISNUMBER(S1115)),IF(ISNUMBER(G1115),G1115,F1115)=0),"",S1115/IF(ISNUMBER(G1115),G1115,F1115))</f>
        <v/>
      </c>
      <c r="U1115" s="46">
        <f>IF(ISNUMBER(T1115),ABS(T1115),"")</f>
        <v/>
      </c>
      <c r="V1115" s="46">
        <f>IF(OR($D1114&lt;&gt;"측정",$C1114&lt;&gt;$C1115,NOT(ISNUMBER(L1115)),NOT(ISNUMBER(L1114)),(IF(ISNUMBER(G1115),G1115,F1115)-IF(ISNUMBER(G1114),G1114,F1114))=0),"",(L1115-L1114)/(IF(ISNUMBER(G1115),G1115,F1115)-IF(ISNUMBER(G1114),G1114,F1114)))</f>
        <v/>
      </c>
      <c r="W1115" s="30">
        <f>IF(NOT(AND(ISNUMBER(N1115),ISNUMBER(P1115))),"",(P1115-N1115)*1440)</f>
        <v/>
      </c>
      <c r="X1115" s="28" t="n"/>
      <c r="Y1115" s="28" t="n"/>
      <c r="Z1115" s="28" t="n"/>
      <c r="AA1115" s="31" t="n"/>
      <c r="AB1115" s="31" t="n"/>
    </row>
    <row r="1116">
      <c r="A1116" s="25" t="inlineStr">
        <is>
          <t>S22</t>
        </is>
      </c>
      <c r="B1116" s="25" t="inlineStr">
        <is>
          <t>완도 신규점</t>
        </is>
      </c>
      <c r="C1116" s="25" t="inlineStr">
        <is>
          <t>S22-H서</t>
        </is>
      </c>
      <c r="D1116" s="25" t="inlineStr">
        <is>
          <t>측정</t>
        </is>
      </c>
      <c r="E1116" s="25" t="inlineStr">
        <is>
          <t>서</t>
        </is>
      </c>
      <c r="F1116" s="30" t="n">
        <v>5</v>
      </c>
      <c r="G1116" s="29" t="n"/>
      <c r="H1116" s="42" t="n"/>
      <c r="I1116" s="40" t="n"/>
      <c r="J1116" s="40" t="n"/>
      <c r="K1116" s="40" t="n"/>
      <c r="L1116" s="30">
        <f>IF(COUNT(I1116:K1116)=0,"",MEDIAN(I1116:K1116))</f>
        <v/>
      </c>
      <c r="M1116" s="25">
        <f>IF(COUNTIFS($C:$C,$C1116,$D:$D,"P0(전)",$L:$L,"&gt;0")&lt;&gt;1,"P0(전) 유효 1개 아님",IF(COUNTIFS($C:$C,$C1116,$D:$D,"P0(후)",$L:$L,"&gt;0")&lt;&gt;1,"P0(후) 유효 1개 아님",IF(NOT(AND(ISNUMBER(N1116),ISNUMBER(P1116),ISNUMBER(H1116))),"시각 결측",IF(P1116&lt;=N1116,"P0 시각 역전",IF(OR(H1116&lt;N1116,H1116&gt;P1116),"측정시각 구간 밖","OK")))))</f>
        <v/>
      </c>
      <c r="N1116" s="45">
        <f>IF(COUNTIFS($C:$C,$C1116,$D:$D,"P0(전)",$L:$L,"&gt;0")&lt;&gt;1,"",SUMIFS($H:$H,$C:$C,$C1116,$D:$D,"P0(전)"))</f>
        <v/>
      </c>
      <c r="O1116" s="30">
        <f>IF(COUNTIFS($C:$C,$C1116,$D:$D,"P0(전)",$L:$L,"&gt;0")&lt;&gt;1,"",SUMIFS($L:$L,$C:$C,$C1116,$D:$D,"P0(전)"))</f>
        <v/>
      </c>
      <c r="P1116" s="45">
        <f>IF(COUNTIFS($C:$C,$C1116,$D:$D,"P0(후)",$L:$L,"&gt;0")&lt;&gt;1,"",SUMIFS($H:$H,$C:$C,$C1116,$D:$D,"P0(후)"))</f>
        <v/>
      </c>
      <c r="Q1116" s="30">
        <f>IF(COUNTIFS($C:$C,$C1116,$D:$D,"P0(후)",$L:$L,"&gt;0")&lt;&gt;1,"",SUMIFS($L:$L,$C:$C,$C1116,$D:$D,"P0(후)"))</f>
        <v/>
      </c>
      <c r="R1116" s="30">
        <f>IF(M1116&lt;&gt;"OK","",O1116+(Q1116-O1116)*(H1116-N1116)/(P1116-N1116))</f>
        <v/>
      </c>
      <c r="S1116" s="30">
        <f>IF(OR(M1116&lt;&gt;"OK",NOT(ISNUMBER(L1116))),"",L1116-R1116)</f>
        <v/>
      </c>
      <c r="T1116" s="46">
        <f>IF(OR(NOT(ISNUMBER(S1116)),IF(ISNUMBER(G1116),G1116,F1116)=0),"",S1116/IF(ISNUMBER(G1116),G1116,F1116))</f>
        <v/>
      </c>
      <c r="U1116" s="46">
        <f>IF(ISNUMBER(T1116),ABS(T1116),"")</f>
        <v/>
      </c>
      <c r="V1116" s="46">
        <f>IF(OR($D1115&lt;&gt;"측정",$C1115&lt;&gt;$C1116,NOT(ISNUMBER(L1116)),NOT(ISNUMBER(L1115)),(IF(ISNUMBER(G1116),G1116,F1116)-IF(ISNUMBER(G1115),G1115,F1115))=0),"",(L1116-L1115)/(IF(ISNUMBER(G1116),G1116,F1116)-IF(ISNUMBER(G1115),G1115,F1115)))</f>
        <v/>
      </c>
      <c r="W1116" s="30">
        <f>IF(NOT(AND(ISNUMBER(N1116),ISNUMBER(P1116))),"",(P1116-N1116)*1440)</f>
        <v/>
      </c>
      <c r="X1116" s="28" t="n"/>
      <c r="Y1116" s="28" t="n"/>
      <c r="Z1116" s="28" t="n"/>
      <c r="AA1116" s="31" t="n"/>
      <c r="AB1116" s="31" t="n"/>
    </row>
    <row r="1117">
      <c r="A1117" s="25" t="inlineStr">
        <is>
          <t>S22</t>
        </is>
      </c>
      <c r="B1117" s="25" t="inlineStr">
        <is>
          <t>완도 신규점</t>
        </is>
      </c>
      <c r="C1117" s="25" t="inlineStr">
        <is>
          <t>S22-H서</t>
        </is>
      </c>
      <c r="D1117" s="25" t="inlineStr">
        <is>
          <t>측정</t>
        </is>
      </c>
      <c r="E1117" s="25" t="inlineStr">
        <is>
          <t>서</t>
        </is>
      </c>
      <c r="F1117" s="30" t="n">
        <v>6</v>
      </c>
      <c r="G1117" s="29" t="n"/>
      <c r="H1117" s="42" t="n"/>
      <c r="I1117" s="40" t="n"/>
      <c r="J1117" s="40" t="n"/>
      <c r="K1117" s="40" t="n"/>
      <c r="L1117" s="30">
        <f>IF(COUNT(I1117:K1117)=0,"",MEDIAN(I1117:K1117))</f>
        <v/>
      </c>
      <c r="M1117" s="25">
        <f>IF(COUNTIFS($C:$C,$C1117,$D:$D,"P0(전)",$L:$L,"&gt;0")&lt;&gt;1,"P0(전) 유효 1개 아님",IF(COUNTIFS($C:$C,$C1117,$D:$D,"P0(후)",$L:$L,"&gt;0")&lt;&gt;1,"P0(후) 유효 1개 아님",IF(NOT(AND(ISNUMBER(N1117),ISNUMBER(P1117),ISNUMBER(H1117))),"시각 결측",IF(P1117&lt;=N1117,"P0 시각 역전",IF(OR(H1117&lt;N1117,H1117&gt;P1117),"측정시각 구간 밖","OK")))))</f>
        <v/>
      </c>
      <c r="N1117" s="45">
        <f>IF(COUNTIFS($C:$C,$C1117,$D:$D,"P0(전)",$L:$L,"&gt;0")&lt;&gt;1,"",SUMIFS($H:$H,$C:$C,$C1117,$D:$D,"P0(전)"))</f>
        <v/>
      </c>
      <c r="O1117" s="30">
        <f>IF(COUNTIFS($C:$C,$C1117,$D:$D,"P0(전)",$L:$L,"&gt;0")&lt;&gt;1,"",SUMIFS($L:$L,$C:$C,$C1117,$D:$D,"P0(전)"))</f>
        <v/>
      </c>
      <c r="P1117" s="45">
        <f>IF(COUNTIFS($C:$C,$C1117,$D:$D,"P0(후)",$L:$L,"&gt;0")&lt;&gt;1,"",SUMIFS($H:$H,$C:$C,$C1117,$D:$D,"P0(후)"))</f>
        <v/>
      </c>
      <c r="Q1117" s="30">
        <f>IF(COUNTIFS($C:$C,$C1117,$D:$D,"P0(후)",$L:$L,"&gt;0")&lt;&gt;1,"",SUMIFS($L:$L,$C:$C,$C1117,$D:$D,"P0(후)"))</f>
        <v/>
      </c>
      <c r="R1117" s="30">
        <f>IF(M1117&lt;&gt;"OK","",O1117+(Q1117-O1117)*(H1117-N1117)/(P1117-N1117))</f>
        <v/>
      </c>
      <c r="S1117" s="30">
        <f>IF(OR(M1117&lt;&gt;"OK",NOT(ISNUMBER(L1117))),"",L1117-R1117)</f>
        <v/>
      </c>
      <c r="T1117" s="46">
        <f>IF(OR(NOT(ISNUMBER(S1117)),IF(ISNUMBER(G1117),G1117,F1117)=0),"",S1117/IF(ISNUMBER(G1117),G1117,F1117))</f>
        <v/>
      </c>
      <c r="U1117" s="46">
        <f>IF(ISNUMBER(T1117),ABS(T1117),"")</f>
        <v/>
      </c>
      <c r="V1117" s="46">
        <f>IF(OR($D1116&lt;&gt;"측정",$C1116&lt;&gt;$C1117,NOT(ISNUMBER(L1117)),NOT(ISNUMBER(L1116)),(IF(ISNUMBER(G1117),G1117,F1117)-IF(ISNUMBER(G1116),G1116,F1116))=0),"",(L1117-L1116)/(IF(ISNUMBER(G1117),G1117,F1117)-IF(ISNUMBER(G1116),G1116,F1116)))</f>
        <v/>
      </c>
      <c r="W1117" s="30">
        <f>IF(NOT(AND(ISNUMBER(N1117),ISNUMBER(P1117))),"",(P1117-N1117)*1440)</f>
        <v/>
      </c>
      <c r="X1117" s="28" t="n"/>
      <c r="Y1117" s="28" t="n"/>
      <c r="Z1117" s="28" t="n"/>
      <c r="AA1117" s="31" t="n"/>
      <c r="AB1117" s="31" t="n"/>
    </row>
    <row r="1118">
      <c r="A1118" s="25" t="inlineStr">
        <is>
          <t>S22</t>
        </is>
      </c>
      <c r="B1118" s="25" t="inlineStr">
        <is>
          <t>완도 신규점</t>
        </is>
      </c>
      <c r="C1118" s="25" t="inlineStr">
        <is>
          <t>S22-H서</t>
        </is>
      </c>
      <c r="D1118" s="25" t="inlineStr">
        <is>
          <t>측정</t>
        </is>
      </c>
      <c r="E1118" s="25" t="inlineStr">
        <is>
          <t>서</t>
        </is>
      </c>
      <c r="F1118" s="30" t="n">
        <v>7</v>
      </c>
      <c r="G1118" s="29" t="n"/>
      <c r="H1118" s="42" t="n"/>
      <c r="I1118" s="40" t="n"/>
      <c r="J1118" s="40" t="n"/>
      <c r="K1118" s="40" t="n"/>
      <c r="L1118" s="30">
        <f>IF(COUNT(I1118:K1118)=0,"",MEDIAN(I1118:K1118))</f>
        <v/>
      </c>
      <c r="M1118" s="25">
        <f>IF(COUNTIFS($C:$C,$C1118,$D:$D,"P0(전)",$L:$L,"&gt;0")&lt;&gt;1,"P0(전) 유효 1개 아님",IF(COUNTIFS($C:$C,$C1118,$D:$D,"P0(후)",$L:$L,"&gt;0")&lt;&gt;1,"P0(후) 유효 1개 아님",IF(NOT(AND(ISNUMBER(N1118),ISNUMBER(P1118),ISNUMBER(H1118))),"시각 결측",IF(P1118&lt;=N1118,"P0 시각 역전",IF(OR(H1118&lt;N1118,H1118&gt;P1118),"측정시각 구간 밖","OK")))))</f>
        <v/>
      </c>
      <c r="N1118" s="45">
        <f>IF(COUNTIFS($C:$C,$C1118,$D:$D,"P0(전)",$L:$L,"&gt;0")&lt;&gt;1,"",SUMIFS($H:$H,$C:$C,$C1118,$D:$D,"P0(전)"))</f>
        <v/>
      </c>
      <c r="O1118" s="30">
        <f>IF(COUNTIFS($C:$C,$C1118,$D:$D,"P0(전)",$L:$L,"&gt;0")&lt;&gt;1,"",SUMIFS($L:$L,$C:$C,$C1118,$D:$D,"P0(전)"))</f>
        <v/>
      </c>
      <c r="P1118" s="45">
        <f>IF(COUNTIFS($C:$C,$C1118,$D:$D,"P0(후)",$L:$L,"&gt;0")&lt;&gt;1,"",SUMIFS($H:$H,$C:$C,$C1118,$D:$D,"P0(후)"))</f>
        <v/>
      </c>
      <c r="Q1118" s="30">
        <f>IF(COUNTIFS($C:$C,$C1118,$D:$D,"P0(후)",$L:$L,"&gt;0")&lt;&gt;1,"",SUMIFS($L:$L,$C:$C,$C1118,$D:$D,"P0(후)"))</f>
        <v/>
      </c>
      <c r="R1118" s="30">
        <f>IF(M1118&lt;&gt;"OK","",O1118+(Q1118-O1118)*(H1118-N1118)/(P1118-N1118))</f>
        <v/>
      </c>
      <c r="S1118" s="30">
        <f>IF(OR(M1118&lt;&gt;"OK",NOT(ISNUMBER(L1118))),"",L1118-R1118)</f>
        <v/>
      </c>
      <c r="T1118" s="46">
        <f>IF(OR(NOT(ISNUMBER(S1118)),IF(ISNUMBER(G1118),G1118,F1118)=0),"",S1118/IF(ISNUMBER(G1118),G1118,F1118))</f>
        <v/>
      </c>
      <c r="U1118" s="46">
        <f>IF(ISNUMBER(T1118),ABS(T1118),"")</f>
        <v/>
      </c>
      <c r="V1118" s="46">
        <f>IF(OR($D1117&lt;&gt;"측정",$C1117&lt;&gt;$C1118,NOT(ISNUMBER(L1118)),NOT(ISNUMBER(L1117)),(IF(ISNUMBER(G1118),G1118,F1118)-IF(ISNUMBER(G1117),G1117,F1117))=0),"",(L1118-L1117)/(IF(ISNUMBER(G1118),G1118,F1118)-IF(ISNUMBER(G1117),G1117,F1117)))</f>
        <v/>
      </c>
      <c r="W1118" s="30">
        <f>IF(NOT(AND(ISNUMBER(N1118),ISNUMBER(P1118))),"",(P1118-N1118)*1440)</f>
        <v/>
      </c>
      <c r="X1118" s="28" t="n"/>
      <c r="Y1118" s="28" t="n"/>
      <c r="Z1118" s="28" t="n"/>
      <c r="AA1118" s="31" t="n"/>
      <c r="AB1118" s="31" t="n"/>
    </row>
    <row r="1119">
      <c r="A1119" s="25" t="inlineStr">
        <is>
          <t>S22</t>
        </is>
      </c>
      <c r="B1119" s="25" t="inlineStr">
        <is>
          <t>완도 신규점</t>
        </is>
      </c>
      <c r="C1119" s="25" t="inlineStr">
        <is>
          <t>S22-H서</t>
        </is>
      </c>
      <c r="D1119" s="25" t="inlineStr">
        <is>
          <t>측정</t>
        </is>
      </c>
      <c r="E1119" s="25" t="inlineStr">
        <is>
          <t>서</t>
        </is>
      </c>
      <c r="F1119" s="30" t="n">
        <v>8</v>
      </c>
      <c r="G1119" s="29" t="n"/>
      <c r="H1119" s="42" t="n"/>
      <c r="I1119" s="40" t="n"/>
      <c r="J1119" s="40" t="n"/>
      <c r="K1119" s="40" t="n"/>
      <c r="L1119" s="30">
        <f>IF(COUNT(I1119:K1119)=0,"",MEDIAN(I1119:K1119))</f>
        <v/>
      </c>
      <c r="M1119" s="25">
        <f>IF(COUNTIFS($C:$C,$C1119,$D:$D,"P0(전)",$L:$L,"&gt;0")&lt;&gt;1,"P0(전) 유효 1개 아님",IF(COUNTIFS($C:$C,$C1119,$D:$D,"P0(후)",$L:$L,"&gt;0")&lt;&gt;1,"P0(후) 유효 1개 아님",IF(NOT(AND(ISNUMBER(N1119),ISNUMBER(P1119),ISNUMBER(H1119))),"시각 결측",IF(P1119&lt;=N1119,"P0 시각 역전",IF(OR(H1119&lt;N1119,H1119&gt;P1119),"측정시각 구간 밖","OK")))))</f>
        <v/>
      </c>
      <c r="N1119" s="45">
        <f>IF(COUNTIFS($C:$C,$C1119,$D:$D,"P0(전)",$L:$L,"&gt;0")&lt;&gt;1,"",SUMIFS($H:$H,$C:$C,$C1119,$D:$D,"P0(전)"))</f>
        <v/>
      </c>
      <c r="O1119" s="30">
        <f>IF(COUNTIFS($C:$C,$C1119,$D:$D,"P0(전)",$L:$L,"&gt;0")&lt;&gt;1,"",SUMIFS($L:$L,$C:$C,$C1119,$D:$D,"P0(전)"))</f>
        <v/>
      </c>
      <c r="P1119" s="45">
        <f>IF(COUNTIFS($C:$C,$C1119,$D:$D,"P0(후)",$L:$L,"&gt;0")&lt;&gt;1,"",SUMIFS($H:$H,$C:$C,$C1119,$D:$D,"P0(후)"))</f>
        <v/>
      </c>
      <c r="Q1119" s="30">
        <f>IF(COUNTIFS($C:$C,$C1119,$D:$D,"P0(후)",$L:$L,"&gt;0")&lt;&gt;1,"",SUMIFS($L:$L,$C:$C,$C1119,$D:$D,"P0(후)"))</f>
        <v/>
      </c>
      <c r="R1119" s="30">
        <f>IF(M1119&lt;&gt;"OK","",O1119+(Q1119-O1119)*(H1119-N1119)/(P1119-N1119))</f>
        <v/>
      </c>
      <c r="S1119" s="30">
        <f>IF(OR(M1119&lt;&gt;"OK",NOT(ISNUMBER(L1119))),"",L1119-R1119)</f>
        <v/>
      </c>
      <c r="T1119" s="46">
        <f>IF(OR(NOT(ISNUMBER(S1119)),IF(ISNUMBER(G1119),G1119,F1119)=0),"",S1119/IF(ISNUMBER(G1119),G1119,F1119))</f>
        <v/>
      </c>
      <c r="U1119" s="46">
        <f>IF(ISNUMBER(T1119),ABS(T1119),"")</f>
        <v/>
      </c>
      <c r="V1119" s="46">
        <f>IF(OR($D1118&lt;&gt;"측정",$C1118&lt;&gt;$C1119,NOT(ISNUMBER(L1119)),NOT(ISNUMBER(L1118)),(IF(ISNUMBER(G1119),G1119,F1119)-IF(ISNUMBER(G1118),G1118,F1118))=0),"",(L1119-L1118)/(IF(ISNUMBER(G1119),G1119,F1119)-IF(ISNUMBER(G1118),G1118,F1118)))</f>
        <v/>
      </c>
      <c r="W1119" s="30">
        <f>IF(NOT(AND(ISNUMBER(N1119),ISNUMBER(P1119))),"",(P1119-N1119)*1440)</f>
        <v/>
      </c>
      <c r="X1119" s="28" t="n"/>
      <c r="Y1119" s="28" t="n"/>
      <c r="Z1119" s="28" t="n"/>
      <c r="AA1119" s="31" t="n"/>
      <c r="AB1119" s="31" t="n"/>
    </row>
    <row r="1120">
      <c r="A1120" s="25" t="inlineStr">
        <is>
          <t>S22</t>
        </is>
      </c>
      <c r="B1120" s="25" t="inlineStr">
        <is>
          <t>완도 신규점</t>
        </is>
      </c>
      <c r="C1120" s="25" t="inlineStr">
        <is>
          <t>S22-H서</t>
        </is>
      </c>
      <c r="D1120" s="25" t="inlineStr">
        <is>
          <t>측정</t>
        </is>
      </c>
      <c r="E1120" s="25" t="inlineStr">
        <is>
          <t>서</t>
        </is>
      </c>
      <c r="F1120" s="30" t="n">
        <v>9</v>
      </c>
      <c r="G1120" s="29" t="n"/>
      <c r="H1120" s="42" t="n"/>
      <c r="I1120" s="40" t="n"/>
      <c r="J1120" s="40" t="n"/>
      <c r="K1120" s="40" t="n"/>
      <c r="L1120" s="30">
        <f>IF(COUNT(I1120:K1120)=0,"",MEDIAN(I1120:K1120))</f>
        <v/>
      </c>
      <c r="M1120" s="25">
        <f>IF(COUNTIFS($C:$C,$C1120,$D:$D,"P0(전)",$L:$L,"&gt;0")&lt;&gt;1,"P0(전) 유효 1개 아님",IF(COUNTIFS($C:$C,$C1120,$D:$D,"P0(후)",$L:$L,"&gt;0")&lt;&gt;1,"P0(후) 유효 1개 아님",IF(NOT(AND(ISNUMBER(N1120),ISNUMBER(P1120),ISNUMBER(H1120))),"시각 결측",IF(P1120&lt;=N1120,"P0 시각 역전",IF(OR(H1120&lt;N1120,H1120&gt;P1120),"측정시각 구간 밖","OK")))))</f>
        <v/>
      </c>
      <c r="N1120" s="45">
        <f>IF(COUNTIFS($C:$C,$C1120,$D:$D,"P0(전)",$L:$L,"&gt;0")&lt;&gt;1,"",SUMIFS($H:$H,$C:$C,$C1120,$D:$D,"P0(전)"))</f>
        <v/>
      </c>
      <c r="O1120" s="30">
        <f>IF(COUNTIFS($C:$C,$C1120,$D:$D,"P0(전)",$L:$L,"&gt;0")&lt;&gt;1,"",SUMIFS($L:$L,$C:$C,$C1120,$D:$D,"P0(전)"))</f>
        <v/>
      </c>
      <c r="P1120" s="45">
        <f>IF(COUNTIFS($C:$C,$C1120,$D:$D,"P0(후)",$L:$L,"&gt;0")&lt;&gt;1,"",SUMIFS($H:$H,$C:$C,$C1120,$D:$D,"P0(후)"))</f>
        <v/>
      </c>
      <c r="Q1120" s="30">
        <f>IF(COUNTIFS($C:$C,$C1120,$D:$D,"P0(후)",$L:$L,"&gt;0")&lt;&gt;1,"",SUMIFS($L:$L,$C:$C,$C1120,$D:$D,"P0(후)"))</f>
        <v/>
      </c>
      <c r="R1120" s="30">
        <f>IF(M1120&lt;&gt;"OK","",O1120+(Q1120-O1120)*(H1120-N1120)/(P1120-N1120))</f>
        <v/>
      </c>
      <c r="S1120" s="30">
        <f>IF(OR(M1120&lt;&gt;"OK",NOT(ISNUMBER(L1120))),"",L1120-R1120)</f>
        <v/>
      </c>
      <c r="T1120" s="46">
        <f>IF(OR(NOT(ISNUMBER(S1120)),IF(ISNUMBER(G1120),G1120,F1120)=0),"",S1120/IF(ISNUMBER(G1120),G1120,F1120))</f>
        <v/>
      </c>
      <c r="U1120" s="46">
        <f>IF(ISNUMBER(T1120),ABS(T1120),"")</f>
        <v/>
      </c>
      <c r="V1120" s="46">
        <f>IF(OR($D1119&lt;&gt;"측정",$C1119&lt;&gt;$C1120,NOT(ISNUMBER(L1120)),NOT(ISNUMBER(L1119)),(IF(ISNUMBER(G1120),G1120,F1120)-IF(ISNUMBER(G1119),G1119,F1119))=0),"",(L1120-L1119)/(IF(ISNUMBER(G1120),G1120,F1120)-IF(ISNUMBER(G1119),G1119,F1119)))</f>
        <v/>
      </c>
      <c r="W1120" s="30">
        <f>IF(NOT(AND(ISNUMBER(N1120),ISNUMBER(P1120))),"",(P1120-N1120)*1440)</f>
        <v/>
      </c>
      <c r="X1120" s="28" t="n"/>
      <c r="Y1120" s="28" t="n"/>
      <c r="Z1120" s="28" t="n"/>
      <c r="AA1120" s="31" t="n"/>
      <c r="AB1120" s="31" t="n"/>
    </row>
    <row r="1121">
      <c r="A1121" s="25" t="inlineStr">
        <is>
          <t>S22</t>
        </is>
      </c>
      <c r="B1121" s="25" t="inlineStr">
        <is>
          <t>완도 신규점</t>
        </is>
      </c>
      <c r="C1121" s="25" t="inlineStr">
        <is>
          <t>S22-H서</t>
        </is>
      </c>
      <c r="D1121" s="25" t="inlineStr">
        <is>
          <t>측정</t>
        </is>
      </c>
      <c r="E1121" s="25" t="inlineStr">
        <is>
          <t>서</t>
        </is>
      </c>
      <c r="F1121" s="30" t="n">
        <v>10</v>
      </c>
      <c r="G1121" s="29" t="n"/>
      <c r="H1121" s="42" t="n"/>
      <c r="I1121" s="40" t="n"/>
      <c r="J1121" s="40" t="n"/>
      <c r="K1121" s="40" t="n"/>
      <c r="L1121" s="30">
        <f>IF(COUNT(I1121:K1121)=0,"",MEDIAN(I1121:K1121))</f>
        <v/>
      </c>
      <c r="M1121" s="25">
        <f>IF(COUNTIFS($C:$C,$C1121,$D:$D,"P0(전)",$L:$L,"&gt;0")&lt;&gt;1,"P0(전) 유효 1개 아님",IF(COUNTIFS($C:$C,$C1121,$D:$D,"P0(후)",$L:$L,"&gt;0")&lt;&gt;1,"P0(후) 유효 1개 아님",IF(NOT(AND(ISNUMBER(N1121),ISNUMBER(P1121),ISNUMBER(H1121))),"시각 결측",IF(P1121&lt;=N1121,"P0 시각 역전",IF(OR(H1121&lt;N1121,H1121&gt;P1121),"측정시각 구간 밖","OK")))))</f>
        <v/>
      </c>
      <c r="N1121" s="45">
        <f>IF(COUNTIFS($C:$C,$C1121,$D:$D,"P0(전)",$L:$L,"&gt;0")&lt;&gt;1,"",SUMIFS($H:$H,$C:$C,$C1121,$D:$D,"P0(전)"))</f>
        <v/>
      </c>
      <c r="O1121" s="30">
        <f>IF(COUNTIFS($C:$C,$C1121,$D:$D,"P0(전)",$L:$L,"&gt;0")&lt;&gt;1,"",SUMIFS($L:$L,$C:$C,$C1121,$D:$D,"P0(전)"))</f>
        <v/>
      </c>
      <c r="P1121" s="45">
        <f>IF(COUNTIFS($C:$C,$C1121,$D:$D,"P0(후)",$L:$L,"&gt;0")&lt;&gt;1,"",SUMIFS($H:$H,$C:$C,$C1121,$D:$D,"P0(후)"))</f>
        <v/>
      </c>
      <c r="Q1121" s="30">
        <f>IF(COUNTIFS($C:$C,$C1121,$D:$D,"P0(후)",$L:$L,"&gt;0")&lt;&gt;1,"",SUMIFS($L:$L,$C:$C,$C1121,$D:$D,"P0(후)"))</f>
        <v/>
      </c>
      <c r="R1121" s="30">
        <f>IF(M1121&lt;&gt;"OK","",O1121+(Q1121-O1121)*(H1121-N1121)/(P1121-N1121))</f>
        <v/>
      </c>
      <c r="S1121" s="30">
        <f>IF(OR(M1121&lt;&gt;"OK",NOT(ISNUMBER(L1121))),"",L1121-R1121)</f>
        <v/>
      </c>
      <c r="T1121" s="46">
        <f>IF(OR(NOT(ISNUMBER(S1121)),IF(ISNUMBER(G1121),G1121,F1121)=0),"",S1121/IF(ISNUMBER(G1121),G1121,F1121))</f>
        <v/>
      </c>
      <c r="U1121" s="46">
        <f>IF(ISNUMBER(T1121),ABS(T1121),"")</f>
        <v/>
      </c>
      <c r="V1121" s="46">
        <f>IF(OR($D1120&lt;&gt;"측정",$C1120&lt;&gt;$C1121,NOT(ISNUMBER(L1121)),NOT(ISNUMBER(L1120)),(IF(ISNUMBER(G1121),G1121,F1121)-IF(ISNUMBER(G1120),G1120,F1120))=0),"",(L1121-L1120)/(IF(ISNUMBER(G1121),G1121,F1121)-IF(ISNUMBER(G1120),G1120,F1120)))</f>
        <v/>
      </c>
      <c r="W1121" s="30">
        <f>IF(NOT(AND(ISNUMBER(N1121),ISNUMBER(P1121))),"",(P1121-N1121)*1440)</f>
        <v/>
      </c>
      <c r="X1121" s="28" t="n"/>
      <c r="Y1121" s="28" t="n"/>
      <c r="Z1121" s="28" t="n"/>
      <c r="AA1121" s="31" t="n"/>
      <c r="AB1121" s="31" t="n"/>
    </row>
    <row r="1122">
      <c r="A1122" s="43" t="inlineStr">
        <is>
          <t>S22</t>
        </is>
      </c>
      <c r="B1122" s="43" t="inlineStr">
        <is>
          <t>완도 신규점</t>
        </is>
      </c>
      <c r="C1122" s="43" t="inlineStr">
        <is>
          <t>S22-H서</t>
        </is>
      </c>
      <c r="D1122" s="43" t="inlineStr">
        <is>
          <t>P0(후)</t>
        </is>
      </c>
      <c r="E1122" s="43" t="inlineStr">
        <is>
          <t>서</t>
        </is>
      </c>
      <c r="F1122" s="44" t="n"/>
      <c r="G1122" s="29" t="n"/>
      <c r="H1122" s="42" t="n"/>
      <c r="I1122" s="40" t="n"/>
      <c r="J1122" s="40" t="n"/>
      <c r="K1122" s="40" t="n"/>
      <c r="L1122" s="30">
        <f>IF(COUNT(I1122:K1122)=0,"",MEDIAN(I1122:K1122))</f>
        <v/>
      </c>
      <c r="M1122" s="37" t="n"/>
      <c r="N1122" s="37" t="n"/>
      <c r="O1122" s="37" t="n"/>
      <c r="P1122" s="37" t="n"/>
      <c r="Q1122" s="37" t="n"/>
      <c r="R1122" s="37" t="n"/>
      <c r="S1122" s="37" t="n"/>
      <c r="T1122" s="37" t="n"/>
      <c r="U1122" s="37" t="n"/>
      <c r="V1122" s="37" t="n"/>
      <c r="W1122" s="37" t="n"/>
      <c r="X1122" s="28" t="n"/>
      <c r="Y1122" s="28" t="n"/>
      <c r="Z1122" s="28" t="n"/>
      <c r="AA1122" s="31" t="n"/>
      <c r="AB1122" s="31" t="n"/>
    </row>
    <row r="1123">
      <c r="A1123" s="43" t="inlineStr">
        <is>
          <t>S22</t>
        </is>
      </c>
      <c r="B1123" s="43" t="inlineStr">
        <is>
          <t>완도 신규점</t>
        </is>
      </c>
      <c r="C1123" s="43" t="inlineStr">
        <is>
          <t>S22-H남</t>
        </is>
      </c>
      <c r="D1123" s="43" t="inlineStr">
        <is>
          <t>P0(전)</t>
        </is>
      </c>
      <c r="E1123" s="43" t="inlineStr">
        <is>
          <t>남</t>
        </is>
      </c>
      <c r="F1123" s="44" t="n"/>
      <c r="G1123" s="29" t="n"/>
      <c r="H1123" s="42" t="n"/>
      <c r="I1123" s="40" t="n"/>
      <c r="J1123" s="40" t="n"/>
      <c r="K1123" s="40" t="n"/>
      <c r="L1123" s="30">
        <f>IF(COUNT(I1123:K1123)=0,"",MEDIAN(I1123:K1123))</f>
        <v/>
      </c>
      <c r="M1123" s="37" t="n"/>
      <c r="N1123" s="37" t="n"/>
      <c r="O1123" s="37" t="n"/>
      <c r="P1123" s="37" t="n"/>
      <c r="Q1123" s="37" t="n"/>
      <c r="R1123" s="37" t="n"/>
      <c r="S1123" s="37" t="n"/>
      <c r="T1123" s="37" t="n"/>
      <c r="U1123" s="37" t="n"/>
      <c r="V1123" s="37" t="n"/>
      <c r="W1123" s="37" t="n"/>
      <c r="X1123" s="28" t="n"/>
      <c r="Y1123" s="28" t="n"/>
      <c r="Z1123" s="28" t="n"/>
      <c r="AA1123" s="31" t="n"/>
      <c r="AB1123" s="31" t="n"/>
    </row>
    <row r="1124">
      <c r="A1124" s="25" t="inlineStr">
        <is>
          <t>S22</t>
        </is>
      </c>
      <c r="B1124" s="25" t="inlineStr">
        <is>
          <t>완도 신규점</t>
        </is>
      </c>
      <c r="C1124" s="25" t="inlineStr">
        <is>
          <t>S22-H남</t>
        </is>
      </c>
      <c r="D1124" s="25" t="inlineStr">
        <is>
          <t>측정</t>
        </is>
      </c>
      <c r="E1124" s="25" t="inlineStr">
        <is>
          <t>남</t>
        </is>
      </c>
      <c r="F1124" s="30" t="n">
        <v>0.5</v>
      </c>
      <c r="G1124" s="29" t="n"/>
      <c r="H1124" s="42" t="n"/>
      <c r="I1124" s="40" t="n"/>
      <c r="J1124" s="40" t="n"/>
      <c r="K1124" s="40" t="n"/>
      <c r="L1124" s="30">
        <f>IF(COUNT(I1124:K1124)=0,"",MEDIAN(I1124:K1124))</f>
        <v/>
      </c>
      <c r="M1124" s="25">
        <f>IF(COUNTIFS($C:$C,$C1124,$D:$D,"P0(전)",$L:$L,"&gt;0")&lt;&gt;1,"P0(전) 유효 1개 아님",IF(COUNTIFS($C:$C,$C1124,$D:$D,"P0(후)",$L:$L,"&gt;0")&lt;&gt;1,"P0(후) 유효 1개 아님",IF(NOT(AND(ISNUMBER(N1124),ISNUMBER(P1124),ISNUMBER(H1124))),"시각 결측",IF(P1124&lt;=N1124,"P0 시각 역전",IF(OR(H1124&lt;N1124,H1124&gt;P1124),"측정시각 구간 밖","OK")))))</f>
        <v/>
      </c>
      <c r="N1124" s="45">
        <f>IF(COUNTIFS($C:$C,$C1124,$D:$D,"P0(전)",$L:$L,"&gt;0")&lt;&gt;1,"",SUMIFS($H:$H,$C:$C,$C1124,$D:$D,"P0(전)"))</f>
        <v/>
      </c>
      <c r="O1124" s="30">
        <f>IF(COUNTIFS($C:$C,$C1124,$D:$D,"P0(전)",$L:$L,"&gt;0")&lt;&gt;1,"",SUMIFS($L:$L,$C:$C,$C1124,$D:$D,"P0(전)"))</f>
        <v/>
      </c>
      <c r="P1124" s="45">
        <f>IF(COUNTIFS($C:$C,$C1124,$D:$D,"P0(후)",$L:$L,"&gt;0")&lt;&gt;1,"",SUMIFS($H:$H,$C:$C,$C1124,$D:$D,"P0(후)"))</f>
        <v/>
      </c>
      <c r="Q1124" s="30">
        <f>IF(COUNTIFS($C:$C,$C1124,$D:$D,"P0(후)",$L:$L,"&gt;0")&lt;&gt;1,"",SUMIFS($L:$L,$C:$C,$C1124,$D:$D,"P0(후)"))</f>
        <v/>
      </c>
      <c r="R1124" s="30">
        <f>IF(M1124&lt;&gt;"OK","",O1124+(Q1124-O1124)*(H1124-N1124)/(P1124-N1124))</f>
        <v/>
      </c>
      <c r="S1124" s="30">
        <f>IF(OR(M1124&lt;&gt;"OK",NOT(ISNUMBER(L1124))),"",L1124-R1124)</f>
        <v/>
      </c>
      <c r="T1124" s="46">
        <f>IF(OR(NOT(ISNUMBER(S1124)),IF(ISNUMBER(G1124),G1124,F1124)=0),"",S1124/IF(ISNUMBER(G1124),G1124,F1124))</f>
        <v/>
      </c>
      <c r="U1124" s="46">
        <f>IF(ISNUMBER(T1124),ABS(T1124),"")</f>
        <v/>
      </c>
      <c r="V1124" s="46">
        <f>IF(OR($D1123&lt;&gt;"측정",$C1123&lt;&gt;$C1124,NOT(ISNUMBER(L1124)),NOT(ISNUMBER(L1123)),(IF(ISNUMBER(G1124),G1124,F1124)-IF(ISNUMBER(G1123),G1123,F1123))=0),"",(L1124-L1123)/(IF(ISNUMBER(G1124),G1124,F1124)-IF(ISNUMBER(G1123),G1123,F1123)))</f>
        <v/>
      </c>
      <c r="W1124" s="30">
        <f>IF(NOT(AND(ISNUMBER(N1124),ISNUMBER(P1124))),"",(P1124-N1124)*1440)</f>
        <v/>
      </c>
      <c r="X1124" s="28" t="n"/>
      <c r="Y1124" s="28" t="n"/>
      <c r="Z1124" s="28" t="n"/>
      <c r="AA1124" s="31" t="n"/>
      <c r="AB1124" s="31" t="n"/>
    </row>
    <row r="1125">
      <c r="A1125" s="25" t="inlineStr">
        <is>
          <t>S22</t>
        </is>
      </c>
      <c r="B1125" s="25" t="inlineStr">
        <is>
          <t>완도 신규점</t>
        </is>
      </c>
      <c r="C1125" s="25" t="inlineStr">
        <is>
          <t>S22-H남</t>
        </is>
      </c>
      <c r="D1125" s="25" t="inlineStr">
        <is>
          <t>측정</t>
        </is>
      </c>
      <c r="E1125" s="25" t="inlineStr">
        <is>
          <t>남</t>
        </is>
      </c>
      <c r="F1125" s="30" t="n">
        <v>1</v>
      </c>
      <c r="G1125" s="29" t="n"/>
      <c r="H1125" s="42" t="n"/>
      <c r="I1125" s="40" t="n"/>
      <c r="J1125" s="40" t="n"/>
      <c r="K1125" s="40" t="n"/>
      <c r="L1125" s="30">
        <f>IF(COUNT(I1125:K1125)=0,"",MEDIAN(I1125:K1125))</f>
        <v/>
      </c>
      <c r="M1125" s="25">
        <f>IF(COUNTIFS($C:$C,$C1125,$D:$D,"P0(전)",$L:$L,"&gt;0")&lt;&gt;1,"P0(전) 유효 1개 아님",IF(COUNTIFS($C:$C,$C1125,$D:$D,"P0(후)",$L:$L,"&gt;0")&lt;&gt;1,"P0(후) 유효 1개 아님",IF(NOT(AND(ISNUMBER(N1125),ISNUMBER(P1125),ISNUMBER(H1125))),"시각 결측",IF(P1125&lt;=N1125,"P0 시각 역전",IF(OR(H1125&lt;N1125,H1125&gt;P1125),"측정시각 구간 밖","OK")))))</f>
        <v/>
      </c>
      <c r="N1125" s="45">
        <f>IF(COUNTIFS($C:$C,$C1125,$D:$D,"P0(전)",$L:$L,"&gt;0")&lt;&gt;1,"",SUMIFS($H:$H,$C:$C,$C1125,$D:$D,"P0(전)"))</f>
        <v/>
      </c>
      <c r="O1125" s="30">
        <f>IF(COUNTIFS($C:$C,$C1125,$D:$D,"P0(전)",$L:$L,"&gt;0")&lt;&gt;1,"",SUMIFS($L:$L,$C:$C,$C1125,$D:$D,"P0(전)"))</f>
        <v/>
      </c>
      <c r="P1125" s="45">
        <f>IF(COUNTIFS($C:$C,$C1125,$D:$D,"P0(후)",$L:$L,"&gt;0")&lt;&gt;1,"",SUMIFS($H:$H,$C:$C,$C1125,$D:$D,"P0(후)"))</f>
        <v/>
      </c>
      <c r="Q1125" s="30">
        <f>IF(COUNTIFS($C:$C,$C1125,$D:$D,"P0(후)",$L:$L,"&gt;0")&lt;&gt;1,"",SUMIFS($L:$L,$C:$C,$C1125,$D:$D,"P0(후)"))</f>
        <v/>
      </c>
      <c r="R1125" s="30">
        <f>IF(M1125&lt;&gt;"OK","",O1125+(Q1125-O1125)*(H1125-N1125)/(P1125-N1125))</f>
        <v/>
      </c>
      <c r="S1125" s="30">
        <f>IF(OR(M1125&lt;&gt;"OK",NOT(ISNUMBER(L1125))),"",L1125-R1125)</f>
        <v/>
      </c>
      <c r="T1125" s="46">
        <f>IF(OR(NOT(ISNUMBER(S1125)),IF(ISNUMBER(G1125),G1125,F1125)=0),"",S1125/IF(ISNUMBER(G1125),G1125,F1125))</f>
        <v/>
      </c>
      <c r="U1125" s="46">
        <f>IF(ISNUMBER(T1125),ABS(T1125),"")</f>
        <v/>
      </c>
      <c r="V1125" s="46">
        <f>IF(OR($D1124&lt;&gt;"측정",$C1124&lt;&gt;$C1125,NOT(ISNUMBER(L1125)),NOT(ISNUMBER(L1124)),(IF(ISNUMBER(G1125),G1125,F1125)-IF(ISNUMBER(G1124),G1124,F1124))=0),"",(L1125-L1124)/(IF(ISNUMBER(G1125),G1125,F1125)-IF(ISNUMBER(G1124),G1124,F1124)))</f>
        <v/>
      </c>
      <c r="W1125" s="30">
        <f>IF(NOT(AND(ISNUMBER(N1125),ISNUMBER(P1125))),"",(P1125-N1125)*1440)</f>
        <v/>
      </c>
      <c r="X1125" s="28" t="n"/>
      <c r="Y1125" s="28" t="n"/>
      <c r="Z1125" s="28" t="n"/>
      <c r="AA1125" s="31" t="n"/>
      <c r="AB1125" s="31" t="n"/>
    </row>
    <row r="1126">
      <c r="A1126" s="25" t="inlineStr">
        <is>
          <t>S22</t>
        </is>
      </c>
      <c r="B1126" s="25" t="inlineStr">
        <is>
          <t>완도 신규점</t>
        </is>
      </c>
      <c r="C1126" s="25" t="inlineStr">
        <is>
          <t>S22-H남</t>
        </is>
      </c>
      <c r="D1126" s="25" t="inlineStr">
        <is>
          <t>측정</t>
        </is>
      </c>
      <c r="E1126" s="25" t="inlineStr">
        <is>
          <t>남</t>
        </is>
      </c>
      <c r="F1126" s="30" t="n">
        <v>2</v>
      </c>
      <c r="G1126" s="29" t="n"/>
      <c r="H1126" s="42" t="n"/>
      <c r="I1126" s="40" t="n"/>
      <c r="J1126" s="40" t="n"/>
      <c r="K1126" s="40" t="n"/>
      <c r="L1126" s="30">
        <f>IF(COUNT(I1126:K1126)=0,"",MEDIAN(I1126:K1126))</f>
        <v/>
      </c>
      <c r="M1126" s="25">
        <f>IF(COUNTIFS($C:$C,$C1126,$D:$D,"P0(전)",$L:$L,"&gt;0")&lt;&gt;1,"P0(전) 유효 1개 아님",IF(COUNTIFS($C:$C,$C1126,$D:$D,"P0(후)",$L:$L,"&gt;0")&lt;&gt;1,"P0(후) 유효 1개 아님",IF(NOT(AND(ISNUMBER(N1126),ISNUMBER(P1126),ISNUMBER(H1126))),"시각 결측",IF(P1126&lt;=N1126,"P0 시각 역전",IF(OR(H1126&lt;N1126,H1126&gt;P1126),"측정시각 구간 밖","OK")))))</f>
        <v/>
      </c>
      <c r="N1126" s="45">
        <f>IF(COUNTIFS($C:$C,$C1126,$D:$D,"P0(전)",$L:$L,"&gt;0")&lt;&gt;1,"",SUMIFS($H:$H,$C:$C,$C1126,$D:$D,"P0(전)"))</f>
        <v/>
      </c>
      <c r="O1126" s="30">
        <f>IF(COUNTIFS($C:$C,$C1126,$D:$D,"P0(전)",$L:$L,"&gt;0")&lt;&gt;1,"",SUMIFS($L:$L,$C:$C,$C1126,$D:$D,"P0(전)"))</f>
        <v/>
      </c>
      <c r="P1126" s="45">
        <f>IF(COUNTIFS($C:$C,$C1126,$D:$D,"P0(후)",$L:$L,"&gt;0")&lt;&gt;1,"",SUMIFS($H:$H,$C:$C,$C1126,$D:$D,"P0(후)"))</f>
        <v/>
      </c>
      <c r="Q1126" s="30">
        <f>IF(COUNTIFS($C:$C,$C1126,$D:$D,"P0(후)",$L:$L,"&gt;0")&lt;&gt;1,"",SUMIFS($L:$L,$C:$C,$C1126,$D:$D,"P0(후)"))</f>
        <v/>
      </c>
      <c r="R1126" s="30">
        <f>IF(M1126&lt;&gt;"OK","",O1126+(Q1126-O1126)*(H1126-N1126)/(P1126-N1126))</f>
        <v/>
      </c>
      <c r="S1126" s="30">
        <f>IF(OR(M1126&lt;&gt;"OK",NOT(ISNUMBER(L1126))),"",L1126-R1126)</f>
        <v/>
      </c>
      <c r="T1126" s="46">
        <f>IF(OR(NOT(ISNUMBER(S1126)),IF(ISNUMBER(G1126),G1126,F1126)=0),"",S1126/IF(ISNUMBER(G1126),G1126,F1126))</f>
        <v/>
      </c>
      <c r="U1126" s="46">
        <f>IF(ISNUMBER(T1126),ABS(T1126),"")</f>
        <v/>
      </c>
      <c r="V1126" s="46">
        <f>IF(OR($D1125&lt;&gt;"측정",$C1125&lt;&gt;$C1126,NOT(ISNUMBER(L1126)),NOT(ISNUMBER(L1125)),(IF(ISNUMBER(G1126),G1126,F1126)-IF(ISNUMBER(G1125),G1125,F1125))=0),"",(L1126-L1125)/(IF(ISNUMBER(G1126),G1126,F1126)-IF(ISNUMBER(G1125),G1125,F1125)))</f>
        <v/>
      </c>
      <c r="W1126" s="30">
        <f>IF(NOT(AND(ISNUMBER(N1126),ISNUMBER(P1126))),"",(P1126-N1126)*1440)</f>
        <v/>
      </c>
      <c r="X1126" s="28" t="n"/>
      <c r="Y1126" s="28" t="n"/>
      <c r="Z1126" s="28" t="n"/>
      <c r="AA1126" s="31" t="n"/>
      <c r="AB1126" s="31" t="n"/>
    </row>
    <row r="1127">
      <c r="A1127" s="25" t="inlineStr">
        <is>
          <t>S22</t>
        </is>
      </c>
      <c r="B1127" s="25" t="inlineStr">
        <is>
          <t>완도 신규점</t>
        </is>
      </c>
      <c r="C1127" s="25" t="inlineStr">
        <is>
          <t>S22-H남</t>
        </is>
      </c>
      <c r="D1127" s="25" t="inlineStr">
        <is>
          <t>측정</t>
        </is>
      </c>
      <c r="E1127" s="25" t="inlineStr">
        <is>
          <t>남</t>
        </is>
      </c>
      <c r="F1127" s="30" t="n">
        <v>3</v>
      </c>
      <c r="G1127" s="29" t="n"/>
      <c r="H1127" s="42" t="n"/>
      <c r="I1127" s="40" t="n"/>
      <c r="J1127" s="40" t="n"/>
      <c r="K1127" s="40" t="n"/>
      <c r="L1127" s="30">
        <f>IF(COUNT(I1127:K1127)=0,"",MEDIAN(I1127:K1127))</f>
        <v/>
      </c>
      <c r="M1127" s="25">
        <f>IF(COUNTIFS($C:$C,$C1127,$D:$D,"P0(전)",$L:$L,"&gt;0")&lt;&gt;1,"P0(전) 유효 1개 아님",IF(COUNTIFS($C:$C,$C1127,$D:$D,"P0(후)",$L:$L,"&gt;0")&lt;&gt;1,"P0(후) 유효 1개 아님",IF(NOT(AND(ISNUMBER(N1127),ISNUMBER(P1127),ISNUMBER(H1127))),"시각 결측",IF(P1127&lt;=N1127,"P0 시각 역전",IF(OR(H1127&lt;N1127,H1127&gt;P1127),"측정시각 구간 밖","OK")))))</f>
        <v/>
      </c>
      <c r="N1127" s="45">
        <f>IF(COUNTIFS($C:$C,$C1127,$D:$D,"P0(전)",$L:$L,"&gt;0")&lt;&gt;1,"",SUMIFS($H:$H,$C:$C,$C1127,$D:$D,"P0(전)"))</f>
        <v/>
      </c>
      <c r="O1127" s="30">
        <f>IF(COUNTIFS($C:$C,$C1127,$D:$D,"P0(전)",$L:$L,"&gt;0")&lt;&gt;1,"",SUMIFS($L:$L,$C:$C,$C1127,$D:$D,"P0(전)"))</f>
        <v/>
      </c>
      <c r="P1127" s="45">
        <f>IF(COUNTIFS($C:$C,$C1127,$D:$D,"P0(후)",$L:$L,"&gt;0")&lt;&gt;1,"",SUMIFS($H:$H,$C:$C,$C1127,$D:$D,"P0(후)"))</f>
        <v/>
      </c>
      <c r="Q1127" s="30">
        <f>IF(COUNTIFS($C:$C,$C1127,$D:$D,"P0(후)",$L:$L,"&gt;0")&lt;&gt;1,"",SUMIFS($L:$L,$C:$C,$C1127,$D:$D,"P0(후)"))</f>
        <v/>
      </c>
      <c r="R1127" s="30">
        <f>IF(M1127&lt;&gt;"OK","",O1127+(Q1127-O1127)*(H1127-N1127)/(P1127-N1127))</f>
        <v/>
      </c>
      <c r="S1127" s="30">
        <f>IF(OR(M1127&lt;&gt;"OK",NOT(ISNUMBER(L1127))),"",L1127-R1127)</f>
        <v/>
      </c>
      <c r="T1127" s="46">
        <f>IF(OR(NOT(ISNUMBER(S1127)),IF(ISNUMBER(G1127),G1127,F1127)=0),"",S1127/IF(ISNUMBER(G1127),G1127,F1127))</f>
        <v/>
      </c>
      <c r="U1127" s="46">
        <f>IF(ISNUMBER(T1127),ABS(T1127),"")</f>
        <v/>
      </c>
      <c r="V1127" s="46">
        <f>IF(OR($D1126&lt;&gt;"측정",$C1126&lt;&gt;$C1127,NOT(ISNUMBER(L1127)),NOT(ISNUMBER(L1126)),(IF(ISNUMBER(G1127),G1127,F1127)-IF(ISNUMBER(G1126),G1126,F1126))=0),"",(L1127-L1126)/(IF(ISNUMBER(G1127),G1127,F1127)-IF(ISNUMBER(G1126),G1126,F1126)))</f>
        <v/>
      </c>
      <c r="W1127" s="30">
        <f>IF(NOT(AND(ISNUMBER(N1127),ISNUMBER(P1127))),"",(P1127-N1127)*1440)</f>
        <v/>
      </c>
      <c r="X1127" s="28" t="n"/>
      <c r="Y1127" s="28" t="n"/>
      <c r="Z1127" s="28" t="n"/>
      <c r="AA1127" s="31" t="n"/>
      <c r="AB1127" s="31" t="n"/>
    </row>
    <row r="1128">
      <c r="A1128" s="25" t="inlineStr">
        <is>
          <t>S22</t>
        </is>
      </c>
      <c r="B1128" s="25" t="inlineStr">
        <is>
          <t>완도 신규점</t>
        </is>
      </c>
      <c r="C1128" s="25" t="inlineStr">
        <is>
          <t>S22-H남</t>
        </is>
      </c>
      <c r="D1128" s="25" t="inlineStr">
        <is>
          <t>측정</t>
        </is>
      </c>
      <c r="E1128" s="25" t="inlineStr">
        <is>
          <t>남</t>
        </is>
      </c>
      <c r="F1128" s="30" t="n">
        <v>4</v>
      </c>
      <c r="G1128" s="29" t="n"/>
      <c r="H1128" s="42" t="n"/>
      <c r="I1128" s="40" t="n"/>
      <c r="J1128" s="40" t="n"/>
      <c r="K1128" s="40" t="n"/>
      <c r="L1128" s="30">
        <f>IF(COUNT(I1128:K1128)=0,"",MEDIAN(I1128:K1128))</f>
        <v/>
      </c>
      <c r="M1128" s="25">
        <f>IF(COUNTIFS($C:$C,$C1128,$D:$D,"P0(전)",$L:$L,"&gt;0")&lt;&gt;1,"P0(전) 유효 1개 아님",IF(COUNTIFS($C:$C,$C1128,$D:$D,"P0(후)",$L:$L,"&gt;0")&lt;&gt;1,"P0(후) 유효 1개 아님",IF(NOT(AND(ISNUMBER(N1128),ISNUMBER(P1128),ISNUMBER(H1128))),"시각 결측",IF(P1128&lt;=N1128,"P0 시각 역전",IF(OR(H1128&lt;N1128,H1128&gt;P1128),"측정시각 구간 밖","OK")))))</f>
        <v/>
      </c>
      <c r="N1128" s="45">
        <f>IF(COUNTIFS($C:$C,$C1128,$D:$D,"P0(전)",$L:$L,"&gt;0")&lt;&gt;1,"",SUMIFS($H:$H,$C:$C,$C1128,$D:$D,"P0(전)"))</f>
        <v/>
      </c>
      <c r="O1128" s="30">
        <f>IF(COUNTIFS($C:$C,$C1128,$D:$D,"P0(전)",$L:$L,"&gt;0")&lt;&gt;1,"",SUMIFS($L:$L,$C:$C,$C1128,$D:$D,"P0(전)"))</f>
        <v/>
      </c>
      <c r="P1128" s="45">
        <f>IF(COUNTIFS($C:$C,$C1128,$D:$D,"P0(후)",$L:$L,"&gt;0")&lt;&gt;1,"",SUMIFS($H:$H,$C:$C,$C1128,$D:$D,"P0(후)"))</f>
        <v/>
      </c>
      <c r="Q1128" s="30">
        <f>IF(COUNTIFS($C:$C,$C1128,$D:$D,"P0(후)",$L:$L,"&gt;0")&lt;&gt;1,"",SUMIFS($L:$L,$C:$C,$C1128,$D:$D,"P0(후)"))</f>
        <v/>
      </c>
      <c r="R1128" s="30">
        <f>IF(M1128&lt;&gt;"OK","",O1128+(Q1128-O1128)*(H1128-N1128)/(P1128-N1128))</f>
        <v/>
      </c>
      <c r="S1128" s="30">
        <f>IF(OR(M1128&lt;&gt;"OK",NOT(ISNUMBER(L1128))),"",L1128-R1128)</f>
        <v/>
      </c>
      <c r="T1128" s="46">
        <f>IF(OR(NOT(ISNUMBER(S1128)),IF(ISNUMBER(G1128),G1128,F1128)=0),"",S1128/IF(ISNUMBER(G1128),G1128,F1128))</f>
        <v/>
      </c>
      <c r="U1128" s="46">
        <f>IF(ISNUMBER(T1128),ABS(T1128),"")</f>
        <v/>
      </c>
      <c r="V1128" s="46">
        <f>IF(OR($D1127&lt;&gt;"측정",$C1127&lt;&gt;$C1128,NOT(ISNUMBER(L1128)),NOT(ISNUMBER(L1127)),(IF(ISNUMBER(G1128),G1128,F1128)-IF(ISNUMBER(G1127),G1127,F1127))=0),"",(L1128-L1127)/(IF(ISNUMBER(G1128),G1128,F1128)-IF(ISNUMBER(G1127),G1127,F1127)))</f>
        <v/>
      </c>
      <c r="W1128" s="30">
        <f>IF(NOT(AND(ISNUMBER(N1128),ISNUMBER(P1128))),"",(P1128-N1128)*1440)</f>
        <v/>
      </c>
      <c r="X1128" s="28" t="n"/>
      <c r="Y1128" s="28" t="n"/>
      <c r="Z1128" s="28" t="n"/>
      <c r="AA1128" s="31" t="n"/>
      <c r="AB1128" s="31" t="n"/>
    </row>
    <row r="1129">
      <c r="A1129" s="25" t="inlineStr">
        <is>
          <t>S22</t>
        </is>
      </c>
      <c r="B1129" s="25" t="inlineStr">
        <is>
          <t>완도 신규점</t>
        </is>
      </c>
      <c r="C1129" s="25" t="inlineStr">
        <is>
          <t>S22-H남</t>
        </is>
      </c>
      <c r="D1129" s="25" t="inlineStr">
        <is>
          <t>측정</t>
        </is>
      </c>
      <c r="E1129" s="25" t="inlineStr">
        <is>
          <t>남</t>
        </is>
      </c>
      <c r="F1129" s="30" t="n">
        <v>5</v>
      </c>
      <c r="G1129" s="29" t="n"/>
      <c r="H1129" s="42" t="n"/>
      <c r="I1129" s="40" t="n"/>
      <c r="J1129" s="40" t="n"/>
      <c r="K1129" s="40" t="n"/>
      <c r="L1129" s="30">
        <f>IF(COUNT(I1129:K1129)=0,"",MEDIAN(I1129:K1129))</f>
        <v/>
      </c>
      <c r="M1129" s="25">
        <f>IF(COUNTIFS($C:$C,$C1129,$D:$D,"P0(전)",$L:$L,"&gt;0")&lt;&gt;1,"P0(전) 유효 1개 아님",IF(COUNTIFS($C:$C,$C1129,$D:$D,"P0(후)",$L:$L,"&gt;0")&lt;&gt;1,"P0(후) 유효 1개 아님",IF(NOT(AND(ISNUMBER(N1129),ISNUMBER(P1129),ISNUMBER(H1129))),"시각 결측",IF(P1129&lt;=N1129,"P0 시각 역전",IF(OR(H1129&lt;N1129,H1129&gt;P1129),"측정시각 구간 밖","OK")))))</f>
        <v/>
      </c>
      <c r="N1129" s="45">
        <f>IF(COUNTIFS($C:$C,$C1129,$D:$D,"P0(전)",$L:$L,"&gt;0")&lt;&gt;1,"",SUMIFS($H:$H,$C:$C,$C1129,$D:$D,"P0(전)"))</f>
        <v/>
      </c>
      <c r="O1129" s="30">
        <f>IF(COUNTIFS($C:$C,$C1129,$D:$D,"P0(전)",$L:$L,"&gt;0")&lt;&gt;1,"",SUMIFS($L:$L,$C:$C,$C1129,$D:$D,"P0(전)"))</f>
        <v/>
      </c>
      <c r="P1129" s="45">
        <f>IF(COUNTIFS($C:$C,$C1129,$D:$D,"P0(후)",$L:$L,"&gt;0")&lt;&gt;1,"",SUMIFS($H:$H,$C:$C,$C1129,$D:$D,"P0(후)"))</f>
        <v/>
      </c>
      <c r="Q1129" s="30">
        <f>IF(COUNTIFS($C:$C,$C1129,$D:$D,"P0(후)",$L:$L,"&gt;0")&lt;&gt;1,"",SUMIFS($L:$L,$C:$C,$C1129,$D:$D,"P0(후)"))</f>
        <v/>
      </c>
      <c r="R1129" s="30">
        <f>IF(M1129&lt;&gt;"OK","",O1129+(Q1129-O1129)*(H1129-N1129)/(P1129-N1129))</f>
        <v/>
      </c>
      <c r="S1129" s="30">
        <f>IF(OR(M1129&lt;&gt;"OK",NOT(ISNUMBER(L1129))),"",L1129-R1129)</f>
        <v/>
      </c>
      <c r="T1129" s="46">
        <f>IF(OR(NOT(ISNUMBER(S1129)),IF(ISNUMBER(G1129),G1129,F1129)=0),"",S1129/IF(ISNUMBER(G1129),G1129,F1129))</f>
        <v/>
      </c>
      <c r="U1129" s="46">
        <f>IF(ISNUMBER(T1129),ABS(T1129),"")</f>
        <v/>
      </c>
      <c r="V1129" s="46">
        <f>IF(OR($D1128&lt;&gt;"측정",$C1128&lt;&gt;$C1129,NOT(ISNUMBER(L1129)),NOT(ISNUMBER(L1128)),(IF(ISNUMBER(G1129),G1129,F1129)-IF(ISNUMBER(G1128),G1128,F1128))=0),"",(L1129-L1128)/(IF(ISNUMBER(G1129),G1129,F1129)-IF(ISNUMBER(G1128),G1128,F1128)))</f>
        <v/>
      </c>
      <c r="W1129" s="30">
        <f>IF(NOT(AND(ISNUMBER(N1129),ISNUMBER(P1129))),"",(P1129-N1129)*1440)</f>
        <v/>
      </c>
      <c r="X1129" s="28" t="n"/>
      <c r="Y1129" s="28" t="n"/>
      <c r="Z1129" s="28" t="n"/>
      <c r="AA1129" s="31" t="n"/>
      <c r="AB1129" s="31" t="n"/>
    </row>
    <row r="1130">
      <c r="A1130" s="25" t="inlineStr">
        <is>
          <t>S22</t>
        </is>
      </c>
      <c r="B1130" s="25" t="inlineStr">
        <is>
          <t>완도 신규점</t>
        </is>
      </c>
      <c r="C1130" s="25" t="inlineStr">
        <is>
          <t>S22-H남</t>
        </is>
      </c>
      <c r="D1130" s="25" t="inlineStr">
        <is>
          <t>측정</t>
        </is>
      </c>
      <c r="E1130" s="25" t="inlineStr">
        <is>
          <t>남</t>
        </is>
      </c>
      <c r="F1130" s="30" t="n">
        <v>6</v>
      </c>
      <c r="G1130" s="29" t="n"/>
      <c r="H1130" s="42" t="n"/>
      <c r="I1130" s="40" t="n"/>
      <c r="J1130" s="40" t="n"/>
      <c r="K1130" s="40" t="n"/>
      <c r="L1130" s="30">
        <f>IF(COUNT(I1130:K1130)=0,"",MEDIAN(I1130:K1130))</f>
        <v/>
      </c>
      <c r="M1130" s="25">
        <f>IF(COUNTIFS($C:$C,$C1130,$D:$D,"P0(전)",$L:$L,"&gt;0")&lt;&gt;1,"P0(전) 유효 1개 아님",IF(COUNTIFS($C:$C,$C1130,$D:$D,"P0(후)",$L:$L,"&gt;0")&lt;&gt;1,"P0(후) 유효 1개 아님",IF(NOT(AND(ISNUMBER(N1130),ISNUMBER(P1130),ISNUMBER(H1130))),"시각 결측",IF(P1130&lt;=N1130,"P0 시각 역전",IF(OR(H1130&lt;N1130,H1130&gt;P1130),"측정시각 구간 밖","OK")))))</f>
        <v/>
      </c>
      <c r="N1130" s="45">
        <f>IF(COUNTIFS($C:$C,$C1130,$D:$D,"P0(전)",$L:$L,"&gt;0")&lt;&gt;1,"",SUMIFS($H:$H,$C:$C,$C1130,$D:$D,"P0(전)"))</f>
        <v/>
      </c>
      <c r="O1130" s="30">
        <f>IF(COUNTIFS($C:$C,$C1130,$D:$D,"P0(전)",$L:$L,"&gt;0")&lt;&gt;1,"",SUMIFS($L:$L,$C:$C,$C1130,$D:$D,"P0(전)"))</f>
        <v/>
      </c>
      <c r="P1130" s="45">
        <f>IF(COUNTIFS($C:$C,$C1130,$D:$D,"P0(후)",$L:$L,"&gt;0")&lt;&gt;1,"",SUMIFS($H:$H,$C:$C,$C1130,$D:$D,"P0(후)"))</f>
        <v/>
      </c>
      <c r="Q1130" s="30">
        <f>IF(COUNTIFS($C:$C,$C1130,$D:$D,"P0(후)",$L:$L,"&gt;0")&lt;&gt;1,"",SUMIFS($L:$L,$C:$C,$C1130,$D:$D,"P0(후)"))</f>
        <v/>
      </c>
      <c r="R1130" s="30">
        <f>IF(M1130&lt;&gt;"OK","",O1130+(Q1130-O1130)*(H1130-N1130)/(P1130-N1130))</f>
        <v/>
      </c>
      <c r="S1130" s="30">
        <f>IF(OR(M1130&lt;&gt;"OK",NOT(ISNUMBER(L1130))),"",L1130-R1130)</f>
        <v/>
      </c>
      <c r="T1130" s="46">
        <f>IF(OR(NOT(ISNUMBER(S1130)),IF(ISNUMBER(G1130),G1130,F1130)=0),"",S1130/IF(ISNUMBER(G1130),G1130,F1130))</f>
        <v/>
      </c>
      <c r="U1130" s="46">
        <f>IF(ISNUMBER(T1130),ABS(T1130),"")</f>
        <v/>
      </c>
      <c r="V1130" s="46">
        <f>IF(OR($D1129&lt;&gt;"측정",$C1129&lt;&gt;$C1130,NOT(ISNUMBER(L1130)),NOT(ISNUMBER(L1129)),(IF(ISNUMBER(G1130),G1130,F1130)-IF(ISNUMBER(G1129),G1129,F1129))=0),"",(L1130-L1129)/(IF(ISNUMBER(G1130),G1130,F1130)-IF(ISNUMBER(G1129),G1129,F1129)))</f>
        <v/>
      </c>
      <c r="W1130" s="30">
        <f>IF(NOT(AND(ISNUMBER(N1130),ISNUMBER(P1130))),"",(P1130-N1130)*1440)</f>
        <v/>
      </c>
      <c r="X1130" s="28" t="n"/>
      <c r="Y1130" s="28" t="n"/>
      <c r="Z1130" s="28" t="n"/>
      <c r="AA1130" s="31" t="n"/>
      <c r="AB1130" s="31" t="n"/>
    </row>
    <row r="1131">
      <c r="A1131" s="25" t="inlineStr">
        <is>
          <t>S22</t>
        </is>
      </c>
      <c r="B1131" s="25" t="inlineStr">
        <is>
          <t>완도 신규점</t>
        </is>
      </c>
      <c r="C1131" s="25" t="inlineStr">
        <is>
          <t>S22-H남</t>
        </is>
      </c>
      <c r="D1131" s="25" t="inlineStr">
        <is>
          <t>측정</t>
        </is>
      </c>
      <c r="E1131" s="25" t="inlineStr">
        <is>
          <t>남</t>
        </is>
      </c>
      <c r="F1131" s="30" t="n">
        <v>7</v>
      </c>
      <c r="G1131" s="29" t="n"/>
      <c r="H1131" s="42" t="n"/>
      <c r="I1131" s="40" t="n"/>
      <c r="J1131" s="40" t="n"/>
      <c r="K1131" s="40" t="n"/>
      <c r="L1131" s="30">
        <f>IF(COUNT(I1131:K1131)=0,"",MEDIAN(I1131:K1131))</f>
        <v/>
      </c>
      <c r="M1131" s="25">
        <f>IF(COUNTIFS($C:$C,$C1131,$D:$D,"P0(전)",$L:$L,"&gt;0")&lt;&gt;1,"P0(전) 유효 1개 아님",IF(COUNTIFS($C:$C,$C1131,$D:$D,"P0(후)",$L:$L,"&gt;0")&lt;&gt;1,"P0(후) 유효 1개 아님",IF(NOT(AND(ISNUMBER(N1131),ISNUMBER(P1131),ISNUMBER(H1131))),"시각 결측",IF(P1131&lt;=N1131,"P0 시각 역전",IF(OR(H1131&lt;N1131,H1131&gt;P1131),"측정시각 구간 밖","OK")))))</f>
        <v/>
      </c>
      <c r="N1131" s="45">
        <f>IF(COUNTIFS($C:$C,$C1131,$D:$D,"P0(전)",$L:$L,"&gt;0")&lt;&gt;1,"",SUMIFS($H:$H,$C:$C,$C1131,$D:$D,"P0(전)"))</f>
        <v/>
      </c>
      <c r="O1131" s="30">
        <f>IF(COUNTIFS($C:$C,$C1131,$D:$D,"P0(전)",$L:$L,"&gt;0")&lt;&gt;1,"",SUMIFS($L:$L,$C:$C,$C1131,$D:$D,"P0(전)"))</f>
        <v/>
      </c>
      <c r="P1131" s="45">
        <f>IF(COUNTIFS($C:$C,$C1131,$D:$D,"P0(후)",$L:$L,"&gt;0")&lt;&gt;1,"",SUMIFS($H:$H,$C:$C,$C1131,$D:$D,"P0(후)"))</f>
        <v/>
      </c>
      <c r="Q1131" s="30">
        <f>IF(COUNTIFS($C:$C,$C1131,$D:$D,"P0(후)",$L:$L,"&gt;0")&lt;&gt;1,"",SUMIFS($L:$L,$C:$C,$C1131,$D:$D,"P0(후)"))</f>
        <v/>
      </c>
      <c r="R1131" s="30">
        <f>IF(M1131&lt;&gt;"OK","",O1131+(Q1131-O1131)*(H1131-N1131)/(P1131-N1131))</f>
        <v/>
      </c>
      <c r="S1131" s="30">
        <f>IF(OR(M1131&lt;&gt;"OK",NOT(ISNUMBER(L1131))),"",L1131-R1131)</f>
        <v/>
      </c>
      <c r="T1131" s="46">
        <f>IF(OR(NOT(ISNUMBER(S1131)),IF(ISNUMBER(G1131),G1131,F1131)=0),"",S1131/IF(ISNUMBER(G1131),G1131,F1131))</f>
        <v/>
      </c>
      <c r="U1131" s="46">
        <f>IF(ISNUMBER(T1131),ABS(T1131),"")</f>
        <v/>
      </c>
      <c r="V1131" s="46">
        <f>IF(OR($D1130&lt;&gt;"측정",$C1130&lt;&gt;$C1131,NOT(ISNUMBER(L1131)),NOT(ISNUMBER(L1130)),(IF(ISNUMBER(G1131),G1131,F1131)-IF(ISNUMBER(G1130),G1130,F1130))=0),"",(L1131-L1130)/(IF(ISNUMBER(G1131),G1131,F1131)-IF(ISNUMBER(G1130),G1130,F1130)))</f>
        <v/>
      </c>
      <c r="W1131" s="30">
        <f>IF(NOT(AND(ISNUMBER(N1131),ISNUMBER(P1131))),"",(P1131-N1131)*1440)</f>
        <v/>
      </c>
      <c r="X1131" s="28" t="n"/>
      <c r="Y1131" s="28" t="n"/>
      <c r="Z1131" s="28" t="n"/>
      <c r="AA1131" s="31" t="n"/>
      <c r="AB1131" s="31" t="n"/>
    </row>
    <row r="1132">
      <c r="A1132" s="25" t="inlineStr">
        <is>
          <t>S22</t>
        </is>
      </c>
      <c r="B1132" s="25" t="inlineStr">
        <is>
          <t>완도 신규점</t>
        </is>
      </c>
      <c r="C1132" s="25" t="inlineStr">
        <is>
          <t>S22-H남</t>
        </is>
      </c>
      <c r="D1132" s="25" t="inlineStr">
        <is>
          <t>측정</t>
        </is>
      </c>
      <c r="E1132" s="25" t="inlineStr">
        <is>
          <t>남</t>
        </is>
      </c>
      <c r="F1132" s="30" t="n">
        <v>8</v>
      </c>
      <c r="G1132" s="29" t="n"/>
      <c r="H1132" s="42" t="n"/>
      <c r="I1132" s="40" t="n"/>
      <c r="J1132" s="40" t="n"/>
      <c r="K1132" s="40" t="n"/>
      <c r="L1132" s="30">
        <f>IF(COUNT(I1132:K1132)=0,"",MEDIAN(I1132:K1132))</f>
        <v/>
      </c>
      <c r="M1132" s="25">
        <f>IF(COUNTIFS($C:$C,$C1132,$D:$D,"P0(전)",$L:$L,"&gt;0")&lt;&gt;1,"P0(전) 유효 1개 아님",IF(COUNTIFS($C:$C,$C1132,$D:$D,"P0(후)",$L:$L,"&gt;0")&lt;&gt;1,"P0(후) 유효 1개 아님",IF(NOT(AND(ISNUMBER(N1132),ISNUMBER(P1132),ISNUMBER(H1132))),"시각 결측",IF(P1132&lt;=N1132,"P0 시각 역전",IF(OR(H1132&lt;N1132,H1132&gt;P1132),"측정시각 구간 밖","OK")))))</f>
        <v/>
      </c>
      <c r="N1132" s="45">
        <f>IF(COUNTIFS($C:$C,$C1132,$D:$D,"P0(전)",$L:$L,"&gt;0")&lt;&gt;1,"",SUMIFS($H:$H,$C:$C,$C1132,$D:$D,"P0(전)"))</f>
        <v/>
      </c>
      <c r="O1132" s="30">
        <f>IF(COUNTIFS($C:$C,$C1132,$D:$D,"P0(전)",$L:$L,"&gt;0")&lt;&gt;1,"",SUMIFS($L:$L,$C:$C,$C1132,$D:$D,"P0(전)"))</f>
        <v/>
      </c>
      <c r="P1132" s="45">
        <f>IF(COUNTIFS($C:$C,$C1132,$D:$D,"P0(후)",$L:$L,"&gt;0")&lt;&gt;1,"",SUMIFS($H:$H,$C:$C,$C1132,$D:$D,"P0(후)"))</f>
        <v/>
      </c>
      <c r="Q1132" s="30">
        <f>IF(COUNTIFS($C:$C,$C1132,$D:$D,"P0(후)",$L:$L,"&gt;0")&lt;&gt;1,"",SUMIFS($L:$L,$C:$C,$C1132,$D:$D,"P0(후)"))</f>
        <v/>
      </c>
      <c r="R1132" s="30">
        <f>IF(M1132&lt;&gt;"OK","",O1132+(Q1132-O1132)*(H1132-N1132)/(P1132-N1132))</f>
        <v/>
      </c>
      <c r="S1132" s="30">
        <f>IF(OR(M1132&lt;&gt;"OK",NOT(ISNUMBER(L1132))),"",L1132-R1132)</f>
        <v/>
      </c>
      <c r="T1132" s="46">
        <f>IF(OR(NOT(ISNUMBER(S1132)),IF(ISNUMBER(G1132),G1132,F1132)=0),"",S1132/IF(ISNUMBER(G1132),G1132,F1132))</f>
        <v/>
      </c>
      <c r="U1132" s="46">
        <f>IF(ISNUMBER(T1132),ABS(T1132),"")</f>
        <v/>
      </c>
      <c r="V1132" s="46">
        <f>IF(OR($D1131&lt;&gt;"측정",$C1131&lt;&gt;$C1132,NOT(ISNUMBER(L1132)),NOT(ISNUMBER(L1131)),(IF(ISNUMBER(G1132),G1132,F1132)-IF(ISNUMBER(G1131),G1131,F1131))=0),"",(L1132-L1131)/(IF(ISNUMBER(G1132),G1132,F1132)-IF(ISNUMBER(G1131),G1131,F1131)))</f>
        <v/>
      </c>
      <c r="W1132" s="30">
        <f>IF(NOT(AND(ISNUMBER(N1132),ISNUMBER(P1132))),"",(P1132-N1132)*1440)</f>
        <v/>
      </c>
      <c r="X1132" s="28" t="n"/>
      <c r="Y1132" s="28" t="n"/>
      <c r="Z1132" s="28" t="n"/>
      <c r="AA1132" s="31" t="n"/>
      <c r="AB1132" s="31" t="n"/>
    </row>
    <row r="1133">
      <c r="A1133" s="25" t="inlineStr">
        <is>
          <t>S22</t>
        </is>
      </c>
      <c r="B1133" s="25" t="inlineStr">
        <is>
          <t>완도 신규점</t>
        </is>
      </c>
      <c r="C1133" s="25" t="inlineStr">
        <is>
          <t>S22-H남</t>
        </is>
      </c>
      <c r="D1133" s="25" t="inlineStr">
        <is>
          <t>측정</t>
        </is>
      </c>
      <c r="E1133" s="25" t="inlineStr">
        <is>
          <t>남</t>
        </is>
      </c>
      <c r="F1133" s="30" t="n">
        <v>9</v>
      </c>
      <c r="G1133" s="29" t="n"/>
      <c r="H1133" s="42" t="n"/>
      <c r="I1133" s="40" t="n"/>
      <c r="J1133" s="40" t="n"/>
      <c r="K1133" s="40" t="n"/>
      <c r="L1133" s="30">
        <f>IF(COUNT(I1133:K1133)=0,"",MEDIAN(I1133:K1133))</f>
        <v/>
      </c>
      <c r="M1133" s="25">
        <f>IF(COUNTIFS($C:$C,$C1133,$D:$D,"P0(전)",$L:$L,"&gt;0")&lt;&gt;1,"P0(전) 유효 1개 아님",IF(COUNTIFS($C:$C,$C1133,$D:$D,"P0(후)",$L:$L,"&gt;0")&lt;&gt;1,"P0(후) 유효 1개 아님",IF(NOT(AND(ISNUMBER(N1133),ISNUMBER(P1133),ISNUMBER(H1133))),"시각 결측",IF(P1133&lt;=N1133,"P0 시각 역전",IF(OR(H1133&lt;N1133,H1133&gt;P1133),"측정시각 구간 밖","OK")))))</f>
        <v/>
      </c>
      <c r="N1133" s="45">
        <f>IF(COUNTIFS($C:$C,$C1133,$D:$D,"P0(전)",$L:$L,"&gt;0")&lt;&gt;1,"",SUMIFS($H:$H,$C:$C,$C1133,$D:$D,"P0(전)"))</f>
        <v/>
      </c>
      <c r="O1133" s="30">
        <f>IF(COUNTIFS($C:$C,$C1133,$D:$D,"P0(전)",$L:$L,"&gt;0")&lt;&gt;1,"",SUMIFS($L:$L,$C:$C,$C1133,$D:$D,"P0(전)"))</f>
        <v/>
      </c>
      <c r="P1133" s="45">
        <f>IF(COUNTIFS($C:$C,$C1133,$D:$D,"P0(후)",$L:$L,"&gt;0")&lt;&gt;1,"",SUMIFS($H:$H,$C:$C,$C1133,$D:$D,"P0(후)"))</f>
        <v/>
      </c>
      <c r="Q1133" s="30">
        <f>IF(COUNTIFS($C:$C,$C1133,$D:$D,"P0(후)",$L:$L,"&gt;0")&lt;&gt;1,"",SUMIFS($L:$L,$C:$C,$C1133,$D:$D,"P0(후)"))</f>
        <v/>
      </c>
      <c r="R1133" s="30">
        <f>IF(M1133&lt;&gt;"OK","",O1133+(Q1133-O1133)*(H1133-N1133)/(P1133-N1133))</f>
        <v/>
      </c>
      <c r="S1133" s="30">
        <f>IF(OR(M1133&lt;&gt;"OK",NOT(ISNUMBER(L1133))),"",L1133-R1133)</f>
        <v/>
      </c>
      <c r="T1133" s="46">
        <f>IF(OR(NOT(ISNUMBER(S1133)),IF(ISNUMBER(G1133),G1133,F1133)=0),"",S1133/IF(ISNUMBER(G1133),G1133,F1133))</f>
        <v/>
      </c>
      <c r="U1133" s="46">
        <f>IF(ISNUMBER(T1133),ABS(T1133),"")</f>
        <v/>
      </c>
      <c r="V1133" s="46">
        <f>IF(OR($D1132&lt;&gt;"측정",$C1132&lt;&gt;$C1133,NOT(ISNUMBER(L1133)),NOT(ISNUMBER(L1132)),(IF(ISNUMBER(G1133),G1133,F1133)-IF(ISNUMBER(G1132),G1132,F1132))=0),"",(L1133-L1132)/(IF(ISNUMBER(G1133),G1133,F1133)-IF(ISNUMBER(G1132),G1132,F1132)))</f>
        <v/>
      </c>
      <c r="W1133" s="30">
        <f>IF(NOT(AND(ISNUMBER(N1133),ISNUMBER(P1133))),"",(P1133-N1133)*1440)</f>
        <v/>
      </c>
      <c r="X1133" s="28" t="n"/>
      <c r="Y1133" s="28" t="n"/>
      <c r="Z1133" s="28" t="n"/>
      <c r="AA1133" s="31" t="n"/>
      <c r="AB1133" s="31" t="n"/>
    </row>
    <row r="1134">
      <c r="A1134" s="25" t="inlineStr">
        <is>
          <t>S22</t>
        </is>
      </c>
      <c r="B1134" s="25" t="inlineStr">
        <is>
          <t>완도 신규점</t>
        </is>
      </c>
      <c r="C1134" s="25" t="inlineStr">
        <is>
          <t>S22-H남</t>
        </is>
      </c>
      <c r="D1134" s="25" t="inlineStr">
        <is>
          <t>측정</t>
        </is>
      </c>
      <c r="E1134" s="25" t="inlineStr">
        <is>
          <t>남</t>
        </is>
      </c>
      <c r="F1134" s="30" t="n">
        <v>10</v>
      </c>
      <c r="G1134" s="29" t="n"/>
      <c r="H1134" s="42" t="n"/>
      <c r="I1134" s="40" t="n"/>
      <c r="J1134" s="40" t="n"/>
      <c r="K1134" s="40" t="n"/>
      <c r="L1134" s="30">
        <f>IF(COUNT(I1134:K1134)=0,"",MEDIAN(I1134:K1134))</f>
        <v/>
      </c>
      <c r="M1134" s="25">
        <f>IF(COUNTIFS($C:$C,$C1134,$D:$D,"P0(전)",$L:$L,"&gt;0")&lt;&gt;1,"P0(전) 유효 1개 아님",IF(COUNTIFS($C:$C,$C1134,$D:$D,"P0(후)",$L:$L,"&gt;0")&lt;&gt;1,"P0(후) 유효 1개 아님",IF(NOT(AND(ISNUMBER(N1134),ISNUMBER(P1134),ISNUMBER(H1134))),"시각 결측",IF(P1134&lt;=N1134,"P0 시각 역전",IF(OR(H1134&lt;N1134,H1134&gt;P1134),"측정시각 구간 밖","OK")))))</f>
        <v/>
      </c>
      <c r="N1134" s="45">
        <f>IF(COUNTIFS($C:$C,$C1134,$D:$D,"P0(전)",$L:$L,"&gt;0")&lt;&gt;1,"",SUMIFS($H:$H,$C:$C,$C1134,$D:$D,"P0(전)"))</f>
        <v/>
      </c>
      <c r="O1134" s="30">
        <f>IF(COUNTIFS($C:$C,$C1134,$D:$D,"P0(전)",$L:$L,"&gt;0")&lt;&gt;1,"",SUMIFS($L:$L,$C:$C,$C1134,$D:$D,"P0(전)"))</f>
        <v/>
      </c>
      <c r="P1134" s="45">
        <f>IF(COUNTIFS($C:$C,$C1134,$D:$D,"P0(후)",$L:$L,"&gt;0")&lt;&gt;1,"",SUMIFS($H:$H,$C:$C,$C1134,$D:$D,"P0(후)"))</f>
        <v/>
      </c>
      <c r="Q1134" s="30">
        <f>IF(COUNTIFS($C:$C,$C1134,$D:$D,"P0(후)",$L:$L,"&gt;0")&lt;&gt;1,"",SUMIFS($L:$L,$C:$C,$C1134,$D:$D,"P0(후)"))</f>
        <v/>
      </c>
      <c r="R1134" s="30">
        <f>IF(M1134&lt;&gt;"OK","",O1134+(Q1134-O1134)*(H1134-N1134)/(P1134-N1134))</f>
        <v/>
      </c>
      <c r="S1134" s="30">
        <f>IF(OR(M1134&lt;&gt;"OK",NOT(ISNUMBER(L1134))),"",L1134-R1134)</f>
        <v/>
      </c>
      <c r="T1134" s="46">
        <f>IF(OR(NOT(ISNUMBER(S1134)),IF(ISNUMBER(G1134),G1134,F1134)=0),"",S1134/IF(ISNUMBER(G1134),G1134,F1134))</f>
        <v/>
      </c>
      <c r="U1134" s="46">
        <f>IF(ISNUMBER(T1134),ABS(T1134),"")</f>
        <v/>
      </c>
      <c r="V1134" s="46">
        <f>IF(OR($D1133&lt;&gt;"측정",$C1133&lt;&gt;$C1134,NOT(ISNUMBER(L1134)),NOT(ISNUMBER(L1133)),(IF(ISNUMBER(G1134),G1134,F1134)-IF(ISNUMBER(G1133),G1133,F1133))=0),"",(L1134-L1133)/(IF(ISNUMBER(G1134),G1134,F1134)-IF(ISNUMBER(G1133),G1133,F1133)))</f>
        <v/>
      </c>
      <c r="W1134" s="30">
        <f>IF(NOT(AND(ISNUMBER(N1134),ISNUMBER(P1134))),"",(P1134-N1134)*1440)</f>
        <v/>
      </c>
      <c r="X1134" s="28" t="n"/>
      <c r="Y1134" s="28" t="n"/>
      <c r="Z1134" s="28" t="n"/>
      <c r="AA1134" s="31" t="n"/>
      <c r="AB1134" s="31" t="n"/>
    </row>
    <row r="1135">
      <c r="A1135" s="43" t="inlineStr">
        <is>
          <t>S22</t>
        </is>
      </c>
      <c r="B1135" s="43" t="inlineStr">
        <is>
          <t>완도 신규점</t>
        </is>
      </c>
      <c r="C1135" s="43" t="inlineStr">
        <is>
          <t>S22-H남</t>
        </is>
      </c>
      <c r="D1135" s="43" t="inlineStr">
        <is>
          <t>P0(후)</t>
        </is>
      </c>
      <c r="E1135" s="43" t="inlineStr">
        <is>
          <t>남</t>
        </is>
      </c>
      <c r="F1135" s="44" t="n"/>
      <c r="G1135" s="29" t="n"/>
      <c r="H1135" s="42" t="n"/>
      <c r="I1135" s="40" t="n"/>
      <c r="J1135" s="40" t="n"/>
      <c r="K1135" s="40" t="n"/>
      <c r="L1135" s="30">
        <f>IF(COUNT(I1135:K1135)=0,"",MEDIAN(I1135:K1135))</f>
        <v/>
      </c>
      <c r="M1135" s="37" t="n"/>
      <c r="N1135" s="37" t="n"/>
      <c r="O1135" s="37" t="n"/>
      <c r="P1135" s="37" t="n"/>
      <c r="Q1135" s="37" t="n"/>
      <c r="R1135" s="37" t="n"/>
      <c r="S1135" s="37" t="n"/>
      <c r="T1135" s="37" t="n"/>
      <c r="U1135" s="37" t="n"/>
      <c r="V1135" s="37" t="n"/>
      <c r="W1135" s="37" t="n"/>
      <c r="X1135" s="28" t="n"/>
      <c r="Y1135" s="28" t="n"/>
      <c r="Z1135" s="28" t="n"/>
      <c r="AA1135" s="31" t="n"/>
      <c r="AB1135" s="31" t="n"/>
    </row>
    <row r="1136">
      <c r="A1136" s="43" t="inlineStr">
        <is>
          <t>S22</t>
        </is>
      </c>
      <c r="B1136" s="43" t="inlineStr">
        <is>
          <t>완도 신규점</t>
        </is>
      </c>
      <c r="C1136" s="43" t="inlineStr">
        <is>
          <t>S22-H북</t>
        </is>
      </c>
      <c r="D1136" s="43" t="inlineStr">
        <is>
          <t>P0(전)</t>
        </is>
      </c>
      <c r="E1136" s="43" t="inlineStr">
        <is>
          <t>북</t>
        </is>
      </c>
      <c r="F1136" s="44" t="n"/>
      <c r="G1136" s="29" t="n"/>
      <c r="H1136" s="42" t="n"/>
      <c r="I1136" s="40" t="n"/>
      <c r="J1136" s="40" t="n"/>
      <c r="K1136" s="40" t="n"/>
      <c r="L1136" s="30">
        <f>IF(COUNT(I1136:K1136)=0,"",MEDIAN(I1136:K1136))</f>
        <v/>
      </c>
      <c r="M1136" s="37" t="n"/>
      <c r="N1136" s="37" t="n"/>
      <c r="O1136" s="37" t="n"/>
      <c r="P1136" s="37" t="n"/>
      <c r="Q1136" s="37" t="n"/>
      <c r="R1136" s="37" t="n"/>
      <c r="S1136" s="37" t="n"/>
      <c r="T1136" s="37" t="n"/>
      <c r="U1136" s="37" t="n"/>
      <c r="V1136" s="37" t="n"/>
      <c r="W1136" s="37" t="n"/>
      <c r="X1136" s="28" t="n"/>
      <c r="Y1136" s="28" t="n"/>
      <c r="Z1136" s="28" t="n"/>
      <c r="AA1136" s="31" t="n"/>
      <c r="AB1136" s="31" t="n"/>
    </row>
    <row r="1137">
      <c r="A1137" s="25" t="inlineStr">
        <is>
          <t>S22</t>
        </is>
      </c>
      <c r="B1137" s="25" t="inlineStr">
        <is>
          <t>완도 신규점</t>
        </is>
      </c>
      <c r="C1137" s="25" t="inlineStr">
        <is>
          <t>S22-H북</t>
        </is>
      </c>
      <c r="D1137" s="25" t="inlineStr">
        <is>
          <t>측정</t>
        </is>
      </c>
      <c r="E1137" s="25" t="inlineStr">
        <is>
          <t>북</t>
        </is>
      </c>
      <c r="F1137" s="30" t="n">
        <v>0.5</v>
      </c>
      <c r="G1137" s="29" t="n"/>
      <c r="H1137" s="42" t="n"/>
      <c r="I1137" s="40" t="n"/>
      <c r="J1137" s="40" t="n"/>
      <c r="K1137" s="40" t="n"/>
      <c r="L1137" s="30">
        <f>IF(COUNT(I1137:K1137)=0,"",MEDIAN(I1137:K1137))</f>
        <v/>
      </c>
      <c r="M1137" s="25">
        <f>IF(COUNTIFS($C:$C,$C1137,$D:$D,"P0(전)",$L:$L,"&gt;0")&lt;&gt;1,"P0(전) 유효 1개 아님",IF(COUNTIFS($C:$C,$C1137,$D:$D,"P0(후)",$L:$L,"&gt;0")&lt;&gt;1,"P0(후) 유효 1개 아님",IF(NOT(AND(ISNUMBER(N1137),ISNUMBER(P1137),ISNUMBER(H1137))),"시각 결측",IF(P1137&lt;=N1137,"P0 시각 역전",IF(OR(H1137&lt;N1137,H1137&gt;P1137),"측정시각 구간 밖","OK")))))</f>
        <v/>
      </c>
      <c r="N1137" s="45">
        <f>IF(COUNTIFS($C:$C,$C1137,$D:$D,"P0(전)",$L:$L,"&gt;0")&lt;&gt;1,"",SUMIFS($H:$H,$C:$C,$C1137,$D:$D,"P0(전)"))</f>
        <v/>
      </c>
      <c r="O1137" s="30">
        <f>IF(COUNTIFS($C:$C,$C1137,$D:$D,"P0(전)",$L:$L,"&gt;0")&lt;&gt;1,"",SUMIFS($L:$L,$C:$C,$C1137,$D:$D,"P0(전)"))</f>
        <v/>
      </c>
      <c r="P1137" s="45">
        <f>IF(COUNTIFS($C:$C,$C1137,$D:$D,"P0(후)",$L:$L,"&gt;0")&lt;&gt;1,"",SUMIFS($H:$H,$C:$C,$C1137,$D:$D,"P0(후)"))</f>
        <v/>
      </c>
      <c r="Q1137" s="30">
        <f>IF(COUNTIFS($C:$C,$C1137,$D:$D,"P0(후)",$L:$L,"&gt;0")&lt;&gt;1,"",SUMIFS($L:$L,$C:$C,$C1137,$D:$D,"P0(후)"))</f>
        <v/>
      </c>
      <c r="R1137" s="30">
        <f>IF(M1137&lt;&gt;"OK","",O1137+(Q1137-O1137)*(H1137-N1137)/(P1137-N1137))</f>
        <v/>
      </c>
      <c r="S1137" s="30">
        <f>IF(OR(M1137&lt;&gt;"OK",NOT(ISNUMBER(L1137))),"",L1137-R1137)</f>
        <v/>
      </c>
      <c r="T1137" s="46">
        <f>IF(OR(NOT(ISNUMBER(S1137)),IF(ISNUMBER(G1137),G1137,F1137)=0),"",S1137/IF(ISNUMBER(G1137),G1137,F1137))</f>
        <v/>
      </c>
      <c r="U1137" s="46">
        <f>IF(ISNUMBER(T1137),ABS(T1137),"")</f>
        <v/>
      </c>
      <c r="V1137" s="46">
        <f>IF(OR($D1136&lt;&gt;"측정",$C1136&lt;&gt;$C1137,NOT(ISNUMBER(L1137)),NOT(ISNUMBER(L1136)),(IF(ISNUMBER(G1137),G1137,F1137)-IF(ISNUMBER(G1136),G1136,F1136))=0),"",(L1137-L1136)/(IF(ISNUMBER(G1137),G1137,F1137)-IF(ISNUMBER(G1136),G1136,F1136)))</f>
        <v/>
      </c>
      <c r="W1137" s="30">
        <f>IF(NOT(AND(ISNUMBER(N1137),ISNUMBER(P1137))),"",(P1137-N1137)*1440)</f>
        <v/>
      </c>
      <c r="X1137" s="28" t="n"/>
      <c r="Y1137" s="28" t="n"/>
      <c r="Z1137" s="28" t="n"/>
      <c r="AA1137" s="31" t="n"/>
      <c r="AB1137" s="31" t="n"/>
    </row>
    <row r="1138">
      <c r="A1138" s="25" t="inlineStr">
        <is>
          <t>S22</t>
        </is>
      </c>
      <c r="B1138" s="25" t="inlineStr">
        <is>
          <t>완도 신규점</t>
        </is>
      </c>
      <c r="C1138" s="25" t="inlineStr">
        <is>
          <t>S22-H북</t>
        </is>
      </c>
      <c r="D1138" s="25" t="inlineStr">
        <is>
          <t>측정</t>
        </is>
      </c>
      <c r="E1138" s="25" t="inlineStr">
        <is>
          <t>북</t>
        </is>
      </c>
      <c r="F1138" s="30" t="n">
        <v>1</v>
      </c>
      <c r="G1138" s="29" t="n"/>
      <c r="H1138" s="42" t="n"/>
      <c r="I1138" s="40" t="n"/>
      <c r="J1138" s="40" t="n"/>
      <c r="K1138" s="40" t="n"/>
      <c r="L1138" s="30">
        <f>IF(COUNT(I1138:K1138)=0,"",MEDIAN(I1138:K1138))</f>
        <v/>
      </c>
      <c r="M1138" s="25">
        <f>IF(COUNTIFS($C:$C,$C1138,$D:$D,"P0(전)",$L:$L,"&gt;0")&lt;&gt;1,"P0(전) 유효 1개 아님",IF(COUNTIFS($C:$C,$C1138,$D:$D,"P0(후)",$L:$L,"&gt;0")&lt;&gt;1,"P0(후) 유효 1개 아님",IF(NOT(AND(ISNUMBER(N1138),ISNUMBER(P1138),ISNUMBER(H1138))),"시각 결측",IF(P1138&lt;=N1138,"P0 시각 역전",IF(OR(H1138&lt;N1138,H1138&gt;P1138),"측정시각 구간 밖","OK")))))</f>
        <v/>
      </c>
      <c r="N1138" s="45">
        <f>IF(COUNTIFS($C:$C,$C1138,$D:$D,"P0(전)",$L:$L,"&gt;0")&lt;&gt;1,"",SUMIFS($H:$H,$C:$C,$C1138,$D:$D,"P0(전)"))</f>
        <v/>
      </c>
      <c r="O1138" s="30">
        <f>IF(COUNTIFS($C:$C,$C1138,$D:$D,"P0(전)",$L:$L,"&gt;0")&lt;&gt;1,"",SUMIFS($L:$L,$C:$C,$C1138,$D:$D,"P0(전)"))</f>
        <v/>
      </c>
      <c r="P1138" s="45">
        <f>IF(COUNTIFS($C:$C,$C1138,$D:$D,"P0(후)",$L:$L,"&gt;0")&lt;&gt;1,"",SUMIFS($H:$H,$C:$C,$C1138,$D:$D,"P0(후)"))</f>
        <v/>
      </c>
      <c r="Q1138" s="30">
        <f>IF(COUNTIFS($C:$C,$C1138,$D:$D,"P0(후)",$L:$L,"&gt;0")&lt;&gt;1,"",SUMIFS($L:$L,$C:$C,$C1138,$D:$D,"P0(후)"))</f>
        <v/>
      </c>
      <c r="R1138" s="30">
        <f>IF(M1138&lt;&gt;"OK","",O1138+(Q1138-O1138)*(H1138-N1138)/(P1138-N1138))</f>
        <v/>
      </c>
      <c r="S1138" s="30">
        <f>IF(OR(M1138&lt;&gt;"OK",NOT(ISNUMBER(L1138))),"",L1138-R1138)</f>
        <v/>
      </c>
      <c r="T1138" s="46">
        <f>IF(OR(NOT(ISNUMBER(S1138)),IF(ISNUMBER(G1138),G1138,F1138)=0),"",S1138/IF(ISNUMBER(G1138),G1138,F1138))</f>
        <v/>
      </c>
      <c r="U1138" s="46">
        <f>IF(ISNUMBER(T1138),ABS(T1138),"")</f>
        <v/>
      </c>
      <c r="V1138" s="46">
        <f>IF(OR($D1137&lt;&gt;"측정",$C1137&lt;&gt;$C1138,NOT(ISNUMBER(L1138)),NOT(ISNUMBER(L1137)),(IF(ISNUMBER(G1138),G1138,F1138)-IF(ISNUMBER(G1137),G1137,F1137))=0),"",(L1138-L1137)/(IF(ISNUMBER(G1138),G1138,F1138)-IF(ISNUMBER(G1137),G1137,F1137)))</f>
        <v/>
      </c>
      <c r="W1138" s="30">
        <f>IF(NOT(AND(ISNUMBER(N1138),ISNUMBER(P1138))),"",(P1138-N1138)*1440)</f>
        <v/>
      </c>
      <c r="X1138" s="28" t="n"/>
      <c r="Y1138" s="28" t="n"/>
      <c r="Z1138" s="28" t="n"/>
      <c r="AA1138" s="31" t="n"/>
      <c r="AB1138" s="31" t="n"/>
    </row>
    <row r="1139">
      <c r="A1139" s="25" t="inlineStr">
        <is>
          <t>S22</t>
        </is>
      </c>
      <c r="B1139" s="25" t="inlineStr">
        <is>
          <t>완도 신규점</t>
        </is>
      </c>
      <c r="C1139" s="25" t="inlineStr">
        <is>
          <t>S22-H북</t>
        </is>
      </c>
      <c r="D1139" s="25" t="inlineStr">
        <is>
          <t>측정</t>
        </is>
      </c>
      <c r="E1139" s="25" t="inlineStr">
        <is>
          <t>북</t>
        </is>
      </c>
      <c r="F1139" s="30" t="n">
        <v>2</v>
      </c>
      <c r="G1139" s="29" t="n"/>
      <c r="H1139" s="42" t="n"/>
      <c r="I1139" s="40" t="n"/>
      <c r="J1139" s="40" t="n"/>
      <c r="K1139" s="40" t="n"/>
      <c r="L1139" s="30">
        <f>IF(COUNT(I1139:K1139)=0,"",MEDIAN(I1139:K1139))</f>
        <v/>
      </c>
      <c r="M1139" s="25">
        <f>IF(COUNTIFS($C:$C,$C1139,$D:$D,"P0(전)",$L:$L,"&gt;0")&lt;&gt;1,"P0(전) 유효 1개 아님",IF(COUNTIFS($C:$C,$C1139,$D:$D,"P0(후)",$L:$L,"&gt;0")&lt;&gt;1,"P0(후) 유효 1개 아님",IF(NOT(AND(ISNUMBER(N1139),ISNUMBER(P1139),ISNUMBER(H1139))),"시각 결측",IF(P1139&lt;=N1139,"P0 시각 역전",IF(OR(H1139&lt;N1139,H1139&gt;P1139),"측정시각 구간 밖","OK")))))</f>
        <v/>
      </c>
      <c r="N1139" s="45">
        <f>IF(COUNTIFS($C:$C,$C1139,$D:$D,"P0(전)",$L:$L,"&gt;0")&lt;&gt;1,"",SUMIFS($H:$H,$C:$C,$C1139,$D:$D,"P0(전)"))</f>
        <v/>
      </c>
      <c r="O1139" s="30">
        <f>IF(COUNTIFS($C:$C,$C1139,$D:$D,"P0(전)",$L:$L,"&gt;0")&lt;&gt;1,"",SUMIFS($L:$L,$C:$C,$C1139,$D:$D,"P0(전)"))</f>
        <v/>
      </c>
      <c r="P1139" s="45">
        <f>IF(COUNTIFS($C:$C,$C1139,$D:$D,"P0(후)",$L:$L,"&gt;0")&lt;&gt;1,"",SUMIFS($H:$H,$C:$C,$C1139,$D:$D,"P0(후)"))</f>
        <v/>
      </c>
      <c r="Q1139" s="30">
        <f>IF(COUNTIFS($C:$C,$C1139,$D:$D,"P0(후)",$L:$L,"&gt;0")&lt;&gt;1,"",SUMIFS($L:$L,$C:$C,$C1139,$D:$D,"P0(후)"))</f>
        <v/>
      </c>
      <c r="R1139" s="30">
        <f>IF(M1139&lt;&gt;"OK","",O1139+(Q1139-O1139)*(H1139-N1139)/(P1139-N1139))</f>
        <v/>
      </c>
      <c r="S1139" s="30">
        <f>IF(OR(M1139&lt;&gt;"OK",NOT(ISNUMBER(L1139))),"",L1139-R1139)</f>
        <v/>
      </c>
      <c r="T1139" s="46">
        <f>IF(OR(NOT(ISNUMBER(S1139)),IF(ISNUMBER(G1139),G1139,F1139)=0),"",S1139/IF(ISNUMBER(G1139),G1139,F1139))</f>
        <v/>
      </c>
      <c r="U1139" s="46">
        <f>IF(ISNUMBER(T1139),ABS(T1139),"")</f>
        <v/>
      </c>
      <c r="V1139" s="46">
        <f>IF(OR($D1138&lt;&gt;"측정",$C1138&lt;&gt;$C1139,NOT(ISNUMBER(L1139)),NOT(ISNUMBER(L1138)),(IF(ISNUMBER(G1139),G1139,F1139)-IF(ISNUMBER(G1138),G1138,F1138))=0),"",(L1139-L1138)/(IF(ISNUMBER(G1139),G1139,F1139)-IF(ISNUMBER(G1138),G1138,F1138)))</f>
        <v/>
      </c>
      <c r="W1139" s="30">
        <f>IF(NOT(AND(ISNUMBER(N1139),ISNUMBER(P1139))),"",(P1139-N1139)*1440)</f>
        <v/>
      </c>
      <c r="X1139" s="28" t="n"/>
      <c r="Y1139" s="28" t="n"/>
      <c r="Z1139" s="28" t="n"/>
      <c r="AA1139" s="31" t="n"/>
      <c r="AB1139" s="31" t="n"/>
    </row>
    <row r="1140">
      <c r="A1140" s="25" t="inlineStr">
        <is>
          <t>S22</t>
        </is>
      </c>
      <c r="B1140" s="25" t="inlineStr">
        <is>
          <t>완도 신규점</t>
        </is>
      </c>
      <c r="C1140" s="25" t="inlineStr">
        <is>
          <t>S22-H북</t>
        </is>
      </c>
      <c r="D1140" s="25" t="inlineStr">
        <is>
          <t>측정</t>
        </is>
      </c>
      <c r="E1140" s="25" t="inlineStr">
        <is>
          <t>북</t>
        </is>
      </c>
      <c r="F1140" s="30" t="n">
        <v>3</v>
      </c>
      <c r="G1140" s="29" t="n"/>
      <c r="H1140" s="42" t="n"/>
      <c r="I1140" s="40" t="n"/>
      <c r="J1140" s="40" t="n"/>
      <c r="K1140" s="40" t="n"/>
      <c r="L1140" s="30">
        <f>IF(COUNT(I1140:K1140)=0,"",MEDIAN(I1140:K1140))</f>
        <v/>
      </c>
      <c r="M1140" s="25">
        <f>IF(COUNTIFS($C:$C,$C1140,$D:$D,"P0(전)",$L:$L,"&gt;0")&lt;&gt;1,"P0(전) 유효 1개 아님",IF(COUNTIFS($C:$C,$C1140,$D:$D,"P0(후)",$L:$L,"&gt;0")&lt;&gt;1,"P0(후) 유효 1개 아님",IF(NOT(AND(ISNUMBER(N1140),ISNUMBER(P1140),ISNUMBER(H1140))),"시각 결측",IF(P1140&lt;=N1140,"P0 시각 역전",IF(OR(H1140&lt;N1140,H1140&gt;P1140),"측정시각 구간 밖","OK")))))</f>
        <v/>
      </c>
      <c r="N1140" s="45">
        <f>IF(COUNTIFS($C:$C,$C1140,$D:$D,"P0(전)",$L:$L,"&gt;0")&lt;&gt;1,"",SUMIFS($H:$H,$C:$C,$C1140,$D:$D,"P0(전)"))</f>
        <v/>
      </c>
      <c r="O1140" s="30">
        <f>IF(COUNTIFS($C:$C,$C1140,$D:$D,"P0(전)",$L:$L,"&gt;0")&lt;&gt;1,"",SUMIFS($L:$L,$C:$C,$C1140,$D:$D,"P0(전)"))</f>
        <v/>
      </c>
      <c r="P1140" s="45">
        <f>IF(COUNTIFS($C:$C,$C1140,$D:$D,"P0(후)",$L:$L,"&gt;0")&lt;&gt;1,"",SUMIFS($H:$H,$C:$C,$C1140,$D:$D,"P0(후)"))</f>
        <v/>
      </c>
      <c r="Q1140" s="30">
        <f>IF(COUNTIFS($C:$C,$C1140,$D:$D,"P0(후)",$L:$L,"&gt;0")&lt;&gt;1,"",SUMIFS($L:$L,$C:$C,$C1140,$D:$D,"P0(후)"))</f>
        <v/>
      </c>
      <c r="R1140" s="30">
        <f>IF(M1140&lt;&gt;"OK","",O1140+(Q1140-O1140)*(H1140-N1140)/(P1140-N1140))</f>
        <v/>
      </c>
      <c r="S1140" s="30">
        <f>IF(OR(M1140&lt;&gt;"OK",NOT(ISNUMBER(L1140))),"",L1140-R1140)</f>
        <v/>
      </c>
      <c r="T1140" s="46">
        <f>IF(OR(NOT(ISNUMBER(S1140)),IF(ISNUMBER(G1140),G1140,F1140)=0),"",S1140/IF(ISNUMBER(G1140),G1140,F1140))</f>
        <v/>
      </c>
      <c r="U1140" s="46">
        <f>IF(ISNUMBER(T1140),ABS(T1140),"")</f>
        <v/>
      </c>
      <c r="V1140" s="46">
        <f>IF(OR($D1139&lt;&gt;"측정",$C1139&lt;&gt;$C1140,NOT(ISNUMBER(L1140)),NOT(ISNUMBER(L1139)),(IF(ISNUMBER(G1140),G1140,F1140)-IF(ISNUMBER(G1139),G1139,F1139))=0),"",(L1140-L1139)/(IF(ISNUMBER(G1140),G1140,F1140)-IF(ISNUMBER(G1139),G1139,F1139)))</f>
        <v/>
      </c>
      <c r="W1140" s="30">
        <f>IF(NOT(AND(ISNUMBER(N1140),ISNUMBER(P1140))),"",(P1140-N1140)*1440)</f>
        <v/>
      </c>
      <c r="X1140" s="28" t="n"/>
      <c r="Y1140" s="28" t="n"/>
      <c r="Z1140" s="28" t="n"/>
      <c r="AA1140" s="31" t="n"/>
      <c r="AB1140" s="31" t="n"/>
    </row>
    <row r="1141">
      <c r="A1141" s="25" t="inlineStr">
        <is>
          <t>S22</t>
        </is>
      </c>
      <c r="B1141" s="25" t="inlineStr">
        <is>
          <t>완도 신규점</t>
        </is>
      </c>
      <c r="C1141" s="25" t="inlineStr">
        <is>
          <t>S22-H북</t>
        </is>
      </c>
      <c r="D1141" s="25" t="inlineStr">
        <is>
          <t>측정</t>
        </is>
      </c>
      <c r="E1141" s="25" t="inlineStr">
        <is>
          <t>북</t>
        </is>
      </c>
      <c r="F1141" s="30" t="n">
        <v>4</v>
      </c>
      <c r="G1141" s="29" t="n"/>
      <c r="H1141" s="42" t="n"/>
      <c r="I1141" s="40" t="n"/>
      <c r="J1141" s="40" t="n"/>
      <c r="K1141" s="40" t="n"/>
      <c r="L1141" s="30">
        <f>IF(COUNT(I1141:K1141)=0,"",MEDIAN(I1141:K1141))</f>
        <v/>
      </c>
      <c r="M1141" s="25">
        <f>IF(COUNTIFS($C:$C,$C1141,$D:$D,"P0(전)",$L:$L,"&gt;0")&lt;&gt;1,"P0(전) 유효 1개 아님",IF(COUNTIFS($C:$C,$C1141,$D:$D,"P0(후)",$L:$L,"&gt;0")&lt;&gt;1,"P0(후) 유효 1개 아님",IF(NOT(AND(ISNUMBER(N1141),ISNUMBER(P1141),ISNUMBER(H1141))),"시각 결측",IF(P1141&lt;=N1141,"P0 시각 역전",IF(OR(H1141&lt;N1141,H1141&gt;P1141),"측정시각 구간 밖","OK")))))</f>
        <v/>
      </c>
      <c r="N1141" s="45">
        <f>IF(COUNTIFS($C:$C,$C1141,$D:$D,"P0(전)",$L:$L,"&gt;0")&lt;&gt;1,"",SUMIFS($H:$H,$C:$C,$C1141,$D:$D,"P0(전)"))</f>
        <v/>
      </c>
      <c r="O1141" s="30">
        <f>IF(COUNTIFS($C:$C,$C1141,$D:$D,"P0(전)",$L:$L,"&gt;0")&lt;&gt;1,"",SUMIFS($L:$L,$C:$C,$C1141,$D:$D,"P0(전)"))</f>
        <v/>
      </c>
      <c r="P1141" s="45">
        <f>IF(COUNTIFS($C:$C,$C1141,$D:$D,"P0(후)",$L:$L,"&gt;0")&lt;&gt;1,"",SUMIFS($H:$H,$C:$C,$C1141,$D:$D,"P0(후)"))</f>
        <v/>
      </c>
      <c r="Q1141" s="30">
        <f>IF(COUNTIFS($C:$C,$C1141,$D:$D,"P0(후)",$L:$L,"&gt;0")&lt;&gt;1,"",SUMIFS($L:$L,$C:$C,$C1141,$D:$D,"P0(후)"))</f>
        <v/>
      </c>
      <c r="R1141" s="30">
        <f>IF(M1141&lt;&gt;"OK","",O1141+(Q1141-O1141)*(H1141-N1141)/(P1141-N1141))</f>
        <v/>
      </c>
      <c r="S1141" s="30">
        <f>IF(OR(M1141&lt;&gt;"OK",NOT(ISNUMBER(L1141))),"",L1141-R1141)</f>
        <v/>
      </c>
      <c r="T1141" s="46">
        <f>IF(OR(NOT(ISNUMBER(S1141)),IF(ISNUMBER(G1141),G1141,F1141)=0),"",S1141/IF(ISNUMBER(G1141),G1141,F1141))</f>
        <v/>
      </c>
      <c r="U1141" s="46">
        <f>IF(ISNUMBER(T1141),ABS(T1141),"")</f>
        <v/>
      </c>
      <c r="V1141" s="46">
        <f>IF(OR($D1140&lt;&gt;"측정",$C1140&lt;&gt;$C1141,NOT(ISNUMBER(L1141)),NOT(ISNUMBER(L1140)),(IF(ISNUMBER(G1141),G1141,F1141)-IF(ISNUMBER(G1140),G1140,F1140))=0),"",(L1141-L1140)/(IF(ISNUMBER(G1141),G1141,F1141)-IF(ISNUMBER(G1140),G1140,F1140)))</f>
        <v/>
      </c>
      <c r="W1141" s="30">
        <f>IF(NOT(AND(ISNUMBER(N1141),ISNUMBER(P1141))),"",(P1141-N1141)*1440)</f>
        <v/>
      </c>
      <c r="X1141" s="28" t="n"/>
      <c r="Y1141" s="28" t="n"/>
      <c r="Z1141" s="28" t="n"/>
      <c r="AA1141" s="31" t="n"/>
      <c r="AB1141" s="31" t="n"/>
    </row>
    <row r="1142">
      <c r="A1142" s="25" t="inlineStr">
        <is>
          <t>S22</t>
        </is>
      </c>
      <c r="B1142" s="25" t="inlineStr">
        <is>
          <t>완도 신규점</t>
        </is>
      </c>
      <c r="C1142" s="25" t="inlineStr">
        <is>
          <t>S22-H북</t>
        </is>
      </c>
      <c r="D1142" s="25" t="inlineStr">
        <is>
          <t>측정</t>
        </is>
      </c>
      <c r="E1142" s="25" t="inlineStr">
        <is>
          <t>북</t>
        </is>
      </c>
      <c r="F1142" s="30" t="n">
        <v>5</v>
      </c>
      <c r="G1142" s="29" t="n"/>
      <c r="H1142" s="42" t="n"/>
      <c r="I1142" s="40" t="n"/>
      <c r="J1142" s="40" t="n"/>
      <c r="K1142" s="40" t="n"/>
      <c r="L1142" s="30">
        <f>IF(COUNT(I1142:K1142)=0,"",MEDIAN(I1142:K1142))</f>
        <v/>
      </c>
      <c r="M1142" s="25">
        <f>IF(COUNTIFS($C:$C,$C1142,$D:$D,"P0(전)",$L:$L,"&gt;0")&lt;&gt;1,"P0(전) 유효 1개 아님",IF(COUNTIFS($C:$C,$C1142,$D:$D,"P0(후)",$L:$L,"&gt;0")&lt;&gt;1,"P0(후) 유효 1개 아님",IF(NOT(AND(ISNUMBER(N1142),ISNUMBER(P1142),ISNUMBER(H1142))),"시각 결측",IF(P1142&lt;=N1142,"P0 시각 역전",IF(OR(H1142&lt;N1142,H1142&gt;P1142),"측정시각 구간 밖","OK")))))</f>
        <v/>
      </c>
      <c r="N1142" s="45">
        <f>IF(COUNTIFS($C:$C,$C1142,$D:$D,"P0(전)",$L:$L,"&gt;0")&lt;&gt;1,"",SUMIFS($H:$H,$C:$C,$C1142,$D:$D,"P0(전)"))</f>
        <v/>
      </c>
      <c r="O1142" s="30">
        <f>IF(COUNTIFS($C:$C,$C1142,$D:$D,"P0(전)",$L:$L,"&gt;0")&lt;&gt;1,"",SUMIFS($L:$L,$C:$C,$C1142,$D:$D,"P0(전)"))</f>
        <v/>
      </c>
      <c r="P1142" s="45">
        <f>IF(COUNTIFS($C:$C,$C1142,$D:$D,"P0(후)",$L:$L,"&gt;0")&lt;&gt;1,"",SUMIFS($H:$H,$C:$C,$C1142,$D:$D,"P0(후)"))</f>
        <v/>
      </c>
      <c r="Q1142" s="30">
        <f>IF(COUNTIFS($C:$C,$C1142,$D:$D,"P0(후)",$L:$L,"&gt;0")&lt;&gt;1,"",SUMIFS($L:$L,$C:$C,$C1142,$D:$D,"P0(후)"))</f>
        <v/>
      </c>
      <c r="R1142" s="30">
        <f>IF(M1142&lt;&gt;"OK","",O1142+(Q1142-O1142)*(H1142-N1142)/(P1142-N1142))</f>
        <v/>
      </c>
      <c r="S1142" s="30">
        <f>IF(OR(M1142&lt;&gt;"OK",NOT(ISNUMBER(L1142))),"",L1142-R1142)</f>
        <v/>
      </c>
      <c r="T1142" s="46">
        <f>IF(OR(NOT(ISNUMBER(S1142)),IF(ISNUMBER(G1142),G1142,F1142)=0),"",S1142/IF(ISNUMBER(G1142),G1142,F1142))</f>
        <v/>
      </c>
      <c r="U1142" s="46">
        <f>IF(ISNUMBER(T1142),ABS(T1142),"")</f>
        <v/>
      </c>
      <c r="V1142" s="46">
        <f>IF(OR($D1141&lt;&gt;"측정",$C1141&lt;&gt;$C1142,NOT(ISNUMBER(L1142)),NOT(ISNUMBER(L1141)),(IF(ISNUMBER(G1142),G1142,F1142)-IF(ISNUMBER(G1141),G1141,F1141))=0),"",(L1142-L1141)/(IF(ISNUMBER(G1142),G1142,F1142)-IF(ISNUMBER(G1141),G1141,F1141)))</f>
        <v/>
      </c>
      <c r="W1142" s="30">
        <f>IF(NOT(AND(ISNUMBER(N1142),ISNUMBER(P1142))),"",(P1142-N1142)*1440)</f>
        <v/>
      </c>
      <c r="X1142" s="28" t="n"/>
      <c r="Y1142" s="28" t="n"/>
      <c r="Z1142" s="28" t="n"/>
      <c r="AA1142" s="31" t="n"/>
      <c r="AB1142" s="31" t="n"/>
    </row>
    <row r="1143">
      <c r="A1143" s="25" t="inlineStr">
        <is>
          <t>S22</t>
        </is>
      </c>
      <c r="B1143" s="25" t="inlineStr">
        <is>
          <t>완도 신규점</t>
        </is>
      </c>
      <c r="C1143" s="25" t="inlineStr">
        <is>
          <t>S22-H북</t>
        </is>
      </c>
      <c r="D1143" s="25" t="inlineStr">
        <is>
          <t>측정</t>
        </is>
      </c>
      <c r="E1143" s="25" t="inlineStr">
        <is>
          <t>북</t>
        </is>
      </c>
      <c r="F1143" s="30" t="n">
        <v>6</v>
      </c>
      <c r="G1143" s="29" t="n"/>
      <c r="H1143" s="42" t="n"/>
      <c r="I1143" s="40" t="n"/>
      <c r="J1143" s="40" t="n"/>
      <c r="K1143" s="40" t="n"/>
      <c r="L1143" s="30">
        <f>IF(COUNT(I1143:K1143)=0,"",MEDIAN(I1143:K1143))</f>
        <v/>
      </c>
      <c r="M1143" s="25">
        <f>IF(COUNTIFS($C:$C,$C1143,$D:$D,"P0(전)",$L:$L,"&gt;0")&lt;&gt;1,"P0(전) 유효 1개 아님",IF(COUNTIFS($C:$C,$C1143,$D:$D,"P0(후)",$L:$L,"&gt;0")&lt;&gt;1,"P0(후) 유효 1개 아님",IF(NOT(AND(ISNUMBER(N1143),ISNUMBER(P1143),ISNUMBER(H1143))),"시각 결측",IF(P1143&lt;=N1143,"P0 시각 역전",IF(OR(H1143&lt;N1143,H1143&gt;P1143),"측정시각 구간 밖","OK")))))</f>
        <v/>
      </c>
      <c r="N1143" s="45">
        <f>IF(COUNTIFS($C:$C,$C1143,$D:$D,"P0(전)",$L:$L,"&gt;0")&lt;&gt;1,"",SUMIFS($H:$H,$C:$C,$C1143,$D:$D,"P0(전)"))</f>
        <v/>
      </c>
      <c r="O1143" s="30">
        <f>IF(COUNTIFS($C:$C,$C1143,$D:$D,"P0(전)",$L:$L,"&gt;0")&lt;&gt;1,"",SUMIFS($L:$L,$C:$C,$C1143,$D:$D,"P0(전)"))</f>
        <v/>
      </c>
      <c r="P1143" s="45">
        <f>IF(COUNTIFS($C:$C,$C1143,$D:$D,"P0(후)",$L:$L,"&gt;0")&lt;&gt;1,"",SUMIFS($H:$H,$C:$C,$C1143,$D:$D,"P0(후)"))</f>
        <v/>
      </c>
      <c r="Q1143" s="30">
        <f>IF(COUNTIFS($C:$C,$C1143,$D:$D,"P0(후)",$L:$L,"&gt;0")&lt;&gt;1,"",SUMIFS($L:$L,$C:$C,$C1143,$D:$D,"P0(후)"))</f>
        <v/>
      </c>
      <c r="R1143" s="30">
        <f>IF(M1143&lt;&gt;"OK","",O1143+(Q1143-O1143)*(H1143-N1143)/(P1143-N1143))</f>
        <v/>
      </c>
      <c r="S1143" s="30">
        <f>IF(OR(M1143&lt;&gt;"OK",NOT(ISNUMBER(L1143))),"",L1143-R1143)</f>
        <v/>
      </c>
      <c r="T1143" s="46">
        <f>IF(OR(NOT(ISNUMBER(S1143)),IF(ISNUMBER(G1143),G1143,F1143)=0),"",S1143/IF(ISNUMBER(G1143),G1143,F1143))</f>
        <v/>
      </c>
      <c r="U1143" s="46">
        <f>IF(ISNUMBER(T1143),ABS(T1143),"")</f>
        <v/>
      </c>
      <c r="V1143" s="46">
        <f>IF(OR($D1142&lt;&gt;"측정",$C1142&lt;&gt;$C1143,NOT(ISNUMBER(L1143)),NOT(ISNUMBER(L1142)),(IF(ISNUMBER(G1143),G1143,F1143)-IF(ISNUMBER(G1142),G1142,F1142))=0),"",(L1143-L1142)/(IF(ISNUMBER(G1143),G1143,F1143)-IF(ISNUMBER(G1142),G1142,F1142)))</f>
        <v/>
      </c>
      <c r="W1143" s="30">
        <f>IF(NOT(AND(ISNUMBER(N1143),ISNUMBER(P1143))),"",(P1143-N1143)*1440)</f>
        <v/>
      </c>
      <c r="X1143" s="28" t="n"/>
      <c r="Y1143" s="28" t="n"/>
      <c r="Z1143" s="28" t="n"/>
      <c r="AA1143" s="31" t="n"/>
      <c r="AB1143" s="31" t="n"/>
    </row>
    <row r="1144">
      <c r="A1144" s="25" t="inlineStr">
        <is>
          <t>S22</t>
        </is>
      </c>
      <c r="B1144" s="25" t="inlineStr">
        <is>
          <t>완도 신규점</t>
        </is>
      </c>
      <c r="C1144" s="25" t="inlineStr">
        <is>
          <t>S22-H북</t>
        </is>
      </c>
      <c r="D1144" s="25" t="inlineStr">
        <is>
          <t>측정</t>
        </is>
      </c>
      <c r="E1144" s="25" t="inlineStr">
        <is>
          <t>북</t>
        </is>
      </c>
      <c r="F1144" s="30" t="n">
        <v>7</v>
      </c>
      <c r="G1144" s="29" t="n"/>
      <c r="H1144" s="42" t="n"/>
      <c r="I1144" s="40" t="n"/>
      <c r="J1144" s="40" t="n"/>
      <c r="K1144" s="40" t="n"/>
      <c r="L1144" s="30">
        <f>IF(COUNT(I1144:K1144)=0,"",MEDIAN(I1144:K1144))</f>
        <v/>
      </c>
      <c r="M1144" s="25">
        <f>IF(COUNTIFS($C:$C,$C1144,$D:$D,"P0(전)",$L:$L,"&gt;0")&lt;&gt;1,"P0(전) 유효 1개 아님",IF(COUNTIFS($C:$C,$C1144,$D:$D,"P0(후)",$L:$L,"&gt;0")&lt;&gt;1,"P0(후) 유효 1개 아님",IF(NOT(AND(ISNUMBER(N1144),ISNUMBER(P1144),ISNUMBER(H1144))),"시각 결측",IF(P1144&lt;=N1144,"P0 시각 역전",IF(OR(H1144&lt;N1144,H1144&gt;P1144),"측정시각 구간 밖","OK")))))</f>
        <v/>
      </c>
      <c r="N1144" s="45">
        <f>IF(COUNTIFS($C:$C,$C1144,$D:$D,"P0(전)",$L:$L,"&gt;0")&lt;&gt;1,"",SUMIFS($H:$H,$C:$C,$C1144,$D:$D,"P0(전)"))</f>
        <v/>
      </c>
      <c r="O1144" s="30">
        <f>IF(COUNTIFS($C:$C,$C1144,$D:$D,"P0(전)",$L:$L,"&gt;0")&lt;&gt;1,"",SUMIFS($L:$L,$C:$C,$C1144,$D:$D,"P0(전)"))</f>
        <v/>
      </c>
      <c r="P1144" s="45">
        <f>IF(COUNTIFS($C:$C,$C1144,$D:$D,"P0(후)",$L:$L,"&gt;0")&lt;&gt;1,"",SUMIFS($H:$H,$C:$C,$C1144,$D:$D,"P0(후)"))</f>
        <v/>
      </c>
      <c r="Q1144" s="30">
        <f>IF(COUNTIFS($C:$C,$C1144,$D:$D,"P0(후)",$L:$L,"&gt;0")&lt;&gt;1,"",SUMIFS($L:$L,$C:$C,$C1144,$D:$D,"P0(후)"))</f>
        <v/>
      </c>
      <c r="R1144" s="30">
        <f>IF(M1144&lt;&gt;"OK","",O1144+(Q1144-O1144)*(H1144-N1144)/(P1144-N1144))</f>
        <v/>
      </c>
      <c r="S1144" s="30">
        <f>IF(OR(M1144&lt;&gt;"OK",NOT(ISNUMBER(L1144))),"",L1144-R1144)</f>
        <v/>
      </c>
      <c r="T1144" s="46">
        <f>IF(OR(NOT(ISNUMBER(S1144)),IF(ISNUMBER(G1144),G1144,F1144)=0),"",S1144/IF(ISNUMBER(G1144),G1144,F1144))</f>
        <v/>
      </c>
      <c r="U1144" s="46">
        <f>IF(ISNUMBER(T1144),ABS(T1144),"")</f>
        <v/>
      </c>
      <c r="V1144" s="46">
        <f>IF(OR($D1143&lt;&gt;"측정",$C1143&lt;&gt;$C1144,NOT(ISNUMBER(L1144)),NOT(ISNUMBER(L1143)),(IF(ISNUMBER(G1144),G1144,F1144)-IF(ISNUMBER(G1143),G1143,F1143))=0),"",(L1144-L1143)/(IF(ISNUMBER(G1144),G1144,F1144)-IF(ISNUMBER(G1143),G1143,F1143)))</f>
        <v/>
      </c>
      <c r="W1144" s="30">
        <f>IF(NOT(AND(ISNUMBER(N1144),ISNUMBER(P1144))),"",(P1144-N1144)*1440)</f>
        <v/>
      </c>
      <c r="X1144" s="28" t="n"/>
      <c r="Y1144" s="28" t="n"/>
      <c r="Z1144" s="28" t="n"/>
      <c r="AA1144" s="31" t="n"/>
      <c r="AB1144" s="31" t="n"/>
    </row>
    <row r="1145">
      <c r="A1145" s="25" t="inlineStr">
        <is>
          <t>S22</t>
        </is>
      </c>
      <c r="B1145" s="25" t="inlineStr">
        <is>
          <t>완도 신규점</t>
        </is>
      </c>
      <c r="C1145" s="25" t="inlineStr">
        <is>
          <t>S22-H북</t>
        </is>
      </c>
      <c r="D1145" s="25" t="inlineStr">
        <is>
          <t>측정</t>
        </is>
      </c>
      <c r="E1145" s="25" t="inlineStr">
        <is>
          <t>북</t>
        </is>
      </c>
      <c r="F1145" s="30" t="n">
        <v>8</v>
      </c>
      <c r="G1145" s="29" t="n"/>
      <c r="H1145" s="42" t="n"/>
      <c r="I1145" s="40" t="n"/>
      <c r="J1145" s="40" t="n"/>
      <c r="K1145" s="40" t="n"/>
      <c r="L1145" s="30">
        <f>IF(COUNT(I1145:K1145)=0,"",MEDIAN(I1145:K1145))</f>
        <v/>
      </c>
      <c r="M1145" s="25">
        <f>IF(COUNTIFS($C:$C,$C1145,$D:$D,"P0(전)",$L:$L,"&gt;0")&lt;&gt;1,"P0(전) 유효 1개 아님",IF(COUNTIFS($C:$C,$C1145,$D:$D,"P0(후)",$L:$L,"&gt;0")&lt;&gt;1,"P0(후) 유효 1개 아님",IF(NOT(AND(ISNUMBER(N1145),ISNUMBER(P1145),ISNUMBER(H1145))),"시각 결측",IF(P1145&lt;=N1145,"P0 시각 역전",IF(OR(H1145&lt;N1145,H1145&gt;P1145),"측정시각 구간 밖","OK")))))</f>
        <v/>
      </c>
      <c r="N1145" s="45">
        <f>IF(COUNTIFS($C:$C,$C1145,$D:$D,"P0(전)",$L:$L,"&gt;0")&lt;&gt;1,"",SUMIFS($H:$H,$C:$C,$C1145,$D:$D,"P0(전)"))</f>
        <v/>
      </c>
      <c r="O1145" s="30">
        <f>IF(COUNTIFS($C:$C,$C1145,$D:$D,"P0(전)",$L:$L,"&gt;0")&lt;&gt;1,"",SUMIFS($L:$L,$C:$C,$C1145,$D:$D,"P0(전)"))</f>
        <v/>
      </c>
      <c r="P1145" s="45">
        <f>IF(COUNTIFS($C:$C,$C1145,$D:$D,"P0(후)",$L:$L,"&gt;0")&lt;&gt;1,"",SUMIFS($H:$H,$C:$C,$C1145,$D:$D,"P0(후)"))</f>
        <v/>
      </c>
      <c r="Q1145" s="30">
        <f>IF(COUNTIFS($C:$C,$C1145,$D:$D,"P0(후)",$L:$L,"&gt;0")&lt;&gt;1,"",SUMIFS($L:$L,$C:$C,$C1145,$D:$D,"P0(후)"))</f>
        <v/>
      </c>
      <c r="R1145" s="30">
        <f>IF(M1145&lt;&gt;"OK","",O1145+(Q1145-O1145)*(H1145-N1145)/(P1145-N1145))</f>
        <v/>
      </c>
      <c r="S1145" s="30">
        <f>IF(OR(M1145&lt;&gt;"OK",NOT(ISNUMBER(L1145))),"",L1145-R1145)</f>
        <v/>
      </c>
      <c r="T1145" s="46">
        <f>IF(OR(NOT(ISNUMBER(S1145)),IF(ISNUMBER(G1145),G1145,F1145)=0),"",S1145/IF(ISNUMBER(G1145),G1145,F1145))</f>
        <v/>
      </c>
      <c r="U1145" s="46">
        <f>IF(ISNUMBER(T1145),ABS(T1145),"")</f>
        <v/>
      </c>
      <c r="V1145" s="46">
        <f>IF(OR($D1144&lt;&gt;"측정",$C1144&lt;&gt;$C1145,NOT(ISNUMBER(L1145)),NOT(ISNUMBER(L1144)),(IF(ISNUMBER(G1145),G1145,F1145)-IF(ISNUMBER(G1144),G1144,F1144))=0),"",(L1145-L1144)/(IF(ISNUMBER(G1145),G1145,F1145)-IF(ISNUMBER(G1144),G1144,F1144)))</f>
        <v/>
      </c>
      <c r="W1145" s="30">
        <f>IF(NOT(AND(ISNUMBER(N1145),ISNUMBER(P1145))),"",(P1145-N1145)*1440)</f>
        <v/>
      </c>
      <c r="X1145" s="28" t="n"/>
      <c r="Y1145" s="28" t="n"/>
      <c r="Z1145" s="28" t="n"/>
      <c r="AA1145" s="31" t="n"/>
      <c r="AB1145" s="31" t="n"/>
    </row>
    <row r="1146">
      <c r="A1146" s="25" t="inlineStr">
        <is>
          <t>S22</t>
        </is>
      </c>
      <c r="B1146" s="25" t="inlineStr">
        <is>
          <t>완도 신규점</t>
        </is>
      </c>
      <c r="C1146" s="25" t="inlineStr">
        <is>
          <t>S22-H북</t>
        </is>
      </c>
      <c r="D1146" s="25" t="inlineStr">
        <is>
          <t>측정</t>
        </is>
      </c>
      <c r="E1146" s="25" t="inlineStr">
        <is>
          <t>북</t>
        </is>
      </c>
      <c r="F1146" s="30" t="n">
        <v>9</v>
      </c>
      <c r="G1146" s="29" t="n"/>
      <c r="H1146" s="42" t="n"/>
      <c r="I1146" s="40" t="n"/>
      <c r="J1146" s="40" t="n"/>
      <c r="K1146" s="40" t="n"/>
      <c r="L1146" s="30">
        <f>IF(COUNT(I1146:K1146)=0,"",MEDIAN(I1146:K1146))</f>
        <v/>
      </c>
      <c r="M1146" s="25">
        <f>IF(COUNTIFS($C:$C,$C1146,$D:$D,"P0(전)",$L:$L,"&gt;0")&lt;&gt;1,"P0(전) 유효 1개 아님",IF(COUNTIFS($C:$C,$C1146,$D:$D,"P0(후)",$L:$L,"&gt;0")&lt;&gt;1,"P0(후) 유효 1개 아님",IF(NOT(AND(ISNUMBER(N1146),ISNUMBER(P1146),ISNUMBER(H1146))),"시각 결측",IF(P1146&lt;=N1146,"P0 시각 역전",IF(OR(H1146&lt;N1146,H1146&gt;P1146),"측정시각 구간 밖","OK")))))</f>
        <v/>
      </c>
      <c r="N1146" s="45">
        <f>IF(COUNTIFS($C:$C,$C1146,$D:$D,"P0(전)",$L:$L,"&gt;0")&lt;&gt;1,"",SUMIFS($H:$H,$C:$C,$C1146,$D:$D,"P0(전)"))</f>
        <v/>
      </c>
      <c r="O1146" s="30">
        <f>IF(COUNTIFS($C:$C,$C1146,$D:$D,"P0(전)",$L:$L,"&gt;0")&lt;&gt;1,"",SUMIFS($L:$L,$C:$C,$C1146,$D:$D,"P0(전)"))</f>
        <v/>
      </c>
      <c r="P1146" s="45">
        <f>IF(COUNTIFS($C:$C,$C1146,$D:$D,"P0(후)",$L:$L,"&gt;0")&lt;&gt;1,"",SUMIFS($H:$H,$C:$C,$C1146,$D:$D,"P0(후)"))</f>
        <v/>
      </c>
      <c r="Q1146" s="30">
        <f>IF(COUNTIFS($C:$C,$C1146,$D:$D,"P0(후)",$L:$L,"&gt;0")&lt;&gt;1,"",SUMIFS($L:$L,$C:$C,$C1146,$D:$D,"P0(후)"))</f>
        <v/>
      </c>
      <c r="R1146" s="30">
        <f>IF(M1146&lt;&gt;"OK","",O1146+(Q1146-O1146)*(H1146-N1146)/(P1146-N1146))</f>
        <v/>
      </c>
      <c r="S1146" s="30">
        <f>IF(OR(M1146&lt;&gt;"OK",NOT(ISNUMBER(L1146))),"",L1146-R1146)</f>
        <v/>
      </c>
      <c r="T1146" s="46">
        <f>IF(OR(NOT(ISNUMBER(S1146)),IF(ISNUMBER(G1146),G1146,F1146)=0),"",S1146/IF(ISNUMBER(G1146),G1146,F1146))</f>
        <v/>
      </c>
      <c r="U1146" s="46">
        <f>IF(ISNUMBER(T1146),ABS(T1146),"")</f>
        <v/>
      </c>
      <c r="V1146" s="46">
        <f>IF(OR($D1145&lt;&gt;"측정",$C1145&lt;&gt;$C1146,NOT(ISNUMBER(L1146)),NOT(ISNUMBER(L1145)),(IF(ISNUMBER(G1146),G1146,F1146)-IF(ISNUMBER(G1145),G1145,F1145))=0),"",(L1146-L1145)/(IF(ISNUMBER(G1146),G1146,F1146)-IF(ISNUMBER(G1145),G1145,F1145)))</f>
        <v/>
      </c>
      <c r="W1146" s="30">
        <f>IF(NOT(AND(ISNUMBER(N1146),ISNUMBER(P1146))),"",(P1146-N1146)*1440)</f>
        <v/>
      </c>
      <c r="X1146" s="28" t="n"/>
      <c r="Y1146" s="28" t="n"/>
      <c r="Z1146" s="28" t="n"/>
      <c r="AA1146" s="31" t="n"/>
      <c r="AB1146" s="31" t="n"/>
    </row>
    <row r="1147">
      <c r="A1147" s="25" t="inlineStr">
        <is>
          <t>S22</t>
        </is>
      </c>
      <c r="B1147" s="25" t="inlineStr">
        <is>
          <t>완도 신규점</t>
        </is>
      </c>
      <c r="C1147" s="25" t="inlineStr">
        <is>
          <t>S22-H북</t>
        </is>
      </c>
      <c r="D1147" s="25" t="inlineStr">
        <is>
          <t>측정</t>
        </is>
      </c>
      <c r="E1147" s="25" t="inlineStr">
        <is>
          <t>북</t>
        </is>
      </c>
      <c r="F1147" s="30" t="n">
        <v>10</v>
      </c>
      <c r="G1147" s="29" t="n"/>
      <c r="H1147" s="42" t="n"/>
      <c r="I1147" s="40" t="n"/>
      <c r="J1147" s="40" t="n"/>
      <c r="K1147" s="40" t="n"/>
      <c r="L1147" s="30">
        <f>IF(COUNT(I1147:K1147)=0,"",MEDIAN(I1147:K1147))</f>
        <v/>
      </c>
      <c r="M1147" s="25">
        <f>IF(COUNTIFS($C:$C,$C1147,$D:$D,"P0(전)",$L:$L,"&gt;0")&lt;&gt;1,"P0(전) 유효 1개 아님",IF(COUNTIFS($C:$C,$C1147,$D:$D,"P0(후)",$L:$L,"&gt;0")&lt;&gt;1,"P0(후) 유효 1개 아님",IF(NOT(AND(ISNUMBER(N1147),ISNUMBER(P1147),ISNUMBER(H1147))),"시각 결측",IF(P1147&lt;=N1147,"P0 시각 역전",IF(OR(H1147&lt;N1147,H1147&gt;P1147),"측정시각 구간 밖","OK")))))</f>
        <v/>
      </c>
      <c r="N1147" s="45">
        <f>IF(COUNTIFS($C:$C,$C1147,$D:$D,"P0(전)",$L:$L,"&gt;0")&lt;&gt;1,"",SUMIFS($H:$H,$C:$C,$C1147,$D:$D,"P0(전)"))</f>
        <v/>
      </c>
      <c r="O1147" s="30">
        <f>IF(COUNTIFS($C:$C,$C1147,$D:$D,"P0(전)",$L:$L,"&gt;0")&lt;&gt;1,"",SUMIFS($L:$L,$C:$C,$C1147,$D:$D,"P0(전)"))</f>
        <v/>
      </c>
      <c r="P1147" s="45">
        <f>IF(COUNTIFS($C:$C,$C1147,$D:$D,"P0(후)",$L:$L,"&gt;0")&lt;&gt;1,"",SUMIFS($H:$H,$C:$C,$C1147,$D:$D,"P0(후)"))</f>
        <v/>
      </c>
      <c r="Q1147" s="30">
        <f>IF(COUNTIFS($C:$C,$C1147,$D:$D,"P0(후)",$L:$L,"&gt;0")&lt;&gt;1,"",SUMIFS($L:$L,$C:$C,$C1147,$D:$D,"P0(후)"))</f>
        <v/>
      </c>
      <c r="R1147" s="30">
        <f>IF(M1147&lt;&gt;"OK","",O1147+(Q1147-O1147)*(H1147-N1147)/(P1147-N1147))</f>
        <v/>
      </c>
      <c r="S1147" s="30">
        <f>IF(OR(M1147&lt;&gt;"OK",NOT(ISNUMBER(L1147))),"",L1147-R1147)</f>
        <v/>
      </c>
      <c r="T1147" s="46">
        <f>IF(OR(NOT(ISNUMBER(S1147)),IF(ISNUMBER(G1147),G1147,F1147)=0),"",S1147/IF(ISNUMBER(G1147),G1147,F1147))</f>
        <v/>
      </c>
      <c r="U1147" s="46">
        <f>IF(ISNUMBER(T1147),ABS(T1147),"")</f>
        <v/>
      </c>
      <c r="V1147" s="46">
        <f>IF(OR($D1146&lt;&gt;"측정",$C1146&lt;&gt;$C1147,NOT(ISNUMBER(L1147)),NOT(ISNUMBER(L1146)),(IF(ISNUMBER(G1147),G1147,F1147)-IF(ISNUMBER(G1146),G1146,F1146))=0),"",(L1147-L1146)/(IF(ISNUMBER(G1147),G1147,F1147)-IF(ISNUMBER(G1146),G1146,F1146)))</f>
        <v/>
      </c>
      <c r="W1147" s="30">
        <f>IF(NOT(AND(ISNUMBER(N1147),ISNUMBER(P1147))),"",(P1147-N1147)*1440)</f>
        <v/>
      </c>
      <c r="X1147" s="28" t="n"/>
      <c r="Y1147" s="28" t="n"/>
      <c r="Z1147" s="28" t="n"/>
      <c r="AA1147" s="31" t="n"/>
      <c r="AB1147" s="31" t="n"/>
    </row>
    <row r="1148">
      <c r="A1148" s="43" t="inlineStr">
        <is>
          <t>S22</t>
        </is>
      </c>
      <c r="B1148" s="43" t="inlineStr">
        <is>
          <t>완도 신규점</t>
        </is>
      </c>
      <c r="C1148" s="43" t="inlineStr">
        <is>
          <t>S22-H북</t>
        </is>
      </c>
      <c r="D1148" s="43" t="inlineStr">
        <is>
          <t>P0(후)</t>
        </is>
      </c>
      <c r="E1148" s="43" t="inlineStr">
        <is>
          <t>북</t>
        </is>
      </c>
      <c r="F1148" s="44" t="n"/>
      <c r="G1148" s="29" t="n"/>
      <c r="H1148" s="42" t="n"/>
      <c r="I1148" s="40" t="n"/>
      <c r="J1148" s="40" t="n"/>
      <c r="K1148" s="40" t="n"/>
      <c r="L1148" s="30">
        <f>IF(COUNT(I1148:K1148)=0,"",MEDIAN(I1148:K1148))</f>
        <v/>
      </c>
      <c r="M1148" s="37" t="n"/>
      <c r="N1148" s="37" t="n"/>
      <c r="O1148" s="37" t="n"/>
      <c r="P1148" s="37" t="n"/>
      <c r="Q1148" s="37" t="n"/>
      <c r="R1148" s="37" t="n"/>
      <c r="S1148" s="37" t="n"/>
      <c r="T1148" s="37" t="n"/>
      <c r="U1148" s="37" t="n"/>
      <c r="V1148" s="37" t="n"/>
      <c r="W1148" s="37" t="n"/>
      <c r="X1148" s="28" t="n"/>
      <c r="Y1148" s="28" t="n"/>
      <c r="Z1148" s="28" t="n"/>
      <c r="AA1148" s="31" t="n"/>
      <c r="AB1148" s="31" t="n"/>
    </row>
    <row r="1149">
      <c r="A1149" s="43" t="inlineStr">
        <is>
          <t>S23</t>
        </is>
      </c>
      <c r="B1149" s="43" t="inlineStr">
        <is>
          <t>덕산 신규점1</t>
        </is>
      </c>
      <c r="C1149" s="43" t="inlineStr">
        <is>
          <t>S23-H동</t>
        </is>
      </c>
      <c r="D1149" s="43" t="inlineStr">
        <is>
          <t>P0(전)</t>
        </is>
      </c>
      <c r="E1149" s="43" t="inlineStr">
        <is>
          <t>동</t>
        </is>
      </c>
      <c r="F1149" s="44" t="n"/>
      <c r="G1149" s="29" t="n"/>
      <c r="H1149" s="42" t="n"/>
      <c r="I1149" s="40" t="n"/>
      <c r="J1149" s="40" t="n"/>
      <c r="K1149" s="40" t="n"/>
      <c r="L1149" s="30">
        <f>IF(COUNT(I1149:K1149)=0,"",MEDIAN(I1149:K1149))</f>
        <v/>
      </c>
      <c r="M1149" s="37" t="n"/>
      <c r="N1149" s="37" t="n"/>
      <c r="O1149" s="37" t="n"/>
      <c r="P1149" s="37" t="n"/>
      <c r="Q1149" s="37" t="n"/>
      <c r="R1149" s="37" t="n"/>
      <c r="S1149" s="37" t="n"/>
      <c r="T1149" s="37" t="n"/>
      <c r="U1149" s="37" t="n"/>
      <c r="V1149" s="37" t="n"/>
      <c r="W1149" s="37" t="n"/>
      <c r="X1149" s="28" t="n"/>
      <c r="Y1149" s="28" t="n"/>
      <c r="Z1149" s="28" t="n"/>
      <c r="AA1149" s="31" t="n"/>
      <c r="AB1149" s="31" t="n"/>
    </row>
    <row r="1150">
      <c r="A1150" s="25" t="inlineStr">
        <is>
          <t>S23</t>
        </is>
      </c>
      <c r="B1150" s="25" t="inlineStr">
        <is>
          <t>덕산 신규점1</t>
        </is>
      </c>
      <c r="C1150" s="25" t="inlineStr">
        <is>
          <t>S23-H동</t>
        </is>
      </c>
      <c r="D1150" s="25" t="inlineStr">
        <is>
          <t>측정</t>
        </is>
      </c>
      <c r="E1150" s="25" t="inlineStr">
        <is>
          <t>동</t>
        </is>
      </c>
      <c r="F1150" s="30" t="n">
        <v>0.5</v>
      </c>
      <c r="G1150" s="29" t="n"/>
      <c r="H1150" s="42" t="n"/>
      <c r="I1150" s="40" t="n"/>
      <c r="J1150" s="40" t="n"/>
      <c r="K1150" s="40" t="n"/>
      <c r="L1150" s="30">
        <f>IF(COUNT(I1150:K1150)=0,"",MEDIAN(I1150:K1150))</f>
        <v/>
      </c>
      <c r="M1150" s="25">
        <f>IF(COUNTIFS($C:$C,$C1150,$D:$D,"P0(전)",$L:$L,"&gt;0")&lt;&gt;1,"P0(전) 유효 1개 아님",IF(COUNTIFS($C:$C,$C1150,$D:$D,"P0(후)",$L:$L,"&gt;0")&lt;&gt;1,"P0(후) 유효 1개 아님",IF(NOT(AND(ISNUMBER(N1150),ISNUMBER(P1150),ISNUMBER(H1150))),"시각 결측",IF(P1150&lt;=N1150,"P0 시각 역전",IF(OR(H1150&lt;N1150,H1150&gt;P1150),"측정시각 구간 밖","OK")))))</f>
        <v/>
      </c>
      <c r="N1150" s="45">
        <f>IF(COUNTIFS($C:$C,$C1150,$D:$D,"P0(전)",$L:$L,"&gt;0")&lt;&gt;1,"",SUMIFS($H:$H,$C:$C,$C1150,$D:$D,"P0(전)"))</f>
        <v/>
      </c>
      <c r="O1150" s="30">
        <f>IF(COUNTIFS($C:$C,$C1150,$D:$D,"P0(전)",$L:$L,"&gt;0")&lt;&gt;1,"",SUMIFS($L:$L,$C:$C,$C1150,$D:$D,"P0(전)"))</f>
        <v/>
      </c>
      <c r="P1150" s="45">
        <f>IF(COUNTIFS($C:$C,$C1150,$D:$D,"P0(후)",$L:$L,"&gt;0")&lt;&gt;1,"",SUMIFS($H:$H,$C:$C,$C1150,$D:$D,"P0(후)"))</f>
        <v/>
      </c>
      <c r="Q1150" s="30">
        <f>IF(COUNTIFS($C:$C,$C1150,$D:$D,"P0(후)",$L:$L,"&gt;0")&lt;&gt;1,"",SUMIFS($L:$L,$C:$C,$C1150,$D:$D,"P0(후)"))</f>
        <v/>
      </c>
      <c r="R1150" s="30">
        <f>IF(M1150&lt;&gt;"OK","",O1150+(Q1150-O1150)*(H1150-N1150)/(P1150-N1150))</f>
        <v/>
      </c>
      <c r="S1150" s="30">
        <f>IF(OR(M1150&lt;&gt;"OK",NOT(ISNUMBER(L1150))),"",L1150-R1150)</f>
        <v/>
      </c>
      <c r="T1150" s="46">
        <f>IF(OR(NOT(ISNUMBER(S1150)),IF(ISNUMBER(G1150),G1150,F1150)=0),"",S1150/IF(ISNUMBER(G1150),G1150,F1150))</f>
        <v/>
      </c>
      <c r="U1150" s="46">
        <f>IF(ISNUMBER(T1150),ABS(T1150),"")</f>
        <v/>
      </c>
      <c r="V1150" s="46">
        <f>IF(OR($D1149&lt;&gt;"측정",$C1149&lt;&gt;$C1150,NOT(ISNUMBER(L1150)),NOT(ISNUMBER(L1149)),(IF(ISNUMBER(G1150),G1150,F1150)-IF(ISNUMBER(G1149),G1149,F1149))=0),"",(L1150-L1149)/(IF(ISNUMBER(G1150),G1150,F1150)-IF(ISNUMBER(G1149),G1149,F1149)))</f>
        <v/>
      </c>
      <c r="W1150" s="30">
        <f>IF(NOT(AND(ISNUMBER(N1150),ISNUMBER(P1150))),"",(P1150-N1150)*1440)</f>
        <v/>
      </c>
      <c r="X1150" s="28" t="n"/>
      <c r="Y1150" s="28" t="n"/>
      <c r="Z1150" s="28" t="n"/>
      <c r="AA1150" s="31" t="n"/>
      <c r="AB1150" s="31" t="n"/>
    </row>
    <row r="1151">
      <c r="A1151" s="25" t="inlineStr">
        <is>
          <t>S23</t>
        </is>
      </c>
      <c r="B1151" s="25" t="inlineStr">
        <is>
          <t>덕산 신규점1</t>
        </is>
      </c>
      <c r="C1151" s="25" t="inlineStr">
        <is>
          <t>S23-H동</t>
        </is>
      </c>
      <c r="D1151" s="25" t="inlineStr">
        <is>
          <t>측정</t>
        </is>
      </c>
      <c r="E1151" s="25" t="inlineStr">
        <is>
          <t>동</t>
        </is>
      </c>
      <c r="F1151" s="30" t="n">
        <v>1</v>
      </c>
      <c r="G1151" s="29" t="n"/>
      <c r="H1151" s="42" t="n"/>
      <c r="I1151" s="40" t="n"/>
      <c r="J1151" s="40" t="n"/>
      <c r="K1151" s="40" t="n"/>
      <c r="L1151" s="30">
        <f>IF(COUNT(I1151:K1151)=0,"",MEDIAN(I1151:K1151))</f>
        <v/>
      </c>
      <c r="M1151" s="25">
        <f>IF(COUNTIFS($C:$C,$C1151,$D:$D,"P0(전)",$L:$L,"&gt;0")&lt;&gt;1,"P0(전) 유효 1개 아님",IF(COUNTIFS($C:$C,$C1151,$D:$D,"P0(후)",$L:$L,"&gt;0")&lt;&gt;1,"P0(후) 유효 1개 아님",IF(NOT(AND(ISNUMBER(N1151),ISNUMBER(P1151),ISNUMBER(H1151))),"시각 결측",IF(P1151&lt;=N1151,"P0 시각 역전",IF(OR(H1151&lt;N1151,H1151&gt;P1151),"측정시각 구간 밖","OK")))))</f>
        <v/>
      </c>
      <c r="N1151" s="45">
        <f>IF(COUNTIFS($C:$C,$C1151,$D:$D,"P0(전)",$L:$L,"&gt;0")&lt;&gt;1,"",SUMIFS($H:$H,$C:$C,$C1151,$D:$D,"P0(전)"))</f>
        <v/>
      </c>
      <c r="O1151" s="30">
        <f>IF(COUNTIFS($C:$C,$C1151,$D:$D,"P0(전)",$L:$L,"&gt;0")&lt;&gt;1,"",SUMIFS($L:$L,$C:$C,$C1151,$D:$D,"P0(전)"))</f>
        <v/>
      </c>
      <c r="P1151" s="45">
        <f>IF(COUNTIFS($C:$C,$C1151,$D:$D,"P0(후)",$L:$L,"&gt;0")&lt;&gt;1,"",SUMIFS($H:$H,$C:$C,$C1151,$D:$D,"P0(후)"))</f>
        <v/>
      </c>
      <c r="Q1151" s="30">
        <f>IF(COUNTIFS($C:$C,$C1151,$D:$D,"P0(후)",$L:$L,"&gt;0")&lt;&gt;1,"",SUMIFS($L:$L,$C:$C,$C1151,$D:$D,"P0(후)"))</f>
        <v/>
      </c>
      <c r="R1151" s="30">
        <f>IF(M1151&lt;&gt;"OK","",O1151+(Q1151-O1151)*(H1151-N1151)/(P1151-N1151))</f>
        <v/>
      </c>
      <c r="S1151" s="30">
        <f>IF(OR(M1151&lt;&gt;"OK",NOT(ISNUMBER(L1151))),"",L1151-R1151)</f>
        <v/>
      </c>
      <c r="T1151" s="46">
        <f>IF(OR(NOT(ISNUMBER(S1151)),IF(ISNUMBER(G1151),G1151,F1151)=0),"",S1151/IF(ISNUMBER(G1151),G1151,F1151))</f>
        <v/>
      </c>
      <c r="U1151" s="46">
        <f>IF(ISNUMBER(T1151),ABS(T1151),"")</f>
        <v/>
      </c>
      <c r="V1151" s="46">
        <f>IF(OR($D1150&lt;&gt;"측정",$C1150&lt;&gt;$C1151,NOT(ISNUMBER(L1151)),NOT(ISNUMBER(L1150)),(IF(ISNUMBER(G1151),G1151,F1151)-IF(ISNUMBER(G1150),G1150,F1150))=0),"",(L1151-L1150)/(IF(ISNUMBER(G1151),G1151,F1151)-IF(ISNUMBER(G1150),G1150,F1150)))</f>
        <v/>
      </c>
      <c r="W1151" s="30">
        <f>IF(NOT(AND(ISNUMBER(N1151),ISNUMBER(P1151))),"",(P1151-N1151)*1440)</f>
        <v/>
      </c>
      <c r="X1151" s="28" t="n"/>
      <c r="Y1151" s="28" t="n"/>
      <c r="Z1151" s="28" t="n"/>
      <c r="AA1151" s="31" t="n"/>
      <c r="AB1151" s="31" t="n"/>
    </row>
    <row r="1152">
      <c r="A1152" s="25" t="inlineStr">
        <is>
          <t>S23</t>
        </is>
      </c>
      <c r="B1152" s="25" t="inlineStr">
        <is>
          <t>덕산 신규점1</t>
        </is>
      </c>
      <c r="C1152" s="25" t="inlineStr">
        <is>
          <t>S23-H동</t>
        </is>
      </c>
      <c r="D1152" s="25" t="inlineStr">
        <is>
          <t>측정</t>
        </is>
      </c>
      <c r="E1152" s="25" t="inlineStr">
        <is>
          <t>동</t>
        </is>
      </c>
      <c r="F1152" s="30" t="n">
        <v>2</v>
      </c>
      <c r="G1152" s="29" t="n"/>
      <c r="H1152" s="42" t="n"/>
      <c r="I1152" s="40" t="n"/>
      <c r="J1152" s="40" t="n"/>
      <c r="K1152" s="40" t="n"/>
      <c r="L1152" s="30">
        <f>IF(COUNT(I1152:K1152)=0,"",MEDIAN(I1152:K1152))</f>
        <v/>
      </c>
      <c r="M1152" s="25">
        <f>IF(COUNTIFS($C:$C,$C1152,$D:$D,"P0(전)",$L:$L,"&gt;0")&lt;&gt;1,"P0(전) 유효 1개 아님",IF(COUNTIFS($C:$C,$C1152,$D:$D,"P0(후)",$L:$L,"&gt;0")&lt;&gt;1,"P0(후) 유효 1개 아님",IF(NOT(AND(ISNUMBER(N1152),ISNUMBER(P1152),ISNUMBER(H1152))),"시각 결측",IF(P1152&lt;=N1152,"P0 시각 역전",IF(OR(H1152&lt;N1152,H1152&gt;P1152),"측정시각 구간 밖","OK")))))</f>
        <v/>
      </c>
      <c r="N1152" s="45">
        <f>IF(COUNTIFS($C:$C,$C1152,$D:$D,"P0(전)",$L:$L,"&gt;0")&lt;&gt;1,"",SUMIFS($H:$H,$C:$C,$C1152,$D:$D,"P0(전)"))</f>
        <v/>
      </c>
      <c r="O1152" s="30">
        <f>IF(COUNTIFS($C:$C,$C1152,$D:$D,"P0(전)",$L:$L,"&gt;0")&lt;&gt;1,"",SUMIFS($L:$L,$C:$C,$C1152,$D:$D,"P0(전)"))</f>
        <v/>
      </c>
      <c r="P1152" s="45">
        <f>IF(COUNTIFS($C:$C,$C1152,$D:$D,"P0(후)",$L:$L,"&gt;0")&lt;&gt;1,"",SUMIFS($H:$H,$C:$C,$C1152,$D:$D,"P0(후)"))</f>
        <v/>
      </c>
      <c r="Q1152" s="30">
        <f>IF(COUNTIFS($C:$C,$C1152,$D:$D,"P0(후)",$L:$L,"&gt;0")&lt;&gt;1,"",SUMIFS($L:$L,$C:$C,$C1152,$D:$D,"P0(후)"))</f>
        <v/>
      </c>
      <c r="R1152" s="30">
        <f>IF(M1152&lt;&gt;"OK","",O1152+(Q1152-O1152)*(H1152-N1152)/(P1152-N1152))</f>
        <v/>
      </c>
      <c r="S1152" s="30">
        <f>IF(OR(M1152&lt;&gt;"OK",NOT(ISNUMBER(L1152))),"",L1152-R1152)</f>
        <v/>
      </c>
      <c r="T1152" s="46">
        <f>IF(OR(NOT(ISNUMBER(S1152)),IF(ISNUMBER(G1152),G1152,F1152)=0),"",S1152/IF(ISNUMBER(G1152),G1152,F1152))</f>
        <v/>
      </c>
      <c r="U1152" s="46">
        <f>IF(ISNUMBER(T1152),ABS(T1152),"")</f>
        <v/>
      </c>
      <c r="V1152" s="46">
        <f>IF(OR($D1151&lt;&gt;"측정",$C1151&lt;&gt;$C1152,NOT(ISNUMBER(L1152)),NOT(ISNUMBER(L1151)),(IF(ISNUMBER(G1152),G1152,F1152)-IF(ISNUMBER(G1151),G1151,F1151))=0),"",(L1152-L1151)/(IF(ISNUMBER(G1152),G1152,F1152)-IF(ISNUMBER(G1151),G1151,F1151)))</f>
        <v/>
      </c>
      <c r="W1152" s="30">
        <f>IF(NOT(AND(ISNUMBER(N1152),ISNUMBER(P1152))),"",(P1152-N1152)*1440)</f>
        <v/>
      </c>
      <c r="X1152" s="28" t="n"/>
      <c r="Y1152" s="28" t="n"/>
      <c r="Z1152" s="28" t="n"/>
      <c r="AA1152" s="31" t="n"/>
      <c r="AB1152" s="31" t="n"/>
    </row>
    <row r="1153">
      <c r="A1153" s="25" t="inlineStr">
        <is>
          <t>S23</t>
        </is>
      </c>
      <c r="B1153" s="25" t="inlineStr">
        <is>
          <t>덕산 신규점1</t>
        </is>
      </c>
      <c r="C1153" s="25" t="inlineStr">
        <is>
          <t>S23-H동</t>
        </is>
      </c>
      <c r="D1153" s="25" t="inlineStr">
        <is>
          <t>측정</t>
        </is>
      </c>
      <c r="E1153" s="25" t="inlineStr">
        <is>
          <t>동</t>
        </is>
      </c>
      <c r="F1153" s="30" t="n">
        <v>3</v>
      </c>
      <c r="G1153" s="29" t="n"/>
      <c r="H1153" s="42" t="n"/>
      <c r="I1153" s="40" t="n"/>
      <c r="J1153" s="40" t="n"/>
      <c r="K1153" s="40" t="n"/>
      <c r="L1153" s="30">
        <f>IF(COUNT(I1153:K1153)=0,"",MEDIAN(I1153:K1153))</f>
        <v/>
      </c>
      <c r="M1153" s="25">
        <f>IF(COUNTIFS($C:$C,$C1153,$D:$D,"P0(전)",$L:$L,"&gt;0")&lt;&gt;1,"P0(전) 유효 1개 아님",IF(COUNTIFS($C:$C,$C1153,$D:$D,"P0(후)",$L:$L,"&gt;0")&lt;&gt;1,"P0(후) 유효 1개 아님",IF(NOT(AND(ISNUMBER(N1153),ISNUMBER(P1153),ISNUMBER(H1153))),"시각 결측",IF(P1153&lt;=N1153,"P0 시각 역전",IF(OR(H1153&lt;N1153,H1153&gt;P1153),"측정시각 구간 밖","OK")))))</f>
        <v/>
      </c>
      <c r="N1153" s="45">
        <f>IF(COUNTIFS($C:$C,$C1153,$D:$D,"P0(전)",$L:$L,"&gt;0")&lt;&gt;1,"",SUMIFS($H:$H,$C:$C,$C1153,$D:$D,"P0(전)"))</f>
        <v/>
      </c>
      <c r="O1153" s="30">
        <f>IF(COUNTIFS($C:$C,$C1153,$D:$D,"P0(전)",$L:$L,"&gt;0")&lt;&gt;1,"",SUMIFS($L:$L,$C:$C,$C1153,$D:$D,"P0(전)"))</f>
        <v/>
      </c>
      <c r="P1153" s="45">
        <f>IF(COUNTIFS($C:$C,$C1153,$D:$D,"P0(후)",$L:$L,"&gt;0")&lt;&gt;1,"",SUMIFS($H:$H,$C:$C,$C1153,$D:$D,"P0(후)"))</f>
        <v/>
      </c>
      <c r="Q1153" s="30">
        <f>IF(COUNTIFS($C:$C,$C1153,$D:$D,"P0(후)",$L:$L,"&gt;0")&lt;&gt;1,"",SUMIFS($L:$L,$C:$C,$C1153,$D:$D,"P0(후)"))</f>
        <v/>
      </c>
      <c r="R1153" s="30">
        <f>IF(M1153&lt;&gt;"OK","",O1153+(Q1153-O1153)*(H1153-N1153)/(P1153-N1153))</f>
        <v/>
      </c>
      <c r="S1153" s="30">
        <f>IF(OR(M1153&lt;&gt;"OK",NOT(ISNUMBER(L1153))),"",L1153-R1153)</f>
        <v/>
      </c>
      <c r="T1153" s="46">
        <f>IF(OR(NOT(ISNUMBER(S1153)),IF(ISNUMBER(G1153),G1153,F1153)=0),"",S1153/IF(ISNUMBER(G1153),G1153,F1153))</f>
        <v/>
      </c>
      <c r="U1153" s="46">
        <f>IF(ISNUMBER(T1153),ABS(T1153),"")</f>
        <v/>
      </c>
      <c r="V1153" s="46">
        <f>IF(OR($D1152&lt;&gt;"측정",$C1152&lt;&gt;$C1153,NOT(ISNUMBER(L1153)),NOT(ISNUMBER(L1152)),(IF(ISNUMBER(G1153),G1153,F1153)-IF(ISNUMBER(G1152),G1152,F1152))=0),"",(L1153-L1152)/(IF(ISNUMBER(G1153),G1153,F1153)-IF(ISNUMBER(G1152),G1152,F1152)))</f>
        <v/>
      </c>
      <c r="W1153" s="30">
        <f>IF(NOT(AND(ISNUMBER(N1153),ISNUMBER(P1153))),"",(P1153-N1153)*1440)</f>
        <v/>
      </c>
      <c r="X1153" s="28" t="n"/>
      <c r="Y1153" s="28" t="n"/>
      <c r="Z1153" s="28" t="n"/>
      <c r="AA1153" s="31" t="n"/>
      <c r="AB1153" s="31" t="n"/>
    </row>
    <row r="1154">
      <c r="A1154" s="25" t="inlineStr">
        <is>
          <t>S23</t>
        </is>
      </c>
      <c r="B1154" s="25" t="inlineStr">
        <is>
          <t>덕산 신규점1</t>
        </is>
      </c>
      <c r="C1154" s="25" t="inlineStr">
        <is>
          <t>S23-H동</t>
        </is>
      </c>
      <c r="D1154" s="25" t="inlineStr">
        <is>
          <t>측정</t>
        </is>
      </c>
      <c r="E1154" s="25" t="inlineStr">
        <is>
          <t>동</t>
        </is>
      </c>
      <c r="F1154" s="30" t="n">
        <v>4</v>
      </c>
      <c r="G1154" s="29" t="n"/>
      <c r="H1154" s="42" t="n"/>
      <c r="I1154" s="40" t="n"/>
      <c r="J1154" s="40" t="n"/>
      <c r="K1154" s="40" t="n"/>
      <c r="L1154" s="30">
        <f>IF(COUNT(I1154:K1154)=0,"",MEDIAN(I1154:K1154))</f>
        <v/>
      </c>
      <c r="M1154" s="25">
        <f>IF(COUNTIFS($C:$C,$C1154,$D:$D,"P0(전)",$L:$L,"&gt;0")&lt;&gt;1,"P0(전) 유효 1개 아님",IF(COUNTIFS($C:$C,$C1154,$D:$D,"P0(후)",$L:$L,"&gt;0")&lt;&gt;1,"P0(후) 유효 1개 아님",IF(NOT(AND(ISNUMBER(N1154),ISNUMBER(P1154),ISNUMBER(H1154))),"시각 결측",IF(P1154&lt;=N1154,"P0 시각 역전",IF(OR(H1154&lt;N1154,H1154&gt;P1154),"측정시각 구간 밖","OK")))))</f>
        <v/>
      </c>
      <c r="N1154" s="45">
        <f>IF(COUNTIFS($C:$C,$C1154,$D:$D,"P0(전)",$L:$L,"&gt;0")&lt;&gt;1,"",SUMIFS($H:$H,$C:$C,$C1154,$D:$D,"P0(전)"))</f>
        <v/>
      </c>
      <c r="O1154" s="30">
        <f>IF(COUNTIFS($C:$C,$C1154,$D:$D,"P0(전)",$L:$L,"&gt;0")&lt;&gt;1,"",SUMIFS($L:$L,$C:$C,$C1154,$D:$D,"P0(전)"))</f>
        <v/>
      </c>
      <c r="P1154" s="45">
        <f>IF(COUNTIFS($C:$C,$C1154,$D:$D,"P0(후)",$L:$L,"&gt;0")&lt;&gt;1,"",SUMIFS($H:$H,$C:$C,$C1154,$D:$D,"P0(후)"))</f>
        <v/>
      </c>
      <c r="Q1154" s="30">
        <f>IF(COUNTIFS($C:$C,$C1154,$D:$D,"P0(후)",$L:$L,"&gt;0")&lt;&gt;1,"",SUMIFS($L:$L,$C:$C,$C1154,$D:$D,"P0(후)"))</f>
        <v/>
      </c>
      <c r="R1154" s="30">
        <f>IF(M1154&lt;&gt;"OK","",O1154+(Q1154-O1154)*(H1154-N1154)/(P1154-N1154))</f>
        <v/>
      </c>
      <c r="S1154" s="30">
        <f>IF(OR(M1154&lt;&gt;"OK",NOT(ISNUMBER(L1154))),"",L1154-R1154)</f>
        <v/>
      </c>
      <c r="T1154" s="46">
        <f>IF(OR(NOT(ISNUMBER(S1154)),IF(ISNUMBER(G1154),G1154,F1154)=0),"",S1154/IF(ISNUMBER(G1154),G1154,F1154))</f>
        <v/>
      </c>
      <c r="U1154" s="46">
        <f>IF(ISNUMBER(T1154),ABS(T1154),"")</f>
        <v/>
      </c>
      <c r="V1154" s="46">
        <f>IF(OR($D1153&lt;&gt;"측정",$C1153&lt;&gt;$C1154,NOT(ISNUMBER(L1154)),NOT(ISNUMBER(L1153)),(IF(ISNUMBER(G1154),G1154,F1154)-IF(ISNUMBER(G1153),G1153,F1153))=0),"",(L1154-L1153)/(IF(ISNUMBER(G1154),G1154,F1154)-IF(ISNUMBER(G1153),G1153,F1153)))</f>
        <v/>
      </c>
      <c r="W1154" s="30">
        <f>IF(NOT(AND(ISNUMBER(N1154),ISNUMBER(P1154))),"",(P1154-N1154)*1440)</f>
        <v/>
      </c>
      <c r="X1154" s="28" t="n"/>
      <c r="Y1154" s="28" t="n"/>
      <c r="Z1154" s="28" t="n"/>
      <c r="AA1154" s="31" t="n"/>
      <c r="AB1154" s="31" t="n"/>
    </row>
    <row r="1155">
      <c r="A1155" s="25" t="inlineStr">
        <is>
          <t>S23</t>
        </is>
      </c>
      <c r="B1155" s="25" t="inlineStr">
        <is>
          <t>덕산 신규점1</t>
        </is>
      </c>
      <c r="C1155" s="25" t="inlineStr">
        <is>
          <t>S23-H동</t>
        </is>
      </c>
      <c r="D1155" s="25" t="inlineStr">
        <is>
          <t>측정</t>
        </is>
      </c>
      <c r="E1155" s="25" t="inlineStr">
        <is>
          <t>동</t>
        </is>
      </c>
      <c r="F1155" s="30" t="n">
        <v>5</v>
      </c>
      <c r="G1155" s="29" t="n"/>
      <c r="H1155" s="42" t="n"/>
      <c r="I1155" s="40" t="n"/>
      <c r="J1155" s="40" t="n"/>
      <c r="K1155" s="40" t="n"/>
      <c r="L1155" s="30">
        <f>IF(COUNT(I1155:K1155)=0,"",MEDIAN(I1155:K1155))</f>
        <v/>
      </c>
      <c r="M1155" s="25">
        <f>IF(COUNTIFS($C:$C,$C1155,$D:$D,"P0(전)",$L:$L,"&gt;0")&lt;&gt;1,"P0(전) 유효 1개 아님",IF(COUNTIFS($C:$C,$C1155,$D:$D,"P0(후)",$L:$L,"&gt;0")&lt;&gt;1,"P0(후) 유효 1개 아님",IF(NOT(AND(ISNUMBER(N1155),ISNUMBER(P1155),ISNUMBER(H1155))),"시각 결측",IF(P1155&lt;=N1155,"P0 시각 역전",IF(OR(H1155&lt;N1155,H1155&gt;P1155),"측정시각 구간 밖","OK")))))</f>
        <v/>
      </c>
      <c r="N1155" s="45">
        <f>IF(COUNTIFS($C:$C,$C1155,$D:$D,"P0(전)",$L:$L,"&gt;0")&lt;&gt;1,"",SUMIFS($H:$H,$C:$C,$C1155,$D:$D,"P0(전)"))</f>
        <v/>
      </c>
      <c r="O1155" s="30">
        <f>IF(COUNTIFS($C:$C,$C1155,$D:$D,"P0(전)",$L:$L,"&gt;0")&lt;&gt;1,"",SUMIFS($L:$L,$C:$C,$C1155,$D:$D,"P0(전)"))</f>
        <v/>
      </c>
      <c r="P1155" s="45">
        <f>IF(COUNTIFS($C:$C,$C1155,$D:$D,"P0(후)",$L:$L,"&gt;0")&lt;&gt;1,"",SUMIFS($H:$H,$C:$C,$C1155,$D:$D,"P0(후)"))</f>
        <v/>
      </c>
      <c r="Q1155" s="30">
        <f>IF(COUNTIFS($C:$C,$C1155,$D:$D,"P0(후)",$L:$L,"&gt;0")&lt;&gt;1,"",SUMIFS($L:$L,$C:$C,$C1155,$D:$D,"P0(후)"))</f>
        <v/>
      </c>
      <c r="R1155" s="30">
        <f>IF(M1155&lt;&gt;"OK","",O1155+(Q1155-O1155)*(H1155-N1155)/(P1155-N1155))</f>
        <v/>
      </c>
      <c r="S1155" s="30">
        <f>IF(OR(M1155&lt;&gt;"OK",NOT(ISNUMBER(L1155))),"",L1155-R1155)</f>
        <v/>
      </c>
      <c r="T1155" s="46">
        <f>IF(OR(NOT(ISNUMBER(S1155)),IF(ISNUMBER(G1155),G1155,F1155)=0),"",S1155/IF(ISNUMBER(G1155),G1155,F1155))</f>
        <v/>
      </c>
      <c r="U1155" s="46">
        <f>IF(ISNUMBER(T1155),ABS(T1155),"")</f>
        <v/>
      </c>
      <c r="V1155" s="46">
        <f>IF(OR($D1154&lt;&gt;"측정",$C1154&lt;&gt;$C1155,NOT(ISNUMBER(L1155)),NOT(ISNUMBER(L1154)),(IF(ISNUMBER(G1155),G1155,F1155)-IF(ISNUMBER(G1154),G1154,F1154))=0),"",(L1155-L1154)/(IF(ISNUMBER(G1155),G1155,F1155)-IF(ISNUMBER(G1154),G1154,F1154)))</f>
        <v/>
      </c>
      <c r="W1155" s="30">
        <f>IF(NOT(AND(ISNUMBER(N1155),ISNUMBER(P1155))),"",(P1155-N1155)*1440)</f>
        <v/>
      </c>
      <c r="X1155" s="28" t="n"/>
      <c r="Y1155" s="28" t="n"/>
      <c r="Z1155" s="28" t="n"/>
      <c r="AA1155" s="31" t="n"/>
      <c r="AB1155" s="31" t="n"/>
    </row>
    <row r="1156">
      <c r="A1156" s="25" t="inlineStr">
        <is>
          <t>S23</t>
        </is>
      </c>
      <c r="B1156" s="25" t="inlineStr">
        <is>
          <t>덕산 신규점1</t>
        </is>
      </c>
      <c r="C1156" s="25" t="inlineStr">
        <is>
          <t>S23-H동</t>
        </is>
      </c>
      <c r="D1156" s="25" t="inlineStr">
        <is>
          <t>측정</t>
        </is>
      </c>
      <c r="E1156" s="25" t="inlineStr">
        <is>
          <t>동</t>
        </is>
      </c>
      <c r="F1156" s="30" t="n">
        <v>6</v>
      </c>
      <c r="G1156" s="29" t="n"/>
      <c r="H1156" s="42" t="n"/>
      <c r="I1156" s="40" t="n"/>
      <c r="J1156" s="40" t="n"/>
      <c r="K1156" s="40" t="n"/>
      <c r="L1156" s="30">
        <f>IF(COUNT(I1156:K1156)=0,"",MEDIAN(I1156:K1156))</f>
        <v/>
      </c>
      <c r="M1156" s="25">
        <f>IF(COUNTIFS($C:$C,$C1156,$D:$D,"P0(전)",$L:$L,"&gt;0")&lt;&gt;1,"P0(전) 유효 1개 아님",IF(COUNTIFS($C:$C,$C1156,$D:$D,"P0(후)",$L:$L,"&gt;0")&lt;&gt;1,"P0(후) 유효 1개 아님",IF(NOT(AND(ISNUMBER(N1156),ISNUMBER(P1156),ISNUMBER(H1156))),"시각 결측",IF(P1156&lt;=N1156,"P0 시각 역전",IF(OR(H1156&lt;N1156,H1156&gt;P1156),"측정시각 구간 밖","OK")))))</f>
        <v/>
      </c>
      <c r="N1156" s="45">
        <f>IF(COUNTIFS($C:$C,$C1156,$D:$D,"P0(전)",$L:$L,"&gt;0")&lt;&gt;1,"",SUMIFS($H:$H,$C:$C,$C1156,$D:$D,"P0(전)"))</f>
        <v/>
      </c>
      <c r="O1156" s="30">
        <f>IF(COUNTIFS($C:$C,$C1156,$D:$D,"P0(전)",$L:$L,"&gt;0")&lt;&gt;1,"",SUMIFS($L:$L,$C:$C,$C1156,$D:$D,"P0(전)"))</f>
        <v/>
      </c>
      <c r="P1156" s="45">
        <f>IF(COUNTIFS($C:$C,$C1156,$D:$D,"P0(후)",$L:$L,"&gt;0")&lt;&gt;1,"",SUMIFS($H:$H,$C:$C,$C1156,$D:$D,"P0(후)"))</f>
        <v/>
      </c>
      <c r="Q1156" s="30">
        <f>IF(COUNTIFS($C:$C,$C1156,$D:$D,"P0(후)",$L:$L,"&gt;0")&lt;&gt;1,"",SUMIFS($L:$L,$C:$C,$C1156,$D:$D,"P0(후)"))</f>
        <v/>
      </c>
      <c r="R1156" s="30">
        <f>IF(M1156&lt;&gt;"OK","",O1156+(Q1156-O1156)*(H1156-N1156)/(P1156-N1156))</f>
        <v/>
      </c>
      <c r="S1156" s="30">
        <f>IF(OR(M1156&lt;&gt;"OK",NOT(ISNUMBER(L1156))),"",L1156-R1156)</f>
        <v/>
      </c>
      <c r="T1156" s="46">
        <f>IF(OR(NOT(ISNUMBER(S1156)),IF(ISNUMBER(G1156),G1156,F1156)=0),"",S1156/IF(ISNUMBER(G1156),G1156,F1156))</f>
        <v/>
      </c>
      <c r="U1156" s="46">
        <f>IF(ISNUMBER(T1156),ABS(T1156),"")</f>
        <v/>
      </c>
      <c r="V1156" s="46">
        <f>IF(OR($D1155&lt;&gt;"측정",$C1155&lt;&gt;$C1156,NOT(ISNUMBER(L1156)),NOT(ISNUMBER(L1155)),(IF(ISNUMBER(G1156),G1156,F1156)-IF(ISNUMBER(G1155),G1155,F1155))=0),"",(L1156-L1155)/(IF(ISNUMBER(G1156),G1156,F1156)-IF(ISNUMBER(G1155),G1155,F1155)))</f>
        <v/>
      </c>
      <c r="W1156" s="30">
        <f>IF(NOT(AND(ISNUMBER(N1156),ISNUMBER(P1156))),"",(P1156-N1156)*1440)</f>
        <v/>
      </c>
      <c r="X1156" s="28" t="n"/>
      <c r="Y1156" s="28" t="n"/>
      <c r="Z1156" s="28" t="n"/>
      <c r="AA1156" s="31" t="n"/>
      <c r="AB1156" s="31" t="n"/>
    </row>
    <row r="1157">
      <c r="A1157" s="25" t="inlineStr">
        <is>
          <t>S23</t>
        </is>
      </c>
      <c r="B1157" s="25" t="inlineStr">
        <is>
          <t>덕산 신규점1</t>
        </is>
      </c>
      <c r="C1157" s="25" t="inlineStr">
        <is>
          <t>S23-H동</t>
        </is>
      </c>
      <c r="D1157" s="25" t="inlineStr">
        <is>
          <t>측정</t>
        </is>
      </c>
      <c r="E1157" s="25" t="inlineStr">
        <is>
          <t>동</t>
        </is>
      </c>
      <c r="F1157" s="30" t="n">
        <v>7</v>
      </c>
      <c r="G1157" s="29" t="n"/>
      <c r="H1157" s="42" t="n"/>
      <c r="I1157" s="40" t="n"/>
      <c r="J1157" s="40" t="n"/>
      <c r="K1157" s="40" t="n"/>
      <c r="L1157" s="30">
        <f>IF(COUNT(I1157:K1157)=0,"",MEDIAN(I1157:K1157))</f>
        <v/>
      </c>
      <c r="M1157" s="25">
        <f>IF(COUNTIFS($C:$C,$C1157,$D:$D,"P0(전)",$L:$L,"&gt;0")&lt;&gt;1,"P0(전) 유효 1개 아님",IF(COUNTIFS($C:$C,$C1157,$D:$D,"P0(후)",$L:$L,"&gt;0")&lt;&gt;1,"P0(후) 유효 1개 아님",IF(NOT(AND(ISNUMBER(N1157),ISNUMBER(P1157),ISNUMBER(H1157))),"시각 결측",IF(P1157&lt;=N1157,"P0 시각 역전",IF(OR(H1157&lt;N1157,H1157&gt;P1157),"측정시각 구간 밖","OK")))))</f>
        <v/>
      </c>
      <c r="N1157" s="45">
        <f>IF(COUNTIFS($C:$C,$C1157,$D:$D,"P0(전)",$L:$L,"&gt;0")&lt;&gt;1,"",SUMIFS($H:$H,$C:$C,$C1157,$D:$D,"P0(전)"))</f>
        <v/>
      </c>
      <c r="O1157" s="30">
        <f>IF(COUNTIFS($C:$C,$C1157,$D:$D,"P0(전)",$L:$L,"&gt;0")&lt;&gt;1,"",SUMIFS($L:$L,$C:$C,$C1157,$D:$D,"P0(전)"))</f>
        <v/>
      </c>
      <c r="P1157" s="45">
        <f>IF(COUNTIFS($C:$C,$C1157,$D:$D,"P0(후)",$L:$L,"&gt;0")&lt;&gt;1,"",SUMIFS($H:$H,$C:$C,$C1157,$D:$D,"P0(후)"))</f>
        <v/>
      </c>
      <c r="Q1157" s="30">
        <f>IF(COUNTIFS($C:$C,$C1157,$D:$D,"P0(후)",$L:$L,"&gt;0")&lt;&gt;1,"",SUMIFS($L:$L,$C:$C,$C1157,$D:$D,"P0(후)"))</f>
        <v/>
      </c>
      <c r="R1157" s="30">
        <f>IF(M1157&lt;&gt;"OK","",O1157+(Q1157-O1157)*(H1157-N1157)/(P1157-N1157))</f>
        <v/>
      </c>
      <c r="S1157" s="30">
        <f>IF(OR(M1157&lt;&gt;"OK",NOT(ISNUMBER(L1157))),"",L1157-R1157)</f>
        <v/>
      </c>
      <c r="T1157" s="46">
        <f>IF(OR(NOT(ISNUMBER(S1157)),IF(ISNUMBER(G1157),G1157,F1157)=0),"",S1157/IF(ISNUMBER(G1157),G1157,F1157))</f>
        <v/>
      </c>
      <c r="U1157" s="46">
        <f>IF(ISNUMBER(T1157),ABS(T1157),"")</f>
        <v/>
      </c>
      <c r="V1157" s="46">
        <f>IF(OR($D1156&lt;&gt;"측정",$C1156&lt;&gt;$C1157,NOT(ISNUMBER(L1157)),NOT(ISNUMBER(L1156)),(IF(ISNUMBER(G1157),G1157,F1157)-IF(ISNUMBER(G1156),G1156,F1156))=0),"",(L1157-L1156)/(IF(ISNUMBER(G1157),G1157,F1157)-IF(ISNUMBER(G1156),G1156,F1156)))</f>
        <v/>
      </c>
      <c r="W1157" s="30">
        <f>IF(NOT(AND(ISNUMBER(N1157),ISNUMBER(P1157))),"",(P1157-N1157)*1440)</f>
        <v/>
      </c>
      <c r="X1157" s="28" t="n"/>
      <c r="Y1157" s="28" t="n"/>
      <c r="Z1157" s="28" t="n"/>
      <c r="AA1157" s="31" t="n"/>
      <c r="AB1157" s="31" t="n"/>
    </row>
    <row r="1158">
      <c r="A1158" s="25" t="inlineStr">
        <is>
          <t>S23</t>
        </is>
      </c>
      <c r="B1158" s="25" t="inlineStr">
        <is>
          <t>덕산 신규점1</t>
        </is>
      </c>
      <c r="C1158" s="25" t="inlineStr">
        <is>
          <t>S23-H동</t>
        </is>
      </c>
      <c r="D1158" s="25" t="inlineStr">
        <is>
          <t>측정</t>
        </is>
      </c>
      <c r="E1158" s="25" t="inlineStr">
        <is>
          <t>동</t>
        </is>
      </c>
      <c r="F1158" s="30" t="n">
        <v>8</v>
      </c>
      <c r="G1158" s="29" t="n"/>
      <c r="H1158" s="42" t="n"/>
      <c r="I1158" s="40" t="n"/>
      <c r="J1158" s="40" t="n"/>
      <c r="K1158" s="40" t="n"/>
      <c r="L1158" s="30">
        <f>IF(COUNT(I1158:K1158)=0,"",MEDIAN(I1158:K1158))</f>
        <v/>
      </c>
      <c r="M1158" s="25">
        <f>IF(COUNTIFS($C:$C,$C1158,$D:$D,"P0(전)",$L:$L,"&gt;0")&lt;&gt;1,"P0(전) 유효 1개 아님",IF(COUNTIFS($C:$C,$C1158,$D:$D,"P0(후)",$L:$L,"&gt;0")&lt;&gt;1,"P0(후) 유효 1개 아님",IF(NOT(AND(ISNUMBER(N1158),ISNUMBER(P1158),ISNUMBER(H1158))),"시각 결측",IF(P1158&lt;=N1158,"P0 시각 역전",IF(OR(H1158&lt;N1158,H1158&gt;P1158),"측정시각 구간 밖","OK")))))</f>
        <v/>
      </c>
      <c r="N1158" s="45">
        <f>IF(COUNTIFS($C:$C,$C1158,$D:$D,"P0(전)",$L:$L,"&gt;0")&lt;&gt;1,"",SUMIFS($H:$H,$C:$C,$C1158,$D:$D,"P0(전)"))</f>
        <v/>
      </c>
      <c r="O1158" s="30">
        <f>IF(COUNTIFS($C:$C,$C1158,$D:$D,"P0(전)",$L:$L,"&gt;0")&lt;&gt;1,"",SUMIFS($L:$L,$C:$C,$C1158,$D:$D,"P0(전)"))</f>
        <v/>
      </c>
      <c r="P1158" s="45">
        <f>IF(COUNTIFS($C:$C,$C1158,$D:$D,"P0(후)",$L:$L,"&gt;0")&lt;&gt;1,"",SUMIFS($H:$H,$C:$C,$C1158,$D:$D,"P0(후)"))</f>
        <v/>
      </c>
      <c r="Q1158" s="30">
        <f>IF(COUNTIFS($C:$C,$C1158,$D:$D,"P0(후)",$L:$L,"&gt;0")&lt;&gt;1,"",SUMIFS($L:$L,$C:$C,$C1158,$D:$D,"P0(후)"))</f>
        <v/>
      </c>
      <c r="R1158" s="30">
        <f>IF(M1158&lt;&gt;"OK","",O1158+(Q1158-O1158)*(H1158-N1158)/(P1158-N1158))</f>
        <v/>
      </c>
      <c r="S1158" s="30">
        <f>IF(OR(M1158&lt;&gt;"OK",NOT(ISNUMBER(L1158))),"",L1158-R1158)</f>
        <v/>
      </c>
      <c r="T1158" s="46">
        <f>IF(OR(NOT(ISNUMBER(S1158)),IF(ISNUMBER(G1158),G1158,F1158)=0),"",S1158/IF(ISNUMBER(G1158),G1158,F1158))</f>
        <v/>
      </c>
      <c r="U1158" s="46">
        <f>IF(ISNUMBER(T1158),ABS(T1158),"")</f>
        <v/>
      </c>
      <c r="V1158" s="46">
        <f>IF(OR($D1157&lt;&gt;"측정",$C1157&lt;&gt;$C1158,NOT(ISNUMBER(L1158)),NOT(ISNUMBER(L1157)),(IF(ISNUMBER(G1158),G1158,F1158)-IF(ISNUMBER(G1157),G1157,F1157))=0),"",(L1158-L1157)/(IF(ISNUMBER(G1158),G1158,F1158)-IF(ISNUMBER(G1157),G1157,F1157)))</f>
        <v/>
      </c>
      <c r="W1158" s="30">
        <f>IF(NOT(AND(ISNUMBER(N1158),ISNUMBER(P1158))),"",(P1158-N1158)*1440)</f>
        <v/>
      </c>
      <c r="X1158" s="28" t="n"/>
      <c r="Y1158" s="28" t="n"/>
      <c r="Z1158" s="28" t="n"/>
      <c r="AA1158" s="31" t="n"/>
      <c r="AB1158" s="31" t="n"/>
    </row>
    <row r="1159">
      <c r="A1159" s="25" t="inlineStr">
        <is>
          <t>S23</t>
        </is>
      </c>
      <c r="B1159" s="25" t="inlineStr">
        <is>
          <t>덕산 신규점1</t>
        </is>
      </c>
      <c r="C1159" s="25" t="inlineStr">
        <is>
          <t>S23-H동</t>
        </is>
      </c>
      <c r="D1159" s="25" t="inlineStr">
        <is>
          <t>측정</t>
        </is>
      </c>
      <c r="E1159" s="25" t="inlineStr">
        <is>
          <t>동</t>
        </is>
      </c>
      <c r="F1159" s="30" t="n">
        <v>9</v>
      </c>
      <c r="G1159" s="29" t="n"/>
      <c r="H1159" s="42" t="n"/>
      <c r="I1159" s="40" t="n"/>
      <c r="J1159" s="40" t="n"/>
      <c r="K1159" s="40" t="n"/>
      <c r="L1159" s="30">
        <f>IF(COUNT(I1159:K1159)=0,"",MEDIAN(I1159:K1159))</f>
        <v/>
      </c>
      <c r="M1159" s="25">
        <f>IF(COUNTIFS($C:$C,$C1159,$D:$D,"P0(전)",$L:$L,"&gt;0")&lt;&gt;1,"P0(전) 유효 1개 아님",IF(COUNTIFS($C:$C,$C1159,$D:$D,"P0(후)",$L:$L,"&gt;0")&lt;&gt;1,"P0(후) 유효 1개 아님",IF(NOT(AND(ISNUMBER(N1159),ISNUMBER(P1159),ISNUMBER(H1159))),"시각 결측",IF(P1159&lt;=N1159,"P0 시각 역전",IF(OR(H1159&lt;N1159,H1159&gt;P1159),"측정시각 구간 밖","OK")))))</f>
        <v/>
      </c>
      <c r="N1159" s="45">
        <f>IF(COUNTIFS($C:$C,$C1159,$D:$D,"P0(전)",$L:$L,"&gt;0")&lt;&gt;1,"",SUMIFS($H:$H,$C:$C,$C1159,$D:$D,"P0(전)"))</f>
        <v/>
      </c>
      <c r="O1159" s="30">
        <f>IF(COUNTIFS($C:$C,$C1159,$D:$D,"P0(전)",$L:$L,"&gt;0")&lt;&gt;1,"",SUMIFS($L:$L,$C:$C,$C1159,$D:$D,"P0(전)"))</f>
        <v/>
      </c>
      <c r="P1159" s="45">
        <f>IF(COUNTIFS($C:$C,$C1159,$D:$D,"P0(후)",$L:$L,"&gt;0")&lt;&gt;1,"",SUMIFS($H:$H,$C:$C,$C1159,$D:$D,"P0(후)"))</f>
        <v/>
      </c>
      <c r="Q1159" s="30">
        <f>IF(COUNTIFS($C:$C,$C1159,$D:$D,"P0(후)",$L:$L,"&gt;0")&lt;&gt;1,"",SUMIFS($L:$L,$C:$C,$C1159,$D:$D,"P0(후)"))</f>
        <v/>
      </c>
      <c r="R1159" s="30">
        <f>IF(M1159&lt;&gt;"OK","",O1159+(Q1159-O1159)*(H1159-N1159)/(P1159-N1159))</f>
        <v/>
      </c>
      <c r="S1159" s="30">
        <f>IF(OR(M1159&lt;&gt;"OK",NOT(ISNUMBER(L1159))),"",L1159-R1159)</f>
        <v/>
      </c>
      <c r="T1159" s="46">
        <f>IF(OR(NOT(ISNUMBER(S1159)),IF(ISNUMBER(G1159),G1159,F1159)=0),"",S1159/IF(ISNUMBER(G1159),G1159,F1159))</f>
        <v/>
      </c>
      <c r="U1159" s="46">
        <f>IF(ISNUMBER(T1159),ABS(T1159),"")</f>
        <v/>
      </c>
      <c r="V1159" s="46">
        <f>IF(OR($D1158&lt;&gt;"측정",$C1158&lt;&gt;$C1159,NOT(ISNUMBER(L1159)),NOT(ISNUMBER(L1158)),(IF(ISNUMBER(G1159),G1159,F1159)-IF(ISNUMBER(G1158),G1158,F1158))=0),"",(L1159-L1158)/(IF(ISNUMBER(G1159),G1159,F1159)-IF(ISNUMBER(G1158),G1158,F1158)))</f>
        <v/>
      </c>
      <c r="W1159" s="30">
        <f>IF(NOT(AND(ISNUMBER(N1159),ISNUMBER(P1159))),"",(P1159-N1159)*1440)</f>
        <v/>
      </c>
      <c r="X1159" s="28" t="n"/>
      <c r="Y1159" s="28" t="n"/>
      <c r="Z1159" s="28" t="n"/>
      <c r="AA1159" s="31" t="n"/>
      <c r="AB1159" s="31" t="n"/>
    </row>
    <row r="1160">
      <c r="A1160" s="25" t="inlineStr">
        <is>
          <t>S23</t>
        </is>
      </c>
      <c r="B1160" s="25" t="inlineStr">
        <is>
          <t>덕산 신규점1</t>
        </is>
      </c>
      <c r="C1160" s="25" t="inlineStr">
        <is>
          <t>S23-H동</t>
        </is>
      </c>
      <c r="D1160" s="25" t="inlineStr">
        <is>
          <t>측정</t>
        </is>
      </c>
      <c r="E1160" s="25" t="inlineStr">
        <is>
          <t>동</t>
        </is>
      </c>
      <c r="F1160" s="30" t="n">
        <v>10</v>
      </c>
      <c r="G1160" s="29" t="n"/>
      <c r="H1160" s="42" t="n"/>
      <c r="I1160" s="40" t="n"/>
      <c r="J1160" s="40" t="n"/>
      <c r="K1160" s="40" t="n"/>
      <c r="L1160" s="30">
        <f>IF(COUNT(I1160:K1160)=0,"",MEDIAN(I1160:K1160))</f>
        <v/>
      </c>
      <c r="M1160" s="25">
        <f>IF(COUNTIFS($C:$C,$C1160,$D:$D,"P0(전)",$L:$L,"&gt;0")&lt;&gt;1,"P0(전) 유효 1개 아님",IF(COUNTIFS($C:$C,$C1160,$D:$D,"P0(후)",$L:$L,"&gt;0")&lt;&gt;1,"P0(후) 유효 1개 아님",IF(NOT(AND(ISNUMBER(N1160),ISNUMBER(P1160),ISNUMBER(H1160))),"시각 결측",IF(P1160&lt;=N1160,"P0 시각 역전",IF(OR(H1160&lt;N1160,H1160&gt;P1160),"측정시각 구간 밖","OK")))))</f>
        <v/>
      </c>
      <c r="N1160" s="45">
        <f>IF(COUNTIFS($C:$C,$C1160,$D:$D,"P0(전)",$L:$L,"&gt;0")&lt;&gt;1,"",SUMIFS($H:$H,$C:$C,$C1160,$D:$D,"P0(전)"))</f>
        <v/>
      </c>
      <c r="O1160" s="30">
        <f>IF(COUNTIFS($C:$C,$C1160,$D:$D,"P0(전)",$L:$L,"&gt;0")&lt;&gt;1,"",SUMIFS($L:$L,$C:$C,$C1160,$D:$D,"P0(전)"))</f>
        <v/>
      </c>
      <c r="P1160" s="45">
        <f>IF(COUNTIFS($C:$C,$C1160,$D:$D,"P0(후)",$L:$L,"&gt;0")&lt;&gt;1,"",SUMIFS($H:$H,$C:$C,$C1160,$D:$D,"P0(후)"))</f>
        <v/>
      </c>
      <c r="Q1160" s="30">
        <f>IF(COUNTIFS($C:$C,$C1160,$D:$D,"P0(후)",$L:$L,"&gt;0")&lt;&gt;1,"",SUMIFS($L:$L,$C:$C,$C1160,$D:$D,"P0(후)"))</f>
        <v/>
      </c>
      <c r="R1160" s="30">
        <f>IF(M1160&lt;&gt;"OK","",O1160+(Q1160-O1160)*(H1160-N1160)/(P1160-N1160))</f>
        <v/>
      </c>
      <c r="S1160" s="30">
        <f>IF(OR(M1160&lt;&gt;"OK",NOT(ISNUMBER(L1160))),"",L1160-R1160)</f>
        <v/>
      </c>
      <c r="T1160" s="46">
        <f>IF(OR(NOT(ISNUMBER(S1160)),IF(ISNUMBER(G1160),G1160,F1160)=0),"",S1160/IF(ISNUMBER(G1160),G1160,F1160))</f>
        <v/>
      </c>
      <c r="U1160" s="46">
        <f>IF(ISNUMBER(T1160),ABS(T1160),"")</f>
        <v/>
      </c>
      <c r="V1160" s="46">
        <f>IF(OR($D1159&lt;&gt;"측정",$C1159&lt;&gt;$C1160,NOT(ISNUMBER(L1160)),NOT(ISNUMBER(L1159)),(IF(ISNUMBER(G1160),G1160,F1160)-IF(ISNUMBER(G1159),G1159,F1159))=0),"",(L1160-L1159)/(IF(ISNUMBER(G1160),G1160,F1160)-IF(ISNUMBER(G1159),G1159,F1159)))</f>
        <v/>
      </c>
      <c r="W1160" s="30">
        <f>IF(NOT(AND(ISNUMBER(N1160),ISNUMBER(P1160))),"",(P1160-N1160)*1440)</f>
        <v/>
      </c>
      <c r="X1160" s="28" t="n"/>
      <c r="Y1160" s="28" t="n"/>
      <c r="Z1160" s="28" t="n"/>
      <c r="AA1160" s="31" t="n"/>
      <c r="AB1160" s="31" t="n"/>
    </row>
    <row r="1161">
      <c r="A1161" s="43" t="inlineStr">
        <is>
          <t>S23</t>
        </is>
      </c>
      <c r="B1161" s="43" t="inlineStr">
        <is>
          <t>덕산 신규점1</t>
        </is>
      </c>
      <c r="C1161" s="43" t="inlineStr">
        <is>
          <t>S23-H동</t>
        </is>
      </c>
      <c r="D1161" s="43" t="inlineStr">
        <is>
          <t>P0(후)</t>
        </is>
      </c>
      <c r="E1161" s="43" t="inlineStr">
        <is>
          <t>동</t>
        </is>
      </c>
      <c r="F1161" s="44" t="n"/>
      <c r="G1161" s="29" t="n"/>
      <c r="H1161" s="42" t="n"/>
      <c r="I1161" s="40" t="n"/>
      <c r="J1161" s="40" t="n"/>
      <c r="K1161" s="40" t="n"/>
      <c r="L1161" s="30">
        <f>IF(COUNT(I1161:K1161)=0,"",MEDIAN(I1161:K1161))</f>
        <v/>
      </c>
      <c r="M1161" s="37" t="n"/>
      <c r="N1161" s="37" t="n"/>
      <c r="O1161" s="37" t="n"/>
      <c r="P1161" s="37" t="n"/>
      <c r="Q1161" s="37" t="n"/>
      <c r="R1161" s="37" t="n"/>
      <c r="S1161" s="37" t="n"/>
      <c r="T1161" s="37" t="n"/>
      <c r="U1161" s="37" t="n"/>
      <c r="V1161" s="37" t="n"/>
      <c r="W1161" s="37" t="n"/>
      <c r="X1161" s="28" t="n"/>
      <c r="Y1161" s="28" t="n"/>
      <c r="Z1161" s="28" t="n"/>
      <c r="AA1161" s="31" t="n"/>
      <c r="AB1161" s="31" t="n"/>
    </row>
    <row r="1162">
      <c r="A1162" s="43" t="inlineStr">
        <is>
          <t>S23</t>
        </is>
      </c>
      <c r="B1162" s="43" t="inlineStr">
        <is>
          <t>덕산 신규점1</t>
        </is>
      </c>
      <c r="C1162" s="43" t="inlineStr">
        <is>
          <t>S23-H서</t>
        </is>
      </c>
      <c r="D1162" s="43" t="inlineStr">
        <is>
          <t>P0(전)</t>
        </is>
      </c>
      <c r="E1162" s="43" t="inlineStr">
        <is>
          <t>서</t>
        </is>
      </c>
      <c r="F1162" s="44" t="n"/>
      <c r="G1162" s="29" t="n"/>
      <c r="H1162" s="42" t="n"/>
      <c r="I1162" s="40" t="n"/>
      <c r="J1162" s="40" t="n"/>
      <c r="K1162" s="40" t="n"/>
      <c r="L1162" s="30">
        <f>IF(COUNT(I1162:K1162)=0,"",MEDIAN(I1162:K1162))</f>
        <v/>
      </c>
      <c r="M1162" s="37" t="n"/>
      <c r="N1162" s="37" t="n"/>
      <c r="O1162" s="37" t="n"/>
      <c r="P1162" s="37" t="n"/>
      <c r="Q1162" s="37" t="n"/>
      <c r="R1162" s="37" t="n"/>
      <c r="S1162" s="37" t="n"/>
      <c r="T1162" s="37" t="n"/>
      <c r="U1162" s="37" t="n"/>
      <c r="V1162" s="37" t="n"/>
      <c r="W1162" s="37" t="n"/>
      <c r="X1162" s="28" t="n"/>
      <c r="Y1162" s="28" t="n"/>
      <c r="Z1162" s="28" t="n"/>
      <c r="AA1162" s="31" t="n"/>
      <c r="AB1162" s="31" t="n"/>
    </row>
    <row r="1163">
      <c r="A1163" s="25" t="inlineStr">
        <is>
          <t>S23</t>
        </is>
      </c>
      <c r="B1163" s="25" t="inlineStr">
        <is>
          <t>덕산 신규점1</t>
        </is>
      </c>
      <c r="C1163" s="25" t="inlineStr">
        <is>
          <t>S23-H서</t>
        </is>
      </c>
      <c r="D1163" s="25" t="inlineStr">
        <is>
          <t>측정</t>
        </is>
      </c>
      <c r="E1163" s="25" t="inlineStr">
        <is>
          <t>서</t>
        </is>
      </c>
      <c r="F1163" s="30" t="n">
        <v>0.5</v>
      </c>
      <c r="G1163" s="29" t="n"/>
      <c r="H1163" s="42" t="n"/>
      <c r="I1163" s="40" t="n"/>
      <c r="J1163" s="40" t="n"/>
      <c r="K1163" s="40" t="n"/>
      <c r="L1163" s="30">
        <f>IF(COUNT(I1163:K1163)=0,"",MEDIAN(I1163:K1163))</f>
        <v/>
      </c>
      <c r="M1163" s="25">
        <f>IF(COUNTIFS($C:$C,$C1163,$D:$D,"P0(전)",$L:$L,"&gt;0")&lt;&gt;1,"P0(전) 유효 1개 아님",IF(COUNTIFS($C:$C,$C1163,$D:$D,"P0(후)",$L:$L,"&gt;0")&lt;&gt;1,"P0(후) 유효 1개 아님",IF(NOT(AND(ISNUMBER(N1163),ISNUMBER(P1163),ISNUMBER(H1163))),"시각 결측",IF(P1163&lt;=N1163,"P0 시각 역전",IF(OR(H1163&lt;N1163,H1163&gt;P1163),"측정시각 구간 밖","OK")))))</f>
        <v/>
      </c>
      <c r="N1163" s="45">
        <f>IF(COUNTIFS($C:$C,$C1163,$D:$D,"P0(전)",$L:$L,"&gt;0")&lt;&gt;1,"",SUMIFS($H:$H,$C:$C,$C1163,$D:$D,"P0(전)"))</f>
        <v/>
      </c>
      <c r="O1163" s="30">
        <f>IF(COUNTIFS($C:$C,$C1163,$D:$D,"P0(전)",$L:$L,"&gt;0")&lt;&gt;1,"",SUMIFS($L:$L,$C:$C,$C1163,$D:$D,"P0(전)"))</f>
        <v/>
      </c>
      <c r="P1163" s="45">
        <f>IF(COUNTIFS($C:$C,$C1163,$D:$D,"P0(후)",$L:$L,"&gt;0")&lt;&gt;1,"",SUMIFS($H:$H,$C:$C,$C1163,$D:$D,"P0(후)"))</f>
        <v/>
      </c>
      <c r="Q1163" s="30">
        <f>IF(COUNTIFS($C:$C,$C1163,$D:$D,"P0(후)",$L:$L,"&gt;0")&lt;&gt;1,"",SUMIFS($L:$L,$C:$C,$C1163,$D:$D,"P0(후)"))</f>
        <v/>
      </c>
      <c r="R1163" s="30">
        <f>IF(M1163&lt;&gt;"OK","",O1163+(Q1163-O1163)*(H1163-N1163)/(P1163-N1163))</f>
        <v/>
      </c>
      <c r="S1163" s="30">
        <f>IF(OR(M1163&lt;&gt;"OK",NOT(ISNUMBER(L1163))),"",L1163-R1163)</f>
        <v/>
      </c>
      <c r="T1163" s="46">
        <f>IF(OR(NOT(ISNUMBER(S1163)),IF(ISNUMBER(G1163),G1163,F1163)=0),"",S1163/IF(ISNUMBER(G1163),G1163,F1163))</f>
        <v/>
      </c>
      <c r="U1163" s="46">
        <f>IF(ISNUMBER(T1163),ABS(T1163),"")</f>
        <v/>
      </c>
      <c r="V1163" s="46">
        <f>IF(OR($D1162&lt;&gt;"측정",$C1162&lt;&gt;$C1163,NOT(ISNUMBER(L1163)),NOT(ISNUMBER(L1162)),(IF(ISNUMBER(G1163),G1163,F1163)-IF(ISNUMBER(G1162),G1162,F1162))=0),"",(L1163-L1162)/(IF(ISNUMBER(G1163),G1163,F1163)-IF(ISNUMBER(G1162),G1162,F1162)))</f>
        <v/>
      </c>
      <c r="W1163" s="30">
        <f>IF(NOT(AND(ISNUMBER(N1163),ISNUMBER(P1163))),"",(P1163-N1163)*1440)</f>
        <v/>
      </c>
      <c r="X1163" s="28" t="n"/>
      <c r="Y1163" s="28" t="n"/>
      <c r="Z1163" s="28" t="n"/>
      <c r="AA1163" s="31" t="n"/>
      <c r="AB1163" s="31" t="n"/>
    </row>
    <row r="1164">
      <c r="A1164" s="25" t="inlineStr">
        <is>
          <t>S23</t>
        </is>
      </c>
      <c r="B1164" s="25" t="inlineStr">
        <is>
          <t>덕산 신규점1</t>
        </is>
      </c>
      <c r="C1164" s="25" t="inlineStr">
        <is>
          <t>S23-H서</t>
        </is>
      </c>
      <c r="D1164" s="25" t="inlineStr">
        <is>
          <t>측정</t>
        </is>
      </c>
      <c r="E1164" s="25" t="inlineStr">
        <is>
          <t>서</t>
        </is>
      </c>
      <c r="F1164" s="30" t="n">
        <v>1</v>
      </c>
      <c r="G1164" s="29" t="n"/>
      <c r="H1164" s="42" t="n"/>
      <c r="I1164" s="40" t="n"/>
      <c r="J1164" s="40" t="n"/>
      <c r="K1164" s="40" t="n"/>
      <c r="L1164" s="30">
        <f>IF(COUNT(I1164:K1164)=0,"",MEDIAN(I1164:K1164))</f>
        <v/>
      </c>
      <c r="M1164" s="25">
        <f>IF(COUNTIFS($C:$C,$C1164,$D:$D,"P0(전)",$L:$L,"&gt;0")&lt;&gt;1,"P0(전) 유효 1개 아님",IF(COUNTIFS($C:$C,$C1164,$D:$D,"P0(후)",$L:$L,"&gt;0")&lt;&gt;1,"P0(후) 유효 1개 아님",IF(NOT(AND(ISNUMBER(N1164),ISNUMBER(P1164),ISNUMBER(H1164))),"시각 결측",IF(P1164&lt;=N1164,"P0 시각 역전",IF(OR(H1164&lt;N1164,H1164&gt;P1164),"측정시각 구간 밖","OK")))))</f>
        <v/>
      </c>
      <c r="N1164" s="45">
        <f>IF(COUNTIFS($C:$C,$C1164,$D:$D,"P0(전)",$L:$L,"&gt;0")&lt;&gt;1,"",SUMIFS($H:$H,$C:$C,$C1164,$D:$D,"P0(전)"))</f>
        <v/>
      </c>
      <c r="O1164" s="30">
        <f>IF(COUNTIFS($C:$C,$C1164,$D:$D,"P0(전)",$L:$L,"&gt;0")&lt;&gt;1,"",SUMIFS($L:$L,$C:$C,$C1164,$D:$D,"P0(전)"))</f>
        <v/>
      </c>
      <c r="P1164" s="45">
        <f>IF(COUNTIFS($C:$C,$C1164,$D:$D,"P0(후)",$L:$L,"&gt;0")&lt;&gt;1,"",SUMIFS($H:$H,$C:$C,$C1164,$D:$D,"P0(후)"))</f>
        <v/>
      </c>
      <c r="Q1164" s="30">
        <f>IF(COUNTIFS($C:$C,$C1164,$D:$D,"P0(후)",$L:$L,"&gt;0")&lt;&gt;1,"",SUMIFS($L:$L,$C:$C,$C1164,$D:$D,"P0(후)"))</f>
        <v/>
      </c>
      <c r="R1164" s="30">
        <f>IF(M1164&lt;&gt;"OK","",O1164+(Q1164-O1164)*(H1164-N1164)/(P1164-N1164))</f>
        <v/>
      </c>
      <c r="S1164" s="30">
        <f>IF(OR(M1164&lt;&gt;"OK",NOT(ISNUMBER(L1164))),"",L1164-R1164)</f>
        <v/>
      </c>
      <c r="T1164" s="46">
        <f>IF(OR(NOT(ISNUMBER(S1164)),IF(ISNUMBER(G1164),G1164,F1164)=0),"",S1164/IF(ISNUMBER(G1164),G1164,F1164))</f>
        <v/>
      </c>
      <c r="U1164" s="46">
        <f>IF(ISNUMBER(T1164),ABS(T1164),"")</f>
        <v/>
      </c>
      <c r="V1164" s="46">
        <f>IF(OR($D1163&lt;&gt;"측정",$C1163&lt;&gt;$C1164,NOT(ISNUMBER(L1164)),NOT(ISNUMBER(L1163)),(IF(ISNUMBER(G1164),G1164,F1164)-IF(ISNUMBER(G1163),G1163,F1163))=0),"",(L1164-L1163)/(IF(ISNUMBER(G1164),G1164,F1164)-IF(ISNUMBER(G1163),G1163,F1163)))</f>
        <v/>
      </c>
      <c r="W1164" s="30">
        <f>IF(NOT(AND(ISNUMBER(N1164),ISNUMBER(P1164))),"",(P1164-N1164)*1440)</f>
        <v/>
      </c>
      <c r="X1164" s="28" t="n"/>
      <c r="Y1164" s="28" t="n"/>
      <c r="Z1164" s="28" t="n"/>
      <c r="AA1164" s="31" t="n"/>
      <c r="AB1164" s="31" t="n"/>
    </row>
    <row r="1165">
      <c r="A1165" s="25" t="inlineStr">
        <is>
          <t>S23</t>
        </is>
      </c>
      <c r="B1165" s="25" t="inlineStr">
        <is>
          <t>덕산 신규점1</t>
        </is>
      </c>
      <c r="C1165" s="25" t="inlineStr">
        <is>
          <t>S23-H서</t>
        </is>
      </c>
      <c r="D1165" s="25" t="inlineStr">
        <is>
          <t>측정</t>
        </is>
      </c>
      <c r="E1165" s="25" t="inlineStr">
        <is>
          <t>서</t>
        </is>
      </c>
      <c r="F1165" s="30" t="n">
        <v>2</v>
      </c>
      <c r="G1165" s="29" t="n"/>
      <c r="H1165" s="42" t="n"/>
      <c r="I1165" s="40" t="n"/>
      <c r="J1165" s="40" t="n"/>
      <c r="K1165" s="40" t="n"/>
      <c r="L1165" s="30">
        <f>IF(COUNT(I1165:K1165)=0,"",MEDIAN(I1165:K1165))</f>
        <v/>
      </c>
      <c r="M1165" s="25">
        <f>IF(COUNTIFS($C:$C,$C1165,$D:$D,"P0(전)",$L:$L,"&gt;0")&lt;&gt;1,"P0(전) 유효 1개 아님",IF(COUNTIFS($C:$C,$C1165,$D:$D,"P0(후)",$L:$L,"&gt;0")&lt;&gt;1,"P0(후) 유효 1개 아님",IF(NOT(AND(ISNUMBER(N1165),ISNUMBER(P1165),ISNUMBER(H1165))),"시각 결측",IF(P1165&lt;=N1165,"P0 시각 역전",IF(OR(H1165&lt;N1165,H1165&gt;P1165),"측정시각 구간 밖","OK")))))</f>
        <v/>
      </c>
      <c r="N1165" s="45">
        <f>IF(COUNTIFS($C:$C,$C1165,$D:$D,"P0(전)",$L:$L,"&gt;0")&lt;&gt;1,"",SUMIFS($H:$H,$C:$C,$C1165,$D:$D,"P0(전)"))</f>
        <v/>
      </c>
      <c r="O1165" s="30">
        <f>IF(COUNTIFS($C:$C,$C1165,$D:$D,"P0(전)",$L:$L,"&gt;0")&lt;&gt;1,"",SUMIFS($L:$L,$C:$C,$C1165,$D:$D,"P0(전)"))</f>
        <v/>
      </c>
      <c r="P1165" s="45">
        <f>IF(COUNTIFS($C:$C,$C1165,$D:$D,"P0(후)",$L:$L,"&gt;0")&lt;&gt;1,"",SUMIFS($H:$H,$C:$C,$C1165,$D:$D,"P0(후)"))</f>
        <v/>
      </c>
      <c r="Q1165" s="30">
        <f>IF(COUNTIFS($C:$C,$C1165,$D:$D,"P0(후)",$L:$L,"&gt;0")&lt;&gt;1,"",SUMIFS($L:$L,$C:$C,$C1165,$D:$D,"P0(후)"))</f>
        <v/>
      </c>
      <c r="R1165" s="30">
        <f>IF(M1165&lt;&gt;"OK","",O1165+(Q1165-O1165)*(H1165-N1165)/(P1165-N1165))</f>
        <v/>
      </c>
      <c r="S1165" s="30">
        <f>IF(OR(M1165&lt;&gt;"OK",NOT(ISNUMBER(L1165))),"",L1165-R1165)</f>
        <v/>
      </c>
      <c r="T1165" s="46">
        <f>IF(OR(NOT(ISNUMBER(S1165)),IF(ISNUMBER(G1165),G1165,F1165)=0),"",S1165/IF(ISNUMBER(G1165),G1165,F1165))</f>
        <v/>
      </c>
      <c r="U1165" s="46">
        <f>IF(ISNUMBER(T1165),ABS(T1165),"")</f>
        <v/>
      </c>
      <c r="V1165" s="46">
        <f>IF(OR($D1164&lt;&gt;"측정",$C1164&lt;&gt;$C1165,NOT(ISNUMBER(L1165)),NOT(ISNUMBER(L1164)),(IF(ISNUMBER(G1165),G1165,F1165)-IF(ISNUMBER(G1164),G1164,F1164))=0),"",(L1165-L1164)/(IF(ISNUMBER(G1165),G1165,F1165)-IF(ISNUMBER(G1164),G1164,F1164)))</f>
        <v/>
      </c>
      <c r="W1165" s="30">
        <f>IF(NOT(AND(ISNUMBER(N1165),ISNUMBER(P1165))),"",(P1165-N1165)*1440)</f>
        <v/>
      </c>
      <c r="X1165" s="28" t="n"/>
      <c r="Y1165" s="28" t="n"/>
      <c r="Z1165" s="28" t="n"/>
      <c r="AA1165" s="31" t="n"/>
      <c r="AB1165" s="31" t="n"/>
    </row>
    <row r="1166">
      <c r="A1166" s="25" t="inlineStr">
        <is>
          <t>S23</t>
        </is>
      </c>
      <c r="B1166" s="25" t="inlineStr">
        <is>
          <t>덕산 신규점1</t>
        </is>
      </c>
      <c r="C1166" s="25" t="inlineStr">
        <is>
          <t>S23-H서</t>
        </is>
      </c>
      <c r="D1166" s="25" t="inlineStr">
        <is>
          <t>측정</t>
        </is>
      </c>
      <c r="E1166" s="25" t="inlineStr">
        <is>
          <t>서</t>
        </is>
      </c>
      <c r="F1166" s="30" t="n">
        <v>3</v>
      </c>
      <c r="G1166" s="29" t="n"/>
      <c r="H1166" s="42" t="n"/>
      <c r="I1166" s="40" t="n"/>
      <c r="J1166" s="40" t="n"/>
      <c r="K1166" s="40" t="n"/>
      <c r="L1166" s="30">
        <f>IF(COUNT(I1166:K1166)=0,"",MEDIAN(I1166:K1166))</f>
        <v/>
      </c>
      <c r="M1166" s="25">
        <f>IF(COUNTIFS($C:$C,$C1166,$D:$D,"P0(전)",$L:$L,"&gt;0")&lt;&gt;1,"P0(전) 유효 1개 아님",IF(COUNTIFS($C:$C,$C1166,$D:$D,"P0(후)",$L:$L,"&gt;0")&lt;&gt;1,"P0(후) 유효 1개 아님",IF(NOT(AND(ISNUMBER(N1166),ISNUMBER(P1166),ISNUMBER(H1166))),"시각 결측",IF(P1166&lt;=N1166,"P0 시각 역전",IF(OR(H1166&lt;N1166,H1166&gt;P1166),"측정시각 구간 밖","OK")))))</f>
        <v/>
      </c>
      <c r="N1166" s="45">
        <f>IF(COUNTIFS($C:$C,$C1166,$D:$D,"P0(전)",$L:$L,"&gt;0")&lt;&gt;1,"",SUMIFS($H:$H,$C:$C,$C1166,$D:$D,"P0(전)"))</f>
        <v/>
      </c>
      <c r="O1166" s="30">
        <f>IF(COUNTIFS($C:$C,$C1166,$D:$D,"P0(전)",$L:$L,"&gt;0")&lt;&gt;1,"",SUMIFS($L:$L,$C:$C,$C1166,$D:$D,"P0(전)"))</f>
        <v/>
      </c>
      <c r="P1166" s="45">
        <f>IF(COUNTIFS($C:$C,$C1166,$D:$D,"P0(후)",$L:$L,"&gt;0")&lt;&gt;1,"",SUMIFS($H:$H,$C:$C,$C1166,$D:$D,"P0(후)"))</f>
        <v/>
      </c>
      <c r="Q1166" s="30">
        <f>IF(COUNTIFS($C:$C,$C1166,$D:$D,"P0(후)",$L:$L,"&gt;0")&lt;&gt;1,"",SUMIFS($L:$L,$C:$C,$C1166,$D:$D,"P0(후)"))</f>
        <v/>
      </c>
      <c r="R1166" s="30">
        <f>IF(M1166&lt;&gt;"OK","",O1166+(Q1166-O1166)*(H1166-N1166)/(P1166-N1166))</f>
        <v/>
      </c>
      <c r="S1166" s="30">
        <f>IF(OR(M1166&lt;&gt;"OK",NOT(ISNUMBER(L1166))),"",L1166-R1166)</f>
        <v/>
      </c>
      <c r="T1166" s="46">
        <f>IF(OR(NOT(ISNUMBER(S1166)),IF(ISNUMBER(G1166),G1166,F1166)=0),"",S1166/IF(ISNUMBER(G1166),G1166,F1166))</f>
        <v/>
      </c>
      <c r="U1166" s="46">
        <f>IF(ISNUMBER(T1166),ABS(T1166),"")</f>
        <v/>
      </c>
      <c r="V1166" s="46">
        <f>IF(OR($D1165&lt;&gt;"측정",$C1165&lt;&gt;$C1166,NOT(ISNUMBER(L1166)),NOT(ISNUMBER(L1165)),(IF(ISNUMBER(G1166),G1166,F1166)-IF(ISNUMBER(G1165),G1165,F1165))=0),"",(L1166-L1165)/(IF(ISNUMBER(G1166),G1166,F1166)-IF(ISNUMBER(G1165),G1165,F1165)))</f>
        <v/>
      </c>
      <c r="W1166" s="30">
        <f>IF(NOT(AND(ISNUMBER(N1166),ISNUMBER(P1166))),"",(P1166-N1166)*1440)</f>
        <v/>
      </c>
      <c r="X1166" s="28" t="n"/>
      <c r="Y1166" s="28" t="n"/>
      <c r="Z1166" s="28" t="n"/>
      <c r="AA1166" s="31" t="n"/>
      <c r="AB1166" s="31" t="n"/>
    </row>
    <row r="1167">
      <c r="A1167" s="25" t="inlineStr">
        <is>
          <t>S23</t>
        </is>
      </c>
      <c r="B1167" s="25" t="inlineStr">
        <is>
          <t>덕산 신규점1</t>
        </is>
      </c>
      <c r="C1167" s="25" t="inlineStr">
        <is>
          <t>S23-H서</t>
        </is>
      </c>
      <c r="D1167" s="25" t="inlineStr">
        <is>
          <t>측정</t>
        </is>
      </c>
      <c r="E1167" s="25" t="inlineStr">
        <is>
          <t>서</t>
        </is>
      </c>
      <c r="F1167" s="30" t="n">
        <v>4</v>
      </c>
      <c r="G1167" s="29" t="n"/>
      <c r="H1167" s="42" t="n"/>
      <c r="I1167" s="40" t="n"/>
      <c r="J1167" s="40" t="n"/>
      <c r="K1167" s="40" t="n"/>
      <c r="L1167" s="30">
        <f>IF(COUNT(I1167:K1167)=0,"",MEDIAN(I1167:K1167))</f>
        <v/>
      </c>
      <c r="M1167" s="25">
        <f>IF(COUNTIFS($C:$C,$C1167,$D:$D,"P0(전)",$L:$L,"&gt;0")&lt;&gt;1,"P0(전) 유효 1개 아님",IF(COUNTIFS($C:$C,$C1167,$D:$D,"P0(후)",$L:$L,"&gt;0")&lt;&gt;1,"P0(후) 유효 1개 아님",IF(NOT(AND(ISNUMBER(N1167),ISNUMBER(P1167),ISNUMBER(H1167))),"시각 결측",IF(P1167&lt;=N1167,"P0 시각 역전",IF(OR(H1167&lt;N1167,H1167&gt;P1167),"측정시각 구간 밖","OK")))))</f>
        <v/>
      </c>
      <c r="N1167" s="45">
        <f>IF(COUNTIFS($C:$C,$C1167,$D:$D,"P0(전)",$L:$L,"&gt;0")&lt;&gt;1,"",SUMIFS($H:$H,$C:$C,$C1167,$D:$D,"P0(전)"))</f>
        <v/>
      </c>
      <c r="O1167" s="30">
        <f>IF(COUNTIFS($C:$C,$C1167,$D:$D,"P0(전)",$L:$L,"&gt;0")&lt;&gt;1,"",SUMIFS($L:$L,$C:$C,$C1167,$D:$D,"P0(전)"))</f>
        <v/>
      </c>
      <c r="P1167" s="45">
        <f>IF(COUNTIFS($C:$C,$C1167,$D:$D,"P0(후)",$L:$L,"&gt;0")&lt;&gt;1,"",SUMIFS($H:$H,$C:$C,$C1167,$D:$D,"P0(후)"))</f>
        <v/>
      </c>
      <c r="Q1167" s="30">
        <f>IF(COUNTIFS($C:$C,$C1167,$D:$D,"P0(후)",$L:$L,"&gt;0")&lt;&gt;1,"",SUMIFS($L:$L,$C:$C,$C1167,$D:$D,"P0(후)"))</f>
        <v/>
      </c>
      <c r="R1167" s="30">
        <f>IF(M1167&lt;&gt;"OK","",O1167+(Q1167-O1167)*(H1167-N1167)/(P1167-N1167))</f>
        <v/>
      </c>
      <c r="S1167" s="30">
        <f>IF(OR(M1167&lt;&gt;"OK",NOT(ISNUMBER(L1167))),"",L1167-R1167)</f>
        <v/>
      </c>
      <c r="T1167" s="46">
        <f>IF(OR(NOT(ISNUMBER(S1167)),IF(ISNUMBER(G1167),G1167,F1167)=0),"",S1167/IF(ISNUMBER(G1167),G1167,F1167))</f>
        <v/>
      </c>
      <c r="U1167" s="46">
        <f>IF(ISNUMBER(T1167),ABS(T1167),"")</f>
        <v/>
      </c>
      <c r="V1167" s="46">
        <f>IF(OR($D1166&lt;&gt;"측정",$C1166&lt;&gt;$C1167,NOT(ISNUMBER(L1167)),NOT(ISNUMBER(L1166)),(IF(ISNUMBER(G1167),G1167,F1167)-IF(ISNUMBER(G1166),G1166,F1166))=0),"",(L1167-L1166)/(IF(ISNUMBER(G1167),G1167,F1167)-IF(ISNUMBER(G1166),G1166,F1166)))</f>
        <v/>
      </c>
      <c r="W1167" s="30">
        <f>IF(NOT(AND(ISNUMBER(N1167),ISNUMBER(P1167))),"",(P1167-N1167)*1440)</f>
        <v/>
      </c>
      <c r="X1167" s="28" t="n"/>
      <c r="Y1167" s="28" t="n"/>
      <c r="Z1167" s="28" t="n"/>
      <c r="AA1167" s="31" t="n"/>
      <c r="AB1167" s="31" t="n"/>
    </row>
    <row r="1168">
      <c r="A1168" s="25" t="inlineStr">
        <is>
          <t>S23</t>
        </is>
      </c>
      <c r="B1168" s="25" t="inlineStr">
        <is>
          <t>덕산 신규점1</t>
        </is>
      </c>
      <c r="C1168" s="25" t="inlineStr">
        <is>
          <t>S23-H서</t>
        </is>
      </c>
      <c r="D1168" s="25" t="inlineStr">
        <is>
          <t>측정</t>
        </is>
      </c>
      <c r="E1168" s="25" t="inlineStr">
        <is>
          <t>서</t>
        </is>
      </c>
      <c r="F1168" s="30" t="n">
        <v>5</v>
      </c>
      <c r="G1168" s="29" t="n"/>
      <c r="H1168" s="42" t="n"/>
      <c r="I1168" s="40" t="n"/>
      <c r="J1168" s="40" t="n"/>
      <c r="K1168" s="40" t="n"/>
      <c r="L1168" s="30">
        <f>IF(COUNT(I1168:K1168)=0,"",MEDIAN(I1168:K1168))</f>
        <v/>
      </c>
      <c r="M1168" s="25">
        <f>IF(COUNTIFS($C:$C,$C1168,$D:$D,"P0(전)",$L:$L,"&gt;0")&lt;&gt;1,"P0(전) 유효 1개 아님",IF(COUNTIFS($C:$C,$C1168,$D:$D,"P0(후)",$L:$L,"&gt;0")&lt;&gt;1,"P0(후) 유효 1개 아님",IF(NOT(AND(ISNUMBER(N1168),ISNUMBER(P1168),ISNUMBER(H1168))),"시각 결측",IF(P1168&lt;=N1168,"P0 시각 역전",IF(OR(H1168&lt;N1168,H1168&gt;P1168),"측정시각 구간 밖","OK")))))</f>
        <v/>
      </c>
      <c r="N1168" s="45">
        <f>IF(COUNTIFS($C:$C,$C1168,$D:$D,"P0(전)",$L:$L,"&gt;0")&lt;&gt;1,"",SUMIFS($H:$H,$C:$C,$C1168,$D:$D,"P0(전)"))</f>
        <v/>
      </c>
      <c r="O1168" s="30">
        <f>IF(COUNTIFS($C:$C,$C1168,$D:$D,"P0(전)",$L:$L,"&gt;0")&lt;&gt;1,"",SUMIFS($L:$L,$C:$C,$C1168,$D:$D,"P0(전)"))</f>
        <v/>
      </c>
      <c r="P1168" s="45">
        <f>IF(COUNTIFS($C:$C,$C1168,$D:$D,"P0(후)",$L:$L,"&gt;0")&lt;&gt;1,"",SUMIFS($H:$H,$C:$C,$C1168,$D:$D,"P0(후)"))</f>
        <v/>
      </c>
      <c r="Q1168" s="30">
        <f>IF(COUNTIFS($C:$C,$C1168,$D:$D,"P0(후)",$L:$L,"&gt;0")&lt;&gt;1,"",SUMIFS($L:$L,$C:$C,$C1168,$D:$D,"P0(후)"))</f>
        <v/>
      </c>
      <c r="R1168" s="30">
        <f>IF(M1168&lt;&gt;"OK","",O1168+(Q1168-O1168)*(H1168-N1168)/(P1168-N1168))</f>
        <v/>
      </c>
      <c r="S1168" s="30">
        <f>IF(OR(M1168&lt;&gt;"OK",NOT(ISNUMBER(L1168))),"",L1168-R1168)</f>
        <v/>
      </c>
      <c r="T1168" s="46">
        <f>IF(OR(NOT(ISNUMBER(S1168)),IF(ISNUMBER(G1168),G1168,F1168)=0),"",S1168/IF(ISNUMBER(G1168),G1168,F1168))</f>
        <v/>
      </c>
      <c r="U1168" s="46">
        <f>IF(ISNUMBER(T1168),ABS(T1168),"")</f>
        <v/>
      </c>
      <c r="V1168" s="46">
        <f>IF(OR($D1167&lt;&gt;"측정",$C1167&lt;&gt;$C1168,NOT(ISNUMBER(L1168)),NOT(ISNUMBER(L1167)),(IF(ISNUMBER(G1168),G1168,F1168)-IF(ISNUMBER(G1167),G1167,F1167))=0),"",(L1168-L1167)/(IF(ISNUMBER(G1168),G1168,F1168)-IF(ISNUMBER(G1167),G1167,F1167)))</f>
        <v/>
      </c>
      <c r="W1168" s="30">
        <f>IF(NOT(AND(ISNUMBER(N1168),ISNUMBER(P1168))),"",(P1168-N1168)*1440)</f>
        <v/>
      </c>
      <c r="X1168" s="28" t="n"/>
      <c r="Y1168" s="28" t="n"/>
      <c r="Z1168" s="28" t="n"/>
      <c r="AA1168" s="31" t="n"/>
      <c r="AB1168" s="31" t="n"/>
    </row>
    <row r="1169">
      <c r="A1169" s="25" t="inlineStr">
        <is>
          <t>S23</t>
        </is>
      </c>
      <c r="B1169" s="25" t="inlineStr">
        <is>
          <t>덕산 신규점1</t>
        </is>
      </c>
      <c r="C1169" s="25" t="inlineStr">
        <is>
          <t>S23-H서</t>
        </is>
      </c>
      <c r="D1169" s="25" t="inlineStr">
        <is>
          <t>측정</t>
        </is>
      </c>
      <c r="E1169" s="25" t="inlineStr">
        <is>
          <t>서</t>
        </is>
      </c>
      <c r="F1169" s="30" t="n">
        <v>6</v>
      </c>
      <c r="G1169" s="29" t="n"/>
      <c r="H1169" s="42" t="n"/>
      <c r="I1169" s="40" t="n"/>
      <c r="J1169" s="40" t="n"/>
      <c r="K1169" s="40" t="n"/>
      <c r="L1169" s="30">
        <f>IF(COUNT(I1169:K1169)=0,"",MEDIAN(I1169:K1169))</f>
        <v/>
      </c>
      <c r="M1169" s="25">
        <f>IF(COUNTIFS($C:$C,$C1169,$D:$D,"P0(전)",$L:$L,"&gt;0")&lt;&gt;1,"P0(전) 유효 1개 아님",IF(COUNTIFS($C:$C,$C1169,$D:$D,"P0(후)",$L:$L,"&gt;0")&lt;&gt;1,"P0(후) 유효 1개 아님",IF(NOT(AND(ISNUMBER(N1169),ISNUMBER(P1169),ISNUMBER(H1169))),"시각 결측",IF(P1169&lt;=N1169,"P0 시각 역전",IF(OR(H1169&lt;N1169,H1169&gt;P1169),"측정시각 구간 밖","OK")))))</f>
        <v/>
      </c>
      <c r="N1169" s="45">
        <f>IF(COUNTIFS($C:$C,$C1169,$D:$D,"P0(전)",$L:$L,"&gt;0")&lt;&gt;1,"",SUMIFS($H:$H,$C:$C,$C1169,$D:$D,"P0(전)"))</f>
        <v/>
      </c>
      <c r="O1169" s="30">
        <f>IF(COUNTIFS($C:$C,$C1169,$D:$D,"P0(전)",$L:$L,"&gt;0")&lt;&gt;1,"",SUMIFS($L:$L,$C:$C,$C1169,$D:$D,"P0(전)"))</f>
        <v/>
      </c>
      <c r="P1169" s="45">
        <f>IF(COUNTIFS($C:$C,$C1169,$D:$D,"P0(후)",$L:$L,"&gt;0")&lt;&gt;1,"",SUMIFS($H:$H,$C:$C,$C1169,$D:$D,"P0(후)"))</f>
        <v/>
      </c>
      <c r="Q1169" s="30">
        <f>IF(COUNTIFS($C:$C,$C1169,$D:$D,"P0(후)",$L:$L,"&gt;0")&lt;&gt;1,"",SUMIFS($L:$L,$C:$C,$C1169,$D:$D,"P0(후)"))</f>
        <v/>
      </c>
      <c r="R1169" s="30">
        <f>IF(M1169&lt;&gt;"OK","",O1169+(Q1169-O1169)*(H1169-N1169)/(P1169-N1169))</f>
        <v/>
      </c>
      <c r="S1169" s="30">
        <f>IF(OR(M1169&lt;&gt;"OK",NOT(ISNUMBER(L1169))),"",L1169-R1169)</f>
        <v/>
      </c>
      <c r="T1169" s="46">
        <f>IF(OR(NOT(ISNUMBER(S1169)),IF(ISNUMBER(G1169),G1169,F1169)=0),"",S1169/IF(ISNUMBER(G1169),G1169,F1169))</f>
        <v/>
      </c>
      <c r="U1169" s="46">
        <f>IF(ISNUMBER(T1169),ABS(T1169),"")</f>
        <v/>
      </c>
      <c r="V1169" s="46">
        <f>IF(OR($D1168&lt;&gt;"측정",$C1168&lt;&gt;$C1169,NOT(ISNUMBER(L1169)),NOT(ISNUMBER(L1168)),(IF(ISNUMBER(G1169),G1169,F1169)-IF(ISNUMBER(G1168),G1168,F1168))=0),"",(L1169-L1168)/(IF(ISNUMBER(G1169),G1169,F1169)-IF(ISNUMBER(G1168),G1168,F1168)))</f>
        <v/>
      </c>
      <c r="W1169" s="30">
        <f>IF(NOT(AND(ISNUMBER(N1169),ISNUMBER(P1169))),"",(P1169-N1169)*1440)</f>
        <v/>
      </c>
      <c r="X1169" s="28" t="n"/>
      <c r="Y1169" s="28" t="n"/>
      <c r="Z1169" s="28" t="n"/>
      <c r="AA1169" s="31" t="n"/>
      <c r="AB1169" s="31" t="n"/>
    </row>
    <row r="1170">
      <c r="A1170" s="25" t="inlineStr">
        <is>
          <t>S23</t>
        </is>
      </c>
      <c r="B1170" s="25" t="inlineStr">
        <is>
          <t>덕산 신규점1</t>
        </is>
      </c>
      <c r="C1170" s="25" t="inlineStr">
        <is>
          <t>S23-H서</t>
        </is>
      </c>
      <c r="D1170" s="25" t="inlineStr">
        <is>
          <t>측정</t>
        </is>
      </c>
      <c r="E1170" s="25" t="inlineStr">
        <is>
          <t>서</t>
        </is>
      </c>
      <c r="F1170" s="30" t="n">
        <v>7</v>
      </c>
      <c r="G1170" s="29" t="n"/>
      <c r="H1170" s="42" t="n"/>
      <c r="I1170" s="40" t="n"/>
      <c r="J1170" s="40" t="n"/>
      <c r="K1170" s="40" t="n"/>
      <c r="L1170" s="30">
        <f>IF(COUNT(I1170:K1170)=0,"",MEDIAN(I1170:K1170))</f>
        <v/>
      </c>
      <c r="M1170" s="25">
        <f>IF(COUNTIFS($C:$C,$C1170,$D:$D,"P0(전)",$L:$L,"&gt;0")&lt;&gt;1,"P0(전) 유효 1개 아님",IF(COUNTIFS($C:$C,$C1170,$D:$D,"P0(후)",$L:$L,"&gt;0")&lt;&gt;1,"P0(후) 유효 1개 아님",IF(NOT(AND(ISNUMBER(N1170),ISNUMBER(P1170),ISNUMBER(H1170))),"시각 결측",IF(P1170&lt;=N1170,"P0 시각 역전",IF(OR(H1170&lt;N1170,H1170&gt;P1170),"측정시각 구간 밖","OK")))))</f>
        <v/>
      </c>
      <c r="N1170" s="45">
        <f>IF(COUNTIFS($C:$C,$C1170,$D:$D,"P0(전)",$L:$L,"&gt;0")&lt;&gt;1,"",SUMIFS($H:$H,$C:$C,$C1170,$D:$D,"P0(전)"))</f>
        <v/>
      </c>
      <c r="O1170" s="30">
        <f>IF(COUNTIFS($C:$C,$C1170,$D:$D,"P0(전)",$L:$L,"&gt;0")&lt;&gt;1,"",SUMIFS($L:$L,$C:$C,$C1170,$D:$D,"P0(전)"))</f>
        <v/>
      </c>
      <c r="P1170" s="45">
        <f>IF(COUNTIFS($C:$C,$C1170,$D:$D,"P0(후)",$L:$L,"&gt;0")&lt;&gt;1,"",SUMIFS($H:$H,$C:$C,$C1170,$D:$D,"P0(후)"))</f>
        <v/>
      </c>
      <c r="Q1170" s="30">
        <f>IF(COUNTIFS($C:$C,$C1170,$D:$D,"P0(후)",$L:$L,"&gt;0")&lt;&gt;1,"",SUMIFS($L:$L,$C:$C,$C1170,$D:$D,"P0(후)"))</f>
        <v/>
      </c>
      <c r="R1170" s="30">
        <f>IF(M1170&lt;&gt;"OK","",O1170+(Q1170-O1170)*(H1170-N1170)/(P1170-N1170))</f>
        <v/>
      </c>
      <c r="S1170" s="30">
        <f>IF(OR(M1170&lt;&gt;"OK",NOT(ISNUMBER(L1170))),"",L1170-R1170)</f>
        <v/>
      </c>
      <c r="T1170" s="46">
        <f>IF(OR(NOT(ISNUMBER(S1170)),IF(ISNUMBER(G1170),G1170,F1170)=0),"",S1170/IF(ISNUMBER(G1170),G1170,F1170))</f>
        <v/>
      </c>
      <c r="U1170" s="46">
        <f>IF(ISNUMBER(T1170),ABS(T1170),"")</f>
        <v/>
      </c>
      <c r="V1170" s="46">
        <f>IF(OR($D1169&lt;&gt;"측정",$C1169&lt;&gt;$C1170,NOT(ISNUMBER(L1170)),NOT(ISNUMBER(L1169)),(IF(ISNUMBER(G1170),G1170,F1170)-IF(ISNUMBER(G1169),G1169,F1169))=0),"",(L1170-L1169)/(IF(ISNUMBER(G1170),G1170,F1170)-IF(ISNUMBER(G1169),G1169,F1169)))</f>
        <v/>
      </c>
      <c r="W1170" s="30">
        <f>IF(NOT(AND(ISNUMBER(N1170),ISNUMBER(P1170))),"",(P1170-N1170)*1440)</f>
        <v/>
      </c>
      <c r="X1170" s="28" t="n"/>
      <c r="Y1170" s="28" t="n"/>
      <c r="Z1170" s="28" t="n"/>
      <c r="AA1170" s="31" t="n"/>
      <c r="AB1170" s="31" t="n"/>
    </row>
    <row r="1171">
      <c r="A1171" s="25" t="inlineStr">
        <is>
          <t>S23</t>
        </is>
      </c>
      <c r="B1171" s="25" t="inlineStr">
        <is>
          <t>덕산 신규점1</t>
        </is>
      </c>
      <c r="C1171" s="25" t="inlineStr">
        <is>
          <t>S23-H서</t>
        </is>
      </c>
      <c r="D1171" s="25" t="inlineStr">
        <is>
          <t>측정</t>
        </is>
      </c>
      <c r="E1171" s="25" t="inlineStr">
        <is>
          <t>서</t>
        </is>
      </c>
      <c r="F1171" s="30" t="n">
        <v>8</v>
      </c>
      <c r="G1171" s="29" t="n"/>
      <c r="H1171" s="42" t="n"/>
      <c r="I1171" s="40" t="n"/>
      <c r="J1171" s="40" t="n"/>
      <c r="K1171" s="40" t="n"/>
      <c r="L1171" s="30">
        <f>IF(COUNT(I1171:K1171)=0,"",MEDIAN(I1171:K1171))</f>
        <v/>
      </c>
      <c r="M1171" s="25">
        <f>IF(COUNTIFS($C:$C,$C1171,$D:$D,"P0(전)",$L:$L,"&gt;0")&lt;&gt;1,"P0(전) 유효 1개 아님",IF(COUNTIFS($C:$C,$C1171,$D:$D,"P0(후)",$L:$L,"&gt;0")&lt;&gt;1,"P0(후) 유효 1개 아님",IF(NOT(AND(ISNUMBER(N1171),ISNUMBER(P1171),ISNUMBER(H1171))),"시각 결측",IF(P1171&lt;=N1171,"P0 시각 역전",IF(OR(H1171&lt;N1171,H1171&gt;P1171),"측정시각 구간 밖","OK")))))</f>
        <v/>
      </c>
      <c r="N1171" s="45">
        <f>IF(COUNTIFS($C:$C,$C1171,$D:$D,"P0(전)",$L:$L,"&gt;0")&lt;&gt;1,"",SUMIFS($H:$H,$C:$C,$C1171,$D:$D,"P0(전)"))</f>
        <v/>
      </c>
      <c r="O1171" s="30">
        <f>IF(COUNTIFS($C:$C,$C1171,$D:$D,"P0(전)",$L:$L,"&gt;0")&lt;&gt;1,"",SUMIFS($L:$L,$C:$C,$C1171,$D:$D,"P0(전)"))</f>
        <v/>
      </c>
      <c r="P1171" s="45">
        <f>IF(COUNTIFS($C:$C,$C1171,$D:$D,"P0(후)",$L:$L,"&gt;0")&lt;&gt;1,"",SUMIFS($H:$H,$C:$C,$C1171,$D:$D,"P0(후)"))</f>
        <v/>
      </c>
      <c r="Q1171" s="30">
        <f>IF(COUNTIFS($C:$C,$C1171,$D:$D,"P0(후)",$L:$L,"&gt;0")&lt;&gt;1,"",SUMIFS($L:$L,$C:$C,$C1171,$D:$D,"P0(후)"))</f>
        <v/>
      </c>
      <c r="R1171" s="30">
        <f>IF(M1171&lt;&gt;"OK","",O1171+(Q1171-O1171)*(H1171-N1171)/(P1171-N1171))</f>
        <v/>
      </c>
      <c r="S1171" s="30">
        <f>IF(OR(M1171&lt;&gt;"OK",NOT(ISNUMBER(L1171))),"",L1171-R1171)</f>
        <v/>
      </c>
      <c r="T1171" s="46">
        <f>IF(OR(NOT(ISNUMBER(S1171)),IF(ISNUMBER(G1171),G1171,F1171)=0),"",S1171/IF(ISNUMBER(G1171),G1171,F1171))</f>
        <v/>
      </c>
      <c r="U1171" s="46">
        <f>IF(ISNUMBER(T1171),ABS(T1171),"")</f>
        <v/>
      </c>
      <c r="V1171" s="46">
        <f>IF(OR($D1170&lt;&gt;"측정",$C1170&lt;&gt;$C1171,NOT(ISNUMBER(L1171)),NOT(ISNUMBER(L1170)),(IF(ISNUMBER(G1171),G1171,F1171)-IF(ISNUMBER(G1170),G1170,F1170))=0),"",(L1171-L1170)/(IF(ISNUMBER(G1171),G1171,F1171)-IF(ISNUMBER(G1170),G1170,F1170)))</f>
        <v/>
      </c>
      <c r="W1171" s="30">
        <f>IF(NOT(AND(ISNUMBER(N1171),ISNUMBER(P1171))),"",(P1171-N1171)*1440)</f>
        <v/>
      </c>
      <c r="X1171" s="28" t="n"/>
      <c r="Y1171" s="28" t="n"/>
      <c r="Z1171" s="28" t="n"/>
      <c r="AA1171" s="31" t="n"/>
      <c r="AB1171" s="31" t="n"/>
    </row>
    <row r="1172">
      <c r="A1172" s="25" t="inlineStr">
        <is>
          <t>S23</t>
        </is>
      </c>
      <c r="B1172" s="25" t="inlineStr">
        <is>
          <t>덕산 신규점1</t>
        </is>
      </c>
      <c r="C1172" s="25" t="inlineStr">
        <is>
          <t>S23-H서</t>
        </is>
      </c>
      <c r="D1172" s="25" t="inlineStr">
        <is>
          <t>측정</t>
        </is>
      </c>
      <c r="E1172" s="25" t="inlineStr">
        <is>
          <t>서</t>
        </is>
      </c>
      <c r="F1172" s="30" t="n">
        <v>9</v>
      </c>
      <c r="G1172" s="29" t="n"/>
      <c r="H1172" s="42" t="n"/>
      <c r="I1172" s="40" t="n"/>
      <c r="J1172" s="40" t="n"/>
      <c r="K1172" s="40" t="n"/>
      <c r="L1172" s="30">
        <f>IF(COUNT(I1172:K1172)=0,"",MEDIAN(I1172:K1172))</f>
        <v/>
      </c>
      <c r="M1172" s="25">
        <f>IF(COUNTIFS($C:$C,$C1172,$D:$D,"P0(전)",$L:$L,"&gt;0")&lt;&gt;1,"P0(전) 유효 1개 아님",IF(COUNTIFS($C:$C,$C1172,$D:$D,"P0(후)",$L:$L,"&gt;0")&lt;&gt;1,"P0(후) 유효 1개 아님",IF(NOT(AND(ISNUMBER(N1172),ISNUMBER(P1172),ISNUMBER(H1172))),"시각 결측",IF(P1172&lt;=N1172,"P0 시각 역전",IF(OR(H1172&lt;N1172,H1172&gt;P1172),"측정시각 구간 밖","OK")))))</f>
        <v/>
      </c>
      <c r="N1172" s="45">
        <f>IF(COUNTIFS($C:$C,$C1172,$D:$D,"P0(전)",$L:$L,"&gt;0")&lt;&gt;1,"",SUMIFS($H:$H,$C:$C,$C1172,$D:$D,"P0(전)"))</f>
        <v/>
      </c>
      <c r="O1172" s="30">
        <f>IF(COUNTIFS($C:$C,$C1172,$D:$D,"P0(전)",$L:$L,"&gt;0")&lt;&gt;1,"",SUMIFS($L:$L,$C:$C,$C1172,$D:$D,"P0(전)"))</f>
        <v/>
      </c>
      <c r="P1172" s="45">
        <f>IF(COUNTIFS($C:$C,$C1172,$D:$D,"P0(후)",$L:$L,"&gt;0")&lt;&gt;1,"",SUMIFS($H:$H,$C:$C,$C1172,$D:$D,"P0(후)"))</f>
        <v/>
      </c>
      <c r="Q1172" s="30">
        <f>IF(COUNTIFS($C:$C,$C1172,$D:$D,"P0(후)",$L:$L,"&gt;0")&lt;&gt;1,"",SUMIFS($L:$L,$C:$C,$C1172,$D:$D,"P0(후)"))</f>
        <v/>
      </c>
      <c r="R1172" s="30">
        <f>IF(M1172&lt;&gt;"OK","",O1172+(Q1172-O1172)*(H1172-N1172)/(P1172-N1172))</f>
        <v/>
      </c>
      <c r="S1172" s="30">
        <f>IF(OR(M1172&lt;&gt;"OK",NOT(ISNUMBER(L1172))),"",L1172-R1172)</f>
        <v/>
      </c>
      <c r="T1172" s="46">
        <f>IF(OR(NOT(ISNUMBER(S1172)),IF(ISNUMBER(G1172),G1172,F1172)=0),"",S1172/IF(ISNUMBER(G1172),G1172,F1172))</f>
        <v/>
      </c>
      <c r="U1172" s="46">
        <f>IF(ISNUMBER(T1172),ABS(T1172),"")</f>
        <v/>
      </c>
      <c r="V1172" s="46">
        <f>IF(OR($D1171&lt;&gt;"측정",$C1171&lt;&gt;$C1172,NOT(ISNUMBER(L1172)),NOT(ISNUMBER(L1171)),(IF(ISNUMBER(G1172),G1172,F1172)-IF(ISNUMBER(G1171),G1171,F1171))=0),"",(L1172-L1171)/(IF(ISNUMBER(G1172),G1172,F1172)-IF(ISNUMBER(G1171),G1171,F1171)))</f>
        <v/>
      </c>
      <c r="W1172" s="30">
        <f>IF(NOT(AND(ISNUMBER(N1172),ISNUMBER(P1172))),"",(P1172-N1172)*1440)</f>
        <v/>
      </c>
      <c r="X1172" s="28" t="n"/>
      <c r="Y1172" s="28" t="n"/>
      <c r="Z1172" s="28" t="n"/>
      <c r="AA1172" s="31" t="n"/>
      <c r="AB1172" s="31" t="n"/>
    </row>
    <row r="1173">
      <c r="A1173" s="25" t="inlineStr">
        <is>
          <t>S23</t>
        </is>
      </c>
      <c r="B1173" s="25" t="inlineStr">
        <is>
          <t>덕산 신규점1</t>
        </is>
      </c>
      <c r="C1173" s="25" t="inlineStr">
        <is>
          <t>S23-H서</t>
        </is>
      </c>
      <c r="D1173" s="25" t="inlineStr">
        <is>
          <t>측정</t>
        </is>
      </c>
      <c r="E1173" s="25" t="inlineStr">
        <is>
          <t>서</t>
        </is>
      </c>
      <c r="F1173" s="30" t="n">
        <v>10</v>
      </c>
      <c r="G1173" s="29" t="n"/>
      <c r="H1173" s="42" t="n"/>
      <c r="I1173" s="40" t="n"/>
      <c r="J1173" s="40" t="n"/>
      <c r="K1173" s="40" t="n"/>
      <c r="L1173" s="30">
        <f>IF(COUNT(I1173:K1173)=0,"",MEDIAN(I1173:K1173))</f>
        <v/>
      </c>
      <c r="M1173" s="25">
        <f>IF(COUNTIFS($C:$C,$C1173,$D:$D,"P0(전)",$L:$L,"&gt;0")&lt;&gt;1,"P0(전) 유효 1개 아님",IF(COUNTIFS($C:$C,$C1173,$D:$D,"P0(후)",$L:$L,"&gt;0")&lt;&gt;1,"P0(후) 유효 1개 아님",IF(NOT(AND(ISNUMBER(N1173),ISNUMBER(P1173),ISNUMBER(H1173))),"시각 결측",IF(P1173&lt;=N1173,"P0 시각 역전",IF(OR(H1173&lt;N1173,H1173&gt;P1173),"측정시각 구간 밖","OK")))))</f>
        <v/>
      </c>
      <c r="N1173" s="45">
        <f>IF(COUNTIFS($C:$C,$C1173,$D:$D,"P0(전)",$L:$L,"&gt;0")&lt;&gt;1,"",SUMIFS($H:$H,$C:$C,$C1173,$D:$D,"P0(전)"))</f>
        <v/>
      </c>
      <c r="O1173" s="30">
        <f>IF(COUNTIFS($C:$C,$C1173,$D:$D,"P0(전)",$L:$L,"&gt;0")&lt;&gt;1,"",SUMIFS($L:$L,$C:$C,$C1173,$D:$D,"P0(전)"))</f>
        <v/>
      </c>
      <c r="P1173" s="45">
        <f>IF(COUNTIFS($C:$C,$C1173,$D:$D,"P0(후)",$L:$L,"&gt;0")&lt;&gt;1,"",SUMIFS($H:$H,$C:$C,$C1173,$D:$D,"P0(후)"))</f>
        <v/>
      </c>
      <c r="Q1173" s="30">
        <f>IF(COUNTIFS($C:$C,$C1173,$D:$D,"P0(후)",$L:$L,"&gt;0")&lt;&gt;1,"",SUMIFS($L:$L,$C:$C,$C1173,$D:$D,"P0(후)"))</f>
        <v/>
      </c>
      <c r="R1173" s="30">
        <f>IF(M1173&lt;&gt;"OK","",O1173+(Q1173-O1173)*(H1173-N1173)/(P1173-N1173))</f>
        <v/>
      </c>
      <c r="S1173" s="30">
        <f>IF(OR(M1173&lt;&gt;"OK",NOT(ISNUMBER(L1173))),"",L1173-R1173)</f>
        <v/>
      </c>
      <c r="T1173" s="46">
        <f>IF(OR(NOT(ISNUMBER(S1173)),IF(ISNUMBER(G1173),G1173,F1173)=0),"",S1173/IF(ISNUMBER(G1173),G1173,F1173))</f>
        <v/>
      </c>
      <c r="U1173" s="46">
        <f>IF(ISNUMBER(T1173),ABS(T1173),"")</f>
        <v/>
      </c>
      <c r="V1173" s="46">
        <f>IF(OR($D1172&lt;&gt;"측정",$C1172&lt;&gt;$C1173,NOT(ISNUMBER(L1173)),NOT(ISNUMBER(L1172)),(IF(ISNUMBER(G1173),G1173,F1173)-IF(ISNUMBER(G1172),G1172,F1172))=0),"",(L1173-L1172)/(IF(ISNUMBER(G1173),G1173,F1173)-IF(ISNUMBER(G1172),G1172,F1172)))</f>
        <v/>
      </c>
      <c r="W1173" s="30">
        <f>IF(NOT(AND(ISNUMBER(N1173),ISNUMBER(P1173))),"",(P1173-N1173)*1440)</f>
        <v/>
      </c>
      <c r="X1173" s="28" t="n"/>
      <c r="Y1173" s="28" t="n"/>
      <c r="Z1173" s="28" t="n"/>
      <c r="AA1173" s="31" t="n"/>
      <c r="AB1173" s="31" t="n"/>
    </row>
    <row r="1174">
      <c r="A1174" s="43" t="inlineStr">
        <is>
          <t>S23</t>
        </is>
      </c>
      <c r="B1174" s="43" t="inlineStr">
        <is>
          <t>덕산 신규점1</t>
        </is>
      </c>
      <c r="C1174" s="43" t="inlineStr">
        <is>
          <t>S23-H서</t>
        </is>
      </c>
      <c r="D1174" s="43" t="inlineStr">
        <is>
          <t>P0(후)</t>
        </is>
      </c>
      <c r="E1174" s="43" t="inlineStr">
        <is>
          <t>서</t>
        </is>
      </c>
      <c r="F1174" s="44" t="n"/>
      <c r="G1174" s="29" t="n"/>
      <c r="H1174" s="42" t="n"/>
      <c r="I1174" s="40" t="n"/>
      <c r="J1174" s="40" t="n"/>
      <c r="K1174" s="40" t="n"/>
      <c r="L1174" s="30">
        <f>IF(COUNT(I1174:K1174)=0,"",MEDIAN(I1174:K1174))</f>
        <v/>
      </c>
      <c r="M1174" s="37" t="n"/>
      <c r="N1174" s="37" t="n"/>
      <c r="O1174" s="37" t="n"/>
      <c r="P1174" s="37" t="n"/>
      <c r="Q1174" s="37" t="n"/>
      <c r="R1174" s="37" t="n"/>
      <c r="S1174" s="37" t="n"/>
      <c r="T1174" s="37" t="n"/>
      <c r="U1174" s="37" t="n"/>
      <c r="V1174" s="37" t="n"/>
      <c r="W1174" s="37" t="n"/>
      <c r="X1174" s="28" t="n"/>
      <c r="Y1174" s="28" t="n"/>
      <c r="Z1174" s="28" t="n"/>
      <c r="AA1174" s="31" t="n"/>
      <c r="AB1174" s="31" t="n"/>
    </row>
    <row r="1175">
      <c r="A1175" s="43" t="inlineStr">
        <is>
          <t>S23</t>
        </is>
      </c>
      <c r="B1175" s="43" t="inlineStr">
        <is>
          <t>덕산 신규점1</t>
        </is>
      </c>
      <c r="C1175" s="43" t="inlineStr">
        <is>
          <t>S23-H남</t>
        </is>
      </c>
      <c r="D1175" s="43" t="inlineStr">
        <is>
          <t>P0(전)</t>
        </is>
      </c>
      <c r="E1175" s="43" t="inlineStr">
        <is>
          <t>남</t>
        </is>
      </c>
      <c r="F1175" s="44" t="n"/>
      <c r="G1175" s="29" t="n"/>
      <c r="H1175" s="42" t="n"/>
      <c r="I1175" s="40" t="n"/>
      <c r="J1175" s="40" t="n"/>
      <c r="K1175" s="40" t="n"/>
      <c r="L1175" s="30">
        <f>IF(COUNT(I1175:K1175)=0,"",MEDIAN(I1175:K1175))</f>
        <v/>
      </c>
      <c r="M1175" s="37" t="n"/>
      <c r="N1175" s="37" t="n"/>
      <c r="O1175" s="37" t="n"/>
      <c r="P1175" s="37" t="n"/>
      <c r="Q1175" s="37" t="n"/>
      <c r="R1175" s="37" t="n"/>
      <c r="S1175" s="37" t="n"/>
      <c r="T1175" s="37" t="n"/>
      <c r="U1175" s="37" t="n"/>
      <c r="V1175" s="37" t="n"/>
      <c r="W1175" s="37" t="n"/>
      <c r="X1175" s="28" t="n"/>
      <c r="Y1175" s="28" t="n"/>
      <c r="Z1175" s="28" t="n"/>
      <c r="AA1175" s="31" t="n"/>
      <c r="AB1175" s="31" t="n"/>
    </row>
    <row r="1176">
      <c r="A1176" s="25" t="inlineStr">
        <is>
          <t>S23</t>
        </is>
      </c>
      <c r="B1176" s="25" t="inlineStr">
        <is>
          <t>덕산 신규점1</t>
        </is>
      </c>
      <c r="C1176" s="25" t="inlineStr">
        <is>
          <t>S23-H남</t>
        </is>
      </c>
      <c r="D1176" s="25" t="inlineStr">
        <is>
          <t>측정</t>
        </is>
      </c>
      <c r="E1176" s="25" t="inlineStr">
        <is>
          <t>남</t>
        </is>
      </c>
      <c r="F1176" s="30" t="n">
        <v>0.5</v>
      </c>
      <c r="G1176" s="29" t="n"/>
      <c r="H1176" s="42" t="n"/>
      <c r="I1176" s="40" t="n"/>
      <c r="J1176" s="40" t="n"/>
      <c r="K1176" s="40" t="n"/>
      <c r="L1176" s="30">
        <f>IF(COUNT(I1176:K1176)=0,"",MEDIAN(I1176:K1176))</f>
        <v/>
      </c>
      <c r="M1176" s="25">
        <f>IF(COUNTIFS($C:$C,$C1176,$D:$D,"P0(전)",$L:$L,"&gt;0")&lt;&gt;1,"P0(전) 유효 1개 아님",IF(COUNTIFS($C:$C,$C1176,$D:$D,"P0(후)",$L:$L,"&gt;0")&lt;&gt;1,"P0(후) 유효 1개 아님",IF(NOT(AND(ISNUMBER(N1176),ISNUMBER(P1176),ISNUMBER(H1176))),"시각 결측",IF(P1176&lt;=N1176,"P0 시각 역전",IF(OR(H1176&lt;N1176,H1176&gt;P1176),"측정시각 구간 밖","OK")))))</f>
        <v/>
      </c>
      <c r="N1176" s="45">
        <f>IF(COUNTIFS($C:$C,$C1176,$D:$D,"P0(전)",$L:$L,"&gt;0")&lt;&gt;1,"",SUMIFS($H:$H,$C:$C,$C1176,$D:$D,"P0(전)"))</f>
        <v/>
      </c>
      <c r="O1176" s="30">
        <f>IF(COUNTIFS($C:$C,$C1176,$D:$D,"P0(전)",$L:$L,"&gt;0")&lt;&gt;1,"",SUMIFS($L:$L,$C:$C,$C1176,$D:$D,"P0(전)"))</f>
        <v/>
      </c>
      <c r="P1176" s="45">
        <f>IF(COUNTIFS($C:$C,$C1176,$D:$D,"P0(후)",$L:$L,"&gt;0")&lt;&gt;1,"",SUMIFS($H:$H,$C:$C,$C1176,$D:$D,"P0(후)"))</f>
        <v/>
      </c>
      <c r="Q1176" s="30">
        <f>IF(COUNTIFS($C:$C,$C1176,$D:$D,"P0(후)",$L:$L,"&gt;0")&lt;&gt;1,"",SUMIFS($L:$L,$C:$C,$C1176,$D:$D,"P0(후)"))</f>
        <v/>
      </c>
      <c r="R1176" s="30">
        <f>IF(M1176&lt;&gt;"OK","",O1176+(Q1176-O1176)*(H1176-N1176)/(P1176-N1176))</f>
        <v/>
      </c>
      <c r="S1176" s="30">
        <f>IF(OR(M1176&lt;&gt;"OK",NOT(ISNUMBER(L1176))),"",L1176-R1176)</f>
        <v/>
      </c>
      <c r="T1176" s="46">
        <f>IF(OR(NOT(ISNUMBER(S1176)),IF(ISNUMBER(G1176),G1176,F1176)=0),"",S1176/IF(ISNUMBER(G1176),G1176,F1176))</f>
        <v/>
      </c>
      <c r="U1176" s="46">
        <f>IF(ISNUMBER(T1176),ABS(T1176),"")</f>
        <v/>
      </c>
      <c r="V1176" s="46">
        <f>IF(OR($D1175&lt;&gt;"측정",$C1175&lt;&gt;$C1176,NOT(ISNUMBER(L1176)),NOT(ISNUMBER(L1175)),(IF(ISNUMBER(G1176),G1176,F1176)-IF(ISNUMBER(G1175),G1175,F1175))=0),"",(L1176-L1175)/(IF(ISNUMBER(G1176),G1176,F1176)-IF(ISNUMBER(G1175),G1175,F1175)))</f>
        <v/>
      </c>
      <c r="W1176" s="30">
        <f>IF(NOT(AND(ISNUMBER(N1176),ISNUMBER(P1176))),"",(P1176-N1176)*1440)</f>
        <v/>
      </c>
      <c r="X1176" s="28" t="n"/>
      <c r="Y1176" s="28" t="n"/>
      <c r="Z1176" s="28" t="n"/>
      <c r="AA1176" s="31" t="n"/>
      <c r="AB1176" s="31" t="n"/>
    </row>
    <row r="1177">
      <c r="A1177" s="25" t="inlineStr">
        <is>
          <t>S23</t>
        </is>
      </c>
      <c r="B1177" s="25" t="inlineStr">
        <is>
          <t>덕산 신규점1</t>
        </is>
      </c>
      <c r="C1177" s="25" t="inlineStr">
        <is>
          <t>S23-H남</t>
        </is>
      </c>
      <c r="D1177" s="25" t="inlineStr">
        <is>
          <t>측정</t>
        </is>
      </c>
      <c r="E1177" s="25" t="inlineStr">
        <is>
          <t>남</t>
        </is>
      </c>
      <c r="F1177" s="30" t="n">
        <v>1</v>
      </c>
      <c r="G1177" s="29" t="n"/>
      <c r="H1177" s="42" t="n"/>
      <c r="I1177" s="40" t="n"/>
      <c r="J1177" s="40" t="n"/>
      <c r="K1177" s="40" t="n"/>
      <c r="L1177" s="30">
        <f>IF(COUNT(I1177:K1177)=0,"",MEDIAN(I1177:K1177))</f>
        <v/>
      </c>
      <c r="M1177" s="25">
        <f>IF(COUNTIFS($C:$C,$C1177,$D:$D,"P0(전)",$L:$L,"&gt;0")&lt;&gt;1,"P0(전) 유효 1개 아님",IF(COUNTIFS($C:$C,$C1177,$D:$D,"P0(후)",$L:$L,"&gt;0")&lt;&gt;1,"P0(후) 유효 1개 아님",IF(NOT(AND(ISNUMBER(N1177),ISNUMBER(P1177),ISNUMBER(H1177))),"시각 결측",IF(P1177&lt;=N1177,"P0 시각 역전",IF(OR(H1177&lt;N1177,H1177&gt;P1177),"측정시각 구간 밖","OK")))))</f>
        <v/>
      </c>
      <c r="N1177" s="45">
        <f>IF(COUNTIFS($C:$C,$C1177,$D:$D,"P0(전)",$L:$L,"&gt;0")&lt;&gt;1,"",SUMIFS($H:$H,$C:$C,$C1177,$D:$D,"P0(전)"))</f>
        <v/>
      </c>
      <c r="O1177" s="30">
        <f>IF(COUNTIFS($C:$C,$C1177,$D:$D,"P0(전)",$L:$L,"&gt;0")&lt;&gt;1,"",SUMIFS($L:$L,$C:$C,$C1177,$D:$D,"P0(전)"))</f>
        <v/>
      </c>
      <c r="P1177" s="45">
        <f>IF(COUNTIFS($C:$C,$C1177,$D:$D,"P0(후)",$L:$L,"&gt;0")&lt;&gt;1,"",SUMIFS($H:$H,$C:$C,$C1177,$D:$D,"P0(후)"))</f>
        <v/>
      </c>
      <c r="Q1177" s="30">
        <f>IF(COUNTIFS($C:$C,$C1177,$D:$D,"P0(후)",$L:$L,"&gt;0")&lt;&gt;1,"",SUMIFS($L:$L,$C:$C,$C1177,$D:$D,"P0(후)"))</f>
        <v/>
      </c>
      <c r="R1177" s="30">
        <f>IF(M1177&lt;&gt;"OK","",O1177+(Q1177-O1177)*(H1177-N1177)/(P1177-N1177))</f>
        <v/>
      </c>
      <c r="S1177" s="30">
        <f>IF(OR(M1177&lt;&gt;"OK",NOT(ISNUMBER(L1177))),"",L1177-R1177)</f>
        <v/>
      </c>
      <c r="T1177" s="46">
        <f>IF(OR(NOT(ISNUMBER(S1177)),IF(ISNUMBER(G1177),G1177,F1177)=0),"",S1177/IF(ISNUMBER(G1177),G1177,F1177))</f>
        <v/>
      </c>
      <c r="U1177" s="46">
        <f>IF(ISNUMBER(T1177),ABS(T1177),"")</f>
        <v/>
      </c>
      <c r="V1177" s="46">
        <f>IF(OR($D1176&lt;&gt;"측정",$C1176&lt;&gt;$C1177,NOT(ISNUMBER(L1177)),NOT(ISNUMBER(L1176)),(IF(ISNUMBER(G1177),G1177,F1177)-IF(ISNUMBER(G1176),G1176,F1176))=0),"",(L1177-L1176)/(IF(ISNUMBER(G1177),G1177,F1177)-IF(ISNUMBER(G1176),G1176,F1176)))</f>
        <v/>
      </c>
      <c r="W1177" s="30">
        <f>IF(NOT(AND(ISNUMBER(N1177),ISNUMBER(P1177))),"",(P1177-N1177)*1440)</f>
        <v/>
      </c>
      <c r="X1177" s="28" t="n"/>
      <c r="Y1177" s="28" t="n"/>
      <c r="Z1177" s="28" t="n"/>
      <c r="AA1177" s="31" t="n"/>
      <c r="AB1177" s="31" t="n"/>
    </row>
    <row r="1178">
      <c r="A1178" s="25" t="inlineStr">
        <is>
          <t>S23</t>
        </is>
      </c>
      <c r="B1178" s="25" t="inlineStr">
        <is>
          <t>덕산 신규점1</t>
        </is>
      </c>
      <c r="C1178" s="25" t="inlineStr">
        <is>
          <t>S23-H남</t>
        </is>
      </c>
      <c r="D1178" s="25" t="inlineStr">
        <is>
          <t>측정</t>
        </is>
      </c>
      <c r="E1178" s="25" t="inlineStr">
        <is>
          <t>남</t>
        </is>
      </c>
      <c r="F1178" s="30" t="n">
        <v>2</v>
      </c>
      <c r="G1178" s="29" t="n"/>
      <c r="H1178" s="42" t="n"/>
      <c r="I1178" s="40" t="n"/>
      <c r="J1178" s="40" t="n"/>
      <c r="K1178" s="40" t="n"/>
      <c r="L1178" s="30">
        <f>IF(COUNT(I1178:K1178)=0,"",MEDIAN(I1178:K1178))</f>
        <v/>
      </c>
      <c r="M1178" s="25">
        <f>IF(COUNTIFS($C:$C,$C1178,$D:$D,"P0(전)",$L:$L,"&gt;0")&lt;&gt;1,"P0(전) 유효 1개 아님",IF(COUNTIFS($C:$C,$C1178,$D:$D,"P0(후)",$L:$L,"&gt;0")&lt;&gt;1,"P0(후) 유효 1개 아님",IF(NOT(AND(ISNUMBER(N1178),ISNUMBER(P1178),ISNUMBER(H1178))),"시각 결측",IF(P1178&lt;=N1178,"P0 시각 역전",IF(OR(H1178&lt;N1178,H1178&gt;P1178),"측정시각 구간 밖","OK")))))</f>
        <v/>
      </c>
      <c r="N1178" s="45">
        <f>IF(COUNTIFS($C:$C,$C1178,$D:$D,"P0(전)",$L:$L,"&gt;0")&lt;&gt;1,"",SUMIFS($H:$H,$C:$C,$C1178,$D:$D,"P0(전)"))</f>
        <v/>
      </c>
      <c r="O1178" s="30">
        <f>IF(COUNTIFS($C:$C,$C1178,$D:$D,"P0(전)",$L:$L,"&gt;0")&lt;&gt;1,"",SUMIFS($L:$L,$C:$C,$C1178,$D:$D,"P0(전)"))</f>
        <v/>
      </c>
      <c r="P1178" s="45">
        <f>IF(COUNTIFS($C:$C,$C1178,$D:$D,"P0(후)",$L:$L,"&gt;0")&lt;&gt;1,"",SUMIFS($H:$H,$C:$C,$C1178,$D:$D,"P0(후)"))</f>
        <v/>
      </c>
      <c r="Q1178" s="30">
        <f>IF(COUNTIFS($C:$C,$C1178,$D:$D,"P0(후)",$L:$L,"&gt;0")&lt;&gt;1,"",SUMIFS($L:$L,$C:$C,$C1178,$D:$D,"P0(후)"))</f>
        <v/>
      </c>
      <c r="R1178" s="30">
        <f>IF(M1178&lt;&gt;"OK","",O1178+(Q1178-O1178)*(H1178-N1178)/(P1178-N1178))</f>
        <v/>
      </c>
      <c r="S1178" s="30">
        <f>IF(OR(M1178&lt;&gt;"OK",NOT(ISNUMBER(L1178))),"",L1178-R1178)</f>
        <v/>
      </c>
      <c r="T1178" s="46">
        <f>IF(OR(NOT(ISNUMBER(S1178)),IF(ISNUMBER(G1178),G1178,F1178)=0),"",S1178/IF(ISNUMBER(G1178),G1178,F1178))</f>
        <v/>
      </c>
      <c r="U1178" s="46">
        <f>IF(ISNUMBER(T1178),ABS(T1178),"")</f>
        <v/>
      </c>
      <c r="V1178" s="46">
        <f>IF(OR($D1177&lt;&gt;"측정",$C1177&lt;&gt;$C1178,NOT(ISNUMBER(L1178)),NOT(ISNUMBER(L1177)),(IF(ISNUMBER(G1178),G1178,F1178)-IF(ISNUMBER(G1177),G1177,F1177))=0),"",(L1178-L1177)/(IF(ISNUMBER(G1178),G1178,F1178)-IF(ISNUMBER(G1177),G1177,F1177)))</f>
        <v/>
      </c>
      <c r="W1178" s="30">
        <f>IF(NOT(AND(ISNUMBER(N1178),ISNUMBER(P1178))),"",(P1178-N1178)*1440)</f>
        <v/>
      </c>
      <c r="X1178" s="28" t="n"/>
      <c r="Y1178" s="28" t="n"/>
      <c r="Z1178" s="28" t="n"/>
      <c r="AA1178" s="31" t="n"/>
      <c r="AB1178" s="31" t="n"/>
    </row>
    <row r="1179">
      <c r="A1179" s="25" t="inlineStr">
        <is>
          <t>S23</t>
        </is>
      </c>
      <c r="B1179" s="25" t="inlineStr">
        <is>
          <t>덕산 신규점1</t>
        </is>
      </c>
      <c r="C1179" s="25" t="inlineStr">
        <is>
          <t>S23-H남</t>
        </is>
      </c>
      <c r="D1179" s="25" t="inlineStr">
        <is>
          <t>측정</t>
        </is>
      </c>
      <c r="E1179" s="25" t="inlineStr">
        <is>
          <t>남</t>
        </is>
      </c>
      <c r="F1179" s="30" t="n">
        <v>3</v>
      </c>
      <c r="G1179" s="29" t="n"/>
      <c r="H1179" s="42" t="n"/>
      <c r="I1179" s="40" t="n"/>
      <c r="J1179" s="40" t="n"/>
      <c r="K1179" s="40" t="n"/>
      <c r="L1179" s="30">
        <f>IF(COUNT(I1179:K1179)=0,"",MEDIAN(I1179:K1179))</f>
        <v/>
      </c>
      <c r="M1179" s="25">
        <f>IF(COUNTIFS($C:$C,$C1179,$D:$D,"P0(전)",$L:$L,"&gt;0")&lt;&gt;1,"P0(전) 유효 1개 아님",IF(COUNTIFS($C:$C,$C1179,$D:$D,"P0(후)",$L:$L,"&gt;0")&lt;&gt;1,"P0(후) 유효 1개 아님",IF(NOT(AND(ISNUMBER(N1179),ISNUMBER(P1179),ISNUMBER(H1179))),"시각 결측",IF(P1179&lt;=N1179,"P0 시각 역전",IF(OR(H1179&lt;N1179,H1179&gt;P1179),"측정시각 구간 밖","OK")))))</f>
        <v/>
      </c>
      <c r="N1179" s="45">
        <f>IF(COUNTIFS($C:$C,$C1179,$D:$D,"P0(전)",$L:$L,"&gt;0")&lt;&gt;1,"",SUMIFS($H:$H,$C:$C,$C1179,$D:$D,"P0(전)"))</f>
        <v/>
      </c>
      <c r="O1179" s="30">
        <f>IF(COUNTIFS($C:$C,$C1179,$D:$D,"P0(전)",$L:$L,"&gt;0")&lt;&gt;1,"",SUMIFS($L:$L,$C:$C,$C1179,$D:$D,"P0(전)"))</f>
        <v/>
      </c>
      <c r="P1179" s="45">
        <f>IF(COUNTIFS($C:$C,$C1179,$D:$D,"P0(후)",$L:$L,"&gt;0")&lt;&gt;1,"",SUMIFS($H:$H,$C:$C,$C1179,$D:$D,"P0(후)"))</f>
        <v/>
      </c>
      <c r="Q1179" s="30">
        <f>IF(COUNTIFS($C:$C,$C1179,$D:$D,"P0(후)",$L:$L,"&gt;0")&lt;&gt;1,"",SUMIFS($L:$L,$C:$C,$C1179,$D:$D,"P0(후)"))</f>
        <v/>
      </c>
      <c r="R1179" s="30">
        <f>IF(M1179&lt;&gt;"OK","",O1179+(Q1179-O1179)*(H1179-N1179)/(P1179-N1179))</f>
        <v/>
      </c>
      <c r="S1179" s="30">
        <f>IF(OR(M1179&lt;&gt;"OK",NOT(ISNUMBER(L1179))),"",L1179-R1179)</f>
        <v/>
      </c>
      <c r="T1179" s="46">
        <f>IF(OR(NOT(ISNUMBER(S1179)),IF(ISNUMBER(G1179),G1179,F1179)=0),"",S1179/IF(ISNUMBER(G1179),G1179,F1179))</f>
        <v/>
      </c>
      <c r="U1179" s="46">
        <f>IF(ISNUMBER(T1179),ABS(T1179),"")</f>
        <v/>
      </c>
      <c r="V1179" s="46">
        <f>IF(OR($D1178&lt;&gt;"측정",$C1178&lt;&gt;$C1179,NOT(ISNUMBER(L1179)),NOT(ISNUMBER(L1178)),(IF(ISNUMBER(G1179),G1179,F1179)-IF(ISNUMBER(G1178),G1178,F1178))=0),"",(L1179-L1178)/(IF(ISNUMBER(G1179),G1179,F1179)-IF(ISNUMBER(G1178),G1178,F1178)))</f>
        <v/>
      </c>
      <c r="W1179" s="30">
        <f>IF(NOT(AND(ISNUMBER(N1179),ISNUMBER(P1179))),"",(P1179-N1179)*1440)</f>
        <v/>
      </c>
      <c r="X1179" s="28" t="n"/>
      <c r="Y1179" s="28" t="n"/>
      <c r="Z1179" s="28" t="n"/>
      <c r="AA1179" s="31" t="n"/>
      <c r="AB1179" s="31" t="n"/>
    </row>
    <row r="1180">
      <c r="A1180" s="25" t="inlineStr">
        <is>
          <t>S23</t>
        </is>
      </c>
      <c r="B1180" s="25" t="inlineStr">
        <is>
          <t>덕산 신규점1</t>
        </is>
      </c>
      <c r="C1180" s="25" t="inlineStr">
        <is>
          <t>S23-H남</t>
        </is>
      </c>
      <c r="D1180" s="25" t="inlineStr">
        <is>
          <t>측정</t>
        </is>
      </c>
      <c r="E1180" s="25" t="inlineStr">
        <is>
          <t>남</t>
        </is>
      </c>
      <c r="F1180" s="30" t="n">
        <v>4</v>
      </c>
      <c r="G1180" s="29" t="n"/>
      <c r="H1180" s="42" t="n"/>
      <c r="I1180" s="40" t="n"/>
      <c r="J1180" s="40" t="n"/>
      <c r="K1180" s="40" t="n"/>
      <c r="L1180" s="30">
        <f>IF(COUNT(I1180:K1180)=0,"",MEDIAN(I1180:K1180))</f>
        <v/>
      </c>
      <c r="M1180" s="25">
        <f>IF(COUNTIFS($C:$C,$C1180,$D:$D,"P0(전)",$L:$L,"&gt;0")&lt;&gt;1,"P0(전) 유효 1개 아님",IF(COUNTIFS($C:$C,$C1180,$D:$D,"P0(후)",$L:$L,"&gt;0")&lt;&gt;1,"P0(후) 유효 1개 아님",IF(NOT(AND(ISNUMBER(N1180),ISNUMBER(P1180),ISNUMBER(H1180))),"시각 결측",IF(P1180&lt;=N1180,"P0 시각 역전",IF(OR(H1180&lt;N1180,H1180&gt;P1180),"측정시각 구간 밖","OK")))))</f>
        <v/>
      </c>
      <c r="N1180" s="45">
        <f>IF(COUNTIFS($C:$C,$C1180,$D:$D,"P0(전)",$L:$L,"&gt;0")&lt;&gt;1,"",SUMIFS($H:$H,$C:$C,$C1180,$D:$D,"P0(전)"))</f>
        <v/>
      </c>
      <c r="O1180" s="30">
        <f>IF(COUNTIFS($C:$C,$C1180,$D:$D,"P0(전)",$L:$L,"&gt;0")&lt;&gt;1,"",SUMIFS($L:$L,$C:$C,$C1180,$D:$D,"P0(전)"))</f>
        <v/>
      </c>
      <c r="P1180" s="45">
        <f>IF(COUNTIFS($C:$C,$C1180,$D:$D,"P0(후)",$L:$L,"&gt;0")&lt;&gt;1,"",SUMIFS($H:$H,$C:$C,$C1180,$D:$D,"P0(후)"))</f>
        <v/>
      </c>
      <c r="Q1180" s="30">
        <f>IF(COUNTIFS($C:$C,$C1180,$D:$D,"P0(후)",$L:$L,"&gt;0")&lt;&gt;1,"",SUMIFS($L:$L,$C:$C,$C1180,$D:$D,"P0(후)"))</f>
        <v/>
      </c>
      <c r="R1180" s="30">
        <f>IF(M1180&lt;&gt;"OK","",O1180+(Q1180-O1180)*(H1180-N1180)/(P1180-N1180))</f>
        <v/>
      </c>
      <c r="S1180" s="30">
        <f>IF(OR(M1180&lt;&gt;"OK",NOT(ISNUMBER(L1180))),"",L1180-R1180)</f>
        <v/>
      </c>
      <c r="T1180" s="46">
        <f>IF(OR(NOT(ISNUMBER(S1180)),IF(ISNUMBER(G1180),G1180,F1180)=0),"",S1180/IF(ISNUMBER(G1180),G1180,F1180))</f>
        <v/>
      </c>
      <c r="U1180" s="46">
        <f>IF(ISNUMBER(T1180),ABS(T1180),"")</f>
        <v/>
      </c>
      <c r="V1180" s="46">
        <f>IF(OR($D1179&lt;&gt;"측정",$C1179&lt;&gt;$C1180,NOT(ISNUMBER(L1180)),NOT(ISNUMBER(L1179)),(IF(ISNUMBER(G1180),G1180,F1180)-IF(ISNUMBER(G1179),G1179,F1179))=0),"",(L1180-L1179)/(IF(ISNUMBER(G1180),G1180,F1180)-IF(ISNUMBER(G1179),G1179,F1179)))</f>
        <v/>
      </c>
      <c r="W1180" s="30">
        <f>IF(NOT(AND(ISNUMBER(N1180),ISNUMBER(P1180))),"",(P1180-N1180)*1440)</f>
        <v/>
      </c>
      <c r="X1180" s="28" t="n"/>
      <c r="Y1180" s="28" t="n"/>
      <c r="Z1180" s="28" t="n"/>
      <c r="AA1180" s="31" t="n"/>
      <c r="AB1180" s="31" t="n"/>
    </row>
    <row r="1181">
      <c r="A1181" s="25" t="inlineStr">
        <is>
          <t>S23</t>
        </is>
      </c>
      <c r="B1181" s="25" t="inlineStr">
        <is>
          <t>덕산 신규점1</t>
        </is>
      </c>
      <c r="C1181" s="25" t="inlineStr">
        <is>
          <t>S23-H남</t>
        </is>
      </c>
      <c r="D1181" s="25" t="inlineStr">
        <is>
          <t>측정</t>
        </is>
      </c>
      <c r="E1181" s="25" t="inlineStr">
        <is>
          <t>남</t>
        </is>
      </c>
      <c r="F1181" s="30" t="n">
        <v>5</v>
      </c>
      <c r="G1181" s="29" t="n"/>
      <c r="H1181" s="42" t="n"/>
      <c r="I1181" s="40" t="n"/>
      <c r="J1181" s="40" t="n"/>
      <c r="K1181" s="40" t="n"/>
      <c r="L1181" s="30">
        <f>IF(COUNT(I1181:K1181)=0,"",MEDIAN(I1181:K1181))</f>
        <v/>
      </c>
      <c r="M1181" s="25">
        <f>IF(COUNTIFS($C:$C,$C1181,$D:$D,"P0(전)",$L:$L,"&gt;0")&lt;&gt;1,"P0(전) 유효 1개 아님",IF(COUNTIFS($C:$C,$C1181,$D:$D,"P0(후)",$L:$L,"&gt;0")&lt;&gt;1,"P0(후) 유효 1개 아님",IF(NOT(AND(ISNUMBER(N1181),ISNUMBER(P1181),ISNUMBER(H1181))),"시각 결측",IF(P1181&lt;=N1181,"P0 시각 역전",IF(OR(H1181&lt;N1181,H1181&gt;P1181),"측정시각 구간 밖","OK")))))</f>
        <v/>
      </c>
      <c r="N1181" s="45">
        <f>IF(COUNTIFS($C:$C,$C1181,$D:$D,"P0(전)",$L:$L,"&gt;0")&lt;&gt;1,"",SUMIFS($H:$H,$C:$C,$C1181,$D:$D,"P0(전)"))</f>
        <v/>
      </c>
      <c r="O1181" s="30">
        <f>IF(COUNTIFS($C:$C,$C1181,$D:$D,"P0(전)",$L:$L,"&gt;0")&lt;&gt;1,"",SUMIFS($L:$L,$C:$C,$C1181,$D:$D,"P0(전)"))</f>
        <v/>
      </c>
      <c r="P1181" s="45">
        <f>IF(COUNTIFS($C:$C,$C1181,$D:$D,"P0(후)",$L:$L,"&gt;0")&lt;&gt;1,"",SUMIFS($H:$H,$C:$C,$C1181,$D:$D,"P0(후)"))</f>
        <v/>
      </c>
      <c r="Q1181" s="30">
        <f>IF(COUNTIFS($C:$C,$C1181,$D:$D,"P0(후)",$L:$L,"&gt;0")&lt;&gt;1,"",SUMIFS($L:$L,$C:$C,$C1181,$D:$D,"P0(후)"))</f>
        <v/>
      </c>
      <c r="R1181" s="30">
        <f>IF(M1181&lt;&gt;"OK","",O1181+(Q1181-O1181)*(H1181-N1181)/(P1181-N1181))</f>
        <v/>
      </c>
      <c r="S1181" s="30">
        <f>IF(OR(M1181&lt;&gt;"OK",NOT(ISNUMBER(L1181))),"",L1181-R1181)</f>
        <v/>
      </c>
      <c r="T1181" s="46">
        <f>IF(OR(NOT(ISNUMBER(S1181)),IF(ISNUMBER(G1181),G1181,F1181)=0),"",S1181/IF(ISNUMBER(G1181),G1181,F1181))</f>
        <v/>
      </c>
      <c r="U1181" s="46">
        <f>IF(ISNUMBER(T1181),ABS(T1181),"")</f>
        <v/>
      </c>
      <c r="V1181" s="46">
        <f>IF(OR($D1180&lt;&gt;"측정",$C1180&lt;&gt;$C1181,NOT(ISNUMBER(L1181)),NOT(ISNUMBER(L1180)),(IF(ISNUMBER(G1181),G1181,F1181)-IF(ISNUMBER(G1180),G1180,F1180))=0),"",(L1181-L1180)/(IF(ISNUMBER(G1181),G1181,F1181)-IF(ISNUMBER(G1180),G1180,F1180)))</f>
        <v/>
      </c>
      <c r="W1181" s="30">
        <f>IF(NOT(AND(ISNUMBER(N1181),ISNUMBER(P1181))),"",(P1181-N1181)*1440)</f>
        <v/>
      </c>
      <c r="X1181" s="28" t="n"/>
      <c r="Y1181" s="28" t="n"/>
      <c r="Z1181" s="28" t="n"/>
      <c r="AA1181" s="31" t="n"/>
      <c r="AB1181" s="31" t="n"/>
    </row>
    <row r="1182">
      <c r="A1182" s="25" t="inlineStr">
        <is>
          <t>S23</t>
        </is>
      </c>
      <c r="B1182" s="25" t="inlineStr">
        <is>
          <t>덕산 신규점1</t>
        </is>
      </c>
      <c r="C1182" s="25" t="inlineStr">
        <is>
          <t>S23-H남</t>
        </is>
      </c>
      <c r="D1182" s="25" t="inlineStr">
        <is>
          <t>측정</t>
        </is>
      </c>
      <c r="E1182" s="25" t="inlineStr">
        <is>
          <t>남</t>
        </is>
      </c>
      <c r="F1182" s="30" t="n">
        <v>6</v>
      </c>
      <c r="G1182" s="29" t="n"/>
      <c r="H1182" s="42" t="n"/>
      <c r="I1182" s="40" t="n"/>
      <c r="J1182" s="40" t="n"/>
      <c r="K1182" s="40" t="n"/>
      <c r="L1182" s="30">
        <f>IF(COUNT(I1182:K1182)=0,"",MEDIAN(I1182:K1182))</f>
        <v/>
      </c>
      <c r="M1182" s="25">
        <f>IF(COUNTIFS($C:$C,$C1182,$D:$D,"P0(전)",$L:$L,"&gt;0")&lt;&gt;1,"P0(전) 유효 1개 아님",IF(COUNTIFS($C:$C,$C1182,$D:$D,"P0(후)",$L:$L,"&gt;0")&lt;&gt;1,"P0(후) 유효 1개 아님",IF(NOT(AND(ISNUMBER(N1182),ISNUMBER(P1182),ISNUMBER(H1182))),"시각 결측",IF(P1182&lt;=N1182,"P0 시각 역전",IF(OR(H1182&lt;N1182,H1182&gt;P1182),"측정시각 구간 밖","OK")))))</f>
        <v/>
      </c>
      <c r="N1182" s="45">
        <f>IF(COUNTIFS($C:$C,$C1182,$D:$D,"P0(전)",$L:$L,"&gt;0")&lt;&gt;1,"",SUMIFS($H:$H,$C:$C,$C1182,$D:$D,"P0(전)"))</f>
        <v/>
      </c>
      <c r="O1182" s="30">
        <f>IF(COUNTIFS($C:$C,$C1182,$D:$D,"P0(전)",$L:$L,"&gt;0")&lt;&gt;1,"",SUMIFS($L:$L,$C:$C,$C1182,$D:$D,"P0(전)"))</f>
        <v/>
      </c>
      <c r="P1182" s="45">
        <f>IF(COUNTIFS($C:$C,$C1182,$D:$D,"P0(후)",$L:$L,"&gt;0")&lt;&gt;1,"",SUMIFS($H:$H,$C:$C,$C1182,$D:$D,"P0(후)"))</f>
        <v/>
      </c>
      <c r="Q1182" s="30">
        <f>IF(COUNTIFS($C:$C,$C1182,$D:$D,"P0(후)",$L:$L,"&gt;0")&lt;&gt;1,"",SUMIFS($L:$L,$C:$C,$C1182,$D:$D,"P0(후)"))</f>
        <v/>
      </c>
      <c r="R1182" s="30">
        <f>IF(M1182&lt;&gt;"OK","",O1182+(Q1182-O1182)*(H1182-N1182)/(P1182-N1182))</f>
        <v/>
      </c>
      <c r="S1182" s="30">
        <f>IF(OR(M1182&lt;&gt;"OK",NOT(ISNUMBER(L1182))),"",L1182-R1182)</f>
        <v/>
      </c>
      <c r="T1182" s="46">
        <f>IF(OR(NOT(ISNUMBER(S1182)),IF(ISNUMBER(G1182),G1182,F1182)=0),"",S1182/IF(ISNUMBER(G1182),G1182,F1182))</f>
        <v/>
      </c>
      <c r="U1182" s="46">
        <f>IF(ISNUMBER(T1182),ABS(T1182),"")</f>
        <v/>
      </c>
      <c r="V1182" s="46">
        <f>IF(OR($D1181&lt;&gt;"측정",$C1181&lt;&gt;$C1182,NOT(ISNUMBER(L1182)),NOT(ISNUMBER(L1181)),(IF(ISNUMBER(G1182),G1182,F1182)-IF(ISNUMBER(G1181),G1181,F1181))=0),"",(L1182-L1181)/(IF(ISNUMBER(G1182),G1182,F1182)-IF(ISNUMBER(G1181),G1181,F1181)))</f>
        <v/>
      </c>
      <c r="W1182" s="30">
        <f>IF(NOT(AND(ISNUMBER(N1182),ISNUMBER(P1182))),"",(P1182-N1182)*1440)</f>
        <v/>
      </c>
      <c r="X1182" s="28" t="n"/>
      <c r="Y1182" s="28" t="n"/>
      <c r="Z1182" s="28" t="n"/>
      <c r="AA1182" s="31" t="n"/>
      <c r="AB1182" s="31" t="n"/>
    </row>
    <row r="1183">
      <c r="A1183" s="25" t="inlineStr">
        <is>
          <t>S23</t>
        </is>
      </c>
      <c r="B1183" s="25" t="inlineStr">
        <is>
          <t>덕산 신규점1</t>
        </is>
      </c>
      <c r="C1183" s="25" t="inlineStr">
        <is>
          <t>S23-H남</t>
        </is>
      </c>
      <c r="D1183" s="25" t="inlineStr">
        <is>
          <t>측정</t>
        </is>
      </c>
      <c r="E1183" s="25" t="inlineStr">
        <is>
          <t>남</t>
        </is>
      </c>
      <c r="F1183" s="30" t="n">
        <v>7</v>
      </c>
      <c r="G1183" s="29" t="n"/>
      <c r="H1183" s="42" t="n"/>
      <c r="I1183" s="40" t="n"/>
      <c r="J1183" s="40" t="n"/>
      <c r="K1183" s="40" t="n"/>
      <c r="L1183" s="30">
        <f>IF(COUNT(I1183:K1183)=0,"",MEDIAN(I1183:K1183))</f>
        <v/>
      </c>
      <c r="M1183" s="25">
        <f>IF(COUNTIFS($C:$C,$C1183,$D:$D,"P0(전)",$L:$L,"&gt;0")&lt;&gt;1,"P0(전) 유효 1개 아님",IF(COUNTIFS($C:$C,$C1183,$D:$D,"P0(후)",$L:$L,"&gt;0")&lt;&gt;1,"P0(후) 유효 1개 아님",IF(NOT(AND(ISNUMBER(N1183),ISNUMBER(P1183),ISNUMBER(H1183))),"시각 결측",IF(P1183&lt;=N1183,"P0 시각 역전",IF(OR(H1183&lt;N1183,H1183&gt;P1183),"측정시각 구간 밖","OK")))))</f>
        <v/>
      </c>
      <c r="N1183" s="45">
        <f>IF(COUNTIFS($C:$C,$C1183,$D:$D,"P0(전)",$L:$L,"&gt;0")&lt;&gt;1,"",SUMIFS($H:$H,$C:$C,$C1183,$D:$D,"P0(전)"))</f>
        <v/>
      </c>
      <c r="O1183" s="30">
        <f>IF(COUNTIFS($C:$C,$C1183,$D:$D,"P0(전)",$L:$L,"&gt;0")&lt;&gt;1,"",SUMIFS($L:$L,$C:$C,$C1183,$D:$D,"P0(전)"))</f>
        <v/>
      </c>
      <c r="P1183" s="45">
        <f>IF(COUNTIFS($C:$C,$C1183,$D:$D,"P0(후)",$L:$L,"&gt;0")&lt;&gt;1,"",SUMIFS($H:$H,$C:$C,$C1183,$D:$D,"P0(후)"))</f>
        <v/>
      </c>
      <c r="Q1183" s="30">
        <f>IF(COUNTIFS($C:$C,$C1183,$D:$D,"P0(후)",$L:$L,"&gt;0")&lt;&gt;1,"",SUMIFS($L:$L,$C:$C,$C1183,$D:$D,"P0(후)"))</f>
        <v/>
      </c>
      <c r="R1183" s="30">
        <f>IF(M1183&lt;&gt;"OK","",O1183+(Q1183-O1183)*(H1183-N1183)/(P1183-N1183))</f>
        <v/>
      </c>
      <c r="S1183" s="30">
        <f>IF(OR(M1183&lt;&gt;"OK",NOT(ISNUMBER(L1183))),"",L1183-R1183)</f>
        <v/>
      </c>
      <c r="T1183" s="46">
        <f>IF(OR(NOT(ISNUMBER(S1183)),IF(ISNUMBER(G1183),G1183,F1183)=0),"",S1183/IF(ISNUMBER(G1183),G1183,F1183))</f>
        <v/>
      </c>
      <c r="U1183" s="46">
        <f>IF(ISNUMBER(T1183),ABS(T1183),"")</f>
        <v/>
      </c>
      <c r="V1183" s="46">
        <f>IF(OR($D1182&lt;&gt;"측정",$C1182&lt;&gt;$C1183,NOT(ISNUMBER(L1183)),NOT(ISNUMBER(L1182)),(IF(ISNUMBER(G1183),G1183,F1183)-IF(ISNUMBER(G1182),G1182,F1182))=0),"",(L1183-L1182)/(IF(ISNUMBER(G1183),G1183,F1183)-IF(ISNUMBER(G1182),G1182,F1182)))</f>
        <v/>
      </c>
      <c r="W1183" s="30">
        <f>IF(NOT(AND(ISNUMBER(N1183),ISNUMBER(P1183))),"",(P1183-N1183)*1440)</f>
        <v/>
      </c>
      <c r="X1183" s="28" t="n"/>
      <c r="Y1183" s="28" t="n"/>
      <c r="Z1183" s="28" t="n"/>
      <c r="AA1183" s="31" t="n"/>
      <c r="AB1183" s="31" t="n"/>
    </row>
    <row r="1184">
      <c r="A1184" s="25" t="inlineStr">
        <is>
          <t>S23</t>
        </is>
      </c>
      <c r="B1184" s="25" t="inlineStr">
        <is>
          <t>덕산 신규점1</t>
        </is>
      </c>
      <c r="C1184" s="25" t="inlineStr">
        <is>
          <t>S23-H남</t>
        </is>
      </c>
      <c r="D1184" s="25" t="inlineStr">
        <is>
          <t>측정</t>
        </is>
      </c>
      <c r="E1184" s="25" t="inlineStr">
        <is>
          <t>남</t>
        </is>
      </c>
      <c r="F1184" s="30" t="n">
        <v>8</v>
      </c>
      <c r="G1184" s="29" t="n"/>
      <c r="H1184" s="42" t="n"/>
      <c r="I1184" s="40" t="n"/>
      <c r="J1184" s="40" t="n"/>
      <c r="K1184" s="40" t="n"/>
      <c r="L1184" s="30">
        <f>IF(COUNT(I1184:K1184)=0,"",MEDIAN(I1184:K1184))</f>
        <v/>
      </c>
      <c r="M1184" s="25">
        <f>IF(COUNTIFS($C:$C,$C1184,$D:$D,"P0(전)",$L:$L,"&gt;0")&lt;&gt;1,"P0(전) 유효 1개 아님",IF(COUNTIFS($C:$C,$C1184,$D:$D,"P0(후)",$L:$L,"&gt;0")&lt;&gt;1,"P0(후) 유효 1개 아님",IF(NOT(AND(ISNUMBER(N1184),ISNUMBER(P1184),ISNUMBER(H1184))),"시각 결측",IF(P1184&lt;=N1184,"P0 시각 역전",IF(OR(H1184&lt;N1184,H1184&gt;P1184),"측정시각 구간 밖","OK")))))</f>
        <v/>
      </c>
      <c r="N1184" s="45">
        <f>IF(COUNTIFS($C:$C,$C1184,$D:$D,"P0(전)",$L:$L,"&gt;0")&lt;&gt;1,"",SUMIFS($H:$H,$C:$C,$C1184,$D:$D,"P0(전)"))</f>
        <v/>
      </c>
      <c r="O1184" s="30">
        <f>IF(COUNTIFS($C:$C,$C1184,$D:$D,"P0(전)",$L:$L,"&gt;0")&lt;&gt;1,"",SUMIFS($L:$L,$C:$C,$C1184,$D:$D,"P0(전)"))</f>
        <v/>
      </c>
      <c r="P1184" s="45">
        <f>IF(COUNTIFS($C:$C,$C1184,$D:$D,"P0(후)",$L:$L,"&gt;0")&lt;&gt;1,"",SUMIFS($H:$H,$C:$C,$C1184,$D:$D,"P0(후)"))</f>
        <v/>
      </c>
      <c r="Q1184" s="30">
        <f>IF(COUNTIFS($C:$C,$C1184,$D:$D,"P0(후)",$L:$L,"&gt;0")&lt;&gt;1,"",SUMIFS($L:$L,$C:$C,$C1184,$D:$D,"P0(후)"))</f>
        <v/>
      </c>
      <c r="R1184" s="30">
        <f>IF(M1184&lt;&gt;"OK","",O1184+(Q1184-O1184)*(H1184-N1184)/(P1184-N1184))</f>
        <v/>
      </c>
      <c r="S1184" s="30">
        <f>IF(OR(M1184&lt;&gt;"OK",NOT(ISNUMBER(L1184))),"",L1184-R1184)</f>
        <v/>
      </c>
      <c r="T1184" s="46">
        <f>IF(OR(NOT(ISNUMBER(S1184)),IF(ISNUMBER(G1184),G1184,F1184)=0),"",S1184/IF(ISNUMBER(G1184),G1184,F1184))</f>
        <v/>
      </c>
      <c r="U1184" s="46">
        <f>IF(ISNUMBER(T1184),ABS(T1184),"")</f>
        <v/>
      </c>
      <c r="V1184" s="46">
        <f>IF(OR($D1183&lt;&gt;"측정",$C1183&lt;&gt;$C1184,NOT(ISNUMBER(L1184)),NOT(ISNUMBER(L1183)),(IF(ISNUMBER(G1184),G1184,F1184)-IF(ISNUMBER(G1183),G1183,F1183))=0),"",(L1184-L1183)/(IF(ISNUMBER(G1184),G1184,F1184)-IF(ISNUMBER(G1183),G1183,F1183)))</f>
        <v/>
      </c>
      <c r="W1184" s="30">
        <f>IF(NOT(AND(ISNUMBER(N1184),ISNUMBER(P1184))),"",(P1184-N1184)*1440)</f>
        <v/>
      </c>
      <c r="X1184" s="28" t="n"/>
      <c r="Y1184" s="28" t="n"/>
      <c r="Z1184" s="28" t="n"/>
      <c r="AA1184" s="31" t="n"/>
      <c r="AB1184" s="31" t="n"/>
    </row>
    <row r="1185">
      <c r="A1185" s="25" t="inlineStr">
        <is>
          <t>S23</t>
        </is>
      </c>
      <c r="B1185" s="25" t="inlineStr">
        <is>
          <t>덕산 신규점1</t>
        </is>
      </c>
      <c r="C1185" s="25" t="inlineStr">
        <is>
          <t>S23-H남</t>
        </is>
      </c>
      <c r="D1185" s="25" t="inlineStr">
        <is>
          <t>측정</t>
        </is>
      </c>
      <c r="E1185" s="25" t="inlineStr">
        <is>
          <t>남</t>
        </is>
      </c>
      <c r="F1185" s="30" t="n">
        <v>9</v>
      </c>
      <c r="G1185" s="29" t="n"/>
      <c r="H1185" s="42" t="n"/>
      <c r="I1185" s="40" t="n"/>
      <c r="J1185" s="40" t="n"/>
      <c r="K1185" s="40" t="n"/>
      <c r="L1185" s="30">
        <f>IF(COUNT(I1185:K1185)=0,"",MEDIAN(I1185:K1185))</f>
        <v/>
      </c>
      <c r="M1185" s="25">
        <f>IF(COUNTIFS($C:$C,$C1185,$D:$D,"P0(전)",$L:$L,"&gt;0")&lt;&gt;1,"P0(전) 유효 1개 아님",IF(COUNTIFS($C:$C,$C1185,$D:$D,"P0(후)",$L:$L,"&gt;0")&lt;&gt;1,"P0(후) 유효 1개 아님",IF(NOT(AND(ISNUMBER(N1185),ISNUMBER(P1185),ISNUMBER(H1185))),"시각 결측",IF(P1185&lt;=N1185,"P0 시각 역전",IF(OR(H1185&lt;N1185,H1185&gt;P1185),"측정시각 구간 밖","OK")))))</f>
        <v/>
      </c>
      <c r="N1185" s="45">
        <f>IF(COUNTIFS($C:$C,$C1185,$D:$D,"P0(전)",$L:$L,"&gt;0")&lt;&gt;1,"",SUMIFS($H:$H,$C:$C,$C1185,$D:$D,"P0(전)"))</f>
        <v/>
      </c>
      <c r="O1185" s="30">
        <f>IF(COUNTIFS($C:$C,$C1185,$D:$D,"P0(전)",$L:$L,"&gt;0")&lt;&gt;1,"",SUMIFS($L:$L,$C:$C,$C1185,$D:$D,"P0(전)"))</f>
        <v/>
      </c>
      <c r="P1185" s="45">
        <f>IF(COUNTIFS($C:$C,$C1185,$D:$D,"P0(후)",$L:$L,"&gt;0")&lt;&gt;1,"",SUMIFS($H:$H,$C:$C,$C1185,$D:$D,"P0(후)"))</f>
        <v/>
      </c>
      <c r="Q1185" s="30">
        <f>IF(COUNTIFS($C:$C,$C1185,$D:$D,"P0(후)",$L:$L,"&gt;0")&lt;&gt;1,"",SUMIFS($L:$L,$C:$C,$C1185,$D:$D,"P0(후)"))</f>
        <v/>
      </c>
      <c r="R1185" s="30">
        <f>IF(M1185&lt;&gt;"OK","",O1185+(Q1185-O1185)*(H1185-N1185)/(P1185-N1185))</f>
        <v/>
      </c>
      <c r="S1185" s="30">
        <f>IF(OR(M1185&lt;&gt;"OK",NOT(ISNUMBER(L1185))),"",L1185-R1185)</f>
        <v/>
      </c>
      <c r="T1185" s="46">
        <f>IF(OR(NOT(ISNUMBER(S1185)),IF(ISNUMBER(G1185),G1185,F1185)=0),"",S1185/IF(ISNUMBER(G1185),G1185,F1185))</f>
        <v/>
      </c>
      <c r="U1185" s="46">
        <f>IF(ISNUMBER(T1185),ABS(T1185),"")</f>
        <v/>
      </c>
      <c r="V1185" s="46">
        <f>IF(OR($D1184&lt;&gt;"측정",$C1184&lt;&gt;$C1185,NOT(ISNUMBER(L1185)),NOT(ISNUMBER(L1184)),(IF(ISNUMBER(G1185),G1185,F1185)-IF(ISNUMBER(G1184),G1184,F1184))=0),"",(L1185-L1184)/(IF(ISNUMBER(G1185),G1185,F1185)-IF(ISNUMBER(G1184),G1184,F1184)))</f>
        <v/>
      </c>
      <c r="W1185" s="30">
        <f>IF(NOT(AND(ISNUMBER(N1185),ISNUMBER(P1185))),"",(P1185-N1185)*1440)</f>
        <v/>
      </c>
      <c r="X1185" s="28" t="n"/>
      <c r="Y1185" s="28" t="n"/>
      <c r="Z1185" s="28" t="n"/>
      <c r="AA1185" s="31" t="n"/>
      <c r="AB1185" s="31" t="n"/>
    </row>
    <row r="1186">
      <c r="A1186" s="25" t="inlineStr">
        <is>
          <t>S23</t>
        </is>
      </c>
      <c r="B1186" s="25" t="inlineStr">
        <is>
          <t>덕산 신규점1</t>
        </is>
      </c>
      <c r="C1186" s="25" t="inlineStr">
        <is>
          <t>S23-H남</t>
        </is>
      </c>
      <c r="D1186" s="25" t="inlineStr">
        <is>
          <t>측정</t>
        </is>
      </c>
      <c r="E1186" s="25" t="inlineStr">
        <is>
          <t>남</t>
        </is>
      </c>
      <c r="F1186" s="30" t="n">
        <v>10</v>
      </c>
      <c r="G1186" s="29" t="n"/>
      <c r="H1186" s="42" t="n"/>
      <c r="I1186" s="40" t="n"/>
      <c r="J1186" s="40" t="n"/>
      <c r="K1186" s="40" t="n"/>
      <c r="L1186" s="30">
        <f>IF(COUNT(I1186:K1186)=0,"",MEDIAN(I1186:K1186))</f>
        <v/>
      </c>
      <c r="M1186" s="25">
        <f>IF(COUNTIFS($C:$C,$C1186,$D:$D,"P0(전)",$L:$L,"&gt;0")&lt;&gt;1,"P0(전) 유효 1개 아님",IF(COUNTIFS($C:$C,$C1186,$D:$D,"P0(후)",$L:$L,"&gt;0")&lt;&gt;1,"P0(후) 유효 1개 아님",IF(NOT(AND(ISNUMBER(N1186),ISNUMBER(P1186),ISNUMBER(H1186))),"시각 결측",IF(P1186&lt;=N1186,"P0 시각 역전",IF(OR(H1186&lt;N1186,H1186&gt;P1186),"측정시각 구간 밖","OK")))))</f>
        <v/>
      </c>
      <c r="N1186" s="45">
        <f>IF(COUNTIFS($C:$C,$C1186,$D:$D,"P0(전)",$L:$L,"&gt;0")&lt;&gt;1,"",SUMIFS($H:$H,$C:$C,$C1186,$D:$D,"P0(전)"))</f>
        <v/>
      </c>
      <c r="O1186" s="30">
        <f>IF(COUNTIFS($C:$C,$C1186,$D:$D,"P0(전)",$L:$L,"&gt;0")&lt;&gt;1,"",SUMIFS($L:$L,$C:$C,$C1186,$D:$D,"P0(전)"))</f>
        <v/>
      </c>
      <c r="P1186" s="45">
        <f>IF(COUNTIFS($C:$C,$C1186,$D:$D,"P0(후)",$L:$L,"&gt;0")&lt;&gt;1,"",SUMIFS($H:$H,$C:$C,$C1186,$D:$D,"P0(후)"))</f>
        <v/>
      </c>
      <c r="Q1186" s="30">
        <f>IF(COUNTIFS($C:$C,$C1186,$D:$D,"P0(후)",$L:$L,"&gt;0")&lt;&gt;1,"",SUMIFS($L:$L,$C:$C,$C1186,$D:$D,"P0(후)"))</f>
        <v/>
      </c>
      <c r="R1186" s="30">
        <f>IF(M1186&lt;&gt;"OK","",O1186+(Q1186-O1186)*(H1186-N1186)/(P1186-N1186))</f>
        <v/>
      </c>
      <c r="S1186" s="30">
        <f>IF(OR(M1186&lt;&gt;"OK",NOT(ISNUMBER(L1186))),"",L1186-R1186)</f>
        <v/>
      </c>
      <c r="T1186" s="46">
        <f>IF(OR(NOT(ISNUMBER(S1186)),IF(ISNUMBER(G1186),G1186,F1186)=0),"",S1186/IF(ISNUMBER(G1186),G1186,F1186))</f>
        <v/>
      </c>
      <c r="U1186" s="46">
        <f>IF(ISNUMBER(T1186),ABS(T1186),"")</f>
        <v/>
      </c>
      <c r="V1186" s="46">
        <f>IF(OR($D1185&lt;&gt;"측정",$C1185&lt;&gt;$C1186,NOT(ISNUMBER(L1186)),NOT(ISNUMBER(L1185)),(IF(ISNUMBER(G1186),G1186,F1186)-IF(ISNUMBER(G1185),G1185,F1185))=0),"",(L1186-L1185)/(IF(ISNUMBER(G1186),G1186,F1186)-IF(ISNUMBER(G1185),G1185,F1185)))</f>
        <v/>
      </c>
      <c r="W1186" s="30">
        <f>IF(NOT(AND(ISNUMBER(N1186),ISNUMBER(P1186))),"",(P1186-N1186)*1440)</f>
        <v/>
      </c>
      <c r="X1186" s="28" t="n"/>
      <c r="Y1186" s="28" t="n"/>
      <c r="Z1186" s="28" t="n"/>
      <c r="AA1186" s="31" t="n"/>
      <c r="AB1186" s="31" t="n"/>
    </row>
    <row r="1187">
      <c r="A1187" s="43" t="inlineStr">
        <is>
          <t>S23</t>
        </is>
      </c>
      <c r="B1187" s="43" t="inlineStr">
        <is>
          <t>덕산 신규점1</t>
        </is>
      </c>
      <c r="C1187" s="43" t="inlineStr">
        <is>
          <t>S23-H남</t>
        </is>
      </c>
      <c r="D1187" s="43" t="inlineStr">
        <is>
          <t>P0(후)</t>
        </is>
      </c>
      <c r="E1187" s="43" t="inlineStr">
        <is>
          <t>남</t>
        </is>
      </c>
      <c r="F1187" s="44" t="n"/>
      <c r="G1187" s="29" t="n"/>
      <c r="H1187" s="42" t="n"/>
      <c r="I1187" s="40" t="n"/>
      <c r="J1187" s="40" t="n"/>
      <c r="K1187" s="40" t="n"/>
      <c r="L1187" s="30">
        <f>IF(COUNT(I1187:K1187)=0,"",MEDIAN(I1187:K1187))</f>
        <v/>
      </c>
      <c r="M1187" s="37" t="n"/>
      <c r="N1187" s="37" t="n"/>
      <c r="O1187" s="37" t="n"/>
      <c r="P1187" s="37" t="n"/>
      <c r="Q1187" s="37" t="n"/>
      <c r="R1187" s="37" t="n"/>
      <c r="S1187" s="37" t="n"/>
      <c r="T1187" s="37" t="n"/>
      <c r="U1187" s="37" t="n"/>
      <c r="V1187" s="37" t="n"/>
      <c r="W1187" s="37" t="n"/>
      <c r="X1187" s="28" t="n"/>
      <c r="Y1187" s="28" t="n"/>
      <c r="Z1187" s="28" t="n"/>
      <c r="AA1187" s="31" t="n"/>
      <c r="AB1187" s="31" t="n"/>
    </row>
    <row r="1188">
      <c r="A1188" s="43" t="inlineStr">
        <is>
          <t>S23</t>
        </is>
      </c>
      <c r="B1188" s="43" t="inlineStr">
        <is>
          <t>덕산 신규점1</t>
        </is>
      </c>
      <c r="C1188" s="43" t="inlineStr">
        <is>
          <t>S23-H북</t>
        </is>
      </c>
      <c r="D1188" s="43" t="inlineStr">
        <is>
          <t>P0(전)</t>
        </is>
      </c>
      <c r="E1188" s="43" t="inlineStr">
        <is>
          <t>북</t>
        </is>
      </c>
      <c r="F1188" s="44" t="n"/>
      <c r="G1188" s="29" t="n"/>
      <c r="H1188" s="42" t="n"/>
      <c r="I1188" s="40" t="n"/>
      <c r="J1188" s="40" t="n"/>
      <c r="K1188" s="40" t="n"/>
      <c r="L1188" s="30">
        <f>IF(COUNT(I1188:K1188)=0,"",MEDIAN(I1188:K1188))</f>
        <v/>
      </c>
      <c r="M1188" s="37" t="n"/>
      <c r="N1188" s="37" t="n"/>
      <c r="O1188" s="37" t="n"/>
      <c r="P1188" s="37" t="n"/>
      <c r="Q1188" s="37" t="n"/>
      <c r="R1188" s="37" t="n"/>
      <c r="S1188" s="37" t="n"/>
      <c r="T1188" s="37" t="n"/>
      <c r="U1188" s="37" t="n"/>
      <c r="V1188" s="37" t="n"/>
      <c r="W1188" s="37" t="n"/>
      <c r="X1188" s="28" t="n"/>
      <c r="Y1188" s="28" t="n"/>
      <c r="Z1188" s="28" t="n"/>
      <c r="AA1188" s="31" t="n"/>
      <c r="AB1188" s="31" t="n"/>
    </row>
    <row r="1189">
      <c r="A1189" s="25" t="inlineStr">
        <is>
          <t>S23</t>
        </is>
      </c>
      <c r="B1189" s="25" t="inlineStr">
        <is>
          <t>덕산 신규점1</t>
        </is>
      </c>
      <c r="C1189" s="25" t="inlineStr">
        <is>
          <t>S23-H북</t>
        </is>
      </c>
      <c r="D1189" s="25" t="inlineStr">
        <is>
          <t>측정</t>
        </is>
      </c>
      <c r="E1189" s="25" t="inlineStr">
        <is>
          <t>북</t>
        </is>
      </c>
      <c r="F1189" s="30" t="n">
        <v>0.5</v>
      </c>
      <c r="G1189" s="29" t="n"/>
      <c r="H1189" s="42" t="n"/>
      <c r="I1189" s="40" t="n"/>
      <c r="J1189" s="40" t="n"/>
      <c r="K1189" s="40" t="n"/>
      <c r="L1189" s="30">
        <f>IF(COUNT(I1189:K1189)=0,"",MEDIAN(I1189:K1189))</f>
        <v/>
      </c>
      <c r="M1189" s="25">
        <f>IF(COUNTIFS($C:$C,$C1189,$D:$D,"P0(전)",$L:$L,"&gt;0")&lt;&gt;1,"P0(전) 유효 1개 아님",IF(COUNTIFS($C:$C,$C1189,$D:$D,"P0(후)",$L:$L,"&gt;0")&lt;&gt;1,"P0(후) 유효 1개 아님",IF(NOT(AND(ISNUMBER(N1189),ISNUMBER(P1189),ISNUMBER(H1189))),"시각 결측",IF(P1189&lt;=N1189,"P0 시각 역전",IF(OR(H1189&lt;N1189,H1189&gt;P1189),"측정시각 구간 밖","OK")))))</f>
        <v/>
      </c>
      <c r="N1189" s="45">
        <f>IF(COUNTIFS($C:$C,$C1189,$D:$D,"P0(전)",$L:$L,"&gt;0")&lt;&gt;1,"",SUMIFS($H:$H,$C:$C,$C1189,$D:$D,"P0(전)"))</f>
        <v/>
      </c>
      <c r="O1189" s="30">
        <f>IF(COUNTIFS($C:$C,$C1189,$D:$D,"P0(전)",$L:$L,"&gt;0")&lt;&gt;1,"",SUMIFS($L:$L,$C:$C,$C1189,$D:$D,"P0(전)"))</f>
        <v/>
      </c>
      <c r="P1189" s="45">
        <f>IF(COUNTIFS($C:$C,$C1189,$D:$D,"P0(후)",$L:$L,"&gt;0")&lt;&gt;1,"",SUMIFS($H:$H,$C:$C,$C1189,$D:$D,"P0(후)"))</f>
        <v/>
      </c>
      <c r="Q1189" s="30">
        <f>IF(COUNTIFS($C:$C,$C1189,$D:$D,"P0(후)",$L:$L,"&gt;0")&lt;&gt;1,"",SUMIFS($L:$L,$C:$C,$C1189,$D:$D,"P0(후)"))</f>
        <v/>
      </c>
      <c r="R1189" s="30">
        <f>IF(M1189&lt;&gt;"OK","",O1189+(Q1189-O1189)*(H1189-N1189)/(P1189-N1189))</f>
        <v/>
      </c>
      <c r="S1189" s="30">
        <f>IF(OR(M1189&lt;&gt;"OK",NOT(ISNUMBER(L1189))),"",L1189-R1189)</f>
        <v/>
      </c>
      <c r="T1189" s="46">
        <f>IF(OR(NOT(ISNUMBER(S1189)),IF(ISNUMBER(G1189),G1189,F1189)=0),"",S1189/IF(ISNUMBER(G1189),G1189,F1189))</f>
        <v/>
      </c>
      <c r="U1189" s="46">
        <f>IF(ISNUMBER(T1189),ABS(T1189),"")</f>
        <v/>
      </c>
      <c r="V1189" s="46">
        <f>IF(OR($D1188&lt;&gt;"측정",$C1188&lt;&gt;$C1189,NOT(ISNUMBER(L1189)),NOT(ISNUMBER(L1188)),(IF(ISNUMBER(G1189),G1189,F1189)-IF(ISNUMBER(G1188),G1188,F1188))=0),"",(L1189-L1188)/(IF(ISNUMBER(G1189),G1189,F1189)-IF(ISNUMBER(G1188),G1188,F1188)))</f>
        <v/>
      </c>
      <c r="W1189" s="30">
        <f>IF(NOT(AND(ISNUMBER(N1189),ISNUMBER(P1189))),"",(P1189-N1189)*1440)</f>
        <v/>
      </c>
      <c r="X1189" s="28" t="n"/>
      <c r="Y1189" s="28" t="n"/>
      <c r="Z1189" s="28" t="n"/>
      <c r="AA1189" s="31" t="n"/>
      <c r="AB1189" s="31" t="n"/>
    </row>
    <row r="1190">
      <c r="A1190" s="25" t="inlineStr">
        <is>
          <t>S23</t>
        </is>
      </c>
      <c r="B1190" s="25" t="inlineStr">
        <is>
          <t>덕산 신규점1</t>
        </is>
      </c>
      <c r="C1190" s="25" t="inlineStr">
        <is>
          <t>S23-H북</t>
        </is>
      </c>
      <c r="D1190" s="25" t="inlineStr">
        <is>
          <t>측정</t>
        </is>
      </c>
      <c r="E1190" s="25" t="inlineStr">
        <is>
          <t>북</t>
        </is>
      </c>
      <c r="F1190" s="30" t="n">
        <v>1</v>
      </c>
      <c r="G1190" s="29" t="n"/>
      <c r="H1190" s="42" t="n"/>
      <c r="I1190" s="40" t="n"/>
      <c r="J1190" s="40" t="n"/>
      <c r="K1190" s="40" t="n"/>
      <c r="L1190" s="30">
        <f>IF(COUNT(I1190:K1190)=0,"",MEDIAN(I1190:K1190))</f>
        <v/>
      </c>
      <c r="M1190" s="25">
        <f>IF(COUNTIFS($C:$C,$C1190,$D:$D,"P0(전)",$L:$L,"&gt;0")&lt;&gt;1,"P0(전) 유효 1개 아님",IF(COUNTIFS($C:$C,$C1190,$D:$D,"P0(후)",$L:$L,"&gt;0")&lt;&gt;1,"P0(후) 유효 1개 아님",IF(NOT(AND(ISNUMBER(N1190),ISNUMBER(P1190),ISNUMBER(H1190))),"시각 결측",IF(P1190&lt;=N1190,"P0 시각 역전",IF(OR(H1190&lt;N1190,H1190&gt;P1190),"측정시각 구간 밖","OK")))))</f>
        <v/>
      </c>
      <c r="N1190" s="45">
        <f>IF(COUNTIFS($C:$C,$C1190,$D:$D,"P0(전)",$L:$L,"&gt;0")&lt;&gt;1,"",SUMIFS($H:$H,$C:$C,$C1190,$D:$D,"P0(전)"))</f>
        <v/>
      </c>
      <c r="O1190" s="30">
        <f>IF(COUNTIFS($C:$C,$C1190,$D:$D,"P0(전)",$L:$L,"&gt;0")&lt;&gt;1,"",SUMIFS($L:$L,$C:$C,$C1190,$D:$D,"P0(전)"))</f>
        <v/>
      </c>
      <c r="P1190" s="45">
        <f>IF(COUNTIFS($C:$C,$C1190,$D:$D,"P0(후)",$L:$L,"&gt;0")&lt;&gt;1,"",SUMIFS($H:$H,$C:$C,$C1190,$D:$D,"P0(후)"))</f>
        <v/>
      </c>
      <c r="Q1190" s="30">
        <f>IF(COUNTIFS($C:$C,$C1190,$D:$D,"P0(후)",$L:$L,"&gt;0")&lt;&gt;1,"",SUMIFS($L:$L,$C:$C,$C1190,$D:$D,"P0(후)"))</f>
        <v/>
      </c>
      <c r="R1190" s="30">
        <f>IF(M1190&lt;&gt;"OK","",O1190+(Q1190-O1190)*(H1190-N1190)/(P1190-N1190))</f>
        <v/>
      </c>
      <c r="S1190" s="30">
        <f>IF(OR(M1190&lt;&gt;"OK",NOT(ISNUMBER(L1190))),"",L1190-R1190)</f>
        <v/>
      </c>
      <c r="T1190" s="46">
        <f>IF(OR(NOT(ISNUMBER(S1190)),IF(ISNUMBER(G1190),G1190,F1190)=0),"",S1190/IF(ISNUMBER(G1190),G1190,F1190))</f>
        <v/>
      </c>
      <c r="U1190" s="46">
        <f>IF(ISNUMBER(T1190),ABS(T1190),"")</f>
        <v/>
      </c>
      <c r="V1190" s="46">
        <f>IF(OR($D1189&lt;&gt;"측정",$C1189&lt;&gt;$C1190,NOT(ISNUMBER(L1190)),NOT(ISNUMBER(L1189)),(IF(ISNUMBER(G1190),G1190,F1190)-IF(ISNUMBER(G1189),G1189,F1189))=0),"",(L1190-L1189)/(IF(ISNUMBER(G1190),G1190,F1190)-IF(ISNUMBER(G1189),G1189,F1189)))</f>
        <v/>
      </c>
      <c r="W1190" s="30">
        <f>IF(NOT(AND(ISNUMBER(N1190),ISNUMBER(P1190))),"",(P1190-N1190)*1440)</f>
        <v/>
      </c>
      <c r="X1190" s="28" t="n"/>
      <c r="Y1190" s="28" t="n"/>
      <c r="Z1190" s="28" t="n"/>
      <c r="AA1190" s="31" t="n"/>
      <c r="AB1190" s="31" t="n"/>
    </row>
    <row r="1191">
      <c r="A1191" s="25" t="inlineStr">
        <is>
          <t>S23</t>
        </is>
      </c>
      <c r="B1191" s="25" t="inlineStr">
        <is>
          <t>덕산 신규점1</t>
        </is>
      </c>
      <c r="C1191" s="25" t="inlineStr">
        <is>
          <t>S23-H북</t>
        </is>
      </c>
      <c r="D1191" s="25" t="inlineStr">
        <is>
          <t>측정</t>
        </is>
      </c>
      <c r="E1191" s="25" t="inlineStr">
        <is>
          <t>북</t>
        </is>
      </c>
      <c r="F1191" s="30" t="n">
        <v>2</v>
      </c>
      <c r="G1191" s="29" t="n"/>
      <c r="H1191" s="42" t="n"/>
      <c r="I1191" s="40" t="n"/>
      <c r="J1191" s="40" t="n"/>
      <c r="K1191" s="40" t="n"/>
      <c r="L1191" s="30">
        <f>IF(COUNT(I1191:K1191)=0,"",MEDIAN(I1191:K1191))</f>
        <v/>
      </c>
      <c r="M1191" s="25">
        <f>IF(COUNTIFS($C:$C,$C1191,$D:$D,"P0(전)",$L:$L,"&gt;0")&lt;&gt;1,"P0(전) 유효 1개 아님",IF(COUNTIFS($C:$C,$C1191,$D:$D,"P0(후)",$L:$L,"&gt;0")&lt;&gt;1,"P0(후) 유효 1개 아님",IF(NOT(AND(ISNUMBER(N1191),ISNUMBER(P1191),ISNUMBER(H1191))),"시각 결측",IF(P1191&lt;=N1191,"P0 시각 역전",IF(OR(H1191&lt;N1191,H1191&gt;P1191),"측정시각 구간 밖","OK")))))</f>
        <v/>
      </c>
      <c r="N1191" s="45">
        <f>IF(COUNTIFS($C:$C,$C1191,$D:$D,"P0(전)",$L:$L,"&gt;0")&lt;&gt;1,"",SUMIFS($H:$H,$C:$C,$C1191,$D:$D,"P0(전)"))</f>
        <v/>
      </c>
      <c r="O1191" s="30">
        <f>IF(COUNTIFS($C:$C,$C1191,$D:$D,"P0(전)",$L:$L,"&gt;0")&lt;&gt;1,"",SUMIFS($L:$L,$C:$C,$C1191,$D:$D,"P0(전)"))</f>
        <v/>
      </c>
      <c r="P1191" s="45">
        <f>IF(COUNTIFS($C:$C,$C1191,$D:$D,"P0(후)",$L:$L,"&gt;0")&lt;&gt;1,"",SUMIFS($H:$H,$C:$C,$C1191,$D:$D,"P0(후)"))</f>
        <v/>
      </c>
      <c r="Q1191" s="30">
        <f>IF(COUNTIFS($C:$C,$C1191,$D:$D,"P0(후)",$L:$L,"&gt;0")&lt;&gt;1,"",SUMIFS($L:$L,$C:$C,$C1191,$D:$D,"P0(후)"))</f>
        <v/>
      </c>
      <c r="R1191" s="30">
        <f>IF(M1191&lt;&gt;"OK","",O1191+(Q1191-O1191)*(H1191-N1191)/(P1191-N1191))</f>
        <v/>
      </c>
      <c r="S1191" s="30">
        <f>IF(OR(M1191&lt;&gt;"OK",NOT(ISNUMBER(L1191))),"",L1191-R1191)</f>
        <v/>
      </c>
      <c r="T1191" s="46">
        <f>IF(OR(NOT(ISNUMBER(S1191)),IF(ISNUMBER(G1191),G1191,F1191)=0),"",S1191/IF(ISNUMBER(G1191),G1191,F1191))</f>
        <v/>
      </c>
      <c r="U1191" s="46">
        <f>IF(ISNUMBER(T1191),ABS(T1191),"")</f>
        <v/>
      </c>
      <c r="V1191" s="46">
        <f>IF(OR($D1190&lt;&gt;"측정",$C1190&lt;&gt;$C1191,NOT(ISNUMBER(L1191)),NOT(ISNUMBER(L1190)),(IF(ISNUMBER(G1191),G1191,F1191)-IF(ISNUMBER(G1190),G1190,F1190))=0),"",(L1191-L1190)/(IF(ISNUMBER(G1191),G1191,F1191)-IF(ISNUMBER(G1190),G1190,F1190)))</f>
        <v/>
      </c>
      <c r="W1191" s="30">
        <f>IF(NOT(AND(ISNUMBER(N1191),ISNUMBER(P1191))),"",(P1191-N1191)*1440)</f>
        <v/>
      </c>
      <c r="X1191" s="28" t="n"/>
      <c r="Y1191" s="28" t="n"/>
      <c r="Z1191" s="28" t="n"/>
      <c r="AA1191" s="31" t="n"/>
      <c r="AB1191" s="31" t="n"/>
    </row>
    <row r="1192">
      <c r="A1192" s="25" t="inlineStr">
        <is>
          <t>S23</t>
        </is>
      </c>
      <c r="B1192" s="25" t="inlineStr">
        <is>
          <t>덕산 신규점1</t>
        </is>
      </c>
      <c r="C1192" s="25" t="inlineStr">
        <is>
          <t>S23-H북</t>
        </is>
      </c>
      <c r="D1192" s="25" t="inlineStr">
        <is>
          <t>측정</t>
        </is>
      </c>
      <c r="E1192" s="25" t="inlineStr">
        <is>
          <t>북</t>
        </is>
      </c>
      <c r="F1192" s="30" t="n">
        <v>3</v>
      </c>
      <c r="G1192" s="29" t="n"/>
      <c r="H1192" s="42" t="n"/>
      <c r="I1192" s="40" t="n"/>
      <c r="J1192" s="40" t="n"/>
      <c r="K1192" s="40" t="n"/>
      <c r="L1192" s="30">
        <f>IF(COUNT(I1192:K1192)=0,"",MEDIAN(I1192:K1192))</f>
        <v/>
      </c>
      <c r="M1192" s="25">
        <f>IF(COUNTIFS($C:$C,$C1192,$D:$D,"P0(전)",$L:$L,"&gt;0")&lt;&gt;1,"P0(전) 유효 1개 아님",IF(COUNTIFS($C:$C,$C1192,$D:$D,"P0(후)",$L:$L,"&gt;0")&lt;&gt;1,"P0(후) 유효 1개 아님",IF(NOT(AND(ISNUMBER(N1192),ISNUMBER(P1192),ISNUMBER(H1192))),"시각 결측",IF(P1192&lt;=N1192,"P0 시각 역전",IF(OR(H1192&lt;N1192,H1192&gt;P1192),"측정시각 구간 밖","OK")))))</f>
        <v/>
      </c>
      <c r="N1192" s="45">
        <f>IF(COUNTIFS($C:$C,$C1192,$D:$D,"P0(전)",$L:$L,"&gt;0")&lt;&gt;1,"",SUMIFS($H:$H,$C:$C,$C1192,$D:$D,"P0(전)"))</f>
        <v/>
      </c>
      <c r="O1192" s="30">
        <f>IF(COUNTIFS($C:$C,$C1192,$D:$D,"P0(전)",$L:$L,"&gt;0")&lt;&gt;1,"",SUMIFS($L:$L,$C:$C,$C1192,$D:$D,"P0(전)"))</f>
        <v/>
      </c>
      <c r="P1192" s="45">
        <f>IF(COUNTIFS($C:$C,$C1192,$D:$D,"P0(후)",$L:$L,"&gt;0")&lt;&gt;1,"",SUMIFS($H:$H,$C:$C,$C1192,$D:$D,"P0(후)"))</f>
        <v/>
      </c>
      <c r="Q1192" s="30">
        <f>IF(COUNTIFS($C:$C,$C1192,$D:$D,"P0(후)",$L:$L,"&gt;0")&lt;&gt;1,"",SUMIFS($L:$L,$C:$C,$C1192,$D:$D,"P0(후)"))</f>
        <v/>
      </c>
      <c r="R1192" s="30">
        <f>IF(M1192&lt;&gt;"OK","",O1192+(Q1192-O1192)*(H1192-N1192)/(P1192-N1192))</f>
        <v/>
      </c>
      <c r="S1192" s="30">
        <f>IF(OR(M1192&lt;&gt;"OK",NOT(ISNUMBER(L1192))),"",L1192-R1192)</f>
        <v/>
      </c>
      <c r="T1192" s="46">
        <f>IF(OR(NOT(ISNUMBER(S1192)),IF(ISNUMBER(G1192),G1192,F1192)=0),"",S1192/IF(ISNUMBER(G1192),G1192,F1192))</f>
        <v/>
      </c>
      <c r="U1192" s="46">
        <f>IF(ISNUMBER(T1192),ABS(T1192),"")</f>
        <v/>
      </c>
      <c r="V1192" s="46">
        <f>IF(OR($D1191&lt;&gt;"측정",$C1191&lt;&gt;$C1192,NOT(ISNUMBER(L1192)),NOT(ISNUMBER(L1191)),(IF(ISNUMBER(G1192),G1192,F1192)-IF(ISNUMBER(G1191),G1191,F1191))=0),"",(L1192-L1191)/(IF(ISNUMBER(G1192),G1192,F1192)-IF(ISNUMBER(G1191),G1191,F1191)))</f>
        <v/>
      </c>
      <c r="W1192" s="30">
        <f>IF(NOT(AND(ISNUMBER(N1192),ISNUMBER(P1192))),"",(P1192-N1192)*1440)</f>
        <v/>
      </c>
      <c r="X1192" s="28" t="n"/>
      <c r="Y1192" s="28" t="n"/>
      <c r="Z1192" s="28" t="n"/>
      <c r="AA1192" s="31" t="n"/>
      <c r="AB1192" s="31" t="n"/>
    </row>
    <row r="1193">
      <c r="A1193" s="25" t="inlineStr">
        <is>
          <t>S23</t>
        </is>
      </c>
      <c r="B1193" s="25" t="inlineStr">
        <is>
          <t>덕산 신규점1</t>
        </is>
      </c>
      <c r="C1193" s="25" t="inlineStr">
        <is>
          <t>S23-H북</t>
        </is>
      </c>
      <c r="D1193" s="25" t="inlineStr">
        <is>
          <t>측정</t>
        </is>
      </c>
      <c r="E1193" s="25" t="inlineStr">
        <is>
          <t>북</t>
        </is>
      </c>
      <c r="F1193" s="30" t="n">
        <v>4</v>
      </c>
      <c r="G1193" s="29" t="n"/>
      <c r="H1193" s="42" t="n"/>
      <c r="I1193" s="40" t="n"/>
      <c r="J1193" s="40" t="n"/>
      <c r="K1193" s="40" t="n"/>
      <c r="L1193" s="30">
        <f>IF(COUNT(I1193:K1193)=0,"",MEDIAN(I1193:K1193))</f>
        <v/>
      </c>
      <c r="M1193" s="25">
        <f>IF(COUNTIFS($C:$C,$C1193,$D:$D,"P0(전)",$L:$L,"&gt;0")&lt;&gt;1,"P0(전) 유효 1개 아님",IF(COUNTIFS($C:$C,$C1193,$D:$D,"P0(후)",$L:$L,"&gt;0")&lt;&gt;1,"P0(후) 유효 1개 아님",IF(NOT(AND(ISNUMBER(N1193),ISNUMBER(P1193),ISNUMBER(H1193))),"시각 결측",IF(P1193&lt;=N1193,"P0 시각 역전",IF(OR(H1193&lt;N1193,H1193&gt;P1193),"측정시각 구간 밖","OK")))))</f>
        <v/>
      </c>
      <c r="N1193" s="45">
        <f>IF(COUNTIFS($C:$C,$C1193,$D:$D,"P0(전)",$L:$L,"&gt;0")&lt;&gt;1,"",SUMIFS($H:$H,$C:$C,$C1193,$D:$D,"P0(전)"))</f>
        <v/>
      </c>
      <c r="O1193" s="30">
        <f>IF(COUNTIFS($C:$C,$C1193,$D:$D,"P0(전)",$L:$L,"&gt;0")&lt;&gt;1,"",SUMIFS($L:$L,$C:$C,$C1193,$D:$D,"P0(전)"))</f>
        <v/>
      </c>
      <c r="P1193" s="45">
        <f>IF(COUNTIFS($C:$C,$C1193,$D:$D,"P0(후)",$L:$L,"&gt;0")&lt;&gt;1,"",SUMIFS($H:$H,$C:$C,$C1193,$D:$D,"P0(후)"))</f>
        <v/>
      </c>
      <c r="Q1193" s="30">
        <f>IF(COUNTIFS($C:$C,$C1193,$D:$D,"P0(후)",$L:$L,"&gt;0")&lt;&gt;1,"",SUMIFS($L:$L,$C:$C,$C1193,$D:$D,"P0(후)"))</f>
        <v/>
      </c>
      <c r="R1193" s="30">
        <f>IF(M1193&lt;&gt;"OK","",O1193+(Q1193-O1193)*(H1193-N1193)/(P1193-N1193))</f>
        <v/>
      </c>
      <c r="S1193" s="30">
        <f>IF(OR(M1193&lt;&gt;"OK",NOT(ISNUMBER(L1193))),"",L1193-R1193)</f>
        <v/>
      </c>
      <c r="T1193" s="46">
        <f>IF(OR(NOT(ISNUMBER(S1193)),IF(ISNUMBER(G1193),G1193,F1193)=0),"",S1193/IF(ISNUMBER(G1193),G1193,F1193))</f>
        <v/>
      </c>
      <c r="U1193" s="46">
        <f>IF(ISNUMBER(T1193),ABS(T1193),"")</f>
        <v/>
      </c>
      <c r="V1193" s="46">
        <f>IF(OR($D1192&lt;&gt;"측정",$C1192&lt;&gt;$C1193,NOT(ISNUMBER(L1193)),NOT(ISNUMBER(L1192)),(IF(ISNUMBER(G1193),G1193,F1193)-IF(ISNUMBER(G1192),G1192,F1192))=0),"",(L1193-L1192)/(IF(ISNUMBER(G1193),G1193,F1193)-IF(ISNUMBER(G1192),G1192,F1192)))</f>
        <v/>
      </c>
      <c r="W1193" s="30">
        <f>IF(NOT(AND(ISNUMBER(N1193),ISNUMBER(P1193))),"",(P1193-N1193)*1440)</f>
        <v/>
      </c>
      <c r="X1193" s="28" t="n"/>
      <c r="Y1193" s="28" t="n"/>
      <c r="Z1193" s="28" t="n"/>
      <c r="AA1193" s="31" t="n"/>
      <c r="AB1193" s="31" t="n"/>
    </row>
    <row r="1194">
      <c r="A1194" s="25" t="inlineStr">
        <is>
          <t>S23</t>
        </is>
      </c>
      <c r="B1194" s="25" t="inlineStr">
        <is>
          <t>덕산 신규점1</t>
        </is>
      </c>
      <c r="C1194" s="25" t="inlineStr">
        <is>
          <t>S23-H북</t>
        </is>
      </c>
      <c r="D1194" s="25" t="inlineStr">
        <is>
          <t>측정</t>
        </is>
      </c>
      <c r="E1194" s="25" t="inlineStr">
        <is>
          <t>북</t>
        </is>
      </c>
      <c r="F1194" s="30" t="n">
        <v>5</v>
      </c>
      <c r="G1194" s="29" t="n"/>
      <c r="H1194" s="42" t="n"/>
      <c r="I1194" s="40" t="n"/>
      <c r="J1194" s="40" t="n"/>
      <c r="K1194" s="40" t="n"/>
      <c r="L1194" s="30">
        <f>IF(COUNT(I1194:K1194)=0,"",MEDIAN(I1194:K1194))</f>
        <v/>
      </c>
      <c r="M1194" s="25">
        <f>IF(COUNTIFS($C:$C,$C1194,$D:$D,"P0(전)",$L:$L,"&gt;0")&lt;&gt;1,"P0(전) 유효 1개 아님",IF(COUNTIFS($C:$C,$C1194,$D:$D,"P0(후)",$L:$L,"&gt;0")&lt;&gt;1,"P0(후) 유효 1개 아님",IF(NOT(AND(ISNUMBER(N1194),ISNUMBER(P1194),ISNUMBER(H1194))),"시각 결측",IF(P1194&lt;=N1194,"P0 시각 역전",IF(OR(H1194&lt;N1194,H1194&gt;P1194),"측정시각 구간 밖","OK")))))</f>
        <v/>
      </c>
      <c r="N1194" s="45">
        <f>IF(COUNTIFS($C:$C,$C1194,$D:$D,"P0(전)",$L:$L,"&gt;0")&lt;&gt;1,"",SUMIFS($H:$H,$C:$C,$C1194,$D:$D,"P0(전)"))</f>
        <v/>
      </c>
      <c r="O1194" s="30">
        <f>IF(COUNTIFS($C:$C,$C1194,$D:$D,"P0(전)",$L:$L,"&gt;0")&lt;&gt;1,"",SUMIFS($L:$L,$C:$C,$C1194,$D:$D,"P0(전)"))</f>
        <v/>
      </c>
      <c r="P1194" s="45">
        <f>IF(COUNTIFS($C:$C,$C1194,$D:$D,"P0(후)",$L:$L,"&gt;0")&lt;&gt;1,"",SUMIFS($H:$H,$C:$C,$C1194,$D:$D,"P0(후)"))</f>
        <v/>
      </c>
      <c r="Q1194" s="30">
        <f>IF(COUNTIFS($C:$C,$C1194,$D:$D,"P0(후)",$L:$L,"&gt;0")&lt;&gt;1,"",SUMIFS($L:$L,$C:$C,$C1194,$D:$D,"P0(후)"))</f>
        <v/>
      </c>
      <c r="R1194" s="30">
        <f>IF(M1194&lt;&gt;"OK","",O1194+(Q1194-O1194)*(H1194-N1194)/(P1194-N1194))</f>
        <v/>
      </c>
      <c r="S1194" s="30">
        <f>IF(OR(M1194&lt;&gt;"OK",NOT(ISNUMBER(L1194))),"",L1194-R1194)</f>
        <v/>
      </c>
      <c r="T1194" s="46">
        <f>IF(OR(NOT(ISNUMBER(S1194)),IF(ISNUMBER(G1194),G1194,F1194)=0),"",S1194/IF(ISNUMBER(G1194),G1194,F1194))</f>
        <v/>
      </c>
      <c r="U1194" s="46">
        <f>IF(ISNUMBER(T1194),ABS(T1194),"")</f>
        <v/>
      </c>
      <c r="V1194" s="46">
        <f>IF(OR($D1193&lt;&gt;"측정",$C1193&lt;&gt;$C1194,NOT(ISNUMBER(L1194)),NOT(ISNUMBER(L1193)),(IF(ISNUMBER(G1194),G1194,F1194)-IF(ISNUMBER(G1193),G1193,F1193))=0),"",(L1194-L1193)/(IF(ISNUMBER(G1194),G1194,F1194)-IF(ISNUMBER(G1193),G1193,F1193)))</f>
        <v/>
      </c>
      <c r="W1194" s="30">
        <f>IF(NOT(AND(ISNUMBER(N1194),ISNUMBER(P1194))),"",(P1194-N1194)*1440)</f>
        <v/>
      </c>
      <c r="X1194" s="28" t="n"/>
      <c r="Y1194" s="28" t="n"/>
      <c r="Z1194" s="28" t="n"/>
      <c r="AA1194" s="31" t="n"/>
      <c r="AB1194" s="31" t="n"/>
    </row>
    <row r="1195">
      <c r="A1195" s="25" t="inlineStr">
        <is>
          <t>S23</t>
        </is>
      </c>
      <c r="B1195" s="25" t="inlineStr">
        <is>
          <t>덕산 신규점1</t>
        </is>
      </c>
      <c r="C1195" s="25" t="inlineStr">
        <is>
          <t>S23-H북</t>
        </is>
      </c>
      <c r="D1195" s="25" t="inlineStr">
        <is>
          <t>측정</t>
        </is>
      </c>
      <c r="E1195" s="25" t="inlineStr">
        <is>
          <t>북</t>
        </is>
      </c>
      <c r="F1195" s="30" t="n">
        <v>6</v>
      </c>
      <c r="G1195" s="29" t="n"/>
      <c r="H1195" s="42" t="n"/>
      <c r="I1195" s="40" t="n"/>
      <c r="J1195" s="40" t="n"/>
      <c r="K1195" s="40" t="n"/>
      <c r="L1195" s="30">
        <f>IF(COUNT(I1195:K1195)=0,"",MEDIAN(I1195:K1195))</f>
        <v/>
      </c>
      <c r="M1195" s="25">
        <f>IF(COUNTIFS($C:$C,$C1195,$D:$D,"P0(전)",$L:$L,"&gt;0")&lt;&gt;1,"P0(전) 유효 1개 아님",IF(COUNTIFS($C:$C,$C1195,$D:$D,"P0(후)",$L:$L,"&gt;0")&lt;&gt;1,"P0(후) 유효 1개 아님",IF(NOT(AND(ISNUMBER(N1195),ISNUMBER(P1195),ISNUMBER(H1195))),"시각 결측",IF(P1195&lt;=N1195,"P0 시각 역전",IF(OR(H1195&lt;N1195,H1195&gt;P1195),"측정시각 구간 밖","OK")))))</f>
        <v/>
      </c>
      <c r="N1195" s="45">
        <f>IF(COUNTIFS($C:$C,$C1195,$D:$D,"P0(전)",$L:$L,"&gt;0")&lt;&gt;1,"",SUMIFS($H:$H,$C:$C,$C1195,$D:$D,"P0(전)"))</f>
        <v/>
      </c>
      <c r="O1195" s="30">
        <f>IF(COUNTIFS($C:$C,$C1195,$D:$D,"P0(전)",$L:$L,"&gt;0")&lt;&gt;1,"",SUMIFS($L:$L,$C:$C,$C1195,$D:$D,"P0(전)"))</f>
        <v/>
      </c>
      <c r="P1195" s="45">
        <f>IF(COUNTIFS($C:$C,$C1195,$D:$D,"P0(후)",$L:$L,"&gt;0")&lt;&gt;1,"",SUMIFS($H:$H,$C:$C,$C1195,$D:$D,"P0(후)"))</f>
        <v/>
      </c>
      <c r="Q1195" s="30">
        <f>IF(COUNTIFS($C:$C,$C1195,$D:$D,"P0(후)",$L:$L,"&gt;0")&lt;&gt;1,"",SUMIFS($L:$L,$C:$C,$C1195,$D:$D,"P0(후)"))</f>
        <v/>
      </c>
      <c r="R1195" s="30">
        <f>IF(M1195&lt;&gt;"OK","",O1195+(Q1195-O1195)*(H1195-N1195)/(P1195-N1195))</f>
        <v/>
      </c>
      <c r="S1195" s="30">
        <f>IF(OR(M1195&lt;&gt;"OK",NOT(ISNUMBER(L1195))),"",L1195-R1195)</f>
        <v/>
      </c>
      <c r="T1195" s="46">
        <f>IF(OR(NOT(ISNUMBER(S1195)),IF(ISNUMBER(G1195),G1195,F1195)=0),"",S1195/IF(ISNUMBER(G1195),G1195,F1195))</f>
        <v/>
      </c>
      <c r="U1195" s="46">
        <f>IF(ISNUMBER(T1195),ABS(T1195),"")</f>
        <v/>
      </c>
      <c r="V1195" s="46">
        <f>IF(OR($D1194&lt;&gt;"측정",$C1194&lt;&gt;$C1195,NOT(ISNUMBER(L1195)),NOT(ISNUMBER(L1194)),(IF(ISNUMBER(G1195),G1195,F1195)-IF(ISNUMBER(G1194),G1194,F1194))=0),"",(L1195-L1194)/(IF(ISNUMBER(G1195),G1195,F1195)-IF(ISNUMBER(G1194),G1194,F1194)))</f>
        <v/>
      </c>
      <c r="W1195" s="30">
        <f>IF(NOT(AND(ISNUMBER(N1195),ISNUMBER(P1195))),"",(P1195-N1195)*1440)</f>
        <v/>
      </c>
      <c r="X1195" s="28" t="n"/>
      <c r="Y1195" s="28" t="n"/>
      <c r="Z1195" s="28" t="n"/>
      <c r="AA1195" s="31" t="n"/>
      <c r="AB1195" s="31" t="n"/>
    </row>
    <row r="1196">
      <c r="A1196" s="25" t="inlineStr">
        <is>
          <t>S23</t>
        </is>
      </c>
      <c r="B1196" s="25" t="inlineStr">
        <is>
          <t>덕산 신규점1</t>
        </is>
      </c>
      <c r="C1196" s="25" t="inlineStr">
        <is>
          <t>S23-H북</t>
        </is>
      </c>
      <c r="D1196" s="25" t="inlineStr">
        <is>
          <t>측정</t>
        </is>
      </c>
      <c r="E1196" s="25" t="inlineStr">
        <is>
          <t>북</t>
        </is>
      </c>
      <c r="F1196" s="30" t="n">
        <v>7</v>
      </c>
      <c r="G1196" s="29" t="n"/>
      <c r="H1196" s="42" t="n"/>
      <c r="I1196" s="40" t="n"/>
      <c r="J1196" s="40" t="n"/>
      <c r="K1196" s="40" t="n"/>
      <c r="L1196" s="30">
        <f>IF(COUNT(I1196:K1196)=0,"",MEDIAN(I1196:K1196))</f>
        <v/>
      </c>
      <c r="M1196" s="25">
        <f>IF(COUNTIFS($C:$C,$C1196,$D:$D,"P0(전)",$L:$L,"&gt;0")&lt;&gt;1,"P0(전) 유효 1개 아님",IF(COUNTIFS($C:$C,$C1196,$D:$D,"P0(후)",$L:$L,"&gt;0")&lt;&gt;1,"P0(후) 유효 1개 아님",IF(NOT(AND(ISNUMBER(N1196),ISNUMBER(P1196),ISNUMBER(H1196))),"시각 결측",IF(P1196&lt;=N1196,"P0 시각 역전",IF(OR(H1196&lt;N1196,H1196&gt;P1196),"측정시각 구간 밖","OK")))))</f>
        <v/>
      </c>
      <c r="N1196" s="45">
        <f>IF(COUNTIFS($C:$C,$C1196,$D:$D,"P0(전)",$L:$L,"&gt;0")&lt;&gt;1,"",SUMIFS($H:$H,$C:$C,$C1196,$D:$D,"P0(전)"))</f>
        <v/>
      </c>
      <c r="O1196" s="30">
        <f>IF(COUNTIFS($C:$C,$C1196,$D:$D,"P0(전)",$L:$L,"&gt;0")&lt;&gt;1,"",SUMIFS($L:$L,$C:$C,$C1196,$D:$D,"P0(전)"))</f>
        <v/>
      </c>
      <c r="P1196" s="45">
        <f>IF(COUNTIFS($C:$C,$C1196,$D:$D,"P0(후)",$L:$L,"&gt;0")&lt;&gt;1,"",SUMIFS($H:$H,$C:$C,$C1196,$D:$D,"P0(후)"))</f>
        <v/>
      </c>
      <c r="Q1196" s="30">
        <f>IF(COUNTIFS($C:$C,$C1196,$D:$D,"P0(후)",$L:$L,"&gt;0")&lt;&gt;1,"",SUMIFS($L:$L,$C:$C,$C1196,$D:$D,"P0(후)"))</f>
        <v/>
      </c>
      <c r="R1196" s="30">
        <f>IF(M1196&lt;&gt;"OK","",O1196+(Q1196-O1196)*(H1196-N1196)/(P1196-N1196))</f>
        <v/>
      </c>
      <c r="S1196" s="30">
        <f>IF(OR(M1196&lt;&gt;"OK",NOT(ISNUMBER(L1196))),"",L1196-R1196)</f>
        <v/>
      </c>
      <c r="T1196" s="46">
        <f>IF(OR(NOT(ISNUMBER(S1196)),IF(ISNUMBER(G1196),G1196,F1196)=0),"",S1196/IF(ISNUMBER(G1196),G1196,F1196))</f>
        <v/>
      </c>
      <c r="U1196" s="46">
        <f>IF(ISNUMBER(T1196),ABS(T1196),"")</f>
        <v/>
      </c>
      <c r="V1196" s="46">
        <f>IF(OR($D1195&lt;&gt;"측정",$C1195&lt;&gt;$C1196,NOT(ISNUMBER(L1196)),NOT(ISNUMBER(L1195)),(IF(ISNUMBER(G1196),G1196,F1196)-IF(ISNUMBER(G1195),G1195,F1195))=0),"",(L1196-L1195)/(IF(ISNUMBER(G1196),G1196,F1196)-IF(ISNUMBER(G1195),G1195,F1195)))</f>
        <v/>
      </c>
      <c r="W1196" s="30">
        <f>IF(NOT(AND(ISNUMBER(N1196),ISNUMBER(P1196))),"",(P1196-N1196)*1440)</f>
        <v/>
      </c>
      <c r="X1196" s="28" t="n"/>
      <c r="Y1196" s="28" t="n"/>
      <c r="Z1196" s="28" t="n"/>
      <c r="AA1196" s="31" t="n"/>
      <c r="AB1196" s="31" t="n"/>
    </row>
    <row r="1197">
      <c r="A1197" s="25" t="inlineStr">
        <is>
          <t>S23</t>
        </is>
      </c>
      <c r="B1197" s="25" t="inlineStr">
        <is>
          <t>덕산 신규점1</t>
        </is>
      </c>
      <c r="C1197" s="25" t="inlineStr">
        <is>
          <t>S23-H북</t>
        </is>
      </c>
      <c r="D1197" s="25" t="inlineStr">
        <is>
          <t>측정</t>
        </is>
      </c>
      <c r="E1197" s="25" t="inlineStr">
        <is>
          <t>북</t>
        </is>
      </c>
      <c r="F1197" s="30" t="n">
        <v>8</v>
      </c>
      <c r="G1197" s="29" t="n"/>
      <c r="H1197" s="42" t="n"/>
      <c r="I1197" s="40" t="n"/>
      <c r="J1197" s="40" t="n"/>
      <c r="K1197" s="40" t="n"/>
      <c r="L1197" s="30">
        <f>IF(COUNT(I1197:K1197)=0,"",MEDIAN(I1197:K1197))</f>
        <v/>
      </c>
      <c r="M1197" s="25">
        <f>IF(COUNTIFS($C:$C,$C1197,$D:$D,"P0(전)",$L:$L,"&gt;0")&lt;&gt;1,"P0(전) 유효 1개 아님",IF(COUNTIFS($C:$C,$C1197,$D:$D,"P0(후)",$L:$L,"&gt;0")&lt;&gt;1,"P0(후) 유효 1개 아님",IF(NOT(AND(ISNUMBER(N1197),ISNUMBER(P1197),ISNUMBER(H1197))),"시각 결측",IF(P1197&lt;=N1197,"P0 시각 역전",IF(OR(H1197&lt;N1197,H1197&gt;P1197),"측정시각 구간 밖","OK")))))</f>
        <v/>
      </c>
      <c r="N1197" s="45">
        <f>IF(COUNTIFS($C:$C,$C1197,$D:$D,"P0(전)",$L:$L,"&gt;0")&lt;&gt;1,"",SUMIFS($H:$H,$C:$C,$C1197,$D:$D,"P0(전)"))</f>
        <v/>
      </c>
      <c r="O1197" s="30">
        <f>IF(COUNTIFS($C:$C,$C1197,$D:$D,"P0(전)",$L:$L,"&gt;0")&lt;&gt;1,"",SUMIFS($L:$L,$C:$C,$C1197,$D:$D,"P0(전)"))</f>
        <v/>
      </c>
      <c r="P1197" s="45">
        <f>IF(COUNTIFS($C:$C,$C1197,$D:$D,"P0(후)",$L:$L,"&gt;0")&lt;&gt;1,"",SUMIFS($H:$H,$C:$C,$C1197,$D:$D,"P0(후)"))</f>
        <v/>
      </c>
      <c r="Q1197" s="30">
        <f>IF(COUNTIFS($C:$C,$C1197,$D:$D,"P0(후)",$L:$L,"&gt;0")&lt;&gt;1,"",SUMIFS($L:$L,$C:$C,$C1197,$D:$D,"P0(후)"))</f>
        <v/>
      </c>
      <c r="R1197" s="30">
        <f>IF(M1197&lt;&gt;"OK","",O1197+(Q1197-O1197)*(H1197-N1197)/(P1197-N1197))</f>
        <v/>
      </c>
      <c r="S1197" s="30">
        <f>IF(OR(M1197&lt;&gt;"OK",NOT(ISNUMBER(L1197))),"",L1197-R1197)</f>
        <v/>
      </c>
      <c r="T1197" s="46">
        <f>IF(OR(NOT(ISNUMBER(S1197)),IF(ISNUMBER(G1197),G1197,F1197)=0),"",S1197/IF(ISNUMBER(G1197),G1197,F1197))</f>
        <v/>
      </c>
      <c r="U1197" s="46">
        <f>IF(ISNUMBER(T1197),ABS(T1197),"")</f>
        <v/>
      </c>
      <c r="V1197" s="46">
        <f>IF(OR($D1196&lt;&gt;"측정",$C1196&lt;&gt;$C1197,NOT(ISNUMBER(L1197)),NOT(ISNUMBER(L1196)),(IF(ISNUMBER(G1197),G1197,F1197)-IF(ISNUMBER(G1196),G1196,F1196))=0),"",(L1197-L1196)/(IF(ISNUMBER(G1197),G1197,F1197)-IF(ISNUMBER(G1196),G1196,F1196)))</f>
        <v/>
      </c>
      <c r="W1197" s="30">
        <f>IF(NOT(AND(ISNUMBER(N1197),ISNUMBER(P1197))),"",(P1197-N1197)*1440)</f>
        <v/>
      </c>
      <c r="X1197" s="28" t="n"/>
      <c r="Y1197" s="28" t="n"/>
      <c r="Z1197" s="28" t="n"/>
      <c r="AA1197" s="31" t="n"/>
      <c r="AB1197" s="31" t="n"/>
    </row>
    <row r="1198">
      <c r="A1198" s="25" t="inlineStr">
        <is>
          <t>S23</t>
        </is>
      </c>
      <c r="B1198" s="25" t="inlineStr">
        <is>
          <t>덕산 신규점1</t>
        </is>
      </c>
      <c r="C1198" s="25" t="inlineStr">
        <is>
          <t>S23-H북</t>
        </is>
      </c>
      <c r="D1198" s="25" t="inlineStr">
        <is>
          <t>측정</t>
        </is>
      </c>
      <c r="E1198" s="25" t="inlineStr">
        <is>
          <t>북</t>
        </is>
      </c>
      <c r="F1198" s="30" t="n">
        <v>9</v>
      </c>
      <c r="G1198" s="29" t="n"/>
      <c r="H1198" s="42" t="n"/>
      <c r="I1198" s="40" t="n"/>
      <c r="J1198" s="40" t="n"/>
      <c r="K1198" s="40" t="n"/>
      <c r="L1198" s="30">
        <f>IF(COUNT(I1198:K1198)=0,"",MEDIAN(I1198:K1198))</f>
        <v/>
      </c>
      <c r="M1198" s="25">
        <f>IF(COUNTIFS($C:$C,$C1198,$D:$D,"P0(전)",$L:$L,"&gt;0")&lt;&gt;1,"P0(전) 유효 1개 아님",IF(COUNTIFS($C:$C,$C1198,$D:$D,"P0(후)",$L:$L,"&gt;0")&lt;&gt;1,"P0(후) 유효 1개 아님",IF(NOT(AND(ISNUMBER(N1198),ISNUMBER(P1198),ISNUMBER(H1198))),"시각 결측",IF(P1198&lt;=N1198,"P0 시각 역전",IF(OR(H1198&lt;N1198,H1198&gt;P1198),"측정시각 구간 밖","OK")))))</f>
        <v/>
      </c>
      <c r="N1198" s="45">
        <f>IF(COUNTIFS($C:$C,$C1198,$D:$D,"P0(전)",$L:$L,"&gt;0")&lt;&gt;1,"",SUMIFS($H:$H,$C:$C,$C1198,$D:$D,"P0(전)"))</f>
        <v/>
      </c>
      <c r="O1198" s="30">
        <f>IF(COUNTIFS($C:$C,$C1198,$D:$D,"P0(전)",$L:$L,"&gt;0")&lt;&gt;1,"",SUMIFS($L:$L,$C:$C,$C1198,$D:$D,"P0(전)"))</f>
        <v/>
      </c>
      <c r="P1198" s="45">
        <f>IF(COUNTIFS($C:$C,$C1198,$D:$D,"P0(후)",$L:$L,"&gt;0")&lt;&gt;1,"",SUMIFS($H:$H,$C:$C,$C1198,$D:$D,"P0(후)"))</f>
        <v/>
      </c>
      <c r="Q1198" s="30">
        <f>IF(COUNTIFS($C:$C,$C1198,$D:$D,"P0(후)",$L:$L,"&gt;0")&lt;&gt;1,"",SUMIFS($L:$L,$C:$C,$C1198,$D:$D,"P0(후)"))</f>
        <v/>
      </c>
      <c r="R1198" s="30">
        <f>IF(M1198&lt;&gt;"OK","",O1198+(Q1198-O1198)*(H1198-N1198)/(P1198-N1198))</f>
        <v/>
      </c>
      <c r="S1198" s="30">
        <f>IF(OR(M1198&lt;&gt;"OK",NOT(ISNUMBER(L1198))),"",L1198-R1198)</f>
        <v/>
      </c>
      <c r="T1198" s="46">
        <f>IF(OR(NOT(ISNUMBER(S1198)),IF(ISNUMBER(G1198),G1198,F1198)=0),"",S1198/IF(ISNUMBER(G1198),G1198,F1198))</f>
        <v/>
      </c>
      <c r="U1198" s="46">
        <f>IF(ISNUMBER(T1198),ABS(T1198),"")</f>
        <v/>
      </c>
      <c r="V1198" s="46">
        <f>IF(OR($D1197&lt;&gt;"측정",$C1197&lt;&gt;$C1198,NOT(ISNUMBER(L1198)),NOT(ISNUMBER(L1197)),(IF(ISNUMBER(G1198),G1198,F1198)-IF(ISNUMBER(G1197),G1197,F1197))=0),"",(L1198-L1197)/(IF(ISNUMBER(G1198),G1198,F1198)-IF(ISNUMBER(G1197),G1197,F1197)))</f>
        <v/>
      </c>
      <c r="W1198" s="30">
        <f>IF(NOT(AND(ISNUMBER(N1198),ISNUMBER(P1198))),"",(P1198-N1198)*1440)</f>
        <v/>
      </c>
      <c r="X1198" s="28" t="n"/>
      <c r="Y1198" s="28" t="n"/>
      <c r="Z1198" s="28" t="n"/>
      <c r="AA1198" s="31" t="n"/>
      <c r="AB1198" s="31" t="n"/>
    </row>
    <row r="1199">
      <c r="A1199" s="25" t="inlineStr">
        <is>
          <t>S23</t>
        </is>
      </c>
      <c r="B1199" s="25" t="inlineStr">
        <is>
          <t>덕산 신규점1</t>
        </is>
      </c>
      <c r="C1199" s="25" t="inlineStr">
        <is>
          <t>S23-H북</t>
        </is>
      </c>
      <c r="D1199" s="25" t="inlineStr">
        <is>
          <t>측정</t>
        </is>
      </c>
      <c r="E1199" s="25" t="inlineStr">
        <is>
          <t>북</t>
        </is>
      </c>
      <c r="F1199" s="30" t="n">
        <v>10</v>
      </c>
      <c r="G1199" s="29" t="n"/>
      <c r="H1199" s="42" t="n"/>
      <c r="I1199" s="40" t="n"/>
      <c r="J1199" s="40" t="n"/>
      <c r="K1199" s="40" t="n"/>
      <c r="L1199" s="30">
        <f>IF(COUNT(I1199:K1199)=0,"",MEDIAN(I1199:K1199))</f>
        <v/>
      </c>
      <c r="M1199" s="25">
        <f>IF(COUNTIFS($C:$C,$C1199,$D:$D,"P0(전)",$L:$L,"&gt;0")&lt;&gt;1,"P0(전) 유효 1개 아님",IF(COUNTIFS($C:$C,$C1199,$D:$D,"P0(후)",$L:$L,"&gt;0")&lt;&gt;1,"P0(후) 유효 1개 아님",IF(NOT(AND(ISNUMBER(N1199),ISNUMBER(P1199),ISNUMBER(H1199))),"시각 결측",IF(P1199&lt;=N1199,"P0 시각 역전",IF(OR(H1199&lt;N1199,H1199&gt;P1199),"측정시각 구간 밖","OK")))))</f>
        <v/>
      </c>
      <c r="N1199" s="45">
        <f>IF(COUNTIFS($C:$C,$C1199,$D:$D,"P0(전)",$L:$L,"&gt;0")&lt;&gt;1,"",SUMIFS($H:$H,$C:$C,$C1199,$D:$D,"P0(전)"))</f>
        <v/>
      </c>
      <c r="O1199" s="30">
        <f>IF(COUNTIFS($C:$C,$C1199,$D:$D,"P0(전)",$L:$L,"&gt;0")&lt;&gt;1,"",SUMIFS($L:$L,$C:$C,$C1199,$D:$D,"P0(전)"))</f>
        <v/>
      </c>
      <c r="P1199" s="45">
        <f>IF(COUNTIFS($C:$C,$C1199,$D:$D,"P0(후)",$L:$L,"&gt;0")&lt;&gt;1,"",SUMIFS($H:$H,$C:$C,$C1199,$D:$D,"P0(후)"))</f>
        <v/>
      </c>
      <c r="Q1199" s="30">
        <f>IF(COUNTIFS($C:$C,$C1199,$D:$D,"P0(후)",$L:$L,"&gt;0")&lt;&gt;1,"",SUMIFS($L:$L,$C:$C,$C1199,$D:$D,"P0(후)"))</f>
        <v/>
      </c>
      <c r="R1199" s="30">
        <f>IF(M1199&lt;&gt;"OK","",O1199+(Q1199-O1199)*(H1199-N1199)/(P1199-N1199))</f>
        <v/>
      </c>
      <c r="S1199" s="30">
        <f>IF(OR(M1199&lt;&gt;"OK",NOT(ISNUMBER(L1199))),"",L1199-R1199)</f>
        <v/>
      </c>
      <c r="T1199" s="46">
        <f>IF(OR(NOT(ISNUMBER(S1199)),IF(ISNUMBER(G1199),G1199,F1199)=0),"",S1199/IF(ISNUMBER(G1199),G1199,F1199))</f>
        <v/>
      </c>
      <c r="U1199" s="46">
        <f>IF(ISNUMBER(T1199),ABS(T1199),"")</f>
        <v/>
      </c>
      <c r="V1199" s="46">
        <f>IF(OR($D1198&lt;&gt;"측정",$C1198&lt;&gt;$C1199,NOT(ISNUMBER(L1199)),NOT(ISNUMBER(L1198)),(IF(ISNUMBER(G1199),G1199,F1199)-IF(ISNUMBER(G1198),G1198,F1198))=0),"",(L1199-L1198)/(IF(ISNUMBER(G1199),G1199,F1199)-IF(ISNUMBER(G1198),G1198,F1198)))</f>
        <v/>
      </c>
      <c r="W1199" s="30">
        <f>IF(NOT(AND(ISNUMBER(N1199),ISNUMBER(P1199))),"",(P1199-N1199)*1440)</f>
        <v/>
      </c>
      <c r="X1199" s="28" t="n"/>
      <c r="Y1199" s="28" t="n"/>
      <c r="Z1199" s="28" t="n"/>
      <c r="AA1199" s="31" t="n"/>
      <c r="AB1199" s="31" t="n"/>
    </row>
    <row r="1200">
      <c r="A1200" s="43" t="inlineStr">
        <is>
          <t>S23</t>
        </is>
      </c>
      <c r="B1200" s="43" t="inlineStr">
        <is>
          <t>덕산 신규점1</t>
        </is>
      </c>
      <c r="C1200" s="43" t="inlineStr">
        <is>
          <t>S23-H북</t>
        </is>
      </c>
      <c r="D1200" s="43" t="inlineStr">
        <is>
          <t>P0(후)</t>
        </is>
      </c>
      <c r="E1200" s="43" t="inlineStr">
        <is>
          <t>북</t>
        </is>
      </c>
      <c r="F1200" s="44" t="n"/>
      <c r="G1200" s="29" t="n"/>
      <c r="H1200" s="42" t="n"/>
      <c r="I1200" s="40" t="n"/>
      <c r="J1200" s="40" t="n"/>
      <c r="K1200" s="40" t="n"/>
      <c r="L1200" s="30">
        <f>IF(COUNT(I1200:K1200)=0,"",MEDIAN(I1200:K1200))</f>
        <v/>
      </c>
      <c r="M1200" s="37" t="n"/>
      <c r="N1200" s="37" t="n"/>
      <c r="O1200" s="37" t="n"/>
      <c r="P1200" s="37" t="n"/>
      <c r="Q1200" s="37" t="n"/>
      <c r="R1200" s="37" t="n"/>
      <c r="S1200" s="37" t="n"/>
      <c r="T1200" s="37" t="n"/>
      <c r="U1200" s="37" t="n"/>
      <c r="V1200" s="37" t="n"/>
      <c r="W1200" s="37" t="n"/>
      <c r="X1200" s="28" t="n"/>
      <c r="Y1200" s="28" t="n"/>
      <c r="Z1200" s="28" t="n"/>
      <c r="AA1200" s="31" t="n"/>
      <c r="AB1200" s="31" t="n"/>
    </row>
    <row r="1201">
      <c r="A1201" s="43" t="inlineStr">
        <is>
          <t>S24</t>
        </is>
      </c>
      <c r="B1201" s="43" t="inlineStr">
        <is>
          <t>회천 신규점2</t>
        </is>
      </c>
      <c r="C1201" s="43" t="inlineStr">
        <is>
          <t>S24-H동</t>
        </is>
      </c>
      <c r="D1201" s="43" t="inlineStr">
        <is>
          <t>P0(전)</t>
        </is>
      </c>
      <c r="E1201" s="43" t="inlineStr">
        <is>
          <t>동</t>
        </is>
      </c>
      <c r="F1201" s="44" t="n"/>
      <c r="G1201" s="29" t="n"/>
      <c r="H1201" s="42" t="n"/>
      <c r="I1201" s="40" t="n"/>
      <c r="J1201" s="40" t="n"/>
      <c r="K1201" s="40" t="n"/>
      <c r="L1201" s="30">
        <f>IF(COUNT(I1201:K1201)=0,"",MEDIAN(I1201:K1201))</f>
        <v/>
      </c>
      <c r="M1201" s="37" t="n"/>
      <c r="N1201" s="37" t="n"/>
      <c r="O1201" s="37" t="n"/>
      <c r="P1201" s="37" t="n"/>
      <c r="Q1201" s="37" t="n"/>
      <c r="R1201" s="37" t="n"/>
      <c r="S1201" s="37" t="n"/>
      <c r="T1201" s="37" t="n"/>
      <c r="U1201" s="37" t="n"/>
      <c r="V1201" s="37" t="n"/>
      <c r="W1201" s="37" t="n"/>
      <c r="X1201" s="28" t="n"/>
      <c r="Y1201" s="28" t="n"/>
      <c r="Z1201" s="28" t="n"/>
      <c r="AA1201" s="31" t="n"/>
      <c r="AB1201" s="31" t="n"/>
    </row>
    <row r="1202">
      <c r="A1202" s="25" t="inlineStr">
        <is>
          <t>S24</t>
        </is>
      </c>
      <c r="B1202" s="25" t="inlineStr">
        <is>
          <t>회천 신규점2</t>
        </is>
      </c>
      <c r="C1202" s="25" t="inlineStr">
        <is>
          <t>S24-H동</t>
        </is>
      </c>
      <c r="D1202" s="25" t="inlineStr">
        <is>
          <t>측정</t>
        </is>
      </c>
      <c r="E1202" s="25" t="inlineStr">
        <is>
          <t>동</t>
        </is>
      </c>
      <c r="F1202" s="30" t="n">
        <v>0.5</v>
      </c>
      <c r="G1202" s="29" t="n"/>
      <c r="H1202" s="42" t="n"/>
      <c r="I1202" s="40" t="n"/>
      <c r="J1202" s="40" t="n"/>
      <c r="K1202" s="40" t="n"/>
      <c r="L1202" s="30">
        <f>IF(COUNT(I1202:K1202)=0,"",MEDIAN(I1202:K1202))</f>
        <v/>
      </c>
      <c r="M1202" s="25">
        <f>IF(COUNTIFS($C:$C,$C1202,$D:$D,"P0(전)",$L:$L,"&gt;0")&lt;&gt;1,"P0(전) 유효 1개 아님",IF(COUNTIFS($C:$C,$C1202,$D:$D,"P0(후)",$L:$L,"&gt;0")&lt;&gt;1,"P0(후) 유효 1개 아님",IF(NOT(AND(ISNUMBER(N1202),ISNUMBER(P1202),ISNUMBER(H1202))),"시각 결측",IF(P1202&lt;=N1202,"P0 시각 역전",IF(OR(H1202&lt;N1202,H1202&gt;P1202),"측정시각 구간 밖","OK")))))</f>
        <v/>
      </c>
      <c r="N1202" s="45">
        <f>IF(COUNTIFS($C:$C,$C1202,$D:$D,"P0(전)",$L:$L,"&gt;0")&lt;&gt;1,"",SUMIFS($H:$H,$C:$C,$C1202,$D:$D,"P0(전)"))</f>
        <v/>
      </c>
      <c r="O1202" s="30">
        <f>IF(COUNTIFS($C:$C,$C1202,$D:$D,"P0(전)",$L:$L,"&gt;0")&lt;&gt;1,"",SUMIFS($L:$L,$C:$C,$C1202,$D:$D,"P0(전)"))</f>
        <v/>
      </c>
      <c r="P1202" s="45">
        <f>IF(COUNTIFS($C:$C,$C1202,$D:$D,"P0(후)",$L:$L,"&gt;0")&lt;&gt;1,"",SUMIFS($H:$H,$C:$C,$C1202,$D:$D,"P0(후)"))</f>
        <v/>
      </c>
      <c r="Q1202" s="30">
        <f>IF(COUNTIFS($C:$C,$C1202,$D:$D,"P0(후)",$L:$L,"&gt;0")&lt;&gt;1,"",SUMIFS($L:$L,$C:$C,$C1202,$D:$D,"P0(후)"))</f>
        <v/>
      </c>
      <c r="R1202" s="30">
        <f>IF(M1202&lt;&gt;"OK","",O1202+(Q1202-O1202)*(H1202-N1202)/(P1202-N1202))</f>
        <v/>
      </c>
      <c r="S1202" s="30">
        <f>IF(OR(M1202&lt;&gt;"OK",NOT(ISNUMBER(L1202))),"",L1202-R1202)</f>
        <v/>
      </c>
      <c r="T1202" s="46">
        <f>IF(OR(NOT(ISNUMBER(S1202)),IF(ISNUMBER(G1202),G1202,F1202)=0),"",S1202/IF(ISNUMBER(G1202),G1202,F1202))</f>
        <v/>
      </c>
      <c r="U1202" s="46">
        <f>IF(ISNUMBER(T1202),ABS(T1202),"")</f>
        <v/>
      </c>
      <c r="V1202" s="46">
        <f>IF(OR($D1201&lt;&gt;"측정",$C1201&lt;&gt;$C1202,NOT(ISNUMBER(L1202)),NOT(ISNUMBER(L1201)),(IF(ISNUMBER(G1202),G1202,F1202)-IF(ISNUMBER(G1201),G1201,F1201))=0),"",(L1202-L1201)/(IF(ISNUMBER(G1202),G1202,F1202)-IF(ISNUMBER(G1201),G1201,F1201)))</f>
        <v/>
      </c>
      <c r="W1202" s="30">
        <f>IF(NOT(AND(ISNUMBER(N1202),ISNUMBER(P1202))),"",(P1202-N1202)*1440)</f>
        <v/>
      </c>
      <c r="X1202" s="28" t="n"/>
      <c r="Y1202" s="28" t="n"/>
      <c r="Z1202" s="28" t="n"/>
      <c r="AA1202" s="31" t="n"/>
      <c r="AB1202" s="31" t="n"/>
    </row>
    <row r="1203">
      <c r="A1203" s="25" t="inlineStr">
        <is>
          <t>S24</t>
        </is>
      </c>
      <c r="B1203" s="25" t="inlineStr">
        <is>
          <t>회천 신규점2</t>
        </is>
      </c>
      <c r="C1203" s="25" t="inlineStr">
        <is>
          <t>S24-H동</t>
        </is>
      </c>
      <c r="D1203" s="25" t="inlineStr">
        <is>
          <t>측정</t>
        </is>
      </c>
      <c r="E1203" s="25" t="inlineStr">
        <is>
          <t>동</t>
        </is>
      </c>
      <c r="F1203" s="30" t="n">
        <v>1</v>
      </c>
      <c r="G1203" s="29" t="n"/>
      <c r="H1203" s="42" t="n"/>
      <c r="I1203" s="40" t="n"/>
      <c r="J1203" s="40" t="n"/>
      <c r="K1203" s="40" t="n"/>
      <c r="L1203" s="30">
        <f>IF(COUNT(I1203:K1203)=0,"",MEDIAN(I1203:K1203))</f>
        <v/>
      </c>
      <c r="M1203" s="25">
        <f>IF(COUNTIFS($C:$C,$C1203,$D:$D,"P0(전)",$L:$L,"&gt;0")&lt;&gt;1,"P0(전) 유효 1개 아님",IF(COUNTIFS($C:$C,$C1203,$D:$D,"P0(후)",$L:$L,"&gt;0")&lt;&gt;1,"P0(후) 유효 1개 아님",IF(NOT(AND(ISNUMBER(N1203),ISNUMBER(P1203),ISNUMBER(H1203))),"시각 결측",IF(P1203&lt;=N1203,"P0 시각 역전",IF(OR(H1203&lt;N1203,H1203&gt;P1203),"측정시각 구간 밖","OK")))))</f>
        <v/>
      </c>
      <c r="N1203" s="45">
        <f>IF(COUNTIFS($C:$C,$C1203,$D:$D,"P0(전)",$L:$L,"&gt;0")&lt;&gt;1,"",SUMIFS($H:$H,$C:$C,$C1203,$D:$D,"P0(전)"))</f>
        <v/>
      </c>
      <c r="O1203" s="30">
        <f>IF(COUNTIFS($C:$C,$C1203,$D:$D,"P0(전)",$L:$L,"&gt;0")&lt;&gt;1,"",SUMIFS($L:$L,$C:$C,$C1203,$D:$D,"P0(전)"))</f>
        <v/>
      </c>
      <c r="P1203" s="45">
        <f>IF(COUNTIFS($C:$C,$C1203,$D:$D,"P0(후)",$L:$L,"&gt;0")&lt;&gt;1,"",SUMIFS($H:$H,$C:$C,$C1203,$D:$D,"P0(후)"))</f>
        <v/>
      </c>
      <c r="Q1203" s="30">
        <f>IF(COUNTIFS($C:$C,$C1203,$D:$D,"P0(후)",$L:$L,"&gt;0")&lt;&gt;1,"",SUMIFS($L:$L,$C:$C,$C1203,$D:$D,"P0(후)"))</f>
        <v/>
      </c>
      <c r="R1203" s="30">
        <f>IF(M1203&lt;&gt;"OK","",O1203+(Q1203-O1203)*(H1203-N1203)/(P1203-N1203))</f>
        <v/>
      </c>
      <c r="S1203" s="30">
        <f>IF(OR(M1203&lt;&gt;"OK",NOT(ISNUMBER(L1203))),"",L1203-R1203)</f>
        <v/>
      </c>
      <c r="T1203" s="46">
        <f>IF(OR(NOT(ISNUMBER(S1203)),IF(ISNUMBER(G1203),G1203,F1203)=0),"",S1203/IF(ISNUMBER(G1203),G1203,F1203))</f>
        <v/>
      </c>
      <c r="U1203" s="46">
        <f>IF(ISNUMBER(T1203),ABS(T1203),"")</f>
        <v/>
      </c>
      <c r="V1203" s="46">
        <f>IF(OR($D1202&lt;&gt;"측정",$C1202&lt;&gt;$C1203,NOT(ISNUMBER(L1203)),NOT(ISNUMBER(L1202)),(IF(ISNUMBER(G1203),G1203,F1203)-IF(ISNUMBER(G1202),G1202,F1202))=0),"",(L1203-L1202)/(IF(ISNUMBER(G1203),G1203,F1203)-IF(ISNUMBER(G1202),G1202,F1202)))</f>
        <v/>
      </c>
      <c r="W1203" s="30">
        <f>IF(NOT(AND(ISNUMBER(N1203),ISNUMBER(P1203))),"",(P1203-N1203)*1440)</f>
        <v/>
      </c>
      <c r="X1203" s="28" t="n"/>
      <c r="Y1203" s="28" t="n"/>
      <c r="Z1203" s="28" t="n"/>
      <c r="AA1203" s="31" t="n"/>
      <c r="AB1203" s="31" t="n"/>
    </row>
    <row r="1204">
      <c r="A1204" s="25" t="inlineStr">
        <is>
          <t>S24</t>
        </is>
      </c>
      <c r="B1204" s="25" t="inlineStr">
        <is>
          <t>회천 신규점2</t>
        </is>
      </c>
      <c r="C1204" s="25" t="inlineStr">
        <is>
          <t>S24-H동</t>
        </is>
      </c>
      <c r="D1204" s="25" t="inlineStr">
        <is>
          <t>측정</t>
        </is>
      </c>
      <c r="E1204" s="25" t="inlineStr">
        <is>
          <t>동</t>
        </is>
      </c>
      <c r="F1204" s="30" t="n">
        <v>2</v>
      </c>
      <c r="G1204" s="29" t="n"/>
      <c r="H1204" s="42" t="n"/>
      <c r="I1204" s="40" t="n"/>
      <c r="J1204" s="40" t="n"/>
      <c r="K1204" s="40" t="n"/>
      <c r="L1204" s="30">
        <f>IF(COUNT(I1204:K1204)=0,"",MEDIAN(I1204:K1204))</f>
        <v/>
      </c>
      <c r="M1204" s="25">
        <f>IF(COUNTIFS($C:$C,$C1204,$D:$D,"P0(전)",$L:$L,"&gt;0")&lt;&gt;1,"P0(전) 유효 1개 아님",IF(COUNTIFS($C:$C,$C1204,$D:$D,"P0(후)",$L:$L,"&gt;0")&lt;&gt;1,"P0(후) 유효 1개 아님",IF(NOT(AND(ISNUMBER(N1204),ISNUMBER(P1204),ISNUMBER(H1204))),"시각 결측",IF(P1204&lt;=N1204,"P0 시각 역전",IF(OR(H1204&lt;N1204,H1204&gt;P1204),"측정시각 구간 밖","OK")))))</f>
        <v/>
      </c>
      <c r="N1204" s="45">
        <f>IF(COUNTIFS($C:$C,$C1204,$D:$D,"P0(전)",$L:$L,"&gt;0")&lt;&gt;1,"",SUMIFS($H:$H,$C:$C,$C1204,$D:$D,"P0(전)"))</f>
        <v/>
      </c>
      <c r="O1204" s="30">
        <f>IF(COUNTIFS($C:$C,$C1204,$D:$D,"P0(전)",$L:$L,"&gt;0")&lt;&gt;1,"",SUMIFS($L:$L,$C:$C,$C1204,$D:$D,"P0(전)"))</f>
        <v/>
      </c>
      <c r="P1204" s="45">
        <f>IF(COUNTIFS($C:$C,$C1204,$D:$D,"P0(후)",$L:$L,"&gt;0")&lt;&gt;1,"",SUMIFS($H:$H,$C:$C,$C1204,$D:$D,"P0(후)"))</f>
        <v/>
      </c>
      <c r="Q1204" s="30">
        <f>IF(COUNTIFS($C:$C,$C1204,$D:$D,"P0(후)",$L:$L,"&gt;0")&lt;&gt;1,"",SUMIFS($L:$L,$C:$C,$C1204,$D:$D,"P0(후)"))</f>
        <v/>
      </c>
      <c r="R1204" s="30">
        <f>IF(M1204&lt;&gt;"OK","",O1204+(Q1204-O1204)*(H1204-N1204)/(P1204-N1204))</f>
        <v/>
      </c>
      <c r="S1204" s="30">
        <f>IF(OR(M1204&lt;&gt;"OK",NOT(ISNUMBER(L1204))),"",L1204-R1204)</f>
        <v/>
      </c>
      <c r="T1204" s="46">
        <f>IF(OR(NOT(ISNUMBER(S1204)),IF(ISNUMBER(G1204),G1204,F1204)=0),"",S1204/IF(ISNUMBER(G1204),G1204,F1204))</f>
        <v/>
      </c>
      <c r="U1204" s="46">
        <f>IF(ISNUMBER(T1204),ABS(T1204),"")</f>
        <v/>
      </c>
      <c r="V1204" s="46">
        <f>IF(OR($D1203&lt;&gt;"측정",$C1203&lt;&gt;$C1204,NOT(ISNUMBER(L1204)),NOT(ISNUMBER(L1203)),(IF(ISNUMBER(G1204),G1204,F1204)-IF(ISNUMBER(G1203),G1203,F1203))=0),"",(L1204-L1203)/(IF(ISNUMBER(G1204),G1204,F1204)-IF(ISNUMBER(G1203),G1203,F1203)))</f>
        <v/>
      </c>
      <c r="W1204" s="30">
        <f>IF(NOT(AND(ISNUMBER(N1204),ISNUMBER(P1204))),"",(P1204-N1204)*1440)</f>
        <v/>
      </c>
      <c r="X1204" s="28" t="n"/>
      <c r="Y1204" s="28" t="n"/>
      <c r="Z1204" s="28" t="n"/>
      <c r="AA1204" s="31" t="n"/>
      <c r="AB1204" s="31" t="n"/>
    </row>
    <row r="1205">
      <c r="A1205" s="25" t="inlineStr">
        <is>
          <t>S24</t>
        </is>
      </c>
      <c r="B1205" s="25" t="inlineStr">
        <is>
          <t>회천 신규점2</t>
        </is>
      </c>
      <c r="C1205" s="25" t="inlineStr">
        <is>
          <t>S24-H동</t>
        </is>
      </c>
      <c r="D1205" s="25" t="inlineStr">
        <is>
          <t>측정</t>
        </is>
      </c>
      <c r="E1205" s="25" t="inlineStr">
        <is>
          <t>동</t>
        </is>
      </c>
      <c r="F1205" s="30" t="n">
        <v>3</v>
      </c>
      <c r="G1205" s="29" t="n"/>
      <c r="H1205" s="42" t="n"/>
      <c r="I1205" s="40" t="n"/>
      <c r="J1205" s="40" t="n"/>
      <c r="K1205" s="40" t="n"/>
      <c r="L1205" s="30">
        <f>IF(COUNT(I1205:K1205)=0,"",MEDIAN(I1205:K1205))</f>
        <v/>
      </c>
      <c r="M1205" s="25">
        <f>IF(COUNTIFS($C:$C,$C1205,$D:$D,"P0(전)",$L:$L,"&gt;0")&lt;&gt;1,"P0(전) 유효 1개 아님",IF(COUNTIFS($C:$C,$C1205,$D:$D,"P0(후)",$L:$L,"&gt;0")&lt;&gt;1,"P0(후) 유효 1개 아님",IF(NOT(AND(ISNUMBER(N1205),ISNUMBER(P1205),ISNUMBER(H1205))),"시각 결측",IF(P1205&lt;=N1205,"P0 시각 역전",IF(OR(H1205&lt;N1205,H1205&gt;P1205),"측정시각 구간 밖","OK")))))</f>
        <v/>
      </c>
      <c r="N1205" s="45">
        <f>IF(COUNTIFS($C:$C,$C1205,$D:$D,"P0(전)",$L:$L,"&gt;0")&lt;&gt;1,"",SUMIFS($H:$H,$C:$C,$C1205,$D:$D,"P0(전)"))</f>
        <v/>
      </c>
      <c r="O1205" s="30">
        <f>IF(COUNTIFS($C:$C,$C1205,$D:$D,"P0(전)",$L:$L,"&gt;0")&lt;&gt;1,"",SUMIFS($L:$L,$C:$C,$C1205,$D:$D,"P0(전)"))</f>
        <v/>
      </c>
      <c r="P1205" s="45">
        <f>IF(COUNTIFS($C:$C,$C1205,$D:$D,"P0(후)",$L:$L,"&gt;0")&lt;&gt;1,"",SUMIFS($H:$H,$C:$C,$C1205,$D:$D,"P0(후)"))</f>
        <v/>
      </c>
      <c r="Q1205" s="30">
        <f>IF(COUNTIFS($C:$C,$C1205,$D:$D,"P0(후)",$L:$L,"&gt;0")&lt;&gt;1,"",SUMIFS($L:$L,$C:$C,$C1205,$D:$D,"P0(후)"))</f>
        <v/>
      </c>
      <c r="R1205" s="30">
        <f>IF(M1205&lt;&gt;"OK","",O1205+(Q1205-O1205)*(H1205-N1205)/(P1205-N1205))</f>
        <v/>
      </c>
      <c r="S1205" s="30">
        <f>IF(OR(M1205&lt;&gt;"OK",NOT(ISNUMBER(L1205))),"",L1205-R1205)</f>
        <v/>
      </c>
      <c r="T1205" s="46">
        <f>IF(OR(NOT(ISNUMBER(S1205)),IF(ISNUMBER(G1205),G1205,F1205)=0),"",S1205/IF(ISNUMBER(G1205),G1205,F1205))</f>
        <v/>
      </c>
      <c r="U1205" s="46">
        <f>IF(ISNUMBER(T1205),ABS(T1205),"")</f>
        <v/>
      </c>
      <c r="V1205" s="46">
        <f>IF(OR($D1204&lt;&gt;"측정",$C1204&lt;&gt;$C1205,NOT(ISNUMBER(L1205)),NOT(ISNUMBER(L1204)),(IF(ISNUMBER(G1205),G1205,F1205)-IF(ISNUMBER(G1204),G1204,F1204))=0),"",(L1205-L1204)/(IF(ISNUMBER(G1205),G1205,F1205)-IF(ISNUMBER(G1204),G1204,F1204)))</f>
        <v/>
      </c>
      <c r="W1205" s="30">
        <f>IF(NOT(AND(ISNUMBER(N1205),ISNUMBER(P1205))),"",(P1205-N1205)*1440)</f>
        <v/>
      </c>
      <c r="X1205" s="28" t="n"/>
      <c r="Y1205" s="28" t="n"/>
      <c r="Z1205" s="28" t="n"/>
      <c r="AA1205" s="31" t="n"/>
      <c r="AB1205" s="31" t="n"/>
    </row>
    <row r="1206">
      <c r="A1206" s="25" t="inlineStr">
        <is>
          <t>S24</t>
        </is>
      </c>
      <c r="B1206" s="25" t="inlineStr">
        <is>
          <t>회천 신규점2</t>
        </is>
      </c>
      <c r="C1206" s="25" t="inlineStr">
        <is>
          <t>S24-H동</t>
        </is>
      </c>
      <c r="D1206" s="25" t="inlineStr">
        <is>
          <t>측정</t>
        </is>
      </c>
      <c r="E1206" s="25" t="inlineStr">
        <is>
          <t>동</t>
        </is>
      </c>
      <c r="F1206" s="30" t="n">
        <v>4</v>
      </c>
      <c r="G1206" s="29" t="n"/>
      <c r="H1206" s="42" t="n"/>
      <c r="I1206" s="40" t="n"/>
      <c r="J1206" s="40" t="n"/>
      <c r="K1206" s="40" t="n"/>
      <c r="L1206" s="30">
        <f>IF(COUNT(I1206:K1206)=0,"",MEDIAN(I1206:K1206))</f>
        <v/>
      </c>
      <c r="M1206" s="25">
        <f>IF(COUNTIFS($C:$C,$C1206,$D:$D,"P0(전)",$L:$L,"&gt;0")&lt;&gt;1,"P0(전) 유효 1개 아님",IF(COUNTIFS($C:$C,$C1206,$D:$D,"P0(후)",$L:$L,"&gt;0")&lt;&gt;1,"P0(후) 유효 1개 아님",IF(NOT(AND(ISNUMBER(N1206),ISNUMBER(P1206),ISNUMBER(H1206))),"시각 결측",IF(P1206&lt;=N1206,"P0 시각 역전",IF(OR(H1206&lt;N1206,H1206&gt;P1206),"측정시각 구간 밖","OK")))))</f>
        <v/>
      </c>
      <c r="N1206" s="45">
        <f>IF(COUNTIFS($C:$C,$C1206,$D:$D,"P0(전)",$L:$L,"&gt;0")&lt;&gt;1,"",SUMIFS($H:$H,$C:$C,$C1206,$D:$D,"P0(전)"))</f>
        <v/>
      </c>
      <c r="O1206" s="30">
        <f>IF(COUNTIFS($C:$C,$C1206,$D:$D,"P0(전)",$L:$L,"&gt;0")&lt;&gt;1,"",SUMIFS($L:$L,$C:$C,$C1206,$D:$D,"P0(전)"))</f>
        <v/>
      </c>
      <c r="P1206" s="45">
        <f>IF(COUNTIFS($C:$C,$C1206,$D:$D,"P0(후)",$L:$L,"&gt;0")&lt;&gt;1,"",SUMIFS($H:$H,$C:$C,$C1206,$D:$D,"P0(후)"))</f>
        <v/>
      </c>
      <c r="Q1206" s="30">
        <f>IF(COUNTIFS($C:$C,$C1206,$D:$D,"P0(후)",$L:$L,"&gt;0")&lt;&gt;1,"",SUMIFS($L:$L,$C:$C,$C1206,$D:$D,"P0(후)"))</f>
        <v/>
      </c>
      <c r="R1206" s="30">
        <f>IF(M1206&lt;&gt;"OK","",O1206+(Q1206-O1206)*(H1206-N1206)/(P1206-N1206))</f>
        <v/>
      </c>
      <c r="S1206" s="30">
        <f>IF(OR(M1206&lt;&gt;"OK",NOT(ISNUMBER(L1206))),"",L1206-R1206)</f>
        <v/>
      </c>
      <c r="T1206" s="46">
        <f>IF(OR(NOT(ISNUMBER(S1206)),IF(ISNUMBER(G1206),G1206,F1206)=0),"",S1206/IF(ISNUMBER(G1206),G1206,F1206))</f>
        <v/>
      </c>
      <c r="U1206" s="46">
        <f>IF(ISNUMBER(T1206),ABS(T1206),"")</f>
        <v/>
      </c>
      <c r="V1206" s="46">
        <f>IF(OR($D1205&lt;&gt;"측정",$C1205&lt;&gt;$C1206,NOT(ISNUMBER(L1206)),NOT(ISNUMBER(L1205)),(IF(ISNUMBER(G1206),G1206,F1206)-IF(ISNUMBER(G1205),G1205,F1205))=0),"",(L1206-L1205)/(IF(ISNUMBER(G1206),G1206,F1206)-IF(ISNUMBER(G1205),G1205,F1205)))</f>
        <v/>
      </c>
      <c r="W1206" s="30">
        <f>IF(NOT(AND(ISNUMBER(N1206),ISNUMBER(P1206))),"",(P1206-N1206)*1440)</f>
        <v/>
      </c>
      <c r="X1206" s="28" t="n"/>
      <c r="Y1206" s="28" t="n"/>
      <c r="Z1206" s="28" t="n"/>
      <c r="AA1206" s="31" t="n"/>
      <c r="AB1206" s="31" t="n"/>
    </row>
    <row r="1207">
      <c r="A1207" s="25" t="inlineStr">
        <is>
          <t>S24</t>
        </is>
      </c>
      <c r="B1207" s="25" t="inlineStr">
        <is>
          <t>회천 신규점2</t>
        </is>
      </c>
      <c r="C1207" s="25" t="inlineStr">
        <is>
          <t>S24-H동</t>
        </is>
      </c>
      <c r="D1207" s="25" t="inlineStr">
        <is>
          <t>측정</t>
        </is>
      </c>
      <c r="E1207" s="25" t="inlineStr">
        <is>
          <t>동</t>
        </is>
      </c>
      <c r="F1207" s="30" t="n">
        <v>5</v>
      </c>
      <c r="G1207" s="29" t="n"/>
      <c r="H1207" s="42" t="n"/>
      <c r="I1207" s="40" t="n"/>
      <c r="J1207" s="40" t="n"/>
      <c r="K1207" s="40" t="n"/>
      <c r="L1207" s="30">
        <f>IF(COUNT(I1207:K1207)=0,"",MEDIAN(I1207:K1207))</f>
        <v/>
      </c>
      <c r="M1207" s="25">
        <f>IF(COUNTIFS($C:$C,$C1207,$D:$D,"P0(전)",$L:$L,"&gt;0")&lt;&gt;1,"P0(전) 유효 1개 아님",IF(COUNTIFS($C:$C,$C1207,$D:$D,"P0(후)",$L:$L,"&gt;0")&lt;&gt;1,"P0(후) 유효 1개 아님",IF(NOT(AND(ISNUMBER(N1207),ISNUMBER(P1207),ISNUMBER(H1207))),"시각 결측",IF(P1207&lt;=N1207,"P0 시각 역전",IF(OR(H1207&lt;N1207,H1207&gt;P1207),"측정시각 구간 밖","OK")))))</f>
        <v/>
      </c>
      <c r="N1207" s="45">
        <f>IF(COUNTIFS($C:$C,$C1207,$D:$D,"P0(전)",$L:$L,"&gt;0")&lt;&gt;1,"",SUMIFS($H:$H,$C:$C,$C1207,$D:$D,"P0(전)"))</f>
        <v/>
      </c>
      <c r="O1207" s="30">
        <f>IF(COUNTIFS($C:$C,$C1207,$D:$D,"P0(전)",$L:$L,"&gt;0")&lt;&gt;1,"",SUMIFS($L:$L,$C:$C,$C1207,$D:$D,"P0(전)"))</f>
        <v/>
      </c>
      <c r="P1207" s="45">
        <f>IF(COUNTIFS($C:$C,$C1207,$D:$D,"P0(후)",$L:$L,"&gt;0")&lt;&gt;1,"",SUMIFS($H:$H,$C:$C,$C1207,$D:$D,"P0(후)"))</f>
        <v/>
      </c>
      <c r="Q1207" s="30">
        <f>IF(COUNTIFS($C:$C,$C1207,$D:$D,"P0(후)",$L:$L,"&gt;0")&lt;&gt;1,"",SUMIFS($L:$L,$C:$C,$C1207,$D:$D,"P0(후)"))</f>
        <v/>
      </c>
      <c r="R1207" s="30">
        <f>IF(M1207&lt;&gt;"OK","",O1207+(Q1207-O1207)*(H1207-N1207)/(P1207-N1207))</f>
        <v/>
      </c>
      <c r="S1207" s="30">
        <f>IF(OR(M1207&lt;&gt;"OK",NOT(ISNUMBER(L1207))),"",L1207-R1207)</f>
        <v/>
      </c>
      <c r="T1207" s="46">
        <f>IF(OR(NOT(ISNUMBER(S1207)),IF(ISNUMBER(G1207),G1207,F1207)=0),"",S1207/IF(ISNUMBER(G1207),G1207,F1207))</f>
        <v/>
      </c>
      <c r="U1207" s="46">
        <f>IF(ISNUMBER(T1207),ABS(T1207),"")</f>
        <v/>
      </c>
      <c r="V1207" s="46">
        <f>IF(OR($D1206&lt;&gt;"측정",$C1206&lt;&gt;$C1207,NOT(ISNUMBER(L1207)),NOT(ISNUMBER(L1206)),(IF(ISNUMBER(G1207),G1207,F1207)-IF(ISNUMBER(G1206),G1206,F1206))=0),"",(L1207-L1206)/(IF(ISNUMBER(G1207),G1207,F1207)-IF(ISNUMBER(G1206),G1206,F1206)))</f>
        <v/>
      </c>
      <c r="W1207" s="30">
        <f>IF(NOT(AND(ISNUMBER(N1207),ISNUMBER(P1207))),"",(P1207-N1207)*1440)</f>
        <v/>
      </c>
      <c r="X1207" s="28" t="n"/>
      <c r="Y1207" s="28" t="n"/>
      <c r="Z1207" s="28" t="n"/>
      <c r="AA1207" s="31" t="n"/>
      <c r="AB1207" s="31" t="n"/>
    </row>
    <row r="1208">
      <c r="A1208" s="25" t="inlineStr">
        <is>
          <t>S24</t>
        </is>
      </c>
      <c r="B1208" s="25" t="inlineStr">
        <is>
          <t>회천 신규점2</t>
        </is>
      </c>
      <c r="C1208" s="25" t="inlineStr">
        <is>
          <t>S24-H동</t>
        </is>
      </c>
      <c r="D1208" s="25" t="inlineStr">
        <is>
          <t>측정</t>
        </is>
      </c>
      <c r="E1208" s="25" t="inlineStr">
        <is>
          <t>동</t>
        </is>
      </c>
      <c r="F1208" s="30" t="n">
        <v>6</v>
      </c>
      <c r="G1208" s="29" t="n"/>
      <c r="H1208" s="42" t="n"/>
      <c r="I1208" s="40" t="n"/>
      <c r="J1208" s="40" t="n"/>
      <c r="K1208" s="40" t="n"/>
      <c r="L1208" s="30">
        <f>IF(COUNT(I1208:K1208)=0,"",MEDIAN(I1208:K1208))</f>
        <v/>
      </c>
      <c r="M1208" s="25">
        <f>IF(COUNTIFS($C:$C,$C1208,$D:$D,"P0(전)",$L:$L,"&gt;0")&lt;&gt;1,"P0(전) 유효 1개 아님",IF(COUNTIFS($C:$C,$C1208,$D:$D,"P0(후)",$L:$L,"&gt;0")&lt;&gt;1,"P0(후) 유효 1개 아님",IF(NOT(AND(ISNUMBER(N1208),ISNUMBER(P1208),ISNUMBER(H1208))),"시각 결측",IF(P1208&lt;=N1208,"P0 시각 역전",IF(OR(H1208&lt;N1208,H1208&gt;P1208),"측정시각 구간 밖","OK")))))</f>
        <v/>
      </c>
      <c r="N1208" s="45">
        <f>IF(COUNTIFS($C:$C,$C1208,$D:$D,"P0(전)",$L:$L,"&gt;0")&lt;&gt;1,"",SUMIFS($H:$H,$C:$C,$C1208,$D:$D,"P0(전)"))</f>
        <v/>
      </c>
      <c r="O1208" s="30">
        <f>IF(COUNTIFS($C:$C,$C1208,$D:$D,"P0(전)",$L:$L,"&gt;0")&lt;&gt;1,"",SUMIFS($L:$L,$C:$C,$C1208,$D:$D,"P0(전)"))</f>
        <v/>
      </c>
      <c r="P1208" s="45">
        <f>IF(COUNTIFS($C:$C,$C1208,$D:$D,"P0(후)",$L:$L,"&gt;0")&lt;&gt;1,"",SUMIFS($H:$H,$C:$C,$C1208,$D:$D,"P0(후)"))</f>
        <v/>
      </c>
      <c r="Q1208" s="30">
        <f>IF(COUNTIFS($C:$C,$C1208,$D:$D,"P0(후)",$L:$L,"&gt;0")&lt;&gt;1,"",SUMIFS($L:$L,$C:$C,$C1208,$D:$D,"P0(후)"))</f>
        <v/>
      </c>
      <c r="R1208" s="30">
        <f>IF(M1208&lt;&gt;"OK","",O1208+(Q1208-O1208)*(H1208-N1208)/(P1208-N1208))</f>
        <v/>
      </c>
      <c r="S1208" s="30">
        <f>IF(OR(M1208&lt;&gt;"OK",NOT(ISNUMBER(L1208))),"",L1208-R1208)</f>
        <v/>
      </c>
      <c r="T1208" s="46">
        <f>IF(OR(NOT(ISNUMBER(S1208)),IF(ISNUMBER(G1208),G1208,F1208)=0),"",S1208/IF(ISNUMBER(G1208),G1208,F1208))</f>
        <v/>
      </c>
      <c r="U1208" s="46">
        <f>IF(ISNUMBER(T1208),ABS(T1208),"")</f>
        <v/>
      </c>
      <c r="V1208" s="46">
        <f>IF(OR($D1207&lt;&gt;"측정",$C1207&lt;&gt;$C1208,NOT(ISNUMBER(L1208)),NOT(ISNUMBER(L1207)),(IF(ISNUMBER(G1208),G1208,F1208)-IF(ISNUMBER(G1207),G1207,F1207))=0),"",(L1208-L1207)/(IF(ISNUMBER(G1208),G1208,F1208)-IF(ISNUMBER(G1207),G1207,F1207)))</f>
        <v/>
      </c>
      <c r="W1208" s="30">
        <f>IF(NOT(AND(ISNUMBER(N1208),ISNUMBER(P1208))),"",(P1208-N1208)*1440)</f>
        <v/>
      </c>
      <c r="X1208" s="28" t="n"/>
      <c r="Y1208" s="28" t="n"/>
      <c r="Z1208" s="28" t="n"/>
      <c r="AA1208" s="31" t="n"/>
      <c r="AB1208" s="31" t="n"/>
    </row>
    <row r="1209">
      <c r="A1209" s="25" t="inlineStr">
        <is>
          <t>S24</t>
        </is>
      </c>
      <c r="B1209" s="25" t="inlineStr">
        <is>
          <t>회천 신규점2</t>
        </is>
      </c>
      <c r="C1209" s="25" t="inlineStr">
        <is>
          <t>S24-H동</t>
        </is>
      </c>
      <c r="D1209" s="25" t="inlineStr">
        <is>
          <t>측정</t>
        </is>
      </c>
      <c r="E1209" s="25" t="inlineStr">
        <is>
          <t>동</t>
        </is>
      </c>
      <c r="F1209" s="30" t="n">
        <v>7</v>
      </c>
      <c r="G1209" s="29" t="n"/>
      <c r="H1209" s="42" t="n"/>
      <c r="I1209" s="40" t="n"/>
      <c r="J1209" s="40" t="n"/>
      <c r="K1209" s="40" t="n"/>
      <c r="L1209" s="30">
        <f>IF(COUNT(I1209:K1209)=0,"",MEDIAN(I1209:K1209))</f>
        <v/>
      </c>
      <c r="M1209" s="25">
        <f>IF(COUNTIFS($C:$C,$C1209,$D:$D,"P0(전)",$L:$L,"&gt;0")&lt;&gt;1,"P0(전) 유효 1개 아님",IF(COUNTIFS($C:$C,$C1209,$D:$D,"P0(후)",$L:$L,"&gt;0")&lt;&gt;1,"P0(후) 유효 1개 아님",IF(NOT(AND(ISNUMBER(N1209),ISNUMBER(P1209),ISNUMBER(H1209))),"시각 결측",IF(P1209&lt;=N1209,"P0 시각 역전",IF(OR(H1209&lt;N1209,H1209&gt;P1209),"측정시각 구간 밖","OK")))))</f>
        <v/>
      </c>
      <c r="N1209" s="45">
        <f>IF(COUNTIFS($C:$C,$C1209,$D:$D,"P0(전)",$L:$L,"&gt;0")&lt;&gt;1,"",SUMIFS($H:$H,$C:$C,$C1209,$D:$D,"P0(전)"))</f>
        <v/>
      </c>
      <c r="O1209" s="30">
        <f>IF(COUNTIFS($C:$C,$C1209,$D:$D,"P0(전)",$L:$L,"&gt;0")&lt;&gt;1,"",SUMIFS($L:$L,$C:$C,$C1209,$D:$D,"P0(전)"))</f>
        <v/>
      </c>
      <c r="P1209" s="45">
        <f>IF(COUNTIFS($C:$C,$C1209,$D:$D,"P0(후)",$L:$L,"&gt;0")&lt;&gt;1,"",SUMIFS($H:$H,$C:$C,$C1209,$D:$D,"P0(후)"))</f>
        <v/>
      </c>
      <c r="Q1209" s="30">
        <f>IF(COUNTIFS($C:$C,$C1209,$D:$D,"P0(후)",$L:$L,"&gt;0")&lt;&gt;1,"",SUMIFS($L:$L,$C:$C,$C1209,$D:$D,"P0(후)"))</f>
        <v/>
      </c>
      <c r="R1209" s="30">
        <f>IF(M1209&lt;&gt;"OK","",O1209+(Q1209-O1209)*(H1209-N1209)/(P1209-N1209))</f>
        <v/>
      </c>
      <c r="S1209" s="30">
        <f>IF(OR(M1209&lt;&gt;"OK",NOT(ISNUMBER(L1209))),"",L1209-R1209)</f>
        <v/>
      </c>
      <c r="T1209" s="46">
        <f>IF(OR(NOT(ISNUMBER(S1209)),IF(ISNUMBER(G1209),G1209,F1209)=0),"",S1209/IF(ISNUMBER(G1209),G1209,F1209))</f>
        <v/>
      </c>
      <c r="U1209" s="46">
        <f>IF(ISNUMBER(T1209),ABS(T1209),"")</f>
        <v/>
      </c>
      <c r="V1209" s="46">
        <f>IF(OR($D1208&lt;&gt;"측정",$C1208&lt;&gt;$C1209,NOT(ISNUMBER(L1209)),NOT(ISNUMBER(L1208)),(IF(ISNUMBER(G1209),G1209,F1209)-IF(ISNUMBER(G1208),G1208,F1208))=0),"",(L1209-L1208)/(IF(ISNUMBER(G1209),G1209,F1209)-IF(ISNUMBER(G1208),G1208,F1208)))</f>
        <v/>
      </c>
      <c r="W1209" s="30">
        <f>IF(NOT(AND(ISNUMBER(N1209),ISNUMBER(P1209))),"",(P1209-N1209)*1440)</f>
        <v/>
      </c>
      <c r="X1209" s="28" t="n"/>
      <c r="Y1209" s="28" t="n"/>
      <c r="Z1209" s="28" t="n"/>
      <c r="AA1209" s="31" t="n"/>
      <c r="AB1209" s="31" t="n"/>
    </row>
    <row r="1210">
      <c r="A1210" s="25" t="inlineStr">
        <is>
          <t>S24</t>
        </is>
      </c>
      <c r="B1210" s="25" t="inlineStr">
        <is>
          <t>회천 신규점2</t>
        </is>
      </c>
      <c r="C1210" s="25" t="inlineStr">
        <is>
          <t>S24-H동</t>
        </is>
      </c>
      <c r="D1210" s="25" t="inlineStr">
        <is>
          <t>측정</t>
        </is>
      </c>
      <c r="E1210" s="25" t="inlineStr">
        <is>
          <t>동</t>
        </is>
      </c>
      <c r="F1210" s="30" t="n">
        <v>8</v>
      </c>
      <c r="G1210" s="29" t="n"/>
      <c r="H1210" s="42" t="n"/>
      <c r="I1210" s="40" t="n"/>
      <c r="J1210" s="40" t="n"/>
      <c r="K1210" s="40" t="n"/>
      <c r="L1210" s="30">
        <f>IF(COUNT(I1210:K1210)=0,"",MEDIAN(I1210:K1210))</f>
        <v/>
      </c>
      <c r="M1210" s="25">
        <f>IF(COUNTIFS($C:$C,$C1210,$D:$D,"P0(전)",$L:$L,"&gt;0")&lt;&gt;1,"P0(전) 유효 1개 아님",IF(COUNTIFS($C:$C,$C1210,$D:$D,"P0(후)",$L:$L,"&gt;0")&lt;&gt;1,"P0(후) 유효 1개 아님",IF(NOT(AND(ISNUMBER(N1210),ISNUMBER(P1210),ISNUMBER(H1210))),"시각 결측",IF(P1210&lt;=N1210,"P0 시각 역전",IF(OR(H1210&lt;N1210,H1210&gt;P1210),"측정시각 구간 밖","OK")))))</f>
        <v/>
      </c>
      <c r="N1210" s="45">
        <f>IF(COUNTIFS($C:$C,$C1210,$D:$D,"P0(전)",$L:$L,"&gt;0")&lt;&gt;1,"",SUMIFS($H:$H,$C:$C,$C1210,$D:$D,"P0(전)"))</f>
        <v/>
      </c>
      <c r="O1210" s="30">
        <f>IF(COUNTIFS($C:$C,$C1210,$D:$D,"P0(전)",$L:$L,"&gt;0")&lt;&gt;1,"",SUMIFS($L:$L,$C:$C,$C1210,$D:$D,"P0(전)"))</f>
        <v/>
      </c>
      <c r="P1210" s="45">
        <f>IF(COUNTIFS($C:$C,$C1210,$D:$D,"P0(후)",$L:$L,"&gt;0")&lt;&gt;1,"",SUMIFS($H:$H,$C:$C,$C1210,$D:$D,"P0(후)"))</f>
        <v/>
      </c>
      <c r="Q1210" s="30">
        <f>IF(COUNTIFS($C:$C,$C1210,$D:$D,"P0(후)",$L:$L,"&gt;0")&lt;&gt;1,"",SUMIFS($L:$L,$C:$C,$C1210,$D:$D,"P0(후)"))</f>
        <v/>
      </c>
      <c r="R1210" s="30">
        <f>IF(M1210&lt;&gt;"OK","",O1210+(Q1210-O1210)*(H1210-N1210)/(P1210-N1210))</f>
        <v/>
      </c>
      <c r="S1210" s="30">
        <f>IF(OR(M1210&lt;&gt;"OK",NOT(ISNUMBER(L1210))),"",L1210-R1210)</f>
        <v/>
      </c>
      <c r="T1210" s="46">
        <f>IF(OR(NOT(ISNUMBER(S1210)),IF(ISNUMBER(G1210),G1210,F1210)=0),"",S1210/IF(ISNUMBER(G1210),G1210,F1210))</f>
        <v/>
      </c>
      <c r="U1210" s="46">
        <f>IF(ISNUMBER(T1210),ABS(T1210),"")</f>
        <v/>
      </c>
      <c r="V1210" s="46">
        <f>IF(OR($D1209&lt;&gt;"측정",$C1209&lt;&gt;$C1210,NOT(ISNUMBER(L1210)),NOT(ISNUMBER(L1209)),(IF(ISNUMBER(G1210),G1210,F1210)-IF(ISNUMBER(G1209),G1209,F1209))=0),"",(L1210-L1209)/(IF(ISNUMBER(G1210),G1210,F1210)-IF(ISNUMBER(G1209),G1209,F1209)))</f>
        <v/>
      </c>
      <c r="W1210" s="30">
        <f>IF(NOT(AND(ISNUMBER(N1210),ISNUMBER(P1210))),"",(P1210-N1210)*1440)</f>
        <v/>
      </c>
      <c r="X1210" s="28" t="n"/>
      <c r="Y1210" s="28" t="n"/>
      <c r="Z1210" s="28" t="n"/>
      <c r="AA1210" s="31" t="n"/>
      <c r="AB1210" s="31" t="n"/>
    </row>
    <row r="1211">
      <c r="A1211" s="25" t="inlineStr">
        <is>
          <t>S24</t>
        </is>
      </c>
      <c r="B1211" s="25" t="inlineStr">
        <is>
          <t>회천 신규점2</t>
        </is>
      </c>
      <c r="C1211" s="25" t="inlineStr">
        <is>
          <t>S24-H동</t>
        </is>
      </c>
      <c r="D1211" s="25" t="inlineStr">
        <is>
          <t>측정</t>
        </is>
      </c>
      <c r="E1211" s="25" t="inlineStr">
        <is>
          <t>동</t>
        </is>
      </c>
      <c r="F1211" s="30" t="n">
        <v>9</v>
      </c>
      <c r="G1211" s="29" t="n"/>
      <c r="H1211" s="42" t="n"/>
      <c r="I1211" s="40" t="n"/>
      <c r="J1211" s="40" t="n"/>
      <c r="K1211" s="40" t="n"/>
      <c r="L1211" s="30">
        <f>IF(COUNT(I1211:K1211)=0,"",MEDIAN(I1211:K1211))</f>
        <v/>
      </c>
      <c r="M1211" s="25">
        <f>IF(COUNTIFS($C:$C,$C1211,$D:$D,"P0(전)",$L:$L,"&gt;0")&lt;&gt;1,"P0(전) 유효 1개 아님",IF(COUNTIFS($C:$C,$C1211,$D:$D,"P0(후)",$L:$L,"&gt;0")&lt;&gt;1,"P0(후) 유효 1개 아님",IF(NOT(AND(ISNUMBER(N1211),ISNUMBER(P1211),ISNUMBER(H1211))),"시각 결측",IF(P1211&lt;=N1211,"P0 시각 역전",IF(OR(H1211&lt;N1211,H1211&gt;P1211),"측정시각 구간 밖","OK")))))</f>
        <v/>
      </c>
      <c r="N1211" s="45">
        <f>IF(COUNTIFS($C:$C,$C1211,$D:$D,"P0(전)",$L:$L,"&gt;0")&lt;&gt;1,"",SUMIFS($H:$H,$C:$C,$C1211,$D:$D,"P0(전)"))</f>
        <v/>
      </c>
      <c r="O1211" s="30">
        <f>IF(COUNTIFS($C:$C,$C1211,$D:$D,"P0(전)",$L:$L,"&gt;0")&lt;&gt;1,"",SUMIFS($L:$L,$C:$C,$C1211,$D:$D,"P0(전)"))</f>
        <v/>
      </c>
      <c r="P1211" s="45">
        <f>IF(COUNTIFS($C:$C,$C1211,$D:$D,"P0(후)",$L:$L,"&gt;0")&lt;&gt;1,"",SUMIFS($H:$H,$C:$C,$C1211,$D:$D,"P0(후)"))</f>
        <v/>
      </c>
      <c r="Q1211" s="30">
        <f>IF(COUNTIFS($C:$C,$C1211,$D:$D,"P0(후)",$L:$L,"&gt;0")&lt;&gt;1,"",SUMIFS($L:$L,$C:$C,$C1211,$D:$D,"P0(후)"))</f>
        <v/>
      </c>
      <c r="R1211" s="30">
        <f>IF(M1211&lt;&gt;"OK","",O1211+(Q1211-O1211)*(H1211-N1211)/(P1211-N1211))</f>
        <v/>
      </c>
      <c r="S1211" s="30">
        <f>IF(OR(M1211&lt;&gt;"OK",NOT(ISNUMBER(L1211))),"",L1211-R1211)</f>
        <v/>
      </c>
      <c r="T1211" s="46">
        <f>IF(OR(NOT(ISNUMBER(S1211)),IF(ISNUMBER(G1211),G1211,F1211)=0),"",S1211/IF(ISNUMBER(G1211),G1211,F1211))</f>
        <v/>
      </c>
      <c r="U1211" s="46">
        <f>IF(ISNUMBER(T1211),ABS(T1211),"")</f>
        <v/>
      </c>
      <c r="V1211" s="46">
        <f>IF(OR($D1210&lt;&gt;"측정",$C1210&lt;&gt;$C1211,NOT(ISNUMBER(L1211)),NOT(ISNUMBER(L1210)),(IF(ISNUMBER(G1211),G1211,F1211)-IF(ISNUMBER(G1210),G1210,F1210))=0),"",(L1211-L1210)/(IF(ISNUMBER(G1211),G1211,F1211)-IF(ISNUMBER(G1210),G1210,F1210)))</f>
        <v/>
      </c>
      <c r="W1211" s="30">
        <f>IF(NOT(AND(ISNUMBER(N1211),ISNUMBER(P1211))),"",(P1211-N1211)*1440)</f>
        <v/>
      </c>
      <c r="X1211" s="28" t="n"/>
      <c r="Y1211" s="28" t="n"/>
      <c r="Z1211" s="28" t="n"/>
      <c r="AA1211" s="31" t="n"/>
      <c r="AB1211" s="31" t="n"/>
    </row>
    <row r="1212">
      <c r="A1212" s="25" t="inlineStr">
        <is>
          <t>S24</t>
        </is>
      </c>
      <c r="B1212" s="25" t="inlineStr">
        <is>
          <t>회천 신규점2</t>
        </is>
      </c>
      <c r="C1212" s="25" t="inlineStr">
        <is>
          <t>S24-H동</t>
        </is>
      </c>
      <c r="D1212" s="25" t="inlineStr">
        <is>
          <t>측정</t>
        </is>
      </c>
      <c r="E1212" s="25" t="inlineStr">
        <is>
          <t>동</t>
        </is>
      </c>
      <c r="F1212" s="30" t="n">
        <v>10</v>
      </c>
      <c r="G1212" s="29" t="n"/>
      <c r="H1212" s="42" t="n"/>
      <c r="I1212" s="40" t="n"/>
      <c r="J1212" s="40" t="n"/>
      <c r="K1212" s="40" t="n"/>
      <c r="L1212" s="30">
        <f>IF(COUNT(I1212:K1212)=0,"",MEDIAN(I1212:K1212))</f>
        <v/>
      </c>
      <c r="M1212" s="25">
        <f>IF(COUNTIFS($C:$C,$C1212,$D:$D,"P0(전)",$L:$L,"&gt;0")&lt;&gt;1,"P0(전) 유효 1개 아님",IF(COUNTIFS($C:$C,$C1212,$D:$D,"P0(후)",$L:$L,"&gt;0")&lt;&gt;1,"P0(후) 유효 1개 아님",IF(NOT(AND(ISNUMBER(N1212),ISNUMBER(P1212),ISNUMBER(H1212))),"시각 결측",IF(P1212&lt;=N1212,"P0 시각 역전",IF(OR(H1212&lt;N1212,H1212&gt;P1212),"측정시각 구간 밖","OK")))))</f>
        <v/>
      </c>
      <c r="N1212" s="45">
        <f>IF(COUNTIFS($C:$C,$C1212,$D:$D,"P0(전)",$L:$L,"&gt;0")&lt;&gt;1,"",SUMIFS($H:$H,$C:$C,$C1212,$D:$D,"P0(전)"))</f>
        <v/>
      </c>
      <c r="O1212" s="30">
        <f>IF(COUNTIFS($C:$C,$C1212,$D:$D,"P0(전)",$L:$L,"&gt;0")&lt;&gt;1,"",SUMIFS($L:$L,$C:$C,$C1212,$D:$D,"P0(전)"))</f>
        <v/>
      </c>
      <c r="P1212" s="45">
        <f>IF(COUNTIFS($C:$C,$C1212,$D:$D,"P0(후)",$L:$L,"&gt;0")&lt;&gt;1,"",SUMIFS($H:$H,$C:$C,$C1212,$D:$D,"P0(후)"))</f>
        <v/>
      </c>
      <c r="Q1212" s="30">
        <f>IF(COUNTIFS($C:$C,$C1212,$D:$D,"P0(후)",$L:$L,"&gt;0")&lt;&gt;1,"",SUMIFS($L:$L,$C:$C,$C1212,$D:$D,"P0(후)"))</f>
        <v/>
      </c>
      <c r="R1212" s="30">
        <f>IF(M1212&lt;&gt;"OK","",O1212+(Q1212-O1212)*(H1212-N1212)/(P1212-N1212))</f>
        <v/>
      </c>
      <c r="S1212" s="30">
        <f>IF(OR(M1212&lt;&gt;"OK",NOT(ISNUMBER(L1212))),"",L1212-R1212)</f>
        <v/>
      </c>
      <c r="T1212" s="46">
        <f>IF(OR(NOT(ISNUMBER(S1212)),IF(ISNUMBER(G1212),G1212,F1212)=0),"",S1212/IF(ISNUMBER(G1212),G1212,F1212))</f>
        <v/>
      </c>
      <c r="U1212" s="46">
        <f>IF(ISNUMBER(T1212),ABS(T1212),"")</f>
        <v/>
      </c>
      <c r="V1212" s="46">
        <f>IF(OR($D1211&lt;&gt;"측정",$C1211&lt;&gt;$C1212,NOT(ISNUMBER(L1212)),NOT(ISNUMBER(L1211)),(IF(ISNUMBER(G1212),G1212,F1212)-IF(ISNUMBER(G1211),G1211,F1211))=0),"",(L1212-L1211)/(IF(ISNUMBER(G1212),G1212,F1212)-IF(ISNUMBER(G1211),G1211,F1211)))</f>
        <v/>
      </c>
      <c r="W1212" s="30">
        <f>IF(NOT(AND(ISNUMBER(N1212),ISNUMBER(P1212))),"",(P1212-N1212)*1440)</f>
        <v/>
      </c>
      <c r="X1212" s="28" t="n"/>
      <c r="Y1212" s="28" t="n"/>
      <c r="Z1212" s="28" t="n"/>
      <c r="AA1212" s="31" t="n"/>
      <c r="AB1212" s="31" t="n"/>
    </row>
    <row r="1213">
      <c r="A1213" s="43" t="inlineStr">
        <is>
          <t>S24</t>
        </is>
      </c>
      <c r="B1213" s="43" t="inlineStr">
        <is>
          <t>회천 신규점2</t>
        </is>
      </c>
      <c r="C1213" s="43" t="inlineStr">
        <is>
          <t>S24-H동</t>
        </is>
      </c>
      <c r="D1213" s="43" t="inlineStr">
        <is>
          <t>P0(후)</t>
        </is>
      </c>
      <c r="E1213" s="43" t="inlineStr">
        <is>
          <t>동</t>
        </is>
      </c>
      <c r="F1213" s="44" t="n"/>
      <c r="G1213" s="29" t="n"/>
      <c r="H1213" s="42" t="n"/>
      <c r="I1213" s="40" t="n"/>
      <c r="J1213" s="40" t="n"/>
      <c r="K1213" s="40" t="n"/>
      <c r="L1213" s="30">
        <f>IF(COUNT(I1213:K1213)=0,"",MEDIAN(I1213:K1213))</f>
        <v/>
      </c>
      <c r="M1213" s="37" t="n"/>
      <c r="N1213" s="37" t="n"/>
      <c r="O1213" s="37" t="n"/>
      <c r="P1213" s="37" t="n"/>
      <c r="Q1213" s="37" t="n"/>
      <c r="R1213" s="37" t="n"/>
      <c r="S1213" s="37" t="n"/>
      <c r="T1213" s="37" t="n"/>
      <c r="U1213" s="37" t="n"/>
      <c r="V1213" s="37" t="n"/>
      <c r="W1213" s="37" t="n"/>
      <c r="X1213" s="28" t="n"/>
      <c r="Y1213" s="28" t="n"/>
      <c r="Z1213" s="28" t="n"/>
      <c r="AA1213" s="31" t="n"/>
      <c r="AB1213" s="31" t="n"/>
    </row>
    <row r="1214">
      <c r="A1214" s="43" t="inlineStr">
        <is>
          <t>S24</t>
        </is>
      </c>
      <c r="B1214" s="43" t="inlineStr">
        <is>
          <t>회천 신규점2</t>
        </is>
      </c>
      <c r="C1214" s="43" t="inlineStr">
        <is>
          <t>S24-H서</t>
        </is>
      </c>
      <c r="D1214" s="43" t="inlineStr">
        <is>
          <t>P0(전)</t>
        </is>
      </c>
      <c r="E1214" s="43" t="inlineStr">
        <is>
          <t>서</t>
        </is>
      </c>
      <c r="F1214" s="44" t="n"/>
      <c r="G1214" s="29" t="n"/>
      <c r="H1214" s="42" t="n"/>
      <c r="I1214" s="40" t="n"/>
      <c r="J1214" s="40" t="n"/>
      <c r="K1214" s="40" t="n"/>
      <c r="L1214" s="30">
        <f>IF(COUNT(I1214:K1214)=0,"",MEDIAN(I1214:K1214))</f>
        <v/>
      </c>
      <c r="M1214" s="37" t="n"/>
      <c r="N1214" s="37" t="n"/>
      <c r="O1214" s="37" t="n"/>
      <c r="P1214" s="37" t="n"/>
      <c r="Q1214" s="37" t="n"/>
      <c r="R1214" s="37" t="n"/>
      <c r="S1214" s="37" t="n"/>
      <c r="T1214" s="37" t="n"/>
      <c r="U1214" s="37" t="n"/>
      <c r="V1214" s="37" t="n"/>
      <c r="W1214" s="37" t="n"/>
      <c r="X1214" s="28" t="n"/>
      <c r="Y1214" s="28" t="n"/>
      <c r="Z1214" s="28" t="n"/>
      <c r="AA1214" s="31" t="n"/>
      <c r="AB1214" s="31" t="n"/>
    </row>
    <row r="1215">
      <c r="A1215" s="25" t="inlineStr">
        <is>
          <t>S24</t>
        </is>
      </c>
      <c r="B1215" s="25" t="inlineStr">
        <is>
          <t>회천 신규점2</t>
        </is>
      </c>
      <c r="C1215" s="25" t="inlineStr">
        <is>
          <t>S24-H서</t>
        </is>
      </c>
      <c r="D1215" s="25" t="inlineStr">
        <is>
          <t>측정</t>
        </is>
      </c>
      <c r="E1215" s="25" t="inlineStr">
        <is>
          <t>서</t>
        </is>
      </c>
      <c r="F1215" s="30" t="n">
        <v>0.5</v>
      </c>
      <c r="G1215" s="29" t="n"/>
      <c r="H1215" s="42" t="n"/>
      <c r="I1215" s="40" t="n"/>
      <c r="J1215" s="40" t="n"/>
      <c r="K1215" s="40" t="n"/>
      <c r="L1215" s="30">
        <f>IF(COUNT(I1215:K1215)=0,"",MEDIAN(I1215:K1215))</f>
        <v/>
      </c>
      <c r="M1215" s="25">
        <f>IF(COUNTIFS($C:$C,$C1215,$D:$D,"P0(전)",$L:$L,"&gt;0")&lt;&gt;1,"P0(전) 유효 1개 아님",IF(COUNTIFS($C:$C,$C1215,$D:$D,"P0(후)",$L:$L,"&gt;0")&lt;&gt;1,"P0(후) 유효 1개 아님",IF(NOT(AND(ISNUMBER(N1215),ISNUMBER(P1215),ISNUMBER(H1215))),"시각 결측",IF(P1215&lt;=N1215,"P0 시각 역전",IF(OR(H1215&lt;N1215,H1215&gt;P1215),"측정시각 구간 밖","OK")))))</f>
        <v/>
      </c>
      <c r="N1215" s="45">
        <f>IF(COUNTIFS($C:$C,$C1215,$D:$D,"P0(전)",$L:$L,"&gt;0")&lt;&gt;1,"",SUMIFS($H:$H,$C:$C,$C1215,$D:$D,"P0(전)"))</f>
        <v/>
      </c>
      <c r="O1215" s="30">
        <f>IF(COUNTIFS($C:$C,$C1215,$D:$D,"P0(전)",$L:$L,"&gt;0")&lt;&gt;1,"",SUMIFS($L:$L,$C:$C,$C1215,$D:$D,"P0(전)"))</f>
        <v/>
      </c>
      <c r="P1215" s="45">
        <f>IF(COUNTIFS($C:$C,$C1215,$D:$D,"P0(후)",$L:$L,"&gt;0")&lt;&gt;1,"",SUMIFS($H:$H,$C:$C,$C1215,$D:$D,"P0(후)"))</f>
        <v/>
      </c>
      <c r="Q1215" s="30">
        <f>IF(COUNTIFS($C:$C,$C1215,$D:$D,"P0(후)",$L:$L,"&gt;0")&lt;&gt;1,"",SUMIFS($L:$L,$C:$C,$C1215,$D:$D,"P0(후)"))</f>
        <v/>
      </c>
      <c r="R1215" s="30">
        <f>IF(M1215&lt;&gt;"OK","",O1215+(Q1215-O1215)*(H1215-N1215)/(P1215-N1215))</f>
        <v/>
      </c>
      <c r="S1215" s="30">
        <f>IF(OR(M1215&lt;&gt;"OK",NOT(ISNUMBER(L1215))),"",L1215-R1215)</f>
        <v/>
      </c>
      <c r="T1215" s="46">
        <f>IF(OR(NOT(ISNUMBER(S1215)),IF(ISNUMBER(G1215),G1215,F1215)=0),"",S1215/IF(ISNUMBER(G1215),G1215,F1215))</f>
        <v/>
      </c>
      <c r="U1215" s="46">
        <f>IF(ISNUMBER(T1215),ABS(T1215),"")</f>
        <v/>
      </c>
      <c r="V1215" s="46">
        <f>IF(OR($D1214&lt;&gt;"측정",$C1214&lt;&gt;$C1215,NOT(ISNUMBER(L1215)),NOT(ISNUMBER(L1214)),(IF(ISNUMBER(G1215),G1215,F1215)-IF(ISNUMBER(G1214),G1214,F1214))=0),"",(L1215-L1214)/(IF(ISNUMBER(G1215),G1215,F1215)-IF(ISNUMBER(G1214),G1214,F1214)))</f>
        <v/>
      </c>
      <c r="W1215" s="30">
        <f>IF(NOT(AND(ISNUMBER(N1215),ISNUMBER(P1215))),"",(P1215-N1215)*1440)</f>
        <v/>
      </c>
      <c r="X1215" s="28" t="n"/>
      <c r="Y1215" s="28" t="n"/>
      <c r="Z1215" s="28" t="n"/>
      <c r="AA1215" s="31" t="n"/>
      <c r="AB1215" s="31" t="n"/>
    </row>
    <row r="1216">
      <c r="A1216" s="25" t="inlineStr">
        <is>
          <t>S24</t>
        </is>
      </c>
      <c r="B1216" s="25" t="inlineStr">
        <is>
          <t>회천 신규점2</t>
        </is>
      </c>
      <c r="C1216" s="25" t="inlineStr">
        <is>
          <t>S24-H서</t>
        </is>
      </c>
      <c r="D1216" s="25" t="inlineStr">
        <is>
          <t>측정</t>
        </is>
      </c>
      <c r="E1216" s="25" t="inlineStr">
        <is>
          <t>서</t>
        </is>
      </c>
      <c r="F1216" s="30" t="n">
        <v>1</v>
      </c>
      <c r="G1216" s="29" t="n"/>
      <c r="H1216" s="42" t="n"/>
      <c r="I1216" s="40" t="n"/>
      <c r="J1216" s="40" t="n"/>
      <c r="K1216" s="40" t="n"/>
      <c r="L1216" s="30">
        <f>IF(COUNT(I1216:K1216)=0,"",MEDIAN(I1216:K1216))</f>
        <v/>
      </c>
      <c r="M1216" s="25">
        <f>IF(COUNTIFS($C:$C,$C1216,$D:$D,"P0(전)",$L:$L,"&gt;0")&lt;&gt;1,"P0(전) 유효 1개 아님",IF(COUNTIFS($C:$C,$C1216,$D:$D,"P0(후)",$L:$L,"&gt;0")&lt;&gt;1,"P0(후) 유효 1개 아님",IF(NOT(AND(ISNUMBER(N1216),ISNUMBER(P1216),ISNUMBER(H1216))),"시각 결측",IF(P1216&lt;=N1216,"P0 시각 역전",IF(OR(H1216&lt;N1216,H1216&gt;P1216),"측정시각 구간 밖","OK")))))</f>
        <v/>
      </c>
      <c r="N1216" s="45">
        <f>IF(COUNTIFS($C:$C,$C1216,$D:$D,"P0(전)",$L:$L,"&gt;0")&lt;&gt;1,"",SUMIFS($H:$H,$C:$C,$C1216,$D:$D,"P0(전)"))</f>
        <v/>
      </c>
      <c r="O1216" s="30">
        <f>IF(COUNTIFS($C:$C,$C1216,$D:$D,"P0(전)",$L:$L,"&gt;0")&lt;&gt;1,"",SUMIFS($L:$L,$C:$C,$C1216,$D:$D,"P0(전)"))</f>
        <v/>
      </c>
      <c r="P1216" s="45">
        <f>IF(COUNTIFS($C:$C,$C1216,$D:$D,"P0(후)",$L:$L,"&gt;0")&lt;&gt;1,"",SUMIFS($H:$H,$C:$C,$C1216,$D:$D,"P0(후)"))</f>
        <v/>
      </c>
      <c r="Q1216" s="30">
        <f>IF(COUNTIFS($C:$C,$C1216,$D:$D,"P0(후)",$L:$L,"&gt;0")&lt;&gt;1,"",SUMIFS($L:$L,$C:$C,$C1216,$D:$D,"P0(후)"))</f>
        <v/>
      </c>
      <c r="R1216" s="30">
        <f>IF(M1216&lt;&gt;"OK","",O1216+(Q1216-O1216)*(H1216-N1216)/(P1216-N1216))</f>
        <v/>
      </c>
      <c r="S1216" s="30">
        <f>IF(OR(M1216&lt;&gt;"OK",NOT(ISNUMBER(L1216))),"",L1216-R1216)</f>
        <v/>
      </c>
      <c r="T1216" s="46">
        <f>IF(OR(NOT(ISNUMBER(S1216)),IF(ISNUMBER(G1216),G1216,F1216)=0),"",S1216/IF(ISNUMBER(G1216),G1216,F1216))</f>
        <v/>
      </c>
      <c r="U1216" s="46">
        <f>IF(ISNUMBER(T1216),ABS(T1216),"")</f>
        <v/>
      </c>
      <c r="V1216" s="46">
        <f>IF(OR($D1215&lt;&gt;"측정",$C1215&lt;&gt;$C1216,NOT(ISNUMBER(L1216)),NOT(ISNUMBER(L1215)),(IF(ISNUMBER(G1216),G1216,F1216)-IF(ISNUMBER(G1215),G1215,F1215))=0),"",(L1216-L1215)/(IF(ISNUMBER(G1216),G1216,F1216)-IF(ISNUMBER(G1215),G1215,F1215)))</f>
        <v/>
      </c>
      <c r="W1216" s="30">
        <f>IF(NOT(AND(ISNUMBER(N1216),ISNUMBER(P1216))),"",(P1216-N1216)*1440)</f>
        <v/>
      </c>
      <c r="X1216" s="28" t="n"/>
      <c r="Y1216" s="28" t="n"/>
      <c r="Z1216" s="28" t="n"/>
      <c r="AA1216" s="31" t="n"/>
      <c r="AB1216" s="31" t="n"/>
    </row>
    <row r="1217">
      <c r="A1217" s="25" t="inlineStr">
        <is>
          <t>S24</t>
        </is>
      </c>
      <c r="B1217" s="25" t="inlineStr">
        <is>
          <t>회천 신규점2</t>
        </is>
      </c>
      <c r="C1217" s="25" t="inlineStr">
        <is>
          <t>S24-H서</t>
        </is>
      </c>
      <c r="D1217" s="25" t="inlineStr">
        <is>
          <t>측정</t>
        </is>
      </c>
      <c r="E1217" s="25" t="inlineStr">
        <is>
          <t>서</t>
        </is>
      </c>
      <c r="F1217" s="30" t="n">
        <v>2</v>
      </c>
      <c r="G1217" s="29" t="n"/>
      <c r="H1217" s="42" t="n"/>
      <c r="I1217" s="40" t="n"/>
      <c r="J1217" s="40" t="n"/>
      <c r="K1217" s="40" t="n"/>
      <c r="L1217" s="30">
        <f>IF(COUNT(I1217:K1217)=0,"",MEDIAN(I1217:K1217))</f>
        <v/>
      </c>
      <c r="M1217" s="25">
        <f>IF(COUNTIFS($C:$C,$C1217,$D:$D,"P0(전)",$L:$L,"&gt;0")&lt;&gt;1,"P0(전) 유효 1개 아님",IF(COUNTIFS($C:$C,$C1217,$D:$D,"P0(후)",$L:$L,"&gt;0")&lt;&gt;1,"P0(후) 유효 1개 아님",IF(NOT(AND(ISNUMBER(N1217),ISNUMBER(P1217),ISNUMBER(H1217))),"시각 결측",IF(P1217&lt;=N1217,"P0 시각 역전",IF(OR(H1217&lt;N1217,H1217&gt;P1217),"측정시각 구간 밖","OK")))))</f>
        <v/>
      </c>
      <c r="N1217" s="45">
        <f>IF(COUNTIFS($C:$C,$C1217,$D:$D,"P0(전)",$L:$L,"&gt;0")&lt;&gt;1,"",SUMIFS($H:$H,$C:$C,$C1217,$D:$D,"P0(전)"))</f>
        <v/>
      </c>
      <c r="O1217" s="30">
        <f>IF(COUNTIFS($C:$C,$C1217,$D:$D,"P0(전)",$L:$L,"&gt;0")&lt;&gt;1,"",SUMIFS($L:$L,$C:$C,$C1217,$D:$D,"P0(전)"))</f>
        <v/>
      </c>
      <c r="P1217" s="45">
        <f>IF(COUNTIFS($C:$C,$C1217,$D:$D,"P0(후)",$L:$L,"&gt;0")&lt;&gt;1,"",SUMIFS($H:$H,$C:$C,$C1217,$D:$D,"P0(후)"))</f>
        <v/>
      </c>
      <c r="Q1217" s="30">
        <f>IF(COUNTIFS($C:$C,$C1217,$D:$D,"P0(후)",$L:$L,"&gt;0")&lt;&gt;1,"",SUMIFS($L:$L,$C:$C,$C1217,$D:$D,"P0(후)"))</f>
        <v/>
      </c>
      <c r="R1217" s="30">
        <f>IF(M1217&lt;&gt;"OK","",O1217+(Q1217-O1217)*(H1217-N1217)/(P1217-N1217))</f>
        <v/>
      </c>
      <c r="S1217" s="30">
        <f>IF(OR(M1217&lt;&gt;"OK",NOT(ISNUMBER(L1217))),"",L1217-R1217)</f>
        <v/>
      </c>
      <c r="T1217" s="46">
        <f>IF(OR(NOT(ISNUMBER(S1217)),IF(ISNUMBER(G1217),G1217,F1217)=0),"",S1217/IF(ISNUMBER(G1217),G1217,F1217))</f>
        <v/>
      </c>
      <c r="U1217" s="46">
        <f>IF(ISNUMBER(T1217),ABS(T1217),"")</f>
        <v/>
      </c>
      <c r="V1217" s="46">
        <f>IF(OR($D1216&lt;&gt;"측정",$C1216&lt;&gt;$C1217,NOT(ISNUMBER(L1217)),NOT(ISNUMBER(L1216)),(IF(ISNUMBER(G1217),G1217,F1217)-IF(ISNUMBER(G1216),G1216,F1216))=0),"",(L1217-L1216)/(IF(ISNUMBER(G1217),G1217,F1217)-IF(ISNUMBER(G1216),G1216,F1216)))</f>
        <v/>
      </c>
      <c r="W1217" s="30">
        <f>IF(NOT(AND(ISNUMBER(N1217),ISNUMBER(P1217))),"",(P1217-N1217)*1440)</f>
        <v/>
      </c>
      <c r="X1217" s="28" t="n"/>
      <c r="Y1217" s="28" t="n"/>
      <c r="Z1217" s="28" t="n"/>
      <c r="AA1217" s="31" t="n"/>
      <c r="AB1217" s="31" t="n"/>
    </row>
    <row r="1218">
      <c r="A1218" s="25" t="inlineStr">
        <is>
          <t>S24</t>
        </is>
      </c>
      <c r="B1218" s="25" t="inlineStr">
        <is>
          <t>회천 신규점2</t>
        </is>
      </c>
      <c r="C1218" s="25" t="inlineStr">
        <is>
          <t>S24-H서</t>
        </is>
      </c>
      <c r="D1218" s="25" t="inlineStr">
        <is>
          <t>측정</t>
        </is>
      </c>
      <c r="E1218" s="25" t="inlineStr">
        <is>
          <t>서</t>
        </is>
      </c>
      <c r="F1218" s="30" t="n">
        <v>3</v>
      </c>
      <c r="G1218" s="29" t="n"/>
      <c r="H1218" s="42" t="n"/>
      <c r="I1218" s="40" t="n"/>
      <c r="J1218" s="40" t="n"/>
      <c r="K1218" s="40" t="n"/>
      <c r="L1218" s="30">
        <f>IF(COUNT(I1218:K1218)=0,"",MEDIAN(I1218:K1218))</f>
        <v/>
      </c>
      <c r="M1218" s="25">
        <f>IF(COUNTIFS($C:$C,$C1218,$D:$D,"P0(전)",$L:$L,"&gt;0")&lt;&gt;1,"P0(전) 유효 1개 아님",IF(COUNTIFS($C:$C,$C1218,$D:$D,"P0(후)",$L:$L,"&gt;0")&lt;&gt;1,"P0(후) 유효 1개 아님",IF(NOT(AND(ISNUMBER(N1218),ISNUMBER(P1218),ISNUMBER(H1218))),"시각 결측",IF(P1218&lt;=N1218,"P0 시각 역전",IF(OR(H1218&lt;N1218,H1218&gt;P1218),"측정시각 구간 밖","OK")))))</f>
        <v/>
      </c>
      <c r="N1218" s="45">
        <f>IF(COUNTIFS($C:$C,$C1218,$D:$D,"P0(전)",$L:$L,"&gt;0")&lt;&gt;1,"",SUMIFS($H:$H,$C:$C,$C1218,$D:$D,"P0(전)"))</f>
        <v/>
      </c>
      <c r="O1218" s="30">
        <f>IF(COUNTIFS($C:$C,$C1218,$D:$D,"P0(전)",$L:$L,"&gt;0")&lt;&gt;1,"",SUMIFS($L:$L,$C:$C,$C1218,$D:$D,"P0(전)"))</f>
        <v/>
      </c>
      <c r="P1218" s="45">
        <f>IF(COUNTIFS($C:$C,$C1218,$D:$D,"P0(후)",$L:$L,"&gt;0")&lt;&gt;1,"",SUMIFS($H:$H,$C:$C,$C1218,$D:$D,"P0(후)"))</f>
        <v/>
      </c>
      <c r="Q1218" s="30">
        <f>IF(COUNTIFS($C:$C,$C1218,$D:$D,"P0(후)",$L:$L,"&gt;0")&lt;&gt;1,"",SUMIFS($L:$L,$C:$C,$C1218,$D:$D,"P0(후)"))</f>
        <v/>
      </c>
      <c r="R1218" s="30">
        <f>IF(M1218&lt;&gt;"OK","",O1218+(Q1218-O1218)*(H1218-N1218)/(P1218-N1218))</f>
        <v/>
      </c>
      <c r="S1218" s="30">
        <f>IF(OR(M1218&lt;&gt;"OK",NOT(ISNUMBER(L1218))),"",L1218-R1218)</f>
        <v/>
      </c>
      <c r="T1218" s="46">
        <f>IF(OR(NOT(ISNUMBER(S1218)),IF(ISNUMBER(G1218),G1218,F1218)=0),"",S1218/IF(ISNUMBER(G1218),G1218,F1218))</f>
        <v/>
      </c>
      <c r="U1218" s="46">
        <f>IF(ISNUMBER(T1218),ABS(T1218),"")</f>
        <v/>
      </c>
      <c r="V1218" s="46">
        <f>IF(OR($D1217&lt;&gt;"측정",$C1217&lt;&gt;$C1218,NOT(ISNUMBER(L1218)),NOT(ISNUMBER(L1217)),(IF(ISNUMBER(G1218),G1218,F1218)-IF(ISNUMBER(G1217),G1217,F1217))=0),"",(L1218-L1217)/(IF(ISNUMBER(G1218),G1218,F1218)-IF(ISNUMBER(G1217),G1217,F1217)))</f>
        <v/>
      </c>
      <c r="W1218" s="30">
        <f>IF(NOT(AND(ISNUMBER(N1218),ISNUMBER(P1218))),"",(P1218-N1218)*1440)</f>
        <v/>
      </c>
      <c r="X1218" s="28" t="n"/>
      <c r="Y1218" s="28" t="n"/>
      <c r="Z1218" s="28" t="n"/>
      <c r="AA1218" s="31" t="n"/>
      <c r="AB1218" s="31" t="n"/>
    </row>
    <row r="1219">
      <c r="A1219" s="25" t="inlineStr">
        <is>
          <t>S24</t>
        </is>
      </c>
      <c r="B1219" s="25" t="inlineStr">
        <is>
          <t>회천 신규점2</t>
        </is>
      </c>
      <c r="C1219" s="25" t="inlineStr">
        <is>
          <t>S24-H서</t>
        </is>
      </c>
      <c r="D1219" s="25" t="inlineStr">
        <is>
          <t>측정</t>
        </is>
      </c>
      <c r="E1219" s="25" t="inlineStr">
        <is>
          <t>서</t>
        </is>
      </c>
      <c r="F1219" s="30" t="n">
        <v>4</v>
      </c>
      <c r="G1219" s="29" t="n"/>
      <c r="H1219" s="42" t="n"/>
      <c r="I1219" s="40" t="n"/>
      <c r="J1219" s="40" t="n"/>
      <c r="K1219" s="40" t="n"/>
      <c r="L1219" s="30">
        <f>IF(COUNT(I1219:K1219)=0,"",MEDIAN(I1219:K1219))</f>
        <v/>
      </c>
      <c r="M1219" s="25">
        <f>IF(COUNTIFS($C:$C,$C1219,$D:$D,"P0(전)",$L:$L,"&gt;0")&lt;&gt;1,"P0(전) 유효 1개 아님",IF(COUNTIFS($C:$C,$C1219,$D:$D,"P0(후)",$L:$L,"&gt;0")&lt;&gt;1,"P0(후) 유효 1개 아님",IF(NOT(AND(ISNUMBER(N1219),ISNUMBER(P1219),ISNUMBER(H1219))),"시각 결측",IF(P1219&lt;=N1219,"P0 시각 역전",IF(OR(H1219&lt;N1219,H1219&gt;P1219),"측정시각 구간 밖","OK")))))</f>
        <v/>
      </c>
      <c r="N1219" s="45">
        <f>IF(COUNTIFS($C:$C,$C1219,$D:$D,"P0(전)",$L:$L,"&gt;0")&lt;&gt;1,"",SUMIFS($H:$H,$C:$C,$C1219,$D:$D,"P0(전)"))</f>
        <v/>
      </c>
      <c r="O1219" s="30">
        <f>IF(COUNTIFS($C:$C,$C1219,$D:$D,"P0(전)",$L:$L,"&gt;0")&lt;&gt;1,"",SUMIFS($L:$L,$C:$C,$C1219,$D:$D,"P0(전)"))</f>
        <v/>
      </c>
      <c r="P1219" s="45">
        <f>IF(COUNTIFS($C:$C,$C1219,$D:$D,"P0(후)",$L:$L,"&gt;0")&lt;&gt;1,"",SUMIFS($H:$H,$C:$C,$C1219,$D:$D,"P0(후)"))</f>
        <v/>
      </c>
      <c r="Q1219" s="30">
        <f>IF(COUNTIFS($C:$C,$C1219,$D:$D,"P0(후)",$L:$L,"&gt;0")&lt;&gt;1,"",SUMIFS($L:$L,$C:$C,$C1219,$D:$D,"P0(후)"))</f>
        <v/>
      </c>
      <c r="R1219" s="30">
        <f>IF(M1219&lt;&gt;"OK","",O1219+(Q1219-O1219)*(H1219-N1219)/(P1219-N1219))</f>
        <v/>
      </c>
      <c r="S1219" s="30">
        <f>IF(OR(M1219&lt;&gt;"OK",NOT(ISNUMBER(L1219))),"",L1219-R1219)</f>
        <v/>
      </c>
      <c r="T1219" s="46">
        <f>IF(OR(NOT(ISNUMBER(S1219)),IF(ISNUMBER(G1219),G1219,F1219)=0),"",S1219/IF(ISNUMBER(G1219),G1219,F1219))</f>
        <v/>
      </c>
      <c r="U1219" s="46">
        <f>IF(ISNUMBER(T1219),ABS(T1219),"")</f>
        <v/>
      </c>
      <c r="V1219" s="46">
        <f>IF(OR($D1218&lt;&gt;"측정",$C1218&lt;&gt;$C1219,NOT(ISNUMBER(L1219)),NOT(ISNUMBER(L1218)),(IF(ISNUMBER(G1219),G1219,F1219)-IF(ISNUMBER(G1218),G1218,F1218))=0),"",(L1219-L1218)/(IF(ISNUMBER(G1219),G1219,F1219)-IF(ISNUMBER(G1218),G1218,F1218)))</f>
        <v/>
      </c>
      <c r="W1219" s="30">
        <f>IF(NOT(AND(ISNUMBER(N1219),ISNUMBER(P1219))),"",(P1219-N1219)*1440)</f>
        <v/>
      </c>
      <c r="X1219" s="28" t="n"/>
      <c r="Y1219" s="28" t="n"/>
      <c r="Z1219" s="28" t="n"/>
      <c r="AA1219" s="31" t="n"/>
      <c r="AB1219" s="31" t="n"/>
    </row>
    <row r="1220">
      <c r="A1220" s="25" t="inlineStr">
        <is>
          <t>S24</t>
        </is>
      </c>
      <c r="B1220" s="25" t="inlineStr">
        <is>
          <t>회천 신규점2</t>
        </is>
      </c>
      <c r="C1220" s="25" t="inlineStr">
        <is>
          <t>S24-H서</t>
        </is>
      </c>
      <c r="D1220" s="25" t="inlineStr">
        <is>
          <t>측정</t>
        </is>
      </c>
      <c r="E1220" s="25" t="inlineStr">
        <is>
          <t>서</t>
        </is>
      </c>
      <c r="F1220" s="30" t="n">
        <v>5</v>
      </c>
      <c r="G1220" s="29" t="n"/>
      <c r="H1220" s="42" t="n"/>
      <c r="I1220" s="40" t="n"/>
      <c r="J1220" s="40" t="n"/>
      <c r="K1220" s="40" t="n"/>
      <c r="L1220" s="30">
        <f>IF(COUNT(I1220:K1220)=0,"",MEDIAN(I1220:K1220))</f>
        <v/>
      </c>
      <c r="M1220" s="25">
        <f>IF(COUNTIFS($C:$C,$C1220,$D:$D,"P0(전)",$L:$L,"&gt;0")&lt;&gt;1,"P0(전) 유효 1개 아님",IF(COUNTIFS($C:$C,$C1220,$D:$D,"P0(후)",$L:$L,"&gt;0")&lt;&gt;1,"P0(후) 유효 1개 아님",IF(NOT(AND(ISNUMBER(N1220),ISNUMBER(P1220),ISNUMBER(H1220))),"시각 결측",IF(P1220&lt;=N1220,"P0 시각 역전",IF(OR(H1220&lt;N1220,H1220&gt;P1220),"측정시각 구간 밖","OK")))))</f>
        <v/>
      </c>
      <c r="N1220" s="45">
        <f>IF(COUNTIFS($C:$C,$C1220,$D:$D,"P0(전)",$L:$L,"&gt;0")&lt;&gt;1,"",SUMIFS($H:$H,$C:$C,$C1220,$D:$D,"P0(전)"))</f>
        <v/>
      </c>
      <c r="O1220" s="30">
        <f>IF(COUNTIFS($C:$C,$C1220,$D:$D,"P0(전)",$L:$L,"&gt;0")&lt;&gt;1,"",SUMIFS($L:$L,$C:$C,$C1220,$D:$D,"P0(전)"))</f>
        <v/>
      </c>
      <c r="P1220" s="45">
        <f>IF(COUNTIFS($C:$C,$C1220,$D:$D,"P0(후)",$L:$L,"&gt;0")&lt;&gt;1,"",SUMIFS($H:$H,$C:$C,$C1220,$D:$D,"P0(후)"))</f>
        <v/>
      </c>
      <c r="Q1220" s="30">
        <f>IF(COUNTIFS($C:$C,$C1220,$D:$D,"P0(후)",$L:$L,"&gt;0")&lt;&gt;1,"",SUMIFS($L:$L,$C:$C,$C1220,$D:$D,"P0(후)"))</f>
        <v/>
      </c>
      <c r="R1220" s="30">
        <f>IF(M1220&lt;&gt;"OK","",O1220+(Q1220-O1220)*(H1220-N1220)/(P1220-N1220))</f>
        <v/>
      </c>
      <c r="S1220" s="30">
        <f>IF(OR(M1220&lt;&gt;"OK",NOT(ISNUMBER(L1220))),"",L1220-R1220)</f>
        <v/>
      </c>
      <c r="T1220" s="46">
        <f>IF(OR(NOT(ISNUMBER(S1220)),IF(ISNUMBER(G1220),G1220,F1220)=0),"",S1220/IF(ISNUMBER(G1220),G1220,F1220))</f>
        <v/>
      </c>
      <c r="U1220" s="46">
        <f>IF(ISNUMBER(T1220),ABS(T1220),"")</f>
        <v/>
      </c>
      <c r="V1220" s="46">
        <f>IF(OR($D1219&lt;&gt;"측정",$C1219&lt;&gt;$C1220,NOT(ISNUMBER(L1220)),NOT(ISNUMBER(L1219)),(IF(ISNUMBER(G1220),G1220,F1220)-IF(ISNUMBER(G1219),G1219,F1219))=0),"",(L1220-L1219)/(IF(ISNUMBER(G1220),G1220,F1220)-IF(ISNUMBER(G1219),G1219,F1219)))</f>
        <v/>
      </c>
      <c r="W1220" s="30">
        <f>IF(NOT(AND(ISNUMBER(N1220),ISNUMBER(P1220))),"",(P1220-N1220)*1440)</f>
        <v/>
      </c>
      <c r="X1220" s="28" t="n"/>
      <c r="Y1220" s="28" t="n"/>
      <c r="Z1220" s="28" t="n"/>
      <c r="AA1220" s="31" t="n"/>
      <c r="AB1220" s="31" t="n"/>
    </row>
    <row r="1221">
      <c r="A1221" s="25" t="inlineStr">
        <is>
          <t>S24</t>
        </is>
      </c>
      <c r="B1221" s="25" t="inlineStr">
        <is>
          <t>회천 신규점2</t>
        </is>
      </c>
      <c r="C1221" s="25" t="inlineStr">
        <is>
          <t>S24-H서</t>
        </is>
      </c>
      <c r="D1221" s="25" t="inlineStr">
        <is>
          <t>측정</t>
        </is>
      </c>
      <c r="E1221" s="25" t="inlineStr">
        <is>
          <t>서</t>
        </is>
      </c>
      <c r="F1221" s="30" t="n">
        <v>6</v>
      </c>
      <c r="G1221" s="29" t="n"/>
      <c r="H1221" s="42" t="n"/>
      <c r="I1221" s="40" t="n"/>
      <c r="J1221" s="40" t="n"/>
      <c r="K1221" s="40" t="n"/>
      <c r="L1221" s="30">
        <f>IF(COUNT(I1221:K1221)=0,"",MEDIAN(I1221:K1221))</f>
        <v/>
      </c>
      <c r="M1221" s="25">
        <f>IF(COUNTIFS($C:$C,$C1221,$D:$D,"P0(전)",$L:$L,"&gt;0")&lt;&gt;1,"P0(전) 유효 1개 아님",IF(COUNTIFS($C:$C,$C1221,$D:$D,"P0(후)",$L:$L,"&gt;0")&lt;&gt;1,"P0(후) 유효 1개 아님",IF(NOT(AND(ISNUMBER(N1221),ISNUMBER(P1221),ISNUMBER(H1221))),"시각 결측",IF(P1221&lt;=N1221,"P0 시각 역전",IF(OR(H1221&lt;N1221,H1221&gt;P1221),"측정시각 구간 밖","OK")))))</f>
        <v/>
      </c>
      <c r="N1221" s="45">
        <f>IF(COUNTIFS($C:$C,$C1221,$D:$D,"P0(전)",$L:$L,"&gt;0")&lt;&gt;1,"",SUMIFS($H:$H,$C:$C,$C1221,$D:$D,"P0(전)"))</f>
        <v/>
      </c>
      <c r="O1221" s="30">
        <f>IF(COUNTIFS($C:$C,$C1221,$D:$D,"P0(전)",$L:$L,"&gt;0")&lt;&gt;1,"",SUMIFS($L:$L,$C:$C,$C1221,$D:$D,"P0(전)"))</f>
        <v/>
      </c>
      <c r="P1221" s="45">
        <f>IF(COUNTIFS($C:$C,$C1221,$D:$D,"P0(후)",$L:$L,"&gt;0")&lt;&gt;1,"",SUMIFS($H:$H,$C:$C,$C1221,$D:$D,"P0(후)"))</f>
        <v/>
      </c>
      <c r="Q1221" s="30">
        <f>IF(COUNTIFS($C:$C,$C1221,$D:$D,"P0(후)",$L:$L,"&gt;0")&lt;&gt;1,"",SUMIFS($L:$L,$C:$C,$C1221,$D:$D,"P0(후)"))</f>
        <v/>
      </c>
      <c r="R1221" s="30">
        <f>IF(M1221&lt;&gt;"OK","",O1221+(Q1221-O1221)*(H1221-N1221)/(P1221-N1221))</f>
        <v/>
      </c>
      <c r="S1221" s="30">
        <f>IF(OR(M1221&lt;&gt;"OK",NOT(ISNUMBER(L1221))),"",L1221-R1221)</f>
        <v/>
      </c>
      <c r="T1221" s="46">
        <f>IF(OR(NOT(ISNUMBER(S1221)),IF(ISNUMBER(G1221),G1221,F1221)=0),"",S1221/IF(ISNUMBER(G1221),G1221,F1221))</f>
        <v/>
      </c>
      <c r="U1221" s="46">
        <f>IF(ISNUMBER(T1221),ABS(T1221),"")</f>
        <v/>
      </c>
      <c r="V1221" s="46">
        <f>IF(OR($D1220&lt;&gt;"측정",$C1220&lt;&gt;$C1221,NOT(ISNUMBER(L1221)),NOT(ISNUMBER(L1220)),(IF(ISNUMBER(G1221),G1221,F1221)-IF(ISNUMBER(G1220),G1220,F1220))=0),"",(L1221-L1220)/(IF(ISNUMBER(G1221),G1221,F1221)-IF(ISNUMBER(G1220),G1220,F1220)))</f>
        <v/>
      </c>
      <c r="W1221" s="30">
        <f>IF(NOT(AND(ISNUMBER(N1221),ISNUMBER(P1221))),"",(P1221-N1221)*1440)</f>
        <v/>
      </c>
      <c r="X1221" s="28" t="n"/>
      <c r="Y1221" s="28" t="n"/>
      <c r="Z1221" s="28" t="n"/>
      <c r="AA1221" s="31" t="n"/>
      <c r="AB1221" s="31" t="n"/>
    </row>
    <row r="1222">
      <c r="A1222" s="25" t="inlineStr">
        <is>
          <t>S24</t>
        </is>
      </c>
      <c r="B1222" s="25" t="inlineStr">
        <is>
          <t>회천 신규점2</t>
        </is>
      </c>
      <c r="C1222" s="25" t="inlineStr">
        <is>
          <t>S24-H서</t>
        </is>
      </c>
      <c r="D1222" s="25" t="inlineStr">
        <is>
          <t>측정</t>
        </is>
      </c>
      <c r="E1222" s="25" t="inlineStr">
        <is>
          <t>서</t>
        </is>
      </c>
      <c r="F1222" s="30" t="n">
        <v>7</v>
      </c>
      <c r="G1222" s="29" t="n"/>
      <c r="H1222" s="42" t="n"/>
      <c r="I1222" s="40" t="n"/>
      <c r="J1222" s="40" t="n"/>
      <c r="K1222" s="40" t="n"/>
      <c r="L1222" s="30">
        <f>IF(COUNT(I1222:K1222)=0,"",MEDIAN(I1222:K1222))</f>
        <v/>
      </c>
      <c r="M1222" s="25">
        <f>IF(COUNTIFS($C:$C,$C1222,$D:$D,"P0(전)",$L:$L,"&gt;0")&lt;&gt;1,"P0(전) 유효 1개 아님",IF(COUNTIFS($C:$C,$C1222,$D:$D,"P0(후)",$L:$L,"&gt;0")&lt;&gt;1,"P0(후) 유효 1개 아님",IF(NOT(AND(ISNUMBER(N1222),ISNUMBER(P1222),ISNUMBER(H1222))),"시각 결측",IF(P1222&lt;=N1222,"P0 시각 역전",IF(OR(H1222&lt;N1222,H1222&gt;P1222),"측정시각 구간 밖","OK")))))</f>
        <v/>
      </c>
      <c r="N1222" s="45">
        <f>IF(COUNTIFS($C:$C,$C1222,$D:$D,"P0(전)",$L:$L,"&gt;0")&lt;&gt;1,"",SUMIFS($H:$H,$C:$C,$C1222,$D:$D,"P0(전)"))</f>
        <v/>
      </c>
      <c r="O1222" s="30">
        <f>IF(COUNTIFS($C:$C,$C1222,$D:$D,"P0(전)",$L:$L,"&gt;0")&lt;&gt;1,"",SUMIFS($L:$L,$C:$C,$C1222,$D:$D,"P0(전)"))</f>
        <v/>
      </c>
      <c r="P1222" s="45">
        <f>IF(COUNTIFS($C:$C,$C1222,$D:$D,"P0(후)",$L:$L,"&gt;0")&lt;&gt;1,"",SUMIFS($H:$H,$C:$C,$C1222,$D:$D,"P0(후)"))</f>
        <v/>
      </c>
      <c r="Q1222" s="30">
        <f>IF(COUNTIFS($C:$C,$C1222,$D:$D,"P0(후)",$L:$L,"&gt;0")&lt;&gt;1,"",SUMIFS($L:$L,$C:$C,$C1222,$D:$D,"P0(후)"))</f>
        <v/>
      </c>
      <c r="R1222" s="30">
        <f>IF(M1222&lt;&gt;"OK","",O1222+(Q1222-O1222)*(H1222-N1222)/(P1222-N1222))</f>
        <v/>
      </c>
      <c r="S1222" s="30">
        <f>IF(OR(M1222&lt;&gt;"OK",NOT(ISNUMBER(L1222))),"",L1222-R1222)</f>
        <v/>
      </c>
      <c r="T1222" s="46">
        <f>IF(OR(NOT(ISNUMBER(S1222)),IF(ISNUMBER(G1222),G1222,F1222)=0),"",S1222/IF(ISNUMBER(G1222),G1222,F1222))</f>
        <v/>
      </c>
      <c r="U1222" s="46">
        <f>IF(ISNUMBER(T1222),ABS(T1222),"")</f>
        <v/>
      </c>
      <c r="V1222" s="46">
        <f>IF(OR($D1221&lt;&gt;"측정",$C1221&lt;&gt;$C1222,NOT(ISNUMBER(L1222)),NOT(ISNUMBER(L1221)),(IF(ISNUMBER(G1222),G1222,F1222)-IF(ISNUMBER(G1221),G1221,F1221))=0),"",(L1222-L1221)/(IF(ISNUMBER(G1222),G1222,F1222)-IF(ISNUMBER(G1221),G1221,F1221)))</f>
        <v/>
      </c>
      <c r="W1222" s="30">
        <f>IF(NOT(AND(ISNUMBER(N1222),ISNUMBER(P1222))),"",(P1222-N1222)*1440)</f>
        <v/>
      </c>
      <c r="X1222" s="28" t="n"/>
      <c r="Y1222" s="28" t="n"/>
      <c r="Z1222" s="28" t="n"/>
      <c r="AA1222" s="31" t="n"/>
      <c r="AB1222" s="31" t="n"/>
    </row>
    <row r="1223">
      <c r="A1223" s="25" t="inlineStr">
        <is>
          <t>S24</t>
        </is>
      </c>
      <c r="B1223" s="25" t="inlineStr">
        <is>
          <t>회천 신규점2</t>
        </is>
      </c>
      <c r="C1223" s="25" t="inlineStr">
        <is>
          <t>S24-H서</t>
        </is>
      </c>
      <c r="D1223" s="25" t="inlineStr">
        <is>
          <t>측정</t>
        </is>
      </c>
      <c r="E1223" s="25" t="inlineStr">
        <is>
          <t>서</t>
        </is>
      </c>
      <c r="F1223" s="30" t="n">
        <v>8</v>
      </c>
      <c r="G1223" s="29" t="n"/>
      <c r="H1223" s="42" t="n"/>
      <c r="I1223" s="40" t="n"/>
      <c r="J1223" s="40" t="n"/>
      <c r="K1223" s="40" t="n"/>
      <c r="L1223" s="30">
        <f>IF(COUNT(I1223:K1223)=0,"",MEDIAN(I1223:K1223))</f>
        <v/>
      </c>
      <c r="M1223" s="25">
        <f>IF(COUNTIFS($C:$C,$C1223,$D:$D,"P0(전)",$L:$L,"&gt;0")&lt;&gt;1,"P0(전) 유효 1개 아님",IF(COUNTIFS($C:$C,$C1223,$D:$D,"P0(후)",$L:$L,"&gt;0")&lt;&gt;1,"P0(후) 유효 1개 아님",IF(NOT(AND(ISNUMBER(N1223),ISNUMBER(P1223),ISNUMBER(H1223))),"시각 결측",IF(P1223&lt;=N1223,"P0 시각 역전",IF(OR(H1223&lt;N1223,H1223&gt;P1223),"측정시각 구간 밖","OK")))))</f>
        <v/>
      </c>
      <c r="N1223" s="45">
        <f>IF(COUNTIFS($C:$C,$C1223,$D:$D,"P0(전)",$L:$L,"&gt;0")&lt;&gt;1,"",SUMIFS($H:$H,$C:$C,$C1223,$D:$D,"P0(전)"))</f>
        <v/>
      </c>
      <c r="O1223" s="30">
        <f>IF(COUNTIFS($C:$C,$C1223,$D:$D,"P0(전)",$L:$L,"&gt;0")&lt;&gt;1,"",SUMIFS($L:$L,$C:$C,$C1223,$D:$D,"P0(전)"))</f>
        <v/>
      </c>
      <c r="P1223" s="45">
        <f>IF(COUNTIFS($C:$C,$C1223,$D:$D,"P0(후)",$L:$L,"&gt;0")&lt;&gt;1,"",SUMIFS($H:$H,$C:$C,$C1223,$D:$D,"P0(후)"))</f>
        <v/>
      </c>
      <c r="Q1223" s="30">
        <f>IF(COUNTIFS($C:$C,$C1223,$D:$D,"P0(후)",$L:$L,"&gt;0")&lt;&gt;1,"",SUMIFS($L:$L,$C:$C,$C1223,$D:$D,"P0(후)"))</f>
        <v/>
      </c>
      <c r="R1223" s="30">
        <f>IF(M1223&lt;&gt;"OK","",O1223+(Q1223-O1223)*(H1223-N1223)/(P1223-N1223))</f>
        <v/>
      </c>
      <c r="S1223" s="30">
        <f>IF(OR(M1223&lt;&gt;"OK",NOT(ISNUMBER(L1223))),"",L1223-R1223)</f>
        <v/>
      </c>
      <c r="T1223" s="46">
        <f>IF(OR(NOT(ISNUMBER(S1223)),IF(ISNUMBER(G1223),G1223,F1223)=0),"",S1223/IF(ISNUMBER(G1223),G1223,F1223))</f>
        <v/>
      </c>
      <c r="U1223" s="46">
        <f>IF(ISNUMBER(T1223),ABS(T1223),"")</f>
        <v/>
      </c>
      <c r="V1223" s="46">
        <f>IF(OR($D1222&lt;&gt;"측정",$C1222&lt;&gt;$C1223,NOT(ISNUMBER(L1223)),NOT(ISNUMBER(L1222)),(IF(ISNUMBER(G1223),G1223,F1223)-IF(ISNUMBER(G1222),G1222,F1222))=0),"",(L1223-L1222)/(IF(ISNUMBER(G1223),G1223,F1223)-IF(ISNUMBER(G1222),G1222,F1222)))</f>
        <v/>
      </c>
      <c r="W1223" s="30">
        <f>IF(NOT(AND(ISNUMBER(N1223),ISNUMBER(P1223))),"",(P1223-N1223)*1440)</f>
        <v/>
      </c>
      <c r="X1223" s="28" t="n"/>
      <c r="Y1223" s="28" t="n"/>
      <c r="Z1223" s="28" t="n"/>
      <c r="AA1223" s="31" t="n"/>
      <c r="AB1223" s="31" t="n"/>
    </row>
    <row r="1224">
      <c r="A1224" s="25" t="inlineStr">
        <is>
          <t>S24</t>
        </is>
      </c>
      <c r="B1224" s="25" t="inlineStr">
        <is>
          <t>회천 신규점2</t>
        </is>
      </c>
      <c r="C1224" s="25" t="inlineStr">
        <is>
          <t>S24-H서</t>
        </is>
      </c>
      <c r="D1224" s="25" t="inlineStr">
        <is>
          <t>측정</t>
        </is>
      </c>
      <c r="E1224" s="25" t="inlineStr">
        <is>
          <t>서</t>
        </is>
      </c>
      <c r="F1224" s="30" t="n">
        <v>9</v>
      </c>
      <c r="G1224" s="29" t="n"/>
      <c r="H1224" s="42" t="n"/>
      <c r="I1224" s="40" t="n"/>
      <c r="J1224" s="40" t="n"/>
      <c r="K1224" s="40" t="n"/>
      <c r="L1224" s="30">
        <f>IF(COUNT(I1224:K1224)=0,"",MEDIAN(I1224:K1224))</f>
        <v/>
      </c>
      <c r="M1224" s="25">
        <f>IF(COUNTIFS($C:$C,$C1224,$D:$D,"P0(전)",$L:$L,"&gt;0")&lt;&gt;1,"P0(전) 유효 1개 아님",IF(COUNTIFS($C:$C,$C1224,$D:$D,"P0(후)",$L:$L,"&gt;0")&lt;&gt;1,"P0(후) 유효 1개 아님",IF(NOT(AND(ISNUMBER(N1224),ISNUMBER(P1224),ISNUMBER(H1224))),"시각 결측",IF(P1224&lt;=N1224,"P0 시각 역전",IF(OR(H1224&lt;N1224,H1224&gt;P1224),"측정시각 구간 밖","OK")))))</f>
        <v/>
      </c>
      <c r="N1224" s="45">
        <f>IF(COUNTIFS($C:$C,$C1224,$D:$D,"P0(전)",$L:$L,"&gt;0")&lt;&gt;1,"",SUMIFS($H:$H,$C:$C,$C1224,$D:$D,"P0(전)"))</f>
        <v/>
      </c>
      <c r="O1224" s="30">
        <f>IF(COUNTIFS($C:$C,$C1224,$D:$D,"P0(전)",$L:$L,"&gt;0")&lt;&gt;1,"",SUMIFS($L:$L,$C:$C,$C1224,$D:$D,"P0(전)"))</f>
        <v/>
      </c>
      <c r="P1224" s="45">
        <f>IF(COUNTIFS($C:$C,$C1224,$D:$D,"P0(후)",$L:$L,"&gt;0")&lt;&gt;1,"",SUMIFS($H:$H,$C:$C,$C1224,$D:$D,"P0(후)"))</f>
        <v/>
      </c>
      <c r="Q1224" s="30">
        <f>IF(COUNTIFS($C:$C,$C1224,$D:$D,"P0(후)",$L:$L,"&gt;0")&lt;&gt;1,"",SUMIFS($L:$L,$C:$C,$C1224,$D:$D,"P0(후)"))</f>
        <v/>
      </c>
      <c r="R1224" s="30">
        <f>IF(M1224&lt;&gt;"OK","",O1224+(Q1224-O1224)*(H1224-N1224)/(P1224-N1224))</f>
        <v/>
      </c>
      <c r="S1224" s="30">
        <f>IF(OR(M1224&lt;&gt;"OK",NOT(ISNUMBER(L1224))),"",L1224-R1224)</f>
        <v/>
      </c>
      <c r="T1224" s="46">
        <f>IF(OR(NOT(ISNUMBER(S1224)),IF(ISNUMBER(G1224),G1224,F1224)=0),"",S1224/IF(ISNUMBER(G1224),G1224,F1224))</f>
        <v/>
      </c>
      <c r="U1224" s="46">
        <f>IF(ISNUMBER(T1224),ABS(T1224),"")</f>
        <v/>
      </c>
      <c r="V1224" s="46">
        <f>IF(OR($D1223&lt;&gt;"측정",$C1223&lt;&gt;$C1224,NOT(ISNUMBER(L1224)),NOT(ISNUMBER(L1223)),(IF(ISNUMBER(G1224),G1224,F1224)-IF(ISNUMBER(G1223),G1223,F1223))=0),"",(L1224-L1223)/(IF(ISNUMBER(G1224),G1224,F1224)-IF(ISNUMBER(G1223),G1223,F1223)))</f>
        <v/>
      </c>
      <c r="W1224" s="30">
        <f>IF(NOT(AND(ISNUMBER(N1224),ISNUMBER(P1224))),"",(P1224-N1224)*1440)</f>
        <v/>
      </c>
      <c r="X1224" s="28" t="n"/>
      <c r="Y1224" s="28" t="n"/>
      <c r="Z1224" s="28" t="n"/>
      <c r="AA1224" s="31" t="n"/>
      <c r="AB1224" s="31" t="n"/>
    </row>
    <row r="1225">
      <c r="A1225" s="25" t="inlineStr">
        <is>
          <t>S24</t>
        </is>
      </c>
      <c r="B1225" s="25" t="inlineStr">
        <is>
          <t>회천 신규점2</t>
        </is>
      </c>
      <c r="C1225" s="25" t="inlineStr">
        <is>
          <t>S24-H서</t>
        </is>
      </c>
      <c r="D1225" s="25" t="inlineStr">
        <is>
          <t>측정</t>
        </is>
      </c>
      <c r="E1225" s="25" t="inlineStr">
        <is>
          <t>서</t>
        </is>
      </c>
      <c r="F1225" s="30" t="n">
        <v>10</v>
      </c>
      <c r="G1225" s="29" t="n"/>
      <c r="H1225" s="42" t="n"/>
      <c r="I1225" s="40" t="n"/>
      <c r="J1225" s="40" t="n"/>
      <c r="K1225" s="40" t="n"/>
      <c r="L1225" s="30">
        <f>IF(COUNT(I1225:K1225)=0,"",MEDIAN(I1225:K1225))</f>
        <v/>
      </c>
      <c r="M1225" s="25">
        <f>IF(COUNTIFS($C:$C,$C1225,$D:$D,"P0(전)",$L:$L,"&gt;0")&lt;&gt;1,"P0(전) 유효 1개 아님",IF(COUNTIFS($C:$C,$C1225,$D:$D,"P0(후)",$L:$L,"&gt;0")&lt;&gt;1,"P0(후) 유효 1개 아님",IF(NOT(AND(ISNUMBER(N1225),ISNUMBER(P1225),ISNUMBER(H1225))),"시각 결측",IF(P1225&lt;=N1225,"P0 시각 역전",IF(OR(H1225&lt;N1225,H1225&gt;P1225),"측정시각 구간 밖","OK")))))</f>
        <v/>
      </c>
      <c r="N1225" s="45">
        <f>IF(COUNTIFS($C:$C,$C1225,$D:$D,"P0(전)",$L:$L,"&gt;0")&lt;&gt;1,"",SUMIFS($H:$H,$C:$C,$C1225,$D:$D,"P0(전)"))</f>
        <v/>
      </c>
      <c r="O1225" s="30">
        <f>IF(COUNTIFS($C:$C,$C1225,$D:$D,"P0(전)",$L:$L,"&gt;0")&lt;&gt;1,"",SUMIFS($L:$L,$C:$C,$C1225,$D:$D,"P0(전)"))</f>
        <v/>
      </c>
      <c r="P1225" s="45">
        <f>IF(COUNTIFS($C:$C,$C1225,$D:$D,"P0(후)",$L:$L,"&gt;0")&lt;&gt;1,"",SUMIFS($H:$H,$C:$C,$C1225,$D:$D,"P0(후)"))</f>
        <v/>
      </c>
      <c r="Q1225" s="30">
        <f>IF(COUNTIFS($C:$C,$C1225,$D:$D,"P0(후)",$L:$L,"&gt;0")&lt;&gt;1,"",SUMIFS($L:$L,$C:$C,$C1225,$D:$D,"P0(후)"))</f>
        <v/>
      </c>
      <c r="R1225" s="30">
        <f>IF(M1225&lt;&gt;"OK","",O1225+(Q1225-O1225)*(H1225-N1225)/(P1225-N1225))</f>
        <v/>
      </c>
      <c r="S1225" s="30">
        <f>IF(OR(M1225&lt;&gt;"OK",NOT(ISNUMBER(L1225))),"",L1225-R1225)</f>
        <v/>
      </c>
      <c r="T1225" s="46">
        <f>IF(OR(NOT(ISNUMBER(S1225)),IF(ISNUMBER(G1225),G1225,F1225)=0),"",S1225/IF(ISNUMBER(G1225),G1225,F1225))</f>
        <v/>
      </c>
      <c r="U1225" s="46">
        <f>IF(ISNUMBER(T1225),ABS(T1225),"")</f>
        <v/>
      </c>
      <c r="V1225" s="46">
        <f>IF(OR($D1224&lt;&gt;"측정",$C1224&lt;&gt;$C1225,NOT(ISNUMBER(L1225)),NOT(ISNUMBER(L1224)),(IF(ISNUMBER(G1225),G1225,F1225)-IF(ISNUMBER(G1224),G1224,F1224))=0),"",(L1225-L1224)/(IF(ISNUMBER(G1225),G1225,F1225)-IF(ISNUMBER(G1224),G1224,F1224)))</f>
        <v/>
      </c>
      <c r="W1225" s="30">
        <f>IF(NOT(AND(ISNUMBER(N1225),ISNUMBER(P1225))),"",(P1225-N1225)*1440)</f>
        <v/>
      </c>
      <c r="X1225" s="28" t="n"/>
      <c r="Y1225" s="28" t="n"/>
      <c r="Z1225" s="28" t="n"/>
      <c r="AA1225" s="31" t="n"/>
      <c r="AB1225" s="31" t="n"/>
    </row>
    <row r="1226">
      <c r="A1226" s="43" t="inlineStr">
        <is>
          <t>S24</t>
        </is>
      </c>
      <c r="B1226" s="43" t="inlineStr">
        <is>
          <t>회천 신규점2</t>
        </is>
      </c>
      <c r="C1226" s="43" t="inlineStr">
        <is>
          <t>S24-H서</t>
        </is>
      </c>
      <c r="D1226" s="43" t="inlineStr">
        <is>
          <t>P0(후)</t>
        </is>
      </c>
      <c r="E1226" s="43" t="inlineStr">
        <is>
          <t>서</t>
        </is>
      </c>
      <c r="F1226" s="44" t="n"/>
      <c r="G1226" s="29" t="n"/>
      <c r="H1226" s="42" t="n"/>
      <c r="I1226" s="40" t="n"/>
      <c r="J1226" s="40" t="n"/>
      <c r="K1226" s="40" t="n"/>
      <c r="L1226" s="30">
        <f>IF(COUNT(I1226:K1226)=0,"",MEDIAN(I1226:K1226))</f>
        <v/>
      </c>
      <c r="M1226" s="37" t="n"/>
      <c r="N1226" s="37" t="n"/>
      <c r="O1226" s="37" t="n"/>
      <c r="P1226" s="37" t="n"/>
      <c r="Q1226" s="37" t="n"/>
      <c r="R1226" s="37" t="n"/>
      <c r="S1226" s="37" t="n"/>
      <c r="T1226" s="37" t="n"/>
      <c r="U1226" s="37" t="n"/>
      <c r="V1226" s="37" t="n"/>
      <c r="W1226" s="37" t="n"/>
      <c r="X1226" s="28" t="n"/>
      <c r="Y1226" s="28" t="n"/>
      <c r="Z1226" s="28" t="n"/>
      <c r="AA1226" s="31" t="n"/>
      <c r="AB1226" s="31" t="n"/>
    </row>
    <row r="1227">
      <c r="A1227" s="43" t="inlineStr">
        <is>
          <t>S24</t>
        </is>
      </c>
      <c r="B1227" s="43" t="inlineStr">
        <is>
          <t>회천 신규점2</t>
        </is>
      </c>
      <c r="C1227" s="43" t="inlineStr">
        <is>
          <t>S24-H남</t>
        </is>
      </c>
      <c r="D1227" s="43" t="inlineStr">
        <is>
          <t>P0(전)</t>
        </is>
      </c>
      <c r="E1227" s="43" t="inlineStr">
        <is>
          <t>남</t>
        </is>
      </c>
      <c r="F1227" s="44" t="n"/>
      <c r="G1227" s="29" t="n"/>
      <c r="H1227" s="42" t="n"/>
      <c r="I1227" s="40" t="n"/>
      <c r="J1227" s="40" t="n"/>
      <c r="K1227" s="40" t="n"/>
      <c r="L1227" s="30">
        <f>IF(COUNT(I1227:K1227)=0,"",MEDIAN(I1227:K1227))</f>
        <v/>
      </c>
      <c r="M1227" s="37" t="n"/>
      <c r="N1227" s="37" t="n"/>
      <c r="O1227" s="37" t="n"/>
      <c r="P1227" s="37" t="n"/>
      <c r="Q1227" s="37" t="n"/>
      <c r="R1227" s="37" t="n"/>
      <c r="S1227" s="37" t="n"/>
      <c r="T1227" s="37" t="n"/>
      <c r="U1227" s="37" t="n"/>
      <c r="V1227" s="37" t="n"/>
      <c r="W1227" s="37" t="n"/>
      <c r="X1227" s="28" t="n"/>
      <c r="Y1227" s="28" t="n"/>
      <c r="Z1227" s="28" t="n"/>
      <c r="AA1227" s="31" t="n"/>
      <c r="AB1227" s="31" t="n"/>
    </row>
    <row r="1228">
      <c r="A1228" s="25" t="inlineStr">
        <is>
          <t>S24</t>
        </is>
      </c>
      <c r="B1228" s="25" t="inlineStr">
        <is>
          <t>회천 신규점2</t>
        </is>
      </c>
      <c r="C1228" s="25" t="inlineStr">
        <is>
          <t>S24-H남</t>
        </is>
      </c>
      <c r="D1228" s="25" t="inlineStr">
        <is>
          <t>측정</t>
        </is>
      </c>
      <c r="E1228" s="25" t="inlineStr">
        <is>
          <t>남</t>
        </is>
      </c>
      <c r="F1228" s="30" t="n">
        <v>0.5</v>
      </c>
      <c r="G1228" s="29" t="n"/>
      <c r="H1228" s="42" t="n"/>
      <c r="I1228" s="40" t="n"/>
      <c r="J1228" s="40" t="n"/>
      <c r="K1228" s="40" t="n"/>
      <c r="L1228" s="30">
        <f>IF(COUNT(I1228:K1228)=0,"",MEDIAN(I1228:K1228))</f>
        <v/>
      </c>
      <c r="M1228" s="25">
        <f>IF(COUNTIFS($C:$C,$C1228,$D:$D,"P0(전)",$L:$L,"&gt;0")&lt;&gt;1,"P0(전) 유효 1개 아님",IF(COUNTIFS($C:$C,$C1228,$D:$D,"P0(후)",$L:$L,"&gt;0")&lt;&gt;1,"P0(후) 유효 1개 아님",IF(NOT(AND(ISNUMBER(N1228),ISNUMBER(P1228),ISNUMBER(H1228))),"시각 결측",IF(P1228&lt;=N1228,"P0 시각 역전",IF(OR(H1228&lt;N1228,H1228&gt;P1228),"측정시각 구간 밖","OK")))))</f>
        <v/>
      </c>
      <c r="N1228" s="45">
        <f>IF(COUNTIFS($C:$C,$C1228,$D:$D,"P0(전)",$L:$L,"&gt;0")&lt;&gt;1,"",SUMIFS($H:$H,$C:$C,$C1228,$D:$D,"P0(전)"))</f>
        <v/>
      </c>
      <c r="O1228" s="30">
        <f>IF(COUNTIFS($C:$C,$C1228,$D:$D,"P0(전)",$L:$L,"&gt;0")&lt;&gt;1,"",SUMIFS($L:$L,$C:$C,$C1228,$D:$D,"P0(전)"))</f>
        <v/>
      </c>
      <c r="P1228" s="45">
        <f>IF(COUNTIFS($C:$C,$C1228,$D:$D,"P0(후)",$L:$L,"&gt;0")&lt;&gt;1,"",SUMIFS($H:$H,$C:$C,$C1228,$D:$D,"P0(후)"))</f>
        <v/>
      </c>
      <c r="Q1228" s="30">
        <f>IF(COUNTIFS($C:$C,$C1228,$D:$D,"P0(후)",$L:$L,"&gt;0")&lt;&gt;1,"",SUMIFS($L:$L,$C:$C,$C1228,$D:$D,"P0(후)"))</f>
        <v/>
      </c>
      <c r="R1228" s="30">
        <f>IF(M1228&lt;&gt;"OK","",O1228+(Q1228-O1228)*(H1228-N1228)/(P1228-N1228))</f>
        <v/>
      </c>
      <c r="S1228" s="30">
        <f>IF(OR(M1228&lt;&gt;"OK",NOT(ISNUMBER(L1228))),"",L1228-R1228)</f>
        <v/>
      </c>
      <c r="T1228" s="46">
        <f>IF(OR(NOT(ISNUMBER(S1228)),IF(ISNUMBER(G1228),G1228,F1228)=0),"",S1228/IF(ISNUMBER(G1228),G1228,F1228))</f>
        <v/>
      </c>
      <c r="U1228" s="46">
        <f>IF(ISNUMBER(T1228),ABS(T1228),"")</f>
        <v/>
      </c>
      <c r="V1228" s="46">
        <f>IF(OR($D1227&lt;&gt;"측정",$C1227&lt;&gt;$C1228,NOT(ISNUMBER(L1228)),NOT(ISNUMBER(L1227)),(IF(ISNUMBER(G1228),G1228,F1228)-IF(ISNUMBER(G1227),G1227,F1227))=0),"",(L1228-L1227)/(IF(ISNUMBER(G1228),G1228,F1228)-IF(ISNUMBER(G1227),G1227,F1227)))</f>
        <v/>
      </c>
      <c r="W1228" s="30">
        <f>IF(NOT(AND(ISNUMBER(N1228),ISNUMBER(P1228))),"",(P1228-N1228)*1440)</f>
        <v/>
      </c>
      <c r="X1228" s="28" t="n"/>
      <c r="Y1228" s="28" t="n"/>
      <c r="Z1228" s="28" t="n"/>
      <c r="AA1228" s="31" t="n"/>
      <c r="AB1228" s="31" t="n"/>
    </row>
    <row r="1229">
      <c r="A1229" s="25" t="inlineStr">
        <is>
          <t>S24</t>
        </is>
      </c>
      <c r="B1229" s="25" t="inlineStr">
        <is>
          <t>회천 신규점2</t>
        </is>
      </c>
      <c r="C1229" s="25" t="inlineStr">
        <is>
          <t>S24-H남</t>
        </is>
      </c>
      <c r="D1229" s="25" t="inlineStr">
        <is>
          <t>측정</t>
        </is>
      </c>
      <c r="E1229" s="25" t="inlineStr">
        <is>
          <t>남</t>
        </is>
      </c>
      <c r="F1229" s="30" t="n">
        <v>1</v>
      </c>
      <c r="G1229" s="29" t="n"/>
      <c r="H1229" s="42" t="n"/>
      <c r="I1229" s="40" t="n"/>
      <c r="J1229" s="40" t="n"/>
      <c r="K1229" s="40" t="n"/>
      <c r="L1229" s="30">
        <f>IF(COUNT(I1229:K1229)=0,"",MEDIAN(I1229:K1229))</f>
        <v/>
      </c>
      <c r="M1229" s="25">
        <f>IF(COUNTIFS($C:$C,$C1229,$D:$D,"P0(전)",$L:$L,"&gt;0")&lt;&gt;1,"P0(전) 유효 1개 아님",IF(COUNTIFS($C:$C,$C1229,$D:$D,"P0(후)",$L:$L,"&gt;0")&lt;&gt;1,"P0(후) 유효 1개 아님",IF(NOT(AND(ISNUMBER(N1229),ISNUMBER(P1229),ISNUMBER(H1229))),"시각 결측",IF(P1229&lt;=N1229,"P0 시각 역전",IF(OR(H1229&lt;N1229,H1229&gt;P1229),"측정시각 구간 밖","OK")))))</f>
        <v/>
      </c>
      <c r="N1229" s="45">
        <f>IF(COUNTIFS($C:$C,$C1229,$D:$D,"P0(전)",$L:$L,"&gt;0")&lt;&gt;1,"",SUMIFS($H:$H,$C:$C,$C1229,$D:$D,"P0(전)"))</f>
        <v/>
      </c>
      <c r="O1229" s="30">
        <f>IF(COUNTIFS($C:$C,$C1229,$D:$D,"P0(전)",$L:$L,"&gt;0")&lt;&gt;1,"",SUMIFS($L:$L,$C:$C,$C1229,$D:$D,"P0(전)"))</f>
        <v/>
      </c>
      <c r="P1229" s="45">
        <f>IF(COUNTIFS($C:$C,$C1229,$D:$D,"P0(후)",$L:$L,"&gt;0")&lt;&gt;1,"",SUMIFS($H:$H,$C:$C,$C1229,$D:$D,"P0(후)"))</f>
        <v/>
      </c>
      <c r="Q1229" s="30">
        <f>IF(COUNTIFS($C:$C,$C1229,$D:$D,"P0(후)",$L:$L,"&gt;0")&lt;&gt;1,"",SUMIFS($L:$L,$C:$C,$C1229,$D:$D,"P0(후)"))</f>
        <v/>
      </c>
      <c r="R1229" s="30">
        <f>IF(M1229&lt;&gt;"OK","",O1229+(Q1229-O1229)*(H1229-N1229)/(P1229-N1229))</f>
        <v/>
      </c>
      <c r="S1229" s="30">
        <f>IF(OR(M1229&lt;&gt;"OK",NOT(ISNUMBER(L1229))),"",L1229-R1229)</f>
        <v/>
      </c>
      <c r="T1229" s="46">
        <f>IF(OR(NOT(ISNUMBER(S1229)),IF(ISNUMBER(G1229),G1229,F1229)=0),"",S1229/IF(ISNUMBER(G1229),G1229,F1229))</f>
        <v/>
      </c>
      <c r="U1229" s="46">
        <f>IF(ISNUMBER(T1229),ABS(T1229),"")</f>
        <v/>
      </c>
      <c r="V1229" s="46">
        <f>IF(OR($D1228&lt;&gt;"측정",$C1228&lt;&gt;$C1229,NOT(ISNUMBER(L1229)),NOT(ISNUMBER(L1228)),(IF(ISNUMBER(G1229),G1229,F1229)-IF(ISNUMBER(G1228),G1228,F1228))=0),"",(L1229-L1228)/(IF(ISNUMBER(G1229),G1229,F1229)-IF(ISNUMBER(G1228),G1228,F1228)))</f>
        <v/>
      </c>
      <c r="W1229" s="30">
        <f>IF(NOT(AND(ISNUMBER(N1229),ISNUMBER(P1229))),"",(P1229-N1229)*1440)</f>
        <v/>
      </c>
      <c r="X1229" s="28" t="n"/>
      <c r="Y1229" s="28" t="n"/>
      <c r="Z1229" s="28" t="n"/>
      <c r="AA1229" s="31" t="n"/>
      <c r="AB1229" s="31" t="n"/>
    </row>
    <row r="1230">
      <c r="A1230" s="25" t="inlineStr">
        <is>
          <t>S24</t>
        </is>
      </c>
      <c r="B1230" s="25" t="inlineStr">
        <is>
          <t>회천 신규점2</t>
        </is>
      </c>
      <c r="C1230" s="25" t="inlineStr">
        <is>
          <t>S24-H남</t>
        </is>
      </c>
      <c r="D1230" s="25" t="inlineStr">
        <is>
          <t>측정</t>
        </is>
      </c>
      <c r="E1230" s="25" t="inlineStr">
        <is>
          <t>남</t>
        </is>
      </c>
      <c r="F1230" s="30" t="n">
        <v>2</v>
      </c>
      <c r="G1230" s="29" t="n"/>
      <c r="H1230" s="42" t="n"/>
      <c r="I1230" s="40" t="n"/>
      <c r="J1230" s="40" t="n"/>
      <c r="K1230" s="40" t="n"/>
      <c r="L1230" s="30">
        <f>IF(COUNT(I1230:K1230)=0,"",MEDIAN(I1230:K1230))</f>
        <v/>
      </c>
      <c r="M1230" s="25">
        <f>IF(COUNTIFS($C:$C,$C1230,$D:$D,"P0(전)",$L:$L,"&gt;0")&lt;&gt;1,"P0(전) 유효 1개 아님",IF(COUNTIFS($C:$C,$C1230,$D:$D,"P0(후)",$L:$L,"&gt;0")&lt;&gt;1,"P0(후) 유효 1개 아님",IF(NOT(AND(ISNUMBER(N1230),ISNUMBER(P1230),ISNUMBER(H1230))),"시각 결측",IF(P1230&lt;=N1230,"P0 시각 역전",IF(OR(H1230&lt;N1230,H1230&gt;P1230),"측정시각 구간 밖","OK")))))</f>
        <v/>
      </c>
      <c r="N1230" s="45">
        <f>IF(COUNTIFS($C:$C,$C1230,$D:$D,"P0(전)",$L:$L,"&gt;0")&lt;&gt;1,"",SUMIFS($H:$H,$C:$C,$C1230,$D:$D,"P0(전)"))</f>
        <v/>
      </c>
      <c r="O1230" s="30">
        <f>IF(COUNTIFS($C:$C,$C1230,$D:$D,"P0(전)",$L:$L,"&gt;0")&lt;&gt;1,"",SUMIFS($L:$L,$C:$C,$C1230,$D:$D,"P0(전)"))</f>
        <v/>
      </c>
      <c r="P1230" s="45">
        <f>IF(COUNTIFS($C:$C,$C1230,$D:$D,"P0(후)",$L:$L,"&gt;0")&lt;&gt;1,"",SUMIFS($H:$H,$C:$C,$C1230,$D:$D,"P0(후)"))</f>
        <v/>
      </c>
      <c r="Q1230" s="30">
        <f>IF(COUNTIFS($C:$C,$C1230,$D:$D,"P0(후)",$L:$L,"&gt;0")&lt;&gt;1,"",SUMIFS($L:$L,$C:$C,$C1230,$D:$D,"P0(후)"))</f>
        <v/>
      </c>
      <c r="R1230" s="30">
        <f>IF(M1230&lt;&gt;"OK","",O1230+(Q1230-O1230)*(H1230-N1230)/(P1230-N1230))</f>
        <v/>
      </c>
      <c r="S1230" s="30">
        <f>IF(OR(M1230&lt;&gt;"OK",NOT(ISNUMBER(L1230))),"",L1230-R1230)</f>
        <v/>
      </c>
      <c r="T1230" s="46">
        <f>IF(OR(NOT(ISNUMBER(S1230)),IF(ISNUMBER(G1230),G1230,F1230)=0),"",S1230/IF(ISNUMBER(G1230),G1230,F1230))</f>
        <v/>
      </c>
      <c r="U1230" s="46">
        <f>IF(ISNUMBER(T1230),ABS(T1230),"")</f>
        <v/>
      </c>
      <c r="V1230" s="46">
        <f>IF(OR($D1229&lt;&gt;"측정",$C1229&lt;&gt;$C1230,NOT(ISNUMBER(L1230)),NOT(ISNUMBER(L1229)),(IF(ISNUMBER(G1230),G1230,F1230)-IF(ISNUMBER(G1229),G1229,F1229))=0),"",(L1230-L1229)/(IF(ISNUMBER(G1230),G1230,F1230)-IF(ISNUMBER(G1229),G1229,F1229)))</f>
        <v/>
      </c>
      <c r="W1230" s="30">
        <f>IF(NOT(AND(ISNUMBER(N1230),ISNUMBER(P1230))),"",(P1230-N1230)*1440)</f>
        <v/>
      </c>
      <c r="X1230" s="28" t="n"/>
      <c r="Y1230" s="28" t="n"/>
      <c r="Z1230" s="28" t="n"/>
      <c r="AA1230" s="31" t="n"/>
      <c r="AB1230" s="31" t="n"/>
    </row>
    <row r="1231">
      <c r="A1231" s="25" t="inlineStr">
        <is>
          <t>S24</t>
        </is>
      </c>
      <c r="B1231" s="25" t="inlineStr">
        <is>
          <t>회천 신규점2</t>
        </is>
      </c>
      <c r="C1231" s="25" t="inlineStr">
        <is>
          <t>S24-H남</t>
        </is>
      </c>
      <c r="D1231" s="25" t="inlineStr">
        <is>
          <t>측정</t>
        </is>
      </c>
      <c r="E1231" s="25" t="inlineStr">
        <is>
          <t>남</t>
        </is>
      </c>
      <c r="F1231" s="30" t="n">
        <v>3</v>
      </c>
      <c r="G1231" s="29" t="n"/>
      <c r="H1231" s="42" t="n"/>
      <c r="I1231" s="40" t="n"/>
      <c r="J1231" s="40" t="n"/>
      <c r="K1231" s="40" t="n"/>
      <c r="L1231" s="30">
        <f>IF(COUNT(I1231:K1231)=0,"",MEDIAN(I1231:K1231))</f>
        <v/>
      </c>
      <c r="M1231" s="25">
        <f>IF(COUNTIFS($C:$C,$C1231,$D:$D,"P0(전)",$L:$L,"&gt;0")&lt;&gt;1,"P0(전) 유효 1개 아님",IF(COUNTIFS($C:$C,$C1231,$D:$D,"P0(후)",$L:$L,"&gt;0")&lt;&gt;1,"P0(후) 유효 1개 아님",IF(NOT(AND(ISNUMBER(N1231),ISNUMBER(P1231),ISNUMBER(H1231))),"시각 결측",IF(P1231&lt;=N1231,"P0 시각 역전",IF(OR(H1231&lt;N1231,H1231&gt;P1231),"측정시각 구간 밖","OK")))))</f>
        <v/>
      </c>
      <c r="N1231" s="45">
        <f>IF(COUNTIFS($C:$C,$C1231,$D:$D,"P0(전)",$L:$L,"&gt;0")&lt;&gt;1,"",SUMIFS($H:$H,$C:$C,$C1231,$D:$D,"P0(전)"))</f>
        <v/>
      </c>
      <c r="O1231" s="30">
        <f>IF(COUNTIFS($C:$C,$C1231,$D:$D,"P0(전)",$L:$L,"&gt;0")&lt;&gt;1,"",SUMIFS($L:$L,$C:$C,$C1231,$D:$D,"P0(전)"))</f>
        <v/>
      </c>
      <c r="P1231" s="45">
        <f>IF(COUNTIFS($C:$C,$C1231,$D:$D,"P0(후)",$L:$L,"&gt;0")&lt;&gt;1,"",SUMIFS($H:$H,$C:$C,$C1231,$D:$D,"P0(후)"))</f>
        <v/>
      </c>
      <c r="Q1231" s="30">
        <f>IF(COUNTIFS($C:$C,$C1231,$D:$D,"P0(후)",$L:$L,"&gt;0")&lt;&gt;1,"",SUMIFS($L:$L,$C:$C,$C1231,$D:$D,"P0(후)"))</f>
        <v/>
      </c>
      <c r="R1231" s="30">
        <f>IF(M1231&lt;&gt;"OK","",O1231+(Q1231-O1231)*(H1231-N1231)/(P1231-N1231))</f>
        <v/>
      </c>
      <c r="S1231" s="30">
        <f>IF(OR(M1231&lt;&gt;"OK",NOT(ISNUMBER(L1231))),"",L1231-R1231)</f>
        <v/>
      </c>
      <c r="T1231" s="46">
        <f>IF(OR(NOT(ISNUMBER(S1231)),IF(ISNUMBER(G1231),G1231,F1231)=0),"",S1231/IF(ISNUMBER(G1231),G1231,F1231))</f>
        <v/>
      </c>
      <c r="U1231" s="46">
        <f>IF(ISNUMBER(T1231),ABS(T1231),"")</f>
        <v/>
      </c>
      <c r="V1231" s="46">
        <f>IF(OR($D1230&lt;&gt;"측정",$C1230&lt;&gt;$C1231,NOT(ISNUMBER(L1231)),NOT(ISNUMBER(L1230)),(IF(ISNUMBER(G1231),G1231,F1231)-IF(ISNUMBER(G1230),G1230,F1230))=0),"",(L1231-L1230)/(IF(ISNUMBER(G1231),G1231,F1231)-IF(ISNUMBER(G1230),G1230,F1230)))</f>
        <v/>
      </c>
      <c r="W1231" s="30">
        <f>IF(NOT(AND(ISNUMBER(N1231),ISNUMBER(P1231))),"",(P1231-N1231)*1440)</f>
        <v/>
      </c>
      <c r="X1231" s="28" t="n"/>
      <c r="Y1231" s="28" t="n"/>
      <c r="Z1231" s="28" t="n"/>
      <c r="AA1231" s="31" t="n"/>
      <c r="AB1231" s="31" t="n"/>
    </row>
    <row r="1232">
      <c r="A1232" s="25" t="inlineStr">
        <is>
          <t>S24</t>
        </is>
      </c>
      <c r="B1232" s="25" t="inlineStr">
        <is>
          <t>회천 신규점2</t>
        </is>
      </c>
      <c r="C1232" s="25" t="inlineStr">
        <is>
          <t>S24-H남</t>
        </is>
      </c>
      <c r="D1232" s="25" t="inlineStr">
        <is>
          <t>측정</t>
        </is>
      </c>
      <c r="E1232" s="25" t="inlineStr">
        <is>
          <t>남</t>
        </is>
      </c>
      <c r="F1232" s="30" t="n">
        <v>4</v>
      </c>
      <c r="G1232" s="29" t="n"/>
      <c r="H1232" s="42" t="n"/>
      <c r="I1232" s="40" t="n"/>
      <c r="J1232" s="40" t="n"/>
      <c r="K1232" s="40" t="n"/>
      <c r="L1232" s="30">
        <f>IF(COUNT(I1232:K1232)=0,"",MEDIAN(I1232:K1232))</f>
        <v/>
      </c>
      <c r="M1232" s="25">
        <f>IF(COUNTIFS($C:$C,$C1232,$D:$D,"P0(전)",$L:$L,"&gt;0")&lt;&gt;1,"P0(전) 유효 1개 아님",IF(COUNTIFS($C:$C,$C1232,$D:$D,"P0(후)",$L:$L,"&gt;0")&lt;&gt;1,"P0(후) 유효 1개 아님",IF(NOT(AND(ISNUMBER(N1232),ISNUMBER(P1232),ISNUMBER(H1232))),"시각 결측",IF(P1232&lt;=N1232,"P0 시각 역전",IF(OR(H1232&lt;N1232,H1232&gt;P1232),"측정시각 구간 밖","OK")))))</f>
        <v/>
      </c>
      <c r="N1232" s="45">
        <f>IF(COUNTIFS($C:$C,$C1232,$D:$D,"P0(전)",$L:$L,"&gt;0")&lt;&gt;1,"",SUMIFS($H:$H,$C:$C,$C1232,$D:$D,"P0(전)"))</f>
        <v/>
      </c>
      <c r="O1232" s="30">
        <f>IF(COUNTIFS($C:$C,$C1232,$D:$D,"P0(전)",$L:$L,"&gt;0")&lt;&gt;1,"",SUMIFS($L:$L,$C:$C,$C1232,$D:$D,"P0(전)"))</f>
        <v/>
      </c>
      <c r="P1232" s="45">
        <f>IF(COUNTIFS($C:$C,$C1232,$D:$D,"P0(후)",$L:$L,"&gt;0")&lt;&gt;1,"",SUMIFS($H:$H,$C:$C,$C1232,$D:$D,"P0(후)"))</f>
        <v/>
      </c>
      <c r="Q1232" s="30">
        <f>IF(COUNTIFS($C:$C,$C1232,$D:$D,"P0(후)",$L:$L,"&gt;0")&lt;&gt;1,"",SUMIFS($L:$L,$C:$C,$C1232,$D:$D,"P0(후)"))</f>
        <v/>
      </c>
      <c r="R1232" s="30">
        <f>IF(M1232&lt;&gt;"OK","",O1232+(Q1232-O1232)*(H1232-N1232)/(P1232-N1232))</f>
        <v/>
      </c>
      <c r="S1232" s="30">
        <f>IF(OR(M1232&lt;&gt;"OK",NOT(ISNUMBER(L1232))),"",L1232-R1232)</f>
        <v/>
      </c>
      <c r="T1232" s="46">
        <f>IF(OR(NOT(ISNUMBER(S1232)),IF(ISNUMBER(G1232),G1232,F1232)=0),"",S1232/IF(ISNUMBER(G1232),G1232,F1232))</f>
        <v/>
      </c>
      <c r="U1232" s="46">
        <f>IF(ISNUMBER(T1232),ABS(T1232),"")</f>
        <v/>
      </c>
      <c r="V1232" s="46">
        <f>IF(OR($D1231&lt;&gt;"측정",$C1231&lt;&gt;$C1232,NOT(ISNUMBER(L1232)),NOT(ISNUMBER(L1231)),(IF(ISNUMBER(G1232),G1232,F1232)-IF(ISNUMBER(G1231),G1231,F1231))=0),"",(L1232-L1231)/(IF(ISNUMBER(G1232),G1232,F1232)-IF(ISNUMBER(G1231),G1231,F1231)))</f>
        <v/>
      </c>
      <c r="W1232" s="30">
        <f>IF(NOT(AND(ISNUMBER(N1232),ISNUMBER(P1232))),"",(P1232-N1232)*1440)</f>
        <v/>
      </c>
      <c r="X1232" s="28" t="n"/>
      <c r="Y1232" s="28" t="n"/>
      <c r="Z1232" s="28" t="n"/>
      <c r="AA1232" s="31" t="n"/>
      <c r="AB1232" s="31" t="n"/>
    </row>
    <row r="1233">
      <c r="A1233" s="25" t="inlineStr">
        <is>
          <t>S24</t>
        </is>
      </c>
      <c r="B1233" s="25" t="inlineStr">
        <is>
          <t>회천 신규점2</t>
        </is>
      </c>
      <c r="C1233" s="25" t="inlineStr">
        <is>
          <t>S24-H남</t>
        </is>
      </c>
      <c r="D1233" s="25" t="inlineStr">
        <is>
          <t>측정</t>
        </is>
      </c>
      <c r="E1233" s="25" t="inlineStr">
        <is>
          <t>남</t>
        </is>
      </c>
      <c r="F1233" s="30" t="n">
        <v>5</v>
      </c>
      <c r="G1233" s="29" t="n"/>
      <c r="H1233" s="42" t="n"/>
      <c r="I1233" s="40" t="n"/>
      <c r="J1233" s="40" t="n"/>
      <c r="K1233" s="40" t="n"/>
      <c r="L1233" s="30">
        <f>IF(COUNT(I1233:K1233)=0,"",MEDIAN(I1233:K1233))</f>
        <v/>
      </c>
      <c r="M1233" s="25">
        <f>IF(COUNTIFS($C:$C,$C1233,$D:$D,"P0(전)",$L:$L,"&gt;0")&lt;&gt;1,"P0(전) 유효 1개 아님",IF(COUNTIFS($C:$C,$C1233,$D:$D,"P0(후)",$L:$L,"&gt;0")&lt;&gt;1,"P0(후) 유효 1개 아님",IF(NOT(AND(ISNUMBER(N1233),ISNUMBER(P1233),ISNUMBER(H1233))),"시각 결측",IF(P1233&lt;=N1233,"P0 시각 역전",IF(OR(H1233&lt;N1233,H1233&gt;P1233),"측정시각 구간 밖","OK")))))</f>
        <v/>
      </c>
      <c r="N1233" s="45">
        <f>IF(COUNTIFS($C:$C,$C1233,$D:$D,"P0(전)",$L:$L,"&gt;0")&lt;&gt;1,"",SUMIFS($H:$H,$C:$C,$C1233,$D:$D,"P0(전)"))</f>
        <v/>
      </c>
      <c r="O1233" s="30">
        <f>IF(COUNTIFS($C:$C,$C1233,$D:$D,"P0(전)",$L:$L,"&gt;0")&lt;&gt;1,"",SUMIFS($L:$L,$C:$C,$C1233,$D:$D,"P0(전)"))</f>
        <v/>
      </c>
      <c r="P1233" s="45">
        <f>IF(COUNTIFS($C:$C,$C1233,$D:$D,"P0(후)",$L:$L,"&gt;0")&lt;&gt;1,"",SUMIFS($H:$H,$C:$C,$C1233,$D:$D,"P0(후)"))</f>
        <v/>
      </c>
      <c r="Q1233" s="30">
        <f>IF(COUNTIFS($C:$C,$C1233,$D:$D,"P0(후)",$L:$L,"&gt;0")&lt;&gt;1,"",SUMIFS($L:$L,$C:$C,$C1233,$D:$D,"P0(후)"))</f>
        <v/>
      </c>
      <c r="R1233" s="30">
        <f>IF(M1233&lt;&gt;"OK","",O1233+(Q1233-O1233)*(H1233-N1233)/(P1233-N1233))</f>
        <v/>
      </c>
      <c r="S1233" s="30">
        <f>IF(OR(M1233&lt;&gt;"OK",NOT(ISNUMBER(L1233))),"",L1233-R1233)</f>
        <v/>
      </c>
      <c r="T1233" s="46">
        <f>IF(OR(NOT(ISNUMBER(S1233)),IF(ISNUMBER(G1233),G1233,F1233)=0),"",S1233/IF(ISNUMBER(G1233),G1233,F1233))</f>
        <v/>
      </c>
      <c r="U1233" s="46">
        <f>IF(ISNUMBER(T1233),ABS(T1233),"")</f>
        <v/>
      </c>
      <c r="V1233" s="46">
        <f>IF(OR($D1232&lt;&gt;"측정",$C1232&lt;&gt;$C1233,NOT(ISNUMBER(L1233)),NOT(ISNUMBER(L1232)),(IF(ISNUMBER(G1233),G1233,F1233)-IF(ISNUMBER(G1232),G1232,F1232))=0),"",(L1233-L1232)/(IF(ISNUMBER(G1233),G1233,F1233)-IF(ISNUMBER(G1232),G1232,F1232)))</f>
        <v/>
      </c>
      <c r="W1233" s="30">
        <f>IF(NOT(AND(ISNUMBER(N1233),ISNUMBER(P1233))),"",(P1233-N1233)*1440)</f>
        <v/>
      </c>
      <c r="X1233" s="28" t="n"/>
      <c r="Y1233" s="28" t="n"/>
      <c r="Z1233" s="28" t="n"/>
      <c r="AA1233" s="31" t="n"/>
      <c r="AB1233" s="31" t="n"/>
    </row>
    <row r="1234">
      <c r="A1234" s="25" t="inlineStr">
        <is>
          <t>S24</t>
        </is>
      </c>
      <c r="B1234" s="25" t="inlineStr">
        <is>
          <t>회천 신규점2</t>
        </is>
      </c>
      <c r="C1234" s="25" t="inlineStr">
        <is>
          <t>S24-H남</t>
        </is>
      </c>
      <c r="D1234" s="25" t="inlineStr">
        <is>
          <t>측정</t>
        </is>
      </c>
      <c r="E1234" s="25" t="inlineStr">
        <is>
          <t>남</t>
        </is>
      </c>
      <c r="F1234" s="30" t="n">
        <v>6</v>
      </c>
      <c r="G1234" s="29" t="n"/>
      <c r="H1234" s="42" t="n"/>
      <c r="I1234" s="40" t="n"/>
      <c r="J1234" s="40" t="n"/>
      <c r="K1234" s="40" t="n"/>
      <c r="L1234" s="30">
        <f>IF(COUNT(I1234:K1234)=0,"",MEDIAN(I1234:K1234))</f>
        <v/>
      </c>
      <c r="M1234" s="25">
        <f>IF(COUNTIFS($C:$C,$C1234,$D:$D,"P0(전)",$L:$L,"&gt;0")&lt;&gt;1,"P0(전) 유효 1개 아님",IF(COUNTIFS($C:$C,$C1234,$D:$D,"P0(후)",$L:$L,"&gt;0")&lt;&gt;1,"P0(후) 유효 1개 아님",IF(NOT(AND(ISNUMBER(N1234),ISNUMBER(P1234),ISNUMBER(H1234))),"시각 결측",IF(P1234&lt;=N1234,"P0 시각 역전",IF(OR(H1234&lt;N1234,H1234&gt;P1234),"측정시각 구간 밖","OK")))))</f>
        <v/>
      </c>
      <c r="N1234" s="45">
        <f>IF(COUNTIFS($C:$C,$C1234,$D:$D,"P0(전)",$L:$L,"&gt;0")&lt;&gt;1,"",SUMIFS($H:$H,$C:$C,$C1234,$D:$D,"P0(전)"))</f>
        <v/>
      </c>
      <c r="O1234" s="30">
        <f>IF(COUNTIFS($C:$C,$C1234,$D:$D,"P0(전)",$L:$L,"&gt;0")&lt;&gt;1,"",SUMIFS($L:$L,$C:$C,$C1234,$D:$D,"P0(전)"))</f>
        <v/>
      </c>
      <c r="P1234" s="45">
        <f>IF(COUNTIFS($C:$C,$C1234,$D:$D,"P0(후)",$L:$L,"&gt;0")&lt;&gt;1,"",SUMIFS($H:$H,$C:$C,$C1234,$D:$D,"P0(후)"))</f>
        <v/>
      </c>
      <c r="Q1234" s="30">
        <f>IF(COUNTIFS($C:$C,$C1234,$D:$D,"P0(후)",$L:$L,"&gt;0")&lt;&gt;1,"",SUMIFS($L:$L,$C:$C,$C1234,$D:$D,"P0(후)"))</f>
        <v/>
      </c>
      <c r="R1234" s="30">
        <f>IF(M1234&lt;&gt;"OK","",O1234+(Q1234-O1234)*(H1234-N1234)/(P1234-N1234))</f>
        <v/>
      </c>
      <c r="S1234" s="30">
        <f>IF(OR(M1234&lt;&gt;"OK",NOT(ISNUMBER(L1234))),"",L1234-R1234)</f>
        <v/>
      </c>
      <c r="T1234" s="46">
        <f>IF(OR(NOT(ISNUMBER(S1234)),IF(ISNUMBER(G1234),G1234,F1234)=0),"",S1234/IF(ISNUMBER(G1234),G1234,F1234))</f>
        <v/>
      </c>
      <c r="U1234" s="46">
        <f>IF(ISNUMBER(T1234),ABS(T1234),"")</f>
        <v/>
      </c>
      <c r="V1234" s="46">
        <f>IF(OR($D1233&lt;&gt;"측정",$C1233&lt;&gt;$C1234,NOT(ISNUMBER(L1234)),NOT(ISNUMBER(L1233)),(IF(ISNUMBER(G1234),G1234,F1234)-IF(ISNUMBER(G1233),G1233,F1233))=0),"",(L1234-L1233)/(IF(ISNUMBER(G1234),G1234,F1234)-IF(ISNUMBER(G1233),G1233,F1233)))</f>
        <v/>
      </c>
      <c r="W1234" s="30">
        <f>IF(NOT(AND(ISNUMBER(N1234),ISNUMBER(P1234))),"",(P1234-N1234)*1440)</f>
        <v/>
      </c>
      <c r="X1234" s="28" t="n"/>
      <c r="Y1234" s="28" t="n"/>
      <c r="Z1234" s="28" t="n"/>
      <c r="AA1234" s="31" t="n"/>
      <c r="AB1234" s="31" t="n"/>
    </row>
    <row r="1235">
      <c r="A1235" s="25" t="inlineStr">
        <is>
          <t>S24</t>
        </is>
      </c>
      <c r="B1235" s="25" t="inlineStr">
        <is>
          <t>회천 신규점2</t>
        </is>
      </c>
      <c r="C1235" s="25" t="inlineStr">
        <is>
          <t>S24-H남</t>
        </is>
      </c>
      <c r="D1235" s="25" t="inlineStr">
        <is>
          <t>측정</t>
        </is>
      </c>
      <c r="E1235" s="25" t="inlineStr">
        <is>
          <t>남</t>
        </is>
      </c>
      <c r="F1235" s="30" t="n">
        <v>7</v>
      </c>
      <c r="G1235" s="29" t="n"/>
      <c r="H1235" s="42" t="n"/>
      <c r="I1235" s="40" t="n"/>
      <c r="J1235" s="40" t="n"/>
      <c r="K1235" s="40" t="n"/>
      <c r="L1235" s="30">
        <f>IF(COUNT(I1235:K1235)=0,"",MEDIAN(I1235:K1235))</f>
        <v/>
      </c>
      <c r="M1235" s="25">
        <f>IF(COUNTIFS($C:$C,$C1235,$D:$D,"P0(전)",$L:$L,"&gt;0")&lt;&gt;1,"P0(전) 유효 1개 아님",IF(COUNTIFS($C:$C,$C1235,$D:$D,"P0(후)",$L:$L,"&gt;0")&lt;&gt;1,"P0(후) 유효 1개 아님",IF(NOT(AND(ISNUMBER(N1235),ISNUMBER(P1235),ISNUMBER(H1235))),"시각 결측",IF(P1235&lt;=N1235,"P0 시각 역전",IF(OR(H1235&lt;N1235,H1235&gt;P1235),"측정시각 구간 밖","OK")))))</f>
        <v/>
      </c>
      <c r="N1235" s="45">
        <f>IF(COUNTIFS($C:$C,$C1235,$D:$D,"P0(전)",$L:$L,"&gt;0")&lt;&gt;1,"",SUMIFS($H:$H,$C:$C,$C1235,$D:$D,"P0(전)"))</f>
        <v/>
      </c>
      <c r="O1235" s="30">
        <f>IF(COUNTIFS($C:$C,$C1235,$D:$D,"P0(전)",$L:$L,"&gt;0")&lt;&gt;1,"",SUMIFS($L:$L,$C:$C,$C1235,$D:$D,"P0(전)"))</f>
        <v/>
      </c>
      <c r="P1235" s="45">
        <f>IF(COUNTIFS($C:$C,$C1235,$D:$D,"P0(후)",$L:$L,"&gt;0")&lt;&gt;1,"",SUMIFS($H:$H,$C:$C,$C1235,$D:$D,"P0(후)"))</f>
        <v/>
      </c>
      <c r="Q1235" s="30">
        <f>IF(COUNTIFS($C:$C,$C1235,$D:$D,"P0(후)",$L:$L,"&gt;0")&lt;&gt;1,"",SUMIFS($L:$L,$C:$C,$C1235,$D:$D,"P0(후)"))</f>
        <v/>
      </c>
      <c r="R1235" s="30">
        <f>IF(M1235&lt;&gt;"OK","",O1235+(Q1235-O1235)*(H1235-N1235)/(P1235-N1235))</f>
        <v/>
      </c>
      <c r="S1235" s="30">
        <f>IF(OR(M1235&lt;&gt;"OK",NOT(ISNUMBER(L1235))),"",L1235-R1235)</f>
        <v/>
      </c>
      <c r="T1235" s="46">
        <f>IF(OR(NOT(ISNUMBER(S1235)),IF(ISNUMBER(G1235),G1235,F1235)=0),"",S1235/IF(ISNUMBER(G1235),G1235,F1235))</f>
        <v/>
      </c>
      <c r="U1235" s="46">
        <f>IF(ISNUMBER(T1235),ABS(T1235),"")</f>
        <v/>
      </c>
      <c r="V1235" s="46">
        <f>IF(OR($D1234&lt;&gt;"측정",$C1234&lt;&gt;$C1235,NOT(ISNUMBER(L1235)),NOT(ISNUMBER(L1234)),(IF(ISNUMBER(G1235),G1235,F1235)-IF(ISNUMBER(G1234),G1234,F1234))=0),"",(L1235-L1234)/(IF(ISNUMBER(G1235),G1235,F1235)-IF(ISNUMBER(G1234),G1234,F1234)))</f>
        <v/>
      </c>
      <c r="W1235" s="30">
        <f>IF(NOT(AND(ISNUMBER(N1235),ISNUMBER(P1235))),"",(P1235-N1235)*1440)</f>
        <v/>
      </c>
      <c r="X1235" s="28" t="n"/>
      <c r="Y1235" s="28" t="n"/>
      <c r="Z1235" s="28" t="n"/>
      <c r="AA1235" s="31" t="n"/>
      <c r="AB1235" s="31" t="n"/>
    </row>
    <row r="1236">
      <c r="A1236" s="25" t="inlineStr">
        <is>
          <t>S24</t>
        </is>
      </c>
      <c r="B1236" s="25" t="inlineStr">
        <is>
          <t>회천 신규점2</t>
        </is>
      </c>
      <c r="C1236" s="25" t="inlineStr">
        <is>
          <t>S24-H남</t>
        </is>
      </c>
      <c r="D1236" s="25" t="inlineStr">
        <is>
          <t>측정</t>
        </is>
      </c>
      <c r="E1236" s="25" t="inlineStr">
        <is>
          <t>남</t>
        </is>
      </c>
      <c r="F1236" s="30" t="n">
        <v>8</v>
      </c>
      <c r="G1236" s="29" t="n"/>
      <c r="H1236" s="42" t="n"/>
      <c r="I1236" s="40" t="n"/>
      <c r="J1236" s="40" t="n"/>
      <c r="K1236" s="40" t="n"/>
      <c r="L1236" s="30">
        <f>IF(COUNT(I1236:K1236)=0,"",MEDIAN(I1236:K1236))</f>
        <v/>
      </c>
      <c r="M1236" s="25">
        <f>IF(COUNTIFS($C:$C,$C1236,$D:$D,"P0(전)",$L:$L,"&gt;0")&lt;&gt;1,"P0(전) 유효 1개 아님",IF(COUNTIFS($C:$C,$C1236,$D:$D,"P0(후)",$L:$L,"&gt;0")&lt;&gt;1,"P0(후) 유효 1개 아님",IF(NOT(AND(ISNUMBER(N1236),ISNUMBER(P1236),ISNUMBER(H1236))),"시각 결측",IF(P1236&lt;=N1236,"P0 시각 역전",IF(OR(H1236&lt;N1236,H1236&gt;P1236),"측정시각 구간 밖","OK")))))</f>
        <v/>
      </c>
      <c r="N1236" s="45">
        <f>IF(COUNTIFS($C:$C,$C1236,$D:$D,"P0(전)",$L:$L,"&gt;0")&lt;&gt;1,"",SUMIFS($H:$H,$C:$C,$C1236,$D:$D,"P0(전)"))</f>
        <v/>
      </c>
      <c r="O1236" s="30">
        <f>IF(COUNTIFS($C:$C,$C1236,$D:$D,"P0(전)",$L:$L,"&gt;0")&lt;&gt;1,"",SUMIFS($L:$L,$C:$C,$C1236,$D:$D,"P0(전)"))</f>
        <v/>
      </c>
      <c r="P1236" s="45">
        <f>IF(COUNTIFS($C:$C,$C1236,$D:$D,"P0(후)",$L:$L,"&gt;0")&lt;&gt;1,"",SUMIFS($H:$H,$C:$C,$C1236,$D:$D,"P0(후)"))</f>
        <v/>
      </c>
      <c r="Q1236" s="30">
        <f>IF(COUNTIFS($C:$C,$C1236,$D:$D,"P0(후)",$L:$L,"&gt;0")&lt;&gt;1,"",SUMIFS($L:$L,$C:$C,$C1236,$D:$D,"P0(후)"))</f>
        <v/>
      </c>
      <c r="R1236" s="30">
        <f>IF(M1236&lt;&gt;"OK","",O1236+(Q1236-O1236)*(H1236-N1236)/(P1236-N1236))</f>
        <v/>
      </c>
      <c r="S1236" s="30">
        <f>IF(OR(M1236&lt;&gt;"OK",NOT(ISNUMBER(L1236))),"",L1236-R1236)</f>
        <v/>
      </c>
      <c r="T1236" s="46">
        <f>IF(OR(NOT(ISNUMBER(S1236)),IF(ISNUMBER(G1236),G1236,F1236)=0),"",S1236/IF(ISNUMBER(G1236),G1236,F1236))</f>
        <v/>
      </c>
      <c r="U1236" s="46">
        <f>IF(ISNUMBER(T1236),ABS(T1236),"")</f>
        <v/>
      </c>
      <c r="V1236" s="46">
        <f>IF(OR($D1235&lt;&gt;"측정",$C1235&lt;&gt;$C1236,NOT(ISNUMBER(L1236)),NOT(ISNUMBER(L1235)),(IF(ISNUMBER(G1236),G1236,F1236)-IF(ISNUMBER(G1235),G1235,F1235))=0),"",(L1236-L1235)/(IF(ISNUMBER(G1236),G1236,F1236)-IF(ISNUMBER(G1235),G1235,F1235)))</f>
        <v/>
      </c>
      <c r="W1236" s="30">
        <f>IF(NOT(AND(ISNUMBER(N1236),ISNUMBER(P1236))),"",(P1236-N1236)*1440)</f>
        <v/>
      </c>
      <c r="X1236" s="28" t="n"/>
      <c r="Y1236" s="28" t="n"/>
      <c r="Z1236" s="28" t="n"/>
      <c r="AA1236" s="31" t="n"/>
      <c r="AB1236" s="31" t="n"/>
    </row>
    <row r="1237">
      <c r="A1237" s="25" t="inlineStr">
        <is>
          <t>S24</t>
        </is>
      </c>
      <c r="B1237" s="25" t="inlineStr">
        <is>
          <t>회천 신규점2</t>
        </is>
      </c>
      <c r="C1237" s="25" t="inlineStr">
        <is>
          <t>S24-H남</t>
        </is>
      </c>
      <c r="D1237" s="25" t="inlineStr">
        <is>
          <t>측정</t>
        </is>
      </c>
      <c r="E1237" s="25" t="inlineStr">
        <is>
          <t>남</t>
        </is>
      </c>
      <c r="F1237" s="30" t="n">
        <v>9</v>
      </c>
      <c r="G1237" s="29" t="n"/>
      <c r="H1237" s="42" t="n"/>
      <c r="I1237" s="40" t="n"/>
      <c r="J1237" s="40" t="n"/>
      <c r="K1237" s="40" t="n"/>
      <c r="L1237" s="30">
        <f>IF(COUNT(I1237:K1237)=0,"",MEDIAN(I1237:K1237))</f>
        <v/>
      </c>
      <c r="M1237" s="25">
        <f>IF(COUNTIFS($C:$C,$C1237,$D:$D,"P0(전)",$L:$L,"&gt;0")&lt;&gt;1,"P0(전) 유효 1개 아님",IF(COUNTIFS($C:$C,$C1237,$D:$D,"P0(후)",$L:$L,"&gt;0")&lt;&gt;1,"P0(후) 유효 1개 아님",IF(NOT(AND(ISNUMBER(N1237),ISNUMBER(P1237),ISNUMBER(H1237))),"시각 결측",IF(P1237&lt;=N1237,"P0 시각 역전",IF(OR(H1237&lt;N1237,H1237&gt;P1237),"측정시각 구간 밖","OK")))))</f>
        <v/>
      </c>
      <c r="N1237" s="45">
        <f>IF(COUNTIFS($C:$C,$C1237,$D:$D,"P0(전)",$L:$L,"&gt;0")&lt;&gt;1,"",SUMIFS($H:$H,$C:$C,$C1237,$D:$D,"P0(전)"))</f>
        <v/>
      </c>
      <c r="O1237" s="30">
        <f>IF(COUNTIFS($C:$C,$C1237,$D:$D,"P0(전)",$L:$L,"&gt;0")&lt;&gt;1,"",SUMIFS($L:$L,$C:$C,$C1237,$D:$D,"P0(전)"))</f>
        <v/>
      </c>
      <c r="P1237" s="45">
        <f>IF(COUNTIFS($C:$C,$C1237,$D:$D,"P0(후)",$L:$L,"&gt;0")&lt;&gt;1,"",SUMIFS($H:$H,$C:$C,$C1237,$D:$D,"P0(후)"))</f>
        <v/>
      </c>
      <c r="Q1237" s="30">
        <f>IF(COUNTIFS($C:$C,$C1237,$D:$D,"P0(후)",$L:$L,"&gt;0")&lt;&gt;1,"",SUMIFS($L:$L,$C:$C,$C1237,$D:$D,"P0(후)"))</f>
        <v/>
      </c>
      <c r="R1237" s="30">
        <f>IF(M1237&lt;&gt;"OK","",O1237+(Q1237-O1237)*(H1237-N1237)/(P1237-N1237))</f>
        <v/>
      </c>
      <c r="S1237" s="30">
        <f>IF(OR(M1237&lt;&gt;"OK",NOT(ISNUMBER(L1237))),"",L1237-R1237)</f>
        <v/>
      </c>
      <c r="T1237" s="46">
        <f>IF(OR(NOT(ISNUMBER(S1237)),IF(ISNUMBER(G1237),G1237,F1237)=0),"",S1237/IF(ISNUMBER(G1237),G1237,F1237))</f>
        <v/>
      </c>
      <c r="U1237" s="46">
        <f>IF(ISNUMBER(T1237),ABS(T1237),"")</f>
        <v/>
      </c>
      <c r="V1237" s="46">
        <f>IF(OR($D1236&lt;&gt;"측정",$C1236&lt;&gt;$C1237,NOT(ISNUMBER(L1237)),NOT(ISNUMBER(L1236)),(IF(ISNUMBER(G1237),G1237,F1237)-IF(ISNUMBER(G1236),G1236,F1236))=0),"",(L1237-L1236)/(IF(ISNUMBER(G1237),G1237,F1237)-IF(ISNUMBER(G1236),G1236,F1236)))</f>
        <v/>
      </c>
      <c r="W1237" s="30">
        <f>IF(NOT(AND(ISNUMBER(N1237),ISNUMBER(P1237))),"",(P1237-N1237)*1440)</f>
        <v/>
      </c>
      <c r="X1237" s="28" t="n"/>
      <c r="Y1237" s="28" t="n"/>
      <c r="Z1237" s="28" t="n"/>
      <c r="AA1237" s="31" t="n"/>
      <c r="AB1237" s="31" t="n"/>
    </row>
    <row r="1238">
      <c r="A1238" s="25" t="inlineStr">
        <is>
          <t>S24</t>
        </is>
      </c>
      <c r="B1238" s="25" t="inlineStr">
        <is>
          <t>회천 신규점2</t>
        </is>
      </c>
      <c r="C1238" s="25" t="inlineStr">
        <is>
          <t>S24-H남</t>
        </is>
      </c>
      <c r="D1238" s="25" t="inlineStr">
        <is>
          <t>측정</t>
        </is>
      </c>
      <c r="E1238" s="25" t="inlineStr">
        <is>
          <t>남</t>
        </is>
      </c>
      <c r="F1238" s="30" t="n">
        <v>10</v>
      </c>
      <c r="G1238" s="29" t="n"/>
      <c r="H1238" s="42" t="n"/>
      <c r="I1238" s="40" t="n"/>
      <c r="J1238" s="40" t="n"/>
      <c r="K1238" s="40" t="n"/>
      <c r="L1238" s="30">
        <f>IF(COUNT(I1238:K1238)=0,"",MEDIAN(I1238:K1238))</f>
        <v/>
      </c>
      <c r="M1238" s="25">
        <f>IF(COUNTIFS($C:$C,$C1238,$D:$D,"P0(전)",$L:$L,"&gt;0")&lt;&gt;1,"P0(전) 유효 1개 아님",IF(COUNTIFS($C:$C,$C1238,$D:$D,"P0(후)",$L:$L,"&gt;0")&lt;&gt;1,"P0(후) 유효 1개 아님",IF(NOT(AND(ISNUMBER(N1238),ISNUMBER(P1238),ISNUMBER(H1238))),"시각 결측",IF(P1238&lt;=N1238,"P0 시각 역전",IF(OR(H1238&lt;N1238,H1238&gt;P1238),"측정시각 구간 밖","OK")))))</f>
        <v/>
      </c>
      <c r="N1238" s="45">
        <f>IF(COUNTIFS($C:$C,$C1238,$D:$D,"P0(전)",$L:$L,"&gt;0")&lt;&gt;1,"",SUMIFS($H:$H,$C:$C,$C1238,$D:$D,"P0(전)"))</f>
        <v/>
      </c>
      <c r="O1238" s="30">
        <f>IF(COUNTIFS($C:$C,$C1238,$D:$D,"P0(전)",$L:$L,"&gt;0")&lt;&gt;1,"",SUMIFS($L:$L,$C:$C,$C1238,$D:$D,"P0(전)"))</f>
        <v/>
      </c>
      <c r="P1238" s="45">
        <f>IF(COUNTIFS($C:$C,$C1238,$D:$D,"P0(후)",$L:$L,"&gt;0")&lt;&gt;1,"",SUMIFS($H:$H,$C:$C,$C1238,$D:$D,"P0(후)"))</f>
        <v/>
      </c>
      <c r="Q1238" s="30">
        <f>IF(COUNTIFS($C:$C,$C1238,$D:$D,"P0(후)",$L:$L,"&gt;0")&lt;&gt;1,"",SUMIFS($L:$L,$C:$C,$C1238,$D:$D,"P0(후)"))</f>
        <v/>
      </c>
      <c r="R1238" s="30">
        <f>IF(M1238&lt;&gt;"OK","",O1238+(Q1238-O1238)*(H1238-N1238)/(P1238-N1238))</f>
        <v/>
      </c>
      <c r="S1238" s="30">
        <f>IF(OR(M1238&lt;&gt;"OK",NOT(ISNUMBER(L1238))),"",L1238-R1238)</f>
        <v/>
      </c>
      <c r="T1238" s="46">
        <f>IF(OR(NOT(ISNUMBER(S1238)),IF(ISNUMBER(G1238),G1238,F1238)=0),"",S1238/IF(ISNUMBER(G1238),G1238,F1238))</f>
        <v/>
      </c>
      <c r="U1238" s="46">
        <f>IF(ISNUMBER(T1238),ABS(T1238),"")</f>
        <v/>
      </c>
      <c r="V1238" s="46">
        <f>IF(OR($D1237&lt;&gt;"측정",$C1237&lt;&gt;$C1238,NOT(ISNUMBER(L1238)),NOT(ISNUMBER(L1237)),(IF(ISNUMBER(G1238),G1238,F1238)-IF(ISNUMBER(G1237),G1237,F1237))=0),"",(L1238-L1237)/(IF(ISNUMBER(G1238),G1238,F1238)-IF(ISNUMBER(G1237),G1237,F1237)))</f>
        <v/>
      </c>
      <c r="W1238" s="30">
        <f>IF(NOT(AND(ISNUMBER(N1238),ISNUMBER(P1238))),"",(P1238-N1238)*1440)</f>
        <v/>
      </c>
      <c r="X1238" s="28" t="n"/>
      <c r="Y1238" s="28" t="n"/>
      <c r="Z1238" s="28" t="n"/>
      <c r="AA1238" s="31" t="n"/>
      <c r="AB1238" s="31" t="n"/>
    </row>
    <row r="1239">
      <c r="A1239" s="43" t="inlineStr">
        <is>
          <t>S24</t>
        </is>
      </c>
      <c r="B1239" s="43" t="inlineStr">
        <is>
          <t>회천 신규점2</t>
        </is>
      </c>
      <c r="C1239" s="43" t="inlineStr">
        <is>
          <t>S24-H남</t>
        </is>
      </c>
      <c r="D1239" s="43" t="inlineStr">
        <is>
          <t>P0(후)</t>
        </is>
      </c>
      <c r="E1239" s="43" t="inlineStr">
        <is>
          <t>남</t>
        </is>
      </c>
      <c r="F1239" s="44" t="n"/>
      <c r="G1239" s="29" t="n"/>
      <c r="H1239" s="42" t="n"/>
      <c r="I1239" s="40" t="n"/>
      <c r="J1239" s="40" t="n"/>
      <c r="K1239" s="40" t="n"/>
      <c r="L1239" s="30">
        <f>IF(COUNT(I1239:K1239)=0,"",MEDIAN(I1239:K1239))</f>
        <v/>
      </c>
      <c r="M1239" s="37" t="n"/>
      <c r="N1239" s="37" t="n"/>
      <c r="O1239" s="37" t="n"/>
      <c r="P1239" s="37" t="n"/>
      <c r="Q1239" s="37" t="n"/>
      <c r="R1239" s="37" t="n"/>
      <c r="S1239" s="37" t="n"/>
      <c r="T1239" s="37" t="n"/>
      <c r="U1239" s="37" t="n"/>
      <c r="V1239" s="37" t="n"/>
      <c r="W1239" s="37" t="n"/>
      <c r="X1239" s="28" t="n"/>
      <c r="Y1239" s="28" t="n"/>
      <c r="Z1239" s="28" t="n"/>
      <c r="AA1239" s="31" t="n"/>
      <c r="AB1239" s="31" t="n"/>
    </row>
    <row r="1240">
      <c r="A1240" s="43" t="inlineStr">
        <is>
          <t>S24</t>
        </is>
      </c>
      <c r="B1240" s="43" t="inlineStr">
        <is>
          <t>회천 신규점2</t>
        </is>
      </c>
      <c r="C1240" s="43" t="inlineStr">
        <is>
          <t>S24-H북</t>
        </is>
      </c>
      <c r="D1240" s="43" t="inlineStr">
        <is>
          <t>P0(전)</t>
        </is>
      </c>
      <c r="E1240" s="43" t="inlineStr">
        <is>
          <t>북</t>
        </is>
      </c>
      <c r="F1240" s="44" t="n"/>
      <c r="G1240" s="29" t="n"/>
      <c r="H1240" s="42" t="n"/>
      <c r="I1240" s="40" t="n"/>
      <c r="J1240" s="40" t="n"/>
      <c r="K1240" s="40" t="n"/>
      <c r="L1240" s="30">
        <f>IF(COUNT(I1240:K1240)=0,"",MEDIAN(I1240:K1240))</f>
        <v/>
      </c>
      <c r="M1240" s="37" t="n"/>
      <c r="N1240" s="37" t="n"/>
      <c r="O1240" s="37" t="n"/>
      <c r="P1240" s="37" t="n"/>
      <c r="Q1240" s="37" t="n"/>
      <c r="R1240" s="37" t="n"/>
      <c r="S1240" s="37" t="n"/>
      <c r="T1240" s="37" t="n"/>
      <c r="U1240" s="37" t="n"/>
      <c r="V1240" s="37" t="n"/>
      <c r="W1240" s="37" t="n"/>
      <c r="X1240" s="28" t="n"/>
      <c r="Y1240" s="28" t="n"/>
      <c r="Z1240" s="28" t="n"/>
      <c r="AA1240" s="31" t="n"/>
      <c r="AB1240" s="31" t="n"/>
    </row>
    <row r="1241">
      <c r="A1241" s="25" t="inlineStr">
        <is>
          <t>S24</t>
        </is>
      </c>
      <c r="B1241" s="25" t="inlineStr">
        <is>
          <t>회천 신규점2</t>
        </is>
      </c>
      <c r="C1241" s="25" t="inlineStr">
        <is>
          <t>S24-H북</t>
        </is>
      </c>
      <c r="D1241" s="25" t="inlineStr">
        <is>
          <t>측정</t>
        </is>
      </c>
      <c r="E1241" s="25" t="inlineStr">
        <is>
          <t>북</t>
        </is>
      </c>
      <c r="F1241" s="30" t="n">
        <v>0.5</v>
      </c>
      <c r="G1241" s="29" t="n"/>
      <c r="H1241" s="42" t="n"/>
      <c r="I1241" s="40" t="n"/>
      <c r="J1241" s="40" t="n"/>
      <c r="K1241" s="40" t="n"/>
      <c r="L1241" s="30">
        <f>IF(COUNT(I1241:K1241)=0,"",MEDIAN(I1241:K1241))</f>
        <v/>
      </c>
      <c r="M1241" s="25">
        <f>IF(COUNTIFS($C:$C,$C1241,$D:$D,"P0(전)",$L:$L,"&gt;0")&lt;&gt;1,"P0(전) 유효 1개 아님",IF(COUNTIFS($C:$C,$C1241,$D:$D,"P0(후)",$L:$L,"&gt;0")&lt;&gt;1,"P0(후) 유효 1개 아님",IF(NOT(AND(ISNUMBER(N1241),ISNUMBER(P1241),ISNUMBER(H1241))),"시각 결측",IF(P1241&lt;=N1241,"P0 시각 역전",IF(OR(H1241&lt;N1241,H1241&gt;P1241),"측정시각 구간 밖","OK")))))</f>
        <v/>
      </c>
      <c r="N1241" s="45">
        <f>IF(COUNTIFS($C:$C,$C1241,$D:$D,"P0(전)",$L:$L,"&gt;0")&lt;&gt;1,"",SUMIFS($H:$H,$C:$C,$C1241,$D:$D,"P0(전)"))</f>
        <v/>
      </c>
      <c r="O1241" s="30">
        <f>IF(COUNTIFS($C:$C,$C1241,$D:$D,"P0(전)",$L:$L,"&gt;0")&lt;&gt;1,"",SUMIFS($L:$L,$C:$C,$C1241,$D:$D,"P0(전)"))</f>
        <v/>
      </c>
      <c r="P1241" s="45">
        <f>IF(COUNTIFS($C:$C,$C1241,$D:$D,"P0(후)",$L:$L,"&gt;0")&lt;&gt;1,"",SUMIFS($H:$H,$C:$C,$C1241,$D:$D,"P0(후)"))</f>
        <v/>
      </c>
      <c r="Q1241" s="30">
        <f>IF(COUNTIFS($C:$C,$C1241,$D:$D,"P0(후)",$L:$L,"&gt;0")&lt;&gt;1,"",SUMIFS($L:$L,$C:$C,$C1241,$D:$D,"P0(후)"))</f>
        <v/>
      </c>
      <c r="R1241" s="30">
        <f>IF(M1241&lt;&gt;"OK","",O1241+(Q1241-O1241)*(H1241-N1241)/(P1241-N1241))</f>
        <v/>
      </c>
      <c r="S1241" s="30">
        <f>IF(OR(M1241&lt;&gt;"OK",NOT(ISNUMBER(L1241))),"",L1241-R1241)</f>
        <v/>
      </c>
      <c r="T1241" s="46">
        <f>IF(OR(NOT(ISNUMBER(S1241)),IF(ISNUMBER(G1241),G1241,F1241)=0),"",S1241/IF(ISNUMBER(G1241),G1241,F1241))</f>
        <v/>
      </c>
      <c r="U1241" s="46">
        <f>IF(ISNUMBER(T1241),ABS(T1241),"")</f>
        <v/>
      </c>
      <c r="V1241" s="46">
        <f>IF(OR($D1240&lt;&gt;"측정",$C1240&lt;&gt;$C1241,NOT(ISNUMBER(L1241)),NOT(ISNUMBER(L1240)),(IF(ISNUMBER(G1241),G1241,F1241)-IF(ISNUMBER(G1240),G1240,F1240))=0),"",(L1241-L1240)/(IF(ISNUMBER(G1241),G1241,F1241)-IF(ISNUMBER(G1240),G1240,F1240)))</f>
        <v/>
      </c>
      <c r="W1241" s="30">
        <f>IF(NOT(AND(ISNUMBER(N1241),ISNUMBER(P1241))),"",(P1241-N1241)*1440)</f>
        <v/>
      </c>
      <c r="X1241" s="28" t="n"/>
      <c r="Y1241" s="28" t="n"/>
      <c r="Z1241" s="28" t="n"/>
      <c r="AA1241" s="31" t="n"/>
      <c r="AB1241" s="31" t="n"/>
    </row>
    <row r="1242">
      <c r="A1242" s="25" t="inlineStr">
        <is>
          <t>S24</t>
        </is>
      </c>
      <c r="B1242" s="25" t="inlineStr">
        <is>
          <t>회천 신규점2</t>
        </is>
      </c>
      <c r="C1242" s="25" t="inlineStr">
        <is>
          <t>S24-H북</t>
        </is>
      </c>
      <c r="D1242" s="25" t="inlineStr">
        <is>
          <t>측정</t>
        </is>
      </c>
      <c r="E1242" s="25" t="inlineStr">
        <is>
          <t>북</t>
        </is>
      </c>
      <c r="F1242" s="30" t="n">
        <v>1</v>
      </c>
      <c r="G1242" s="29" t="n"/>
      <c r="H1242" s="42" t="n"/>
      <c r="I1242" s="40" t="n"/>
      <c r="J1242" s="40" t="n"/>
      <c r="K1242" s="40" t="n"/>
      <c r="L1242" s="30">
        <f>IF(COUNT(I1242:K1242)=0,"",MEDIAN(I1242:K1242))</f>
        <v/>
      </c>
      <c r="M1242" s="25">
        <f>IF(COUNTIFS($C:$C,$C1242,$D:$D,"P0(전)",$L:$L,"&gt;0")&lt;&gt;1,"P0(전) 유효 1개 아님",IF(COUNTIFS($C:$C,$C1242,$D:$D,"P0(후)",$L:$L,"&gt;0")&lt;&gt;1,"P0(후) 유효 1개 아님",IF(NOT(AND(ISNUMBER(N1242),ISNUMBER(P1242),ISNUMBER(H1242))),"시각 결측",IF(P1242&lt;=N1242,"P0 시각 역전",IF(OR(H1242&lt;N1242,H1242&gt;P1242),"측정시각 구간 밖","OK")))))</f>
        <v/>
      </c>
      <c r="N1242" s="45">
        <f>IF(COUNTIFS($C:$C,$C1242,$D:$D,"P0(전)",$L:$L,"&gt;0")&lt;&gt;1,"",SUMIFS($H:$H,$C:$C,$C1242,$D:$D,"P0(전)"))</f>
        <v/>
      </c>
      <c r="O1242" s="30">
        <f>IF(COUNTIFS($C:$C,$C1242,$D:$D,"P0(전)",$L:$L,"&gt;0")&lt;&gt;1,"",SUMIFS($L:$L,$C:$C,$C1242,$D:$D,"P0(전)"))</f>
        <v/>
      </c>
      <c r="P1242" s="45">
        <f>IF(COUNTIFS($C:$C,$C1242,$D:$D,"P0(후)",$L:$L,"&gt;0")&lt;&gt;1,"",SUMIFS($H:$H,$C:$C,$C1242,$D:$D,"P0(후)"))</f>
        <v/>
      </c>
      <c r="Q1242" s="30">
        <f>IF(COUNTIFS($C:$C,$C1242,$D:$D,"P0(후)",$L:$L,"&gt;0")&lt;&gt;1,"",SUMIFS($L:$L,$C:$C,$C1242,$D:$D,"P0(후)"))</f>
        <v/>
      </c>
      <c r="R1242" s="30">
        <f>IF(M1242&lt;&gt;"OK","",O1242+(Q1242-O1242)*(H1242-N1242)/(P1242-N1242))</f>
        <v/>
      </c>
      <c r="S1242" s="30">
        <f>IF(OR(M1242&lt;&gt;"OK",NOT(ISNUMBER(L1242))),"",L1242-R1242)</f>
        <v/>
      </c>
      <c r="T1242" s="46">
        <f>IF(OR(NOT(ISNUMBER(S1242)),IF(ISNUMBER(G1242),G1242,F1242)=0),"",S1242/IF(ISNUMBER(G1242),G1242,F1242))</f>
        <v/>
      </c>
      <c r="U1242" s="46">
        <f>IF(ISNUMBER(T1242),ABS(T1242),"")</f>
        <v/>
      </c>
      <c r="V1242" s="46">
        <f>IF(OR($D1241&lt;&gt;"측정",$C1241&lt;&gt;$C1242,NOT(ISNUMBER(L1242)),NOT(ISNUMBER(L1241)),(IF(ISNUMBER(G1242),G1242,F1242)-IF(ISNUMBER(G1241),G1241,F1241))=0),"",(L1242-L1241)/(IF(ISNUMBER(G1242),G1242,F1242)-IF(ISNUMBER(G1241),G1241,F1241)))</f>
        <v/>
      </c>
      <c r="W1242" s="30">
        <f>IF(NOT(AND(ISNUMBER(N1242),ISNUMBER(P1242))),"",(P1242-N1242)*1440)</f>
        <v/>
      </c>
      <c r="X1242" s="28" t="n"/>
      <c r="Y1242" s="28" t="n"/>
      <c r="Z1242" s="28" t="n"/>
      <c r="AA1242" s="31" t="n"/>
      <c r="AB1242" s="31" t="n"/>
    </row>
    <row r="1243">
      <c r="A1243" s="25" t="inlineStr">
        <is>
          <t>S24</t>
        </is>
      </c>
      <c r="B1243" s="25" t="inlineStr">
        <is>
          <t>회천 신규점2</t>
        </is>
      </c>
      <c r="C1243" s="25" t="inlineStr">
        <is>
          <t>S24-H북</t>
        </is>
      </c>
      <c r="D1243" s="25" t="inlineStr">
        <is>
          <t>측정</t>
        </is>
      </c>
      <c r="E1243" s="25" t="inlineStr">
        <is>
          <t>북</t>
        </is>
      </c>
      <c r="F1243" s="30" t="n">
        <v>2</v>
      </c>
      <c r="G1243" s="29" t="n"/>
      <c r="H1243" s="42" t="n"/>
      <c r="I1243" s="40" t="n"/>
      <c r="J1243" s="40" t="n"/>
      <c r="K1243" s="40" t="n"/>
      <c r="L1243" s="30">
        <f>IF(COUNT(I1243:K1243)=0,"",MEDIAN(I1243:K1243))</f>
        <v/>
      </c>
      <c r="M1243" s="25">
        <f>IF(COUNTIFS($C:$C,$C1243,$D:$D,"P0(전)",$L:$L,"&gt;0")&lt;&gt;1,"P0(전) 유효 1개 아님",IF(COUNTIFS($C:$C,$C1243,$D:$D,"P0(후)",$L:$L,"&gt;0")&lt;&gt;1,"P0(후) 유효 1개 아님",IF(NOT(AND(ISNUMBER(N1243),ISNUMBER(P1243),ISNUMBER(H1243))),"시각 결측",IF(P1243&lt;=N1243,"P0 시각 역전",IF(OR(H1243&lt;N1243,H1243&gt;P1243),"측정시각 구간 밖","OK")))))</f>
        <v/>
      </c>
      <c r="N1243" s="45">
        <f>IF(COUNTIFS($C:$C,$C1243,$D:$D,"P0(전)",$L:$L,"&gt;0")&lt;&gt;1,"",SUMIFS($H:$H,$C:$C,$C1243,$D:$D,"P0(전)"))</f>
        <v/>
      </c>
      <c r="O1243" s="30">
        <f>IF(COUNTIFS($C:$C,$C1243,$D:$D,"P0(전)",$L:$L,"&gt;0")&lt;&gt;1,"",SUMIFS($L:$L,$C:$C,$C1243,$D:$D,"P0(전)"))</f>
        <v/>
      </c>
      <c r="P1243" s="45">
        <f>IF(COUNTIFS($C:$C,$C1243,$D:$D,"P0(후)",$L:$L,"&gt;0")&lt;&gt;1,"",SUMIFS($H:$H,$C:$C,$C1243,$D:$D,"P0(후)"))</f>
        <v/>
      </c>
      <c r="Q1243" s="30">
        <f>IF(COUNTIFS($C:$C,$C1243,$D:$D,"P0(후)",$L:$L,"&gt;0")&lt;&gt;1,"",SUMIFS($L:$L,$C:$C,$C1243,$D:$D,"P0(후)"))</f>
        <v/>
      </c>
      <c r="R1243" s="30">
        <f>IF(M1243&lt;&gt;"OK","",O1243+(Q1243-O1243)*(H1243-N1243)/(P1243-N1243))</f>
        <v/>
      </c>
      <c r="S1243" s="30">
        <f>IF(OR(M1243&lt;&gt;"OK",NOT(ISNUMBER(L1243))),"",L1243-R1243)</f>
        <v/>
      </c>
      <c r="T1243" s="46">
        <f>IF(OR(NOT(ISNUMBER(S1243)),IF(ISNUMBER(G1243),G1243,F1243)=0),"",S1243/IF(ISNUMBER(G1243),G1243,F1243))</f>
        <v/>
      </c>
      <c r="U1243" s="46">
        <f>IF(ISNUMBER(T1243),ABS(T1243),"")</f>
        <v/>
      </c>
      <c r="V1243" s="46">
        <f>IF(OR($D1242&lt;&gt;"측정",$C1242&lt;&gt;$C1243,NOT(ISNUMBER(L1243)),NOT(ISNUMBER(L1242)),(IF(ISNUMBER(G1243),G1243,F1243)-IF(ISNUMBER(G1242),G1242,F1242))=0),"",(L1243-L1242)/(IF(ISNUMBER(G1243),G1243,F1243)-IF(ISNUMBER(G1242),G1242,F1242)))</f>
        <v/>
      </c>
      <c r="W1243" s="30">
        <f>IF(NOT(AND(ISNUMBER(N1243),ISNUMBER(P1243))),"",(P1243-N1243)*1440)</f>
        <v/>
      </c>
      <c r="X1243" s="28" t="n"/>
      <c r="Y1243" s="28" t="n"/>
      <c r="Z1243" s="28" t="n"/>
      <c r="AA1243" s="31" t="n"/>
      <c r="AB1243" s="31" t="n"/>
    </row>
    <row r="1244">
      <c r="A1244" s="25" t="inlineStr">
        <is>
          <t>S24</t>
        </is>
      </c>
      <c r="B1244" s="25" t="inlineStr">
        <is>
          <t>회천 신규점2</t>
        </is>
      </c>
      <c r="C1244" s="25" t="inlineStr">
        <is>
          <t>S24-H북</t>
        </is>
      </c>
      <c r="D1244" s="25" t="inlineStr">
        <is>
          <t>측정</t>
        </is>
      </c>
      <c r="E1244" s="25" t="inlineStr">
        <is>
          <t>북</t>
        </is>
      </c>
      <c r="F1244" s="30" t="n">
        <v>3</v>
      </c>
      <c r="G1244" s="29" t="n"/>
      <c r="H1244" s="42" t="n"/>
      <c r="I1244" s="40" t="n"/>
      <c r="J1244" s="40" t="n"/>
      <c r="K1244" s="40" t="n"/>
      <c r="L1244" s="30">
        <f>IF(COUNT(I1244:K1244)=0,"",MEDIAN(I1244:K1244))</f>
        <v/>
      </c>
      <c r="M1244" s="25">
        <f>IF(COUNTIFS($C:$C,$C1244,$D:$D,"P0(전)",$L:$L,"&gt;0")&lt;&gt;1,"P0(전) 유효 1개 아님",IF(COUNTIFS($C:$C,$C1244,$D:$D,"P0(후)",$L:$L,"&gt;0")&lt;&gt;1,"P0(후) 유효 1개 아님",IF(NOT(AND(ISNUMBER(N1244),ISNUMBER(P1244),ISNUMBER(H1244))),"시각 결측",IF(P1244&lt;=N1244,"P0 시각 역전",IF(OR(H1244&lt;N1244,H1244&gt;P1244),"측정시각 구간 밖","OK")))))</f>
        <v/>
      </c>
      <c r="N1244" s="45">
        <f>IF(COUNTIFS($C:$C,$C1244,$D:$D,"P0(전)",$L:$L,"&gt;0")&lt;&gt;1,"",SUMIFS($H:$H,$C:$C,$C1244,$D:$D,"P0(전)"))</f>
        <v/>
      </c>
      <c r="O1244" s="30">
        <f>IF(COUNTIFS($C:$C,$C1244,$D:$D,"P0(전)",$L:$L,"&gt;0")&lt;&gt;1,"",SUMIFS($L:$L,$C:$C,$C1244,$D:$D,"P0(전)"))</f>
        <v/>
      </c>
      <c r="P1244" s="45">
        <f>IF(COUNTIFS($C:$C,$C1244,$D:$D,"P0(후)",$L:$L,"&gt;0")&lt;&gt;1,"",SUMIFS($H:$H,$C:$C,$C1244,$D:$D,"P0(후)"))</f>
        <v/>
      </c>
      <c r="Q1244" s="30">
        <f>IF(COUNTIFS($C:$C,$C1244,$D:$D,"P0(후)",$L:$L,"&gt;0")&lt;&gt;1,"",SUMIFS($L:$L,$C:$C,$C1244,$D:$D,"P0(후)"))</f>
        <v/>
      </c>
      <c r="R1244" s="30">
        <f>IF(M1244&lt;&gt;"OK","",O1244+(Q1244-O1244)*(H1244-N1244)/(P1244-N1244))</f>
        <v/>
      </c>
      <c r="S1244" s="30">
        <f>IF(OR(M1244&lt;&gt;"OK",NOT(ISNUMBER(L1244))),"",L1244-R1244)</f>
        <v/>
      </c>
      <c r="T1244" s="46">
        <f>IF(OR(NOT(ISNUMBER(S1244)),IF(ISNUMBER(G1244),G1244,F1244)=0),"",S1244/IF(ISNUMBER(G1244),G1244,F1244))</f>
        <v/>
      </c>
      <c r="U1244" s="46">
        <f>IF(ISNUMBER(T1244),ABS(T1244),"")</f>
        <v/>
      </c>
      <c r="V1244" s="46">
        <f>IF(OR($D1243&lt;&gt;"측정",$C1243&lt;&gt;$C1244,NOT(ISNUMBER(L1244)),NOT(ISNUMBER(L1243)),(IF(ISNUMBER(G1244),G1244,F1244)-IF(ISNUMBER(G1243),G1243,F1243))=0),"",(L1244-L1243)/(IF(ISNUMBER(G1244),G1244,F1244)-IF(ISNUMBER(G1243),G1243,F1243)))</f>
        <v/>
      </c>
      <c r="W1244" s="30">
        <f>IF(NOT(AND(ISNUMBER(N1244),ISNUMBER(P1244))),"",(P1244-N1244)*1440)</f>
        <v/>
      </c>
      <c r="X1244" s="28" t="n"/>
      <c r="Y1244" s="28" t="n"/>
      <c r="Z1244" s="28" t="n"/>
      <c r="AA1244" s="31" t="n"/>
      <c r="AB1244" s="31" t="n"/>
    </row>
    <row r="1245">
      <c r="A1245" s="25" t="inlineStr">
        <is>
          <t>S24</t>
        </is>
      </c>
      <c r="B1245" s="25" t="inlineStr">
        <is>
          <t>회천 신규점2</t>
        </is>
      </c>
      <c r="C1245" s="25" t="inlineStr">
        <is>
          <t>S24-H북</t>
        </is>
      </c>
      <c r="D1245" s="25" t="inlineStr">
        <is>
          <t>측정</t>
        </is>
      </c>
      <c r="E1245" s="25" t="inlineStr">
        <is>
          <t>북</t>
        </is>
      </c>
      <c r="F1245" s="30" t="n">
        <v>4</v>
      </c>
      <c r="G1245" s="29" t="n"/>
      <c r="H1245" s="42" t="n"/>
      <c r="I1245" s="40" t="n"/>
      <c r="J1245" s="40" t="n"/>
      <c r="K1245" s="40" t="n"/>
      <c r="L1245" s="30">
        <f>IF(COUNT(I1245:K1245)=0,"",MEDIAN(I1245:K1245))</f>
        <v/>
      </c>
      <c r="M1245" s="25">
        <f>IF(COUNTIFS($C:$C,$C1245,$D:$D,"P0(전)",$L:$L,"&gt;0")&lt;&gt;1,"P0(전) 유효 1개 아님",IF(COUNTIFS($C:$C,$C1245,$D:$D,"P0(후)",$L:$L,"&gt;0")&lt;&gt;1,"P0(후) 유효 1개 아님",IF(NOT(AND(ISNUMBER(N1245),ISNUMBER(P1245),ISNUMBER(H1245))),"시각 결측",IF(P1245&lt;=N1245,"P0 시각 역전",IF(OR(H1245&lt;N1245,H1245&gt;P1245),"측정시각 구간 밖","OK")))))</f>
        <v/>
      </c>
      <c r="N1245" s="45">
        <f>IF(COUNTIFS($C:$C,$C1245,$D:$D,"P0(전)",$L:$L,"&gt;0")&lt;&gt;1,"",SUMIFS($H:$H,$C:$C,$C1245,$D:$D,"P0(전)"))</f>
        <v/>
      </c>
      <c r="O1245" s="30">
        <f>IF(COUNTIFS($C:$C,$C1245,$D:$D,"P0(전)",$L:$L,"&gt;0")&lt;&gt;1,"",SUMIFS($L:$L,$C:$C,$C1245,$D:$D,"P0(전)"))</f>
        <v/>
      </c>
      <c r="P1245" s="45">
        <f>IF(COUNTIFS($C:$C,$C1245,$D:$D,"P0(후)",$L:$L,"&gt;0")&lt;&gt;1,"",SUMIFS($H:$H,$C:$C,$C1245,$D:$D,"P0(후)"))</f>
        <v/>
      </c>
      <c r="Q1245" s="30">
        <f>IF(COUNTIFS($C:$C,$C1245,$D:$D,"P0(후)",$L:$L,"&gt;0")&lt;&gt;1,"",SUMIFS($L:$L,$C:$C,$C1245,$D:$D,"P0(후)"))</f>
        <v/>
      </c>
      <c r="R1245" s="30">
        <f>IF(M1245&lt;&gt;"OK","",O1245+(Q1245-O1245)*(H1245-N1245)/(P1245-N1245))</f>
        <v/>
      </c>
      <c r="S1245" s="30">
        <f>IF(OR(M1245&lt;&gt;"OK",NOT(ISNUMBER(L1245))),"",L1245-R1245)</f>
        <v/>
      </c>
      <c r="T1245" s="46">
        <f>IF(OR(NOT(ISNUMBER(S1245)),IF(ISNUMBER(G1245),G1245,F1245)=0),"",S1245/IF(ISNUMBER(G1245),G1245,F1245))</f>
        <v/>
      </c>
      <c r="U1245" s="46">
        <f>IF(ISNUMBER(T1245),ABS(T1245),"")</f>
        <v/>
      </c>
      <c r="V1245" s="46">
        <f>IF(OR($D1244&lt;&gt;"측정",$C1244&lt;&gt;$C1245,NOT(ISNUMBER(L1245)),NOT(ISNUMBER(L1244)),(IF(ISNUMBER(G1245),G1245,F1245)-IF(ISNUMBER(G1244),G1244,F1244))=0),"",(L1245-L1244)/(IF(ISNUMBER(G1245),G1245,F1245)-IF(ISNUMBER(G1244),G1244,F1244)))</f>
        <v/>
      </c>
      <c r="W1245" s="30">
        <f>IF(NOT(AND(ISNUMBER(N1245),ISNUMBER(P1245))),"",(P1245-N1245)*1440)</f>
        <v/>
      </c>
      <c r="X1245" s="28" t="n"/>
      <c r="Y1245" s="28" t="n"/>
      <c r="Z1245" s="28" t="n"/>
      <c r="AA1245" s="31" t="n"/>
      <c r="AB1245" s="31" t="n"/>
    </row>
    <row r="1246">
      <c r="A1246" s="25" t="inlineStr">
        <is>
          <t>S24</t>
        </is>
      </c>
      <c r="B1246" s="25" t="inlineStr">
        <is>
          <t>회천 신규점2</t>
        </is>
      </c>
      <c r="C1246" s="25" t="inlineStr">
        <is>
          <t>S24-H북</t>
        </is>
      </c>
      <c r="D1246" s="25" t="inlineStr">
        <is>
          <t>측정</t>
        </is>
      </c>
      <c r="E1246" s="25" t="inlineStr">
        <is>
          <t>북</t>
        </is>
      </c>
      <c r="F1246" s="30" t="n">
        <v>5</v>
      </c>
      <c r="G1246" s="29" t="n"/>
      <c r="H1246" s="42" t="n"/>
      <c r="I1246" s="40" t="n"/>
      <c r="J1246" s="40" t="n"/>
      <c r="K1246" s="40" t="n"/>
      <c r="L1246" s="30">
        <f>IF(COUNT(I1246:K1246)=0,"",MEDIAN(I1246:K1246))</f>
        <v/>
      </c>
      <c r="M1246" s="25">
        <f>IF(COUNTIFS($C:$C,$C1246,$D:$D,"P0(전)",$L:$L,"&gt;0")&lt;&gt;1,"P0(전) 유효 1개 아님",IF(COUNTIFS($C:$C,$C1246,$D:$D,"P0(후)",$L:$L,"&gt;0")&lt;&gt;1,"P0(후) 유효 1개 아님",IF(NOT(AND(ISNUMBER(N1246),ISNUMBER(P1246),ISNUMBER(H1246))),"시각 결측",IF(P1246&lt;=N1246,"P0 시각 역전",IF(OR(H1246&lt;N1246,H1246&gt;P1246),"측정시각 구간 밖","OK")))))</f>
        <v/>
      </c>
      <c r="N1246" s="45">
        <f>IF(COUNTIFS($C:$C,$C1246,$D:$D,"P0(전)",$L:$L,"&gt;0")&lt;&gt;1,"",SUMIFS($H:$H,$C:$C,$C1246,$D:$D,"P0(전)"))</f>
        <v/>
      </c>
      <c r="O1246" s="30">
        <f>IF(COUNTIFS($C:$C,$C1246,$D:$D,"P0(전)",$L:$L,"&gt;0")&lt;&gt;1,"",SUMIFS($L:$L,$C:$C,$C1246,$D:$D,"P0(전)"))</f>
        <v/>
      </c>
      <c r="P1246" s="45">
        <f>IF(COUNTIFS($C:$C,$C1246,$D:$D,"P0(후)",$L:$L,"&gt;0")&lt;&gt;1,"",SUMIFS($H:$H,$C:$C,$C1246,$D:$D,"P0(후)"))</f>
        <v/>
      </c>
      <c r="Q1246" s="30">
        <f>IF(COUNTIFS($C:$C,$C1246,$D:$D,"P0(후)",$L:$L,"&gt;0")&lt;&gt;1,"",SUMIFS($L:$L,$C:$C,$C1246,$D:$D,"P0(후)"))</f>
        <v/>
      </c>
      <c r="R1246" s="30">
        <f>IF(M1246&lt;&gt;"OK","",O1246+(Q1246-O1246)*(H1246-N1246)/(P1246-N1246))</f>
        <v/>
      </c>
      <c r="S1246" s="30">
        <f>IF(OR(M1246&lt;&gt;"OK",NOT(ISNUMBER(L1246))),"",L1246-R1246)</f>
        <v/>
      </c>
      <c r="T1246" s="46">
        <f>IF(OR(NOT(ISNUMBER(S1246)),IF(ISNUMBER(G1246),G1246,F1246)=0),"",S1246/IF(ISNUMBER(G1246),G1246,F1246))</f>
        <v/>
      </c>
      <c r="U1246" s="46">
        <f>IF(ISNUMBER(T1246),ABS(T1246),"")</f>
        <v/>
      </c>
      <c r="V1246" s="46">
        <f>IF(OR($D1245&lt;&gt;"측정",$C1245&lt;&gt;$C1246,NOT(ISNUMBER(L1246)),NOT(ISNUMBER(L1245)),(IF(ISNUMBER(G1246),G1246,F1246)-IF(ISNUMBER(G1245),G1245,F1245))=0),"",(L1246-L1245)/(IF(ISNUMBER(G1246),G1246,F1246)-IF(ISNUMBER(G1245),G1245,F1245)))</f>
        <v/>
      </c>
      <c r="W1246" s="30">
        <f>IF(NOT(AND(ISNUMBER(N1246),ISNUMBER(P1246))),"",(P1246-N1246)*1440)</f>
        <v/>
      </c>
      <c r="X1246" s="28" t="n"/>
      <c r="Y1246" s="28" t="n"/>
      <c r="Z1246" s="28" t="n"/>
      <c r="AA1246" s="31" t="n"/>
      <c r="AB1246" s="31" t="n"/>
    </row>
    <row r="1247">
      <c r="A1247" s="25" t="inlineStr">
        <is>
          <t>S24</t>
        </is>
      </c>
      <c r="B1247" s="25" t="inlineStr">
        <is>
          <t>회천 신규점2</t>
        </is>
      </c>
      <c r="C1247" s="25" t="inlineStr">
        <is>
          <t>S24-H북</t>
        </is>
      </c>
      <c r="D1247" s="25" t="inlineStr">
        <is>
          <t>측정</t>
        </is>
      </c>
      <c r="E1247" s="25" t="inlineStr">
        <is>
          <t>북</t>
        </is>
      </c>
      <c r="F1247" s="30" t="n">
        <v>6</v>
      </c>
      <c r="G1247" s="29" t="n"/>
      <c r="H1247" s="42" t="n"/>
      <c r="I1247" s="40" t="n"/>
      <c r="J1247" s="40" t="n"/>
      <c r="K1247" s="40" t="n"/>
      <c r="L1247" s="30">
        <f>IF(COUNT(I1247:K1247)=0,"",MEDIAN(I1247:K1247))</f>
        <v/>
      </c>
      <c r="M1247" s="25">
        <f>IF(COUNTIFS($C:$C,$C1247,$D:$D,"P0(전)",$L:$L,"&gt;0")&lt;&gt;1,"P0(전) 유효 1개 아님",IF(COUNTIFS($C:$C,$C1247,$D:$D,"P0(후)",$L:$L,"&gt;0")&lt;&gt;1,"P0(후) 유효 1개 아님",IF(NOT(AND(ISNUMBER(N1247),ISNUMBER(P1247),ISNUMBER(H1247))),"시각 결측",IF(P1247&lt;=N1247,"P0 시각 역전",IF(OR(H1247&lt;N1247,H1247&gt;P1247),"측정시각 구간 밖","OK")))))</f>
        <v/>
      </c>
      <c r="N1247" s="45">
        <f>IF(COUNTIFS($C:$C,$C1247,$D:$D,"P0(전)",$L:$L,"&gt;0")&lt;&gt;1,"",SUMIFS($H:$H,$C:$C,$C1247,$D:$D,"P0(전)"))</f>
        <v/>
      </c>
      <c r="O1247" s="30">
        <f>IF(COUNTIFS($C:$C,$C1247,$D:$D,"P0(전)",$L:$L,"&gt;0")&lt;&gt;1,"",SUMIFS($L:$L,$C:$C,$C1247,$D:$D,"P0(전)"))</f>
        <v/>
      </c>
      <c r="P1247" s="45">
        <f>IF(COUNTIFS($C:$C,$C1247,$D:$D,"P0(후)",$L:$L,"&gt;0")&lt;&gt;1,"",SUMIFS($H:$H,$C:$C,$C1247,$D:$D,"P0(후)"))</f>
        <v/>
      </c>
      <c r="Q1247" s="30">
        <f>IF(COUNTIFS($C:$C,$C1247,$D:$D,"P0(후)",$L:$L,"&gt;0")&lt;&gt;1,"",SUMIFS($L:$L,$C:$C,$C1247,$D:$D,"P0(후)"))</f>
        <v/>
      </c>
      <c r="R1247" s="30">
        <f>IF(M1247&lt;&gt;"OK","",O1247+(Q1247-O1247)*(H1247-N1247)/(P1247-N1247))</f>
        <v/>
      </c>
      <c r="S1247" s="30">
        <f>IF(OR(M1247&lt;&gt;"OK",NOT(ISNUMBER(L1247))),"",L1247-R1247)</f>
        <v/>
      </c>
      <c r="T1247" s="46">
        <f>IF(OR(NOT(ISNUMBER(S1247)),IF(ISNUMBER(G1247),G1247,F1247)=0),"",S1247/IF(ISNUMBER(G1247),G1247,F1247))</f>
        <v/>
      </c>
      <c r="U1247" s="46">
        <f>IF(ISNUMBER(T1247),ABS(T1247),"")</f>
        <v/>
      </c>
      <c r="V1247" s="46">
        <f>IF(OR($D1246&lt;&gt;"측정",$C1246&lt;&gt;$C1247,NOT(ISNUMBER(L1247)),NOT(ISNUMBER(L1246)),(IF(ISNUMBER(G1247),G1247,F1247)-IF(ISNUMBER(G1246),G1246,F1246))=0),"",(L1247-L1246)/(IF(ISNUMBER(G1247),G1247,F1247)-IF(ISNUMBER(G1246),G1246,F1246)))</f>
        <v/>
      </c>
      <c r="W1247" s="30">
        <f>IF(NOT(AND(ISNUMBER(N1247),ISNUMBER(P1247))),"",(P1247-N1247)*1440)</f>
        <v/>
      </c>
      <c r="X1247" s="28" t="n"/>
      <c r="Y1247" s="28" t="n"/>
      <c r="Z1247" s="28" t="n"/>
      <c r="AA1247" s="31" t="n"/>
      <c r="AB1247" s="31" t="n"/>
    </row>
    <row r="1248">
      <c r="A1248" s="25" t="inlineStr">
        <is>
          <t>S24</t>
        </is>
      </c>
      <c r="B1248" s="25" t="inlineStr">
        <is>
          <t>회천 신규점2</t>
        </is>
      </c>
      <c r="C1248" s="25" t="inlineStr">
        <is>
          <t>S24-H북</t>
        </is>
      </c>
      <c r="D1248" s="25" t="inlineStr">
        <is>
          <t>측정</t>
        </is>
      </c>
      <c r="E1248" s="25" t="inlineStr">
        <is>
          <t>북</t>
        </is>
      </c>
      <c r="F1248" s="30" t="n">
        <v>7</v>
      </c>
      <c r="G1248" s="29" t="n"/>
      <c r="H1248" s="42" t="n"/>
      <c r="I1248" s="40" t="n"/>
      <c r="J1248" s="40" t="n"/>
      <c r="K1248" s="40" t="n"/>
      <c r="L1248" s="30">
        <f>IF(COUNT(I1248:K1248)=0,"",MEDIAN(I1248:K1248))</f>
        <v/>
      </c>
      <c r="M1248" s="25">
        <f>IF(COUNTIFS($C:$C,$C1248,$D:$D,"P0(전)",$L:$L,"&gt;0")&lt;&gt;1,"P0(전) 유효 1개 아님",IF(COUNTIFS($C:$C,$C1248,$D:$D,"P0(후)",$L:$L,"&gt;0")&lt;&gt;1,"P0(후) 유효 1개 아님",IF(NOT(AND(ISNUMBER(N1248),ISNUMBER(P1248),ISNUMBER(H1248))),"시각 결측",IF(P1248&lt;=N1248,"P0 시각 역전",IF(OR(H1248&lt;N1248,H1248&gt;P1248),"측정시각 구간 밖","OK")))))</f>
        <v/>
      </c>
      <c r="N1248" s="45">
        <f>IF(COUNTIFS($C:$C,$C1248,$D:$D,"P0(전)",$L:$L,"&gt;0")&lt;&gt;1,"",SUMIFS($H:$H,$C:$C,$C1248,$D:$D,"P0(전)"))</f>
        <v/>
      </c>
      <c r="O1248" s="30">
        <f>IF(COUNTIFS($C:$C,$C1248,$D:$D,"P0(전)",$L:$L,"&gt;0")&lt;&gt;1,"",SUMIFS($L:$L,$C:$C,$C1248,$D:$D,"P0(전)"))</f>
        <v/>
      </c>
      <c r="P1248" s="45">
        <f>IF(COUNTIFS($C:$C,$C1248,$D:$D,"P0(후)",$L:$L,"&gt;0")&lt;&gt;1,"",SUMIFS($H:$H,$C:$C,$C1248,$D:$D,"P0(후)"))</f>
        <v/>
      </c>
      <c r="Q1248" s="30">
        <f>IF(COUNTIFS($C:$C,$C1248,$D:$D,"P0(후)",$L:$L,"&gt;0")&lt;&gt;1,"",SUMIFS($L:$L,$C:$C,$C1248,$D:$D,"P0(후)"))</f>
        <v/>
      </c>
      <c r="R1248" s="30">
        <f>IF(M1248&lt;&gt;"OK","",O1248+(Q1248-O1248)*(H1248-N1248)/(P1248-N1248))</f>
        <v/>
      </c>
      <c r="S1248" s="30">
        <f>IF(OR(M1248&lt;&gt;"OK",NOT(ISNUMBER(L1248))),"",L1248-R1248)</f>
        <v/>
      </c>
      <c r="T1248" s="46">
        <f>IF(OR(NOT(ISNUMBER(S1248)),IF(ISNUMBER(G1248),G1248,F1248)=0),"",S1248/IF(ISNUMBER(G1248),G1248,F1248))</f>
        <v/>
      </c>
      <c r="U1248" s="46">
        <f>IF(ISNUMBER(T1248),ABS(T1248),"")</f>
        <v/>
      </c>
      <c r="V1248" s="46">
        <f>IF(OR($D1247&lt;&gt;"측정",$C1247&lt;&gt;$C1248,NOT(ISNUMBER(L1248)),NOT(ISNUMBER(L1247)),(IF(ISNUMBER(G1248),G1248,F1248)-IF(ISNUMBER(G1247),G1247,F1247))=0),"",(L1248-L1247)/(IF(ISNUMBER(G1248),G1248,F1248)-IF(ISNUMBER(G1247),G1247,F1247)))</f>
        <v/>
      </c>
      <c r="W1248" s="30">
        <f>IF(NOT(AND(ISNUMBER(N1248),ISNUMBER(P1248))),"",(P1248-N1248)*1440)</f>
        <v/>
      </c>
      <c r="X1248" s="28" t="n"/>
      <c r="Y1248" s="28" t="n"/>
      <c r="Z1248" s="28" t="n"/>
      <c r="AA1248" s="31" t="n"/>
      <c r="AB1248" s="31" t="n"/>
    </row>
    <row r="1249">
      <c r="A1249" s="25" t="inlineStr">
        <is>
          <t>S24</t>
        </is>
      </c>
      <c r="B1249" s="25" t="inlineStr">
        <is>
          <t>회천 신규점2</t>
        </is>
      </c>
      <c r="C1249" s="25" t="inlineStr">
        <is>
          <t>S24-H북</t>
        </is>
      </c>
      <c r="D1249" s="25" t="inlineStr">
        <is>
          <t>측정</t>
        </is>
      </c>
      <c r="E1249" s="25" t="inlineStr">
        <is>
          <t>북</t>
        </is>
      </c>
      <c r="F1249" s="30" t="n">
        <v>8</v>
      </c>
      <c r="G1249" s="29" t="n"/>
      <c r="H1249" s="42" t="n"/>
      <c r="I1249" s="40" t="n"/>
      <c r="J1249" s="40" t="n"/>
      <c r="K1249" s="40" t="n"/>
      <c r="L1249" s="30">
        <f>IF(COUNT(I1249:K1249)=0,"",MEDIAN(I1249:K1249))</f>
        <v/>
      </c>
      <c r="M1249" s="25">
        <f>IF(COUNTIFS($C:$C,$C1249,$D:$D,"P0(전)",$L:$L,"&gt;0")&lt;&gt;1,"P0(전) 유효 1개 아님",IF(COUNTIFS($C:$C,$C1249,$D:$D,"P0(후)",$L:$L,"&gt;0")&lt;&gt;1,"P0(후) 유효 1개 아님",IF(NOT(AND(ISNUMBER(N1249),ISNUMBER(P1249),ISNUMBER(H1249))),"시각 결측",IF(P1249&lt;=N1249,"P0 시각 역전",IF(OR(H1249&lt;N1249,H1249&gt;P1249),"측정시각 구간 밖","OK")))))</f>
        <v/>
      </c>
      <c r="N1249" s="45">
        <f>IF(COUNTIFS($C:$C,$C1249,$D:$D,"P0(전)",$L:$L,"&gt;0")&lt;&gt;1,"",SUMIFS($H:$H,$C:$C,$C1249,$D:$D,"P0(전)"))</f>
        <v/>
      </c>
      <c r="O1249" s="30">
        <f>IF(COUNTIFS($C:$C,$C1249,$D:$D,"P0(전)",$L:$L,"&gt;0")&lt;&gt;1,"",SUMIFS($L:$L,$C:$C,$C1249,$D:$D,"P0(전)"))</f>
        <v/>
      </c>
      <c r="P1249" s="45">
        <f>IF(COUNTIFS($C:$C,$C1249,$D:$D,"P0(후)",$L:$L,"&gt;0")&lt;&gt;1,"",SUMIFS($H:$H,$C:$C,$C1249,$D:$D,"P0(후)"))</f>
        <v/>
      </c>
      <c r="Q1249" s="30">
        <f>IF(COUNTIFS($C:$C,$C1249,$D:$D,"P0(후)",$L:$L,"&gt;0")&lt;&gt;1,"",SUMIFS($L:$L,$C:$C,$C1249,$D:$D,"P0(후)"))</f>
        <v/>
      </c>
      <c r="R1249" s="30">
        <f>IF(M1249&lt;&gt;"OK","",O1249+(Q1249-O1249)*(H1249-N1249)/(P1249-N1249))</f>
        <v/>
      </c>
      <c r="S1249" s="30">
        <f>IF(OR(M1249&lt;&gt;"OK",NOT(ISNUMBER(L1249))),"",L1249-R1249)</f>
        <v/>
      </c>
      <c r="T1249" s="46">
        <f>IF(OR(NOT(ISNUMBER(S1249)),IF(ISNUMBER(G1249),G1249,F1249)=0),"",S1249/IF(ISNUMBER(G1249),G1249,F1249))</f>
        <v/>
      </c>
      <c r="U1249" s="46">
        <f>IF(ISNUMBER(T1249),ABS(T1249),"")</f>
        <v/>
      </c>
      <c r="V1249" s="46">
        <f>IF(OR($D1248&lt;&gt;"측정",$C1248&lt;&gt;$C1249,NOT(ISNUMBER(L1249)),NOT(ISNUMBER(L1248)),(IF(ISNUMBER(G1249),G1249,F1249)-IF(ISNUMBER(G1248),G1248,F1248))=0),"",(L1249-L1248)/(IF(ISNUMBER(G1249),G1249,F1249)-IF(ISNUMBER(G1248),G1248,F1248)))</f>
        <v/>
      </c>
      <c r="W1249" s="30">
        <f>IF(NOT(AND(ISNUMBER(N1249),ISNUMBER(P1249))),"",(P1249-N1249)*1440)</f>
        <v/>
      </c>
      <c r="X1249" s="28" t="n"/>
      <c r="Y1249" s="28" t="n"/>
      <c r="Z1249" s="28" t="n"/>
      <c r="AA1249" s="31" t="n"/>
      <c r="AB1249" s="31" t="n"/>
    </row>
    <row r="1250">
      <c r="A1250" s="25" t="inlineStr">
        <is>
          <t>S24</t>
        </is>
      </c>
      <c r="B1250" s="25" t="inlineStr">
        <is>
          <t>회천 신규점2</t>
        </is>
      </c>
      <c r="C1250" s="25" t="inlineStr">
        <is>
          <t>S24-H북</t>
        </is>
      </c>
      <c r="D1250" s="25" t="inlineStr">
        <is>
          <t>측정</t>
        </is>
      </c>
      <c r="E1250" s="25" t="inlineStr">
        <is>
          <t>북</t>
        </is>
      </c>
      <c r="F1250" s="30" t="n">
        <v>9</v>
      </c>
      <c r="G1250" s="29" t="n"/>
      <c r="H1250" s="42" t="n"/>
      <c r="I1250" s="40" t="n"/>
      <c r="J1250" s="40" t="n"/>
      <c r="K1250" s="40" t="n"/>
      <c r="L1250" s="30">
        <f>IF(COUNT(I1250:K1250)=0,"",MEDIAN(I1250:K1250))</f>
        <v/>
      </c>
      <c r="M1250" s="25">
        <f>IF(COUNTIFS($C:$C,$C1250,$D:$D,"P0(전)",$L:$L,"&gt;0")&lt;&gt;1,"P0(전) 유효 1개 아님",IF(COUNTIFS($C:$C,$C1250,$D:$D,"P0(후)",$L:$L,"&gt;0")&lt;&gt;1,"P0(후) 유효 1개 아님",IF(NOT(AND(ISNUMBER(N1250),ISNUMBER(P1250),ISNUMBER(H1250))),"시각 결측",IF(P1250&lt;=N1250,"P0 시각 역전",IF(OR(H1250&lt;N1250,H1250&gt;P1250),"측정시각 구간 밖","OK")))))</f>
        <v/>
      </c>
      <c r="N1250" s="45">
        <f>IF(COUNTIFS($C:$C,$C1250,$D:$D,"P0(전)",$L:$L,"&gt;0")&lt;&gt;1,"",SUMIFS($H:$H,$C:$C,$C1250,$D:$D,"P0(전)"))</f>
        <v/>
      </c>
      <c r="O1250" s="30">
        <f>IF(COUNTIFS($C:$C,$C1250,$D:$D,"P0(전)",$L:$L,"&gt;0")&lt;&gt;1,"",SUMIFS($L:$L,$C:$C,$C1250,$D:$D,"P0(전)"))</f>
        <v/>
      </c>
      <c r="P1250" s="45">
        <f>IF(COUNTIFS($C:$C,$C1250,$D:$D,"P0(후)",$L:$L,"&gt;0")&lt;&gt;1,"",SUMIFS($H:$H,$C:$C,$C1250,$D:$D,"P0(후)"))</f>
        <v/>
      </c>
      <c r="Q1250" s="30">
        <f>IF(COUNTIFS($C:$C,$C1250,$D:$D,"P0(후)",$L:$L,"&gt;0")&lt;&gt;1,"",SUMIFS($L:$L,$C:$C,$C1250,$D:$D,"P0(후)"))</f>
        <v/>
      </c>
      <c r="R1250" s="30">
        <f>IF(M1250&lt;&gt;"OK","",O1250+(Q1250-O1250)*(H1250-N1250)/(P1250-N1250))</f>
        <v/>
      </c>
      <c r="S1250" s="30">
        <f>IF(OR(M1250&lt;&gt;"OK",NOT(ISNUMBER(L1250))),"",L1250-R1250)</f>
        <v/>
      </c>
      <c r="T1250" s="46">
        <f>IF(OR(NOT(ISNUMBER(S1250)),IF(ISNUMBER(G1250),G1250,F1250)=0),"",S1250/IF(ISNUMBER(G1250),G1250,F1250))</f>
        <v/>
      </c>
      <c r="U1250" s="46">
        <f>IF(ISNUMBER(T1250),ABS(T1250),"")</f>
        <v/>
      </c>
      <c r="V1250" s="46">
        <f>IF(OR($D1249&lt;&gt;"측정",$C1249&lt;&gt;$C1250,NOT(ISNUMBER(L1250)),NOT(ISNUMBER(L1249)),(IF(ISNUMBER(G1250),G1250,F1250)-IF(ISNUMBER(G1249),G1249,F1249))=0),"",(L1250-L1249)/(IF(ISNUMBER(G1250),G1250,F1250)-IF(ISNUMBER(G1249),G1249,F1249)))</f>
        <v/>
      </c>
      <c r="W1250" s="30">
        <f>IF(NOT(AND(ISNUMBER(N1250),ISNUMBER(P1250))),"",(P1250-N1250)*1440)</f>
        <v/>
      </c>
      <c r="X1250" s="28" t="n"/>
      <c r="Y1250" s="28" t="n"/>
      <c r="Z1250" s="28" t="n"/>
      <c r="AA1250" s="31" t="n"/>
      <c r="AB1250" s="31" t="n"/>
    </row>
    <row r="1251">
      <c r="A1251" s="25" t="inlineStr">
        <is>
          <t>S24</t>
        </is>
      </c>
      <c r="B1251" s="25" t="inlineStr">
        <is>
          <t>회천 신규점2</t>
        </is>
      </c>
      <c r="C1251" s="25" t="inlineStr">
        <is>
          <t>S24-H북</t>
        </is>
      </c>
      <c r="D1251" s="25" t="inlineStr">
        <is>
          <t>측정</t>
        </is>
      </c>
      <c r="E1251" s="25" t="inlineStr">
        <is>
          <t>북</t>
        </is>
      </c>
      <c r="F1251" s="30" t="n">
        <v>10</v>
      </c>
      <c r="G1251" s="29" t="n"/>
      <c r="H1251" s="42" t="n"/>
      <c r="I1251" s="40" t="n"/>
      <c r="J1251" s="40" t="n"/>
      <c r="K1251" s="40" t="n"/>
      <c r="L1251" s="30">
        <f>IF(COUNT(I1251:K1251)=0,"",MEDIAN(I1251:K1251))</f>
        <v/>
      </c>
      <c r="M1251" s="25">
        <f>IF(COUNTIFS($C:$C,$C1251,$D:$D,"P0(전)",$L:$L,"&gt;0")&lt;&gt;1,"P0(전) 유효 1개 아님",IF(COUNTIFS($C:$C,$C1251,$D:$D,"P0(후)",$L:$L,"&gt;0")&lt;&gt;1,"P0(후) 유효 1개 아님",IF(NOT(AND(ISNUMBER(N1251),ISNUMBER(P1251),ISNUMBER(H1251))),"시각 결측",IF(P1251&lt;=N1251,"P0 시각 역전",IF(OR(H1251&lt;N1251,H1251&gt;P1251),"측정시각 구간 밖","OK")))))</f>
        <v/>
      </c>
      <c r="N1251" s="45">
        <f>IF(COUNTIFS($C:$C,$C1251,$D:$D,"P0(전)",$L:$L,"&gt;0")&lt;&gt;1,"",SUMIFS($H:$H,$C:$C,$C1251,$D:$D,"P0(전)"))</f>
        <v/>
      </c>
      <c r="O1251" s="30">
        <f>IF(COUNTIFS($C:$C,$C1251,$D:$D,"P0(전)",$L:$L,"&gt;0")&lt;&gt;1,"",SUMIFS($L:$L,$C:$C,$C1251,$D:$D,"P0(전)"))</f>
        <v/>
      </c>
      <c r="P1251" s="45">
        <f>IF(COUNTIFS($C:$C,$C1251,$D:$D,"P0(후)",$L:$L,"&gt;0")&lt;&gt;1,"",SUMIFS($H:$H,$C:$C,$C1251,$D:$D,"P0(후)"))</f>
        <v/>
      </c>
      <c r="Q1251" s="30">
        <f>IF(COUNTIFS($C:$C,$C1251,$D:$D,"P0(후)",$L:$L,"&gt;0")&lt;&gt;1,"",SUMIFS($L:$L,$C:$C,$C1251,$D:$D,"P0(후)"))</f>
        <v/>
      </c>
      <c r="R1251" s="30">
        <f>IF(M1251&lt;&gt;"OK","",O1251+(Q1251-O1251)*(H1251-N1251)/(P1251-N1251))</f>
        <v/>
      </c>
      <c r="S1251" s="30">
        <f>IF(OR(M1251&lt;&gt;"OK",NOT(ISNUMBER(L1251))),"",L1251-R1251)</f>
        <v/>
      </c>
      <c r="T1251" s="46">
        <f>IF(OR(NOT(ISNUMBER(S1251)),IF(ISNUMBER(G1251),G1251,F1251)=0),"",S1251/IF(ISNUMBER(G1251),G1251,F1251))</f>
        <v/>
      </c>
      <c r="U1251" s="46">
        <f>IF(ISNUMBER(T1251),ABS(T1251),"")</f>
        <v/>
      </c>
      <c r="V1251" s="46">
        <f>IF(OR($D1250&lt;&gt;"측정",$C1250&lt;&gt;$C1251,NOT(ISNUMBER(L1251)),NOT(ISNUMBER(L1250)),(IF(ISNUMBER(G1251),G1251,F1251)-IF(ISNUMBER(G1250),G1250,F1250))=0),"",(L1251-L1250)/(IF(ISNUMBER(G1251),G1251,F1251)-IF(ISNUMBER(G1250),G1250,F1250)))</f>
        <v/>
      </c>
      <c r="W1251" s="30">
        <f>IF(NOT(AND(ISNUMBER(N1251),ISNUMBER(P1251))),"",(P1251-N1251)*1440)</f>
        <v/>
      </c>
      <c r="X1251" s="28" t="n"/>
      <c r="Y1251" s="28" t="n"/>
      <c r="Z1251" s="28" t="n"/>
      <c r="AA1251" s="31" t="n"/>
      <c r="AB1251" s="31" t="n"/>
    </row>
    <row r="1252">
      <c r="A1252" s="43" t="inlineStr">
        <is>
          <t>S24</t>
        </is>
      </c>
      <c r="B1252" s="43" t="inlineStr">
        <is>
          <t>회천 신규점2</t>
        </is>
      </c>
      <c r="C1252" s="43" t="inlineStr">
        <is>
          <t>S24-H북</t>
        </is>
      </c>
      <c r="D1252" s="43" t="inlineStr">
        <is>
          <t>P0(후)</t>
        </is>
      </c>
      <c r="E1252" s="43" t="inlineStr">
        <is>
          <t>북</t>
        </is>
      </c>
      <c r="F1252" s="44" t="n"/>
      <c r="G1252" s="29" t="n"/>
      <c r="H1252" s="42" t="n"/>
      <c r="I1252" s="40" t="n"/>
      <c r="J1252" s="40" t="n"/>
      <c r="K1252" s="40" t="n"/>
      <c r="L1252" s="30">
        <f>IF(COUNT(I1252:K1252)=0,"",MEDIAN(I1252:K1252))</f>
        <v/>
      </c>
      <c r="M1252" s="37" t="n"/>
      <c r="N1252" s="37" t="n"/>
      <c r="O1252" s="37" t="n"/>
      <c r="P1252" s="37" t="n"/>
      <c r="Q1252" s="37" t="n"/>
      <c r="R1252" s="37" t="n"/>
      <c r="S1252" s="37" t="n"/>
      <c r="T1252" s="37" t="n"/>
      <c r="U1252" s="37" t="n"/>
      <c r="V1252" s="37" t="n"/>
      <c r="W1252" s="37" t="n"/>
      <c r="X1252" s="28" t="n"/>
      <c r="Y1252" s="28" t="n"/>
      <c r="Z1252" s="28" t="n"/>
      <c r="AA1252" s="31" t="n"/>
      <c r="AB1252" s="31" t="n"/>
    </row>
    <row r="1253">
      <c r="A1253" s="43" t="inlineStr">
        <is>
          <t>S25</t>
        </is>
      </c>
      <c r="B1253" s="43" t="inlineStr">
        <is>
          <t>관리 신규점3</t>
        </is>
      </c>
      <c r="C1253" s="43" t="inlineStr">
        <is>
          <t>S25-H동</t>
        </is>
      </c>
      <c r="D1253" s="43" t="inlineStr">
        <is>
          <t>P0(전)</t>
        </is>
      </c>
      <c r="E1253" s="43" t="inlineStr">
        <is>
          <t>동</t>
        </is>
      </c>
      <c r="F1253" s="44" t="n"/>
      <c r="G1253" s="29" t="n"/>
      <c r="H1253" s="42" t="n"/>
      <c r="I1253" s="40" t="n"/>
      <c r="J1253" s="40" t="n"/>
      <c r="K1253" s="40" t="n"/>
      <c r="L1253" s="30">
        <f>IF(COUNT(I1253:K1253)=0,"",MEDIAN(I1253:K1253))</f>
        <v/>
      </c>
      <c r="M1253" s="37" t="n"/>
      <c r="N1253" s="37" t="n"/>
      <c r="O1253" s="37" t="n"/>
      <c r="P1253" s="37" t="n"/>
      <c r="Q1253" s="37" t="n"/>
      <c r="R1253" s="37" t="n"/>
      <c r="S1253" s="37" t="n"/>
      <c r="T1253" s="37" t="n"/>
      <c r="U1253" s="37" t="n"/>
      <c r="V1253" s="37" t="n"/>
      <c r="W1253" s="37" t="n"/>
      <c r="X1253" s="28" t="n"/>
      <c r="Y1253" s="28" t="n"/>
      <c r="Z1253" s="28" t="n"/>
      <c r="AA1253" s="31" t="n"/>
      <c r="AB1253" s="31" t="n"/>
    </row>
    <row r="1254">
      <c r="A1254" s="25" t="inlineStr">
        <is>
          <t>S25</t>
        </is>
      </c>
      <c r="B1254" s="25" t="inlineStr">
        <is>
          <t>관리 신규점3</t>
        </is>
      </c>
      <c r="C1254" s="25" t="inlineStr">
        <is>
          <t>S25-H동</t>
        </is>
      </c>
      <c r="D1254" s="25" t="inlineStr">
        <is>
          <t>측정</t>
        </is>
      </c>
      <c r="E1254" s="25" t="inlineStr">
        <is>
          <t>동</t>
        </is>
      </c>
      <c r="F1254" s="30" t="n">
        <v>0.5</v>
      </c>
      <c r="G1254" s="29" t="n"/>
      <c r="H1254" s="42" t="n"/>
      <c r="I1254" s="40" t="n"/>
      <c r="J1254" s="40" t="n"/>
      <c r="K1254" s="40" t="n"/>
      <c r="L1254" s="30">
        <f>IF(COUNT(I1254:K1254)=0,"",MEDIAN(I1254:K1254))</f>
        <v/>
      </c>
      <c r="M1254" s="25">
        <f>IF(COUNTIFS($C:$C,$C1254,$D:$D,"P0(전)",$L:$L,"&gt;0")&lt;&gt;1,"P0(전) 유효 1개 아님",IF(COUNTIFS($C:$C,$C1254,$D:$D,"P0(후)",$L:$L,"&gt;0")&lt;&gt;1,"P0(후) 유효 1개 아님",IF(NOT(AND(ISNUMBER(N1254),ISNUMBER(P1254),ISNUMBER(H1254))),"시각 결측",IF(P1254&lt;=N1254,"P0 시각 역전",IF(OR(H1254&lt;N1254,H1254&gt;P1254),"측정시각 구간 밖","OK")))))</f>
        <v/>
      </c>
      <c r="N1254" s="45">
        <f>IF(COUNTIFS($C:$C,$C1254,$D:$D,"P0(전)",$L:$L,"&gt;0")&lt;&gt;1,"",SUMIFS($H:$H,$C:$C,$C1254,$D:$D,"P0(전)"))</f>
        <v/>
      </c>
      <c r="O1254" s="30">
        <f>IF(COUNTIFS($C:$C,$C1254,$D:$D,"P0(전)",$L:$L,"&gt;0")&lt;&gt;1,"",SUMIFS($L:$L,$C:$C,$C1254,$D:$D,"P0(전)"))</f>
        <v/>
      </c>
      <c r="P1254" s="45">
        <f>IF(COUNTIFS($C:$C,$C1254,$D:$D,"P0(후)",$L:$L,"&gt;0")&lt;&gt;1,"",SUMIFS($H:$H,$C:$C,$C1254,$D:$D,"P0(후)"))</f>
        <v/>
      </c>
      <c r="Q1254" s="30">
        <f>IF(COUNTIFS($C:$C,$C1254,$D:$D,"P0(후)",$L:$L,"&gt;0")&lt;&gt;1,"",SUMIFS($L:$L,$C:$C,$C1254,$D:$D,"P0(후)"))</f>
        <v/>
      </c>
      <c r="R1254" s="30">
        <f>IF(M1254&lt;&gt;"OK","",O1254+(Q1254-O1254)*(H1254-N1254)/(P1254-N1254))</f>
        <v/>
      </c>
      <c r="S1254" s="30">
        <f>IF(OR(M1254&lt;&gt;"OK",NOT(ISNUMBER(L1254))),"",L1254-R1254)</f>
        <v/>
      </c>
      <c r="T1254" s="46">
        <f>IF(OR(NOT(ISNUMBER(S1254)),IF(ISNUMBER(G1254),G1254,F1254)=0),"",S1254/IF(ISNUMBER(G1254),G1254,F1254))</f>
        <v/>
      </c>
      <c r="U1254" s="46">
        <f>IF(ISNUMBER(T1254),ABS(T1254),"")</f>
        <v/>
      </c>
      <c r="V1254" s="46">
        <f>IF(OR($D1253&lt;&gt;"측정",$C1253&lt;&gt;$C1254,NOT(ISNUMBER(L1254)),NOT(ISNUMBER(L1253)),(IF(ISNUMBER(G1254),G1254,F1254)-IF(ISNUMBER(G1253),G1253,F1253))=0),"",(L1254-L1253)/(IF(ISNUMBER(G1254),G1254,F1254)-IF(ISNUMBER(G1253),G1253,F1253)))</f>
        <v/>
      </c>
      <c r="W1254" s="30">
        <f>IF(NOT(AND(ISNUMBER(N1254),ISNUMBER(P1254))),"",(P1254-N1254)*1440)</f>
        <v/>
      </c>
      <c r="X1254" s="28" t="n"/>
      <c r="Y1254" s="28" t="n"/>
      <c r="Z1254" s="28" t="n"/>
      <c r="AA1254" s="31" t="n"/>
      <c r="AB1254" s="31" t="n"/>
    </row>
    <row r="1255">
      <c r="A1255" s="25" t="inlineStr">
        <is>
          <t>S25</t>
        </is>
      </c>
      <c r="B1255" s="25" t="inlineStr">
        <is>
          <t>관리 신규점3</t>
        </is>
      </c>
      <c r="C1255" s="25" t="inlineStr">
        <is>
          <t>S25-H동</t>
        </is>
      </c>
      <c r="D1255" s="25" t="inlineStr">
        <is>
          <t>측정</t>
        </is>
      </c>
      <c r="E1255" s="25" t="inlineStr">
        <is>
          <t>동</t>
        </is>
      </c>
      <c r="F1255" s="30" t="n">
        <v>1</v>
      </c>
      <c r="G1255" s="29" t="n"/>
      <c r="H1255" s="42" t="n"/>
      <c r="I1255" s="40" t="n"/>
      <c r="J1255" s="40" t="n"/>
      <c r="K1255" s="40" t="n"/>
      <c r="L1255" s="30">
        <f>IF(COUNT(I1255:K1255)=0,"",MEDIAN(I1255:K1255))</f>
        <v/>
      </c>
      <c r="M1255" s="25">
        <f>IF(COUNTIFS($C:$C,$C1255,$D:$D,"P0(전)",$L:$L,"&gt;0")&lt;&gt;1,"P0(전) 유효 1개 아님",IF(COUNTIFS($C:$C,$C1255,$D:$D,"P0(후)",$L:$L,"&gt;0")&lt;&gt;1,"P0(후) 유효 1개 아님",IF(NOT(AND(ISNUMBER(N1255),ISNUMBER(P1255),ISNUMBER(H1255))),"시각 결측",IF(P1255&lt;=N1255,"P0 시각 역전",IF(OR(H1255&lt;N1255,H1255&gt;P1255),"측정시각 구간 밖","OK")))))</f>
        <v/>
      </c>
      <c r="N1255" s="45">
        <f>IF(COUNTIFS($C:$C,$C1255,$D:$D,"P0(전)",$L:$L,"&gt;0")&lt;&gt;1,"",SUMIFS($H:$H,$C:$C,$C1255,$D:$D,"P0(전)"))</f>
        <v/>
      </c>
      <c r="O1255" s="30">
        <f>IF(COUNTIFS($C:$C,$C1255,$D:$D,"P0(전)",$L:$L,"&gt;0")&lt;&gt;1,"",SUMIFS($L:$L,$C:$C,$C1255,$D:$D,"P0(전)"))</f>
        <v/>
      </c>
      <c r="P1255" s="45">
        <f>IF(COUNTIFS($C:$C,$C1255,$D:$D,"P0(후)",$L:$L,"&gt;0")&lt;&gt;1,"",SUMIFS($H:$H,$C:$C,$C1255,$D:$D,"P0(후)"))</f>
        <v/>
      </c>
      <c r="Q1255" s="30">
        <f>IF(COUNTIFS($C:$C,$C1255,$D:$D,"P0(후)",$L:$L,"&gt;0")&lt;&gt;1,"",SUMIFS($L:$L,$C:$C,$C1255,$D:$D,"P0(후)"))</f>
        <v/>
      </c>
      <c r="R1255" s="30">
        <f>IF(M1255&lt;&gt;"OK","",O1255+(Q1255-O1255)*(H1255-N1255)/(P1255-N1255))</f>
        <v/>
      </c>
      <c r="S1255" s="30">
        <f>IF(OR(M1255&lt;&gt;"OK",NOT(ISNUMBER(L1255))),"",L1255-R1255)</f>
        <v/>
      </c>
      <c r="T1255" s="46">
        <f>IF(OR(NOT(ISNUMBER(S1255)),IF(ISNUMBER(G1255),G1255,F1255)=0),"",S1255/IF(ISNUMBER(G1255),G1255,F1255))</f>
        <v/>
      </c>
      <c r="U1255" s="46">
        <f>IF(ISNUMBER(T1255),ABS(T1255),"")</f>
        <v/>
      </c>
      <c r="V1255" s="46">
        <f>IF(OR($D1254&lt;&gt;"측정",$C1254&lt;&gt;$C1255,NOT(ISNUMBER(L1255)),NOT(ISNUMBER(L1254)),(IF(ISNUMBER(G1255),G1255,F1255)-IF(ISNUMBER(G1254),G1254,F1254))=0),"",(L1255-L1254)/(IF(ISNUMBER(G1255),G1255,F1255)-IF(ISNUMBER(G1254),G1254,F1254)))</f>
        <v/>
      </c>
      <c r="W1255" s="30">
        <f>IF(NOT(AND(ISNUMBER(N1255),ISNUMBER(P1255))),"",(P1255-N1255)*1440)</f>
        <v/>
      </c>
      <c r="X1255" s="28" t="n"/>
      <c r="Y1255" s="28" t="n"/>
      <c r="Z1255" s="28" t="n"/>
      <c r="AA1255" s="31" t="n"/>
      <c r="AB1255" s="31" t="n"/>
    </row>
    <row r="1256">
      <c r="A1256" s="25" t="inlineStr">
        <is>
          <t>S25</t>
        </is>
      </c>
      <c r="B1256" s="25" t="inlineStr">
        <is>
          <t>관리 신규점3</t>
        </is>
      </c>
      <c r="C1256" s="25" t="inlineStr">
        <is>
          <t>S25-H동</t>
        </is>
      </c>
      <c r="D1256" s="25" t="inlineStr">
        <is>
          <t>측정</t>
        </is>
      </c>
      <c r="E1256" s="25" t="inlineStr">
        <is>
          <t>동</t>
        </is>
      </c>
      <c r="F1256" s="30" t="n">
        <v>2</v>
      </c>
      <c r="G1256" s="29" t="n"/>
      <c r="H1256" s="42" t="n"/>
      <c r="I1256" s="40" t="n"/>
      <c r="J1256" s="40" t="n"/>
      <c r="K1256" s="40" t="n"/>
      <c r="L1256" s="30">
        <f>IF(COUNT(I1256:K1256)=0,"",MEDIAN(I1256:K1256))</f>
        <v/>
      </c>
      <c r="M1256" s="25">
        <f>IF(COUNTIFS($C:$C,$C1256,$D:$D,"P0(전)",$L:$L,"&gt;0")&lt;&gt;1,"P0(전) 유효 1개 아님",IF(COUNTIFS($C:$C,$C1256,$D:$D,"P0(후)",$L:$L,"&gt;0")&lt;&gt;1,"P0(후) 유효 1개 아님",IF(NOT(AND(ISNUMBER(N1256),ISNUMBER(P1256),ISNUMBER(H1256))),"시각 결측",IF(P1256&lt;=N1256,"P0 시각 역전",IF(OR(H1256&lt;N1256,H1256&gt;P1256),"측정시각 구간 밖","OK")))))</f>
        <v/>
      </c>
      <c r="N1256" s="45">
        <f>IF(COUNTIFS($C:$C,$C1256,$D:$D,"P0(전)",$L:$L,"&gt;0")&lt;&gt;1,"",SUMIFS($H:$H,$C:$C,$C1256,$D:$D,"P0(전)"))</f>
        <v/>
      </c>
      <c r="O1256" s="30">
        <f>IF(COUNTIFS($C:$C,$C1256,$D:$D,"P0(전)",$L:$L,"&gt;0")&lt;&gt;1,"",SUMIFS($L:$L,$C:$C,$C1256,$D:$D,"P0(전)"))</f>
        <v/>
      </c>
      <c r="P1256" s="45">
        <f>IF(COUNTIFS($C:$C,$C1256,$D:$D,"P0(후)",$L:$L,"&gt;0")&lt;&gt;1,"",SUMIFS($H:$H,$C:$C,$C1256,$D:$D,"P0(후)"))</f>
        <v/>
      </c>
      <c r="Q1256" s="30">
        <f>IF(COUNTIFS($C:$C,$C1256,$D:$D,"P0(후)",$L:$L,"&gt;0")&lt;&gt;1,"",SUMIFS($L:$L,$C:$C,$C1256,$D:$D,"P0(후)"))</f>
        <v/>
      </c>
      <c r="R1256" s="30">
        <f>IF(M1256&lt;&gt;"OK","",O1256+(Q1256-O1256)*(H1256-N1256)/(P1256-N1256))</f>
        <v/>
      </c>
      <c r="S1256" s="30">
        <f>IF(OR(M1256&lt;&gt;"OK",NOT(ISNUMBER(L1256))),"",L1256-R1256)</f>
        <v/>
      </c>
      <c r="T1256" s="46">
        <f>IF(OR(NOT(ISNUMBER(S1256)),IF(ISNUMBER(G1256),G1256,F1256)=0),"",S1256/IF(ISNUMBER(G1256),G1256,F1256))</f>
        <v/>
      </c>
      <c r="U1256" s="46">
        <f>IF(ISNUMBER(T1256),ABS(T1256),"")</f>
        <v/>
      </c>
      <c r="V1256" s="46">
        <f>IF(OR($D1255&lt;&gt;"측정",$C1255&lt;&gt;$C1256,NOT(ISNUMBER(L1256)),NOT(ISNUMBER(L1255)),(IF(ISNUMBER(G1256),G1256,F1256)-IF(ISNUMBER(G1255),G1255,F1255))=0),"",(L1256-L1255)/(IF(ISNUMBER(G1256),G1256,F1256)-IF(ISNUMBER(G1255),G1255,F1255)))</f>
        <v/>
      </c>
      <c r="W1256" s="30">
        <f>IF(NOT(AND(ISNUMBER(N1256),ISNUMBER(P1256))),"",(P1256-N1256)*1440)</f>
        <v/>
      </c>
      <c r="X1256" s="28" t="n"/>
      <c r="Y1256" s="28" t="n"/>
      <c r="Z1256" s="28" t="n"/>
      <c r="AA1256" s="31" t="n"/>
      <c r="AB1256" s="31" t="n"/>
    </row>
    <row r="1257">
      <c r="A1257" s="25" t="inlineStr">
        <is>
          <t>S25</t>
        </is>
      </c>
      <c r="B1257" s="25" t="inlineStr">
        <is>
          <t>관리 신규점3</t>
        </is>
      </c>
      <c r="C1257" s="25" t="inlineStr">
        <is>
          <t>S25-H동</t>
        </is>
      </c>
      <c r="D1257" s="25" t="inlineStr">
        <is>
          <t>측정</t>
        </is>
      </c>
      <c r="E1257" s="25" t="inlineStr">
        <is>
          <t>동</t>
        </is>
      </c>
      <c r="F1257" s="30" t="n">
        <v>3</v>
      </c>
      <c r="G1257" s="29" t="n"/>
      <c r="H1257" s="42" t="n"/>
      <c r="I1257" s="40" t="n"/>
      <c r="J1257" s="40" t="n"/>
      <c r="K1257" s="40" t="n"/>
      <c r="L1257" s="30">
        <f>IF(COUNT(I1257:K1257)=0,"",MEDIAN(I1257:K1257))</f>
        <v/>
      </c>
      <c r="M1257" s="25">
        <f>IF(COUNTIFS($C:$C,$C1257,$D:$D,"P0(전)",$L:$L,"&gt;0")&lt;&gt;1,"P0(전) 유효 1개 아님",IF(COUNTIFS($C:$C,$C1257,$D:$D,"P0(후)",$L:$L,"&gt;0")&lt;&gt;1,"P0(후) 유효 1개 아님",IF(NOT(AND(ISNUMBER(N1257),ISNUMBER(P1257),ISNUMBER(H1257))),"시각 결측",IF(P1257&lt;=N1257,"P0 시각 역전",IF(OR(H1257&lt;N1257,H1257&gt;P1257),"측정시각 구간 밖","OK")))))</f>
        <v/>
      </c>
      <c r="N1257" s="45">
        <f>IF(COUNTIFS($C:$C,$C1257,$D:$D,"P0(전)",$L:$L,"&gt;0")&lt;&gt;1,"",SUMIFS($H:$H,$C:$C,$C1257,$D:$D,"P0(전)"))</f>
        <v/>
      </c>
      <c r="O1257" s="30">
        <f>IF(COUNTIFS($C:$C,$C1257,$D:$D,"P0(전)",$L:$L,"&gt;0")&lt;&gt;1,"",SUMIFS($L:$L,$C:$C,$C1257,$D:$D,"P0(전)"))</f>
        <v/>
      </c>
      <c r="P1257" s="45">
        <f>IF(COUNTIFS($C:$C,$C1257,$D:$D,"P0(후)",$L:$L,"&gt;0")&lt;&gt;1,"",SUMIFS($H:$H,$C:$C,$C1257,$D:$D,"P0(후)"))</f>
        <v/>
      </c>
      <c r="Q1257" s="30">
        <f>IF(COUNTIFS($C:$C,$C1257,$D:$D,"P0(후)",$L:$L,"&gt;0")&lt;&gt;1,"",SUMIFS($L:$L,$C:$C,$C1257,$D:$D,"P0(후)"))</f>
        <v/>
      </c>
      <c r="R1257" s="30">
        <f>IF(M1257&lt;&gt;"OK","",O1257+(Q1257-O1257)*(H1257-N1257)/(P1257-N1257))</f>
        <v/>
      </c>
      <c r="S1257" s="30">
        <f>IF(OR(M1257&lt;&gt;"OK",NOT(ISNUMBER(L1257))),"",L1257-R1257)</f>
        <v/>
      </c>
      <c r="T1257" s="46">
        <f>IF(OR(NOT(ISNUMBER(S1257)),IF(ISNUMBER(G1257),G1257,F1257)=0),"",S1257/IF(ISNUMBER(G1257),G1257,F1257))</f>
        <v/>
      </c>
      <c r="U1257" s="46">
        <f>IF(ISNUMBER(T1257),ABS(T1257),"")</f>
        <v/>
      </c>
      <c r="V1257" s="46">
        <f>IF(OR($D1256&lt;&gt;"측정",$C1256&lt;&gt;$C1257,NOT(ISNUMBER(L1257)),NOT(ISNUMBER(L1256)),(IF(ISNUMBER(G1257),G1257,F1257)-IF(ISNUMBER(G1256),G1256,F1256))=0),"",(L1257-L1256)/(IF(ISNUMBER(G1257),G1257,F1257)-IF(ISNUMBER(G1256),G1256,F1256)))</f>
        <v/>
      </c>
      <c r="W1257" s="30">
        <f>IF(NOT(AND(ISNUMBER(N1257),ISNUMBER(P1257))),"",(P1257-N1257)*1440)</f>
        <v/>
      </c>
      <c r="X1257" s="28" t="n"/>
      <c r="Y1257" s="28" t="n"/>
      <c r="Z1257" s="28" t="n"/>
      <c r="AA1257" s="31" t="n"/>
      <c r="AB1257" s="31" t="n"/>
    </row>
    <row r="1258">
      <c r="A1258" s="25" t="inlineStr">
        <is>
          <t>S25</t>
        </is>
      </c>
      <c r="B1258" s="25" t="inlineStr">
        <is>
          <t>관리 신규점3</t>
        </is>
      </c>
      <c r="C1258" s="25" t="inlineStr">
        <is>
          <t>S25-H동</t>
        </is>
      </c>
      <c r="D1258" s="25" t="inlineStr">
        <is>
          <t>측정</t>
        </is>
      </c>
      <c r="E1258" s="25" t="inlineStr">
        <is>
          <t>동</t>
        </is>
      </c>
      <c r="F1258" s="30" t="n">
        <v>4</v>
      </c>
      <c r="G1258" s="29" t="n"/>
      <c r="H1258" s="42" t="n"/>
      <c r="I1258" s="40" t="n"/>
      <c r="J1258" s="40" t="n"/>
      <c r="K1258" s="40" t="n"/>
      <c r="L1258" s="30">
        <f>IF(COUNT(I1258:K1258)=0,"",MEDIAN(I1258:K1258))</f>
        <v/>
      </c>
      <c r="M1258" s="25">
        <f>IF(COUNTIFS($C:$C,$C1258,$D:$D,"P0(전)",$L:$L,"&gt;0")&lt;&gt;1,"P0(전) 유효 1개 아님",IF(COUNTIFS($C:$C,$C1258,$D:$D,"P0(후)",$L:$L,"&gt;0")&lt;&gt;1,"P0(후) 유효 1개 아님",IF(NOT(AND(ISNUMBER(N1258),ISNUMBER(P1258),ISNUMBER(H1258))),"시각 결측",IF(P1258&lt;=N1258,"P0 시각 역전",IF(OR(H1258&lt;N1258,H1258&gt;P1258),"측정시각 구간 밖","OK")))))</f>
        <v/>
      </c>
      <c r="N1258" s="45">
        <f>IF(COUNTIFS($C:$C,$C1258,$D:$D,"P0(전)",$L:$L,"&gt;0")&lt;&gt;1,"",SUMIFS($H:$H,$C:$C,$C1258,$D:$D,"P0(전)"))</f>
        <v/>
      </c>
      <c r="O1258" s="30">
        <f>IF(COUNTIFS($C:$C,$C1258,$D:$D,"P0(전)",$L:$L,"&gt;0")&lt;&gt;1,"",SUMIFS($L:$L,$C:$C,$C1258,$D:$D,"P0(전)"))</f>
        <v/>
      </c>
      <c r="P1258" s="45">
        <f>IF(COUNTIFS($C:$C,$C1258,$D:$D,"P0(후)",$L:$L,"&gt;0")&lt;&gt;1,"",SUMIFS($H:$H,$C:$C,$C1258,$D:$D,"P0(후)"))</f>
        <v/>
      </c>
      <c r="Q1258" s="30">
        <f>IF(COUNTIFS($C:$C,$C1258,$D:$D,"P0(후)",$L:$L,"&gt;0")&lt;&gt;1,"",SUMIFS($L:$L,$C:$C,$C1258,$D:$D,"P0(후)"))</f>
        <v/>
      </c>
      <c r="R1258" s="30">
        <f>IF(M1258&lt;&gt;"OK","",O1258+(Q1258-O1258)*(H1258-N1258)/(P1258-N1258))</f>
        <v/>
      </c>
      <c r="S1258" s="30">
        <f>IF(OR(M1258&lt;&gt;"OK",NOT(ISNUMBER(L1258))),"",L1258-R1258)</f>
        <v/>
      </c>
      <c r="T1258" s="46">
        <f>IF(OR(NOT(ISNUMBER(S1258)),IF(ISNUMBER(G1258),G1258,F1258)=0),"",S1258/IF(ISNUMBER(G1258),G1258,F1258))</f>
        <v/>
      </c>
      <c r="U1258" s="46">
        <f>IF(ISNUMBER(T1258),ABS(T1258),"")</f>
        <v/>
      </c>
      <c r="V1258" s="46">
        <f>IF(OR($D1257&lt;&gt;"측정",$C1257&lt;&gt;$C1258,NOT(ISNUMBER(L1258)),NOT(ISNUMBER(L1257)),(IF(ISNUMBER(G1258),G1258,F1258)-IF(ISNUMBER(G1257),G1257,F1257))=0),"",(L1258-L1257)/(IF(ISNUMBER(G1258),G1258,F1258)-IF(ISNUMBER(G1257),G1257,F1257)))</f>
        <v/>
      </c>
      <c r="W1258" s="30">
        <f>IF(NOT(AND(ISNUMBER(N1258),ISNUMBER(P1258))),"",(P1258-N1258)*1440)</f>
        <v/>
      </c>
      <c r="X1258" s="28" t="n"/>
      <c r="Y1258" s="28" t="n"/>
      <c r="Z1258" s="28" t="n"/>
      <c r="AA1258" s="31" t="n"/>
      <c r="AB1258" s="31" t="n"/>
    </row>
    <row r="1259">
      <c r="A1259" s="25" t="inlineStr">
        <is>
          <t>S25</t>
        </is>
      </c>
      <c r="B1259" s="25" t="inlineStr">
        <is>
          <t>관리 신규점3</t>
        </is>
      </c>
      <c r="C1259" s="25" t="inlineStr">
        <is>
          <t>S25-H동</t>
        </is>
      </c>
      <c r="D1259" s="25" t="inlineStr">
        <is>
          <t>측정</t>
        </is>
      </c>
      <c r="E1259" s="25" t="inlineStr">
        <is>
          <t>동</t>
        </is>
      </c>
      <c r="F1259" s="30" t="n">
        <v>5</v>
      </c>
      <c r="G1259" s="29" t="n"/>
      <c r="H1259" s="42" t="n"/>
      <c r="I1259" s="40" t="n"/>
      <c r="J1259" s="40" t="n"/>
      <c r="K1259" s="40" t="n"/>
      <c r="L1259" s="30">
        <f>IF(COUNT(I1259:K1259)=0,"",MEDIAN(I1259:K1259))</f>
        <v/>
      </c>
      <c r="M1259" s="25">
        <f>IF(COUNTIFS($C:$C,$C1259,$D:$D,"P0(전)",$L:$L,"&gt;0")&lt;&gt;1,"P0(전) 유효 1개 아님",IF(COUNTIFS($C:$C,$C1259,$D:$D,"P0(후)",$L:$L,"&gt;0")&lt;&gt;1,"P0(후) 유효 1개 아님",IF(NOT(AND(ISNUMBER(N1259),ISNUMBER(P1259),ISNUMBER(H1259))),"시각 결측",IF(P1259&lt;=N1259,"P0 시각 역전",IF(OR(H1259&lt;N1259,H1259&gt;P1259),"측정시각 구간 밖","OK")))))</f>
        <v/>
      </c>
      <c r="N1259" s="45">
        <f>IF(COUNTIFS($C:$C,$C1259,$D:$D,"P0(전)",$L:$L,"&gt;0")&lt;&gt;1,"",SUMIFS($H:$H,$C:$C,$C1259,$D:$D,"P0(전)"))</f>
        <v/>
      </c>
      <c r="O1259" s="30">
        <f>IF(COUNTIFS($C:$C,$C1259,$D:$D,"P0(전)",$L:$L,"&gt;0")&lt;&gt;1,"",SUMIFS($L:$L,$C:$C,$C1259,$D:$D,"P0(전)"))</f>
        <v/>
      </c>
      <c r="P1259" s="45">
        <f>IF(COUNTIFS($C:$C,$C1259,$D:$D,"P0(후)",$L:$L,"&gt;0")&lt;&gt;1,"",SUMIFS($H:$H,$C:$C,$C1259,$D:$D,"P0(후)"))</f>
        <v/>
      </c>
      <c r="Q1259" s="30">
        <f>IF(COUNTIFS($C:$C,$C1259,$D:$D,"P0(후)",$L:$L,"&gt;0")&lt;&gt;1,"",SUMIFS($L:$L,$C:$C,$C1259,$D:$D,"P0(후)"))</f>
        <v/>
      </c>
      <c r="R1259" s="30">
        <f>IF(M1259&lt;&gt;"OK","",O1259+(Q1259-O1259)*(H1259-N1259)/(P1259-N1259))</f>
        <v/>
      </c>
      <c r="S1259" s="30">
        <f>IF(OR(M1259&lt;&gt;"OK",NOT(ISNUMBER(L1259))),"",L1259-R1259)</f>
        <v/>
      </c>
      <c r="T1259" s="46">
        <f>IF(OR(NOT(ISNUMBER(S1259)),IF(ISNUMBER(G1259),G1259,F1259)=0),"",S1259/IF(ISNUMBER(G1259),G1259,F1259))</f>
        <v/>
      </c>
      <c r="U1259" s="46">
        <f>IF(ISNUMBER(T1259),ABS(T1259),"")</f>
        <v/>
      </c>
      <c r="V1259" s="46">
        <f>IF(OR($D1258&lt;&gt;"측정",$C1258&lt;&gt;$C1259,NOT(ISNUMBER(L1259)),NOT(ISNUMBER(L1258)),(IF(ISNUMBER(G1259),G1259,F1259)-IF(ISNUMBER(G1258),G1258,F1258))=0),"",(L1259-L1258)/(IF(ISNUMBER(G1259),G1259,F1259)-IF(ISNUMBER(G1258),G1258,F1258)))</f>
        <v/>
      </c>
      <c r="W1259" s="30">
        <f>IF(NOT(AND(ISNUMBER(N1259),ISNUMBER(P1259))),"",(P1259-N1259)*1440)</f>
        <v/>
      </c>
      <c r="X1259" s="28" t="n"/>
      <c r="Y1259" s="28" t="n"/>
      <c r="Z1259" s="28" t="n"/>
      <c r="AA1259" s="31" t="n"/>
      <c r="AB1259" s="31" t="n"/>
    </row>
    <row r="1260">
      <c r="A1260" s="25" t="inlineStr">
        <is>
          <t>S25</t>
        </is>
      </c>
      <c r="B1260" s="25" t="inlineStr">
        <is>
          <t>관리 신규점3</t>
        </is>
      </c>
      <c r="C1260" s="25" t="inlineStr">
        <is>
          <t>S25-H동</t>
        </is>
      </c>
      <c r="D1260" s="25" t="inlineStr">
        <is>
          <t>측정</t>
        </is>
      </c>
      <c r="E1260" s="25" t="inlineStr">
        <is>
          <t>동</t>
        </is>
      </c>
      <c r="F1260" s="30" t="n">
        <v>6</v>
      </c>
      <c r="G1260" s="29" t="n"/>
      <c r="H1260" s="42" t="n"/>
      <c r="I1260" s="40" t="n"/>
      <c r="J1260" s="40" t="n"/>
      <c r="K1260" s="40" t="n"/>
      <c r="L1260" s="30">
        <f>IF(COUNT(I1260:K1260)=0,"",MEDIAN(I1260:K1260))</f>
        <v/>
      </c>
      <c r="M1260" s="25">
        <f>IF(COUNTIFS($C:$C,$C1260,$D:$D,"P0(전)",$L:$L,"&gt;0")&lt;&gt;1,"P0(전) 유효 1개 아님",IF(COUNTIFS($C:$C,$C1260,$D:$D,"P0(후)",$L:$L,"&gt;0")&lt;&gt;1,"P0(후) 유효 1개 아님",IF(NOT(AND(ISNUMBER(N1260),ISNUMBER(P1260),ISNUMBER(H1260))),"시각 결측",IF(P1260&lt;=N1260,"P0 시각 역전",IF(OR(H1260&lt;N1260,H1260&gt;P1260),"측정시각 구간 밖","OK")))))</f>
        <v/>
      </c>
      <c r="N1260" s="45">
        <f>IF(COUNTIFS($C:$C,$C1260,$D:$D,"P0(전)",$L:$L,"&gt;0")&lt;&gt;1,"",SUMIFS($H:$H,$C:$C,$C1260,$D:$D,"P0(전)"))</f>
        <v/>
      </c>
      <c r="O1260" s="30">
        <f>IF(COUNTIFS($C:$C,$C1260,$D:$D,"P0(전)",$L:$L,"&gt;0")&lt;&gt;1,"",SUMIFS($L:$L,$C:$C,$C1260,$D:$D,"P0(전)"))</f>
        <v/>
      </c>
      <c r="P1260" s="45">
        <f>IF(COUNTIFS($C:$C,$C1260,$D:$D,"P0(후)",$L:$L,"&gt;0")&lt;&gt;1,"",SUMIFS($H:$H,$C:$C,$C1260,$D:$D,"P0(후)"))</f>
        <v/>
      </c>
      <c r="Q1260" s="30">
        <f>IF(COUNTIFS($C:$C,$C1260,$D:$D,"P0(후)",$L:$L,"&gt;0")&lt;&gt;1,"",SUMIFS($L:$L,$C:$C,$C1260,$D:$D,"P0(후)"))</f>
        <v/>
      </c>
      <c r="R1260" s="30">
        <f>IF(M1260&lt;&gt;"OK","",O1260+(Q1260-O1260)*(H1260-N1260)/(P1260-N1260))</f>
        <v/>
      </c>
      <c r="S1260" s="30">
        <f>IF(OR(M1260&lt;&gt;"OK",NOT(ISNUMBER(L1260))),"",L1260-R1260)</f>
        <v/>
      </c>
      <c r="T1260" s="46">
        <f>IF(OR(NOT(ISNUMBER(S1260)),IF(ISNUMBER(G1260),G1260,F1260)=0),"",S1260/IF(ISNUMBER(G1260),G1260,F1260))</f>
        <v/>
      </c>
      <c r="U1260" s="46">
        <f>IF(ISNUMBER(T1260),ABS(T1260),"")</f>
        <v/>
      </c>
      <c r="V1260" s="46">
        <f>IF(OR($D1259&lt;&gt;"측정",$C1259&lt;&gt;$C1260,NOT(ISNUMBER(L1260)),NOT(ISNUMBER(L1259)),(IF(ISNUMBER(G1260),G1260,F1260)-IF(ISNUMBER(G1259),G1259,F1259))=0),"",(L1260-L1259)/(IF(ISNUMBER(G1260),G1260,F1260)-IF(ISNUMBER(G1259),G1259,F1259)))</f>
        <v/>
      </c>
      <c r="W1260" s="30">
        <f>IF(NOT(AND(ISNUMBER(N1260),ISNUMBER(P1260))),"",(P1260-N1260)*1440)</f>
        <v/>
      </c>
      <c r="X1260" s="28" t="n"/>
      <c r="Y1260" s="28" t="n"/>
      <c r="Z1260" s="28" t="n"/>
      <c r="AA1260" s="31" t="n"/>
      <c r="AB1260" s="31" t="n"/>
    </row>
    <row r="1261">
      <c r="A1261" s="25" t="inlineStr">
        <is>
          <t>S25</t>
        </is>
      </c>
      <c r="B1261" s="25" t="inlineStr">
        <is>
          <t>관리 신규점3</t>
        </is>
      </c>
      <c r="C1261" s="25" t="inlineStr">
        <is>
          <t>S25-H동</t>
        </is>
      </c>
      <c r="D1261" s="25" t="inlineStr">
        <is>
          <t>측정</t>
        </is>
      </c>
      <c r="E1261" s="25" t="inlineStr">
        <is>
          <t>동</t>
        </is>
      </c>
      <c r="F1261" s="30" t="n">
        <v>7</v>
      </c>
      <c r="G1261" s="29" t="n"/>
      <c r="H1261" s="42" t="n"/>
      <c r="I1261" s="40" t="n"/>
      <c r="J1261" s="40" t="n"/>
      <c r="K1261" s="40" t="n"/>
      <c r="L1261" s="30">
        <f>IF(COUNT(I1261:K1261)=0,"",MEDIAN(I1261:K1261))</f>
        <v/>
      </c>
      <c r="M1261" s="25">
        <f>IF(COUNTIFS($C:$C,$C1261,$D:$D,"P0(전)",$L:$L,"&gt;0")&lt;&gt;1,"P0(전) 유효 1개 아님",IF(COUNTIFS($C:$C,$C1261,$D:$D,"P0(후)",$L:$L,"&gt;0")&lt;&gt;1,"P0(후) 유효 1개 아님",IF(NOT(AND(ISNUMBER(N1261),ISNUMBER(P1261),ISNUMBER(H1261))),"시각 결측",IF(P1261&lt;=N1261,"P0 시각 역전",IF(OR(H1261&lt;N1261,H1261&gt;P1261),"측정시각 구간 밖","OK")))))</f>
        <v/>
      </c>
      <c r="N1261" s="45">
        <f>IF(COUNTIFS($C:$C,$C1261,$D:$D,"P0(전)",$L:$L,"&gt;0")&lt;&gt;1,"",SUMIFS($H:$H,$C:$C,$C1261,$D:$D,"P0(전)"))</f>
        <v/>
      </c>
      <c r="O1261" s="30">
        <f>IF(COUNTIFS($C:$C,$C1261,$D:$D,"P0(전)",$L:$L,"&gt;0")&lt;&gt;1,"",SUMIFS($L:$L,$C:$C,$C1261,$D:$D,"P0(전)"))</f>
        <v/>
      </c>
      <c r="P1261" s="45">
        <f>IF(COUNTIFS($C:$C,$C1261,$D:$D,"P0(후)",$L:$L,"&gt;0")&lt;&gt;1,"",SUMIFS($H:$H,$C:$C,$C1261,$D:$D,"P0(후)"))</f>
        <v/>
      </c>
      <c r="Q1261" s="30">
        <f>IF(COUNTIFS($C:$C,$C1261,$D:$D,"P0(후)",$L:$L,"&gt;0")&lt;&gt;1,"",SUMIFS($L:$L,$C:$C,$C1261,$D:$D,"P0(후)"))</f>
        <v/>
      </c>
      <c r="R1261" s="30">
        <f>IF(M1261&lt;&gt;"OK","",O1261+(Q1261-O1261)*(H1261-N1261)/(P1261-N1261))</f>
        <v/>
      </c>
      <c r="S1261" s="30">
        <f>IF(OR(M1261&lt;&gt;"OK",NOT(ISNUMBER(L1261))),"",L1261-R1261)</f>
        <v/>
      </c>
      <c r="T1261" s="46">
        <f>IF(OR(NOT(ISNUMBER(S1261)),IF(ISNUMBER(G1261),G1261,F1261)=0),"",S1261/IF(ISNUMBER(G1261),G1261,F1261))</f>
        <v/>
      </c>
      <c r="U1261" s="46">
        <f>IF(ISNUMBER(T1261),ABS(T1261),"")</f>
        <v/>
      </c>
      <c r="V1261" s="46">
        <f>IF(OR($D1260&lt;&gt;"측정",$C1260&lt;&gt;$C1261,NOT(ISNUMBER(L1261)),NOT(ISNUMBER(L1260)),(IF(ISNUMBER(G1261),G1261,F1261)-IF(ISNUMBER(G1260),G1260,F1260))=0),"",(L1261-L1260)/(IF(ISNUMBER(G1261),G1261,F1261)-IF(ISNUMBER(G1260),G1260,F1260)))</f>
        <v/>
      </c>
      <c r="W1261" s="30">
        <f>IF(NOT(AND(ISNUMBER(N1261),ISNUMBER(P1261))),"",(P1261-N1261)*1440)</f>
        <v/>
      </c>
      <c r="X1261" s="28" t="n"/>
      <c r="Y1261" s="28" t="n"/>
      <c r="Z1261" s="28" t="n"/>
      <c r="AA1261" s="31" t="n"/>
      <c r="AB1261" s="31" t="n"/>
    </row>
    <row r="1262">
      <c r="A1262" s="25" t="inlineStr">
        <is>
          <t>S25</t>
        </is>
      </c>
      <c r="B1262" s="25" t="inlineStr">
        <is>
          <t>관리 신규점3</t>
        </is>
      </c>
      <c r="C1262" s="25" t="inlineStr">
        <is>
          <t>S25-H동</t>
        </is>
      </c>
      <c r="D1262" s="25" t="inlineStr">
        <is>
          <t>측정</t>
        </is>
      </c>
      <c r="E1262" s="25" t="inlineStr">
        <is>
          <t>동</t>
        </is>
      </c>
      <c r="F1262" s="30" t="n">
        <v>8</v>
      </c>
      <c r="G1262" s="29" t="n"/>
      <c r="H1262" s="42" t="n"/>
      <c r="I1262" s="40" t="n"/>
      <c r="J1262" s="40" t="n"/>
      <c r="K1262" s="40" t="n"/>
      <c r="L1262" s="30">
        <f>IF(COUNT(I1262:K1262)=0,"",MEDIAN(I1262:K1262))</f>
        <v/>
      </c>
      <c r="M1262" s="25">
        <f>IF(COUNTIFS($C:$C,$C1262,$D:$D,"P0(전)",$L:$L,"&gt;0")&lt;&gt;1,"P0(전) 유효 1개 아님",IF(COUNTIFS($C:$C,$C1262,$D:$D,"P0(후)",$L:$L,"&gt;0")&lt;&gt;1,"P0(후) 유효 1개 아님",IF(NOT(AND(ISNUMBER(N1262),ISNUMBER(P1262),ISNUMBER(H1262))),"시각 결측",IF(P1262&lt;=N1262,"P0 시각 역전",IF(OR(H1262&lt;N1262,H1262&gt;P1262),"측정시각 구간 밖","OK")))))</f>
        <v/>
      </c>
      <c r="N1262" s="45">
        <f>IF(COUNTIFS($C:$C,$C1262,$D:$D,"P0(전)",$L:$L,"&gt;0")&lt;&gt;1,"",SUMIFS($H:$H,$C:$C,$C1262,$D:$D,"P0(전)"))</f>
        <v/>
      </c>
      <c r="O1262" s="30">
        <f>IF(COUNTIFS($C:$C,$C1262,$D:$D,"P0(전)",$L:$L,"&gt;0")&lt;&gt;1,"",SUMIFS($L:$L,$C:$C,$C1262,$D:$D,"P0(전)"))</f>
        <v/>
      </c>
      <c r="P1262" s="45">
        <f>IF(COUNTIFS($C:$C,$C1262,$D:$D,"P0(후)",$L:$L,"&gt;0")&lt;&gt;1,"",SUMIFS($H:$H,$C:$C,$C1262,$D:$D,"P0(후)"))</f>
        <v/>
      </c>
      <c r="Q1262" s="30">
        <f>IF(COUNTIFS($C:$C,$C1262,$D:$D,"P0(후)",$L:$L,"&gt;0")&lt;&gt;1,"",SUMIFS($L:$L,$C:$C,$C1262,$D:$D,"P0(후)"))</f>
        <v/>
      </c>
      <c r="R1262" s="30">
        <f>IF(M1262&lt;&gt;"OK","",O1262+(Q1262-O1262)*(H1262-N1262)/(P1262-N1262))</f>
        <v/>
      </c>
      <c r="S1262" s="30">
        <f>IF(OR(M1262&lt;&gt;"OK",NOT(ISNUMBER(L1262))),"",L1262-R1262)</f>
        <v/>
      </c>
      <c r="T1262" s="46">
        <f>IF(OR(NOT(ISNUMBER(S1262)),IF(ISNUMBER(G1262),G1262,F1262)=0),"",S1262/IF(ISNUMBER(G1262),G1262,F1262))</f>
        <v/>
      </c>
      <c r="U1262" s="46">
        <f>IF(ISNUMBER(T1262),ABS(T1262),"")</f>
        <v/>
      </c>
      <c r="V1262" s="46">
        <f>IF(OR($D1261&lt;&gt;"측정",$C1261&lt;&gt;$C1262,NOT(ISNUMBER(L1262)),NOT(ISNUMBER(L1261)),(IF(ISNUMBER(G1262),G1262,F1262)-IF(ISNUMBER(G1261),G1261,F1261))=0),"",(L1262-L1261)/(IF(ISNUMBER(G1262),G1262,F1262)-IF(ISNUMBER(G1261),G1261,F1261)))</f>
        <v/>
      </c>
      <c r="W1262" s="30">
        <f>IF(NOT(AND(ISNUMBER(N1262),ISNUMBER(P1262))),"",(P1262-N1262)*1440)</f>
        <v/>
      </c>
      <c r="X1262" s="28" t="n"/>
      <c r="Y1262" s="28" t="n"/>
      <c r="Z1262" s="28" t="n"/>
      <c r="AA1262" s="31" t="n"/>
      <c r="AB1262" s="31" t="n"/>
    </row>
    <row r="1263">
      <c r="A1263" s="25" t="inlineStr">
        <is>
          <t>S25</t>
        </is>
      </c>
      <c r="B1263" s="25" t="inlineStr">
        <is>
          <t>관리 신규점3</t>
        </is>
      </c>
      <c r="C1263" s="25" t="inlineStr">
        <is>
          <t>S25-H동</t>
        </is>
      </c>
      <c r="D1263" s="25" t="inlineStr">
        <is>
          <t>측정</t>
        </is>
      </c>
      <c r="E1263" s="25" t="inlineStr">
        <is>
          <t>동</t>
        </is>
      </c>
      <c r="F1263" s="30" t="n">
        <v>9</v>
      </c>
      <c r="G1263" s="29" t="n"/>
      <c r="H1263" s="42" t="n"/>
      <c r="I1263" s="40" t="n"/>
      <c r="J1263" s="40" t="n"/>
      <c r="K1263" s="40" t="n"/>
      <c r="L1263" s="30">
        <f>IF(COUNT(I1263:K1263)=0,"",MEDIAN(I1263:K1263))</f>
        <v/>
      </c>
      <c r="M1263" s="25">
        <f>IF(COUNTIFS($C:$C,$C1263,$D:$D,"P0(전)",$L:$L,"&gt;0")&lt;&gt;1,"P0(전) 유효 1개 아님",IF(COUNTIFS($C:$C,$C1263,$D:$D,"P0(후)",$L:$L,"&gt;0")&lt;&gt;1,"P0(후) 유효 1개 아님",IF(NOT(AND(ISNUMBER(N1263),ISNUMBER(P1263),ISNUMBER(H1263))),"시각 결측",IF(P1263&lt;=N1263,"P0 시각 역전",IF(OR(H1263&lt;N1263,H1263&gt;P1263),"측정시각 구간 밖","OK")))))</f>
        <v/>
      </c>
      <c r="N1263" s="45">
        <f>IF(COUNTIFS($C:$C,$C1263,$D:$D,"P0(전)",$L:$L,"&gt;0")&lt;&gt;1,"",SUMIFS($H:$H,$C:$C,$C1263,$D:$D,"P0(전)"))</f>
        <v/>
      </c>
      <c r="O1263" s="30">
        <f>IF(COUNTIFS($C:$C,$C1263,$D:$D,"P0(전)",$L:$L,"&gt;0")&lt;&gt;1,"",SUMIFS($L:$L,$C:$C,$C1263,$D:$D,"P0(전)"))</f>
        <v/>
      </c>
      <c r="P1263" s="45">
        <f>IF(COUNTIFS($C:$C,$C1263,$D:$D,"P0(후)",$L:$L,"&gt;0")&lt;&gt;1,"",SUMIFS($H:$H,$C:$C,$C1263,$D:$D,"P0(후)"))</f>
        <v/>
      </c>
      <c r="Q1263" s="30">
        <f>IF(COUNTIFS($C:$C,$C1263,$D:$D,"P0(후)",$L:$L,"&gt;0")&lt;&gt;1,"",SUMIFS($L:$L,$C:$C,$C1263,$D:$D,"P0(후)"))</f>
        <v/>
      </c>
      <c r="R1263" s="30">
        <f>IF(M1263&lt;&gt;"OK","",O1263+(Q1263-O1263)*(H1263-N1263)/(P1263-N1263))</f>
        <v/>
      </c>
      <c r="S1263" s="30">
        <f>IF(OR(M1263&lt;&gt;"OK",NOT(ISNUMBER(L1263))),"",L1263-R1263)</f>
        <v/>
      </c>
      <c r="T1263" s="46">
        <f>IF(OR(NOT(ISNUMBER(S1263)),IF(ISNUMBER(G1263),G1263,F1263)=0),"",S1263/IF(ISNUMBER(G1263),G1263,F1263))</f>
        <v/>
      </c>
      <c r="U1263" s="46">
        <f>IF(ISNUMBER(T1263),ABS(T1263),"")</f>
        <v/>
      </c>
      <c r="V1263" s="46">
        <f>IF(OR($D1262&lt;&gt;"측정",$C1262&lt;&gt;$C1263,NOT(ISNUMBER(L1263)),NOT(ISNUMBER(L1262)),(IF(ISNUMBER(G1263),G1263,F1263)-IF(ISNUMBER(G1262),G1262,F1262))=0),"",(L1263-L1262)/(IF(ISNUMBER(G1263),G1263,F1263)-IF(ISNUMBER(G1262),G1262,F1262)))</f>
        <v/>
      </c>
      <c r="W1263" s="30">
        <f>IF(NOT(AND(ISNUMBER(N1263),ISNUMBER(P1263))),"",(P1263-N1263)*1440)</f>
        <v/>
      </c>
      <c r="X1263" s="28" t="n"/>
      <c r="Y1263" s="28" t="n"/>
      <c r="Z1263" s="28" t="n"/>
      <c r="AA1263" s="31" t="n"/>
      <c r="AB1263" s="31" t="n"/>
    </row>
    <row r="1264">
      <c r="A1264" s="25" t="inlineStr">
        <is>
          <t>S25</t>
        </is>
      </c>
      <c r="B1264" s="25" t="inlineStr">
        <is>
          <t>관리 신규점3</t>
        </is>
      </c>
      <c r="C1264" s="25" t="inlineStr">
        <is>
          <t>S25-H동</t>
        </is>
      </c>
      <c r="D1264" s="25" t="inlineStr">
        <is>
          <t>측정</t>
        </is>
      </c>
      <c r="E1264" s="25" t="inlineStr">
        <is>
          <t>동</t>
        </is>
      </c>
      <c r="F1264" s="30" t="n">
        <v>10</v>
      </c>
      <c r="G1264" s="29" t="n"/>
      <c r="H1264" s="42" t="n"/>
      <c r="I1264" s="40" t="n"/>
      <c r="J1264" s="40" t="n"/>
      <c r="K1264" s="40" t="n"/>
      <c r="L1264" s="30">
        <f>IF(COUNT(I1264:K1264)=0,"",MEDIAN(I1264:K1264))</f>
        <v/>
      </c>
      <c r="M1264" s="25">
        <f>IF(COUNTIFS($C:$C,$C1264,$D:$D,"P0(전)",$L:$L,"&gt;0")&lt;&gt;1,"P0(전) 유효 1개 아님",IF(COUNTIFS($C:$C,$C1264,$D:$D,"P0(후)",$L:$L,"&gt;0")&lt;&gt;1,"P0(후) 유효 1개 아님",IF(NOT(AND(ISNUMBER(N1264),ISNUMBER(P1264),ISNUMBER(H1264))),"시각 결측",IF(P1264&lt;=N1264,"P0 시각 역전",IF(OR(H1264&lt;N1264,H1264&gt;P1264),"측정시각 구간 밖","OK")))))</f>
        <v/>
      </c>
      <c r="N1264" s="45">
        <f>IF(COUNTIFS($C:$C,$C1264,$D:$D,"P0(전)",$L:$L,"&gt;0")&lt;&gt;1,"",SUMIFS($H:$H,$C:$C,$C1264,$D:$D,"P0(전)"))</f>
        <v/>
      </c>
      <c r="O1264" s="30">
        <f>IF(COUNTIFS($C:$C,$C1264,$D:$D,"P0(전)",$L:$L,"&gt;0")&lt;&gt;1,"",SUMIFS($L:$L,$C:$C,$C1264,$D:$D,"P0(전)"))</f>
        <v/>
      </c>
      <c r="P1264" s="45">
        <f>IF(COUNTIFS($C:$C,$C1264,$D:$D,"P0(후)",$L:$L,"&gt;0")&lt;&gt;1,"",SUMIFS($H:$H,$C:$C,$C1264,$D:$D,"P0(후)"))</f>
        <v/>
      </c>
      <c r="Q1264" s="30">
        <f>IF(COUNTIFS($C:$C,$C1264,$D:$D,"P0(후)",$L:$L,"&gt;0")&lt;&gt;1,"",SUMIFS($L:$L,$C:$C,$C1264,$D:$D,"P0(후)"))</f>
        <v/>
      </c>
      <c r="R1264" s="30">
        <f>IF(M1264&lt;&gt;"OK","",O1264+(Q1264-O1264)*(H1264-N1264)/(P1264-N1264))</f>
        <v/>
      </c>
      <c r="S1264" s="30">
        <f>IF(OR(M1264&lt;&gt;"OK",NOT(ISNUMBER(L1264))),"",L1264-R1264)</f>
        <v/>
      </c>
      <c r="T1264" s="46">
        <f>IF(OR(NOT(ISNUMBER(S1264)),IF(ISNUMBER(G1264),G1264,F1264)=0),"",S1264/IF(ISNUMBER(G1264),G1264,F1264))</f>
        <v/>
      </c>
      <c r="U1264" s="46">
        <f>IF(ISNUMBER(T1264),ABS(T1264),"")</f>
        <v/>
      </c>
      <c r="V1264" s="46">
        <f>IF(OR($D1263&lt;&gt;"측정",$C1263&lt;&gt;$C1264,NOT(ISNUMBER(L1264)),NOT(ISNUMBER(L1263)),(IF(ISNUMBER(G1264),G1264,F1264)-IF(ISNUMBER(G1263),G1263,F1263))=0),"",(L1264-L1263)/(IF(ISNUMBER(G1264),G1264,F1264)-IF(ISNUMBER(G1263),G1263,F1263)))</f>
        <v/>
      </c>
      <c r="W1264" s="30">
        <f>IF(NOT(AND(ISNUMBER(N1264),ISNUMBER(P1264))),"",(P1264-N1264)*1440)</f>
        <v/>
      </c>
      <c r="X1264" s="28" t="n"/>
      <c r="Y1264" s="28" t="n"/>
      <c r="Z1264" s="28" t="n"/>
      <c r="AA1264" s="31" t="n"/>
      <c r="AB1264" s="31" t="n"/>
    </row>
    <row r="1265">
      <c r="A1265" s="43" t="inlineStr">
        <is>
          <t>S25</t>
        </is>
      </c>
      <c r="B1265" s="43" t="inlineStr">
        <is>
          <t>관리 신규점3</t>
        </is>
      </c>
      <c r="C1265" s="43" t="inlineStr">
        <is>
          <t>S25-H동</t>
        </is>
      </c>
      <c r="D1265" s="43" t="inlineStr">
        <is>
          <t>P0(후)</t>
        </is>
      </c>
      <c r="E1265" s="43" t="inlineStr">
        <is>
          <t>동</t>
        </is>
      </c>
      <c r="F1265" s="44" t="n"/>
      <c r="G1265" s="29" t="n"/>
      <c r="H1265" s="42" t="n"/>
      <c r="I1265" s="40" t="n"/>
      <c r="J1265" s="40" t="n"/>
      <c r="K1265" s="40" t="n"/>
      <c r="L1265" s="30">
        <f>IF(COUNT(I1265:K1265)=0,"",MEDIAN(I1265:K1265))</f>
        <v/>
      </c>
      <c r="M1265" s="37" t="n"/>
      <c r="N1265" s="37" t="n"/>
      <c r="O1265" s="37" t="n"/>
      <c r="P1265" s="37" t="n"/>
      <c r="Q1265" s="37" t="n"/>
      <c r="R1265" s="37" t="n"/>
      <c r="S1265" s="37" t="n"/>
      <c r="T1265" s="37" t="n"/>
      <c r="U1265" s="37" t="n"/>
      <c r="V1265" s="37" t="n"/>
      <c r="W1265" s="37" t="n"/>
      <c r="X1265" s="28" t="n"/>
      <c r="Y1265" s="28" t="n"/>
      <c r="Z1265" s="28" t="n"/>
      <c r="AA1265" s="31" t="n"/>
      <c r="AB1265" s="31" t="n"/>
    </row>
    <row r="1266">
      <c r="A1266" s="43" t="inlineStr">
        <is>
          <t>S25</t>
        </is>
      </c>
      <c r="B1266" s="43" t="inlineStr">
        <is>
          <t>관리 신규점3</t>
        </is>
      </c>
      <c r="C1266" s="43" t="inlineStr">
        <is>
          <t>S25-H서</t>
        </is>
      </c>
      <c r="D1266" s="43" t="inlineStr">
        <is>
          <t>P0(전)</t>
        </is>
      </c>
      <c r="E1266" s="43" t="inlineStr">
        <is>
          <t>서</t>
        </is>
      </c>
      <c r="F1266" s="44" t="n"/>
      <c r="G1266" s="29" t="n"/>
      <c r="H1266" s="42" t="n"/>
      <c r="I1266" s="40" t="n"/>
      <c r="J1266" s="40" t="n"/>
      <c r="K1266" s="40" t="n"/>
      <c r="L1266" s="30">
        <f>IF(COUNT(I1266:K1266)=0,"",MEDIAN(I1266:K1266))</f>
        <v/>
      </c>
      <c r="M1266" s="37" t="n"/>
      <c r="N1266" s="37" t="n"/>
      <c r="O1266" s="37" t="n"/>
      <c r="P1266" s="37" t="n"/>
      <c r="Q1266" s="37" t="n"/>
      <c r="R1266" s="37" t="n"/>
      <c r="S1266" s="37" t="n"/>
      <c r="T1266" s="37" t="n"/>
      <c r="U1266" s="37" t="n"/>
      <c r="V1266" s="37" t="n"/>
      <c r="W1266" s="37" t="n"/>
      <c r="X1266" s="28" t="n"/>
      <c r="Y1266" s="28" t="n"/>
      <c r="Z1266" s="28" t="n"/>
      <c r="AA1266" s="31" t="n"/>
      <c r="AB1266" s="31" t="n"/>
    </row>
    <row r="1267">
      <c r="A1267" s="25" t="inlineStr">
        <is>
          <t>S25</t>
        </is>
      </c>
      <c r="B1267" s="25" t="inlineStr">
        <is>
          <t>관리 신규점3</t>
        </is>
      </c>
      <c r="C1267" s="25" t="inlineStr">
        <is>
          <t>S25-H서</t>
        </is>
      </c>
      <c r="D1267" s="25" t="inlineStr">
        <is>
          <t>측정</t>
        </is>
      </c>
      <c r="E1267" s="25" t="inlineStr">
        <is>
          <t>서</t>
        </is>
      </c>
      <c r="F1267" s="30" t="n">
        <v>0.5</v>
      </c>
      <c r="G1267" s="29" t="n"/>
      <c r="H1267" s="42" t="n"/>
      <c r="I1267" s="40" t="n"/>
      <c r="J1267" s="40" t="n"/>
      <c r="K1267" s="40" t="n"/>
      <c r="L1267" s="30">
        <f>IF(COUNT(I1267:K1267)=0,"",MEDIAN(I1267:K1267))</f>
        <v/>
      </c>
      <c r="M1267" s="25">
        <f>IF(COUNTIFS($C:$C,$C1267,$D:$D,"P0(전)",$L:$L,"&gt;0")&lt;&gt;1,"P0(전) 유효 1개 아님",IF(COUNTIFS($C:$C,$C1267,$D:$D,"P0(후)",$L:$L,"&gt;0")&lt;&gt;1,"P0(후) 유효 1개 아님",IF(NOT(AND(ISNUMBER(N1267),ISNUMBER(P1267),ISNUMBER(H1267))),"시각 결측",IF(P1267&lt;=N1267,"P0 시각 역전",IF(OR(H1267&lt;N1267,H1267&gt;P1267),"측정시각 구간 밖","OK")))))</f>
        <v/>
      </c>
      <c r="N1267" s="45">
        <f>IF(COUNTIFS($C:$C,$C1267,$D:$D,"P0(전)",$L:$L,"&gt;0")&lt;&gt;1,"",SUMIFS($H:$H,$C:$C,$C1267,$D:$D,"P0(전)"))</f>
        <v/>
      </c>
      <c r="O1267" s="30">
        <f>IF(COUNTIFS($C:$C,$C1267,$D:$D,"P0(전)",$L:$L,"&gt;0")&lt;&gt;1,"",SUMIFS($L:$L,$C:$C,$C1267,$D:$D,"P0(전)"))</f>
        <v/>
      </c>
      <c r="P1267" s="45">
        <f>IF(COUNTIFS($C:$C,$C1267,$D:$D,"P0(후)",$L:$L,"&gt;0")&lt;&gt;1,"",SUMIFS($H:$H,$C:$C,$C1267,$D:$D,"P0(후)"))</f>
        <v/>
      </c>
      <c r="Q1267" s="30">
        <f>IF(COUNTIFS($C:$C,$C1267,$D:$D,"P0(후)",$L:$L,"&gt;0")&lt;&gt;1,"",SUMIFS($L:$L,$C:$C,$C1267,$D:$D,"P0(후)"))</f>
        <v/>
      </c>
      <c r="R1267" s="30">
        <f>IF(M1267&lt;&gt;"OK","",O1267+(Q1267-O1267)*(H1267-N1267)/(P1267-N1267))</f>
        <v/>
      </c>
      <c r="S1267" s="30">
        <f>IF(OR(M1267&lt;&gt;"OK",NOT(ISNUMBER(L1267))),"",L1267-R1267)</f>
        <v/>
      </c>
      <c r="T1267" s="46">
        <f>IF(OR(NOT(ISNUMBER(S1267)),IF(ISNUMBER(G1267),G1267,F1267)=0),"",S1267/IF(ISNUMBER(G1267),G1267,F1267))</f>
        <v/>
      </c>
      <c r="U1267" s="46">
        <f>IF(ISNUMBER(T1267),ABS(T1267),"")</f>
        <v/>
      </c>
      <c r="V1267" s="46">
        <f>IF(OR($D1266&lt;&gt;"측정",$C1266&lt;&gt;$C1267,NOT(ISNUMBER(L1267)),NOT(ISNUMBER(L1266)),(IF(ISNUMBER(G1267),G1267,F1267)-IF(ISNUMBER(G1266),G1266,F1266))=0),"",(L1267-L1266)/(IF(ISNUMBER(G1267),G1267,F1267)-IF(ISNUMBER(G1266),G1266,F1266)))</f>
        <v/>
      </c>
      <c r="W1267" s="30">
        <f>IF(NOT(AND(ISNUMBER(N1267),ISNUMBER(P1267))),"",(P1267-N1267)*1440)</f>
        <v/>
      </c>
      <c r="X1267" s="28" t="n"/>
      <c r="Y1267" s="28" t="n"/>
      <c r="Z1267" s="28" t="n"/>
      <c r="AA1267" s="31" t="n"/>
      <c r="AB1267" s="31" t="n"/>
    </row>
    <row r="1268">
      <c r="A1268" s="25" t="inlineStr">
        <is>
          <t>S25</t>
        </is>
      </c>
      <c r="B1268" s="25" t="inlineStr">
        <is>
          <t>관리 신규점3</t>
        </is>
      </c>
      <c r="C1268" s="25" t="inlineStr">
        <is>
          <t>S25-H서</t>
        </is>
      </c>
      <c r="D1268" s="25" t="inlineStr">
        <is>
          <t>측정</t>
        </is>
      </c>
      <c r="E1268" s="25" t="inlineStr">
        <is>
          <t>서</t>
        </is>
      </c>
      <c r="F1268" s="30" t="n">
        <v>1</v>
      </c>
      <c r="G1268" s="29" t="n"/>
      <c r="H1268" s="42" t="n"/>
      <c r="I1268" s="40" t="n"/>
      <c r="J1268" s="40" t="n"/>
      <c r="K1268" s="40" t="n"/>
      <c r="L1268" s="30">
        <f>IF(COUNT(I1268:K1268)=0,"",MEDIAN(I1268:K1268))</f>
        <v/>
      </c>
      <c r="M1268" s="25">
        <f>IF(COUNTIFS($C:$C,$C1268,$D:$D,"P0(전)",$L:$L,"&gt;0")&lt;&gt;1,"P0(전) 유효 1개 아님",IF(COUNTIFS($C:$C,$C1268,$D:$D,"P0(후)",$L:$L,"&gt;0")&lt;&gt;1,"P0(후) 유효 1개 아님",IF(NOT(AND(ISNUMBER(N1268),ISNUMBER(P1268),ISNUMBER(H1268))),"시각 결측",IF(P1268&lt;=N1268,"P0 시각 역전",IF(OR(H1268&lt;N1268,H1268&gt;P1268),"측정시각 구간 밖","OK")))))</f>
        <v/>
      </c>
      <c r="N1268" s="45">
        <f>IF(COUNTIFS($C:$C,$C1268,$D:$D,"P0(전)",$L:$L,"&gt;0")&lt;&gt;1,"",SUMIFS($H:$H,$C:$C,$C1268,$D:$D,"P0(전)"))</f>
        <v/>
      </c>
      <c r="O1268" s="30">
        <f>IF(COUNTIFS($C:$C,$C1268,$D:$D,"P0(전)",$L:$L,"&gt;0")&lt;&gt;1,"",SUMIFS($L:$L,$C:$C,$C1268,$D:$D,"P0(전)"))</f>
        <v/>
      </c>
      <c r="P1268" s="45">
        <f>IF(COUNTIFS($C:$C,$C1268,$D:$D,"P0(후)",$L:$L,"&gt;0")&lt;&gt;1,"",SUMIFS($H:$H,$C:$C,$C1268,$D:$D,"P0(후)"))</f>
        <v/>
      </c>
      <c r="Q1268" s="30">
        <f>IF(COUNTIFS($C:$C,$C1268,$D:$D,"P0(후)",$L:$L,"&gt;0")&lt;&gt;1,"",SUMIFS($L:$L,$C:$C,$C1268,$D:$D,"P0(후)"))</f>
        <v/>
      </c>
      <c r="R1268" s="30">
        <f>IF(M1268&lt;&gt;"OK","",O1268+(Q1268-O1268)*(H1268-N1268)/(P1268-N1268))</f>
        <v/>
      </c>
      <c r="S1268" s="30">
        <f>IF(OR(M1268&lt;&gt;"OK",NOT(ISNUMBER(L1268))),"",L1268-R1268)</f>
        <v/>
      </c>
      <c r="T1268" s="46">
        <f>IF(OR(NOT(ISNUMBER(S1268)),IF(ISNUMBER(G1268),G1268,F1268)=0),"",S1268/IF(ISNUMBER(G1268),G1268,F1268))</f>
        <v/>
      </c>
      <c r="U1268" s="46">
        <f>IF(ISNUMBER(T1268),ABS(T1268),"")</f>
        <v/>
      </c>
      <c r="V1268" s="46">
        <f>IF(OR($D1267&lt;&gt;"측정",$C1267&lt;&gt;$C1268,NOT(ISNUMBER(L1268)),NOT(ISNUMBER(L1267)),(IF(ISNUMBER(G1268),G1268,F1268)-IF(ISNUMBER(G1267),G1267,F1267))=0),"",(L1268-L1267)/(IF(ISNUMBER(G1268),G1268,F1268)-IF(ISNUMBER(G1267),G1267,F1267)))</f>
        <v/>
      </c>
      <c r="W1268" s="30">
        <f>IF(NOT(AND(ISNUMBER(N1268),ISNUMBER(P1268))),"",(P1268-N1268)*1440)</f>
        <v/>
      </c>
      <c r="X1268" s="28" t="n"/>
      <c r="Y1268" s="28" t="n"/>
      <c r="Z1268" s="28" t="n"/>
      <c r="AA1268" s="31" t="n"/>
      <c r="AB1268" s="31" t="n"/>
    </row>
    <row r="1269">
      <c r="A1269" s="25" t="inlineStr">
        <is>
          <t>S25</t>
        </is>
      </c>
      <c r="B1269" s="25" t="inlineStr">
        <is>
          <t>관리 신규점3</t>
        </is>
      </c>
      <c r="C1269" s="25" t="inlineStr">
        <is>
          <t>S25-H서</t>
        </is>
      </c>
      <c r="D1269" s="25" t="inlineStr">
        <is>
          <t>측정</t>
        </is>
      </c>
      <c r="E1269" s="25" t="inlineStr">
        <is>
          <t>서</t>
        </is>
      </c>
      <c r="F1269" s="30" t="n">
        <v>2</v>
      </c>
      <c r="G1269" s="29" t="n"/>
      <c r="H1269" s="42" t="n"/>
      <c r="I1269" s="40" t="n"/>
      <c r="J1269" s="40" t="n"/>
      <c r="K1269" s="40" t="n"/>
      <c r="L1269" s="30">
        <f>IF(COUNT(I1269:K1269)=0,"",MEDIAN(I1269:K1269))</f>
        <v/>
      </c>
      <c r="M1269" s="25">
        <f>IF(COUNTIFS($C:$C,$C1269,$D:$D,"P0(전)",$L:$L,"&gt;0")&lt;&gt;1,"P0(전) 유효 1개 아님",IF(COUNTIFS($C:$C,$C1269,$D:$D,"P0(후)",$L:$L,"&gt;0")&lt;&gt;1,"P0(후) 유효 1개 아님",IF(NOT(AND(ISNUMBER(N1269),ISNUMBER(P1269),ISNUMBER(H1269))),"시각 결측",IF(P1269&lt;=N1269,"P0 시각 역전",IF(OR(H1269&lt;N1269,H1269&gt;P1269),"측정시각 구간 밖","OK")))))</f>
        <v/>
      </c>
      <c r="N1269" s="45">
        <f>IF(COUNTIFS($C:$C,$C1269,$D:$D,"P0(전)",$L:$L,"&gt;0")&lt;&gt;1,"",SUMIFS($H:$H,$C:$C,$C1269,$D:$D,"P0(전)"))</f>
        <v/>
      </c>
      <c r="O1269" s="30">
        <f>IF(COUNTIFS($C:$C,$C1269,$D:$D,"P0(전)",$L:$L,"&gt;0")&lt;&gt;1,"",SUMIFS($L:$L,$C:$C,$C1269,$D:$D,"P0(전)"))</f>
        <v/>
      </c>
      <c r="P1269" s="45">
        <f>IF(COUNTIFS($C:$C,$C1269,$D:$D,"P0(후)",$L:$L,"&gt;0")&lt;&gt;1,"",SUMIFS($H:$H,$C:$C,$C1269,$D:$D,"P0(후)"))</f>
        <v/>
      </c>
      <c r="Q1269" s="30">
        <f>IF(COUNTIFS($C:$C,$C1269,$D:$D,"P0(후)",$L:$L,"&gt;0")&lt;&gt;1,"",SUMIFS($L:$L,$C:$C,$C1269,$D:$D,"P0(후)"))</f>
        <v/>
      </c>
      <c r="R1269" s="30">
        <f>IF(M1269&lt;&gt;"OK","",O1269+(Q1269-O1269)*(H1269-N1269)/(P1269-N1269))</f>
        <v/>
      </c>
      <c r="S1269" s="30">
        <f>IF(OR(M1269&lt;&gt;"OK",NOT(ISNUMBER(L1269))),"",L1269-R1269)</f>
        <v/>
      </c>
      <c r="T1269" s="46">
        <f>IF(OR(NOT(ISNUMBER(S1269)),IF(ISNUMBER(G1269),G1269,F1269)=0),"",S1269/IF(ISNUMBER(G1269),G1269,F1269))</f>
        <v/>
      </c>
      <c r="U1269" s="46">
        <f>IF(ISNUMBER(T1269),ABS(T1269),"")</f>
        <v/>
      </c>
      <c r="V1269" s="46">
        <f>IF(OR($D1268&lt;&gt;"측정",$C1268&lt;&gt;$C1269,NOT(ISNUMBER(L1269)),NOT(ISNUMBER(L1268)),(IF(ISNUMBER(G1269),G1269,F1269)-IF(ISNUMBER(G1268),G1268,F1268))=0),"",(L1269-L1268)/(IF(ISNUMBER(G1269),G1269,F1269)-IF(ISNUMBER(G1268),G1268,F1268)))</f>
        <v/>
      </c>
      <c r="W1269" s="30">
        <f>IF(NOT(AND(ISNUMBER(N1269),ISNUMBER(P1269))),"",(P1269-N1269)*1440)</f>
        <v/>
      </c>
      <c r="X1269" s="28" t="n"/>
      <c r="Y1269" s="28" t="n"/>
      <c r="Z1269" s="28" t="n"/>
      <c r="AA1269" s="31" t="n"/>
      <c r="AB1269" s="31" t="n"/>
    </row>
    <row r="1270">
      <c r="A1270" s="25" t="inlineStr">
        <is>
          <t>S25</t>
        </is>
      </c>
      <c r="B1270" s="25" t="inlineStr">
        <is>
          <t>관리 신규점3</t>
        </is>
      </c>
      <c r="C1270" s="25" t="inlineStr">
        <is>
          <t>S25-H서</t>
        </is>
      </c>
      <c r="D1270" s="25" t="inlineStr">
        <is>
          <t>측정</t>
        </is>
      </c>
      <c r="E1270" s="25" t="inlineStr">
        <is>
          <t>서</t>
        </is>
      </c>
      <c r="F1270" s="30" t="n">
        <v>3</v>
      </c>
      <c r="G1270" s="29" t="n"/>
      <c r="H1270" s="42" t="n"/>
      <c r="I1270" s="40" t="n"/>
      <c r="J1270" s="40" t="n"/>
      <c r="K1270" s="40" t="n"/>
      <c r="L1270" s="30">
        <f>IF(COUNT(I1270:K1270)=0,"",MEDIAN(I1270:K1270))</f>
        <v/>
      </c>
      <c r="M1270" s="25">
        <f>IF(COUNTIFS($C:$C,$C1270,$D:$D,"P0(전)",$L:$L,"&gt;0")&lt;&gt;1,"P0(전) 유효 1개 아님",IF(COUNTIFS($C:$C,$C1270,$D:$D,"P0(후)",$L:$L,"&gt;0")&lt;&gt;1,"P0(후) 유효 1개 아님",IF(NOT(AND(ISNUMBER(N1270),ISNUMBER(P1270),ISNUMBER(H1270))),"시각 결측",IF(P1270&lt;=N1270,"P0 시각 역전",IF(OR(H1270&lt;N1270,H1270&gt;P1270),"측정시각 구간 밖","OK")))))</f>
        <v/>
      </c>
      <c r="N1270" s="45">
        <f>IF(COUNTIFS($C:$C,$C1270,$D:$D,"P0(전)",$L:$L,"&gt;0")&lt;&gt;1,"",SUMIFS($H:$H,$C:$C,$C1270,$D:$D,"P0(전)"))</f>
        <v/>
      </c>
      <c r="O1270" s="30">
        <f>IF(COUNTIFS($C:$C,$C1270,$D:$D,"P0(전)",$L:$L,"&gt;0")&lt;&gt;1,"",SUMIFS($L:$L,$C:$C,$C1270,$D:$D,"P0(전)"))</f>
        <v/>
      </c>
      <c r="P1270" s="45">
        <f>IF(COUNTIFS($C:$C,$C1270,$D:$D,"P0(후)",$L:$L,"&gt;0")&lt;&gt;1,"",SUMIFS($H:$H,$C:$C,$C1270,$D:$D,"P0(후)"))</f>
        <v/>
      </c>
      <c r="Q1270" s="30">
        <f>IF(COUNTIFS($C:$C,$C1270,$D:$D,"P0(후)",$L:$L,"&gt;0")&lt;&gt;1,"",SUMIFS($L:$L,$C:$C,$C1270,$D:$D,"P0(후)"))</f>
        <v/>
      </c>
      <c r="R1270" s="30">
        <f>IF(M1270&lt;&gt;"OK","",O1270+(Q1270-O1270)*(H1270-N1270)/(P1270-N1270))</f>
        <v/>
      </c>
      <c r="S1270" s="30">
        <f>IF(OR(M1270&lt;&gt;"OK",NOT(ISNUMBER(L1270))),"",L1270-R1270)</f>
        <v/>
      </c>
      <c r="T1270" s="46">
        <f>IF(OR(NOT(ISNUMBER(S1270)),IF(ISNUMBER(G1270),G1270,F1270)=0),"",S1270/IF(ISNUMBER(G1270),G1270,F1270))</f>
        <v/>
      </c>
      <c r="U1270" s="46">
        <f>IF(ISNUMBER(T1270),ABS(T1270),"")</f>
        <v/>
      </c>
      <c r="V1270" s="46">
        <f>IF(OR($D1269&lt;&gt;"측정",$C1269&lt;&gt;$C1270,NOT(ISNUMBER(L1270)),NOT(ISNUMBER(L1269)),(IF(ISNUMBER(G1270),G1270,F1270)-IF(ISNUMBER(G1269),G1269,F1269))=0),"",(L1270-L1269)/(IF(ISNUMBER(G1270),G1270,F1270)-IF(ISNUMBER(G1269),G1269,F1269)))</f>
        <v/>
      </c>
      <c r="W1270" s="30">
        <f>IF(NOT(AND(ISNUMBER(N1270),ISNUMBER(P1270))),"",(P1270-N1270)*1440)</f>
        <v/>
      </c>
      <c r="X1270" s="28" t="n"/>
      <c r="Y1270" s="28" t="n"/>
      <c r="Z1270" s="28" t="n"/>
      <c r="AA1270" s="31" t="n"/>
      <c r="AB1270" s="31" t="n"/>
    </row>
    <row r="1271">
      <c r="A1271" s="25" t="inlineStr">
        <is>
          <t>S25</t>
        </is>
      </c>
      <c r="B1271" s="25" t="inlineStr">
        <is>
          <t>관리 신규점3</t>
        </is>
      </c>
      <c r="C1271" s="25" t="inlineStr">
        <is>
          <t>S25-H서</t>
        </is>
      </c>
      <c r="D1271" s="25" t="inlineStr">
        <is>
          <t>측정</t>
        </is>
      </c>
      <c r="E1271" s="25" t="inlineStr">
        <is>
          <t>서</t>
        </is>
      </c>
      <c r="F1271" s="30" t="n">
        <v>4</v>
      </c>
      <c r="G1271" s="29" t="n"/>
      <c r="H1271" s="42" t="n"/>
      <c r="I1271" s="40" t="n"/>
      <c r="J1271" s="40" t="n"/>
      <c r="K1271" s="40" t="n"/>
      <c r="L1271" s="30">
        <f>IF(COUNT(I1271:K1271)=0,"",MEDIAN(I1271:K1271))</f>
        <v/>
      </c>
      <c r="M1271" s="25">
        <f>IF(COUNTIFS($C:$C,$C1271,$D:$D,"P0(전)",$L:$L,"&gt;0")&lt;&gt;1,"P0(전) 유효 1개 아님",IF(COUNTIFS($C:$C,$C1271,$D:$D,"P0(후)",$L:$L,"&gt;0")&lt;&gt;1,"P0(후) 유효 1개 아님",IF(NOT(AND(ISNUMBER(N1271),ISNUMBER(P1271),ISNUMBER(H1271))),"시각 결측",IF(P1271&lt;=N1271,"P0 시각 역전",IF(OR(H1271&lt;N1271,H1271&gt;P1271),"측정시각 구간 밖","OK")))))</f>
        <v/>
      </c>
      <c r="N1271" s="45">
        <f>IF(COUNTIFS($C:$C,$C1271,$D:$D,"P0(전)",$L:$L,"&gt;0")&lt;&gt;1,"",SUMIFS($H:$H,$C:$C,$C1271,$D:$D,"P0(전)"))</f>
        <v/>
      </c>
      <c r="O1271" s="30">
        <f>IF(COUNTIFS($C:$C,$C1271,$D:$D,"P0(전)",$L:$L,"&gt;0")&lt;&gt;1,"",SUMIFS($L:$L,$C:$C,$C1271,$D:$D,"P0(전)"))</f>
        <v/>
      </c>
      <c r="P1271" s="45">
        <f>IF(COUNTIFS($C:$C,$C1271,$D:$D,"P0(후)",$L:$L,"&gt;0")&lt;&gt;1,"",SUMIFS($H:$H,$C:$C,$C1271,$D:$D,"P0(후)"))</f>
        <v/>
      </c>
      <c r="Q1271" s="30">
        <f>IF(COUNTIFS($C:$C,$C1271,$D:$D,"P0(후)",$L:$L,"&gt;0")&lt;&gt;1,"",SUMIFS($L:$L,$C:$C,$C1271,$D:$D,"P0(후)"))</f>
        <v/>
      </c>
      <c r="R1271" s="30">
        <f>IF(M1271&lt;&gt;"OK","",O1271+(Q1271-O1271)*(H1271-N1271)/(P1271-N1271))</f>
        <v/>
      </c>
      <c r="S1271" s="30">
        <f>IF(OR(M1271&lt;&gt;"OK",NOT(ISNUMBER(L1271))),"",L1271-R1271)</f>
        <v/>
      </c>
      <c r="T1271" s="46">
        <f>IF(OR(NOT(ISNUMBER(S1271)),IF(ISNUMBER(G1271),G1271,F1271)=0),"",S1271/IF(ISNUMBER(G1271),G1271,F1271))</f>
        <v/>
      </c>
      <c r="U1271" s="46">
        <f>IF(ISNUMBER(T1271),ABS(T1271),"")</f>
        <v/>
      </c>
      <c r="V1271" s="46">
        <f>IF(OR($D1270&lt;&gt;"측정",$C1270&lt;&gt;$C1271,NOT(ISNUMBER(L1271)),NOT(ISNUMBER(L1270)),(IF(ISNUMBER(G1271),G1271,F1271)-IF(ISNUMBER(G1270),G1270,F1270))=0),"",(L1271-L1270)/(IF(ISNUMBER(G1271),G1271,F1271)-IF(ISNUMBER(G1270),G1270,F1270)))</f>
        <v/>
      </c>
      <c r="W1271" s="30">
        <f>IF(NOT(AND(ISNUMBER(N1271),ISNUMBER(P1271))),"",(P1271-N1271)*1440)</f>
        <v/>
      </c>
      <c r="X1271" s="28" t="n"/>
      <c r="Y1271" s="28" t="n"/>
      <c r="Z1271" s="28" t="n"/>
      <c r="AA1271" s="31" t="n"/>
      <c r="AB1271" s="31" t="n"/>
    </row>
    <row r="1272">
      <c r="A1272" s="25" t="inlineStr">
        <is>
          <t>S25</t>
        </is>
      </c>
      <c r="B1272" s="25" t="inlineStr">
        <is>
          <t>관리 신규점3</t>
        </is>
      </c>
      <c r="C1272" s="25" t="inlineStr">
        <is>
          <t>S25-H서</t>
        </is>
      </c>
      <c r="D1272" s="25" t="inlineStr">
        <is>
          <t>측정</t>
        </is>
      </c>
      <c r="E1272" s="25" t="inlineStr">
        <is>
          <t>서</t>
        </is>
      </c>
      <c r="F1272" s="30" t="n">
        <v>5</v>
      </c>
      <c r="G1272" s="29" t="n"/>
      <c r="H1272" s="42" t="n"/>
      <c r="I1272" s="40" t="n"/>
      <c r="J1272" s="40" t="n"/>
      <c r="K1272" s="40" t="n"/>
      <c r="L1272" s="30">
        <f>IF(COUNT(I1272:K1272)=0,"",MEDIAN(I1272:K1272))</f>
        <v/>
      </c>
      <c r="M1272" s="25">
        <f>IF(COUNTIFS($C:$C,$C1272,$D:$D,"P0(전)",$L:$L,"&gt;0")&lt;&gt;1,"P0(전) 유효 1개 아님",IF(COUNTIFS($C:$C,$C1272,$D:$D,"P0(후)",$L:$L,"&gt;0")&lt;&gt;1,"P0(후) 유효 1개 아님",IF(NOT(AND(ISNUMBER(N1272),ISNUMBER(P1272),ISNUMBER(H1272))),"시각 결측",IF(P1272&lt;=N1272,"P0 시각 역전",IF(OR(H1272&lt;N1272,H1272&gt;P1272),"측정시각 구간 밖","OK")))))</f>
        <v/>
      </c>
      <c r="N1272" s="45">
        <f>IF(COUNTIFS($C:$C,$C1272,$D:$D,"P0(전)",$L:$L,"&gt;0")&lt;&gt;1,"",SUMIFS($H:$H,$C:$C,$C1272,$D:$D,"P0(전)"))</f>
        <v/>
      </c>
      <c r="O1272" s="30">
        <f>IF(COUNTIFS($C:$C,$C1272,$D:$D,"P0(전)",$L:$L,"&gt;0")&lt;&gt;1,"",SUMIFS($L:$L,$C:$C,$C1272,$D:$D,"P0(전)"))</f>
        <v/>
      </c>
      <c r="P1272" s="45">
        <f>IF(COUNTIFS($C:$C,$C1272,$D:$D,"P0(후)",$L:$L,"&gt;0")&lt;&gt;1,"",SUMIFS($H:$H,$C:$C,$C1272,$D:$D,"P0(후)"))</f>
        <v/>
      </c>
      <c r="Q1272" s="30">
        <f>IF(COUNTIFS($C:$C,$C1272,$D:$D,"P0(후)",$L:$L,"&gt;0")&lt;&gt;1,"",SUMIFS($L:$L,$C:$C,$C1272,$D:$D,"P0(후)"))</f>
        <v/>
      </c>
      <c r="R1272" s="30">
        <f>IF(M1272&lt;&gt;"OK","",O1272+(Q1272-O1272)*(H1272-N1272)/(P1272-N1272))</f>
        <v/>
      </c>
      <c r="S1272" s="30">
        <f>IF(OR(M1272&lt;&gt;"OK",NOT(ISNUMBER(L1272))),"",L1272-R1272)</f>
        <v/>
      </c>
      <c r="T1272" s="46">
        <f>IF(OR(NOT(ISNUMBER(S1272)),IF(ISNUMBER(G1272),G1272,F1272)=0),"",S1272/IF(ISNUMBER(G1272),G1272,F1272))</f>
        <v/>
      </c>
      <c r="U1272" s="46">
        <f>IF(ISNUMBER(T1272),ABS(T1272),"")</f>
        <v/>
      </c>
      <c r="V1272" s="46">
        <f>IF(OR($D1271&lt;&gt;"측정",$C1271&lt;&gt;$C1272,NOT(ISNUMBER(L1272)),NOT(ISNUMBER(L1271)),(IF(ISNUMBER(G1272),G1272,F1272)-IF(ISNUMBER(G1271),G1271,F1271))=0),"",(L1272-L1271)/(IF(ISNUMBER(G1272),G1272,F1272)-IF(ISNUMBER(G1271),G1271,F1271)))</f>
        <v/>
      </c>
      <c r="W1272" s="30">
        <f>IF(NOT(AND(ISNUMBER(N1272),ISNUMBER(P1272))),"",(P1272-N1272)*1440)</f>
        <v/>
      </c>
      <c r="X1272" s="28" t="n"/>
      <c r="Y1272" s="28" t="n"/>
      <c r="Z1272" s="28" t="n"/>
      <c r="AA1272" s="31" t="n"/>
      <c r="AB1272" s="31" t="n"/>
    </row>
    <row r="1273">
      <c r="A1273" s="25" t="inlineStr">
        <is>
          <t>S25</t>
        </is>
      </c>
      <c r="B1273" s="25" t="inlineStr">
        <is>
          <t>관리 신규점3</t>
        </is>
      </c>
      <c r="C1273" s="25" t="inlineStr">
        <is>
          <t>S25-H서</t>
        </is>
      </c>
      <c r="D1273" s="25" t="inlineStr">
        <is>
          <t>측정</t>
        </is>
      </c>
      <c r="E1273" s="25" t="inlineStr">
        <is>
          <t>서</t>
        </is>
      </c>
      <c r="F1273" s="30" t="n">
        <v>6</v>
      </c>
      <c r="G1273" s="29" t="n"/>
      <c r="H1273" s="42" t="n"/>
      <c r="I1273" s="40" t="n"/>
      <c r="J1273" s="40" t="n"/>
      <c r="K1273" s="40" t="n"/>
      <c r="L1273" s="30">
        <f>IF(COUNT(I1273:K1273)=0,"",MEDIAN(I1273:K1273))</f>
        <v/>
      </c>
      <c r="M1273" s="25">
        <f>IF(COUNTIFS($C:$C,$C1273,$D:$D,"P0(전)",$L:$L,"&gt;0")&lt;&gt;1,"P0(전) 유효 1개 아님",IF(COUNTIFS($C:$C,$C1273,$D:$D,"P0(후)",$L:$L,"&gt;0")&lt;&gt;1,"P0(후) 유효 1개 아님",IF(NOT(AND(ISNUMBER(N1273),ISNUMBER(P1273),ISNUMBER(H1273))),"시각 결측",IF(P1273&lt;=N1273,"P0 시각 역전",IF(OR(H1273&lt;N1273,H1273&gt;P1273),"측정시각 구간 밖","OK")))))</f>
        <v/>
      </c>
      <c r="N1273" s="45">
        <f>IF(COUNTIFS($C:$C,$C1273,$D:$D,"P0(전)",$L:$L,"&gt;0")&lt;&gt;1,"",SUMIFS($H:$H,$C:$C,$C1273,$D:$D,"P0(전)"))</f>
        <v/>
      </c>
      <c r="O1273" s="30">
        <f>IF(COUNTIFS($C:$C,$C1273,$D:$D,"P0(전)",$L:$L,"&gt;0")&lt;&gt;1,"",SUMIFS($L:$L,$C:$C,$C1273,$D:$D,"P0(전)"))</f>
        <v/>
      </c>
      <c r="P1273" s="45">
        <f>IF(COUNTIFS($C:$C,$C1273,$D:$D,"P0(후)",$L:$L,"&gt;0")&lt;&gt;1,"",SUMIFS($H:$H,$C:$C,$C1273,$D:$D,"P0(후)"))</f>
        <v/>
      </c>
      <c r="Q1273" s="30">
        <f>IF(COUNTIFS($C:$C,$C1273,$D:$D,"P0(후)",$L:$L,"&gt;0")&lt;&gt;1,"",SUMIFS($L:$L,$C:$C,$C1273,$D:$D,"P0(후)"))</f>
        <v/>
      </c>
      <c r="R1273" s="30">
        <f>IF(M1273&lt;&gt;"OK","",O1273+(Q1273-O1273)*(H1273-N1273)/(P1273-N1273))</f>
        <v/>
      </c>
      <c r="S1273" s="30">
        <f>IF(OR(M1273&lt;&gt;"OK",NOT(ISNUMBER(L1273))),"",L1273-R1273)</f>
        <v/>
      </c>
      <c r="T1273" s="46">
        <f>IF(OR(NOT(ISNUMBER(S1273)),IF(ISNUMBER(G1273),G1273,F1273)=0),"",S1273/IF(ISNUMBER(G1273),G1273,F1273))</f>
        <v/>
      </c>
      <c r="U1273" s="46">
        <f>IF(ISNUMBER(T1273),ABS(T1273),"")</f>
        <v/>
      </c>
      <c r="V1273" s="46">
        <f>IF(OR($D1272&lt;&gt;"측정",$C1272&lt;&gt;$C1273,NOT(ISNUMBER(L1273)),NOT(ISNUMBER(L1272)),(IF(ISNUMBER(G1273),G1273,F1273)-IF(ISNUMBER(G1272),G1272,F1272))=0),"",(L1273-L1272)/(IF(ISNUMBER(G1273),G1273,F1273)-IF(ISNUMBER(G1272),G1272,F1272)))</f>
        <v/>
      </c>
      <c r="W1273" s="30">
        <f>IF(NOT(AND(ISNUMBER(N1273),ISNUMBER(P1273))),"",(P1273-N1273)*1440)</f>
        <v/>
      </c>
      <c r="X1273" s="28" t="n"/>
      <c r="Y1273" s="28" t="n"/>
      <c r="Z1273" s="28" t="n"/>
      <c r="AA1273" s="31" t="n"/>
      <c r="AB1273" s="31" t="n"/>
    </row>
    <row r="1274">
      <c r="A1274" s="25" t="inlineStr">
        <is>
          <t>S25</t>
        </is>
      </c>
      <c r="B1274" s="25" t="inlineStr">
        <is>
          <t>관리 신규점3</t>
        </is>
      </c>
      <c r="C1274" s="25" t="inlineStr">
        <is>
          <t>S25-H서</t>
        </is>
      </c>
      <c r="D1274" s="25" t="inlineStr">
        <is>
          <t>측정</t>
        </is>
      </c>
      <c r="E1274" s="25" t="inlineStr">
        <is>
          <t>서</t>
        </is>
      </c>
      <c r="F1274" s="30" t="n">
        <v>7</v>
      </c>
      <c r="G1274" s="29" t="n"/>
      <c r="H1274" s="42" t="n"/>
      <c r="I1274" s="40" t="n"/>
      <c r="J1274" s="40" t="n"/>
      <c r="K1274" s="40" t="n"/>
      <c r="L1274" s="30">
        <f>IF(COUNT(I1274:K1274)=0,"",MEDIAN(I1274:K1274))</f>
        <v/>
      </c>
      <c r="M1274" s="25">
        <f>IF(COUNTIFS($C:$C,$C1274,$D:$D,"P0(전)",$L:$L,"&gt;0")&lt;&gt;1,"P0(전) 유효 1개 아님",IF(COUNTIFS($C:$C,$C1274,$D:$D,"P0(후)",$L:$L,"&gt;0")&lt;&gt;1,"P0(후) 유효 1개 아님",IF(NOT(AND(ISNUMBER(N1274),ISNUMBER(P1274),ISNUMBER(H1274))),"시각 결측",IF(P1274&lt;=N1274,"P0 시각 역전",IF(OR(H1274&lt;N1274,H1274&gt;P1274),"측정시각 구간 밖","OK")))))</f>
        <v/>
      </c>
      <c r="N1274" s="45">
        <f>IF(COUNTIFS($C:$C,$C1274,$D:$D,"P0(전)",$L:$L,"&gt;0")&lt;&gt;1,"",SUMIFS($H:$H,$C:$C,$C1274,$D:$D,"P0(전)"))</f>
        <v/>
      </c>
      <c r="O1274" s="30">
        <f>IF(COUNTIFS($C:$C,$C1274,$D:$D,"P0(전)",$L:$L,"&gt;0")&lt;&gt;1,"",SUMIFS($L:$L,$C:$C,$C1274,$D:$D,"P0(전)"))</f>
        <v/>
      </c>
      <c r="P1274" s="45">
        <f>IF(COUNTIFS($C:$C,$C1274,$D:$D,"P0(후)",$L:$L,"&gt;0")&lt;&gt;1,"",SUMIFS($H:$H,$C:$C,$C1274,$D:$D,"P0(후)"))</f>
        <v/>
      </c>
      <c r="Q1274" s="30">
        <f>IF(COUNTIFS($C:$C,$C1274,$D:$D,"P0(후)",$L:$L,"&gt;0")&lt;&gt;1,"",SUMIFS($L:$L,$C:$C,$C1274,$D:$D,"P0(후)"))</f>
        <v/>
      </c>
      <c r="R1274" s="30">
        <f>IF(M1274&lt;&gt;"OK","",O1274+(Q1274-O1274)*(H1274-N1274)/(P1274-N1274))</f>
        <v/>
      </c>
      <c r="S1274" s="30">
        <f>IF(OR(M1274&lt;&gt;"OK",NOT(ISNUMBER(L1274))),"",L1274-R1274)</f>
        <v/>
      </c>
      <c r="T1274" s="46">
        <f>IF(OR(NOT(ISNUMBER(S1274)),IF(ISNUMBER(G1274),G1274,F1274)=0),"",S1274/IF(ISNUMBER(G1274),G1274,F1274))</f>
        <v/>
      </c>
      <c r="U1274" s="46">
        <f>IF(ISNUMBER(T1274),ABS(T1274),"")</f>
        <v/>
      </c>
      <c r="V1274" s="46">
        <f>IF(OR($D1273&lt;&gt;"측정",$C1273&lt;&gt;$C1274,NOT(ISNUMBER(L1274)),NOT(ISNUMBER(L1273)),(IF(ISNUMBER(G1274),G1274,F1274)-IF(ISNUMBER(G1273),G1273,F1273))=0),"",(L1274-L1273)/(IF(ISNUMBER(G1274),G1274,F1274)-IF(ISNUMBER(G1273),G1273,F1273)))</f>
        <v/>
      </c>
      <c r="W1274" s="30">
        <f>IF(NOT(AND(ISNUMBER(N1274),ISNUMBER(P1274))),"",(P1274-N1274)*1440)</f>
        <v/>
      </c>
      <c r="X1274" s="28" t="n"/>
      <c r="Y1274" s="28" t="n"/>
      <c r="Z1274" s="28" t="n"/>
      <c r="AA1274" s="31" t="n"/>
      <c r="AB1274" s="31" t="n"/>
    </row>
    <row r="1275">
      <c r="A1275" s="25" t="inlineStr">
        <is>
          <t>S25</t>
        </is>
      </c>
      <c r="B1275" s="25" t="inlineStr">
        <is>
          <t>관리 신규점3</t>
        </is>
      </c>
      <c r="C1275" s="25" t="inlineStr">
        <is>
          <t>S25-H서</t>
        </is>
      </c>
      <c r="D1275" s="25" t="inlineStr">
        <is>
          <t>측정</t>
        </is>
      </c>
      <c r="E1275" s="25" t="inlineStr">
        <is>
          <t>서</t>
        </is>
      </c>
      <c r="F1275" s="30" t="n">
        <v>8</v>
      </c>
      <c r="G1275" s="29" t="n"/>
      <c r="H1275" s="42" t="n"/>
      <c r="I1275" s="40" t="n"/>
      <c r="J1275" s="40" t="n"/>
      <c r="K1275" s="40" t="n"/>
      <c r="L1275" s="30">
        <f>IF(COUNT(I1275:K1275)=0,"",MEDIAN(I1275:K1275))</f>
        <v/>
      </c>
      <c r="M1275" s="25">
        <f>IF(COUNTIFS($C:$C,$C1275,$D:$D,"P0(전)",$L:$L,"&gt;0")&lt;&gt;1,"P0(전) 유효 1개 아님",IF(COUNTIFS($C:$C,$C1275,$D:$D,"P0(후)",$L:$L,"&gt;0")&lt;&gt;1,"P0(후) 유효 1개 아님",IF(NOT(AND(ISNUMBER(N1275),ISNUMBER(P1275),ISNUMBER(H1275))),"시각 결측",IF(P1275&lt;=N1275,"P0 시각 역전",IF(OR(H1275&lt;N1275,H1275&gt;P1275),"측정시각 구간 밖","OK")))))</f>
        <v/>
      </c>
      <c r="N1275" s="45">
        <f>IF(COUNTIFS($C:$C,$C1275,$D:$D,"P0(전)",$L:$L,"&gt;0")&lt;&gt;1,"",SUMIFS($H:$H,$C:$C,$C1275,$D:$D,"P0(전)"))</f>
        <v/>
      </c>
      <c r="O1275" s="30">
        <f>IF(COUNTIFS($C:$C,$C1275,$D:$D,"P0(전)",$L:$L,"&gt;0")&lt;&gt;1,"",SUMIFS($L:$L,$C:$C,$C1275,$D:$D,"P0(전)"))</f>
        <v/>
      </c>
      <c r="P1275" s="45">
        <f>IF(COUNTIFS($C:$C,$C1275,$D:$D,"P0(후)",$L:$L,"&gt;0")&lt;&gt;1,"",SUMIFS($H:$H,$C:$C,$C1275,$D:$D,"P0(후)"))</f>
        <v/>
      </c>
      <c r="Q1275" s="30">
        <f>IF(COUNTIFS($C:$C,$C1275,$D:$D,"P0(후)",$L:$L,"&gt;0")&lt;&gt;1,"",SUMIFS($L:$L,$C:$C,$C1275,$D:$D,"P0(후)"))</f>
        <v/>
      </c>
      <c r="R1275" s="30">
        <f>IF(M1275&lt;&gt;"OK","",O1275+(Q1275-O1275)*(H1275-N1275)/(P1275-N1275))</f>
        <v/>
      </c>
      <c r="S1275" s="30">
        <f>IF(OR(M1275&lt;&gt;"OK",NOT(ISNUMBER(L1275))),"",L1275-R1275)</f>
        <v/>
      </c>
      <c r="T1275" s="46">
        <f>IF(OR(NOT(ISNUMBER(S1275)),IF(ISNUMBER(G1275),G1275,F1275)=0),"",S1275/IF(ISNUMBER(G1275),G1275,F1275))</f>
        <v/>
      </c>
      <c r="U1275" s="46">
        <f>IF(ISNUMBER(T1275),ABS(T1275),"")</f>
        <v/>
      </c>
      <c r="V1275" s="46">
        <f>IF(OR($D1274&lt;&gt;"측정",$C1274&lt;&gt;$C1275,NOT(ISNUMBER(L1275)),NOT(ISNUMBER(L1274)),(IF(ISNUMBER(G1275),G1275,F1275)-IF(ISNUMBER(G1274),G1274,F1274))=0),"",(L1275-L1274)/(IF(ISNUMBER(G1275),G1275,F1275)-IF(ISNUMBER(G1274),G1274,F1274)))</f>
        <v/>
      </c>
      <c r="W1275" s="30">
        <f>IF(NOT(AND(ISNUMBER(N1275),ISNUMBER(P1275))),"",(P1275-N1275)*1440)</f>
        <v/>
      </c>
      <c r="X1275" s="28" t="n"/>
      <c r="Y1275" s="28" t="n"/>
      <c r="Z1275" s="28" t="n"/>
      <c r="AA1275" s="31" t="n"/>
      <c r="AB1275" s="31" t="n"/>
    </row>
    <row r="1276">
      <c r="A1276" s="25" t="inlineStr">
        <is>
          <t>S25</t>
        </is>
      </c>
      <c r="B1276" s="25" t="inlineStr">
        <is>
          <t>관리 신규점3</t>
        </is>
      </c>
      <c r="C1276" s="25" t="inlineStr">
        <is>
          <t>S25-H서</t>
        </is>
      </c>
      <c r="D1276" s="25" t="inlineStr">
        <is>
          <t>측정</t>
        </is>
      </c>
      <c r="E1276" s="25" t="inlineStr">
        <is>
          <t>서</t>
        </is>
      </c>
      <c r="F1276" s="30" t="n">
        <v>9</v>
      </c>
      <c r="G1276" s="29" t="n"/>
      <c r="H1276" s="42" t="n"/>
      <c r="I1276" s="40" t="n"/>
      <c r="J1276" s="40" t="n"/>
      <c r="K1276" s="40" t="n"/>
      <c r="L1276" s="30">
        <f>IF(COUNT(I1276:K1276)=0,"",MEDIAN(I1276:K1276))</f>
        <v/>
      </c>
      <c r="M1276" s="25">
        <f>IF(COUNTIFS($C:$C,$C1276,$D:$D,"P0(전)",$L:$L,"&gt;0")&lt;&gt;1,"P0(전) 유효 1개 아님",IF(COUNTIFS($C:$C,$C1276,$D:$D,"P0(후)",$L:$L,"&gt;0")&lt;&gt;1,"P0(후) 유효 1개 아님",IF(NOT(AND(ISNUMBER(N1276),ISNUMBER(P1276),ISNUMBER(H1276))),"시각 결측",IF(P1276&lt;=N1276,"P0 시각 역전",IF(OR(H1276&lt;N1276,H1276&gt;P1276),"측정시각 구간 밖","OK")))))</f>
        <v/>
      </c>
      <c r="N1276" s="45">
        <f>IF(COUNTIFS($C:$C,$C1276,$D:$D,"P0(전)",$L:$L,"&gt;0")&lt;&gt;1,"",SUMIFS($H:$H,$C:$C,$C1276,$D:$D,"P0(전)"))</f>
        <v/>
      </c>
      <c r="O1276" s="30">
        <f>IF(COUNTIFS($C:$C,$C1276,$D:$D,"P0(전)",$L:$L,"&gt;0")&lt;&gt;1,"",SUMIFS($L:$L,$C:$C,$C1276,$D:$D,"P0(전)"))</f>
        <v/>
      </c>
      <c r="P1276" s="45">
        <f>IF(COUNTIFS($C:$C,$C1276,$D:$D,"P0(후)",$L:$L,"&gt;0")&lt;&gt;1,"",SUMIFS($H:$H,$C:$C,$C1276,$D:$D,"P0(후)"))</f>
        <v/>
      </c>
      <c r="Q1276" s="30">
        <f>IF(COUNTIFS($C:$C,$C1276,$D:$D,"P0(후)",$L:$L,"&gt;0")&lt;&gt;1,"",SUMIFS($L:$L,$C:$C,$C1276,$D:$D,"P0(후)"))</f>
        <v/>
      </c>
      <c r="R1276" s="30">
        <f>IF(M1276&lt;&gt;"OK","",O1276+(Q1276-O1276)*(H1276-N1276)/(P1276-N1276))</f>
        <v/>
      </c>
      <c r="S1276" s="30">
        <f>IF(OR(M1276&lt;&gt;"OK",NOT(ISNUMBER(L1276))),"",L1276-R1276)</f>
        <v/>
      </c>
      <c r="T1276" s="46">
        <f>IF(OR(NOT(ISNUMBER(S1276)),IF(ISNUMBER(G1276),G1276,F1276)=0),"",S1276/IF(ISNUMBER(G1276),G1276,F1276))</f>
        <v/>
      </c>
      <c r="U1276" s="46">
        <f>IF(ISNUMBER(T1276),ABS(T1276),"")</f>
        <v/>
      </c>
      <c r="V1276" s="46">
        <f>IF(OR($D1275&lt;&gt;"측정",$C1275&lt;&gt;$C1276,NOT(ISNUMBER(L1276)),NOT(ISNUMBER(L1275)),(IF(ISNUMBER(G1276),G1276,F1276)-IF(ISNUMBER(G1275),G1275,F1275))=0),"",(L1276-L1275)/(IF(ISNUMBER(G1276),G1276,F1276)-IF(ISNUMBER(G1275),G1275,F1275)))</f>
        <v/>
      </c>
      <c r="W1276" s="30">
        <f>IF(NOT(AND(ISNUMBER(N1276),ISNUMBER(P1276))),"",(P1276-N1276)*1440)</f>
        <v/>
      </c>
      <c r="X1276" s="28" t="n"/>
      <c r="Y1276" s="28" t="n"/>
      <c r="Z1276" s="28" t="n"/>
      <c r="AA1276" s="31" t="n"/>
      <c r="AB1276" s="31" t="n"/>
    </row>
    <row r="1277">
      <c r="A1277" s="25" t="inlineStr">
        <is>
          <t>S25</t>
        </is>
      </c>
      <c r="B1277" s="25" t="inlineStr">
        <is>
          <t>관리 신규점3</t>
        </is>
      </c>
      <c r="C1277" s="25" t="inlineStr">
        <is>
          <t>S25-H서</t>
        </is>
      </c>
      <c r="D1277" s="25" t="inlineStr">
        <is>
          <t>측정</t>
        </is>
      </c>
      <c r="E1277" s="25" t="inlineStr">
        <is>
          <t>서</t>
        </is>
      </c>
      <c r="F1277" s="30" t="n">
        <v>10</v>
      </c>
      <c r="G1277" s="29" t="n"/>
      <c r="H1277" s="42" t="n"/>
      <c r="I1277" s="40" t="n"/>
      <c r="J1277" s="40" t="n"/>
      <c r="K1277" s="40" t="n"/>
      <c r="L1277" s="30">
        <f>IF(COUNT(I1277:K1277)=0,"",MEDIAN(I1277:K1277))</f>
        <v/>
      </c>
      <c r="M1277" s="25">
        <f>IF(COUNTIFS($C:$C,$C1277,$D:$D,"P0(전)",$L:$L,"&gt;0")&lt;&gt;1,"P0(전) 유효 1개 아님",IF(COUNTIFS($C:$C,$C1277,$D:$D,"P0(후)",$L:$L,"&gt;0")&lt;&gt;1,"P0(후) 유효 1개 아님",IF(NOT(AND(ISNUMBER(N1277),ISNUMBER(P1277),ISNUMBER(H1277))),"시각 결측",IF(P1277&lt;=N1277,"P0 시각 역전",IF(OR(H1277&lt;N1277,H1277&gt;P1277),"측정시각 구간 밖","OK")))))</f>
        <v/>
      </c>
      <c r="N1277" s="45">
        <f>IF(COUNTIFS($C:$C,$C1277,$D:$D,"P0(전)",$L:$L,"&gt;0")&lt;&gt;1,"",SUMIFS($H:$H,$C:$C,$C1277,$D:$D,"P0(전)"))</f>
        <v/>
      </c>
      <c r="O1277" s="30">
        <f>IF(COUNTIFS($C:$C,$C1277,$D:$D,"P0(전)",$L:$L,"&gt;0")&lt;&gt;1,"",SUMIFS($L:$L,$C:$C,$C1277,$D:$D,"P0(전)"))</f>
        <v/>
      </c>
      <c r="P1277" s="45">
        <f>IF(COUNTIFS($C:$C,$C1277,$D:$D,"P0(후)",$L:$L,"&gt;0")&lt;&gt;1,"",SUMIFS($H:$H,$C:$C,$C1277,$D:$D,"P0(후)"))</f>
        <v/>
      </c>
      <c r="Q1277" s="30">
        <f>IF(COUNTIFS($C:$C,$C1277,$D:$D,"P0(후)",$L:$L,"&gt;0")&lt;&gt;1,"",SUMIFS($L:$L,$C:$C,$C1277,$D:$D,"P0(후)"))</f>
        <v/>
      </c>
      <c r="R1277" s="30">
        <f>IF(M1277&lt;&gt;"OK","",O1277+(Q1277-O1277)*(H1277-N1277)/(P1277-N1277))</f>
        <v/>
      </c>
      <c r="S1277" s="30">
        <f>IF(OR(M1277&lt;&gt;"OK",NOT(ISNUMBER(L1277))),"",L1277-R1277)</f>
        <v/>
      </c>
      <c r="T1277" s="46">
        <f>IF(OR(NOT(ISNUMBER(S1277)),IF(ISNUMBER(G1277),G1277,F1277)=0),"",S1277/IF(ISNUMBER(G1277),G1277,F1277))</f>
        <v/>
      </c>
      <c r="U1277" s="46">
        <f>IF(ISNUMBER(T1277),ABS(T1277),"")</f>
        <v/>
      </c>
      <c r="V1277" s="46">
        <f>IF(OR($D1276&lt;&gt;"측정",$C1276&lt;&gt;$C1277,NOT(ISNUMBER(L1277)),NOT(ISNUMBER(L1276)),(IF(ISNUMBER(G1277),G1277,F1277)-IF(ISNUMBER(G1276),G1276,F1276))=0),"",(L1277-L1276)/(IF(ISNUMBER(G1277),G1277,F1277)-IF(ISNUMBER(G1276),G1276,F1276)))</f>
        <v/>
      </c>
      <c r="W1277" s="30">
        <f>IF(NOT(AND(ISNUMBER(N1277),ISNUMBER(P1277))),"",(P1277-N1277)*1440)</f>
        <v/>
      </c>
      <c r="X1277" s="28" t="n"/>
      <c r="Y1277" s="28" t="n"/>
      <c r="Z1277" s="28" t="n"/>
      <c r="AA1277" s="31" t="n"/>
      <c r="AB1277" s="31" t="n"/>
    </row>
    <row r="1278">
      <c r="A1278" s="43" t="inlineStr">
        <is>
          <t>S25</t>
        </is>
      </c>
      <c r="B1278" s="43" t="inlineStr">
        <is>
          <t>관리 신규점3</t>
        </is>
      </c>
      <c r="C1278" s="43" t="inlineStr">
        <is>
          <t>S25-H서</t>
        </is>
      </c>
      <c r="D1278" s="43" t="inlineStr">
        <is>
          <t>P0(후)</t>
        </is>
      </c>
      <c r="E1278" s="43" t="inlineStr">
        <is>
          <t>서</t>
        </is>
      </c>
      <c r="F1278" s="44" t="n"/>
      <c r="G1278" s="29" t="n"/>
      <c r="H1278" s="42" t="n"/>
      <c r="I1278" s="40" t="n"/>
      <c r="J1278" s="40" t="n"/>
      <c r="K1278" s="40" t="n"/>
      <c r="L1278" s="30">
        <f>IF(COUNT(I1278:K1278)=0,"",MEDIAN(I1278:K1278))</f>
        <v/>
      </c>
      <c r="M1278" s="37" t="n"/>
      <c r="N1278" s="37" t="n"/>
      <c r="O1278" s="37" t="n"/>
      <c r="P1278" s="37" t="n"/>
      <c r="Q1278" s="37" t="n"/>
      <c r="R1278" s="37" t="n"/>
      <c r="S1278" s="37" t="n"/>
      <c r="T1278" s="37" t="n"/>
      <c r="U1278" s="37" t="n"/>
      <c r="V1278" s="37" t="n"/>
      <c r="W1278" s="37" t="n"/>
      <c r="X1278" s="28" t="n"/>
      <c r="Y1278" s="28" t="n"/>
      <c r="Z1278" s="28" t="n"/>
      <c r="AA1278" s="31" t="n"/>
      <c r="AB1278" s="31" t="n"/>
    </row>
    <row r="1279">
      <c r="A1279" s="43" t="inlineStr">
        <is>
          <t>S25</t>
        </is>
      </c>
      <c r="B1279" s="43" t="inlineStr">
        <is>
          <t>관리 신규점3</t>
        </is>
      </c>
      <c r="C1279" s="43" t="inlineStr">
        <is>
          <t>S25-H남</t>
        </is>
      </c>
      <c r="D1279" s="43" t="inlineStr">
        <is>
          <t>P0(전)</t>
        </is>
      </c>
      <c r="E1279" s="43" t="inlineStr">
        <is>
          <t>남</t>
        </is>
      </c>
      <c r="F1279" s="44" t="n"/>
      <c r="G1279" s="29" t="n"/>
      <c r="H1279" s="42" t="n"/>
      <c r="I1279" s="40" t="n"/>
      <c r="J1279" s="40" t="n"/>
      <c r="K1279" s="40" t="n"/>
      <c r="L1279" s="30">
        <f>IF(COUNT(I1279:K1279)=0,"",MEDIAN(I1279:K1279))</f>
        <v/>
      </c>
      <c r="M1279" s="37" t="n"/>
      <c r="N1279" s="37" t="n"/>
      <c r="O1279" s="37" t="n"/>
      <c r="P1279" s="37" t="n"/>
      <c r="Q1279" s="37" t="n"/>
      <c r="R1279" s="37" t="n"/>
      <c r="S1279" s="37" t="n"/>
      <c r="T1279" s="37" t="n"/>
      <c r="U1279" s="37" t="n"/>
      <c r="V1279" s="37" t="n"/>
      <c r="W1279" s="37" t="n"/>
      <c r="X1279" s="28" t="n"/>
      <c r="Y1279" s="28" t="n"/>
      <c r="Z1279" s="28" t="n"/>
      <c r="AA1279" s="31" t="n"/>
      <c r="AB1279" s="31" t="n"/>
    </row>
    <row r="1280">
      <c r="A1280" s="25" t="inlineStr">
        <is>
          <t>S25</t>
        </is>
      </c>
      <c r="B1280" s="25" t="inlineStr">
        <is>
          <t>관리 신규점3</t>
        </is>
      </c>
      <c r="C1280" s="25" t="inlineStr">
        <is>
          <t>S25-H남</t>
        </is>
      </c>
      <c r="D1280" s="25" t="inlineStr">
        <is>
          <t>측정</t>
        </is>
      </c>
      <c r="E1280" s="25" t="inlineStr">
        <is>
          <t>남</t>
        </is>
      </c>
      <c r="F1280" s="30" t="n">
        <v>0.5</v>
      </c>
      <c r="G1280" s="29" t="n"/>
      <c r="H1280" s="42" t="n"/>
      <c r="I1280" s="40" t="n"/>
      <c r="J1280" s="40" t="n"/>
      <c r="K1280" s="40" t="n"/>
      <c r="L1280" s="30">
        <f>IF(COUNT(I1280:K1280)=0,"",MEDIAN(I1280:K1280))</f>
        <v/>
      </c>
      <c r="M1280" s="25">
        <f>IF(COUNTIFS($C:$C,$C1280,$D:$D,"P0(전)",$L:$L,"&gt;0")&lt;&gt;1,"P0(전) 유효 1개 아님",IF(COUNTIFS($C:$C,$C1280,$D:$D,"P0(후)",$L:$L,"&gt;0")&lt;&gt;1,"P0(후) 유효 1개 아님",IF(NOT(AND(ISNUMBER(N1280),ISNUMBER(P1280),ISNUMBER(H1280))),"시각 결측",IF(P1280&lt;=N1280,"P0 시각 역전",IF(OR(H1280&lt;N1280,H1280&gt;P1280),"측정시각 구간 밖","OK")))))</f>
        <v/>
      </c>
      <c r="N1280" s="45">
        <f>IF(COUNTIFS($C:$C,$C1280,$D:$D,"P0(전)",$L:$L,"&gt;0")&lt;&gt;1,"",SUMIFS($H:$H,$C:$C,$C1280,$D:$D,"P0(전)"))</f>
        <v/>
      </c>
      <c r="O1280" s="30">
        <f>IF(COUNTIFS($C:$C,$C1280,$D:$D,"P0(전)",$L:$L,"&gt;0")&lt;&gt;1,"",SUMIFS($L:$L,$C:$C,$C1280,$D:$D,"P0(전)"))</f>
        <v/>
      </c>
      <c r="P1280" s="45">
        <f>IF(COUNTIFS($C:$C,$C1280,$D:$D,"P0(후)",$L:$L,"&gt;0")&lt;&gt;1,"",SUMIFS($H:$H,$C:$C,$C1280,$D:$D,"P0(후)"))</f>
        <v/>
      </c>
      <c r="Q1280" s="30">
        <f>IF(COUNTIFS($C:$C,$C1280,$D:$D,"P0(후)",$L:$L,"&gt;0")&lt;&gt;1,"",SUMIFS($L:$L,$C:$C,$C1280,$D:$D,"P0(후)"))</f>
        <v/>
      </c>
      <c r="R1280" s="30">
        <f>IF(M1280&lt;&gt;"OK","",O1280+(Q1280-O1280)*(H1280-N1280)/(P1280-N1280))</f>
        <v/>
      </c>
      <c r="S1280" s="30">
        <f>IF(OR(M1280&lt;&gt;"OK",NOT(ISNUMBER(L1280))),"",L1280-R1280)</f>
        <v/>
      </c>
      <c r="T1280" s="46">
        <f>IF(OR(NOT(ISNUMBER(S1280)),IF(ISNUMBER(G1280),G1280,F1280)=0),"",S1280/IF(ISNUMBER(G1280),G1280,F1280))</f>
        <v/>
      </c>
      <c r="U1280" s="46">
        <f>IF(ISNUMBER(T1280),ABS(T1280),"")</f>
        <v/>
      </c>
      <c r="V1280" s="46">
        <f>IF(OR($D1279&lt;&gt;"측정",$C1279&lt;&gt;$C1280,NOT(ISNUMBER(L1280)),NOT(ISNUMBER(L1279)),(IF(ISNUMBER(G1280),G1280,F1280)-IF(ISNUMBER(G1279),G1279,F1279))=0),"",(L1280-L1279)/(IF(ISNUMBER(G1280),G1280,F1280)-IF(ISNUMBER(G1279),G1279,F1279)))</f>
        <v/>
      </c>
      <c r="W1280" s="30">
        <f>IF(NOT(AND(ISNUMBER(N1280),ISNUMBER(P1280))),"",(P1280-N1280)*1440)</f>
        <v/>
      </c>
      <c r="X1280" s="28" t="n"/>
      <c r="Y1280" s="28" t="n"/>
      <c r="Z1280" s="28" t="n"/>
      <c r="AA1280" s="31" t="n"/>
      <c r="AB1280" s="31" t="n"/>
    </row>
    <row r="1281">
      <c r="A1281" s="25" t="inlineStr">
        <is>
          <t>S25</t>
        </is>
      </c>
      <c r="B1281" s="25" t="inlineStr">
        <is>
          <t>관리 신규점3</t>
        </is>
      </c>
      <c r="C1281" s="25" t="inlineStr">
        <is>
          <t>S25-H남</t>
        </is>
      </c>
      <c r="D1281" s="25" t="inlineStr">
        <is>
          <t>측정</t>
        </is>
      </c>
      <c r="E1281" s="25" t="inlineStr">
        <is>
          <t>남</t>
        </is>
      </c>
      <c r="F1281" s="30" t="n">
        <v>1</v>
      </c>
      <c r="G1281" s="29" t="n"/>
      <c r="H1281" s="42" t="n"/>
      <c r="I1281" s="40" t="n"/>
      <c r="J1281" s="40" t="n"/>
      <c r="K1281" s="40" t="n"/>
      <c r="L1281" s="30">
        <f>IF(COUNT(I1281:K1281)=0,"",MEDIAN(I1281:K1281))</f>
        <v/>
      </c>
      <c r="M1281" s="25">
        <f>IF(COUNTIFS($C:$C,$C1281,$D:$D,"P0(전)",$L:$L,"&gt;0")&lt;&gt;1,"P0(전) 유효 1개 아님",IF(COUNTIFS($C:$C,$C1281,$D:$D,"P0(후)",$L:$L,"&gt;0")&lt;&gt;1,"P0(후) 유효 1개 아님",IF(NOT(AND(ISNUMBER(N1281),ISNUMBER(P1281),ISNUMBER(H1281))),"시각 결측",IF(P1281&lt;=N1281,"P0 시각 역전",IF(OR(H1281&lt;N1281,H1281&gt;P1281),"측정시각 구간 밖","OK")))))</f>
        <v/>
      </c>
      <c r="N1281" s="45">
        <f>IF(COUNTIFS($C:$C,$C1281,$D:$D,"P0(전)",$L:$L,"&gt;0")&lt;&gt;1,"",SUMIFS($H:$H,$C:$C,$C1281,$D:$D,"P0(전)"))</f>
        <v/>
      </c>
      <c r="O1281" s="30">
        <f>IF(COUNTIFS($C:$C,$C1281,$D:$D,"P0(전)",$L:$L,"&gt;0")&lt;&gt;1,"",SUMIFS($L:$L,$C:$C,$C1281,$D:$D,"P0(전)"))</f>
        <v/>
      </c>
      <c r="P1281" s="45">
        <f>IF(COUNTIFS($C:$C,$C1281,$D:$D,"P0(후)",$L:$L,"&gt;0")&lt;&gt;1,"",SUMIFS($H:$H,$C:$C,$C1281,$D:$D,"P0(후)"))</f>
        <v/>
      </c>
      <c r="Q1281" s="30">
        <f>IF(COUNTIFS($C:$C,$C1281,$D:$D,"P0(후)",$L:$L,"&gt;0")&lt;&gt;1,"",SUMIFS($L:$L,$C:$C,$C1281,$D:$D,"P0(후)"))</f>
        <v/>
      </c>
      <c r="R1281" s="30">
        <f>IF(M1281&lt;&gt;"OK","",O1281+(Q1281-O1281)*(H1281-N1281)/(P1281-N1281))</f>
        <v/>
      </c>
      <c r="S1281" s="30">
        <f>IF(OR(M1281&lt;&gt;"OK",NOT(ISNUMBER(L1281))),"",L1281-R1281)</f>
        <v/>
      </c>
      <c r="T1281" s="46">
        <f>IF(OR(NOT(ISNUMBER(S1281)),IF(ISNUMBER(G1281),G1281,F1281)=0),"",S1281/IF(ISNUMBER(G1281),G1281,F1281))</f>
        <v/>
      </c>
      <c r="U1281" s="46">
        <f>IF(ISNUMBER(T1281),ABS(T1281),"")</f>
        <v/>
      </c>
      <c r="V1281" s="46">
        <f>IF(OR($D1280&lt;&gt;"측정",$C1280&lt;&gt;$C1281,NOT(ISNUMBER(L1281)),NOT(ISNUMBER(L1280)),(IF(ISNUMBER(G1281),G1281,F1281)-IF(ISNUMBER(G1280),G1280,F1280))=0),"",(L1281-L1280)/(IF(ISNUMBER(G1281),G1281,F1281)-IF(ISNUMBER(G1280),G1280,F1280)))</f>
        <v/>
      </c>
      <c r="W1281" s="30">
        <f>IF(NOT(AND(ISNUMBER(N1281),ISNUMBER(P1281))),"",(P1281-N1281)*1440)</f>
        <v/>
      </c>
      <c r="X1281" s="28" t="n"/>
      <c r="Y1281" s="28" t="n"/>
      <c r="Z1281" s="28" t="n"/>
      <c r="AA1281" s="31" t="n"/>
      <c r="AB1281" s="31" t="n"/>
    </row>
    <row r="1282">
      <c r="A1282" s="25" t="inlineStr">
        <is>
          <t>S25</t>
        </is>
      </c>
      <c r="B1282" s="25" t="inlineStr">
        <is>
          <t>관리 신규점3</t>
        </is>
      </c>
      <c r="C1282" s="25" t="inlineStr">
        <is>
          <t>S25-H남</t>
        </is>
      </c>
      <c r="D1282" s="25" t="inlineStr">
        <is>
          <t>측정</t>
        </is>
      </c>
      <c r="E1282" s="25" t="inlineStr">
        <is>
          <t>남</t>
        </is>
      </c>
      <c r="F1282" s="30" t="n">
        <v>2</v>
      </c>
      <c r="G1282" s="29" t="n"/>
      <c r="H1282" s="42" t="n"/>
      <c r="I1282" s="40" t="n"/>
      <c r="J1282" s="40" t="n"/>
      <c r="K1282" s="40" t="n"/>
      <c r="L1282" s="30">
        <f>IF(COUNT(I1282:K1282)=0,"",MEDIAN(I1282:K1282))</f>
        <v/>
      </c>
      <c r="M1282" s="25">
        <f>IF(COUNTIFS($C:$C,$C1282,$D:$D,"P0(전)",$L:$L,"&gt;0")&lt;&gt;1,"P0(전) 유효 1개 아님",IF(COUNTIFS($C:$C,$C1282,$D:$D,"P0(후)",$L:$L,"&gt;0")&lt;&gt;1,"P0(후) 유효 1개 아님",IF(NOT(AND(ISNUMBER(N1282),ISNUMBER(P1282),ISNUMBER(H1282))),"시각 결측",IF(P1282&lt;=N1282,"P0 시각 역전",IF(OR(H1282&lt;N1282,H1282&gt;P1282),"측정시각 구간 밖","OK")))))</f>
        <v/>
      </c>
      <c r="N1282" s="45">
        <f>IF(COUNTIFS($C:$C,$C1282,$D:$D,"P0(전)",$L:$L,"&gt;0")&lt;&gt;1,"",SUMIFS($H:$H,$C:$C,$C1282,$D:$D,"P0(전)"))</f>
        <v/>
      </c>
      <c r="O1282" s="30">
        <f>IF(COUNTIFS($C:$C,$C1282,$D:$D,"P0(전)",$L:$L,"&gt;0")&lt;&gt;1,"",SUMIFS($L:$L,$C:$C,$C1282,$D:$D,"P0(전)"))</f>
        <v/>
      </c>
      <c r="P1282" s="45">
        <f>IF(COUNTIFS($C:$C,$C1282,$D:$D,"P0(후)",$L:$L,"&gt;0")&lt;&gt;1,"",SUMIFS($H:$H,$C:$C,$C1282,$D:$D,"P0(후)"))</f>
        <v/>
      </c>
      <c r="Q1282" s="30">
        <f>IF(COUNTIFS($C:$C,$C1282,$D:$D,"P0(후)",$L:$L,"&gt;0")&lt;&gt;1,"",SUMIFS($L:$L,$C:$C,$C1282,$D:$D,"P0(후)"))</f>
        <v/>
      </c>
      <c r="R1282" s="30">
        <f>IF(M1282&lt;&gt;"OK","",O1282+(Q1282-O1282)*(H1282-N1282)/(P1282-N1282))</f>
        <v/>
      </c>
      <c r="S1282" s="30">
        <f>IF(OR(M1282&lt;&gt;"OK",NOT(ISNUMBER(L1282))),"",L1282-R1282)</f>
        <v/>
      </c>
      <c r="T1282" s="46">
        <f>IF(OR(NOT(ISNUMBER(S1282)),IF(ISNUMBER(G1282),G1282,F1282)=0),"",S1282/IF(ISNUMBER(G1282),G1282,F1282))</f>
        <v/>
      </c>
      <c r="U1282" s="46">
        <f>IF(ISNUMBER(T1282),ABS(T1282),"")</f>
        <v/>
      </c>
      <c r="V1282" s="46">
        <f>IF(OR($D1281&lt;&gt;"측정",$C1281&lt;&gt;$C1282,NOT(ISNUMBER(L1282)),NOT(ISNUMBER(L1281)),(IF(ISNUMBER(G1282),G1282,F1282)-IF(ISNUMBER(G1281),G1281,F1281))=0),"",(L1282-L1281)/(IF(ISNUMBER(G1282),G1282,F1282)-IF(ISNUMBER(G1281),G1281,F1281)))</f>
        <v/>
      </c>
      <c r="W1282" s="30">
        <f>IF(NOT(AND(ISNUMBER(N1282),ISNUMBER(P1282))),"",(P1282-N1282)*1440)</f>
        <v/>
      </c>
      <c r="X1282" s="28" t="n"/>
      <c r="Y1282" s="28" t="n"/>
      <c r="Z1282" s="28" t="n"/>
      <c r="AA1282" s="31" t="n"/>
      <c r="AB1282" s="31" t="n"/>
    </row>
    <row r="1283">
      <c r="A1283" s="25" t="inlineStr">
        <is>
          <t>S25</t>
        </is>
      </c>
      <c r="B1283" s="25" t="inlineStr">
        <is>
          <t>관리 신규점3</t>
        </is>
      </c>
      <c r="C1283" s="25" t="inlineStr">
        <is>
          <t>S25-H남</t>
        </is>
      </c>
      <c r="D1283" s="25" t="inlineStr">
        <is>
          <t>측정</t>
        </is>
      </c>
      <c r="E1283" s="25" t="inlineStr">
        <is>
          <t>남</t>
        </is>
      </c>
      <c r="F1283" s="30" t="n">
        <v>3</v>
      </c>
      <c r="G1283" s="29" t="n"/>
      <c r="H1283" s="42" t="n"/>
      <c r="I1283" s="40" t="n"/>
      <c r="J1283" s="40" t="n"/>
      <c r="K1283" s="40" t="n"/>
      <c r="L1283" s="30">
        <f>IF(COUNT(I1283:K1283)=0,"",MEDIAN(I1283:K1283))</f>
        <v/>
      </c>
      <c r="M1283" s="25">
        <f>IF(COUNTIFS($C:$C,$C1283,$D:$D,"P0(전)",$L:$L,"&gt;0")&lt;&gt;1,"P0(전) 유효 1개 아님",IF(COUNTIFS($C:$C,$C1283,$D:$D,"P0(후)",$L:$L,"&gt;0")&lt;&gt;1,"P0(후) 유효 1개 아님",IF(NOT(AND(ISNUMBER(N1283),ISNUMBER(P1283),ISNUMBER(H1283))),"시각 결측",IF(P1283&lt;=N1283,"P0 시각 역전",IF(OR(H1283&lt;N1283,H1283&gt;P1283),"측정시각 구간 밖","OK")))))</f>
        <v/>
      </c>
      <c r="N1283" s="45">
        <f>IF(COUNTIFS($C:$C,$C1283,$D:$D,"P0(전)",$L:$L,"&gt;0")&lt;&gt;1,"",SUMIFS($H:$H,$C:$C,$C1283,$D:$D,"P0(전)"))</f>
        <v/>
      </c>
      <c r="O1283" s="30">
        <f>IF(COUNTIFS($C:$C,$C1283,$D:$D,"P0(전)",$L:$L,"&gt;0")&lt;&gt;1,"",SUMIFS($L:$L,$C:$C,$C1283,$D:$D,"P0(전)"))</f>
        <v/>
      </c>
      <c r="P1283" s="45">
        <f>IF(COUNTIFS($C:$C,$C1283,$D:$D,"P0(후)",$L:$L,"&gt;0")&lt;&gt;1,"",SUMIFS($H:$H,$C:$C,$C1283,$D:$D,"P0(후)"))</f>
        <v/>
      </c>
      <c r="Q1283" s="30">
        <f>IF(COUNTIFS($C:$C,$C1283,$D:$D,"P0(후)",$L:$L,"&gt;0")&lt;&gt;1,"",SUMIFS($L:$L,$C:$C,$C1283,$D:$D,"P0(후)"))</f>
        <v/>
      </c>
      <c r="R1283" s="30">
        <f>IF(M1283&lt;&gt;"OK","",O1283+(Q1283-O1283)*(H1283-N1283)/(P1283-N1283))</f>
        <v/>
      </c>
      <c r="S1283" s="30">
        <f>IF(OR(M1283&lt;&gt;"OK",NOT(ISNUMBER(L1283))),"",L1283-R1283)</f>
        <v/>
      </c>
      <c r="T1283" s="46">
        <f>IF(OR(NOT(ISNUMBER(S1283)),IF(ISNUMBER(G1283),G1283,F1283)=0),"",S1283/IF(ISNUMBER(G1283),G1283,F1283))</f>
        <v/>
      </c>
      <c r="U1283" s="46">
        <f>IF(ISNUMBER(T1283),ABS(T1283),"")</f>
        <v/>
      </c>
      <c r="V1283" s="46">
        <f>IF(OR($D1282&lt;&gt;"측정",$C1282&lt;&gt;$C1283,NOT(ISNUMBER(L1283)),NOT(ISNUMBER(L1282)),(IF(ISNUMBER(G1283),G1283,F1283)-IF(ISNUMBER(G1282),G1282,F1282))=0),"",(L1283-L1282)/(IF(ISNUMBER(G1283),G1283,F1283)-IF(ISNUMBER(G1282),G1282,F1282)))</f>
        <v/>
      </c>
      <c r="W1283" s="30">
        <f>IF(NOT(AND(ISNUMBER(N1283),ISNUMBER(P1283))),"",(P1283-N1283)*1440)</f>
        <v/>
      </c>
      <c r="X1283" s="28" t="n"/>
      <c r="Y1283" s="28" t="n"/>
      <c r="Z1283" s="28" t="n"/>
      <c r="AA1283" s="31" t="n"/>
      <c r="AB1283" s="31" t="n"/>
    </row>
    <row r="1284">
      <c r="A1284" s="25" t="inlineStr">
        <is>
          <t>S25</t>
        </is>
      </c>
      <c r="B1284" s="25" t="inlineStr">
        <is>
          <t>관리 신규점3</t>
        </is>
      </c>
      <c r="C1284" s="25" t="inlineStr">
        <is>
          <t>S25-H남</t>
        </is>
      </c>
      <c r="D1284" s="25" t="inlineStr">
        <is>
          <t>측정</t>
        </is>
      </c>
      <c r="E1284" s="25" t="inlineStr">
        <is>
          <t>남</t>
        </is>
      </c>
      <c r="F1284" s="30" t="n">
        <v>4</v>
      </c>
      <c r="G1284" s="29" t="n"/>
      <c r="H1284" s="42" t="n"/>
      <c r="I1284" s="40" t="n"/>
      <c r="J1284" s="40" t="n"/>
      <c r="K1284" s="40" t="n"/>
      <c r="L1284" s="30">
        <f>IF(COUNT(I1284:K1284)=0,"",MEDIAN(I1284:K1284))</f>
        <v/>
      </c>
      <c r="M1284" s="25">
        <f>IF(COUNTIFS($C:$C,$C1284,$D:$D,"P0(전)",$L:$L,"&gt;0")&lt;&gt;1,"P0(전) 유효 1개 아님",IF(COUNTIFS($C:$C,$C1284,$D:$D,"P0(후)",$L:$L,"&gt;0")&lt;&gt;1,"P0(후) 유효 1개 아님",IF(NOT(AND(ISNUMBER(N1284),ISNUMBER(P1284),ISNUMBER(H1284))),"시각 결측",IF(P1284&lt;=N1284,"P0 시각 역전",IF(OR(H1284&lt;N1284,H1284&gt;P1284),"측정시각 구간 밖","OK")))))</f>
        <v/>
      </c>
      <c r="N1284" s="45">
        <f>IF(COUNTIFS($C:$C,$C1284,$D:$D,"P0(전)",$L:$L,"&gt;0")&lt;&gt;1,"",SUMIFS($H:$H,$C:$C,$C1284,$D:$D,"P0(전)"))</f>
        <v/>
      </c>
      <c r="O1284" s="30">
        <f>IF(COUNTIFS($C:$C,$C1284,$D:$D,"P0(전)",$L:$L,"&gt;0")&lt;&gt;1,"",SUMIFS($L:$L,$C:$C,$C1284,$D:$D,"P0(전)"))</f>
        <v/>
      </c>
      <c r="P1284" s="45">
        <f>IF(COUNTIFS($C:$C,$C1284,$D:$D,"P0(후)",$L:$L,"&gt;0")&lt;&gt;1,"",SUMIFS($H:$H,$C:$C,$C1284,$D:$D,"P0(후)"))</f>
        <v/>
      </c>
      <c r="Q1284" s="30">
        <f>IF(COUNTIFS($C:$C,$C1284,$D:$D,"P0(후)",$L:$L,"&gt;0")&lt;&gt;1,"",SUMIFS($L:$L,$C:$C,$C1284,$D:$D,"P0(후)"))</f>
        <v/>
      </c>
      <c r="R1284" s="30">
        <f>IF(M1284&lt;&gt;"OK","",O1284+(Q1284-O1284)*(H1284-N1284)/(P1284-N1284))</f>
        <v/>
      </c>
      <c r="S1284" s="30">
        <f>IF(OR(M1284&lt;&gt;"OK",NOT(ISNUMBER(L1284))),"",L1284-R1284)</f>
        <v/>
      </c>
      <c r="T1284" s="46">
        <f>IF(OR(NOT(ISNUMBER(S1284)),IF(ISNUMBER(G1284),G1284,F1284)=0),"",S1284/IF(ISNUMBER(G1284),G1284,F1284))</f>
        <v/>
      </c>
      <c r="U1284" s="46">
        <f>IF(ISNUMBER(T1284),ABS(T1284),"")</f>
        <v/>
      </c>
      <c r="V1284" s="46">
        <f>IF(OR($D1283&lt;&gt;"측정",$C1283&lt;&gt;$C1284,NOT(ISNUMBER(L1284)),NOT(ISNUMBER(L1283)),(IF(ISNUMBER(G1284),G1284,F1284)-IF(ISNUMBER(G1283),G1283,F1283))=0),"",(L1284-L1283)/(IF(ISNUMBER(G1284),G1284,F1284)-IF(ISNUMBER(G1283),G1283,F1283)))</f>
        <v/>
      </c>
      <c r="W1284" s="30">
        <f>IF(NOT(AND(ISNUMBER(N1284),ISNUMBER(P1284))),"",(P1284-N1284)*1440)</f>
        <v/>
      </c>
      <c r="X1284" s="28" t="n"/>
      <c r="Y1284" s="28" t="n"/>
      <c r="Z1284" s="28" t="n"/>
      <c r="AA1284" s="31" t="n"/>
      <c r="AB1284" s="31" t="n"/>
    </row>
    <row r="1285">
      <c r="A1285" s="25" t="inlineStr">
        <is>
          <t>S25</t>
        </is>
      </c>
      <c r="B1285" s="25" t="inlineStr">
        <is>
          <t>관리 신규점3</t>
        </is>
      </c>
      <c r="C1285" s="25" t="inlineStr">
        <is>
          <t>S25-H남</t>
        </is>
      </c>
      <c r="D1285" s="25" t="inlineStr">
        <is>
          <t>측정</t>
        </is>
      </c>
      <c r="E1285" s="25" t="inlineStr">
        <is>
          <t>남</t>
        </is>
      </c>
      <c r="F1285" s="30" t="n">
        <v>5</v>
      </c>
      <c r="G1285" s="29" t="n"/>
      <c r="H1285" s="42" t="n"/>
      <c r="I1285" s="40" t="n"/>
      <c r="J1285" s="40" t="n"/>
      <c r="K1285" s="40" t="n"/>
      <c r="L1285" s="30">
        <f>IF(COUNT(I1285:K1285)=0,"",MEDIAN(I1285:K1285))</f>
        <v/>
      </c>
      <c r="M1285" s="25">
        <f>IF(COUNTIFS($C:$C,$C1285,$D:$D,"P0(전)",$L:$L,"&gt;0")&lt;&gt;1,"P0(전) 유효 1개 아님",IF(COUNTIFS($C:$C,$C1285,$D:$D,"P0(후)",$L:$L,"&gt;0")&lt;&gt;1,"P0(후) 유효 1개 아님",IF(NOT(AND(ISNUMBER(N1285),ISNUMBER(P1285),ISNUMBER(H1285))),"시각 결측",IF(P1285&lt;=N1285,"P0 시각 역전",IF(OR(H1285&lt;N1285,H1285&gt;P1285),"측정시각 구간 밖","OK")))))</f>
        <v/>
      </c>
      <c r="N1285" s="45">
        <f>IF(COUNTIFS($C:$C,$C1285,$D:$D,"P0(전)",$L:$L,"&gt;0")&lt;&gt;1,"",SUMIFS($H:$H,$C:$C,$C1285,$D:$D,"P0(전)"))</f>
        <v/>
      </c>
      <c r="O1285" s="30">
        <f>IF(COUNTIFS($C:$C,$C1285,$D:$D,"P0(전)",$L:$L,"&gt;0")&lt;&gt;1,"",SUMIFS($L:$L,$C:$C,$C1285,$D:$D,"P0(전)"))</f>
        <v/>
      </c>
      <c r="P1285" s="45">
        <f>IF(COUNTIFS($C:$C,$C1285,$D:$D,"P0(후)",$L:$L,"&gt;0")&lt;&gt;1,"",SUMIFS($H:$H,$C:$C,$C1285,$D:$D,"P0(후)"))</f>
        <v/>
      </c>
      <c r="Q1285" s="30">
        <f>IF(COUNTIFS($C:$C,$C1285,$D:$D,"P0(후)",$L:$L,"&gt;0")&lt;&gt;1,"",SUMIFS($L:$L,$C:$C,$C1285,$D:$D,"P0(후)"))</f>
        <v/>
      </c>
      <c r="R1285" s="30">
        <f>IF(M1285&lt;&gt;"OK","",O1285+(Q1285-O1285)*(H1285-N1285)/(P1285-N1285))</f>
        <v/>
      </c>
      <c r="S1285" s="30">
        <f>IF(OR(M1285&lt;&gt;"OK",NOT(ISNUMBER(L1285))),"",L1285-R1285)</f>
        <v/>
      </c>
      <c r="T1285" s="46">
        <f>IF(OR(NOT(ISNUMBER(S1285)),IF(ISNUMBER(G1285),G1285,F1285)=0),"",S1285/IF(ISNUMBER(G1285),G1285,F1285))</f>
        <v/>
      </c>
      <c r="U1285" s="46">
        <f>IF(ISNUMBER(T1285),ABS(T1285),"")</f>
        <v/>
      </c>
      <c r="V1285" s="46">
        <f>IF(OR($D1284&lt;&gt;"측정",$C1284&lt;&gt;$C1285,NOT(ISNUMBER(L1285)),NOT(ISNUMBER(L1284)),(IF(ISNUMBER(G1285),G1285,F1285)-IF(ISNUMBER(G1284),G1284,F1284))=0),"",(L1285-L1284)/(IF(ISNUMBER(G1285),G1285,F1285)-IF(ISNUMBER(G1284),G1284,F1284)))</f>
        <v/>
      </c>
      <c r="W1285" s="30">
        <f>IF(NOT(AND(ISNUMBER(N1285),ISNUMBER(P1285))),"",(P1285-N1285)*1440)</f>
        <v/>
      </c>
      <c r="X1285" s="28" t="n"/>
      <c r="Y1285" s="28" t="n"/>
      <c r="Z1285" s="28" t="n"/>
      <c r="AA1285" s="31" t="n"/>
      <c r="AB1285" s="31" t="n"/>
    </row>
    <row r="1286">
      <c r="A1286" s="25" t="inlineStr">
        <is>
          <t>S25</t>
        </is>
      </c>
      <c r="B1286" s="25" t="inlineStr">
        <is>
          <t>관리 신규점3</t>
        </is>
      </c>
      <c r="C1286" s="25" t="inlineStr">
        <is>
          <t>S25-H남</t>
        </is>
      </c>
      <c r="D1286" s="25" t="inlineStr">
        <is>
          <t>측정</t>
        </is>
      </c>
      <c r="E1286" s="25" t="inlineStr">
        <is>
          <t>남</t>
        </is>
      </c>
      <c r="F1286" s="30" t="n">
        <v>6</v>
      </c>
      <c r="G1286" s="29" t="n"/>
      <c r="H1286" s="42" t="n"/>
      <c r="I1286" s="40" t="n"/>
      <c r="J1286" s="40" t="n"/>
      <c r="K1286" s="40" t="n"/>
      <c r="L1286" s="30">
        <f>IF(COUNT(I1286:K1286)=0,"",MEDIAN(I1286:K1286))</f>
        <v/>
      </c>
      <c r="M1286" s="25">
        <f>IF(COUNTIFS($C:$C,$C1286,$D:$D,"P0(전)",$L:$L,"&gt;0")&lt;&gt;1,"P0(전) 유효 1개 아님",IF(COUNTIFS($C:$C,$C1286,$D:$D,"P0(후)",$L:$L,"&gt;0")&lt;&gt;1,"P0(후) 유효 1개 아님",IF(NOT(AND(ISNUMBER(N1286),ISNUMBER(P1286),ISNUMBER(H1286))),"시각 결측",IF(P1286&lt;=N1286,"P0 시각 역전",IF(OR(H1286&lt;N1286,H1286&gt;P1286),"측정시각 구간 밖","OK")))))</f>
        <v/>
      </c>
      <c r="N1286" s="45">
        <f>IF(COUNTIFS($C:$C,$C1286,$D:$D,"P0(전)",$L:$L,"&gt;0")&lt;&gt;1,"",SUMIFS($H:$H,$C:$C,$C1286,$D:$D,"P0(전)"))</f>
        <v/>
      </c>
      <c r="O1286" s="30">
        <f>IF(COUNTIFS($C:$C,$C1286,$D:$D,"P0(전)",$L:$L,"&gt;0")&lt;&gt;1,"",SUMIFS($L:$L,$C:$C,$C1286,$D:$D,"P0(전)"))</f>
        <v/>
      </c>
      <c r="P1286" s="45">
        <f>IF(COUNTIFS($C:$C,$C1286,$D:$D,"P0(후)",$L:$L,"&gt;0")&lt;&gt;1,"",SUMIFS($H:$H,$C:$C,$C1286,$D:$D,"P0(후)"))</f>
        <v/>
      </c>
      <c r="Q1286" s="30">
        <f>IF(COUNTIFS($C:$C,$C1286,$D:$D,"P0(후)",$L:$L,"&gt;0")&lt;&gt;1,"",SUMIFS($L:$L,$C:$C,$C1286,$D:$D,"P0(후)"))</f>
        <v/>
      </c>
      <c r="R1286" s="30">
        <f>IF(M1286&lt;&gt;"OK","",O1286+(Q1286-O1286)*(H1286-N1286)/(P1286-N1286))</f>
        <v/>
      </c>
      <c r="S1286" s="30">
        <f>IF(OR(M1286&lt;&gt;"OK",NOT(ISNUMBER(L1286))),"",L1286-R1286)</f>
        <v/>
      </c>
      <c r="T1286" s="46">
        <f>IF(OR(NOT(ISNUMBER(S1286)),IF(ISNUMBER(G1286),G1286,F1286)=0),"",S1286/IF(ISNUMBER(G1286),G1286,F1286))</f>
        <v/>
      </c>
      <c r="U1286" s="46">
        <f>IF(ISNUMBER(T1286),ABS(T1286),"")</f>
        <v/>
      </c>
      <c r="V1286" s="46">
        <f>IF(OR($D1285&lt;&gt;"측정",$C1285&lt;&gt;$C1286,NOT(ISNUMBER(L1286)),NOT(ISNUMBER(L1285)),(IF(ISNUMBER(G1286),G1286,F1286)-IF(ISNUMBER(G1285),G1285,F1285))=0),"",(L1286-L1285)/(IF(ISNUMBER(G1286),G1286,F1286)-IF(ISNUMBER(G1285),G1285,F1285)))</f>
        <v/>
      </c>
      <c r="W1286" s="30">
        <f>IF(NOT(AND(ISNUMBER(N1286),ISNUMBER(P1286))),"",(P1286-N1286)*1440)</f>
        <v/>
      </c>
      <c r="X1286" s="28" t="n"/>
      <c r="Y1286" s="28" t="n"/>
      <c r="Z1286" s="28" t="n"/>
      <c r="AA1286" s="31" t="n"/>
      <c r="AB1286" s="31" t="n"/>
    </row>
    <row r="1287">
      <c r="A1287" s="25" t="inlineStr">
        <is>
          <t>S25</t>
        </is>
      </c>
      <c r="B1287" s="25" t="inlineStr">
        <is>
          <t>관리 신규점3</t>
        </is>
      </c>
      <c r="C1287" s="25" t="inlineStr">
        <is>
          <t>S25-H남</t>
        </is>
      </c>
      <c r="D1287" s="25" t="inlineStr">
        <is>
          <t>측정</t>
        </is>
      </c>
      <c r="E1287" s="25" t="inlineStr">
        <is>
          <t>남</t>
        </is>
      </c>
      <c r="F1287" s="30" t="n">
        <v>7</v>
      </c>
      <c r="G1287" s="29" t="n"/>
      <c r="H1287" s="42" t="n"/>
      <c r="I1287" s="40" t="n"/>
      <c r="J1287" s="40" t="n"/>
      <c r="K1287" s="40" t="n"/>
      <c r="L1287" s="30">
        <f>IF(COUNT(I1287:K1287)=0,"",MEDIAN(I1287:K1287))</f>
        <v/>
      </c>
      <c r="M1287" s="25">
        <f>IF(COUNTIFS($C:$C,$C1287,$D:$D,"P0(전)",$L:$L,"&gt;0")&lt;&gt;1,"P0(전) 유효 1개 아님",IF(COUNTIFS($C:$C,$C1287,$D:$D,"P0(후)",$L:$L,"&gt;0")&lt;&gt;1,"P0(후) 유효 1개 아님",IF(NOT(AND(ISNUMBER(N1287),ISNUMBER(P1287),ISNUMBER(H1287))),"시각 결측",IF(P1287&lt;=N1287,"P0 시각 역전",IF(OR(H1287&lt;N1287,H1287&gt;P1287),"측정시각 구간 밖","OK")))))</f>
        <v/>
      </c>
      <c r="N1287" s="45">
        <f>IF(COUNTIFS($C:$C,$C1287,$D:$D,"P0(전)",$L:$L,"&gt;0")&lt;&gt;1,"",SUMIFS($H:$H,$C:$C,$C1287,$D:$D,"P0(전)"))</f>
        <v/>
      </c>
      <c r="O1287" s="30">
        <f>IF(COUNTIFS($C:$C,$C1287,$D:$D,"P0(전)",$L:$L,"&gt;0")&lt;&gt;1,"",SUMIFS($L:$L,$C:$C,$C1287,$D:$D,"P0(전)"))</f>
        <v/>
      </c>
      <c r="P1287" s="45">
        <f>IF(COUNTIFS($C:$C,$C1287,$D:$D,"P0(후)",$L:$L,"&gt;0")&lt;&gt;1,"",SUMIFS($H:$H,$C:$C,$C1287,$D:$D,"P0(후)"))</f>
        <v/>
      </c>
      <c r="Q1287" s="30">
        <f>IF(COUNTIFS($C:$C,$C1287,$D:$D,"P0(후)",$L:$L,"&gt;0")&lt;&gt;1,"",SUMIFS($L:$L,$C:$C,$C1287,$D:$D,"P0(후)"))</f>
        <v/>
      </c>
      <c r="R1287" s="30">
        <f>IF(M1287&lt;&gt;"OK","",O1287+(Q1287-O1287)*(H1287-N1287)/(P1287-N1287))</f>
        <v/>
      </c>
      <c r="S1287" s="30">
        <f>IF(OR(M1287&lt;&gt;"OK",NOT(ISNUMBER(L1287))),"",L1287-R1287)</f>
        <v/>
      </c>
      <c r="T1287" s="46">
        <f>IF(OR(NOT(ISNUMBER(S1287)),IF(ISNUMBER(G1287),G1287,F1287)=0),"",S1287/IF(ISNUMBER(G1287),G1287,F1287))</f>
        <v/>
      </c>
      <c r="U1287" s="46">
        <f>IF(ISNUMBER(T1287),ABS(T1287),"")</f>
        <v/>
      </c>
      <c r="V1287" s="46">
        <f>IF(OR($D1286&lt;&gt;"측정",$C1286&lt;&gt;$C1287,NOT(ISNUMBER(L1287)),NOT(ISNUMBER(L1286)),(IF(ISNUMBER(G1287),G1287,F1287)-IF(ISNUMBER(G1286),G1286,F1286))=0),"",(L1287-L1286)/(IF(ISNUMBER(G1287),G1287,F1287)-IF(ISNUMBER(G1286),G1286,F1286)))</f>
        <v/>
      </c>
      <c r="W1287" s="30">
        <f>IF(NOT(AND(ISNUMBER(N1287),ISNUMBER(P1287))),"",(P1287-N1287)*1440)</f>
        <v/>
      </c>
      <c r="X1287" s="28" t="n"/>
      <c r="Y1287" s="28" t="n"/>
      <c r="Z1287" s="28" t="n"/>
      <c r="AA1287" s="31" t="n"/>
      <c r="AB1287" s="31" t="n"/>
    </row>
    <row r="1288">
      <c r="A1288" s="25" t="inlineStr">
        <is>
          <t>S25</t>
        </is>
      </c>
      <c r="B1288" s="25" t="inlineStr">
        <is>
          <t>관리 신규점3</t>
        </is>
      </c>
      <c r="C1288" s="25" t="inlineStr">
        <is>
          <t>S25-H남</t>
        </is>
      </c>
      <c r="D1288" s="25" t="inlineStr">
        <is>
          <t>측정</t>
        </is>
      </c>
      <c r="E1288" s="25" t="inlineStr">
        <is>
          <t>남</t>
        </is>
      </c>
      <c r="F1288" s="30" t="n">
        <v>8</v>
      </c>
      <c r="G1288" s="29" t="n"/>
      <c r="H1288" s="42" t="n"/>
      <c r="I1288" s="40" t="n"/>
      <c r="J1288" s="40" t="n"/>
      <c r="K1288" s="40" t="n"/>
      <c r="L1288" s="30">
        <f>IF(COUNT(I1288:K1288)=0,"",MEDIAN(I1288:K1288))</f>
        <v/>
      </c>
      <c r="M1288" s="25">
        <f>IF(COUNTIFS($C:$C,$C1288,$D:$D,"P0(전)",$L:$L,"&gt;0")&lt;&gt;1,"P0(전) 유효 1개 아님",IF(COUNTIFS($C:$C,$C1288,$D:$D,"P0(후)",$L:$L,"&gt;0")&lt;&gt;1,"P0(후) 유효 1개 아님",IF(NOT(AND(ISNUMBER(N1288),ISNUMBER(P1288),ISNUMBER(H1288))),"시각 결측",IF(P1288&lt;=N1288,"P0 시각 역전",IF(OR(H1288&lt;N1288,H1288&gt;P1288),"측정시각 구간 밖","OK")))))</f>
        <v/>
      </c>
      <c r="N1288" s="45">
        <f>IF(COUNTIFS($C:$C,$C1288,$D:$D,"P0(전)",$L:$L,"&gt;0")&lt;&gt;1,"",SUMIFS($H:$H,$C:$C,$C1288,$D:$D,"P0(전)"))</f>
        <v/>
      </c>
      <c r="O1288" s="30">
        <f>IF(COUNTIFS($C:$C,$C1288,$D:$D,"P0(전)",$L:$L,"&gt;0")&lt;&gt;1,"",SUMIFS($L:$L,$C:$C,$C1288,$D:$D,"P0(전)"))</f>
        <v/>
      </c>
      <c r="P1288" s="45">
        <f>IF(COUNTIFS($C:$C,$C1288,$D:$D,"P0(후)",$L:$L,"&gt;0")&lt;&gt;1,"",SUMIFS($H:$H,$C:$C,$C1288,$D:$D,"P0(후)"))</f>
        <v/>
      </c>
      <c r="Q1288" s="30">
        <f>IF(COUNTIFS($C:$C,$C1288,$D:$D,"P0(후)",$L:$L,"&gt;0")&lt;&gt;1,"",SUMIFS($L:$L,$C:$C,$C1288,$D:$D,"P0(후)"))</f>
        <v/>
      </c>
      <c r="R1288" s="30">
        <f>IF(M1288&lt;&gt;"OK","",O1288+(Q1288-O1288)*(H1288-N1288)/(P1288-N1288))</f>
        <v/>
      </c>
      <c r="S1288" s="30">
        <f>IF(OR(M1288&lt;&gt;"OK",NOT(ISNUMBER(L1288))),"",L1288-R1288)</f>
        <v/>
      </c>
      <c r="T1288" s="46">
        <f>IF(OR(NOT(ISNUMBER(S1288)),IF(ISNUMBER(G1288),G1288,F1288)=0),"",S1288/IF(ISNUMBER(G1288),G1288,F1288))</f>
        <v/>
      </c>
      <c r="U1288" s="46">
        <f>IF(ISNUMBER(T1288),ABS(T1288),"")</f>
        <v/>
      </c>
      <c r="V1288" s="46">
        <f>IF(OR($D1287&lt;&gt;"측정",$C1287&lt;&gt;$C1288,NOT(ISNUMBER(L1288)),NOT(ISNUMBER(L1287)),(IF(ISNUMBER(G1288),G1288,F1288)-IF(ISNUMBER(G1287),G1287,F1287))=0),"",(L1288-L1287)/(IF(ISNUMBER(G1288),G1288,F1288)-IF(ISNUMBER(G1287),G1287,F1287)))</f>
        <v/>
      </c>
      <c r="W1288" s="30">
        <f>IF(NOT(AND(ISNUMBER(N1288),ISNUMBER(P1288))),"",(P1288-N1288)*1440)</f>
        <v/>
      </c>
      <c r="X1288" s="28" t="n"/>
      <c r="Y1288" s="28" t="n"/>
      <c r="Z1288" s="28" t="n"/>
      <c r="AA1288" s="31" t="n"/>
      <c r="AB1288" s="31" t="n"/>
    </row>
    <row r="1289">
      <c r="A1289" s="25" t="inlineStr">
        <is>
          <t>S25</t>
        </is>
      </c>
      <c r="B1289" s="25" t="inlineStr">
        <is>
          <t>관리 신규점3</t>
        </is>
      </c>
      <c r="C1289" s="25" t="inlineStr">
        <is>
          <t>S25-H남</t>
        </is>
      </c>
      <c r="D1289" s="25" t="inlineStr">
        <is>
          <t>측정</t>
        </is>
      </c>
      <c r="E1289" s="25" t="inlineStr">
        <is>
          <t>남</t>
        </is>
      </c>
      <c r="F1289" s="30" t="n">
        <v>9</v>
      </c>
      <c r="G1289" s="29" t="n"/>
      <c r="H1289" s="42" t="n"/>
      <c r="I1289" s="40" t="n"/>
      <c r="J1289" s="40" t="n"/>
      <c r="K1289" s="40" t="n"/>
      <c r="L1289" s="30">
        <f>IF(COUNT(I1289:K1289)=0,"",MEDIAN(I1289:K1289))</f>
        <v/>
      </c>
      <c r="M1289" s="25">
        <f>IF(COUNTIFS($C:$C,$C1289,$D:$D,"P0(전)",$L:$L,"&gt;0")&lt;&gt;1,"P0(전) 유효 1개 아님",IF(COUNTIFS($C:$C,$C1289,$D:$D,"P0(후)",$L:$L,"&gt;0")&lt;&gt;1,"P0(후) 유효 1개 아님",IF(NOT(AND(ISNUMBER(N1289),ISNUMBER(P1289),ISNUMBER(H1289))),"시각 결측",IF(P1289&lt;=N1289,"P0 시각 역전",IF(OR(H1289&lt;N1289,H1289&gt;P1289),"측정시각 구간 밖","OK")))))</f>
        <v/>
      </c>
      <c r="N1289" s="45">
        <f>IF(COUNTIFS($C:$C,$C1289,$D:$D,"P0(전)",$L:$L,"&gt;0")&lt;&gt;1,"",SUMIFS($H:$H,$C:$C,$C1289,$D:$D,"P0(전)"))</f>
        <v/>
      </c>
      <c r="O1289" s="30">
        <f>IF(COUNTIFS($C:$C,$C1289,$D:$D,"P0(전)",$L:$L,"&gt;0")&lt;&gt;1,"",SUMIFS($L:$L,$C:$C,$C1289,$D:$D,"P0(전)"))</f>
        <v/>
      </c>
      <c r="P1289" s="45">
        <f>IF(COUNTIFS($C:$C,$C1289,$D:$D,"P0(후)",$L:$L,"&gt;0")&lt;&gt;1,"",SUMIFS($H:$H,$C:$C,$C1289,$D:$D,"P0(후)"))</f>
        <v/>
      </c>
      <c r="Q1289" s="30">
        <f>IF(COUNTIFS($C:$C,$C1289,$D:$D,"P0(후)",$L:$L,"&gt;0")&lt;&gt;1,"",SUMIFS($L:$L,$C:$C,$C1289,$D:$D,"P0(후)"))</f>
        <v/>
      </c>
      <c r="R1289" s="30">
        <f>IF(M1289&lt;&gt;"OK","",O1289+(Q1289-O1289)*(H1289-N1289)/(P1289-N1289))</f>
        <v/>
      </c>
      <c r="S1289" s="30">
        <f>IF(OR(M1289&lt;&gt;"OK",NOT(ISNUMBER(L1289))),"",L1289-R1289)</f>
        <v/>
      </c>
      <c r="T1289" s="46">
        <f>IF(OR(NOT(ISNUMBER(S1289)),IF(ISNUMBER(G1289),G1289,F1289)=0),"",S1289/IF(ISNUMBER(G1289),G1289,F1289))</f>
        <v/>
      </c>
      <c r="U1289" s="46">
        <f>IF(ISNUMBER(T1289),ABS(T1289),"")</f>
        <v/>
      </c>
      <c r="V1289" s="46">
        <f>IF(OR($D1288&lt;&gt;"측정",$C1288&lt;&gt;$C1289,NOT(ISNUMBER(L1289)),NOT(ISNUMBER(L1288)),(IF(ISNUMBER(G1289),G1289,F1289)-IF(ISNUMBER(G1288),G1288,F1288))=0),"",(L1289-L1288)/(IF(ISNUMBER(G1289),G1289,F1289)-IF(ISNUMBER(G1288),G1288,F1288)))</f>
        <v/>
      </c>
      <c r="W1289" s="30">
        <f>IF(NOT(AND(ISNUMBER(N1289),ISNUMBER(P1289))),"",(P1289-N1289)*1440)</f>
        <v/>
      </c>
      <c r="X1289" s="28" t="n"/>
      <c r="Y1289" s="28" t="n"/>
      <c r="Z1289" s="28" t="n"/>
      <c r="AA1289" s="31" t="n"/>
      <c r="AB1289" s="31" t="n"/>
    </row>
    <row r="1290">
      <c r="A1290" s="25" t="inlineStr">
        <is>
          <t>S25</t>
        </is>
      </c>
      <c r="B1290" s="25" t="inlineStr">
        <is>
          <t>관리 신규점3</t>
        </is>
      </c>
      <c r="C1290" s="25" t="inlineStr">
        <is>
          <t>S25-H남</t>
        </is>
      </c>
      <c r="D1290" s="25" t="inlineStr">
        <is>
          <t>측정</t>
        </is>
      </c>
      <c r="E1290" s="25" t="inlineStr">
        <is>
          <t>남</t>
        </is>
      </c>
      <c r="F1290" s="30" t="n">
        <v>10</v>
      </c>
      <c r="G1290" s="29" t="n"/>
      <c r="H1290" s="42" t="n"/>
      <c r="I1290" s="40" t="n"/>
      <c r="J1290" s="40" t="n"/>
      <c r="K1290" s="40" t="n"/>
      <c r="L1290" s="30">
        <f>IF(COUNT(I1290:K1290)=0,"",MEDIAN(I1290:K1290))</f>
        <v/>
      </c>
      <c r="M1290" s="25">
        <f>IF(COUNTIFS($C:$C,$C1290,$D:$D,"P0(전)",$L:$L,"&gt;0")&lt;&gt;1,"P0(전) 유효 1개 아님",IF(COUNTIFS($C:$C,$C1290,$D:$D,"P0(후)",$L:$L,"&gt;0")&lt;&gt;1,"P0(후) 유효 1개 아님",IF(NOT(AND(ISNUMBER(N1290),ISNUMBER(P1290),ISNUMBER(H1290))),"시각 결측",IF(P1290&lt;=N1290,"P0 시각 역전",IF(OR(H1290&lt;N1290,H1290&gt;P1290),"측정시각 구간 밖","OK")))))</f>
        <v/>
      </c>
      <c r="N1290" s="45">
        <f>IF(COUNTIFS($C:$C,$C1290,$D:$D,"P0(전)",$L:$L,"&gt;0")&lt;&gt;1,"",SUMIFS($H:$H,$C:$C,$C1290,$D:$D,"P0(전)"))</f>
        <v/>
      </c>
      <c r="O1290" s="30">
        <f>IF(COUNTIFS($C:$C,$C1290,$D:$D,"P0(전)",$L:$L,"&gt;0")&lt;&gt;1,"",SUMIFS($L:$L,$C:$C,$C1290,$D:$D,"P0(전)"))</f>
        <v/>
      </c>
      <c r="P1290" s="45">
        <f>IF(COUNTIFS($C:$C,$C1290,$D:$D,"P0(후)",$L:$L,"&gt;0")&lt;&gt;1,"",SUMIFS($H:$H,$C:$C,$C1290,$D:$D,"P0(후)"))</f>
        <v/>
      </c>
      <c r="Q1290" s="30">
        <f>IF(COUNTIFS($C:$C,$C1290,$D:$D,"P0(후)",$L:$L,"&gt;0")&lt;&gt;1,"",SUMIFS($L:$L,$C:$C,$C1290,$D:$D,"P0(후)"))</f>
        <v/>
      </c>
      <c r="R1290" s="30">
        <f>IF(M1290&lt;&gt;"OK","",O1290+(Q1290-O1290)*(H1290-N1290)/(P1290-N1290))</f>
        <v/>
      </c>
      <c r="S1290" s="30">
        <f>IF(OR(M1290&lt;&gt;"OK",NOT(ISNUMBER(L1290))),"",L1290-R1290)</f>
        <v/>
      </c>
      <c r="T1290" s="46">
        <f>IF(OR(NOT(ISNUMBER(S1290)),IF(ISNUMBER(G1290),G1290,F1290)=0),"",S1290/IF(ISNUMBER(G1290),G1290,F1290))</f>
        <v/>
      </c>
      <c r="U1290" s="46">
        <f>IF(ISNUMBER(T1290),ABS(T1290),"")</f>
        <v/>
      </c>
      <c r="V1290" s="46">
        <f>IF(OR($D1289&lt;&gt;"측정",$C1289&lt;&gt;$C1290,NOT(ISNUMBER(L1290)),NOT(ISNUMBER(L1289)),(IF(ISNUMBER(G1290),G1290,F1290)-IF(ISNUMBER(G1289),G1289,F1289))=0),"",(L1290-L1289)/(IF(ISNUMBER(G1290),G1290,F1290)-IF(ISNUMBER(G1289),G1289,F1289)))</f>
        <v/>
      </c>
      <c r="W1290" s="30">
        <f>IF(NOT(AND(ISNUMBER(N1290),ISNUMBER(P1290))),"",(P1290-N1290)*1440)</f>
        <v/>
      </c>
      <c r="X1290" s="28" t="n"/>
      <c r="Y1290" s="28" t="n"/>
      <c r="Z1290" s="28" t="n"/>
      <c r="AA1290" s="31" t="n"/>
      <c r="AB1290" s="31" t="n"/>
    </row>
    <row r="1291">
      <c r="A1291" s="43" t="inlineStr">
        <is>
          <t>S25</t>
        </is>
      </c>
      <c r="B1291" s="43" t="inlineStr">
        <is>
          <t>관리 신규점3</t>
        </is>
      </c>
      <c r="C1291" s="43" t="inlineStr">
        <is>
          <t>S25-H남</t>
        </is>
      </c>
      <c r="D1291" s="43" t="inlineStr">
        <is>
          <t>P0(후)</t>
        </is>
      </c>
      <c r="E1291" s="43" t="inlineStr">
        <is>
          <t>남</t>
        </is>
      </c>
      <c r="F1291" s="44" t="n"/>
      <c r="G1291" s="29" t="n"/>
      <c r="H1291" s="42" t="n"/>
      <c r="I1291" s="40" t="n"/>
      <c r="J1291" s="40" t="n"/>
      <c r="K1291" s="40" t="n"/>
      <c r="L1291" s="30">
        <f>IF(COUNT(I1291:K1291)=0,"",MEDIAN(I1291:K1291))</f>
        <v/>
      </c>
      <c r="M1291" s="37" t="n"/>
      <c r="N1291" s="37" t="n"/>
      <c r="O1291" s="37" t="n"/>
      <c r="P1291" s="37" t="n"/>
      <c r="Q1291" s="37" t="n"/>
      <c r="R1291" s="37" t="n"/>
      <c r="S1291" s="37" t="n"/>
      <c r="T1291" s="37" t="n"/>
      <c r="U1291" s="37" t="n"/>
      <c r="V1291" s="37" t="n"/>
      <c r="W1291" s="37" t="n"/>
      <c r="X1291" s="28" t="n"/>
      <c r="Y1291" s="28" t="n"/>
      <c r="Z1291" s="28" t="n"/>
      <c r="AA1291" s="31" t="n"/>
      <c r="AB1291" s="31" t="n"/>
    </row>
    <row r="1292">
      <c r="A1292" s="43" t="inlineStr">
        <is>
          <t>S25</t>
        </is>
      </c>
      <c r="B1292" s="43" t="inlineStr">
        <is>
          <t>관리 신규점3</t>
        </is>
      </c>
      <c r="C1292" s="43" t="inlineStr">
        <is>
          <t>S25-H북</t>
        </is>
      </c>
      <c r="D1292" s="43" t="inlineStr">
        <is>
          <t>P0(전)</t>
        </is>
      </c>
      <c r="E1292" s="43" t="inlineStr">
        <is>
          <t>북</t>
        </is>
      </c>
      <c r="F1292" s="44" t="n"/>
      <c r="G1292" s="29" t="n"/>
      <c r="H1292" s="42" t="n"/>
      <c r="I1292" s="40" t="n"/>
      <c r="J1292" s="40" t="n"/>
      <c r="K1292" s="40" t="n"/>
      <c r="L1292" s="30">
        <f>IF(COUNT(I1292:K1292)=0,"",MEDIAN(I1292:K1292))</f>
        <v/>
      </c>
      <c r="M1292" s="37" t="n"/>
      <c r="N1292" s="37" t="n"/>
      <c r="O1292" s="37" t="n"/>
      <c r="P1292" s="37" t="n"/>
      <c r="Q1292" s="37" t="n"/>
      <c r="R1292" s="37" t="n"/>
      <c r="S1292" s="37" t="n"/>
      <c r="T1292" s="37" t="n"/>
      <c r="U1292" s="37" t="n"/>
      <c r="V1292" s="37" t="n"/>
      <c r="W1292" s="37" t="n"/>
      <c r="X1292" s="28" t="n"/>
      <c r="Y1292" s="28" t="n"/>
      <c r="Z1292" s="28" t="n"/>
      <c r="AA1292" s="31" t="n"/>
      <c r="AB1292" s="31" t="n"/>
    </row>
    <row r="1293">
      <c r="A1293" s="25" t="inlineStr">
        <is>
          <t>S25</t>
        </is>
      </c>
      <c r="B1293" s="25" t="inlineStr">
        <is>
          <t>관리 신규점3</t>
        </is>
      </c>
      <c r="C1293" s="25" t="inlineStr">
        <is>
          <t>S25-H북</t>
        </is>
      </c>
      <c r="D1293" s="25" t="inlineStr">
        <is>
          <t>측정</t>
        </is>
      </c>
      <c r="E1293" s="25" t="inlineStr">
        <is>
          <t>북</t>
        </is>
      </c>
      <c r="F1293" s="30" t="n">
        <v>0.5</v>
      </c>
      <c r="G1293" s="29" t="n"/>
      <c r="H1293" s="42" t="n"/>
      <c r="I1293" s="40" t="n"/>
      <c r="J1293" s="40" t="n"/>
      <c r="K1293" s="40" t="n"/>
      <c r="L1293" s="30">
        <f>IF(COUNT(I1293:K1293)=0,"",MEDIAN(I1293:K1293))</f>
        <v/>
      </c>
      <c r="M1293" s="25">
        <f>IF(COUNTIFS($C:$C,$C1293,$D:$D,"P0(전)",$L:$L,"&gt;0")&lt;&gt;1,"P0(전) 유효 1개 아님",IF(COUNTIFS($C:$C,$C1293,$D:$D,"P0(후)",$L:$L,"&gt;0")&lt;&gt;1,"P0(후) 유효 1개 아님",IF(NOT(AND(ISNUMBER(N1293),ISNUMBER(P1293),ISNUMBER(H1293))),"시각 결측",IF(P1293&lt;=N1293,"P0 시각 역전",IF(OR(H1293&lt;N1293,H1293&gt;P1293),"측정시각 구간 밖","OK")))))</f>
        <v/>
      </c>
      <c r="N1293" s="45">
        <f>IF(COUNTIFS($C:$C,$C1293,$D:$D,"P0(전)",$L:$L,"&gt;0")&lt;&gt;1,"",SUMIFS($H:$H,$C:$C,$C1293,$D:$D,"P0(전)"))</f>
        <v/>
      </c>
      <c r="O1293" s="30">
        <f>IF(COUNTIFS($C:$C,$C1293,$D:$D,"P0(전)",$L:$L,"&gt;0")&lt;&gt;1,"",SUMIFS($L:$L,$C:$C,$C1293,$D:$D,"P0(전)"))</f>
        <v/>
      </c>
      <c r="P1293" s="45">
        <f>IF(COUNTIFS($C:$C,$C1293,$D:$D,"P0(후)",$L:$L,"&gt;0")&lt;&gt;1,"",SUMIFS($H:$H,$C:$C,$C1293,$D:$D,"P0(후)"))</f>
        <v/>
      </c>
      <c r="Q1293" s="30">
        <f>IF(COUNTIFS($C:$C,$C1293,$D:$D,"P0(후)",$L:$L,"&gt;0")&lt;&gt;1,"",SUMIFS($L:$L,$C:$C,$C1293,$D:$D,"P0(후)"))</f>
        <v/>
      </c>
      <c r="R1293" s="30">
        <f>IF(M1293&lt;&gt;"OK","",O1293+(Q1293-O1293)*(H1293-N1293)/(P1293-N1293))</f>
        <v/>
      </c>
      <c r="S1293" s="30">
        <f>IF(OR(M1293&lt;&gt;"OK",NOT(ISNUMBER(L1293))),"",L1293-R1293)</f>
        <v/>
      </c>
      <c r="T1293" s="46">
        <f>IF(OR(NOT(ISNUMBER(S1293)),IF(ISNUMBER(G1293),G1293,F1293)=0),"",S1293/IF(ISNUMBER(G1293),G1293,F1293))</f>
        <v/>
      </c>
      <c r="U1293" s="46">
        <f>IF(ISNUMBER(T1293),ABS(T1293),"")</f>
        <v/>
      </c>
      <c r="V1293" s="46">
        <f>IF(OR($D1292&lt;&gt;"측정",$C1292&lt;&gt;$C1293,NOT(ISNUMBER(L1293)),NOT(ISNUMBER(L1292)),(IF(ISNUMBER(G1293),G1293,F1293)-IF(ISNUMBER(G1292),G1292,F1292))=0),"",(L1293-L1292)/(IF(ISNUMBER(G1293),G1293,F1293)-IF(ISNUMBER(G1292),G1292,F1292)))</f>
        <v/>
      </c>
      <c r="W1293" s="30">
        <f>IF(NOT(AND(ISNUMBER(N1293),ISNUMBER(P1293))),"",(P1293-N1293)*1440)</f>
        <v/>
      </c>
      <c r="X1293" s="28" t="n"/>
      <c r="Y1293" s="28" t="n"/>
      <c r="Z1293" s="28" t="n"/>
      <c r="AA1293" s="31" t="n"/>
      <c r="AB1293" s="31" t="n"/>
    </row>
    <row r="1294">
      <c r="A1294" s="25" t="inlineStr">
        <is>
          <t>S25</t>
        </is>
      </c>
      <c r="B1294" s="25" t="inlineStr">
        <is>
          <t>관리 신규점3</t>
        </is>
      </c>
      <c r="C1294" s="25" t="inlineStr">
        <is>
          <t>S25-H북</t>
        </is>
      </c>
      <c r="D1294" s="25" t="inlineStr">
        <is>
          <t>측정</t>
        </is>
      </c>
      <c r="E1294" s="25" t="inlineStr">
        <is>
          <t>북</t>
        </is>
      </c>
      <c r="F1294" s="30" t="n">
        <v>1</v>
      </c>
      <c r="G1294" s="29" t="n"/>
      <c r="H1294" s="42" t="n"/>
      <c r="I1294" s="40" t="n"/>
      <c r="J1294" s="40" t="n"/>
      <c r="K1294" s="40" t="n"/>
      <c r="L1294" s="30">
        <f>IF(COUNT(I1294:K1294)=0,"",MEDIAN(I1294:K1294))</f>
        <v/>
      </c>
      <c r="M1294" s="25">
        <f>IF(COUNTIFS($C:$C,$C1294,$D:$D,"P0(전)",$L:$L,"&gt;0")&lt;&gt;1,"P0(전) 유효 1개 아님",IF(COUNTIFS($C:$C,$C1294,$D:$D,"P0(후)",$L:$L,"&gt;0")&lt;&gt;1,"P0(후) 유효 1개 아님",IF(NOT(AND(ISNUMBER(N1294),ISNUMBER(P1294),ISNUMBER(H1294))),"시각 결측",IF(P1294&lt;=N1294,"P0 시각 역전",IF(OR(H1294&lt;N1294,H1294&gt;P1294),"측정시각 구간 밖","OK")))))</f>
        <v/>
      </c>
      <c r="N1294" s="45">
        <f>IF(COUNTIFS($C:$C,$C1294,$D:$D,"P0(전)",$L:$L,"&gt;0")&lt;&gt;1,"",SUMIFS($H:$H,$C:$C,$C1294,$D:$D,"P0(전)"))</f>
        <v/>
      </c>
      <c r="O1294" s="30">
        <f>IF(COUNTIFS($C:$C,$C1294,$D:$D,"P0(전)",$L:$L,"&gt;0")&lt;&gt;1,"",SUMIFS($L:$L,$C:$C,$C1294,$D:$D,"P0(전)"))</f>
        <v/>
      </c>
      <c r="P1294" s="45">
        <f>IF(COUNTIFS($C:$C,$C1294,$D:$D,"P0(후)",$L:$L,"&gt;0")&lt;&gt;1,"",SUMIFS($H:$H,$C:$C,$C1294,$D:$D,"P0(후)"))</f>
        <v/>
      </c>
      <c r="Q1294" s="30">
        <f>IF(COUNTIFS($C:$C,$C1294,$D:$D,"P0(후)",$L:$L,"&gt;0")&lt;&gt;1,"",SUMIFS($L:$L,$C:$C,$C1294,$D:$D,"P0(후)"))</f>
        <v/>
      </c>
      <c r="R1294" s="30">
        <f>IF(M1294&lt;&gt;"OK","",O1294+(Q1294-O1294)*(H1294-N1294)/(P1294-N1294))</f>
        <v/>
      </c>
      <c r="S1294" s="30">
        <f>IF(OR(M1294&lt;&gt;"OK",NOT(ISNUMBER(L1294))),"",L1294-R1294)</f>
        <v/>
      </c>
      <c r="T1294" s="46">
        <f>IF(OR(NOT(ISNUMBER(S1294)),IF(ISNUMBER(G1294),G1294,F1294)=0),"",S1294/IF(ISNUMBER(G1294),G1294,F1294))</f>
        <v/>
      </c>
      <c r="U1294" s="46">
        <f>IF(ISNUMBER(T1294),ABS(T1294),"")</f>
        <v/>
      </c>
      <c r="V1294" s="46">
        <f>IF(OR($D1293&lt;&gt;"측정",$C1293&lt;&gt;$C1294,NOT(ISNUMBER(L1294)),NOT(ISNUMBER(L1293)),(IF(ISNUMBER(G1294),G1294,F1294)-IF(ISNUMBER(G1293),G1293,F1293))=0),"",(L1294-L1293)/(IF(ISNUMBER(G1294),G1294,F1294)-IF(ISNUMBER(G1293),G1293,F1293)))</f>
        <v/>
      </c>
      <c r="W1294" s="30">
        <f>IF(NOT(AND(ISNUMBER(N1294),ISNUMBER(P1294))),"",(P1294-N1294)*1440)</f>
        <v/>
      </c>
      <c r="X1294" s="28" t="n"/>
      <c r="Y1294" s="28" t="n"/>
      <c r="Z1294" s="28" t="n"/>
      <c r="AA1294" s="31" t="n"/>
      <c r="AB1294" s="31" t="n"/>
    </row>
    <row r="1295">
      <c r="A1295" s="25" t="inlineStr">
        <is>
          <t>S25</t>
        </is>
      </c>
      <c r="B1295" s="25" t="inlineStr">
        <is>
          <t>관리 신규점3</t>
        </is>
      </c>
      <c r="C1295" s="25" t="inlineStr">
        <is>
          <t>S25-H북</t>
        </is>
      </c>
      <c r="D1295" s="25" t="inlineStr">
        <is>
          <t>측정</t>
        </is>
      </c>
      <c r="E1295" s="25" t="inlineStr">
        <is>
          <t>북</t>
        </is>
      </c>
      <c r="F1295" s="30" t="n">
        <v>2</v>
      </c>
      <c r="G1295" s="29" t="n"/>
      <c r="H1295" s="42" t="n"/>
      <c r="I1295" s="40" t="n"/>
      <c r="J1295" s="40" t="n"/>
      <c r="K1295" s="40" t="n"/>
      <c r="L1295" s="30">
        <f>IF(COUNT(I1295:K1295)=0,"",MEDIAN(I1295:K1295))</f>
        <v/>
      </c>
      <c r="M1295" s="25">
        <f>IF(COUNTIFS($C:$C,$C1295,$D:$D,"P0(전)",$L:$L,"&gt;0")&lt;&gt;1,"P0(전) 유효 1개 아님",IF(COUNTIFS($C:$C,$C1295,$D:$D,"P0(후)",$L:$L,"&gt;0")&lt;&gt;1,"P0(후) 유효 1개 아님",IF(NOT(AND(ISNUMBER(N1295),ISNUMBER(P1295),ISNUMBER(H1295))),"시각 결측",IF(P1295&lt;=N1295,"P0 시각 역전",IF(OR(H1295&lt;N1295,H1295&gt;P1295),"측정시각 구간 밖","OK")))))</f>
        <v/>
      </c>
      <c r="N1295" s="45">
        <f>IF(COUNTIFS($C:$C,$C1295,$D:$D,"P0(전)",$L:$L,"&gt;0")&lt;&gt;1,"",SUMIFS($H:$H,$C:$C,$C1295,$D:$D,"P0(전)"))</f>
        <v/>
      </c>
      <c r="O1295" s="30">
        <f>IF(COUNTIFS($C:$C,$C1295,$D:$D,"P0(전)",$L:$L,"&gt;0")&lt;&gt;1,"",SUMIFS($L:$L,$C:$C,$C1295,$D:$D,"P0(전)"))</f>
        <v/>
      </c>
      <c r="P1295" s="45">
        <f>IF(COUNTIFS($C:$C,$C1295,$D:$D,"P0(후)",$L:$L,"&gt;0")&lt;&gt;1,"",SUMIFS($H:$H,$C:$C,$C1295,$D:$D,"P0(후)"))</f>
        <v/>
      </c>
      <c r="Q1295" s="30">
        <f>IF(COUNTIFS($C:$C,$C1295,$D:$D,"P0(후)",$L:$L,"&gt;0")&lt;&gt;1,"",SUMIFS($L:$L,$C:$C,$C1295,$D:$D,"P0(후)"))</f>
        <v/>
      </c>
      <c r="R1295" s="30">
        <f>IF(M1295&lt;&gt;"OK","",O1295+(Q1295-O1295)*(H1295-N1295)/(P1295-N1295))</f>
        <v/>
      </c>
      <c r="S1295" s="30">
        <f>IF(OR(M1295&lt;&gt;"OK",NOT(ISNUMBER(L1295))),"",L1295-R1295)</f>
        <v/>
      </c>
      <c r="T1295" s="46">
        <f>IF(OR(NOT(ISNUMBER(S1295)),IF(ISNUMBER(G1295),G1295,F1295)=0),"",S1295/IF(ISNUMBER(G1295),G1295,F1295))</f>
        <v/>
      </c>
      <c r="U1295" s="46">
        <f>IF(ISNUMBER(T1295),ABS(T1295),"")</f>
        <v/>
      </c>
      <c r="V1295" s="46">
        <f>IF(OR($D1294&lt;&gt;"측정",$C1294&lt;&gt;$C1295,NOT(ISNUMBER(L1295)),NOT(ISNUMBER(L1294)),(IF(ISNUMBER(G1295),G1295,F1295)-IF(ISNUMBER(G1294),G1294,F1294))=0),"",(L1295-L1294)/(IF(ISNUMBER(G1295),G1295,F1295)-IF(ISNUMBER(G1294),G1294,F1294)))</f>
        <v/>
      </c>
      <c r="W1295" s="30">
        <f>IF(NOT(AND(ISNUMBER(N1295),ISNUMBER(P1295))),"",(P1295-N1295)*1440)</f>
        <v/>
      </c>
      <c r="X1295" s="28" t="n"/>
      <c r="Y1295" s="28" t="n"/>
      <c r="Z1295" s="28" t="n"/>
      <c r="AA1295" s="31" t="n"/>
      <c r="AB1295" s="31" t="n"/>
    </row>
    <row r="1296">
      <c r="A1296" s="25" t="inlineStr">
        <is>
          <t>S25</t>
        </is>
      </c>
      <c r="B1296" s="25" t="inlineStr">
        <is>
          <t>관리 신규점3</t>
        </is>
      </c>
      <c r="C1296" s="25" t="inlineStr">
        <is>
          <t>S25-H북</t>
        </is>
      </c>
      <c r="D1296" s="25" t="inlineStr">
        <is>
          <t>측정</t>
        </is>
      </c>
      <c r="E1296" s="25" t="inlineStr">
        <is>
          <t>북</t>
        </is>
      </c>
      <c r="F1296" s="30" t="n">
        <v>3</v>
      </c>
      <c r="G1296" s="29" t="n"/>
      <c r="H1296" s="42" t="n"/>
      <c r="I1296" s="40" t="n"/>
      <c r="J1296" s="40" t="n"/>
      <c r="K1296" s="40" t="n"/>
      <c r="L1296" s="30">
        <f>IF(COUNT(I1296:K1296)=0,"",MEDIAN(I1296:K1296))</f>
        <v/>
      </c>
      <c r="M1296" s="25">
        <f>IF(COUNTIFS($C:$C,$C1296,$D:$D,"P0(전)",$L:$L,"&gt;0")&lt;&gt;1,"P0(전) 유효 1개 아님",IF(COUNTIFS($C:$C,$C1296,$D:$D,"P0(후)",$L:$L,"&gt;0")&lt;&gt;1,"P0(후) 유효 1개 아님",IF(NOT(AND(ISNUMBER(N1296),ISNUMBER(P1296),ISNUMBER(H1296))),"시각 결측",IF(P1296&lt;=N1296,"P0 시각 역전",IF(OR(H1296&lt;N1296,H1296&gt;P1296),"측정시각 구간 밖","OK")))))</f>
        <v/>
      </c>
      <c r="N1296" s="45">
        <f>IF(COUNTIFS($C:$C,$C1296,$D:$D,"P0(전)",$L:$L,"&gt;0")&lt;&gt;1,"",SUMIFS($H:$H,$C:$C,$C1296,$D:$D,"P0(전)"))</f>
        <v/>
      </c>
      <c r="O1296" s="30">
        <f>IF(COUNTIFS($C:$C,$C1296,$D:$D,"P0(전)",$L:$L,"&gt;0")&lt;&gt;1,"",SUMIFS($L:$L,$C:$C,$C1296,$D:$D,"P0(전)"))</f>
        <v/>
      </c>
      <c r="P1296" s="45">
        <f>IF(COUNTIFS($C:$C,$C1296,$D:$D,"P0(후)",$L:$L,"&gt;0")&lt;&gt;1,"",SUMIFS($H:$H,$C:$C,$C1296,$D:$D,"P0(후)"))</f>
        <v/>
      </c>
      <c r="Q1296" s="30">
        <f>IF(COUNTIFS($C:$C,$C1296,$D:$D,"P0(후)",$L:$L,"&gt;0")&lt;&gt;1,"",SUMIFS($L:$L,$C:$C,$C1296,$D:$D,"P0(후)"))</f>
        <v/>
      </c>
      <c r="R1296" s="30">
        <f>IF(M1296&lt;&gt;"OK","",O1296+(Q1296-O1296)*(H1296-N1296)/(P1296-N1296))</f>
        <v/>
      </c>
      <c r="S1296" s="30">
        <f>IF(OR(M1296&lt;&gt;"OK",NOT(ISNUMBER(L1296))),"",L1296-R1296)</f>
        <v/>
      </c>
      <c r="T1296" s="46">
        <f>IF(OR(NOT(ISNUMBER(S1296)),IF(ISNUMBER(G1296),G1296,F1296)=0),"",S1296/IF(ISNUMBER(G1296),G1296,F1296))</f>
        <v/>
      </c>
      <c r="U1296" s="46">
        <f>IF(ISNUMBER(T1296),ABS(T1296),"")</f>
        <v/>
      </c>
      <c r="V1296" s="46">
        <f>IF(OR($D1295&lt;&gt;"측정",$C1295&lt;&gt;$C1296,NOT(ISNUMBER(L1296)),NOT(ISNUMBER(L1295)),(IF(ISNUMBER(G1296),G1296,F1296)-IF(ISNUMBER(G1295),G1295,F1295))=0),"",(L1296-L1295)/(IF(ISNUMBER(G1296),G1296,F1296)-IF(ISNUMBER(G1295),G1295,F1295)))</f>
        <v/>
      </c>
      <c r="W1296" s="30">
        <f>IF(NOT(AND(ISNUMBER(N1296),ISNUMBER(P1296))),"",(P1296-N1296)*1440)</f>
        <v/>
      </c>
      <c r="X1296" s="28" t="n"/>
      <c r="Y1296" s="28" t="n"/>
      <c r="Z1296" s="28" t="n"/>
      <c r="AA1296" s="31" t="n"/>
      <c r="AB1296" s="31" t="n"/>
    </row>
    <row r="1297">
      <c r="A1297" s="25" t="inlineStr">
        <is>
          <t>S25</t>
        </is>
      </c>
      <c r="B1297" s="25" t="inlineStr">
        <is>
          <t>관리 신규점3</t>
        </is>
      </c>
      <c r="C1297" s="25" t="inlineStr">
        <is>
          <t>S25-H북</t>
        </is>
      </c>
      <c r="D1297" s="25" t="inlineStr">
        <is>
          <t>측정</t>
        </is>
      </c>
      <c r="E1297" s="25" t="inlineStr">
        <is>
          <t>북</t>
        </is>
      </c>
      <c r="F1297" s="30" t="n">
        <v>4</v>
      </c>
      <c r="G1297" s="29" t="n"/>
      <c r="H1297" s="42" t="n"/>
      <c r="I1297" s="40" t="n"/>
      <c r="J1297" s="40" t="n"/>
      <c r="K1297" s="40" t="n"/>
      <c r="L1297" s="30">
        <f>IF(COUNT(I1297:K1297)=0,"",MEDIAN(I1297:K1297))</f>
        <v/>
      </c>
      <c r="M1297" s="25">
        <f>IF(COUNTIFS($C:$C,$C1297,$D:$D,"P0(전)",$L:$L,"&gt;0")&lt;&gt;1,"P0(전) 유효 1개 아님",IF(COUNTIFS($C:$C,$C1297,$D:$D,"P0(후)",$L:$L,"&gt;0")&lt;&gt;1,"P0(후) 유효 1개 아님",IF(NOT(AND(ISNUMBER(N1297),ISNUMBER(P1297),ISNUMBER(H1297))),"시각 결측",IF(P1297&lt;=N1297,"P0 시각 역전",IF(OR(H1297&lt;N1297,H1297&gt;P1297),"측정시각 구간 밖","OK")))))</f>
        <v/>
      </c>
      <c r="N1297" s="45">
        <f>IF(COUNTIFS($C:$C,$C1297,$D:$D,"P0(전)",$L:$L,"&gt;0")&lt;&gt;1,"",SUMIFS($H:$H,$C:$C,$C1297,$D:$D,"P0(전)"))</f>
        <v/>
      </c>
      <c r="O1297" s="30">
        <f>IF(COUNTIFS($C:$C,$C1297,$D:$D,"P0(전)",$L:$L,"&gt;0")&lt;&gt;1,"",SUMIFS($L:$L,$C:$C,$C1297,$D:$D,"P0(전)"))</f>
        <v/>
      </c>
      <c r="P1297" s="45">
        <f>IF(COUNTIFS($C:$C,$C1297,$D:$D,"P0(후)",$L:$L,"&gt;0")&lt;&gt;1,"",SUMIFS($H:$H,$C:$C,$C1297,$D:$D,"P0(후)"))</f>
        <v/>
      </c>
      <c r="Q1297" s="30">
        <f>IF(COUNTIFS($C:$C,$C1297,$D:$D,"P0(후)",$L:$L,"&gt;0")&lt;&gt;1,"",SUMIFS($L:$L,$C:$C,$C1297,$D:$D,"P0(후)"))</f>
        <v/>
      </c>
      <c r="R1297" s="30">
        <f>IF(M1297&lt;&gt;"OK","",O1297+(Q1297-O1297)*(H1297-N1297)/(P1297-N1297))</f>
        <v/>
      </c>
      <c r="S1297" s="30">
        <f>IF(OR(M1297&lt;&gt;"OK",NOT(ISNUMBER(L1297))),"",L1297-R1297)</f>
        <v/>
      </c>
      <c r="T1297" s="46">
        <f>IF(OR(NOT(ISNUMBER(S1297)),IF(ISNUMBER(G1297),G1297,F1297)=0),"",S1297/IF(ISNUMBER(G1297),G1297,F1297))</f>
        <v/>
      </c>
      <c r="U1297" s="46">
        <f>IF(ISNUMBER(T1297),ABS(T1297),"")</f>
        <v/>
      </c>
      <c r="V1297" s="46">
        <f>IF(OR($D1296&lt;&gt;"측정",$C1296&lt;&gt;$C1297,NOT(ISNUMBER(L1297)),NOT(ISNUMBER(L1296)),(IF(ISNUMBER(G1297),G1297,F1297)-IF(ISNUMBER(G1296),G1296,F1296))=0),"",(L1297-L1296)/(IF(ISNUMBER(G1297),G1297,F1297)-IF(ISNUMBER(G1296),G1296,F1296)))</f>
        <v/>
      </c>
      <c r="W1297" s="30">
        <f>IF(NOT(AND(ISNUMBER(N1297),ISNUMBER(P1297))),"",(P1297-N1297)*1440)</f>
        <v/>
      </c>
      <c r="X1297" s="28" t="n"/>
      <c r="Y1297" s="28" t="n"/>
      <c r="Z1297" s="28" t="n"/>
      <c r="AA1297" s="31" t="n"/>
      <c r="AB1297" s="31" t="n"/>
    </row>
    <row r="1298">
      <c r="A1298" s="25" t="inlineStr">
        <is>
          <t>S25</t>
        </is>
      </c>
      <c r="B1298" s="25" t="inlineStr">
        <is>
          <t>관리 신규점3</t>
        </is>
      </c>
      <c r="C1298" s="25" t="inlineStr">
        <is>
          <t>S25-H북</t>
        </is>
      </c>
      <c r="D1298" s="25" t="inlineStr">
        <is>
          <t>측정</t>
        </is>
      </c>
      <c r="E1298" s="25" t="inlineStr">
        <is>
          <t>북</t>
        </is>
      </c>
      <c r="F1298" s="30" t="n">
        <v>5</v>
      </c>
      <c r="G1298" s="29" t="n"/>
      <c r="H1298" s="42" t="n"/>
      <c r="I1298" s="40" t="n"/>
      <c r="J1298" s="40" t="n"/>
      <c r="K1298" s="40" t="n"/>
      <c r="L1298" s="30">
        <f>IF(COUNT(I1298:K1298)=0,"",MEDIAN(I1298:K1298))</f>
        <v/>
      </c>
      <c r="M1298" s="25">
        <f>IF(COUNTIFS($C:$C,$C1298,$D:$D,"P0(전)",$L:$L,"&gt;0")&lt;&gt;1,"P0(전) 유효 1개 아님",IF(COUNTIFS($C:$C,$C1298,$D:$D,"P0(후)",$L:$L,"&gt;0")&lt;&gt;1,"P0(후) 유효 1개 아님",IF(NOT(AND(ISNUMBER(N1298),ISNUMBER(P1298),ISNUMBER(H1298))),"시각 결측",IF(P1298&lt;=N1298,"P0 시각 역전",IF(OR(H1298&lt;N1298,H1298&gt;P1298),"측정시각 구간 밖","OK")))))</f>
        <v/>
      </c>
      <c r="N1298" s="45">
        <f>IF(COUNTIFS($C:$C,$C1298,$D:$D,"P0(전)",$L:$L,"&gt;0")&lt;&gt;1,"",SUMIFS($H:$H,$C:$C,$C1298,$D:$D,"P0(전)"))</f>
        <v/>
      </c>
      <c r="O1298" s="30">
        <f>IF(COUNTIFS($C:$C,$C1298,$D:$D,"P0(전)",$L:$L,"&gt;0")&lt;&gt;1,"",SUMIFS($L:$L,$C:$C,$C1298,$D:$D,"P0(전)"))</f>
        <v/>
      </c>
      <c r="P1298" s="45">
        <f>IF(COUNTIFS($C:$C,$C1298,$D:$D,"P0(후)",$L:$L,"&gt;0")&lt;&gt;1,"",SUMIFS($H:$H,$C:$C,$C1298,$D:$D,"P0(후)"))</f>
        <v/>
      </c>
      <c r="Q1298" s="30">
        <f>IF(COUNTIFS($C:$C,$C1298,$D:$D,"P0(후)",$L:$L,"&gt;0")&lt;&gt;1,"",SUMIFS($L:$L,$C:$C,$C1298,$D:$D,"P0(후)"))</f>
        <v/>
      </c>
      <c r="R1298" s="30">
        <f>IF(M1298&lt;&gt;"OK","",O1298+(Q1298-O1298)*(H1298-N1298)/(P1298-N1298))</f>
        <v/>
      </c>
      <c r="S1298" s="30">
        <f>IF(OR(M1298&lt;&gt;"OK",NOT(ISNUMBER(L1298))),"",L1298-R1298)</f>
        <v/>
      </c>
      <c r="T1298" s="46">
        <f>IF(OR(NOT(ISNUMBER(S1298)),IF(ISNUMBER(G1298),G1298,F1298)=0),"",S1298/IF(ISNUMBER(G1298),G1298,F1298))</f>
        <v/>
      </c>
      <c r="U1298" s="46">
        <f>IF(ISNUMBER(T1298),ABS(T1298),"")</f>
        <v/>
      </c>
      <c r="V1298" s="46">
        <f>IF(OR($D1297&lt;&gt;"측정",$C1297&lt;&gt;$C1298,NOT(ISNUMBER(L1298)),NOT(ISNUMBER(L1297)),(IF(ISNUMBER(G1298),G1298,F1298)-IF(ISNUMBER(G1297),G1297,F1297))=0),"",(L1298-L1297)/(IF(ISNUMBER(G1298),G1298,F1298)-IF(ISNUMBER(G1297),G1297,F1297)))</f>
        <v/>
      </c>
      <c r="W1298" s="30">
        <f>IF(NOT(AND(ISNUMBER(N1298),ISNUMBER(P1298))),"",(P1298-N1298)*1440)</f>
        <v/>
      </c>
      <c r="X1298" s="28" t="n"/>
      <c r="Y1298" s="28" t="n"/>
      <c r="Z1298" s="28" t="n"/>
      <c r="AA1298" s="31" t="n"/>
      <c r="AB1298" s="31" t="n"/>
    </row>
    <row r="1299">
      <c r="A1299" s="25" t="inlineStr">
        <is>
          <t>S25</t>
        </is>
      </c>
      <c r="B1299" s="25" t="inlineStr">
        <is>
          <t>관리 신규점3</t>
        </is>
      </c>
      <c r="C1299" s="25" t="inlineStr">
        <is>
          <t>S25-H북</t>
        </is>
      </c>
      <c r="D1299" s="25" t="inlineStr">
        <is>
          <t>측정</t>
        </is>
      </c>
      <c r="E1299" s="25" t="inlineStr">
        <is>
          <t>북</t>
        </is>
      </c>
      <c r="F1299" s="30" t="n">
        <v>6</v>
      </c>
      <c r="G1299" s="29" t="n"/>
      <c r="H1299" s="42" t="n"/>
      <c r="I1299" s="40" t="n"/>
      <c r="J1299" s="40" t="n"/>
      <c r="K1299" s="40" t="n"/>
      <c r="L1299" s="30">
        <f>IF(COUNT(I1299:K1299)=0,"",MEDIAN(I1299:K1299))</f>
        <v/>
      </c>
      <c r="M1299" s="25">
        <f>IF(COUNTIFS($C:$C,$C1299,$D:$D,"P0(전)",$L:$L,"&gt;0")&lt;&gt;1,"P0(전) 유효 1개 아님",IF(COUNTIFS($C:$C,$C1299,$D:$D,"P0(후)",$L:$L,"&gt;0")&lt;&gt;1,"P0(후) 유효 1개 아님",IF(NOT(AND(ISNUMBER(N1299),ISNUMBER(P1299),ISNUMBER(H1299))),"시각 결측",IF(P1299&lt;=N1299,"P0 시각 역전",IF(OR(H1299&lt;N1299,H1299&gt;P1299),"측정시각 구간 밖","OK")))))</f>
        <v/>
      </c>
      <c r="N1299" s="45">
        <f>IF(COUNTIFS($C:$C,$C1299,$D:$D,"P0(전)",$L:$L,"&gt;0")&lt;&gt;1,"",SUMIFS($H:$H,$C:$C,$C1299,$D:$D,"P0(전)"))</f>
        <v/>
      </c>
      <c r="O1299" s="30">
        <f>IF(COUNTIFS($C:$C,$C1299,$D:$D,"P0(전)",$L:$L,"&gt;0")&lt;&gt;1,"",SUMIFS($L:$L,$C:$C,$C1299,$D:$D,"P0(전)"))</f>
        <v/>
      </c>
      <c r="P1299" s="45">
        <f>IF(COUNTIFS($C:$C,$C1299,$D:$D,"P0(후)",$L:$L,"&gt;0")&lt;&gt;1,"",SUMIFS($H:$H,$C:$C,$C1299,$D:$D,"P0(후)"))</f>
        <v/>
      </c>
      <c r="Q1299" s="30">
        <f>IF(COUNTIFS($C:$C,$C1299,$D:$D,"P0(후)",$L:$L,"&gt;0")&lt;&gt;1,"",SUMIFS($L:$L,$C:$C,$C1299,$D:$D,"P0(후)"))</f>
        <v/>
      </c>
      <c r="R1299" s="30">
        <f>IF(M1299&lt;&gt;"OK","",O1299+(Q1299-O1299)*(H1299-N1299)/(P1299-N1299))</f>
        <v/>
      </c>
      <c r="S1299" s="30">
        <f>IF(OR(M1299&lt;&gt;"OK",NOT(ISNUMBER(L1299))),"",L1299-R1299)</f>
        <v/>
      </c>
      <c r="T1299" s="46">
        <f>IF(OR(NOT(ISNUMBER(S1299)),IF(ISNUMBER(G1299),G1299,F1299)=0),"",S1299/IF(ISNUMBER(G1299),G1299,F1299))</f>
        <v/>
      </c>
      <c r="U1299" s="46">
        <f>IF(ISNUMBER(T1299),ABS(T1299),"")</f>
        <v/>
      </c>
      <c r="V1299" s="46">
        <f>IF(OR($D1298&lt;&gt;"측정",$C1298&lt;&gt;$C1299,NOT(ISNUMBER(L1299)),NOT(ISNUMBER(L1298)),(IF(ISNUMBER(G1299),G1299,F1299)-IF(ISNUMBER(G1298),G1298,F1298))=0),"",(L1299-L1298)/(IF(ISNUMBER(G1299),G1299,F1299)-IF(ISNUMBER(G1298),G1298,F1298)))</f>
        <v/>
      </c>
      <c r="W1299" s="30">
        <f>IF(NOT(AND(ISNUMBER(N1299),ISNUMBER(P1299))),"",(P1299-N1299)*1440)</f>
        <v/>
      </c>
      <c r="X1299" s="28" t="n"/>
      <c r="Y1299" s="28" t="n"/>
      <c r="Z1299" s="28" t="n"/>
      <c r="AA1299" s="31" t="n"/>
      <c r="AB1299" s="31" t="n"/>
    </row>
    <row r="1300">
      <c r="A1300" s="25" t="inlineStr">
        <is>
          <t>S25</t>
        </is>
      </c>
      <c r="B1300" s="25" t="inlineStr">
        <is>
          <t>관리 신규점3</t>
        </is>
      </c>
      <c r="C1300" s="25" t="inlineStr">
        <is>
          <t>S25-H북</t>
        </is>
      </c>
      <c r="D1300" s="25" t="inlineStr">
        <is>
          <t>측정</t>
        </is>
      </c>
      <c r="E1300" s="25" t="inlineStr">
        <is>
          <t>북</t>
        </is>
      </c>
      <c r="F1300" s="30" t="n">
        <v>7</v>
      </c>
      <c r="G1300" s="29" t="n"/>
      <c r="H1300" s="42" t="n"/>
      <c r="I1300" s="40" t="n"/>
      <c r="J1300" s="40" t="n"/>
      <c r="K1300" s="40" t="n"/>
      <c r="L1300" s="30">
        <f>IF(COUNT(I1300:K1300)=0,"",MEDIAN(I1300:K1300))</f>
        <v/>
      </c>
      <c r="M1300" s="25">
        <f>IF(COUNTIFS($C:$C,$C1300,$D:$D,"P0(전)",$L:$L,"&gt;0")&lt;&gt;1,"P0(전) 유효 1개 아님",IF(COUNTIFS($C:$C,$C1300,$D:$D,"P0(후)",$L:$L,"&gt;0")&lt;&gt;1,"P0(후) 유효 1개 아님",IF(NOT(AND(ISNUMBER(N1300),ISNUMBER(P1300),ISNUMBER(H1300))),"시각 결측",IF(P1300&lt;=N1300,"P0 시각 역전",IF(OR(H1300&lt;N1300,H1300&gt;P1300),"측정시각 구간 밖","OK")))))</f>
        <v/>
      </c>
      <c r="N1300" s="45">
        <f>IF(COUNTIFS($C:$C,$C1300,$D:$D,"P0(전)",$L:$L,"&gt;0")&lt;&gt;1,"",SUMIFS($H:$H,$C:$C,$C1300,$D:$D,"P0(전)"))</f>
        <v/>
      </c>
      <c r="O1300" s="30">
        <f>IF(COUNTIFS($C:$C,$C1300,$D:$D,"P0(전)",$L:$L,"&gt;0")&lt;&gt;1,"",SUMIFS($L:$L,$C:$C,$C1300,$D:$D,"P0(전)"))</f>
        <v/>
      </c>
      <c r="P1300" s="45">
        <f>IF(COUNTIFS($C:$C,$C1300,$D:$D,"P0(후)",$L:$L,"&gt;0")&lt;&gt;1,"",SUMIFS($H:$H,$C:$C,$C1300,$D:$D,"P0(후)"))</f>
        <v/>
      </c>
      <c r="Q1300" s="30">
        <f>IF(COUNTIFS($C:$C,$C1300,$D:$D,"P0(후)",$L:$L,"&gt;0")&lt;&gt;1,"",SUMIFS($L:$L,$C:$C,$C1300,$D:$D,"P0(후)"))</f>
        <v/>
      </c>
      <c r="R1300" s="30">
        <f>IF(M1300&lt;&gt;"OK","",O1300+(Q1300-O1300)*(H1300-N1300)/(P1300-N1300))</f>
        <v/>
      </c>
      <c r="S1300" s="30">
        <f>IF(OR(M1300&lt;&gt;"OK",NOT(ISNUMBER(L1300))),"",L1300-R1300)</f>
        <v/>
      </c>
      <c r="T1300" s="46">
        <f>IF(OR(NOT(ISNUMBER(S1300)),IF(ISNUMBER(G1300),G1300,F1300)=0),"",S1300/IF(ISNUMBER(G1300),G1300,F1300))</f>
        <v/>
      </c>
      <c r="U1300" s="46">
        <f>IF(ISNUMBER(T1300),ABS(T1300),"")</f>
        <v/>
      </c>
      <c r="V1300" s="46">
        <f>IF(OR($D1299&lt;&gt;"측정",$C1299&lt;&gt;$C1300,NOT(ISNUMBER(L1300)),NOT(ISNUMBER(L1299)),(IF(ISNUMBER(G1300),G1300,F1300)-IF(ISNUMBER(G1299),G1299,F1299))=0),"",(L1300-L1299)/(IF(ISNUMBER(G1300),G1300,F1300)-IF(ISNUMBER(G1299),G1299,F1299)))</f>
        <v/>
      </c>
      <c r="W1300" s="30">
        <f>IF(NOT(AND(ISNUMBER(N1300),ISNUMBER(P1300))),"",(P1300-N1300)*1440)</f>
        <v/>
      </c>
      <c r="X1300" s="28" t="n"/>
      <c r="Y1300" s="28" t="n"/>
      <c r="Z1300" s="28" t="n"/>
      <c r="AA1300" s="31" t="n"/>
      <c r="AB1300" s="31" t="n"/>
    </row>
    <row r="1301">
      <c r="A1301" s="25" t="inlineStr">
        <is>
          <t>S25</t>
        </is>
      </c>
      <c r="B1301" s="25" t="inlineStr">
        <is>
          <t>관리 신규점3</t>
        </is>
      </c>
      <c r="C1301" s="25" t="inlineStr">
        <is>
          <t>S25-H북</t>
        </is>
      </c>
      <c r="D1301" s="25" t="inlineStr">
        <is>
          <t>측정</t>
        </is>
      </c>
      <c r="E1301" s="25" t="inlineStr">
        <is>
          <t>북</t>
        </is>
      </c>
      <c r="F1301" s="30" t="n">
        <v>8</v>
      </c>
      <c r="G1301" s="29" t="n"/>
      <c r="H1301" s="42" t="n"/>
      <c r="I1301" s="40" t="n"/>
      <c r="J1301" s="40" t="n"/>
      <c r="K1301" s="40" t="n"/>
      <c r="L1301" s="30">
        <f>IF(COUNT(I1301:K1301)=0,"",MEDIAN(I1301:K1301))</f>
        <v/>
      </c>
      <c r="M1301" s="25">
        <f>IF(COUNTIFS($C:$C,$C1301,$D:$D,"P0(전)",$L:$L,"&gt;0")&lt;&gt;1,"P0(전) 유효 1개 아님",IF(COUNTIFS($C:$C,$C1301,$D:$D,"P0(후)",$L:$L,"&gt;0")&lt;&gt;1,"P0(후) 유효 1개 아님",IF(NOT(AND(ISNUMBER(N1301),ISNUMBER(P1301),ISNUMBER(H1301))),"시각 결측",IF(P1301&lt;=N1301,"P0 시각 역전",IF(OR(H1301&lt;N1301,H1301&gt;P1301),"측정시각 구간 밖","OK")))))</f>
        <v/>
      </c>
      <c r="N1301" s="45">
        <f>IF(COUNTIFS($C:$C,$C1301,$D:$D,"P0(전)",$L:$L,"&gt;0")&lt;&gt;1,"",SUMIFS($H:$H,$C:$C,$C1301,$D:$D,"P0(전)"))</f>
        <v/>
      </c>
      <c r="O1301" s="30">
        <f>IF(COUNTIFS($C:$C,$C1301,$D:$D,"P0(전)",$L:$L,"&gt;0")&lt;&gt;1,"",SUMIFS($L:$L,$C:$C,$C1301,$D:$D,"P0(전)"))</f>
        <v/>
      </c>
      <c r="P1301" s="45">
        <f>IF(COUNTIFS($C:$C,$C1301,$D:$D,"P0(후)",$L:$L,"&gt;0")&lt;&gt;1,"",SUMIFS($H:$H,$C:$C,$C1301,$D:$D,"P0(후)"))</f>
        <v/>
      </c>
      <c r="Q1301" s="30">
        <f>IF(COUNTIFS($C:$C,$C1301,$D:$D,"P0(후)",$L:$L,"&gt;0")&lt;&gt;1,"",SUMIFS($L:$L,$C:$C,$C1301,$D:$D,"P0(후)"))</f>
        <v/>
      </c>
      <c r="R1301" s="30">
        <f>IF(M1301&lt;&gt;"OK","",O1301+(Q1301-O1301)*(H1301-N1301)/(P1301-N1301))</f>
        <v/>
      </c>
      <c r="S1301" s="30">
        <f>IF(OR(M1301&lt;&gt;"OK",NOT(ISNUMBER(L1301))),"",L1301-R1301)</f>
        <v/>
      </c>
      <c r="T1301" s="46">
        <f>IF(OR(NOT(ISNUMBER(S1301)),IF(ISNUMBER(G1301),G1301,F1301)=0),"",S1301/IF(ISNUMBER(G1301),G1301,F1301))</f>
        <v/>
      </c>
      <c r="U1301" s="46">
        <f>IF(ISNUMBER(T1301),ABS(T1301),"")</f>
        <v/>
      </c>
      <c r="V1301" s="46">
        <f>IF(OR($D1300&lt;&gt;"측정",$C1300&lt;&gt;$C1301,NOT(ISNUMBER(L1301)),NOT(ISNUMBER(L1300)),(IF(ISNUMBER(G1301),G1301,F1301)-IF(ISNUMBER(G1300),G1300,F1300))=0),"",(L1301-L1300)/(IF(ISNUMBER(G1301),G1301,F1301)-IF(ISNUMBER(G1300),G1300,F1300)))</f>
        <v/>
      </c>
      <c r="W1301" s="30">
        <f>IF(NOT(AND(ISNUMBER(N1301),ISNUMBER(P1301))),"",(P1301-N1301)*1440)</f>
        <v/>
      </c>
      <c r="X1301" s="28" t="n"/>
      <c r="Y1301" s="28" t="n"/>
      <c r="Z1301" s="28" t="n"/>
      <c r="AA1301" s="31" t="n"/>
      <c r="AB1301" s="31" t="n"/>
    </row>
    <row r="1302">
      <c r="A1302" s="25" t="inlineStr">
        <is>
          <t>S25</t>
        </is>
      </c>
      <c r="B1302" s="25" t="inlineStr">
        <is>
          <t>관리 신규점3</t>
        </is>
      </c>
      <c r="C1302" s="25" t="inlineStr">
        <is>
          <t>S25-H북</t>
        </is>
      </c>
      <c r="D1302" s="25" t="inlineStr">
        <is>
          <t>측정</t>
        </is>
      </c>
      <c r="E1302" s="25" t="inlineStr">
        <is>
          <t>북</t>
        </is>
      </c>
      <c r="F1302" s="30" t="n">
        <v>9</v>
      </c>
      <c r="G1302" s="29" t="n"/>
      <c r="H1302" s="42" t="n"/>
      <c r="I1302" s="40" t="n"/>
      <c r="J1302" s="40" t="n"/>
      <c r="K1302" s="40" t="n"/>
      <c r="L1302" s="30">
        <f>IF(COUNT(I1302:K1302)=0,"",MEDIAN(I1302:K1302))</f>
        <v/>
      </c>
      <c r="M1302" s="25">
        <f>IF(COUNTIFS($C:$C,$C1302,$D:$D,"P0(전)",$L:$L,"&gt;0")&lt;&gt;1,"P0(전) 유효 1개 아님",IF(COUNTIFS($C:$C,$C1302,$D:$D,"P0(후)",$L:$L,"&gt;0")&lt;&gt;1,"P0(후) 유효 1개 아님",IF(NOT(AND(ISNUMBER(N1302),ISNUMBER(P1302),ISNUMBER(H1302))),"시각 결측",IF(P1302&lt;=N1302,"P0 시각 역전",IF(OR(H1302&lt;N1302,H1302&gt;P1302),"측정시각 구간 밖","OK")))))</f>
        <v/>
      </c>
      <c r="N1302" s="45">
        <f>IF(COUNTIFS($C:$C,$C1302,$D:$D,"P0(전)",$L:$L,"&gt;0")&lt;&gt;1,"",SUMIFS($H:$H,$C:$C,$C1302,$D:$D,"P0(전)"))</f>
        <v/>
      </c>
      <c r="O1302" s="30">
        <f>IF(COUNTIFS($C:$C,$C1302,$D:$D,"P0(전)",$L:$L,"&gt;0")&lt;&gt;1,"",SUMIFS($L:$L,$C:$C,$C1302,$D:$D,"P0(전)"))</f>
        <v/>
      </c>
      <c r="P1302" s="45">
        <f>IF(COUNTIFS($C:$C,$C1302,$D:$D,"P0(후)",$L:$L,"&gt;0")&lt;&gt;1,"",SUMIFS($H:$H,$C:$C,$C1302,$D:$D,"P0(후)"))</f>
        <v/>
      </c>
      <c r="Q1302" s="30">
        <f>IF(COUNTIFS($C:$C,$C1302,$D:$D,"P0(후)",$L:$L,"&gt;0")&lt;&gt;1,"",SUMIFS($L:$L,$C:$C,$C1302,$D:$D,"P0(후)"))</f>
        <v/>
      </c>
      <c r="R1302" s="30">
        <f>IF(M1302&lt;&gt;"OK","",O1302+(Q1302-O1302)*(H1302-N1302)/(P1302-N1302))</f>
        <v/>
      </c>
      <c r="S1302" s="30">
        <f>IF(OR(M1302&lt;&gt;"OK",NOT(ISNUMBER(L1302))),"",L1302-R1302)</f>
        <v/>
      </c>
      <c r="T1302" s="46">
        <f>IF(OR(NOT(ISNUMBER(S1302)),IF(ISNUMBER(G1302),G1302,F1302)=0),"",S1302/IF(ISNUMBER(G1302),G1302,F1302))</f>
        <v/>
      </c>
      <c r="U1302" s="46">
        <f>IF(ISNUMBER(T1302),ABS(T1302),"")</f>
        <v/>
      </c>
      <c r="V1302" s="46">
        <f>IF(OR($D1301&lt;&gt;"측정",$C1301&lt;&gt;$C1302,NOT(ISNUMBER(L1302)),NOT(ISNUMBER(L1301)),(IF(ISNUMBER(G1302),G1302,F1302)-IF(ISNUMBER(G1301),G1301,F1301))=0),"",(L1302-L1301)/(IF(ISNUMBER(G1302),G1302,F1302)-IF(ISNUMBER(G1301),G1301,F1301)))</f>
        <v/>
      </c>
      <c r="W1302" s="30">
        <f>IF(NOT(AND(ISNUMBER(N1302),ISNUMBER(P1302))),"",(P1302-N1302)*1440)</f>
        <v/>
      </c>
      <c r="X1302" s="28" t="n"/>
      <c r="Y1302" s="28" t="n"/>
      <c r="Z1302" s="28" t="n"/>
      <c r="AA1302" s="31" t="n"/>
      <c r="AB1302" s="31" t="n"/>
    </row>
    <row r="1303">
      <c r="A1303" s="25" t="inlineStr">
        <is>
          <t>S25</t>
        </is>
      </c>
      <c r="B1303" s="25" t="inlineStr">
        <is>
          <t>관리 신규점3</t>
        </is>
      </c>
      <c r="C1303" s="25" t="inlineStr">
        <is>
          <t>S25-H북</t>
        </is>
      </c>
      <c r="D1303" s="25" t="inlineStr">
        <is>
          <t>측정</t>
        </is>
      </c>
      <c r="E1303" s="25" t="inlineStr">
        <is>
          <t>북</t>
        </is>
      </c>
      <c r="F1303" s="30" t="n">
        <v>10</v>
      </c>
      <c r="G1303" s="29" t="n"/>
      <c r="H1303" s="42" t="n"/>
      <c r="I1303" s="40" t="n"/>
      <c r="J1303" s="40" t="n"/>
      <c r="K1303" s="40" t="n"/>
      <c r="L1303" s="30">
        <f>IF(COUNT(I1303:K1303)=0,"",MEDIAN(I1303:K1303))</f>
        <v/>
      </c>
      <c r="M1303" s="25">
        <f>IF(COUNTIFS($C:$C,$C1303,$D:$D,"P0(전)",$L:$L,"&gt;0")&lt;&gt;1,"P0(전) 유효 1개 아님",IF(COUNTIFS($C:$C,$C1303,$D:$D,"P0(후)",$L:$L,"&gt;0")&lt;&gt;1,"P0(후) 유효 1개 아님",IF(NOT(AND(ISNUMBER(N1303),ISNUMBER(P1303),ISNUMBER(H1303))),"시각 결측",IF(P1303&lt;=N1303,"P0 시각 역전",IF(OR(H1303&lt;N1303,H1303&gt;P1303),"측정시각 구간 밖","OK")))))</f>
        <v/>
      </c>
      <c r="N1303" s="45">
        <f>IF(COUNTIFS($C:$C,$C1303,$D:$D,"P0(전)",$L:$L,"&gt;0")&lt;&gt;1,"",SUMIFS($H:$H,$C:$C,$C1303,$D:$D,"P0(전)"))</f>
        <v/>
      </c>
      <c r="O1303" s="30">
        <f>IF(COUNTIFS($C:$C,$C1303,$D:$D,"P0(전)",$L:$L,"&gt;0")&lt;&gt;1,"",SUMIFS($L:$L,$C:$C,$C1303,$D:$D,"P0(전)"))</f>
        <v/>
      </c>
      <c r="P1303" s="45">
        <f>IF(COUNTIFS($C:$C,$C1303,$D:$D,"P0(후)",$L:$L,"&gt;0")&lt;&gt;1,"",SUMIFS($H:$H,$C:$C,$C1303,$D:$D,"P0(후)"))</f>
        <v/>
      </c>
      <c r="Q1303" s="30">
        <f>IF(COUNTIFS($C:$C,$C1303,$D:$D,"P0(후)",$L:$L,"&gt;0")&lt;&gt;1,"",SUMIFS($L:$L,$C:$C,$C1303,$D:$D,"P0(후)"))</f>
        <v/>
      </c>
      <c r="R1303" s="30">
        <f>IF(M1303&lt;&gt;"OK","",O1303+(Q1303-O1303)*(H1303-N1303)/(P1303-N1303))</f>
        <v/>
      </c>
      <c r="S1303" s="30">
        <f>IF(OR(M1303&lt;&gt;"OK",NOT(ISNUMBER(L1303))),"",L1303-R1303)</f>
        <v/>
      </c>
      <c r="T1303" s="46">
        <f>IF(OR(NOT(ISNUMBER(S1303)),IF(ISNUMBER(G1303),G1303,F1303)=0),"",S1303/IF(ISNUMBER(G1303),G1303,F1303))</f>
        <v/>
      </c>
      <c r="U1303" s="46">
        <f>IF(ISNUMBER(T1303),ABS(T1303),"")</f>
        <v/>
      </c>
      <c r="V1303" s="46">
        <f>IF(OR($D1302&lt;&gt;"측정",$C1302&lt;&gt;$C1303,NOT(ISNUMBER(L1303)),NOT(ISNUMBER(L1302)),(IF(ISNUMBER(G1303),G1303,F1303)-IF(ISNUMBER(G1302),G1302,F1302))=0),"",(L1303-L1302)/(IF(ISNUMBER(G1303),G1303,F1303)-IF(ISNUMBER(G1302),G1302,F1302)))</f>
        <v/>
      </c>
      <c r="W1303" s="30">
        <f>IF(NOT(AND(ISNUMBER(N1303),ISNUMBER(P1303))),"",(P1303-N1303)*1440)</f>
        <v/>
      </c>
      <c r="X1303" s="28" t="n"/>
      <c r="Y1303" s="28" t="n"/>
      <c r="Z1303" s="28" t="n"/>
      <c r="AA1303" s="31" t="n"/>
      <c r="AB1303" s="31" t="n"/>
    </row>
    <row r="1304">
      <c r="A1304" s="43" t="inlineStr">
        <is>
          <t>S25</t>
        </is>
      </c>
      <c r="B1304" s="43" t="inlineStr">
        <is>
          <t>관리 신규점3</t>
        </is>
      </c>
      <c r="C1304" s="43" t="inlineStr">
        <is>
          <t>S25-H북</t>
        </is>
      </c>
      <c r="D1304" s="43" t="inlineStr">
        <is>
          <t>P0(후)</t>
        </is>
      </c>
      <c r="E1304" s="43" t="inlineStr">
        <is>
          <t>북</t>
        </is>
      </c>
      <c r="F1304" s="44" t="n"/>
      <c r="G1304" s="29" t="n"/>
      <c r="H1304" s="42" t="n"/>
      <c r="I1304" s="40" t="n"/>
      <c r="J1304" s="40" t="n"/>
      <c r="K1304" s="40" t="n"/>
      <c r="L1304" s="30">
        <f>IF(COUNT(I1304:K1304)=0,"",MEDIAN(I1304:K1304))</f>
        <v/>
      </c>
      <c r="M1304" s="37" t="n"/>
      <c r="N1304" s="37" t="n"/>
      <c r="O1304" s="37" t="n"/>
      <c r="P1304" s="37" t="n"/>
      <c r="Q1304" s="37" t="n"/>
      <c r="R1304" s="37" t="n"/>
      <c r="S1304" s="37" t="n"/>
      <c r="T1304" s="37" t="n"/>
      <c r="U1304" s="37" t="n"/>
      <c r="V1304" s="37" t="n"/>
      <c r="W1304" s="37" t="n"/>
      <c r="X1304" s="28" t="n"/>
      <c r="Y1304" s="28" t="n"/>
      <c r="Z1304" s="28" t="n"/>
      <c r="AA1304" s="31" t="n"/>
      <c r="AB1304" s="31" t="n"/>
    </row>
    <row r="1305">
      <c r="A1305" s="43" t="inlineStr">
        <is>
          <t>S26</t>
        </is>
      </c>
      <c r="B1305" s="43" t="inlineStr">
        <is>
          <t>고남 신규점2</t>
        </is>
      </c>
      <c r="C1305" s="43" t="inlineStr">
        <is>
          <t>S26-H동</t>
        </is>
      </c>
      <c r="D1305" s="43" t="inlineStr">
        <is>
          <t>P0(전)</t>
        </is>
      </c>
      <c r="E1305" s="43" t="inlineStr">
        <is>
          <t>동</t>
        </is>
      </c>
      <c r="F1305" s="44" t="n"/>
      <c r="G1305" s="29" t="n"/>
      <c r="H1305" s="42" t="n"/>
      <c r="I1305" s="40" t="n"/>
      <c r="J1305" s="40" t="n"/>
      <c r="K1305" s="40" t="n"/>
      <c r="L1305" s="30">
        <f>IF(COUNT(I1305:K1305)=0,"",MEDIAN(I1305:K1305))</f>
        <v/>
      </c>
      <c r="M1305" s="37" t="n"/>
      <c r="N1305" s="37" t="n"/>
      <c r="O1305" s="37" t="n"/>
      <c r="P1305" s="37" t="n"/>
      <c r="Q1305" s="37" t="n"/>
      <c r="R1305" s="37" t="n"/>
      <c r="S1305" s="37" t="n"/>
      <c r="T1305" s="37" t="n"/>
      <c r="U1305" s="37" t="n"/>
      <c r="V1305" s="37" t="n"/>
      <c r="W1305" s="37" t="n"/>
      <c r="X1305" s="28" t="n"/>
      <c r="Y1305" s="28" t="n"/>
      <c r="Z1305" s="28" t="n"/>
      <c r="AA1305" s="31" t="n"/>
      <c r="AB1305" s="31" t="n"/>
    </row>
    <row r="1306">
      <c r="A1306" s="25" t="inlineStr">
        <is>
          <t>S26</t>
        </is>
      </c>
      <c r="B1306" s="25" t="inlineStr">
        <is>
          <t>고남 신규점2</t>
        </is>
      </c>
      <c r="C1306" s="25" t="inlineStr">
        <is>
          <t>S26-H동</t>
        </is>
      </c>
      <c r="D1306" s="25" t="inlineStr">
        <is>
          <t>측정</t>
        </is>
      </c>
      <c r="E1306" s="25" t="inlineStr">
        <is>
          <t>동</t>
        </is>
      </c>
      <c r="F1306" s="30" t="n">
        <v>0.5</v>
      </c>
      <c r="G1306" s="29" t="n"/>
      <c r="H1306" s="42" t="n"/>
      <c r="I1306" s="40" t="n"/>
      <c r="J1306" s="40" t="n"/>
      <c r="K1306" s="40" t="n"/>
      <c r="L1306" s="30">
        <f>IF(COUNT(I1306:K1306)=0,"",MEDIAN(I1306:K1306))</f>
        <v/>
      </c>
      <c r="M1306" s="25">
        <f>IF(COUNTIFS($C:$C,$C1306,$D:$D,"P0(전)",$L:$L,"&gt;0")&lt;&gt;1,"P0(전) 유효 1개 아님",IF(COUNTIFS($C:$C,$C1306,$D:$D,"P0(후)",$L:$L,"&gt;0")&lt;&gt;1,"P0(후) 유효 1개 아님",IF(NOT(AND(ISNUMBER(N1306),ISNUMBER(P1306),ISNUMBER(H1306))),"시각 결측",IF(P1306&lt;=N1306,"P0 시각 역전",IF(OR(H1306&lt;N1306,H1306&gt;P1306),"측정시각 구간 밖","OK")))))</f>
        <v/>
      </c>
      <c r="N1306" s="45">
        <f>IF(COUNTIFS($C:$C,$C1306,$D:$D,"P0(전)",$L:$L,"&gt;0")&lt;&gt;1,"",SUMIFS($H:$H,$C:$C,$C1306,$D:$D,"P0(전)"))</f>
        <v/>
      </c>
      <c r="O1306" s="30">
        <f>IF(COUNTIFS($C:$C,$C1306,$D:$D,"P0(전)",$L:$L,"&gt;0")&lt;&gt;1,"",SUMIFS($L:$L,$C:$C,$C1306,$D:$D,"P0(전)"))</f>
        <v/>
      </c>
      <c r="P1306" s="45">
        <f>IF(COUNTIFS($C:$C,$C1306,$D:$D,"P0(후)",$L:$L,"&gt;0")&lt;&gt;1,"",SUMIFS($H:$H,$C:$C,$C1306,$D:$D,"P0(후)"))</f>
        <v/>
      </c>
      <c r="Q1306" s="30">
        <f>IF(COUNTIFS($C:$C,$C1306,$D:$D,"P0(후)",$L:$L,"&gt;0")&lt;&gt;1,"",SUMIFS($L:$L,$C:$C,$C1306,$D:$D,"P0(후)"))</f>
        <v/>
      </c>
      <c r="R1306" s="30">
        <f>IF(M1306&lt;&gt;"OK","",O1306+(Q1306-O1306)*(H1306-N1306)/(P1306-N1306))</f>
        <v/>
      </c>
      <c r="S1306" s="30">
        <f>IF(OR(M1306&lt;&gt;"OK",NOT(ISNUMBER(L1306))),"",L1306-R1306)</f>
        <v/>
      </c>
      <c r="T1306" s="46">
        <f>IF(OR(NOT(ISNUMBER(S1306)),IF(ISNUMBER(G1306),G1306,F1306)=0),"",S1306/IF(ISNUMBER(G1306),G1306,F1306))</f>
        <v/>
      </c>
      <c r="U1306" s="46">
        <f>IF(ISNUMBER(T1306),ABS(T1306),"")</f>
        <v/>
      </c>
      <c r="V1306" s="46">
        <f>IF(OR($D1305&lt;&gt;"측정",$C1305&lt;&gt;$C1306,NOT(ISNUMBER(L1306)),NOT(ISNUMBER(L1305)),(IF(ISNUMBER(G1306),G1306,F1306)-IF(ISNUMBER(G1305),G1305,F1305))=0),"",(L1306-L1305)/(IF(ISNUMBER(G1306),G1306,F1306)-IF(ISNUMBER(G1305),G1305,F1305)))</f>
        <v/>
      </c>
      <c r="W1306" s="30">
        <f>IF(NOT(AND(ISNUMBER(N1306),ISNUMBER(P1306))),"",(P1306-N1306)*1440)</f>
        <v/>
      </c>
      <c r="X1306" s="28" t="n"/>
      <c r="Y1306" s="28" t="n"/>
      <c r="Z1306" s="28" t="n"/>
      <c r="AA1306" s="31" t="n"/>
      <c r="AB1306" s="31" t="n"/>
    </row>
    <row r="1307">
      <c r="A1307" s="25" t="inlineStr">
        <is>
          <t>S26</t>
        </is>
      </c>
      <c r="B1307" s="25" t="inlineStr">
        <is>
          <t>고남 신규점2</t>
        </is>
      </c>
      <c r="C1307" s="25" t="inlineStr">
        <is>
          <t>S26-H동</t>
        </is>
      </c>
      <c r="D1307" s="25" t="inlineStr">
        <is>
          <t>측정</t>
        </is>
      </c>
      <c r="E1307" s="25" t="inlineStr">
        <is>
          <t>동</t>
        </is>
      </c>
      <c r="F1307" s="30" t="n">
        <v>1</v>
      </c>
      <c r="G1307" s="29" t="n"/>
      <c r="H1307" s="42" t="n"/>
      <c r="I1307" s="40" t="n"/>
      <c r="J1307" s="40" t="n"/>
      <c r="K1307" s="40" t="n"/>
      <c r="L1307" s="30">
        <f>IF(COUNT(I1307:K1307)=0,"",MEDIAN(I1307:K1307))</f>
        <v/>
      </c>
      <c r="M1307" s="25">
        <f>IF(COUNTIFS($C:$C,$C1307,$D:$D,"P0(전)",$L:$L,"&gt;0")&lt;&gt;1,"P0(전) 유효 1개 아님",IF(COUNTIFS($C:$C,$C1307,$D:$D,"P0(후)",$L:$L,"&gt;0")&lt;&gt;1,"P0(후) 유효 1개 아님",IF(NOT(AND(ISNUMBER(N1307),ISNUMBER(P1307),ISNUMBER(H1307))),"시각 결측",IF(P1307&lt;=N1307,"P0 시각 역전",IF(OR(H1307&lt;N1307,H1307&gt;P1307),"측정시각 구간 밖","OK")))))</f>
        <v/>
      </c>
      <c r="N1307" s="45">
        <f>IF(COUNTIFS($C:$C,$C1307,$D:$D,"P0(전)",$L:$L,"&gt;0")&lt;&gt;1,"",SUMIFS($H:$H,$C:$C,$C1307,$D:$D,"P0(전)"))</f>
        <v/>
      </c>
      <c r="O1307" s="30">
        <f>IF(COUNTIFS($C:$C,$C1307,$D:$D,"P0(전)",$L:$L,"&gt;0")&lt;&gt;1,"",SUMIFS($L:$L,$C:$C,$C1307,$D:$D,"P0(전)"))</f>
        <v/>
      </c>
      <c r="P1307" s="45">
        <f>IF(COUNTIFS($C:$C,$C1307,$D:$D,"P0(후)",$L:$L,"&gt;0")&lt;&gt;1,"",SUMIFS($H:$H,$C:$C,$C1307,$D:$D,"P0(후)"))</f>
        <v/>
      </c>
      <c r="Q1307" s="30">
        <f>IF(COUNTIFS($C:$C,$C1307,$D:$D,"P0(후)",$L:$L,"&gt;0")&lt;&gt;1,"",SUMIFS($L:$L,$C:$C,$C1307,$D:$D,"P0(후)"))</f>
        <v/>
      </c>
      <c r="R1307" s="30">
        <f>IF(M1307&lt;&gt;"OK","",O1307+(Q1307-O1307)*(H1307-N1307)/(P1307-N1307))</f>
        <v/>
      </c>
      <c r="S1307" s="30">
        <f>IF(OR(M1307&lt;&gt;"OK",NOT(ISNUMBER(L1307))),"",L1307-R1307)</f>
        <v/>
      </c>
      <c r="T1307" s="46">
        <f>IF(OR(NOT(ISNUMBER(S1307)),IF(ISNUMBER(G1307),G1307,F1307)=0),"",S1307/IF(ISNUMBER(G1307),G1307,F1307))</f>
        <v/>
      </c>
      <c r="U1307" s="46">
        <f>IF(ISNUMBER(T1307),ABS(T1307),"")</f>
        <v/>
      </c>
      <c r="V1307" s="46">
        <f>IF(OR($D1306&lt;&gt;"측정",$C1306&lt;&gt;$C1307,NOT(ISNUMBER(L1307)),NOT(ISNUMBER(L1306)),(IF(ISNUMBER(G1307),G1307,F1307)-IF(ISNUMBER(G1306),G1306,F1306))=0),"",(L1307-L1306)/(IF(ISNUMBER(G1307),G1307,F1307)-IF(ISNUMBER(G1306),G1306,F1306)))</f>
        <v/>
      </c>
      <c r="W1307" s="30">
        <f>IF(NOT(AND(ISNUMBER(N1307),ISNUMBER(P1307))),"",(P1307-N1307)*1440)</f>
        <v/>
      </c>
      <c r="X1307" s="28" t="n"/>
      <c r="Y1307" s="28" t="n"/>
      <c r="Z1307" s="28" t="n"/>
      <c r="AA1307" s="31" t="n"/>
      <c r="AB1307" s="31" t="n"/>
    </row>
    <row r="1308">
      <c r="A1308" s="25" t="inlineStr">
        <is>
          <t>S26</t>
        </is>
      </c>
      <c r="B1308" s="25" t="inlineStr">
        <is>
          <t>고남 신규점2</t>
        </is>
      </c>
      <c r="C1308" s="25" t="inlineStr">
        <is>
          <t>S26-H동</t>
        </is>
      </c>
      <c r="D1308" s="25" t="inlineStr">
        <is>
          <t>측정</t>
        </is>
      </c>
      <c r="E1308" s="25" t="inlineStr">
        <is>
          <t>동</t>
        </is>
      </c>
      <c r="F1308" s="30" t="n">
        <v>2</v>
      </c>
      <c r="G1308" s="29" t="n"/>
      <c r="H1308" s="42" t="n"/>
      <c r="I1308" s="40" t="n"/>
      <c r="J1308" s="40" t="n"/>
      <c r="K1308" s="40" t="n"/>
      <c r="L1308" s="30">
        <f>IF(COUNT(I1308:K1308)=0,"",MEDIAN(I1308:K1308))</f>
        <v/>
      </c>
      <c r="M1308" s="25">
        <f>IF(COUNTIFS($C:$C,$C1308,$D:$D,"P0(전)",$L:$L,"&gt;0")&lt;&gt;1,"P0(전) 유효 1개 아님",IF(COUNTIFS($C:$C,$C1308,$D:$D,"P0(후)",$L:$L,"&gt;0")&lt;&gt;1,"P0(후) 유효 1개 아님",IF(NOT(AND(ISNUMBER(N1308),ISNUMBER(P1308),ISNUMBER(H1308))),"시각 결측",IF(P1308&lt;=N1308,"P0 시각 역전",IF(OR(H1308&lt;N1308,H1308&gt;P1308),"측정시각 구간 밖","OK")))))</f>
        <v/>
      </c>
      <c r="N1308" s="45">
        <f>IF(COUNTIFS($C:$C,$C1308,$D:$D,"P0(전)",$L:$L,"&gt;0")&lt;&gt;1,"",SUMIFS($H:$H,$C:$C,$C1308,$D:$D,"P0(전)"))</f>
        <v/>
      </c>
      <c r="O1308" s="30">
        <f>IF(COUNTIFS($C:$C,$C1308,$D:$D,"P0(전)",$L:$L,"&gt;0")&lt;&gt;1,"",SUMIFS($L:$L,$C:$C,$C1308,$D:$D,"P0(전)"))</f>
        <v/>
      </c>
      <c r="P1308" s="45">
        <f>IF(COUNTIFS($C:$C,$C1308,$D:$D,"P0(후)",$L:$L,"&gt;0")&lt;&gt;1,"",SUMIFS($H:$H,$C:$C,$C1308,$D:$D,"P0(후)"))</f>
        <v/>
      </c>
      <c r="Q1308" s="30">
        <f>IF(COUNTIFS($C:$C,$C1308,$D:$D,"P0(후)",$L:$L,"&gt;0")&lt;&gt;1,"",SUMIFS($L:$L,$C:$C,$C1308,$D:$D,"P0(후)"))</f>
        <v/>
      </c>
      <c r="R1308" s="30">
        <f>IF(M1308&lt;&gt;"OK","",O1308+(Q1308-O1308)*(H1308-N1308)/(P1308-N1308))</f>
        <v/>
      </c>
      <c r="S1308" s="30">
        <f>IF(OR(M1308&lt;&gt;"OK",NOT(ISNUMBER(L1308))),"",L1308-R1308)</f>
        <v/>
      </c>
      <c r="T1308" s="46">
        <f>IF(OR(NOT(ISNUMBER(S1308)),IF(ISNUMBER(G1308),G1308,F1308)=0),"",S1308/IF(ISNUMBER(G1308),G1308,F1308))</f>
        <v/>
      </c>
      <c r="U1308" s="46">
        <f>IF(ISNUMBER(T1308),ABS(T1308),"")</f>
        <v/>
      </c>
      <c r="V1308" s="46">
        <f>IF(OR($D1307&lt;&gt;"측정",$C1307&lt;&gt;$C1308,NOT(ISNUMBER(L1308)),NOT(ISNUMBER(L1307)),(IF(ISNUMBER(G1308),G1308,F1308)-IF(ISNUMBER(G1307),G1307,F1307))=0),"",(L1308-L1307)/(IF(ISNUMBER(G1308),G1308,F1308)-IF(ISNUMBER(G1307),G1307,F1307)))</f>
        <v/>
      </c>
      <c r="W1308" s="30">
        <f>IF(NOT(AND(ISNUMBER(N1308),ISNUMBER(P1308))),"",(P1308-N1308)*1440)</f>
        <v/>
      </c>
      <c r="X1308" s="28" t="n"/>
      <c r="Y1308" s="28" t="n"/>
      <c r="Z1308" s="28" t="n"/>
      <c r="AA1308" s="31" t="n"/>
      <c r="AB1308" s="31" t="n"/>
    </row>
    <row r="1309">
      <c r="A1309" s="25" t="inlineStr">
        <is>
          <t>S26</t>
        </is>
      </c>
      <c r="B1309" s="25" t="inlineStr">
        <is>
          <t>고남 신규점2</t>
        </is>
      </c>
      <c r="C1309" s="25" t="inlineStr">
        <is>
          <t>S26-H동</t>
        </is>
      </c>
      <c r="D1309" s="25" t="inlineStr">
        <is>
          <t>측정</t>
        </is>
      </c>
      <c r="E1309" s="25" t="inlineStr">
        <is>
          <t>동</t>
        </is>
      </c>
      <c r="F1309" s="30" t="n">
        <v>3</v>
      </c>
      <c r="G1309" s="29" t="n"/>
      <c r="H1309" s="42" t="n"/>
      <c r="I1309" s="40" t="n"/>
      <c r="J1309" s="40" t="n"/>
      <c r="K1309" s="40" t="n"/>
      <c r="L1309" s="30">
        <f>IF(COUNT(I1309:K1309)=0,"",MEDIAN(I1309:K1309))</f>
        <v/>
      </c>
      <c r="M1309" s="25">
        <f>IF(COUNTIFS($C:$C,$C1309,$D:$D,"P0(전)",$L:$L,"&gt;0")&lt;&gt;1,"P0(전) 유효 1개 아님",IF(COUNTIFS($C:$C,$C1309,$D:$D,"P0(후)",$L:$L,"&gt;0")&lt;&gt;1,"P0(후) 유효 1개 아님",IF(NOT(AND(ISNUMBER(N1309),ISNUMBER(P1309),ISNUMBER(H1309))),"시각 결측",IF(P1309&lt;=N1309,"P0 시각 역전",IF(OR(H1309&lt;N1309,H1309&gt;P1309),"측정시각 구간 밖","OK")))))</f>
        <v/>
      </c>
      <c r="N1309" s="45">
        <f>IF(COUNTIFS($C:$C,$C1309,$D:$D,"P0(전)",$L:$L,"&gt;0")&lt;&gt;1,"",SUMIFS($H:$H,$C:$C,$C1309,$D:$D,"P0(전)"))</f>
        <v/>
      </c>
      <c r="O1309" s="30">
        <f>IF(COUNTIFS($C:$C,$C1309,$D:$D,"P0(전)",$L:$L,"&gt;0")&lt;&gt;1,"",SUMIFS($L:$L,$C:$C,$C1309,$D:$D,"P0(전)"))</f>
        <v/>
      </c>
      <c r="P1309" s="45">
        <f>IF(COUNTIFS($C:$C,$C1309,$D:$D,"P0(후)",$L:$L,"&gt;0")&lt;&gt;1,"",SUMIFS($H:$H,$C:$C,$C1309,$D:$D,"P0(후)"))</f>
        <v/>
      </c>
      <c r="Q1309" s="30">
        <f>IF(COUNTIFS($C:$C,$C1309,$D:$D,"P0(후)",$L:$L,"&gt;0")&lt;&gt;1,"",SUMIFS($L:$L,$C:$C,$C1309,$D:$D,"P0(후)"))</f>
        <v/>
      </c>
      <c r="R1309" s="30">
        <f>IF(M1309&lt;&gt;"OK","",O1309+(Q1309-O1309)*(H1309-N1309)/(P1309-N1309))</f>
        <v/>
      </c>
      <c r="S1309" s="30">
        <f>IF(OR(M1309&lt;&gt;"OK",NOT(ISNUMBER(L1309))),"",L1309-R1309)</f>
        <v/>
      </c>
      <c r="T1309" s="46">
        <f>IF(OR(NOT(ISNUMBER(S1309)),IF(ISNUMBER(G1309),G1309,F1309)=0),"",S1309/IF(ISNUMBER(G1309),G1309,F1309))</f>
        <v/>
      </c>
      <c r="U1309" s="46">
        <f>IF(ISNUMBER(T1309),ABS(T1309),"")</f>
        <v/>
      </c>
      <c r="V1309" s="46">
        <f>IF(OR($D1308&lt;&gt;"측정",$C1308&lt;&gt;$C1309,NOT(ISNUMBER(L1309)),NOT(ISNUMBER(L1308)),(IF(ISNUMBER(G1309),G1309,F1309)-IF(ISNUMBER(G1308),G1308,F1308))=0),"",(L1309-L1308)/(IF(ISNUMBER(G1309),G1309,F1309)-IF(ISNUMBER(G1308),G1308,F1308)))</f>
        <v/>
      </c>
      <c r="W1309" s="30">
        <f>IF(NOT(AND(ISNUMBER(N1309),ISNUMBER(P1309))),"",(P1309-N1309)*1440)</f>
        <v/>
      </c>
      <c r="X1309" s="28" t="n"/>
      <c r="Y1309" s="28" t="n"/>
      <c r="Z1309" s="28" t="n"/>
      <c r="AA1309" s="31" t="n"/>
      <c r="AB1309" s="31" t="n"/>
    </row>
    <row r="1310">
      <c r="A1310" s="25" t="inlineStr">
        <is>
          <t>S26</t>
        </is>
      </c>
      <c r="B1310" s="25" t="inlineStr">
        <is>
          <t>고남 신규점2</t>
        </is>
      </c>
      <c r="C1310" s="25" t="inlineStr">
        <is>
          <t>S26-H동</t>
        </is>
      </c>
      <c r="D1310" s="25" t="inlineStr">
        <is>
          <t>측정</t>
        </is>
      </c>
      <c r="E1310" s="25" t="inlineStr">
        <is>
          <t>동</t>
        </is>
      </c>
      <c r="F1310" s="30" t="n">
        <v>4</v>
      </c>
      <c r="G1310" s="29" t="n"/>
      <c r="H1310" s="42" t="n"/>
      <c r="I1310" s="40" t="n"/>
      <c r="J1310" s="40" t="n"/>
      <c r="K1310" s="40" t="n"/>
      <c r="L1310" s="30">
        <f>IF(COUNT(I1310:K1310)=0,"",MEDIAN(I1310:K1310))</f>
        <v/>
      </c>
      <c r="M1310" s="25">
        <f>IF(COUNTIFS($C:$C,$C1310,$D:$D,"P0(전)",$L:$L,"&gt;0")&lt;&gt;1,"P0(전) 유효 1개 아님",IF(COUNTIFS($C:$C,$C1310,$D:$D,"P0(후)",$L:$L,"&gt;0")&lt;&gt;1,"P0(후) 유효 1개 아님",IF(NOT(AND(ISNUMBER(N1310),ISNUMBER(P1310),ISNUMBER(H1310))),"시각 결측",IF(P1310&lt;=N1310,"P0 시각 역전",IF(OR(H1310&lt;N1310,H1310&gt;P1310),"측정시각 구간 밖","OK")))))</f>
        <v/>
      </c>
      <c r="N1310" s="45">
        <f>IF(COUNTIFS($C:$C,$C1310,$D:$D,"P0(전)",$L:$L,"&gt;0")&lt;&gt;1,"",SUMIFS($H:$H,$C:$C,$C1310,$D:$D,"P0(전)"))</f>
        <v/>
      </c>
      <c r="O1310" s="30">
        <f>IF(COUNTIFS($C:$C,$C1310,$D:$D,"P0(전)",$L:$L,"&gt;0")&lt;&gt;1,"",SUMIFS($L:$L,$C:$C,$C1310,$D:$D,"P0(전)"))</f>
        <v/>
      </c>
      <c r="P1310" s="45">
        <f>IF(COUNTIFS($C:$C,$C1310,$D:$D,"P0(후)",$L:$L,"&gt;0")&lt;&gt;1,"",SUMIFS($H:$H,$C:$C,$C1310,$D:$D,"P0(후)"))</f>
        <v/>
      </c>
      <c r="Q1310" s="30">
        <f>IF(COUNTIFS($C:$C,$C1310,$D:$D,"P0(후)",$L:$L,"&gt;0")&lt;&gt;1,"",SUMIFS($L:$L,$C:$C,$C1310,$D:$D,"P0(후)"))</f>
        <v/>
      </c>
      <c r="R1310" s="30">
        <f>IF(M1310&lt;&gt;"OK","",O1310+(Q1310-O1310)*(H1310-N1310)/(P1310-N1310))</f>
        <v/>
      </c>
      <c r="S1310" s="30">
        <f>IF(OR(M1310&lt;&gt;"OK",NOT(ISNUMBER(L1310))),"",L1310-R1310)</f>
        <v/>
      </c>
      <c r="T1310" s="46">
        <f>IF(OR(NOT(ISNUMBER(S1310)),IF(ISNUMBER(G1310),G1310,F1310)=0),"",S1310/IF(ISNUMBER(G1310),G1310,F1310))</f>
        <v/>
      </c>
      <c r="U1310" s="46">
        <f>IF(ISNUMBER(T1310),ABS(T1310),"")</f>
        <v/>
      </c>
      <c r="V1310" s="46">
        <f>IF(OR($D1309&lt;&gt;"측정",$C1309&lt;&gt;$C1310,NOT(ISNUMBER(L1310)),NOT(ISNUMBER(L1309)),(IF(ISNUMBER(G1310),G1310,F1310)-IF(ISNUMBER(G1309),G1309,F1309))=0),"",(L1310-L1309)/(IF(ISNUMBER(G1310),G1310,F1310)-IF(ISNUMBER(G1309),G1309,F1309)))</f>
        <v/>
      </c>
      <c r="W1310" s="30">
        <f>IF(NOT(AND(ISNUMBER(N1310),ISNUMBER(P1310))),"",(P1310-N1310)*1440)</f>
        <v/>
      </c>
      <c r="X1310" s="28" t="n"/>
      <c r="Y1310" s="28" t="n"/>
      <c r="Z1310" s="28" t="n"/>
      <c r="AA1310" s="31" t="n"/>
      <c r="AB1310" s="31" t="n"/>
    </row>
    <row r="1311">
      <c r="A1311" s="25" t="inlineStr">
        <is>
          <t>S26</t>
        </is>
      </c>
      <c r="B1311" s="25" t="inlineStr">
        <is>
          <t>고남 신규점2</t>
        </is>
      </c>
      <c r="C1311" s="25" t="inlineStr">
        <is>
          <t>S26-H동</t>
        </is>
      </c>
      <c r="D1311" s="25" t="inlineStr">
        <is>
          <t>측정</t>
        </is>
      </c>
      <c r="E1311" s="25" t="inlineStr">
        <is>
          <t>동</t>
        </is>
      </c>
      <c r="F1311" s="30" t="n">
        <v>5</v>
      </c>
      <c r="G1311" s="29" t="n"/>
      <c r="H1311" s="42" t="n"/>
      <c r="I1311" s="40" t="n"/>
      <c r="J1311" s="40" t="n"/>
      <c r="K1311" s="40" t="n"/>
      <c r="L1311" s="30">
        <f>IF(COUNT(I1311:K1311)=0,"",MEDIAN(I1311:K1311))</f>
        <v/>
      </c>
      <c r="M1311" s="25">
        <f>IF(COUNTIFS($C:$C,$C1311,$D:$D,"P0(전)",$L:$L,"&gt;0")&lt;&gt;1,"P0(전) 유효 1개 아님",IF(COUNTIFS($C:$C,$C1311,$D:$D,"P0(후)",$L:$L,"&gt;0")&lt;&gt;1,"P0(후) 유효 1개 아님",IF(NOT(AND(ISNUMBER(N1311),ISNUMBER(P1311),ISNUMBER(H1311))),"시각 결측",IF(P1311&lt;=N1311,"P0 시각 역전",IF(OR(H1311&lt;N1311,H1311&gt;P1311),"측정시각 구간 밖","OK")))))</f>
        <v/>
      </c>
      <c r="N1311" s="45">
        <f>IF(COUNTIFS($C:$C,$C1311,$D:$D,"P0(전)",$L:$L,"&gt;0")&lt;&gt;1,"",SUMIFS($H:$H,$C:$C,$C1311,$D:$D,"P0(전)"))</f>
        <v/>
      </c>
      <c r="O1311" s="30">
        <f>IF(COUNTIFS($C:$C,$C1311,$D:$D,"P0(전)",$L:$L,"&gt;0")&lt;&gt;1,"",SUMIFS($L:$L,$C:$C,$C1311,$D:$D,"P0(전)"))</f>
        <v/>
      </c>
      <c r="P1311" s="45">
        <f>IF(COUNTIFS($C:$C,$C1311,$D:$D,"P0(후)",$L:$L,"&gt;0")&lt;&gt;1,"",SUMIFS($H:$H,$C:$C,$C1311,$D:$D,"P0(후)"))</f>
        <v/>
      </c>
      <c r="Q1311" s="30">
        <f>IF(COUNTIFS($C:$C,$C1311,$D:$D,"P0(후)",$L:$L,"&gt;0")&lt;&gt;1,"",SUMIFS($L:$L,$C:$C,$C1311,$D:$D,"P0(후)"))</f>
        <v/>
      </c>
      <c r="R1311" s="30">
        <f>IF(M1311&lt;&gt;"OK","",O1311+(Q1311-O1311)*(H1311-N1311)/(P1311-N1311))</f>
        <v/>
      </c>
      <c r="S1311" s="30">
        <f>IF(OR(M1311&lt;&gt;"OK",NOT(ISNUMBER(L1311))),"",L1311-R1311)</f>
        <v/>
      </c>
      <c r="T1311" s="46">
        <f>IF(OR(NOT(ISNUMBER(S1311)),IF(ISNUMBER(G1311),G1311,F1311)=0),"",S1311/IF(ISNUMBER(G1311),G1311,F1311))</f>
        <v/>
      </c>
      <c r="U1311" s="46">
        <f>IF(ISNUMBER(T1311),ABS(T1311),"")</f>
        <v/>
      </c>
      <c r="V1311" s="46">
        <f>IF(OR($D1310&lt;&gt;"측정",$C1310&lt;&gt;$C1311,NOT(ISNUMBER(L1311)),NOT(ISNUMBER(L1310)),(IF(ISNUMBER(G1311),G1311,F1311)-IF(ISNUMBER(G1310),G1310,F1310))=0),"",(L1311-L1310)/(IF(ISNUMBER(G1311),G1311,F1311)-IF(ISNUMBER(G1310),G1310,F1310)))</f>
        <v/>
      </c>
      <c r="W1311" s="30">
        <f>IF(NOT(AND(ISNUMBER(N1311),ISNUMBER(P1311))),"",(P1311-N1311)*1440)</f>
        <v/>
      </c>
      <c r="X1311" s="28" t="n"/>
      <c r="Y1311" s="28" t="n"/>
      <c r="Z1311" s="28" t="n"/>
      <c r="AA1311" s="31" t="n"/>
      <c r="AB1311" s="31" t="n"/>
    </row>
    <row r="1312">
      <c r="A1312" s="25" t="inlineStr">
        <is>
          <t>S26</t>
        </is>
      </c>
      <c r="B1312" s="25" t="inlineStr">
        <is>
          <t>고남 신규점2</t>
        </is>
      </c>
      <c r="C1312" s="25" t="inlineStr">
        <is>
          <t>S26-H동</t>
        </is>
      </c>
      <c r="D1312" s="25" t="inlineStr">
        <is>
          <t>측정</t>
        </is>
      </c>
      <c r="E1312" s="25" t="inlineStr">
        <is>
          <t>동</t>
        </is>
      </c>
      <c r="F1312" s="30" t="n">
        <v>6</v>
      </c>
      <c r="G1312" s="29" t="n"/>
      <c r="H1312" s="42" t="n"/>
      <c r="I1312" s="40" t="n"/>
      <c r="J1312" s="40" t="n"/>
      <c r="K1312" s="40" t="n"/>
      <c r="L1312" s="30">
        <f>IF(COUNT(I1312:K1312)=0,"",MEDIAN(I1312:K1312))</f>
        <v/>
      </c>
      <c r="M1312" s="25">
        <f>IF(COUNTIFS($C:$C,$C1312,$D:$D,"P0(전)",$L:$L,"&gt;0")&lt;&gt;1,"P0(전) 유효 1개 아님",IF(COUNTIFS($C:$C,$C1312,$D:$D,"P0(후)",$L:$L,"&gt;0")&lt;&gt;1,"P0(후) 유효 1개 아님",IF(NOT(AND(ISNUMBER(N1312),ISNUMBER(P1312),ISNUMBER(H1312))),"시각 결측",IF(P1312&lt;=N1312,"P0 시각 역전",IF(OR(H1312&lt;N1312,H1312&gt;P1312),"측정시각 구간 밖","OK")))))</f>
        <v/>
      </c>
      <c r="N1312" s="45">
        <f>IF(COUNTIFS($C:$C,$C1312,$D:$D,"P0(전)",$L:$L,"&gt;0")&lt;&gt;1,"",SUMIFS($H:$H,$C:$C,$C1312,$D:$D,"P0(전)"))</f>
        <v/>
      </c>
      <c r="O1312" s="30">
        <f>IF(COUNTIFS($C:$C,$C1312,$D:$D,"P0(전)",$L:$L,"&gt;0")&lt;&gt;1,"",SUMIFS($L:$L,$C:$C,$C1312,$D:$D,"P0(전)"))</f>
        <v/>
      </c>
      <c r="P1312" s="45">
        <f>IF(COUNTIFS($C:$C,$C1312,$D:$D,"P0(후)",$L:$L,"&gt;0")&lt;&gt;1,"",SUMIFS($H:$H,$C:$C,$C1312,$D:$D,"P0(후)"))</f>
        <v/>
      </c>
      <c r="Q1312" s="30">
        <f>IF(COUNTIFS($C:$C,$C1312,$D:$D,"P0(후)",$L:$L,"&gt;0")&lt;&gt;1,"",SUMIFS($L:$L,$C:$C,$C1312,$D:$D,"P0(후)"))</f>
        <v/>
      </c>
      <c r="R1312" s="30">
        <f>IF(M1312&lt;&gt;"OK","",O1312+(Q1312-O1312)*(H1312-N1312)/(P1312-N1312))</f>
        <v/>
      </c>
      <c r="S1312" s="30">
        <f>IF(OR(M1312&lt;&gt;"OK",NOT(ISNUMBER(L1312))),"",L1312-R1312)</f>
        <v/>
      </c>
      <c r="T1312" s="46">
        <f>IF(OR(NOT(ISNUMBER(S1312)),IF(ISNUMBER(G1312),G1312,F1312)=0),"",S1312/IF(ISNUMBER(G1312),G1312,F1312))</f>
        <v/>
      </c>
      <c r="U1312" s="46">
        <f>IF(ISNUMBER(T1312),ABS(T1312),"")</f>
        <v/>
      </c>
      <c r="V1312" s="46">
        <f>IF(OR($D1311&lt;&gt;"측정",$C1311&lt;&gt;$C1312,NOT(ISNUMBER(L1312)),NOT(ISNUMBER(L1311)),(IF(ISNUMBER(G1312),G1312,F1312)-IF(ISNUMBER(G1311),G1311,F1311))=0),"",(L1312-L1311)/(IF(ISNUMBER(G1312),G1312,F1312)-IF(ISNUMBER(G1311),G1311,F1311)))</f>
        <v/>
      </c>
      <c r="W1312" s="30">
        <f>IF(NOT(AND(ISNUMBER(N1312),ISNUMBER(P1312))),"",(P1312-N1312)*1440)</f>
        <v/>
      </c>
      <c r="X1312" s="28" t="n"/>
      <c r="Y1312" s="28" t="n"/>
      <c r="Z1312" s="28" t="n"/>
      <c r="AA1312" s="31" t="n"/>
      <c r="AB1312" s="31" t="n"/>
    </row>
    <row r="1313">
      <c r="A1313" s="25" t="inlineStr">
        <is>
          <t>S26</t>
        </is>
      </c>
      <c r="B1313" s="25" t="inlineStr">
        <is>
          <t>고남 신규점2</t>
        </is>
      </c>
      <c r="C1313" s="25" t="inlineStr">
        <is>
          <t>S26-H동</t>
        </is>
      </c>
      <c r="D1313" s="25" t="inlineStr">
        <is>
          <t>측정</t>
        </is>
      </c>
      <c r="E1313" s="25" t="inlineStr">
        <is>
          <t>동</t>
        </is>
      </c>
      <c r="F1313" s="30" t="n">
        <v>7</v>
      </c>
      <c r="G1313" s="29" t="n"/>
      <c r="H1313" s="42" t="n"/>
      <c r="I1313" s="40" t="n"/>
      <c r="J1313" s="40" t="n"/>
      <c r="K1313" s="40" t="n"/>
      <c r="L1313" s="30">
        <f>IF(COUNT(I1313:K1313)=0,"",MEDIAN(I1313:K1313))</f>
        <v/>
      </c>
      <c r="M1313" s="25">
        <f>IF(COUNTIFS($C:$C,$C1313,$D:$D,"P0(전)",$L:$L,"&gt;0")&lt;&gt;1,"P0(전) 유효 1개 아님",IF(COUNTIFS($C:$C,$C1313,$D:$D,"P0(후)",$L:$L,"&gt;0")&lt;&gt;1,"P0(후) 유효 1개 아님",IF(NOT(AND(ISNUMBER(N1313),ISNUMBER(P1313),ISNUMBER(H1313))),"시각 결측",IF(P1313&lt;=N1313,"P0 시각 역전",IF(OR(H1313&lt;N1313,H1313&gt;P1313),"측정시각 구간 밖","OK")))))</f>
        <v/>
      </c>
      <c r="N1313" s="45">
        <f>IF(COUNTIFS($C:$C,$C1313,$D:$D,"P0(전)",$L:$L,"&gt;0")&lt;&gt;1,"",SUMIFS($H:$H,$C:$C,$C1313,$D:$D,"P0(전)"))</f>
        <v/>
      </c>
      <c r="O1313" s="30">
        <f>IF(COUNTIFS($C:$C,$C1313,$D:$D,"P0(전)",$L:$L,"&gt;0")&lt;&gt;1,"",SUMIFS($L:$L,$C:$C,$C1313,$D:$D,"P0(전)"))</f>
        <v/>
      </c>
      <c r="P1313" s="45">
        <f>IF(COUNTIFS($C:$C,$C1313,$D:$D,"P0(후)",$L:$L,"&gt;0")&lt;&gt;1,"",SUMIFS($H:$H,$C:$C,$C1313,$D:$D,"P0(후)"))</f>
        <v/>
      </c>
      <c r="Q1313" s="30">
        <f>IF(COUNTIFS($C:$C,$C1313,$D:$D,"P0(후)",$L:$L,"&gt;0")&lt;&gt;1,"",SUMIFS($L:$L,$C:$C,$C1313,$D:$D,"P0(후)"))</f>
        <v/>
      </c>
      <c r="R1313" s="30">
        <f>IF(M1313&lt;&gt;"OK","",O1313+(Q1313-O1313)*(H1313-N1313)/(P1313-N1313))</f>
        <v/>
      </c>
      <c r="S1313" s="30">
        <f>IF(OR(M1313&lt;&gt;"OK",NOT(ISNUMBER(L1313))),"",L1313-R1313)</f>
        <v/>
      </c>
      <c r="T1313" s="46">
        <f>IF(OR(NOT(ISNUMBER(S1313)),IF(ISNUMBER(G1313),G1313,F1313)=0),"",S1313/IF(ISNUMBER(G1313),G1313,F1313))</f>
        <v/>
      </c>
      <c r="U1313" s="46">
        <f>IF(ISNUMBER(T1313),ABS(T1313),"")</f>
        <v/>
      </c>
      <c r="V1313" s="46">
        <f>IF(OR($D1312&lt;&gt;"측정",$C1312&lt;&gt;$C1313,NOT(ISNUMBER(L1313)),NOT(ISNUMBER(L1312)),(IF(ISNUMBER(G1313),G1313,F1313)-IF(ISNUMBER(G1312),G1312,F1312))=0),"",(L1313-L1312)/(IF(ISNUMBER(G1313),G1313,F1313)-IF(ISNUMBER(G1312),G1312,F1312)))</f>
        <v/>
      </c>
      <c r="W1313" s="30">
        <f>IF(NOT(AND(ISNUMBER(N1313),ISNUMBER(P1313))),"",(P1313-N1313)*1440)</f>
        <v/>
      </c>
      <c r="X1313" s="28" t="n"/>
      <c r="Y1313" s="28" t="n"/>
      <c r="Z1313" s="28" t="n"/>
      <c r="AA1313" s="31" t="n"/>
      <c r="AB1313" s="31" t="n"/>
    </row>
    <row r="1314">
      <c r="A1314" s="25" t="inlineStr">
        <is>
          <t>S26</t>
        </is>
      </c>
      <c r="B1314" s="25" t="inlineStr">
        <is>
          <t>고남 신규점2</t>
        </is>
      </c>
      <c r="C1314" s="25" t="inlineStr">
        <is>
          <t>S26-H동</t>
        </is>
      </c>
      <c r="D1314" s="25" t="inlineStr">
        <is>
          <t>측정</t>
        </is>
      </c>
      <c r="E1314" s="25" t="inlineStr">
        <is>
          <t>동</t>
        </is>
      </c>
      <c r="F1314" s="30" t="n">
        <v>8</v>
      </c>
      <c r="G1314" s="29" t="n"/>
      <c r="H1314" s="42" t="n"/>
      <c r="I1314" s="40" t="n"/>
      <c r="J1314" s="40" t="n"/>
      <c r="K1314" s="40" t="n"/>
      <c r="L1314" s="30">
        <f>IF(COUNT(I1314:K1314)=0,"",MEDIAN(I1314:K1314))</f>
        <v/>
      </c>
      <c r="M1314" s="25">
        <f>IF(COUNTIFS($C:$C,$C1314,$D:$D,"P0(전)",$L:$L,"&gt;0")&lt;&gt;1,"P0(전) 유효 1개 아님",IF(COUNTIFS($C:$C,$C1314,$D:$D,"P0(후)",$L:$L,"&gt;0")&lt;&gt;1,"P0(후) 유효 1개 아님",IF(NOT(AND(ISNUMBER(N1314),ISNUMBER(P1314),ISNUMBER(H1314))),"시각 결측",IF(P1314&lt;=N1314,"P0 시각 역전",IF(OR(H1314&lt;N1314,H1314&gt;P1314),"측정시각 구간 밖","OK")))))</f>
        <v/>
      </c>
      <c r="N1314" s="45">
        <f>IF(COUNTIFS($C:$C,$C1314,$D:$D,"P0(전)",$L:$L,"&gt;0")&lt;&gt;1,"",SUMIFS($H:$H,$C:$C,$C1314,$D:$D,"P0(전)"))</f>
        <v/>
      </c>
      <c r="O1314" s="30">
        <f>IF(COUNTIFS($C:$C,$C1314,$D:$D,"P0(전)",$L:$L,"&gt;0")&lt;&gt;1,"",SUMIFS($L:$L,$C:$C,$C1314,$D:$D,"P0(전)"))</f>
        <v/>
      </c>
      <c r="P1314" s="45">
        <f>IF(COUNTIFS($C:$C,$C1314,$D:$D,"P0(후)",$L:$L,"&gt;0")&lt;&gt;1,"",SUMIFS($H:$H,$C:$C,$C1314,$D:$D,"P0(후)"))</f>
        <v/>
      </c>
      <c r="Q1314" s="30">
        <f>IF(COUNTIFS($C:$C,$C1314,$D:$D,"P0(후)",$L:$L,"&gt;0")&lt;&gt;1,"",SUMIFS($L:$L,$C:$C,$C1314,$D:$D,"P0(후)"))</f>
        <v/>
      </c>
      <c r="R1314" s="30">
        <f>IF(M1314&lt;&gt;"OK","",O1314+(Q1314-O1314)*(H1314-N1314)/(P1314-N1314))</f>
        <v/>
      </c>
      <c r="S1314" s="30">
        <f>IF(OR(M1314&lt;&gt;"OK",NOT(ISNUMBER(L1314))),"",L1314-R1314)</f>
        <v/>
      </c>
      <c r="T1314" s="46">
        <f>IF(OR(NOT(ISNUMBER(S1314)),IF(ISNUMBER(G1314),G1314,F1314)=0),"",S1314/IF(ISNUMBER(G1314),G1314,F1314))</f>
        <v/>
      </c>
      <c r="U1314" s="46">
        <f>IF(ISNUMBER(T1314),ABS(T1314),"")</f>
        <v/>
      </c>
      <c r="V1314" s="46">
        <f>IF(OR($D1313&lt;&gt;"측정",$C1313&lt;&gt;$C1314,NOT(ISNUMBER(L1314)),NOT(ISNUMBER(L1313)),(IF(ISNUMBER(G1314),G1314,F1314)-IF(ISNUMBER(G1313),G1313,F1313))=0),"",(L1314-L1313)/(IF(ISNUMBER(G1314),G1314,F1314)-IF(ISNUMBER(G1313),G1313,F1313)))</f>
        <v/>
      </c>
      <c r="W1314" s="30">
        <f>IF(NOT(AND(ISNUMBER(N1314),ISNUMBER(P1314))),"",(P1314-N1314)*1440)</f>
        <v/>
      </c>
      <c r="X1314" s="28" t="n"/>
      <c r="Y1314" s="28" t="n"/>
      <c r="Z1314" s="28" t="n"/>
      <c r="AA1314" s="31" t="n"/>
      <c r="AB1314" s="31" t="n"/>
    </row>
    <row r="1315">
      <c r="A1315" s="25" t="inlineStr">
        <is>
          <t>S26</t>
        </is>
      </c>
      <c r="B1315" s="25" t="inlineStr">
        <is>
          <t>고남 신규점2</t>
        </is>
      </c>
      <c r="C1315" s="25" t="inlineStr">
        <is>
          <t>S26-H동</t>
        </is>
      </c>
      <c r="D1315" s="25" t="inlineStr">
        <is>
          <t>측정</t>
        </is>
      </c>
      <c r="E1315" s="25" t="inlineStr">
        <is>
          <t>동</t>
        </is>
      </c>
      <c r="F1315" s="30" t="n">
        <v>9</v>
      </c>
      <c r="G1315" s="29" t="n"/>
      <c r="H1315" s="42" t="n"/>
      <c r="I1315" s="40" t="n"/>
      <c r="J1315" s="40" t="n"/>
      <c r="K1315" s="40" t="n"/>
      <c r="L1315" s="30">
        <f>IF(COUNT(I1315:K1315)=0,"",MEDIAN(I1315:K1315))</f>
        <v/>
      </c>
      <c r="M1315" s="25">
        <f>IF(COUNTIFS($C:$C,$C1315,$D:$D,"P0(전)",$L:$L,"&gt;0")&lt;&gt;1,"P0(전) 유효 1개 아님",IF(COUNTIFS($C:$C,$C1315,$D:$D,"P0(후)",$L:$L,"&gt;0")&lt;&gt;1,"P0(후) 유효 1개 아님",IF(NOT(AND(ISNUMBER(N1315),ISNUMBER(P1315),ISNUMBER(H1315))),"시각 결측",IF(P1315&lt;=N1315,"P0 시각 역전",IF(OR(H1315&lt;N1315,H1315&gt;P1315),"측정시각 구간 밖","OK")))))</f>
        <v/>
      </c>
      <c r="N1315" s="45">
        <f>IF(COUNTIFS($C:$C,$C1315,$D:$D,"P0(전)",$L:$L,"&gt;0")&lt;&gt;1,"",SUMIFS($H:$H,$C:$C,$C1315,$D:$D,"P0(전)"))</f>
        <v/>
      </c>
      <c r="O1315" s="30">
        <f>IF(COUNTIFS($C:$C,$C1315,$D:$D,"P0(전)",$L:$L,"&gt;0")&lt;&gt;1,"",SUMIFS($L:$L,$C:$C,$C1315,$D:$D,"P0(전)"))</f>
        <v/>
      </c>
      <c r="P1315" s="45">
        <f>IF(COUNTIFS($C:$C,$C1315,$D:$D,"P0(후)",$L:$L,"&gt;0")&lt;&gt;1,"",SUMIFS($H:$H,$C:$C,$C1315,$D:$D,"P0(후)"))</f>
        <v/>
      </c>
      <c r="Q1315" s="30">
        <f>IF(COUNTIFS($C:$C,$C1315,$D:$D,"P0(후)",$L:$L,"&gt;0")&lt;&gt;1,"",SUMIFS($L:$L,$C:$C,$C1315,$D:$D,"P0(후)"))</f>
        <v/>
      </c>
      <c r="R1315" s="30">
        <f>IF(M1315&lt;&gt;"OK","",O1315+(Q1315-O1315)*(H1315-N1315)/(P1315-N1315))</f>
        <v/>
      </c>
      <c r="S1315" s="30">
        <f>IF(OR(M1315&lt;&gt;"OK",NOT(ISNUMBER(L1315))),"",L1315-R1315)</f>
        <v/>
      </c>
      <c r="T1315" s="46">
        <f>IF(OR(NOT(ISNUMBER(S1315)),IF(ISNUMBER(G1315),G1315,F1315)=0),"",S1315/IF(ISNUMBER(G1315),G1315,F1315))</f>
        <v/>
      </c>
      <c r="U1315" s="46">
        <f>IF(ISNUMBER(T1315),ABS(T1315),"")</f>
        <v/>
      </c>
      <c r="V1315" s="46">
        <f>IF(OR($D1314&lt;&gt;"측정",$C1314&lt;&gt;$C1315,NOT(ISNUMBER(L1315)),NOT(ISNUMBER(L1314)),(IF(ISNUMBER(G1315),G1315,F1315)-IF(ISNUMBER(G1314),G1314,F1314))=0),"",(L1315-L1314)/(IF(ISNUMBER(G1315),G1315,F1315)-IF(ISNUMBER(G1314),G1314,F1314)))</f>
        <v/>
      </c>
      <c r="W1315" s="30">
        <f>IF(NOT(AND(ISNUMBER(N1315),ISNUMBER(P1315))),"",(P1315-N1315)*1440)</f>
        <v/>
      </c>
      <c r="X1315" s="28" t="n"/>
      <c r="Y1315" s="28" t="n"/>
      <c r="Z1315" s="28" t="n"/>
      <c r="AA1315" s="31" t="n"/>
      <c r="AB1315" s="31" t="n"/>
    </row>
    <row r="1316">
      <c r="A1316" s="25" t="inlineStr">
        <is>
          <t>S26</t>
        </is>
      </c>
      <c r="B1316" s="25" t="inlineStr">
        <is>
          <t>고남 신규점2</t>
        </is>
      </c>
      <c r="C1316" s="25" t="inlineStr">
        <is>
          <t>S26-H동</t>
        </is>
      </c>
      <c r="D1316" s="25" t="inlineStr">
        <is>
          <t>측정</t>
        </is>
      </c>
      <c r="E1316" s="25" t="inlineStr">
        <is>
          <t>동</t>
        </is>
      </c>
      <c r="F1316" s="30" t="n">
        <v>10</v>
      </c>
      <c r="G1316" s="29" t="n"/>
      <c r="H1316" s="42" t="n"/>
      <c r="I1316" s="40" t="n"/>
      <c r="J1316" s="40" t="n"/>
      <c r="K1316" s="40" t="n"/>
      <c r="L1316" s="30">
        <f>IF(COUNT(I1316:K1316)=0,"",MEDIAN(I1316:K1316))</f>
        <v/>
      </c>
      <c r="M1316" s="25">
        <f>IF(COUNTIFS($C:$C,$C1316,$D:$D,"P0(전)",$L:$L,"&gt;0")&lt;&gt;1,"P0(전) 유효 1개 아님",IF(COUNTIFS($C:$C,$C1316,$D:$D,"P0(후)",$L:$L,"&gt;0")&lt;&gt;1,"P0(후) 유효 1개 아님",IF(NOT(AND(ISNUMBER(N1316),ISNUMBER(P1316),ISNUMBER(H1316))),"시각 결측",IF(P1316&lt;=N1316,"P0 시각 역전",IF(OR(H1316&lt;N1316,H1316&gt;P1316),"측정시각 구간 밖","OK")))))</f>
        <v/>
      </c>
      <c r="N1316" s="45">
        <f>IF(COUNTIFS($C:$C,$C1316,$D:$D,"P0(전)",$L:$L,"&gt;0")&lt;&gt;1,"",SUMIFS($H:$H,$C:$C,$C1316,$D:$D,"P0(전)"))</f>
        <v/>
      </c>
      <c r="O1316" s="30">
        <f>IF(COUNTIFS($C:$C,$C1316,$D:$D,"P0(전)",$L:$L,"&gt;0")&lt;&gt;1,"",SUMIFS($L:$L,$C:$C,$C1316,$D:$D,"P0(전)"))</f>
        <v/>
      </c>
      <c r="P1316" s="45">
        <f>IF(COUNTIFS($C:$C,$C1316,$D:$D,"P0(후)",$L:$L,"&gt;0")&lt;&gt;1,"",SUMIFS($H:$H,$C:$C,$C1316,$D:$D,"P0(후)"))</f>
        <v/>
      </c>
      <c r="Q1316" s="30">
        <f>IF(COUNTIFS($C:$C,$C1316,$D:$D,"P0(후)",$L:$L,"&gt;0")&lt;&gt;1,"",SUMIFS($L:$L,$C:$C,$C1316,$D:$D,"P0(후)"))</f>
        <v/>
      </c>
      <c r="R1316" s="30">
        <f>IF(M1316&lt;&gt;"OK","",O1316+(Q1316-O1316)*(H1316-N1316)/(P1316-N1316))</f>
        <v/>
      </c>
      <c r="S1316" s="30">
        <f>IF(OR(M1316&lt;&gt;"OK",NOT(ISNUMBER(L1316))),"",L1316-R1316)</f>
        <v/>
      </c>
      <c r="T1316" s="46">
        <f>IF(OR(NOT(ISNUMBER(S1316)),IF(ISNUMBER(G1316),G1316,F1316)=0),"",S1316/IF(ISNUMBER(G1316),G1316,F1316))</f>
        <v/>
      </c>
      <c r="U1316" s="46">
        <f>IF(ISNUMBER(T1316),ABS(T1316),"")</f>
        <v/>
      </c>
      <c r="V1316" s="46">
        <f>IF(OR($D1315&lt;&gt;"측정",$C1315&lt;&gt;$C1316,NOT(ISNUMBER(L1316)),NOT(ISNUMBER(L1315)),(IF(ISNUMBER(G1316),G1316,F1316)-IF(ISNUMBER(G1315),G1315,F1315))=0),"",(L1316-L1315)/(IF(ISNUMBER(G1316),G1316,F1316)-IF(ISNUMBER(G1315),G1315,F1315)))</f>
        <v/>
      </c>
      <c r="W1316" s="30">
        <f>IF(NOT(AND(ISNUMBER(N1316),ISNUMBER(P1316))),"",(P1316-N1316)*1440)</f>
        <v/>
      </c>
      <c r="X1316" s="28" t="n"/>
      <c r="Y1316" s="28" t="n"/>
      <c r="Z1316" s="28" t="n"/>
      <c r="AA1316" s="31" t="n"/>
      <c r="AB1316" s="31" t="n"/>
    </row>
    <row r="1317">
      <c r="A1317" s="43" t="inlineStr">
        <is>
          <t>S26</t>
        </is>
      </c>
      <c r="B1317" s="43" t="inlineStr">
        <is>
          <t>고남 신규점2</t>
        </is>
      </c>
      <c r="C1317" s="43" t="inlineStr">
        <is>
          <t>S26-H동</t>
        </is>
      </c>
      <c r="D1317" s="43" t="inlineStr">
        <is>
          <t>P0(후)</t>
        </is>
      </c>
      <c r="E1317" s="43" t="inlineStr">
        <is>
          <t>동</t>
        </is>
      </c>
      <c r="F1317" s="44" t="n"/>
      <c r="G1317" s="29" t="n"/>
      <c r="H1317" s="42" t="n"/>
      <c r="I1317" s="40" t="n"/>
      <c r="J1317" s="40" t="n"/>
      <c r="K1317" s="40" t="n"/>
      <c r="L1317" s="30">
        <f>IF(COUNT(I1317:K1317)=0,"",MEDIAN(I1317:K1317))</f>
        <v/>
      </c>
      <c r="M1317" s="37" t="n"/>
      <c r="N1317" s="37" t="n"/>
      <c r="O1317" s="37" t="n"/>
      <c r="P1317" s="37" t="n"/>
      <c r="Q1317" s="37" t="n"/>
      <c r="R1317" s="37" t="n"/>
      <c r="S1317" s="37" t="n"/>
      <c r="T1317" s="37" t="n"/>
      <c r="U1317" s="37" t="n"/>
      <c r="V1317" s="37" t="n"/>
      <c r="W1317" s="37" t="n"/>
      <c r="X1317" s="28" t="n"/>
      <c r="Y1317" s="28" t="n"/>
      <c r="Z1317" s="28" t="n"/>
      <c r="AA1317" s="31" t="n"/>
      <c r="AB1317" s="31" t="n"/>
    </row>
    <row r="1318">
      <c r="A1318" s="43" t="inlineStr">
        <is>
          <t>S26</t>
        </is>
      </c>
      <c r="B1318" s="43" t="inlineStr">
        <is>
          <t>고남 신규점2</t>
        </is>
      </c>
      <c r="C1318" s="43" t="inlineStr">
        <is>
          <t>S26-H서</t>
        </is>
      </c>
      <c r="D1318" s="43" t="inlineStr">
        <is>
          <t>P0(전)</t>
        </is>
      </c>
      <c r="E1318" s="43" t="inlineStr">
        <is>
          <t>서</t>
        </is>
      </c>
      <c r="F1318" s="44" t="n"/>
      <c r="G1318" s="29" t="n"/>
      <c r="H1318" s="42" t="n"/>
      <c r="I1318" s="40" t="n"/>
      <c r="J1318" s="40" t="n"/>
      <c r="K1318" s="40" t="n"/>
      <c r="L1318" s="30">
        <f>IF(COUNT(I1318:K1318)=0,"",MEDIAN(I1318:K1318))</f>
        <v/>
      </c>
      <c r="M1318" s="37" t="n"/>
      <c r="N1318" s="37" t="n"/>
      <c r="O1318" s="37" t="n"/>
      <c r="P1318" s="37" t="n"/>
      <c r="Q1318" s="37" t="n"/>
      <c r="R1318" s="37" t="n"/>
      <c r="S1318" s="37" t="n"/>
      <c r="T1318" s="37" t="n"/>
      <c r="U1318" s="37" t="n"/>
      <c r="V1318" s="37" t="n"/>
      <c r="W1318" s="37" t="n"/>
      <c r="X1318" s="28" t="n"/>
      <c r="Y1318" s="28" t="n"/>
      <c r="Z1318" s="28" t="n"/>
      <c r="AA1318" s="31" t="n"/>
      <c r="AB1318" s="31" t="n"/>
    </row>
    <row r="1319">
      <c r="A1319" s="25" t="inlineStr">
        <is>
          <t>S26</t>
        </is>
      </c>
      <c r="B1319" s="25" t="inlineStr">
        <is>
          <t>고남 신규점2</t>
        </is>
      </c>
      <c r="C1319" s="25" t="inlineStr">
        <is>
          <t>S26-H서</t>
        </is>
      </c>
      <c r="D1319" s="25" t="inlineStr">
        <is>
          <t>측정</t>
        </is>
      </c>
      <c r="E1319" s="25" t="inlineStr">
        <is>
          <t>서</t>
        </is>
      </c>
      <c r="F1319" s="30" t="n">
        <v>0.5</v>
      </c>
      <c r="G1319" s="29" t="n"/>
      <c r="H1319" s="42" t="n"/>
      <c r="I1319" s="40" t="n"/>
      <c r="J1319" s="40" t="n"/>
      <c r="K1319" s="40" t="n"/>
      <c r="L1319" s="30">
        <f>IF(COUNT(I1319:K1319)=0,"",MEDIAN(I1319:K1319))</f>
        <v/>
      </c>
      <c r="M1319" s="25">
        <f>IF(COUNTIFS($C:$C,$C1319,$D:$D,"P0(전)",$L:$L,"&gt;0")&lt;&gt;1,"P0(전) 유효 1개 아님",IF(COUNTIFS($C:$C,$C1319,$D:$D,"P0(후)",$L:$L,"&gt;0")&lt;&gt;1,"P0(후) 유효 1개 아님",IF(NOT(AND(ISNUMBER(N1319),ISNUMBER(P1319),ISNUMBER(H1319))),"시각 결측",IF(P1319&lt;=N1319,"P0 시각 역전",IF(OR(H1319&lt;N1319,H1319&gt;P1319),"측정시각 구간 밖","OK")))))</f>
        <v/>
      </c>
      <c r="N1319" s="45">
        <f>IF(COUNTIFS($C:$C,$C1319,$D:$D,"P0(전)",$L:$L,"&gt;0")&lt;&gt;1,"",SUMIFS($H:$H,$C:$C,$C1319,$D:$D,"P0(전)"))</f>
        <v/>
      </c>
      <c r="O1319" s="30">
        <f>IF(COUNTIFS($C:$C,$C1319,$D:$D,"P0(전)",$L:$L,"&gt;0")&lt;&gt;1,"",SUMIFS($L:$L,$C:$C,$C1319,$D:$D,"P0(전)"))</f>
        <v/>
      </c>
      <c r="P1319" s="45">
        <f>IF(COUNTIFS($C:$C,$C1319,$D:$D,"P0(후)",$L:$L,"&gt;0")&lt;&gt;1,"",SUMIFS($H:$H,$C:$C,$C1319,$D:$D,"P0(후)"))</f>
        <v/>
      </c>
      <c r="Q1319" s="30">
        <f>IF(COUNTIFS($C:$C,$C1319,$D:$D,"P0(후)",$L:$L,"&gt;0")&lt;&gt;1,"",SUMIFS($L:$L,$C:$C,$C1319,$D:$D,"P0(후)"))</f>
        <v/>
      </c>
      <c r="R1319" s="30">
        <f>IF(M1319&lt;&gt;"OK","",O1319+(Q1319-O1319)*(H1319-N1319)/(P1319-N1319))</f>
        <v/>
      </c>
      <c r="S1319" s="30">
        <f>IF(OR(M1319&lt;&gt;"OK",NOT(ISNUMBER(L1319))),"",L1319-R1319)</f>
        <v/>
      </c>
      <c r="T1319" s="46">
        <f>IF(OR(NOT(ISNUMBER(S1319)),IF(ISNUMBER(G1319),G1319,F1319)=0),"",S1319/IF(ISNUMBER(G1319),G1319,F1319))</f>
        <v/>
      </c>
      <c r="U1319" s="46">
        <f>IF(ISNUMBER(T1319),ABS(T1319),"")</f>
        <v/>
      </c>
      <c r="V1319" s="46">
        <f>IF(OR($D1318&lt;&gt;"측정",$C1318&lt;&gt;$C1319,NOT(ISNUMBER(L1319)),NOT(ISNUMBER(L1318)),(IF(ISNUMBER(G1319),G1319,F1319)-IF(ISNUMBER(G1318),G1318,F1318))=0),"",(L1319-L1318)/(IF(ISNUMBER(G1319),G1319,F1319)-IF(ISNUMBER(G1318),G1318,F1318)))</f>
        <v/>
      </c>
      <c r="W1319" s="30">
        <f>IF(NOT(AND(ISNUMBER(N1319),ISNUMBER(P1319))),"",(P1319-N1319)*1440)</f>
        <v/>
      </c>
      <c r="X1319" s="28" t="n"/>
      <c r="Y1319" s="28" t="n"/>
      <c r="Z1319" s="28" t="n"/>
      <c r="AA1319" s="31" t="n"/>
      <c r="AB1319" s="31" t="n"/>
    </row>
    <row r="1320">
      <c r="A1320" s="25" t="inlineStr">
        <is>
          <t>S26</t>
        </is>
      </c>
      <c r="B1320" s="25" t="inlineStr">
        <is>
          <t>고남 신규점2</t>
        </is>
      </c>
      <c r="C1320" s="25" t="inlineStr">
        <is>
          <t>S26-H서</t>
        </is>
      </c>
      <c r="D1320" s="25" t="inlineStr">
        <is>
          <t>측정</t>
        </is>
      </c>
      <c r="E1320" s="25" t="inlineStr">
        <is>
          <t>서</t>
        </is>
      </c>
      <c r="F1320" s="30" t="n">
        <v>1</v>
      </c>
      <c r="G1320" s="29" t="n"/>
      <c r="H1320" s="42" t="n"/>
      <c r="I1320" s="40" t="n"/>
      <c r="J1320" s="40" t="n"/>
      <c r="K1320" s="40" t="n"/>
      <c r="L1320" s="30">
        <f>IF(COUNT(I1320:K1320)=0,"",MEDIAN(I1320:K1320))</f>
        <v/>
      </c>
      <c r="M1320" s="25">
        <f>IF(COUNTIFS($C:$C,$C1320,$D:$D,"P0(전)",$L:$L,"&gt;0")&lt;&gt;1,"P0(전) 유효 1개 아님",IF(COUNTIFS($C:$C,$C1320,$D:$D,"P0(후)",$L:$L,"&gt;0")&lt;&gt;1,"P0(후) 유효 1개 아님",IF(NOT(AND(ISNUMBER(N1320),ISNUMBER(P1320),ISNUMBER(H1320))),"시각 결측",IF(P1320&lt;=N1320,"P0 시각 역전",IF(OR(H1320&lt;N1320,H1320&gt;P1320),"측정시각 구간 밖","OK")))))</f>
        <v/>
      </c>
      <c r="N1320" s="45">
        <f>IF(COUNTIFS($C:$C,$C1320,$D:$D,"P0(전)",$L:$L,"&gt;0")&lt;&gt;1,"",SUMIFS($H:$H,$C:$C,$C1320,$D:$D,"P0(전)"))</f>
        <v/>
      </c>
      <c r="O1320" s="30">
        <f>IF(COUNTIFS($C:$C,$C1320,$D:$D,"P0(전)",$L:$L,"&gt;0")&lt;&gt;1,"",SUMIFS($L:$L,$C:$C,$C1320,$D:$D,"P0(전)"))</f>
        <v/>
      </c>
      <c r="P1320" s="45">
        <f>IF(COUNTIFS($C:$C,$C1320,$D:$D,"P0(후)",$L:$L,"&gt;0")&lt;&gt;1,"",SUMIFS($H:$H,$C:$C,$C1320,$D:$D,"P0(후)"))</f>
        <v/>
      </c>
      <c r="Q1320" s="30">
        <f>IF(COUNTIFS($C:$C,$C1320,$D:$D,"P0(후)",$L:$L,"&gt;0")&lt;&gt;1,"",SUMIFS($L:$L,$C:$C,$C1320,$D:$D,"P0(후)"))</f>
        <v/>
      </c>
      <c r="R1320" s="30">
        <f>IF(M1320&lt;&gt;"OK","",O1320+(Q1320-O1320)*(H1320-N1320)/(P1320-N1320))</f>
        <v/>
      </c>
      <c r="S1320" s="30">
        <f>IF(OR(M1320&lt;&gt;"OK",NOT(ISNUMBER(L1320))),"",L1320-R1320)</f>
        <v/>
      </c>
      <c r="T1320" s="46">
        <f>IF(OR(NOT(ISNUMBER(S1320)),IF(ISNUMBER(G1320),G1320,F1320)=0),"",S1320/IF(ISNUMBER(G1320),G1320,F1320))</f>
        <v/>
      </c>
      <c r="U1320" s="46">
        <f>IF(ISNUMBER(T1320),ABS(T1320),"")</f>
        <v/>
      </c>
      <c r="V1320" s="46">
        <f>IF(OR($D1319&lt;&gt;"측정",$C1319&lt;&gt;$C1320,NOT(ISNUMBER(L1320)),NOT(ISNUMBER(L1319)),(IF(ISNUMBER(G1320),G1320,F1320)-IF(ISNUMBER(G1319),G1319,F1319))=0),"",(L1320-L1319)/(IF(ISNUMBER(G1320),G1320,F1320)-IF(ISNUMBER(G1319),G1319,F1319)))</f>
        <v/>
      </c>
      <c r="W1320" s="30">
        <f>IF(NOT(AND(ISNUMBER(N1320),ISNUMBER(P1320))),"",(P1320-N1320)*1440)</f>
        <v/>
      </c>
      <c r="X1320" s="28" t="n"/>
      <c r="Y1320" s="28" t="n"/>
      <c r="Z1320" s="28" t="n"/>
      <c r="AA1320" s="31" t="n"/>
      <c r="AB1320" s="31" t="n"/>
    </row>
    <row r="1321">
      <c r="A1321" s="25" t="inlineStr">
        <is>
          <t>S26</t>
        </is>
      </c>
      <c r="B1321" s="25" t="inlineStr">
        <is>
          <t>고남 신규점2</t>
        </is>
      </c>
      <c r="C1321" s="25" t="inlineStr">
        <is>
          <t>S26-H서</t>
        </is>
      </c>
      <c r="D1321" s="25" t="inlineStr">
        <is>
          <t>측정</t>
        </is>
      </c>
      <c r="E1321" s="25" t="inlineStr">
        <is>
          <t>서</t>
        </is>
      </c>
      <c r="F1321" s="30" t="n">
        <v>2</v>
      </c>
      <c r="G1321" s="29" t="n"/>
      <c r="H1321" s="42" t="n"/>
      <c r="I1321" s="40" t="n"/>
      <c r="J1321" s="40" t="n"/>
      <c r="K1321" s="40" t="n"/>
      <c r="L1321" s="30">
        <f>IF(COUNT(I1321:K1321)=0,"",MEDIAN(I1321:K1321))</f>
        <v/>
      </c>
      <c r="M1321" s="25">
        <f>IF(COUNTIFS($C:$C,$C1321,$D:$D,"P0(전)",$L:$L,"&gt;0")&lt;&gt;1,"P0(전) 유효 1개 아님",IF(COUNTIFS($C:$C,$C1321,$D:$D,"P0(후)",$L:$L,"&gt;0")&lt;&gt;1,"P0(후) 유효 1개 아님",IF(NOT(AND(ISNUMBER(N1321),ISNUMBER(P1321),ISNUMBER(H1321))),"시각 결측",IF(P1321&lt;=N1321,"P0 시각 역전",IF(OR(H1321&lt;N1321,H1321&gt;P1321),"측정시각 구간 밖","OK")))))</f>
        <v/>
      </c>
      <c r="N1321" s="45">
        <f>IF(COUNTIFS($C:$C,$C1321,$D:$D,"P0(전)",$L:$L,"&gt;0")&lt;&gt;1,"",SUMIFS($H:$H,$C:$C,$C1321,$D:$D,"P0(전)"))</f>
        <v/>
      </c>
      <c r="O1321" s="30">
        <f>IF(COUNTIFS($C:$C,$C1321,$D:$D,"P0(전)",$L:$L,"&gt;0")&lt;&gt;1,"",SUMIFS($L:$L,$C:$C,$C1321,$D:$D,"P0(전)"))</f>
        <v/>
      </c>
      <c r="P1321" s="45">
        <f>IF(COUNTIFS($C:$C,$C1321,$D:$D,"P0(후)",$L:$L,"&gt;0")&lt;&gt;1,"",SUMIFS($H:$H,$C:$C,$C1321,$D:$D,"P0(후)"))</f>
        <v/>
      </c>
      <c r="Q1321" s="30">
        <f>IF(COUNTIFS($C:$C,$C1321,$D:$D,"P0(후)",$L:$L,"&gt;0")&lt;&gt;1,"",SUMIFS($L:$L,$C:$C,$C1321,$D:$D,"P0(후)"))</f>
        <v/>
      </c>
      <c r="R1321" s="30">
        <f>IF(M1321&lt;&gt;"OK","",O1321+(Q1321-O1321)*(H1321-N1321)/(P1321-N1321))</f>
        <v/>
      </c>
      <c r="S1321" s="30">
        <f>IF(OR(M1321&lt;&gt;"OK",NOT(ISNUMBER(L1321))),"",L1321-R1321)</f>
        <v/>
      </c>
      <c r="T1321" s="46">
        <f>IF(OR(NOT(ISNUMBER(S1321)),IF(ISNUMBER(G1321),G1321,F1321)=0),"",S1321/IF(ISNUMBER(G1321),G1321,F1321))</f>
        <v/>
      </c>
      <c r="U1321" s="46">
        <f>IF(ISNUMBER(T1321),ABS(T1321),"")</f>
        <v/>
      </c>
      <c r="V1321" s="46">
        <f>IF(OR($D1320&lt;&gt;"측정",$C1320&lt;&gt;$C1321,NOT(ISNUMBER(L1321)),NOT(ISNUMBER(L1320)),(IF(ISNUMBER(G1321),G1321,F1321)-IF(ISNUMBER(G1320),G1320,F1320))=0),"",(L1321-L1320)/(IF(ISNUMBER(G1321),G1321,F1321)-IF(ISNUMBER(G1320),G1320,F1320)))</f>
        <v/>
      </c>
      <c r="W1321" s="30">
        <f>IF(NOT(AND(ISNUMBER(N1321),ISNUMBER(P1321))),"",(P1321-N1321)*1440)</f>
        <v/>
      </c>
      <c r="X1321" s="28" t="n"/>
      <c r="Y1321" s="28" t="n"/>
      <c r="Z1321" s="28" t="n"/>
      <c r="AA1321" s="31" t="n"/>
      <c r="AB1321" s="31" t="n"/>
    </row>
    <row r="1322">
      <c r="A1322" s="25" t="inlineStr">
        <is>
          <t>S26</t>
        </is>
      </c>
      <c r="B1322" s="25" t="inlineStr">
        <is>
          <t>고남 신규점2</t>
        </is>
      </c>
      <c r="C1322" s="25" t="inlineStr">
        <is>
          <t>S26-H서</t>
        </is>
      </c>
      <c r="D1322" s="25" t="inlineStr">
        <is>
          <t>측정</t>
        </is>
      </c>
      <c r="E1322" s="25" t="inlineStr">
        <is>
          <t>서</t>
        </is>
      </c>
      <c r="F1322" s="30" t="n">
        <v>3</v>
      </c>
      <c r="G1322" s="29" t="n"/>
      <c r="H1322" s="42" t="n"/>
      <c r="I1322" s="40" t="n"/>
      <c r="J1322" s="40" t="n"/>
      <c r="K1322" s="40" t="n"/>
      <c r="L1322" s="30">
        <f>IF(COUNT(I1322:K1322)=0,"",MEDIAN(I1322:K1322))</f>
        <v/>
      </c>
      <c r="M1322" s="25">
        <f>IF(COUNTIFS($C:$C,$C1322,$D:$D,"P0(전)",$L:$L,"&gt;0")&lt;&gt;1,"P0(전) 유효 1개 아님",IF(COUNTIFS($C:$C,$C1322,$D:$D,"P0(후)",$L:$L,"&gt;0")&lt;&gt;1,"P0(후) 유효 1개 아님",IF(NOT(AND(ISNUMBER(N1322),ISNUMBER(P1322),ISNUMBER(H1322))),"시각 결측",IF(P1322&lt;=N1322,"P0 시각 역전",IF(OR(H1322&lt;N1322,H1322&gt;P1322),"측정시각 구간 밖","OK")))))</f>
        <v/>
      </c>
      <c r="N1322" s="45">
        <f>IF(COUNTIFS($C:$C,$C1322,$D:$D,"P0(전)",$L:$L,"&gt;0")&lt;&gt;1,"",SUMIFS($H:$H,$C:$C,$C1322,$D:$D,"P0(전)"))</f>
        <v/>
      </c>
      <c r="O1322" s="30">
        <f>IF(COUNTIFS($C:$C,$C1322,$D:$D,"P0(전)",$L:$L,"&gt;0")&lt;&gt;1,"",SUMIFS($L:$L,$C:$C,$C1322,$D:$D,"P0(전)"))</f>
        <v/>
      </c>
      <c r="P1322" s="45">
        <f>IF(COUNTIFS($C:$C,$C1322,$D:$D,"P0(후)",$L:$L,"&gt;0")&lt;&gt;1,"",SUMIFS($H:$H,$C:$C,$C1322,$D:$D,"P0(후)"))</f>
        <v/>
      </c>
      <c r="Q1322" s="30">
        <f>IF(COUNTIFS($C:$C,$C1322,$D:$D,"P0(후)",$L:$L,"&gt;0")&lt;&gt;1,"",SUMIFS($L:$L,$C:$C,$C1322,$D:$D,"P0(후)"))</f>
        <v/>
      </c>
      <c r="R1322" s="30">
        <f>IF(M1322&lt;&gt;"OK","",O1322+(Q1322-O1322)*(H1322-N1322)/(P1322-N1322))</f>
        <v/>
      </c>
      <c r="S1322" s="30">
        <f>IF(OR(M1322&lt;&gt;"OK",NOT(ISNUMBER(L1322))),"",L1322-R1322)</f>
        <v/>
      </c>
      <c r="T1322" s="46">
        <f>IF(OR(NOT(ISNUMBER(S1322)),IF(ISNUMBER(G1322),G1322,F1322)=0),"",S1322/IF(ISNUMBER(G1322),G1322,F1322))</f>
        <v/>
      </c>
      <c r="U1322" s="46">
        <f>IF(ISNUMBER(T1322),ABS(T1322),"")</f>
        <v/>
      </c>
      <c r="V1322" s="46">
        <f>IF(OR($D1321&lt;&gt;"측정",$C1321&lt;&gt;$C1322,NOT(ISNUMBER(L1322)),NOT(ISNUMBER(L1321)),(IF(ISNUMBER(G1322),G1322,F1322)-IF(ISNUMBER(G1321),G1321,F1321))=0),"",(L1322-L1321)/(IF(ISNUMBER(G1322),G1322,F1322)-IF(ISNUMBER(G1321),G1321,F1321)))</f>
        <v/>
      </c>
      <c r="W1322" s="30">
        <f>IF(NOT(AND(ISNUMBER(N1322),ISNUMBER(P1322))),"",(P1322-N1322)*1440)</f>
        <v/>
      </c>
      <c r="X1322" s="28" t="n"/>
      <c r="Y1322" s="28" t="n"/>
      <c r="Z1322" s="28" t="n"/>
      <c r="AA1322" s="31" t="n"/>
      <c r="AB1322" s="31" t="n"/>
    </row>
    <row r="1323">
      <c r="A1323" s="25" t="inlineStr">
        <is>
          <t>S26</t>
        </is>
      </c>
      <c r="B1323" s="25" t="inlineStr">
        <is>
          <t>고남 신규점2</t>
        </is>
      </c>
      <c r="C1323" s="25" t="inlineStr">
        <is>
          <t>S26-H서</t>
        </is>
      </c>
      <c r="D1323" s="25" t="inlineStr">
        <is>
          <t>측정</t>
        </is>
      </c>
      <c r="E1323" s="25" t="inlineStr">
        <is>
          <t>서</t>
        </is>
      </c>
      <c r="F1323" s="30" t="n">
        <v>4</v>
      </c>
      <c r="G1323" s="29" t="n"/>
      <c r="H1323" s="42" t="n"/>
      <c r="I1323" s="40" t="n"/>
      <c r="J1323" s="40" t="n"/>
      <c r="K1323" s="40" t="n"/>
      <c r="L1323" s="30">
        <f>IF(COUNT(I1323:K1323)=0,"",MEDIAN(I1323:K1323))</f>
        <v/>
      </c>
      <c r="M1323" s="25">
        <f>IF(COUNTIFS($C:$C,$C1323,$D:$D,"P0(전)",$L:$L,"&gt;0")&lt;&gt;1,"P0(전) 유효 1개 아님",IF(COUNTIFS($C:$C,$C1323,$D:$D,"P0(후)",$L:$L,"&gt;0")&lt;&gt;1,"P0(후) 유효 1개 아님",IF(NOT(AND(ISNUMBER(N1323),ISNUMBER(P1323),ISNUMBER(H1323))),"시각 결측",IF(P1323&lt;=N1323,"P0 시각 역전",IF(OR(H1323&lt;N1323,H1323&gt;P1323),"측정시각 구간 밖","OK")))))</f>
        <v/>
      </c>
      <c r="N1323" s="45">
        <f>IF(COUNTIFS($C:$C,$C1323,$D:$D,"P0(전)",$L:$L,"&gt;0")&lt;&gt;1,"",SUMIFS($H:$H,$C:$C,$C1323,$D:$D,"P0(전)"))</f>
        <v/>
      </c>
      <c r="O1323" s="30">
        <f>IF(COUNTIFS($C:$C,$C1323,$D:$D,"P0(전)",$L:$L,"&gt;0")&lt;&gt;1,"",SUMIFS($L:$L,$C:$C,$C1323,$D:$D,"P0(전)"))</f>
        <v/>
      </c>
      <c r="P1323" s="45">
        <f>IF(COUNTIFS($C:$C,$C1323,$D:$D,"P0(후)",$L:$L,"&gt;0")&lt;&gt;1,"",SUMIFS($H:$H,$C:$C,$C1323,$D:$D,"P0(후)"))</f>
        <v/>
      </c>
      <c r="Q1323" s="30">
        <f>IF(COUNTIFS($C:$C,$C1323,$D:$D,"P0(후)",$L:$L,"&gt;0")&lt;&gt;1,"",SUMIFS($L:$L,$C:$C,$C1323,$D:$D,"P0(후)"))</f>
        <v/>
      </c>
      <c r="R1323" s="30">
        <f>IF(M1323&lt;&gt;"OK","",O1323+(Q1323-O1323)*(H1323-N1323)/(P1323-N1323))</f>
        <v/>
      </c>
      <c r="S1323" s="30">
        <f>IF(OR(M1323&lt;&gt;"OK",NOT(ISNUMBER(L1323))),"",L1323-R1323)</f>
        <v/>
      </c>
      <c r="T1323" s="46">
        <f>IF(OR(NOT(ISNUMBER(S1323)),IF(ISNUMBER(G1323),G1323,F1323)=0),"",S1323/IF(ISNUMBER(G1323),G1323,F1323))</f>
        <v/>
      </c>
      <c r="U1323" s="46">
        <f>IF(ISNUMBER(T1323),ABS(T1323),"")</f>
        <v/>
      </c>
      <c r="V1323" s="46">
        <f>IF(OR($D1322&lt;&gt;"측정",$C1322&lt;&gt;$C1323,NOT(ISNUMBER(L1323)),NOT(ISNUMBER(L1322)),(IF(ISNUMBER(G1323),G1323,F1323)-IF(ISNUMBER(G1322),G1322,F1322))=0),"",(L1323-L1322)/(IF(ISNUMBER(G1323),G1323,F1323)-IF(ISNUMBER(G1322),G1322,F1322)))</f>
        <v/>
      </c>
      <c r="W1323" s="30">
        <f>IF(NOT(AND(ISNUMBER(N1323),ISNUMBER(P1323))),"",(P1323-N1323)*1440)</f>
        <v/>
      </c>
      <c r="X1323" s="28" t="n"/>
      <c r="Y1323" s="28" t="n"/>
      <c r="Z1323" s="28" t="n"/>
      <c r="AA1323" s="31" t="n"/>
      <c r="AB1323" s="31" t="n"/>
    </row>
    <row r="1324">
      <c r="A1324" s="25" t="inlineStr">
        <is>
          <t>S26</t>
        </is>
      </c>
      <c r="B1324" s="25" t="inlineStr">
        <is>
          <t>고남 신규점2</t>
        </is>
      </c>
      <c r="C1324" s="25" t="inlineStr">
        <is>
          <t>S26-H서</t>
        </is>
      </c>
      <c r="D1324" s="25" t="inlineStr">
        <is>
          <t>측정</t>
        </is>
      </c>
      <c r="E1324" s="25" t="inlineStr">
        <is>
          <t>서</t>
        </is>
      </c>
      <c r="F1324" s="30" t="n">
        <v>5</v>
      </c>
      <c r="G1324" s="29" t="n"/>
      <c r="H1324" s="42" t="n"/>
      <c r="I1324" s="40" t="n"/>
      <c r="J1324" s="40" t="n"/>
      <c r="K1324" s="40" t="n"/>
      <c r="L1324" s="30">
        <f>IF(COUNT(I1324:K1324)=0,"",MEDIAN(I1324:K1324))</f>
        <v/>
      </c>
      <c r="M1324" s="25">
        <f>IF(COUNTIFS($C:$C,$C1324,$D:$D,"P0(전)",$L:$L,"&gt;0")&lt;&gt;1,"P0(전) 유효 1개 아님",IF(COUNTIFS($C:$C,$C1324,$D:$D,"P0(후)",$L:$L,"&gt;0")&lt;&gt;1,"P0(후) 유효 1개 아님",IF(NOT(AND(ISNUMBER(N1324),ISNUMBER(P1324),ISNUMBER(H1324))),"시각 결측",IF(P1324&lt;=N1324,"P0 시각 역전",IF(OR(H1324&lt;N1324,H1324&gt;P1324),"측정시각 구간 밖","OK")))))</f>
        <v/>
      </c>
      <c r="N1324" s="45">
        <f>IF(COUNTIFS($C:$C,$C1324,$D:$D,"P0(전)",$L:$L,"&gt;0")&lt;&gt;1,"",SUMIFS($H:$H,$C:$C,$C1324,$D:$D,"P0(전)"))</f>
        <v/>
      </c>
      <c r="O1324" s="30">
        <f>IF(COUNTIFS($C:$C,$C1324,$D:$D,"P0(전)",$L:$L,"&gt;0")&lt;&gt;1,"",SUMIFS($L:$L,$C:$C,$C1324,$D:$D,"P0(전)"))</f>
        <v/>
      </c>
      <c r="P1324" s="45">
        <f>IF(COUNTIFS($C:$C,$C1324,$D:$D,"P0(후)",$L:$L,"&gt;0")&lt;&gt;1,"",SUMIFS($H:$H,$C:$C,$C1324,$D:$D,"P0(후)"))</f>
        <v/>
      </c>
      <c r="Q1324" s="30">
        <f>IF(COUNTIFS($C:$C,$C1324,$D:$D,"P0(후)",$L:$L,"&gt;0")&lt;&gt;1,"",SUMIFS($L:$L,$C:$C,$C1324,$D:$D,"P0(후)"))</f>
        <v/>
      </c>
      <c r="R1324" s="30">
        <f>IF(M1324&lt;&gt;"OK","",O1324+(Q1324-O1324)*(H1324-N1324)/(P1324-N1324))</f>
        <v/>
      </c>
      <c r="S1324" s="30">
        <f>IF(OR(M1324&lt;&gt;"OK",NOT(ISNUMBER(L1324))),"",L1324-R1324)</f>
        <v/>
      </c>
      <c r="T1324" s="46">
        <f>IF(OR(NOT(ISNUMBER(S1324)),IF(ISNUMBER(G1324),G1324,F1324)=0),"",S1324/IF(ISNUMBER(G1324),G1324,F1324))</f>
        <v/>
      </c>
      <c r="U1324" s="46">
        <f>IF(ISNUMBER(T1324),ABS(T1324),"")</f>
        <v/>
      </c>
      <c r="V1324" s="46">
        <f>IF(OR($D1323&lt;&gt;"측정",$C1323&lt;&gt;$C1324,NOT(ISNUMBER(L1324)),NOT(ISNUMBER(L1323)),(IF(ISNUMBER(G1324),G1324,F1324)-IF(ISNUMBER(G1323),G1323,F1323))=0),"",(L1324-L1323)/(IF(ISNUMBER(G1324),G1324,F1324)-IF(ISNUMBER(G1323),G1323,F1323)))</f>
        <v/>
      </c>
      <c r="W1324" s="30">
        <f>IF(NOT(AND(ISNUMBER(N1324),ISNUMBER(P1324))),"",(P1324-N1324)*1440)</f>
        <v/>
      </c>
      <c r="X1324" s="28" t="n"/>
      <c r="Y1324" s="28" t="n"/>
      <c r="Z1324" s="28" t="n"/>
      <c r="AA1324" s="31" t="n"/>
      <c r="AB1324" s="31" t="n"/>
    </row>
    <row r="1325">
      <c r="A1325" s="25" t="inlineStr">
        <is>
          <t>S26</t>
        </is>
      </c>
      <c r="B1325" s="25" t="inlineStr">
        <is>
          <t>고남 신규점2</t>
        </is>
      </c>
      <c r="C1325" s="25" t="inlineStr">
        <is>
          <t>S26-H서</t>
        </is>
      </c>
      <c r="D1325" s="25" t="inlineStr">
        <is>
          <t>측정</t>
        </is>
      </c>
      <c r="E1325" s="25" t="inlineStr">
        <is>
          <t>서</t>
        </is>
      </c>
      <c r="F1325" s="30" t="n">
        <v>6</v>
      </c>
      <c r="G1325" s="29" t="n"/>
      <c r="H1325" s="42" t="n"/>
      <c r="I1325" s="40" t="n"/>
      <c r="J1325" s="40" t="n"/>
      <c r="K1325" s="40" t="n"/>
      <c r="L1325" s="30">
        <f>IF(COUNT(I1325:K1325)=0,"",MEDIAN(I1325:K1325))</f>
        <v/>
      </c>
      <c r="M1325" s="25">
        <f>IF(COUNTIFS($C:$C,$C1325,$D:$D,"P0(전)",$L:$L,"&gt;0")&lt;&gt;1,"P0(전) 유효 1개 아님",IF(COUNTIFS($C:$C,$C1325,$D:$D,"P0(후)",$L:$L,"&gt;0")&lt;&gt;1,"P0(후) 유효 1개 아님",IF(NOT(AND(ISNUMBER(N1325),ISNUMBER(P1325),ISNUMBER(H1325))),"시각 결측",IF(P1325&lt;=N1325,"P0 시각 역전",IF(OR(H1325&lt;N1325,H1325&gt;P1325),"측정시각 구간 밖","OK")))))</f>
        <v/>
      </c>
      <c r="N1325" s="45">
        <f>IF(COUNTIFS($C:$C,$C1325,$D:$D,"P0(전)",$L:$L,"&gt;0")&lt;&gt;1,"",SUMIFS($H:$H,$C:$C,$C1325,$D:$D,"P0(전)"))</f>
        <v/>
      </c>
      <c r="O1325" s="30">
        <f>IF(COUNTIFS($C:$C,$C1325,$D:$D,"P0(전)",$L:$L,"&gt;0")&lt;&gt;1,"",SUMIFS($L:$L,$C:$C,$C1325,$D:$D,"P0(전)"))</f>
        <v/>
      </c>
      <c r="P1325" s="45">
        <f>IF(COUNTIFS($C:$C,$C1325,$D:$D,"P0(후)",$L:$L,"&gt;0")&lt;&gt;1,"",SUMIFS($H:$H,$C:$C,$C1325,$D:$D,"P0(후)"))</f>
        <v/>
      </c>
      <c r="Q1325" s="30">
        <f>IF(COUNTIFS($C:$C,$C1325,$D:$D,"P0(후)",$L:$L,"&gt;0")&lt;&gt;1,"",SUMIFS($L:$L,$C:$C,$C1325,$D:$D,"P0(후)"))</f>
        <v/>
      </c>
      <c r="R1325" s="30">
        <f>IF(M1325&lt;&gt;"OK","",O1325+(Q1325-O1325)*(H1325-N1325)/(P1325-N1325))</f>
        <v/>
      </c>
      <c r="S1325" s="30">
        <f>IF(OR(M1325&lt;&gt;"OK",NOT(ISNUMBER(L1325))),"",L1325-R1325)</f>
        <v/>
      </c>
      <c r="T1325" s="46">
        <f>IF(OR(NOT(ISNUMBER(S1325)),IF(ISNUMBER(G1325),G1325,F1325)=0),"",S1325/IF(ISNUMBER(G1325),G1325,F1325))</f>
        <v/>
      </c>
      <c r="U1325" s="46">
        <f>IF(ISNUMBER(T1325),ABS(T1325),"")</f>
        <v/>
      </c>
      <c r="V1325" s="46">
        <f>IF(OR($D1324&lt;&gt;"측정",$C1324&lt;&gt;$C1325,NOT(ISNUMBER(L1325)),NOT(ISNUMBER(L1324)),(IF(ISNUMBER(G1325),G1325,F1325)-IF(ISNUMBER(G1324),G1324,F1324))=0),"",(L1325-L1324)/(IF(ISNUMBER(G1325),G1325,F1325)-IF(ISNUMBER(G1324),G1324,F1324)))</f>
        <v/>
      </c>
      <c r="W1325" s="30">
        <f>IF(NOT(AND(ISNUMBER(N1325),ISNUMBER(P1325))),"",(P1325-N1325)*1440)</f>
        <v/>
      </c>
      <c r="X1325" s="28" t="n"/>
      <c r="Y1325" s="28" t="n"/>
      <c r="Z1325" s="28" t="n"/>
      <c r="AA1325" s="31" t="n"/>
      <c r="AB1325" s="31" t="n"/>
    </row>
    <row r="1326">
      <c r="A1326" s="25" t="inlineStr">
        <is>
          <t>S26</t>
        </is>
      </c>
      <c r="B1326" s="25" t="inlineStr">
        <is>
          <t>고남 신규점2</t>
        </is>
      </c>
      <c r="C1326" s="25" t="inlineStr">
        <is>
          <t>S26-H서</t>
        </is>
      </c>
      <c r="D1326" s="25" t="inlineStr">
        <is>
          <t>측정</t>
        </is>
      </c>
      <c r="E1326" s="25" t="inlineStr">
        <is>
          <t>서</t>
        </is>
      </c>
      <c r="F1326" s="30" t="n">
        <v>7</v>
      </c>
      <c r="G1326" s="29" t="n"/>
      <c r="H1326" s="42" t="n"/>
      <c r="I1326" s="40" t="n"/>
      <c r="J1326" s="40" t="n"/>
      <c r="K1326" s="40" t="n"/>
      <c r="L1326" s="30">
        <f>IF(COUNT(I1326:K1326)=0,"",MEDIAN(I1326:K1326))</f>
        <v/>
      </c>
      <c r="M1326" s="25">
        <f>IF(COUNTIFS($C:$C,$C1326,$D:$D,"P0(전)",$L:$L,"&gt;0")&lt;&gt;1,"P0(전) 유효 1개 아님",IF(COUNTIFS($C:$C,$C1326,$D:$D,"P0(후)",$L:$L,"&gt;0")&lt;&gt;1,"P0(후) 유효 1개 아님",IF(NOT(AND(ISNUMBER(N1326),ISNUMBER(P1326),ISNUMBER(H1326))),"시각 결측",IF(P1326&lt;=N1326,"P0 시각 역전",IF(OR(H1326&lt;N1326,H1326&gt;P1326),"측정시각 구간 밖","OK")))))</f>
        <v/>
      </c>
      <c r="N1326" s="45">
        <f>IF(COUNTIFS($C:$C,$C1326,$D:$D,"P0(전)",$L:$L,"&gt;0")&lt;&gt;1,"",SUMIFS($H:$H,$C:$C,$C1326,$D:$D,"P0(전)"))</f>
        <v/>
      </c>
      <c r="O1326" s="30">
        <f>IF(COUNTIFS($C:$C,$C1326,$D:$D,"P0(전)",$L:$L,"&gt;0")&lt;&gt;1,"",SUMIFS($L:$L,$C:$C,$C1326,$D:$D,"P0(전)"))</f>
        <v/>
      </c>
      <c r="P1326" s="45">
        <f>IF(COUNTIFS($C:$C,$C1326,$D:$D,"P0(후)",$L:$L,"&gt;0")&lt;&gt;1,"",SUMIFS($H:$H,$C:$C,$C1326,$D:$D,"P0(후)"))</f>
        <v/>
      </c>
      <c r="Q1326" s="30">
        <f>IF(COUNTIFS($C:$C,$C1326,$D:$D,"P0(후)",$L:$L,"&gt;0")&lt;&gt;1,"",SUMIFS($L:$L,$C:$C,$C1326,$D:$D,"P0(후)"))</f>
        <v/>
      </c>
      <c r="R1326" s="30">
        <f>IF(M1326&lt;&gt;"OK","",O1326+(Q1326-O1326)*(H1326-N1326)/(P1326-N1326))</f>
        <v/>
      </c>
      <c r="S1326" s="30">
        <f>IF(OR(M1326&lt;&gt;"OK",NOT(ISNUMBER(L1326))),"",L1326-R1326)</f>
        <v/>
      </c>
      <c r="T1326" s="46">
        <f>IF(OR(NOT(ISNUMBER(S1326)),IF(ISNUMBER(G1326),G1326,F1326)=0),"",S1326/IF(ISNUMBER(G1326),G1326,F1326))</f>
        <v/>
      </c>
      <c r="U1326" s="46">
        <f>IF(ISNUMBER(T1326),ABS(T1326),"")</f>
        <v/>
      </c>
      <c r="V1326" s="46">
        <f>IF(OR($D1325&lt;&gt;"측정",$C1325&lt;&gt;$C1326,NOT(ISNUMBER(L1326)),NOT(ISNUMBER(L1325)),(IF(ISNUMBER(G1326),G1326,F1326)-IF(ISNUMBER(G1325),G1325,F1325))=0),"",(L1326-L1325)/(IF(ISNUMBER(G1326),G1326,F1326)-IF(ISNUMBER(G1325),G1325,F1325)))</f>
        <v/>
      </c>
      <c r="W1326" s="30">
        <f>IF(NOT(AND(ISNUMBER(N1326),ISNUMBER(P1326))),"",(P1326-N1326)*1440)</f>
        <v/>
      </c>
      <c r="X1326" s="28" t="n"/>
      <c r="Y1326" s="28" t="n"/>
      <c r="Z1326" s="28" t="n"/>
      <c r="AA1326" s="31" t="n"/>
      <c r="AB1326" s="31" t="n"/>
    </row>
    <row r="1327">
      <c r="A1327" s="25" t="inlineStr">
        <is>
          <t>S26</t>
        </is>
      </c>
      <c r="B1327" s="25" t="inlineStr">
        <is>
          <t>고남 신규점2</t>
        </is>
      </c>
      <c r="C1327" s="25" t="inlineStr">
        <is>
          <t>S26-H서</t>
        </is>
      </c>
      <c r="D1327" s="25" t="inlineStr">
        <is>
          <t>측정</t>
        </is>
      </c>
      <c r="E1327" s="25" t="inlineStr">
        <is>
          <t>서</t>
        </is>
      </c>
      <c r="F1327" s="30" t="n">
        <v>8</v>
      </c>
      <c r="G1327" s="29" t="n"/>
      <c r="H1327" s="42" t="n"/>
      <c r="I1327" s="40" t="n"/>
      <c r="J1327" s="40" t="n"/>
      <c r="K1327" s="40" t="n"/>
      <c r="L1327" s="30">
        <f>IF(COUNT(I1327:K1327)=0,"",MEDIAN(I1327:K1327))</f>
        <v/>
      </c>
      <c r="M1327" s="25">
        <f>IF(COUNTIFS($C:$C,$C1327,$D:$D,"P0(전)",$L:$L,"&gt;0")&lt;&gt;1,"P0(전) 유효 1개 아님",IF(COUNTIFS($C:$C,$C1327,$D:$D,"P0(후)",$L:$L,"&gt;0")&lt;&gt;1,"P0(후) 유효 1개 아님",IF(NOT(AND(ISNUMBER(N1327),ISNUMBER(P1327),ISNUMBER(H1327))),"시각 결측",IF(P1327&lt;=N1327,"P0 시각 역전",IF(OR(H1327&lt;N1327,H1327&gt;P1327),"측정시각 구간 밖","OK")))))</f>
        <v/>
      </c>
      <c r="N1327" s="45">
        <f>IF(COUNTIFS($C:$C,$C1327,$D:$D,"P0(전)",$L:$L,"&gt;0")&lt;&gt;1,"",SUMIFS($H:$H,$C:$C,$C1327,$D:$D,"P0(전)"))</f>
        <v/>
      </c>
      <c r="O1327" s="30">
        <f>IF(COUNTIFS($C:$C,$C1327,$D:$D,"P0(전)",$L:$L,"&gt;0")&lt;&gt;1,"",SUMIFS($L:$L,$C:$C,$C1327,$D:$D,"P0(전)"))</f>
        <v/>
      </c>
      <c r="P1327" s="45">
        <f>IF(COUNTIFS($C:$C,$C1327,$D:$D,"P0(후)",$L:$L,"&gt;0")&lt;&gt;1,"",SUMIFS($H:$H,$C:$C,$C1327,$D:$D,"P0(후)"))</f>
        <v/>
      </c>
      <c r="Q1327" s="30">
        <f>IF(COUNTIFS($C:$C,$C1327,$D:$D,"P0(후)",$L:$L,"&gt;0")&lt;&gt;1,"",SUMIFS($L:$L,$C:$C,$C1327,$D:$D,"P0(후)"))</f>
        <v/>
      </c>
      <c r="R1327" s="30">
        <f>IF(M1327&lt;&gt;"OK","",O1327+(Q1327-O1327)*(H1327-N1327)/(P1327-N1327))</f>
        <v/>
      </c>
      <c r="S1327" s="30">
        <f>IF(OR(M1327&lt;&gt;"OK",NOT(ISNUMBER(L1327))),"",L1327-R1327)</f>
        <v/>
      </c>
      <c r="T1327" s="46">
        <f>IF(OR(NOT(ISNUMBER(S1327)),IF(ISNUMBER(G1327),G1327,F1327)=0),"",S1327/IF(ISNUMBER(G1327),G1327,F1327))</f>
        <v/>
      </c>
      <c r="U1327" s="46">
        <f>IF(ISNUMBER(T1327),ABS(T1327),"")</f>
        <v/>
      </c>
      <c r="V1327" s="46">
        <f>IF(OR($D1326&lt;&gt;"측정",$C1326&lt;&gt;$C1327,NOT(ISNUMBER(L1327)),NOT(ISNUMBER(L1326)),(IF(ISNUMBER(G1327),G1327,F1327)-IF(ISNUMBER(G1326),G1326,F1326))=0),"",(L1327-L1326)/(IF(ISNUMBER(G1327),G1327,F1327)-IF(ISNUMBER(G1326),G1326,F1326)))</f>
        <v/>
      </c>
      <c r="W1327" s="30">
        <f>IF(NOT(AND(ISNUMBER(N1327),ISNUMBER(P1327))),"",(P1327-N1327)*1440)</f>
        <v/>
      </c>
      <c r="X1327" s="28" t="n"/>
      <c r="Y1327" s="28" t="n"/>
      <c r="Z1327" s="28" t="n"/>
      <c r="AA1327" s="31" t="n"/>
      <c r="AB1327" s="31" t="n"/>
    </row>
    <row r="1328">
      <c r="A1328" s="25" t="inlineStr">
        <is>
          <t>S26</t>
        </is>
      </c>
      <c r="B1328" s="25" t="inlineStr">
        <is>
          <t>고남 신규점2</t>
        </is>
      </c>
      <c r="C1328" s="25" t="inlineStr">
        <is>
          <t>S26-H서</t>
        </is>
      </c>
      <c r="D1328" s="25" t="inlineStr">
        <is>
          <t>측정</t>
        </is>
      </c>
      <c r="E1328" s="25" t="inlineStr">
        <is>
          <t>서</t>
        </is>
      </c>
      <c r="F1328" s="30" t="n">
        <v>9</v>
      </c>
      <c r="G1328" s="29" t="n"/>
      <c r="H1328" s="42" t="n"/>
      <c r="I1328" s="40" t="n"/>
      <c r="J1328" s="40" t="n"/>
      <c r="K1328" s="40" t="n"/>
      <c r="L1328" s="30">
        <f>IF(COUNT(I1328:K1328)=0,"",MEDIAN(I1328:K1328))</f>
        <v/>
      </c>
      <c r="M1328" s="25">
        <f>IF(COUNTIFS($C:$C,$C1328,$D:$D,"P0(전)",$L:$L,"&gt;0")&lt;&gt;1,"P0(전) 유효 1개 아님",IF(COUNTIFS($C:$C,$C1328,$D:$D,"P0(후)",$L:$L,"&gt;0")&lt;&gt;1,"P0(후) 유효 1개 아님",IF(NOT(AND(ISNUMBER(N1328),ISNUMBER(P1328),ISNUMBER(H1328))),"시각 결측",IF(P1328&lt;=N1328,"P0 시각 역전",IF(OR(H1328&lt;N1328,H1328&gt;P1328),"측정시각 구간 밖","OK")))))</f>
        <v/>
      </c>
      <c r="N1328" s="45">
        <f>IF(COUNTIFS($C:$C,$C1328,$D:$D,"P0(전)",$L:$L,"&gt;0")&lt;&gt;1,"",SUMIFS($H:$H,$C:$C,$C1328,$D:$D,"P0(전)"))</f>
        <v/>
      </c>
      <c r="O1328" s="30">
        <f>IF(COUNTIFS($C:$C,$C1328,$D:$D,"P0(전)",$L:$L,"&gt;0")&lt;&gt;1,"",SUMIFS($L:$L,$C:$C,$C1328,$D:$D,"P0(전)"))</f>
        <v/>
      </c>
      <c r="P1328" s="45">
        <f>IF(COUNTIFS($C:$C,$C1328,$D:$D,"P0(후)",$L:$L,"&gt;0")&lt;&gt;1,"",SUMIFS($H:$H,$C:$C,$C1328,$D:$D,"P0(후)"))</f>
        <v/>
      </c>
      <c r="Q1328" s="30">
        <f>IF(COUNTIFS($C:$C,$C1328,$D:$D,"P0(후)",$L:$L,"&gt;0")&lt;&gt;1,"",SUMIFS($L:$L,$C:$C,$C1328,$D:$D,"P0(후)"))</f>
        <v/>
      </c>
      <c r="R1328" s="30">
        <f>IF(M1328&lt;&gt;"OK","",O1328+(Q1328-O1328)*(H1328-N1328)/(P1328-N1328))</f>
        <v/>
      </c>
      <c r="S1328" s="30">
        <f>IF(OR(M1328&lt;&gt;"OK",NOT(ISNUMBER(L1328))),"",L1328-R1328)</f>
        <v/>
      </c>
      <c r="T1328" s="46">
        <f>IF(OR(NOT(ISNUMBER(S1328)),IF(ISNUMBER(G1328),G1328,F1328)=0),"",S1328/IF(ISNUMBER(G1328),G1328,F1328))</f>
        <v/>
      </c>
      <c r="U1328" s="46">
        <f>IF(ISNUMBER(T1328),ABS(T1328),"")</f>
        <v/>
      </c>
      <c r="V1328" s="46">
        <f>IF(OR($D1327&lt;&gt;"측정",$C1327&lt;&gt;$C1328,NOT(ISNUMBER(L1328)),NOT(ISNUMBER(L1327)),(IF(ISNUMBER(G1328),G1328,F1328)-IF(ISNUMBER(G1327),G1327,F1327))=0),"",(L1328-L1327)/(IF(ISNUMBER(G1328),G1328,F1328)-IF(ISNUMBER(G1327),G1327,F1327)))</f>
        <v/>
      </c>
      <c r="W1328" s="30">
        <f>IF(NOT(AND(ISNUMBER(N1328),ISNUMBER(P1328))),"",(P1328-N1328)*1440)</f>
        <v/>
      </c>
      <c r="X1328" s="28" t="n"/>
      <c r="Y1328" s="28" t="n"/>
      <c r="Z1328" s="28" t="n"/>
      <c r="AA1328" s="31" t="n"/>
      <c r="AB1328" s="31" t="n"/>
    </row>
    <row r="1329">
      <c r="A1329" s="25" t="inlineStr">
        <is>
          <t>S26</t>
        </is>
      </c>
      <c r="B1329" s="25" t="inlineStr">
        <is>
          <t>고남 신규점2</t>
        </is>
      </c>
      <c r="C1329" s="25" t="inlineStr">
        <is>
          <t>S26-H서</t>
        </is>
      </c>
      <c r="D1329" s="25" t="inlineStr">
        <is>
          <t>측정</t>
        </is>
      </c>
      <c r="E1329" s="25" t="inlineStr">
        <is>
          <t>서</t>
        </is>
      </c>
      <c r="F1329" s="30" t="n">
        <v>10</v>
      </c>
      <c r="G1329" s="29" t="n"/>
      <c r="H1329" s="42" t="n"/>
      <c r="I1329" s="40" t="n"/>
      <c r="J1329" s="40" t="n"/>
      <c r="K1329" s="40" t="n"/>
      <c r="L1329" s="30">
        <f>IF(COUNT(I1329:K1329)=0,"",MEDIAN(I1329:K1329))</f>
        <v/>
      </c>
      <c r="M1329" s="25">
        <f>IF(COUNTIFS($C:$C,$C1329,$D:$D,"P0(전)",$L:$L,"&gt;0")&lt;&gt;1,"P0(전) 유효 1개 아님",IF(COUNTIFS($C:$C,$C1329,$D:$D,"P0(후)",$L:$L,"&gt;0")&lt;&gt;1,"P0(후) 유효 1개 아님",IF(NOT(AND(ISNUMBER(N1329),ISNUMBER(P1329),ISNUMBER(H1329))),"시각 결측",IF(P1329&lt;=N1329,"P0 시각 역전",IF(OR(H1329&lt;N1329,H1329&gt;P1329),"측정시각 구간 밖","OK")))))</f>
        <v/>
      </c>
      <c r="N1329" s="45">
        <f>IF(COUNTIFS($C:$C,$C1329,$D:$D,"P0(전)",$L:$L,"&gt;0")&lt;&gt;1,"",SUMIFS($H:$H,$C:$C,$C1329,$D:$D,"P0(전)"))</f>
        <v/>
      </c>
      <c r="O1329" s="30">
        <f>IF(COUNTIFS($C:$C,$C1329,$D:$D,"P0(전)",$L:$L,"&gt;0")&lt;&gt;1,"",SUMIFS($L:$L,$C:$C,$C1329,$D:$D,"P0(전)"))</f>
        <v/>
      </c>
      <c r="P1329" s="45">
        <f>IF(COUNTIFS($C:$C,$C1329,$D:$D,"P0(후)",$L:$L,"&gt;0")&lt;&gt;1,"",SUMIFS($H:$H,$C:$C,$C1329,$D:$D,"P0(후)"))</f>
        <v/>
      </c>
      <c r="Q1329" s="30">
        <f>IF(COUNTIFS($C:$C,$C1329,$D:$D,"P0(후)",$L:$L,"&gt;0")&lt;&gt;1,"",SUMIFS($L:$L,$C:$C,$C1329,$D:$D,"P0(후)"))</f>
        <v/>
      </c>
      <c r="R1329" s="30">
        <f>IF(M1329&lt;&gt;"OK","",O1329+(Q1329-O1329)*(H1329-N1329)/(P1329-N1329))</f>
        <v/>
      </c>
      <c r="S1329" s="30">
        <f>IF(OR(M1329&lt;&gt;"OK",NOT(ISNUMBER(L1329))),"",L1329-R1329)</f>
        <v/>
      </c>
      <c r="T1329" s="46">
        <f>IF(OR(NOT(ISNUMBER(S1329)),IF(ISNUMBER(G1329),G1329,F1329)=0),"",S1329/IF(ISNUMBER(G1329),G1329,F1329))</f>
        <v/>
      </c>
      <c r="U1329" s="46">
        <f>IF(ISNUMBER(T1329),ABS(T1329),"")</f>
        <v/>
      </c>
      <c r="V1329" s="46">
        <f>IF(OR($D1328&lt;&gt;"측정",$C1328&lt;&gt;$C1329,NOT(ISNUMBER(L1329)),NOT(ISNUMBER(L1328)),(IF(ISNUMBER(G1329),G1329,F1329)-IF(ISNUMBER(G1328),G1328,F1328))=0),"",(L1329-L1328)/(IF(ISNUMBER(G1329),G1329,F1329)-IF(ISNUMBER(G1328),G1328,F1328)))</f>
        <v/>
      </c>
      <c r="W1329" s="30">
        <f>IF(NOT(AND(ISNUMBER(N1329),ISNUMBER(P1329))),"",(P1329-N1329)*1440)</f>
        <v/>
      </c>
      <c r="X1329" s="28" t="n"/>
      <c r="Y1329" s="28" t="n"/>
      <c r="Z1329" s="28" t="n"/>
      <c r="AA1329" s="31" t="n"/>
      <c r="AB1329" s="31" t="n"/>
    </row>
    <row r="1330">
      <c r="A1330" s="43" t="inlineStr">
        <is>
          <t>S26</t>
        </is>
      </c>
      <c r="B1330" s="43" t="inlineStr">
        <is>
          <t>고남 신규점2</t>
        </is>
      </c>
      <c r="C1330" s="43" t="inlineStr">
        <is>
          <t>S26-H서</t>
        </is>
      </c>
      <c r="D1330" s="43" t="inlineStr">
        <is>
          <t>P0(후)</t>
        </is>
      </c>
      <c r="E1330" s="43" t="inlineStr">
        <is>
          <t>서</t>
        </is>
      </c>
      <c r="F1330" s="44" t="n"/>
      <c r="G1330" s="29" t="n"/>
      <c r="H1330" s="42" t="n"/>
      <c r="I1330" s="40" t="n"/>
      <c r="J1330" s="40" t="n"/>
      <c r="K1330" s="40" t="n"/>
      <c r="L1330" s="30">
        <f>IF(COUNT(I1330:K1330)=0,"",MEDIAN(I1330:K1330))</f>
        <v/>
      </c>
      <c r="M1330" s="37" t="n"/>
      <c r="N1330" s="37" t="n"/>
      <c r="O1330" s="37" t="n"/>
      <c r="P1330" s="37" t="n"/>
      <c r="Q1330" s="37" t="n"/>
      <c r="R1330" s="37" t="n"/>
      <c r="S1330" s="37" t="n"/>
      <c r="T1330" s="37" t="n"/>
      <c r="U1330" s="37" t="n"/>
      <c r="V1330" s="37" t="n"/>
      <c r="W1330" s="37" t="n"/>
      <c r="X1330" s="28" t="n"/>
      <c r="Y1330" s="28" t="n"/>
      <c r="Z1330" s="28" t="n"/>
      <c r="AA1330" s="31" t="n"/>
      <c r="AB1330" s="31" t="n"/>
    </row>
    <row r="1331">
      <c r="A1331" s="43" t="inlineStr">
        <is>
          <t>S26</t>
        </is>
      </c>
      <c r="B1331" s="43" t="inlineStr">
        <is>
          <t>고남 신규점2</t>
        </is>
      </c>
      <c r="C1331" s="43" t="inlineStr">
        <is>
          <t>S26-H남</t>
        </is>
      </c>
      <c r="D1331" s="43" t="inlineStr">
        <is>
          <t>P0(전)</t>
        </is>
      </c>
      <c r="E1331" s="43" t="inlineStr">
        <is>
          <t>남</t>
        </is>
      </c>
      <c r="F1331" s="44" t="n"/>
      <c r="G1331" s="29" t="n"/>
      <c r="H1331" s="42" t="n"/>
      <c r="I1331" s="40" t="n"/>
      <c r="J1331" s="40" t="n"/>
      <c r="K1331" s="40" t="n"/>
      <c r="L1331" s="30">
        <f>IF(COUNT(I1331:K1331)=0,"",MEDIAN(I1331:K1331))</f>
        <v/>
      </c>
      <c r="M1331" s="37" t="n"/>
      <c r="N1331" s="37" t="n"/>
      <c r="O1331" s="37" t="n"/>
      <c r="P1331" s="37" t="n"/>
      <c r="Q1331" s="37" t="n"/>
      <c r="R1331" s="37" t="n"/>
      <c r="S1331" s="37" t="n"/>
      <c r="T1331" s="37" t="n"/>
      <c r="U1331" s="37" t="n"/>
      <c r="V1331" s="37" t="n"/>
      <c r="W1331" s="37" t="n"/>
      <c r="X1331" s="28" t="n"/>
      <c r="Y1331" s="28" t="n"/>
      <c r="Z1331" s="28" t="n"/>
      <c r="AA1331" s="31" t="n"/>
      <c r="AB1331" s="31" t="n"/>
    </row>
    <row r="1332">
      <c r="A1332" s="25" t="inlineStr">
        <is>
          <t>S26</t>
        </is>
      </c>
      <c r="B1332" s="25" t="inlineStr">
        <is>
          <t>고남 신규점2</t>
        </is>
      </c>
      <c r="C1332" s="25" t="inlineStr">
        <is>
          <t>S26-H남</t>
        </is>
      </c>
      <c r="D1332" s="25" t="inlineStr">
        <is>
          <t>측정</t>
        </is>
      </c>
      <c r="E1332" s="25" t="inlineStr">
        <is>
          <t>남</t>
        </is>
      </c>
      <c r="F1332" s="30" t="n">
        <v>0.5</v>
      </c>
      <c r="G1332" s="29" t="n"/>
      <c r="H1332" s="42" t="n"/>
      <c r="I1332" s="40" t="n"/>
      <c r="J1332" s="40" t="n"/>
      <c r="K1332" s="40" t="n"/>
      <c r="L1332" s="30">
        <f>IF(COUNT(I1332:K1332)=0,"",MEDIAN(I1332:K1332))</f>
        <v/>
      </c>
      <c r="M1332" s="25">
        <f>IF(COUNTIFS($C:$C,$C1332,$D:$D,"P0(전)",$L:$L,"&gt;0")&lt;&gt;1,"P0(전) 유효 1개 아님",IF(COUNTIFS($C:$C,$C1332,$D:$D,"P0(후)",$L:$L,"&gt;0")&lt;&gt;1,"P0(후) 유효 1개 아님",IF(NOT(AND(ISNUMBER(N1332),ISNUMBER(P1332),ISNUMBER(H1332))),"시각 결측",IF(P1332&lt;=N1332,"P0 시각 역전",IF(OR(H1332&lt;N1332,H1332&gt;P1332),"측정시각 구간 밖","OK")))))</f>
        <v/>
      </c>
      <c r="N1332" s="45">
        <f>IF(COUNTIFS($C:$C,$C1332,$D:$D,"P0(전)",$L:$L,"&gt;0")&lt;&gt;1,"",SUMIFS($H:$H,$C:$C,$C1332,$D:$D,"P0(전)"))</f>
        <v/>
      </c>
      <c r="O1332" s="30">
        <f>IF(COUNTIFS($C:$C,$C1332,$D:$D,"P0(전)",$L:$L,"&gt;0")&lt;&gt;1,"",SUMIFS($L:$L,$C:$C,$C1332,$D:$D,"P0(전)"))</f>
        <v/>
      </c>
      <c r="P1332" s="45">
        <f>IF(COUNTIFS($C:$C,$C1332,$D:$D,"P0(후)",$L:$L,"&gt;0")&lt;&gt;1,"",SUMIFS($H:$H,$C:$C,$C1332,$D:$D,"P0(후)"))</f>
        <v/>
      </c>
      <c r="Q1332" s="30">
        <f>IF(COUNTIFS($C:$C,$C1332,$D:$D,"P0(후)",$L:$L,"&gt;0")&lt;&gt;1,"",SUMIFS($L:$L,$C:$C,$C1332,$D:$D,"P0(후)"))</f>
        <v/>
      </c>
      <c r="R1332" s="30">
        <f>IF(M1332&lt;&gt;"OK","",O1332+(Q1332-O1332)*(H1332-N1332)/(P1332-N1332))</f>
        <v/>
      </c>
      <c r="S1332" s="30">
        <f>IF(OR(M1332&lt;&gt;"OK",NOT(ISNUMBER(L1332))),"",L1332-R1332)</f>
        <v/>
      </c>
      <c r="T1332" s="46">
        <f>IF(OR(NOT(ISNUMBER(S1332)),IF(ISNUMBER(G1332),G1332,F1332)=0),"",S1332/IF(ISNUMBER(G1332),G1332,F1332))</f>
        <v/>
      </c>
      <c r="U1332" s="46">
        <f>IF(ISNUMBER(T1332),ABS(T1332),"")</f>
        <v/>
      </c>
      <c r="V1332" s="46">
        <f>IF(OR($D1331&lt;&gt;"측정",$C1331&lt;&gt;$C1332,NOT(ISNUMBER(L1332)),NOT(ISNUMBER(L1331)),(IF(ISNUMBER(G1332),G1332,F1332)-IF(ISNUMBER(G1331),G1331,F1331))=0),"",(L1332-L1331)/(IF(ISNUMBER(G1332),G1332,F1332)-IF(ISNUMBER(G1331),G1331,F1331)))</f>
        <v/>
      </c>
      <c r="W1332" s="30">
        <f>IF(NOT(AND(ISNUMBER(N1332),ISNUMBER(P1332))),"",(P1332-N1332)*1440)</f>
        <v/>
      </c>
      <c r="X1332" s="28" t="n"/>
      <c r="Y1332" s="28" t="n"/>
      <c r="Z1332" s="28" t="n"/>
      <c r="AA1332" s="31" t="n"/>
      <c r="AB1332" s="31" t="n"/>
    </row>
    <row r="1333">
      <c r="A1333" s="25" t="inlineStr">
        <is>
          <t>S26</t>
        </is>
      </c>
      <c r="B1333" s="25" t="inlineStr">
        <is>
          <t>고남 신규점2</t>
        </is>
      </c>
      <c r="C1333" s="25" t="inlineStr">
        <is>
          <t>S26-H남</t>
        </is>
      </c>
      <c r="D1333" s="25" t="inlineStr">
        <is>
          <t>측정</t>
        </is>
      </c>
      <c r="E1333" s="25" t="inlineStr">
        <is>
          <t>남</t>
        </is>
      </c>
      <c r="F1333" s="30" t="n">
        <v>1</v>
      </c>
      <c r="G1333" s="29" t="n"/>
      <c r="H1333" s="42" t="n"/>
      <c r="I1333" s="40" t="n"/>
      <c r="J1333" s="40" t="n"/>
      <c r="K1333" s="40" t="n"/>
      <c r="L1333" s="30">
        <f>IF(COUNT(I1333:K1333)=0,"",MEDIAN(I1333:K1333))</f>
        <v/>
      </c>
      <c r="M1333" s="25">
        <f>IF(COUNTIFS($C:$C,$C1333,$D:$D,"P0(전)",$L:$L,"&gt;0")&lt;&gt;1,"P0(전) 유효 1개 아님",IF(COUNTIFS($C:$C,$C1333,$D:$D,"P0(후)",$L:$L,"&gt;0")&lt;&gt;1,"P0(후) 유효 1개 아님",IF(NOT(AND(ISNUMBER(N1333),ISNUMBER(P1333),ISNUMBER(H1333))),"시각 결측",IF(P1333&lt;=N1333,"P0 시각 역전",IF(OR(H1333&lt;N1333,H1333&gt;P1333),"측정시각 구간 밖","OK")))))</f>
        <v/>
      </c>
      <c r="N1333" s="45">
        <f>IF(COUNTIFS($C:$C,$C1333,$D:$D,"P0(전)",$L:$L,"&gt;0")&lt;&gt;1,"",SUMIFS($H:$H,$C:$C,$C1333,$D:$D,"P0(전)"))</f>
        <v/>
      </c>
      <c r="O1333" s="30">
        <f>IF(COUNTIFS($C:$C,$C1333,$D:$D,"P0(전)",$L:$L,"&gt;0")&lt;&gt;1,"",SUMIFS($L:$L,$C:$C,$C1333,$D:$D,"P0(전)"))</f>
        <v/>
      </c>
      <c r="P1333" s="45">
        <f>IF(COUNTIFS($C:$C,$C1333,$D:$D,"P0(후)",$L:$L,"&gt;0")&lt;&gt;1,"",SUMIFS($H:$H,$C:$C,$C1333,$D:$D,"P0(후)"))</f>
        <v/>
      </c>
      <c r="Q1333" s="30">
        <f>IF(COUNTIFS($C:$C,$C1333,$D:$D,"P0(후)",$L:$L,"&gt;0")&lt;&gt;1,"",SUMIFS($L:$L,$C:$C,$C1333,$D:$D,"P0(후)"))</f>
        <v/>
      </c>
      <c r="R1333" s="30">
        <f>IF(M1333&lt;&gt;"OK","",O1333+(Q1333-O1333)*(H1333-N1333)/(P1333-N1333))</f>
        <v/>
      </c>
      <c r="S1333" s="30">
        <f>IF(OR(M1333&lt;&gt;"OK",NOT(ISNUMBER(L1333))),"",L1333-R1333)</f>
        <v/>
      </c>
      <c r="T1333" s="46">
        <f>IF(OR(NOT(ISNUMBER(S1333)),IF(ISNUMBER(G1333),G1333,F1333)=0),"",S1333/IF(ISNUMBER(G1333),G1333,F1333))</f>
        <v/>
      </c>
      <c r="U1333" s="46">
        <f>IF(ISNUMBER(T1333),ABS(T1333),"")</f>
        <v/>
      </c>
      <c r="V1333" s="46">
        <f>IF(OR($D1332&lt;&gt;"측정",$C1332&lt;&gt;$C1333,NOT(ISNUMBER(L1333)),NOT(ISNUMBER(L1332)),(IF(ISNUMBER(G1333),G1333,F1333)-IF(ISNUMBER(G1332),G1332,F1332))=0),"",(L1333-L1332)/(IF(ISNUMBER(G1333),G1333,F1333)-IF(ISNUMBER(G1332),G1332,F1332)))</f>
        <v/>
      </c>
      <c r="W1333" s="30">
        <f>IF(NOT(AND(ISNUMBER(N1333),ISNUMBER(P1333))),"",(P1333-N1333)*1440)</f>
        <v/>
      </c>
      <c r="X1333" s="28" t="n"/>
      <c r="Y1333" s="28" t="n"/>
      <c r="Z1333" s="28" t="n"/>
      <c r="AA1333" s="31" t="n"/>
      <c r="AB1333" s="31" t="n"/>
    </row>
    <row r="1334">
      <c r="A1334" s="25" t="inlineStr">
        <is>
          <t>S26</t>
        </is>
      </c>
      <c r="B1334" s="25" t="inlineStr">
        <is>
          <t>고남 신규점2</t>
        </is>
      </c>
      <c r="C1334" s="25" t="inlineStr">
        <is>
          <t>S26-H남</t>
        </is>
      </c>
      <c r="D1334" s="25" t="inlineStr">
        <is>
          <t>측정</t>
        </is>
      </c>
      <c r="E1334" s="25" t="inlineStr">
        <is>
          <t>남</t>
        </is>
      </c>
      <c r="F1334" s="30" t="n">
        <v>2</v>
      </c>
      <c r="G1334" s="29" t="n"/>
      <c r="H1334" s="42" t="n"/>
      <c r="I1334" s="40" t="n"/>
      <c r="J1334" s="40" t="n"/>
      <c r="K1334" s="40" t="n"/>
      <c r="L1334" s="30">
        <f>IF(COUNT(I1334:K1334)=0,"",MEDIAN(I1334:K1334))</f>
        <v/>
      </c>
      <c r="M1334" s="25">
        <f>IF(COUNTIFS($C:$C,$C1334,$D:$D,"P0(전)",$L:$L,"&gt;0")&lt;&gt;1,"P0(전) 유효 1개 아님",IF(COUNTIFS($C:$C,$C1334,$D:$D,"P0(후)",$L:$L,"&gt;0")&lt;&gt;1,"P0(후) 유효 1개 아님",IF(NOT(AND(ISNUMBER(N1334),ISNUMBER(P1334),ISNUMBER(H1334))),"시각 결측",IF(P1334&lt;=N1334,"P0 시각 역전",IF(OR(H1334&lt;N1334,H1334&gt;P1334),"측정시각 구간 밖","OK")))))</f>
        <v/>
      </c>
      <c r="N1334" s="45">
        <f>IF(COUNTIFS($C:$C,$C1334,$D:$D,"P0(전)",$L:$L,"&gt;0")&lt;&gt;1,"",SUMIFS($H:$H,$C:$C,$C1334,$D:$D,"P0(전)"))</f>
        <v/>
      </c>
      <c r="O1334" s="30">
        <f>IF(COUNTIFS($C:$C,$C1334,$D:$D,"P0(전)",$L:$L,"&gt;0")&lt;&gt;1,"",SUMIFS($L:$L,$C:$C,$C1334,$D:$D,"P0(전)"))</f>
        <v/>
      </c>
      <c r="P1334" s="45">
        <f>IF(COUNTIFS($C:$C,$C1334,$D:$D,"P0(후)",$L:$L,"&gt;0")&lt;&gt;1,"",SUMIFS($H:$H,$C:$C,$C1334,$D:$D,"P0(후)"))</f>
        <v/>
      </c>
      <c r="Q1334" s="30">
        <f>IF(COUNTIFS($C:$C,$C1334,$D:$D,"P0(후)",$L:$L,"&gt;0")&lt;&gt;1,"",SUMIFS($L:$L,$C:$C,$C1334,$D:$D,"P0(후)"))</f>
        <v/>
      </c>
      <c r="R1334" s="30">
        <f>IF(M1334&lt;&gt;"OK","",O1334+(Q1334-O1334)*(H1334-N1334)/(P1334-N1334))</f>
        <v/>
      </c>
      <c r="S1334" s="30">
        <f>IF(OR(M1334&lt;&gt;"OK",NOT(ISNUMBER(L1334))),"",L1334-R1334)</f>
        <v/>
      </c>
      <c r="T1334" s="46">
        <f>IF(OR(NOT(ISNUMBER(S1334)),IF(ISNUMBER(G1334),G1334,F1334)=0),"",S1334/IF(ISNUMBER(G1334),G1334,F1334))</f>
        <v/>
      </c>
      <c r="U1334" s="46">
        <f>IF(ISNUMBER(T1334),ABS(T1334),"")</f>
        <v/>
      </c>
      <c r="V1334" s="46">
        <f>IF(OR($D1333&lt;&gt;"측정",$C1333&lt;&gt;$C1334,NOT(ISNUMBER(L1334)),NOT(ISNUMBER(L1333)),(IF(ISNUMBER(G1334),G1334,F1334)-IF(ISNUMBER(G1333),G1333,F1333))=0),"",(L1334-L1333)/(IF(ISNUMBER(G1334),G1334,F1334)-IF(ISNUMBER(G1333),G1333,F1333)))</f>
        <v/>
      </c>
      <c r="W1334" s="30">
        <f>IF(NOT(AND(ISNUMBER(N1334),ISNUMBER(P1334))),"",(P1334-N1334)*1440)</f>
        <v/>
      </c>
      <c r="X1334" s="28" t="n"/>
      <c r="Y1334" s="28" t="n"/>
      <c r="Z1334" s="28" t="n"/>
      <c r="AA1334" s="31" t="n"/>
      <c r="AB1334" s="31" t="n"/>
    </row>
    <row r="1335">
      <c r="A1335" s="25" t="inlineStr">
        <is>
          <t>S26</t>
        </is>
      </c>
      <c r="B1335" s="25" t="inlineStr">
        <is>
          <t>고남 신규점2</t>
        </is>
      </c>
      <c r="C1335" s="25" t="inlineStr">
        <is>
          <t>S26-H남</t>
        </is>
      </c>
      <c r="D1335" s="25" t="inlineStr">
        <is>
          <t>측정</t>
        </is>
      </c>
      <c r="E1335" s="25" t="inlineStr">
        <is>
          <t>남</t>
        </is>
      </c>
      <c r="F1335" s="30" t="n">
        <v>3</v>
      </c>
      <c r="G1335" s="29" t="n"/>
      <c r="H1335" s="42" t="n"/>
      <c r="I1335" s="40" t="n"/>
      <c r="J1335" s="40" t="n"/>
      <c r="K1335" s="40" t="n"/>
      <c r="L1335" s="30">
        <f>IF(COUNT(I1335:K1335)=0,"",MEDIAN(I1335:K1335))</f>
        <v/>
      </c>
      <c r="M1335" s="25">
        <f>IF(COUNTIFS($C:$C,$C1335,$D:$D,"P0(전)",$L:$L,"&gt;0")&lt;&gt;1,"P0(전) 유효 1개 아님",IF(COUNTIFS($C:$C,$C1335,$D:$D,"P0(후)",$L:$L,"&gt;0")&lt;&gt;1,"P0(후) 유효 1개 아님",IF(NOT(AND(ISNUMBER(N1335),ISNUMBER(P1335),ISNUMBER(H1335))),"시각 결측",IF(P1335&lt;=N1335,"P0 시각 역전",IF(OR(H1335&lt;N1335,H1335&gt;P1335),"측정시각 구간 밖","OK")))))</f>
        <v/>
      </c>
      <c r="N1335" s="45">
        <f>IF(COUNTIFS($C:$C,$C1335,$D:$D,"P0(전)",$L:$L,"&gt;0")&lt;&gt;1,"",SUMIFS($H:$H,$C:$C,$C1335,$D:$D,"P0(전)"))</f>
        <v/>
      </c>
      <c r="O1335" s="30">
        <f>IF(COUNTIFS($C:$C,$C1335,$D:$D,"P0(전)",$L:$L,"&gt;0")&lt;&gt;1,"",SUMIFS($L:$L,$C:$C,$C1335,$D:$D,"P0(전)"))</f>
        <v/>
      </c>
      <c r="P1335" s="45">
        <f>IF(COUNTIFS($C:$C,$C1335,$D:$D,"P0(후)",$L:$L,"&gt;0")&lt;&gt;1,"",SUMIFS($H:$H,$C:$C,$C1335,$D:$D,"P0(후)"))</f>
        <v/>
      </c>
      <c r="Q1335" s="30">
        <f>IF(COUNTIFS($C:$C,$C1335,$D:$D,"P0(후)",$L:$L,"&gt;0")&lt;&gt;1,"",SUMIFS($L:$L,$C:$C,$C1335,$D:$D,"P0(후)"))</f>
        <v/>
      </c>
      <c r="R1335" s="30">
        <f>IF(M1335&lt;&gt;"OK","",O1335+(Q1335-O1335)*(H1335-N1335)/(P1335-N1335))</f>
        <v/>
      </c>
      <c r="S1335" s="30">
        <f>IF(OR(M1335&lt;&gt;"OK",NOT(ISNUMBER(L1335))),"",L1335-R1335)</f>
        <v/>
      </c>
      <c r="T1335" s="46">
        <f>IF(OR(NOT(ISNUMBER(S1335)),IF(ISNUMBER(G1335),G1335,F1335)=0),"",S1335/IF(ISNUMBER(G1335),G1335,F1335))</f>
        <v/>
      </c>
      <c r="U1335" s="46">
        <f>IF(ISNUMBER(T1335),ABS(T1335),"")</f>
        <v/>
      </c>
      <c r="V1335" s="46">
        <f>IF(OR($D1334&lt;&gt;"측정",$C1334&lt;&gt;$C1335,NOT(ISNUMBER(L1335)),NOT(ISNUMBER(L1334)),(IF(ISNUMBER(G1335),G1335,F1335)-IF(ISNUMBER(G1334),G1334,F1334))=0),"",(L1335-L1334)/(IF(ISNUMBER(G1335),G1335,F1335)-IF(ISNUMBER(G1334),G1334,F1334)))</f>
        <v/>
      </c>
      <c r="W1335" s="30">
        <f>IF(NOT(AND(ISNUMBER(N1335),ISNUMBER(P1335))),"",(P1335-N1335)*1440)</f>
        <v/>
      </c>
      <c r="X1335" s="28" t="n"/>
      <c r="Y1335" s="28" t="n"/>
      <c r="Z1335" s="28" t="n"/>
      <c r="AA1335" s="31" t="n"/>
      <c r="AB1335" s="31" t="n"/>
    </row>
    <row r="1336">
      <c r="A1336" s="25" t="inlineStr">
        <is>
          <t>S26</t>
        </is>
      </c>
      <c r="B1336" s="25" t="inlineStr">
        <is>
          <t>고남 신규점2</t>
        </is>
      </c>
      <c r="C1336" s="25" t="inlineStr">
        <is>
          <t>S26-H남</t>
        </is>
      </c>
      <c r="D1336" s="25" t="inlineStr">
        <is>
          <t>측정</t>
        </is>
      </c>
      <c r="E1336" s="25" t="inlineStr">
        <is>
          <t>남</t>
        </is>
      </c>
      <c r="F1336" s="30" t="n">
        <v>4</v>
      </c>
      <c r="G1336" s="29" t="n"/>
      <c r="H1336" s="42" t="n"/>
      <c r="I1336" s="40" t="n"/>
      <c r="J1336" s="40" t="n"/>
      <c r="K1336" s="40" t="n"/>
      <c r="L1336" s="30">
        <f>IF(COUNT(I1336:K1336)=0,"",MEDIAN(I1336:K1336))</f>
        <v/>
      </c>
      <c r="M1336" s="25">
        <f>IF(COUNTIFS($C:$C,$C1336,$D:$D,"P0(전)",$L:$L,"&gt;0")&lt;&gt;1,"P0(전) 유효 1개 아님",IF(COUNTIFS($C:$C,$C1336,$D:$D,"P0(후)",$L:$L,"&gt;0")&lt;&gt;1,"P0(후) 유효 1개 아님",IF(NOT(AND(ISNUMBER(N1336),ISNUMBER(P1336),ISNUMBER(H1336))),"시각 결측",IF(P1336&lt;=N1336,"P0 시각 역전",IF(OR(H1336&lt;N1336,H1336&gt;P1336),"측정시각 구간 밖","OK")))))</f>
        <v/>
      </c>
      <c r="N1336" s="45">
        <f>IF(COUNTIFS($C:$C,$C1336,$D:$D,"P0(전)",$L:$L,"&gt;0")&lt;&gt;1,"",SUMIFS($H:$H,$C:$C,$C1336,$D:$D,"P0(전)"))</f>
        <v/>
      </c>
      <c r="O1336" s="30">
        <f>IF(COUNTIFS($C:$C,$C1336,$D:$D,"P0(전)",$L:$L,"&gt;0")&lt;&gt;1,"",SUMIFS($L:$L,$C:$C,$C1336,$D:$D,"P0(전)"))</f>
        <v/>
      </c>
      <c r="P1336" s="45">
        <f>IF(COUNTIFS($C:$C,$C1336,$D:$D,"P0(후)",$L:$L,"&gt;0")&lt;&gt;1,"",SUMIFS($H:$H,$C:$C,$C1336,$D:$D,"P0(후)"))</f>
        <v/>
      </c>
      <c r="Q1336" s="30">
        <f>IF(COUNTIFS($C:$C,$C1336,$D:$D,"P0(후)",$L:$L,"&gt;0")&lt;&gt;1,"",SUMIFS($L:$L,$C:$C,$C1336,$D:$D,"P0(후)"))</f>
        <v/>
      </c>
      <c r="R1336" s="30">
        <f>IF(M1336&lt;&gt;"OK","",O1336+(Q1336-O1336)*(H1336-N1336)/(P1336-N1336))</f>
        <v/>
      </c>
      <c r="S1336" s="30">
        <f>IF(OR(M1336&lt;&gt;"OK",NOT(ISNUMBER(L1336))),"",L1336-R1336)</f>
        <v/>
      </c>
      <c r="T1336" s="46">
        <f>IF(OR(NOT(ISNUMBER(S1336)),IF(ISNUMBER(G1336),G1336,F1336)=0),"",S1336/IF(ISNUMBER(G1336),G1336,F1336))</f>
        <v/>
      </c>
      <c r="U1336" s="46">
        <f>IF(ISNUMBER(T1336),ABS(T1336),"")</f>
        <v/>
      </c>
      <c r="V1336" s="46">
        <f>IF(OR($D1335&lt;&gt;"측정",$C1335&lt;&gt;$C1336,NOT(ISNUMBER(L1336)),NOT(ISNUMBER(L1335)),(IF(ISNUMBER(G1336),G1336,F1336)-IF(ISNUMBER(G1335),G1335,F1335))=0),"",(L1336-L1335)/(IF(ISNUMBER(G1336),G1336,F1336)-IF(ISNUMBER(G1335),G1335,F1335)))</f>
        <v/>
      </c>
      <c r="W1336" s="30">
        <f>IF(NOT(AND(ISNUMBER(N1336),ISNUMBER(P1336))),"",(P1336-N1336)*1440)</f>
        <v/>
      </c>
      <c r="X1336" s="28" t="n"/>
      <c r="Y1336" s="28" t="n"/>
      <c r="Z1336" s="28" t="n"/>
      <c r="AA1336" s="31" t="n"/>
      <c r="AB1336" s="31" t="n"/>
    </row>
    <row r="1337">
      <c r="A1337" s="25" t="inlineStr">
        <is>
          <t>S26</t>
        </is>
      </c>
      <c r="B1337" s="25" t="inlineStr">
        <is>
          <t>고남 신규점2</t>
        </is>
      </c>
      <c r="C1337" s="25" t="inlineStr">
        <is>
          <t>S26-H남</t>
        </is>
      </c>
      <c r="D1337" s="25" t="inlineStr">
        <is>
          <t>측정</t>
        </is>
      </c>
      <c r="E1337" s="25" t="inlineStr">
        <is>
          <t>남</t>
        </is>
      </c>
      <c r="F1337" s="30" t="n">
        <v>5</v>
      </c>
      <c r="G1337" s="29" t="n"/>
      <c r="H1337" s="42" t="n"/>
      <c r="I1337" s="40" t="n"/>
      <c r="J1337" s="40" t="n"/>
      <c r="K1337" s="40" t="n"/>
      <c r="L1337" s="30">
        <f>IF(COUNT(I1337:K1337)=0,"",MEDIAN(I1337:K1337))</f>
        <v/>
      </c>
      <c r="M1337" s="25">
        <f>IF(COUNTIFS($C:$C,$C1337,$D:$D,"P0(전)",$L:$L,"&gt;0")&lt;&gt;1,"P0(전) 유효 1개 아님",IF(COUNTIFS($C:$C,$C1337,$D:$D,"P0(후)",$L:$L,"&gt;0")&lt;&gt;1,"P0(후) 유효 1개 아님",IF(NOT(AND(ISNUMBER(N1337),ISNUMBER(P1337),ISNUMBER(H1337))),"시각 결측",IF(P1337&lt;=N1337,"P0 시각 역전",IF(OR(H1337&lt;N1337,H1337&gt;P1337),"측정시각 구간 밖","OK")))))</f>
        <v/>
      </c>
      <c r="N1337" s="45">
        <f>IF(COUNTIFS($C:$C,$C1337,$D:$D,"P0(전)",$L:$L,"&gt;0")&lt;&gt;1,"",SUMIFS($H:$H,$C:$C,$C1337,$D:$D,"P0(전)"))</f>
        <v/>
      </c>
      <c r="O1337" s="30">
        <f>IF(COUNTIFS($C:$C,$C1337,$D:$D,"P0(전)",$L:$L,"&gt;0")&lt;&gt;1,"",SUMIFS($L:$L,$C:$C,$C1337,$D:$D,"P0(전)"))</f>
        <v/>
      </c>
      <c r="P1337" s="45">
        <f>IF(COUNTIFS($C:$C,$C1337,$D:$D,"P0(후)",$L:$L,"&gt;0")&lt;&gt;1,"",SUMIFS($H:$H,$C:$C,$C1337,$D:$D,"P0(후)"))</f>
        <v/>
      </c>
      <c r="Q1337" s="30">
        <f>IF(COUNTIFS($C:$C,$C1337,$D:$D,"P0(후)",$L:$L,"&gt;0")&lt;&gt;1,"",SUMIFS($L:$L,$C:$C,$C1337,$D:$D,"P0(후)"))</f>
        <v/>
      </c>
      <c r="R1337" s="30">
        <f>IF(M1337&lt;&gt;"OK","",O1337+(Q1337-O1337)*(H1337-N1337)/(P1337-N1337))</f>
        <v/>
      </c>
      <c r="S1337" s="30">
        <f>IF(OR(M1337&lt;&gt;"OK",NOT(ISNUMBER(L1337))),"",L1337-R1337)</f>
        <v/>
      </c>
      <c r="T1337" s="46">
        <f>IF(OR(NOT(ISNUMBER(S1337)),IF(ISNUMBER(G1337),G1337,F1337)=0),"",S1337/IF(ISNUMBER(G1337),G1337,F1337))</f>
        <v/>
      </c>
      <c r="U1337" s="46">
        <f>IF(ISNUMBER(T1337),ABS(T1337),"")</f>
        <v/>
      </c>
      <c r="V1337" s="46">
        <f>IF(OR($D1336&lt;&gt;"측정",$C1336&lt;&gt;$C1337,NOT(ISNUMBER(L1337)),NOT(ISNUMBER(L1336)),(IF(ISNUMBER(G1337),G1337,F1337)-IF(ISNUMBER(G1336),G1336,F1336))=0),"",(L1337-L1336)/(IF(ISNUMBER(G1337),G1337,F1337)-IF(ISNUMBER(G1336),G1336,F1336)))</f>
        <v/>
      </c>
      <c r="W1337" s="30">
        <f>IF(NOT(AND(ISNUMBER(N1337),ISNUMBER(P1337))),"",(P1337-N1337)*1440)</f>
        <v/>
      </c>
      <c r="X1337" s="28" t="n"/>
      <c r="Y1337" s="28" t="n"/>
      <c r="Z1337" s="28" t="n"/>
      <c r="AA1337" s="31" t="n"/>
      <c r="AB1337" s="31" t="n"/>
    </row>
    <row r="1338">
      <c r="A1338" s="25" t="inlineStr">
        <is>
          <t>S26</t>
        </is>
      </c>
      <c r="B1338" s="25" t="inlineStr">
        <is>
          <t>고남 신규점2</t>
        </is>
      </c>
      <c r="C1338" s="25" t="inlineStr">
        <is>
          <t>S26-H남</t>
        </is>
      </c>
      <c r="D1338" s="25" t="inlineStr">
        <is>
          <t>측정</t>
        </is>
      </c>
      <c r="E1338" s="25" t="inlineStr">
        <is>
          <t>남</t>
        </is>
      </c>
      <c r="F1338" s="30" t="n">
        <v>6</v>
      </c>
      <c r="G1338" s="29" t="n"/>
      <c r="H1338" s="42" t="n"/>
      <c r="I1338" s="40" t="n"/>
      <c r="J1338" s="40" t="n"/>
      <c r="K1338" s="40" t="n"/>
      <c r="L1338" s="30">
        <f>IF(COUNT(I1338:K1338)=0,"",MEDIAN(I1338:K1338))</f>
        <v/>
      </c>
      <c r="M1338" s="25">
        <f>IF(COUNTIFS($C:$C,$C1338,$D:$D,"P0(전)",$L:$L,"&gt;0")&lt;&gt;1,"P0(전) 유효 1개 아님",IF(COUNTIFS($C:$C,$C1338,$D:$D,"P0(후)",$L:$L,"&gt;0")&lt;&gt;1,"P0(후) 유효 1개 아님",IF(NOT(AND(ISNUMBER(N1338),ISNUMBER(P1338),ISNUMBER(H1338))),"시각 결측",IF(P1338&lt;=N1338,"P0 시각 역전",IF(OR(H1338&lt;N1338,H1338&gt;P1338),"측정시각 구간 밖","OK")))))</f>
        <v/>
      </c>
      <c r="N1338" s="45">
        <f>IF(COUNTIFS($C:$C,$C1338,$D:$D,"P0(전)",$L:$L,"&gt;0")&lt;&gt;1,"",SUMIFS($H:$H,$C:$C,$C1338,$D:$D,"P0(전)"))</f>
        <v/>
      </c>
      <c r="O1338" s="30">
        <f>IF(COUNTIFS($C:$C,$C1338,$D:$D,"P0(전)",$L:$L,"&gt;0")&lt;&gt;1,"",SUMIFS($L:$L,$C:$C,$C1338,$D:$D,"P0(전)"))</f>
        <v/>
      </c>
      <c r="P1338" s="45">
        <f>IF(COUNTIFS($C:$C,$C1338,$D:$D,"P0(후)",$L:$L,"&gt;0")&lt;&gt;1,"",SUMIFS($H:$H,$C:$C,$C1338,$D:$D,"P0(후)"))</f>
        <v/>
      </c>
      <c r="Q1338" s="30">
        <f>IF(COUNTIFS($C:$C,$C1338,$D:$D,"P0(후)",$L:$L,"&gt;0")&lt;&gt;1,"",SUMIFS($L:$L,$C:$C,$C1338,$D:$D,"P0(후)"))</f>
        <v/>
      </c>
      <c r="R1338" s="30">
        <f>IF(M1338&lt;&gt;"OK","",O1338+(Q1338-O1338)*(H1338-N1338)/(P1338-N1338))</f>
        <v/>
      </c>
      <c r="S1338" s="30">
        <f>IF(OR(M1338&lt;&gt;"OK",NOT(ISNUMBER(L1338))),"",L1338-R1338)</f>
        <v/>
      </c>
      <c r="T1338" s="46">
        <f>IF(OR(NOT(ISNUMBER(S1338)),IF(ISNUMBER(G1338),G1338,F1338)=0),"",S1338/IF(ISNUMBER(G1338),G1338,F1338))</f>
        <v/>
      </c>
      <c r="U1338" s="46">
        <f>IF(ISNUMBER(T1338),ABS(T1338),"")</f>
        <v/>
      </c>
      <c r="V1338" s="46">
        <f>IF(OR($D1337&lt;&gt;"측정",$C1337&lt;&gt;$C1338,NOT(ISNUMBER(L1338)),NOT(ISNUMBER(L1337)),(IF(ISNUMBER(G1338),G1338,F1338)-IF(ISNUMBER(G1337),G1337,F1337))=0),"",(L1338-L1337)/(IF(ISNUMBER(G1338),G1338,F1338)-IF(ISNUMBER(G1337),G1337,F1337)))</f>
        <v/>
      </c>
      <c r="W1338" s="30">
        <f>IF(NOT(AND(ISNUMBER(N1338),ISNUMBER(P1338))),"",(P1338-N1338)*1440)</f>
        <v/>
      </c>
      <c r="X1338" s="28" t="n"/>
      <c r="Y1338" s="28" t="n"/>
      <c r="Z1338" s="28" t="n"/>
      <c r="AA1338" s="31" t="n"/>
      <c r="AB1338" s="31" t="n"/>
    </row>
    <row r="1339">
      <c r="A1339" s="25" t="inlineStr">
        <is>
          <t>S26</t>
        </is>
      </c>
      <c r="B1339" s="25" t="inlineStr">
        <is>
          <t>고남 신규점2</t>
        </is>
      </c>
      <c r="C1339" s="25" t="inlineStr">
        <is>
          <t>S26-H남</t>
        </is>
      </c>
      <c r="D1339" s="25" t="inlineStr">
        <is>
          <t>측정</t>
        </is>
      </c>
      <c r="E1339" s="25" t="inlineStr">
        <is>
          <t>남</t>
        </is>
      </c>
      <c r="F1339" s="30" t="n">
        <v>7</v>
      </c>
      <c r="G1339" s="29" t="n"/>
      <c r="H1339" s="42" t="n"/>
      <c r="I1339" s="40" t="n"/>
      <c r="J1339" s="40" t="n"/>
      <c r="K1339" s="40" t="n"/>
      <c r="L1339" s="30">
        <f>IF(COUNT(I1339:K1339)=0,"",MEDIAN(I1339:K1339))</f>
        <v/>
      </c>
      <c r="M1339" s="25">
        <f>IF(COUNTIFS($C:$C,$C1339,$D:$D,"P0(전)",$L:$L,"&gt;0")&lt;&gt;1,"P0(전) 유효 1개 아님",IF(COUNTIFS($C:$C,$C1339,$D:$D,"P0(후)",$L:$L,"&gt;0")&lt;&gt;1,"P0(후) 유효 1개 아님",IF(NOT(AND(ISNUMBER(N1339),ISNUMBER(P1339),ISNUMBER(H1339))),"시각 결측",IF(P1339&lt;=N1339,"P0 시각 역전",IF(OR(H1339&lt;N1339,H1339&gt;P1339),"측정시각 구간 밖","OK")))))</f>
        <v/>
      </c>
      <c r="N1339" s="45">
        <f>IF(COUNTIFS($C:$C,$C1339,$D:$D,"P0(전)",$L:$L,"&gt;0")&lt;&gt;1,"",SUMIFS($H:$H,$C:$C,$C1339,$D:$D,"P0(전)"))</f>
        <v/>
      </c>
      <c r="O1339" s="30">
        <f>IF(COUNTIFS($C:$C,$C1339,$D:$D,"P0(전)",$L:$L,"&gt;0")&lt;&gt;1,"",SUMIFS($L:$L,$C:$C,$C1339,$D:$D,"P0(전)"))</f>
        <v/>
      </c>
      <c r="P1339" s="45">
        <f>IF(COUNTIFS($C:$C,$C1339,$D:$D,"P0(후)",$L:$L,"&gt;0")&lt;&gt;1,"",SUMIFS($H:$H,$C:$C,$C1339,$D:$D,"P0(후)"))</f>
        <v/>
      </c>
      <c r="Q1339" s="30">
        <f>IF(COUNTIFS($C:$C,$C1339,$D:$D,"P0(후)",$L:$L,"&gt;0")&lt;&gt;1,"",SUMIFS($L:$L,$C:$C,$C1339,$D:$D,"P0(후)"))</f>
        <v/>
      </c>
      <c r="R1339" s="30">
        <f>IF(M1339&lt;&gt;"OK","",O1339+(Q1339-O1339)*(H1339-N1339)/(P1339-N1339))</f>
        <v/>
      </c>
      <c r="S1339" s="30">
        <f>IF(OR(M1339&lt;&gt;"OK",NOT(ISNUMBER(L1339))),"",L1339-R1339)</f>
        <v/>
      </c>
      <c r="T1339" s="46">
        <f>IF(OR(NOT(ISNUMBER(S1339)),IF(ISNUMBER(G1339),G1339,F1339)=0),"",S1339/IF(ISNUMBER(G1339),G1339,F1339))</f>
        <v/>
      </c>
      <c r="U1339" s="46">
        <f>IF(ISNUMBER(T1339),ABS(T1339),"")</f>
        <v/>
      </c>
      <c r="V1339" s="46">
        <f>IF(OR($D1338&lt;&gt;"측정",$C1338&lt;&gt;$C1339,NOT(ISNUMBER(L1339)),NOT(ISNUMBER(L1338)),(IF(ISNUMBER(G1339),G1339,F1339)-IF(ISNUMBER(G1338),G1338,F1338))=0),"",(L1339-L1338)/(IF(ISNUMBER(G1339),G1339,F1339)-IF(ISNUMBER(G1338),G1338,F1338)))</f>
        <v/>
      </c>
      <c r="W1339" s="30">
        <f>IF(NOT(AND(ISNUMBER(N1339),ISNUMBER(P1339))),"",(P1339-N1339)*1440)</f>
        <v/>
      </c>
      <c r="X1339" s="28" t="n"/>
      <c r="Y1339" s="28" t="n"/>
      <c r="Z1339" s="28" t="n"/>
      <c r="AA1339" s="31" t="n"/>
      <c r="AB1339" s="31" t="n"/>
    </row>
    <row r="1340">
      <c r="A1340" s="25" t="inlineStr">
        <is>
          <t>S26</t>
        </is>
      </c>
      <c r="B1340" s="25" t="inlineStr">
        <is>
          <t>고남 신규점2</t>
        </is>
      </c>
      <c r="C1340" s="25" t="inlineStr">
        <is>
          <t>S26-H남</t>
        </is>
      </c>
      <c r="D1340" s="25" t="inlineStr">
        <is>
          <t>측정</t>
        </is>
      </c>
      <c r="E1340" s="25" t="inlineStr">
        <is>
          <t>남</t>
        </is>
      </c>
      <c r="F1340" s="30" t="n">
        <v>8</v>
      </c>
      <c r="G1340" s="29" t="n"/>
      <c r="H1340" s="42" t="n"/>
      <c r="I1340" s="40" t="n"/>
      <c r="J1340" s="40" t="n"/>
      <c r="K1340" s="40" t="n"/>
      <c r="L1340" s="30">
        <f>IF(COUNT(I1340:K1340)=0,"",MEDIAN(I1340:K1340))</f>
        <v/>
      </c>
      <c r="M1340" s="25">
        <f>IF(COUNTIFS($C:$C,$C1340,$D:$D,"P0(전)",$L:$L,"&gt;0")&lt;&gt;1,"P0(전) 유효 1개 아님",IF(COUNTIFS($C:$C,$C1340,$D:$D,"P0(후)",$L:$L,"&gt;0")&lt;&gt;1,"P0(후) 유효 1개 아님",IF(NOT(AND(ISNUMBER(N1340),ISNUMBER(P1340),ISNUMBER(H1340))),"시각 결측",IF(P1340&lt;=N1340,"P0 시각 역전",IF(OR(H1340&lt;N1340,H1340&gt;P1340),"측정시각 구간 밖","OK")))))</f>
        <v/>
      </c>
      <c r="N1340" s="45">
        <f>IF(COUNTIFS($C:$C,$C1340,$D:$D,"P0(전)",$L:$L,"&gt;0")&lt;&gt;1,"",SUMIFS($H:$H,$C:$C,$C1340,$D:$D,"P0(전)"))</f>
        <v/>
      </c>
      <c r="O1340" s="30">
        <f>IF(COUNTIFS($C:$C,$C1340,$D:$D,"P0(전)",$L:$L,"&gt;0")&lt;&gt;1,"",SUMIFS($L:$L,$C:$C,$C1340,$D:$D,"P0(전)"))</f>
        <v/>
      </c>
      <c r="P1340" s="45">
        <f>IF(COUNTIFS($C:$C,$C1340,$D:$D,"P0(후)",$L:$L,"&gt;0")&lt;&gt;1,"",SUMIFS($H:$H,$C:$C,$C1340,$D:$D,"P0(후)"))</f>
        <v/>
      </c>
      <c r="Q1340" s="30">
        <f>IF(COUNTIFS($C:$C,$C1340,$D:$D,"P0(후)",$L:$L,"&gt;0")&lt;&gt;1,"",SUMIFS($L:$L,$C:$C,$C1340,$D:$D,"P0(후)"))</f>
        <v/>
      </c>
      <c r="R1340" s="30">
        <f>IF(M1340&lt;&gt;"OK","",O1340+(Q1340-O1340)*(H1340-N1340)/(P1340-N1340))</f>
        <v/>
      </c>
      <c r="S1340" s="30">
        <f>IF(OR(M1340&lt;&gt;"OK",NOT(ISNUMBER(L1340))),"",L1340-R1340)</f>
        <v/>
      </c>
      <c r="T1340" s="46">
        <f>IF(OR(NOT(ISNUMBER(S1340)),IF(ISNUMBER(G1340),G1340,F1340)=0),"",S1340/IF(ISNUMBER(G1340),G1340,F1340))</f>
        <v/>
      </c>
      <c r="U1340" s="46">
        <f>IF(ISNUMBER(T1340),ABS(T1340),"")</f>
        <v/>
      </c>
      <c r="V1340" s="46">
        <f>IF(OR($D1339&lt;&gt;"측정",$C1339&lt;&gt;$C1340,NOT(ISNUMBER(L1340)),NOT(ISNUMBER(L1339)),(IF(ISNUMBER(G1340),G1340,F1340)-IF(ISNUMBER(G1339),G1339,F1339))=0),"",(L1340-L1339)/(IF(ISNUMBER(G1340),G1340,F1340)-IF(ISNUMBER(G1339),G1339,F1339)))</f>
        <v/>
      </c>
      <c r="W1340" s="30">
        <f>IF(NOT(AND(ISNUMBER(N1340),ISNUMBER(P1340))),"",(P1340-N1340)*1440)</f>
        <v/>
      </c>
      <c r="X1340" s="28" t="n"/>
      <c r="Y1340" s="28" t="n"/>
      <c r="Z1340" s="28" t="n"/>
      <c r="AA1340" s="31" t="n"/>
      <c r="AB1340" s="31" t="n"/>
    </row>
    <row r="1341">
      <c r="A1341" s="25" t="inlineStr">
        <is>
          <t>S26</t>
        </is>
      </c>
      <c r="B1341" s="25" t="inlineStr">
        <is>
          <t>고남 신규점2</t>
        </is>
      </c>
      <c r="C1341" s="25" t="inlineStr">
        <is>
          <t>S26-H남</t>
        </is>
      </c>
      <c r="D1341" s="25" t="inlineStr">
        <is>
          <t>측정</t>
        </is>
      </c>
      <c r="E1341" s="25" t="inlineStr">
        <is>
          <t>남</t>
        </is>
      </c>
      <c r="F1341" s="30" t="n">
        <v>9</v>
      </c>
      <c r="G1341" s="29" t="n"/>
      <c r="H1341" s="42" t="n"/>
      <c r="I1341" s="40" t="n"/>
      <c r="J1341" s="40" t="n"/>
      <c r="K1341" s="40" t="n"/>
      <c r="L1341" s="30">
        <f>IF(COUNT(I1341:K1341)=0,"",MEDIAN(I1341:K1341))</f>
        <v/>
      </c>
      <c r="M1341" s="25">
        <f>IF(COUNTIFS($C:$C,$C1341,$D:$D,"P0(전)",$L:$L,"&gt;0")&lt;&gt;1,"P0(전) 유효 1개 아님",IF(COUNTIFS($C:$C,$C1341,$D:$D,"P0(후)",$L:$L,"&gt;0")&lt;&gt;1,"P0(후) 유효 1개 아님",IF(NOT(AND(ISNUMBER(N1341),ISNUMBER(P1341),ISNUMBER(H1341))),"시각 결측",IF(P1341&lt;=N1341,"P0 시각 역전",IF(OR(H1341&lt;N1341,H1341&gt;P1341),"측정시각 구간 밖","OK")))))</f>
        <v/>
      </c>
      <c r="N1341" s="45">
        <f>IF(COUNTIFS($C:$C,$C1341,$D:$D,"P0(전)",$L:$L,"&gt;0")&lt;&gt;1,"",SUMIFS($H:$H,$C:$C,$C1341,$D:$D,"P0(전)"))</f>
        <v/>
      </c>
      <c r="O1341" s="30">
        <f>IF(COUNTIFS($C:$C,$C1341,$D:$D,"P0(전)",$L:$L,"&gt;0")&lt;&gt;1,"",SUMIFS($L:$L,$C:$C,$C1341,$D:$D,"P0(전)"))</f>
        <v/>
      </c>
      <c r="P1341" s="45">
        <f>IF(COUNTIFS($C:$C,$C1341,$D:$D,"P0(후)",$L:$L,"&gt;0")&lt;&gt;1,"",SUMIFS($H:$H,$C:$C,$C1341,$D:$D,"P0(후)"))</f>
        <v/>
      </c>
      <c r="Q1341" s="30">
        <f>IF(COUNTIFS($C:$C,$C1341,$D:$D,"P0(후)",$L:$L,"&gt;0")&lt;&gt;1,"",SUMIFS($L:$L,$C:$C,$C1341,$D:$D,"P0(후)"))</f>
        <v/>
      </c>
      <c r="R1341" s="30">
        <f>IF(M1341&lt;&gt;"OK","",O1341+(Q1341-O1341)*(H1341-N1341)/(P1341-N1341))</f>
        <v/>
      </c>
      <c r="S1341" s="30">
        <f>IF(OR(M1341&lt;&gt;"OK",NOT(ISNUMBER(L1341))),"",L1341-R1341)</f>
        <v/>
      </c>
      <c r="T1341" s="46">
        <f>IF(OR(NOT(ISNUMBER(S1341)),IF(ISNUMBER(G1341),G1341,F1341)=0),"",S1341/IF(ISNUMBER(G1341),G1341,F1341))</f>
        <v/>
      </c>
      <c r="U1341" s="46">
        <f>IF(ISNUMBER(T1341),ABS(T1341),"")</f>
        <v/>
      </c>
      <c r="V1341" s="46">
        <f>IF(OR($D1340&lt;&gt;"측정",$C1340&lt;&gt;$C1341,NOT(ISNUMBER(L1341)),NOT(ISNUMBER(L1340)),(IF(ISNUMBER(G1341),G1341,F1341)-IF(ISNUMBER(G1340),G1340,F1340))=0),"",(L1341-L1340)/(IF(ISNUMBER(G1341),G1341,F1341)-IF(ISNUMBER(G1340),G1340,F1340)))</f>
        <v/>
      </c>
      <c r="W1341" s="30">
        <f>IF(NOT(AND(ISNUMBER(N1341),ISNUMBER(P1341))),"",(P1341-N1341)*1440)</f>
        <v/>
      </c>
      <c r="X1341" s="28" t="n"/>
      <c r="Y1341" s="28" t="n"/>
      <c r="Z1341" s="28" t="n"/>
      <c r="AA1341" s="31" t="n"/>
      <c r="AB1341" s="31" t="n"/>
    </row>
    <row r="1342">
      <c r="A1342" s="25" t="inlineStr">
        <is>
          <t>S26</t>
        </is>
      </c>
      <c r="B1342" s="25" t="inlineStr">
        <is>
          <t>고남 신규점2</t>
        </is>
      </c>
      <c r="C1342" s="25" t="inlineStr">
        <is>
          <t>S26-H남</t>
        </is>
      </c>
      <c r="D1342" s="25" t="inlineStr">
        <is>
          <t>측정</t>
        </is>
      </c>
      <c r="E1342" s="25" t="inlineStr">
        <is>
          <t>남</t>
        </is>
      </c>
      <c r="F1342" s="30" t="n">
        <v>10</v>
      </c>
      <c r="G1342" s="29" t="n"/>
      <c r="H1342" s="42" t="n"/>
      <c r="I1342" s="40" t="n"/>
      <c r="J1342" s="40" t="n"/>
      <c r="K1342" s="40" t="n"/>
      <c r="L1342" s="30">
        <f>IF(COUNT(I1342:K1342)=0,"",MEDIAN(I1342:K1342))</f>
        <v/>
      </c>
      <c r="M1342" s="25">
        <f>IF(COUNTIFS($C:$C,$C1342,$D:$D,"P0(전)",$L:$L,"&gt;0")&lt;&gt;1,"P0(전) 유효 1개 아님",IF(COUNTIFS($C:$C,$C1342,$D:$D,"P0(후)",$L:$L,"&gt;0")&lt;&gt;1,"P0(후) 유효 1개 아님",IF(NOT(AND(ISNUMBER(N1342),ISNUMBER(P1342),ISNUMBER(H1342))),"시각 결측",IF(P1342&lt;=N1342,"P0 시각 역전",IF(OR(H1342&lt;N1342,H1342&gt;P1342),"측정시각 구간 밖","OK")))))</f>
        <v/>
      </c>
      <c r="N1342" s="45">
        <f>IF(COUNTIFS($C:$C,$C1342,$D:$D,"P0(전)",$L:$L,"&gt;0")&lt;&gt;1,"",SUMIFS($H:$H,$C:$C,$C1342,$D:$D,"P0(전)"))</f>
        <v/>
      </c>
      <c r="O1342" s="30">
        <f>IF(COUNTIFS($C:$C,$C1342,$D:$D,"P0(전)",$L:$L,"&gt;0")&lt;&gt;1,"",SUMIFS($L:$L,$C:$C,$C1342,$D:$D,"P0(전)"))</f>
        <v/>
      </c>
      <c r="P1342" s="45">
        <f>IF(COUNTIFS($C:$C,$C1342,$D:$D,"P0(후)",$L:$L,"&gt;0")&lt;&gt;1,"",SUMIFS($H:$H,$C:$C,$C1342,$D:$D,"P0(후)"))</f>
        <v/>
      </c>
      <c r="Q1342" s="30">
        <f>IF(COUNTIFS($C:$C,$C1342,$D:$D,"P0(후)",$L:$L,"&gt;0")&lt;&gt;1,"",SUMIFS($L:$L,$C:$C,$C1342,$D:$D,"P0(후)"))</f>
        <v/>
      </c>
      <c r="R1342" s="30">
        <f>IF(M1342&lt;&gt;"OK","",O1342+(Q1342-O1342)*(H1342-N1342)/(P1342-N1342))</f>
        <v/>
      </c>
      <c r="S1342" s="30">
        <f>IF(OR(M1342&lt;&gt;"OK",NOT(ISNUMBER(L1342))),"",L1342-R1342)</f>
        <v/>
      </c>
      <c r="T1342" s="46">
        <f>IF(OR(NOT(ISNUMBER(S1342)),IF(ISNUMBER(G1342),G1342,F1342)=0),"",S1342/IF(ISNUMBER(G1342),G1342,F1342))</f>
        <v/>
      </c>
      <c r="U1342" s="46">
        <f>IF(ISNUMBER(T1342),ABS(T1342),"")</f>
        <v/>
      </c>
      <c r="V1342" s="46">
        <f>IF(OR($D1341&lt;&gt;"측정",$C1341&lt;&gt;$C1342,NOT(ISNUMBER(L1342)),NOT(ISNUMBER(L1341)),(IF(ISNUMBER(G1342),G1342,F1342)-IF(ISNUMBER(G1341),G1341,F1341))=0),"",(L1342-L1341)/(IF(ISNUMBER(G1342),G1342,F1342)-IF(ISNUMBER(G1341),G1341,F1341)))</f>
        <v/>
      </c>
      <c r="W1342" s="30">
        <f>IF(NOT(AND(ISNUMBER(N1342),ISNUMBER(P1342))),"",(P1342-N1342)*1440)</f>
        <v/>
      </c>
      <c r="X1342" s="28" t="n"/>
      <c r="Y1342" s="28" t="n"/>
      <c r="Z1342" s="28" t="n"/>
      <c r="AA1342" s="31" t="n"/>
      <c r="AB1342" s="31" t="n"/>
    </row>
    <row r="1343">
      <c r="A1343" s="43" t="inlineStr">
        <is>
          <t>S26</t>
        </is>
      </c>
      <c r="B1343" s="43" t="inlineStr">
        <is>
          <t>고남 신규점2</t>
        </is>
      </c>
      <c r="C1343" s="43" t="inlineStr">
        <is>
          <t>S26-H남</t>
        </is>
      </c>
      <c r="D1343" s="43" t="inlineStr">
        <is>
          <t>P0(후)</t>
        </is>
      </c>
      <c r="E1343" s="43" t="inlineStr">
        <is>
          <t>남</t>
        </is>
      </c>
      <c r="F1343" s="44" t="n"/>
      <c r="G1343" s="29" t="n"/>
      <c r="H1343" s="42" t="n"/>
      <c r="I1343" s="40" t="n"/>
      <c r="J1343" s="40" t="n"/>
      <c r="K1343" s="40" t="n"/>
      <c r="L1343" s="30">
        <f>IF(COUNT(I1343:K1343)=0,"",MEDIAN(I1343:K1343))</f>
        <v/>
      </c>
      <c r="M1343" s="37" t="n"/>
      <c r="N1343" s="37" t="n"/>
      <c r="O1343" s="37" t="n"/>
      <c r="P1343" s="37" t="n"/>
      <c r="Q1343" s="37" t="n"/>
      <c r="R1343" s="37" t="n"/>
      <c r="S1343" s="37" t="n"/>
      <c r="T1343" s="37" t="n"/>
      <c r="U1343" s="37" t="n"/>
      <c r="V1343" s="37" t="n"/>
      <c r="W1343" s="37" t="n"/>
      <c r="X1343" s="28" t="n"/>
      <c r="Y1343" s="28" t="n"/>
      <c r="Z1343" s="28" t="n"/>
      <c r="AA1343" s="31" t="n"/>
      <c r="AB1343" s="31" t="n"/>
    </row>
    <row r="1344">
      <c r="A1344" s="43" t="inlineStr">
        <is>
          <t>S26</t>
        </is>
      </c>
      <c r="B1344" s="43" t="inlineStr">
        <is>
          <t>고남 신규점2</t>
        </is>
      </c>
      <c r="C1344" s="43" t="inlineStr">
        <is>
          <t>S26-H북</t>
        </is>
      </c>
      <c r="D1344" s="43" t="inlineStr">
        <is>
          <t>P0(전)</t>
        </is>
      </c>
      <c r="E1344" s="43" t="inlineStr">
        <is>
          <t>북</t>
        </is>
      </c>
      <c r="F1344" s="44" t="n"/>
      <c r="G1344" s="29" t="n"/>
      <c r="H1344" s="42" t="n"/>
      <c r="I1344" s="40" t="n"/>
      <c r="J1344" s="40" t="n"/>
      <c r="K1344" s="40" t="n"/>
      <c r="L1344" s="30">
        <f>IF(COUNT(I1344:K1344)=0,"",MEDIAN(I1344:K1344))</f>
        <v/>
      </c>
      <c r="M1344" s="37" t="n"/>
      <c r="N1344" s="37" t="n"/>
      <c r="O1344" s="37" t="n"/>
      <c r="P1344" s="37" t="n"/>
      <c r="Q1344" s="37" t="n"/>
      <c r="R1344" s="37" t="n"/>
      <c r="S1344" s="37" t="n"/>
      <c r="T1344" s="37" t="n"/>
      <c r="U1344" s="37" t="n"/>
      <c r="V1344" s="37" t="n"/>
      <c r="W1344" s="37" t="n"/>
      <c r="X1344" s="28" t="n"/>
      <c r="Y1344" s="28" t="n"/>
      <c r="Z1344" s="28" t="n"/>
      <c r="AA1344" s="31" t="n"/>
      <c r="AB1344" s="31" t="n"/>
    </row>
    <row r="1345">
      <c r="A1345" s="25" t="inlineStr">
        <is>
          <t>S26</t>
        </is>
      </c>
      <c r="B1345" s="25" t="inlineStr">
        <is>
          <t>고남 신규점2</t>
        </is>
      </c>
      <c r="C1345" s="25" t="inlineStr">
        <is>
          <t>S26-H북</t>
        </is>
      </c>
      <c r="D1345" s="25" t="inlineStr">
        <is>
          <t>측정</t>
        </is>
      </c>
      <c r="E1345" s="25" t="inlineStr">
        <is>
          <t>북</t>
        </is>
      </c>
      <c r="F1345" s="30" t="n">
        <v>0.5</v>
      </c>
      <c r="G1345" s="29" t="n"/>
      <c r="H1345" s="42" t="n"/>
      <c r="I1345" s="40" t="n"/>
      <c r="J1345" s="40" t="n"/>
      <c r="K1345" s="40" t="n"/>
      <c r="L1345" s="30">
        <f>IF(COUNT(I1345:K1345)=0,"",MEDIAN(I1345:K1345))</f>
        <v/>
      </c>
      <c r="M1345" s="25">
        <f>IF(COUNTIFS($C:$C,$C1345,$D:$D,"P0(전)",$L:$L,"&gt;0")&lt;&gt;1,"P0(전) 유효 1개 아님",IF(COUNTIFS($C:$C,$C1345,$D:$D,"P0(후)",$L:$L,"&gt;0")&lt;&gt;1,"P0(후) 유효 1개 아님",IF(NOT(AND(ISNUMBER(N1345),ISNUMBER(P1345),ISNUMBER(H1345))),"시각 결측",IF(P1345&lt;=N1345,"P0 시각 역전",IF(OR(H1345&lt;N1345,H1345&gt;P1345),"측정시각 구간 밖","OK")))))</f>
        <v/>
      </c>
      <c r="N1345" s="45">
        <f>IF(COUNTIFS($C:$C,$C1345,$D:$D,"P0(전)",$L:$L,"&gt;0")&lt;&gt;1,"",SUMIFS($H:$H,$C:$C,$C1345,$D:$D,"P0(전)"))</f>
        <v/>
      </c>
      <c r="O1345" s="30">
        <f>IF(COUNTIFS($C:$C,$C1345,$D:$D,"P0(전)",$L:$L,"&gt;0")&lt;&gt;1,"",SUMIFS($L:$L,$C:$C,$C1345,$D:$D,"P0(전)"))</f>
        <v/>
      </c>
      <c r="P1345" s="45">
        <f>IF(COUNTIFS($C:$C,$C1345,$D:$D,"P0(후)",$L:$L,"&gt;0")&lt;&gt;1,"",SUMIFS($H:$H,$C:$C,$C1345,$D:$D,"P0(후)"))</f>
        <v/>
      </c>
      <c r="Q1345" s="30">
        <f>IF(COUNTIFS($C:$C,$C1345,$D:$D,"P0(후)",$L:$L,"&gt;0")&lt;&gt;1,"",SUMIFS($L:$L,$C:$C,$C1345,$D:$D,"P0(후)"))</f>
        <v/>
      </c>
      <c r="R1345" s="30">
        <f>IF(M1345&lt;&gt;"OK","",O1345+(Q1345-O1345)*(H1345-N1345)/(P1345-N1345))</f>
        <v/>
      </c>
      <c r="S1345" s="30">
        <f>IF(OR(M1345&lt;&gt;"OK",NOT(ISNUMBER(L1345))),"",L1345-R1345)</f>
        <v/>
      </c>
      <c r="T1345" s="46">
        <f>IF(OR(NOT(ISNUMBER(S1345)),IF(ISNUMBER(G1345),G1345,F1345)=0),"",S1345/IF(ISNUMBER(G1345),G1345,F1345))</f>
        <v/>
      </c>
      <c r="U1345" s="46">
        <f>IF(ISNUMBER(T1345),ABS(T1345),"")</f>
        <v/>
      </c>
      <c r="V1345" s="46">
        <f>IF(OR($D1344&lt;&gt;"측정",$C1344&lt;&gt;$C1345,NOT(ISNUMBER(L1345)),NOT(ISNUMBER(L1344)),(IF(ISNUMBER(G1345),G1345,F1345)-IF(ISNUMBER(G1344),G1344,F1344))=0),"",(L1345-L1344)/(IF(ISNUMBER(G1345),G1345,F1345)-IF(ISNUMBER(G1344),G1344,F1344)))</f>
        <v/>
      </c>
      <c r="W1345" s="30">
        <f>IF(NOT(AND(ISNUMBER(N1345),ISNUMBER(P1345))),"",(P1345-N1345)*1440)</f>
        <v/>
      </c>
      <c r="X1345" s="28" t="n"/>
      <c r="Y1345" s="28" t="n"/>
      <c r="Z1345" s="28" t="n"/>
      <c r="AA1345" s="31" t="n"/>
      <c r="AB1345" s="31" t="n"/>
    </row>
    <row r="1346">
      <c r="A1346" s="25" t="inlineStr">
        <is>
          <t>S26</t>
        </is>
      </c>
      <c r="B1346" s="25" t="inlineStr">
        <is>
          <t>고남 신규점2</t>
        </is>
      </c>
      <c r="C1346" s="25" t="inlineStr">
        <is>
          <t>S26-H북</t>
        </is>
      </c>
      <c r="D1346" s="25" t="inlineStr">
        <is>
          <t>측정</t>
        </is>
      </c>
      <c r="E1346" s="25" t="inlineStr">
        <is>
          <t>북</t>
        </is>
      </c>
      <c r="F1346" s="30" t="n">
        <v>1</v>
      </c>
      <c r="G1346" s="29" t="n"/>
      <c r="H1346" s="42" t="n"/>
      <c r="I1346" s="40" t="n"/>
      <c r="J1346" s="40" t="n"/>
      <c r="K1346" s="40" t="n"/>
      <c r="L1346" s="30">
        <f>IF(COUNT(I1346:K1346)=0,"",MEDIAN(I1346:K1346))</f>
        <v/>
      </c>
      <c r="M1346" s="25">
        <f>IF(COUNTIFS($C:$C,$C1346,$D:$D,"P0(전)",$L:$L,"&gt;0")&lt;&gt;1,"P0(전) 유효 1개 아님",IF(COUNTIFS($C:$C,$C1346,$D:$D,"P0(후)",$L:$L,"&gt;0")&lt;&gt;1,"P0(후) 유효 1개 아님",IF(NOT(AND(ISNUMBER(N1346),ISNUMBER(P1346),ISNUMBER(H1346))),"시각 결측",IF(P1346&lt;=N1346,"P0 시각 역전",IF(OR(H1346&lt;N1346,H1346&gt;P1346),"측정시각 구간 밖","OK")))))</f>
        <v/>
      </c>
      <c r="N1346" s="45">
        <f>IF(COUNTIFS($C:$C,$C1346,$D:$D,"P0(전)",$L:$L,"&gt;0")&lt;&gt;1,"",SUMIFS($H:$H,$C:$C,$C1346,$D:$D,"P0(전)"))</f>
        <v/>
      </c>
      <c r="O1346" s="30">
        <f>IF(COUNTIFS($C:$C,$C1346,$D:$D,"P0(전)",$L:$L,"&gt;0")&lt;&gt;1,"",SUMIFS($L:$L,$C:$C,$C1346,$D:$D,"P0(전)"))</f>
        <v/>
      </c>
      <c r="P1346" s="45">
        <f>IF(COUNTIFS($C:$C,$C1346,$D:$D,"P0(후)",$L:$L,"&gt;0")&lt;&gt;1,"",SUMIFS($H:$H,$C:$C,$C1346,$D:$D,"P0(후)"))</f>
        <v/>
      </c>
      <c r="Q1346" s="30">
        <f>IF(COUNTIFS($C:$C,$C1346,$D:$D,"P0(후)",$L:$L,"&gt;0")&lt;&gt;1,"",SUMIFS($L:$L,$C:$C,$C1346,$D:$D,"P0(후)"))</f>
        <v/>
      </c>
      <c r="R1346" s="30">
        <f>IF(M1346&lt;&gt;"OK","",O1346+(Q1346-O1346)*(H1346-N1346)/(P1346-N1346))</f>
        <v/>
      </c>
      <c r="S1346" s="30">
        <f>IF(OR(M1346&lt;&gt;"OK",NOT(ISNUMBER(L1346))),"",L1346-R1346)</f>
        <v/>
      </c>
      <c r="T1346" s="46">
        <f>IF(OR(NOT(ISNUMBER(S1346)),IF(ISNUMBER(G1346),G1346,F1346)=0),"",S1346/IF(ISNUMBER(G1346),G1346,F1346))</f>
        <v/>
      </c>
      <c r="U1346" s="46">
        <f>IF(ISNUMBER(T1346),ABS(T1346),"")</f>
        <v/>
      </c>
      <c r="V1346" s="46">
        <f>IF(OR($D1345&lt;&gt;"측정",$C1345&lt;&gt;$C1346,NOT(ISNUMBER(L1346)),NOT(ISNUMBER(L1345)),(IF(ISNUMBER(G1346),G1346,F1346)-IF(ISNUMBER(G1345),G1345,F1345))=0),"",(L1346-L1345)/(IF(ISNUMBER(G1346),G1346,F1346)-IF(ISNUMBER(G1345),G1345,F1345)))</f>
        <v/>
      </c>
      <c r="W1346" s="30">
        <f>IF(NOT(AND(ISNUMBER(N1346),ISNUMBER(P1346))),"",(P1346-N1346)*1440)</f>
        <v/>
      </c>
      <c r="X1346" s="28" t="n"/>
      <c r="Y1346" s="28" t="n"/>
      <c r="Z1346" s="28" t="n"/>
      <c r="AA1346" s="31" t="n"/>
      <c r="AB1346" s="31" t="n"/>
    </row>
    <row r="1347">
      <c r="A1347" s="25" t="inlineStr">
        <is>
          <t>S26</t>
        </is>
      </c>
      <c r="B1347" s="25" t="inlineStr">
        <is>
          <t>고남 신규점2</t>
        </is>
      </c>
      <c r="C1347" s="25" t="inlineStr">
        <is>
          <t>S26-H북</t>
        </is>
      </c>
      <c r="D1347" s="25" t="inlineStr">
        <is>
          <t>측정</t>
        </is>
      </c>
      <c r="E1347" s="25" t="inlineStr">
        <is>
          <t>북</t>
        </is>
      </c>
      <c r="F1347" s="30" t="n">
        <v>2</v>
      </c>
      <c r="G1347" s="29" t="n"/>
      <c r="H1347" s="42" t="n"/>
      <c r="I1347" s="40" t="n"/>
      <c r="J1347" s="40" t="n"/>
      <c r="K1347" s="40" t="n"/>
      <c r="L1347" s="30">
        <f>IF(COUNT(I1347:K1347)=0,"",MEDIAN(I1347:K1347))</f>
        <v/>
      </c>
      <c r="M1347" s="25">
        <f>IF(COUNTIFS($C:$C,$C1347,$D:$D,"P0(전)",$L:$L,"&gt;0")&lt;&gt;1,"P0(전) 유효 1개 아님",IF(COUNTIFS($C:$C,$C1347,$D:$D,"P0(후)",$L:$L,"&gt;0")&lt;&gt;1,"P0(후) 유효 1개 아님",IF(NOT(AND(ISNUMBER(N1347),ISNUMBER(P1347),ISNUMBER(H1347))),"시각 결측",IF(P1347&lt;=N1347,"P0 시각 역전",IF(OR(H1347&lt;N1347,H1347&gt;P1347),"측정시각 구간 밖","OK")))))</f>
        <v/>
      </c>
      <c r="N1347" s="45">
        <f>IF(COUNTIFS($C:$C,$C1347,$D:$D,"P0(전)",$L:$L,"&gt;0")&lt;&gt;1,"",SUMIFS($H:$H,$C:$C,$C1347,$D:$D,"P0(전)"))</f>
        <v/>
      </c>
      <c r="O1347" s="30">
        <f>IF(COUNTIFS($C:$C,$C1347,$D:$D,"P0(전)",$L:$L,"&gt;0")&lt;&gt;1,"",SUMIFS($L:$L,$C:$C,$C1347,$D:$D,"P0(전)"))</f>
        <v/>
      </c>
      <c r="P1347" s="45">
        <f>IF(COUNTIFS($C:$C,$C1347,$D:$D,"P0(후)",$L:$L,"&gt;0")&lt;&gt;1,"",SUMIFS($H:$H,$C:$C,$C1347,$D:$D,"P0(후)"))</f>
        <v/>
      </c>
      <c r="Q1347" s="30">
        <f>IF(COUNTIFS($C:$C,$C1347,$D:$D,"P0(후)",$L:$L,"&gt;0")&lt;&gt;1,"",SUMIFS($L:$L,$C:$C,$C1347,$D:$D,"P0(후)"))</f>
        <v/>
      </c>
      <c r="R1347" s="30">
        <f>IF(M1347&lt;&gt;"OK","",O1347+(Q1347-O1347)*(H1347-N1347)/(P1347-N1347))</f>
        <v/>
      </c>
      <c r="S1347" s="30">
        <f>IF(OR(M1347&lt;&gt;"OK",NOT(ISNUMBER(L1347))),"",L1347-R1347)</f>
        <v/>
      </c>
      <c r="T1347" s="46">
        <f>IF(OR(NOT(ISNUMBER(S1347)),IF(ISNUMBER(G1347),G1347,F1347)=0),"",S1347/IF(ISNUMBER(G1347),G1347,F1347))</f>
        <v/>
      </c>
      <c r="U1347" s="46">
        <f>IF(ISNUMBER(T1347),ABS(T1347),"")</f>
        <v/>
      </c>
      <c r="V1347" s="46">
        <f>IF(OR($D1346&lt;&gt;"측정",$C1346&lt;&gt;$C1347,NOT(ISNUMBER(L1347)),NOT(ISNUMBER(L1346)),(IF(ISNUMBER(G1347),G1347,F1347)-IF(ISNUMBER(G1346),G1346,F1346))=0),"",(L1347-L1346)/(IF(ISNUMBER(G1347),G1347,F1347)-IF(ISNUMBER(G1346),G1346,F1346)))</f>
        <v/>
      </c>
      <c r="W1347" s="30">
        <f>IF(NOT(AND(ISNUMBER(N1347),ISNUMBER(P1347))),"",(P1347-N1347)*1440)</f>
        <v/>
      </c>
      <c r="X1347" s="28" t="n"/>
      <c r="Y1347" s="28" t="n"/>
      <c r="Z1347" s="28" t="n"/>
      <c r="AA1347" s="31" t="n"/>
      <c r="AB1347" s="31" t="n"/>
    </row>
    <row r="1348">
      <c r="A1348" s="25" t="inlineStr">
        <is>
          <t>S26</t>
        </is>
      </c>
      <c r="B1348" s="25" t="inlineStr">
        <is>
          <t>고남 신규점2</t>
        </is>
      </c>
      <c r="C1348" s="25" t="inlineStr">
        <is>
          <t>S26-H북</t>
        </is>
      </c>
      <c r="D1348" s="25" t="inlineStr">
        <is>
          <t>측정</t>
        </is>
      </c>
      <c r="E1348" s="25" t="inlineStr">
        <is>
          <t>북</t>
        </is>
      </c>
      <c r="F1348" s="30" t="n">
        <v>3</v>
      </c>
      <c r="G1348" s="29" t="n"/>
      <c r="H1348" s="42" t="n"/>
      <c r="I1348" s="40" t="n"/>
      <c r="J1348" s="40" t="n"/>
      <c r="K1348" s="40" t="n"/>
      <c r="L1348" s="30">
        <f>IF(COUNT(I1348:K1348)=0,"",MEDIAN(I1348:K1348))</f>
        <v/>
      </c>
      <c r="M1348" s="25">
        <f>IF(COUNTIFS($C:$C,$C1348,$D:$D,"P0(전)",$L:$L,"&gt;0")&lt;&gt;1,"P0(전) 유효 1개 아님",IF(COUNTIFS($C:$C,$C1348,$D:$D,"P0(후)",$L:$L,"&gt;0")&lt;&gt;1,"P0(후) 유효 1개 아님",IF(NOT(AND(ISNUMBER(N1348),ISNUMBER(P1348),ISNUMBER(H1348))),"시각 결측",IF(P1348&lt;=N1348,"P0 시각 역전",IF(OR(H1348&lt;N1348,H1348&gt;P1348),"측정시각 구간 밖","OK")))))</f>
        <v/>
      </c>
      <c r="N1348" s="45">
        <f>IF(COUNTIFS($C:$C,$C1348,$D:$D,"P0(전)",$L:$L,"&gt;0")&lt;&gt;1,"",SUMIFS($H:$H,$C:$C,$C1348,$D:$D,"P0(전)"))</f>
        <v/>
      </c>
      <c r="O1348" s="30">
        <f>IF(COUNTIFS($C:$C,$C1348,$D:$D,"P0(전)",$L:$L,"&gt;0")&lt;&gt;1,"",SUMIFS($L:$L,$C:$C,$C1348,$D:$D,"P0(전)"))</f>
        <v/>
      </c>
      <c r="P1348" s="45">
        <f>IF(COUNTIFS($C:$C,$C1348,$D:$D,"P0(후)",$L:$L,"&gt;0")&lt;&gt;1,"",SUMIFS($H:$H,$C:$C,$C1348,$D:$D,"P0(후)"))</f>
        <v/>
      </c>
      <c r="Q1348" s="30">
        <f>IF(COUNTIFS($C:$C,$C1348,$D:$D,"P0(후)",$L:$L,"&gt;0")&lt;&gt;1,"",SUMIFS($L:$L,$C:$C,$C1348,$D:$D,"P0(후)"))</f>
        <v/>
      </c>
      <c r="R1348" s="30">
        <f>IF(M1348&lt;&gt;"OK","",O1348+(Q1348-O1348)*(H1348-N1348)/(P1348-N1348))</f>
        <v/>
      </c>
      <c r="S1348" s="30">
        <f>IF(OR(M1348&lt;&gt;"OK",NOT(ISNUMBER(L1348))),"",L1348-R1348)</f>
        <v/>
      </c>
      <c r="T1348" s="46">
        <f>IF(OR(NOT(ISNUMBER(S1348)),IF(ISNUMBER(G1348),G1348,F1348)=0),"",S1348/IF(ISNUMBER(G1348),G1348,F1348))</f>
        <v/>
      </c>
      <c r="U1348" s="46">
        <f>IF(ISNUMBER(T1348),ABS(T1348),"")</f>
        <v/>
      </c>
      <c r="V1348" s="46">
        <f>IF(OR($D1347&lt;&gt;"측정",$C1347&lt;&gt;$C1348,NOT(ISNUMBER(L1348)),NOT(ISNUMBER(L1347)),(IF(ISNUMBER(G1348),G1348,F1348)-IF(ISNUMBER(G1347),G1347,F1347))=0),"",(L1348-L1347)/(IF(ISNUMBER(G1348),G1348,F1348)-IF(ISNUMBER(G1347),G1347,F1347)))</f>
        <v/>
      </c>
      <c r="W1348" s="30">
        <f>IF(NOT(AND(ISNUMBER(N1348),ISNUMBER(P1348))),"",(P1348-N1348)*1440)</f>
        <v/>
      </c>
      <c r="X1348" s="28" t="n"/>
      <c r="Y1348" s="28" t="n"/>
      <c r="Z1348" s="28" t="n"/>
      <c r="AA1348" s="31" t="n"/>
      <c r="AB1348" s="31" t="n"/>
    </row>
    <row r="1349">
      <c r="A1349" s="25" t="inlineStr">
        <is>
          <t>S26</t>
        </is>
      </c>
      <c r="B1349" s="25" t="inlineStr">
        <is>
          <t>고남 신규점2</t>
        </is>
      </c>
      <c r="C1349" s="25" t="inlineStr">
        <is>
          <t>S26-H북</t>
        </is>
      </c>
      <c r="D1349" s="25" t="inlineStr">
        <is>
          <t>측정</t>
        </is>
      </c>
      <c r="E1349" s="25" t="inlineStr">
        <is>
          <t>북</t>
        </is>
      </c>
      <c r="F1349" s="30" t="n">
        <v>4</v>
      </c>
      <c r="G1349" s="29" t="n"/>
      <c r="H1349" s="42" t="n"/>
      <c r="I1349" s="40" t="n"/>
      <c r="J1349" s="40" t="n"/>
      <c r="K1349" s="40" t="n"/>
      <c r="L1349" s="30">
        <f>IF(COUNT(I1349:K1349)=0,"",MEDIAN(I1349:K1349))</f>
        <v/>
      </c>
      <c r="M1349" s="25">
        <f>IF(COUNTIFS($C:$C,$C1349,$D:$D,"P0(전)",$L:$L,"&gt;0")&lt;&gt;1,"P0(전) 유효 1개 아님",IF(COUNTIFS($C:$C,$C1349,$D:$D,"P0(후)",$L:$L,"&gt;0")&lt;&gt;1,"P0(후) 유효 1개 아님",IF(NOT(AND(ISNUMBER(N1349),ISNUMBER(P1349),ISNUMBER(H1349))),"시각 결측",IF(P1349&lt;=N1349,"P0 시각 역전",IF(OR(H1349&lt;N1349,H1349&gt;P1349),"측정시각 구간 밖","OK")))))</f>
        <v/>
      </c>
      <c r="N1349" s="45">
        <f>IF(COUNTIFS($C:$C,$C1349,$D:$D,"P0(전)",$L:$L,"&gt;0")&lt;&gt;1,"",SUMIFS($H:$H,$C:$C,$C1349,$D:$D,"P0(전)"))</f>
        <v/>
      </c>
      <c r="O1349" s="30">
        <f>IF(COUNTIFS($C:$C,$C1349,$D:$D,"P0(전)",$L:$L,"&gt;0")&lt;&gt;1,"",SUMIFS($L:$L,$C:$C,$C1349,$D:$D,"P0(전)"))</f>
        <v/>
      </c>
      <c r="P1349" s="45">
        <f>IF(COUNTIFS($C:$C,$C1349,$D:$D,"P0(후)",$L:$L,"&gt;0")&lt;&gt;1,"",SUMIFS($H:$H,$C:$C,$C1349,$D:$D,"P0(후)"))</f>
        <v/>
      </c>
      <c r="Q1349" s="30">
        <f>IF(COUNTIFS($C:$C,$C1349,$D:$D,"P0(후)",$L:$L,"&gt;0")&lt;&gt;1,"",SUMIFS($L:$L,$C:$C,$C1349,$D:$D,"P0(후)"))</f>
        <v/>
      </c>
      <c r="R1349" s="30">
        <f>IF(M1349&lt;&gt;"OK","",O1349+(Q1349-O1349)*(H1349-N1349)/(P1349-N1349))</f>
        <v/>
      </c>
      <c r="S1349" s="30">
        <f>IF(OR(M1349&lt;&gt;"OK",NOT(ISNUMBER(L1349))),"",L1349-R1349)</f>
        <v/>
      </c>
      <c r="T1349" s="46">
        <f>IF(OR(NOT(ISNUMBER(S1349)),IF(ISNUMBER(G1349),G1349,F1349)=0),"",S1349/IF(ISNUMBER(G1349),G1349,F1349))</f>
        <v/>
      </c>
      <c r="U1349" s="46">
        <f>IF(ISNUMBER(T1349),ABS(T1349),"")</f>
        <v/>
      </c>
      <c r="V1349" s="46">
        <f>IF(OR($D1348&lt;&gt;"측정",$C1348&lt;&gt;$C1349,NOT(ISNUMBER(L1349)),NOT(ISNUMBER(L1348)),(IF(ISNUMBER(G1349),G1349,F1349)-IF(ISNUMBER(G1348),G1348,F1348))=0),"",(L1349-L1348)/(IF(ISNUMBER(G1349),G1349,F1349)-IF(ISNUMBER(G1348),G1348,F1348)))</f>
        <v/>
      </c>
      <c r="W1349" s="30">
        <f>IF(NOT(AND(ISNUMBER(N1349),ISNUMBER(P1349))),"",(P1349-N1349)*1440)</f>
        <v/>
      </c>
      <c r="X1349" s="28" t="n"/>
      <c r="Y1349" s="28" t="n"/>
      <c r="Z1349" s="28" t="n"/>
      <c r="AA1349" s="31" t="n"/>
      <c r="AB1349" s="31" t="n"/>
    </row>
    <row r="1350">
      <c r="A1350" s="25" t="inlineStr">
        <is>
          <t>S26</t>
        </is>
      </c>
      <c r="B1350" s="25" t="inlineStr">
        <is>
          <t>고남 신규점2</t>
        </is>
      </c>
      <c r="C1350" s="25" t="inlineStr">
        <is>
          <t>S26-H북</t>
        </is>
      </c>
      <c r="D1350" s="25" t="inlineStr">
        <is>
          <t>측정</t>
        </is>
      </c>
      <c r="E1350" s="25" t="inlineStr">
        <is>
          <t>북</t>
        </is>
      </c>
      <c r="F1350" s="30" t="n">
        <v>5</v>
      </c>
      <c r="G1350" s="29" t="n"/>
      <c r="H1350" s="42" t="n"/>
      <c r="I1350" s="40" t="n"/>
      <c r="J1350" s="40" t="n"/>
      <c r="K1350" s="40" t="n"/>
      <c r="L1350" s="30">
        <f>IF(COUNT(I1350:K1350)=0,"",MEDIAN(I1350:K1350))</f>
        <v/>
      </c>
      <c r="M1350" s="25">
        <f>IF(COUNTIFS($C:$C,$C1350,$D:$D,"P0(전)",$L:$L,"&gt;0")&lt;&gt;1,"P0(전) 유효 1개 아님",IF(COUNTIFS($C:$C,$C1350,$D:$D,"P0(후)",$L:$L,"&gt;0")&lt;&gt;1,"P0(후) 유효 1개 아님",IF(NOT(AND(ISNUMBER(N1350),ISNUMBER(P1350),ISNUMBER(H1350))),"시각 결측",IF(P1350&lt;=N1350,"P0 시각 역전",IF(OR(H1350&lt;N1350,H1350&gt;P1350),"측정시각 구간 밖","OK")))))</f>
        <v/>
      </c>
      <c r="N1350" s="45">
        <f>IF(COUNTIFS($C:$C,$C1350,$D:$D,"P0(전)",$L:$L,"&gt;0")&lt;&gt;1,"",SUMIFS($H:$H,$C:$C,$C1350,$D:$D,"P0(전)"))</f>
        <v/>
      </c>
      <c r="O1350" s="30">
        <f>IF(COUNTIFS($C:$C,$C1350,$D:$D,"P0(전)",$L:$L,"&gt;0")&lt;&gt;1,"",SUMIFS($L:$L,$C:$C,$C1350,$D:$D,"P0(전)"))</f>
        <v/>
      </c>
      <c r="P1350" s="45">
        <f>IF(COUNTIFS($C:$C,$C1350,$D:$D,"P0(후)",$L:$L,"&gt;0")&lt;&gt;1,"",SUMIFS($H:$H,$C:$C,$C1350,$D:$D,"P0(후)"))</f>
        <v/>
      </c>
      <c r="Q1350" s="30">
        <f>IF(COUNTIFS($C:$C,$C1350,$D:$D,"P0(후)",$L:$L,"&gt;0")&lt;&gt;1,"",SUMIFS($L:$L,$C:$C,$C1350,$D:$D,"P0(후)"))</f>
        <v/>
      </c>
      <c r="R1350" s="30">
        <f>IF(M1350&lt;&gt;"OK","",O1350+(Q1350-O1350)*(H1350-N1350)/(P1350-N1350))</f>
        <v/>
      </c>
      <c r="S1350" s="30">
        <f>IF(OR(M1350&lt;&gt;"OK",NOT(ISNUMBER(L1350))),"",L1350-R1350)</f>
        <v/>
      </c>
      <c r="T1350" s="46">
        <f>IF(OR(NOT(ISNUMBER(S1350)),IF(ISNUMBER(G1350),G1350,F1350)=0),"",S1350/IF(ISNUMBER(G1350),G1350,F1350))</f>
        <v/>
      </c>
      <c r="U1350" s="46">
        <f>IF(ISNUMBER(T1350),ABS(T1350),"")</f>
        <v/>
      </c>
      <c r="V1350" s="46">
        <f>IF(OR($D1349&lt;&gt;"측정",$C1349&lt;&gt;$C1350,NOT(ISNUMBER(L1350)),NOT(ISNUMBER(L1349)),(IF(ISNUMBER(G1350),G1350,F1350)-IF(ISNUMBER(G1349),G1349,F1349))=0),"",(L1350-L1349)/(IF(ISNUMBER(G1350),G1350,F1350)-IF(ISNUMBER(G1349),G1349,F1349)))</f>
        <v/>
      </c>
      <c r="W1350" s="30">
        <f>IF(NOT(AND(ISNUMBER(N1350),ISNUMBER(P1350))),"",(P1350-N1350)*1440)</f>
        <v/>
      </c>
      <c r="X1350" s="28" t="n"/>
      <c r="Y1350" s="28" t="n"/>
      <c r="Z1350" s="28" t="n"/>
      <c r="AA1350" s="31" t="n"/>
      <c r="AB1350" s="31" t="n"/>
    </row>
    <row r="1351">
      <c r="A1351" s="25" t="inlineStr">
        <is>
          <t>S26</t>
        </is>
      </c>
      <c r="B1351" s="25" t="inlineStr">
        <is>
          <t>고남 신규점2</t>
        </is>
      </c>
      <c r="C1351" s="25" t="inlineStr">
        <is>
          <t>S26-H북</t>
        </is>
      </c>
      <c r="D1351" s="25" t="inlineStr">
        <is>
          <t>측정</t>
        </is>
      </c>
      <c r="E1351" s="25" t="inlineStr">
        <is>
          <t>북</t>
        </is>
      </c>
      <c r="F1351" s="30" t="n">
        <v>6</v>
      </c>
      <c r="G1351" s="29" t="n"/>
      <c r="H1351" s="42" t="n"/>
      <c r="I1351" s="40" t="n"/>
      <c r="J1351" s="40" t="n"/>
      <c r="K1351" s="40" t="n"/>
      <c r="L1351" s="30">
        <f>IF(COUNT(I1351:K1351)=0,"",MEDIAN(I1351:K1351))</f>
        <v/>
      </c>
      <c r="M1351" s="25">
        <f>IF(COUNTIFS($C:$C,$C1351,$D:$D,"P0(전)",$L:$L,"&gt;0")&lt;&gt;1,"P0(전) 유효 1개 아님",IF(COUNTIFS($C:$C,$C1351,$D:$D,"P0(후)",$L:$L,"&gt;0")&lt;&gt;1,"P0(후) 유효 1개 아님",IF(NOT(AND(ISNUMBER(N1351),ISNUMBER(P1351),ISNUMBER(H1351))),"시각 결측",IF(P1351&lt;=N1351,"P0 시각 역전",IF(OR(H1351&lt;N1351,H1351&gt;P1351),"측정시각 구간 밖","OK")))))</f>
        <v/>
      </c>
      <c r="N1351" s="45">
        <f>IF(COUNTIFS($C:$C,$C1351,$D:$D,"P0(전)",$L:$L,"&gt;0")&lt;&gt;1,"",SUMIFS($H:$H,$C:$C,$C1351,$D:$D,"P0(전)"))</f>
        <v/>
      </c>
      <c r="O1351" s="30">
        <f>IF(COUNTIFS($C:$C,$C1351,$D:$D,"P0(전)",$L:$L,"&gt;0")&lt;&gt;1,"",SUMIFS($L:$L,$C:$C,$C1351,$D:$D,"P0(전)"))</f>
        <v/>
      </c>
      <c r="P1351" s="45">
        <f>IF(COUNTIFS($C:$C,$C1351,$D:$D,"P0(후)",$L:$L,"&gt;0")&lt;&gt;1,"",SUMIFS($H:$H,$C:$C,$C1351,$D:$D,"P0(후)"))</f>
        <v/>
      </c>
      <c r="Q1351" s="30">
        <f>IF(COUNTIFS($C:$C,$C1351,$D:$D,"P0(후)",$L:$L,"&gt;0")&lt;&gt;1,"",SUMIFS($L:$L,$C:$C,$C1351,$D:$D,"P0(후)"))</f>
        <v/>
      </c>
      <c r="R1351" s="30">
        <f>IF(M1351&lt;&gt;"OK","",O1351+(Q1351-O1351)*(H1351-N1351)/(P1351-N1351))</f>
        <v/>
      </c>
      <c r="S1351" s="30">
        <f>IF(OR(M1351&lt;&gt;"OK",NOT(ISNUMBER(L1351))),"",L1351-R1351)</f>
        <v/>
      </c>
      <c r="T1351" s="46">
        <f>IF(OR(NOT(ISNUMBER(S1351)),IF(ISNUMBER(G1351),G1351,F1351)=0),"",S1351/IF(ISNUMBER(G1351),G1351,F1351))</f>
        <v/>
      </c>
      <c r="U1351" s="46">
        <f>IF(ISNUMBER(T1351),ABS(T1351),"")</f>
        <v/>
      </c>
      <c r="V1351" s="46">
        <f>IF(OR($D1350&lt;&gt;"측정",$C1350&lt;&gt;$C1351,NOT(ISNUMBER(L1351)),NOT(ISNUMBER(L1350)),(IF(ISNUMBER(G1351),G1351,F1351)-IF(ISNUMBER(G1350),G1350,F1350))=0),"",(L1351-L1350)/(IF(ISNUMBER(G1351),G1351,F1351)-IF(ISNUMBER(G1350),G1350,F1350)))</f>
        <v/>
      </c>
      <c r="W1351" s="30">
        <f>IF(NOT(AND(ISNUMBER(N1351),ISNUMBER(P1351))),"",(P1351-N1351)*1440)</f>
        <v/>
      </c>
      <c r="X1351" s="28" t="n"/>
      <c r="Y1351" s="28" t="n"/>
      <c r="Z1351" s="28" t="n"/>
      <c r="AA1351" s="31" t="n"/>
      <c r="AB1351" s="31" t="n"/>
    </row>
    <row r="1352">
      <c r="A1352" s="25" t="inlineStr">
        <is>
          <t>S26</t>
        </is>
      </c>
      <c r="B1352" s="25" t="inlineStr">
        <is>
          <t>고남 신규점2</t>
        </is>
      </c>
      <c r="C1352" s="25" t="inlineStr">
        <is>
          <t>S26-H북</t>
        </is>
      </c>
      <c r="D1352" s="25" t="inlineStr">
        <is>
          <t>측정</t>
        </is>
      </c>
      <c r="E1352" s="25" t="inlineStr">
        <is>
          <t>북</t>
        </is>
      </c>
      <c r="F1352" s="30" t="n">
        <v>7</v>
      </c>
      <c r="G1352" s="29" t="n"/>
      <c r="H1352" s="42" t="n"/>
      <c r="I1352" s="40" t="n"/>
      <c r="J1352" s="40" t="n"/>
      <c r="K1352" s="40" t="n"/>
      <c r="L1352" s="30">
        <f>IF(COUNT(I1352:K1352)=0,"",MEDIAN(I1352:K1352))</f>
        <v/>
      </c>
      <c r="M1352" s="25">
        <f>IF(COUNTIFS($C:$C,$C1352,$D:$D,"P0(전)",$L:$L,"&gt;0")&lt;&gt;1,"P0(전) 유효 1개 아님",IF(COUNTIFS($C:$C,$C1352,$D:$D,"P0(후)",$L:$L,"&gt;0")&lt;&gt;1,"P0(후) 유효 1개 아님",IF(NOT(AND(ISNUMBER(N1352),ISNUMBER(P1352),ISNUMBER(H1352))),"시각 결측",IF(P1352&lt;=N1352,"P0 시각 역전",IF(OR(H1352&lt;N1352,H1352&gt;P1352),"측정시각 구간 밖","OK")))))</f>
        <v/>
      </c>
      <c r="N1352" s="45">
        <f>IF(COUNTIFS($C:$C,$C1352,$D:$D,"P0(전)",$L:$L,"&gt;0")&lt;&gt;1,"",SUMIFS($H:$H,$C:$C,$C1352,$D:$D,"P0(전)"))</f>
        <v/>
      </c>
      <c r="O1352" s="30">
        <f>IF(COUNTIFS($C:$C,$C1352,$D:$D,"P0(전)",$L:$L,"&gt;0")&lt;&gt;1,"",SUMIFS($L:$L,$C:$C,$C1352,$D:$D,"P0(전)"))</f>
        <v/>
      </c>
      <c r="P1352" s="45">
        <f>IF(COUNTIFS($C:$C,$C1352,$D:$D,"P0(후)",$L:$L,"&gt;0")&lt;&gt;1,"",SUMIFS($H:$H,$C:$C,$C1352,$D:$D,"P0(후)"))</f>
        <v/>
      </c>
      <c r="Q1352" s="30">
        <f>IF(COUNTIFS($C:$C,$C1352,$D:$D,"P0(후)",$L:$L,"&gt;0")&lt;&gt;1,"",SUMIFS($L:$L,$C:$C,$C1352,$D:$D,"P0(후)"))</f>
        <v/>
      </c>
      <c r="R1352" s="30">
        <f>IF(M1352&lt;&gt;"OK","",O1352+(Q1352-O1352)*(H1352-N1352)/(P1352-N1352))</f>
        <v/>
      </c>
      <c r="S1352" s="30">
        <f>IF(OR(M1352&lt;&gt;"OK",NOT(ISNUMBER(L1352))),"",L1352-R1352)</f>
        <v/>
      </c>
      <c r="T1352" s="46">
        <f>IF(OR(NOT(ISNUMBER(S1352)),IF(ISNUMBER(G1352),G1352,F1352)=0),"",S1352/IF(ISNUMBER(G1352),G1352,F1352))</f>
        <v/>
      </c>
      <c r="U1352" s="46">
        <f>IF(ISNUMBER(T1352),ABS(T1352),"")</f>
        <v/>
      </c>
      <c r="V1352" s="46">
        <f>IF(OR($D1351&lt;&gt;"측정",$C1351&lt;&gt;$C1352,NOT(ISNUMBER(L1352)),NOT(ISNUMBER(L1351)),(IF(ISNUMBER(G1352),G1352,F1352)-IF(ISNUMBER(G1351),G1351,F1351))=0),"",(L1352-L1351)/(IF(ISNUMBER(G1352),G1352,F1352)-IF(ISNUMBER(G1351),G1351,F1351)))</f>
        <v/>
      </c>
      <c r="W1352" s="30">
        <f>IF(NOT(AND(ISNUMBER(N1352),ISNUMBER(P1352))),"",(P1352-N1352)*1440)</f>
        <v/>
      </c>
      <c r="X1352" s="28" t="n"/>
      <c r="Y1352" s="28" t="n"/>
      <c r="Z1352" s="28" t="n"/>
      <c r="AA1352" s="31" t="n"/>
      <c r="AB1352" s="31" t="n"/>
    </row>
    <row r="1353">
      <c r="A1353" s="25" t="inlineStr">
        <is>
          <t>S26</t>
        </is>
      </c>
      <c r="B1353" s="25" t="inlineStr">
        <is>
          <t>고남 신규점2</t>
        </is>
      </c>
      <c r="C1353" s="25" t="inlineStr">
        <is>
          <t>S26-H북</t>
        </is>
      </c>
      <c r="D1353" s="25" t="inlineStr">
        <is>
          <t>측정</t>
        </is>
      </c>
      <c r="E1353" s="25" t="inlineStr">
        <is>
          <t>북</t>
        </is>
      </c>
      <c r="F1353" s="30" t="n">
        <v>8</v>
      </c>
      <c r="G1353" s="29" t="n"/>
      <c r="H1353" s="42" t="n"/>
      <c r="I1353" s="40" t="n"/>
      <c r="J1353" s="40" t="n"/>
      <c r="K1353" s="40" t="n"/>
      <c r="L1353" s="30">
        <f>IF(COUNT(I1353:K1353)=0,"",MEDIAN(I1353:K1353))</f>
        <v/>
      </c>
      <c r="M1353" s="25">
        <f>IF(COUNTIFS($C:$C,$C1353,$D:$D,"P0(전)",$L:$L,"&gt;0")&lt;&gt;1,"P0(전) 유효 1개 아님",IF(COUNTIFS($C:$C,$C1353,$D:$D,"P0(후)",$L:$L,"&gt;0")&lt;&gt;1,"P0(후) 유효 1개 아님",IF(NOT(AND(ISNUMBER(N1353),ISNUMBER(P1353),ISNUMBER(H1353))),"시각 결측",IF(P1353&lt;=N1353,"P0 시각 역전",IF(OR(H1353&lt;N1353,H1353&gt;P1353),"측정시각 구간 밖","OK")))))</f>
        <v/>
      </c>
      <c r="N1353" s="45">
        <f>IF(COUNTIFS($C:$C,$C1353,$D:$D,"P0(전)",$L:$L,"&gt;0")&lt;&gt;1,"",SUMIFS($H:$H,$C:$C,$C1353,$D:$D,"P0(전)"))</f>
        <v/>
      </c>
      <c r="O1353" s="30">
        <f>IF(COUNTIFS($C:$C,$C1353,$D:$D,"P0(전)",$L:$L,"&gt;0")&lt;&gt;1,"",SUMIFS($L:$L,$C:$C,$C1353,$D:$D,"P0(전)"))</f>
        <v/>
      </c>
      <c r="P1353" s="45">
        <f>IF(COUNTIFS($C:$C,$C1353,$D:$D,"P0(후)",$L:$L,"&gt;0")&lt;&gt;1,"",SUMIFS($H:$H,$C:$C,$C1353,$D:$D,"P0(후)"))</f>
        <v/>
      </c>
      <c r="Q1353" s="30">
        <f>IF(COUNTIFS($C:$C,$C1353,$D:$D,"P0(후)",$L:$L,"&gt;0")&lt;&gt;1,"",SUMIFS($L:$L,$C:$C,$C1353,$D:$D,"P0(후)"))</f>
        <v/>
      </c>
      <c r="R1353" s="30">
        <f>IF(M1353&lt;&gt;"OK","",O1353+(Q1353-O1353)*(H1353-N1353)/(P1353-N1353))</f>
        <v/>
      </c>
      <c r="S1353" s="30">
        <f>IF(OR(M1353&lt;&gt;"OK",NOT(ISNUMBER(L1353))),"",L1353-R1353)</f>
        <v/>
      </c>
      <c r="T1353" s="46">
        <f>IF(OR(NOT(ISNUMBER(S1353)),IF(ISNUMBER(G1353),G1353,F1353)=0),"",S1353/IF(ISNUMBER(G1353),G1353,F1353))</f>
        <v/>
      </c>
      <c r="U1353" s="46">
        <f>IF(ISNUMBER(T1353),ABS(T1353),"")</f>
        <v/>
      </c>
      <c r="V1353" s="46">
        <f>IF(OR($D1352&lt;&gt;"측정",$C1352&lt;&gt;$C1353,NOT(ISNUMBER(L1353)),NOT(ISNUMBER(L1352)),(IF(ISNUMBER(G1353),G1353,F1353)-IF(ISNUMBER(G1352),G1352,F1352))=0),"",(L1353-L1352)/(IF(ISNUMBER(G1353),G1353,F1353)-IF(ISNUMBER(G1352),G1352,F1352)))</f>
        <v/>
      </c>
      <c r="W1353" s="30">
        <f>IF(NOT(AND(ISNUMBER(N1353),ISNUMBER(P1353))),"",(P1353-N1353)*1440)</f>
        <v/>
      </c>
      <c r="X1353" s="28" t="n"/>
      <c r="Y1353" s="28" t="n"/>
      <c r="Z1353" s="28" t="n"/>
      <c r="AA1353" s="31" t="n"/>
      <c r="AB1353" s="31" t="n"/>
    </row>
    <row r="1354">
      <c r="A1354" s="25" t="inlineStr">
        <is>
          <t>S26</t>
        </is>
      </c>
      <c r="B1354" s="25" t="inlineStr">
        <is>
          <t>고남 신규점2</t>
        </is>
      </c>
      <c r="C1354" s="25" t="inlineStr">
        <is>
          <t>S26-H북</t>
        </is>
      </c>
      <c r="D1354" s="25" t="inlineStr">
        <is>
          <t>측정</t>
        </is>
      </c>
      <c r="E1354" s="25" t="inlineStr">
        <is>
          <t>북</t>
        </is>
      </c>
      <c r="F1354" s="30" t="n">
        <v>9</v>
      </c>
      <c r="G1354" s="29" t="n"/>
      <c r="H1354" s="42" t="n"/>
      <c r="I1354" s="40" t="n"/>
      <c r="J1354" s="40" t="n"/>
      <c r="K1354" s="40" t="n"/>
      <c r="L1354" s="30">
        <f>IF(COUNT(I1354:K1354)=0,"",MEDIAN(I1354:K1354))</f>
        <v/>
      </c>
      <c r="M1354" s="25">
        <f>IF(COUNTIFS($C:$C,$C1354,$D:$D,"P0(전)",$L:$L,"&gt;0")&lt;&gt;1,"P0(전) 유효 1개 아님",IF(COUNTIFS($C:$C,$C1354,$D:$D,"P0(후)",$L:$L,"&gt;0")&lt;&gt;1,"P0(후) 유효 1개 아님",IF(NOT(AND(ISNUMBER(N1354),ISNUMBER(P1354),ISNUMBER(H1354))),"시각 결측",IF(P1354&lt;=N1354,"P0 시각 역전",IF(OR(H1354&lt;N1354,H1354&gt;P1354),"측정시각 구간 밖","OK")))))</f>
        <v/>
      </c>
      <c r="N1354" s="45">
        <f>IF(COUNTIFS($C:$C,$C1354,$D:$D,"P0(전)",$L:$L,"&gt;0")&lt;&gt;1,"",SUMIFS($H:$H,$C:$C,$C1354,$D:$D,"P0(전)"))</f>
        <v/>
      </c>
      <c r="O1354" s="30">
        <f>IF(COUNTIFS($C:$C,$C1354,$D:$D,"P0(전)",$L:$L,"&gt;0")&lt;&gt;1,"",SUMIFS($L:$L,$C:$C,$C1354,$D:$D,"P0(전)"))</f>
        <v/>
      </c>
      <c r="P1354" s="45">
        <f>IF(COUNTIFS($C:$C,$C1354,$D:$D,"P0(후)",$L:$L,"&gt;0")&lt;&gt;1,"",SUMIFS($H:$H,$C:$C,$C1354,$D:$D,"P0(후)"))</f>
        <v/>
      </c>
      <c r="Q1354" s="30">
        <f>IF(COUNTIFS($C:$C,$C1354,$D:$D,"P0(후)",$L:$L,"&gt;0")&lt;&gt;1,"",SUMIFS($L:$L,$C:$C,$C1354,$D:$D,"P0(후)"))</f>
        <v/>
      </c>
      <c r="R1354" s="30">
        <f>IF(M1354&lt;&gt;"OK","",O1354+(Q1354-O1354)*(H1354-N1354)/(P1354-N1354))</f>
        <v/>
      </c>
      <c r="S1354" s="30">
        <f>IF(OR(M1354&lt;&gt;"OK",NOT(ISNUMBER(L1354))),"",L1354-R1354)</f>
        <v/>
      </c>
      <c r="T1354" s="46">
        <f>IF(OR(NOT(ISNUMBER(S1354)),IF(ISNUMBER(G1354),G1354,F1354)=0),"",S1354/IF(ISNUMBER(G1354),G1354,F1354))</f>
        <v/>
      </c>
      <c r="U1354" s="46">
        <f>IF(ISNUMBER(T1354),ABS(T1354),"")</f>
        <v/>
      </c>
      <c r="V1354" s="46">
        <f>IF(OR($D1353&lt;&gt;"측정",$C1353&lt;&gt;$C1354,NOT(ISNUMBER(L1354)),NOT(ISNUMBER(L1353)),(IF(ISNUMBER(G1354),G1354,F1354)-IF(ISNUMBER(G1353),G1353,F1353))=0),"",(L1354-L1353)/(IF(ISNUMBER(G1354),G1354,F1354)-IF(ISNUMBER(G1353),G1353,F1353)))</f>
        <v/>
      </c>
      <c r="W1354" s="30">
        <f>IF(NOT(AND(ISNUMBER(N1354),ISNUMBER(P1354))),"",(P1354-N1354)*1440)</f>
        <v/>
      </c>
      <c r="X1354" s="28" t="n"/>
      <c r="Y1354" s="28" t="n"/>
      <c r="Z1354" s="28" t="n"/>
      <c r="AA1354" s="31" t="n"/>
      <c r="AB1354" s="31" t="n"/>
    </row>
    <row r="1355">
      <c r="A1355" s="25" t="inlineStr">
        <is>
          <t>S26</t>
        </is>
      </c>
      <c r="B1355" s="25" t="inlineStr">
        <is>
          <t>고남 신규점2</t>
        </is>
      </c>
      <c r="C1355" s="25" t="inlineStr">
        <is>
          <t>S26-H북</t>
        </is>
      </c>
      <c r="D1355" s="25" t="inlineStr">
        <is>
          <t>측정</t>
        </is>
      </c>
      <c r="E1355" s="25" t="inlineStr">
        <is>
          <t>북</t>
        </is>
      </c>
      <c r="F1355" s="30" t="n">
        <v>10</v>
      </c>
      <c r="G1355" s="29" t="n"/>
      <c r="H1355" s="42" t="n"/>
      <c r="I1355" s="40" t="n"/>
      <c r="J1355" s="40" t="n"/>
      <c r="K1355" s="40" t="n"/>
      <c r="L1355" s="30">
        <f>IF(COUNT(I1355:K1355)=0,"",MEDIAN(I1355:K1355))</f>
        <v/>
      </c>
      <c r="M1355" s="25">
        <f>IF(COUNTIFS($C:$C,$C1355,$D:$D,"P0(전)",$L:$L,"&gt;0")&lt;&gt;1,"P0(전) 유효 1개 아님",IF(COUNTIFS($C:$C,$C1355,$D:$D,"P0(후)",$L:$L,"&gt;0")&lt;&gt;1,"P0(후) 유효 1개 아님",IF(NOT(AND(ISNUMBER(N1355),ISNUMBER(P1355),ISNUMBER(H1355))),"시각 결측",IF(P1355&lt;=N1355,"P0 시각 역전",IF(OR(H1355&lt;N1355,H1355&gt;P1355),"측정시각 구간 밖","OK")))))</f>
        <v/>
      </c>
      <c r="N1355" s="45">
        <f>IF(COUNTIFS($C:$C,$C1355,$D:$D,"P0(전)",$L:$L,"&gt;0")&lt;&gt;1,"",SUMIFS($H:$H,$C:$C,$C1355,$D:$D,"P0(전)"))</f>
        <v/>
      </c>
      <c r="O1355" s="30">
        <f>IF(COUNTIFS($C:$C,$C1355,$D:$D,"P0(전)",$L:$L,"&gt;0")&lt;&gt;1,"",SUMIFS($L:$L,$C:$C,$C1355,$D:$D,"P0(전)"))</f>
        <v/>
      </c>
      <c r="P1355" s="45">
        <f>IF(COUNTIFS($C:$C,$C1355,$D:$D,"P0(후)",$L:$L,"&gt;0")&lt;&gt;1,"",SUMIFS($H:$H,$C:$C,$C1355,$D:$D,"P0(후)"))</f>
        <v/>
      </c>
      <c r="Q1355" s="30">
        <f>IF(COUNTIFS($C:$C,$C1355,$D:$D,"P0(후)",$L:$L,"&gt;0")&lt;&gt;1,"",SUMIFS($L:$L,$C:$C,$C1355,$D:$D,"P0(후)"))</f>
        <v/>
      </c>
      <c r="R1355" s="30">
        <f>IF(M1355&lt;&gt;"OK","",O1355+(Q1355-O1355)*(H1355-N1355)/(P1355-N1355))</f>
        <v/>
      </c>
      <c r="S1355" s="30">
        <f>IF(OR(M1355&lt;&gt;"OK",NOT(ISNUMBER(L1355))),"",L1355-R1355)</f>
        <v/>
      </c>
      <c r="T1355" s="46">
        <f>IF(OR(NOT(ISNUMBER(S1355)),IF(ISNUMBER(G1355),G1355,F1355)=0),"",S1355/IF(ISNUMBER(G1355),G1355,F1355))</f>
        <v/>
      </c>
      <c r="U1355" s="46">
        <f>IF(ISNUMBER(T1355),ABS(T1355),"")</f>
        <v/>
      </c>
      <c r="V1355" s="46">
        <f>IF(OR($D1354&lt;&gt;"측정",$C1354&lt;&gt;$C1355,NOT(ISNUMBER(L1355)),NOT(ISNUMBER(L1354)),(IF(ISNUMBER(G1355),G1355,F1355)-IF(ISNUMBER(G1354),G1354,F1354))=0),"",(L1355-L1354)/(IF(ISNUMBER(G1355),G1355,F1355)-IF(ISNUMBER(G1354),G1354,F1354)))</f>
        <v/>
      </c>
      <c r="W1355" s="30">
        <f>IF(NOT(AND(ISNUMBER(N1355),ISNUMBER(P1355))),"",(P1355-N1355)*1440)</f>
        <v/>
      </c>
      <c r="X1355" s="28" t="n"/>
      <c r="Y1355" s="28" t="n"/>
      <c r="Z1355" s="28" t="n"/>
      <c r="AA1355" s="31" t="n"/>
      <c r="AB1355" s="31" t="n"/>
    </row>
    <row r="1356">
      <c r="A1356" s="43" t="inlineStr">
        <is>
          <t>S26</t>
        </is>
      </c>
      <c r="B1356" s="43" t="inlineStr">
        <is>
          <t>고남 신규점2</t>
        </is>
      </c>
      <c r="C1356" s="43" t="inlineStr">
        <is>
          <t>S26-H북</t>
        </is>
      </c>
      <c r="D1356" s="43" t="inlineStr">
        <is>
          <t>P0(후)</t>
        </is>
      </c>
      <c r="E1356" s="43" t="inlineStr">
        <is>
          <t>북</t>
        </is>
      </c>
      <c r="F1356" s="44" t="n"/>
      <c r="G1356" s="29" t="n"/>
      <c r="H1356" s="42" t="n"/>
      <c r="I1356" s="40" t="n"/>
      <c r="J1356" s="40" t="n"/>
      <c r="K1356" s="40" t="n"/>
      <c r="L1356" s="30">
        <f>IF(COUNT(I1356:K1356)=0,"",MEDIAN(I1356:K1356))</f>
        <v/>
      </c>
      <c r="M1356" s="37" t="n"/>
      <c r="N1356" s="37" t="n"/>
      <c r="O1356" s="37" t="n"/>
      <c r="P1356" s="37" t="n"/>
      <c r="Q1356" s="37" t="n"/>
      <c r="R1356" s="37" t="n"/>
      <c r="S1356" s="37" t="n"/>
      <c r="T1356" s="37" t="n"/>
      <c r="U1356" s="37" t="n"/>
      <c r="V1356" s="37" t="n"/>
      <c r="W1356" s="37" t="n"/>
      <c r="X1356" s="28" t="n"/>
      <c r="Y1356" s="28" t="n"/>
      <c r="Z1356" s="28" t="n"/>
      <c r="AA1356" s="31" t="n"/>
      <c r="AB1356" s="31" t="n"/>
    </row>
    <row r="1357">
      <c r="A1357" s="43" t="inlineStr">
        <is>
          <t>S27</t>
        </is>
      </c>
      <c r="B1357" s="43" t="inlineStr">
        <is>
          <t>전의 신규점</t>
        </is>
      </c>
      <c r="C1357" s="43" t="inlineStr">
        <is>
          <t>S27-H동</t>
        </is>
      </c>
      <c r="D1357" s="43" t="inlineStr">
        <is>
          <t>P0(전)</t>
        </is>
      </c>
      <c r="E1357" s="43" t="inlineStr">
        <is>
          <t>동</t>
        </is>
      </c>
      <c r="F1357" s="44" t="n"/>
      <c r="G1357" s="29" t="n"/>
      <c r="H1357" s="42" t="n"/>
      <c r="I1357" s="40" t="n"/>
      <c r="J1357" s="40" t="n"/>
      <c r="K1357" s="40" t="n"/>
      <c r="L1357" s="30">
        <f>IF(COUNT(I1357:K1357)=0,"",MEDIAN(I1357:K1357))</f>
        <v/>
      </c>
      <c r="M1357" s="37" t="n"/>
      <c r="N1357" s="37" t="n"/>
      <c r="O1357" s="37" t="n"/>
      <c r="P1357" s="37" t="n"/>
      <c r="Q1357" s="37" t="n"/>
      <c r="R1357" s="37" t="n"/>
      <c r="S1357" s="37" t="n"/>
      <c r="T1357" s="37" t="n"/>
      <c r="U1357" s="37" t="n"/>
      <c r="V1357" s="37" t="n"/>
      <c r="W1357" s="37" t="n"/>
      <c r="X1357" s="28" t="n"/>
      <c r="Y1357" s="28" t="n"/>
      <c r="Z1357" s="28" t="n"/>
      <c r="AA1357" s="31" t="n"/>
      <c r="AB1357" s="31" t="n"/>
    </row>
    <row r="1358">
      <c r="A1358" s="25" t="inlineStr">
        <is>
          <t>S27</t>
        </is>
      </c>
      <c r="B1358" s="25" t="inlineStr">
        <is>
          <t>전의 신규점</t>
        </is>
      </c>
      <c r="C1358" s="25" t="inlineStr">
        <is>
          <t>S27-H동</t>
        </is>
      </c>
      <c r="D1358" s="25" t="inlineStr">
        <is>
          <t>측정</t>
        </is>
      </c>
      <c r="E1358" s="25" t="inlineStr">
        <is>
          <t>동</t>
        </is>
      </c>
      <c r="F1358" s="30" t="n">
        <v>0.5</v>
      </c>
      <c r="G1358" s="29" t="n"/>
      <c r="H1358" s="42" t="n"/>
      <c r="I1358" s="40" t="n"/>
      <c r="J1358" s="40" t="n"/>
      <c r="K1358" s="40" t="n"/>
      <c r="L1358" s="30">
        <f>IF(COUNT(I1358:K1358)=0,"",MEDIAN(I1358:K1358))</f>
        <v/>
      </c>
      <c r="M1358" s="25">
        <f>IF(COUNTIFS($C:$C,$C1358,$D:$D,"P0(전)",$L:$L,"&gt;0")&lt;&gt;1,"P0(전) 유효 1개 아님",IF(COUNTIFS($C:$C,$C1358,$D:$D,"P0(후)",$L:$L,"&gt;0")&lt;&gt;1,"P0(후) 유효 1개 아님",IF(NOT(AND(ISNUMBER(N1358),ISNUMBER(P1358),ISNUMBER(H1358))),"시각 결측",IF(P1358&lt;=N1358,"P0 시각 역전",IF(OR(H1358&lt;N1358,H1358&gt;P1358),"측정시각 구간 밖","OK")))))</f>
        <v/>
      </c>
      <c r="N1358" s="45">
        <f>IF(COUNTIFS($C:$C,$C1358,$D:$D,"P0(전)",$L:$L,"&gt;0")&lt;&gt;1,"",SUMIFS($H:$H,$C:$C,$C1358,$D:$D,"P0(전)"))</f>
        <v/>
      </c>
      <c r="O1358" s="30">
        <f>IF(COUNTIFS($C:$C,$C1358,$D:$D,"P0(전)",$L:$L,"&gt;0")&lt;&gt;1,"",SUMIFS($L:$L,$C:$C,$C1358,$D:$D,"P0(전)"))</f>
        <v/>
      </c>
      <c r="P1358" s="45">
        <f>IF(COUNTIFS($C:$C,$C1358,$D:$D,"P0(후)",$L:$L,"&gt;0")&lt;&gt;1,"",SUMIFS($H:$H,$C:$C,$C1358,$D:$D,"P0(후)"))</f>
        <v/>
      </c>
      <c r="Q1358" s="30">
        <f>IF(COUNTIFS($C:$C,$C1358,$D:$D,"P0(후)",$L:$L,"&gt;0")&lt;&gt;1,"",SUMIFS($L:$L,$C:$C,$C1358,$D:$D,"P0(후)"))</f>
        <v/>
      </c>
      <c r="R1358" s="30">
        <f>IF(M1358&lt;&gt;"OK","",O1358+(Q1358-O1358)*(H1358-N1358)/(P1358-N1358))</f>
        <v/>
      </c>
      <c r="S1358" s="30">
        <f>IF(OR(M1358&lt;&gt;"OK",NOT(ISNUMBER(L1358))),"",L1358-R1358)</f>
        <v/>
      </c>
      <c r="T1358" s="46">
        <f>IF(OR(NOT(ISNUMBER(S1358)),IF(ISNUMBER(G1358),G1358,F1358)=0),"",S1358/IF(ISNUMBER(G1358),G1358,F1358))</f>
        <v/>
      </c>
      <c r="U1358" s="46">
        <f>IF(ISNUMBER(T1358),ABS(T1358),"")</f>
        <v/>
      </c>
      <c r="V1358" s="46">
        <f>IF(OR($D1357&lt;&gt;"측정",$C1357&lt;&gt;$C1358,NOT(ISNUMBER(L1358)),NOT(ISNUMBER(L1357)),(IF(ISNUMBER(G1358),G1358,F1358)-IF(ISNUMBER(G1357),G1357,F1357))=0),"",(L1358-L1357)/(IF(ISNUMBER(G1358),G1358,F1358)-IF(ISNUMBER(G1357),G1357,F1357)))</f>
        <v/>
      </c>
      <c r="W1358" s="30">
        <f>IF(NOT(AND(ISNUMBER(N1358),ISNUMBER(P1358))),"",(P1358-N1358)*1440)</f>
        <v/>
      </c>
      <c r="X1358" s="28" t="n"/>
      <c r="Y1358" s="28" t="n"/>
      <c r="Z1358" s="28" t="n"/>
      <c r="AA1358" s="31" t="n"/>
      <c r="AB1358" s="31" t="n"/>
    </row>
    <row r="1359">
      <c r="A1359" s="25" t="inlineStr">
        <is>
          <t>S27</t>
        </is>
      </c>
      <c r="B1359" s="25" t="inlineStr">
        <is>
          <t>전의 신규점</t>
        </is>
      </c>
      <c r="C1359" s="25" t="inlineStr">
        <is>
          <t>S27-H동</t>
        </is>
      </c>
      <c r="D1359" s="25" t="inlineStr">
        <is>
          <t>측정</t>
        </is>
      </c>
      <c r="E1359" s="25" t="inlineStr">
        <is>
          <t>동</t>
        </is>
      </c>
      <c r="F1359" s="30" t="n">
        <v>1</v>
      </c>
      <c r="G1359" s="29" t="n"/>
      <c r="H1359" s="42" t="n"/>
      <c r="I1359" s="40" t="n"/>
      <c r="J1359" s="40" t="n"/>
      <c r="K1359" s="40" t="n"/>
      <c r="L1359" s="30">
        <f>IF(COUNT(I1359:K1359)=0,"",MEDIAN(I1359:K1359))</f>
        <v/>
      </c>
      <c r="M1359" s="25">
        <f>IF(COUNTIFS($C:$C,$C1359,$D:$D,"P0(전)",$L:$L,"&gt;0")&lt;&gt;1,"P0(전) 유효 1개 아님",IF(COUNTIFS($C:$C,$C1359,$D:$D,"P0(후)",$L:$L,"&gt;0")&lt;&gt;1,"P0(후) 유효 1개 아님",IF(NOT(AND(ISNUMBER(N1359),ISNUMBER(P1359),ISNUMBER(H1359))),"시각 결측",IF(P1359&lt;=N1359,"P0 시각 역전",IF(OR(H1359&lt;N1359,H1359&gt;P1359),"측정시각 구간 밖","OK")))))</f>
        <v/>
      </c>
      <c r="N1359" s="45">
        <f>IF(COUNTIFS($C:$C,$C1359,$D:$D,"P0(전)",$L:$L,"&gt;0")&lt;&gt;1,"",SUMIFS($H:$H,$C:$C,$C1359,$D:$D,"P0(전)"))</f>
        <v/>
      </c>
      <c r="O1359" s="30">
        <f>IF(COUNTIFS($C:$C,$C1359,$D:$D,"P0(전)",$L:$L,"&gt;0")&lt;&gt;1,"",SUMIFS($L:$L,$C:$C,$C1359,$D:$D,"P0(전)"))</f>
        <v/>
      </c>
      <c r="P1359" s="45">
        <f>IF(COUNTIFS($C:$C,$C1359,$D:$D,"P0(후)",$L:$L,"&gt;0")&lt;&gt;1,"",SUMIFS($H:$H,$C:$C,$C1359,$D:$D,"P0(후)"))</f>
        <v/>
      </c>
      <c r="Q1359" s="30">
        <f>IF(COUNTIFS($C:$C,$C1359,$D:$D,"P0(후)",$L:$L,"&gt;0")&lt;&gt;1,"",SUMIFS($L:$L,$C:$C,$C1359,$D:$D,"P0(후)"))</f>
        <v/>
      </c>
      <c r="R1359" s="30">
        <f>IF(M1359&lt;&gt;"OK","",O1359+(Q1359-O1359)*(H1359-N1359)/(P1359-N1359))</f>
        <v/>
      </c>
      <c r="S1359" s="30">
        <f>IF(OR(M1359&lt;&gt;"OK",NOT(ISNUMBER(L1359))),"",L1359-R1359)</f>
        <v/>
      </c>
      <c r="T1359" s="46">
        <f>IF(OR(NOT(ISNUMBER(S1359)),IF(ISNUMBER(G1359),G1359,F1359)=0),"",S1359/IF(ISNUMBER(G1359),G1359,F1359))</f>
        <v/>
      </c>
      <c r="U1359" s="46">
        <f>IF(ISNUMBER(T1359),ABS(T1359),"")</f>
        <v/>
      </c>
      <c r="V1359" s="46">
        <f>IF(OR($D1358&lt;&gt;"측정",$C1358&lt;&gt;$C1359,NOT(ISNUMBER(L1359)),NOT(ISNUMBER(L1358)),(IF(ISNUMBER(G1359),G1359,F1359)-IF(ISNUMBER(G1358),G1358,F1358))=0),"",(L1359-L1358)/(IF(ISNUMBER(G1359),G1359,F1359)-IF(ISNUMBER(G1358),G1358,F1358)))</f>
        <v/>
      </c>
      <c r="W1359" s="30">
        <f>IF(NOT(AND(ISNUMBER(N1359),ISNUMBER(P1359))),"",(P1359-N1359)*1440)</f>
        <v/>
      </c>
      <c r="X1359" s="28" t="n"/>
      <c r="Y1359" s="28" t="n"/>
      <c r="Z1359" s="28" t="n"/>
      <c r="AA1359" s="31" t="n"/>
      <c r="AB1359" s="31" t="n"/>
    </row>
    <row r="1360">
      <c r="A1360" s="25" t="inlineStr">
        <is>
          <t>S27</t>
        </is>
      </c>
      <c r="B1360" s="25" t="inlineStr">
        <is>
          <t>전의 신규점</t>
        </is>
      </c>
      <c r="C1360" s="25" t="inlineStr">
        <is>
          <t>S27-H동</t>
        </is>
      </c>
      <c r="D1360" s="25" t="inlineStr">
        <is>
          <t>측정</t>
        </is>
      </c>
      <c r="E1360" s="25" t="inlineStr">
        <is>
          <t>동</t>
        </is>
      </c>
      <c r="F1360" s="30" t="n">
        <v>2</v>
      </c>
      <c r="G1360" s="29" t="n"/>
      <c r="H1360" s="42" t="n"/>
      <c r="I1360" s="40" t="n"/>
      <c r="J1360" s="40" t="n"/>
      <c r="K1360" s="40" t="n"/>
      <c r="L1360" s="30">
        <f>IF(COUNT(I1360:K1360)=0,"",MEDIAN(I1360:K1360))</f>
        <v/>
      </c>
      <c r="M1360" s="25">
        <f>IF(COUNTIFS($C:$C,$C1360,$D:$D,"P0(전)",$L:$L,"&gt;0")&lt;&gt;1,"P0(전) 유효 1개 아님",IF(COUNTIFS($C:$C,$C1360,$D:$D,"P0(후)",$L:$L,"&gt;0")&lt;&gt;1,"P0(후) 유효 1개 아님",IF(NOT(AND(ISNUMBER(N1360),ISNUMBER(P1360),ISNUMBER(H1360))),"시각 결측",IF(P1360&lt;=N1360,"P0 시각 역전",IF(OR(H1360&lt;N1360,H1360&gt;P1360),"측정시각 구간 밖","OK")))))</f>
        <v/>
      </c>
      <c r="N1360" s="45">
        <f>IF(COUNTIFS($C:$C,$C1360,$D:$D,"P0(전)",$L:$L,"&gt;0")&lt;&gt;1,"",SUMIFS($H:$H,$C:$C,$C1360,$D:$D,"P0(전)"))</f>
        <v/>
      </c>
      <c r="O1360" s="30">
        <f>IF(COUNTIFS($C:$C,$C1360,$D:$D,"P0(전)",$L:$L,"&gt;0")&lt;&gt;1,"",SUMIFS($L:$L,$C:$C,$C1360,$D:$D,"P0(전)"))</f>
        <v/>
      </c>
      <c r="P1360" s="45">
        <f>IF(COUNTIFS($C:$C,$C1360,$D:$D,"P0(후)",$L:$L,"&gt;0")&lt;&gt;1,"",SUMIFS($H:$H,$C:$C,$C1360,$D:$D,"P0(후)"))</f>
        <v/>
      </c>
      <c r="Q1360" s="30">
        <f>IF(COUNTIFS($C:$C,$C1360,$D:$D,"P0(후)",$L:$L,"&gt;0")&lt;&gt;1,"",SUMIFS($L:$L,$C:$C,$C1360,$D:$D,"P0(후)"))</f>
        <v/>
      </c>
      <c r="R1360" s="30">
        <f>IF(M1360&lt;&gt;"OK","",O1360+(Q1360-O1360)*(H1360-N1360)/(P1360-N1360))</f>
        <v/>
      </c>
      <c r="S1360" s="30">
        <f>IF(OR(M1360&lt;&gt;"OK",NOT(ISNUMBER(L1360))),"",L1360-R1360)</f>
        <v/>
      </c>
      <c r="T1360" s="46">
        <f>IF(OR(NOT(ISNUMBER(S1360)),IF(ISNUMBER(G1360),G1360,F1360)=0),"",S1360/IF(ISNUMBER(G1360),G1360,F1360))</f>
        <v/>
      </c>
      <c r="U1360" s="46">
        <f>IF(ISNUMBER(T1360),ABS(T1360),"")</f>
        <v/>
      </c>
      <c r="V1360" s="46">
        <f>IF(OR($D1359&lt;&gt;"측정",$C1359&lt;&gt;$C1360,NOT(ISNUMBER(L1360)),NOT(ISNUMBER(L1359)),(IF(ISNUMBER(G1360),G1360,F1360)-IF(ISNUMBER(G1359),G1359,F1359))=0),"",(L1360-L1359)/(IF(ISNUMBER(G1360),G1360,F1360)-IF(ISNUMBER(G1359),G1359,F1359)))</f>
        <v/>
      </c>
      <c r="W1360" s="30">
        <f>IF(NOT(AND(ISNUMBER(N1360),ISNUMBER(P1360))),"",(P1360-N1360)*1440)</f>
        <v/>
      </c>
      <c r="X1360" s="28" t="n"/>
      <c r="Y1360" s="28" t="n"/>
      <c r="Z1360" s="28" t="n"/>
      <c r="AA1360" s="31" t="n"/>
      <c r="AB1360" s="31" t="n"/>
    </row>
    <row r="1361">
      <c r="A1361" s="25" t="inlineStr">
        <is>
          <t>S27</t>
        </is>
      </c>
      <c r="B1361" s="25" t="inlineStr">
        <is>
          <t>전의 신규점</t>
        </is>
      </c>
      <c r="C1361" s="25" t="inlineStr">
        <is>
          <t>S27-H동</t>
        </is>
      </c>
      <c r="D1361" s="25" t="inlineStr">
        <is>
          <t>측정</t>
        </is>
      </c>
      <c r="E1361" s="25" t="inlineStr">
        <is>
          <t>동</t>
        </is>
      </c>
      <c r="F1361" s="30" t="n">
        <v>3</v>
      </c>
      <c r="G1361" s="29" t="n"/>
      <c r="H1361" s="42" t="n"/>
      <c r="I1361" s="40" t="n"/>
      <c r="J1361" s="40" t="n"/>
      <c r="K1361" s="40" t="n"/>
      <c r="L1361" s="30">
        <f>IF(COUNT(I1361:K1361)=0,"",MEDIAN(I1361:K1361))</f>
        <v/>
      </c>
      <c r="M1361" s="25">
        <f>IF(COUNTIFS($C:$C,$C1361,$D:$D,"P0(전)",$L:$L,"&gt;0")&lt;&gt;1,"P0(전) 유효 1개 아님",IF(COUNTIFS($C:$C,$C1361,$D:$D,"P0(후)",$L:$L,"&gt;0")&lt;&gt;1,"P0(후) 유효 1개 아님",IF(NOT(AND(ISNUMBER(N1361),ISNUMBER(P1361),ISNUMBER(H1361))),"시각 결측",IF(P1361&lt;=N1361,"P0 시각 역전",IF(OR(H1361&lt;N1361,H1361&gt;P1361),"측정시각 구간 밖","OK")))))</f>
        <v/>
      </c>
      <c r="N1361" s="45">
        <f>IF(COUNTIFS($C:$C,$C1361,$D:$D,"P0(전)",$L:$L,"&gt;0")&lt;&gt;1,"",SUMIFS($H:$H,$C:$C,$C1361,$D:$D,"P0(전)"))</f>
        <v/>
      </c>
      <c r="O1361" s="30">
        <f>IF(COUNTIFS($C:$C,$C1361,$D:$D,"P0(전)",$L:$L,"&gt;0")&lt;&gt;1,"",SUMIFS($L:$L,$C:$C,$C1361,$D:$D,"P0(전)"))</f>
        <v/>
      </c>
      <c r="P1361" s="45">
        <f>IF(COUNTIFS($C:$C,$C1361,$D:$D,"P0(후)",$L:$L,"&gt;0")&lt;&gt;1,"",SUMIFS($H:$H,$C:$C,$C1361,$D:$D,"P0(후)"))</f>
        <v/>
      </c>
      <c r="Q1361" s="30">
        <f>IF(COUNTIFS($C:$C,$C1361,$D:$D,"P0(후)",$L:$L,"&gt;0")&lt;&gt;1,"",SUMIFS($L:$L,$C:$C,$C1361,$D:$D,"P0(후)"))</f>
        <v/>
      </c>
      <c r="R1361" s="30">
        <f>IF(M1361&lt;&gt;"OK","",O1361+(Q1361-O1361)*(H1361-N1361)/(P1361-N1361))</f>
        <v/>
      </c>
      <c r="S1361" s="30">
        <f>IF(OR(M1361&lt;&gt;"OK",NOT(ISNUMBER(L1361))),"",L1361-R1361)</f>
        <v/>
      </c>
      <c r="T1361" s="46">
        <f>IF(OR(NOT(ISNUMBER(S1361)),IF(ISNUMBER(G1361),G1361,F1361)=0),"",S1361/IF(ISNUMBER(G1361),G1361,F1361))</f>
        <v/>
      </c>
      <c r="U1361" s="46">
        <f>IF(ISNUMBER(T1361),ABS(T1361),"")</f>
        <v/>
      </c>
      <c r="V1361" s="46">
        <f>IF(OR($D1360&lt;&gt;"측정",$C1360&lt;&gt;$C1361,NOT(ISNUMBER(L1361)),NOT(ISNUMBER(L1360)),(IF(ISNUMBER(G1361),G1361,F1361)-IF(ISNUMBER(G1360),G1360,F1360))=0),"",(L1361-L1360)/(IF(ISNUMBER(G1361),G1361,F1361)-IF(ISNUMBER(G1360),G1360,F1360)))</f>
        <v/>
      </c>
      <c r="W1361" s="30">
        <f>IF(NOT(AND(ISNUMBER(N1361),ISNUMBER(P1361))),"",(P1361-N1361)*1440)</f>
        <v/>
      </c>
      <c r="X1361" s="28" t="n"/>
      <c r="Y1361" s="28" t="n"/>
      <c r="Z1361" s="28" t="n"/>
      <c r="AA1361" s="31" t="n"/>
      <c r="AB1361" s="31" t="n"/>
    </row>
    <row r="1362">
      <c r="A1362" s="25" t="inlineStr">
        <is>
          <t>S27</t>
        </is>
      </c>
      <c r="B1362" s="25" t="inlineStr">
        <is>
          <t>전의 신규점</t>
        </is>
      </c>
      <c r="C1362" s="25" t="inlineStr">
        <is>
          <t>S27-H동</t>
        </is>
      </c>
      <c r="D1362" s="25" t="inlineStr">
        <is>
          <t>측정</t>
        </is>
      </c>
      <c r="E1362" s="25" t="inlineStr">
        <is>
          <t>동</t>
        </is>
      </c>
      <c r="F1362" s="30" t="n">
        <v>4</v>
      </c>
      <c r="G1362" s="29" t="n"/>
      <c r="H1362" s="42" t="n"/>
      <c r="I1362" s="40" t="n"/>
      <c r="J1362" s="40" t="n"/>
      <c r="K1362" s="40" t="n"/>
      <c r="L1362" s="30">
        <f>IF(COUNT(I1362:K1362)=0,"",MEDIAN(I1362:K1362))</f>
        <v/>
      </c>
      <c r="M1362" s="25">
        <f>IF(COUNTIFS($C:$C,$C1362,$D:$D,"P0(전)",$L:$L,"&gt;0")&lt;&gt;1,"P0(전) 유효 1개 아님",IF(COUNTIFS($C:$C,$C1362,$D:$D,"P0(후)",$L:$L,"&gt;0")&lt;&gt;1,"P0(후) 유효 1개 아님",IF(NOT(AND(ISNUMBER(N1362),ISNUMBER(P1362),ISNUMBER(H1362))),"시각 결측",IF(P1362&lt;=N1362,"P0 시각 역전",IF(OR(H1362&lt;N1362,H1362&gt;P1362),"측정시각 구간 밖","OK")))))</f>
        <v/>
      </c>
      <c r="N1362" s="45">
        <f>IF(COUNTIFS($C:$C,$C1362,$D:$D,"P0(전)",$L:$L,"&gt;0")&lt;&gt;1,"",SUMIFS($H:$H,$C:$C,$C1362,$D:$D,"P0(전)"))</f>
        <v/>
      </c>
      <c r="O1362" s="30">
        <f>IF(COUNTIFS($C:$C,$C1362,$D:$D,"P0(전)",$L:$L,"&gt;0")&lt;&gt;1,"",SUMIFS($L:$L,$C:$C,$C1362,$D:$D,"P0(전)"))</f>
        <v/>
      </c>
      <c r="P1362" s="45">
        <f>IF(COUNTIFS($C:$C,$C1362,$D:$D,"P0(후)",$L:$L,"&gt;0")&lt;&gt;1,"",SUMIFS($H:$H,$C:$C,$C1362,$D:$D,"P0(후)"))</f>
        <v/>
      </c>
      <c r="Q1362" s="30">
        <f>IF(COUNTIFS($C:$C,$C1362,$D:$D,"P0(후)",$L:$L,"&gt;0")&lt;&gt;1,"",SUMIFS($L:$L,$C:$C,$C1362,$D:$D,"P0(후)"))</f>
        <v/>
      </c>
      <c r="R1362" s="30">
        <f>IF(M1362&lt;&gt;"OK","",O1362+(Q1362-O1362)*(H1362-N1362)/(P1362-N1362))</f>
        <v/>
      </c>
      <c r="S1362" s="30">
        <f>IF(OR(M1362&lt;&gt;"OK",NOT(ISNUMBER(L1362))),"",L1362-R1362)</f>
        <v/>
      </c>
      <c r="T1362" s="46">
        <f>IF(OR(NOT(ISNUMBER(S1362)),IF(ISNUMBER(G1362),G1362,F1362)=0),"",S1362/IF(ISNUMBER(G1362),G1362,F1362))</f>
        <v/>
      </c>
      <c r="U1362" s="46">
        <f>IF(ISNUMBER(T1362),ABS(T1362),"")</f>
        <v/>
      </c>
      <c r="V1362" s="46">
        <f>IF(OR($D1361&lt;&gt;"측정",$C1361&lt;&gt;$C1362,NOT(ISNUMBER(L1362)),NOT(ISNUMBER(L1361)),(IF(ISNUMBER(G1362),G1362,F1362)-IF(ISNUMBER(G1361),G1361,F1361))=0),"",(L1362-L1361)/(IF(ISNUMBER(G1362),G1362,F1362)-IF(ISNUMBER(G1361),G1361,F1361)))</f>
        <v/>
      </c>
      <c r="W1362" s="30">
        <f>IF(NOT(AND(ISNUMBER(N1362),ISNUMBER(P1362))),"",(P1362-N1362)*1440)</f>
        <v/>
      </c>
      <c r="X1362" s="28" t="n"/>
      <c r="Y1362" s="28" t="n"/>
      <c r="Z1362" s="28" t="n"/>
      <c r="AA1362" s="31" t="n"/>
      <c r="AB1362" s="31" t="n"/>
    </row>
    <row r="1363">
      <c r="A1363" s="25" t="inlineStr">
        <is>
          <t>S27</t>
        </is>
      </c>
      <c r="B1363" s="25" t="inlineStr">
        <is>
          <t>전의 신규점</t>
        </is>
      </c>
      <c r="C1363" s="25" t="inlineStr">
        <is>
          <t>S27-H동</t>
        </is>
      </c>
      <c r="D1363" s="25" t="inlineStr">
        <is>
          <t>측정</t>
        </is>
      </c>
      <c r="E1363" s="25" t="inlineStr">
        <is>
          <t>동</t>
        </is>
      </c>
      <c r="F1363" s="30" t="n">
        <v>5</v>
      </c>
      <c r="G1363" s="29" t="n"/>
      <c r="H1363" s="42" t="n"/>
      <c r="I1363" s="40" t="n"/>
      <c r="J1363" s="40" t="n"/>
      <c r="K1363" s="40" t="n"/>
      <c r="L1363" s="30">
        <f>IF(COUNT(I1363:K1363)=0,"",MEDIAN(I1363:K1363))</f>
        <v/>
      </c>
      <c r="M1363" s="25">
        <f>IF(COUNTIFS($C:$C,$C1363,$D:$D,"P0(전)",$L:$L,"&gt;0")&lt;&gt;1,"P0(전) 유효 1개 아님",IF(COUNTIFS($C:$C,$C1363,$D:$D,"P0(후)",$L:$L,"&gt;0")&lt;&gt;1,"P0(후) 유효 1개 아님",IF(NOT(AND(ISNUMBER(N1363),ISNUMBER(P1363),ISNUMBER(H1363))),"시각 결측",IF(P1363&lt;=N1363,"P0 시각 역전",IF(OR(H1363&lt;N1363,H1363&gt;P1363),"측정시각 구간 밖","OK")))))</f>
        <v/>
      </c>
      <c r="N1363" s="45">
        <f>IF(COUNTIFS($C:$C,$C1363,$D:$D,"P0(전)",$L:$L,"&gt;0")&lt;&gt;1,"",SUMIFS($H:$H,$C:$C,$C1363,$D:$D,"P0(전)"))</f>
        <v/>
      </c>
      <c r="O1363" s="30">
        <f>IF(COUNTIFS($C:$C,$C1363,$D:$D,"P0(전)",$L:$L,"&gt;0")&lt;&gt;1,"",SUMIFS($L:$L,$C:$C,$C1363,$D:$D,"P0(전)"))</f>
        <v/>
      </c>
      <c r="P1363" s="45">
        <f>IF(COUNTIFS($C:$C,$C1363,$D:$D,"P0(후)",$L:$L,"&gt;0")&lt;&gt;1,"",SUMIFS($H:$H,$C:$C,$C1363,$D:$D,"P0(후)"))</f>
        <v/>
      </c>
      <c r="Q1363" s="30">
        <f>IF(COUNTIFS($C:$C,$C1363,$D:$D,"P0(후)",$L:$L,"&gt;0")&lt;&gt;1,"",SUMIFS($L:$L,$C:$C,$C1363,$D:$D,"P0(후)"))</f>
        <v/>
      </c>
      <c r="R1363" s="30">
        <f>IF(M1363&lt;&gt;"OK","",O1363+(Q1363-O1363)*(H1363-N1363)/(P1363-N1363))</f>
        <v/>
      </c>
      <c r="S1363" s="30">
        <f>IF(OR(M1363&lt;&gt;"OK",NOT(ISNUMBER(L1363))),"",L1363-R1363)</f>
        <v/>
      </c>
      <c r="T1363" s="46">
        <f>IF(OR(NOT(ISNUMBER(S1363)),IF(ISNUMBER(G1363),G1363,F1363)=0),"",S1363/IF(ISNUMBER(G1363),G1363,F1363))</f>
        <v/>
      </c>
      <c r="U1363" s="46">
        <f>IF(ISNUMBER(T1363),ABS(T1363),"")</f>
        <v/>
      </c>
      <c r="V1363" s="46">
        <f>IF(OR($D1362&lt;&gt;"측정",$C1362&lt;&gt;$C1363,NOT(ISNUMBER(L1363)),NOT(ISNUMBER(L1362)),(IF(ISNUMBER(G1363),G1363,F1363)-IF(ISNUMBER(G1362),G1362,F1362))=0),"",(L1363-L1362)/(IF(ISNUMBER(G1363),G1363,F1363)-IF(ISNUMBER(G1362),G1362,F1362)))</f>
        <v/>
      </c>
      <c r="W1363" s="30">
        <f>IF(NOT(AND(ISNUMBER(N1363),ISNUMBER(P1363))),"",(P1363-N1363)*1440)</f>
        <v/>
      </c>
      <c r="X1363" s="28" t="n"/>
      <c r="Y1363" s="28" t="n"/>
      <c r="Z1363" s="28" t="n"/>
      <c r="AA1363" s="31" t="n"/>
      <c r="AB1363" s="31" t="n"/>
    </row>
    <row r="1364">
      <c r="A1364" s="25" t="inlineStr">
        <is>
          <t>S27</t>
        </is>
      </c>
      <c r="B1364" s="25" t="inlineStr">
        <is>
          <t>전의 신규점</t>
        </is>
      </c>
      <c r="C1364" s="25" t="inlineStr">
        <is>
          <t>S27-H동</t>
        </is>
      </c>
      <c r="D1364" s="25" t="inlineStr">
        <is>
          <t>측정</t>
        </is>
      </c>
      <c r="E1364" s="25" t="inlineStr">
        <is>
          <t>동</t>
        </is>
      </c>
      <c r="F1364" s="30" t="n">
        <v>6</v>
      </c>
      <c r="G1364" s="29" t="n"/>
      <c r="H1364" s="42" t="n"/>
      <c r="I1364" s="40" t="n"/>
      <c r="J1364" s="40" t="n"/>
      <c r="K1364" s="40" t="n"/>
      <c r="L1364" s="30">
        <f>IF(COUNT(I1364:K1364)=0,"",MEDIAN(I1364:K1364))</f>
        <v/>
      </c>
      <c r="M1364" s="25">
        <f>IF(COUNTIFS($C:$C,$C1364,$D:$D,"P0(전)",$L:$L,"&gt;0")&lt;&gt;1,"P0(전) 유효 1개 아님",IF(COUNTIFS($C:$C,$C1364,$D:$D,"P0(후)",$L:$L,"&gt;0")&lt;&gt;1,"P0(후) 유효 1개 아님",IF(NOT(AND(ISNUMBER(N1364),ISNUMBER(P1364),ISNUMBER(H1364))),"시각 결측",IF(P1364&lt;=N1364,"P0 시각 역전",IF(OR(H1364&lt;N1364,H1364&gt;P1364),"측정시각 구간 밖","OK")))))</f>
        <v/>
      </c>
      <c r="N1364" s="45">
        <f>IF(COUNTIFS($C:$C,$C1364,$D:$D,"P0(전)",$L:$L,"&gt;0")&lt;&gt;1,"",SUMIFS($H:$H,$C:$C,$C1364,$D:$D,"P0(전)"))</f>
        <v/>
      </c>
      <c r="O1364" s="30">
        <f>IF(COUNTIFS($C:$C,$C1364,$D:$D,"P0(전)",$L:$L,"&gt;0")&lt;&gt;1,"",SUMIFS($L:$L,$C:$C,$C1364,$D:$D,"P0(전)"))</f>
        <v/>
      </c>
      <c r="P1364" s="45">
        <f>IF(COUNTIFS($C:$C,$C1364,$D:$D,"P0(후)",$L:$L,"&gt;0")&lt;&gt;1,"",SUMIFS($H:$H,$C:$C,$C1364,$D:$D,"P0(후)"))</f>
        <v/>
      </c>
      <c r="Q1364" s="30">
        <f>IF(COUNTIFS($C:$C,$C1364,$D:$D,"P0(후)",$L:$L,"&gt;0")&lt;&gt;1,"",SUMIFS($L:$L,$C:$C,$C1364,$D:$D,"P0(후)"))</f>
        <v/>
      </c>
      <c r="R1364" s="30">
        <f>IF(M1364&lt;&gt;"OK","",O1364+(Q1364-O1364)*(H1364-N1364)/(P1364-N1364))</f>
        <v/>
      </c>
      <c r="S1364" s="30">
        <f>IF(OR(M1364&lt;&gt;"OK",NOT(ISNUMBER(L1364))),"",L1364-R1364)</f>
        <v/>
      </c>
      <c r="T1364" s="46">
        <f>IF(OR(NOT(ISNUMBER(S1364)),IF(ISNUMBER(G1364),G1364,F1364)=0),"",S1364/IF(ISNUMBER(G1364),G1364,F1364))</f>
        <v/>
      </c>
      <c r="U1364" s="46">
        <f>IF(ISNUMBER(T1364),ABS(T1364),"")</f>
        <v/>
      </c>
      <c r="V1364" s="46">
        <f>IF(OR($D1363&lt;&gt;"측정",$C1363&lt;&gt;$C1364,NOT(ISNUMBER(L1364)),NOT(ISNUMBER(L1363)),(IF(ISNUMBER(G1364),G1364,F1364)-IF(ISNUMBER(G1363),G1363,F1363))=0),"",(L1364-L1363)/(IF(ISNUMBER(G1364),G1364,F1364)-IF(ISNUMBER(G1363),G1363,F1363)))</f>
        <v/>
      </c>
      <c r="W1364" s="30">
        <f>IF(NOT(AND(ISNUMBER(N1364),ISNUMBER(P1364))),"",(P1364-N1364)*1440)</f>
        <v/>
      </c>
      <c r="X1364" s="28" t="n"/>
      <c r="Y1364" s="28" t="n"/>
      <c r="Z1364" s="28" t="n"/>
      <c r="AA1364" s="31" t="n"/>
      <c r="AB1364" s="31" t="n"/>
    </row>
    <row r="1365">
      <c r="A1365" s="25" t="inlineStr">
        <is>
          <t>S27</t>
        </is>
      </c>
      <c r="B1365" s="25" t="inlineStr">
        <is>
          <t>전의 신규점</t>
        </is>
      </c>
      <c r="C1365" s="25" t="inlineStr">
        <is>
          <t>S27-H동</t>
        </is>
      </c>
      <c r="D1365" s="25" t="inlineStr">
        <is>
          <t>측정</t>
        </is>
      </c>
      <c r="E1365" s="25" t="inlineStr">
        <is>
          <t>동</t>
        </is>
      </c>
      <c r="F1365" s="30" t="n">
        <v>7</v>
      </c>
      <c r="G1365" s="29" t="n"/>
      <c r="H1365" s="42" t="n"/>
      <c r="I1365" s="40" t="n"/>
      <c r="J1365" s="40" t="n"/>
      <c r="K1365" s="40" t="n"/>
      <c r="L1365" s="30">
        <f>IF(COUNT(I1365:K1365)=0,"",MEDIAN(I1365:K1365))</f>
        <v/>
      </c>
      <c r="M1365" s="25">
        <f>IF(COUNTIFS($C:$C,$C1365,$D:$D,"P0(전)",$L:$L,"&gt;0")&lt;&gt;1,"P0(전) 유효 1개 아님",IF(COUNTIFS($C:$C,$C1365,$D:$D,"P0(후)",$L:$L,"&gt;0")&lt;&gt;1,"P0(후) 유효 1개 아님",IF(NOT(AND(ISNUMBER(N1365),ISNUMBER(P1365),ISNUMBER(H1365))),"시각 결측",IF(P1365&lt;=N1365,"P0 시각 역전",IF(OR(H1365&lt;N1365,H1365&gt;P1365),"측정시각 구간 밖","OK")))))</f>
        <v/>
      </c>
      <c r="N1365" s="45">
        <f>IF(COUNTIFS($C:$C,$C1365,$D:$D,"P0(전)",$L:$L,"&gt;0")&lt;&gt;1,"",SUMIFS($H:$H,$C:$C,$C1365,$D:$D,"P0(전)"))</f>
        <v/>
      </c>
      <c r="O1365" s="30">
        <f>IF(COUNTIFS($C:$C,$C1365,$D:$D,"P0(전)",$L:$L,"&gt;0")&lt;&gt;1,"",SUMIFS($L:$L,$C:$C,$C1365,$D:$D,"P0(전)"))</f>
        <v/>
      </c>
      <c r="P1365" s="45">
        <f>IF(COUNTIFS($C:$C,$C1365,$D:$D,"P0(후)",$L:$L,"&gt;0")&lt;&gt;1,"",SUMIFS($H:$H,$C:$C,$C1365,$D:$D,"P0(후)"))</f>
        <v/>
      </c>
      <c r="Q1365" s="30">
        <f>IF(COUNTIFS($C:$C,$C1365,$D:$D,"P0(후)",$L:$L,"&gt;0")&lt;&gt;1,"",SUMIFS($L:$L,$C:$C,$C1365,$D:$D,"P0(후)"))</f>
        <v/>
      </c>
      <c r="R1365" s="30">
        <f>IF(M1365&lt;&gt;"OK","",O1365+(Q1365-O1365)*(H1365-N1365)/(P1365-N1365))</f>
        <v/>
      </c>
      <c r="S1365" s="30">
        <f>IF(OR(M1365&lt;&gt;"OK",NOT(ISNUMBER(L1365))),"",L1365-R1365)</f>
        <v/>
      </c>
      <c r="T1365" s="46">
        <f>IF(OR(NOT(ISNUMBER(S1365)),IF(ISNUMBER(G1365),G1365,F1365)=0),"",S1365/IF(ISNUMBER(G1365),G1365,F1365))</f>
        <v/>
      </c>
      <c r="U1365" s="46">
        <f>IF(ISNUMBER(T1365),ABS(T1365),"")</f>
        <v/>
      </c>
      <c r="V1365" s="46">
        <f>IF(OR($D1364&lt;&gt;"측정",$C1364&lt;&gt;$C1365,NOT(ISNUMBER(L1365)),NOT(ISNUMBER(L1364)),(IF(ISNUMBER(G1365),G1365,F1365)-IF(ISNUMBER(G1364),G1364,F1364))=0),"",(L1365-L1364)/(IF(ISNUMBER(G1365),G1365,F1365)-IF(ISNUMBER(G1364),G1364,F1364)))</f>
        <v/>
      </c>
      <c r="W1365" s="30">
        <f>IF(NOT(AND(ISNUMBER(N1365),ISNUMBER(P1365))),"",(P1365-N1365)*1440)</f>
        <v/>
      </c>
      <c r="X1365" s="28" t="n"/>
      <c r="Y1365" s="28" t="n"/>
      <c r="Z1365" s="28" t="n"/>
      <c r="AA1365" s="31" t="n"/>
      <c r="AB1365" s="31" t="n"/>
    </row>
    <row r="1366">
      <c r="A1366" s="25" t="inlineStr">
        <is>
          <t>S27</t>
        </is>
      </c>
      <c r="B1366" s="25" t="inlineStr">
        <is>
          <t>전의 신규점</t>
        </is>
      </c>
      <c r="C1366" s="25" t="inlineStr">
        <is>
          <t>S27-H동</t>
        </is>
      </c>
      <c r="D1366" s="25" t="inlineStr">
        <is>
          <t>측정</t>
        </is>
      </c>
      <c r="E1366" s="25" t="inlineStr">
        <is>
          <t>동</t>
        </is>
      </c>
      <c r="F1366" s="30" t="n">
        <v>8</v>
      </c>
      <c r="G1366" s="29" t="n"/>
      <c r="H1366" s="42" t="n"/>
      <c r="I1366" s="40" t="n"/>
      <c r="J1366" s="40" t="n"/>
      <c r="K1366" s="40" t="n"/>
      <c r="L1366" s="30">
        <f>IF(COUNT(I1366:K1366)=0,"",MEDIAN(I1366:K1366))</f>
        <v/>
      </c>
      <c r="M1366" s="25">
        <f>IF(COUNTIFS($C:$C,$C1366,$D:$D,"P0(전)",$L:$L,"&gt;0")&lt;&gt;1,"P0(전) 유효 1개 아님",IF(COUNTIFS($C:$C,$C1366,$D:$D,"P0(후)",$L:$L,"&gt;0")&lt;&gt;1,"P0(후) 유효 1개 아님",IF(NOT(AND(ISNUMBER(N1366),ISNUMBER(P1366),ISNUMBER(H1366))),"시각 결측",IF(P1366&lt;=N1366,"P0 시각 역전",IF(OR(H1366&lt;N1366,H1366&gt;P1366),"측정시각 구간 밖","OK")))))</f>
        <v/>
      </c>
      <c r="N1366" s="45">
        <f>IF(COUNTIFS($C:$C,$C1366,$D:$D,"P0(전)",$L:$L,"&gt;0")&lt;&gt;1,"",SUMIFS($H:$H,$C:$C,$C1366,$D:$D,"P0(전)"))</f>
        <v/>
      </c>
      <c r="O1366" s="30">
        <f>IF(COUNTIFS($C:$C,$C1366,$D:$D,"P0(전)",$L:$L,"&gt;0")&lt;&gt;1,"",SUMIFS($L:$L,$C:$C,$C1366,$D:$D,"P0(전)"))</f>
        <v/>
      </c>
      <c r="P1366" s="45">
        <f>IF(COUNTIFS($C:$C,$C1366,$D:$D,"P0(후)",$L:$L,"&gt;0")&lt;&gt;1,"",SUMIFS($H:$H,$C:$C,$C1366,$D:$D,"P0(후)"))</f>
        <v/>
      </c>
      <c r="Q1366" s="30">
        <f>IF(COUNTIFS($C:$C,$C1366,$D:$D,"P0(후)",$L:$L,"&gt;0")&lt;&gt;1,"",SUMIFS($L:$L,$C:$C,$C1366,$D:$D,"P0(후)"))</f>
        <v/>
      </c>
      <c r="R1366" s="30">
        <f>IF(M1366&lt;&gt;"OK","",O1366+(Q1366-O1366)*(H1366-N1366)/(P1366-N1366))</f>
        <v/>
      </c>
      <c r="S1366" s="30">
        <f>IF(OR(M1366&lt;&gt;"OK",NOT(ISNUMBER(L1366))),"",L1366-R1366)</f>
        <v/>
      </c>
      <c r="T1366" s="46">
        <f>IF(OR(NOT(ISNUMBER(S1366)),IF(ISNUMBER(G1366),G1366,F1366)=0),"",S1366/IF(ISNUMBER(G1366),G1366,F1366))</f>
        <v/>
      </c>
      <c r="U1366" s="46">
        <f>IF(ISNUMBER(T1366),ABS(T1366),"")</f>
        <v/>
      </c>
      <c r="V1366" s="46">
        <f>IF(OR($D1365&lt;&gt;"측정",$C1365&lt;&gt;$C1366,NOT(ISNUMBER(L1366)),NOT(ISNUMBER(L1365)),(IF(ISNUMBER(G1366),G1366,F1366)-IF(ISNUMBER(G1365),G1365,F1365))=0),"",(L1366-L1365)/(IF(ISNUMBER(G1366),G1366,F1366)-IF(ISNUMBER(G1365),G1365,F1365)))</f>
        <v/>
      </c>
      <c r="W1366" s="30">
        <f>IF(NOT(AND(ISNUMBER(N1366),ISNUMBER(P1366))),"",(P1366-N1366)*1440)</f>
        <v/>
      </c>
      <c r="X1366" s="28" t="n"/>
      <c r="Y1366" s="28" t="n"/>
      <c r="Z1366" s="28" t="n"/>
      <c r="AA1366" s="31" t="n"/>
      <c r="AB1366" s="31" t="n"/>
    </row>
    <row r="1367">
      <c r="A1367" s="25" t="inlineStr">
        <is>
          <t>S27</t>
        </is>
      </c>
      <c r="B1367" s="25" t="inlineStr">
        <is>
          <t>전의 신규점</t>
        </is>
      </c>
      <c r="C1367" s="25" t="inlineStr">
        <is>
          <t>S27-H동</t>
        </is>
      </c>
      <c r="D1367" s="25" t="inlineStr">
        <is>
          <t>측정</t>
        </is>
      </c>
      <c r="E1367" s="25" t="inlineStr">
        <is>
          <t>동</t>
        </is>
      </c>
      <c r="F1367" s="30" t="n">
        <v>9</v>
      </c>
      <c r="G1367" s="29" t="n"/>
      <c r="H1367" s="42" t="n"/>
      <c r="I1367" s="40" t="n"/>
      <c r="J1367" s="40" t="n"/>
      <c r="K1367" s="40" t="n"/>
      <c r="L1367" s="30">
        <f>IF(COUNT(I1367:K1367)=0,"",MEDIAN(I1367:K1367))</f>
        <v/>
      </c>
      <c r="M1367" s="25">
        <f>IF(COUNTIFS($C:$C,$C1367,$D:$D,"P0(전)",$L:$L,"&gt;0")&lt;&gt;1,"P0(전) 유효 1개 아님",IF(COUNTIFS($C:$C,$C1367,$D:$D,"P0(후)",$L:$L,"&gt;0")&lt;&gt;1,"P0(후) 유효 1개 아님",IF(NOT(AND(ISNUMBER(N1367),ISNUMBER(P1367),ISNUMBER(H1367))),"시각 결측",IF(P1367&lt;=N1367,"P0 시각 역전",IF(OR(H1367&lt;N1367,H1367&gt;P1367),"측정시각 구간 밖","OK")))))</f>
        <v/>
      </c>
      <c r="N1367" s="45">
        <f>IF(COUNTIFS($C:$C,$C1367,$D:$D,"P0(전)",$L:$L,"&gt;0")&lt;&gt;1,"",SUMIFS($H:$H,$C:$C,$C1367,$D:$D,"P0(전)"))</f>
        <v/>
      </c>
      <c r="O1367" s="30">
        <f>IF(COUNTIFS($C:$C,$C1367,$D:$D,"P0(전)",$L:$L,"&gt;0")&lt;&gt;1,"",SUMIFS($L:$L,$C:$C,$C1367,$D:$D,"P0(전)"))</f>
        <v/>
      </c>
      <c r="P1367" s="45">
        <f>IF(COUNTIFS($C:$C,$C1367,$D:$D,"P0(후)",$L:$L,"&gt;0")&lt;&gt;1,"",SUMIFS($H:$H,$C:$C,$C1367,$D:$D,"P0(후)"))</f>
        <v/>
      </c>
      <c r="Q1367" s="30">
        <f>IF(COUNTIFS($C:$C,$C1367,$D:$D,"P0(후)",$L:$L,"&gt;0")&lt;&gt;1,"",SUMIFS($L:$L,$C:$C,$C1367,$D:$D,"P0(후)"))</f>
        <v/>
      </c>
      <c r="R1367" s="30">
        <f>IF(M1367&lt;&gt;"OK","",O1367+(Q1367-O1367)*(H1367-N1367)/(P1367-N1367))</f>
        <v/>
      </c>
      <c r="S1367" s="30">
        <f>IF(OR(M1367&lt;&gt;"OK",NOT(ISNUMBER(L1367))),"",L1367-R1367)</f>
        <v/>
      </c>
      <c r="T1367" s="46">
        <f>IF(OR(NOT(ISNUMBER(S1367)),IF(ISNUMBER(G1367),G1367,F1367)=0),"",S1367/IF(ISNUMBER(G1367),G1367,F1367))</f>
        <v/>
      </c>
      <c r="U1367" s="46">
        <f>IF(ISNUMBER(T1367),ABS(T1367),"")</f>
        <v/>
      </c>
      <c r="V1367" s="46">
        <f>IF(OR($D1366&lt;&gt;"측정",$C1366&lt;&gt;$C1367,NOT(ISNUMBER(L1367)),NOT(ISNUMBER(L1366)),(IF(ISNUMBER(G1367),G1367,F1367)-IF(ISNUMBER(G1366),G1366,F1366))=0),"",(L1367-L1366)/(IF(ISNUMBER(G1367),G1367,F1367)-IF(ISNUMBER(G1366),G1366,F1366)))</f>
        <v/>
      </c>
      <c r="W1367" s="30">
        <f>IF(NOT(AND(ISNUMBER(N1367),ISNUMBER(P1367))),"",(P1367-N1367)*1440)</f>
        <v/>
      </c>
      <c r="X1367" s="28" t="n"/>
      <c r="Y1367" s="28" t="n"/>
      <c r="Z1367" s="28" t="n"/>
      <c r="AA1367" s="31" t="n"/>
      <c r="AB1367" s="31" t="n"/>
    </row>
    <row r="1368">
      <c r="A1368" s="25" t="inlineStr">
        <is>
          <t>S27</t>
        </is>
      </c>
      <c r="B1368" s="25" t="inlineStr">
        <is>
          <t>전의 신규점</t>
        </is>
      </c>
      <c r="C1368" s="25" t="inlineStr">
        <is>
          <t>S27-H동</t>
        </is>
      </c>
      <c r="D1368" s="25" t="inlineStr">
        <is>
          <t>측정</t>
        </is>
      </c>
      <c r="E1368" s="25" t="inlineStr">
        <is>
          <t>동</t>
        </is>
      </c>
      <c r="F1368" s="30" t="n">
        <v>10</v>
      </c>
      <c r="G1368" s="29" t="n"/>
      <c r="H1368" s="42" t="n"/>
      <c r="I1368" s="40" t="n"/>
      <c r="J1368" s="40" t="n"/>
      <c r="K1368" s="40" t="n"/>
      <c r="L1368" s="30">
        <f>IF(COUNT(I1368:K1368)=0,"",MEDIAN(I1368:K1368))</f>
        <v/>
      </c>
      <c r="M1368" s="25">
        <f>IF(COUNTIFS($C:$C,$C1368,$D:$D,"P0(전)",$L:$L,"&gt;0")&lt;&gt;1,"P0(전) 유효 1개 아님",IF(COUNTIFS($C:$C,$C1368,$D:$D,"P0(후)",$L:$L,"&gt;0")&lt;&gt;1,"P0(후) 유효 1개 아님",IF(NOT(AND(ISNUMBER(N1368),ISNUMBER(P1368),ISNUMBER(H1368))),"시각 결측",IF(P1368&lt;=N1368,"P0 시각 역전",IF(OR(H1368&lt;N1368,H1368&gt;P1368),"측정시각 구간 밖","OK")))))</f>
        <v/>
      </c>
      <c r="N1368" s="45">
        <f>IF(COUNTIFS($C:$C,$C1368,$D:$D,"P0(전)",$L:$L,"&gt;0")&lt;&gt;1,"",SUMIFS($H:$H,$C:$C,$C1368,$D:$D,"P0(전)"))</f>
        <v/>
      </c>
      <c r="O1368" s="30">
        <f>IF(COUNTIFS($C:$C,$C1368,$D:$D,"P0(전)",$L:$L,"&gt;0")&lt;&gt;1,"",SUMIFS($L:$L,$C:$C,$C1368,$D:$D,"P0(전)"))</f>
        <v/>
      </c>
      <c r="P1368" s="45">
        <f>IF(COUNTIFS($C:$C,$C1368,$D:$D,"P0(후)",$L:$L,"&gt;0")&lt;&gt;1,"",SUMIFS($H:$H,$C:$C,$C1368,$D:$D,"P0(후)"))</f>
        <v/>
      </c>
      <c r="Q1368" s="30">
        <f>IF(COUNTIFS($C:$C,$C1368,$D:$D,"P0(후)",$L:$L,"&gt;0")&lt;&gt;1,"",SUMIFS($L:$L,$C:$C,$C1368,$D:$D,"P0(후)"))</f>
        <v/>
      </c>
      <c r="R1368" s="30">
        <f>IF(M1368&lt;&gt;"OK","",O1368+(Q1368-O1368)*(H1368-N1368)/(P1368-N1368))</f>
        <v/>
      </c>
      <c r="S1368" s="30">
        <f>IF(OR(M1368&lt;&gt;"OK",NOT(ISNUMBER(L1368))),"",L1368-R1368)</f>
        <v/>
      </c>
      <c r="T1368" s="46">
        <f>IF(OR(NOT(ISNUMBER(S1368)),IF(ISNUMBER(G1368),G1368,F1368)=0),"",S1368/IF(ISNUMBER(G1368),G1368,F1368))</f>
        <v/>
      </c>
      <c r="U1368" s="46">
        <f>IF(ISNUMBER(T1368),ABS(T1368),"")</f>
        <v/>
      </c>
      <c r="V1368" s="46">
        <f>IF(OR($D1367&lt;&gt;"측정",$C1367&lt;&gt;$C1368,NOT(ISNUMBER(L1368)),NOT(ISNUMBER(L1367)),(IF(ISNUMBER(G1368),G1368,F1368)-IF(ISNUMBER(G1367),G1367,F1367))=0),"",(L1368-L1367)/(IF(ISNUMBER(G1368),G1368,F1368)-IF(ISNUMBER(G1367),G1367,F1367)))</f>
        <v/>
      </c>
      <c r="W1368" s="30">
        <f>IF(NOT(AND(ISNUMBER(N1368),ISNUMBER(P1368))),"",(P1368-N1368)*1440)</f>
        <v/>
      </c>
      <c r="X1368" s="28" t="n"/>
      <c r="Y1368" s="28" t="n"/>
      <c r="Z1368" s="28" t="n"/>
      <c r="AA1368" s="31" t="n"/>
      <c r="AB1368" s="31" t="n"/>
    </row>
    <row r="1369">
      <c r="A1369" s="43" t="inlineStr">
        <is>
          <t>S27</t>
        </is>
      </c>
      <c r="B1369" s="43" t="inlineStr">
        <is>
          <t>전의 신규점</t>
        </is>
      </c>
      <c r="C1369" s="43" t="inlineStr">
        <is>
          <t>S27-H동</t>
        </is>
      </c>
      <c r="D1369" s="43" t="inlineStr">
        <is>
          <t>P0(후)</t>
        </is>
      </c>
      <c r="E1369" s="43" t="inlineStr">
        <is>
          <t>동</t>
        </is>
      </c>
      <c r="F1369" s="44" t="n"/>
      <c r="G1369" s="29" t="n"/>
      <c r="H1369" s="42" t="n"/>
      <c r="I1369" s="40" t="n"/>
      <c r="J1369" s="40" t="n"/>
      <c r="K1369" s="40" t="n"/>
      <c r="L1369" s="30">
        <f>IF(COUNT(I1369:K1369)=0,"",MEDIAN(I1369:K1369))</f>
        <v/>
      </c>
      <c r="M1369" s="37" t="n"/>
      <c r="N1369" s="37" t="n"/>
      <c r="O1369" s="37" t="n"/>
      <c r="P1369" s="37" t="n"/>
      <c r="Q1369" s="37" t="n"/>
      <c r="R1369" s="37" t="n"/>
      <c r="S1369" s="37" t="n"/>
      <c r="T1369" s="37" t="n"/>
      <c r="U1369" s="37" t="n"/>
      <c r="V1369" s="37" t="n"/>
      <c r="W1369" s="37" t="n"/>
      <c r="X1369" s="28" t="n"/>
      <c r="Y1369" s="28" t="n"/>
      <c r="Z1369" s="28" t="n"/>
      <c r="AA1369" s="31" t="n"/>
      <c r="AB1369" s="31" t="n"/>
    </row>
    <row r="1370">
      <c r="A1370" s="43" t="inlineStr">
        <is>
          <t>S27</t>
        </is>
      </c>
      <c r="B1370" s="43" t="inlineStr">
        <is>
          <t>전의 신규점</t>
        </is>
      </c>
      <c r="C1370" s="43" t="inlineStr">
        <is>
          <t>S27-H서</t>
        </is>
      </c>
      <c r="D1370" s="43" t="inlineStr">
        <is>
          <t>P0(전)</t>
        </is>
      </c>
      <c r="E1370" s="43" t="inlineStr">
        <is>
          <t>서</t>
        </is>
      </c>
      <c r="F1370" s="44" t="n"/>
      <c r="G1370" s="29" t="n"/>
      <c r="H1370" s="42" t="n"/>
      <c r="I1370" s="40" t="n"/>
      <c r="J1370" s="40" t="n"/>
      <c r="K1370" s="40" t="n"/>
      <c r="L1370" s="30">
        <f>IF(COUNT(I1370:K1370)=0,"",MEDIAN(I1370:K1370))</f>
        <v/>
      </c>
      <c r="M1370" s="37" t="n"/>
      <c r="N1370" s="37" t="n"/>
      <c r="O1370" s="37" t="n"/>
      <c r="P1370" s="37" t="n"/>
      <c r="Q1370" s="37" t="n"/>
      <c r="R1370" s="37" t="n"/>
      <c r="S1370" s="37" t="n"/>
      <c r="T1370" s="37" t="n"/>
      <c r="U1370" s="37" t="n"/>
      <c r="V1370" s="37" t="n"/>
      <c r="W1370" s="37" t="n"/>
      <c r="X1370" s="28" t="n"/>
      <c r="Y1370" s="28" t="n"/>
      <c r="Z1370" s="28" t="n"/>
      <c r="AA1370" s="31" t="n"/>
      <c r="AB1370" s="31" t="n"/>
    </row>
    <row r="1371">
      <c r="A1371" s="25" t="inlineStr">
        <is>
          <t>S27</t>
        </is>
      </c>
      <c r="B1371" s="25" t="inlineStr">
        <is>
          <t>전의 신규점</t>
        </is>
      </c>
      <c r="C1371" s="25" t="inlineStr">
        <is>
          <t>S27-H서</t>
        </is>
      </c>
      <c r="D1371" s="25" t="inlineStr">
        <is>
          <t>측정</t>
        </is>
      </c>
      <c r="E1371" s="25" t="inlineStr">
        <is>
          <t>서</t>
        </is>
      </c>
      <c r="F1371" s="30" t="n">
        <v>0.5</v>
      </c>
      <c r="G1371" s="29" t="n"/>
      <c r="H1371" s="42" t="n"/>
      <c r="I1371" s="40" t="n"/>
      <c r="J1371" s="40" t="n"/>
      <c r="K1371" s="40" t="n"/>
      <c r="L1371" s="30">
        <f>IF(COUNT(I1371:K1371)=0,"",MEDIAN(I1371:K1371))</f>
        <v/>
      </c>
      <c r="M1371" s="25">
        <f>IF(COUNTIFS($C:$C,$C1371,$D:$D,"P0(전)",$L:$L,"&gt;0")&lt;&gt;1,"P0(전) 유효 1개 아님",IF(COUNTIFS($C:$C,$C1371,$D:$D,"P0(후)",$L:$L,"&gt;0")&lt;&gt;1,"P0(후) 유효 1개 아님",IF(NOT(AND(ISNUMBER(N1371),ISNUMBER(P1371),ISNUMBER(H1371))),"시각 결측",IF(P1371&lt;=N1371,"P0 시각 역전",IF(OR(H1371&lt;N1371,H1371&gt;P1371),"측정시각 구간 밖","OK")))))</f>
        <v/>
      </c>
      <c r="N1371" s="45">
        <f>IF(COUNTIFS($C:$C,$C1371,$D:$D,"P0(전)",$L:$L,"&gt;0")&lt;&gt;1,"",SUMIFS($H:$H,$C:$C,$C1371,$D:$D,"P0(전)"))</f>
        <v/>
      </c>
      <c r="O1371" s="30">
        <f>IF(COUNTIFS($C:$C,$C1371,$D:$D,"P0(전)",$L:$L,"&gt;0")&lt;&gt;1,"",SUMIFS($L:$L,$C:$C,$C1371,$D:$D,"P0(전)"))</f>
        <v/>
      </c>
      <c r="P1371" s="45">
        <f>IF(COUNTIFS($C:$C,$C1371,$D:$D,"P0(후)",$L:$L,"&gt;0")&lt;&gt;1,"",SUMIFS($H:$H,$C:$C,$C1371,$D:$D,"P0(후)"))</f>
        <v/>
      </c>
      <c r="Q1371" s="30">
        <f>IF(COUNTIFS($C:$C,$C1371,$D:$D,"P0(후)",$L:$L,"&gt;0")&lt;&gt;1,"",SUMIFS($L:$L,$C:$C,$C1371,$D:$D,"P0(후)"))</f>
        <v/>
      </c>
      <c r="R1371" s="30">
        <f>IF(M1371&lt;&gt;"OK","",O1371+(Q1371-O1371)*(H1371-N1371)/(P1371-N1371))</f>
        <v/>
      </c>
      <c r="S1371" s="30">
        <f>IF(OR(M1371&lt;&gt;"OK",NOT(ISNUMBER(L1371))),"",L1371-R1371)</f>
        <v/>
      </c>
      <c r="T1371" s="46">
        <f>IF(OR(NOT(ISNUMBER(S1371)),IF(ISNUMBER(G1371),G1371,F1371)=0),"",S1371/IF(ISNUMBER(G1371),G1371,F1371))</f>
        <v/>
      </c>
      <c r="U1371" s="46">
        <f>IF(ISNUMBER(T1371),ABS(T1371),"")</f>
        <v/>
      </c>
      <c r="V1371" s="46">
        <f>IF(OR($D1370&lt;&gt;"측정",$C1370&lt;&gt;$C1371,NOT(ISNUMBER(L1371)),NOT(ISNUMBER(L1370)),(IF(ISNUMBER(G1371),G1371,F1371)-IF(ISNUMBER(G1370),G1370,F1370))=0),"",(L1371-L1370)/(IF(ISNUMBER(G1371),G1371,F1371)-IF(ISNUMBER(G1370),G1370,F1370)))</f>
        <v/>
      </c>
      <c r="W1371" s="30">
        <f>IF(NOT(AND(ISNUMBER(N1371),ISNUMBER(P1371))),"",(P1371-N1371)*1440)</f>
        <v/>
      </c>
      <c r="X1371" s="28" t="n"/>
      <c r="Y1371" s="28" t="n"/>
      <c r="Z1371" s="28" t="n"/>
      <c r="AA1371" s="31" t="n"/>
      <c r="AB1371" s="31" t="n"/>
    </row>
    <row r="1372">
      <c r="A1372" s="25" t="inlineStr">
        <is>
          <t>S27</t>
        </is>
      </c>
      <c r="B1372" s="25" t="inlineStr">
        <is>
          <t>전의 신규점</t>
        </is>
      </c>
      <c r="C1372" s="25" t="inlineStr">
        <is>
          <t>S27-H서</t>
        </is>
      </c>
      <c r="D1372" s="25" t="inlineStr">
        <is>
          <t>측정</t>
        </is>
      </c>
      <c r="E1372" s="25" t="inlineStr">
        <is>
          <t>서</t>
        </is>
      </c>
      <c r="F1372" s="30" t="n">
        <v>1</v>
      </c>
      <c r="G1372" s="29" t="n"/>
      <c r="H1372" s="42" t="n"/>
      <c r="I1372" s="40" t="n"/>
      <c r="J1372" s="40" t="n"/>
      <c r="K1372" s="40" t="n"/>
      <c r="L1372" s="30">
        <f>IF(COUNT(I1372:K1372)=0,"",MEDIAN(I1372:K1372))</f>
        <v/>
      </c>
      <c r="M1372" s="25">
        <f>IF(COUNTIFS($C:$C,$C1372,$D:$D,"P0(전)",$L:$L,"&gt;0")&lt;&gt;1,"P0(전) 유효 1개 아님",IF(COUNTIFS($C:$C,$C1372,$D:$D,"P0(후)",$L:$L,"&gt;0")&lt;&gt;1,"P0(후) 유효 1개 아님",IF(NOT(AND(ISNUMBER(N1372),ISNUMBER(P1372),ISNUMBER(H1372))),"시각 결측",IF(P1372&lt;=N1372,"P0 시각 역전",IF(OR(H1372&lt;N1372,H1372&gt;P1372),"측정시각 구간 밖","OK")))))</f>
        <v/>
      </c>
      <c r="N1372" s="45">
        <f>IF(COUNTIFS($C:$C,$C1372,$D:$D,"P0(전)",$L:$L,"&gt;0")&lt;&gt;1,"",SUMIFS($H:$H,$C:$C,$C1372,$D:$D,"P0(전)"))</f>
        <v/>
      </c>
      <c r="O1372" s="30">
        <f>IF(COUNTIFS($C:$C,$C1372,$D:$D,"P0(전)",$L:$L,"&gt;0")&lt;&gt;1,"",SUMIFS($L:$L,$C:$C,$C1372,$D:$D,"P0(전)"))</f>
        <v/>
      </c>
      <c r="P1372" s="45">
        <f>IF(COUNTIFS($C:$C,$C1372,$D:$D,"P0(후)",$L:$L,"&gt;0")&lt;&gt;1,"",SUMIFS($H:$H,$C:$C,$C1372,$D:$D,"P0(후)"))</f>
        <v/>
      </c>
      <c r="Q1372" s="30">
        <f>IF(COUNTIFS($C:$C,$C1372,$D:$D,"P0(후)",$L:$L,"&gt;0")&lt;&gt;1,"",SUMIFS($L:$L,$C:$C,$C1372,$D:$D,"P0(후)"))</f>
        <v/>
      </c>
      <c r="R1372" s="30">
        <f>IF(M1372&lt;&gt;"OK","",O1372+(Q1372-O1372)*(H1372-N1372)/(P1372-N1372))</f>
        <v/>
      </c>
      <c r="S1372" s="30">
        <f>IF(OR(M1372&lt;&gt;"OK",NOT(ISNUMBER(L1372))),"",L1372-R1372)</f>
        <v/>
      </c>
      <c r="T1372" s="46">
        <f>IF(OR(NOT(ISNUMBER(S1372)),IF(ISNUMBER(G1372),G1372,F1372)=0),"",S1372/IF(ISNUMBER(G1372),G1372,F1372))</f>
        <v/>
      </c>
      <c r="U1372" s="46">
        <f>IF(ISNUMBER(T1372),ABS(T1372),"")</f>
        <v/>
      </c>
      <c r="V1372" s="46">
        <f>IF(OR($D1371&lt;&gt;"측정",$C1371&lt;&gt;$C1372,NOT(ISNUMBER(L1372)),NOT(ISNUMBER(L1371)),(IF(ISNUMBER(G1372),G1372,F1372)-IF(ISNUMBER(G1371),G1371,F1371))=0),"",(L1372-L1371)/(IF(ISNUMBER(G1372),G1372,F1372)-IF(ISNUMBER(G1371),G1371,F1371)))</f>
        <v/>
      </c>
      <c r="W1372" s="30">
        <f>IF(NOT(AND(ISNUMBER(N1372),ISNUMBER(P1372))),"",(P1372-N1372)*1440)</f>
        <v/>
      </c>
      <c r="X1372" s="28" t="n"/>
      <c r="Y1372" s="28" t="n"/>
      <c r="Z1372" s="28" t="n"/>
      <c r="AA1372" s="31" t="n"/>
      <c r="AB1372" s="31" t="n"/>
    </row>
    <row r="1373">
      <c r="A1373" s="25" t="inlineStr">
        <is>
          <t>S27</t>
        </is>
      </c>
      <c r="B1373" s="25" t="inlineStr">
        <is>
          <t>전의 신규점</t>
        </is>
      </c>
      <c r="C1373" s="25" t="inlineStr">
        <is>
          <t>S27-H서</t>
        </is>
      </c>
      <c r="D1373" s="25" t="inlineStr">
        <is>
          <t>측정</t>
        </is>
      </c>
      <c r="E1373" s="25" t="inlineStr">
        <is>
          <t>서</t>
        </is>
      </c>
      <c r="F1373" s="30" t="n">
        <v>2</v>
      </c>
      <c r="G1373" s="29" t="n"/>
      <c r="H1373" s="42" t="n"/>
      <c r="I1373" s="40" t="n"/>
      <c r="J1373" s="40" t="n"/>
      <c r="K1373" s="40" t="n"/>
      <c r="L1373" s="30">
        <f>IF(COUNT(I1373:K1373)=0,"",MEDIAN(I1373:K1373))</f>
        <v/>
      </c>
      <c r="M1373" s="25">
        <f>IF(COUNTIFS($C:$C,$C1373,$D:$D,"P0(전)",$L:$L,"&gt;0")&lt;&gt;1,"P0(전) 유효 1개 아님",IF(COUNTIFS($C:$C,$C1373,$D:$D,"P0(후)",$L:$L,"&gt;0")&lt;&gt;1,"P0(후) 유효 1개 아님",IF(NOT(AND(ISNUMBER(N1373),ISNUMBER(P1373),ISNUMBER(H1373))),"시각 결측",IF(P1373&lt;=N1373,"P0 시각 역전",IF(OR(H1373&lt;N1373,H1373&gt;P1373),"측정시각 구간 밖","OK")))))</f>
        <v/>
      </c>
      <c r="N1373" s="45">
        <f>IF(COUNTIFS($C:$C,$C1373,$D:$D,"P0(전)",$L:$L,"&gt;0")&lt;&gt;1,"",SUMIFS($H:$H,$C:$C,$C1373,$D:$D,"P0(전)"))</f>
        <v/>
      </c>
      <c r="O1373" s="30">
        <f>IF(COUNTIFS($C:$C,$C1373,$D:$D,"P0(전)",$L:$L,"&gt;0")&lt;&gt;1,"",SUMIFS($L:$L,$C:$C,$C1373,$D:$D,"P0(전)"))</f>
        <v/>
      </c>
      <c r="P1373" s="45">
        <f>IF(COUNTIFS($C:$C,$C1373,$D:$D,"P0(후)",$L:$L,"&gt;0")&lt;&gt;1,"",SUMIFS($H:$H,$C:$C,$C1373,$D:$D,"P0(후)"))</f>
        <v/>
      </c>
      <c r="Q1373" s="30">
        <f>IF(COUNTIFS($C:$C,$C1373,$D:$D,"P0(후)",$L:$L,"&gt;0")&lt;&gt;1,"",SUMIFS($L:$L,$C:$C,$C1373,$D:$D,"P0(후)"))</f>
        <v/>
      </c>
      <c r="R1373" s="30">
        <f>IF(M1373&lt;&gt;"OK","",O1373+(Q1373-O1373)*(H1373-N1373)/(P1373-N1373))</f>
        <v/>
      </c>
      <c r="S1373" s="30">
        <f>IF(OR(M1373&lt;&gt;"OK",NOT(ISNUMBER(L1373))),"",L1373-R1373)</f>
        <v/>
      </c>
      <c r="T1373" s="46">
        <f>IF(OR(NOT(ISNUMBER(S1373)),IF(ISNUMBER(G1373),G1373,F1373)=0),"",S1373/IF(ISNUMBER(G1373),G1373,F1373))</f>
        <v/>
      </c>
      <c r="U1373" s="46">
        <f>IF(ISNUMBER(T1373),ABS(T1373),"")</f>
        <v/>
      </c>
      <c r="V1373" s="46">
        <f>IF(OR($D1372&lt;&gt;"측정",$C1372&lt;&gt;$C1373,NOT(ISNUMBER(L1373)),NOT(ISNUMBER(L1372)),(IF(ISNUMBER(G1373),G1373,F1373)-IF(ISNUMBER(G1372),G1372,F1372))=0),"",(L1373-L1372)/(IF(ISNUMBER(G1373),G1373,F1373)-IF(ISNUMBER(G1372),G1372,F1372)))</f>
        <v/>
      </c>
      <c r="W1373" s="30">
        <f>IF(NOT(AND(ISNUMBER(N1373),ISNUMBER(P1373))),"",(P1373-N1373)*1440)</f>
        <v/>
      </c>
      <c r="X1373" s="28" t="n"/>
      <c r="Y1373" s="28" t="n"/>
      <c r="Z1373" s="28" t="n"/>
      <c r="AA1373" s="31" t="n"/>
      <c r="AB1373" s="31" t="n"/>
    </row>
    <row r="1374">
      <c r="A1374" s="25" t="inlineStr">
        <is>
          <t>S27</t>
        </is>
      </c>
      <c r="B1374" s="25" t="inlineStr">
        <is>
          <t>전의 신규점</t>
        </is>
      </c>
      <c r="C1374" s="25" t="inlineStr">
        <is>
          <t>S27-H서</t>
        </is>
      </c>
      <c r="D1374" s="25" t="inlineStr">
        <is>
          <t>측정</t>
        </is>
      </c>
      <c r="E1374" s="25" t="inlineStr">
        <is>
          <t>서</t>
        </is>
      </c>
      <c r="F1374" s="30" t="n">
        <v>3</v>
      </c>
      <c r="G1374" s="29" t="n"/>
      <c r="H1374" s="42" t="n"/>
      <c r="I1374" s="40" t="n"/>
      <c r="J1374" s="40" t="n"/>
      <c r="K1374" s="40" t="n"/>
      <c r="L1374" s="30">
        <f>IF(COUNT(I1374:K1374)=0,"",MEDIAN(I1374:K1374))</f>
        <v/>
      </c>
      <c r="M1374" s="25">
        <f>IF(COUNTIFS($C:$C,$C1374,$D:$D,"P0(전)",$L:$L,"&gt;0")&lt;&gt;1,"P0(전) 유효 1개 아님",IF(COUNTIFS($C:$C,$C1374,$D:$D,"P0(후)",$L:$L,"&gt;0")&lt;&gt;1,"P0(후) 유효 1개 아님",IF(NOT(AND(ISNUMBER(N1374),ISNUMBER(P1374),ISNUMBER(H1374))),"시각 결측",IF(P1374&lt;=N1374,"P0 시각 역전",IF(OR(H1374&lt;N1374,H1374&gt;P1374),"측정시각 구간 밖","OK")))))</f>
        <v/>
      </c>
      <c r="N1374" s="45">
        <f>IF(COUNTIFS($C:$C,$C1374,$D:$D,"P0(전)",$L:$L,"&gt;0")&lt;&gt;1,"",SUMIFS($H:$H,$C:$C,$C1374,$D:$D,"P0(전)"))</f>
        <v/>
      </c>
      <c r="O1374" s="30">
        <f>IF(COUNTIFS($C:$C,$C1374,$D:$D,"P0(전)",$L:$L,"&gt;0")&lt;&gt;1,"",SUMIFS($L:$L,$C:$C,$C1374,$D:$D,"P0(전)"))</f>
        <v/>
      </c>
      <c r="P1374" s="45">
        <f>IF(COUNTIFS($C:$C,$C1374,$D:$D,"P0(후)",$L:$L,"&gt;0")&lt;&gt;1,"",SUMIFS($H:$H,$C:$C,$C1374,$D:$D,"P0(후)"))</f>
        <v/>
      </c>
      <c r="Q1374" s="30">
        <f>IF(COUNTIFS($C:$C,$C1374,$D:$D,"P0(후)",$L:$L,"&gt;0")&lt;&gt;1,"",SUMIFS($L:$L,$C:$C,$C1374,$D:$D,"P0(후)"))</f>
        <v/>
      </c>
      <c r="R1374" s="30">
        <f>IF(M1374&lt;&gt;"OK","",O1374+(Q1374-O1374)*(H1374-N1374)/(P1374-N1374))</f>
        <v/>
      </c>
      <c r="S1374" s="30">
        <f>IF(OR(M1374&lt;&gt;"OK",NOT(ISNUMBER(L1374))),"",L1374-R1374)</f>
        <v/>
      </c>
      <c r="T1374" s="46">
        <f>IF(OR(NOT(ISNUMBER(S1374)),IF(ISNUMBER(G1374),G1374,F1374)=0),"",S1374/IF(ISNUMBER(G1374),G1374,F1374))</f>
        <v/>
      </c>
      <c r="U1374" s="46">
        <f>IF(ISNUMBER(T1374),ABS(T1374),"")</f>
        <v/>
      </c>
      <c r="V1374" s="46">
        <f>IF(OR($D1373&lt;&gt;"측정",$C1373&lt;&gt;$C1374,NOT(ISNUMBER(L1374)),NOT(ISNUMBER(L1373)),(IF(ISNUMBER(G1374),G1374,F1374)-IF(ISNUMBER(G1373),G1373,F1373))=0),"",(L1374-L1373)/(IF(ISNUMBER(G1374),G1374,F1374)-IF(ISNUMBER(G1373),G1373,F1373)))</f>
        <v/>
      </c>
      <c r="W1374" s="30">
        <f>IF(NOT(AND(ISNUMBER(N1374),ISNUMBER(P1374))),"",(P1374-N1374)*1440)</f>
        <v/>
      </c>
      <c r="X1374" s="28" t="n"/>
      <c r="Y1374" s="28" t="n"/>
      <c r="Z1374" s="28" t="n"/>
      <c r="AA1374" s="31" t="n"/>
      <c r="AB1374" s="31" t="n"/>
    </row>
    <row r="1375">
      <c r="A1375" s="25" t="inlineStr">
        <is>
          <t>S27</t>
        </is>
      </c>
      <c r="B1375" s="25" t="inlineStr">
        <is>
          <t>전의 신규점</t>
        </is>
      </c>
      <c r="C1375" s="25" t="inlineStr">
        <is>
          <t>S27-H서</t>
        </is>
      </c>
      <c r="D1375" s="25" t="inlineStr">
        <is>
          <t>측정</t>
        </is>
      </c>
      <c r="E1375" s="25" t="inlineStr">
        <is>
          <t>서</t>
        </is>
      </c>
      <c r="F1375" s="30" t="n">
        <v>4</v>
      </c>
      <c r="G1375" s="29" t="n"/>
      <c r="H1375" s="42" t="n"/>
      <c r="I1375" s="40" t="n"/>
      <c r="J1375" s="40" t="n"/>
      <c r="K1375" s="40" t="n"/>
      <c r="L1375" s="30">
        <f>IF(COUNT(I1375:K1375)=0,"",MEDIAN(I1375:K1375))</f>
        <v/>
      </c>
      <c r="M1375" s="25">
        <f>IF(COUNTIFS($C:$C,$C1375,$D:$D,"P0(전)",$L:$L,"&gt;0")&lt;&gt;1,"P0(전) 유효 1개 아님",IF(COUNTIFS($C:$C,$C1375,$D:$D,"P0(후)",$L:$L,"&gt;0")&lt;&gt;1,"P0(후) 유효 1개 아님",IF(NOT(AND(ISNUMBER(N1375),ISNUMBER(P1375),ISNUMBER(H1375))),"시각 결측",IF(P1375&lt;=N1375,"P0 시각 역전",IF(OR(H1375&lt;N1375,H1375&gt;P1375),"측정시각 구간 밖","OK")))))</f>
        <v/>
      </c>
      <c r="N1375" s="45">
        <f>IF(COUNTIFS($C:$C,$C1375,$D:$D,"P0(전)",$L:$L,"&gt;0")&lt;&gt;1,"",SUMIFS($H:$H,$C:$C,$C1375,$D:$D,"P0(전)"))</f>
        <v/>
      </c>
      <c r="O1375" s="30">
        <f>IF(COUNTIFS($C:$C,$C1375,$D:$D,"P0(전)",$L:$L,"&gt;0")&lt;&gt;1,"",SUMIFS($L:$L,$C:$C,$C1375,$D:$D,"P0(전)"))</f>
        <v/>
      </c>
      <c r="P1375" s="45">
        <f>IF(COUNTIFS($C:$C,$C1375,$D:$D,"P0(후)",$L:$L,"&gt;0")&lt;&gt;1,"",SUMIFS($H:$H,$C:$C,$C1375,$D:$D,"P0(후)"))</f>
        <v/>
      </c>
      <c r="Q1375" s="30">
        <f>IF(COUNTIFS($C:$C,$C1375,$D:$D,"P0(후)",$L:$L,"&gt;0")&lt;&gt;1,"",SUMIFS($L:$L,$C:$C,$C1375,$D:$D,"P0(후)"))</f>
        <v/>
      </c>
      <c r="R1375" s="30">
        <f>IF(M1375&lt;&gt;"OK","",O1375+(Q1375-O1375)*(H1375-N1375)/(P1375-N1375))</f>
        <v/>
      </c>
      <c r="S1375" s="30">
        <f>IF(OR(M1375&lt;&gt;"OK",NOT(ISNUMBER(L1375))),"",L1375-R1375)</f>
        <v/>
      </c>
      <c r="T1375" s="46">
        <f>IF(OR(NOT(ISNUMBER(S1375)),IF(ISNUMBER(G1375),G1375,F1375)=0),"",S1375/IF(ISNUMBER(G1375),G1375,F1375))</f>
        <v/>
      </c>
      <c r="U1375" s="46">
        <f>IF(ISNUMBER(T1375),ABS(T1375),"")</f>
        <v/>
      </c>
      <c r="V1375" s="46">
        <f>IF(OR($D1374&lt;&gt;"측정",$C1374&lt;&gt;$C1375,NOT(ISNUMBER(L1375)),NOT(ISNUMBER(L1374)),(IF(ISNUMBER(G1375),G1375,F1375)-IF(ISNUMBER(G1374),G1374,F1374))=0),"",(L1375-L1374)/(IF(ISNUMBER(G1375),G1375,F1375)-IF(ISNUMBER(G1374),G1374,F1374)))</f>
        <v/>
      </c>
      <c r="W1375" s="30">
        <f>IF(NOT(AND(ISNUMBER(N1375),ISNUMBER(P1375))),"",(P1375-N1375)*1440)</f>
        <v/>
      </c>
      <c r="X1375" s="28" t="n"/>
      <c r="Y1375" s="28" t="n"/>
      <c r="Z1375" s="28" t="n"/>
      <c r="AA1375" s="31" t="n"/>
      <c r="AB1375" s="31" t="n"/>
    </row>
    <row r="1376">
      <c r="A1376" s="25" t="inlineStr">
        <is>
          <t>S27</t>
        </is>
      </c>
      <c r="B1376" s="25" t="inlineStr">
        <is>
          <t>전의 신규점</t>
        </is>
      </c>
      <c r="C1376" s="25" t="inlineStr">
        <is>
          <t>S27-H서</t>
        </is>
      </c>
      <c r="D1376" s="25" t="inlineStr">
        <is>
          <t>측정</t>
        </is>
      </c>
      <c r="E1376" s="25" t="inlineStr">
        <is>
          <t>서</t>
        </is>
      </c>
      <c r="F1376" s="30" t="n">
        <v>5</v>
      </c>
      <c r="G1376" s="29" t="n"/>
      <c r="H1376" s="42" t="n"/>
      <c r="I1376" s="40" t="n"/>
      <c r="J1376" s="40" t="n"/>
      <c r="K1376" s="40" t="n"/>
      <c r="L1376" s="30">
        <f>IF(COUNT(I1376:K1376)=0,"",MEDIAN(I1376:K1376))</f>
        <v/>
      </c>
      <c r="M1376" s="25">
        <f>IF(COUNTIFS($C:$C,$C1376,$D:$D,"P0(전)",$L:$L,"&gt;0")&lt;&gt;1,"P0(전) 유효 1개 아님",IF(COUNTIFS($C:$C,$C1376,$D:$D,"P0(후)",$L:$L,"&gt;0")&lt;&gt;1,"P0(후) 유효 1개 아님",IF(NOT(AND(ISNUMBER(N1376),ISNUMBER(P1376),ISNUMBER(H1376))),"시각 결측",IF(P1376&lt;=N1376,"P0 시각 역전",IF(OR(H1376&lt;N1376,H1376&gt;P1376),"측정시각 구간 밖","OK")))))</f>
        <v/>
      </c>
      <c r="N1376" s="45">
        <f>IF(COUNTIFS($C:$C,$C1376,$D:$D,"P0(전)",$L:$L,"&gt;0")&lt;&gt;1,"",SUMIFS($H:$H,$C:$C,$C1376,$D:$D,"P0(전)"))</f>
        <v/>
      </c>
      <c r="O1376" s="30">
        <f>IF(COUNTIFS($C:$C,$C1376,$D:$D,"P0(전)",$L:$L,"&gt;0")&lt;&gt;1,"",SUMIFS($L:$L,$C:$C,$C1376,$D:$D,"P0(전)"))</f>
        <v/>
      </c>
      <c r="P1376" s="45">
        <f>IF(COUNTIFS($C:$C,$C1376,$D:$D,"P0(후)",$L:$L,"&gt;0")&lt;&gt;1,"",SUMIFS($H:$H,$C:$C,$C1376,$D:$D,"P0(후)"))</f>
        <v/>
      </c>
      <c r="Q1376" s="30">
        <f>IF(COUNTIFS($C:$C,$C1376,$D:$D,"P0(후)",$L:$L,"&gt;0")&lt;&gt;1,"",SUMIFS($L:$L,$C:$C,$C1376,$D:$D,"P0(후)"))</f>
        <v/>
      </c>
      <c r="R1376" s="30">
        <f>IF(M1376&lt;&gt;"OK","",O1376+(Q1376-O1376)*(H1376-N1376)/(P1376-N1376))</f>
        <v/>
      </c>
      <c r="S1376" s="30">
        <f>IF(OR(M1376&lt;&gt;"OK",NOT(ISNUMBER(L1376))),"",L1376-R1376)</f>
        <v/>
      </c>
      <c r="T1376" s="46">
        <f>IF(OR(NOT(ISNUMBER(S1376)),IF(ISNUMBER(G1376),G1376,F1376)=0),"",S1376/IF(ISNUMBER(G1376),G1376,F1376))</f>
        <v/>
      </c>
      <c r="U1376" s="46">
        <f>IF(ISNUMBER(T1376),ABS(T1376),"")</f>
        <v/>
      </c>
      <c r="V1376" s="46">
        <f>IF(OR($D1375&lt;&gt;"측정",$C1375&lt;&gt;$C1376,NOT(ISNUMBER(L1376)),NOT(ISNUMBER(L1375)),(IF(ISNUMBER(G1376),G1376,F1376)-IF(ISNUMBER(G1375),G1375,F1375))=0),"",(L1376-L1375)/(IF(ISNUMBER(G1376),G1376,F1376)-IF(ISNUMBER(G1375),G1375,F1375)))</f>
        <v/>
      </c>
      <c r="W1376" s="30">
        <f>IF(NOT(AND(ISNUMBER(N1376),ISNUMBER(P1376))),"",(P1376-N1376)*1440)</f>
        <v/>
      </c>
      <c r="X1376" s="28" t="n"/>
      <c r="Y1376" s="28" t="n"/>
      <c r="Z1376" s="28" t="n"/>
      <c r="AA1376" s="31" t="n"/>
      <c r="AB1376" s="31" t="n"/>
    </row>
    <row r="1377">
      <c r="A1377" s="25" t="inlineStr">
        <is>
          <t>S27</t>
        </is>
      </c>
      <c r="B1377" s="25" t="inlineStr">
        <is>
          <t>전의 신규점</t>
        </is>
      </c>
      <c r="C1377" s="25" t="inlineStr">
        <is>
          <t>S27-H서</t>
        </is>
      </c>
      <c r="D1377" s="25" t="inlineStr">
        <is>
          <t>측정</t>
        </is>
      </c>
      <c r="E1377" s="25" t="inlineStr">
        <is>
          <t>서</t>
        </is>
      </c>
      <c r="F1377" s="30" t="n">
        <v>6</v>
      </c>
      <c r="G1377" s="29" t="n"/>
      <c r="H1377" s="42" t="n"/>
      <c r="I1377" s="40" t="n"/>
      <c r="J1377" s="40" t="n"/>
      <c r="K1377" s="40" t="n"/>
      <c r="L1377" s="30">
        <f>IF(COUNT(I1377:K1377)=0,"",MEDIAN(I1377:K1377))</f>
        <v/>
      </c>
      <c r="M1377" s="25">
        <f>IF(COUNTIFS($C:$C,$C1377,$D:$D,"P0(전)",$L:$L,"&gt;0")&lt;&gt;1,"P0(전) 유효 1개 아님",IF(COUNTIFS($C:$C,$C1377,$D:$D,"P0(후)",$L:$L,"&gt;0")&lt;&gt;1,"P0(후) 유효 1개 아님",IF(NOT(AND(ISNUMBER(N1377),ISNUMBER(P1377),ISNUMBER(H1377))),"시각 결측",IF(P1377&lt;=N1377,"P0 시각 역전",IF(OR(H1377&lt;N1377,H1377&gt;P1377),"측정시각 구간 밖","OK")))))</f>
        <v/>
      </c>
      <c r="N1377" s="45">
        <f>IF(COUNTIFS($C:$C,$C1377,$D:$D,"P0(전)",$L:$L,"&gt;0")&lt;&gt;1,"",SUMIFS($H:$H,$C:$C,$C1377,$D:$D,"P0(전)"))</f>
        <v/>
      </c>
      <c r="O1377" s="30">
        <f>IF(COUNTIFS($C:$C,$C1377,$D:$D,"P0(전)",$L:$L,"&gt;0")&lt;&gt;1,"",SUMIFS($L:$L,$C:$C,$C1377,$D:$D,"P0(전)"))</f>
        <v/>
      </c>
      <c r="P1377" s="45">
        <f>IF(COUNTIFS($C:$C,$C1377,$D:$D,"P0(후)",$L:$L,"&gt;0")&lt;&gt;1,"",SUMIFS($H:$H,$C:$C,$C1377,$D:$D,"P0(후)"))</f>
        <v/>
      </c>
      <c r="Q1377" s="30">
        <f>IF(COUNTIFS($C:$C,$C1377,$D:$D,"P0(후)",$L:$L,"&gt;0")&lt;&gt;1,"",SUMIFS($L:$L,$C:$C,$C1377,$D:$D,"P0(후)"))</f>
        <v/>
      </c>
      <c r="R1377" s="30">
        <f>IF(M1377&lt;&gt;"OK","",O1377+(Q1377-O1377)*(H1377-N1377)/(P1377-N1377))</f>
        <v/>
      </c>
      <c r="S1377" s="30">
        <f>IF(OR(M1377&lt;&gt;"OK",NOT(ISNUMBER(L1377))),"",L1377-R1377)</f>
        <v/>
      </c>
      <c r="T1377" s="46">
        <f>IF(OR(NOT(ISNUMBER(S1377)),IF(ISNUMBER(G1377),G1377,F1377)=0),"",S1377/IF(ISNUMBER(G1377),G1377,F1377))</f>
        <v/>
      </c>
      <c r="U1377" s="46">
        <f>IF(ISNUMBER(T1377),ABS(T1377),"")</f>
        <v/>
      </c>
      <c r="V1377" s="46">
        <f>IF(OR($D1376&lt;&gt;"측정",$C1376&lt;&gt;$C1377,NOT(ISNUMBER(L1377)),NOT(ISNUMBER(L1376)),(IF(ISNUMBER(G1377),G1377,F1377)-IF(ISNUMBER(G1376),G1376,F1376))=0),"",(L1377-L1376)/(IF(ISNUMBER(G1377),G1377,F1377)-IF(ISNUMBER(G1376),G1376,F1376)))</f>
        <v/>
      </c>
      <c r="W1377" s="30">
        <f>IF(NOT(AND(ISNUMBER(N1377),ISNUMBER(P1377))),"",(P1377-N1377)*1440)</f>
        <v/>
      </c>
      <c r="X1377" s="28" t="n"/>
      <c r="Y1377" s="28" t="n"/>
      <c r="Z1377" s="28" t="n"/>
      <c r="AA1377" s="31" t="n"/>
      <c r="AB1377" s="31" t="n"/>
    </row>
    <row r="1378">
      <c r="A1378" s="25" t="inlineStr">
        <is>
          <t>S27</t>
        </is>
      </c>
      <c r="B1378" s="25" t="inlineStr">
        <is>
          <t>전의 신규점</t>
        </is>
      </c>
      <c r="C1378" s="25" t="inlineStr">
        <is>
          <t>S27-H서</t>
        </is>
      </c>
      <c r="D1378" s="25" t="inlineStr">
        <is>
          <t>측정</t>
        </is>
      </c>
      <c r="E1378" s="25" t="inlineStr">
        <is>
          <t>서</t>
        </is>
      </c>
      <c r="F1378" s="30" t="n">
        <v>7</v>
      </c>
      <c r="G1378" s="29" t="n"/>
      <c r="H1378" s="42" t="n"/>
      <c r="I1378" s="40" t="n"/>
      <c r="J1378" s="40" t="n"/>
      <c r="K1378" s="40" t="n"/>
      <c r="L1378" s="30">
        <f>IF(COUNT(I1378:K1378)=0,"",MEDIAN(I1378:K1378))</f>
        <v/>
      </c>
      <c r="M1378" s="25">
        <f>IF(COUNTIFS($C:$C,$C1378,$D:$D,"P0(전)",$L:$L,"&gt;0")&lt;&gt;1,"P0(전) 유효 1개 아님",IF(COUNTIFS($C:$C,$C1378,$D:$D,"P0(후)",$L:$L,"&gt;0")&lt;&gt;1,"P0(후) 유효 1개 아님",IF(NOT(AND(ISNUMBER(N1378),ISNUMBER(P1378),ISNUMBER(H1378))),"시각 결측",IF(P1378&lt;=N1378,"P0 시각 역전",IF(OR(H1378&lt;N1378,H1378&gt;P1378),"측정시각 구간 밖","OK")))))</f>
        <v/>
      </c>
      <c r="N1378" s="45">
        <f>IF(COUNTIFS($C:$C,$C1378,$D:$D,"P0(전)",$L:$L,"&gt;0")&lt;&gt;1,"",SUMIFS($H:$H,$C:$C,$C1378,$D:$D,"P0(전)"))</f>
        <v/>
      </c>
      <c r="O1378" s="30">
        <f>IF(COUNTIFS($C:$C,$C1378,$D:$D,"P0(전)",$L:$L,"&gt;0")&lt;&gt;1,"",SUMIFS($L:$L,$C:$C,$C1378,$D:$D,"P0(전)"))</f>
        <v/>
      </c>
      <c r="P1378" s="45">
        <f>IF(COUNTIFS($C:$C,$C1378,$D:$D,"P0(후)",$L:$L,"&gt;0")&lt;&gt;1,"",SUMIFS($H:$H,$C:$C,$C1378,$D:$D,"P0(후)"))</f>
        <v/>
      </c>
      <c r="Q1378" s="30">
        <f>IF(COUNTIFS($C:$C,$C1378,$D:$D,"P0(후)",$L:$L,"&gt;0")&lt;&gt;1,"",SUMIFS($L:$L,$C:$C,$C1378,$D:$D,"P0(후)"))</f>
        <v/>
      </c>
      <c r="R1378" s="30">
        <f>IF(M1378&lt;&gt;"OK","",O1378+(Q1378-O1378)*(H1378-N1378)/(P1378-N1378))</f>
        <v/>
      </c>
      <c r="S1378" s="30">
        <f>IF(OR(M1378&lt;&gt;"OK",NOT(ISNUMBER(L1378))),"",L1378-R1378)</f>
        <v/>
      </c>
      <c r="T1378" s="46">
        <f>IF(OR(NOT(ISNUMBER(S1378)),IF(ISNUMBER(G1378),G1378,F1378)=0),"",S1378/IF(ISNUMBER(G1378),G1378,F1378))</f>
        <v/>
      </c>
      <c r="U1378" s="46">
        <f>IF(ISNUMBER(T1378),ABS(T1378),"")</f>
        <v/>
      </c>
      <c r="V1378" s="46">
        <f>IF(OR($D1377&lt;&gt;"측정",$C1377&lt;&gt;$C1378,NOT(ISNUMBER(L1378)),NOT(ISNUMBER(L1377)),(IF(ISNUMBER(G1378),G1378,F1378)-IF(ISNUMBER(G1377),G1377,F1377))=0),"",(L1378-L1377)/(IF(ISNUMBER(G1378),G1378,F1378)-IF(ISNUMBER(G1377),G1377,F1377)))</f>
        <v/>
      </c>
      <c r="W1378" s="30">
        <f>IF(NOT(AND(ISNUMBER(N1378),ISNUMBER(P1378))),"",(P1378-N1378)*1440)</f>
        <v/>
      </c>
      <c r="X1378" s="28" t="n"/>
      <c r="Y1378" s="28" t="n"/>
      <c r="Z1378" s="28" t="n"/>
      <c r="AA1378" s="31" t="n"/>
      <c r="AB1378" s="31" t="n"/>
    </row>
    <row r="1379">
      <c r="A1379" s="25" t="inlineStr">
        <is>
          <t>S27</t>
        </is>
      </c>
      <c r="B1379" s="25" t="inlineStr">
        <is>
          <t>전의 신규점</t>
        </is>
      </c>
      <c r="C1379" s="25" t="inlineStr">
        <is>
          <t>S27-H서</t>
        </is>
      </c>
      <c r="D1379" s="25" t="inlineStr">
        <is>
          <t>측정</t>
        </is>
      </c>
      <c r="E1379" s="25" t="inlineStr">
        <is>
          <t>서</t>
        </is>
      </c>
      <c r="F1379" s="30" t="n">
        <v>8</v>
      </c>
      <c r="G1379" s="29" t="n"/>
      <c r="H1379" s="42" t="n"/>
      <c r="I1379" s="40" t="n"/>
      <c r="J1379" s="40" t="n"/>
      <c r="K1379" s="40" t="n"/>
      <c r="L1379" s="30">
        <f>IF(COUNT(I1379:K1379)=0,"",MEDIAN(I1379:K1379))</f>
        <v/>
      </c>
      <c r="M1379" s="25">
        <f>IF(COUNTIFS($C:$C,$C1379,$D:$D,"P0(전)",$L:$L,"&gt;0")&lt;&gt;1,"P0(전) 유효 1개 아님",IF(COUNTIFS($C:$C,$C1379,$D:$D,"P0(후)",$L:$L,"&gt;0")&lt;&gt;1,"P0(후) 유효 1개 아님",IF(NOT(AND(ISNUMBER(N1379),ISNUMBER(P1379),ISNUMBER(H1379))),"시각 결측",IF(P1379&lt;=N1379,"P0 시각 역전",IF(OR(H1379&lt;N1379,H1379&gt;P1379),"측정시각 구간 밖","OK")))))</f>
        <v/>
      </c>
      <c r="N1379" s="45">
        <f>IF(COUNTIFS($C:$C,$C1379,$D:$D,"P0(전)",$L:$L,"&gt;0")&lt;&gt;1,"",SUMIFS($H:$H,$C:$C,$C1379,$D:$D,"P0(전)"))</f>
        <v/>
      </c>
      <c r="O1379" s="30">
        <f>IF(COUNTIFS($C:$C,$C1379,$D:$D,"P0(전)",$L:$L,"&gt;0")&lt;&gt;1,"",SUMIFS($L:$L,$C:$C,$C1379,$D:$D,"P0(전)"))</f>
        <v/>
      </c>
      <c r="P1379" s="45">
        <f>IF(COUNTIFS($C:$C,$C1379,$D:$D,"P0(후)",$L:$L,"&gt;0")&lt;&gt;1,"",SUMIFS($H:$H,$C:$C,$C1379,$D:$D,"P0(후)"))</f>
        <v/>
      </c>
      <c r="Q1379" s="30">
        <f>IF(COUNTIFS($C:$C,$C1379,$D:$D,"P0(후)",$L:$L,"&gt;0")&lt;&gt;1,"",SUMIFS($L:$L,$C:$C,$C1379,$D:$D,"P0(후)"))</f>
        <v/>
      </c>
      <c r="R1379" s="30">
        <f>IF(M1379&lt;&gt;"OK","",O1379+(Q1379-O1379)*(H1379-N1379)/(P1379-N1379))</f>
        <v/>
      </c>
      <c r="S1379" s="30">
        <f>IF(OR(M1379&lt;&gt;"OK",NOT(ISNUMBER(L1379))),"",L1379-R1379)</f>
        <v/>
      </c>
      <c r="T1379" s="46">
        <f>IF(OR(NOT(ISNUMBER(S1379)),IF(ISNUMBER(G1379),G1379,F1379)=0),"",S1379/IF(ISNUMBER(G1379),G1379,F1379))</f>
        <v/>
      </c>
      <c r="U1379" s="46">
        <f>IF(ISNUMBER(T1379),ABS(T1379),"")</f>
        <v/>
      </c>
      <c r="V1379" s="46">
        <f>IF(OR($D1378&lt;&gt;"측정",$C1378&lt;&gt;$C1379,NOT(ISNUMBER(L1379)),NOT(ISNUMBER(L1378)),(IF(ISNUMBER(G1379),G1379,F1379)-IF(ISNUMBER(G1378),G1378,F1378))=0),"",(L1379-L1378)/(IF(ISNUMBER(G1379),G1379,F1379)-IF(ISNUMBER(G1378),G1378,F1378)))</f>
        <v/>
      </c>
      <c r="W1379" s="30">
        <f>IF(NOT(AND(ISNUMBER(N1379),ISNUMBER(P1379))),"",(P1379-N1379)*1440)</f>
        <v/>
      </c>
      <c r="X1379" s="28" t="n"/>
      <c r="Y1379" s="28" t="n"/>
      <c r="Z1379" s="28" t="n"/>
      <c r="AA1379" s="31" t="n"/>
      <c r="AB1379" s="31" t="n"/>
    </row>
    <row r="1380">
      <c r="A1380" s="25" t="inlineStr">
        <is>
          <t>S27</t>
        </is>
      </c>
      <c r="B1380" s="25" t="inlineStr">
        <is>
          <t>전의 신규점</t>
        </is>
      </c>
      <c r="C1380" s="25" t="inlineStr">
        <is>
          <t>S27-H서</t>
        </is>
      </c>
      <c r="D1380" s="25" t="inlineStr">
        <is>
          <t>측정</t>
        </is>
      </c>
      <c r="E1380" s="25" t="inlineStr">
        <is>
          <t>서</t>
        </is>
      </c>
      <c r="F1380" s="30" t="n">
        <v>9</v>
      </c>
      <c r="G1380" s="29" t="n"/>
      <c r="H1380" s="42" t="n"/>
      <c r="I1380" s="40" t="n"/>
      <c r="J1380" s="40" t="n"/>
      <c r="K1380" s="40" t="n"/>
      <c r="L1380" s="30">
        <f>IF(COUNT(I1380:K1380)=0,"",MEDIAN(I1380:K1380))</f>
        <v/>
      </c>
      <c r="M1380" s="25">
        <f>IF(COUNTIFS($C:$C,$C1380,$D:$D,"P0(전)",$L:$L,"&gt;0")&lt;&gt;1,"P0(전) 유효 1개 아님",IF(COUNTIFS($C:$C,$C1380,$D:$D,"P0(후)",$L:$L,"&gt;0")&lt;&gt;1,"P0(후) 유효 1개 아님",IF(NOT(AND(ISNUMBER(N1380),ISNUMBER(P1380),ISNUMBER(H1380))),"시각 결측",IF(P1380&lt;=N1380,"P0 시각 역전",IF(OR(H1380&lt;N1380,H1380&gt;P1380),"측정시각 구간 밖","OK")))))</f>
        <v/>
      </c>
      <c r="N1380" s="45">
        <f>IF(COUNTIFS($C:$C,$C1380,$D:$D,"P0(전)",$L:$L,"&gt;0")&lt;&gt;1,"",SUMIFS($H:$H,$C:$C,$C1380,$D:$D,"P0(전)"))</f>
        <v/>
      </c>
      <c r="O1380" s="30">
        <f>IF(COUNTIFS($C:$C,$C1380,$D:$D,"P0(전)",$L:$L,"&gt;0")&lt;&gt;1,"",SUMIFS($L:$L,$C:$C,$C1380,$D:$D,"P0(전)"))</f>
        <v/>
      </c>
      <c r="P1380" s="45">
        <f>IF(COUNTIFS($C:$C,$C1380,$D:$D,"P0(후)",$L:$L,"&gt;0")&lt;&gt;1,"",SUMIFS($H:$H,$C:$C,$C1380,$D:$D,"P0(후)"))</f>
        <v/>
      </c>
      <c r="Q1380" s="30">
        <f>IF(COUNTIFS($C:$C,$C1380,$D:$D,"P0(후)",$L:$L,"&gt;0")&lt;&gt;1,"",SUMIFS($L:$L,$C:$C,$C1380,$D:$D,"P0(후)"))</f>
        <v/>
      </c>
      <c r="R1380" s="30">
        <f>IF(M1380&lt;&gt;"OK","",O1380+(Q1380-O1380)*(H1380-N1380)/(P1380-N1380))</f>
        <v/>
      </c>
      <c r="S1380" s="30">
        <f>IF(OR(M1380&lt;&gt;"OK",NOT(ISNUMBER(L1380))),"",L1380-R1380)</f>
        <v/>
      </c>
      <c r="T1380" s="46">
        <f>IF(OR(NOT(ISNUMBER(S1380)),IF(ISNUMBER(G1380),G1380,F1380)=0),"",S1380/IF(ISNUMBER(G1380),G1380,F1380))</f>
        <v/>
      </c>
      <c r="U1380" s="46">
        <f>IF(ISNUMBER(T1380),ABS(T1380),"")</f>
        <v/>
      </c>
      <c r="V1380" s="46">
        <f>IF(OR($D1379&lt;&gt;"측정",$C1379&lt;&gt;$C1380,NOT(ISNUMBER(L1380)),NOT(ISNUMBER(L1379)),(IF(ISNUMBER(G1380),G1380,F1380)-IF(ISNUMBER(G1379),G1379,F1379))=0),"",(L1380-L1379)/(IF(ISNUMBER(G1380),G1380,F1380)-IF(ISNUMBER(G1379),G1379,F1379)))</f>
        <v/>
      </c>
      <c r="W1380" s="30">
        <f>IF(NOT(AND(ISNUMBER(N1380),ISNUMBER(P1380))),"",(P1380-N1380)*1440)</f>
        <v/>
      </c>
      <c r="X1380" s="28" t="n"/>
      <c r="Y1380" s="28" t="n"/>
      <c r="Z1380" s="28" t="n"/>
      <c r="AA1380" s="31" t="n"/>
      <c r="AB1380" s="31" t="n"/>
    </row>
    <row r="1381">
      <c r="A1381" s="25" t="inlineStr">
        <is>
          <t>S27</t>
        </is>
      </c>
      <c r="B1381" s="25" t="inlineStr">
        <is>
          <t>전의 신규점</t>
        </is>
      </c>
      <c r="C1381" s="25" t="inlineStr">
        <is>
          <t>S27-H서</t>
        </is>
      </c>
      <c r="D1381" s="25" t="inlineStr">
        <is>
          <t>측정</t>
        </is>
      </c>
      <c r="E1381" s="25" t="inlineStr">
        <is>
          <t>서</t>
        </is>
      </c>
      <c r="F1381" s="30" t="n">
        <v>10</v>
      </c>
      <c r="G1381" s="29" t="n"/>
      <c r="H1381" s="42" t="n"/>
      <c r="I1381" s="40" t="n"/>
      <c r="J1381" s="40" t="n"/>
      <c r="K1381" s="40" t="n"/>
      <c r="L1381" s="30">
        <f>IF(COUNT(I1381:K1381)=0,"",MEDIAN(I1381:K1381))</f>
        <v/>
      </c>
      <c r="M1381" s="25">
        <f>IF(COUNTIFS($C:$C,$C1381,$D:$D,"P0(전)",$L:$L,"&gt;0")&lt;&gt;1,"P0(전) 유효 1개 아님",IF(COUNTIFS($C:$C,$C1381,$D:$D,"P0(후)",$L:$L,"&gt;0")&lt;&gt;1,"P0(후) 유효 1개 아님",IF(NOT(AND(ISNUMBER(N1381),ISNUMBER(P1381),ISNUMBER(H1381))),"시각 결측",IF(P1381&lt;=N1381,"P0 시각 역전",IF(OR(H1381&lt;N1381,H1381&gt;P1381),"측정시각 구간 밖","OK")))))</f>
        <v/>
      </c>
      <c r="N1381" s="45">
        <f>IF(COUNTIFS($C:$C,$C1381,$D:$D,"P0(전)",$L:$L,"&gt;0")&lt;&gt;1,"",SUMIFS($H:$H,$C:$C,$C1381,$D:$D,"P0(전)"))</f>
        <v/>
      </c>
      <c r="O1381" s="30">
        <f>IF(COUNTIFS($C:$C,$C1381,$D:$D,"P0(전)",$L:$L,"&gt;0")&lt;&gt;1,"",SUMIFS($L:$L,$C:$C,$C1381,$D:$D,"P0(전)"))</f>
        <v/>
      </c>
      <c r="P1381" s="45">
        <f>IF(COUNTIFS($C:$C,$C1381,$D:$D,"P0(후)",$L:$L,"&gt;0")&lt;&gt;1,"",SUMIFS($H:$H,$C:$C,$C1381,$D:$D,"P0(후)"))</f>
        <v/>
      </c>
      <c r="Q1381" s="30">
        <f>IF(COUNTIFS($C:$C,$C1381,$D:$D,"P0(후)",$L:$L,"&gt;0")&lt;&gt;1,"",SUMIFS($L:$L,$C:$C,$C1381,$D:$D,"P0(후)"))</f>
        <v/>
      </c>
      <c r="R1381" s="30">
        <f>IF(M1381&lt;&gt;"OK","",O1381+(Q1381-O1381)*(H1381-N1381)/(P1381-N1381))</f>
        <v/>
      </c>
      <c r="S1381" s="30">
        <f>IF(OR(M1381&lt;&gt;"OK",NOT(ISNUMBER(L1381))),"",L1381-R1381)</f>
        <v/>
      </c>
      <c r="T1381" s="46">
        <f>IF(OR(NOT(ISNUMBER(S1381)),IF(ISNUMBER(G1381),G1381,F1381)=0),"",S1381/IF(ISNUMBER(G1381),G1381,F1381))</f>
        <v/>
      </c>
      <c r="U1381" s="46">
        <f>IF(ISNUMBER(T1381),ABS(T1381),"")</f>
        <v/>
      </c>
      <c r="V1381" s="46">
        <f>IF(OR($D1380&lt;&gt;"측정",$C1380&lt;&gt;$C1381,NOT(ISNUMBER(L1381)),NOT(ISNUMBER(L1380)),(IF(ISNUMBER(G1381),G1381,F1381)-IF(ISNUMBER(G1380),G1380,F1380))=0),"",(L1381-L1380)/(IF(ISNUMBER(G1381),G1381,F1381)-IF(ISNUMBER(G1380),G1380,F1380)))</f>
        <v/>
      </c>
      <c r="W1381" s="30">
        <f>IF(NOT(AND(ISNUMBER(N1381),ISNUMBER(P1381))),"",(P1381-N1381)*1440)</f>
        <v/>
      </c>
      <c r="X1381" s="28" t="n"/>
      <c r="Y1381" s="28" t="n"/>
      <c r="Z1381" s="28" t="n"/>
      <c r="AA1381" s="31" t="n"/>
      <c r="AB1381" s="31" t="n"/>
    </row>
    <row r="1382">
      <c r="A1382" s="43" t="inlineStr">
        <is>
          <t>S27</t>
        </is>
      </c>
      <c r="B1382" s="43" t="inlineStr">
        <is>
          <t>전의 신규점</t>
        </is>
      </c>
      <c r="C1382" s="43" t="inlineStr">
        <is>
          <t>S27-H서</t>
        </is>
      </c>
      <c r="D1382" s="43" t="inlineStr">
        <is>
          <t>P0(후)</t>
        </is>
      </c>
      <c r="E1382" s="43" t="inlineStr">
        <is>
          <t>서</t>
        </is>
      </c>
      <c r="F1382" s="44" t="n"/>
      <c r="G1382" s="29" t="n"/>
      <c r="H1382" s="42" t="n"/>
      <c r="I1382" s="40" t="n"/>
      <c r="J1382" s="40" t="n"/>
      <c r="K1382" s="40" t="n"/>
      <c r="L1382" s="30">
        <f>IF(COUNT(I1382:K1382)=0,"",MEDIAN(I1382:K1382))</f>
        <v/>
      </c>
      <c r="M1382" s="37" t="n"/>
      <c r="N1382" s="37" t="n"/>
      <c r="O1382" s="37" t="n"/>
      <c r="P1382" s="37" t="n"/>
      <c r="Q1382" s="37" t="n"/>
      <c r="R1382" s="37" t="n"/>
      <c r="S1382" s="37" t="n"/>
      <c r="T1382" s="37" t="n"/>
      <c r="U1382" s="37" t="n"/>
      <c r="V1382" s="37" t="n"/>
      <c r="W1382" s="37" t="n"/>
      <c r="X1382" s="28" t="n"/>
      <c r="Y1382" s="28" t="n"/>
      <c r="Z1382" s="28" t="n"/>
      <c r="AA1382" s="31" t="n"/>
      <c r="AB1382" s="31" t="n"/>
    </row>
    <row r="1383">
      <c r="A1383" s="43" t="inlineStr">
        <is>
          <t>S27</t>
        </is>
      </c>
      <c r="B1383" s="43" t="inlineStr">
        <is>
          <t>전의 신규점</t>
        </is>
      </c>
      <c r="C1383" s="43" t="inlineStr">
        <is>
          <t>S27-H남</t>
        </is>
      </c>
      <c r="D1383" s="43" t="inlineStr">
        <is>
          <t>P0(전)</t>
        </is>
      </c>
      <c r="E1383" s="43" t="inlineStr">
        <is>
          <t>남</t>
        </is>
      </c>
      <c r="F1383" s="44" t="n"/>
      <c r="G1383" s="29" t="n"/>
      <c r="H1383" s="42" t="n"/>
      <c r="I1383" s="40" t="n"/>
      <c r="J1383" s="40" t="n"/>
      <c r="K1383" s="40" t="n"/>
      <c r="L1383" s="30">
        <f>IF(COUNT(I1383:K1383)=0,"",MEDIAN(I1383:K1383))</f>
        <v/>
      </c>
      <c r="M1383" s="37" t="n"/>
      <c r="N1383" s="37" t="n"/>
      <c r="O1383" s="37" t="n"/>
      <c r="P1383" s="37" t="n"/>
      <c r="Q1383" s="37" t="n"/>
      <c r="R1383" s="37" t="n"/>
      <c r="S1383" s="37" t="n"/>
      <c r="T1383" s="37" t="n"/>
      <c r="U1383" s="37" t="n"/>
      <c r="V1383" s="37" t="n"/>
      <c r="W1383" s="37" t="n"/>
      <c r="X1383" s="28" t="n"/>
      <c r="Y1383" s="28" t="n"/>
      <c r="Z1383" s="28" t="n"/>
      <c r="AA1383" s="31" t="n"/>
      <c r="AB1383" s="31" t="n"/>
    </row>
    <row r="1384">
      <c r="A1384" s="25" t="inlineStr">
        <is>
          <t>S27</t>
        </is>
      </c>
      <c r="B1384" s="25" t="inlineStr">
        <is>
          <t>전의 신규점</t>
        </is>
      </c>
      <c r="C1384" s="25" t="inlineStr">
        <is>
          <t>S27-H남</t>
        </is>
      </c>
      <c r="D1384" s="25" t="inlineStr">
        <is>
          <t>측정</t>
        </is>
      </c>
      <c r="E1384" s="25" t="inlineStr">
        <is>
          <t>남</t>
        </is>
      </c>
      <c r="F1384" s="30" t="n">
        <v>0.5</v>
      </c>
      <c r="G1384" s="29" t="n"/>
      <c r="H1384" s="42" t="n"/>
      <c r="I1384" s="40" t="n"/>
      <c r="J1384" s="40" t="n"/>
      <c r="K1384" s="40" t="n"/>
      <c r="L1384" s="30">
        <f>IF(COUNT(I1384:K1384)=0,"",MEDIAN(I1384:K1384))</f>
        <v/>
      </c>
      <c r="M1384" s="25">
        <f>IF(COUNTIFS($C:$C,$C1384,$D:$D,"P0(전)",$L:$L,"&gt;0")&lt;&gt;1,"P0(전) 유효 1개 아님",IF(COUNTIFS($C:$C,$C1384,$D:$D,"P0(후)",$L:$L,"&gt;0")&lt;&gt;1,"P0(후) 유효 1개 아님",IF(NOT(AND(ISNUMBER(N1384),ISNUMBER(P1384),ISNUMBER(H1384))),"시각 결측",IF(P1384&lt;=N1384,"P0 시각 역전",IF(OR(H1384&lt;N1384,H1384&gt;P1384),"측정시각 구간 밖","OK")))))</f>
        <v/>
      </c>
      <c r="N1384" s="45">
        <f>IF(COUNTIFS($C:$C,$C1384,$D:$D,"P0(전)",$L:$L,"&gt;0")&lt;&gt;1,"",SUMIFS($H:$H,$C:$C,$C1384,$D:$D,"P0(전)"))</f>
        <v/>
      </c>
      <c r="O1384" s="30">
        <f>IF(COUNTIFS($C:$C,$C1384,$D:$D,"P0(전)",$L:$L,"&gt;0")&lt;&gt;1,"",SUMIFS($L:$L,$C:$C,$C1384,$D:$D,"P0(전)"))</f>
        <v/>
      </c>
      <c r="P1384" s="45">
        <f>IF(COUNTIFS($C:$C,$C1384,$D:$D,"P0(후)",$L:$L,"&gt;0")&lt;&gt;1,"",SUMIFS($H:$H,$C:$C,$C1384,$D:$D,"P0(후)"))</f>
        <v/>
      </c>
      <c r="Q1384" s="30">
        <f>IF(COUNTIFS($C:$C,$C1384,$D:$D,"P0(후)",$L:$L,"&gt;0")&lt;&gt;1,"",SUMIFS($L:$L,$C:$C,$C1384,$D:$D,"P0(후)"))</f>
        <v/>
      </c>
      <c r="R1384" s="30">
        <f>IF(M1384&lt;&gt;"OK","",O1384+(Q1384-O1384)*(H1384-N1384)/(P1384-N1384))</f>
        <v/>
      </c>
      <c r="S1384" s="30">
        <f>IF(OR(M1384&lt;&gt;"OK",NOT(ISNUMBER(L1384))),"",L1384-R1384)</f>
        <v/>
      </c>
      <c r="T1384" s="46">
        <f>IF(OR(NOT(ISNUMBER(S1384)),IF(ISNUMBER(G1384),G1384,F1384)=0),"",S1384/IF(ISNUMBER(G1384),G1384,F1384))</f>
        <v/>
      </c>
      <c r="U1384" s="46">
        <f>IF(ISNUMBER(T1384),ABS(T1384),"")</f>
        <v/>
      </c>
      <c r="V1384" s="46">
        <f>IF(OR($D1383&lt;&gt;"측정",$C1383&lt;&gt;$C1384,NOT(ISNUMBER(L1384)),NOT(ISNUMBER(L1383)),(IF(ISNUMBER(G1384),G1384,F1384)-IF(ISNUMBER(G1383),G1383,F1383))=0),"",(L1384-L1383)/(IF(ISNUMBER(G1384),G1384,F1384)-IF(ISNUMBER(G1383),G1383,F1383)))</f>
        <v/>
      </c>
      <c r="W1384" s="30">
        <f>IF(NOT(AND(ISNUMBER(N1384),ISNUMBER(P1384))),"",(P1384-N1384)*1440)</f>
        <v/>
      </c>
      <c r="X1384" s="28" t="n"/>
      <c r="Y1384" s="28" t="n"/>
      <c r="Z1384" s="28" t="n"/>
      <c r="AA1384" s="31" t="n"/>
      <c r="AB1384" s="31" t="n"/>
    </row>
    <row r="1385">
      <c r="A1385" s="25" t="inlineStr">
        <is>
          <t>S27</t>
        </is>
      </c>
      <c r="B1385" s="25" t="inlineStr">
        <is>
          <t>전의 신규점</t>
        </is>
      </c>
      <c r="C1385" s="25" t="inlineStr">
        <is>
          <t>S27-H남</t>
        </is>
      </c>
      <c r="D1385" s="25" t="inlineStr">
        <is>
          <t>측정</t>
        </is>
      </c>
      <c r="E1385" s="25" t="inlineStr">
        <is>
          <t>남</t>
        </is>
      </c>
      <c r="F1385" s="30" t="n">
        <v>1</v>
      </c>
      <c r="G1385" s="29" t="n"/>
      <c r="H1385" s="42" t="n"/>
      <c r="I1385" s="40" t="n"/>
      <c r="J1385" s="40" t="n"/>
      <c r="K1385" s="40" t="n"/>
      <c r="L1385" s="30">
        <f>IF(COUNT(I1385:K1385)=0,"",MEDIAN(I1385:K1385))</f>
        <v/>
      </c>
      <c r="M1385" s="25">
        <f>IF(COUNTIFS($C:$C,$C1385,$D:$D,"P0(전)",$L:$L,"&gt;0")&lt;&gt;1,"P0(전) 유효 1개 아님",IF(COUNTIFS($C:$C,$C1385,$D:$D,"P0(후)",$L:$L,"&gt;0")&lt;&gt;1,"P0(후) 유효 1개 아님",IF(NOT(AND(ISNUMBER(N1385),ISNUMBER(P1385),ISNUMBER(H1385))),"시각 결측",IF(P1385&lt;=N1385,"P0 시각 역전",IF(OR(H1385&lt;N1385,H1385&gt;P1385),"측정시각 구간 밖","OK")))))</f>
        <v/>
      </c>
      <c r="N1385" s="45">
        <f>IF(COUNTIFS($C:$C,$C1385,$D:$D,"P0(전)",$L:$L,"&gt;0")&lt;&gt;1,"",SUMIFS($H:$H,$C:$C,$C1385,$D:$D,"P0(전)"))</f>
        <v/>
      </c>
      <c r="O1385" s="30">
        <f>IF(COUNTIFS($C:$C,$C1385,$D:$D,"P0(전)",$L:$L,"&gt;0")&lt;&gt;1,"",SUMIFS($L:$L,$C:$C,$C1385,$D:$D,"P0(전)"))</f>
        <v/>
      </c>
      <c r="P1385" s="45">
        <f>IF(COUNTIFS($C:$C,$C1385,$D:$D,"P0(후)",$L:$L,"&gt;0")&lt;&gt;1,"",SUMIFS($H:$H,$C:$C,$C1385,$D:$D,"P0(후)"))</f>
        <v/>
      </c>
      <c r="Q1385" s="30">
        <f>IF(COUNTIFS($C:$C,$C1385,$D:$D,"P0(후)",$L:$L,"&gt;0")&lt;&gt;1,"",SUMIFS($L:$L,$C:$C,$C1385,$D:$D,"P0(후)"))</f>
        <v/>
      </c>
      <c r="R1385" s="30">
        <f>IF(M1385&lt;&gt;"OK","",O1385+(Q1385-O1385)*(H1385-N1385)/(P1385-N1385))</f>
        <v/>
      </c>
      <c r="S1385" s="30">
        <f>IF(OR(M1385&lt;&gt;"OK",NOT(ISNUMBER(L1385))),"",L1385-R1385)</f>
        <v/>
      </c>
      <c r="T1385" s="46">
        <f>IF(OR(NOT(ISNUMBER(S1385)),IF(ISNUMBER(G1385),G1385,F1385)=0),"",S1385/IF(ISNUMBER(G1385),G1385,F1385))</f>
        <v/>
      </c>
      <c r="U1385" s="46">
        <f>IF(ISNUMBER(T1385),ABS(T1385),"")</f>
        <v/>
      </c>
      <c r="V1385" s="46">
        <f>IF(OR($D1384&lt;&gt;"측정",$C1384&lt;&gt;$C1385,NOT(ISNUMBER(L1385)),NOT(ISNUMBER(L1384)),(IF(ISNUMBER(G1385),G1385,F1385)-IF(ISNUMBER(G1384),G1384,F1384))=0),"",(L1385-L1384)/(IF(ISNUMBER(G1385),G1385,F1385)-IF(ISNUMBER(G1384),G1384,F1384)))</f>
        <v/>
      </c>
      <c r="W1385" s="30">
        <f>IF(NOT(AND(ISNUMBER(N1385),ISNUMBER(P1385))),"",(P1385-N1385)*1440)</f>
        <v/>
      </c>
      <c r="X1385" s="28" t="n"/>
      <c r="Y1385" s="28" t="n"/>
      <c r="Z1385" s="28" t="n"/>
      <c r="AA1385" s="31" t="n"/>
      <c r="AB1385" s="31" t="n"/>
    </row>
    <row r="1386">
      <c r="A1386" s="25" t="inlineStr">
        <is>
          <t>S27</t>
        </is>
      </c>
      <c r="B1386" s="25" t="inlineStr">
        <is>
          <t>전의 신규점</t>
        </is>
      </c>
      <c r="C1386" s="25" t="inlineStr">
        <is>
          <t>S27-H남</t>
        </is>
      </c>
      <c r="D1386" s="25" t="inlineStr">
        <is>
          <t>측정</t>
        </is>
      </c>
      <c r="E1386" s="25" t="inlineStr">
        <is>
          <t>남</t>
        </is>
      </c>
      <c r="F1386" s="30" t="n">
        <v>2</v>
      </c>
      <c r="G1386" s="29" t="n"/>
      <c r="H1386" s="42" t="n"/>
      <c r="I1386" s="40" t="n"/>
      <c r="J1386" s="40" t="n"/>
      <c r="K1386" s="40" t="n"/>
      <c r="L1386" s="30">
        <f>IF(COUNT(I1386:K1386)=0,"",MEDIAN(I1386:K1386))</f>
        <v/>
      </c>
      <c r="M1386" s="25">
        <f>IF(COUNTIFS($C:$C,$C1386,$D:$D,"P0(전)",$L:$L,"&gt;0")&lt;&gt;1,"P0(전) 유효 1개 아님",IF(COUNTIFS($C:$C,$C1386,$D:$D,"P0(후)",$L:$L,"&gt;0")&lt;&gt;1,"P0(후) 유효 1개 아님",IF(NOT(AND(ISNUMBER(N1386),ISNUMBER(P1386),ISNUMBER(H1386))),"시각 결측",IF(P1386&lt;=N1386,"P0 시각 역전",IF(OR(H1386&lt;N1386,H1386&gt;P1386),"측정시각 구간 밖","OK")))))</f>
        <v/>
      </c>
      <c r="N1386" s="45">
        <f>IF(COUNTIFS($C:$C,$C1386,$D:$D,"P0(전)",$L:$L,"&gt;0")&lt;&gt;1,"",SUMIFS($H:$H,$C:$C,$C1386,$D:$D,"P0(전)"))</f>
        <v/>
      </c>
      <c r="O1386" s="30">
        <f>IF(COUNTIFS($C:$C,$C1386,$D:$D,"P0(전)",$L:$L,"&gt;0")&lt;&gt;1,"",SUMIFS($L:$L,$C:$C,$C1386,$D:$D,"P0(전)"))</f>
        <v/>
      </c>
      <c r="P1386" s="45">
        <f>IF(COUNTIFS($C:$C,$C1386,$D:$D,"P0(후)",$L:$L,"&gt;0")&lt;&gt;1,"",SUMIFS($H:$H,$C:$C,$C1386,$D:$D,"P0(후)"))</f>
        <v/>
      </c>
      <c r="Q1386" s="30">
        <f>IF(COUNTIFS($C:$C,$C1386,$D:$D,"P0(후)",$L:$L,"&gt;0")&lt;&gt;1,"",SUMIFS($L:$L,$C:$C,$C1386,$D:$D,"P0(후)"))</f>
        <v/>
      </c>
      <c r="R1386" s="30">
        <f>IF(M1386&lt;&gt;"OK","",O1386+(Q1386-O1386)*(H1386-N1386)/(P1386-N1386))</f>
        <v/>
      </c>
      <c r="S1386" s="30">
        <f>IF(OR(M1386&lt;&gt;"OK",NOT(ISNUMBER(L1386))),"",L1386-R1386)</f>
        <v/>
      </c>
      <c r="T1386" s="46">
        <f>IF(OR(NOT(ISNUMBER(S1386)),IF(ISNUMBER(G1386),G1386,F1386)=0),"",S1386/IF(ISNUMBER(G1386),G1386,F1386))</f>
        <v/>
      </c>
      <c r="U1386" s="46">
        <f>IF(ISNUMBER(T1386),ABS(T1386),"")</f>
        <v/>
      </c>
      <c r="V1386" s="46">
        <f>IF(OR($D1385&lt;&gt;"측정",$C1385&lt;&gt;$C1386,NOT(ISNUMBER(L1386)),NOT(ISNUMBER(L1385)),(IF(ISNUMBER(G1386),G1386,F1386)-IF(ISNUMBER(G1385),G1385,F1385))=0),"",(L1386-L1385)/(IF(ISNUMBER(G1386),G1386,F1386)-IF(ISNUMBER(G1385),G1385,F1385)))</f>
        <v/>
      </c>
      <c r="W1386" s="30">
        <f>IF(NOT(AND(ISNUMBER(N1386),ISNUMBER(P1386))),"",(P1386-N1386)*1440)</f>
        <v/>
      </c>
      <c r="X1386" s="28" t="n"/>
      <c r="Y1386" s="28" t="n"/>
      <c r="Z1386" s="28" t="n"/>
      <c r="AA1386" s="31" t="n"/>
      <c r="AB1386" s="31" t="n"/>
    </row>
    <row r="1387">
      <c r="A1387" s="25" t="inlineStr">
        <is>
          <t>S27</t>
        </is>
      </c>
      <c r="B1387" s="25" t="inlineStr">
        <is>
          <t>전의 신규점</t>
        </is>
      </c>
      <c r="C1387" s="25" t="inlineStr">
        <is>
          <t>S27-H남</t>
        </is>
      </c>
      <c r="D1387" s="25" t="inlineStr">
        <is>
          <t>측정</t>
        </is>
      </c>
      <c r="E1387" s="25" t="inlineStr">
        <is>
          <t>남</t>
        </is>
      </c>
      <c r="F1387" s="30" t="n">
        <v>3</v>
      </c>
      <c r="G1387" s="29" t="n"/>
      <c r="H1387" s="42" t="n"/>
      <c r="I1387" s="40" t="n"/>
      <c r="J1387" s="40" t="n"/>
      <c r="K1387" s="40" t="n"/>
      <c r="L1387" s="30">
        <f>IF(COUNT(I1387:K1387)=0,"",MEDIAN(I1387:K1387))</f>
        <v/>
      </c>
      <c r="M1387" s="25">
        <f>IF(COUNTIFS($C:$C,$C1387,$D:$D,"P0(전)",$L:$L,"&gt;0")&lt;&gt;1,"P0(전) 유효 1개 아님",IF(COUNTIFS($C:$C,$C1387,$D:$D,"P0(후)",$L:$L,"&gt;0")&lt;&gt;1,"P0(후) 유효 1개 아님",IF(NOT(AND(ISNUMBER(N1387),ISNUMBER(P1387),ISNUMBER(H1387))),"시각 결측",IF(P1387&lt;=N1387,"P0 시각 역전",IF(OR(H1387&lt;N1387,H1387&gt;P1387),"측정시각 구간 밖","OK")))))</f>
        <v/>
      </c>
      <c r="N1387" s="45">
        <f>IF(COUNTIFS($C:$C,$C1387,$D:$D,"P0(전)",$L:$L,"&gt;0")&lt;&gt;1,"",SUMIFS($H:$H,$C:$C,$C1387,$D:$D,"P0(전)"))</f>
        <v/>
      </c>
      <c r="O1387" s="30">
        <f>IF(COUNTIFS($C:$C,$C1387,$D:$D,"P0(전)",$L:$L,"&gt;0")&lt;&gt;1,"",SUMIFS($L:$L,$C:$C,$C1387,$D:$D,"P0(전)"))</f>
        <v/>
      </c>
      <c r="P1387" s="45">
        <f>IF(COUNTIFS($C:$C,$C1387,$D:$D,"P0(후)",$L:$L,"&gt;0")&lt;&gt;1,"",SUMIFS($H:$H,$C:$C,$C1387,$D:$D,"P0(후)"))</f>
        <v/>
      </c>
      <c r="Q1387" s="30">
        <f>IF(COUNTIFS($C:$C,$C1387,$D:$D,"P0(후)",$L:$L,"&gt;0")&lt;&gt;1,"",SUMIFS($L:$L,$C:$C,$C1387,$D:$D,"P0(후)"))</f>
        <v/>
      </c>
      <c r="R1387" s="30">
        <f>IF(M1387&lt;&gt;"OK","",O1387+(Q1387-O1387)*(H1387-N1387)/(P1387-N1387))</f>
        <v/>
      </c>
      <c r="S1387" s="30">
        <f>IF(OR(M1387&lt;&gt;"OK",NOT(ISNUMBER(L1387))),"",L1387-R1387)</f>
        <v/>
      </c>
      <c r="T1387" s="46">
        <f>IF(OR(NOT(ISNUMBER(S1387)),IF(ISNUMBER(G1387),G1387,F1387)=0),"",S1387/IF(ISNUMBER(G1387),G1387,F1387))</f>
        <v/>
      </c>
      <c r="U1387" s="46">
        <f>IF(ISNUMBER(T1387),ABS(T1387),"")</f>
        <v/>
      </c>
      <c r="V1387" s="46">
        <f>IF(OR($D1386&lt;&gt;"측정",$C1386&lt;&gt;$C1387,NOT(ISNUMBER(L1387)),NOT(ISNUMBER(L1386)),(IF(ISNUMBER(G1387),G1387,F1387)-IF(ISNUMBER(G1386),G1386,F1386))=0),"",(L1387-L1386)/(IF(ISNUMBER(G1387),G1387,F1387)-IF(ISNUMBER(G1386),G1386,F1386)))</f>
        <v/>
      </c>
      <c r="W1387" s="30">
        <f>IF(NOT(AND(ISNUMBER(N1387),ISNUMBER(P1387))),"",(P1387-N1387)*1440)</f>
        <v/>
      </c>
      <c r="X1387" s="28" t="n"/>
      <c r="Y1387" s="28" t="n"/>
      <c r="Z1387" s="28" t="n"/>
      <c r="AA1387" s="31" t="n"/>
      <c r="AB1387" s="31" t="n"/>
    </row>
    <row r="1388">
      <c r="A1388" s="25" t="inlineStr">
        <is>
          <t>S27</t>
        </is>
      </c>
      <c r="B1388" s="25" t="inlineStr">
        <is>
          <t>전의 신규점</t>
        </is>
      </c>
      <c r="C1388" s="25" t="inlineStr">
        <is>
          <t>S27-H남</t>
        </is>
      </c>
      <c r="D1388" s="25" t="inlineStr">
        <is>
          <t>측정</t>
        </is>
      </c>
      <c r="E1388" s="25" t="inlineStr">
        <is>
          <t>남</t>
        </is>
      </c>
      <c r="F1388" s="30" t="n">
        <v>4</v>
      </c>
      <c r="G1388" s="29" t="n"/>
      <c r="H1388" s="42" t="n"/>
      <c r="I1388" s="40" t="n"/>
      <c r="J1388" s="40" t="n"/>
      <c r="K1388" s="40" t="n"/>
      <c r="L1388" s="30">
        <f>IF(COUNT(I1388:K1388)=0,"",MEDIAN(I1388:K1388))</f>
        <v/>
      </c>
      <c r="M1388" s="25">
        <f>IF(COUNTIFS($C:$C,$C1388,$D:$D,"P0(전)",$L:$L,"&gt;0")&lt;&gt;1,"P0(전) 유효 1개 아님",IF(COUNTIFS($C:$C,$C1388,$D:$D,"P0(후)",$L:$L,"&gt;0")&lt;&gt;1,"P0(후) 유효 1개 아님",IF(NOT(AND(ISNUMBER(N1388),ISNUMBER(P1388),ISNUMBER(H1388))),"시각 결측",IF(P1388&lt;=N1388,"P0 시각 역전",IF(OR(H1388&lt;N1388,H1388&gt;P1388),"측정시각 구간 밖","OK")))))</f>
        <v/>
      </c>
      <c r="N1388" s="45">
        <f>IF(COUNTIFS($C:$C,$C1388,$D:$D,"P0(전)",$L:$L,"&gt;0")&lt;&gt;1,"",SUMIFS($H:$H,$C:$C,$C1388,$D:$D,"P0(전)"))</f>
        <v/>
      </c>
      <c r="O1388" s="30">
        <f>IF(COUNTIFS($C:$C,$C1388,$D:$D,"P0(전)",$L:$L,"&gt;0")&lt;&gt;1,"",SUMIFS($L:$L,$C:$C,$C1388,$D:$D,"P0(전)"))</f>
        <v/>
      </c>
      <c r="P1388" s="45">
        <f>IF(COUNTIFS($C:$C,$C1388,$D:$D,"P0(후)",$L:$L,"&gt;0")&lt;&gt;1,"",SUMIFS($H:$H,$C:$C,$C1388,$D:$D,"P0(후)"))</f>
        <v/>
      </c>
      <c r="Q1388" s="30">
        <f>IF(COUNTIFS($C:$C,$C1388,$D:$D,"P0(후)",$L:$L,"&gt;0")&lt;&gt;1,"",SUMIFS($L:$L,$C:$C,$C1388,$D:$D,"P0(후)"))</f>
        <v/>
      </c>
      <c r="R1388" s="30">
        <f>IF(M1388&lt;&gt;"OK","",O1388+(Q1388-O1388)*(H1388-N1388)/(P1388-N1388))</f>
        <v/>
      </c>
      <c r="S1388" s="30">
        <f>IF(OR(M1388&lt;&gt;"OK",NOT(ISNUMBER(L1388))),"",L1388-R1388)</f>
        <v/>
      </c>
      <c r="T1388" s="46">
        <f>IF(OR(NOT(ISNUMBER(S1388)),IF(ISNUMBER(G1388),G1388,F1388)=0),"",S1388/IF(ISNUMBER(G1388),G1388,F1388))</f>
        <v/>
      </c>
      <c r="U1388" s="46">
        <f>IF(ISNUMBER(T1388),ABS(T1388),"")</f>
        <v/>
      </c>
      <c r="V1388" s="46">
        <f>IF(OR($D1387&lt;&gt;"측정",$C1387&lt;&gt;$C1388,NOT(ISNUMBER(L1388)),NOT(ISNUMBER(L1387)),(IF(ISNUMBER(G1388),G1388,F1388)-IF(ISNUMBER(G1387),G1387,F1387))=0),"",(L1388-L1387)/(IF(ISNUMBER(G1388),G1388,F1388)-IF(ISNUMBER(G1387),G1387,F1387)))</f>
        <v/>
      </c>
      <c r="W1388" s="30">
        <f>IF(NOT(AND(ISNUMBER(N1388),ISNUMBER(P1388))),"",(P1388-N1388)*1440)</f>
        <v/>
      </c>
      <c r="X1388" s="28" t="n"/>
      <c r="Y1388" s="28" t="n"/>
      <c r="Z1388" s="28" t="n"/>
      <c r="AA1388" s="31" t="n"/>
      <c r="AB1388" s="31" t="n"/>
    </row>
    <row r="1389">
      <c r="A1389" s="25" t="inlineStr">
        <is>
          <t>S27</t>
        </is>
      </c>
      <c r="B1389" s="25" t="inlineStr">
        <is>
          <t>전의 신규점</t>
        </is>
      </c>
      <c r="C1389" s="25" t="inlineStr">
        <is>
          <t>S27-H남</t>
        </is>
      </c>
      <c r="D1389" s="25" t="inlineStr">
        <is>
          <t>측정</t>
        </is>
      </c>
      <c r="E1389" s="25" t="inlineStr">
        <is>
          <t>남</t>
        </is>
      </c>
      <c r="F1389" s="30" t="n">
        <v>5</v>
      </c>
      <c r="G1389" s="29" t="n"/>
      <c r="H1389" s="42" t="n"/>
      <c r="I1389" s="40" t="n"/>
      <c r="J1389" s="40" t="n"/>
      <c r="K1389" s="40" t="n"/>
      <c r="L1389" s="30">
        <f>IF(COUNT(I1389:K1389)=0,"",MEDIAN(I1389:K1389))</f>
        <v/>
      </c>
      <c r="M1389" s="25">
        <f>IF(COUNTIFS($C:$C,$C1389,$D:$D,"P0(전)",$L:$L,"&gt;0")&lt;&gt;1,"P0(전) 유효 1개 아님",IF(COUNTIFS($C:$C,$C1389,$D:$D,"P0(후)",$L:$L,"&gt;0")&lt;&gt;1,"P0(후) 유효 1개 아님",IF(NOT(AND(ISNUMBER(N1389),ISNUMBER(P1389),ISNUMBER(H1389))),"시각 결측",IF(P1389&lt;=N1389,"P0 시각 역전",IF(OR(H1389&lt;N1389,H1389&gt;P1389),"측정시각 구간 밖","OK")))))</f>
        <v/>
      </c>
      <c r="N1389" s="45">
        <f>IF(COUNTIFS($C:$C,$C1389,$D:$D,"P0(전)",$L:$L,"&gt;0")&lt;&gt;1,"",SUMIFS($H:$H,$C:$C,$C1389,$D:$D,"P0(전)"))</f>
        <v/>
      </c>
      <c r="O1389" s="30">
        <f>IF(COUNTIFS($C:$C,$C1389,$D:$D,"P0(전)",$L:$L,"&gt;0")&lt;&gt;1,"",SUMIFS($L:$L,$C:$C,$C1389,$D:$D,"P0(전)"))</f>
        <v/>
      </c>
      <c r="P1389" s="45">
        <f>IF(COUNTIFS($C:$C,$C1389,$D:$D,"P0(후)",$L:$L,"&gt;0")&lt;&gt;1,"",SUMIFS($H:$H,$C:$C,$C1389,$D:$D,"P0(후)"))</f>
        <v/>
      </c>
      <c r="Q1389" s="30">
        <f>IF(COUNTIFS($C:$C,$C1389,$D:$D,"P0(후)",$L:$L,"&gt;0")&lt;&gt;1,"",SUMIFS($L:$L,$C:$C,$C1389,$D:$D,"P0(후)"))</f>
        <v/>
      </c>
      <c r="R1389" s="30">
        <f>IF(M1389&lt;&gt;"OK","",O1389+(Q1389-O1389)*(H1389-N1389)/(P1389-N1389))</f>
        <v/>
      </c>
      <c r="S1389" s="30">
        <f>IF(OR(M1389&lt;&gt;"OK",NOT(ISNUMBER(L1389))),"",L1389-R1389)</f>
        <v/>
      </c>
      <c r="T1389" s="46">
        <f>IF(OR(NOT(ISNUMBER(S1389)),IF(ISNUMBER(G1389),G1389,F1389)=0),"",S1389/IF(ISNUMBER(G1389),G1389,F1389))</f>
        <v/>
      </c>
      <c r="U1389" s="46">
        <f>IF(ISNUMBER(T1389),ABS(T1389),"")</f>
        <v/>
      </c>
      <c r="V1389" s="46">
        <f>IF(OR($D1388&lt;&gt;"측정",$C1388&lt;&gt;$C1389,NOT(ISNUMBER(L1389)),NOT(ISNUMBER(L1388)),(IF(ISNUMBER(G1389),G1389,F1389)-IF(ISNUMBER(G1388),G1388,F1388))=0),"",(L1389-L1388)/(IF(ISNUMBER(G1389),G1389,F1389)-IF(ISNUMBER(G1388),G1388,F1388)))</f>
        <v/>
      </c>
      <c r="W1389" s="30">
        <f>IF(NOT(AND(ISNUMBER(N1389),ISNUMBER(P1389))),"",(P1389-N1389)*1440)</f>
        <v/>
      </c>
      <c r="X1389" s="28" t="n"/>
      <c r="Y1389" s="28" t="n"/>
      <c r="Z1389" s="28" t="n"/>
      <c r="AA1389" s="31" t="n"/>
      <c r="AB1389" s="31" t="n"/>
    </row>
    <row r="1390">
      <c r="A1390" s="25" t="inlineStr">
        <is>
          <t>S27</t>
        </is>
      </c>
      <c r="B1390" s="25" t="inlineStr">
        <is>
          <t>전의 신규점</t>
        </is>
      </c>
      <c r="C1390" s="25" t="inlineStr">
        <is>
          <t>S27-H남</t>
        </is>
      </c>
      <c r="D1390" s="25" t="inlineStr">
        <is>
          <t>측정</t>
        </is>
      </c>
      <c r="E1390" s="25" t="inlineStr">
        <is>
          <t>남</t>
        </is>
      </c>
      <c r="F1390" s="30" t="n">
        <v>6</v>
      </c>
      <c r="G1390" s="29" t="n"/>
      <c r="H1390" s="42" t="n"/>
      <c r="I1390" s="40" t="n"/>
      <c r="J1390" s="40" t="n"/>
      <c r="K1390" s="40" t="n"/>
      <c r="L1390" s="30">
        <f>IF(COUNT(I1390:K1390)=0,"",MEDIAN(I1390:K1390))</f>
        <v/>
      </c>
      <c r="M1390" s="25">
        <f>IF(COUNTIFS($C:$C,$C1390,$D:$D,"P0(전)",$L:$L,"&gt;0")&lt;&gt;1,"P0(전) 유효 1개 아님",IF(COUNTIFS($C:$C,$C1390,$D:$D,"P0(후)",$L:$L,"&gt;0")&lt;&gt;1,"P0(후) 유효 1개 아님",IF(NOT(AND(ISNUMBER(N1390),ISNUMBER(P1390),ISNUMBER(H1390))),"시각 결측",IF(P1390&lt;=N1390,"P0 시각 역전",IF(OR(H1390&lt;N1390,H1390&gt;P1390),"측정시각 구간 밖","OK")))))</f>
        <v/>
      </c>
      <c r="N1390" s="45">
        <f>IF(COUNTIFS($C:$C,$C1390,$D:$D,"P0(전)",$L:$L,"&gt;0")&lt;&gt;1,"",SUMIFS($H:$H,$C:$C,$C1390,$D:$D,"P0(전)"))</f>
        <v/>
      </c>
      <c r="O1390" s="30">
        <f>IF(COUNTIFS($C:$C,$C1390,$D:$D,"P0(전)",$L:$L,"&gt;0")&lt;&gt;1,"",SUMIFS($L:$L,$C:$C,$C1390,$D:$D,"P0(전)"))</f>
        <v/>
      </c>
      <c r="P1390" s="45">
        <f>IF(COUNTIFS($C:$C,$C1390,$D:$D,"P0(후)",$L:$L,"&gt;0")&lt;&gt;1,"",SUMIFS($H:$H,$C:$C,$C1390,$D:$D,"P0(후)"))</f>
        <v/>
      </c>
      <c r="Q1390" s="30">
        <f>IF(COUNTIFS($C:$C,$C1390,$D:$D,"P0(후)",$L:$L,"&gt;0")&lt;&gt;1,"",SUMIFS($L:$L,$C:$C,$C1390,$D:$D,"P0(후)"))</f>
        <v/>
      </c>
      <c r="R1390" s="30">
        <f>IF(M1390&lt;&gt;"OK","",O1390+(Q1390-O1390)*(H1390-N1390)/(P1390-N1390))</f>
        <v/>
      </c>
      <c r="S1390" s="30">
        <f>IF(OR(M1390&lt;&gt;"OK",NOT(ISNUMBER(L1390))),"",L1390-R1390)</f>
        <v/>
      </c>
      <c r="T1390" s="46">
        <f>IF(OR(NOT(ISNUMBER(S1390)),IF(ISNUMBER(G1390),G1390,F1390)=0),"",S1390/IF(ISNUMBER(G1390),G1390,F1390))</f>
        <v/>
      </c>
      <c r="U1390" s="46">
        <f>IF(ISNUMBER(T1390),ABS(T1390),"")</f>
        <v/>
      </c>
      <c r="V1390" s="46">
        <f>IF(OR($D1389&lt;&gt;"측정",$C1389&lt;&gt;$C1390,NOT(ISNUMBER(L1390)),NOT(ISNUMBER(L1389)),(IF(ISNUMBER(G1390),G1390,F1390)-IF(ISNUMBER(G1389),G1389,F1389))=0),"",(L1390-L1389)/(IF(ISNUMBER(G1390),G1390,F1390)-IF(ISNUMBER(G1389),G1389,F1389)))</f>
        <v/>
      </c>
      <c r="W1390" s="30">
        <f>IF(NOT(AND(ISNUMBER(N1390),ISNUMBER(P1390))),"",(P1390-N1390)*1440)</f>
        <v/>
      </c>
      <c r="X1390" s="28" t="n"/>
      <c r="Y1390" s="28" t="n"/>
      <c r="Z1390" s="28" t="n"/>
      <c r="AA1390" s="31" t="n"/>
      <c r="AB1390" s="31" t="n"/>
    </row>
    <row r="1391">
      <c r="A1391" s="25" t="inlineStr">
        <is>
          <t>S27</t>
        </is>
      </c>
      <c r="B1391" s="25" t="inlineStr">
        <is>
          <t>전의 신규점</t>
        </is>
      </c>
      <c r="C1391" s="25" t="inlineStr">
        <is>
          <t>S27-H남</t>
        </is>
      </c>
      <c r="D1391" s="25" t="inlineStr">
        <is>
          <t>측정</t>
        </is>
      </c>
      <c r="E1391" s="25" t="inlineStr">
        <is>
          <t>남</t>
        </is>
      </c>
      <c r="F1391" s="30" t="n">
        <v>7</v>
      </c>
      <c r="G1391" s="29" t="n"/>
      <c r="H1391" s="42" t="n"/>
      <c r="I1391" s="40" t="n"/>
      <c r="J1391" s="40" t="n"/>
      <c r="K1391" s="40" t="n"/>
      <c r="L1391" s="30">
        <f>IF(COUNT(I1391:K1391)=0,"",MEDIAN(I1391:K1391))</f>
        <v/>
      </c>
      <c r="M1391" s="25">
        <f>IF(COUNTIFS($C:$C,$C1391,$D:$D,"P0(전)",$L:$L,"&gt;0")&lt;&gt;1,"P0(전) 유효 1개 아님",IF(COUNTIFS($C:$C,$C1391,$D:$D,"P0(후)",$L:$L,"&gt;0")&lt;&gt;1,"P0(후) 유효 1개 아님",IF(NOT(AND(ISNUMBER(N1391),ISNUMBER(P1391),ISNUMBER(H1391))),"시각 결측",IF(P1391&lt;=N1391,"P0 시각 역전",IF(OR(H1391&lt;N1391,H1391&gt;P1391),"측정시각 구간 밖","OK")))))</f>
        <v/>
      </c>
      <c r="N1391" s="45">
        <f>IF(COUNTIFS($C:$C,$C1391,$D:$D,"P0(전)",$L:$L,"&gt;0")&lt;&gt;1,"",SUMIFS($H:$H,$C:$C,$C1391,$D:$D,"P0(전)"))</f>
        <v/>
      </c>
      <c r="O1391" s="30">
        <f>IF(COUNTIFS($C:$C,$C1391,$D:$D,"P0(전)",$L:$L,"&gt;0")&lt;&gt;1,"",SUMIFS($L:$L,$C:$C,$C1391,$D:$D,"P0(전)"))</f>
        <v/>
      </c>
      <c r="P1391" s="45">
        <f>IF(COUNTIFS($C:$C,$C1391,$D:$D,"P0(후)",$L:$L,"&gt;0")&lt;&gt;1,"",SUMIFS($H:$H,$C:$C,$C1391,$D:$D,"P0(후)"))</f>
        <v/>
      </c>
      <c r="Q1391" s="30">
        <f>IF(COUNTIFS($C:$C,$C1391,$D:$D,"P0(후)",$L:$L,"&gt;0")&lt;&gt;1,"",SUMIFS($L:$L,$C:$C,$C1391,$D:$D,"P0(후)"))</f>
        <v/>
      </c>
      <c r="R1391" s="30">
        <f>IF(M1391&lt;&gt;"OK","",O1391+(Q1391-O1391)*(H1391-N1391)/(P1391-N1391))</f>
        <v/>
      </c>
      <c r="S1391" s="30">
        <f>IF(OR(M1391&lt;&gt;"OK",NOT(ISNUMBER(L1391))),"",L1391-R1391)</f>
        <v/>
      </c>
      <c r="T1391" s="46">
        <f>IF(OR(NOT(ISNUMBER(S1391)),IF(ISNUMBER(G1391),G1391,F1391)=0),"",S1391/IF(ISNUMBER(G1391),G1391,F1391))</f>
        <v/>
      </c>
      <c r="U1391" s="46">
        <f>IF(ISNUMBER(T1391),ABS(T1391),"")</f>
        <v/>
      </c>
      <c r="V1391" s="46">
        <f>IF(OR($D1390&lt;&gt;"측정",$C1390&lt;&gt;$C1391,NOT(ISNUMBER(L1391)),NOT(ISNUMBER(L1390)),(IF(ISNUMBER(G1391),G1391,F1391)-IF(ISNUMBER(G1390),G1390,F1390))=0),"",(L1391-L1390)/(IF(ISNUMBER(G1391),G1391,F1391)-IF(ISNUMBER(G1390),G1390,F1390)))</f>
        <v/>
      </c>
      <c r="W1391" s="30">
        <f>IF(NOT(AND(ISNUMBER(N1391),ISNUMBER(P1391))),"",(P1391-N1391)*1440)</f>
        <v/>
      </c>
      <c r="X1391" s="28" t="n"/>
      <c r="Y1391" s="28" t="n"/>
      <c r="Z1391" s="28" t="n"/>
      <c r="AA1391" s="31" t="n"/>
      <c r="AB1391" s="31" t="n"/>
    </row>
    <row r="1392">
      <c r="A1392" s="25" t="inlineStr">
        <is>
          <t>S27</t>
        </is>
      </c>
      <c r="B1392" s="25" t="inlineStr">
        <is>
          <t>전의 신규점</t>
        </is>
      </c>
      <c r="C1392" s="25" t="inlineStr">
        <is>
          <t>S27-H남</t>
        </is>
      </c>
      <c r="D1392" s="25" t="inlineStr">
        <is>
          <t>측정</t>
        </is>
      </c>
      <c r="E1392" s="25" t="inlineStr">
        <is>
          <t>남</t>
        </is>
      </c>
      <c r="F1392" s="30" t="n">
        <v>8</v>
      </c>
      <c r="G1392" s="29" t="n"/>
      <c r="H1392" s="42" t="n"/>
      <c r="I1392" s="40" t="n"/>
      <c r="J1392" s="40" t="n"/>
      <c r="K1392" s="40" t="n"/>
      <c r="L1392" s="30">
        <f>IF(COUNT(I1392:K1392)=0,"",MEDIAN(I1392:K1392))</f>
        <v/>
      </c>
      <c r="M1392" s="25">
        <f>IF(COUNTIFS($C:$C,$C1392,$D:$D,"P0(전)",$L:$L,"&gt;0")&lt;&gt;1,"P0(전) 유효 1개 아님",IF(COUNTIFS($C:$C,$C1392,$D:$D,"P0(후)",$L:$L,"&gt;0")&lt;&gt;1,"P0(후) 유효 1개 아님",IF(NOT(AND(ISNUMBER(N1392),ISNUMBER(P1392),ISNUMBER(H1392))),"시각 결측",IF(P1392&lt;=N1392,"P0 시각 역전",IF(OR(H1392&lt;N1392,H1392&gt;P1392),"측정시각 구간 밖","OK")))))</f>
        <v/>
      </c>
      <c r="N1392" s="45">
        <f>IF(COUNTIFS($C:$C,$C1392,$D:$D,"P0(전)",$L:$L,"&gt;0")&lt;&gt;1,"",SUMIFS($H:$H,$C:$C,$C1392,$D:$D,"P0(전)"))</f>
        <v/>
      </c>
      <c r="O1392" s="30">
        <f>IF(COUNTIFS($C:$C,$C1392,$D:$D,"P0(전)",$L:$L,"&gt;0")&lt;&gt;1,"",SUMIFS($L:$L,$C:$C,$C1392,$D:$D,"P0(전)"))</f>
        <v/>
      </c>
      <c r="P1392" s="45">
        <f>IF(COUNTIFS($C:$C,$C1392,$D:$D,"P0(후)",$L:$L,"&gt;0")&lt;&gt;1,"",SUMIFS($H:$H,$C:$C,$C1392,$D:$D,"P0(후)"))</f>
        <v/>
      </c>
      <c r="Q1392" s="30">
        <f>IF(COUNTIFS($C:$C,$C1392,$D:$D,"P0(후)",$L:$L,"&gt;0")&lt;&gt;1,"",SUMIFS($L:$L,$C:$C,$C1392,$D:$D,"P0(후)"))</f>
        <v/>
      </c>
      <c r="R1392" s="30">
        <f>IF(M1392&lt;&gt;"OK","",O1392+(Q1392-O1392)*(H1392-N1392)/(P1392-N1392))</f>
        <v/>
      </c>
      <c r="S1392" s="30">
        <f>IF(OR(M1392&lt;&gt;"OK",NOT(ISNUMBER(L1392))),"",L1392-R1392)</f>
        <v/>
      </c>
      <c r="T1392" s="46">
        <f>IF(OR(NOT(ISNUMBER(S1392)),IF(ISNUMBER(G1392),G1392,F1392)=0),"",S1392/IF(ISNUMBER(G1392),G1392,F1392))</f>
        <v/>
      </c>
      <c r="U1392" s="46">
        <f>IF(ISNUMBER(T1392),ABS(T1392),"")</f>
        <v/>
      </c>
      <c r="V1392" s="46">
        <f>IF(OR($D1391&lt;&gt;"측정",$C1391&lt;&gt;$C1392,NOT(ISNUMBER(L1392)),NOT(ISNUMBER(L1391)),(IF(ISNUMBER(G1392),G1392,F1392)-IF(ISNUMBER(G1391),G1391,F1391))=0),"",(L1392-L1391)/(IF(ISNUMBER(G1392),G1392,F1392)-IF(ISNUMBER(G1391),G1391,F1391)))</f>
        <v/>
      </c>
      <c r="W1392" s="30">
        <f>IF(NOT(AND(ISNUMBER(N1392),ISNUMBER(P1392))),"",(P1392-N1392)*1440)</f>
        <v/>
      </c>
      <c r="X1392" s="28" t="n"/>
      <c r="Y1392" s="28" t="n"/>
      <c r="Z1392" s="28" t="n"/>
      <c r="AA1392" s="31" t="n"/>
      <c r="AB1392" s="31" t="n"/>
    </row>
    <row r="1393">
      <c r="A1393" s="25" t="inlineStr">
        <is>
          <t>S27</t>
        </is>
      </c>
      <c r="B1393" s="25" t="inlineStr">
        <is>
          <t>전의 신규점</t>
        </is>
      </c>
      <c r="C1393" s="25" t="inlineStr">
        <is>
          <t>S27-H남</t>
        </is>
      </c>
      <c r="D1393" s="25" t="inlineStr">
        <is>
          <t>측정</t>
        </is>
      </c>
      <c r="E1393" s="25" t="inlineStr">
        <is>
          <t>남</t>
        </is>
      </c>
      <c r="F1393" s="30" t="n">
        <v>9</v>
      </c>
      <c r="G1393" s="29" t="n"/>
      <c r="H1393" s="42" t="n"/>
      <c r="I1393" s="40" t="n"/>
      <c r="J1393" s="40" t="n"/>
      <c r="K1393" s="40" t="n"/>
      <c r="L1393" s="30">
        <f>IF(COUNT(I1393:K1393)=0,"",MEDIAN(I1393:K1393))</f>
        <v/>
      </c>
      <c r="M1393" s="25">
        <f>IF(COUNTIFS($C:$C,$C1393,$D:$D,"P0(전)",$L:$L,"&gt;0")&lt;&gt;1,"P0(전) 유효 1개 아님",IF(COUNTIFS($C:$C,$C1393,$D:$D,"P0(후)",$L:$L,"&gt;0")&lt;&gt;1,"P0(후) 유효 1개 아님",IF(NOT(AND(ISNUMBER(N1393),ISNUMBER(P1393),ISNUMBER(H1393))),"시각 결측",IF(P1393&lt;=N1393,"P0 시각 역전",IF(OR(H1393&lt;N1393,H1393&gt;P1393),"측정시각 구간 밖","OK")))))</f>
        <v/>
      </c>
      <c r="N1393" s="45">
        <f>IF(COUNTIFS($C:$C,$C1393,$D:$D,"P0(전)",$L:$L,"&gt;0")&lt;&gt;1,"",SUMIFS($H:$H,$C:$C,$C1393,$D:$D,"P0(전)"))</f>
        <v/>
      </c>
      <c r="O1393" s="30">
        <f>IF(COUNTIFS($C:$C,$C1393,$D:$D,"P0(전)",$L:$L,"&gt;0")&lt;&gt;1,"",SUMIFS($L:$L,$C:$C,$C1393,$D:$D,"P0(전)"))</f>
        <v/>
      </c>
      <c r="P1393" s="45">
        <f>IF(COUNTIFS($C:$C,$C1393,$D:$D,"P0(후)",$L:$L,"&gt;0")&lt;&gt;1,"",SUMIFS($H:$H,$C:$C,$C1393,$D:$D,"P0(후)"))</f>
        <v/>
      </c>
      <c r="Q1393" s="30">
        <f>IF(COUNTIFS($C:$C,$C1393,$D:$D,"P0(후)",$L:$L,"&gt;0")&lt;&gt;1,"",SUMIFS($L:$L,$C:$C,$C1393,$D:$D,"P0(후)"))</f>
        <v/>
      </c>
      <c r="R1393" s="30">
        <f>IF(M1393&lt;&gt;"OK","",O1393+(Q1393-O1393)*(H1393-N1393)/(P1393-N1393))</f>
        <v/>
      </c>
      <c r="S1393" s="30">
        <f>IF(OR(M1393&lt;&gt;"OK",NOT(ISNUMBER(L1393))),"",L1393-R1393)</f>
        <v/>
      </c>
      <c r="T1393" s="46">
        <f>IF(OR(NOT(ISNUMBER(S1393)),IF(ISNUMBER(G1393),G1393,F1393)=0),"",S1393/IF(ISNUMBER(G1393),G1393,F1393))</f>
        <v/>
      </c>
      <c r="U1393" s="46">
        <f>IF(ISNUMBER(T1393),ABS(T1393),"")</f>
        <v/>
      </c>
      <c r="V1393" s="46">
        <f>IF(OR($D1392&lt;&gt;"측정",$C1392&lt;&gt;$C1393,NOT(ISNUMBER(L1393)),NOT(ISNUMBER(L1392)),(IF(ISNUMBER(G1393),G1393,F1393)-IF(ISNUMBER(G1392),G1392,F1392))=0),"",(L1393-L1392)/(IF(ISNUMBER(G1393),G1393,F1393)-IF(ISNUMBER(G1392),G1392,F1392)))</f>
        <v/>
      </c>
      <c r="W1393" s="30">
        <f>IF(NOT(AND(ISNUMBER(N1393),ISNUMBER(P1393))),"",(P1393-N1393)*1440)</f>
        <v/>
      </c>
      <c r="X1393" s="28" t="n"/>
      <c r="Y1393" s="28" t="n"/>
      <c r="Z1393" s="28" t="n"/>
      <c r="AA1393" s="31" t="n"/>
      <c r="AB1393" s="31" t="n"/>
    </row>
    <row r="1394">
      <c r="A1394" s="25" t="inlineStr">
        <is>
          <t>S27</t>
        </is>
      </c>
      <c r="B1394" s="25" t="inlineStr">
        <is>
          <t>전의 신규점</t>
        </is>
      </c>
      <c r="C1394" s="25" t="inlineStr">
        <is>
          <t>S27-H남</t>
        </is>
      </c>
      <c r="D1394" s="25" t="inlineStr">
        <is>
          <t>측정</t>
        </is>
      </c>
      <c r="E1394" s="25" t="inlineStr">
        <is>
          <t>남</t>
        </is>
      </c>
      <c r="F1394" s="30" t="n">
        <v>10</v>
      </c>
      <c r="G1394" s="29" t="n"/>
      <c r="H1394" s="42" t="n"/>
      <c r="I1394" s="40" t="n"/>
      <c r="J1394" s="40" t="n"/>
      <c r="K1394" s="40" t="n"/>
      <c r="L1394" s="30">
        <f>IF(COUNT(I1394:K1394)=0,"",MEDIAN(I1394:K1394))</f>
        <v/>
      </c>
      <c r="M1394" s="25">
        <f>IF(COUNTIFS($C:$C,$C1394,$D:$D,"P0(전)",$L:$L,"&gt;0")&lt;&gt;1,"P0(전) 유효 1개 아님",IF(COUNTIFS($C:$C,$C1394,$D:$D,"P0(후)",$L:$L,"&gt;0")&lt;&gt;1,"P0(후) 유효 1개 아님",IF(NOT(AND(ISNUMBER(N1394),ISNUMBER(P1394),ISNUMBER(H1394))),"시각 결측",IF(P1394&lt;=N1394,"P0 시각 역전",IF(OR(H1394&lt;N1394,H1394&gt;P1394),"측정시각 구간 밖","OK")))))</f>
        <v/>
      </c>
      <c r="N1394" s="45">
        <f>IF(COUNTIFS($C:$C,$C1394,$D:$D,"P0(전)",$L:$L,"&gt;0")&lt;&gt;1,"",SUMIFS($H:$H,$C:$C,$C1394,$D:$D,"P0(전)"))</f>
        <v/>
      </c>
      <c r="O1394" s="30">
        <f>IF(COUNTIFS($C:$C,$C1394,$D:$D,"P0(전)",$L:$L,"&gt;0")&lt;&gt;1,"",SUMIFS($L:$L,$C:$C,$C1394,$D:$D,"P0(전)"))</f>
        <v/>
      </c>
      <c r="P1394" s="45">
        <f>IF(COUNTIFS($C:$C,$C1394,$D:$D,"P0(후)",$L:$L,"&gt;0")&lt;&gt;1,"",SUMIFS($H:$H,$C:$C,$C1394,$D:$D,"P0(후)"))</f>
        <v/>
      </c>
      <c r="Q1394" s="30">
        <f>IF(COUNTIFS($C:$C,$C1394,$D:$D,"P0(후)",$L:$L,"&gt;0")&lt;&gt;1,"",SUMIFS($L:$L,$C:$C,$C1394,$D:$D,"P0(후)"))</f>
        <v/>
      </c>
      <c r="R1394" s="30">
        <f>IF(M1394&lt;&gt;"OK","",O1394+(Q1394-O1394)*(H1394-N1394)/(P1394-N1394))</f>
        <v/>
      </c>
      <c r="S1394" s="30">
        <f>IF(OR(M1394&lt;&gt;"OK",NOT(ISNUMBER(L1394))),"",L1394-R1394)</f>
        <v/>
      </c>
      <c r="T1394" s="46">
        <f>IF(OR(NOT(ISNUMBER(S1394)),IF(ISNUMBER(G1394),G1394,F1394)=0),"",S1394/IF(ISNUMBER(G1394),G1394,F1394))</f>
        <v/>
      </c>
      <c r="U1394" s="46">
        <f>IF(ISNUMBER(T1394),ABS(T1394),"")</f>
        <v/>
      </c>
      <c r="V1394" s="46">
        <f>IF(OR($D1393&lt;&gt;"측정",$C1393&lt;&gt;$C1394,NOT(ISNUMBER(L1394)),NOT(ISNUMBER(L1393)),(IF(ISNUMBER(G1394),G1394,F1394)-IF(ISNUMBER(G1393),G1393,F1393))=0),"",(L1394-L1393)/(IF(ISNUMBER(G1394),G1394,F1394)-IF(ISNUMBER(G1393),G1393,F1393)))</f>
        <v/>
      </c>
      <c r="W1394" s="30">
        <f>IF(NOT(AND(ISNUMBER(N1394),ISNUMBER(P1394))),"",(P1394-N1394)*1440)</f>
        <v/>
      </c>
      <c r="X1394" s="28" t="n"/>
      <c r="Y1394" s="28" t="n"/>
      <c r="Z1394" s="28" t="n"/>
      <c r="AA1394" s="31" t="n"/>
      <c r="AB1394" s="31" t="n"/>
    </row>
    <row r="1395">
      <c r="A1395" s="43" t="inlineStr">
        <is>
          <t>S27</t>
        </is>
      </c>
      <c r="B1395" s="43" t="inlineStr">
        <is>
          <t>전의 신규점</t>
        </is>
      </c>
      <c r="C1395" s="43" t="inlineStr">
        <is>
          <t>S27-H남</t>
        </is>
      </c>
      <c r="D1395" s="43" t="inlineStr">
        <is>
          <t>P0(후)</t>
        </is>
      </c>
      <c r="E1395" s="43" t="inlineStr">
        <is>
          <t>남</t>
        </is>
      </c>
      <c r="F1395" s="44" t="n"/>
      <c r="G1395" s="29" t="n"/>
      <c r="H1395" s="42" t="n"/>
      <c r="I1395" s="40" t="n"/>
      <c r="J1395" s="40" t="n"/>
      <c r="K1395" s="40" t="n"/>
      <c r="L1395" s="30">
        <f>IF(COUNT(I1395:K1395)=0,"",MEDIAN(I1395:K1395))</f>
        <v/>
      </c>
      <c r="M1395" s="37" t="n"/>
      <c r="N1395" s="37" t="n"/>
      <c r="O1395" s="37" t="n"/>
      <c r="P1395" s="37" t="n"/>
      <c r="Q1395" s="37" t="n"/>
      <c r="R1395" s="37" t="n"/>
      <c r="S1395" s="37" t="n"/>
      <c r="T1395" s="37" t="n"/>
      <c r="U1395" s="37" t="n"/>
      <c r="V1395" s="37" t="n"/>
      <c r="W1395" s="37" t="n"/>
      <c r="X1395" s="28" t="n"/>
      <c r="Y1395" s="28" t="n"/>
      <c r="Z1395" s="28" t="n"/>
      <c r="AA1395" s="31" t="n"/>
      <c r="AB1395" s="31" t="n"/>
    </row>
    <row r="1396">
      <c r="A1396" s="43" t="inlineStr">
        <is>
          <t>S27</t>
        </is>
      </c>
      <c r="B1396" s="43" t="inlineStr">
        <is>
          <t>전의 신규점</t>
        </is>
      </c>
      <c r="C1396" s="43" t="inlineStr">
        <is>
          <t>S27-H북</t>
        </is>
      </c>
      <c r="D1396" s="43" t="inlineStr">
        <is>
          <t>P0(전)</t>
        </is>
      </c>
      <c r="E1396" s="43" t="inlineStr">
        <is>
          <t>북</t>
        </is>
      </c>
      <c r="F1396" s="44" t="n"/>
      <c r="G1396" s="29" t="n"/>
      <c r="H1396" s="42" t="n"/>
      <c r="I1396" s="40" t="n"/>
      <c r="J1396" s="40" t="n"/>
      <c r="K1396" s="40" t="n"/>
      <c r="L1396" s="30">
        <f>IF(COUNT(I1396:K1396)=0,"",MEDIAN(I1396:K1396))</f>
        <v/>
      </c>
      <c r="M1396" s="37" t="n"/>
      <c r="N1396" s="37" t="n"/>
      <c r="O1396" s="37" t="n"/>
      <c r="P1396" s="37" t="n"/>
      <c r="Q1396" s="37" t="n"/>
      <c r="R1396" s="37" t="n"/>
      <c r="S1396" s="37" t="n"/>
      <c r="T1396" s="37" t="n"/>
      <c r="U1396" s="37" t="n"/>
      <c r="V1396" s="37" t="n"/>
      <c r="W1396" s="37" t="n"/>
      <c r="X1396" s="28" t="n"/>
      <c r="Y1396" s="28" t="n"/>
      <c r="Z1396" s="28" t="n"/>
      <c r="AA1396" s="31" t="n"/>
      <c r="AB1396" s="31" t="n"/>
    </row>
    <row r="1397">
      <c r="A1397" s="25" t="inlineStr">
        <is>
          <t>S27</t>
        </is>
      </c>
      <c r="B1397" s="25" t="inlineStr">
        <is>
          <t>전의 신규점</t>
        </is>
      </c>
      <c r="C1397" s="25" t="inlineStr">
        <is>
          <t>S27-H북</t>
        </is>
      </c>
      <c r="D1397" s="25" t="inlineStr">
        <is>
          <t>측정</t>
        </is>
      </c>
      <c r="E1397" s="25" t="inlineStr">
        <is>
          <t>북</t>
        </is>
      </c>
      <c r="F1397" s="30" t="n">
        <v>0.5</v>
      </c>
      <c r="G1397" s="29" t="n"/>
      <c r="H1397" s="42" t="n"/>
      <c r="I1397" s="40" t="n"/>
      <c r="J1397" s="40" t="n"/>
      <c r="K1397" s="40" t="n"/>
      <c r="L1397" s="30">
        <f>IF(COUNT(I1397:K1397)=0,"",MEDIAN(I1397:K1397))</f>
        <v/>
      </c>
      <c r="M1397" s="25">
        <f>IF(COUNTIFS($C:$C,$C1397,$D:$D,"P0(전)",$L:$L,"&gt;0")&lt;&gt;1,"P0(전) 유효 1개 아님",IF(COUNTIFS($C:$C,$C1397,$D:$D,"P0(후)",$L:$L,"&gt;0")&lt;&gt;1,"P0(후) 유효 1개 아님",IF(NOT(AND(ISNUMBER(N1397),ISNUMBER(P1397),ISNUMBER(H1397))),"시각 결측",IF(P1397&lt;=N1397,"P0 시각 역전",IF(OR(H1397&lt;N1397,H1397&gt;P1397),"측정시각 구간 밖","OK")))))</f>
        <v/>
      </c>
      <c r="N1397" s="45">
        <f>IF(COUNTIFS($C:$C,$C1397,$D:$D,"P0(전)",$L:$L,"&gt;0")&lt;&gt;1,"",SUMIFS($H:$H,$C:$C,$C1397,$D:$D,"P0(전)"))</f>
        <v/>
      </c>
      <c r="O1397" s="30">
        <f>IF(COUNTIFS($C:$C,$C1397,$D:$D,"P0(전)",$L:$L,"&gt;0")&lt;&gt;1,"",SUMIFS($L:$L,$C:$C,$C1397,$D:$D,"P0(전)"))</f>
        <v/>
      </c>
      <c r="P1397" s="45">
        <f>IF(COUNTIFS($C:$C,$C1397,$D:$D,"P0(후)",$L:$L,"&gt;0")&lt;&gt;1,"",SUMIFS($H:$H,$C:$C,$C1397,$D:$D,"P0(후)"))</f>
        <v/>
      </c>
      <c r="Q1397" s="30">
        <f>IF(COUNTIFS($C:$C,$C1397,$D:$D,"P0(후)",$L:$L,"&gt;0")&lt;&gt;1,"",SUMIFS($L:$L,$C:$C,$C1397,$D:$D,"P0(후)"))</f>
        <v/>
      </c>
      <c r="R1397" s="30">
        <f>IF(M1397&lt;&gt;"OK","",O1397+(Q1397-O1397)*(H1397-N1397)/(P1397-N1397))</f>
        <v/>
      </c>
      <c r="S1397" s="30">
        <f>IF(OR(M1397&lt;&gt;"OK",NOT(ISNUMBER(L1397))),"",L1397-R1397)</f>
        <v/>
      </c>
      <c r="T1397" s="46">
        <f>IF(OR(NOT(ISNUMBER(S1397)),IF(ISNUMBER(G1397),G1397,F1397)=0),"",S1397/IF(ISNUMBER(G1397),G1397,F1397))</f>
        <v/>
      </c>
      <c r="U1397" s="46">
        <f>IF(ISNUMBER(T1397),ABS(T1397),"")</f>
        <v/>
      </c>
      <c r="V1397" s="46">
        <f>IF(OR($D1396&lt;&gt;"측정",$C1396&lt;&gt;$C1397,NOT(ISNUMBER(L1397)),NOT(ISNUMBER(L1396)),(IF(ISNUMBER(G1397),G1397,F1397)-IF(ISNUMBER(G1396),G1396,F1396))=0),"",(L1397-L1396)/(IF(ISNUMBER(G1397),G1397,F1397)-IF(ISNUMBER(G1396),G1396,F1396)))</f>
        <v/>
      </c>
      <c r="W1397" s="30">
        <f>IF(NOT(AND(ISNUMBER(N1397),ISNUMBER(P1397))),"",(P1397-N1397)*1440)</f>
        <v/>
      </c>
      <c r="X1397" s="28" t="n"/>
      <c r="Y1397" s="28" t="n"/>
      <c r="Z1397" s="28" t="n"/>
      <c r="AA1397" s="31" t="n"/>
      <c r="AB1397" s="31" t="n"/>
    </row>
    <row r="1398">
      <c r="A1398" s="25" t="inlineStr">
        <is>
          <t>S27</t>
        </is>
      </c>
      <c r="B1398" s="25" t="inlineStr">
        <is>
          <t>전의 신규점</t>
        </is>
      </c>
      <c r="C1398" s="25" t="inlineStr">
        <is>
          <t>S27-H북</t>
        </is>
      </c>
      <c r="D1398" s="25" t="inlineStr">
        <is>
          <t>측정</t>
        </is>
      </c>
      <c r="E1398" s="25" t="inlineStr">
        <is>
          <t>북</t>
        </is>
      </c>
      <c r="F1398" s="30" t="n">
        <v>1</v>
      </c>
      <c r="G1398" s="29" t="n"/>
      <c r="H1398" s="42" t="n"/>
      <c r="I1398" s="40" t="n"/>
      <c r="J1398" s="40" t="n"/>
      <c r="K1398" s="40" t="n"/>
      <c r="L1398" s="30">
        <f>IF(COUNT(I1398:K1398)=0,"",MEDIAN(I1398:K1398))</f>
        <v/>
      </c>
      <c r="M1398" s="25">
        <f>IF(COUNTIFS($C:$C,$C1398,$D:$D,"P0(전)",$L:$L,"&gt;0")&lt;&gt;1,"P0(전) 유효 1개 아님",IF(COUNTIFS($C:$C,$C1398,$D:$D,"P0(후)",$L:$L,"&gt;0")&lt;&gt;1,"P0(후) 유효 1개 아님",IF(NOT(AND(ISNUMBER(N1398),ISNUMBER(P1398),ISNUMBER(H1398))),"시각 결측",IF(P1398&lt;=N1398,"P0 시각 역전",IF(OR(H1398&lt;N1398,H1398&gt;P1398),"측정시각 구간 밖","OK")))))</f>
        <v/>
      </c>
      <c r="N1398" s="45">
        <f>IF(COUNTIFS($C:$C,$C1398,$D:$D,"P0(전)",$L:$L,"&gt;0")&lt;&gt;1,"",SUMIFS($H:$H,$C:$C,$C1398,$D:$D,"P0(전)"))</f>
        <v/>
      </c>
      <c r="O1398" s="30">
        <f>IF(COUNTIFS($C:$C,$C1398,$D:$D,"P0(전)",$L:$L,"&gt;0")&lt;&gt;1,"",SUMIFS($L:$L,$C:$C,$C1398,$D:$D,"P0(전)"))</f>
        <v/>
      </c>
      <c r="P1398" s="45">
        <f>IF(COUNTIFS($C:$C,$C1398,$D:$D,"P0(후)",$L:$L,"&gt;0")&lt;&gt;1,"",SUMIFS($H:$H,$C:$C,$C1398,$D:$D,"P0(후)"))</f>
        <v/>
      </c>
      <c r="Q1398" s="30">
        <f>IF(COUNTIFS($C:$C,$C1398,$D:$D,"P0(후)",$L:$L,"&gt;0")&lt;&gt;1,"",SUMIFS($L:$L,$C:$C,$C1398,$D:$D,"P0(후)"))</f>
        <v/>
      </c>
      <c r="R1398" s="30">
        <f>IF(M1398&lt;&gt;"OK","",O1398+(Q1398-O1398)*(H1398-N1398)/(P1398-N1398))</f>
        <v/>
      </c>
      <c r="S1398" s="30">
        <f>IF(OR(M1398&lt;&gt;"OK",NOT(ISNUMBER(L1398))),"",L1398-R1398)</f>
        <v/>
      </c>
      <c r="T1398" s="46">
        <f>IF(OR(NOT(ISNUMBER(S1398)),IF(ISNUMBER(G1398),G1398,F1398)=0),"",S1398/IF(ISNUMBER(G1398),G1398,F1398))</f>
        <v/>
      </c>
      <c r="U1398" s="46">
        <f>IF(ISNUMBER(T1398),ABS(T1398),"")</f>
        <v/>
      </c>
      <c r="V1398" s="46">
        <f>IF(OR($D1397&lt;&gt;"측정",$C1397&lt;&gt;$C1398,NOT(ISNUMBER(L1398)),NOT(ISNUMBER(L1397)),(IF(ISNUMBER(G1398),G1398,F1398)-IF(ISNUMBER(G1397),G1397,F1397))=0),"",(L1398-L1397)/(IF(ISNUMBER(G1398),G1398,F1398)-IF(ISNUMBER(G1397),G1397,F1397)))</f>
        <v/>
      </c>
      <c r="W1398" s="30">
        <f>IF(NOT(AND(ISNUMBER(N1398),ISNUMBER(P1398))),"",(P1398-N1398)*1440)</f>
        <v/>
      </c>
      <c r="X1398" s="28" t="n"/>
      <c r="Y1398" s="28" t="n"/>
      <c r="Z1398" s="28" t="n"/>
      <c r="AA1398" s="31" t="n"/>
      <c r="AB1398" s="31" t="n"/>
    </row>
    <row r="1399">
      <c r="A1399" s="25" t="inlineStr">
        <is>
          <t>S27</t>
        </is>
      </c>
      <c r="B1399" s="25" t="inlineStr">
        <is>
          <t>전의 신규점</t>
        </is>
      </c>
      <c r="C1399" s="25" t="inlineStr">
        <is>
          <t>S27-H북</t>
        </is>
      </c>
      <c r="D1399" s="25" t="inlineStr">
        <is>
          <t>측정</t>
        </is>
      </c>
      <c r="E1399" s="25" t="inlineStr">
        <is>
          <t>북</t>
        </is>
      </c>
      <c r="F1399" s="30" t="n">
        <v>2</v>
      </c>
      <c r="G1399" s="29" t="n"/>
      <c r="H1399" s="42" t="n"/>
      <c r="I1399" s="40" t="n"/>
      <c r="J1399" s="40" t="n"/>
      <c r="K1399" s="40" t="n"/>
      <c r="L1399" s="30">
        <f>IF(COUNT(I1399:K1399)=0,"",MEDIAN(I1399:K1399))</f>
        <v/>
      </c>
      <c r="M1399" s="25">
        <f>IF(COUNTIFS($C:$C,$C1399,$D:$D,"P0(전)",$L:$L,"&gt;0")&lt;&gt;1,"P0(전) 유효 1개 아님",IF(COUNTIFS($C:$C,$C1399,$D:$D,"P0(후)",$L:$L,"&gt;0")&lt;&gt;1,"P0(후) 유효 1개 아님",IF(NOT(AND(ISNUMBER(N1399),ISNUMBER(P1399),ISNUMBER(H1399))),"시각 결측",IF(P1399&lt;=N1399,"P0 시각 역전",IF(OR(H1399&lt;N1399,H1399&gt;P1399),"측정시각 구간 밖","OK")))))</f>
        <v/>
      </c>
      <c r="N1399" s="45">
        <f>IF(COUNTIFS($C:$C,$C1399,$D:$D,"P0(전)",$L:$L,"&gt;0")&lt;&gt;1,"",SUMIFS($H:$H,$C:$C,$C1399,$D:$D,"P0(전)"))</f>
        <v/>
      </c>
      <c r="O1399" s="30">
        <f>IF(COUNTIFS($C:$C,$C1399,$D:$D,"P0(전)",$L:$L,"&gt;0")&lt;&gt;1,"",SUMIFS($L:$L,$C:$C,$C1399,$D:$D,"P0(전)"))</f>
        <v/>
      </c>
      <c r="P1399" s="45">
        <f>IF(COUNTIFS($C:$C,$C1399,$D:$D,"P0(후)",$L:$L,"&gt;0")&lt;&gt;1,"",SUMIFS($H:$H,$C:$C,$C1399,$D:$D,"P0(후)"))</f>
        <v/>
      </c>
      <c r="Q1399" s="30">
        <f>IF(COUNTIFS($C:$C,$C1399,$D:$D,"P0(후)",$L:$L,"&gt;0")&lt;&gt;1,"",SUMIFS($L:$L,$C:$C,$C1399,$D:$D,"P0(후)"))</f>
        <v/>
      </c>
      <c r="R1399" s="30">
        <f>IF(M1399&lt;&gt;"OK","",O1399+(Q1399-O1399)*(H1399-N1399)/(P1399-N1399))</f>
        <v/>
      </c>
      <c r="S1399" s="30">
        <f>IF(OR(M1399&lt;&gt;"OK",NOT(ISNUMBER(L1399))),"",L1399-R1399)</f>
        <v/>
      </c>
      <c r="T1399" s="46">
        <f>IF(OR(NOT(ISNUMBER(S1399)),IF(ISNUMBER(G1399),G1399,F1399)=0),"",S1399/IF(ISNUMBER(G1399),G1399,F1399))</f>
        <v/>
      </c>
      <c r="U1399" s="46">
        <f>IF(ISNUMBER(T1399),ABS(T1399),"")</f>
        <v/>
      </c>
      <c r="V1399" s="46">
        <f>IF(OR($D1398&lt;&gt;"측정",$C1398&lt;&gt;$C1399,NOT(ISNUMBER(L1399)),NOT(ISNUMBER(L1398)),(IF(ISNUMBER(G1399),G1399,F1399)-IF(ISNUMBER(G1398),G1398,F1398))=0),"",(L1399-L1398)/(IF(ISNUMBER(G1399),G1399,F1399)-IF(ISNUMBER(G1398),G1398,F1398)))</f>
        <v/>
      </c>
      <c r="W1399" s="30">
        <f>IF(NOT(AND(ISNUMBER(N1399),ISNUMBER(P1399))),"",(P1399-N1399)*1440)</f>
        <v/>
      </c>
      <c r="X1399" s="28" t="n"/>
      <c r="Y1399" s="28" t="n"/>
      <c r="Z1399" s="28" t="n"/>
      <c r="AA1399" s="31" t="n"/>
      <c r="AB1399" s="31" t="n"/>
    </row>
    <row r="1400">
      <c r="A1400" s="25" t="inlineStr">
        <is>
          <t>S27</t>
        </is>
      </c>
      <c r="B1400" s="25" t="inlineStr">
        <is>
          <t>전의 신규점</t>
        </is>
      </c>
      <c r="C1400" s="25" t="inlineStr">
        <is>
          <t>S27-H북</t>
        </is>
      </c>
      <c r="D1400" s="25" t="inlineStr">
        <is>
          <t>측정</t>
        </is>
      </c>
      <c r="E1400" s="25" t="inlineStr">
        <is>
          <t>북</t>
        </is>
      </c>
      <c r="F1400" s="30" t="n">
        <v>3</v>
      </c>
      <c r="G1400" s="29" t="n"/>
      <c r="H1400" s="42" t="n"/>
      <c r="I1400" s="40" t="n"/>
      <c r="J1400" s="40" t="n"/>
      <c r="K1400" s="40" t="n"/>
      <c r="L1400" s="30">
        <f>IF(COUNT(I1400:K1400)=0,"",MEDIAN(I1400:K1400))</f>
        <v/>
      </c>
      <c r="M1400" s="25">
        <f>IF(COUNTIFS($C:$C,$C1400,$D:$D,"P0(전)",$L:$L,"&gt;0")&lt;&gt;1,"P0(전) 유효 1개 아님",IF(COUNTIFS($C:$C,$C1400,$D:$D,"P0(후)",$L:$L,"&gt;0")&lt;&gt;1,"P0(후) 유효 1개 아님",IF(NOT(AND(ISNUMBER(N1400),ISNUMBER(P1400),ISNUMBER(H1400))),"시각 결측",IF(P1400&lt;=N1400,"P0 시각 역전",IF(OR(H1400&lt;N1400,H1400&gt;P1400),"측정시각 구간 밖","OK")))))</f>
        <v/>
      </c>
      <c r="N1400" s="45">
        <f>IF(COUNTIFS($C:$C,$C1400,$D:$D,"P0(전)",$L:$L,"&gt;0")&lt;&gt;1,"",SUMIFS($H:$H,$C:$C,$C1400,$D:$D,"P0(전)"))</f>
        <v/>
      </c>
      <c r="O1400" s="30">
        <f>IF(COUNTIFS($C:$C,$C1400,$D:$D,"P0(전)",$L:$L,"&gt;0")&lt;&gt;1,"",SUMIFS($L:$L,$C:$C,$C1400,$D:$D,"P0(전)"))</f>
        <v/>
      </c>
      <c r="P1400" s="45">
        <f>IF(COUNTIFS($C:$C,$C1400,$D:$D,"P0(후)",$L:$L,"&gt;0")&lt;&gt;1,"",SUMIFS($H:$H,$C:$C,$C1400,$D:$D,"P0(후)"))</f>
        <v/>
      </c>
      <c r="Q1400" s="30">
        <f>IF(COUNTIFS($C:$C,$C1400,$D:$D,"P0(후)",$L:$L,"&gt;0")&lt;&gt;1,"",SUMIFS($L:$L,$C:$C,$C1400,$D:$D,"P0(후)"))</f>
        <v/>
      </c>
      <c r="R1400" s="30">
        <f>IF(M1400&lt;&gt;"OK","",O1400+(Q1400-O1400)*(H1400-N1400)/(P1400-N1400))</f>
        <v/>
      </c>
      <c r="S1400" s="30">
        <f>IF(OR(M1400&lt;&gt;"OK",NOT(ISNUMBER(L1400))),"",L1400-R1400)</f>
        <v/>
      </c>
      <c r="T1400" s="46">
        <f>IF(OR(NOT(ISNUMBER(S1400)),IF(ISNUMBER(G1400),G1400,F1400)=0),"",S1400/IF(ISNUMBER(G1400),G1400,F1400))</f>
        <v/>
      </c>
      <c r="U1400" s="46">
        <f>IF(ISNUMBER(T1400),ABS(T1400),"")</f>
        <v/>
      </c>
      <c r="V1400" s="46">
        <f>IF(OR($D1399&lt;&gt;"측정",$C1399&lt;&gt;$C1400,NOT(ISNUMBER(L1400)),NOT(ISNUMBER(L1399)),(IF(ISNUMBER(G1400),G1400,F1400)-IF(ISNUMBER(G1399),G1399,F1399))=0),"",(L1400-L1399)/(IF(ISNUMBER(G1400),G1400,F1400)-IF(ISNUMBER(G1399),G1399,F1399)))</f>
        <v/>
      </c>
      <c r="W1400" s="30">
        <f>IF(NOT(AND(ISNUMBER(N1400),ISNUMBER(P1400))),"",(P1400-N1400)*1440)</f>
        <v/>
      </c>
      <c r="X1400" s="28" t="n"/>
      <c r="Y1400" s="28" t="n"/>
      <c r="Z1400" s="28" t="n"/>
      <c r="AA1400" s="31" t="n"/>
      <c r="AB1400" s="31" t="n"/>
    </row>
    <row r="1401">
      <c r="A1401" s="25" t="inlineStr">
        <is>
          <t>S27</t>
        </is>
      </c>
      <c r="B1401" s="25" t="inlineStr">
        <is>
          <t>전의 신규점</t>
        </is>
      </c>
      <c r="C1401" s="25" t="inlineStr">
        <is>
          <t>S27-H북</t>
        </is>
      </c>
      <c r="D1401" s="25" t="inlineStr">
        <is>
          <t>측정</t>
        </is>
      </c>
      <c r="E1401" s="25" t="inlineStr">
        <is>
          <t>북</t>
        </is>
      </c>
      <c r="F1401" s="30" t="n">
        <v>4</v>
      </c>
      <c r="G1401" s="29" t="n"/>
      <c r="H1401" s="42" t="n"/>
      <c r="I1401" s="40" t="n"/>
      <c r="J1401" s="40" t="n"/>
      <c r="K1401" s="40" t="n"/>
      <c r="L1401" s="30">
        <f>IF(COUNT(I1401:K1401)=0,"",MEDIAN(I1401:K1401))</f>
        <v/>
      </c>
      <c r="M1401" s="25">
        <f>IF(COUNTIFS($C:$C,$C1401,$D:$D,"P0(전)",$L:$L,"&gt;0")&lt;&gt;1,"P0(전) 유효 1개 아님",IF(COUNTIFS($C:$C,$C1401,$D:$D,"P0(후)",$L:$L,"&gt;0")&lt;&gt;1,"P0(후) 유효 1개 아님",IF(NOT(AND(ISNUMBER(N1401),ISNUMBER(P1401),ISNUMBER(H1401))),"시각 결측",IF(P1401&lt;=N1401,"P0 시각 역전",IF(OR(H1401&lt;N1401,H1401&gt;P1401),"측정시각 구간 밖","OK")))))</f>
        <v/>
      </c>
      <c r="N1401" s="45">
        <f>IF(COUNTIFS($C:$C,$C1401,$D:$D,"P0(전)",$L:$L,"&gt;0")&lt;&gt;1,"",SUMIFS($H:$H,$C:$C,$C1401,$D:$D,"P0(전)"))</f>
        <v/>
      </c>
      <c r="O1401" s="30">
        <f>IF(COUNTIFS($C:$C,$C1401,$D:$D,"P0(전)",$L:$L,"&gt;0")&lt;&gt;1,"",SUMIFS($L:$L,$C:$C,$C1401,$D:$D,"P0(전)"))</f>
        <v/>
      </c>
      <c r="P1401" s="45">
        <f>IF(COUNTIFS($C:$C,$C1401,$D:$D,"P0(후)",$L:$L,"&gt;0")&lt;&gt;1,"",SUMIFS($H:$H,$C:$C,$C1401,$D:$D,"P0(후)"))</f>
        <v/>
      </c>
      <c r="Q1401" s="30">
        <f>IF(COUNTIFS($C:$C,$C1401,$D:$D,"P0(후)",$L:$L,"&gt;0")&lt;&gt;1,"",SUMIFS($L:$L,$C:$C,$C1401,$D:$D,"P0(후)"))</f>
        <v/>
      </c>
      <c r="R1401" s="30">
        <f>IF(M1401&lt;&gt;"OK","",O1401+(Q1401-O1401)*(H1401-N1401)/(P1401-N1401))</f>
        <v/>
      </c>
      <c r="S1401" s="30">
        <f>IF(OR(M1401&lt;&gt;"OK",NOT(ISNUMBER(L1401))),"",L1401-R1401)</f>
        <v/>
      </c>
      <c r="T1401" s="46">
        <f>IF(OR(NOT(ISNUMBER(S1401)),IF(ISNUMBER(G1401),G1401,F1401)=0),"",S1401/IF(ISNUMBER(G1401),G1401,F1401))</f>
        <v/>
      </c>
      <c r="U1401" s="46">
        <f>IF(ISNUMBER(T1401),ABS(T1401),"")</f>
        <v/>
      </c>
      <c r="V1401" s="46">
        <f>IF(OR($D1400&lt;&gt;"측정",$C1400&lt;&gt;$C1401,NOT(ISNUMBER(L1401)),NOT(ISNUMBER(L1400)),(IF(ISNUMBER(G1401),G1401,F1401)-IF(ISNUMBER(G1400),G1400,F1400))=0),"",(L1401-L1400)/(IF(ISNUMBER(G1401),G1401,F1401)-IF(ISNUMBER(G1400),G1400,F1400)))</f>
        <v/>
      </c>
      <c r="W1401" s="30">
        <f>IF(NOT(AND(ISNUMBER(N1401),ISNUMBER(P1401))),"",(P1401-N1401)*1440)</f>
        <v/>
      </c>
      <c r="X1401" s="28" t="n"/>
      <c r="Y1401" s="28" t="n"/>
      <c r="Z1401" s="28" t="n"/>
      <c r="AA1401" s="31" t="n"/>
      <c r="AB1401" s="31" t="n"/>
    </row>
    <row r="1402">
      <c r="A1402" s="25" t="inlineStr">
        <is>
          <t>S27</t>
        </is>
      </c>
      <c r="B1402" s="25" t="inlineStr">
        <is>
          <t>전의 신규점</t>
        </is>
      </c>
      <c r="C1402" s="25" t="inlineStr">
        <is>
          <t>S27-H북</t>
        </is>
      </c>
      <c r="D1402" s="25" t="inlineStr">
        <is>
          <t>측정</t>
        </is>
      </c>
      <c r="E1402" s="25" t="inlineStr">
        <is>
          <t>북</t>
        </is>
      </c>
      <c r="F1402" s="30" t="n">
        <v>5</v>
      </c>
      <c r="G1402" s="29" t="n"/>
      <c r="H1402" s="42" t="n"/>
      <c r="I1402" s="40" t="n"/>
      <c r="J1402" s="40" t="n"/>
      <c r="K1402" s="40" t="n"/>
      <c r="L1402" s="30">
        <f>IF(COUNT(I1402:K1402)=0,"",MEDIAN(I1402:K1402))</f>
        <v/>
      </c>
      <c r="M1402" s="25">
        <f>IF(COUNTIFS($C:$C,$C1402,$D:$D,"P0(전)",$L:$L,"&gt;0")&lt;&gt;1,"P0(전) 유효 1개 아님",IF(COUNTIFS($C:$C,$C1402,$D:$D,"P0(후)",$L:$L,"&gt;0")&lt;&gt;1,"P0(후) 유효 1개 아님",IF(NOT(AND(ISNUMBER(N1402),ISNUMBER(P1402),ISNUMBER(H1402))),"시각 결측",IF(P1402&lt;=N1402,"P0 시각 역전",IF(OR(H1402&lt;N1402,H1402&gt;P1402),"측정시각 구간 밖","OK")))))</f>
        <v/>
      </c>
      <c r="N1402" s="45">
        <f>IF(COUNTIFS($C:$C,$C1402,$D:$D,"P0(전)",$L:$L,"&gt;0")&lt;&gt;1,"",SUMIFS($H:$H,$C:$C,$C1402,$D:$D,"P0(전)"))</f>
        <v/>
      </c>
      <c r="O1402" s="30">
        <f>IF(COUNTIFS($C:$C,$C1402,$D:$D,"P0(전)",$L:$L,"&gt;0")&lt;&gt;1,"",SUMIFS($L:$L,$C:$C,$C1402,$D:$D,"P0(전)"))</f>
        <v/>
      </c>
      <c r="P1402" s="45">
        <f>IF(COUNTIFS($C:$C,$C1402,$D:$D,"P0(후)",$L:$L,"&gt;0")&lt;&gt;1,"",SUMIFS($H:$H,$C:$C,$C1402,$D:$D,"P0(후)"))</f>
        <v/>
      </c>
      <c r="Q1402" s="30">
        <f>IF(COUNTIFS($C:$C,$C1402,$D:$D,"P0(후)",$L:$L,"&gt;0")&lt;&gt;1,"",SUMIFS($L:$L,$C:$C,$C1402,$D:$D,"P0(후)"))</f>
        <v/>
      </c>
      <c r="R1402" s="30">
        <f>IF(M1402&lt;&gt;"OK","",O1402+(Q1402-O1402)*(H1402-N1402)/(P1402-N1402))</f>
        <v/>
      </c>
      <c r="S1402" s="30">
        <f>IF(OR(M1402&lt;&gt;"OK",NOT(ISNUMBER(L1402))),"",L1402-R1402)</f>
        <v/>
      </c>
      <c r="T1402" s="46">
        <f>IF(OR(NOT(ISNUMBER(S1402)),IF(ISNUMBER(G1402),G1402,F1402)=0),"",S1402/IF(ISNUMBER(G1402),G1402,F1402))</f>
        <v/>
      </c>
      <c r="U1402" s="46">
        <f>IF(ISNUMBER(T1402),ABS(T1402),"")</f>
        <v/>
      </c>
      <c r="V1402" s="46">
        <f>IF(OR($D1401&lt;&gt;"측정",$C1401&lt;&gt;$C1402,NOT(ISNUMBER(L1402)),NOT(ISNUMBER(L1401)),(IF(ISNUMBER(G1402),G1402,F1402)-IF(ISNUMBER(G1401),G1401,F1401))=0),"",(L1402-L1401)/(IF(ISNUMBER(G1402),G1402,F1402)-IF(ISNUMBER(G1401),G1401,F1401)))</f>
        <v/>
      </c>
      <c r="W1402" s="30">
        <f>IF(NOT(AND(ISNUMBER(N1402),ISNUMBER(P1402))),"",(P1402-N1402)*1440)</f>
        <v/>
      </c>
      <c r="X1402" s="28" t="n"/>
      <c r="Y1402" s="28" t="n"/>
      <c r="Z1402" s="28" t="n"/>
      <c r="AA1402" s="31" t="n"/>
      <c r="AB1402" s="31" t="n"/>
    </row>
    <row r="1403">
      <c r="A1403" s="25" t="inlineStr">
        <is>
          <t>S27</t>
        </is>
      </c>
      <c r="B1403" s="25" t="inlineStr">
        <is>
          <t>전의 신규점</t>
        </is>
      </c>
      <c r="C1403" s="25" t="inlineStr">
        <is>
          <t>S27-H북</t>
        </is>
      </c>
      <c r="D1403" s="25" t="inlineStr">
        <is>
          <t>측정</t>
        </is>
      </c>
      <c r="E1403" s="25" t="inlineStr">
        <is>
          <t>북</t>
        </is>
      </c>
      <c r="F1403" s="30" t="n">
        <v>6</v>
      </c>
      <c r="G1403" s="29" t="n"/>
      <c r="H1403" s="42" t="n"/>
      <c r="I1403" s="40" t="n"/>
      <c r="J1403" s="40" t="n"/>
      <c r="K1403" s="40" t="n"/>
      <c r="L1403" s="30">
        <f>IF(COUNT(I1403:K1403)=0,"",MEDIAN(I1403:K1403))</f>
        <v/>
      </c>
      <c r="M1403" s="25">
        <f>IF(COUNTIFS($C:$C,$C1403,$D:$D,"P0(전)",$L:$L,"&gt;0")&lt;&gt;1,"P0(전) 유효 1개 아님",IF(COUNTIFS($C:$C,$C1403,$D:$D,"P0(후)",$L:$L,"&gt;0")&lt;&gt;1,"P0(후) 유효 1개 아님",IF(NOT(AND(ISNUMBER(N1403),ISNUMBER(P1403),ISNUMBER(H1403))),"시각 결측",IF(P1403&lt;=N1403,"P0 시각 역전",IF(OR(H1403&lt;N1403,H1403&gt;P1403),"측정시각 구간 밖","OK")))))</f>
        <v/>
      </c>
      <c r="N1403" s="45">
        <f>IF(COUNTIFS($C:$C,$C1403,$D:$D,"P0(전)",$L:$L,"&gt;0")&lt;&gt;1,"",SUMIFS($H:$H,$C:$C,$C1403,$D:$D,"P0(전)"))</f>
        <v/>
      </c>
      <c r="O1403" s="30">
        <f>IF(COUNTIFS($C:$C,$C1403,$D:$D,"P0(전)",$L:$L,"&gt;0")&lt;&gt;1,"",SUMIFS($L:$L,$C:$C,$C1403,$D:$D,"P0(전)"))</f>
        <v/>
      </c>
      <c r="P1403" s="45">
        <f>IF(COUNTIFS($C:$C,$C1403,$D:$D,"P0(후)",$L:$L,"&gt;0")&lt;&gt;1,"",SUMIFS($H:$H,$C:$C,$C1403,$D:$D,"P0(후)"))</f>
        <v/>
      </c>
      <c r="Q1403" s="30">
        <f>IF(COUNTIFS($C:$C,$C1403,$D:$D,"P0(후)",$L:$L,"&gt;0")&lt;&gt;1,"",SUMIFS($L:$L,$C:$C,$C1403,$D:$D,"P0(후)"))</f>
        <v/>
      </c>
      <c r="R1403" s="30">
        <f>IF(M1403&lt;&gt;"OK","",O1403+(Q1403-O1403)*(H1403-N1403)/(P1403-N1403))</f>
        <v/>
      </c>
      <c r="S1403" s="30">
        <f>IF(OR(M1403&lt;&gt;"OK",NOT(ISNUMBER(L1403))),"",L1403-R1403)</f>
        <v/>
      </c>
      <c r="T1403" s="46">
        <f>IF(OR(NOT(ISNUMBER(S1403)),IF(ISNUMBER(G1403),G1403,F1403)=0),"",S1403/IF(ISNUMBER(G1403),G1403,F1403))</f>
        <v/>
      </c>
      <c r="U1403" s="46">
        <f>IF(ISNUMBER(T1403),ABS(T1403),"")</f>
        <v/>
      </c>
      <c r="V1403" s="46">
        <f>IF(OR($D1402&lt;&gt;"측정",$C1402&lt;&gt;$C1403,NOT(ISNUMBER(L1403)),NOT(ISNUMBER(L1402)),(IF(ISNUMBER(G1403),G1403,F1403)-IF(ISNUMBER(G1402),G1402,F1402))=0),"",(L1403-L1402)/(IF(ISNUMBER(G1403),G1403,F1403)-IF(ISNUMBER(G1402),G1402,F1402)))</f>
        <v/>
      </c>
      <c r="W1403" s="30">
        <f>IF(NOT(AND(ISNUMBER(N1403),ISNUMBER(P1403))),"",(P1403-N1403)*1440)</f>
        <v/>
      </c>
      <c r="X1403" s="28" t="n"/>
      <c r="Y1403" s="28" t="n"/>
      <c r="Z1403" s="28" t="n"/>
      <c r="AA1403" s="31" t="n"/>
      <c r="AB1403" s="31" t="n"/>
    </row>
    <row r="1404">
      <c r="A1404" s="25" t="inlineStr">
        <is>
          <t>S27</t>
        </is>
      </c>
      <c r="B1404" s="25" t="inlineStr">
        <is>
          <t>전의 신규점</t>
        </is>
      </c>
      <c r="C1404" s="25" t="inlineStr">
        <is>
          <t>S27-H북</t>
        </is>
      </c>
      <c r="D1404" s="25" t="inlineStr">
        <is>
          <t>측정</t>
        </is>
      </c>
      <c r="E1404" s="25" t="inlineStr">
        <is>
          <t>북</t>
        </is>
      </c>
      <c r="F1404" s="30" t="n">
        <v>7</v>
      </c>
      <c r="G1404" s="29" t="n"/>
      <c r="H1404" s="42" t="n"/>
      <c r="I1404" s="40" t="n"/>
      <c r="J1404" s="40" t="n"/>
      <c r="K1404" s="40" t="n"/>
      <c r="L1404" s="30">
        <f>IF(COUNT(I1404:K1404)=0,"",MEDIAN(I1404:K1404))</f>
        <v/>
      </c>
      <c r="M1404" s="25">
        <f>IF(COUNTIFS($C:$C,$C1404,$D:$D,"P0(전)",$L:$L,"&gt;0")&lt;&gt;1,"P0(전) 유효 1개 아님",IF(COUNTIFS($C:$C,$C1404,$D:$D,"P0(후)",$L:$L,"&gt;0")&lt;&gt;1,"P0(후) 유효 1개 아님",IF(NOT(AND(ISNUMBER(N1404),ISNUMBER(P1404),ISNUMBER(H1404))),"시각 결측",IF(P1404&lt;=N1404,"P0 시각 역전",IF(OR(H1404&lt;N1404,H1404&gt;P1404),"측정시각 구간 밖","OK")))))</f>
        <v/>
      </c>
      <c r="N1404" s="45">
        <f>IF(COUNTIFS($C:$C,$C1404,$D:$D,"P0(전)",$L:$L,"&gt;0")&lt;&gt;1,"",SUMIFS($H:$H,$C:$C,$C1404,$D:$D,"P0(전)"))</f>
        <v/>
      </c>
      <c r="O1404" s="30">
        <f>IF(COUNTIFS($C:$C,$C1404,$D:$D,"P0(전)",$L:$L,"&gt;0")&lt;&gt;1,"",SUMIFS($L:$L,$C:$C,$C1404,$D:$D,"P0(전)"))</f>
        <v/>
      </c>
      <c r="P1404" s="45">
        <f>IF(COUNTIFS($C:$C,$C1404,$D:$D,"P0(후)",$L:$L,"&gt;0")&lt;&gt;1,"",SUMIFS($H:$H,$C:$C,$C1404,$D:$D,"P0(후)"))</f>
        <v/>
      </c>
      <c r="Q1404" s="30">
        <f>IF(COUNTIFS($C:$C,$C1404,$D:$D,"P0(후)",$L:$L,"&gt;0")&lt;&gt;1,"",SUMIFS($L:$L,$C:$C,$C1404,$D:$D,"P0(후)"))</f>
        <v/>
      </c>
      <c r="R1404" s="30">
        <f>IF(M1404&lt;&gt;"OK","",O1404+(Q1404-O1404)*(H1404-N1404)/(P1404-N1404))</f>
        <v/>
      </c>
      <c r="S1404" s="30">
        <f>IF(OR(M1404&lt;&gt;"OK",NOT(ISNUMBER(L1404))),"",L1404-R1404)</f>
        <v/>
      </c>
      <c r="T1404" s="46">
        <f>IF(OR(NOT(ISNUMBER(S1404)),IF(ISNUMBER(G1404),G1404,F1404)=0),"",S1404/IF(ISNUMBER(G1404),G1404,F1404))</f>
        <v/>
      </c>
      <c r="U1404" s="46">
        <f>IF(ISNUMBER(T1404),ABS(T1404),"")</f>
        <v/>
      </c>
      <c r="V1404" s="46">
        <f>IF(OR($D1403&lt;&gt;"측정",$C1403&lt;&gt;$C1404,NOT(ISNUMBER(L1404)),NOT(ISNUMBER(L1403)),(IF(ISNUMBER(G1404),G1404,F1404)-IF(ISNUMBER(G1403),G1403,F1403))=0),"",(L1404-L1403)/(IF(ISNUMBER(G1404),G1404,F1404)-IF(ISNUMBER(G1403),G1403,F1403)))</f>
        <v/>
      </c>
      <c r="W1404" s="30">
        <f>IF(NOT(AND(ISNUMBER(N1404),ISNUMBER(P1404))),"",(P1404-N1404)*1440)</f>
        <v/>
      </c>
      <c r="X1404" s="28" t="n"/>
      <c r="Y1404" s="28" t="n"/>
      <c r="Z1404" s="28" t="n"/>
      <c r="AA1404" s="31" t="n"/>
      <c r="AB1404" s="31" t="n"/>
    </row>
    <row r="1405">
      <c r="A1405" s="25" t="inlineStr">
        <is>
          <t>S27</t>
        </is>
      </c>
      <c r="B1405" s="25" t="inlineStr">
        <is>
          <t>전의 신규점</t>
        </is>
      </c>
      <c r="C1405" s="25" t="inlineStr">
        <is>
          <t>S27-H북</t>
        </is>
      </c>
      <c r="D1405" s="25" t="inlineStr">
        <is>
          <t>측정</t>
        </is>
      </c>
      <c r="E1405" s="25" t="inlineStr">
        <is>
          <t>북</t>
        </is>
      </c>
      <c r="F1405" s="30" t="n">
        <v>8</v>
      </c>
      <c r="G1405" s="29" t="n"/>
      <c r="H1405" s="42" t="n"/>
      <c r="I1405" s="40" t="n"/>
      <c r="J1405" s="40" t="n"/>
      <c r="K1405" s="40" t="n"/>
      <c r="L1405" s="30">
        <f>IF(COUNT(I1405:K1405)=0,"",MEDIAN(I1405:K1405))</f>
        <v/>
      </c>
      <c r="M1405" s="25">
        <f>IF(COUNTIFS($C:$C,$C1405,$D:$D,"P0(전)",$L:$L,"&gt;0")&lt;&gt;1,"P0(전) 유효 1개 아님",IF(COUNTIFS($C:$C,$C1405,$D:$D,"P0(후)",$L:$L,"&gt;0")&lt;&gt;1,"P0(후) 유효 1개 아님",IF(NOT(AND(ISNUMBER(N1405),ISNUMBER(P1405),ISNUMBER(H1405))),"시각 결측",IF(P1405&lt;=N1405,"P0 시각 역전",IF(OR(H1405&lt;N1405,H1405&gt;P1405),"측정시각 구간 밖","OK")))))</f>
        <v/>
      </c>
      <c r="N1405" s="45">
        <f>IF(COUNTIFS($C:$C,$C1405,$D:$D,"P0(전)",$L:$L,"&gt;0")&lt;&gt;1,"",SUMIFS($H:$H,$C:$C,$C1405,$D:$D,"P0(전)"))</f>
        <v/>
      </c>
      <c r="O1405" s="30">
        <f>IF(COUNTIFS($C:$C,$C1405,$D:$D,"P0(전)",$L:$L,"&gt;0")&lt;&gt;1,"",SUMIFS($L:$L,$C:$C,$C1405,$D:$D,"P0(전)"))</f>
        <v/>
      </c>
      <c r="P1405" s="45">
        <f>IF(COUNTIFS($C:$C,$C1405,$D:$D,"P0(후)",$L:$L,"&gt;0")&lt;&gt;1,"",SUMIFS($H:$H,$C:$C,$C1405,$D:$D,"P0(후)"))</f>
        <v/>
      </c>
      <c r="Q1405" s="30">
        <f>IF(COUNTIFS($C:$C,$C1405,$D:$D,"P0(후)",$L:$L,"&gt;0")&lt;&gt;1,"",SUMIFS($L:$L,$C:$C,$C1405,$D:$D,"P0(후)"))</f>
        <v/>
      </c>
      <c r="R1405" s="30">
        <f>IF(M1405&lt;&gt;"OK","",O1405+(Q1405-O1405)*(H1405-N1405)/(P1405-N1405))</f>
        <v/>
      </c>
      <c r="S1405" s="30">
        <f>IF(OR(M1405&lt;&gt;"OK",NOT(ISNUMBER(L1405))),"",L1405-R1405)</f>
        <v/>
      </c>
      <c r="T1405" s="46">
        <f>IF(OR(NOT(ISNUMBER(S1405)),IF(ISNUMBER(G1405),G1405,F1405)=0),"",S1405/IF(ISNUMBER(G1405),G1405,F1405))</f>
        <v/>
      </c>
      <c r="U1405" s="46">
        <f>IF(ISNUMBER(T1405),ABS(T1405),"")</f>
        <v/>
      </c>
      <c r="V1405" s="46">
        <f>IF(OR($D1404&lt;&gt;"측정",$C1404&lt;&gt;$C1405,NOT(ISNUMBER(L1405)),NOT(ISNUMBER(L1404)),(IF(ISNUMBER(G1405),G1405,F1405)-IF(ISNUMBER(G1404),G1404,F1404))=0),"",(L1405-L1404)/(IF(ISNUMBER(G1405),G1405,F1405)-IF(ISNUMBER(G1404),G1404,F1404)))</f>
        <v/>
      </c>
      <c r="W1405" s="30">
        <f>IF(NOT(AND(ISNUMBER(N1405),ISNUMBER(P1405))),"",(P1405-N1405)*1440)</f>
        <v/>
      </c>
      <c r="X1405" s="28" t="n"/>
      <c r="Y1405" s="28" t="n"/>
      <c r="Z1405" s="28" t="n"/>
      <c r="AA1405" s="31" t="n"/>
      <c r="AB1405" s="31" t="n"/>
    </row>
    <row r="1406">
      <c r="A1406" s="25" t="inlineStr">
        <is>
          <t>S27</t>
        </is>
      </c>
      <c r="B1406" s="25" t="inlineStr">
        <is>
          <t>전의 신규점</t>
        </is>
      </c>
      <c r="C1406" s="25" t="inlineStr">
        <is>
          <t>S27-H북</t>
        </is>
      </c>
      <c r="D1406" s="25" t="inlineStr">
        <is>
          <t>측정</t>
        </is>
      </c>
      <c r="E1406" s="25" t="inlineStr">
        <is>
          <t>북</t>
        </is>
      </c>
      <c r="F1406" s="30" t="n">
        <v>9</v>
      </c>
      <c r="G1406" s="29" t="n"/>
      <c r="H1406" s="42" t="n"/>
      <c r="I1406" s="40" t="n"/>
      <c r="J1406" s="40" t="n"/>
      <c r="K1406" s="40" t="n"/>
      <c r="L1406" s="30">
        <f>IF(COUNT(I1406:K1406)=0,"",MEDIAN(I1406:K1406))</f>
        <v/>
      </c>
      <c r="M1406" s="25">
        <f>IF(COUNTIFS($C:$C,$C1406,$D:$D,"P0(전)",$L:$L,"&gt;0")&lt;&gt;1,"P0(전) 유효 1개 아님",IF(COUNTIFS($C:$C,$C1406,$D:$D,"P0(후)",$L:$L,"&gt;0")&lt;&gt;1,"P0(후) 유효 1개 아님",IF(NOT(AND(ISNUMBER(N1406),ISNUMBER(P1406),ISNUMBER(H1406))),"시각 결측",IF(P1406&lt;=N1406,"P0 시각 역전",IF(OR(H1406&lt;N1406,H1406&gt;P1406),"측정시각 구간 밖","OK")))))</f>
        <v/>
      </c>
      <c r="N1406" s="45">
        <f>IF(COUNTIFS($C:$C,$C1406,$D:$D,"P0(전)",$L:$L,"&gt;0")&lt;&gt;1,"",SUMIFS($H:$H,$C:$C,$C1406,$D:$D,"P0(전)"))</f>
        <v/>
      </c>
      <c r="O1406" s="30">
        <f>IF(COUNTIFS($C:$C,$C1406,$D:$D,"P0(전)",$L:$L,"&gt;0")&lt;&gt;1,"",SUMIFS($L:$L,$C:$C,$C1406,$D:$D,"P0(전)"))</f>
        <v/>
      </c>
      <c r="P1406" s="45">
        <f>IF(COUNTIFS($C:$C,$C1406,$D:$D,"P0(후)",$L:$L,"&gt;0")&lt;&gt;1,"",SUMIFS($H:$H,$C:$C,$C1406,$D:$D,"P0(후)"))</f>
        <v/>
      </c>
      <c r="Q1406" s="30">
        <f>IF(COUNTIFS($C:$C,$C1406,$D:$D,"P0(후)",$L:$L,"&gt;0")&lt;&gt;1,"",SUMIFS($L:$L,$C:$C,$C1406,$D:$D,"P0(후)"))</f>
        <v/>
      </c>
      <c r="R1406" s="30">
        <f>IF(M1406&lt;&gt;"OK","",O1406+(Q1406-O1406)*(H1406-N1406)/(P1406-N1406))</f>
        <v/>
      </c>
      <c r="S1406" s="30">
        <f>IF(OR(M1406&lt;&gt;"OK",NOT(ISNUMBER(L1406))),"",L1406-R1406)</f>
        <v/>
      </c>
      <c r="T1406" s="46">
        <f>IF(OR(NOT(ISNUMBER(S1406)),IF(ISNUMBER(G1406),G1406,F1406)=0),"",S1406/IF(ISNUMBER(G1406),G1406,F1406))</f>
        <v/>
      </c>
      <c r="U1406" s="46">
        <f>IF(ISNUMBER(T1406),ABS(T1406),"")</f>
        <v/>
      </c>
      <c r="V1406" s="46">
        <f>IF(OR($D1405&lt;&gt;"측정",$C1405&lt;&gt;$C1406,NOT(ISNUMBER(L1406)),NOT(ISNUMBER(L1405)),(IF(ISNUMBER(G1406),G1406,F1406)-IF(ISNUMBER(G1405),G1405,F1405))=0),"",(L1406-L1405)/(IF(ISNUMBER(G1406),G1406,F1406)-IF(ISNUMBER(G1405),G1405,F1405)))</f>
        <v/>
      </c>
      <c r="W1406" s="30">
        <f>IF(NOT(AND(ISNUMBER(N1406),ISNUMBER(P1406))),"",(P1406-N1406)*1440)</f>
        <v/>
      </c>
      <c r="X1406" s="28" t="n"/>
      <c r="Y1406" s="28" t="n"/>
      <c r="Z1406" s="28" t="n"/>
      <c r="AA1406" s="31" t="n"/>
      <c r="AB1406" s="31" t="n"/>
    </row>
    <row r="1407">
      <c r="A1407" s="25" t="inlineStr">
        <is>
          <t>S27</t>
        </is>
      </c>
      <c r="B1407" s="25" t="inlineStr">
        <is>
          <t>전의 신규점</t>
        </is>
      </c>
      <c r="C1407" s="25" t="inlineStr">
        <is>
          <t>S27-H북</t>
        </is>
      </c>
      <c r="D1407" s="25" t="inlineStr">
        <is>
          <t>측정</t>
        </is>
      </c>
      <c r="E1407" s="25" t="inlineStr">
        <is>
          <t>북</t>
        </is>
      </c>
      <c r="F1407" s="30" t="n">
        <v>10</v>
      </c>
      <c r="G1407" s="29" t="n"/>
      <c r="H1407" s="42" t="n"/>
      <c r="I1407" s="40" t="n"/>
      <c r="J1407" s="40" t="n"/>
      <c r="K1407" s="40" t="n"/>
      <c r="L1407" s="30">
        <f>IF(COUNT(I1407:K1407)=0,"",MEDIAN(I1407:K1407))</f>
        <v/>
      </c>
      <c r="M1407" s="25">
        <f>IF(COUNTIFS($C:$C,$C1407,$D:$D,"P0(전)",$L:$L,"&gt;0")&lt;&gt;1,"P0(전) 유효 1개 아님",IF(COUNTIFS($C:$C,$C1407,$D:$D,"P0(후)",$L:$L,"&gt;0")&lt;&gt;1,"P0(후) 유효 1개 아님",IF(NOT(AND(ISNUMBER(N1407),ISNUMBER(P1407),ISNUMBER(H1407))),"시각 결측",IF(P1407&lt;=N1407,"P0 시각 역전",IF(OR(H1407&lt;N1407,H1407&gt;P1407),"측정시각 구간 밖","OK")))))</f>
        <v/>
      </c>
      <c r="N1407" s="45">
        <f>IF(COUNTIFS($C:$C,$C1407,$D:$D,"P0(전)",$L:$L,"&gt;0")&lt;&gt;1,"",SUMIFS($H:$H,$C:$C,$C1407,$D:$D,"P0(전)"))</f>
        <v/>
      </c>
      <c r="O1407" s="30">
        <f>IF(COUNTIFS($C:$C,$C1407,$D:$D,"P0(전)",$L:$L,"&gt;0")&lt;&gt;1,"",SUMIFS($L:$L,$C:$C,$C1407,$D:$D,"P0(전)"))</f>
        <v/>
      </c>
      <c r="P1407" s="45">
        <f>IF(COUNTIFS($C:$C,$C1407,$D:$D,"P0(후)",$L:$L,"&gt;0")&lt;&gt;1,"",SUMIFS($H:$H,$C:$C,$C1407,$D:$D,"P0(후)"))</f>
        <v/>
      </c>
      <c r="Q1407" s="30">
        <f>IF(COUNTIFS($C:$C,$C1407,$D:$D,"P0(후)",$L:$L,"&gt;0")&lt;&gt;1,"",SUMIFS($L:$L,$C:$C,$C1407,$D:$D,"P0(후)"))</f>
        <v/>
      </c>
      <c r="R1407" s="30">
        <f>IF(M1407&lt;&gt;"OK","",O1407+(Q1407-O1407)*(H1407-N1407)/(P1407-N1407))</f>
        <v/>
      </c>
      <c r="S1407" s="30">
        <f>IF(OR(M1407&lt;&gt;"OK",NOT(ISNUMBER(L1407))),"",L1407-R1407)</f>
        <v/>
      </c>
      <c r="T1407" s="46">
        <f>IF(OR(NOT(ISNUMBER(S1407)),IF(ISNUMBER(G1407),G1407,F1407)=0),"",S1407/IF(ISNUMBER(G1407),G1407,F1407))</f>
        <v/>
      </c>
      <c r="U1407" s="46">
        <f>IF(ISNUMBER(T1407),ABS(T1407),"")</f>
        <v/>
      </c>
      <c r="V1407" s="46">
        <f>IF(OR($D1406&lt;&gt;"측정",$C1406&lt;&gt;$C1407,NOT(ISNUMBER(L1407)),NOT(ISNUMBER(L1406)),(IF(ISNUMBER(G1407),G1407,F1407)-IF(ISNUMBER(G1406),G1406,F1406))=0),"",(L1407-L1406)/(IF(ISNUMBER(G1407),G1407,F1407)-IF(ISNUMBER(G1406),G1406,F1406)))</f>
        <v/>
      </c>
      <c r="W1407" s="30">
        <f>IF(NOT(AND(ISNUMBER(N1407),ISNUMBER(P1407))),"",(P1407-N1407)*1440)</f>
        <v/>
      </c>
      <c r="X1407" s="28" t="n"/>
      <c r="Y1407" s="28" t="n"/>
      <c r="Z1407" s="28" t="n"/>
      <c r="AA1407" s="31" t="n"/>
      <c r="AB1407" s="31" t="n"/>
    </row>
    <row r="1408">
      <c r="A1408" s="43" t="inlineStr">
        <is>
          <t>S27</t>
        </is>
      </c>
      <c r="B1408" s="43" t="inlineStr">
        <is>
          <t>전의 신규점</t>
        </is>
      </c>
      <c r="C1408" s="43" t="inlineStr">
        <is>
          <t>S27-H북</t>
        </is>
      </c>
      <c r="D1408" s="43" t="inlineStr">
        <is>
          <t>P0(후)</t>
        </is>
      </c>
      <c r="E1408" s="43" t="inlineStr">
        <is>
          <t>북</t>
        </is>
      </c>
      <c r="F1408" s="44" t="n"/>
      <c r="G1408" s="29" t="n"/>
      <c r="H1408" s="42" t="n"/>
      <c r="I1408" s="40" t="n"/>
      <c r="J1408" s="40" t="n"/>
      <c r="K1408" s="40" t="n"/>
      <c r="L1408" s="30">
        <f>IF(COUNT(I1408:K1408)=0,"",MEDIAN(I1408:K1408))</f>
        <v/>
      </c>
      <c r="M1408" s="37" t="n"/>
      <c r="N1408" s="37" t="n"/>
      <c r="O1408" s="37" t="n"/>
      <c r="P1408" s="37" t="n"/>
      <c r="Q1408" s="37" t="n"/>
      <c r="R1408" s="37" t="n"/>
      <c r="S1408" s="37" t="n"/>
      <c r="T1408" s="37" t="n"/>
      <c r="U1408" s="37" t="n"/>
      <c r="V1408" s="37" t="n"/>
      <c r="W1408" s="37" t="n"/>
      <c r="X1408" s="28" t="n"/>
      <c r="Y1408" s="28" t="n"/>
      <c r="Z1408" s="28" t="n"/>
      <c r="AA1408" s="31" t="n"/>
      <c r="AB1408" s="31" t="n"/>
    </row>
    <row r="1409">
      <c r="A1409" s="43" t="inlineStr">
        <is>
          <t>S28</t>
        </is>
      </c>
      <c r="B1409" s="43" t="inlineStr">
        <is>
          <t>이원 신규점</t>
        </is>
      </c>
      <c r="C1409" s="43" t="inlineStr">
        <is>
          <t>S28-H동</t>
        </is>
      </c>
      <c r="D1409" s="43" t="inlineStr">
        <is>
          <t>P0(전)</t>
        </is>
      </c>
      <c r="E1409" s="43" t="inlineStr">
        <is>
          <t>동</t>
        </is>
      </c>
      <c r="F1409" s="44" t="n"/>
      <c r="G1409" s="29" t="n"/>
      <c r="H1409" s="42" t="n"/>
      <c r="I1409" s="40" t="n"/>
      <c r="J1409" s="40" t="n"/>
      <c r="K1409" s="40" t="n"/>
      <c r="L1409" s="30">
        <f>IF(COUNT(I1409:K1409)=0,"",MEDIAN(I1409:K1409))</f>
        <v/>
      </c>
      <c r="M1409" s="37" t="n"/>
      <c r="N1409" s="37" t="n"/>
      <c r="O1409" s="37" t="n"/>
      <c r="P1409" s="37" t="n"/>
      <c r="Q1409" s="37" t="n"/>
      <c r="R1409" s="37" t="n"/>
      <c r="S1409" s="37" t="n"/>
      <c r="T1409" s="37" t="n"/>
      <c r="U1409" s="37" t="n"/>
      <c r="V1409" s="37" t="n"/>
      <c r="W1409" s="37" t="n"/>
      <c r="X1409" s="28" t="n"/>
      <c r="Y1409" s="28" t="n"/>
      <c r="Z1409" s="28" t="n"/>
      <c r="AA1409" s="31" t="n"/>
      <c r="AB1409" s="31" t="n"/>
    </row>
    <row r="1410">
      <c r="A1410" s="25" t="inlineStr">
        <is>
          <t>S28</t>
        </is>
      </c>
      <c r="B1410" s="25" t="inlineStr">
        <is>
          <t>이원 신규점</t>
        </is>
      </c>
      <c r="C1410" s="25" t="inlineStr">
        <is>
          <t>S28-H동</t>
        </is>
      </c>
      <c r="D1410" s="25" t="inlineStr">
        <is>
          <t>측정</t>
        </is>
      </c>
      <c r="E1410" s="25" t="inlineStr">
        <is>
          <t>동</t>
        </is>
      </c>
      <c r="F1410" s="30" t="n">
        <v>0.5</v>
      </c>
      <c r="G1410" s="29" t="n"/>
      <c r="H1410" s="42" t="n"/>
      <c r="I1410" s="40" t="n"/>
      <c r="J1410" s="40" t="n"/>
      <c r="K1410" s="40" t="n"/>
      <c r="L1410" s="30">
        <f>IF(COUNT(I1410:K1410)=0,"",MEDIAN(I1410:K1410))</f>
        <v/>
      </c>
      <c r="M1410" s="25">
        <f>IF(COUNTIFS($C:$C,$C1410,$D:$D,"P0(전)",$L:$L,"&gt;0")&lt;&gt;1,"P0(전) 유효 1개 아님",IF(COUNTIFS($C:$C,$C1410,$D:$D,"P0(후)",$L:$L,"&gt;0")&lt;&gt;1,"P0(후) 유효 1개 아님",IF(NOT(AND(ISNUMBER(N1410),ISNUMBER(P1410),ISNUMBER(H1410))),"시각 결측",IF(P1410&lt;=N1410,"P0 시각 역전",IF(OR(H1410&lt;N1410,H1410&gt;P1410),"측정시각 구간 밖","OK")))))</f>
        <v/>
      </c>
      <c r="N1410" s="45">
        <f>IF(COUNTIFS($C:$C,$C1410,$D:$D,"P0(전)",$L:$L,"&gt;0")&lt;&gt;1,"",SUMIFS($H:$H,$C:$C,$C1410,$D:$D,"P0(전)"))</f>
        <v/>
      </c>
      <c r="O1410" s="30">
        <f>IF(COUNTIFS($C:$C,$C1410,$D:$D,"P0(전)",$L:$L,"&gt;0")&lt;&gt;1,"",SUMIFS($L:$L,$C:$C,$C1410,$D:$D,"P0(전)"))</f>
        <v/>
      </c>
      <c r="P1410" s="45">
        <f>IF(COUNTIFS($C:$C,$C1410,$D:$D,"P0(후)",$L:$L,"&gt;0")&lt;&gt;1,"",SUMIFS($H:$H,$C:$C,$C1410,$D:$D,"P0(후)"))</f>
        <v/>
      </c>
      <c r="Q1410" s="30">
        <f>IF(COUNTIFS($C:$C,$C1410,$D:$D,"P0(후)",$L:$L,"&gt;0")&lt;&gt;1,"",SUMIFS($L:$L,$C:$C,$C1410,$D:$D,"P0(후)"))</f>
        <v/>
      </c>
      <c r="R1410" s="30">
        <f>IF(M1410&lt;&gt;"OK","",O1410+(Q1410-O1410)*(H1410-N1410)/(P1410-N1410))</f>
        <v/>
      </c>
      <c r="S1410" s="30">
        <f>IF(OR(M1410&lt;&gt;"OK",NOT(ISNUMBER(L1410))),"",L1410-R1410)</f>
        <v/>
      </c>
      <c r="T1410" s="46">
        <f>IF(OR(NOT(ISNUMBER(S1410)),IF(ISNUMBER(G1410),G1410,F1410)=0),"",S1410/IF(ISNUMBER(G1410),G1410,F1410))</f>
        <v/>
      </c>
      <c r="U1410" s="46">
        <f>IF(ISNUMBER(T1410),ABS(T1410),"")</f>
        <v/>
      </c>
      <c r="V1410" s="46">
        <f>IF(OR($D1409&lt;&gt;"측정",$C1409&lt;&gt;$C1410,NOT(ISNUMBER(L1410)),NOT(ISNUMBER(L1409)),(IF(ISNUMBER(G1410),G1410,F1410)-IF(ISNUMBER(G1409),G1409,F1409))=0),"",(L1410-L1409)/(IF(ISNUMBER(G1410),G1410,F1410)-IF(ISNUMBER(G1409),G1409,F1409)))</f>
        <v/>
      </c>
      <c r="W1410" s="30">
        <f>IF(NOT(AND(ISNUMBER(N1410),ISNUMBER(P1410))),"",(P1410-N1410)*1440)</f>
        <v/>
      </c>
      <c r="X1410" s="28" t="n"/>
      <c r="Y1410" s="28" t="n"/>
      <c r="Z1410" s="28" t="n"/>
      <c r="AA1410" s="31" t="n"/>
      <c r="AB1410" s="31" t="n"/>
    </row>
    <row r="1411">
      <c r="A1411" s="25" t="inlineStr">
        <is>
          <t>S28</t>
        </is>
      </c>
      <c r="B1411" s="25" t="inlineStr">
        <is>
          <t>이원 신규점</t>
        </is>
      </c>
      <c r="C1411" s="25" t="inlineStr">
        <is>
          <t>S28-H동</t>
        </is>
      </c>
      <c r="D1411" s="25" t="inlineStr">
        <is>
          <t>측정</t>
        </is>
      </c>
      <c r="E1411" s="25" t="inlineStr">
        <is>
          <t>동</t>
        </is>
      </c>
      <c r="F1411" s="30" t="n">
        <v>1</v>
      </c>
      <c r="G1411" s="29" t="n"/>
      <c r="H1411" s="42" t="n"/>
      <c r="I1411" s="40" t="n"/>
      <c r="J1411" s="40" t="n"/>
      <c r="K1411" s="40" t="n"/>
      <c r="L1411" s="30">
        <f>IF(COUNT(I1411:K1411)=0,"",MEDIAN(I1411:K1411))</f>
        <v/>
      </c>
      <c r="M1411" s="25">
        <f>IF(COUNTIFS($C:$C,$C1411,$D:$D,"P0(전)",$L:$L,"&gt;0")&lt;&gt;1,"P0(전) 유효 1개 아님",IF(COUNTIFS($C:$C,$C1411,$D:$D,"P0(후)",$L:$L,"&gt;0")&lt;&gt;1,"P0(후) 유효 1개 아님",IF(NOT(AND(ISNUMBER(N1411),ISNUMBER(P1411),ISNUMBER(H1411))),"시각 결측",IF(P1411&lt;=N1411,"P0 시각 역전",IF(OR(H1411&lt;N1411,H1411&gt;P1411),"측정시각 구간 밖","OK")))))</f>
        <v/>
      </c>
      <c r="N1411" s="45">
        <f>IF(COUNTIFS($C:$C,$C1411,$D:$D,"P0(전)",$L:$L,"&gt;0")&lt;&gt;1,"",SUMIFS($H:$H,$C:$C,$C1411,$D:$D,"P0(전)"))</f>
        <v/>
      </c>
      <c r="O1411" s="30">
        <f>IF(COUNTIFS($C:$C,$C1411,$D:$D,"P0(전)",$L:$L,"&gt;0")&lt;&gt;1,"",SUMIFS($L:$L,$C:$C,$C1411,$D:$D,"P0(전)"))</f>
        <v/>
      </c>
      <c r="P1411" s="45">
        <f>IF(COUNTIFS($C:$C,$C1411,$D:$D,"P0(후)",$L:$L,"&gt;0")&lt;&gt;1,"",SUMIFS($H:$H,$C:$C,$C1411,$D:$D,"P0(후)"))</f>
        <v/>
      </c>
      <c r="Q1411" s="30">
        <f>IF(COUNTIFS($C:$C,$C1411,$D:$D,"P0(후)",$L:$L,"&gt;0")&lt;&gt;1,"",SUMIFS($L:$L,$C:$C,$C1411,$D:$D,"P0(후)"))</f>
        <v/>
      </c>
      <c r="R1411" s="30">
        <f>IF(M1411&lt;&gt;"OK","",O1411+(Q1411-O1411)*(H1411-N1411)/(P1411-N1411))</f>
        <v/>
      </c>
      <c r="S1411" s="30">
        <f>IF(OR(M1411&lt;&gt;"OK",NOT(ISNUMBER(L1411))),"",L1411-R1411)</f>
        <v/>
      </c>
      <c r="T1411" s="46">
        <f>IF(OR(NOT(ISNUMBER(S1411)),IF(ISNUMBER(G1411),G1411,F1411)=0),"",S1411/IF(ISNUMBER(G1411),G1411,F1411))</f>
        <v/>
      </c>
      <c r="U1411" s="46">
        <f>IF(ISNUMBER(T1411),ABS(T1411),"")</f>
        <v/>
      </c>
      <c r="V1411" s="46">
        <f>IF(OR($D1410&lt;&gt;"측정",$C1410&lt;&gt;$C1411,NOT(ISNUMBER(L1411)),NOT(ISNUMBER(L1410)),(IF(ISNUMBER(G1411),G1411,F1411)-IF(ISNUMBER(G1410),G1410,F1410))=0),"",(L1411-L1410)/(IF(ISNUMBER(G1411),G1411,F1411)-IF(ISNUMBER(G1410),G1410,F1410)))</f>
        <v/>
      </c>
      <c r="W1411" s="30">
        <f>IF(NOT(AND(ISNUMBER(N1411),ISNUMBER(P1411))),"",(P1411-N1411)*1440)</f>
        <v/>
      </c>
      <c r="X1411" s="28" t="n"/>
      <c r="Y1411" s="28" t="n"/>
      <c r="Z1411" s="28" t="n"/>
      <c r="AA1411" s="31" t="n"/>
      <c r="AB1411" s="31" t="n"/>
    </row>
    <row r="1412">
      <c r="A1412" s="25" t="inlineStr">
        <is>
          <t>S28</t>
        </is>
      </c>
      <c r="B1412" s="25" t="inlineStr">
        <is>
          <t>이원 신규점</t>
        </is>
      </c>
      <c r="C1412" s="25" t="inlineStr">
        <is>
          <t>S28-H동</t>
        </is>
      </c>
      <c r="D1412" s="25" t="inlineStr">
        <is>
          <t>측정</t>
        </is>
      </c>
      <c r="E1412" s="25" t="inlineStr">
        <is>
          <t>동</t>
        </is>
      </c>
      <c r="F1412" s="30" t="n">
        <v>2</v>
      </c>
      <c r="G1412" s="29" t="n"/>
      <c r="H1412" s="42" t="n"/>
      <c r="I1412" s="40" t="n"/>
      <c r="J1412" s="40" t="n"/>
      <c r="K1412" s="40" t="n"/>
      <c r="L1412" s="30">
        <f>IF(COUNT(I1412:K1412)=0,"",MEDIAN(I1412:K1412))</f>
        <v/>
      </c>
      <c r="M1412" s="25">
        <f>IF(COUNTIFS($C:$C,$C1412,$D:$D,"P0(전)",$L:$L,"&gt;0")&lt;&gt;1,"P0(전) 유효 1개 아님",IF(COUNTIFS($C:$C,$C1412,$D:$D,"P0(후)",$L:$L,"&gt;0")&lt;&gt;1,"P0(후) 유효 1개 아님",IF(NOT(AND(ISNUMBER(N1412),ISNUMBER(P1412),ISNUMBER(H1412))),"시각 결측",IF(P1412&lt;=N1412,"P0 시각 역전",IF(OR(H1412&lt;N1412,H1412&gt;P1412),"측정시각 구간 밖","OK")))))</f>
        <v/>
      </c>
      <c r="N1412" s="45">
        <f>IF(COUNTIFS($C:$C,$C1412,$D:$D,"P0(전)",$L:$L,"&gt;0")&lt;&gt;1,"",SUMIFS($H:$H,$C:$C,$C1412,$D:$D,"P0(전)"))</f>
        <v/>
      </c>
      <c r="O1412" s="30">
        <f>IF(COUNTIFS($C:$C,$C1412,$D:$D,"P0(전)",$L:$L,"&gt;0")&lt;&gt;1,"",SUMIFS($L:$L,$C:$C,$C1412,$D:$D,"P0(전)"))</f>
        <v/>
      </c>
      <c r="P1412" s="45">
        <f>IF(COUNTIFS($C:$C,$C1412,$D:$D,"P0(후)",$L:$L,"&gt;0")&lt;&gt;1,"",SUMIFS($H:$H,$C:$C,$C1412,$D:$D,"P0(후)"))</f>
        <v/>
      </c>
      <c r="Q1412" s="30">
        <f>IF(COUNTIFS($C:$C,$C1412,$D:$D,"P0(후)",$L:$L,"&gt;0")&lt;&gt;1,"",SUMIFS($L:$L,$C:$C,$C1412,$D:$D,"P0(후)"))</f>
        <v/>
      </c>
      <c r="R1412" s="30">
        <f>IF(M1412&lt;&gt;"OK","",O1412+(Q1412-O1412)*(H1412-N1412)/(P1412-N1412))</f>
        <v/>
      </c>
      <c r="S1412" s="30">
        <f>IF(OR(M1412&lt;&gt;"OK",NOT(ISNUMBER(L1412))),"",L1412-R1412)</f>
        <v/>
      </c>
      <c r="T1412" s="46">
        <f>IF(OR(NOT(ISNUMBER(S1412)),IF(ISNUMBER(G1412),G1412,F1412)=0),"",S1412/IF(ISNUMBER(G1412),G1412,F1412))</f>
        <v/>
      </c>
      <c r="U1412" s="46">
        <f>IF(ISNUMBER(T1412),ABS(T1412),"")</f>
        <v/>
      </c>
      <c r="V1412" s="46">
        <f>IF(OR($D1411&lt;&gt;"측정",$C1411&lt;&gt;$C1412,NOT(ISNUMBER(L1412)),NOT(ISNUMBER(L1411)),(IF(ISNUMBER(G1412),G1412,F1412)-IF(ISNUMBER(G1411),G1411,F1411))=0),"",(L1412-L1411)/(IF(ISNUMBER(G1412),G1412,F1412)-IF(ISNUMBER(G1411),G1411,F1411)))</f>
        <v/>
      </c>
      <c r="W1412" s="30">
        <f>IF(NOT(AND(ISNUMBER(N1412),ISNUMBER(P1412))),"",(P1412-N1412)*1440)</f>
        <v/>
      </c>
      <c r="X1412" s="28" t="n"/>
      <c r="Y1412" s="28" t="n"/>
      <c r="Z1412" s="28" t="n"/>
      <c r="AA1412" s="31" t="n"/>
      <c r="AB1412" s="31" t="n"/>
    </row>
    <row r="1413">
      <c r="A1413" s="25" t="inlineStr">
        <is>
          <t>S28</t>
        </is>
      </c>
      <c r="B1413" s="25" t="inlineStr">
        <is>
          <t>이원 신규점</t>
        </is>
      </c>
      <c r="C1413" s="25" t="inlineStr">
        <is>
          <t>S28-H동</t>
        </is>
      </c>
      <c r="D1413" s="25" t="inlineStr">
        <is>
          <t>측정</t>
        </is>
      </c>
      <c r="E1413" s="25" t="inlineStr">
        <is>
          <t>동</t>
        </is>
      </c>
      <c r="F1413" s="30" t="n">
        <v>3</v>
      </c>
      <c r="G1413" s="29" t="n"/>
      <c r="H1413" s="42" t="n"/>
      <c r="I1413" s="40" t="n"/>
      <c r="J1413" s="40" t="n"/>
      <c r="K1413" s="40" t="n"/>
      <c r="L1413" s="30">
        <f>IF(COUNT(I1413:K1413)=0,"",MEDIAN(I1413:K1413))</f>
        <v/>
      </c>
      <c r="M1413" s="25">
        <f>IF(COUNTIFS($C:$C,$C1413,$D:$D,"P0(전)",$L:$L,"&gt;0")&lt;&gt;1,"P0(전) 유효 1개 아님",IF(COUNTIFS($C:$C,$C1413,$D:$D,"P0(후)",$L:$L,"&gt;0")&lt;&gt;1,"P0(후) 유효 1개 아님",IF(NOT(AND(ISNUMBER(N1413),ISNUMBER(P1413),ISNUMBER(H1413))),"시각 결측",IF(P1413&lt;=N1413,"P0 시각 역전",IF(OR(H1413&lt;N1413,H1413&gt;P1413),"측정시각 구간 밖","OK")))))</f>
        <v/>
      </c>
      <c r="N1413" s="45">
        <f>IF(COUNTIFS($C:$C,$C1413,$D:$D,"P0(전)",$L:$L,"&gt;0")&lt;&gt;1,"",SUMIFS($H:$H,$C:$C,$C1413,$D:$D,"P0(전)"))</f>
        <v/>
      </c>
      <c r="O1413" s="30">
        <f>IF(COUNTIFS($C:$C,$C1413,$D:$D,"P0(전)",$L:$L,"&gt;0")&lt;&gt;1,"",SUMIFS($L:$L,$C:$C,$C1413,$D:$D,"P0(전)"))</f>
        <v/>
      </c>
      <c r="P1413" s="45">
        <f>IF(COUNTIFS($C:$C,$C1413,$D:$D,"P0(후)",$L:$L,"&gt;0")&lt;&gt;1,"",SUMIFS($H:$H,$C:$C,$C1413,$D:$D,"P0(후)"))</f>
        <v/>
      </c>
      <c r="Q1413" s="30">
        <f>IF(COUNTIFS($C:$C,$C1413,$D:$D,"P0(후)",$L:$L,"&gt;0")&lt;&gt;1,"",SUMIFS($L:$L,$C:$C,$C1413,$D:$D,"P0(후)"))</f>
        <v/>
      </c>
      <c r="R1413" s="30">
        <f>IF(M1413&lt;&gt;"OK","",O1413+(Q1413-O1413)*(H1413-N1413)/(P1413-N1413))</f>
        <v/>
      </c>
      <c r="S1413" s="30">
        <f>IF(OR(M1413&lt;&gt;"OK",NOT(ISNUMBER(L1413))),"",L1413-R1413)</f>
        <v/>
      </c>
      <c r="T1413" s="46">
        <f>IF(OR(NOT(ISNUMBER(S1413)),IF(ISNUMBER(G1413),G1413,F1413)=0),"",S1413/IF(ISNUMBER(G1413),G1413,F1413))</f>
        <v/>
      </c>
      <c r="U1413" s="46">
        <f>IF(ISNUMBER(T1413),ABS(T1413),"")</f>
        <v/>
      </c>
      <c r="V1413" s="46">
        <f>IF(OR($D1412&lt;&gt;"측정",$C1412&lt;&gt;$C1413,NOT(ISNUMBER(L1413)),NOT(ISNUMBER(L1412)),(IF(ISNUMBER(G1413),G1413,F1413)-IF(ISNUMBER(G1412),G1412,F1412))=0),"",(L1413-L1412)/(IF(ISNUMBER(G1413),G1413,F1413)-IF(ISNUMBER(G1412),G1412,F1412)))</f>
        <v/>
      </c>
      <c r="W1413" s="30">
        <f>IF(NOT(AND(ISNUMBER(N1413),ISNUMBER(P1413))),"",(P1413-N1413)*1440)</f>
        <v/>
      </c>
      <c r="X1413" s="28" t="n"/>
      <c r="Y1413" s="28" t="n"/>
      <c r="Z1413" s="28" t="n"/>
      <c r="AA1413" s="31" t="n"/>
      <c r="AB1413" s="31" t="n"/>
    </row>
    <row r="1414">
      <c r="A1414" s="25" t="inlineStr">
        <is>
          <t>S28</t>
        </is>
      </c>
      <c r="B1414" s="25" t="inlineStr">
        <is>
          <t>이원 신규점</t>
        </is>
      </c>
      <c r="C1414" s="25" t="inlineStr">
        <is>
          <t>S28-H동</t>
        </is>
      </c>
      <c r="D1414" s="25" t="inlineStr">
        <is>
          <t>측정</t>
        </is>
      </c>
      <c r="E1414" s="25" t="inlineStr">
        <is>
          <t>동</t>
        </is>
      </c>
      <c r="F1414" s="30" t="n">
        <v>4</v>
      </c>
      <c r="G1414" s="29" t="n"/>
      <c r="H1414" s="42" t="n"/>
      <c r="I1414" s="40" t="n"/>
      <c r="J1414" s="40" t="n"/>
      <c r="K1414" s="40" t="n"/>
      <c r="L1414" s="30">
        <f>IF(COUNT(I1414:K1414)=0,"",MEDIAN(I1414:K1414))</f>
        <v/>
      </c>
      <c r="M1414" s="25">
        <f>IF(COUNTIFS($C:$C,$C1414,$D:$D,"P0(전)",$L:$L,"&gt;0")&lt;&gt;1,"P0(전) 유효 1개 아님",IF(COUNTIFS($C:$C,$C1414,$D:$D,"P0(후)",$L:$L,"&gt;0")&lt;&gt;1,"P0(후) 유효 1개 아님",IF(NOT(AND(ISNUMBER(N1414),ISNUMBER(P1414),ISNUMBER(H1414))),"시각 결측",IF(P1414&lt;=N1414,"P0 시각 역전",IF(OR(H1414&lt;N1414,H1414&gt;P1414),"측정시각 구간 밖","OK")))))</f>
        <v/>
      </c>
      <c r="N1414" s="45">
        <f>IF(COUNTIFS($C:$C,$C1414,$D:$D,"P0(전)",$L:$L,"&gt;0")&lt;&gt;1,"",SUMIFS($H:$H,$C:$C,$C1414,$D:$D,"P0(전)"))</f>
        <v/>
      </c>
      <c r="O1414" s="30">
        <f>IF(COUNTIFS($C:$C,$C1414,$D:$D,"P0(전)",$L:$L,"&gt;0")&lt;&gt;1,"",SUMIFS($L:$L,$C:$C,$C1414,$D:$D,"P0(전)"))</f>
        <v/>
      </c>
      <c r="P1414" s="45">
        <f>IF(COUNTIFS($C:$C,$C1414,$D:$D,"P0(후)",$L:$L,"&gt;0")&lt;&gt;1,"",SUMIFS($H:$H,$C:$C,$C1414,$D:$D,"P0(후)"))</f>
        <v/>
      </c>
      <c r="Q1414" s="30">
        <f>IF(COUNTIFS($C:$C,$C1414,$D:$D,"P0(후)",$L:$L,"&gt;0")&lt;&gt;1,"",SUMIFS($L:$L,$C:$C,$C1414,$D:$D,"P0(후)"))</f>
        <v/>
      </c>
      <c r="R1414" s="30">
        <f>IF(M1414&lt;&gt;"OK","",O1414+(Q1414-O1414)*(H1414-N1414)/(P1414-N1414))</f>
        <v/>
      </c>
      <c r="S1414" s="30">
        <f>IF(OR(M1414&lt;&gt;"OK",NOT(ISNUMBER(L1414))),"",L1414-R1414)</f>
        <v/>
      </c>
      <c r="T1414" s="46">
        <f>IF(OR(NOT(ISNUMBER(S1414)),IF(ISNUMBER(G1414),G1414,F1414)=0),"",S1414/IF(ISNUMBER(G1414),G1414,F1414))</f>
        <v/>
      </c>
      <c r="U1414" s="46">
        <f>IF(ISNUMBER(T1414),ABS(T1414),"")</f>
        <v/>
      </c>
      <c r="V1414" s="46">
        <f>IF(OR($D1413&lt;&gt;"측정",$C1413&lt;&gt;$C1414,NOT(ISNUMBER(L1414)),NOT(ISNUMBER(L1413)),(IF(ISNUMBER(G1414),G1414,F1414)-IF(ISNUMBER(G1413),G1413,F1413))=0),"",(L1414-L1413)/(IF(ISNUMBER(G1414),G1414,F1414)-IF(ISNUMBER(G1413),G1413,F1413)))</f>
        <v/>
      </c>
      <c r="W1414" s="30">
        <f>IF(NOT(AND(ISNUMBER(N1414),ISNUMBER(P1414))),"",(P1414-N1414)*1440)</f>
        <v/>
      </c>
      <c r="X1414" s="28" t="n"/>
      <c r="Y1414" s="28" t="n"/>
      <c r="Z1414" s="28" t="n"/>
      <c r="AA1414" s="31" t="n"/>
      <c r="AB1414" s="31" t="n"/>
    </row>
    <row r="1415">
      <c r="A1415" s="25" t="inlineStr">
        <is>
          <t>S28</t>
        </is>
      </c>
      <c r="B1415" s="25" t="inlineStr">
        <is>
          <t>이원 신규점</t>
        </is>
      </c>
      <c r="C1415" s="25" t="inlineStr">
        <is>
          <t>S28-H동</t>
        </is>
      </c>
      <c r="D1415" s="25" t="inlineStr">
        <is>
          <t>측정</t>
        </is>
      </c>
      <c r="E1415" s="25" t="inlineStr">
        <is>
          <t>동</t>
        </is>
      </c>
      <c r="F1415" s="30" t="n">
        <v>5</v>
      </c>
      <c r="G1415" s="29" t="n"/>
      <c r="H1415" s="42" t="n"/>
      <c r="I1415" s="40" t="n"/>
      <c r="J1415" s="40" t="n"/>
      <c r="K1415" s="40" t="n"/>
      <c r="L1415" s="30">
        <f>IF(COUNT(I1415:K1415)=0,"",MEDIAN(I1415:K1415))</f>
        <v/>
      </c>
      <c r="M1415" s="25">
        <f>IF(COUNTIFS($C:$C,$C1415,$D:$D,"P0(전)",$L:$L,"&gt;0")&lt;&gt;1,"P0(전) 유효 1개 아님",IF(COUNTIFS($C:$C,$C1415,$D:$D,"P0(후)",$L:$L,"&gt;0")&lt;&gt;1,"P0(후) 유효 1개 아님",IF(NOT(AND(ISNUMBER(N1415),ISNUMBER(P1415),ISNUMBER(H1415))),"시각 결측",IF(P1415&lt;=N1415,"P0 시각 역전",IF(OR(H1415&lt;N1415,H1415&gt;P1415),"측정시각 구간 밖","OK")))))</f>
        <v/>
      </c>
      <c r="N1415" s="45">
        <f>IF(COUNTIFS($C:$C,$C1415,$D:$D,"P0(전)",$L:$L,"&gt;0")&lt;&gt;1,"",SUMIFS($H:$H,$C:$C,$C1415,$D:$D,"P0(전)"))</f>
        <v/>
      </c>
      <c r="O1415" s="30">
        <f>IF(COUNTIFS($C:$C,$C1415,$D:$D,"P0(전)",$L:$L,"&gt;0")&lt;&gt;1,"",SUMIFS($L:$L,$C:$C,$C1415,$D:$D,"P0(전)"))</f>
        <v/>
      </c>
      <c r="P1415" s="45">
        <f>IF(COUNTIFS($C:$C,$C1415,$D:$D,"P0(후)",$L:$L,"&gt;0")&lt;&gt;1,"",SUMIFS($H:$H,$C:$C,$C1415,$D:$D,"P0(후)"))</f>
        <v/>
      </c>
      <c r="Q1415" s="30">
        <f>IF(COUNTIFS($C:$C,$C1415,$D:$D,"P0(후)",$L:$L,"&gt;0")&lt;&gt;1,"",SUMIFS($L:$L,$C:$C,$C1415,$D:$D,"P0(후)"))</f>
        <v/>
      </c>
      <c r="R1415" s="30">
        <f>IF(M1415&lt;&gt;"OK","",O1415+(Q1415-O1415)*(H1415-N1415)/(P1415-N1415))</f>
        <v/>
      </c>
      <c r="S1415" s="30">
        <f>IF(OR(M1415&lt;&gt;"OK",NOT(ISNUMBER(L1415))),"",L1415-R1415)</f>
        <v/>
      </c>
      <c r="T1415" s="46">
        <f>IF(OR(NOT(ISNUMBER(S1415)),IF(ISNUMBER(G1415),G1415,F1415)=0),"",S1415/IF(ISNUMBER(G1415),G1415,F1415))</f>
        <v/>
      </c>
      <c r="U1415" s="46">
        <f>IF(ISNUMBER(T1415),ABS(T1415),"")</f>
        <v/>
      </c>
      <c r="V1415" s="46">
        <f>IF(OR($D1414&lt;&gt;"측정",$C1414&lt;&gt;$C1415,NOT(ISNUMBER(L1415)),NOT(ISNUMBER(L1414)),(IF(ISNUMBER(G1415),G1415,F1415)-IF(ISNUMBER(G1414),G1414,F1414))=0),"",(L1415-L1414)/(IF(ISNUMBER(G1415),G1415,F1415)-IF(ISNUMBER(G1414),G1414,F1414)))</f>
        <v/>
      </c>
      <c r="W1415" s="30">
        <f>IF(NOT(AND(ISNUMBER(N1415),ISNUMBER(P1415))),"",(P1415-N1415)*1440)</f>
        <v/>
      </c>
      <c r="X1415" s="28" t="n"/>
      <c r="Y1415" s="28" t="n"/>
      <c r="Z1415" s="28" t="n"/>
      <c r="AA1415" s="31" t="n"/>
      <c r="AB1415" s="31" t="n"/>
    </row>
    <row r="1416">
      <c r="A1416" s="25" t="inlineStr">
        <is>
          <t>S28</t>
        </is>
      </c>
      <c r="B1416" s="25" t="inlineStr">
        <is>
          <t>이원 신규점</t>
        </is>
      </c>
      <c r="C1416" s="25" t="inlineStr">
        <is>
          <t>S28-H동</t>
        </is>
      </c>
      <c r="D1416" s="25" t="inlineStr">
        <is>
          <t>측정</t>
        </is>
      </c>
      <c r="E1416" s="25" t="inlineStr">
        <is>
          <t>동</t>
        </is>
      </c>
      <c r="F1416" s="30" t="n">
        <v>6</v>
      </c>
      <c r="G1416" s="29" t="n"/>
      <c r="H1416" s="42" t="n"/>
      <c r="I1416" s="40" t="n"/>
      <c r="J1416" s="40" t="n"/>
      <c r="K1416" s="40" t="n"/>
      <c r="L1416" s="30">
        <f>IF(COUNT(I1416:K1416)=0,"",MEDIAN(I1416:K1416))</f>
        <v/>
      </c>
      <c r="M1416" s="25">
        <f>IF(COUNTIFS($C:$C,$C1416,$D:$D,"P0(전)",$L:$L,"&gt;0")&lt;&gt;1,"P0(전) 유효 1개 아님",IF(COUNTIFS($C:$C,$C1416,$D:$D,"P0(후)",$L:$L,"&gt;0")&lt;&gt;1,"P0(후) 유효 1개 아님",IF(NOT(AND(ISNUMBER(N1416),ISNUMBER(P1416),ISNUMBER(H1416))),"시각 결측",IF(P1416&lt;=N1416,"P0 시각 역전",IF(OR(H1416&lt;N1416,H1416&gt;P1416),"측정시각 구간 밖","OK")))))</f>
        <v/>
      </c>
      <c r="N1416" s="45">
        <f>IF(COUNTIFS($C:$C,$C1416,$D:$D,"P0(전)",$L:$L,"&gt;0")&lt;&gt;1,"",SUMIFS($H:$H,$C:$C,$C1416,$D:$D,"P0(전)"))</f>
        <v/>
      </c>
      <c r="O1416" s="30">
        <f>IF(COUNTIFS($C:$C,$C1416,$D:$D,"P0(전)",$L:$L,"&gt;0")&lt;&gt;1,"",SUMIFS($L:$L,$C:$C,$C1416,$D:$D,"P0(전)"))</f>
        <v/>
      </c>
      <c r="P1416" s="45">
        <f>IF(COUNTIFS($C:$C,$C1416,$D:$D,"P0(후)",$L:$L,"&gt;0")&lt;&gt;1,"",SUMIFS($H:$H,$C:$C,$C1416,$D:$D,"P0(후)"))</f>
        <v/>
      </c>
      <c r="Q1416" s="30">
        <f>IF(COUNTIFS($C:$C,$C1416,$D:$D,"P0(후)",$L:$L,"&gt;0")&lt;&gt;1,"",SUMIFS($L:$L,$C:$C,$C1416,$D:$D,"P0(후)"))</f>
        <v/>
      </c>
      <c r="R1416" s="30">
        <f>IF(M1416&lt;&gt;"OK","",O1416+(Q1416-O1416)*(H1416-N1416)/(P1416-N1416))</f>
        <v/>
      </c>
      <c r="S1416" s="30">
        <f>IF(OR(M1416&lt;&gt;"OK",NOT(ISNUMBER(L1416))),"",L1416-R1416)</f>
        <v/>
      </c>
      <c r="T1416" s="46">
        <f>IF(OR(NOT(ISNUMBER(S1416)),IF(ISNUMBER(G1416),G1416,F1416)=0),"",S1416/IF(ISNUMBER(G1416),G1416,F1416))</f>
        <v/>
      </c>
      <c r="U1416" s="46">
        <f>IF(ISNUMBER(T1416),ABS(T1416),"")</f>
        <v/>
      </c>
      <c r="V1416" s="46">
        <f>IF(OR($D1415&lt;&gt;"측정",$C1415&lt;&gt;$C1416,NOT(ISNUMBER(L1416)),NOT(ISNUMBER(L1415)),(IF(ISNUMBER(G1416),G1416,F1416)-IF(ISNUMBER(G1415),G1415,F1415))=0),"",(L1416-L1415)/(IF(ISNUMBER(G1416),G1416,F1416)-IF(ISNUMBER(G1415),G1415,F1415)))</f>
        <v/>
      </c>
      <c r="W1416" s="30">
        <f>IF(NOT(AND(ISNUMBER(N1416),ISNUMBER(P1416))),"",(P1416-N1416)*1440)</f>
        <v/>
      </c>
      <c r="X1416" s="28" t="n"/>
      <c r="Y1416" s="28" t="n"/>
      <c r="Z1416" s="28" t="n"/>
      <c r="AA1416" s="31" t="n"/>
      <c r="AB1416" s="31" t="n"/>
    </row>
    <row r="1417">
      <c r="A1417" s="25" t="inlineStr">
        <is>
          <t>S28</t>
        </is>
      </c>
      <c r="B1417" s="25" t="inlineStr">
        <is>
          <t>이원 신규점</t>
        </is>
      </c>
      <c r="C1417" s="25" t="inlineStr">
        <is>
          <t>S28-H동</t>
        </is>
      </c>
      <c r="D1417" s="25" t="inlineStr">
        <is>
          <t>측정</t>
        </is>
      </c>
      <c r="E1417" s="25" t="inlineStr">
        <is>
          <t>동</t>
        </is>
      </c>
      <c r="F1417" s="30" t="n">
        <v>7</v>
      </c>
      <c r="G1417" s="29" t="n"/>
      <c r="H1417" s="42" t="n"/>
      <c r="I1417" s="40" t="n"/>
      <c r="J1417" s="40" t="n"/>
      <c r="K1417" s="40" t="n"/>
      <c r="L1417" s="30">
        <f>IF(COUNT(I1417:K1417)=0,"",MEDIAN(I1417:K1417))</f>
        <v/>
      </c>
      <c r="M1417" s="25">
        <f>IF(COUNTIFS($C:$C,$C1417,$D:$D,"P0(전)",$L:$L,"&gt;0")&lt;&gt;1,"P0(전) 유효 1개 아님",IF(COUNTIFS($C:$C,$C1417,$D:$D,"P0(후)",$L:$L,"&gt;0")&lt;&gt;1,"P0(후) 유효 1개 아님",IF(NOT(AND(ISNUMBER(N1417),ISNUMBER(P1417),ISNUMBER(H1417))),"시각 결측",IF(P1417&lt;=N1417,"P0 시각 역전",IF(OR(H1417&lt;N1417,H1417&gt;P1417),"측정시각 구간 밖","OK")))))</f>
        <v/>
      </c>
      <c r="N1417" s="45">
        <f>IF(COUNTIFS($C:$C,$C1417,$D:$D,"P0(전)",$L:$L,"&gt;0")&lt;&gt;1,"",SUMIFS($H:$H,$C:$C,$C1417,$D:$D,"P0(전)"))</f>
        <v/>
      </c>
      <c r="O1417" s="30">
        <f>IF(COUNTIFS($C:$C,$C1417,$D:$D,"P0(전)",$L:$L,"&gt;0")&lt;&gt;1,"",SUMIFS($L:$L,$C:$C,$C1417,$D:$D,"P0(전)"))</f>
        <v/>
      </c>
      <c r="P1417" s="45">
        <f>IF(COUNTIFS($C:$C,$C1417,$D:$D,"P0(후)",$L:$L,"&gt;0")&lt;&gt;1,"",SUMIFS($H:$H,$C:$C,$C1417,$D:$D,"P0(후)"))</f>
        <v/>
      </c>
      <c r="Q1417" s="30">
        <f>IF(COUNTIFS($C:$C,$C1417,$D:$D,"P0(후)",$L:$L,"&gt;0")&lt;&gt;1,"",SUMIFS($L:$L,$C:$C,$C1417,$D:$D,"P0(후)"))</f>
        <v/>
      </c>
      <c r="R1417" s="30">
        <f>IF(M1417&lt;&gt;"OK","",O1417+(Q1417-O1417)*(H1417-N1417)/(P1417-N1417))</f>
        <v/>
      </c>
      <c r="S1417" s="30">
        <f>IF(OR(M1417&lt;&gt;"OK",NOT(ISNUMBER(L1417))),"",L1417-R1417)</f>
        <v/>
      </c>
      <c r="T1417" s="46">
        <f>IF(OR(NOT(ISNUMBER(S1417)),IF(ISNUMBER(G1417),G1417,F1417)=0),"",S1417/IF(ISNUMBER(G1417),G1417,F1417))</f>
        <v/>
      </c>
      <c r="U1417" s="46">
        <f>IF(ISNUMBER(T1417),ABS(T1417),"")</f>
        <v/>
      </c>
      <c r="V1417" s="46">
        <f>IF(OR($D1416&lt;&gt;"측정",$C1416&lt;&gt;$C1417,NOT(ISNUMBER(L1417)),NOT(ISNUMBER(L1416)),(IF(ISNUMBER(G1417),G1417,F1417)-IF(ISNUMBER(G1416),G1416,F1416))=0),"",(L1417-L1416)/(IF(ISNUMBER(G1417),G1417,F1417)-IF(ISNUMBER(G1416),G1416,F1416)))</f>
        <v/>
      </c>
      <c r="W1417" s="30">
        <f>IF(NOT(AND(ISNUMBER(N1417),ISNUMBER(P1417))),"",(P1417-N1417)*1440)</f>
        <v/>
      </c>
      <c r="X1417" s="28" t="n"/>
      <c r="Y1417" s="28" t="n"/>
      <c r="Z1417" s="28" t="n"/>
      <c r="AA1417" s="31" t="n"/>
      <c r="AB1417" s="31" t="n"/>
    </row>
    <row r="1418">
      <c r="A1418" s="25" t="inlineStr">
        <is>
          <t>S28</t>
        </is>
      </c>
      <c r="B1418" s="25" t="inlineStr">
        <is>
          <t>이원 신규점</t>
        </is>
      </c>
      <c r="C1418" s="25" t="inlineStr">
        <is>
          <t>S28-H동</t>
        </is>
      </c>
      <c r="D1418" s="25" t="inlineStr">
        <is>
          <t>측정</t>
        </is>
      </c>
      <c r="E1418" s="25" t="inlineStr">
        <is>
          <t>동</t>
        </is>
      </c>
      <c r="F1418" s="30" t="n">
        <v>8</v>
      </c>
      <c r="G1418" s="29" t="n"/>
      <c r="H1418" s="42" t="n"/>
      <c r="I1418" s="40" t="n"/>
      <c r="J1418" s="40" t="n"/>
      <c r="K1418" s="40" t="n"/>
      <c r="L1418" s="30">
        <f>IF(COUNT(I1418:K1418)=0,"",MEDIAN(I1418:K1418))</f>
        <v/>
      </c>
      <c r="M1418" s="25">
        <f>IF(COUNTIFS($C:$C,$C1418,$D:$D,"P0(전)",$L:$L,"&gt;0")&lt;&gt;1,"P0(전) 유효 1개 아님",IF(COUNTIFS($C:$C,$C1418,$D:$D,"P0(후)",$L:$L,"&gt;0")&lt;&gt;1,"P0(후) 유효 1개 아님",IF(NOT(AND(ISNUMBER(N1418),ISNUMBER(P1418),ISNUMBER(H1418))),"시각 결측",IF(P1418&lt;=N1418,"P0 시각 역전",IF(OR(H1418&lt;N1418,H1418&gt;P1418),"측정시각 구간 밖","OK")))))</f>
        <v/>
      </c>
      <c r="N1418" s="45">
        <f>IF(COUNTIFS($C:$C,$C1418,$D:$D,"P0(전)",$L:$L,"&gt;0")&lt;&gt;1,"",SUMIFS($H:$H,$C:$C,$C1418,$D:$D,"P0(전)"))</f>
        <v/>
      </c>
      <c r="O1418" s="30">
        <f>IF(COUNTIFS($C:$C,$C1418,$D:$D,"P0(전)",$L:$L,"&gt;0")&lt;&gt;1,"",SUMIFS($L:$L,$C:$C,$C1418,$D:$D,"P0(전)"))</f>
        <v/>
      </c>
      <c r="P1418" s="45">
        <f>IF(COUNTIFS($C:$C,$C1418,$D:$D,"P0(후)",$L:$L,"&gt;0")&lt;&gt;1,"",SUMIFS($H:$H,$C:$C,$C1418,$D:$D,"P0(후)"))</f>
        <v/>
      </c>
      <c r="Q1418" s="30">
        <f>IF(COUNTIFS($C:$C,$C1418,$D:$D,"P0(후)",$L:$L,"&gt;0")&lt;&gt;1,"",SUMIFS($L:$L,$C:$C,$C1418,$D:$D,"P0(후)"))</f>
        <v/>
      </c>
      <c r="R1418" s="30">
        <f>IF(M1418&lt;&gt;"OK","",O1418+(Q1418-O1418)*(H1418-N1418)/(P1418-N1418))</f>
        <v/>
      </c>
      <c r="S1418" s="30">
        <f>IF(OR(M1418&lt;&gt;"OK",NOT(ISNUMBER(L1418))),"",L1418-R1418)</f>
        <v/>
      </c>
      <c r="T1418" s="46">
        <f>IF(OR(NOT(ISNUMBER(S1418)),IF(ISNUMBER(G1418),G1418,F1418)=0),"",S1418/IF(ISNUMBER(G1418),G1418,F1418))</f>
        <v/>
      </c>
      <c r="U1418" s="46">
        <f>IF(ISNUMBER(T1418),ABS(T1418),"")</f>
        <v/>
      </c>
      <c r="V1418" s="46">
        <f>IF(OR($D1417&lt;&gt;"측정",$C1417&lt;&gt;$C1418,NOT(ISNUMBER(L1418)),NOT(ISNUMBER(L1417)),(IF(ISNUMBER(G1418),G1418,F1418)-IF(ISNUMBER(G1417),G1417,F1417))=0),"",(L1418-L1417)/(IF(ISNUMBER(G1418),G1418,F1418)-IF(ISNUMBER(G1417),G1417,F1417)))</f>
        <v/>
      </c>
      <c r="W1418" s="30">
        <f>IF(NOT(AND(ISNUMBER(N1418),ISNUMBER(P1418))),"",(P1418-N1418)*1440)</f>
        <v/>
      </c>
      <c r="X1418" s="28" t="n"/>
      <c r="Y1418" s="28" t="n"/>
      <c r="Z1418" s="28" t="n"/>
      <c r="AA1418" s="31" t="n"/>
      <c r="AB1418" s="31" t="n"/>
    </row>
    <row r="1419">
      <c r="A1419" s="25" t="inlineStr">
        <is>
          <t>S28</t>
        </is>
      </c>
      <c r="B1419" s="25" t="inlineStr">
        <is>
          <t>이원 신규점</t>
        </is>
      </c>
      <c r="C1419" s="25" t="inlineStr">
        <is>
          <t>S28-H동</t>
        </is>
      </c>
      <c r="D1419" s="25" t="inlineStr">
        <is>
          <t>측정</t>
        </is>
      </c>
      <c r="E1419" s="25" t="inlineStr">
        <is>
          <t>동</t>
        </is>
      </c>
      <c r="F1419" s="30" t="n">
        <v>9</v>
      </c>
      <c r="G1419" s="29" t="n"/>
      <c r="H1419" s="42" t="n"/>
      <c r="I1419" s="40" t="n"/>
      <c r="J1419" s="40" t="n"/>
      <c r="K1419" s="40" t="n"/>
      <c r="L1419" s="30">
        <f>IF(COUNT(I1419:K1419)=0,"",MEDIAN(I1419:K1419))</f>
        <v/>
      </c>
      <c r="M1419" s="25">
        <f>IF(COUNTIFS($C:$C,$C1419,$D:$D,"P0(전)",$L:$L,"&gt;0")&lt;&gt;1,"P0(전) 유효 1개 아님",IF(COUNTIFS($C:$C,$C1419,$D:$D,"P0(후)",$L:$L,"&gt;0")&lt;&gt;1,"P0(후) 유효 1개 아님",IF(NOT(AND(ISNUMBER(N1419),ISNUMBER(P1419),ISNUMBER(H1419))),"시각 결측",IF(P1419&lt;=N1419,"P0 시각 역전",IF(OR(H1419&lt;N1419,H1419&gt;P1419),"측정시각 구간 밖","OK")))))</f>
        <v/>
      </c>
      <c r="N1419" s="45">
        <f>IF(COUNTIFS($C:$C,$C1419,$D:$D,"P0(전)",$L:$L,"&gt;0")&lt;&gt;1,"",SUMIFS($H:$H,$C:$C,$C1419,$D:$D,"P0(전)"))</f>
        <v/>
      </c>
      <c r="O1419" s="30">
        <f>IF(COUNTIFS($C:$C,$C1419,$D:$D,"P0(전)",$L:$L,"&gt;0")&lt;&gt;1,"",SUMIFS($L:$L,$C:$C,$C1419,$D:$D,"P0(전)"))</f>
        <v/>
      </c>
      <c r="P1419" s="45">
        <f>IF(COUNTIFS($C:$C,$C1419,$D:$D,"P0(후)",$L:$L,"&gt;0")&lt;&gt;1,"",SUMIFS($H:$H,$C:$C,$C1419,$D:$D,"P0(후)"))</f>
        <v/>
      </c>
      <c r="Q1419" s="30">
        <f>IF(COUNTIFS($C:$C,$C1419,$D:$D,"P0(후)",$L:$L,"&gt;0")&lt;&gt;1,"",SUMIFS($L:$L,$C:$C,$C1419,$D:$D,"P0(후)"))</f>
        <v/>
      </c>
      <c r="R1419" s="30">
        <f>IF(M1419&lt;&gt;"OK","",O1419+(Q1419-O1419)*(H1419-N1419)/(P1419-N1419))</f>
        <v/>
      </c>
      <c r="S1419" s="30">
        <f>IF(OR(M1419&lt;&gt;"OK",NOT(ISNUMBER(L1419))),"",L1419-R1419)</f>
        <v/>
      </c>
      <c r="T1419" s="46">
        <f>IF(OR(NOT(ISNUMBER(S1419)),IF(ISNUMBER(G1419),G1419,F1419)=0),"",S1419/IF(ISNUMBER(G1419),G1419,F1419))</f>
        <v/>
      </c>
      <c r="U1419" s="46">
        <f>IF(ISNUMBER(T1419),ABS(T1419),"")</f>
        <v/>
      </c>
      <c r="V1419" s="46">
        <f>IF(OR($D1418&lt;&gt;"측정",$C1418&lt;&gt;$C1419,NOT(ISNUMBER(L1419)),NOT(ISNUMBER(L1418)),(IF(ISNUMBER(G1419),G1419,F1419)-IF(ISNUMBER(G1418),G1418,F1418))=0),"",(L1419-L1418)/(IF(ISNUMBER(G1419),G1419,F1419)-IF(ISNUMBER(G1418),G1418,F1418)))</f>
        <v/>
      </c>
      <c r="W1419" s="30">
        <f>IF(NOT(AND(ISNUMBER(N1419),ISNUMBER(P1419))),"",(P1419-N1419)*1440)</f>
        <v/>
      </c>
      <c r="X1419" s="28" t="n"/>
      <c r="Y1419" s="28" t="n"/>
      <c r="Z1419" s="28" t="n"/>
      <c r="AA1419" s="31" t="n"/>
      <c r="AB1419" s="31" t="n"/>
    </row>
    <row r="1420">
      <c r="A1420" s="25" t="inlineStr">
        <is>
          <t>S28</t>
        </is>
      </c>
      <c r="B1420" s="25" t="inlineStr">
        <is>
          <t>이원 신규점</t>
        </is>
      </c>
      <c r="C1420" s="25" t="inlineStr">
        <is>
          <t>S28-H동</t>
        </is>
      </c>
      <c r="D1420" s="25" t="inlineStr">
        <is>
          <t>측정</t>
        </is>
      </c>
      <c r="E1420" s="25" t="inlineStr">
        <is>
          <t>동</t>
        </is>
      </c>
      <c r="F1420" s="30" t="n">
        <v>10</v>
      </c>
      <c r="G1420" s="29" t="n"/>
      <c r="H1420" s="42" t="n"/>
      <c r="I1420" s="40" t="n"/>
      <c r="J1420" s="40" t="n"/>
      <c r="K1420" s="40" t="n"/>
      <c r="L1420" s="30">
        <f>IF(COUNT(I1420:K1420)=0,"",MEDIAN(I1420:K1420))</f>
        <v/>
      </c>
      <c r="M1420" s="25">
        <f>IF(COUNTIFS($C:$C,$C1420,$D:$D,"P0(전)",$L:$L,"&gt;0")&lt;&gt;1,"P0(전) 유효 1개 아님",IF(COUNTIFS($C:$C,$C1420,$D:$D,"P0(후)",$L:$L,"&gt;0")&lt;&gt;1,"P0(후) 유효 1개 아님",IF(NOT(AND(ISNUMBER(N1420),ISNUMBER(P1420),ISNUMBER(H1420))),"시각 결측",IF(P1420&lt;=N1420,"P0 시각 역전",IF(OR(H1420&lt;N1420,H1420&gt;P1420),"측정시각 구간 밖","OK")))))</f>
        <v/>
      </c>
      <c r="N1420" s="45">
        <f>IF(COUNTIFS($C:$C,$C1420,$D:$D,"P0(전)",$L:$L,"&gt;0")&lt;&gt;1,"",SUMIFS($H:$H,$C:$C,$C1420,$D:$D,"P0(전)"))</f>
        <v/>
      </c>
      <c r="O1420" s="30">
        <f>IF(COUNTIFS($C:$C,$C1420,$D:$D,"P0(전)",$L:$L,"&gt;0")&lt;&gt;1,"",SUMIFS($L:$L,$C:$C,$C1420,$D:$D,"P0(전)"))</f>
        <v/>
      </c>
      <c r="P1420" s="45">
        <f>IF(COUNTIFS($C:$C,$C1420,$D:$D,"P0(후)",$L:$L,"&gt;0")&lt;&gt;1,"",SUMIFS($H:$H,$C:$C,$C1420,$D:$D,"P0(후)"))</f>
        <v/>
      </c>
      <c r="Q1420" s="30">
        <f>IF(COUNTIFS($C:$C,$C1420,$D:$D,"P0(후)",$L:$L,"&gt;0")&lt;&gt;1,"",SUMIFS($L:$L,$C:$C,$C1420,$D:$D,"P0(후)"))</f>
        <v/>
      </c>
      <c r="R1420" s="30">
        <f>IF(M1420&lt;&gt;"OK","",O1420+(Q1420-O1420)*(H1420-N1420)/(P1420-N1420))</f>
        <v/>
      </c>
      <c r="S1420" s="30">
        <f>IF(OR(M1420&lt;&gt;"OK",NOT(ISNUMBER(L1420))),"",L1420-R1420)</f>
        <v/>
      </c>
      <c r="T1420" s="46">
        <f>IF(OR(NOT(ISNUMBER(S1420)),IF(ISNUMBER(G1420),G1420,F1420)=0),"",S1420/IF(ISNUMBER(G1420),G1420,F1420))</f>
        <v/>
      </c>
      <c r="U1420" s="46">
        <f>IF(ISNUMBER(T1420),ABS(T1420),"")</f>
        <v/>
      </c>
      <c r="V1420" s="46">
        <f>IF(OR($D1419&lt;&gt;"측정",$C1419&lt;&gt;$C1420,NOT(ISNUMBER(L1420)),NOT(ISNUMBER(L1419)),(IF(ISNUMBER(G1420),G1420,F1420)-IF(ISNUMBER(G1419),G1419,F1419))=0),"",(L1420-L1419)/(IF(ISNUMBER(G1420),G1420,F1420)-IF(ISNUMBER(G1419),G1419,F1419)))</f>
        <v/>
      </c>
      <c r="W1420" s="30">
        <f>IF(NOT(AND(ISNUMBER(N1420),ISNUMBER(P1420))),"",(P1420-N1420)*1440)</f>
        <v/>
      </c>
      <c r="X1420" s="28" t="n"/>
      <c r="Y1420" s="28" t="n"/>
      <c r="Z1420" s="28" t="n"/>
      <c r="AA1420" s="31" t="n"/>
      <c r="AB1420" s="31" t="n"/>
    </row>
    <row r="1421">
      <c r="A1421" s="43" t="inlineStr">
        <is>
          <t>S28</t>
        </is>
      </c>
      <c r="B1421" s="43" t="inlineStr">
        <is>
          <t>이원 신규점</t>
        </is>
      </c>
      <c r="C1421" s="43" t="inlineStr">
        <is>
          <t>S28-H동</t>
        </is>
      </c>
      <c r="D1421" s="43" t="inlineStr">
        <is>
          <t>P0(후)</t>
        </is>
      </c>
      <c r="E1421" s="43" t="inlineStr">
        <is>
          <t>동</t>
        </is>
      </c>
      <c r="F1421" s="44" t="n"/>
      <c r="G1421" s="29" t="n"/>
      <c r="H1421" s="42" t="n"/>
      <c r="I1421" s="40" t="n"/>
      <c r="J1421" s="40" t="n"/>
      <c r="K1421" s="40" t="n"/>
      <c r="L1421" s="30">
        <f>IF(COUNT(I1421:K1421)=0,"",MEDIAN(I1421:K1421))</f>
        <v/>
      </c>
      <c r="M1421" s="37" t="n"/>
      <c r="N1421" s="37" t="n"/>
      <c r="O1421" s="37" t="n"/>
      <c r="P1421" s="37" t="n"/>
      <c r="Q1421" s="37" t="n"/>
      <c r="R1421" s="37" t="n"/>
      <c r="S1421" s="37" t="n"/>
      <c r="T1421" s="37" t="n"/>
      <c r="U1421" s="37" t="n"/>
      <c r="V1421" s="37" t="n"/>
      <c r="W1421" s="37" t="n"/>
      <c r="X1421" s="28" t="n"/>
      <c r="Y1421" s="28" t="n"/>
      <c r="Z1421" s="28" t="n"/>
      <c r="AA1421" s="31" t="n"/>
      <c r="AB1421" s="31" t="n"/>
    </row>
    <row r="1422">
      <c r="A1422" s="43" t="inlineStr">
        <is>
          <t>S28</t>
        </is>
      </c>
      <c r="B1422" s="43" t="inlineStr">
        <is>
          <t>이원 신규점</t>
        </is>
      </c>
      <c r="C1422" s="43" t="inlineStr">
        <is>
          <t>S28-H서</t>
        </is>
      </c>
      <c r="D1422" s="43" t="inlineStr">
        <is>
          <t>P0(전)</t>
        </is>
      </c>
      <c r="E1422" s="43" t="inlineStr">
        <is>
          <t>서</t>
        </is>
      </c>
      <c r="F1422" s="44" t="n"/>
      <c r="G1422" s="29" t="n"/>
      <c r="H1422" s="42" t="n"/>
      <c r="I1422" s="40" t="n"/>
      <c r="J1422" s="40" t="n"/>
      <c r="K1422" s="40" t="n"/>
      <c r="L1422" s="30">
        <f>IF(COUNT(I1422:K1422)=0,"",MEDIAN(I1422:K1422))</f>
        <v/>
      </c>
      <c r="M1422" s="37" t="n"/>
      <c r="N1422" s="37" t="n"/>
      <c r="O1422" s="37" t="n"/>
      <c r="P1422" s="37" t="n"/>
      <c r="Q1422" s="37" t="n"/>
      <c r="R1422" s="37" t="n"/>
      <c r="S1422" s="37" t="n"/>
      <c r="T1422" s="37" t="n"/>
      <c r="U1422" s="37" t="n"/>
      <c r="V1422" s="37" t="n"/>
      <c r="W1422" s="37" t="n"/>
      <c r="X1422" s="28" t="n"/>
      <c r="Y1422" s="28" t="n"/>
      <c r="Z1422" s="28" t="n"/>
      <c r="AA1422" s="31" t="n"/>
      <c r="AB1422" s="31" t="n"/>
    </row>
    <row r="1423">
      <c r="A1423" s="25" t="inlineStr">
        <is>
          <t>S28</t>
        </is>
      </c>
      <c r="B1423" s="25" t="inlineStr">
        <is>
          <t>이원 신규점</t>
        </is>
      </c>
      <c r="C1423" s="25" t="inlineStr">
        <is>
          <t>S28-H서</t>
        </is>
      </c>
      <c r="D1423" s="25" t="inlineStr">
        <is>
          <t>측정</t>
        </is>
      </c>
      <c r="E1423" s="25" t="inlineStr">
        <is>
          <t>서</t>
        </is>
      </c>
      <c r="F1423" s="30" t="n">
        <v>0.5</v>
      </c>
      <c r="G1423" s="29" t="n"/>
      <c r="H1423" s="42" t="n"/>
      <c r="I1423" s="40" t="n"/>
      <c r="J1423" s="40" t="n"/>
      <c r="K1423" s="40" t="n"/>
      <c r="L1423" s="30">
        <f>IF(COUNT(I1423:K1423)=0,"",MEDIAN(I1423:K1423))</f>
        <v/>
      </c>
      <c r="M1423" s="25">
        <f>IF(COUNTIFS($C:$C,$C1423,$D:$D,"P0(전)",$L:$L,"&gt;0")&lt;&gt;1,"P0(전) 유효 1개 아님",IF(COUNTIFS($C:$C,$C1423,$D:$D,"P0(후)",$L:$L,"&gt;0")&lt;&gt;1,"P0(후) 유효 1개 아님",IF(NOT(AND(ISNUMBER(N1423),ISNUMBER(P1423),ISNUMBER(H1423))),"시각 결측",IF(P1423&lt;=N1423,"P0 시각 역전",IF(OR(H1423&lt;N1423,H1423&gt;P1423),"측정시각 구간 밖","OK")))))</f>
        <v/>
      </c>
      <c r="N1423" s="45">
        <f>IF(COUNTIFS($C:$C,$C1423,$D:$D,"P0(전)",$L:$L,"&gt;0")&lt;&gt;1,"",SUMIFS($H:$H,$C:$C,$C1423,$D:$D,"P0(전)"))</f>
        <v/>
      </c>
      <c r="O1423" s="30">
        <f>IF(COUNTIFS($C:$C,$C1423,$D:$D,"P0(전)",$L:$L,"&gt;0")&lt;&gt;1,"",SUMIFS($L:$L,$C:$C,$C1423,$D:$D,"P0(전)"))</f>
        <v/>
      </c>
      <c r="P1423" s="45">
        <f>IF(COUNTIFS($C:$C,$C1423,$D:$D,"P0(후)",$L:$L,"&gt;0")&lt;&gt;1,"",SUMIFS($H:$H,$C:$C,$C1423,$D:$D,"P0(후)"))</f>
        <v/>
      </c>
      <c r="Q1423" s="30">
        <f>IF(COUNTIFS($C:$C,$C1423,$D:$D,"P0(후)",$L:$L,"&gt;0")&lt;&gt;1,"",SUMIFS($L:$L,$C:$C,$C1423,$D:$D,"P0(후)"))</f>
        <v/>
      </c>
      <c r="R1423" s="30">
        <f>IF(M1423&lt;&gt;"OK","",O1423+(Q1423-O1423)*(H1423-N1423)/(P1423-N1423))</f>
        <v/>
      </c>
      <c r="S1423" s="30">
        <f>IF(OR(M1423&lt;&gt;"OK",NOT(ISNUMBER(L1423))),"",L1423-R1423)</f>
        <v/>
      </c>
      <c r="T1423" s="46">
        <f>IF(OR(NOT(ISNUMBER(S1423)),IF(ISNUMBER(G1423),G1423,F1423)=0),"",S1423/IF(ISNUMBER(G1423),G1423,F1423))</f>
        <v/>
      </c>
      <c r="U1423" s="46">
        <f>IF(ISNUMBER(T1423),ABS(T1423),"")</f>
        <v/>
      </c>
      <c r="V1423" s="46">
        <f>IF(OR($D1422&lt;&gt;"측정",$C1422&lt;&gt;$C1423,NOT(ISNUMBER(L1423)),NOT(ISNUMBER(L1422)),(IF(ISNUMBER(G1423),G1423,F1423)-IF(ISNUMBER(G1422),G1422,F1422))=0),"",(L1423-L1422)/(IF(ISNUMBER(G1423),G1423,F1423)-IF(ISNUMBER(G1422),G1422,F1422)))</f>
        <v/>
      </c>
      <c r="W1423" s="30">
        <f>IF(NOT(AND(ISNUMBER(N1423),ISNUMBER(P1423))),"",(P1423-N1423)*1440)</f>
        <v/>
      </c>
      <c r="X1423" s="28" t="n"/>
      <c r="Y1423" s="28" t="n"/>
      <c r="Z1423" s="28" t="n"/>
      <c r="AA1423" s="31" t="n"/>
      <c r="AB1423" s="31" t="n"/>
    </row>
    <row r="1424">
      <c r="A1424" s="25" t="inlineStr">
        <is>
          <t>S28</t>
        </is>
      </c>
      <c r="B1424" s="25" t="inlineStr">
        <is>
          <t>이원 신규점</t>
        </is>
      </c>
      <c r="C1424" s="25" t="inlineStr">
        <is>
          <t>S28-H서</t>
        </is>
      </c>
      <c r="D1424" s="25" t="inlineStr">
        <is>
          <t>측정</t>
        </is>
      </c>
      <c r="E1424" s="25" t="inlineStr">
        <is>
          <t>서</t>
        </is>
      </c>
      <c r="F1424" s="30" t="n">
        <v>1</v>
      </c>
      <c r="G1424" s="29" t="n"/>
      <c r="H1424" s="42" t="n"/>
      <c r="I1424" s="40" t="n"/>
      <c r="J1424" s="40" t="n"/>
      <c r="K1424" s="40" t="n"/>
      <c r="L1424" s="30">
        <f>IF(COUNT(I1424:K1424)=0,"",MEDIAN(I1424:K1424))</f>
        <v/>
      </c>
      <c r="M1424" s="25">
        <f>IF(COUNTIFS($C:$C,$C1424,$D:$D,"P0(전)",$L:$L,"&gt;0")&lt;&gt;1,"P0(전) 유효 1개 아님",IF(COUNTIFS($C:$C,$C1424,$D:$D,"P0(후)",$L:$L,"&gt;0")&lt;&gt;1,"P0(후) 유효 1개 아님",IF(NOT(AND(ISNUMBER(N1424),ISNUMBER(P1424),ISNUMBER(H1424))),"시각 결측",IF(P1424&lt;=N1424,"P0 시각 역전",IF(OR(H1424&lt;N1424,H1424&gt;P1424),"측정시각 구간 밖","OK")))))</f>
        <v/>
      </c>
      <c r="N1424" s="45">
        <f>IF(COUNTIFS($C:$C,$C1424,$D:$D,"P0(전)",$L:$L,"&gt;0")&lt;&gt;1,"",SUMIFS($H:$H,$C:$C,$C1424,$D:$D,"P0(전)"))</f>
        <v/>
      </c>
      <c r="O1424" s="30">
        <f>IF(COUNTIFS($C:$C,$C1424,$D:$D,"P0(전)",$L:$L,"&gt;0")&lt;&gt;1,"",SUMIFS($L:$L,$C:$C,$C1424,$D:$D,"P0(전)"))</f>
        <v/>
      </c>
      <c r="P1424" s="45">
        <f>IF(COUNTIFS($C:$C,$C1424,$D:$D,"P0(후)",$L:$L,"&gt;0")&lt;&gt;1,"",SUMIFS($H:$H,$C:$C,$C1424,$D:$D,"P0(후)"))</f>
        <v/>
      </c>
      <c r="Q1424" s="30">
        <f>IF(COUNTIFS($C:$C,$C1424,$D:$D,"P0(후)",$L:$L,"&gt;0")&lt;&gt;1,"",SUMIFS($L:$L,$C:$C,$C1424,$D:$D,"P0(후)"))</f>
        <v/>
      </c>
      <c r="R1424" s="30">
        <f>IF(M1424&lt;&gt;"OK","",O1424+(Q1424-O1424)*(H1424-N1424)/(P1424-N1424))</f>
        <v/>
      </c>
      <c r="S1424" s="30">
        <f>IF(OR(M1424&lt;&gt;"OK",NOT(ISNUMBER(L1424))),"",L1424-R1424)</f>
        <v/>
      </c>
      <c r="T1424" s="46">
        <f>IF(OR(NOT(ISNUMBER(S1424)),IF(ISNUMBER(G1424),G1424,F1424)=0),"",S1424/IF(ISNUMBER(G1424),G1424,F1424))</f>
        <v/>
      </c>
      <c r="U1424" s="46">
        <f>IF(ISNUMBER(T1424),ABS(T1424),"")</f>
        <v/>
      </c>
      <c r="V1424" s="46">
        <f>IF(OR($D1423&lt;&gt;"측정",$C1423&lt;&gt;$C1424,NOT(ISNUMBER(L1424)),NOT(ISNUMBER(L1423)),(IF(ISNUMBER(G1424),G1424,F1424)-IF(ISNUMBER(G1423),G1423,F1423))=0),"",(L1424-L1423)/(IF(ISNUMBER(G1424),G1424,F1424)-IF(ISNUMBER(G1423),G1423,F1423)))</f>
        <v/>
      </c>
      <c r="W1424" s="30">
        <f>IF(NOT(AND(ISNUMBER(N1424),ISNUMBER(P1424))),"",(P1424-N1424)*1440)</f>
        <v/>
      </c>
      <c r="X1424" s="28" t="n"/>
      <c r="Y1424" s="28" t="n"/>
      <c r="Z1424" s="28" t="n"/>
      <c r="AA1424" s="31" t="n"/>
      <c r="AB1424" s="31" t="n"/>
    </row>
    <row r="1425">
      <c r="A1425" s="25" t="inlineStr">
        <is>
          <t>S28</t>
        </is>
      </c>
      <c r="B1425" s="25" t="inlineStr">
        <is>
          <t>이원 신규점</t>
        </is>
      </c>
      <c r="C1425" s="25" t="inlineStr">
        <is>
          <t>S28-H서</t>
        </is>
      </c>
      <c r="D1425" s="25" t="inlineStr">
        <is>
          <t>측정</t>
        </is>
      </c>
      <c r="E1425" s="25" t="inlineStr">
        <is>
          <t>서</t>
        </is>
      </c>
      <c r="F1425" s="30" t="n">
        <v>2</v>
      </c>
      <c r="G1425" s="29" t="n"/>
      <c r="H1425" s="42" t="n"/>
      <c r="I1425" s="40" t="n"/>
      <c r="J1425" s="40" t="n"/>
      <c r="K1425" s="40" t="n"/>
      <c r="L1425" s="30">
        <f>IF(COUNT(I1425:K1425)=0,"",MEDIAN(I1425:K1425))</f>
        <v/>
      </c>
      <c r="M1425" s="25">
        <f>IF(COUNTIFS($C:$C,$C1425,$D:$D,"P0(전)",$L:$L,"&gt;0")&lt;&gt;1,"P0(전) 유효 1개 아님",IF(COUNTIFS($C:$C,$C1425,$D:$D,"P0(후)",$L:$L,"&gt;0")&lt;&gt;1,"P0(후) 유효 1개 아님",IF(NOT(AND(ISNUMBER(N1425),ISNUMBER(P1425),ISNUMBER(H1425))),"시각 결측",IF(P1425&lt;=N1425,"P0 시각 역전",IF(OR(H1425&lt;N1425,H1425&gt;P1425),"측정시각 구간 밖","OK")))))</f>
        <v/>
      </c>
      <c r="N1425" s="45">
        <f>IF(COUNTIFS($C:$C,$C1425,$D:$D,"P0(전)",$L:$L,"&gt;0")&lt;&gt;1,"",SUMIFS($H:$H,$C:$C,$C1425,$D:$D,"P0(전)"))</f>
        <v/>
      </c>
      <c r="O1425" s="30">
        <f>IF(COUNTIFS($C:$C,$C1425,$D:$D,"P0(전)",$L:$L,"&gt;0")&lt;&gt;1,"",SUMIFS($L:$L,$C:$C,$C1425,$D:$D,"P0(전)"))</f>
        <v/>
      </c>
      <c r="P1425" s="45">
        <f>IF(COUNTIFS($C:$C,$C1425,$D:$D,"P0(후)",$L:$L,"&gt;0")&lt;&gt;1,"",SUMIFS($H:$H,$C:$C,$C1425,$D:$D,"P0(후)"))</f>
        <v/>
      </c>
      <c r="Q1425" s="30">
        <f>IF(COUNTIFS($C:$C,$C1425,$D:$D,"P0(후)",$L:$L,"&gt;0")&lt;&gt;1,"",SUMIFS($L:$L,$C:$C,$C1425,$D:$D,"P0(후)"))</f>
        <v/>
      </c>
      <c r="R1425" s="30">
        <f>IF(M1425&lt;&gt;"OK","",O1425+(Q1425-O1425)*(H1425-N1425)/(P1425-N1425))</f>
        <v/>
      </c>
      <c r="S1425" s="30">
        <f>IF(OR(M1425&lt;&gt;"OK",NOT(ISNUMBER(L1425))),"",L1425-R1425)</f>
        <v/>
      </c>
      <c r="T1425" s="46">
        <f>IF(OR(NOT(ISNUMBER(S1425)),IF(ISNUMBER(G1425),G1425,F1425)=0),"",S1425/IF(ISNUMBER(G1425),G1425,F1425))</f>
        <v/>
      </c>
      <c r="U1425" s="46">
        <f>IF(ISNUMBER(T1425),ABS(T1425),"")</f>
        <v/>
      </c>
      <c r="V1425" s="46">
        <f>IF(OR($D1424&lt;&gt;"측정",$C1424&lt;&gt;$C1425,NOT(ISNUMBER(L1425)),NOT(ISNUMBER(L1424)),(IF(ISNUMBER(G1425),G1425,F1425)-IF(ISNUMBER(G1424),G1424,F1424))=0),"",(L1425-L1424)/(IF(ISNUMBER(G1425),G1425,F1425)-IF(ISNUMBER(G1424),G1424,F1424)))</f>
        <v/>
      </c>
      <c r="W1425" s="30">
        <f>IF(NOT(AND(ISNUMBER(N1425),ISNUMBER(P1425))),"",(P1425-N1425)*1440)</f>
        <v/>
      </c>
      <c r="X1425" s="28" t="n"/>
      <c r="Y1425" s="28" t="n"/>
      <c r="Z1425" s="28" t="n"/>
      <c r="AA1425" s="31" t="n"/>
      <c r="AB1425" s="31" t="n"/>
    </row>
    <row r="1426">
      <c r="A1426" s="25" t="inlineStr">
        <is>
          <t>S28</t>
        </is>
      </c>
      <c r="B1426" s="25" t="inlineStr">
        <is>
          <t>이원 신규점</t>
        </is>
      </c>
      <c r="C1426" s="25" t="inlineStr">
        <is>
          <t>S28-H서</t>
        </is>
      </c>
      <c r="D1426" s="25" t="inlineStr">
        <is>
          <t>측정</t>
        </is>
      </c>
      <c r="E1426" s="25" t="inlineStr">
        <is>
          <t>서</t>
        </is>
      </c>
      <c r="F1426" s="30" t="n">
        <v>3</v>
      </c>
      <c r="G1426" s="29" t="n"/>
      <c r="H1426" s="42" t="n"/>
      <c r="I1426" s="40" t="n"/>
      <c r="J1426" s="40" t="n"/>
      <c r="K1426" s="40" t="n"/>
      <c r="L1426" s="30">
        <f>IF(COUNT(I1426:K1426)=0,"",MEDIAN(I1426:K1426))</f>
        <v/>
      </c>
      <c r="M1426" s="25">
        <f>IF(COUNTIFS($C:$C,$C1426,$D:$D,"P0(전)",$L:$L,"&gt;0")&lt;&gt;1,"P0(전) 유효 1개 아님",IF(COUNTIFS($C:$C,$C1426,$D:$D,"P0(후)",$L:$L,"&gt;0")&lt;&gt;1,"P0(후) 유효 1개 아님",IF(NOT(AND(ISNUMBER(N1426),ISNUMBER(P1426),ISNUMBER(H1426))),"시각 결측",IF(P1426&lt;=N1426,"P0 시각 역전",IF(OR(H1426&lt;N1426,H1426&gt;P1426),"측정시각 구간 밖","OK")))))</f>
        <v/>
      </c>
      <c r="N1426" s="45">
        <f>IF(COUNTIFS($C:$C,$C1426,$D:$D,"P0(전)",$L:$L,"&gt;0")&lt;&gt;1,"",SUMIFS($H:$H,$C:$C,$C1426,$D:$D,"P0(전)"))</f>
        <v/>
      </c>
      <c r="O1426" s="30">
        <f>IF(COUNTIFS($C:$C,$C1426,$D:$D,"P0(전)",$L:$L,"&gt;0")&lt;&gt;1,"",SUMIFS($L:$L,$C:$C,$C1426,$D:$D,"P0(전)"))</f>
        <v/>
      </c>
      <c r="P1426" s="45">
        <f>IF(COUNTIFS($C:$C,$C1426,$D:$D,"P0(후)",$L:$L,"&gt;0")&lt;&gt;1,"",SUMIFS($H:$H,$C:$C,$C1426,$D:$D,"P0(후)"))</f>
        <v/>
      </c>
      <c r="Q1426" s="30">
        <f>IF(COUNTIFS($C:$C,$C1426,$D:$D,"P0(후)",$L:$L,"&gt;0")&lt;&gt;1,"",SUMIFS($L:$L,$C:$C,$C1426,$D:$D,"P0(후)"))</f>
        <v/>
      </c>
      <c r="R1426" s="30">
        <f>IF(M1426&lt;&gt;"OK","",O1426+(Q1426-O1426)*(H1426-N1426)/(P1426-N1426))</f>
        <v/>
      </c>
      <c r="S1426" s="30">
        <f>IF(OR(M1426&lt;&gt;"OK",NOT(ISNUMBER(L1426))),"",L1426-R1426)</f>
        <v/>
      </c>
      <c r="T1426" s="46">
        <f>IF(OR(NOT(ISNUMBER(S1426)),IF(ISNUMBER(G1426),G1426,F1426)=0),"",S1426/IF(ISNUMBER(G1426),G1426,F1426))</f>
        <v/>
      </c>
      <c r="U1426" s="46">
        <f>IF(ISNUMBER(T1426),ABS(T1426),"")</f>
        <v/>
      </c>
      <c r="V1426" s="46">
        <f>IF(OR($D1425&lt;&gt;"측정",$C1425&lt;&gt;$C1426,NOT(ISNUMBER(L1426)),NOT(ISNUMBER(L1425)),(IF(ISNUMBER(G1426),G1426,F1426)-IF(ISNUMBER(G1425),G1425,F1425))=0),"",(L1426-L1425)/(IF(ISNUMBER(G1426),G1426,F1426)-IF(ISNUMBER(G1425),G1425,F1425)))</f>
        <v/>
      </c>
      <c r="W1426" s="30">
        <f>IF(NOT(AND(ISNUMBER(N1426),ISNUMBER(P1426))),"",(P1426-N1426)*1440)</f>
        <v/>
      </c>
      <c r="X1426" s="28" t="n"/>
      <c r="Y1426" s="28" t="n"/>
      <c r="Z1426" s="28" t="n"/>
      <c r="AA1426" s="31" t="n"/>
      <c r="AB1426" s="31" t="n"/>
    </row>
    <row r="1427">
      <c r="A1427" s="25" t="inlineStr">
        <is>
          <t>S28</t>
        </is>
      </c>
      <c r="B1427" s="25" t="inlineStr">
        <is>
          <t>이원 신규점</t>
        </is>
      </c>
      <c r="C1427" s="25" t="inlineStr">
        <is>
          <t>S28-H서</t>
        </is>
      </c>
      <c r="D1427" s="25" t="inlineStr">
        <is>
          <t>측정</t>
        </is>
      </c>
      <c r="E1427" s="25" t="inlineStr">
        <is>
          <t>서</t>
        </is>
      </c>
      <c r="F1427" s="30" t="n">
        <v>4</v>
      </c>
      <c r="G1427" s="29" t="n"/>
      <c r="H1427" s="42" t="n"/>
      <c r="I1427" s="40" t="n"/>
      <c r="J1427" s="40" t="n"/>
      <c r="K1427" s="40" t="n"/>
      <c r="L1427" s="30">
        <f>IF(COUNT(I1427:K1427)=0,"",MEDIAN(I1427:K1427))</f>
        <v/>
      </c>
      <c r="M1427" s="25">
        <f>IF(COUNTIFS($C:$C,$C1427,$D:$D,"P0(전)",$L:$L,"&gt;0")&lt;&gt;1,"P0(전) 유효 1개 아님",IF(COUNTIFS($C:$C,$C1427,$D:$D,"P0(후)",$L:$L,"&gt;0")&lt;&gt;1,"P0(후) 유효 1개 아님",IF(NOT(AND(ISNUMBER(N1427),ISNUMBER(P1427),ISNUMBER(H1427))),"시각 결측",IF(P1427&lt;=N1427,"P0 시각 역전",IF(OR(H1427&lt;N1427,H1427&gt;P1427),"측정시각 구간 밖","OK")))))</f>
        <v/>
      </c>
      <c r="N1427" s="45">
        <f>IF(COUNTIFS($C:$C,$C1427,$D:$D,"P0(전)",$L:$L,"&gt;0")&lt;&gt;1,"",SUMIFS($H:$H,$C:$C,$C1427,$D:$D,"P0(전)"))</f>
        <v/>
      </c>
      <c r="O1427" s="30">
        <f>IF(COUNTIFS($C:$C,$C1427,$D:$D,"P0(전)",$L:$L,"&gt;0")&lt;&gt;1,"",SUMIFS($L:$L,$C:$C,$C1427,$D:$D,"P0(전)"))</f>
        <v/>
      </c>
      <c r="P1427" s="45">
        <f>IF(COUNTIFS($C:$C,$C1427,$D:$D,"P0(후)",$L:$L,"&gt;0")&lt;&gt;1,"",SUMIFS($H:$H,$C:$C,$C1427,$D:$D,"P0(후)"))</f>
        <v/>
      </c>
      <c r="Q1427" s="30">
        <f>IF(COUNTIFS($C:$C,$C1427,$D:$D,"P0(후)",$L:$L,"&gt;0")&lt;&gt;1,"",SUMIFS($L:$L,$C:$C,$C1427,$D:$D,"P0(후)"))</f>
        <v/>
      </c>
      <c r="R1427" s="30">
        <f>IF(M1427&lt;&gt;"OK","",O1427+(Q1427-O1427)*(H1427-N1427)/(P1427-N1427))</f>
        <v/>
      </c>
      <c r="S1427" s="30">
        <f>IF(OR(M1427&lt;&gt;"OK",NOT(ISNUMBER(L1427))),"",L1427-R1427)</f>
        <v/>
      </c>
      <c r="T1427" s="46">
        <f>IF(OR(NOT(ISNUMBER(S1427)),IF(ISNUMBER(G1427),G1427,F1427)=0),"",S1427/IF(ISNUMBER(G1427),G1427,F1427))</f>
        <v/>
      </c>
      <c r="U1427" s="46">
        <f>IF(ISNUMBER(T1427),ABS(T1427),"")</f>
        <v/>
      </c>
      <c r="V1427" s="46">
        <f>IF(OR($D1426&lt;&gt;"측정",$C1426&lt;&gt;$C1427,NOT(ISNUMBER(L1427)),NOT(ISNUMBER(L1426)),(IF(ISNUMBER(G1427),G1427,F1427)-IF(ISNUMBER(G1426),G1426,F1426))=0),"",(L1427-L1426)/(IF(ISNUMBER(G1427),G1427,F1427)-IF(ISNUMBER(G1426),G1426,F1426)))</f>
        <v/>
      </c>
      <c r="W1427" s="30">
        <f>IF(NOT(AND(ISNUMBER(N1427),ISNUMBER(P1427))),"",(P1427-N1427)*1440)</f>
        <v/>
      </c>
      <c r="X1427" s="28" t="n"/>
      <c r="Y1427" s="28" t="n"/>
      <c r="Z1427" s="28" t="n"/>
      <c r="AA1427" s="31" t="n"/>
      <c r="AB1427" s="31" t="n"/>
    </row>
    <row r="1428">
      <c r="A1428" s="25" t="inlineStr">
        <is>
          <t>S28</t>
        </is>
      </c>
      <c r="B1428" s="25" t="inlineStr">
        <is>
          <t>이원 신규점</t>
        </is>
      </c>
      <c r="C1428" s="25" t="inlineStr">
        <is>
          <t>S28-H서</t>
        </is>
      </c>
      <c r="D1428" s="25" t="inlineStr">
        <is>
          <t>측정</t>
        </is>
      </c>
      <c r="E1428" s="25" t="inlineStr">
        <is>
          <t>서</t>
        </is>
      </c>
      <c r="F1428" s="30" t="n">
        <v>5</v>
      </c>
      <c r="G1428" s="29" t="n"/>
      <c r="H1428" s="42" t="n"/>
      <c r="I1428" s="40" t="n"/>
      <c r="J1428" s="40" t="n"/>
      <c r="K1428" s="40" t="n"/>
      <c r="L1428" s="30">
        <f>IF(COUNT(I1428:K1428)=0,"",MEDIAN(I1428:K1428))</f>
        <v/>
      </c>
      <c r="M1428" s="25">
        <f>IF(COUNTIFS($C:$C,$C1428,$D:$D,"P0(전)",$L:$L,"&gt;0")&lt;&gt;1,"P0(전) 유효 1개 아님",IF(COUNTIFS($C:$C,$C1428,$D:$D,"P0(후)",$L:$L,"&gt;0")&lt;&gt;1,"P0(후) 유효 1개 아님",IF(NOT(AND(ISNUMBER(N1428),ISNUMBER(P1428),ISNUMBER(H1428))),"시각 결측",IF(P1428&lt;=N1428,"P0 시각 역전",IF(OR(H1428&lt;N1428,H1428&gt;P1428),"측정시각 구간 밖","OK")))))</f>
        <v/>
      </c>
      <c r="N1428" s="45">
        <f>IF(COUNTIFS($C:$C,$C1428,$D:$D,"P0(전)",$L:$L,"&gt;0")&lt;&gt;1,"",SUMIFS($H:$H,$C:$C,$C1428,$D:$D,"P0(전)"))</f>
        <v/>
      </c>
      <c r="O1428" s="30">
        <f>IF(COUNTIFS($C:$C,$C1428,$D:$D,"P0(전)",$L:$L,"&gt;0")&lt;&gt;1,"",SUMIFS($L:$L,$C:$C,$C1428,$D:$D,"P0(전)"))</f>
        <v/>
      </c>
      <c r="P1428" s="45">
        <f>IF(COUNTIFS($C:$C,$C1428,$D:$D,"P0(후)",$L:$L,"&gt;0")&lt;&gt;1,"",SUMIFS($H:$H,$C:$C,$C1428,$D:$D,"P0(후)"))</f>
        <v/>
      </c>
      <c r="Q1428" s="30">
        <f>IF(COUNTIFS($C:$C,$C1428,$D:$D,"P0(후)",$L:$L,"&gt;0")&lt;&gt;1,"",SUMIFS($L:$L,$C:$C,$C1428,$D:$D,"P0(후)"))</f>
        <v/>
      </c>
      <c r="R1428" s="30">
        <f>IF(M1428&lt;&gt;"OK","",O1428+(Q1428-O1428)*(H1428-N1428)/(P1428-N1428))</f>
        <v/>
      </c>
      <c r="S1428" s="30">
        <f>IF(OR(M1428&lt;&gt;"OK",NOT(ISNUMBER(L1428))),"",L1428-R1428)</f>
        <v/>
      </c>
      <c r="T1428" s="46">
        <f>IF(OR(NOT(ISNUMBER(S1428)),IF(ISNUMBER(G1428),G1428,F1428)=0),"",S1428/IF(ISNUMBER(G1428),G1428,F1428))</f>
        <v/>
      </c>
      <c r="U1428" s="46">
        <f>IF(ISNUMBER(T1428),ABS(T1428),"")</f>
        <v/>
      </c>
      <c r="V1428" s="46">
        <f>IF(OR($D1427&lt;&gt;"측정",$C1427&lt;&gt;$C1428,NOT(ISNUMBER(L1428)),NOT(ISNUMBER(L1427)),(IF(ISNUMBER(G1428),G1428,F1428)-IF(ISNUMBER(G1427),G1427,F1427))=0),"",(L1428-L1427)/(IF(ISNUMBER(G1428),G1428,F1428)-IF(ISNUMBER(G1427),G1427,F1427)))</f>
        <v/>
      </c>
      <c r="W1428" s="30">
        <f>IF(NOT(AND(ISNUMBER(N1428),ISNUMBER(P1428))),"",(P1428-N1428)*1440)</f>
        <v/>
      </c>
      <c r="X1428" s="28" t="n"/>
      <c r="Y1428" s="28" t="n"/>
      <c r="Z1428" s="28" t="n"/>
      <c r="AA1428" s="31" t="n"/>
      <c r="AB1428" s="31" t="n"/>
    </row>
    <row r="1429">
      <c r="A1429" s="25" t="inlineStr">
        <is>
          <t>S28</t>
        </is>
      </c>
      <c r="B1429" s="25" t="inlineStr">
        <is>
          <t>이원 신규점</t>
        </is>
      </c>
      <c r="C1429" s="25" t="inlineStr">
        <is>
          <t>S28-H서</t>
        </is>
      </c>
      <c r="D1429" s="25" t="inlineStr">
        <is>
          <t>측정</t>
        </is>
      </c>
      <c r="E1429" s="25" t="inlineStr">
        <is>
          <t>서</t>
        </is>
      </c>
      <c r="F1429" s="30" t="n">
        <v>6</v>
      </c>
      <c r="G1429" s="29" t="n"/>
      <c r="H1429" s="42" t="n"/>
      <c r="I1429" s="40" t="n"/>
      <c r="J1429" s="40" t="n"/>
      <c r="K1429" s="40" t="n"/>
      <c r="L1429" s="30">
        <f>IF(COUNT(I1429:K1429)=0,"",MEDIAN(I1429:K1429))</f>
        <v/>
      </c>
      <c r="M1429" s="25">
        <f>IF(COUNTIFS($C:$C,$C1429,$D:$D,"P0(전)",$L:$L,"&gt;0")&lt;&gt;1,"P0(전) 유효 1개 아님",IF(COUNTIFS($C:$C,$C1429,$D:$D,"P0(후)",$L:$L,"&gt;0")&lt;&gt;1,"P0(후) 유효 1개 아님",IF(NOT(AND(ISNUMBER(N1429),ISNUMBER(P1429),ISNUMBER(H1429))),"시각 결측",IF(P1429&lt;=N1429,"P0 시각 역전",IF(OR(H1429&lt;N1429,H1429&gt;P1429),"측정시각 구간 밖","OK")))))</f>
        <v/>
      </c>
      <c r="N1429" s="45">
        <f>IF(COUNTIFS($C:$C,$C1429,$D:$D,"P0(전)",$L:$L,"&gt;0")&lt;&gt;1,"",SUMIFS($H:$H,$C:$C,$C1429,$D:$D,"P0(전)"))</f>
        <v/>
      </c>
      <c r="O1429" s="30">
        <f>IF(COUNTIFS($C:$C,$C1429,$D:$D,"P0(전)",$L:$L,"&gt;0")&lt;&gt;1,"",SUMIFS($L:$L,$C:$C,$C1429,$D:$D,"P0(전)"))</f>
        <v/>
      </c>
      <c r="P1429" s="45">
        <f>IF(COUNTIFS($C:$C,$C1429,$D:$D,"P0(후)",$L:$L,"&gt;0")&lt;&gt;1,"",SUMIFS($H:$H,$C:$C,$C1429,$D:$D,"P0(후)"))</f>
        <v/>
      </c>
      <c r="Q1429" s="30">
        <f>IF(COUNTIFS($C:$C,$C1429,$D:$D,"P0(후)",$L:$L,"&gt;0")&lt;&gt;1,"",SUMIFS($L:$L,$C:$C,$C1429,$D:$D,"P0(후)"))</f>
        <v/>
      </c>
      <c r="R1429" s="30">
        <f>IF(M1429&lt;&gt;"OK","",O1429+(Q1429-O1429)*(H1429-N1429)/(P1429-N1429))</f>
        <v/>
      </c>
      <c r="S1429" s="30">
        <f>IF(OR(M1429&lt;&gt;"OK",NOT(ISNUMBER(L1429))),"",L1429-R1429)</f>
        <v/>
      </c>
      <c r="T1429" s="46">
        <f>IF(OR(NOT(ISNUMBER(S1429)),IF(ISNUMBER(G1429),G1429,F1429)=0),"",S1429/IF(ISNUMBER(G1429),G1429,F1429))</f>
        <v/>
      </c>
      <c r="U1429" s="46">
        <f>IF(ISNUMBER(T1429),ABS(T1429),"")</f>
        <v/>
      </c>
      <c r="V1429" s="46">
        <f>IF(OR($D1428&lt;&gt;"측정",$C1428&lt;&gt;$C1429,NOT(ISNUMBER(L1429)),NOT(ISNUMBER(L1428)),(IF(ISNUMBER(G1429),G1429,F1429)-IF(ISNUMBER(G1428),G1428,F1428))=0),"",(L1429-L1428)/(IF(ISNUMBER(G1429),G1429,F1429)-IF(ISNUMBER(G1428),G1428,F1428)))</f>
        <v/>
      </c>
      <c r="W1429" s="30">
        <f>IF(NOT(AND(ISNUMBER(N1429),ISNUMBER(P1429))),"",(P1429-N1429)*1440)</f>
        <v/>
      </c>
      <c r="X1429" s="28" t="n"/>
      <c r="Y1429" s="28" t="n"/>
      <c r="Z1429" s="28" t="n"/>
      <c r="AA1429" s="31" t="n"/>
      <c r="AB1429" s="31" t="n"/>
    </row>
    <row r="1430">
      <c r="A1430" s="25" t="inlineStr">
        <is>
          <t>S28</t>
        </is>
      </c>
      <c r="B1430" s="25" t="inlineStr">
        <is>
          <t>이원 신규점</t>
        </is>
      </c>
      <c r="C1430" s="25" t="inlineStr">
        <is>
          <t>S28-H서</t>
        </is>
      </c>
      <c r="D1430" s="25" t="inlineStr">
        <is>
          <t>측정</t>
        </is>
      </c>
      <c r="E1430" s="25" t="inlineStr">
        <is>
          <t>서</t>
        </is>
      </c>
      <c r="F1430" s="30" t="n">
        <v>7</v>
      </c>
      <c r="G1430" s="29" t="n"/>
      <c r="H1430" s="42" t="n"/>
      <c r="I1430" s="40" t="n"/>
      <c r="J1430" s="40" t="n"/>
      <c r="K1430" s="40" t="n"/>
      <c r="L1430" s="30">
        <f>IF(COUNT(I1430:K1430)=0,"",MEDIAN(I1430:K1430))</f>
        <v/>
      </c>
      <c r="M1430" s="25">
        <f>IF(COUNTIFS($C:$C,$C1430,$D:$D,"P0(전)",$L:$L,"&gt;0")&lt;&gt;1,"P0(전) 유효 1개 아님",IF(COUNTIFS($C:$C,$C1430,$D:$D,"P0(후)",$L:$L,"&gt;0")&lt;&gt;1,"P0(후) 유효 1개 아님",IF(NOT(AND(ISNUMBER(N1430),ISNUMBER(P1430),ISNUMBER(H1430))),"시각 결측",IF(P1430&lt;=N1430,"P0 시각 역전",IF(OR(H1430&lt;N1430,H1430&gt;P1430),"측정시각 구간 밖","OK")))))</f>
        <v/>
      </c>
      <c r="N1430" s="45">
        <f>IF(COUNTIFS($C:$C,$C1430,$D:$D,"P0(전)",$L:$L,"&gt;0")&lt;&gt;1,"",SUMIFS($H:$H,$C:$C,$C1430,$D:$D,"P0(전)"))</f>
        <v/>
      </c>
      <c r="O1430" s="30">
        <f>IF(COUNTIFS($C:$C,$C1430,$D:$D,"P0(전)",$L:$L,"&gt;0")&lt;&gt;1,"",SUMIFS($L:$L,$C:$C,$C1430,$D:$D,"P0(전)"))</f>
        <v/>
      </c>
      <c r="P1430" s="45">
        <f>IF(COUNTIFS($C:$C,$C1430,$D:$D,"P0(후)",$L:$L,"&gt;0")&lt;&gt;1,"",SUMIFS($H:$H,$C:$C,$C1430,$D:$D,"P0(후)"))</f>
        <v/>
      </c>
      <c r="Q1430" s="30">
        <f>IF(COUNTIFS($C:$C,$C1430,$D:$D,"P0(후)",$L:$L,"&gt;0")&lt;&gt;1,"",SUMIFS($L:$L,$C:$C,$C1430,$D:$D,"P0(후)"))</f>
        <v/>
      </c>
      <c r="R1430" s="30">
        <f>IF(M1430&lt;&gt;"OK","",O1430+(Q1430-O1430)*(H1430-N1430)/(P1430-N1430))</f>
        <v/>
      </c>
      <c r="S1430" s="30">
        <f>IF(OR(M1430&lt;&gt;"OK",NOT(ISNUMBER(L1430))),"",L1430-R1430)</f>
        <v/>
      </c>
      <c r="T1430" s="46">
        <f>IF(OR(NOT(ISNUMBER(S1430)),IF(ISNUMBER(G1430),G1430,F1430)=0),"",S1430/IF(ISNUMBER(G1430),G1430,F1430))</f>
        <v/>
      </c>
      <c r="U1430" s="46">
        <f>IF(ISNUMBER(T1430),ABS(T1430),"")</f>
        <v/>
      </c>
      <c r="V1430" s="46">
        <f>IF(OR($D1429&lt;&gt;"측정",$C1429&lt;&gt;$C1430,NOT(ISNUMBER(L1430)),NOT(ISNUMBER(L1429)),(IF(ISNUMBER(G1430),G1430,F1430)-IF(ISNUMBER(G1429),G1429,F1429))=0),"",(L1430-L1429)/(IF(ISNUMBER(G1430),G1430,F1430)-IF(ISNUMBER(G1429),G1429,F1429)))</f>
        <v/>
      </c>
      <c r="W1430" s="30">
        <f>IF(NOT(AND(ISNUMBER(N1430),ISNUMBER(P1430))),"",(P1430-N1430)*1440)</f>
        <v/>
      </c>
      <c r="X1430" s="28" t="n"/>
      <c r="Y1430" s="28" t="n"/>
      <c r="Z1430" s="28" t="n"/>
      <c r="AA1430" s="31" t="n"/>
      <c r="AB1430" s="31" t="n"/>
    </row>
    <row r="1431">
      <c r="A1431" s="25" t="inlineStr">
        <is>
          <t>S28</t>
        </is>
      </c>
      <c r="B1431" s="25" t="inlineStr">
        <is>
          <t>이원 신규점</t>
        </is>
      </c>
      <c r="C1431" s="25" t="inlineStr">
        <is>
          <t>S28-H서</t>
        </is>
      </c>
      <c r="D1431" s="25" t="inlineStr">
        <is>
          <t>측정</t>
        </is>
      </c>
      <c r="E1431" s="25" t="inlineStr">
        <is>
          <t>서</t>
        </is>
      </c>
      <c r="F1431" s="30" t="n">
        <v>8</v>
      </c>
      <c r="G1431" s="29" t="n"/>
      <c r="H1431" s="42" t="n"/>
      <c r="I1431" s="40" t="n"/>
      <c r="J1431" s="40" t="n"/>
      <c r="K1431" s="40" t="n"/>
      <c r="L1431" s="30">
        <f>IF(COUNT(I1431:K1431)=0,"",MEDIAN(I1431:K1431))</f>
        <v/>
      </c>
      <c r="M1431" s="25">
        <f>IF(COUNTIFS($C:$C,$C1431,$D:$D,"P0(전)",$L:$L,"&gt;0")&lt;&gt;1,"P0(전) 유효 1개 아님",IF(COUNTIFS($C:$C,$C1431,$D:$D,"P0(후)",$L:$L,"&gt;0")&lt;&gt;1,"P0(후) 유효 1개 아님",IF(NOT(AND(ISNUMBER(N1431),ISNUMBER(P1431),ISNUMBER(H1431))),"시각 결측",IF(P1431&lt;=N1431,"P0 시각 역전",IF(OR(H1431&lt;N1431,H1431&gt;P1431),"측정시각 구간 밖","OK")))))</f>
        <v/>
      </c>
      <c r="N1431" s="45">
        <f>IF(COUNTIFS($C:$C,$C1431,$D:$D,"P0(전)",$L:$L,"&gt;0")&lt;&gt;1,"",SUMIFS($H:$H,$C:$C,$C1431,$D:$D,"P0(전)"))</f>
        <v/>
      </c>
      <c r="O1431" s="30">
        <f>IF(COUNTIFS($C:$C,$C1431,$D:$D,"P0(전)",$L:$L,"&gt;0")&lt;&gt;1,"",SUMIFS($L:$L,$C:$C,$C1431,$D:$D,"P0(전)"))</f>
        <v/>
      </c>
      <c r="P1431" s="45">
        <f>IF(COUNTIFS($C:$C,$C1431,$D:$D,"P0(후)",$L:$L,"&gt;0")&lt;&gt;1,"",SUMIFS($H:$H,$C:$C,$C1431,$D:$D,"P0(후)"))</f>
        <v/>
      </c>
      <c r="Q1431" s="30">
        <f>IF(COUNTIFS($C:$C,$C1431,$D:$D,"P0(후)",$L:$L,"&gt;0")&lt;&gt;1,"",SUMIFS($L:$L,$C:$C,$C1431,$D:$D,"P0(후)"))</f>
        <v/>
      </c>
      <c r="R1431" s="30">
        <f>IF(M1431&lt;&gt;"OK","",O1431+(Q1431-O1431)*(H1431-N1431)/(P1431-N1431))</f>
        <v/>
      </c>
      <c r="S1431" s="30">
        <f>IF(OR(M1431&lt;&gt;"OK",NOT(ISNUMBER(L1431))),"",L1431-R1431)</f>
        <v/>
      </c>
      <c r="T1431" s="46">
        <f>IF(OR(NOT(ISNUMBER(S1431)),IF(ISNUMBER(G1431),G1431,F1431)=0),"",S1431/IF(ISNUMBER(G1431),G1431,F1431))</f>
        <v/>
      </c>
      <c r="U1431" s="46">
        <f>IF(ISNUMBER(T1431),ABS(T1431),"")</f>
        <v/>
      </c>
      <c r="V1431" s="46">
        <f>IF(OR($D1430&lt;&gt;"측정",$C1430&lt;&gt;$C1431,NOT(ISNUMBER(L1431)),NOT(ISNUMBER(L1430)),(IF(ISNUMBER(G1431),G1431,F1431)-IF(ISNUMBER(G1430),G1430,F1430))=0),"",(L1431-L1430)/(IF(ISNUMBER(G1431),G1431,F1431)-IF(ISNUMBER(G1430),G1430,F1430)))</f>
        <v/>
      </c>
      <c r="W1431" s="30">
        <f>IF(NOT(AND(ISNUMBER(N1431),ISNUMBER(P1431))),"",(P1431-N1431)*1440)</f>
        <v/>
      </c>
      <c r="X1431" s="28" t="n"/>
      <c r="Y1431" s="28" t="n"/>
      <c r="Z1431" s="28" t="n"/>
      <c r="AA1431" s="31" t="n"/>
      <c r="AB1431" s="31" t="n"/>
    </row>
    <row r="1432">
      <c r="A1432" s="25" t="inlineStr">
        <is>
          <t>S28</t>
        </is>
      </c>
      <c r="B1432" s="25" t="inlineStr">
        <is>
          <t>이원 신규점</t>
        </is>
      </c>
      <c r="C1432" s="25" t="inlineStr">
        <is>
          <t>S28-H서</t>
        </is>
      </c>
      <c r="D1432" s="25" t="inlineStr">
        <is>
          <t>측정</t>
        </is>
      </c>
      <c r="E1432" s="25" t="inlineStr">
        <is>
          <t>서</t>
        </is>
      </c>
      <c r="F1432" s="30" t="n">
        <v>9</v>
      </c>
      <c r="G1432" s="29" t="n"/>
      <c r="H1432" s="42" t="n"/>
      <c r="I1432" s="40" t="n"/>
      <c r="J1432" s="40" t="n"/>
      <c r="K1432" s="40" t="n"/>
      <c r="L1432" s="30">
        <f>IF(COUNT(I1432:K1432)=0,"",MEDIAN(I1432:K1432))</f>
        <v/>
      </c>
      <c r="M1432" s="25">
        <f>IF(COUNTIFS($C:$C,$C1432,$D:$D,"P0(전)",$L:$L,"&gt;0")&lt;&gt;1,"P0(전) 유효 1개 아님",IF(COUNTIFS($C:$C,$C1432,$D:$D,"P0(후)",$L:$L,"&gt;0")&lt;&gt;1,"P0(후) 유효 1개 아님",IF(NOT(AND(ISNUMBER(N1432),ISNUMBER(P1432),ISNUMBER(H1432))),"시각 결측",IF(P1432&lt;=N1432,"P0 시각 역전",IF(OR(H1432&lt;N1432,H1432&gt;P1432),"측정시각 구간 밖","OK")))))</f>
        <v/>
      </c>
      <c r="N1432" s="45">
        <f>IF(COUNTIFS($C:$C,$C1432,$D:$D,"P0(전)",$L:$L,"&gt;0")&lt;&gt;1,"",SUMIFS($H:$H,$C:$C,$C1432,$D:$D,"P0(전)"))</f>
        <v/>
      </c>
      <c r="O1432" s="30">
        <f>IF(COUNTIFS($C:$C,$C1432,$D:$D,"P0(전)",$L:$L,"&gt;0")&lt;&gt;1,"",SUMIFS($L:$L,$C:$C,$C1432,$D:$D,"P0(전)"))</f>
        <v/>
      </c>
      <c r="P1432" s="45">
        <f>IF(COUNTIFS($C:$C,$C1432,$D:$D,"P0(후)",$L:$L,"&gt;0")&lt;&gt;1,"",SUMIFS($H:$H,$C:$C,$C1432,$D:$D,"P0(후)"))</f>
        <v/>
      </c>
      <c r="Q1432" s="30">
        <f>IF(COUNTIFS($C:$C,$C1432,$D:$D,"P0(후)",$L:$L,"&gt;0")&lt;&gt;1,"",SUMIFS($L:$L,$C:$C,$C1432,$D:$D,"P0(후)"))</f>
        <v/>
      </c>
      <c r="R1432" s="30">
        <f>IF(M1432&lt;&gt;"OK","",O1432+(Q1432-O1432)*(H1432-N1432)/(P1432-N1432))</f>
        <v/>
      </c>
      <c r="S1432" s="30">
        <f>IF(OR(M1432&lt;&gt;"OK",NOT(ISNUMBER(L1432))),"",L1432-R1432)</f>
        <v/>
      </c>
      <c r="T1432" s="46">
        <f>IF(OR(NOT(ISNUMBER(S1432)),IF(ISNUMBER(G1432),G1432,F1432)=0),"",S1432/IF(ISNUMBER(G1432),G1432,F1432))</f>
        <v/>
      </c>
      <c r="U1432" s="46">
        <f>IF(ISNUMBER(T1432),ABS(T1432),"")</f>
        <v/>
      </c>
      <c r="V1432" s="46">
        <f>IF(OR($D1431&lt;&gt;"측정",$C1431&lt;&gt;$C1432,NOT(ISNUMBER(L1432)),NOT(ISNUMBER(L1431)),(IF(ISNUMBER(G1432),G1432,F1432)-IF(ISNUMBER(G1431),G1431,F1431))=0),"",(L1432-L1431)/(IF(ISNUMBER(G1432),G1432,F1432)-IF(ISNUMBER(G1431),G1431,F1431)))</f>
        <v/>
      </c>
      <c r="W1432" s="30">
        <f>IF(NOT(AND(ISNUMBER(N1432),ISNUMBER(P1432))),"",(P1432-N1432)*1440)</f>
        <v/>
      </c>
      <c r="X1432" s="28" t="n"/>
      <c r="Y1432" s="28" t="n"/>
      <c r="Z1432" s="28" t="n"/>
      <c r="AA1432" s="31" t="n"/>
      <c r="AB1432" s="31" t="n"/>
    </row>
    <row r="1433">
      <c r="A1433" s="25" t="inlineStr">
        <is>
          <t>S28</t>
        </is>
      </c>
      <c r="B1433" s="25" t="inlineStr">
        <is>
          <t>이원 신규점</t>
        </is>
      </c>
      <c r="C1433" s="25" t="inlineStr">
        <is>
          <t>S28-H서</t>
        </is>
      </c>
      <c r="D1433" s="25" t="inlineStr">
        <is>
          <t>측정</t>
        </is>
      </c>
      <c r="E1433" s="25" t="inlineStr">
        <is>
          <t>서</t>
        </is>
      </c>
      <c r="F1433" s="30" t="n">
        <v>10</v>
      </c>
      <c r="G1433" s="29" t="n"/>
      <c r="H1433" s="42" t="n"/>
      <c r="I1433" s="40" t="n"/>
      <c r="J1433" s="40" t="n"/>
      <c r="K1433" s="40" t="n"/>
      <c r="L1433" s="30">
        <f>IF(COUNT(I1433:K1433)=0,"",MEDIAN(I1433:K1433))</f>
        <v/>
      </c>
      <c r="M1433" s="25">
        <f>IF(COUNTIFS($C:$C,$C1433,$D:$D,"P0(전)",$L:$L,"&gt;0")&lt;&gt;1,"P0(전) 유효 1개 아님",IF(COUNTIFS($C:$C,$C1433,$D:$D,"P0(후)",$L:$L,"&gt;0")&lt;&gt;1,"P0(후) 유효 1개 아님",IF(NOT(AND(ISNUMBER(N1433),ISNUMBER(P1433),ISNUMBER(H1433))),"시각 결측",IF(P1433&lt;=N1433,"P0 시각 역전",IF(OR(H1433&lt;N1433,H1433&gt;P1433),"측정시각 구간 밖","OK")))))</f>
        <v/>
      </c>
      <c r="N1433" s="45">
        <f>IF(COUNTIFS($C:$C,$C1433,$D:$D,"P0(전)",$L:$L,"&gt;0")&lt;&gt;1,"",SUMIFS($H:$H,$C:$C,$C1433,$D:$D,"P0(전)"))</f>
        <v/>
      </c>
      <c r="O1433" s="30">
        <f>IF(COUNTIFS($C:$C,$C1433,$D:$D,"P0(전)",$L:$L,"&gt;0")&lt;&gt;1,"",SUMIFS($L:$L,$C:$C,$C1433,$D:$D,"P0(전)"))</f>
        <v/>
      </c>
      <c r="P1433" s="45">
        <f>IF(COUNTIFS($C:$C,$C1433,$D:$D,"P0(후)",$L:$L,"&gt;0")&lt;&gt;1,"",SUMIFS($H:$H,$C:$C,$C1433,$D:$D,"P0(후)"))</f>
        <v/>
      </c>
      <c r="Q1433" s="30">
        <f>IF(COUNTIFS($C:$C,$C1433,$D:$D,"P0(후)",$L:$L,"&gt;0")&lt;&gt;1,"",SUMIFS($L:$L,$C:$C,$C1433,$D:$D,"P0(후)"))</f>
        <v/>
      </c>
      <c r="R1433" s="30">
        <f>IF(M1433&lt;&gt;"OK","",O1433+(Q1433-O1433)*(H1433-N1433)/(P1433-N1433))</f>
        <v/>
      </c>
      <c r="S1433" s="30">
        <f>IF(OR(M1433&lt;&gt;"OK",NOT(ISNUMBER(L1433))),"",L1433-R1433)</f>
        <v/>
      </c>
      <c r="T1433" s="46">
        <f>IF(OR(NOT(ISNUMBER(S1433)),IF(ISNUMBER(G1433),G1433,F1433)=0),"",S1433/IF(ISNUMBER(G1433),G1433,F1433))</f>
        <v/>
      </c>
      <c r="U1433" s="46">
        <f>IF(ISNUMBER(T1433),ABS(T1433),"")</f>
        <v/>
      </c>
      <c r="V1433" s="46">
        <f>IF(OR($D1432&lt;&gt;"측정",$C1432&lt;&gt;$C1433,NOT(ISNUMBER(L1433)),NOT(ISNUMBER(L1432)),(IF(ISNUMBER(G1433),G1433,F1433)-IF(ISNUMBER(G1432),G1432,F1432))=0),"",(L1433-L1432)/(IF(ISNUMBER(G1433),G1433,F1433)-IF(ISNUMBER(G1432),G1432,F1432)))</f>
        <v/>
      </c>
      <c r="W1433" s="30">
        <f>IF(NOT(AND(ISNUMBER(N1433),ISNUMBER(P1433))),"",(P1433-N1433)*1440)</f>
        <v/>
      </c>
      <c r="X1433" s="28" t="n"/>
      <c r="Y1433" s="28" t="n"/>
      <c r="Z1433" s="28" t="n"/>
      <c r="AA1433" s="31" t="n"/>
      <c r="AB1433" s="31" t="n"/>
    </row>
    <row r="1434">
      <c r="A1434" s="43" t="inlineStr">
        <is>
          <t>S28</t>
        </is>
      </c>
      <c r="B1434" s="43" t="inlineStr">
        <is>
          <t>이원 신규점</t>
        </is>
      </c>
      <c r="C1434" s="43" t="inlineStr">
        <is>
          <t>S28-H서</t>
        </is>
      </c>
      <c r="D1434" s="43" t="inlineStr">
        <is>
          <t>P0(후)</t>
        </is>
      </c>
      <c r="E1434" s="43" t="inlineStr">
        <is>
          <t>서</t>
        </is>
      </c>
      <c r="F1434" s="44" t="n"/>
      <c r="G1434" s="29" t="n"/>
      <c r="H1434" s="42" t="n"/>
      <c r="I1434" s="40" t="n"/>
      <c r="J1434" s="40" t="n"/>
      <c r="K1434" s="40" t="n"/>
      <c r="L1434" s="30">
        <f>IF(COUNT(I1434:K1434)=0,"",MEDIAN(I1434:K1434))</f>
        <v/>
      </c>
      <c r="M1434" s="37" t="n"/>
      <c r="N1434" s="37" t="n"/>
      <c r="O1434" s="37" t="n"/>
      <c r="P1434" s="37" t="n"/>
      <c r="Q1434" s="37" t="n"/>
      <c r="R1434" s="37" t="n"/>
      <c r="S1434" s="37" t="n"/>
      <c r="T1434" s="37" t="n"/>
      <c r="U1434" s="37" t="n"/>
      <c r="V1434" s="37" t="n"/>
      <c r="W1434" s="37" t="n"/>
      <c r="X1434" s="28" t="n"/>
      <c r="Y1434" s="28" t="n"/>
      <c r="Z1434" s="28" t="n"/>
      <c r="AA1434" s="31" t="n"/>
      <c r="AB1434" s="31" t="n"/>
    </row>
    <row r="1435">
      <c r="A1435" s="43" t="inlineStr">
        <is>
          <t>S28</t>
        </is>
      </c>
      <c r="B1435" s="43" t="inlineStr">
        <is>
          <t>이원 신규점</t>
        </is>
      </c>
      <c r="C1435" s="43" t="inlineStr">
        <is>
          <t>S28-H남</t>
        </is>
      </c>
      <c r="D1435" s="43" t="inlineStr">
        <is>
          <t>P0(전)</t>
        </is>
      </c>
      <c r="E1435" s="43" t="inlineStr">
        <is>
          <t>남</t>
        </is>
      </c>
      <c r="F1435" s="44" t="n"/>
      <c r="G1435" s="29" t="n"/>
      <c r="H1435" s="42" t="n"/>
      <c r="I1435" s="40" t="n"/>
      <c r="J1435" s="40" t="n"/>
      <c r="K1435" s="40" t="n"/>
      <c r="L1435" s="30">
        <f>IF(COUNT(I1435:K1435)=0,"",MEDIAN(I1435:K1435))</f>
        <v/>
      </c>
      <c r="M1435" s="37" t="n"/>
      <c r="N1435" s="37" t="n"/>
      <c r="O1435" s="37" t="n"/>
      <c r="P1435" s="37" t="n"/>
      <c r="Q1435" s="37" t="n"/>
      <c r="R1435" s="37" t="n"/>
      <c r="S1435" s="37" t="n"/>
      <c r="T1435" s="37" t="n"/>
      <c r="U1435" s="37" t="n"/>
      <c r="V1435" s="37" t="n"/>
      <c r="W1435" s="37" t="n"/>
      <c r="X1435" s="28" t="n"/>
      <c r="Y1435" s="28" t="n"/>
      <c r="Z1435" s="28" t="n"/>
      <c r="AA1435" s="31" t="n"/>
      <c r="AB1435" s="31" t="n"/>
    </row>
    <row r="1436">
      <c r="A1436" s="25" t="inlineStr">
        <is>
          <t>S28</t>
        </is>
      </c>
      <c r="B1436" s="25" t="inlineStr">
        <is>
          <t>이원 신규점</t>
        </is>
      </c>
      <c r="C1436" s="25" t="inlineStr">
        <is>
          <t>S28-H남</t>
        </is>
      </c>
      <c r="D1436" s="25" t="inlineStr">
        <is>
          <t>측정</t>
        </is>
      </c>
      <c r="E1436" s="25" t="inlineStr">
        <is>
          <t>남</t>
        </is>
      </c>
      <c r="F1436" s="30" t="n">
        <v>0.5</v>
      </c>
      <c r="G1436" s="29" t="n"/>
      <c r="H1436" s="42" t="n"/>
      <c r="I1436" s="40" t="n"/>
      <c r="J1436" s="40" t="n"/>
      <c r="K1436" s="40" t="n"/>
      <c r="L1436" s="30">
        <f>IF(COUNT(I1436:K1436)=0,"",MEDIAN(I1436:K1436))</f>
        <v/>
      </c>
      <c r="M1436" s="25">
        <f>IF(COUNTIFS($C:$C,$C1436,$D:$D,"P0(전)",$L:$L,"&gt;0")&lt;&gt;1,"P0(전) 유효 1개 아님",IF(COUNTIFS($C:$C,$C1436,$D:$D,"P0(후)",$L:$L,"&gt;0")&lt;&gt;1,"P0(후) 유효 1개 아님",IF(NOT(AND(ISNUMBER(N1436),ISNUMBER(P1436),ISNUMBER(H1436))),"시각 결측",IF(P1436&lt;=N1436,"P0 시각 역전",IF(OR(H1436&lt;N1436,H1436&gt;P1436),"측정시각 구간 밖","OK")))))</f>
        <v/>
      </c>
      <c r="N1436" s="45">
        <f>IF(COUNTIFS($C:$C,$C1436,$D:$D,"P0(전)",$L:$L,"&gt;0")&lt;&gt;1,"",SUMIFS($H:$H,$C:$C,$C1436,$D:$D,"P0(전)"))</f>
        <v/>
      </c>
      <c r="O1436" s="30">
        <f>IF(COUNTIFS($C:$C,$C1436,$D:$D,"P0(전)",$L:$L,"&gt;0")&lt;&gt;1,"",SUMIFS($L:$L,$C:$C,$C1436,$D:$D,"P0(전)"))</f>
        <v/>
      </c>
      <c r="P1436" s="45">
        <f>IF(COUNTIFS($C:$C,$C1436,$D:$D,"P0(후)",$L:$L,"&gt;0")&lt;&gt;1,"",SUMIFS($H:$H,$C:$C,$C1436,$D:$D,"P0(후)"))</f>
        <v/>
      </c>
      <c r="Q1436" s="30">
        <f>IF(COUNTIFS($C:$C,$C1436,$D:$D,"P0(후)",$L:$L,"&gt;0")&lt;&gt;1,"",SUMIFS($L:$L,$C:$C,$C1436,$D:$D,"P0(후)"))</f>
        <v/>
      </c>
      <c r="R1436" s="30">
        <f>IF(M1436&lt;&gt;"OK","",O1436+(Q1436-O1436)*(H1436-N1436)/(P1436-N1436))</f>
        <v/>
      </c>
      <c r="S1436" s="30">
        <f>IF(OR(M1436&lt;&gt;"OK",NOT(ISNUMBER(L1436))),"",L1436-R1436)</f>
        <v/>
      </c>
      <c r="T1436" s="46">
        <f>IF(OR(NOT(ISNUMBER(S1436)),IF(ISNUMBER(G1436),G1436,F1436)=0),"",S1436/IF(ISNUMBER(G1436),G1436,F1436))</f>
        <v/>
      </c>
      <c r="U1436" s="46">
        <f>IF(ISNUMBER(T1436),ABS(T1436),"")</f>
        <v/>
      </c>
      <c r="V1436" s="46">
        <f>IF(OR($D1435&lt;&gt;"측정",$C1435&lt;&gt;$C1436,NOT(ISNUMBER(L1436)),NOT(ISNUMBER(L1435)),(IF(ISNUMBER(G1436),G1436,F1436)-IF(ISNUMBER(G1435),G1435,F1435))=0),"",(L1436-L1435)/(IF(ISNUMBER(G1436),G1436,F1436)-IF(ISNUMBER(G1435),G1435,F1435)))</f>
        <v/>
      </c>
      <c r="W1436" s="30">
        <f>IF(NOT(AND(ISNUMBER(N1436),ISNUMBER(P1436))),"",(P1436-N1436)*1440)</f>
        <v/>
      </c>
      <c r="X1436" s="28" t="n"/>
      <c r="Y1436" s="28" t="n"/>
      <c r="Z1436" s="28" t="n"/>
      <c r="AA1436" s="31" t="n"/>
      <c r="AB1436" s="31" t="n"/>
    </row>
    <row r="1437">
      <c r="A1437" s="25" t="inlineStr">
        <is>
          <t>S28</t>
        </is>
      </c>
      <c r="B1437" s="25" t="inlineStr">
        <is>
          <t>이원 신규점</t>
        </is>
      </c>
      <c r="C1437" s="25" t="inlineStr">
        <is>
          <t>S28-H남</t>
        </is>
      </c>
      <c r="D1437" s="25" t="inlineStr">
        <is>
          <t>측정</t>
        </is>
      </c>
      <c r="E1437" s="25" t="inlineStr">
        <is>
          <t>남</t>
        </is>
      </c>
      <c r="F1437" s="30" t="n">
        <v>1</v>
      </c>
      <c r="G1437" s="29" t="n"/>
      <c r="H1437" s="42" t="n"/>
      <c r="I1437" s="40" t="n"/>
      <c r="J1437" s="40" t="n"/>
      <c r="K1437" s="40" t="n"/>
      <c r="L1437" s="30">
        <f>IF(COUNT(I1437:K1437)=0,"",MEDIAN(I1437:K1437))</f>
        <v/>
      </c>
      <c r="M1437" s="25">
        <f>IF(COUNTIFS($C:$C,$C1437,$D:$D,"P0(전)",$L:$L,"&gt;0")&lt;&gt;1,"P0(전) 유효 1개 아님",IF(COUNTIFS($C:$C,$C1437,$D:$D,"P0(후)",$L:$L,"&gt;0")&lt;&gt;1,"P0(후) 유효 1개 아님",IF(NOT(AND(ISNUMBER(N1437),ISNUMBER(P1437),ISNUMBER(H1437))),"시각 결측",IF(P1437&lt;=N1437,"P0 시각 역전",IF(OR(H1437&lt;N1437,H1437&gt;P1437),"측정시각 구간 밖","OK")))))</f>
        <v/>
      </c>
      <c r="N1437" s="45">
        <f>IF(COUNTIFS($C:$C,$C1437,$D:$D,"P0(전)",$L:$L,"&gt;0")&lt;&gt;1,"",SUMIFS($H:$H,$C:$C,$C1437,$D:$D,"P0(전)"))</f>
        <v/>
      </c>
      <c r="O1437" s="30">
        <f>IF(COUNTIFS($C:$C,$C1437,$D:$D,"P0(전)",$L:$L,"&gt;0")&lt;&gt;1,"",SUMIFS($L:$L,$C:$C,$C1437,$D:$D,"P0(전)"))</f>
        <v/>
      </c>
      <c r="P1437" s="45">
        <f>IF(COUNTIFS($C:$C,$C1437,$D:$D,"P0(후)",$L:$L,"&gt;0")&lt;&gt;1,"",SUMIFS($H:$H,$C:$C,$C1437,$D:$D,"P0(후)"))</f>
        <v/>
      </c>
      <c r="Q1437" s="30">
        <f>IF(COUNTIFS($C:$C,$C1437,$D:$D,"P0(후)",$L:$L,"&gt;0")&lt;&gt;1,"",SUMIFS($L:$L,$C:$C,$C1437,$D:$D,"P0(후)"))</f>
        <v/>
      </c>
      <c r="R1437" s="30">
        <f>IF(M1437&lt;&gt;"OK","",O1437+(Q1437-O1437)*(H1437-N1437)/(P1437-N1437))</f>
        <v/>
      </c>
      <c r="S1437" s="30">
        <f>IF(OR(M1437&lt;&gt;"OK",NOT(ISNUMBER(L1437))),"",L1437-R1437)</f>
        <v/>
      </c>
      <c r="T1437" s="46">
        <f>IF(OR(NOT(ISNUMBER(S1437)),IF(ISNUMBER(G1437),G1437,F1437)=0),"",S1437/IF(ISNUMBER(G1437),G1437,F1437))</f>
        <v/>
      </c>
      <c r="U1437" s="46">
        <f>IF(ISNUMBER(T1437),ABS(T1437),"")</f>
        <v/>
      </c>
      <c r="V1437" s="46">
        <f>IF(OR($D1436&lt;&gt;"측정",$C1436&lt;&gt;$C1437,NOT(ISNUMBER(L1437)),NOT(ISNUMBER(L1436)),(IF(ISNUMBER(G1437),G1437,F1437)-IF(ISNUMBER(G1436),G1436,F1436))=0),"",(L1437-L1436)/(IF(ISNUMBER(G1437),G1437,F1437)-IF(ISNUMBER(G1436),G1436,F1436)))</f>
        <v/>
      </c>
      <c r="W1437" s="30">
        <f>IF(NOT(AND(ISNUMBER(N1437),ISNUMBER(P1437))),"",(P1437-N1437)*1440)</f>
        <v/>
      </c>
      <c r="X1437" s="28" t="n"/>
      <c r="Y1437" s="28" t="n"/>
      <c r="Z1437" s="28" t="n"/>
      <c r="AA1437" s="31" t="n"/>
      <c r="AB1437" s="31" t="n"/>
    </row>
    <row r="1438">
      <c r="A1438" s="25" t="inlineStr">
        <is>
          <t>S28</t>
        </is>
      </c>
      <c r="B1438" s="25" t="inlineStr">
        <is>
          <t>이원 신규점</t>
        </is>
      </c>
      <c r="C1438" s="25" t="inlineStr">
        <is>
          <t>S28-H남</t>
        </is>
      </c>
      <c r="D1438" s="25" t="inlineStr">
        <is>
          <t>측정</t>
        </is>
      </c>
      <c r="E1438" s="25" t="inlineStr">
        <is>
          <t>남</t>
        </is>
      </c>
      <c r="F1438" s="30" t="n">
        <v>2</v>
      </c>
      <c r="G1438" s="29" t="n"/>
      <c r="H1438" s="42" t="n"/>
      <c r="I1438" s="40" t="n"/>
      <c r="J1438" s="40" t="n"/>
      <c r="K1438" s="40" t="n"/>
      <c r="L1438" s="30">
        <f>IF(COUNT(I1438:K1438)=0,"",MEDIAN(I1438:K1438))</f>
        <v/>
      </c>
      <c r="M1438" s="25">
        <f>IF(COUNTIFS($C:$C,$C1438,$D:$D,"P0(전)",$L:$L,"&gt;0")&lt;&gt;1,"P0(전) 유효 1개 아님",IF(COUNTIFS($C:$C,$C1438,$D:$D,"P0(후)",$L:$L,"&gt;0")&lt;&gt;1,"P0(후) 유효 1개 아님",IF(NOT(AND(ISNUMBER(N1438),ISNUMBER(P1438),ISNUMBER(H1438))),"시각 결측",IF(P1438&lt;=N1438,"P0 시각 역전",IF(OR(H1438&lt;N1438,H1438&gt;P1438),"측정시각 구간 밖","OK")))))</f>
        <v/>
      </c>
      <c r="N1438" s="45">
        <f>IF(COUNTIFS($C:$C,$C1438,$D:$D,"P0(전)",$L:$L,"&gt;0")&lt;&gt;1,"",SUMIFS($H:$H,$C:$C,$C1438,$D:$D,"P0(전)"))</f>
        <v/>
      </c>
      <c r="O1438" s="30">
        <f>IF(COUNTIFS($C:$C,$C1438,$D:$D,"P0(전)",$L:$L,"&gt;0")&lt;&gt;1,"",SUMIFS($L:$L,$C:$C,$C1438,$D:$D,"P0(전)"))</f>
        <v/>
      </c>
      <c r="P1438" s="45">
        <f>IF(COUNTIFS($C:$C,$C1438,$D:$D,"P0(후)",$L:$L,"&gt;0")&lt;&gt;1,"",SUMIFS($H:$H,$C:$C,$C1438,$D:$D,"P0(후)"))</f>
        <v/>
      </c>
      <c r="Q1438" s="30">
        <f>IF(COUNTIFS($C:$C,$C1438,$D:$D,"P0(후)",$L:$L,"&gt;0")&lt;&gt;1,"",SUMIFS($L:$L,$C:$C,$C1438,$D:$D,"P0(후)"))</f>
        <v/>
      </c>
      <c r="R1438" s="30">
        <f>IF(M1438&lt;&gt;"OK","",O1438+(Q1438-O1438)*(H1438-N1438)/(P1438-N1438))</f>
        <v/>
      </c>
      <c r="S1438" s="30">
        <f>IF(OR(M1438&lt;&gt;"OK",NOT(ISNUMBER(L1438))),"",L1438-R1438)</f>
        <v/>
      </c>
      <c r="T1438" s="46">
        <f>IF(OR(NOT(ISNUMBER(S1438)),IF(ISNUMBER(G1438),G1438,F1438)=0),"",S1438/IF(ISNUMBER(G1438),G1438,F1438))</f>
        <v/>
      </c>
      <c r="U1438" s="46">
        <f>IF(ISNUMBER(T1438),ABS(T1438),"")</f>
        <v/>
      </c>
      <c r="V1438" s="46">
        <f>IF(OR($D1437&lt;&gt;"측정",$C1437&lt;&gt;$C1438,NOT(ISNUMBER(L1438)),NOT(ISNUMBER(L1437)),(IF(ISNUMBER(G1438),G1438,F1438)-IF(ISNUMBER(G1437),G1437,F1437))=0),"",(L1438-L1437)/(IF(ISNUMBER(G1438),G1438,F1438)-IF(ISNUMBER(G1437),G1437,F1437)))</f>
        <v/>
      </c>
      <c r="W1438" s="30">
        <f>IF(NOT(AND(ISNUMBER(N1438),ISNUMBER(P1438))),"",(P1438-N1438)*1440)</f>
        <v/>
      </c>
      <c r="X1438" s="28" t="n"/>
      <c r="Y1438" s="28" t="n"/>
      <c r="Z1438" s="28" t="n"/>
      <c r="AA1438" s="31" t="n"/>
      <c r="AB1438" s="31" t="n"/>
    </row>
    <row r="1439">
      <c r="A1439" s="25" t="inlineStr">
        <is>
          <t>S28</t>
        </is>
      </c>
      <c r="B1439" s="25" t="inlineStr">
        <is>
          <t>이원 신규점</t>
        </is>
      </c>
      <c r="C1439" s="25" t="inlineStr">
        <is>
          <t>S28-H남</t>
        </is>
      </c>
      <c r="D1439" s="25" t="inlineStr">
        <is>
          <t>측정</t>
        </is>
      </c>
      <c r="E1439" s="25" t="inlineStr">
        <is>
          <t>남</t>
        </is>
      </c>
      <c r="F1439" s="30" t="n">
        <v>3</v>
      </c>
      <c r="G1439" s="29" t="n"/>
      <c r="H1439" s="42" t="n"/>
      <c r="I1439" s="40" t="n"/>
      <c r="J1439" s="40" t="n"/>
      <c r="K1439" s="40" t="n"/>
      <c r="L1439" s="30">
        <f>IF(COUNT(I1439:K1439)=0,"",MEDIAN(I1439:K1439))</f>
        <v/>
      </c>
      <c r="M1439" s="25">
        <f>IF(COUNTIFS($C:$C,$C1439,$D:$D,"P0(전)",$L:$L,"&gt;0")&lt;&gt;1,"P0(전) 유효 1개 아님",IF(COUNTIFS($C:$C,$C1439,$D:$D,"P0(후)",$L:$L,"&gt;0")&lt;&gt;1,"P0(후) 유효 1개 아님",IF(NOT(AND(ISNUMBER(N1439),ISNUMBER(P1439),ISNUMBER(H1439))),"시각 결측",IF(P1439&lt;=N1439,"P0 시각 역전",IF(OR(H1439&lt;N1439,H1439&gt;P1439),"측정시각 구간 밖","OK")))))</f>
        <v/>
      </c>
      <c r="N1439" s="45">
        <f>IF(COUNTIFS($C:$C,$C1439,$D:$D,"P0(전)",$L:$L,"&gt;0")&lt;&gt;1,"",SUMIFS($H:$H,$C:$C,$C1439,$D:$D,"P0(전)"))</f>
        <v/>
      </c>
      <c r="O1439" s="30">
        <f>IF(COUNTIFS($C:$C,$C1439,$D:$D,"P0(전)",$L:$L,"&gt;0")&lt;&gt;1,"",SUMIFS($L:$L,$C:$C,$C1439,$D:$D,"P0(전)"))</f>
        <v/>
      </c>
      <c r="P1439" s="45">
        <f>IF(COUNTIFS($C:$C,$C1439,$D:$D,"P0(후)",$L:$L,"&gt;0")&lt;&gt;1,"",SUMIFS($H:$H,$C:$C,$C1439,$D:$D,"P0(후)"))</f>
        <v/>
      </c>
      <c r="Q1439" s="30">
        <f>IF(COUNTIFS($C:$C,$C1439,$D:$D,"P0(후)",$L:$L,"&gt;0")&lt;&gt;1,"",SUMIFS($L:$L,$C:$C,$C1439,$D:$D,"P0(후)"))</f>
        <v/>
      </c>
      <c r="R1439" s="30">
        <f>IF(M1439&lt;&gt;"OK","",O1439+(Q1439-O1439)*(H1439-N1439)/(P1439-N1439))</f>
        <v/>
      </c>
      <c r="S1439" s="30">
        <f>IF(OR(M1439&lt;&gt;"OK",NOT(ISNUMBER(L1439))),"",L1439-R1439)</f>
        <v/>
      </c>
      <c r="T1439" s="46">
        <f>IF(OR(NOT(ISNUMBER(S1439)),IF(ISNUMBER(G1439),G1439,F1439)=0),"",S1439/IF(ISNUMBER(G1439),G1439,F1439))</f>
        <v/>
      </c>
      <c r="U1439" s="46">
        <f>IF(ISNUMBER(T1439),ABS(T1439),"")</f>
        <v/>
      </c>
      <c r="V1439" s="46">
        <f>IF(OR($D1438&lt;&gt;"측정",$C1438&lt;&gt;$C1439,NOT(ISNUMBER(L1439)),NOT(ISNUMBER(L1438)),(IF(ISNUMBER(G1439),G1439,F1439)-IF(ISNUMBER(G1438),G1438,F1438))=0),"",(L1439-L1438)/(IF(ISNUMBER(G1439),G1439,F1439)-IF(ISNUMBER(G1438),G1438,F1438)))</f>
        <v/>
      </c>
      <c r="W1439" s="30">
        <f>IF(NOT(AND(ISNUMBER(N1439),ISNUMBER(P1439))),"",(P1439-N1439)*1440)</f>
        <v/>
      </c>
      <c r="X1439" s="28" t="n"/>
      <c r="Y1439" s="28" t="n"/>
      <c r="Z1439" s="28" t="n"/>
      <c r="AA1439" s="31" t="n"/>
      <c r="AB1439" s="31" t="n"/>
    </row>
    <row r="1440">
      <c r="A1440" s="25" t="inlineStr">
        <is>
          <t>S28</t>
        </is>
      </c>
      <c r="B1440" s="25" t="inlineStr">
        <is>
          <t>이원 신규점</t>
        </is>
      </c>
      <c r="C1440" s="25" t="inlineStr">
        <is>
          <t>S28-H남</t>
        </is>
      </c>
      <c r="D1440" s="25" t="inlineStr">
        <is>
          <t>측정</t>
        </is>
      </c>
      <c r="E1440" s="25" t="inlineStr">
        <is>
          <t>남</t>
        </is>
      </c>
      <c r="F1440" s="30" t="n">
        <v>4</v>
      </c>
      <c r="G1440" s="29" t="n"/>
      <c r="H1440" s="42" t="n"/>
      <c r="I1440" s="40" t="n"/>
      <c r="J1440" s="40" t="n"/>
      <c r="K1440" s="40" t="n"/>
      <c r="L1440" s="30">
        <f>IF(COUNT(I1440:K1440)=0,"",MEDIAN(I1440:K1440))</f>
        <v/>
      </c>
      <c r="M1440" s="25">
        <f>IF(COUNTIFS($C:$C,$C1440,$D:$D,"P0(전)",$L:$L,"&gt;0")&lt;&gt;1,"P0(전) 유효 1개 아님",IF(COUNTIFS($C:$C,$C1440,$D:$D,"P0(후)",$L:$L,"&gt;0")&lt;&gt;1,"P0(후) 유효 1개 아님",IF(NOT(AND(ISNUMBER(N1440),ISNUMBER(P1440),ISNUMBER(H1440))),"시각 결측",IF(P1440&lt;=N1440,"P0 시각 역전",IF(OR(H1440&lt;N1440,H1440&gt;P1440),"측정시각 구간 밖","OK")))))</f>
        <v/>
      </c>
      <c r="N1440" s="45">
        <f>IF(COUNTIFS($C:$C,$C1440,$D:$D,"P0(전)",$L:$L,"&gt;0")&lt;&gt;1,"",SUMIFS($H:$H,$C:$C,$C1440,$D:$D,"P0(전)"))</f>
        <v/>
      </c>
      <c r="O1440" s="30">
        <f>IF(COUNTIFS($C:$C,$C1440,$D:$D,"P0(전)",$L:$L,"&gt;0")&lt;&gt;1,"",SUMIFS($L:$L,$C:$C,$C1440,$D:$D,"P0(전)"))</f>
        <v/>
      </c>
      <c r="P1440" s="45">
        <f>IF(COUNTIFS($C:$C,$C1440,$D:$D,"P0(후)",$L:$L,"&gt;0")&lt;&gt;1,"",SUMIFS($H:$H,$C:$C,$C1440,$D:$D,"P0(후)"))</f>
        <v/>
      </c>
      <c r="Q1440" s="30">
        <f>IF(COUNTIFS($C:$C,$C1440,$D:$D,"P0(후)",$L:$L,"&gt;0")&lt;&gt;1,"",SUMIFS($L:$L,$C:$C,$C1440,$D:$D,"P0(후)"))</f>
        <v/>
      </c>
      <c r="R1440" s="30">
        <f>IF(M1440&lt;&gt;"OK","",O1440+(Q1440-O1440)*(H1440-N1440)/(P1440-N1440))</f>
        <v/>
      </c>
      <c r="S1440" s="30">
        <f>IF(OR(M1440&lt;&gt;"OK",NOT(ISNUMBER(L1440))),"",L1440-R1440)</f>
        <v/>
      </c>
      <c r="T1440" s="46">
        <f>IF(OR(NOT(ISNUMBER(S1440)),IF(ISNUMBER(G1440),G1440,F1440)=0),"",S1440/IF(ISNUMBER(G1440),G1440,F1440))</f>
        <v/>
      </c>
      <c r="U1440" s="46">
        <f>IF(ISNUMBER(T1440),ABS(T1440),"")</f>
        <v/>
      </c>
      <c r="V1440" s="46">
        <f>IF(OR($D1439&lt;&gt;"측정",$C1439&lt;&gt;$C1440,NOT(ISNUMBER(L1440)),NOT(ISNUMBER(L1439)),(IF(ISNUMBER(G1440),G1440,F1440)-IF(ISNUMBER(G1439),G1439,F1439))=0),"",(L1440-L1439)/(IF(ISNUMBER(G1440),G1440,F1440)-IF(ISNUMBER(G1439),G1439,F1439)))</f>
        <v/>
      </c>
      <c r="W1440" s="30">
        <f>IF(NOT(AND(ISNUMBER(N1440),ISNUMBER(P1440))),"",(P1440-N1440)*1440)</f>
        <v/>
      </c>
      <c r="X1440" s="28" t="n"/>
      <c r="Y1440" s="28" t="n"/>
      <c r="Z1440" s="28" t="n"/>
      <c r="AA1440" s="31" t="n"/>
      <c r="AB1440" s="31" t="n"/>
    </row>
    <row r="1441">
      <c r="A1441" s="25" t="inlineStr">
        <is>
          <t>S28</t>
        </is>
      </c>
      <c r="B1441" s="25" t="inlineStr">
        <is>
          <t>이원 신규점</t>
        </is>
      </c>
      <c r="C1441" s="25" t="inlineStr">
        <is>
          <t>S28-H남</t>
        </is>
      </c>
      <c r="D1441" s="25" t="inlineStr">
        <is>
          <t>측정</t>
        </is>
      </c>
      <c r="E1441" s="25" t="inlineStr">
        <is>
          <t>남</t>
        </is>
      </c>
      <c r="F1441" s="30" t="n">
        <v>5</v>
      </c>
      <c r="G1441" s="29" t="n"/>
      <c r="H1441" s="42" t="n"/>
      <c r="I1441" s="40" t="n"/>
      <c r="J1441" s="40" t="n"/>
      <c r="K1441" s="40" t="n"/>
      <c r="L1441" s="30">
        <f>IF(COUNT(I1441:K1441)=0,"",MEDIAN(I1441:K1441))</f>
        <v/>
      </c>
      <c r="M1441" s="25">
        <f>IF(COUNTIFS($C:$C,$C1441,$D:$D,"P0(전)",$L:$L,"&gt;0")&lt;&gt;1,"P0(전) 유효 1개 아님",IF(COUNTIFS($C:$C,$C1441,$D:$D,"P0(후)",$L:$L,"&gt;0")&lt;&gt;1,"P0(후) 유효 1개 아님",IF(NOT(AND(ISNUMBER(N1441),ISNUMBER(P1441),ISNUMBER(H1441))),"시각 결측",IF(P1441&lt;=N1441,"P0 시각 역전",IF(OR(H1441&lt;N1441,H1441&gt;P1441),"측정시각 구간 밖","OK")))))</f>
        <v/>
      </c>
      <c r="N1441" s="45">
        <f>IF(COUNTIFS($C:$C,$C1441,$D:$D,"P0(전)",$L:$L,"&gt;0")&lt;&gt;1,"",SUMIFS($H:$H,$C:$C,$C1441,$D:$D,"P0(전)"))</f>
        <v/>
      </c>
      <c r="O1441" s="30">
        <f>IF(COUNTIFS($C:$C,$C1441,$D:$D,"P0(전)",$L:$L,"&gt;0")&lt;&gt;1,"",SUMIFS($L:$L,$C:$C,$C1441,$D:$D,"P0(전)"))</f>
        <v/>
      </c>
      <c r="P1441" s="45">
        <f>IF(COUNTIFS($C:$C,$C1441,$D:$D,"P0(후)",$L:$L,"&gt;0")&lt;&gt;1,"",SUMIFS($H:$H,$C:$C,$C1441,$D:$D,"P0(후)"))</f>
        <v/>
      </c>
      <c r="Q1441" s="30">
        <f>IF(COUNTIFS($C:$C,$C1441,$D:$D,"P0(후)",$L:$L,"&gt;0")&lt;&gt;1,"",SUMIFS($L:$L,$C:$C,$C1441,$D:$D,"P0(후)"))</f>
        <v/>
      </c>
      <c r="R1441" s="30">
        <f>IF(M1441&lt;&gt;"OK","",O1441+(Q1441-O1441)*(H1441-N1441)/(P1441-N1441))</f>
        <v/>
      </c>
      <c r="S1441" s="30">
        <f>IF(OR(M1441&lt;&gt;"OK",NOT(ISNUMBER(L1441))),"",L1441-R1441)</f>
        <v/>
      </c>
      <c r="T1441" s="46">
        <f>IF(OR(NOT(ISNUMBER(S1441)),IF(ISNUMBER(G1441),G1441,F1441)=0),"",S1441/IF(ISNUMBER(G1441),G1441,F1441))</f>
        <v/>
      </c>
      <c r="U1441" s="46">
        <f>IF(ISNUMBER(T1441),ABS(T1441),"")</f>
        <v/>
      </c>
      <c r="V1441" s="46">
        <f>IF(OR($D1440&lt;&gt;"측정",$C1440&lt;&gt;$C1441,NOT(ISNUMBER(L1441)),NOT(ISNUMBER(L1440)),(IF(ISNUMBER(G1441),G1441,F1441)-IF(ISNUMBER(G1440),G1440,F1440))=0),"",(L1441-L1440)/(IF(ISNUMBER(G1441),G1441,F1441)-IF(ISNUMBER(G1440),G1440,F1440)))</f>
        <v/>
      </c>
      <c r="W1441" s="30">
        <f>IF(NOT(AND(ISNUMBER(N1441),ISNUMBER(P1441))),"",(P1441-N1441)*1440)</f>
        <v/>
      </c>
      <c r="X1441" s="28" t="n"/>
      <c r="Y1441" s="28" t="n"/>
      <c r="Z1441" s="28" t="n"/>
      <c r="AA1441" s="31" t="n"/>
      <c r="AB1441" s="31" t="n"/>
    </row>
    <row r="1442">
      <c r="A1442" s="25" t="inlineStr">
        <is>
          <t>S28</t>
        </is>
      </c>
      <c r="B1442" s="25" t="inlineStr">
        <is>
          <t>이원 신규점</t>
        </is>
      </c>
      <c r="C1442" s="25" t="inlineStr">
        <is>
          <t>S28-H남</t>
        </is>
      </c>
      <c r="D1442" s="25" t="inlineStr">
        <is>
          <t>측정</t>
        </is>
      </c>
      <c r="E1442" s="25" t="inlineStr">
        <is>
          <t>남</t>
        </is>
      </c>
      <c r="F1442" s="30" t="n">
        <v>6</v>
      </c>
      <c r="G1442" s="29" t="n"/>
      <c r="H1442" s="42" t="n"/>
      <c r="I1442" s="40" t="n"/>
      <c r="J1442" s="40" t="n"/>
      <c r="K1442" s="40" t="n"/>
      <c r="L1442" s="30">
        <f>IF(COUNT(I1442:K1442)=0,"",MEDIAN(I1442:K1442))</f>
        <v/>
      </c>
      <c r="M1442" s="25">
        <f>IF(COUNTIFS($C:$C,$C1442,$D:$D,"P0(전)",$L:$L,"&gt;0")&lt;&gt;1,"P0(전) 유효 1개 아님",IF(COUNTIFS($C:$C,$C1442,$D:$D,"P0(후)",$L:$L,"&gt;0")&lt;&gt;1,"P0(후) 유효 1개 아님",IF(NOT(AND(ISNUMBER(N1442),ISNUMBER(P1442),ISNUMBER(H1442))),"시각 결측",IF(P1442&lt;=N1442,"P0 시각 역전",IF(OR(H1442&lt;N1442,H1442&gt;P1442),"측정시각 구간 밖","OK")))))</f>
        <v/>
      </c>
      <c r="N1442" s="45">
        <f>IF(COUNTIFS($C:$C,$C1442,$D:$D,"P0(전)",$L:$L,"&gt;0")&lt;&gt;1,"",SUMIFS($H:$H,$C:$C,$C1442,$D:$D,"P0(전)"))</f>
        <v/>
      </c>
      <c r="O1442" s="30">
        <f>IF(COUNTIFS($C:$C,$C1442,$D:$D,"P0(전)",$L:$L,"&gt;0")&lt;&gt;1,"",SUMIFS($L:$L,$C:$C,$C1442,$D:$D,"P0(전)"))</f>
        <v/>
      </c>
      <c r="P1442" s="45">
        <f>IF(COUNTIFS($C:$C,$C1442,$D:$D,"P0(후)",$L:$L,"&gt;0")&lt;&gt;1,"",SUMIFS($H:$H,$C:$C,$C1442,$D:$D,"P0(후)"))</f>
        <v/>
      </c>
      <c r="Q1442" s="30">
        <f>IF(COUNTIFS($C:$C,$C1442,$D:$D,"P0(후)",$L:$L,"&gt;0")&lt;&gt;1,"",SUMIFS($L:$L,$C:$C,$C1442,$D:$D,"P0(후)"))</f>
        <v/>
      </c>
      <c r="R1442" s="30">
        <f>IF(M1442&lt;&gt;"OK","",O1442+(Q1442-O1442)*(H1442-N1442)/(P1442-N1442))</f>
        <v/>
      </c>
      <c r="S1442" s="30">
        <f>IF(OR(M1442&lt;&gt;"OK",NOT(ISNUMBER(L1442))),"",L1442-R1442)</f>
        <v/>
      </c>
      <c r="T1442" s="46">
        <f>IF(OR(NOT(ISNUMBER(S1442)),IF(ISNUMBER(G1442),G1442,F1442)=0),"",S1442/IF(ISNUMBER(G1442),G1442,F1442))</f>
        <v/>
      </c>
      <c r="U1442" s="46">
        <f>IF(ISNUMBER(T1442),ABS(T1442),"")</f>
        <v/>
      </c>
      <c r="V1442" s="46">
        <f>IF(OR($D1441&lt;&gt;"측정",$C1441&lt;&gt;$C1442,NOT(ISNUMBER(L1442)),NOT(ISNUMBER(L1441)),(IF(ISNUMBER(G1442),G1442,F1442)-IF(ISNUMBER(G1441),G1441,F1441))=0),"",(L1442-L1441)/(IF(ISNUMBER(G1442),G1442,F1442)-IF(ISNUMBER(G1441),G1441,F1441)))</f>
        <v/>
      </c>
      <c r="W1442" s="30">
        <f>IF(NOT(AND(ISNUMBER(N1442),ISNUMBER(P1442))),"",(P1442-N1442)*1440)</f>
        <v/>
      </c>
      <c r="X1442" s="28" t="n"/>
      <c r="Y1442" s="28" t="n"/>
      <c r="Z1442" s="28" t="n"/>
      <c r="AA1442" s="31" t="n"/>
      <c r="AB1442" s="31" t="n"/>
    </row>
    <row r="1443">
      <c r="A1443" s="25" t="inlineStr">
        <is>
          <t>S28</t>
        </is>
      </c>
      <c r="B1443" s="25" t="inlineStr">
        <is>
          <t>이원 신규점</t>
        </is>
      </c>
      <c r="C1443" s="25" t="inlineStr">
        <is>
          <t>S28-H남</t>
        </is>
      </c>
      <c r="D1443" s="25" t="inlineStr">
        <is>
          <t>측정</t>
        </is>
      </c>
      <c r="E1443" s="25" t="inlineStr">
        <is>
          <t>남</t>
        </is>
      </c>
      <c r="F1443" s="30" t="n">
        <v>7</v>
      </c>
      <c r="G1443" s="29" t="n"/>
      <c r="H1443" s="42" t="n"/>
      <c r="I1443" s="40" t="n"/>
      <c r="J1443" s="40" t="n"/>
      <c r="K1443" s="40" t="n"/>
      <c r="L1443" s="30">
        <f>IF(COUNT(I1443:K1443)=0,"",MEDIAN(I1443:K1443))</f>
        <v/>
      </c>
      <c r="M1443" s="25">
        <f>IF(COUNTIFS($C:$C,$C1443,$D:$D,"P0(전)",$L:$L,"&gt;0")&lt;&gt;1,"P0(전) 유효 1개 아님",IF(COUNTIFS($C:$C,$C1443,$D:$D,"P0(후)",$L:$L,"&gt;0")&lt;&gt;1,"P0(후) 유효 1개 아님",IF(NOT(AND(ISNUMBER(N1443),ISNUMBER(P1443),ISNUMBER(H1443))),"시각 결측",IF(P1443&lt;=N1443,"P0 시각 역전",IF(OR(H1443&lt;N1443,H1443&gt;P1443),"측정시각 구간 밖","OK")))))</f>
        <v/>
      </c>
      <c r="N1443" s="45">
        <f>IF(COUNTIFS($C:$C,$C1443,$D:$D,"P0(전)",$L:$L,"&gt;0")&lt;&gt;1,"",SUMIFS($H:$H,$C:$C,$C1443,$D:$D,"P0(전)"))</f>
        <v/>
      </c>
      <c r="O1443" s="30">
        <f>IF(COUNTIFS($C:$C,$C1443,$D:$D,"P0(전)",$L:$L,"&gt;0")&lt;&gt;1,"",SUMIFS($L:$L,$C:$C,$C1443,$D:$D,"P0(전)"))</f>
        <v/>
      </c>
      <c r="P1443" s="45">
        <f>IF(COUNTIFS($C:$C,$C1443,$D:$D,"P0(후)",$L:$L,"&gt;0")&lt;&gt;1,"",SUMIFS($H:$H,$C:$C,$C1443,$D:$D,"P0(후)"))</f>
        <v/>
      </c>
      <c r="Q1443" s="30">
        <f>IF(COUNTIFS($C:$C,$C1443,$D:$D,"P0(후)",$L:$L,"&gt;0")&lt;&gt;1,"",SUMIFS($L:$L,$C:$C,$C1443,$D:$D,"P0(후)"))</f>
        <v/>
      </c>
      <c r="R1443" s="30">
        <f>IF(M1443&lt;&gt;"OK","",O1443+(Q1443-O1443)*(H1443-N1443)/(P1443-N1443))</f>
        <v/>
      </c>
      <c r="S1443" s="30">
        <f>IF(OR(M1443&lt;&gt;"OK",NOT(ISNUMBER(L1443))),"",L1443-R1443)</f>
        <v/>
      </c>
      <c r="T1443" s="46">
        <f>IF(OR(NOT(ISNUMBER(S1443)),IF(ISNUMBER(G1443),G1443,F1443)=0),"",S1443/IF(ISNUMBER(G1443),G1443,F1443))</f>
        <v/>
      </c>
      <c r="U1443" s="46">
        <f>IF(ISNUMBER(T1443),ABS(T1443),"")</f>
        <v/>
      </c>
      <c r="V1443" s="46">
        <f>IF(OR($D1442&lt;&gt;"측정",$C1442&lt;&gt;$C1443,NOT(ISNUMBER(L1443)),NOT(ISNUMBER(L1442)),(IF(ISNUMBER(G1443),G1443,F1443)-IF(ISNUMBER(G1442),G1442,F1442))=0),"",(L1443-L1442)/(IF(ISNUMBER(G1443),G1443,F1443)-IF(ISNUMBER(G1442),G1442,F1442)))</f>
        <v/>
      </c>
      <c r="W1443" s="30">
        <f>IF(NOT(AND(ISNUMBER(N1443),ISNUMBER(P1443))),"",(P1443-N1443)*1440)</f>
        <v/>
      </c>
      <c r="X1443" s="28" t="n"/>
      <c r="Y1443" s="28" t="n"/>
      <c r="Z1443" s="28" t="n"/>
      <c r="AA1443" s="31" t="n"/>
      <c r="AB1443" s="31" t="n"/>
    </row>
    <row r="1444">
      <c r="A1444" s="25" t="inlineStr">
        <is>
          <t>S28</t>
        </is>
      </c>
      <c r="B1444" s="25" t="inlineStr">
        <is>
          <t>이원 신규점</t>
        </is>
      </c>
      <c r="C1444" s="25" t="inlineStr">
        <is>
          <t>S28-H남</t>
        </is>
      </c>
      <c r="D1444" s="25" t="inlineStr">
        <is>
          <t>측정</t>
        </is>
      </c>
      <c r="E1444" s="25" t="inlineStr">
        <is>
          <t>남</t>
        </is>
      </c>
      <c r="F1444" s="30" t="n">
        <v>8</v>
      </c>
      <c r="G1444" s="29" t="n"/>
      <c r="H1444" s="42" t="n"/>
      <c r="I1444" s="40" t="n"/>
      <c r="J1444" s="40" t="n"/>
      <c r="K1444" s="40" t="n"/>
      <c r="L1444" s="30">
        <f>IF(COUNT(I1444:K1444)=0,"",MEDIAN(I1444:K1444))</f>
        <v/>
      </c>
      <c r="M1444" s="25">
        <f>IF(COUNTIFS($C:$C,$C1444,$D:$D,"P0(전)",$L:$L,"&gt;0")&lt;&gt;1,"P0(전) 유효 1개 아님",IF(COUNTIFS($C:$C,$C1444,$D:$D,"P0(후)",$L:$L,"&gt;0")&lt;&gt;1,"P0(후) 유효 1개 아님",IF(NOT(AND(ISNUMBER(N1444),ISNUMBER(P1444),ISNUMBER(H1444))),"시각 결측",IF(P1444&lt;=N1444,"P0 시각 역전",IF(OR(H1444&lt;N1444,H1444&gt;P1444),"측정시각 구간 밖","OK")))))</f>
        <v/>
      </c>
      <c r="N1444" s="45">
        <f>IF(COUNTIFS($C:$C,$C1444,$D:$D,"P0(전)",$L:$L,"&gt;0")&lt;&gt;1,"",SUMIFS($H:$H,$C:$C,$C1444,$D:$D,"P0(전)"))</f>
        <v/>
      </c>
      <c r="O1444" s="30">
        <f>IF(COUNTIFS($C:$C,$C1444,$D:$D,"P0(전)",$L:$L,"&gt;0")&lt;&gt;1,"",SUMIFS($L:$L,$C:$C,$C1444,$D:$D,"P0(전)"))</f>
        <v/>
      </c>
      <c r="P1444" s="45">
        <f>IF(COUNTIFS($C:$C,$C1444,$D:$D,"P0(후)",$L:$L,"&gt;0")&lt;&gt;1,"",SUMIFS($H:$H,$C:$C,$C1444,$D:$D,"P0(후)"))</f>
        <v/>
      </c>
      <c r="Q1444" s="30">
        <f>IF(COUNTIFS($C:$C,$C1444,$D:$D,"P0(후)",$L:$L,"&gt;0")&lt;&gt;1,"",SUMIFS($L:$L,$C:$C,$C1444,$D:$D,"P0(후)"))</f>
        <v/>
      </c>
      <c r="R1444" s="30">
        <f>IF(M1444&lt;&gt;"OK","",O1444+(Q1444-O1444)*(H1444-N1444)/(P1444-N1444))</f>
        <v/>
      </c>
      <c r="S1444" s="30">
        <f>IF(OR(M1444&lt;&gt;"OK",NOT(ISNUMBER(L1444))),"",L1444-R1444)</f>
        <v/>
      </c>
      <c r="T1444" s="46">
        <f>IF(OR(NOT(ISNUMBER(S1444)),IF(ISNUMBER(G1444),G1444,F1444)=0),"",S1444/IF(ISNUMBER(G1444),G1444,F1444))</f>
        <v/>
      </c>
      <c r="U1444" s="46">
        <f>IF(ISNUMBER(T1444),ABS(T1444),"")</f>
        <v/>
      </c>
      <c r="V1444" s="46">
        <f>IF(OR($D1443&lt;&gt;"측정",$C1443&lt;&gt;$C1444,NOT(ISNUMBER(L1444)),NOT(ISNUMBER(L1443)),(IF(ISNUMBER(G1444),G1444,F1444)-IF(ISNUMBER(G1443),G1443,F1443))=0),"",(L1444-L1443)/(IF(ISNUMBER(G1444),G1444,F1444)-IF(ISNUMBER(G1443),G1443,F1443)))</f>
        <v/>
      </c>
      <c r="W1444" s="30">
        <f>IF(NOT(AND(ISNUMBER(N1444),ISNUMBER(P1444))),"",(P1444-N1444)*1440)</f>
        <v/>
      </c>
      <c r="X1444" s="28" t="n"/>
      <c r="Y1444" s="28" t="n"/>
      <c r="Z1444" s="28" t="n"/>
      <c r="AA1444" s="31" t="n"/>
      <c r="AB1444" s="31" t="n"/>
    </row>
    <row r="1445">
      <c r="A1445" s="25" t="inlineStr">
        <is>
          <t>S28</t>
        </is>
      </c>
      <c r="B1445" s="25" t="inlineStr">
        <is>
          <t>이원 신규점</t>
        </is>
      </c>
      <c r="C1445" s="25" t="inlineStr">
        <is>
          <t>S28-H남</t>
        </is>
      </c>
      <c r="D1445" s="25" t="inlineStr">
        <is>
          <t>측정</t>
        </is>
      </c>
      <c r="E1445" s="25" t="inlineStr">
        <is>
          <t>남</t>
        </is>
      </c>
      <c r="F1445" s="30" t="n">
        <v>9</v>
      </c>
      <c r="G1445" s="29" t="n"/>
      <c r="H1445" s="42" t="n"/>
      <c r="I1445" s="40" t="n"/>
      <c r="J1445" s="40" t="n"/>
      <c r="K1445" s="40" t="n"/>
      <c r="L1445" s="30">
        <f>IF(COUNT(I1445:K1445)=0,"",MEDIAN(I1445:K1445))</f>
        <v/>
      </c>
      <c r="M1445" s="25">
        <f>IF(COUNTIFS($C:$C,$C1445,$D:$D,"P0(전)",$L:$L,"&gt;0")&lt;&gt;1,"P0(전) 유효 1개 아님",IF(COUNTIFS($C:$C,$C1445,$D:$D,"P0(후)",$L:$L,"&gt;0")&lt;&gt;1,"P0(후) 유효 1개 아님",IF(NOT(AND(ISNUMBER(N1445),ISNUMBER(P1445),ISNUMBER(H1445))),"시각 결측",IF(P1445&lt;=N1445,"P0 시각 역전",IF(OR(H1445&lt;N1445,H1445&gt;P1445),"측정시각 구간 밖","OK")))))</f>
        <v/>
      </c>
      <c r="N1445" s="45">
        <f>IF(COUNTIFS($C:$C,$C1445,$D:$D,"P0(전)",$L:$L,"&gt;0")&lt;&gt;1,"",SUMIFS($H:$H,$C:$C,$C1445,$D:$D,"P0(전)"))</f>
        <v/>
      </c>
      <c r="O1445" s="30">
        <f>IF(COUNTIFS($C:$C,$C1445,$D:$D,"P0(전)",$L:$L,"&gt;0")&lt;&gt;1,"",SUMIFS($L:$L,$C:$C,$C1445,$D:$D,"P0(전)"))</f>
        <v/>
      </c>
      <c r="P1445" s="45">
        <f>IF(COUNTIFS($C:$C,$C1445,$D:$D,"P0(후)",$L:$L,"&gt;0")&lt;&gt;1,"",SUMIFS($H:$H,$C:$C,$C1445,$D:$D,"P0(후)"))</f>
        <v/>
      </c>
      <c r="Q1445" s="30">
        <f>IF(COUNTIFS($C:$C,$C1445,$D:$D,"P0(후)",$L:$L,"&gt;0")&lt;&gt;1,"",SUMIFS($L:$L,$C:$C,$C1445,$D:$D,"P0(후)"))</f>
        <v/>
      </c>
      <c r="R1445" s="30">
        <f>IF(M1445&lt;&gt;"OK","",O1445+(Q1445-O1445)*(H1445-N1445)/(P1445-N1445))</f>
        <v/>
      </c>
      <c r="S1445" s="30">
        <f>IF(OR(M1445&lt;&gt;"OK",NOT(ISNUMBER(L1445))),"",L1445-R1445)</f>
        <v/>
      </c>
      <c r="T1445" s="46">
        <f>IF(OR(NOT(ISNUMBER(S1445)),IF(ISNUMBER(G1445),G1445,F1445)=0),"",S1445/IF(ISNUMBER(G1445),G1445,F1445))</f>
        <v/>
      </c>
      <c r="U1445" s="46">
        <f>IF(ISNUMBER(T1445),ABS(T1445),"")</f>
        <v/>
      </c>
      <c r="V1445" s="46">
        <f>IF(OR($D1444&lt;&gt;"측정",$C1444&lt;&gt;$C1445,NOT(ISNUMBER(L1445)),NOT(ISNUMBER(L1444)),(IF(ISNUMBER(G1445),G1445,F1445)-IF(ISNUMBER(G1444),G1444,F1444))=0),"",(L1445-L1444)/(IF(ISNUMBER(G1445),G1445,F1445)-IF(ISNUMBER(G1444),G1444,F1444)))</f>
        <v/>
      </c>
      <c r="W1445" s="30">
        <f>IF(NOT(AND(ISNUMBER(N1445),ISNUMBER(P1445))),"",(P1445-N1445)*1440)</f>
        <v/>
      </c>
      <c r="X1445" s="28" t="n"/>
      <c r="Y1445" s="28" t="n"/>
      <c r="Z1445" s="28" t="n"/>
      <c r="AA1445" s="31" t="n"/>
      <c r="AB1445" s="31" t="n"/>
    </row>
    <row r="1446">
      <c r="A1446" s="25" t="inlineStr">
        <is>
          <t>S28</t>
        </is>
      </c>
      <c r="B1446" s="25" t="inlineStr">
        <is>
          <t>이원 신규점</t>
        </is>
      </c>
      <c r="C1446" s="25" t="inlineStr">
        <is>
          <t>S28-H남</t>
        </is>
      </c>
      <c r="D1446" s="25" t="inlineStr">
        <is>
          <t>측정</t>
        </is>
      </c>
      <c r="E1446" s="25" t="inlineStr">
        <is>
          <t>남</t>
        </is>
      </c>
      <c r="F1446" s="30" t="n">
        <v>10</v>
      </c>
      <c r="G1446" s="29" t="n"/>
      <c r="H1446" s="42" t="n"/>
      <c r="I1446" s="40" t="n"/>
      <c r="J1446" s="40" t="n"/>
      <c r="K1446" s="40" t="n"/>
      <c r="L1446" s="30">
        <f>IF(COUNT(I1446:K1446)=0,"",MEDIAN(I1446:K1446))</f>
        <v/>
      </c>
      <c r="M1446" s="25">
        <f>IF(COUNTIFS($C:$C,$C1446,$D:$D,"P0(전)",$L:$L,"&gt;0")&lt;&gt;1,"P0(전) 유효 1개 아님",IF(COUNTIFS($C:$C,$C1446,$D:$D,"P0(후)",$L:$L,"&gt;0")&lt;&gt;1,"P0(후) 유효 1개 아님",IF(NOT(AND(ISNUMBER(N1446),ISNUMBER(P1446),ISNUMBER(H1446))),"시각 결측",IF(P1446&lt;=N1446,"P0 시각 역전",IF(OR(H1446&lt;N1446,H1446&gt;P1446),"측정시각 구간 밖","OK")))))</f>
        <v/>
      </c>
      <c r="N1446" s="45">
        <f>IF(COUNTIFS($C:$C,$C1446,$D:$D,"P0(전)",$L:$L,"&gt;0")&lt;&gt;1,"",SUMIFS($H:$H,$C:$C,$C1446,$D:$D,"P0(전)"))</f>
        <v/>
      </c>
      <c r="O1446" s="30">
        <f>IF(COUNTIFS($C:$C,$C1446,$D:$D,"P0(전)",$L:$L,"&gt;0")&lt;&gt;1,"",SUMIFS($L:$L,$C:$C,$C1446,$D:$D,"P0(전)"))</f>
        <v/>
      </c>
      <c r="P1446" s="45">
        <f>IF(COUNTIFS($C:$C,$C1446,$D:$D,"P0(후)",$L:$L,"&gt;0")&lt;&gt;1,"",SUMIFS($H:$H,$C:$C,$C1446,$D:$D,"P0(후)"))</f>
        <v/>
      </c>
      <c r="Q1446" s="30">
        <f>IF(COUNTIFS($C:$C,$C1446,$D:$D,"P0(후)",$L:$L,"&gt;0")&lt;&gt;1,"",SUMIFS($L:$L,$C:$C,$C1446,$D:$D,"P0(후)"))</f>
        <v/>
      </c>
      <c r="R1446" s="30">
        <f>IF(M1446&lt;&gt;"OK","",O1446+(Q1446-O1446)*(H1446-N1446)/(P1446-N1446))</f>
        <v/>
      </c>
      <c r="S1446" s="30">
        <f>IF(OR(M1446&lt;&gt;"OK",NOT(ISNUMBER(L1446))),"",L1446-R1446)</f>
        <v/>
      </c>
      <c r="T1446" s="46">
        <f>IF(OR(NOT(ISNUMBER(S1446)),IF(ISNUMBER(G1446),G1446,F1446)=0),"",S1446/IF(ISNUMBER(G1446),G1446,F1446))</f>
        <v/>
      </c>
      <c r="U1446" s="46">
        <f>IF(ISNUMBER(T1446),ABS(T1446),"")</f>
        <v/>
      </c>
      <c r="V1446" s="46">
        <f>IF(OR($D1445&lt;&gt;"측정",$C1445&lt;&gt;$C1446,NOT(ISNUMBER(L1446)),NOT(ISNUMBER(L1445)),(IF(ISNUMBER(G1446),G1446,F1446)-IF(ISNUMBER(G1445),G1445,F1445))=0),"",(L1446-L1445)/(IF(ISNUMBER(G1446),G1446,F1446)-IF(ISNUMBER(G1445),G1445,F1445)))</f>
        <v/>
      </c>
      <c r="W1446" s="30">
        <f>IF(NOT(AND(ISNUMBER(N1446),ISNUMBER(P1446))),"",(P1446-N1446)*1440)</f>
        <v/>
      </c>
      <c r="X1446" s="28" t="n"/>
      <c r="Y1446" s="28" t="n"/>
      <c r="Z1446" s="28" t="n"/>
      <c r="AA1446" s="31" t="n"/>
      <c r="AB1446" s="31" t="n"/>
    </row>
    <row r="1447">
      <c r="A1447" s="43" t="inlineStr">
        <is>
          <t>S28</t>
        </is>
      </c>
      <c r="B1447" s="43" t="inlineStr">
        <is>
          <t>이원 신규점</t>
        </is>
      </c>
      <c r="C1447" s="43" t="inlineStr">
        <is>
          <t>S28-H남</t>
        </is>
      </c>
      <c r="D1447" s="43" t="inlineStr">
        <is>
          <t>P0(후)</t>
        </is>
      </c>
      <c r="E1447" s="43" t="inlineStr">
        <is>
          <t>남</t>
        </is>
      </c>
      <c r="F1447" s="44" t="n"/>
      <c r="G1447" s="29" t="n"/>
      <c r="H1447" s="42" t="n"/>
      <c r="I1447" s="40" t="n"/>
      <c r="J1447" s="40" t="n"/>
      <c r="K1447" s="40" t="n"/>
      <c r="L1447" s="30">
        <f>IF(COUNT(I1447:K1447)=0,"",MEDIAN(I1447:K1447))</f>
        <v/>
      </c>
      <c r="M1447" s="37" t="n"/>
      <c r="N1447" s="37" t="n"/>
      <c r="O1447" s="37" t="n"/>
      <c r="P1447" s="37" t="n"/>
      <c r="Q1447" s="37" t="n"/>
      <c r="R1447" s="37" t="n"/>
      <c r="S1447" s="37" t="n"/>
      <c r="T1447" s="37" t="n"/>
      <c r="U1447" s="37" t="n"/>
      <c r="V1447" s="37" t="n"/>
      <c r="W1447" s="37" t="n"/>
      <c r="X1447" s="28" t="n"/>
      <c r="Y1447" s="28" t="n"/>
      <c r="Z1447" s="28" t="n"/>
      <c r="AA1447" s="31" t="n"/>
      <c r="AB1447" s="31" t="n"/>
    </row>
    <row r="1448">
      <c r="A1448" s="43" t="inlineStr">
        <is>
          <t>S28</t>
        </is>
      </c>
      <c r="B1448" s="43" t="inlineStr">
        <is>
          <t>이원 신규점</t>
        </is>
      </c>
      <c r="C1448" s="43" t="inlineStr">
        <is>
          <t>S28-H북</t>
        </is>
      </c>
      <c r="D1448" s="43" t="inlineStr">
        <is>
          <t>P0(전)</t>
        </is>
      </c>
      <c r="E1448" s="43" t="inlineStr">
        <is>
          <t>북</t>
        </is>
      </c>
      <c r="F1448" s="44" t="n"/>
      <c r="G1448" s="29" t="n"/>
      <c r="H1448" s="42" t="n"/>
      <c r="I1448" s="40" t="n"/>
      <c r="J1448" s="40" t="n"/>
      <c r="K1448" s="40" t="n"/>
      <c r="L1448" s="30">
        <f>IF(COUNT(I1448:K1448)=0,"",MEDIAN(I1448:K1448))</f>
        <v/>
      </c>
      <c r="M1448" s="37" t="n"/>
      <c r="N1448" s="37" t="n"/>
      <c r="O1448" s="37" t="n"/>
      <c r="P1448" s="37" t="n"/>
      <c r="Q1448" s="37" t="n"/>
      <c r="R1448" s="37" t="n"/>
      <c r="S1448" s="37" t="n"/>
      <c r="T1448" s="37" t="n"/>
      <c r="U1448" s="37" t="n"/>
      <c r="V1448" s="37" t="n"/>
      <c r="W1448" s="37" t="n"/>
      <c r="X1448" s="28" t="n"/>
      <c r="Y1448" s="28" t="n"/>
      <c r="Z1448" s="28" t="n"/>
      <c r="AA1448" s="31" t="n"/>
      <c r="AB1448" s="31" t="n"/>
    </row>
    <row r="1449">
      <c r="A1449" s="25" t="inlineStr">
        <is>
          <t>S28</t>
        </is>
      </c>
      <c r="B1449" s="25" t="inlineStr">
        <is>
          <t>이원 신규점</t>
        </is>
      </c>
      <c r="C1449" s="25" t="inlineStr">
        <is>
          <t>S28-H북</t>
        </is>
      </c>
      <c r="D1449" s="25" t="inlineStr">
        <is>
          <t>측정</t>
        </is>
      </c>
      <c r="E1449" s="25" t="inlineStr">
        <is>
          <t>북</t>
        </is>
      </c>
      <c r="F1449" s="30" t="n">
        <v>0.5</v>
      </c>
      <c r="G1449" s="29" t="n"/>
      <c r="H1449" s="42" t="n"/>
      <c r="I1449" s="40" t="n"/>
      <c r="J1449" s="40" t="n"/>
      <c r="K1449" s="40" t="n"/>
      <c r="L1449" s="30">
        <f>IF(COUNT(I1449:K1449)=0,"",MEDIAN(I1449:K1449))</f>
        <v/>
      </c>
      <c r="M1449" s="25">
        <f>IF(COUNTIFS($C:$C,$C1449,$D:$D,"P0(전)",$L:$L,"&gt;0")&lt;&gt;1,"P0(전) 유효 1개 아님",IF(COUNTIFS($C:$C,$C1449,$D:$D,"P0(후)",$L:$L,"&gt;0")&lt;&gt;1,"P0(후) 유효 1개 아님",IF(NOT(AND(ISNUMBER(N1449),ISNUMBER(P1449),ISNUMBER(H1449))),"시각 결측",IF(P1449&lt;=N1449,"P0 시각 역전",IF(OR(H1449&lt;N1449,H1449&gt;P1449),"측정시각 구간 밖","OK")))))</f>
        <v/>
      </c>
      <c r="N1449" s="45">
        <f>IF(COUNTIFS($C:$C,$C1449,$D:$D,"P0(전)",$L:$L,"&gt;0")&lt;&gt;1,"",SUMIFS($H:$H,$C:$C,$C1449,$D:$D,"P0(전)"))</f>
        <v/>
      </c>
      <c r="O1449" s="30">
        <f>IF(COUNTIFS($C:$C,$C1449,$D:$D,"P0(전)",$L:$L,"&gt;0")&lt;&gt;1,"",SUMIFS($L:$L,$C:$C,$C1449,$D:$D,"P0(전)"))</f>
        <v/>
      </c>
      <c r="P1449" s="45">
        <f>IF(COUNTIFS($C:$C,$C1449,$D:$D,"P0(후)",$L:$L,"&gt;0")&lt;&gt;1,"",SUMIFS($H:$H,$C:$C,$C1449,$D:$D,"P0(후)"))</f>
        <v/>
      </c>
      <c r="Q1449" s="30">
        <f>IF(COUNTIFS($C:$C,$C1449,$D:$D,"P0(후)",$L:$L,"&gt;0")&lt;&gt;1,"",SUMIFS($L:$L,$C:$C,$C1449,$D:$D,"P0(후)"))</f>
        <v/>
      </c>
      <c r="R1449" s="30">
        <f>IF(M1449&lt;&gt;"OK","",O1449+(Q1449-O1449)*(H1449-N1449)/(P1449-N1449))</f>
        <v/>
      </c>
      <c r="S1449" s="30">
        <f>IF(OR(M1449&lt;&gt;"OK",NOT(ISNUMBER(L1449))),"",L1449-R1449)</f>
        <v/>
      </c>
      <c r="T1449" s="46">
        <f>IF(OR(NOT(ISNUMBER(S1449)),IF(ISNUMBER(G1449),G1449,F1449)=0),"",S1449/IF(ISNUMBER(G1449),G1449,F1449))</f>
        <v/>
      </c>
      <c r="U1449" s="46">
        <f>IF(ISNUMBER(T1449),ABS(T1449),"")</f>
        <v/>
      </c>
      <c r="V1449" s="46">
        <f>IF(OR($D1448&lt;&gt;"측정",$C1448&lt;&gt;$C1449,NOT(ISNUMBER(L1449)),NOT(ISNUMBER(L1448)),(IF(ISNUMBER(G1449),G1449,F1449)-IF(ISNUMBER(G1448),G1448,F1448))=0),"",(L1449-L1448)/(IF(ISNUMBER(G1449),G1449,F1449)-IF(ISNUMBER(G1448),G1448,F1448)))</f>
        <v/>
      </c>
      <c r="W1449" s="30">
        <f>IF(NOT(AND(ISNUMBER(N1449),ISNUMBER(P1449))),"",(P1449-N1449)*1440)</f>
        <v/>
      </c>
      <c r="X1449" s="28" t="n"/>
      <c r="Y1449" s="28" t="n"/>
      <c r="Z1449" s="28" t="n"/>
      <c r="AA1449" s="31" t="n"/>
      <c r="AB1449" s="31" t="n"/>
    </row>
    <row r="1450">
      <c r="A1450" s="25" t="inlineStr">
        <is>
          <t>S28</t>
        </is>
      </c>
      <c r="B1450" s="25" t="inlineStr">
        <is>
          <t>이원 신규점</t>
        </is>
      </c>
      <c r="C1450" s="25" t="inlineStr">
        <is>
          <t>S28-H북</t>
        </is>
      </c>
      <c r="D1450" s="25" t="inlineStr">
        <is>
          <t>측정</t>
        </is>
      </c>
      <c r="E1450" s="25" t="inlineStr">
        <is>
          <t>북</t>
        </is>
      </c>
      <c r="F1450" s="30" t="n">
        <v>1</v>
      </c>
      <c r="G1450" s="29" t="n"/>
      <c r="H1450" s="42" t="n"/>
      <c r="I1450" s="40" t="n"/>
      <c r="J1450" s="40" t="n"/>
      <c r="K1450" s="40" t="n"/>
      <c r="L1450" s="30">
        <f>IF(COUNT(I1450:K1450)=0,"",MEDIAN(I1450:K1450))</f>
        <v/>
      </c>
      <c r="M1450" s="25">
        <f>IF(COUNTIFS($C:$C,$C1450,$D:$D,"P0(전)",$L:$L,"&gt;0")&lt;&gt;1,"P0(전) 유효 1개 아님",IF(COUNTIFS($C:$C,$C1450,$D:$D,"P0(후)",$L:$L,"&gt;0")&lt;&gt;1,"P0(후) 유효 1개 아님",IF(NOT(AND(ISNUMBER(N1450),ISNUMBER(P1450),ISNUMBER(H1450))),"시각 결측",IF(P1450&lt;=N1450,"P0 시각 역전",IF(OR(H1450&lt;N1450,H1450&gt;P1450),"측정시각 구간 밖","OK")))))</f>
        <v/>
      </c>
      <c r="N1450" s="45">
        <f>IF(COUNTIFS($C:$C,$C1450,$D:$D,"P0(전)",$L:$L,"&gt;0")&lt;&gt;1,"",SUMIFS($H:$H,$C:$C,$C1450,$D:$D,"P0(전)"))</f>
        <v/>
      </c>
      <c r="O1450" s="30">
        <f>IF(COUNTIFS($C:$C,$C1450,$D:$D,"P0(전)",$L:$L,"&gt;0")&lt;&gt;1,"",SUMIFS($L:$L,$C:$C,$C1450,$D:$D,"P0(전)"))</f>
        <v/>
      </c>
      <c r="P1450" s="45">
        <f>IF(COUNTIFS($C:$C,$C1450,$D:$D,"P0(후)",$L:$L,"&gt;0")&lt;&gt;1,"",SUMIFS($H:$H,$C:$C,$C1450,$D:$D,"P0(후)"))</f>
        <v/>
      </c>
      <c r="Q1450" s="30">
        <f>IF(COUNTIFS($C:$C,$C1450,$D:$D,"P0(후)",$L:$L,"&gt;0")&lt;&gt;1,"",SUMIFS($L:$L,$C:$C,$C1450,$D:$D,"P0(후)"))</f>
        <v/>
      </c>
      <c r="R1450" s="30">
        <f>IF(M1450&lt;&gt;"OK","",O1450+(Q1450-O1450)*(H1450-N1450)/(P1450-N1450))</f>
        <v/>
      </c>
      <c r="S1450" s="30">
        <f>IF(OR(M1450&lt;&gt;"OK",NOT(ISNUMBER(L1450))),"",L1450-R1450)</f>
        <v/>
      </c>
      <c r="T1450" s="46">
        <f>IF(OR(NOT(ISNUMBER(S1450)),IF(ISNUMBER(G1450),G1450,F1450)=0),"",S1450/IF(ISNUMBER(G1450),G1450,F1450))</f>
        <v/>
      </c>
      <c r="U1450" s="46">
        <f>IF(ISNUMBER(T1450),ABS(T1450),"")</f>
        <v/>
      </c>
      <c r="V1450" s="46">
        <f>IF(OR($D1449&lt;&gt;"측정",$C1449&lt;&gt;$C1450,NOT(ISNUMBER(L1450)),NOT(ISNUMBER(L1449)),(IF(ISNUMBER(G1450),G1450,F1450)-IF(ISNUMBER(G1449),G1449,F1449))=0),"",(L1450-L1449)/(IF(ISNUMBER(G1450),G1450,F1450)-IF(ISNUMBER(G1449),G1449,F1449)))</f>
        <v/>
      </c>
      <c r="W1450" s="30">
        <f>IF(NOT(AND(ISNUMBER(N1450),ISNUMBER(P1450))),"",(P1450-N1450)*1440)</f>
        <v/>
      </c>
      <c r="X1450" s="28" t="n"/>
      <c r="Y1450" s="28" t="n"/>
      <c r="Z1450" s="28" t="n"/>
      <c r="AA1450" s="31" t="n"/>
      <c r="AB1450" s="31" t="n"/>
    </row>
    <row r="1451">
      <c r="A1451" s="25" t="inlineStr">
        <is>
          <t>S28</t>
        </is>
      </c>
      <c r="B1451" s="25" t="inlineStr">
        <is>
          <t>이원 신규점</t>
        </is>
      </c>
      <c r="C1451" s="25" t="inlineStr">
        <is>
          <t>S28-H북</t>
        </is>
      </c>
      <c r="D1451" s="25" t="inlineStr">
        <is>
          <t>측정</t>
        </is>
      </c>
      <c r="E1451" s="25" t="inlineStr">
        <is>
          <t>북</t>
        </is>
      </c>
      <c r="F1451" s="30" t="n">
        <v>2</v>
      </c>
      <c r="G1451" s="29" t="n"/>
      <c r="H1451" s="42" t="n"/>
      <c r="I1451" s="40" t="n"/>
      <c r="J1451" s="40" t="n"/>
      <c r="K1451" s="40" t="n"/>
      <c r="L1451" s="30">
        <f>IF(COUNT(I1451:K1451)=0,"",MEDIAN(I1451:K1451))</f>
        <v/>
      </c>
      <c r="M1451" s="25">
        <f>IF(COUNTIFS($C:$C,$C1451,$D:$D,"P0(전)",$L:$L,"&gt;0")&lt;&gt;1,"P0(전) 유효 1개 아님",IF(COUNTIFS($C:$C,$C1451,$D:$D,"P0(후)",$L:$L,"&gt;0")&lt;&gt;1,"P0(후) 유효 1개 아님",IF(NOT(AND(ISNUMBER(N1451),ISNUMBER(P1451),ISNUMBER(H1451))),"시각 결측",IF(P1451&lt;=N1451,"P0 시각 역전",IF(OR(H1451&lt;N1451,H1451&gt;P1451),"측정시각 구간 밖","OK")))))</f>
        <v/>
      </c>
      <c r="N1451" s="45">
        <f>IF(COUNTIFS($C:$C,$C1451,$D:$D,"P0(전)",$L:$L,"&gt;0")&lt;&gt;1,"",SUMIFS($H:$H,$C:$C,$C1451,$D:$D,"P0(전)"))</f>
        <v/>
      </c>
      <c r="O1451" s="30">
        <f>IF(COUNTIFS($C:$C,$C1451,$D:$D,"P0(전)",$L:$L,"&gt;0")&lt;&gt;1,"",SUMIFS($L:$L,$C:$C,$C1451,$D:$D,"P0(전)"))</f>
        <v/>
      </c>
      <c r="P1451" s="45">
        <f>IF(COUNTIFS($C:$C,$C1451,$D:$D,"P0(후)",$L:$L,"&gt;0")&lt;&gt;1,"",SUMIFS($H:$H,$C:$C,$C1451,$D:$D,"P0(후)"))</f>
        <v/>
      </c>
      <c r="Q1451" s="30">
        <f>IF(COUNTIFS($C:$C,$C1451,$D:$D,"P0(후)",$L:$L,"&gt;0")&lt;&gt;1,"",SUMIFS($L:$L,$C:$C,$C1451,$D:$D,"P0(후)"))</f>
        <v/>
      </c>
      <c r="R1451" s="30">
        <f>IF(M1451&lt;&gt;"OK","",O1451+(Q1451-O1451)*(H1451-N1451)/(P1451-N1451))</f>
        <v/>
      </c>
      <c r="S1451" s="30">
        <f>IF(OR(M1451&lt;&gt;"OK",NOT(ISNUMBER(L1451))),"",L1451-R1451)</f>
        <v/>
      </c>
      <c r="T1451" s="46">
        <f>IF(OR(NOT(ISNUMBER(S1451)),IF(ISNUMBER(G1451),G1451,F1451)=0),"",S1451/IF(ISNUMBER(G1451),G1451,F1451))</f>
        <v/>
      </c>
      <c r="U1451" s="46">
        <f>IF(ISNUMBER(T1451),ABS(T1451),"")</f>
        <v/>
      </c>
      <c r="V1451" s="46">
        <f>IF(OR($D1450&lt;&gt;"측정",$C1450&lt;&gt;$C1451,NOT(ISNUMBER(L1451)),NOT(ISNUMBER(L1450)),(IF(ISNUMBER(G1451),G1451,F1451)-IF(ISNUMBER(G1450),G1450,F1450))=0),"",(L1451-L1450)/(IF(ISNUMBER(G1451),G1451,F1451)-IF(ISNUMBER(G1450),G1450,F1450)))</f>
        <v/>
      </c>
      <c r="W1451" s="30">
        <f>IF(NOT(AND(ISNUMBER(N1451),ISNUMBER(P1451))),"",(P1451-N1451)*1440)</f>
        <v/>
      </c>
      <c r="X1451" s="28" t="n"/>
      <c r="Y1451" s="28" t="n"/>
      <c r="Z1451" s="28" t="n"/>
      <c r="AA1451" s="31" t="n"/>
      <c r="AB1451" s="31" t="n"/>
    </row>
    <row r="1452">
      <c r="A1452" s="25" t="inlineStr">
        <is>
          <t>S28</t>
        </is>
      </c>
      <c r="B1452" s="25" t="inlineStr">
        <is>
          <t>이원 신규점</t>
        </is>
      </c>
      <c r="C1452" s="25" t="inlineStr">
        <is>
          <t>S28-H북</t>
        </is>
      </c>
      <c r="D1452" s="25" t="inlineStr">
        <is>
          <t>측정</t>
        </is>
      </c>
      <c r="E1452" s="25" t="inlineStr">
        <is>
          <t>북</t>
        </is>
      </c>
      <c r="F1452" s="30" t="n">
        <v>3</v>
      </c>
      <c r="G1452" s="29" t="n"/>
      <c r="H1452" s="42" t="n"/>
      <c r="I1452" s="40" t="n"/>
      <c r="J1452" s="40" t="n"/>
      <c r="K1452" s="40" t="n"/>
      <c r="L1452" s="30">
        <f>IF(COUNT(I1452:K1452)=0,"",MEDIAN(I1452:K1452))</f>
        <v/>
      </c>
      <c r="M1452" s="25">
        <f>IF(COUNTIFS($C:$C,$C1452,$D:$D,"P0(전)",$L:$L,"&gt;0")&lt;&gt;1,"P0(전) 유효 1개 아님",IF(COUNTIFS($C:$C,$C1452,$D:$D,"P0(후)",$L:$L,"&gt;0")&lt;&gt;1,"P0(후) 유효 1개 아님",IF(NOT(AND(ISNUMBER(N1452),ISNUMBER(P1452),ISNUMBER(H1452))),"시각 결측",IF(P1452&lt;=N1452,"P0 시각 역전",IF(OR(H1452&lt;N1452,H1452&gt;P1452),"측정시각 구간 밖","OK")))))</f>
        <v/>
      </c>
      <c r="N1452" s="45">
        <f>IF(COUNTIFS($C:$C,$C1452,$D:$D,"P0(전)",$L:$L,"&gt;0")&lt;&gt;1,"",SUMIFS($H:$H,$C:$C,$C1452,$D:$D,"P0(전)"))</f>
        <v/>
      </c>
      <c r="O1452" s="30">
        <f>IF(COUNTIFS($C:$C,$C1452,$D:$D,"P0(전)",$L:$L,"&gt;0")&lt;&gt;1,"",SUMIFS($L:$L,$C:$C,$C1452,$D:$D,"P0(전)"))</f>
        <v/>
      </c>
      <c r="P1452" s="45">
        <f>IF(COUNTIFS($C:$C,$C1452,$D:$D,"P0(후)",$L:$L,"&gt;0")&lt;&gt;1,"",SUMIFS($H:$H,$C:$C,$C1452,$D:$D,"P0(후)"))</f>
        <v/>
      </c>
      <c r="Q1452" s="30">
        <f>IF(COUNTIFS($C:$C,$C1452,$D:$D,"P0(후)",$L:$L,"&gt;0")&lt;&gt;1,"",SUMIFS($L:$L,$C:$C,$C1452,$D:$D,"P0(후)"))</f>
        <v/>
      </c>
      <c r="R1452" s="30">
        <f>IF(M1452&lt;&gt;"OK","",O1452+(Q1452-O1452)*(H1452-N1452)/(P1452-N1452))</f>
        <v/>
      </c>
      <c r="S1452" s="30">
        <f>IF(OR(M1452&lt;&gt;"OK",NOT(ISNUMBER(L1452))),"",L1452-R1452)</f>
        <v/>
      </c>
      <c r="T1452" s="46">
        <f>IF(OR(NOT(ISNUMBER(S1452)),IF(ISNUMBER(G1452),G1452,F1452)=0),"",S1452/IF(ISNUMBER(G1452),G1452,F1452))</f>
        <v/>
      </c>
      <c r="U1452" s="46">
        <f>IF(ISNUMBER(T1452),ABS(T1452),"")</f>
        <v/>
      </c>
      <c r="V1452" s="46">
        <f>IF(OR($D1451&lt;&gt;"측정",$C1451&lt;&gt;$C1452,NOT(ISNUMBER(L1452)),NOT(ISNUMBER(L1451)),(IF(ISNUMBER(G1452),G1452,F1452)-IF(ISNUMBER(G1451),G1451,F1451))=0),"",(L1452-L1451)/(IF(ISNUMBER(G1452),G1452,F1452)-IF(ISNUMBER(G1451),G1451,F1451)))</f>
        <v/>
      </c>
      <c r="W1452" s="30">
        <f>IF(NOT(AND(ISNUMBER(N1452),ISNUMBER(P1452))),"",(P1452-N1452)*1440)</f>
        <v/>
      </c>
      <c r="X1452" s="28" t="n"/>
      <c r="Y1452" s="28" t="n"/>
      <c r="Z1452" s="28" t="n"/>
      <c r="AA1452" s="31" t="n"/>
      <c r="AB1452" s="31" t="n"/>
    </row>
    <row r="1453">
      <c r="A1453" s="25" t="inlineStr">
        <is>
          <t>S28</t>
        </is>
      </c>
      <c r="B1453" s="25" t="inlineStr">
        <is>
          <t>이원 신규점</t>
        </is>
      </c>
      <c r="C1453" s="25" t="inlineStr">
        <is>
          <t>S28-H북</t>
        </is>
      </c>
      <c r="D1453" s="25" t="inlineStr">
        <is>
          <t>측정</t>
        </is>
      </c>
      <c r="E1453" s="25" t="inlineStr">
        <is>
          <t>북</t>
        </is>
      </c>
      <c r="F1453" s="30" t="n">
        <v>4</v>
      </c>
      <c r="G1453" s="29" t="n"/>
      <c r="H1453" s="42" t="n"/>
      <c r="I1453" s="40" t="n"/>
      <c r="J1453" s="40" t="n"/>
      <c r="K1453" s="40" t="n"/>
      <c r="L1453" s="30">
        <f>IF(COUNT(I1453:K1453)=0,"",MEDIAN(I1453:K1453))</f>
        <v/>
      </c>
      <c r="M1453" s="25">
        <f>IF(COUNTIFS($C:$C,$C1453,$D:$D,"P0(전)",$L:$L,"&gt;0")&lt;&gt;1,"P0(전) 유효 1개 아님",IF(COUNTIFS($C:$C,$C1453,$D:$D,"P0(후)",$L:$L,"&gt;0")&lt;&gt;1,"P0(후) 유효 1개 아님",IF(NOT(AND(ISNUMBER(N1453),ISNUMBER(P1453),ISNUMBER(H1453))),"시각 결측",IF(P1453&lt;=N1453,"P0 시각 역전",IF(OR(H1453&lt;N1453,H1453&gt;P1453),"측정시각 구간 밖","OK")))))</f>
        <v/>
      </c>
      <c r="N1453" s="45">
        <f>IF(COUNTIFS($C:$C,$C1453,$D:$D,"P0(전)",$L:$L,"&gt;0")&lt;&gt;1,"",SUMIFS($H:$H,$C:$C,$C1453,$D:$D,"P0(전)"))</f>
        <v/>
      </c>
      <c r="O1453" s="30">
        <f>IF(COUNTIFS($C:$C,$C1453,$D:$D,"P0(전)",$L:$L,"&gt;0")&lt;&gt;1,"",SUMIFS($L:$L,$C:$C,$C1453,$D:$D,"P0(전)"))</f>
        <v/>
      </c>
      <c r="P1453" s="45">
        <f>IF(COUNTIFS($C:$C,$C1453,$D:$D,"P0(후)",$L:$L,"&gt;0")&lt;&gt;1,"",SUMIFS($H:$H,$C:$C,$C1453,$D:$D,"P0(후)"))</f>
        <v/>
      </c>
      <c r="Q1453" s="30">
        <f>IF(COUNTIFS($C:$C,$C1453,$D:$D,"P0(후)",$L:$L,"&gt;0")&lt;&gt;1,"",SUMIFS($L:$L,$C:$C,$C1453,$D:$D,"P0(후)"))</f>
        <v/>
      </c>
      <c r="R1453" s="30">
        <f>IF(M1453&lt;&gt;"OK","",O1453+(Q1453-O1453)*(H1453-N1453)/(P1453-N1453))</f>
        <v/>
      </c>
      <c r="S1453" s="30">
        <f>IF(OR(M1453&lt;&gt;"OK",NOT(ISNUMBER(L1453))),"",L1453-R1453)</f>
        <v/>
      </c>
      <c r="T1453" s="46">
        <f>IF(OR(NOT(ISNUMBER(S1453)),IF(ISNUMBER(G1453),G1453,F1453)=0),"",S1453/IF(ISNUMBER(G1453),G1453,F1453))</f>
        <v/>
      </c>
      <c r="U1453" s="46">
        <f>IF(ISNUMBER(T1453),ABS(T1453),"")</f>
        <v/>
      </c>
      <c r="V1453" s="46">
        <f>IF(OR($D1452&lt;&gt;"측정",$C1452&lt;&gt;$C1453,NOT(ISNUMBER(L1453)),NOT(ISNUMBER(L1452)),(IF(ISNUMBER(G1453),G1453,F1453)-IF(ISNUMBER(G1452),G1452,F1452))=0),"",(L1453-L1452)/(IF(ISNUMBER(G1453),G1453,F1453)-IF(ISNUMBER(G1452),G1452,F1452)))</f>
        <v/>
      </c>
      <c r="W1453" s="30">
        <f>IF(NOT(AND(ISNUMBER(N1453),ISNUMBER(P1453))),"",(P1453-N1453)*1440)</f>
        <v/>
      </c>
      <c r="X1453" s="28" t="n"/>
      <c r="Y1453" s="28" t="n"/>
      <c r="Z1453" s="28" t="n"/>
      <c r="AA1453" s="31" t="n"/>
      <c r="AB1453" s="31" t="n"/>
    </row>
    <row r="1454">
      <c r="A1454" s="25" t="inlineStr">
        <is>
          <t>S28</t>
        </is>
      </c>
      <c r="B1454" s="25" t="inlineStr">
        <is>
          <t>이원 신규점</t>
        </is>
      </c>
      <c r="C1454" s="25" t="inlineStr">
        <is>
          <t>S28-H북</t>
        </is>
      </c>
      <c r="D1454" s="25" t="inlineStr">
        <is>
          <t>측정</t>
        </is>
      </c>
      <c r="E1454" s="25" t="inlineStr">
        <is>
          <t>북</t>
        </is>
      </c>
      <c r="F1454" s="30" t="n">
        <v>5</v>
      </c>
      <c r="G1454" s="29" t="n"/>
      <c r="H1454" s="42" t="n"/>
      <c r="I1454" s="40" t="n"/>
      <c r="J1454" s="40" t="n"/>
      <c r="K1454" s="40" t="n"/>
      <c r="L1454" s="30">
        <f>IF(COUNT(I1454:K1454)=0,"",MEDIAN(I1454:K1454))</f>
        <v/>
      </c>
      <c r="M1454" s="25">
        <f>IF(COUNTIFS($C:$C,$C1454,$D:$D,"P0(전)",$L:$L,"&gt;0")&lt;&gt;1,"P0(전) 유효 1개 아님",IF(COUNTIFS($C:$C,$C1454,$D:$D,"P0(후)",$L:$L,"&gt;0")&lt;&gt;1,"P0(후) 유효 1개 아님",IF(NOT(AND(ISNUMBER(N1454),ISNUMBER(P1454),ISNUMBER(H1454))),"시각 결측",IF(P1454&lt;=N1454,"P0 시각 역전",IF(OR(H1454&lt;N1454,H1454&gt;P1454),"측정시각 구간 밖","OK")))))</f>
        <v/>
      </c>
      <c r="N1454" s="45">
        <f>IF(COUNTIFS($C:$C,$C1454,$D:$D,"P0(전)",$L:$L,"&gt;0")&lt;&gt;1,"",SUMIFS($H:$H,$C:$C,$C1454,$D:$D,"P0(전)"))</f>
        <v/>
      </c>
      <c r="O1454" s="30">
        <f>IF(COUNTIFS($C:$C,$C1454,$D:$D,"P0(전)",$L:$L,"&gt;0")&lt;&gt;1,"",SUMIFS($L:$L,$C:$C,$C1454,$D:$D,"P0(전)"))</f>
        <v/>
      </c>
      <c r="P1454" s="45">
        <f>IF(COUNTIFS($C:$C,$C1454,$D:$D,"P0(후)",$L:$L,"&gt;0")&lt;&gt;1,"",SUMIFS($H:$H,$C:$C,$C1454,$D:$D,"P0(후)"))</f>
        <v/>
      </c>
      <c r="Q1454" s="30">
        <f>IF(COUNTIFS($C:$C,$C1454,$D:$D,"P0(후)",$L:$L,"&gt;0")&lt;&gt;1,"",SUMIFS($L:$L,$C:$C,$C1454,$D:$D,"P0(후)"))</f>
        <v/>
      </c>
      <c r="R1454" s="30">
        <f>IF(M1454&lt;&gt;"OK","",O1454+(Q1454-O1454)*(H1454-N1454)/(P1454-N1454))</f>
        <v/>
      </c>
      <c r="S1454" s="30">
        <f>IF(OR(M1454&lt;&gt;"OK",NOT(ISNUMBER(L1454))),"",L1454-R1454)</f>
        <v/>
      </c>
      <c r="T1454" s="46">
        <f>IF(OR(NOT(ISNUMBER(S1454)),IF(ISNUMBER(G1454),G1454,F1454)=0),"",S1454/IF(ISNUMBER(G1454),G1454,F1454))</f>
        <v/>
      </c>
      <c r="U1454" s="46">
        <f>IF(ISNUMBER(T1454),ABS(T1454),"")</f>
        <v/>
      </c>
      <c r="V1454" s="46">
        <f>IF(OR($D1453&lt;&gt;"측정",$C1453&lt;&gt;$C1454,NOT(ISNUMBER(L1454)),NOT(ISNUMBER(L1453)),(IF(ISNUMBER(G1454),G1454,F1454)-IF(ISNUMBER(G1453),G1453,F1453))=0),"",(L1454-L1453)/(IF(ISNUMBER(G1454),G1454,F1454)-IF(ISNUMBER(G1453),G1453,F1453)))</f>
        <v/>
      </c>
      <c r="W1454" s="30">
        <f>IF(NOT(AND(ISNUMBER(N1454),ISNUMBER(P1454))),"",(P1454-N1454)*1440)</f>
        <v/>
      </c>
      <c r="X1454" s="28" t="n"/>
      <c r="Y1454" s="28" t="n"/>
      <c r="Z1454" s="28" t="n"/>
      <c r="AA1454" s="31" t="n"/>
      <c r="AB1454" s="31" t="n"/>
    </row>
    <row r="1455">
      <c r="A1455" s="25" t="inlineStr">
        <is>
          <t>S28</t>
        </is>
      </c>
      <c r="B1455" s="25" t="inlineStr">
        <is>
          <t>이원 신규점</t>
        </is>
      </c>
      <c r="C1455" s="25" t="inlineStr">
        <is>
          <t>S28-H북</t>
        </is>
      </c>
      <c r="D1455" s="25" t="inlineStr">
        <is>
          <t>측정</t>
        </is>
      </c>
      <c r="E1455" s="25" t="inlineStr">
        <is>
          <t>북</t>
        </is>
      </c>
      <c r="F1455" s="30" t="n">
        <v>6</v>
      </c>
      <c r="G1455" s="29" t="n"/>
      <c r="H1455" s="42" t="n"/>
      <c r="I1455" s="40" t="n"/>
      <c r="J1455" s="40" t="n"/>
      <c r="K1455" s="40" t="n"/>
      <c r="L1455" s="30">
        <f>IF(COUNT(I1455:K1455)=0,"",MEDIAN(I1455:K1455))</f>
        <v/>
      </c>
      <c r="M1455" s="25">
        <f>IF(COUNTIFS($C:$C,$C1455,$D:$D,"P0(전)",$L:$L,"&gt;0")&lt;&gt;1,"P0(전) 유효 1개 아님",IF(COUNTIFS($C:$C,$C1455,$D:$D,"P0(후)",$L:$L,"&gt;0")&lt;&gt;1,"P0(후) 유효 1개 아님",IF(NOT(AND(ISNUMBER(N1455),ISNUMBER(P1455),ISNUMBER(H1455))),"시각 결측",IF(P1455&lt;=N1455,"P0 시각 역전",IF(OR(H1455&lt;N1455,H1455&gt;P1455),"측정시각 구간 밖","OK")))))</f>
        <v/>
      </c>
      <c r="N1455" s="45">
        <f>IF(COUNTIFS($C:$C,$C1455,$D:$D,"P0(전)",$L:$L,"&gt;0")&lt;&gt;1,"",SUMIFS($H:$H,$C:$C,$C1455,$D:$D,"P0(전)"))</f>
        <v/>
      </c>
      <c r="O1455" s="30">
        <f>IF(COUNTIFS($C:$C,$C1455,$D:$D,"P0(전)",$L:$L,"&gt;0")&lt;&gt;1,"",SUMIFS($L:$L,$C:$C,$C1455,$D:$D,"P0(전)"))</f>
        <v/>
      </c>
      <c r="P1455" s="45">
        <f>IF(COUNTIFS($C:$C,$C1455,$D:$D,"P0(후)",$L:$L,"&gt;0")&lt;&gt;1,"",SUMIFS($H:$H,$C:$C,$C1455,$D:$D,"P0(후)"))</f>
        <v/>
      </c>
      <c r="Q1455" s="30">
        <f>IF(COUNTIFS($C:$C,$C1455,$D:$D,"P0(후)",$L:$L,"&gt;0")&lt;&gt;1,"",SUMIFS($L:$L,$C:$C,$C1455,$D:$D,"P0(후)"))</f>
        <v/>
      </c>
      <c r="R1455" s="30">
        <f>IF(M1455&lt;&gt;"OK","",O1455+(Q1455-O1455)*(H1455-N1455)/(P1455-N1455))</f>
        <v/>
      </c>
      <c r="S1455" s="30">
        <f>IF(OR(M1455&lt;&gt;"OK",NOT(ISNUMBER(L1455))),"",L1455-R1455)</f>
        <v/>
      </c>
      <c r="T1455" s="46">
        <f>IF(OR(NOT(ISNUMBER(S1455)),IF(ISNUMBER(G1455),G1455,F1455)=0),"",S1455/IF(ISNUMBER(G1455),G1455,F1455))</f>
        <v/>
      </c>
      <c r="U1455" s="46">
        <f>IF(ISNUMBER(T1455),ABS(T1455),"")</f>
        <v/>
      </c>
      <c r="V1455" s="46">
        <f>IF(OR($D1454&lt;&gt;"측정",$C1454&lt;&gt;$C1455,NOT(ISNUMBER(L1455)),NOT(ISNUMBER(L1454)),(IF(ISNUMBER(G1455),G1455,F1455)-IF(ISNUMBER(G1454),G1454,F1454))=0),"",(L1455-L1454)/(IF(ISNUMBER(G1455),G1455,F1455)-IF(ISNUMBER(G1454),G1454,F1454)))</f>
        <v/>
      </c>
      <c r="W1455" s="30">
        <f>IF(NOT(AND(ISNUMBER(N1455),ISNUMBER(P1455))),"",(P1455-N1455)*1440)</f>
        <v/>
      </c>
      <c r="X1455" s="28" t="n"/>
      <c r="Y1455" s="28" t="n"/>
      <c r="Z1455" s="28" t="n"/>
      <c r="AA1455" s="31" t="n"/>
      <c r="AB1455" s="31" t="n"/>
    </row>
    <row r="1456">
      <c r="A1456" s="25" t="inlineStr">
        <is>
          <t>S28</t>
        </is>
      </c>
      <c r="B1456" s="25" t="inlineStr">
        <is>
          <t>이원 신규점</t>
        </is>
      </c>
      <c r="C1456" s="25" t="inlineStr">
        <is>
          <t>S28-H북</t>
        </is>
      </c>
      <c r="D1456" s="25" t="inlineStr">
        <is>
          <t>측정</t>
        </is>
      </c>
      <c r="E1456" s="25" t="inlineStr">
        <is>
          <t>북</t>
        </is>
      </c>
      <c r="F1456" s="30" t="n">
        <v>7</v>
      </c>
      <c r="G1456" s="29" t="n"/>
      <c r="H1456" s="42" t="n"/>
      <c r="I1456" s="40" t="n"/>
      <c r="J1456" s="40" t="n"/>
      <c r="K1456" s="40" t="n"/>
      <c r="L1456" s="30">
        <f>IF(COUNT(I1456:K1456)=0,"",MEDIAN(I1456:K1456))</f>
        <v/>
      </c>
      <c r="M1456" s="25">
        <f>IF(COUNTIFS($C:$C,$C1456,$D:$D,"P0(전)",$L:$L,"&gt;0")&lt;&gt;1,"P0(전) 유효 1개 아님",IF(COUNTIFS($C:$C,$C1456,$D:$D,"P0(후)",$L:$L,"&gt;0")&lt;&gt;1,"P0(후) 유효 1개 아님",IF(NOT(AND(ISNUMBER(N1456),ISNUMBER(P1456),ISNUMBER(H1456))),"시각 결측",IF(P1456&lt;=N1456,"P0 시각 역전",IF(OR(H1456&lt;N1456,H1456&gt;P1456),"측정시각 구간 밖","OK")))))</f>
        <v/>
      </c>
      <c r="N1456" s="45">
        <f>IF(COUNTIFS($C:$C,$C1456,$D:$D,"P0(전)",$L:$L,"&gt;0")&lt;&gt;1,"",SUMIFS($H:$H,$C:$C,$C1456,$D:$D,"P0(전)"))</f>
        <v/>
      </c>
      <c r="O1456" s="30">
        <f>IF(COUNTIFS($C:$C,$C1456,$D:$D,"P0(전)",$L:$L,"&gt;0")&lt;&gt;1,"",SUMIFS($L:$L,$C:$C,$C1456,$D:$D,"P0(전)"))</f>
        <v/>
      </c>
      <c r="P1456" s="45">
        <f>IF(COUNTIFS($C:$C,$C1456,$D:$D,"P0(후)",$L:$L,"&gt;0")&lt;&gt;1,"",SUMIFS($H:$H,$C:$C,$C1456,$D:$D,"P0(후)"))</f>
        <v/>
      </c>
      <c r="Q1456" s="30">
        <f>IF(COUNTIFS($C:$C,$C1456,$D:$D,"P0(후)",$L:$L,"&gt;0")&lt;&gt;1,"",SUMIFS($L:$L,$C:$C,$C1456,$D:$D,"P0(후)"))</f>
        <v/>
      </c>
      <c r="R1456" s="30">
        <f>IF(M1456&lt;&gt;"OK","",O1456+(Q1456-O1456)*(H1456-N1456)/(P1456-N1456))</f>
        <v/>
      </c>
      <c r="S1456" s="30">
        <f>IF(OR(M1456&lt;&gt;"OK",NOT(ISNUMBER(L1456))),"",L1456-R1456)</f>
        <v/>
      </c>
      <c r="T1456" s="46">
        <f>IF(OR(NOT(ISNUMBER(S1456)),IF(ISNUMBER(G1456),G1456,F1456)=0),"",S1456/IF(ISNUMBER(G1456),G1456,F1456))</f>
        <v/>
      </c>
      <c r="U1456" s="46">
        <f>IF(ISNUMBER(T1456),ABS(T1456),"")</f>
        <v/>
      </c>
      <c r="V1456" s="46">
        <f>IF(OR($D1455&lt;&gt;"측정",$C1455&lt;&gt;$C1456,NOT(ISNUMBER(L1456)),NOT(ISNUMBER(L1455)),(IF(ISNUMBER(G1456),G1456,F1456)-IF(ISNUMBER(G1455),G1455,F1455))=0),"",(L1456-L1455)/(IF(ISNUMBER(G1456),G1456,F1456)-IF(ISNUMBER(G1455),G1455,F1455)))</f>
        <v/>
      </c>
      <c r="W1456" s="30">
        <f>IF(NOT(AND(ISNUMBER(N1456),ISNUMBER(P1456))),"",(P1456-N1456)*1440)</f>
        <v/>
      </c>
      <c r="X1456" s="28" t="n"/>
      <c r="Y1456" s="28" t="n"/>
      <c r="Z1456" s="28" t="n"/>
      <c r="AA1456" s="31" t="n"/>
      <c r="AB1456" s="31" t="n"/>
    </row>
    <row r="1457">
      <c r="A1457" s="25" t="inlineStr">
        <is>
          <t>S28</t>
        </is>
      </c>
      <c r="B1457" s="25" t="inlineStr">
        <is>
          <t>이원 신규점</t>
        </is>
      </c>
      <c r="C1457" s="25" t="inlineStr">
        <is>
          <t>S28-H북</t>
        </is>
      </c>
      <c r="D1457" s="25" t="inlineStr">
        <is>
          <t>측정</t>
        </is>
      </c>
      <c r="E1457" s="25" t="inlineStr">
        <is>
          <t>북</t>
        </is>
      </c>
      <c r="F1457" s="30" t="n">
        <v>8</v>
      </c>
      <c r="G1457" s="29" t="n"/>
      <c r="H1457" s="42" t="n"/>
      <c r="I1457" s="40" t="n"/>
      <c r="J1457" s="40" t="n"/>
      <c r="K1457" s="40" t="n"/>
      <c r="L1457" s="30">
        <f>IF(COUNT(I1457:K1457)=0,"",MEDIAN(I1457:K1457))</f>
        <v/>
      </c>
      <c r="M1457" s="25">
        <f>IF(COUNTIFS($C:$C,$C1457,$D:$D,"P0(전)",$L:$L,"&gt;0")&lt;&gt;1,"P0(전) 유효 1개 아님",IF(COUNTIFS($C:$C,$C1457,$D:$D,"P0(후)",$L:$L,"&gt;0")&lt;&gt;1,"P0(후) 유효 1개 아님",IF(NOT(AND(ISNUMBER(N1457),ISNUMBER(P1457),ISNUMBER(H1457))),"시각 결측",IF(P1457&lt;=N1457,"P0 시각 역전",IF(OR(H1457&lt;N1457,H1457&gt;P1457),"측정시각 구간 밖","OK")))))</f>
        <v/>
      </c>
      <c r="N1457" s="45">
        <f>IF(COUNTIFS($C:$C,$C1457,$D:$D,"P0(전)",$L:$L,"&gt;0")&lt;&gt;1,"",SUMIFS($H:$H,$C:$C,$C1457,$D:$D,"P0(전)"))</f>
        <v/>
      </c>
      <c r="O1457" s="30">
        <f>IF(COUNTIFS($C:$C,$C1457,$D:$D,"P0(전)",$L:$L,"&gt;0")&lt;&gt;1,"",SUMIFS($L:$L,$C:$C,$C1457,$D:$D,"P0(전)"))</f>
        <v/>
      </c>
      <c r="P1457" s="45">
        <f>IF(COUNTIFS($C:$C,$C1457,$D:$D,"P0(후)",$L:$L,"&gt;0")&lt;&gt;1,"",SUMIFS($H:$H,$C:$C,$C1457,$D:$D,"P0(후)"))</f>
        <v/>
      </c>
      <c r="Q1457" s="30">
        <f>IF(COUNTIFS($C:$C,$C1457,$D:$D,"P0(후)",$L:$L,"&gt;0")&lt;&gt;1,"",SUMIFS($L:$L,$C:$C,$C1457,$D:$D,"P0(후)"))</f>
        <v/>
      </c>
      <c r="R1457" s="30">
        <f>IF(M1457&lt;&gt;"OK","",O1457+(Q1457-O1457)*(H1457-N1457)/(P1457-N1457))</f>
        <v/>
      </c>
      <c r="S1457" s="30">
        <f>IF(OR(M1457&lt;&gt;"OK",NOT(ISNUMBER(L1457))),"",L1457-R1457)</f>
        <v/>
      </c>
      <c r="T1457" s="46">
        <f>IF(OR(NOT(ISNUMBER(S1457)),IF(ISNUMBER(G1457),G1457,F1457)=0),"",S1457/IF(ISNUMBER(G1457),G1457,F1457))</f>
        <v/>
      </c>
      <c r="U1457" s="46">
        <f>IF(ISNUMBER(T1457),ABS(T1457),"")</f>
        <v/>
      </c>
      <c r="V1457" s="46">
        <f>IF(OR($D1456&lt;&gt;"측정",$C1456&lt;&gt;$C1457,NOT(ISNUMBER(L1457)),NOT(ISNUMBER(L1456)),(IF(ISNUMBER(G1457),G1457,F1457)-IF(ISNUMBER(G1456),G1456,F1456))=0),"",(L1457-L1456)/(IF(ISNUMBER(G1457),G1457,F1457)-IF(ISNUMBER(G1456),G1456,F1456)))</f>
        <v/>
      </c>
      <c r="W1457" s="30">
        <f>IF(NOT(AND(ISNUMBER(N1457),ISNUMBER(P1457))),"",(P1457-N1457)*1440)</f>
        <v/>
      </c>
      <c r="X1457" s="28" t="n"/>
      <c r="Y1457" s="28" t="n"/>
      <c r="Z1457" s="28" t="n"/>
      <c r="AA1457" s="31" t="n"/>
      <c r="AB1457" s="31" t="n"/>
    </row>
    <row r="1458">
      <c r="A1458" s="25" t="inlineStr">
        <is>
          <t>S28</t>
        </is>
      </c>
      <c r="B1458" s="25" t="inlineStr">
        <is>
          <t>이원 신규점</t>
        </is>
      </c>
      <c r="C1458" s="25" t="inlineStr">
        <is>
          <t>S28-H북</t>
        </is>
      </c>
      <c r="D1458" s="25" t="inlineStr">
        <is>
          <t>측정</t>
        </is>
      </c>
      <c r="E1458" s="25" t="inlineStr">
        <is>
          <t>북</t>
        </is>
      </c>
      <c r="F1458" s="30" t="n">
        <v>9</v>
      </c>
      <c r="G1458" s="29" t="n"/>
      <c r="H1458" s="42" t="n"/>
      <c r="I1458" s="40" t="n"/>
      <c r="J1458" s="40" t="n"/>
      <c r="K1458" s="40" t="n"/>
      <c r="L1458" s="30">
        <f>IF(COUNT(I1458:K1458)=0,"",MEDIAN(I1458:K1458))</f>
        <v/>
      </c>
      <c r="M1458" s="25">
        <f>IF(COUNTIFS($C:$C,$C1458,$D:$D,"P0(전)",$L:$L,"&gt;0")&lt;&gt;1,"P0(전) 유효 1개 아님",IF(COUNTIFS($C:$C,$C1458,$D:$D,"P0(후)",$L:$L,"&gt;0")&lt;&gt;1,"P0(후) 유효 1개 아님",IF(NOT(AND(ISNUMBER(N1458),ISNUMBER(P1458),ISNUMBER(H1458))),"시각 결측",IF(P1458&lt;=N1458,"P0 시각 역전",IF(OR(H1458&lt;N1458,H1458&gt;P1458),"측정시각 구간 밖","OK")))))</f>
        <v/>
      </c>
      <c r="N1458" s="45">
        <f>IF(COUNTIFS($C:$C,$C1458,$D:$D,"P0(전)",$L:$L,"&gt;0")&lt;&gt;1,"",SUMIFS($H:$H,$C:$C,$C1458,$D:$D,"P0(전)"))</f>
        <v/>
      </c>
      <c r="O1458" s="30">
        <f>IF(COUNTIFS($C:$C,$C1458,$D:$D,"P0(전)",$L:$L,"&gt;0")&lt;&gt;1,"",SUMIFS($L:$L,$C:$C,$C1458,$D:$D,"P0(전)"))</f>
        <v/>
      </c>
      <c r="P1458" s="45">
        <f>IF(COUNTIFS($C:$C,$C1458,$D:$D,"P0(후)",$L:$L,"&gt;0")&lt;&gt;1,"",SUMIFS($H:$H,$C:$C,$C1458,$D:$D,"P0(후)"))</f>
        <v/>
      </c>
      <c r="Q1458" s="30">
        <f>IF(COUNTIFS($C:$C,$C1458,$D:$D,"P0(후)",$L:$L,"&gt;0")&lt;&gt;1,"",SUMIFS($L:$L,$C:$C,$C1458,$D:$D,"P0(후)"))</f>
        <v/>
      </c>
      <c r="R1458" s="30">
        <f>IF(M1458&lt;&gt;"OK","",O1458+(Q1458-O1458)*(H1458-N1458)/(P1458-N1458))</f>
        <v/>
      </c>
      <c r="S1458" s="30">
        <f>IF(OR(M1458&lt;&gt;"OK",NOT(ISNUMBER(L1458))),"",L1458-R1458)</f>
        <v/>
      </c>
      <c r="T1458" s="46">
        <f>IF(OR(NOT(ISNUMBER(S1458)),IF(ISNUMBER(G1458),G1458,F1458)=0),"",S1458/IF(ISNUMBER(G1458),G1458,F1458))</f>
        <v/>
      </c>
      <c r="U1458" s="46">
        <f>IF(ISNUMBER(T1458),ABS(T1458),"")</f>
        <v/>
      </c>
      <c r="V1458" s="46">
        <f>IF(OR($D1457&lt;&gt;"측정",$C1457&lt;&gt;$C1458,NOT(ISNUMBER(L1458)),NOT(ISNUMBER(L1457)),(IF(ISNUMBER(G1458),G1458,F1458)-IF(ISNUMBER(G1457),G1457,F1457))=0),"",(L1458-L1457)/(IF(ISNUMBER(G1458),G1458,F1458)-IF(ISNUMBER(G1457),G1457,F1457)))</f>
        <v/>
      </c>
      <c r="W1458" s="30">
        <f>IF(NOT(AND(ISNUMBER(N1458),ISNUMBER(P1458))),"",(P1458-N1458)*1440)</f>
        <v/>
      </c>
      <c r="X1458" s="28" t="n"/>
      <c r="Y1458" s="28" t="n"/>
      <c r="Z1458" s="28" t="n"/>
      <c r="AA1458" s="31" t="n"/>
      <c r="AB1458" s="31" t="n"/>
    </row>
    <row r="1459">
      <c r="A1459" s="25" t="inlineStr">
        <is>
          <t>S28</t>
        </is>
      </c>
      <c r="B1459" s="25" t="inlineStr">
        <is>
          <t>이원 신규점</t>
        </is>
      </c>
      <c r="C1459" s="25" t="inlineStr">
        <is>
          <t>S28-H북</t>
        </is>
      </c>
      <c r="D1459" s="25" t="inlineStr">
        <is>
          <t>측정</t>
        </is>
      </c>
      <c r="E1459" s="25" t="inlineStr">
        <is>
          <t>북</t>
        </is>
      </c>
      <c r="F1459" s="30" t="n">
        <v>10</v>
      </c>
      <c r="G1459" s="29" t="n"/>
      <c r="H1459" s="42" t="n"/>
      <c r="I1459" s="40" t="n"/>
      <c r="J1459" s="40" t="n"/>
      <c r="K1459" s="40" t="n"/>
      <c r="L1459" s="30">
        <f>IF(COUNT(I1459:K1459)=0,"",MEDIAN(I1459:K1459))</f>
        <v/>
      </c>
      <c r="M1459" s="25">
        <f>IF(COUNTIFS($C:$C,$C1459,$D:$D,"P0(전)",$L:$L,"&gt;0")&lt;&gt;1,"P0(전) 유효 1개 아님",IF(COUNTIFS($C:$C,$C1459,$D:$D,"P0(후)",$L:$L,"&gt;0")&lt;&gt;1,"P0(후) 유효 1개 아님",IF(NOT(AND(ISNUMBER(N1459),ISNUMBER(P1459),ISNUMBER(H1459))),"시각 결측",IF(P1459&lt;=N1459,"P0 시각 역전",IF(OR(H1459&lt;N1459,H1459&gt;P1459),"측정시각 구간 밖","OK")))))</f>
        <v/>
      </c>
      <c r="N1459" s="45">
        <f>IF(COUNTIFS($C:$C,$C1459,$D:$D,"P0(전)",$L:$L,"&gt;0")&lt;&gt;1,"",SUMIFS($H:$H,$C:$C,$C1459,$D:$D,"P0(전)"))</f>
        <v/>
      </c>
      <c r="O1459" s="30">
        <f>IF(COUNTIFS($C:$C,$C1459,$D:$D,"P0(전)",$L:$L,"&gt;0")&lt;&gt;1,"",SUMIFS($L:$L,$C:$C,$C1459,$D:$D,"P0(전)"))</f>
        <v/>
      </c>
      <c r="P1459" s="45">
        <f>IF(COUNTIFS($C:$C,$C1459,$D:$D,"P0(후)",$L:$L,"&gt;0")&lt;&gt;1,"",SUMIFS($H:$H,$C:$C,$C1459,$D:$D,"P0(후)"))</f>
        <v/>
      </c>
      <c r="Q1459" s="30">
        <f>IF(COUNTIFS($C:$C,$C1459,$D:$D,"P0(후)",$L:$L,"&gt;0")&lt;&gt;1,"",SUMIFS($L:$L,$C:$C,$C1459,$D:$D,"P0(후)"))</f>
        <v/>
      </c>
      <c r="R1459" s="30">
        <f>IF(M1459&lt;&gt;"OK","",O1459+(Q1459-O1459)*(H1459-N1459)/(P1459-N1459))</f>
        <v/>
      </c>
      <c r="S1459" s="30">
        <f>IF(OR(M1459&lt;&gt;"OK",NOT(ISNUMBER(L1459))),"",L1459-R1459)</f>
        <v/>
      </c>
      <c r="T1459" s="46">
        <f>IF(OR(NOT(ISNUMBER(S1459)),IF(ISNUMBER(G1459),G1459,F1459)=0),"",S1459/IF(ISNUMBER(G1459),G1459,F1459))</f>
        <v/>
      </c>
      <c r="U1459" s="46">
        <f>IF(ISNUMBER(T1459),ABS(T1459),"")</f>
        <v/>
      </c>
      <c r="V1459" s="46">
        <f>IF(OR($D1458&lt;&gt;"측정",$C1458&lt;&gt;$C1459,NOT(ISNUMBER(L1459)),NOT(ISNUMBER(L1458)),(IF(ISNUMBER(G1459),G1459,F1459)-IF(ISNUMBER(G1458),G1458,F1458))=0),"",(L1459-L1458)/(IF(ISNUMBER(G1459),G1459,F1459)-IF(ISNUMBER(G1458),G1458,F1458)))</f>
        <v/>
      </c>
      <c r="W1459" s="30">
        <f>IF(NOT(AND(ISNUMBER(N1459),ISNUMBER(P1459))),"",(P1459-N1459)*1440)</f>
        <v/>
      </c>
      <c r="X1459" s="28" t="n"/>
      <c r="Y1459" s="28" t="n"/>
      <c r="Z1459" s="28" t="n"/>
      <c r="AA1459" s="31" t="n"/>
      <c r="AB1459" s="31" t="n"/>
    </row>
    <row r="1460">
      <c r="A1460" s="43" t="inlineStr">
        <is>
          <t>S28</t>
        </is>
      </c>
      <c r="B1460" s="43" t="inlineStr">
        <is>
          <t>이원 신규점</t>
        </is>
      </c>
      <c r="C1460" s="43" t="inlineStr">
        <is>
          <t>S28-H북</t>
        </is>
      </c>
      <c r="D1460" s="43" t="inlineStr">
        <is>
          <t>P0(후)</t>
        </is>
      </c>
      <c r="E1460" s="43" t="inlineStr">
        <is>
          <t>북</t>
        </is>
      </c>
      <c r="F1460" s="44" t="n"/>
      <c r="G1460" s="29" t="n"/>
      <c r="H1460" s="42" t="n"/>
      <c r="I1460" s="40" t="n"/>
      <c r="J1460" s="40" t="n"/>
      <c r="K1460" s="40" t="n"/>
      <c r="L1460" s="30">
        <f>IF(COUNT(I1460:K1460)=0,"",MEDIAN(I1460:K1460))</f>
        <v/>
      </c>
      <c r="M1460" s="37" t="n"/>
      <c r="N1460" s="37" t="n"/>
      <c r="O1460" s="37" t="n"/>
      <c r="P1460" s="37" t="n"/>
      <c r="Q1460" s="37" t="n"/>
      <c r="R1460" s="37" t="n"/>
      <c r="S1460" s="37" t="n"/>
      <c r="T1460" s="37" t="n"/>
      <c r="U1460" s="37" t="n"/>
      <c r="V1460" s="37" t="n"/>
      <c r="W1460" s="37" t="n"/>
      <c r="X1460" s="28" t="n"/>
      <c r="Y1460" s="28" t="n"/>
      <c r="Z1460" s="28" t="n"/>
      <c r="AA1460" s="31" t="n"/>
      <c r="AB1460" s="31" t="n"/>
    </row>
    <row r="1461">
      <c r="A1461" s="43" t="inlineStr">
        <is>
          <t>S29</t>
        </is>
      </c>
      <c r="B1461" s="43" t="inlineStr">
        <is>
          <t>가야 신규점1</t>
        </is>
      </c>
      <c r="C1461" s="43" t="inlineStr">
        <is>
          <t>S29-H동</t>
        </is>
      </c>
      <c r="D1461" s="43" t="inlineStr">
        <is>
          <t>P0(전)</t>
        </is>
      </c>
      <c r="E1461" s="43" t="inlineStr">
        <is>
          <t>동</t>
        </is>
      </c>
      <c r="F1461" s="44" t="n"/>
      <c r="G1461" s="29" t="n"/>
      <c r="H1461" s="42" t="n"/>
      <c r="I1461" s="40" t="n"/>
      <c r="J1461" s="40" t="n"/>
      <c r="K1461" s="40" t="n"/>
      <c r="L1461" s="30">
        <f>IF(COUNT(I1461:K1461)=0,"",MEDIAN(I1461:K1461))</f>
        <v/>
      </c>
      <c r="M1461" s="37" t="n"/>
      <c r="N1461" s="37" t="n"/>
      <c r="O1461" s="37" t="n"/>
      <c r="P1461" s="37" t="n"/>
      <c r="Q1461" s="37" t="n"/>
      <c r="R1461" s="37" t="n"/>
      <c r="S1461" s="37" t="n"/>
      <c r="T1461" s="37" t="n"/>
      <c r="U1461" s="37" t="n"/>
      <c r="V1461" s="37" t="n"/>
      <c r="W1461" s="37" t="n"/>
      <c r="X1461" s="28" t="n"/>
      <c r="Y1461" s="28" t="n"/>
      <c r="Z1461" s="28" t="n"/>
      <c r="AA1461" s="31" t="n"/>
      <c r="AB1461" s="31" t="n"/>
    </row>
    <row r="1462">
      <c r="A1462" s="25" t="inlineStr">
        <is>
          <t>S29</t>
        </is>
      </c>
      <c r="B1462" s="25" t="inlineStr">
        <is>
          <t>가야 신규점1</t>
        </is>
      </c>
      <c r="C1462" s="25" t="inlineStr">
        <is>
          <t>S29-H동</t>
        </is>
      </c>
      <c r="D1462" s="25" t="inlineStr">
        <is>
          <t>측정</t>
        </is>
      </c>
      <c r="E1462" s="25" t="inlineStr">
        <is>
          <t>동</t>
        </is>
      </c>
      <c r="F1462" s="30" t="n">
        <v>0.5</v>
      </c>
      <c r="G1462" s="29" t="n"/>
      <c r="H1462" s="42" t="n"/>
      <c r="I1462" s="40" t="n"/>
      <c r="J1462" s="40" t="n"/>
      <c r="K1462" s="40" t="n"/>
      <c r="L1462" s="30">
        <f>IF(COUNT(I1462:K1462)=0,"",MEDIAN(I1462:K1462))</f>
        <v/>
      </c>
      <c r="M1462" s="25">
        <f>IF(COUNTIFS($C:$C,$C1462,$D:$D,"P0(전)",$L:$L,"&gt;0")&lt;&gt;1,"P0(전) 유효 1개 아님",IF(COUNTIFS($C:$C,$C1462,$D:$D,"P0(후)",$L:$L,"&gt;0")&lt;&gt;1,"P0(후) 유효 1개 아님",IF(NOT(AND(ISNUMBER(N1462),ISNUMBER(P1462),ISNUMBER(H1462))),"시각 결측",IF(P1462&lt;=N1462,"P0 시각 역전",IF(OR(H1462&lt;N1462,H1462&gt;P1462),"측정시각 구간 밖","OK")))))</f>
        <v/>
      </c>
      <c r="N1462" s="45">
        <f>IF(COUNTIFS($C:$C,$C1462,$D:$D,"P0(전)",$L:$L,"&gt;0")&lt;&gt;1,"",SUMIFS($H:$H,$C:$C,$C1462,$D:$D,"P0(전)"))</f>
        <v/>
      </c>
      <c r="O1462" s="30">
        <f>IF(COUNTIFS($C:$C,$C1462,$D:$D,"P0(전)",$L:$L,"&gt;0")&lt;&gt;1,"",SUMIFS($L:$L,$C:$C,$C1462,$D:$D,"P0(전)"))</f>
        <v/>
      </c>
      <c r="P1462" s="45">
        <f>IF(COUNTIFS($C:$C,$C1462,$D:$D,"P0(후)",$L:$L,"&gt;0")&lt;&gt;1,"",SUMIFS($H:$H,$C:$C,$C1462,$D:$D,"P0(후)"))</f>
        <v/>
      </c>
      <c r="Q1462" s="30">
        <f>IF(COUNTIFS($C:$C,$C1462,$D:$D,"P0(후)",$L:$L,"&gt;0")&lt;&gt;1,"",SUMIFS($L:$L,$C:$C,$C1462,$D:$D,"P0(후)"))</f>
        <v/>
      </c>
      <c r="R1462" s="30">
        <f>IF(M1462&lt;&gt;"OK","",O1462+(Q1462-O1462)*(H1462-N1462)/(P1462-N1462))</f>
        <v/>
      </c>
      <c r="S1462" s="30">
        <f>IF(OR(M1462&lt;&gt;"OK",NOT(ISNUMBER(L1462))),"",L1462-R1462)</f>
        <v/>
      </c>
      <c r="T1462" s="46">
        <f>IF(OR(NOT(ISNUMBER(S1462)),IF(ISNUMBER(G1462),G1462,F1462)=0),"",S1462/IF(ISNUMBER(G1462),G1462,F1462))</f>
        <v/>
      </c>
      <c r="U1462" s="46">
        <f>IF(ISNUMBER(T1462),ABS(T1462),"")</f>
        <v/>
      </c>
      <c r="V1462" s="46">
        <f>IF(OR($D1461&lt;&gt;"측정",$C1461&lt;&gt;$C1462,NOT(ISNUMBER(L1462)),NOT(ISNUMBER(L1461)),(IF(ISNUMBER(G1462),G1462,F1462)-IF(ISNUMBER(G1461),G1461,F1461))=0),"",(L1462-L1461)/(IF(ISNUMBER(G1462),G1462,F1462)-IF(ISNUMBER(G1461),G1461,F1461)))</f>
        <v/>
      </c>
      <c r="W1462" s="30">
        <f>IF(NOT(AND(ISNUMBER(N1462),ISNUMBER(P1462))),"",(P1462-N1462)*1440)</f>
        <v/>
      </c>
      <c r="X1462" s="28" t="n"/>
      <c r="Y1462" s="28" t="n"/>
      <c r="Z1462" s="28" t="n"/>
      <c r="AA1462" s="31" t="n"/>
      <c r="AB1462" s="31" t="n"/>
    </row>
    <row r="1463">
      <c r="A1463" s="25" t="inlineStr">
        <is>
          <t>S29</t>
        </is>
      </c>
      <c r="B1463" s="25" t="inlineStr">
        <is>
          <t>가야 신규점1</t>
        </is>
      </c>
      <c r="C1463" s="25" t="inlineStr">
        <is>
          <t>S29-H동</t>
        </is>
      </c>
      <c r="D1463" s="25" t="inlineStr">
        <is>
          <t>측정</t>
        </is>
      </c>
      <c r="E1463" s="25" t="inlineStr">
        <is>
          <t>동</t>
        </is>
      </c>
      <c r="F1463" s="30" t="n">
        <v>1</v>
      </c>
      <c r="G1463" s="29" t="n"/>
      <c r="H1463" s="42" t="n"/>
      <c r="I1463" s="40" t="n"/>
      <c r="J1463" s="40" t="n"/>
      <c r="K1463" s="40" t="n"/>
      <c r="L1463" s="30">
        <f>IF(COUNT(I1463:K1463)=0,"",MEDIAN(I1463:K1463))</f>
        <v/>
      </c>
      <c r="M1463" s="25">
        <f>IF(COUNTIFS($C:$C,$C1463,$D:$D,"P0(전)",$L:$L,"&gt;0")&lt;&gt;1,"P0(전) 유효 1개 아님",IF(COUNTIFS($C:$C,$C1463,$D:$D,"P0(후)",$L:$L,"&gt;0")&lt;&gt;1,"P0(후) 유효 1개 아님",IF(NOT(AND(ISNUMBER(N1463),ISNUMBER(P1463),ISNUMBER(H1463))),"시각 결측",IF(P1463&lt;=N1463,"P0 시각 역전",IF(OR(H1463&lt;N1463,H1463&gt;P1463),"측정시각 구간 밖","OK")))))</f>
        <v/>
      </c>
      <c r="N1463" s="45">
        <f>IF(COUNTIFS($C:$C,$C1463,$D:$D,"P0(전)",$L:$L,"&gt;0")&lt;&gt;1,"",SUMIFS($H:$H,$C:$C,$C1463,$D:$D,"P0(전)"))</f>
        <v/>
      </c>
      <c r="O1463" s="30">
        <f>IF(COUNTIFS($C:$C,$C1463,$D:$D,"P0(전)",$L:$L,"&gt;0")&lt;&gt;1,"",SUMIFS($L:$L,$C:$C,$C1463,$D:$D,"P0(전)"))</f>
        <v/>
      </c>
      <c r="P1463" s="45">
        <f>IF(COUNTIFS($C:$C,$C1463,$D:$D,"P0(후)",$L:$L,"&gt;0")&lt;&gt;1,"",SUMIFS($H:$H,$C:$C,$C1463,$D:$D,"P0(후)"))</f>
        <v/>
      </c>
      <c r="Q1463" s="30">
        <f>IF(COUNTIFS($C:$C,$C1463,$D:$D,"P0(후)",$L:$L,"&gt;0")&lt;&gt;1,"",SUMIFS($L:$L,$C:$C,$C1463,$D:$D,"P0(후)"))</f>
        <v/>
      </c>
      <c r="R1463" s="30">
        <f>IF(M1463&lt;&gt;"OK","",O1463+(Q1463-O1463)*(H1463-N1463)/(P1463-N1463))</f>
        <v/>
      </c>
      <c r="S1463" s="30">
        <f>IF(OR(M1463&lt;&gt;"OK",NOT(ISNUMBER(L1463))),"",L1463-R1463)</f>
        <v/>
      </c>
      <c r="T1463" s="46">
        <f>IF(OR(NOT(ISNUMBER(S1463)),IF(ISNUMBER(G1463),G1463,F1463)=0),"",S1463/IF(ISNUMBER(G1463),G1463,F1463))</f>
        <v/>
      </c>
      <c r="U1463" s="46">
        <f>IF(ISNUMBER(T1463),ABS(T1463),"")</f>
        <v/>
      </c>
      <c r="V1463" s="46">
        <f>IF(OR($D1462&lt;&gt;"측정",$C1462&lt;&gt;$C1463,NOT(ISNUMBER(L1463)),NOT(ISNUMBER(L1462)),(IF(ISNUMBER(G1463),G1463,F1463)-IF(ISNUMBER(G1462),G1462,F1462))=0),"",(L1463-L1462)/(IF(ISNUMBER(G1463),G1463,F1463)-IF(ISNUMBER(G1462),G1462,F1462)))</f>
        <v/>
      </c>
      <c r="W1463" s="30">
        <f>IF(NOT(AND(ISNUMBER(N1463),ISNUMBER(P1463))),"",(P1463-N1463)*1440)</f>
        <v/>
      </c>
      <c r="X1463" s="28" t="n"/>
      <c r="Y1463" s="28" t="n"/>
      <c r="Z1463" s="28" t="n"/>
      <c r="AA1463" s="31" t="n"/>
      <c r="AB1463" s="31" t="n"/>
    </row>
    <row r="1464">
      <c r="A1464" s="25" t="inlineStr">
        <is>
          <t>S29</t>
        </is>
      </c>
      <c r="B1464" s="25" t="inlineStr">
        <is>
          <t>가야 신규점1</t>
        </is>
      </c>
      <c r="C1464" s="25" t="inlineStr">
        <is>
          <t>S29-H동</t>
        </is>
      </c>
      <c r="D1464" s="25" t="inlineStr">
        <is>
          <t>측정</t>
        </is>
      </c>
      <c r="E1464" s="25" t="inlineStr">
        <is>
          <t>동</t>
        </is>
      </c>
      <c r="F1464" s="30" t="n">
        <v>2</v>
      </c>
      <c r="G1464" s="29" t="n"/>
      <c r="H1464" s="42" t="n"/>
      <c r="I1464" s="40" t="n"/>
      <c r="J1464" s="40" t="n"/>
      <c r="K1464" s="40" t="n"/>
      <c r="L1464" s="30">
        <f>IF(COUNT(I1464:K1464)=0,"",MEDIAN(I1464:K1464))</f>
        <v/>
      </c>
      <c r="M1464" s="25">
        <f>IF(COUNTIFS($C:$C,$C1464,$D:$D,"P0(전)",$L:$L,"&gt;0")&lt;&gt;1,"P0(전) 유효 1개 아님",IF(COUNTIFS($C:$C,$C1464,$D:$D,"P0(후)",$L:$L,"&gt;0")&lt;&gt;1,"P0(후) 유효 1개 아님",IF(NOT(AND(ISNUMBER(N1464),ISNUMBER(P1464),ISNUMBER(H1464))),"시각 결측",IF(P1464&lt;=N1464,"P0 시각 역전",IF(OR(H1464&lt;N1464,H1464&gt;P1464),"측정시각 구간 밖","OK")))))</f>
        <v/>
      </c>
      <c r="N1464" s="45">
        <f>IF(COUNTIFS($C:$C,$C1464,$D:$D,"P0(전)",$L:$L,"&gt;0")&lt;&gt;1,"",SUMIFS($H:$H,$C:$C,$C1464,$D:$D,"P0(전)"))</f>
        <v/>
      </c>
      <c r="O1464" s="30">
        <f>IF(COUNTIFS($C:$C,$C1464,$D:$D,"P0(전)",$L:$L,"&gt;0")&lt;&gt;1,"",SUMIFS($L:$L,$C:$C,$C1464,$D:$D,"P0(전)"))</f>
        <v/>
      </c>
      <c r="P1464" s="45">
        <f>IF(COUNTIFS($C:$C,$C1464,$D:$D,"P0(후)",$L:$L,"&gt;0")&lt;&gt;1,"",SUMIFS($H:$H,$C:$C,$C1464,$D:$D,"P0(후)"))</f>
        <v/>
      </c>
      <c r="Q1464" s="30">
        <f>IF(COUNTIFS($C:$C,$C1464,$D:$D,"P0(후)",$L:$L,"&gt;0")&lt;&gt;1,"",SUMIFS($L:$L,$C:$C,$C1464,$D:$D,"P0(후)"))</f>
        <v/>
      </c>
      <c r="R1464" s="30">
        <f>IF(M1464&lt;&gt;"OK","",O1464+(Q1464-O1464)*(H1464-N1464)/(P1464-N1464))</f>
        <v/>
      </c>
      <c r="S1464" s="30">
        <f>IF(OR(M1464&lt;&gt;"OK",NOT(ISNUMBER(L1464))),"",L1464-R1464)</f>
        <v/>
      </c>
      <c r="T1464" s="46">
        <f>IF(OR(NOT(ISNUMBER(S1464)),IF(ISNUMBER(G1464),G1464,F1464)=0),"",S1464/IF(ISNUMBER(G1464),G1464,F1464))</f>
        <v/>
      </c>
      <c r="U1464" s="46">
        <f>IF(ISNUMBER(T1464),ABS(T1464),"")</f>
        <v/>
      </c>
      <c r="V1464" s="46">
        <f>IF(OR($D1463&lt;&gt;"측정",$C1463&lt;&gt;$C1464,NOT(ISNUMBER(L1464)),NOT(ISNUMBER(L1463)),(IF(ISNUMBER(G1464),G1464,F1464)-IF(ISNUMBER(G1463),G1463,F1463))=0),"",(L1464-L1463)/(IF(ISNUMBER(G1464),G1464,F1464)-IF(ISNUMBER(G1463),G1463,F1463)))</f>
        <v/>
      </c>
      <c r="W1464" s="30">
        <f>IF(NOT(AND(ISNUMBER(N1464),ISNUMBER(P1464))),"",(P1464-N1464)*1440)</f>
        <v/>
      </c>
      <c r="X1464" s="28" t="n"/>
      <c r="Y1464" s="28" t="n"/>
      <c r="Z1464" s="28" t="n"/>
      <c r="AA1464" s="31" t="n"/>
      <c r="AB1464" s="31" t="n"/>
    </row>
    <row r="1465">
      <c r="A1465" s="25" t="inlineStr">
        <is>
          <t>S29</t>
        </is>
      </c>
      <c r="B1465" s="25" t="inlineStr">
        <is>
          <t>가야 신규점1</t>
        </is>
      </c>
      <c r="C1465" s="25" t="inlineStr">
        <is>
          <t>S29-H동</t>
        </is>
      </c>
      <c r="D1465" s="25" t="inlineStr">
        <is>
          <t>측정</t>
        </is>
      </c>
      <c r="E1465" s="25" t="inlineStr">
        <is>
          <t>동</t>
        </is>
      </c>
      <c r="F1465" s="30" t="n">
        <v>3</v>
      </c>
      <c r="G1465" s="29" t="n"/>
      <c r="H1465" s="42" t="n"/>
      <c r="I1465" s="40" t="n"/>
      <c r="J1465" s="40" t="n"/>
      <c r="K1465" s="40" t="n"/>
      <c r="L1465" s="30">
        <f>IF(COUNT(I1465:K1465)=0,"",MEDIAN(I1465:K1465))</f>
        <v/>
      </c>
      <c r="M1465" s="25">
        <f>IF(COUNTIFS($C:$C,$C1465,$D:$D,"P0(전)",$L:$L,"&gt;0")&lt;&gt;1,"P0(전) 유효 1개 아님",IF(COUNTIFS($C:$C,$C1465,$D:$D,"P0(후)",$L:$L,"&gt;0")&lt;&gt;1,"P0(후) 유효 1개 아님",IF(NOT(AND(ISNUMBER(N1465),ISNUMBER(P1465),ISNUMBER(H1465))),"시각 결측",IF(P1465&lt;=N1465,"P0 시각 역전",IF(OR(H1465&lt;N1465,H1465&gt;P1465),"측정시각 구간 밖","OK")))))</f>
        <v/>
      </c>
      <c r="N1465" s="45">
        <f>IF(COUNTIFS($C:$C,$C1465,$D:$D,"P0(전)",$L:$L,"&gt;0")&lt;&gt;1,"",SUMIFS($H:$H,$C:$C,$C1465,$D:$D,"P0(전)"))</f>
        <v/>
      </c>
      <c r="O1465" s="30">
        <f>IF(COUNTIFS($C:$C,$C1465,$D:$D,"P0(전)",$L:$L,"&gt;0")&lt;&gt;1,"",SUMIFS($L:$L,$C:$C,$C1465,$D:$D,"P0(전)"))</f>
        <v/>
      </c>
      <c r="P1465" s="45">
        <f>IF(COUNTIFS($C:$C,$C1465,$D:$D,"P0(후)",$L:$L,"&gt;0")&lt;&gt;1,"",SUMIFS($H:$H,$C:$C,$C1465,$D:$D,"P0(후)"))</f>
        <v/>
      </c>
      <c r="Q1465" s="30">
        <f>IF(COUNTIFS($C:$C,$C1465,$D:$D,"P0(후)",$L:$L,"&gt;0")&lt;&gt;1,"",SUMIFS($L:$L,$C:$C,$C1465,$D:$D,"P0(후)"))</f>
        <v/>
      </c>
      <c r="R1465" s="30">
        <f>IF(M1465&lt;&gt;"OK","",O1465+(Q1465-O1465)*(H1465-N1465)/(P1465-N1465))</f>
        <v/>
      </c>
      <c r="S1465" s="30">
        <f>IF(OR(M1465&lt;&gt;"OK",NOT(ISNUMBER(L1465))),"",L1465-R1465)</f>
        <v/>
      </c>
      <c r="T1465" s="46">
        <f>IF(OR(NOT(ISNUMBER(S1465)),IF(ISNUMBER(G1465),G1465,F1465)=0),"",S1465/IF(ISNUMBER(G1465),G1465,F1465))</f>
        <v/>
      </c>
      <c r="U1465" s="46">
        <f>IF(ISNUMBER(T1465),ABS(T1465),"")</f>
        <v/>
      </c>
      <c r="V1465" s="46">
        <f>IF(OR($D1464&lt;&gt;"측정",$C1464&lt;&gt;$C1465,NOT(ISNUMBER(L1465)),NOT(ISNUMBER(L1464)),(IF(ISNUMBER(G1465),G1465,F1465)-IF(ISNUMBER(G1464),G1464,F1464))=0),"",(L1465-L1464)/(IF(ISNUMBER(G1465),G1465,F1465)-IF(ISNUMBER(G1464),G1464,F1464)))</f>
        <v/>
      </c>
      <c r="W1465" s="30">
        <f>IF(NOT(AND(ISNUMBER(N1465),ISNUMBER(P1465))),"",(P1465-N1465)*1440)</f>
        <v/>
      </c>
      <c r="X1465" s="28" t="n"/>
      <c r="Y1465" s="28" t="n"/>
      <c r="Z1465" s="28" t="n"/>
      <c r="AA1465" s="31" t="n"/>
      <c r="AB1465" s="31" t="n"/>
    </row>
    <row r="1466">
      <c r="A1466" s="25" t="inlineStr">
        <is>
          <t>S29</t>
        </is>
      </c>
      <c r="B1466" s="25" t="inlineStr">
        <is>
          <t>가야 신규점1</t>
        </is>
      </c>
      <c r="C1466" s="25" t="inlineStr">
        <is>
          <t>S29-H동</t>
        </is>
      </c>
      <c r="D1466" s="25" t="inlineStr">
        <is>
          <t>측정</t>
        </is>
      </c>
      <c r="E1466" s="25" t="inlineStr">
        <is>
          <t>동</t>
        </is>
      </c>
      <c r="F1466" s="30" t="n">
        <v>4</v>
      </c>
      <c r="G1466" s="29" t="n"/>
      <c r="H1466" s="42" t="n"/>
      <c r="I1466" s="40" t="n"/>
      <c r="J1466" s="40" t="n"/>
      <c r="K1466" s="40" t="n"/>
      <c r="L1466" s="30">
        <f>IF(COUNT(I1466:K1466)=0,"",MEDIAN(I1466:K1466))</f>
        <v/>
      </c>
      <c r="M1466" s="25">
        <f>IF(COUNTIFS($C:$C,$C1466,$D:$D,"P0(전)",$L:$L,"&gt;0")&lt;&gt;1,"P0(전) 유효 1개 아님",IF(COUNTIFS($C:$C,$C1466,$D:$D,"P0(후)",$L:$L,"&gt;0")&lt;&gt;1,"P0(후) 유효 1개 아님",IF(NOT(AND(ISNUMBER(N1466),ISNUMBER(P1466),ISNUMBER(H1466))),"시각 결측",IF(P1466&lt;=N1466,"P0 시각 역전",IF(OR(H1466&lt;N1466,H1466&gt;P1466),"측정시각 구간 밖","OK")))))</f>
        <v/>
      </c>
      <c r="N1466" s="45">
        <f>IF(COUNTIFS($C:$C,$C1466,$D:$D,"P0(전)",$L:$L,"&gt;0")&lt;&gt;1,"",SUMIFS($H:$H,$C:$C,$C1466,$D:$D,"P0(전)"))</f>
        <v/>
      </c>
      <c r="O1466" s="30">
        <f>IF(COUNTIFS($C:$C,$C1466,$D:$D,"P0(전)",$L:$L,"&gt;0")&lt;&gt;1,"",SUMIFS($L:$L,$C:$C,$C1466,$D:$D,"P0(전)"))</f>
        <v/>
      </c>
      <c r="P1466" s="45">
        <f>IF(COUNTIFS($C:$C,$C1466,$D:$D,"P0(후)",$L:$L,"&gt;0")&lt;&gt;1,"",SUMIFS($H:$H,$C:$C,$C1466,$D:$D,"P0(후)"))</f>
        <v/>
      </c>
      <c r="Q1466" s="30">
        <f>IF(COUNTIFS($C:$C,$C1466,$D:$D,"P0(후)",$L:$L,"&gt;0")&lt;&gt;1,"",SUMIFS($L:$L,$C:$C,$C1466,$D:$D,"P0(후)"))</f>
        <v/>
      </c>
      <c r="R1466" s="30">
        <f>IF(M1466&lt;&gt;"OK","",O1466+(Q1466-O1466)*(H1466-N1466)/(P1466-N1466))</f>
        <v/>
      </c>
      <c r="S1466" s="30">
        <f>IF(OR(M1466&lt;&gt;"OK",NOT(ISNUMBER(L1466))),"",L1466-R1466)</f>
        <v/>
      </c>
      <c r="T1466" s="46">
        <f>IF(OR(NOT(ISNUMBER(S1466)),IF(ISNUMBER(G1466),G1466,F1466)=0),"",S1466/IF(ISNUMBER(G1466),G1466,F1466))</f>
        <v/>
      </c>
      <c r="U1466" s="46">
        <f>IF(ISNUMBER(T1466),ABS(T1466),"")</f>
        <v/>
      </c>
      <c r="V1466" s="46">
        <f>IF(OR($D1465&lt;&gt;"측정",$C1465&lt;&gt;$C1466,NOT(ISNUMBER(L1466)),NOT(ISNUMBER(L1465)),(IF(ISNUMBER(G1466),G1466,F1466)-IF(ISNUMBER(G1465),G1465,F1465))=0),"",(L1466-L1465)/(IF(ISNUMBER(G1466),G1466,F1466)-IF(ISNUMBER(G1465),G1465,F1465)))</f>
        <v/>
      </c>
      <c r="W1466" s="30">
        <f>IF(NOT(AND(ISNUMBER(N1466),ISNUMBER(P1466))),"",(P1466-N1466)*1440)</f>
        <v/>
      </c>
      <c r="X1466" s="28" t="n"/>
      <c r="Y1466" s="28" t="n"/>
      <c r="Z1466" s="28" t="n"/>
      <c r="AA1466" s="31" t="n"/>
      <c r="AB1466" s="31" t="n"/>
    </row>
    <row r="1467">
      <c r="A1467" s="25" t="inlineStr">
        <is>
          <t>S29</t>
        </is>
      </c>
      <c r="B1467" s="25" t="inlineStr">
        <is>
          <t>가야 신규점1</t>
        </is>
      </c>
      <c r="C1467" s="25" t="inlineStr">
        <is>
          <t>S29-H동</t>
        </is>
      </c>
      <c r="D1467" s="25" t="inlineStr">
        <is>
          <t>측정</t>
        </is>
      </c>
      <c r="E1467" s="25" t="inlineStr">
        <is>
          <t>동</t>
        </is>
      </c>
      <c r="F1467" s="30" t="n">
        <v>5</v>
      </c>
      <c r="G1467" s="29" t="n"/>
      <c r="H1467" s="42" t="n"/>
      <c r="I1467" s="40" t="n"/>
      <c r="J1467" s="40" t="n"/>
      <c r="K1467" s="40" t="n"/>
      <c r="L1467" s="30">
        <f>IF(COUNT(I1467:K1467)=0,"",MEDIAN(I1467:K1467))</f>
        <v/>
      </c>
      <c r="M1467" s="25">
        <f>IF(COUNTIFS($C:$C,$C1467,$D:$D,"P0(전)",$L:$L,"&gt;0")&lt;&gt;1,"P0(전) 유효 1개 아님",IF(COUNTIFS($C:$C,$C1467,$D:$D,"P0(후)",$L:$L,"&gt;0")&lt;&gt;1,"P0(후) 유효 1개 아님",IF(NOT(AND(ISNUMBER(N1467),ISNUMBER(P1467),ISNUMBER(H1467))),"시각 결측",IF(P1467&lt;=N1467,"P0 시각 역전",IF(OR(H1467&lt;N1467,H1467&gt;P1467),"측정시각 구간 밖","OK")))))</f>
        <v/>
      </c>
      <c r="N1467" s="45">
        <f>IF(COUNTIFS($C:$C,$C1467,$D:$D,"P0(전)",$L:$L,"&gt;0")&lt;&gt;1,"",SUMIFS($H:$H,$C:$C,$C1467,$D:$D,"P0(전)"))</f>
        <v/>
      </c>
      <c r="O1467" s="30">
        <f>IF(COUNTIFS($C:$C,$C1467,$D:$D,"P0(전)",$L:$L,"&gt;0")&lt;&gt;1,"",SUMIFS($L:$L,$C:$C,$C1467,$D:$D,"P0(전)"))</f>
        <v/>
      </c>
      <c r="P1467" s="45">
        <f>IF(COUNTIFS($C:$C,$C1467,$D:$D,"P0(후)",$L:$L,"&gt;0")&lt;&gt;1,"",SUMIFS($H:$H,$C:$C,$C1467,$D:$D,"P0(후)"))</f>
        <v/>
      </c>
      <c r="Q1467" s="30">
        <f>IF(COUNTIFS($C:$C,$C1467,$D:$D,"P0(후)",$L:$L,"&gt;0")&lt;&gt;1,"",SUMIFS($L:$L,$C:$C,$C1467,$D:$D,"P0(후)"))</f>
        <v/>
      </c>
      <c r="R1467" s="30">
        <f>IF(M1467&lt;&gt;"OK","",O1467+(Q1467-O1467)*(H1467-N1467)/(P1467-N1467))</f>
        <v/>
      </c>
      <c r="S1467" s="30">
        <f>IF(OR(M1467&lt;&gt;"OK",NOT(ISNUMBER(L1467))),"",L1467-R1467)</f>
        <v/>
      </c>
      <c r="T1467" s="46">
        <f>IF(OR(NOT(ISNUMBER(S1467)),IF(ISNUMBER(G1467),G1467,F1467)=0),"",S1467/IF(ISNUMBER(G1467),G1467,F1467))</f>
        <v/>
      </c>
      <c r="U1467" s="46">
        <f>IF(ISNUMBER(T1467),ABS(T1467),"")</f>
        <v/>
      </c>
      <c r="V1467" s="46">
        <f>IF(OR($D1466&lt;&gt;"측정",$C1466&lt;&gt;$C1467,NOT(ISNUMBER(L1467)),NOT(ISNUMBER(L1466)),(IF(ISNUMBER(G1467),G1467,F1467)-IF(ISNUMBER(G1466),G1466,F1466))=0),"",(L1467-L1466)/(IF(ISNUMBER(G1467),G1467,F1467)-IF(ISNUMBER(G1466),G1466,F1466)))</f>
        <v/>
      </c>
      <c r="W1467" s="30">
        <f>IF(NOT(AND(ISNUMBER(N1467),ISNUMBER(P1467))),"",(P1467-N1467)*1440)</f>
        <v/>
      </c>
      <c r="X1467" s="28" t="n"/>
      <c r="Y1467" s="28" t="n"/>
      <c r="Z1467" s="28" t="n"/>
      <c r="AA1467" s="31" t="n"/>
      <c r="AB1467" s="31" t="n"/>
    </row>
    <row r="1468">
      <c r="A1468" s="25" t="inlineStr">
        <is>
          <t>S29</t>
        </is>
      </c>
      <c r="B1468" s="25" t="inlineStr">
        <is>
          <t>가야 신규점1</t>
        </is>
      </c>
      <c r="C1468" s="25" t="inlineStr">
        <is>
          <t>S29-H동</t>
        </is>
      </c>
      <c r="D1468" s="25" t="inlineStr">
        <is>
          <t>측정</t>
        </is>
      </c>
      <c r="E1468" s="25" t="inlineStr">
        <is>
          <t>동</t>
        </is>
      </c>
      <c r="F1468" s="30" t="n">
        <v>6</v>
      </c>
      <c r="G1468" s="29" t="n"/>
      <c r="H1468" s="42" t="n"/>
      <c r="I1468" s="40" t="n"/>
      <c r="J1468" s="40" t="n"/>
      <c r="K1468" s="40" t="n"/>
      <c r="L1468" s="30">
        <f>IF(COUNT(I1468:K1468)=0,"",MEDIAN(I1468:K1468))</f>
        <v/>
      </c>
      <c r="M1468" s="25">
        <f>IF(COUNTIFS($C:$C,$C1468,$D:$D,"P0(전)",$L:$L,"&gt;0")&lt;&gt;1,"P0(전) 유효 1개 아님",IF(COUNTIFS($C:$C,$C1468,$D:$D,"P0(후)",$L:$L,"&gt;0")&lt;&gt;1,"P0(후) 유효 1개 아님",IF(NOT(AND(ISNUMBER(N1468),ISNUMBER(P1468),ISNUMBER(H1468))),"시각 결측",IF(P1468&lt;=N1468,"P0 시각 역전",IF(OR(H1468&lt;N1468,H1468&gt;P1468),"측정시각 구간 밖","OK")))))</f>
        <v/>
      </c>
      <c r="N1468" s="45">
        <f>IF(COUNTIFS($C:$C,$C1468,$D:$D,"P0(전)",$L:$L,"&gt;0")&lt;&gt;1,"",SUMIFS($H:$H,$C:$C,$C1468,$D:$D,"P0(전)"))</f>
        <v/>
      </c>
      <c r="O1468" s="30">
        <f>IF(COUNTIFS($C:$C,$C1468,$D:$D,"P0(전)",$L:$L,"&gt;0")&lt;&gt;1,"",SUMIFS($L:$L,$C:$C,$C1468,$D:$D,"P0(전)"))</f>
        <v/>
      </c>
      <c r="P1468" s="45">
        <f>IF(COUNTIFS($C:$C,$C1468,$D:$D,"P0(후)",$L:$L,"&gt;0")&lt;&gt;1,"",SUMIFS($H:$H,$C:$C,$C1468,$D:$D,"P0(후)"))</f>
        <v/>
      </c>
      <c r="Q1468" s="30">
        <f>IF(COUNTIFS($C:$C,$C1468,$D:$D,"P0(후)",$L:$L,"&gt;0")&lt;&gt;1,"",SUMIFS($L:$L,$C:$C,$C1468,$D:$D,"P0(후)"))</f>
        <v/>
      </c>
      <c r="R1468" s="30">
        <f>IF(M1468&lt;&gt;"OK","",O1468+(Q1468-O1468)*(H1468-N1468)/(P1468-N1468))</f>
        <v/>
      </c>
      <c r="S1468" s="30">
        <f>IF(OR(M1468&lt;&gt;"OK",NOT(ISNUMBER(L1468))),"",L1468-R1468)</f>
        <v/>
      </c>
      <c r="T1468" s="46">
        <f>IF(OR(NOT(ISNUMBER(S1468)),IF(ISNUMBER(G1468),G1468,F1468)=0),"",S1468/IF(ISNUMBER(G1468),G1468,F1468))</f>
        <v/>
      </c>
      <c r="U1468" s="46">
        <f>IF(ISNUMBER(T1468),ABS(T1468),"")</f>
        <v/>
      </c>
      <c r="V1468" s="46">
        <f>IF(OR($D1467&lt;&gt;"측정",$C1467&lt;&gt;$C1468,NOT(ISNUMBER(L1468)),NOT(ISNUMBER(L1467)),(IF(ISNUMBER(G1468),G1468,F1468)-IF(ISNUMBER(G1467),G1467,F1467))=0),"",(L1468-L1467)/(IF(ISNUMBER(G1468),G1468,F1468)-IF(ISNUMBER(G1467),G1467,F1467)))</f>
        <v/>
      </c>
      <c r="W1468" s="30">
        <f>IF(NOT(AND(ISNUMBER(N1468),ISNUMBER(P1468))),"",(P1468-N1468)*1440)</f>
        <v/>
      </c>
      <c r="X1468" s="28" t="n"/>
      <c r="Y1468" s="28" t="n"/>
      <c r="Z1468" s="28" t="n"/>
      <c r="AA1468" s="31" t="n"/>
      <c r="AB1468" s="31" t="n"/>
    </row>
    <row r="1469">
      <c r="A1469" s="25" t="inlineStr">
        <is>
          <t>S29</t>
        </is>
      </c>
      <c r="B1469" s="25" t="inlineStr">
        <is>
          <t>가야 신규점1</t>
        </is>
      </c>
      <c r="C1469" s="25" t="inlineStr">
        <is>
          <t>S29-H동</t>
        </is>
      </c>
      <c r="D1469" s="25" t="inlineStr">
        <is>
          <t>측정</t>
        </is>
      </c>
      <c r="E1469" s="25" t="inlineStr">
        <is>
          <t>동</t>
        </is>
      </c>
      <c r="F1469" s="30" t="n">
        <v>7</v>
      </c>
      <c r="G1469" s="29" t="n"/>
      <c r="H1469" s="42" t="n"/>
      <c r="I1469" s="40" t="n"/>
      <c r="J1469" s="40" t="n"/>
      <c r="K1469" s="40" t="n"/>
      <c r="L1469" s="30">
        <f>IF(COUNT(I1469:K1469)=0,"",MEDIAN(I1469:K1469))</f>
        <v/>
      </c>
      <c r="M1469" s="25">
        <f>IF(COUNTIFS($C:$C,$C1469,$D:$D,"P0(전)",$L:$L,"&gt;0")&lt;&gt;1,"P0(전) 유효 1개 아님",IF(COUNTIFS($C:$C,$C1469,$D:$D,"P0(후)",$L:$L,"&gt;0")&lt;&gt;1,"P0(후) 유효 1개 아님",IF(NOT(AND(ISNUMBER(N1469),ISNUMBER(P1469),ISNUMBER(H1469))),"시각 결측",IF(P1469&lt;=N1469,"P0 시각 역전",IF(OR(H1469&lt;N1469,H1469&gt;P1469),"측정시각 구간 밖","OK")))))</f>
        <v/>
      </c>
      <c r="N1469" s="45">
        <f>IF(COUNTIFS($C:$C,$C1469,$D:$D,"P0(전)",$L:$L,"&gt;0")&lt;&gt;1,"",SUMIFS($H:$H,$C:$C,$C1469,$D:$D,"P0(전)"))</f>
        <v/>
      </c>
      <c r="O1469" s="30">
        <f>IF(COUNTIFS($C:$C,$C1469,$D:$D,"P0(전)",$L:$L,"&gt;0")&lt;&gt;1,"",SUMIFS($L:$L,$C:$C,$C1469,$D:$D,"P0(전)"))</f>
        <v/>
      </c>
      <c r="P1469" s="45">
        <f>IF(COUNTIFS($C:$C,$C1469,$D:$D,"P0(후)",$L:$L,"&gt;0")&lt;&gt;1,"",SUMIFS($H:$H,$C:$C,$C1469,$D:$D,"P0(후)"))</f>
        <v/>
      </c>
      <c r="Q1469" s="30">
        <f>IF(COUNTIFS($C:$C,$C1469,$D:$D,"P0(후)",$L:$L,"&gt;0")&lt;&gt;1,"",SUMIFS($L:$L,$C:$C,$C1469,$D:$D,"P0(후)"))</f>
        <v/>
      </c>
      <c r="R1469" s="30">
        <f>IF(M1469&lt;&gt;"OK","",O1469+(Q1469-O1469)*(H1469-N1469)/(P1469-N1469))</f>
        <v/>
      </c>
      <c r="S1469" s="30">
        <f>IF(OR(M1469&lt;&gt;"OK",NOT(ISNUMBER(L1469))),"",L1469-R1469)</f>
        <v/>
      </c>
      <c r="T1469" s="46">
        <f>IF(OR(NOT(ISNUMBER(S1469)),IF(ISNUMBER(G1469),G1469,F1469)=0),"",S1469/IF(ISNUMBER(G1469),G1469,F1469))</f>
        <v/>
      </c>
      <c r="U1469" s="46">
        <f>IF(ISNUMBER(T1469),ABS(T1469),"")</f>
        <v/>
      </c>
      <c r="V1469" s="46">
        <f>IF(OR($D1468&lt;&gt;"측정",$C1468&lt;&gt;$C1469,NOT(ISNUMBER(L1469)),NOT(ISNUMBER(L1468)),(IF(ISNUMBER(G1469),G1469,F1469)-IF(ISNUMBER(G1468),G1468,F1468))=0),"",(L1469-L1468)/(IF(ISNUMBER(G1469),G1469,F1469)-IF(ISNUMBER(G1468),G1468,F1468)))</f>
        <v/>
      </c>
      <c r="W1469" s="30">
        <f>IF(NOT(AND(ISNUMBER(N1469),ISNUMBER(P1469))),"",(P1469-N1469)*1440)</f>
        <v/>
      </c>
      <c r="X1469" s="28" t="n"/>
      <c r="Y1469" s="28" t="n"/>
      <c r="Z1469" s="28" t="n"/>
      <c r="AA1469" s="31" t="n"/>
      <c r="AB1469" s="31" t="n"/>
    </row>
    <row r="1470">
      <c r="A1470" s="25" t="inlineStr">
        <is>
          <t>S29</t>
        </is>
      </c>
      <c r="B1470" s="25" t="inlineStr">
        <is>
          <t>가야 신규점1</t>
        </is>
      </c>
      <c r="C1470" s="25" t="inlineStr">
        <is>
          <t>S29-H동</t>
        </is>
      </c>
      <c r="D1470" s="25" t="inlineStr">
        <is>
          <t>측정</t>
        </is>
      </c>
      <c r="E1470" s="25" t="inlineStr">
        <is>
          <t>동</t>
        </is>
      </c>
      <c r="F1470" s="30" t="n">
        <v>8</v>
      </c>
      <c r="G1470" s="29" t="n"/>
      <c r="H1470" s="42" t="n"/>
      <c r="I1470" s="40" t="n"/>
      <c r="J1470" s="40" t="n"/>
      <c r="K1470" s="40" t="n"/>
      <c r="L1470" s="30">
        <f>IF(COUNT(I1470:K1470)=0,"",MEDIAN(I1470:K1470))</f>
        <v/>
      </c>
      <c r="M1470" s="25">
        <f>IF(COUNTIFS($C:$C,$C1470,$D:$D,"P0(전)",$L:$L,"&gt;0")&lt;&gt;1,"P0(전) 유효 1개 아님",IF(COUNTIFS($C:$C,$C1470,$D:$D,"P0(후)",$L:$L,"&gt;0")&lt;&gt;1,"P0(후) 유효 1개 아님",IF(NOT(AND(ISNUMBER(N1470),ISNUMBER(P1470),ISNUMBER(H1470))),"시각 결측",IF(P1470&lt;=N1470,"P0 시각 역전",IF(OR(H1470&lt;N1470,H1470&gt;P1470),"측정시각 구간 밖","OK")))))</f>
        <v/>
      </c>
      <c r="N1470" s="45">
        <f>IF(COUNTIFS($C:$C,$C1470,$D:$D,"P0(전)",$L:$L,"&gt;0")&lt;&gt;1,"",SUMIFS($H:$H,$C:$C,$C1470,$D:$D,"P0(전)"))</f>
        <v/>
      </c>
      <c r="O1470" s="30">
        <f>IF(COUNTIFS($C:$C,$C1470,$D:$D,"P0(전)",$L:$L,"&gt;0")&lt;&gt;1,"",SUMIFS($L:$L,$C:$C,$C1470,$D:$D,"P0(전)"))</f>
        <v/>
      </c>
      <c r="P1470" s="45">
        <f>IF(COUNTIFS($C:$C,$C1470,$D:$D,"P0(후)",$L:$L,"&gt;0")&lt;&gt;1,"",SUMIFS($H:$H,$C:$C,$C1470,$D:$D,"P0(후)"))</f>
        <v/>
      </c>
      <c r="Q1470" s="30">
        <f>IF(COUNTIFS($C:$C,$C1470,$D:$D,"P0(후)",$L:$L,"&gt;0")&lt;&gt;1,"",SUMIFS($L:$L,$C:$C,$C1470,$D:$D,"P0(후)"))</f>
        <v/>
      </c>
      <c r="R1470" s="30">
        <f>IF(M1470&lt;&gt;"OK","",O1470+(Q1470-O1470)*(H1470-N1470)/(P1470-N1470))</f>
        <v/>
      </c>
      <c r="S1470" s="30">
        <f>IF(OR(M1470&lt;&gt;"OK",NOT(ISNUMBER(L1470))),"",L1470-R1470)</f>
        <v/>
      </c>
      <c r="T1470" s="46">
        <f>IF(OR(NOT(ISNUMBER(S1470)),IF(ISNUMBER(G1470),G1470,F1470)=0),"",S1470/IF(ISNUMBER(G1470),G1470,F1470))</f>
        <v/>
      </c>
      <c r="U1470" s="46">
        <f>IF(ISNUMBER(T1470),ABS(T1470),"")</f>
        <v/>
      </c>
      <c r="V1470" s="46">
        <f>IF(OR($D1469&lt;&gt;"측정",$C1469&lt;&gt;$C1470,NOT(ISNUMBER(L1470)),NOT(ISNUMBER(L1469)),(IF(ISNUMBER(G1470),G1470,F1470)-IF(ISNUMBER(G1469),G1469,F1469))=0),"",(L1470-L1469)/(IF(ISNUMBER(G1470),G1470,F1470)-IF(ISNUMBER(G1469),G1469,F1469)))</f>
        <v/>
      </c>
      <c r="W1470" s="30">
        <f>IF(NOT(AND(ISNUMBER(N1470),ISNUMBER(P1470))),"",(P1470-N1470)*1440)</f>
        <v/>
      </c>
      <c r="X1470" s="28" t="n"/>
      <c r="Y1470" s="28" t="n"/>
      <c r="Z1470" s="28" t="n"/>
      <c r="AA1470" s="31" t="n"/>
      <c r="AB1470" s="31" t="n"/>
    </row>
    <row r="1471">
      <c r="A1471" s="25" t="inlineStr">
        <is>
          <t>S29</t>
        </is>
      </c>
      <c r="B1471" s="25" t="inlineStr">
        <is>
          <t>가야 신규점1</t>
        </is>
      </c>
      <c r="C1471" s="25" t="inlineStr">
        <is>
          <t>S29-H동</t>
        </is>
      </c>
      <c r="D1471" s="25" t="inlineStr">
        <is>
          <t>측정</t>
        </is>
      </c>
      <c r="E1471" s="25" t="inlineStr">
        <is>
          <t>동</t>
        </is>
      </c>
      <c r="F1471" s="30" t="n">
        <v>9</v>
      </c>
      <c r="G1471" s="29" t="n"/>
      <c r="H1471" s="42" t="n"/>
      <c r="I1471" s="40" t="n"/>
      <c r="J1471" s="40" t="n"/>
      <c r="K1471" s="40" t="n"/>
      <c r="L1471" s="30">
        <f>IF(COUNT(I1471:K1471)=0,"",MEDIAN(I1471:K1471))</f>
        <v/>
      </c>
      <c r="M1471" s="25">
        <f>IF(COUNTIFS($C:$C,$C1471,$D:$D,"P0(전)",$L:$L,"&gt;0")&lt;&gt;1,"P0(전) 유효 1개 아님",IF(COUNTIFS($C:$C,$C1471,$D:$D,"P0(후)",$L:$L,"&gt;0")&lt;&gt;1,"P0(후) 유효 1개 아님",IF(NOT(AND(ISNUMBER(N1471),ISNUMBER(P1471),ISNUMBER(H1471))),"시각 결측",IF(P1471&lt;=N1471,"P0 시각 역전",IF(OR(H1471&lt;N1471,H1471&gt;P1471),"측정시각 구간 밖","OK")))))</f>
        <v/>
      </c>
      <c r="N1471" s="45">
        <f>IF(COUNTIFS($C:$C,$C1471,$D:$D,"P0(전)",$L:$L,"&gt;0")&lt;&gt;1,"",SUMIFS($H:$H,$C:$C,$C1471,$D:$D,"P0(전)"))</f>
        <v/>
      </c>
      <c r="O1471" s="30">
        <f>IF(COUNTIFS($C:$C,$C1471,$D:$D,"P0(전)",$L:$L,"&gt;0")&lt;&gt;1,"",SUMIFS($L:$L,$C:$C,$C1471,$D:$D,"P0(전)"))</f>
        <v/>
      </c>
      <c r="P1471" s="45">
        <f>IF(COUNTIFS($C:$C,$C1471,$D:$D,"P0(후)",$L:$L,"&gt;0")&lt;&gt;1,"",SUMIFS($H:$H,$C:$C,$C1471,$D:$D,"P0(후)"))</f>
        <v/>
      </c>
      <c r="Q1471" s="30">
        <f>IF(COUNTIFS($C:$C,$C1471,$D:$D,"P0(후)",$L:$L,"&gt;0")&lt;&gt;1,"",SUMIFS($L:$L,$C:$C,$C1471,$D:$D,"P0(후)"))</f>
        <v/>
      </c>
      <c r="R1471" s="30">
        <f>IF(M1471&lt;&gt;"OK","",O1471+(Q1471-O1471)*(H1471-N1471)/(P1471-N1471))</f>
        <v/>
      </c>
      <c r="S1471" s="30">
        <f>IF(OR(M1471&lt;&gt;"OK",NOT(ISNUMBER(L1471))),"",L1471-R1471)</f>
        <v/>
      </c>
      <c r="T1471" s="46">
        <f>IF(OR(NOT(ISNUMBER(S1471)),IF(ISNUMBER(G1471),G1471,F1471)=0),"",S1471/IF(ISNUMBER(G1471),G1471,F1471))</f>
        <v/>
      </c>
      <c r="U1471" s="46">
        <f>IF(ISNUMBER(T1471),ABS(T1471),"")</f>
        <v/>
      </c>
      <c r="V1471" s="46">
        <f>IF(OR($D1470&lt;&gt;"측정",$C1470&lt;&gt;$C1471,NOT(ISNUMBER(L1471)),NOT(ISNUMBER(L1470)),(IF(ISNUMBER(G1471),G1471,F1471)-IF(ISNUMBER(G1470),G1470,F1470))=0),"",(L1471-L1470)/(IF(ISNUMBER(G1471),G1471,F1471)-IF(ISNUMBER(G1470),G1470,F1470)))</f>
        <v/>
      </c>
      <c r="W1471" s="30">
        <f>IF(NOT(AND(ISNUMBER(N1471),ISNUMBER(P1471))),"",(P1471-N1471)*1440)</f>
        <v/>
      </c>
      <c r="X1471" s="28" t="n"/>
      <c r="Y1471" s="28" t="n"/>
      <c r="Z1471" s="28" t="n"/>
      <c r="AA1471" s="31" t="n"/>
      <c r="AB1471" s="31" t="n"/>
    </row>
    <row r="1472">
      <c r="A1472" s="25" t="inlineStr">
        <is>
          <t>S29</t>
        </is>
      </c>
      <c r="B1472" s="25" t="inlineStr">
        <is>
          <t>가야 신규점1</t>
        </is>
      </c>
      <c r="C1472" s="25" t="inlineStr">
        <is>
          <t>S29-H동</t>
        </is>
      </c>
      <c r="D1472" s="25" t="inlineStr">
        <is>
          <t>측정</t>
        </is>
      </c>
      <c r="E1472" s="25" t="inlineStr">
        <is>
          <t>동</t>
        </is>
      </c>
      <c r="F1472" s="30" t="n">
        <v>10</v>
      </c>
      <c r="G1472" s="29" t="n"/>
      <c r="H1472" s="42" t="n"/>
      <c r="I1472" s="40" t="n"/>
      <c r="J1472" s="40" t="n"/>
      <c r="K1472" s="40" t="n"/>
      <c r="L1472" s="30">
        <f>IF(COUNT(I1472:K1472)=0,"",MEDIAN(I1472:K1472))</f>
        <v/>
      </c>
      <c r="M1472" s="25">
        <f>IF(COUNTIFS($C:$C,$C1472,$D:$D,"P0(전)",$L:$L,"&gt;0")&lt;&gt;1,"P0(전) 유효 1개 아님",IF(COUNTIFS($C:$C,$C1472,$D:$D,"P0(후)",$L:$L,"&gt;0")&lt;&gt;1,"P0(후) 유효 1개 아님",IF(NOT(AND(ISNUMBER(N1472),ISNUMBER(P1472),ISNUMBER(H1472))),"시각 결측",IF(P1472&lt;=N1472,"P0 시각 역전",IF(OR(H1472&lt;N1472,H1472&gt;P1472),"측정시각 구간 밖","OK")))))</f>
        <v/>
      </c>
      <c r="N1472" s="45">
        <f>IF(COUNTIFS($C:$C,$C1472,$D:$D,"P0(전)",$L:$L,"&gt;0")&lt;&gt;1,"",SUMIFS($H:$H,$C:$C,$C1472,$D:$D,"P0(전)"))</f>
        <v/>
      </c>
      <c r="O1472" s="30">
        <f>IF(COUNTIFS($C:$C,$C1472,$D:$D,"P0(전)",$L:$L,"&gt;0")&lt;&gt;1,"",SUMIFS($L:$L,$C:$C,$C1472,$D:$D,"P0(전)"))</f>
        <v/>
      </c>
      <c r="P1472" s="45">
        <f>IF(COUNTIFS($C:$C,$C1472,$D:$D,"P0(후)",$L:$L,"&gt;0")&lt;&gt;1,"",SUMIFS($H:$H,$C:$C,$C1472,$D:$D,"P0(후)"))</f>
        <v/>
      </c>
      <c r="Q1472" s="30">
        <f>IF(COUNTIFS($C:$C,$C1472,$D:$D,"P0(후)",$L:$L,"&gt;0")&lt;&gt;1,"",SUMIFS($L:$L,$C:$C,$C1472,$D:$D,"P0(후)"))</f>
        <v/>
      </c>
      <c r="R1472" s="30">
        <f>IF(M1472&lt;&gt;"OK","",O1472+(Q1472-O1472)*(H1472-N1472)/(P1472-N1472))</f>
        <v/>
      </c>
      <c r="S1472" s="30">
        <f>IF(OR(M1472&lt;&gt;"OK",NOT(ISNUMBER(L1472))),"",L1472-R1472)</f>
        <v/>
      </c>
      <c r="T1472" s="46">
        <f>IF(OR(NOT(ISNUMBER(S1472)),IF(ISNUMBER(G1472),G1472,F1472)=0),"",S1472/IF(ISNUMBER(G1472),G1472,F1472))</f>
        <v/>
      </c>
      <c r="U1472" s="46">
        <f>IF(ISNUMBER(T1472),ABS(T1472),"")</f>
        <v/>
      </c>
      <c r="V1472" s="46">
        <f>IF(OR($D1471&lt;&gt;"측정",$C1471&lt;&gt;$C1472,NOT(ISNUMBER(L1472)),NOT(ISNUMBER(L1471)),(IF(ISNUMBER(G1472),G1472,F1472)-IF(ISNUMBER(G1471),G1471,F1471))=0),"",(L1472-L1471)/(IF(ISNUMBER(G1472),G1472,F1472)-IF(ISNUMBER(G1471),G1471,F1471)))</f>
        <v/>
      </c>
      <c r="W1472" s="30">
        <f>IF(NOT(AND(ISNUMBER(N1472),ISNUMBER(P1472))),"",(P1472-N1472)*1440)</f>
        <v/>
      </c>
      <c r="X1472" s="28" t="n"/>
      <c r="Y1472" s="28" t="n"/>
      <c r="Z1472" s="28" t="n"/>
      <c r="AA1472" s="31" t="n"/>
      <c r="AB1472" s="31" t="n"/>
    </row>
    <row r="1473">
      <c r="A1473" s="43" t="inlineStr">
        <is>
          <t>S29</t>
        </is>
      </c>
      <c r="B1473" s="43" t="inlineStr">
        <is>
          <t>가야 신규점1</t>
        </is>
      </c>
      <c r="C1473" s="43" t="inlineStr">
        <is>
          <t>S29-H동</t>
        </is>
      </c>
      <c r="D1473" s="43" t="inlineStr">
        <is>
          <t>P0(후)</t>
        </is>
      </c>
      <c r="E1473" s="43" t="inlineStr">
        <is>
          <t>동</t>
        </is>
      </c>
      <c r="F1473" s="44" t="n"/>
      <c r="G1473" s="29" t="n"/>
      <c r="H1473" s="42" t="n"/>
      <c r="I1473" s="40" t="n"/>
      <c r="J1473" s="40" t="n"/>
      <c r="K1473" s="40" t="n"/>
      <c r="L1473" s="30">
        <f>IF(COUNT(I1473:K1473)=0,"",MEDIAN(I1473:K1473))</f>
        <v/>
      </c>
      <c r="M1473" s="37" t="n"/>
      <c r="N1473" s="37" t="n"/>
      <c r="O1473" s="37" t="n"/>
      <c r="P1473" s="37" t="n"/>
      <c r="Q1473" s="37" t="n"/>
      <c r="R1473" s="37" t="n"/>
      <c r="S1473" s="37" t="n"/>
      <c r="T1473" s="37" t="n"/>
      <c r="U1473" s="37" t="n"/>
      <c r="V1473" s="37" t="n"/>
      <c r="W1473" s="37" t="n"/>
      <c r="X1473" s="28" t="n"/>
      <c r="Y1473" s="28" t="n"/>
      <c r="Z1473" s="28" t="n"/>
      <c r="AA1473" s="31" t="n"/>
      <c r="AB1473" s="31" t="n"/>
    </row>
    <row r="1474">
      <c r="A1474" s="43" t="inlineStr">
        <is>
          <t>S29</t>
        </is>
      </c>
      <c r="B1474" s="43" t="inlineStr">
        <is>
          <t>가야 신규점1</t>
        </is>
      </c>
      <c r="C1474" s="43" t="inlineStr">
        <is>
          <t>S29-H서</t>
        </is>
      </c>
      <c r="D1474" s="43" t="inlineStr">
        <is>
          <t>P0(전)</t>
        </is>
      </c>
      <c r="E1474" s="43" t="inlineStr">
        <is>
          <t>서</t>
        </is>
      </c>
      <c r="F1474" s="44" t="n"/>
      <c r="G1474" s="29" t="n"/>
      <c r="H1474" s="42" t="n"/>
      <c r="I1474" s="40" t="n"/>
      <c r="J1474" s="40" t="n"/>
      <c r="K1474" s="40" t="n"/>
      <c r="L1474" s="30">
        <f>IF(COUNT(I1474:K1474)=0,"",MEDIAN(I1474:K1474))</f>
        <v/>
      </c>
      <c r="M1474" s="37" t="n"/>
      <c r="N1474" s="37" t="n"/>
      <c r="O1474" s="37" t="n"/>
      <c r="P1474" s="37" t="n"/>
      <c r="Q1474" s="37" t="n"/>
      <c r="R1474" s="37" t="n"/>
      <c r="S1474" s="37" t="n"/>
      <c r="T1474" s="37" t="n"/>
      <c r="U1474" s="37" t="n"/>
      <c r="V1474" s="37" t="n"/>
      <c r="W1474" s="37" t="n"/>
      <c r="X1474" s="28" t="n"/>
      <c r="Y1474" s="28" t="n"/>
      <c r="Z1474" s="28" t="n"/>
      <c r="AA1474" s="31" t="n"/>
      <c r="AB1474" s="31" t="n"/>
    </row>
    <row r="1475">
      <c r="A1475" s="25" t="inlineStr">
        <is>
          <t>S29</t>
        </is>
      </c>
      <c r="B1475" s="25" t="inlineStr">
        <is>
          <t>가야 신규점1</t>
        </is>
      </c>
      <c r="C1475" s="25" t="inlineStr">
        <is>
          <t>S29-H서</t>
        </is>
      </c>
      <c r="D1475" s="25" t="inlineStr">
        <is>
          <t>측정</t>
        </is>
      </c>
      <c r="E1475" s="25" t="inlineStr">
        <is>
          <t>서</t>
        </is>
      </c>
      <c r="F1475" s="30" t="n">
        <v>0.5</v>
      </c>
      <c r="G1475" s="29" t="n"/>
      <c r="H1475" s="42" t="n"/>
      <c r="I1475" s="40" t="n"/>
      <c r="J1475" s="40" t="n"/>
      <c r="K1475" s="40" t="n"/>
      <c r="L1475" s="30">
        <f>IF(COUNT(I1475:K1475)=0,"",MEDIAN(I1475:K1475))</f>
        <v/>
      </c>
      <c r="M1475" s="25">
        <f>IF(COUNTIFS($C:$C,$C1475,$D:$D,"P0(전)",$L:$L,"&gt;0")&lt;&gt;1,"P0(전) 유효 1개 아님",IF(COUNTIFS($C:$C,$C1475,$D:$D,"P0(후)",$L:$L,"&gt;0")&lt;&gt;1,"P0(후) 유효 1개 아님",IF(NOT(AND(ISNUMBER(N1475),ISNUMBER(P1475),ISNUMBER(H1475))),"시각 결측",IF(P1475&lt;=N1475,"P0 시각 역전",IF(OR(H1475&lt;N1475,H1475&gt;P1475),"측정시각 구간 밖","OK")))))</f>
        <v/>
      </c>
      <c r="N1475" s="45">
        <f>IF(COUNTIFS($C:$C,$C1475,$D:$D,"P0(전)",$L:$L,"&gt;0")&lt;&gt;1,"",SUMIFS($H:$H,$C:$C,$C1475,$D:$D,"P0(전)"))</f>
        <v/>
      </c>
      <c r="O1475" s="30">
        <f>IF(COUNTIFS($C:$C,$C1475,$D:$D,"P0(전)",$L:$L,"&gt;0")&lt;&gt;1,"",SUMIFS($L:$L,$C:$C,$C1475,$D:$D,"P0(전)"))</f>
        <v/>
      </c>
      <c r="P1475" s="45">
        <f>IF(COUNTIFS($C:$C,$C1475,$D:$D,"P0(후)",$L:$L,"&gt;0")&lt;&gt;1,"",SUMIFS($H:$H,$C:$C,$C1475,$D:$D,"P0(후)"))</f>
        <v/>
      </c>
      <c r="Q1475" s="30">
        <f>IF(COUNTIFS($C:$C,$C1475,$D:$D,"P0(후)",$L:$L,"&gt;0")&lt;&gt;1,"",SUMIFS($L:$L,$C:$C,$C1475,$D:$D,"P0(후)"))</f>
        <v/>
      </c>
      <c r="R1475" s="30">
        <f>IF(M1475&lt;&gt;"OK","",O1475+(Q1475-O1475)*(H1475-N1475)/(P1475-N1475))</f>
        <v/>
      </c>
      <c r="S1475" s="30">
        <f>IF(OR(M1475&lt;&gt;"OK",NOT(ISNUMBER(L1475))),"",L1475-R1475)</f>
        <v/>
      </c>
      <c r="T1475" s="46">
        <f>IF(OR(NOT(ISNUMBER(S1475)),IF(ISNUMBER(G1475),G1475,F1475)=0),"",S1475/IF(ISNUMBER(G1475),G1475,F1475))</f>
        <v/>
      </c>
      <c r="U1475" s="46">
        <f>IF(ISNUMBER(T1475),ABS(T1475),"")</f>
        <v/>
      </c>
      <c r="V1475" s="46">
        <f>IF(OR($D1474&lt;&gt;"측정",$C1474&lt;&gt;$C1475,NOT(ISNUMBER(L1475)),NOT(ISNUMBER(L1474)),(IF(ISNUMBER(G1475),G1475,F1475)-IF(ISNUMBER(G1474),G1474,F1474))=0),"",(L1475-L1474)/(IF(ISNUMBER(G1475),G1475,F1475)-IF(ISNUMBER(G1474),G1474,F1474)))</f>
        <v/>
      </c>
      <c r="W1475" s="30">
        <f>IF(NOT(AND(ISNUMBER(N1475),ISNUMBER(P1475))),"",(P1475-N1475)*1440)</f>
        <v/>
      </c>
      <c r="X1475" s="28" t="n"/>
      <c r="Y1475" s="28" t="n"/>
      <c r="Z1475" s="28" t="n"/>
      <c r="AA1475" s="31" t="n"/>
      <c r="AB1475" s="31" t="n"/>
    </row>
    <row r="1476">
      <c r="A1476" s="25" t="inlineStr">
        <is>
          <t>S29</t>
        </is>
      </c>
      <c r="B1476" s="25" t="inlineStr">
        <is>
          <t>가야 신규점1</t>
        </is>
      </c>
      <c r="C1476" s="25" t="inlineStr">
        <is>
          <t>S29-H서</t>
        </is>
      </c>
      <c r="D1476" s="25" t="inlineStr">
        <is>
          <t>측정</t>
        </is>
      </c>
      <c r="E1476" s="25" t="inlineStr">
        <is>
          <t>서</t>
        </is>
      </c>
      <c r="F1476" s="30" t="n">
        <v>1</v>
      </c>
      <c r="G1476" s="29" t="n"/>
      <c r="H1476" s="42" t="n"/>
      <c r="I1476" s="40" t="n"/>
      <c r="J1476" s="40" t="n"/>
      <c r="K1476" s="40" t="n"/>
      <c r="L1476" s="30">
        <f>IF(COUNT(I1476:K1476)=0,"",MEDIAN(I1476:K1476))</f>
        <v/>
      </c>
      <c r="M1476" s="25">
        <f>IF(COUNTIFS($C:$C,$C1476,$D:$D,"P0(전)",$L:$L,"&gt;0")&lt;&gt;1,"P0(전) 유효 1개 아님",IF(COUNTIFS($C:$C,$C1476,$D:$D,"P0(후)",$L:$L,"&gt;0")&lt;&gt;1,"P0(후) 유효 1개 아님",IF(NOT(AND(ISNUMBER(N1476),ISNUMBER(P1476),ISNUMBER(H1476))),"시각 결측",IF(P1476&lt;=N1476,"P0 시각 역전",IF(OR(H1476&lt;N1476,H1476&gt;P1476),"측정시각 구간 밖","OK")))))</f>
        <v/>
      </c>
      <c r="N1476" s="45">
        <f>IF(COUNTIFS($C:$C,$C1476,$D:$D,"P0(전)",$L:$L,"&gt;0")&lt;&gt;1,"",SUMIFS($H:$H,$C:$C,$C1476,$D:$D,"P0(전)"))</f>
        <v/>
      </c>
      <c r="O1476" s="30">
        <f>IF(COUNTIFS($C:$C,$C1476,$D:$D,"P0(전)",$L:$L,"&gt;0")&lt;&gt;1,"",SUMIFS($L:$L,$C:$C,$C1476,$D:$D,"P0(전)"))</f>
        <v/>
      </c>
      <c r="P1476" s="45">
        <f>IF(COUNTIFS($C:$C,$C1476,$D:$D,"P0(후)",$L:$L,"&gt;0")&lt;&gt;1,"",SUMIFS($H:$H,$C:$C,$C1476,$D:$D,"P0(후)"))</f>
        <v/>
      </c>
      <c r="Q1476" s="30">
        <f>IF(COUNTIFS($C:$C,$C1476,$D:$D,"P0(후)",$L:$L,"&gt;0")&lt;&gt;1,"",SUMIFS($L:$L,$C:$C,$C1476,$D:$D,"P0(후)"))</f>
        <v/>
      </c>
      <c r="R1476" s="30">
        <f>IF(M1476&lt;&gt;"OK","",O1476+(Q1476-O1476)*(H1476-N1476)/(P1476-N1476))</f>
        <v/>
      </c>
      <c r="S1476" s="30">
        <f>IF(OR(M1476&lt;&gt;"OK",NOT(ISNUMBER(L1476))),"",L1476-R1476)</f>
        <v/>
      </c>
      <c r="T1476" s="46">
        <f>IF(OR(NOT(ISNUMBER(S1476)),IF(ISNUMBER(G1476),G1476,F1476)=0),"",S1476/IF(ISNUMBER(G1476),G1476,F1476))</f>
        <v/>
      </c>
      <c r="U1476" s="46">
        <f>IF(ISNUMBER(T1476),ABS(T1476),"")</f>
        <v/>
      </c>
      <c r="V1476" s="46">
        <f>IF(OR($D1475&lt;&gt;"측정",$C1475&lt;&gt;$C1476,NOT(ISNUMBER(L1476)),NOT(ISNUMBER(L1475)),(IF(ISNUMBER(G1476),G1476,F1476)-IF(ISNUMBER(G1475),G1475,F1475))=0),"",(L1476-L1475)/(IF(ISNUMBER(G1476),G1476,F1476)-IF(ISNUMBER(G1475),G1475,F1475)))</f>
        <v/>
      </c>
      <c r="W1476" s="30">
        <f>IF(NOT(AND(ISNUMBER(N1476),ISNUMBER(P1476))),"",(P1476-N1476)*1440)</f>
        <v/>
      </c>
      <c r="X1476" s="28" t="n"/>
      <c r="Y1476" s="28" t="n"/>
      <c r="Z1476" s="28" t="n"/>
      <c r="AA1476" s="31" t="n"/>
      <c r="AB1476" s="31" t="n"/>
    </row>
    <row r="1477">
      <c r="A1477" s="25" t="inlineStr">
        <is>
          <t>S29</t>
        </is>
      </c>
      <c r="B1477" s="25" t="inlineStr">
        <is>
          <t>가야 신규점1</t>
        </is>
      </c>
      <c r="C1477" s="25" t="inlineStr">
        <is>
          <t>S29-H서</t>
        </is>
      </c>
      <c r="D1477" s="25" t="inlineStr">
        <is>
          <t>측정</t>
        </is>
      </c>
      <c r="E1477" s="25" t="inlineStr">
        <is>
          <t>서</t>
        </is>
      </c>
      <c r="F1477" s="30" t="n">
        <v>2</v>
      </c>
      <c r="G1477" s="29" t="n"/>
      <c r="H1477" s="42" t="n"/>
      <c r="I1477" s="40" t="n"/>
      <c r="J1477" s="40" t="n"/>
      <c r="K1477" s="40" t="n"/>
      <c r="L1477" s="30">
        <f>IF(COUNT(I1477:K1477)=0,"",MEDIAN(I1477:K1477))</f>
        <v/>
      </c>
      <c r="M1477" s="25">
        <f>IF(COUNTIFS($C:$C,$C1477,$D:$D,"P0(전)",$L:$L,"&gt;0")&lt;&gt;1,"P0(전) 유효 1개 아님",IF(COUNTIFS($C:$C,$C1477,$D:$D,"P0(후)",$L:$L,"&gt;0")&lt;&gt;1,"P0(후) 유효 1개 아님",IF(NOT(AND(ISNUMBER(N1477),ISNUMBER(P1477),ISNUMBER(H1477))),"시각 결측",IF(P1477&lt;=N1477,"P0 시각 역전",IF(OR(H1477&lt;N1477,H1477&gt;P1477),"측정시각 구간 밖","OK")))))</f>
        <v/>
      </c>
      <c r="N1477" s="45">
        <f>IF(COUNTIFS($C:$C,$C1477,$D:$D,"P0(전)",$L:$L,"&gt;0")&lt;&gt;1,"",SUMIFS($H:$H,$C:$C,$C1477,$D:$D,"P0(전)"))</f>
        <v/>
      </c>
      <c r="O1477" s="30">
        <f>IF(COUNTIFS($C:$C,$C1477,$D:$D,"P0(전)",$L:$L,"&gt;0")&lt;&gt;1,"",SUMIFS($L:$L,$C:$C,$C1477,$D:$D,"P0(전)"))</f>
        <v/>
      </c>
      <c r="P1477" s="45">
        <f>IF(COUNTIFS($C:$C,$C1477,$D:$D,"P0(후)",$L:$L,"&gt;0")&lt;&gt;1,"",SUMIFS($H:$H,$C:$C,$C1477,$D:$D,"P0(후)"))</f>
        <v/>
      </c>
      <c r="Q1477" s="30">
        <f>IF(COUNTIFS($C:$C,$C1477,$D:$D,"P0(후)",$L:$L,"&gt;0")&lt;&gt;1,"",SUMIFS($L:$L,$C:$C,$C1477,$D:$D,"P0(후)"))</f>
        <v/>
      </c>
      <c r="R1477" s="30">
        <f>IF(M1477&lt;&gt;"OK","",O1477+(Q1477-O1477)*(H1477-N1477)/(P1477-N1477))</f>
        <v/>
      </c>
      <c r="S1477" s="30">
        <f>IF(OR(M1477&lt;&gt;"OK",NOT(ISNUMBER(L1477))),"",L1477-R1477)</f>
        <v/>
      </c>
      <c r="T1477" s="46">
        <f>IF(OR(NOT(ISNUMBER(S1477)),IF(ISNUMBER(G1477),G1477,F1477)=0),"",S1477/IF(ISNUMBER(G1477),G1477,F1477))</f>
        <v/>
      </c>
      <c r="U1477" s="46">
        <f>IF(ISNUMBER(T1477),ABS(T1477),"")</f>
        <v/>
      </c>
      <c r="V1477" s="46">
        <f>IF(OR($D1476&lt;&gt;"측정",$C1476&lt;&gt;$C1477,NOT(ISNUMBER(L1477)),NOT(ISNUMBER(L1476)),(IF(ISNUMBER(G1477),G1477,F1477)-IF(ISNUMBER(G1476),G1476,F1476))=0),"",(L1477-L1476)/(IF(ISNUMBER(G1477),G1477,F1477)-IF(ISNUMBER(G1476),G1476,F1476)))</f>
        <v/>
      </c>
      <c r="W1477" s="30">
        <f>IF(NOT(AND(ISNUMBER(N1477),ISNUMBER(P1477))),"",(P1477-N1477)*1440)</f>
        <v/>
      </c>
      <c r="X1477" s="28" t="n"/>
      <c r="Y1477" s="28" t="n"/>
      <c r="Z1477" s="28" t="n"/>
      <c r="AA1477" s="31" t="n"/>
      <c r="AB1477" s="31" t="n"/>
    </row>
    <row r="1478">
      <c r="A1478" s="25" t="inlineStr">
        <is>
          <t>S29</t>
        </is>
      </c>
      <c r="B1478" s="25" t="inlineStr">
        <is>
          <t>가야 신규점1</t>
        </is>
      </c>
      <c r="C1478" s="25" t="inlineStr">
        <is>
          <t>S29-H서</t>
        </is>
      </c>
      <c r="D1478" s="25" t="inlineStr">
        <is>
          <t>측정</t>
        </is>
      </c>
      <c r="E1478" s="25" t="inlineStr">
        <is>
          <t>서</t>
        </is>
      </c>
      <c r="F1478" s="30" t="n">
        <v>3</v>
      </c>
      <c r="G1478" s="29" t="n"/>
      <c r="H1478" s="42" t="n"/>
      <c r="I1478" s="40" t="n"/>
      <c r="J1478" s="40" t="n"/>
      <c r="K1478" s="40" t="n"/>
      <c r="L1478" s="30">
        <f>IF(COUNT(I1478:K1478)=0,"",MEDIAN(I1478:K1478))</f>
        <v/>
      </c>
      <c r="M1478" s="25">
        <f>IF(COUNTIFS($C:$C,$C1478,$D:$D,"P0(전)",$L:$L,"&gt;0")&lt;&gt;1,"P0(전) 유효 1개 아님",IF(COUNTIFS($C:$C,$C1478,$D:$D,"P0(후)",$L:$L,"&gt;0")&lt;&gt;1,"P0(후) 유효 1개 아님",IF(NOT(AND(ISNUMBER(N1478),ISNUMBER(P1478),ISNUMBER(H1478))),"시각 결측",IF(P1478&lt;=N1478,"P0 시각 역전",IF(OR(H1478&lt;N1478,H1478&gt;P1478),"측정시각 구간 밖","OK")))))</f>
        <v/>
      </c>
      <c r="N1478" s="45">
        <f>IF(COUNTIFS($C:$C,$C1478,$D:$D,"P0(전)",$L:$L,"&gt;0")&lt;&gt;1,"",SUMIFS($H:$H,$C:$C,$C1478,$D:$D,"P0(전)"))</f>
        <v/>
      </c>
      <c r="O1478" s="30">
        <f>IF(COUNTIFS($C:$C,$C1478,$D:$D,"P0(전)",$L:$L,"&gt;0")&lt;&gt;1,"",SUMIFS($L:$L,$C:$C,$C1478,$D:$D,"P0(전)"))</f>
        <v/>
      </c>
      <c r="P1478" s="45">
        <f>IF(COUNTIFS($C:$C,$C1478,$D:$D,"P0(후)",$L:$L,"&gt;0")&lt;&gt;1,"",SUMIFS($H:$H,$C:$C,$C1478,$D:$D,"P0(후)"))</f>
        <v/>
      </c>
      <c r="Q1478" s="30">
        <f>IF(COUNTIFS($C:$C,$C1478,$D:$D,"P0(후)",$L:$L,"&gt;0")&lt;&gt;1,"",SUMIFS($L:$L,$C:$C,$C1478,$D:$D,"P0(후)"))</f>
        <v/>
      </c>
      <c r="R1478" s="30">
        <f>IF(M1478&lt;&gt;"OK","",O1478+(Q1478-O1478)*(H1478-N1478)/(P1478-N1478))</f>
        <v/>
      </c>
      <c r="S1478" s="30">
        <f>IF(OR(M1478&lt;&gt;"OK",NOT(ISNUMBER(L1478))),"",L1478-R1478)</f>
        <v/>
      </c>
      <c r="T1478" s="46">
        <f>IF(OR(NOT(ISNUMBER(S1478)),IF(ISNUMBER(G1478),G1478,F1478)=0),"",S1478/IF(ISNUMBER(G1478),G1478,F1478))</f>
        <v/>
      </c>
      <c r="U1478" s="46">
        <f>IF(ISNUMBER(T1478),ABS(T1478),"")</f>
        <v/>
      </c>
      <c r="V1478" s="46">
        <f>IF(OR($D1477&lt;&gt;"측정",$C1477&lt;&gt;$C1478,NOT(ISNUMBER(L1478)),NOT(ISNUMBER(L1477)),(IF(ISNUMBER(G1478),G1478,F1478)-IF(ISNUMBER(G1477),G1477,F1477))=0),"",(L1478-L1477)/(IF(ISNUMBER(G1478),G1478,F1478)-IF(ISNUMBER(G1477),G1477,F1477)))</f>
        <v/>
      </c>
      <c r="W1478" s="30">
        <f>IF(NOT(AND(ISNUMBER(N1478),ISNUMBER(P1478))),"",(P1478-N1478)*1440)</f>
        <v/>
      </c>
      <c r="X1478" s="28" t="n"/>
      <c r="Y1478" s="28" t="n"/>
      <c r="Z1478" s="28" t="n"/>
      <c r="AA1478" s="31" t="n"/>
      <c r="AB1478" s="31" t="n"/>
    </row>
    <row r="1479">
      <c r="A1479" s="25" t="inlineStr">
        <is>
          <t>S29</t>
        </is>
      </c>
      <c r="B1479" s="25" t="inlineStr">
        <is>
          <t>가야 신규점1</t>
        </is>
      </c>
      <c r="C1479" s="25" t="inlineStr">
        <is>
          <t>S29-H서</t>
        </is>
      </c>
      <c r="D1479" s="25" t="inlineStr">
        <is>
          <t>측정</t>
        </is>
      </c>
      <c r="E1479" s="25" t="inlineStr">
        <is>
          <t>서</t>
        </is>
      </c>
      <c r="F1479" s="30" t="n">
        <v>4</v>
      </c>
      <c r="G1479" s="29" t="n"/>
      <c r="H1479" s="42" t="n"/>
      <c r="I1479" s="40" t="n"/>
      <c r="J1479" s="40" t="n"/>
      <c r="K1479" s="40" t="n"/>
      <c r="L1479" s="30">
        <f>IF(COUNT(I1479:K1479)=0,"",MEDIAN(I1479:K1479))</f>
        <v/>
      </c>
      <c r="M1479" s="25">
        <f>IF(COUNTIFS($C:$C,$C1479,$D:$D,"P0(전)",$L:$L,"&gt;0")&lt;&gt;1,"P0(전) 유효 1개 아님",IF(COUNTIFS($C:$C,$C1479,$D:$D,"P0(후)",$L:$L,"&gt;0")&lt;&gt;1,"P0(후) 유효 1개 아님",IF(NOT(AND(ISNUMBER(N1479),ISNUMBER(P1479),ISNUMBER(H1479))),"시각 결측",IF(P1479&lt;=N1479,"P0 시각 역전",IF(OR(H1479&lt;N1479,H1479&gt;P1479),"측정시각 구간 밖","OK")))))</f>
        <v/>
      </c>
      <c r="N1479" s="45">
        <f>IF(COUNTIFS($C:$C,$C1479,$D:$D,"P0(전)",$L:$L,"&gt;0")&lt;&gt;1,"",SUMIFS($H:$H,$C:$C,$C1479,$D:$D,"P0(전)"))</f>
        <v/>
      </c>
      <c r="O1479" s="30">
        <f>IF(COUNTIFS($C:$C,$C1479,$D:$D,"P0(전)",$L:$L,"&gt;0")&lt;&gt;1,"",SUMIFS($L:$L,$C:$C,$C1479,$D:$D,"P0(전)"))</f>
        <v/>
      </c>
      <c r="P1479" s="45">
        <f>IF(COUNTIFS($C:$C,$C1479,$D:$D,"P0(후)",$L:$L,"&gt;0")&lt;&gt;1,"",SUMIFS($H:$H,$C:$C,$C1479,$D:$D,"P0(후)"))</f>
        <v/>
      </c>
      <c r="Q1479" s="30">
        <f>IF(COUNTIFS($C:$C,$C1479,$D:$D,"P0(후)",$L:$L,"&gt;0")&lt;&gt;1,"",SUMIFS($L:$L,$C:$C,$C1479,$D:$D,"P0(후)"))</f>
        <v/>
      </c>
      <c r="R1479" s="30">
        <f>IF(M1479&lt;&gt;"OK","",O1479+(Q1479-O1479)*(H1479-N1479)/(P1479-N1479))</f>
        <v/>
      </c>
      <c r="S1479" s="30">
        <f>IF(OR(M1479&lt;&gt;"OK",NOT(ISNUMBER(L1479))),"",L1479-R1479)</f>
        <v/>
      </c>
      <c r="T1479" s="46">
        <f>IF(OR(NOT(ISNUMBER(S1479)),IF(ISNUMBER(G1479),G1479,F1479)=0),"",S1479/IF(ISNUMBER(G1479),G1479,F1479))</f>
        <v/>
      </c>
      <c r="U1479" s="46">
        <f>IF(ISNUMBER(T1479),ABS(T1479),"")</f>
        <v/>
      </c>
      <c r="V1479" s="46">
        <f>IF(OR($D1478&lt;&gt;"측정",$C1478&lt;&gt;$C1479,NOT(ISNUMBER(L1479)),NOT(ISNUMBER(L1478)),(IF(ISNUMBER(G1479),G1479,F1479)-IF(ISNUMBER(G1478),G1478,F1478))=0),"",(L1479-L1478)/(IF(ISNUMBER(G1479),G1479,F1479)-IF(ISNUMBER(G1478),G1478,F1478)))</f>
        <v/>
      </c>
      <c r="W1479" s="30">
        <f>IF(NOT(AND(ISNUMBER(N1479),ISNUMBER(P1479))),"",(P1479-N1479)*1440)</f>
        <v/>
      </c>
      <c r="X1479" s="28" t="n"/>
      <c r="Y1479" s="28" t="n"/>
      <c r="Z1479" s="28" t="n"/>
      <c r="AA1479" s="31" t="n"/>
      <c r="AB1479" s="31" t="n"/>
    </row>
    <row r="1480">
      <c r="A1480" s="25" t="inlineStr">
        <is>
          <t>S29</t>
        </is>
      </c>
      <c r="B1480" s="25" t="inlineStr">
        <is>
          <t>가야 신규점1</t>
        </is>
      </c>
      <c r="C1480" s="25" t="inlineStr">
        <is>
          <t>S29-H서</t>
        </is>
      </c>
      <c r="D1480" s="25" t="inlineStr">
        <is>
          <t>측정</t>
        </is>
      </c>
      <c r="E1480" s="25" t="inlineStr">
        <is>
          <t>서</t>
        </is>
      </c>
      <c r="F1480" s="30" t="n">
        <v>5</v>
      </c>
      <c r="G1480" s="29" t="n"/>
      <c r="H1480" s="42" t="n"/>
      <c r="I1480" s="40" t="n"/>
      <c r="J1480" s="40" t="n"/>
      <c r="K1480" s="40" t="n"/>
      <c r="L1480" s="30">
        <f>IF(COUNT(I1480:K1480)=0,"",MEDIAN(I1480:K1480))</f>
        <v/>
      </c>
      <c r="M1480" s="25">
        <f>IF(COUNTIFS($C:$C,$C1480,$D:$D,"P0(전)",$L:$L,"&gt;0")&lt;&gt;1,"P0(전) 유효 1개 아님",IF(COUNTIFS($C:$C,$C1480,$D:$D,"P0(후)",$L:$L,"&gt;0")&lt;&gt;1,"P0(후) 유효 1개 아님",IF(NOT(AND(ISNUMBER(N1480),ISNUMBER(P1480),ISNUMBER(H1480))),"시각 결측",IF(P1480&lt;=N1480,"P0 시각 역전",IF(OR(H1480&lt;N1480,H1480&gt;P1480),"측정시각 구간 밖","OK")))))</f>
        <v/>
      </c>
      <c r="N1480" s="45">
        <f>IF(COUNTIFS($C:$C,$C1480,$D:$D,"P0(전)",$L:$L,"&gt;0")&lt;&gt;1,"",SUMIFS($H:$H,$C:$C,$C1480,$D:$D,"P0(전)"))</f>
        <v/>
      </c>
      <c r="O1480" s="30">
        <f>IF(COUNTIFS($C:$C,$C1480,$D:$D,"P0(전)",$L:$L,"&gt;0")&lt;&gt;1,"",SUMIFS($L:$L,$C:$C,$C1480,$D:$D,"P0(전)"))</f>
        <v/>
      </c>
      <c r="P1480" s="45">
        <f>IF(COUNTIFS($C:$C,$C1480,$D:$D,"P0(후)",$L:$L,"&gt;0")&lt;&gt;1,"",SUMIFS($H:$H,$C:$C,$C1480,$D:$D,"P0(후)"))</f>
        <v/>
      </c>
      <c r="Q1480" s="30">
        <f>IF(COUNTIFS($C:$C,$C1480,$D:$D,"P0(후)",$L:$L,"&gt;0")&lt;&gt;1,"",SUMIFS($L:$L,$C:$C,$C1480,$D:$D,"P0(후)"))</f>
        <v/>
      </c>
      <c r="R1480" s="30">
        <f>IF(M1480&lt;&gt;"OK","",O1480+(Q1480-O1480)*(H1480-N1480)/(P1480-N1480))</f>
        <v/>
      </c>
      <c r="S1480" s="30">
        <f>IF(OR(M1480&lt;&gt;"OK",NOT(ISNUMBER(L1480))),"",L1480-R1480)</f>
        <v/>
      </c>
      <c r="T1480" s="46">
        <f>IF(OR(NOT(ISNUMBER(S1480)),IF(ISNUMBER(G1480),G1480,F1480)=0),"",S1480/IF(ISNUMBER(G1480),G1480,F1480))</f>
        <v/>
      </c>
      <c r="U1480" s="46">
        <f>IF(ISNUMBER(T1480),ABS(T1480),"")</f>
        <v/>
      </c>
      <c r="V1480" s="46">
        <f>IF(OR($D1479&lt;&gt;"측정",$C1479&lt;&gt;$C1480,NOT(ISNUMBER(L1480)),NOT(ISNUMBER(L1479)),(IF(ISNUMBER(G1480),G1480,F1480)-IF(ISNUMBER(G1479),G1479,F1479))=0),"",(L1480-L1479)/(IF(ISNUMBER(G1480),G1480,F1480)-IF(ISNUMBER(G1479),G1479,F1479)))</f>
        <v/>
      </c>
      <c r="W1480" s="30">
        <f>IF(NOT(AND(ISNUMBER(N1480),ISNUMBER(P1480))),"",(P1480-N1480)*1440)</f>
        <v/>
      </c>
      <c r="X1480" s="28" t="n"/>
      <c r="Y1480" s="28" t="n"/>
      <c r="Z1480" s="28" t="n"/>
      <c r="AA1480" s="31" t="n"/>
      <c r="AB1480" s="31" t="n"/>
    </row>
    <row r="1481">
      <c r="A1481" s="25" t="inlineStr">
        <is>
          <t>S29</t>
        </is>
      </c>
      <c r="B1481" s="25" t="inlineStr">
        <is>
          <t>가야 신규점1</t>
        </is>
      </c>
      <c r="C1481" s="25" t="inlineStr">
        <is>
          <t>S29-H서</t>
        </is>
      </c>
      <c r="D1481" s="25" t="inlineStr">
        <is>
          <t>측정</t>
        </is>
      </c>
      <c r="E1481" s="25" t="inlineStr">
        <is>
          <t>서</t>
        </is>
      </c>
      <c r="F1481" s="30" t="n">
        <v>6</v>
      </c>
      <c r="G1481" s="29" t="n"/>
      <c r="H1481" s="42" t="n"/>
      <c r="I1481" s="40" t="n"/>
      <c r="J1481" s="40" t="n"/>
      <c r="K1481" s="40" t="n"/>
      <c r="L1481" s="30">
        <f>IF(COUNT(I1481:K1481)=0,"",MEDIAN(I1481:K1481))</f>
        <v/>
      </c>
      <c r="M1481" s="25">
        <f>IF(COUNTIFS($C:$C,$C1481,$D:$D,"P0(전)",$L:$L,"&gt;0")&lt;&gt;1,"P0(전) 유효 1개 아님",IF(COUNTIFS($C:$C,$C1481,$D:$D,"P0(후)",$L:$L,"&gt;0")&lt;&gt;1,"P0(후) 유효 1개 아님",IF(NOT(AND(ISNUMBER(N1481),ISNUMBER(P1481),ISNUMBER(H1481))),"시각 결측",IF(P1481&lt;=N1481,"P0 시각 역전",IF(OR(H1481&lt;N1481,H1481&gt;P1481),"측정시각 구간 밖","OK")))))</f>
        <v/>
      </c>
      <c r="N1481" s="45">
        <f>IF(COUNTIFS($C:$C,$C1481,$D:$D,"P0(전)",$L:$L,"&gt;0")&lt;&gt;1,"",SUMIFS($H:$H,$C:$C,$C1481,$D:$D,"P0(전)"))</f>
        <v/>
      </c>
      <c r="O1481" s="30">
        <f>IF(COUNTIFS($C:$C,$C1481,$D:$D,"P0(전)",$L:$L,"&gt;0")&lt;&gt;1,"",SUMIFS($L:$L,$C:$C,$C1481,$D:$D,"P0(전)"))</f>
        <v/>
      </c>
      <c r="P1481" s="45">
        <f>IF(COUNTIFS($C:$C,$C1481,$D:$D,"P0(후)",$L:$L,"&gt;0")&lt;&gt;1,"",SUMIFS($H:$H,$C:$C,$C1481,$D:$D,"P0(후)"))</f>
        <v/>
      </c>
      <c r="Q1481" s="30">
        <f>IF(COUNTIFS($C:$C,$C1481,$D:$D,"P0(후)",$L:$L,"&gt;0")&lt;&gt;1,"",SUMIFS($L:$L,$C:$C,$C1481,$D:$D,"P0(후)"))</f>
        <v/>
      </c>
      <c r="R1481" s="30">
        <f>IF(M1481&lt;&gt;"OK","",O1481+(Q1481-O1481)*(H1481-N1481)/(P1481-N1481))</f>
        <v/>
      </c>
      <c r="S1481" s="30">
        <f>IF(OR(M1481&lt;&gt;"OK",NOT(ISNUMBER(L1481))),"",L1481-R1481)</f>
        <v/>
      </c>
      <c r="T1481" s="46">
        <f>IF(OR(NOT(ISNUMBER(S1481)),IF(ISNUMBER(G1481),G1481,F1481)=0),"",S1481/IF(ISNUMBER(G1481),G1481,F1481))</f>
        <v/>
      </c>
      <c r="U1481" s="46">
        <f>IF(ISNUMBER(T1481),ABS(T1481),"")</f>
        <v/>
      </c>
      <c r="V1481" s="46">
        <f>IF(OR($D1480&lt;&gt;"측정",$C1480&lt;&gt;$C1481,NOT(ISNUMBER(L1481)),NOT(ISNUMBER(L1480)),(IF(ISNUMBER(G1481),G1481,F1481)-IF(ISNUMBER(G1480),G1480,F1480))=0),"",(L1481-L1480)/(IF(ISNUMBER(G1481),G1481,F1481)-IF(ISNUMBER(G1480),G1480,F1480)))</f>
        <v/>
      </c>
      <c r="W1481" s="30">
        <f>IF(NOT(AND(ISNUMBER(N1481),ISNUMBER(P1481))),"",(P1481-N1481)*1440)</f>
        <v/>
      </c>
      <c r="X1481" s="28" t="n"/>
      <c r="Y1481" s="28" t="n"/>
      <c r="Z1481" s="28" t="n"/>
      <c r="AA1481" s="31" t="n"/>
      <c r="AB1481" s="31" t="n"/>
    </row>
    <row r="1482">
      <c r="A1482" s="25" t="inlineStr">
        <is>
          <t>S29</t>
        </is>
      </c>
      <c r="B1482" s="25" t="inlineStr">
        <is>
          <t>가야 신규점1</t>
        </is>
      </c>
      <c r="C1482" s="25" t="inlineStr">
        <is>
          <t>S29-H서</t>
        </is>
      </c>
      <c r="D1482" s="25" t="inlineStr">
        <is>
          <t>측정</t>
        </is>
      </c>
      <c r="E1482" s="25" t="inlineStr">
        <is>
          <t>서</t>
        </is>
      </c>
      <c r="F1482" s="30" t="n">
        <v>7</v>
      </c>
      <c r="G1482" s="29" t="n"/>
      <c r="H1482" s="42" t="n"/>
      <c r="I1482" s="40" t="n"/>
      <c r="J1482" s="40" t="n"/>
      <c r="K1482" s="40" t="n"/>
      <c r="L1482" s="30">
        <f>IF(COUNT(I1482:K1482)=0,"",MEDIAN(I1482:K1482))</f>
        <v/>
      </c>
      <c r="M1482" s="25">
        <f>IF(COUNTIFS($C:$C,$C1482,$D:$D,"P0(전)",$L:$L,"&gt;0")&lt;&gt;1,"P0(전) 유효 1개 아님",IF(COUNTIFS($C:$C,$C1482,$D:$D,"P0(후)",$L:$L,"&gt;0")&lt;&gt;1,"P0(후) 유효 1개 아님",IF(NOT(AND(ISNUMBER(N1482),ISNUMBER(P1482),ISNUMBER(H1482))),"시각 결측",IF(P1482&lt;=N1482,"P0 시각 역전",IF(OR(H1482&lt;N1482,H1482&gt;P1482),"측정시각 구간 밖","OK")))))</f>
        <v/>
      </c>
      <c r="N1482" s="45">
        <f>IF(COUNTIFS($C:$C,$C1482,$D:$D,"P0(전)",$L:$L,"&gt;0")&lt;&gt;1,"",SUMIFS($H:$H,$C:$C,$C1482,$D:$D,"P0(전)"))</f>
        <v/>
      </c>
      <c r="O1482" s="30">
        <f>IF(COUNTIFS($C:$C,$C1482,$D:$D,"P0(전)",$L:$L,"&gt;0")&lt;&gt;1,"",SUMIFS($L:$L,$C:$C,$C1482,$D:$D,"P0(전)"))</f>
        <v/>
      </c>
      <c r="P1482" s="45">
        <f>IF(COUNTIFS($C:$C,$C1482,$D:$D,"P0(후)",$L:$L,"&gt;0")&lt;&gt;1,"",SUMIFS($H:$H,$C:$C,$C1482,$D:$D,"P0(후)"))</f>
        <v/>
      </c>
      <c r="Q1482" s="30">
        <f>IF(COUNTIFS($C:$C,$C1482,$D:$D,"P0(후)",$L:$L,"&gt;0")&lt;&gt;1,"",SUMIFS($L:$L,$C:$C,$C1482,$D:$D,"P0(후)"))</f>
        <v/>
      </c>
      <c r="R1482" s="30">
        <f>IF(M1482&lt;&gt;"OK","",O1482+(Q1482-O1482)*(H1482-N1482)/(P1482-N1482))</f>
        <v/>
      </c>
      <c r="S1482" s="30">
        <f>IF(OR(M1482&lt;&gt;"OK",NOT(ISNUMBER(L1482))),"",L1482-R1482)</f>
        <v/>
      </c>
      <c r="T1482" s="46">
        <f>IF(OR(NOT(ISNUMBER(S1482)),IF(ISNUMBER(G1482),G1482,F1482)=0),"",S1482/IF(ISNUMBER(G1482),G1482,F1482))</f>
        <v/>
      </c>
      <c r="U1482" s="46">
        <f>IF(ISNUMBER(T1482),ABS(T1482),"")</f>
        <v/>
      </c>
      <c r="V1482" s="46">
        <f>IF(OR($D1481&lt;&gt;"측정",$C1481&lt;&gt;$C1482,NOT(ISNUMBER(L1482)),NOT(ISNUMBER(L1481)),(IF(ISNUMBER(G1482),G1482,F1482)-IF(ISNUMBER(G1481),G1481,F1481))=0),"",(L1482-L1481)/(IF(ISNUMBER(G1482),G1482,F1482)-IF(ISNUMBER(G1481),G1481,F1481)))</f>
        <v/>
      </c>
      <c r="W1482" s="30">
        <f>IF(NOT(AND(ISNUMBER(N1482),ISNUMBER(P1482))),"",(P1482-N1482)*1440)</f>
        <v/>
      </c>
      <c r="X1482" s="28" t="n"/>
      <c r="Y1482" s="28" t="n"/>
      <c r="Z1482" s="28" t="n"/>
      <c r="AA1482" s="31" t="n"/>
      <c r="AB1482" s="31" t="n"/>
    </row>
    <row r="1483">
      <c r="A1483" s="25" t="inlineStr">
        <is>
          <t>S29</t>
        </is>
      </c>
      <c r="B1483" s="25" t="inlineStr">
        <is>
          <t>가야 신규점1</t>
        </is>
      </c>
      <c r="C1483" s="25" t="inlineStr">
        <is>
          <t>S29-H서</t>
        </is>
      </c>
      <c r="D1483" s="25" t="inlineStr">
        <is>
          <t>측정</t>
        </is>
      </c>
      <c r="E1483" s="25" t="inlineStr">
        <is>
          <t>서</t>
        </is>
      </c>
      <c r="F1483" s="30" t="n">
        <v>8</v>
      </c>
      <c r="G1483" s="29" t="n"/>
      <c r="H1483" s="42" t="n"/>
      <c r="I1483" s="40" t="n"/>
      <c r="J1483" s="40" t="n"/>
      <c r="K1483" s="40" t="n"/>
      <c r="L1483" s="30">
        <f>IF(COUNT(I1483:K1483)=0,"",MEDIAN(I1483:K1483))</f>
        <v/>
      </c>
      <c r="M1483" s="25">
        <f>IF(COUNTIFS($C:$C,$C1483,$D:$D,"P0(전)",$L:$L,"&gt;0")&lt;&gt;1,"P0(전) 유효 1개 아님",IF(COUNTIFS($C:$C,$C1483,$D:$D,"P0(후)",$L:$L,"&gt;0")&lt;&gt;1,"P0(후) 유효 1개 아님",IF(NOT(AND(ISNUMBER(N1483),ISNUMBER(P1483),ISNUMBER(H1483))),"시각 결측",IF(P1483&lt;=N1483,"P0 시각 역전",IF(OR(H1483&lt;N1483,H1483&gt;P1483),"측정시각 구간 밖","OK")))))</f>
        <v/>
      </c>
      <c r="N1483" s="45">
        <f>IF(COUNTIFS($C:$C,$C1483,$D:$D,"P0(전)",$L:$L,"&gt;0")&lt;&gt;1,"",SUMIFS($H:$H,$C:$C,$C1483,$D:$D,"P0(전)"))</f>
        <v/>
      </c>
      <c r="O1483" s="30">
        <f>IF(COUNTIFS($C:$C,$C1483,$D:$D,"P0(전)",$L:$L,"&gt;0")&lt;&gt;1,"",SUMIFS($L:$L,$C:$C,$C1483,$D:$D,"P0(전)"))</f>
        <v/>
      </c>
      <c r="P1483" s="45">
        <f>IF(COUNTIFS($C:$C,$C1483,$D:$D,"P0(후)",$L:$L,"&gt;0")&lt;&gt;1,"",SUMIFS($H:$H,$C:$C,$C1483,$D:$D,"P0(후)"))</f>
        <v/>
      </c>
      <c r="Q1483" s="30">
        <f>IF(COUNTIFS($C:$C,$C1483,$D:$D,"P0(후)",$L:$L,"&gt;0")&lt;&gt;1,"",SUMIFS($L:$L,$C:$C,$C1483,$D:$D,"P0(후)"))</f>
        <v/>
      </c>
      <c r="R1483" s="30">
        <f>IF(M1483&lt;&gt;"OK","",O1483+(Q1483-O1483)*(H1483-N1483)/(P1483-N1483))</f>
        <v/>
      </c>
      <c r="S1483" s="30">
        <f>IF(OR(M1483&lt;&gt;"OK",NOT(ISNUMBER(L1483))),"",L1483-R1483)</f>
        <v/>
      </c>
      <c r="T1483" s="46">
        <f>IF(OR(NOT(ISNUMBER(S1483)),IF(ISNUMBER(G1483),G1483,F1483)=0),"",S1483/IF(ISNUMBER(G1483),G1483,F1483))</f>
        <v/>
      </c>
      <c r="U1483" s="46">
        <f>IF(ISNUMBER(T1483),ABS(T1483),"")</f>
        <v/>
      </c>
      <c r="V1483" s="46">
        <f>IF(OR($D1482&lt;&gt;"측정",$C1482&lt;&gt;$C1483,NOT(ISNUMBER(L1483)),NOT(ISNUMBER(L1482)),(IF(ISNUMBER(G1483),G1483,F1483)-IF(ISNUMBER(G1482),G1482,F1482))=0),"",(L1483-L1482)/(IF(ISNUMBER(G1483),G1483,F1483)-IF(ISNUMBER(G1482),G1482,F1482)))</f>
        <v/>
      </c>
      <c r="W1483" s="30">
        <f>IF(NOT(AND(ISNUMBER(N1483),ISNUMBER(P1483))),"",(P1483-N1483)*1440)</f>
        <v/>
      </c>
      <c r="X1483" s="28" t="n"/>
      <c r="Y1483" s="28" t="n"/>
      <c r="Z1483" s="28" t="n"/>
      <c r="AA1483" s="31" t="n"/>
      <c r="AB1483" s="31" t="n"/>
    </row>
    <row r="1484">
      <c r="A1484" s="25" t="inlineStr">
        <is>
          <t>S29</t>
        </is>
      </c>
      <c r="B1484" s="25" t="inlineStr">
        <is>
          <t>가야 신규점1</t>
        </is>
      </c>
      <c r="C1484" s="25" t="inlineStr">
        <is>
          <t>S29-H서</t>
        </is>
      </c>
      <c r="D1484" s="25" t="inlineStr">
        <is>
          <t>측정</t>
        </is>
      </c>
      <c r="E1484" s="25" t="inlineStr">
        <is>
          <t>서</t>
        </is>
      </c>
      <c r="F1484" s="30" t="n">
        <v>9</v>
      </c>
      <c r="G1484" s="29" t="n"/>
      <c r="H1484" s="42" t="n"/>
      <c r="I1484" s="40" t="n"/>
      <c r="J1484" s="40" t="n"/>
      <c r="K1484" s="40" t="n"/>
      <c r="L1484" s="30">
        <f>IF(COUNT(I1484:K1484)=0,"",MEDIAN(I1484:K1484))</f>
        <v/>
      </c>
      <c r="M1484" s="25">
        <f>IF(COUNTIFS($C:$C,$C1484,$D:$D,"P0(전)",$L:$L,"&gt;0")&lt;&gt;1,"P0(전) 유효 1개 아님",IF(COUNTIFS($C:$C,$C1484,$D:$D,"P0(후)",$L:$L,"&gt;0")&lt;&gt;1,"P0(후) 유효 1개 아님",IF(NOT(AND(ISNUMBER(N1484),ISNUMBER(P1484),ISNUMBER(H1484))),"시각 결측",IF(P1484&lt;=N1484,"P0 시각 역전",IF(OR(H1484&lt;N1484,H1484&gt;P1484),"측정시각 구간 밖","OK")))))</f>
        <v/>
      </c>
      <c r="N1484" s="45">
        <f>IF(COUNTIFS($C:$C,$C1484,$D:$D,"P0(전)",$L:$L,"&gt;0")&lt;&gt;1,"",SUMIFS($H:$H,$C:$C,$C1484,$D:$D,"P0(전)"))</f>
        <v/>
      </c>
      <c r="O1484" s="30">
        <f>IF(COUNTIFS($C:$C,$C1484,$D:$D,"P0(전)",$L:$L,"&gt;0")&lt;&gt;1,"",SUMIFS($L:$L,$C:$C,$C1484,$D:$D,"P0(전)"))</f>
        <v/>
      </c>
      <c r="P1484" s="45">
        <f>IF(COUNTIFS($C:$C,$C1484,$D:$D,"P0(후)",$L:$L,"&gt;0")&lt;&gt;1,"",SUMIFS($H:$H,$C:$C,$C1484,$D:$D,"P0(후)"))</f>
        <v/>
      </c>
      <c r="Q1484" s="30">
        <f>IF(COUNTIFS($C:$C,$C1484,$D:$D,"P0(후)",$L:$L,"&gt;0")&lt;&gt;1,"",SUMIFS($L:$L,$C:$C,$C1484,$D:$D,"P0(후)"))</f>
        <v/>
      </c>
      <c r="R1484" s="30">
        <f>IF(M1484&lt;&gt;"OK","",O1484+(Q1484-O1484)*(H1484-N1484)/(P1484-N1484))</f>
        <v/>
      </c>
      <c r="S1484" s="30">
        <f>IF(OR(M1484&lt;&gt;"OK",NOT(ISNUMBER(L1484))),"",L1484-R1484)</f>
        <v/>
      </c>
      <c r="T1484" s="46">
        <f>IF(OR(NOT(ISNUMBER(S1484)),IF(ISNUMBER(G1484),G1484,F1484)=0),"",S1484/IF(ISNUMBER(G1484),G1484,F1484))</f>
        <v/>
      </c>
      <c r="U1484" s="46">
        <f>IF(ISNUMBER(T1484),ABS(T1484),"")</f>
        <v/>
      </c>
      <c r="V1484" s="46">
        <f>IF(OR($D1483&lt;&gt;"측정",$C1483&lt;&gt;$C1484,NOT(ISNUMBER(L1484)),NOT(ISNUMBER(L1483)),(IF(ISNUMBER(G1484),G1484,F1484)-IF(ISNUMBER(G1483),G1483,F1483))=0),"",(L1484-L1483)/(IF(ISNUMBER(G1484),G1484,F1484)-IF(ISNUMBER(G1483),G1483,F1483)))</f>
        <v/>
      </c>
      <c r="W1484" s="30">
        <f>IF(NOT(AND(ISNUMBER(N1484),ISNUMBER(P1484))),"",(P1484-N1484)*1440)</f>
        <v/>
      </c>
      <c r="X1484" s="28" t="n"/>
      <c r="Y1484" s="28" t="n"/>
      <c r="Z1484" s="28" t="n"/>
      <c r="AA1484" s="31" t="n"/>
      <c r="AB1484" s="31" t="n"/>
    </row>
    <row r="1485">
      <c r="A1485" s="25" t="inlineStr">
        <is>
          <t>S29</t>
        </is>
      </c>
      <c r="B1485" s="25" t="inlineStr">
        <is>
          <t>가야 신규점1</t>
        </is>
      </c>
      <c r="C1485" s="25" t="inlineStr">
        <is>
          <t>S29-H서</t>
        </is>
      </c>
      <c r="D1485" s="25" t="inlineStr">
        <is>
          <t>측정</t>
        </is>
      </c>
      <c r="E1485" s="25" t="inlineStr">
        <is>
          <t>서</t>
        </is>
      </c>
      <c r="F1485" s="30" t="n">
        <v>10</v>
      </c>
      <c r="G1485" s="29" t="n"/>
      <c r="H1485" s="42" t="n"/>
      <c r="I1485" s="40" t="n"/>
      <c r="J1485" s="40" t="n"/>
      <c r="K1485" s="40" t="n"/>
      <c r="L1485" s="30">
        <f>IF(COUNT(I1485:K1485)=0,"",MEDIAN(I1485:K1485))</f>
        <v/>
      </c>
      <c r="M1485" s="25">
        <f>IF(COUNTIFS($C:$C,$C1485,$D:$D,"P0(전)",$L:$L,"&gt;0")&lt;&gt;1,"P0(전) 유효 1개 아님",IF(COUNTIFS($C:$C,$C1485,$D:$D,"P0(후)",$L:$L,"&gt;0")&lt;&gt;1,"P0(후) 유효 1개 아님",IF(NOT(AND(ISNUMBER(N1485),ISNUMBER(P1485),ISNUMBER(H1485))),"시각 결측",IF(P1485&lt;=N1485,"P0 시각 역전",IF(OR(H1485&lt;N1485,H1485&gt;P1485),"측정시각 구간 밖","OK")))))</f>
        <v/>
      </c>
      <c r="N1485" s="45">
        <f>IF(COUNTIFS($C:$C,$C1485,$D:$D,"P0(전)",$L:$L,"&gt;0")&lt;&gt;1,"",SUMIFS($H:$H,$C:$C,$C1485,$D:$D,"P0(전)"))</f>
        <v/>
      </c>
      <c r="O1485" s="30">
        <f>IF(COUNTIFS($C:$C,$C1485,$D:$D,"P0(전)",$L:$L,"&gt;0")&lt;&gt;1,"",SUMIFS($L:$L,$C:$C,$C1485,$D:$D,"P0(전)"))</f>
        <v/>
      </c>
      <c r="P1485" s="45">
        <f>IF(COUNTIFS($C:$C,$C1485,$D:$D,"P0(후)",$L:$L,"&gt;0")&lt;&gt;1,"",SUMIFS($H:$H,$C:$C,$C1485,$D:$D,"P0(후)"))</f>
        <v/>
      </c>
      <c r="Q1485" s="30">
        <f>IF(COUNTIFS($C:$C,$C1485,$D:$D,"P0(후)",$L:$L,"&gt;0")&lt;&gt;1,"",SUMIFS($L:$L,$C:$C,$C1485,$D:$D,"P0(후)"))</f>
        <v/>
      </c>
      <c r="R1485" s="30">
        <f>IF(M1485&lt;&gt;"OK","",O1485+(Q1485-O1485)*(H1485-N1485)/(P1485-N1485))</f>
        <v/>
      </c>
      <c r="S1485" s="30">
        <f>IF(OR(M1485&lt;&gt;"OK",NOT(ISNUMBER(L1485))),"",L1485-R1485)</f>
        <v/>
      </c>
      <c r="T1485" s="46">
        <f>IF(OR(NOT(ISNUMBER(S1485)),IF(ISNUMBER(G1485),G1485,F1485)=0),"",S1485/IF(ISNUMBER(G1485),G1485,F1485))</f>
        <v/>
      </c>
      <c r="U1485" s="46">
        <f>IF(ISNUMBER(T1485),ABS(T1485),"")</f>
        <v/>
      </c>
      <c r="V1485" s="46">
        <f>IF(OR($D1484&lt;&gt;"측정",$C1484&lt;&gt;$C1485,NOT(ISNUMBER(L1485)),NOT(ISNUMBER(L1484)),(IF(ISNUMBER(G1485),G1485,F1485)-IF(ISNUMBER(G1484),G1484,F1484))=0),"",(L1485-L1484)/(IF(ISNUMBER(G1485),G1485,F1485)-IF(ISNUMBER(G1484),G1484,F1484)))</f>
        <v/>
      </c>
      <c r="W1485" s="30">
        <f>IF(NOT(AND(ISNUMBER(N1485),ISNUMBER(P1485))),"",(P1485-N1485)*1440)</f>
        <v/>
      </c>
      <c r="X1485" s="28" t="n"/>
      <c r="Y1485" s="28" t="n"/>
      <c r="Z1485" s="28" t="n"/>
      <c r="AA1485" s="31" t="n"/>
      <c r="AB1485" s="31" t="n"/>
    </row>
    <row r="1486">
      <c r="A1486" s="43" t="inlineStr">
        <is>
          <t>S29</t>
        </is>
      </c>
      <c r="B1486" s="43" t="inlineStr">
        <is>
          <t>가야 신규점1</t>
        </is>
      </c>
      <c r="C1486" s="43" t="inlineStr">
        <is>
          <t>S29-H서</t>
        </is>
      </c>
      <c r="D1486" s="43" t="inlineStr">
        <is>
          <t>P0(후)</t>
        </is>
      </c>
      <c r="E1486" s="43" t="inlineStr">
        <is>
          <t>서</t>
        </is>
      </c>
      <c r="F1486" s="44" t="n"/>
      <c r="G1486" s="29" t="n"/>
      <c r="H1486" s="42" t="n"/>
      <c r="I1486" s="40" t="n"/>
      <c r="J1486" s="40" t="n"/>
      <c r="K1486" s="40" t="n"/>
      <c r="L1486" s="30">
        <f>IF(COUNT(I1486:K1486)=0,"",MEDIAN(I1486:K1486))</f>
        <v/>
      </c>
      <c r="M1486" s="37" t="n"/>
      <c r="N1486" s="37" t="n"/>
      <c r="O1486" s="37" t="n"/>
      <c r="P1486" s="37" t="n"/>
      <c r="Q1486" s="37" t="n"/>
      <c r="R1486" s="37" t="n"/>
      <c r="S1486" s="37" t="n"/>
      <c r="T1486" s="37" t="n"/>
      <c r="U1486" s="37" t="n"/>
      <c r="V1486" s="37" t="n"/>
      <c r="W1486" s="37" t="n"/>
      <c r="X1486" s="28" t="n"/>
      <c r="Y1486" s="28" t="n"/>
      <c r="Z1486" s="28" t="n"/>
      <c r="AA1486" s="31" t="n"/>
      <c r="AB1486" s="31" t="n"/>
    </row>
    <row r="1487">
      <c r="A1487" s="43" t="inlineStr">
        <is>
          <t>S29</t>
        </is>
      </c>
      <c r="B1487" s="43" t="inlineStr">
        <is>
          <t>가야 신규점1</t>
        </is>
      </c>
      <c r="C1487" s="43" t="inlineStr">
        <is>
          <t>S29-H남</t>
        </is>
      </c>
      <c r="D1487" s="43" t="inlineStr">
        <is>
          <t>P0(전)</t>
        </is>
      </c>
      <c r="E1487" s="43" t="inlineStr">
        <is>
          <t>남</t>
        </is>
      </c>
      <c r="F1487" s="44" t="n"/>
      <c r="G1487" s="29" t="n"/>
      <c r="H1487" s="42" t="n"/>
      <c r="I1487" s="40" t="n"/>
      <c r="J1487" s="40" t="n"/>
      <c r="K1487" s="40" t="n"/>
      <c r="L1487" s="30">
        <f>IF(COUNT(I1487:K1487)=0,"",MEDIAN(I1487:K1487))</f>
        <v/>
      </c>
      <c r="M1487" s="37" t="n"/>
      <c r="N1487" s="37" t="n"/>
      <c r="O1487" s="37" t="n"/>
      <c r="P1487" s="37" t="n"/>
      <c r="Q1487" s="37" t="n"/>
      <c r="R1487" s="37" t="n"/>
      <c r="S1487" s="37" t="n"/>
      <c r="T1487" s="37" t="n"/>
      <c r="U1487" s="37" t="n"/>
      <c r="V1487" s="37" t="n"/>
      <c r="W1487" s="37" t="n"/>
      <c r="X1487" s="28" t="n"/>
      <c r="Y1487" s="28" t="n"/>
      <c r="Z1487" s="28" t="n"/>
      <c r="AA1487" s="31" t="n"/>
      <c r="AB1487" s="31" t="n"/>
    </row>
    <row r="1488">
      <c r="A1488" s="25" t="inlineStr">
        <is>
          <t>S29</t>
        </is>
      </c>
      <c r="B1488" s="25" t="inlineStr">
        <is>
          <t>가야 신규점1</t>
        </is>
      </c>
      <c r="C1488" s="25" t="inlineStr">
        <is>
          <t>S29-H남</t>
        </is>
      </c>
      <c r="D1488" s="25" t="inlineStr">
        <is>
          <t>측정</t>
        </is>
      </c>
      <c r="E1488" s="25" t="inlineStr">
        <is>
          <t>남</t>
        </is>
      </c>
      <c r="F1488" s="30" t="n">
        <v>0.5</v>
      </c>
      <c r="G1488" s="29" t="n"/>
      <c r="H1488" s="42" t="n"/>
      <c r="I1488" s="40" t="n"/>
      <c r="J1488" s="40" t="n"/>
      <c r="K1488" s="40" t="n"/>
      <c r="L1488" s="30">
        <f>IF(COUNT(I1488:K1488)=0,"",MEDIAN(I1488:K1488))</f>
        <v/>
      </c>
      <c r="M1488" s="25">
        <f>IF(COUNTIFS($C:$C,$C1488,$D:$D,"P0(전)",$L:$L,"&gt;0")&lt;&gt;1,"P0(전) 유효 1개 아님",IF(COUNTIFS($C:$C,$C1488,$D:$D,"P0(후)",$L:$L,"&gt;0")&lt;&gt;1,"P0(후) 유효 1개 아님",IF(NOT(AND(ISNUMBER(N1488),ISNUMBER(P1488),ISNUMBER(H1488))),"시각 결측",IF(P1488&lt;=N1488,"P0 시각 역전",IF(OR(H1488&lt;N1488,H1488&gt;P1488),"측정시각 구간 밖","OK")))))</f>
        <v/>
      </c>
      <c r="N1488" s="45">
        <f>IF(COUNTIFS($C:$C,$C1488,$D:$D,"P0(전)",$L:$L,"&gt;0")&lt;&gt;1,"",SUMIFS($H:$H,$C:$C,$C1488,$D:$D,"P0(전)"))</f>
        <v/>
      </c>
      <c r="O1488" s="30">
        <f>IF(COUNTIFS($C:$C,$C1488,$D:$D,"P0(전)",$L:$L,"&gt;0")&lt;&gt;1,"",SUMIFS($L:$L,$C:$C,$C1488,$D:$D,"P0(전)"))</f>
        <v/>
      </c>
      <c r="P1488" s="45">
        <f>IF(COUNTIFS($C:$C,$C1488,$D:$D,"P0(후)",$L:$L,"&gt;0")&lt;&gt;1,"",SUMIFS($H:$H,$C:$C,$C1488,$D:$D,"P0(후)"))</f>
        <v/>
      </c>
      <c r="Q1488" s="30">
        <f>IF(COUNTIFS($C:$C,$C1488,$D:$D,"P0(후)",$L:$L,"&gt;0")&lt;&gt;1,"",SUMIFS($L:$L,$C:$C,$C1488,$D:$D,"P0(후)"))</f>
        <v/>
      </c>
      <c r="R1488" s="30">
        <f>IF(M1488&lt;&gt;"OK","",O1488+(Q1488-O1488)*(H1488-N1488)/(P1488-N1488))</f>
        <v/>
      </c>
      <c r="S1488" s="30">
        <f>IF(OR(M1488&lt;&gt;"OK",NOT(ISNUMBER(L1488))),"",L1488-R1488)</f>
        <v/>
      </c>
      <c r="T1488" s="46">
        <f>IF(OR(NOT(ISNUMBER(S1488)),IF(ISNUMBER(G1488),G1488,F1488)=0),"",S1488/IF(ISNUMBER(G1488),G1488,F1488))</f>
        <v/>
      </c>
      <c r="U1488" s="46">
        <f>IF(ISNUMBER(T1488),ABS(T1488),"")</f>
        <v/>
      </c>
      <c r="V1488" s="46">
        <f>IF(OR($D1487&lt;&gt;"측정",$C1487&lt;&gt;$C1488,NOT(ISNUMBER(L1488)),NOT(ISNUMBER(L1487)),(IF(ISNUMBER(G1488),G1488,F1488)-IF(ISNUMBER(G1487),G1487,F1487))=0),"",(L1488-L1487)/(IF(ISNUMBER(G1488),G1488,F1488)-IF(ISNUMBER(G1487),G1487,F1487)))</f>
        <v/>
      </c>
      <c r="W1488" s="30">
        <f>IF(NOT(AND(ISNUMBER(N1488),ISNUMBER(P1488))),"",(P1488-N1488)*1440)</f>
        <v/>
      </c>
      <c r="X1488" s="28" t="n"/>
      <c r="Y1488" s="28" t="n"/>
      <c r="Z1488" s="28" t="n"/>
      <c r="AA1488" s="31" t="n"/>
      <c r="AB1488" s="31" t="n"/>
    </row>
    <row r="1489">
      <c r="A1489" s="25" t="inlineStr">
        <is>
          <t>S29</t>
        </is>
      </c>
      <c r="B1489" s="25" t="inlineStr">
        <is>
          <t>가야 신규점1</t>
        </is>
      </c>
      <c r="C1489" s="25" t="inlineStr">
        <is>
          <t>S29-H남</t>
        </is>
      </c>
      <c r="D1489" s="25" t="inlineStr">
        <is>
          <t>측정</t>
        </is>
      </c>
      <c r="E1489" s="25" t="inlineStr">
        <is>
          <t>남</t>
        </is>
      </c>
      <c r="F1489" s="30" t="n">
        <v>1</v>
      </c>
      <c r="G1489" s="29" t="n"/>
      <c r="H1489" s="42" t="n"/>
      <c r="I1489" s="40" t="n"/>
      <c r="J1489" s="40" t="n"/>
      <c r="K1489" s="40" t="n"/>
      <c r="L1489" s="30">
        <f>IF(COUNT(I1489:K1489)=0,"",MEDIAN(I1489:K1489))</f>
        <v/>
      </c>
      <c r="M1489" s="25">
        <f>IF(COUNTIFS($C:$C,$C1489,$D:$D,"P0(전)",$L:$L,"&gt;0")&lt;&gt;1,"P0(전) 유효 1개 아님",IF(COUNTIFS($C:$C,$C1489,$D:$D,"P0(후)",$L:$L,"&gt;0")&lt;&gt;1,"P0(후) 유효 1개 아님",IF(NOT(AND(ISNUMBER(N1489),ISNUMBER(P1489),ISNUMBER(H1489))),"시각 결측",IF(P1489&lt;=N1489,"P0 시각 역전",IF(OR(H1489&lt;N1489,H1489&gt;P1489),"측정시각 구간 밖","OK")))))</f>
        <v/>
      </c>
      <c r="N1489" s="45">
        <f>IF(COUNTIFS($C:$C,$C1489,$D:$D,"P0(전)",$L:$L,"&gt;0")&lt;&gt;1,"",SUMIFS($H:$H,$C:$C,$C1489,$D:$D,"P0(전)"))</f>
        <v/>
      </c>
      <c r="O1489" s="30">
        <f>IF(COUNTIFS($C:$C,$C1489,$D:$D,"P0(전)",$L:$L,"&gt;0")&lt;&gt;1,"",SUMIFS($L:$L,$C:$C,$C1489,$D:$D,"P0(전)"))</f>
        <v/>
      </c>
      <c r="P1489" s="45">
        <f>IF(COUNTIFS($C:$C,$C1489,$D:$D,"P0(후)",$L:$L,"&gt;0")&lt;&gt;1,"",SUMIFS($H:$H,$C:$C,$C1489,$D:$D,"P0(후)"))</f>
        <v/>
      </c>
      <c r="Q1489" s="30">
        <f>IF(COUNTIFS($C:$C,$C1489,$D:$D,"P0(후)",$L:$L,"&gt;0")&lt;&gt;1,"",SUMIFS($L:$L,$C:$C,$C1489,$D:$D,"P0(후)"))</f>
        <v/>
      </c>
      <c r="R1489" s="30">
        <f>IF(M1489&lt;&gt;"OK","",O1489+(Q1489-O1489)*(H1489-N1489)/(P1489-N1489))</f>
        <v/>
      </c>
      <c r="S1489" s="30">
        <f>IF(OR(M1489&lt;&gt;"OK",NOT(ISNUMBER(L1489))),"",L1489-R1489)</f>
        <v/>
      </c>
      <c r="T1489" s="46">
        <f>IF(OR(NOT(ISNUMBER(S1489)),IF(ISNUMBER(G1489),G1489,F1489)=0),"",S1489/IF(ISNUMBER(G1489),G1489,F1489))</f>
        <v/>
      </c>
      <c r="U1489" s="46">
        <f>IF(ISNUMBER(T1489),ABS(T1489),"")</f>
        <v/>
      </c>
      <c r="V1489" s="46">
        <f>IF(OR($D1488&lt;&gt;"측정",$C1488&lt;&gt;$C1489,NOT(ISNUMBER(L1489)),NOT(ISNUMBER(L1488)),(IF(ISNUMBER(G1489),G1489,F1489)-IF(ISNUMBER(G1488),G1488,F1488))=0),"",(L1489-L1488)/(IF(ISNUMBER(G1489),G1489,F1489)-IF(ISNUMBER(G1488),G1488,F1488)))</f>
        <v/>
      </c>
      <c r="W1489" s="30">
        <f>IF(NOT(AND(ISNUMBER(N1489),ISNUMBER(P1489))),"",(P1489-N1489)*1440)</f>
        <v/>
      </c>
      <c r="X1489" s="28" t="n"/>
      <c r="Y1489" s="28" t="n"/>
      <c r="Z1489" s="28" t="n"/>
      <c r="AA1489" s="31" t="n"/>
      <c r="AB1489" s="31" t="n"/>
    </row>
    <row r="1490">
      <c r="A1490" s="25" t="inlineStr">
        <is>
          <t>S29</t>
        </is>
      </c>
      <c r="B1490" s="25" t="inlineStr">
        <is>
          <t>가야 신규점1</t>
        </is>
      </c>
      <c r="C1490" s="25" t="inlineStr">
        <is>
          <t>S29-H남</t>
        </is>
      </c>
      <c r="D1490" s="25" t="inlineStr">
        <is>
          <t>측정</t>
        </is>
      </c>
      <c r="E1490" s="25" t="inlineStr">
        <is>
          <t>남</t>
        </is>
      </c>
      <c r="F1490" s="30" t="n">
        <v>2</v>
      </c>
      <c r="G1490" s="29" t="n"/>
      <c r="H1490" s="42" t="n"/>
      <c r="I1490" s="40" t="n"/>
      <c r="J1490" s="40" t="n"/>
      <c r="K1490" s="40" t="n"/>
      <c r="L1490" s="30">
        <f>IF(COUNT(I1490:K1490)=0,"",MEDIAN(I1490:K1490))</f>
        <v/>
      </c>
      <c r="M1490" s="25">
        <f>IF(COUNTIFS($C:$C,$C1490,$D:$D,"P0(전)",$L:$L,"&gt;0")&lt;&gt;1,"P0(전) 유효 1개 아님",IF(COUNTIFS($C:$C,$C1490,$D:$D,"P0(후)",$L:$L,"&gt;0")&lt;&gt;1,"P0(후) 유효 1개 아님",IF(NOT(AND(ISNUMBER(N1490),ISNUMBER(P1490),ISNUMBER(H1490))),"시각 결측",IF(P1490&lt;=N1490,"P0 시각 역전",IF(OR(H1490&lt;N1490,H1490&gt;P1490),"측정시각 구간 밖","OK")))))</f>
        <v/>
      </c>
      <c r="N1490" s="45">
        <f>IF(COUNTIFS($C:$C,$C1490,$D:$D,"P0(전)",$L:$L,"&gt;0")&lt;&gt;1,"",SUMIFS($H:$H,$C:$C,$C1490,$D:$D,"P0(전)"))</f>
        <v/>
      </c>
      <c r="O1490" s="30">
        <f>IF(COUNTIFS($C:$C,$C1490,$D:$D,"P0(전)",$L:$L,"&gt;0")&lt;&gt;1,"",SUMIFS($L:$L,$C:$C,$C1490,$D:$D,"P0(전)"))</f>
        <v/>
      </c>
      <c r="P1490" s="45">
        <f>IF(COUNTIFS($C:$C,$C1490,$D:$D,"P0(후)",$L:$L,"&gt;0")&lt;&gt;1,"",SUMIFS($H:$H,$C:$C,$C1490,$D:$D,"P0(후)"))</f>
        <v/>
      </c>
      <c r="Q1490" s="30">
        <f>IF(COUNTIFS($C:$C,$C1490,$D:$D,"P0(후)",$L:$L,"&gt;0")&lt;&gt;1,"",SUMIFS($L:$L,$C:$C,$C1490,$D:$D,"P0(후)"))</f>
        <v/>
      </c>
      <c r="R1490" s="30">
        <f>IF(M1490&lt;&gt;"OK","",O1490+(Q1490-O1490)*(H1490-N1490)/(P1490-N1490))</f>
        <v/>
      </c>
      <c r="S1490" s="30">
        <f>IF(OR(M1490&lt;&gt;"OK",NOT(ISNUMBER(L1490))),"",L1490-R1490)</f>
        <v/>
      </c>
      <c r="T1490" s="46">
        <f>IF(OR(NOT(ISNUMBER(S1490)),IF(ISNUMBER(G1490),G1490,F1490)=0),"",S1490/IF(ISNUMBER(G1490),G1490,F1490))</f>
        <v/>
      </c>
      <c r="U1490" s="46">
        <f>IF(ISNUMBER(T1490),ABS(T1490),"")</f>
        <v/>
      </c>
      <c r="V1490" s="46">
        <f>IF(OR($D1489&lt;&gt;"측정",$C1489&lt;&gt;$C1490,NOT(ISNUMBER(L1490)),NOT(ISNUMBER(L1489)),(IF(ISNUMBER(G1490),G1490,F1490)-IF(ISNUMBER(G1489),G1489,F1489))=0),"",(L1490-L1489)/(IF(ISNUMBER(G1490),G1490,F1490)-IF(ISNUMBER(G1489),G1489,F1489)))</f>
        <v/>
      </c>
      <c r="W1490" s="30">
        <f>IF(NOT(AND(ISNUMBER(N1490),ISNUMBER(P1490))),"",(P1490-N1490)*1440)</f>
        <v/>
      </c>
      <c r="X1490" s="28" t="n"/>
      <c r="Y1490" s="28" t="n"/>
      <c r="Z1490" s="28" t="n"/>
      <c r="AA1490" s="31" t="n"/>
      <c r="AB1490" s="31" t="n"/>
    </row>
    <row r="1491">
      <c r="A1491" s="25" t="inlineStr">
        <is>
          <t>S29</t>
        </is>
      </c>
      <c r="B1491" s="25" t="inlineStr">
        <is>
          <t>가야 신규점1</t>
        </is>
      </c>
      <c r="C1491" s="25" t="inlineStr">
        <is>
          <t>S29-H남</t>
        </is>
      </c>
      <c r="D1491" s="25" t="inlineStr">
        <is>
          <t>측정</t>
        </is>
      </c>
      <c r="E1491" s="25" t="inlineStr">
        <is>
          <t>남</t>
        </is>
      </c>
      <c r="F1491" s="30" t="n">
        <v>3</v>
      </c>
      <c r="G1491" s="29" t="n"/>
      <c r="H1491" s="42" t="n"/>
      <c r="I1491" s="40" t="n"/>
      <c r="J1491" s="40" t="n"/>
      <c r="K1491" s="40" t="n"/>
      <c r="L1491" s="30">
        <f>IF(COUNT(I1491:K1491)=0,"",MEDIAN(I1491:K1491))</f>
        <v/>
      </c>
      <c r="M1491" s="25">
        <f>IF(COUNTIFS($C:$C,$C1491,$D:$D,"P0(전)",$L:$L,"&gt;0")&lt;&gt;1,"P0(전) 유효 1개 아님",IF(COUNTIFS($C:$C,$C1491,$D:$D,"P0(후)",$L:$L,"&gt;0")&lt;&gt;1,"P0(후) 유효 1개 아님",IF(NOT(AND(ISNUMBER(N1491),ISNUMBER(P1491),ISNUMBER(H1491))),"시각 결측",IF(P1491&lt;=N1491,"P0 시각 역전",IF(OR(H1491&lt;N1491,H1491&gt;P1491),"측정시각 구간 밖","OK")))))</f>
        <v/>
      </c>
      <c r="N1491" s="45">
        <f>IF(COUNTIFS($C:$C,$C1491,$D:$D,"P0(전)",$L:$L,"&gt;0")&lt;&gt;1,"",SUMIFS($H:$H,$C:$C,$C1491,$D:$D,"P0(전)"))</f>
        <v/>
      </c>
      <c r="O1491" s="30">
        <f>IF(COUNTIFS($C:$C,$C1491,$D:$D,"P0(전)",$L:$L,"&gt;0")&lt;&gt;1,"",SUMIFS($L:$L,$C:$C,$C1491,$D:$D,"P0(전)"))</f>
        <v/>
      </c>
      <c r="P1491" s="45">
        <f>IF(COUNTIFS($C:$C,$C1491,$D:$D,"P0(후)",$L:$L,"&gt;0")&lt;&gt;1,"",SUMIFS($H:$H,$C:$C,$C1491,$D:$D,"P0(후)"))</f>
        <v/>
      </c>
      <c r="Q1491" s="30">
        <f>IF(COUNTIFS($C:$C,$C1491,$D:$D,"P0(후)",$L:$L,"&gt;0")&lt;&gt;1,"",SUMIFS($L:$L,$C:$C,$C1491,$D:$D,"P0(후)"))</f>
        <v/>
      </c>
      <c r="R1491" s="30">
        <f>IF(M1491&lt;&gt;"OK","",O1491+(Q1491-O1491)*(H1491-N1491)/(P1491-N1491))</f>
        <v/>
      </c>
      <c r="S1491" s="30">
        <f>IF(OR(M1491&lt;&gt;"OK",NOT(ISNUMBER(L1491))),"",L1491-R1491)</f>
        <v/>
      </c>
      <c r="T1491" s="46">
        <f>IF(OR(NOT(ISNUMBER(S1491)),IF(ISNUMBER(G1491),G1491,F1491)=0),"",S1491/IF(ISNUMBER(G1491),G1491,F1491))</f>
        <v/>
      </c>
      <c r="U1491" s="46">
        <f>IF(ISNUMBER(T1491),ABS(T1491),"")</f>
        <v/>
      </c>
      <c r="V1491" s="46">
        <f>IF(OR($D1490&lt;&gt;"측정",$C1490&lt;&gt;$C1491,NOT(ISNUMBER(L1491)),NOT(ISNUMBER(L1490)),(IF(ISNUMBER(G1491),G1491,F1491)-IF(ISNUMBER(G1490),G1490,F1490))=0),"",(L1491-L1490)/(IF(ISNUMBER(G1491),G1491,F1491)-IF(ISNUMBER(G1490),G1490,F1490)))</f>
        <v/>
      </c>
      <c r="W1491" s="30">
        <f>IF(NOT(AND(ISNUMBER(N1491),ISNUMBER(P1491))),"",(P1491-N1491)*1440)</f>
        <v/>
      </c>
      <c r="X1491" s="28" t="n"/>
      <c r="Y1491" s="28" t="n"/>
      <c r="Z1491" s="28" t="n"/>
      <c r="AA1491" s="31" t="n"/>
      <c r="AB1491" s="31" t="n"/>
    </row>
    <row r="1492">
      <c r="A1492" s="25" t="inlineStr">
        <is>
          <t>S29</t>
        </is>
      </c>
      <c r="B1492" s="25" t="inlineStr">
        <is>
          <t>가야 신규점1</t>
        </is>
      </c>
      <c r="C1492" s="25" t="inlineStr">
        <is>
          <t>S29-H남</t>
        </is>
      </c>
      <c r="D1492" s="25" t="inlineStr">
        <is>
          <t>측정</t>
        </is>
      </c>
      <c r="E1492" s="25" t="inlineStr">
        <is>
          <t>남</t>
        </is>
      </c>
      <c r="F1492" s="30" t="n">
        <v>4</v>
      </c>
      <c r="G1492" s="29" t="n"/>
      <c r="H1492" s="42" t="n"/>
      <c r="I1492" s="40" t="n"/>
      <c r="J1492" s="40" t="n"/>
      <c r="K1492" s="40" t="n"/>
      <c r="L1492" s="30">
        <f>IF(COUNT(I1492:K1492)=0,"",MEDIAN(I1492:K1492))</f>
        <v/>
      </c>
      <c r="M1492" s="25">
        <f>IF(COUNTIFS($C:$C,$C1492,$D:$D,"P0(전)",$L:$L,"&gt;0")&lt;&gt;1,"P0(전) 유효 1개 아님",IF(COUNTIFS($C:$C,$C1492,$D:$D,"P0(후)",$L:$L,"&gt;0")&lt;&gt;1,"P0(후) 유효 1개 아님",IF(NOT(AND(ISNUMBER(N1492),ISNUMBER(P1492),ISNUMBER(H1492))),"시각 결측",IF(P1492&lt;=N1492,"P0 시각 역전",IF(OR(H1492&lt;N1492,H1492&gt;P1492),"측정시각 구간 밖","OK")))))</f>
        <v/>
      </c>
      <c r="N1492" s="45">
        <f>IF(COUNTIFS($C:$C,$C1492,$D:$D,"P0(전)",$L:$L,"&gt;0")&lt;&gt;1,"",SUMIFS($H:$H,$C:$C,$C1492,$D:$D,"P0(전)"))</f>
        <v/>
      </c>
      <c r="O1492" s="30">
        <f>IF(COUNTIFS($C:$C,$C1492,$D:$D,"P0(전)",$L:$L,"&gt;0")&lt;&gt;1,"",SUMIFS($L:$L,$C:$C,$C1492,$D:$D,"P0(전)"))</f>
        <v/>
      </c>
      <c r="P1492" s="45">
        <f>IF(COUNTIFS($C:$C,$C1492,$D:$D,"P0(후)",$L:$L,"&gt;0")&lt;&gt;1,"",SUMIFS($H:$H,$C:$C,$C1492,$D:$D,"P0(후)"))</f>
        <v/>
      </c>
      <c r="Q1492" s="30">
        <f>IF(COUNTIFS($C:$C,$C1492,$D:$D,"P0(후)",$L:$L,"&gt;0")&lt;&gt;1,"",SUMIFS($L:$L,$C:$C,$C1492,$D:$D,"P0(후)"))</f>
        <v/>
      </c>
      <c r="R1492" s="30">
        <f>IF(M1492&lt;&gt;"OK","",O1492+(Q1492-O1492)*(H1492-N1492)/(P1492-N1492))</f>
        <v/>
      </c>
      <c r="S1492" s="30">
        <f>IF(OR(M1492&lt;&gt;"OK",NOT(ISNUMBER(L1492))),"",L1492-R1492)</f>
        <v/>
      </c>
      <c r="T1492" s="46">
        <f>IF(OR(NOT(ISNUMBER(S1492)),IF(ISNUMBER(G1492),G1492,F1492)=0),"",S1492/IF(ISNUMBER(G1492),G1492,F1492))</f>
        <v/>
      </c>
      <c r="U1492" s="46">
        <f>IF(ISNUMBER(T1492),ABS(T1492),"")</f>
        <v/>
      </c>
      <c r="V1492" s="46">
        <f>IF(OR($D1491&lt;&gt;"측정",$C1491&lt;&gt;$C1492,NOT(ISNUMBER(L1492)),NOT(ISNUMBER(L1491)),(IF(ISNUMBER(G1492),G1492,F1492)-IF(ISNUMBER(G1491),G1491,F1491))=0),"",(L1492-L1491)/(IF(ISNUMBER(G1492),G1492,F1492)-IF(ISNUMBER(G1491),G1491,F1491)))</f>
        <v/>
      </c>
      <c r="W1492" s="30">
        <f>IF(NOT(AND(ISNUMBER(N1492),ISNUMBER(P1492))),"",(P1492-N1492)*1440)</f>
        <v/>
      </c>
      <c r="X1492" s="28" t="n"/>
      <c r="Y1492" s="28" t="n"/>
      <c r="Z1492" s="28" t="n"/>
      <c r="AA1492" s="31" t="n"/>
      <c r="AB1492" s="31" t="n"/>
    </row>
    <row r="1493">
      <c r="A1493" s="25" t="inlineStr">
        <is>
          <t>S29</t>
        </is>
      </c>
      <c r="B1493" s="25" t="inlineStr">
        <is>
          <t>가야 신규점1</t>
        </is>
      </c>
      <c r="C1493" s="25" t="inlineStr">
        <is>
          <t>S29-H남</t>
        </is>
      </c>
      <c r="D1493" s="25" t="inlineStr">
        <is>
          <t>측정</t>
        </is>
      </c>
      <c r="E1493" s="25" t="inlineStr">
        <is>
          <t>남</t>
        </is>
      </c>
      <c r="F1493" s="30" t="n">
        <v>5</v>
      </c>
      <c r="G1493" s="29" t="n"/>
      <c r="H1493" s="42" t="n"/>
      <c r="I1493" s="40" t="n"/>
      <c r="J1493" s="40" t="n"/>
      <c r="K1493" s="40" t="n"/>
      <c r="L1493" s="30">
        <f>IF(COUNT(I1493:K1493)=0,"",MEDIAN(I1493:K1493))</f>
        <v/>
      </c>
      <c r="M1493" s="25">
        <f>IF(COUNTIFS($C:$C,$C1493,$D:$D,"P0(전)",$L:$L,"&gt;0")&lt;&gt;1,"P0(전) 유효 1개 아님",IF(COUNTIFS($C:$C,$C1493,$D:$D,"P0(후)",$L:$L,"&gt;0")&lt;&gt;1,"P0(후) 유효 1개 아님",IF(NOT(AND(ISNUMBER(N1493),ISNUMBER(P1493),ISNUMBER(H1493))),"시각 결측",IF(P1493&lt;=N1493,"P0 시각 역전",IF(OR(H1493&lt;N1493,H1493&gt;P1493),"측정시각 구간 밖","OK")))))</f>
        <v/>
      </c>
      <c r="N1493" s="45">
        <f>IF(COUNTIFS($C:$C,$C1493,$D:$D,"P0(전)",$L:$L,"&gt;0")&lt;&gt;1,"",SUMIFS($H:$H,$C:$C,$C1493,$D:$D,"P0(전)"))</f>
        <v/>
      </c>
      <c r="O1493" s="30">
        <f>IF(COUNTIFS($C:$C,$C1493,$D:$D,"P0(전)",$L:$L,"&gt;0")&lt;&gt;1,"",SUMIFS($L:$L,$C:$C,$C1493,$D:$D,"P0(전)"))</f>
        <v/>
      </c>
      <c r="P1493" s="45">
        <f>IF(COUNTIFS($C:$C,$C1493,$D:$D,"P0(후)",$L:$L,"&gt;0")&lt;&gt;1,"",SUMIFS($H:$H,$C:$C,$C1493,$D:$D,"P0(후)"))</f>
        <v/>
      </c>
      <c r="Q1493" s="30">
        <f>IF(COUNTIFS($C:$C,$C1493,$D:$D,"P0(후)",$L:$L,"&gt;0")&lt;&gt;1,"",SUMIFS($L:$L,$C:$C,$C1493,$D:$D,"P0(후)"))</f>
        <v/>
      </c>
      <c r="R1493" s="30">
        <f>IF(M1493&lt;&gt;"OK","",O1493+(Q1493-O1493)*(H1493-N1493)/(P1493-N1493))</f>
        <v/>
      </c>
      <c r="S1493" s="30">
        <f>IF(OR(M1493&lt;&gt;"OK",NOT(ISNUMBER(L1493))),"",L1493-R1493)</f>
        <v/>
      </c>
      <c r="T1493" s="46">
        <f>IF(OR(NOT(ISNUMBER(S1493)),IF(ISNUMBER(G1493),G1493,F1493)=0),"",S1493/IF(ISNUMBER(G1493),G1493,F1493))</f>
        <v/>
      </c>
      <c r="U1493" s="46">
        <f>IF(ISNUMBER(T1493),ABS(T1493),"")</f>
        <v/>
      </c>
      <c r="V1493" s="46">
        <f>IF(OR($D1492&lt;&gt;"측정",$C1492&lt;&gt;$C1493,NOT(ISNUMBER(L1493)),NOT(ISNUMBER(L1492)),(IF(ISNUMBER(G1493),G1493,F1493)-IF(ISNUMBER(G1492),G1492,F1492))=0),"",(L1493-L1492)/(IF(ISNUMBER(G1493),G1493,F1493)-IF(ISNUMBER(G1492),G1492,F1492)))</f>
        <v/>
      </c>
      <c r="W1493" s="30">
        <f>IF(NOT(AND(ISNUMBER(N1493),ISNUMBER(P1493))),"",(P1493-N1493)*1440)</f>
        <v/>
      </c>
      <c r="X1493" s="28" t="n"/>
      <c r="Y1493" s="28" t="n"/>
      <c r="Z1493" s="28" t="n"/>
      <c r="AA1493" s="31" t="n"/>
      <c r="AB1493" s="31" t="n"/>
    </row>
    <row r="1494">
      <c r="A1494" s="25" t="inlineStr">
        <is>
          <t>S29</t>
        </is>
      </c>
      <c r="B1494" s="25" t="inlineStr">
        <is>
          <t>가야 신규점1</t>
        </is>
      </c>
      <c r="C1494" s="25" t="inlineStr">
        <is>
          <t>S29-H남</t>
        </is>
      </c>
      <c r="D1494" s="25" t="inlineStr">
        <is>
          <t>측정</t>
        </is>
      </c>
      <c r="E1494" s="25" t="inlineStr">
        <is>
          <t>남</t>
        </is>
      </c>
      <c r="F1494" s="30" t="n">
        <v>6</v>
      </c>
      <c r="G1494" s="29" t="n"/>
      <c r="H1494" s="42" t="n"/>
      <c r="I1494" s="40" t="n"/>
      <c r="J1494" s="40" t="n"/>
      <c r="K1494" s="40" t="n"/>
      <c r="L1494" s="30">
        <f>IF(COUNT(I1494:K1494)=0,"",MEDIAN(I1494:K1494))</f>
        <v/>
      </c>
      <c r="M1494" s="25">
        <f>IF(COUNTIFS($C:$C,$C1494,$D:$D,"P0(전)",$L:$L,"&gt;0")&lt;&gt;1,"P0(전) 유효 1개 아님",IF(COUNTIFS($C:$C,$C1494,$D:$D,"P0(후)",$L:$L,"&gt;0")&lt;&gt;1,"P0(후) 유효 1개 아님",IF(NOT(AND(ISNUMBER(N1494),ISNUMBER(P1494),ISNUMBER(H1494))),"시각 결측",IF(P1494&lt;=N1494,"P0 시각 역전",IF(OR(H1494&lt;N1494,H1494&gt;P1494),"측정시각 구간 밖","OK")))))</f>
        <v/>
      </c>
      <c r="N1494" s="45">
        <f>IF(COUNTIFS($C:$C,$C1494,$D:$D,"P0(전)",$L:$L,"&gt;0")&lt;&gt;1,"",SUMIFS($H:$H,$C:$C,$C1494,$D:$D,"P0(전)"))</f>
        <v/>
      </c>
      <c r="O1494" s="30">
        <f>IF(COUNTIFS($C:$C,$C1494,$D:$D,"P0(전)",$L:$L,"&gt;0")&lt;&gt;1,"",SUMIFS($L:$L,$C:$C,$C1494,$D:$D,"P0(전)"))</f>
        <v/>
      </c>
      <c r="P1494" s="45">
        <f>IF(COUNTIFS($C:$C,$C1494,$D:$D,"P0(후)",$L:$L,"&gt;0")&lt;&gt;1,"",SUMIFS($H:$H,$C:$C,$C1494,$D:$D,"P0(후)"))</f>
        <v/>
      </c>
      <c r="Q1494" s="30">
        <f>IF(COUNTIFS($C:$C,$C1494,$D:$D,"P0(후)",$L:$L,"&gt;0")&lt;&gt;1,"",SUMIFS($L:$L,$C:$C,$C1494,$D:$D,"P0(후)"))</f>
        <v/>
      </c>
      <c r="R1494" s="30">
        <f>IF(M1494&lt;&gt;"OK","",O1494+(Q1494-O1494)*(H1494-N1494)/(P1494-N1494))</f>
        <v/>
      </c>
      <c r="S1494" s="30">
        <f>IF(OR(M1494&lt;&gt;"OK",NOT(ISNUMBER(L1494))),"",L1494-R1494)</f>
        <v/>
      </c>
      <c r="T1494" s="46">
        <f>IF(OR(NOT(ISNUMBER(S1494)),IF(ISNUMBER(G1494),G1494,F1494)=0),"",S1494/IF(ISNUMBER(G1494),G1494,F1494))</f>
        <v/>
      </c>
      <c r="U1494" s="46">
        <f>IF(ISNUMBER(T1494),ABS(T1494),"")</f>
        <v/>
      </c>
      <c r="V1494" s="46">
        <f>IF(OR($D1493&lt;&gt;"측정",$C1493&lt;&gt;$C1494,NOT(ISNUMBER(L1494)),NOT(ISNUMBER(L1493)),(IF(ISNUMBER(G1494),G1494,F1494)-IF(ISNUMBER(G1493),G1493,F1493))=0),"",(L1494-L1493)/(IF(ISNUMBER(G1494),G1494,F1494)-IF(ISNUMBER(G1493),G1493,F1493)))</f>
        <v/>
      </c>
      <c r="W1494" s="30">
        <f>IF(NOT(AND(ISNUMBER(N1494),ISNUMBER(P1494))),"",(P1494-N1494)*1440)</f>
        <v/>
      </c>
      <c r="X1494" s="28" t="n"/>
      <c r="Y1494" s="28" t="n"/>
      <c r="Z1494" s="28" t="n"/>
      <c r="AA1494" s="31" t="n"/>
      <c r="AB1494" s="31" t="n"/>
    </row>
    <row r="1495">
      <c r="A1495" s="25" t="inlineStr">
        <is>
          <t>S29</t>
        </is>
      </c>
      <c r="B1495" s="25" t="inlineStr">
        <is>
          <t>가야 신규점1</t>
        </is>
      </c>
      <c r="C1495" s="25" t="inlineStr">
        <is>
          <t>S29-H남</t>
        </is>
      </c>
      <c r="D1495" s="25" t="inlineStr">
        <is>
          <t>측정</t>
        </is>
      </c>
      <c r="E1495" s="25" t="inlineStr">
        <is>
          <t>남</t>
        </is>
      </c>
      <c r="F1495" s="30" t="n">
        <v>7</v>
      </c>
      <c r="G1495" s="29" t="n"/>
      <c r="H1495" s="42" t="n"/>
      <c r="I1495" s="40" t="n"/>
      <c r="J1495" s="40" t="n"/>
      <c r="K1495" s="40" t="n"/>
      <c r="L1495" s="30">
        <f>IF(COUNT(I1495:K1495)=0,"",MEDIAN(I1495:K1495))</f>
        <v/>
      </c>
      <c r="M1495" s="25">
        <f>IF(COUNTIFS($C:$C,$C1495,$D:$D,"P0(전)",$L:$L,"&gt;0")&lt;&gt;1,"P0(전) 유효 1개 아님",IF(COUNTIFS($C:$C,$C1495,$D:$D,"P0(후)",$L:$L,"&gt;0")&lt;&gt;1,"P0(후) 유효 1개 아님",IF(NOT(AND(ISNUMBER(N1495),ISNUMBER(P1495),ISNUMBER(H1495))),"시각 결측",IF(P1495&lt;=N1495,"P0 시각 역전",IF(OR(H1495&lt;N1495,H1495&gt;P1495),"측정시각 구간 밖","OK")))))</f>
        <v/>
      </c>
      <c r="N1495" s="45">
        <f>IF(COUNTIFS($C:$C,$C1495,$D:$D,"P0(전)",$L:$L,"&gt;0")&lt;&gt;1,"",SUMIFS($H:$H,$C:$C,$C1495,$D:$D,"P0(전)"))</f>
        <v/>
      </c>
      <c r="O1495" s="30">
        <f>IF(COUNTIFS($C:$C,$C1495,$D:$D,"P0(전)",$L:$L,"&gt;0")&lt;&gt;1,"",SUMIFS($L:$L,$C:$C,$C1495,$D:$D,"P0(전)"))</f>
        <v/>
      </c>
      <c r="P1495" s="45">
        <f>IF(COUNTIFS($C:$C,$C1495,$D:$D,"P0(후)",$L:$L,"&gt;0")&lt;&gt;1,"",SUMIFS($H:$H,$C:$C,$C1495,$D:$D,"P0(후)"))</f>
        <v/>
      </c>
      <c r="Q1495" s="30">
        <f>IF(COUNTIFS($C:$C,$C1495,$D:$D,"P0(후)",$L:$L,"&gt;0")&lt;&gt;1,"",SUMIFS($L:$L,$C:$C,$C1495,$D:$D,"P0(후)"))</f>
        <v/>
      </c>
      <c r="R1495" s="30">
        <f>IF(M1495&lt;&gt;"OK","",O1495+(Q1495-O1495)*(H1495-N1495)/(P1495-N1495))</f>
        <v/>
      </c>
      <c r="S1495" s="30">
        <f>IF(OR(M1495&lt;&gt;"OK",NOT(ISNUMBER(L1495))),"",L1495-R1495)</f>
        <v/>
      </c>
      <c r="T1495" s="46">
        <f>IF(OR(NOT(ISNUMBER(S1495)),IF(ISNUMBER(G1495),G1495,F1495)=0),"",S1495/IF(ISNUMBER(G1495),G1495,F1495))</f>
        <v/>
      </c>
      <c r="U1495" s="46">
        <f>IF(ISNUMBER(T1495),ABS(T1495),"")</f>
        <v/>
      </c>
      <c r="V1495" s="46">
        <f>IF(OR($D1494&lt;&gt;"측정",$C1494&lt;&gt;$C1495,NOT(ISNUMBER(L1495)),NOT(ISNUMBER(L1494)),(IF(ISNUMBER(G1495),G1495,F1495)-IF(ISNUMBER(G1494),G1494,F1494))=0),"",(L1495-L1494)/(IF(ISNUMBER(G1495),G1495,F1495)-IF(ISNUMBER(G1494),G1494,F1494)))</f>
        <v/>
      </c>
      <c r="W1495" s="30">
        <f>IF(NOT(AND(ISNUMBER(N1495),ISNUMBER(P1495))),"",(P1495-N1495)*1440)</f>
        <v/>
      </c>
      <c r="X1495" s="28" t="n"/>
      <c r="Y1495" s="28" t="n"/>
      <c r="Z1495" s="28" t="n"/>
      <c r="AA1495" s="31" t="n"/>
      <c r="AB1495" s="31" t="n"/>
    </row>
    <row r="1496">
      <c r="A1496" s="25" t="inlineStr">
        <is>
          <t>S29</t>
        </is>
      </c>
      <c r="B1496" s="25" t="inlineStr">
        <is>
          <t>가야 신규점1</t>
        </is>
      </c>
      <c r="C1496" s="25" t="inlineStr">
        <is>
          <t>S29-H남</t>
        </is>
      </c>
      <c r="D1496" s="25" t="inlineStr">
        <is>
          <t>측정</t>
        </is>
      </c>
      <c r="E1496" s="25" t="inlineStr">
        <is>
          <t>남</t>
        </is>
      </c>
      <c r="F1496" s="30" t="n">
        <v>8</v>
      </c>
      <c r="G1496" s="29" t="n"/>
      <c r="H1496" s="42" t="n"/>
      <c r="I1496" s="40" t="n"/>
      <c r="J1496" s="40" t="n"/>
      <c r="K1496" s="40" t="n"/>
      <c r="L1496" s="30">
        <f>IF(COUNT(I1496:K1496)=0,"",MEDIAN(I1496:K1496))</f>
        <v/>
      </c>
      <c r="M1496" s="25">
        <f>IF(COUNTIFS($C:$C,$C1496,$D:$D,"P0(전)",$L:$L,"&gt;0")&lt;&gt;1,"P0(전) 유효 1개 아님",IF(COUNTIFS($C:$C,$C1496,$D:$D,"P0(후)",$L:$L,"&gt;0")&lt;&gt;1,"P0(후) 유효 1개 아님",IF(NOT(AND(ISNUMBER(N1496),ISNUMBER(P1496),ISNUMBER(H1496))),"시각 결측",IF(P1496&lt;=N1496,"P0 시각 역전",IF(OR(H1496&lt;N1496,H1496&gt;P1496),"측정시각 구간 밖","OK")))))</f>
        <v/>
      </c>
      <c r="N1496" s="45">
        <f>IF(COUNTIFS($C:$C,$C1496,$D:$D,"P0(전)",$L:$L,"&gt;0")&lt;&gt;1,"",SUMIFS($H:$H,$C:$C,$C1496,$D:$D,"P0(전)"))</f>
        <v/>
      </c>
      <c r="O1496" s="30">
        <f>IF(COUNTIFS($C:$C,$C1496,$D:$D,"P0(전)",$L:$L,"&gt;0")&lt;&gt;1,"",SUMIFS($L:$L,$C:$C,$C1496,$D:$D,"P0(전)"))</f>
        <v/>
      </c>
      <c r="P1496" s="45">
        <f>IF(COUNTIFS($C:$C,$C1496,$D:$D,"P0(후)",$L:$L,"&gt;0")&lt;&gt;1,"",SUMIFS($H:$H,$C:$C,$C1496,$D:$D,"P0(후)"))</f>
        <v/>
      </c>
      <c r="Q1496" s="30">
        <f>IF(COUNTIFS($C:$C,$C1496,$D:$D,"P0(후)",$L:$L,"&gt;0")&lt;&gt;1,"",SUMIFS($L:$L,$C:$C,$C1496,$D:$D,"P0(후)"))</f>
        <v/>
      </c>
      <c r="R1496" s="30">
        <f>IF(M1496&lt;&gt;"OK","",O1496+(Q1496-O1496)*(H1496-N1496)/(P1496-N1496))</f>
        <v/>
      </c>
      <c r="S1496" s="30">
        <f>IF(OR(M1496&lt;&gt;"OK",NOT(ISNUMBER(L1496))),"",L1496-R1496)</f>
        <v/>
      </c>
      <c r="T1496" s="46">
        <f>IF(OR(NOT(ISNUMBER(S1496)),IF(ISNUMBER(G1496),G1496,F1496)=0),"",S1496/IF(ISNUMBER(G1496),G1496,F1496))</f>
        <v/>
      </c>
      <c r="U1496" s="46">
        <f>IF(ISNUMBER(T1496),ABS(T1496),"")</f>
        <v/>
      </c>
      <c r="V1496" s="46">
        <f>IF(OR($D1495&lt;&gt;"측정",$C1495&lt;&gt;$C1496,NOT(ISNUMBER(L1496)),NOT(ISNUMBER(L1495)),(IF(ISNUMBER(G1496),G1496,F1496)-IF(ISNUMBER(G1495),G1495,F1495))=0),"",(L1496-L1495)/(IF(ISNUMBER(G1496),G1496,F1496)-IF(ISNUMBER(G1495),G1495,F1495)))</f>
        <v/>
      </c>
      <c r="W1496" s="30">
        <f>IF(NOT(AND(ISNUMBER(N1496),ISNUMBER(P1496))),"",(P1496-N1496)*1440)</f>
        <v/>
      </c>
      <c r="X1496" s="28" t="n"/>
      <c r="Y1496" s="28" t="n"/>
      <c r="Z1496" s="28" t="n"/>
      <c r="AA1496" s="31" t="n"/>
      <c r="AB1496" s="31" t="n"/>
    </row>
    <row r="1497">
      <c r="A1497" s="25" t="inlineStr">
        <is>
          <t>S29</t>
        </is>
      </c>
      <c r="B1497" s="25" t="inlineStr">
        <is>
          <t>가야 신규점1</t>
        </is>
      </c>
      <c r="C1497" s="25" t="inlineStr">
        <is>
          <t>S29-H남</t>
        </is>
      </c>
      <c r="D1497" s="25" t="inlineStr">
        <is>
          <t>측정</t>
        </is>
      </c>
      <c r="E1497" s="25" t="inlineStr">
        <is>
          <t>남</t>
        </is>
      </c>
      <c r="F1497" s="30" t="n">
        <v>9</v>
      </c>
      <c r="G1497" s="29" t="n"/>
      <c r="H1497" s="42" t="n"/>
      <c r="I1497" s="40" t="n"/>
      <c r="J1497" s="40" t="n"/>
      <c r="K1497" s="40" t="n"/>
      <c r="L1497" s="30">
        <f>IF(COUNT(I1497:K1497)=0,"",MEDIAN(I1497:K1497))</f>
        <v/>
      </c>
      <c r="M1497" s="25">
        <f>IF(COUNTIFS($C:$C,$C1497,$D:$D,"P0(전)",$L:$L,"&gt;0")&lt;&gt;1,"P0(전) 유효 1개 아님",IF(COUNTIFS($C:$C,$C1497,$D:$D,"P0(후)",$L:$L,"&gt;0")&lt;&gt;1,"P0(후) 유효 1개 아님",IF(NOT(AND(ISNUMBER(N1497),ISNUMBER(P1497),ISNUMBER(H1497))),"시각 결측",IF(P1497&lt;=N1497,"P0 시각 역전",IF(OR(H1497&lt;N1497,H1497&gt;P1497),"측정시각 구간 밖","OK")))))</f>
        <v/>
      </c>
      <c r="N1497" s="45">
        <f>IF(COUNTIFS($C:$C,$C1497,$D:$D,"P0(전)",$L:$L,"&gt;0")&lt;&gt;1,"",SUMIFS($H:$H,$C:$C,$C1497,$D:$D,"P0(전)"))</f>
        <v/>
      </c>
      <c r="O1497" s="30">
        <f>IF(COUNTIFS($C:$C,$C1497,$D:$D,"P0(전)",$L:$L,"&gt;0")&lt;&gt;1,"",SUMIFS($L:$L,$C:$C,$C1497,$D:$D,"P0(전)"))</f>
        <v/>
      </c>
      <c r="P1497" s="45">
        <f>IF(COUNTIFS($C:$C,$C1497,$D:$D,"P0(후)",$L:$L,"&gt;0")&lt;&gt;1,"",SUMIFS($H:$H,$C:$C,$C1497,$D:$D,"P0(후)"))</f>
        <v/>
      </c>
      <c r="Q1497" s="30">
        <f>IF(COUNTIFS($C:$C,$C1497,$D:$D,"P0(후)",$L:$L,"&gt;0")&lt;&gt;1,"",SUMIFS($L:$L,$C:$C,$C1497,$D:$D,"P0(후)"))</f>
        <v/>
      </c>
      <c r="R1497" s="30">
        <f>IF(M1497&lt;&gt;"OK","",O1497+(Q1497-O1497)*(H1497-N1497)/(P1497-N1497))</f>
        <v/>
      </c>
      <c r="S1497" s="30">
        <f>IF(OR(M1497&lt;&gt;"OK",NOT(ISNUMBER(L1497))),"",L1497-R1497)</f>
        <v/>
      </c>
      <c r="T1497" s="46">
        <f>IF(OR(NOT(ISNUMBER(S1497)),IF(ISNUMBER(G1497),G1497,F1497)=0),"",S1497/IF(ISNUMBER(G1497),G1497,F1497))</f>
        <v/>
      </c>
      <c r="U1497" s="46">
        <f>IF(ISNUMBER(T1497),ABS(T1497),"")</f>
        <v/>
      </c>
      <c r="V1497" s="46">
        <f>IF(OR($D1496&lt;&gt;"측정",$C1496&lt;&gt;$C1497,NOT(ISNUMBER(L1497)),NOT(ISNUMBER(L1496)),(IF(ISNUMBER(G1497),G1497,F1497)-IF(ISNUMBER(G1496),G1496,F1496))=0),"",(L1497-L1496)/(IF(ISNUMBER(G1497),G1497,F1497)-IF(ISNUMBER(G1496),G1496,F1496)))</f>
        <v/>
      </c>
      <c r="W1497" s="30">
        <f>IF(NOT(AND(ISNUMBER(N1497),ISNUMBER(P1497))),"",(P1497-N1497)*1440)</f>
        <v/>
      </c>
      <c r="X1497" s="28" t="n"/>
      <c r="Y1497" s="28" t="n"/>
      <c r="Z1497" s="28" t="n"/>
      <c r="AA1497" s="31" t="n"/>
      <c r="AB1497" s="31" t="n"/>
    </row>
    <row r="1498">
      <c r="A1498" s="25" t="inlineStr">
        <is>
          <t>S29</t>
        </is>
      </c>
      <c r="B1498" s="25" t="inlineStr">
        <is>
          <t>가야 신규점1</t>
        </is>
      </c>
      <c r="C1498" s="25" t="inlineStr">
        <is>
          <t>S29-H남</t>
        </is>
      </c>
      <c r="D1498" s="25" t="inlineStr">
        <is>
          <t>측정</t>
        </is>
      </c>
      <c r="E1498" s="25" t="inlineStr">
        <is>
          <t>남</t>
        </is>
      </c>
      <c r="F1498" s="30" t="n">
        <v>10</v>
      </c>
      <c r="G1498" s="29" t="n"/>
      <c r="H1498" s="42" t="n"/>
      <c r="I1498" s="40" t="n"/>
      <c r="J1498" s="40" t="n"/>
      <c r="K1498" s="40" t="n"/>
      <c r="L1498" s="30">
        <f>IF(COUNT(I1498:K1498)=0,"",MEDIAN(I1498:K1498))</f>
        <v/>
      </c>
      <c r="M1498" s="25">
        <f>IF(COUNTIFS($C:$C,$C1498,$D:$D,"P0(전)",$L:$L,"&gt;0")&lt;&gt;1,"P0(전) 유효 1개 아님",IF(COUNTIFS($C:$C,$C1498,$D:$D,"P0(후)",$L:$L,"&gt;0")&lt;&gt;1,"P0(후) 유효 1개 아님",IF(NOT(AND(ISNUMBER(N1498),ISNUMBER(P1498),ISNUMBER(H1498))),"시각 결측",IF(P1498&lt;=N1498,"P0 시각 역전",IF(OR(H1498&lt;N1498,H1498&gt;P1498),"측정시각 구간 밖","OK")))))</f>
        <v/>
      </c>
      <c r="N1498" s="45">
        <f>IF(COUNTIFS($C:$C,$C1498,$D:$D,"P0(전)",$L:$L,"&gt;0")&lt;&gt;1,"",SUMIFS($H:$H,$C:$C,$C1498,$D:$D,"P0(전)"))</f>
        <v/>
      </c>
      <c r="O1498" s="30">
        <f>IF(COUNTIFS($C:$C,$C1498,$D:$D,"P0(전)",$L:$L,"&gt;0")&lt;&gt;1,"",SUMIFS($L:$L,$C:$C,$C1498,$D:$D,"P0(전)"))</f>
        <v/>
      </c>
      <c r="P1498" s="45">
        <f>IF(COUNTIFS($C:$C,$C1498,$D:$D,"P0(후)",$L:$L,"&gt;0")&lt;&gt;1,"",SUMIFS($H:$H,$C:$C,$C1498,$D:$D,"P0(후)"))</f>
        <v/>
      </c>
      <c r="Q1498" s="30">
        <f>IF(COUNTIFS($C:$C,$C1498,$D:$D,"P0(후)",$L:$L,"&gt;0")&lt;&gt;1,"",SUMIFS($L:$L,$C:$C,$C1498,$D:$D,"P0(후)"))</f>
        <v/>
      </c>
      <c r="R1498" s="30">
        <f>IF(M1498&lt;&gt;"OK","",O1498+(Q1498-O1498)*(H1498-N1498)/(P1498-N1498))</f>
        <v/>
      </c>
      <c r="S1498" s="30">
        <f>IF(OR(M1498&lt;&gt;"OK",NOT(ISNUMBER(L1498))),"",L1498-R1498)</f>
        <v/>
      </c>
      <c r="T1498" s="46">
        <f>IF(OR(NOT(ISNUMBER(S1498)),IF(ISNUMBER(G1498),G1498,F1498)=0),"",S1498/IF(ISNUMBER(G1498),G1498,F1498))</f>
        <v/>
      </c>
      <c r="U1498" s="46">
        <f>IF(ISNUMBER(T1498),ABS(T1498),"")</f>
        <v/>
      </c>
      <c r="V1498" s="46">
        <f>IF(OR($D1497&lt;&gt;"측정",$C1497&lt;&gt;$C1498,NOT(ISNUMBER(L1498)),NOT(ISNUMBER(L1497)),(IF(ISNUMBER(G1498),G1498,F1498)-IF(ISNUMBER(G1497),G1497,F1497))=0),"",(L1498-L1497)/(IF(ISNUMBER(G1498),G1498,F1498)-IF(ISNUMBER(G1497),G1497,F1497)))</f>
        <v/>
      </c>
      <c r="W1498" s="30">
        <f>IF(NOT(AND(ISNUMBER(N1498),ISNUMBER(P1498))),"",(P1498-N1498)*1440)</f>
        <v/>
      </c>
      <c r="X1498" s="28" t="n"/>
      <c r="Y1498" s="28" t="n"/>
      <c r="Z1498" s="28" t="n"/>
      <c r="AA1498" s="31" t="n"/>
      <c r="AB1498" s="31" t="n"/>
    </row>
    <row r="1499">
      <c r="A1499" s="43" t="inlineStr">
        <is>
          <t>S29</t>
        </is>
      </c>
      <c r="B1499" s="43" t="inlineStr">
        <is>
          <t>가야 신규점1</t>
        </is>
      </c>
      <c r="C1499" s="43" t="inlineStr">
        <is>
          <t>S29-H남</t>
        </is>
      </c>
      <c r="D1499" s="43" t="inlineStr">
        <is>
          <t>P0(후)</t>
        </is>
      </c>
      <c r="E1499" s="43" t="inlineStr">
        <is>
          <t>남</t>
        </is>
      </c>
      <c r="F1499" s="44" t="n"/>
      <c r="G1499" s="29" t="n"/>
      <c r="H1499" s="42" t="n"/>
      <c r="I1499" s="40" t="n"/>
      <c r="J1499" s="40" t="n"/>
      <c r="K1499" s="40" t="n"/>
      <c r="L1499" s="30">
        <f>IF(COUNT(I1499:K1499)=0,"",MEDIAN(I1499:K1499))</f>
        <v/>
      </c>
      <c r="M1499" s="37" t="n"/>
      <c r="N1499" s="37" t="n"/>
      <c r="O1499" s="37" t="n"/>
      <c r="P1499" s="37" t="n"/>
      <c r="Q1499" s="37" t="n"/>
      <c r="R1499" s="37" t="n"/>
      <c r="S1499" s="37" t="n"/>
      <c r="T1499" s="37" t="n"/>
      <c r="U1499" s="37" t="n"/>
      <c r="V1499" s="37" t="n"/>
      <c r="W1499" s="37" t="n"/>
      <c r="X1499" s="28" t="n"/>
      <c r="Y1499" s="28" t="n"/>
      <c r="Z1499" s="28" t="n"/>
      <c r="AA1499" s="31" t="n"/>
      <c r="AB1499" s="31" t="n"/>
    </row>
    <row r="1500">
      <c r="A1500" s="43" t="inlineStr">
        <is>
          <t>S29</t>
        </is>
      </c>
      <c r="B1500" s="43" t="inlineStr">
        <is>
          <t>가야 신규점1</t>
        </is>
      </c>
      <c r="C1500" s="43" t="inlineStr">
        <is>
          <t>S29-H북</t>
        </is>
      </c>
      <c r="D1500" s="43" t="inlineStr">
        <is>
          <t>P0(전)</t>
        </is>
      </c>
      <c r="E1500" s="43" t="inlineStr">
        <is>
          <t>북</t>
        </is>
      </c>
      <c r="F1500" s="44" t="n"/>
      <c r="G1500" s="29" t="n"/>
      <c r="H1500" s="42" t="n"/>
      <c r="I1500" s="40" t="n"/>
      <c r="J1500" s="40" t="n"/>
      <c r="K1500" s="40" t="n"/>
      <c r="L1500" s="30">
        <f>IF(COUNT(I1500:K1500)=0,"",MEDIAN(I1500:K1500))</f>
        <v/>
      </c>
      <c r="M1500" s="37" t="n"/>
      <c r="N1500" s="37" t="n"/>
      <c r="O1500" s="37" t="n"/>
      <c r="P1500" s="37" t="n"/>
      <c r="Q1500" s="37" t="n"/>
      <c r="R1500" s="37" t="n"/>
      <c r="S1500" s="37" t="n"/>
      <c r="T1500" s="37" t="n"/>
      <c r="U1500" s="37" t="n"/>
      <c r="V1500" s="37" t="n"/>
      <c r="W1500" s="37" t="n"/>
      <c r="X1500" s="28" t="n"/>
      <c r="Y1500" s="28" t="n"/>
      <c r="Z1500" s="28" t="n"/>
      <c r="AA1500" s="31" t="n"/>
      <c r="AB1500" s="31" t="n"/>
    </row>
    <row r="1501">
      <c r="A1501" s="25" t="inlineStr">
        <is>
          <t>S29</t>
        </is>
      </c>
      <c r="B1501" s="25" t="inlineStr">
        <is>
          <t>가야 신규점1</t>
        </is>
      </c>
      <c r="C1501" s="25" t="inlineStr">
        <is>
          <t>S29-H북</t>
        </is>
      </c>
      <c r="D1501" s="25" t="inlineStr">
        <is>
          <t>측정</t>
        </is>
      </c>
      <c r="E1501" s="25" t="inlineStr">
        <is>
          <t>북</t>
        </is>
      </c>
      <c r="F1501" s="30" t="n">
        <v>0.5</v>
      </c>
      <c r="G1501" s="29" t="n"/>
      <c r="H1501" s="42" t="n"/>
      <c r="I1501" s="40" t="n"/>
      <c r="J1501" s="40" t="n"/>
      <c r="K1501" s="40" t="n"/>
      <c r="L1501" s="30">
        <f>IF(COUNT(I1501:K1501)=0,"",MEDIAN(I1501:K1501))</f>
        <v/>
      </c>
      <c r="M1501" s="25">
        <f>IF(COUNTIFS($C:$C,$C1501,$D:$D,"P0(전)",$L:$L,"&gt;0")&lt;&gt;1,"P0(전) 유효 1개 아님",IF(COUNTIFS($C:$C,$C1501,$D:$D,"P0(후)",$L:$L,"&gt;0")&lt;&gt;1,"P0(후) 유효 1개 아님",IF(NOT(AND(ISNUMBER(N1501),ISNUMBER(P1501),ISNUMBER(H1501))),"시각 결측",IF(P1501&lt;=N1501,"P0 시각 역전",IF(OR(H1501&lt;N1501,H1501&gt;P1501),"측정시각 구간 밖","OK")))))</f>
        <v/>
      </c>
      <c r="N1501" s="45">
        <f>IF(COUNTIFS($C:$C,$C1501,$D:$D,"P0(전)",$L:$L,"&gt;0")&lt;&gt;1,"",SUMIFS($H:$H,$C:$C,$C1501,$D:$D,"P0(전)"))</f>
        <v/>
      </c>
      <c r="O1501" s="30">
        <f>IF(COUNTIFS($C:$C,$C1501,$D:$D,"P0(전)",$L:$L,"&gt;0")&lt;&gt;1,"",SUMIFS($L:$L,$C:$C,$C1501,$D:$D,"P0(전)"))</f>
        <v/>
      </c>
      <c r="P1501" s="45">
        <f>IF(COUNTIFS($C:$C,$C1501,$D:$D,"P0(후)",$L:$L,"&gt;0")&lt;&gt;1,"",SUMIFS($H:$H,$C:$C,$C1501,$D:$D,"P0(후)"))</f>
        <v/>
      </c>
      <c r="Q1501" s="30">
        <f>IF(COUNTIFS($C:$C,$C1501,$D:$D,"P0(후)",$L:$L,"&gt;0")&lt;&gt;1,"",SUMIFS($L:$L,$C:$C,$C1501,$D:$D,"P0(후)"))</f>
        <v/>
      </c>
      <c r="R1501" s="30">
        <f>IF(M1501&lt;&gt;"OK","",O1501+(Q1501-O1501)*(H1501-N1501)/(P1501-N1501))</f>
        <v/>
      </c>
      <c r="S1501" s="30">
        <f>IF(OR(M1501&lt;&gt;"OK",NOT(ISNUMBER(L1501))),"",L1501-R1501)</f>
        <v/>
      </c>
      <c r="T1501" s="46">
        <f>IF(OR(NOT(ISNUMBER(S1501)),IF(ISNUMBER(G1501),G1501,F1501)=0),"",S1501/IF(ISNUMBER(G1501),G1501,F1501))</f>
        <v/>
      </c>
      <c r="U1501" s="46">
        <f>IF(ISNUMBER(T1501),ABS(T1501),"")</f>
        <v/>
      </c>
      <c r="V1501" s="46">
        <f>IF(OR($D1500&lt;&gt;"측정",$C1500&lt;&gt;$C1501,NOT(ISNUMBER(L1501)),NOT(ISNUMBER(L1500)),(IF(ISNUMBER(G1501),G1501,F1501)-IF(ISNUMBER(G1500),G1500,F1500))=0),"",(L1501-L1500)/(IF(ISNUMBER(G1501),G1501,F1501)-IF(ISNUMBER(G1500),G1500,F1500)))</f>
        <v/>
      </c>
      <c r="W1501" s="30">
        <f>IF(NOT(AND(ISNUMBER(N1501),ISNUMBER(P1501))),"",(P1501-N1501)*1440)</f>
        <v/>
      </c>
      <c r="X1501" s="28" t="n"/>
      <c r="Y1501" s="28" t="n"/>
      <c r="Z1501" s="28" t="n"/>
      <c r="AA1501" s="31" t="n"/>
      <c r="AB1501" s="31" t="n"/>
    </row>
    <row r="1502">
      <c r="A1502" s="25" t="inlineStr">
        <is>
          <t>S29</t>
        </is>
      </c>
      <c r="B1502" s="25" t="inlineStr">
        <is>
          <t>가야 신규점1</t>
        </is>
      </c>
      <c r="C1502" s="25" t="inlineStr">
        <is>
          <t>S29-H북</t>
        </is>
      </c>
      <c r="D1502" s="25" t="inlineStr">
        <is>
          <t>측정</t>
        </is>
      </c>
      <c r="E1502" s="25" t="inlineStr">
        <is>
          <t>북</t>
        </is>
      </c>
      <c r="F1502" s="30" t="n">
        <v>1</v>
      </c>
      <c r="G1502" s="29" t="n"/>
      <c r="H1502" s="42" t="n"/>
      <c r="I1502" s="40" t="n"/>
      <c r="J1502" s="40" t="n"/>
      <c r="K1502" s="40" t="n"/>
      <c r="L1502" s="30">
        <f>IF(COUNT(I1502:K1502)=0,"",MEDIAN(I1502:K1502))</f>
        <v/>
      </c>
      <c r="M1502" s="25">
        <f>IF(COUNTIFS($C:$C,$C1502,$D:$D,"P0(전)",$L:$L,"&gt;0")&lt;&gt;1,"P0(전) 유효 1개 아님",IF(COUNTIFS($C:$C,$C1502,$D:$D,"P0(후)",$L:$L,"&gt;0")&lt;&gt;1,"P0(후) 유효 1개 아님",IF(NOT(AND(ISNUMBER(N1502),ISNUMBER(P1502),ISNUMBER(H1502))),"시각 결측",IF(P1502&lt;=N1502,"P0 시각 역전",IF(OR(H1502&lt;N1502,H1502&gt;P1502),"측정시각 구간 밖","OK")))))</f>
        <v/>
      </c>
      <c r="N1502" s="45">
        <f>IF(COUNTIFS($C:$C,$C1502,$D:$D,"P0(전)",$L:$L,"&gt;0")&lt;&gt;1,"",SUMIFS($H:$H,$C:$C,$C1502,$D:$D,"P0(전)"))</f>
        <v/>
      </c>
      <c r="O1502" s="30">
        <f>IF(COUNTIFS($C:$C,$C1502,$D:$D,"P0(전)",$L:$L,"&gt;0")&lt;&gt;1,"",SUMIFS($L:$L,$C:$C,$C1502,$D:$D,"P0(전)"))</f>
        <v/>
      </c>
      <c r="P1502" s="45">
        <f>IF(COUNTIFS($C:$C,$C1502,$D:$D,"P0(후)",$L:$L,"&gt;0")&lt;&gt;1,"",SUMIFS($H:$H,$C:$C,$C1502,$D:$D,"P0(후)"))</f>
        <v/>
      </c>
      <c r="Q1502" s="30">
        <f>IF(COUNTIFS($C:$C,$C1502,$D:$D,"P0(후)",$L:$L,"&gt;0")&lt;&gt;1,"",SUMIFS($L:$L,$C:$C,$C1502,$D:$D,"P0(후)"))</f>
        <v/>
      </c>
      <c r="R1502" s="30">
        <f>IF(M1502&lt;&gt;"OK","",O1502+(Q1502-O1502)*(H1502-N1502)/(P1502-N1502))</f>
        <v/>
      </c>
      <c r="S1502" s="30">
        <f>IF(OR(M1502&lt;&gt;"OK",NOT(ISNUMBER(L1502))),"",L1502-R1502)</f>
        <v/>
      </c>
      <c r="T1502" s="46">
        <f>IF(OR(NOT(ISNUMBER(S1502)),IF(ISNUMBER(G1502),G1502,F1502)=0),"",S1502/IF(ISNUMBER(G1502),G1502,F1502))</f>
        <v/>
      </c>
      <c r="U1502" s="46">
        <f>IF(ISNUMBER(T1502),ABS(T1502),"")</f>
        <v/>
      </c>
      <c r="V1502" s="46">
        <f>IF(OR($D1501&lt;&gt;"측정",$C1501&lt;&gt;$C1502,NOT(ISNUMBER(L1502)),NOT(ISNUMBER(L1501)),(IF(ISNUMBER(G1502),G1502,F1502)-IF(ISNUMBER(G1501),G1501,F1501))=0),"",(L1502-L1501)/(IF(ISNUMBER(G1502),G1502,F1502)-IF(ISNUMBER(G1501),G1501,F1501)))</f>
        <v/>
      </c>
      <c r="W1502" s="30">
        <f>IF(NOT(AND(ISNUMBER(N1502),ISNUMBER(P1502))),"",(P1502-N1502)*1440)</f>
        <v/>
      </c>
      <c r="X1502" s="28" t="n"/>
      <c r="Y1502" s="28" t="n"/>
      <c r="Z1502" s="28" t="n"/>
      <c r="AA1502" s="31" t="n"/>
      <c r="AB1502" s="31" t="n"/>
    </row>
    <row r="1503">
      <c r="A1503" s="25" t="inlineStr">
        <is>
          <t>S29</t>
        </is>
      </c>
      <c r="B1503" s="25" t="inlineStr">
        <is>
          <t>가야 신규점1</t>
        </is>
      </c>
      <c r="C1503" s="25" t="inlineStr">
        <is>
          <t>S29-H북</t>
        </is>
      </c>
      <c r="D1503" s="25" t="inlineStr">
        <is>
          <t>측정</t>
        </is>
      </c>
      <c r="E1503" s="25" t="inlineStr">
        <is>
          <t>북</t>
        </is>
      </c>
      <c r="F1503" s="30" t="n">
        <v>2</v>
      </c>
      <c r="G1503" s="29" t="n"/>
      <c r="H1503" s="42" t="n"/>
      <c r="I1503" s="40" t="n"/>
      <c r="J1503" s="40" t="n"/>
      <c r="K1503" s="40" t="n"/>
      <c r="L1503" s="30">
        <f>IF(COUNT(I1503:K1503)=0,"",MEDIAN(I1503:K1503))</f>
        <v/>
      </c>
      <c r="M1503" s="25">
        <f>IF(COUNTIFS($C:$C,$C1503,$D:$D,"P0(전)",$L:$L,"&gt;0")&lt;&gt;1,"P0(전) 유효 1개 아님",IF(COUNTIFS($C:$C,$C1503,$D:$D,"P0(후)",$L:$L,"&gt;0")&lt;&gt;1,"P0(후) 유효 1개 아님",IF(NOT(AND(ISNUMBER(N1503),ISNUMBER(P1503),ISNUMBER(H1503))),"시각 결측",IF(P1503&lt;=N1503,"P0 시각 역전",IF(OR(H1503&lt;N1503,H1503&gt;P1503),"측정시각 구간 밖","OK")))))</f>
        <v/>
      </c>
      <c r="N1503" s="45">
        <f>IF(COUNTIFS($C:$C,$C1503,$D:$D,"P0(전)",$L:$L,"&gt;0")&lt;&gt;1,"",SUMIFS($H:$H,$C:$C,$C1503,$D:$D,"P0(전)"))</f>
        <v/>
      </c>
      <c r="O1503" s="30">
        <f>IF(COUNTIFS($C:$C,$C1503,$D:$D,"P0(전)",$L:$L,"&gt;0")&lt;&gt;1,"",SUMIFS($L:$L,$C:$C,$C1503,$D:$D,"P0(전)"))</f>
        <v/>
      </c>
      <c r="P1503" s="45">
        <f>IF(COUNTIFS($C:$C,$C1503,$D:$D,"P0(후)",$L:$L,"&gt;0")&lt;&gt;1,"",SUMIFS($H:$H,$C:$C,$C1503,$D:$D,"P0(후)"))</f>
        <v/>
      </c>
      <c r="Q1503" s="30">
        <f>IF(COUNTIFS($C:$C,$C1503,$D:$D,"P0(후)",$L:$L,"&gt;0")&lt;&gt;1,"",SUMIFS($L:$L,$C:$C,$C1503,$D:$D,"P0(후)"))</f>
        <v/>
      </c>
      <c r="R1503" s="30">
        <f>IF(M1503&lt;&gt;"OK","",O1503+(Q1503-O1503)*(H1503-N1503)/(P1503-N1503))</f>
        <v/>
      </c>
      <c r="S1503" s="30">
        <f>IF(OR(M1503&lt;&gt;"OK",NOT(ISNUMBER(L1503))),"",L1503-R1503)</f>
        <v/>
      </c>
      <c r="T1503" s="46">
        <f>IF(OR(NOT(ISNUMBER(S1503)),IF(ISNUMBER(G1503),G1503,F1503)=0),"",S1503/IF(ISNUMBER(G1503),G1503,F1503))</f>
        <v/>
      </c>
      <c r="U1503" s="46">
        <f>IF(ISNUMBER(T1503),ABS(T1503),"")</f>
        <v/>
      </c>
      <c r="V1503" s="46">
        <f>IF(OR($D1502&lt;&gt;"측정",$C1502&lt;&gt;$C1503,NOT(ISNUMBER(L1503)),NOT(ISNUMBER(L1502)),(IF(ISNUMBER(G1503),G1503,F1503)-IF(ISNUMBER(G1502),G1502,F1502))=0),"",(L1503-L1502)/(IF(ISNUMBER(G1503),G1503,F1503)-IF(ISNUMBER(G1502),G1502,F1502)))</f>
        <v/>
      </c>
      <c r="W1503" s="30">
        <f>IF(NOT(AND(ISNUMBER(N1503),ISNUMBER(P1503))),"",(P1503-N1503)*1440)</f>
        <v/>
      </c>
      <c r="X1503" s="28" t="n"/>
      <c r="Y1503" s="28" t="n"/>
      <c r="Z1503" s="28" t="n"/>
      <c r="AA1503" s="31" t="n"/>
      <c r="AB1503" s="31" t="n"/>
    </row>
    <row r="1504">
      <c r="A1504" s="25" t="inlineStr">
        <is>
          <t>S29</t>
        </is>
      </c>
      <c r="B1504" s="25" t="inlineStr">
        <is>
          <t>가야 신규점1</t>
        </is>
      </c>
      <c r="C1504" s="25" t="inlineStr">
        <is>
          <t>S29-H북</t>
        </is>
      </c>
      <c r="D1504" s="25" t="inlineStr">
        <is>
          <t>측정</t>
        </is>
      </c>
      <c r="E1504" s="25" t="inlineStr">
        <is>
          <t>북</t>
        </is>
      </c>
      <c r="F1504" s="30" t="n">
        <v>3</v>
      </c>
      <c r="G1504" s="29" t="n"/>
      <c r="H1504" s="42" t="n"/>
      <c r="I1504" s="40" t="n"/>
      <c r="J1504" s="40" t="n"/>
      <c r="K1504" s="40" t="n"/>
      <c r="L1504" s="30">
        <f>IF(COUNT(I1504:K1504)=0,"",MEDIAN(I1504:K1504))</f>
        <v/>
      </c>
      <c r="M1504" s="25">
        <f>IF(COUNTIFS($C:$C,$C1504,$D:$D,"P0(전)",$L:$L,"&gt;0")&lt;&gt;1,"P0(전) 유효 1개 아님",IF(COUNTIFS($C:$C,$C1504,$D:$D,"P0(후)",$L:$L,"&gt;0")&lt;&gt;1,"P0(후) 유효 1개 아님",IF(NOT(AND(ISNUMBER(N1504),ISNUMBER(P1504),ISNUMBER(H1504))),"시각 결측",IF(P1504&lt;=N1504,"P0 시각 역전",IF(OR(H1504&lt;N1504,H1504&gt;P1504),"측정시각 구간 밖","OK")))))</f>
        <v/>
      </c>
      <c r="N1504" s="45">
        <f>IF(COUNTIFS($C:$C,$C1504,$D:$D,"P0(전)",$L:$L,"&gt;0")&lt;&gt;1,"",SUMIFS($H:$H,$C:$C,$C1504,$D:$D,"P0(전)"))</f>
        <v/>
      </c>
      <c r="O1504" s="30">
        <f>IF(COUNTIFS($C:$C,$C1504,$D:$D,"P0(전)",$L:$L,"&gt;0")&lt;&gt;1,"",SUMIFS($L:$L,$C:$C,$C1504,$D:$D,"P0(전)"))</f>
        <v/>
      </c>
      <c r="P1504" s="45">
        <f>IF(COUNTIFS($C:$C,$C1504,$D:$D,"P0(후)",$L:$L,"&gt;0")&lt;&gt;1,"",SUMIFS($H:$H,$C:$C,$C1504,$D:$D,"P0(후)"))</f>
        <v/>
      </c>
      <c r="Q1504" s="30">
        <f>IF(COUNTIFS($C:$C,$C1504,$D:$D,"P0(후)",$L:$L,"&gt;0")&lt;&gt;1,"",SUMIFS($L:$L,$C:$C,$C1504,$D:$D,"P0(후)"))</f>
        <v/>
      </c>
      <c r="R1504" s="30">
        <f>IF(M1504&lt;&gt;"OK","",O1504+(Q1504-O1504)*(H1504-N1504)/(P1504-N1504))</f>
        <v/>
      </c>
      <c r="S1504" s="30">
        <f>IF(OR(M1504&lt;&gt;"OK",NOT(ISNUMBER(L1504))),"",L1504-R1504)</f>
        <v/>
      </c>
      <c r="T1504" s="46">
        <f>IF(OR(NOT(ISNUMBER(S1504)),IF(ISNUMBER(G1504),G1504,F1504)=0),"",S1504/IF(ISNUMBER(G1504),G1504,F1504))</f>
        <v/>
      </c>
      <c r="U1504" s="46">
        <f>IF(ISNUMBER(T1504),ABS(T1504),"")</f>
        <v/>
      </c>
      <c r="V1504" s="46">
        <f>IF(OR($D1503&lt;&gt;"측정",$C1503&lt;&gt;$C1504,NOT(ISNUMBER(L1504)),NOT(ISNUMBER(L1503)),(IF(ISNUMBER(G1504),G1504,F1504)-IF(ISNUMBER(G1503),G1503,F1503))=0),"",(L1504-L1503)/(IF(ISNUMBER(G1504),G1504,F1504)-IF(ISNUMBER(G1503),G1503,F1503)))</f>
        <v/>
      </c>
      <c r="W1504" s="30">
        <f>IF(NOT(AND(ISNUMBER(N1504),ISNUMBER(P1504))),"",(P1504-N1504)*1440)</f>
        <v/>
      </c>
      <c r="X1504" s="28" t="n"/>
      <c r="Y1504" s="28" t="n"/>
      <c r="Z1504" s="28" t="n"/>
      <c r="AA1504" s="31" t="n"/>
      <c r="AB1504" s="31" t="n"/>
    </row>
    <row r="1505">
      <c r="A1505" s="25" t="inlineStr">
        <is>
          <t>S29</t>
        </is>
      </c>
      <c r="B1505" s="25" t="inlineStr">
        <is>
          <t>가야 신규점1</t>
        </is>
      </c>
      <c r="C1505" s="25" t="inlineStr">
        <is>
          <t>S29-H북</t>
        </is>
      </c>
      <c r="D1505" s="25" t="inlineStr">
        <is>
          <t>측정</t>
        </is>
      </c>
      <c r="E1505" s="25" t="inlineStr">
        <is>
          <t>북</t>
        </is>
      </c>
      <c r="F1505" s="30" t="n">
        <v>4</v>
      </c>
      <c r="G1505" s="29" t="n"/>
      <c r="H1505" s="42" t="n"/>
      <c r="I1505" s="40" t="n"/>
      <c r="J1505" s="40" t="n"/>
      <c r="K1505" s="40" t="n"/>
      <c r="L1505" s="30">
        <f>IF(COUNT(I1505:K1505)=0,"",MEDIAN(I1505:K1505))</f>
        <v/>
      </c>
      <c r="M1505" s="25">
        <f>IF(COUNTIFS($C:$C,$C1505,$D:$D,"P0(전)",$L:$L,"&gt;0")&lt;&gt;1,"P0(전) 유효 1개 아님",IF(COUNTIFS($C:$C,$C1505,$D:$D,"P0(후)",$L:$L,"&gt;0")&lt;&gt;1,"P0(후) 유효 1개 아님",IF(NOT(AND(ISNUMBER(N1505),ISNUMBER(P1505),ISNUMBER(H1505))),"시각 결측",IF(P1505&lt;=N1505,"P0 시각 역전",IF(OR(H1505&lt;N1505,H1505&gt;P1505),"측정시각 구간 밖","OK")))))</f>
        <v/>
      </c>
      <c r="N1505" s="45">
        <f>IF(COUNTIFS($C:$C,$C1505,$D:$D,"P0(전)",$L:$L,"&gt;0")&lt;&gt;1,"",SUMIFS($H:$H,$C:$C,$C1505,$D:$D,"P0(전)"))</f>
        <v/>
      </c>
      <c r="O1505" s="30">
        <f>IF(COUNTIFS($C:$C,$C1505,$D:$D,"P0(전)",$L:$L,"&gt;0")&lt;&gt;1,"",SUMIFS($L:$L,$C:$C,$C1505,$D:$D,"P0(전)"))</f>
        <v/>
      </c>
      <c r="P1505" s="45">
        <f>IF(COUNTIFS($C:$C,$C1505,$D:$D,"P0(후)",$L:$L,"&gt;0")&lt;&gt;1,"",SUMIFS($H:$H,$C:$C,$C1505,$D:$D,"P0(후)"))</f>
        <v/>
      </c>
      <c r="Q1505" s="30">
        <f>IF(COUNTIFS($C:$C,$C1505,$D:$D,"P0(후)",$L:$L,"&gt;0")&lt;&gt;1,"",SUMIFS($L:$L,$C:$C,$C1505,$D:$D,"P0(후)"))</f>
        <v/>
      </c>
      <c r="R1505" s="30">
        <f>IF(M1505&lt;&gt;"OK","",O1505+(Q1505-O1505)*(H1505-N1505)/(P1505-N1505))</f>
        <v/>
      </c>
      <c r="S1505" s="30">
        <f>IF(OR(M1505&lt;&gt;"OK",NOT(ISNUMBER(L1505))),"",L1505-R1505)</f>
        <v/>
      </c>
      <c r="T1505" s="46">
        <f>IF(OR(NOT(ISNUMBER(S1505)),IF(ISNUMBER(G1505),G1505,F1505)=0),"",S1505/IF(ISNUMBER(G1505),G1505,F1505))</f>
        <v/>
      </c>
      <c r="U1505" s="46">
        <f>IF(ISNUMBER(T1505),ABS(T1505),"")</f>
        <v/>
      </c>
      <c r="V1505" s="46">
        <f>IF(OR($D1504&lt;&gt;"측정",$C1504&lt;&gt;$C1505,NOT(ISNUMBER(L1505)),NOT(ISNUMBER(L1504)),(IF(ISNUMBER(G1505),G1505,F1505)-IF(ISNUMBER(G1504),G1504,F1504))=0),"",(L1505-L1504)/(IF(ISNUMBER(G1505),G1505,F1505)-IF(ISNUMBER(G1504),G1504,F1504)))</f>
        <v/>
      </c>
      <c r="W1505" s="30">
        <f>IF(NOT(AND(ISNUMBER(N1505),ISNUMBER(P1505))),"",(P1505-N1505)*1440)</f>
        <v/>
      </c>
      <c r="X1505" s="28" t="n"/>
      <c r="Y1505" s="28" t="n"/>
      <c r="Z1505" s="28" t="n"/>
      <c r="AA1505" s="31" t="n"/>
      <c r="AB1505" s="31" t="n"/>
    </row>
    <row r="1506">
      <c r="A1506" s="25" t="inlineStr">
        <is>
          <t>S29</t>
        </is>
      </c>
      <c r="B1506" s="25" t="inlineStr">
        <is>
          <t>가야 신규점1</t>
        </is>
      </c>
      <c r="C1506" s="25" t="inlineStr">
        <is>
          <t>S29-H북</t>
        </is>
      </c>
      <c r="D1506" s="25" t="inlineStr">
        <is>
          <t>측정</t>
        </is>
      </c>
      <c r="E1506" s="25" t="inlineStr">
        <is>
          <t>북</t>
        </is>
      </c>
      <c r="F1506" s="30" t="n">
        <v>5</v>
      </c>
      <c r="G1506" s="29" t="n"/>
      <c r="H1506" s="42" t="n"/>
      <c r="I1506" s="40" t="n"/>
      <c r="J1506" s="40" t="n"/>
      <c r="K1506" s="40" t="n"/>
      <c r="L1506" s="30">
        <f>IF(COUNT(I1506:K1506)=0,"",MEDIAN(I1506:K1506))</f>
        <v/>
      </c>
      <c r="M1506" s="25">
        <f>IF(COUNTIFS($C:$C,$C1506,$D:$D,"P0(전)",$L:$L,"&gt;0")&lt;&gt;1,"P0(전) 유효 1개 아님",IF(COUNTIFS($C:$C,$C1506,$D:$D,"P0(후)",$L:$L,"&gt;0")&lt;&gt;1,"P0(후) 유효 1개 아님",IF(NOT(AND(ISNUMBER(N1506),ISNUMBER(P1506),ISNUMBER(H1506))),"시각 결측",IF(P1506&lt;=N1506,"P0 시각 역전",IF(OR(H1506&lt;N1506,H1506&gt;P1506),"측정시각 구간 밖","OK")))))</f>
        <v/>
      </c>
      <c r="N1506" s="45">
        <f>IF(COUNTIFS($C:$C,$C1506,$D:$D,"P0(전)",$L:$L,"&gt;0")&lt;&gt;1,"",SUMIFS($H:$H,$C:$C,$C1506,$D:$D,"P0(전)"))</f>
        <v/>
      </c>
      <c r="O1506" s="30">
        <f>IF(COUNTIFS($C:$C,$C1506,$D:$D,"P0(전)",$L:$L,"&gt;0")&lt;&gt;1,"",SUMIFS($L:$L,$C:$C,$C1506,$D:$D,"P0(전)"))</f>
        <v/>
      </c>
      <c r="P1506" s="45">
        <f>IF(COUNTIFS($C:$C,$C1506,$D:$D,"P0(후)",$L:$L,"&gt;0")&lt;&gt;1,"",SUMIFS($H:$H,$C:$C,$C1506,$D:$D,"P0(후)"))</f>
        <v/>
      </c>
      <c r="Q1506" s="30">
        <f>IF(COUNTIFS($C:$C,$C1506,$D:$D,"P0(후)",$L:$L,"&gt;0")&lt;&gt;1,"",SUMIFS($L:$L,$C:$C,$C1506,$D:$D,"P0(후)"))</f>
        <v/>
      </c>
      <c r="R1506" s="30">
        <f>IF(M1506&lt;&gt;"OK","",O1506+(Q1506-O1506)*(H1506-N1506)/(P1506-N1506))</f>
        <v/>
      </c>
      <c r="S1506" s="30">
        <f>IF(OR(M1506&lt;&gt;"OK",NOT(ISNUMBER(L1506))),"",L1506-R1506)</f>
        <v/>
      </c>
      <c r="T1506" s="46">
        <f>IF(OR(NOT(ISNUMBER(S1506)),IF(ISNUMBER(G1506),G1506,F1506)=0),"",S1506/IF(ISNUMBER(G1506),G1506,F1506))</f>
        <v/>
      </c>
      <c r="U1506" s="46">
        <f>IF(ISNUMBER(T1506),ABS(T1506),"")</f>
        <v/>
      </c>
      <c r="V1506" s="46">
        <f>IF(OR($D1505&lt;&gt;"측정",$C1505&lt;&gt;$C1506,NOT(ISNUMBER(L1506)),NOT(ISNUMBER(L1505)),(IF(ISNUMBER(G1506),G1506,F1506)-IF(ISNUMBER(G1505),G1505,F1505))=0),"",(L1506-L1505)/(IF(ISNUMBER(G1506),G1506,F1506)-IF(ISNUMBER(G1505),G1505,F1505)))</f>
        <v/>
      </c>
      <c r="W1506" s="30">
        <f>IF(NOT(AND(ISNUMBER(N1506),ISNUMBER(P1506))),"",(P1506-N1506)*1440)</f>
        <v/>
      </c>
      <c r="X1506" s="28" t="n"/>
      <c r="Y1506" s="28" t="n"/>
      <c r="Z1506" s="28" t="n"/>
      <c r="AA1506" s="31" t="n"/>
      <c r="AB1506" s="31" t="n"/>
    </row>
    <row r="1507">
      <c r="A1507" s="25" t="inlineStr">
        <is>
          <t>S29</t>
        </is>
      </c>
      <c r="B1507" s="25" t="inlineStr">
        <is>
          <t>가야 신규점1</t>
        </is>
      </c>
      <c r="C1507" s="25" t="inlineStr">
        <is>
          <t>S29-H북</t>
        </is>
      </c>
      <c r="D1507" s="25" t="inlineStr">
        <is>
          <t>측정</t>
        </is>
      </c>
      <c r="E1507" s="25" t="inlineStr">
        <is>
          <t>북</t>
        </is>
      </c>
      <c r="F1507" s="30" t="n">
        <v>6</v>
      </c>
      <c r="G1507" s="29" t="n"/>
      <c r="H1507" s="42" t="n"/>
      <c r="I1507" s="40" t="n"/>
      <c r="J1507" s="40" t="n"/>
      <c r="K1507" s="40" t="n"/>
      <c r="L1507" s="30">
        <f>IF(COUNT(I1507:K1507)=0,"",MEDIAN(I1507:K1507))</f>
        <v/>
      </c>
      <c r="M1507" s="25">
        <f>IF(COUNTIFS($C:$C,$C1507,$D:$D,"P0(전)",$L:$L,"&gt;0")&lt;&gt;1,"P0(전) 유효 1개 아님",IF(COUNTIFS($C:$C,$C1507,$D:$D,"P0(후)",$L:$L,"&gt;0")&lt;&gt;1,"P0(후) 유효 1개 아님",IF(NOT(AND(ISNUMBER(N1507),ISNUMBER(P1507),ISNUMBER(H1507))),"시각 결측",IF(P1507&lt;=N1507,"P0 시각 역전",IF(OR(H1507&lt;N1507,H1507&gt;P1507),"측정시각 구간 밖","OK")))))</f>
        <v/>
      </c>
      <c r="N1507" s="45">
        <f>IF(COUNTIFS($C:$C,$C1507,$D:$D,"P0(전)",$L:$L,"&gt;0")&lt;&gt;1,"",SUMIFS($H:$H,$C:$C,$C1507,$D:$D,"P0(전)"))</f>
        <v/>
      </c>
      <c r="O1507" s="30">
        <f>IF(COUNTIFS($C:$C,$C1507,$D:$D,"P0(전)",$L:$L,"&gt;0")&lt;&gt;1,"",SUMIFS($L:$L,$C:$C,$C1507,$D:$D,"P0(전)"))</f>
        <v/>
      </c>
      <c r="P1507" s="45">
        <f>IF(COUNTIFS($C:$C,$C1507,$D:$D,"P0(후)",$L:$L,"&gt;0")&lt;&gt;1,"",SUMIFS($H:$H,$C:$C,$C1507,$D:$D,"P0(후)"))</f>
        <v/>
      </c>
      <c r="Q1507" s="30">
        <f>IF(COUNTIFS($C:$C,$C1507,$D:$D,"P0(후)",$L:$L,"&gt;0")&lt;&gt;1,"",SUMIFS($L:$L,$C:$C,$C1507,$D:$D,"P0(후)"))</f>
        <v/>
      </c>
      <c r="R1507" s="30">
        <f>IF(M1507&lt;&gt;"OK","",O1507+(Q1507-O1507)*(H1507-N1507)/(P1507-N1507))</f>
        <v/>
      </c>
      <c r="S1507" s="30">
        <f>IF(OR(M1507&lt;&gt;"OK",NOT(ISNUMBER(L1507))),"",L1507-R1507)</f>
        <v/>
      </c>
      <c r="T1507" s="46">
        <f>IF(OR(NOT(ISNUMBER(S1507)),IF(ISNUMBER(G1507),G1507,F1507)=0),"",S1507/IF(ISNUMBER(G1507),G1507,F1507))</f>
        <v/>
      </c>
      <c r="U1507" s="46">
        <f>IF(ISNUMBER(T1507),ABS(T1507),"")</f>
        <v/>
      </c>
      <c r="V1507" s="46">
        <f>IF(OR($D1506&lt;&gt;"측정",$C1506&lt;&gt;$C1507,NOT(ISNUMBER(L1507)),NOT(ISNUMBER(L1506)),(IF(ISNUMBER(G1507),G1507,F1507)-IF(ISNUMBER(G1506),G1506,F1506))=0),"",(L1507-L1506)/(IF(ISNUMBER(G1507),G1507,F1507)-IF(ISNUMBER(G1506),G1506,F1506)))</f>
        <v/>
      </c>
      <c r="W1507" s="30">
        <f>IF(NOT(AND(ISNUMBER(N1507),ISNUMBER(P1507))),"",(P1507-N1507)*1440)</f>
        <v/>
      </c>
      <c r="X1507" s="28" t="n"/>
      <c r="Y1507" s="28" t="n"/>
      <c r="Z1507" s="28" t="n"/>
      <c r="AA1507" s="31" t="n"/>
      <c r="AB1507" s="31" t="n"/>
    </row>
    <row r="1508">
      <c r="A1508" s="25" t="inlineStr">
        <is>
          <t>S29</t>
        </is>
      </c>
      <c r="B1508" s="25" t="inlineStr">
        <is>
          <t>가야 신규점1</t>
        </is>
      </c>
      <c r="C1508" s="25" t="inlineStr">
        <is>
          <t>S29-H북</t>
        </is>
      </c>
      <c r="D1508" s="25" t="inlineStr">
        <is>
          <t>측정</t>
        </is>
      </c>
      <c r="E1508" s="25" t="inlineStr">
        <is>
          <t>북</t>
        </is>
      </c>
      <c r="F1508" s="30" t="n">
        <v>7</v>
      </c>
      <c r="G1508" s="29" t="n"/>
      <c r="H1508" s="42" t="n"/>
      <c r="I1508" s="40" t="n"/>
      <c r="J1508" s="40" t="n"/>
      <c r="K1508" s="40" t="n"/>
      <c r="L1508" s="30">
        <f>IF(COUNT(I1508:K1508)=0,"",MEDIAN(I1508:K1508))</f>
        <v/>
      </c>
      <c r="M1508" s="25">
        <f>IF(COUNTIFS($C:$C,$C1508,$D:$D,"P0(전)",$L:$L,"&gt;0")&lt;&gt;1,"P0(전) 유효 1개 아님",IF(COUNTIFS($C:$C,$C1508,$D:$D,"P0(후)",$L:$L,"&gt;0")&lt;&gt;1,"P0(후) 유효 1개 아님",IF(NOT(AND(ISNUMBER(N1508),ISNUMBER(P1508),ISNUMBER(H1508))),"시각 결측",IF(P1508&lt;=N1508,"P0 시각 역전",IF(OR(H1508&lt;N1508,H1508&gt;P1508),"측정시각 구간 밖","OK")))))</f>
        <v/>
      </c>
      <c r="N1508" s="45">
        <f>IF(COUNTIFS($C:$C,$C1508,$D:$D,"P0(전)",$L:$L,"&gt;0")&lt;&gt;1,"",SUMIFS($H:$H,$C:$C,$C1508,$D:$D,"P0(전)"))</f>
        <v/>
      </c>
      <c r="O1508" s="30">
        <f>IF(COUNTIFS($C:$C,$C1508,$D:$D,"P0(전)",$L:$L,"&gt;0")&lt;&gt;1,"",SUMIFS($L:$L,$C:$C,$C1508,$D:$D,"P0(전)"))</f>
        <v/>
      </c>
      <c r="P1508" s="45">
        <f>IF(COUNTIFS($C:$C,$C1508,$D:$D,"P0(후)",$L:$L,"&gt;0")&lt;&gt;1,"",SUMIFS($H:$H,$C:$C,$C1508,$D:$D,"P0(후)"))</f>
        <v/>
      </c>
      <c r="Q1508" s="30">
        <f>IF(COUNTIFS($C:$C,$C1508,$D:$D,"P0(후)",$L:$L,"&gt;0")&lt;&gt;1,"",SUMIFS($L:$L,$C:$C,$C1508,$D:$D,"P0(후)"))</f>
        <v/>
      </c>
      <c r="R1508" s="30">
        <f>IF(M1508&lt;&gt;"OK","",O1508+(Q1508-O1508)*(H1508-N1508)/(P1508-N1508))</f>
        <v/>
      </c>
      <c r="S1508" s="30">
        <f>IF(OR(M1508&lt;&gt;"OK",NOT(ISNUMBER(L1508))),"",L1508-R1508)</f>
        <v/>
      </c>
      <c r="T1508" s="46">
        <f>IF(OR(NOT(ISNUMBER(S1508)),IF(ISNUMBER(G1508),G1508,F1508)=0),"",S1508/IF(ISNUMBER(G1508),G1508,F1508))</f>
        <v/>
      </c>
      <c r="U1508" s="46">
        <f>IF(ISNUMBER(T1508),ABS(T1508),"")</f>
        <v/>
      </c>
      <c r="V1508" s="46">
        <f>IF(OR($D1507&lt;&gt;"측정",$C1507&lt;&gt;$C1508,NOT(ISNUMBER(L1508)),NOT(ISNUMBER(L1507)),(IF(ISNUMBER(G1508),G1508,F1508)-IF(ISNUMBER(G1507),G1507,F1507))=0),"",(L1508-L1507)/(IF(ISNUMBER(G1508),G1508,F1508)-IF(ISNUMBER(G1507),G1507,F1507)))</f>
        <v/>
      </c>
      <c r="W1508" s="30">
        <f>IF(NOT(AND(ISNUMBER(N1508),ISNUMBER(P1508))),"",(P1508-N1508)*1440)</f>
        <v/>
      </c>
      <c r="X1508" s="28" t="n"/>
      <c r="Y1508" s="28" t="n"/>
      <c r="Z1508" s="28" t="n"/>
      <c r="AA1508" s="31" t="n"/>
      <c r="AB1508" s="31" t="n"/>
    </row>
    <row r="1509">
      <c r="A1509" s="25" t="inlineStr">
        <is>
          <t>S29</t>
        </is>
      </c>
      <c r="B1509" s="25" t="inlineStr">
        <is>
          <t>가야 신규점1</t>
        </is>
      </c>
      <c r="C1509" s="25" t="inlineStr">
        <is>
          <t>S29-H북</t>
        </is>
      </c>
      <c r="D1509" s="25" t="inlineStr">
        <is>
          <t>측정</t>
        </is>
      </c>
      <c r="E1509" s="25" t="inlineStr">
        <is>
          <t>북</t>
        </is>
      </c>
      <c r="F1509" s="30" t="n">
        <v>8</v>
      </c>
      <c r="G1509" s="29" t="n"/>
      <c r="H1509" s="42" t="n"/>
      <c r="I1509" s="40" t="n"/>
      <c r="J1509" s="40" t="n"/>
      <c r="K1509" s="40" t="n"/>
      <c r="L1509" s="30">
        <f>IF(COUNT(I1509:K1509)=0,"",MEDIAN(I1509:K1509))</f>
        <v/>
      </c>
      <c r="M1509" s="25">
        <f>IF(COUNTIFS($C:$C,$C1509,$D:$D,"P0(전)",$L:$L,"&gt;0")&lt;&gt;1,"P0(전) 유효 1개 아님",IF(COUNTIFS($C:$C,$C1509,$D:$D,"P0(후)",$L:$L,"&gt;0")&lt;&gt;1,"P0(후) 유효 1개 아님",IF(NOT(AND(ISNUMBER(N1509),ISNUMBER(P1509),ISNUMBER(H1509))),"시각 결측",IF(P1509&lt;=N1509,"P0 시각 역전",IF(OR(H1509&lt;N1509,H1509&gt;P1509),"측정시각 구간 밖","OK")))))</f>
        <v/>
      </c>
      <c r="N1509" s="45">
        <f>IF(COUNTIFS($C:$C,$C1509,$D:$D,"P0(전)",$L:$L,"&gt;0")&lt;&gt;1,"",SUMIFS($H:$H,$C:$C,$C1509,$D:$D,"P0(전)"))</f>
        <v/>
      </c>
      <c r="O1509" s="30">
        <f>IF(COUNTIFS($C:$C,$C1509,$D:$D,"P0(전)",$L:$L,"&gt;0")&lt;&gt;1,"",SUMIFS($L:$L,$C:$C,$C1509,$D:$D,"P0(전)"))</f>
        <v/>
      </c>
      <c r="P1509" s="45">
        <f>IF(COUNTIFS($C:$C,$C1509,$D:$D,"P0(후)",$L:$L,"&gt;0")&lt;&gt;1,"",SUMIFS($H:$H,$C:$C,$C1509,$D:$D,"P0(후)"))</f>
        <v/>
      </c>
      <c r="Q1509" s="30">
        <f>IF(COUNTIFS($C:$C,$C1509,$D:$D,"P0(후)",$L:$L,"&gt;0")&lt;&gt;1,"",SUMIFS($L:$L,$C:$C,$C1509,$D:$D,"P0(후)"))</f>
        <v/>
      </c>
      <c r="R1509" s="30">
        <f>IF(M1509&lt;&gt;"OK","",O1509+(Q1509-O1509)*(H1509-N1509)/(P1509-N1509))</f>
        <v/>
      </c>
      <c r="S1509" s="30">
        <f>IF(OR(M1509&lt;&gt;"OK",NOT(ISNUMBER(L1509))),"",L1509-R1509)</f>
        <v/>
      </c>
      <c r="T1509" s="46">
        <f>IF(OR(NOT(ISNUMBER(S1509)),IF(ISNUMBER(G1509),G1509,F1509)=0),"",S1509/IF(ISNUMBER(G1509),G1509,F1509))</f>
        <v/>
      </c>
      <c r="U1509" s="46">
        <f>IF(ISNUMBER(T1509),ABS(T1509),"")</f>
        <v/>
      </c>
      <c r="V1509" s="46">
        <f>IF(OR($D1508&lt;&gt;"측정",$C1508&lt;&gt;$C1509,NOT(ISNUMBER(L1509)),NOT(ISNUMBER(L1508)),(IF(ISNUMBER(G1509),G1509,F1509)-IF(ISNUMBER(G1508),G1508,F1508))=0),"",(L1509-L1508)/(IF(ISNUMBER(G1509),G1509,F1509)-IF(ISNUMBER(G1508),G1508,F1508)))</f>
        <v/>
      </c>
      <c r="W1509" s="30">
        <f>IF(NOT(AND(ISNUMBER(N1509),ISNUMBER(P1509))),"",(P1509-N1509)*1440)</f>
        <v/>
      </c>
      <c r="X1509" s="28" t="n"/>
      <c r="Y1509" s="28" t="n"/>
      <c r="Z1509" s="28" t="n"/>
      <c r="AA1509" s="31" t="n"/>
      <c r="AB1509" s="31" t="n"/>
    </row>
    <row r="1510">
      <c r="A1510" s="25" t="inlineStr">
        <is>
          <t>S29</t>
        </is>
      </c>
      <c r="B1510" s="25" t="inlineStr">
        <is>
          <t>가야 신규점1</t>
        </is>
      </c>
      <c r="C1510" s="25" t="inlineStr">
        <is>
          <t>S29-H북</t>
        </is>
      </c>
      <c r="D1510" s="25" t="inlineStr">
        <is>
          <t>측정</t>
        </is>
      </c>
      <c r="E1510" s="25" t="inlineStr">
        <is>
          <t>북</t>
        </is>
      </c>
      <c r="F1510" s="30" t="n">
        <v>9</v>
      </c>
      <c r="G1510" s="29" t="n"/>
      <c r="H1510" s="42" t="n"/>
      <c r="I1510" s="40" t="n"/>
      <c r="J1510" s="40" t="n"/>
      <c r="K1510" s="40" t="n"/>
      <c r="L1510" s="30">
        <f>IF(COUNT(I1510:K1510)=0,"",MEDIAN(I1510:K1510))</f>
        <v/>
      </c>
      <c r="M1510" s="25">
        <f>IF(COUNTIFS($C:$C,$C1510,$D:$D,"P0(전)",$L:$L,"&gt;0")&lt;&gt;1,"P0(전) 유효 1개 아님",IF(COUNTIFS($C:$C,$C1510,$D:$D,"P0(후)",$L:$L,"&gt;0")&lt;&gt;1,"P0(후) 유효 1개 아님",IF(NOT(AND(ISNUMBER(N1510),ISNUMBER(P1510),ISNUMBER(H1510))),"시각 결측",IF(P1510&lt;=N1510,"P0 시각 역전",IF(OR(H1510&lt;N1510,H1510&gt;P1510),"측정시각 구간 밖","OK")))))</f>
        <v/>
      </c>
      <c r="N1510" s="45">
        <f>IF(COUNTIFS($C:$C,$C1510,$D:$D,"P0(전)",$L:$L,"&gt;0")&lt;&gt;1,"",SUMIFS($H:$H,$C:$C,$C1510,$D:$D,"P0(전)"))</f>
        <v/>
      </c>
      <c r="O1510" s="30">
        <f>IF(COUNTIFS($C:$C,$C1510,$D:$D,"P0(전)",$L:$L,"&gt;0")&lt;&gt;1,"",SUMIFS($L:$L,$C:$C,$C1510,$D:$D,"P0(전)"))</f>
        <v/>
      </c>
      <c r="P1510" s="45">
        <f>IF(COUNTIFS($C:$C,$C1510,$D:$D,"P0(후)",$L:$L,"&gt;0")&lt;&gt;1,"",SUMIFS($H:$H,$C:$C,$C1510,$D:$D,"P0(후)"))</f>
        <v/>
      </c>
      <c r="Q1510" s="30">
        <f>IF(COUNTIFS($C:$C,$C1510,$D:$D,"P0(후)",$L:$L,"&gt;0")&lt;&gt;1,"",SUMIFS($L:$L,$C:$C,$C1510,$D:$D,"P0(후)"))</f>
        <v/>
      </c>
      <c r="R1510" s="30">
        <f>IF(M1510&lt;&gt;"OK","",O1510+(Q1510-O1510)*(H1510-N1510)/(P1510-N1510))</f>
        <v/>
      </c>
      <c r="S1510" s="30">
        <f>IF(OR(M1510&lt;&gt;"OK",NOT(ISNUMBER(L1510))),"",L1510-R1510)</f>
        <v/>
      </c>
      <c r="T1510" s="46">
        <f>IF(OR(NOT(ISNUMBER(S1510)),IF(ISNUMBER(G1510),G1510,F1510)=0),"",S1510/IF(ISNUMBER(G1510),G1510,F1510))</f>
        <v/>
      </c>
      <c r="U1510" s="46">
        <f>IF(ISNUMBER(T1510),ABS(T1510),"")</f>
        <v/>
      </c>
      <c r="V1510" s="46">
        <f>IF(OR($D1509&lt;&gt;"측정",$C1509&lt;&gt;$C1510,NOT(ISNUMBER(L1510)),NOT(ISNUMBER(L1509)),(IF(ISNUMBER(G1510),G1510,F1510)-IF(ISNUMBER(G1509),G1509,F1509))=0),"",(L1510-L1509)/(IF(ISNUMBER(G1510),G1510,F1510)-IF(ISNUMBER(G1509),G1509,F1509)))</f>
        <v/>
      </c>
      <c r="W1510" s="30">
        <f>IF(NOT(AND(ISNUMBER(N1510),ISNUMBER(P1510))),"",(P1510-N1510)*1440)</f>
        <v/>
      </c>
      <c r="X1510" s="28" t="n"/>
      <c r="Y1510" s="28" t="n"/>
      <c r="Z1510" s="28" t="n"/>
      <c r="AA1510" s="31" t="n"/>
      <c r="AB1510" s="31" t="n"/>
    </row>
    <row r="1511">
      <c r="A1511" s="25" t="inlineStr">
        <is>
          <t>S29</t>
        </is>
      </c>
      <c r="B1511" s="25" t="inlineStr">
        <is>
          <t>가야 신규점1</t>
        </is>
      </c>
      <c r="C1511" s="25" t="inlineStr">
        <is>
          <t>S29-H북</t>
        </is>
      </c>
      <c r="D1511" s="25" t="inlineStr">
        <is>
          <t>측정</t>
        </is>
      </c>
      <c r="E1511" s="25" t="inlineStr">
        <is>
          <t>북</t>
        </is>
      </c>
      <c r="F1511" s="30" t="n">
        <v>10</v>
      </c>
      <c r="G1511" s="29" t="n"/>
      <c r="H1511" s="42" t="n"/>
      <c r="I1511" s="40" t="n"/>
      <c r="J1511" s="40" t="n"/>
      <c r="K1511" s="40" t="n"/>
      <c r="L1511" s="30">
        <f>IF(COUNT(I1511:K1511)=0,"",MEDIAN(I1511:K1511))</f>
        <v/>
      </c>
      <c r="M1511" s="25">
        <f>IF(COUNTIFS($C:$C,$C1511,$D:$D,"P0(전)",$L:$L,"&gt;0")&lt;&gt;1,"P0(전) 유효 1개 아님",IF(COUNTIFS($C:$C,$C1511,$D:$D,"P0(후)",$L:$L,"&gt;0")&lt;&gt;1,"P0(후) 유효 1개 아님",IF(NOT(AND(ISNUMBER(N1511),ISNUMBER(P1511),ISNUMBER(H1511))),"시각 결측",IF(P1511&lt;=N1511,"P0 시각 역전",IF(OR(H1511&lt;N1511,H1511&gt;P1511),"측정시각 구간 밖","OK")))))</f>
        <v/>
      </c>
      <c r="N1511" s="45">
        <f>IF(COUNTIFS($C:$C,$C1511,$D:$D,"P0(전)",$L:$L,"&gt;0")&lt;&gt;1,"",SUMIFS($H:$H,$C:$C,$C1511,$D:$D,"P0(전)"))</f>
        <v/>
      </c>
      <c r="O1511" s="30">
        <f>IF(COUNTIFS($C:$C,$C1511,$D:$D,"P0(전)",$L:$L,"&gt;0")&lt;&gt;1,"",SUMIFS($L:$L,$C:$C,$C1511,$D:$D,"P0(전)"))</f>
        <v/>
      </c>
      <c r="P1511" s="45">
        <f>IF(COUNTIFS($C:$C,$C1511,$D:$D,"P0(후)",$L:$L,"&gt;0")&lt;&gt;1,"",SUMIFS($H:$H,$C:$C,$C1511,$D:$D,"P0(후)"))</f>
        <v/>
      </c>
      <c r="Q1511" s="30">
        <f>IF(COUNTIFS($C:$C,$C1511,$D:$D,"P0(후)",$L:$L,"&gt;0")&lt;&gt;1,"",SUMIFS($L:$L,$C:$C,$C1511,$D:$D,"P0(후)"))</f>
        <v/>
      </c>
      <c r="R1511" s="30">
        <f>IF(M1511&lt;&gt;"OK","",O1511+(Q1511-O1511)*(H1511-N1511)/(P1511-N1511))</f>
        <v/>
      </c>
      <c r="S1511" s="30">
        <f>IF(OR(M1511&lt;&gt;"OK",NOT(ISNUMBER(L1511))),"",L1511-R1511)</f>
        <v/>
      </c>
      <c r="T1511" s="46">
        <f>IF(OR(NOT(ISNUMBER(S1511)),IF(ISNUMBER(G1511),G1511,F1511)=0),"",S1511/IF(ISNUMBER(G1511),G1511,F1511))</f>
        <v/>
      </c>
      <c r="U1511" s="46">
        <f>IF(ISNUMBER(T1511),ABS(T1511),"")</f>
        <v/>
      </c>
      <c r="V1511" s="46">
        <f>IF(OR($D1510&lt;&gt;"측정",$C1510&lt;&gt;$C1511,NOT(ISNUMBER(L1511)),NOT(ISNUMBER(L1510)),(IF(ISNUMBER(G1511),G1511,F1511)-IF(ISNUMBER(G1510),G1510,F1510))=0),"",(L1511-L1510)/(IF(ISNUMBER(G1511),G1511,F1511)-IF(ISNUMBER(G1510),G1510,F1510)))</f>
        <v/>
      </c>
      <c r="W1511" s="30">
        <f>IF(NOT(AND(ISNUMBER(N1511),ISNUMBER(P1511))),"",(P1511-N1511)*1440)</f>
        <v/>
      </c>
      <c r="X1511" s="28" t="n"/>
      <c r="Y1511" s="28" t="n"/>
      <c r="Z1511" s="28" t="n"/>
      <c r="AA1511" s="31" t="n"/>
      <c r="AB1511" s="31" t="n"/>
    </row>
    <row r="1512">
      <c r="A1512" s="43" t="inlineStr">
        <is>
          <t>S29</t>
        </is>
      </c>
      <c r="B1512" s="43" t="inlineStr">
        <is>
          <t>가야 신규점1</t>
        </is>
      </c>
      <c r="C1512" s="43" t="inlineStr">
        <is>
          <t>S29-H북</t>
        </is>
      </c>
      <c r="D1512" s="43" t="inlineStr">
        <is>
          <t>P0(후)</t>
        </is>
      </c>
      <c r="E1512" s="43" t="inlineStr">
        <is>
          <t>북</t>
        </is>
      </c>
      <c r="F1512" s="44" t="n"/>
      <c r="G1512" s="29" t="n"/>
      <c r="H1512" s="42" t="n"/>
      <c r="I1512" s="40" t="n"/>
      <c r="J1512" s="40" t="n"/>
      <c r="K1512" s="40" t="n"/>
      <c r="L1512" s="30">
        <f>IF(COUNT(I1512:K1512)=0,"",MEDIAN(I1512:K1512))</f>
        <v/>
      </c>
      <c r="M1512" s="37" t="n"/>
      <c r="N1512" s="37" t="n"/>
      <c r="O1512" s="37" t="n"/>
      <c r="P1512" s="37" t="n"/>
      <c r="Q1512" s="37" t="n"/>
      <c r="R1512" s="37" t="n"/>
      <c r="S1512" s="37" t="n"/>
      <c r="T1512" s="37" t="n"/>
      <c r="U1512" s="37" t="n"/>
      <c r="V1512" s="37" t="n"/>
      <c r="W1512" s="37" t="n"/>
      <c r="X1512" s="28" t="n"/>
      <c r="Y1512" s="28" t="n"/>
      <c r="Z1512" s="28" t="n"/>
      <c r="AA1512" s="31" t="n"/>
      <c r="AB1512" s="31" t="n"/>
    </row>
    <row r="1513">
      <c r="A1513" s="43" t="inlineStr">
        <is>
          <t>S30</t>
        </is>
      </c>
      <c r="B1513" s="43" t="inlineStr">
        <is>
          <t>창녕 신규점</t>
        </is>
      </c>
      <c r="C1513" s="43" t="inlineStr">
        <is>
          <t>S30-H동</t>
        </is>
      </c>
      <c r="D1513" s="43" t="inlineStr">
        <is>
          <t>P0(전)</t>
        </is>
      </c>
      <c r="E1513" s="43" t="inlineStr">
        <is>
          <t>동</t>
        </is>
      </c>
      <c r="F1513" s="44" t="n"/>
      <c r="G1513" s="29" t="n"/>
      <c r="H1513" s="42" t="n"/>
      <c r="I1513" s="40" t="n"/>
      <c r="J1513" s="40" t="n"/>
      <c r="K1513" s="40" t="n"/>
      <c r="L1513" s="30">
        <f>IF(COUNT(I1513:K1513)=0,"",MEDIAN(I1513:K1513))</f>
        <v/>
      </c>
      <c r="M1513" s="37" t="n"/>
      <c r="N1513" s="37" t="n"/>
      <c r="O1513" s="37" t="n"/>
      <c r="P1513" s="37" t="n"/>
      <c r="Q1513" s="37" t="n"/>
      <c r="R1513" s="37" t="n"/>
      <c r="S1513" s="37" t="n"/>
      <c r="T1513" s="37" t="n"/>
      <c r="U1513" s="37" t="n"/>
      <c r="V1513" s="37" t="n"/>
      <c r="W1513" s="37" t="n"/>
      <c r="X1513" s="28" t="n"/>
      <c r="Y1513" s="28" t="n"/>
      <c r="Z1513" s="28" t="n"/>
      <c r="AA1513" s="31" t="n"/>
      <c r="AB1513" s="31" t="n"/>
    </row>
    <row r="1514">
      <c r="A1514" s="25" t="inlineStr">
        <is>
          <t>S30</t>
        </is>
      </c>
      <c r="B1514" s="25" t="inlineStr">
        <is>
          <t>창녕 신규점</t>
        </is>
      </c>
      <c r="C1514" s="25" t="inlineStr">
        <is>
          <t>S30-H동</t>
        </is>
      </c>
      <c r="D1514" s="25" t="inlineStr">
        <is>
          <t>측정</t>
        </is>
      </c>
      <c r="E1514" s="25" t="inlineStr">
        <is>
          <t>동</t>
        </is>
      </c>
      <c r="F1514" s="30" t="n">
        <v>0.5</v>
      </c>
      <c r="G1514" s="29" t="n"/>
      <c r="H1514" s="42" t="n"/>
      <c r="I1514" s="40" t="n"/>
      <c r="J1514" s="40" t="n"/>
      <c r="K1514" s="40" t="n"/>
      <c r="L1514" s="30">
        <f>IF(COUNT(I1514:K1514)=0,"",MEDIAN(I1514:K1514))</f>
        <v/>
      </c>
      <c r="M1514" s="25">
        <f>IF(COUNTIFS($C:$C,$C1514,$D:$D,"P0(전)",$L:$L,"&gt;0")&lt;&gt;1,"P0(전) 유효 1개 아님",IF(COUNTIFS($C:$C,$C1514,$D:$D,"P0(후)",$L:$L,"&gt;0")&lt;&gt;1,"P0(후) 유효 1개 아님",IF(NOT(AND(ISNUMBER(N1514),ISNUMBER(P1514),ISNUMBER(H1514))),"시각 결측",IF(P1514&lt;=N1514,"P0 시각 역전",IF(OR(H1514&lt;N1514,H1514&gt;P1514),"측정시각 구간 밖","OK")))))</f>
        <v/>
      </c>
      <c r="N1514" s="45">
        <f>IF(COUNTIFS($C:$C,$C1514,$D:$D,"P0(전)",$L:$L,"&gt;0")&lt;&gt;1,"",SUMIFS($H:$H,$C:$C,$C1514,$D:$D,"P0(전)"))</f>
        <v/>
      </c>
      <c r="O1514" s="30">
        <f>IF(COUNTIFS($C:$C,$C1514,$D:$D,"P0(전)",$L:$L,"&gt;0")&lt;&gt;1,"",SUMIFS($L:$L,$C:$C,$C1514,$D:$D,"P0(전)"))</f>
        <v/>
      </c>
      <c r="P1514" s="45">
        <f>IF(COUNTIFS($C:$C,$C1514,$D:$D,"P0(후)",$L:$L,"&gt;0")&lt;&gt;1,"",SUMIFS($H:$H,$C:$C,$C1514,$D:$D,"P0(후)"))</f>
        <v/>
      </c>
      <c r="Q1514" s="30">
        <f>IF(COUNTIFS($C:$C,$C1514,$D:$D,"P0(후)",$L:$L,"&gt;0")&lt;&gt;1,"",SUMIFS($L:$L,$C:$C,$C1514,$D:$D,"P0(후)"))</f>
        <v/>
      </c>
      <c r="R1514" s="30">
        <f>IF(M1514&lt;&gt;"OK","",O1514+(Q1514-O1514)*(H1514-N1514)/(P1514-N1514))</f>
        <v/>
      </c>
      <c r="S1514" s="30">
        <f>IF(OR(M1514&lt;&gt;"OK",NOT(ISNUMBER(L1514))),"",L1514-R1514)</f>
        <v/>
      </c>
      <c r="T1514" s="46">
        <f>IF(OR(NOT(ISNUMBER(S1514)),IF(ISNUMBER(G1514),G1514,F1514)=0),"",S1514/IF(ISNUMBER(G1514),G1514,F1514))</f>
        <v/>
      </c>
      <c r="U1514" s="46">
        <f>IF(ISNUMBER(T1514),ABS(T1514),"")</f>
        <v/>
      </c>
      <c r="V1514" s="46">
        <f>IF(OR($D1513&lt;&gt;"측정",$C1513&lt;&gt;$C1514,NOT(ISNUMBER(L1514)),NOT(ISNUMBER(L1513)),(IF(ISNUMBER(G1514),G1514,F1514)-IF(ISNUMBER(G1513),G1513,F1513))=0),"",(L1514-L1513)/(IF(ISNUMBER(G1514),G1514,F1514)-IF(ISNUMBER(G1513),G1513,F1513)))</f>
        <v/>
      </c>
      <c r="W1514" s="30">
        <f>IF(NOT(AND(ISNUMBER(N1514),ISNUMBER(P1514))),"",(P1514-N1514)*1440)</f>
        <v/>
      </c>
      <c r="X1514" s="28" t="n"/>
      <c r="Y1514" s="28" t="n"/>
      <c r="Z1514" s="28" t="n"/>
      <c r="AA1514" s="31" t="n"/>
      <c r="AB1514" s="31" t="n"/>
    </row>
    <row r="1515">
      <c r="A1515" s="25" t="inlineStr">
        <is>
          <t>S30</t>
        </is>
      </c>
      <c r="B1515" s="25" t="inlineStr">
        <is>
          <t>창녕 신규점</t>
        </is>
      </c>
      <c r="C1515" s="25" t="inlineStr">
        <is>
          <t>S30-H동</t>
        </is>
      </c>
      <c r="D1515" s="25" t="inlineStr">
        <is>
          <t>측정</t>
        </is>
      </c>
      <c r="E1515" s="25" t="inlineStr">
        <is>
          <t>동</t>
        </is>
      </c>
      <c r="F1515" s="30" t="n">
        <v>1</v>
      </c>
      <c r="G1515" s="29" t="n"/>
      <c r="H1515" s="42" t="n"/>
      <c r="I1515" s="40" t="n"/>
      <c r="J1515" s="40" t="n"/>
      <c r="K1515" s="40" t="n"/>
      <c r="L1515" s="30">
        <f>IF(COUNT(I1515:K1515)=0,"",MEDIAN(I1515:K1515))</f>
        <v/>
      </c>
      <c r="M1515" s="25">
        <f>IF(COUNTIFS($C:$C,$C1515,$D:$D,"P0(전)",$L:$L,"&gt;0")&lt;&gt;1,"P0(전) 유효 1개 아님",IF(COUNTIFS($C:$C,$C1515,$D:$D,"P0(후)",$L:$L,"&gt;0")&lt;&gt;1,"P0(후) 유효 1개 아님",IF(NOT(AND(ISNUMBER(N1515),ISNUMBER(P1515),ISNUMBER(H1515))),"시각 결측",IF(P1515&lt;=N1515,"P0 시각 역전",IF(OR(H1515&lt;N1515,H1515&gt;P1515),"측정시각 구간 밖","OK")))))</f>
        <v/>
      </c>
      <c r="N1515" s="45">
        <f>IF(COUNTIFS($C:$C,$C1515,$D:$D,"P0(전)",$L:$L,"&gt;0")&lt;&gt;1,"",SUMIFS($H:$H,$C:$C,$C1515,$D:$D,"P0(전)"))</f>
        <v/>
      </c>
      <c r="O1515" s="30">
        <f>IF(COUNTIFS($C:$C,$C1515,$D:$D,"P0(전)",$L:$L,"&gt;0")&lt;&gt;1,"",SUMIFS($L:$L,$C:$C,$C1515,$D:$D,"P0(전)"))</f>
        <v/>
      </c>
      <c r="P1515" s="45">
        <f>IF(COUNTIFS($C:$C,$C1515,$D:$D,"P0(후)",$L:$L,"&gt;0")&lt;&gt;1,"",SUMIFS($H:$H,$C:$C,$C1515,$D:$D,"P0(후)"))</f>
        <v/>
      </c>
      <c r="Q1515" s="30">
        <f>IF(COUNTIFS($C:$C,$C1515,$D:$D,"P0(후)",$L:$L,"&gt;0")&lt;&gt;1,"",SUMIFS($L:$L,$C:$C,$C1515,$D:$D,"P0(후)"))</f>
        <v/>
      </c>
      <c r="R1515" s="30">
        <f>IF(M1515&lt;&gt;"OK","",O1515+(Q1515-O1515)*(H1515-N1515)/(P1515-N1515))</f>
        <v/>
      </c>
      <c r="S1515" s="30">
        <f>IF(OR(M1515&lt;&gt;"OK",NOT(ISNUMBER(L1515))),"",L1515-R1515)</f>
        <v/>
      </c>
      <c r="T1515" s="46">
        <f>IF(OR(NOT(ISNUMBER(S1515)),IF(ISNUMBER(G1515),G1515,F1515)=0),"",S1515/IF(ISNUMBER(G1515),G1515,F1515))</f>
        <v/>
      </c>
      <c r="U1515" s="46">
        <f>IF(ISNUMBER(T1515),ABS(T1515),"")</f>
        <v/>
      </c>
      <c r="V1515" s="46">
        <f>IF(OR($D1514&lt;&gt;"측정",$C1514&lt;&gt;$C1515,NOT(ISNUMBER(L1515)),NOT(ISNUMBER(L1514)),(IF(ISNUMBER(G1515),G1515,F1515)-IF(ISNUMBER(G1514),G1514,F1514))=0),"",(L1515-L1514)/(IF(ISNUMBER(G1515),G1515,F1515)-IF(ISNUMBER(G1514),G1514,F1514)))</f>
        <v/>
      </c>
      <c r="W1515" s="30">
        <f>IF(NOT(AND(ISNUMBER(N1515),ISNUMBER(P1515))),"",(P1515-N1515)*1440)</f>
        <v/>
      </c>
      <c r="X1515" s="28" t="n"/>
      <c r="Y1515" s="28" t="n"/>
      <c r="Z1515" s="28" t="n"/>
      <c r="AA1515" s="31" t="n"/>
      <c r="AB1515" s="31" t="n"/>
    </row>
    <row r="1516">
      <c r="A1516" s="25" t="inlineStr">
        <is>
          <t>S30</t>
        </is>
      </c>
      <c r="B1516" s="25" t="inlineStr">
        <is>
          <t>창녕 신규점</t>
        </is>
      </c>
      <c r="C1516" s="25" t="inlineStr">
        <is>
          <t>S30-H동</t>
        </is>
      </c>
      <c r="D1516" s="25" t="inlineStr">
        <is>
          <t>측정</t>
        </is>
      </c>
      <c r="E1516" s="25" t="inlineStr">
        <is>
          <t>동</t>
        </is>
      </c>
      <c r="F1516" s="30" t="n">
        <v>2</v>
      </c>
      <c r="G1516" s="29" t="n"/>
      <c r="H1516" s="42" t="n"/>
      <c r="I1516" s="40" t="n"/>
      <c r="J1516" s="40" t="n"/>
      <c r="K1516" s="40" t="n"/>
      <c r="L1516" s="30">
        <f>IF(COUNT(I1516:K1516)=0,"",MEDIAN(I1516:K1516))</f>
        <v/>
      </c>
      <c r="M1516" s="25">
        <f>IF(COUNTIFS($C:$C,$C1516,$D:$D,"P0(전)",$L:$L,"&gt;0")&lt;&gt;1,"P0(전) 유효 1개 아님",IF(COUNTIFS($C:$C,$C1516,$D:$D,"P0(후)",$L:$L,"&gt;0")&lt;&gt;1,"P0(후) 유효 1개 아님",IF(NOT(AND(ISNUMBER(N1516),ISNUMBER(P1516),ISNUMBER(H1516))),"시각 결측",IF(P1516&lt;=N1516,"P0 시각 역전",IF(OR(H1516&lt;N1516,H1516&gt;P1516),"측정시각 구간 밖","OK")))))</f>
        <v/>
      </c>
      <c r="N1516" s="45">
        <f>IF(COUNTIFS($C:$C,$C1516,$D:$D,"P0(전)",$L:$L,"&gt;0")&lt;&gt;1,"",SUMIFS($H:$H,$C:$C,$C1516,$D:$D,"P0(전)"))</f>
        <v/>
      </c>
      <c r="O1516" s="30">
        <f>IF(COUNTIFS($C:$C,$C1516,$D:$D,"P0(전)",$L:$L,"&gt;0")&lt;&gt;1,"",SUMIFS($L:$L,$C:$C,$C1516,$D:$D,"P0(전)"))</f>
        <v/>
      </c>
      <c r="P1516" s="45">
        <f>IF(COUNTIFS($C:$C,$C1516,$D:$D,"P0(후)",$L:$L,"&gt;0")&lt;&gt;1,"",SUMIFS($H:$H,$C:$C,$C1516,$D:$D,"P0(후)"))</f>
        <v/>
      </c>
      <c r="Q1516" s="30">
        <f>IF(COUNTIFS($C:$C,$C1516,$D:$D,"P0(후)",$L:$L,"&gt;0")&lt;&gt;1,"",SUMIFS($L:$L,$C:$C,$C1516,$D:$D,"P0(후)"))</f>
        <v/>
      </c>
      <c r="R1516" s="30">
        <f>IF(M1516&lt;&gt;"OK","",O1516+(Q1516-O1516)*(H1516-N1516)/(P1516-N1516))</f>
        <v/>
      </c>
      <c r="S1516" s="30">
        <f>IF(OR(M1516&lt;&gt;"OK",NOT(ISNUMBER(L1516))),"",L1516-R1516)</f>
        <v/>
      </c>
      <c r="T1516" s="46">
        <f>IF(OR(NOT(ISNUMBER(S1516)),IF(ISNUMBER(G1516),G1516,F1516)=0),"",S1516/IF(ISNUMBER(G1516),G1516,F1516))</f>
        <v/>
      </c>
      <c r="U1516" s="46">
        <f>IF(ISNUMBER(T1516),ABS(T1516),"")</f>
        <v/>
      </c>
      <c r="V1516" s="46">
        <f>IF(OR($D1515&lt;&gt;"측정",$C1515&lt;&gt;$C1516,NOT(ISNUMBER(L1516)),NOT(ISNUMBER(L1515)),(IF(ISNUMBER(G1516),G1516,F1516)-IF(ISNUMBER(G1515),G1515,F1515))=0),"",(L1516-L1515)/(IF(ISNUMBER(G1516),G1516,F1516)-IF(ISNUMBER(G1515),G1515,F1515)))</f>
        <v/>
      </c>
      <c r="W1516" s="30">
        <f>IF(NOT(AND(ISNUMBER(N1516),ISNUMBER(P1516))),"",(P1516-N1516)*1440)</f>
        <v/>
      </c>
      <c r="X1516" s="28" t="n"/>
      <c r="Y1516" s="28" t="n"/>
      <c r="Z1516" s="28" t="n"/>
      <c r="AA1516" s="31" t="n"/>
      <c r="AB1516" s="31" t="n"/>
    </row>
    <row r="1517">
      <c r="A1517" s="25" t="inlineStr">
        <is>
          <t>S30</t>
        </is>
      </c>
      <c r="B1517" s="25" t="inlineStr">
        <is>
          <t>창녕 신규점</t>
        </is>
      </c>
      <c r="C1517" s="25" t="inlineStr">
        <is>
          <t>S30-H동</t>
        </is>
      </c>
      <c r="D1517" s="25" t="inlineStr">
        <is>
          <t>측정</t>
        </is>
      </c>
      <c r="E1517" s="25" t="inlineStr">
        <is>
          <t>동</t>
        </is>
      </c>
      <c r="F1517" s="30" t="n">
        <v>3</v>
      </c>
      <c r="G1517" s="29" t="n"/>
      <c r="H1517" s="42" t="n"/>
      <c r="I1517" s="40" t="n"/>
      <c r="J1517" s="40" t="n"/>
      <c r="K1517" s="40" t="n"/>
      <c r="L1517" s="30">
        <f>IF(COUNT(I1517:K1517)=0,"",MEDIAN(I1517:K1517))</f>
        <v/>
      </c>
      <c r="M1517" s="25">
        <f>IF(COUNTIFS($C:$C,$C1517,$D:$D,"P0(전)",$L:$L,"&gt;0")&lt;&gt;1,"P0(전) 유효 1개 아님",IF(COUNTIFS($C:$C,$C1517,$D:$D,"P0(후)",$L:$L,"&gt;0")&lt;&gt;1,"P0(후) 유효 1개 아님",IF(NOT(AND(ISNUMBER(N1517),ISNUMBER(P1517),ISNUMBER(H1517))),"시각 결측",IF(P1517&lt;=N1517,"P0 시각 역전",IF(OR(H1517&lt;N1517,H1517&gt;P1517),"측정시각 구간 밖","OK")))))</f>
        <v/>
      </c>
      <c r="N1517" s="45">
        <f>IF(COUNTIFS($C:$C,$C1517,$D:$D,"P0(전)",$L:$L,"&gt;0")&lt;&gt;1,"",SUMIFS($H:$H,$C:$C,$C1517,$D:$D,"P0(전)"))</f>
        <v/>
      </c>
      <c r="O1517" s="30">
        <f>IF(COUNTIFS($C:$C,$C1517,$D:$D,"P0(전)",$L:$L,"&gt;0")&lt;&gt;1,"",SUMIFS($L:$L,$C:$C,$C1517,$D:$D,"P0(전)"))</f>
        <v/>
      </c>
      <c r="P1517" s="45">
        <f>IF(COUNTIFS($C:$C,$C1517,$D:$D,"P0(후)",$L:$L,"&gt;0")&lt;&gt;1,"",SUMIFS($H:$H,$C:$C,$C1517,$D:$D,"P0(후)"))</f>
        <v/>
      </c>
      <c r="Q1517" s="30">
        <f>IF(COUNTIFS($C:$C,$C1517,$D:$D,"P0(후)",$L:$L,"&gt;0")&lt;&gt;1,"",SUMIFS($L:$L,$C:$C,$C1517,$D:$D,"P0(후)"))</f>
        <v/>
      </c>
      <c r="R1517" s="30">
        <f>IF(M1517&lt;&gt;"OK","",O1517+(Q1517-O1517)*(H1517-N1517)/(P1517-N1517))</f>
        <v/>
      </c>
      <c r="S1517" s="30">
        <f>IF(OR(M1517&lt;&gt;"OK",NOT(ISNUMBER(L1517))),"",L1517-R1517)</f>
        <v/>
      </c>
      <c r="T1517" s="46">
        <f>IF(OR(NOT(ISNUMBER(S1517)),IF(ISNUMBER(G1517),G1517,F1517)=0),"",S1517/IF(ISNUMBER(G1517),G1517,F1517))</f>
        <v/>
      </c>
      <c r="U1517" s="46">
        <f>IF(ISNUMBER(T1517),ABS(T1517),"")</f>
        <v/>
      </c>
      <c r="V1517" s="46">
        <f>IF(OR($D1516&lt;&gt;"측정",$C1516&lt;&gt;$C1517,NOT(ISNUMBER(L1517)),NOT(ISNUMBER(L1516)),(IF(ISNUMBER(G1517),G1517,F1517)-IF(ISNUMBER(G1516),G1516,F1516))=0),"",(L1517-L1516)/(IF(ISNUMBER(G1517),G1517,F1517)-IF(ISNUMBER(G1516),G1516,F1516)))</f>
        <v/>
      </c>
      <c r="W1517" s="30">
        <f>IF(NOT(AND(ISNUMBER(N1517),ISNUMBER(P1517))),"",(P1517-N1517)*1440)</f>
        <v/>
      </c>
      <c r="X1517" s="28" t="n"/>
      <c r="Y1517" s="28" t="n"/>
      <c r="Z1517" s="28" t="n"/>
      <c r="AA1517" s="31" t="n"/>
      <c r="AB1517" s="31" t="n"/>
    </row>
    <row r="1518">
      <c r="A1518" s="25" t="inlineStr">
        <is>
          <t>S30</t>
        </is>
      </c>
      <c r="B1518" s="25" t="inlineStr">
        <is>
          <t>창녕 신규점</t>
        </is>
      </c>
      <c r="C1518" s="25" t="inlineStr">
        <is>
          <t>S30-H동</t>
        </is>
      </c>
      <c r="D1518" s="25" t="inlineStr">
        <is>
          <t>측정</t>
        </is>
      </c>
      <c r="E1518" s="25" t="inlineStr">
        <is>
          <t>동</t>
        </is>
      </c>
      <c r="F1518" s="30" t="n">
        <v>4</v>
      </c>
      <c r="G1518" s="29" t="n"/>
      <c r="H1518" s="42" t="n"/>
      <c r="I1518" s="40" t="n"/>
      <c r="J1518" s="40" t="n"/>
      <c r="K1518" s="40" t="n"/>
      <c r="L1518" s="30">
        <f>IF(COUNT(I1518:K1518)=0,"",MEDIAN(I1518:K1518))</f>
        <v/>
      </c>
      <c r="M1518" s="25">
        <f>IF(COUNTIFS($C:$C,$C1518,$D:$D,"P0(전)",$L:$L,"&gt;0")&lt;&gt;1,"P0(전) 유효 1개 아님",IF(COUNTIFS($C:$C,$C1518,$D:$D,"P0(후)",$L:$L,"&gt;0")&lt;&gt;1,"P0(후) 유효 1개 아님",IF(NOT(AND(ISNUMBER(N1518),ISNUMBER(P1518),ISNUMBER(H1518))),"시각 결측",IF(P1518&lt;=N1518,"P0 시각 역전",IF(OR(H1518&lt;N1518,H1518&gt;P1518),"측정시각 구간 밖","OK")))))</f>
        <v/>
      </c>
      <c r="N1518" s="45">
        <f>IF(COUNTIFS($C:$C,$C1518,$D:$D,"P0(전)",$L:$L,"&gt;0")&lt;&gt;1,"",SUMIFS($H:$H,$C:$C,$C1518,$D:$D,"P0(전)"))</f>
        <v/>
      </c>
      <c r="O1518" s="30">
        <f>IF(COUNTIFS($C:$C,$C1518,$D:$D,"P0(전)",$L:$L,"&gt;0")&lt;&gt;1,"",SUMIFS($L:$L,$C:$C,$C1518,$D:$D,"P0(전)"))</f>
        <v/>
      </c>
      <c r="P1518" s="45">
        <f>IF(COUNTIFS($C:$C,$C1518,$D:$D,"P0(후)",$L:$L,"&gt;0")&lt;&gt;1,"",SUMIFS($H:$H,$C:$C,$C1518,$D:$D,"P0(후)"))</f>
        <v/>
      </c>
      <c r="Q1518" s="30">
        <f>IF(COUNTIFS($C:$C,$C1518,$D:$D,"P0(후)",$L:$L,"&gt;0")&lt;&gt;1,"",SUMIFS($L:$L,$C:$C,$C1518,$D:$D,"P0(후)"))</f>
        <v/>
      </c>
      <c r="R1518" s="30">
        <f>IF(M1518&lt;&gt;"OK","",O1518+(Q1518-O1518)*(H1518-N1518)/(P1518-N1518))</f>
        <v/>
      </c>
      <c r="S1518" s="30">
        <f>IF(OR(M1518&lt;&gt;"OK",NOT(ISNUMBER(L1518))),"",L1518-R1518)</f>
        <v/>
      </c>
      <c r="T1518" s="46">
        <f>IF(OR(NOT(ISNUMBER(S1518)),IF(ISNUMBER(G1518),G1518,F1518)=0),"",S1518/IF(ISNUMBER(G1518),G1518,F1518))</f>
        <v/>
      </c>
      <c r="U1518" s="46">
        <f>IF(ISNUMBER(T1518),ABS(T1518),"")</f>
        <v/>
      </c>
      <c r="V1518" s="46">
        <f>IF(OR($D1517&lt;&gt;"측정",$C1517&lt;&gt;$C1518,NOT(ISNUMBER(L1518)),NOT(ISNUMBER(L1517)),(IF(ISNUMBER(G1518),G1518,F1518)-IF(ISNUMBER(G1517),G1517,F1517))=0),"",(L1518-L1517)/(IF(ISNUMBER(G1518),G1518,F1518)-IF(ISNUMBER(G1517),G1517,F1517)))</f>
        <v/>
      </c>
      <c r="W1518" s="30">
        <f>IF(NOT(AND(ISNUMBER(N1518),ISNUMBER(P1518))),"",(P1518-N1518)*1440)</f>
        <v/>
      </c>
      <c r="X1518" s="28" t="n"/>
      <c r="Y1518" s="28" t="n"/>
      <c r="Z1518" s="28" t="n"/>
      <c r="AA1518" s="31" t="n"/>
      <c r="AB1518" s="31" t="n"/>
    </row>
    <row r="1519">
      <c r="A1519" s="25" t="inlineStr">
        <is>
          <t>S30</t>
        </is>
      </c>
      <c r="B1519" s="25" t="inlineStr">
        <is>
          <t>창녕 신규점</t>
        </is>
      </c>
      <c r="C1519" s="25" t="inlineStr">
        <is>
          <t>S30-H동</t>
        </is>
      </c>
      <c r="D1519" s="25" t="inlineStr">
        <is>
          <t>측정</t>
        </is>
      </c>
      <c r="E1519" s="25" t="inlineStr">
        <is>
          <t>동</t>
        </is>
      </c>
      <c r="F1519" s="30" t="n">
        <v>5</v>
      </c>
      <c r="G1519" s="29" t="n"/>
      <c r="H1519" s="42" t="n"/>
      <c r="I1519" s="40" t="n"/>
      <c r="J1519" s="40" t="n"/>
      <c r="K1519" s="40" t="n"/>
      <c r="L1519" s="30">
        <f>IF(COUNT(I1519:K1519)=0,"",MEDIAN(I1519:K1519))</f>
        <v/>
      </c>
      <c r="M1519" s="25">
        <f>IF(COUNTIFS($C:$C,$C1519,$D:$D,"P0(전)",$L:$L,"&gt;0")&lt;&gt;1,"P0(전) 유효 1개 아님",IF(COUNTIFS($C:$C,$C1519,$D:$D,"P0(후)",$L:$L,"&gt;0")&lt;&gt;1,"P0(후) 유효 1개 아님",IF(NOT(AND(ISNUMBER(N1519),ISNUMBER(P1519),ISNUMBER(H1519))),"시각 결측",IF(P1519&lt;=N1519,"P0 시각 역전",IF(OR(H1519&lt;N1519,H1519&gt;P1519),"측정시각 구간 밖","OK")))))</f>
        <v/>
      </c>
      <c r="N1519" s="45">
        <f>IF(COUNTIFS($C:$C,$C1519,$D:$D,"P0(전)",$L:$L,"&gt;0")&lt;&gt;1,"",SUMIFS($H:$H,$C:$C,$C1519,$D:$D,"P0(전)"))</f>
        <v/>
      </c>
      <c r="O1519" s="30">
        <f>IF(COUNTIFS($C:$C,$C1519,$D:$D,"P0(전)",$L:$L,"&gt;0")&lt;&gt;1,"",SUMIFS($L:$L,$C:$C,$C1519,$D:$D,"P0(전)"))</f>
        <v/>
      </c>
      <c r="P1519" s="45">
        <f>IF(COUNTIFS($C:$C,$C1519,$D:$D,"P0(후)",$L:$L,"&gt;0")&lt;&gt;1,"",SUMIFS($H:$H,$C:$C,$C1519,$D:$D,"P0(후)"))</f>
        <v/>
      </c>
      <c r="Q1519" s="30">
        <f>IF(COUNTIFS($C:$C,$C1519,$D:$D,"P0(후)",$L:$L,"&gt;0")&lt;&gt;1,"",SUMIFS($L:$L,$C:$C,$C1519,$D:$D,"P0(후)"))</f>
        <v/>
      </c>
      <c r="R1519" s="30">
        <f>IF(M1519&lt;&gt;"OK","",O1519+(Q1519-O1519)*(H1519-N1519)/(P1519-N1519))</f>
        <v/>
      </c>
      <c r="S1519" s="30">
        <f>IF(OR(M1519&lt;&gt;"OK",NOT(ISNUMBER(L1519))),"",L1519-R1519)</f>
        <v/>
      </c>
      <c r="T1519" s="46">
        <f>IF(OR(NOT(ISNUMBER(S1519)),IF(ISNUMBER(G1519),G1519,F1519)=0),"",S1519/IF(ISNUMBER(G1519),G1519,F1519))</f>
        <v/>
      </c>
      <c r="U1519" s="46">
        <f>IF(ISNUMBER(T1519),ABS(T1519),"")</f>
        <v/>
      </c>
      <c r="V1519" s="46">
        <f>IF(OR($D1518&lt;&gt;"측정",$C1518&lt;&gt;$C1519,NOT(ISNUMBER(L1519)),NOT(ISNUMBER(L1518)),(IF(ISNUMBER(G1519),G1519,F1519)-IF(ISNUMBER(G1518),G1518,F1518))=0),"",(L1519-L1518)/(IF(ISNUMBER(G1519),G1519,F1519)-IF(ISNUMBER(G1518),G1518,F1518)))</f>
        <v/>
      </c>
      <c r="W1519" s="30">
        <f>IF(NOT(AND(ISNUMBER(N1519),ISNUMBER(P1519))),"",(P1519-N1519)*1440)</f>
        <v/>
      </c>
      <c r="X1519" s="28" t="n"/>
      <c r="Y1519" s="28" t="n"/>
      <c r="Z1519" s="28" t="n"/>
      <c r="AA1519" s="31" t="n"/>
      <c r="AB1519" s="31" t="n"/>
    </row>
    <row r="1520">
      <c r="A1520" s="25" t="inlineStr">
        <is>
          <t>S30</t>
        </is>
      </c>
      <c r="B1520" s="25" t="inlineStr">
        <is>
          <t>창녕 신규점</t>
        </is>
      </c>
      <c r="C1520" s="25" t="inlineStr">
        <is>
          <t>S30-H동</t>
        </is>
      </c>
      <c r="D1520" s="25" t="inlineStr">
        <is>
          <t>측정</t>
        </is>
      </c>
      <c r="E1520" s="25" t="inlineStr">
        <is>
          <t>동</t>
        </is>
      </c>
      <c r="F1520" s="30" t="n">
        <v>6</v>
      </c>
      <c r="G1520" s="29" t="n"/>
      <c r="H1520" s="42" t="n"/>
      <c r="I1520" s="40" t="n"/>
      <c r="J1520" s="40" t="n"/>
      <c r="K1520" s="40" t="n"/>
      <c r="L1520" s="30">
        <f>IF(COUNT(I1520:K1520)=0,"",MEDIAN(I1520:K1520))</f>
        <v/>
      </c>
      <c r="M1520" s="25">
        <f>IF(COUNTIFS($C:$C,$C1520,$D:$D,"P0(전)",$L:$L,"&gt;0")&lt;&gt;1,"P0(전) 유효 1개 아님",IF(COUNTIFS($C:$C,$C1520,$D:$D,"P0(후)",$L:$L,"&gt;0")&lt;&gt;1,"P0(후) 유효 1개 아님",IF(NOT(AND(ISNUMBER(N1520),ISNUMBER(P1520),ISNUMBER(H1520))),"시각 결측",IF(P1520&lt;=N1520,"P0 시각 역전",IF(OR(H1520&lt;N1520,H1520&gt;P1520),"측정시각 구간 밖","OK")))))</f>
        <v/>
      </c>
      <c r="N1520" s="45">
        <f>IF(COUNTIFS($C:$C,$C1520,$D:$D,"P0(전)",$L:$L,"&gt;0")&lt;&gt;1,"",SUMIFS($H:$H,$C:$C,$C1520,$D:$D,"P0(전)"))</f>
        <v/>
      </c>
      <c r="O1520" s="30">
        <f>IF(COUNTIFS($C:$C,$C1520,$D:$D,"P0(전)",$L:$L,"&gt;0")&lt;&gt;1,"",SUMIFS($L:$L,$C:$C,$C1520,$D:$D,"P0(전)"))</f>
        <v/>
      </c>
      <c r="P1520" s="45">
        <f>IF(COUNTIFS($C:$C,$C1520,$D:$D,"P0(후)",$L:$L,"&gt;0")&lt;&gt;1,"",SUMIFS($H:$H,$C:$C,$C1520,$D:$D,"P0(후)"))</f>
        <v/>
      </c>
      <c r="Q1520" s="30">
        <f>IF(COUNTIFS($C:$C,$C1520,$D:$D,"P0(후)",$L:$L,"&gt;0")&lt;&gt;1,"",SUMIFS($L:$L,$C:$C,$C1520,$D:$D,"P0(후)"))</f>
        <v/>
      </c>
      <c r="R1520" s="30">
        <f>IF(M1520&lt;&gt;"OK","",O1520+(Q1520-O1520)*(H1520-N1520)/(P1520-N1520))</f>
        <v/>
      </c>
      <c r="S1520" s="30">
        <f>IF(OR(M1520&lt;&gt;"OK",NOT(ISNUMBER(L1520))),"",L1520-R1520)</f>
        <v/>
      </c>
      <c r="T1520" s="46">
        <f>IF(OR(NOT(ISNUMBER(S1520)),IF(ISNUMBER(G1520),G1520,F1520)=0),"",S1520/IF(ISNUMBER(G1520),G1520,F1520))</f>
        <v/>
      </c>
      <c r="U1520" s="46">
        <f>IF(ISNUMBER(T1520),ABS(T1520),"")</f>
        <v/>
      </c>
      <c r="V1520" s="46">
        <f>IF(OR($D1519&lt;&gt;"측정",$C1519&lt;&gt;$C1520,NOT(ISNUMBER(L1520)),NOT(ISNUMBER(L1519)),(IF(ISNUMBER(G1520),G1520,F1520)-IF(ISNUMBER(G1519),G1519,F1519))=0),"",(L1520-L1519)/(IF(ISNUMBER(G1520),G1520,F1520)-IF(ISNUMBER(G1519),G1519,F1519)))</f>
        <v/>
      </c>
      <c r="W1520" s="30">
        <f>IF(NOT(AND(ISNUMBER(N1520),ISNUMBER(P1520))),"",(P1520-N1520)*1440)</f>
        <v/>
      </c>
      <c r="X1520" s="28" t="n"/>
      <c r="Y1520" s="28" t="n"/>
      <c r="Z1520" s="28" t="n"/>
      <c r="AA1520" s="31" t="n"/>
      <c r="AB1520" s="31" t="n"/>
    </row>
    <row r="1521">
      <c r="A1521" s="25" t="inlineStr">
        <is>
          <t>S30</t>
        </is>
      </c>
      <c r="B1521" s="25" t="inlineStr">
        <is>
          <t>창녕 신규점</t>
        </is>
      </c>
      <c r="C1521" s="25" t="inlineStr">
        <is>
          <t>S30-H동</t>
        </is>
      </c>
      <c r="D1521" s="25" t="inlineStr">
        <is>
          <t>측정</t>
        </is>
      </c>
      <c r="E1521" s="25" t="inlineStr">
        <is>
          <t>동</t>
        </is>
      </c>
      <c r="F1521" s="30" t="n">
        <v>7</v>
      </c>
      <c r="G1521" s="29" t="n"/>
      <c r="H1521" s="42" t="n"/>
      <c r="I1521" s="40" t="n"/>
      <c r="J1521" s="40" t="n"/>
      <c r="K1521" s="40" t="n"/>
      <c r="L1521" s="30">
        <f>IF(COUNT(I1521:K1521)=0,"",MEDIAN(I1521:K1521))</f>
        <v/>
      </c>
      <c r="M1521" s="25">
        <f>IF(COUNTIFS($C:$C,$C1521,$D:$D,"P0(전)",$L:$L,"&gt;0")&lt;&gt;1,"P0(전) 유효 1개 아님",IF(COUNTIFS($C:$C,$C1521,$D:$D,"P0(후)",$L:$L,"&gt;0")&lt;&gt;1,"P0(후) 유효 1개 아님",IF(NOT(AND(ISNUMBER(N1521),ISNUMBER(P1521),ISNUMBER(H1521))),"시각 결측",IF(P1521&lt;=N1521,"P0 시각 역전",IF(OR(H1521&lt;N1521,H1521&gt;P1521),"측정시각 구간 밖","OK")))))</f>
        <v/>
      </c>
      <c r="N1521" s="45">
        <f>IF(COUNTIFS($C:$C,$C1521,$D:$D,"P0(전)",$L:$L,"&gt;0")&lt;&gt;1,"",SUMIFS($H:$H,$C:$C,$C1521,$D:$D,"P0(전)"))</f>
        <v/>
      </c>
      <c r="O1521" s="30">
        <f>IF(COUNTIFS($C:$C,$C1521,$D:$D,"P0(전)",$L:$L,"&gt;0")&lt;&gt;1,"",SUMIFS($L:$L,$C:$C,$C1521,$D:$D,"P0(전)"))</f>
        <v/>
      </c>
      <c r="P1521" s="45">
        <f>IF(COUNTIFS($C:$C,$C1521,$D:$D,"P0(후)",$L:$L,"&gt;0")&lt;&gt;1,"",SUMIFS($H:$H,$C:$C,$C1521,$D:$D,"P0(후)"))</f>
        <v/>
      </c>
      <c r="Q1521" s="30">
        <f>IF(COUNTIFS($C:$C,$C1521,$D:$D,"P0(후)",$L:$L,"&gt;0")&lt;&gt;1,"",SUMIFS($L:$L,$C:$C,$C1521,$D:$D,"P0(후)"))</f>
        <v/>
      </c>
      <c r="R1521" s="30">
        <f>IF(M1521&lt;&gt;"OK","",O1521+(Q1521-O1521)*(H1521-N1521)/(P1521-N1521))</f>
        <v/>
      </c>
      <c r="S1521" s="30">
        <f>IF(OR(M1521&lt;&gt;"OK",NOT(ISNUMBER(L1521))),"",L1521-R1521)</f>
        <v/>
      </c>
      <c r="T1521" s="46">
        <f>IF(OR(NOT(ISNUMBER(S1521)),IF(ISNUMBER(G1521),G1521,F1521)=0),"",S1521/IF(ISNUMBER(G1521),G1521,F1521))</f>
        <v/>
      </c>
      <c r="U1521" s="46">
        <f>IF(ISNUMBER(T1521),ABS(T1521),"")</f>
        <v/>
      </c>
      <c r="V1521" s="46">
        <f>IF(OR($D1520&lt;&gt;"측정",$C1520&lt;&gt;$C1521,NOT(ISNUMBER(L1521)),NOT(ISNUMBER(L1520)),(IF(ISNUMBER(G1521),G1521,F1521)-IF(ISNUMBER(G1520),G1520,F1520))=0),"",(L1521-L1520)/(IF(ISNUMBER(G1521),G1521,F1521)-IF(ISNUMBER(G1520),G1520,F1520)))</f>
        <v/>
      </c>
      <c r="W1521" s="30">
        <f>IF(NOT(AND(ISNUMBER(N1521),ISNUMBER(P1521))),"",(P1521-N1521)*1440)</f>
        <v/>
      </c>
      <c r="X1521" s="28" t="n"/>
      <c r="Y1521" s="28" t="n"/>
      <c r="Z1521" s="28" t="n"/>
      <c r="AA1521" s="31" t="n"/>
      <c r="AB1521" s="31" t="n"/>
    </row>
    <row r="1522">
      <c r="A1522" s="25" t="inlineStr">
        <is>
          <t>S30</t>
        </is>
      </c>
      <c r="B1522" s="25" t="inlineStr">
        <is>
          <t>창녕 신규점</t>
        </is>
      </c>
      <c r="C1522" s="25" t="inlineStr">
        <is>
          <t>S30-H동</t>
        </is>
      </c>
      <c r="D1522" s="25" t="inlineStr">
        <is>
          <t>측정</t>
        </is>
      </c>
      <c r="E1522" s="25" t="inlineStr">
        <is>
          <t>동</t>
        </is>
      </c>
      <c r="F1522" s="30" t="n">
        <v>8</v>
      </c>
      <c r="G1522" s="29" t="n"/>
      <c r="H1522" s="42" t="n"/>
      <c r="I1522" s="40" t="n"/>
      <c r="J1522" s="40" t="n"/>
      <c r="K1522" s="40" t="n"/>
      <c r="L1522" s="30">
        <f>IF(COUNT(I1522:K1522)=0,"",MEDIAN(I1522:K1522))</f>
        <v/>
      </c>
      <c r="M1522" s="25">
        <f>IF(COUNTIFS($C:$C,$C1522,$D:$D,"P0(전)",$L:$L,"&gt;0")&lt;&gt;1,"P0(전) 유효 1개 아님",IF(COUNTIFS($C:$C,$C1522,$D:$D,"P0(후)",$L:$L,"&gt;0")&lt;&gt;1,"P0(후) 유효 1개 아님",IF(NOT(AND(ISNUMBER(N1522),ISNUMBER(P1522),ISNUMBER(H1522))),"시각 결측",IF(P1522&lt;=N1522,"P0 시각 역전",IF(OR(H1522&lt;N1522,H1522&gt;P1522),"측정시각 구간 밖","OK")))))</f>
        <v/>
      </c>
      <c r="N1522" s="45">
        <f>IF(COUNTIFS($C:$C,$C1522,$D:$D,"P0(전)",$L:$L,"&gt;0")&lt;&gt;1,"",SUMIFS($H:$H,$C:$C,$C1522,$D:$D,"P0(전)"))</f>
        <v/>
      </c>
      <c r="O1522" s="30">
        <f>IF(COUNTIFS($C:$C,$C1522,$D:$D,"P0(전)",$L:$L,"&gt;0")&lt;&gt;1,"",SUMIFS($L:$L,$C:$C,$C1522,$D:$D,"P0(전)"))</f>
        <v/>
      </c>
      <c r="P1522" s="45">
        <f>IF(COUNTIFS($C:$C,$C1522,$D:$D,"P0(후)",$L:$L,"&gt;0")&lt;&gt;1,"",SUMIFS($H:$H,$C:$C,$C1522,$D:$D,"P0(후)"))</f>
        <v/>
      </c>
      <c r="Q1522" s="30">
        <f>IF(COUNTIFS($C:$C,$C1522,$D:$D,"P0(후)",$L:$L,"&gt;0")&lt;&gt;1,"",SUMIFS($L:$L,$C:$C,$C1522,$D:$D,"P0(후)"))</f>
        <v/>
      </c>
      <c r="R1522" s="30">
        <f>IF(M1522&lt;&gt;"OK","",O1522+(Q1522-O1522)*(H1522-N1522)/(P1522-N1522))</f>
        <v/>
      </c>
      <c r="S1522" s="30">
        <f>IF(OR(M1522&lt;&gt;"OK",NOT(ISNUMBER(L1522))),"",L1522-R1522)</f>
        <v/>
      </c>
      <c r="T1522" s="46">
        <f>IF(OR(NOT(ISNUMBER(S1522)),IF(ISNUMBER(G1522),G1522,F1522)=0),"",S1522/IF(ISNUMBER(G1522),G1522,F1522))</f>
        <v/>
      </c>
      <c r="U1522" s="46">
        <f>IF(ISNUMBER(T1522),ABS(T1522),"")</f>
        <v/>
      </c>
      <c r="V1522" s="46">
        <f>IF(OR($D1521&lt;&gt;"측정",$C1521&lt;&gt;$C1522,NOT(ISNUMBER(L1522)),NOT(ISNUMBER(L1521)),(IF(ISNUMBER(G1522),G1522,F1522)-IF(ISNUMBER(G1521),G1521,F1521))=0),"",(L1522-L1521)/(IF(ISNUMBER(G1522),G1522,F1522)-IF(ISNUMBER(G1521),G1521,F1521)))</f>
        <v/>
      </c>
      <c r="W1522" s="30">
        <f>IF(NOT(AND(ISNUMBER(N1522),ISNUMBER(P1522))),"",(P1522-N1522)*1440)</f>
        <v/>
      </c>
      <c r="X1522" s="28" t="n"/>
      <c r="Y1522" s="28" t="n"/>
      <c r="Z1522" s="28" t="n"/>
      <c r="AA1522" s="31" t="n"/>
      <c r="AB1522" s="31" t="n"/>
    </row>
    <row r="1523">
      <c r="A1523" s="25" t="inlineStr">
        <is>
          <t>S30</t>
        </is>
      </c>
      <c r="B1523" s="25" t="inlineStr">
        <is>
          <t>창녕 신규점</t>
        </is>
      </c>
      <c r="C1523" s="25" t="inlineStr">
        <is>
          <t>S30-H동</t>
        </is>
      </c>
      <c r="D1523" s="25" t="inlineStr">
        <is>
          <t>측정</t>
        </is>
      </c>
      <c r="E1523" s="25" t="inlineStr">
        <is>
          <t>동</t>
        </is>
      </c>
      <c r="F1523" s="30" t="n">
        <v>9</v>
      </c>
      <c r="G1523" s="29" t="n"/>
      <c r="H1523" s="42" t="n"/>
      <c r="I1523" s="40" t="n"/>
      <c r="J1523" s="40" t="n"/>
      <c r="K1523" s="40" t="n"/>
      <c r="L1523" s="30">
        <f>IF(COUNT(I1523:K1523)=0,"",MEDIAN(I1523:K1523))</f>
        <v/>
      </c>
      <c r="M1523" s="25">
        <f>IF(COUNTIFS($C:$C,$C1523,$D:$D,"P0(전)",$L:$L,"&gt;0")&lt;&gt;1,"P0(전) 유효 1개 아님",IF(COUNTIFS($C:$C,$C1523,$D:$D,"P0(후)",$L:$L,"&gt;0")&lt;&gt;1,"P0(후) 유효 1개 아님",IF(NOT(AND(ISNUMBER(N1523),ISNUMBER(P1523),ISNUMBER(H1523))),"시각 결측",IF(P1523&lt;=N1523,"P0 시각 역전",IF(OR(H1523&lt;N1523,H1523&gt;P1523),"측정시각 구간 밖","OK")))))</f>
        <v/>
      </c>
      <c r="N1523" s="45">
        <f>IF(COUNTIFS($C:$C,$C1523,$D:$D,"P0(전)",$L:$L,"&gt;0")&lt;&gt;1,"",SUMIFS($H:$H,$C:$C,$C1523,$D:$D,"P0(전)"))</f>
        <v/>
      </c>
      <c r="O1523" s="30">
        <f>IF(COUNTIFS($C:$C,$C1523,$D:$D,"P0(전)",$L:$L,"&gt;0")&lt;&gt;1,"",SUMIFS($L:$L,$C:$C,$C1523,$D:$D,"P0(전)"))</f>
        <v/>
      </c>
      <c r="P1523" s="45">
        <f>IF(COUNTIFS($C:$C,$C1523,$D:$D,"P0(후)",$L:$L,"&gt;0")&lt;&gt;1,"",SUMIFS($H:$H,$C:$C,$C1523,$D:$D,"P0(후)"))</f>
        <v/>
      </c>
      <c r="Q1523" s="30">
        <f>IF(COUNTIFS($C:$C,$C1523,$D:$D,"P0(후)",$L:$L,"&gt;0")&lt;&gt;1,"",SUMIFS($L:$L,$C:$C,$C1523,$D:$D,"P0(후)"))</f>
        <v/>
      </c>
      <c r="R1523" s="30">
        <f>IF(M1523&lt;&gt;"OK","",O1523+(Q1523-O1523)*(H1523-N1523)/(P1523-N1523))</f>
        <v/>
      </c>
      <c r="S1523" s="30">
        <f>IF(OR(M1523&lt;&gt;"OK",NOT(ISNUMBER(L1523))),"",L1523-R1523)</f>
        <v/>
      </c>
      <c r="T1523" s="46">
        <f>IF(OR(NOT(ISNUMBER(S1523)),IF(ISNUMBER(G1523),G1523,F1523)=0),"",S1523/IF(ISNUMBER(G1523),G1523,F1523))</f>
        <v/>
      </c>
      <c r="U1523" s="46">
        <f>IF(ISNUMBER(T1523),ABS(T1523),"")</f>
        <v/>
      </c>
      <c r="V1523" s="46">
        <f>IF(OR($D1522&lt;&gt;"측정",$C1522&lt;&gt;$C1523,NOT(ISNUMBER(L1523)),NOT(ISNUMBER(L1522)),(IF(ISNUMBER(G1523),G1523,F1523)-IF(ISNUMBER(G1522),G1522,F1522))=0),"",(L1523-L1522)/(IF(ISNUMBER(G1523),G1523,F1523)-IF(ISNUMBER(G1522),G1522,F1522)))</f>
        <v/>
      </c>
      <c r="W1523" s="30">
        <f>IF(NOT(AND(ISNUMBER(N1523),ISNUMBER(P1523))),"",(P1523-N1523)*1440)</f>
        <v/>
      </c>
      <c r="X1523" s="28" t="n"/>
      <c r="Y1523" s="28" t="n"/>
      <c r="Z1523" s="28" t="n"/>
      <c r="AA1523" s="31" t="n"/>
      <c r="AB1523" s="31" t="n"/>
    </row>
    <row r="1524">
      <c r="A1524" s="25" t="inlineStr">
        <is>
          <t>S30</t>
        </is>
      </c>
      <c r="B1524" s="25" t="inlineStr">
        <is>
          <t>창녕 신규점</t>
        </is>
      </c>
      <c r="C1524" s="25" t="inlineStr">
        <is>
          <t>S30-H동</t>
        </is>
      </c>
      <c r="D1524" s="25" t="inlineStr">
        <is>
          <t>측정</t>
        </is>
      </c>
      <c r="E1524" s="25" t="inlineStr">
        <is>
          <t>동</t>
        </is>
      </c>
      <c r="F1524" s="30" t="n">
        <v>10</v>
      </c>
      <c r="G1524" s="29" t="n"/>
      <c r="H1524" s="42" t="n"/>
      <c r="I1524" s="40" t="n"/>
      <c r="J1524" s="40" t="n"/>
      <c r="K1524" s="40" t="n"/>
      <c r="L1524" s="30">
        <f>IF(COUNT(I1524:K1524)=0,"",MEDIAN(I1524:K1524))</f>
        <v/>
      </c>
      <c r="M1524" s="25">
        <f>IF(COUNTIFS($C:$C,$C1524,$D:$D,"P0(전)",$L:$L,"&gt;0")&lt;&gt;1,"P0(전) 유효 1개 아님",IF(COUNTIFS($C:$C,$C1524,$D:$D,"P0(후)",$L:$L,"&gt;0")&lt;&gt;1,"P0(후) 유효 1개 아님",IF(NOT(AND(ISNUMBER(N1524),ISNUMBER(P1524),ISNUMBER(H1524))),"시각 결측",IF(P1524&lt;=N1524,"P0 시각 역전",IF(OR(H1524&lt;N1524,H1524&gt;P1524),"측정시각 구간 밖","OK")))))</f>
        <v/>
      </c>
      <c r="N1524" s="45">
        <f>IF(COUNTIFS($C:$C,$C1524,$D:$D,"P0(전)",$L:$L,"&gt;0")&lt;&gt;1,"",SUMIFS($H:$H,$C:$C,$C1524,$D:$D,"P0(전)"))</f>
        <v/>
      </c>
      <c r="O1524" s="30">
        <f>IF(COUNTIFS($C:$C,$C1524,$D:$D,"P0(전)",$L:$L,"&gt;0")&lt;&gt;1,"",SUMIFS($L:$L,$C:$C,$C1524,$D:$D,"P0(전)"))</f>
        <v/>
      </c>
      <c r="P1524" s="45">
        <f>IF(COUNTIFS($C:$C,$C1524,$D:$D,"P0(후)",$L:$L,"&gt;0")&lt;&gt;1,"",SUMIFS($H:$H,$C:$C,$C1524,$D:$D,"P0(후)"))</f>
        <v/>
      </c>
      <c r="Q1524" s="30">
        <f>IF(COUNTIFS($C:$C,$C1524,$D:$D,"P0(후)",$L:$L,"&gt;0")&lt;&gt;1,"",SUMIFS($L:$L,$C:$C,$C1524,$D:$D,"P0(후)"))</f>
        <v/>
      </c>
      <c r="R1524" s="30">
        <f>IF(M1524&lt;&gt;"OK","",O1524+(Q1524-O1524)*(H1524-N1524)/(P1524-N1524))</f>
        <v/>
      </c>
      <c r="S1524" s="30">
        <f>IF(OR(M1524&lt;&gt;"OK",NOT(ISNUMBER(L1524))),"",L1524-R1524)</f>
        <v/>
      </c>
      <c r="T1524" s="46">
        <f>IF(OR(NOT(ISNUMBER(S1524)),IF(ISNUMBER(G1524),G1524,F1524)=0),"",S1524/IF(ISNUMBER(G1524),G1524,F1524))</f>
        <v/>
      </c>
      <c r="U1524" s="46">
        <f>IF(ISNUMBER(T1524),ABS(T1524),"")</f>
        <v/>
      </c>
      <c r="V1524" s="46">
        <f>IF(OR($D1523&lt;&gt;"측정",$C1523&lt;&gt;$C1524,NOT(ISNUMBER(L1524)),NOT(ISNUMBER(L1523)),(IF(ISNUMBER(G1524),G1524,F1524)-IF(ISNUMBER(G1523),G1523,F1523))=0),"",(L1524-L1523)/(IF(ISNUMBER(G1524),G1524,F1524)-IF(ISNUMBER(G1523),G1523,F1523)))</f>
        <v/>
      </c>
      <c r="W1524" s="30">
        <f>IF(NOT(AND(ISNUMBER(N1524),ISNUMBER(P1524))),"",(P1524-N1524)*1440)</f>
        <v/>
      </c>
      <c r="X1524" s="28" t="n"/>
      <c r="Y1524" s="28" t="n"/>
      <c r="Z1524" s="28" t="n"/>
      <c r="AA1524" s="31" t="n"/>
      <c r="AB1524" s="31" t="n"/>
    </row>
    <row r="1525">
      <c r="A1525" s="43" t="inlineStr">
        <is>
          <t>S30</t>
        </is>
      </c>
      <c r="B1525" s="43" t="inlineStr">
        <is>
          <t>창녕 신규점</t>
        </is>
      </c>
      <c r="C1525" s="43" t="inlineStr">
        <is>
          <t>S30-H동</t>
        </is>
      </c>
      <c r="D1525" s="43" t="inlineStr">
        <is>
          <t>P0(후)</t>
        </is>
      </c>
      <c r="E1525" s="43" t="inlineStr">
        <is>
          <t>동</t>
        </is>
      </c>
      <c r="F1525" s="44" t="n"/>
      <c r="G1525" s="29" t="n"/>
      <c r="H1525" s="42" t="n"/>
      <c r="I1525" s="40" t="n"/>
      <c r="J1525" s="40" t="n"/>
      <c r="K1525" s="40" t="n"/>
      <c r="L1525" s="30">
        <f>IF(COUNT(I1525:K1525)=0,"",MEDIAN(I1525:K1525))</f>
        <v/>
      </c>
      <c r="M1525" s="37" t="n"/>
      <c r="N1525" s="37" t="n"/>
      <c r="O1525" s="37" t="n"/>
      <c r="P1525" s="37" t="n"/>
      <c r="Q1525" s="37" t="n"/>
      <c r="R1525" s="37" t="n"/>
      <c r="S1525" s="37" t="n"/>
      <c r="T1525" s="37" t="n"/>
      <c r="U1525" s="37" t="n"/>
      <c r="V1525" s="37" t="n"/>
      <c r="W1525" s="37" t="n"/>
      <c r="X1525" s="28" t="n"/>
      <c r="Y1525" s="28" t="n"/>
      <c r="Z1525" s="28" t="n"/>
      <c r="AA1525" s="31" t="n"/>
      <c r="AB1525" s="31" t="n"/>
    </row>
    <row r="1526">
      <c r="A1526" s="43" t="inlineStr">
        <is>
          <t>S30</t>
        </is>
      </c>
      <c r="B1526" s="43" t="inlineStr">
        <is>
          <t>창녕 신규점</t>
        </is>
      </c>
      <c r="C1526" s="43" t="inlineStr">
        <is>
          <t>S30-H서</t>
        </is>
      </c>
      <c r="D1526" s="43" t="inlineStr">
        <is>
          <t>P0(전)</t>
        </is>
      </c>
      <c r="E1526" s="43" t="inlineStr">
        <is>
          <t>서</t>
        </is>
      </c>
      <c r="F1526" s="44" t="n"/>
      <c r="G1526" s="29" t="n"/>
      <c r="H1526" s="42" t="n"/>
      <c r="I1526" s="40" t="n"/>
      <c r="J1526" s="40" t="n"/>
      <c r="K1526" s="40" t="n"/>
      <c r="L1526" s="30">
        <f>IF(COUNT(I1526:K1526)=0,"",MEDIAN(I1526:K1526))</f>
        <v/>
      </c>
      <c r="M1526" s="37" t="n"/>
      <c r="N1526" s="37" t="n"/>
      <c r="O1526" s="37" t="n"/>
      <c r="P1526" s="37" t="n"/>
      <c r="Q1526" s="37" t="n"/>
      <c r="R1526" s="37" t="n"/>
      <c r="S1526" s="37" t="n"/>
      <c r="T1526" s="37" t="n"/>
      <c r="U1526" s="37" t="n"/>
      <c r="V1526" s="37" t="n"/>
      <c r="W1526" s="37" t="n"/>
      <c r="X1526" s="28" t="n"/>
      <c r="Y1526" s="28" t="n"/>
      <c r="Z1526" s="28" t="n"/>
      <c r="AA1526" s="31" t="n"/>
      <c r="AB1526" s="31" t="n"/>
    </row>
    <row r="1527">
      <c r="A1527" s="25" t="inlineStr">
        <is>
          <t>S30</t>
        </is>
      </c>
      <c r="B1527" s="25" t="inlineStr">
        <is>
          <t>창녕 신규점</t>
        </is>
      </c>
      <c r="C1527" s="25" t="inlineStr">
        <is>
          <t>S30-H서</t>
        </is>
      </c>
      <c r="D1527" s="25" t="inlineStr">
        <is>
          <t>측정</t>
        </is>
      </c>
      <c r="E1527" s="25" t="inlineStr">
        <is>
          <t>서</t>
        </is>
      </c>
      <c r="F1527" s="30" t="n">
        <v>0.5</v>
      </c>
      <c r="G1527" s="29" t="n"/>
      <c r="H1527" s="42" t="n"/>
      <c r="I1527" s="40" t="n"/>
      <c r="J1527" s="40" t="n"/>
      <c r="K1527" s="40" t="n"/>
      <c r="L1527" s="30">
        <f>IF(COUNT(I1527:K1527)=0,"",MEDIAN(I1527:K1527))</f>
        <v/>
      </c>
      <c r="M1527" s="25">
        <f>IF(COUNTIFS($C:$C,$C1527,$D:$D,"P0(전)",$L:$L,"&gt;0")&lt;&gt;1,"P0(전) 유효 1개 아님",IF(COUNTIFS($C:$C,$C1527,$D:$D,"P0(후)",$L:$L,"&gt;0")&lt;&gt;1,"P0(후) 유효 1개 아님",IF(NOT(AND(ISNUMBER(N1527),ISNUMBER(P1527),ISNUMBER(H1527))),"시각 결측",IF(P1527&lt;=N1527,"P0 시각 역전",IF(OR(H1527&lt;N1527,H1527&gt;P1527),"측정시각 구간 밖","OK")))))</f>
        <v/>
      </c>
      <c r="N1527" s="45">
        <f>IF(COUNTIFS($C:$C,$C1527,$D:$D,"P0(전)",$L:$L,"&gt;0")&lt;&gt;1,"",SUMIFS($H:$H,$C:$C,$C1527,$D:$D,"P0(전)"))</f>
        <v/>
      </c>
      <c r="O1527" s="30">
        <f>IF(COUNTIFS($C:$C,$C1527,$D:$D,"P0(전)",$L:$L,"&gt;0")&lt;&gt;1,"",SUMIFS($L:$L,$C:$C,$C1527,$D:$D,"P0(전)"))</f>
        <v/>
      </c>
      <c r="P1527" s="45">
        <f>IF(COUNTIFS($C:$C,$C1527,$D:$D,"P0(후)",$L:$L,"&gt;0")&lt;&gt;1,"",SUMIFS($H:$H,$C:$C,$C1527,$D:$D,"P0(후)"))</f>
        <v/>
      </c>
      <c r="Q1527" s="30">
        <f>IF(COUNTIFS($C:$C,$C1527,$D:$D,"P0(후)",$L:$L,"&gt;0")&lt;&gt;1,"",SUMIFS($L:$L,$C:$C,$C1527,$D:$D,"P0(후)"))</f>
        <v/>
      </c>
      <c r="R1527" s="30">
        <f>IF(M1527&lt;&gt;"OK","",O1527+(Q1527-O1527)*(H1527-N1527)/(P1527-N1527))</f>
        <v/>
      </c>
      <c r="S1527" s="30">
        <f>IF(OR(M1527&lt;&gt;"OK",NOT(ISNUMBER(L1527))),"",L1527-R1527)</f>
        <v/>
      </c>
      <c r="T1527" s="46">
        <f>IF(OR(NOT(ISNUMBER(S1527)),IF(ISNUMBER(G1527),G1527,F1527)=0),"",S1527/IF(ISNUMBER(G1527),G1527,F1527))</f>
        <v/>
      </c>
      <c r="U1527" s="46">
        <f>IF(ISNUMBER(T1527),ABS(T1527),"")</f>
        <v/>
      </c>
      <c r="V1527" s="46">
        <f>IF(OR($D1526&lt;&gt;"측정",$C1526&lt;&gt;$C1527,NOT(ISNUMBER(L1527)),NOT(ISNUMBER(L1526)),(IF(ISNUMBER(G1527),G1527,F1527)-IF(ISNUMBER(G1526),G1526,F1526))=0),"",(L1527-L1526)/(IF(ISNUMBER(G1527),G1527,F1527)-IF(ISNUMBER(G1526),G1526,F1526)))</f>
        <v/>
      </c>
      <c r="W1527" s="30">
        <f>IF(NOT(AND(ISNUMBER(N1527),ISNUMBER(P1527))),"",(P1527-N1527)*1440)</f>
        <v/>
      </c>
      <c r="X1527" s="28" t="n"/>
      <c r="Y1527" s="28" t="n"/>
      <c r="Z1527" s="28" t="n"/>
      <c r="AA1527" s="31" t="n"/>
      <c r="AB1527" s="31" t="n"/>
    </row>
    <row r="1528">
      <c r="A1528" s="25" t="inlineStr">
        <is>
          <t>S30</t>
        </is>
      </c>
      <c r="B1528" s="25" t="inlineStr">
        <is>
          <t>창녕 신규점</t>
        </is>
      </c>
      <c r="C1528" s="25" t="inlineStr">
        <is>
          <t>S30-H서</t>
        </is>
      </c>
      <c r="D1528" s="25" t="inlineStr">
        <is>
          <t>측정</t>
        </is>
      </c>
      <c r="E1528" s="25" t="inlineStr">
        <is>
          <t>서</t>
        </is>
      </c>
      <c r="F1528" s="30" t="n">
        <v>1</v>
      </c>
      <c r="G1528" s="29" t="n"/>
      <c r="H1528" s="42" t="n"/>
      <c r="I1528" s="40" t="n"/>
      <c r="J1528" s="40" t="n"/>
      <c r="K1528" s="40" t="n"/>
      <c r="L1528" s="30">
        <f>IF(COUNT(I1528:K1528)=0,"",MEDIAN(I1528:K1528))</f>
        <v/>
      </c>
      <c r="M1528" s="25">
        <f>IF(COUNTIFS($C:$C,$C1528,$D:$D,"P0(전)",$L:$L,"&gt;0")&lt;&gt;1,"P0(전) 유효 1개 아님",IF(COUNTIFS($C:$C,$C1528,$D:$D,"P0(후)",$L:$L,"&gt;0")&lt;&gt;1,"P0(후) 유효 1개 아님",IF(NOT(AND(ISNUMBER(N1528),ISNUMBER(P1528),ISNUMBER(H1528))),"시각 결측",IF(P1528&lt;=N1528,"P0 시각 역전",IF(OR(H1528&lt;N1528,H1528&gt;P1528),"측정시각 구간 밖","OK")))))</f>
        <v/>
      </c>
      <c r="N1528" s="45">
        <f>IF(COUNTIFS($C:$C,$C1528,$D:$D,"P0(전)",$L:$L,"&gt;0")&lt;&gt;1,"",SUMIFS($H:$H,$C:$C,$C1528,$D:$D,"P0(전)"))</f>
        <v/>
      </c>
      <c r="O1528" s="30">
        <f>IF(COUNTIFS($C:$C,$C1528,$D:$D,"P0(전)",$L:$L,"&gt;0")&lt;&gt;1,"",SUMIFS($L:$L,$C:$C,$C1528,$D:$D,"P0(전)"))</f>
        <v/>
      </c>
      <c r="P1528" s="45">
        <f>IF(COUNTIFS($C:$C,$C1528,$D:$D,"P0(후)",$L:$L,"&gt;0")&lt;&gt;1,"",SUMIFS($H:$H,$C:$C,$C1528,$D:$D,"P0(후)"))</f>
        <v/>
      </c>
      <c r="Q1528" s="30">
        <f>IF(COUNTIFS($C:$C,$C1528,$D:$D,"P0(후)",$L:$L,"&gt;0")&lt;&gt;1,"",SUMIFS($L:$L,$C:$C,$C1528,$D:$D,"P0(후)"))</f>
        <v/>
      </c>
      <c r="R1528" s="30">
        <f>IF(M1528&lt;&gt;"OK","",O1528+(Q1528-O1528)*(H1528-N1528)/(P1528-N1528))</f>
        <v/>
      </c>
      <c r="S1528" s="30">
        <f>IF(OR(M1528&lt;&gt;"OK",NOT(ISNUMBER(L1528))),"",L1528-R1528)</f>
        <v/>
      </c>
      <c r="T1528" s="46">
        <f>IF(OR(NOT(ISNUMBER(S1528)),IF(ISNUMBER(G1528),G1528,F1528)=0),"",S1528/IF(ISNUMBER(G1528),G1528,F1528))</f>
        <v/>
      </c>
      <c r="U1528" s="46">
        <f>IF(ISNUMBER(T1528),ABS(T1528),"")</f>
        <v/>
      </c>
      <c r="V1528" s="46">
        <f>IF(OR($D1527&lt;&gt;"측정",$C1527&lt;&gt;$C1528,NOT(ISNUMBER(L1528)),NOT(ISNUMBER(L1527)),(IF(ISNUMBER(G1528),G1528,F1528)-IF(ISNUMBER(G1527),G1527,F1527))=0),"",(L1528-L1527)/(IF(ISNUMBER(G1528),G1528,F1528)-IF(ISNUMBER(G1527),G1527,F1527)))</f>
        <v/>
      </c>
      <c r="W1528" s="30">
        <f>IF(NOT(AND(ISNUMBER(N1528),ISNUMBER(P1528))),"",(P1528-N1528)*1440)</f>
        <v/>
      </c>
      <c r="X1528" s="28" t="n"/>
      <c r="Y1528" s="28" t="n"/>
      <c r="Z1528" s="28" t="n"/>
      <c r="AA1528" s="31" t="n"/>
      <c r="AB1528" s="31" t="n"/>
    </row>
    <row r="1529">
      <c r="A1529" s="25" t="inlineStr">
        <is>
          <t>S30</t>
        </is>
      </c>
      <c r="B1529" s="25" t="inlineStr">
        <is>
          <t>창녕 신규점</t>
        </is>
      </c>
      <c r="C1529" s="25" t="inlineStr">
        <is>
          <t>S30-H서</t>
        </is>
      </c>
      <c r="D1529" s="25" t="inlineStr">
        <is>
          <t>측정</t>
        </is>
      </c>
      <c r="E1529" s="25" t="inlineStr">
        <is>
          <t>서</t>
        </is>
      </c>
      <c r="F1529" s="30" t="n">
        <v>2</v>
      </c>
      <c r="G1529" s="29" t="n"/>
      <c r="H1529" s="42" t="n"/>
      <c r="I1529" s="40" t="n"/>
      <c r="J1529" s="40" t="n"/>
      <c r="K1529" s="40" t="n"/>
      <c r="L1529" s="30">
        <f>IF(COUNT(I1529:K1529)=0,"",MEDIAN(I1529:K1529))</f>
        <v/>
      </c>
      <c r="M1529" s="25">
        <f>IF(COUNTIFS($C:$C,$C1529,$D:$D,"P0(전)",$L:$L,"&gt;0")&lt;&gt;1,"P0(전) 유효 1개 아님",IF(COUNTIFS($C:$C,$C1529,$D:$D,"P0(후)",$L:$L,"&gt;0")&lt;&gt;1,"P0(후) 유효 1개 아님",IF(NOT(AND(ISNUMBER(N1529),ISNUMBER(P1529),ISNUMBER(H1529))),"시각 결측",IF(P1529&lt;=N1529,"P0 시각 역전",IF(OR(H1529&lt;N1529,H1529&gt;P1529),"측정시각 구간 밖","OK")))))</f>
        <v/>
      </c>
      <c r="N1529" s="45">
        <f>IF(COUNTIFS($C:$C,$C1529,$D:$D,"P0(전)",$L:$L,"&gt;0")&lt;&gt;1,"",SUMIFS($H:$H,$C:$C,$C1529,$D:$D,"P0(전)"))</f>
        <v/>
      </c>
      <c r="O1529" s="30">
        <f>IF(COUNTIFS($C:$C,$C1529,$D:$D,"P0(전)",$L:$L,"&gt;0")&lt;&gt;1,"",SUMIFS($L:$L,$C:$C,$C1529,$D:$D,"P0(전)"))</f>
        <v/>
      </c>
      <c r="P1529" s="45">
        <f>IF(COUNTIFS($C:$C,$C1529,$D:$D,"P0(후)",$L:$L,"&gt;0")&lt;&gt;1,"",SUMIFS($H:$H,$C:$C,$C1529,$D:$D,"P0(후)"))</f>
        <v/>
      </c>
      <c r="Q1529" s="30">
        <f>IF(COUNTIFS($C:$C,$C1529,$D:$D,"P0(후)",$L:$L,"&gt;0")&lt;&gt;1,"",SUMIFS($L:$L,$C:$C,$C1529,$D:$D,"P0(후)"))</f>
        <v/>
      </c>
      <c r="R1529" s="30">
        <f>IF(M1529&lt;&gt;"OK","",O1529+(Q1529-O1529)*(H1529-N1529)/(P1529-N1529))</f>
        <v/>
      </c>
      <c r="S1529" s="30">
        <f>IF(OR(M1529&lt;&gt;"OK",NOT(ISNUMBER(L1529))),"",L1529-R1529)</f>
        <v/>
      </c>
      <c r="T1529" s="46">
        <f>IF(OR(NOT(ISNUMBER(S1529)),IF(ISNUMBER(G1529),G1529,F1529)=0),"",S1529/IF(ISNUMBER(G1529),G1529,F1529))</f>
        <v/>
      </c>
      <c r="U1529" s="46">
        <f>IF(ISNUMBER(T1529),ABS(T1529),"")</f>
        <v/>
      </c>
      <c r="V1529" s="46">
        <f>IF(OR($D1528&lt;&gt;"측정",$C1528&lt;&gt;$C1529,NOT(ISNUMBER(L1529)),NOT(ISNUMBER(L1528)),(IF(ISNUMBER(G1529),G1529,F1529)-IF(ISNUMBER(G1528),G1528,F1528))=0),"",(L1529-L1528)/(IF(ISNUMBER(G1529),G1529,F1529)-IF(ISNUMBER(G1528),G1528,F1528)))</f>
        <v/>
      </c>
      <c r="W1529" s="30">
        <f>IF(NOT(AND(ISNUMBER(N1529),ISNUMBER(P1529))),"",(P1529-N1529)*1440)</f>
        <v/>
      </c>
      <c r="X1529" s="28" t="n"/>
      <c r="Y1529" s="28" t="n"/>
      <c r="Z1529" s="28" t="n"/>
      <c r="AA1529" s="31" t="n"/>
      <c r="AB1529" s="31" t="n"/>
    </row>
    <row r="1530">
      <c r="A1530" s="25" t="inlineStr">
        <is>
          <t>S30</t>
        </is>
      </c>
      <c r="B1530" s="25" t="inlineStr">
        <is>
          <t>창녕 신규점</t>
        </is>
      </c>
      <c r="C1530" s="25" t="inlineStr">
        <is>
          <t>S30-H서</t>
        </is>
      </c>
      <c r="D1530" s="25" t="inlineStr">
        <is>
          <t>측정</t>
        </is>
      </c>
      <c r="E1530" s="25" t="inlineStr">
        <is>
          <t>서</t>
        </is>
      </c>
      <c r="F1530" s="30" t="n">
        <v>3</v>
      </c>
      <c r="G1530" s="29" t="n"/>
      <c r="H1530" s="42" t="n"/>
      <c r="I1530" s="40" t="n"/>
      <c r="J1530" s="40" t="n"/>
      <c r="K1530" s="40" t="n"/>
      <c r="L1530" s="30">
        <f>IF(COUNT(I1530:K1530)=0,"",MEDIAN(I1530:K1530))</f>
        <v/>
      </c>
      <c r="M1530" s="25">
        <f>IF(COUNTIFS($C:$C,$C1530,$D:$D,"P0(전)",$L:$L,"&gt;0")&lt;&gt;1,"P0(전) 유효 1개 아님",IF(COUNTIFS($C:$C,$C1530,$D:$D,"P0(후)",$L:$L,"&gt;0")&lt;&gt;1,"P0(후) 유효 1개 아님",IF(NOT(AND(ISNUMBER(N1530),ISNUMBER(P1530),ISNUMBER(H1530))),"시각 결측",IF(P1530&lt;=N1530,"P0 시각 역전",IF(OR(H1530&lt;N1530,H1530&gt;P1530),"측정시각 구간 밖","OK")))))</f>
        <v/>
      </c>
      <c r="N1530" s="45">
        <f>IF(COUNTIFS($C:$C,$C1530,$D:$D,"P0(전)",$L:$L,"&gt;0")&lt;&gt;1,"",SUMIFS($H:$H,$C:$C,$C1530,$D:$D,"P0(전)"))</f>
        <v/>
      </c>
      <c r="O1530" s="30">
        <f>IF(COUNTIFS($C:$C,$C1530,$D:$D,"P0(전)",$L:$L,"&gt;0")&lt;&gt;1,"",SUMIFS($L:$L,$C:$C,$C1530,$D:$D,"P0(전)"))</f>
        <v/>
      </c>
      <c r="P1530" s="45">
        <f>IF(COUNTIFS($C:$C,$C1530,$D:$D,"P0(후)",$L:$L,"&gt;0")&lt;&gt;1,"",SUMIFS($H:$H,$C:$C,$C1530,$D:$D,"P0(후)"))</f>
        <v/>
      </c>
      <c r="Q1530" s="30">
        <f>IF(COUNTIFS($C:$C,$C1530,$D:$D,"P0(후)",$L:$L,"&gt;0")&lt;&gt;1,"",SUMIFS($L:$L,$C:$C,$C1530,$D:$D,"P0(후)"))</f>
        <v/>
      </c>
      <c r="R1530" s="30">
        <f>IF(M1530&lt;&gt;"OK","",O1530+(Q1530-O1530)*(H1530-N1530)/(P1530-N1530))</f>
        <v/>
      </c>
      <c r="S1530" s="30">
        <f>IF(OR(M1530&lt;&gt;"OK",NOT(ISNUMBER(L1530))),"",L1530-R1530)</f>
        <v/>
      </c>
      <c r="T1530" s="46">
        <f>IF(OR(NOT(ISNUMBER(S1530)),IF(ISNUMBER(G1530),G1530,F1530)=0),"",S1530/IF(ISNUMBER(G1530),G1530,F1530))</f>
        <v/>
      </c>
      <c r="U1530" s="46">
        <f>IF(ISNUMBER(T1530),ABS(T1530),"")</f>
        <v/>
      </c>
      <c r="V1530" s="46">
        <f>IF(OR($D1529&lt;&gt;"측정",$C1529&lt;&gt;$C1530,NOT(ISNUMBER(L1530)),NOT(ISNUMBER(L1529)),(IF(ISNUMBER(G1530),G1530,F1530)-IF(ISNUMBER(G1529),G1529,F1529))=0),"",(L1530-L1529)/(IF(ISNUMBER(G1530),G1530,F1530)-IF(ISNUMBER(G1529),G1529,F1529)))</f>
        <v/>
      </c>
      <c r="W1530" s="30">
        <f>IF(NOT(AND(ISNUMBER(N1530),ISNUMBER(P1530))),"",(P1530-N1530)*1440)</f>
        <v/>
      </c>
      <c r="X1530" s="28" t="n"/>
      <c r="Y1530" s="28" t="n"/>
      <c r="Z1530" s="28" t="n"/>
      <c r="AA1530" s="31" t="n"/>
      <c r="AB1530" s="31" t="n"/>
    </row>
    <row r="1531">
      <c r="A1531" s="25" t="inlineStr">
        <is>
          <t>S30</t>
        </is>
      </c>
      <c r="B1531" s="25" t="inlineStr">
        <is>
          <t>창녕 신규점</t>
        </is>
      </c>
      <c r="C1531" s="25" t="inlineStr">
        <is>
          <t>S30-H서</t>
        </is>
      </c>
      <c r="D1531" s="25" t="inlineStr">
        <is>
          <t>측정</t>
        </is>
      </c>
      <c r="E1531" s="25" t="inlineStr">
        <is>
          <t>서</t>
        </is>
      </c>
      <c r="F1531" s="30" t="n">
        <v>4</v>
      </c>
      <c r="G1531" s="29" t="n"/>
      <c r="H1531" s="42" t="n"/>
      <c r="I1531" s="40" t="n"/>
      <c r="J1531" s="40" t="n"/>
      <c r="K1531" s="40" t="n"/>
      <c r="L1531" s="30">
        <f>IF(COUNT(I1531:K1531)=0,"",MEDIAN(I1531:K1531))</f>
        <v/>
      </c>
      <c r="M1531" s="25">
        <f>IF(COUNTIFS($C:$C,$C1531,$D:$D,"P0(전)",$L:$L,"&gt;0")&lt;&gt;1,"P0(전) 유효 1개 아님",IF(COUNTIFS($C:$C,$C1531,$D:$D,"P0(후)",$L:$L,"&gt;0")&lt;&gt;1,"P0(후) 유효 1개 아님",IF(NOT(AND(ISNUMBER(N1531),ISNUMBER(P1531),ISNUMBER(H1531))),"시각 결측",IF(P1531&lt;=N1531,"P0 시각 역전",IF(OR(H1531&lt;N1531,H1531&gt;P1531),"측정시각 구간 밖","OK")))))</f>
        <v/>
      </c>
      <c r="N1531" s="45">
        <f>IF(COUNTIFS($C:$C,$C1531,$D:$D,"P0(전)",$L:$L,"&gt;0")&lt;&gt;1,"",SUMIFS($H:$H,$C:$C,$C1531,$D:$D,"P0(전)"))</f>
        <v/>
      </c>
      <c r="O1531" s="30">
        <f>IF(COUNTIFS($C:$C,$C1531,$D:$D,"P0(전)",$L:$L,"&gt;0")&lt;&gt;1,"",SUMIFS($L:$L,$C:$C,$C1531,$D:$D,"P0(전)"))</f>
        <v/>
      </c>
      <c r="P1531" s="45">
        <f>IF(COUNTIFS($C:$C,$C1531,$D:$D,"P0(후)",$L:$L,"&gt;0")&lt;&gt;1,"",SUMIFS($H:$H,$C:$C,$C1531,$D:$D,"P0(후)"))</f>
        <v/>
      </c>
      <c r="Q1531" s="30">
        <f>IF(COUNTIFS($C:$C,$C1531,$D:$D,"P0(후)",$L:$L,"&gt;0")&lt;&gt;1,"",SUMIFS($L:$L,$C:$C,$C1531,$D:$D,"P0(후)"))</f>
        <v/>
      </c>
      <c r="R1531" s="30">
        <f>IF(M1531&lt;&gt;"OK","",O1531+(Q1531-O1531)*(H1531-N1531)/(P1531-N1531))</f>
        <v/>
      </c>
      <c r="S1531" s="30">
        <f>IF(OR(M1531&lt;&gt;"OK",NOT(ISNUMBER(L1531))),"",L1531-R1531)</f>
        <v/>
      </c>
      <c r="T1531" s="46">
        <f>IF(OR(NOT(ISNUMBER(S1531)),IF(ISNUMBER(G1531),G1531,F1531)=0),"",S1531/IF(ISNUMBER(G1531),G1531,F1531))</f>
        <v/>
      </c>
      <c r="U1531" s="46">
        <f>IF(ISNUMBER(T1531),ABS(T1531),"")</f>
        <v/>
      </c>
      <c r="V1531" s="46">
        <f>IF(OR($D1530&lt;&gt;"측정",$C1530&lt;&gt;$C1531,NOT(ISNUMBER(L1531)),NOT(ISNUMBER(L1530)),(IF(ISNUMBER(G1531),G1531,F1531)-IF(ISNUMBER(G1530),G1530,F1530))=0),"",(L1531-L1530)/(IF(ISNUMBER(G1531),G1531,F1531)-IF(ISNUMBER(G1530),G1530,F1530)))</f>
        <v/>
      </c>
      <c r="W1531" s="30">
        <f>IF(NOT(AND(ISNUMBER(N1531),ISNUMBER(P1531))),"",(P1531-N1531)*1440)</f>
        <v/>
      </c>
      <c r="X1531" s="28" t="n"/>
      <c r="Y1531" s="28" t="n"/>
      <c r="Z1531" s="28" t="n"/>
      <c r="AA1531" s="31" t="n"/>
      <c r="AB1531" s="31" t="n"/>
    </row>
    <row r="1532">
      <c r="A1532" s="25" t="inlineStr">
        <is>
          <t>S30</t>
        </is>
      </c>
      <c r="B1532" s="25" t="inlineStr">
        <is>
          <t>창녕 신규점</t>
        </is>
      </c>
      <c r="C1532" s="25" t="inlineStr">
        <is>
          <t>S30-H서</t>
        </is>
      </c>
      <c r="D1532" s="25" t="inlineStr">
        <is>
          <t>측정</t>
        </is>
      </c>
      <c r="E1532" s="25" t="inlineStr">
        <is>
          <t>서</t>
        </is>
      </c>
      <c r="F1532" s="30" t="n">
        <v>5</v>
      </c>
      <c r="G1532" s="29" t="n"/>
      <c r="H1532" s="42" t="n"/>
      <c r="I1532" s="40" t="n"/>
      <c r="J1532" s="40" t="n"/>
      <c r="K1532" s="40" t="n"/>
      <c r="L1532" s="30">
        <f>IF(COUNT(I1532:K1532)=0,"",MEDIAN(I1532:K1532))</f>
        <v/>
      </c>
      <c r="M1532" s="25">
        <f>IF(COUNTIFS($C:$C,$C1532,$D:$D,"P0(전)",$L:$L,"&gt;0")&lt;&gt;1,"P0(전) 유효 1개 아님",IF(COUNTIFS($C:$C,$C1532,$D:$D,"P0(후)",$L:$L,"&gt;0")&lt;&gt;1,"P0(후) 유효 1개 아님",IF(NOT(AND(ISNUMBER(N1532),ISNUMBER(P1532),ISNUMBER(H1532))),"시각 결측",IF(P1532&lt;=N1532,"P0 시각 역전",IF(OR(H1532&lt;N1532,H1532&gt;P1532),"측정시각 구간 밖","OK")))))</f>
        <v/>
      </c>
      <c r="N1532" s="45">
        <f>IF(COUNTIFS($C:$C,$C1532,$D:$D,"P0(전)",$L:$L,"&gt;0")&lt;&gt;1,"",SUMIFS($H:$H,$C:$C,$C1532,$D:$D,"P0(전)"))</f>
        <v/>
      </c>
      <c r="O1532" s="30">
        <f>IF(COUNTIFS($C:$C,$C1532,$D:$D,"P0(전)",$L:$L,"&gt;0")&lt;&gt;1,"",SUMIFS($L:$L,$C:$C,$C1532,$D:$D,"P0(전)"))</f>
        <v/>
      </c>
      <c r="P1532" s="45">
        <f>IF(COUNTIFS($C:$C,$C1532,$D:$D,"P0(후)",$L:$L,"&gt;0")&lt;&gt;1,"",SUMIFS($H:$H,$C:$C,$C1532,$D:$D,"P0(후)"))</f>
        <v/>
      </c>
      <c r="Q1532" s="30">
        <f>IF(COUNTIFS($C:$C,$C1532,$D:$D,"P0(후)",$L:$L,"&gt;0")&lt;&gt;1,"",SUMIFS($L:$L,$C:$C,$C1532,$D:$D,"P0(후)"))</f>
        <v/>
      </c>
      <c r="R1532" s="30">
        <f>IF(M1532&lt;&gt;"OK","",O1532+(Q1532-O1532)*(H1532-N1532)/(P1532-N1532))</f>
        <v/>
      </c>
      <c r="S1532" s="30">
        <f>IF(OR(M1532&lt;&gt;"OK",NOT(ISNUMBER(L1532))),"",L1532-R1532)</f>
        <v/>
      </c>
      <c r="T1532" s="46">
        <f>IF(OR(NOT(ISNUMBER(S1532)),IF(ISNUMBER(G1532),G1532,F1532)=0),"",S1532/IF(ISNUMBER(G1532),G1532,F1532))</f>
        <v/>
      </c>
      <c r="U1532" s="46">
        <f>IF(ISNUMBER(T1532),ABS(T1532),"")</f>
        <v/>
      </c>
      <c r="V1532" s="46">
        <f>IF(OR($D1531&lt;&gt;"측정",$C1531&lt;&gt;$C1532,NOT(ISNUMBER(L1532)),NOT(ISNUMBER(L1531)),(IF(ISNUMBER(G1532),G1532,F1532)-IF(ISNUMBER(G1531),G1531,F1531))=0),"",(L1532-L1531)/(IF(ISNUMBER(G1532),G1532,F1532)-IF(ISNUMBER(G1531),G1531,F1531)))</f>
        <v/>
      </c>
      <c r="W1532" s="30">
        <f>IF(NOT(AND(ISNUMBER(N1532),ISNUMBER(P1532))),"",(P1532-N1532)*1440)</f>
        <v/>
      </c>
      <c r="X1532" s="28" t="n"/>
      <c r="Y1532" s="28" t="n"/>
      <c r="Z1532" s="28" t="n"/>
      <c r="AA1532" s="31" t="n"/>
      <c r="AB1532" s="31" t="n"/>
    </row>
    <row r="1533">
      <c r="A1533" s="25" t="inlineStr">
        <is>
          <t>S30</t>
        </is>
      </c>
      <c r="B1533" s="25" t="inlineStr">
        <is>
          <t>창녕 신규점</t>
        </is>
      </c>
      <c r="C1533" s="25" t="inlineStr">
        <is>
          <t>S30-H서</t>
        </is>
      </c>
      <c r="D1533" s="25" t="inlineStr">
        <is>
          <t>측정</t>
        </is>
      </c>
      <c r="E1533" s="25" t="inlineStr">
        <is>
          <t>서</t>
        </is>
      </c>
      <c r="F1533" s="30" t="n">
        <v>6</v>
      </c>
      <c r="G1533" s="29" t="n"/>
      <c r="H1533" s="42" t="n"/>
      <c r="I1533" s="40" t="n"/>
      <c r="J1533" s="40" t="n"/>
      <c r="K1533" s="40" t="n"/>
      <c r="L1533" s="30">
        <f>IF(COUNT(I1533:K1533)=0,"",MEDIAN(I1533:K1533))</f>
        <v/>
      </c>
      <c r="M1533" s="25">
        <f>IF(COUNTIFS($C:$C,$C1533,$D:$D,"P0(전)",$L:$L,"&gt;0")&lt;&gt;1,"P0(전) 유효 1개 아님",IF(COUNTIFS($C:$C,$C1533,$D:$D,"P0(후)",$L:$L,"&gt;0")&lt;&gt;1,"P0(후) 유효 1개 아님",IF(NOT(AND(ISNUMBER(N1533),ISNUMBER(P1533),ISNUMBER(H1533))),"시각 결측",IF(P1533&lt;=N1533,"P0 시각 역전",IF(OR(H1533&lt;N1533,H1533&gt;P1533),"측정시각 구간 밖","OK")))))</f>
        <v/>
      </c>
      <c r="N1533" s="45">
        <f>IF(COUNTIFS($C:$C,$C1533,$D:$D,"P0(전)",$L:$L,"&gt;0")&lt;&gt;1,"",SUMIFS($H:$H,$C:$C,$C1533,$D:$D,"P0(전)"))</f>
        <v/>
      </c>
      <c r="O1533" s="30">
        <f>IF(COUNTIFS($C:$C,$C1533,$D:$D,"P0(전)",$L:$L,"&gt;0")&lt;&gt;1,"",SUMIFS($L:$L,$C:$C,$C1533,$D:$D,"P0(전)"))</f>
        <v/>
      </c>
      <c r="P1533" s="45">
        <f>IF(COUNTIFS($C:$C,$C1533,$D:$D,"P0(후)",$L:$L,"&gt;0")&lt;&gt;1,"",SUMIFS($H:$H,$C:$C,$C1533,$D:$D,"P0(후)"))</f>
        <v/>
      </c>
      <c r="Q1533" s="30">
        <f>IF(COUNTIFS($C:$C,$C1533,$D:$D,"P0(후)",$L:$L,"&gt;0")&lt;&gt;1,"",SUMIFS($L:$L,$C:$C,$C1533,$D:$D,"P0(후)"))</f>
        <v/>
      </c>
      <c r="R1533" s="30">
        <f>IF(M1533&lt;&gt;"OK","",O1533+(Q1533-O1533)*(H1533-N1533)/(P1533-N1533))</f>
        <v/>
      </c>
      <c r="S1533" s="30">
        <f>IF(OR(M1533&lt;&gt;"OK",NOT(ISNUMBER(L1533))),"",L1533-R1533)</f>
        <v/>
      </c>
      <c r="T1533" s="46">
        <f>IF(OR(NOT(ISNUMBER(S1533)),IF(ISNUMBER(G1533),G1533,F1533)=0),"",S1533/IF(ISNUMBER(G1533),G1533,F1533))</f>
        <v/>
      </c>
      <c r="U1533" s="46">
        <f>IF(ISNUMBER(T1533),ABS(T1533),"")</f>
        <v/>
      </c>
      <c r="V1533" s="46">
        <f>IF(OR($D1532&lt;&gt;"측정",$C1532&lt;&gt;$C1533,NOT(ISNUMBER(L1533)),NOT(ISNUMBER(L1532)),(IF(ISNUMBER(G1533),G1533,F1533)-IF(ISNUMBER(G1532),G1532,F1532))=0),"",(L1533-L1532)/(IF(ISNUMBER(G1533),G1533,F1533)-IF(ISNUMBER(G1532),G1532,F1532)))</f>
        <v/>
      </c>
      <c r="W1533" s="30">
        <f>IF(NOT(AND(ISNUMBER(N1533),ISNUMBER(P1533))),"",(P1533-N1533)*1440)</f>
        <v/>
      </c>
      <c r="X1533" s="28" t="n"/>
      <c r="Y1533" s="28" t="n"/>
      <c r="Z1533" s="28" t="n"/>
      <c r="AA1533" s="31" t="n"/>
      <c r="AB1533" s="31" t="n"/>
    </row>
    <row r="1534">
      <c r="A1534" s="25" t="inlineStr">
        <is>
          <t>S30</t>
        </is>
      </c>
      <c r="B1534" s="25" t="inlineStr">
        <is>
          <t>창녕 신규점</t>
        </is>
      </c>
      <c r="C1534" s="25" t="inlineStr">
        <is>
          <t>S30-H서</t>
        </is>
      </c>
      <c r="D1534" s="25" t="inlineStr">
        <is>
          <t>측정</t>
        </is>
      </c>
      <c r="E1534" s="25" t="inlineStr">
        <is>
          <t>서</t>
        </is>
      </c>
      <c r="F1534" s="30" t="n">
        <v>7</v>
      </c>
      <c r="G1534" s="29" t="n"/>
      <c r="H1534" s="42" t="n"/>
      <c r="I1534" s="40" t="n"/>
      <c r="J1534" s="40" t="n"/>
      <c r="K1534" s="40" t="n"/>
      <c r="L1534" s="30">
        <f>IF(COUNT(I1534:K1534)=0,"",MEDIAN(I1534:K1534))</f>
        <v/>
      </c>
      <c r="M1534" s="25">
        <f>IF(COUNTIFS($C:$C,$C1534,$D:$D,"P0(전)",$L:$L,"&gt;0")&lt;&gt;1,"P0(전) 유효 1개 아님",IF(COUNTIFS($C:$C,$C1534,$D:$D,"P0(후)",$L:$L,"&gt;0")&lt;&gt;1,"P0(후) 유효 1개 아님",IF(NOT(AND(ISNUMBER(N1534),ISNUMBER(P1534),ISNUMBER(H1534))),"시각 결측",IF(P1534&lt;=N1534,"P0 시각 역전",IF(OR(H1534&lt;N1534,H1534&gt;P1534),"측정시각 구간 밖","OK")))))</f>
        <v/>
      </c>
      <c r="N1534" s="45">
        <f>IF(COUNTIFS($C:$C,$C1534,$D:$D,"P0(전)",$L:$L,"&gt;0")&lt;&gt;1,"",SUMIFS($H:$H,$C:$C,$C1534,$D:$D,"P0(전)"))</f>
        <v/>
      </c>
      <c r="O1534" s="30">
        <f>IF(COUNTIFS($C:$C,$C1534,$D:$D,"P0(전)",$L:$L,"&gt;0")&lt;&gt;1,"",SUMIFS($L:$L,$C:$C,$C1534,$D:$D,"P0(전)"))</f>
        <v/>
      </c>
      <c r="P1534" s="45">
        <f>IF(COUNTIFS($C:$C,$C1534,$D:$D,"P0(후)",$L:$L,"&gt;0")&lt;&gt;1,"",SUMIFS($H:$H,$C:$C,$C1534,$D:$D,"P0(후)"))</f>
        <v/>
      </c>
      <c r="Q1534" s="30">
        <f>IF(COUNTIFS($C:$C,$C1534,$D:$D,"P0(후)",$L:$L,"&gt;0")&lt;&gt;1,"",SUMIFS($L:$L,$C:$C,$C1534,$D:$D,"P0(후)"))</f>
        <v/>
      </c>
      <c r="R1534" s="30">
        <f>IF(M1534&lt;&gt;"OK","",O1534+(Q1534-O1534)*(H1534-N1534)/(P1534-N1534))</f>
        <v/>
      </c>
      <c r="S1534" s="30">
        <f>IF(OR(M1534&lt;&gt;"OK",NOT(ISNUMBER(L1534))),"",L1534-R1534)</f>
        <v/>
      </c>
      <c r="T1534" s="46">
        <f>IF(OR(NOT(ISNUMBER(S1534)),IF(ISNUMBER(G1534),G1534,F1534)=0),"",S1534/IF(ISNUMBER(G1534),G1534,F1534))</f>
        <v/>
      </c>
      <c r="U1534" s="46">
        <f>IF(ISNUMBER(T1534),ABS(T1534),"")</f>
        <v/>
      </c>
      <c r="V1534" s="46">
        <f>IF(OR($D1533&lt;&gt;"측정",$C1533&lt;&gt;$C1534,NOT(ISNUMBER(L1534)),NOT(ISNUMBER(L1533)),(IF(ISNUMBER(G1534),G1534,F1534)-IF(ISNUMBER(G1533),G1533,F1533))=0),"",(L1534-L1533)/(IF(ISNUMBER(G1534),G1534,F1534)-IF(ISNUMBER(G1533),G1533,F1533)))</f>
        <v/>
      </c>
      <c r="W1534" s="30">
        <f>IF(NOT(AND(ISNUMBER(N1534),ISNUMBER(P1534))),"",(P1534-N1534)*1440)</f>
        <v/>
      </c>
      <c r="X1534" s="28" t="n"/>
      <c r="Y1534" s="28" t="n"/>
      <c r="Z1534" s="28" t="n"/>
      <c r="AA1534" s="31" t="n"/>
      <c r="AB1534" s="31" t="n"/>
    </row>
    <row r="1535">
      <c r="A1535" s="25" t="inlineStr">
        <is>
          <t>S30</t>
        </is>
      </c>
      <c r="B1535" s="25" t="inlineStr">
        <is>
          <t>창녕 신규점</t>
        </is>
      </c>
      <c r="C1535" s="25" t="inlineStr">
        <is>
          <t>S30-H서</t>
        </is>
      </c>
      <c r="D1535" s="25" t="inlineStr">
        <is>
          <t>측정</t>
        </is>
      </c>
      <c r="E1535" s="25" t="inlineStr">
        <is>
          <t>서</t>
        </is>
      </c>
      <c r="F1535" s="30" t="n">
        <v>8</v>
      </c>
      <c r="G1535" s="29" t="n"/>
      <c r="H1535" s="42" t="n"/>
      <c r="I1535" s="40" t="n"/>
      <c r="J1535" s="40" t="n"/>
      <c r="K1535" s="40" t="n"/>
      <c r="L1535" s="30">
        <f>IF(COUNT(I1535:K1535)=0,"",MEDIAN(I1535:K1535))</f>
        <v/>
      </c>
      <c r="M1535" s="25">
        <f>IF(COUNTIFS($C:$C,$C1535,$D:$D,"P0(전)",$L:$L,"&gt;0")&lt;&gt;1,"P0(전) 유효 1개 아님",IF(COUNTIFS($C:$C,$C1535,$D:$D,"P0(후)",$L:$L,"&gt;0")&lt;&gt;1,"P0(후) 유효 1개 아님",IF(NOT(AND(ISNUMBER(N1535),ISNUMBER(P1535),ISNUMBER(H1535))),"시각 결측",IF(P1535&lt;=N1535,"P0 시각 역전",IF(OR(H1535&lt;N1535,H1535&gt;P1535),"측정시각 구간 밖","OK")))))</f>
        <v/>
      </c>
      <c r="N1535" s="45">
        <f>IF(COUNTIFS($C:$C,$C1535,$D:$D,"P0(전)",$L:$L,"&gt;0")&lt;&gt;1,"",SUMIFS($H:$H,$C:$C,$C1535,$D:$D,"P0(전)"))</f>
        <v/>
      </c>
      <c r="O1535" s="30">
        <f>IF(COUNTIFS($C:$C,$C1535,$D:$D,"P0(전)",$L:$L,"&gt;0")&lt;&gt;1,"",SUMIFS($L:$L,$C:$C,$C1535,$D:$D,"P0(전)"))</f>
        <v/>
      </c>
      <c r="P1535" s="45">
        <f>IF(COUNTIFS($C:$C,$C1535,$D:$D,"P0(후)",$L:$L,"&gt;0")&lt;&gt;1,"",SUMIFS($H:$H,$C:$C,$C1535,$D:$D,"P0(후)"))</f>
        <v/>
      </c>
      <c r="Q1535" s="30">
        <f>IF(COUNTIFS($C:$C,$C1535,$D:$D,"P0(후)",$L:$L,"&gt;0")&lt;&gt;1,"",SUMIFS($L:$L,$C:$C,$C1535,$D:$D,"P0(후)"))</f>
        <v/>
      </c>
      <c r="R1535" s="30">
        <f>IF(M1535&lt;&gt;"OK","",O1535+(Q1535-O1535)*(H1535-N1535)/(P1535-N1535))</f>
        <v/>
      </c>
      <c r="S1535" s="30">
        <f>IF(OR(M1535&lt;&gt;"OK",NOT(ISNUMBER(L1535))),"",L1535-R1535)</f>
        <v/>
      </c>
      <c r="T1535" s="46">
        <f>IF(OR(NOT(ISNUMBER(S1535)),IF(ISNUMBER(G1535),G1535,F1535)=0),"",S1535/IF(ISNUMBER(G1535),G1535,F1535))</f>
        <v/>
      </c>
      <c r="U1535" s="46">
        <f>IF(ISNUMBER(T1535),ABS(T1535),"")</f>
        <v/>
      </c>
      <c r="V1535" s="46">
        <f>IF(OR($D1534&lt;&gt;"측정",$C1534&lt;&gt;$C1535,NOT(ISNUMBER(L1535)),NOT(ISNUMBER(L1534)),(IF(ISNUMBER(G1535),G1535,F1535)-IF(ISNUMBER(G1534),G1534,F1534))=0),"",(L1535-L1534)/(IF(ISNUMBER(G1535),G1535,F1535)-IF(ISNUMBER(G1534),G1534,F1534)))</f>
        <v/>
      </c>
      <c r="W1535" s="30">
        <f>IF(NOT(AND(ISNUMBER(N1535),ISNUMBER(P1535))),"",(P1535-N1535)*1440)</f>
        <v/>
      </c>
      <c r="X1535" s="28" t="n"/>
      <c r="Y1535" s="28" t="n"/>
      <c r="Z1535" s="28" t="n"/>
      <c r="AA1535" s="31" t="n"/>
      <c r="AB1535" s="31" t="n"/>
    </row>
    <row r="1536">
      <c r="A1536" s="25" t="inlineStr">
        <is>
          <t>S30</t>
        </is>
      </c>
      <c r="B1536" s="25" t="inlineStr">
        <is>
          <t>창녕 신규점</t>
        </is>
      </c>
      <c r="C1536" s="25" t="inlineStr">
        <is>
          <t>S30-H서</t>
        </is>
      </c>
      <c r="D1536" s="25" t="inlineStr">
        <is>
          <t>측정</t>
        </is>
      </c>
      <c r="E1536" s="25" t="inlineStr">
        <is>
          <t>서</t>
        </is>
      </c>
      <c r="F1536" s="30" t="n">
        <v>9</v>
      </c>
      <c r="G1536" s="29" t="n"/>
      <c r="H1536" s="42" t="n"/>
      <c r="I1536" s="40" t="n"/>
      <c r="J1536" s="40" t="n"/>
      <c r="K1536" s="40" t="n"/>
      <c r="L1536" s="30">
        <f>IF(COUNT(I1536:K1536)=0,"",MEDIAN(I1536:K1536))</f>
        <v/>
      </c>
      <c r="M1536" s="25">
        <f>IF(COUNTIFS($C:$C,$C1536,$D:$D,"P0(전)",$L:$L,"&gt;0")&lt;&gt;1,"P0(전) 유효 1개 아님",IF(COUNTIFS($C:$C,$C1536,$D:$D,"P0(후)",$L:$L,"&gt;0")&lt;&gt;1,"P0(후) 유효 1개 아님",IF(NOT(AND(ISNUMBER(N1536),ISNUMBER(P1536),ISNUMBER(H1536))),"시각 결측",IF(P1536&lt;=N1536,"P0 시각 역전",IF(OR(H1536&lt;N1536,H1536&gt;P1536),"측정시각 구간 밖","OK")))))</f>
        <v/>
      </c>
      <c r="N1536" s="45">
        <f>IF(COUNTIFS($C:$C,$C1536,$D:$D,"P0(전)",$L:$L,"&gt;0")&lt;&gt;1,"",SUMIFS($H:$H,$C:$C,$C1536,$D:$D,"P0(전)"))</f>
        <v/>
      </c>
      <c r="O1536" s="30">
        <f>IF(COUNTIFS($C:$C,$C1536,$D:$D,"P0(전)",$L:$L,"&gt;0")&lt;&gt;1,"",SUMIFS($L:$L,$C:$C,$C1536,$D:$D,"P0(전)"))</f>
        <v/>
      </c>
      <c r="P1536" s="45">
        <f>IF(COUNTIFS($C:$C,$C1536,$D:$D,"P0(후)",$L:$L,"&gt;0")&lt;&gt;1,"",SUMIFS($H:$H,$C:$C,$C1536,$D:$D,"P0(후)"))</f>
        <v/>
      </c>
      <c r="Q1536" s="30">
        <f>IF(COUNTIFS($C:$C,$C1536,$D:$D,"P0(후)",$L:$L,"&gt;0")&lt;&gt;1,"",SUMIFS($L:$L,$C:$C,$C1536,$D:$D,"P0(후)"))</f>
        <v/>
      </c>
      <c r="R1536" s="30">
        <f>IF(M1536&lt;&gt;"OK","",O1536+(Q1536-O1536)*(H1536-N1536)/(P1536-N1536))</f>
        <v/>
      </c>
      <c r="S1536" s="30">
        <f>IF(OR(M1536&lt;&gt;"OK",NOT(ISNUMBER(L1536))),"",L1536-R1536)</f>
        <v/>
      </c>
      <c r="T1536" s="46">
        <f>IF(OR(NOT(ISNUMBER(S1536)),IF(ISNUMBER(G1536),G1536,F1536)=0),"",S1536/IF(ISNUMBER(G1536),G1536,F1536))</f>
        <v/>
      </c>
      <c r="U1536" s="46">
        <f>IF(ISNUMBER(T1536),ABS(T1536),"")</f>
        <v/>
      </c>
      <c r="V1536" s="46">
        <f>IF(OR($D1535&lt;&gt;"측정",$C1535&lt;&gt;$C1536,NOT(ISNUMBER(L1536)),NOT(ISNUMBER(L1535)),(IF(ISNUMBER(G1536),G1536,F1536)-IF(ISNUMBER(G1535),G1535,F1535))=0),"",(L1536-L1535)/(IF(ISNUMBER(G1536),G1536,F1536)-IF(ISNUMBER(G1535),G1535,F1535)))</f>
        <v/>
      </c>
      <c r="W1536" s="30">
        <f>IF(NOT(AND(ISNUMBER(N1536),ISNUMBER(P1536))),"",(P1536-N1536)*1440)</f>
        <v/>
      </c>
      <c r="X1536" s="28" t="n"/>
      <c r="Y1536" s="28" t="n"/>
      <c r="Z1536" s="28" t="n"/>
      <c r="AA1536" s="31" t="n"/>
      <c r="AB1536" s="31" t="n"/>
    </row>
    <row r="1537">
      <c r="A1537" s="25" t="inlineStr">
        <is>
          <t>S30</t>
        </is>
      </c>
      <c r="B1537" s="25" t="inlineStr">
        <is>
          <t>창녕 신규점</t>
        </is>
      </c>
      <c r="C1537" s="25" t="inlineStr">
        <is>
          <t>S30-H서</t>
        </is>
      </c>
      <c r="D1537" s="25" t="inlineStr">
        <is>
          <t>측정</t>
        </is>
      </c>
      <c r="E1537" s="25" t="inlineStr">
        <is>
          <t>서</t>
        </is>
      </c>
      <c r="F1537" s="30" t="n">
        <v>10</v>
      </c>
      <c r="G1537" s="29" t="n"/>
      <c r="H1537" s="42" t="n"/>
      <c r="I1537" s="40" t="n"/>
      <c r="J1537" s="40" t="n"/>
      <c r="K1537" s="40" t="n"/>
      <c r="L1537" s="30">
        <f>IF(COUNT(I1537:K1537)=0,"",MEDIAN(I1537:K1537))</f>
        <v/>
      </c>
      <c r="M1537" s="25">
        <f>IF(COUNTIFS($C:$C,$C1537,$D:$D,"P0(전)",$L:$L,"&gt;0")&lt;&gt;1,"P0(전) 유효 1개 아님",IF(COUNTIFS($C:$C,$C1537,$D:$D,"P0(후)",$L:$L,"&gt;0")&lt;&gt;1,"P0(후) 유효 1개 아님",IF(NOT(AND(ISNUMBER(N1537),ISNUMBER(P1537),ISNUMBER(H1537))),"시각 결측",IF(P1537&lt;=N1537,"P0 시각 역전",IF(OR(H1537&lt;N1537,H1537&gt;P1537),"측정시각 구간 밖","OK")))))</f>
        <v/>
      </c>
      <c r="N1537" s="45">
        <f>IF(COUNTIFS($C:$C,$C1537,$D:$D,"P0(전)",$L:$L,"&gt;0")&lt;&gt;1,"",SUMIFS($H:$H,$C:$C,$C1537,$D:$D,"P0(전)"))</f>
        <v/>
      </c>
      <c r="O1537" s="30">
        <f>IF(COUNTIFS($C:$C,$C1537,$D:$D,"P0(전)",$L:$L,"&gt;0")&lt;&gt;1,"",SUMIFS($L:$L,$C:$C,$C1537,$D:$D,"P0(전)"))</f>
        <v/>
      </c>
      <c r="P1537" s="45">
        <f>IF(COUNTIFS($C:$C,$C1537,$D:$D,"P0(후)",$L:$L,"&gt;0")&lt;&gt;1,"",SUMIFS($H:$H,$C:$C,$C1537,$D:$D,"P0(후)"))</f>
        <v/>
      </c>
      <c r="Q1537" s="30">
        <f>IF(COUNTIFS($C:$C,$C1537,$D:$D,"P0(후)",$L:$L,"&gt;0")&lt;&gt;1,"",SUMIFS($L:$L,$C:$C,$C1537,$D:$D,"P0(후)"))</f>
        <v/>
      </c>
      <c r="R1537" s="30">
        <f>IF(M1537&lt;&gt;"OK","",O1537+(Q1537-O1537)*(H1537-N1537)/(P1537-N1537))</f>
        <v/>
      </c>
      <c r="S1537" s="30">
        <f>IF(OR(M1537&lt;&gt;"OK",NOT(ISNUMBER(L1537))),"",L1537-R1537)</f>
        <v/>
      </c>
      <c r="T1537" s="46">
        <f>IF(OR(NOT(ISNUMBER(S1537)),IF(ISNUMBER(G1537),G1537,F1537)=0),"",S1537/IF(ISNUMBER(G1537),G1537,F1537))</f>
        <v/>
      </c>
      <c r="U1537" s="46">
        <f>IF(ISNUMBER(T1537),ABS(T1537),"")</f>
        <v/>
      </c>
      <c r="V1537" s="46">
        <f>IF(OR($D1536&lt;&gt;"측정",$C1536&lt;&gt;$C1537,NOT(ISNUMBER(L1537)),NOT(ISNUMBER(L1536)),(IF(ISNUMBER(G1537),G1537,F1537)-IF(ISNUMBER(G1536),G1536,F1536))=0),"",(L1537-L1536)/(IF(ISNUMBER(G1537),G1537,F1537)-IF(ISNUMBER(G1536),G1536,F1536)))</f>
        <v/>
      </c>
      <c r="W1537" s="30">
        <f>IF(NOT(AND(ISNUMBER(N1537),ISNUMBER(P1537))),"",(P1537-N1537)*1440)</f>
        <v/>
      </c>
      <c r="X1537" s="28" t="n"/>
      <c r="Y1537" s="28" t="n"/>
      <c r="Z1537" s="28" t="n"/>
      <c r="AA1537" s="31" t="n"/>
      <c r="AB1537" s="31" t="n"/>
    </row>
    <row r="1538">
      <c r="A1538" s="43" t="inlineStr">
        <is>
          <t>S30</t>
        </is>
      </c>
      <c r="B1538" s="43" t="inlineStr">
        <is>
          <t>창녕 신규점</t>
        </is>
      </c>
      <c r="C1538" s="43" t="inlineStr">
        <is>
          <t>S30-H서</t>
        </is>
      </c>
      <c r="D1538" s="43" t="inlineStr">
        <is>
          <t>P0(후)</t>
        </is>
      </c>
      <c r="E1538" s="43" t="inlineStr">
        <is>
          <t>서</t>
        </is>
      </c>
      <c r="F1538" s="44" t="n"/>
      <c r="G1538" s="29" t="n"/>
      <c r="H1538" s="42" t="n"/>
      <c r="I1538" s="40" t="n"/>
      <c r="J1538" s="40" t="n"/>
      <c r="K1538" s="40" t="n"/>
      <c r="L1538" s="30">
        <f>IF(COUNT(I1538:K1538)=0,"",MEDIAN(I1538:K1538))</f>
        <v/>
      </c>
      <c r="M1538" s="37" t="n"/>
      <c r="N1538" s="37" t="n"/>
      <c r="O1538" s="37" t="n"/>
      <c r="P1538" s="37" t="n"/>
      <c r="Q1538" s="37" t="n"/>
      <c r="R1538" s="37" t="n"/>
      <c r="S1538" s="37" t="n"/>
      <c r="T1538" s="37" t="n"/>
      <c r="U1538" s="37" t="n"/>
      <c r="V1538" s="37" t="n"/>
      <c r="W1538" s="37" t="n"/>
      <c r="X1538" s="28" t="n"/>
      <c r="Y1538" s="28" t="n"/>
      <c r="Z1538" s="28" t="n"/>
      <c r="AA1538" s="31" t="n"/>
      <c r="AB1538" s="31" t="n"/>
    </row>
    <row r="1539">
      <c r="A1539" s="43" t="inlineStr">
        <is>
          <t>S30</t>
        </is>
      </c>
      <c r="B1539" s="43" t="inlineStr">
        <is>
          <t>창녕 신규점</t>
        </is>
      </c>
      <c r="C1539" s="43" t="inlineStr">
        <is>
          <t>S30-H남</t>
        </is>
      </c>
      <c r="D1539" s="43" t="inlineStr">
        <is>
          <t>P0(전)</t>
        </is>
      </c>
      <c r="E1539" s="43" t="inlineStr">
        <is>
          <t>남</t>
        </is>
      </c>
      <c r="F1539" s="44" t="n"/>
      <c r="G1539" s="29" t="n"/>
      <c r="H1539" s="42" t="n"/>
      <c r="I1539" s="40" t="n"/>
      <c r="J1539" s="40" t="n"/>
      <c r="K1539" s="40" t="n"/>
      <c r="L1539" s="30">
        <f>IF(COUNT(I1539:K1539)=0,"",MEDIAN(I1539:K1539))</f>
        <v/>
      </c>
      <c r="M1539" s="37" t="n"/>
      <c r="N1539" s="37" t="n"/>
      <c r="O1539" s="37" t="n"/>
      <c r="P1539" s="37" t="n"/>
      <c r="Q1539" s="37" t="n"/>
      <c r="R1539" s="37" t="n"/>
      <c r="S1539" s="37" t="n"/>
      <c r="T1539" s="37" t="n"/>
      <c r="U1539" s="37" t="n"/>
      <c r="V1539" s="37" t="n"/>
      <c r="W1539" s="37" t="n"/>
      <c r="X1539" s="28" t="n"/>
      <c r="Y1539" s="28" t="n"/>
      <c r="Z1539" s="28" t="n"/>
      <c r="AA1539" s="31" t="n"/>
      <c r="AB1539" s="31" t="n"/>
    </row>
    <row r="1540">
      <c r="A1540" s="25" t="inlineStr">
        <is>
          <t>S30</t>
        </is>
      </c>
      <c r="B1540" s="25" t="inlineStr">
        <is>
          <t>창녕 신규점</t>
        </is>
      </c>
      <c r="C1540" s="25" t="inlineStr">
        <is>
          <t>S30-H남</t>
        </is>
      </c>
      <c r="D1540" s="25" t="inlineStr">
        <is>
          <t>측정</t>
        </is>
      </c>
      <c r="E1540" s="25" t="inlineStr">
        <is>
          <t>남</t>
        </is>
      </c>
      <c r="F1540" s="30" t="n">
        <v>0.5</v>
      </c>
      <c r="G1540" s="29" t="n"/>
      <c r="H1540" s="42" t="n"/>
      <c r="I1540" s="40" t="n"/>
      <c r="J1540" s="40" t="n"/>
      <c r="K1540" s="40" t="n"/>
      <c r="L1540" s="30">
        <f>IF(COUNT(I1540:K1540)=0,"",MEDIAN(I1540:K1540))</f>
        <v/>
      </c>
      <c r="M1540" s="25">
        <f>IF(COUNTIFS($C:$C,$C1540,$D:$D,"P0(전)",$L:$L,"&gt;0")&lt;&gt;1,"P0(전) 유효 1개 아님",IF(COUNTIFS($C:$C,$C1540,$D:$D,"P0(후)",$L:$L,"&gt;0")&lt;&gt;1,"P0(후) 유효 1개 아님",IF(NOT(AND(ISNUMBER(N1540),ISNUMBER(P1540),ISNUMBER(H1540))),"시각 결측",IF(P1540&lt;=N1540,"P0 시각 역전",IF(OR(H1540&lt;N1540,H1540&gt;P1540),"측정시각 구간 밖","OK")))))</f>
        <v/>
      </c>
      <c r="N1540" s="45">
        <f>IF(COUNTIFS($C:$C,$C1540,$D:$D,"P0(전)",$L:$L,"&gt;0")&lt;&gt;1,"",SUMIFS($H:$H,$C:$C,$C1540,$D:$D,"P0(전)"))</f>
        <v/>
      </c>
      <c r="O1540" s="30">
        <f>IF(COUNTIFS($C:$C,$C1540,$D:$D,"P0(전)",$L:$L,"&gt;0")&lt;&gt;1,"",SUMIFS($L:$L,$C:$C,$C1540,$D:$D,"P0(전)"))</f>
        <v/>
      </c>
      <c r="P1540" s="45">
        <f>IF(COUNTIFS($C:$C,$C1540,$D:$D,"P0(후)",$L:$L,"&gt;0")&lt;&gt;1,"",SUMIFS($H:$H,$C:$C,$C1540,$D:$D,"P0(후)"))</f>
        <v/>
      </c>
      <c r="Q1540" s="30">
        <f>IF(COUNTIFS($C:$C,$C1540,$D:$D,"P0(후)",$L:$L,"&gt;0")&lt;&gt;1,"",SUMIFS($L:$L,$C:$C,$C1540,$D:$D,"P0(후)"))</f>
        <v/>
      </c>
      <c r="R1540" s="30">
        <f>IF(M1540&lt;&gt;"OK","",O1540+(Q1540-O1540)*(H1540-N1540)/(P1540-N1540))</f>
        <v/>
      </c>
      <c r="S1540" s="30">
        <f>IF(OR(M1540&lt;&gt;"OK",NOT(ISNUMBER(L1540))),"",L1540-R1540)</f>
        <v/>
      </c>
      <c r="T1540" s="46">
        <f>IF(OR(NOT(ISNUMBER(S1540)),IF(ISNUMBER(G1540),G1540,F1540)=0),"",S1540/IF(ISNUMBER(G1540),G1540,F1540))</f>
        <v/>
      </c>
      <c r="U1540" s="46">
        <f>IF(ISNUMBER(T1540),ABS(T1540),"")</f>
        <v/>
      </c>
      <c r="V1540" s="46">
        <f>IF(OR($D1539&lt;&gt;"측정",$C1539&lt;&gt;$C1540,NOT(ISNUMBER(L1540)),NOT(ISNUMBER(L1539)),(IF(ISNUMBER(G1540),G1540,F1540)-IF(ISNUMBER(G1539),G1539,F1539))=0),"",(L1540-L1539)/(IF(ISNUMBER(G1540),G1540,F1540)-IF(ISNUMBER(G1539),G1539,F1539)))</f>
        <v/>
      </c>
      <c r="W1540" s="30">
        <f>IF(NOT(AND(ISNUMBER(N1540),ISNUMBER(P1540))),"",(P1540-N1540)*1440)</f>
        <v/>
      </c>
      <c r="X1540" s="28" t="n"/>
      <c r="Y1540" s="28" t="n"/>
      <c r="Z1540" s="28" t="n"/>
      <c r="AA1540" s="31" t="n"/>
      <c r="AB1540" s="31" t="n"/>
    </row>
    <row r="1541">
      <c r="A1541" s="25" t="inlineStr">
        <is>
          <t>S30</t>
        </is>
      </c>
      <c r="B1541" s="25" t="inlineStr">
        <is>
          <t>창녕 신규점</t>
        </is>
      </c>
      <c r="C1541" s="25" t="inlineStr">
        <is>
          <t>S30-H남</t>
        </is>
      </c>
      <c r="D1541" s="25" t="inlineStr">
        <is>
          <t>측정</t>
        </is>
      </c>
      <c r="E1541" s="25" t="inlineStr">
        <is>
          <t>남</t>
        </is>
      </c>
      <c r="F1541" s="30" t="n">
        <v>1</v>
      </c>
      <c r="G1541" s="29" t="n"/>
      <c r="H1541" s="42" t="n"/>
      <c r="I1541" s="40" t="n"/>
      <c r="J1541" s="40" t="n"/>
      <c r="K1541" s="40" t="n"/>
      <c r="L1541" s="30">
        <f>IF(COUNT(I1541:K1541)=0,"",MEDIAN(I1541:K1541))</f>
        <v/>
      </c>
      <c r="M1541" s="25">
        <f>IF(COUNTIFS($C:$C,$C1541,$D:$D,"P0(전)",$L:$L,"&gt;0")&lt;&gt;1,"P0(전) 유효 1개 아님",IF(COUNTIFS($C:$C,$C1541,$D:$D,"P0(후)",$L:$L,"&gt;0")&lt;&gt;1,"P0(후) 유효 1개 아님",IF(NOT(AND(ISNUMBER(N1541),ISNUMBER(P1541),ISNUMBER(H1541))),"시각 결측",IF(P1541&lt;=N1541,"P0 시각 역전",IF(OR(H1541&lt;N1541,H1541&gt;P1541),"측정시각 구간 밖","OK")))))</f>
        <v/>
      </c>
      <c r="N1541" s="45">
        <f>IF(COUNTIFS($C:$C,$C1541,$D:$D,"P0(전)",$L:$L,"&gt;0")&lt;&gt;1,"",SUMIFS($H:$H,$C:$C,$C1541,$D:$D,"P0(전)"))</f>
        <v/>
      </c>
      <c r="O1541" s="30">
        <f>IF(COUNTIFS($C:$C,$C1541,$D:$D,"P0(전)",$L:$L,"&gt;0")&lt;&gt;1,"",SUMIFS($L:$L,$C:$C,$C1541,$D:$D,"P0(전)"))</f>
        <v/>
      </c>
      <c r="P1541" s="45">
        <f>IF(COUNTIFS($C:$C,$C1541,$D:$D,"P0(후)",$L:$L,"&gt;0")&lt;&gt;1,"",SUMIFS($H:$H,$C:$C,$C1541,$D:$D,"P0(후)"))</f>
        <v/>
      </c>
      <c r="Q1541" s="30">
        <f>IF(COUNTIFS($C:$C,$C1541,$D:$D,"P0(후)",$L:$L,"&gt;0")&lt;&gt;1,"",SUMIFS($L:$L,$C:$C,$C1541,$D:$D,"P0(후)"))</f>
        <v/>
      </c>
      <c r="R1541" s="30">
        <f>IF(M1541&lt;&gt;"OK","",O1541+(Q1541-O1541)*(H1541-N1541)/(P1541-N1541))</f>
        <v/>
      </c>
      <c r="S1541" s="30">
        <f>IF(OR(M1541&lt;&gt;"OK",NOT(ISNUMBER(L1541))),"",L1541-R1541)</f>
        <v/>
      </c>
      <c r="T1541" s="46">
        <f>IF(OR(NOT(ISNUMBER(S1541)),IF(ISNUMBER(G1541),G1541,F1541)=0),"",S1541/IF(ISNUMBER(G1541),G1541,F1541))</f>
        <v/>
      </c>
      <c r="U1541" s="46">
        <f>IF(ISNUMBER(T1541),ABS(T1541),"")</f>
        <v/>
      </c>
      <c r="V1541" s="46">
        <f>IF(OR($D1540&lt;&gt;"측정",$C1540&lt;&gt;$C1541,NOT(ISNUMBER(L1541)),NOT(ISNUMBER(L1540)),(IF(ISNUMBER(G1541),G1541,F1541)-IF(ISNUMBER(G1540),G1540,F1540))=0),"",(L1541-L1540)/(IF(ISNUMBER(G1541),G1541,F1541)-IF(ISNUMBER(G1540),G1540,F1540)))</f>
        <v/>
      </c>
      <c r="W1541" s="30">
        <f>IF(NOT(AND(ISNUMBER(N1541),ISNUMBER(P1541))),"",(P1541-N1541)*1440)</f>
        <v/>
      </c>
      <c r="X1541" s="28" t="n"/>
      <c r="Y1541" s="28" t="n"/>
      <c r="Z1541" s="28" t="n"/>
      <c r="AA1541" s="31" t="n"/>
      <c r="AB1541" s="31" t="n"/>
    </row>
    <row r="1542">
      <c r="A1542" s="25" t="inlineStr">
        <is>
          <t>S30</t>
        </is>
      </c>
      <c r="B1542" s="25" t="inlineStr">
        <is>
          <t>창녕 신규점</t>
        </is>
      </c>
      <c r="C1542" s="25" t="inlineStr">
        <is>
          <t>S30-H남</t>
        </is>
      </c>
      <c r="D1542" s="25" t="inlineStr">
        <is>
          <t>측정</t>
        </is>
      </c>
      <c r="E1542" s="25" t="inlineStr">
        <is>
          <t>남</t>
        </is>
      </c>
      <c r="F1542" s="30" t="n">
        <v>2</v>
      </c>
      <c r="G1542" s="29" t="n"/>
      <c r="H1542" s="42" t="n"/>
      <c r="I1542" s="40" t="n"/>
      <c r="J1542" s="40" t="n"/>
      <c r="K1542" s="40" t="n"/>
      <c r="L1542" s="30">
        <f>IF(COUNT(I1542:K1542)=0,"",MEDIAN(I1542:K1542))</f>
        <v/>
      </c>
      <c r="M1542" s="25">
        <f>IF(COUNTIFS($C:$C,$C1542,$D:$D,"P0(전)",$L:$L,"&gt;0")&lt;&gt;1,"P0(전) 유효 1개 아님",IF(COUNTIFS($C:$C,$C1542,$D:$D,"P0(후)",$L:$L,"&gt;0")&lt;&gt;1,"P0(후) 유효 1개 아님",IF(NOT(AND(ISNUMBER(N1542),ISNUMBER(P1542),ISNUMBER(H1542))),"시각 결측",IF(P1542&lt;=N1542,"P0 시각 역전",IF(OR(H1542&lt;N1542,H1542&gt;P1542),"측정시각 구간 밖","OK")))))</f>
        <v/>
      </c>
      <c r="N1542" s="45">
        <f>IF(COUNTIFS($C:$C,$C1542,$D:$D,"P0(전)",$L:$L,"&gt;0")&lt;&gt;1,"",SUMIFS($H:$H,$C:$C,$C1542,$D:$D,"P0(전)"))</f>
        <v/>
      </c>
      <c r="O1542" s="30">
        <f>IF(COUNTIFS($C:$C,$C1542,$D:$D,"P0(전)",$L:$L,"&gt;0")&lt;&gt;1,"",SUMIFS($L:$L,$C:$C,$C1542,$D:$D,"P0(전)"))</f>
        <v/>
      </c>
      <c r="P1542" s="45">
        <f>IF(COUNTIFS($C:$C,$C1542,$D:$D,"P0(후)",$L:$L,"&gt;0")&lt;&gt;1,"",SUMIFS($H:$H,$C:$C,$C1542,$D:$D,"P0(후)"))</f>
        <v/>
      </c>
      <c r="Q1542" s="30">
        <f>IF(COUNTIFS($C:$C,$C1542,$D:$D,"P0(후)",$L:$L,"&gt;0")&lt;&gt;1,"",SUMIFS($L:$L,$C:$C,$C1542,$D:$D,"P0(후)"))</f>
        <v/>
      </c>
      <c r="R1542" s="30">
        <f>IF(M1542&lt;&gt;"OK","",O1542+(Q1542-O1542)*(H1542-N1542)/(P1542-N1542))</f>
        <v/>
      </c>
      <c r="S1542" s="30">
        <f>IF(OR(M1542&lt;&gt;"OK",NOT(ISNUMBER(L1542))),"",L1542-R1542)</f>
        <v/>
      </c>
      <c r="T1542" s="46">
        <f>IF(OR(NOT(ISNUMBER(S1542)),IF(ISNUMBER(G1542),G1542,F1542)=0),"",S1542/IF(ISNUMBER(G1542),G1542,F1542))</f>
        <v/>
      </c>
      <c r="U1542" s="46">
        <f>IF(ISNUMBER(T1542),ABS(T1542),"")</f>
        <v/>
      </c>
      <c r="V1542" s="46">
        <f>IF(OR($D1541&lt;&gt;"측정",$C1541&lt;&gt;$C1542,NOT(ISNUMBER(L1542)),NOT(ISNUMBER(L1541)),(IF(ISNUMBER(G1542),G1542,F1542)-IF(ISNUMBER(G1541),G1541,F1541))=0),"",(L1542-L1541)/(IF(ISNUMBER(G1542),G1542,F1542)-IF(ISNUMBER(G1541),G1541,F1541)))</f>
        <v/>
      </c>
      <c r="W1542" s="30">
        <f>IF(NOT(AND(ISNUMBER(N1542),ISNUMBER(P1542))),"",(P1542-N1542)*1440)</f>
        <v/>
      </c>
      <c r="X1542" s="28" t="n"/>
      <c r="Y1542" s="28" t="n"/>
      <c r="Z1542" s="28" t="n"/>
      <c r="AA1542" s="31" t="n"/>
      <c r="AB1542" s="31" t="n"/>
    </row>
    <row r="1543">
      <c r="A1543" s="25" t="inlineStr">
        <is>
          <t>S30</t>
        </is>
      </c>
      <c r="B1543" s="25" t="inlineStr">
        <is>
          <t>창녕 신규점</t>
        </is>
      </c>
      <c r="C1543" s="25" t="inlineStr">
        <is>
          <t>S30-H남</t>
        </is>
      </c>
      <c r="D1543" s="25" t="inlineStr">
        <is>
          <t>측정</t>
        </is>
      </c>
      <c r="E1543" s="25" t="inlineStr">
        <is>
          <t>남</t>
        </is>
      </c>
      <c r="F1543" s="30" t="n">
        <v>3</v>
      </c>
      <c r="G1543" s="29" t="n"/>
      <c r="H1543" s="42" t="n"/>
      <c r="I1543" s="40" t="n"/>
      <c r="J1543" s="40" t="n"/>
      <c r="K1543" s="40" t="n"/>
      <c r="L1543" s="30">
        <f>IF(COUNT(I1543:K1543)=0,"",MEDIAN(I1543:K1543))</f>
        <v/>
      </c>
      <c r="M1543" s="25">
        <f>IF(COUNTIFS($C:$C,$C1543,$D:$D,"P0(전)",$L:$L,"&gt;0")&lt;&gt;1,"P0(전) 유효 1개 아님",IF(COUNTIFS($C:$C,$C1543,$D:$D,"P0(후)",$L:$L,"&gt;0")&lt;&gt;1,"P0(후) 유효 1개 아님",IF(NOT(AND(ISNUMBER(N1543),ISNUMBER(P1543),ISNUMBER(H1543))),"시각 결측",IF(P1543&lt;=N1543,"P0 시각 역전",IF(OR(H1543&lt;N1543,H1543&gt;P1543),"측정시각 구간 밖","OK")))))</f>
        <v/>
      </c>
      <c r="N1543" s="45">
        <f>IF(COUNTIFS($C:$C,$C1543,$D:$D,"P0(전)",$L:$L,"&gt;0")&lt;&gt;1,"",SUMIFS($H:$H,$C:$C,$C1543,$D:$D,"P0(전)"))</f>
        <v/>
      </c>
      <c r="O1543" s="30">
        <f>IF(COUNTIFS($C:$C,$C1543,$D:$D,"P0(전)",$L:$L,"&gt;0")&lt;&gt;1,"",SUMIFS($L:$L,$C:$C,$C1543,$D:$D,"P0(전)"))</f>
        <v/>
      </c>
      <c r="P1543" s="45">
        <f>IF(COUNTIFS($C:$C,$C1543,$D:$D,"P0(후)",$L:$L,"&gt;0")&lt;&gt;1,"",SUMIFS($H:$H,$C:$C,$C1543,$D:$D,"P0(후)"))</f>
        <v/>
      </c>
      <c r="Q1543" s="30">
        <f>IF(COUNTIFS($C:$C,$C1543,$D:$D,"P0(후)",$L:$L,"&gt;0")&lt;&gt;1,"",SUMIFS($L:$L,$C:$C,$C1543,$D:$D,"P0(후)"))</f>
        <v/>
      </c>
      <c r="R1543" s="30">
        <f>IF(M1543&lt;&gt;"OK","",O1543+(Q1543-O1543)*(H1543-N1543)/(P1543-N1543))</f>
        <v/>
      </c>
      <c r="S1543" s="30">
        <f>IF(OR(M1543&lt;&gt;"OK",NOT(ISNUMBER(L1543))),"",L1543-R1543)</f>
        <v/>
      </c>
      <c r="T1543" s="46">
        <f>IF(OR(NOT(ISNUMBER(S1543)),IF(ISNUMBER(G1543),G1543,F1543)=0),"",S1543/IF(ISNUMBER(G1543),G1543,F1543))</f>
        <v/>
      </c>
      <c r="U1543" s="46">
        <f>IF(ISNUMBER(T1543),ABS(T1543),"")</f>
        <v/>
      </c>
      <c r="V1543" s="46">
        <f>IF(OR($D1542&lt;&gt;"측정",$C1542&lt;&gt;$C1543,NOT(ISNUMBER(L1543)),NOT(ISNUMBER(L1542)),(IF(ISNUMBER(G1543),G1543,F1543)-IF(ISNUMBER(G1542),G1542,F1542))=0),"",(L1543-L1542)/(IF(ISNUMBER(G1543),G1543,F1543)-IF(ISNUMBER(G1542),G1542,F1542)))</f>
        <v/>
      </c>
      <c r="W1543" s="30">
        <f>IF(NOT(AND(ISNUMBER(N1543),ISNUMBER(P1543))),"",(P1543-N1543)*1440)</f>
        <v/>
      </c>
      <c r="X1543" s="28" t="n"/>
      <c r="Y1543" s="28" t="n"/>
      <c r="Z1543" s="28" t="n"/>
      <c r="AA1543" s="31" t="n"/>
      <c r="AB1543" s="31" t="n"/>
    </row>
    <row r="1544">
      <c r="A1544" s="25" t="inlineStr">
        <is>
          <t>S30</t>
        </is>
      </c>
      <c r="B1544" s="25" t="inlineStr">
        <is>
          <t>창녕 신규점</t>
        </is>
      </c>
      <c r="C1544" s="25" t="inlineStr">
        <is>
          <t>S30-H남</t>
        </is>
      </c>
      <c r="D1544" s="25" t="inlineStr">
        <is>
          <t>측정</t>
        </is>
      </c>
      <c r="E1544" s="25" t="inlineStr">
        <is>
          <t>남</t>
        </is>
      </c>
      <c r="F1544" s="30" t="n">
        <v>4</v>
      </c>
      <c r="G1544" s="29" t="n"/>
      <c r="H1544" s="42" t="n"/>
      <c r="I1544" s="40" t="n"/>
      <c r="J1544" s="40" t="n"/>
      <c r="K1544" s="40" t="n"/>
      <c r="L1544" s="30">
        <f>IF(COUNT(I1544:K1544)=0,"",MEDIAN(I1544:K1544))</f>
        <v/>
      </c>
      <c r="M1544" s="25">
        <f>IF(COUNTIFS($C:$C,$C1544,$D:$D,"P0(전)",$L:$L,"&gt;0")&lt;&gt;1,"P0(전) 유효 1개 아님",IF(COUNTIFS($C:$C,$C1544,$D:$D,"P0(후)",$L:$L,"&gt;0")&lt;&gt;1,"P0(후) 유효 1개 아님",IF(NOT(AND(ISNUMBER(N1544),ISNUMBER(P1544),ISNUMBER(H1544))),"시각 결측",IF(P1544&lt;=N1544,"P0 시각 역전",IF(OR(H1544&lt;N1544,H1544&gt;P1544),"측정시각 구간 밖","OK")))))</f>
        <v/>
      </c>
      <c r="N1544" s="45">
        <f>IF(COUNTIFS($C:$C,$C1544,$D:$D,"P0(전)",$L:$L,"&gt;0")&lt;&gt;1,"",SUMIFS($H:$H,$C:$C,$C1544,$D:$D,"P0(전)"))</f>
        <v/>
      </c>
      <c r="O1544" s="30">
        <f>IF(COUNTIFS($C:$C,$C1544,$D:$D,"P0(전)",$L:$L,"&gt;0")&lt;&gt;1,"",SUMIFS($L:$L,$C:$C,$C1544,$D:$D,"P0(전)"))</f>
        <v/>
      </c>
      <c r="P1544" s="45">
        <f>IF(COUNTIFS($C:$C,$C1544,$D:$D,"P0(후)",$L:$L,"&gt;0")&lt;&gt;1,"",SUMIFS($H:$H,$C:$C,$C1544,$D:$D,"P0(후)"))</f>
        <v/>
      </c>
      <c r="Q1544" s="30">
        <f>IF(COUNTIFS($C:$C,$C1544,$D:$D,"P0(후)",$L:$L,"&gt;0")&lt;&gt;1,"",SUMIFS($L:$L,$C:$C,$C1544,$D:$D,"P0(후)"))</f>
        <v/>
      </c>
      <c r="R1544" s="30">
        <f>IF(M1544&lt;&gt;"OK","",O1544+(Q1544-O1544)*(H1544-N1544)/(P1544-N1544))</f>
        <v/>
      </c>
      <c r="S1544" s="30">
        <f>IF(OR(M1544&lt;&gt;"OK",NOT(ISNUMBER(L1544))),"",L1544-R1544)</f>
        <v/>
      </c>
      <c r="T1544" s="46">
        <f>IF(OR(NOT(ISNUMBER(S1544)),IF(ISNUMBER(G1544),G1544,F1544)=0),"",S1544/IF(ISNUMBER(G1544),G1544,F1544))</f>
        <v/>
      </c>
      <c r="U1544" s="46">
        <f>IF(ISNUMBER(T1544),ABS(T1544),"")</f>
        <v/>
      </c>
      <c r="V1544" s="46">
        <f>IF(OR($D1543&lt;&gt;"측정",$C1543&lt;&gt;$C1544,NOT(ISNUMBER(L1544)),NOT(ISNUMBER(L1543)),(IF(ISNUMBER(G1544),G1544,F1544)-IF(ISNUMBER(G1543),G1543,F1543))=0),"",(L1544-L1543)/(IF(ISNUMBER(G1544),G1544,F1544)-IF(ISNUMBER(G1543),G1543,F1543)))</f>
        <v/>
      </c>
      <c r="W1544" s="30">
        <f>IF(NOT(AND(ISNUMBER(N1544),ISNUMBER(P1544))),"",(P1544-N1544)*1440)</f>
        <v/>
      </c>
      <c r="X1544" s="28" t="n"/>
      <c r="Y1544" s="28" t="n"/>
      <c r="Z1544" s="28" t="n"/>
      <c r="AA1544" s="31" t="n"/>
      <c r="AB1544" s="31" t="n"/>
    </row>
    <row r="1545">
      <c r="A1545" s="25" t="inlineStr">
        <is>
          <t>S30</t>
        </is>
      </c>
      <c r="B1545" s="25" t="inlineStr">
        <is>
          <t>창녕 신규점</t>
        </is>
      </c>
      <c r="C1545" s="25" t="inlineStr">
        <is>
          <t>S30-H남</t>
        </is>
      </c>
      <c r="D1545" s="25" t="inlineStr">
        <is>
          <t>측정</t>
        </is>
      </c>
      <c r="E1545" s="25" t="inlineStr">
        <is>
          <t>남</t>
        </is>
      </c>
      <c r="F1545" s="30" t="n">
        <v>5</v>
      </c>
      <c r="G1545" s="29" t="n"/>
      <c r="H1545" s="42" t="n"/>
      <c r="I1545" s="40" t="n"/>
      <c r="J1545" s="40" t="n"/>
      <c r="K1545" s="40" t="n"/>
      <c r="L1545" s="30">
        <f>IF(COUNT(I1545:K1545)=0,"",MEDIAN(I1545:K1545))</f>
        <v/>
      </c>
      <c r="M1545" s="25">
        <f>IF(COUNTIFS($C:$C,$C1545,$D:$D,"P0(전)",$L:$L,"&gt;0")&lt;&gt;1,"P0(전) 유효 1개 아님",IF(COUNTIFS($C:$C,$C1545,$D:$D,"P0(후)",$L:$L,"&gt;0")&lt;&gt;1,"P0(후) 유효 1개 아님",IF(NOT(AND(ISNUMBER(N1545),ISNUMBER(P1545),ISNUMBER(H1545))),"시각 결측",IF(P1545&lt;=N1545,"P0 시각 역전",IF(OR(H1545&lt;N1545,H1545&gt;P1545),"측정시각 구간 밖","OK")))))</f>
        <v/>
      </c>
      <c r="N1545" s="45">
        <f>IF(COUNTIFS($C:$C,$C1545,$D:$D,"P0(전)",$L:$L,"&gt;0")&lt;&gt;1,"",SUMIFS($H:$H,$C:$C,$C1545,$D:$D,"P0(전)"))</f>
        <v/>
      </c>
      <c r="O1545" s="30">
        <f>IF(COUNTIFS($C:$C,$C1545,$D:$D,"P0(전)",$L:$L,"&gt;0")&lt;&gt;1,"",SUMIFS($L:$L,$C:$C,$C1545,$D:$D,"P0(전)"))</f>
        <v/>
      </c>
      <c r="P1545" s="45">
        <f>IF(COUNTIFS($C:$C,$C1545,$D:$D,"P0(후)",$L:$L,"&gt;0")&lt;&gt;1,"",SUMIFS($H:$H,$C:$C,$C1545,$D:$D,"P0(후)"))</f>
        <v/>
      </c>
      <c r="Q1545" s="30">
        <f>IF(COUNTIFS($C:$C,$C1545,$D:$D,"P0(후)",$L:$L,"&gt;0")&lt;&gt;1,"",SUMIFS($L:$L,$C:$C,$C1545,$D:$D,"P0(후)"))</f>
        <v/>
      </c>
      <c r="R1545" s="30">
        <f>IF(M1545&lt;&gt;"OK","",O1545+(Q1545-O1545)*(H1545-N1545)/(P1545-N1545))</f>
        <v/>
      </c>
      <c r="S1545" s="30">
        <f>IF(OR(M1545&lt;&gt;"OK",NOT(ISNUMBER(L1545))),"",L1545-R1545)</f>
        <v/>
      </c>
      <c r="T1545" s="46">
        <f>IF(OR(NOT(ISNUMBER(S1545)),IF(ISNUMBER(G1545),G1545,F1545)=0),"",S1545/IF(ISNUMBER(G1545),G1545,F1545))</f>
        <v/>
      </c>
      <c r="U1545" s="46">
        <f>IF(ISNUMBER(T1545),ABS(T1545),"")</f>
        <v/>
      </c>
      <c r="V1545" s="46">
        <f>IF(OR($D1544&lt;&gt;"측정",$C1544&lt;&gt;$C1545,NOT(ISNUMBER(L1545)),NOT(ISNUMBER(L1544)),(IF(ISNUMBER(G1545),G1545,F1545)-IF(ISNUMBER(G1544),G1544,F1544))=0),"",(L1545-L1544)/(IF(ISNUMBER(G1545),G1545,F1545)-IF(ISNUMBER(G1544),G1544,F1544)))</f>
        <v/>
      </c>
      <c r="W1545" s="30">
        <f>IF(NOT(AND(ISNUMBER(N1545),ISNUMBER(P1545))),"",(P1545-N1545)*1440)</f>
        <v/>
      </c>
      <c r="X1545" s="28" t="n"/>
      <c r="Y1545" s="28" t="n"/>
      <c r="Z1545" s="28" t="n"/>
      <c r="AA1545" s="31" t="n"/>
      <c r="AB1545" s="31" t="n"/>
    </row>
    <row r="1546">
      <c r="A1546" s="25" t="inlineStr">
        <is>
          <t>S30</t>
        </is>
      </c>
      <c r="B1546" s="25" t="inlineStr">
        <is>
          <t>창녕 신규점</t>
        </is>
      </c>
      <c r="C1546" s="25" t="inlineStr">
        <is>
          <t>S30-H남</t>
        </is>
      </c>
      <c r="D1546" s="25" t="inlineStr">
        <is>
          <t>측정</t>
        </is>
      </c>
      <c r="E1546" s="25" t="inlineStr">
        <is>
          <t>남</t>
        </is>
      </c>
      <c r="F1546" s="30" t="n">
        <v>6</v>
      </c>
      <c r="G1546" s="29" t="n"/>
      <c r="H1546" s="42" t="n"/>
      <c r="I1546" s="40" t="n"/>
      <c r="J1546" s="40" t="n"/>
      <c r="K1546" s="40" t="n"/>
      <c r="L1546" s="30">
        <f>IF(COUNT(I1546:K1546)=0,"",MEDIAN(I1546:K1546))</f>
        <v/>
      </c>
      <c r="M1546" s="25">
        <f>IF(COUNTIFS($C:$C,$C1546,$D:$D,"P0(전)",$L:$L,"&gt;0")&lt;&gt;1,"P0(전) 유효 1개 아님",IF(COUNTIFS($C:$C,$C1546,$D:$D,"P0(후)",$L:$L,"&gt;0")&lt;&gt;1,"P0(후) 유효 1개 아님",IF(NOT(AND(ISNUMBER(N1546),ISNUMBER(P1546),ISNUMBER(H1546))),"시각 결측",IF(P1546&lt;=N1546,"P0 시각 역전",IF(OR(H1546&lt;N1546,H1546&gt;P1546),"측정시각 구간 밖","OK")))))</f>
        <v/>
      </c>
      <c r="N1546" s="45">
        <f>IF(COUNTIFS($C:$C,$C1546,$D:$D,"P0(전)",$L:$L,"&gt;0")&lt;&gt;1,"",SUMIFS($H:$H,$C:$C,$C1546,$D:$D,"P0(전)"))</f>
        <v/>
      </c>
      <c r="O1546" s="30">
        <f>IF(COUNTIFS($C:$C,$C1546,$D:$D,"P0(전)",$L:$L,"&gt;0")&lt;&gt;1,"",SUMIFS($L:$L,$C:$C,$C1546,$D:$D,"P0(전)"))</f>
        <v/>
      </c>
      <c r="P1546" s="45">
        <f>IF(COUNTIFS($C:$C,$C1546,$D:$D,"P0(후)",$L:$L,"&gt;0")&lt;&gt;1,"",SUMIFS($H:$H,$C:$C,$C1546,$D:$D,"P0(후)"))</f>
        <v/>
      </c>
      <c r="Q1546" s="30">
        <f>IF(COUNTIFS($C:$C,$C1546,$D:$D,"P0(후)",$L:$L,"&gt;0")&lt;&gt;1,"",SUMIFS($L:$L,$C:$C,$C1546,$D:$D,"P0(후)"))</f>
        <v/>
      </c>
      <c r="R1546" s="30">
        <f>IF(M1546&lt;&gt;"OK","",O1546+(Q1546-O1546)*(H1546-N1546)/(P1546-N1546))</f>
        <v/>
      </c>
      <c r="S1546" s="30">
        <f>IF(OR(M1546&lt;&gt;"OK",NOT(ISNUMBER(L1546))),"",L1546-R1546)</f>
        <v/>
      </c>
      <c r="T1546" s="46">
        <f>IF(OR(NOT(ISNUMBER(S1546)),IF(ISNUMBER(G1546),G1546,F1546)=0),"",S1546/IF(ISNUMBER(G1546),G1546,F1546))</f>
        <v/>
      </c>
      <c r="U1546" s="46">
        <f>IF(ISNUMBER(T1546),ABS(T1546),"")</f>
        <v/>
      </c>
      <c r="V1546" s="46">
        <f>IF(OR($D1545&lt;&gt;"측정",$C1545&lt;&gt;$C1546,NOT(ISNUMBER(L1546)),NOT(ISNUMBER(L1545)),(IF(ISNUMBER(G1546),G1546,F1546)-IF(ISNUMBER(G1545),G1545,F1545))=0),"",(L1546-L1545)/(IF(ISNUMBER(G1546),G1546,F1546)-IF(ISNUMBER(G1545),G1545,F1545)))</f>
        <v/>
      </c>
      <c r="W1546" s="30">
        <f>IF(NOT(AND(ISNUMBER(N1546),ISNUMBER(P1546))),"",(P1546-N1546)*1440)</f>
        <v/>
      </c>
      <c r="X1546" s="28" t="n"/>
      <c r="Y1546" s="28" t="n"/>
      <c r="Z1546" s="28" t="n"/>
      <c r="AA1546" s="31" t="n"/>
      <c r="AB1546" s="31" t="n"/>
    </row>
    <row r="1547">
      <c r="A1547" s="25" t="inlineStr">
        <is>
          <t>S30</t>
        </is>
      </c>
      <c r="B1547" s="25" t="inlineStr">
        <is>
          <t>창녕 신규점</t>
        </is>
      </c>
      <c r="C1547" s="25" t="inlineStr">
        <is>
          <t>S30-H남</t>
        </is>
      </c>
      <c r="D1547" s="25" t="inlineStr">
        <is>
          <t>측정</t>
        </is>
      </c>
      <c r="E1547" s="25" t="inlineStr">
        <is>
          <t>남</t>
        </is>
      </c>
      <c r="F1547" s="30" t="n">
        <v>7</v>
      </c>
      <c r="G1547" s="29" t="n"/>
      <c r="H1547" s="42" t="n"/>
      <c r="I1547" s="40" t="n"/>
      <c r="J1547" s="40" t="n"/>
      <c r="K1547" s="40" t="n"/>
      <c r="L1547" s="30">
        <f>IF(COUNT(I1547:K1547)=0,"",MEDIAN(I1547:K1547))</f>
        <v/>
      </c>
      <c r="M1547" s="25">
        <f>IF(COUNTIFS($C:$C,$C1547,$D:$D,"P0(전)",$L:$L,"&gt;0")&lt;&gt;1,"P0(전) 유효 1개 아님",IF(COUNTIFS($C:$C,$C1547,$D:$D,"P0(후)",$L:$L,"&gt;0")&lt;&gt;1,"P0(후) 유효 1개 아님",IF(NOT(AND(ISNUMBER(N1547),ISNUMBER(P1547),ISNUMBER(H1547))),"시각 결측",IF(P1547&lt;=N1547,"P0 시각 역전",IF(OR(H1547&lt;N1547,H1547&gt;P1547),"측정시각 구간 밖","OK")))))</f>
        <v/>
      </c>
      <c r="N1547" s="45">
        <f>IF(COUNTIFS($C:$C,$C1547,$D:$D,"P0(전)",$L:$L,"&gt;0")&lt;&gt;1,"",SUMIFS($H:$H,$C:$C,$C1547,$D:$D,"P0(전)"))</f>
        <v/>
      </c>
      <c r="O1547" s="30">
        <f>IF(COUNTIFS($C:$C,$C1547,$D:$D,"P0(전)",$L:$L,"&gt;0")&lt;&gt;1,"",SUMIFS($L:$L,$C:$C,$C1547,$D:$D,"P0(전)"))</f>
        <v/>
      </c>
      <c r="P1547" s="45">
        <f>IF(COUNTIFS($C:$C,$C1547,$D:$D,"P0(후)",$L:$L,"&gt;0")&lt;&gt;1,"",SUMIFS($H:$H,$C:$C,$C1547,$D:$D,"P0(후)"))</f>
        <v/>
      </c>
      <c r="Q1547" s="30">
        <f>IF(COUNTIFS($C:$C,$C1547,$D:$D,"P0(후)",$L:$L,"&gt;0")&lt;&gt;1,"",SUMIFS($L:$L,$C:$C,$C1547,$D:$D,"P0(후)"))</f>
        <v/>
      </c>
      <c r="R1547" s="30">
        <f>IF(M1547&lt;&gt;"OK","",O1547+(Q1547-O1547)*(H1547-N1547)/(P1547-N1547))</f>
        <v/>
      </c>
      <c r="S1547" s="30">
        <f>IF(OR(M1547&lt;&gt;"OK",NOT(ISNUMBER(L1547))),"",L1547-R1547)</f>
        <v/>
      </c>
      <c r="T1547" s="46">
        <f>IF(OR(NOT(ISNUMBER(S1547)),IF(ISNUMBER(G1547),G1547,F1547)=0),"",S1547/IF(ISNUMBER(G1547),G1547,F1547))</f>
        <v/>
      </c>
      <c r="U1547" s="46">
        <f>IF(ISNUMBER(T1547),ABS(T1547),"")</f>
        <v/>
      </c>
      <c r="V1547" s="46">
        <f>IF(OR($D1546&lt;&gt;"측정",$C1546&lt;&gt;$C1547,NOT(ISNUMBER(L1547)),NOT(ISNUMBER(L1546)),(IF(ISNUMBER(G1547),G1547,F1547)-IF(ISNUMBER(G1546),G1546,F1546))=0),"",(L1547-L1546)/(IF(ISNUMBER(G1547),G1547,F1547)-IF(ISNUMBER(G1546),G1546,F1546)))</f>
        <v/>
      </c>
      <c r="W1547" s="30">
        <f>IF(NOT(AND(ISNUMBER(N1547),ISNUMBER(P1547))),"",(P1547-N1547)*1440)</f>
        <v/>
      </c>
      <c r="X1547" s="28" t="n"/>
      <c r="Y1547" s="28" t="n"/>
      <c r="Z1547" s="28" t="n"/>
      <c r="AA1547" s="31" t="n"/>
      <c r="AB1547" s="31" t="n"/>
    </row>
    <row r="1548">
      <c r="A1548" s="25" t="inlineStr">
        <is>
          <t>S30</t>
        </is>
      </c>
      <c r="B1548" s="25" t="inlineStr">
        <is>
          <t>창녕 신규점</t>
        </is>
      </c>
      <c r="C1548" s="25" t="inlineStr">
        <is>
          <t>S30-H남</t>
        </is>
      </c>
      <c r="D1548" s="25" t="inlineStr">
        <is>
          <t>측정</t>
        </is>
      </c>
      <c r="E1548" s="25" t="inlineStr">
        <is>
          <t>남</t>
        </is>
      </c>
      <c r="F1548" s="30" t="n">
        <v>8</v>
      </c>
      <c r="G1548" s="29" t="n"/>
      <c r="H1548" s="42" t="n"/>
      <c r="I1548" s="40" t="n"/>
      <c r="J1548" s="40" t="n"/>
      <c r="K1548" s="40" t="n"/>
      <c r="L1548" s="30">
        <f>IF(COUNT(I1548:K1548)=0,"",MEDIAN(I1548:K1548))</f>
        <v/>
      </c>
      <c r="M1548" s="25">
        <f>IF(COUNTIFS($C:$C,$C1548,$D:$D,"P0(전)",$L:$L,"&gt;0")&lt;&gt;1,"P0(전) 유효 1개 아님",IF(COUNTIFS($C:$C,$C1548,$D:$D,"P0(후)",$L:$L,"&gt;0")&lt;&gt;1,"P0(후) 유효 1개 아님",IF(NOT(AND(ISNUMBER(N1548),ISNUMBER(P1548),ISNUMBER(H1548))),"시각 결측",IF(P1548&lt;=N1548,"P0 시각 역전",IF(OR(H1548&lt;N1548,H1548&gt;P1548),"측정시각 구간 밖","OK")))))</f>
        <v/>
      </c>
      <c r="N1548" s="45">
        <f>IF(COUNTIFS($C:$C,$C1548,$D:$D,"P0(전)",$L:$L,"&gt;0")&lt;&gt;1,"",SUMIFS($H:$H,$C:$C,$C1548,$D:$D,"P0(전)"))</f>
        <v/>
      </c>
      <c r="O1548" s="30">
        <f>IF(COUNTIFS($C:$C,$C1548,$D:$D,"P0(전)",$L:$L,"&gt;0")&lt;&gt;1,"",SUMIFS($L:$L,$C:$C,$C1548,$D:$D,"P0(전)"))</f>
        <v/>
      </c>
      <c r="P1548" s="45">
        <f>IF(COUNTIFS($C:$C,$C1548,$D:$D,"P0(후)",$L:$L,"&gt;0")&lt;&gt;1,"",SUMIFS($H:$H,$C:$C,$C1548,$D:$D,"P0(후)"))</f>
        <v/>
      </c>
      <c r="Q1548" s="30">
        <f>IF(COUNTIFS($C:$C,$C1548,$D:$D,"P0(후)",$L:$L,"&gt;0")&lt;&gt;1,"",SUMIFS($L:$L,$C:$C,$C1548,$D:$D,"P0(후)"))</f>
        <v/>
      </c>
      <c r="R1548" s="30">
        <f>IF(M1548&lt;&gt;"OK","",O1548+(Q1548-O1548)*(H1548-N1548)/(P1548-N1548))</f>
        <v/>
      </c>
      <c r="S1548" s="30">
        <f>IF(OR(M1548&lt;&gt;"OK",NOT(ISNUMBER(L1548))),"",L1548-R1548)</f>
        <v/>
      </c>
      <c r="T1548" s="46">
        <f>IF(OR(NOT(ISNUMBER(S1548)),IF(ISNUMBER(G1548),G1548,F1548)=0),"",S1548/IF(ISNUMBER(G1548),G1548,F1548))</f>
        <v/>
      </c>
      <c r="U1548" s="46">
        <f>IF(ISNUMBER(T1548),ABS(T1548),"")</f>
        <v/>
      </c>
      <c r="V1548" s="46">
        <f>IF(OR($D1547&lt;&gt;"측정",$C1547&lt;&gt;$C1548,NOT(ISNUMBER(L1548)),NOT(ISNUMBER(L1547)),(IF(ISNUMBER(G1548),G1548,F1548)-IF(ISNUMBER(G1547),G1547,F1547))=0),"",(L1548-L1547)/(IF(ISNUMBER(G1548),G1548,F1548)-IF(ISNUMBER(G1547),G1547,F1547)))</f>
        <v/>
      </c>
      <c r="W1548" s="30">
        <f>IF(NOT(AND(ISNUMBER(N1548),ISNUMBER(P1548))),"",(P1548-N1548)*1440)</f>
        <v/>
      </c>
      <c r="X1548" s="28" t="n"/>
      <c r="Y1548" s="28" t="n"/>
      <c r="Z1548" s="28" t="n"/>
      <c r="AA1548" s="31" t="n"/>
      <c r="AB1548" s="31" t="n"/>
    </row>
    <row r="1549">
      <c r="A1549" s="25" t="inlineStr">
        <is>
          <t>S30</t>
        </is>
      </c>
      <c r="B1549" s="25" t="inlineStr">
        <is>
          <t>창녕 신규점</t>
        </is>
      </c>
      <c r="C1549" s="25" t="inlineStr">
        <is>
          <t>S30-H남</t>
        </is>
      </c>
      <c r="D1549" s="25" t="inlineStr">
        <is>
          <t>측정</t>
        </is>
      </c>
      <c r="E1549" s="25" t="inlineStr">
        <is>
          <t>남</t>
        </is>
      </c>
      <c r="F1549" s="30" t="n">
        <v>9</v>
      </c>
      <c r="G1549" s="29" t="n"/>
      <c r="H1549" s="42" t="n"/>
      <c r="I1549" s="40" t="n"/>
      <c r="J1549" s="40" t="n"/>
      <c r="K1549" s="40" t="n"/>
      <c r="L1549" s="30">
        <f>IF(COUNT(I1549:K1549)=0,"",MEDIAN(I1549:K1549))</f>
        <v/>
      </c>
      <c r="M1549" s="25">
        <f>IF(COUNTIFS($C:$C,$C1549,$D:$D,"P0(전)",$L:$L,"&gt;0")&lt;&gt;1,"P0(전) 유효 1개 아님",IF(COUNTIFS($C:$C,$C1549,$D:$D,"P0(후)",$L:$L,"&gt;0")&lt;&gt;1,"P0(후) 유효 1개 아님",IF(NOT(AND(ISNUMBER(N1549),ISNUMBER(P1549),ISNUMBER(H1549))),"시각 결측",IF(P1549&lt;=N1549,"P0 시각 역전",IF(OR(H1549&lt;N1549,H1549&gt;P1549),"측정시각 구간 밖","OK")))))</f>
        <v/>
      </c>
      <c r="N1549" s="45">
        <f>IF(COUNTIFS($C:$C,$C1549,$D:$D,"P0(전)",$L:$L,"&gt;0")&lt;&gt;1,"",SUMIFS($H:$H,$C:$C,$C1549,$D:$D,"P0(전)"))</f>
        <v/>
      </c>
      <c r="O1549" s="30">
        <f>IF(COUNTIFS($C:$C,$C1549,$D:$D,"P0(전)",$L:$L,"&gt;0")&lt;&gt;1,"",SUMIFS($L:$L,$C:$C,$C1549,$D:$D,"P0(전)"))</f>
        <v/>
      </c>
      <c r="P1549" s="45">
        <f>IF(COUNTIFS($C:$C,$C1549,$D:$D,"P0(후)",$L:$L,"&gt;0")&lt;&gt;1,"",SUMIFS($H:$H,$C:$C,$C1549,$D:$D,"P0(후)"))</f>
        <v/>
      </c>
      <c r="Q1549" s="30">
        <f>IF(COUNTIFS($C:$C,$C1549,$D:$D,"P0(후)",$L:$L,"&gt;0")&lt;&gt;1,"",SUMIFS($L:$L,$C:$C,$C1549,$D:$D,"P0(후)"))</f>
        <v/>
      </c>
      <c r="R1549" s="30">
        <f>IF(M1549&lt;&gt;"OK","",O1549+(Q1549-O1549)*(H1549-N1549)/(P1549-N1549))</f>
        <v/>
      </c>
      <c r="S1549" s="30">
        <f>IF(OR(M1549&lt;&gt;"OK",NOT(ISNUMBER(L1549))),"",L1549-R1549)</f>
        <v/>
      </c>
      <c r="T1549" s="46">
        <f>IF(OR(NOT(ISNUMBER(S1549)),IF(ISNUMBER(G1549),G1549,F1549)=0),"",S1549/IF(ISNUMBER(G1549),G1549,F1549))</f>
        <v/>
      </c>
      <c r="U1549" s="46">
        <f>IF(ISNUMBER(T1549),ABS(T1549),"")</f>
        <v/>
      </c>
      <c r="V1549" s="46">
        <f>IF(OR($D1548&lt;&gt;"측정",$C1548&lt;&gt;$C1549,NOT(ISNUMBER(L1549)),NOT(ISNUMBER(L1548)),(IF(ISNUMBER(G1549),G1549,F1549)-IF(ISNUMBER(G1548),G1548,F1548))=0),"",(L1549-L1548)/(IF(ISNUMBER(G1549),G1549,F1549)-IF(ISNUMBER(G1548),G1548,F1548)))</f>
        <v/>
      </c>
      <c r="W1549" s="30">
        <f>IF(NOT(AND(ISNUMBER(N1549),ISNUMBER(P1549))),"",(P1549-N1549)*1440)</f>
        <v/>
      </c>
      <c r="X1549" s="28" t="n"/>
      <c r="Y1549" s="28" t="n"/>
      <c r="Z1549" s="28" t="n"/>
      <c r="AA1549" s="31" t="n"/>
      <c r="AB1549" s="31" t="n"/>
    </row>
    <row r="1550">
      <c r="A1550" s="25" t="inlineStr">
        <is>
          <t>S30</t>
        </is>
      </c>
      <c r="B1550" s="25" t="inlineStr">
        <is>
          <t>창녕 신규점</t>
        </is>
      </c>
      <c r="C1550" s="25" t="inlineStr">
        <is>
          <t>S30-H남</t>
        </is>
      </c>
      <c r="D1550" s="25" t="inlineStr">
        <is>
          <t>측정</t>
        </is>
      </c>
      <c r="E1550" s="25" t="inlineStr">
        <is>
          <t>남</t>
        </is>
      </c>
      <c r="F1550" s="30" t="n">
        <v>10</v>
      </c>
      <c r="G1550" s="29" t="n"/>
      <c r="H1550" s="42" t="n"/>
      <c r="I1550" s="40" t="n"/>
      <c r="J1550" s="40" t="n"/>
      <c r="K1550" s="40" t="n"/>
      <c r="L1550" s="30">
        <f>IF(COUNT(I1550:K1550)=0,"",MEDIAN(I1550:K1550))</f>
        <v/>
      </c>
      <c r="M1550" s="25">
        <f>IF(COUNTIFS($C:$C,$C1550,$D:$D,"P0(전)",$L:$L,"&gt;0")&lt;&gt;1,"P0(전) 유효 1개 아님",IF(COUNTIFS($C:$C,$C1550,$D:$D,"P0(후)",$L:$L,"&gt;0")&lt;&gt;1,"P0(후) 유효 1개 아님",IF(NOT(AND(ISNUMBER(N1550),ISNUMBER(P1550),ISNUMBER(H1550))),"시각 결측",IF(P1550&lt;=N1550,"P0 시각 역전",IF(OR(H1550&lt;N1550,H1550&gt;P1550),"측정시각 구간 밖","OK")))))</f>
        <v/>
      </c>
      <c r="N1550" s="45">
        <f>IF(COUNTIFS($C:$C,$C1550,$D:$D,"P0(전)",$L:$L,"&gt;0")&lt;&gt;1,"",SUMIFS($H:$H,$C:$C,$C1550,$D:$D,"P0(전)"))</f>
        <v/>
      </c>
      <c r="O1550" s="30">
        <f>IF(COUNTIFS($C:$C,$C1550,$D:$D,"P0(전)",$L:$L,"&gt;0")&lt;&gt;1,"",SUMIFS($L:$L,$C:$C,$C1550,$D:$D,"P0(전)"))</f>
        <v/>
      </c>
      <c r="P1550" s="45">
        <f>IF(COUNTIFS($C:$C,$C1550,$D:$D,"P0(후)",$L:$L,"&gt;0")&lt;&gt;1,"",SUMIFS($H:$H,$C:$C,$C1550,$D:$D,"P0(후)"))</f>
        <v/>
      </c>
      <c r="Q1550" s="30">
        <f>IF(COUNTIFS($C:$C,$C1550,$D:$D,"P0(후)",$L:$L,"&gt;0")&lt;&gt;1,"",SUMIFS($L:$L,$C:$C,$C1550,$D:$D,"P0(후)"))</f>
        <v/>
      </c>
      <c r="R1550" s="30">
        <f>IF(M1550&lt;&gt;"OK","",O1550+(Q1550-O1550)*(H1550-N1550)/(P1550-N1550))</f>
        <v/>
      </c>
      <c r="S1550" s="30">
        <f>IF(OR(M1550&lt;&gt;"OK",NOT(ISNUMBER(L1550))),"",L1550-R1550)</f>
        <v/>
      </c>
      <c r="T1550" s="46">
        <f>IF(OR(NOT(ISNUMBER(S1550)),IF(ISNUMBER(G1550),G1550,F1550)=0),"",S1550/IF(ISNUMBER(G1550),G1550,F1550))</f>
        <v/>
      </c>
      <c r="U1550" s="46">
        <f>IF(ISNUMBER(T1550),ABS(T1550),"")</f>
        <v/>
      </c>
      <c r="V1550" s="46">
        <f>IF(OR($D1549&lt;&gt;"측정",$C1549&lt;&gt;$C1550,NOT(ISNUMBER(L1550)),NOT(ISNUMBER(L1549)),(IF(ISNUMBER(G1550),G1550,F1550)-IF(ISNUMBER(G1549),G1549,F1549))=0),"",(L1550-L1549)/(IF(ISNUMBER(G1550),G1550,F1550)-IF(ISNUMBER(G1549),G1549,F1549)))</f>
        <v/>
      </c>
      <c r="W1550" s="30">
        <f>IF(NOT(AND(ISNUMBER(N1550),ISNUMBER(P1550))),"",(P1550-N1550)*1440)</f>
        <v/>
      </c>
      <c r="X1550" s="28" t="n"/>
      <c r="Y1550" s="28" t="n"/>
      <c r="Z1550" s="28" t="n"/>
      <c r="AA1550" s="31" t="n"/>
      <c r="AB1550" s="31" t="n"/>
    </row>
    <row r="1551">
      <c r="A1551" s="43" t="inlineStr">
        <is>
          <t>S30</t>
        </is>
      </c>
      <c r="B1551" s="43" t="inlineStr">
        <is>
          <t>창녕 신규점</t>
        </is>
      </c>
      <c r="C1551" s="43" t="inlineStr">
        <is>
          <t>S30-H남</t>
        </is>
      </c>
      <c r="D1551" s="43" t="inlineStr">
        <is>
          <t>P0(후)</t>
        </is>
      </c>
      <c r="E1551" s="43" t="inlineStr">
        <is>
          <t>남</t>
        </is>
      </c>
      <c r="F1551" s="44" t="n"/>
      <c r="G1551" s="29" t="n"/>
      <c r="H1551" s="42" t="n"/>
      <c r="I1551" s="40" t="n"/>
      <c r="J1551" s="40" t="n"/>
      <c r="K1551" s="40" t="n"/>
      <c r="L1551" s="30">
        <f>IF(COUNT(I1551:K1551)=0,"",MEDIAN(I1551:K1551))</f>
        <v/>
      </c>
      <c r="M1551" s="37" t="n"/>
      <c r="N1551" s="37" t="n"/>
      <c r="O1551" s="37" t="n"/>
      <c r="P1551" s="37" t="n"/>
      <c r="Q1551" s="37" t="n"/>
      <c r="R1551" s="37" t="n"/>
      <c r="S1551" s="37" t="n"/>
      <c r="T1551" s="37" t="n"/>
      <c r="U1551" s="37" t="n"/>
      <c r="V1551" s="37" t="n"/>
      <c r="W1551" s="37" t="n"/>
      <c r="X1551" s="28" t="n"/>
      <c r="Y1551" s="28" t="n"/>
      <c r="Z1551" s="28" t="n"/>
      <c r="AA1551" s="31" t="n"/>
      <c r="AB1551" s="31" t="n"/>
    </row>
    <row r="1552">
      <c r="A1552" s="43" t="inlineStr">
        <is>
          <t>S30</t>
        </is>
      </c>
      <c r="B1552" s="43" t="inlineStr">
        <is>
          <t>창녕 신규점</t>
        </is>
      </c>
      <c r="C1552" s="43" t="inlineStr">
        <is>
          <t>S30-H북</t>
        </is>
      </c>
      <c r="D1552" s="43" t="inlineStr">
        <is>
          <t>P0(전)</t>
        </is>
      </c>
      <c r="E1552" s="43" t="inlineStr">
        <is>
          <t>북</t>
        </is>
      </c>
      <c r="F1552" s="44" t="n"/>
      <c r="G1552" s="29" t="n"/>
      <c r="H1552" s="42" t="n"/>
      <c r="I1552" s="40" t="n"/>
      <c r="J1552" s="40" t="n"/>
      <c r="K1552" s="40" t="n"/>
      <c r="L1552" s="30">
        <f>IF(COUNT(I1552:K1552)=0,"",MEDIAN(I1552:K1552))</f>
        <v/>
      </c>
      <c r="M1552" s="37" t="n"/>
      <c r="N1552" s="37" t="n"/>
      <c r="O1552" s="37" t="n"/>
      <c r="P1552" s="37" t="n"/>
      <c r="Q1552" s="37" t="n"/>
      <c r="R1552" s="37" t="n"/>
      <c r="S1552" s="37" t="n"/>
      <c r="T1552" s="37" t="n"/>
      <c r="U1552" s="37" t="n"/>
      <c r="V1552" s="37" t="n"/>
      <c r="W1552" s="37" t="n"/>
      <c r="X1552" s="28" t="n"/>
      <c r="Y1552" s="28" t="n"/>
      <c r="Z1552" s="28" t="n"/>
      <c r="AA1552" s="31" t="n"/>
      <c r="AB1552" s="31" t="n"/>
    </row>
    <row r="1553">
      <c r="A1553" s="25" t="inlineStr">
        <is>
          <t>S30</t>
        </is>
      </c>
      <c r="B1553" s="25" t="inlineStr">
        <is>
          <t>창녕 신규점</t>
        </is>
      </c>
      <c r="C1553" s="25" t="inlineStr">
        <is>
          <t>S30-H북</t>
        </is>
      </c>
      <c r="D1553" s="25" t="inlineStr">
        <is>
          <t>측정</t>
        </is>
      </c>
      <c r="E1553" s="25" t="inlineStr">
        <is>
          <t>북</t>
        </is>
      </c>
      <c r="F1553" s="30" t="n">
        <v>0.5</v>
      </c>
      <c r="G1553" s="29" t="n"/>
      <c r="H1553" s="42" t="n"/>
      <c r="I1553" s="40" t="n"/>
      <c r="J1553" s="40" t="n"/>
      <c r="K1553" s="40" t="n"/>
      <c r="L1553" s="30">
        <f>IF(COUNT(I1553:K1553)=0,"",MEDIAN(I1553:K1553))</f>
        <v/>
      </c>
      <c r="M1553" s="25">
        <f>IF(COUNTIFS($C:$C,$C1553,$D:$D,"P0(전)",$L:$L,"&gt;0")&lt;&gt;1,"P0(전) 유효 1개 아님",IF(COUNTIFS($C:$C,$C1553,$D:$D,"P0(후)",$L:$L,"&gt;0")&lt;&gt;1,"P0(후) 유효 1개 아님",IF(NOT(AND(ISNUMBER(N1553),ISNUMBER(P1553),ISNUMBER(H1553))),"시각 결측",IF(P1553&lt;=N1553,"P0 시각 역전",IF(OR(H1553&lt;N1553,H1553&gt;P1553),"측정시각 구간 밖","OK")))))</f>
        <v/>
      </c>
      <c r="N1553" s="45">
        <f>IF(COUNTIFS($C:$C,$C1553,$D:$D,"P0(전)",$L:$L,"&gt;0")&lt;&gt;1,"",SUMIFS($H:$H,$C:$C,$C1553,$D:$D,"P0(전)"))</f>
        <v/>
      </c>
      <c r="O1553" s="30">
        <f>IF(COUNTIFS($C:$C,$C1553,$D:$D,"P0(전)",$L:$L,"&gt;0")&lt;&gt;1,"",SUMIFS($L:$L,$C:$C,$C1553,$D:$D,"P0(전)"))</f>
        <v/>
      </c>
      <c r="P1553" s="45">
        <f>IF(COUNTIFS($C:$C,$C1553,$D:$D,"P0(후)",$L:$L,"&gt;0")&lt;&gt;1,"",SUMIFS($H:$H,$C:$C,$C1553,$D:$D,"P0(후)"))</f>
        <v/>
      </c>
      <c r="Q1553" s="30">
        <f>IF(COUNTIFS($C:$C,$C1553,$D:$D,"P0(후)",$L:$L,"&gt;0")&lt;&gt;1,"",SUMIFS($L:$L,$C:$C,$C1553,$D:$D,"P0(후)"))</f>
        <v/>
      </c>
      <c r="R1553" s="30">
        <f>IF(M1553&lt;&gt;"OK","",O1553+(Q1553-O1553)*(H1553-N1553)/(P1553-N1553))</f>
        <v/>
      </c>
      <c r="S1553" s="30">
        <f>IF(OR(M1553&lt;&gt;"OK",NOT(ISNUMBER(L1553))),"",L1553-R1553)</f>
        <v/>
      </c>
      <c r="T1553" s="46">
        <f>IF(OR(NOT(ISNUMBER(S1553)),IF(ISNUMBER(G1553),G1553,F1553)=0),"",S1553/IF(ISNUMBER(G1553),G1553,F1553))</f>
        <v/>
      </c>
      <c r="U1553" s="46">
        <f>IF(ISNUMBER(T1553),ABS(T1553),"")</f>
        <v/>
      </c>
      <c r="V1553" s="46">
        <f>IF(OR($D1552&lt;&gt;"측정",$C1552&lt;&gt;$C1553,NOT(ISNUMBER(L1553)),NOT(ISNUMBER(L1552)),(IF(ISNUMBER(G1553),G1553,F1553)-IF(ISNUMBER(G1552),G1552,F1552))=0),"",(L1553-L1552)/(IF(ISNUMBER(G1553),G1553,F1553)-IF(ISNUMBER(G1552),G1552,F1552)))</f>
        <v/>
      </c>
      <c r="W1553" s="30">
        <f>IF(NOT(AND(ISNUMBER(N1553),ISNUMBER(P1553))),"",(P1553-N1553)*1440)</f>
        <v/>
      </c>
      <c r="X1553" s="28" t="n"/>
      <c r="Y1553" s="28" t="n"/>
      <c r="Z1553" s="28" t="n"/>
      <c r="AA1553" s="31" t="n"/>
      <c r="AB1553" s="31" t="n"/>
    </row>
    <row r="1554">
      <c r="A1554" s="25" t="inlineStr">
        <is>
          <t>S30</t>
        </is>
      </c>
      <c r="B1554" s="25" t="inlineStr">
        <is>
          <t>창녕 신규점</t>
        </is>
      </c>
      <c r="C1554" s="25" t="inlineStr">
        <is>
          <t>S30-H북</t>
        </is>
      </c>
      <c r="D1554" s="25" t="inlineStr">
        <is>
          <t>측정</t>
        </is>
      </c>
      <c r="E1554" s="25" t="inlineStr">
        <is>
          <t>북</t>
        </is>
      </c>
      <c r="F1554" s="30" t="n">
        <v>1</v>
      </c>
      <c r="G1554" s="29" t="n"/>
      <c r="H1554" s="42" t="n"/>
      <c r="I1554" s="40" t="n"/>
      <c r="J1554" s="40" t="n"/>
      <c r="K1554" s="40" t="n"/>
      <c r="L1554" s="30">
        <f>IF(COUNT(I1554:K1554)=0,"",MEDIAN(I1554:K1554))</f>
        <v/>
      </c>
      <c r="M1554" s="25">
        <f>IF(COUNTIFS($C:$C,$C1554,$D:$D,"P0(전)",$L:$L,"&gt;0")&lt;&gt;1,"P0(전) 유효 1개 아님",IF(COUNTIFS($C:$C,$C1554,$D:$D,"P0(후)",$L:$L,"&gt;0")&lt;&gt;1,"P0(후) 유효 1개 아님",IF(NOT(AND(ISNUMBER(N1554),ISNUMBER(P1554),ISNUMBER(H1554))),"시각 결측",IF(P1554&lt;=N1554,"P0 시각 역전",IF(OR(H1554&lt;N1554,H1554&gt;P1554),"측정시각 구간 밖","OK")))))</f>
        <v/>
      </c>
      <c r="N1554" s="45">
        <f>IF(COUNTIFS($C:$C,$C1554,$D:$D,"P0(전)",$L:$L,"&gt;0")&lt;&gt;1,"",SUMIFS($H:$H,$C:$C,$C1554,$D:$D,"P0(전)"))</f>
        <v/>
      </c>
      <c r="O1554" s="30">
        <f>IF(COUNTIFS($C:$C,$C1554,$D:$D,"P0(전)",$L:$L,"&gt;0")&lt;&gt;1,"",SUMIFS($L:$L,$C:$C,$C1554,$D:$D,"P0(전)"))</f>
        <v/>
      </c>
      <c r="P1554" s="45">
        <f>IF(COUNTIFS($C:$C,$C1554,$D:$D,"P0(후)",$L:$L,"&gt;0")&lt;&gt;1,"",SUMIFS($H:$H,$C:$C,$C1554,$D:$D,"P0(후)"))</f>
        <v/>
      </c>
      <c r="Q1554" s="30">
        <f>IF(COUNTIFS($C:$C,$C1554,$D:$D,"P0(후)",$L:$L,"&gt;0")&lt;&gt;1,"",SUMIFS($L:$L,$C:$C,$C1554,$D:$D,"P0(후)"))</f>
        <v/>
      </c>
      <c r="R1554" s="30">
        <f>IF(M1554&lt;&gt;"OK","",O1554+(Q1554-O1554)*(H1554-N1554)/(P1554-N1554))</f>
        <v/>
      </c>
      <c r="S1554" s="30">
        <f>IF(OR(M1554&lt;&gt;"OK",NOT(ISNUMBER(L1554))),"",L1554-R1554)</f>
        <v/>
      </c>
      <c r="T1554" s="46">
        <f>IF(OR(NOT(ISNUMBER(S1554)),IF(ISNUMBER(G1554),G1554,F1554)=0),"",S1554/IF(ISNUMBER(G1554),G1554,F1554))</f>
        <v/>
      </c>
      <c r="U1554" s="46">
        <f>IF(ISNUMBER(T1554),ABS(T1554),"")</f>
        <v/>
      </c>
      <c r="V1554" s="46">
        <f>IF(OR($D1553&lt;&gt;"측정",$C1553&lt;&gt;$C1554,NOT(ISNUMBER(L1554)),NOT(ISNUMBER(L1553)),(IF(ISNUMBER(G1554),G1554,F1554)-IF(ISNUMBER(G1553),G1553,F1553))=0),"",(L1554-L1553)/(IF(ISNUMBER(G1554),G1554,F1554)-IF(ISNUMBER(G1553),G1553,F1553)))</f>
        <v/>
      </c>
      <c r="W1554" s="30">
        <f>IF(NOT(AND(ISNUMBER(N1554),ISNUMBER(P1554))),"",(P1554-N1554)*1440)</f>
        <v/>
      </c>
      <c r="X1554" s="28" t="n"/>
      <c r="Y1554" s="28" t="n"/>
      <c r="Z1554" s="28" t="n"/>
      <c r="AA1554" s="31" t="n"/>
      <c r="AB1554" s="31" t="n"/>
    </row>
    <row r="1555">
      <c r="A1555" s="25" t="inlineStr">
        <is>
          <t>S30</t>
        </is>
      </c>
      <c r="B1555" s="25" t="inlineStr">
        <is>
          <t>창녕 신규점</t>
        </is>
      </c>
      <c r="C1555" s="25" t="inlineStr">
        <is>
          <t>S30-H북</t>
        </is>
      </c>
      <c r="D1555" s="25" t="inlineStr">
        <is>
          <t>측정</t>
        </is>
      </c>
      <c r="E1555" s="25" t="inlineStr">
        <is>
          <t>북</t>
        </is>
      </c>
      <c r="F1555" s="30" t="n">
        <v>2</v>
      </c>
      <c r="G1555" s="29" t="n"/>
      <c r="H1555" s="42" t="n"/>
      <c r="I1555" s="40" t="n"/>
      <c r="J1555" s="40" t="n"/>
      <c r="K1555" s="40" t="n"/>
      <c r="L1555" s="30">
        <f>IF(COUNT(I1555:K1555)=0,"",MEDIAN(I1555:K1555))</f>
        <v/>
      </c>
      <c r="M1555" s="25">
        <f>IF(COUNTIFS($C:$C,$C1555,$D:$D,"P0(전)",$L:$L,"&gt;0")&lt;&gt;1,"P0(전) 유효 1개 아님",IF(COUNTIFS($C:$C,$C1555,$D:$D,"P0(후)",$L:$L,"&gt;0")&lt;&gt;1,"P0(후) 유효 1개 아님",IF(NOT(AND(ISNUMBER(N1555),ISNUMBER(P1555),ISNUMBER(H1555))),"시각 결측",IF(P1555&lt;=N1555,"P0 시각 역전",IF(OR(H1555&lt;N1555,H1555&gt;P1555),"측정시각 구간 밖","OK")))))</f>
        <v/>
      </c>
      <c r="N1555" s="45">
        <f>IF(COUNTIFS($C:$C,$C1555,$D:$D,"P0(전)",$L:$L,"&gt;0")&lt;&gt;1,"",SUMIFS($H:$H,$C:$C,$C1555,$D:$D,"P0(전)"))</f>
        <v/>
      </c>
      <c r="O1555" s="30">
        <f>IF(COUNTIFS($C:$C,$C1555,$D:$D,"P0(전)",$L:$L,"&gt;0")&lt;&gt;1,"",SUMIFS($L:$L,$C:$C,$C1555,$D:$D,"P0(전)"))</f>
        <v/>
      </c>
      <c r="P1555" s="45">
        <f>IF(COUNTIFS($C:$C,$C1555,$D:$D,"P0(후)",$L:$L,"&gt;0")&lt;&gt;1,"",SUMIFS($H:$H,$C:$C,$C1555,$D:$D,"P0(후)"))</f>
        <v/>
      </c>
      <c r="Q1555" s="30">
        <f>IF(COUNTIFS($C:$C,$C1555,$D:$D,"P0(후)",$L:$L,"&gt;0")&lt;&gt;1,"",SUMIFS($L:$L,$C:$C,$C1555,$D:$D,"P0(후)"))</f>
        <v/>
      </c>
      <c r="R1555" s="30">
        <f>IF(M1555&lt;&gt;"OK","",O1555+(Q1555-O1555)*(H1555-N1555)/(P1555-N1555))</f>
        <v/>
      </c>
      <c r="S1555" s="30">
        <f>IF(OR(M1555&lt;&gt;"OK",NOT(ISNUMBER(L1555))),"",L1555-R1555)</f>
        <v/>
      </c>
      <c r="T1555" s="46">
        <f>IF(OR(NOT(ISNUMBER(S1555)),IF(ISNUMBER(G1555),G1555,F1555)=0),"",S1555/IF(ISNUMBER(G1555),G1555,F1555))</f>
        <v/>
      </c>
      <c r="U1555" s="46">
        <f>IF(ISNUMBER(T1555),ABS(T1555),"")</f>
        <v/>
      </c>
      <c r="V1555" s="46">
        <f>IF(OR($D1554&lt;&gt;"측정",$C1554&lt;&gt;$C1555,NOT(ISNUMBER(L1555)),NOT(ISNUMBER(L1554)),(IF(ISNUMBER(G1555),G1555,F1555)-IF(ISNUMBER(G1554),G1554,F1554))=0),"",(L1555-L1554)/(IF(ISNUMBER(G1555),G1555,F1555)-IF(ISNUMBER(G1554),G1554,F1554)))</f>
        <v/>
      </c>
      <c r="W1555" s="30">
        <f>IF(NOT(AND(ISNUMBER(N1555),ISNUMBER(P1555))),"",(P1555-N1555)*1440)</f>
        <v/>
      </c>
      <c r="X1555" s="28" t="n"/>
      <c r="Y1555" s="28" t="n"/>
      <c r="Z1555" s="28" t="n"/>
      <c r="AA1555" s="31" t="n"/>
      <c r="AB1555" s="31" t="n"/>
    </row>
    <row r="1556">
      <c r="A1556" s="25" t="inlineStr">
        <is>
          <t>S30</t>
        </is>
      </c>
      <c r="B1556" s="25" t="inlineStr">
        <is>
          <t>창녕 신규점</t>
        </is>
      </c>
      <c r="C1556" s="25" t="inlineStr">
        <is>
          <t>S30-H북</t>
        </is>
      </c>
      <c r="D1556" s="25" t="inlineStr">
        <is>
          <t>측정</t>
        </is>
      </c>
      <c r="E1556" s="25" t="inlineStr">
        <is>
          <t>북</t>
        </is>
      </c>
      <c r="F1556" s="30" t="n">
        <v>3</v>
      </c>
      <c r="G1556" s="29" t="n"/>
      <c r="H1556" s="42" t="n"/>
      <c r="I1556" s="40" t="n"/>
      <c r="J1556" s="40" t="n"/>
      <c r="K1556" s="40" t="n"/>
      <c r="L1556" s="30">
        <f>IF(COUNT(I1556:K1556)=0,"",MEDIAN(I1556:K1556))</f>
        <v/>
      </c>
      <c r="M1556" s="25">
        <f>IF(COUNTIFS($C:$C,$C1556,$D:$D,"P0(전)",$L:$L,"&gt;0")&lt;&gt;1,"P0(전) 유효 1개 아님",IF(COUNTIFS($C:$C,$C1556,$D:$D,"P0(후)",$L:$L,"&gt;0")&lt;&gt;1,"P0(후) 유효 1개 아님",IF(NOT(AND(ISNUMBER(N1556),ISNUMBER(P1556),ISNUMBER(H1556))),"시각 결측",IF(P1556&lt;=N1556,"P0 시각 역전",IF(OR(H1556&lt;N1556,H1556&gt;P1556),"측정시각 구간 밖","OK")))))</f>
        <v/>
      </c>
      <c r="N1556" s="45">
        <f>IF(COUNTIFS($C:$C,$C1556,$D:$D,"P0(전)",$L:$L,"&gt;0")&lt;&gt;1,"",SUMIFS($H:$H,$C:$C,$C1556,$D:$D,"P0(전)"))</f>
        <v/>
      </c>
      <c r="O1556" s="30">
        <f>IF(COUNTIFS($C:$C,$C1556,$D:$D,"P0(전)",$L:$L,"&gt;0")&lt;&gt;1,"",SUMIFS($L:$L,$C:$C,$C1556,$D:$D,"P0(전)"))</f>
        <v/>
      </c>
      <c r="P1556" s="45">
        <f>IF(COUNTIFS($C:$C,$C1556,$D:$D,"P0(후)",$L:$L,"&gt;0")&lt;&gt;1,"",SUMIFS($H:$H,$C:$C,$C1556,$D:$D,"P0(후)"))</f>
        <v/>
      </c>
      <c r="Q1556" s="30">
        <f>IF(COUNTIFS($C:$C,$C1556,$D:$D,"P0(후)",$L:$L,"&gt;0")&lt;&gt;1,"",SUMIFS($L:$L,$C:$C,$C1556,$D:$D,"P0(후)"))</f>
        <v/>
      </c>
      <c r="R1556" s="30">
        <f>IF(M1556&lt;&gt;"OK","",O1556+(Q1556-O1556)*(H1556-N1556)/(P1556-N1556))</f>
        <v/>
      </c>
      <c r="S1556" s="30">
        <f>IF(OR(M1556&lt;&gt;"OK",NOT(ISNUMBER(L1556))),"",L1556-R1556)</f>
        <v/>
      </c>
      <c r="T1556" s="46">
        <f>IF(OR(NOT(ISNUMBER(S1556)),IF(ISNUMBER(G1556),G1556,F1556)=0),"",S1556/IF(ISNUMBER(G1556),G1556,F1556))</f>
        <v/>
      </c>
      <c r="U1556" s="46">
        <f>IF(ISNUMBER(T1556),ABS(T1556),"")</f>
        <v/>
      </c>
      <c r="V1556" s="46">
        <f>IF(OR($D1555&lt;&gt;"측정",$C1555&lt;&gt;$C1556,NOT(ISNUMBER(L1556)),NOT(ISNUMBER(L1555)),(IF(ISNUMBER(G1556),G1556,F1556)-IF(ISNUMBER(G1555),G1555,F1555))=0),"",(L1556-L1555)/(IF(ISNUMBER(G1556),G1556,F1556)-IF(ISNUMBER(G1555),G1555,F1555)))</f>
        <v/>
      </c>
      <c r="W1556" s="30">
        <f>IF(NOT(AND(ISNUMBER(N1556),ISNUMBER(P1556))),"",(P1556-N1556)*1440)</f>
        <v/>
      </c>
      <c r="X1556" s="28" t="n"/>
      <c r="Y1556" s="28" t="n"/>
      <c r="Z1556" s="28" t="n"/>
      <c r="AA1556" s="31" t="n"/>
      <c r="AB1556" s="31" t="n"/>
    </row>
    <row r="1557">
      <c r="A1557" s="25" t="inlineStr">
        <is>
          <t>S30</t>
        </is>
      </c>
      <c r="B1557" s="25" t="inlineStr">
        <is>
          <t>창녕 신규점</t>
        </is>
      </c>
      <c r="C1557" s="25" t="inlineStr">
        <is>
          <t>S30-H북</t>
        </is>
      </c>
      <c r="D1557" s="25" t="inlineStr">
        <is>
          <t>측정</t>
        </is>
      </c>
      <c r="E1557" s="25" t="inlineStr">
        <is>
          <t>북</t>
        </is>
      </c>
      <c r="F1557" s="30" t="n">
        <v>4</v>
      </c>
      <c r="G1557" s="29" t="n"/>
      <c r="H1557" s="42" t="n"/>
      <c r="I1557" s="40" t="n"/>
      <c r="J1557" s="40" t="n"/>
      <c r="K1557" s="40" t="n"/>
      <c r="L1557" s="30">
        <f>IF(COUNT(I1557:K1557)=0,"",MEDIAN(I1557:K1557))</f>
        <v/>
      </c>
      <c r="M1557" s="25">
        <f>IF(COUNTIFS($C:$C,$C1557,$D:$D,"P0(전)",$L:$L,"&gt;0")&lt;&gt;1,"P0(전) 유효 1개 아님",IF(COUNTIFS($C:$C,$C1557,$D:$D,"P0(후)",$L:$L,"&gt;0")&lt;&gt;1,"P0(후) 유효 1개 아님",IF(NOT(AND(ISNUMBER(N1557),ISNUMBER(P1557),ISNUMBER(H1557))),"시각 결측",IF(P1557&lt;=N1557,"P0 시각 역전",IF(OR(H1557&lt;N1557,H1557&gt;P1557),"측정시각 구간 밖","OK")))))</f>
        <v/>
      </c>
      <c r="N1557" s="45">
        <f>IF(COUNTIFS($C:$C,$C1557,$D:$D,"P0(전)",$L:$L,"&gt;0")&lt;&gt;1,"",SUMIFS($H:$H,$C:$C,$C1557,$D:$D,"P0(전)"))</f>
        <v/>
      </c>
      <c r="O1557" s="30">
        <f>IF(COUNTIFS($C:$C,$C1557,$D:$D,"P0(전)",$L:$L,"&gt;0")&lt;&gt;1,"",SUMIFS($L:$L,$C:$C,$C1557,$D:$D,"P0(전)"))</f>
        <v/>
      </c>
      <c r="P1557" s="45">
        <f>IF(COUNTIFS($C:$C,$C1557,$D:$D,"P0(후)",$L:$L,"&gt;0")&lt;&gt;1,"",SUMIFS($H:$H,$C:$C,$C1557,$D:$D,"P0(후)"))</f>
        <v/>
      </c>
      <c r="Q1557" s="30">
        <f>IF(COUNTIFS($C:$C,$C1557,$D:$D,"P0(후)",$L:$L,"&gt;0")&lt;&gt;1,"",SUMIFS($L:$L,$C:$C,$C1557,$D:$D,"P0(후)"))</f>
        <v/>
      </c>
      <c r="R1557" s="30">
        <f>IF(M1557&lt;&gt;"OK","",O1557+(Q1557-O1557)*(H1557-N1557)/(P1557-N1557))</f>
        <v/>
      </c>
      <c r="S1557" s="30">
        <f>IF(OR(M1557&lt;&gt;"OK",NOT(ISNUMBER(L1557))),"",L1557-R1557)</f>
        <v/>
      </c>
      <c r="T1557" s="46">
        <f>IF(OR(NOT(ISNUMBER(S1557)),IF(ISNUMBER(G1557),G1557,F1557)=0),"",S1557/IF(ISNUMBER(G1557),G1557,F1557))</f>
        <v/>
      </c>
      <c r="U1557" s="46">
        <f>IF(ISNUMBER(T1557),ABS(T1557),"")</f>
        <v/>
      </c>
      <c r="V1557" s="46">
        <f>IF(OR($D1556&lt;&gt;"측정",$C1556&lt;&gt;$C1557,NOT(ISNUMBER(L1557)),NOT(ISNUMBER(L1556)),(IF(ISNUMBER(G1557),G1557,F1557)-IF(ISNUMBER(G1556),G1556,F1556))=0),"",(L1557-L1556)/(IF(ISNUMBER(G1557),G1557,F1557)-IF(ISNUMBER(G1556),G1556,F1556)))</f>
        <v/>
      </c>
      <c r="W1557" s="30">
        <f>IF(NOT(AND(ISNUMBER(N1557),ISNUMBER(P1557))),"",(P1557-N1557)*1440)</f>
        <v/>
      </c>
      <c r="X1557" s="28" t="n"/>
      <c r="Y1557" s="28" t="n"/>
      <c r="Z1557" s="28" t="n"/>
      <c r="AA1557" s="31" t="n"/>
      <c r="AB1557" s="31" t="n"/>
    </row>
    <row r="1558">
      <c r="A1558" s="25" t="inlineStr">
        <is>
          <t>S30</t>
        </is>
      </c>
      <c r="B1558" s="25" t="inlineStr">
        <is>
          <t>창녕 신규점</t>
        </is>
      </c>
      <c r="C1558" s="25" t="inlineStr">
        <is>
          <t>S30-H북</t>
        </is>
      </c>
      <c r="D1558" s="25" t="inlineStr">
        <is>
          <t>측정</t>
        </is>
      </c>
      <c r="E1558" s="25" t="inlineStr">
        <is>
          <t>북</t>
        </is>
      </c>
      <c r="F1558" s="30" t="n">
        <v>5</v>
      </c>
      <c r="G1558" s="29" t="n"/>
      <c r="H1558" s="42" t="n"/>
      <c r="I1558" s="40" t="n"/>
      <c r="J1558" s="40" t="n"/>
      <c r="K1558" s="40" t="n"/>
      <c r="L1558" s="30">
        <f>IF(COUNT(I1558:K1558)=0,"",MEDIAN(I1558:K1558))</f>
        <v/>
      </c>
      <c r="M1558" s="25">
        <f>IF(COUNTIFS($C:$C,$C1558,$D:$D,"P0(전)",$L:$L,"&gt;0")&lt;&gt;1,"P0(전) 유효 1개 아님",IF(COUNTIFS($C:$C,$C1558,$D:$D,"P0(후)",$L:$L,"&gt;0")&lt;&gt;1,"P0(후) 유효 1개 아님",IF(NOT(AND(ISNUMBER(N1558),ISNUMBER(P1558),ISNUMBER(H1558))),"시각 결측",IF(P1558&lt;=N1558,"P0 시각 역전",IF(OR(H1558&lt;N1558,H1558&gt;P1558),"측정시각 구간 밖","OK")))))</f>
        <v/>
      </c>
      <c r="N1558" s="45">
        <f>IF(COUNTIFS($C:$C,$C1558,$D:$D,"P0(전)",$L:$L,"&gt;0")&lt;&gt;1,"",SUMIFS($H:$H,$C:$C,$C1558,$D:$D,"P0(전)"))</f>
        <v/>
      </c>
      <c r="O1558" s="30">
        <f>IF(COUNTIFS($C:$C,$C1558,$D:$D,"P0(전)",$L:$L,"&gt;0")&lt;&gt;1,"",SUMIFS($L:$L,$C:$C,$C1558,$D:$D,"P0(전)"))</f>
        <v/>
      </c>
      <c r="P1558" s="45">
        <f>IF(COUNTIFS($C:$C,$C1558,$D:$D,"P0(후)",$L:$L,"&gt;0")&lt;&gt;1,"",SUMIFS($H:$H,$C:$C,$C1558,$D:$D,"P0(후)"))</f>
        <v/>
      </c>
      <c r="Q1558" s="30">
        <f>IF(COUNTIFS($C:$C,$C1558,$D:$D,"P0(후)",$L:$L,"&gt;0")&lt;&gt;1,"",SUMIFS($L:$L,$C:$C,$C1558,$D:$D,"P0(후)"))</f>
        <v/>
      </c>
      <c r="R1558" s="30">
        <f>IF(M1558&lt;&gt;"OK","",O1558+(Q1558-O1558)*(H1558-N1558)/(P1558-N1558))</f>
        <v/>
      </c>
      <c r="S1558" s="30">
        <f>IF(OR(M1558&lt;&gt;"OK",NOT(ISNUMBER(L1558))),"",L1558-R1558)</f>
        <v/>
      </c>
      <c r="T1558" s="46">
        <f>IF(OR(NOT(ISNUMBER(S1558)),IF(ISNUMBER(G1558),G1558,F1558)=0),"",S1558/IF(ISNUMBER(G1558),G1558,F1558))</f>
        <v/>
      </c>
      <c r="U1558" s="46">
        <f>IF(ISNUMBER(T1558),ABS(T1558),"")</f>
        <v/>
      </c>
      <c r="V1558" s="46">
        <f>IF(OR($D1557&lt;&gt;"측정",$C1557&lt;&gt;$C1558,NOT(ISNUMBER(L1558)),NOT(ISNUMBER(L1557)),(IF(ISNUMBER(G1558),G1558,F1558)-IF(ISNUMBER(G1557),G1557,F1557))=0),"",(L1558-L1557)/(IF(ISNUMBER(G1558),G1558,F1558)-IF(ISNUMBER(G1557),G1557,F1557)))</f>
        <v/>
      </c>
      <c r="W1558" s="30">
        <f>IF(NOT(AND(ISNUMBER(N1558),ISNUMBER(P1558))),"",(P1558-N1558)*1440)</f>
        <v/>
      </c>
      <c r="X1558" s="28" t="n"/>
      <c r="Y1558" s="28" t="n"/>
      <c r="Z1558" s="28" t="n"/>
      <c r="AA1558" s="31" t="n"/>
      <c r="AB1558" s="31" t="n"/>
    </row>
    <row r="1559">
      <c r="A1559" s="25" t="inlineStr">
        <is>
          <t>S30</t>
        </is>
      </c>
      <c r="B1559" s="25" t="inlineStr">
        <is>
          <t>창녕 신규점</t>
        </is>
      </c>
      <c r="C1559" s="25" t="inlineStr">
        <is>
          <t>S30-H북</t>
        </is>
      </c>
      <c r="D1559" s="25" t="inlineStr">
        <is>
          <t>측정</t>
        </is>
      </c>
      <c r="E1559" s="25" t="inlineStr">
        <is>
          <t>북</t>
        </is>
      </c>
      <c r="F1559" s="30" t="n">
        <v>6</v>
      </c>
      <c r="G1559" s="29" t="n"/>
      <c r="H1559" s="42" t="n"/>
      <c r="I1559" s="40" t="n"/>
      <c r="J1559" s="40" t="n"/>
      <c r="K1559" s="40" t="n"/>
      <c r="L1559" s="30">
        <f>IF(COUNT(I1559:K1559)=0,"",MEDIAN(I1559:K1559))</f>
        <v/>
      </c>
      <c r="M1559" s="25">
        <f>IF(COUNTIFS($C:$C,$C1559,$D:$D,"P0(전)",$L:$L,"&gt;0")&lt;&gt;1,"P0(전) 유효 1개 아님",IF(COUNTIFS($C:$C,$C1559,$D:$D,"P0(후)",$L:$L,"&gt;0")&lt;&gt;1,"P0(후) 유효 1개 아님",IF(NOT(AND(ISNUMBER(N1559),ISNUMBER(P1559),ISNUMBER(H1559))),"시각 결측",IF(P1559&lt;=N1559,"P0 시각 역전",IF(OR(H1559&lt;N1559,H1559&gt;P1559),"측정시각 구간 밖","OK")))))</f>
        <v/>
      </c>
      <c r="N1559" s="45">
        <f>IF(COUNTIFS($C:$C,$C1559,$D:$D,"P0(전)",$L:$L,"&gt;0")&lt;&gt;1,"",SUMIFS($H:$H,$C:$C,$C1559,$D:$D,"P0(전)"))</f>
        <v/>
      </c>
      <c r="O1559" s="30">
        <f>IF(COUNTIFS($C:$C,$C1559,$D:$D,"P0(전)",$L:$L,"&gt;0")&lt;&gt;1,"",SUMIFS($L:$L,$C:$C,$C1559,$D:$D,"P0(전)"))</f>
        <v/>
      </c>
      <c r="P1559" s="45">
        <f>IF(COUNTIFS($C:$C,$C1559,$D:$D,"P0(후)",$L:$L,"&gt;0")&lt;&gt;1,"",SUMIFS($H:$H,$C:$C,$C1559,$D:$D,"P0(후)"))</f>
        <v/>
      </c>
      <c r="Q1559" s="30">
        <f>IF(COUNTIFS($C:$C,$C1559,$D:$D,"P0(후)",$L:$L,"&gt;0")&lt;&gt;1,"",SUMIFS($L:$L,$C:$C,$C1559,$D:$D,"P0(후)"))</f>
        <v/>
      </c>
      <c r="R1559" s="30">
        <f>IF(M1559&lt;&gt;"OK","",O1559+(Q1559-O1559)*(H1559-N1559)/(P1559-N1559))</f>
        <v/>
      </c>
      <c r="S1559" s="30">
        <f>IF(OR(M1559&lt;&gt;"OK",NOT(ISNUMBER(L1559))),"",L1559-R1559)</f>
        <v/>
      </c>
      <c r="T1559" s="46">
        <f>IF(OR(NOT(ISNUMBER(S1559)),IF(ISNUMBER(G1559),G1559,F1559)=0),"",S1559/IF(ISNUMBER(G1559),G1559,F1559))</f>
        <v/>
      </c>
      <c r="U1559" s="46">
        <f>IF(ISNUMBER(T1559),ABS(T1559),"")</f>
        <v/>
      </c>
      <c r="V1559" s="46">
        <f>IF(OR($D1558&lt;&gt;"측정",$C1558&lt;&gt;$C1559,NOT(ISNUMBER(L1559)),NOT(ISNUMBER(L1558)),(IF(ISNUMBER(G1559),G1559,F1559)-IF(ISNUMBER(G1558),G1558,F1558))=0),"",(L1559-L1558)/(IF(ISNUMBER(G1559),G1559,F1559)-IF(ISNUMBER(G1558),G1558,F1558)))</f>
        <v/>
      </c>
      <c r="W1559" s="30">
        <f>IF(NOT(AND(ISNUMBER(N1559),ISNUMBER(P1559))),"",(P1559-N1559)*1440)</f>
        <v/>
      </c>
      <c r="X1559" s="28" t="n"/>
      <c r="Y1559" s="28" t="n"/>
      <c r="Z1559" s="28" t="n"/>
      <c r="AA1559" s="31" t="n"/>
      <c r="AB1559" s="31" t="n"/>
    </row>
    <row r="1560">
      <c r="A1560" s="25" t="inlineStr">
        <is>
          <t>S30</t>
        </is>
      </c>
      <c r="B1560" s="25" t="inlineStr">
        <is>
          <t>창녕 신규점</t>
        </is>
      </c>
      <c r="C1560" s="25" t="inlineStr">
        <is>
          <t>S30-H북</t>
        </is>
      </c>
      <c r="D1560" s="25" t="inlineStr">
        <is>
          <t>측정</t>
        </is>
      </c>
      <c r="E1560" s="25" t="inlineStr">
        <is>
          <t>북</t>
        </is>
      </c>
      <c r="F1560" s="30" t="n">
        <v>7</v>
      </c>
      <c r="G1560" s="29" t="n"/>
      <c r="H1560" s="42" t="n"/>
      <c r="I1560" s="40" t="n"/>
      <c r="J1560" s="40" t="n"/>
      <c r="K1560" s="40" t="n"/>
      <c r="L1560" s="30">
        <f>IF(COUNT(I1560:K1560)=0,"",MEDIAN(I1560:K1560))</f>
        <v/>
      </c>
      <c r="M1560" s="25">
        <f>IF(COUNTIFS($C:$C,$C1560,$D:$D,"P0(전)",$L:$L,"&gt;0")&lt;&gt;1,"P0(전) 유효 1개 아님",IF(COUNTIFS($C:$C,$C1560,$D:$D,"P0(후)",$L:$L,"&gt;0")&lt;&gt;1,"P0(후) 유효 1개 아님",IF(NOT(AND(ISNUMBER(N1560),ISNUMBER(P1560),ISNUMBER(H1560))),"시각 결측",IF(P1560&lt;=N1560,"P0 시각 역전",IF(OR(H1560&lt;N1560,H1560&gt;P1560),"측정시각 구간 밖","OK")))))</f>
        <v/>
      </c>
      <c r="N1560" s="45">
        <f>IF(COUNTIFS($C:$C,$C1560,$D:$D,"P0(전)",$L:$L,"&gt;0")&lt;&gt;1,"",SUMIFS($H:$H,$C:$C,$C1560,$D:$D,"P0(전)"))</f>
        <v/>
      </c>
      <c r="O1560" s="30">
        <f>IF(COUNTIFS($C:$C,$C1560,$D:$D,"P0(전)",$L:$L,"&gt;0")&lt;&gt;1,"",SUMIFS($L:$L,$C:$C,$C1560,$D:$D,"P0(전)"))</f>
        <v/>
      </c>
      <c r="P1560" s="45">
        <f>IF(COUNTIFS($C:$C,$C1560,$D:$D,"P0(후)",$L:$L,"&gt;0")&lt;&gt;1,"",SUMIFS($H:$H,$C:$C,$C1560,$D:$D,"P0(후)"))</f>
        <v/>
      </c>
      <c r="Q1560" s="30">
        <f>IF(COUNTIFS($C:$C,$C1560,$D:$D,"P0(후)",$L:$L,"&gt;0")&lt;&gt;1,"",SUMIFS($L:$L,$C:$C,$C1560,$D:$D,"P0(후)"))</f>
        <v/>
      </c>
      <c r="R1560" s="30">
        <f>IF(M1560&lt;&gt;"OK","",O1560+(Q1560-O1560)*(H1560-N1560)/(P1560-N1560))</f>
        <v/>
      </c>
      <c r="S1560" s="30">
        <f>IF(OR(M1560&lt;&gt;"OK",NOT(ISNUMBER(L1560))),"",L1560-R1560)</f>
        <v/>
      </c>
      <c r="T1560" s="46">
        <f>IF(OR(NOT(ISNUMBER(S1560)),IF(ISNUMBER(G1560),G1560,F1560)=0),"",S1560/IF(ISNUMBER(G1560),G1560,F1560))</f>
        <v/>
      </c>
      <c r="U1560" s="46">
        <f>IF(ISNUMBER(T1560),ABS(T1560),"")</f>
        <v/>
      </c>
      <c r="V1560" s="46">
        <f>IF(OR($D1559&lt;&gt;"측정",$C1559&lt;&gt;$C1560,NOT(ISNUMBER(L1560)),NOT(ISNUMBER(L1559)),(IF(ISNUMBER(G1560),G1560,F1560)-IF(ISNUMBER(G1559),G1559,F1559))=0),"",(L1560-L1559)/(IF(ISNUMBER(G1560),G1560,F1560)-IF(ISNUMBER(G1559),G1559,F1559)))</f>
        <v/>
      </c>
      <c r="W1560" s="30">
        <f>IF(NOT(AND(ISNUMBER(N1560),ISNUMBER(P1560))),"",(P1560-N1560)*1440)</f>
        <v/>
      </c>
      <c r="X1560" s="28" t="n"/>
      <c r="Y1560" s="28" t="n"/>
      <c r="Z1560" s="28" t="n"/>
      <c r="AA1560" s="31" t="n"/>
      <c r="AB1560" s="31" t="n"/>
    </row>
    <row r="1561">
      <c r="A1561" s="25" t="inlineStr">
        <is>
          <t>S30</t>
        </is>
      </c>
      <c r="B1561" s="25" t="inlineStr">
        <is>
          <t>창녕 신규점</t>
        </is>
      </c>
      <c r="C1561" s="25" t="inlineStr">
        <is>
          <t>S30-H북</t>
        </is>
      </c>
      <c r="D1561" s="25" t="inlineStr">
        <is>
          <t>측정</t>
        </is>
      </c>
      <c r="E1561" s="25" t="inlineStr">
        <is>
          <t>북</t>
        </is>
      </c>
      <c r="F1561" s="30" t="n">
        <v>8</v>
      </c>
      <c r="G1561" s="29" t="n"/>
      <c r="H1561" s="42" t="n"/>
      <c r="I1561" s="40" t="n"/>
      <c r="J1561" s="40" t="n"/>
      <c r="K1561" s="40" t="n"/>
      <c r="L1561" s="30">
        <f>IF(COUNT(I1561:K1561)=0,"",MEDIAN(I1561:K1561))</f>
        <v/>
      </c>
      <c r="M1561" s="25">
        <f>IF(COUNTIFS($C:$C,$C1561,$D:$D,"P0(전)",$L:$L,"&gt;0")&lt;&gt;1,"P0(전) 유효 1개 아님",IF(COUNTIFS($C:$C,$C1561,$D:$D,"P0(후)",$L:$L,"&gt;0")&lt;&gt;1,"P0(후) 유효 1개 아님",IF(NOT(AND(ISNUMBER(N1561),ISNUMBER(P1561),ISNUMBER(H1561))),"시각 결측",IF(P1561&lt;=N1561,"P0 시각 역전",IF(OR(H1561&lt;N1561,H1561&gt;P1561),"측정시각 구간 밖","OK")))))</f>
        <v/>
      </c>
      <c r="N1561" s="45">
        <f>IF(COUNTIFS($C:$C,$C1561,$D:$D,"P0(전)",$L:$L,"&gt;0")&lt;&gt;1,"",SUMIFS($H:$H,$C:$C,$C1561,$D:$D,"P0(전)"))</f>
        <v/>
      </c>
      <c r="O1561" s="30">
        <f>IF(COUNTIFS($C:$C,$C1561,$D:$D,"P0(전)",$L:$L,"&gt;0")&lt;&gt;1,"",SUMIFS($L:$L,$C:$C,$C1561,$D:$D,"P0(전)"))</f>
        <v/>
      </c>
      <c r="P1561" s="45">
        <f>IF(COUNTIFS($C:$C,$C1561,$D:$D,"P0(후)",$L:$L,"&gt;0")&lt;&gt;1,"",SUMIFS($H:$H,$C:$C,$C1561,$D:$D,"P0(후)"))</f>
        <v/>
      </c>
      <c r="Q1561" s="30">
        <f>IF(COUNTIFS($C:$C,$C1561,$D:$D,"P0(후)",$L:$L,"&gt;0")&lt;&gt;1,"",SUMIFS($L:$L,$C:$C,$C1561,$D:$D,"P0(후)"))</f>
        <v/>
      </c>
      <c r="R1561" s="30">
        <f>IF(M1561&lt;&gt;"OK","",O1561+(Q1561-O1561)*(H1561-N1561)/(P1561-N1561))</f>
        <v/>
      </c>
      <c r="S1561" s="30">
        <f>IF(OR(M1561&lt;&gt;"OK",NOT(ISNUMBER(L1561))),"",L1561-R1561)</f>
        <v/>
      </c>
      <c r="T1561" s="46">
        <f>IF(OR(NOT(ISNUMBER(S1561)),IF(ISNUMBER(G1561),G1561,F1561)=0),"",S1561/IF(ISNUMBER(G1561),G1561,F1561))</f>
        <v/>
      </c>
      <c r="U1561" s="46">
        <f>IF(ISNUMBER(T1561),ABS(T1561),"")</f>
        <v/>
      </c>
      <c r="V1561" s="46">
        <f>IF(OR($D1560&lt;&gt;"측정",$C1560&lt;&gt;$C1561,NOT(ISNUMBER(L1561)),NOT(ISNUMBER(L1560)),(IF(ISNUMBER(G1561),G1561,F1561)-IF(ISNUMBER(G1560),G1560,F1560))=0),"",(L1561-L1560)/(IF(ISNUMBER(G1561),G1561,F1561)-IF(ISNUMBER(G1560),G1560,F1560)))</f>
        <v/>
      </c>
      <c r="W1561" s="30">
        <f>IF(NOT(AND(ISNUMBER(N1561),ISNUMBER(P1561))),"",(P1561-N1561)*1440)</f>
        <v/>
      </c>
      <c r="X1561" s="28" t="n"/>
      <c r="Y1561" s="28" t="n"/>
      <c r="Z1561" s="28" t="n"/>
      <c r="AA1561" s="31" t="n"/>
      <c r="AB1561" s="31" t="n"/>
    </row>
    <row r="1562">
      <c r="A1562" s="25" t="inlineStr">
        <is>
          <t>S30</t>
        </is>
      </c>
      <c r="B1562" s="25" t="inlineStr">
        <is>
          <t>창녕 신규점</t>
        </is>
      </c>
      <c r="C1562" s="25" t="inlineStr">
        <is>
          <t>S30-H북</t>
        </is>
      </c>
      <c r="D1562" s="25" t="inlineStr">
        <is>
          <t>측정</t>
        </is>
      </c>
      <c r="E1562" s="25" t="inlineStr">
        <is>
          <t>북</t>
        </is>
      </c>
      <c r="F1562" s="30" t="n">
        <v>9</v>
      </c>
      <c r="G1562" s="29" t="n"/>
      <c r="H1562" s="42" t="n"/>
      <c r="I1562" s="40" t="n"/>
      <c r="J1562" s="40" t="n"/>
      <c r="K1562" s="40" t="n"/>
      <c r="L1562" s="30">
        <f>IF(COUNT(I1562:K1562)=0,"",MEDIAN(I1562:K1562))</f>
        <v/>
      </c>
      <c r="M1562" s="25">
        <f>IF(COUNTIFS($C:$C,$C1562,$D:$D,"P0(전)",$L:$L,"&gt;0")&lt;&gt;1,"P0(전) 유효 1개 아님",IF(COUNTIFS($C:$C,$C1562,$D:$D,"P0(후)",$L:$L,"&gt;0")&lt;&gt;1,"P0(후) 유효 1개 아님",IF(NOT(AND(ISNUMBER(N1562),ISNUMBER(P1562),ISNUMBER(H1562))),"시각 결측",IF(P1562&lt;=N1562,"P0 시각 역전",IF(OR(H1562&lt;N1562,H1562&gt;P1562),"측정시각 구간 밖","OK")))))</f>
        <v/>
      </c>
      <c r="N1562" s="45">
        <f>IF(COUNTIFS($C:$C,$C1562,$D:$D,"P0(전)",$L:$L,"&gt;0")&lt;&gt;1,"",SUMIFS($H:$H,$C:$C,$C1562,$D:$D,"P0(전)"))</f>
        <v/>
      </c>
      <c r="O1562" s="30">
        <f>IF(COUNTIFS($C:$C,$C1562,$D:$D,"P0(전)",$L:$L,"&gt;0")&lt;&gt;1,"",SUMIFS($L:$L,$C:$C,$C1562,$D:$D,"P0(전)"))</f>
        <v/>
      </c>
      <c r="P1562" s="45">
        <f>IF(COUNTIFS($C:$C,$C1562,$D:$D,"P0(후)",$L:$L,"&gt;0")&lt;&gt;1,"",SUMIFS($H:$H,$C:$C,$C1562,$D:$D,"P0(후)"))</f>
        <v/>
      </c>
      <c r="Q1562" s="30">
        <f>IF(COUNTIFS($C:$C,$C1562,$D:$D,"P0(후)",$L:$L,"&gt;0")&lt;&gt;1,"",SUMIFS($L:$L,$C:$C,$C1562,$D:$D,"P0(후)"))</f>
        <v/>
      </c>
      <c r="R1562" s="30">
        <f>IF(M1562&lt;&gt;"OK","",O1562+(Q1562-O1562)*(H1562-N1562)/(P1562-N1562))</f>
        <v/>
      </c>
      <c r="S1562" s="30">
        <f>IF(OR(M1562&lt;&gt;"OK",NOT(ISNUMBER(L1562))),"",L1562-R1562)</f>
        <v/>
      </c>
      <c r="T1562" s="46">
        <f>IF(OR(NOT(ISNUMBER(S1562)),IF(ISNUMBER(G1562),G1562,F1562)=0),"",S1562/IF(ISNUMBER(G1562),G1562,F1562))</f>
        <v/>
      </c>
      <c r="U1562" s="46">
        <f>IF(ISNUMBER(T1562),ABS(T1562),"")</f>
        <v/>
      </c>
      <c r="V1562" s="46">
        <f>IF(OR($D1561&lt;&gt;"측정",$C1561&lt;&gt;$C1562,NOT(ISNUMBER(L1562)),NOT(ISNUMBER(L1561)),(IF(ISNUMBER(G1562),G1562,F1562)-IF(ISNUMBER(G1561),G1561,F1561))=0),"",(L1562-L1561)/(IF(ISNUMBER(G1562),G1562,F1562)-IF(ISNUMBER(G1561),G1561,F1561)))</f>
        <v/>
      </c>
      <c r="W1562" s="30">
        <f>IF(NOT(AND(ISNUMBER(N1562),ISNUMBER(P1562))),"",(P1562-N1562)*1440)</f>
        <v/>
      </c>
      <c r="X1562" s="28" t="n"/>
      <c r="Y1562" s="28" t="n"/>
      <c r="Z1562" s="28" t="n"/>
      <c r="AA1562" s="31" t="n"/>
      <c r="AB1562" s="31" t="n"/>
    </row>
    <row r="1563">
      <c r="A1563" s="25" t="inlineStr">
        <is>
          <t>S30</t>
        </is>
      </c>
      <c r="B1563" s="25" t="inlineStr">
        <is>
          <t>창녕 신규점</t>
        </is>
      </c>
      <c r="C1563" s="25" t="inlineStr">
        <is>
          <t>S30-H북</t>
        </is>
      </c>
      <c r="D1563" s="25" t="inlineStr">
        <is>
          <t>측정</t>
        </is>
      </c>
      <c r="E1563" s="25" t="inlineStr">
        <is>
          <t>북</t>
        </is>
      </c>
      <c r="F1563" s="30" t="n">
        <v>10</v>
      </c>
      <c r="G1563" s="29" t="n"/>
      <c r="H1563" s="42" t="n"/>
      <c r="I1563" s="40" t="n"/>
      <c r="J1563" s="40" t="n"/>
      <c r="K1563" s="40" t="n"/>
      <c r="L1563" s="30">
        <f>IF(COUNT(I1563:K1563)=0,"",MEDIAN(I1563:K1563))</f>
        <v/>
      </c>
      <c r="M1563" s="25">
        <f>IF(COUNTIFS($C:$C,$C1563,$D:$D,"P0(전)",$L:$L,"&gt;0")&lt;&gt;1,"P0(전) 유효 1개 아님",IF(COUNTIFS($C:$C,$C1563,$D:$D,"P0(후)",$L:$L,"&gt;0")&lt;&gt;1,"P0(후) 유효 1개 아님",IF(NOT(AND(ISNUMBER(N1563),ISNUMBER(P1563),ISNUMBER(H1563))),"시각 결측",IF(P1563&lt;=N1563,"P0 시각 역전",IF(OR(H1563&lt;N1563,H1563&gt;P1563),"측정시각 구간 밖","OK")))))</f>
        <v/>
      </c>
      <c r="N1563" s="45">
        <f>IF(COUNTIFS($C:$C,$C1563,$D:$D,"P0(전)",$L:$L,"&gt;0")&lt;&gt;1,"",SUMIFS($H:$H,$C:$C,$C1563,$D:$D,"P0(전)"))</f>
        <v/>
      </c>
      <c r="O1563" s="30">
        <f>IF(COUNTIFS($C:$C,$C1563,$D:$D,"P0(전)",$L:$L,"&gt;0")&lt;&gt;1,"",SUMIFS($L:$L,$C:$C,$C1563,$D:$D,"P0(전)"))</f>
        <v/>
      </c>
      <c r="P1563" s="45">
        <f>IF(COUNTIFS($C:$C,$C1563,$D:$D,"P0(후)",$L:$L,"&gt;0")&lt;&gt;1,"",SUMIFS($H:$H,$C:$C,$C1563,$D:$D,"P0(후)"))</f>
        <v/>
      </c>
      <c r="Q1563" s="30">
        <f>IF(COUNTIFS($C:$C,$C1563,$D:$D,"P0(후)",$L:$L,"&gt;0")&lt;&gt;1,"",SUMIFS($L:$L,$C:$C,$C1563,$D:$D,"P0(후)"))</f>
        <v/>
      </c>
      <c r="R1563" s="30">
        <f>IF(M1563&lt;&gt;"OK","",O1563+(Q1563-O1563)*(H1563-N1563)/(P1563-N1563))</f>
        <v/>
      </c>
      <c r="S1563" s="30">
        <f>IF(OR(M1563&lt;&gt;"OK",NOT(ISNUMBER(L1563))),"",L1563-R1563)</f>
        <v/>
      </c>
      <c r="T1563" s="46">
        <f>IF(OR(NOT(ISNUMBER(S1563)),IF(ISNUMBER(G1563),G1563,F1563)=0),"",S1563/IF(ISNUMBER(G1563),G1563,F1563))</f>
        <v/>
      </c>
      <c r="U1563" s="46">
        <f>IF(ISNUMBER(T1563),ABS(T1563),"")</f>
        <v/>
      </c>
      <c r="V1563" s="46">
        <f>IF(OR($D1562&lt;&gt;"측정",$C1562&lt;&gt;$C1563,NOT(ISNUMBER(L1563)),NOT(ISNUMBER(L1562)),(IF(ISNUMBER(G1563),G1563,F1563)-IF(ISNUMBER(G1562),G1562,F1562))=0),"",(L1563-L1562)/(IF(ISNUMBER(G1563),G1563,F1563)-IF(ISNUMBER(G1562),G1562,F1562)))</f>
        <v/>
      </c>
      <c r="W1563" s="30">
        <f>IF(NOT(AND(ISNUMBER(N1563),ISNUMBER(P1563))),"",(P1563-N1563)*1440)</f>
        <v/>
      </c>
      <c r="X1563" s="28" t="n"/>
      <c r="Y1563" s="28" t="n"/>
      <c r="Z1563" s="28" t="n"/>
      <c r="AA1563" s="31" t="n"/>
      <c r="AB1563" s="31" t="n"/>
    </row>
    <row r="1564">
      <c r="A1564" s="43" t="inlineStr">
        <is>
          <t>S30</t>
        </is>
      </c>
      <c r="B1564" s="43" t="inlineStr">
        <is>
          <t>창녕 신규점</t>
        </is>
      </c>
      <c r="C1564" s="43" t="inlineStr">
        <is>
          <t>S30-H북</t>
        </is>
      </c>
      <c r="D1564" s="43" t="inlineStr">
        <is>
          <t>P0(후)</t>
        </is>
      </c>
      <c r="E1564" s="43" t="inlineStr">
        <is>
          <t>북</t>
        </is>
      </c>
      <c r="F1564" s="44" t="n"/>
      <c r="G1564" s="29" t="n"/>
      <c r="H1564" s="42" t="n"/>
      <c r="I1564" s="40" t="n"/>
      <c r="J1564" s="40" t="n"/>
      <c r="K1564" s="40" t="n"/>
      <c r="L1564" s="30">
        <f>IF(COUNT(I1564:K1564)=0,"",MEDIAN(I1564:K1564))</f>
        <v/>
      </c>
      <c r="M1564" s="37" t="n"/>
      <c r="N1564" s="37" t="n"/>
      <c r="O1564" s="37" t="n"/>
      <c r="P1564" s="37" t="n"/>
      <c r="Q1564" s="37" t="n"/>
      <c r="R1564" s="37" t="n"/>
      <c r="S1564" s="37" t="n"/>
      <c r="T1564" s="37" t="n"/>
      <c r="U1564" s="37" t="n"/>
      <c r="V1564" s="37" t="n"/>
      <c r="W1564" s="37" t="n"/>
      <c r="X1564" s="28" t="n"/>
      <c r="Y1564" s="28" t="n"/>
      <c r="Z1564" s="28" t="n"/>
      <c r="AA1564" s="31" t="n"/>
      <c r="AB1564" s="31" t="n"/>
    </row>
    <row r="1565">
      <c r="A1565" s="43" t="inlineStr">
        <is>
          <t>S31</t>
        </is>
      </c>
      <c r="B1565" s="43" t="inlineStr">
        <is>
          <t>언양 신규점3</t>
        </is>
      </c>
      <c r="C1565" s="43" t="inlineStr">
        <is>
          <t>S31-H동</t>
        </is>
      </c>
      <c r="D1565" s="43" t="inlineStr">
        <is>
          <t>P0(전)</t>
        </is>
      </c>
      <c r="E1565" s="43" t="inlineStr">
        <is>
          <t>동</t>
        </is>
      </c>
      <c r="F1565" s="44" t="n"/>
      <c r="G1565" s="29" t="n"/>
      <c r="H1565" s="42" t="n"/>
      <c r="I1565" s="40" t="n"/>
      <c r="J1565" s="40" t="n"/>
      <c r="K1565" s="40" t="n"/>
      <c r="L1565" s="30">
        <f>IF(COUNT(I1565:K1565)=0,"",MEDIAN(I1565:K1565))</f>
        <v/>
      </c>
      <c r="M1565" s="37" t="n"/>
      <c r="N1565" s="37" t="n"/>
      <c r="O1565" s="37" t="n"/>
      <c r="P1565" s="37" t="n"/>
      <c r="Q1565" s="37" t="n"/>
      <c r="R1565" s="37" t="n"/>
      <c r="S1565" s="37" t="n"/>
      <c r="T1565" s="37" t="n"/>
      <c r="U1565" s="37" t="n"/>
      <c r="V1565" s="37" t="n"/>
      <c r="W1565" s="37" t="n"/>
      <c r="X1565" s="28" t="n"/>
      <c r="Y1565" s="28" t="n"/>
      <c r="Z1565" s="28" t="n"/>
      <c r="AA1565" s="31" t="n"/>
      <c r="AB1565" s="31" t="n"/>
    </row>
    <row r="1566">
      <c r="A1566" s="25" t="inlineStr">
        <is>
          <t>S31</t>
        </is>
      </c>
      <c r="B1566" s="25" t="inlineStr">
        <is>
          <t>언양 신규점3</t>
        </is>
      </c>
      <c r="C1566" s="25" t="inlineStr">
        <is>
          <t>S31-H동</t>
        </is>
      </c>
      <c r="D1566" s="25" t="inlineStr">
        <is>
          <t>측정</t>
        </is>
      </c>
      <c r="E1566" s="25" t="inlineStr">
        <is>
          <t>동</t>
        </is>
      </c>
      <c r="F1566" s="30" t="n">
        <v>0.5</v>
      </c>
      <c r="G1566" s="29" t="n"/>
      <c r="H1566" s="42" t="n"/>
      <c r="I1566" s="40" t="n"/>
      <c r="J1566" s="40" t="n"/>
      <c r="K1566" s="40" t="n"/>
      <c r="L1566" s="30">
        <f>IF(COUNT(I1566:K1566)=0,"",MEDIAN(I1566:K1566))</f>
        <v/>
      </c>
      <c r="M1566" s="25">
        <f>IF(COUNTIFS($C:$C,$C1566,$D:$D,"P0(전)",$L:$L,"&gt;0")&lt;&gt;1,"P0(전) 유효 1개 아님",IF(COUNTIFS($C:$C,$C1566,$D:$D,"P0(후)",$L:$L,"&gt;0")&lt;&gt;1,"P0(후) 유효 1개 아님",IF(NOT(AND(ISNUMBER(N1566),ISNUMBER(P1566),ISNUMBER(H1566))),"시각 결측",IF(P1566&lt;=N1566,"P0 시각 역전",IF(OR(H1566&lt;N1566,H1566&gt;P1566),"측정시각 구간 밖","OK")))))</f>
        <v/>
      </c>
      <c r="N1566" s="45">
        <f>IF(COUNTIFS($C:$C,$C1566,$D:$D,"P0(전)",$L:$L,"&gt;0")&lt;&gt;1,"",SUMIFS($H:$H,$C:$C,$C1566,$D:$D,"P0(전)"))</f>
        <v/>
      </c>
      <c r="O1566" s="30">
        <f>IF(COUNTIFS($C:$C,$C1566,$D:$D,"P0(전)",$L:$L,"&gt;0")&lt;&gt;1,"",SUMIFS($L:$L,$C:$C,$C1566,$D:$D,"P0(전)"))</f>
        <v/>
      </c>
      <c r="P1566" s="45">
        <f>IF(COUNTIFS($C:$C,$C1566,$D:$D,"P0(후)",$L:$L,"&gt;0")&lt;&gt;1,"",SUMIFS($H:$H,$C:$C,$C1566,$D:$D,"P0(후)"))</f>
        <v/>
      </c>
      <c r="Q1566" s="30">
        <f>IF(COUNTIFS($C:$C,$C1566,$D:$D,"P0(후)",$L:$L,"&gt;0")&lt;&gt;1,"",SUMIFS($L:$L,$C:$C,$C1566,$D:$D,"P0(후)"))</f>
        <v/>
      </c>
      <c r="R1566" s="30">
        <f>IF(M1566&lt;&gt;"OK","",O1566+(Q1566-O1566)*(H1566-N1566)/(P1566-N1566))</f>
        <v/>
      </c>
      <c r="S1566" s="30">
        <f>IF(OR(M1566&lt;&gt;"OK",NOT(ISNUMBER(L1566))),"",L1566-R1566)</f>
        <v/>
      </c>
      <c r="T1566" s="46">
        <f>IF(OR(NOT(ISNUMBER(S1566)),IF(ISNUMBER(G1566),G1566,F1566)=0),"",S1566/IF(ISNUMBER(G1566),G1566,F1566))</f>
        <v/>
      </c>
      <c r="U1566" s="46">
        <f>IF(ISNUMBER(T1566),ABS(T1566),"")</f>
        <v/>
      </c>
      <c r="V1566" s="46">
        <f>IF(OR($D1565&lt;&gt;"측정",$C1565&lt;&gt;$C1566,NOT(ISNUMBER(L1566)),NOT(ISNUMBER(L1565)),(IF(ISNUMBER(G1566),G1566,F1566)-IF(ISNUMBER(G1565),G1565,F1565))=0),"",(L1566-L1565)/(IF(ISNUMBER(G1566),G1566,F1566)-IF(ISNUMBER(G1565),G1565,F1565)))</f>
        <v/>
      </c>
      <c r="W1566" s="30">
        <f>IF(NOT(AND(ISNUMBER(N1566),ISNUMBER(P1566))),"",(P1566-N1566)*1440)</f>
        <v/>
      </c>
      <c r="X1566" s="28" t="n"/>
      <c r="Y1566" s="28" t="n"/>
      <c r="Z1566" s="28" t="n"/>
      <c r="AA1566" s="31" t="n"/>
      <c r="AB1566" s="31" t="n"/>
    </row>
    <row r="1567">
      <c r="A1567" s="25" t="inlineStr">
        <is>
          <t>S31</t>
        </is>
      </c>
      <c r="B1567" s="25" t="inlineStr">
        <is>
          <t>언양 신규점3</t>
        </is>
      </c>
      <c r="C1567" s="25" t="inlineStr">
        <is>
          <t>S31-H동</t>
        </is>
      </c>
      <c r="D1567" s="25" t="inlineStr">
        <is>
          <t>측정</t>
        </is>
      </c>
      <c r="E1567" s="25" t="inlineStr">
        <is>
          <t>동</t>
        </is>
      </c>
      <c r="F1567" s="30" t="n">
        <v>1</v>
      </c>
      <c r="G1567" s="29" t="n"/>
      <c r="H1567" s="42" t="n"/>
      <c r="I1567" s="40" t="n"/>
      <c r="J1567" s="40" t="n"/>
      <c r="K1567" s="40" t="n"/>
      <c r="L1567" s="30">
        <f>IF(COUNT(I1567:K1567)=0,"",MEDIAN(I1567:K1567))</f>
        <v/>
      </c>
      <c r="M1567" s="25">
        <f>IF(COUNTIFS($C:$C,$C1567,$D:$D,"P0(전)",$L:$L,"&gt;0")&lt;&gt;1,"P0(전) 유효 1개 아님",IF(COUNTIFS($C:$C,$C1567,$D:$D,"P0(후)",$L:$L,"&gt;0")&lt;&gt;1,"P0(후) 유효 1개 아님",IF(NOT(AND(ISNUMBER(N1567),ISNUMBER(P1567),ISNUMBER(H1567))),"시각 결측",IF(P1567&lt;=N1567,"P0 시각 역전",IF(OR(H1567&lt;N1567,H1567&gt;P1567),"측정시각 구간 밖","OK")))))</f>
        <v/>
      </c>
      <c r="N1567" s="45">
        <f>IF(COUNTIFS($C:$C,$C1567,$D:$D,"P0(전)",$L:$L,"&gt;0")&lt;&gt;1,"",SUMIFS($H:$H,$C:$C,$C1567,$D:$D,"P0(전)"))</f>
        <v/>
      </c>
      <c r="O1567" s="30">
        <f>IF(COUNTIFS($C:$C,$C1567,$D:$D,"P0(전)",$L:$L,"&gt;0")&lt;&gt;1,"",SUMIFS($L:$L,$C:$C,$C1567,$D:$D,"P0(전)"))</f>
        <v/>
      </c>
      <c r="P1567" s="45">
        <f>IF(COUNTIFS($C:$C,$C1567,$D:$D,"P0(후)",$L:$L,"&gt;0")&lt;&gt;1,"",SUMIFS($H:$H,$C:$C,$C1567,$D:$D,"P0(후)"))</f>
        <v/>
      </c>
      <c r="Q1567" s="30">
        <f>IF(COUNTIFS($C:$C,$C1567,$D:$D,"P0(후)",$L:$L,"&gt;0")&lt;&gt;1,"",SUMIFS($L:$L,$C:$C,$C1567,$D:$D,"P0(후)"))</f>
        <v/>
      </c>
      <c r="R1567" s="30">
        <f>IF(M1567&lt;&gt;"OK","",O1567+(Q1567-O1567)*(H1567-N1567)/(P1567-N1567))</f>
        <v/>
      </c>
      <c r="S1567" s="30">
        <f>IF(OR(M1567&lt;&gt;"OK",NOT(ISNUMBER(L1567))),"",L1567-R1567)</f>
        <v/>
      </c>
      <c r="T1567" s="46">
        <f>IF(OR(NOT(ISNUMBER(S1567)),IF(ISNUMBER(G1567),G1567,F1567)=0),"",S1567/IF(ISNUMBER(G1567),G1567,F1567))</f>
        <v/>
      </c>
      <c r="U1567" s="46">
        <f>IF(ISNUMBER(T1567),ABS(T1567),"")</f>
        <v/>
      </c>
      <c r="V1567" s="46">
        <f>IF(OR($D1566&lt;&gt;"측정",$C1566&lt;&gt;$C1567,NOT(ISNUMBER(L1567)),NOT(ISNUMBER(L1566)),(IF(ISNUMBER(G1567),G1567,F1567)-IF(ISNUMBER(G1566),G1566,F1566))=0),"",(L1567-L1566)/(IF(ISNUMBER(G1567),G1567,F1567)-IF(ISNUMBER(G1566),G1566,F1566)))</f>
        <v/>
      </c>
      <c r="W1567" s="30">
        <f>IF(NOT(AND(ISNUMBER(N1567),ISNUMBER(P1567))),"",(P1567-N1567)*1440)</f>
        <v/>
      </c>
      <c r="X1567" s="28" t="n"/>
      <c r="Y1567" s="28" t="n"/>
      <c r="Z1567" s="28" t="n"/>
      <c r="AA1567" s="31" t="n"/>
      <c r="AB1567" s="31" t="n"/>
    </row>
    <row r="1568">
      <c r="A1568" s="25" t="inlineStr">
        <is>
          <t>S31</t>
        </is>
      </c>
      <c r="B1568" s="25" t="inlineStr">
        <is>
          <t>언양 신규점3</t>
        </is>
      </c>
      <c r="C1568" s="25" t="inlineStr">
        <is>
          <t>S31-H동</t>
        </is>
      </c>
      <c r="D1568" s="25" t="inlineStr">
        <is>
          <t>측정</t>
        </is>
      </c>
      <c r="E1568" s="25" t="inlineStr">
        <is>
          <t>동</t>
        </is>
      </c>
      <c r="F1568" s="30" t="n">
        <v>2</v>
      </c>
      <c r="G1568" s="29" t="n"/>
      <c r="H1568" s="42" t="n"/>
      <c r="I1568" s="40" t="n"/>
      <c r="J1568" s="40" t="n"/>
      <c r="K1568" s="40" t="n"/>
      <c r="L1568" s="30">
        <f>IF(COUNT(I1568:K1568)=0,"",MEDIAN(I1568:K1568))</f>
        <v/>
      </c>
      <c r="M1568" s="25">
        <f>IF(COUNTIFS($C:$C,$C1568,$D:$D,"P0(전)",$L:$L,"&gt;0")&lt;&gt;1,"P0(전) 유효 1개 아님",IF(COUNTIFS($C:$C,$C1568,$D:$D,"P0(후)",$L:$L,"&gt;0")&lt;&gt;1,"P0(후) 유효 1개 아님",IF(NOT(AND(ISNUMBER(N1568),ISNUMBER(P1568),ISNUMBER(H1568))),"시각 결측",IF(P1568&lt;=N1568,"P0 시각 역전",IF(OR(H1568&lt;N1568,H1568&gt;P1568),"측정시각 구간 밖","OK")))))</f>
        <v/>
      </c>
      <c r="N1568" s="45">
        <f>IF(COUNTIFS($C:$C,$C1568,$D:$D,"P0(전)",$L:$L,"&gt;0")&lt;&gt;1,"",SUMIFS($H:$H,$C:$C,$C1568,$D:$D,"P0(전)"))</f>
        <v/>
      </c>
      <c r="O1568" s="30">
        <f>IF(COUNTIFS($C:$C,$C1568,$D:$D,"P0(전)",$L:$L,"&gt;0")&lt;&gt;1,"",SUMIFS($L:$L,$C:$C,$C1568,$D:$D,"P0(전)"))</f>
        <v/>
      </c>
      <c r="P1568" s="45">
        <f>IF(COUNTIFS($C:$C,$C1568,$D:$D,"P0(후)",$L:$L,"&gt;0")&lt;&gt;1,"",SUMIFS($H:$H,$C:$C,$C1568,$D:$D,"P0(후)"))</f>
        <v/>
      </c>
      <c r="Q1568" s="30">
        <f>IF(COUNTIFS($C:$C,$C1568,$D:$D,"P0(후)",$L:$L,"&gt;0")&lt;&gt;1,"",SUMIFS($L:$L,$C:$C,$C1568,$D:$D,"P0(후)"))</f>
        <v/>
      </c>
      <c r="R1568" s="30">
        <f>IF(M1568&lt;&gt;"OK","",O1568+(Q1568-O1568)*(H1568-N1568)/(P1568-N1568))</f>
        <v/>
      </c>
      <c r="S1568" s="30">
        <f>IF(OR(M1568&lt;&gt;"OK",NOT(ISNUMBER(L1568))),"",L1568-R1568)</f>
        <v/>
      </c>
      <c r="T1568" s="46">
        <f>IF(OR(NOT(ISNUMBER(S1568)),IF(ISNUMBER(G1568),G1568,F1568)=0),"",S1568/IF(ISNUMBER(G1568),G1568,F1568))</f>
        <v/>
      </c>
      <c r="U1568" s="46">
        <f>IF(ISNUMBER(T1568),ABS(T1568),"")</f>
        <v/>
      </c>
      <c r="V1568" s="46">
        <f>IF(OR($D1567&lt;&gt;"측정",$C1567&lt;&gt;$C1568,NOT(ISNUMBER(L1568)),NOT(ISNUMBER(L1567)),(IF(ISNUMBER(G1568),G1568,F1568)-IF(ISNUMBER(G1567),G1567,F1567))=0),"",(L1568-L1567)/(IF(ISNUMBER(G1568),G1568,F1568)-IF(ISNUMBER(G1567),G1567,F1567)))</f>
        <v/>
      </c>
      <c r="W1568" s="30">
        <f>IF(NOT(AND(ISNUMBER(N1568),ISNUMBER(P1568))),"",(P1568-N1568)*1440)</f>
        <v/>
      </c>
      <c r="X1568" s="28" t="n"/>
      <c r="Y1568" s="28" t="n"/>
      <c r="Z1568" s="28" t="n"/>
      <c r="AA1568" s="31" t="n"/>
      <c r="AB1568" s="31" t="n"/>
    </row>
    <row r="1569">
      <c r="A1569" s="25" t="inlineStr">
        <is>
          <t>S31</t>
        </is>
      </c>
      <c r="B1569" s="25" t="inlineStr">
        <is>
          <t>언양 신규점3</t>
        </is>
      </c>
      <c r="C1569" s="25" t="inlineStr">
        <is>
          <t>S31-H동</t>
        </is>
      </c>
      <c r="D1569" s="25" t="inlineStr">
        <is>
          <t>측정</t>
        </is>
      </c>
      <c r="E1569" s="25" t="inlineStr">
        <is>
          <t>동</t>
        </is>
      </c>
      <c r="F1569" s="30" t="n">
        <v>3</v>
      </c>
      <c r="G1569" s="29" t="n"/>
      <c r="H1569" s="42" t="n"/>
      <c r="I1569" s="40" t="n"/>
      <c r="J1569" s="40" t="n"/>
      <c r="K1569" s="40" t="n"/>
      <c r="L1569" s="30">
        <f>IF(COUNT(I1569:K1569)=0,"",MEDIAN(I1569:K1569))</f>
        <v/>
      </c>
      <c r="M1569" s="25">
        <f>IF(COUNTIFS($C:$C,$C1569,$D:$D,"P0(전)",$L:$L,"&gt;0")&lt;&gt;1,"P0(전) 유효 1개 아님",IF(COUNTIFS($C:$C,$C1569,$D:$D,"P0(후)",$L:$L,"&gt;0")&lt;&gt;1,"P0(후) 유효 1개 아님",IF(NOT(AND(ISNUMBER(N1569),ISNUMBER(P1569),ISNUMBER(H1569))),"시각 결측",IF(P1569&lt;=N1569,"P0 시각 역전",IF(OR(H1569&lt;N1569,H1569&gt;P1569),"측정시각 구간 밖","OK")))))</f>
        <v/>
      </c>
      <c r="N1569" s="45">
        <f>IF(COUNTIFS($C:$C,$C1569,$D:$D,"P0(전)",$L:$L,"&gt;0")&lt;&gt;1,"",SUMIFS($H:$H,$C:$C,$C1569,$D:$D,"P0(전)"))</f>
        <v/>
      </c>
      <c r="O1569" s="30">
        <f>IF(COUNTIFS($C:$C,$C1569,$D:$D,"P0(전)",$L:$L,"&gt;0")&lt;&gt;1,"",SUMIFS($L:$L,$C:$C,$C1569,$D:$D,"P0(전)"))</f>
        <v/>
      </c>
      <c r="P1569" s="45">
        <f>IF(COUNTIFS($C:$C,$C1569,$D:$D,"P0(후)",$L:$L,"&gt;0")&lt;&gt;1,"",SUMIFS($H:$H,$C:$C,$C1569,$D:$D,"P0(후)"))</f>
        <v/>
      </c>
      <c r="Q1569" s="30">
        <f>IF(COUNTIFS($C:$C,$C1569,$D:$D,"P0(후)",$L:$L,"&gt;0")&lt;&gt;1,"",SUMIFS($L:$L,$C:$C,$C1569,$D:$D,"P0(후)"))</f>
        <v/>
      </c>
      <c r="R1569" s="30">
        <f>IF(M1569&lt;&gt;"OK","",O1569+(Q1569-O1569)*(H1569-N1569)/(P1569-N1569))</f>
        <v/>
      </c>
      <c r="S1569" s="30">
        <f>IF(OR(M1569&lt;&gt;"OK",NOT(ISNUMBER(L1569))),"",L1569-R1569)</f>
        <v/>
      </c>
      <c r="T1569" s="46">
        <f>IF(OR(NOT(ISNUMBER(S1569)),IF(ISNUMBER(G1569),G1569,F1569)=0),"",S1569/IF(ISNUMBER(G1569),G1569,F1569))</f>
        <v/>
      </c>
      <c r="U1569" s="46">
        <f>IF(ISNUMBER(T1569),ABS(T1569),"")</f>
        <v/>
      </c>
      <c r="V1569" s="46">
        <f>IF(OR($D1568&lt;&gt;"측정",$C1568&lt;&gt;$C1569,NOT(ISNUMBER(L1569)),NOT(ISNUMBER(L1568)),(IF(ISNUMBER(G1569),G1569,F1569)-IF(ISNUMBER(G1568),G1568,F1568))=0),"",(L1569-L1568)/(IF(ISNUMBER(G1569),G1569,F1569)-IF(ISNUMBER(G1568),G1568,F1568)))</f>
        <v/>
      </c>
      <c r="W1569" s="30">
        <f>IF(NOT(AND(ISNUMBER(N1569),ISNUMBER(P1569))),"",(P1569-N1569)*1440)</f>
        <v/>
      </c>
      <c r="X1569" s="28" t="n"/>
      <c r="Y1569" s="28" t="n"/>
      <c r="Z1569" s="28" t="n"/>
      <c r="AA1569" s="31" t="n"/>
      <c r="AB1569" s="31" t="n"/>
    </row>
    <row r="1570">
      <c r="A1570" s="25" t="inlineStr">
        <is>
          <t>S31</t>
        </is>
      </c>
      <c r="B1570" s="25" t="inlineStr">
        <is>
          <t>언양 신규점3</t>
        </is>
      </c>
      <c r="C1570" s="25" t="inlineStr">
        <is>
          <t>S31-H동</t>
        </is>
      </c>
      <c r="D1570" s="25" t="inlineStr">
        <is>
          <t>측정</t>
        </is>
      </c>
      <c r="E1570" s="25" t="inlineStr">
        <is>
          <t>동</t>
        </is>
      </c>
      <c r="F1570" s="30" t="n">
        <v>4</v>
      </c>
      <c r="G1570" s="29" t="n"/>
      <c r="H1570" s="42" t="n"/>
      <c r="I1570" s="40" t="n"/>
      <c r="J1570" s="40" t="n"/>
      <c r="K1570" s="40" t="n"/>
      <c r="L1570" s="30">
        <f>IF(COUNT(I1570:K1570)=0,"",MEDIAN(I1570:K1570))</f>
        <v/>
      </c>
      <c r="M1570" s="25">
        <f>IF(COUNTIFS($C:$C,$C1570,$D:$D,"P0(전)",$L:$L,"&gt;0")&lt;&gt;1,"P0(전) 유효 1개 아님",IF(COUNTIFS($C:$C,$C1570,$D:$D,"P0(후)",$L:$L,"&gt;0")&lt;&gt;1,"P0(후) 유효 1개 아님",IF(NOT(AND(ISNUMBER(N1570),ISNUMBER(P1570),ISNUMBER(H1570))),"시각 결측",IF(P1570&lt;=N1570,"P0 시각 역전",IF(OR(H1570&lt;N1570,H1570&gt;P1570),"측정시각 구간 밖","OK")))))</f>
        <v/>
      </c>
      <c r="N1570" s="45">
        <f>IF(COUNTIFS($C:$C,$C1570,$D:$D,"P0(전)",$L:$L,"&gt;0")&lt;&gt;1,"",SUMIFS($H:$H,$C:$C,$C1570,$D:$D,"P0(전)"))</f>
        <v/>
      </c>
      <c r="O1570" s="30">
        <f>IF(COUNTIFS($C:$C,$C1570,$D:$D,"P0(전)",$L:$L,"&gt;0")&lt;&gt;1,"",SUMIFS($L:$L,$C:$C,$C1570,$D:$D,"P0(전)"))</f>
        <v/>
      </c>
      <c r="P1570" s="45">
        <f>IF(COUNTIFS($C:$C,$C1570,$D:$D,"P0(후)",$L:$L,"&gt;0")&lt;&gt;1,"",SUMIFS($H:$H,$C:$C,$C1570,$D:$D,"P0(후)"))</f>
        <v/>
      </c>
      <c r="Q1570" s="30">
        <f>IF(COUNTIFS($C:$C,$C1570,$D:$D,"P0(후)",$L:$L,"&gt;0")&lt;&gt;1,"",SUMIFS($L:$L,$C:$C,$C1570,$D:$D,"P0(후)"))</f>
        <v/>
      </c>
      <c r="R1570" s="30">
        <f>IF(M1570&lt;&gt;"OK","",O1570+(Q1570-O1570)*(H1570-N1570)/(P1570-N1570))</f>
        <v/>
      </c>
      <c r="S1570" s="30">
        <f>IF(OR(M1570&lt;&gt;"OK",NOT(ISNUMBER(L1570))),"",L1570-R1570)</f>
        <v/>
      </c>
      <c r="T1570" s="46">
        <f>IF(OR(NOT(ISNUMBER(S1570)),IF(ISNUMBER(G1570),G1570,F1570)=0),"",S1570/IF(ISNUMBER(G1570),G1570,F1570))</f>
        <v/>
      </c>
      <c r="U1570" s="46">
        <f>IF(ISNUMBER(T1570),ABS(T1570),"")</f>
        <v/>
      </c>
      <c r="V1570" s="46">
        <f>IF(OR($D1569&lt;&gt;"측정",$C1569&lt;&gt;$C1570,NOT(ISNUMBER(L1570)),NOT(ISNUMBER(L1569)),(IF(ISNUMBER(G1570),G1570,F1570)-IF(ISNUMBER(G1569),G1569,F1569))=0),"",(L1570-L1569)/(IF(ISNUMBER(G1570),G1570,F1570)-IF(ISNUMBER(G1569),G1569,F1569)))</f>
        <v/>
      </c>
      <c r="W1570" s="30">
        <f>IF(NOT(AND(ISNUMBER(N1570),ISNUMBER(P1570))),"",(P1570-N1570)*1440)</f>
        <v/>
      </c>
      <c r="X1570" s="28" t="n"/>
      <c r="Y1570" s="28" t="n"/>
      <c r="Z1570" s="28" t="n"/>
      <c r="AA1570" s="31" t="n"/>
      <c r="AB1570" s="31" t="n"/>
    </row>
    <row r="1571">
      <c r="A1571" s="25" t="inlineStr">
        <is>
          <t>S31</t>
        </is>
      </c>
      <c r="B1571" s="25" t="inlineStr">
        <is>
          <t>언양 신규점3</t>
        </is>
      </c>
      <c r="C1571" s="25" t="inlineStr">
        <is>
          <t>S31-H동</t>
        </is>
      </c>
      <c r="D1571" s="25" t="inlineStr">
        <is>
          <t>측정</t>
        </is>
      </c>
      <c r="E1571" s="25" t="inlineStr">
        <is>
          <t>동</t>
        </is>
      </c>
      <c r="F1571" s="30" t="n">
        <v>5</v>
      </c>
      <c r="G1571" s="29" t="n"/>
      <c r="H1571" s="42" t="n"/>
      <c r="I1571" s="40" t="n"/>
      <c r="J1571" s="40" t="n"/>
      <c r="K1571" s="40" t="n"/>
      <c r="L1571" s="30">
        <f>IF(COUNT(I1571:K1571)=0,"",MEDIAN(I1571:K1571))</f>
        <v/>
      </c>
      <c r="M1571" s="25">
        <f>IF(COUNTIFS($C:$C,$C1571,$D:$D,"P0(전)",$L:$L,"&gt;0")&lt;&gt;1,"P0(전) 유효 1개 아님",IF(COUNTIFS($C:$C,$C1571,$D:$D,"P0(후)",$L:$L,"&gt;0")&lt;&gt;1,"P0(후) 유효 1개 아님",IF(NOT(AND(ISNUMBER(N1571),ISNUMBER(P1571),ISNUMBER(H1571))),"시각 결측",IF(P1571&lt;=N1571,"P0 시각 역전",IF(OR(H1571&lt;N1571,H1571&gt;P1571),"측정시각 구간 밖","OK")))))</f>
        <v/>
      </c>
      <c r="N1571" s="45">
        <f>IF(COUNTIFS($C:$C,$C1571,$D:$D,"P0(전)",$L:$L,"&gt;0")&lt;&gt;1,"",SUMIFS($H:$H,$C:$C,$C1571,$D:$D,"P0(전)"))</f>
        <v/>
      </c>
      <c r="O1571" s="30">
        <f>IF(COUNTIFS($C:$C,$C1571,$D:$D,"P0(전)",$L:$L,"&gt;0")&lt;&gt;1,"",SUMIFS($L:$L,$C:$C,$C1571,$D:$D,"P0(전)"))</f>
        <v/>
      </c>
      <c r="P1571" s="45">
        <f>IF(COUNTIFS($C:$C,$C1571,$D:$D,"P0(후)",$L:$L,"&gt;0")&lt;&gt;1,"",SUMIFS($H:$H,$C:$C,$C1571,$D:$D,"P0(후)"))</f>
        <v/>
      </c>
      <c r="Q1571" s="30">
        <f>IF(COUNTIFS($C:$C,$C1571,$D:$D,"P0(후)",$L:$L,"&gt;0")&lt;&gt;1,"",SUMIFS($L:$L,$C:$C,$C1571,$D:$D,"P0(후)"))</f>
        <v/>
      </c>
      <c r="R1571" s="30">
        <f>IF(M1571&lt;&gt;"OK","",O1571+(Q1571-O1571)*(H1571-N1571)/(P1571-N1571))</f>
        <v/>
      </c>
      <c r="S1571" s="30">
        <f>IF(OR(M1571&lt;&gt;"OK",NOT(ISNUMBER(L1571))),"",L1571-R1571)</f>
        <v/>
      </c>
      <c r="T1571" s="46">
        <f>IF(OR(NOT(ISNUMBER(S1571)),IF(ISNUMBER(G1571),G1571,F1571)=0),"",S1571/IF(ISNUMBER(G1571),G1571,F1571))</f>
        <v/>
      </c>
      <c r="U1571" s="46">
        <f>IF(ISNUMBER(T1571),ABS(T1571),"")</f>
        <v/>
      </c>
      <c r="V1571" s="46">
        <f>IF(OR($D1570&lt;&gt;"측정",$C1570&lt;&gt;$C1571,NOT(ISNUMBER(L1571)),NOT(ISNUMBER(L1570)),(IF(ISNUMBER(G1571),G1571,F1571)-IF(ISNUMBER(G1570),G1570,F1570))=0),"",(L1571-L1570)/(IF(ISNUMBER(G1571),G1571,F1571)-IF(ISNUMBER(G1570),G1570,F1570)))</f>
        <v/>
      </c>
      <c r="W1571" s="30">
        <f>IF(NOT(AND(ISNUMBER(N1571),ISNUMBER(P1571))),"",(P1571-N1571)*1440)</f>
        <v/>
      </c>
      <c r="X1571" s="28" t="n"/>
      <c r="Y1571" s="28" t="n"/>
      <c r="Z1571" s="28" t="n"/>
      <c r="AA1571" s="31" t="n"/>
      <c r="AB1571" s="31" t="n"/>
    </row>
    <row r="1572">
      <c r="A1572" s="25" t="inlineStr">
        <is>
          <t>S31</t>
        </is>
      </c>
      <c r="B1572" s="25" t="inlineStr">
        <is>
          <t>언양 신규점3</t>
        </is>
      </c>
      <c r="C1572" s="25" t="inlineStr">
        <is>
          <t>S31-H동</t>
        </is>
      </c>
      <c r="D1572" s="25" t="inlineStr">
        <is>
          <t>측정</t>
        </is>
      </c>
      <c r="E1572" s="25" t="inlineStr">
        <is>
          <t>동</t>
        </is>
      </c>
      <c r="F1572" s="30" t="n">
        <v>6</v>
      </c>
      <c r="G1572" s="29" t="n"/>
      <c r="H1572" s="42" t="n"/>
      <c r="I1572" s="40" t="n"/>
      <c r="J1572" s="40" t="n"/>
      <c r="K1572" s="40" t="n"/>
      <c r="L1572" s="30">
        <f>IF(COUNT(I1572:K1572)=0,"",MEDIAN(I1572:K1572))</f>
        <v/>
      </c>
      <c r="M1572" s="25">
        <f>IF(COUNTIFS($C:$C,$C1572,$D:$D,"P0(전)",$L:$L,"&gt;0")&lt;&gt;1,"P0(전) 유효 1개 아님",IF(COUNTIFS($C:$C,$C1572,$D:$D,"P0(후)",$L:$L,"&gt;0")&lt;&gt;1,"P0(후) 유효 1개 아님",IF(NOT(AND(ISNUMBER(N1572),ISNUMBER(P1572),ISNUMBER(H1572))),"시각 결측",IF(P1572&lt;=N1572,"P0 시각 역전",IF(OR(H1572&lt;N1572,H1572&gt;P1572),"측정시각 구간 밖","OK")))))</f>
        <v/>
      </c>
      <c r="N1572" s="45">
        <f>IF(COUNTIFS($C:$C,$C1572,$D:$D,"P0(전)",$L:$L,"&gt;0")&lt;&gt;1,"",SUMIFS($H:$H,$C:$C,$C1572,$D:$D,"P0(전)"))</f>
        <v/>
      </c>
      <c r="O1572" s="30">
        <f>IF(COUNTIFS($C:$C,$C1572,$D:$D,"P0(전)",$L:$L,"&gt;0")&lt;&gt;1,"",SUMIFS($L:$L,$C:$C,$C1572,$D:$D,"P0(전)"))</f>
        <v/>
      </c>
      <c r="P1572" s="45">
        <f>IF(COUNTIFS($C:$C,$C1572,$D:$D,"P0(후)",$L:$L,"&gt;0")&lt;&gt;1,"",SUMIFS($H:$H,$C:$C,$C1572,$D:$D,"P0(후)"))</f>
        <v/>
      </c>
      <c r="Q1572" s="30">
        <f>IF(COUNTIFS($C:$C,$C1572,$D:$D,"P0(후)",$L:$L,"&gt;0")&lt;&gt;1,"",SUMIFS($L:$L,$C:$C,$C1572,$D:$D,"P0(후)"))</f>
        <v/>
      </c>
      <c r="R1572" s="30">
        <f>IF(M1572&lt;&gt;"OK","",O1572+(Q1572-O1572)*(H1572-N1572)/(P1572-N1572))</f>
        <v/>
      </c>
      <c r="S1572" s="30">
        <f>IF(OR(M1572&lt;&gt;"OK",NOT(ISNUMBER(L1572))),"",L1572-R1572)</f>
        <v/>
      </c>
      <c r="T1572" s="46">
        <f>IF(OR(NOT(ISNUMBER(S1572)),IF(ISNUMBER(G1572),G1572,F1572)=0),"",S1572/IF(ISNUMBER(G1572),G1572,F1572))</f>
        <v/>
      </c>
      <c r="U1572" s="46">
        <f>IF(ISNUMBER(T1572),ABS(T1572),"")</f>
        <v/>
      </c>
      <c r="V1572" s="46">
        <f>IF(OR($D1571&lt;&gt;"측정",$C1571&lt;&gt;$C1572,NOT(ISNUMBER(L1572)),NOT(ISNUMBER(L1571)),(IF(ISNUMBER(G1572),G1572,F1572)-IF(ISNUMBER(G1571),G1571,F1571))=0),"",(L1572-L1571)/(IF(ISNUMBER(G1572),G1572,F1572)-IF(ISNUMBER(G1571),G1571,F1571)))</f>
        <v/>
      </c>
      <c r="W1572" s="30">
        <f>IF(NOT(AND(ISNUMBER(N1572),ISNUMBER(P1572))),"",(P1572-N1572)*1440)</f>
        <v/>
      </c>
      <c r="X1572" s="28" t="n"/>
      <c r="Y1572" s="28" t="n"/>
      <c r="Z1572" s="28" t="n"/>
      <c r="AA1572" s="31" t="n"/>
      <c r="AB1572" s="31" t="n"/>
    </row>
    <row r="1573">
      <c r="A1573" s="25" t="inlineStr">
        <is>
          <t>S31</t>
        </is>
      </c>
      <c r="B1573" s="25" t="inlineStr">
        <is>
          <t>언양 신규점3</t>
        </is>
      </c>
      <c r="C1573" s="25" t="inlineStr">
        <is>
          <t>S31-H동</t>
        </is>
      </c>
      <c r="D1573" s="25" t="inlineStr">
        <is>
          <t>측정</t>
        </is>
      </c>
      <c r="E1573" s="25" t="inlineStr">
        <is>
          <t>동</t>
        </is>
      </c>
      <c r="F1573" s="30" t="n">
        <v>7</v>
      </c>
      <c r="G1573" s="29" t="n"/>
      <c r="H1573" s="42" t="n"/>
      <c r="I1573" s="40" t="n"/>
      <c r="J1573" s="40" t="n"/>
      <c r="K1573" s="40" t="n"/>
      <c r="L1573" s="30">
        <f>IF(COUNT(I1573:K1573)=0,"",MEDIAN(I1573:K1573))</f>
        <v/>
      </c>
      <c r="M1573" s="25">
        <f>IF(COUNTIFS($C:$C,$C1573,$D:$D,"P0(전)",$L:$L,"&gt;0")&lt;&gt;1,"P0(전) 유효 1개 아님",IF(COUNTIFS($C:$C,$C1573,$D:$D,"P0(후)",$L:$L,"&gt;0")&lt;&gt;1,"P0(후) 유효 1개 아님",IF(NOT(AND(ISNUMBER(N1573),ISNUMBER(P1573),ISNUMBER(H1573))),"시각 결측",IF(P1573&lt;=N1573,"P0 시각 역전",IF(OR(H1573&lt;N1573,H1573&gt;P1573),"측정시각 구간 밖","OK")))))</f>
        <v/>
      </c>
      <c r="N1573" s="45">
        <f>IF(COUNTIFS($C:$C,$C1573,$D:$D,"P0(전)",$L:$L,"&gt;0")&lt;&gt;1,"",SUMIFS($H:$H,$C:$C,$C1573,$D:$D,"P0(전)"))</f>
        <v/>
      </c>
      <c r="O1573" s="30">
        <f>IF(COUNTIFS($C:$C,$C1573,$D:$D,"P0(전)",$L:$L,"&gt;0")&lt;&gt;1,"",SUMIFS($L:$L,$C:$C,$C1573,$D:$D,"P0(전)"))</f>
        <v/>
      </c>
      <c r="P1573" s="45">
        <f>IF(COUNTIFS($C:$C,$C1573,$D:$D,"P0(후)",$L:$L,"&gt;0")&lt;&gt;1,"",SUMIFS($H:$H,$C:$C,$C1573,$D:$D,"P0(후)"))</f>
        <v/>
      </c>
      <c r="Q1573" s="30">
        <f>IF(COUNTIFS($C:$C,$C1573,$D:$D,"P0(후)",$L:$L,"&gt;0")&lt;&gt;1,"",SUMIFS($L:$L,$C:$C,$C1573,$D:$D,"P0(후)"))</f>
        <v/>
      </c>
      <c r="R1573" s="30">
        <f>IF(M1573&lt;&gt;"OK","",O1573+(Q1573-O1573)*(H1573-N1573)/(P1573-N1573))</f>
        <v/>
      </c>
      <c r="S1573" s="30">
        <f>IF(OR(M1573&lt;&gt;"OK",NOT(ISNUMBER(L1573))),"",L1573-R1573)</f>
        <v/>
      </c>
      <c r="T1573" s="46">
        <f>IF(OR(NOT(ISNUMBER(S1573)),IF(ISNUMBER(G1573),G1573,F1573)=0),"",S1573/IF(ISNUMBER(G1573),G1573,F1573))</f>
        <v/>
      </c>
      <c r="U1573" s="46">
        <f>IF(ISNUMBER(T1573),ABS(T1573),"")</f>
        <v/>
      </c>
      <c r="V1573" s="46">
        <f>IF(OR($D1572&lt;&gt;"측정",$C1572&lt;&gt;$C1573,NOT(ISNUMBER(L1573)),NOT(ISNUMBER(L1572)),(IF(ISNUMBER(G1573),G1573,F1573)-IF(ISNUMBER(G1572),G1572,F1572))=0),"",(L1573-L1572)/(IF(ISNUMBER(G1573),G1573,F1573)-IF(ISNUMBER(G1572),G1572,F1572)))</f>
        <v/>
      </c>
      <c r="W1573" s="30">
        <f>IF(NOT(AND(ISNUMBER(N1573),ISNUMBER(P1573))),"",(P1573-N1573)*1440)</f>
        <v/>
      </c>
      <c r="X1573" s="28" t="n"/>
      <c r="Y1573" s="28" t="n"/>
      <c r="Z1573" s="28" t="n"/>
      <c r="AA1573" s="31" t="n"/>
      <c r="AB1573" s="31" t="n"/>
    </row>
    <row r="1574">
      <c r="A1574" s="25" t="inlineStr">
        <is>
          <t>S31</t>
        </is>
      </c>
      <c r="B1574" s="25" t="inlineStr">
        <is>
          <t>언양 신규점3</t>
        </is>
      </c>
      <c r="C1574" s="25" t="inlineStr">
        <is>
          <t>S31-H동</t>
        </is>
      </c>
      <c r="D1574" s="25" t="inlineStr">
        <is>
          <t>측정</t>
        </is>
      </c>
      <c r="E1574" s="25" t="inlineStr">
        <is>
          <t>동</t>
        </is>
      </c>
      <c r="F1574" s="30" t="n">
        <v>8</v>
      </c>
      <c r="G1574" s="29" t="n"/>
      <c r="H1574" s="42" t="n"/>
      <c r="I1574" s="40" t="n"/>
      <c r="J1574" s="40" t="n"/>
      <c r="K1574" s="40" t="n"/>
      <c r="L1574" s="30">
        <f>IF(COUNT(I1574:K1574)=0,"",MEDIAN(I1574:K1574))</f>
        <v/>
      </c>
      <c r="M1574" s="25">
        <f>IF(COUNTIFS($C:$C,$C1574,$D:$D,"P0(전)",$L:$L,"&gt;0")&lt;&gt;1,"P0(전) 유효 1개 아님",IF(COUNTIFS($C:$C,$C1574,$D:$D,"P0(후)",$L:$L,"&gt;0")&lt;&gt;1,"P0(후) 유효 1개 아님",IF(NOT(AND(ISNUMBER(N1574),ISNUMBER(P1574),ISNUMBER(H1574))),"시각 결측",IF(P1574&lt;=N1574,"P0 시각 역전",IF(OR(H1574&lt;N1574,H1574&gt;P1574),"측정시각 구간 밖","OK")))))</f>
        <v/>
      </c>
      <c r="N1574" s="45">
        <f>IF(COUNTIFS($C:$C,$C1574,$D:$D,"P0(전)",$L:$L,"&gt;0")&lt;&gt;1,"",SUMIFS($H:$H,$C:$C,$C1574,$D:$D,"P0(전)"))</f>
        <v/>
      </c>
      <c r="O1574" s="30">
        <f>IF(COUNTIFS($C:$C,$C1574,$D:$D,"P0(전)",$L:$L,"&gt;0")&lt;&gt;1,"",SUMIFS($L:$L,$C:$C,$C1574,$D:$D,"P0(전)"))</f>
        <v/>
      </c>
      <c r="P1574" s="45">
        <f>IF(COUNTIFS($C:$C,$C1574,$D:$D,"P0(후)",$L:$L,"&gt;0")&lt;&gt;1,"",SUMIFS($H:$H,$C:$C,$C1574,$D:$D,"P0(후)"))</f>
        <v/>
      </c>
      <c r="Q1574" s="30">
        <f>IF(COUNTIFS($C:$C,$C1574,$D:$D,"P0(후)",$L:$L,"&gt;0")&lt;&gt;1,"",SUMIFS($L:$L,$C:$C,$C1574,$D:$D,"P0(후)"))</f>
        <v/>
      </c>
      <c r="R1574" s="30">
        <f>IF(M1574&lt;&gt;"OK","",O1574+(Q1574-O1574)*(H1574-N1574)/(P1574-N1574))</f>
        <v/>
      </c>
      <c r="S1574" s="30">
        <f>IF(OR(M1574&lt;&gt;"OK",NOT(ISNUMBER(L1574))),"",L1574-R1574)</f>
        <v/>
      </c>
      <c r="T1574" s="46">
        <f>IF(OR(NOT(ISNUMBER(S1574)),IF(ISNUMBER(G1574),G1574,F1574)=0),"",S1574/IF(ISNUMBER(G1574),G1574,F1574))</f>
        <v/>
      </c>
      <c r="U1574" s="46">
        <f>IF(ISNUMBER(T1574),ABS(T1574),"")</f>
        <v/>
      </c>
      <c r="V1574" s="46">
        <f>IF(OR($D1573&lt;&gt;"측정",$C1573&lt;&gt;$C1574,NOT(ISNUMBER(L1574)),NOT(ISNUMBER(L1573)),(IF(ISNUMBER(G1574),G1574,F1574)-IF(ISNUMBER(G1573),G1573,F1573))=0),"",(L1574-L1573)/(IF(ISNUMBER(G1574),G1574,F1574)-IF(ISNUMBER(G1573),G1573,F1573)))</f>
        <v/>
      </c>
      <c r="W1574" s="30">
        <f>IF(NOT(AND(ISNUMBER(N1574),ISNUMBER(P1574))),"",(P1574-N1574)*1440)</f>
        <v/>
      </c>
      <c r="X1574" s="28" t="n"/>
      <c r="Y1574" s="28" t="n"/>
      <c r="Z1574" s="28" t="n"/>
      <c r="AA1574" s="31" t="n"/>
      <c r="AB1574" s="31" t="n"/>
    </row>
    <row r="1575">
      <c r="A1575" s="25" t="inlineStr">
        <is>
          <t>S31</t>
        </is>
      </c>
      <c r="B1575" s="25" t="inlineStr">
        <is>
          <t>언양 신규점3</t>
        </is>
      </c>
      <c r="C1575" s="25" t="inlineStr">
        <is>
          <t>S31-H동</t>
        </is>
      </c>
      <c r="D1575" s="25" t="inlineStr">
        <is>
          <t>측정</t>
        </is>
      </c>
      <c r="E1575" s="25" t="inlineStr">
        <is>
          <t>동</t>
        </is>
      </c>
      <c r="F1575" s="30" t="n">
        <v>9</v>
      </c>
      <c r="G1575" s="29" t="n"/>
      <c r="H1575" s="42" t="n"/>
      <c r="I1575" s="40" t="n"/>
      <c r="J1575" s="40" t="n"/>
      <c r="K1575" s="40" t="n"/>
      <c r="L1575" s="30">
        <f>IF(COUNT(I1575:K1575)=0,"",MEDIAN(I1575:K1575))</f>
        <v/>
      </c>
      <c r="M1575" s="25">
        <f>IF(COUNTIFS($C:$C,$C1575,$D:$D,"P0(전)",$L:$L,"&gt;0")&lt;&gt;1,"P0(전) 유효 1개 아님",IF(COUNTIFS($C:$C,$C1575,$D:$D,"P0(후)",$L:$L,"&gt;0")&lt;&gt;1,"P0(후) 유효 1개 아님",IF(NOT(AND(ISNUMBER(N1575),ISNUMBER(P1575),ISNUMBER(H1575))),"시각 결측",IF(P1575&lt;=N1575,"P0 시각 역전",IF(OR(H1575&lt;N1575,H1575&gt;P1575),"측정시각 구간 밖","OK")))))</f>
        <v/>
      </c>
      <c r="N1575" s="45">
        <f>IF(COUNTIFS($C:$C,$C1575,$D:$D,"P0(전)",$L:$L,"&gt;0")&lt;&gt;1,"",SUMIFS($H:$H,$C:$C,$C1575,$D:$D,"P0(전)"))</f>
        <v/>
      </c>
      <c r="O1575" s="30">
        <f>IF(COUNTIFS($C:$C,$C1575,$D:$D,"P0(전)",$L:$L,"&gt;0")&lt;&gt;1,"",SUMIFS($L:$L,$C:$C,$C1575,$D:$D,"P0(전)"))</f>
        <v/>
      </c>
      <c r="P1575" s="45">
        <f>IF(COUNTIFS($C:$C,$C1575,$D:$D,"P0(후)",$L:$L,"&gt;0")&lt;&gt;1,"",SUMIFS($H:$H,$C:$C,$C1575,$D:$D,"P0(후)"))</f>
        <v/>
      </c>
      <c r="Q1575" s="30">
        <f>IF(COUNTIFS($C:$C,$C1575,$D:$D,"P0(후)",$L:$L,"&gt;0")&lt;&gt;1,"",SUMIFS($L:$L,$C:$C,$C1575,$D:$D,"P0(후)"))</f>
        <v/>
      </c>
      <c r="R1575" s="30">
        <f>IF(M1575&lt;&gt;"OK","",O1575+(Q1575-O1575)*(H1575-N1575)/(P1575-N1575))</f>
        <v/>
      </c>
      <c r="S1575" s="30">
        <f>IF(OR(M1575&lt;&gt;"OK",NOT(ISNUMBER(L1575))),"",L1575-R1575)</f>
        <v/>
      </c>
      <c r="T1575" s="46">
        <f>IF(OR(NOT(ISNUMBER(S1575)),IF(ISNUMBER(G1575),G1575,F1575)=0),"",S1575/IF(ISNUMBER(G1575),G1575,F1575))</f>
        <v/>
      </c>
      <c r="U1575" s="46">
        <f>IF(ISNUMBER(T1575),ABS(T1575),"")</f>
        <v/>
      </c>
      <c r="V1575" s="46">
        <f>IF(OR($D1574&lt;&gt;"측정",$C1574&lt;&gt;$C1575,NOT(ISNUMBER(L1575)),NOT(ISNUMBER(L1574)),(IF(ISNUMBER(G1575),G1575,F1575)-IF(ISNUMBER(G1574),G1574,F1574))=0),"",(L1575-L1574)/(IF(ISNUMBER(G1575),G1575,F1575)-IF(ISNUMBER(G1574),G1574,F1574)))</f>
        <v/>
      </c>
      <c r="W1575" s="30">
        <f>IF(NOT(AND(ISNUMBER(N1575),ISNUMBER(P1575))),"",(P1575-N1575)*1440)</f>
        <v/>
      </c>
      <c r="X1575" s="28" t="n"/>
      <c r="Y1575" s="28" t="n"/>
      <c r="Z1575" s="28" t="n"/>
      <c r="AA1575" s="31" t="n"/>
      <c r="AB1575" s="31" t="n"/>
    </row>
    <row r="1576">
      <c r="A1576" s="25" t="inlineStr">
        <is>
          <t>S31</t>
        </is>
      </c>
      <c r="B1576" s="25" t="inlineStr">
        <is>
          <t>언양 신규점3</t>
        </is>
      </c>
      <c r="C1576" s="25" t="inlineStr">
        <is>
          <t>S31-H동</t>
        </is>
      </c>
      <c r="D1576" s="25" t="inlineStr">
        <is>
          <t>측정</t>
        </is>
      </c>
      <c r="E1576" s="25" t="inlineStr">
        <is>
          <t>동</t>
        </is>
      </c>
      <c r="F1576" s="30" t="n">
        <v>10</v>
      </c>
      <c r="G1576" s="29" t="n"/>
      <c r="H1576" s="42" t="n"/>
      <c r="I1576" s="40" t="n"/>
      <c r="J1576" s="40" t="n"/>
      <c r="K1576" s="40" t="n"/>
      <c r="L1576" s="30">
        <f>IF(COUNT(I1576:K1576)=0,"",MEDIAN(I1576:K1576))</f>
        <v/>
      </c>
      <c r="M1576" s="25">
        <f>IF(COUNTIFS($C:$C,$C1576,$D:$D,"P0(전)",$L:$L,"&gt;0")&lt;&gt;1,"P0(전) 유효 1개 아님",IF(COUNTIFS($C:$C,$C1576,$D:$D,"P0(후)",$L:$L,"&gt;0")&lt;&gt;1,"P0(후) 유효 1개 아님",IF(NOT(AND(ISNUMBER(N1576),ISNUMBER(P1576),ISNUMBER(H1576))),"시각 결측",IF(P1576&lt;=N1576,"P0 시각 역전",IF(OR(H1576&lt;N1576,H1576&gt;P1576),"측정시각 구간 밖","OK")))))</f>
        <v/>
      </c>
      <c r="N1576" s="45">
        <f>IF(COUNTIFS($C:$C,$C1576,$D:$D,"P0(전)",$L:$L,"&gt;0")&lt;&gt;1,"",SUMIFS($H:$H,$C:$C,$C1576,$D:$D,"P0(전)"))</f>
        <v/>
      </c>
      <c r="O1576" s="30">
        <f>IF(COUNTIFS($C:$C,$C1576,$D:$D,"P0(전)",$L:$L,"&gt;0")&lt;&gt;1,"",SUMIFS($L:$L,$C:$C,$C1576,$D:$D,"P0(전)"))</f>
        <v/>
      </c>
      <c r="P1576" s="45">
        <f>IF(COUNTIFS($C:$C,$C1576,$D:$D,"P0(후)",$L:$L,"&gt;0")&lt;&gt;1,"",SUMIFS($H:$H,$C:$C,$C1576,$D:$D,"P0(후)"))</f>
        <v/>
      </c>
      <c r="Q1576" s="30">
        <f>IF(COUNTIFS($C:$C,$C1576,$D:$D,"P0(후)",$L:$L,"&gt;0")&lt;&gt;1,"",SUMIFS($L:$L,$C:$C,$C1576,$D:$D,"P0(후)"))</f>
        <v/>
      </c>
      <c r="R1576" s="30">
        <f>IF(M1576&lt;&gt;"OK","",O1576+(Q1576-O1576)*(H1576-N1576)/(P1576-N1576))</f>
        <v/>
      </c>
      <c r="S1576" s="30">
        <f>IF(OR(M1576&lt;&gt;"OK",NOT(ISNUMBER(L1576))),"",L1576-R1576)</f>
        <v/>
      </c>
      <c r="T1576" s="46">
        <f>IF(OR(NOT(ISNUMBER(S1576)),IF(ISNUMBER(G1576),G1576,F1576)=0),"",S1576/IF(ISNUMBER(G1576),G1576,F1576))</f>
        <v/>
      </c>
      <c r="U1576" s="46">
        <f>IF(ISNUMBER(T1576),ABS(T1576),"")</f>
        <v/>
      </c>
      <c r="V1576" s="46">
        <f>IF(OR($D1575&lt;&gt;"측정",$C1575&lt;&gt;$C1576,NOT(ISNUMBER(L1576)),NOT(ISNUMBER(L1575)),(IF(ISNUMBER(G1576),G1576,F1576)-IF(ISNUMBER(G1575),G1575,F1575))=0),"",(L1576-L1575)/(IF(ISNUMBER(G1576),G1576,F1576)-IF(ISNUMBER(G1575),G1575,F1575)))</f>
        <v/>
      </c>
      <c r="W1576" s="30">
        <f>IF(NOT(AND(ISNUMBER(N1576),ISNUMBER(P1576))),"",(P1576-N1576)*1440)</f>
        <v/>
      </c>
      <c r="X1576" s="28" t="n"/>
      <c r="Y1576" s="28" t="n"/>
      <c r="Z1576" s="28" t="n"/>
      <c r="AA1576" s="31" t="n"/>
      <c r="AB1576" s="31" t="n"/>
    </row>
    <row r="1577">
      <c r="A1577" s="43" t="inlineStr">
        <is>
          <t>S31</t>
        </is>
      </c>
      <c r="B1577" s="43" t="inlineStr">
        <is>
          <t>언양 신규점3</t>
        </is>
      </c>
      <c r="C1577" s="43" t="inlineStr">
        <is>
          <t>S31-H동</t>
        </is>
      </c>
      <c r="D1577" s="43" t="inlineStr">
        <is>
          <t>P0(후)</t>
        </is>
      </c>
      <c r="E1577" s="43" t="inlineStr">
        <is>
          <t>동</t>
        </is>
      </c>
      <c r="F1577" s="44" t="n"/>
      <c r="G1577" s="29" t="n"/>
      <c r="H1577" s="42" t="n"/>
      <c r="I1577" s="40" t="n"/>
      <c r="J1577" s="40" t="n"/>
      <c r="K1577" s="40" t="n"/>
      <c r="L1577" s="30">
        <f>IF(COUNT(I1577:K1577)=0,"",MEDIAN(I1577:K1577))</f>
        <v/>
      </c>
      <c r="M1577" s="37" t="n"/>
      <c r="N1577" s="37" t="n"/>
      <c r="O1577" s="37" t="n"/>
      <c r="P1577" s="37" t="n"/>
      <c r="Q1577" s="37" t="n"/>
      <c r="R1577" s="37" t="n"/>
      <c r="S1577" s="37" t="n"/>
      <c r="T1577" s="37" t="n"/>
      <c r="U1577" s="37" t="n"/>
      <c r="V1577" s="37" t="n"/>
      <c r="W1577" s="37" t="n"/>
      <c r="X1577" s="28" t="n"/>
      <c r="Y1577" s="28" t="n"/>
      <c r="Z1577" s="28" t="n"/>
      <c r="AA1577" s="31" t="n"/>
      <c r="AB1577" s="31" t="n"/>
    </row>
    <row r="1578">
      <c r="A1578" s="43" t="inlineStr">
        <is>
          <t>S31</t>
        </is>
      </c>
      <c r="B1578" s="43" t="inlineStr">
        <is>
          <t>언양 신규점3</t>
        </is>
      </c>
      <c r="C1578" s="43" t="inlineStr">
        <is>
          <t>S31-H서</t>
        </is>
      </c>
      <c r="D1578" s="43" t="inlineStr">
        <is>
          <t>P0(전)</t>
        </is>
      </c>
      <c r="E1578" s="43" t="inlineStr">
        <is>
          <t>서</t>
        </is>
      </c>
      <c r="F1578" s="44" t="n"/>
      <c r="G1578" s="29" t="n"/>
      <c r="H1578" s="42" t="n"/>
      <c r="I1578" s="40" t="n"/>
      <c r="J1578" s="40" t="n"/>
      <c r="K1578" s="40" t="n"/>
      <c r="L1578" s="30">
        <f>IF(COUNT(I1578:K1578)=0,"",MEDIAN(I1578:K1578))</f>
        <v/>
      </c>
      <c r="M1578" s="37" t="n"/>
      <c r="N1578" s="37" t="n"/>
      <c r="O1578" s="37" t="n"/>
      <c r="P1578" s="37" t="n"/>
      <c r="Q1578" s="37" t="n"/>
      <c r="R1578" s="37" t="n"/>
      <c r="S1578" s="37" t="n"/>
      <c r="T1578" s="37" t="n"/>
      <c r="U1578" s="37" t="n"/>
      <c r="V1578" s="37" t="n"/>
      <c r="W1578" s="37" t="n"/>
      <c r="X1578" s="28" t="n"/>
      <c r="Y1578" s="28" t="n"/>
      <c r="Z1578" s="28" t="n"/>
      <c r="AA1578" s="31" t="n"/>
      <c r="AB1578" s="31" t="n"/>
    </row>
    <row r="1579">
      <c r="A1579" s="25" t="inlineStr">
        <is>
          <t>S31</t>
        </is>
      </c>
      <c r="B1579" s="25" t="inlineStr">
        <is>
          <t>언양 신규점3</t>
        </is>
      </c>
      <c r="C1579" s="25" t="inlineStr">
        <is>
          <t>S31-H서</t>
        </is>
      </c>
      <c r="D1579" s="25" t="inlineStr">
        <is>
          <t>측정</t>
        </is>
      </c>
      <c r="E1579" s="25" t="inlineStr">
        <is>
          <t>서</t>
        </is>
      </c>
      <c r="F1579" s="30" t="n">
        <v>0.5</v>
      </c>
      <c r="G1579" s="29" t="n"/>
      <c r="H1579" s="42" t="n"/>
      <c r="I1579" s="40" t="n"/>
      <c r="J1579" s="40" t="n"/>
      <c r="K1579" s="40" t="n"/>
      <c r="L1579" s="30">
        <f>IF(COUNT(I1579:K1579)=0,"",MEDIAN(I1579:K1579))</f>
        <v/>
      </c>
      <c r="M1579" s="25">
        <f>IF(COUNTIFS($C:$C,$C1579,$D:$D,"P0(전)",$L:$L,"&gt;0")&lt;&gt;1,"P0(전) 유효 1개 아님",IF(COUNTIFS($C:$C,$C1579,$D:$D,"P0(후)",$L:$L,"&gt;0")&lt;&gt;1,"P0(후) 유효 1개 아님",IF(NOT(AND(ISNUMBER(N1579),ISNUMBER(P1579),ISNUMBER(H1579))),"시각 결측",IF(P1579&lt;=N1579,"P0 시각 역전",IF(OR(H1579&lt;N1579,H1579&gt;P1579),"측정시각 구간 밖","OK")))))</f>
        <v/>
      </c>
      <c r="N1579" s="45">
        <f>IF(COUNTIFS($C:$C,$C1579,$D:$D,"P0(전)",$L:$L,"&gt;0")&lt;&gt;1,"",SUMIFS($H:$H,$C:$C,$C1579,$D:$D,"P0(전)"))</f>
        <v/>
      </c>
      <c r="O1579" s="30">
        <f>IF(COUNTIFS($C:$C,$C1579,$D:$D,"P0(전)",$L:$L,"&gt;0")&lt;&gt;1,"",SUMIFS($L:$L,$C:$C,$C1579,$D:$D,"P0(전)"))</f>
        <v/>
      </c>
      <c r="P1579" s="45">
        <f>IF(COUNTIFS($C:$C,$C1579,$D:$D,"P0(후)",$L:$L,"&gt;0")&lt;&gt;1,"",SUMIFS($H:$H,$C:$C,$C1579,$D:$D,"P0(후)"))</f>
        <v/>
      </c>
      <c r="Q1579" s="30">
        <f>IF(COUNTIFS($C:$C,$C1579,$D:$D,"P0(후)",$L:$L,"&gt;0")&lt;&gt;1,"",SUMIFS($L:$L,$C:$C,$C1579,$D:$D,"P0(후)"))</f>
        <v/>
      </c>
      <c r="R1579" s="30">
        <f>IF(M1579&lt;&gt;"OK","",O1579+(Q1579-O1579)*(H1579-N1579)/(P1579-N1579))</f>
        <v/>
      </c>
      <c r="S1579" s="30">
        <f>IF(OR(M1579&lt;&gt;"OK",NOT(ISNUMBER(L1579))),"",L1579-R1579)</f>
        <v/>
      </c>
      <c r="T1579" s="46">
        <f>IF(OR(NOT(ISNUMBER(S1579)),IF(ISNUMBER(G1579),G1579,F1579)=0),"",S1579/IF(ISNUMBER(G1579),G1579,F1579))</f>
        <v/>
      </c>
      <c r="U1579" s="46">
        <f>IF(ISNUMBER(T1579),ABS(T1579),"")</f>
        <v/>
      </c>
      <c r="V1579" s="46">
        <f>IF(OR($D1578&lt;&gt;"측정",$C1578&lt;&gt;$C1579,NOT(ISNUMBER(L1579)),NOT(ISNUMBER(L1578)),(IF(ISNUMBER(G1579),G1579,F1579)-IF(ISNUMBER(G1578),G1578,F1578))=0),"",(L1579-L1578)/(IF(ISNUMBER(G1579),G1579,F1579)-IF(ISNUMBER(G1578),G1578,F1578)))</f>
        <v/>
      </c>
      <c r="W1579" s="30">
        <f>IF(NOT(AND(ISNUMBER(N1579),ISNUMBER(P1579))),"",(P1579-N1579)*1440)</f>
        <v/>
      </c>
      <c r="X1579" s="28" t="n"/>
      <c r="Y1579" s="28" t="n"/>
      <c r="Z1579" s="28" t="n"/>
      <c r="AA1579" s="31" t="n"/>
      <c r="AB1579" s="31" t="n"/>
    </row>
    <row r="1580">
      <c r="A1580" s="25" t="inlineStr">
        <is>
          <t>S31</t>
        </is>
      </c>
      <c r="B1580" s="25" t="inlineStr">
        <is>
          <t>언양 신규점3</t>
        </is>
      </c>
      <c r="C1580" s="25" t="inlineStr">
        <is>
          <t>S31-H서</t>
        </is>
      </c>
      <c r="D1580" s="25" t="inlineStr">
        <is>
          <t>측정</t>
        </is>
      </c>
      <c r="E1580" s="25" t="inlineStr">
        <is>
          <t>서</t>
        </is>
      </c>
      <c r="F1580" s="30" t="n">
        <v>1</v>
      </c>
      <c r="G1580" s="29" t="n"/>
      <c r="H1580" s="42" t="n"/>
      <c r="I1580" s="40" t="n"/>
      <c r="J1580" s="40" t="n"/>
      <c r="K1580" s="40" t="n"/>
      <c r="L1580" s="30">
        <f>IF(COUNT(I1580:K1580)=0,"",MEDIAN(I1580:K1580))</f>
        <v/>
      </c>
      <c r="M1580" s="25">
        <f>IF(COUNTIFS($C:$C,$C1580,$D:$D,"P0(전)",$L:$L,"&gt;0")&lt;&gt;1,"P0(전) 유효 1개 아님",IF(COUNTIFS($C:$C,$C1580,$D:$D,"P0(후)",$L:$L,"&gt;0")&lt;&gt;1,"P0(후) 유효 1개 아님",IF(NOT(AND(ISNUMBER(N1580),ISNUMBER(P1580),ISNUMBER(H1580))),"시각 결측",IF(P1580&lt;=N1580,"P0 시각 역전",IF(OR(H1580&lt;N1580,H1580&gt;P1580),"측정시각 구간 밖","OK")))))</f>
        <v/>
      </c>
      <c r="N1580" s="45">
        <f>IF(COUNTIFS($C:$C,$C1580,$D:$D,"P0(전)",$L:$L,"&gt;0")&lt;&gt;1,"",SUMIFS($H:$H,$C:$C,$C1580,$D:$D,"P0(전)"))</f>
        <v/>
      </c>
      <c r="O1580" s="30">
        <f>IF(COUNTIFS($C:$C,$C1580,$D:$D,"P0(전)",$L:$L,"&gt;0")&lt;&gt;1,"",SUMIFS($L:$L,$C:$C,$C1580,$D:$D,"P0(전)"))</f>
        <v/>
      </c>
      <c r="P1580" s="45">
        <f>IF(COUNTIFS($C:$C,$C1580,$D:$D,"P0(후)",$L:$L,"&gt;0")&lt;&gt;1,"",SUMIFS($H:$H,$C:$C,$C1580,$D:$D,"P0(후)"))</f>
        <v/>
      </c>
      <c r="Q1580" s="30">
        <f>IF(COUNTIFS($C:$C,$C1580,$D:$D,"P0(후)",$L:$L,"&gt;0")&lt;&gt;1,"",SUMIFS($L:$L,$C:$C,$C1580,$D:$D,"P0(후)"))</f>
        <v/>
      </c>
      <c r="R1580" s="30">
        <f>IF(M1580&lt;&gt;"OK","",O1580+(Q1580-O1580)*(H1580-N1580)/(P1580-N1580))</f>
        <v/>
      </c>
      <c r="S1580" s="30">
        <f>IF(OR(M1580&lt;&gt;"OK",NOT(ISNUMBER(L1580))),"",L1580-R1580)</f>
        <v/>
      </c>
      <c r="T1580" s="46">
        <f>IF(OR(NOT(ISNUMBER(S1580)),IF(ISNUMBER(G1580),G1580,F1580)=0),"",S1580/IF(ISNUMBER(G1580),G1580,F1580))</f>
        <v/>
      </c>
      <c r="U1580" s="46">
        <f>IF(ISNUMBER(T1580),ABS(T1580),"")</f>
        <v/>
      </c>
      <c r="V1580" s="46">
        <f>IF(OR($D1579&lt;&gt;"측정",$C1579&lt;&gt;$C1580,NOT(ISNUMBER(L1580)),NOT(ISNUMBER(L1579)),(IF(ISNUMBER(G1580),G1580,F1580)-IF(ISNUMBER(G1579),G1579,F1579))=0),"",(L1580-L1579)/(IF(ISNUMBER(G1580),G1580,F1580)-IF(ISNUMBER(G1579),G1579,F1579)))</f>
        <v/>
      </c>
      <c r="W1580" s="30">
        <f>IF(NOT(AND(ISNUMBER(N1580),ISNUMBER(P1580))),"",(P1580-N1580)*1440)</f>
        <v/>
      </c>
      <c r="X1580" s="28" t="n"/>
      <c r="Y1580" s="28" t="n"/>
      <c r="Z1580" s="28" t="n"/>
      <c r="AA1580" s="31" t="n"/>
      <c r="AB1580" s="31" t="n"/>
    </row>
    <row r="1581">
      <c r="A1581" s="25" t="inlineStr">
        <is>
          <t>S31</t>
        </is>
      </c>
      <c r="B1581" s="25" t="inlineStr">
        <is>
          <t>언양 신규점3</t>
        </is>
      </c>
      <c r="C1581" s="25" t="inlineStr">
        <is>
          <t>S31-H서</t>
        </is>
      </c>
      <c r="D1581" s="25" t="inlineStr">
        <is>
          <t>측정</t>
        </is>
      </c>
      <c r="E1581" s="25" t="inlineStr">
        <is>
          <t>서</t>
        </is>
      </c>
      <c r="F1581" s="30" t="n">
        <v>2</v>
      </c>
      <c r="G1581" s="29" t="n"/>
      <c r="H1581" s="42" t="n"/>
      <c r="I1581" s="40" t="n"/>
      <c r="J1581" s="40" t="n"/>
      <c r="K1581" s="40" t="n"/>
      <c r="L1581" s="30">
        <f>IF(COUNT(I1581:K1581)=0,"",MEDIAN(I1581:K1581))</f>
        <v/>
      </c>
      <c r="M1581" s="25">
        <f>IF(COUNTIFS($C:$C,$C1581,$D:$D,"P0(전)",$L:$L,"&gt;0")&lt;&gt;1,"P0(전) 유효 1개 아님",IF(COUNTIFS($C:$C,$C1581,$D:$D,"P0(후)",$L:$L,"&gt;0")&lt;&gt;1,"P0(후) 유효 1개 아님",IF(NOT(AND(ISNUMBER(N1581),ISNUMBER(P1581),ISNUMBER(H1581))),"시각 결측",IF(P1581&lt;=N1581,"P0 시각 역전",IF(OR(H1581&lt;N1581,H1581&gt;P1581),"측정시각 구간 밖","OK")))))</f>
        <v/>
      </c>
      <c r="N1581" s="45">
        <f>IF(COUNTIFS($C:$C,$C1581,$D:$D,"P0(전)",$L:$L,"&gt;0")&lt;&gt;1,"",SUMIFS($H:$H,$C:$C,$C1581,$D:$D,"P0(전)"))</f>
        <v/>
      </c>
      <c r="O1581" s="30">
        <f>IF(COUNTIFS($C:$C,$C1581,$D:$D,"P0(전)",$L:$L,"&gt;0")&lt;&gt;1,"",SUMIFS($L:$L,$C:$C,$C1581,$D:$D,"P0(전)"))</f>
        <v/>
      </c>
      <c r="P1581" s="45">
        <f>IF(COUNTIFS($C:$C,$C1581,$D:$D,"P0(후)",$L:$L,"&gt;0")&lt;&gt;1,"",SUMIFS($H:$H,$C:$C,$C1581,$D:$D,"P0(후)"))</f>
        <v/>
      </c>
      <c r="Q1581" s="30">
        <f>IF(COUNTIFS($C:$C,$C1581,$D:$D,"P0(후)",$L:$L,"&gt;0")&lt;&gt;1,"",SUMIFS($L:$L,$C:$C,$C1581,$D:$D,"P0(후)"))</f>
        <v/>
      </c>
      <c r="R1581" s="30">
        <f>IF(M1581&lt;&gt;"OK","",O1581+(Q1581-O1581)*(H1581-N1581)/(P1581-N1581))</f>
        <v/>
      </c>
      <c r="S1581" s="30">
        <f>IF(OR(M1581&lt;&gt;"OK",NOT(ISNUMBER(L1581))),"",L1581-R1581)</f>
        <v/>
      </c>
      <c r="T1581" s="46">
        <f>IF(OR(NOT(ISNUMBER(S1581)),IF(ISNUMBER(G1581),G1581,F1581)=0),"",S1581/IF(ISNUMBER(G1581),G1581,F1581))</f>
        <v/>
      </c>
      <c r="U1581" s="46">
        <f>IF(ISNUMBER(T1581),ABS(T1581),"")</f>
        <v/>
      </c>
      <c r="V1581" s="46">
        <f>IF(OR($D1580&lt;&gt;"측정",$C1580&lt;&gt;$C1581,NOT(ISNUMBER(L1581)),NOT(ISNUMBER(L1580)),(IF(ISNUMBER(G1581),G1581,F1581)-IF(ISNUMBER(G1580),G1580,F1580))=0),"",(L1581-L1580)/(IF(ISNUMBER(G1581),G1581,F1581)-IF(ISNUMBER(G1580),G1580,F1580)))</f>
        <v/>
      </c>
      <c r="W1581" s="30">
        <f>IF(NOT(AND(ISNUMBER(N1581),ISNUMBER(P1581))),"",(P1581-N1581)*1440)</f>
        <v/>
      </c>
      <c r="X1581" s="28" t="n"/>
      <c r="Y1581" s="28" t="n"/>
      <c r="Z1581" s="28" t="n"/>
      <c r="AA1581" s="31" t="n"/>
      <c r="AB1581" s="31" t="n"/>
    </row>
    <row r="1582">
      <c r="A1582" s="25" t="inlineStr">
        <is>
          <t>S31</t>
        </is>
      </c>
      <c r="B1582" s="25" t="inlineStr">
        <is>
          <t>언양 신규점3</t>
        </is>
      </c>
      <c r="C1582" s="25" t="inlineStr">
        <is>
          <t>S31-H서</t>
        </is>
      </c>
      <c r="D1582" s="25" t="inlineStr">
        <is>
          <t>측정</t>
        </is>
      </c>
      <c r="E1582" s="25" t="inlineStr">
        <is>
          <t>서</t>
        </is>
      </c>
      <c r="F1582" s="30" t="n">
        <v>3</v>
      </c>
      <c r="G1582" s="29" t="n"/>
      <c r="H1582" s="42" t="n"/>
      <c r="I1582" s="40" t="n"/>
      <c r="J1582" s="40" t="n"/>
      <c r="K1582" s="40" t="n"/>
      <c r="L1582" s="30">
        <f>IF(COUNT(I1582:K1582)=0,"",MEDIAN(I1582:K1582))</f>
        <v/>
      </c>
      <c r="M1582" s="25">
        <f>IF(COUNTIFS($C:$C,$C1582,$D:$D,"P0(전)",$L:$L,"&gt;0")&lt;&gt;1,"P0(전) 유효 1개 아님",IF(COUNTIFS($C:$C,$C1582,$D:$D,"P0(후)",$L:$L,"&gt;0")&lt;&gt;1,"P0(후) 유효 1개 아님",IF(NOT(AND(ISNUMBER(N1582),ISNUMBER(P1582),ISNUMBER(H1582))),"시각 결측",IF(P1582&lt;=N1582,"P0 시각 역전",IF(OR(H1582&lt;N1582,H1582&gt;P1582),"측정시각 구간 밖","OK")))))</f>
        <v/>
      </c>
      <c r="N1582" s="45">
        <f>IF(COUNTIFS($C:$C,$C1582,$D:$D,"P0(전)",$L:$L,"&gt;0")&lt;&gt;1,"",SUMIFS($H:$H,$C:$C,$C1582,$D:$D,"P0(전)"))</f>
        <v/>
      </c>
      <c r="O1582" s="30">
        <f>IF(COUNTIFS($C:$C,$C1582,$D:$D,"P0(전)",$L:$L,"&gt;0")&lt;&gt;1,"",SUMIFS($L:$L,$C:$C,$C1582,$D:$D,"P0(전)"))</f>
        <v/>
      </c>
      <c r="P1582" s="45">
        <f>IF(COUNTIFS($C:$C,$C1582,$D:$D,"P0(후)",$L:$L,"&gt;0")&lt;&gt;1,"",SUMIFS($H:$H,$C:$C,$C1582,$D:$D,"P0(후)"))</f>
        <v/>
      </c>
      <c r="Q1582" s="30">
        <f>IF(COUNTIFS($C:$C,$C1582,$D:$D,"P0(후)",$L:$L,"&gt;0")&lt;&gt;1,"",SUMIFS($L:$L,$C:$C,$C1582,$D:$D,"P0(후)"))</f>
        <v/>
      </c>
      <c r="R1582" s="30">
        <f>IF(M1582&lt;&gt;"OK","",O1582+(Q1582-O1582)*(H1582-N1582)/(P1582-N1582))</f>
        <v/>
      </c>
      <c r="S1582" s="30">
        <f>IF(OR(M1582&lt;&gt;"OK",NOT(ISNUMBER(L1582))),"",L1582-R1582)</f>
        <v/>
      </c>
      <c r="T1582" s="46">
        <f>IF(OR(NOT(ISNUMBER(S1582)),IF(ISNUMBER(G1582),G1582,F1582)=0),"",S1582/IF(ISNUMBER(G1582),G1582,F1582))</f>
        <v/>
      </c>
      <c r="U1582" s="46">
        <f>IF(ISNUMBER(T1582),ABS(T1582),"")</f>
        <v/>
      </c>
      <c r="V1582" s="46">
        <f>IF(OR($D1581&lt;&gt;"측정",$C1581&lt;&gt;$C1582,NOT(ISNUMBER(L1582)),NOT(ISNUMBER(L1581)),(IF(ISNUMBER(G1582),G1582,F1582)-IF(ISNUMBER(G1581),G1581,F1581))=0),"",(L1582-L1581)/(IF(ISNUMBER(G1582),G1582,F1582)-IF(ISNUMBER(G1581),G1581,F1581)))</f>
        <v/>
      </c>
      <c r="W1582" s="30">
        <f>IF(NOT(AND(ISNUMBER(N1582),ISNUMBER(P1582))),"",(P1582-N1582)*1440)</f>
        <v/>
      </c>
      <c r="X1582" s="28" t="n"/>
      <c r="Y1582" s="28" t="n"/>
      <c r="Z1582" s="28" t="n"/>
      <c r="AA1582" s="31" t="n"/>
      <c r="AB1582" s="31" t="n"/>
    </row>
    <row r="1583">
      <c r="A1583" s="25" t="inlineStr">
        <is>
          <t>S31</t>
        </is>
      </c>
      <c r="B1583" s="25" t="inlineStr">
        <is>
          <t>언양 신규점3</t>
        </is>
      </c>
      <c r="C1583" s="25" t="inlineStr">
        <is>
          <t>S31-H서</t>
        </is>
      </c>
      <c r="D1583" s="25" t="inlineStr">
        <is>
          <t>측정</t>
        </is>
      </c>
      <c r="E1583" s="25" t="inlineStr">
        <is>
          <t>서</t>
        </is>
      </c>
      <c r="F1583" s="30" t="n">
        <v>4</v>
      </c>
      <c r="G1583" s="29" t="n"/>
      <c r="H1583" s="42" t="n"/>
      <c r="I1583" s="40" t="n"/>
      <c r="J1583" s="40" t="n"/>
      <c r="K1583" s="40" t="n"/>
      <c r="L1583" s="30">
        <f>IF(COUNT(I1583:K1583)=0,"",MEDIAN(I1583:K1583))</f>
        <v/>
      </c>
      <c r="M1583" s="25">
        <f>IF(COUNTIFS($C:$C,$C1583,$D:$D,"P0(전)",$L:$L,"&gt;0")&lt;&gt;1,"P0(전) 유효 1개 아님",IF(COUNTIFS($C:$C,$C1583,$D:$D,"P0(후)",$L:$L,"&gt;0")&lt;&gt;1,"P0(후) 유효 1개 아님",IF(NOT(AND(ISNUMBER(N1583),ISNUMBER(P1583),ISNUMBER(H1583))),"시각 결측",IF(P1583&lt;=N1583,"P0 시각 역전",IF(OR(H1583&lt;N1583,H1583&gt;P1583),"측정시각 구간 밖","OK")))))</f>
        <v/>
      </c>
      <c r="N1583" s="45">
        <f>IF(COUNTIFS($C:$C,$C1583,$D:$D,"P0(전)",$L:$L,"&gt;0")&lt;&gt;1,"",SUMIFS($H:$H,$C:$C,$C1583,$D:$D,"P0(전)"))</f>
        <v/>
      </c>
      <c r="O1583" s="30">
        <f>IF(COUNTIFS($C:$C,$C1583,$D:$D,"P0(전)",$L:$L,"&gt;0")&lt;&gt;1,"",SUMIFS($L:$L,$C:$C,$C1583,$D:$D,"P0(전)"))</f>
        <v/>
      </c>
      <c r="P1583" s="45">
        <f>IF(COUNTIFS($C:$C,$C1583,$D:$D,"P0(후)",$L:$L,"&gt;0")&lt;&gt;1,"",SUMIFS($H:$H,$C:$C,$C1583,$D:$D,"P0(후)"))</f>
        <v/>
      </c>
      <c r="Q1583" s="30">
        <f>IF(COUNTIFS($C:$C,$C1583,$D:$D,"P0(후)",$L:$L,"&gt;0")&lt;&gt;1,"",SUMIFS($L:$L,$C:$C,$C1583,$D:$D,"P0(후)"))</f>
        <v/>
      </c>
      <c r="R1583" s="30">
        <f>IF(M1583&lt;&gt;"OK","",O1583+(Q1583-O1583)*(H1583-N1583)/(P1583-N1583))</f>
        <v/>
      </c>
      <c r="S1583" s="30">
        <f>IF(OR(M1583&lt;&gt;"OK",NOT(ISNUMBER(L1583))),"",L1583-R1583)</f>
        <v/>
      </c>
      <c r="T1583" s="46">
        <f>IF(OR(NOT(ISNUMBER(S1583)),IF(ISNUMBER(G1583),G1583,F1583)=0),"",S1583/IF(ISNUMBER(G1583),G1583,F1583))</f>
        <v/>
      </c>
      <c r="U1583" s="46">
        <f>IF(ISNUMBER(T1583),ABS(T1583),"")</f>
        <v/>
      </c>
      <c r="V1583" s="46">
        <f>IF(OR($D1582&lt;&gt;"측정",$C1582&lt;&gt;$C1583,NOT(ISNUMBER(L1583)),NOT(ISNUMBER(L1582)),(IF(ISNUMBER(G1583),G1583,F1583)-IF(ISNUMBER(G1582),G1582,F1582))=0),"",(L1583-L1582)/(IF(ISNUMBER(G1583),G1583,F1583)-IF(ISNUMBER(G1582),G1582,F1582)))</f>
        <v/>
      </c>
      <c r="W1583" s="30">
        <f>IF(NOT(AND(ISNUMBER(N1583),ISNUMBER(P1583))),"",(P1583-N1583)*1440)</f>
        <v/>
      </c>
      <c r="X1583" s="28" t="n"/>
      <c r="Y1583" s="28" t="n"/>
      <c r="Z1583" s="28" t="n"/>
      <c r="AA1583" s="31" t="n"/>
      <c r="AB1583" s="31" t="n"/>
    </row>
    <row r="1584">
      <c r="A1584" s="25" t="inlineStr">
        <is>
          <t>S31</t>
        </is>
      </c>
      <c r="B1584" s="25" t="inlineStr">
        <is>
          <t>언양 신규점3</t>
        </is>
      </c>
      <c r="C1584" s="25" t="inlineStr">
        <is>
          <t>S31-H서</t>
        </is>
      </c>
      <c r="D1584" s="25" t="inlineStr">
        <is>
          <t>측정</t>
        </is>
      </c>
      <c r="E1584" s="25" t="inlineStr">
        <is>
          <t>서</t>
        </is>
      </c>
      <c r="F1584" s="30" t="n">
        <v>5</v>
      </c>
      <c r="G1584" s="29" t="n"/>
      <c r="H1584" s="42" t="n"/>
      <c r="I1584" s="40" t="n"/>
      <c r="J1584" s="40" t="n"/>
      <c r="K1584" s="40" t="n"/>
      <c r="L1584" s="30">
        <f>IF(COUNT(I1584:K1584)=0,"",MEDIAN(I1584:K1584))</f>
        <v/>
      </c>
      <c r="M1584" s="25">
        <f>IF(COUNTIFS($C:$C,$C1584,$D:$D,"P0(전)",$L:$L,"&gt;0")&lt;&gt;1,"P0(전) 유효 1개 아님",IF(COUNTIFS($C:$C,$C1584,$D:$D,"P0(후)",$L:$L,"&gt;0")&lt;&gt;1,"P0(후) 유효 1개 아님",IF(NOT(AND(ISNUMBER(N1584),ISNUMBER(P1584),ISNUMBER(H1584))),"시각 결측",IF(P1584&lt;=N1584,"P0 시각 역전",IF(OR(H1584&lt;N1584,H1584&gt;P1584),"측정시각 구간 밖","OK")))))</f>
        <v/>
      </c>
      <c r="N1584" s="45">
        <f>IF(COUNTIFS($C:$C,$C1584,$D:$D,"P0(전)",$L:$L,"&gt;0")&lt;&gt;1,"",SUMIFS($H:$H,$C:$C,$C1584,$D:$D,"P0(전)"))</f>
        <v/>
      </c>
      <c r="O1584" s="30">
        <f>IF(COUNTIFS($C:$C,$C1584,$D:$D,"P0(전)",$L:$L,"&gt;0")&lt;&gt;1,"",SUMIFS($L:$L,$C:$C,$C1584,$D:$D,"P0(전)"))</f>
        <v/>
      </c>
      <c r="P1584" s="45">
        <f>IF(COUNTIFS($C:$C,$C1584,$D:$D,"P0(후)",$L:$L,"&gt;0")&lt;&gt;1,"",SUMIFS($H:$H,$C:$C,$C1584,$D:$D,"P0(후)"))</f>
        <v/>
      </c>
      <c r="Q1584" s="30">
        <f>IF(COUNTIFS($C:$C,$C1584,$D:$D,"P0(후)",$L:$L,"&gt;0")&lt;&gt;1,"",SUMIFS($L:$L,$C:$C,$C1584,$D:$D,"P0(후)"))</f>
        <v/>
      </c>
      <c r="R1584" s="30">
        <f>IF(M1584&lt;&gt;"OK","",O1584+(Q1584-O1584)*(H1584-N1584)/(P1584-N1584))</f>
        <v/>
      </c>
      <c r="S1584" s="30">
        <f>IF(OR(M1584&lt;&gt;"OK",NOT(ISNUMBER(L1584))),"",L1584-R1584)</f>
        <v/>
      </c>
      <c r="T1584" s="46">
        <f>IF(OR(NOT(ISNUMBER(S1584)),IF(ISNUMBER(G1584),G1584,F1584)=0),"",S1584/IF(ISNUMBER(G1584),G1584,F1584))</f>
        <v/>
      </c>
      <c r="U1584" s="46">
        <f>IF(ISNUMBER(T1584),ABS(T1584),"")</f>
        <v/>
      </c>
      <c r="V1584" s="46">
        <f>IF(OR($D1583&lt;&gt;"측정",$C1583&lt;&gt;$C1584,NOT(ISNUMBER(L1584)),NOT(ISNUMBER(L1583)),(IF(ISNUMBER(G1584),G1584,F1584)-IF(ISNUMBER(G1583),G1583,F1583))=0),"",(L1584-L1583)/(IF(ISNUMBER(G1584),G1584,F1584)-IF(ISNUMBER(G1583),G1583,F1583)))</f>
        <v/>
      </c>
      <c r="W1584" s="30">
        <f>IF(NOT(AND(ISNUMBER(N1584),ISNUMBER(P1584))),"",(P1584-N1584)*1440)</f>
        <v/>
      </c>
      <c r="X1584" s="28" t="n"/>
      <c r="Y1584" s="28" t="n"/>
      <c r="Z1584" s="28" t="n"/>
      <c r="AA1584" s="31" t="n"/>
      <c r="AB1584" s="31" t="n"/>
    </row>
    <row r="1585">
      <c r="A1585" s="25" t="inlineStr">
        <is>
          <t>S31</t>
        </is>
      </c>
      <c r="B1585" s="25" t="inlineStr">
        <is>
          <t>언양 신규점3</t>
        </is>
      </c>
      <c r="C1585" s="25" t="inlineStr">
        <is>
          <t>S31-H서</t>
        </is>
      </c>
      <c r="D1585" s="25" t="inlineStr">
        <is>
          <t>측정</t>
        </is>
      </c>
      <c r="E1585" s="25" t="inlineStr">
        <is>
          <t>서</t>
        </is>
      </c>
      <c r="F1585" s="30" t="n">
        <v>6</v>
      </c>
      <c r="G1585" s="29" t="n"/>
      <c r="H1585" s="42" t="n"/>
      <c r="I1585" s="40" t="n"/>
      <c r="J1585" s="40" t="n"/>
      <c r="K1585" s="40" t="n"/>
      <c r="L1585" s="30">
        <f>IF(COUNT(I1585:K1585)=0,"",MEDIAN(I1585:K1585))</f>
        <v/>
      </c>
      <c r="M1585" s="25">
        <f>IF(COUNTIFS($C:$C,$C1585,$D:$D,"P0(전)",$L:$L,"&gt;0")&lt;&gt;1,"P0(전) 유효 1개 아님",IF(COUNTIFS($C:$C,$C1585,$D:$D,"P0(후)",$L:$L,"&gt;0")&lt;&gt;1,"P0(후) 유효 1개 아님",IF(NOT(AND(ISNUMBER(N1585),ISNUMBER(P1585),ISNUMBER(H1585))),"시각 결측",IF(P1585&lt;=N1585,"P0 시각 역전",IF(OR(H1585&lt;N1585,H1585&gt;P1585),"측정시각 구간 밖","OK")))))</f>
        <v/>
      </c>
      <c r="N1585" s="45">
        <f>IF(COUNTIFS($C:$C,$C1585,$D:$D,"P0(전)",$L:$L,"&gt;0")&lt;&gt;1,"",SUMIFS($H:$H,$C:$C,$C1585,$D:$D,"P0(전)"))</f>
        <v/>
      </c>
      <c r="O1585" s="30">
        <f>IF(COUNTIFS($C:$C,$C1585,$D:$D,"P0(전)",$L:$L,"&gt;0")&lt;&gt;1,"",SUMIFS($L:$L,$C:$C,$C1585,$D:$D,"P0(전)"))</f>
        <v/>
      </c>
      <c r="P1585" s="45">
        <f>IF(COUNTIFS($C:$C,$C1585,$D:$D,"P0(후)",$L:$L,"&gt;0")&lt;&gt;1,"",SUMIFS($H:$H,$C:$C,$C1585,$D:$D,"P0(후)"))</f>
        <v/>
      </c>
      <c r="Q1585" s="30">
        <f>IF(COUNTIFS($C:$C,$C1585,$D:$D,"P0(후)",$L:$L,"&gt;0")&lt;&gt;1,"",SUMIFS($L:$L,$C:$C,$C1585,$D:$D,"P0(후)"))</f>
        <v/>
      </c>
      <c r="R1585" s="30">
        <f>IF(M1585&lt;&gt;"OK","",O1585+(Q1585-O1585)*(H1585-N1585)/(P1585-N1585))</f>
        <v/>
      </c>
      <c r="S1585" s="30">
        <f>IF(OR(M1585&lt;&gt;"OK",NOT(ISNUMBER(L1585))),"",L1585-R1585)</f>
        <v/>
      </c>
      <c r="T1585" s="46">
        <f>IF(OR(NOT(ISNUMBER(S1585)),IF(ISNUMBER(G1585),G1585,F1585)=0),"",S1585/IF(ISNUMBER(G1585),G1585,F1585))</f>
        <v/>
      </c>
      <c r="U1585" s="46">
        <f>IF(ISNUMBER(T1585),ABS(T1585),"")</f>
        <v/>
      </c>
      <c r="V1585" s="46">
        <f>IF(OR($D1584&lt;&gt;"측정",$C1584&lt;&gt;$C1585,NOT(ISNUMBER(L1585)),NOT(ISNUMBER(L1584)),(IF(ISNUMBER(G1585),G1585,F1585)-IF(ISNUMBER(G1584),G1584,F1584))=0),"",(L1585-L1584)/(IF(ISNUMBER(G1585),G1585,F1585)-IF(ISNUMBER(G1584),G1584,F1584)))</f>
        <v/>
      </c>
      <c r="W1585" s="30">
        <f>IF(NOT(AND(ISNUMBER(N1585),ISNUMBER(P1585))),"",(P1585-N1585)*1440)</f>
        <v/>
      </c>
      <c r="X1585" s="28" t="n"/>
      <c r="Y1585" s="28" t="n"/>
      <c r="Z1585" s="28" t="n"/>
      <c r="AA1585" s="31" t="n"/>
      <c r="AB1585" s="31" t="n"/>
    </row>
    <row r="1586">
      <c r="A1586" s="25" t="inlineStr">
        <is>
          <t>S31</t>
        </is>
      </c>
      <c r="B1586" s="25" t="inlineStr">
        <is>
          <t>언양 신규점3</t>
        </is>
      </c>
      <c r="C1586" s="25" t="inlineStr">
        <is>
          <t>S31-H서</t>
        </is>
      </c>
      <c r="D1586" s="25" t="inlineStr">
        <is>
          <t>측정</t>
        </is>
      </c>
      <c r="E1586" s="25" t="inlineStr">
        <is>
          <t>서</t>
        </is>
      </c>
      <c r="F1586" s="30" t="n">
        <v>7</v>
      </c>
      <c r="G1586" s="29" t="n"/>
      <c r="H1586" s="42" t="n"/>
      <c r="I1586" s="40" t="n"/>
      <c r="J1586" s="40" t="n"/>
      <c r="K1586" s="40" t="n"/>
      <c r="L1586" s="30">
        <f>IF(COUNT(I1586:K1586)=0,"",MEDIAN(I1586:K1586))</f>
        <v/>
      </c>
      <c r="M1586" s="25">
        <f>IF(COUNTIFS($C:$C,$C1586,$D:$D,"P0(전)",$L:$L,"&gt;0")&lt;&gt;1,"P0(전) 유효 1개 아님",IF(COUNTIFS($C:$C,$C1586,$D:$D,"P0(후)",$L:$L,"&gt;0")&lt;&gt;1,"P0(후) 유효 1개 아님",IF(NOT(AND(ISNUMBER(N1586),ISNUMBER(P1586),ISNUMBER(H1586))),"시각 결측",IF(P1586&lt;=N1586,"P0 시각 역전",IF(OR(H1586&lt;N1586,H1586&gt;P1586),"측정시각 구간 밖","OK")))))</f>
        <v/>
      </c>
      <c r="N1586" s="45">
        <f>IF(COUNTIFS($C:$C,$C1586,$D:$D,"P0(전)",$L:$L,"&gt;0")&lt;&gt;1,"",SUMIFS($H:$H,$C:$C,$C1586,$D:$D,"P0(전)"))</f>
        <v/>
      </c>
      <c r="O1586" s="30">
        <f>IF(COUNTIFS($C:$C,$C1586,$D:$D,"P0(전)",$L:$L,"&gt;0")&lt;&gt;1,"",SUMIFS($L:$L,$C:$C,$C1586,$D:$D,"P0(전)"))</f>
        <v/>
      </c>
      <c r="P1586" s="45">
        <f>IF(COUNTIFS($C:$C,$C1586,$D:$D,"P0(후)",$L:$L,"&gt;0")&lt;&gt;1,"",SUMIFS($H:$H,$C:$C,$C1586,$D:$D,"P0(후)"))</f>
        <v/>
      </c>
      <c r="Q1586" s="30">
        <f>IF(COUNTIFS($C:$C,$C1586,$D:$D,"P0(후)",$L:$L,"&gt;0")&lt;&gt;1,"",SUMIFS($L:$L,$C:$C,$C1586,$D:$D,"P0(후)"))</f>
        <v/>
      </c>
      <c r="R1586" s="30">
        <f>IF(M1586&lt;&gt;"OK","",O1586+(Q1586-O1586)*(H1586-N1586)/(P1586-N1586))</f>
        <v/>
      </c>
      <c r="S1586" s="30">
        <f>IF(OR(M1586&lt;&gt;"OK",NOT(ISNUMBER(L1586))),"",L1586-R1586)</f>
        <v/>
      </c>
      <c r="T1586" s="46">
        <f>IF(OR(NOT(ISNUMBER(S1586)),IF(ISNUMBER(G1586),G1586,F1586)=0),"",S1586/IF(ISNUMBER(G1586),G1586,F1586))</f>
        <v/>
      </c>
      <c r="U1586" s="46">
        <f>IF(ISNUMBER(T1586),ABS(T1586),"")</f>
        <v/>
      </c>
      <c r="V1586" s="46">
        <f>IF(OR($D1585&lt;&gt;"측정",$C1585&lt;&gt;$C1586,NOT(ISNUMBER(L1586)),NOT(ISNUMBER(L1585)),(IF(ISNUMBER(G1586),G1586,F1586)-IF(ISNUMBER(G1585),G1585,F1585))=0),"",(L1586-L1585)/(IF(ISNUMBER(G1586),G1586,F1586)-IF(ISNUMBER(G1585),G1585,F1585)))</f>
        <v/>
      </c>
      <c r="W1586" s="30">
        <f>IF(NOT(AND(ISNUMBER(N1586),ISNUMBER(P1586))),"",(P1586-N1586)*1440)</f>
        <v/>
      </c>
      <c r="X1586" s="28" t="n"/>
      <c r="Y1586" s="28" t="n"/>
      <c r="Z1586" s="28" t="n"/>
      <c r="AA1586" s="31" t="n"/>
      <c r="AB1586" s="31" t="n"/>
    </row>
    <row r="1587">
      <c r="A1587" s="25" t="inlineStr">
        <is>
          <t>S31</t>
        </is>
      </c>
      <c r="B1587" s="25" t="inlineStr">
        <is>
          <t>언양 신규점3</t>
        </is>
      </c>
      <c r="C1587" s="25" t="inlineStr">
        <is>
          <t>S31-H서</t>
        </is>
      </c>
      <c r="D1587" s="25" t="inlineStr">
        <is>
          <t>측정</t>
        </is>
      </c>
      <c r="E1587" s="25" t="inlineStr">
        <is>
          <t>서</t>
        </is>
      </c>
      <c r="F1587" s="30" t="n">
        <v>8</v>
      </c>
      <c r="G1587" s="29" t="n"/>
      <c r="H1587" s="42" t="n"/>
      <c r="I1587" s="40" t="n"/>
      <c r="J1587" s="40" t="n"/>
      <c r="K1587" s="40" t="n"/>
      <c r="L1587" s="30">
        <f>IF(COUNT(I1587:K1587)=0,"",MEDIAN(I1587:K1587))</f>
        <v/>
      </c>
      <c r="M1587" s="25">
        <f>IF(COUNTIFS($C:$C,$C1587,$D:$D,"P0(전)",$L:$L,"&gt;0")&lt;&gt;1,"P0(전) 유효 1개 아님",IF(COUNTIFS($C:$C,$C1587,$D:$D,"P0(후)",$L:$L,"&gt;0")&lt;&gt;1,"P0(후) 유효 1개 아님",IF(NOT(AND(ISNUMBER(N1587),ISNUMBER(P1587),ISNUMBER(H1587))),"시각 결측",IF(P1587&lt;=N1587,"P0 시각 역전",IF(OR(H1587&lt;N1587,H1587&gt;P1587),"측정시각 구간 밖","OK")))))</f>
        <v/>
      </c>
      <c r="N1587" s="45">
        <f>IF(COUNTIFS($C:$C,$C1587,$D:$D,"P0(전)",$L:$L,"&gt;0")&lt;&gt;1,"",SUMIFS($H:$H,$C:$C,$C1587,$D:$D,"P0(전)"))</f>
        <v/>
      </c>
      <c r="O1587" s="30">
        <f>IF(COUNTIFS($C:$C,$C1587,$D:$D,"P0(전)",$L:$L,"&gt;0")&lt;&gt;1,"",SUMIFS($L:$L,$C:$C,$C1587,$D:$D,"P0(전)"))</f>
        <v/>
      </c>
      <c r="P1587" s="45">
        <f>IF(COUNTIFS($C:$C,$C1587,$D:$D,"P0(후)",$L:$L,"&gt;0")&lt;&gt;1,"",SUMIFS($H:$H,$C:$C,$C1587,$D:$D,"P0(후)"))</f>
        <v/>
      </c>
      <c r="Q1587" s="30">
        <f>IF(COUNTIFS($C:$C,$C1587,$D:$D,"P0(후)",$L:$L,"&gt;0")&lt;&gt;1,"",SUMIFS($L:$L,$C:$C,$C1587,$D:$D,"P0(후)"))</f>
        <v/>
      </c>
      <c r="R1587" s="30">
        <f>IF(M1587&lt;&gt;"OK","",O1587+(Q1587-O1587)*(H1587-N1587)/(P1587-N1587))</f>
        <v/>
      </c>
      <c r="S1587" s="30">
        <f>IF(OR(M1587&lt;&gt;"OK",NOT(ISNUMBER(L1587))),"",L1587-R1587)</f>
        <v/>
      </c>
      <c r="T1587" s="46">
        <f>IF(OR(NOT(ISNUMBER(S1587)),IF(ISNUMBER(G1587),G1587,F1587)=0),"",S1587/IF(ISNUMBER(G1587),G1587,F1587))</f>
        <v/>
      </c>
      <c r="U1587" s="46">
        <f>IF(ISNUMBER(T1587),ABS(T1587),"")</f>
        <v/>
      </c>
      <c r="V1587" s="46">
        <f>IF(OR($D1586&lt;&gt;"측정",$C1586&lt;&gt;$C1587,NOT(ISNUMBER(L1587)),NOT(ISNUMBER(L1586)),(IF(ISNUMBER(G1587),G1587,F1587)-IF(ISNUMBER(G1586),G1586,F1586))=0),"",(L1587-L1586)/(IF(ISNUMBER(G1587),G1587,F1587)-IF(ISNUMBER(G1586),G1586,F1586)))</f>
        <v/>
      </c>
      <c r="W1587" s="30">
        <f>IF(NOT(AND(ISNUMBER(N1587),ISNUMBER(P1587))),"",(P1587-N1587)*1440)</f>
        <v/>
      </c>
      <c r="X1587" s="28" t="n"/>
      <c r="Y1587" s="28" t="n"/>
      <c r="Z1587" s="28" t="n"/>
      <c r="AA1587" s="31" t="n"/>
      <c r="AB1587" s="31" t="n"/>
    </row>
    <row r="1588">
      <c r="A1588" s="25" t="inlineStr">
        <is>
          <t>S31</t>
        </is>
      </c>
      <c r="B1588" s="25" t="inlineStr">
        <is>
          <t>언양 신규점3</t>
        </is>
      </c>
      <c r="C1588" s="25" t="inlineStr">
        <is>
          <t>S31-H서</t>
        </is>
      </c>
      <c r="D1588" s="25" t="inlineStr">
        <is>
          <t>측정</t>
        </is>
      </c>
      <c r="E1588" s="25" t="inlineStr">
        <is>
          <t>서</t>
        </is>
      </c>
      <c r="F1588" s="30" t="n">
        <v>9</v>
      </c>
      <c r="G1588" s="29" t="n"/>
      <c r="H1588" s="42" t="n"/>
      <c r="I1588" s="40" t="n"/>
      <c r="J1588" s="40" t="n"/>
      <c r="K1588" s="40" t="n"/>
      <c r="L1588" s="30">
        <f>IF(COUNT(I1588:K1588)=0,"",MEDIAN(I1588:K1588))</f>
        <v/>
      </c>
      <c r="M1588" s="25">
        <f>IF(COUNTIFS($C:$C,$C1588,$D:$D,"P0(전)",$L:$L,"&gt;0")&lt;&gt;1,"P0(전) 유효 1개 아님",IF(COUNTIFS($C:$C,$C1588,$D:$D,"P0(후)",$L:$L,"&gt;0")&lt;&gt;1,"P0(후) 유효 1개 아님",IF(NOT(AND(ISNUMBER(N1588),ISNUMBER(P1588),ISNUMBER(H1588))),"시각 결측",IF(P1588&lt;=N1588,"P0 시각 역전",IF(OR(H1588&lt;N1588,H1588&gt;P1588),"측정시각 구간 밖","OK")))))</f>
        <v/>
      </c>
      <c r="N1588" s="45">
        <f>IF(COUNTIFS($C:$C,$C1588,$D:$D,"P0(전)",$L:$L,"&gt;0")&lt;&gt;1,"",SUMIFS($H:$H,$C:$C,$C1588,$D:$D,"P0(전)"))</f>
        <v/>
      </c>
      <c r="O1588" s="30">
        <f>IF(COUNTIFS($C:$C,$C1588,$D:$D,"P0(전)",$L:$L,"&gt;0")&lt;&gt;1,"",SUMIFS($L:$L,$C:$C,$C1588,$D:$D,"P0(전)"))</f>
        <v/>
      </c>
      <c r="P1588" s="45">
        <f>IF(COUNTIFS($C:$C,$C1588,$D:$D,"P0(후)",$L:$L,"&gt;0")&lt;&gt;1,"",SUMIFS($H:$H,$C:$C,$C1588,$D:$D,"P0(후)"))</f>
        <v/>
      </c>
      <c r="Q1588" s="30">
        <f>IF(COUNTIFS($C:$C,$C1588,$D:$D,"P0(후)",$L:$L,"&gt;0")&lt;&gt;1,"",SUMIFS($L:$L,$C:$C,$C1588,$D:$D,"P0(후)"))</f>
        <v/>
      </c>
      <c r="R1588" s="30">
        <f>IF(M1588&lt;&gt;"OK","",O1588+(Q1588-O1588)*(H1588-N1588)/(P1588-N1588))</f>
        <v/>
      </c>
      <c r="S1588" s="30">
        <f>IF(OR(M1588&lt;&gt;"OK",NOT(ISNUMBER(L1588))),"",L1588-R1588)</f>
        <v/>
      </c>
      <c r="T1588" s="46">
        <f>IF(OR(NOT(ISNUMBER(S1588)),IF(ISNUMBER(G1588),G1588,F1588)=0),"",S1588/IF(ISNUMBER(G1588),G1588,F1588))</f>
        <v/>
      </c>
      <c r="U1588" s="46">
        <f>IF(ISNUMBER(T1588),ABS(T1588),"")</f>
        <v/>
      </c>
      <c r="V1588" s="46">
        <f>IF(OR($D1587&lt;&gt;"측정",$C1587&lt;&gt;$C1588,NOT(ISNUMBER(L1588)),NOT(ISNUMBER(L1587)),(IF(ISNUMBER(G1588),G1588,F1588)-IF(ISNUMBER(G1587),G1587,F1587))=0),"",(L1588-L1587)/(IF(ISNUMBER(G1588),G1588,F1588)-IF(ISNUMBER(G1587),G1587,F1587)))</f>
        <v/>
      </c>
      <c r="W1588" s="30">
        <f>IF(NOT(AND(ISNUMBER(N1588),ISNUMBER(P1588))),"",(P1588-N1588)*1440)</f>
        <v/>
      </c>
      <c r="X1588" s="28" t="n"/>
      <c r="Y1588" s="28" t="n"/>
      <c r="Z1588" s="28" t="n"/>
      <c r="AA1588" s="31" t="n"/>
      <c r="AB1588" s="31" t="n"/>
    </row>
    <row r="1589">
      <c r="A1589" s="25" t="inlineStr">
        <is>
          <t>S31</t>
        </is>
      </c>
      <c r="B1589" s="25" t="inlineStr">
        <is>
          <t>언양 신규점3</t>
        </is>
      </c>
      <c r="C1589" s="25" t="inlineStr">
        <is>
          <t>S31-H서</t>
        </is>
      </c>
      <c r="D1589" s="25" t="inlineStr">
        <is>
          <t>측정</t>
        </is>
      </c>
      <c r="E1589" s="25" t="inlineStr">
        <is>
          <t>서</t>
        </is>
      </c>
      <c r="F1589" s="30" t="n">
        <v>10</v>
      </c>
      <c r="G1589" s="29" t="n"/>
      <c r="H1589" s="42" t="n"/>
      <c r="I1589" s="40" t="n"/>
      <c r="J1589" s="40" t="n"/>
      <c r="K1589" s="40" t="n"/>
      <c r="L1589" s="30">
        <f>IF(COUNT(I1589:K1589)=0,"",MEDIAN(I1589:K1589))</f>
        <v/>
      </c>
      <c r="M1589" s="25">
        <f>IF(COUNTIFS($C:$C,$C1589,$D:$D,"P0(전)",$L:$L,"&gt;0")&lt;&gt;1,"P0(전) 유효 1개 아님",IF(COUNTIFS($C:$C,$C1589,$D:$D,"P0(후)",$L:$L,"&gt;0")&lt;&gt;1,"P0(후) 유효 1개 아님",IF(NOT(AND(ISNUMBER(N1589),ISNUMBER(P1589),ISNUMBER(H1589))),"시각 결측",IF(P1589&lt;=N1589,"P0 시각 역전",IF(OR(H1589&lt;N1589,H1589&gt;P1589),"측정시각 구간 밖","OK")))))</f>
        <v/>
      </c>
      <c r="N1589" s="45">
        <f>IF(COUNTIFS($C:$C,$C1589,$D:$D,"P0(전)",$L:$L,"&gt;0")&lt;&gt;1,"",SUMIFS($H:$H,$C:$C,$C1589,$D:$D,"P0(전)"))</f>
        <v/>
      </c>
      <c r="O1589" s="30">
        <f>IF(COUNTIFS($C:$C,$C1589,$D:$D,"P0(전)",$L:$L,"&gt;0")&lt;&gt;1,"",SUMIFS($L:$L,$C:$C,$C1589,$D:$D,"P0(전)"))</f>
        <v/>
      </c>
      <c r="P1589" s="45">
        <f>IF(COUNTIFS($C:$C,$C1589,$D:$D,"P0(후)",$L:$L,"&gt;0")&lt;&gt;1,"",SUMIFS($H:$H,$C:$C,$C1589,$D:$D,"P0(후)"))</f>
        <v/>
      </c>
      <c r="Q1589" s="30">
        <f>IF(COUNTIFS($C:$C,$C1589,$D:$D,"P0(후)",$L:$L,"&gt;0")&lt;&gt;1,"",SUMIFS($L:$L,$C:$C,$C1589,$D:$D,"P0(후)"))</f>
        <v/>
      </c>
      <c r="R1589" s="30">
        <f>IF(M1589&lt;&gt;"OK","",O1589+(Q1589-O1589)*(H1589-N1589)/(P1589-N1589))</f>
        <v/>
      </c>
      <c r="S1589" s="30">
        <f>IF(OR(M1589&lt;&gt;"OK",NOT(ISNUMBER(L1589))),"",L1589-R1589)</f>
        <v/>
      </c>
      <c r="T1589" s="46">
        <f>IF(OR(NOT(ISNUMBER(S1589)),IF(ISNUMBER(G1589),G1589,F1589)=0),"",S1589/IF(ISNUMBER(G1589),G1589,F1589))</f>
        <v/>
      </c>
      <c r="U1589" s="46">
        <f>IF(ISNUMBER(T1589),ABS(T1589),"")</f>
        <v/>
      </c>
      <c r="V1589" s="46">
        <f>IF(OR($D1588&lt;&gt;"측정",$C1588&lt;&gt;$C1589,NOT(ISNUMBER(L1589)),NOT(ISNUMBER(L1588)),(IF(ISNUMBER(G1589),G1589,F1589)-IF(ISNUMBER(G1588),G1588,F1588))=0),"",(L1589-L1588)/(IF(ISNUMBER(G1589),G1589,F1589)-IF(ISNUMBER(G1588),G1588,F1588)))</f>
        <v/>
      </c>
      <c r="W1589" s="30">
        <f>IF(NOT(AND(ISNUMBER(N1589),ISNUMBER(P1589))),"",(P1589-N1589)*1440)</f>
        <v/>
      </c>
      <c r="X1589" s="28" t="n"/>
      <c r="Y1589" s="28" t="n"/>
      <c r="Z1589" s="28" t="n"/>
      <c r="AA1589" s="31" t="n"/>
      <c r="AB1589" s="31" t="n"/>
    </row>
    <row r="1590">
      <c r="A1590" s="43" t="inlineStr">
        <is>
          <t>S31</t>
        </is>
      </c>
      <c r="B1590" s="43" t="inlineStr">
        <is>
          <t>언양 신규점3</t>
        </is>
      </c>
      <c r="C1590" s="43" t="inlineStr">
        <is>
          <t>S31-H서</t>
        </is>
      </c>
      <c r="D1590" s="43" t="inlineStr">
        <is>
          <t>P0(후)</t>
        </is>
      </c>
      <c r="E1590" s="43" t="inlineStr">
        <is>
          <t>서</t>
        </is>
      </c>
      <c r="F1590" s="44" t="n"/>
      <c r="G1590" s="29" t="n"/>
      <c r="H1590" s="42" t="n"/>
      <c r="I1590" s="40" t="n"/>
      <c r="J1590" s="40" t="n"/>
      <c r="K1590" s="40" t="n"/>
      <c r="L1590" s="30">
        <f>IF(COUNT(I1590:K1590)=0,"",MEDIAN(I1590:K1590))</f>
        <v/>
      </c>
      <c r="M1590" s="37" t="n"/>
      <c r="N1590" s="37" t="n"/>
      <c r="O1590" s="37" t="n"/>
      <c r="P1590" s="37" t="n"/>
      <c r="Q1590" s="37" t="n"/>
      <c r="R1590" s="37" t="n"/>
      <c r="S1590" s="37" t="n"/>
      <c r="T1590" s="37" t="n"/>
      <c r="U1590" s="37" t="n"/>
      <c r="V1590" s="37" t="n"/>
      <c r="W1590" s="37" t="n"/>
      <c r="X1590" s="28" t="n"/>
      <c r="Y1590" s="28" t="n"/>
      <c r="Z1590" s="28" t="n"/>
      <c r="AA1590" s="31" t="n"/>
      <c r="AB1590" s="31" t="n"/>
    </row>
    <row r="1591">
      <c r="A1591" s="43" t="inlineStr">
        <is>
          <t>S31</t>
        </is>
      </c>
      <c r="B1591" s="43" t="inlineStr">
        <is>
          <t>언양 신규점3</t>
        </is>
      </c>
      <c r="C1591" s="43" t="inlineStr">
        <is>
          <t>S31-H남</t>
        </is>
      </c>
      <c r="D1591" s="43" t="inlineStr">
        <is>
          <t>P0(전)</t>
        </is>
      </c>
      <c r="E1591" s="43" t="inlineStr">
        <is>
          <t>남</t>
        </is>
      </c>
      <c r="F1591" s="44" t="n"/>
      <c r="G1591" s="29" t="n"/>
      <c r="H1591" s="42" t="n"/>
      <c r="I1591" s="40" t="n"/>
      <c r="J1591" s="40" t="n"/>
      <c r="K1591" s="40" t="n"/>
      <c r="L1591" s="30">
        <f>IF(COUNT(I1591:K1591)=0,"",MEDIAN(I1591:K1591))</f>
        <v/>
      </c>
      <c r="M1591" s="37" t="n"/>
      <c r="N1591" s="37" t="n"/>
      <c r="O1591" s="37" t="n"/>
      <c r="P1591" s="37" t="n"/>
      <c r="Q1591" s="37" t="n"/>
      <c r="R1591" s="37" t="n"/>
      <c r="S1591" s="37" t="n"/>
      <c r="T1591" s="37" t="n"/>
      <c r="U1591" s="37" t="n"/>
      <c r="V1591" s="37" t="n"/>
      <c r="W1591" s="37" t="n"/>
      <c r="X1591" s="28" t="n"/>
      <c r="Y1591" s="28" t="n"/>
      <c r="Z1591" s="28" t="n"/>
      <c r="AA1591" s="31" t="n"/>
      <c r="AB1591" s="31" t="n"/>
    </row>
    <row r="1592">
      <c r="A1592" s="25" t="inlineStr">
        <is>
          <t>S31</t>
        </is>
      </c>
      <c r="B1592" s="25" t="inlineStr">
        <is>
          <t>언양 신규점3</t>
        </is>
      </c>
      <c r="C1592" s="25" t="inlineStr">
        <is>
          <t>S31-H남</t>
        </is>
      </c>
      <c r="D1592" s="25" t="inlineStr">
        <is>
          <t>측정</t>
        </is>
      </c>
      <c r="E1592" s="25" t="inlineStr">
        <is>
          <t>남</t>
        </is>
      </c>
      <c r="F1592" s="30" t="n">
        <v>0.5</v>
      </c>
      <c r="G1592" s="29" t="n"/>
      <c r="H1592" s="42" t="n"/>
      <c r="I1592" s="40" t="n"/>
      <c r="J1592" s="40" t="n"/>
      <c r="K1592" s="40" t="n"/>
      <c r="L1592" s="30">
        <f>IF(COUNT(I1592:K1592)=0,"",MEDIAN(I1592:K1592))</f>
        <v/>
      </c>
      <c r="M1592" s="25">
        <f>IF(COUNTIFS($C:$C,$C1592,$D:$D,"P0(전)",$L:$L,"&gt;0")&lt;&gt;1,"P0(전) 유효 1개 아님",IF(COUNTIFS($C:$C,$C1592,$D:$D,"P0(후)",$L:$L,"&gt;0")&lt;&gt;1,"P0(후) 유효 1개 아님",IF(NOT(AND(ISNUMBER(N1592),ISNUMBER(P1592),ISNUMBER(H1592))),"시각 결측",IF(P1592&lt;=N1592,"P0 시각 역전",IF(OR(H1592&lt;N1592,H1592&gt;P1592),"측정시각 구간 밖","OK")))))</f>
        <v/>
      </c>
      <c r="N1592" s="45">
        <f>IF(COUNTIFS($C:$C,$C1592,$D:$D,"P0(전)",$L:$L,"&gt;0")&lt;&gt;1,"",SUMIFS($H:$H,$C:$C,$C1592,$D:$D,"P0(전)"))</f>
        <v/>
      </c>
      <c r="O1592" s="30">
        <f>IF(COUNTIFS($C:$C,$C1592,$D:$D,"P0(전)",$L:$L,"&gt;0")&lt;&gt;1,"",SUMIFS($L:$L,$C:$C,$C1592,$D:$D,"P0(전)"))</f>
        <v/>
      </c>
      <c r="P1592" s="45">
        <f>IF(COUNTIFS($C:$C,$C1592,$D:$D,"P0(후)",$L:$L,"&gt;0")&lt;&gt;1,"",SUMIFS($H:$H,$C:$C,$C1592,$D:$D,"P0(후)"))</f>
        <v/>
      </c>
      <c r="Q1592" s="30">
        <f>IF(COUNTIFS($C:$C,$C1592,$D:$D,"P0(후)",$L:$L,"&gt;0")&lt;&gt;1,"",SUMIFS($L:$L,$C:$C,$C1592,$D:$D,"P0(후)"))</f>
        <v/>
      </c>
      <c r="R1592" s="30">
        <f>IF(M1592&lt;&gt;"OK","",O1592+(Q1592-O1592)*(H1592-N1592)/(P1592-N1592))</f>
        <v/>
      </c>
      <c r="S1592" s="30">
        <f>IF(OR(M1592&lt;&gt;"OK",NOT(ISNUMBER(L1592))),"",L1592-R1592)</f>
        <v/>
      </c>
      <c r="T1592" s="46">
        <f>IF(OR(NOT(ISNUMBER(S1592)),IF(ISNUMBER(G1592),G1592,F1592)=0),"",S1592/IF(ISNUMBER(G1592),G1592,F1592))</f>
        <v/>
      </c>
      <c r="U1592" s="46">
        <f>IF(ISNUMBER(T1592),ABS(T1592),"")</f>
        <v/>
      </c>
      <c r="V1592" s="46">
        <f>IF(OR($D1591&lt;&gt;"측정",$C1591&lt;&gt;$C1592,NOT(ISNUMBER(L1592)),NOT(ISNUMBER(L1591)),(IF(ISNUMBER(G1592),G1592,F1592)-IF(ISNUMBER(G1591),G1591,F1591))=0),"",(L1592-L1591)/(IF(ISNUMBER(G1592),G1592,F1592)-IF(ISNUMBER(G1591),G1591,F1591)))</f>
        <v/>
      </c>
      <c r="W1592" s="30">
        <f>IF(NOT(AND(ISNUMBER(N1592),ISNUMBER(P1592))),"",(P1592-N1592)*1440)</f>
        <v/>
      </c>
      <c r="X1592" s="28" t="n"/>
      <c r="Y1592" s="28" t="n"/>
      <c r="Z1592" s="28" t="n"/>
      <c r="AA1592" s="31" t="n"/>
      <c r="AB1592" s="31" t="n"/>
    </row>
    <row r="1593">
      <c r="A1593" s="25" t="inlineStr">
        <is>
          <t>S31</t>
        </is>
      </c>
      <c r="B1593" s="25" t="inlineStr">
        <is>
          <t>언양 신규점3</t>
        </is>
      </c>
      <c r="C1593" s="25" t="inlineStr">
        <is>
          <t>S31-H남</t>
        </is>
      </c>
      <c r="D1593" s="25" t="inlineStr">
        <is>
          <t>측정</t>
        </is>
      </c>
      <c r="E1593" s="25" t="inlineStr">
        <is>
          <t>남</t>
        </is>
      </c>
      <c r="F1593" s="30" t="n">
        <v>1</v>
      </c>
      <c r="G1593" s="29" t="n"/>
      <c r="H1593" s="42" t="n"/>
      <c r="I1593" s="40" t="n"/>
      <c r="J1593" s="40" t="n"/>
      <c r="K1593" s="40" t="n"/>
      <c r="L1593" s="30">
        <f>IF(COUNT(I1593:K1593)=0,"",MEDIAN(I1593:K1593))</f>
        <v/>
      </c>
      <c r="M1593" s="25">
        <f>IF(COUNTIFS($C:$C,$C1593,$D:$D,"P0(전)",$L:$L,"&gt;0")&lt;&gt;1,"P0(전) 유효 1개 아님",IF(COUNTIFS($C:$C,$C1593,$D:$D,"P0(후)",$L:$L,"&gt;0")&lt;&gt;1,"P0(후) 유효 1개 아님",IF(NOT(AND(ISNUMBER(N1593),ISNUMBER(P1593),ISNUMBER(H1593))),"시각 결측",IF(P1593&lt;=N1593,"P0 시각 역전",IF(OR(H1593&lt;N1593,H1593&gt;P1593),"측정시각 구간 밖","OK")))))</f>
        <v/>
      </c>
      <c r="N1593" s="45">
        <f>IF(COUNTIFS($C:$C,$C1593,$D:$D,"P0(전)",$L:$L,"&gt;0")&lt;&gt;1,"",SUMIFS($H:$H,$C:$C,$C1593,$D:$D,"P0(전)"))</f>
        <v/>
      </c>
      <c r="O1593" s="30">
        <f>IF(COUNTIFS($C:$C,$C1593,$D:$D,"P0(전)",$L:$L,"&gt;0")&lt;&gt;1,"",SUMIFS($L:$L,$C:$C,$C1593,$D:$D,"P0(전)"))</f>
        <v/>
      </c>
      <c r="P1593" s="45">
        <f>IF(COUNTIFS($C:$C,$C1593,$D:$D,"P0(후)",$L:$L,"&gt;0")&lt;&gt;1,"",SUMIFS($H:$H,$C:$C,$C1593,$D:$D,"P0(후)"))</f>
        <v/>
      </c>
      <c r="Q1593" s="30">
        <f>IF(COUNTIFS($C:$C,$C1593,$D:$D,"P0(후)",$L:$L,"&gt;0")&lt;&gt;1,"",SUMIFS($L:$L,$C:$C,$C1593,$D:$D,"P0(후)"))</f>
        <v/>
      </c>
      <c r="R1593" s="30">
        <f>IF(M1593&lt;&gt;"OK","",O1593+(Q1593-O1593)*(H1593-N1593)/(P1593-N1593))</f>
        <v/>
      </c>
      <c r="S1593" s="30">
        <f>IF(OR(M1593&lt;&gt;"OK",NOT(ISNUMBER(L1593))),"",L1593-R1593)</f>
        <v/>
      </c>
      <c r="T1593" s="46">
        <f>IF(OR(NOT(ISNUMBER(S1593)),IF(ISNUMBER(G1593),G1593,F1593)=0),"",S1593/IF(ISNUMBER(G1593),G1593,F1593))</f>
        <v/>
      </c>
      <c r="U1593" s="46">
        <f>IF(ISNUMBER(T1593),ABS(T1593),"")</f>
        <v/>
      </c>
      <c r="V1593" s="46">
        <f>IF(OR($D1592&lt;&gt;"측정",$C1592&lt;&gt;$C1593,NOT(ISNUMBER(L1593)),NOT(ISNUMBER(L1592)),(IF(ISNUMBER(G1593),G1593,F1593)-IF(ISNUMBER(G1592),G1592,F1592))=0),"",(L1593-L1592)/(IF(ISNUMBER(G1593),G1593,F1593)-IF(ISNUMBER(G1592),G1592,F1592)))</f>
        <v/>
      </c>
      <c r="W1593" s="30">
        <f>IF(NOT(AND(ISNUMBER(N1593),ISNUMBER(P1593))),"",(P1593-N1593)*1440)</f>
        <v/>
      </c>
      <c r="X1593" s="28" t="n"/>
      <c r="Y1593" s="28" t="n"/>
      <c r="Z1593" s="28" t="n"/>
      <c r="AA1593" s="31" t="n"/>
      <c r="AB1593" s="31" t="n"/>
    </row>
    <row r="1594">
      <c r="A1594" s="25" t="inlineStr">
        <is>
          <t>S31</t>
        </is>
      </c>
      <c r="B1594" s="25" t="inlineStr">
        <is>
          <t>언양 신규점3</t>
        </is>
      </c>
      <c r="C1594" s="25" t="inlineStr">
        <is>
          <t>S31-H남</t>
        </is>
      </c>
      <c r="D1594" s="25" t="inlineStr">
        <is>
          <t>측정</t>
        </is>
      </c>
      <c r="E1594" s="25" t="inlineStr">
        <is>
          <t>남</t>
        </is>
      </c>
      <c r="F1594" s="30" t="n">
        <v>2</v>
      </c>
      <c r="G1594" s="29" t="n"/>
      <c r="H1594" s="42" t="n"/>
      <c r="I1594" s="40" t="n"/>
      <c r="J1594" s="40" t="n"/>
      <c r="K1594" s="40" t="n"/>
      <c r="L1594" s="30">
        <f>IF(COUNT(I1594:K1594)=0,"",MEDIAN(I1594:K1594))</f>
        <v/>
      </c>
      <c r="M1594" s="25">
        <f>IF(COUNTIFS($C:$C,$C1594,$D:$D,"P0(전)",$L:$L,"&gt;0")&lt;&gt;1,"P0(전) 유효 1개 아님",IF(COUNTIFS($C:$C,$C1594,$D:$D,"P0(후)",$L:$L,"&gt;0")&lt;&gt;1,"P0(후) 유효 1개 아님",IF(NOT(AND(ISNUMBER(N1594),ISNUMBER(P1594),ISNUMBER(H1594))),"시각 결측",IF(P1594&lt;=N1594,"P0 시각 역전",IF(OR(H1594&lt;N1594,H1594&gt;P1594),"측정시각 구간 밖","OK")))))</f>
        <v/>
      </c>
      <c r="N1594" s="45">
        <f>IF(COUNTIFS($C:$C,$C1594,$D:$D,"P0(전)",$L:$L,"&gt;0")&lt;&gt;1,"",SUMIFS($H:$H,$C:$C,$C1594,$D:$D,"P0(전)"))</f>
        <v/>
      </c>
      <c r="O1594" s="30">
        <f>IF(COUNTIFS($C:$C,$C1594,$D:$D,"P0(전)",$L:$L,"&gt;0")&lt;&gt;1,"",SUMIFS($L:$L,$C:$C,$C1594,$D:$D,"P0(전)"))</f>
        <v/>
      </c>
      <c r="P1594" s="45">
        <f>IF(COUNTIFS($C:$C,$C1594,$D:$D,"P0(후)",$L:$L,"&gt;0")&lt;&gt;1,"",SUMIFS($H:$H,$C:$C,$C1594,$D:$D,"P0(후)"))</f>
        <v/>
      </c>
      <c r="Q1594" s="30">
        <f>IF(COUNTIFS($C:$C,$C1594,$D:$D,"P0(후)",$L:$L,"&gt;0")&lt;&gt;1,"",SUMIFS($L:$L,$C:$C,$C1594,$D:$D,"P0(후)"))</f>
        <v/>
      </c>
      <c r="R1594" s="30">
        <f>IF(M1594&lt;&gt;"OK","",O1594+(Q1594-O1594)*(H1594-N1594)/(P1594-N1594))</f>
        <v/>
      </c>
      <c r="S1594" s="30">
        <f>IF(OR(M1594&lt;&gt;"OK",NOT(ISNUMBER(L1594))),"",L1594-R1594)</f>
        <v/>
      </c>
      <c r="T1594" s="46">
        <f>IF(OR(NOT(ISNUMBER(S1594)),IF(ISNUMBER(G1594),G1594,F1594)=0),"",S1594/IF(ISNUMBER(G1594),G1594,F1594))</f>
        <v/>
      </c>
      <c r="U1594" s="46">
        <f>IF(ISNUMBER(T1594),ABS(T1594),"")</f>
        <v/>
      </c>
      <c r="V1594" s="46">
        <f>IF(OR($D1593&lt;&gt;"측정",$C1593&lt;&gt;$C1594,NOT(ISNUMBER(L1594)),NOT(ISNUMBER(L1593)),(IF(ISNUMBER(G1594),G1594,F1594)-IF(ISNUMBER(G1593),G1593,F1593))=0),"",(L1594-L1593)/(IF(ISNUMBER(G1594),G1594,F1594)-IF(ISNUMBER(G1593),G1593,F1593)))</f>
        <v/>
      </c>
      <c r="W1594" s="30">
        <f>IF(NOT(AND(ISNUMBER(N1594),ISNUMBER(P1594))),"",(P1594-N1594)*1440)</f>
        <v/>
      </c>
      <c r="X1594" s="28" t="n"/>
      <c r="Y1594" s="28" t="n"/>
      <c r="Z1594" s="28" t="n"/>
      <c r="AA1594" s="31" t="n"/>
      <c r="AB1594" s="31" t="n"/>
    </row>
    <row r="1595">
      <c r="A1595" s="25" t="inlineStr">
        <is>
          <t>S31</t>
        </is>
      </c>
      <c r="B1595" s="25" t="inlineStr">
        <is>
          <t>언양 신규점3</t>
        </is>
      </c>
      <c r="C1595" s="25" t="inlineStr">
        <is>
          <t>S31-H남</t>
        </is>
      </c>
      <c r="D1595" s="25" t="inlineStr">
        <is>
          <t>측정</t>
        </is>
      </c>
      <c r="E1595" s="25" t="inlineStr">
        <is>
          <t>남</t>
        </is>
      </c>
      <c r="F1595" s="30" t="n">
        <v>3</v>
      </c>
      <c r="G1595" s="29" t="n"/>
      <c r="H1595" s="42" t="n"/>
      <c r="I1595" s="40" t="n"/>
      <c r="J1595" s="40" t="n"/>
      <c r="K1595" s="40" t="n"/>
      <c r="L1595" s="30">
        <f>IF(COUNT(I1595:K1595)=0,"",MEDIAN(I1595:K1595))</f>
        <v/>
      </c>
      <c r="M1595" s="25">
        <f>IF(COUNTIFS($C:$C,$C1595,$D:$D,"P0(전)",$L:$L,"&gt;0")&lt;&gt;1,"P0(전) 유효 1개 아님",IF(COUNTIFS($C:$C,$C1595,$D:$D,"P0(후)",$L:$L,"&gt;0")&lt;&gt;1,"P0(후) 유효 1개 아님",IF(NOT(AND(ISNUMBER(N1595),ISNUMBER(P1595),ISNUMBER(H1595))),"시각 결측",IF(P1595&lt;=N1595,"P0 시각 역전",IF(OR(H1595&lt;N1595,H1595&gt;P1595),"측정시각 구간 밖","OK")))))</f>
        <v/>
      </c>
      <c r="N1595" s="45">
        <f>IF(COUNTIFS($C:$C,$C1595,$D:$D,"P0(전)",$L:$L,"&gt;0")&lt;&gt;1,"",SUMIFS($H:$H,$C:$C,$C1595,$D:$D,"P0(전)"))</f>
        <v/>
      </c>
      <c r="O1595" s="30">
        <f>IF(COUNTIFS($C:$C,$C1595,$D:$D,"P0(전)",$L:$L,"&gt;0")&lt;&gt;1,"",SUMIFS($L:$L,$C:$C,$C1595,$D:$D,"P0(전)"))</f>
        <v/>
      </c>
      <c r="P1595" s="45">
        <f>IF(COUNTIFS($C:$C,$C1595,$D:$D,"P0(후)",$L:$L,"&gt;0")&lt;&gt;1,"",SUMIFS($H:$H,$C:$C,$C1595,$D:$D,"P0(후)"))</f>
        <v/>
      </c>
      <c r="Q1595" s="30">
        <f>IF(COUNTIFS($C:$C,$C1595,$D:$D,"P0(후)",$L:$L,"&gt;0")&lt;&gt;1,"",SUMIFS($L:$L,$C:$C,$C1595,$D:$D,"P0(후)"))</f>
        <v/>
      </c>
      <c r="R1595" s="30">
        <f>IF(M1595&lt;&gt;"OK","",O1595+(Q1595-O1595)*(H1595-N1595)/(P1595-N1595))</f>
        <v/>
      </c>
      <c r="S1595" s="30">
        <f>IF(OR(M1595&lt;&gt;"OK",NOT(ISNUMBER(L1595))),"",L1595-R1595)</f>
        <v/>
      </c>
      <c r="T1595" s="46">
        <f>IF(OR(NOT(ISNUMBER(S1595)),IF(ISNUMBER(G1595),G1595,F1595)=0),"",S1595/IF(ISNUMBER(G1595),G1595,F1595))</f>
        <v/>
      </c>
      <c r="U1595" s="46">
        <f>IF(ISNUMBER(T1595),ABS(T1595),"")</f>
        <v/>
      </c>
      <c r="V1595" s="46">
        <f>IF(OR($D1594&lt;&gt;"측정",$C1594&lt;&gt;$C1595,NOT(ISNUMBER(L1595)),NOT(ISNUMBER(L1594)),(IF(ISNUMBER(G1595),G1595,F1595)-IF(ISNUMBER(G1594),G1594,F1594))=0),"",(L1595-L1594)/(IF(ISNUMBER(G1595),G1595,F1595)-IF(ISNUMBER(G1594),G1594,F1594)))</f>
        <v/>
      </c>
      <c r="W1595" s="30">
        <f>IF(NOT(AND(ISNUMBER(N1595),ISNUMBER(P1595))),"",(P1595-N1595)*1440)</f>
        <v/>
      </c>
      <c r="X1595" s="28" t="n"/>
      <c r="Y1595" s="28" t="n"/>
      <c r="Z1595" s="28" t="n"/>
      <c r="AA1595" s="31" t="n"/>
      <c r="AB1595" s="31" t="n"/>
    </row>
    <row r="1596">
      <c r="A1596" s="25" t="inlineStr">
        <is>
          <t>S31</t>
        </is>
      </c>
      <c r="B1596" s="25" t="inlineStr">
        <is>
          <t>언양 신규점3</t>
        </is>
      </c>
      <c r="C1596" s="25" t="inlineStr">
        <is>
          <t>S31-H남</t>
        </is>
      </c>
      <c r="D1596" s="25" t="inlineStr">
        <is>
          <t>측정</t>
        </is>
      </c>
      <c r="E1596" s="25" t="inlineStr">
        <is>
          <t>남</t>
        </is>
      </c>
      <c r="F1596" s="30" t="n">
        <v>4</v>
      </c>
      <c r="G1596" s="29" t="n"/>
      <c r="H1596" s="42" t="n"/>
      <c r="I1596" s="40" t="n"/>
      <c r="J1596" s="40" t="n"/>
      <c r="K1596" s="40" t="n"/>
      <c r="L1596" s="30">
        <f>IF(COUNT(I1596:K1596)=0,"",MEDIAN(I1596:K1596))</f>
        <v/>
      </c>
      <c r="M1596" s="25">
        <f>IF(COUNTIFS($C:$C,$C1596,$D:$D,"P0(전)",$L:$L,"&gt;0")&lt;&gt;1,"P0(전) 유효 1개 아님",IF(COUNTIFS($C:$C,$C1596,$D:$D,"P0(후)",$L:$L,"&gt;0")&lt;&gt;1,"P0(후) 유효 1개 아님",IF(NOT(AND(ISNUMBER(N1596),ISNUMBER(P1596),ISNUMBER(H1596))),"시각 결측",IF(P1596&lt;=N1596,"P0 시각 역전",IF(OR(H1596&lt;N1596,H1596&gt;P1596),"측정시각 구간 밖","OK")))))</f>
        <v/>
      </c>
      <c r="N1596" s="45">
        <f>IF(COUNTIFS($C:$C,$C1596,$D:$D,"P0(전)",$L:$L,"&gt;0")&lt;&gt;1,"",SUMIFS($H:$H,$C:$C,$C1596,$D:$D,"P0(전)"))</f>
        <v/>
      </c>
      <c r="O1596" s="30">
        <f>IF(COUNTIFS($C:$C,$C1596,$D:$D,"P0(전)",$L:$L,"&gt;0")&lt;&gt;1,"",SUMIFS($L:$L,$C:$C,$C1596,$D:$D,"P0(전)"))</f>
        <v/>
      </c>
      <c r="P1596" s="45">
        <f>IF(COUNTIFS($C:$C,$C1596,$D:$D,"P0(후)",$L:$L,"&gt;0")&lt;&gt;1,"",SUMIFS($H:$H,$C:$C,$C1596,$D:$D,"P0(후)"))</f>
        <v/>
      </c>
      <c r="Q1596" s="30">
        <f>IF(COUNTIFS($C:$C,$C1596,$D:$D,"P0(후)",$L:$L,"&gt;0")&lt;&gt;1,"",SUMIFS($L:$L,$C:$C,$C1596,$D:$D,"P0(후)"))</f>
        <v/>
      </c>
      <c r="R1596" s="30">
        <f>IF(M1596&lt;&gt;"OK","",O1596+(Q1596-O1596)*(H1596-N1596)/(P1596-N1596))</f>
        <v/>
      </c>
      <c r="S1596" s="30">
        <f>IF(OR(M1596&lt;&gt;"OK",NOT(ISNUMBER(L1596))),"",L1596-R1596)</f>
        <v/>
      </c>
      <c r="T1596" s="46">
        <f>IF(OR(NOT(ISNUMBER(S1596)),IF(ISNUMBER(G1596),G1596,F1596)=0),"",S1596/IF(ISNUMBER(G1596),G1596,F1596))</f>
        <v/>
      </c>
      <c r="U1596" s="46">
        <f>IF(ISNUMBER(T1596),ABS(T1596),"")</f>
        <v/>
      </c>
      <c r="V1596" s="46">
        <f>IF(OR($D1595&lt;&gt;"측정",$C1595&lt;&gt;$C1596,NOT(ISNUMBER(L1596)),NOT(ISNUMBER(L1595)),(IF(ISNUMBER(G1596),G1596,F1596)-IF(ISNUMBER(G1595),G1595,F1595))=0),"",(L1596-L1595)/(IF(ISNUMBER(G1596),G1596,F1596)-IF(ISNUMBER(G1595),G1595,F1595)))</f>
        <v/>
      </c>
      <c r="W1596" s="30">
        <f>IF(NOT(AND(ISNUMBER(N1596),ISNUMBER(P1596))),"",(P1596-N1596)*1440)</f>
        <v/>
      </c>
      <c r="X1596" s="28" t="n"/>
      <c r="Y1596" s="28" t="n"/>
      <c r="Z1596" s="28" t="n"/>
      <c r="AA1596" s="31" t="n"/>
      <c r="AB1596" s="31" t="n"/>
    </row>
    <row r="1597">
      <c r="A1597" s="25" t="inlineStr">
        <is>
          <t>S31</t>
        </is>
      </c>
      <c r="B1597" s="25" t="inlineStr">
        <is>
          <t>언양 신규점3</t>
        </is>
      </c>
      <c r="C1597" s="25" t="inlineStr">
        <is>
          <t>S31-H남</t>
        </is>
      </c>
      <c r="D1597" s="25" t="inlineStr">
        <is>
          <t>측정</t>
        </is>
      </c>
      <c r="E1597" s="25" t="inlineStr">
        <is>
          <t>남</t>
        </is>
      </c>
      <c r="F1597" s="30" t="n">
        <v>5</v>
      </c>
      <c r="G1597" s="29" t="n"/>
      <c r="H1597" s="42" t="n"/>
      <c r="I1597" s="40" t="n"/>
      <c r="J1597" s="40" t="n"/>
      <c r="K1597" s="40" t="n"/>
      <c r="L1597" s="30">
        <f>IF(COUNT(I1597:K1597)=0,"",MEDIAN(I1597:K1597))</f>
        <v/>
      </c>
      <c r="M1597" s="25">
        <f>IF(COUNTIFS($C:$C,$C1597,$D:$D,"P0(전)",$L:$L,"&gt;0")&lt;&gt;1,"P0(전) 유효 1개 아님",IF(COUNTIFS($C:$C,$C1597,$D:$D,"P0(후)",$L:$L,"&gt;0")&lt;&gt;1,"P0(후) 유효 1개 아님",IF(NOT(AND(ISNUMBER(N1597),ISNUMBER(P1597),ISNUMBER(H1597))),"시각 결측",IF(P1597&lt;=N1597,"P0 시각 역전",IF(OR(H1597&lt;N1597,H1597&gt;P1597),"측정시각 구간 밖","OK")))))</f>
        <v/>
      </c>
      <c r="N1597" s="45">
        <f>IF(COUNTIFS($C:$C,$C1597,$D:$D,"P0(전)",$L:$L,"&gt;0")&lt;&gt;1,"",SUMIFS($H:$H,$C:$C,$C1597,$D:$D,"P0(전)"))</f>
        <v/>
      </c>
      <c r="O1597" s="30">
        <f>IF(COUNTIFS($C:$C,$C1597,$D:$D,"P0(전)",$L:$L,"&gt;0")&lt;&gt;1,"",SUMIFS($L:$L,$C:$C,$C1597,$D:$D,"P0(전)"))</f>
        <v/>
      </c>
      <c r="P1597" s="45">
        <f>IF(COUNTIFS($C:$C,$C1597,$D:$D,"P0(후)",$L:$L,"&gt;0")&lt;&gt;1,"",SUMIFS($H:$H,$C:$C,$C1597,$D:$D,"P0(후)"))</f>
        <v/>
      </c>
      <c r="Q1597" s="30">
        <f>IF(COUNTIFS($C:$C,$C1597,$D:$D,"P0(후)",$L:$L,"&gt;0")&lt;&gt;1,"",SUMIFS($L:$L,$C:$C,$C1597,$D:$D,"P0(후)"))</f>
        <v/>
      </c>
      <c r="R1597" s="30">
        <f>IF(M1597&lt;&gt;"OK","",O1597+(Q1597-O1597)*(H1597-N1597)/(P1597-N1597))</f>
        <v/>
      </c>
      <c r="S1597" s="30">
        <f>IF(OR(M1597&lt;&gt;"OK",NOT(ISNUMBER(L1597))),"",L1597-R1597)</f>
        <v/>
      </c>
      <c r="T1597" s="46">
        <f>IF(OR(NOT(ISNUMBER(S1597)),IF(ISNUMBER(G1597),G1597,F1597)=0),"",S1597/IF(ISNUMBER(G1597),G1597,F1597))</f>
        <v/>
      </c>
      <c r="U1597" s="46">
        <f>IF(ISNUMBER(T1597),ABS(T1597),"")</f>
        <v/>
      </c>
      <c r="V1597" s="46">
        <f>IF(OR($D1596&lt;&gt;"측정",$C1596&lt;&gt;$C1597,NOT(ISNUMBER(L1597)),NOT(ISNUMBER(L1596)),(IF(ISNUMBER(G1597),G1597,F1597)-IF(ISNUMBER(G1596),G1596,F1596))=0),"",(L1597-L1596)/(IF(ISNUMBER(G1597),G1597,F1597)-IF(ISNUMBER(G1596),G1596,F1596)))</f>
        <v/>
      </c>
      <c r="W1597" s="30">
        <f>IF(NOT(AND(ISNUMBER(N1597),ISNUMBER(P1597))),"",(P1597-N1597)*1440)</f>
        <v/>
      </c>
      <c r="X1597" s="28" t="n"/>
      <c r="Y1597" s="28" t="n"/>
      <c r="Z1597" s="28" t="n"/>
      <c r="AA1597" s="31" t="n"/>
      <c r="AB1597" s="31" t="n"/>
    </row>
    <row r="1598">
      <c r="A1598" s="25" t="inlineStr">
        <is>
          <t>S31</t>
        </is>
      </c>
      <c r="B1598" s="25" t="inlineStr">
        <is>
          <t>언양 신규점3</t>
        </is>
      </c>
      <c r="C1598" s="25" t="inlineStr">
        <is>
          <t>S31-H남</t>
        </is>
      </c>
      <c r="D1598" s="25" t="inlineStr">
        <is>
          <t>측정</t>
        </is>
      </c>
      <c r="E1598" s="25" t="inlineStr">
        <is>
          <t>남</t>
        </is>
      </c>
      <c r="F1598" s="30" t="n">
        <v>6</v>
      </c>
      <c r="G1598" s="29" t="n"/>
      <c r="H1598" s="42" t="n"/>
      <c r="I1598" s="40" t="n"/>
      <c r="J1598" s="40" t="n"/>
      <c r="K1598" s="40" t="n"/>
      <c r="L1598" s="30">
        <f>IF(COUNT(I1598:K1598)=0,"",MEDIAN(I1598:K1598))</f>
        <v/>
      </c>
      <c r="M1598" s="25">
        <f>IF(COUNTIFS($C:$C,$C1598,$D:$D,"P0(전)",$L:$L,"&gt;0")&lt;&gt;1,"P0(전) 유효 1개 아님",IF(COUNTIFS($C:$C,$C1598,$D:$D,"P0(후)",$L:$L,"&gt;0")&lt;&gt;1,"P0(후) 유효 1개 아님",IF(NOT(AND(ISNUMBER(N1598),ISNUMBER(P1598),ISNUMBER(H1598))),"시각 결측",IF(P1598&lt;=N1598,"P0 시각 역전",IF(OR(H1598&lt;N1598,H1598&gt;P1598),"측정시각 구간 밖","OK")))))</f>
        <v/>
      </c>
      <c r="N1598" s="45">
        <f>IF(COUNTIFS($C:$C,$C1598,$D:$D,"P0(전)",$L:$L,"&gt;0")&lt;&gt;1,"",SUMIFS($H:$H,$C:$C,$C1598,$D:$D,"P0(전)"))</f>
        <v/>
      </c>
      <c r="O1598" s="30">
        <f>IF(COUNTIFS($C:$C,$C1598,$D:$D,"P0(전)",$L:$L,"&gt;0")&lt;&gt;1,"",SUMIFS($L:$L,$C:$C,$C1598,$D:$D,"P0(전)"))</f>
        <v/>
      </c>
      <c r="P1598" s="45">
        <f>IF(COUNTIFS($C:$C,$C1598,$D:$D,"P0(후)",$L:$L,"&gt;0")&lt;&gt;1,"",SUMIFS($H:$H,$C:$C,$C1598,$D:$D,"P0(후)"))</f>
        <v/>
      </c>
      <c r="Q1598" s="30">
        <f>IF(COUNTIFS($C:$C,$C1598,$D:$D,"P0(후)",$L:$L,"&gt;0")&lt;&gt;1,"",SUMIFS($L:$L,$C:$C,$C1598,$D:$D,"P0(후)"))</f>
        <v/>
      </c>
      <c r="R1598" s="30">
        <f>IF(M1598&lt;&gt;"OK","",O1598+(Q1598-O1598)*(H1598-N1598)/(P1598-N1598))</f>
        <v/>
      </c>
      <c r="S1598" s="30">
        <f>IF(OR(M1598&lt;&gt;"OK",NOT(ISNUMBER(L1598))),"",L1598-R1598)</f>
        <v/>
      </c>
      <c r="T1598" s="46">
        <f>IF(OR(NOT(ISNUMBER(S1598)),IF(ISNUMBER(G1598),G1598,F1598)=0),"",S1598/IF(ISNUMBER(G1598),G1598,F1598))</f>
        <v/>
      </c>
      <c r="U1598" s="46">
        <f>IF(ISNUMBER(T1598),ABS(T1598),"")</f>
        <v/>
      </c>
      <c r="V1598" s="46">
        <f>IF(OR($D1597&lt;&gt;"측정",$C1597&lt;&gt;$C1598,NOT(ISNUMBER(L1598)),NOT(ISNUMBER(L1597)),(IF(ISNUMBER(G1598),G1598,F1598)-IF(ISNUMBER(G1597),G1597,F1597))=0),"",(L1598-L1597)/(IF(ISNUMBER(G1598),G1598,F1598)-IF(ISNUMBER(G1597),G1597,F1597)))</f>
        <v/>
      </c>
      <c r="W1598" s="30">
        <f>IF(NOT(AND(ISNUMBER(N1598),ISNUMBER(P1598))),"",(P1598-N1598)*1440)</f>
        <v/>
      </c>
      <c r="X1598" s="28" t="n"/>
      <c r="Y1598" s="28" t="n"/>
      <c r="Z1598" s="28" t="n"/>
      <c r="AA1598" s="31" t="n"/>
      <c r="AB1598" s="31" t="n"/>
    </row>
    <row r="1599">
      <c r="A1599" s="25" t="inlineStr">
        <is>
          <t>S31</t>
        </is>
      </c>
      <c r="B1599" s="25" t="inlineStr">
        <is>
          <t>언양 신규점3</t>
        </is>
      </c>
      <c r="C1599" s="25" t="inlineStr">
        <is>
          <t>S31-H남</t>
        </is>
      </c>
      <c r="D1599" s="25" t="inlineStr">
        <is>
          <t>측정</t>
        </is>
      </c>
      <c r="E1599" s="25" t="inlineStr">
        <is>
          <t>남</t>
        </is>
      </c>
      <c r="F1599" s="30" t="n">
        <v>7</v>
      </c>
      <c r="G1599" s="29" t="n"/>
      <c r="H1599" s="42" t="n"/>
      <c r="I1599" s="40" t="n"/>
      <c r="J1599" s="40" t="n"/>
      <c r="K1599" s="40" t="n"/>
      <c r="L1599" s="30">
        <f>IF(COUNT(I1599:K1599)=0,"",MEDIAN(I1599:K1599))</f>
        <v/>
      </c>
      <c r="M1599" s="25">
        <f>IF(COUNTIFS($C:$C,$C1599,$D:$D,"P0(전)",$L:$L,"&gt;0")&lt;&gt;1,"P0(전) 유효 1개 아님",IF(COUNTIFS($C:$C,$C1599,$D:$D,"P0(후)",$L:$L,"&gt;0")&lt;&gt;1,"P0(후) 유효 1개 아님",IF(NOT(AND(ISNUMBER(N1599),ISNUMBER(P1599),ISNUMBER(H1599))),"시각 결측",IF(P1599&lt;=N1599,"P0 시각 역전",IF(OR(H1599&lt;N1599,H1599&gt;P1599),"측정시각 구간 밖","OK")))))</f>
        <v/>
      </c>
      <c r="N1599" s="45">
        <f>IF(COUNTIFS($C:$C,$C1599,$D:$D,"P0(전)",$L:$L,"&gt;0")&lt;&gt;1,"",SUMIFS($H:$H,$C:$C,$C1599,$D:$D,"P0(전)"))</f>
        <v/>
      </c>
      <c r="O1599" s="30">
        <f>IF(COUNTIFS($C:$C,$C1599,$D:$D,"P0(전)",$L:$L,"&gt;0")&lt;&gt;1,"",SUMIFS($L:$L,$C:$C,$C1599,$D:$D,"P0(전)"))</f>
        <v/>
      </c>
      <c r="P1599" s="45">
        <f>IF(COUNTIFS($C:$C,$C1599,$D:$D,"P0(후)",$L:$L,"&gt;0")&lt;&gt;1,"",SUMIFS($H:$H,$C:$C,$C1599,$D:$D,"P0(후)"))</f>
        <v/>
      </c>
      <c r="Q1599" s="30">
        <f>IF(COUNTIFS($C:$C,$C1599,$D:$D,"P0(후)",$L:$L,"&gt;0")&lt;&gt;1,"",SUMIFS($L:$L,$C:$C,$C1599,$D:$D,"P0(후)"))</f>
        <v/>
      </c>
      <c r="R1599" s="30">
        <f>IF(M1599&lt;&gt;"OK","",O1599+(Q1599-O1599)*(H1599-N1599)/(P1599-N1599))</f>
        <v/>
      </c>
      <c r="S1599" s="30">
        <f>IF(OR(M1599&lt;&gt;"OK",NOT(ISNUMBER(L1599))),"",L1599-R1599)</f>
        <v/>
      </c>
      <c r="T1599" s="46">
        <f>IF(OR(NOT(ISNUMBER(S1599)),IF(ISNUMBER(G1599),G1599,F1599)=0),"",S1599/IF(ISNUMBER(G1599),G1599,F1599))</f>
        <v/>
      </c>
      <c r="U1599" s="46">
        <f>IF(ISNUMBER(T1599),ABS(T1599),"")</f>
        <v/>
      </c>
      <c r="V1599" s="46">
        <f>IF(OR($D1598&lt;&gt;"측정",$C1598&lt;&gt;$C1599,NOT(ISNUMBER(L1599)),NOT(ISNUMBER(L1598)),(IF(ISNUMBER(G1599),G1599,F1599)-IF(ISNUMBER(G1598),G1598,F1598))=0),"",(L1599-L1598)/(IF(ISNUMBER(G1599),G1599,F1599)-IF(ISNUMBER(G1598),G1598,F1598)))</f>
        <v/>
      </c>
      <c r="W1599" s="30">
        <f>IF(NOT(AND(ISNUMBER(N1599),ISNUMBER(P1599))),"",(P1599-N1599)*1440)</f>
        <v/>
      </c>
      <c r="X1599" s="28" t="n"/>
      <c r="Y1599" s="28" t="n"/>
      <c r="Z1599" s="28" t="n"/>
      <c r="AA1599" s="31" t="n"/>
      <c r="AB1599" s="31" t="n"/>
    </row>
    <row r="1600">
      <c r="A1600" s="25" t="inlineStr">
        <is>
          <t>S31</t>
        </is>
      </c>
      <c r="B1600" s="25" t="inlineStr">
        <is>
          <t>언양 신규점3</t>
        </is>
      </c>
      <c r="C1600" s="25" t="inlineStr">
        <is>
          <t>S31-H남</t>
        </is>
      </c>
      <c r="D1600" s="25" t="inlineStr">
        <is>
          <t>측정</t>
        </is>
      </c>
      <c r="E1600" s="25" t="inlineStr">
        <is>
          <t>남</t>
        </is>
      </c>
      <c r="F1600" s="30" t="n">
        <v>8</v>
      </c>
      <c r="G1600" s="29" t="n"/>
      <c r="H1600" s="42" t="n"/>
      <c r="I1600" s="40" t="n"/>
      <c r="J1600" s="40" t="n"/>
      <c r="K1600" s="40" t="n"/>
      <c r="L1600" s="30">
        <f>IF(COUNT(I1600:K1600)=0,"",MEDIAN(I1600:K1600))</f>
        <v/>
      </c>
      <c r="M1600" s="25">
        <f>IF(COUNTIFS($C:$C,$C1600,$D:$D,"P0(전)",$L:$L,"&gt;0")&lt;&gt;1,"P0(전) 유효 1개 아님",IF(COUNTIFS($C:$C,$C1600,$D:$D,"P0(후)",$L:$L,"&gt;0")&lt;&gt;1,"P0(후) 유효 1개 아님",IF(NOT(AND(ISNUMBER(N1600),ISNUMBER(P1600),ISNUMBER(H1600))),"시각 결측",IF(P1600&lt;=N1600,"P0 시각 역전",IF(OR(H1600&lt;N1600,H1600&gt;P1600),"측정시각 구간 밖","OK")))))</f>
        <v/>
      </c>
      <c r="N1600" s="45">
        <f>IF(COUNTIFS($C:$C,$C1600,$D:$D,"P0(전)",$L:$L,"&gt;0")&lt;&gt;1,"",SUMIFS($H:$H,$C:$C,$C1600,$D:$D,"P0(전)"))</f>
        <v/>
      </c>
      <c r="O1600" s="30">
        <f>IF(COUNTIFS($C:$C,$C1600,$D:$D,"P0(전)",$L:$L,"&gt;0")&lt;&gt;1,"",SUMIFS($L:$L,$C:$C,$C1600,$D:$D,"P0(전)"))</f>
        <v/>
      </c>
      <c r="P1600" s="45">
        <f>IF(COUNTIFS($C:$C,$C1600,$D:$D,"P0(후)",$L:$L,"&gt;0")&lt;&gt;1,"",SUMIFS($H:$H,$C:$C,$C1600,$D:$D,"P0(후)"))</f>
        <v/>
      </c>
      <c r="Q1600" s="30">
        <f>IF(COUNTIFS($C:$C,$C1600,$D:$D,"P0(후)",$L:$L,"&gt;0")&lt;&gt;1,"",SUMIFS($L:$L,$C:$C,$C1600,$D:$D,"P0(후)"))</f>
        <v/>
      </c>
      <c r="R1600" s="30">
        <f>IF(M1600&lt;&gt;"OK","",O1600+(Q1600-O1600)*(H1600-N1600)/(P1600-N1600))</f>
        <v/>
      </c>
      <c r="S1600" s="30">
        <f>IF(OR(M1600&lt;&gt;"OK",NOT(ISNUMBER(L1600))),"",L1600-R1600)</f>
        <v/>
      </c>
      <c r="T1600" s="46">
        <f>IF(OR(NOT(ISNUMBER(S1600)),IF(ISNUMBER(G1600),G1600,F1600)=0),"",S1600/IF(ISNUMBER(G1600),G1600,F1600))</f>
        <v/>
      </c>
      <c r="U1600" s="46">
        <f>IF(ISNUMBER(T1600),ABS(T1600),"")</f>
        <v/>
      </c>
      <c r="V1600" s="46">
        <f>IF(OR($D1599&lt;&gt;"측정",$C1599&lt;&gt;$C1600,NOT(ISNUMBER(L1600)),NOT(ISNUMBER(L1599)),(IF(ISNUMBER(G1600),G1600,F1600)-IF(ISNUMBER(G1599),G1599,F1599))=0),"",(L1600-L1599)/(IF(ISNUMBER(G1600),G1600,F1600)-IF(ISNUMBER(G1599),G1599,F1599)))</f>
        <v/>
      </c>
      <c r="W1600" s="30">
        <f>IF(NOT(AND(ISNUMBER(N1600),ISNUMBER(P1600))),"",(P1600-N1600)*1440)</f>
        <v/>
      </c>
      <c r="X1600" s="28" t="n"/>
      <c r="Y1600" s="28" t="n"/>
      <c r="Z1600" s="28" t="n"/>
      <c r="AA1600" s="31" t="n"/>
      <c r="AB1600" s="31" t="n"/>
    </row>
    <row r="1601">
      <c r="A1601" s="25" t="inlineStr">
        <is>
          <t>S31</t>
        </is>
      </c>
      <c r="B1601" s="25" t="inlineStr">
        <is>
          <t>언양 신규점3</t>
        </is>
      </c>
      <c r="C1601" s="25" t="inlineStr">
        <is>
          <t>S31-H남</t>
        </is>
      </c>
      <c r="D1601" s="25" t="inlineStr">
        <is>
          <t>측정</t>
        </is>
      </c>
      <c r="E1601" s="25" t="inlineStr">
        <is>
          <t>남</t>
        </is>
      </c>
      <c r="F1601" s="30" t="n">
        <v>9</v>
      </c>
      <c r="G1601" s="29" t="n"/>
      <c r="H1601" s="42" t="n"/>
      <c r="I1601" s="40" t="n"/>
      <c r="J1601" s="40" t="n"/>
      <c r="K1601" s="40" t="n"/>
      <c r="L1601" s="30">
        <f>IF(COUNT(I1601:K1601)=0,"",MEDIAN(I1601:K1601))</f>
        <v/>
      </c>
      <c r="M1601" s="25">
        <f>IF(COUNTIFS($C:$C,$C1601,$D:$D,"P0(전)",$L:$L,"&gt;0")&lt;&gt;1,"P0(전) 유효 1개 아님",IF(COUNTIFS($C:$C,$C1601,$D:$D,"P0(후)",$L:$L,"&gt;0")&lt;&gt;1,"P0(후) 유효 1개 아님",IF(NOT(AND(ISNUMBER(N1601),ISNUMBER(P1601),ISNUMBER(H1601))),"시각 결측",IF(P1601&lt;=N1601,"P0 시각 역전",IF(OR(H1601&lt;N1601,H1601&gt;P1601),"측정시각 구간 밖","OK")))))</f>
        <v/>
      </c>
      <c r="N1601" s="45">
        <f>IF(COUNTIFS($C:$C,$C1601,$D:$D,"P0(전)",$L:$L,"&gt;0")&lt;&gt;1,"",SUMIFS($H:$H,$C:$C,$C1601,$D:$D,"P0(전)"))</f>
        <v/>
      </c>
      <c r="O1601" s="30">
        <f>IF(COUNTIFS($C:$C,$C1601,$D:$D,"P0(전)",$L:$L,"&gt;0")&lt;&gt;1,"",SUMIFS($L:$L,$C:$C,$C1601,$D:$D,"P0(전)"))</f>
        <v/>
      </c>
      <c r="P1601" s="45">
        <f>IF(COUNTIFS($C:$C,$C1601,$D:$D,"P0(후)",$L:$L,"&gt;0")&lt;&gt;1,"",SUMIFS($H:$H,$C:$C,$C1601,$D:$D,"P0(후)"))</f>
        <v/>
      </c>
      <c r="Q1601" s="30">
        <f>IF(COUNTIFS($C:$C,$C1601,$D:$D,"P0(후)",$L:$L,"&gt;0")&lt;&gt;1,"",SUMIFS($L:$L,$C:$C,$C1601,$D:$D,"P0(후)"))</f>
        <v/>
      </c>
      <c r="R1601" s="30">
        <f>IF(M1601&lt;&gt;"OK","",O1601+(Q1601-O1601)*(H1601-N1601)/(P1601-N1601))</f>
        <v/>
      </c>
      <c r="S1601" s="30">
        <f>IF(OR(M1601&lt;&gt;"OK",NOT(ISNUMBER(L1601))),"",L1601-R1601)</f>
        <v/>
      </c>
      <c r="T1601" s="46">
        <f>IF(OR(NOT(ISNUMBER(S1601)),IF(ISNUMBER(G1601),G1601,F1601)=0),"",S1601/IF(ISNUMBER(G1601),G1601,F1601))</f>
        <v/>
      </c>
      <c r="U1601" s="46">
        <f>IF(ISNUMBER(T1601),ABS(T1601),"")</f>
        <v/>
      </c>
      <c r="V1601" s="46">
        <f>IF(OR($D1600&lt;&gt;"측정",$C1600&lt;&gt;$C1601,NOT(ISNUMBER(L1601)),NOT(ISNUMBER(L1600)),(IF(ISNUMBER(G1601),G1601,F1601)-IF(ISNUMBER(G1600),G1600,F1600))=0),"",(L1601-L1600)/(IF(ISNUMBER(G1601),G1601,F1601)-IF(ISNUMBER(G1600),G1600,F1600)))</f>
        <v/>
      </c>
      <c r="W1601" s="30">
        <f>IF(NOT(AND(ISNUMBER(N1601),ISNUMBER(P1601))),"",(P1601-N1601)*1440)</f>
        <v/>
      </c>
      <c r="X1601" s="28" t="n"/>
      <c r="Y1601" s="28" t="n"/>
      <c r="Z1601" s="28" t="n"/>
      <c r="AA1601" s="31" t="n"/>
      <c r="AB1601" s="31" t="n"/>
    </row>
    <row r="1602">
      <c r="A1602" s="25" t="inlineStr">
        <is>
          <t>S31</t>
        </is>
      </c>
      <c r="B1602" s="25" t="inlineStr">
        <is>
          <t>언양 신규점3</t>
        </is>
      </c>
      <c r="C1602" s="25" t="inlineStr">
        <is>
          <t>S31-H남</t>
        </is>
      </c>
      <c r="D1602" s="25" t="inlineStr">
        <is>
          <t>측정</t>
        </is>
      </c>
      <c r="E1602" s="25" t="inlineStr">
        <is>
          <t>남</t>
        </is>
      </c>
      <c r="F1602" s="30" t="n">
        <v>10</v>
      </c>
      <c r="G1602" s="29" t="n"/>
      <c r="H1602" s="42" t="n"/>
      <c r="I1602" s="40" t="n"/>
      <c r="J1602" s="40" t="n"/>
      <c r="K1602" s="40" t="n"/>
      <c r="L1602" s="30">
        <f>IF(COUNT(I1602:K1602)=0,"",MEDIAN(I1602:K1602))</f>
        <v/>
      </c>
      <c r="M1602" s="25">
        <f>IF(COUNTIFS($C:$C,$C1602,$D:$D,"P0(전)",$L:$L,"&gt;0")&lt;&gt;1,"P0(전) 유효 1개 아님",IF(COUNTIFS($C:$C,$C1602,$D:$D,"P0(후)",$L:$L,"&gt;0")&lt;&gt;1,"P0(후) 유효 1개 아님",IF(NOT(AND(ISNUMBER(N1602),ISNUMBER(P1602),ISNUMBER(H1602))),"시각 결측",IF(P1602&lt;=N1602,"P0 시각 역전",IF(OR(H1602&lt;N1602,H1602&gt;P1602),"측정시각 구간 밖","OK")))))</f>
        <v/>
      </c>
      <c r="N1602" s="45">
        <f>IF(COUNTIFS($C:$C,$C1602,$D:$D,"P0(전)",$L:$L,"&gt;0")&lt;&gt;1,"",SUMIFS($H:$H,$C:$C,$C1602,$D:$D,"P0(전)"))</f>
        <v/>
      </c>
      <c r="O1602" s="30">
        <f>IF(COUNTIFS($C:$C,$C1602,$D:$D,"P0(전)",$L:$L,"&gt;0")&lt;&gt;1,"",SUMIFS($L:$L,$C:$C,$C1602,$D:$D,"P0(전)"))</f>
        <v/>
      </c>
      <c r="P1602" s="45">
        <f>IF(COUNTIFS($C:$C,$C1602,$D:$D,"P0(후)",$L:$L,"&gt;0")&lt;&gt;1,"",SUMIFS($H:$H,$C:$C,$C1602,$D:$D,"P0(후)"))</f>
        <v/>
      </c>
      <c r="Q1602" s="30">
        <f>IF(COUNTIFS($C:$C,$C1602,$D:$D,"P0(후)",$L:$L,"&gt;0")&lt;&gt;1,"",SUMIFS($L:$L,$C:$C,$C1602,$D:$D,"P0(후)"))</f>
        <v/>
      </c>
      <c r="R1602" s="30">
        <f>IF(M1602&lt;&gt;"OK","",O1602+(Q1602-O1602)*(H1602-N1602)/(P1602-N1602))</f>
        <v/>
      </c>
      <c r="S1602" s="30">
        <f>IF(OR(M1602&lt;&gt;"OK",NOT(ISNUMBER(L1602))),"",L1602-R1602)</f>
        <v/>
      </c>
      <c r="T1602" s="46">
        <f>IF(OR(NOT(ISNUMBER(S1602)),IF(ISNUMBER(G1602),G1602,F1602)=0),"",S1602/IF(ISNUMBER(G1602),G1602,F1602))</f>
        <v/>
      </c>
      <c r="U1602" s="46">
        <f>IF(ISNUMBER(T1602),ABS(T1602),"")</f>
        <v/>
      </c>
      <c r="V1602" s="46">
        <f>IF(OR($D1601&lt;&gt;"측정",$C1601&lt;&gt;$C1602,NOT(ISNUMBER(L1602)),NOT(ISNUMBER(L1601)),(IF(ISNUMBER(G1602),G1602,F1602)-IF(ISNUMBER(G1601),G1601,F1601))=0),"",(L1602-L1601)/(IF(ISNUMBER(G1602),G1602,F1602)-IF(ISNUMBER(G1601),G1601,F1601)))</f>
        <v/>
      </c>
      <c r="W1602" s="30">
        <f>IF(NOT(AND(ISNUMBER(N1602),ISNUMBER(P1602))),"",(P1602-N1602)*1440)</f>
        <v/>
      </c>
      <c r="X1602" s="28" t="n"/>
      <c r="Y1602" s="28" t="n"/>
      <c r="Z1602" s="28" t="n"/>
      <c r="AA1602" s="31" t="n"/>
      <c r="AB1602" s="31" t="n"/>
    </row>
    <row r="1603">
      <c r="A1603" s="43" t="inlineStr">
        <is>
          <t>S31</t>
        </is>
      </c>
      <c r="B1603" s="43" t="inlineStr">
        <is>
          <t>언양 신규점3</t>
        </is>
      </c>
      <c r="C1603" s="43" t="inlineStr">
        <is>
          <t>S31-H남</t>
        </is>
      </c>
      <c r="D1603" s="43" t="inlineStr">
        <is>
          <t>P0(후)</t>
        </is>
      </c>
      <c r="E1603" s="43" t="inlineStr">
        <is>
          <t>남</t>
        </is>
      </c>
      <c r="F1603" s="44" t="n"/>
      <c r="G1603" s="29" t="n"/>
      <c r="H1603" s="42" t="n"/>
      <c r="I1603" s="40" t="n"/>
      <c r="J1603" s="40" t="n"/>
      <c r="K1603" s="40" t="n"/>
      <c r="L1603" s="30">
        <f>IF(COUNT(I1603:K1603)=0,"",MEDIAN(I1603:K1603))</f>
        <v/>
      </c>
      <c r="M1603" s="37" t="n"/>
      <c r="N1603" s="37" t="n"/>
      <c r="O1603" s="37" t="n"/>
      <c r="P1603" s="37" t="n"/>
      <c r="Q1603" s="37" t="n"/>
      <c r="R1603" s="37" t="n"/>
      <c r="S1603" s="37" t="n"/>
      <c r="T1603" s="37" t="n"/>
      <c r="U1603" s="37" t="n"/>
      <c r="V1603" s="37" t="n"/>
      <c r="W1603" s="37" t="n"/>
      <c r="X1603" s="28" t="n"/>
      <c r="Y1603" s="28" t="n"/>
      <c r="Z1603" s="28" t="n"/>
      <c r="AA1603" s="31" t="n"/>
      <c r="AB1603" s="31" t="n"/>
    </row>
    <row r="1604">
      <c r="A1604" s="43" t="inlineStr">
        <is>
          <t>S31</t>
        </is>
      </c>
      <c r="B1604" s="43" t="inlineStr">
        <is>
          <t>언양 신규점3</t>
        </is>
      </c>
      <c r="C1604" s="43" t="inlineStr">
        <is>
          <t>S31-H북</t>
        </is>
      </c>
      <c r="D1604" s="43" t="inlineStr">
        <is>
          <t>P0(전)</t>
        </is>
      </c>
      <c r="E1604" s="43" t="inlineStr">
        <is>
          <t>북</t>
        </is>
      </c>
      <c r="F1604" s="44" t="n"/>
      <c r="G1604" s="29" t="n"/>
      <c r="H1604" s="42" t="n"/>
      <c r="I1604" s="40" t="n"/>
      <c r="J1604" s="40" t="n"/>
      <c r="K1604" s="40" t="n"/>
      <c r="L1604" s="30">
        <f>IF(COUNT(I1604:K1604)=0,"",MEDIAN(I1604:K1604))</f>
        <v/>
      </c>
      <c r="M1604" s="37" t="n"/>
      <c r="N1604" s="37" t="n"/>
      <c r="O1604" s="37" t="n"/>
      <c r="P1604" s="37" t="n"/>
      <c r="Q1604" s="37" t="n"/>
      <c r="R1604" s="37" t="n"/>
      <c r="S1604" s="37" t="n"/>
      <c r="T1604" s="37" t="n"/>
      <c r="U1604" s="37" t="n"/>
      <c r="V1604" s="37" t="n"/>
      <c r="W1604" s="37" t="n"/>
      <c r="X1604" s="28" t="n"/>
      <c r="Y1604" s="28" t="n"/>
      <c r="Z1604" s="28" t="n"/>
      <c r="AA1604" s="31" t="n"/>
      <c r="AB1604" s="31" t="n"/>
    </row>
    <row r="1605">
      <c r="A1605" s="25" t="inlineStr">
        <is>
          <t>S31</t>
        </is>
      </c>
      <c r="B1605" s="25" t="inlineStr">
        <is>
          <t>언양 신규점3</t>
        </is>
      </c>
      <c r="C1605" s="25" t="inlineStr">
        <is>
          <t>S31-H북</t>
        </is>
      </c>
      <c r="D1605" s="25" t="inlineStr">
        <is>
          <t>측정</t>
        </is>
      </c>
      <c r="E1605" s="25" t="inlineStr">
        <is>
          <t>북</t>
        </is>
      </c>
      <c r="F1605" s="30" t="n">
        <v>0.5</v>
      </c>
      <c r="G1605" s="29" t="n"/>
      <c r="H1605" s="42" t="n"/>
      <c r="I1605" s="40" t="n"/>
      <c r="J1605" s="40" t="n"/>
      <c r="K1605" s="40" t="n"/>
      <c r="L1605" s="30">
        <f>IF(COUNT(I1605:K1605)=0,"",MEDIAN(I1605:K1605))</f>
        <v/>
      </c>
      <c r="M1605" s="25">
        <f>IF(COUNTIFS($C:$C,$C1605,$D:$D,"P0(전)",$L:$L,"&gt;0")&lt;&gt;1,"P0(전) 유효 1개 아님",IF(COUNTIFS($C:$C,$C1605,$D:$D,"P0(후)",$L:$L,"&gt;0")&lt;&gt;1,"P0(후) 유효 1개 아님",IF(NOT(AND(ISNUMBER(N1605),ISNUMBER(P1605),ISNUMBER(H1605))),"시각 결측",IF(P1605&lt;=N1605,"P0 시각 역전",IF(OR(H1605&lt;N1605,H1605&gt;P1605),"측정시각 구간 밖","OK")))))</f>
        <v/>
      </c>
      <c r="N1605" s="45">
        <f>IF(COUNTIFS($C:$C,$C1605,$D:$D,"P0(전)",$L:$L,"&gt;0")&lt;&gt;1,"",SUMIFS($H:$H,$C:$C,$C1605,$D:$D,"P0(전)"))</f>
        <v/>
      </c>
      <c r="O1605" s="30">
        <f>IF(COUNTIFS($C:$C,$C1605,$D:$D,"P0(전)",$L:$L,"&gt;0")&lt;&gt;1,"",SUMIFS($L:$L,$C:$C,$C1605,$D:$D,"P0(전)"))</f>
        <v/>
      </c>
      <c r="P1605" s="45">
        <f>IF(COUNTIFS($C:$C,$C1605,$D:$D,"P0(후)",$L:$L,"&gt;0")&lt;&gt;1,"",SUMIFS($H:$H,$C:$C,$C1605,$D:$D,"P0(후)"))</f>
        <v/>
      </c>
      <c r="Q1605" s="30">
        <f>IF(COUNTIFS($C:$C,$C1605,$D:$D,"P0(후)",$L:$L,"&gt;0")&lt;&gt;1,"",SUMIFS($L:$L,$C:$C,$C1605,$D:$D,"P0(후)"))</f>
        <v/>
      </c>
      <c r="R1605" s="30">
        <f>IF(M1605&lt;&gt;"OK","",O1605+(Q1605-O1605)*(H1605-N1605)/(P1605-N1605))</f>
        <v/>
      </c>
      <c r="S1605" s="30">
        <f>IF(OR(M1605&lt;&gt;"OK",NOT(ISNUMBER(L1605))),"",L1605-R1605)</f>
        <v/>
      </c>
      <c r="T1605" s="46">
        <f>IF(OR(NOT(ISNUMBER(S1605)),IF(ISNUMBER(G1605),G1605,F1605)=0),"",S1605/IF(ISNUMBER(G1605),G1605,F1605))</f>
        <v/>
      </c>
      <c r="U1605" s="46">
        <f>IF(ISNUMBER(T1605),ABS(T1605),"")</f>
        <v/>
      </c>
      <c r="V1605" s="46">
        <f>IF(OR($D1604&lt;&gt;"측정",$C1604&lt;&gt;$C1605,NOT(ISNUMBER(L1605)),NOT(ISNUMBER(L1604)),(IF(ISNUMBER(G1605),G1605,F1605)-IF(ISNUMBER(G1604),G1604,F1604))=0),"",(L1605-L1604)/(IF(ISNUMBER(G1605),G1605,F1605)-IF(ISNUMBER(G1604),G1604,F1604)))</f>
        <v/>
      </c>
      <c r="W1605" s="30">
        <f>IF(NOT(AND(ISNUMBER(N1605),ISNUMBER(P1605))),"",(P1605-N1605)*1440)</f>
        <v/>
      </c>
      <c r="X1605" s="28" t="n"/>
      <c r="Y1605" s="28" t="n"/>
      <c r="Z1605" s="28" t="n"/>
      <c r="AA1605" s="31" t="n"/>
      <c r="AB1605" s="31" t="n"/>
    </row>
    <row r="1606">
      <c r="A1606" s="25" t="inlineStr">
        <is>
          <t>S31</t>
        </is>
      </c>
      <c r="B1606" s="25" t="inlineStr">
        <is>
          <t>언양 신규점3</t>
        </is>
      </c>
      <c r="C1606" s="25" t="inlineStr">
        <is>
          <t>S31-H북</t>
        </is>
      </c>
      <c r="D1606" s="25" t="inlineStr">
        <is>
          <t>측정</t>
        </is>
      </c>
      <c r="E1606" s="25" t="inlineStr">
        <is>
          <t>북</t>
        </is>
      </c>
      <c r="F1606" s="30" t="n">
        <v>1</v>
      </c>
      <c r="G1606" s="29" t="n"/>
      <c r="H1606" s="42" t="n"/>
      <c r="I1606" s="40" t="n"/>
      <c r="J1606" s="40" t="n"/>
      <c r="K1606" s="40" t="n"/>
      <c r="L1606" s="30">
        <f>IF(COUNT(I1606:K1606)=0,"",MEDIAN(I1606:K1606))</f>
        <v/>
      </c>
      <c r="M1606" s="25">
        <f>IF(COUNTIFS($C:$C,$C1606,$D:$D,"P0(전)",$L:$L,"&gt;0")&lt;&gt;1,"P0(전) 유효 1개 아님",IF(COUNTIFS($C:$C,$C1606,$D:$D,"P0(후)",$L:$L,"&gt;0")&lt;&gt;1,"P0(후) 유효 1개 아님",IF(NOT(AND(ISNUMBER(N1606),ISNUMBER(P1606),ISNUMBER(H1606))),"시각 결측",IF(P1606&lt;=N1606,"P0 시각 역전",IF(OR(H1606&lt;N1606,H1606&gt;P1606),"측정시각 구간 밖","OK")))))</f>
        <v/>
      </c>
      <c r="N1606" s="45">
        <f>IF(COUNTIFS($C:$C,$C1606,$D:$D,"P0(전)",$L:$L,"&gt;0")&lt;&gt;1,"",SUMIFS($H:$H,$C:$C,$C1606,$D:$D,"P0(전)"))</f>
        <v/>
      </c>
      <c r="O1606" s="30">
        <f>IF(COUNTIFS($C:$C,$C1606,$D:$D,"P0(전)",$L:$L,"&gt;0")&lt;&gt;1,"",SUMIFS($L:$L,$C:$C,$C1606,$D:$D,"P0(전)"))</f>
        <v/>
      </c>
      <c r="P1606" s="45">
        <f>IF(COUNTIFS($C:$C,$C1606,$D:$D,"P0(후)",$L:$L,"&gt;0")&lt;&gt;1,"",SUMIFS($H:$H,$C:$C,$C1606,$D:$D,"P0(후)"))</f>
        <v/>
      </c>
      <c r="Q1606" s="30">
        <f>IF(COUNTIFS($C:$C,$C1606,$D:$D,"P0(후)",$L:$L,"&gt;0")&lt;&gt;1,"",SUMIFS($L:$L,$C:$C,$C1606,$D:$D,"P0(후)"))</f>
        <v/>
      </c>
      <c r="R1606" s="30">
        <f>IF(M1606&lt;&gt;"OK","",O1606+(Q1606-O1606)*(H1606-N1606)/(P1606-N1606))</f>
        <v/>
      </c>
      <c r="S1606" s="30">
        <f>IF(OR(M1606&lt;&gt;"OK",NOT(ISNUMBER(L1606))),"",L1606-R1606)</f>
        <v/>
      </c>
      <c r="T1606" s="46">
        <f>IF(OR(NOT(ISNUMBER(S1606)),IF(ISNUMBER(G1606),G1606,F1606)=0),"",S1606/IF(ISNUMBER(G1606),G1606,F1606))</f>
        <v/>
      </c>
      <c r="U1606" s="46">
        <f>IF(ISNUMBER(T1606),ABS(T1606),"")</f>
        <v/>
      </c>
      <c r="V1606" s="46">
        <f>IF(OR($D1605&lt;&gt;"측정",$C1605&lt;&gt;$C1606,NOT(ISNUMBER(L1606)),NOT(ISNUMBER(L1605)),(IF(ISNUMBER(G1606),G1606,F1606)-IF(ISNUMBER(G1605),G1605,F1605))=0),"",(L1606-L1605)/(IF(ISNUMBER(G1606),G1606,F1606)-IF(ISNUMBER(G1605),G1605,F1605)))</f>
        <v/>
      </c>
      <c r="W1606" s="30">
        <f>IF(NOT(AND(ISNUMBER(N1606),ISNUMBER(P1606))),"",(P1606-N1606)*1440)</f>
        <v/>
      </c>
      <c r="X1606" s="28" t="n"/>
      <c r="Y1606" s="28" t="n"/>
      <c r="Z1606" s="28" t="n"/>
      <c r="AA1606" s="31" t="n"/>
      <c r="AB1606" s="31" t="n"/>
    </row>
    <row r="1607">
      <c r="A1607" s="25" t="inlineStr">
        <is>
          <t>S31</t>
        </is>
      </c>
      <c r="B1607" s="25" t="inlineStr">
        <is>
          <t>언양 신규점3</t>
        </is>
      </c>
      <c r="C1607" s="25" t="inlineStr">
        <is>
          <t>S31-H북</t>
        </is>
      </c>
      <c r="D1607" s="25" t="inlineStr">
        <is>
          <t>측정</t>
        </is>
      </c>
      <c r="E1607" s="25" t="inlineStr">
        <is>
          <t>북</t>
        </is>
      </c>
      <c r="F1607" s="30" t="n">
        <v>2</v>
      </c>
      <c r="G1607" s="29" t="n"/>
      <c r="H1607" s="42" t="n"/>
      <c r="I1607" s="40" t="n"/>
      <c r="J1607" s="40" t="n"/>
      <c r="K1607" s="40" t="n"/>
      <c r="L1607" s="30">
        <f>IF(COUNT(I1607:K1607)=0,"",MEDIAN(I1607:K1607))</f>
        <v/>
      </c>
      <c r="M1607" s="25">
        <f>IF(COUNTIFS($C:$C,$C1607,$D:$D,"P0(전)",$L:$L,"&gt;0")&lt;&gt;1,"P0(전) 유효 1개 아님",IF(COUNTIFS($C:$C,$C1607,$D:$D,"P0(후)",$L:$L,"&gt;0")&lt;&gt;1,"P0(후) 유효 1개 아님",IF(NOT(AND(ISNUMBER(N1607),ISNUMBER(P1607),ISNUMBER(H1607))),"시각 결측",IF(P1607&lt;=N1607,"P0 시각 역전",IF(OR(H1607&lt;N1607,H1607&gt;P1607),"측정시각 구간 밖","OK")))))</f>
        <v/>
      </c>
      <c r="N1607" s="45">
        <f>IF(COUNTIFS($C:$C,$C1607,$D:$D,"P0(전)",$L:$L,"&gt;0")&lt;&gt;1,"",SUMIFS($H:$H,$C:$C,$C1607,$D:$D,"P0(전)"))</f>
        <v/>
      </c>
      <c r="O1607" s="30">
        <f>IF(COUNTIFS($C:$C,$C1607,$D:$D,"P0(전)",$L:$L,"&gt;0")&lt;&gt;1,"",SUMIFS($L:$L,$C:$C,$C1607,$D:$D,"P0(전)"))</f>
        <v/>
      </c>
      <c r="P1607" s="45">
        <f>IF(COUNTIFS($C:$C,$C1607,$D:$D,"P0(후)",$L:$L,"&gt;0")&lt;&gt;1,"",SUMIFS($H:$H,$C:$C,$C1607,$D:$D,"P0(후)"))</f>
        <v/>
      </c>
      <c r="Q1607" s="30">
        <f>IF(COUNTIFS($C:$C,$C1607,$D:$D,"P0(후)",$L:$L,"&gt;0")&lt;&gt;1,"",SUMIFS($L:$L,$C:$C,$C1607,$D:$D,"P0(후)"))</f>
        <v/>
      </c>
      <c r="R1607" s="30">
        <f>IF(M1607&lt;&gt;"OK","",O1607+(Q1607-O1607)*(H1607-N1607)/(P1607-N1607))</f>
        <v/>
      </c>
      <c r="S1607" s="30">
        <f>IF(OR(M1607&lt;&gt;"OK",NOT(ISNUMBER(L1607))),"",L1607-R1607)</f>
        <v/>
      </c>
      <c r="T1607" s="46">
        <f>IF(OR(NOT(ISNUMBER(S1607)),IF(ISNUMBER(G1607),G1607,F1607)=0),"",S1607/IF(ISNUMBER(G1607),G1607,F1607))</f>
        <v/>
      </c>
      <c r="U1607" s="46">
        <f>IF(ISNUMBER(T1607),ABS(T1607),"")</f>
        <v/>
      </c>
      <c r="V1607" s="46">
        <f>IF(OR($D1606&lt;&gt;"측정",$C1606&lt;&gt;$C1607,NOT(ISNUMBER(L1607)),NOT(ISNUMBER(L1606)),(IF(ISNUMBER(G1607),G1607,F1607)-IF(ISNUMBER(G1606),G1606,F1606))=0),"",(L1607-L1606)/(IF(ISNUMBER(G1607),G1607,F1607)-IF(ISNUMBER(G1606),G1606,F1606)))</f>
        <v/>
      </c>
      <c r="W1607" s="30">
        <f>IF(NOT(AND(ISNUMBER(N1607),ISNUMBER(P1607))),"",(P1607-N1607)*1440)</f>
        <v/>
      </c>
      <c r="X1607" s="28" t="n"/>
      <c r="Y1607" s="28" t="n"/>
      <c r="Z1607" s="28" t="n"/>
      <c r="AA1607" s="31" t="n"/>
      <c r="AB1607" s="31" t="n"/>
    </row>
    <row r="1608">
      <c r="A1608" s="25" t="inlineStr">
        <is>
          <t>S31</t>
        </is>
      </c>
      <c r="B1608" s="25" t="inlineStr">
        <is>
          <t>언양 신규점3</t>
        </is>
      </c>
      <c r="C1608" s="25" t="inlineStr">
        <is>
          <t>S31-H북</t>
        </is>
      </c>
      <c r="D1608" s="25" t="inlineStr">
        <is>
          <t>측정</t>
        </is>
      </c>
      <c r="E1608" s="25" t="inlineStr">
        <is>
          <t>북</t>
        </is>
      </c>
      <c r="F1608" s="30" t="n">
        <v>3</v>
      </c>
      <c r="G1608" s="29" t="n"/>
      <c r="H1608" s="42" t="n"/>
      <c r="I1608" s="40" t="n"/>
      <c r="J1608" s="40" t="n"/>
      <c r="K1608" s="40" t="n"/>
      <c r="L1608" s="30">
        <f>IF(COUNT(I1608:K1608)=0,"",MEDIAN(I1608:K1608))</f>
        <v/>
      </c>
      <c r="M1608" s="25">
        <f>IF(COUNTIFS($C:$C,$C1608,$D:$D,"P0(전)",$L:$L,"&gt;0")&lt;&gt;1,"P0(전) 유효 1개 아님",IF(COUNTIFS($C:$C,$C1608,$D:$D,"P0(후)",$L:$L,"&gt;0")&lt;&gt;1,"P0(후) 유효 1개 아님",IF(NOT(AND(ISNUMBER(N1608),ISNUMBER(P1608),ISNUMBER(H1608))),"시각 결측",IF(P1608&lt;=N1608,"P0 시각 역전",IF(OR(H1608&lt;N1608,H1608&gt;P1608),"측정시각 구간 밖","OK")))))</f>
        <v/>
      </c>
      <c r="N1608" s="45">
        <f>IF(COUNTIFS($C:$C,$C1608,$D:$D,"P0(전)",$L:$L,"&gt;0")&lt;&gt;1,"",SUMIFS($H:$H,$C:$C,$C1608,$D:$D,"P0(전)"))</f>
        <v/>
      </c>
      <c r="O1608" s="30">
        <f>IF(COUNTIFS($C:$C,$C1608,$D:$D,"P0(전)",$L:$L,"&gt;0")&lt;&gt;1,"",SUMIFS($L:$L,$C:$C,$C1608,$D:$D,"P0(전)"))</f>
        <v/>
      </c>
      <c r="P1608" s="45">
        <f>IF(COUNTIFS($C:$C,$C1608,$D:$D,"P0(후)",$L:$L,"&gt;0")&lt;&gt;1,"",SUMIFS($H:$H,$C:$C,$C1608,$D:$D,"P0(후)"))</f>
        <v/>
      </c>
      <c r="Q1608" s="30">
        <f>IF(COUNTIFS($C:$C,$C1608,$D:$D,"P0(후)",$L:$L,"&gt;0")&lt;&gt;1,"",SUMIFS($L:$L,$C:$C,$C1608,$D:$D,"P0(후)"))</f>
        <v/>
      </c>
      <c r="R1608" s="30">
        <f>IF(M1608&lt;&gt;"OK","",O1608+(Q1608-O1608)*(H1608-N1608)/(P1608-N1608))</f>
        <v/>
      </c>
      <c r="S1608" s="30">
        <f>IF(OR(M1608&lt;&gt;"OK",NOT(ISNUMBER(L1608))),"",L1608-R1608)</f>
        <v/>
      </c>
      <c r="T1608" s="46">
        <f>IF(OR(NOT(ISNUMBER(S1608)),IF(ISNUMBER(G1608),G1608,F1608)=0),"",S1608/IF(ISNUMBER(G1608),G1608,F1608))</f>
        <v/>
      </c>
      <c r="U1608" s="46">
        <f>IF(ISNUMBER(T1608),ABS(T1608),"")</f>
        <v/>
      </c>
      <c r="V1608" s="46">
        <f>IF(OR($D1607&lt;&gt;"측정",$C1607&lt;&gt;$C1608,NOT(ISNUMBER(L1608)),NOT(ISNUMBER(L1607)),(IF(ISNUMBER(G1608),G1608,F1608)-IF(ISNUMBER(G1607),G1607,F1607))=0),"",(L1608-L1607)/(IF(ISNUMBER(G1608),G1608,F1608)-IF(ISNUMBER(G1607),G1607,F1607)))</f>
        <v/>
      </c>
      <c r="W1608" s="30">
        <f>IF(NOT(AND(ISNUMBER(N1608),ISNUMBER(P1608))),"",(P1608-N1608)*1440)</f>
        <v/>
      </c>
      <c r="X1608" s="28" t="n"/>
      <c r="Y1608" s="28" t="n"/>
      <c r="Z1608" s="28" t="n"/>
      <c r="AA1608" s="31" t="n"/>
      <c r="AB1608" s="31" t="n"/>
    </row>
    <row r="1609">
      <c r="A1609" s="25" t="inlineStr">
        <is>
          <t>S31</t>
        </is>
      </c>
      <c r="B1609" s="25" t="inlineStr">
        <is>
          <t>언양 신규점3</t>
        </is>
      </c>
      <c r="C1609" s="25" t="inlineStr">
        <is>
          <t>S31-H북</t>
        </is>
      </c>
      <c r="D1609" s="25" t="inlineStr">
        <is>
          <t>측정</t>
        </is>
      </c>
      <c r="E1609" s="25" t="inlineStr">
        <is>
          <t>북</t>
        </is>
      </c>
      <c r="F1609" s="30" t="n">
        <v>4</v>
      </c>
      <c r="G1609" s="29" t="n"/>
      <c r="H1609" s="42" t="n"/>
      <c r="I1609" s="40" t="n"/>
      <c r="J1609" s="40" t="n"/>
      <c r="K1609" s="40" t="n"/>
      <c r="L1609" s="30">
        <f>IF(COUNT(I1609:K1609)=0,"",MEDIAN(I1609:K1609))</f>
        <v/>
      </c>
      <c r="M1609" s="25">
        <f>IF(COUNTIFS($C:$C,$C1609,$D:$D,"P0(전)",$L:$L,"&gt;0")&lt;&gt;1,"P0(전) 유효 1개 아님",IF(COUNTIFS($C:$C,$C1609,$D:$D,"P0(후)",$L:$L,"&gt;0")&lt;&gt;1,"P0(후) 유효 1개 아님",IF(NOT(AND(ISNUMBER(N1609),ISNUMBER(P1609),ISNUMBER(H1609))),"시각 결측",IF(P1609&lt;=N1609,"P0 시각 역전",IF(OR(H1609&lt;N1609,H1609&gt;P1609),"측정시각 구간 밖","OK")))))</f>
        <v/>
      </c>
      <c r="N1609" s="45">
        <f>IF(COUNTIFS($C:$C,$C1609,$D:$D,"P0(전)",$L:$L,"&gt;0")&lt;&gt;1,"",SUMIFS($H:$H,$C:$C,$C1609,$D:$D,"P0(전)"))</f>
        <v/>
      </c>
      <c r="O1609" s="30">
        <f>IF(COUNTIFS($C:$C,$C1609,$D:$D,"P0(전)",$L:$L,"&gt;0")&lt;&gt;1,"",SUMIFS($L:$L,$C:$C,$C1609,$D:$D,"P0(전)"))</f>
        <v/>
      </c>
      <c r="P1609" s="45">
        <f>IF(COUNTIFS($C:$C,$C1609,$D:$D,"P0(후)",$L:$L,"&gt;0")&lt;&gt;1,"",SUMIFS($H:$H,$C:$C,$C1609,$D:$D,"P0(후)"))</f>
        <v/>
      </c>
      <c r="Q1609" s="30">
        <f>IF(COUNTIFS($C:$C,$C1609,$D:$D,"P0(후)",$L:$L,"&gt;0")&lt;&gt;1,"",SUMIFS($L:$L,$C:$C,$C1609,$D:$D,"P0(후)"))</f>
        <v/>
      </c>
      <c r="R1609" s="30">
        <f>IF(M1609&lt;&gt;"OK","",O1609+(Q1609-O1609)*(H1609-N1609)/(P1609-N1609))</f>
        <v/>
      </c>
      <c r="S1609" s="30">
        <f>IF(OR(M1609&lt;&gt;"OK",NOT(ISNUMBER(L1609))),"",L1609-R1609)</f>
        <v/>
      </c>
      <c r="T1609" s="46">
        <f>IF(OR(NOT(ISNUMBER(S1609)),IF(ISNUMBER(G1609),G1609,F1609)=0),"",S1609/IF(ISNUMBER(G1609),G1609,F1609))</f>
        <v/>
      </c>
      <c r="U1609" s="46">
        <f>IF(ISNUMBER(T1609),ABS(T1609),"")</f>
        <v/>
      </c>
      <c r="V1609" s="46">
        <f>IF(OR($D1608&lt;&gt;"측정",$C1608&lt;&gt;$C1609,NOT(ISNUMBER(L1609)),NOT(ISNUMBER(L1608)),(IF(ISNUMBER(G1609),G1609,F1609)-IF(ISNUMBER(G1608),G1608,F1608))=0),"",(L1609-L1608)/(IF(ISNUMBER(G1609),G1609,F1609)-IF(ISNUMBER(G1608),G1608,F1608)))</f>
        <v/>
      </c>
      <c r="W1609" s="30">
        <f>IF(NOT(AND(ISNUMBER(N1609),ISNUMBER(P1609))),"",(P1609-N1609)*1440)</f>
        <v/>
      </c>
      <c r="X1609" s="28" t="n"/>
      <c r="Y1609" s="28" t="n"/>
      <c r="Z1609" s="28" t="n"/>
      <c r="AA1609" s="31" t="n"/>
      <c r="AB1609" s="31" t="n"/>
    </row>
    <row r="1610">
      <c r="A1610" s="25" t="inlineStr">
        <is>
          <t>S31</t>
        </is>
      </c>
      <c r="B1610" s="25" t="inlineStr">
        <is>
          <t>언양 신규점3</t>
        </is>
      </c>
      <c r="C1610" s="25" t="inlineStr">
        <is>
          <t>S31-H북</t>
        </is>
      </c>
      <c r="D1610" s="25" t="inlineStr">
        <is>
          <t>측정</t>
        </is>
      </c>
      <c r="E1610" s="25" t="inlineStr">
        <is>
          <t>북</t>
        </is>
      </c>
      <c r="F1610" s="30" t="n">
        <v>5</v>
      </c>
      <c r="G1610" s="29" t="n"/>
      <c r="H1610" s="42" t="n"/>
      <c r="I1610" s="40" t="n"/>
      <c r="J1610" s="40" t="n"/>
      <c r="K1610" s="40" t="n"/>
      <c r="L1610" s="30">
        <f>IF(COUNT(I1610:K1610)=0,"",MEDIAN(I1610:K1610))</f>
        <v/>
      </c>
      <c r="M1610" s="25">
        <f>IF(COUNTIFS($C:$C,$C1610,$D:$D,"P0(전)",$L:$L,"&gt;0")&lt;&gt;1,"P0(전) 유효 1개 아님",IF(COUNTIFS($C:$C,$C1610,$D:$D,"P0(후)",$L:$L,"&gt;0")&lt;&gt;1,"P0(후) 유효 1개 아님",IF(NOT(AND(ISNUMBER(N1610),ISNUMBER(P1610),ISNUMBER(H1610))),"시각 결측",IF(P1610&lt;=N1610,"P0 시각 역전",IF(OR(H1610&lt;N1610,H1610&gt;P1610),"측정시각 구간 밖","OK")))))</f>
        <v/>
      </c>
      <c r="N1610" s="45">
        <f>IF(COUNTIFS($C:$C,$C1610,$D:$D,"P0(전)",$L:$L,"&gt;0")&lt;&gt;1,"",SUMIFS($H:$H,$C:$C,$C1610,$D:$D,"P0(전)"))</f>
        <v/>
      </c>
      <c r="O1610" s="30">
        <f>IF(COUNTIFS($C:$C,$C1610,$D:$D,"P0(전)",$L:$L,"&gt;0")&lt;&gt;1,"",SUMIFS($L:$L,$C:$C,$C1610,$D:$D,"P0(전)"))</f>
        <v/>
      </c>
      <c r="P1610" s="45">
        <f>IF(COUNTIFS($C:$C,$C1610,$D:$D,"P0(후)",$L:$L,"&gt;0")&lt;&gt;1,"",SUMIFS($H:$H,$C:$C,$C1610,$D:$D,"P0(후)"))</f>
        <v/>
      </c>
      <c r="Q1610" s="30">
        <f>IF(COUNTIFS($C:$C,$C1610,$D:$D,"P0(후)",$L:$L,"&gt;0")&lt;&gt;1,"",SUMIFS($L:$L,$C:$C,$C1610,$D:$D,"P0(후)"))</f>
        <v/>
      </c>
      <c r="R1610" s="30">
        <f>IF(M1610&lt;&gt;"OK","",O1610+(Q1610-O1610)*(H1610-N1610)/(P1610-N1610))</f>
        <v/>
      </c>
      <c r="S1610" s="30">
        <f>IF(OR(M1610&lt;&gt;"OK",NOT(ISNUMBER(L1610))),"",L1610-R1610)</f>
        <v/>
      </c>
      <c r="T1610" s="46">
        <f>IF(OR(NOT(ISNUMBER(S1610)),IF(ISNUMBER(G1610),G1610,F1610)=0),"",S1610/IF(ISNUMBER(G1610),G1610,F1610))</f>
        <v/>
      </c>
      <c r="U1610" s="46">
        <f>IF(ISNUMBER(T1610),ABS(T1610),"")</f>
        <v/>
      </c>
      <c r="V1610" s="46">
        <f>IF(OR($D1609&lt;&gt;"측정",$C1609&lt;&gt;$C1610,NOT(ISNUMBER(L1610)),NOT(ISNUMBER(L1609)),(IF(ISNUMBER(G1610),G1610,F1610)-IF(ISNUMBER(G1609),G1609,F1609))=0),"",(L1610-L1609)/(IF(ISNUMBER(G1610),G1610,F1610)-IF(ISNUMBER(G1609),G1609,F1609)))</f>
        <v/>
      </c>
      <c r="W1610" s="30">
        <f>IF(NOT(AND(ISNUMBER(N1610),ISNUMBER(P1610))),"",(P1610-N1610)*1440)</f>
        <v/>
      </c>
      <c r="X1610" s="28" t="n"/>
      <c r="Y1610" s="28" t="n"/>
      <c r="Z1610" s="28" t="n"/>
      <c r="AA1610" s="31" t="n"/>
      <c r="AB1610" s="31" t="n"/>
    </row>
    <row r="1611">
      <c r="A1611" s="25" t="inlineStr">
        <is>
          <t>S31</t>
        </is>
      </c>
      <c r="B1611" s="25" t="inlineStr">
        <is>
          <t>언양 신규점3</t>
        </is>
      </c>
      <c r="C1611" s="25" t="inlineStr">
        <is>
          <t>S31-H북</t>
        </is>
      </c>
      <c r="D1611" s="25" t="inlineStr">
        <is>
          <t>측정</t>
        </is>
      </c>
      <c r="E1611" s="25" t="inlineStr">
        <is>
          <t>북</t>
        </is>
      </c>
      <c r="F1611" s="30" t="n">
        <v>6</v>
      </c>
      <c r="G1611" s="29" t="n"/>
      <c r="H1611" s="42" t="n"/>
      <c r="I1611" s="40" t="n"/>
      <c r="J1611" s="40" t="n"/>
      <c r="K1611" s="40" t="n"/>
      <c r="L1611" s="30">
        <f>IF(COUNT(I1611:K1611)=0,"",MEDIAN(I1611:K1611))</f>
        <v/>
      </c>
      <c r="M1611" s="25">
        <f>IF(COUNTIFS($C:$C,$C1611,$D:$D,"P0(전)",$L:$L,"&gt;0")&lt;&gt;1,"P0(전) 유효 1개 아님",IF(COUNTIFS($C:$C,$C1611,$D:$D,"P0(후)",$L:$L,"&gt;0")&lt;&gt;1,"P0(후) 유효 1개 아님",IF(NOT(AND(ISNUMBER(N1611),ISNUMBER(P1611),ISNUMBER(H1611))),"시각 결측",IF(P1611&lt;=N1611,"P0 시각 역전",IF(OR(H1611&lt;N1611,H1611&gt;P1611),"측정시각 구간 밖","OK")))))</f>
        <v/>
      </c>
      <c r="N1611" s="45">
        <f>IF(COUNTIFS($C:$C,$C1611,$D:$D,"P0(전)",$L:$L,"&gt;0")&lt;&gt;1,"",SUMIFS($H:$H,$C:$C,$C1611,$D:$D,"P0(전)"))</f>
        <v/>
      </c>
      <c r="O1611" s="30">
        <f>IF(COUNTIFS($C:$C,$C1611,$D:$D,"P0(전)",$L:$L,"&gt;0")&lt;&gt;1,"",SUMIFS($L:$L,$C:$C,$C1611,$D:$D,"P0(전)"))</f>
        <v/>
      </c>
      <c r="P1611" s="45">
        <f>IF(COUNTIFS($C:$C,$C1611,$D:$D,"P0(후)",$L:$L,"&gt;0")&lt;&gt;1,"",SUMIFS($H:$H,$C:$C,$C1611,$D:$D,"P0(후)"))</f>
        <v/>
      </c>
      <c r="Q1611" s="30">
        <f>IF(COUNTIFS($C:$C,$C1611,$D:$D,"P0(후)",$L:$L,"&gt;0")&lt;&gt;1,"",SUMIFS($L:$L,$C:$C,$C1611,$D:$D,"P0(후)"))</f>
        <v/>
      </c>
      <c r="R1611" s="30">
        <f>IF(M1611&lt;&gt;"OK","",O1611+(Q1611-O1611)*(H1611-N1611)/(P1611-N1611))</f>
        <v/>
      </c>
      <c r="S1611" s="30">
        <f>IF(OR(M1611&lt;&gt;"OK",NOT(ISNUMBER(L1611))),"",L1611-R1611)</f>
        <v/>
      </c>
      <c r="T1611" s="46">
        <f>IF(OR(NOT(ISNUMBER(S1611)),IF(ISNUMBER(G1611),G1611,F1611)=0),"",S1611/IF(ISNUMBER(G1611),G1611,F1611))</f>
        <v/>
      </c>
      <c r="U1611" s="46">
        <f>IF(ISNUMBER(T1611),ABS(T1611),"")</f>
        <v/>
      </c>
      <c r="V1611" s="46">
        <f>IF(OR($D1610&lt;&gt;"측정",$C1610&lt;&gt;$C1611,NOT(ISNUMBER(L1611)),NOT(ISNUMBER(L1610)),(IF(ISNUMBER(G1611),G1611,F1611)-IF(ISNUMBER(G1610),G1610,F1610))=0),"",(L1611-L1610)/(IF(ISNUMBER(G1611),G1611,F1611)-IF(ISNUMBER(G1610),G1610,F1610)))</f>
        <v/>
      </c>
      <c r="W1611" s="30">
        <f>IF(NOT(AND(ISNUMBER(N1611),ISNUMBER(P1611))),"",(P1611-N1611)*1440)</f>
        <v/>
      </c>
      <c r="X1611" s="28" t="n"/>
      <c r="Y1611" s="28" t="n"/>
      <c r="Z1611" s="28" t="n"/>
      <c r="AA1611" s="31" t="n"/>
      <c r="AB1611" s="31" t="n"/>
    </row>
    <row r="1612">
      <c r="A1612" s="25" t="inlineStr">
        <is>
          <t>S31</t>
        </is>
      </c>
      <c r="B1612" s="25" t="inlineStr">
        <is>
          <t>언양 신규점3</t>
        </is>
      </c>
      <c r="C1612" s="25" t="inlineStr">
        <is>
          <t>S31-H북</t>
        </is>
      </c>
      <c r="D1612" s="25" t="inlineStr">
        <is>
          <t>측정</t>
        </is>
      </c>
      <c r="E1612" s="25" t="inlineStr">
        <is>
          <t>북</t>
        </is>
      </c>
      <c r="F1612" s="30" t="n">
        <v>7</v>
      </c>
      <c r="G1612" s="29" t="n"/>
      <c r="H1612" s="42" t="n"/>
      <c r="I1612" s="40" t="n"/>
      <c r="J1612" s="40" t="n"/>
      <c r="K1612" s="40" t="n"/>
      <c r="L1612" s="30">
        <f>IF(COUNT(I1612:K1612)=0,"",MEDIAN(I1612:K1612))</f>
        <v/>
      </c>
      <c r="M1612" s="25">
        <f>IF(COUNTIFS($C:$C,$C1612,$D:$D,"P0(전)",$L:$L,"&gt;0")&lt;&gt;1,"P0(전) 유효 1개 아님",IF(COUNTIFS($C:$C,$C1612,$D:$D,"P0(후)",$L:$L,"&gt;0")&lt;&gt;1,"P0(후) 유효 1개 아님",IF(NOT(AND(ISNUMBER(N1612),ISNUMBER(P1612),ISNUMBER(H1612))),"시각 결측",IF(P1612&lt;=N1612,"P0 시각 역전",IF(OR(H1612&lt;N1612,H1612&gt;P1612),"측정시각 구간 밖","OK")))))</f>
        <v/>
      </c>
      <c r="N1612" s="45">
        <f>IF(COUNTIFS($C:$C,$C1612,$D:$D,"P0(전)",$L:$L,"&gt;0")&lt;&gt;1,"",SUMIFS($H:$H,$C:$C,$C1612,$D:$D,"P0(전)"))</f>
        <v/>
      </c>
      <c r="O1612" s="30">
        <f>IF(COUNTIFS($C:$C,$C1612,$D:$D,"P0(전)",$L:$L,"&gt;0")&lt;&gt;1,"",SUMIFS($L:$L,$C:$C,$C1612,$D:$D,"P0(전)"))</f>
        <v/>
      </c>
      <c r="P1612" s="45">
        <f>IF(COUNTIFS($C:$C,$C1612,$D:$D,"P0(후)",$L:$L,"&gt;0")&lt;&gt;1,"",SUMIFS($H:$H,$C:$C,$C1612,$D:$D,"P0(후)"))</f>
        <v/>
      </c>
      <c r="Q1612" s="30">
        <f>IF(COUNTIFS($C:$C,$C1612,$D:$D,"P0(후)",$L:$L,"&gt;0")&lt;&gt;1,"",SUMIFS($L:$L,$C:$C,$C1612,$D:$D,"P0(후)"))</f>
        <v/>
      </c>
      <c r="R1612" s="30">
        <f>IF(M1612&lt;&gt;"OK","",O1612+(Q1612-O1612)*(H1612-N1612)/(P1612-N1612))</f>
        <v/>
      </c>
      <c r="S1612" s="30">
        <f>IF(OR(M1612&lt;&gt;"OK",NOT(ISNUMBER(L1612))),"",L1612-R1612)</f>
        <v/>
      </c>
      <c r="T1612" s="46">
        <f>IF(OR(NOT(ISNUMBER(S1612)),IF(ISNUMBER(G1612),G1612,F1612)=0),"",S1612/IF(ISNUMBER(G1612),G1612,F1612))</f>
        <v/>
      </c>
      <c r="U1612" s="46">
        <f>IF(ISNUMBER(T1612),ABS(T1612),"")</f>
        <v/>
      </c>
      <c r="V1612" s="46">
        <f>IF(OR($D1611&lt;&gt;"측정",$C1611&lt;&gt;$C1612,NOT(ISNUMBER(L1612)),NOT(ISNUMBER(L1611)),(IF(ISNUMBER(G1612),G1612,F1612)-IF(ISNUMBER(G1611),G1611,F1611))=0),"",(L1612-L1611)/(IF(ISNUMBER(G1612),G1612,F1612)-IF(ISNUMBER(G1611),G1611,F1611)))</f>
        <v/>
      </c>
      <c r="W1612" s="30">
        <f>IF(NOT(AND(ISNUMBER(N1612),ISNUMBER(P1612))),"",(P1612-N1612)*1440)</f>
        <v/>
      </c>
      <c r="X1612" s="28" t="n"/>
      <c r="Y1612" s="28" t="n"/>
      <c r="Z1612" s="28" t="n"/>
      <c r="AA1612" s="31" t="n"/>
      <c r="AB1612" s="31" t="n"/>
    </row>
    <row r="1613">
      <c r="A1613" s="25" t="inlineStr">
        <is>
          <t>S31</t>
        </is>
      </c>
      <c r="B1613" s="25" t="inlineStr">
        <is>
          <t>언양 신규점3</t>
        </is>
      </c>
      <c r="C1613" s="25" t="inlineStr">
        <is>
          <t>S31-H북</t>
        </is>
      </c>
      <c r="D1613" s="25" t="inlineStr">
        <is>
          <t>측정</t>
        </is>
      </c>
      <c r="E1613" s="25" t="inlineStr">
        <is>
          <t>북</t>
        </is>
      </c>
      <c r="F1613" s="30" t="n">
        <v>8</v>
      </c>
      <c r="G1613" s="29" t="n"/>
      <c r="H1613" s="42" t="n"/>
      <c r="I1613" s="40" t="n"/>
      <c r="J1613" s="40" t="n"/>
      <c r="K1613" s="40" t="n"/>
      <c r="L1613" s="30">
        <f>IF(COUNT(I1613:K1613)=0,"",MEDIAN(I1613:K1613))</f>
        <v/>
      </c>
      <c r="M1613" s="25">
        <f>IF(COUNTIFS($C:$C,$C1613,$D:$D,"P0(전)",$L:$L,"&gt;0")&lt;&gt;1,"P0(전) 유효 1개 아님",IF(COUNTIFS($C:$C,$C1613,$D:$D,"P0(후)",$L:$L,"&gt;0")&lt;&gt;1,"P0(후) 유효 1개 아님",IF(NOT(AND(ISNUMBER(N1613),ISNUMBER(P1613),ISNUMBER(H1613))),"시각 결측",IF(P1613&lt;=N1613,"P0 시각 역전",IF(OR(H1613&lt;N1613,H1613&gt;P1613),"측정시각 구간 밖","OK")))))</f>
        <v/>
      </c>
      <c r="N1613" s="45">
        <f>IF(COUNTIFS($C:$C,$C1613,$D:$D,"P0(전)",$L:$L,"&gt;0")&lt;&gt;1,"",SUMIFS($H:$H,$C:$C,$C1613,$D:$D,"P0(전)"))</f>
        <v/>
      </c>
      <c r="O1613" s="30">
        <f>IF(COUNTIFS($C:$C,$C1613,$D:$D,"P0(전)",$L:$L,"&gt;0")&lt;&gt;1,"",SUMIFS($L:$L,$C:$C,$C1613,$D:$D,"P0(전)"))</f>
        <v/>
      </c>
      <c r="P1613" s="45">
        <f>IF(COUNTIFS($C:$C,$C1613,$D:$D,"P0(후)",$L:$L,"&gt;0")&lt;&gt;1,"",SUMIFS($H:$H,$C:$C,$C1613,$D:$D,"P0(후)"))</f>
        <v/>
      </c>
      <c r="Q1613" s="30">
        <f>IF(COUNTIFS($C:$C,$C1613,$D:$D,"P0(후)",$L:$L,"&gt;0")&lt;&gt;1,"",SUMIFS($L:$L,$C:$C,$C1613,$D:$D,"P0(후)"))</f>
        <v/>
      </c>
      <c r="R1613" s="30">
        <f>IF(M1613&lt;&gt;"OK","",O1613+(Q1613-O1613)*(H1613-N1613)/(P1613-N1613))</f>
        <v/>
      </c>
      <c r="S1613" s="30">
        <f>IF(OR(M1613&lt;&gt;"OK",NOT(ISNUMBER(L1613))),"",L1613-R1613)</f>
        <v/>
      </c>
      <c r="T1613" s="46">
        <f>IF(OR(NOT(ISNUMBER(S1613)),IF(ISNUMBER(G1613),G1613,F1613)=0),"",S1613/IF(ISNUMBER(G1613),G1613,F1613))</f>
        <v/>
      </c>
      <c r="U1613" s="46">
        <f>IF(ISNUMBER(T1613),ABS(T1613),"")</f>
        <v/>
      </c>
      <c r="V1613" s="46">
        <f>IF(OR($D1612&lt;&gt;"측정",$C1612&lt;&gt;$C1613,NOT(ISNUMBER(L1613)),NOT(ISNUMBER(L1612)),(IF(ISNUMBER(G1613),G1613,F1613)-IF(ISNUMBER(G1612),G1612,F1612))=0),"",(L1613-L1612)/(IF(ISNUMBER(G1613),G1613,F1613)-IF(ISNUMBER(G1612),G1612,F1612)))</f>
        <v/>
      </c>
      <c r="W1613" s="30">
        <f>IF(NOT(AND(ISNUMBER(N1613),ISNUMBER(P1613))),"",(P1613-N1613)*1440)</f>
        <v/>
      </c>
      <c r="X1613" s="28" t="n"/>
      <c r="Y1613" s="28" t="n"/>
      <c r="Z1613" s="28" t="n"/>
      <c r="AA1613" s="31" t="n"/>
      <c r="AB1613" s="31" t="n"/>
    </row>
    <row r="1614">
      <c r="A1614" s="25" t="inlineStr">
        <is>
          <t>S31</t>
        </is>
      </c>
      <c r="B1614" s="25" t="inlineStr">
        <is>
          <t>언양 신규점3</t>
        </is>
      </c>
      <c r="C1614" s="25" t="inlineStr">
        <is>
          <t>S31-H북</t>
        </is>
      </c>
      <c r="D1614" s="25" t="inlineStr">
        <is>
          <t>측정</t>
        </is>
      </c>
      <c r="E1614" s="25" t="inlineStr">
        <is>
          <t>북</t>
        </is>
      </c>
      <c r="F1614" s="30" t="n">
        <v>9</v>
      </c>
      <c r="G1614" s="29" t="n"/>
      <c r="H1614" s="42" t="n"/>
      <c r="I1614" s="40" t="n"/>
      <c r="J1614" s="40" t="n"/>
      <c r="K1614" s="40" t="n"/>
      <c r="L1614" s="30">
        <f>IF(COUNT(I1614:K1614)=0,"",MEDIAN(I1614:K1614))</f>
        <v/>
      </c>
      <c r="M1614" s="25">
        <f>IF(COUNTIFS($C:$C,$C1614,$D:$D,"P0(전)",$L:$L,"&gt;0")&lt;&gt;1,"P0(전) 유효 1개 아님",IF(COUNTIFS($C:$C,$C1614,$D:$D,"P0(후)",$L:$L,"&gt;0")&lt;&gt;1,"P0(후) 유효 1개 아님",IF(NOT(AND(ISNUMBER(N1614),ISNUMBER(P1614),ISNUMBER(H1614))),"시각 결측",IF(P1614&lt;=N1614,"P0 시각 역전",IF(OR(H1614&lt;N1614,H1614&gt;P1614),"측정시각 구간 밖","OK")))))</f>
        <v/>
      </c>
      <c r="N1614" s="45">
        <f>IF(COUNTIFS($C:$C,$C1614,$D:$D,"P0(전)",$L:$L,"&gt;0")&lt;&gt;1,"",SUMIFS($H:$H,$C:$C,$C1614,$D:$D,"P0(전)"))</f>
        <v/>
      </c>
      <c r="O1614" s="30">
        <f>IF(COUNTIFS($C:$C,$C1614,$D:$D,"P0(전)",$L:$L,"&gt;0")&lt;&gt;1,"",SUMIFS($L:$L,$C:$C,$C1614,$D:$D,"P0(전)"))</f>
        <v/>
      </c>
      <c r="P1614" s="45">
        <f>IF(COUNTIFS($C:$C,$C1614,$D:$D,"P0(후)",$L:$L,"&gt;0")&lt;&gt;1,"",SUMIFS($H:$H,$C:$C,$C1614,$D:$D,"P0(후)"))</f>
        <v/>
      </c>
      <c r="Q1614" s="30">
        <f>IF(COUNTIFS($C:$C,$C1614,$D:$D,"P0(후)",$L:$L,"&gt;0")&lt;&gt;1,"",SUMIFS($L:$L,$C:$C,$C1614,$D:$D,"P0(후)"))</f>
        <v/>
      </c>
      <c r="R1614" s="30">
        <f>IF(M1614&lt;&gt;"OK","",O1614+(Q1614-O1614)*(H1614-N1614)/(P1614-N1614))</f>
        <v/>
      </c>
      <c r="S1614" s="30">
        <f>IF(OR(M1614&lt;&gt;"OK",NOT(ISNUMBER(L1614))),"",L1614-R1614)</f>
        <v/>
      </c>
      <c r="T1614" s="46">
        <f>IF(OR(NOT(ISNUMBER(S1614)),IF(ISNUMBER(G1614),G1614,F1614)=0),"",S1614/IF(ISNUMBER(G1614),G1614,F1614))</f>
        <v/>
      </c>
      <c r="U1614" s="46">
        <f>IF(ISNUMBER(T1614),ABS(T1614),"")</f>
        <v/>
      </c>
      <c r="V1614" s="46">
        <f>IF(OR($D1613&lt;&gt;"측정",$C1613&lt;&gt;$C1614,NOT(ISNUMBER(L1614)),NOT(ISNUMBER(L1613)),(IF(ISNUMBER(G1614),G1614,F1614)-IF(ISNUMBER(G1613),G1613,F1613))=0),"",(L1614-L1613)/(IF(ISNUMBER(G1614),G1614,F1614)-IF(ISNUMBER(G1613),G1613,F1613)))</f>
        <v/>
      </c>
      <c r="W1614" s="30">
        <f>IF(NOT(AND(ISNUMBER(N1614),ISNUMBER(P1614))),"",(P1614-N1614)*1440)</f>
        <v/>
      </c>
      <c r="X1614" s="28" t="n"/>
      <c r="Y1614" s="28" t="n"/>
      <c r="Z1614" s="28" t="n"/>
      <c r="AA1614" s="31" t="n"/>
      <c r="AB1614" s="31" t="n"/>
    </row>
    <row r="1615">
      <c r="A1615" s="25" t="inlineStr">
        <is>
          <t>S31</t>
        </is>
      </c>
      <c r="B1615" s="25" t="inlineStr">
        <is>
          <t>언양 신규점3</t>
        </is>
      </c>
      <c r="C1615" s="25" t="inlineStr">
        <is>
          <t>S31-H북</t>
        </is>
      </c>
      <c r="D1615" s="25" t="inlineStr">
        <is>
          <t>측정</t>
        </is>
      </c>
      <c r="E1615" s="25" t="inlineStr">
        <is>
          <t>북</t>
        </is>
      </c>
      <c r="F1615" s="30" t="n">
        <v>10</v>
      </c>
      <c r="G1615" s="29" t="n"/>
      <c r="H1615" s="42" t="n"/>
      <c r="I1615" s="40" t="n"/>
      <c r="J1615" s="40" t="n"/>
      <c r="K1615" s="40" t="n"/>
      <c r="L1615" s="30">
        <f>IF(COUNT(I1615:K1615)=0,"",MEDIAN(I1615:K1615))</f>
        <v/>
      </c>
      <c r="M1615" s="25">
        <f>IF(COUNTIFS($C:$C,$C1615,$D:$D,"P0(전)",$L:$L,"&gt;0")&lt;&gt;1,"P0(전) 유효 1개 아님",IF(COUNTIFS($C:$C,$C1615,$D:$D,"P0(후)",$L:$L,"&gt;0")&lt;&gt;1,"P0(후) 유효 1개 아님",IF(NOT(AND(ISNUMBER(N1615),ISNUMBER(P1615),ISNUMBER(H1615))),"시각 결측",IF(P1615&lt;=N1615,"P0 시각 역전",IF(OR(H1615&lt;N1615,H1615&gt;P1615),"측정시각 구간 밖","OK")))))</f>
        <v/>
      </c>
      <c r="N1615" s="45">
        <f>IF(COUNTIFS($C:$C,$C1615,$D:$D,"P0(전)",$L:$L,"&gt;0")&lt;&gt;1,"",SUMIFS($H:$H,$C:$C,$C1615,$D:$D,"P0(전)"))</f>
        <v/>
      </c>
      <c r="O1615" s="30">
        <f>IF(COUNTIFS($C:$C,$C1615,$D:$D,"P0(전)",$L:$L,"&gt;0")&lt;&gt;1,"",SUMIFS($L:$L,$C:$C,$C1615,$D:$D,"P0(전)"))</f>
        <v/>
      </c>
      <c r="P1615" s="45">
        <f>IF(COUNTIFS($C:$C,$C1615,$D:$D,"P0(후)",$L:$L,"&gt;0")&lt;&gt;1,"",SUMIFS($H:$H,$C:$C,$C1615,$D:$D,"P0(후)"))</f>
        <v/>
      </c>
      <c r="Q1615" s="30">
        <f>IF(COUNTIFS($C:$C,$C1615,$D:$D,"P0(후)",$L:$L,"&gt;0")&lt;&gt;1,"",SUMIFS($L:$L,$C:$C,$C1615,$D:$D,"P0(후)"))</f>
        <v/>
      </c>
      <c r="R1615" s="30">
        <f>IF(M1615&lt;&gt;"OK","",O1615+(Q1615-O1615)*(H1615-N1615)/(P1615-N1615))</f>
        <v/>
      </c>
      <c r="S1615" s="30">
        <f>IF(OR(M1615&lt;&gt;"OK",NOT(ISNUMBER(L1615))),"",L1615-R1615)</f>
        <v/>
      </c>
      <c r="T1615" s="46">
        <f>IF(OR(NOT(ISNUMBER(S1615)),IF(ISNUMBER(G1615),G1615,F1615)=0),"",S1615/IF(ISNUMBER(G1615),G1615,F1615))</f>
        <v/>
      </c>
      <c r="U1615" s="46">
        <f>IF(ISNUMBER(T1615),ABS(T1615),"")</f>
        <v/>
      </c>
      <c r="V1615" s="46">
        <f>IF(OR($D1614&lt;&gt;"측정",$C1614&lt;&gt;$C1615,NOT(ISNUMBER(L1615)),NOT(ISNUMBER(L1614)),(IF(ISNUMBER(G1615),G1615,F1615)-IF(ISNUMBER(G1614),G1614,F1614))=0),"",(L1615-L1614)/(IF(ISNUMBER(G1615),G1615,F1615)-IF(ISNUMBER(G1614),G1614,F1614)))</f>
        <v/>
      </c>
      <c r="W1615" s="30">
        <f>IF(NOT(AND(ISNUMBER(N1615),ISNUMBER(P1615))),"",(P1615-N1615)*1440)</f>
        <v/>
      </c>
      <c r="X1615" s="28" t="n"/>
      <c r="Y1615" s="28" t="n"/>
      <c r="Z1615" s="28" t="n"/>
      <c r="AA1615" s="31" t="n"/>
      <c r="AB1615" s="31" t="n"/>
    </row>
    <row r="1616">
      <c r="A1616" s="43" t="inlineStr">
        <is>
          <t>S31</t>
        </is>
      </c>
      <c r="B1616" s="43" t="inlineStr">
        <is>
          <t>언양 신규점3</t>
        </is>
      </c>
      <c r="C1616" s="43" t="inlineStr">
        <is>
          <t>S31-H북</t>
        </is>
      </c>
      <c r="D1616" s="43" t="inlineStr">
        <is>
          <t>P0(후)</t>
        </is>
      </c>
      <c r="E1616" s="43" t="inlineStr">
        <is>
          <t>북</t>
        </is>
      </c>
      <c r="F1616" s="44" t="n"/>
      <c r="G1616" s="29" t="n"/>
      <c r="H1616" s="42" t="n"/>
      <c r="I1616" s="40" t="n"/>
      <c r="J1616" s="40" t="n"/>
      <c r="K1616" s="40" t="n"/>
      <c r="L1616" s="30">
        <f>IF(COUNT(I1616:K1616)=0,"",MEDIAN(I1616:K1616))</f>
        <v/>
      </c>
      <c r="M1616" s="37" t="n"/>
      <c r="N1616" s="37" t="n"/>
      <c r="O1616" s="37" t="n"/>
      <c r="P1616" s="37" t="n"/>
      <c r="Q1616" s="37" t="n"/>
      <c r="R1616" s="37" t="n"/>
      <c r="S1616" s="37" t="n"/>
      <c r="T1616" s="37" t="n"/>
      <c r="U1616" s="37" t="n"/>
      <c r="V1616" s="37" t="n"/>
      <c r="W1616" s="37" t="n"/>
      <c r="X1616" s="28" t="n"/>
      <c r="Y1616" s="28" t="n"/>
      <c r="Z1616" s="28" t="n"/>
      <c r="AA1616" s="31" t="n"/>
      <c r="AB1616" s="31" t="n"/>
    </row>
    <row r="1617">
      <c r="A1617" s="43" t="inlineStr">
        <is>
          <t>S32</t>
        </is>
      </c>
      <c r="B1617" s="43" t="inlineStr">
        <is>
          <t>함양 신규점</t>
        </is>
      </c>
      <c r="C1617" s="43" t="inlineStr">
        <is>
          <t>S32-H동</t>
        </is>
      </c>
      <c r="D1617" s="43" t="inlineStr">
        <is>
          <t>P0(전)</t>
        </is>
      </c>
      <c r="E1617" s="43" t="inlineStr">
        <is>
          <t>동</t>
        </is>
      </c>
      <c r="F1617" s="44" t="n"/>
      <c r="G1617" s="29" t="n"/>
      <c r="H1617" s="42" t="n"/>
      <c r="I1617" s="40" t="n"/>
      <c r="J1617" s="40" t="n"/>
      <c r="K1617" s="40" t="n"/>
      <c r="L1617" s="30">
        <f>IF(COUNT(I1617:K1617)=0,"",MEDIAN(I1617:K1617))</f>
        <v/>
      </c>
      <c r="M1617" s="37" t="n"/>
      <c r="N1617" s="37" t="n"/>
      <c r="O1617" s="37" t="n"/>
      <c r="P1617" s="37" t="n"/>
      <c r="Q1617" s="37" t="n"/>
      <c r="R1617" s="37" t="n"/>
      <c r="S1617" s="37" t="n"/>
      <c r="T1617" s="37" t="n"/>
      <c r="U1617" s="37" t="n"/>
      <c r="V1617" s="37" t="n"/>
      <c r="W1617" s="37" t="n"/>
      <c r="X1617" s="28" t="n"/>
      <c r="Y1617" s="28" t="n"/>
      <c r="Z1617" s="28" t="n"/>
      <c r="AA1617" s="31" t="n"/>
      <c r="AB1617" s="31" t="n"/>
    </row>
    <row r="1618">
      <c r="A1618" s="25" t="inlineStr">
        <is>
          <t>S32</t>
        </is>
      </c>
      <c r="B1618" s="25" t="inlineStr">
        <is>
          <t>함양 신규점</t>
        </is>
      </c>
      <c r="C1618" s="25" t="inlineStr">
        <is>
          <t>S32-H동</t>
        </is>
      </c>
      <c r="D1618" s="25" t="inlineStr">
        <is>
          <t>측정</t>
        </is>
      </c>
      <c r="E1618" s="25" t="inlineStr">
        <is>
          <t>동</t>
        </is>
      </c>
      <c r="F1618" s="30" t="n">
        <v>0.5</v>
      </c>
      <c r="G1618" s="29" t="n"/>
      <c r="H1618" s="42" t="n"/>
      <c r="I1618" s="40" t="n"/>
      <c r="J1618" s="40" t="n"/>
      <c r="K1618" s="40" t="n"/>
      <c r="L1618" s="30">
        <f>IF(COUNT(I1618:K1618)=0,"",MEDIAN(I1618:K1618))</f>
        <v/>
      </c>
      <c r="M1618" s="25">
        <f>IF(COUNTIFS($C:$C,$C1618,$D:$D,"P0(전)",$L:$L,"&gt;0")&lt;&gt;1,"P0(전) 유효 1개 아님",IF(COUNTIFS($C:$C,$C1618,$D:$D,"P0(후)",$L:$L,"&gt;0")&lt;&gt;1,"P0(후) 유효 1개 아님",IF(NOT(AND(ISNUMBER(N1618),ISNUMBER(P1618),ISNUMBER(H1618))),"시각 결측",IF(P1618&lt;=N1618,"P0 시각 역전",IF(OR(H1618&lt;N1618,H1618&gt;P1618),"측정시각 구간 밖","OK")))))</f>
        <v/>
      </c>
      <c r="N1618" s="45">
        <f>IF(COUNTIFS($C:$C,$C1618,$D:$D,"P0(전)",$L:$L,"&gt;0")&lt;&gt;1,"",SUMIFS($H:$H,$C:$C,$C1618,$D:$D,"P0(전)"))</f>
        <v/>
      </c>
      <c r="O1618" s="30">
        <f>IF(COUNTIFS($C:$C,$C1618,$D:$D,"P0(전)",$L:$L,"&gt;0")&lt;&gt;1,"",SUMIFS($L:$L,$C:$C,$C1618,$D:$D,"P0(전)"))</f>
        <v/>
      </c>
      <c r="P1618" s="45">
        <f>IF(COUNTIFS($C:$C,$C1618,$D:$D,"P0(후)",$L:$L,"&gt;0")&lt;&gt;1,"",SUMIFS($H:$H,$C:$C,$C1618,$D:$D,"P0(후)"))</f>
        <v/>
      </c>
      <c r="Q1618" s="30">
        <f>IF(COUNTIFS($C:$C,$C1618,$D:$D,"P0(후)",$L:$L,"&gt;0")&lt;&gt;1,"",SUMIFS($L:$L,$C:$C,$C1618,$D:$D,"P0(후)"))</f>
        <v/>
      </c>
      <c r="R1618" s="30">
        <f>IF(M1618&lt;&gt;"OK","",O1618+(Q1618-O1618)*(H1618-N1618)/(P1618-N1618))</f>
        <v/>
      </c>
      <c r="S1618" s="30">
        <f>IF(OR(M1618&lt;&gt;"OK",NOT(ISNUMBER(L1618))),"",L1618-R1618)</f>
        <v/>
      </c>
      <c r="T1618" s="46">
        <f>IF(OR(NOT(ISNUMBER(S1618)),IF(ISNUMBER(G1618),G1618,F1618)=0),"",S1618/IF(ISNUMBER(G1618),G1618,F1618))</f>
        <v/>
      </c>
      <c r="U1618" s="46">
        <f>IF(ISNUMBER(T1618),ABS(T1618),"")</f>
        <v/>
      </c>
      <c r="V1618" s="46">
        <f>IF(OR($D1617&lt;&gt;"측정",$C1617&lt;&gt;$C1618,NOT(ISNUMBER(L1618)),NOT(ISNUMBER(L1617)),(IF(ISNUMBER(G1618),G1618,F1618)-IF(ISNUMBER(G1617),G1617,F1617))=0),"",(L1618-L1617)/(IF(ISNUMBER(G1618),G1618,F1618)-IF(ISNUMBER(G1617),G1617,F1617)))</f>
        <v/>
      </c>
      <c r="W1618" s="30">
        <f>IF(NOT(AND(ISNUMBER(N1618),ISNUMBER(P1618))),"",(P1618-N1618)*1440)</f>
        <v/>
      </c>
      <c r="X1618" s="28" t="n"/>
      <c r="Y1618" s="28" t="n"/>
      <c r="Z1618" s="28" t="n"/>
      <c r="AA1618" s="31" t="n"/>
      <c r="AB1618" s="31" t="n"/>
    </row>
    <row r="1619">
      <c r="A1619" s="25" t="inlineStr">
        <is>
          <t>S32</t>
        </is>
      </c>
      <c r="B1619" s="25" t="inlineStr">
        <is>
          <t>함양 신규점</t>
        </is>
      </c>
      <c r="C1619" s="25" t="inlineStr">
        <is>
          <t>S32-H동</t>
        </is>
      </c>
      <c r="D1619" s="25" t="inlineStr">
        <is>
          <t>측정</t>
        </is>
      </c>
      <c r="E1619" s="25" t="inlineStr">
        <is>
          <t>동</t>
        </is>
      </c>
      <c r="F1619" s="30" t="n">
        <v>1</v>
      </c>
      <c r="G1619" s="29" t="n"/>
      <c r="H1619" s="42" t="n"/>
      <c r="I1619" s="40" t="n"/>
      <c r="J1619" s="40" t="n"/>
      <c r="K1619" s="40" t="n"/>
      <c r="L1619" s="30">
        <f>IF(COUNT(I1619:K1619)=0,"",MEDIAN(I1619:K1619))</f>
        <v/>
      </c>
      <c r="M1619" s="25">
        <f>IF(COUNTIFS($C:$C,$C1619,$D:$D,"P0(전)",$L:$L,"&gt;0")&lt;&gt;1,"P0(전) 유효 1개 아님",IF(COUNTIFS($C:$C,$C1619,$D:$D,"P0(후)",$L:$L,"&gt;0")&lt;&gt;1,"P0(후) 유효 1개 아님",IF(NOT(AND(ISNUMBER(N1619),ISNUMBER(P1619),ISNUMBER(H1619))),"시각 결측",IF(P1619&lt;=N1619,"P0 시각 역전",IF(OR(H1619&lt;N1619,H1619&gt;P1619),"측정시각 구간 밖","OK")))))</f>
        <v/>
      </c>
      <c r="N1619" s="45">
        <f>IF(COUNTIFS($C:$C,$C1619,$D:$D,"P0(전)",$L:$L,"&gt;0")&lt;&gt;1,"",SUMIFS($H:$H,$C:$C,$C1619,$D:$D,"P0(전)"))</f>
        <v/>
      </c>
      <c r="O1619" s="30">
        <f>IF(COUNTIFS($C:$C,$C1619,$D:$D,"P0(전)",$L:$L,"&gt;0")&lt;&gt;1,"",SUMIFS($L:$L,$C:$C,$C1619,$D:$D,"P0(전)"))</f>
        <v/>
      </c>
      <c r="P1619" s="45">
        <f>IF(COUNTIFS($C:$C,$C1619,$D:$D,"P0(후)",$L:$L,"&gt;0")&lt;&gt;1,"",SUMIFS($H:$H,$C:$C,$C1619,$D:$D,"P0(후)"))</f>
        <v/>
      </c>
      <c r="Q1619" s="30">
        <f>IF(COUNTIFS($C:$C,$C1619,$D:$D,"P0(후)",$L:$L,"&gt;0")&lt;&gt;1,"",SUMIFS($L:$L,$C:$C,$C1619,$D:$D,"P0(후)"))</f>
        <v/>
      </c>
      <c r="R1619" s="30">
        <f>IF(M1619&lt;&gt;"OK","",O1619+(Q1619-O1619)*(H1619-N1619)/(P1619-N1619))</f>
        <v/>
      </c>
      <c r="S1619" s="30">
        <f>IF(OR(M1619&lt;&gt;"OK",NOT(ISNUMBER(L1619))),"",L1619-R1619)</f>
        <v/>
      </c>
      <c r="T1619" s="46">
        <f>IF(OR(NOT(ISNUMBER(S1619)),IF(ISNUMBER(G1619),G1619,F1619)=0),"",S1619/IF(ISNUMBER(G1619),G1619,F1619))</f>
        <v/>
      </c>
      <c r="U1619" s="46">
        <f>IF(ISNUMBER(T1619),ABS(T1619),"")</f>
        <v/>
      </c>
      <c r="V1619" s="46">
        <f>IF(OR($D1618&lt;&gt;"측정",$C1618&lt;&gt;$C1619,NOT(ISNUMBER(L1619)),NOT(ISNUMBER(L1618)),(IF(ISNUMBER(G1619),G1619,F1619)-IF(ISNUMBER(G1618),G1618,F1618))=0),"",(L1619-L1618)/(IF(ISNUMBER(G1619),G1619,F1619)-IF(ISNUMBER(G1618),G1618,F1618)))</f>
        <v/>
      </c>
      <c r="W1619" s="30">
        <f>IF(NOT(AND(ISNUMBER(N1619),ISNUMBER(P1619))),"",(P1619-N1619)*1440)</f>
        <v/>
      </c>
      <c r="X1619" s="28" t="n"/>
      <c r="Y1619" s="28" t="n"/>
      <c r="Z1619" s="28" t="n"/>
      <c r="AA1619" s="31" t="n"/>
      <c r="AB1619" s="31" t="n"/>
    </row>
    <row r="1620">
      <c r="A1620" s="25" t="inlineStr">
        <is>
          <t>S32</t>
        </is>
      </c>
      <c r="B1620" s="25" t="inlineStr">
        <is>
          <t>함양 신규점</t>
        </is>
      </c>
      <c r="C1620" s="25" t="inlineStr">
        <is>
          <t>S32-H동</t>
        </is>
      </c>
      <c r="D1620" s="25" t="inlineStr">
        <is>
          <t>측정</t>
        </is>
      </c>
      <c r="E1620" s="25" t="inlineStr">
        <is>
          <t>동</t>
        </is>
      </c>
      <c r="F1620" s="30" t="n">
        <v>2</v>
      </c>
      <c r="G1620" s="29" t="n"/>
      <c r="H1620" s="42" t="n"/>
      <c r="I1620" s="40" t="n"/>
      <c r="J1620" s="40" t="n"/>
      <c r="K1620" s="40" t="n"/>
      <c r="L1620" s="30">
        <f>IF(COUNT(I1620:K1620)=0,"",MEDIAN(I1620:K1620))</f>
        <v/>
      </c>
      <c r="M1620" s="25">
        <f>IF(COUNTIFS($C:$C,$C1620,$D:$D,"P0(전)",$L:$L,"&gt;0")&lt;&gt;1,"P0(전) 유효 1개 아님",IF(COUNTIFS($C:$C,$C1620,$D:$D,"P0(후)",$L:$L,"&gt;0")&lt;&gt;1,"P0(후) 유효 1개 아님",IF(NOT(AND(ISNUMBER(N1620),ISNUMBER(P1620),ISNUMBER(H1620))),"시각 결측",IF(P1620&lt;=N1620,"P0 시각 역전",IF(OR(H1620&lt;N1620,H1620&gt;P1620),"측정시각 구간 밖","OK")))))</f>
        <v/>
      </c>
      <c r="N1620" s="45">
        <f>IF(COUNTIFS($C:$C,$C1620,$D:$D,"P0(전)",$L:$L,"&gt;0")&lt;&gt;1,"",SUMIFS($H:$H,$C:$C,$C1620,$D:$D,"P0(전)"))</f>
        <v/>
      </c>
      <c r="O1620" s="30">
        <f>IF(COUNTIFS($C:$C,$C1620,$D:$D,"P0(전)",$L:$L,"&gt;0")&lt;&gt;1,"",SUMIFS($L:$L,$C:$C,$C1620,$D:$D,"P0(전)"))</f>
        <v/>
      </c>
      <c r="P1620" s="45">
        <f>IF(COUNTIFS($C:$C,$C1620,$D:$D,"P0(후)",$L:$L,"&gt;0")&lt;&gt;1,"",SUMIFS($H:$H,$C:$C,$C1620,$D:$D,"P0(후)"))</f>
        <v/>
      </c>
      <c r="Q1620" s="30">
        <f>IF(COUNTIFS($C:$C,$C1620,$D:$D,"P0(후)",$L:$L,"&gt;0")&lt;&gt;1,"",SUMIFS($L:$L,$C:$C,$C1620,$D:$D,"P0(후)"))</f>
        <v/>
      </c>
      <c r="R1620" s="30">
        <f>IF(M1620&lt;&gt;"OK","",O1620+(Q1620-O1620)*(H1620-N1620)/(P1620-N1620))</f>
        <v/>
      </c>
      <c r="S1620" s="30">
        <f>IF(OR(M1620&lt;&gt;"OK",NOT(ISNUMBER(L1620))),"",L1620-R1620)</f>
        <v/>
      </c>
      <c r="T1620" s="46">
        <f>IF(OR(NOT(ISNUMBER(S1620)),IF(ISNUMBER(G1620),G1620,F1620)=0),"",S1620/IF(ISNUMBER(G1620),G1620,F1620))</f>
        <v/>
      </c>
      <c r="U1620" s="46">
        <f>IF(ISNUMBER(T1620),ABS(T1620),"")</f>
        <v/>
      </c>
      <c r="V1620" s="46">
        <f>IF(OR($D1619&lt;&gt;"측정",$C1619&lt;&gt;$C1620,NOT(ISNUMBER(L1620)),NOT(ISNUMBER(L1619)),(IF(ISNUMBER(G1620),G1620,F1620)-IF(ISNUMBER(G1619),G1619,F1619))=0),"",(L1620-L1619)/(IF(ISNUMBER(G1620),G1620,F1620)-IF(ISNUMBER(G1619),G1619,F1619)))</f>
        <v/>
      </c>
      <c r="W1620" s="30">
        <f>IF(NOT(AND(ISNUMBER(N1620),ISNUMBER(P1620))),"",(P1620-N1620)*1440)</f>
        <v/>
      </c>
      <c r="X1620" s="28" t="n"/>
      <c r="Y1620" s="28" t="n"/>
      <c r="Z1620" s="28" t="n"/>
      <c r="AA1620" s="31" t="n"/>
      <c r="AB1620" s="31" t="n"/>
    </row>
    <row r="1621">
      <c r="A1621" s="25" t="inlineStr">
        <is>
          <t>S32</t>
        </is>
      </c>
      <c r="B1621" s="25" t="inlineStr">
        <is>
          <t>함양 신규점</t>
        </is>
      </c>
      <c r="C1621" s="25" t="inlineStr">
        <is>
          <t>S32-H동</t>
        </is>
      </c>
      <c r="D1621" s="25" t="inlineStr">
        <is>
          <t>측정</t>
        </is>
      </c>
      <c r="E1621" s="25" t="inlineStr">
        <is>
          <t>동</t>
        </is>
      </c>
      <c r="F1621" s="30" t="n">
        <v>3</v>
      </c>
      <c r="G1621" s="29" t="n"/>
      <c r="H1621" s="42" t="n"/>
      <c r="I1621" s="40" t="n"/>
      <c r="J1621" s="40" t="n"/>
      <c r="K1621" s="40" t="n"/>
      <c r="L1621" s="30">
        <f>IF(COUNT(I1621:K1621)=0,"",MEDIAN(I1621:K1621))</f>
        <v/>
      </c>
      <c r="M1621" s="25">
        <f>IF(COUNTIFS($C:$C,$C1621,$D:$D,"P0(전)",$L:$L,"&gt;0")&lt;&gt;1,"P0(전) 유효 1개 아님",IF(COUNTIFS($C:$C,$C1621,$D:$D,"P0(후)",$L:$L,"&gt;0")&lt;&gt;1,"P0(후) 유효 1개 아님",IF(NOT(AND(ISNUMBER(N1621),ISNUMBER(P1621),ISNUMBER(H1621))),"시각 결측",IF(P1621&lt;=N1621,"P0 시각 역전",IF(OR(H1621&lt;N1621,H1621&gt;P1621),"측정시각 구간 밖","OK")))))</f>
        <v/>
      </c>
      <c r="N1621" s="45">
        <f>IF(COUNTIFS($C:$C,$C1621,$D:$D,"P0(전)",$L:$L,"&gt;0")&lt;&gt;1,"",SUMIFS($H:$H,$C:$C,$C1621,$D:$D,"P0(전)"))</f>
        <v/>
      </c>
      <c r="O1621" s="30">
        <f>IF(COUNTIFS($C:$C,$C1621,$D:$D,"P0(전)",$L:$L,"&gt;0")&lt;&gt;1,"",SUMIFS($L:$L,$C:$C,$C1621,$D:$D,"P0(전)"))</f>
        <v/>
      </c>
      <c r="P1621" s="45">
        <f>IF(COUNTIFS($C:$C,$C1621,$D:$D,"P0(후)",$L:$L,"&gt;0")&lt;&gt;1,"",SUMIFS($H:$H,$C:$C,$C1621,$D:$D,"P0(후)"))</f>
        <v/>
      </c>
      <c r="Q1621" s="30">
        <f>IF(COUNTIFS($C:$C,$C1621,$D:$D,"P0(후)",$L:$L,"&gt;0")&lt;&gt;1,"",SUMIFS($L:$L,$C:$C,$C1621,$D:$D,"P0(후)"))</f>
        <v/>
      </c>
      <c r="R1621" s="30">
        <f>IF(M1621&lt;&gt;"OK","",O1621+(Q1621-O1621)*(H1621-N1621)/(P1621-N1621))</f>
        <v/>
      </c>
      <c r="S1621" s="30">
        <f>IF(OR(M1621&lt;&gt;"OK",NOT(ISNUMBER(L1621))),"",L1621-R1621)</f>
        <v/>
      </c>
      <c r="T1621" s="46">
        <f>IF(OR(NOT(ISNUMBER(S1621)),IF(ISNUMBER(G1621),G1621,F1621)=0),"",S1621/IF(ISNUMBER(G1621),G1621,F1621))</f>
        <v/>
      </c>
      <c r="U1621" s="46">
        <f>IF(ISNUMBER(T1621),ABS(T1621),"")</f>
        <v/>
      </c>
      <c r="V1621" s="46">
        <f>IF(OR($D1620&lt;&gt;"측정",$C1620&lt;&gt;$C1621,NOT(ISNUMBER(L1621)),NOT(ISNUMBER(L1620)),(IF(ISNUMBER(G1621),G1621,F1621)-IF(ISNUMBER(G1620),G1620,F1620))=0),"",(L1621-L1620)/(IF(ISNUMBER(G1621),G1621,F1621)-IF(ISNUMBER(G1620),G1620,F1620)))</f>
        <v/>
      </c>
      <c r="W1621" s="30">
        <f>IF(NOT(AND(ISNUMBER(N1621),ISNUMBER(P1621))),"",(P1621-N1621)*1440)</f>
        <v/>
      </c>
      <c r="X1621" s="28" t="n"/>
      <c r="Y1621" s="28" t="n"/>
      <c r="Z1621" s="28" t="n"/>
      <c r="AA1621" s="31" t="n"/>
      <c r="AB1621" s="31" t="n"/>
    </row>
    <row r="1622">
      <c r="A1622" s="25" t="inlineStr">
        <is>
          <t>S32</t>
        </is>
      </c>
      <c r="B1622" s="25" t="inlineStr">
        <is>
          <t>함양 신규점</t>
        </is>
      </c>
      <c r="C1622" s="25" t="inlineStr">
        <is>
          <t>S32-H동</t>
        </is>
      </c>
      <c r="D1622" s="25" t="inlineStr">
        <is>
          <t>측정</t>
        </is>
      </c>
      <c r="E1622" s="25" t="inlineStr">
        <is>
          <t>동</t>
        </is>
      </c>
      <c r="F1622" s="30" t="n">
        <v>4</v>
      </c>
      <c r="G1622" s="29" t="n"/>
      <c r="H1622" s="42" t="n"/>
      <c r="I1622" s="40" t="n"/>
      <c r="J1622" s="40" t="n"/>
      <c r="K1622" s="40" t="n"/>
      <c r="L1622" s="30">
        <f>IF(COUNT(I1622:K1622)=0,"",MEDIAN(I1622:K1622))</f>
        <v/>
      </c>
      <c r="M1622" s="25">
        <f>IF(COUNTIFS($C:$C,$C1622,$D:$D,"P0(전)",$L:$L,"&gt;0")&lt;&gt;1,"P0(전) 유효 1개 아님",IF(COUNTIFS($C:$C,$C1622,$D:$D,"P0(후)",$L:$L,"&gt;0")&lt;&gt;1,"P0(후) 유효 1개 아님",IF(NOT(AND(ISNUMBER(N1622),ISNUMBER(P1622),ISNUMBER(H1622))),"시각 결측",IF(P1622&lt;=N1622,"P0 시각 역전",IF(OR(H1622&lt;N1622,H1622&gt;P1622),"측정시각 구간 밖","OK")))))</f>
        <v/>
      </c>
      <c r="N1622" s="45">
        <f>IF(COUNTIFS($C:$C,$C1622,$D:$D,"P0(전)",$L:$L,"&gt;0")&lt;&gt;1,"",SUMIFS($H:$H,$C:$C,$C1622,$D:$D,"P0(전)"))</f>
        <v/>
      </c>
      <c r="O1622" s="30">
        <f>IF(COUNTIFS($C:$C,$C1622,$D:$D,"P0(전)",$L:$L,"&gt;0")&lt;&gt;1,"",SUMIFS($L:$L,$C:$C,$C1622,$D:$D,"P0(전)"))</f>
        <v/>
      </c>
      <c r="P1622" s="45">
        <f>IF(COUNTIFS($C:$C,$C1622,$D:$D,"P0(후)",$L:$L,"&gt;0")&lt;&gt;1,"",SUMIFS($H:$H,$C:$C,$C1622,$D:$D,"P0(후)"))</f>
        <v/>
      </c>
      <c r="Q1622" s="30">
        <f>IF(COUNTIFS($C:$C,$C1622,$D:$D,"P0(후)",$L:$L,"&gt;0")&lt;&gt;1,"",SUMIFS($L:$L,$C:$C,$C1622,$D:$D,"P0(후)"))</f>
        <v/>
      </c>
      <c r="R1622" s="30">
        <f>IF(M1622&lt;&gt;"OK","",O1622+(Q1622-O1622)*(H1622-N1622)/(P1622-N1622))</f>
        <v/>
      </c>
      <c r="S1622" s="30">
        <f>IF(OR(M1622&lt;&gt;"OK",NOT(ISNUMBER(L1622))),"",L1622-R1622)</f>
        <v/>
      </c>
      <c r="T1622" s="46">
        <f>IF(OR(NOT(ISNUMBER(S1622)),IF(ISNUMBER(G1622),G1622,F1622)=0),"",S1622/IF(ISNUMBER(G1622),G1622,F1622))</f>
        <v/>
      </c>
      <c r="U1622" s="46">
        <f>IF(ISNUMBER(T1622),ABS(T1622),"")</f>
        <v/>
      </c>
      <c r="V1622" s="46">
        <f>IF(OR($D1621&lt;&gt;"측정",$C1621&lt;&gt;$C1622,NOT(ISNUMBER(L1622)),NOT(ISNUMBER(L1621)),(IF(ISNUMBER(G1622),G1622,F1622)-IF(ISNUMBER(G1621),G1621,F1621))=0),"",(L1622-L1621)/(IF(ISNUMBER(G1622),G1622,F1622)-IF(ISNUMBER(G1621),G1621,F1621)))</f>
        <v/>
      </c>
      <c r="W1622" s="30">
        <f>IF(NOT(AND(ISNUMBER(N1622),ISNUMBER(P1622))),"",(P1622-N1622)*1440)</f>
        <v/>
      </c>
      <c r="X1622" s="28" t="n"/>
      <c r="Y1622" s="28" t="n"/>
      <c r="Z1622" s="28" t="n"/>
      <c r="AA1622" s="31" t="n"/>
      <c r="AB1622" s="31" t="n"/>
    </row>
    <row r="1623">
      <c r="A1623" s="25" t="inlineStr">
        <is>
          <t>S32</t>
        </is>
      </c>
      <c r="B1623" s="25" t="inlineStr">
        <is>
          <t>함양 신규점</t>
        </is>
      </c>
      <c r="C1623" s="25" t="inlineStr">
        <is>
          <t>S32-H동</t>
        </is>
      </c>
      <c r="D1623" s="25" t="inlineStr">
        <is>
          <t>측정</t>
        </is>
      </c>
      <c r="E1623" s="25" t="inlineStr">
        <is>
          <t>동</t>
        </is>
      </c>
      <c r="F1623" s="30" t="n">
        <v>5</v>
      </c>
      <c r="G1623" s="29" t="n"/>
      <c r="H1623" s="42" t="n"/>
      <c r="I1623" s="40" t="n"/>
      <c r="J1623" s="40" t="n"/>
      <c r="K1623" s="40" t="n"/>
      <c r="L1623" s="30">
        <f>IF(COUNT(I1623:K1623)=0,"",MEDIAN(I1623:K1623))</f>
        <v/>
      </c>
      <c r="M1623" s="25">
        <f>IF(COUNTIFS($C:$C,$C1623,$D:$D,"P0(전)",$L:$L,"&gt;0")&lt;&gt;1,"P0(전) 유효 1개 아님",IF(COUNTIFS($C:$C,$C1623,$D:$D,"P0(후)",$L:$L,"&gt;0")&lt;&gt;1,"P0(후) 유효 1개 아님",IF(NOT(AND(ISNUMBER(N1623),ISNUMBER(P1623),ISNUMBER(H1623))),"시각 결측",IF(P1623&lt;=N1623,"P0 시각 역전",IF(OR(H1623&lt;N1623,H1623&gt;P1623),"측정시각 구간 밖","OK")))))</f>
        <v/>
      </c>
      <c r="N1623" s="45">
        <f>IF(COUNTIFS($C:$C,$C1623,$D:$D,"P0(전)",$L:$L,"&gt;0")&lt;&gt;1,"",SUMIFS($H:$H,$C:$C,$C1623,$D:$D,"P0(전)"))</f>
        <v/>
      </c>
      <c r="O1623" s="30">
        <f>IF(COUNTIFS($C:$C,$C1623,$D:$D,"P0(전)",$L:$L,"&gt;0")&lt;&gt;1,"",SUMIFS($L:$L,$C:$C,$C1623,$D:$D,"P0(전)"))</f>
        <v/>
      </c>
      <c r="P1623" s="45">
        <f>IF(COUNTIFS($C:$C,$C1623,$D:$D,"P0(후)",$L:$L,"&gt;0")&lt;&gt;1,"",SUMIFS($H:$H,$C:$C,$C1623,$D:$D,"P0(후)"))</f>
        <v/>
      </c>
      <c r="Q1623" s="30">
        <f>IF(COUNTIFS($C:$C,$C1623,$D:$D,"P0(후)",$L:$L,"&gt;0")&lt;&gt;1,"",SUMIFS($L:$L,$C:$C,$C1623,$D:$D,"P0(후)"))</f>
        <v/>
      </c>
      <c r="R1623" s="30">
        <f>IF(M1623&lt;&gt;"OK","",O1623+(Q1623-O1623)*(H1623-N1623)/(P1623-N1623))</f>
        <v/>
      </c>
      <c r="S1623" s="30">
        <f>IF(OR(M1623&lt;&gt;"OK",NOT(ISNUMBER(L1623))),"",L1623-R1623)</f>
        <v/>
      </c>
      <c r="T1623" s="46">
        <f>IF(OR(NOT(ISNUMBER(S1623)),IF(ISNUMBER(G1623),G1623,F1623)=0),"",S1623/IF(ISNUMBER(G1623),G1623,F1623))</f>
        <v/>
      </c>
      <c r="U1623" s="46">
        <f>IF(ISNUMBER(T1623),ABS(T1623),"")</f>
        <v/>
      </c>
      <c r="V1623" s="46">
        <f>IF(OR($D1622&lt;&gt;"측정",$C1622&lt;&gt;$C1623,NOT(ISNUMBER(L1623)),NOT(ISNUMBER(L1622)),(IF(ISNUMBER(G1623),G1623,F1623)-IF(ISNUMBER(G1622),G1622,F1622))=0),"",(L1623-L1622)/(IF(ISNUMBER(G1623),G1623,F1623)-IF(ISNUMBER(G1622),G1622,F1622)))</f>
        <v/>
      </c>
      <c r="W1623" s="30">
        <f>IF(NOT(AND(ISNUMBER(N1623),ISNUMBER(P1623))),"",(P1623-N1623)*1440)</f>
        <v/>
      </c>
      <c r="X1623" s="28" t="n"/>
      <c r="Y1623" s="28" t="n"/>
      <c r="Z1623" s="28" t="n"/>
      <c r="AA1623" s="31" t="n"/>
      <c r="AB1623" s="31" t="n"/>
    </row>
    <row r="1624">
      <c r="A1624" s="25" t="inlineStr">
        <is>
          <t>S32</t>
        </is>
      </c>
      <c r="B1624" s="25" t="inlineStr">
        <is>
          <t>함양 신규점</t>
        </is>
      </c>
      <c r="C1624" s="25" t="inlineStr">
        <is>
          <t>S32-H동</t>
        </is>
      </c>
      <c r="D1624" s="25" t="inlineStr">
        <is>
          <t>측정</t>
        </is>
      </c>
      <c r="E1624" s="25" t="inlineStr">
        <is>
          <t>동</t>
        </is>
      </c>
      <c r="F1624" s="30" t="n">
        <v>6</v>
      </c>
      <c r="G1624" s="29" t="n"/>
      <c r="H1624" s="42" t="n"/>
      <c r="I1624" s="40" t="n"/>
      <c r="J1624" s="40" t="n"/>
      <c r="K1624" s="40" t="n"/>
      <c r="L1624" s="30">
        <f>IF(COUNT(I1624:K1624)=0,"",MEDIAN(I1624:K1624))</f>
        <v/>
      </c>
      <c r="M1624" s="25">
        <f>IF(COUNTIFS($C:$C,$C1624,$D:$D,"P0(전)",$L:$L,"&gt;0")&lt;&gt;1,"P0(전) 유효 1개 아님",IF(COUNTIFS($C:$C,$C1624,$D:$D,"P0(후)",$L:$L,"&gt;0")&lt;&gt;1,"P0(후) 유효 1개 아님",IF(NOT(AND(ISNUMBER(N1624),ISNUMBER(P1624),ISNUMBER(H1624))),"시각 결측",IF(P1624&lt;=N1624,"P0 시각 역전",IF(OR(H1624&lt;N1624,H1624&gt;P1624),"측정시각 구간 밖","OK")))))</f>
        <v/>
      </c>
      <c r="N1624" s="45">
        <f>IF(COUNTIFS($C:$C,$C1624,$D:$D,"P0(전)",$L:$L,"&gt;0")&lt;&gt;1,"",SUMIFS($H:$H,$C:$C,$C1624,$D:$D,"P0(전)"))</f>
        <v/>
      </c>
      <c r="O1624" s="30">
        <f>IF(COUNTIFS($C:$C,$C1624,$D:$D,"P0(전)",$L:$L,"&gt;0")&lt;&gt;1,"",SUMIFS($L:$L,$C:$C,$C1624,$D:$D,"P0(전)"))</f>
        <v/>
      </c>
      <c r="P1624" s="45">
        <f>IF(COUNTIFS($C:$C,$C1624,$D:$D,"P0(후)",$L:$L,"&gt;0")&lt;&gt;1,"",SUMIFS($H:$H,$C:$C,$C1624,$D:$D,"P0(후)"))</f>
        <v/>
      </c>
      <c r="Q1624" s="30">
        <f>IF(COUNTIFS($C:$C,$C1624,$D:$D,"P0(후)",$L:$L,"&gt;0")&lt;&gt;1,"",SUMIFS($L:$L,$C:$C,$C1624,$D:$D,"P0(후)"))</f>
        <v/>
      </c>
      <c r="R1624" s="30">
        <f>IF(M1624&lt;&gt;"OK","",O1624+(Q1624-O1624)*(H1624-N1624)/(P1624-N1624))</f>
        <v/>
      </c>
      <c r="S1624" s="30">
        <f>IF(OR(M1624&lt;&gt;"OK",NOT(ISNUMBER(L1624))),"",L1624-R1624)</f>
        <v/>
      </c>
      <c r="T1624" s="46">
        <f>IF(OR(NOT(ISNUMBER(S1624)),IF(ISNUMBER(G1624),G1624,F1624)=0),"",S1624/IF(ISNUMBER(G1624),G1624,F1624))</f>
        <v/>
      </c>
      <c r="U1624" s="46">
        <f>IF(ISNUMBER(T1624),ABS(T1624),"")</f>
        <v/>
      </c>
      <c r="V1624" s="46">
        <f>IF(OR($D1623&lt;&gt;"측정",$C1623&lt;&gt;$C1624,NOT(ISNUMBER(L1624)),NOT(ISNUMBER(L1623)),(IF(ISNUMBER(G1624),G1624,F1624)-IF(ISNUMBER(G1623),G1623,F1623))=0),"",(L1624-L1623)/(IF(ISNUMBER(G1624),G1624,F1624)-IF(ISNUMBER(G1623),G1623,F1623)))</f>
        <v/>
      </c>
      <c r="W1624" s="30">
        <f>IF(NOT(AND(ISNUMBER(N1624),ISNUMBER(P1624))),"",(P1624-N1624)*1440)</f>
        <v/>
      </c>
      <c r="X1624" s="28" t="n"/>
      <c r="Y1624" s="28" t="n"/>
      <c r="Z1624" s="28" t="n"/>
      <c r="AA1624" s="31" t="n"/>
      <c r="AB1624" s="31" t="n"/>
    </row>
    <row r="1625">
      <c r="A1625" s="25" t="inlineStr">
        <is>
          <t>S32</t>
        </is>
      </c>
      <c r="B1625" s="25" t="inlineStr">
        <is>
          <t>함양 신규점</t>
        </is>
      </c>
      <c r="C1625" s="25" t="inlineStr">
        <is>
          <t>S32-H동</t>
        </is>
      </c>
      <c r="D1625" s="25" t="inlineStr">
        <is>
          <t>측정</t>
        </is>
      </c>
      <c r="E1625" s="25" t="inlineStr">
        <is>
          <t>동</t>
        </is>
      </c>
      <c r="F1625" s="30" t="n">
        <v>7</v>
      </c>
      <c r="G1625" s="29" t="n"/>
      <c r="H1625" s="42" t="n"/>
      <c r="I1625" s="40" t="n"/>
      <c r="J1625" s="40" t="n"/>
      <c r="K1625" s="40" t="n"/>
      <c r="L1625" s="30">
        <f>IF(COUNT(I1625:K1625)=0,"",MEDIAN(I1625:K1625))</f>
        <v/>
      </c>
      <c r="M1625" s="25">
        <f>IF(COUNTIFS($C:$C,$C1625,$D:$D,"P0(전)",$L:$L,"&gt;0")&lt;&gt;1,"P0(전) 유효 1개 아님",IF(COUNTIFS($C:$C,$C1625,$D:$D,"P0(후)",$L:$L,"&gt;0")&lt;&gt;1,"P0(후) 유효 1개 아님",IF(NOT(AND(ISNUMBER(N1625),ISNUMBER(P1625),ISNUMBER(H1625))),"시각 결측",IF(P1625&lt;=N1625,"P0 시각 역전",IF(OR(H1625&lt;N1625,H1625&gt;P1625),"측정시각 구간 밖","OK")))))</f>
        <v/>
      </c>
      <c r="N1625" s="45">
        <f>IF(COUNTIFS($C:$C,$C1625,$D:$D,"P0(전)",$L:$L,"&gt;0")&lt;&gt;1,"",SUMIFS($H:$H,$C:$C,$C1625,$D:$D,"P0(전)"))</f>
        <v/>
      </c>
      <c r="O1625" s="30">
        <f>IF(COUNTIFS($C:$C,$C1625,$D:$D,"P0(전)",$L:$L,"&gt;0")&lt;&gt;1,"",SUMIFS($L:$L,$C:$C,$C1625,$D:$D,"P0(전)"))</f>
        <v/>
      </c>
      <c r="P1625" s="45">
        <f>IF(COUNTIFS($C:$C,$C1625,$D:$D,"P0(후)",$L:$L,"&gt;0")&lt;&gt;1,"",SUMIFS($H:$H,$C:$C,$C1625,$D:$D,"P0(후)"))</f>
        <v/>
      </c>
      <c r="Q1625" s="30">
        <f>IF(COUNTIFS($C:$C,$C1625,$D:$D,"P0(후)",$L:$L,"&gt;0")&lt;&gt;1,"",SUMIFS($L:$L,$C:$C,$C1625,$D:$D,"P0(후)"))</f>
        <v/>
      </c>
      <c r="R1625" s="30">
        <f>IF(M1625&lt;&gt;"OK","",O1625+(Q1625-O1625)*(H1625-N1625)/(P1625-N1625))</f>
        <v/>
      </c>
      <c r="S1625" s="30">
        <f>IF(OR(M1625&lt;&gt;"OK",NOT(ISNUMBER(L1625))),"",L1625-R1625)</f>
        <v/>
      </c>
      <c r="T1625" s="46">
        <f>IF(OR(NOT(ISNUMBER(S1625)),IF(ISNUMBER(G1625),G1625,F1625)=0),"",S1625/IF(ISNUMBER(G1625),G1625,F1625))</f>
        <v/>
      </c>
      <c r="U1625" s="46">
        <f>IF(ISNUMBER(T1625),ABS(T1625),"")</f>
        <v/>
      </c>
      <c r="V1625" s="46">
        <f>IF(OR($D1624&lt;&gt;"측정",$C1624&lt;&gt;$C1625,NOT(ISNUMBER(L1625)),NOT(ISNUMBER(L1624)),(IF(ISNUMBER(G1625),G1625,F1625)-IF(ISNUMBER(G1624),G1624,F1624))=0),"",(L1625-L1624)/(IF(ISNUMBER(G1625),G1625,F1625)-IF(ISNUMBER(G1624),G1624,F1624)))</f>
        <v/>
      </c>
      <c r="W1625" s="30">
        <f>IF(NOT(AND(ISNUMBER(N1625),ISNUMBER(P1625))),"",(P1625-N1625)*1440)</f>
        <v/>
      </c>
      <c r="X1625" s="28" t="n"/>
      <c r="Y1625" s="28" t="n"/>
      <c r="Z1625" s="28" t="n"/>
      <c r="AA1625" s="31" t="n"/>
      <c r="AB1625" s="31" t="n"/>
    </row>
    <row r="1626">
      <c r="A1626" s="25" t="inlineStr">
        <is>
          <t>S32</t>
        </is>
      </c>
      <c r="B1626" s="25" t="inlineStr">
        <is>
          <t>함양 신규점</t>
        </is>
      </c>
      <c r="C1626" s="25" t="inlineStr">
        <is>
          <t>S32-H동</t>
        </is>
      </c>
      <c r="D1626" s="25" t="inlineStr">
        <is>
          <t>측정</t>
        </is>
      </c>
      <c r="E1626" s="25" t="inlineStr">
        <is>
          <t>동</t>
        </is>
      </c>
      <c r="F1626" s="30" t="n">
        <v>8</v>
      </c>
      <c r="G1626" s="29" t="n"/>
      <c r="H1626" s="42" t="n"/>
      <c r="I1626" s="40" t="n"/>
      <c r="J1626" s="40" t="n"/>
      <c r="K1626" s="40" t="n"/>
      <c r="L1626" s="30">
        <f>IF(COUNT(I1626:K1626)=0,"",MEDIAN(I1626:K1626))</f>
        <v/>
      </c>
      <c r="M1626" s="25">
        <f>IF(COUNTIFS($C:$C,$C1626,$D:$D,"P0(전)",$L:$L,"&gt;0")&lt;&gt;1,"P0(전) 유효 1개 아님",IF(COUNTIFS($C:$C,$C1626,$D:$D,"P0(후)",$L:$L,"&gt;0")&lt;&gt;1,"P0(후) 유효 1개 아님",IF(NOT(AND(ISNUMBER(N1626),ISNUMBER(P1626),ISNUMBER(H1626))),"시각 결측",IF(P1626&lt;=N1626,"P0 시각 역전",IF(OR(H1626&lt;N1626,H1626&gt;P1626),"측정시각 구간 밖","OK")))))</f>
        <v/>
      </c>
      <c r="N1626" s="45">
        <f>IF(COUNTIFS($C:$C,$C1626,$D:$D,"P0(전)",$L:$L,"&gt;0")&lt;&gt;1,"",SUMIFS($H:$H,$C:$C,$C1626,$D:$D,"P0(전)"))</f>
        <v/>
      </c>
      <c r="O1626" s="30">
        <f>IF(COUNTIFS($C:$C,$C1626,$D:$D,"P0(전)",$L:$L,"&gt;0")&lt;&gt;1,"",SUMIFS($L:$L,$C:$C,$C1626,$D:$D,"P0(전)"))</f>
        <v/>
      </c>
      <c r="P1626" s="45">
        <f>IF(COUNTIFS($C:$C,$C1626,$D:$D,"P0(후)",$L:$L,"&gt;0")&lt;&gt;1,"",SUMIFS($H:$H,$C:$C,$C1626,$D:$D,"P0(후)"))</f>
        <v/>
      </c>
      <c r="Q1626" s="30">
        <f>IF(COUNTIFS($C:$C,$C1626,$D:$D,"P0(후)",$L:$L,"&gt;0")&lt;&gt;1,"",SUMIFS($L:$L,$C:$C,$C1626,$D:$D,"P0(후)"))</f>
        <v/>
      </c>
      <c r="R1626" s="30">
        <f>IF(M1626&lt;&gt;"OK","",O1626+(Q1626-O1626)*(H1626-N1626)/(P1626-N1626))</f>
        <v/>
      </c>
      <c r="S1626" s="30">
        <f>IF(OR(M1626&lt;&gt;"OK",NOT(ISNUMBER(L1626))),"",L1626-R1626)</f>
        <v/>
      </c>
      <c r="T1626" s="46">
        <f>IF(OR(NOT(ISNUMBER(S1626)),IF(ISNUMBER(G1626),G1626,F1626)=0),"",S1626/IF(ISNUMBER(G1626),G1626,F1626))</f>
        <v/>
      </c>
      <c r="U1626" s="46">
        <f>IF(ISNUMBER(T1626),ABS(T1626),"")</f>
        <v/>
      </c>
      <c r="V1626" s="46">
        <f>IF(OR($D1625&lt;&gt;"측정",$C1625&lt;&gt;$C1626,NOT(ISNUMBER(L1626)),NOT(ISNUMBER(L1625)),(IF(ISNUMBER(G1626),G1626,F1626)-IF(ISNUMBER(G1625),G1625,F1625))=0),"",(L1626-L1625)/(IF(ISNUMBER(G1626),G1626,F1626)-IF(ISNUMBER(G1625),G1625,F1625)))</f>
        <v/>
      </c>
      <c r="W1626" s="30">
        <f>IF(NOT(AND(ISNUMBER(N1626),ISNUMBER(P1626))),"",(P1626-N1626)*1440)</f>
        <v/>
      </c>
      <c r="X1626" s="28" t="n"/>
      <c r="Y1626" s="28" t="n"/>
      <c r="Z1626" s="28" t="n"/>
      <c r="AA1626" s="31" t="n"/>
      <c r="AB1626" s="31" t="n"/>
    </row>
    <row r="1627">
      <c r="A1627" s="25" t="inlineStr">
        <is>
          <t>S32</t>
        </is>
      </c>
      <c r="B1627" s="25" t="inlineStr">
        <is>
          <t>함양 신규점</t>
        </is>
      </c>
      <c r="C1627" s="25" t="inlineStr">
        <is>
          <t>S32-H동</t>
        </is>
      </c>
      <c r="D1627" s="25" t="inlineStr">
        <is>
          <t>측정</t>
        </is>
      </c>
      <c r="E1627" s="25" t="inlineStr">
        <is>
          <t>동</t>
        </is>
      </c>
      <c r="F1627" s="30" t="n">
        <v>9</v>
      </c>
      <c r="G1627" s="29" t="n"/>
      <c r="H1627" s="42" t="n"/>
      <c r="I1627" s="40" t="n"/>
      <c r="J1627" s="40" t="n"/>
      <c r="K1627" s="40" t="n"/>
      <c r="L1627" s="30">
        <f>IF(COUNT(I1627:K1627)=0,"",MEDIAN(I1627:K1627))</f>
        <v/>
      </c>
      <c r="M1627" s="25">
        <f>IF(COUNTIFS($C:$C,$C1627,$D:$D,"P0(전)",$L:$L,"&gt;0")&lt;&gt;1,"P0(전) 유효 1개 아님",IF(COUNTIFS($C:$C,$C1627,$D:$D,"P0(후)",$L:$L,"&gt;0")&lt;&gt;1,"P0(후) 유효 1개 아님",IF(NOT(AND(ISNUMBER(N1627),ISNUMBER(P1627),ISNUMBER(H1627))),"시각 결측",IF(P1627&lt;=N1627,"P0 시각 역전",IF(OR(H1627&lt;N1627,H1627&gt;P1627),"측정시각 구간 밖","OK")))))</f>
        <v/>
      </c>
      <c r="N1627" s="45">
        <f>IF(COUNTIFS($C:$C,$C1627,$D:$D,"P0(전)",$L:$L,"&gt;0")&lt;&gt;1,"",SUMIFS($H:$H,$C:$C,$C1627,$D:$D,"P0(전)"))</f>
        <v/>
      </c>
      <c r="O1627" s="30">
        <f>IF(COUNTIFS($C:$C,$C1627,$D:$D,"P0(전)",$L:$L,"&gt;0")&lt;&gt;1,"",SUMIFS($L:$L,$C:$C,$C1627,$D:$D,"P0(전)"))</f>
        <v/>
      </c>
      <c r="P1627" s="45">
        <f>IF(COUNTIFS($C:$C,$C1627,$D:$D,"P0(후)",$L:$L,"&gt;0")&lt;&gt;1,"",SUMIFS($H:$H,$C:$C,$C1627,$D:$D,"P0(후)"))</f>
        <v/>
      </c>
      <c r="Q1627" s="30">
        <f>IF(COUNTIFS($C:$C,$C1627,$D:$D,"P0(후)",$L:$L,"&gt;0")&lt;&gt;1,"",SUMIFS($L:$L,$C:$C,$C1627,$D:$D,"P0(후)"))</f>
        <v/>
      </c>
      <c r="R1627" s="30">
        <f>IF(M1627&lt;&gt;"OK","",O1627+(Q1627-O1627)*(H1627-N1627)/(P1627-N1627))</f>
        <v/>
      </c>
      <c r="S1627" s="30">
        <f>IF(OR(M1627&lt;&gt;"OK",NOT(ISNUMBER(L1627))),"",L1627-R1627)</f>
        <v/>
      </c>
      <c r="T1627" s="46">
        <f>IF(OR(NOT(ISNUMBER(S1627)),IF(ISNUMBER(G1627),G1627,F1627)=0),"",S1627/IF(ISNUMBER(G1627),G1627,F1627))</f>
        <v/>
      </c>
      <c r="U1627" s="46">
        <f>IF(ISNUMBER(T1627),ABS(T1627),"")</f>
        <v/>
      </c>
      <c r="V1627" s="46">
        <f>IF(OR($D1626&lt;&gt;"측정",$C1626&lt;&gt;$C1627,NOT(ISNUMBER(L1627)),NOT(ISNUMBER(L1626)),(IF(ISNUMBER(G1627),G1627,F1627)-IF(ISNUMBER(G1626),G1626,F1626))=0),"",(L1627-L1626)/(IF(ISNUMBER(G1627),G1627,F1627)-IF(ISNUMBER(G1626),G1626,F1626)))</f>
        <v/>
      </c>
      <c r="W1627" s="30">
        <f>IF(NOT(AND(ISNUMBER(N1627),ISNUMBER(P1627))),"",(P1627-N1627)*1440)</f>
        <v/>
      </c>
      <c r="X1627" s="28" t="n"/>
      <c r="Y1627" s="28" t="n"/>
      <c r="Z1627" s="28" t="n"/>
      <c r="AA1627" s="31" t="n"/>
      <c r="AB1627" s="31" t="n"/>
    </row>
    <row r="1628">
      <c r="A1628" s="25" t="inlineStr">
        <is>
          <t>S32</t>
        </is>
      </c>
      <c r="B1628" s="25" t="inlineStr">
        <is>
          <t>함양 신규점</t>
        </is>
      </c>
      <c r="C1628" s="25" t="inlineStr">
        <is>
          <t>S32-H동</t>
        </is>
      </c>
      <c r="D1628" s="25" t="inlineStr">
        <is>
          <t>측정</t>
        </is>
      </c>
      <c r="E1628" s="25" t="inlineStr">
        <is>
          <t>동</t>
        </is>
      </c>
      <c r="F1628" s="30" t="n">
        <v>10</v>
      </c>
      <c r="G1628" s="29" t="n"/>
      <c r="H1628" s="42" t="n"/>
      <c r="I1628" s="40" t="n"/>
      <c r="J1628" s="40" t="n"/>
      <c r="K1628" s="40" t="n"/>
      <c r="L1628" s="30">
        <f>IF(COUNT(I1628:K1628)=0,"",MEDIAN(I1628:K1628))</f>
        <v/>
      </c>
      <c r="M1628" s="25">
        <f>IF(COUNTIFS($C:$C,$C1628,$D:$D,"P0(전)",$L:$L,"&gt;0")&lt;&gt;1,"P0(전) 유효 1개 아님",IF(COUNTIFS($C:$C,$C1628,$D:$D,"P0(후)",$L:$L,"&gt;0")&lt;&gt;1,"P0(후) 유효 1개 아님",IF(NOT(AND(ISNUMBER(N1628),ISNUMBER(P1628),ISNUMBER(H1628))),"시각 결측",IF(P1628&lt;=N1628,"P0 시각 역전",IF(OR(H1628&lt;N1628,H1628&gt;P1628),"측정시각 구간 밖","OK")))))</f>
        <v/>
      </c>
      <c r="N1628" s="45">
        <f>IF(COUNTIFS($C:$C,$C1628,$D:$D,"P0(전)",$L:$L,"&gt;0")&lt;&gt;1,"",SUMIFS($H:$H,$C:$C,$C1628,$D:$D,"P0(전)"))</f>
        <v/>
      </c>
      <c r="O1628" s="30">
        <f>IF(COUNTIFS($C:$C,$C1628,$D:$D,"P0(전)",$L:$L,"&gt;0")&lt;&gt;1,"",SUMIFS($L:$L,$C:$C,$C1628,$D:$D,"P0(전)"))</f>
        <v/>
      </c>
      <c r="P1628" s="45">
        <f>IF(COUNTIFS($C:$C,$C1628,$D:$D,"P0(후)",$L:$L,"&gt;0")&lt;&gt;1,"",SUMIFS($H:$H,$C:$C,$C1628,$D:$D,"P0(후)"))</f>
        <v/>
      </c>
      <c r="Q1628" s="30">
        <f>IF(COUNTIFS($C:$C,$C1628,$D:$D,"P0(후)",$L:$L,"&gt;0")&lt;&gt;1,"",SUMIFS($L:$L,$C:$C,$C1628,$D:$D,"P0(후)"))</f>
        <v/>
      </c>
      <c r="R1628" s="30">
        <f>IF(M1628&lt;&gt;"OK","",O1628+(Q1628-O1628)*(H1628-N1628)/(P1628-N1628))</f>
        <v/>
      </c>
      <c r="S1628" s="30">
        <f>IF(OR(M1628&lt;&gt;"OK",NOT(ISNUMBER(L1628))),"",L1628-R1628)</f>
        <v/>
      </c>
      <c r="T1628" s="46">
        <f>IF(OR(NOT(ISNUMBER(S1628)),IF(ISNUMBER(G1628),G1628,F1628)=0),"",S1628/IF(ISNUMBER(G1628),G1628,F1628))</f>
        <v/>
      </c>
      <c r="U1628" s="46">
        <f>IF(ISNUMBER(T1628),ABS(T1628),"")</f>
        <v/>
      </c>
      <c r="V1628" s="46">
        <f>IF(OR($D1627&lt;&gt;"측정",$C1627&lt;&gt;$C1628,NOT(ISNUMBER(L1628)),NOT(ISNUMBER(L1627)),(IF(ISNUMBER(G1628),G1628,F1628)-IF(ISNUMBER(G1627),G1627,F1627))=0),"",(L1628-L1627)/(IF(ISNUMBER(G1628),G1628,F1628)-IF(ISNUMBER(G1627),G1627,F1627)))</f>
        <v/>
      </c>
      <c r="W1628" s="30">
        <f>IF(NOT(AND(ISNUMBER(N1628),ISNUMBER(P1628))),"",(P1628-N1628)*1440)</f>
        <v/>
      </c>
      <c r="X1628" s="28" t="n"/>
      <c r="Y1628" s="28" t="n"/>
      <c r="Z1628" s="28" t="n"/>
      <c r="AA1628" s="31" t="n"/>
      <c r="AB1628" s="31" t="n"/>
    </row>
    <row r="1629">
      <c r="A1629" s="43" t="inlineStr">
        <is>
          <t>S32</t>
        </is>
      </c>
      <c r="B1629" s="43" t="inlineStr">
        <is>
          <t>함양 신규점</t>
        </is>
      </c>
      <c r="C1629" s="43" t="inlineStr">
        <is>
          <t>S32-H동</t>
        </is>
      </c>
      <c r="D1629" s="43" t="inlineStr">
        <is>
          <t>P0(후)</t>
        </is>
      </c>
      <c r="E1629" s="43" t="inlineStr">
        <is>
          <t>동</t>
        </is>
      </c>
      <c r="F1629" s="44" t="n"/>
      <c r="G1629" s="29" t="n"/>
      <c r="H1629" s="42" t="n"/>
      <c r="I1629" s="40" t="n"/>
      <c r="J1629" s="40" t="n"/>
      <c r="K1629" s="40" t="n"/>
      <c r="L1629" s="30">
        <f>IF(COUNT(I1629:K1629)=0,"",MEDIAN(I1629:K1629))</f>
        <v/>
      </c>
      <c r="M1629" s="37" t="n"/>
      <c r="N1629" s="37" t="n"/>
      <c r="O1629" s="37" t="n"/>
      <c r="P1629" s="37" t="n"/>
      <c r="Q1629" s="37" t="n"/>
      <c r="R1629" s="37" t="n"/>
      <c r="S1629" s="37" t="n"/>
      <c r="T1629" s="37" t="n"/>
      <c r="U1629" s="37" t="n"/>
      <c r="V1629" s="37" t="n"/>
      <c r="W1629" s="37" t="n"/>
      <c r="X1629" s="28" t="n"/>
      <c r="Y1629" s="28" t="n"/>
      <c r="Z1629" s="28" t="n"/>
      <c r="AA1629" s="31" t="n"/>
      <c r="AB1629" s="31" t="n"/>
    </row>
    <row r="1630">
      <c r="A1630" s="43" t="inlineStr">
        <is>
          <t>S32</t>
        </is>
      </c>
      <c r="B1630" s="43" t="inlineStr">
        <is>
          <t>함양 신규점</t>
        </is>
      </c>
      <c r="C1630" s="43" t="inlineStr">
        <is>
          <t>S32-H서</t>
        </is>
      </c>
      <c r="D1630" s="43" t="inlineStr">
        <is>
          <t>P0(전)</t>
        </is>
      </c>
      <c r="E1630" s="43" t="inlineStr">
        <is>
          <t>서</t>
        </is>
      </c>
      <c r="F1630" s="44" t="n"/>
      <c r="G1630" s="29" t="n"/>
      <c r="H1630" s="42" t="n"/>
      <c r="I1630" s="40" t="n"/>
      <c r="J1630" s="40" t="n"/>
      <c r="K1630" s="40" t="n"/>
      <c r="L1630" s="30">
        <f>IF(COUNT(I1630:K1630)=0,"",MEDIAN(I1630:K1630))</f>
        <v/>
      </c>
      <c r="M1630" s="37" t="n"/>
      <c r="N1630" s="37" t="n"/>
      <c r="O1630" s="37" t="n"/>
      <c r="P1630" s="37" t="n"/>
      <c r="Q1630" s="37" t="n"/>
      <c r="R1630" s="37" t="n"/>
      <c r="S1630" s="37" t="n"/>
      <c r="T1630" s="37" t="n"/>
      <c r="U1630" s="37" t="n"/>
      <c r="V1630" s="37" t="n"/>
      <c r="W1630" s="37" t="n"/>
      <c r="X1630" s="28" t="n"/>
      <c r="Y1630" s="28" t="n"/>
      <c r="Z1630" s="28" t="n"/>
      <c r="AA1630" s="31" t="n"/>
      <c r="AB1630" s="31" t="n"/>
    </row>
    <row r="1631">
      <c r="A1631" s="25" t="inlineStr">
        <is>
          <t>S32</t>
        </is>
      </c>
      <c r="B1631" s="25" t="inlineStr">
        <is>
          <t>함양 신규점</t>
        </is>
      </c>
      <c r="C1631" s="25" t="inlineStr">
        <is>
          <t>S32-H서</t>
        </is>
      </c>
      <c r="D1631" s="25" t="inlineStr">
        <is>
          <t>측정</t>
        </is>
      </c>
      <c r="E1631" s="25" t="inlineStr">
        <is>
          <t>서</t>
        </is>
      </c>
      <c r="F1631" s="30" t="n">
        <v>0.5</v>
      </c>
      <c r="G1631" s="29" t="n"/>
      <c r="H1631" s="42" t="n"/>
      <c r="I1631" s="40" t="n"/>
      <c r="J1631" s="40" t="n"/>
      <c r="K1631" s="40" t="n"/>
      <c r="L1631" s="30">
        <f>IF(COUNT(I1631:K1631)=0,"",MEDIAN(I1631:K1631))</f>
        <v/>
      </c>
      <c r="M1631" s="25">
        <f>IF(COUNTIFS($C:$C,$C1631,$D:$D,"P0(전)",$L:$L,"&gt;0")&lt;&gt;1,"P0(전) 유효 1개 아님",IF(COUNTIFS($C:$C,$C1631,$D:$D,"P0(후)",$L:$L,"&gt;0")&lt;&gt;1,"P0(후) 유효 1개 아님",IF(NOT(AND(ISNUMBER(N1631),ISNUMBER(P1631),ISNUMBER(H1631))),"시각 결측",IF(P1631&lt;=N1631,"P0 시각 역전",IF(OR(H1631&lt;N1631,H1631&gt;P1631),"측정시각 구간 밖","OK")))))</f>
        <v/>
      </c>
      <c r="N1631" s="45">
        <f>IF(COUNTIFS($C:$C,$C1631,$D:$D,"P0(전)",$L:$L,"&gt;0")&lt;&gt;1,"",SUMIFS($H:$H,$C:$C,$C1631,$D:$D,"P0(전)"))</f>
        <v/>
      </c>
      <c r="O1631" s="30">
        <f>IF(COUNTIFS($C:$C,$C1631,$D:$D,"P0(전)",$L:$L,"&gt;0")&lt;&gt;1,"",SUMIFS($L:$L,$C:$C,$C1631,$D:$D,"P0(전)"))</f>
        <v/>
      </c>
      <c r="P1631" s="45">
        <f>IF(COUNTIFS($C:$C,$C1631,$D:$D,"P0(후)",$L:$L,"&gt;0")&lt;&gt;1,"",SUMIFS($H:$H,$C:$C,$C1631,$D:$D,"P0(후)"))</f>
        <v/>
      </c>
      <c r="Q1631" s="30">
        <f>IF(COUNTIFS($C:$C,$C1631,$D:$D,"P0(후)",$L:$L,"&gt;0")&lt;&gt;1,"",SUMIFS($L:$L,$C:$C,$C1631,$D:$D,"P0(후)"))</f>
        <v/>
      </c>
      <c r="R1631" s="30">
        <f>IF(M1631&lt;&gt;"OK","",O1631+(Q1631-O1631)*(H1631-N1631)/(P1631-N1631))</f>
        <v/>
      </c>
      <c r="S1631" s="30">
        <f>IF(OR(M1631&lt;&gt;"OK",NOT(ISNUMBER(L1631))),"",L1631-R1631)</f>
        <v/>
      </c>
      <c r="T1631" s="46">
        <f>IF(OR(NOT(ISNUMBER(S1631)),IF(ISNUMBER(G1631),G1631,F1631)=0),"",S1631/IF(ISNUMBER(G1631),G1631,F1631))</f>
        <v/>
      </c>
      <c r="U1631" s="46">
        <f>IF(ISNUMBER(T1631),ABS(T1631),"")</f>
        <v/>
      </c>
      <c r="V1631" s="46">
        <f>IF(OR($D1630&lt;&gt;"측정",$C1630&lt;&gt;$C1631,NOT(ISNUMBER(L1631)),NOT(ISNUMBER(L1630)),(IF(ISNUMBER(G1631),G1631,F1631)-IF(ISNUMBER(G1630),G1630,F1630))=0),"",(L1631-L1630)/(IF(ISNUMBER(G1631),G1631,F1631)-IF(ISNUMBER(G1630),G1630,F1630)))</f>
        <v/>
      </c>
      <c r="W1631" s="30">
        <f>IF(NOT(AND(ISNUMBER(N1631),ISNUMBER(P1631))),"",(P1631-N1631)*1440)</f>
        <v/>
      </c>
      <c r="X1631" s="28" t="n"/>
      <c r="Y1631" s="28" t="n"/>
      <c r="Z1631" s="28" t="n"/>
      <c r="AA1631" s="31" t="n"/>
      <c r="AB1631" s="31" t="n"/>
    </row>
    <row r="1632">
      <c r="A1632" s="25" t="inlineStr">
        <is>
          <t>S32</t>
        </is>
      </c>
      <c r="B1632" s="25" t="inlineStr">
        <is>
          <t>함양 신규점</t>
        </is>
      </c>
      <c r="C1632" s="25" t="inlineStr">
        <is>
          <t>S32-H서</t>
        </is>
      </c>
      <c r="D1632" s="25" t="inlineStr">
        <is>
          <t>측정</t>
        </is>
      </c>
      <c r="E1632" s="25" t="inlineStr">
        <is>
          <t>서</t>
        </is>
      </c>
      <c r="F1632" s="30" t="n">
        <v>1</v>
      </c>
      <c r="G1632" s="29" t="n"/>
      <c r="H1632" s="42" t="n"/>
      <c r="I1632" s="40" t="n"/>
      <c r="J1632" s="40" t="n"/>
      <c r="K1632" s="40" t="n"/>
      <c r="L1632" s="30">
        <f>IF(COUNT(I1632:K1632)=0,"",MEDIAN(I1632:K1632))</f>
        <v/>
      </c>
      <c r="M1632" s="25">
        <f>IF(COUNTIFS($C:$C,$C1632,$D:$D,"P0(전)",$L:$L,"&gt;0")&lt;&gt;1,"P0(전) 유효 1개 아님",IF(COUNTIFS($C:$C,$C1632,$D:$D,"P0(후)",$L:$L,"&gt;0")&lt;&gt;1,"P0(후) 유효 1개 아님",IF(NOT(AND(ISNUMBER(N1632),ISNUMBER(P1632),ISNUMBER(H1632))),"시각 결측",IF(P1632&lt;=N1632,"P0 시각 역전",IF(OR(H1632&lt;N1632,H1632&gt;P1632),"측정시각 구간 밖","OK")))))</f>
        <v/>
      </c>
      <c r="N1632" s="45">
        <f>IF(COUNTIFS($C:$C,$C1632,$D:$D,"P0(전)",$L:$L,"&gt;0")&lt;&gt;1,"",SUMIFS($H:$H,$C:$C,$C1632,$D:$D,"P0(전)"))</f>
        <v/>
      </c>
      <c r="O1632" s="30">
        <f>IF(COUNTIFS($C:$C,$C1632,$D:$D,"P0(전)",$L:$L,"&gt;0")&lt;&gt;1,"",SUMIFS($L:$L,$C:$C,$C1632,$D:$D,"P0(전)"))</f>
        <v/>
      </c>
      <c r="P1632" s="45">
        <f>IF(COUNTIFS($C:$C,$C1632,$D:$D,"P0(후)",$L:$L,"&gt;0")&lt;&gt;1,"",SUMIFS($H:$H,$C:$C,$C1632,$D:$D,"P0(후)"))</f>
        <v/>
      </c>
      <c r="Q1632" s="30">
        <f>IF(COUNTIFS($C:$C,$C1632,$D:$D,"P0(후)",$L:$L,"&gt;0")&lt;&gt;1,"",SUMIFS($L:$L,$C:$C,$C1632,$D:$D,"P0(후)"))</f>
        <v/>
      </c>
      <c r="R1632" s="30">
        <f>IF(M1632&lt;&gt;"OK","",O1632+(Q1632-O1632)*(H1632-N1632)/(P1632-N1632))</f>
        <v/>
      </c>
      <c r="S1632" s="30">
        <f>IF(OR(M1632&lt;&gt;"OK",NOT(ISNUMBER(L1632))),"",L1632-R1632)</f>
        <v/>
      </c>
      <c r="T1632" s="46">
        <f>IF(OR(NOT(ISNUMBER(S1632)),IF(ISNUMBER(G1632),G1632,F1632)=0),"",S1632/IF(ISNUMBER(G1632),G1632,F1632))</f>
        <v/>
      </c>
      <c r="U1632" s="46">
        <f>IF(ISNUMBER(T1632),ABS(T1632),"")</f>
        <v/>
      </c>
      <c r="V1632" s="46">
        <f>IF(OR($D1631&lt;&gt;"측정",$C1631&lt;&gt;$C1632,NOT(ISNUMBER(L1632)),NOT(ISNUMBER(L1631)),(IF(ISNUMBER(G1632),G1632,F1632)-IF(ISNUMBER(G1631),G1631,F1631))=0),"",(L1632-L1631)/(IF(ISNUMBER(G1632),G1632,F1632)-IF(ISNUMBER(G1631),G1631,F1631)))</f>
        <v/>
      </c>
      <c r="W1632" s="30">
        <f>IF(NOT(AND(ISNUMBER(N1632),ISNUMBER(P1632))),"",(P1632-N1632)*1440)</f>
        <v/>
      </c>
      <c r="X1632" s="28" t="n"/>
      <c r="Y1632" s="28" t="n"/>
      <c r="Z1632" s="28" t="n"/>
      <c r="AA1632" s="31" t="n"/>
      <c r="AB1632" s="31" t="n"/>
    </row>
    <row r="1633">
      <c r="A1633" s="25" t="inlineStr">
        <is>
          <t>S32</t>
        </is>
      </c>
      <c r="B1633" s="25" t="inlineStr">
        <is>
          <t>함양 신규점</t>
        </is>
      </c>
      <c r="C1633" s="25" t="inlineStr">
        <is>
          <t>S32-H서</t>
        </is>
      </c>
      <c r="D1633" s="25" t="inlineStr">
        <is>
          <t>측정</t>
        </is>
      </c>
      <c r="E1633" s="25" t="inlineStr">
        <is>
          <t>서</t>
        </is>
      </c>
      <c r="F1633" s="30" t="n">
        <v>2</v>
      </c>
      <c r="G1633" s="29" t="n"/>
      <c r="H1633" s="42" t="n"/>
      <c r="I1633" s="40" t="n"/>
      <c r="J1633" s="40" t="n"/>
      <c r="K1633" s="40" t="n"/>
      <c r="L1633" s="30">
        <f>IF(COUNT(I1633:K1633)=0,"",MEDIAN(I1633:K1633))</f>
        <v/>
      </c>
      <c r="M1633" s="25">
        <f>IF(COUNTIFS($C:$C,$C1633,$D:$D,"P0(전)",$L:$L,"&gt;0")&lt;&gt;1,"P0(전) 유효 1개 아님",IF(COUNTIFS($C:$C,$C1633,$D:$D,"P0(후)",$L:$L,"&gt;0")&lt;&gt;1,"P0(후) 유효 1개 아님",IF(NOT(AND(ISNUMBER(N1633),ISNUMBER(P1633),ISNUMBER(H1633))),"시각 결측",IF(P1633&lt;=N1633,"P0 시각 역전",IF(OR(H1633&lt;N1633,H1633&gt;P1633),"측정시각 구간 밖","OK")))))</f>
        <v/>
      </c>
      <c r="N1633" s="45">
        <f>IF(COUNTIFS($C:$C,$C1633,$D:$D,"P0(전)",$L:$L,"&gt;0")&lt;&gt;1,"",SUMIFS($H:$H,$C:$C,$C1633,$D:$D,"P0(전)"))</f>
        <v/>
      </c>
      <c r="O1633" s="30">
        <f>IF(COUNTIFS($C:$C,$C1633,$D:$D,"P0(전)",$L:$L,"&gt;0")&lt;&gt;1,"",SUMIFS($L:$L,$C:$C,$C1633,$D:$D,"P0(전)"))</f>
        <v/>
      </c>
      <c r="P1633" s="45">
        <f>IF(COUNTIFS($C:$C,$C1633,$D:$D,"P0(후)",$L:$L,"&gt;0")&lt;&gt;1,"",SUMIFS($H:$H,$C:$C,$C1633,$D:$D,"P0(후)"))</f>
        <v/>
      </c>
      <c r="Q1633" s="30">
        <f>IF(COUNTIFS($C:$C,$C1633,$D:$D,"P0(후)",$L:$L,"&gt;0")&lt;&gt;1,"",SUMIFS($L:$L,$C:$C,$C1633,$D:$D,"P0(후)"))</f>
        <v/>
      </c>
      <c r="R1633" s="30">
        <f>IF(M1633&lt;&gt;"OK","",O1633+(Q1633-O1633)*(H1633-N1633)/(P1633-N1633))</f>
        <v/>
      </c>
      <c r="S1633" s="30">
        <f>IF(OR(M1633&lt;&gt;"OK",NOT(ISNUMBER(L1633))),"",L1633-R1633)</f>
        <v/>
      </c>
      <c r="T1633" s="46">
        <f>IF(OR(NOT(ISNUMBER(S1633)),IF(ISNUMBER(G1633),G1633,F1633)=0),"",S1633/IF(ISNUMBER(G1633),G1633,F1633))</f>
        <v/>
      </c>
      <c r="U1633" s="46">
        <f>IF(ISNUMBER(T1633),ABS(T1633),"")</f>
        <v/>
      </c>
      <c r="V1633" s="46">
        <f>IF(OR($D1632&lt;&gt;"측정",$C1632&lt;&gt;$C1633,NOT(ISNUMBER(L1633)),NOT(ISNUMBER(L1632)),(IF(ISNUMBER(G1633),G1633,F1633)-IF(ISNUMBER(G1632),G1632,F1632))=0),"",(L1633-L1632)/(IF(ISNUMBER(G1633),G1633,F1633)-IF(ISNUMBER(G1632),G1632,F1632)))</f>
        <v/>
      </c>
      <c r="W1633" s="30">
        <f>IF(NOT(AND(ISNUMBER(N1633),ISNUMBER(P1633))),"",(P1633-N1633)*1440)</f>
        <v/>
      </c>
      <c r="X1633" s="28" t="n"/>
      <c r="Y1633" s="28" t="n"/>
      <c r="Z1633" s="28" t="n"/>
      <c r="AA1633" s="31" t="n"/>
      <c r="AB1633" s="31" t="n"/>
    </row>
    <row r="1634">
      <c r="A1634" s="25" t="inlineStr">
        <is>
          <t>S32</t>
        </is>
      </c>
      <c r="B1634" s="25" t="inlineStr">
        <is>
          <t>함양 신규점</t>
        </is>
      </c>
      <c r="C1634" s="25" t="inlineStr">
        <is>
          <t>S32-H서</t>
        </is>
      </c>
      <c r="D1634" s="25" t="inlineStr">
        <is>
          <t>측정</t>
        </is>
      </c>
      <c r="E1634" s="25" t="inlineStr">
        <is>
          <t>서</t>
        </is>
      </c>
      <c r="F1634" s="30" t="n">
        <v>3</v>
      </c>
      <c r="G1634" s="29" t="n"/>
      <c r="H1634" s="42" t="n"/>
      <c r="I1634" s="40" t="n"/>
      <c r="J1634" s="40" t="n"/>
      <c r="K1634" s="40" t="n"/>
      <c r="L1634" s="30">
        <f>IF(COUNT(I1634:K1634)=0,"",MEDIAN(I1634:K1634))</f>
        <v/>
      </c>
      <c r="M1634" s="25">
        <f>IF(COUNTIFS($C:$C,$C1634,$D:$D,"P0(전)",$L:$L,"&gt;0")&lt;&gt;1,"P0(전) 유효 1개 아님",IF(COUNTIFS($C:$C,$C1634,$D:$D,"P0(후)",$L:$L,"&gt;0")&lt;&gt;1,"P0(후) 유효 1개 아님",IF(NOT(AND(ISNUMBER(N1634),ISNUMBER(P1634),ISNUMBER(H1634))),"시각 결측",IF(P1634&lt;=N1634,"P0 시각 역전",IF(OR(H1634&lt;N1634,H1634&gt;P1634),"측정시각 구간 밖","OK")))))</f>
        <v/>
      </c>
      <c r="N1634" s="45">
        <f>IF(COUNTIFS($C:$C,$C1634,$D:$D,"P0(전)",$L:$L,"&gt;0")&lt;&gt;1,"",SUMIFS($H:$H,$C:$C,$C1634,$D:$D,"P0(전)"))</f>
        <v/>
      </c>
      <c r="O1634" s="30">
        <f>IF(COUNTIFS($C:$C,$C1634,$D:$D,"P0(전)",$L:$L,"&gt;0")&lt;&gt;1,"",SUMIFS($L:$L,$C:$C,$C1634,$D:$D,"P0(전)"))</f>
        <v/>
      </c>
      <c r="P1634" s="45">
        <f>IF(COUNTIFS($C:$C,$C1634,$D:$D,"P0(후)",$L:$L,"&gt;0")&lt;&gt;1,"",SUMIFS($H:$H,$C:$C,$C1634,$D:$D,"P0(후)"))</f>
        <v/>
      </c>
      <c r="Q1634" s="30">
        <f>IF(COUNTIFS($C:$C,$C1634,$D:$D,"P0(후)",$L:$L,"&gt;0")&lt;&gt;1,"",SUMIFS($L:$L,$C:$C,$C1634,$D:$D,"P0(후)"))</f>
        <v/>
      </c>
      <c r="R1634" s="30">
        <f>IF(M1634&lt;&gt;"OK","",O1634+(Q1634-O1634)*(H1634-N1634)/(P1634-N1634))</f>
        <v/>
      </c>
      <c r="S1634" s="30">
        <f>IF(OR(M1634&lt;&gt;"OK",NOT(ISNUMBER(L1634))),"",L1634-R1634)</f>
        <v/>
      </c>
      <c r="T1634" s="46">
        <f>IF(OR(NOT(ISNUMBER(S1634)),IF(ISNUMBER(G1634),G1634,F1634)=0),"",S1634/IF(ISNUMBER(G1634),G1634,F1634))</f>
        <v/>
      </c>
      <c r="U1634" s="46">
        <f>IF(ISNUMBER(T1634),ABS(T1634),"")</f>
        <v/>
      </c>
      <c r="V1634" s="46">
        <f>IF(OR($D1633&lt;&gt;"측정",$C1633&lt;&gt;$C1634,NOT(ISNUMBER(L1634)),NOT(ISNUMBER(L1633)),(IF(ISNUMBER(G1634),G1634,F1634)-IF(ISNUMBER(G1633),G1633,F1633))=0),"",(L1634-L1633)/(IF(ISNUMBER(G1634),G1634,F1634)-IF(ISNUMBER(G1633),G1633,F1633)))</f>
        <v/>
      </c>
      <c r="W1634" s="30">
        <f>IF(NOT(AND(ISNUMBER(N1634),ISNUMBER(P1634))),"",(P1634-N1634)*1440)</f>
        <v/>
      </c>
      <c r="X1634" s="28" t="n"/>
      <c r="Y1634" s="28" t="n"/>
      <c r="Z1634" s="28" t="n"/>
      <c r="AA1634" s="31" t="n"/>
      <c r="AB1634" s="31" t="n"/>
    </row>
    <row r="1635">
      <c r="A1635" s="25" t="inlineStr">
        <is>
          <t>S32</t>
        </is>
      </c>
      <c r="B1635" s="25" t="inlineStr">
        <is>
          <t>함양 신규점</t>
        </is>
      </c>
      <c r="C1635" s="25" t="inlineStr">
        <is>
          <t>S32-H서</t>
        </is>
      </c>
      <c r="D1635" s="25" t="inlineStr">
        <is>
          <t>측정</t>
        </is>
      </c>
      <c r="E1635" s="25" t="inlineStr">
        <is>
          <t>서</t>
        </is>
      </c>
      <c r="F1635" s="30" t="n">
        <v>4</v>
      </c>
      <c r="G1635" s="29" t="n"/>
      <c r="H1635" s="42" t="n"/>
      <c r="I1635" s="40" t="n"/>
      <c r="J1635" s="40" t="n"/>
      <c r="K1635" s="40" t="n"/>
      <c r="L1635" s="30">
        <f>IF(COUNT(I1635:K1635)=0,"",MEDIAN(I1635:K1635))</f>
        <v/>
      </c>
      <c r="M1635" s="25">
        <f>IF(COUNTIFS($C:$C,$C1635,$D:$D,"P0(전)",$L:$L,"&gt;0")&lt;&gt;1,"P0(전) 유효 1개 아님",IF(COUNTIFS($C:$C,$C1635,$D:$D,"P0(후)",$L:$L,"&gt;0")&lt;&gt;1,"P0(후) 유효 1개 아님",IF(NOT(AND(ISNUMBER(N1635),ISNUMBER(P1635),ISNUMBER(H1635))),"시각 결측",IF(P1635&lt;=N1635,"P0 시각 역전",IF(OR(H1635&lt;N1635,H1635&gt;P1635),"측정시각 구간 밖","OK")))))</f>
        <v/>
      </c>
      <c r="N1635" s="45">
        <f>IF(COUNTIFS($C:$C,$C1635,$D:$D,"P0(전)",$L:$L,"&gt;0")&lt;&gt;1,"",SUMIFS($H:$H,$C:$C,$C1635,$D:$D,"P0(전)"))</f>
        <v/>
      </c>
      <c r="O1635" s="30">
        <f>IF(COUNTIFS($C:$C,$C1635,$D:$D,"P0(전)",$L:$L,"&gt;0")&lt;&gt;1,"",SUMIFS($L:$L,$C:$C,$C1635,$D:$D,"P0(전)"))</f>
        <v/>
      </c>
      <c r="P1635" s="45">
        <f>IF(COUNTIFS($C:$C,$C1635,$D:$D,"P0(후)",$L:$L,"&gt;0")&lt;&gt;1,"",SUMIFS($H:$H,$C:$C,$C1635,$D:$D,"P0(후)"))</f>
        <v/>
      </c>
      <c r="Q1635" s="30">
        <f>IF(COUNTIFS($C:$C,$C1635,$D:$D,"P0(후)",$L:$L,"&gt;0")&lt;&gt;1,"",SUMIFS($L:$L,$C:$C,$C1635,$D:$D,"P0(후)"))</f>
        <v/>
      </c>
      <c r="R1635" s="30">
        <f>IF(M1635&lt;&gt;"OK","",O1635+(Q1635-O1635)*(H1635-N1635)/(P1635-N1635))</f>
        <v/>
      </c>
      <c r="S1635" s="30">
        <f>IF(OR(M1635&lt;&gt;"OK",NOT(ISNUMBER(L1635))),"",L1635-R1635)</f>
        <v/>
      </c>
      <c r="T1635" s="46">
        <f>IF(OR(NOT(ISNUMBER(S1635)),IF(ISNUMBER(G1635),G1635,F1635)=0),"",S1635/IF(ISNUMBER(G1635),G1635,F1635))</f>
        <v/>
      </c>
      <c r="U1635" s="46">
        <f>IF(ISNUMBER(T1635),ABS(T1635),"")</f>
        <v/>
      </c>
      <c r="V1635" s="46">
        <f>IF(OR($D1634&lt;&gt;"측정",$C1634&lt;&gt;$C1635,NOT(ISNUMBER(L1635)),NOT(ISNUMBER(L1634)),(IF(ISNUMBER(G1635),G1635,F1635)-IF(ISNUMBER(G1634),G1634,F1634))=0),"",(L1635-L1634)/(IF(ISNUMBER(G1635),G1635,F1635)-IF(ISNUMBER(G1634),G1634,F1634)))</f>
        <v/>
      </c>
      <c r="W1635" s="30">
        <f>IF(NOT(AND(ISNUMBER(N1635),ISNUMBER(P1635))),"",(P1635-N1635)*1440)</f>
        <v/>
      </c>
      <c r="X1635" s="28" t="n"/>
      <c r="Y1635" s="28" t="n"/>
      <c r="Z1635" s="28" t="n"/>
      <c r="AA1635" s="31" t="n"/>
      <c r="AB1635" s="31" t="n"/>
    </row>
    <row r="1636">
      <c r="A1636" s="25" t="inlineStr">
        <is>
          <t>S32</t>
        </is>
      </c>
      <c r="B1636" s="25" t="inlineStr">
        <is>
          <t>함양 신규점</t>
        </is>
      </c>
      <c r="C1636" s="25" t="inlineStr">
        <is>
          <t>S32-H서</t>
        </is>
      </c>
      <c r="D1636" s="25" t="inlineStr">
        <is>
          <t>측정</t>
        </is>
      </c>
      <c r="E1636" s="25" t="inlineStr">
        <is>
          <t>서</t>
        </is>
      </c>
      <c r="F1636" s="30" t="n">
        <v>5</v>
      </c>
      <c r="G1636" s="29" t="n"/>
      <c r="H1636" s="42" t="n"/>
      <c r="I1636" s="40" t="n"/>
      <c r="J1636" s="40" t="n"/>
      <c r="K1636" s="40" t="n"/>
      <c r="L1636" s="30">
        <f>IF(COUNT(I1636:K1636)=0,"",MEDIAN(I1636:K1636))</f>
        <v/>
      </c>
      <c r="M1636" s="25">
        <f>IF(COUNTIFS($C:$C,$C1636,$D:$D,"P0(전)",$L:$L,"&gt;0")&lt;&gt;1,"P0(전) 유효 1개 아님",IF(COUNTIFS($C:$C,$C1636,$D:$D,"P0(후)",$L:$L,"&gt;0")&lt;&gt;1,"P0(후) 유효 1개 아님",IF(NOT(AND(ISNUMBER(N1636),ISNUMBER(P1636),ISNUMBER(H1636))),"시각 결측",IF(P1636&lt;=N1636,"P0 시각 역전",IF(OR(H1636&lt;N1636,H1636&gt;P1636),"측정시각 구간 밖","OK")))))</f>
        <v/>
      </c>
      <c r="N1636" s="45">
        <f>IF(COUNTIFS($C:$C,$C1636,$D:$D,"P0(전)",$L:$L,"&gt;0")&lt;&gt;1,"",SUMIFS($H:$H,$C:$C,$C1636,$D:$D,"P0(전)"))</f>
        <v/>
      </c>
      <c r="O1636" s="30">
        <f>IF(COUNTIFS($C:$C,$C1636,$D:$D,"P0(전)",$L:$L,"&gt;0")&lt;&gt;1,"",SUMIFS($L:$L,$C:$C,$C1636,$D:$D,"P0(전)"))</f>
        <v/>
      </c>
      <c r="P1636" s="45">
        <f>IF(COUNTIFS($C:$C,$C1636,$D:$D,"P0(후)",$L:$L,"&gt;0")&lt;&gt;1,"",SUMIFS($H:$H,$C:$C,$C1636,$D:$D,"P0(후)"))</f>
        <v/>
      </c>
      <c r="Q1636" s="30">
        <f>IF(COUNTIFS($C:$C,$C1636,$D:$D,"P0(후)",$L:$L,"&gt;0")&lt;&gt;1,"",SUMIFS($L:$L,$C:$C,$C1636,$D:$D,"P0(후)"))</f>
        <v/>
      </c>
      <c r="R1636" s="30">
        <f>IF(M1636&lt;&gt;"OK","",O1636+(Q1636-O1636)*(H1636-N1636)/(P1636-N1636))</f>
        <v/>
      </c>
      <c r="S1636" s="30">
        <f>IF(OR(M1636&lt;&gt;"OK",NOT(ISNUMBER(L1636))),"",L1636-R1636)</f>
        <v/>
      </c>
      <c r="T1636" s="46">
        <f>IF(OR(NOT(ISNUMBER(S1636)),IF(ISNUMBER(G1636),G1636,F1636)=0),"",S1636/IF(ISNUMBER(G1636),G1636,F1636))</f>
        <v/>
      </c>
      <c r="U1636" s="46">
        <f>IF(ISNUMBER(T1636),ABS(T1636),"")</f>
        <v/>
      </c>
      <c r="V1636" s="46">
        <f>IF(OR($D1635&lt;&gt;"측정",$C1635&lt;&gt;$C1636,NOT(ISNUMBER(L1636)),NOT(ISNUMBER(L1635)),(IF(ISNUMBER(G1636),G1636,F1636)-IF(ISNUMBER(G1635),G1635,F1635))=0),"",(L1636-L1635)/(IF(ISNUMBER(G1636),G1636,F1636)-IF(ISNUMBER(G1635),G1635,F1635)))</f>
        <v/>
      </c>
      <c r="W1636" s="30">
        <f>IF(NOT(AND(ISNUMBER(N1636),ISNUMBER(P1636))),"",(P1636-N1636)*1440)</f>
        <v/>
      </c>
      <c r="X1636" s="28" t="n"/>
      <c r="Y1636" s="28" t="n"/>
      <c r="Z1636" s="28" t="n"/>
      <c r="AA1636" s="31" t="n"/>
      <c r="AB1636" s="31" t="n"/>
    </row>
    <row r="1637">
      <c r="A1637" s="25" t="inlineStr">
        <is>
          <t>S32</t>
        </is>
      </c>
      <c r="B1637" s="25" t="inlineStr">
        <is>
          <t>함양 신규점</t>
        </is>
      </c>
      <c r="C1637" s="25" t="inlineStr">
        <is>
          <t>S32-H서</t>
        </is>
      </c>
      <c r="D1637" s="25" t="inlineStr">
        <is>
          <t>측정</t>
        </is>
      </c>
      <c r="E1637" s="25" t="inlineStr">
        <is>
          <t>서</t>
        </is>
      </c>
      <c r="F1637" s="30" t="n">
        <v>6</v>
      </c>
      <c r="G1637" s="29" t="n"/>
      <c r="H1637" s="42" t="n"/>
      <c r="I1637" s="40" t="n"/>
      <c r="J1637" s="40" t="n"/>
      <c r="K1637" s="40" t="n"/>
      <c r="L1637" s="30">
        <f>IF(COUNT(I1637:K1637)=0,"",MEDIAN(I1637:K1637))</f>
        <v/>
      </c>
      <c r="M1637" s="25">
        <f>IF(COUNTIFS($C:$C,$C1637,$D:$D,"P0(전)",$L:$L,"&gt;0")&lt;&gt;1,"P0(전) 유효 1개 아님",IF(COUNTIFS($C:$C,$C1637,$D:$D,"P0(후)",$L:$L,"&gt;0")&lt;&gt;1,"P0(후) 유효 1개 아님",IF(NOT(AND(ISNUMBER(N1637),ISNUMBER(P1637),ISNUMBER(H1637))),"시각 결측",IF(P1637&lt;=N1637,"P0 시각 역전",IF(OR(H1637&lt;N1637,H1637&gt;P1637),"측정시각 구간 밖","OK")))))</f>
        <v/>
      </c>
      <c r="N1637" s="45">
        <f>IF(COUNTIFS($C:$C,$C1637,$D:$D,"P0(전)",$L:$L,"&gt;0")&lt;&gt;1,"",SUMIFS($H:$H,$C:$C,$C1637,$D:$D,"P0(전)"))</f>
        <v/>
      </c>
      <c r="O1637" s="30">
        <f>IF(COUNTIFS($C:$C,$C1637,$D:$D,"P0(전)",$L:$L,"&gt;0")&lt;&gt;1,"",SUMIFS($L:$L,$C:$C,$C1637,$D:$D,"P0(전)"))</f>
        <v/>
      </c>
      <c r="P1637" s="45">
        <f>IF(COUNTIFS($C:$C,$C1637,$D:$D,"P0(후)",$L:$L,"&gt;0")&lt;&gt;1,"",SUMIFS($H:$H,$C:$C,$C1637,$D:$D,"P0(후)"))</f>
        <v/>
      </c>
      <c r="Q1637" s="30">
        <f>IF(COUNTIFS($C:$C,$C1637,$D:$D,"P0(후)",$L:$L,"&gt;0")&lt;&gt;1,"",SUMIFS($L:$L,$C:$C,$C1637,$D:$D,"P0(후)"))</f>
        <v/>
      </c>
      <c r="R1637" s="30">
        <f>IF(M1637&lt;&gt;"OK","",O1637+(Q1637-O1637)*(H1637-N1637)/(P1637-N1637))</f>
        <v/>
      </c>
      <c r="S1637" s="30">
        <f>IF(OR(M1637&lt;&gt;"OK",NOT(ISNUMBER(L1637))),"",L1637-R1637)</f>
        <v/>
      </c>
      <c r="T1637" s="46">
        <f>IF(OR(NOT(ISNUMBER(S1637)),IF(ISNUMBER(G1637),G1637,F1637)=0),"",S1637/IF(ISNUMBER(G1637),G1637,F1637))</f>
        <v/>
      </c>
      <c r="U1637" s="46">
        <f>IF(ISNUMBER(T1637),ABS(T1637),"")</f>
        <v/>
      </c>
      <c r="V1637" s="46">
        <f>IF(OR($D1636&lt;&gt;"측정",$C1636&lt;&gt;$C1637,NOT(ISNUMBER(L1637)),NOT(ISNUMBER(L1636)),(IF(ISNUMBER(G1637),G1637,F1637)-IF(ISNUMBER(G1636),G1636,F1636))=0),"",(L1637-L1636)/(IF(ISNUMBER(G1637),G1637,F1637)-IF(ISNUMBER(G1636),G1636,F1636)))</f>
        <v/>
      </c>
      <c r="W1637" s="30">
        <f>IF(NOT(AND(ISNUMBER(N1637),ISNUMBER(P1637))),"",(P1637-N1637)*1440)</f>
        <v/>
      </c>
      <c r="X1637" s="28" t="n"/>
      <c r="Y1637" s="28" t="n"/>
      <c r="Z1637" s="28" t="n"/>
      <c r="AA1637" s="31" t="n"/>
      <c r="AB1637" s="31" t="n"/>
    </row>
    <row r="1638">
      <c r="A1638" s="25" t="inlineStr">
        <is>
          <t>S32</t>
        </is>
      </c>
      <c r="B1638" s="25" t="inlineStr">
        <is>
          <t>함양 신규점</t>
        </is>
      </c>
      <c r="C1638" s="25" t="inlineStr">
        <is>
          <t>S32-H서</t>
        </is>
      </c>
      <c r="D1638" s="25" t="inlineStr">
        <is>
          <t>측정</t>
        </is>
      </c>
      <c r="E1638" s="25" t="inlineStr">
        <is>
          <t>서</t>
        </is>
      </c>
      <c r="F1638" s="30" t="n">
        <v>7</v>
      </c>
      <c r="G1638" s="29" t="n"/>
      <c r="H1638" s="42" t="n"/>
      <c r="I1638" s="40" t="n"/>
      <c r="J1638" s="40" t="n"/>
      <c r="K1638" s="40" t="n"/>
      <c r="L1638" s="30">
        <f>IF(COUNT(I1638:K1638)=0,"",MEDIAN(I1638:K1638))</f>
        <v/>
      </c>
      <c r="M1638" s="25">
        <f>IF(COUNTIFS($C:$C,$C1638,$D:$D,"P0(전)",$L:$L,"&gt;0")&lt;&gt;1,"P0(전) 유효 1개 아님",IF(COUNTIFS($C:$C,$C1638,$D:$D,"P0(후)",$L:$L,"&gt;0")&lt;&gt;1,"P0(후) 유효 1개 아님",IF(NOT(AND(ISNUMBER(N1638),ISNUMBER(P1638),ISNUMBER(H1638))),"시각 결측",IF(P1638&lt;=N1638,"P0 시각 역전",IF(OR(H1638&lt;N1638,H1638&gt;P1638),"측정시각 구간 밖","OK")))))</f>
        <v/>
      </c>
      <c r="N1638" s="45">
        <f>IF(COUNTIFS($C:$C,$C1638,$D:$D,"P0(전)",$L:$L,"&gt;0")&lt;&gt;1,"",SUMIFS($H:$H,$C:$C,$C1638,$D:$D,"P0(전)"))</f>
        <v/>
      </c>
      <c r="O1638" s="30">
        <f>IF(COUNTIFS($C:$C,$C1638,$D:$D,"P0(전)",$L:$L,"&gt;0")&lt;&gt;1,"",SUMIFS($L:$L,$C:$C,$C1638,$D:$D,"P0(전)"))</f>
        <v/>
      </c>
      <c r="P1638" s="45">
        <f>IF(COUNTIFS($C:$C,$C1638,$D:$D,"P0(후)",$L:$L,"&gt;0")&lt;&gt;1,"",SUMIFS($H:$H,$C:$C,$C1638,$D:$D,"P0(후)"))</f>
        <v/>
      </c>
      <c r="Q1638" s="30">
        <f>IF(COUNTIFS($C:$C,$C1638,$D:$D,"P0(후)",$L:$L,"&gt;0")&lt;&gt;1,"",SUMIFS($L:$L,$C:$C,$C1638,$D:$D,"P0(후)"))</f>
        <v/>
      </c>
      <c r="R1638" s="30">
        <f>IF(M1638&lt;&gt;"OK","",O1638+(Q1638-O1638)*(H1638-N1638)/(P1638-N1638))</f>
        <v/>
      </c>
      <c r="S1638" s="30">
        <f>IF(OR(M1638&lt;&gt;"OK",NOT(ISNUMBER(L1638))),"",L1638-R1638)</f>
        <v/>
      </c>
      <c r="T1638" s="46">
        <f>IF(OR(NOT(ISNUMBER(S1638)),IF(ISNUMBER(G1638),G1638,F1638)=0),"",S1638/IF(ISNUMBER(G1638),G1638,F1638))</f>
        <v/>
      </c>
      <c r="U1638" s="46">
        <f>IF(ISNUMBER(T1638),ABS(T1638),"")</f>
        <v/>
      </c>
      <c r="V1638" s="46">
        <f>IF(OR($D1637&lt;&gt;"측정",$C1637&lt;&gt;$C1638,NOT(ISNUMBER(L1638)),NOT(ISNUMBER(L1637)),(IF(ISNUMBER(G1638),G1638,F1638)-IF(ISNUMBER(G1637),G1637,F1637))=0),"",(L1638-L1637)/(IF(ISNUMBER(G1638),G1638,F1638)-IF(ISNUMBER(G1637),G1637,F1637)))</f>
        <v/>
      </c>
      <c r="W1638" s="30">
        <f>IF(NOT(AND(ISNUMBER(N1638),ISNUMBER(P1638))),"",(P1638-N1638)*1440)</f>
        <v/>
      </c>
      <c r="X1638" s="28" t="n"/>
      <c r="Y1638" s="28" t="n"/>
      <c r="Z1638" s="28" t="n"/>
      <c r="AA1638" s="31" t="n"/>
      <c r="AB1638" s="31" t="n"/>
    </row>
    <row r="1639">
      <c r="A1639" s="25" t="inlineStr">
        <is>
          <t>S32</t>
        </is>
      </c>
      <c r="B1639" s="25" t="inlineStr">
        <is>
          <t>함양 신규점</t>
        </is>
      </c>
      <c r="C1639" s="25" t="inlineStr">
        <is>
          <t>S32-H서</t>
        </is>
      </c>
      <c r="D1639" s="25" t="inlineStr">
        <is>
          <t>측정</t>
        </is>
      </c>
      <c r="E1639" s="25" t="inlineStr">
        <is>
          <t>서</t>
        </is>
      </c>
      <c r="F1639" s="30" t="n">
        <v>8</v>
      </c>
      <c r="G1639" s="29" t="n"/>
      <c r="H1639" s="42" t="n"/>
      <c r="I1639" s="40" t="n"/>
      <c r="J1639" s="40" t="n"/>
      <c r="K1639" s="40" t="n"/>
      <c r="L1639" s="30">
        <f>IF(COUNT(I1639:K1639)=0,"",MEDIAN(I1639:K1639))</f>
        <v/>
      </c>
      <c r="M1639" s="25">
        <f>IF(COUNTIFS($C:$C,$C1639,$D:$D,"P0(전)",$L:$L,"&gt;0")&lt;&gt;1,"P0(전) 유효 1개 아님",IF(COUNTIFS($C:$C,$C1639,$D:$D,"P0(후)",$L:$L,"&gt;0")&lt;&gt;1,"P0(후) 유효 1개 아님",IF(NOT(AND(ISNUMBER(N1639),ISNUMBER(P1639),ISNUMBER(H1639))),"시각 결측",IF(P1639&lt;=N1639,"P0 시각 역전",IF(OR(H1639&lt;N1639,H1639&gt;P1639),"측정시각 구간 밖","OK")))))</f>
        <v/>
      </c>
      <c r="N1639" s="45">
        <f>IF(COUNTIFS($C:$C,$C1639,$D:$D,"P0(전)",$L:$L,"&gt;0")&lt;&gt;1,"",SUMIFS($H:$H,$C:$C,$C1639,$D:$D,"P0(전)"))</f>
        <v/>
      </c>
      <c r="O1639" s="30">
        <f>IF(COUNTIFS($C:$C,$C1639,$D:$D,"P0(전)",$L:$L,"&gt;0")&lt;&gt;1,"",SUMIFS($L:$L,$C:$C,$C1639,$D:$D,"P0(전)"))</f>
        <v/>
      </c>
      <c r="P1639" s="45">
        <f>IF(COUNTIFS($C:$C,$C1639,$D:$D,"P0(후)",$L:$L,"&gt;0")&lt;&gt;1,"",SUMIFS($H:$H,$C:$C,$C1639,$D:$D,"P0(후)"))</f>
        <v/>
      </c>
      <c r="Q1639" s="30">
        <f>IF(COUNTIFS($C:$C,$C1639,$D:$D,"P0(후)",$L:$L,"&gt;0")&lt;&gt;1,"",SUMIFS($L:$L,$C:$C,$C1639,$D:$D,"P0(후)"))</f>
        <v/>
      </c>
      <c r="R1639" s="30">
        <f>IF(M1639&lt;&gt;"OK","",O1639+(Q1639-O1639)*(H1639-N1639)/(P1639-N1639))</f>
        <v/>
      </c>
      <c r="S1639" s="30">
        <f>IF(OR(M1639&lt;&gt;"OK",NOT(ISNUMBER(L1639))),"",L1639-R1639)</f>
        <v/>
      </c>
      <c r="T1639" s="46">
        <f>IF(OR(NOT(ISNUMBER(S1639)),IF(ISNUMBER(G1639),G1639,F1639)=0),"",S1639/IF(ISNUMBER(G1639),G1639,F1639))</f>
        <v/>
      </c>
      <c r="U1639" s="46">
        <f>IF(ISNUMBER(T1639),ABS(T1639),"")</f>
        <v/>
      </c>
      <c r="V1639" s="46">
        <f>IF(OR($D1638&lt;&gt;"측정",$C1638&lt;&gt;$C1639,NOT(ISNUMBER(L1639)),NOT(ISNUMBER(L1638)),(IF(ISNUMBER(G1639),G1639,F1639)-IF(ISNUMBER(G1638),G1638,F1638))=0),"",(L1639-L1638)/(IF(ISNUMBER(G1639),G1639,F1639)-IF(ISNUMBER(G1638),G1638,F1638)))</f>
        <v/>
      </c>
      <c r="W1639" s="30">
        <f>IF(NOT(AND(ISNUMBER(N1639),ISNUMBER(P1639))),"",(P1639-N1639)*1440)</f>
        <v/>
      </c>
      <c r="X1639" s="28" t="n"/>
      <c r="Y1639" s="28" t="n"/>
      <c r="Z1639" s="28" t="n"/>
      <c r="AA1639" s="31" t="n"/>
      <c r="AB1639" s="31" t="n"/>
    </row>
    <row r="1640">
      <c r="A1640" s="25" t="inlineStr">
        <is>
          <t>S32</t>
        </is>
      </c>
      <c r="B1640" s="25" t="inlineStr">
        <is>
          <t>함양 신규점</t>
        </is>
      </c>
      <c r="C1640" s="25" t="inlineStr">
        <is>
          <t>S32-H서</t>
        </is>
      </c>
      <c r="D1640" s="25" t="inlineStr">
        <is>
          <t>측정</t>
        </is>
      </c>
      <c r="E1640" s="25" t="inlineStr">
        <is>
          <t>서</t>
        </is>
      </c>
      <c r="F1640" s="30" t="n">
        <v>9</v>
      </c>
      <c r="G1640" s="29" t="n"/>
      <c r="H1640" s="42" t="n"/>
      <c r="I1640" s="40" t="n"/>
      <c r="J1640" s="40" t="n"/>
      <c r="K1640" s="40" t="n"/>
      <c r="L1640" s="30">
        <f>IF(COUNT(I1640:K1640)=0,"",MEDIAN(I1640:K1640))</f>
        <v/>
      </c>
      <c r="M1640" s="25">
        <f>IF(COUNTIFS($C:$C,$C1640,$D:$D,"P0(전)",$L:$L,"&gt;0")&lt;&gt;1,"P0(전) 유효 1개 아님",IF(COUNTIFS($C:$C,$C1640,$D:$D,"P0(후)",$L:$L,"&gt;0")&lt;&gt;1,"P0(후) 유효 1개 아님",IF(NOT(AND(ISNUMBER(N1640),ISNUMBER(P1640),ISNUMBER(H1640))),"시각 결측",IF(P1640&lt;=N1640,"P0 시각 역전",IF(OR(H1640&lt;N1640,H1640&gt;P1640),"측정시각 구간 밖","OK")))))</f>
        <v/>
      </c>
      <c r="N1640" s="45">
        <f>IF(COUNTIFS($C:$C,$C1640,$D:$D,"P0(전)",$L:$L,"&gt;0")&lt;&gt;1,"",SUMIFS($H:$H,$C:$C,$C1640,$D:$D,"P0(전)"))</f>
        <v/>
      </c>
      <c r="O1640" s="30">
        <f>IF(COUNTIFS($C:$C,$C1640,$D:$D,"P0(전)",$L:$L,"&gt;0")&lt;&gt;1,"",SUMIFS($L:$L,$C:$C,$C1640,$D:$D,"P0(전)"))</f>
        <v/>
      </c>
      <c r="P1640" s="45">
        <f>IF(COUNTIFS($C:$C,$C1640,$D:$D,"P0(후)",$L:$L,"&gt;0")&lt;&gt;1,"",SUMIFS($H:$H,$C:$C,$C1640,$D:$D,"P0(후)"))</f>
        <v/>
      </c>
      <c r="Q1640" s="30">
        <f>IF(COUNTIFS($C:$C,$C1640,$D:$D,"P0(후)",$L:$L,"&gt;0")&lt;&gt;1,"",SUMIFS($L:$L,$C:$C,$C1640,$D:$D,"P0(후)"))</f>
        <v/>
      </c>
      <c r="R1640" s="30">
        <f>IF(M1640&lt;&gt;"OK","",O1640+(Q1640-O1640)*(H1640-N1640)/(P1640-N1640))</f>
        <v/>
      </c>
      <c r="S1640" s="30">
        <f>IF(OR(M1640&lt;&gt;"OK",NOT(ISNUMBER(L1640))),"",L1640-R1640)</f>
        <v/>
      </c>
      <c r="T1640" s="46">
        <f>IF(OR(NOT(ISNUMBER(S1640)),IF(ISNUMBER(G1640),G1640,F1640)=0),"",S1640/IF(ISNUMBER(G1640),G1640,F1640))</f>
        <v/>
      </c>
      <c r="U1640" s="46">
        <f>IF(ISNUMBER(T1640),ABS(T1640),"")</f>
        <v/>
      </c>
      <c r="V1640" s="46">
        <f>IF(OR($D1639&lt;&gt;"측정",$C1639&lt;&gt;$C1640,NOT(ISNUMBER(L1640)),NOT(ISNUMBER(L1639)),(IF(ISNUMBER(G1640),G1640,F1640)-IF(ISNUMBER(G1639),G1639,F1639))=0),"",(L1640-L1639)/(IF(ISNUMBER(G1640),G1640,F1640)-IF(ISNUMBER(G1639),G1639,F1639)))</f>
        <v/>
      </c>
      <c r="W1640" s="30">
        <f>IF(NOT(AND(ISNUMBER(N1640),ISNUMBER(P1640))),"",(P1640-N1640)*1440)</f>
        <v/>
      </c>
      <c r="X1640" s="28" t="n"/>
      <c r="Y1640" s="28" t="n"/>
      <c r="Z1640" s="28" t="n"/>
      <c r="AA1640" s="31" t="n"/>
      <c r="AB1640" s="31" t="n"/>
    </row>
    <row r="1641">
      <c r="A1641" s="25" t="inlineStr">
        <is>
          <t>S32</t>
        </is>
      </c>
      <c r="B1641" s="25" t="inlineStr">
        <is>
          <t>함양 신규점</t>
        </is>
      </c>
      <c r="C1641" s="25" t="inlineStr">
        <is>
          <t>S32-H서</t>
        </is>
      </c>
      <c r="D1641" s="25" t="inlineStr">
        <is>
          <t>측정</t>
        </is>
      </c>
      <c r="E1641" s="25" t="inlineStr">
        <is>
          <t>서</t>
        </is>
      </c>
      <c r="F1641" s="30" t="n">
        <v>10</v>
      </c>
      <c r="G1641" s="29" t="n"/>
      <c r="H1641" s="42" t="n"/>
      <c r="I1641" s="40" t="n"/>
      <c r="J1641" s="40" t="n"/>
      <c r="K1641" s="40" t="n"/>
      <c r="L1641" s="30">
        <f>IF(COUNT(I1641:K1641)=0,"",MEDIAN(I1641:K1641))</f>
        <v/>
      </c>
      <c r="M1641" s="25">
        <f>IF(COUNTIFS($C:$C,$C1641,$D:$D,"P0(전)",$L:$L,"&gt;0")&lt;&gt;1,"P0(전) 유효 1개 아님",IF(COUNTIFS($C:$C,$C1641,$D:$D,"P0(후)",$L:$L,"&gt;0")&lt;&gt;1,"P0(후) 유효 1개 아님",IF(NOT(AND(ISNUMBER(N1641),ISNUMBER(P1641),ISNUMBER(H1641))),"시각 결측",IF(P1641&lt;=N1641,"P0 시각 역전",IF(OR(H1641&lt;N1641,H1641&gt;P1641),"측정시각 구간 밖","OK")))))</f>
        <v/>
      </c>
      <c r="N1641" s="45">
        <f>IF(COUNTIFS($C:$C,$C1641,$D:$D,"P0(전)",$L:$L,"&gt;0")&lt;&gt;1,"",SUMIFS($H:$H,$C:$C,$C1641,$D:$D,"P0(전)"))</f>
        <v/>
      </c>
      <c r="O1641" s="30">
        <f>IF(COUNTIFS($C:$C,$C1641,$D:$D,"P0(전)",$L:$L,"&gt;0")&lt;&gt;1,"",SUMIFS($L:$L,$C:$C,$C1641,$D:$D,"P0(전)"))</f>
        <v/>
      </c>
      <c r="P1641" s="45">
        <f>IF(COUNTIFS($C:$C,$C1641,$D:$D,"P0(후)",$L:$L,"&gt;0")&lt;&gt;1,"",SUMIFS($H:$H,$C:$C,$C1641,$D:$D,"P0(후)"))</f>
        <v/>
      </c>
      <c r="Q1641" s="30">
        <f>IF(COUNTIFS($C:$C,$C1641,$D:$D,"P0(후)",$L:$L,"&gt;0")&lt;&gt;1,"",SUMIFS($L:$L,$C:$C,$C1641,$D:$D,"P0(후)"))</f>
        <v/>
      </c>
      <c r="R1641" s="30">
        <f>IF(M1641&lt;&gt;"OK","",O1641+(Q1641-O1641)*(H1641-N1641)/(P1641-N1641))</f>
        <v/>
      </c>
      <c r="S1641" s="30">
        <f>IF(OR(M1641&lt;&gt;"OK",NOT(ISNUMBER(L1641))),"",L1641-R1641)</f>
        <v/>
      </c>
      <c r="T1641" s="46">
        <f>IF(OR(NOT(ISNUMBER(S1641)),IF(ISNUMBER(G1641),G1641,F1641)=0),"",S1641/IF(ISNUMBER(G1641),G1641,F1641))</f>
        <v/>
      </c>
      <c r="U1641" s="46">
        <f>IF(ISNUMBER(T1641),ABS(T1641),"")</f>
        <v/>
      </c>
      <c r="V1641" s="46">
        <f>IF(OR($D1640&lt;&gt;"측정",$C1640&lt;&gt;$C1641,NOT(ISNUMBER(L1641)),NOT(ISNUMBER(L1640)),(IF(ISNUMBER(G1641),G1641,F1641)-IF(ISNUMBER(G1640),G1640,F1640))=0),"",(L1641-L1640)/(IF(ISNUMBER(G1641),G1641,F1641)-IF(ISNUMBER(G1640),G1640,F1640)))</f>
        <v/>
      </c>
      <c r="W1641" s="30">
        <f>IF(NOT(AND(ISNUMBER(N1641),ISNUMBER(P1641))),"",(P1641-N1641)*1440)</f>
        <v/>
      </c>
      <c r="X1641" s="28" t="n"/>
      <c r="Y1641" s="28" t="n"/>
      <c r="Z1641" s="28" t="n"/>
      <c r="AA1641" s="31" t="n"/>
      <c r="AB1641" s="31" t="n"/>
    </row>
    <row r="1642">
      <c r="A1642" s="43" t="inlineStr">
        <is>
          <t>S32</t>
        </is>
      </c>
      <c r="B1642" s="43" t="inlineStr">
        <is>
          <t>함양 신규점</t>
        </is>
      </c>
      <c r="C1642" s="43" t="inlineStr">
        <is>
          <t>S32-H서</t>
        </is>
      </c>
      <c r="D1642" s="43" t="inlineStr">
        <is>
          <t>P0(후)</t>
        </is>
      </c>
      <c r="E1642" s="43" t="inlineStr">
        <is>
          <t>서</t>
        </is>
      </c>
      <c r="F1642" s="44" t="n"/>
      <c r="G1642" s="29" t="n"/>
      <c r="H1642" s="42" t="n"/>
      <c r="I1642" s="40" t="n"/>
      <c r="J1642" s="40" t="n"/>
      <c r="K1642" s="40" t="n"/>
      <c r="L1642" s="30">
        <f>IF(COUNT(I1642:K1642)=0,"",MEDIAN(I1642:K1642))</f>
        <v/>
      </c>
      <c r="M1642" s="37" t="n"/>
      <c r="N1642" s="37" t="n"/>
      <c r="O1642" s="37" t="n"/>
      <c r="P1642" s="37" t="n"/>
      <c r="Q1642" s="37" t="n"/>
      <c r="R1642" s="37" t="n"/>
      <c r="S1642" s="37" t="n"/>
      <c r="T1642" s="37" t="n"/>
      <c r="U1642" s="37" t="n"/>
      <c r="V1642" s="37" t="n"/>
      <c r="W1642" s="37" t="n"/>
      <c r="X1642" s="28" t="n"/>
      <c r="Y1642" s="28" t="n"/>
      <c r="Z1642" s="28" t="n"/>
      <c r="AA1642" s="31" t="n"/>
      <c r="AB1642" s="31" t="n"/>
    </row>
    <row r="1643">
      <c r="A1643" s="43" t="inlineStr">
        <is>
          <t>S32</t>
        </is>
      </c>
      <c r="B1643" s="43" t="inlineStr">
        <is>
          <t>함양 신규점</t>
        </is>
      </c>
      <c r="C1643" s="43" t="inlineStr">
        <is>
          <t>S32-H남</t>
        </is>
      </c>
      <c r="D1643" s="43" t="inlineStr">
        <is>
          <t>P0(전)</t>
        </is>
      </c>
      <c r="E1643" s="43" t="inlineStr">
        <is>
          <t>남</t>
        </is>
      </c>
      <c r="F1643" s="44" t="n"/>
      <c r="G1643" s="29" t="n"/>
      <c r="H1643" s="42" t="n"/>
      <c r="I1643" s="40" t="n"/>
      <c r="J1643" s="40" t="n"/>
      <c r="K1643" s="40" t="n"/>
      <c r="L1643" s="30">
        <f>IF(COUNT(I1643:K1643)=0,"",MEDIAN(I1643:K1643))</f>
        <v/>
      </c>
      <c r="M1643" s="37" t="n"/>
      <c r="N1643" s="37" t="n"/>
      <c r="O1643" s="37" t="n"/>
      <c r="P1643" s="37" t="n"/>
      <c r="Q1643" s="37" t="n"/>
      <c r="R1643" s="37" t="n"/>
      <c r="S1643" s="37" t="n"/>
      <c r="T1643" s="37" t="n"/>
      <c r="U1643" s="37" t="n"/>
      <c r="V1643" s="37" t="n"/>
      <c r="W1643" s="37" t="n"/>
      <c r="X1643" s="28" t="n"/>
      <c r="Y1643" s="28" t="n"/>
      <c r="Z1643" s="28" t="n"/>
      <c r="AA1643" s="31" t="n"/>
      <c r="AB1643" s="31" t="n"/>
    </row>
    <row r="1644">
      <c r="A1644" s="25" t="inlineStr">
        <is>
          <t>S32</t>
        </is>
      </c>
      <c r="B1644" s="25" t="inlineStr">
        <is>
          <t>함양 신규점</t>
        </is>
      </c>
      <c r="C1644" s="25" t="inlineStr">
        <is>
          <t>S32-H남</t>
        </is>
      </c>
      <c r="D1644" s="25" t="inlineStr">
        <is>
          <t>측정</t>
        </is>
      </c>
      <c r="E1644" s="25" t="inlineStr">
        <is>
          <t>남</t>
        </is>
      </c>
      <c r="F1644" s="30" t="n">
        <v>0.5</v>
      </c>
      <c r="G1644" s="29" t="n"/>
      <c r="H1644" s="42" t="n"/>
      <c r="I1644" s="40" t="n"/>
      <c r="J1644" s="40" t="n"/>
      <c r="K1644" s="40" t="n"/>
      <c r="L1644" s="30">
        <f>IF(COUNT(I1644:K1644)=0,"",MEDIAN(I1644:K1644))</f>
        <v/>
      </c>
      <c r="M1644" s="25">
        <f>IF(COUNTIFS($C:$C,$C1644,$D:$D,"P0(전)",$L:$L,"&gt;0")&lt;&gt;1,"P0(전) 유효 1개 아님",IF(COUNTIFS($C:$C,$C1644,$D:$D,"P0(후)",$L:$L,"&gt;0")&lt;&gt;1,"P0(후) 유효 1개 아님",IF(NOT(AND(ISNUMBER(N1644),ISNUMBER(P1644),ISNUMBER(H1644))),"시각 결측",IF(P1644&lt;=N1644,"P0 시각 역전",IF(OR(H1644&lt;N1644,H1644&gt;P1644),"측정시각 구간 밖","OK")))))</f>
        <v/>
      </c>
      <c r="N1644" s="45">
        <f>IF(COUNTIFS($C:$C,$C1644,$D:$D,"P0(전)",$L:$L,"&gt;0")&lt;&gt;1,"",SUMIFS($H:$H,$C:$C,$C1644,$D:$D,"P0(전)"))</f>
        <v/>
      </c>
      <c r="O1644" s="30">
        <f>IF(COUNTIFS($C:$C,$C1644,$D:$D,"P0(전)",$L:$L,"&gt;0")&lt;&gt;1,"",SUMIFS($L:$L,$C:$C,$C1644,$D:$D,"P0(전)"))</f>
        <v/>
      </c>
      <c r="P1644" s="45">
        <f>IF(COUNTIFS($C:$C,$C1644,$D:$D,"P0(후)",$L:$L,"&gt;0")&lt;&gt;1,"",SUMIFS($H:$H,$C:$C,$C1644,$D:$D,"P0(후)"))</f>
        <v/>
      </c>
      <c r="Q1644" s="30">
        <f>IF(COUNTIFS($C:$C,$C1644,$D:$D,"P0(후)",$L:$L,"&gt;0")&lt;&gt;1,"",SUMIFS($L:$L,$C:$C,$C1644,$D:$D,"P0(후)"))</f>
        <v/>
      </c>
      <c r="R1644" s="30">
        <f>IF(M1644&lt;&gt;"OK","",O1644+(Q1644-O1644)*(H1644-N1644)/(P1644-N1644))</f>
        <v/>
      </c>
      <c r="S1644" s="30">
        <f>IF(OR(M1644&lt;&gt;"OK",NOT(ISNUMBER(L1644))),"",L1644-R1644)</f>
        <v/>
      </c>
      <c r="T1644" s="46">
        <f>IF(OR(NOT(ISNUMBER(S1644)),IF(ISNUMBER(G1644),G1644,F1644)=0),"",S1644/IF(ISNUMBER(G1644),G1644,F1644))</f>
        <v/>
      </c>
      <c r="U1644" s="46">
        <f>IF(ISNUMBER(T1644),ABS(T1644),"")</f>
        <v/>
      </c>
      <c r="V1644" s="46">
        <f>IF(OR($D1643&lt;&gt;"측정",$C1643&lt;&gt;$C1644,NOT(ISNUMBER(L1644)),NOT(ISNUMBER(L1643)),(IF(ISNUMBER(G1644),G1644,F1644)-IF(ISNUMBER(G1643),G1643,F1643))=0),"",(L1644-L1643)/(IF(ISNUMBER(G1644),G1644,F1644)-IF(ISNUMBER(G1643),G1643,F1643)))</f>
        <v/>
      </c>
      <c r="W1644" s="30">
        <f>IF(NOT(AND(ISNUMBER(N1644),ISNUMBER(P1644))),"",(P1644-N1644)*1440)</f>
        <v/>
      </c>
      <c r="X1644" s="28" t="n"/>
      <c r="Y1644" s="28" t="n"/>
      <c r="Z1644" s="28" t="n"/>
      <c r="AA1644" s="31" t="n"/>
      <c r="AB1644" s="31" t="n"/>
    </row>
    <row r="1645">
      <c r="A1645" s="25" t="inlineStr">
        <is>
          <t>S32</t>
        </is>
      </c>
      <c r="B1645" s="25" t="inlineStr">
        <is>
          <t>함양 신규점</t>
        </is>
      </c>
      <c r="C1645" s="25" t="inlineStr">
        <is>
          <t>S32-H남</t>
        </is>
      </c>
      <c r="D1645" s="25" t="inlineStr">
        <is>
          <t>측정</t>
        </is>
      </c>
      <c r="E1645" s="25" t="inlineStr">
        <is>
          <t>남</t>
        </is>
      </c>
      <c r="F1645" s="30" t="n">
        <v>1</v>
      </c>
      <c r="G1645" s="29" t="n"/>
      <c r="H1645" s="42" t="n"/>
      <c r="I1645" s="40" t="n"/>
      <c r="J1645" s="40" t="n"/>
      <c r="K1645" s="40" t="n"/>
      <c r="L1645" s="30">
        <f>IF(COUNT(I1645:K1645)=0,"",MEDIAN(I1645:K1645))</f>
        <v/>
      </c>
      <c r="M1645" s="25">
        <f>IF(COUNTIFS($C:$C,$C1645,$D:$D,"P0(전)",$L:$L,"&gt;0")&lt;&gt;1,"P0(전) 유효 1개 아님",IF(COUNTIFS($C:$C,$C1645,$D:$D,"P0(후)",$L:$L,"&gt;0")&lt;&gt;1,"P0(후) 유효 1개 아님",IF(NOT(AND(ISNUMBER(N1645),ISNUMBER(P1645),ISNUMBER(H1645))),"시각 결측",IF(P1645&lt;=N1645,"P0 시각 역전",IF(OR(H1645&lt;N1645,H1645&gt;P1645),"측정시각 구간 밖","OK")))))</f>
        <v/>
      </c>
      <c r="N1645" s="45">
        <f>IF(COUNTIFS($C:$C,$C1645,$D:$D,"P0(전)",$L:$L,"&gt;0")&lt;&gt;1,"",SUMIFS($H:$H,$C:$C,$C1645,$D:$D,"P0(전)"))</f>
        <v/>
      </c>
      <c r="O1645" s="30">
        <f>IF(COUNTIFS($C:$C,$C1645,$D:$D,"P0(전)",$L:$L,"&gt;0")&lt;&gt;1,"",SUMIFS($L:$L,$C:$C,$C1645,$D:$D,"P0(전)"))</f>
        <v/>
      </c>
      <c r="P1645" s="45">
        <f>IF(COUNTIFS($C:$C,$C1645,$D:$D,"P0(후)",$L:$L,"&gt;0")&lt;&gt;1,"",SUMIFS($H:$H,$C:$C,$C1645,$D:$D,"P0(후)"))</f>
        <v/>
      </c>
      <c r="Q1645" s="30">
        <f>IF(COUNTIFS($C:$C,$C1645,$D:$D,"P0(후)",$L:$L,"&gt;0")&lt;&gt;1,"",SUMIFS($L:$L,$C:$C,$C1645,$D:$D,"P0(후)"))</f>
        <v/>
      </c>
      <c r="R1645" s="30">
        <f>IF(M1645&lt;&gt;"OK","",O1645+(Q1645-O1645)*(H1645-N1645)/(P1645-N1645))</f>
        <v/>
      </c>
      <c r="S1645" s="30">
        <f>IF(OR(M1645&lt;&gt;"OK",NOT(ISNUMBER(L1645))),"",L1645-R1645)</f>
        <v/>
      </c>
      <c r="T1645" s="46">
        <f>IF(OR(NOT(ISNUMBER(S1645)),IF(ISNUMBER(G1645),G1645,F1645)=0),"",S1645/IF(ISNUMBER(G1645),G1645,F1645))</f>
        <v/>
      </c>
      <c r="U1645" s="46">
        <f>IF(ISNUMBER(T1645),ABS(T1645),"")</f>
        <v/>
      </c>
      <c r="V1645" s="46">
        <f>IF(OR($D1644&lt;&gt;"측정",$C1644&lt;&gt;$C1645,NOT(ISNUMBER(L1645)),NOT(ISNUMBER(L1644)),(IF(ISNUMBER(G1645),G1645,F1645)-IF(ISNUMBER(G1644),G1644,F1644))=0),"",(L1645-L1644)/(IF(ISNUMBER(G1645),G1645,F1645)-IF(ISNUMBER(G1644),G1644,F1644)))</f>
        <v/>
      </c>
      <c r="W1645" s="30">
        <f>IF(NOT(AND(ISNUMBER(N1645),ISNUMBER(P1645))),"",(P1645-N1645)*1440)</f>
        <v/>
      </c>
      <c r="X1645" s="28" t="n"/>
      <c r="Y1645" s="28" t="n"/>
      <c r="Z1645" s="28" t="n"/>
      <c r="AA1645" s="31" t="n"/>
      <c r="AB1645" s="31" t="n"/>
    </row>
    <row r="1646">
      <c r="A1646" s="25" t="inlineStr">
        <is>
          <t>S32</t>
        </is>
      </c>
      <c r="B1646" s="25" t="inlineStr">
        <is>
          <t>함양 신규점</t>
        </is>
      </c>
      <c r="C1646" s="25" t="inlineStr">
        <is>
          <t>S32-H남</t>
        </is>
      </c>
      <c r="D1646" s="25" t="inlineStr">
        <is>
          <t>측정</t>
        </is>
      </c>
      <c r="E1646" s="25" t="inlineStr">
        <is>
          <t>남</t>
        </is>
      </c>
      <c r="F1646" s="30" t="n">
        <v>2</v>
      </c>
      <c r="G1646" s="29" t="n"/>
      <c r="H1646" s="42" t="n"/>
      <c r="I1646" s="40" t="n"/>
      <c r="J1646" s="40" t="n"/>
      <c r="K1646" s="40" t="n"/>
      <c r="L1646" s="30">
        <f>IF(COUNT(I1646:K1646)=0,"",MEDIAN(I1646:K1646))</f>
        <v/>
      </c>
      <c r="M1646" s="25">
        <f>IF(COUNTIFS($C:$C,$C1646,$D:$D,"P0(전)",$L:$L,"&gt;0")&lt;&gt;1,"P0(전) 유효 1개 아님",IF(COUNTIFS($C:$C,$C1646,$D:$D,"P0(후)",$L:$L,"&gt;0")&lt;&gt;1,"P0(후) 유효 1개 아님",IF(NOT(AND(ISNUMBER(N1646),ISNUMBER(P1646),ISNUMBER(H1646))),"시각 결측",IF(P1646&lt;=N1646,"P0 시각 역전",IF(OR(H1646&lt;N1646,H1646&gt;P1646),"측정시각 구간 밖","OK")))))</f>
        <v/>
      </c>
      <c r="N1646" s="45">
        <f>IF(COUNTIFS($C:$C,$C1646,$D:$D,"P0(전)",$L:$L,"&gt;0")&lt;&gt;1,"",SUMIFS($H:$H,$C:$C,$C1646,$D:$D,"P0(전)"))</f>
        <v/>
      </c>
      <c r="O1646" s="30">
        <f>IF(COUNTIFS($C:$C,$C1646,$D:$D,"P0(전)",$L:$L,"&gt;0")&lt;&gt;1,"",SUMIFS($L:$L,$C:$C,$C1646,$D:$D,"P0(전)"))</f>
        <v/>
      </c>
      <c r="P1646" s="45">
        <f>IF(COUNTIFS($C:$C,$C1646,$D:$D,"P0(후)",$L:$L,"&gt;0")&lt;&gt;1,"",SUMIFS($H:$H,$C:$C,$C1646,$D:$D,"P0(후)"))</f>
        <v/>
      </c>
      <c r="Q1646" s="30">
        <f>IF(COUNTIFS($C:$C,$C1646,$D:$D,"P0(후)",$L:$L,"&gt;0")&lt;&gt;1,"",SUMIFS($L:$L,$C:$C,$C1646,$D:$D,"P0(후)"))</f>
        <v/>
      </c>
      <c r="R1646" s="30">
        <f>IF(M1646&lt;&gt;"OK","",O1646+(Q1646-O1646)*(H1646-N1646)/(P1646-N1646))</f>
        <v/>
      </c>
      <c r="S1646" s="30">
        <f>IF(OR(M1646&lt;&gt;"OK",NOT(ISNUMBER(L1646))),"",L1646-R1646)</f>
        <v/>
      </c>
      <c r="T1646" s="46">
        <f>IF(OR(NOT(ISNUMBER(S1646)),IF(ISNUMBER(G1646),G1646,F1646)=0),"",S1646/IF(ISNUMBER(G1646),G1646,F1646))</f>
        <v/>
      </c>
      <c r="U1646" s="46">
        <f>IF(ISNUMBER(T1646),ABS(T1646),"")</f>
        <v/>
      </c>
      <c r="V1646" s="46">
        <f>IF(OR($D1645&lt;&gt;"측정",$C1645&lt;&gt;$C1646,NOT(ISNUMBER(L1646)),NOT(ISNUMBER(L1645)),(IF(ISNUMBER(G1646),G1646,F1646)-IF(ISNUMBER(G1645),G1645,F1645))=0),"",(L1646-L1645)/(IF(ISNUMBER(G1646),G1646,F1646)-IF(ISNUMBER(G1645),G1645,F1645)))</f>
        <v/>
      </c>
      <c r="W1646" s="30">
        <f>IF(NOT(AND(ISNUMBER(N1646),ISNUMBER(P1646))),"",(P1646-N1646)*1440)</f>
        <v/>
      </c>
      <c r="X1646" s="28" t="n"/>
      <c r="Y1646" s="28" t="n"/>
      <c r="Z1646" s="28" t="n"/>
      <c r="AA1646" s="31" t="n"/>
      <c r="AB1646" s="31" t="n"/>
    </row>
    <row r="1647">
      <c r="A1647" s="25" t="inlineStr">
        <is>
          <t>S32</t>
        </is>
      </c>
      <c r="B1647" s="25" t="inlineStr">
        <is>
          <t>함양 신규점</t>
        </is>
      </c>
      <c r="C1647" s="25" t="inlineStr">
        <is>
          <t>S32-H남</t>
        </is>
      </c>
      <c r="D1647" s="25" t="inlineStr">
        <is>
          <t>측정</t>
        </is>
      </c>
      <c r="E1647" s="25" t="inlineStr">
        <is>
          <t>남</t>
        </is>
      </c>
      <c r="F1647" s="30" t="n">
        <v>3</v>
      </c>
      <c r="G1647" s="29" t="n"/>
      <c r="H1647" s="42" t="n"/>
      <c r="I1647" s="40" t="n"/>
      <c r="J1647" s="40" t="n"/>
      <c r="K1647" s="40" t="n"/>
      <c r="L1647" s="30">
        <f>IF(COUNT(I1647:K1647)=0,"",MEDIAN(I1647:K1647))</f>
        <v/>
      </c>
      <c r="M1647" s="25">
        <f>IF(COUNTIFS($C:$C,$C1647,$D:$D,"P0(전)",$L:$L,"&gt;0")&lt;&gt;1,"P0(전) 유효 1개 아님",IF(COUNTIFS($C:$C,$C1647,$D:$D,"P0(후)",$L:$L,"&gt;0")&lt;&gt;1,"P0(후) 유효 1개 아님",IF(NOT(AND(ISNUMBER(N1647),ISNUMBER(P1647),ISNUMBER(H1647))),"시각 결측",IF(P1647&lt;=N1647,"P0 시각 역전",IF(OR(H1647&lt;N1647,H1647&gt;P1647),"측정시각 구간 밖","OK")))))</f>
        <v/>
      </c>
      <c r="N1647" s="45">
        <f>IF(COUNTIFS($C:$C,$C1647,$D:$D,"P0(전)",$L:$L,"&gt;0")&lt;&gt;1,"",SUMIFS($H:$H,$C:$C,$C1647,$D:$D,"P0(전)"))</f>
        <v/>
      </c>
      <c r="O1647" s="30">
        <f>IF(COUNTIFS($C:$C,$C1647,$D:$D,"P0(전)",$L:$L,"&gt;0")&lt;&gt;1,"",SUMIFS($L:$L,$C:$C,$C1647,$D:$D,"P0(전)"))</f>
        <v/>
      </c>
      <c r="P1647" s="45">
        <f>IF(COUNTIFS($C:$C,$C1647,$D:$D,"P0(후)",$L:$L,"&gt;0")&lt;&gt;1,"",SUMIFS($H:$H,$C:$C,$C1647,$D:$D,"P0(후)"))</f>
        <v/>
      </c>
      <c r="Q1647" s="30">
        <f>IF(COUNTIFS($C:$C,$C1647,$D:$D,"P0(후)",$L:$L,"&gt;0")&lt;&gt;1,"",SUMIFS($L:$L,$C:$C,$C1647,$D:$D,"P0(후)"))</f>
        <v/>
      </c>
      <c r="R1647" s="30">
        <f>IF(M1647&lt;&gt;"OK","",O1647+(Q1647-O1647)*(H1647-N1647)/(P1647-N1647))</f>
        <v/>
      </c>
      <c r="S1647" s="30">
        <f>IF(OR(M1647&lt;&gt;"OK",NOT(ISNUMBER(L1647))),"",L1647-R1647)</f>
        <v/>
      </c>
      <c r="T1647" s="46">
        <f>IF(OR(NOT(ISNUMBER(S1647)),IF(ISNUMBER(G1647),G1647,F1647)=0),"",S1647/IF(ISNUMBER(G1647),G1647,F1647))</f>
        <v/>
      </c>
      <c r="U1647" s="46">
        <f>IF(ISNUMBER(T1647),ABS(T1647),"")</f>
        <v/>
      </c>
      <c r="V1647" s="46">
        <f>IF(OR($D1646&lt;&gt;"측정",$C1646&lt;&gt;$C1647,NOT(ISNUMBER(L1647)),NOT(ISNUMBER(L1646)),(IF(ISNUMBER(G1647),G1647,F1647)-IF(ISNUMBER(G1646),G1646,F1646))=0),"",(L1647-L1646)/(IF(ISNUMBER(G1647),G1647,F1647)-IF(ISNUMBER(G1646),G1646,F1646)))</f>
        <v/>
      </c>
      <c r="W1647" s="30">
        <f>IF(NOT(AND(ISNUMBER(N1647),ISNUMBER(P1647))),"",(P1647-N1647)*1440)</f>
        <v/>
      </c>
      <c r="X1647" s="28" t="n"/>
      <c r="Y1647" s="28" t="n"/>
      <c r="Z1647" s="28" t="n"/>
      <c r="AA1647" s="31" t="n"/>
      <c r="AB1647" s="31" t="n"/>
    </row>
    <row r="1648">
      <c r="A1648" s="25" t="inlineStr">
        <is>
          <t>S32</t>
        </is>
      </c>
      <c r="B1648" s="25" t="inlineStr">
        <is>
          <t>함양 신규점</t>
        </is>
      </c>
      <c r="C1648" s="25" t="inlineStr">
        <is>
          <t>S32-H남</t>
        </is>
      </c>
      <c r="D1648" s="25" t="inlineStr">
        <is>
          <t>측정</t>
        </is>
      </c>
      <c r="E1648" s="25" t="inlineStr">
        <is>
          <t>남</t>
        </is>
      </c>
      <c r="F1648" s="30" t="n">
        <v>4</v>
      </c>
      <c r="G1648" s="29" t="n"/>
      <c r="H1648" s="42" t="n"/>
      <c r="I1648" s="40" t="n"/>
      <c r="J1648" s="40" t="n"/>
      <c r="K1648" s="40" t="n"/>
      <c r="L1648" s="30">
        <f>IF(COUNT(I1648:K1648)=0,"",MEDIAN(I1648:K1648))</f>
        <v/>
      </c>
      <c r="M1648" s="25">
        <f>IF(COUNTIFS($C:$C,$C1648,$D:$D,"P0(전)",$L:$L,"&gt;0")&lt;&gt;1,"P0(전) 유효 1개 아님",IF(COUNTIFS($C:$C,$C1648,$D:$D,"P0(후)",$L:$L,"&gt;0")&lt;&gt;1,"P0(후) 유효 1개 아님",IF(NOT(AND(ISNUMBER(N1648),ISNUMBER(P1648),ISNUMBER(H1648))),"시각 결측",IF(P1648&lt;=N1648,"P0 시각 역전",IF(OR(H1648&lt;N1648,H1648&gt;P1648),"측정시각 구간 밖","OK")))))</f>
        <v/>
      </c>
      <c r="N1648" s="45">
        <f>IF(COUNTIFS($C:$C,$C1648,$D:$D,"P0(전)",$L:$L,"&gt;0")&lt;&gt;1,"",SUMIFS($H:$H,$C:$C,$C1648,$D:$D,"P0(전)"))</f>
        <v/>
      </c>
      <c r="O1648" s="30">
        <f>IF(COUNTIFS($C:$C,$C1648,$D:$D,"P0(전)",$L:$L,"&gt;0")&lt;&gt;1,"",SUMIFS($L:$L,$C:$C,$C1648,$D:$D,"P0(전)"))</f>
        <v/>
      </c>
      <c r="P1648" s="45">
        <f>IF(COUNTIFS($C:$C,$C1648,$D:$D,"P0(후)",$L:$L,"&gt;0")&lt;&gt;1,"",SUMIFS($H:$H,$C:$C,$C1648,$D:$D,"P0(후)"))</f>
        <v/>
      </c>
      <c r="Q1648" s="30">
        <f>IF(COUNTIFS($C:$C,$C1648,$D:$D,"P0(후)",$L:$L,"&gt;0")&lt;&gt;1,"",SUMIFS($L:$L,$C:$C,$C1648,$D:$D,"P0(후)"))</f>
        <v/>
      </c>
      <c r="R1648" s="30">
        <f>IF(M1648&lt;&gt;"OK","",O1648+(Q1648-O1648)*(H1648-N1648)/(P1648-N1648))</f>
        <v/>
      </c>
      <c r="S1648" s="30">
        <f>IF(OR(M1648&lt;&gt;"OK",NOT(ISNUMBER(L1648))),"",L1648-R1648)</f>
        <v/>
      </c>
      <c r="T1648" s="46">
        <f>IF(OR(NOT(ISNUMBER(S1648)),IF(ISNUMBER(G1648),G1648,F1648)=0),"",S1648/IF(ISNUMBER(G1648),G1648,F1648))</f>
        <v/>
      </c>
      <c r="U1648" s="46">
        <f>IF(ISNUMBER(T1648),ABS(T1648),"")</f>
        <v/>
      </c>
      <c r="V1648" s="46">
        <f>IF(OR($D1647&lt;&gt;"측정",$C1647&lt;&gt;$C1648,NOT(ISNUMBER(L1648)),NOT(ISNUMBER(L1647)),(IF(ISNUMBER(G1648),G1648,F1648)-IF(ISNUMBER(G1647),G1647,F1647))=0),"",(L1648-L1647)/(IF(ISNUMBER(G1648),G1648,F1648)-IF(ISNUMBER(G1647),G1647,F1647)))</f>
        <v/>
      </c>
      <c r="W1648" s="30">
        <f>IF(NOT(AND(ISNUMBER(N1648),ISNUMBER(P1648))),"",(P1648-N1648)*1440)</f>
        <v/>
      </c>
      <c r="X1648" s="28" t="n"/>
      <c r="Y1648" s="28" t="n"/>
      <c r="Z1648" s="28" t="n"/>
      <c r="AA1648" s="31" t="n"/>
      <c r="AB1648" s="31" t="n"/>
    </row>
    <row r="1649">
      <c r="A1649" s="25" t="inlineStr">
        <is>
          <t>S32</t>
        </is>
      </c>
      <c r="B1649" s="25" t="inlineStr">
        <is>
          <t>함양 신규점</t>
        </is>
      </c>
      <c r="C1649" s="25" t="inlineStr">
        <is>
          <t>S32-H남</t>
        </is>
      </c>
      <c r="D1649" s="25" t="inlineStr">
        <is>
          <t>측정</t>
        </is>
      </c>
      <c r="E1649" s="25" t="inlineStr">
        <is>
          <t>남</t>
        </is>
      </c>
      <c r="F1649" s="30" t="n">
        <v>5</v>
      </c>
      <c r="G1649" s="29" t="n"/>
      <c r="H1649" s="42" t="n"/>
      <c r="I1649" s="40" t="n"/>
      <c r="J1649" s="40" t="n"/>
      <c r="K1649" s="40" t="n"/>
      <c r="L1649" s="30">
        <f>IF(COUNT(I1649:K1649)=0,"",MEDIAN(I1649:K1649))</f>
        <v/>
      </c>
      <c r="M1649" s="25">
        <f>IF(COUNTIFS($C:$C,$C1649,$D:$D,"P0(전)",$L:$L,"&gt;0")&lt;&gt;1,"P0(전) 유효 1개 아님",IF(COUNTIFS($C:$C,$C1649,$D:$D,"P0(후)",$L:$L,"&gt;0")&lt;&gt;1,"P0(후) 유효 1개 아님",IF(NOT(AND(ISNUMBER(N1649),ISNUMBER(P1649),ISNUMBER(H1649))),"시각 결측",IF(P1649&lt;=N1649,"P0 시각 역전",IF(OR(H1649&lt;N1649,H1649&gt;P1649),"측정시각 구간 밖","OK")))))</f>
        <v/>
      </c>
      <c r="N1649" s="45">
        <f>IF(COUNTIFS($C:$C,$C1649,$D:$D,"P0(전)",$L:$L,"&gt;0")&lt;&gt;1,"",SUMIFS($H:$H,$C:$C,$C1649,$D:$D,"P0(전)"))</f>
        <v/>
      </c>
      <c r="O1649" s="30">
        <f>IF(COUNTIFS($C:$C,$C1649,$D:$D,"P0(전)",$L:$L,"&gt;0")&lt;&gt;1,"",SUMIFS($L:$L,$C:$C,$C1649,$D:$D,"P0(전)"))</f>
        <v/>
      </c>
      <c r="P1649" s="45">
        <f>IF(COUNTIFS($C:$C,$C1649,$D:$D,"P0(후)",$L:$L,"&gt;0")&lt;&gt;1,"",SUMIFS($H:$H,$C:$C,$C1649,$D:$D,"P0(후)"))</f>
        <v/>
      </c>
      <c r="Q1649" s="30">
        <f>IF(COUNTIFS($C:$C,$C1649,$D:$D,"P0(후)",$L:$L,"&gt;0")&lt;&gt;1,"",SUMIFS($L:$L,$C:$C,$C1649,$D:$D,"P0(후)"))</f>
        <v/>
      </c>
      <c r="R1649" s="30">
        <f>IF(M1649&lt;&gt;"OK","",O1649+(Q1649-O1649)*(H1649-N1649)/(P1649-N1649))</f>
        <v/>
      </c>
      <c r="S1649" s="30">
        <f>IF(OR(M1649&lt;&gt;"OK",NOT(ISNUMBER(L1649))),"",L1649-R1649)</f>
        <v/>
      </c>
      <c r="T1649" s="46">
        <f>IF(OR(NOT(ISNUMBER(S1649)),IF(ISNUMBER(G1649),G1649,F1649)=0),"",S1649/IF(ISNUMBER(G1649),G1649,F1649))</f>
        <v/>
      </c>
      <c r="U1649" s="46">
        <f>IF(ISNUMBER(T1649),ABS(T1649),"")</f>
        <v/>
      </c>
      <c r="V1649" s="46">
        <f>IF(OR($D1648&lt;&gt;"측정",$C1648&lt;&gt;$C1649,NOT(ISNUMBER(L1649)),NOT(ISNUMBER(L1648)),(IF(ISNUMBER(G1649),G1649,F1649)-IF(ISNUMBER(G1648),G1648,F1648))=0),"",(L1649-L1648)/(IF(ISNUMBER(G1649),G1649,F1649)-IF(ISNUMBER(G1648),G1648,F1648)))</f>
        <v/>
      </c>
      <c r="W1649" s="30">
        <f>IF(NOT(AND(ISNUMBER(N1649),ISNUMBER(P1649))),"",(P1649-N1649)*1440)</f>
        <v/>
      </c>
      <c r="X1649" s="28" t="n"/>
      <c r="Y1649" s="28" t="n"/>
      <c r="Z1649" s="28" t="n"/>
      <c r="AA1649" s="31" t="n"/>
      <c r="AB1649" s="31" t="n"/>
    </row>
    <row r="1650">
      <c r="A1650" s="25" t="inlineStr">
        <is>
          <t>S32</t>
        </is>
      </c>
      <c r="B1650" s="25" t="inlineStr">
        <is>
          <t>함양 신규점</t>
        </is>
      </c>
      <c r="C1650" s="25" t="inlineStr">
        <is>
          <t>S32-H남</t>
        </is>
      </c>
      <c r="D1650" s="25" t="inlineStr">
        <is>
          <t>측정</t>
        </is>
      </c>
      <c r="E1650" s="25" t="inlineStr">
        <is>
          <t>남</t>
        </is>
      </c>
      <c r="F1650" s="30" t="n">
        <v>6</v>
      </c>
      <c r="G1650" s="29" t="n"/>
      <c r="H1650" s="42" t="n"/>
      <c r="I1650" s="40" t="n"/>
      <c r="J1650" s="40" t="n"/>
      <c r="K1650" s="40" t="n"/>
      <c r="L1650" s="30">
        <f>IF(COUNT(I1650:K1650)=0,"",MEDIAN(I1650:K1650))</f>
        <v/>
      </c>
      <c r="M1650" s="25">
        <f>IF(COUNTIFS($C:$C,$C1650,$D:$D,"P0(전)",$L:$L,"&gt;0")&lt;&gt;1,"P0(전) 유효 1개 아님",IF(COUNTIFS($C:$C,$C1650,$D:$D,"P0(후)",$L:$L,"&gt;0")&lt;&gt;1,"P0(후) 유효 1개 아님",IF(NOT(AND(ISNUMBER(N1650),ISNUMBER(P1650),ISNUMBER(H1650))),"시각 결측",IF(P1650&lt;=N1650,"P0 시각 역전",IF(OR(H1650&lt;N1650,H1650&gt;P1650),"측정시각 구간 밖","OK")))))</f>
        <v/>
      </c>
      <c r="N1650" s="45">
        <f>IF(COUNTIFS($C:$C,$C1650,$D:$D,"P0(전)",$L:$L,"&gt;0")&lt;&gt;1,"",SUMIFS($H:$H,$C:$C,$C1650,$D:$D,"P0(전)"))</f>
        <v/>
      </c>
      <c r="O1650" s="30">
        <f>IF(COUNTIFS($C:$C,$C1650,$D:$D,"P0(전)",$L:$L,"&gt;0")&lt;&gt;1,"",SUMIFS($L:$L,$C:$C,$C1650,$D:$D,"P0(전)"))</f>
        <v/>
      </c>
      <c r="P1650" s="45">
        <f>IF(COUNTIFS($C:$C,$C1650,$D:$D,"P0(후)",$L:$L,"&gt;0")&lt;&gt;1,"",SUMIFS($H:$H,$C:$C,$C1650,$D:$D,"P0(후)"))</f>
        <v/>
      </c>
      <c r="Q1650" s="30">
        <f>IF(COUNTIFS($C:$C,$C1650,$D:$D,"P0(후)",$L:$L,"&gt;0")&lt;&gt;1,"",SUMIFS($L:$L,$C:$C,$C1650,$D:$D,"P0(후)"))</f>
        <v/>
      </c>
      <c r="R1650" s="30">
        <f>IF(M1650&lt;&gt;"OK","",O1650+(Q1650-O1650)*(H1650-N1650)/(P1650-N1650))</f>
        <v/>
      </c>
      <c r="S1650" s="30">
        <f>IF(OR(M1650&lt;&gt;"OK",NOT(ISNUMBER(L1650))),"",L1650-R1650)</f>
        <v/>
      </c>
      <c r="T1650" s="46">
        <f>IF(OR(NOT(ISNUMBER(S1650)),IF(ISNUMBER(G1650),G1650,F1650)=0),"",S1650/IF(ISNUMBER(G1650),G1650,F1650))</f>
        <v/>
      </c>
      <c r="U1650" s="46">
        <f>IF(ISNUMBER(T1650),ABS(T1650),"")</f>
        <v/>
      </c>
      <c r="V1650" s="46">
        <f>IF(OR($D1649&lt;&gt;"측정",$C1649&lt;&gt;$C1650,NOT(ISNUMBER(L1650)),NOT(ISNUMBER(L1649)),(IF(ISNUMBER(G1650),G1650,F1650)-IF(ISNUMBER(G1649),G1649,F1649))=0),"",(L1650-L1649)/(IF(ISNUMBER(G1650),G1650,F1650)-IF(ISNUMBER(G1649),G1649,F1649)))</f>
        <v/>
      </c>
      <c r="W1650" s="30">
        <f>IF(NOT(AND(ISNUMBER(N1650),ISNUMBER(P1650))),"",(P1650-N1650)*1440)</f>
        <v/>
      </c>
      <c r="X1650" s="28" t="n"/>
      <c r="Y1650" s="28" t="n"/>
      <c r="Z1650" s="28" t="n"/>
      <c r="AA1650" s="31" t="n"/>
      <c r="AB1650" s="31" t="n"/>
    </row>
    <row r="1651">
      <c r="A1651" s="25" t="inlineStr">
        <is>
          <t>S32</t>
        </is>
      </c>
      <c r="B1651" s="25" t="inlineStr">
        <is>
          <t>함양 신규점</t>
        </is>
      </c>
      <c r="C1651" s="25" t="inlineStr">
        <is>
          <t>S32-H남</t>
        </is>
      </c>
      <c r="D1651" s="25" t="inlineStr">
        <is>
          <t>측정</t>
        </is>
      </c>
      <c r="E1651" s="25" t="inlineStr">
        <is>
          <t>남</t>
        </is>
      </c>
      <c r="F1651" s="30" t="n">
        <v>7</v>
      </c>
      <c r="G1651" s="29" t="n"/>
      <c r="H1651" s="42" t="n"/>
      <c r="I1651" s="40" t="n"/>
      <c r="J1651" s="40" t="n"/>
      <c r="K1651" s="40" t="n"/>
      <c r="L1651" s="30">
        <f>IF(COUNT(I1651:K1651)=0,"",MEDIAN(I1651:K1651))</f>
        <v/>
      </c>
      <c r="M1651" s="25">
        <f>IF(COUNTIFS($C:$C,$C1651,$D:$D,"P0(전)",$L:$L,"&gt;0")&lt;&gt;1,"P0(전) 유효 1개 아님",IF(COUNTIFS($C:$C,$C1651,$D:$D,"P0(후)",$L:$L,"&gt;0")&lt;&gt;1,"P0(후) 유효 1개 아님",IF(NOT(AND(ISNUMBER(N1651),ISNUMBER(P1651),ISNUMBER(H1651))),"시각 결측",IF(P1651&lt;=N1651,"P0 시각 역전",IF(OR(H1651&lt;N1651,H1651&gt;P1651),"측정시각 구간 밖","OK")))))</f>
        <v/>
      </c>
      <c r="N1651" s="45">
        <f>IF(COUNTIFS($C:$C,$C1651,$D:$D,"P0(전)",$L:$L,"&gt;0")&lt;&gt;1,"",SUMIFS($H:$H,$C:$C,$C1651,$D:$D,"P0(전)"))</f>
        <v/>
      </c>
      <c r="O1651" s="30">
        <f>IF(COUNTIFS($C:$C,$C1651,$D:$D,"P0(전)",$L:$L,"&gt;0")&lt;&gt;1,"",SUMIFS($L:$L,$C:$C,$C1651,$D:$D,"P0(전)"))</f>
        <v/>
      </c>
      <c r="P1651" s="45">
        <f>IF(COUNTIFS($C:$C,$C1651,$D:$D,"P0(후)",$L:$L,"&gt;0")&lt;&gt;1,"",SUMIFS($H:$H,$C:$C,$C1651,$D:$D,"P0(후)"))</f>
        <v/>
      </c>
      <c r="Q1651" s="30">
        <f>IF(COUNTIFS($C:$C,$C1651,$D:$D,"P0(후)",$L:$L,"&gt;0")&lt;&gt;1,"",SUMIFS($L:$L,$C:$C,$C1651,$D:$D,"P0(후)"))</f>
        <v/>
      </c>
      <c r="R1651" s="30">
        <f>IF(M1651&lt;&gt;"OK","",O1651+(Q1651-O1651)*(H1651-N1651)/(P1651-N1651))</f>
        <v/>
      </c>
      <c r="S1651" s="30">
        <f>IF(OR(M1651&lt;&gt;"OK",NOT(ISNUMBER(L1651))),"",L1651-R1651)</f>
        <v/>
      </c>
      <c r="T1651" s="46">
        <f>IF(OR(NOT(ISNUMBER(S1651)),IF(ISNUMBER(G1651),G1651,F1651)=0),"",S1651/IF(ISNUMBER(G1651),G1651,F1651))</f>
        <v/>
      </c>
      <c r="U1651" s="46">
        <f>IF(ISNUMBER(T1651),ABS(T1651),"")</f>
        <v/>
      </c>
      <c r="V1651" s="46">
        <f>IF(OR($D1650&lt;&gt;"측정",$C1650&lt;&gt;$C1651,NOT(ISNUMBER(L1651)),NOT(ISNUMBER(L1650)),(IF(ISNUMBER(G1651),G1651,F1651)-IF(ISNUMBER(G1650),G1650,F1650))=0),"",(L1651-L1650)/(IF(ISNUMBER(G1651),G1651,F1651)-IF(ISNUMBER(G1650),G1650,F1650)))</f>
        <v/>
      </c>
      <c r="W1651" s="30">
        <f>IF(NOT(AND(ISNUMBER(N1651),ISNUMBER(P1651))),"",(P1651-N1651)*1440)</f>
        <v/>
      </c>
      <c r="X1651" s="28" t="n"/>
      <c r="Y1651" s="28" t="n"/>
      <c r="Z1651" s="28" t="n"/>
      <c r="AA1651" s="31" t="n"/>
      <c r="AB1651" s="31" t="n"/>
    </row>
    <row r="1652">
      <c r="A1652" s="25" t="inlineStr">
        <is>
          <t>S32</t>
        </is>
      </c>
      <c r="B1652" s="25" t="inlineStr">
        <is>
          <t>함양 신규점</t>
        </is>
      </c>
      <c r="C1652" s="25" t="inlineStr">
        <is>
          <t>S32-H남</t>
        </is>
      </c>
      <c r="D1652" s="25" t="inlineStr">
        <is>
          <t>측정</t>
        </is>
      </c>
      <c r="E1652" s="25" t="inlineStr">
        <is>
          <t>남</t>
        </is>
      </c>
      <c r="F1652" s="30" t="n">
        <v>8</v>
      </c>
      <c r="G1652" s="29" t="n"/>
      <c r="H1652" s="42" t="n"/>
      <c r="I1652" s="40" t="n"/>
      <c r="J1652" s="40" t="n"/>
      <c r="K1652" s="40" t="n"/>
      <c r="L1652" s="30">
        <f>IF(COUNT(I1652:K1652)=0,"",MEDIAN(I1652:K1652))</f>
        <v/>
      </c>
      <c r="M1652" s="25">
        <f>IF(COUNTIFS($C:$C,$C1652,$D:$D,"P0(전)",$L:$L,"&gt;0")&lt;&gt;1,"P0(전) 유효 1개 아님",IF(COUNTIFS($C:$C,$C1652,$D:$D,"P0(후)",$L:$L,"&gt;0")&lt;&gt;1,"P0(후) 유효 1개 아님",IF(NOT(AND(ISNUMBER(N1652),ISNUMBER(P1652),ISNUMBER(H1652))),"시각 결측",IF(P1652&lt;=N1652,"P0 시각 역전",IF(OR(H1652&lt;N1652,H1652&gt;P1652),"측정시각 구간 밖","OK")))))</f>
        <v/>
      </c>
      <c r="N1652" s="45">
        <f>IF(COUNTIFS($C:$C,$C1652,$D:$D,"P0(전)",$L:$L,"&gt;0")&lt;&gt;1,"",SUMIFS($H:$H,$C:$C,$C1652,$D:$D,"P0(전)"))</f>
        <v/>
      </c>
      <c r="O1652" s="30">
        <f>IF(COUNTIFS($C:$C,$C1652,$D:$D,"P0(전)",$L:$L,"&gt;0")&lt;&gt;1,"",SUMIFS($L:$L,$C:$C,$C1652,$D:$D,"P0(전)"))</f>
        <v/>
      </c>
      <c r="P1652" s="45">
        <f>IF(COUNTIFS($C:$C,$C1652,$D:$D,"P0(후)",$L:$L,"&gt;0")&lt;&gt;1,"",SUMIFS($H:$H,$C:$C,$C1652,$D:$D,"P0(후)"))</f>
        <v/>
      </c>
      <c r="Q1652" s="30">
        <f>IF(COUNTIFS($C:$C,$C1652,$D:$D,"P0(후)",$L:$L,"&gt;0")&lt;&gt;1,"",SUMIFS($L:$L,$C:$C,$C1652,$D:$D,"P0(후)"))</f>
        <v/>
      </c>
      <c r="R1652" s="30">
        <f>IF(M1652&lt;&gt;"OK","",O1652+(Q1652-O1652)*(H1652-N1652)/(P1652-N1652))</f>
        <v/>
      </c>
      <c r="S1652" s="30">
        <f>IF(OR(M1652&lt;&gt;"OK",NOT(ISNUMBER(L1652))),"",L1652-R1652)</f>
        <v/>
      </c>
      <c r="T1652" s="46">
        <f>IF(OR(NOT(ISNUMBER(S1652)),IF(ISNUMBER(G1652),G1652,F1652)=0),"",S1652/IF(ISNUMBER(G1652),G1652,F1652))</f>
        <v/>
      </c>
      <c r="U1652" s="46">
        <f>IF(ISNUMBER(T1652),ABS(T1652),"")</f>
        <v/>
      </c>
      <c r="V1652" s="46">
        <f>IF(OR($D1651&lt;&gt;"측정",$C1651&lt;&gt;$C1652,NOT(ISNUMBER(L1652)),NOT(ISNUMBER(L1651)),(IF(ISNUMBER(G1652),G1652,F1652)-IF(ISNUMBER(G1651),G1651,F1651))=0),"",(L1652-L1651)/(IF(ISNUMBER(G1652),G1652,F1652)-IF(ISNUMBER(G1651),G1651,F1651)))</f>
        <v/>
      </c>
      <c r="W1652" s="30">
        <f>IF(NOT(AND(ISNUMBER(N1652),ISNUMBER(P1652))),"",(P1652-N1652)*1440)</f>
        <v/>
      </c>
      <c r="X1652" s="28" t="n"/>
      <c r="Y1652" s="28" t="n"/>
      <c r="Z1652" s="28" t="n"/>
      <c r="AA1652" s="31" t="n"/>
      <c r="AB1652" s="31" t="n"/>
    </row>
    <row r="1653">
      <c r="A1653" s="25" t="inlineStr">
        <is>
          <t>S32</t>
        </is>
      </c>
      <c r="B1653" s="25" t="inlineStr">
        <is>
          <t>함양 신규점</t>
        </is>
      </c>
      <c r="C1653" s="25" t="inlineStr">
        <is>
          <t>S32-H남</t>
        </is>
      </c>
      <c r="D1653" s="25" t="inlineStr">
        <is>
          <t>측정</t>
        </is>
      </c>
      <c r="E1653" s="25" t="inlineStr">
        <is>
          <t>남</t>
        </is>
      </c>
      <c r="F1653" s="30" t="n">
        <v>9</v>
      </c>
      <c r="G1653" s="29" t="n"/>
      <c r="H1653" s="42" t="n"/>
      <c r="I1653" s="40" t="n"/>
      <c r="J1653" s="40" t="n"/>
      <c r="K1653" s="40" t="n"/>
      <c r="L1653" s="30">
        <f>IF(COUNT(I1653:K1653)=0,"",MEDIAN(I1653:K1653))</f>
        <v/>
      </c>
      <c r="M1653" s="25">
        <f>IF(COUNTIFS($C:$C,$C1653,$D:$D,"P0(전)",$L:$L,"&gt;0")&lt;&gt;1,"P0(전) 유효 1개 아님",IF(COUNTIFS($C:$C,$C1653,$D:$D,"P0(후)",$L:$L,"&gt;0")&lt;&gt;1,"P0(후) 유효 1개 아님",IF(NOT(AND(ISNUMBER(N1653),ISNUMBER(P1653),ISNUMBER(H1653))),"시각 결측",IF(P1653&lt;=N1653,"P0 시각 역전",IF(OR(H1653&lt;N1653,H1653&gt;P1653),"측정시각 구간 밖","OK")))))</f>
        <v/>
      </c>
      <c r="N1653" s="45">
        <f>IF(COUNTIFS($C:$C,$C1653,$D:$D,"P0(전)",$L:$L,"&gt;0")&lt;&gt;1,"",SUMIFS($H:$H,$C:$C,$C1653,$D:$D,"P0(전)"))</f>
        <v/>
      </c>
      <c r="O1653" s="30">
        <f>IF(COUNTIFS($C:$C,$C1653,$D:$D,"P0(전)",$L:$L,"&gt;0")&lt;&gt;1,"",SUMIFS($L:$L,$C:$C,$C1653,$D:$D,"P0(전)"))</f>
        <v/>
      </c>
      <c r="P1653" s="45">
        <f>IF(COUNTIFS($C:$C,$C1653,$D:$D,"P0(후)",$L:$L,"&gt;0")&lt;&gt;1,"",SUMIFS($H:$H,$C:$C,$C1653,$D:$D,"P0(후)"))</f>
        <v/>
      </c>
      <c r="Q1653" s="30">
        <f>IF(COUNTIFS($C:$C,$C1653,$D:$D,"P0(후)",$L:$L,"&gt;0")&lt;&gt;1,"",SUMIFS($L:$L,$C:$C,$C1653,$D:$D,"P0(후)"))</f>
        <v/>
      </c>
      <c r="R1653" s="30">
        <f>IF(M1653&lt;&gt;"OK","",O1653+(Q1653-O1653)*(H1653-N1653)/(P1653-N1653))</f>
        <v/>
      </c>
      <c r="S1653" s="30">
        <f>IF(OR(M1653&lt;&gt;"OK",NOT(ISNUMBER(L1653))),"",L1653-R1653)</f>
        <v/>
      </c>
      <c r="T1653" s="46">
        <f>IF(OR(NOT(ISNUMBER(S1653)),IF(ISNUMBER(G1653),G1653,F1653)=0),"",S1653/IF(ISNUMBER(G1653),G1653,F1653))</f>
        <v/>
      </c>
      <c r="U1653" s="46">
        <f>IF(ISNUMBER(T1653),ABS(T1653),"")</f>
        <v/>
      </c>
      <c r="V1653" s="46">
        <f>IF(OR($D1652&lt;&gt;"측정",$C1652&lt;&gt;$C1653,NOT(ISNUMBER(L1653)),NOT(ISNUMBER(L1652)),(IF(ISNUMBER(G1653),G1653,F1653)-IF(ISNUMBER(G1652),G1652,F1652))=0),"",(L1653-L1652)/(IF(ISNUMBER(G1653),G1653,F1653)-IF(ISNUMBER(G1652),G1652,F1652)))</f>
        <v/>
      </c>
      <c r="W1653" s="30">
        <f>IF(NOT(AND(ISNUMBER(N1653),ISNUMBER(P1653))),"",(P1653-N1653)*1440)</f>
        <v/>
      </c>
      <c r="X1653" s="28" t="n"/>
      <c r="Y1653" s="28" t="n"/>
      <c r="Z1653" s="28" t="n"/>
      <c r="AA1653" s="31" t="n"/>
      <c r="AB1653" s="31" t="n"/>
    </row>
    <row r="1654">
      <c r="A1654" s="25" t="inlineStr">
        <is>
          <t>S32</t>
        </is>
      </c>
      <c r="B1654" s="25" t="inlineStr">
        <is>
          <t>함양 신규점</t>
        </is>
      </c>
      <c r="C1654" s="25" t="inlineStr">
        <is>
          <t>S32-H남</t>
        </is>
      </c>
      <c r="D1654" s="25" t="inlineStr">
        <is>
          <t>측정</t>
        </is>
      </c>
      <c r="E1654" s="25" t="inlineStr">
        <is>
          <t>남</t>
        </is>
      </c>
      <c r="F1654" s="30" t="n">
        <v>10</v>
      </c>
      <c r="G1654" s="29" t="n"/>
      <c r="H1654" s="42" t="n"/>
      <c r="I1654" s="40" t="n"/>
      <c r="J1654" s="40" t="n"/>
      <c r="K1654" s="40" t="n"/>
      <c r="L1654" s="30">
        <f>IF(COUNT(I1654:K1654)=0,"",MEDIAN(I1654:K1654))</f>
        <v/>
      </c>
      <c r="M1654" s="25">
        <f>IF(COUNTIFS($C:$C,$C1654,$D:$D,"P0(전)",$L:$L,"&gt;0")&lt;&gt;1,"P0(전) 유효 1개 아님",IF(COUNTIFS($C:$C,$C1654,$D:$D,"P0(후)",$L:$L,"&gt;0")&lt;&gt;1,"P0(후) 유효 1개 아님",IF(NOT(AND(ISNUMBER(N1654),ISNUMBER(P1654),ISNUMBER(H1654))),"시각 결측",IF(P1654&lt;=N1654,"P0 시각 역전",IF(OR(H1654&lt;N1654,H1654&gt;P1654),"측정시각 구간 밖","OK")))))</f>
        <v/>
      </c>
      <c r="N1654" s="45">
        <f>IF(COUNTIFS($C:$C,$C1654,$D:$D,"P0(전)",$L:$L,"&gt;0")&lt;&gt;1,"",SUMIFS($H:$H,$C:$C,$C1654,$D:$D,"P0(전)"))</f>
        <v/>
      </c>
      <c r="O1654" s="30">
        <f>IF(COUNTIFS($C:$C,$C1654,$D:$D,"P0(전)",$L:$L,"&gt;0")&lt;&gt;1,"",SUMIFS($L:$L,$C:$C,$C1654,$D:$D,"P0(전)"))</f>
        <v/>
      </c>
      <c r="P1654" s="45">
        <f>IF(COUNTIFS($C:$C,$C1654,$D:$D,"P0(후)",$L:$L,"&gt;0")&lt;&gt;1,"",SUMIFS($H:$H,$C:$C,$C1654,$D:$D,"P0(후)"))</f>
        <v/>
      </c>
      <c r="Q1654" s="30">
        <f>IF(COUNTIFS($C:$C,$C1654,$D:$D,"P0(후)",$L:$L,"&gt;0")&lt;&gt;1,"",SUMIFS($L:$L,$C:$C,$C1654,$D:$D,"P0(후)"))</f>
        <v/>
      </c>
      <c r="R1654" s="30">
        <f>IF(M1654&lt;&gt;"OK","",O1654+(Q1654-O1654)*(H1654-N1654)/(P1654-N1654))</f>
        <v/>
      </c>
      <c r="S1654" s="30">
        <f>IF(OR(M1654&lt;&gt;"OK",NOT(ISNUMBER(L1654))),"",L1654-R1654)</f>
        <v/>
      </c>
      <c r="T1654" s="46">
        <f>IF(OR(NOT(ISNUMBER(S1654)),IF(ISNUMBER(G1654),G1654,F1654)=0),"",S1654/IF(ISNUMBER(G1654),G1654,F1654))</f>
        <v/>
      </c>
      <c r="U1654" s="46">
        <f>IF(ISNUMBER(T1654),ABS(T1654),"")</f>
        <v/>
      </c>
      <c r="V1654" s="46">
        <f>IF(OR($D1653&lt;&gt;"측정",$C1653&lt;&gt;$C1654,NOT(ISNUMBER(L1654)),NOT(ISNUMBER(L1653)),(IF(ISNUMBER(G1654),G1654,F1654)-IF(ISNUMBER(G1653),G1653,F1653))=0),"",(L1654-L1653)/(IF(ISNUMBER(G1654),G1654,F1654)-IF(ISNUMBER(G1653),G1653,F1653)))</f>
        <v/>
      </c>
      <c r="W1654" s="30">
        <f>IF(NOT(AND(ISNUMBER(N1654),ISNUMBER(P1654))),"",(P1654-N1654)*1440)</f>
        <v/>
      </c>
      <c r="X1654" s="28" t="n"/>
      <c r="Y1654" s="28" t="n"/>
      <c r="Z1654" s="28" t="n"/>
      <c r="AA1654" s="31" t="n"/>
      <c r="AB1654" s="31" t="n"/>
    </row>
    <row r="1655">
      <c r="A1655" s="43" t="inlineStr">
        <is>
          <t>S32</t>
        </is>
      </c>
      <c r="B1655" s="43" t="inlineStr">
        <is>
          <t>함양 신규점</t>
        </is>
      </c>
      <c r="C1655" s="43" t="inlineStr">
        <is>
          <t>S32-H남</t>
        </is>
      </c>
      <c r="D1655" s="43" t="inlineStr">
        <is>
          <t>P0(후)</t>
        </is>
      </c>
      <c r="E1655" s="43" t="inlineStr">
        <is>
          <t>남</t>
        </is>
      </c>
      <c r="F1655" s="44" t="n"/>
      <c r="G1655" s="29" t="n"/>
      <c r="H1655" s="42" t="n"/>
      <c r="I1655" s="40" t="n"/>
      <c r="J1655" s="40" t="n"/>
      <c r="K1655" s="40" t="n"/>
      <c r="L1655" s="30">
        <f>IF(COUNT(I1655:K1655)=0,"",MEDIAN(I1655:K1655))</f>
        <v/>
      </c>
      <c r="M1655" s="37" t="n"/>
      <c r="N1655" s="37" t="n"/>
      <c r="O1655" s="37" t="n"/>
      <c r="P1655" s="37" t="n"/>
      <c r="Q1655" s="37" t="n"/>
      <c r="R1655" s="37" t="n"/>
      <c r="S1655" s="37" t="n"/>
      <c r="T1655" s="37" t="n"/>
      <c r="U1655" s="37" t="n"/>
      <c r="V1655" s="37" t="n"/>
      <c r="W1655" s="37" t="n"/>
      <c r="X1655" s="28" t="n"/>
      <c r="Y1655" s="28" t="n"/>
      <c r="Z1655" s="28" t="n"/>
      <c r="AA1655" s="31" t="n"/>
      <c r="AB1655" s="31" t="n"/>
    </row>
    <row r="1656">
      <c r="A1656" s="43" t="inlineStr">
        <is>
          <t>S32</t>
        </is>
      </c>
      <c r="B1656" s="43" t="inlineStr">
        <is>
          <t>함양 신규점</t>
        </is>
      </c>
      <c r="C1656" s="43" t="inlineStr">
        <is>
          <t>S32-H북</t>
        </is>
      </c>
      <c r="D1656" s="43" t="inlineStr">
        <is>
          <t>P0(전)</t>
        </is>
      </c>
      <c r="E1656" s="43" t="inlineStr">
        <is>
          <t>북</t>
        </is>
      </c>
      <c r="F1656" s="44" t="n"/>
      <c r="G1656" s="29" t="n"/>
      <c r="H1656" s="42" t="n"/>
      <c r="I1656" s="40" t="n"/>
      <c r="J1656" s="40" t="n"/>
      <c r="K1656" s="40" t="n"/>
      <c r="L1656" s="30">
        <f>IF(COUNT(I1656:K1656)=0,"",MEDIAN(I1656:K1656))</f>
        <v/>
      </c>
      <c r="M1656" s="37" t="n"/>
      <c r="N1656" s="37" t="n"/>
      <c r="O1656" s="37" t="n"/>
      <c r="P1656" s="37" t="n"/>
      <c r="Q1656" s="37" t="n"/>
      <c r="R1656" s="37" t="n"/>
      <c r="S1656" s="37" t="n"/>
      <c r="T1656" s="37" t="n"/>
      <c r="U1656" s="37" t="n"/>
      <c r="V1656" s="37" t="n"/>
      <c r="W1656" s="37" t="n"/>
      <c r="X1656" s="28" t="n"/>
      <c r="Y1656" s="28" t="n"/>
      <c r="Z1656" s="28" t="n"/>
      <c r="AA1656" s="31" t="n"/>
      <c r="AB1656" s="31" t="n"/>
    </row>
    <row r="1657">
      <c r="A1657" s="25" t="inlineStr">
        <is>
          <t>S32</t>
        </is>
      </c>
      <c r="B1657" s="25" t="inlineStr">
        <is>
          <t>함양 신규점</t>
        </is>
      </c>
      <c r="C1657" s="25" t="inlineStr">
        <is>
          <t>S32-H북</t>
        </is>
      </c>
      <c r="D1657" s="25" t="inlineStr">
        <is>
          <t>측정</t>
        </is>
      </c>
      <c r="E1657" s="25" t="inlineStr">
        <is>
          <t>북</t>
        </is>
      </c>
      <c r="F1657" s="30" t="n">
        <v>0.5</v>
      </c>
      <c r="G1657" s="29" t="n"/>
      <c r="H1657" s="42" t="n"/>
      <c r="I1657" s="40" t="n"/>
      <c r="J1657" s="40" t="n"/>
      <c r="K1657" s="40" t="n"/>
      <c r="L1657" s="30">
        <f>IF(COUNT(I1657:K1657)=0,"",MEDIAN(I1657:K1657))</f>
        <v/>
      </c>
      <c r="M1657" s="25">
        <f>IF(COUNTIFS($C:$C,$C1657,$D:$D,"P0(전)",$L:$L,"&gt;0")&lt;&gt;1,"P0(전) 유효 1개 아님",IF(COUNTIFS($C:$C,$C1657,$D:$D,"P0(후)",$L:$L,"&gt;0")&lt;&gt;1,"P0(후) 유효 1개 아님",IF(NOT(AND(ISNUMBER(N1657),ISNUMBER(P1657),ISNUMBER(H1657))),"시각 결측",IF(P1657&lt;=N1657,"P0 시각 역전",IF(OR(H1657&lt;N1657,H1657&gt;P1657),"측정시각 구간 밖","OK")))))</f>
        <v/>
      </c>
      <c r="N1657" s="45">
        <f>IF(COUNTIFS($C:$C,$C1657,$D:$D,"P0(전)",$L:$L,"&gt;0")&lt;&gt;1,"",SUMIFS($H:$H,$C:$C,$C1657,$D:$D,"P0(전)"))</f>
        <v/>
      </c>
      <c r="O1657" s="30">
        <f>IF(COUNTIFS($C:$C,$C1657,$D:$D,"P0(전)",$L:$L,"&gt;0")&lt;&gt;1,"",SUMIFS($L:$L,$C:$C,$C1657,$D:$D,"P0(전)"))</f>
        <v/>
      </c>
      <c r="P1657" s="45">
        <f>IF(COUNTIFS($C:$C,$C1657,$D:$D,"P0(후)",$L:$L,"&gt;0")&lt;&gt;1,"",SUMIFS($H:$H,$C:$C,$C1657,$D:$D,"P0(후)"))</f>
        <v/>
      </c>
      <c r="Q1657" s="30">
        <f>IF(COUNTIFS($C:$C,$C1657,$D:$D,"P0(후)",$L:$L,"&gt;0")&lt;&gt;1,"",SUMIFS($L:$L,$C:$C,$C1657,$D:$D,"P0(후)"))</f>
        <v/>
      </c>
      <c r="R1657" s="30">
        <f>IF(M1657&lt;&gt;"OK","",O1657+(Q1657-O1657)*(H1657-N1657)/(P1657-N1657))</f>
        <v/>
      </c>
      <c r="S1657" s="30">
        <f>IF(OR(M1657&lt;&gt;"OK",NOT(ISNUMBER(L1657))),"",L1657-R1657)</f>
        <v/>
      </c>
      <c r="T1657" s="46">
        <f>IF(OR(NOT(ISNUMBER(S1657)),IF(ISNUMBER(G1657),G1657,F1657)=0),"",S1657/IF(ISNUMBER(G1657),G1657,F1657))</f>
        <v/>
      </c>
      <c r="U1657" s="46">
        <f>IF(ISNUMBER(T1657),ABS(T1657),"")</f>
        <v/>
      </c>
      <c r="V1657" s="46">
        <f>IF(OR($D1656&lt;&gt;"측정",$C1656&lt;&gt;$C1657,NOT(ISNUMBER(L1657)),NOT(ISNUMBER(L1656)),(IF(ISNUMBER(G1657),G1657,F1657)-IF(ISNUMBER(G1656),G1656,F1656))=0),"",(L1657-L1656)/(IF(ISNUMBER(G1657),G1657,F1657)-IF(ISNUMBER(G1656),G1656,F1656)))</f>
        <v/>
      </c>
      <c r="W1657" s="30">
        <f>IF(NOT(AND(ISNUMBER(N1657),ISNUMBER(P1657))),"",(P1657-N1657)*1440)</f>
        <v/>
      </c>
      <c r="X1657" s="28" t="n"/>
      <c r="Y1657" s="28" t="n"/>
      <c r="Z1657" s="28" t="n"/>
      <c r="AA1657" s="31" t="n"/>
      <c r="AB1657" s="31" t="n"/>
    </row>
    <row r="1658">
      <c r="A1658" s="25" t="inlineStr">
        <is>
          <t>S32</t>
        </is>
      </c>
      <c r="B1658" s="25" t="inlineStr">
        <is>
          <t>함양 신규점</t>
        </is>
      </c>
      <c r="C1658" s="25" t="inlineStr">
        <is>
          <t>S32-H북</t>
        </is>
      </c>
      <c r="D1658" s="25" t="inlineStr">
        <is>
          <t>측정</t>
        </is>
      </c>
      <c r="E1658" s="25" t="inlineStr">
        <is>
          <t>북</t>
        </is>
      </c>
      <c r="F1658" s="30" t="n">
        <v>1</v>
      </c>
      <c r="G1658" s="29" t="n"/>
      <c r="H1658" s="42" t="n"/>
      <c r="I1658" s="40" t="n"/>
      <c r="J1658" s="40" t="n"/>
      <c r="K1658" s="40" t="n"/>
      <c r="L1658" s="30">
        <f>IF(COUNT(I1658:K1658)=0,"",MEDIAN(I1658:K1658))</f>
        <v/>
      </c>
      <c r="M1658" s="25">
        <f>IF(COUNTIFS($C:$C,$C1658,$D:$D,"P0(전)",$L:$L,"&gt;0")&lt;&gt;1,"P0(전) 유효 1개 아님",IF(COUNTIFS($C:$C,$C1658,$D:$D,"P0(후)",$L:$L,"&gt;0")&lt;&gt;1,"P0(후) 유효 1개 아님",IF(NOT(AND(ISNUMBER(N1658),ISNUMBER(P1658),ISNUMBER(H1658))),"시각 결측",IF(P1658&lt;=N1658,"P0 시각 역전",IF(OR(H1658&lt;N1658,H1658&gt;P1658),"측정시각 구간 밖","OK")))))</f>
        <v/>
      </c>
      <c r="N1658" s="45">
        <f>IF(COUNTIFS($C:$C,$C1658,$D:$D,"P0(전)",$L:$L,"&gt;0")&lt;&gt;1,"",SUMIFS($H:$H,$C:$C,$C1658,$D:$D,"P0(전)"))</f>
        <v/>
      </c>
      <c r="O1658" s="30">
        <f>IF(COUNTIFS($C:$C,$C1658,$D:$D,"P0(전)",$L:$L,"&gt;0")&lt;&gt;1,"",SUMIFS($L:$L,$C:$C,$C1658,$D:$D,"P0(전)"))</f>
        <v/>
      </c>
      <c r="P1658" s="45">
        <f>IF(COUNTIFS($C:$C,$C1658,$D:$D,"P0(후)",$L:$L,"&gt;0")&lt;&gt;1,"",SUMIFS($H:$H,$C:$C,$C1658,$D:$D,"P0(후)"))</f>
        <v/>
      </c>
      <c r="Q1658" s="30">
        <f>IF(COUNTIFS($C:$C,$C1658,$D:$D,"P0(후)",$L:$L,"&gt;0")&lt;&gt;1,"",SUMIFS($L:$L,$C:$C,$C1658,$D:$D,"P0(후)"))</f>
        <v/>
      </c>
      <c r="R1658" s="30">
        <f>IF(M1658&lt;&gt;"OK","",O1658+(Q1658-O1658)*(H1658-N1658)/(P1658-N1658))</f>
        <v/>
      </c>
      <c r="S1658" s="30">
        <f>IF(OR(M1658&lt;&gt;"OK",NOT(ISNUMBER(L1658))),"",L1658-R1658)</f>
        <v/>
      </c>
      <c r="T1658" s="46">
        <f>IF(OR(NOT(ISNUMBER(S1658)),IF(ISNUMBER(G1658),G1658,F1658)=0),"",S1658/IF(ISNUMBER(G1658),G1658,F1658))</f>
        <v/>
      </c>
      <c r="U1658" s="46">
        <f>IF(ISNUMBER(T1658),ABS(T1658),"")</f>
        <v/>
      </c>
      <c r="V1658" s="46">
        <f>IF(OR($D1657&lt;&gt;"측정",$C1657&lt;&gt;$C1658,NOT(ISNUMBER(L1658)),NOT(ISNUMBER(L1657)),(IF(ISNUMBER(G1658),G1658,F1658)-IF(ISNUMBER(G1657),G1657,F1657))=0),"",(L1658-L1657)/(IF(ISNUMBER(G1658),G1658,F1658)-IF(ISNUMBER(G1657),G1657,F1657)))</f>
        <v/>
      </c>
      <c r="W1658" s="30">
        <f>IF(NOT(AND(ISNUMBER(N1658),ISNUMBER(P1658))),"",(P1658-N1658)*1440)</f>
        <v/>
      </c>
      <c r="X1658" s="28" t="n"/>
      <c r="Y1658" s="28" t="n"/>
      <c r="Z1658" s="28" t="n"/>
      <c r="AA1658" s="31" t="n"/>
      <c r="AB1658" s="31" t="n"/>
    </row>
    <row r="1659">
      <c r="A1659" s="25" t="inlineStr">
        <is>
          <t>S32</t>
        </is>
      </c>
      <c r="B1659" s="25" t="inlineStr">
        <is>
          <t>함양 신규점</t>
        </is>
      </c>
      <c r="C1659" s="25" t="inlineStr">
        <is>
          <t>S32-H북</t>
        </is>
      </c>
      <c r="D1659" s="25" t="inlineStr">
        <is>
          <t>측정</t>
        </is>
      </c>
      <c r="E1659" s="25" t="inlineStr">
        <is>
          <t>북</t>
        </is>
      </c>
      <c r="F1659" s="30" t="n">
        <v>2</v>
      </c>
      <c r="G1659" s="29" t="n"/>
      <c r="H1659" s="42" t="n"/>
      <c r="I1659" s="40" t="n"/>
      <c r="J1659" s="40" t="n"/>
      <c r="K1659" s="40" t="n"/>
      <c r="L1659" s="30">
        <f>IF(COUNT(I1659:K1659)=0,"",MEDIAN(I1659:K1659))</f>
        <v/>
      </c>
      <c r="M1659" s="25">
        <f>IF(COUNTIFS($C:$C,$C1659,$D:$D,"P0(전)",$L:$L,"&gt;0")&lt;&gt;1,"P0(전) 유효 1개 아님",IF(COUNTIFS($C:$C,$C1659,$D:$D,"P0(후)",$L:$L,"&gt;0")&lt;&gt;1,"P0(후) 유효 1개 아님",IF(NOT(AND(ISNUMBER(N1659),ISNUMBER(P1659),ISNUMBER(H1659))),"시각 결측",IF(P1659&lt;=N1659,"P0 시각 역전",IF(OR(H1659&lt;N1659,H1659&gt;P1659),"측정시각 구간 밖","OK")))))</f>
        <v/>
      </c>
      <c r="N1659" s="45">
        <f>IF(COUNTIFS($C:$C,$C1659,$D:$D,"P0(전)",$L:$L,"&gt;0")&lt;&gt;1,"",SUMIFS($H:$H,$C:$C,$C1659,$D:$D,"P0(전)"))</f>
        <v/>
      </c>
      <c r="O1659" s="30">
        <f>IF(COUNTIFS($C:$C,$C1659,$D:$D,"P0(전)",$L:$L,"&gt;0")&lt;&gt;1,"",SUMIFS($L:$L,$C:$C,$C1659,$D:$D,"P0(전)"))</f>
        <v/>
      </c>
      <c r="P1659" s="45">
        <f>IF(COUNTIFS($C:$C,$C1659,$D:$D,"P0(후)",$L:$L,"&gt;0")&lt;&gt;1,"",SUMIFS($H:$H,$C:$C,$C1659,$D:$D,"P0(후)"))</f>
        <v/>
      </c>
      <c r="Q1659" s="30">
        <f>IF(COUNTIFS($C:$C,$C1659,$D:$D,"P0(후)",$L:$L,"&gt;0")&lt;&gt;1,"",SUMIFS($L:$L,$C:$C,$C1659,$D:$D,"P0(후)"))</f>
        <v/>
      </c>
      <c r="R1659" s="30">
        <f>IF(M1659&lt;&gt;"OK","",O1659+(Q1659-O1659)*(H1659-N1659)/(P1659-N1659))</f>
        <v/>
      </c>
      <c r="S1659" s="30">
        <f>IF(OR(M1659&lt;&gt;"OK",NOT(ISNUMBER(L1659))),"",L1659-R1659)</f>
        <v/>
      </c>
      <c r="T1659" s="46">
        <f>IF(OR(NOT(ISNUMBER(S1659)),IF(ISNUMBER(G1659),G1659,F1659)=0),"",S1659/IF(ISNUMBER(G1659),G1659,F1659))</f>
        <v/>
      </c>
      <c r="U1659" s="46">
        <f>IF(ISNUMBER(T1659),ABS(T1659),"")</f>
        <v/>
      </c>
      <c r="V1659" s="46">
        <f>IF(OR($D1658&lt;&gt;"측정",$C1658&lt;&gt;$C1659,NOT(ISNUMBER(L1659)),NOT(ISNUMBER(L1658)),(IF(ISNUMBER(G1659),G1659,F1659)-IF(ISNUMBER(G1658),G1658,F1658))=0),"",(L1659-L1658)/(IF(ISNUMBER(G1659),G1659,F1659)-IF(ISNUMBER(G1658),G1658,F1658)))</f>
        <v/>
      </c>
      <c r="W1659" s="30">
        <f>IF(NOT(AND(ISNUMBER(N1659),ISNUMBER(P1659))),"",(P1659-N1659)*1440)</f>
        <v/>
      </c>
      <c r="X1659" s="28" t="n"/>
      <c r="Y1659" s="28" t="n"/>
      <c r="Z1659" s="28" t="n"/>
      <c r="AA1659" s="31" t="n"/>
      <c r="AB1659" s="31" t="n"/>
    </row>
    <row r="1660">
      <c r="A1660" s="25" t="inlineStr">
        <is>
          <t>S32</t>
        </is>
      </c>
      <c r="B1660" s="25" t="inlineStr">
        <is>
          <t>함양 신규점</t>
        </is>
      </c>
      <c r="C1660" s="25" t="inlineStr">
        <is>
          <t>S32-H북</t>
        </is>
      </c>
      <c r="D1660" s="25" t="inlineStr">
        <is>
          <t>측정</t>
        </is>
      </c>
      <c r="E1660" s="25" t="inlineStr">
        <is>
          <t>북</t>
        </is>
      </c>
      <c r="F1660" s="30" t="n">
        <v>3</v>
      </c>
      <c r="G1660" s="29" t="n"/>
      <c r="H1660" s="42" t="n"/>
      <c r="I1660" s="40" t="n"/>
      <c r="J1660" s="40" t="n"/>
      <c r="K1660" s="40" t="n"/>
      <c r="L1660" s="30">
        <f>IF(COUNT(I1660:K1660)=0,"",MEDIAN(I1660:K1660))</f>
        <v/>
      </c>
      <c r="M1660" s="25">
        <f>IF(COUNTIFS($C:$C,$C1660,$D:$D,"P0(전)",$L:$L,"&gt;0")&lt;&gt;1,"P0(전) 유효 1개 아님",IF(COUNTIFS($C:$C,$C1660,$D:$D,"P0(후)",$L:$L,"&gt;0")&lt;&gt;1,"P0(후) 유효 1개 아님",IF(NOT(AND(ISNUMBER(N1660),ISNUMBER(P1660),ISNUMBER(H1660))),"시각 결측",IF(P1660&lt;=N1660,"P0 시각 역전",IF(OR(H1660&lt;N1660,H1660&gt;P1660),"측정시각 구간 밖","OK")))))</f>
        <v/>
      </c>
      <c r="N1660" s="45">
        <f>IF(COUNTIFS($C:$C,$C1660,$D:$D,"P0(전)",$L:$L,"&gt;0")&lt;&gt;1,"",SUMIFS($H:$H,$C:$C,$C1660,$D:$D,"P0(전)"))</f>
        <v/>
      </c>
      <c r="O1660" s="30">
        <f>IF(COUNTIFS($C:$C,$C1660,$D:$D,"P0(전)",$L:$L,"&gt;0")&lt;&gt;1,"",SUMIFS($L:$L,$C:$C,$C1660,$D:$D,"P0(전)"))</f>
        <v/>
      </c>
      <c r="P1660" s="45">
        <f>IF(COUNTIFS($C:$C,$C1660,$D:$D,"P0(후)",$L:$L,"&gt;0")&lt;&gt;1,"",SUMIFS($H:$H,$C:$C,$C1660,$D:$D,"P0(후)"))</f>
        <v/>
      </c>
      <c r="Q1660" s="30">
        <f>IF(COUNTIFS($C:$C,$C1660,$D:$D,"P0(후)",$L:$L,"&gt;0")&lt;&gt;1,"",SUMIFS($L:$L,$C:$C,$C1660,$D:$D,"P0(후)"))</f>
        <v/>
      </c>
      <c r="R1660" s="30">
        <f>IF(M1660&lt;&gt;"OK","",O1660+(Q1660-O1660)*(H1660-N1660)/(P1660-N1660))</f>
        <v/>
      </c>
      <c r="S1660" s="30">
        <f>IF(OR(M1660&lt;&gt;"OK",NOT(ISNUMBER(L1660))),"",L1660-R1660)</f>
        <v/>
      </c>
      <c r="T1660" s="46">
        <f>IF(OR(NOT(ISNUMBER(S1660)),IF(ISNUMBER(G1660),G1660,F1660)=0),"",S1660/IF(ISNUMBER(G1660),G1660,F1660))</f>
        <v/>
      </c>
      <c r="U1660" s="46">
        <f>IF(ISNUMBER(T1660),ABS(T1660),"")</f>
        <v/>
      </c>
      <c r="V1660" s="46">
        <f>IF(OR($D1659&lt;&gt;"측정",$C1659&lt;&gt;$C1660,NOT(ISNUMBER(L1660)),NOT(ISNUMBER(L1659)),(IF(ISNUMBER(G1660),G1660,F1660)-IF(ISNUMBER(G1659),G1659,F1659))=0),"",(L1660-L1659)/(IF(ISNUMBER(G1660),G1660,F1660)-IF(ISNUMBER(G1659),G1659,F1659)))</f>
        <v/>
      </c>
      <c r="W1660" s="30">
        <f>IF(NOT(AND(ISNUMBER(N1660),ISNUMBER(P1660))),"",(P1660-N1660)*1440)</f>
        <v/>
      </c>
      <c r="X1660" s="28" t="n"/>
      <c r="Y1660" s="28" t="n"/>
      <c r="Z1660" s="28" t="n"/>
      <c r="AA1660" s="31" t="n"/>
      <c r="AB1660" s="31" t="n"/>
    </row>
    <row r="1661">
      <c r="A1661" s="25" t="inlineStr">
        <is>
          <t>S32</t>
        </is>
      </c>
      <c r="B1661" s="25" t="inlineStr">
        <is>
          <t>함양 신규점</t>
        </is>
      </c>
      <c r="C1661" s="25" t="inlineStr">
        <is>
          <t>S32-H북</t>
        </is>
      </c>
      <c r="D1661" s="25" t="inlineStr">
        <is>
          <t>측정</t>
        </is>
      </c>
      <c r="E1661" s="25" t="inlineStr">
        <is>
          <t>북</t>
        </is>
      </c>
      <c r="F1661" s="30" t="n">
        <v>4</v>
      </c>
      <c r="G1661" s="29" t="n"/>
      <c r="H1661" s="42" t="n"/>
      <c r="I1661" s="40" t="n"/>
      <c r="J1661" s="40" t="n"/>
      <c r="K1661" s="40" t="n"/>
      <c r="L1661" s="30">
        <f>IF(COUNT(I1661:K1661)=0,"",MEDIAN(I1661:K1661))</f>
        <v/>
      </c>
      <c r="M1661" s="25">
        <f>IF(COUNTIFS($C:$C,$C1661,$D:$D,"P0(전)",$L:$L,"&gt;0")&lt;&gt;1,"P0(전) 유효 1개 아님",IF(COUNTIFS($C:$C,$C1661,$D:$D,"P0(후)",$L:$L,"&gt;0")&lt;&gt;1,"P0(후) 유효 1개 아님",IF(NOT(AND(ISNUMBER(N1661),ISNUMBER(P1661),ISNUMBER(H1661))),"시각 결측",IF(P1661&lt;=N1661,"P0 시각 역전",IF(OR(H1661&lt;N1661,H1661&gt;P1661),"측정시각 구간 밖","OK")))))</f>
        <v/>
      </c>
      <c r="N1661" s="45">
        <f>IF(COUNTIFS($C:$C,$C1661,$D:$D,"P0(전)",$L:$L,"&gt;0")&lt;&gt;1,"",SUMIFS($H:$H,$C:$C,$C1661,$D:$D,"P0(전)"))</f>
        <v/>
      </c>
      <c r="O1661" s="30">
        <f>IF(COUNTIFS($C:$C,$C1661,$D:$D,"P0(전)",$L:$L,"&gt;0")&lt;&gt;1,"",SUMIFS($L:$L,$C:$C,$C1661,$D:$D,"P0(전)"))</f>
        <v/>
      </c>
      <c r="P1661" s="45">
        <f>IF(COUNTIFS($C:$C,$C1661,$D:$D,"P0(후)",$L:$L,"&gt;0")&lt;&gt;1,"",SUMIFS($H:$H,$C:$C,$C1661,$D:$D,"P0(후)"))</f>
        <v/>
      </c>
      <c r="Q1661" s="30">
        <f>IF(COUNTIFS($C:$C,$C1661,$D:$D,"P0(후)",$L:$L,"&gt;0")&lt;&gt;1,"",SUMIFS($L:$L,$C:$C,$C1661,$D:$D,"P0(후)"))</f>
        <v/>
      </c>
      <c r="R1661" s="30">
        <f>IF(M1661&lt;&gt;"OK","",O1661+(Q1661-O1661)*(H1661-N1661)/(P1661-N1661))</f>
        <v/>
      </c>
      <c r="S1661" s="30">
        <f>IF(OR(M1661&lt;&gt;"OK",NOT(ISNUMBER(L1661))),"",L1661-R1661)</f>
        <v/>
      </c>
      <c r="T1661" s="46">
        <f>IF(OR(NOT(ISNUMBER(S1661)),IF(ISNUMBER(G1661),G1661,F1661)=0),"",S1661/IF(ISNUMBER(G1661),G1661,F1661))</f>
        <v/>
      </c>
      <c r="U1661" s="46">
        <f>IF(ISNUMBER(T1661),ABS(T1661),"")</f>
        <v/>
      </c>
      <c r="V1661" s="46">
        <f>IF(OR($D1660&lt;&gt;"측정",$C1660&lt;&gt;$C1661,NOT(ISNUMBER(L1661)),NOT(ISNUMBER(L1660)),(IF(ISNUMBER(G1661),G1661,F1661)-IF(ISNUMBER(G1660),G1660,F1660))=0),"",(L1661-L1660)/(IF(ISNUMBER(G1661),G1661,F1661)-IF(ISNUMBER(G1660),G1660,F1660)))</f>
        <v/>
      </c>
      <c r="W1661" s="30">
        <f>IF(NOT(AND(ISNUMBER(N1661),ISNUMBER(P1661))),"",(P1661-N1661)*1440)</f>
        <v/>
      </c>
      <c r="X1661" s="28" t="n"/>
      <c r="Y1661" s="28" t="n"/>
      <c r="Z1661" s="28" t="n"/>
      <c r="AA1661" s="31" t="n"/>
      <c r="AB1661" s="31" t="n"/>
    </row>
    <row r="1662">
      <c r="A1662" s="25" t="inlineStr">
        <is>
          <t>S32</t>
        </is>
      </c>
      <c r="B1662" s="25" t="inlineStr">
        <is>
          <t>함양 신규점</t>
        </is>
      </c>
      <c r="C1662" s="25" t="inlineStr">
        <is>
          <t>S32-H북</t>
        </is>
      </c>
      <c r="D1662" s="25" t="inlineStr">
        <is>
          <t>측정</t>
        </is>
      </c>
      <c r="E1662" s="25" t="inlineStr">
        <is>
          <t>북</t>
        </is>
      </c>
      <c r="F1662" s="30" t="n">
        <v>5</v>
      </c>
      <c r="G1662" s="29" t="n"/>
      <c r="H1662" s="42" t="n"/>
      <c r="I1662" s="40" t="n"/>
      <c r="J1662" s="40" t="n"/>
      <c r="K1662" s="40" t="n"/>
      <c r="L1662" s="30">
        <f>IF(COUNT(I1662:K1662)=0,"",MEDIAN(I1662:K1662))</f>
        <v/>
      </c>
      <c r="M1662" s="25">
        <f>IF(COUNTIFS($C:$C,$C1662,$D:$D,"P0(전)",$L:$L,"&gt;0")&lt;&gt;1,"P0(전) 유효 1개 아님",IF(COUNTIFS($C:$C,$C1662,$D:$D,"P0(후)",$L:$L,"&gt;0")&lt;&gt;1,"P0(후) 유효 1개 아님",IF(NOT(AND(ISNUMBER(N1662),ISNUMBER(P1662),ISNUMBER(H1662))),"시각 결측",IF(P1662&lt;=N1662,"P0 시각 역전",IF(OR(H1662&lt;N1662,H1662&gt;P1662),"측정시각 구간 밖","OK")))))</f>
        <v/>
      </c>
      <c r="N1662" s="45">
        <f>IF(COUNTIFS($C:$C,$C1662,$D:$D,"P0(전)",$L:$L,"&gt;0")&lt;&gt;1,"",SUMIFS($H:$H,$C:$C,$C1662,$D:$D,"P0(전)"))</f>
        <v/>
      </c>
      <c r="O1662" s="30">
        <f>IF(COUNTIFS($C:$C,$C1662,$D:$D,"P0(전)",$L:$L,"&gt;0")&lt;&gt;1,"",SUMIFS($L:$L,$C:$C,$C1662,$D:$D,"P0(전)"))</f>
        <v/>
      </c>
      <c r="P1662" s="45">
        <f>IF(COUNTIFS($C:$C,$C1662,$D:$D,"P0(후)",$L:$L,"&gt;0")&lt;&gt;1,"",SUMIFS($H:$H,$C:$C,$C1662,$D:$D,"P0(후)"))</f>
        <v/>
      </c>
      <c r="Q1662" s="30">
        <f>IF(COUNTIFS($C:$C,$C1662,$D:$D,"P0(후)",$L:$L,"&gt;0")&lt;&gt;1,"",SUMIFS($L:$L,$C:$C,$C1662,$D:$D,"P0(후)"))</f>
        <v/>
      </c>
      <c r="R1662" s="30">
        <f>IF(M1662&lt;&gt;"OK","",O1662+(Q1662-O1662)*(H1662-N1662)/(P1662-N1662))</f>
        <v/>
      </c>
      <c r="S1662" s="30">
        <f>IF(OR(M1662&lt;&gt;"OK",NOT(ISNUMBER(L1662))),"",L1662-R1662)</f>
        <v/>
      </c>
      <c r="T1662" s="46">
        <f>IF(OR(NOT(ISNUMBER(S1662)),IF(ISNUMBER(G1662),G1662,F1662)=0),"",S1662/IF(ISNUMBER(G1662),G1662,F1662))</f>
        <v/>
      </c>
      <c r="U1662" s="46">
        <f>IF(ISNUMBER(T1662),ABS(T1662),"")</f>
        <v/>
      </c>
      <c r="V1662" s="46">
        <f>IF(OR($D1661&lt;&gt;"측정",$C1661&lt;&gt;$C1662,NOT(ISNUMBER(L1662)),NOT(ISNUMBER(L1661)),(IF(ISNUMBER(G1662),G1662,F1662)-IF(ISNUMBER(G1661),G1661,F1661))=0),"",(L1662-L1661)/(IF(ISNUMBER(G1662),G1662,F1662)-IF(ISNUMBER(G1661),G1661,F1661)))</f>
        <v/>
      </c>
      <c r="W1662" s="30">
        <f>IF(NOT(AND(ISNUMBER(N1662),ISNUMBER(P1662))),"",(P1662-N1662)*1440)</f>
        <v/>
      </c>
      <c r="X1662" s="28" t="n"/>
      <c r="Y1662" s="28" t="n"/>
      <c r="Z1662" s="28" t="n"/>
      <c r="AA1662" s="31" t="n"/>
      <c r="AB1662" s="31" t="n"/>
    </row>
    <row r="1663">
      <c r="A1663" s="25" t="inlineStr">
        <is>
          <t>S32</t>
        </is>
      </c>
      <c r="B1663" s="25" t="inlineStr">
        <is>
          <t>함양 신규점</t>
        </is>
      </c>
      <c r="C1663" s="25" t="inlineStr">
        <is>
          <t>S32-H북</t>
        </is>
      </c>
      <c r="D1663" s="25" t="inlineStr">
        <is>
          <t>측정</t>
        </is>
      </c>
      <c r="E1663" s="25" t="inlineStr">
        <is>
          <t>북</t>
        </is>
      </c>
      <c r="F1663" s="30" t="n">
        <v>6</v>
      </c>
      <c r="G1663" s="29" t="n"/>
      <c r="H1663" s="42" t="n"/>
      <c r="I1663" s="40" t="n"/>
      <c r="J1663" s="40" t="n"/>
      <c r="K1663" s="40" t="n"/>
      <c r="L1663" s="30">
        <f>IF(COUNT(I1663:K1663)=0,"",MEDIAN(I1663:K1663))</f>
        <v/>
      </c>
      <c r="M1663" s="25">
        <f>IF(COUNTIFS($C:$C,$C1663,$D:$D,"P0(전)",$L:$L,"&gt;0")&lt;&gt;1,"P0(전) 유효 1개 아님",IF(COUNTIFS($C:$C,$C1663,$D:$D,"P0(후)",$L:$L,"&gt;0")&lt;&gt;1,"P0(후) 유효 1개 아님",IF(NOT(AND(ISNUMBER(N1663),ISNUMBER(P1663),ISNUMBER(H1663))),"시각 결측",IF(P1663&lt;=N1663,"P0 시각 역전",IF(OR(H1663&lt;N1663,H1663&gt;P1663),"측정시각 구간 밖","OK")))))</f>
        <v/>
      </c>
      <c r="N1663" s="45">
        <f>IF(COUNTIFS($C:$C,$C1663,$D:$D,"P0(전)",$L:$L,"&gt;0")&lt;&gt;1,"",SUMIFS($H:$H,$C:$C,$C1663,$D:$D,"P0(전)"))</f>
        <v/>
      </c>
      <c r="O1663" s="30">
        <f>IF(COUNTIFS($C:$C,$C1663,$D:$D,"P0(전)",$L:$L,"&gt;0")&lt;&gt;1,"",SUMIFS($L:$L,$C:$C,$C1663,$D:$D,"P0(전)"))</f>
        <v/>
      </c>
      <c r="P1663" s="45">
        <f>IF(COUNTIFS($C:$C,$C1663,$D:$D,"P0(후)",$L:$L,"&gt;0")&lt;&gt;1,"",SUMIFS($H:$H,$C:$C,$C1663,$D:$D,"P0(후)"))</f>
        <v/>
      </c>
      <c r="Q1663" s="30">
        <f>IF(COUNTIFS($C:$C,$C1663,$D:$D,"P0(후)",$L:$L,"&gt;0")&lt;&gt;1,"",SUMIFS($L:$L,$C:$C,$C1663,$D:$D,"P0(후)"))</f>
        <v/>
      </c>
      <c r="R1663" s="30">
        <f>IF(M1663&lt;&gt;"OK","",O1663+(Q1663-O1663)*(H1663-N1663)/(P1663-N1663))</f>
        <v/>
      </c>
      <c r="S1663" s="30">
        <f>IF(OR(M1663&lt;&gt;"OK",NOT(ISNUMBER(L1663))),"",L1663-R1663)</f>
        <v/>
      </c>
      <c r="T1663" s="46">
        <f>IF(OR(NOT(ISNUMBER(S1663)),IF(ISNUMBER(G1663),G1663,F1663)=0),"",S1663/IF(ISNUMBER(G1663),G1663,F1663))</f>
        <v/>
      </c>
      <c r="U1663" s="46">
        <f>IF(ISNUMBER(T1663),ABS(T1663),"")</f>
        <v/>
      </c>
      <c r="V1663" s="46">
        <f>IF(OR($D1662&lt;&gt;"측정",$C1662&lt;&gt;$C1663,NOT(ISNUMBER(L1663)),NOT(ISNUMBER(L1662)),(IF(ISNUMBER(G1663),G1663,F1663)-IF(ISNUMBER(G1662),G1662,F1662))=0),"",(L1663-L1662)/(IF(ISNUMBER(G1663),G1663,F1663)-IF(ISNUMBER(G1662),G1662,F1662)))</f>
        <v/>
      </c>
      <c r="W1663" s="30">
        <f>IF(NOT(AND(ISNUMBER(N1663),ISNUMBER(P1663))),"",(P1663-N1663)*1440)</f>
        <v/>
      </c>
      <c r="X1663" s="28" t="n"/>
      <c r="Y1663" s="28" t="n"/>
      <c r="Z1663" s="28" t="n"/>
      <c r="AA1663" s="31" t="n"/>
      <c r="AB1663" s="31" t="n"/>
    </row>
    <row r="1664">
      <c r="A1664" s="25" t="inlineStr">
        <is>
          <t>S32</t>
        </is>
      </c>
      <c r="B1664" s="25" t="inlineStr">
        <is>
          <t>함양 신규점</t>
        </is>
      </c>
      <c r="C1664" s="25" t="inlineStr">
        <is>
          <t>S32-H북</t>
        </is>
      </c>
      <c r="D1664" s="25" t="inlineStr">
        <is>
          <t>측정</t>
        </is>
      </c>
      <c r="E1664" s="25" t="inlineStr">
        <is>
          <t>북</t>
        </is>
      </c>
      <c r="F1664" s="30" t="n">
        <v>7</v>
      </c>
      <c r="G1664" s="29" t="n"/>
      <c r="H1664" s="42" t="n"/>
      <c r="I1664" s="40" t="n"/>
      <c r="J1664" s="40" t="n"/>
      <c r="K1664" s="40" t="n"/>
      <c r="L1664" s="30">
        <f>IF(COUNT(I1664:K1664)=0,"",MEDIAN(I1664:K1664))</f>
        <v/>
      </c>
      <c r="M1664" s="25">
        <f>IF(COUNTIFS($C:$C,$C1664,$D:$D,"P0(전)",$L:$L,"&gt;0")&lt;&gt;1,"P0(전) 유효 1개 아님",IF(COUNTIFS($C:$C,$C1664,$D:$D,"P0(후)",$L:$L,"&gt;0")&lt;&gt;1,"P0(후) 유효 1개 아님",IF(NOT(AND(ISNUMBER(N1664),ISNUMBER(P1664),ISNUMBER(H1664))),"시각 결측",IF(P1664&lt;=N1664,"P0 시각 역전",IF(OR(H1664&lt;N1664,H1664&gt;P1664),"측정시각 구간 밖","OK")))))</f>
        <v/>
      </c>
      <c r="N1664" s="45">
        <f>IF(COUNTIFS($C:$C,$C1664,$D:$D,"P0(전)",$L:$L,"&gt;0")&lt;&gt;1,"",SUMIFS($H:$H,$C:$C,$C1664,$D:$D,"P0(전)"))</f>
        <v/>
      </c>
      <c r="O1664" s="30">
        <f>IF(COUNTIFS($C:$C,$C1664,$D:$D,"P0(전)",$L:$L,"&gt;0")&lt;&gt;1,"",SUMIFS($L:$L,$C:$C,$C1664,$D:$D,"P0(전)"))</f>
        <v/>
      </c>
      <c r="P1664" s="45">
        <f>IF(COUNTIFS($C:$C,$C1664,$D:$D,"P0(후)",$L:$L,"&gt;0")&lt;&gt;1,"",SUMIFS($H:$H,$C:$C,$C1664,$D:$D,"P0(후)"))</f>
        <v/>
      </c>
      <c r="Q1664" s="30">
        <f>IF(COUNTIFS($C:$C,$C1664,$D:$D,"P0(후)",$L:$L,"&gt;0")&lt;&gt;1,"",SUMIFS($L:$L,$C:$C,$C1664,$D:$D,"P0(후)"))</f>
        <v/>
      </c>
      <c r="R1664" s="30">
        <f>IF(M1664&lt;&gt;"OK","",O1664+(Q1664-O1664)*(H1664-N1664)/(P1664-N1664))</f>
        <v/>
      </c>
      <c r="S1664" s="30">
        <f>IF(OR(M1664&lt;&gt;"OK",NOT(ISNUMBER(L1664))),"",L1664-R1664)</f>
        <v/>
      </c>
      <c r="T1664" s="46">
        <f>IF(OR(NOT(ISNUMBER(S1664)),IF(ISNUMBER(G1664),G1664,F1664)=0),"",S1664/IF(ISNUMBER(G1664),G1664,F1664))</f>
        <v/>
      </c>
      <c r="U1664" s="46">
        <f>IF(ISNUMBER(T1664),ABS(T1664),"")</f>
        <v/>
      </c>
      <c r="V1664" s="46">
        <f>IF(OR($D1663&lt;&gt;"측정",$C1663&lt;&gt;$C1664,NOT(ISNUMBER(L1664)),NOT(ISNUMBER(L1663)),(IF(ISNUMBER(G1664),G1664,F1664)-IF(ISNUMBER(G1663),G1663,F1663))=0),"",(L1664-L1663)/(IF(ISNUMBER(G1664),G1664,F1664)-IF(ISNUMBER(G1663),G1663,F1663)))</f>
        <v/>
      </c>
      <c r="W1664" s="30">
        <f>IF(NOT(AND(ISNUMBER(N1664),ISNUMBER(P1664))),"",(P1664-N1664)*1440)</f>
        <v/>
      </c>
      <c r="X1664" s="28" t="n"/>
      <c r="Y1664" s="28" t="n"/>
      <c r="Z1664" s="28" t="n"/>
      <c r="AA1664" s="31" t="n"/>
      <c r="AB1664" s="31" t="n"/>
    </row>
    <row r="1665">
      <c r="A1665" s="25" t="inlineStr">
        <is>
          <t>S32</t>
        </is>
      </c>
      <c r="B1665" s="25" t="inlineStr">
        <is>
          <t>함양 신규점</t>
        </is>
      </c>
      <c r="C1665" s="25" t="inlineStr">
        <is>
          <t>S32-H북</t>
        </is>
      </c>
      <c r="D1665" s="25" t="inlineStr">
        <is>
          <t>측정</t>
        </is>
      </c>
      <c r="E1665" s="25" t="inlineStr">
        <is>
          <t>북</t>
        </is>
      </c>
      <c r="F1665" s="30" t="n">
        <v>8</v>
      </c>
      <c r="G1665" s="29" t="n"/>
      <c r="H1665" s="42" t="n"/>
      <c r="I1665" s="40" t="n"/>
      <c r="J1665" s="40" t="n"/>
      <c r="K1665" s="40" t="n"/>
      <c r="L1665" s="30">
        <f>IF(COUNT(I1665:K1665)=0,"",MEDIAN(I1665:K1665))</f>
        <v/>
      </c>
      <c r="M1665" s="25">
        <f>IF(COUNTIFS($C:$C,$C1665,$D:$D,"P0(전)",$L:$L,"&gt;0")&lt;&gt;1,"P0(전) 유효 1개 아님",IF(COUNTIFS($C:$C,$C1665,$D:$D,"P0(후)",$L:$L,"&gt;0")&lt;&gt;1,"P0(후) 유효 1개 아님",IF(NOT(AND(ISNUMBER(N1665),ISNUMBER(P1665),ISNUMBER(H1665))),"시각 결측",IF(P1665&lt;=N1665,"P0 시각 역전",IF(OR(H1665&lt;N1665,H1665&gt;P1665),"측정시각 구간 밖","OK")))))</f>
        <v/>
      </c>
      <c r="N1665" s="45">
        <f>IF(COUNTIFS($C:$C,$C1665,$D:$D,"P0(전)",$L:$L,"&gt;0")&lt;&gt;1,"",SUMIFS($H:$H,$C:$C,$C1665,$D:$D,"P0(전)"))</f>
        <v/>
      </c>
      <c r="O1665" s="30">
        <f>IF(COUNTIFS($C:$C,$C1665,$D:$D,"P0(전)",$L:$L,"&gt;0")&lt;&gt;1,"",SUMIFS($L:$L,$C:$C,$C1665,$D:$D,"P0(전)"))</f>
        <v/>
      </c>
      <c r="P1665" s="45">
        <f>IF(COUNTIFS($C:$C,$C1665,$D:$D,"P0(후)",$L:$L,"&gt;0")&lt;&gt;1,"",SUMIFS($H:$H,$C:$C,$C1665,$D:$D,"P0(후)"))</f>
        <v/>
      </c>
      <c r="Q1665" s="30">
        <f>IF(COUNTIFS($C:$C,$C1665,$D:$D,"P0(후)",$L:$L,"&gt;0")&lt;&gt;1,"",SUMIFS($L:$L,$C:$C,$C1665,$D:$D,"P0(후)"))</f>
        <v/>
      </c>
      <c r="R1665" s="30">
        <f>IF(M1665&lt;&gt;"OK","",O1665+(Q1665-O1665)*(H1665-N1665)/(P1665-N1665))</f>
        <v/>
      </c>
      <c r="S1665" s="30">
        <f>IF(OR(M1665&lt;&gt;"OK",NOT(ISNUMBER(L1665))),"",L1665-R1665)</f>
        <v/>
      </c>
      <c r="T1665" s="46">
        <f>IF(OR(NOT(ISNUMBER(S1665)),IF(ISNUMBER(G1665),G1665,F1665)=0),"",S1665/IF(ISNUMBER(G1665),G1665,F1665))</f>
        <v/>
      </c>
      <c r="U1665" s="46">
        <f>IF(ISNUMBER(T1665),ABS(T1665),"")</f>
        <v/>
      </c>
      <c r="V1665" s="46">
        <f>IF(OR($D1664&lt;&gt;"측정",$C1664&lt;&gt;$C1665,NOT(ISNUMBER(L1665)),NOT(ISNUMBER(L1664)),(IF(ISNUMBER(G1665),G1665,F1665)-IF(ISNUMBER(G1664),G1664,F1664))=0),"",(L1665-L1664)/(IF(ISNUMBER(G1665),G1665,F1665)-IF(ISNUMBER(G1664),G1664,F1664)))</f>
        <v/>
      </c>
      <c r="W1665" s="30">
        <f>IF(NOT(AND(ISNUMBER(N1665),ISNUMBER(P1665))),"",(P1665-N1665)*1440)</f>
        <v/>
      </c>
      <c r="X1665" s="28" t="n"/>
      <c r="Y1665" s="28" t="n"/>
      <c r="Z1665" s="28" t="n"/>
      <c r="AA1665" s="31" t="n"/>
      <c r="AB1665" s="31" t="n"/>
    </row>
    <row r="1666">
      <c r="A1666" s="25" t="inlineStr">
        <is>
          <t>S32</t>
        </is>
      </c>
      <c r="B1666" s="25" t="inlineStr">
        <is>
          <t>함양 신규점</t>
        </is>
      </c>
      <c r="C1666" s="25" t="inlineStr">
        <is>
          <t>S32-H북</t>
        </is>
      </c>
      <c r="D1666" s="25" t="inlineStr">
        <is>
          <t>측정</t>
        </is>
      </c>
      <c r="E1666" s="25" t="inlineStr">
        <is>
          <t>북</t>
        </is>
      </c>
      <c r="F1666" s="30" t="n">
        <v>9</v>
      </c>
      <c r="G1666" s="29" t="n"/>
      <c r="H1666" s="42" t="n"/>
      <c r="I1666" s="40" t="n"/>
      <c r="J1666" s="40" t="n"/>
      <c r="K1666" s="40" t="n"/>
      <c r="L1666" s="30">
        <f>IF(COUNT(I1666:K1666)=0,"",MEDIAN(I1666:K1666))</f>
        <v/>
      </c>
      <c r="M1666" s="25">
        <f>IF(COUNTIFS($C:$C,$C1666,$D:$D,"P0(전)",$L:$L,"&gt;0")&lt;&gt;1,"P0(전) 유효 1개 아님",IF(COUNTIFS($C:$C,$C1666,$D:$D,"P0(후)",$L:$L,"&gt;0")&lt;&gt;1,"P0(후) 유효 1개 아님",IF(NOT(AND(ISNUMBER(N1666),ISNUMBER(P1666),ISNUMBER(H1666))),"시각 결측",IF(P1666&lt;=N1666,"P0 시각 역전",IF(OR(H1666&lt;N1666,H1666&gt;P1666),"측정시각 구간 밖","OK")))))</f>
        <v/>
      </c>
      <c r="N1666" s="45">
        <f>IF(COUNTIFS($C:$C,$C1666,$D:$D,"P0(전)",$L:$L,"&gt;0")&lt;&gt;1,"",SUMIFS($H:$H,$C:$C,$C1666,$D:$D,"P0(전)"))</f>
        <v/>
      </c>
      <c r="O1666" s="30">
        <f>IF(COUNTIFS($C:$C,$C1666,$D:$D,"P0(전)",$L:$L,"&gt;0")&lt;&gt;1,"",SUMIFS($L:$L,$C:$C,$C1666,$D:$D,"P0(전)"))</f>
        <v/>
      </c>
      <c r="P1666" s="45">
        <f>IF(COUNTIFS($C:$C,$C1666,$D:$D,"P0(후)",$L:$L,"&gt;0")&lt;&gt;1,"",SUMIFS($H:$H,$C:$C,$C1666,$D:$D,"P0(후)"))</f>
        <v/>
      </c>
      <c r="Q1666" s="30">
        <f>IF(COUNTIFS($C:$C,$C1666,$D:$D,"P0(후)",$L:$L,"&gt;0")&lt;&gt;1,"",SUMIFS($L:$L,$C:$C,$C1666,$D:$D,"P0(후)"))</f>
        <v/>
      </c>
      <c r="R1666" s="30">
        <f>IF(M1666&lt;&gt;"OK","",O1666+(Q1666-O1666)*(H1666-N1666)/(P1666-N1666))</f>
        <v/>
      </c>
      <c r="S1666" s="30">
        <f>IF(OR(M1666&lt;&gt;"OK",NOT(ISNUMBER(L1666))),"",L1666-R1666)</f>
        <v/>
      </c>
      <c r="T1666" s="46">
        <f>IF(OR(NOT(ISNUMBER(S1666)),IF(ISNUMBER(G1666),G1666,F1666)=0),"",S1666/IF(ISNUMBER(G1666),G1666,F1666))</f>
        <v/>
      </c>
      <c r="U1666" s="46">
        <f>IF(ISNUMBER(T1666),ABS(T1666),"")</f>
        <v/>
      </c>
      <c r="V1666" s="46">
        <f>IF(OR($D1665&lt;&gt;"측정",$C1665&lt;&gt;$C1666,NOT(ISNUMBER(L1666)),NOT(ISNUMBER(L1665)),(IF(ISNUMBER(G1666),G1666,F1666)-IF(ISNUMBER(G1665),G1665,F1665))=0),"",(L1666-L1665)/(IF(ISNUMBER(G1666),G1666,F1666)-IF(ISNUMBER(G1665),G1665,F1665)))</f>
        <v/>
      </c>
      <c r="W1666" s="30">
        <f>IF(NOT(AND(ISNUMBER(N1666),ISNUMBER(P1666))),"",(P1666-N1666)*1440)</f>
        <v/>
      </c>
      <c r="X1666" s="28" t="n"/>
      <c r="Y1666" s="28" t="n"/>
      <c r="Z1666" s="28" t="n"/>
      <c r="AA1666" s="31" t="n"/>
      <c r="AB1666" s="31" t="n"/>
    </row>
    <row r="1667">
      <c r="A1667" s="25" t="inlineStr">
        <is>
          <t>S32</t>
        </is>
      </c>
      <c r="B1667" s="25" t="inlineStr">
        <is>
          <t>함양 신규점</t>
        </is>
      </c>
      <c r="C1667" s="25" t="inlineStr">
        <is>
          <t>S32-H북</t>
        </is>
      </c>
      <c r="D1667" s="25" t="inlineStr">
        <is>
          <t>측정</t>
        </is>
      </c>
      <c r="E1667" s="25" t="inlineStr">
        <is>
          <t>북</t>
        </is>
      </c>
      <c r="F1667" s="30" t="n">
        <v>10</v>
      </c>
      <c r="G1667" s="29" t="n"/>
      <c r="H1667" s="42" t="n"/>
      <c r="I1667" s="40" t="n"/>
      <c r="J1667" s="40" t="n"/>
      <c r="K1667" s="40" t="n"/>
      <c r="L1667" s="30">
        <f>IF(COUNT(I1667:K1667)=0,"",MEDIAN(I1667:K1667))</f>
        <v/>
      </c>
      <c r="M1667" s="25">
        <f>IF(COUNTIFS($C:$C,$C1667,$D:$D,"P0(전)",$L:$L,"&gt;0")&lt;&gt;1,"P0(전) 유효 1개 아님",IF(COUNTIFS($C:$C,$C1667,$D:$D,"P0(후)",$L:$L,"&gt;0")&lt;&gt;1,"P0(후) 유효 1개 아님",IF(NOT(AND(ISNUMBER(N1667),ISNUMBER(P1667),ISNUMBER(H1667))),"시각 결측",IF(P1667&lt;=N1667,"P0 시각 역전",IF(OR(H1667&lt;N1667,H1667&gt;P1667),"측정시각 구간 밖","OK")))))</f>
        <v/>
      </c>
      <c r="N1667" s="45">
        <f>IF(COUNTIFS($C:$C,$C1667,$D:$D,"P0(전)",$L:$L,"&gt;0")&lt;&gt;1,"",SUMIFS($H:$H,$C:$C,$C1667,$D:$D,"P0(전)"))</f>
        <v/>
      </c>
      <c r="O1667" s="30">
        <f>IF(COUNTIFS($C:$C,$C1667,$D:$D,"P0(전)",$L:$L,"&gt;0")&lt;&gt;1,"",SUMIFS($L:$L,$C:$C,$C1667,$D:$D,"P0(전)"))</f>
        <v/>
      </c>
      <c r="P1667" s="45">
        <f>IF(COUNTIFS($C:$C,$C1667,$D:$D,"P0(후)",$L:$L,"&gt;0")&lt;&gt;1,"",SUMIFS($H:$H,$C:$C,$C1667,$D:$D,"P0(후)"))</f>
        <v/>
      </c>
      <c r="Q1667" s="30">
        <f>IF(COUNTIFS($C:$C,$C1667,$D:$D,"P0(후)",$L:$L,"&gt;0")&lt;&gt;1,"",SUMIFS($L:$L,$C:$C,$C1667,$D:$D,"P0(후)"))</f>
        <v/>
      </c>
      <c r="R1667" s="30">
        <f>IF(M1667&lt;&gt;"OK","",O1667+(Q1667-O1667)*(H1667-N1667)/(P1667-N1667))</f>
        <v/>
      </c>
      <c r="S1667" s="30">
        <f>IF(OR(M1667&lt;&gt;"OK",NOT(ISNUMBER(L1667))),"",L1667-R1667)</f>
        <v/>
      </c>
      <c r="T1667" s="46">
        <f>IF(OR(NOT(ISNUMBER(S1667)),IF(ISNUMBER(G1667),G1667,F1667)=0),"",S1667/IF(ISNUMBER(G1667),G1667,F1667))</f>
        <v/>
      </c>
      <c r="U1667" s="46">
        <f>IF(ISNUMBER(T1667),ABS(T1667),"")</f>
        <v/>
      </c>
      <c r="V1667" s="46">
        <f>IF(OR($D1666&lt;&gt;"측정",$C1666&lt;&gt;$C1667,NOT(ISNUMBER(L1667)),NOT(ISNUMBER(L1666)),(IF(ISNUMBER(G1667),G1667,F1667)-IF(ISNUMBER(G1666),G1666,F1666))=0),"",(L1667-L1666)/(IF(ISNUMBER(G1667),G1667,F1667)-IF(ISNUMBER(G1666),G1666,F1666)))</f>
        <v/>
      </c>
      <c r="W1667" s="30">
        <f>IF(NOT(AND(ISNUMBER(N1667),ISNUMBER(P1667))),"",(P1667-N1667)*1440)</f>
        <v/>
      </c>
      <c r="X1667" s="28" t="n"/>
      <c r="Y1667" s="28" t="n"/>
      <c r="Z1667" s="28" t="n"/>
      <c r="AA1667" s="31" t="n"/>
      <c r="AB1667" s="31" t="n"/>
    </row>
    <row r="1668">
      <c r="A1668" s="43" t="inlineStr">
        <is>
          <t>S32</t>
        </is>
      </c>
      <c r="B1668" s="43" t="inlineStr">
        <is>
          <t>함양 신규점</t>
        </is>
      </c>
      <c r="C1668" s="43" t="inlineStr">
        <is>
          <t>S32-H북</t>
        </is>
      </c>
      <c r="D1668" s="43" t="inlineStr">
        <is>
          <t>P0(후)</t>
        </is>
      </c>
      <c r="E1668" s="43" t="inlineStr">
        <is>
          <t>북</t>
        </is>
      </c>
      <c r="F1668" s="44" t="n"/>
      <c r="G1668" s="29" t="n"/>
      <c r="H1668" s="42" t="n"/>
      <c r="I1668" s="40" t="n"/>
      <c r="J1668" s="40" t="n"/>
      <c r="K1668" s="40" t="n"/>
      <c r="L1668" s="30">
        <f>IF(COUNT(I1668:K1668)=0,"",MEDIAN(I1668:K1668))</f>
        <v/>
      </c>
      <c r="M1668" s="37" t="n"/>
      <c r="N1668" s="37" t="n"/>
      <c r="O1668" s="37" t="n"/>
      <c r="P1668" s="37" t="n"/>
      <c r="Q1668" s="37" t="n"/>
      <c r="R1668" s="37" t="n"/>
      <c r="S1668" s="37" t="n"/>
      <c r="T1668" s="37" t="n"/>
      <c r="U1668" s="37" t="n"/>
      <c r="V1668" s="37" t="n"/>
      <c r="W1668" s="37" t="n"/>
      <c r="X1668" s="28" t="n"/>
      <c r="Y1668" s="28" t="n"/>
      <c r="Z1668" s="28" t="n"/>
      <c r="AA1668" s="31" t="n"/>
      <c r="AB1668" s="31" t="n"/>
    </row>
    <row r="1669">
      <c r="A1669" s="43" t="inlineStr">
        <is>
          <t>S33</t>
        </is>
      </c>
      <c r="B1669" s="43" t="inlineStr">
        <is>
          <t>문산 신규점</t>
        </is>
      </c>
      <c r="C1669" s="43" t="inlineStr">
        <is>
          <t>S33-H동</t>
        </is>
      </c>
      <c r="D1669" s="43" t="inlineStr">
        <is>
          <t>P0(전)</t>
        </is>
      </c>
      <c r="E1669" s="43" t="inlineStr">
        <is>
          <t>동</t>
        </is>
      </c>
      <c r="F1669" s="44" t="n"/>
      <c r="G1669" s="29" t="n"/>
      <c r="H1669" s="42" t="n"/>
      <c r="I1669" s="40" t="n"/>
      <c r="J1669" s="40" t="n"/>
      <c r="K1669" s="40" t="n"/>
      <c r="L1669" s="30">
        <f>IF(COUNT(I1669:K1669)=0,"",MEDIAN(I1669:K1669))</f>
        <v/>
      </c>
      <c r="M1669" s="37" t="n"/>
      <c r="N1669" s="37" t="n"/>
      <c r="O1669" s="37" t="n"/>
      <c r="P1669" s="37" t="n"/>
      <c r="Q1669" s="37" t="n"/>
      <c r="R1669" s="37" t="n"/>
      <c r="S1669" s="37" t="n"/>
      <c r="T1669" s="37" t="n"/>
      <c r="U1669" s="37" t="n"/>
      <c r="V1669" s="37" t="n"/>
      <c r="W1669" s="37" t="n"/>
      <c r="X1669" s="28" t="n"/>
      <c r="Y1669" s="28" t="n"/>
      <c r="Z1669" s="28" t="n"/>
      <c r="AA1669" s="31" t="n"/>
      <c r="AB1669" s="31" t="n"/>
    </row>
    <row r="1670">
      <c r="A1670" s="25" t="inlineStr">
        <is>
          <t>S33</t>
        </is>
      </c>
      <c r="B1670" s="25" t="inlineStr">
        <is>
          <t>문산 신규점</t>
        </is>
      </c>
      <c r="C1670" s="25" t="inlineStr">
        <is>
          <t>S33-H동</t>
        </is>
      </c>
      <c r="D1670" s="25" t="inlineStr">
        <is>
          <t>측정</t>
        </is>
      </c>
      <c r="E1670" s="25" t="inlineStr">
        <is>
          <t>동</t>
        </is>
      </c>
      <c r="F1670" s="30" t="n">
        <v>0.5</v>
      </c>
      <c r="G1670" s="29" t="n"/>
      <c r="H1670" s="42" t="n"/>
      <c r="I1670" s="40" t="n"/>
      <c r="J1670" s="40" t="n"/>
      <c r="K1670" s="40" t="n"/>
      <c r="L1670" s="30">
        <f>IF(COUNT(I1670:K1670)=0,"",MEDIAN(I1670:K1670))</f>
        <v/>
      </c>
      <c r="M1670" s="25">
        <f>IF(COUNTIFS($C:$C,$C1670,$D:$D,"P0(전)",$L:$L,"&gt;0")&lt;&gt;1,"P0(전) 유효 1개 아님",IF(COUNTIFS($C:$C,$C1670,$D:$D,"P0(후)",$L:$L,"&gt;0")&lt;&gt;1,"P0(후) 유효 1개 아님",IF(NOT(AND(ISNUMBER(N1670),ISNUMBER(P1670),ISNUMBER(H1670))),"시각 결측",IF(P1670&lt;=N1670,"P0 시각 역전",IF(OR(H1670&lt;N1670,H1670&gt;P1670),"측정시각 구간 밖","OK")))))</f>
        <v/>
      </c>
      <c r="N1670" s="45">
        <f>IF(COUNTIFS($C:$C,$C1670,$D:$D,"P0(전)",$L:$L,"&gt;0")&lt;&gt;1,"",SUMIFS($H:$H,$C:$C,$C1670,$D:$D,"P0(전)"))</f>
        <v/>
      </c>
      <c r="O1670" s="30">
        <f>IF(COUNTIFS($C:$C,$C1670,$D:$D,"P0(전)",$L:$L,"&gt;0")&lt;&gt;1,"",SUMIFS($L:$L,$C:$C,$C1670,$D:$D,"P0(전)"))</f>
        <v/>
      </c>
      <c r="P1670" s="45">
        <f>IF(COUNTIFS($C:$C,$C1670,$D:$D,"P0(후)",$L:$L,"&gt;0")&lt;&gt;1,"",SUMIFS($H:$H,$C:$C,$C1670,$D:$D,"P0(후)"))</f>
        <v/>
      </c>
      <c r="Q1670" s="30">
        <f>IF(COUNTIFS($C:$C,$C1670,$D:$D,"P0(후)",$L:$L,"&gt;0")&lt;&gt;1,"",SUMIFS($L:$L,$C:$C,$C1670,$D:$D,"P0(후)"))</f>
        <v/>
      </c>
      <c r="R1670" s="30">
        <f>IF(M1670&lt;&gt;"OK","",O1670+(Q1670-O1670)*(H1670-N1670)/(P1670-N1670))</f>
        <v/>
      </c>
      <c r="S1670" s="30">
        <f>IF(OR(M1670&lt;&gt;"OK",NOT(ISNUMBER(L1670))),"",L1670-R1670)</f>
        <v/>
      </c>
      <c r="T1670" s="46">
        <f>IF(OR(NOT(ISNUMBER(S1670)),IF(ISNUMBER(G1670),G1670,F1670)=0),"",S1670/IF(ISNUMBER(G1670),G1670,F1670))</f>
        <v/>
      </c>
      <c r="U1670" s="46">
        <f>IF(ISNUMBER(T1670),ABS(T1670),"")</f>
        <v/>
      </c>
      <c r="V1670" s="46">
        <f>IF(OR($D1669&lt;&gt;"측정",$C1669&lt;&gt;$C1670,NOT(ISNUMBER(L1670)),NOT(ISNUMBER(L1669)),(IF(ISNUMBER(G1670),G1670,F1670)-IF(ISNUMBER(G1669),G1669,F1669))=0),"",(L1670-L1669)/(IF(ISNUMBER(G1670),G1670,F1670)-IF(ISNUMBER(G1669),G1669,F1669)))</f>
        <v/>
      </c>
      <c r="W1670" s="30">
        <f>IF(NOT(AND(ISNUMBER(N1670),ISNUMBER(P1670))),"",(P1670-N1670)*1440)</f>
        <v/>
      </c>
      <c r="X1670" s="28" t="n"/>
      <c r="Y1670" s="28" t="n"/>
      <c r="Z1670" s="28" t="n"/>
      <c r="AA1670" s="31" t="n"/>
      <c r="AB1670" s="31" t="n"/>
    </row>
    <row r="1671">
      <c r="A1671" s="25" t="inlineStr">
        <is>
          <t>S33</t>
        </is>
      </c>
      <c r="B1671" s="25" t="inlineStr">
        <is>
          <t>문산 신규점</t>
        </is>
      </c>
      <c r="C1671" s="25" t="inlineStr">
        <is>
          <t>S33-H동</t>
        </is>
      </c>
      <c r="D1671" s="25" t="inlineStr">
        <is>
          <t>측정</t>
        </is>
      </c>
      <c r="E1671" s="25" t="inlineStr">
        <is>
          <t>동</t>
        </is>
      </c>
      <c r="F1671" s="30" t="n">
        <v>1</v>
      </c>
      <c r="G1671" s="29" t="n"/>
      <c r="H1671" s="42" t="n"/>
      <c r="I1671" s="40" t="n"/>
      <c r="J1671" s="40" t="n"/>
      <c r="K1671" s="40" t="n"/>
      <c r="L1671" s="30">
        <f>IF(COUNT(I1671:K1671)=0,"",MEDIAN(I1671:K1671))</f>
        <v/>
      </c>
      <c r="M1671" s="25">
        <f>IF(COUNTIFS($C:$C,$C1671,$D:$D,"P0(전)",$L:$L,"&gt;0")&lt;&gt;1,"P0(전) 유효 1개 아님",IF(COUNTIFS($C:$C,$C1671,$D:$D,"P0(후)",$L:$L,"&gt;0")&lt;&gt;1,"P0(후) 유효 1개 아님",IF(NOT(AND(ISNUMBER(N1671),ISNUMBER(P1671),ISNUMBER(H1671))),"시각 결측",IF(P1671&lt;=N1671,"P0 시각 역전",IF(OR(H1671&lt;N1671,H1671&gt;P1671),"측정시각 구간 밖","OK")))))</f>
        <v/>
      </c>
      <c r="N1671" s="45">
        <f>IF(COUNTIFS($C:$C,$C1671,$D:$D,"P0(전)",$L:$L,"&gt;0")&lt;&gt;1,"",SUMIFS($H:$H,$C:$C,$C1671,$D:$D,"P0(전)"))</f>
        <v/>
      </c>
      <c r="O1671" s="30">
        <f>IF(COUNTIFS($C:$C,$C1671,$D:$D,"P0(전)",$L:$L,"&gt;0")&lt;&gt;1,"",SUMIFS($L:$L,$C:$C,$C1671,$D:$D,"P0(전)"))</f>
        <v/>
      </c>
      <c r="P1671" s="45">
        <f>IF(COUNTIFS($C:$C,$C1671,$D:$D,"P0(후)",$L:$L,"&gt;0")&lt;&gt;1,"",SUMIFS($H:$H,$C:$C,$C1671,$D:$D,"P0(후)"))</f>
        <v/>
      </c>
      <c r="Q1671" s="30">
        <f>IF(COUNTIFS($C:$C,$C1671,$D:$D,"P0(후)",$L:$L,"&gt;0")&lt;&gt;1,"",SUMIFS($L:$L,$C:$C,$C1671,$D:$D,"P0(후)"))</f>
        <v/>
      </c>
      <c r="R1671" s="30">
        <f>IF(M1671&lt;&gt;"OK","",O1671+(Q1671-O1671)*(H1671-N1671)/(P1671-N1671))</f>
        <v/>
      </c>
      <c r="S1671" s="30">
        <f>IF(OR(M1671&lt;&gt;"OK",NOT(ISNUMBER(L1671))),"",L1671-R1671)</f>
        <v/>
      </c>
      <c r="T1671" s="46">
        <f>IF(OR(NOT(ISNUMBER(S1671)),IF(ISNUMBER(G1671),G1671,F1671)=0),"",S1671/IF(ISNUMBER(G1671),G1671,F1671))</f>
        <v/>
      </c>
      <c r="U1671" s="46">
        <f>IF(ISNUMBER(T1671),ABS(T1671),"")</f>
        <v/>
      </c>
      <c r="V1671" s="46">
        <f>IF(OR($D1670&lt;&gt;"측정",$C1670&lt;&gt;$C1671,NOT(ISNUMBER(L1671)),NOT(ISNUMBER(L1670)),(IF(ISNUMBER(G1671),G1671,F1671)-IF(ISNUMBER(G1670),G1670,F1670))=0),"",(L1671-L1670)/(IF(ISNUMBER(G1671),G1671,F1671)-IF(ISNUMBER(G1670),G1670,F1670)))</f>
        <v/>
      </c>
      <c r="W1671" s="30">
        <f>IF(NOT(AND(ISNUMBER(N1671),ISNUMBER(P1671))),"",(P1671-N1671)*1440)</f>
        <v/>
      </c>
      <c r="X1671" s="28" t="n"/>
      <c r="Y1671" s="28" t="n"/>
      <c r="Z1671" s="28" t="n"/>
      <c r="AA1671" s="31" t="n"/>
      <c r="AB1671" s="31" t="n"/>
    </row>
    <row r="1672">
      <c r="A1672" s="25" t="inlineStr">
        <is>
          <t>S33</t>
        </is>
      </c>
      <c r="B1672" s="25" t="inlineStr">
        <is>
          <t>문산 신규점</t>
        </is>
      </c>
      <c r="C1672" s="25" t="inlineStr">
        <is>
          <t>S33-H동</t>
        </is>
      </c>
      <c r="D1672" s="25" t="inlineStr">
        <is>
          <t>측정</t>
        </is>
      </c>
      <c r="E1672" s="25" t="inlineStr">
        <is>
          <t>동</t>
        </is>
      </c>
      <c r="F1672" s="30" t="n">
        <v>2</v>
      </c>
      <c r="G1672" s="29" t="n"/>
      <c r="H1672" s="42" t="n"/>
      <c r="I1672" s="40" t="n"/>
      <c r="J1672" s="40" t="n"/>
      <c r="K1672" s="40" t="n"/>
      <c r="L1672" s="30">
        <f>IF(COUNT(I1672:K1672)=0,"",MEDIAN(I1672:K1672))</f>
        <v/>
      </c>
      <c r="M1672" s="25">
        <f>IF(COUNTIFS($C:$C,$C1672,$D:$D,"P0(전)",$L:$L,"&gt;0")&lt;&gt;1,"P0(전) 유효 1개 아님",IF(COUNTIFS($C:$C,$C1672,$D:$D,"P0(후)",$L:$L,"&gt;0")&lt;&gt;1,"P0(후) 유효 1개 아님",IF(NOT(AND(ISNUMBER(N1672),ISNUMBER(P1672),ISNUMBER(H1672))),"시각 결측",IF(P1672&lt;=N1672,"P0 시각 역전",IF(OR(H1672&lt;N1672,H1672&gt;P1672),"측정시각 구간 밖","OK")))))</f>
        <v/>
      </c>
      <c r="N1672" s="45">
        <f>IF(COUNTIFS($C:$C,$C1672,$D:$D,"P0(전)",$L:$L,"&gt;0")&lt;&gt;1,"",SUMIFS($H:$H,$C:$C,$C1672,$D:$D,"P0(전)"))</f>
        <v/>
      </c>
      <c r="O1672" s="30">
        <f>IF(COUNTIFS($C:$C,$C1672,$D:$D,"P0(전)",$L:$L,"&gt;0")&lt;&gt;1,"",SUMIFS($L:$L,$C:$C,$C1672,$D:$D,"P0(전)"))</f>
        <v/>
      </c>
      <c r="P1672" s="45">
        <f>IF(COUNTIFS($C:$C,$C1672,$D:$D,"P0(후)",$L:$L,"&gt;0")&lt;&gt;1,"",SUMIFS($H:$H,$C:$C,$C1672,$D:$D,"P0(후)"))</f>
        <v/>
      </c>
      <c r="Q1672" s="30">
        <f>IF(COUNTIFS($C:$C,$C1672,$D:$D,"P0(후)",$L:$L,"&gt;0")&lt;&gt;1,"",SUMIFS($L:$L,$C:$C,$C1672,$D:$D,"P0(후)"))</f>
        <v/>
      </c>
      <c r="R1672" s="30">
        <f>IF(M1672&lt;&gt;"OK","",O1672+(Q1672-O1672)*(H1672-N1672)/(P1672-N1672))</f>
        <v/>
      </c>
      <c r="S1672" s="30">
        <f>IF(OR(M1672&lt;&gt;"OK",NOT(ISNUMBER(L1672))),"",L1672-R1672)</f>
        <v/>
      </c>
      <c r="T1672" s="46">
        <f>IF(OR(NOT(ISNUMBER(S1672)),IF(ISNUMBER(G1672),G1672,F1672)=0),"",S1672/IF(ISNUMBER(G1672),G1672,F1672))</f>
        <v/>
      </c>
      <c r="U1672" s="46">
        <f>IF(ISNUMBER(T1672),ABS(T1672),"")</f>
        <v/>
      </c>
      <c r="V1672" s="46">
        <f>IF(OR($D1671&lt;&gt;"측정",$C1671&lt;&gt;$C1672,NOT(ISNUMBER(L1672)),NOT(ISNUMBER(L1671)),(IF(ISNUMBER(G1672),G1672,F1672)-IF(ISNUMBER(G1671),G1671,F1671))=0),"",(L1672-L1671)/(IF(ISNUMBER(G1672),G1672,F1672)-IF(ISNUMBER(G1671),G1671,F1671)))</f>
        <v/>
      </c>
      <c r="W1672" s="30">
        <f>IF(NOT(AND(ISNUMBER(N1672),ISNUMBER(P1672))),"",(P1672-N1672)*1440)</f>
        <v/>
      </c>
      <c r="X1672" s="28" t="n"/>
      <c r="Y1672" s="28" t="n"/>
      <c r="Z1672" s="28" t="n"/>
      <c r="AA1672" s="31" t="n"/>
      <c r="AB1672" s="31" t="n"/>
    </row>
    <row r="1673">
      <c r="A1673" s="25" t="inlineStr">
        <is>
          <t>S33</t>
        </is>
      </c>
      <c r="B1673" s="25" t="inlineStr">
        <is>
          <t>문산 신규점</t>
        </is>
      </c>
      <c r="C1673" s="25" t="inlineStr">
        <is>
          <t>S33-H동</t>
        </is>
      </c>
      <c r="D1673" s="25" t="inlineStr">
        <is>
          <t>측정</t>
        </is>
      </c>
      <c r="E1673" s="25" t="inlineStr">
        <is>
          <t>동</t>
        </is>
      </c>
      <c r="F1673" s="30" t="n">
        <v>3</v>
      </c>
      <c r="G1673" s="29" t="n"/>
      <c r="H1673" s="42" t="n"/>
      <c r="I1673" s="40" t="n"/>
      <c r="J1673" s="40" t="n"/>
      <c r="K1673" s="40" t="n"/>
      <c r="L1673" s="30">
        <f>IF(COUNT(I1673:K1673)=0,"",MEDIAN(I1673:K1673))</f>
        <v/>
      </c>
      <c r="M1673" s="25">
        <f>IF(COUNTIFS($C:$C,$C1673,$D:$D,"P0(전)",$L:$L,"&gt;0")&lt;&gt;1,"P0(전) 유효 1개 아님",IF(COUNTIFS($C:$C,$C1673,$D:$D,"P0(후)",$L:$L,"&gt;0")&lt;&gt;1,"P0(후) 유효 1개 아님",IF(NOT(AND(ISNUMBER(N1673),ISNUMBER(P1673),ISNUMBER(H1673))),"시각 결측",IF(P1673&lt;=N1673,"P0 시각 역전",IF(OR(H1673&lt;N1673,H1673&gt;P1673),"측정시각 구간 밖","OK")))))</f>
        <v/>
      </c>
      <c r="N1673" s="45">
        <f>IF(COUNTIFS($C:$C,$C1673,$D:$D,"P0(전)",$L:$L,"&gt;0")&lt;&gt;1,"",SUMIFS($H:$H,$C:$C,$C1673,$D:$D,"P0(전)"))</f>
        <v/>
      </c>
      <c r="O1673" s="30">
        <f>IF(COUNTIFS($C:$C,$C1673,$D:$D,"P0(전)",$L:$L,"&gt;0")&lt;&gt;1,"",SUMIFS($L:$L,$C:$C,$C1673,$D:$D,"P0(전)"))</f>
        <v/>
      </c>
      <c r="P1673" s="45">
        <f>IF(COUNTIFS($C:$C,$C1673,$D:$D,"P0(후)",$L:$L,"&gt;0")&lt;&gt;1,"",SUMIFS($H:$H,$C:$C,$C1673,$D:$D,"P0(후)"))</f>
        <v/>
      </c>
      <c r="Q1673" s="30">
        <f>IF(COUNTIFS($C:$C,$C1673,$D:$D,"P0(후)",$L:$L,"&gt;0")&lt;&gt;1,"",SUMIFS($L:$L,$C:$C,$C1673,$D:$D,"P0(후)"))</f>
        <v/>
      </c>
      <c r="R1673" s="30">
        <f>IF(M1673&lt;&gt;"OK","",O1673+(Q1673-O1673)*(H1673-N1673)/(P1673-N1673))</f>
        <v/>
      </c>
      <c r="S1673" s="30">
        <f>IF(OR(M1673&lt;&gt;"OK",NOT(ISNUMBER(L1673))),"",L1673-R1673)</f>
        <v/>
      </c>
      <c r="T1673" s="46">
        <f>IF(OR(NOT(ISNUMBER(S1673)),IF(ISNUMBER(G1673),G1673,F1673)=0),"",S1673/IF(ISNUMBER(G1673),G1673,F1673))</f>
        <v/>
      </c>
      <c r="U1673" s="46">
        <f>IF(ISNUMBER(T1673),ABS(T1673),"")</f>
        <v/>
      </c>
      <c r="V1673" s="46">
        <f>IF(OR($D1672&lt;&gt;"측정",$C1672&lt;&gt;$C1673,NOT(ISNUMBER(L1673)),NOT(ISNUMBER(L1672)),(IF(ISNUMBER(G1673),G1673,F1673)-IF(ISNUMBER(G1672),G1672,F1672))=0),"",(L1673-L1672)/(IF(ISNUMBER(G1673),G1673,F1673)-IF(ISNUMBER(G1672),G1672,F1672)))</f>
        <v/>
      </c>
      <c r="W1673" s="30">
        <f>IF(NOT(AND(ISNUMBER(N1673),ISNUMBER(P1673))),"",(P1673-N1673)*1440)</f>
        <v/>
      </c>
      <c r="X1673" s="28" t="n"/>
      <c r="Y1673" s="28" t="n"/>
      <c r="Z1673" s="28" t="n"/>
      <c r="AA1673" s="31" t="n"/>
      <c r="AB1673" s="31" t="n"/>
    </row>
    <row r="1674">
      <c r="A1674" s="25" t="inlineStr">
        <is>
          <t>S33</t>
        </is>
      </c>
      <c r="B1674" s="25" t="inlineStr">
        <is>
          <t>문산 신규점</t>
        </is>
      </c>
      <c r="C1674" s="25" t="inlineStr">
        <is>
          <t>S33-H동</t>
        </is>
      </c>
      <c r="D1674" s="25" t="inlineStr">
        <is>
          <t>측정</t>
        </is>
      </c>
      <c r="E1674" s="25" t="inlineStr">
        <is>
          <t>동</t>
        </is>
      </c>
      <c r="F1674" s="30" t="n">
        <v>4</v>
      </c>
      <c r="G1674" s="29" t="n"/>
      <c r="H1674" s="42" t="n"/>
      <c r="I1674" s="40" t="n"/>
      <c r="J1674" s="40" t="n"/>
      <c r="K1674" s="40" t="n"/>
      <c r="L1674" s="30">
        <f>IF(COUNT(I1674:K1674)=0,"",MEDIAN(I1674:K1674))</f>
        <v/>
      </c>
      <c r="M1674" s="25">
        <f>IF(COUNTIFS($C:$C,$C1674,$D:$D,"P0(전)",$L:$L,"&gt;0")&lt;&gt;1,"P0(전) 유효 1개 아님",IF(COUNTIFS($C:$C,$C1674,$D:$D,"P0(후)",$L:$L,"&gt;0")&lt;&gt;1,"P0(후) 유효 1개 아님",IF(NOT(AND(ISNUMBER(N1674),ISNUMBER(P1674),ISNUMBER(H1674))),"시각 결측",IF(P1674&lt;=N1674,"P0 시각 역전",IF(OR(H1674&lt;N1674,H1674&gt;P1674),"측정시각 구간 밖","OK")))))</f>
        <v/>
      </c>
      <c r="N1674" s="45">
        <f>IF(COUNTIFS($C:$C,$C1674,$D:$D,"P0(전)",$L:$L,"&gt;0")&lt;&gt;1,"",SUMIFS($H:$H,$C:$C,$C1674,$D:$D,"P0(전)"))</f>
        <v/>
      </c>
      <c r="O1674" s="30">
        <f>IF(COUNTIFS($C:$C,$C1674,$D:$D,"P0(전)",$L:$L,"&gt;0")&lt;&gt;1,"",SUMIFS($L:$L,$C:$C,$C1674,$D:$D,"P0(전)"))</f>
        <v/>
      </c>
      <c r="P1674" s="45">
        <f>IF(COUNTIFS($C:$C,$C1674,$D:$D,"P0(후)",$L:$L,"&gt;0")&lt;&gt;1,"",SUMIFS($H:$H,$C:$C,$C1674,$D:$D,"P0(후)"))</f>
        <v/>
      </c>
      <c r="Q1674" s="30">
        <f>IF(COUNTIFS($C:$C,$C1674,$D:$D,"P0(후)",$L:$L,"&gt;0")&lt;&gt;1,"",SUMIFS($L:$L,$C:$C,$C1674,$D:$D,"P0(후)"))</f>
        <v/>
      </c>
      <c r="R1674" s="30">
        <f>IF(M1674&lt;&gt;"OK","",O1674+(Q1674-O1674)*(H1674-N1674)/(P1674-N1674))</f>
        <v/>
      </c>
      <c r="S1674" s="30">
        <f>IF(OR(M1674&lt;&gt;"OK",NOT(ISNUMBER(L1674))),"",L1674-R1674)</f>
        <v/>
      </c>
      <c r="T1674" s="46">
        <f>IF(OR(NOT(ISNUMBER(S1674)),IF(ISNUMBER(G1674),G1674,F1674)=0),"",S1674/IF(ISNUMBER(G1674),G1674,F1674))</f>
        <v/>
      </c>
      <c r="U1674" s="46">
        <f>IF(ISNUMBER(T1674),ABS(T1674),"")</f>
        <v/>
      </c>
      <c r="V1674" s="46">
        <f>IF(OR($D1673&lt;&gt;"측정",$C1673&lt;&gt;$C1674,NOT(ISNUMBER(L1674)),NOT(ISNUMBER(L1673)),(IF(ISNUMBER(G1674),G1674,F1674)-IF(ISNUMBER(G1673),G1673,F1673))=0),"",(L1674-L1673)/(IF(ISNUMBER(G1674),G1674,F1674)-IF(ISNUMBER(G1673),G1673,F1673)))</f>
        <v/>
      </c>
      <c r="W1674" s="30">
        <f>IF(NOT(AND(ISNUMBER(N1674),ISNUMBER(P1674))),"",(P1674-N1674)*1440)</f>
        <v/>
      </c>
      <c r="X1674" s="28" t="n"/>
      <c r="Y1674" s="28" t="n"/>
      <c r="Z1674" s="28" t="n"/>
      <c r="AA1674" s="31" t="n"/>
      <c r="AB1674" s="31" t="n"/>
    </row>
    <row r="1675">
      <c r="A1675" s="25" t="inlineStr">
        <is>
          <t>S33</t>
        </is>
      </c>
      <c r="B1675" s="25" t="inlineStr">
        <is>
          <t>문산 신규점</t>
        </is>
      </c>
      <c r="C1675" s="25" t="inlineStr">
        <is>
          <t>S33-H동</t>
        </is>
      </c>
      <c r="D1675" s="25" t="inlineStr">
        <is>
          <t>측정</t>
        </is>
      </c>
      <c r="E1675" s="25" t="inlineStr">
        <is>
          <t>동</t>
        </is>
      </c>
      <c r="F1675" s="30" t="n">
        <v>5</v>
      </c>
      <c r="G1675" s="29" t="n"/>
      <c r="H1675" s="42" t="n"/>
      <c r="I1675" s="40" t="n"/>
      <c r="J1675" s="40" t="n"/>
      <c r="K1675" s="40" t="n"/>
      <c r="L1675" s="30">
        <f>IF(COUNT(I1675:K1675)=0,"",MEDIAN(I1675:K1675))</f>
        <v/>
      </c>
      <c r="M1675" s="25">
        <f>IF(COUNTIFS($C:$C,$C1675,$D:$D,"P0(전)",$L:$L,"&gt;0")&lt;&gt;1,"P0(전) 유효 1개 아님",IF(COUNTIFS($C:$C,$C1675,$D:$D,"P0(후)",$L:$L,"&gt;0")&lt;&gt;1,"P0(후) 유효 1개 아님",IF(NOT(AND(ISNUMBER(N1675),ISNUMBER(P1675),ISNUMBER(H1675))),"시각 결측",IF(P1675&lt;=N1675,"P0 시각 역전",IF(OR(H1675&lt;N1675,H1675&gt;P1675),"측정시각 구간 밖","OK")))))</f>
        <v/>
      </c>
      <c r="N1675" s="45">
        <f>IF(COUNTIFS($C:$C,$C1675,$D:$D,"P0(전)",$L:$L,"&gt;0")&lt;&gt;1,"",SUMIFS($H:$H,$C:$C,$C1675,$D:$D,"P0(전)"))</f>
        <v/>
      </c>
      <c r="O1675" s="30">
        <f>IF(COUNTIFS($C:$C,$C1675,$D:$D,"P0(전)",$L:$L,"&gt;0")&lt;&gt;1,"",SUMIFS($L:$L,$C:$C,$C1675,$D:$D,"P0(전)"))</f>
        <v/>
      </c>
      <c r="P1675" s="45">
        <f>IF(COUNTIFS($C:$C,$C1675,$D:$D,"P0(후)",$L:$L,"&gt;0")&lt;&gt;1,"",SUMIFS($H:$H,$C:$C,$C1675,$D:$D,"P0(후)"))</f>
        <v/>
      </c>
      <c r="Q1675" s="30">
        <f>IF(COUNTIFS($C:$C,$C1675,$D:$D,"P0(후)",$L:$L,"&gt;0")&lt;&gt;1,"",SUMIFS($L:$L,$C:$C,$C1675,$D:$D,"P0(후)"))</f>
        <v/>
      </c>
      <c r="R1675" s="30">
        <f>IF(M1675&lt;&gt;"OK","",O1675+(Q1675-O1675)*(H1675-N1675)/(P1675-N1675))</f>
        <v/>
      </c>
      <c r="S1675" s="30">
        <f>IF(OR(M1675&lt;&gt;"OK",NOT(ISNUMBER(L1675))),"",L1675-R1675)</f>
        <v/>
      </c>
      <c r="T1675" s="46">
        <f>IF(OR(NOT(ISNUMBER(S1675)),IF(ISNUMBER(G1675),G1675,F1675)=0),"",S1675/IF(ISNUMBER(G1675),G1675,F1675))</f>
        <v/>
      </c>
      <c r="U1675" s="46">
        <f>IF(ISNUMBER(T1675),ABS(T1675),"")</f>
        <v/>
      </c>
      <c r="V1675" s="46">
        <f>IF(OR($D1674&lt;&gt;"측정",$C1674&lt;&gt;$C1675,NOT(ISNUMBER(L1675)),NOT(ISNUMBER(L1674)),(IF(ISNUMBER(G1675),G1675,F1675)-IF(ISNUMBER(G1674),G1674,F1674))=0),"",(L1675-L1674)/(IF(ISNUMBER(G1675),G1675,F1675)-IF(ISNUMBER(G1674),G1674,F1674)))</f>
        <v/>
      </c>
      <c r="W1675" s="30">
        <f>IF(NOT(AND(ISNUMBER(N1675),ISNUMBER(P1675))),"",(P1675-N1675)*1440)</f>
        <v/>
      </c>
      <c r="X1675" s="28" t="n"/>
      <c r="Y1675" s="28" t="n"/>
      <c r="Z1675" s="28" t="n"/>
      <c r="AA1675" s="31" t="n"/>
      <c r="AB1675" s="31" t="n"/>
    </row>
    <row r="1676">
      <c r="A1676" s="25" t="inlineStr">
        <is>
          <t>S33</t>
        </is>
      </c>
      <c r="B1676" s="25" t="inlineStr">
        <is>
          <t>문산 신규점</t>
        </is>
      </c>
      <c r="C1676" s="25" t="inlineStr">
        <is>
          <t>S33-H동</t>
        </is>
      </c>
      <c r="D1676" s="25" t="inlineStr">
        <is>
          <t>측정</t>
        </is>
      </c>
      <c r="E1676" s="25" t="inlineStr">
        <is>
          <t>동</t>
        </is>
      </c>
      <c r="F1676" s="30" t="n">
        <v>6</v>
      </c>
      <c r="G1676" s="29" t="n"/>
      <c r="H1676" s="42" t="n"/>
      <c r="I1676" s="40" t="n"/>
      <c r="J1676" s="40" t="n"/>
      <c r="K1676" s="40" t="n"/>
      <c r="L1676" s="30">
        <f>IF(COUNT(I1676:K1676)=0,"",MEDIAN(I1676:K1676))</f>
        <v/>
      </c>
      <c r="M1676" s="25">
        <f>IF(COUNTIFS($C:$C,$C1676,$D:$D,"P0(전)",$L:$L,"&gt;0")&lt;&gt;1,"P0(전) 유효 1개 아님",IF(COUNTIFS($C:$C,$C1676,$D:$D,"P0(후)",$L:$L,"&gt;0")&lt;&gt;1,"P0(후) 유효 1개 아님",IF(NOT(AND(ISNUMBER(N1676),ISNUMBER(P1676),ISNUMBER(H1676))),"시각 결측",IF(P1676&lt;=N1676,"P0 시각 역전",IF(OR(H1676&lt;N1676,H1676&gt;P1676),"측정시각 구간 밖","OK")))))</f>
        <v/>
      </c>
      <c r="N1676" s="45">
        <f>IF(COUNTIFS($C:$C,$C1676,$D:$D,"P0(전)",$L:$L,"&gt;0")&lt;&gt;1,"",SUMIFS($H:$H,$C:$C,$C1676,$D:$D,"P0(전)"))</f>
        <v/>
      </c>
      <c r="O1676" s="30">
        <f>IF(COUNTIFS($C:$C,$C1676,$D:$D,"P0(전)",$L:$L,"&gt;0")&lt;&gt;1,"",SUMIFS($L:$L,$C:$C,$C1676,$D:$D,"P0(전)"))</f>
        <v/>
      </c>
      <c r="P1676" s="45">
        <f>IF(COUNTIFS($C:$C,$C1676,$D:$D,"P0(후)",$L:$L,"&gt;0")&lt;&gt;1,"",SUMIFS($H:$H,$C:$C,$C1676,$D:$D,"P0(후)"))</f>
        <v/>
      </c>
      <c r="Q1676" s="30">
        <f>IF(COUNTIFS($C:$C,$C1676,$D:$D,"P0(후)",$L:$L,"&gt;0")&lt;&gt;1,"",SUMIFS($L:$L,$C:$C,$C1676,$D:$D,"P0(후)"))</f>
        <v/>
      </c>
      <c r="R1676" s="30">
        <f>IF(M1676&lt;&gt;"OK","",O1676+(Q1676-O1676)*(H1676-N1676)/(P1676-N1676))</f>
        <v/>
      </c>
      <c r="S1676" s="30">
        <f>IF(OR(M1676&lt;&gt;"OK",NOT(ISNUMBER(L1676))),"",L1676-R1676)</f>
        <v/>
      </c>
      <c r="T1676" s="46">
        <f>IF(OR(NOT(ISNUMBER(S1676)),IF(ISNUMBER(G1676),G1676,F1676)=0),"",S1676/IF(ISNUMBER(G1676),G1676,F1676))</f>
        <v/>
      </c>
      <c r="U1676" s="46">
        <f>IF(ISNUMBER(T1676),ABS(T1676),"")</f>
        <v/>
      </c>
      <c r="V1676" s="46">
        <f>IF(OR($D1675&lt;&gt;"측정",$C1675&lt;&gt;$C1676,NOT(ISNUMBER(L1676)),NOT(ISNUMBER(L1675)),(IF(ISNUMBER(G1676),G1676,F1676)-IF(ISNUMBER(G1675),G1675,F1675))=0),"",(L1676-L1675)/(IF(ISNUMBER(G1676),G1676,F1676)-IF(ISNUMBER(G1675),G1675,F1675)))</f>
        <v/>
      </c>
      <c r="W1676" s="30">
        <f>IF(NOT(AND(ISNUMBER(N1676),ISNUMBER(P1676))),"",(P1676-N1676)*1440)</f>
        <v/>
      </c>
      <c r="X1676" s="28" t="n"/>
      <c r="Y1676" s="28" t="n"/>
      <c r="Z1676" s="28" t="n"/>
      <c r="AA1676" s="31" t="n"/>
      <c r="AB1676" s="31" t="n"/>
    </row>
    <row r="1677">
      <c r="A1677" s="25" t="inlineStr">
        <is>
          <t>S33</t>
        </is>
      </c>
      <c r="B1677" s="25" t="inlineStr">
        <is>
          <t>문산 신규점</t>
        </is>
      </c>
      <c r="C1677" s="25" t="inlineStr">
        <is>
          <t>S33-H동</t>
        </is>
      </c>
      <c r="D1677" s="25" t="inlineStr">
        <is>
          <t>측정</t>
        </is>
      </c>
      <c r="E1677" s="25" t="inlineStr">
        <is>
          <t>동</t>
        </is>
      </c>
      <c r="F1677" s="30" t="n">
        <v>7</v>
      </c>
      <c r="G1677" s="29" t="n"/>
      <c r="H1677" s="42" t="n"/>
      <c r="I1677" s="40" t="n"/>
      <c r="J1677" s="40" t="n"/>
      <c r="K1677" s="40" t="n"/>
      <c r="L1677" s="30">
        <f>IF(COUNT(I1677:K1677)=0,"",MEDIAN(I1677:K1677))</f>
        <v/>
      </c>
      <c r="M1677" s="25">
        <f>IF(COUNTIFS($C:$C,$C1677,$D:$D,"P0(전)",$L:$L,"&gt;0")&lt;&gt;1,"P0(전) 유효 1개 아님",IF(COUNTIFS($C:$C,$C1677,$D:$D,"P0(후)",$L:$L,"&gt;0")&lt;&gt;1,"P0(후) 유효 1개 아님",IF(NOT(AND(ISNUMBER(N1677),ISNUMBER(P1677),ISNUMBER(H1677))),"시각 결측",IF(P1677&lt;=N1677,"P0 시각 역전",IF(OR(H1677&lt;N1677,H1677&gt;P1677),"측정시각 구간 밖","OK")))))</f>
        <v/>
      </c>
      <c r="N1677" s="45">
        <f>IF(COUNTIFS($C:$C,$C1677,$D:$D,"P0(전)",$L:$L,"&gt;0")&lt;&gt;1,"",SUMIFS($H:$H,$C:$C,$C1677,$D:$D,"P0(전)"))</f>
        <v/>
      </c>
      <c r="O1677" s="30">
        <f>IF(COUNTIFS($C:$C,$C1677,$D:$D,"P0(전)",$L:$L,"&gt;0")&lt;&gt;1,"",SUMIFS($L:$L,$C:$C,$C1677,$D:$D,"P0(전)"))</f>
        <v/>
      </c>
      <c r="P1677" s="45">
        <f>IF(COUNTIFS($C:$C,$C1677,$D:$D,"P0(후)",$L:$L,"&gt;0")&lt;&gt;1,"",SUMIFS($H:$H,$C:$C,$C1677,$D:$D,"P0(후)"))</f>
        <v/>
      </c>
      <c r="Q1677" s="30">
        <f>IF(COUNTIFS($C:$C,$C1677,$D:$D,"P0(후)",$L:$L,"&gt;0")&lt;&gt;1,"",SUMIFS($L:$L,$C:$C,$C1677,$D:$D,"P0(후)"))</f>
        <v/>
      </c>
      <c r="R1677" s="30">
        <f>IF(M1677&lt;&gt;"OK","",O1677+(Q1677-O1677)*(H1677-N1677)/(P1677-N1677))</f>
        <v/>
      </c>
      <c r="S1677" s="30">
        <f>IF(OR(M1677&lt;&gt;"OK",NOT(ISNUMBER(L1677))),"",L1677-R1677)</f>
        <v/>
      </c>
      <c r="T1677" s="46">
        <f>IF(OR(NOT(ISNUMBER(S1677)),IF(ISNUMBER(G1677),G1677,F1677)=0),"",S1677/IF(ISNUMBER(G1677),G1677,F1677))</f>
        <v/>
      </c>
      <c r="U1677" s="46">
        <f>IF(ISNUMBER(T1677),ABS(T1677),"")</f>
        <v/>
      </c>
      <c r="V1677" s="46">
        <f>IF(OR($D1676&lt;&gt;"측정",$C1676&lt;&gt;$C1677,NOT(ISNUMBER(L1677)),NOT(ISNUMBER(L1676)),(IF(ISNUMBER(G1677),G1677,F1677)-IF(ISNUMBER(G1676),G1676,F1676))=0),"",(L1677-L1676)/(IF(ISNUMBER(G1677),G1677,F1677)-IF(ISNUMBER(G1676),G1676,F1676)))</f>
        <v/>
      </c>
      <c r="W1677" s="30">
        <f>IF(NOT(AND(ISNUMBER(N1677),ISNUMBER(P1677))),"",(P1677-N1677)*1440)</f>
        <v/>
      </c>
      <c r="X1677" s="28" t="n"/>
      <c r="Y1677" s="28" t="n"/>
      <c r="Z1677" s="28" t="n"/>
      <c r="AA1677" s="31" t="n"/>
      <c r="AB1677" s="31" t="n"/>
    </row>
    <row r="1678">
      <c r="A1678" s="25" t="inlineStr">
        <is>
          <t>S33</t>
        </is>
      </c>
      <c r="B1678" s="25" t="inlineStr">
        <is>
          <t>문산 신규점</t>
        </is>
      </c>
      <c r="C1678" s="25" t="inlineStr">
        <is>
          <t>S33-H동</t>
        </is>
      </c>
      <c r="D1678" s="25" t="inlineStr">
        <is>
          <t>측정</t>
        </is>
      </c>
      <c r="E1678" s="25" t="inlineStr">
        <is>
          <t>동</t>
        </is>
      </c>
      <c r="F1678" s="30" t="n">
        <v>8</v>
      </c>
      <c r="G1678" s="29" t="n"/>
      <c r="H1678" s="42" t="n"/>
      <c r="I1678" s="40" t="n"/>
      <c r="J1678" s="40" t="n"/>
      <c r="K1678" s="40" t="n"/>
      <c r="L1678" s="30">
        <f>IF(COUNT(I1678:K1678)=0,"",MEDIAN(I1678:K1678))</f>
        <v/>
      </c>
      <c r="M1678" s="25">
        <f>IF(COUNTIFS($C:$C,$C1678,$D:$D,"P0(전)",$L:$L,"&gt;0")&lt;&gt;1,"P0(전) 유효 1개 아님",IF(COUNTIFS($C:$C,$C1678,$D:$D,"P0(후)",$L:$L,"&gt;0")&lt;&gt;1,"P0(후) 유효 1개 아님",IF(NOT(AND(ISNUMBER(N1678),ISNUMBER(P1678),ISNUMBER(H1678))),"시각 결측",IF(P1678&lt;=N1678,"P0 시각 역전",IF(OR(H1678&lt;N1678,H1678&gt;P1678),"측정시각 구간 밖","OK")))))</f>
        <v/>
      </c>
      <c r="N1678" s="45">
        <f>IF(COUNTIFS($C:$C,$C1678,$D:$D,"P0(전)",$L:$L,"&gt;0")&lt;&gt;1,"",SUMIFS($H:$H,$C:$C,$C1678,$D:$D,"P0(전)"))</f>
        <v/>
      </c>
      <c r="O1678" s="30">
        <f>IF(COUNTIFS($C:$C,$C1678,$D:$D,"P0(전)",$L:$L,"&gt;0")&lt;&gt;1,"",SUMIFS($L:$L,$C:$C,$C1678,$D:$D,"P0(전)"))</f>
        <v/>
      </c>
      <c r="P1678" s="45">
        <f>IF(COUNTIFS($C:$C,$C1678,$D:$D,"P0(후)",$L:$L,"&gt;0")&lt;&gt;1,"",SUMIFS($H:$H,$C:$C,$C1678,$D:$D,"P0(후)"))</f>
        <v/>
      </c>
      <c r="Q1678" s="30">
        <f>IF(COUNTIFS($C:$C,$C1678,$D:$D,"P0(후)",$L:$L,"&gt;0")&lt;&gt;1,"",SUMIFS($L:$L,$C:$C,$C1678,$D:$D,"P0(후)"))</f>
        <v/>
      </c>
      <c r="R1678" s="30">
        <f>IF(M1678&lt;&gt;"OK","",O1678+(Q1678-O1678)*(H1678-N1678)/(P1678-N1678))</f>
        <v/>
      </c>
      <c r="S1678" s="30">
        <f>IF(OR(M1678&lt;&gt;"OK",NOT(ISNUMBER(L1678))),"",L1678-R1678)</f>
        <v/>
      </c>
      <c r="T1678" s="46">
        <f>IF(OR(NOT(ISNUMBER(S1678)),IF(ISNUMBER(G1678),G1678,F1678)=0),"",S1678/IF(ISNUMBER(G1678),G1678,F1678))</f>
        <v/>
      </c>
      <c r="U1678" s="46">
        <f>IF(ISNUMBER(T1678),ABS(T1678),"")</f>
        <v/>
      </c>
      <c r="V1678" s="46">
        <f>IF(OR($D1677&lt;&gt;"측정",$C1677&lt;&gt;$C1678,NOT(ISNUMBER(L1678)),NOT(ISNUMBER(L1677)),(IF(ISNUMBER(G1678),G1678,F1678)-IF(ISNUMBER(G1677),G1677,F1677))=0),"",(L1678-L1677)/(IF(ISNUMBER(G1678),G1678,F1678)-IF(ISNUMBER(G1677),G1677,F1677)))</f>
        <v/>
      </c>
      <c r="W1678" s="30">
        <f>IF(NOT(AND(ISNUMBER(N1678),ISNUMBER(P1678))),"",(P1678-N1678)*1440)</f>
        <v/>
      </c>
      <c r="X1678" s="28" t="n"/>
      <c r="Y1678" s="28" t="n"/>
      <c r="Z1678" s="28" t="n"/>
      <c r="AA1678" s="31" t="n"/>
      <c r="AB1678" s="31" t="n"/>
    </row>
    <row r="1679">
      <c r="A1679" s="25" t="inlineStr">
        <is>
          <t>S33</t>
        </is>
      </c>
      <c r="B1679" s="25" t="inlineStr">
        <is>
          <t>문산 신규점</t>
        </is>
      </c>
      <c r="C1679" s="25" t="inlineStr">
        <is>
          <t>S33-H동</t>
        </is>
      </c>
      <c r="D1679" s="25" t="inlineStr">
        <is>
          <t>측정</t>
        </is>
      </c>
      <c r="E1679" s="25" t="inlineStr">
        <is>
          <t>동</t>
        </is>
      </c>
      <c r="F1679" s="30" t="n">
        <v>9</v>
      </c>
      <c r="G1679" s="29" t="n"/>
      <c r="H1679" s="42" t="n"/>
      <c r="I1679" s="40" t="n"/>
      <c r="J1679" s="40" t="n"/>
      <c r="K1679" s="40" t="n"/>
      <c r="L1679" s="30">
        <f>IF(COUNT(I1679:K1679)=0,"",MEDIAN(I1679:K1679))</f>
        <v/>
      </c>
      <c r="M1679" s="25">
        <f>IF(COUNTIFS($C:$C,$C1679,$D:$D,"P0(전)",$L:$L,"&gt;0")&lt;&gt;1,"P0(전) 유효 1개 아님",IF(COUNTIFS($C:$C,$C1679,$D:$D,"P0(후)",$L:$L,"&gt;0")&lt;&gt;1,"P0(후) 유효 1개 아님",IF(NOT(AND(ISNUMBER(N1679),ISNUMBER(P1679),ISNUMBER(H1679))),"시각 결측",IF(P1679&lt;=N1679,"P0 시각 역전",IF(OR(H1679&lt;N1679,H1679&gt;P1679),"측정시각 구간 밖","OK")))))</f>
        <v/>
      </c>
      <c r="N1679" s="45">
        <f>IF(COUNTIFS($C:$C,$C1679,$D:$D,"P0(전)",$L:$L,"&gt;0")&lt;&gt;1,"",SUMIFS($H:$H,$C:$C,$C1679,$D:$D,"P0(전)"))</f>
        <v/>
      </c>
      <c r="O1679" s="30">
        <f>IF(COUNTIFS($C:$C,$C1679,$D:$D,"P0(전)",$L:$L,"&gt;0")&lt;&gt;1,"",SUMIFS($L:$L,$C:$C,$C1679,$D:$D,"P0(전)"))</f>
        <v/>
      </c>
      <c r="P1679" s="45">
        <f>IF(COUNTIFS($C:$C,$C1679,$D:$D,"P0(후)",$L:$L,"&gt;0")&lt;&gt;1,"",SUMIFS($H:$H,$C:$C,$C1679,$D:$D,"P0(후)"))</f>
        <v/>
      </c>
      <c r="Q1679" s="30">
        <f>IF(COUNTIFS($C:$C,$C1679,$D:$D,"P0(후)",$L:$L,"&gt;0")&lt;&gt;1,"",SUMIFS($L:$L,$C:$C,$C1679,$D:$D,"P0(후)"))</f>
        <v/>
      </c>
      <c r="R1679" s="30">
        <f>IF(M1679&lt;&gt;"OK","",O1679+(Q1679-O1679)*(H1679-N1679)/(P1679-N1679))</f>
        <v/>
      </c>
      <c r="S1679" s="30">
        <f>IF(OR(M1679&lt;&gt;"OK",NOT(ISNUMBER(L1679))),"",L1679-R1679)</f>
        <v/>
      </c>
      <c r="T1679" s="46">
        <f>IF(OR(NOT(ISNUMBER(S1679)),IF(ISNUMBER(G1679),G1679,F1679)=0),"",S1679/IF(ISNUMBER(G1679),G1679,F1679))</f>
        <v/>
      </c>
      <c r="U1679" s="46">
        <f>IF(ISNUMBER(T1679),ABS(T1679),"")</f>
        <v/>
      </c>
      <c r="V1679" s="46">
        <f>IF(OR($D1678&lt;&gt;"측정",$C1678&lt;&gt;$C1679,NOT(ISNUMBER(L1679)),NOT(ISNUMBER(L1678)),(IF(ISNUMBER(G1679),G1679,F1679)-IF(ISNUMBER(G1678),G1678,F1678))=0),"",(L1679-L1678)/(IF(ISNUMBER(G1679),G1679,F1679)-IF(ISNUMBER(G1678),G1678,F1678)))</f>
        <v/>
      </c>
      <c r="W1679" s="30">
        <f>IF(NOT(AND(ISNUMBER(N1679),ISNUMBER(P1679))),"",(P1679-N1679)*1440)</f>
        <v/>
      </c>
      <c r="X1679" s="28" t="n"/>
      <c r="Y1679" s="28" t="n"/>
      <c r="Z1679" s="28" t="n"/>
      <c r="AA1679" s="31" t="n"/>
      <c r="AB1679" s="31" t="n"/>
    </row>
    <row r="1680">
      <c r="A1680" s="25" t="inlineStr">
        <is>
          <t>S33</t>
        </is>
      </c>
      <c r="B1680" s="25" t="inlineStr">
        <is>
          <t>문산 신규점</t>
        </is>
      </c>
      <c r="C1680" s="25" t="inlineStr">
        <is>
          <t>S33-H동</t>
        </is>
      </c>
      <c r="D1680" s="25" t="inlineStr">
        <is>
          <t>측정</t>
        </is>
      </c>
      <c r="E1680" s="25" t="inlineStr">
        <is>
          <t>동</t>
        </is>
      </c>
      <c r="F1680" s="30" t="n">
        <v>10</v>
      </c>
      <c r="G1680" s="29" t="n"/>
      <c r="H1680" s="42" t="n"/>
      <c r="I1680" s="40" t="n"/>
      <c r="J1680" s="40" t="n"/>
      <c r="K1680" s="40" t="n"/>
      <c r="L1680" s="30">
        <f>IF(COUNT(I1680:K1680)=0,"",MEDIAN(I1680:K1680))</f>
        <v/>
      </c>
      <c r="M1680" s="25">
        <f>IF(COUNTIFS($C:$C,$C1680,$D:$D,"P0(전)",$L:$L,"&gt;0")&lt;&gt;1,"P0(전) 유효 1개 아님",IF(COUNTIFS($C:$C,$C1680,$D:$D,"P0(후)",$L:$L,"&gt;0")&lt;&gt;1,"P0(후) 유효 1개 아님",IF(NOT(AND(ISNUMBER(N1680),ISNUMBER(P1680),ISNUMBER(H1680))),"시각 결측",IF(P1680&lt;=N1680,"P0 시각 역전",IF(OR(H1680&lt;N1680,H1680&gt;P1680),"측정시각 구간 밖","OK")))))</f>
        <v/>
      </c>
      <c r="N1680" s="45">
        <f>IF(COUNTIFS($C:$C,$C1680,$D:$D,"P0(전)",$L:$L,"&gt;0")&lt;&gt;1,"",SUMIFS($H:$H,$C:$C,$C1680,$D:$D,"P0(전)"))</f>
        <v/>
      </c>
      <c r="O1680" s="30">
        <f>IF(COUNTIFS($C:$C,$C1680,$D:$D,"P0(전)",$L:$L,"&gt;0")&lt;&gt;1,"",SUMIFS($L:$L,$C:$C,$C1680,$D:$D,"P0(전)"))</f>
        <v/>
      </c>
      <c r="P1680" s="45">
        <f>IF(COUNTIFS($C:$C,$C1680,$D:$D,"P0(후)",$L:$L,"&gt;0")&lt;&gt;1,"",SUMIFS($H:$H,$C:$C,$C1680,$D:$D,"P0(후)"))</f>
        <v/>
      </c>
      <c r="Q1680" s="30">
        <f>IF(COUNTIFS($C:$C,$C1680,$D:$D,"P0(후)",$L:$L,"&gt;0")&lt;&gt;1,"",SUMIFS($L:$L,$C:$C,$C1680,$D:$D,"P0(후)"))</f>
        <v/>
      </c>
      <c r="R1680" s="30">
        <f>IF(M1680&lt;&gt;"OK","",O1680+(Q1680-O1680)*(H1680-N1680)/(P1680-N1680))</f>
        <v/>
      </c>
      <c r="S1680" s="30">
        <f>IF(OR(M1680&lt;&gt;"OK",NOT(ISNUMBER(L1680))),"",L1680-R1680)</f>
        <v/>
      </c>
      <c r="T1680" s="46">
        <f>IF(OR(NOT(ISNUMBER(S1680)),IF(ISNUMBER(G1680),G1680,F1680)=0),"",S1680/IF(ISNUMBER(G1680),G1680,F1680))</f>
        <v/>
      </c>
      <c r="U1680" s="46">
        <f>IF(ISNUMBER(T1680),ABS(T1680),"")</f>
        <v/>
      </c>
      <c r="V1680" s="46">
        <f>IF(OR($D1679&lt;&gt;"측정",$C1679&lt;&gt;$C1680,NOT(ISNUMBER(L1680)),NOT(ISNUMBER(L1679)),(IF(ISNUMBER(G1680),G1680,F1680)-IF(ISNUMBER(G1679),G1679,F1679))=0),"",(L1680-L1679)/(IF(ISNUMBER(G1680),G1680,F1680)-IF(ISNUMBER(G1679),G1679,F1679)))</f>
        <v/>
      </c>
      <c r="W1680" s="30">
        <f>IF(NOT(AND(ISNUMBER(N1680),ISNUMBER(P1680))),"",(P1680-N1680)*1440)</f>
        <v/>
      </c>
      <c r="X1680" s="28" t="n"/>
      <c r="Y1680" s="28" t="n"/>
      <c r="Z1680" s="28" t="n"/>
      <c r="AA1680" s="31" t="n"/>
      <c r="AB1680" s="31" t="n"/>
    </row>
    <row r="1681">
      <c r="A1681" s="43" t="inlineStr">
        <is>
          <t>S33</t>
        </is>
      </c>
      <c r="B1681" s="43" t="inlineStr">
        <is>
          <t>문산 신규점</t>
        </is>
      </c>
      <c r="C1681" s="43" t="inlineStr">
        <is>
          <t>S33-H동</t>
        </is>
      </c>
      <c r="D1681" s="43" t="inlineStr">
        <is>
          <t>P0(후)</t>
        </is>
      </c>
      <c r="E1681" s="43" t="inlineStr">
        <is>
          <t>동</t>
        </is>
      </c>
      <c r="F1681" s="44" t="n"/>
      <c r="G1681" s="29" t="n"/>
      <c r="H1681" s="42" t="n"/>
      <c r="I1681" s="40" t="n"/>
      <c r="J1681" s="40" t="n"/>
      <c r="K1681" s="40" t="n"/>
      <c r="L1681" s="30">
        <f>IF(COUNT(I1681:K1681)=0,"",MEDIAN(I1681:K1681))</f>
        <v/>
      </c>
      <c r="M1681" s="37" t="n"/>
      <c r="N1681" s="37" t="n"/>
      <c r="O1681" s="37" t="n"/>
      <c r="P1681" s="37" t="n"/>
      <c r="Q1681" s="37" t="n"/>
      <c r="R1681" s="37" t="n"/>
      <c r="S1681" s="37" t="n"/>
      <c r="T1681" s="37" t="n"/>
      <c r="U1681" s="37" t="n"/>
      <c r="V1681" s="37" t="n"/>
      <c r="W1681" s="37" t="n"/>
      <c r="X1681" s="28" t="n"/>
      <c r="Y1681" s="28" t="n"/>
      <c r="Z1681" s="28" t="n"/>
      <c r="AA1681" s="31" t="n"/>
      <c r="AB1681" s="31" t="n"/>
    </row>
    <row r="1682">
      <c r="A1682" s="43" t="inlineStr">
        <is>
          <t>S33</t>
        </is>
      </c>
      <c r="B1682" s="43" t="inlineStr">
        <is>
          <t>문산 신규점</t>
        </is>
      </c>
      <c r="C1682" s="43" t="inlineStr">
        <is>
          <t>S33-H서</t>
        </is>
      </c>
      <c r="D1682" s="43" t="inlineStr">
        <is>
          <t>P0(전)</t>
        </is>
      </c>
      <c r="E1682" s="43" t="inlineStr">
        <is>
          <t>서</t>
        </is>
      </c>
      <c r="F1682" s="44" t="n"/>
      <c r="G1682" s="29" t="n"/>
      <c r="H1682" s="42" t="n"/>
      <c r="I1682" s="40" t="n"/>
      <c r="J1682" s="40" t="n"/>
      <c r="K1682" s="40" t="n"/>
      <c r="L1682" s="30">
        <f>IF(COUNT(I1682:K1682)=0,"",MEDIAN(I1682:K1682))</f>
        <v/>
      </c>
      <c r="M1682" s="37" t="n"/>
      <c r="N1682" s="37" t="n"/>
      <c r="O1682" s="37" t="n"/>
      <c r="P1682" s="37" t="n"/>
      <c r="Q1682" s="37" t="n"/>
      <c r="R1682" s="37" t="n"/>
      <c r="S1682" s="37" t="n"/>
      <c r="T1682" s="37" t="n"/>
      <c r="U1682" s="37" t="n"/>
      <c r="V1682" s="37" t="n"/>
      <c r="W1682" s="37" t="n"/>
      <c r="X1682" s="28" t="n"/>
      <c r="Y1682" s="28" t="n"/>
      <c r="Z1682" s="28" t="n"/>
      <c r="AA1682" s="31" t="n"/>
      <c r="AB1682" s="31" t="n"/>
    </row>
    <row r="1683">
      <c r="A1683" s="25" t="inlineStr">
        <is>
          <t>S33</t>
        </is>
      </c>
      <c r="B1683" s="25" t="inlineStr">
        <is>
          <t>문산 신규점</t>
        </is>
      </c>
      <c r="C1683" s="25" t="inlineStr">
        <is>
          <t>S33-H서</t>
        </is>
      </c>
      <c r="D1683" s="25" t="inlineStr">
        <is>
          <t>측정</t>
        </is>
      </c>
      <c r="E1683" s="25" t="inlineStr">
        <is>
          <t>서</t>
        </is>
      </c>
      <c r="F1683" s="30" t="n">
        <v>0.5</v>
      </c>
      <c r="G1683" s="29" t="n"/>
      <c r="H1683" s="42" t="n"/>
      <c r="I1683" s="40" t="n"/>
      <c r="J1683" s="40" t="n"/>
      <c r="K1683" s="40" t="n"/>
      <c r="L1683" s="30">
        <f>IF(COUNT(I1683:K1683)=0,"",MEDIAN(I1683:K1683))</f>
        <v/>
      </c>
      <c r="M1683" s="25">
        <f>IF(COUNTIFS($C:$C,$C1683,$D:$D,"P0(전)",$L:$L,"&gt;0")&lt;&gt;1,"P0(전) 유효 1개 아님",IF(COUNTIFS($C:$C,$C1683,$D:$D,"P0(후)",$L:$L,"&gt;0")&lt;&gt;1,"P0(후) 유효 1개 아님",IF(NOT(AND(ISNUMBER(N1683),ISNUMBER(P1683),ISNUMBER(H1683))),"시각 결측",IF(P1683&lt;=N1683,"P0 시각 역전",IF(OR(H1683&lt;N1683,H1683&gt;P1683),"측정시각 구간 밖","OK")))))</f>
        <v/>
      </c>
      <c r="N1683" s="45">
        <f>IF(COUNTIFS($C:$C,$C1683,$D:$D,"P0(전)",$L:$L,"&gt;0")&lt;&gt;1,"",SUMIFS($H:$H,$C:$C,$C1683,$D:$D,"P0(전)"))</f>
        <v/>
      </c>
      <c r="O1683" s="30">
        <f>IF(COUNTIFS($C:$C,$C1683,$D:$D,"P0(전)",$L:$L,"&gt;0")&lt;&gt;1,"",SUMIFS($L:$L,$C:$C,$C1683,$D:$D,"P0(전)"))</f>
        <v/>
      </c>
      <c r="P1683" s="45">
        <f>IF(COUNTIFS($C:$C,$C1683,$D:$D,"P0(후)",$L:$L,"&gt;0")&lt;&gt;1,"",SUMIFS($H:$H,$C:$C,$C1683,$D:$D,"P0(후)"))</f>
        <v/>
      </c>
      <c r="Q1683" s="30">
        <f>IF(COUNTIFS($C:$C,$C1683,$D:$D,"P0(후)",$L:$L,"&gt;0")&lt;&gt;1,"",SUMIFS($L:$L,$C:$C,$C1683,$D:$D,"P0(후)"))</f>
        <v/>
      </c>
      <c r="R1683" s="30">
        <f>IF(M1683&lt;&gt;"OK","",O1683+(Q1683-O1683)*(H1683-N1683)/(P1683-N1683))</f>
        <v/>
      </c>
      <c r="S1683" s="30">
        <f>IF(OR(M1683&lt;&gt;"OK",NOT(ISNUMBER(L1683))),"",L1683-R1683)</f>
        <v/>
      </c>
      <c r="T1683" s="46">
        <f>IF(OR(NOT(ISNUMBER(S1683)),IF(ISNUMBER(G1683),G1683,F1683)=0),"",S1683/IF(ISNUMBER(G1683),G1683,F1683))</f>
        <v/>
      </c>
      <c r="U1683" s="46">
        <f>IF(ISNUMBER(T1683),ABS(T1683),"")</f>
        <v/>
      </c>
      <c r="V1683" s="46">
        <f>IF(OR($D1682&lt;&gt;"측정",$C1682&lt;&gt;$C1683,NOT(ISNUMBER(L1683)),NOT(ISNUMBER(L1682)),(IF(ISNUMBER(G1683),G1683,F1683)-IF(ISNUMBER(G1682),G1682,F1682))=0),"",(L1683-L1682)/(IF(ISNUMBER(G1683),G1683,F1683)-IF(ISNUMBER(G1682),G1682,F1682)))</f>
        <v/>
      </c>
      <c r="W1683" s="30">
        <f>IF(NOT(AND(ISNUMBER(N1683),ISNUMBER(P1683))),"",(P1683-N1683)*1440)</f>
        <v/>
      </c>
      <c r="X1683" s="28" t="n"/>
      <c r="Y1683" s="28" t="n"/>
      <c r="Z1683" s="28" t="n"/>
      <c r="AA1683" s="31" t="n"/>
      <c r="AB1683" s="31" t="n"/>
    </row>
    <row r="1684">
      <c r="A1684" s="25" t="inlineStr">
        <is>
          <t>S33</t>
        </is>
      </c>
      <c r="B1684" s="25" t="inlineStr">
        <is>
          <t>문산 신규점</t>
        </is>
      </c>
      <c r="C1684" s="25" t="inlineStr">
        <is>
          <t>S33-H서</t>
        </is>
      </c>
      <c r="D1684" s="25" t="inlineStr">
        <is>
          <t>측정</t>
        </is>
      </c>
      <c r="E1684" s="25" t="inlineStr">
        <is>
          <t>서</t>
        </is>
      </c>
      <c r="F1684" s="30" t="n">
        <v>1</v>
      </c>
      <c r="G1684" s="29" t="n"/>
      <c r="H1684" s="42" t="n"/>
      <c r="I1684" s="40" t="n"/>
      <c r="J1684" s="40" t="n"/>
      <c r="K1684" s="40" t="n"/>
      <c r="L1684" s="30">
        <f>IF(COUNT(I1684:K1684)=0,"",MEDIAN(I1684:K1684))</f>
        <v/>
      </c>
      <c r="M1684" s="25">
        <f>IF(COUNTIFS($C:$C,$C1684,$D:$D,"P0(전)",$L:$L,"&gt;0")&lt;&gt;1,"P0(전) 유효 1개 아님",IF(COUNTIFS($C:$C,$C1684,$D:$D,"P0(후)",$L:$L,"&gt;0")&lt;&gt;1,"P0(후) 유효 1개 아님",IF(NOT(AND(ISNUMBER(N1684),ISNUMBER(P1684),ISNUMBER(H1684))),"시각 결측",IF(P1684&lt;=N1684,"P0 시각 역전",IF(OR(H1684&lt;N1684,H1684&gt;P1684),"측정시각 구간 밖","OK")))))</f>
        <v/>
      </c>
      <c r="N1684" s="45">
        <f>IF(COUNTIFS($C:$C,$C1684,$D:$D,"P0(전)",$L:$L,"&gt;0")&lt;&gt;1,"",SUMIFS($H:$H,$C:$C,$C1684,$D:$D,"P0(전)"))</f>
        <v/>
      </c>
      <c r="O1684" s="30">
        <f>IF(COUNTIFS($C:$C,$C1684,$D:$D,"P0(전)",$L:$L,"&gt;0")&lt;&gt;1,"",SUMIFS($L:$L,$C:$C,$C1684,$D:$D,"P0(전)"))</f>
        <v/>
      </c>
      <c r="P1684" s="45">
        <f>IF(COUNTIFS($C:$C,$C1684,$D:$D,"P0(후)",$L:$L,"&gt;0")&lt;&gt;1,"",SUMIFS($H:$H,$C:$C,$C1684,$D:$D,"P0(후)"))</f>
        <v/>
      </c>
      <c r="Q1684" s="30">
        <f>IF(COUNTIFS($C:$C,$C1684,$D:$D,"P0(후)",$L:$L,"&gt;0")&lt;&gt;1,"",SUMIFS($L:$L,$C:$C,$C1684,$D:$D,"P0(후)"))</f>
        <v/>
      </c>
      <c r="R1684" s="30">
        <f>IF(M1684&lt;&gt;"OK","",O1684+(Q1684-O1684)*(H1684-N1684)/(P1684-N1684))</f>
        <v/>
      </c>
      <c r="S1684" s="30">
        <f>IF(OR(M1684&lt;&gt;"OK",NOT(ISNUMBER(L1684))),"",L1684-R1684)</f>
        <v/>
      </c>
      <c r="T1684" s="46">
        <f>IF(OR(NOT(ISNUMBER(S1684)),IF(ISNUMBER(G1684),G1684,F1684)=0),"",S1684/IF(ISNUMBER(G1684),G1684,F1684))</f>
        <v/>
      </c>
      <c r="U1684" s="46">
        <f>IF(ISNUMBER(T1684),ABS(T1684),"")</f>
        <v/>
      </c>
      <c r="V1684" s="46">
        <f>IF(OR($D1683&lt;&gt;"측정",$C1683&lt;&gt;$C1684,NOT(ISNUMBER(L1684)),NOT(ISNUMBER(L1683)),(IF(ISNUMBER(G1684),G1684,F1684)-IF(ISNUMBER(G1683),G1683,F1683))=0),"",(L1684-L1683)/(IF(ISNUMBER(G1684),G1684,F1684)-IF(ISNUMBER(G1683),G1683,F1683)))</f>
        <v/>
      </c>
      <c r="W1684" s="30">
        <f>IF(NOT(AND(ISNUMBER(N1684),ISNUMBER(P1684))),"",(P1684-N1684)*1440)</f>
        <v/>
      </c>
      <c r="X1684" s="28" t="n"/>
      <c r="Y1684" s="28" t="n"/>
      <c r="Z1684" s="28" t="n"/>
      <c r="AA1684" s="31" t="n"/>
      <c r="AB1684" s="31" t="n"/>
    </row>
    <row r="1685">
      <c r="A1685" s="25" t="inlineStr">
        <is>
          <t>S33</t>
        </is>
      </c>
      <c r="B1685" s="25" t="inlineStr">
        <is>
          <t>문산 신규점</t>
        </is>
      </c>
      <c r="C1685" s="25" t="inlineStr">
        <is>
          <t>S33-H서</t>
        </is>
      </c>
      <c r="D1685" s="25" t="inlineStr">
        <is>
          <t>측정</t>
        </is>
      </c>
      <c r="E1685" s="25" t="inlineStr">
        <is>
          <t>서</t>
        </is>
      </c>
      <c r="F1685" s="30" t="n">
        <v>2</v>
      </c>
      <c r="G1685" s="29" t="n"/>
      <c r="H1685" s="42" t="n"/>
      <c r="I1685" s="40" t="n"/>
      <c r="J1685" s="40" t="n"/>
      <c r="K1685" s="40" t="n"/>
      <c r="L1685" s="30">
        <f>IF(COUNT(I1685:K1685)=0,"",MEDIAN(I1685:K1685))</f>
        <v/>
      </c>
      <c r="M1685" s="25">
        <f>IF(COUNTIFS($C:$C,$C1685,$D:$D,"P0(전)",$L:$L,"&gt;0")&lt;&gt;1,"P0(전) 유효 1개 아님",IF(COUNTIFS($C:$C,$C1685,$D:$D,"P0(후)",$L:$L,"&gt;0")&lt;&gt;1,"P0(후) 유효 1개 아님",IF(NOT(AND(ISNUMBER(N1685),ISNUMBER(P1685),ISNUMBER(H1685))),"시각 결측",IF(P1685&lt;=N1685,"P0 시각 역전",IF(OR(H1685&lt;N1685,H1685&gt;P1685),"측정시각 구간 밖","OK")))))</f>
        <v/>
      </c>
      <c r="N1685" s="45">
        <f>IF(COUNTIFS($C:$C,$C1685,$D:$D,"P0(전)",$L:$L,"&gt;0")&lt;&gt;1,"",SUMIFS($H:$H,$C:$C,$C1685,$D:$D,"P0(전)"))</f>
        <v/>
      </c>
      <c r="O1685" s="30">
        <f>IF(COUNTIFS($C:$C,$C1685,$D:$D,"P0(전)",$L:$L,"&gt;0")&lt;&gt;1,"",SUMIFS($L:$L,$C:$C,$C1685,$D:$D,"P0(전)"))</f>
        <v/>
      </c>
      <c r="P1685" s="45">
        <f>IF(COUNTIFS($C:$C,$C1685,$D:$D,"P0(후)",$L:$L,"&gt;0")&lt;&gt;1,"",SUMIFS($H:$H,$C:$C,$C1685,$D:$D,"P0(후)"))</f>
        <v/>
      </c>
      <c r="Q1685" s="30">
        <f>IF(COUNTIFS($C:$C,$C1685,$D:$D,"P0(후)",$L:$L,"&gt;0")&lt;&gt;1,"",SUMIFS($L:$L,$C:$C,$C1685,$D:$D,"P0(후)"))</f>
        <v/>
      </c>
      <c r="R1685" s="30">
        <f>IF(M1685&lt;&gt;"OK","",O1685+(Q1685-O1685)*(H1685-N1685)/(P1685-N1685))</f>
        <v/>
      </c>
      <c r="S1685" s="30">
        <f>IF(OR(M1685&lt;&gt;"OK",NOT(ISNUMBER(L1685))),"",L1685-R1685)</f>
        <v/>
      </c>
      <c r="T1685" s="46">
        <f>IF(OR(NOT(ISNUMBER(S1685)),IF(ISNUMBER(G1685),G1685,F1685)=0),"",S1685/IF(ISNUMBER(G1685),G1685,F1685))</f>
        <v/>
      </c>
      <c r="U1685" s="46">
        <f>IF(ISNUMBER(T1685),ABS(T1685),"")</f>
        <v/>
      </c>
      <c r="V1685" s="46">
        <f>IF(OR($D1684&lt;&gt;"측정",$C1684&lt;&gt;$C1685,NOT(ISNUMBER(L1685)),NOT(ISNUMBER(L1684)),(IF(ISNUMBER(G1685),G1685,F1685)-IF(ISNUMBER(G1684),G1684,F1684))=0),"",(L1685-L1684)/(IF(ISNUMBER(G1685),G1685,F1685)-IF(ISNUMBER(G1684),G1684,F1684)))</f>
        <v/>
      </c>
      <c r="W1685" s="30">
        <f>IF(NOT(AND(ISNUMBER(N1685),ISNUMBER(P1685))),"",(P1685-N1685)*1440)</f>
        <v/>
      </c>
      <c r="X1685" s="28" t="n"/>
      <c r="Y1685" s="28" t="n"/>
      <c r="Z1685" s="28" t="n"/>
      <c r="AA1685" s="31" t="n"/>
      <c r="AB1685" s="31" t="n"/>
    </row>
    <row r="1686">
      <c r="A1686" s="25" t="inlineStr">
        <is>
          <t>S33</t>
        </is>
      </c>
      <c r="B1686" s="25" t="inlineStr">
        <is>
          <t>문산 신규점</t>
        </is>
      </c>
      <c r="C1686" s="25" t="inlineStr">
        <is>
          <t>S33-H서</t>
        </is>
      </c>
      <c r="D1686" s="25" t="inlineStr">
        <is>
          <t>측정</t>
        </is>
      </c>
      <c r="E1686" s="25" t="inlineStr">
        <is>
          <t>서</t>
        </is>
      </c>
      <c r="F1686" s="30" t="n">
        <v>3</v>
      </c>
      <c r="G1686" s="29" t="n"/>
      <c r="H1686" s="42" t="n"/>
      <c r="I1686" s="40" t="n"/>
      <c r="J1686" s="40" t="n"/>
      <c r="K1686" s="40" t="n"/>
      <c r="L1686" s="30">
        <f>IF(COUNT(I1686:K1686)=0,"",MEDIAN(I1686:K1686))</f>
        <v/>
      </c>
      <c r="M1686" s="25">
        <f>IF(COUNTIFS($C:$C,$C1686,$D:$D,"P0(전)",$L:$L,"&gt;0")&lt;&gt;1,"P0(전) 유효 1개 아님",IF(COUNTIFS($C:$C,$C1686,$D:$D,"P0(후)",$L:$L,"&gt;0")&lt;&gt;1,"P0(후) 유효 1개 아님",IF(NOT(AND(ISNUMBER(N1686),ISNUMBER(P1686),ISNUMBER(H1686))),"시각 결측",IF(P1686&lt;=N1686,"P0 시각 역전",IF(OR(H1686&lt;N1686,H1686&gt;P1686),"측정시각 구간 밖","OK")))))</f>
        <v/>
      </c>
      <c r="N1686" s="45">
        <f>IF(COUNTIFS($C:$C,$C1686,$D:$D,"P0(전)",$L:$L,"&gt;0")&lt;&gt;1,"",SUMIFS($H:$H,$C:$C,$C1686,$D:$D,"P0(전)"))</f>
        <v/>
      </c>
      <c r="O1686" s="30">
        <f>IF(COUNTIFS($C:$C,$C1686,$D:$D,"P0(전)",$L:$L,"&gt;0")&lt;&gt;1,"",SUMIFS($L:$L,$C:$C,$C1686,$D:$D,"P0(전)"))</f>
        <v/>
      </c>
      <c r="P1686" s="45">
        <f>IF(COUNTIFS($C:$C,$C1686,$D:$D,"P0(후)",$L:$L,"&gt;0")&lt;&gt;1,"",SUMIFS($H:$H,$C:$C,$C1686,$D:$D,"P0(후)"))</f>
        <v/>
      </c>
      <c r="Q1686" s="30">
        <f>IF(COUNTIFS($C:$C,$C1686,$D:$D,"P0(후)",$L:$L,"&gt;0")&lt;&gt;1,"",SUMIFS($L:$L,$C:$C,$C1686,$D:$D,"P0(후)"))</f>
        <v/>
      </c>
      <c r="R1686" s="30">
        <f>IF(M1686&lt;&gt;"OK","",O1686+(Q1686-O1686)*(H1686-N1686)/(P1686-N1686))</f>
        <v/>
      </c>
      <c r="S1686" s="30">
        <f>IF(OR(M1686&lt;&gt;"OK",NOT(ISNUMBER(L1686))),"",L1686-R1686)</f>
        <v/>
      </c>
      <c r="T1686" s="46">
        <f>IF(OR(NOT(ISNUMBER(S1686)),IF(ISNUMBER(G1686),G1686,F1686)=0),"",S1686/IF(ISNUMBER(G1686),G1686,F1686))</f>
        <v/>
      </c>
      <c r="U1686" s="46">
        <f>IF(ISNUMBER(T1686),ABS(T1686),"")</f>
        <v/>
      </c>
      <c r="V1686" s="46">
        <f>IF(OR($D1685&lt;&gt;"측정",$C1685&lt;&gt;$C1686,NOT(ISNUMBER(L1686)),NOT(ISNUMBER(L1685)),(IF(ISNUMBER(G1686),G1686,F1686)-IF(ISNUMBER(G1685),G1685,F1685))=0),"",(L1686-L1685)/(IF(ISNUMBER(G1686),G1686,F1686)-IF(ISNUMBER(G1685),G1685,F1685)))</f>
        <v/>
      </c>
      <c r="W1686" s="30">
        <f>IF(NOT(AND(ISNUMBER(N1686),ISNUMBER(P1686))),"",(P1686-N1686)*1440)</f>
        <v/>
      </c>
      <c r="X1686" s="28" t="n"/>
      <c r="Y1686" s="28" t="n"/>
      <c r="Z1686" s="28" t="n"/>
      <c r="AA1686" s="31" t="n"/>
      <c r="AB1686" s="31" t="n"/>
    </row>
    <row r="1687">
      <c r="A1687" s="25" t="inlineStr">
        <is>
          <t>S33</t>
        </is>
      </c>
      <c r="B1687" s="25" t="inlineStr">
        <is>
          <t>문산 신규점</t>
        </is>
      </c>
      <c r="C1687" s="25" t="inlineStr">
        <is>
          <t>S33-H서</t>
        </is>
      </c>
      <c r="D1687" s="25" t="inlineStr">
        <is>
          <t>측정</t>
        </is>
      </c>
      <c r="E1687" s="25" t="inlineStr">
        <is>
          <t>서</t>
        </is>
      </c>
      <c r="F1687" s="30" t="n">
        <v>4</v>
      </c>
      <c r="G1687" s="29" t="n"/>
      <c r="H1687" s="42" t="n"/>
      <c r="I1687" s="40" t="n"/>
      <c r="J1687" s="40" t="n"/>
      <c r="K1687" s="40" t="n"/>
      <c r="L1687" s="30">
        <f>IF(COUNT(I1687:K1687)=0,"",MEDIAN(I1687:K1687))</f>
        <v/>
      </c>
      <c r="M1687" s="25">
        <f>IF(COUNTIFS($C:$C,$C1687,$D:$D,"P0(전)",$L:$L,"&gt;0")&lt;&gt;1,"P0(전) 유효 1개 아님",IF(COUNTIFS($C:$C,$C1687,$D:$D,"P0(후)",$L:$L,"&gt;0")&lt;&gt;1,"P0(후) 유효 1개 아님",IF(NOT(AND(ISNUMBER(N1687),ISNUMBER(P1687),ISNUMBER(H1687))),"시각 결측",IF(P1687&lt;=N1687,"P0 시각 역전",IF(OR(H1687&lt;N1687,H1687&gt;P1687),"측정시각 구간 밖","OK")))))</f>
        <v/>
      </c>
      <c r="N1687" s="45">
        <f>IF(COUNTIFS($C:$C,$C1687,$D:$D,"P0(전)",$L:$L,"&gt;0")&lt;&gt;1,"",SUMIFS($H:$H,$C:$C,$C1687,$D:$D,"P0(전)"))</f>
        <v/>
      </c>
      <c r="O1687" s="30">
        <f>IF(COUNTIFS($C:$C,$C1687,$D:$D,"P0(전)",$L:$L,"&gt;0")&lt;&gt;1,"",SUMIFS($L:$L,$C:$C,$C1687,$D:$D,"P0(전)"))</f>
        <v/>
      </c>
      <c r="P1687" s="45">
        <f>IF(COUNTIFS($C:$C,$C1687,$D:$D,"P0(후)",$L:$L,"&gt;0")&lt;&gt;1,"",SUMIFS($H:$H,$C:$C,$C1687,$D:$D,"P0(후)"))</f>
        <v/>
      </c>
      <c r="Q1687" s="30">
        <f>IF(COUNTIFS($C:$C,$C1687,$D:$D,"P0(후)",$L:$L,"&gt;0")&lt;&gt;1,"",SUMIFS($L:$L,$C:$C,$C1687,$D:$D,"P0(후)"))</f>
        <v/>
      </c>
      <c r="R1687" s="30">
        <f>IF(M1687&lt;&gt;"OK","",O1687+(Q1687-O1687)*(H1687-N1687)/(P1687-N1687))</f>
        <v/>
      </c>
      <c r="S1687" s="30">
        <f>IF(OR(M1687&lt;&gt;"OK",NOT(ISNUMBER(L1687))),"",L1687-R1687)</f>
        <v/>
      </c>
      <c r="T1687" s="46">
        <f>IF(OR(NOT(ISNUMBER(S1687)),IF(ISNUMBER(G1687),G1687,F1687)=0),"",S1687/IF(ISNUMBER(G1687),G1687,F1687))</f>
        <v/>
      </c>
      <c r="U1687" s="46">
        <f>IF(ISNUMBER(T1687),ABS(T1687),"")</f>
        <v/>
      </c>
      <c r="V1687" s="46">
        <f>IF(OR($D1686&lt;&gt;"측정",$C1686&lt;&gt;$C1687,NOT(ISNUMBER(L1687)),NOT(ISNUMBER(L1686)),(IF(ISNUMBER(G1687),G1687,F1687)-IF(ISNUMBER(G1686),G1686,F1686))=0),"",(L1687-L1686)/(IF(ISNUMBER(G1687),G1687,F1687)-IF(ISNUMBER(G1686),G1686,F1686)))</f>
        <v/>
      </c>
      <c r="W1687" s="30">
        <f>IF(NOT(AND(ISNUMBER(N1687),ISNUMBER(P1687))),"",(P1687-N1687)*1440)</f>
        <v/>
      </c>
      <c r="X1687" s="28" t="n"/>
      <c r="Y1687" s="28" t="n"/>
      <c r="Z1687" s="28" t="n"/>
      <c r="AA1687" s="31" t="n"/>
      <c r="AB1687" s="31" t="n"/>
    </row>
    <row r="1688">
      <c r="A1688" s="25" t="inlineStr">
        <is>
          <t>S33</t>
        </is>
      </c>
      <c r="B1688" s="25" t="inlineStr">
        <is>
          <t>문산 신규점</t>
        </is>
      </c>
      <c r="C1688" s="25" t="inlineStr">
        <is>
          <t>S33-H서</t>
        </is>
      </c>
      <c r="D1688" s="25" t="inlineStr">
        <is>
          <t>측정</t>
        </is>
      </c>
      <c r="E1688" s="25" t="inlineStr">
        <is>
          <t>서</t>
        </is>
      </c>
      <c r="F1688" s="30" t="n">
        <v>5</v>
      </c>
      <c r="G1688" s="29" t="n"/>
      <c r="H1688" s="42" t="n"/>
      <c r="I1688" s="40" t="n"/>
      <c r="J1688" s="40" t="n"/>
      <c r="K1688" s="40" t="n"/>
      <c r="L1688" s="30">
        <f>IF(COUNT(I1688:K1688)=0,"",MEDIAN(I1688:K1688))</f>
        <v/>
      </c>
      <c r="M1688" s="25">
        <f>IF(COUNTIFS($C:$C,$C1688,$D:$D,"P0(전)",$L:$L,"&gt;0")&lt;&gt;1,"P0(전) 유효 1개 아님",IF(COUNTIFS($C:$C,$C1688,$D:$D,"P0(후)",$L:$L,"&gt;0")&lt;&gt;1,"P0(후) 유효 1개 아님",IF(NOT(AND(ISNUMBER(N1688),ISNUMBER(P1688),ISNUMBER(H1688))),"시각 결측",IF(P1688&lt;=N1688,"P0 시각 역전",IF(OR(H1688&lt;N1688,H1688&gt;P1688),"측정시각 구간 밖","OK")))))</f>
        <v/>
      </c>
      <c r="N1688" s="45">
        <f>IF(COUNTIFS($C:$C,$C1688,$D:$D,"P0(전)",$L:$L,"&gt;0")&lt;&gt;1,"",SUMIFS($H:$H,$C:$C,$C1688,$D:$D,"P0(전)"))</f>
        <v/>
      </c>
      <c r="O1688" s="30">
        <f>IF(COUNTIFS($C:$C,$C1688,$D:$D,"P0(전)",$L:$L,"&gt;0")&lt;&gt;1,"",SUMIFS($L:$L,$C:$C,$C1688,$D:$D,"P0(전)"))</f>
        <v/>
      </c>
      <c r="P1688" s="45">
        <f>IF(COUNTIFS($C:$C,$C1688,$D:$D,"P0(후)",$L:$L,"&gt;0")&lt;&gt;1,"",SUMIFS($H:$H,$C:$C,$C1688,$D:$D,"P0(후)"))</f>
        <v/>
      </c>
      <c r="Q1688" s="30">
        <f>IF(COUNTIFS($C:$C,$C1688,$D:$D,"P0(후)",$L:$L,"&gt;0")&lt;&gt;1,"",SUMIFS($L:$L,$C:$C,$C1688,$D:$D,"P0(후)"))</f>
        <v/>
      </c>
      <c r="R1688" s="30">
        <f>IF(M1688&lt;&gt;"OK","",O1688+(Q1688-O1688)*(H1688-N1688)/(P1688-N1688))</f>
        <v/>
      </c>
      <c r="S1688" s="30">
        <f>IF(OR(M1688&lt;&gt;"OK",NOT(ISNUMBER(L1688))),"",L1688-R1688)</f>
        <v/>
      </c>
      <c r="T1688" s="46">
        <f>IF(OR(NOT(ISNUMBER(S1688)),IF(ISNUMBER(G1688),G1688,F1688)=0),"",S1688/IF(ISNUMBER(G1688),G1688,F1688))</f>
        <v/>
      </c>
      <c r="U1688" s="46">
        <f>IF(ISNUMBER(T1688),ABS(T1688),"")</f>
        <v/>
      </c>
      <c r="V1688" s="46">
        <f>IF(OR($D1687&lt;&gt;"측정",$C1687&lt;&gt;$C1688,NOT(ISNUMBER(L1688)),NOT(ISNUMBER(L1687)),(IF(ISNUMBER(G1688),G1688,F1688)-IF(ISNUMBER(G1687),G1687,F1687))=0),"",(L1688-L1687)/(IF(ISNUMBER(G1688),G1688,F1688)-IF(ISNUMBER(G1687),G1687,F1687)))</f>
        <v/>
      </c>
      <c r="W1688" s="30">
        <f>IF(NOT(AND(ISNUMBER(N1688),ISNUMBER(P1688))),"",(P1688-N1688)*1440)</f>
        <v/>
      </c>
      <c r="X1688" s="28" t="n"/>
      <c r="Y1688" s="28" t="n"/>
      <c r="Z1688" s="28" t="n"/>
      <c r="AA1688" s="31" t="n"/>
      <c r="AB1688" s="31" t="n"/>
    </row>
    <row r="1689">
      <c r="A1689" s="25" t="inlineStr">
        <is>
          <t>S33</t>
        </is>
      </c>
      <c r="B1689" s="25" t="inlineStr">
        <is>
          <t>문산 신규점</t>
        </is>
      </c>
      <c r="C1689" s="25" t="inlineStr">
        <is>
          <t>S33-H서</t>
        </is>
      </c>
      <c r="D1689" s="25" t="inlineStr">
        <is>
          <t>측정</t>
        </is>
      </c>
      <c r="E1689" s="25" t="inlineStr">
        <is>
          <t>서</t>
        </is>
      </c>
      <c r="F1689" s="30" t="n">
        <v>6</v>
      </c>
      <c r="G1689" s="29" t="n"/>
      <c r="H1689" s="42" t="n"/>
      <c r="I1689" s="40" t="n"/>
      <c r="J1689" s="40" t="n"/>
      <c r="K1689" s="40" t="n"/>
      <c r="L1689" s="30">
        <f>IF(COUNT(I1689:K1689)=0,"",MEDIAN(I1689:K1689))</f>
        <v/>
      </c>
      <c r="M1689" s="25">
        <f>IF(COUNTIFS($C:$C,$C1689,$D:$D,"P0(전)",$L:$L,"&gt;0")&lt;&gt;1,"P0(전) 유효 1개 아님",IF(COUNTIFS($C:$C,$C1689,$D:$D,"P0(후)",$L:$L,"&gt;0")&lt;&gt;1,"P0(후) 유효 1개 아님",IF(NOT(AND(ISNUMBER(N1689),ISNUMBER(P1689),ISNUMBER(H1689))),"시각 결측",IF(P1689&lt;=N1689,"P0 시각 역전",IF(OR(H1689&lt;N1689,H1689&gt;P1689),"측정시각 구간 밖","OK")))))</f>
        <v/>
      </c>
      <c r="N1689" s="45">
        <f>IF(COUNTIFS($C:$C,$C1689,$D:$D,"P0(전)",$L:$L,"&gt;0")&lt;&gt;1,"",SUMIFS($H:$H,$C:$C,$C1689,$D:$D,"P0(전)"))</f>
        <v/>
      </c>
      <c r="O1689" s="30">
        <f>IF(COUNTIFS($C:$C,$C1689,$D:$D,"P0(전)",$L:$L,"&gt;0")&lt;&gt;1,"",SUMIFS($L:$L,$C:$C,$C1689,$D:$D,"P0(전)"))</f>
        <v/>
      </c>
      <c r="P1689" s="45">
        <f>IF(COUNTIFS($C:$C,$C1689,$D:$D,"P0(후)",$L:$L,"&gt;0")&lt;&gt;1,"",SUMIFS($H:$H,$C:$C,$C1689,$D:$D,"P0(후)"))</f>
        <v/>
      </c>
      <c r="Q1689" s="30">
        <f>IF(COUNTIFS($C:$C,$C1689,$D:$D,"P0(후)",$L:$L,"&gt;0")&lt;&gt;1,"",SUMIFS($L:$L,$C:$C,$C1689,$D:$D,"P0(후)"))</f>
        <v/>
      </c>
      <c r="R1689" s="30">
        <f>IF(M1689&lt;&gt;"OK","",O1689+(Q1689-O1689)*(H1689-N1689)/(P1689-N1689))</f>
        <v/>
      </c>
      <c r="S1689" s="30">
        <f>IF(OR(M1689&lt;&gt;"OK",NOT(ISNUMBER(L1689))),"",L1689-R1689)</f>
        <v/>
      </c>
      <c r="T1689" s="46">
        <f>IF(OR(NOT(ISNUMBER(S1689)),IF(ISNUMBER(G1689),G1689,F1689)=0),"",S1689/IF(ISNUMBER(G1689),G1689,F1689))</f>
        <v/>
      </c>
      <c r="U1689" s="46">
        <f>IF(ISNUMBER(T1689),ABS(T1689),"")</f>
        <v/>
      </c>
      <c r="V1689" s="46">
        <f>IF(OR($D1688&lt;&gt;"측정",$C1688&lt;&gt;$C1689,NOT(ISNUMBER(L1689)),NOT(ISNUMBER(L1688)),(IF(ISNUMBER(G1689),G1689,F1689)-IF(ISNUMBER(G1688),G1688,F1688))=0),"",(L1689-L1688)/(IF(ISNUMBER(G1689),G1689,F1689)-IF(ISNUMBER(G1688),G1688,F1688)))</f>
        <v/>
      </c>
      <c r="W1689" s="30">
        <f>IF(NOT(AND(ISNUMBER(N1689),ISNUMBER(P1689))),"",(P1689-N1689)*1440)</f>
        <v/>
      </c>
      <c r="X1689" s="28" t="n"/>
      <c r="Y1689" s="28" t="n"/>
      <c r="Z1689" s="28" t="n"/>
      <c r="AA1689" s="31" t="n"/>
      <c r="AB1689" s="31" t="n"/>
    </row>
    <row r="1690">
      <c r="A1690" s="25" t="inlineStr">
        <is>
          <t>S33</t>
        </is>
      </c>
      <c r="B1690" s="25" t="inlineStr">
        <is>
          <t>문산 신규점</t>
        </is>
      </c>
      <c r="C1690" s="25" t="inlineStr">
        <is>
          <t>S33-H서</t>
        </is>
      </c>
      <c r="D1690" s="25" t="inlineStr">
        <is>
          <t>측정</t>
        </is>
      </c>
      <c r="E1690" s="25" t="inlineStr">
        <is>
          <t>서</t>
        </is>
      </c>
      <c r="F1690" s="30" t="n">
        <v>7</v>
      </c>
      <c r="G1690" s="29" t="n"/>
      <c r="H1690" s="42" t="n"/>
      <c r="I1690" s="40" t="n"/>
      <c r="J1690" s="40" t="n"/>
      <c r="K1690" s="40" t="n"/>
      <c r="L1690" s="30">
        <f>IF(COUNT(I1690:K1690)=0,"",MEDIAN(I1690:K1690))</f>
        <v/>
      </c>
      <c r="M1690" s="25">
        <f>IF(COUNTIFS($C:$C,$C1690,$D:$D,"P0(전)",$L:$L,"&gt;0")&lt;&gt;1,"P0(전) 유효 1개 아님",IF(COUNTIFS($C:$C,$C1690,$D:$D,"P0(후)",$L:$L,"&gt;0")&lt;&gt;1,"P0(후) 유효 1개 아님",IF(NOT(AND(ISNUMBER(N1690),ISNUMBER(P1690),ISNUMBER(H1690))),"시각 결측",IF(P1690&lt;=N1690,"P0 시각 역전",IF(OR(H1690&lt;N1690,H1690&gt;P1690),"측정시각 구간 밖","OK")))))</f>
        <v/>
      </c>
      <c r="N1690" s="45">
        <f>IF(COUNTIFS($C:$C,$C1690,$D:$D,"P0(전)",$L:$L,"&gt;0")&lt;&gt;1,"",SUMIFS($H:$H,$C:$C,$C1690,$D:$D,"P0(전)"))</f>
        <v/>
      </c>
      <c r="O1690" s="30">
        <f>IF(COUNTIFS($C:$C,$C1690,$D:$D,"P0(전)",$L:$L,"&gt;0")&lt;&gt;1,"",SUMIFS($L:$L,$C:$C,$C1690,$D:$D,"P0(전)"))</f>
        <v/>
      </c>
      <c r="P1690" s="45">
        <f>IF(COUNTIFS($C:$C,$C1690,$D:$D,"P0(후)",$L:$L,"&gt;0")&lt;&gt;1,"",SUMIFS($H:$H,$C:$C,$C1690,$D:$D,"P0(후)"))</f>
        <v/>
      </c>
      <c r="Q1690" s="30">
        <f>IF(COUNTIFS($C:$C,$C1690,$D:$D,"P0(후)",$L:$L,"&gt;0")&lt;&gt;1,"",SUMIFS($L:$L,$C:$C,$C1690,$D:$D,"P0(후)"))</f>
        <v/>
      </c>
      <c r="R1690" s="30">
        <f>IF(M1690&lt;&gt;"OK","",O1690+(Q1690-O1690)*(H1690-N1690)/(P1690-N1690))</f>
        <v/>
      </c>
      <c r="S1690" s="30">
        <f>IF(OR(M1690&lt;&gt;"OK",NOT(ISNUMBER(L1690))),"",L1690-R1690)</f>
        <v/>
      </c>
      <c r="T1690" s="46">
        <f>IF(OR(NOT(ISNUMBER(S1690)),IF(ISNUMBER(G1690),G1690,F1690)=0),"",S1690/IF(ISNUMBER(G1690),G1690,F1690))</f>
        <v/>
      </c>
      <c r="U1690" s="46">
        <f>IF(ISNUMBER(T1690),ABS(T1690),"")</f>
        <v/>
      </c>
      <c r="V1690" s="46">
        <f>IF(OR($D1689&lt;&gt;"측정",$C1689&lt;&gt;$C1690,NOT(ISNUMBER(L1690)),NOT(ISNUMBER(L1689)),(IF(ISNUMBER(G1690),G1690,F1690)-IF(ISNUMBER(G1689),G1689,F1689))=0),"",(L1690-L1689)/(IF(ISNUMBER(G1690),G1690,F1690)-IF(ISNUMBER(G1689),G1689,F1689)))</f>
        <v/>
      </c>
      <c r="W1690" s="30">
        <f>IF(NOT(AND(ISNUMBER(N1690),ISNUMBER(P1690))),"",(P1690-N1690)*1440)</f>
        <v/>
      </c>
      <c r="X1690" s="28" t="n"/>
      <c r="Y1690" s="28" t="n"/>
      <c r="Z1690" s="28" t="n"/>
      <c r="AA1690" s="31" t="n"/>
      <c r="AB1690" s="31" t="n"/>
    </row>
    <row r="1691">
      <c r="A1691" s="25" t="inlineStr">
        <is>
          <t>S33</t>
        </is>
      </c>
      <c r="B1691" s="25" t="inlineStr">
        <is>
          <t>문산 신규점</t>
        </is>
      </c>
      <c r="C1691" s="25" t="inlineStr">
        <is>
          <t>S33-H서</t>
        </is>
      </c>
      <c r="D1691" s="25" t="inlineStr">
        <is>
          <t>측정</t>
        </is>
      </c>
      <c r="E1691" s="25" t="inlineStr">
        <is>
          <t>서</t>
        </is>
      </c>
      <c r="F1691" s="30" t="n">
        <v>8</v>
      </c>
      <c r="G1691" s="29" t="n"/>
      <c r="H1691" s="42" t="n"/>
      <c r="I1691" s="40" t="n"/>
      <c r="J1691" s="40" t="n"/>
      <c r="K1691" s="40" t="n"/>
      <c r="L1691" s="30">
        <f>IF(COUNT(I1691:K1691)=0,"",MEDIAN(I1691:K1691))</f>
        <v/>
      </c>
      <c r="M1691" s="25">
        <f>IF(COUNTIFS($C:$C,$C1691,$D:$D,"P0(전)",$L:$L,"&gt;0")&lt;&gt;1,"P0(전) 유효 1개 아님",IF(COUNTIFS($C:$C,$C1691,$D:$D,"P0(후)",$L:$L,"&gt;0")&lt;&gt;1,"P0(후) 유효 1개 아님",IF(NOT(AND(ISNUMBER(N1691),ISNUMBER(P1691),ISNUMBER(H1691))),"시각 결측",IF(P1691&lt;=N1691,"P0 시각 역전",IF(OR(H1691&lt;N1691,H1691&gt;P1691),"측정시각 구간 밖","OK")))))</f>
        <v/>
      </c>
      <c r="N1691" s="45">
        <f>IF(COUNTIFS($C:$C,$C1691,$D:$D,"P0(전)",$L:$L,"&gt;0")&lt;&gt;1,"",SUMIFS($H:$H,$C:$C,$C1691,$D:$D,"P0(전)"))</f>
        <v/>
      </c>
      <c r="O1691" s="30">
        <f>IF(COUNTIFS($C:$C,$C1691,$D:$D,"P0(전)",$L:$L,"&gt;0")&lt;&gt;1,"",SUMIFS($L:$L,$C:$C,$C1691,$D:$D,"P0(전)"))</f>
        <v/>
      </c>
      <c r="P1691" s="45">
        <f>IF(COUNTIFS($C:$C,$C1691,$D:$D,"P0(후)",$L:$L,"&gt;0")&lt;&gt;1,"",SUMIFS($H:$H,$C:$C,$C1691,$D:$D,"P0(후)"))</f>
        <v/>
      </c>
      <c r="Q1691" s="30">
        <f>IF(COUNTIFS($C:$C,$C1691,$D:$D,"P0(후)",$L:$L,"&gt;0")&lt;&gt;1,"",SUMIFS($L:$L,$C:$C,$C1691,$D:$D,"P0(후)"))</f>
        <v/>
      </c>
      <c r="R1691" s="30">
        <f>IF(M1691&lt;&gt;"OK","",O1691+(Q1691-O1691)*(H1691-N1691)/(P1691-N1691))</f>
        <v/>
      </c>
      <c r="S1691" s="30">
        <f>IF(OR(M1691&lt;&gt;"OK",NOT(ISNUMBER(L1691))),"",L1691-R1691)</f>
        <v/>
      </c>
      <c r="T1691" s="46">
        <f>IF(OR(NOT(ISNUMBER(S1691)),IF(ISNUMBER(G1691),G1691,F1691)=0),"",S1691/IF(ISNUMBER(G1691),G1691,F1691))</f>
        <v/>
      </c>
      <c r="U1691" s="46">
        <f>IF(ISNUMBER(T1691),ABS(T1691),"")</f>
        <v/>
      </c>
      <c r="V1691" s="46">
        <f>IF(OR($D1690&lt;&gt;"측정",$C1690&lt;&gt;$C1691,NOT(ISNUMBER(L1691)),NOT(ISNUMBER(L1690)),(IF(ISNUMBER(G1691),G1691,F1691)-IF(ISNUMBER(G1690),G1690,F1690))=0),"",(L1691-L1690)/(IF(ISNUMBER(G1691),G1691,F1691)-IF(ISNUMBER(G1690),G1690,F1690)))</f>
        <v/>
      </c>
      <c r="W1691" s="30">
        <f>IF(NOT(AND(ISNUMBER(N1691),ISNUMBER(P1691))),"",(P1691-N1691)*1440)</f>
        <v/>
      </c>
      <c r="X1691" s="28" t="n"/>
      <c r="Y1691" s="28" t="n"/>
      <c r="Z1691" s="28" t="n"/>
      <c r="AA1691" s="31" t="n"/>
      <c r="AB1691" s="31" t="n"/>
    </row>
    <row r="1692">
      <c r="A1692" s="25" t="inlineStr">
        <is>
          <t>S33</t>
        </is>
      </c>
      <c r="B1692" s="25" t="inlineStr">
        <is>
          <t>문산 신규점</t>
        </is>
      </c>
      <c r="C1692" s="25" t="inlineStr">
        <is>
          <t>S33-H서</t>
        </is>
      </c>
      <c r="D1692" s="25" t="inlineStr">
        <is>
          <t>측정</t>
        </is>
      </c>
      <c r="E1692" s="25" t="inlineStr">
        <is>
          <t>서</t>
        </is>
      </c>
      <c r="F1692" s="30" t="n">
        <v>9</v>
      </c>
      <c r="G1692" s="29" t="n"/>
      <c r="H1692" s="42" t="n"/>
      <c r="I1692" s="40" t="n"/>
      <c r="J1692" s="40" t="n"/>
      <c r="K1692" s="40" t="n"/>
      <c r="L1692" s="30">
        <f>IF(COUNT(I1692:K1692)=0,"",MEDIAN(I1692:K1692))</f>
        <v/>
      </c>
      <c r="M1692" s="25">
        <f>IF(COUNTIFS($C:$C,$C1692,$D:$D,"P0(전)",$L:$L,"&gt;0")&lt;&gt;1,"P0(전) 유효 1개 아님",IF(COUNTIFS($C:$C,$C1692,$D:$D,"P0(후)",$L:$L,"&gt;0")&lt;&gt;1,"P0(후) 유효 1개 아님",IF(NOT(AND(ISNUMBER(N1692),ISNUMBER(P1692),ISNUMBER(H1692))),"시각 결측",IF(P1692&lt;=N1692,"P0 시각 역전",IF(OR(H1692&lt;N1692,H1692&gt;P1692),"측정시각 구간 밖","OK")))))</f>
        <v/>
      </c>
      <c r="N1692" s="45">
        <f>IF(COUNTIFS($C:$C,$C1692,$D:$D,"P0(전)",$L:$L,"&gt;0")&lt;&gt;1,"",SUMIFS($H:$H,$C:$C,$C1692,$D:$D,"P0(전)"))</f>
        <v/>
      </c>
      <c r="O1692" s="30">
        <f>IF(COUNTIFS($C:$C,$C1692,$D:$D,"P0(전)",$L:$L,"&gt;0")&lt;&gt;1,"",SUMIFS($L:$L,$C:$C,$C1692,$D:$D,"P0(전)"))</f>
        <v/>
      </c>
      <c r="P1692" s="45">
        <f>IF(COUNTIFS($C:$C,$C1692,$D:$D,"P0(후)",$L:$L,"&gt;0")&lt;&gt;1,"",SUMIFS($H:$H,$C:$C,$C1692,$D:$D,"P0(후)"))</f>
        <v/>
      </c>
      <c r="Q1692" s="30">
        <f>IF(COUNTIFS($C:$C,$C1692,$D:$D,"P0(후)",$L:$L,"&gt;0")&lt;&gt;1,"",SUMIFS($L:$L,$C:$C,$C1692,$D:$D,"P0(후)"))</f>
        <v/>
      </c>
      <c r="R1692" s="30">
        <f>IF(M1692&lt;&gt;"OK","",O1692+(Q1692-O1692)*(H1692-N1692)/(P1692-N1692))</f>
        <v/>
      </c>
      <c r="S1692" s="30">
        <f>IF(OR(M1692&lt;&gt;"OK",NOT(ISNUMBER(L1692))),"",L1692-R1692)</f>
        <v/>
      </c>
      <c r="T1692" s="46">
        <f>IF(OR(NOT(ISNUMBER(S1692)),IF(ISNUMBER(G1692),G1692,F1692)=0),"",S1692/IF(ISNUMBER(G1692),G1692,F1692))</f>
        <v/>
      </c>
      <c r="U1692" s="46">
        <f>IF(ISNUMBER(T1692),ABS(T1692),"")</f>
        <v/>
      </c>
      <c r="V1692" s="46">
        <f>IF(OR($D1691&lt;&gt;"측정",$C1691&lt;&gt;$C1692,NOT(ISNUMBER(L1692)),NOT(ISNUMBER(L1691)),(IF(ISNUMBER(G1692),G1692,F1692)-IF(ISNUMBER(G1691),G1691,F1691))=0),"",(L1692-L1691)/(IF(ISNUMBER(G1692),G1692,F1692)-IF(ISNUMBER(G1691),G1691,F1691)))</f>
        <v/>
      </c>
      <c r="W1692" s="30">
        <f>IF(NOT(AND(ISNUMBER(N1692),ISNUMBER(P1692))),"",(P1692-N1692)*1440)</f>
        <v/>
      </c>
      <c r="X1692" s="28" t="n"/>
      <c r="Y1692" s="28" t="n"/>
      <c r="Z1692" s="28" t="n"/>
      <c r="AA1692" s="31" t="n"/>
      <c r="AB1692" s="31" t="n"/>
    </row>
    <row r="1693">
      <c r="A1693" s="25" t="inlineStr">
        <is>
          <t>S33</t>
        </is>
      </c>
      <c r="B1693" s="25" t="inlineStr">
        <is>
          <t>문산 신규점</t>
        </is>
      </c>
      <c r="C1693" s="25" t="inlineStr">
        <is>
          <t>S33-H서</t>
        </is>
      </c>
      <c r="D1693" s="25" t="inlineStr">
        <is>
          <t>측정</t>
        </is>
      </c>
      <c r="E1693" s="25" t="inlineStr">
        <is>
          <t>서</t>
        </is>
      </c>
      <c r="F1693" s="30" t="n">
        <v>10</v>
      </c>
      <c r="G1693" s="29" t="n"/>
      <c r="H1693" s="42" t="n"/>
      <c r="I1693" s="40" t="n"/>
      <c r="J1693" s="40" t="n"/>
      <c r="K1693" s="40" t="n"/>
      <c r="L1693" s="30">
        <f>IF(COUNT(I1693:K1693)=0,"",MEDIAN(I1693:K1693))</f>
        <v/>
      </c>
      <c r="M1693" s="25">
        <f>IF(COUNTIFS($C:$C,$C1693,$D:$D,"P0(전)",$L:$L,"&gt;0")&lt;&gt;1,"P0(전) 유효 1개 아님",IF(COUNTIFS($C:$C,$C1693,$D:$D,"P0(후)",$L:$L,"&gt;0")&lt;&gt;1,"P0(후) 유효 1개 아님",IF(NOT(AND(ISNUMBER(N1693),ISNUMBER(P1693),ISNUMBER(H1693))),"시각 결측",IF(P1693&lt;=N1693,"P0 시각 역전",IF(OR(H1693&lt;N1693,H1693&gt;P1693),"측정시각 구간 밖","OK")))))</f>
        <v/>
      </c>
      <c r="N1693" s="45">
        <f>IF(COUNTIFS($C:$C,$C1693,$D:$D,"P0(전)",$L:$L,"&gt;0")&lt;&gt;1,"",SUMIFS($H:$H,$C:$C,$C1693,$D:$D,"P0(전)"))</f>
        <v/>
      </c>
      <c r="O1693" s="30">
        <f>IF(COUNTIFS($C:$C,$C1693,$D:$D,"P0(전)",$L:$L,"&gt;0")&lt;&gt;1,"",SUMIFS($L:$L,$C:$C,$C1693,$D:$D,"P0(전)"))</f>
        <v/>
      </c>
      <c r="P1693" s="45">
        <f>IF(COUNTIFS($C:$C,$C1693,$D:$D,"P0(후)",$L:$L,"&gt;0")&lt;&gt;1,"",SUMIFS($H:$H,$C:$C,$C1693,$D:$D,"P0(후)"))</f>
        <v/>
      </c>
      <c r="Q1693" s="30">
        <f>IF(COUNTIFS($C:$C,$C1693,$D:$D,"P0(후)",$L:$L,"&gt;0")&lt;&gt;1,"",SUMIFS($L:$L,$C:$C,$C1693,$D:$D,"P0(후)"))</f>
        <v/>
      </c>
      <c r="R1693" s="30">
        <f>IF(M1693&lt;&gt;"OK","",O1693+(Q1693-O1693)*(H1693-N1693)/(P1693-N1693))</f>
        <v/>
      </c>
      <c r="S1693" s="30">
        <f>IF(OR(M1693&lt;&gt;"OK",NOT(ISNUMBER(L1693))),"",L1693-R1693)</f>
        <v/>
      </c>
      <c r="T1693" s="46">
        <f>IF(OR(NOT(ISNUMBER(S1693)),IF(ISNUMBER(G1693),G1693,F1693)=0),"",S1693/IF(ISNUMBER(G1693),G1693,F1693))</f>
        <v/>
      </c>
      <c r="U1693" s="46">
        <f>IF(ISNUMBER(T1693),ABS(T1693),"")</f>
        <v/>
      </c>
      <c r="V1693" s="46">
        <f>IF(OR($D1692&lt;&gt;"측정",$C1692&lt;&gt;$C1693,NOT(ISNUMBER(L1693)),NOT(ISNUMBER(L1692)),(IF(ISNUMBER(G1693),G1693,F1693)-IF(ISNUMBER(G1692),G1692,F1692))=0),"",(L1693-L1692)/(IF(ISNUMBER(G1693),G1693,F1693)-IF(ISNUMBER(G1692),G1692,F1692)))</f>
        <v/>
      </c>
      <c r="W1693" s="30">
        <f>IF(NOT(AND(ISNUMBER(N1693),ISNUMBER(P1693))),"",(P1693-N1693)*1440)</f>
        <v/>
      </c>
      <c r="X1693" s="28" t="n"/>
      <c r="Y1693" s="28" t="n"/>
      <c r="Z1693" s="28" t="n"/>
      <c r="AA1693" s="31" t="n"/>
      <c r="AB1693" s="31" t="n"/>
    </row>
    <row r="1694">
      <c r="A1694" s="43" t="inlineStr">
        <is>
          <t>S33</t>
        </is>
      </c>
      <c r="B1694" s="43" t="inlineStr">
        <is>
          <t>문산 신규점</t>
        </is>
      </c>
      <c r="C1694" s="43" t="inlineStr">
        <is>
          <t>S33-H서</t>
        </is>
      </c>
      <c r="D1694" s="43" t="inlineStr">
        <is>
          <t>P0(후)</t>
        </is>
      </c>
      <c r="E1694" s="43" t="inlineStr">
        <is>
          <t>서</t>
        </is>
      </c>
      <c r="F1694" s="44" t="n"/>
      <c r="G1694" s="29" t="n"/>
      <c r="H1694" s="42" t="n"/>
      <c r="I1694" s="40" t="n"/>
      <c r="J1694" s="40" t="n"/>
      <c r="K1694" s="40" t="n"/>
      <c r="L1694" s="30">
        <f>IF(COUNT(I1694:K1694)=0,"",MEDIAN(I1694:K1694))</f>
        <v/>
      </c>
      <c r="M1694" s="37" t="n"/>
      <c r="N1694" s="37" t="n"/>
      <c r="O1694" s="37" t="n"/>
      <c r="P1694" s="37" t="n"/>
      <c r="Q1694" s="37" t="n"/>
      <c r="R1694" s="37" t="n"/>
      <c r="S1694" s="37" t="n"/>
      <c r="T1694" s="37" t="n"/>
      <c r="U1694" s="37" t="n"/>
      <c r="V1694" s="37" t="n"/>
      <c r="W1694" s="37" t="n"/>
      <c r="X1694" s="28" t="n"/>
      <c r="Y1694" s="28" t="n"/>
      <c r="Z1694" s="28" t="n"/>
      <c r="AA1694" s="31" t="n"/>
      <c r="AB1694" s="31" t="n"/>
    </row>
    <row r="1695">
      <c r="A1695" s="43" t="inlineStr">
        <is>
          <t>S33</t>
        </is>
      </c>
      <c r="B1695" s="43" t="inlineStr">
        <is>
          <t>문산 신규점</t>
        </is>
      </c>
      <c r="C1695" s="43" t="inlineStr">
        <is>
          <t>S33-H남</t>
        </is>
      </c>
      <c r="D1695" s="43" t="inlineStr">
        <is>
          <t>P0(전)</t>
        </is>
      </c>
      <c r="E1695" s="43" t="inlineStr">
        <is>
          <t>남</t>
        </is>
      </c>
      <c r="F1695" s="44" t="n"/>
      <c r="G1695" s="29" t="n"/>
      <c r="H1695" s="42" t="n"/>
      <c r="I1695" s="40" t="n"/>
      <c r="J1695" s="40" t="n"/>
      <c r="K1695" s="40" t="n"/>
      <c r="L1695" s="30">
        <f>IF(COUNT(I1695:K1695)=0,"",MEDIAN(I1695:K1695))</f>
        <v/>
      </c>
      <c r="M1695" s="37" t="n"/>
      <c r="N1695" s="37" t="n"/>
      <c r="O1695" s="37" t="n"/>
      <c r="P1695" s="37" t="n"/>
      <c r="Q1695" s="37" t="n"/>
      <c r="R1695" s="37" t="n"/>
      <c r="S1695" s="37" t="n"/>
      <c r="T1695" s="37" t="n"/>
      <c r="U1695" s="37" t="n"/>
      <c r="V1695" s="37" t="n"/>
      <c r="W1695" s="37" t="n"/>
      <c r="X1695" s="28" t="n"/>
      <c r="Y1695" s="28" t="n"/>
      <c r="Z1695" s="28" t="n"/>
      <c r="AA1695" s="31" t="n"/>
      <c r="AB1695" s="31" t="n"/>
    </row>
    <row r="1696">
      <c r="A1696" s="25" t="inlineStr">
        <is>
          <t>S33</t>
        </is>
      </c>
      <c r="B1696" s="25" t="inlineStr">
        <is>
          <t>문산 신규점</t>
        </is>
      </c>
      <c r="C1696" s="25" t="inlineStr">
        <is>
          <t>S33-H남</t>
        </is>
      </c>
      <c r="D1696" s="25" t="inlineStr">
        <is>
          <t>측정</t>
        </is>
      </c>
      <c r="E1696" s="25" t="inlineStr">
        <is>
          <t>남</t>
        </is>
      </c>
      <c r="F1696" s="30" t="n">
        <v>0.5</v>
      </c>
      <c r="G1696" s="29" t="n"/>
      <c r="H1696" s="42" t="n"/>
      <c r="I1696" s="40" t="n"/>
      <c r="J1696" s="40" t="n"/>
      <c r="K1696" s="40" t="n"/>
      <c r="L1696" s="30">
        <f>IF(COUNT(I1696:K1696)=0,"",MEDIAN(I1696:K1696))</f>
        <v/>
      </c>
      <c r="M1696" s="25">
        <f>IF(COUNTIFS($C:$C,$C1696,$D:$D,"P0(전)",$L:$L,"&gt;0")&lt;&gt;1,"P0(전) 유효 1개 아님",IF(COUNTIFS($C:$C,$C1696,$D:$D,"P0(후)",$L:$L,"&gt;0")&lt;&gt;1,"P0(후) 유효 1개 아님",IF(NOT(AND(ISNUMBER(N1696),ISNUMBER(P1696),ISNUMBER(H1696))),"시각 결측",IF(P1696&lt;=N1696,"P0 시각 역전",IF(OR(H1696&lt;N1696,H1696&gt;P1696),"측정시각 구간 밖","OK")))))</f>
        <v/>
      </c>
      <c r="N1696" s="45">
        <f>IF(COUNTIFS($C:$C,$C1696,$D:$D,"P0(전)",$L:$L,"&gt;0")&lt;&gt;1,"",SUMIFS($H:$H,$C:$C,$C1696,$D:$D,"P0(전)"))</f>
        <v/>
      </c>
      <c r="O1696" s="30">
        <f>IF(COUNTIFS($C:$C,$C1696,$D:$D,"P0(전)",$L:$L,"&gt;0")&lt;&gt;1,"",SUMIFS($L:$L,$C:$C,$C1696,$D:$D,"P0(전)"))</f>
        <v/>
      </c>
      <c r="P1696" s="45">
        <f>IF(COUNTIFS($C:$C,$C1696,$D:$D,"P0(후)",$L:$L,"&gt;0")&lt;&gt;1,"",SUMIFS($H:$H,$C:$C,$C1696,$D:$D,"P0(후)"))</f>
        <v/>
      </c>
      <c r="Q1696" s="30">
        <f>IF(COUNTIFS($C:$C,$C1696,$D:$D,"P0(후)",$L:$L,"&gt;0")&lt;&gt;1,"",SUMIFS($L:$L,$C:$C,$C1696,$D:$D,"P0(후)"))</f>
        <v/>
      </c>
      <c r="R1696" s="30">
        <f>IF(M1696&lt;&gt;"OK","",O1696+(Q1696-O1696)*(H1696-N1696)/(P1696-N1696))</f>
        <v/>
      </c>
      <c r="S1696" s="30">
        <f>IF(OR(M1696&lt;&gt;"OK",NOT(ISNUMBER(L1696))),"",L1696-R1696)</f>
        <v/>
      </c>
      <c r="T1696" s="46">
        <f>IF(OR(NOT(ISNUMBER(S1696)),IF(ISNUMBER(G1696),G1696,F1696)=0),"",S1696/IF(ISNUMBER(G1696),G1696,F1696))</f>
        <v/>
      </c>
      <c r="U1696" s="46">
        <f>IF(ISNUMBER(T1696),ABS(T1696),"")</f>
        <v/>
      </c>
      <c r="V1696" s="46">
        <f>IF(OR($D1695&lt;&gt;"측정",$C1695&lt;&gt;$C1696,NOT(ISNUMBER(L1696)),NOT(ISNUMBER(L1695)),(IF(ISNUMBER(G1696),G1696,F1696)-IF(ISNUMBER(G1695),G1695,F1695))=0),"",(L1696-L1695)/(IF(ISNUMBER(G1696),G1696,F1696)-IF(ISNUMBER(G1695),G1695,F1695)))</f>
        <v/>
      </c>
      <c r="W1696" s="30">
        <f>IF(NOT(AND(ISNUMBER(N1696),ISNUMBER(P1696))),"",(P1696-N1696)*1440)</f>
        <v/>
      </c>
      <c r="X1696" s="28" t="n"/>
      <c r="Y1696" s="28" t="n"/>
      <c r="Z1696" s="28" t="n"/>
      <c r="AA1696" s="31" t="n"/>
      <c r="AB1696" s="31" t="n"/>
    </row>
    <row r="1697">
      <c r="A1697" s="25" t="inlineStr">
        <is>
          <t>S33</t>
        </is>
      </c>
      <c r="B1697" s="25" t="inlineStr">
        <is>
          <t>문산 신규점</t>
        </is>
      </c>
      <c r="C1697" s="25" t="inlineStr">
        <is>
          <t>S33-H남</t>
        </is>
      </c>
      <c r="D1697" s="25" t="inlineStr">
        <is>
          <t>측정</t>
        </is>
      </c>
      <c r="E1697" s="25" t="inlineStr">
        <is>
          <t>남</t>
        </is>
      </c>
      <c r="F1697" s="30" t="n">
        <v>1</v>
      </c>
      <c r="G1697" s="29" t="n"/>
      <c r="H1697" s="42" t="n"/>
      <c r="I1697" s="40" t="n"/>
      <c r="J1697" s="40" t="n"/>
      <c r="K1697" s="40" t="n"/>
      <c r="L1697" s="30">
        <f>IF(COUNT(I1697:K1697)=0,"",MEDIAN(I1697:K1697))</f>
        <v/>
      </c>
      <c r="M1697" s="25">
        <f>IF(COUNTIFS($C:$C,$C1697,$D:$D,"P0(전)",$L:$L,"&gt;0")&lt;&gt;1,"P0(전) 유효 1개 아님",IF(COUNTIFS($C:$C,$C1697,$D:$D,"P0(후)",$L:$L,"&gt;0")&lt;&gt;1,"P0(후) 유효 1개 아님",IF(NOT(AND(ISNUMBER(N1697),ISNUMBER(P1697),ISNUMBER(H1697))),"시각 결측",IF(P1697&lt;=N1697,"P0 시각 역전",IF(OR(H1697&lt;N1697,H1697&gt;P1697),"측정시각 구간 밖","OK")))))</f>
        <v/>
      </c>
      <c r="N1697" s="45">
        <f>IF(COUNTIFS($C:$C,$C1697,$D:$D,"P0(전)",$L:$L,"&gt;0")&lt;&gt;1,"",SUMIFS($H:$H,$C:$C,$C1697,$D:$D,"P0(전)"))</f>
        <v/>
      </c>
      <c r="O1697" s="30">
        <f>IF(COUNTIFS($C:$C,$C1697,$D:$D,"P0(전)",$L:$L,"&gt;0")&lt;&gt;1,"",SUMIFS($L:$L,$C:$C,$C1697,$D:$D,"P0(전)"))</f>
        <v/>
      </c>
      <c r="P1697" s="45">
        <f>IF(COUNTIFS($C:$C,$C1697,$D:$D,"P0(후)",$L:$L,"&gt;0")&lt;&gt;1,"",SUMIFS($H:$H,$C:$C,$C1697,$D:$D,"P0(후)"))</f>
        <v/>
      </c>
      <c r="Q1697" s="30">
        <f>IF(COUNTIFS($C:$C,$C1697,$D:$D,"P0(후)",$L:$L,"&gt;0")&lt;&gt;1,"",SUMIFS($L:$L,$C:$C,$C1697,$D:$D,"P0(후)"))</f>
        <v/>
      </c>
      <c r="R1697" s="30">
        <f>IF(M1697&lt;&gt;"OK","",O1697+(Q1697-O1697)*(H1697-N1697)/(P1697-N1697))</f>
        <v/>
      </c>
      <c r="S1697" s="30">
        <f>IF(OR(M1697&lt;&gt;"OK",NOT(ISNUMBER(L1697))),"",L1697-R1697)</f>
        <v/>
      </c>
      <c r="T1697" s="46">
        <f>IF(OR(NOT(ISNUMBER(S1697)),IF(ISNUMBER(G1697),G1697,F1697)=0),"",S1697/IF(ISNUMBER(G1697),G1697,F1697))</f>
        <v/>
      </c>
      <c r="U1697" s="46">
        <f>IF(ISNUMBER(T1697),ABS(T1697),"")</f>
        <v/>
      </c>
      <c r="V1697" s="46">
        <f>IF(OR($D1696&lt;&gt;"측정",$C1696&lt;&gt;$C1697,NOT(ISNUMBER(L1697)),NOT(ISNUMBER(L1696)),(IF(ISNUMBER(G1697),G1697,F1697)-IF(ISNUMBER(G1696),G1696,F1696))=0),"",(L1697-L1696)/(IF(ISNUMBER(G1697),G1697,F1697)-IF(ISNUMBER(G1696),G1696,F1696)))</f>
        <v/>
      </c>
      <c r="W1697" s="30">
        <f>IF(NOT(AND(ISNUMBER(N1697),ISNUMBER(P1697))),"",(P1697-N1697)*1440)</f>
        <v/>
      </c>
      <c r="X1697" s="28" t="n"/>
      <c r="Y1697" s="28" t="n"/>
      <c r="Z1697" s="28" t="n"/>
      <c r="AA1697" s="31" t="n"/>
      <c r="AB1697" s="31" t="n"/>
    </row>
    <row r="1698">
      <c r="A1698" s="25" t="inlineStr">
        <is>
          <t>S33</t>
        </is>
      </c>
      <c r="B1698" s="25" t="inlineStr">
        <is>
          <t>문산 신규점</t>
        </is>
      </c>
      <c r="C1698" s="25" t="inlineStr">
        <is>
          <t>S33-H남</t>
        </is>
      </c>
      <c r="D1698" s="25" t="inlineStr">
        <is>
          <t>측정</t>
        </is>
      </c>
      <c r="E1698" s="25" t="inlineStr">
        <is>
          <t>남</t>
        </is>
      </c>
      <c r="F1698" s="30" t="n">
        <v>2</v>
      </c>
      <c r="G1698" s="29" t="n"/>
      <c r="H1698" s="42" t="n"/>
      <c r="I1698" s="40" t="n"/>
      <c r="J1698" s="40" t="n"/>
      <c r="K1698" s="40" t="n"/>
      <c r="L1698" s="30">
        <f>IF(COUNT(I1698:K1698)=0,"",MEDIAN(I1698:K1698))</f>
        <v/>
      </c>
      <c r="M1698" s="25">
        <f>IF(COUNTIFS($C:$C,$C1698,$D:$D,"P0(전)",$L:$L,"&gt;0")&lt;&gt;1,"P0(전) 유효 1개 아님",IF(COUNTIFS($C:$C,$C1698,$D:$D,"P0(후)",$L:$L,"&gt;0")&lt;&gt;1,"P0(후) 유효 1개 아님",IF(NOT(AND(ISNUMBER(N1698),ISNUMBER(P1698),ISNUMBER(H1698))),"시각 결측",IF(P1698&lt;=N1698,"P0 시각 역전",IF(OR(H1698&lt;N1698,H1698&gt;P1698),"측정시각 구간 밖","OK")))))</f>
        <v/>
      </c>
      <c r="N1698" s="45">
        <f>IF(COUNTIFS($C:$C,$C1698,$D:$D,"P0(전)",$L:$L,"&gt;0")&lt;&gt;1,"",SUMIFS($H:$H,$C:$C,$C1698,$D:$D,"P0(전)"))</f>
        <v/>
      </c>
      <c r="O1698" s="30">
        <f>IF(COUNTIFS($C:$C,$C1698,$D:$D,"P0(전)",$L:$L,"&gt;0")&lt;&gt;1,"",SUMIFS($L:$L,$C:$C,$C1698,$D:$D,"P0(전)"))</f>
        <v/>
      </c>
      <c r="P1698" s="45">
        <f>IF(COUNTIFS($C:$C,$C1698,$D:$D,"P0(후)",$L:$L,"&gt;0")&lt;&gt;1,"",SUMIFS($H:$H,$C:$C,$C1698,$D:$D,"P0(후)"))</f>
        <v/>
      </c>
      <c r="Q1698" s="30">
        <f>IF(COUNTIFS($C:$C,$C1698,$D:$D,"P0(후)",$L:$L,"&gt;0")&lt;&gt;1,"",SUMIFS($L:$L,$C:$C,$C1698,$D:$D,"P0(후)"))</f>
        <v/>
      </c>
      <c r="R1698" s="30">
        <f>IF(M1698&lt;&gt;"OK","",O1698+(Q1698-O1698)*(H1698-N1698)/(P1698-N1698))</f>
        <v/>
      </c>
      <c r="S1698" s="30">
        <f>IF(OR(M1698&lt;&gt;"OK",NOT(ISNUMBER(L1698))),"",L1698-R1698)</f>
        <v/>
      </c>
      <c r="T1698" s="46">
        <f>IF(OR(NOT(ISNUMBER(S1698)),IF(ISNUMBER(G1698),G1698,F1698)=0),"",S1698/IF(ISNUMBER(G1698),G1698,F1698))</f>
        <v/>
      </c>
      <c r="U1698" s="46">
        <f>IF(ISNUMBER(T1698),ABS(T1698),"")</f>
        <v/>
      </c>
      <c r="V1698" s="46">
        <f>IF(OR($D1697&lt;&gt;"측정",$C1697&lt;&gt;$C1698,NOT(ISNUMBER(L1698)),NOT(ISNUMBER(L1697)),(IF(ISNUMBER(G1698),G1698,F1698)-IF(ISNUMBER(G1697),G1697,F1697))=0),"",(L1698-L1697)/(IF(ISNUMBER(G1698),G1698,F1698)-IF(ISNUMBER(G1697),G1697,F1697)))</f>
        <v/>
      </c>
      <c r="W1698" s="30">
        <f>IF(NOT(AND(ISNUMBER(N1698),ISNUMBER(P1698))),"",(P1698-N1698)*1440)</f>
        <v/>
      </c>
      <c r="X1698" s="28" t="n"/>
      <c r="Y1698" s="28" t="n"/>
      <c r="Z1698" s="28" t="n"/>
      <c r="AA1698" s="31" t="n"/>
      <c r="AB1698" s="31" t="n"/>
    </row>
    <row r="1699">
      <c r="A1699" s="25" t="inlineStr">
        <is>
          <t>S33</t>
        </is>
      </c>
      <c r="B1699" s="25" t="inlineStr">
        <is>
          <t>문산 신규점</t>
        </is>
      </c>
      <c r="C1699" s="25" t="inlineStr">
        <is>
          <t>S33-H남</t>
        </is>
      </c>
      <c r="D1699" s="25" t="inlineStr">
        <is>
          <t>측정</t>
        </is>
      </c>
      <c r="E1699" s="25" t="inlineStr">
        <is>
          <t>남</t>
        </is>
      </c>
      <c r="F1699" s="30" t="n">
        <v>3</v>
      </c>
      <c r="G1699" s="29" t="n"/>
      <c r="H1699" s="42" t="n"/>
      <c r="I1699" s="40" t="n"/>
      <c r="J1699" s="40" t="n"/>
      <c r="K1699" s="40" t="n"/>
      <c r="L1699" s="30">
        <f>IF(COUNT(I1699:K1699)=0,"",MEDIAN(I1699:K1699))</f>
        <v/>
      </c>
      <c r="M1699" s="25">
        <f>IF(COUNTIFS($C:$C,$C1699,$D:$D,"P0(전)",$L:$L,"&gt;0")&lt;&gt;1,"P0(전) 유효 1개 아님",IF(COUNTIFS($C:$C,$C1699,$D:$D,"P0(후)",$L:$L,"&gt;0")&lt;&gt;1,"P0(후) 유효 1개 아님",IF(NOT(AND(ISNUMBER(N1699),ISNUMBER(P1699),ISNUMBER(H1699))),"시각 결측",IF(P1699&lt;=N1699,"P0 시각 역전",IF(OR(H1699&lt;N1699,H1699&gt;P1699),"측정시각 구간 밖","OK")))))</f>
        <v/>
      </c>
      <c r="N1699" s="45">
        <f>IF(COUNTIFS($C:$C,$C1699,$D:$D,"P0(전)",$L:$L,"&gt;0")&lt;&gt;1,"",SUMIFS($H:$H,$C:$C,$C1699,$D:$D,"P0(전)"))</f>
        <v/>
      </c>
      <c r="O1699" s="30">
        <f>IF(COUNTIFS($C:$C,$C1699,$D:$D,"P0(전)",$L:$L,"&gt;0")&lt;&gt;1,"",SUMIFS($L:$L,$C:$C,$C1699,$D:$D,"P0(전)"))</f>
        <v/>
      </c>
      <c r="P1699" s="45">
        <f>IF(COUNTIFS($C:$C,$C1699,$D:$D,"P0(후)",$L:$L,"&gt;0")&lt;&gt;1,"",SUMIFS($H:$H,$C:$C,$C1699,$D:$D,"P0(후)"))</f>
        <v/>
      </c>
      <c r="Q1699" s="30">
        <f>IF(COUNTIFS($C:$C,$C1699,$D:$D,"P0(후)",$L:$L,"&gt;0")&lt;&gt;1,"",SUMIFS($L:$L,$C:$C,$C1699,$D:$D,"P0(후)"))</f>
        <v/>
      </c>
      <c r="R1699" s="30">
        <f>IF(M1699&lt;&gt;"OK","",O1699+(Q1699-O1699)*(H1699-N1699)/(P1699-N1699))</f>
        <v/>
      </c>
      <c r="S1699" s="30">
        <f>IF(OR(M1699&lt;&gt;"OK",NOT(ISNUMBER(L1699))),"",L1699-R1699)</f>
        <v/>
      </c>
      <c r="T1699" s="46">
        <f>IF(OR(NOT(ISNUMBER(S1699)),IF(ISNUMBER(G1699),G1699,F1699)=0),"",S1699/IF(ISNUMBER(G1699),G1699,F1699))</f>
        <v/>
      </c>
      <c r="U1699" s="46">
        <f>IF(ISNUMBER(T1699),ABS(T1699),"")</f>
        <v/>
      </c>
      <c r="V1699" s="46">
        <f>IF(OR($D1698&lt;&gt;"측정",$C1698&lt;&gt;$C1699,NOT(ISNUMBER(L1699)),NOT(ISNUMBER(L1698)),(IF(ISNUMBER(G1699),G1699,F1699)-IF(ISNUMBER(G1698),G1698,F1698))=0),"",(L1699-L1698)/(IF(ISNUMBER(G1699),G1699,F1699)-IF(ISNUMBER(G1698),G1698,F1698)))</f>
        <v/>
      </c>
      <c r="W1699" s="30">
        <f>IF(NOT(AND(ISNUMBER(N1699),ISNUMBER(P1699))),"",(P1699-N1699)*1440)</f>
        <v/>
      </c>
      <c r="X1699" s="28" t="n"/>
      <c r="Y1699" s="28" t="n"/>
      <c r="Z1699" s="28" t="n"/>
      <c r="AA1699" s="31" t="n"/>
      <c r="AB1699" s="31" t="n"/>
    </row>
    <row r="1700">
      <c r="A1700" s="25" t="inlineStr">
        <is>
          <t>S33</t>
        </is>
      </c>
      <c r="B1700" s="25" t="inlineStr">
        <is>
          <t>문산 신규점</t>
        </is>
      </c>
      <c r="C1700" s="25" t="inlineStr">
        <is>
          <t>S33-H남</t>
        </is>
      </c>
      <c r="D1700" s="25" t="inlineStr">
        <is>
          <t>측정</t>
        </is>
      </c>
      <c r="E1700" s="25" t="inlineStr">
        <is>
          <t>남</t>
        </is>
      </c>
      <c r="F1700" s="30" t="n">
        <v>4</v>
      </c>
      <c r="G1700" s="29" t="n"/>
      <c r="H1700" s="42" t="n"/>
      <c r="I1700" s="40" t="n"/>
      <c r="J1700" s="40" t="n"/>
      <c r="K1700" s="40" t="n"/>
      <c r="L1700" s="30">
        <f>IF(COUNT(I1700:K1700)=0,"",MEDIAN(I1700:K1700))</f>
        <v/>
      </c>
      <c r="M1700" s="25">
        <f>IF(COUNTIFS($C:$C,$C1700,$D:$D,"P0(전)",$L:$L,"&gt;0")&lt;&gt;1,"P0(전) 유효 1개 아님",IF(COUNTIFS($C:$C,$C1700,$D:$D,"P0(후)",$L:$L,"&gt;0")&lt;&gt;1,"P0(후) 유효 1개 아님",IF(NOT(AND(ISNUMBER(N1700),ISNUMBER(P1700),ISNUMBER(H1700))),"시각 결측",IF(P1700&lt;=N1700,"P0 시각 역전",IF(OR(H1700&lt;N1700,H1700&gt;P1700),"측정시각 구간 밖","OK")))))</f>
        <v/>
      </c>
      <c r="N1700" s="45">
        <f>IF(COUNTIFS($C:$C,$C1700,$D:$D,"P0(전)",$L:$L,"&gt;0")&lt;&gt;1,"",SUMIFS($H:$H,$C:$C,$C1700,$D:$D,"P0(전)"))</f>
        <v/>
      </c>
      <c r="O1700" s="30">
        <f>IF(COUNTIFS($C:$C,$C1700,$D:$D,"P0(전)",$L:$L,"&gt;0")&lt;&gt;1,"",SUMIFS($L:$L,$C:$C,$C1700,$D:$D,"P0(전)"))</f>
        <v/>
      </c>
      <c r="P1700" s="45">
        <f>IF(COUNTIFS($C:$C,$C1700,$D:$D,"P0(후)",$L:$L,"&gt;0")&lt;&gt;1,"",SUMIFS($H:$H,$C:$C,$C1700,$D:$D,"P0(후)"))</f>
        <v/>
      </c>
      <c r="Q1700" s="30">
        <f>IF(COUNTIFS($C:$C,$C1700,$D:$D,"P0(후)",$L:$L,"&gt;0")&lt;&gt;1,"",SUMIFS($L:$L,$C:$C,$C1700,$D:$D,"P0(후)"))</f>
        <v/>
      </c>
      <c r="R1700" s="30">
        <f>IF(M1700&lt;&gt;"OK","",O1700+(Q1700-O1700)*(H1700-N1700)/(P1700-N1700))</f>
        <v/>
      </c>
      <c r="S1700" s="30">
        <f>IF(OR(M1700&lt;&gt;"OK",NOT(ISNUMBER(L1700))),"",L1700-R1700)</f>
        <v/>
      </c>
      <c r="T1700" s="46">
        <f>IF(OR(NOT(ISNUMBER(S1700)),IF(ISNUMBER(G1700),G1700,F1700)=0),"",S1700/IF(ISNUMBER(G1700),G1700,F1700))</f>
        <v/>
      </c>
      <c r="U1700" s="46">
        <f>IF(ISNUMBER(T1700),ABS(T1700),"")</f>
        <v/>
      </c>
      <c r="V1700" s="46">
        <f>IF(OR($D1699&lt;&gt;"측정",$C1699&lt;&gt;$C1700,NOT(ISNUMBER(L1700)),NOT(ISNUMBER(L1699)),(IF(ISNUMBER(G1700),G1700,F1700)-IF(ISNUMBER(G1699),G1699,F1699))=0),"",(L1700-L1699)/(IF(ISNUMBER(G1700),G1700,F1700)-IF(ISNUMBER(G1699),G1699,F1699)))</f>
        <v/>
      </c>
      <c r="W1700" s="30">
        <f>IF(NOT(AND(ISNUMBER(N1700),ISNUMBER(P1700))),"",(P1700-N1700)*1440)</f>
        <v/>
      </c>
      <c r="X1700" s="28" t="n"/>
      <c r="Y1700" s="28" t="n"/>
      <c r="Z1700" s="28" t="n"/>
      <c r="AA1700" s="31" t="n"/>
      <c r="AB1700" s="31" t="n"/>
    </row>
    <row r="1701">
      <c r="A1701" s="25" t="inlineStr">
        <is>
          <t>S33</t>
        </is>
      </c>
      <c r="B1701" s="25" t="inlineStr">
        <is>
          <t>문산 신규점</t>
        </is>
      </c>
      <c r="C1701" s="25" t="inlineStr">
        <is>
          <t>S33-H남</t>
        </is>
      </c>
      <c r="D1701" s="25" t="inlineStr">
        <is>
          <t>측정</t>
        </is>
      </c>
      <c r="E1701" s="25" t="inlineStr">
        <is>
          <t>남</t>
        </is>
      </c>
      <c r="F1701" s="30" t="n">
        <v>5</v>
      </c>
      <c r="G1701" s="29" t="n"/>
      <c r="H1701" s="42" t="n"/>
      <c r="I1701" s="40" t="n"/>
      <c r="J1701" s="40" t="n"/>
      <c r="K1701" s="40" t="n"/>
      <c r="L1701" s="30">
        <f>IF(COUNT(I1701:K1701)=0,"",MEDIAN(I1701:K1701))</f>
        <v/>
      </c>
      <c r="M1701" s="25">
        <f>IF(COUNTIFS($C:$C,$C1701,$D:$D,"P0(전)",$L:$L,"&gt;0")&lt;&gt;1,"P0(전) 유효 1개 아님",IF(COUNTIFS($C:$C,$C1701,$D:$D,"P0(후)",$L:$L,"&gt;0")&lt;&gt;1,"P0(후) 유효 1개 아님",IF(NOT(AND(ISNUMBER(N1701),ISNUMBER(P1701),ISNUMBER(H1701))),"시각 결측",IF(P1701&lt;=N1701,"P0 시각 역전",IF(OR(H1701&lt;N1701,H1701&gt;P1701),"측정시각 구간 밖","OK")))))</f>
        <v/>
      </c>
      <c r="N1701" s="45">
        <f>IF(COUNTIFS($C:$C,$C1701,$D:$D,"P0(전)",$L:$L,"&gt;0")&lt;&gt;1,"",SUMIFS($H:$H,$C:$C,$C1701,$D:$D,"P0(전)"))</f>
        <v/>
      </c>
      <c r="O1701" s="30">
        <f>IF(COUNTIFS($C:$C,$C1701,$D:$D,"P0(전)",$L:$L,"&gt;0")&lt;&gt;1,"",SUMIFS($L:$L,$C:$C,$C1701,$D:$D,"P0(전)"))</f>
        <v/>
      </c>
      <c r="P1701" s="45">
        <f>IF(COUNTIFS($C:$C,$C1701,$D:$D,"P0(후)",$L:$L,"&gt;0")&lt;&gt;1,"",SUMIFS($H:$H,$C:$C,$C1701,$D:$D,"P0(후)"))</f>
        <v/>
      </c>
      <c r="Q1701" s="30">
        <f>IF(COUNTIFS($C:$C,$C1701,$D:$D,"P0(후)",$L:$L,"&gt;0")&lt;&gt;1,"",SUMIFS($L:$L,$C:$C,$C1701,$D:$D,"P0(후)"))</f>
        <v/>
      </c>
      <c r="R1701" s="30">
        <f>IF(M1701&lt;&gt;"OK","",O1701+(Q1701-O1701)*(H1701-N1701)/(P1701-N1701))</f>
        <v/>
      </c>
      <c r="S1701" s="30">
        <f>IF(OR(M1701&lt;&gt;"OK",NOT(ISNUMBER(L1701))),"",L1701-R1701)</f>
        <v/>
      </c>
      <c r="T1701" s="46">
        <f>IF(OR(NOT(ISNUMBER(S1701)),IF(ISNUMBER(G1701),G1701,F1701)=0),"",S1701/IF(ISNUMBER(G1701),G1701,F1701))</f>
        <v/>
      </c>
      <c r="U1701" s="46">
        <f>IF(ISNUMBER(T1701),ABS(T1701),"")</f>
        <v/>
      </c>
      <c r="V1701" s="46">
        <f>IF(OR($D1700&lt;&gt;"측정",$C1700&lt;&gt;$C1701,NOT(ISNUMBER(L1701)),NOT(ISNUMBER(L1700)),(IF(ISNUMBER(G1701),G1701,F1701)-IF(ISNUMBER(G1700),G1700,F1700))=0),"",(L1701-L1700)/(IF(ISNUMBER(G1701),G1701,F1701)-IF(ISNUMBER(G1700),G1700,F1700)))</f>
        <v/>
      </c>
      <c r="W1701" s="30">
        <f>IF(NOT(AND(ISNUMBER(N1701),ISNUMBER(P1701))),"",(P1701-N1701)*1440)</f>
        <v/>
      </c>
      <c r="X1701" s="28" t="n"/>
      <c r="Y1701" s="28" t="n"/>
      <c r="Z1701" s="28" t="n"/>
      <c r="AA1701" s="31" t="n"/>
      <c r="AB1701" s="31" t="n"/>
    </row>
    <row r="1702">
      <c r="A1702" s="25" t="inlineStr">
        <is>
          <t>S33</t>
        </is>
      </c>
      <c r="B1702" s="25" t="inlineStr">
        <is>
          <t>문산 신규점</t>
        </is>
      </c>
      <c r="C1702" s="25" t="inlineStr">
        <is>
          <t>S33-H남</t>
        </is>
      </c>
      <c r="D1702" s="25" t="inlineStr">
        <is>
          <t>측정</t>
        </is>
      </c>
      <c r="E1702" s="25" t="inlineStr">
        <is>
          <t>남</t>
        </is>
      </c>
      <c r="F1702" s="30" t="n">
        <v>6</v>
      </c>
      <c r="G1702" s="29" t="n"/>
      <c r="H1702" s="42" t="n"/>
      <c r="I1702" s="40" t="n"/>
      <c r="J1702" s="40" t="n"/>
      <c r="K1702" s="40" t="n"/>
      <c r="L1702" s="30">
        <f>IF(COUNT(I1702:K1702)=0,"",MEDIAN(I1702:K1702))</f>
        <v/>
      </c>
      <c r="M1702" s="25">
        <f>IF(COUNTIFS($C:$C,$C1702,$D:$D,"P0(전)",$L:$L,"&gt;0")&lt;&gt;1,"P0(전) 유효 1개 아님",IF(COUNTIFS($C:$C,$C1702,$D:$D,"P0(후)",$L:$L,"&gt;0")&lt;&gt;1,"P0(후) 유효 1개 아님",IF(NOT(AND(ISNUMBER(N1702),ISNUMBER(P1702),ISNUMBER(H1702))),"시각 결측",IF(P1702&lt;=N1702,"P0 시각 역전",IF(OR(H1702&lt;N1702,H1702&gt;P1702),"측정시각 구간 밖","OK")))))</f>
        <v/>
      </c>
      <c r="N1702" s="45">
        <f>IF(COUNTIFS($C:$C,$C1702,$D:$D,"P0(전)",$L:$L,"&gt;0")&lt;&gt;1,"",SUMIFS($H:$H,$C:$C,$C1702,$D:$D,"P0(전)"))</f>
        <v/>
      </c>
      <c r="O1702" s="30">
        <f>IF(COUNTIFS($C:$C,$C1702,$D:$D,"P0(전)",$L:$L,"&gt;0")&lt;&gt;1,"",SUMIFS($L:$L,$C:$C,$C1702,$D:$D,"P0(전)"))</f>
        <v/>
      </c>
      <c r="P1702" s="45">
        <f>IF(COUNTIFS($C:$C,$C1702,$D:$D,"P0(후)",$L:$L,"&gt;0")&lt;&gt;1,"",SUMIFS($H:$H,$C:$C,$C1702,$D:$D,"P0(후)"))</f>
        <v/>
      </c>
      <c r="Q1702" s="30">
        <f>IF(COUNTIFS($C:$C,$C1702,$D:$D,"P0(후)",$L:$L,"&gt;0")&lt;&gt;1,"",SUMIFS($L:$L,$C:$C,$C1702,$D:$D,"P0(후)"))</f>
        <v/>
      </c>
      <c r="R1702" s="30">
        <f>IF(M1702&lt;&gt;"OK","",O1702+(Q1702-O1702)*(H1702-N1702)/(P1702-N1702))</f>
        <v/>
      </c>
      <c r="S1702" s="30">
        <f>IF(OR(M1702&lt;&gt;"OK",NOT(ISNUMBER(L1702))),"",L1702-R1702)</f>
        <v/>
      </c>
      <c r="T1702" s="46">
        <f>IF(OR(NOT(ISNUMBER(S1702)),IF(ISNUMBER(G1702),G1702,F1702)=0),"",S1702/IF(ISNUMBER(G1702),G1702,F1702))</f>
        <v/>
      </c>
      <c r="U1702" s="46">
        <f>IF(ISNUMBER(T1702),ABS(T1702),"")</f>
        <v/>
      </c>
      <c r="V1702" s="46">
        <f>IF(OR($D1701&lt;&gt;"측정",$C1701&lt;&gt;$C1702,NOT(ISNUMBER(L1702)),NOT(ISNUMBER(L1701)),(IF(ISNUMBER(G1702),G1702,F1702)-IF(ISNUMBER(G1701),G1701,F1701))=0),"",(L1702-L1701)/(IF(ISNUMBER(G1702),G1702,F1702)-IF(ISNUMBER(G1701),G1701,F1701)))</f>
        <v/>
      </c>
      <c r="W1702" s="30">
        <f>IF(NOT(AND(ISNUMBER(N1702),ISNUMBER(P1702))),"",(P1702-N1702)*1440)</f>
        <v/>
      </c>
      <c r="X1702" s="28" t="n"/>
      <c r="Y1702" s="28" t="n"/>
      <c r="Z1702" s="28" t="n"/>
      <c r="AA1702" s="31" t="n"/>
      <c r="AB1702" s="31" t="n"/>
    </row>
    <row r="1703">
      <c r="A1703" s="25" t="inlineStr">
        <is>
          <t>S33</t>
        </is>
      </c>
      <c r="B1703" s="25" t="inlineStr">
        <is>
          <t>문산 신규점</t>
        </is>
      </c>
      <c r="C1703" s="25" t="inlineStr">
        <is>
          <t>S33-H남</t>
        </is>
      </c>
      <c r="D1703" s="25" t="inlineStr">
        <is>
          <t>측정</t>
        </is>
      </c>
      <c r="E1703" s="25" t="inlineStr">
        <is>
          <t>남</t>
        </is>
      </c>
      <c r="F1703" s="30" t="n">
        <v>7</v>
      </c>
      <c r="G1703" s="29" t="n"/>
      <c r="H1703" s="42" t="n"/>
      <c r="I1703" s="40" t="n"/>
      <c r="J1703" s="40" t="n"/>
      <c r="K1703" s="40" t="n"/>
      <c r="L1703" s="30">
        <f>IF(COUNT(I1703:K1703)=0,"",MEDIAN(I1703:K1703))</f>
        <v/>
      </c>
      <c r="M1703" s="25">
        <f>IF(COUNTIFS($C:$C,$C1703,$D:$D,"P0(전)",$L:$L,"&gt;0")&lt;&gt;1,"P0(전) 유효 1개 아님",IF(COUNTIFS($C:$C,$C1703,$D:$D,"P0(후)",$L:$L,"&gt;0")&lt;&gt;1,"P0(후) 유효 1개 아님",IF(NOT(AND(ISNUMBER(N1703),ISNUMBER(P1703),ISNUMBER(H1703))),"시각 결측",IF(P1703&lt;=N1703,"P0 시각 역전",IF(OR(H1703&lt;N1703,H1703&gt;P1703),"측정시각 구간 밖","OK")))))</f>
        <v/>
      </c>
      <c r="N1703" s="45">
        <f>IF(COUNTIFS($C:$C,$C1703,$D:$D,"P0(전)",$L:$L,"&gt;0")&lt;&gt;1,"",SUMIFS($H:$H,$C:$C,$C1703,$D:$D,"P0(전)"))</f>
        <v/>
      </c>
      <c r="O1703" s="30">
        <f>IF(COUNTIFS($C:$C,$C1703,$D:$D,"P0(전)",$L:$L,"&gt;0")&lt;&gt;1,"",SUMIFS($L:$L,$C:$C,$C1703,$D:$D,"P0(전)"))</f>
        <v/>
      </c>
      <c r="P1703" s="45">
        <f>IF(COUNTIFS($C:$C,$C1703,$D:$D,"P0(후)",$L:$L,"&gt;0")&lt;&gt;1,"",SUMIFS($H:$H,$C:$C,$C1703,$D:$D,"P0(후)"))</f>
        <v/>
      </c>
      <c r="Q1703" s="30">
        <f>IF(COUNTIFS($C:$C,$C1703,$D:$D,"P0(후)",$L:$L,"&gt;0")&lt;&gt;1,"",SUMIFS($L:$L,$C:$C,$C1703,$D:$D,"P0(후)"))</f>
        <v/>
      </c>
      <c r="R1703" s="30">
        <f>IF(M1703&lt;&gt;"OK","",O1703+(Q1703-O1703)*(H1703-N1703)/(P1703-N1703))</f>
        <v/>
      </c>
      <c r="S1703" s="30">
        <f>IF(OR(M1703&lt;&gt;"OK",NOT(ISNUMBER(L1703))),"",L1703-R1703)</f>
        <v/>
      </c>
      <c r="T1703" s="46">
        <f>IF(OR(NOT(ISNUMBER(S1703)),IF(ISNUMBER(G1703),G1703,F1703)=0),"",S1703/IF(ISNUMBER(G1703),G1703,F1703))</f>
        <v/>
      </c>
      <c r="U1703" s="46">
        <f>IF(ISNUMBER(T1703),ABS(T1703),"")</f>
        <v/>
      </c>
      <c r="V1703" s="46">
        <f>IF(OR($D1702&lt;&gt;"측정",$C1702&lt;&gt;$C1703,NOT(ISNUMBER(L1703)),NOT(ISNUMBER(L1702)),(IF(ISNUMBER(G1703),G1703,F1703)-IF(ISNUMBER(G1702),G1702,F1702))=0),"",(L1703-L1702)/(IF(ISNUMBER(G1703),G1703,F1703)-IF(ISNUMBER(G1702),G1702,F1702)))</f>
        <v/>
      </c>
      <c r="W1703" s="30">
        <f>IF(NOT(AND(ISNUMBER(N1703),ISNUMBER(P1703))),"",(P1703-N1703)*1440)</f>
        <v/>
      </c>
      <c r="X1703" s="28" t="n"/>
      <c r="Y1703" s="28" t="n"/>
      <c r="Z1703" s="28" t="n"/>
      <c r="AA1703" s="31" t="n"/>
      <c r="AB1703" s="31" t="n"/>
    </row>
    <row r="1704">
      <c r="A1704" s="25" t="inlineStr">
        <is>
          <t>S33</t>
        </is>
      </c>
      <c r="B1704" s="25" t="inlineStr">
        <is>
          <t>문산 신규점</t>
        </is>
      </c>
      <c r="C1704" s="25" t="inlineStr">
        <is>
          <t>S33-H남</t>
        </is>
      </c>
      <c r="D1704" s="25" t="inlineStr">
        <is>
          <t>측정</t>
        </is>
      </c>
      <c r="E1704" s="25" t="inlineStr">
        <is>
          <t>남</t>
        </is>
      </c>
      <c r="F1704" s="30" t="n">
        <v>8</v>
      </c>
      <c r="G1704" s="29" t="n"/>
      <c r="H1704" s="42" t="n"/>
      <c r="I1704" s="40" t="n"/>
      <c r="J1704" s="40" t="n"/>
      <c r="K1704" s="40" t="n"/>
      <c r="L1704" s="30">
        <f>IF(COUNT(I1704:K1704)=0,"",MEDIAN(I1704:K1704))</f>
        <v/>
      </c>
      <c r="M1704" s="25">
        <f>IF(COUNTIFS($C:$C,$C1704,$D:$D,"P0(전)",$L:$L,"&gt;0")&lt;&gt;1,"P0(전) 유효 1개 아님",IF(COUNTIFS($C:$C,$C1704,$D:$D,"P0(후)",$L:$L,"&gt;0")&lt;&gt;1,"P0(후) 유효 1개 아님",IF(NOT(AND(ISNUMBER(N1704),ISNUMBER(P1704),ISNUMBER(H1704))),"시각 결측",IF(P1704&lt;=N1704,"P0 시각 역전",IF(OR(H1704&lt;N1704,H1704&gt;P1704),"측정시각 구간 밖","OK")))))</f>
        <v/>
      </c>
      <c r="N1704" s="45">
        <f>IF(COUNTIFS($C:$C,$C1704,$D:$D,"P0(전)",$L:$L,"&gt;0")&lt;&gt;1,"",SUMIFS($H:$H,$C:$C,$C1704,$D:$D,"P0(전)"))</f>
        <v/>
      </c>
      <c r="O1704" s="30">
        <f>IF(COUNTIFS($C:$C,$C1704,$D:$D,"P0(전)",$L:$L,"&gt;0")&lt;&gt;1,"",SUMIFS($L:$L,$C:$C,$C1704,$D:$D,"P0(전)"))</f>
        <v/>
      </c>
      <c r="P1704" s="45">
        <f>IF(COUNTIFS($C:$C,$C1704,$D:$D,"P0(후)",$L:$L,"&gt;0")&lt;&gt;1,"",SUMIFS($H:$H,$C:$C,$C1704,$D:$D,"P0(후)"))</f>
        <v/>
      </c>
      <c r="Q1704" s="30">
        <f>IF(COUNTIFS($C:$C,$C1704,$D:$D,"P0(후)",$L:$L,"&gt;0")&lt;&gt;1,"",SUMIFS($L:$L,$C:$C,$C1704,$D:$D,"P0(후)"))</f>
        <v/>
      </c>
      <c r="R1704" s="30">
        <f>IF(M1704&lt;&gt;"OK","",O1704+(Q1704-O1704)*(H1704-N1704)/(P1704-N1704))</f>
        <v/>
      </c>
      <c r="S1704" s="30">
        <f>IF(OR(M1704&lt;&gt;"OK",NOT(ISNUMBER(L1704))),"",L1704-R1704)</f>
        <v/>
      </c>
      <c r="T1704" s="46">
        <f>IF(OR(NOT(ISNUMBER(S1704)),IF(ISNUMBER(G1704),G1704,F1704)=0),"",S1704/IF(ISNUMBER(G1704),G1704,F1704))</f>
        <v/>
      </c>
      <c r="U1704" s="46">
        <f>IF(ISNUMBER(T1704),ABS(T1704),"")</f>
        <v/>
      </c>
      <c r="V1704" s="46">
        <f>IF(OR($D1703&lt;&gt;"측정",$C1703&lt;&gt;$C1704,NOT(ISNUMBER(L1704)),NOT(ISNUMBER(L1703)),(IF(ISNUMBER(G1704),G1704,F1704)-IF(ISNUMBER(G1703),G1703,F1703))=0),"",(L1704-L1703)/(IF(ISNUMBER(G1704),G1704,F1704)-IF(ISNUMBER(G1703),G1703,F1703)))</f>
        <v/>
      </c>
      <c r="W1704" s="30">
        <f>IF(NOT(AND(ISNUMBER(N1704),ISNUMBER(P1704))),"",(P1704-N1704)*1440)</f>
        <v/>
      </c>
      <c r="X1704" s="28" t="n"/>
      <c r="Y1704" s="28" t="n"/>
      <c r="Z1704" s="28" t="n"/>
      <c r="AA1704" s="31" t="n"/>
      <c r="AB1704" s="31" t="n"/>
    </row>
    <row r="1705">
      <c r="A1705" s="25" t="inlineStr">
        <is>
          <t>S33</t>
        </is>
      </c>
      <c r="B1705" s="25" t="inlineStr">
        <is>
          <t>문산 신규점</t>
        </is>
      </c>
      <c r="C1705" s="25" t="inlineStr">
        <is>
          <t>S33-H남</t>
        </is>
      </c>
      <c r="D1705" s="25" t="inlineStr">
        <is>
          <t>측정</t>
        </is>
      </c>
      <c r="E1705" s="25" t="inlineStr">
        <is>
          <t>남</t>
        </is>
      </c>
      <c r="F1705" s="30" t="n">
        <v>9</v>
      </c>
      <c r="G1705" s="29" t="n"/>
      <c r="H1705" s="42" t="n"/>
      <c r="I1705" s="40" t="n"/>
      <c r="J1705" s="40" t="n"/>
      <c r="K1705" s="40" t="n"/>
      <c r="L1705" s="30">
        <f>IF(COUNT(I1705:K1705)=0,"",MEDIAN(I1705:K1705))</f>
        <v/>
      </c>
      <c r="M1705" s="25">
        <f>IF(COUNTIFS($C:$C,$C1705,$D:$D,"P0(전)",$L:$L,"&gt;0")&lt;&gt;1,"P0(전) 유효 1개 아님",IF(COUNTIFS($C:$C,$C1705,$D:$D,"P0(후)",$L:$L,"&gt;0")&lt;&gt;1,"P0(후) 유효 1개 아님",IF(NOT(AND(ISNUMBER(N1705),ISNUMBER(P1705),ISNUMBER(H1705))),"시각 결측",IF(P1705&lt;=N1705,"P0 시각 역전",IF(OR(H1705&lt;N1705,H1705&gt;P1705),"측정시각 구간 밖","OK")))))</f>
        <v/>
      </c>
      <c r="N1705" s="45">
        <f>IF(COUNTIFS($C:$C,$C1705,$D:$D,"P0(전)",$L:$L,"&gt;0")&lt;&gt;1,"",SUMIFS($H:$H,$C:$C,$C1705,$D:$D,"P0(전)"))</f>
        <v/>
      </c>
      <c r="O1705" s="30">
        <f>IF(COUNTIFS($C:$C,$C1705,$D:$D,"P0(전)",$L:$L,"&gt;0")&lt;&gt;1,"",SUMIFS($L:$L,$C:$C,$C1705,$D:$D,"P0(전)"))</f>
        <v/>
      </c>
      <c r="P1705" s="45">
        <f>IF(COUNTIFS($C:$C,$C1705,$D:$D,"P0(후)",$L:$L,"&gt;0")&lt;&gt;1,"",SUMIFS($H:$H,$C:$C,$C1705,$D:$D,"P0(후)"))</f>
        <v/>
      </c>
      <c r="Q1705" s="30">
        <f>IF(COUNTIFS($C:$C,$C1705,$D:$D,"P0(후)",$L:$L,"&gt;0")&lt;&gt;1,"",SUMIFS($L:$L,$C:$C,$C1705,$D:$D,"P0(후)"))</f>
        <v/>
      </c>
      <c r="R1705" s="30">
        <f>IF(M1705&lt;&gt;"OK","",O1705+(Q1705-O1705)*(H1705-N1705)/(P1705-N1705))</f>
        <v/>
      </c>
      <c r="S1705" s="30">
        <f>IF(OR(M1705&lt;&gt;"OK",NOT(ISNUMBER(L1705))),"",L1705-R1705)</f>
        <v/>
      </c>
      <c r="T1705" s="46">
        <f>IF(OR(NOT(ISNUMBER(S1705)),IF(ISNUMBER(G1705),G1705,F1705)=0),"",S1705/IF(ISNUMBER(G1705),G1705,F1705))</f>
        <v/>
      </c>
      <c r="U1705" s="46">
        <f>IF(ISNUMBER(T1705),ABS(T1705),"")</f>
        <v/>
      </c>
      <c r="V1705" s="46">
        <f>IF(OR($D1704&lt;&gt;"측정",$C1704&lt;&gt;$C1705,NOT(ISNUMBER(L1705)),NOT(ISNUMBER(L1704)),(IF(ISNUMBER(G1705),G1705,F1705)-IF(ISNUMBER(G1704),G1704,F1704))=0),"",(L1705-L1704)/(IF(ISNUMBER(G1705),G1705,F1705)-IF(ISNUMBER(G1704),G1704,F1704)))</f>
        <v/>
      </c>
      <c r="W1705" s="30">
        <f>IF(NOT(AND(ISNUMBER(N1705),ISNUMBER(P1705))),"",(P1705-N1705)*1440)</f>
        <v/>
      </c>
      <c r="X1705" s="28" t="n"/>
      <c r="Y1705" s="28" t="n"/>
      <c r="Z1705" s="28" t="n"/>
      <c r="AA1705" s="31" t="n"/>
      <c r="AB1705" s="31" t="n"/>
    </row>
    <row r="1706">
      <c r="A1706" s="25" t="inlineStr">
        <is>
          <t>S33</t>
        </is>
      </c>
      <c r="B1706" s="25" t="inlineStr">
        <is>
          <t>문산 신규점</t>
        </is>
      </c>
      <c r="C1706" s="25" t="inlineStr">
        <is>
          <t>S33-H남</t>
        </is>
      </c>
      <c r="D1706" s="25" t="inlineStr">
        <is>
          <t>측정</t>
        </is>
      </c>
      <c r="E1706" s="25" t="inlineStr">
        <is>
          <t>남</t>
        </is>
      </c>
      <c r="F1706" s="30" t="n">
        <v>10</v>
      </c>
      <c r="G1706" s="29" t="n"/>
      <c r="H1706" s="42" t="n"/>
      <c r="I1706" s="40" t="n"/>
      <c r="J1706" s="40" t="n"/>
      <c r="K1706" s="40" t="n"/>
      <c r="L1706" s="30">
        <f>IF(COUNT(I1706:K1706)=0,"",MEDIAN(I1706:K1706))</f>
        <v/>
      </c>
      <c r="M1706" s="25">
        <f>IF(COUNTIFS($C:$C,$C1706,$D:$D,"P0(전)",$L:$L,"&gt;0")&lt;&gt;1,"P0(전) 유효 1개 아님",IF(COUNTIFS($C:$C,$C1706,$D:$D,"P0(후)",$L:$L,"&gt;0")&lt;&gt;1,"P0(후) 유효 1개 아님",IF(NOT(AND(ISNUMBER(N1706),ISNUMBER(P1706),ISNUMBER(H1706))),"시각 결측",IF(P1706&lt;=N1706,"P0 시각 역전",IF(OR(H1706&lt;N1706,H1706&gt;P1706),"측정시각 구간 밖","OK")))))</f>
        <v/>
      </c>
      <c r="N1706" s="45">
        <f>IF(COUNTIFS($C:$C,$C1706,$D:$D,"P0(전)",$L:$L,"&gt;0")&lt;&gt;1,"",SUMIFS($H:$H,$C:$C,$C1706,$D:$D,"P0(전)"))</f>
        <v/>
      </c>
      <c r="O1706" s="30">
        <f>IF(COUNTIFS($C:$C,$C1706,$D:$D,"P0(전)",$L:$L,"&gt;0")&lt;&gt;1,"",SUMIFS($L:$L,$C:$C,$C1706,$D:$D,"P0(전)"))</f>
        <v/>
      </c>
      <c r="P1706" s="45">
        <f>IF(COUNTIFS($C:$C,$C1706,$D:$D,"P0(후)",$L:$L,"&gt;0")&lt;&gt;1,"",SUMIFS($H:$H,$C:$C,$C1706,$D:$D,"P0(후)"))</f>
        <v/>
      </c>
      <c r="Q1706" s="30">
        <f>IF(COUNTIFS($C:$C,$C1706,$D:$D,"P0(후)",$L:$L,"&gt;0")&lt;&gt;1,"",SUMIFS($L:$L,$C:$C,$C1706,$D:$D,"P0(후)"))</f>
        <v/>
      </c>
      <c r="R1706" s="30">
        <f>IF(M1706&lt;&gt;"OK","",O1706+(Q1706-O1706)*(H1706-N1706)/(P1706-N1706))</f>
        <v/>
      </c>
      <c r="S1706" s="30">
        <f>IF(OR(M1706&lt;&gt;"OK",NOT(ISNUMBER(L1706))),"",L1706-R1706)</f>
        <v/>
      </c>
      <c r="T1706" s="46">
        <f>IF(OR(NOT(ISNUMBER(S1706)),IF(ISNUMBER(G1706),G1706,F1706)=0),"",S1706/IF(ISNUMBER(G1706),G1706,F1706))</f>
        <v/>
      </c>
      <c r="U1706" s="46">
        <f>IF(ISNUMBER(T1706),ABS(T1706),"")</f>
        <v/>
      </c>
      <c r="V1706" s="46">
        <f>IF(OR($D1705&lt;&gt;"측정",$C1705&lt;&gt;$C1706,NOT(ISNUMBER(L1706)),NOT(ISNUMBER(L1705)),(IF(ISNUMBER(G1706),G1706,F1706)-IF(ISNUMBER(G1705),G1705,F1705))=0),"",(L1706-L1705)/(IF(ISNUMBER(G1706),G1706,F1706)-IF(ISNUMBER(G1705),G1705,F1705)))</f>
        <v/>
      </c>
      <c r="W1706" s="30">
        <f>IF(NOT(AND(ISNUMBER(N1706),ISNUMBER(P1706))),"",(P1706-N1706)*1440)</f>
        <v/>
      </c>
      <c r="X1706" s="28" t="n"/>
      <c r="Y1706" s="28" t="n"/>
      <c r="Z1706" s="28" t="n"/>
      <c r="AA1706" s="31" t="n"/>
      <c r="AB1706" s="31" t="n"/>
    </row>
    <row r="1707">
      <c r="A1707" s="43" t="inlineStr">
        <is>
          <t>S33</t>
        </is>
      </c>
      <c r="B1707" s="43" t="inlineStr">
        <is>
          <t>문산 신규점</t>
        </is>
      </c>
      <c r="C1707" s="43" t="inlineStr">
        <is>
          <t>S33-H남</t>
        </is>
      </c>
      <c r="D1707" s="43" t="inlineStr">
        <is>
          <t>P0(후)</t>
        </is>
      </c>
      <c r="E1707" s="43" t="inlineStr">
        <is>
          <t>남</t>
        </is>
      </c>
      <c r="F1707" s="44" t="n"/>
      <c r="G1707" s="29" t="n"/>
      <c r="H1707" s="42" t="n"/>
      <c r="I1707" s="40" t="n"/>
      <c r="J1707" s="40" t="n"/>
      <c r="K1707" s="40" t="n"/>
      <c r="L1707" s="30">
        <f>IF(COUNT(I1707:K1707)=0,"",MEDIAN(I1707:K1707))</f>
        <v/>
      </c>
      <c r="M1707" s="37" t="n"/>
      <c r="N1707" s="37" t="n"/>
      <c r="O1707" s="37" t="n"/>
      <c r="P1707" s="37" t="n"/>
      <c r="Q1707" s="37" t="n"/>
      <c r="R1707" s="37" t="n"/>
      <c r="S1707" s="37" t="n"/>
      <c r="T1707" s="37" t="n"/>
      <c r="U1707" s="37" t="n"/>
      <c r="V1707" s="37" t="n"/>
      <c r="W1707" s="37" t="n"/>
      <c r="X1707" s="28" t="n"/>
      <c r="Y1707" s="28" t="n"/>
      <c r="Z1707" s="28" t="n"/>
      <c r="AA1707" s="31" t="n"/>
      <c r="AB1707" s="31" t="n"/>
    </row>
    <row r="1708">
      <c r="A1708" s="43" t="inlineStr">
        <is>
          <t>S33</t>
        </is>
      </c>
      <c r="B1708" s="43" t="inlineStr">
        <is>
          <t>문산 신규점</t>
        </is>
      </c>
      <c r="C1708" s="43" t="inlineStr">
        <is>
          <t>S33-H북</t>
        </is>
      </c>
      <c r="D1708" s="43" t="inlineStr">
        <is>
          <t>P0(전)</t>
        </is>
      </c>
      <c r="E1708" s="43" t="inlineStr">
        <is>
          <t>북</t>
        </is>
      </c>
      <c r="F1708" s="44" t="n"/>
      <c r="G1708" s="29" t="n"/>
      <c r="H1708" s="42" t="n"/>
      <c r="I1708" s="40" t="n"/>
      <c r="J1708" s="40" t="n"/>
      <c r="K1708" s="40" t="n"/>
      <c r="L1708" s="30">
        <f>IF(COUNT(I1708:K1708)=0,"",MEDIAN(I1708:K1708))</f>
        <v/>
      </c>
      <c r="M1708" s="37" t="n"/>
      <c r="N1708" s="37" t="n"/>
      <c r="O1708" s="37" t="n"/>
      <c r="P1708" s="37" t="n"/>
      <c r="Q1708" s="37" t="n"/>
      <c r="R1708" s="37" t="n"/>
      <c r="S1708" s="37" t="n"/>
      <c r="T1708" s="37" t="n"/>
      <c r="U1708" s="37" t="n"/>
      <c r="V1708" s="37" t="n"/>
      <c r="W1708" s="37" t="n"/>
      <c r="X1708" s="28" t="n"/>
      <c r="Y1708" s="28" t="n"/>
      <c r="Z1708" s="28" t="n"/>
      <c r="AA1708" s="31" t="n"/>
      <c r="AB1708" s="31" t="n"/>
    </row>
    <row r="1709">
      <c r="A1709" s="25" t="inlineStr">
        <is>
          <t>S33</t>
        </is>
      </c>
      <c r="B1709" s="25" t="inlineStr">
        <is>
          <t>문산 신규점</t>
        </is>
      </c>
      <c r="C1709" s="25" t="inlineStr">
        <is>
          <t>S33-H북</t>
        </is>
      </c>
      <c r="D1709" s="25" t="inlineStr">
        <is>
          <t>측정</t>
        </is>
      </c>
      <c r="E1709" s="25" t="inlineStr">
        <is>
          <t>북</t>
        </is>
      </c>
      <c r="F1709" s="30" t="n">
        <v>0.5</v>
      </c>
      <c r="G1709" s="29" t="n"/>
      <c r="H1709" s="42" t="n"/>
      <c r="I1709" s="40" t="n"/>
      <c r="J1709" s="40" t="n"/>
      <c r="K1709" s="40" t="n"/>
      <c r="L1709" s="30">
        <f>IF(COUNT(I1709:K1709)=0,"",MEDIAN(I1709:K1709))</f>
        <v/>
      </c>
      <c r="M1709" s="25">
        <f>IF(COUNTIFS($C:$C,$C1709,$D:$D,"P0(전)",$L:$L,"&gt;0")&lt;&gt;1,"P0(전) 유효 1개 아님",IF(COUNTIFS($C:$C,$C1709,$D:$D,"P0(후)",$L:$L,"&gt;0")&lt;&gt;1,"P0(후) 유효 1개 아님",IF(NOT(AND(ISNUMBER(N1709),ISNUMBER(P1709),ISNUMBER(H1709))),"시각 결측",IF(P1709&lt;=N1709,"P0 시각 역전",IF(OR(H1709&lt;N1709,H1709&gt;P1709),"측정시각 구간 밖","OK")))))</f>
        <v/>
      </c>
      <c r="N1709" s="45">
        <f>IF(COUNTIFS($C:$C,$C1709,$D:$D,"P0(전)",$L:$L,"&gt;0")&lt;&gt;1,"",SUMIFS($H:$H,$C:$C,$C1709,$D:$D,"P0(전)"))</f>
        <v/>
      </c>
      <c r="O1709" s="30">
        <f>IF(COUNTIFS($C:$C,$C1709,$D:$D,"P0(전)",$L:$L,"&gt;0")&lt;&gt;1,"",SUMIFS($L:$L,$C:$C,$C1709,$D:$D,"P0(전)"))</f>
        <v/>
      </c>
      <c r="P1709" s="45">
        <f>IF(COUNTIFS($C:$C,$C1709,$D:$D,"P0(후)",$L:$L,"&gt;0")&lt;&gt;1,"",SUMIFS($H:$H,$C:$C,$C1709,$D:$D,"P0(후)"))</f>
        <v/>
      </c>
      <c r="Q1709" s="30">
        <f>IF(COUNTIFS($C:$C,$C1709,$D:$D,"P0(후)",$L:$L,"&gt;0")&lt;&gt;1,"",SUMIFS($L:$L,$C:$C,$C1709,$D:$D,"P0(후)"))</f>
        <v/>
      </c>
      <c r="R1709" s="30">
        <f>IF(M1709&lt;&gt;"OK","",O1709+(Q1709-O1709)*(H1709-N1709)/(P1709-N1709))</f>
        <v/>
      </c>
      <c r="S1709" s="30">
        <f>IF(OR(M1709&lt;&gt;"OK",NOT(ISNUMBER(L1709))),"",L1709-R1709)</f>
        <v/>
      </c>
      <c r="T1709" s="46">
        <f>IF(OR(NOT(ISNUMBER(S1709)),IF(ISNUMBER(G1709),G1709,F1709)=0),"",S1709/IF(ISNUMBER(G1709),G1709,F1709))</f>
        <v/>
      </c>
      <c r="U1709" s="46">
        <f>IF(ISNUMBER(T1709),ABS(T1709),"")</f>
        <v/>
      </c>
      <c r="V1709" s="46">
        <f>IF(OR($D1708&lt;&gt;"측정",$C1708&lt;&gt;$C1709,NOT(ISNUMBER(L1709)),NOT(ISNUMBER(L1708)),(IF(ISNUMBER(G1709),G1709,F1709)-IF(ISNUMBER(G1708),G1708,F1708))=0),"",(L1709-L1708)/(IF(ISNUMBER(G1709),G1709,F1709)-IF(ISNUMBER(G1708),G1708,F1708)))</f>
        <v/>
      </c>
      <c r="W1709" s="30">
        <f>IF(NOT(AND(ISNUMBER(N1709),ISNUMBER(P1709))),"",(P1709-N1709)*1440)</f>
        <v/>
      </c>
      <c r="X1709" s="28" t="n"/>
      <c r="Y1709" s="28" t="n"/>
      <c r="Z1709" s="28" t="n"/>
      <c r="AA1709" s="31" t="n"/>
      <c r="AB1709" s="31" t="n"/>
    </row>
    <row r="1710">
      <c r="A1710" s="25" t="inlineStr">
        <is>
          <t>S33</t>
        </is>
      </c>
      <c r="B1710" s="25" t="inlineStr">
        <is>
          <t>문산 신규점</t>
        </is>
      </c>
      <c r="C1710" s="25" t="inlineStr">
        <is>
          <t>S33-H북</t>
        </is>
      </c>
      <c r="D1710" s="25" t="inlineStr">
        <is>
          <t>측정</t>
        </is>
      </c>
      <c r="E1710" s="25" t="inlineStr">
        <is>
          <t>북</t>
        </is>
      </c>
      <c r="F1710" s="30" t="n">
        <v>1</v>
      </c>
      <c r="G1710" s="29" t="n"/>
      <c r="H1710" s="42" t="n"/>
      <c r="I1710" s="40" t="n"/>
      <c r="J1710" s="40" t="n"/>
      <c r="K1710" s="40" t="n"/>
      <c r="L1710" s="30">
        <f>IF(COUNT(I1710:K1710)=0,"",MEDIAN(I1710:K1710))</f>
        <v/>
      </c>
      <c r="M1710" s="25">
        <f>IF(COUNTIFS($C:$C,$C1710,$D:$D,"P0(전)",$L:$L,"&gt;0")&lt;&gt;1,"P0(전) 유효 1개 아님",IF(COUNTIFS($C:$C,$C1710,$D:$D,"P0(후)",$L:$L,"&gt;0")&lt;&gt;1,"P0(후) 유효 1개 아님",IF(NOT(AND(ISNUMBER(N1710),ISNUMBER(P1710),ISNUMBER(H1710))),"시각 결측",IF(P1710&lt;=N1710,"P0 시각 역전",IF(OR(H1710&lt;N1710,H1710&gt;P1710),"측정시각 구간 밖","OK")))))</f>
        <v/>
      </c>
      <c r="N1710" s="45">
        <f>IF(COUNTIFS($C:$C,$C1710,$D:$D,"P0(전)",$L:$L,"&gt;0")&lt;&gt;1,"",SUMIFS($H:$H,$C:$C,$C1710,$D:$D,"P0(전)"))</f>
        <v/>
      </c>
      <c r="O1710" s="30">
        <f>IF(COUNTIFS($C:$C,$C1710,$D:$D,"P0(전)",$L:$L,"&gt;0")&lt;&gt;1,"",SUMIFS($L:$L,$C:$C,$C1710,$D:$D,"P0(전)"))</f>
        <v/>
      </c>
      <c r="P1710" s="45">
        <f>IF(COUNTIFS($C:$C,$C1710,$D:$D,"P0(후)",$L:$L,"&gt;0")&lt;&gt;1,"",SUMIFS($H:$H,$C:$C,$C1710,$D:$D,"P0(후)"))</f>
        <v/>
      </c>
      <c r="Q1710" s="30">
        <f>IF(COUNTIFS($C:$C,$C1710,$D:$D,"P0(후)",$L:$L,"&gt;0")&lt;&gt;1,"",SUMIFS($L:$L,$C:$C,$C1710,$D:$D,"P0(후)"))</f>
        <v/>
      </c>
      <c r="R1710" s="30">
        <f>IF(M1710&lt;&gt;"OK","",O1710+(Q1710-O1710)*(H1710-N1710)/(P1710-N1710))</f>
        <v/>
      </c>
      <c r="S1710" s="30">
        <f>IF(OR(M1710&lt;&gt;"OK",NOT(ISNUMBER(L1710))),"",L1710-R1710)</f>
        <v/>
      </c>
      <c r="T1710" s="46">
        <f>IF(OR(NOT(ISNUMBER(S1710)),IF(ISNUMBER(G1710),G1710,F1710)=0),"",S1710/IF(ISNUMBER(G1710),G1710,F1710))</f>
        <v/>
      </c>
      <c r="U1710" s="46">
        <f>IF(ISNUMBER(T1710),ABS(T1710),"")</f>
        <v/>
      </c>
      <c r="V1710" s="46">
        <f>IF(OR($D1709&lt;&gt;"측정",$C1709&lt;&gt;$C1710,NOT(ISNUMBER(L1710)),NOT(ISNUMBER(L1709)),(IF(ISNUMBER(G1710),G1710,F1710)-IF(ISNUMBER(G1709),G1709,F1709))=0),"",(L1710-L1709)/(IF(ISNUMBER(G1710),G1710,F1710)-IF(ISNUMBER(G1709),G1709,F1709)))</f>
        <v/>
      </c>
      <c r="W1710" s="30">
        <f>IF(NOT(AND(ISNUMBER(N1710),ISNUMBER(P1710))),"",(P1710-N1710)*1440)</f>
        <v/>
      </c>
      <c r="X1710" s="28" t="n"/>
      <c r="Y1710" s="28" t="n"/>
      <c r="Z1710" s="28" t="n"/>
      <c r="AA1710" s="31" t="n"/>
      <c r="AB1710" s="31" t="n"/>
    </row>
    <row r="1711">
      <c r="A1711" s="25" t="inlineStr">
        <is>
          <t>S33</t>
        </is>
      </c>
      <c r="B1711" s="25" t="inlineStr">
        <is>
          <t>문산 신규점</t>
        </is>
      </c>
      <c r="C1711" s="25" t="inlineStr">
        <is>
          <t>S33-H북</t>
        </is>
      </c>
      <c r="D1711" s="25" t="inlineStr">
        <is>
          <t>측정</t>
        </is>
      </c>
      <c r="E1711" s="25" t="inlineStr">
        <is>
          <t>북</t>
        </is>
      </c>
      <c r="F1711" s="30" t="n">
        <v>2</v>
      </c>
      <c r="G1711" s="29" t="n"/>
      <c r="H1711" s="42" t="n"/>
      <c r="I1711" s="40" t="n"/>
      <c r="J1711" s="40" t="n"/>
      <c r="K1711" s="40" t="n"/>
      <c r="L1711" s="30">
        <f>IF(COUNT(I1711:K1711)=0,"",MEDIAN(I1711:K1711))</f>
        <v/>
      </c>
      <c r="M1711" s="25">
        <f>IF(COUNTIFS($C:$C,$C1711,$D:$D,"P0(전)",$L:$L,"&gt;0")&lt;&gt;1,"P0(전) 유효 1개 아님",IF(COUNTIFS($C:$C,$C1711,$D:$D,"P0(후)",$L:$L,"&gt;0")&lt;&gt;1,"P0(후) 유효 1개 아님",IF(NOT(AND(ISNUMBER(N1711),ISNUMBER(P1711),ISNUMBER(H1711))),"시각 결측",IF(P1711&lt;=N1711,"P0 시각 역전",IF(OR(H1711&lt;N1711,H1711&gt;P1711),"측정시각 구간 밖","OK")))))</f>
        <v/>
      </c>
      <c r="N1711" s="45">
        <f>IF(COUNTIFS($C:$C,$C1711,$D:$D,"P0(전)",$L:$L,"&gt;0")&lt;&gt;1,"",SUMIFS($H:$H,$C:$C,$C1711,$D:$D,"P0(전)"))</f>
        <v/>
      </c>
      <c r="O1711" s="30">
        <f>IF(COUNTIFS($C:$C,$C1711,$D:$D,"P0(전)",$L:$L,"&gt;0")&lt;&gt;1,"",SUMIFS($L:$L,$C:$C,$C1711,$D:$D,"P0(전)"))</f>
        <v/>
      </c>
      <c r="P1711" s="45">
        <f>IF(COUNTIFS($C:$C,$C1711,$D:$D,"P0(후)",$L:$L,"&gt;0")&lt;&gt;1,"",SUMIFS($H:$H,$C:$C,$C1711,$D:$D,"P0(후)"))</f>
        <v/>
      </c>
      <c r="Q1711" s="30">
        <f>IF(COUNTIFS($C:$C,$C1711,$D:$D,"P0(후)",$L:$L,"&gt;0")&lt;&gt;1,"",SUMIFS($L:$L,$C:$C,$C1711,$D:$D,"P0(후)"))</f>
        <v/>
      </c>
      <c r="R1711" s="30">
        <f>IF(M1711&lt;&gt;"OK","",O1711+(Q1711-O1711)*(H1711-N1711)/(P1711-N1711))</f>
        <v/>
      </c>
      <c r="S1711" s="30">
        <f>IF(OR(M1711&lt;&gt;"OK",NOT(ISNUMBER(L1711))),"",L1711-R1711)</f>
        <v/>
      </c>
      <c r="T1711" s="46">
        <f>IF(OR(NOT(ISNUMBER(S1711)),IF(ISNUMBER(G1711),G1711,F1711)=0),"",S1711/IF(ISNUMBER(G1711),G1711,F1711))</f>
        <v/>
      </c>
      <c r="U1711" s="46">
        <f>IF(ISNUMBER(T1711),ABS(T1711),"")</f>
        <v/>
      </c>
      <c r="V1711" s="46">
        <f>IF(OR($D1710&lt;&gt;"측정",$C1710&lt;&gt;$C1711,NOT(ISNUMBER(L1711)),NOT(ISNUMBER(L1710)),(IF(ISNUMBER(G1711),G1711,F1711)-IF(ISNUMBER(G1710),G1710,F1710))=0),"",(L1711-L1710)/(IF(ISNUMBER(G1711),G1711,F1711)-IF(ISNUMBER(G1710),G1710,F1710)))</f>
        <v/>
      </c>
      <c r="W1711" s="30">
        <f>IF(NOT(AND(ISNUMBER(N1711),ISNUMBER(P1711))),"",(P1711-N1711)*1440)</f>
        <v/>
      </c>
      <c r="X1711" s="28" t="n"/>
      <c r="Y1711" s="28" t="n"/>
      <c r="Z1711" s="28" t="n"/>
      <c r="AA1711" s="31" t="n"/>
      <c r="AB1711" s="31" t="n"/>
    </row>
    <row r="1712">
      <c r="A1712" s="25" t="inlineStr">
        <is>
          <t>S33</t>
        </is>
      </c>
      <c r="B1712" s="25" t="inlineStr">
        <is>
          <t>문산 신규점</t>
        </is>
      </c>
      <c r="C1712" s="25" t="inlineStr">
        <is>
          <t>S33-H북</t>
        </is>
      </c>
      <c r="D1712" s="25" t="inlineStr">
        <is>
          <t>측정</t>
        </is>
      </c>
      <c r="E1712" s="25" t="inlineStr">
        <is>
          <t>북</t>
        </is>
      </c>
      <c r="F1712" s="30" t="n">
        <v>3</v>
      </c>
      <c r="G1712" s="29" t="n"/>
      <c r="H1712" s="42" t="n"/>
      <c r="I1712" s="40" t="n"/>
      <c r="J1712" s="40" t="n"/>
      <c r="K1712" s="40" t="n"/>
      <c r="L1712" s="30">
        <f>IF(COUNT(I1712:K1712)=0,"",MEDIAN(I1712:K1712))</f>
        <v/>
      </c>
      <c r="M1712" s="25">
        <f>IF(COUNTIFS($C:$C,$C1712,$D:$D,"P0(전)",$L:$L,"&gt;0")&lt;&gt;1,"P0(전) 유효 1개 아님",IF(COUNTIFS($C:$C,$C1712,$D:$D,"P0(후)",$L:$L,"&gt;0")&lt;&gt;1,"P0(후) 유효 1개 아님",IF(NOT(AND(ISNUMBER(N1712),ISNUMBER(P1712),ISNUMBER(H1712))),"시각 결측",IF(P1712&lt;=N1712,"P0 시각 역전",IF(OR(H1712&lt;N1712,H1712&gt;P1712),"측정시각 구간 밖","OK")))))</f>
        <v/>
      </c>
      <c r="N1712" s="45">
        <f>IF(COUNTIFS($C:$C,$C1712,$D:$D,"P0(전)",$L:$L,"&gt;0")&lt;&gt;1,"",SUMIFS($H:$H,$C:$C,$C1712,$D:$D,"P0(전)"))</f>
        <v/>
      </c>
      <c r="O1712" s="30">
        <f>IF(COUNTIFS($C:$C,$C1712,$D:$D,"P0(전)",$L:$L,"&gt;0")&lt;&gt;1,"",SUMIFS($L:$L,$C:$C,$C1712,$D:$D,"P0(전)"))</f>
        <v/>
      </c>
      <c r="P1712" s="45">
        <f>IF(COUNTIFS($C:$C,$C1712,$D:$D,"P0(후)",$L:$L,"&gt;0")&lt;&gt;1,"",SUMIFS($H:$H,$C:$C,$C1712,$D:$D,"P0(후)"))</f>
        <v/>
      </c>
      <c r="Q1712" s="30">
        <f>IF(COUNTIFS($C:$C,$C1712,$D:$D,"P0(후)",$L:$L,"&gt;0")&lt;&gt;1,"",SUMIFS($L:$L,$C:$C,$C1712,$D:$D,"P0(후)"))</f>
        <v/>
      </c>
      <c r="R1712" s="30">
        <f>IF(M1712&lt;&gt;"OK","",O1712+(Q1712-O1712)*(H1712-N1712)/(P1712-N1712))</f>
        <v/>
      </c>
      <c r="S1712" s="30">
        <f>IF(OR(M1712&lt;&gt;"OK",NOT(ISNUMBER(L1712))),"",L1712-R1712)</f>
        <v/>
      </c>
      <c r="T1712" s="46">
        <f>IF(OR(NOT(ISNUMBER(S1712)),IF(ISNUMBER(G1712),G1712,F1712)=0),"",S1712/IF(ISNUMBER(G1712),G1712,F1712))</f>
        <v/>
      </c>
      <c r="U1712" s="46">
        <f>IF(ISNUMBER(T1712),ABS(T1712),"")</f>
        <v/>
      </c>
      <c r="V1712" s="46">
        <f>IF(OR($D1711&lt;&gt;"측정",$C1711&lt;&gt;$C1712,NOT(ISNUMBER(L1712)),NOT(ISNUMBER(L1711)),(IF(ISNUMBER(G1712),G1712,F1712)-IF(ISNUMBER(G1711),G1711,F1711))=0),"",(L1712-L1711)/(IF(ISNUMBER(G1712),G1712,F1712)-IF(ISNUMBER(G1711),G1711,F1711)))</f>
        <v/>
      </c>
      <c r="W1712" s="30">
        <f>IF(NOT(AND(ISNUMBER(N1712),ISNUMBER(P1712))),"",(P1712-N1712)*1440)</f>
        <v/>
      </c>
      <c r="X1712" s="28" t="n"/>
      <c r="Y1712" s="28" t="n"/>
      <c r="Z1712" s="28" t="n"/>
      <c r="AA1712" s="31" t="n"/>
      <c r="AB1712" s="31" t="n"/>
    </row>
    <row r="1713">
      <c r="A1713" s="25" t="inlineStr">
        <is>
          <t>S33</t>
        </is>
      </c>
      <c r="B1713" s="25" t="inlineStr">
        <is>
          <t>문산 신규점</t>
        </is>
      </c>
      <c r="C1713" s="25" t="inlineStr">
        <is>
          <t>S33-H북</t>
        </is>
      </c>
      <c r="D1713" s="25" t="inlineStr">
        <is>
          <t>측정</t>
        </is>
      </c>
      <c r="E1713" s="25" t="inlineStr">
        <is>
          <t>북</t>
        </is>
      </c>
      <c r="F1713" s="30" t="n">
        <v>4</v>
      </c>
      <c r="G1713" s="29" t="n"/>
      <c r="H1713" s="42" t="n"/>
      <c r="I1713" s="40" t="n"/>
      <c r="J1713" s="40" t="n"/>
      <c r="K1713" s="40" t="n"/>
      <c r="L1713" s="30">
        <f>IF(COUNT(I1713:K1713)=0,"",MEDIAN(I1713:K1713))</f>
        <v/>
      </c>
      <c r="M1713" s="25">
        <f>IF(COUNTIFS($C:$C,$C1713,$D:$D,"P0(전)",$L:$L,"&gt;0")&lt;&gt;1,"P0(전) 유효 1개 아님",IF(COUNTIFS($C:$C,$C1713,$D:$D,"P0(후)",$L:$L,"&gt;0")&lt;&gt;1,"P0(후) 유효 1개 아님",IF(NOT(AND(ISNUMBER(N1713),ISNUMBER(P1713),ISNUMBER(H1713))),"시각 결측",IF(P1713&lt;=N1713,"P0 시각 역전",IF(OR(H1713&lt;N1713,H1713&gt;P1713),"측정시각 구간 밖","OK")))))</f>
        <v/>
      </c>
      <c r="N1713" s="45">
        <f>IF(COUNTIFS($C:$C,$C1713,$D:$D,"P0(전)",$L:$L,"&gt;0")&lt;&gt;1,"",SUMIFS($H:$H,$C:$C,$C1713,$D:$D,"P0(전)"))</f>
        <v/>
      </c>
      <c r="O1713" s="30">
        <f>IF(COUNTIFS($C:$C,$C1713,$D:$D,"P0(전)",$L:$L,"&gt;0")&lt;&gt;1,"",SUMIFS($L:$L,$C:$C,$C1713,$D:$D,"P0(전)"))</f>
        <v/>
      </c>
      <c r="P1713" s="45">
        <f>IF(COUNTIFS($C:$C,$C1713,$D:$D,"P0(후)",$L:$L,"&gt;0")&lt;&gt;1,"",SUMIFS($H:$H,$C:$C,$C1713,$D:$D,"P0(후)"))</f>
        <v/>
      </c>
      <c r="Q1713" s="30">
        <f>IF(COUNTIFS($C:$C,$C1713,$D:$D,"P0(후)",$L:$L,"&gt;0")&lt;&gt;1,"",SUMIFS($L:$L,$C:$C,$C1713,$D:$D,"P0(후)"))</f>
        <v/>
      </c>
      <c r="R1713" s="30">
        <f>IF(M1713&lt;&gt;"OK","",O1713+(Q1713-O1713)*(H1713-N1713)/(P1713-N1713))</f>
        <v/>
      </c>
      <c r="S1713" s="30">
        <f>IF(OR(M1713&lt;&gt;"OK",NOT(ISNUMBER(L1713))),"",L1713-R1713)</f>
        <v/>
      </c>
      <c r="T1713" s="46">
        <f>IF(OR(NOT(ISNUMBER(S1713)),IF(ISNUMBER(G1713),G1713,F1713)=0),"",S1713/IF(ISNUMBER(G1713),G1713,F1713))</f>
        <v/>
      </c>
      <c r="U1713" s="46">
        <f>IF(ISNUMBER(T1713),ABS(T1713),"")</f>
        <v/>
      </c>
      <c r="V1713" s="46">
        <f>IF(OR($D1712&lt;&gt;"측정",$C1712&lt;&gt;$C1713,NOT(ISNUMBER(L1713)),NOT(ISNUMBER(L1712)),(IF(ISNUMBER(G1713),G1713,F1713)-IF(ISNUMBER(G1712),G1712,F1712))=0),"",(L1713-L1712)/(IF(ISNUMBER(G1713),G1713,F1713)-IF(ISNUMBER(G1712),G1712,F1712)))</f>
        <v/>
      </c>
      <c r="W1713" s="30">
        <f>IF(NOT(AND(ISNUMBER(N1713),ISNUMBER(P1713))),"",(P1713-N1713)*1440)</f>
        <v/>
      </c>
      <c r="X1713" s="28" t="n"/>
      <c r="Y1713" s="28" t="n"/>
      <c r="Z1713" s="28" t="n"/>
      <c r="AA1713" s="31" t="n"/>
      <c r="AB1713" s="31" t="n"/>
    </row>
    <row r="1714">
      <c r="A1714" s="25" t="inlineStr">
        <is>
          <t>S33</t>
        </is>
      </c>
      <c r="B1714" s="25" t="inlineStr">
        <is>
          <t>문산 신규점</t>
        </is>
      </c>
      <c r="C1714" s="25" t="inlineStr">
        <is>
          <t>S33-H북</t>
        </is>
      </c>
      <c r="D1714" s="25" t="inlineStr">
        <is>
          <t>측정</t>
        </is>
      </c>
      <c r="E1714" s="25" t="inlineStr">
        <is>
          <t>북</t>
        </is>
      </c>
      <c r="F1714" s="30" t="n">
        <v>5</v>
      </c>
      <c r="G1714" s="29" t="n"/>
      <c r="H1714" s="42" t="n"/>
      <c r="I1714" s="40" t="n"/>
      <c r="J1714" s="40" t="n"/>
      <c r="K1714" s="40" t="n"/>
      <c r="L1714" s="30">
        <f>IF(COUNT(I1714:K1714)=0,"",MEDIAN(I1714:K1714))</f>
        <v/>
      </c>
      <c r="M1714" s="25">
        <f>IF(COUNTIFS($C:$C,$C1714,$D:$D,"P0(전)",$L:$L,"&gt;0")&lt;&gt;1,"P0(전) 유효 1개 아님",IF(COUNTIFS($C:$C,$C1714,$D:$D,"P0(후)",$L:$L,"&gt;0")&lt;&gt;1,"P0(후) 유효 1개 아님",IF(NOT(AND(ISNUMBER(N1714),ISNUMBER(P1714),ISNUMBER(H1714))),"시각 결측",IF(P1714&lt;=N1714,"P0 시각 역전",IF(OR(H1714&lt;N1714,H1714&gt;P1714),"측정시각 구간 밖","OK")))))</f>
        <v/>
      </c>
      <c r="N1714" s="45">
        <f>IF(COUNTIFS($C:$C,$C1714,$D:$D,"P0(전)",$L:$L,"&gt;0")&lt;&gt;1,"",SUMIFS($H:$H,$C:$C,$C1714,$D:$D,"P0(전)"))</f>
        <v/>
      </c>
      <c r="O1714" s="30">
        <f>IF(COUNTIFS($C:$C,$C1714,$D:$D,"P0(전)",$L:$L,"&gt;0")&lt;&gt;1,"",SUMIFS($L:$L,$C:$C,$C1714,$D:$D,"P0(전)"))</f>
        <v/>
      </c>
      <c r="P1714" s="45">
        <f>IF(COUNTIFS($C:$C,$C1714,$D:$D,"P0(후)",$L:$L,"&gt;0")&lt;&gt;1,"",SUMIFS($H:$H,$C:$C,$C1714,$D:$D,"P0(후)"))</f>
        <v/>
      </c>
      <c r="Q1714" s="30">
        <f>IF(COUNTIFS($C:$C,$C1714,$D:$D,"P0(후)",$L:$L,"&gt;0")&lt;&gt;1,"",SUMIFS($L:$L,$C:$C,$C1714,$D:$D,"P0(후)"))</f>
        <v/>
      </c>
      <c r="R1714" s="30">
        <f>IF(M1714&lt;&gt;"OK","",O1714+(Q1714-O1714)*(H1714-N1714)/(P1714-N1714))</f>
        <v/>
      </c>
      <c r="S1714" s="30">
        <f>IF(OR(M1714&lt;&gt;"OK",NOT(ISNUMBER(L1714))),"",L1714-R1714)</f>
        <v/>
      </c>
      <c r="T1714" s="46">
        <f>IF(OR(NOT(ISNUMBER(S1714)),IF(ISNUMBER(G1714),G1714,F1714)=0),"",S1714/IF(ISNUMBER(G1714),G1714,F1714))</f>
        <v/>
      </c>
      <c r="U1714" s="46">
        <f>IF(ISNUMBER(T1714),ABS(T1714),"")</f>
        <v/>
      </c>
      <c r="V1714" s="46">
        <f>IF(OR($D1713&lt;&gt;"측정",$C1713&lt;&gt;$C1714,NOT(ISNUMBER(L1714)),NOT(ISNUMBER(L1713)),(IF(ISNUMBER(G1714),G1714,F1714)-IF(ISNUMBER(G1713),G1713,F1713))=0),"",(L1714-L1713)/(IF(ISNUMBER(G1714),G1714,F1714)-IF(ISNUMBER(G1713),G1713,F1713)))</f>
        <v/>
      </c>
      <c r="W1714" s="30">
        <f>IF(NOT(AND(ISNUMBER(N1714),ISNUMBER(P1714))),"",(P1714-N1714)*1440)</f>
        <v/>
      </c>
      <c r="X1714" s="28" t="n"/>
      <c r="Y1714" s="28" t="n"/>
      <c r="Z1714" s="28" t="n"/>
      <c r="AA1714" s="31" t="n"/>
      <c r="AB1714" s="31" t="n"/>
    </row>
    <row r="1715">
      <c r="A1715" s="25" t="inlineStr">
        <is>
          <t>S33</t>
        </is>
      </c>
      <c r="B1715" s="25" t="inlineStr">
        <is>
          <t>문산 신규점</t>
        </is>
      </c>
      <c r="C1715" s="25" t="inlineStr">
        <is>
          <t>S33-H북</t>
        </is>
      </c>
      <c r="D1715" s="25" t="inlineStr">
        <is>
          <t>측정</t>
        </is>
      </c>
      <c r="E1715" s="25" t="inlineStr">
        <is>
          <t>북</t>
        </is>
      </c>
      <c r="F1715" s="30" t="n">
        <v>6</v>
      </c>
      <c r="G1715" s="29" t="n"/>
      <c r="H1715" s="42" t="n"/>
      <c r="I1715" s="40" t="n"/>
      <c r="J1715" s="40" t="n"/>
      <c r="K1715" s="40" t="n"/>
      <c r="L1715" s="30">
        <f>IF(COUNT(I1715:K1715)=0,"",MEDIAN(I1715:K1715))</f>
        <v/>
      </c>
      <c r="M1715" s="25">
        <f>IF(COUNTIFS($C:$C,$C1715,$D:$D,"P0(전)",$L:$L,"&gt;0")&lt;&gt;1,"P0(전) 유효 1개 아님",IF(COUNTIFS($C:$C,$C1715,$D:$D,"P0(후)",$L:$L,"&gt;0")&lt;&gt;1,"P0(후) 유효 1개 아님",IF(NOT(AND(ISNUMBER(N1715),ISNUMBER(P1715),ISNUMBER(H1715))),"시각 결측",IF(P1715&lt;=N1715,"P0 시각 역전",IF(OR(H1715&lt;N1715,H1715&gt;P1715),"측정시각 구간 밖","OK")))))</f>
        <v/>
      </c>
      <c r="N1715" s="45">
        <f>IF(COUNTIFS($C:$C,$C1715,$D:$D,"P0(전)",$L:$L,"&gt;0")&lt;&gt;1,"",SUMIFS($H:$H,$C:$C,$C1715,$D:$D,"P0(전)"))</f>
        <v/>
      </c>
      <c r="O1715" s="30">
        <f>IF(COUNTIFS($C:$C,$C1715,$D:$D,"P0(전)",$L:$L,"&gt;0")&lt;&gt;1,"",SUMIFS($L:$L,$C:$C,$C1715,$D:$D,"P0(전)"))</f>
        <v/>
      </c>
      <c r="P1715" s="45">
        <f>IF(COUNTIFS($C:$C,$C1715,$D:$D,"P0(후)",$L:$L,"&gt;0")&lt;&gt;1,"",SUMIFS($H:$H,$C:$C,$C1715,$D:$D,"P0(후)"))</f>
        <v/>
      </c>
      <c r="Q1715" s="30">
        <f>IF(COUNTIFS($C:$C,$C1715,$D:$D,"P0(후)",$L:$L,"&gt;0")&lt;&gt;1,"",SUMIFS($L:$L,$C:$C,$C1715,$D:$D,"P0(후)"))</f>
        <v/>
      </c>
      <c r="R1715" s="30">
        <f>IF(M1715&lt;&gt;"OK","",O1715+(Q1715-O1715)*(H1715-N1715)/(P1715-N1715))</f>
        <v/>
      </c>
      <c r="S1715" s="30">
        <f>IF(OR(M1715&lt;&gt;"OK",NOT(ISNUMBER(L1715))),"",L1715-R1715)</f>
        <v/>
      </c>
      <c r="T1715" s="46">
        <f>IF(OR(NOT(ISNUMBER(S1715)),IF(ISNUMBER(G1715),G1715,F1715)=0),"",S1715/IF(ISNUMBER(G1715),G1715,F1715))</f>
        <v/>
      </c>
      <c r="U1715" s="46">
        <f>IF(ISNUMBER(T1715),ABS(T1715),"")</f>
        <v/>
      </c>
      <c r="V1715" s="46">
        <f>IF(OR($D1714&lt;&gt;"측정",$C1714&lt;&gt;$C1715,NOT(ISNUMBER(L1715)),NOT(ISNUMBER(L1714)),(IF(ISNUMBER(G1715),G1715,F1715)-IF(ISNUMBER(G1714),G1714,F1714))=0),"",(L1715-L1714)/(IF(ISNUMBER(G1715),G1715,F1715)-IF(ISNUMBER(G1714),G1714,F1714)))</f>
        <v/>
      </c>
      <c r="W1715" s="30">
        <f>IF(NOT(AND(ISNUMBER(N1715),ISNUMBER(P1715))),"",(P1715-N1715)*1440)</f>
        <v/>
      </c>
      <c r="X1715" s="28" t="n"/>
      <c r="Y1715" s="28" t="n"/>
      <c r="Z1715" s="28" t="n"/>
      <c r="AA1715" s="31" t="n"/>
      <c r="AB1715" s="31" t="n"/>
    </row>
    <row r="1716">
      <c r="A1716" s="25" t="inlineStr">
        <is>
          <t>S33</t>
        </is>
      </c>
      <c r="B1716" s="25" t="inlineStr">
        <is>
          <t>문산 신규점</t>
        </is>
      </c>
      <c r="C1716" s="25" t="inlineStr">
        <is>
          <t>S33-H북</t>
        </is>
      </c>
      <c r="D1716" s="25" t="inlineStr">
        <is>
          <t>측정</t>
        </is>
      </c>
      <c r="E1716" s="25" t="inlineStr">
        <is>
          <t>북</t>
        </is>
      </c>
      <c r="F1716" s="30" t="n">
        <v>7</v>
      </c>
      <c r="G1716" s="29" t="n"/>
      <c r="H1716" s="42" t="n"/>
      <c r="I1716" s="40" t="n"/>
      <c r="J1716" s="40" t="n"/>
      <c r="K1716" s="40" t="n"/>
      <c r="L1716" s="30">
        <f>IF(COUNT(I1716:K1716)=0,"",MEDIAN(I1716:K1716))</f>
        <v/>
      </c>
      <c r="M1716" s="25">
        <f>IF(COUNTIFS($C:$C,$C1716,$D:$D,"P0(전)",$L:$L,"&gt;0")&lt;&gt;1,"P0(전) 유효 1개 아님",IF(COUNTIFS($C:$C,$C1716,$D:$D,"P0(후)",$L:$L,"&gt;0")&lt;&gt;1,"P0(후) 유효 1개 아님",IF(NOT(AND(ISNUMBER(N1716),ISNUMBER(P1716),ISNUMBER(H1716))),"시각 결측",IF(P1716&lt;=N1716,"P0 시각 역전",IF(OR(H1716&lt;N1716,H1716&gt;P1716),"측정시각 구간 밖","OK")))))</f>
        <v/>
      </c>
      <c r="N1716" s="45">
        <f>IF(COUNTIFS($C:$C,$C1716,$D:$D,"P0(전)",$L:$L,"&gt;0")&lt;&gt;1,"",SUMIFS($H:$H,$C:$C,$C1716,$D:$D,"P0(전)"))</f>
        <v/>
      </c>
      <c r="O1716" s="30">
        <f>IF(COUNTIFS($C:$C,$C1716,$D:$D,"P0(전)",$L:$L,"&gt;0")&lt;&gt;1,"",SUMIFS($L:$L,$C:$C,$C1716,$D:$D,"P0(전)"))</f>
        <v/>
      </c>
      <c r="P1716" s="45">
        <f>IF(COUNTIFS($C:$C,$C1716,$D:$D,"P0(후)",$L:$L,"&gt;0")&lt;&gt;1,"",SUMIFS($H:$H,$C:$C,$C1716,$D:$D,"P0(후)"))</f>
        <v/>
      </c>
      <c r="Q1716" s="30">
        <f>IF(COUNTIFS($C:$C,$C1716,$D:$D,"P0(후)",$L:$L,"&gt;0")&lt;&gt;1,"",SUMIFS($L:$L,$C:$C,$C1716,$D:$D,"P0(후)"))</f>
        <v/>
      </c>
      <c r="R1716" s="30">
        <f>IF(M1716&lt;&gt;"OK","",O1716+(Q1716-O1716)*(H1716-N1716)/(P1716-N1716))</f>
        <v/>
      </c>
      <c r="S1716" s="30">
        <f>IF(OR(M1716&lt;&gt;"OK",NOT(ISNUMBER(L1716))),"",L1716-R1716)</f>
        <v/>
      </c>
      <c r="T1716" s="46">
        <f>IF(OR(NOT(ISNUMBER(S1716)),IF(ISNUMBER(G1716),G1716,F1716)=0),"",S1716/IF(ISNUMBER(G1716),G1716,F1716))</f>
        <v/>
      </c>
      <c r="U1716" s="46">
        <f>IF(ISNUMBER(T1716),ABS(T1716),"")</f>
        <v/>
      </c>
      <c r="V1716" s="46">
        <f>IF(OR($D1715&lt;&gt;"측정",$C1715&lt;&gt;$C1716,NOT(ISNUMBER(L1716)),NOT(ISNUMBER(L1715)),(IF(ISNUMBER(G1716),G1716,F1716)-IF(ISNUMBER(G1715),G1715,F1715))=0),"",(L1716-L1715)/(IF(ISNUMBER(G1716),G1716,F1716)-IF(ISNUMBER(G1715),G1715,F1715)))</f>
        <v/>
      </c>
      <c r="W1716" s="30">
        <f>IF(NOT(AND(ISNUMBER(N1716),ISNUMBER(P1716))),"",(P1716-N1716)*1440)</f>
        <v/>
      </c>
      <c r="X1716" s="28" t="n"/>
      <c r="Y1716" s="28" t="n"/>
      <c r="Z1716" s="28" t="n"/>
      <c r="AA1716" s="31" t="n"/>
      <c r="AB1716" s="31" t="n"/>
    </row>
    <row r="1717">
      <c r="A1717" s="25" t="inlineStr">
        <is>
          <t>S33</t>
        </is>
      </c>
      <c r="B1717" s="25" t="inlineStr">
        <is>
          <t>문산 신규점</t>
        </is>
      </c>
      <c r="C1717" s="25" t="inlineStr">
        <is>
          <t>S33-H북</t>
        </is>
      </c>
      <c r="D1717" s="25" t="inlineStr">
        <is>
          <t>측정</t>
        </is>
      </c>
      <c r="E1717" s="25" t="inlineStr">
        <is>
          <t>북</t>
        </is>
      </c>
      <c r="F1717" s="30" t="n">
        <v>8</v>
      </c>
      <c r="G1717" s="29" t="n"/>
      <c r="H1717" s="42" t="n"/>
      <c r="I1717" s="40" t="n"/>
      <c r="J1717" s="40" t="n"/>
      <c r="K1717" s="40" t="n"/>
      <c r="L1717" s="30">
        <f>IF(COUNT(I1717:K1717)=0,"",MEDIAN(I1717:K1717))</f>
        <v/>
      </c>
      <c r="M1717" s="25">
        <f>IF(COUNTIFS($C:$C,$C1717,$D:$D,"P0(전)",$L:$L,"&gt;0")&lt;&gt;1,"P0(전) 유효 1개 아님",IF(COUNTIFS($C:$C,$C1717,$D:$D,"P0(후)",$L:$L,"&gt;0")&lt;&gt;1,"P0(후) 유효 1개 아님",IF(NOT(AND(ISNUMBER(N1717),ISNUMBER(P1717),ISNUMBER(H1717))),"시각 결측",IF(P1717&lt;=N1717,"P0 시각 역전",IF(OR(H1717&lt;N1717,H1717&gt;P1717),"측정시각 구간 밖","OK")))))</f>
        <v/>
      </c>
      <c r="N1717" s="45">
        <f>IF(COUNTIFS($C:$C,$C1717,$D:$D,"P0(전)",$L:$L,"&gt;0")&lt;&gt;1,"",SUMIFS($H:$H,$C:$C,$C1717,$D:$D,"P0(전)"))</f>
        <v/>
      </c>
      <c r="O1717" s="30">
        <f>IF(COUNTIFS($C:$C,$C1717,$D:$D,"P0(전)",$L:$L,"&gt;0")&lt;&gt;1,"",SUMIFS($L:$L,$C:$C,$C1717,$D:$D,"P0(전)"))</f>
        <v/>
      </c>
      <c r="P1717" s="45">
        <f>IF(COUNTIFS($C:$C,$C1717,$D:$D,"P0(후)",$L:$L,"&gt;0")&lt;&gt;1,"",SUMIFS($H:$H,$C:$C,$C1717,$D:$D,"P0(후)"))</f>
        <v/>
      </c>
      <c r="Q1717" s="30">
        <f>IF(COUNTIFS($C:$C,$C1717,$D:$D,"P0(후)",$L:$L,"&gt;0")&lt;&gt;1,"",SUMIFS($L:$L,$C:$C,$C1717,$D:$D,"P0(후)"))</f>
        <v/>
      </c>
      <c r="R1717" s="30">
        <f>IF(M1717&lt;&gt;"OK","",O1717+(Q1717-O1717)*(H1717-N1717)/(P1717-N1717))</f>
        <v/>
      </c>
      <c r="S1717" s="30">
        <f>IF(OR(M1717&lt;&gt;"OK",NOT(ISNUMBER(L1717))),"",L1717-R1717)</f>
        <v/>
      </c>
      <c r="T1717" s="46">
        <f>IF(OR(NOT(ISNUMBER(S1717)),IF(ISNUMBER(G1717),G1717,F1717)=0),"",S1717/IF(ISNUMBER(G1717),G1717,F1717))</f>
        <v/>
      </c>
      <c r="U1717" s="46">
        <f>IF(ISNUMBER(T1717),ABS(T1717),"")</f>
        <v/>
      </c>
      <c r="V1717" s="46">
        <f>IF(OR($D1716&lt;&gt;"측정",$C1716&lt;&gt;$C1717,NOT(ISNUMBER(L1717)),NOT(ISNUMBER(L1716)),(IF(ISNUMBER(G1717),G1717,F1717)-IF(ISNUMBER(G1716),G1716,F1716))=0),"",(L1717-L1716)/(IF(ISNUMBER(G1717),G1717,F1717)-IF(ISNUMBER(G1716),G1716,F1716)))</f>
        <v/>
      </c>
      <c r="W1717" s="30">
        <f>IF(NOT(AND(ISNUMBER(N1717),ISNUMBER(P1717))),"",(P1717-N1717)*1440)</f>
        <v/>
      </c>
      <c r="X1717" s="28" t="n"/>
      <c r="Y1717" s="28" t="n"/>
      <c r="Z1717" s="28" t="n"/>
      <c r="AA1717" s="31" t="n"/>
      <c r="AB1717" s="31" t="n"/>
    </row>
    <row r="1718">
      <c r="A1718" s="25" t="inlineStr">
        <is>
          <t>S33</t>
        </is>
      </c>
      <c r="B1718" s="25" t="inlineStr">
        <is>
          <t>문산 신규점</t>
        </is>
      </c>
      <c r="C1718" s="25" t="inlineStr">
        <is>
          <t>S33-H북</t>
        </is>
      </c>
      <c r="D1718" s="25" t="inlineStr">
        <is>
          <t>측정</t>
        </is>
      </c>
      <c r="E1718" s="25" t="inlineStr">
        <is>
          <t>북</t>
        </is>
      </c>
      <c r="F1718" s="30" t="n">
        <v>9</v>
      </c>
      <c r="G1718" s="29" t="n"/>
      <c r="H1718" s="42" t="n"/>
      <c r="I1718" s="40" t="n"/>
      <c r="J1718" s="40" t="n"/>
      <c r="K1718" s="40" t="n"/>
      <c r="L1718" s="30">
        <f>IF(COUNT(I1718:K1718)=0,"",MEDIAN(I1718:K1718))</f>
        <v/>
      </c>
      <c r="M1718" s="25">
        <f>IF(COUNTIFS($C:$C,$C1718,$D:$D,"P0(전)",$L:$L,"&gt;0")&lt;&gt;1,"P0(전) 유효 1개 아님",IF(COUNTIFS($C:$C,$C1718,$D:$D,"P0(후)",$L:$L,"&gt;0")&lt;&gt;1,"P0(후) 유효 1개 아님",IF(NOT(AND(ISNUMBER(N1718),ISNUMBER(P1718),ISNUMBER(H1718))),"시각 결측",IF(P1718&lt;=N1718,"P0 시각 역전",IF(OR(H1718&lt;N1718,H1718&gt;P1718),"측정시각 구간 밖","OK")))))</f>
        <v/>
      </c>
      <c r="N1718" s="45">
        <f>IF(COUNTIFS($C:$C,$C1718,$D:$D,"P0(전)",$L:$L,"&gt;0")&lt;&gt;1,"",SUMIFS($H:$H,$C:$C,$C1718,$D:$D,"P0(전)"))</f>
        <v/>
      </c>
      <c r="O1718" s="30">
        <f>IF(COUNTIFS($C:$C,$C1718,$D:$D,"P0(전)",$L:$L,"&gt;0")&lt;&gt;1,"",SUMIFS($L:$L,$C:$C,$C1718,$D:$D,"P0(전)"))</f>
        <v/>
      </c>
      <c r="P1718" s="45">
        <f>IF(COUNTIFS($C:$C,$C1718,$D:$D,"P0(후)",$L:$L,"&gt;0")&lt;&gt;1,"",SUMIFS($H:$H,$C:$C,$C1718,$D:$D,"P0(후)"))</f>
        <v/>
      </c>
      <c r="Q1718" s="30">
        <f>IF(COUNTIFS($C:$C,$C1718,$D:$D,"P0(후)",$L:$L,"&gt;0")&lt;&gt;1,"",SUMIFS($L:$L,$C:$C,$C1718,$D:$D,"P0(후)"))</f>
        <v/>
      </c>
      <c r="R1718" s="30">
        <f>IF(M1718&lt;&gt;"OK","",O1718+(Q1718-O1718)*(H1718-N1718)/(P1718-N1718))</f>
        <v/>
      </c>
      <c r="S1718" s="30">
        <f>IF(OR(M1718&lt;&gt;"OK",NOT(ISNUMBER(L1718))),"",L1718-R1718)</f>
        <v/>
      </c>
      <c r="T1718" s="46">
        <f>IF(OR(NOT(ISNUMBER(S1718)),IF(ISNUMBER(G1718),G1718,F1718)=0),"",S1718/IF(ISNUMBER(G1718),G1718,F1718))</f>
        <v/>
      </c>
      <c r="U1718" s="46">
        <f>IF(ISNUMBER(T1718),ABS(T1718),"")</f>
        <v/>
      </c>
      <c r="V1718" s="46">
        <f>IF(OR($D1717&lt;&gt;"측정",$C1717&lt;&gt;$C1718,NOT(ISNUMBER(L1718)),NOT(ISNUMBER(L1717)),(IF(ISNUMBER(G1718),G1718,F1718)-IF(ISNUMBER(G1717),G1717,F1717))=0),"",(L1718-L1717)/(IF(ISNUMBER(G1718),G1718,F1718)-IF(ISNUMBER(G1717),G1717,F1717)))</f>
        <v/>
      </c>
      <c r="W1718" s="30">
        <f>IF(NOT(AND(ISNUMBER(N1718),ISNUMBER(P1718))),"",(P1718-N1718)*1440)</f>
        <v/>
      </c>
      <c r="X1718" s="28" t="n"/>
      <c r="Y1718" s="28" t="n"/>
      <c r="Z1718" s="28" t="n"/>
      <c r="AA1718" s="31" t="n"/>
      <c r="AB1718" s="31" t="n"/>
    </row>
    <row r="1719">
      <c r="A1719" s="25" t="inlineStr">
        <is>
          <t>S33</t>
        </is>
      </c>
      <c r="B1719" s="25" t="inlineStr">
        <is>
          <t>문산 신규점</t>
        </is>
      </c>
      <c r="C1719" s="25" t="inlineStr">
        <is>
          <t>S33-H북</t>
        </is>
      </c>
      <c r="D1719" s="25" t="inlineStr">
        <is>
          <t>측정</t>
        </is>
      </c>
      <c r="E1719" s="25" t="inlineStr">
        <is>
          <t>북</t>
        </is>
      </c>
      <c r="F1719" s="30" t="n">
        <v>10</v>
      </c>
      <c r="G1719" s="29" t="n"/>
      <c r="H1719" s="42" t="n"/>
      <c r="I1719" s="40" t="n"/>
      <c r="J1719" s="40" t="n"/>
      <c r="K1719" s="40" t="n"/>
      <c r="L1719" s="30">
        <f>IF(COUNT(I1719:K1719)=0,"",MEDIAN(I1719:K1719))</f>
        <v/>
      </c>
      <c r="M1719" s="25">
        <f>IF(COUNTIFS($C:$C,$C1719,$D:$D,"P0(전)",$L:$L,"&gt;0")&lt;&gt;1,"P0(전) 유효 1개 아님",IF(COUNTIFS($C:$C,$C1719,$D:$D,"P0(후)",$L:$L,"&gt;0")&lt;&gt;1,"P0(후) 유효 1개 아님",IF(NOT(AND(ISNUMBER(N1719),ISNUMBER(P1719),ISNUMBER(H1719))),"시각 결측",IF(P1719&lt;=N1719,"P0 시각 역전",IF(OR(H1719&lt;N1719,H1719&gt;P1719),"측정시각 구간 밖","OK")))))</f>
        <v/>
      </c>
      <c r="N1719" s="45">
        <f>IF(COUNTIFS($C:$C,$C1719,$D:$D,"P0(전)",$L:$L,"&gt;0")&lt;&gt;1,"",SUMIFS($H:$H,$C:$C,$C1719,$D:$D,"P0(전)"))</f>
        <v/>
      </c>
      <c r="O1719" s="30">
        <f>IF(COUNTIFS($C:$C,$C1719,$D:$D,"P0(전)",$L:$L,"&gt;0")&lt;&gt;1,"",SUMIFS($L:$L,$C:$C,$C1719,$D:$D,"P0(전)"))</f>
        <v/>
      </c>
      <c r="P1719" s="45">
        <f>IF(COUNTIFS($C:$C,$C1719,$D:$D,"P0(후)",$L:$L,"&gt;0")&lt;&gt;1,"",SUMIFS($H:$H,$C:$C,$C1719,$D:$D,"P0(후)"))</f>
        <v/>
      </c>
      <c r="Q1719" s="30">
        <f>IF(COUNTIFS($C:$C,$C1719,$D:$D,"P0(후)",$L:$L,"&gt;0")&lt;&gt;1,"",SUMIFS($L:$L,$C:$C,$C1719,$D:$D,"P0(후)"))</f>
        <v/>
      </c>
      <c r="R1719" s="30">
        <f>IF(M1719&lt;&gt;"OK","",O1719+(Q1719-O1719)*(H1719-N1719)/(P1719-N1719))</f>
        <v/>
      </c>
      <c r="S1719" s="30">
        <f>IF(OR(M1719&lt;&gt;"OK",NOT(ISNUMBER(L1719))),"",L1719-R1719)</f>
        <v/>
      </c>
      <c r="T1719" s="46">
        <f>IF(OR(NOT(ISNUMBER(S1719)),IF(ISNUMBER(G1719),G1719,F1719)=0),"",S1719/IF(ISNUMBER(G1719),G1719,F1719))</f>
        <v/>
      </c>
      <c r="U1719" s="46">
        <f>IF(ISNUMBER(T1719),ABS(T1719),"")</f>
        <v/>
      </c>
      <c r="V1719" s="46">
        <f>IF(OR($D1718&lt;&gt;"측정",$C1718&lt;&gt;$C1719,NOT(ISNUMBER(L1719)),NOT(ISNUMBER(L1718)),(IF(ISNUMBER(G1719),G1719,F1719)-IF(ISNUMBER(G1718),G1718,F1718))=0),"",(L1719-L1718)/(IF(ISNUMBER(G1719),G1719,F1719)-IF(ISNUMBER(G1718),G1718,F1718)))</f>
        <v/>
      </c>
      <c r="W1719" s="30">
        <f>IF(NOT(AND(ISNUMBER(N1719),ISNUMBER(P1719))),"",(P1719-N1719)*1440)</f>
        <v/>
      </c>
      <c r="X1719" s="28" t="n"/>
      <c r="Y1719" s="28" t="n"/>
      <c r="Z1719" s="28" t="n"/>
      <c r="AA1719" s="31" t="n"/>
      <c r="AB1719" s="31" t="n"/>
    </row>
    <row r="1720">
      <c r="A1720" s="43" t="inlineStr">
        <is>
          <t>S33</t>
        </is>
      </c>
      <c r="B1720" s="43" t="inlineStr">
        <is>
          <t>문산 신규점</t>
        </is>
      </c>
      <c r="C1720" s="43" t="inlineStr">
        <is>
          <t>S33-H북</t>
        </is>
      </c>
      <c r="D1720" s="43" t="inlineStr">
        <is>
          <t>P0(후)</t>
        </is>
      </c>
      <c r="E1720" s="43" t="inlineStr">
        <is>
          <t>북</t>
        </is>
      </c>
      <c r="F1720" s="44" t="n"/>
      <c r="G1720" s="29" t="n"/>
      <c r="H1720" s="42" t="n"/>
      <c r="I1720" s="40" t="n"/>
      <c r="J1720" s="40" t="n"/>
      <c r="K1720" s="40" t="n"/>
      <c r="L1720" s="30">
        <f>IF(COUNT(I1720:K1720)=0,"",MEDIAN(I1720:K1720))</f>
        <v/>
      </c>
      <c r="M1720" s="37" t="n"/>
      <c r="N1720" s="37" t="n"/>
      <c r="O1720" s="37" t="n"/>
      <c r="P1720" s="37" t="n"/>
      <c r="Q1720" s="37" t="n"/>
      <c r="R1720" s="37" t="n"/>
      <c r="S1720" s="37" t="n"/>
      <c r="T1720" s="37" t="n"/>
      <c r="U1720" s="37" t="n"/>
      <c r="V1720" s="37" t="n"/>
      <c r="W1720" s="37" t="n"/>
      <c r="X1720" s="28" t="n"/>
      <c r="Y1720" s="28" t="n"/>
      <c r="Z1720" s="28" t="n"/>
      <c r="AA1720" s="31" t="n"/>
      <c r="AB1720" s="31" t="n"/>
    </row>
    <row r="1721">
      <c r="A1721" s="43" t="inlineStr">
        <is>
          <t>S34</t>
        </is>
      </c>
      <c r="B1721" s="43" t="inlineStr">
        <is>
          <t>부안 신규점</t>
        </is>
      </c>
      <c r="C1721" s="43" t="inlineStr">
        <is>
          <t>S34-H동</t>
        </is>
      </c>
      <c r="D1721" s="43" t="inlineStr">
        <is>
          <t>P0(전)</t>
        </is>
      </c>
      <c r="E1721" s="43" t="inlineStr">
        <is>
          <t>동</t>
        </is>
      </c>
      <c r="F1721" s="44" t="n"/>
      <c r="G1721" s="29" t="n"/>
      <c r="H1721" s="42" t="n"/>
      <c r="I1721" s="40" t="n"/>
      <c r="J1721" s="40" t="n"/>
      <c r="K1721" s="40" t="n"/>
      <c r="L1721" s="30">
        <f>IF(COUNT(I1721:K1721)=0,"",MEDIAN(I1721:K1721))</f>
        <v/>
      </c>
      <c r="M1721" s="37" t="n"/>
      <c r="N1721" s="37" t="n"/>
      <c r="O1721" s="37" t="n"/>
      <c r="P1721" s="37" t="n"/>
      <c r="Q1721" s="37" t="n"/>
      <c r="R1721" s="37" t="n"/>
      <c r="S1721" s="37" t="n"/>
      <c r="T1721" s="37" t="n"/>
      <c r="U1721" s="37" t="n"/>
      <c r="V1721" s="37" t="n"/>
      <c r="W1721" s="37" t="n"/>
      <c r="X1721" s="28" t="n"/>
      <c r="Y1721" s="28" t="n"/>
      <c r="Z1721" s="28" t="n"/>
      <c r="AA1721" s="31" t="n"/>
      <c r="AB1721" s="31" t="n"/>
    </row>
    <row r="1722">
      <c r="A1722" s="25" t="inlineStr">
        <is>
          <t>S34</t>
        </is>
      </c>
      <c r="B1722" s="25" t="inlineStr">
        <is>
          <t>부안 신규점</t>
        </is>
      </c>
      <c r="C1722" s="25" t="inlineStr">
        <is>
          <t>S34-H동</t>
        </is>
      </c>
      <c r="D1722" s="25" t="inlineStr">
        <is>
          <t>측정</t>
        </is>
      </c>
      <c r="E1722" s="25" t="inlineStr">
        <is>
          <t>동</t>
        </is>
      </c>
      <c r="F1722" s="30" t="n">
        <v>0.5</v>
      </c>
      <c r="G1722" s="29" t="n"/>
      <c r="H1722" s="42" t="n"/>
      <c r="I1722" s="40" t="n"/>
      <c r="J1722" s="40" t="n"/>
      <c r="K1722" s="40" t="n"/>
      <c r="L1722" s="30">
        <f>IF(COUNT(I1722:K1722)=0,"",MEDIAN(I1722:K1722))</f>
        <v/>
      </c>
      <c r="M1722" s="25">
        <f>IF(COUNTIFS($C:$C,$C1722,$D:$D,"P0(전)",$L:$L,"&gt;0")&lt;&gt;1,"P0(전) 유효 1개 아님",IF(COUNTIFS($C:$C,$C1722,$D:$D,"P0(후)",$L:$L,"&gt;0")&lt;&gt;1,"P0(후) 유효 1개 아님",IF(NOT(AND(ISNUMBER(N1722),ISNUMBER(P1722),ISNUMBER(H1722))),"시각 결측",IF(P1722&lt;=N1722,"P0 시각 역전",IF(OR(H1722&lt;N1722,H1722&gt;P1722),"측정시각 구간 밖","OK")))))</f>
        <v/>
      </c>
      <c r="N1722" s="45">
        <f>IF(COUNTIFS($C:$C,$C1722,$D:$D,"P0(전)",$L:$L,"&gt;0")&lt;&gt;1,"",SUMIFS($H:$H,$C:$C,$C1722,$D:$D,"P0(전)"))</f>
        <v/>
      </c>
      <c r="O1722" s="30">
        <f>IF(COUNTIFS($C:$C,$C1722,$D:$D,"P0(전)",$L:$L,"&gt;0")&lt;&gt;1,"",SUMIFS($L:$L,$C:$C,$C1722,$D:$D,"P0(전)"))</f>
        <v/>
      </c>
      <c r="P1722" s="45">
        <f>IF(COUNTIFS($C:$C,$C1722,$D:$D,"P0(후)",$L:$L,"&gt;0")&lt;&gt;1,"",SUMIFS($H:$H,$C:$C,$C1722,$D:$D,"P0(후)"))</f>
        <v/>
      </c>
      <c r="Q1722" s="30">
        <f>IF(COUNTIFS($C:$C,$C1722,$D:$D,"P0(후)",$L:$L,"&gt;0")&lt;&gt;1,"",SUMIFS($L:$L,$C:$C,$C1722,$D:$D,"P0(후)"))</f>
        <v/>
      </c>
      <c r="R1722" s="30">
        <f>IF(M1722&lt;&gt;"OK","",O1722+(Q1722-O1722)*(H1722-N1722)/(P1722-N1722))</f>
        <v/>
      </c>
      <c r="S1722" s="30">
        <f>IF(OR(M1722&lt;&gt;"OK",NOT(ISNUMBER(L1722))),"",L1722-R1722)</f>
        <v/>
      </c>
      <c r="T1722" s="46">
        <f>IF(OR(NOT(ISNUMBER(S1722)),IF(ISNUMBER(G1722),G1722,F1722)=0),"",S1722/IF(ISNUMBER(G1722),G1722,F1722))</f>
        <v/>
      </c>
      <c r="U1722" s="46">
        <f>IF(ISNUMBER(T1722),ABS(T1722),"")</f>
        <v/>
      </c>
      <c r="V1722" s="46">
        <f>IF(OR($D1721&lt;&gt;"측정",$C1721&lt;&gt;$C1722,NOT(ISNUMBER(L1722)),NOT(ISNUMBER(L1721)),(IF(ISNUMBER(G1722),G1722,F1722)-IF(ISNUMBER(G1721),G1721,F1721))=0),"",(L1722-L1721)/(IF(ISNUMBER(G1722),G1722,F1722)-IF(ISNUMBER(G1721),G1721,F1721)))</f>
        <v/>
      </c>
      <c r="W1722" s="30">
        <f>IF(NOT(AND(ISNUMBER(N1722),ISNUMBER(P1722))),"",(P1722-N1722)*1440)</f>
        <v/>
      </c>
      <c r="X1722" s="28" t="n"/>
      <c r="Y1722" s="28" t="n"/>
      <c r="Z1722" s="28" t="n"/>
      <c r="AA1722" s="31" t="n"/>
      <c r="AB1722" s="31" t="n"/>
    </row>
    <row r="1723">
      <c r="A1723" s="25" t="inlineStr">
        <is>
          <t>S34</t>
        </is>
      </c>
      <c r="B1723" s="25" t="inlineStr">
        <is>
          <t>부안 신규점</t>
        </is>
      </c>
      <c r="C1723" s="25" t="inlineStr">
        <is>
          <t>S34-H동</t>
        </is>
      </c>
      <c r="D1723" s="25" t="inlineStr">
        <is>
          <t>측정</t>
        </is>
      </c>
      <c r="E1723" s="25" t="inlineStr">
        <is>
          <t>동</t>
        </is>
      </c>
      <c r="F1723" s="30" t="n">
        <v>1</v>
      </c>
      <c r="G1723" s="29" t="n"/>
      <c r="H1723" s="42" t="n"/>
      <c r="I1723" s="40" t="n"/>
      <c r="J1723" s="40" t="n"/>
      <c r="K1723" s="40" t="n"/>
      <c r="L1723" s="30">
        <f>IF(COUNT(I1723:K1723)=0,"",MEDIAN(I1723:K1723))</f>
        <v/>
      </c>
      <c r="M1723" s="25">
        <f>IF(COUNTIFS($C:$C,$C1723,$D:$D,"P0(전)",$L:$L,"&gt;0")&lt;&gt;1,"P0(전) 유효 1개 아님",IF(COUNTIFS($C:$C,$C1723,$D:$D,"P0(후)",$L:$L,"&gt;0")&lt;&gt;1,"P0(후) 유효 1개 아님",IF(NOT(AND(ISNUMBER(N1723),ISNUMBER(P1723),ISNUMBER(H1723))),"시각 결측",IF(P1723&lt;=N1723,"P0 시각 역전",IF(OR(H1723&lt;N1723,H1723&gt;P1723),"측정시각 구간 밖","OK")))))</f>
        <v/>
      </c>
      <c r="N1723" s="45">
        <f>IF(COUNTIFS($C:$C,$C1723,$D:$D,"P0(전)",$L:$L,"&gt;0")&lt;&gt;1,"",SUMIFS($H:$H,$C:$C,$C1723,$D:$D,"P0(전)"))</f>
        <v/>
      </c>
      <c r="O1723" s="30">
        <f>IF(COUNTIFS($C:$C,$C1723,$D:$D,"P0(전)",$L:$L,"&gt;0")&lt;&gt;1,"",SUMIFS($L:$L,$C:$C,$C1723,$D:$D,"P0(전)"))</f>
        <v/>
      </c>
      <c r="P1723" s="45">
        <f>IF(COUNTIFS($C:$C,$C1723,$D:$D,"P0(후)",$L:$L,"&gt;0")&lt;&gt;1,"",SUMIFS($H:$H,$C:$C,$C1723,$D:$D,"P0(후)"))</f>
        <v/>
      </c>
      <c r="Q1723" s="30">
        <f>IF(COUNTIFS($C:$C,$C1723,$D:$D,"P0(후)",$L:$L,"&gt;0")&lt;&gt;1,"",SUMIFS($L:$L,$C:$C,$C1723,$D:$D,"P0(후)"))</f>
        <v/>
      </c>
      <c r="R1723" s="30">
        <f>IF(M1723&lt;&gt;"OK","",O1723+(Q1723-O1723)*(H1723-N1723)/(P1723-N1723))</f>
        <v/>
      </c>
      <c r="S1723" s="30">
        <f>IF(OR(M1723&lt;&gt;"OK",NOT(ISNUMBER(L1723))),"",L1723-R1723)</f>
        <v/>
      </c>
      <c r="T1723" s="46">
        <f>IF(OR(NOT(ISNUMBER(S1723)),IF(ISNUMBER(G1723),G1723,F1723)=0),"",S1723/IF(ISNUMBER(G1723),G1723,F1723))</f>
        <v/>
      </c>
      <c r="U1723" s="46">
        <f>IF(ISNUMBER(T1723),ABS(T1723),"")</f>
        <v/>
      </c>
      <c r="V1723" s="46">
        <f>IF(OR($D1722&lt;&gt;"측정",$C1722&lt;&gt;$C1723,NOT(ISNUMBER(L1723)),NOT(ISNUMBER(L1722)),(IF(ISNUMBER(G1723),G1723,F1723)-IF(ISNUMBER(G1722),G1722,F1722))=0),"",(L1723-L1722)/(IF(ISNUMBER(G1723),G1723,F1723)-IF(ISNUMBER(G1722),G1722,F1722)))</f>
        <v/>
      </c>
      <c r="W1723" s="30">
        <f>IF(NOT(AND(ISNUMBER(N1723),ISNUMBER(P1723))),"",(P1723-N1723)*1440)</f>
        <v/>
      </c>
      <c r="X1723" s="28" t="n"/>
      <c r="Y1723" s="28" t="n"/>
      <c r="Z1723" s="28" t="n"/>
      <c r="AA1723" s="31" t="n"/>
      <c r="AB1723" s="31" t="n"/>
    </row>
    <row r="1724">
      <c r="A1724" s="25" t="inlineStr">
        <is>
          <t>S34</t>
        </is>
      </c>
      <c r="B1724" s="25" t="inlineStr">
        <is>
          <t>부안 신규점</t>
        </is>
      </c>
      <c r="C1724" s="25" t="inlineStr">
        <is>
          <t>S34-H동</t>
        </is>
      </c>
      <c r="D1724" s="25" t="inlineStr">
        <is>
          <t>측정</t>
        </is>
      </c>
      <c r="E1724" s="25" t="inlineStr">
        <is>
          <t>동</t>
        </is>
      </c>
      <c r="F1724" s="30" t="n">
        <v>2</v>
      </c>
      <c r="G1724" s="29" t="n"/>
      <c r="H1724" s="42" t="n"/>
      <c r="I1724" s="40" t="n"/>
      <c r="J1724" s="40" t="n"/>
      <c r="K1724" s="40" t="n"/>
      <c r="L1724" s="30">
        <f>IF(COUNT(I1724:K1724)=0,"",MEDIAN(I1724:K1724))</f>
        <v/>
      </c>
      <c r="M1724" s="25">
        <f>IF(COUNTIFS($C:$C,$C1724,$D:$D,"P0(전)",$L:$L,"&gt;0")&lt;&gt;1,"P0(전) 유효 1개 아님",IF(COUNTIFS($C:$C,$C1724,$D:$D,"P0(후)",$L:$L,"&gt;0")&lt;&gt;1,"P0(후) 유효 1개 아님",IF(NOT(AND(ISNUMBER(N1724),ISNUMBER(P1724),ISNUMBER(H1724))),"시각 결측",IF(P1724&lt;=N1724,"P0 시각 역전",IF(OR(H1724&lt;N1724,H1724&gt;P1724),"측정시각 구간 밖","OK")))))</f>
        <v/>
      </c>
      <c r="N1724" s="45">
        <f>IF(COUNTIFS($C:$C,$C1724,$D:$D,"P0(전)",$L:$L,"&gt;0")&lt;&gt;1,"",SUMIFS($H:$H,$C:$C,$C1724,$D:$D,"P0(전)"))</f>
        <v/>
      </c>
      <c r="O1724" s="30">
        <f>IF(COUNTIFS($C:$C,$C1724,$D:$D,"P0(전)",$L:$L,"&gt;0")&lt;&gt;1,"",SUMIFS($L:$L,$C:$C,$C1724,$D:$D,"P0(전)"))</f>
        <v/>
      </c>
      <c r="P1724" s="45">
        <f>IF(COUNTIFS($C:$C,$C1724,$D:$D,"P0(후)",$L:$L,"&gt;0")&lt;&gt;1,"",SUMIFS($H:$H,$C:$C,$C1724,$D:$D,"P0(후)"))</f>
        <v/>
      </c>
      <c r="Q1724" s="30">
        <f>IF(COUNTIFS($C:$C,$C1724,$D:$D,"P0(후)",$L:$L,"&gt;0")&lt;&gt;1,"",SUMIFS($L:$L,$C:$C,$C1724,$D:$D,"P0(후)"))</f>
        <v/>
      </c>
      <c r="R1724" s="30">
        <f>IF(M1724&lt;&gt;"OK","",O1724+(Q1724-O1724)*(H1724-N1724)/(P1724-N1724))</f>
        <v/>
      </c>
      <c r="S1724" s="30">
        <f>IF(OR(M1724&lt;&gt;"OK",NOT(ISNUMBER(L1724))),"",L1724-R1724)</f>
        <v/>
      </c>
      <c r="T1724" s="46">
        <f>IF(OR(NOT(ISNUMBER(S1724)),IF(ISNUMBER(G1724),G1724,F1724)=0),"",S1724/IF(ISNUMBER(G1724),G1724,F1724))</f>
        <v/>
      </c>
      <c r="U1724" s="46">
        <f>IF(ISNUMBER(T1724),ABS(T1724),"")</f>
        <v/>
      </c>
      <c r="V1724" s="46">
        <f>IF(OR($D1723&lt;&gt;"측정",$C1723&lt;&gt;$C1724,NOT(ISNUMBER(L1724)),NOT(ISNUMBER(L1723)),(IF(ISNUMBER(G1724),G1724,F1724)-IF(ISNUMBER(G1723),G1723,F1723))=0),"",(L1724-L1723)/(IF(ISNUMBER(G1724),G1724,F1724)-IF(ISNUMBER(G1723),G1723,F1723)))</f>
        <v/>
      </c>
      <c r="W1724" s="30">
        <f>IF(NOT(AND(ISNUMBER(N1724),ISNUMBER(P1724))),"",(P1724-N1724)*1440)</f>
        <v/>
      </c>
      <c r="X1724" s="28" t="n"/>
      <c r="Y1724" s="28" t="n"/>
      <c r="Z1724" s="28" t="n"/>
      <c r="AA1724" s="31" t="n"/>
      <c r="AB1724" s="31" t="n"/>
    </row>
    <row r="1725">
      <c r="A1725" s="25" t="inlineStr">
        <is>
          <t>S34</t>
        </is>
      </c>
      <c r="B1725" s="25" t="inlineStr">
        <is>
          <t>부안 신규점</t>
        </is>
      </c>
      <c r="C1725" s="25" t="inlineStr">
        <is>
          <t>S34-H동</t>
        </is>
      </c>
      <c r="D1725" s="25" t="inlineStr">
        <is>
          <t>측정</t>
        </is>
      </c>
      <c r="E1725" s="25" t="inlineStr">
        <is>
          <t>동</t>
        </is>
      </c>
      <c r="F1725" s="30" t="n">
        <v>3</v>
      </c>
      <c r="G1725" s="29" t="n"/>
      <c r="H1725" s="42" t="n"/>
      <c r="I1725" s="40" t="n"/>
      <c r="J1725" s="40" t="n"/>
      <c r="K1725" s="40" t="n"/>
      <c r="L1725" s="30">
        <f>IF(COUNT(I1725:K1725)=0,"",MEDIAN(I1725:K1725))</f>
        <v/>
      </c>
      <c r="M1725" s="25">
        <f>IF(COUNTIFS($C:$C,$C1725,$D:$D,"P0(전)",$L:$L,"&gt;0")&lt;&gt;1,"P0(전) 유효 1개 아님",IF(COUNTIFS($C:$C,$C1725,$D:$D,"P0(후)",$L:$L,"&gt;0")&lt;&gt;1,"P0(후) 유효 1개 아님",IF(NOT(AND(ISNUMBER(N1725),ISNUMBER(P1725),ISNUMBER(H1725))),"시각 결측",IF(P1725&lt;=N1725,"P0 시각 역전",IF(OR(H1725&lt;N1725,H1725&gt;P1725),"측정시각 구간 밖","OK")))))</f>
        <v/>
      </c>
      <c r="N1725" s="45">
        <f>IF(COUNTIFS($C:$C,$C1725,$D:$D,"P0(전)",$L:$L,"&gt;0")&lt;&gt;1,"",SUMIFS($H:$H,$C:$C,$C1725,$D:$D,"P0(전)"))</f>
        <v/>
      </c>
      <c r="O1725" s="30">
        <f>IF(COUNTIFS($C:$C,$C1725,$D:$D,"P0(전)",$L:$L,"&gt;0")&lt;&gt;1,"",SUMIFS($L:$L,$C:$C,$C1725,$D:$D,"P0(전)"))</f>
        <v/>
      </c>
      <c r="P1725" s="45">
        <f>IF(COUNTIFS($C:$C,$C1725,$D:$D,"P0(후)",$L:$L,"&gt;0")&lt;&gt;1,"",SUMIFS($H:$H,$C:$C,$C1725,$D:$D,"P0(후)"))</f>
        <v/>
      </c>
      <c r="Q1725" s="30">
        <f>IF(COUNTIFS($C:$C,$C1725,$D:$D,"P0(후)",$L:$L,"&gt;0")&lt;&gt;1,"",SUMIFS($L:$L,$C:$C,$C1725,$D:$D,"P0(후)"))</f>
        <v/>
      </c>
      <c r="R1725" s="30">
        <f>IF(M1725&lt;&gt;"OK","",O1725+(Q1725-O1725)*(H1725-N1725)/(P1725-N1725))</f>
        <v/>
      </c>
      <c r="S1725" s="30">
        <f>IF(OR(M1725&lt;&gt;"OK",NOT(ISNUMBER(L1725))),"",L1725-R1725)</f>
        <v/>
      </c>
      <c r="T1725" s="46">
        <f>IF(OR(NOT(ISNUMBER(S1725)),IF(ISNUMBER(G1725),G1725,F1725)=0),"",S1725/IF(ISNUMBER(G1725),G1725,F1725))</f>
        <v/>
      </c>
      <c r="U1725" s="46">
        <f>IF(ISNUMBER(T1725),ABS(T1725),"")</f>
        <v/>
      </c>
      <c r="V1725" s="46">
        <f>IF(OR($D1724&lt;&gt;"측정",$C1724&lt;&gt;$C1725,NOT(ISNUMBER(L1725)),NOT(ISNUMBER(L1724)),(IF(ISNUMBER(G1725),G1725,F1725)-IF(ISNUMBER(G1724),G1724,F1724))=0),"",(L1725-L1724)/(IF(ISNUMBER(G1725),G1725,F1725)-IF(ISNUMBER(G1724),G1724,F1724)))</f>
        <v/>
      </c>
      <c r="W1725" s="30">
        <f>IF(NOT(AND(ISNUMBER(N1725),ISNUMBER(P1725))),"",(P1725-N1725)*1440)</f>
        <v/>
      </c>
      <c r="X1725" s="28" t="n"/>
      <c r="Y1725" s="28" t="n"/>
      <c r="Z1725" s="28" t="n"/>
      <c r="AA1725" s="31" t="n"/>
      <c r="AB1725" s="31" t="n"/>
    </row>
    <row r="1726">
      <c r="A1726" s="25" t="inlineStr">
        <is>
          <t>S34</t>
        </is>
      </c>
      <c r="B1726" s="25" t="inlineStr">
        <is>
          <t>부안 신규점</t>
        </is>
      </c>
      <c r="C1726" s="25" t="inlineStr">
        <is>
          <t>S34-H동</t>
        </is>
      </c>
      <c r="D1726" s="25" t="inlineStr">
        <is>
          <t>측정</t>
        </is>
      </c>
      <c r="E1726" s="25" t="inlineStr">
        <is>
          <t>동</t>
        </is>
      </c>
      <c r="F1726" s="30" t="n">
        <v>4</v>
      </c>
      <c r="G1726" s="29" t="n"/>
      <c r="H1726" s="42" t="n"/>
      <c r="I1726" s="40" t="n"/>
      <c r="J1726" s="40" t="n"/>
      <c r="K1726" s="40" t="n"/>
      <c r="L1726" s="30">
        <f>IF(COUNT(I1726:K1726)=0,"",MEDIAN(I1726:K1726))</f>
        <v/>
      </c>
      <c r="M1726" s="25">
        <f>IF(COUNTIFS($C:$C,$C1726,$D:$D,"P0(전)",$L:$L,"&gt;0")&lt;&gt;1,"P0(전) 유효 1개 아님",IF(COUNTIFS($C:$C,$C1726,$D:$D,"P0(후)",$L:$L,"&gt;0")&lt;&gt;1,"P0(후) 유효 1개 아님",IF(NOT(AND(ISNUMBER(N1726),ISNUMBER(P1726),ISNUMBER(H1726))),"시각 결측",IF(P1726&lt;=N1726,"P0 시각 역전",IF(OR(H1726&lt;N1726,H1726&gt;P1726),"측정시각 구간 밖","OK")))))</f>
        <v/>
      </c>
      <c r="N1726" s="45">
        <f>IF(COUNTIFS($C:$C,$C1726,$D:$D,"P0(전)",$L:$L,"&gt;0")&lt;&gt;1,"",SUMIFS($H:$H,$C:$C,$C1726,$D:$D,"P0(전)"))</f>
        <v/>
      </c>
      <c r="O1726" s="30">
        <f>IF(COUNTIFS($C:$C,$C1726,$D:$D,"P0(전)",$L:$L,"&gt;0")&lt;&gt;1,"",SUMIFS($L:$L,$C:$C,$C1726,$D:$D,"P0(전)"))</f>
        <v/>
      </c>
      <c r="P1726" s="45">
        <f>IF(COUNTIFS($C:$C,$C1726,$D:$D,"P0(후)",$L:$L,"&gt;0")&lt;&gt;1,"",SUMIFS($H:$H,$C:$C,$C1726,$D:$D,"P0(후)"))</f>
        <v/>
      </c>
      <c r="Q1726" s="30">
        <f>IF(COUNTIFS($C:$C,$C1726,$D:$D,"P0(후)",$L:$L,"&gt;0")&lt;&gt;1,"",SUMIFS($L:$L,$C:$C,$C1726,$D:$D,"P0(후)"))</f>
        <v/>
      </c>
      <c r="R1726" s="30">
        <f>IF(M1726&lt;&gt;"OK","",O1726+(Q1726-O1726)*(H1726-N1726)/(P1726-N1726))</f>
        <v/>
      </c>
      <c r="S1726" s="30">
        <f>IF(OR(M1726&lt;&gt;"OK",NOT(ISNUMBER(L1726))),"",L1726-R1726)</f>
        <v/>
      </c>
      <c r="T1726" s="46">
        <f>IF(OR(NOT(ISNUMBER(S1726)),IF(ISNUMBER(G1726),G1726,F1726)=0),"",S1726/IF(ISNUMBER(G1726),G1726,F1726))</f>
        <v/>
      </c>
      <c r="U1726" s="46">
        <f>IF(ISNUMBER(T1726),ABS(T1726),"")</f>
        <v/>
      </c>
      <c r="V1726" s="46">
        <f>IF(OR($D1725&lt;&gt;"측정",$C1725&lt;&gt;$C1726,NOT(ISNUMBER(L1726)),NOT(ISNUMBER(L1725)),(IF(ISNUMBER(G1726),G1726,F1726)-IF(ISNUMBER(G1725),G1725,F1725))=0),"",(L1726-L1725)/(IF(ISNUMBER(G1726),G1726,F1726)-IF(ISNUMBER(G1725),G1725,F1725)))</f>
        <v/>
      </c>
      <c r="W1726" s="30">
        <f>IF(NOT(AND(ISNUMBER(N1726),ISNUMBER(P1726))),"",(P1726-N1726)*1440)</f>
        <v/>
      </c>
      <c r="X1726" s="28" t="n"/>
      <c r="Y1726" s="28" t="n"/>
      <c r="Z1726" s="28" t="n"/>
      <c r="AA1726" s="31" t="n"/>
      <c r="AB1726" s="31" t="n"/>
    </row>
    <row r="1727">
      <c r="A1727" s="25" t="inlineStr">
        <is>
          <t>S34</t>
        </is>
      </c>
      <c r="B1727" s="25" t="inlineStr">
        <is>
          <t>부안 신규점</t>
        </is>
      </c>
      <c r="C1727" s="25" t="inlineStr">
        <is>
          <t>S34-H동</t>
        </is>
      </c>
      <c r="D1727" s="25" t="inlineStr">
        <is>
          <t>측정</t>
        </is>
      </c>
      <c r="E1727" s="25" t="inlineStr">
        <is>
          <t>동</t>
        </is>
      </c>
      <c r="F1727" s="30" t="n">
        <v>5</v>
      </c>
      <c r="G1727" s="29" t="n"/>
      <c r="H1727" s="42" t="n"/>
      <c r="I1727" s="40" t="n"/>
      <c r="J1727" s="40" t="n"/>
      <c r="K1727" s="40" t="n"/>
      <c r="L1727" s="30">
        <f>IF(COUNT(I1727:K1727)=0,"",MEDIAN(I1727:K1727))</f>
        <v/>
      </c>
      <c r="M1727" s="25">
        <f>IF(COUNTIFS($C:$C,$C1727,$D:$D,"P0(전)",$L:$L,"&gt;0")&lt;&gt;1,"P0(전) 유효 1개 아님",IF(COUNTIFS($C:$C,$C1727,$D:$D,"P0(후)",$L:$L,"&gt;0")&lt;&gt;1,"P0(후) 유효 1개 아님",IF(NOT(AND(ISNUMBER(N1727),ISNUMBER(P1727),ISNUMBER(H1727))),"시각 결측",IF(P1727&lt;=N1727,"P0 시각 역전",IF(OR(H1727&lt;N1727,H1727&gt;P1727),"측정시각 구간 밖","OK")))))</f>
        <v/>
      </c>
      <c r="N1727" s="45">
        <f>IF(COUNTIFS($C:$C,$C1727,$D:$D,"P0(전)",$L:$L,"&gt;0")&lt;&gt;1,"",SUMIFS($H:$H,$C:$C,$C1727,$D:$D,"P0(전)"))</f>
        <v/>
      </c>
      <c r="O1727" s="30">
        <f>IF(COUNTIFS($C:$C,$C1727,$D:$D,"P0(전)",$L:$L,"&gt;0")&lt;&gt;1,"",SUMIFS($L:$L,$C:$C,$C1727,$D:$D,"P0(전)"))</f>
        <v/>
      </c>
      <c r="P1727" s="45">
        <f>IF(COUNTIFS($C:$C,$C1727,$D:$D,"P0(후)",$L:$L,"&gt;0")&lt;&gt;1,"",SUMIFS($H:$H,$C:$C,$C1727,$D:$D,"P0(후)"))</f>
        <v/>
      </c>
      <c r="Q1727" s="30">
        <f>IF(COUNTIFS($C:$C,$C1727,$D:$D,"P0(후)",$L:$L,"&gt;0")&lt;&gt;1,"",SUMIFS($L:$L,$C:$C,$C1727,$D:$D,"P0(후)"))</f>
        <v/>
      </c>
      <c r="R1727" s="30">
        <f>IF(M1727&lt;&gt;"OK","",O1727+(Q1727-O1727)*(H1727-N1727)/(P1727-N1727))</f>
        <v/>
      </c>
      <c r="S1727" s="30">
        <f>IF(OR(M1727&lt;&gt;"OK",NOT(ISNUMBER(L1727))),"",L1727-R1727)</f>
        <v/>
      </c>
      <c r="T1727" s="46">
        <f>IF(OR(NOT(ISNUMBER(S1727)),IF(ISNUMBER(G1727),G1727,F1727)=0),"",S1727/IF(ISNUMBER(G1727),G1727,F1727))</f>
        <v/>
      </c>
      <c r="U1727" s="46">
        <f>IF(ISNUMBER(T1727),ABS(T1727),"")</f>
        <v/>
      </c>
      <c r="V1727" s="46">
        <f>IF(OR($D1726&lt;&gt;"측정",$C1726&lt;&gt;$C1727,NOT(ISNUMBER(L1727)),NOT(ISNUMBER(L1726)),(IF(ISNUMBER(G1727),G1727,F1727)-IF(ISNUMBER(G1726),G1726,F1726))=0),"",(L1727-L1726)/(IF(ISNUMBER(G1727),G1727,F1727)-IF(ISNUMBER(G1726),G1726,F1726)))</f>
        <v/>
      </c>
      <c r="W1727" s="30">
        <f>IF(NOT(AND(ISNUMBER(N1727),ISNUMBER(P1727))),"",(P1727-N1727)*1440)</f>
        <v/>
      </c>
      <c r="X1727" s="28" t="n"/>
      <c r="Y1727" s="28" t="n"/>
      <c r="Z1727" s="28" t="n"/>
      <c r="AA1727" s="31" t="n"/>
      <c r="AB1727" s="31" t="n"/>
    </row>
    <row r="1728">
      <c r="A1728" s="25" t="inlineStr">
        <is>
          <t>S34</t>
        </is>
      </c>
      <c r="B1728" s="25" t="inlineStr">
        <is>
          <t>부안 신규점</t>
        </is>
      </c>
      <c r="C1728" s="25" t="inlineStr">
        <is>
          <t>S34-H동</t>
        </is>
      </c>
      <c r="D1728" s="25" t="inlineStr">
        <is>
          <t>측정</t>
        </is>
      </c>
      <c r="E1728" s="25" t="inlineStr">
        <is>
          <t>동</t>
        </is>
      </c>
      <c r="F1728" s="30" t="n">
        <v>6</v>
      </c>
      <c r="G1728" s="29" t="n"/>
      <c r="H1728" s="42" t="n"/>
      <c r="I1728" s="40" t="n"/>
      <c r="J1728" s="40" t="n"/>
      <c r="K1728" s="40" t="n"/>
      <c r="L1728" s="30">
        <f>IF(COUNT(I1728:K1728)=0,"",MEDIAN(I1728:K1728))</f>
        <v/>
      </c>
      <c r="M1728" s="25">
        <f>IF(COUNTIFS($C:$C,$C1728,$D:$D,"P0(전)",$L:$L,"&gt;0")&lt;&gt;1,"P0(전) 유효 1개 아님",IF(COUNTIFS($C:$C,$C1728,$D:$D,"P0(후)",$L:$L,"&gt;0")&lt;&gt;1,"P0(후) 유효 1개 아님",IF(NOT(AND(ISNUMBER(N1728),ISNUMBER(P1728),ISNUMBER(H1728))),"시각 결측",IF(P1728&lt;=N1728,"P0 시각 역전",IF(OR(H1728&lt;N1728,H1728&gt;P1728),"측정시각 구간 밖","OK")))))</f>
        <v/>
      </c>
      <c r="N1728" s="45">
        <f>IF(COUNTIFS($C:$C,$C1728,$D:$D,"P0(전)",$L:$L,"&gt;0")&lt;&gt;1,"",SUMIFS($H:$H,$C:$C,$C1728,$D:$D,"P0(전)"))</f>
        <v/>
      </c>
      <c r="O1728" s="30">
        <f>IF(COUNTIFS($C:$C,$C1728,$D:$D,"P0(전)",$L:$L,"&gt;0")&lt;&gt;1,"",SUMIFS($L:$L,$C:$C,$C1728,$D:$D,"P0(전)"))</f>
        <v/>
      </c>
      <c r="P1728" s="45">
        <f>IF(COUNTIFS($C:$C,$C1728,$D:$D,"P0(후)",$L:$L,"&gt;0")&lt;&gt;1,"",SUMIFS($H:$H,$C:$C,$C1728,$D:$D,"P0(후)"))</f>
        <v/>
      </c>
      <c r="Q1728" s="30">
        <f>IF(COUNTIFS($C:$C,$C1728,$D:$D,"P0(후)",$L:$L,"&gt;0")&lt;&gt;1,"",SUMIFS($L:$L,$C:$C,$C1728,$D:$D,"P0(후)"))</f>
        <v/>
      </c>
      <c r="R1728" s="30">
        <f>IF(M1728&lt;&gt;"OK","",O1728+(Q1728-O1728)*(H1728-N1728)/(P1728-N1728))</f>
        <v/>
      </c>
      <c r="S1728" s="30">
        <f>IF(OR(M1728&lt;&gt;"OK",NOT(ISNUMBER(L1728))),"",L1728-R1728)</f>
        <v/>
      </c>
      <c r="T1728" s="46">
        <f>IF(OR(NOT(ISNUMBER(S1728)),IF(ISNUMBER(G1728),G1728,F1728)=0),"",S1728/IF(ISNUMBER(G1728),G1728,F1728))</f>
        <v/>
      </c>
      <c r="U1728" s="46">
        <f>IF(ISNUMBER(T1728),ABS(T1728),"")</f>
        <v/>
      </c>
      <c r="V1728" s="46">
        <f>IF(OR($D1727&lt;&gt;"측정",$C1727&lt;&gt;$C1728,NOT(ISNUMBER(L1728)),NOT(ISNUMBER(L1727)),(IF(ISNUMBER(G1728),G1728,F1728)-IF(ISNUMBER(G1727),G1727,F1727))=0),"",(L1728-L1727)/(IF(ISNUMBER(G1728),G1728,F1728)-IF(ISNUMBER(G1727),G1727,F1727)))</f>
        <v/>
      </c>
      <c r="W1728" s="30">
        <f>IF(NOT(AND(ISNUMBER(N1728),ISNUMBER(P1728))),"",(P1728-N1728)*1440)</f>
        <v/>
      </c>
      <c r="X1728" s="28" t="n"/>
      <c r="Y1728" s="28" t="n"/>
      <c r="Z1728" s="28" t="n"/>
      <c r="AA1728" s="31" t="n"/>
      <c r="AB1728" s="31" t="n"/>
    </row>
    <row r="1729">
      <c r="A1729" s="25" t="inlineStr">
        <is>
          <t>S34</t>
        </is>
      </c>
      <c r="B1729" s="25" t="inlineStr">
        <is>
          <t>부안 신규점</t>
        </is>
      </c>
      <c r="C1729" s="25" t="inlineStr">
        <is>
          <t>S34-H동</t>
        </is>
      </c>
      <c r="D1729" s="25" t="inlineStr">
        <is>
          <t>측정</t>
        </is>
      </c>
      <c r="E1729" s="25" t="inlineStr">
        <is>
          <t>동</t>
        </is>
      </c>
      <c r="F1729" s="30" t="n">
        <v>7</v>
      </c>
      <c r="G1729" s="29" t="n"/>
      <c r="H1729" s="42" t="n"/>
      <c r="I1729" s="40" t="n"/>
      <c r="J1729" s="40" t="n"/>
      <c r="K1729" s="40" t="n"/>
      <c r="L1729" s="30">
        <f>IF(COUNT(I1729:K1729)=0,"",MEDIAN(I1729:K1729))</f>
        <v/>
      </c>
      <c r="M1729" s="25">
        <f>IF(COUNTIFS($C:$C,$C1729,$D:$D,"P0(전)",$L:$L,"&gt;0")&lt;&gt;1,"P0(전) 유효 1개 아님",IF(COUNTIFS($C:$C,$C1729,$D:$D,"P0(후)",$L:$L,"&gt;0")&lt;&gt;1,"P0(후) 유효 1개 아님",IF(NOT(AND(ISNUMBER(N1729),ISNUMBER(P1729),ISNUMBER(H1729))),"시각 결측",IF(P1729&lt;=N1729,"P0 시각 역전",IF(OR(H1729&lt;N1729,H1729&gt;P1729),"측정시각 구간 밖","OK")))))</f>
        <v/>
      </c>
      <c r="N1729" s="45">
        <f>IF(COUNTIFS($C:$C,$C1729,$D:$D,"P0(전)",$L:$L,"&gt;0")&lt;&gt;1,"",SUMIFS($H:$H,$C:$C,$C1729,$D:$D,"P0(전)"))</f>
        <v/>
      </c>
      <c r="O1729" s="30">
        <f>IF(COUNTIFS($C:$C,$C1729,$D:$D,"P0(전)",$L:$L,"&gt;0")&lt;&gt;1,"",SUMIFS($L:$L,$C:$C,$C1729,$D:$D,"P0(전)"))</f>
        <v/>
      </c>
      <c r="P1729" s="45">
        <f>IF(COUNTIFS($C:$C,$C1729,$D:$D,"P0(후)",$L:$L,"&gt;0")&lt;&gt;1,"",SUMIFS($H:$H,$C:$C,$C1729,$D:$D,"P0(후)"))</f>
        <v/>
      </c>
      <c r="Q1729" s="30">
        <f>IF(COUNTIFS($C:$C,$C1729,$D:$D,"P0(후)",$L:$L,"&gt;0")&lt;&gt;1,"",SUMIFS($L:$L,$C:$C,$C1729,$D:$D,"P0(후)"))</f>
        <v/>
      </c>
      <c r="R1729" s="30">
        <f>IF(M1729&lt;&gt;"OK","",O1729+(Q1729-O1729)*(H1729-N1729)/(P1729-N1729))</f>
        <v/>
      </c>
      <c r="S1729" s="30">
        <f>IF(OR(M1729&lt;&gt;"OK",NOT(ISNUMBER(L1729))),"",L1729-R1729)</f>
        <v/>
      </c>
      <c r="T1729" s="46">
        <f>IF(OR(NOT(ISNUMBER(S1729)),IF(ISNUMBER(G1729),G1729,F1729)=0),"",S1729/IF(ISNUMBER(G1729),G1729,F1729))</f>
        <v/>
      </c>
      <c r="U1729" s="46">
        <f>IF(ISNUMBER(T1729),ABS(T1729),"")</f>
        <v/>
      </c>
      <c r="V1729" s="46">
        <f>IF(OR($D1728&lt;&gt;"측정",$C1728&lt;&gt;$C1729,NOT(ISNUMBER(L1729)),NOT(ISNUMBER(L1728)),(IF(ISNUMBER(G1729),G1729,F1729)-IF(ISNUMBER(G1728),G1728,F1728))=0),"",(L1729-L1728)/(IF(ISNUMBER(G1729),G1729,F1729)-IF(ISNUMBER(G1728),G1728,F1728)))</f>
        <v/>
      </c>
      <c r="W1729" s="30">
        <f>IF(NOT(AND(ISNUMBER(N1729),ISNUMBER(P1729))),"",(P1729-N1729)*1440)</f>
        <v/>
      </c>
      <c r="X1729" s="28" t="n"/>
      <c r="Y1729" s="28" t="n"/>
      <c r="Z1729" s="28" t="n"/>
      <c r="AA1729" s="31" t="n"/>
      <c r="AB1729" s="31" t="n"/>
    </row>
    <row r="1730">
      <c r="A1730" s="25" t="inlineStr">
        <is>
          <t>S34</t>
        </is>
      </c>
      <c r="B1730" s="25" t="inlineStr">
        <is>
          <t>부안 신규점</t>
        </is>
      </c>
      <c r="C1730" s="25" t="inlineStr">
        <is>
          <t>S34-H동</t>
        </is>
      </c>
      <c r="D1730" s="25" t="inlineStr">
        <is>
          <t>측정</t>
        </is>
      </c>
      <c r="E1730" s="25" t="inlineStr">
        <is>
          <t>동</t>
        </is>
      </c>
      <c r="F1730" s="30" t="n">
        <v>8</v>
      </c>
      <c r="G1730" s="29" t="n"/>
      <c r="H1730" s="42" t="n"/>
      <c r="I1730" s="40" t="n"/>
      <c r="J1730" s="40" t="n"/>
      <c r="K1730" s="40" t="n"/>
      <c r="L1730" s="30">
        <f>IF(COUNT(I1730:K1730)=0,"",MEDIAN(I1730:K1730))</f>
        <v/>
      </c>
      <c r="M1730" s="25">
        <f>IF(COUNTIFS($C:$C,$C1730,$D:$D,"P0(전)",$L:$L,"&gt;0")&lt;&gt;1,"P0(전) 유효 1개 아님",IF(COUNTIFS($C:$C,$C1730,$D:$D,"P0(후)",$L:$L,"&gt;0")&lt;&gt;1,"P0(후) 유효 1개 아님",IF(NOT(AND(ISNUMBER(N1730),ISNUMBER(P1730),ISNUMBER(H1730))),"시각 결측",IF(P1730&lt;=N1730,"P0 시각 역전",IF(OR(H1730&lt;N1730,H1730&gt;P1730),"측정시각 구간 밖","OK")))))</f>
        <v/>
      </c>
      <c r="N1730" s="45">
        <f>IF(COUNTIFS($C:$C,$C1730,$D:$D,"P0(전)",$L:$L,"&gt;0")&lt;&gt;1,"",SUMIFS($H:$H,$C:$C,$C1730,$D:$D,"P0(전)"))</f>
        <v/>
      </c>
      <c r="O1730" s="30">
        <f>IF(COUNTIFS($C:$C,$C1730,$D:$D,"P0(전)",$L:$L,"&gt;0")&lt;&gt;1,"",SUMIFS($L:$L,$C:$C,$C1730,$D:$D,"P0(전)"))</f>
        <v/>
      </c>
      <c r="P1730" s="45">
        <f>IF(COUNTIFS($C:$C,$C1730,$D:$D,"P0(후)",$L:$L,"&gt;0")&lt;&gt;1,"",SUMIFS($H:$H,$C:$C,$C1730,$D:$D,"P0(후)"))</f>
        <v/>
      </c>
      <c r="Q1730" s="30">
        <f>IF(COUNTIFS($C:$C,$C1730,$D:$D,"P0(후)",$L:$L,"&gt;0")&lt;&gt;1,"",SUMIFS($L:$L,$C:$C,$C1730,$D:$D,"P0(후)"))</f>
        <v/>
      </c>
      <c r="R1730" s="30">
        <f>IF(M1730&lt;&gt;"OK","",O1730+(Q1730-O1730)*(H1730-N1730)/(P1730-N1730))</f>
        <v/>
      </c>
      <c r="S1730" s="30">
        <f>IF(OR(M1730&lt;&gt;"OK",NOT(ISNUMBER(L1730))),"",L1730-R1730)</f>
        <v/>
      </c>
      <c r="T1730" s="46">
        <f>IF(OR(NOT(ISNUMBER(S1730)),IF(ISNUMBER(G1730),G1730,F1730)=0),"",S1730/IF(ISNUMBER(G1730),G1730,F1730))</f>
        <v/>
      </c>
      <c r="U1730" s="46">
        <f>IF(ISNUMBER(T1730),ABS(T1730),"")</f>
        <v/>
      </c>
      <c r="V1730" s="46">
        <f>IF(OR($D1729&lt;&gt;"측정",$C1729&lt;&gt;$C1730,NOT(ISNUMBER(L1730)),NOT(ISNUMBER(L1729)),(IF(ISNUMBER(G1730),G1730,F1730)-IF(ISNUMBER(G1729),G1729,F1729))=0),"",(L1730-L1729)/(IF(ISNUMBER(G1730),G1730,F1730)-IF(ISNUMBER(G1729),G1729,F1729)))</f>
        <v/>
      </c>
      <c r="W1730" s="30">
        <f>IF(NOT(AND(ISNUMBER(N1730),ISNUMBER(P1730))),"",(P1730-N1730)*1440)</f>
        <v/>
      </c>
      <c r="X1730" s="28" t="n"/>
      <c r="Y1730" s="28" t="n"/>
      <c r="Z1730" s="28" t="n"/>
      <c r="AA1730" s="31" t="n"/>
      <c r="AB1730" s="31" t="n"/>
    </row>
    <row r="1731">
      <c r="A1731" s="25" t="inlineStr">
        <is>
          <t>S34</t>
        </is>
      </c>
      <c r="B1731" s="25" t="inlineStr">
        <is>
          <t>부안 신규점</t>
        </is>
      </c>
      <c r="C1731" s="25" t="inlineStr">
        <is>
          <t>S34-H동</t>
        </is>
      </c>
      <c r="D1731" s="25" t="inlineStr">
        <is>
          <t>측정</t>
        </is>
      </c>
      <c r="E1731" s="25" t="inlineStr">
        <is>
          <t>동</t>
        </is>
      </c>
      <c r="F1731" s="30" t="n">
        <v>9</v>
      </c>
      <c r="G1731" s="29" t="n"/>
      <c r="H1731" s="42" t="n"/>
      <c r="I1731" s="40" t="n"/>
      <c r="J1731" s="40" t="n"/>
      <c r="K1731" s="40" t="n"/>
      <c r="L1731" s="30">
        <f>IF(COUNT(I1731:K1731)=0,"",MEDIAN(I1731:K1731))</f>
        <v/>
      </c>
      <c r="M1731" s="25">
        <f>IF(COUNTIFS($C:$C,$C1731,$D:$D,"P0(전)",$L:$L,"&gt;0")&lt;&gt;1,"P0(전) 유효 1개 아님",IF(COUNTIFS($C:$C,$C1731,$D:$D,"P0(후)",$L:$L,"&gt;0")&lt;&gt;1,"P0(후) 유효 1개 아님",IF(NOT(AND(ISNUMBER(N1731),ISNUMBER(P1731),ISNUMBER(H1731))),"시각 결측",IF(P1731&lt;=N1731,"P0 시각 역전",IF(OR(H1731&lt;N1731,H1731&gt;P1731),"측정시각 구간 밖","OK")))))</f>
        <v/>
      </c>
      <c r="N1731" s="45">
        <f>IF(COUNTIFS($C:$C,$C1731,$D:$D,"P0(전)",$L:$L,"&gt;0")&lt;&gt;1,"",SUMIFS($H:$H,$C:$C,$C1731,$D:$D,"P0(전)"))</f>
        <v/>
      </c>
      <c r="O1731" s="30">
        <f>IF(COUNTIFS($C:$C,$C1731,$D:$D,"P0(전)",$L:$L,"&gt;0")&lt;&gt;1,"",SUMIFS($L:$L,$C:$C,$C1731,$D:$D,"P0(전)"))</f>
        <v/>
      </c>
      <c r="P1731" s="45">
        <f>IF(COUNTIFS($C:$C,$C1731,$D:$D,"P0(후)",$L:$L,"&gt;0")&lt;&gt;1,"",SUMIFS($H:$H,$C:$C,$C1731,$D:$D,"P0(후)"))</f>
        <v/>
      </c>
      <c r="Q1731" s="30">
        <f>IF(COUNTIFS($C:$C,$C1731,$D:$D,"P0(후)",$L:$L,"&gt;0")&lt;&gt;1,"",SUMIFS($L:$L,$C:$C,$C1731,$D:$D,"P0(후)"))</f>
        <v/>
      </c>
      <c r="R1731" s="30">
        <f>IF(M1731&lt;&gt;"OK","",O1731+(Q1731-O1731)*(H1731-N1731)/(P1731-N1731))</f>
        <v/>
      </c>
      <c r="S1731" s="30">
        <f>IF(OR(M1731&lt;&gt;"OK",NOT(ISNUMBER(L1731))),"",L1731-R1731)</f>
        <v/>
      </c>
      <c r="T1731" s="46">
        <f>IF(OR(NOT(ISNUMBER(S1731)),IF(ISNUMBER(G1731),G1731,F1731)=0),"",S1731/IF(ISNUMBER(G1731),G1731,F1731))</f>
        <v/>
      </c>
      <c r="U1731" s="46">
        <f>IF(ISNUMBER(T1731),ABS(T1731),"")</f>
        <v/>
      </c>
      <c r="V1731" s="46">
        <f>IF(OR($D1730&lt;&gt;"측정",$C1730&lt;&gt;$C1731,NOT(ISNUMBER(L1731)),NOT(ISNUMBER(L1730)),(IF(ISNUMBER(G1731),G1731,F1731)-IF(ISNUMBER(G1730),G1730,F1730))=0),"",(L1731-L1730)/(IF(ISNUMBER(G1731),G1731,F1731)-IF(ISNUMBER(G1730),G1730,F1730)))</f>
        <v/>
      </c>
      <c r="W1731" s="30">
        <f>IF(NOT(AND(ISNUMBER(N1731),ISNUMBER(P1731))),"",(P1731-N1731)*1440)</f>
        <v/>
      </c>
      <c r="X1731" s="28" t="n"/>
      <c r="Y1731" s="28" t="n"/>
      <c r="Z1731" s="28" t="n"/>
      <c r="AA1731" s="31" t="n"/>
      <c r="AB1731" s="31" t="n"/>
    </row>
    <row r="1732">
      <c r="A1732" s="25" t="inlineStr">
        <is>
          <t>S34</t>
        </is>
      </c>
      <c r="B1732" s="25" t="inlineStr">
        <is>
          <t>부안 신규점</t>
        </is>
      </c>
      <c r="C1732" s="25" t="inlineStr">
        <is>
          <t>S34-H동</t>
        </is>
      </c>
      <c r="D1732" s="25" t="inlineStr">
        <is>
          <t>측정</t>
        </is>
      </c>
      <c r="E1732" s="25" t="inlineStr">
        <is>
          <t>동</t>
        </is>
      </c>
      <c r="F1732" s="30" t="n">
        <v>10</v>
      </c>
      <c r="G1732" s="29" t="n"/>
      <c r="H1732" s="42" t="n"/>
      <c r="I1732" s="40" t="n"/>
      <c r="J1732" s="40" t="n"/>
      <c r="K1732" s="40" t="n"/>
      <c r="L1732" s="30">
        <f>IF(COUNT(I1732:K1732)=0,"",MEDIAN(I1732:K1732))</f>
        <v/>
      </c>
      <c r="M1732" s="25">
        <f>IF(COUNTIFS($C:$C,$C1732,$D:$D,"P0(전)",$L:$L,"&gt;0")&lt;&gt;1,"P0(전) 유효 1개 아님",IF(COUNTIFS($C:$C,$C1732,$D:$D,"P0(후)",$L:$L,"&gt;0")&lt;&gt;1,"P0(후) 유효 1개 아님",IF(NOT(AND(ISNUMBER(N1732),ISNUMBER(P1732),ISNUMBER(H1732))),"시각 결측",IF(P1732&lt;=N1732,"P0 시각 역전",IF(OR(H1732&lt;N1732,H1732&gt;P1732),"측정시각 구간 밖","OK")))))</f>
        <v/>
      </c>
      <c r="N1732" s="45">
        <f>IF(COUNTIFS($C:$C,$C1732,$D:$D,"P0(전)",$L:$L,"&gt;0")&lt;&gt;1,"",SUMIFS($H:$H,$C:$C,$C1732,$D:$D,"P0(전)"))</f>
        <v/>
      </c>
      <c r="O1732" s="30">
        <f>IF(COUNTIFS($C:$C,$C1732,$D:$D,"P0(전)",$L:$L,"&gt;0")&lt;&gt;1,"",SUMIFS($L:$L,$C:$C,$C1732,$D:$D,"P0(전)"))</f>
        <v/>
      </c>
      <c r="P1732" s="45">
        <f>IF(COUNTIFS($C:$C,$C1732,$D:$D,"P0(후)",$L:$L,"&gt;0")&lt;&gt;1,"",SUMIFS($H:$H,$C:$C,$C1732,$D:$D,"P0(후)"))</f>
        <v/>
      </c>
      <c r="Q1732" s="30">
        <f>IF(COUNTIFS($C:$C,$C1732,$D:$D,"P0(후)",$L:$L,"&gt;0")&lt;&gt;1,"",SUMIFS($L:$L,$C:$C,$C1732,$D:$D,"P0(후)"))</f>
        <v/>
      </c>
      <c r="R1732" s="30">
        <f>IF(M1732&lt;&gt;"OK","",O1732+(Q1732-O1732)*(H1732-N1732)/(P1732-N1732))</f>
        <v/>
      </c>
      <c r="S1732" s="30">
        <f>IF(OR(M1732&lt;&gt;"OK",NOT(ISNUMBER(L1732))),"",L1732-R1732)</f>
        <v/>
      </c>
      <c r="T1732" s="46">
        <f>IF(OR(NOT(ISNUMBER(S1732)),IF(ISNUMBER(G1732),G1732,F1732)=0),"",S1732/IF(ISNUMBER(G1732),G1732,F1732))</f>
        <v/>
      </c>
      <c r="U1732" s="46">
        <f>IF(ISNUMBER(T1732),ABS(T1732),"")</f>
        <v/>
      </c>
      <c r="V1732" s="46">
        <f>IF(OR($D1731&lt;&gt;"측정",$C1731&lt;&gt;$C1732,NOT(ISNUMBER(L1732)),NOT(ISNUMBER(L1731)),(IF(ISNUMBER(G1732),G1732,F1732)-IF(ISNUMBER(G1731),G1731,F1731))=0),"",(L1732-L1731)/(IF(ISNUMBER(G1732),G1732,F1732)-IF(ISNUMBER(G1731),G1731,F1731)))</f>
        <v/>
      </c>
      <c r="W1732" s="30">
        <f>IF(NOT(AND(ISNUMBER(N1732),ISNUMBER(P1732))),"",(P1732-N1732)*1440)</f>
        <v/>
      </c>
      <c r="X1732" s="28" t="n"/>
      <c r="Y1732" s="28" t="n"/>
      <c r="Z1732" s="28" t="n"/>
      <c r="AA1732" s="31" t="n"/>
      <c r="AB1732" s="31" t="n"/>
    </row>
    <row r="1733">
      <c r="A1733" s="43" t="inlineStr">
        <is>
          <t>S34</t>
        </is>
      </c>
      <c r="B1733" s="43" t="inlineStr">
        <is>
          <t>부안 신규점</t>
        </is>
      </c>
      <c r="C1733" s="43" t="inlineStr">
        <is>
          <t>S34-H동</t>
        </is>
      </c>
      <c r="D1733" s="43" t="inlineStr">
        <is>
          <t>P0(후)</t>
        </is>
      </c>
      <c r="E1733" s="43" t="inlineStr">
        <is>
          <t>동</t>
        </is>
      </c>
      <c r="F1733" s="44" t="n"/>
      <c r="G1733" s="29" t="n"/>
      <c r="H1733" s="42" t="n"/>
      <c r="I1733" s="40" t="n"/>
      <c r="J1733" s="40" t="n"/>
      <c r="K1733" s="40" t="n"/>
      <c r="L1733" s="30">
        <f>IF(COUNT(I1733:K1733)=0,"",MEDIAN(I1733:K1733))</f>
        <v/>
      </c>
      <c r="M1733" s="37" t="n"/>
      <c r="N1733" s="37" t="n"/>
      <c r="O1733" s="37" t="n"/>
      <c r="P1733" s="37" t="n"/>
      <c r="Q1733" s="37" t="n"/>
      <c r="R1733" s="37" t="n"/>
      <c r="S1733" s="37" t="n"/>
      <c r="T1733" s="37" t="n"/>
      <c r="U1733" s="37" t="n"/>
      <c r="V1733" s="37" t="n"/>
      <c r="W1733" s="37" t="n"/>
      <c r="X1733" s="28" t="n"/>
      <c r="Y1733" s="28" t="n"/>
      <c r="Z1733" s="28" t="n"/>
      <c r="AA1733" s="31" t="n"/>
      <c r="AB1733" s="31" t="n"/>
    </row>
    <row r="1734">
      <c r="A1734" s="43" t="inlineStr">
        <is>
          <t>S34</t>
        </is>
      </c>
      <c r="B1734" s="43" t="inlineStr">
        <is>
          <t>부안 신규점</t>
        </is>
      </c>
      <c r="C1734" s="43" t="inlineStr">
        <is>
          <t>S34-H서</t>
        </is>
      </c>
      <c r="D1734" s="43" t="inlineStr">
        <is>
          <t>P0(전)</t>
        </is>
      </c>
      <c r="E1734" s="43" t="inlineStr">
        <is>
          <t>서</t>
        </is>
      </c>
      <c r="F1734" s="44" t="n"/>
      <c r="G1734" s="29" t="n"/>
      <c r="H1734" s="42" t="n"/>
      <c r="I1734" s="40" t="n"/>
      <c r="J1734" s="40" t="n"/>
      <c r="K1734" s="40" t="n"/>
      <c r="L1734" s="30">
        <f>IF(COUNT(I1734:K1734)=0,"",MEDIAN(I1734:K1734))</f>
        <v/>
      </c>
      <c r="M1734" s="37" t="n"/>
      <c r="N1734" s="37" t="n"/>
      <c r="O1734" s="37" t="n"/>
      <c r="P1734" s="37" t="n"/>
      <c r="Q1734" s="37" t="n"/>
      <c r="R1734" s="37" t="n"/>
      <c r="S1734" s="37" t="n"/>
      <c r="T1734" s="37" t="n"/>
      <c r="U1734" s="37" t="n"/>
      <c r="V1734" s="37" t="n"/>
      <c r="W1734" s="37" t="n"/>
      <c r="X1734" s="28" t="n"/>
      <c r="Y1734" s="28" t="n"/>
      <c r="Z1734" s="28" t="n"/>
      <c r="AA1734" s="31" t="n"/>
      <c r="AB1734" s="31" t="n"/>
    </row>
    <row r="1735">
      <c r="A1735" s="25" t="inlineStr">
        <is>
          <t>S34</t>
        </is>
      </c>
      <c r="B1735" s="25" t="inlineStr">
        <is>
          <t>부안 신규점</t>
        </is>
      </c>
      <c r="C1735" s="25" t="inlineStr">
        <is>
          <t>S34-H서</t>
        </is>
      </c>
      <c r="D1735" s="25" t="inlineStr">
        <is>
          <t>측정</t>
        </is>
      </c>
      <c r="E1735" s="25" t="inlineStr">
        <is>
          <t>서</t>
        </is>
      </c>
      <c r="F1735" s="30" t="n">
        <v>0.5</v>
      </c>
      <c r="G1735" s="29" t="n"/>
      <c r="H1735" s="42" t="n"/>
      <c r="I1735" s="40" t="n"/>
      <c r="J1735" s="40" t="n"/>
      <c r="K1735" s="40" t="n"/>
      <c r="L1735" s="30">
        <f>IF(COUNT(I1735:K1735)=0,"",MEDIAN(I1735:K1735))</f>
        <v/>
      </c>
      <c r="M1735" s="25">
        <f>IF(COUNTIFS($C:$C,$C1735,$D:$D,"P0(전)",$L:$L,"&gt;0")&lt;&gt;1,"P0(전) 유효 1개 아님",IF(COUNTIFS($C:$C,$C1735,$D:$D,"P0(후)",$L:$L,"&gt;0")&lt;&gt;1,"P0(후) 유효 1개 아님",IF(NOT(AND(ISNUMBER(N1735),ISNUMBER(P1735),ISNUMBER(H1735))),"시각 결측",IF(P1735&lt;=N1735,"P0 시각 역전",IF(OR(H1735&lt;N1735,H1735&gt;P1735),"측정시각 구간 밖","OK")))))</f>
        <v/>
      </c>
      <c r="N1735" s="45">
        <f>IF(COUNTIFS($C:$C,$C1735,$D:$D,"P0(전)",$L:$L,"&gt;0")&lt;&gt;1,"",SUMIFS($H:$H,$C:$C,$C1735,$D:$D,"P0(전)"))</f>
        <v/>
      </c>
      <c r="O1735" s="30">
        <f>IF(COUNTIFS($C:$C,$C1735,$D:$D,"P0(전)",$L:$L,"&gt;0")&lt;&gt;1,"",SUMIFS($L:$L,$C:$C,$C1735,$D:$D,"P0(전)"))</f>
        <v/>
      </c>
      <c r="P1735" s="45">
        <f>IF(COUNTIFS($C:$C,$C1735,$D:$D,"P0(후)",$L:$L,"&gt;0")&lt;&gt;1,"",SUMIFS($H:$H,$C:$C,$C1735,$D:$D,"P0(후)"))</f>
        <v/>
      </c>
      <c r="Q1735" s="30">
        <f>IF(COUNTIFS($C:$C,$C1735,$D:$D,"P0(후)",$L:$L,"&gt;0")&lt;&gt;1,"",SUMIFS($L:$L,$C:$C,$C1735,$D:$D,"P0(후)"))</f>
        <v/>
      </c>
      <c r="R1735" s="30">
        <f>IF(M1735&lt;&gt;"OK","",O1735+(Q1735-O1735)*(H1735-N1735)/(P1735-N1735))</f>
        <v/>
      </c>
      <c r="S1735" s="30">
        <f>IF(OR(M1735&lt;&gt;"OK",NOT(ISNUMBER(L1735))),"",L1735-R1735)</f>
        <v/>
      </c>
      <c r="T1735" s="46">
        <f>IF(OR(NOT(ISNUMBER(S1735)),IF(ISNUMBER(G1735),G1735,F1735)=0),"",S1735/IF(ISNUMBER(G1735),G1735,F1735))</f>
        <v/>
      </c>
      <c r="U1735" s="46">
        <f>IF(ISNUMBER(T1735),ABS(T1735),"")</f>
        <v/>
      </c>
      <c r="V1735" s="46">
        <f>IF(OR($D1734&lt;&gt;"측정",$C1734&lt;&gt;$C1735,NOT(ISNUMBER(L1735)),NOT(ISNUMBER(L1734)),(IF(ISNUMBER(G1735),G1735,F1735)-IF(ISNUMBER(G1734),G1734,F1734))=0),"",(L1735-L1734)/(IF(ISNUMBER(G1735),G1735,F1735)-IF(ISNUMBER(G1734),G1734,F1734)))</f>
        <v/>
      </c>
      <c r="W1735" s="30">
        <f>IF(NOT(AND(ISNUMBER(N1735),ISNUMBER(P1735))),"",(P1735-N1735)*1440)</f>
        <v/>
      </c>
      <c r="X1735" s="28" t="n"/>
      <c r="Y1735" s="28" t="n"/>
      <c r="Z1735" s="28" t="n"/>
      <c r="AA1735" s="31" t="n"/>
      <c r="AB1735" s="31" t="n"/>
    </row>
    <row r="1736">
      <c r="A1736" s="25" t="inlineStr">
        <is>
          <t>S34</t>
        </is>
      </c>
      <c r="B1736" s="25" t="inlineStr">
        <is>
          <t>부안 신규점</t>
        </is>
      </c>
      <c r="C1736" s="25" t="inlineStr">
        <is>
          <t>S34-H서</t>
        </is>
      </c>
      <c r="D1736" s="25" t="inlineStr">
        <is>
          <t>측정</t>
        </is>
      </c>
      <c r="E1736" s="25" t="inlineStr">
        <is>
          <t>서</t>
        </is>
      </c>
      <c r="F1736" s="30" t="n">
        <v>1</v>
      </c>
      <c r="G1736" s="29" t="n"/>
      <c r="H1736" s="42" t="n"/>
      <c r="I1736" s="40" t="n"/>
      <c r="J1736" s="40" t="n"/>
      <c r="K1736" s="40" t="n"/>
      <c r="L1736" s="30">
        <f>IF(COUNT(I1736:K1736)=0,"",MEDIAN(I1736:K1736))</f>
        <v/>
      </c>
      <c r="M1736" s="25">
        <f>IF(COUNTIFS($C:$C,$C1736,$D:$D,"P0(전)",$L:$L,"&gt;0")&lt;&gt;1,"P0(전) 유효 1개 아님",IF(COUNTIFS($C:$C,$C1736,$D:$D,"P0(후)",$L:$L,"&gt;0")&lt;&gt;1,"P0(후) 유효 1개 아님",IF(NOT(AND(ISNUMBER(N1736),ISNUMBER(P1736),ISNUMBER(H1736))),"시각 결측",IF(P1736&lt;=N1736,"P0 시각 역전",IF(OR(H1736&lt;N1736,H1736&gt;P1736),"측정시각 구간 밖","OK")))))</f>
        <v/>
      </c>
      <c r="N1736" s="45">
        <f>IF(COUNTIFS($C:$C,$C1736,$D:$D,"P0(전)",$L:$L,"&gt;0")&lt;&gt;1,"",SUMIFS($H:$H,$C:$C,$C1736,$D:$D,"P0(전)"))</f>
        <v/>
      </c>
      <c r="O1736" s="30">
        <f>IF(COUNTIFS($C:$C,$C1736,$D:$D,"P0(전)",$L:$L,"&gt;0")&lt;&gt;1,"",SUMIFS($L:$L,$C:$C,$C1736,$D:$D,"P0(전)"))</f>
        <v/>
      </c>
      <c r="P1736" s="45">
        <f>IF(COUNTIFS($C:$C,$C1736,$D:$D,"P0(후)",$L:$L,"&gt;0")&lt;&gt;1,"",SUMIFS($H:$H,$C:$C,$C1736,$D:$D,"P0(후)"))</f>
        <v/>
      </c>
      <c r="Q1736" s="30">
        <f>IF(COUNTIFS($C:$C,$C1736,$D:$D,"P0(후)",$L:$L,"&gt;0")&lt;&gt;1,"",SUMIFS($L:$L,$C:$C,$C1736,$D:$D,"P0(후)"))</f>
        <v/>
      </c>
      <c r="R1736" s="30">
        <f>IF(M1736&lt;&gt;"OK","",O1736+(Q1736-O1736)*(H1736-N1736)/(P1736-N1736))</f>
        <v/>
      </c>
      <c r="S1736" s="30">
        <f>IF(OR(M1736&lt;&gt;"OK",NOT(ISNUMBER(L1736))),"",L1736-R1736)</f>
        <v/>
      </c>
      <c r="T1736" s="46">
        <f>IF(OR(NOT(ISNUMBER(S1736)),IF(ISNUMBER(G1736),G1736,F1736)=0),"",S1736/IF(ISNUMBER(G1736),G1736,F1736))</f>
        <v/>
      </c>
      <c r="U1736" s="46">
        <f>IF(ISNUMBER(T1736),ABS(T1736),"")</f>
        <v/>
      </c>
      <c r="V1736" s="46">
        <f>IF(OR($D1735&lt;&gt;"측정",$C1735&lt;&gt;$C1736,NOT(ISNUMBER(L1736)),NOT(ISNUMBER(L1735)),(IF(ISNUMBER(G1736),G1736,F1736)-IF(ISNUMBER(G1735),G1735,F1735))=0),"",(L1736-L1735)/(IF(ISNUMBER(G1736),G1736,F1736)-IF(ISNUMBER(G1735),G1735,F1735)))</f>
        <v/>
      </c>
      <c r="W1736" s="30">
        <f>IF(NOT(AND(ISNUMBER(N1736),ISNUMBER(P1736))),"",(P1736-N1736)*1440)</f>
        <v/>
      </c>
      <c r="X1736" s="28" t="n"/>
      <c r="Y1736" s="28" t="n"/>
      <c r="Z1736" s="28" t="n"/>
      <c r="AA1736" s="31" t="n"/>
      <c r="AB1736" s="31" t="n"/>
    </row>
    <row r="1737">
      <c r="A1737" s="25" t="inlineStr">
        <is>
          <t>S34</t>
        </is>
      </c>
      <c r="B1737" s="25" t="inlineStr">
        <is>
          <t>부안 신규점</t>
        </is>
      </c>
      <c r="C1737" s="25" t="inlineStr">
        <is>
          <t>S34-H서</t>
        </is>
      </c>
      <c r="D1737" s="25" t="inlineStr">
        <is>
          <t>측정</t>
        </is>
      </c>
      <c r="E1737" s="25" t="inlineStr">
        <is>
          <t>서</t>
        </is>
      </c>
      <c r="F1737" s="30" t="n">
        <v>2</v>
      </c>
      <c r="G1737" s="29" t="n"/>
      <c r="H1737" s="42" t="n"/>
      <c r="I1737" s="40" t="n"/>
      <c r="J1737" s="40" t="n"/>
      <c r="K1737" s="40" t="n"/>
      <c r="L1737" s="30">
        <f>IF(COUNT(I1737:K1737)=0,"",MEDIAN(I1737:K1737))</f>
        <v/>
      </c>
      <c r="M1737" s="25">
        <f>IF(COUNTIFS($C:$C,$C1737,$D:$D,"P0(전)",$L:$L,"&gt;0")&lt;&gt;1,"P0(전) 유효 1개 아님",IF(COUNTIFS($C:$C,$C1737,$D:$D,"P0(후)",$L:$L,"&gt;0")&lt;&gt;1,"P0(후) 유효 1개 아님",IF(NOT(AND(ISNUMBER(N1737),ISNUMBER(P1737),ISNUMBER(H1737))),"시각 결측",IF(P1737&lt;=N1737,"P0 시각 역전",IF(OR(H1737&lt;N1737,H1737&gt;P1737),"측정시각 구간 밖","OK")))))</f>
        <v/>
      </c>
      <c r="N1737" s="45">
        <f>IF(COUNTIFS($C:$C,$C1737,$D:$D,"P0(전)",$L:$L,"&gt;0")&lt;&gt;1,"",SUMIFS($H:$H,$C:$C,$C1737,$D:$D,"P0(전)"))</f>
        <v/>
      </c>
      <c r="O1737" s="30">
        <f>IF(COUNTIFS($C:$C,$C1737,$D:$D,"P0(전)",$L:$L,"&gt;0")&lt;&gt;1,"",SUMIFS($L:$L,$C:$C,$C1737,$D:$D,"P0(전)"))</f>
        <v/>
      </c>
      <c r="P1737" s="45">
        <f>IF(COUNTIFS($C:$C,$C1737,$D:$D,"P0(후)",$L:$L,"&gt;0")&lt;&gt;1,"",SUMIFS($H:$H,$C:$C,$C1737,$D:$D,"P0(후)"))</f>
        <v/>
      </c>
      <c r="Q1737" s="30">
        <f>IF(COUNTIFS($C:$C,$C1737,$D:$D,"P0(후)",$L:$L,"&gt;0")&lt;&gt;1,"",SUMIFS($L:$L,$C:$C,$C1737,$D:$D,"P0(후)"))</f>
        <v/>
      </c>
      <c r="R1737" s="30">
        <f>IF(M1737&lt;&gt;"OK","",O1737+(Q1737-O1737)*(H1737-N1737)/(P1737-N1737))</f>
        <v/>
      </c>
      <c r="S1737" s="30">
        <f>IF(OR(M1737&lt;&gt;"OK",NOT(ISNUMBER(L1737))),"",L1737-R1737)</f>
        <v/>
      </c>
      <c r="T1737" s="46">
        <f>IF(OR(NOT(ISNUMBER(S1737)),IF(ISNUMBER(G1737),G1737,F1737)=0),"",S1737/IF(ISNUMBER(G1737),G1737,F1737))</f>
        <v/>
      </c>
      <c r="U1737" s="46">
        <f>IF(ISNUMBER(T1737),ABS(T1737),"")</f>
        <v/>
      </c>
      <c r="V1737" s="46">
        <f>IF(OR($D1736&lt;&gt;"측정",$C1736&lt;&gt;$C1737,NOT(ISNUMBER(L1737)),NOT(ISNUMBER(L1736)),(IF(ISNUMBER(G1737),G1737,F1737)-IF(ISNUMBER(G1736),G1736,F1736))=0),"",(L1737-L1736)/(IF(ISNUMBER(G1737),G1737,F1737)-IF(ISNUMBER(G1736),G1736,F1736)))</f>
        <v/>
      </c>
      <c r="W1737" s="30">
        <f>IF(NOT(AND(ISNUMBER(N1737),ISNUMBER(P1737))),"",(P1737-N1737)*1440)</f>
        <v/>
      </c>
      <c r="X1737" s="28" t="n"/>
      <c r="Y1737" s="28" t="n"/>
      <c r="Z1737" s="28" t="n"/>
      <c r="AA1737" s="31" t="n"/>
      <c r="AB1737" s="31" t="n"/>
    </row>
    <row r="1738">
      <c r="A1738" s="25" t="inlineStr">
        <is>
          <t>S34</t>
        </is>
      </c>
      <c r="B1738" s="25" t="inlineStr">
        <is>
          <t>부안 신규점</t>
        </is>
      </c>
      <c r="C1738" s="25" t="inlineStr">
        <is>
          <t>S34-H서</t>
        </is>
      </c>
      <c r="D1738" s="25" t="inlineStr">
        <is>
          <t>측정</t>
        </is>
      </c>
      <c r="E1738" s="25" t="inlineStr">
        <is>
          <t>서</t>
        </is>
      </c>
      <c r="F1738" s="30" t="n">
        <v>3</v>
      </c>
      <c r="G1738" s="29" t="n"/>
      <c r="H1738" s="42" t="n"/>
      <c r="I1738" s="40" t="n"/>
      <c r="J1738" s="40" t="n"/>
      <c r="K1738" s="40" t="n"/>
      <c r="L1738" s="30">
        <f>IF(COUNT(I1738:K1738)=0,"",MEDIAN(I1738:K1738))</f>
        <v/>
      </c>
      <c r="M1738" s="25">
        <f>IF(COUNTIFS($C:$C,$C1738,$D:$D,"P0(전)",$L:$L,"&gt;0")&lt;&gt;1,"P0(전) 유효 1개 아님",IF(COUNTIFS($C:$C,$C1738,$D:$D,"P0(후)",$L:$L,"&gt;0")&lt;&gt;1,"P0(후) 유효 1개 아님",IF(NOT(AND(ISNUMBER(N1738),ISNUMBER(P1738),ISNUMBER(H1738))),"시각 결측",IF(P1738&lt;=N1738,"P0 시각 역전",IF(OR(H1738&lt;N1738,H1738&gt;P1738),"측정시각 구간 밖","OK")))))</f>
        <v/>
      </c>
      <c r="N1738" s="45">
        <f>IF(COUNTIFS($C:$C,$C1738,$D:$D,"P0(전)",$L:$L,"&gt;0")&lt;&gt;1,"",SUMIFS($H:$H,$C:$C,$C1738,$D:$D,"P0(전)"))</f>
        <v/>
      </c>
      <c r="O1738" s="30">
        <f>IF(COUNTIFS($C:$C,$C1738,$D:$D,"P0(전)",$L:$L,"&gt;0")&lt;&gt;1,"",SUMIFS($L:$L,$C:$C,$C1738,$D:$D,"P0(전)"))</f>
        <v/>
      </c>
      <c r="P1738" s="45">
        <f>IF(COUNTIFS($C:$C,$C1738,$D:$D,"P0(후)",$L:$L,"&gt;0")&lt;&gt;1,"",SUMIFS($H:$H,$C:$C,$C1738,$D:$D,"P0(후)"))</f>
        <v/>
      </c>
      <c r="Q1738" s="30">
        <f>IF(COUNTIFS($C:$C,$C1738,$D:$D,"P0(후)",$L:$L,"&gt;0")&lt;&gt;1,"",SUMIFS($L:$L,$C:$C,$C1738,$D:$D,"P0(후)"))</f>
        <v/>
      </c>
      <c r="R1738" s="30">
        <f>IF(M1738&lt;&gt;"OK","",O1738+(Q1738-O1738)*(H1738-N1738)/(P1738-N1738))</f>
        <v/>
      </c>
      <c r="S1738" s="30">
        <f>IF(OR(M1738&lt;&gt;"OK",NOT(ISNUMBER(L1738))),"",L1738-R1738)</f>
        <v/>
      </c>
      <c r="T1738" s="46">
        <f>IF(OR(NOT(ISNUMBER(S1738)),IF(ISNUMBER(G1738),G1738,F1738)=0),"",S1738/IF(ISNUMBER(G1738),G1738,F1738))</f>
        <v/>
      </c>
      <c r="U1738" s="46">
        <f>IF(ISNUMBER(T1738),ABS(T1738),"")</f>
        <v/>
      </c>
      <c r="V1738" s="46">
        <f>IF(OR($D1737&lt;&gt;"측정",$C1737&lt;&gt;$C1738,NOT(ISNUMBER(L1738)),NOT(ISNUMBER(L1737)),(IF(ISNUMBER(G1738),G1738,F1738)-IF(ISNUMBER(G1737),G1737,F1737))=0),"",(L1738-L1737)/(IF(ISNUMBER(G1738),G1738,F1738)-IF(ISNUMBER(G1737),G1737,F1737)))</f>
        <v/>
      </c>
      <c r="W1738" s="30">
        <f>IF(NOT(AND(ISNUMBER(N1738),ISNUMBER(P1738))),"",(P1738-N1738)*1440)</f>
        <v/>
      </c>
      <c r="X1738" s="28" t="n"/>
      <c r="Y1738" s="28" t="n"/>
      <c r="Z1738" s="28" t="n"/>
      <c r="AA1738" s="31" t="n"/>
      <c r="AB1738" s="31" t="n"/>
    </row>
    <row r="1739">
      <c r="A1739" s="25" t="inlineStr">
        <is>
          <t>S34</t>
        </is>
      </c>
      <c r="B1739" s="25" t="inlineStr">
        <is>
          <t>부안 신규점</t>
        </is>
      </c>
      <c r="C1739" s="25" t="inlineStr">
        <is>
          <t>S34-H서</t>
        </is>
      </c>
      <c r="D1739" s="25" t="inlineStr">
        <is>
          <t>측정</t>
        </is>
      </c>
      <c r="E1739" s="25" t="inlineStr">
        <is>
          <t>서</t>
        </is>
      </c>
      <c r="F1739" s="30" t="n">
        <v>4</v>
      </c>
      <c r="G1739" s="29" t="n"/>
      <c r="H1739" s="42" t="n"/>
      <c r="I1739" s="40" t="n"/>
      <c r="J1739" s="40" t="n"/>
      <c r="K1739" s="40" t="n"/>
      <c r="L1739" s="30">
        <f>IF(COUNT(I1739:K1739)=0,"",MEDIAN(I1739:K1739))</f>
        <v/>
      </c>
      <c r="M1739" s="25">
        <f>IF(COUNTIFS($C:$C,$C1739,$D:$D,"P0(전)",$L:$L,"&gt;0")&lt;&gt;1,"P0(전) 유효 1개 아님",IF(COUNTIFS($C:$C,$C1739,$D:$D,"P0(후)",$L:$L,"&gt;0")&lt;&gt;1,"P0(후) 유효 1개 아님",IF(NOT(AND(ISNUMBER(N1739),ISNUMBER(P1739),ISNUMBER(H1739))),"시각 결측",IF(P1739&lt;=N1739,"P0 시각 역전",IF(OR(H1739&lt;N1739,H1739&gt;P1739),"측정시각 구간 밖","OK")))))</f>
        <v/>
      </c>
      <c r="N1739" s="45">
        <f>IF(COUNTIFS($C:$C,$C1739,$D:$D,"P0(전)",$L:$L,"&gt;0")&lt;&gt;1,"",SUMIFS($H:$H,$C:$C,$C1739,$D:$D,"P0(전)"))</f>
        <v/>
      </c>
      <c r="O1739" s="30">
        <f>IF(COUNTIFS($C:$C,$C1739,$D:$D,"P0(전)",$L:$L,"&gt;0")&lt;&gt;1,"",SUMIFS($L:$L,$C:$C,$C1739,$D:$D,"P0(전)"))</f>
        <v/>
      </c>
      <c r="P1739" s="45">
        <f>IF(COUNTIFS($C:$C,$C1739,$D:$D,"P0(후)",$L:$L,"&gt;0")&lt;&gt;1,"",SUMIFS($H:$H,$C:$C,$C1739,$D:$D,"P0(후)"))</f>
        <v/>
      </c>
      <c r="Q1739" s="30">
        <f>IF(COUNTIFS($C:$C,$C1739,$D:$D,"P0(후)",$L:$L,"&gt;0")&lt;&gt;1,"",SUMIFS($L:$L,$C:$C,$C1739,$D:$D,"P0(후)"))</f>
        <v/>
      </c>
      <c r="R1739" s="30">
        <f>IF(M1739&lt;&gt;"OK","",O1739+(Q1739-O1739)*(H1739-N1739)/(P1739-N1739))</f>
        <v/>
      </c>
      <c r="S1739" s="30">
        <f>IF(OR(M1739&lt;&gt;"OK",NOT(ISNUMBER(L1739))),"",L1739-R1739)</f>
        <v/>
      </c>
      <c r="T1739" s="46">
        <f>IF(OR(NOT(ISNUMBER(S1739)),IF(ISNUMBER(G1739),G1739,F1739)=0),"",S1739/IF(ISNUMBER(G1739),G1739,F1739))</f>
        <v/>
      </c>
      <c r="U1739" s="46">
        <f>IF(ISNUMBER(T1739),ABS(T1739),"")</f>
        <v/>
      </c>
      <c r="V1739" s="46">
        <f>IF(OR($D1738&lt;&gt;"측정",$C1738&lt;&gt;$C1739,NOT(ISNUMBER(L1739)),NOT(ISNUMBER(L1738)),(IF(ISNUMBER(G1739),G1739,F1739)-IF(ISNUMBER(G1738),G1738,F1738))=0),"",(L1739-L1738)/(IF(ISNUMBER(G1739),G1739,F1739)-IF(ISNUMBER(G1738),G1738,F1738)))</f>
        <v/>
      </c>
      <c r="W1739" s="30">
        <f>IF(NOT(AND(ISNUMBER(N1739),ISNUMBER(P1739))),"",(P1739-N1739)*1440)</f>
        <v/>
      </c>
      <c r="X1739" s="28" t="n"/>
      <c r="Y1739" s="28" t="n"/>
      <c r="Z1739" s="28" t="n"/>
      <c r="AA1739" s="31" t="n"/>
      <c r="AB1739" s="31" t="n"/>
    </row>
    <row r="1740">
      <c r="A1740" s="25" t="inlineStr">
        <is>
          <t>S34</t>
        </is>
      </c>
      <c r="B1740" s="25" t="inlineStr">
        <is>
          <t>부안 신규점</t>
        </is>
      </c>
      <c r="C1740" s="25" t="inlineStr">
        <is>
          <t>S34-H서</t>
        </is>
      </c>
      <c r="D1740" s="25" t="inlineStr">
        <is>
          <t>측정</t>
        </is>
      </c>
      <c r="E1740" s="25" t="inlineStr">
        <is>
          <t>서</t>
        </is>
      </c>
      <c r="F1740" s="30" t="n">
        <v>5</v>
      </c>
      <c r="G1740" s="29" t="n"/>
      <c r="H1740" s="42" t="n"/>
      <c r="I1740" s="40" t="n"/>
      <c r="J1740" s="40" t="n"/>
      <c r="K1740" s="40" t="n"/>
      <c r="L1740" s="30">
        <f>IF(COUNT(I1740:K1740)=0,"",MEDIAN(I1740:K1740))</f>
        <v/>
      </c>
      <c r="M1740" s="25">
        <f>IF(COUNTIFS($C:$C,$C1740,$D:$D,"P0(전)",$L:$L,"&gt;0")&lt;&gt;1,"P0(전) 유효 1개 아님",IF(COUNTIFS($C:$C,$C1740,$D:$D,"P0(후)",$L:$L,"&gt;0")&lt;&gt;1,"P0(후) 유효 1개 아님",IF(NOT(AND(ISNUMBER(N1740),ISNUMBER(P1740),ISNUMBER(H1740))),"시각 결측",IF(P1740&lt;=N1740,"P0 시각 역전",IF(OR(H1740&lt;N1740,H1740&gt;P1740),"측정시각 구간 밖","OK")))))</f>
        <v/>
      </c>
      <c r="N1740" s="45">
        <f>IF(COUNTIFS($C:$C,$C1740,$D:$D,"P0(전)",$L:$L,"&gt;0")&lt;&gt;1,"",SUMIFS($H:$H,$C:$C,$C1740,$D:$D,"P0(전)"))</f>
        <v/>
      </c>
      <c r="O1740" s="30">
        <f>IF(COUNTIFS($C:$C,$C1740,$D:$D,"P0(전)",$L:$L,"&gt;0")&lt;&gt;1,"",SUMIFS($L:$L,$C:$C,$C1740,$D:$D,"P0(전)"))</f>
        <v/>
      </c>
      <c r="P1740" s="45">
        <f>IF(COUNTIFS($C:$C,$C1740,$D:$D,"P0(후)",$L:$L,"&gt;0")&lt;&gt;1,"",SUMIFS($H:$H,$C:$C,$C1740,$D:$D,"P0(후)"))</f>
        <v/>
      </c>
      <c r="Q1740" s="30">
        <f>IF(COUNTIFS($C:$C,$C1740,$D:$D,"P0(후)",$L:$L,"&gt;0")&lt;&gt;1,"",SUMIFS($L:$L,$C:$C,$C1740,$D:$D,"P0(후)"))</f>
        <v/>
      </c>
      <c r="R1740" s="30">
        <f>IF(M1740&lt;&gt;"OK","",O1740+(Q1740-O1740)*(H1740-N1740)/(P1740-N1740))</f>
        <v/>
      </c>
      <c r="S1740" s="30">
        <f>IF(OR(M1740&lt;&gt;"OK",NOT(ISNUMBER(L1740))),"",L1740-R1740)</f>
        <v/>
      </c>
      <c r="T1740" s="46">
        <f>IF(OR(NOT(ISNUMBER(S1740)),IF(ISNUMBER(G1740),G1740,F1740)=0),"",S1740/IF(ISNUMBER(G1740),G1740,F1740))</f>
        <v/>
      </c>
      <c r="U1740" s="46">
        <f>IF(ISNUMBER(T1740),ABS(T1740),"")</f>
        <v/>
      </c>
      <c r="V1740" s="46">
        <f>IF(OR($D1739&lt;&gt;"측정",$C1739&lt;&gt;$C1740,NOT(ISNUMBER(L1740)),NOT(ISNUMBER(L1739)),(IF(ISNUMBER(G1740),G1740,F1740)-IF(ISNUMBER(G1739),G1739,F1739))=0),"",(L1740-L1739)/(IF(ISNUMBER(G1740),G1740,F1740)-IF(ISNUMBER(G1739),G1739,F1739)))</f>
        <v/>
      </c>
      <c r="W1740" s="30">
        <f>IF(NOT(AND(ISNUMBER(N1740),ISNUMBER(P1740))),"",(P1740-N1740)*1440)</f>
        <v/>
      </c>
      <c r="X1740" s="28" t="n"/>
      <c r="Y1740" s="28" t="n"/>
      <c r="Z1740" s="28" t="n"/>
      <c r="AA1740" s="31" t="n"/>
      <c r="AB1740" s="31" t="n"/>
    </row>
    <row r="1741">
      <c r="A1741" s="25" t="inlineStr">
        <is>
          <t>S34</t>
        </is>
      </c>
      <c r="B1741" s="25" t="inlineStr">
        <is>
          <t>부안 신규점</t>
        </is>
      </c>
      <c r="C1741" s="25" t="inlineStr">
        <is>
          <t>S34-H서</t>
        </is>
      </c>
      <c r="D1741" s="25" t="inlineStr">
        <is>
          <t>측정</t>
        </is>
      </c>
      <c r="E1741" s="25" t="inlineStr">
        <is>
          <t>서</t>
        </is>
      </c>
      <c r="F1741" s="30" t="n">
        <v>6</v>
      </c>
      <c r="G1741" s="29" t="n"/>
      <c r="H1741" s="42" t="n"/>
      <c r="I1741" s="40" t="n"/>
      <c r="J1741" s="40" t="n"/>
      <c r="K1741" s="40" t="n"/>
      <c r="L1741" s="30">
        <f>IF(COUNT(I1741:K1741)=0,"",MEDIAN(I1741:K1741))</f>
        <v/>
      </c>
      <c r="M1741" s="25">
        <f>IF(COUNTIFS($C:$C,$C1741,$D:$D,"P0(전)",$L:$L,"&gt;0")&lt;&gt;1,"P0(전) 유효 1개 아님",IF(COUNTIFS($C:$C,$C1741,$D:$D,"P0(후)",$L:$L,"&gt;0")&lt;&gt;1,"P0(후) 유효 1개 아님",IF(NOT(AND(ISNUMBER(N1741),ISNUMBER(P1741),ISNUMBER(H1741))),"시각 결측",IF(P1741&lt;=N1741,"P0 시각 역전",IF(OR(H1741&lt;N1741,H1741&gt;P1741),"측정시각 구간 밖","OK")))))</f>
        <v/>
      </c>
      <c r="N1741" s="45">
        <f>IF(COUNTIFS($C:$C,$C1741,$D:$D,"P0(전)",$L:$L,"&gt;0")&lt;&gt;1,"",SUMIFS($H:$H,$C:$C,$C1741,$D:$D,"P0(전)"))</f>
        <v/>
      </c>
      <c r="O1741" s="30">
        <f>IF(COUNTIFS($C:$C,$C1741,$D:$D,"P0(전)",$L:$L,"&gt;0")&lt;&gt;1,"",SUMIFS($L:$L,$C:$C,$C1741,$D:$D,"P0(전)"))</f>
        <v/>
      </c>
      <c r="P1741" s="45">
        <f>IF(COUNTIFS($C:$C,$C1741,$D:$D,"P0(후)",$L:$L,"&gt;0")&lt;&gt;1,"",SUMIFS($H:$H,$C:$C,$C1741,$D:$D,"P0(후)"))</f>
        <v/>
      </c>
      <c r="Q1741" s="30">
        <f>IF(COUNTIFS($C:$C,$C1741,$D:$D,"P0(후)",$L:$L,"&gt;0")&lt;&gt;1,"",SUMIFS($L:$L,$C:$C,$C1741,$D:$D,"P0(후)"))</f>
        <v/>
      </c>
      <c r="R1741" s="30">
        <f>IF(M1741&lt;&gt;"OK","",O1741+(Q1741-O1741)*(H1741-N1741)/(P1741-N1741))</f>
        <v/>
      </c>
      <c r="S1741" s="30">
        <f>IF(OR(M1741&lt;&gt;"OK",NOT(ISNUMBER(L1741))),"",L1741-R1741)</f>
        <v/>
      </c>
      <c r="T1741" s="46">
        <f>IF(OR(NOT(ISNUMBER(S1741)),IF(ISNUMBER(G1741),G1741,F1741)=0),"",S1741/IF(ISNUMBER(G1741),G1741,F1741))</f>
        <v/>
      </c>
      <c r="U1741" s="46">
        <f>IF(ISNUMBER(T1741),ABS(T1741),"")</f>
        <v/>
      </c>
      <c r="V1741" s="46">
        <f>IF(OR($D1740&lt;&gt;"측정",$C1740&lt;&gt;$C1741,NOT(ISNUMBER(L1741)),NOT(ISNUMBER(L1740)),(IF(ISNUMBER(G1741),G1741,F1741)-IF(ISNUMBER(G1740),G1740,F1740))=0),"",(L1741-L1740)/(IF(ISNUMBER(G1741),G1741,F1741)-IF(ISNUMBER(G1740),G1740,F1740)))</f>
        <v/>
      </c>
      <c r="W1741" s="30">
        <f>IF(NOT(AND(ISNUMBER(N1741),ISNUMBER(P1741))),"",(P1741-N1741)*1440)</f>
        <v/>
      </c>
      <c r="X1741" s="28" t="n"/>
      <c r="Y1741" s="28" t="n"/>
      <c r="Z1741" s="28" t="n"/>
      <c r="AA1741" s="31" t="n"/>
      <c r="AB1741" s="31" t="n"/>
    </row>
    <row r="1742">
      <c r="A1742" s="25" t="inlineStr">
        <is>
          <t>S34</t>
        </is>
      </c>
      <c r="B1742" s="25" t="inlineStr">
        <is>
          <t>부안 신규점</t>
        </is>
      </c>
      <c r="C1742" s="25" t="inlineStr">
        <is>
          <t>S34-H서</t>
        </is>
      </c>
      <c r="D1742" s="25" t="inlineStr">
        <is>
          <t>측정</t>
        </is>
      </c>
      <c r="E1742" s="25" t="inlineStr">
        <is>
          <t>서</t>
        </is>
      </c>
      <c r="F1742" s="30" t="n">
        <v>7</v>
      </c>
      <c r="G1742" s="29" t="n"/>
      <c r="H1742" s="42" t="n"/>
      <c r="I1742" s="40" t="n"/>
      <c r="J1742" s="40" t="n"/>
      <c r="K1742" s="40" t="n"/>
      <c r="L1742" s="30">
        <f>IF(COUNT(I1742:K1742)=0,"",MEDIAN(I1742:K1742))</f>
        <v/>
      </c>
      <c r="M1742" s="25">
        <f>IF(COUNTIFS($C:$C,$C1742,$D:$D,"P0(전)",$L:$L,"&gt;0")&lt;&gt;1,"P0(전) 유효 1개 아님",IF(COUNTIFS($C:$C,$C1742,$D:$D,"P0(후)",$L:$L,"&gt;0")&lt;&gt;1,"P0(후) 유효 1개 아님",IF(NOT(AND(ISNUMBER(N1742),ISNUMBER(P1742),ISNUMBER(H1742))),"시각 결측",IF(P1742&lt;=N1742,"P0 시각 역전",IF(OR(H1742&lt;N1742,H1742&gt;P1742),"측정시각 구간 밖","OK")))))</f>
        <v/>
      </c>
      <c r="N1742" s="45">
        <f>IF(COUNTIFS($C:$C,$C1742,$D:$D,"P0(전)",$L:$L,"&gt;0")&lt;&gt;1,"",SUMIFS($H:$H,$C:$C,$C1742,$D:$D,"P0(전)"))</f>
        <v/>
      </c>
      <c r="O1742" s="30">
        <f>IF(COUNTIFS($C:$C,$C1742,$D:$D,"P0(전)",$L:$L,"&gt;0")&lt;&gt;1,"",SUMIFS($L:$L,$C:$C,$C1742,$D:$D,"P0(전)"))</f>
        <v/>
      </c>
      <c r="P1742" s="45">
        <f>IF(COUNTIFS($C:$C,$C1742,$D:$D,"P0(후)",$L:$L,"&gt;0")&lt;&gt;1,"",SUMIFS($H:$H,$C:$C,$C1742,$D:$D,"P0(후)"))</f>
        <v/>
      </c>
      <c r="Q1742" s="30">
        <f>IF(COUNTIFS($C:$C,$C1742,$D:$D,"P0(후)",$L:$L,"&gt;0")&lt;&gt;1,"",SUMIFS($L:$L,$C:$C,$C1742,$D:$D,"P0(후)"))</f>
        <v/>
      </c>
      <c r="R1742" s="30">
        <f>IF(M1742&lt;&gt;"OK","",O1742+(Q1742-O1742)*(H1742-N1742)/(P1742-N1742))</f>
        <v/>
      </c>
      <c r="S1742" s="30">
        <f>IF(OR(M1742&lt;&gt;"OK",NOT(ISNUMBER(L1742))),"",L1742-R1742)</f>
        <v/>
      </c>
      <c r="T1742" s="46">
        <f>IF(OR(NOT(ISNUMBER(S1742)),IF(ISNUMBER(G1742),G1742,F1742)=0),"",S1742/IF(ISNUMBER(G1742),G1742,F1742))</f>
        <v/>
      </c>
      <c r="U1742" s="46">
        <f>IF(ISNUMBER(T1742),ABS(T1742),"")</f>
        <v/>
      </c>
      <c r="V1742" s="46">
        <f>IF(OR($D1741&lt;&gt;"측정",$C1741&lt;&gt;$C1742,NOT(ISNUMBER(L1742)),NOT(ISNUMBER(L1741)),(IF(ISNUMBER(G1742),G1742,F1742)-IF(ISNUMBER(G1741),G1741,F1741))=0),"",(L1742-L1741)/(IF(ISNUMBER(G1742),G1742,F1742)-IF(ISNUMBER(G1741),G1741,F1741)))</f>
        <v/>
      </c>
      <c r="W1742" s="30">
        <f>IF(NOT(AND(ISNUMBER(N1742),ISNUMBER(P1742))),"",(P1742-N1742)*1440)</f>
        <v/>
      </c>
      <c r="X1742" s="28" t="n"/>
      <c r="Y1742" s="28" t="n"/>
      <c r="Z1742" s="28" t="n"/>
      <c r="AA1742" s="31" t="n"/>
      <c r="AB1742" s="31" t="n"/>
    </row>
    <row r="1743">
      <c r="A1743" s="25" t="inlineStr">
        <is>
          <t>S34</t>
        </is>
      </c>
      <c r="B1743" s="25" t="inlineStr">
        <is>
          <t>부안 신규점</t>
        </is>
      </c>
      <c r="C1743" s="25" t="inlineStr">
        <is>
          <t>S34-H서</t>
        </is>
      </c>
      <c r="D1743" s="25" t="inlineStr">
        <is>
          <t>측정</t>
        </is>
      </c>
      <c r="E1743" s="25" t="inlineStr">
        <is>
          <t>서</t>
        </is>
      </c>
      <c r="F1743" s="30" t="n">
        <v>8</v>
      </c>
      <c r="G1743" s="29" t="n"/>
      <c r="H1743" s="42" t="n"/>
      <c r="I1743" s="40" t="n"/>
      <c r="J1743" s="40" t="n"/>
      <c r="K1743" s="40" t="n"/>
      <c r="L1743" s="30">
        <f>IF(COUNT(I1743:K1743)=0,"",MEDIAN(I1743:K1743))</f>
        <v/>
      </c>
      <c r="M1743" s="25">
        <f>IF(COUNTIFS($C:$C,$C1743,$D:$D,"P0(전)",$L:$L,"&gt;0")&lt;&gt;1,"P0(전) 유효 1개 아님",IF(COUNTIFS($C:$C,$C1743,$D:$D,"P0(후)",$L:$L,"&gt;0")&lt;&gt;1,"P0(후) 유효 1개 아님",IF(NOT(AND(ISNUMBER(N1743),ISNUMBER(P1743),ISNUMBER(H1743))),"시각 결측",IF(P1743&lt;=N1743,"P0 시각 역전",IF(OR(H1743&lt;N1743,H1743&gt;P1743),"측정시각 구간 밖","OK")))))</f>
        <v/>
      </c>
      <c r="N1743" s="45">
        <f>IF(COUNTIFS($C:$C,$C1743,$D:$D,"P0(전)",$L:$L,"&gt;0")&lt;&gt;1,"",SUMIFS($H:$H,$C:$C,$C1743,$D:$D,"P0(전)"))</f>
        <v/>
      </c>
      <c r="O1743" s="30">
        <f>IF(COUNTIFS($C:$C,$C1743,$D:$D,"P0(전)",$L:$L,"&gt;0")&lt;&gt;1,"",SUMIFS($L:$L,$C:$C,$C1743,$D:$D,"P0(전)"))</f>
        <v/>
      </c>
      <c r="P1743" s="45">
        <f>IF(COUNTIFS($C:$C,$C1743,$D:$D,"P0(후)",$L:$L,"&gt;0")&lt;&gt;1,"",SUMIFS($H:$H,$C:$C,$C1743,$D:$D,"P0(후)"))</f>
        <v/>
      </c>
      <c r="Q1743" s="30">
        <f>IF(COUNTIFS($C:$C,$C1743,$D:$D,"P0(후)",$L:$L,"&gt;0")&lt;&gt;1,"",SUMIFS($L:$L,$C:$C,$C1743,$D:$D,"P0(후)"))</f>
        <v/>
      </c>
      <c r="R1743" s="30">
        <f>IF(M1743&lt;&gt;"OK","",O1743+(Q1743-O1743)*(H1743-N1743)/(P1743-N1743))</f>
        <v/>
      </c>
      <c r="S1743" s="30">
        <f>IF(OR(M1743&lt;&gt;"OK",NOT(ISNUMBER(L1743))),"",L1743-R1743)</f>
        <v/>
      </c>
      <c r="T1743" s="46">
        <f>IF(OR(NOT(ISNUMBER(S1743)),IF(ISNUMBER(G1743),G1743,F1743)=0),"",S1743/IF(ISNUMBER(G1743),G1743,F1743))</f>
        <v/>
      </c>
      <c r="U1743" s="46">
        <f>IF(ISNUMBER(T1743),ABS(T1743),"")</f>
        <v/>
      </c>
      <c r="V1743" s="46">
        <f>IF(OR($D1742&lt;&gt;"측정",$C1742&lt;&gt;$C1743,NOT(ISNUMBER(L1743)),NOT(ISNUMBER(L1742)),(IF(ISNUMBER(G1743),G1743,F1743)-IF(ISNUMBER(G1742),G1742,F1742))=0),"",(L1743-L1742)/(IF(ISNUMBER(G1743),G1743,F1743)-IF(ISNUMBER(G1742),G1742,F1742)))</f>
        <v/>
      </c>
      <c r="W1743" s="30">
        <f>IF(NOT(AND(ISNUMBER(N1743),ISNUMBER(P1743))),"",(P1743-N1743)*1440)</f>
        <v/>
      </c>
      <c r="X1743" s="28" t="n"/>
      <c r="Y1743" s="28" t="n"/>
      <c r="Z1743" s="28" t="n"/>
      <c r="AA1743" s="31" t="n"/>
      <c r="AB1743" s="31" t="n"/>
    </row>
    <row r="1744">
      <c r="A1744" s="25" t="inlineStr">
        <is>
          <t>S34</t>
        </is>
      </c>
      <c r="B1744" s="25" t="inlineStr">
        <is>
          <t>부안 신규점</t>
        </is>
      </c>
      <c r="C1744" s="25" t="inlineStr">
        <is>
          <t>S34-H서</t>
        </is>
      </c>
      <c r="D1744" s="25" t="inlineStr">
        <is>
          <t>측정</t>
        </is>
      </c>
      <c r="E1744" s="25" t="inlineStr">
        <is>
          <t>서</t>
        </is>
      </c>
      <c r="F1744" s="30" t="n">
        <v>9</v>
      </c>
      <c r="G1744" s="29" t="n"/>
      <c r="H1744" s="42" t="n"/>
      <c r="I1744" s="40" t="n"/>
      <c r="J1744" s="40" t="n"/>
      <c r="K1744" s="40" t="n"/>
      <c r="L1744" s="30">
        <f>IF(COUNT(I1744:K1744)=0,"",MEDIAN(I1744:K1744))</f>
        <v/>
      </c>
      <c r="M1744" s="25">
        <f>IF(COUNTIFS($C:$C,$C1744,$D:$D,"P0(전)",$L:$L,"&gt;0")&lt;&gt;1,"P0(전) 유효 1개 아님",IF(COUNTIFS($C:$C,$C1744,$D:$D,"P0(후)",$L:$L,"&gt;0")&lt;&gt;1,"P0(후) 유효 1개 아님",IF(NOT(AND(ISNUMBER(N1744),ISNUMBER(P1744),ISNUMBER(H1744))),"시각 결측",IF(P1744&lt;=N1744,"P0 시각 역전",IF(OR(H1744&lt;N1744,H1744&gt;P1744),"측정시각 구간 밖","OK")))))</f>
        <v/>
      </c>
      <c r="N1744" s="45">
        <f>IF(COUNTIFS($C:$C,$C1744,$D:$D,"P0(전)",$L:$L,"&gt;0")&lt;&gt;1,"",SUMIFS($H:$H,$C:$C,$C1744,$D:$D,"P0(전)"))</f>
        <v/>
      </c>
      <c r="O1744" s="30">
        <f>IF(COUNTIFS($C:$C,$C1744,$D:$D,"P0(전)",$L:$L,"&gt;0")&lt;&gt;1,"",SUMIFS($L:$L,$C:$C,$C1744,$D:$D,"P0(전)"))</f>
        <v/>
      </c>
      <c r="P1744" s="45">
        <f>IF(COUNTIFS($C:$C,$C1744,$D:$D,"P0(후)",$L:$L,"&gt;0")&lt;&gt;1,"",SUMIFS($H:$H,$C:$C,$C1744,$D:$D,"P0(후)"))</f>
        <v/>
      </c>
      <c r="Q1744" s="30">
        <f>IF(COUNTIFS($C:$C,$C1744,$D:$D,"P0(후)",$L:$L,"&gt;0")&lt;&gt;1,"",SUMIFS($L:$L,$C:$C,$C1744,$D:$D,"P0(후)"))</f>
        <v/>
      </c>
      <c r="R1744" s="30">
        <f>IF(M1744&lt;&gt;"OK","",O1744+(Q1744-O1744)*(H1744-N1744)/(P1744-N1744))</f>
        <v/>
      </c>
      <c r="S1744" s="30">
        <f>IF(OR(M1744&lt;&gt;"OK",NOT(ISNUMBER(L1744))),"",L1744-R1744)</f>
        <v/>
      </c>
      <c r="T1744" s="46">
        <f>IF(OR(NOT(ISNUMBER(S1744)),IF(ISNUMBER(G1744),G1744,F1744)=0),"",S1744/IF(ISNUMBER(G1744),G1744,F1744))</f>
        <v/>
      </c>
      <c r="U1744" s="46">
        <f>IF(ISNUMBER(T1744),ABS(T1744),"")</f>
        <v/>
      </c>
      <c r="V1744" s="46">
        <f>IF(OR($D1743&lt;&gt;"측정",$C1743&lt;&gt;$C1744,NOT(ISNUMBER(L1744)),NOT(ISNUMBER(L1743)),(IF(ISNUMBER(G1744),G1744,F1744)-IF(ISNUMBER(G1743),G1743,F1743))=0),"",(L1744-L1743)/(IF(ISNUMBER(G1744),G1744,F1744)-IF(ISNUMBER(G1743),G1743,F1743)))</f>
        <v/>
      </c>
      <c r="W1744" s="30">
        <f>IF(NOT(AND(ISNUMBER(N1744),ISNUMBER(P1744))),"",(P1744-N1744)*1440)</f>
        <v/>
      </c>
      <c r="X1744" s="28" t="n"/>
      <c r="Y1744" s="28" t="n"/>
      <c r="Z1744" s="28" t="n"/>
      <c r="AA1744" s="31" t="n"/>
      <c r="AB1744" s="31" t="n"/>
    </row>
    <row r="1745">
      <c r="A1745" s="25" t="inlineStr">
        <is>
          <t>S34</t>
        </is>
      </c>
      <c r="B1745" s="25" t="inlineStr">
        <is>
          <t>부안 신규점</t>
        </is>
      </c>
      <c r="C1745" s="25" t="inlineStr">
        <is>
          <t>S34-H서</t>
        </is>
      </c>
      <c r="D1745" s="25" t="inlineStr">
        <is>
          <t>측정</t>
        </is>
      </c>
      <c r="E1745" s="25" t="inlineStr">
        <is>
          <t>서</t>
        </is>
      </c>
      <c r="F1745" s="30" t="n">
        <v>10</v>
      </c>
      <c r="G1745" s="29" t="n"/>
      <c r="H1745" s="42" t="n"/>
      <c r="I1745" s="40" t="n"/>
      <c r="J1745" s="40" t="n"/>
      <c r="K1745" s="40" t="n"/>
      <c r="L1745" s="30">
        <f>IF(COUNT(I1745:K1745)=0,"",MEDIAN(I1745:K1745))</f>
        <v/>
      </c>
      <c r="M1745" s="25">
        <f>IF(COUNTIFS($C:$C,$C1745,$D:$D,"P0(전)",$L:$L,"&gt;0")&lt;&gt;1,"P0(전) 유효 1개 아님",IF(COUNTIFS($C:$C,$C1745,$D:$D,"P0(후)",$L:$L,"&gt;0")&lt;&gt;1,"P0(후) 유효 1개 아님",IF(NOT(AND(ISNUMBER(N1745),ISNUMBER(P1745),ISNUMBER(H1745))),"시각 결측",IF(P1745&lt;=N1745,"P0 시각 역전",IF(OR(H1745&lt;N1745,H1745&gt;P1745),"측정시각 구간 밖","OK")))))</f>
        <v/>
      </c>
      <c r="N1745" s="45">
        <f>IF(COUNTIFS($C:$C,$C1745,$D:$D,"P0(전)",$L:$L,"&gt;0")&lt;&gt;1,"",SUMIFS($H:$H,$C:$C,$C1745,$D:$D,"P0(전)"))</f>
        <v/>
      </c>
      <c r="O1745" s="30">
        <f>IF(COUNTIFS($C:$C,$C1745,$D:$D,"P0(전)",$L:$L,"&gt;0")&lt;&gt;1,"",SUMIFS($L:$L,$C:$C,$C1745,$D:$D,"P0(전)"))</f>
        <v/>
      </c>
      <c r="P1745" s="45">
        <f>IF(COUNTIFS($C:$C,$C1745,$D:$D,"P0(후)",$L:$L,"&gt;0")&lt;&gt;1,"",SUMIFS($H:$H,$C:$C,$C1745,$D:$D,"P0(후)"))</f>
        <v/>
      </c>
      <c r="Q1745" s="30">
        <f>IF(COUNTIFS($C:$C,$C1745,$D:$D,"P0(후)",$L:$L,"&gt;0")&lt;&gt;1,"",SUMIFS($L:$L,$C:$C,$C1745,$D:$D,"P0(후)"))</f>
        <v/>
      </c>
      <c r="R1745" s="30">
        <f>IF(M1745&lt;&gt;"OK","",O1745+(Q1745-O1745)*(H1745-N1745)/(P1745-N1745))</f>
        <v/>
      </c>
      <c r="S1745" s="30">
        <f>IF(OR(M1745&lt;&gt;"OK",NOT(ISNUMBER(L1745))),"",L1745-R1745)</f>
        <v/>
      </c>
      <c r="T1745" s="46">
        <f>IF(OR(NOT(ISNUMBER(S1745)),IF(ISNUMBER(G1745),G1745,F1745)=0),"",S1745/IF(ISNUMBER(G1745),G1745,F1745))</f>
        <v/>
      </c>
      <c r="U1745" s="46">
        <f>IF(ISNUMBER(T1745),ABS(T1745),"")</f>
        <v/>
      </c>
      <c r="V1745" s="46">
        <f>IF(OR($D1744&lt;&gt;"측정",$C1744&lt;&gt;$C1745,NOT(ISNUMBER(L1745)),NOT(ISNUMBER(L1744)),(IF(ISNUMBER(G1745),G1745,F1745)-IF(ISNUMBER(G1744),G1744,F1744))=0),"",(L1745-L1744)/(IF(ISNUMBER(G1745),G1745,F1745)-IF(ISNUMBER(G1744),G1744,F1744)))</f>
        <v/>
      </c>
      <c r="W1745" s="30">
        <f>IF(NOT(AND(ISNUMBER(N1745),ISNUMBER(P1745))),"",(P1745-N1745)*1440)</f>
        <v/>
      </c>
      <c r="X1745" s="28" t="n"/>
      <c r="Y1745" s="28" t="n"/>
      <c r="Z1745" s="28" t="n"/>
      <c r="AA1745" s="31" t="n"/>
      <c r="AB1745" s="31" t="n"/>
    </row>
    <row r="1746">
      <c r="A1746" s="43" t="inlineStr">
        <is>
          <t>S34</t>
        </is>
      </c>
      <c r="B1746" s="43" t="inlineStr">
        <is>
          <t>부안 신규점</t>
        </is>
      </c>
      <c r="C1746" s="43" t="inlineStr">
        <is>
          <t>S34-H서</t>
        </is>
      </c>
      <c r="D1746" s="43" t="inlineStr">
        <is>
          <t>P0(후)</t>
        </is>
      </c>
      <c r="E1746" s="43" t="inlineStr">
        <is>
          <t>서</t>
        </is>
      </c>
      <c r="F1746" s="44" t="n"/>
      <c r="G1746" s="29" t="n"/>
      <c r="H1746" s="42" t="n"/>
      <c r="I1746" s="40" t="n"/>
      <c r="J1746" s="40" t="n"/>
      <c r="K1746" s="40" t="n"/>
      <c r="L1746" s="30">
        <f>IF(COUNT(I1746:K1746)=0,"",MEDIAN(I1746:K1746))</f>
        <v/>
      </c>
      <c r="M1746" s="37" t="n"/>
      <c r="N1746" s="37" t="n"/>
      <c r="O1746" s="37" t="n"/>
      <c r="P1746" s="37" t="n"/>
      <c r="Q1746" s="37" t="n"/>
      <c r="R1746" s="37" t="n"/>
      <c r="S1746" s="37" t="n"/>
      <c r="T1746" s="37" t="n"/>
      <c r="U1746" s="37" t="n"/>
      <c r="V1746" s="37" t="n"/>
      <c r="W1746" s="37" t="n"/>
      <c r="X1746" s="28" t="n"/>
      <c r="Y1746" s="28" t="n"/>
      <c r="Z1746" s="28" t="n"/>
      <c r="AA1746" s="31" t="n"/>
      <c r="AB1746" s="31" t="n"/>
    </row>
    <row r="1747">
      <c r="A1747" s="43" t="inlineStr">
        <is>
          <t>S34</t>
        </is>
      </c>
      <c r="B1747" s="43" t="inlineStr">
        <is>
          <t>부안 신규점</t>
        </is>
      </c>
      <c r="C1747" s="43" t="inlineStr">
        <is>
          <t>S34-H남</t>
        </is>
      </c>
      <c r="D1747" s="43" t="inlineStr">
        <is>
          <t>P0(전)</t>
        </is>
      </c>
      <c r="E1747" s="43" t="inlineStr">
        <is>
          <t>남</t>
        </is>
      </c>
      <c r="F1747" s="44" t="n"/>
      <c r="G1747" s="29" t="n"/>
      <c r="H1747" s="42" t="n"/>
      <c r="I1747" s="40" t="n"/>
      <c r="J1747" s="40" t="n"/>
      <c r="K1747" s="40" t="n"/>
      <c r="L1747" s="30">
        <f>IF(COUNT(I1747:K1747)=0,"",MEDIAN(I1747:K1747))</f>
        <v/>
      </c>
      <c r="M1747" s="37" t="n"/>
      <c r="N1747" s="37" t="n"/>
      <c r="O1747" s="37" t="n"/>
      <c r="P1747" s="37" t="n"/>
      <c r="Q1747" s="37" t="n"/>
      <c r="R1747" s="37" t="n"/>
      <c r="S1747" s="37" t="n"/>
      <c r="T1747" s="37" t="n"/>
      <c r="U1747" s="37" t="n"/>
      <c r="V1747" s="37" t="n"/>
      <c r="W1747" s="37" t="n"/>
      <c r="X1747" s="28" t="n"/>
      <c r="Y1747" s="28" t="n"/>
      <c r="Z1747" s="28" t="n"/>
      <c r="AA1747" s="31" t="n"/>
      <c r="AB1747" s="31" t="n"/>
    </row>
    <row r="1748">
      <c r="A1748" s="25" t="inlineStr">
        <is>
          <t>S34</t>
        </is>
      </c>
      <c r="B1748" s="25" t="inlineStr">
        <is>
          <t>부안 신규점</t>
        </is>
      </c>
      <c r="C1748" s="25" t="inlineStr">
        <is>
          <t>S34-H남</t>
        </is>
      </c>
      <c r="D1748" s="25" t="inlineStr">
        <is>
          <t>측정</t>
        </is>
      </c>
      <c r="E1748" s="25" t="inlineStr">
        <is>
          <t>남</t>
        </is>
      </c>
      <c r="F1748" s="30" t="n">
        <v>0.5</v>
      </c>
      <c r="G1748" s="29" t="n"/>
      <c r="H1748" s="42" t="n"/>
      <c r="I1748" s="40" t="n"/>
      <c r="J1748" s="40" t="n"/>
      <c r="K1748" s="40" t="n"/>
      <c r="L1748" s="30">
        <f>IF(COUNT(I1748:K1748)=0,"",MEDIAN(I1748:K1748))</f>
        <v/>
      </c>
      <c r="M1748" s="25">
        <f>IF(COUNTIFS($C:$C,$C1748,$D:$D,"P0(전)",$L:$L,"&gt;0")&lt;&gt;1,"P0(전) 유효 1개 아님",IF(COUNTIFS($C:$C,$C1748,$D:$D,"P0(후)",$L:$L,"&gt;0")&lt;&gt;1,"P0(후) 유효 1개 아님",IF(NOT(AND(ISNUMBER(N1748),ISNUMBER(P1748),ISNUMBER(H1748))),"시각 결측",IF(P1748&lt;=N1748,"P0 시각 역전",IF(OR(H1748&lt;N1748,H1748&gt;P1748),"측정시각 구간 밖","OK")))))</f>
        <v/>
      </c>
      <c r="N1748" s="45">
        <f>IF(COUNTIFS($C:$C,$C1748,$D:$D,"P0(전)",$L:$L,"&gt;0")&lt;&gt;1,"",SUMIFS($H:$H,$C:$C,$C1748,$D:$D,"P0(전)"))</f>
        <v/>
      </c>
      <c r="O1748" s="30">
        <f>IF(COUNTIFS($C:$C,$C1748,$D:$D,"P0(전)",$L:$L,"&gt;0")&lt;&gt;1,"",SUMIFS($L:$L,$C:$C,$C1748,$D:$D,"P0(전)"))</f>
        <v/>
      </c>
      <c r="P1748" s="45">
        <f>IF(COUNTIFS($C:$C,$C1748,$D:$D,"P0(후)",$L:$L,"&gt;0")&lt;&gt;1,"",SUMIFS($H:$H,$C:$C,$C1748,$D:$D,"P0(후)"))</f>
        <v/>
      </c>
      <c r="Q1748" s="30">
        <f>IF(COUNTIFS($C:$C,$C1748,$D:$D,"P0(후)",$L:$L,"&gt;0")&lt;&gt;1,"",SUMIFS($L:$L,$C:$C,$C1748,$D:$D,"P0(후)"))</f>
        <v/>
      </c>
      <c r="R1748" s="30">
        <f>IF(M1748&lt;&gt;"OK","",O1748+(Q1748-O1748)*(H1748-N1748)/(P1748-N1748))</f>
        <v/>
      </c>
      <c r="S1748" s="30">
        <f>IF(OR(M1748&lt;&gt;"OK",NOT(ISNUMBER(L1748))),"",L1748-R1748)</f>
        <v/>
      </c>
      <c r="T1748" s="46">
        <f>IF(OR(NOT(ISNUMBER(S1748)),IF(ISNUMBER(G1748),G1748,F1748)=0),"",S1748/IF(ISNUMBER(G1748),G1748,F1748))</f>
        <v/>
      </c>
      <c r="U1748" s="46">
        <f>IF(ISNUMBER(T1748),ABS(T1748),"")</f>
        <v/>
      </c>
      <c r="V1748" s="46">
        <f>IF(OR($D1747&lt;&gt;"측정",$C1747&lt;&gt;$C1748,NOT(ISNUMBER(L1748)),NOT(ISNUMBER(L1747)),(IF(ISNUMBER(G1748),G1748,F1748)-IF(ISNUMBER(G1747),G1747,F1747))=0),"",(L1748-L1747)/(IF(ISNUMBER(G1748),G1748,F1748)-IF(ISNUMBER(G1747),G1747,F1747)))</f>
        <v/>
      </c>
      <c r="W1748" s="30">
        <f>IF(NOT(AND(ISNUMBER(N1748),ISNUMBER(P1748))),"",(P1748-N1748)*1440)</f>
        <v/>
      </c>
      <c r="X1748" s="28" t="n"/>
      <c r="Y1748" s="28" t="n"/>
      <c r="Z1748" s="28" t="n"/>
      <c r="AA1748" s="31" t="n"/>
      <c r="AB1748" s="31" t="n"/>
    </row>
    <row r="1749">
      <c r="A1749" s="25" t="inlineStr">
        <is>
          <t>S34</t>
        </is>
      </c>
      <c r="B1749" s="25" t="inlineStr">
        <is>
          <t>부안 신규점</t>
        </is>
      </c>
      <c r="C1749" s="25" t="inlineStr">
        <is>
          <t>S34-H남</t>
        </is>
      </c>
      <c r="D1749" s="25" t="inlineStr">
        <is>
          <t>측정</t>
        </is>
      </c>
      <c r="E1749" s="25" t="inlineStr">
        <is>
          <t>남</t>
        </is>
      </c>
      <c r="F1749" s="30" t="n">
        <v>1</v>
      </c>
      <c r="G1749" s="29" t="n"/>
      <c r="H1749" s="42" t="n"/>
      <c r="I1749" s="40" t="n"/>
      <c r="J1749" s="40" t="n"/>
      <c r="K1749" s="40" t="n"/>
      <c r="L1749" s="30">
        <f>IF(COUNT(I1749:K1749)=0,"",MEDIAN(I1749:K1749))</f>
        <v/>
      </c>
      <c r="M1749" s="25">
        <f>IF(COUNTIFS($C:$C,$C1749,$D:$D,"P0(전)",$L:$L,"&gt;0")&lt;&gt;1,"P0(전) 유효 1개 아님",IF(COUNTIFS($C:$C,$C1749,$D:$D,"P0(후)",$L:$L,"&gt;0")&lt;&gt;1,"P0(후) 유효 1개 아님",IF(NOT(AND(ISNUMBER(N1749),ISNUMBER(P1749),ISNUMBER(H1749))),"시각 결측",IF(P1749&lt;=N1749,"P0 시각 역전",IF(OR(H1749&lt;N1749,H1749&gt;P1749),"측정시각 구간 밖","OK")))))</f>
        <v/>
      </c>
      <c r="N1749" s="45">
        <f>IF(COUNTIFS($C:$C,$C1749,$D:$D,"P0(전)",$L:$L,"&gt;0")&lt;&gt;1,"",SUMIFS($H:$H,$C:$C,$C1749,$D:$D,"P0(전)"))</f>
        <v/>
      </c>
      <c r="O1749" s="30">
        <f>IF(COUNTIFS($C:$C,$C1749,$D:$D,"P0(전)",$L:$L,"&gt;0")&lt;&gt;1,"",SUMIFS($L:$L,$C:$C,$C1749,$D:$D,"P0(전)"))</f>
        <v/>
      </c>
      <c r="P1749" s="45">
        <f>IF(COUNTIFS($C:$C,$C1749,$D:$D,"P0(후)",$L:$L,"&gt;0")&lt;&gt;1,"",SUMIFS($H:$H,$C:$C,$C1749,$D:$D,"P0(후)"))</f>
        <v/>
      </c>
      <c r="Q1749" s="30">
        <f>IF(COUNTIFS($C:$C,$C1749,$D:$D,"P0(후)",$L:$L,"&gt;0")&lt;&gt;1,"",SUMIFS($L:$L,$C:$C,$C1749,$D:$D,"P0(후)"))</f>
        <v/>
      </c>
      <c r="R1749" s="30">
        <f>IF(M1749&lt;&gt;"OK","",O1749+(Q1749-O1749)*(H1749-N1749)/(P1749-N1749))</f>
        <v/>
      </c>
      <c r="S1749" s="30">
        <f>IF(OR(M1749&lt;&gt;"OK",NOT(ISNUMBER(L1749))),"",L1749-R1749)</f>
        <v/>
      </c>
      <c r="T1749" s="46">
        <f>IF(OR(NOT(ISNUMBER(S1749)),IF(ISNUMBER(G1749),G1749,F1749)=0),"",S1749/IF(ISNUMBER(G1749),G1749,F1749))</f>
        <v/>
      </c>
      <c r="U1749" s="46">
        <f>IF(ISNUMBER(T1749),ABS(T1749),"")</f>
        <v/>
      </c>
      <c r="V1749" s="46">
        <f>IF(OR($D1748&lt;&gt;"측정",$C1748&lt;&gt;$C1749,NOT(ISNUMBER(L1749)),NOT(ISNUMBER(L1748)),(IF(ISNUMBER(G1749),G1749,F1749)-IF(ISNUMBER(G1748),G1748,F1748))=0),"",(L1749-L1748)/(IF(ISNUMBER(G1749),G1749,F1749)-IF(ISNUMBER(G1748),G1748,F1748)))</f>
        <v/>
      </c>
      <c r="W1749" s="30">
        <f>IF(NOT(AND(ISNUMBER(N1749),ISNUMBER(P1749))),"",(P1749-N1749)*1440)</f>
        <v/>
      </c>
      <c r="X1749" s="28" t="n"/>
      <c r="Y1749" s="28" t="n"/>
      <c r="Z1749" s="28" t="n"/>
      <c r="AA1749" s="31" t="n"/>
      <c r="AB1749" s="31" t="n"/>
    </row>
    <row r="1750">
      <c r="A1750" s="25" t="inlineStr">
        <is>
          <t>S34</t>
        </is>
      </c>
      <c r="B1750" s="25" t="inlineStr">
        <is>
          <t>부안 신규점</t>
        </is>
      </c>
      <c r="C1750" s="25" t="inlineStr">
        <is>
          <t>S34-H남</t>
        </is>
      </c>
      <c r="D1750" s="25" t="inlineStr">
        <is>
          <t>측정</t>
        </is>
      </c>
      <c r="E1750" s="25" t="inlineStr">
        <is>
          <t>남</t>
        </is>
      </c>
      <c r="F1750" s="30" t="n">
        <v>2</v>
      </c>
      <c r="G1750" s="29" t="n"/>
      <c r="H1750" s="42" t="n"/>
      <c r="I1750" s="40" t="n"/>
      <c r="J1750" s="40" t="n"/>
      <c r="K1750" s="40" t="n"/>
      <c r="L1750" s="30">
        <f>IF(COUNT(I1750:K1750)=0,"",MEDIAN(I1750:K1750))</f>
        <v/>
      </c>
      <c r="M1750" s="25">
        <f>IF(COUNTIFS($C:$C,$C1750,$D:$D,"P0(전)",$L:$L,"&gt;0")&lt;&gt;1,"P0(전) 유효 1개 아님",IF(COUNTIFS($C:$C,$C1750,$D:$D,"P0(후)",$L:$L,"&gt;0")&lt;&gt;1,"P0(후) 유효 1개 아님",IF(NOT(AND(ISNUMBER(N1750),ISNUMBER(P1750),ISNUMBER(H1750))),"시각 결측",IF(P1750&lt;=N1750,"P0 시각 역전",IF(OR(H1750&lt;N1750,H1750&gt;P1750),"측정시각 구간 밖","OK")))))</f>
        <v/>
      </c>
      <c r="N1750" s="45">
        <f>IF(COUNTIFS($C:$C,$C1750,$D:$D,"P0(전)",$L:$L,"&gt;0")&lt;&gt;1,"",SUMIFS($H:$H,$C:$C,$C1750,$D:$D,"P0(전)"))</f>
        <v/>
      </c>
      <c r="O1750" s="30">
        <f>IF(COUNTIFS($C:$C,$C1750,$D:$D,"P0(전)",$L:$L,"&gt;0")&lt;&gt;1,"",SUMIFS($L:$L,$C:$C,$C1750,$D:$D,"P0(전)"))</f>
        <v/>
      </c>
      <c r="P1750" s="45">
        <f>IF(COUNTIFS($C:$C,$C1750,$D:$D,"P0(후)",$L:$L,"&gt;0")&lt;&gt;1,"",SUMIFS($H:$H,$C:$C,$C1750,$D:$D,"P0(후)"))</f>
        <v/>
      </c>
      <c r="Q1750" s="30">
        <f>IF(COUNTIFS($C:$C,$C1750,$D:$D,"P0(후)",$L:$L,"&gt;0")&lt;&gt;1,"",SUMIFS($L:$L,$C:$C,$C1750,$D:$D,"P0(후)"))</f>
        <v/>
      </c>
      <c r="R1750" s="30">
        <f>IF(M1750&lt;&gt;"OK","",O1750+(Q1750-O1750)*(H1750-N1750)/(P1750-N1750))</f>
        <v/>
      </c>
      <c r="S1750" s="30">
        <f>IF(OR(M1750&lt;&gt;"OK",NOT(ISNUMBER(L1750))),"",L1750-R1750)</f>
        <v/>
      </c>
      <c r="T1750" s="46">
        <f>IF(OR(NOT(ISNUMBER(S1750)),IF(ISNUMBER(G1750),G1750,F1750)=0),"",S1750/IF(ISNUMBER(G1750),G1750,F1750))</f>
        <v/>
      </c>
      <c r="U1750" s="46">
        <f>IF(ISNUMBER(T1750),ABS(T1750),"")</f>
        <v/>
      </c>
      <c r="V1750" s="46">
        <f>IF(OR($D1749&lt;&gt;"측정",$C1749&lt;&gt;$C1750,NOT(ISNUMBER(L1750)),NOT(ISNUMBER(L1749)),(IF(ISNUMBER(G1750),G1750,F1750)-IF(ISNUMBER(G1749),G1749,F1749))=0),"",(L1750-L1749)/(IF(ISNUMBER(G1750),G1750,F1750)-IF(ISNUMBER(G1749),G1749,F1749)))</f>
        <v/>
      </c>
      <c r="W1750" s="30">
        <f>IF(NOT(AND(ISNUMBER(N1750),ISNUMBER(P1750))),"",(P1750-N1750)*1440)</f>
        <v/>
      </c>
      <c r="X1750" s="28" t="n"/>
      <c r="Y1750" s="28" t="n"/>
      <c r="Z1750" s="28" t="n"/>
      <c r="AA1750" s="31" t="n"/>
      <c r="AB1750" s="31" t="n"/>
    </row>
    <row r="1751">
      <c r="A1751" s="25" t="inlineStr">
        <is>
          <t>S34</t>
        </is>
      </c>
      <c r="B1751" s="25" t="inlineStr">
        <is>
          <t>부안 신규점</t>
        </is>
      </c>
      <c r="C1751" s="25" t="inlineStr">
        <is>
          <t>S34-H남</t>
        </is>
      </c>
      <c r="D1751" s="25" t="inlineStr">
        <is>
          <t>측정</t>
        </is>
      </c>
      <c r="E1751" s="25" t="inlineStr">
        <is>
          <t>남</t>
        </is>
      </c>
      <c r="F1751" s="30" t="n">
        <v>3</v>
      </c>
      <c r="G1751" s="29" t="n"/>
      <c r="H1751" s="42" t="n"/>
      <c r="I1751" s="40" t="n"/>
      <c r="J1751" s="40" t="n"/>
      <c r="K1751" s="40" t="n"/>
      <c r="L1751" s="30">
        <f>IF(COUNT(I1751:K1751)=0,"",MEDIAN(I1751:K1751))</f>
        <v/>
      </c>
      <c r="M1751" s="25">
        <f>IF(COUNTIFS($C:$C,$C1751,$D:$D,"P0(전)",$L:$L,"&gt;0")&lt;&gt;1,"P0(전) 유효 1개 아님",IF(COUNTIFS($C:$C,$C1751,$D:$D,"P0(후)",$L:$L,"&gt;0")&lt;&gt;1,"P0(후) 유효 1개 아님",IF(NOT(AND(ISNUMBER(N1751),ISNUMBER(P1751),ISNUMBER(H1751))),"시각 결측",IF(P1751&lt;=N1751,"P0 시각 역전",IF(OR(H1751&lt;N1751,H1751&gt;P1751),"측정시각 구간 밖","OK")))))</f>
        <v/>
      </c>
      <c r="N1751" s="45">
        <f>IF(COUNTIFS($C:$C,$C1751,$D:$D,"P0(전)",$L:$L,"&gt;0")&lt;&gt;1,"",SUMIFS($H:$H,$C:$C,$C1751,$D:$D,"P0(전)"))</f>
        <v/>
      </c>
      <c r="O1751" s="30">
        <f>IF(COUNTIFS($C:$C,$C1751,$D:$D,"P0(전)",$L:$L,"&gt;0")&lt;&gt;1,"",SUMIFS($L:$L,$C:$C,$C1751,$D:$D,"P0(전)"))</f>
        <v/>
      </c>
      <c r="P1751" s="45">
        <f>IF(COUNTIFS($C:$C,$C1751,$D:$D,"P0(후)",$L:$L,"&gt;0")&lt;&gt;1,"",SUMIFS($H:$H,$C:$C,$C1751,$D:$D,"P0(후)"))</f>
        <v/>
      </c>
      <c r="Q1751" s="30">
        <f>IF(COUNTIFS($C:$C,$C1751,$D:$D,"P0(후)",$L:$L,"&gt;0")&lt;&gt;1,"",SUMIFS($L:$L,$C:$C,$C1751,$D:$D,"P0(후)"))</f>
        <v/>
      </c>
      <c r="R1751" s="30">
        <f>IF(M1751&lt;&gt;"OK","",O1751+(Q1751-O1751)*(H1751-N1751)/(P1751-N1751))</f>
        <v/>
      </c>
      <c r="S1751" s="30">
        <f>IF(OR(M1751&lt;&gt;"OK",NOT(ISNUMBER(L1751))),"",L1751-R1751)</f>
        <v/>
      </c>
      <c r="T1751" s="46">
        <f>IF(OR(NOT(ISNUMBER(S1751)),IF(ISNUMBER(G1751),G1751,F1751)=0),"",S1751/IF(ISNUMBER(G1751),G1751,F1751))</f>
        <v/>
      </c>
      <c r="U1751" s="46">
        <f>IF(ISNUMBER(T1751),ABS(T1751),"")</f>
        <v/>
      </c>
      <c r="V1751" s="46">
        <f>IF(OR($D1750&lt;&gt;"측정",$C1750&lt;&gt;$C1751,NOT(ISNUMBER(L1751)),NOT(ISNUMBER(L1750)),(IF(ISNUMBER(G1751),G1751,F1751)-IF(ISNUMBER(G1750),G1750,F1750))=0),"",(L1751-L1750)/(IF(ISNUMBER(G1751),G1751,F1751)-IF(ISNUMBER(G1750),G1750,F1750)))</f>
        <v/>
      </c>
      <c r="W1751" s="30">
        <f>IF(NOT(AND(ISNUMBER(N1751),ISNUMBER(P1751))),"",(P1751-N1751)*1440)</f>
        <v/>
      </c>
      <c r="X1751" s="28" t="n"/>
      <c r="Y1751" s="28" t="n"/>
      <c r="Z1751" s="28" t="n"/>
      <c r="AA1751" s="31" t="n"/>
      <c r="AB1751" s="31" t="n"/>
    </row>
    <row r="1752">
      <c r="A1752" s="25" t="inlineStr">
        <is>
          <t>S34</t>
        </is>
      </c>
      <c r="B1752" s="25" t="inlineStr">
        <is>
          <t>부안 신규점</t>
        </is>
      </c>
      <c r="C1752" s="25" t="inlineStr">
        <is>
          <t>S34-H남</t>
        </is>
      </c>
      <c r="D1752" s="25" t="inlineStr">
        <is>
          <t>측정</t>
        </is>
      </c>
      <c r="E1752" s="25" t="inlineStr">
        <is>
          <t>남</t>
        </is>
      </c>
      <c r="F1752" s="30" t="n">
        <v>4</v>
      </c>
      <c r="G1752" s="29" t="n"/>
      <c r="H1752" s="42" t="n"/>
      <c r="I1752" s="40" t="n"/>
      <c r="J1752" s="40" t="n"/>
      <c r="K1752" s="40" t="n"/>
      <c r="L1752" s="30">
        <f>IF(COUNT(I1752:K1752)=0,"",MEDIAN(I1752:K1752))</f>
        <v/>
      </c>
      <c r="M1752" s="25">
        <f>IF(COUNTIFS($C:$C,$C1752,$D:$D,"P0(전)",$L:$L,"&gt;0")&lt;&gt;1,"P0(전) 유효 1개 아님",IF(COUNTIFS($C:$C,$C1752,$D:$D,"P0(후)",$L:$L,"&gt;0")&lt;&gt;1,"P0(후) 유효 1개 아님",IF(NOT(AND(ISNUMBER(N1752),ISNUMBER(P1752),ISNUMBER(H1752))),"시각 결측",IF(P1752&lt;=N1752,"P0 시각 역전",IF(OR(H1752&lt;N1752,H1752&gt;P1752),"측정시각 구간 밖","OK")))))</f>
        <v/>
      </c>
      <c r="N1752" s="45">
        <f>IF(COUNTIFS($C:$C,$C1752,$D:$D,"P0(전)",$L:$L,"&gt;0")&lt;&gt;1,"",SUMIFS($H:$H,$C:$C,$C1752,$D:$D,"P0(전)"))</f>
        <v/>
      </c>
      <c r="O1752" s="30">
        <f>IF(COUNTIFS($C:$C,$C1752,$D:$D,"P0(전)",$L:$L,"&gt;0")&lt;&gt;1,"",SUMIFS($L:$L,$C:$C,$C1752,$D:$D,"P0(전)"))</f>
        <v/>
      </c>
      <c r="P1752" s="45">
        <f>IF(COUNTIFS($C:$C,$C1752,$D:$D,"P0(후)",$L:$L,"&gt;0")&lt;&gt;1,"",SUMIFS($H:$H,$C:$C,$C1752,$D:$D,"P0(후)"))</f>
        <v/>
      </c>
      <c r="Q1752" s="30">
        <f>IF(COUNTIFS($C:$C,$C1752,$D:$D,"P0(후)",$L:$L,"&gt;0")&lt;&gt;1,"",SUMIFS($L:$L,$C:$C,$C1752,$D:$D,"P0(후)"))</f>
        <v/>
      </c>
      <c r="R1752" s="30">
        <f>IF(M1752&lt;&gt;"OK","",O1752+(Q1752-O1752)*(H1752-N1752)/(P1752-N1752))</f>
        <v/>
      </c>
      <c r="S1752" s="30">
        <f>IF(OR(M1752&lt;&gt;"OK",NOT(ISNUMBER(L1752))),"",L1752-R1752)</f>
        <v/>
      </c>
      <c r="T1752" s="46">
        <f>IF(OR(NOT(ISNUMBER(S1752)),IF(ISNUMBER(G1752),G1752,F1752)=0),"",S1752/IF(ISNUMBER(G1752),G1752,F1752))</f>
        <v/>
      </c>
      <c r="U1752" s="46">
        <f>IF(ISNUMBER(T1752),ABS(T1752),"")</f>
        <v/>
      </c>
      <c r="V1752" s="46">
        <f>IF(OR($D1751&lt;&gt;"측정",$C1751&lt;&gt;$C1752,NOT(ISNUMBER(L1752)),NOT(ISNUMBER(L1751)),(IF(ISNUMBER(G1752),G1752,F1752)-IF(ISNUMBER(G1751),G1751,F1751))=0),"",(L1752-L1751)/(IF(ISNUMBER(G1752),G1752,F1752)-IF(ISNUMBER(G1751),G1751,F1751)))</f>
        <v/>
      </c>
      <c r="W1752" s="30">
        <f>IF(NOT(AND(ISNUMBER(N1752),ISNUMBER(P1752))),"",(P1752-N1752)*1440)</f>
        <v/>
      </c>
      <c r="X1752" s="28" t="n"/>
      <c r="Y1752" s="28" t="n"/>
      <c r="Z1752" s="28" t="n"/>
      <c r="AA1752" s="31" t="n"/>
      <c r="AB1752" s="31" t="n"/>
    </row>
    <row r="1753">
      <c r="A1753" s="25" t="inlineStr">
        <is>
          <t>S34</t>
        </is>
      </c>
      <c r="B1753" s="25" t="inlineStr">
        <is>
          <t>부안 신규점</t>
        </is>
      </c>
      <c r="C1753" s="25" t="inlineStr">
        <is>
          <t>S34-H남</t>
        </is>
      </c>
      <c r="D1753" s="25" t="inlineStr">
        <is>
          <t>측정</t>
        </is>
      </c>
      <c r="E1753" s="25" t="inlineStr">
        <is>
          <t>남</t>
        </is>
      </c>
      <c r="F1753" s="30" t="n">
        <v>5</v>
      </c>
      <c r="G1753" s="29" t="n"/>
      <c r="H1753" s="42" t="n"/>
      <c r="I1753" s="40" t="n"/>
      <c r="J1753" s="40" t="n"/>
      <c r="K1753" s="40" t="n"/>
      <c r="L1753" s="30">
        <f>IF(COUNT(I1753:K1753)=0,"",MEDIAN(I1753:K1753))</f>
        <v/>
      </c>
      <c r="M1753" s="25">
        <f>IF(COUNTIFS($C:$C,$C1753,$D:$D,"P0(전)",$L:$L,"&gt;0")&lt;&gt;1,"P0(전) 유효 1개 아님",IF(COUNTIFS($C:$C,$C1753,$D:$D,"P0(후)",$L:$L,"&gt;0")&lt;&gt;1,"P0(후) 유효 1개 아님",IF(NOT(AND(ISNUMBER(N1753),ISNUMBER(P1753),ISNUMBER(H1753))),"시각 결측",IF(P1753&lt;=N1753,"P0 시각 역전",IF(OR(H1753&lt;N1753,H1753&gt;P1753),"측정시각 구간 밖","OK")))))</f>
        <v/>
      </c>
      <c r="N1753" s="45">
        <f>IF(COUNTIFS($C:$C,$C1753,$D:$D,"P0(전)",$L:$L,"&gt;0")&lt;&gt;1,"",SUMIFS($H:$H,$C:$C,$C1753,$D:$D,"P0(전)"))</f>
        <v/>
      </c>
      <c r="O1753" s="30">
        <f>IF(COUNTIFS($C:$C,$C1753,$D:$D,"P0(전)",$L:$L,"&gt;0")&lt;&gt;1,"",SUMIFS($L:$L,$C:$C,$C1753,$D:$D,"P0(전)"))</f>
        <v/>
      </c>
      <c r="P1753" s="45">
        <f>IF(COUNTIFS($C:$C,$C1753,$D:$D,"P0(후)",$L:$L,"&gt;0")&lt;&gt;1,"",SUMIFS($H:$H,$C:$C,$C1753,$D:$D,"P0(후)"))</f>
        <v/>
      </c>
      <c r="Q1753" s="30">
        <f>IF(COUNTIFS($C:$C,$C1753,$D:$D,"P0(후)",$L:$L,"&gt;0")&lt;&gt;1,"",SUMIFS($L:$L,$C:$C,$C1753,$D:$D,"P0(후)"))</f>
        <v/>
      </c>
      <c r="R1753" s="30">
        <f>IF(M1753&lt;&gt;"OK","",O1753+(Q1753-O1753)*(H1753-N1753)/(P1753-N1753))</f>
        <v/>
      </c>
      <c r="S1753" s="30">
        <f>IF(OR(M1753&lt;&gt;"OK",NOT(ISNUMBER(L1753))),"",L1753-R1753)</f>
        <v/>
      </c>
      <c r="T1753" s="46">
        <f>IF(OR(NOT(ISNUMBER(S1753)),IF(ISNUMBER(G1753),G1753,F1753)=0),"",S1753/IF(ISNUMBER(G1753),G1753,F1753))</f>
        <v/>
      </c>
      <c r="U1753" s="46">
        <f>IF(ISNUMBER(T1753),ABS(T1753),"")</f>
        <v/>
      </c>
      <c r="V1753" s="46">
        <f>IF(OR($D1752&lt;&gt;"측정",$C1752&lt;&gt;$C1753,NOT(ISNUMBER(L1753)),NOT(ISNUMBER(L1752)),(IF(ISNUMBER(G1753),G1753,F1753)-IF(ISNUMBER(G1752),G1752,F1752))=0),"",(L1753-L1752)/(IF(ISNUMBER(G1753),G1753,F1753)-IF(ISNUMBER(G1752),G1752,F1752)))</f>
        <v/>
      </c>
      <c r="W1753" s="30">
        <f>IF(NOT(AND(ISNUMBER(N1753),ISNUMBER(P1753))),"",(P1753-N1753)*1440)</f>
        <v/>
      </c>
      <c r="X1753" s="28" t="n"/>
      <c r="Y1753" s="28" t="n"/>
      <c r="Z1753" s="28" t="n"/>
      <c r="AA1753" s="31" t="n"/>
      <c r="AB1753" s="31" t="n"/>
    </row>
    <row r="1754">
      <c r="A1754" s="25" t="inlineStr">
        <is>
          <t>S34</t>
        </is>
      </c>
      <c r="B1754" s="25" t="inlineStr">
        <is>
          <t>부안 신규점</t>
        </is>
      </c>
      <c r="C1754" s="25" t="inlineStr">
        <is>
          <t>S34-H남</t>
        </is>
      </c>
      <c r="D1754" s="25" t="inlineStr">
        <is>
          <t>측정</t>
        </is>
      </c>
      <c r="E1754" s="25" t="inlineStr">
        <is>
          <t>남</t>
        </is>
      </c>
      <c r="F1754" s="30" t="n">
        <v>6</v>
      </c>
      <c r="G1754" s="29" t="n"/>
      <c r="H1754" s="42" t="n"/>
      <c r="I1754" s="40" t="n"/>
      <c r="J1754" s="40" t="n"/>
      <c r="K1754" s="40" t="n"/>
      <c r="L1754" s="30">
        <f>IF(COUNT(I1754:K1754)=0,"",MEDIAN(I1754:K1754))</f>
        <v/>
      </c>
      <c r="M1754" s="25">
        <f>IF(COUNTIFS($C:$C,$C1754,$D:$D,"P0(전)",$L:$L,"&gt;0")&lt;&gt;1,"P0(전) 유효 1개 아님",IF(COUNTIFS($C:$C,$C1754,$D:$D,"P0(후)",$L:$L,"&gt;0")&lt;&gt;1,"P0(후) 유효 1개 아님",IF(NOT(AND(ISNUMBER(N1754),ISNUMBER(P1754),ISNUMBER(H1754))),"시각 결측",IF(P1754&lt;=N1754,"P0 시각 역전",IF(OR(H1754&lt;N1754,H1754&gt;P1754),"측정시각 구간 밖","OK")))))</f>
        <v/>
      </c>
      <c r="N1754" s="45">
        <f>IF(COUNTIFS($C:$C,$C1754,$D:$D,"P0(전)",$L:$L,"&gt;0")&lt;&gt;1,"",SUMIFS($H:$H,$C:$C,$C1754,$D:$D,"P0(전)"))</f>
        <v/>
      </c>
      <c r="O1754" s="30">
        <f>IF(COUNTIFS($C:$C,$C1754,$D:$D,"P0(전)",$L:$L,"&gt;0")&lt;&gt;1,"",SUMIFS($L:$L,$C:$C,$C1754,$D:$D,"P0(전)"))</f>
        <v/>
      </c>
      <c r="P1754" s="45">
        <f>IF(COUNTIFS($C:$C,$C1754,$D:$D,"P0(후)",$L:$L,"&gt;0")&lt;&gt;1,"",SUMIFS($H:$H,$C:$C,$C1754,$D:$D,"P0(후)"))</f>
        <v/>
      </c>
      <c r="Q1754" s="30">
        <f>IF(COUNTIFS($C:$C,$C1754,$D:$D,"P0(후)",$L:$L,"&gt;0")&lt;&gt;1,"",SUMIFS($L:$L,$C:$C,$C1754,$D:$D,"P0(후)"))</f>
        <v/>
      </c>
      <c r="R1754" s="30">
        <f>IF(M1754&lt;&gt;"OK","",O1754+(Q1754-O1754)*(H1754-N1754)/(P1754-N1754))</f>
        <v/>
      </c>
      <c r="S1754" s="30">
        <f>IF(OR(M1754&lt;&gt;"OK",NOT(ISNUMBER(L1754))),"",L1754-R1754)</f>
        <v/>
      </c>
      <c r="T1754" s="46">
        <f>IF(OR(NOT(ISNUMBER(S1754)),IF(ISNUMBER(G1754),G1754,F1754)=0),"",S1754/IF(ISNUMBER(G1754),G1754,F1754))</f>
        <v/>
      </c>
      <c r="U1754" s="46">
        <f>IF(ISNUMBER(T1754),ABS(T1754),"")</f>
        <v/>
      </c>
      <c r="V1754" s="46">
        <f>IF(OR($D1753&lt;&gt;"측정",$C1753&lt;&gt;$C1754,NOT(ISNUMBER(L1754)),NOT(ISNUMBER(L1753)),(IF(ISNUMBER(G1754),G1754,F1754)-IF(ISNUMBER(G1753),G1753,F1753))=0),"",(L1754-L1753)/(IF(ISNUMBER(G1754),G1754,F1754)-IF(ISNUMBER(G1753),G1753,F1753)))</f>
        <v/>
      </c>
      <c r="W1754" s="30">
        <f>IF(NOT(AND(ISNUMBER(N1754),ISNUMBER(P1754))),"",(P1754-N1754)*1440)</f>
        <v/>
      </c>
      <c r="X1754" s="28" t="n"/>
      <c r="Y1754" s="28" t="n"/>
      <c r="Z1754" s="28" t="n"/>
      <c r="AA1754" s="31" t="n"/>
      <c r="AB1754" s="31" t="n"/>
    </row>
    <row r="1755">
      <c r="A1755" s="25" t="inlineStr">
        <is>
          <t>S34</t>
        </is>
      </c>
      <c r="B1755" s="25" t="inlineStr">
        <is>
          <t>부안 신규점</t>
        </is>
      </c>
      <c r="C1755" s="25" t="inlineStr">
        <is>
          <t>S34-H남</t>
        </is>
      </c>
      <c r="D1755" s="25" t="inlineStr">
        <is>
          <t>측정</t>
        </is>
      </c>
      <c r="E1755" s="25" t="inlineStr">
        <is>
          <t>남</t>
        </is>
      </c>
      <c r="F1755" s="30" t="n">
        <v>7</v>
      </c>
      <c r="G1755" s="29" t="n"/>
      <c r="H1755" s="42" t="n"/>
      <c r="I1755" s="40" t="n"/>
      <c r="J1755" s="40" t="n"/>
      <c r="K1755" s="40" t="n"/>
      <c r="L1755" s="30">
        <f>IF(COUNT(I1755:K1755)=0,"",MEDIAN(I1755:K1755))</f>
        <v/>
      </c>
      <c r="M1755" s="25">
        <f>IF(COUNTIFS($C:$C,$C1755,$D:$D,"P0(전)",$L:$L,"&gt;0")&lt;&gt;1,"P0(전) 유효 1개 아님",IF(COUNTIFS($C:$C,$C1755,$D:$D,"P0(후)",$L:$L,"&gt;0")&lt;&gt;1,"P0(후) 유효 1개 아님",IF(NOT(AND(ISNUMBER(N1755),ISNUMBER(P1755),ISNUMBER(H1755))),"시각 결측",IF(P1755&lt;=N1755,"P0 시각 역전",IF(OR(H1755&lt;N1755,H1755&gt;P1755),"측정시각 구간 밖","OK")))))</f>
        <v/>
      </c>
      <c r="N1755" s="45">
        <f>IF(COUNTIFS($C:$C,$C1755,$D:$D,"P0(전)",$L:$L,"&gt;0")&lt;&gt;1,"",SUMIFS($H:$H,$C:$C,$C1755,$D:$D,"P0(전)"))</f>
        <v/>
      </c>
      <c r="O1755" s="30">
        <f>IF(COUNTIFS($C:$C,$C1755,$D:$D,"P0(전)",$L:$L,"&gt;0")&lt;&gt;1,"",SUMIFS($L:$L,$C:$C,$C1755,$D:$D,"P0(전)"))</f>
        <v/>
      </c>
      <c r="P1755" s="45">
        <f>IF(COUNTIFS($C:$C,$C1755,$D:$D,"P0(후)",$L:$L,"&gt;0")&lt;&gt;1,"",SUMIFS($H:$H,$C:$C,$C1755,$D:$D,"P0(후)"))</f>
        <v/>
      </c>
      <c r="Q1755" s="30">
        <f>IF(COUNTIFS($C:$C,$C1755,$D:$D,"P0(후)",$L:$L,"&gt;0")&lt;&gt;1,"",SUMIFS($L:$L,$C:$C,$C1755,$D:$D,"P0(후)"))</f>
        <v/>
      </c>
      <c r="R1755" s="30">
        <f>IF(M1755&lt;&gt;"OK","",O1755+(Q1755-O1755)*(H1755-N1755)/(P1755-N1755))</f>
        <v/>
      </c>
      <c r="S1755" s="30">
        <f>IF(OR(M1755&lt;&gt;"OK",NOT(ISNUMBER(L1755))),"",L1755-R1755)</f>
        <v/>
      </c>
      <c r="T1755" s="46">
        <f>IF(OR(NOT(ISNUMBER(S1755)),IF(ISNUMBER(G1755),G1755,F1755)=0),"",S1755/IF(ISNUMBER(G1755),G1755,F1755))</f>
        <v/>
      </c>
      <c r="U1755" s="46">
        <f>IF(ISNUMBER(T1755),ABS(T1755),"")</f>
        <v/>
      </c>
      <c r="V1755" s="46">
        <f>IF(OR($D1754&lt;&gt;"측정",$C1754&lt;&gt;$C1755,NOT(ISNUMBER(L1755)),NOT(ISNUMBER(L1754)),(IF(ISNUMBER(G1755),G1755,F1755)-IF(ISNUMBER(G1754),G1754,F1754))=0),"",(L1755-L1754)/(IF(ISNUMBER(G1755),G1755,F1755)-IF(ISNUMBER(G1754),G1754,F1754)))</f>
        <v/>
      </c>
      <c r="W1755" s="30">
        <f>IF(NOT(AND(ISNUMBER(N1755),ISNUMBER(P1755))),"",(P1755-N1755)*1440)</f>
        <v/>
      </c>
      <c r="X1755" s="28" t="n"/>
      <c r="Y1755" s="28" t="n"/>
      <c r="Z1755" s="28" t="n"/>
      <c r="AA1755" s="31" t="n"/>
      <c r="AB1755" s="31" t="n"/>
    </row>
    <row r="1756">
      <c r="A1756" s="25" t="inlineStr">
        <is>
          <t>S34</t>
        </is>
      </c>
      <c r="B1756" s="25" t="inlineStr">
        <is>
          <t>부안 신규점</t>
        </is>
      </c>
      <c r="C1756" s="25" t="inlineStr">
        <is>
          <t>S34-H남</t>
        </is>
      </c>
      <c r="D1756" s="25" t="inlineStr">
        <is>
          <t>측정</t>
        </is>
      </c>
      <c r="E1756" s="25" t="inlineStr">
        <is>
          <t>남</t>
        </is>
      </c>
      <c r="F1756" s="30" t="n">
        <v>8</v>
      </c>
      <c r="G1756" s="29" t="n"/>
      <c r="H1756" s="42" t="n"/>
      <c r="I1756" s="40" t="n"/>
      <c r="J1756" s="40" t="n"/>
      <c r="K1756" s="40" t="n"/>
      <c r="L1756" s="30">
        <f>IF(COUNT(I1756:K1756)=0,"",MEDIAN(I1756:K1756))</f>
        <v/>
      </c>
      <c r="M1756" s="25">
        <f>IF(COUNTIFS($C:$C,$C1756,$D:$D,"P0(전)",$L:$L,"&gt;0")&lt;&gt;1,"P0(전) 유효 1개 아님",IF(COUNTIFS($C:$C,$C1756,$D:$D,"P0(후)",$L:$L,"&gt;0")&lt;&gt;1,"P0(후) 유효 1개 아님",IF(NOT(AND(ISNUMBER(N1756),ISNUMBER(P1756),ISNUMBER(H1756))),"시각 결측",IF(P1756&lt;=N1756,"P0 시각 역전",IF(OR(H1756&lt;N1756,H1756&gt;P1756),"측정시각 구간 밖","OK")))))</f>
        <v/>
      </c>
      <c r="N1756" s="45">
        <f>IF(COUNTIFS($C:$C,$C1756,$D:$D,"P0(전)",$L:$L,"&gt;0")&lt;&gt;1,"",SUMIFS($H:$H,$C:$C,$C1756,$D:$D,"P0(전)"))</f>
        <v/>
      </c>
      <c r="O1756" s="30">
        <f>IF(COUNTIFS($C:$C,$C1756,$D:$D,"P0(전)",$L:$L,"&gt;0")&lt;&gt;1,"",SUMIFS($L:$L,$C:$C,$C1756,$D:$D,"P0(전)"))</f>
        <v/>
      </c>
      <c r="P1756" s="45">
        <f>IF(COUNTIFS($C:$C,$C1756,$D:$D,"P0(후)",$L:$L,"&gt;0")&lt;&gt;1,"",SUMIFS($H:$H,$C:$C,$C1756,$D:$D,"P0(후)"))</f>
        <v/>
      </c>
      <c r="Q1756" s="30">
        <f>IF(COUNTIFS($C:$C,$C1756,$D:$D,"P0(후)",$L:$L,"&gt;0")&lt;&gt;1,"",SUMIFS($L:$L,$C:$C,$C1756,$D:$D,"P0(후)"))</f>
        <v/>
      </c>
      <c r="R1756" s="30">
        <f>IF(M1756&lt;&gt;"OK","",O1756+(Q1756-O1756)*(H1756-N1756)/(P1756-N1756))</f>
        <v/>
      </c>
      <c r="S1756" s="30">
        <f>IF(OR(M1756&lt;&gt;"OK",NOT(ISNUMBER(L1756))),"",L1756-R1756)</f>
        <v/>
      </c>
      <c r="T1756" s="46">
        <f>IF(OR(NOT(ISNUMBER(S1756)),IF(ISNUMBER(G1756),G1756,F1756)=0),"",S1756/IF(ISNUMBER(G1756),G1756,F1756))</f>
        <v/>
      </c>
      <c r="U1756" s="46">
        <f>IF(ISNUMBER(T1756),ABS(T1756),"")</f>
        <v/>
      </c>
      <c r="V1756" s="46">
        <f>IF(OR($D1755&lt;&gt;"측정",$C1755&lt;&gt;$C1756,NOT(ISNUMBER(L1756)),NOT(ISNUMBER(L1755)),(IF(ISNUMBER(G1756),G1756,F1756)-IF(ISNUMBER(G1755),G1755,F1755))=0),"",(L1756-L1755)/(IF(ISNUMBER(G1756),G1756,F1756)-IF(ISNUMBER(G1755),G1755,F1755)))</f>
        <v/>
      </c>
      <c r="W1756" s="30">
        <f>IF(NOT(AND(ISNUMBER(N1756),ISNUMBER(P1756))),"",(P1756-N1756)*1440)</f>
        <v/>
      </c>
      <c r="X1756" s="28" t="n"/>
      <c r="Y1756" s="28" t="n"/>
      <c r="Z1756" s="28" t="n"/>
      <c r="AA1756" s="31" t="n"/>
      <c r="AB1756" s="31" t="n"/>
    </row>
    <row r="1757">
      <c r="A1757" s="25" t="inlineStr">
        <is>
          <t>S34</t>
        </is>
      </c>
      <c r="B1757" s="25" t="inlineStr">
        <is>
          <t>부안 신규점</t>
        </is>
      </c>
      <c r="C1757" s="25" t="inlineStr">
        <is>
          <t>S34-H남</t>
        </is>
      </c>
      <c r="D1757" s="25" t="inlineStr">
        <is>
          <t>측정</t>
        </is>
      </c>
      <c r="E1757" s="25" t="inlineStr">
        <is>
          <t>남</t>
        </is>
      </c>
      <c r="F1757" s="30" t="n">
        <v>9</v>
      </c>
      <c r="G1757" s="29" t="n"/>
      <c r="H1757" s="42" t="n"/>
      <c r="I1757" s="40" t="n"/>
      <c r="J1757" s="40" t="n"/>
      <c r="K1757" s="40" t="n"/>
      <c r="L1757" s="30">
        <f>IF(COUNT(I1757:K1757)=0,"",MEDIAN(I1757:K1757))</f>
        <v/>
      </c>
      <c r="M1757" s="25">
        <f>IF(COUNTIFS($C:$C,$C1757,$D:$D,"P0(전)",$L:$L,"&gt;0")&lt;&gt;1,"P0(전) 유효 1개 아님",IF(COUNTIFS($C:$C,$C1757,$D:$D,"P0(후)",$L:$L,"&gt;0")&lt;&gt;1,"P0(후) 유효 1개 아님",IF(NOT(AND(ISNUMBER(N1757),ISNUMBER(P1757),ISNUMBER(H1757))),"시각 결측",IF(P1757&lt;=N1757,"P0 시각 역전",IF(OR(H1757&lt;N1757,H1757&gt;P1757),"측정시각 구간 밖","OK")))))</f>
        <v/>
      </c>
      <c r="N1757" s="45">
        <f>IF(COUNTIFS($C:$C,$C1757,$D:$D,"P0(전)",$L:$L,"&gt;0")&lt;&gt;1,"",SUMIFS($H:$H,$C:$C,$C1757,$D:$D,"P0(전)"))</f>
        <v/>
      </c>
      <c r="O1757" s="30">
        <f>IF(COUNTIFS($C:$C,$C1757,$D:$D,"P0(전)",$L:$L,"&gt;0")&lt;&gt;1,"",SUMIFS($L:$L,$C:$C,$C1757,$D:$D,"P0(전)"))</f>
        <v/>
      </c>
      <c r="P1757" s="45">
        <f>IF(COUNTIFS($C:$C,$C1757,$D:$D,"P0(후)",$L:$L,"&gt;0")&lt;&gt;1,"",SUMIFS($H:$H,$C:$C,$C1757,$D:$D,"P0(후)"))</f>
        <v/>
      </c>
      <c r="Q1757" s="30">
        <f>IF(COUNTIFS($C:$C,$C1757,$D:$D,"P0(후)",$L:$L,"&gt;0")&lt;&gt;1,"",SUMIFS($L:$L,$C:$C,$C1757,$D:$D,"P0(후)"))</f>
        <v/>
      </c>
      <c r="R1757" s="30">
        <f>IF(M1757&lt;&gt;"OK","",O1757+(Q1757-O1757)*(H1757-N1757)/(P1757-N1757))</f>
        <v/>
      </c>
      <c r="S1757" s="30">
        <f>IF(OR(M1757&lt;&gt;"OK",NOT(ISNUMBER(L1757))),"",L1757-R1757)</f>
        <v/>
      </c>
      <c r="T1757" s="46">
        <f>IF(OR(NOT(ISNUMBER(S1757)),IF(ISNUMBER(G1757),G1757,F1757)=0),"",S1757/IF(ISNUMBER(G1757),G1757,F1757))</f>
        <v/>
      </c>
      <c r="U1757" s="46">
        <f>IF(ISNUMBER(T1757),ABS(T1757),"")</f>
        <v/>
      </c>
      <c r="V1757" s="46">
        <f>IF(OR($D1756&lt;&gt;"측정",$C1756&lt;&gt;$C1757,NOT(ISNUMBER(L1757)),NOT(ISNUMBER(L1756)),(IF(ISNUMBER(G1757),G1757,F1757)-IF(ISNUMBER(G1756),G1756,F1756))=0),"",(L1757-L1756)/(IF(ISNUMBER(G1757),G1757,F1757)-IF(ISNUMBER(G1756),G1756,F1756)))</f>
        <v/>
      </c>
      <c r="W1757" s="30">
        <f>IF(NOT(AND(ISNUMBER(N1757),ISNUMBER(P1757))),"",(P1757-N1757)*1440)</f>
        <v/>
      </c>
      <c r="X1757" s="28" t="n"/>
      <c r="Y1757" s="28" t="n"/>
      <c r="Z1757" s="28" t="n"/>
      <c r="AA1757" s="31" t="n"/>
      <c r="AB1757" s="31" t="n"/>
    </row>
    <row r="1758">
      <c r="A1758" s="25" t="inlineStr">
        <is>
          <t>S34</t>
        </is>
      </c>
      <c r="B1758" s="25" t="inlineStr">
        <is>
          <t>부안 신규점</t>
        </is>
      </c>
      <c r="C1758" s="25" t="inlineStr">
        <is>
          <t>S34-H남</t>
        </is>
      </c>
      <c r="D1758" s="25" t="inlineStr">
        <is>
          <t>측정</t>
        </is>
      </c>
      <c r="E1758" s="25" t="inlineStr">
        <is>
          <t>남</t>
        </is>
      </c>
      <c r="F1758" s="30" t="n">
        <v>10</v>
      </c>
      <c r="G1758" s="29" t="n"/>
      <c r="H1758" s="42" t="n"/>
      <c r="I1758" s="40" t="n"/>
      <c r="J1758" s="40" t="n"/>
      <c r="K1758" s="40" t="n"/>
      <c r="L1758" s="30">
        <f>IF(COUNT(I1758:K1758)=0,"",MEDIAN(I1758:K1758))</f>
        <v/>
      </c>
      <c r="M1758" s="25">
        <f>IF(COUNTIFS($C:$C,$C1758,$D:$D,"P0(전)",$L:$L,"&gt;0")&lt;&gt;1,"P0(전) 유효 1개 아님",IF(COUNTIFS($C:$C,$C1758,$D:$D,"P0(후)",$L:$L,"&gt;0")&lt;&gt;1,"P0(후) 유효 1개 아님",IF(NOT(AND(ISNUMBER(N1758),ISNUMBER(P1758),ISNUMBER(H1758))),"시각 결측",IF(P1758&lt;=N1758,"P0 시각 역전",IF(OR(H1758&lt;N1758,H1758&gt;P1758),"측정시각 구간 밖","OK")))))</f>
        <v/>
      </c>
      <c r="N1758" s="45">
        <f>IF(COUNTIFS($C:$C,$C1758,$D:$D,"P0(전)",$L:$L,"&gt;0")&lt;&gt;1,"",SUMIFS($H:$H,$C:$C,$C1758,$D:$D,"P0(전)"))</f>
        <v/>
      </c>
      <c r="O1758" s="30">
        <f>IF(COUNTIFS($C:$C,$C1758,$D:$D,"P0(전)",$L:$L,"&gt;0")&lt;&gt;1,"",SUMIFS($L:$L,$C:$C,$C1758,$D:$D,"P0(전)"))</f>
        <v/>
      </c>
      <c r="P1758" s="45">
        <f>IF(COUNTIFS($C:$C,$C1758,$D:$D,"P0(후)",$L:$L,"&gt;0")&lt;&gt;1,"",SUMIFS($H:$H,$C:$C,$C1758,$D:$D,"P0(후)"))</f>
        <v/>
      </c>
      <c r="Q1758" s="30">
        <f>IF(COUNTIFS($C:$C,$C1758,$D:$D,"P0(후)",$L:$L,"&gt;0")&lt;&gt;1,"",SUMIFS($L:$L,$C:$C,$C1758,$D:$D,"P0(후)"))</f>
        <v/>
      </c>
      <c r="R1758" s="30">
        <f>IF(M1758&lt;&gt;"OK","",O1758+(Q1758-O1758)*(H1758-N1758)/(P1758-N1758))</f>
        <v/>
      </c>
      <c r="S1758" s="30">
        <f>IF(OR(M1758&lt;&gt;"OK",NOT(ISNUMBER(L1758))),"",L1758-R1758)</f>
        <v/>
      </c>
      <c r="T1758" s="46">
        <f>IF(OR(NOT(ISNUMBER(S1758)),IF(ISNUMBER(G1758),G1758,F1758)=0),"",S1758/IF(ISNUMBER(G1758),G1758,F1758))</f>
        <v/>
      </c>
      <c r="U1758" s="46">
        <f>IF(ISNUMBER(T1758),ABS(T1758),"")</f>
        <v/>
      </c>
      <c r="V1758" s="46">
        <f>IF(OR($D1757&lt;&gt;"측정",$C1757&lt;&gt;$C1758,NOT(ISNUMBER(L1758)),NOT(ISNUMBER(L1757)),(IF(ISNUMBER(G1758),G1758,F1758)-IF(ISNUMBER(G1757),G1757,F1757))=0),"",(L1758-L1757)/(IF(ISNUMBER(G1758),G1758,F1758)-IF(ISNUMBER(G1757),G1757,F1757)))</f>
        <v/>
      </c>
      <c r="W1758" s="30">
        <f>IF(NOT(AND(ISNUMBER(N1758),ISNUMBER(P1758))),"",(P1758-N1758)*1440)</f>
        <v/>
      </c>
      <c r="X1758" s="28" t="n"/>
      <c r="Y1758" s="28" t="n"/>
      <c r="Z1758" s="28" t="n"/>
      <c r="AA1758" s="31" t="n"/>
      <c r="AB1758" s="31" t="n"/>
    </row>
    <row r="1759">
      <c r="A1759" s="43" t="inlineStr">
        <is>
          <t>S34</t>
        </is>
      </c>
      <c r="B1759" s="43" t="inlineStr">
        <is>
          <t>부안 신규점</t>
        </is>
      </c>
      <c r="C1759" s="43" t="inlineStr">
        <is>
          <t>S34-H남</t>
        </is>
      </c>
      <c r="D1759" s="43" t="inlineStr">
        <is>
          <t>P0(후)</t>
        </is>
      </c>
      <c r="E1759" s="43" t="inlineStr">
        <is>
          <t>남</t>
        </is>
      </c>
      <c r="F1759" s="44" t="n"/>
      <c r="G1759" s="29" t="n"/>
      <c r="H1759" s="42" t="n"/>
      <c r="I1759" s="40" t="n"/>
      <c r="J1759" s="40" t="n"/>
      <c r="K1759" s="40" t="n"/>
      <c r="L1759" s="30">
        <f>IF(COUNT(I1759:K1759)=0,"",MEDIAN(I1759:K1759))</f>
        <v/>
      </c>
      <c r="M1759" s="37" t="n"/>
      <c r="N1759" s="37" t="n"/>
      <c r="O1759" s="37" t="n"/>
      <c r="P1759" s="37" t="n"/>
      <c r="Q1759" s="37" t="n"/>
      <c r="R1759" s="37" t="n"/>
      <c r="S1759" s="37" t="n"/>
      <c r="T1759" s="37" t="n"/>
      <c r="U1759" s="37" t="n"/>
      <c r="V1759" s="37" t="n"/>
      <c r="W1759" s="37" t="n"/>
      <c r="X1759" s="28" t="n"/>
      <c r="Y1759" s="28" t="n"/>
      <c r="Z1759" s="28" t="n"/>
      <c r="AA1759" s="31" t="n"/>
      <c r="AB1759" s="31" t="n"/>
    </row>
    <row r="1760">
      <c r="A1760" s="43" t="inlineStr">
        <is>
          <t>S34</t>
        </is>
      </c>
      <c r="B1760" s="43" t="inlineStr">
        <is>
          <t>부안 신규점</t>
        </is>
      </c>
      <c r="C1760" s="43" t="inlineStr">
        <is>
          <t>S34-H북</t>
        </is>
      </c>
      <c r="D1760" s="43" t="inlineStr">
        <is>
          <t>P0(전)</t>
        </is>
      </c>
      <c r="E1760" s="43" t="inlineStr">
        <is>
          <t>북</t>
        </is>
      </c>
      <c r="F1760" s="44" t="n"/>
      <c r="G1760" s="29" t="n"/>
      <c r="H1760" s="42" t="n"/>
      <c r="I1760" s="40" t="n"/>
      <c r="J1760" s="40" t="n"/>
      <c r="K1760" s="40" t="n"/>
      <c r="L1760" s="30">
        <f>IF(COUNT(I1760:K1760)=0,"",MEDIAN(I1760:K1760))</f>
        <v/>
      </c>
      <c r="M1760" s="37" t="n"/>
      <c r="N1760" s="37" t="n"/>
      <c r="O1760" s="37" t="n"/>
      <c r="P1760" s="37" t="n"/>
      <c r="Q1760" s="37" t="n"/>
      <c r="R1760" s="37" t="n"/>
      <c r="S1760" s="37" t="n"/>
      <c r="T1760" s="37" t="n"/>
      <c r="U1760" s="37" t="n"/>
      <c r="V1760" s="37" t="n"/>
      <c r="W1760" s="37" t="n"/>
      <c r="X1760" s="28" t="n"/>
      <c r="Y1760" s="28" t="n"/>
      <c r="Z1760" s="28" t="n"/>
      <c r="AA1760" s="31" t="n"/>
      <c r="AB1760" s="31" t="n"/>
    </row>
    <row r="1761">
      <c r="A1761" s="25" t="inlineStr">
        <is>
          <t>S34</t>
        </is>
      </c>
      <c r="B1761" s="25" t="inlineStr">
        <is>
          <t>부안 신규점</t>
        </is>
      </c>
      <c r="C1761" s="25" t="inlineStr">
        <is>
          <t>S34-H북</t>
        </is>
      </c>
      <c r="D1761" s="25" t="inlineStr">
        <is>
          <t>측정</t>
        </is>
      </c>
      <c r="E1761" s="25" t="inlineStr">
        <is>
          <t>북</t>
        </is>
      </c>
      <c r="F1761" s="30" t="n">
        <v>0.5</v>
      </c>
      <c r="G1761" s="29" t="n"/>
      <c r="H1761" s="42" t="n"/>
      <c r="I1761" s="40" t="n"/>
      <c r="J1761" s="40" t="n"/>
      <c r="K1761" s="40" t="n"/>
      <c r="L1761" s="30">
        <f>IF(COUNT(I1761:K1761)=0,"",MEDIAN(I1761:K1761))</f>
        <v/>
      </c>
      <c r="M1761" s="25">
        <f>IF(COUNTIFS($C:$C,$C1761,$D:$D,"P0(전)",$L:$L,"&gt;0")&lt;&gt;1,"P0(전) 유효 1개 아님",IF(COUNTIFS($C:$C,$C1761,$D:$D,"P0(후)",$L:$L,"&gt;0")&lt;&gt;1,"P0(후) 유효 1개 아님",IF(NOT(AND(ISNUMBER(N1761),ISNUMBER(P1761),ISNUMBER(H1761))),"시각 결측",IF(P1761&lt;=N1761,"P0 시각 역전",IF(OR(H1761&lt;N1761,H1761&gt;P1761),"측정시각 구간 밖","OK")))))</f>
        <v/>
      </c>
      <c r="N1761" s="45">
        <f>IF(COUNTIFS($C:$C,$C1761,$D:$D,"P0(전)",$L:$L,"&gt;0")&lt;&gt;1,"",SUMIFS($H:$H,$C:$C,$C1761,$D:$D,"P0(전)"))</f>
        <v/>
      </c>
      <c r="O1761" s="30">
        <f>IF(COUNTIFS($C:$C,$C1761,$D:$D,"P0(전)",$L:$L,"&gt;0")&lt;&gt;1,"",SUMIFS($L:$L,$C:$C,$C1761,$D:$D,"P0(전)"))</f>
        <v/>
      </c>
      <c r="P1761" s="45">
        <f>IF(COUNTIFS($C:$C,$C1761,$D:$D,"P0(후)",$L:$L,"&gt;0")&lt;&gt;1,"",SUMIFS($H:$H,$C:$C,$C1761,$D:$D,"P0(후)"))</f>
        <v/>
      </c>
      <c r="Q1761" s="30">
        <f>IF(COUNTIFS($C:$C,$C1761,$D:$D,"P0(후)",$L:$L,"&gt;0")&lt;&gt;1,"",SUMIFS($L:$L,$C:$C,$C1761,$D:$D,"P0(후)"))</f>
        <v/>
      </c>
      <c r="R1761" s="30">
        <f>IF(M1761&lt;&gt;"OK","",O1761+(Q1761-O1761)*(H1761-N1761)/(P1761-N1761))</f>
        <v/>
      </c>
      <c r="S1761" s="30">
        <f>IF(OR(M1761&lt;&gt;"OK",NOT(ISNUMBER(L1761))),"",L1761-R1761)</f>
        <v/>
      </c>
      <c r="T1761" s="46">
        <f>IF(OR(NOT(ISNUMBER(S1761)),IF(ISNUMBER(G1761),G1761,F1761)=0),"",S1761/IF(ISNUMBER(G1761),G1761,F1761))</f>
        <v/>
      </c>
      <c r="U1761" s="46">
        <f>IF(ISNUMBER(T1761),ABS(T1761),"")</f>
        <v/>
      </c>
      <c r="V1761" s="46">
        <f>IF(OR($D1760&lt;&gt;"측정",$C1760&lt;&gt;$C1761,NOT(ISNUMBER(L1761)),NOT(ISNUMBER(L1760)),(IF(ISNUMBER(G1761),G1761,F1761)-IF(ISNUMBER(G1760),G1760,F1760))=0),"",(L1761-L1760)/(IF(ISNUMBER(G1761),G1761,F1761)-IF(ISNUMBER(G1760),G1760,F1760)))</f>
        <v/>
      </c>
      <c r="W1761" s="30">
        <f>IF(NOT(AND(ISNUMBER(N1761),ISNUMBER(P1761))),"",(P1761-N1761)*1440)</f>
        <v/>
      </c>
      <c r="X1761" s="28" t="n"/>
      <c r="Y1761" s="28" t="n"/>
      <c r="Z1761" s="28" t="n"/>
      <c r="AA1761" s="31" t="n"/>
      <c r="AB1761" s="31" t="n"/>
    </row>
    <row r="1762">
      <c r="A1762" s="25" t="inlineStr">
        <is>
          <t>S34</t>
        </is>
      </c>
      <c r="B1762" s="25" t="inlineStr">
        <is>
          <t>부안 신규점</t>
        </is>
      </c>
      <c r="C1762" s="25" t="inlineStr">
        <is>
          <t>S34-H북</t>
        </is>
      </c>
      <c r="D1762" s="25" t="inlineStr">
        <is>
          <t>측정</t>
        </is>
      </c>
      <c r="E1762" s="25" t="inlineStr">
        <is>
          <t>북</t>
        </is>
      </c>
      <c r="F1762" s="30" t="n">
        <v>1</v>
      </c>
      <c r="G1762" s="29" t="n"/>
      <c r="H1762" s="42" t="n"/>
      <c r="I1762" s="40" t="n"/>
      <c r="J1762" s="40" t="n"/>
      <c r="K1762" s="40" t="n"/>
      <c r="L1762" s="30">
        <f>IF(COUNT(I1762:K1762)=0,"",MEDIAN(I1762:K1762))</f>
        <v/>
      </c>
      <c r="M1762" s="25">
        <f>IF(COUNTIFS($C:$C,$C1762,$D:$D,"P0(전)",$L:$L,"&gt;0")&lt;&gt;1,"P0(전) 유효 1개 아님",IF(COUNTIFS($C:$C,$C1762,$D:$D,"P0(후)",$L:$L,"&gt;0")&lt;&gt;1,"P0(후) 유효 1개 아님",IF(NOT(AND(ISNUMBER(N1762),ISNUMBER(P1762),ISNUMBER(H1762))),"시각 결측",IF(P1762&lt;=N1762,"P0 시각 역전",IF(OR(H1762&lt;N1762,H1762&gt;P1762),"측정시각 구간 밖","OK")))))</f>
        <v/>
      </c>
      <c r="N1762" s="45">
        <f>IF(COUNTIFS($C:$C,$C1762,$D:$D,"P0(전)",$L:$L,"&gt;0")&lt;&gt;1,"",SUMIFS($H:$H,$C:$C,$C1762,$D:$D,"P0(전)"))</f>
        <v/>
      </c>
      <c r="O1762" s="30">
        <f>IF(COUNTIFS($C:$C,$C1762,$D:$D,"P0(전)",$L:$L,"&gt;0")&lt;&gt;1,"",SUMIFS($L:$L,$C:$C,$C1762,$D:$D,"P0(전)"))</f>
        <v/>
      </c>
      <c r="P1762" s="45">
        <f>IF(COUNTIFS($C:$C,$C1762,$D:$D,"P0(후)",$L:$L,"&gt;0")&lt;&gt;1,"",SUMIFS($H:$H,$C:$C,$C1762,$D:$D,"P0(후)"))</f>
        <v/>
      </c>
      <c r="Q1762" s="30">
        <f>IF(COUNTIFS($C:$C,$C1762,$D:$D,"P0(후)",$L:$L,"&gt;0")&lt;&gt;1,"",SUMIFS($L:$L,$C:$C,$C1762,$D:$D,"P0(후)"))</f>
        <v/>
      </c>
      <c r="R1762" s="30">
        <f>IF(M1762&lt;&gt;"OK","",O1762+(Q1762-O1762)*(H1762-N1762)/(P1762-N1762))</f>
        <v/>
      </c>
      <c r="S1762" s="30">
        <f>IF(OR(M1762&lt;&gt;"OK",NOT(ISNUMBER(L1762))),"",L1762-R1762)</f>
        <v/>
      </c>
      <c r="T1762" s="46">
        <f>IF(OR(NOT(ISNUMBER(S1762)),IF(ISNUMBER(G1762),G1762,F1762)=0),"",S1762/IF(ISNUMBER(G1762),G1762,F1762))</f>
        <v/>
      </c>
      <c r="U1762" s="46">
        <f>IF(ISNUMBER(T1762),ABS(T1762),"")</f>
        <v/>
      </c>
      <c r="V1762" s="46">
        <f>IF(OR($D1761&lt;&gt;"측정",$C1761&lt;&gt;$C1762,NOT(ISNUMBER(L1762)),NOT(ISNUMBER(L1761)),(IF(ISNUMBER(G1762),G1762,F1762)-IF(ISNUMBER(G1761),G1761,F1761))=0),"",(L1762-L1761)/(IF(ISNUMBER(G1762),G1762,F1762)-IF(ISNUMBER(G1761),G1761,F1761)))</f>
        <v/>
      </c>
      <c r="W1762" s="30">
        <f>IF(NOT(AND(ISNUMBER(N1762),ISNUMBER(P1762))),"",(P1762-N1762)*1440)</f>
        <v/>
      </c>
      <c r="X1762" s="28" t="n"/>
      <c r="Y1762" s="28" t="n"/>
      <c r="Z1762" s="28" t="n"/>
      <c r="AA1762" s="31" t="n"/>
      <c r="AB1762" s="31" t="n"/>
    </row>
    <row r="1763">
      <c r="A1763" s="25" t="inlineStr">
        <is>
          <t>S34</t>
        </is>
      </c>
      <c r="B1763" s="25" t="inlineStr">
        <is>
          <t>부안 신규점</t>
        </is>
      </c>
      <c r="C1763" s="25" t="inlineStr">
        <is>
          <t>S34-H북</t>
        </is>
      </c>
      <c r="D1763" s="25" t="inlineStr">
        <is>
          <t>측정</t>
        </is>
      </c>
      <c r="E1763" s="25" t="inlineStr">
        <is>
          <t>북</t>
        </is>
      </c>
      <c r="F1763" s="30" t="n">
        <v>2</v>
      </c>
      <c r="G1763" s="29" t="n"/>
      <c r="H1763" s="42" t="n"/>
      <c r="I1763" s="40" t="n"/>
      <c r="J1763" s="40" t="n"/>
      <c r="K1763" s="40" t="n"/>
      <c r="L1763" s="30">
        <f>IF(COUNT(I1763:K1763)=0,"",MEDIAN(I1763:K1763))</f>
        <v/>
      </c>
      <c r="M1763" s="25">
        <f>IF(COUNTIFS($C:$C,$C1763,$D:$D,"P0(전)",$L:$L,"&gt;0")&lt;&gt;1,"P0(전) 유효 1개 아님",IF(COUNTIFS($C:$C,$C1763,$D:$D,"P0(후)",$L:$L,"&gt;0")&lt;&gt;1,"P0(후) 유효 1개 아님",IF(NOT(AND(ISNUMBER(N1763),ISNUMBER(P1763),ISNUMBER(H1763))),"시각 결측",IF(P1763&lt;=N1763,"P0 시각 역전",IF(OR(H1763&lt;N1763,H1763&gt;P1763),"측정시각 구간 밖","OK")))))</f>
        <v/>
      </c>
      <c r="N1763" s="45">
        <f>IF(COUNTIFS($C:$C,$C1763,$D:$D,"P0(전)",$L:$L,"&gt;0")&lt;&gt;1,"",SUMIFS($H:$H,$C:$C,$C1763,$D:$D,"P0(전)"))</f>
        <v/>
      </c>
      <c r="O1763" s="30">
        <f>IF(COUNTIFS($C:$C,$C1763,$D:$D,"P0(전)",$L:$L,"&gt;0")&lt;&gt;1,"",SUMIFS($L:$L,$C:$C,$C1763,$D:$D,"P0(전)"))</f>
        <v/>
      </c>
      <c r="P1763" s="45">
        <f>IF(COUNTIFS($C:$C,$C1763,$D:$D,"P0(후)",$L:$L,"&gt;0")&lt;&gt;1,"",SUMIFS($H:$H,$C:$C,$C1763,$D:$D,"P0(후)"))</f>
        <v/>
      </c>
      <c r="Q1763" s="30">
        <f>IF(COUNTIFS($C:$C,$C1763,$D:$D,"P0(후)",$L:$L,"&gt;0")&lt;&gt;1,"",SUMIFS($L:$L,$C:$C,$C1763,$D:$D,"P0(후)"))</f>
        <v/>
      </c>
      <c r="R1763" s="30">
        <f>IF(M1763&lt;&gt;"OK","",O1763+(Q1763-O1763)*(H1763-N1763)/(P1763-N1763))</f>
        <v/>
      </c>
      <c r="S1763" s="30">
        <f>IF(OR(M1763&lt;&gt;"OK",NOT(ISNUMBER(L1763))),"",L1763-R1763)</f>
        <v/>
      </c>
      <c r="T1763" s="46">
        <f>IF(OR(NOT(ISNUMBER(S1763)),IF(ISNUMBER(G1763),G1763,F1763)=0),"",S1763/IF(ISNUMBER(G1763),G1763,F1763))</f>
        <v/>
      </c>
      <c r="U1763" s="46">
        <f>IF(ISNUMBER(T1763),ABS(T1763),"")</f>
        <v/>
      </c>
      <c r="V1763" s="46">
        <f>IF(OR($D1762&lt;&gt;"측정",$C1762&lt;&gt;$C1763,NOT(ISNUMBER(L1763)),NOT(ISNUMBER(L1762)),(IF(ISNUMBER(G1763),G1763,F1763)-IF(ISNUMBER(G1762),G1762,F1762))=0),"",(L1763-L1762)/(IF(ISNUMBER(G1763),G1763,F1763)-IF(ISNUMBER(G1762),G1762,F1762)))</f>
        <v/>
      </c>
      <c r="W1763" s="30">
        <f>IF(NOT(AND(ISNUMBER(N1763),ISNUMBER(P1763))),"",(P1763-N1763)*1440)</f>
        <v/>
      </c>
      <c r="X1763" s="28" t="n"/>
      <c r="Y1763" s="28" t="n"/>
      <c r="Z1763" s="28" t="n"/>
      <c r="AA1763" s="31" t="n"/>
      <c r="AB1763" s="31" t="n"/>
    </row>
    <row r="1764">
      <c r="A1764" s="25" t="inlineStr">
        <is>
          <t>S34</t>
        </is>
      </c>
      <c r="B1764" s="25" t="inlineStr">
        <is>
          <t>부안 신규점</t>
        </is>
      </c>
      <c r="C1764" s="25" t="inlineStr">
        <is>
          <t>S34-H북</t>
        </is>
      </c>
      <c r="D1764" s="25" t="inlineStr">
        <is>
          <t>측정</t>
        </is>
      </c>
      <c r="E1764" s="25" t="inlineStr">
        <is>
          <t>북</t>
        </is>
      </c>
      <c r="F1764" s="30" t="n">
        <v>3</v>
      </c>
      <c r="G1764" s="29" t="n"/>
      <c r="H1764" s="42" t="n"/>
      <c r="I1764" s="40" t="n"/>
      <c r="J1764" s="40" t="n"/>
      <c r="K1764" s="40" t="n"/>
      <c r="L1764" s="30">
        <f>IF(COUNT(I1764:K1764)=0,"",MEDIAN(I1764:K1764))</f>
        <v/>
      </c>
      <c r="M1764" s="25">
        <f>IF(COUNTIFS($C:$C,$C1764,$D:$D,"P0(전)",$L:$L,"&gt;0")&lt;&gt;1,"P0(전) 유효 1개 아님",IF(COUNTIFS($C:$C,$C1764,$D:$D,"P0(후)",$L:$L,"&gt;0")&lt;&gt;1,"P0(후) 유효 1개 아님",IF(NOT(AND(ISNUMBER(N1764),ISNUMBER(P1764),ISNUMBER(H1764))),"시각 결측",IF(P1764&lt;=N1764,"P0 시각 역전",IF(OR(H1764&lt;N1764,H1764&gt;P1764),"측정시각 구간 밖","OK")))))</f>
        <v/>
      </c>
      <c r="N1764" s="45">
        <f>IF(COUNTIFS($C:$C,$C1764,$D:$D,"P0(전)",$L:$L,"&gt;0")&lt;&gt;1,"",SUMIFS($H:$H,$C:$C,$C1764,$D:$D,"P0(전)"))</f>
        <v/>
      </c>
      <c r="O1764" s="30">
        <f>IF(COUNTIFS($C:$C,$C1764,$D:$D,"P0(전)",$L:$L,"&gt;0")&lt;&gt;1,"",SUMIFS($L:$L,$C:$C,$C1764,$D:$D,"P0(전)"))</f>
        <v/>
      </c>
      <c r="P1764" s="45">
        <f>IF(COUNTIFS($C:$C,$C1764,$D:$D,"P0(후)",$L:$L,"&gt;0")&lt;&gt;1,"",SUMIFS($H:$H,$C:$C,$C1764,$D:$D,"P0(후)"))</f>
        <v/>
      </c>
      <c r="Q1764" s="30">
        <f>IF(COUNTIFS($C:$C,$C1764,$D:$D,"P0(후)",$L:$L,"&gt;0")&lt;&gt;1,"",SUMIFS($L:$L,$C:$C,$C1764,$D:$D,"P0(후)"))</f>
        <v/>
      </c>
      <c r="R1764" s="30">
        <f>IF(M1764&lt;&gt;"OK","",O1764+(Q1764-O1764)*(H1764-N1764)/(P1764-N1764))</f>
        <v/>
      </c>
      <c r="S1764" s="30">
        <f>IF(OR(M1764&lt;&gt;"OK",NOT(ISNUMBER(L1764))),"",L1764-R1764)</f>
        <v/>
      </c>
      <c r="T1764" s="46">
        <f>IF(OR(NOT(ISNUMBER(S1764)),IF(ISNUMBER(G1764),G1764,F1764)=0),"",S1764/IF(ISNUMBER(G1764),G1764,F1764))</f>
        <v/>
      </c>
      <c r="U1764" s="46">
        <f>IF(ISNUMBER(T1764),ABS(T1764),"")</f>
        <v/>
      </c>
      <c r="V1764" s="46">
        <f>IF(OR($D1763&lt;&gt;"측정",$C1763&lt;&gt;$C1764,NOT(ISNUMBER(L1764)),NOT(ISNUMBER(L1763)),(IF(ISNUMBER(G1764),G1764,F1764)-IF(ISNUMBER(G1763),G1763,F1763))=0),"",(L1764-L1763)/(IF(ISNUMBER(G1764),G1764,F1764)-IF(ISNUMBER(G1763),G1763,F1763)))</f>
        <v/>
      </c>
      <c r="W1764" s="30">
        <f>IF(NOT(AND(ISNUMBER(N1764),ISNUMBER(P1764))),"",(P1764-N1764)*1440)</f>
        <v/>
      </c>
      <c r="X1764" s="28" t="n"/>
      <c r="Y1764" s="28" t="n"/>
      <c r="Z1764" s="28" t="n"/>
      <c r="AA1764" s="31" t="n"/>
      <c r="AB1764" s="31" t="n"/>
    </row>
    <row r="1765">
      <c r="A1765" s="25" t="inlineStr">
        <is>
          <t>S34</t>
        </is>
      </c>
      <c r="B1765" s="25" t="inlineStr">
        <is>
          <t>부안 신규점</t>
        </is>
      </c>
      <c r="C1765" s="25" t="inlineStr">
        <is>
          <t>S34-H북</t>
        </is>
      </c>
      <c r="D1765" s="25" t="inlineStr">
        <is>
          <t>측정</t>
        </is>
      </c>
      <c r="E1765" s="25" t="inlineStr">
        <is>
          <t>북</t>
        </is>
      </c>
      <c r="F1765" s="30" t="n">
        <v>4</v>
      </c>
      <c r="G1765" s="29" t="n"/>
      <c r="H1765" s="42" t="n"/>
      <c r="I1765" s="40" t="n"/>
      <c r="J1765" s="40" t="n"/>
      <c r="K1765" s="40" t="n"/>
      <c r="L1765" s="30">
        <f>IF(COUNT(I1765:K1765)=0,"",MEDIAN(I1765:K1765))</f>
        <v/>
      </c>
      <c r="M1765" s="25">
        <f>IF(COUNTIFS($C:$C,$C1765,$D:$D,"P0(전)",$L:$L,"&gt;0")&lt;&gt;1,"P0(전) 유효 1개 아님",IF(COUNTIFS($C:$C,$C1765,$D:$D,"P0(후)",$L:$L,"&gt;0")&lt;&gt;1,"P0(후) 유효 1개 아님",IF(NOT(AND(ISNUMBER(N1765),ISNUMBER(P1765),ISNUMBER(H1765))),"시각 결측",IF(P1765&lt;=N1765,"P0 시각 역전",IF(OR(H1765&lt;N1765,H1765&gt;P1765),"측정시각 구간 밖","OK")))))</f>
        <v/>
      </c>
      <c r="N1765" s="45">
        <f>IF(COUNTIFS($C:$C,$C1765,$D:$D,"P0(전)",$L:$L,"&gt;0")&lt;&gt;1,"",SUMIFS($H:$H,$C:$C,$C1765,$D:$D,"P0(전)"))</f>
        <v/>
      </c>
      <c r="O1765" s="30">
        <f>IF(COUNTIFS($C:$C,$C1765,$D:$D,"P0(전)",$L:$L,"&gt;0")&lt;&gt;1,"",SUMIFS($L:$L,$C:$C,$C1765,$D:$D,"P0(전)"))</f>
        <v/>
      </c>
      <c r="P1765" s="45">
        <f>IF(COUNTIFS($C:$C,$C1765,$D:$D,"P0(후)",$L:$L,"&gt;0")&lt;&gt;1,"",SUMIFS($H:$H,$C:$C,$C1765,$D:$D,"P0(후)"))</f>
        <v/>
      </c>
      <c r="Q1765" s="30">
        <f>IF(COUNTIFS($C:$C,$C1765,$D:$D,"P0(후)",$L:$L,"&gt;0")&lt;&gt;1,"",SUMIFS($L:$L,$C:$C,$C1765,$D:$D,"P0(후)"))</f>
        <v/>
      </c>
      <c r="R1765" s="30">
        <f>IF(M1765&lt;&gt;"OK","",O1765+(Q1765-O1765)*(H1765-N1765)/(P1765-N1765))</f>
        <v/>
      </c>
      <c r="S1765" s="30">
        <f>IF(OR(M1765&lt;&gt;"OK",NOT(ISNUMBER(L1765))),"",L1765-R1765)</f>
        <v/>
      </c>
      <c r="T1765" s="46">
        <f>IF(OR(NOT(ISNUMBER(S1765)),IF(ISNUMBER(G1765),G1765,F1765)=0),"",S1765/IF(ISNUMBER(G1765),G1765,F1765))</f>
        <v/>
      </c>
      <c r="U1765" s="46">
        <f>IF(ISNUMBER(T1765),ABS(T1765),"")</f>
        <v/>
      </c>
      <c r="V1765" s="46">
        <f>IF(OR($D1764&lt;&gt;"측정",$C1764&lt;&gt;$C1765,NOT(ISNUMBER(L1765)),NOT(ISNUMBER(L1764)),(IF(ISNUMBER(G1765),G1765,F1765)-IF(ISNUMBER(G1764),G1764,F1764))=0),"",(L1765-L1764)/(IF(ISNUMBER(G1765),G1765,F1765)-IF(ISNUMBER(G1764),G1764,F1764)))</f>
        <v/>
      </c>
      <c r="W1765" s="30">
        <f>IF(NOT(AND(ISNUMBER(N1765),ISNUMBER(P1765))),"",(P1765-N1765)*1440)</f>
        <v/>
      </c>
      <c r="X1765" s="28" t="n"/>
      <c r="Y1765" s="28" t="n"/>
      <c r="Z1765" s="28" t="n"/>
      <c r="AA1765" s="31" t="n"/>
      <c r="AB1765" s="31" t="n"/>
    </row>
    <row r="1766">
      <c r="A1766" s="25" t="inlineStr">
        <is>
          <t>S34</t>
        </is>
      </c>
      <c r="B1766" s="25" t="inlineStr">
        <is>
          <t>부안 신규점</t>
        </is>
      </c>
      <c r="C1766" s="25" t="inlineStr">
        <is>
          <t>S34-H북</t>
        </is>
      </c>
      <c r="D1766" s="25" t="inlineStr">
        <is>
          <t>측정</t>
        </is>
      </c>
      <c r="E1766" s="25" t="inlineStr">
        <is>
          <t>북</t>
        </is>
      </c>
      <c r="F1766" s="30" t="n">
        <v>5</v>
      </c>
      <c r="G1766" s="29" t="n"/>
      <c r="H1766" s="42" t="n"/>
      <c r="I1766" s="40" t="n"/>
      <c r="J1766" s="40" t="n"/>
      <c r="K1766" s="40" t="n"/>
      <c r="L1766" s="30">
        <f>IF(COUNT(I1766:K1766)=0,"",MEDIAN(I1766:K1766))</f>
        <v/>
      </c>
      <c r="M1766" s="25">
        <f>IF(COUNTIFS($C:$C,$C1766,$D:$D,"P0(전)",$L:$L,"&gt;0")&lt;&gt;1,"P0(전) 유효 1개 아님",IF(COUNTIFS($C:$C,$C1766,$D:$D,"P0(후)",$L:$L,"&gt;0")&lt;&gt;1,"P0(후) 유효 1개 아님",IF(NOT(AND(ISNUMBER(N1766),ISNUMBER(P1766),ISNUMBER(H1766))),"시각 결측",IF(P1766&lt;=N1766,"P0 시각 역전",IF(OR(H1766&lt;N1766,H1766&gt;P1766),"측정시각 구간 밖","OK")))))</f>
        <v/>
      </c>
      <c r="N1766" s="45">
        <f>IF(COUNTIFS($C:$C,$C1766,$D:$D,"P0(전)",$L:$L,"&gt;0")&lt;&gt;1,"",SUMIFS($H:$H,$C:$C,$C1766,$D:$D,"P0(전)"))</f>
        <v/>
      </c>
      <c r="O1766" s="30">
        <f>IF(COUNTIFS($C:$C,$C1766,$D:$D,"P0(전)",$L:$L,"&gt;0")&lt;&gt;1,"",SUMIFS($L:$L,$C:$C,$C1766,$D:$D,"P0(전)"))</f>
        <v/>
      </c>
      <c r="P1766" s="45">
        <f>IF(COUNTIFS($C:$C,$C1766,$D:$D,"P0(후)",$L:$L,"&gt;0")&lt;&gt;1,"",SUMIFS($H:$H,$C:$C,$C1766,$D:$D,"P0(후)"))</f>
        <v/>
      </c>
      <c r="Q1766" s="30">
        <f>IF(COUNTIFS($C:$C,$C1766,$D:$D,"P0(후)",$L:$L,"&gt;0")&lt;&gt;1,"",SUMIFS($L:$L,$C:$C,$C1766,$D:$D,"P0(후)"))</f>
        <v/>
      </c>
      <c r="R1766" s="30">
        <f>IF(M1766&lt;&gt;"OK","",O1766+(Q1766-O1766)*(H1766-N1766)/(P1766-N1766))</f>
        <v/>
      </c>
      <c r="S1766" s="30">
        <f>IF(OR(M1766&lt;&gt;"OK",NOT(ISNUMBER(L1766))),"",L1766-R1766)</f>
        <v/>
      </c>
      <c r="T1766" s="46">
        <f>IF(OR(NOT(ISNUMBER(S1766)),IF(ISNUMBER(G1766),G1766,F1766)=0),"",S1766/IF(ISNUMBER(G1766),G1766,F1766))</f>
        <v/>
      </c>
      <c r="U1766" s="46">
        <f>IF(ISNUMBER(T1766),ABS(T1766),"")</f>
        <v/>
      </c>
      <c r="V1766" s="46">
        <f>IF(OR($D1765&lt;&gt;"측정",$C1765&lt;&gt;$C1766,NOT(ISNUMBER(L1766)),NOT(ISNUMBER(L1765)),(IF(ISNUMBER(G1766),G1766,F1766)-IF(ISNUMBER(G1765),G1765,F1765))=0),"",(L1766-L1765)/(IF(ISNUMBER(G1766),G1766,F1766)-IF(ISNUMBER(G1765),G1765,F1765)))</f>
        <v/>
      </c>
      <c r="W1766" s="30">
        <f>IF(NOT(AND(ISNUMBER(N1766),ISNUMBER(P1766))),"",(P1766-N1766)*1440)</f>
        <v/>
      </c>
      <c r="X1766" s="28" t="n"/>
      <c r="Y1766" s="28" t="n"/>
      <c r="Z1766" s="28" t="n"/>
      <c r="AA1766" s="31" t="n"/>
      <c r="AB1766" s="31" t="n"/>
    </row>
    <row r="1767">
      <c r="A1767" s="25" t="inlineStr">
        <is>
          <t>S34</t>
        </is>
      </c>
      <c r="B1767" s="25" t="inlineStr">
        <is>
          <t>부안 신규점</t>
        </is>
      </c>
      <c r="C1767" s="25" t="inlineStr">
        <is>
          <t>S34-H북</t>
        </is>
      </c>
      <c r="D1767" s="25" t="inlineStr">
        <is>
          <t>측정</t>
        </is>
      </c>
      <c r="E1767" s="25" t="inlineStr">
        <is>
          <t>북</t>
        </is>
      </c>
      <c r="F1767" s="30" t="n">
        <v>6</v>
      </c>
      <c r="G1767" s="29" t="n"/>
      <c r="H1767" s="42" t="n"/>
      <c r="I1767" s="40" t="n"/>
      <c r="J1767" s="40" t="n"/>
      <c r="K1767" s="40" t="n"/>
      <c r="L1767" s="30">
        <f>IF(COUNT(I1767:K1767)=0,"",MEDIAN(I1767:K1767))</f>
        <v/>
      </c>
      <c r="M1767" s="25">
        <f>IF(COUNTIFS($C:$C,$C1767,$D:$D,"P0(전)",$L:$L,"&gt;0")&lt;&gt;1,"P0(전) 유효 1개 아님",IF(COUNTIFS($C:$C,$C1767,$D:$D,"P0(후)",$L:$L,"&gt;0")&lt;&gt;1,"P0(후) 유효 1개 아님",IF(NOT(AND(ISNUMBER(N1767),ISNUMBER(P1767),ISNUMBER(H1767))),"시각 결측",IF(P1767&lt;=N1767,"P0 시각 역전",IF(OR(H1767&lt;N1767,H1767&gt;P1767),"측정시각 구간 밖","OK")))))</f>
        <v/>
      </c>
      <c r="N1767" s="45">
        <f>IF(COUNTIFS($C:$C,$C1767,$D:$D,"P0(전)",$L:$L,"&gt;0")&lt;&gt;1,"",SUMIFS($H:$H,$C:$C,$C1767,$D:$D,"P0(전)"))</f>
        <v/>
      </c>
      <c r="O1767" s="30">
        <f>IF(COUNTIFS($C:$C,$C1767,$D:$D,"P0(전)",$L:$L,"&gt;0")&lt;&gt;1,"",SUMIFS($L:$L,$C:$C,$C1767,$D:$D,"P0(전)"))</f>
        <v/>
      </c>
      <c r="P1767" s="45">
        <f>IF(COUNTIFS($C:$C,$C1767,$D:$D,"P0(후)",$L:$L,"&gt;0")&lt;&gt;1,"",SUMIFS($H:$H,$C:$C,$C1767,$D:$D,"P0(후)"))</f>
        <v/>
      </c>
      <c r="Q1767" s="30">
        <f>IF(COUNTIFS($C:$C,$C1767,$D:$D,"P0(후)",$L:$L,"&gt;0")&lt;&gt;1,"",SUMIFS($L:$L,$C:$C,$C1767,$D:$D,"P0(후)"))</f>
        <v/>
      </c>
      <c r="R1767" s="30">
        <f>IF(M1767&lt;&gt;"OK","",O1767+(Q1767-O1767)*(H1767-N1767)/(P1767-N1767))</f>
        <v/>
      </c>
      <c r="S1767" s="30">
        <f>IF(OR(M1767&lt;&gt;"OK",NOT(ISNUMBER(L1767))),"",L1767-R1767)</f>
        <v/>
      </c>
      <c r="T1767" s="46">
        <f>IF(OR(NOT(ISNUMBER(S1767)),IF(ISNUMBER(G1767),G1767,F1767)=0),"",S1767/IF(ISNUMBER(G1767),G1767,F1767))</f>
        <v/>
      </c>
      <c r="U1767" s="46">
        <f>IF(ISNUMBER(T1767),ABS(T1767),"")</f>
        <v/>
      </c>
      <c r="V1767" s="46">
        <f>IF(OR($D1766&lt;&gt;"측정",$C1766&lt;&gt;$C1767,NOT(ISNUMBER(L1767)),NOT(ISNUMBER(L1766)),(IF(ISNUMBER(G1767),G1767,F1767)-IF(ISNUMBER(G1766),G1766,F1766))=0),"",(L1767-L1766)/(IF(ISNUMBER(G1767),G1767,F1767)-IF(ISNUMBER(G1766),G1766,F1766)))</f>
        <v/>
      </c>
      <c r="W1767" s="30">
        <f>IF(NOT(AND(ISNUMBER(N1767),ISNUMBER(P1767))),"",(P1767-N1767)*1440)</f>
        <v/>
      </c>
      <c r="X1767" s="28" t="n"/>
      <c r="Y1767" s="28" t="n"/>
      <c r="Z1767" s="28" t="n"/>
      <c r="AA1767" s="31" t="n"/>
      <c r="AB1767" s="31" t="n"/>
    </row>
    <row r="1768">
      <c r="A1768" s="25" t="inlineStr">
        <is>
          <t>S34</t>
        </is>
      </c>
      <c r="B1768" s="25" t="inlineStr">
        <is>
          <t>부안 신규점</t>
        </is>
      </c>
      <c r="C1768" s="25" t="inlineStr">
        <is>
          <t>S34-H북</t>
        </is>
      </c>
      <c r="D1768" s="25" t="inlineStr">
        <is>
          <t>측정</t>
        </is>
      </c>
      <c r="E1768" s="25" t="inlineStr">
        <is>
          <t>북</t>
        </is>
      </c>
      <c r="F1768" s="30" t="n">
        <v>7</v>
      </c>
      <c r="G1768" s="29" t="n"/>
      <c r="H1768" s="42" t="n"/>
      <c r="I1768" s="40" t="n"/>
      <c r="J1768" s="40" t="n"/>
      <c r="K1768" s="40" t="n"/>
      <c r="L1768" s="30">
        <f>IF(COUNT(I1768:K1768)=0,"",MEDIAN(I1768:K1768))</f>
        <v/>
      </c>
      <c r="M1768" s="25">
        <f>IF(COUNTIFS($C:$C,$C1768,$D:$D,"P0(전)",$L:$L,"&gt;0")&lt;&gt;1,"P0(전) 유효 1개 아님",IF(COUNTIFS($C:$C,$C1768,$D:$D,"P0(후)",$L:$L,"&gt;0")&lt;&gt;1,"P0(후) 유효 1개 아님",IF(NOT(AND(ISNUMBER(N1768),ISNUMBER(P1768),ISNUMBER(H1768))),"시각 결측",IF(P1768&lt;=N1768,"P0 시각 역전",IF(OR(H1768&lt;N1768,H1768&gt;P1768),"측정시각 구간 밖","OK")))))</f>
        <v/>
      </c>
      <c r="N1768" s="45">
        <f>IF(COUNTIFS($C:$C,$C1768,$D:$D,"P0(전)",$L:$L,"&gt;0")&lt;&gt;1,"",SUMIFS($H:$H,$C:$C,$C1768,$D:$D,"P0(전)"))</f>
        <v/>
      </c>
      <c r="O1768" s="30">
        <f>IF(COUNTIFS($C:$C,$C1768,$D:$D,"P0(전)",$L:$L,"&gt;0")&lt;&gt;1,"",SUMIFS($L:$L,$C:$C,$C1768,$D:$D,"P0(전)"))</f>
        <v/>
      </c>
      <c r="P1768" s="45">
        <f>IF(COUNTIFS($C:$C,$C1768,$D:$D,"P0(후)",$L:$L,"&gt;0")&lt;&gt;1,"",SUMIFS($H:$H,$C:$C,$C1768,$D:$D,"P0(후)"))</f>
        <v/>
      </c>
      <c r="Q1768" s="30">
        <f>IF(COUNTIFS($C:$C,$C1768,$D:$D,"P0(후)",$L:$L,"&gt;0")&lt;&gt;1,"",SUMIFS($L:$L,$C:$C,$C1768,$D:$D,"P0(후)"))</f>
        <v/>
      </c>
      <c r="R1768" s="30">
        <f>IF(M1768&lt;&gt;"OK","",O1768+(Q1768-O1768)*(H1768-N1768)/(P1768-N1768))</f>
        <v/>
      </c>
      <c r="S1768" s="30">
        <f>IF(OR(M1768&lt;&gt;"OK",NOT(ISNUMBER(L1768))),"",L1768-R1768)</f>
        <v/>
      </c>
      <c r="T1768" s="46">
        <f>IF(OR(NOT(ISNUMBER(S1768)),IF(ISNUMBER(G1768),G1768,F1768)=0),"",S1768/IF(ISNUMBER(G1768),G1768,F1768))</f>
        <v/>
      </c>
      <c r="U1768" s="46">
        <f>IF(ISNUMBER(T1768),ABS(T1768),"")</f>
        <v/>
      </c>
      <c r="V1768" s="46">
        <f>IF(OR($D1767&lt;&gt;"측정",$C1767&lt;&gt;$C1768,NOT(ISNUMBER(L1768)),NOT(ISNUMBER(L1767)),(IF(ISNUMBER(G1768),G1768,F1768)-IF(ISNUMBER(G1767),G1767,F1767))=0),"",(L1768-L1767)/(IF(ISNUMBER(G1768),G1768,F1768)-IF(ISNUMBER(G1767),G1767,F1767)))</f>
        <v/>
      </c>
      <c r="W1768" s="30">
        <f>IF(NOT(AND(ISNUMBER(N1768),ISNUMBER(P1768))),"",(P1768-N1768)*1440)</f>
        <v/>
      </c>
      <c r="X1768" s="28" t="n"/>
      <c r="Y1768" s="28" t="n"/>
      <c r="Z1768" s="28" t="n"/>
      <c r="AA1768" s="31" t="n"/>
      <c r="AB1768" s="31" t="n"/>
    </row>
    <row r="1769">
      <c r="A1769" s="25" t="inlineStr">
        <is>
          <t>S34</t>
        </is>
      </c>
      <c r="B1769" s="25" t="inlineStr">
        <is>
          <t>부안 신규점</t>
        </is>
      </c>
      <c r="C1769" s="25" t="inlineStr">
        <is>
          <t>S34-H북</t>
        </is>
      </c>
      <c r="D1769" s="25" t="inlineStr">
        <is>
          <t>측정</t>
        </is>
      </c>
      <c r="E1769" s="25" t="inlineStr">
        <is>
          <t>북</t>
        </is>
      </c>
      <c r="F1769" s="30" t="n">
        <v>8</v>
      </c>
      <c r="G1769" s="29" t="n"/>
      <c r="H1769" s="42" t="n"/>
      <c r="I1769" s="40" t="n"/>
      <c r="J1769" s="40" t="n"/>
      <c r="K1769" s="40" t="n"/>
      <c r="L1769" s="30">
        <f>IF(COUNT(I1769:K1769)=0,"",MEDIAN(I1769:K1769))</f>
        <v/>
      </c>
      <c r="M1769" s="25">
        <f>IF(COUNTIFS($C:$C,$C1769,$D:$D,"P0(전)",$L:$L,"&gt;0")&lt;&gt;1,"P0(전) 유효 1개 아님",IF(COUNTIFS($C:$C,$C1769,$D:$D,"P0(후)",$L:$L,"&gt;0")&lt;&gt;1,"P0(후) 유효 1개 아님",IF(NOT(AND(ISNUMBER(N1769),ISNUMBER(P1769),ISNUMBER(H1769))),"시각 결측",IF(P1769&lt;=N1769,"P0 시각 역전",IF(OR(H1769&lt;N1769,H1769&gt;P1769),"측정시각 구간 밖","OK")))))</f>
        <v/>
      </c>
      <c r="N1769" s="45">
        <f>IF(COUNTIFS($C:$C,$C1769,$D:$D,"P0(전)",$L:$L,"&gt;0")&lt;&gt;1,"",SUMIFS($H:$H,$C:$C,$C1769,$D:$D,"P0(전)"))</f>
        <v/>
      </c>
      <c r="O1769" s="30">
        <f>IF(COUNTIFS($C:$C,$C1769,$D:$D,"P0(전)",$L:$L,"&gt;0")&lt;&gt;1,"",SUMIFS($L:$L,$C:$C,$C1769,$D:$D,"P0(전)"))</f>
        <v/>
      </c>
      <c r="P1769" s="45">
        <f>IF(COUNTIFS($C:$C,$C1769,$D:$D,"P0(후)",$L:$L,"&gt;0")&lt;&gt;1,"",SUMIFS($H:$H,$C:$C,$C1769,$D:$D,"P0(후)"))</f>
        <v/>
      </c>
      <c r="Q1769" s="30">
        <f>IF(COUNTIFS($C:$C,$C1769,$D:$D,"P0(후)",$L:$L,"&gt;0")&lt;&gt;1,"",SUMIFS($L:$L,$C:$C,$C1769,$D:$D,"P0(후)"))</f>
        <v/>
      </c>
      <c r="R1769" s="30">
        <f>IF(M1769&lt;&gt;"OK","",O1769+(Q1769-O1769)*(H1769-N1769)/(P1769-N1769))</f>
        <v/>
      </c>
      <c r="S1769" s="30">
        <f>IF(OR(M1769&lt;&gt;"OK",NOT(ISNUMBER(L1769))),"",L1769-R1769)</f>
        <v/>
      </c>
      <c r="T1769" s="46">
        <f>IF(OR(NOT(ISNUMBER(S1769)),IF(ISNUMBER(G1769),G1769,F1769)=0),"",S1769/IF(ISNUMBER(G1769),G1769,F1769))</f>
        <v/>
      </c>
      <c r="U1769" s="46">
        <f>IF(ISNUMBER(T1769),ABS(T1769),"")</f>
        <v/>
      </c>
      <c r="V1769" s="46">
        <f>IF(OR($D1768&lt;&gt;"측정",$C1768&lt;&gt;$C1769,NOT(ISNUMBER(L1769)),NOT(ISNUMBER(L1768)),(IF(ISNUMBER(G1769),G1769,F1769)-IF(ISNUMBER(G1768),G1768,F1768))=0),"",(L1769-L1768)/(IF(ISNUMBER(G1769),G1769,F1769)-IF(ISNUMBER(G1768),G1768,F1768)))</f>
        <v/>
      </c>
      <c r="W1769" s="30">
        <f>IF(NOT(AND(ISNUMBER(N1769),ISNUMBER(P1769))),"",(P1769-N1769)*1440)</f>
        <v/>
      </c>
      <c r="X1769" s="28" t="n"/>
      <c r="Y1769" s="28" t="n"/>
      <c r="Z1769" s="28" t="n"/>
      <c r="AA1769" s="31" t="n"/>
      <c r="AB1769" s="31" t="n"/>
    </row>
    <row r="1770">
      <c r="A1770" s="25" t="inlineStr">
        <is>
          <t>S34</t>
        </is>
      </c>
      <c r="B1770" s="25" t="inlineStr">
        <is>
          <t>부안 신규점</t>
        </is>
      </c>
      <c r="C1770" s="25" t="inlineStr">
        <is>
          <t>S34-H북</t>
        </is>
      </c>
      <c r="D1770" s="25" t="inlineStr">
        <is>
          <t>측정</t>
        </is>
      </c>
      <c r="E1770" s="25" t="inlineStr">
        <is>
          <t>북</t>
        </is>
      </c>
      <c r="F1770" s="30" t="n">
        <v>9</v>
      </c>
      <c r="G1770" s="29" t="n"/>
      <c r="H1770" s="42" t="n"/>
      <c r="I1770" s="40" t="n"/>
      <c r="J1770" s="40" t="n"/>
      <c r="K1770" s="40" t="n"/>
      <c r="L1770" s="30">
        <f>IF(COUNT(I1770:K1770)=0,"",MEDIAN(I1770:K1770))</f>
        <v/>
      </c>
      <c r="M1770" s="25">
        <f>IF(COUNTIFS($C:$C,$C1770,$D:$D,"P0(전)",$L:$L,"&gt;0")&lt;&gt;1,"P0(전) 유효 1개 아님",IF(COUNTIFS($C:$C,$C1770,$D:$D,"P0(후)",$L:$L,"&gt;0")&lt;&gt;1,"P0(후) 유효 1개 아님",IF(NOT(AND(ISNUMBER(N1770),ISNUMBER(P1770),ISNUMBER(H1770))),"시각 결측",IF(P1770&lt;=N1770,"P0 시각 역전",IF(OR(H1770&lt;N1770,H1770&gt;P1770),"측정시각 구간 밖","OK")))))</f>
        <v/>
      </c>
      <c r="N1770" s="45">
        <f>IF(COUNTIFS($C:$C,$C1770,$D:$D,"P0(전)",$L:$L,"&gt;0")&lt;&gt;1,"",SUMIFS($H:$H,$C:$C,$C1770,$D:$D,"P0(전)"))</f>
        <v/>
      </c>
      <c r="O1770" s="30">
        <f>IF(COUNTIFS($C:$C,$C1770,$D:$D,"P0(전)",$L:$L,"&gt;0")&lt;&gt;1,"",SUMIFS($L:$L,$C:$C,$C1770,$D:$D,"P0(전)"))</f>
        <v/>
      </c>
      <c r="P1770" s="45">
        <f>IF(COUNTIFS($C:$C,$C1770,$D:$D,"P0(후)",$L:$L,"&gt;0")&lt;&gt;1,"",SUMIFS($H:$H,$C:$C,$C1770,$D:$D,"P0(후)"))</f>
        <v/>
      </c>
      <c r="Q1770" s="30">
        <f>IF(COUNTIFS($C:$C,$C1770,$D:$D,"P0(후)",$L:$L,"&gt;0")&lt;&gt;1,"",SUMIFS($L:$L,$C:$C,$C1770,$D:$D,"P0(후)"))</f>
        <v/>
      </c>
      <c r="R1770" s="30">
        <f>IF(M1770&lt;&gt;"OK","",O1770+(Q1770-O1770)*(H1770-N1770)/(P1770-N1770))</f>
        <v/>
      </c>
      <c r="S1770" s="30">
        <f>IF(OR(M1770&lt;&gt;"OK",NOT(ISNUMBER(L1770))),"",L1770-R1770)</f>
        <v/>
      </c>
      <c r="T1770" s="46">
        <f>IF(OR(NOT(ISNUMBER(S1770)),IF(ISNUMBER(G1770),G1770,F1770)=0),"",S1770/IF(ISNUMBER(G1770),G1770,F1770))</f>
        <v/>
      </c>
      <c r="U1770" s="46">
        <f>IF(ISNUMBER(T1770),ABS(T1770),"")</f>
        <v/>
      </c>
      <c r="V1770" s="46">
        <f>IF(OR($D1769&lt;&gt;"측정",$C1769&lt;&gt;$C1770,NOT(ISNUMBER(L1770)),NOT(ISNUMBER(L1769)),(IF(ISNUMBER(G1770),G1770,F1770)-IF(ISNUMBER(G1769),G1769,F1769))=0),"",(L1770-L1769)/(IF(ISNUMBER(G1770),G1770,F1770)-IF(ISNUMBER(G1769),G1769,F1769)))</f>
        <v/>
      </c>
      <c r="W1770" s="30">
        <f>IF(NOT(AND(ISNUMBER(N1770),ISNUMBER(P1770))),"",(P1770-N1770)*1440)</f>
        <v/>
      </c>
      <c r="X1770" s="28" t="n"/>
      <c r="Y1770" s="28" t="n"/>
      <c r="Z1770" s="28" t="n"/>
      <c r="AA1770" s="31" t="n"/>
      <c r="AB1770" s="31" t="n"/>
    </row>
    <row r="1771">
      <c r="A1771" s="25" t="inlineStr">
        <is>
          <t>S34</t>
        </is>
      </c>
      <c r="B1771" s="25" t="inlineStr">
        <is>
          <t>부안 신규점</t>
        </is>
      </c>
      <c r="C1771" s="25" t="inlineStr">
        <is>
          <t>S34-H북</t>
        </is>
      </c>
      <c r="D1771" s="25" t="inlineStr">
        <is>
          <t>측정</t>
        </is>
      </c>
      <c r="E1771" s="25" t="inlineStr">
        <is>
          <t>북</t>
        </is>
      </c>
      <c r="F1771" s="30" t="n">
        <v>10</v>
      </c>
      <c r="G1771" s="29" t="n"/>
      <c r="H1771" s="42" t="n"/>
      <c r="I1771" s="40" t="n"/>
      <c r="J1771" s="40" t="n"/>
      <c r="K1771" s="40" t="n"/>
      <c r="L1771" s="30">
        <f>IF(COUNT(I1771:K1771)=0,"",MEDIAN(I1771:K1771))</f>
        <v/>
      </c>
      <c r="M1771" s="25">
        <f>IF(COUNTIFS($C:$C,$C1771,$D:$D,"P0(전)",$L:$L,"&gt;0")&lt;&gt;1,"P0(전) 유효 1개 아님",IF(COUNTIFS($C:$C,$C1771,$D:$D,"P0(후)",$L:$L,"&gt;0")&lt;&gt;1,"P0(후) 유효 1개 아님",IF(NOT(AND(ISNUMBER(N1771),ISNUMBER(P1771),ISNUMBER(H1771))),"시각 결측",IF(P1771&lt;=N1771,"P0 시각 역전",IF(OR(H1771&lt;N1771,H1771&gt;P1771),"측정시각 구간 밖","OK")))))</f>
        <v/>
      </c>
      <c r="N1771" s="45">
        <f>IF(COUNTIFS($C:$C,$C1771,$D:$D,"P0(전)",$L:$L,"&gt;0")&lt;&gt;1,"",SUMIFS($H:$H,$C:$C,$C1771,$D:$D,"P0(전)"))</f>
        <v/>
      </c>
      <c r="O1771" s="30">
        <f>IF(COUNTIFS($C:$C,$C1771,$D:$D,"P0(전)",$L:$L,"&gt;0")&lt;&gt;1,"",SUMIFS($L:$L,$C:$C,$C1771,$D:$D,"P0(전)"))</f>
        <v/>
      </c>
      <c r="P1771" s="45">
        <f>IF(COUNTIFS($C:$C,$C1771,$D:$D,"P0(후)",$L:$L,"&gt;0")&lt;&gt;1,"",SUMIFS($H:$H,$C:$C,$C1771,$D:$D,"P0(후)"))</f>
        <v/>
      </c>
      <c r="Q1771" s="30">
        <f>IF(COUNTIFS($C:$C,$C1771,$D:$D,"P0(후)",$L:$L,"&gt;0")&lt;&gt;1,"",SUMIFS($L:$L,$C:$C,$C1771,$D:$D,"P0(후)"))</f>
        <v/>
      </c>
      <c r="R1771" s="30">
        <f>IF(M1771&lt;&gt;"OK","",O1771+(Q1771-O1771)*(H1771-N1771)/(P1771-N1771))</f>
        <v/>
      </c>
      <c r="S1771" s="30">
        <f>IF(OR(M1771&lt;&gt;"OK",NOT(ISNUMBER(L1771))),"",L1771-R1771)</f>
        <v/>
      </c>
      <c r="T1771" s="46">
        <f>IF(OR(NOT(ISNUMBER(S1771)),IF(ISNUMBER(G1771),G1771,F1771)=0),"",S1771/IF(ISNUMBER(G1771),G1771,F1771))</f>
        <v/>
      </c>
      <c r="U1771" s="46">
        <f>IF(ISNUMBER(T1771),ABS(T1771),"")</f>
        <v/>
      </c>
      <c r="V1771" s="46">
        <f>IF(OR($D1770&lt;&gt;"측정",$C1770&lt;&gt;$C1771,NOT(ISNUMBER(L1771)),NOT(ISNUMBER(L1770)),(IF(ISNUMBER(G1771),G1771,F1771)-IF(ISNUMBER(G1770),G1770,F1770))=0),"",(L1771-L1770)/(IF(ISNUMBER(G1771),G1771,F1771)-IF(ISNUMBER(G1770),G1770,F1770)))</f>
        <v/>
      </c>
      <c r="W1771" s="30">
        <f>IF(NOT(AND(ISNUMBER(N1771),ISNUMBER(P1771))),"",(P1771-N1771)*1440)</f>
        <v/>
      </c>
      <c r="X1771" s="28" t="n"/>
      <c r="Y1771" s="28" t="n"/>
      <c r="Z1771" s="28" t="n"/>
      <c r="AA1771" s="31" t="n"/>
      <c r="AB1771" s="31" t="n"/>
    </row>
    <row r="1772">
      <c r="A1772" s="43" t="inlineStr">
        <is>
          <t>S34</t>
        </is>
      </c>
      <c r="B1772" s="43" t="inlineStr">
        <is>
          <t>부안 신규점</t>
        </is>
      </c>
      <c r="C1772" s="43" t="inlineStr">
        <is>
          <t>S34-H북</t>
        </is>
      </c>
      <c r="D1772" s="43" t="inlineStr">
        <is>
          <t>P0(후)</t>
        </is>
      </c>
      <c r="E1772" s="43" t="inlineStr">
        <is>
          <t>북</t>
        </is>
      </c>
      <c r="F1772" s="44" t="n"/>
      <c r="G1772" s="29" t="n"/>
      <c r="H1772" s="42" t="n"/>
      <c r="I1772" s="40" t="n"/>
      <c r="J1772" s="40" t="n"/>
      <c r="K1772" s="40" t="n"/>
      <c r="L1772" s="30">
        <f>IF(COUNT(I1772:K1772)=0,"",MEDIAN(I1772:K1772))</f>
        <v/>
      </c>
      <c r="M1772" s="37" t="n"/>
      <c r="N1772" s="37" t="n"/>
      <c r="O1772" s="37" t="n"/>
      <c r="P1772" s="37" t="n"/>
      <c r="Q1772" s="37" t="n"/>
      <c r="R1772" s="37" t="n"/>
      <c r="S1772" s="37" t="n"/>
      <c r="T1772" s="37" t="n"/>
      <c r="U1772" s="37" t="n"/>
      <c r="V1772" s="37" t="n"/>
      <c r="W1772" s="37" t="n"/>
      <c r="X1772" s="28" t="n"/>
      <c r="Y1772" s="28" t="n"/>
      <c r="Z1772" s="28" t="n"/>
      <c r="AA1772" s="31" t="n"/>
      <c r="AB1772" s="31" t="n"/>
    </row>
    <row r="1773">
      <c r="A1773" s="43" t="inlineStr">
        <is>
          <t>S35</t>
        </is>
      </c>
      <c r="B1773" s="43" t="inlineStr">
        <is>
          <t>상주</t>
        </is>
      </c>
      <c r="C1773" s="43" t="inlineStr">
        <is>
          <t>S35-H동</t>
        </is>
      </c>
      <c r="D1773" s="43" t="inlineStr">
        <is>
          <t>P0(전)</t>
        </is>
      </c>
      <c r="E1773" s="43" t="inlineStr">
        <is>
          <t>동</t>
        </is>
      </c>
      <c r="F1773" s="44" t="n"/>
      <c r="G1773" s="29" t="n"/>
      <c r="H1773" s="42" t="n"/>
      <c r="I1773" s="40" t="n"/>
      <c r="J1773" s="40" t="n"/>
      <c r="K1773" s="40" t="n"/>
      <c r="L1773" s="30">
        <f>IF(COUNT(I1773:K1773)=0,"",MEDIAN(I1773:K1773))</f>
        <v/>
      </c>
      <c r="M1773" s="37" t="n"/>
      <c r="N1773" s="37" t="n"/>
      <c r="O1773" s="37" t="n"/>
      <c r="P1773" s="37" t="n"/>
      <c r="Q1773" s="37" t="n"/>
      <c r="R1773" s="37" t="n"/>
      <c r="S1773" s="37" t="n"/>
      <c r="T1773" s="37" t="n"/>
      <c r="U1773" s="37" t="n"/>
      <c r="V1773" s="37" t="n"/>
      <c r="W1773" s="37" t="n"/>
      <c r="X1773" s="28" t="n"/>
      <c r="Y1773" s="28" t="n"/>
      <c r="Z1773" s="28" t="n"/>
      <c r="AA1773" s="31" t="n"/>
      <c r="AB1773" s="31" t="n"/>
    </row>
    <row r="1774">
      <c r="A1774" s="25" t="inlineStr">
        <is>
          <t>S35</t>
        </is>
      </c>
      <c r="B1774" s="25" t="inlineStr">
        <is>
          <t>상주</t>
        </is>
      </c>
      <c r="C1774" s="25" t="inlineStr">
        <is>
          <t>S35-H동</t>
        </is>
      </c>
      <c r="D1774" s="25" t="inlineStr">
        <is>
          <t>측정</t>
        </is>
      </c>
      <c r="E1774" s="25" t="inlineStr">
        <is>
          <t>동</t>
        </is>
      </c>
      <c r="F1774" s="30" t="n">
        <v>0.5</v>
      </c>
      <c r="G1774" s="29" t="n"/>
      <c r="H1774" s="42" t="n"/>
      <c r="I1774" s="40" t="n"/>
      <c r="J1774" s="40" t="n"/>
      <c r="K1774" s="40" t="n"/>
      <c r="L1774" s="30">
        <f>IF(COUNT(I1774:K1774)=0,"",MEDIAN(I1774:K1774))</f>
        <v/>
      </c>
      <c r="M1774" s="25">
        <f>IF(COUNTIFS($C:$C,$C1774,$D:$D,"P0(전)",$L:$L,"&gt;0")&lt;&gt;1,"P0(전) 유효 1개 아님",IF(COUNTIFS($C:$C,$C1774,$D:$D,"P0(후)",$L:$L,"&gt;0")&lt;&gt;1,"P0(후) 유효 1개 아님",IF(NOT(AND(ISNUMBER(N1774),ISNUMBER(P1774),ISNUMBER(H1774))),"시각 결측",IF(P1774&lt;=N1774,"P0 시각 역전",IF(OR(H1774&lt;N1774,H1774&gt;P1774),"측정시각 구간 밖","OK")))))</f>
        <v/>
      </c>
      <c r="N1774" s="45">
        <f>IF(COUNTIFS($C:$C,$C1774,$D:$D,"P0(전)",$L:$L,"&gt;0")&lt;&gt;1,"",SUMIFS($H:$H,$C:$C,$C1774,$D:$D,"P0(전)"))</f>
        <v/>
      </c>
      <c r="O1774" s="30">
        <f>IF(COUNTIFS($C:$C,$C1774,$D:$D,"P0(전)",$L:$L,"&gt;0")&lt;&gt;1,"",SUMIFS($L:$L,$C:$C,$C1774,$D:$D,"P0(전)"))</f>
        <v/>
      </c>
      <c r="P1774" s="45">
        <f>IF(COUNTIFS($C:$C,$C1774,$D:$D,"P0(후)",$L:$L,"&gt;0")&lt;&gt;1,"",SUMIFS($H:$H,$C:$C,$C1774,$D:$D,"P0(후)"))</f>
        <v/>
      </c>
      <c r="Q1774" s="30">
        <f>IF(COUNTIFS($C:$C,$C1774,$D:$D,"P0(후)",$L:$L,"&gt;0")&lt;&gt;1,"",SUMIFS($L:$L,$C:$C,$C1774,$D:$D,"P0(후)"))</f>
        <v/>
      </c>
      <c r="R1774" s="30">
        <f>IF(M1774&lt;&gt;"OK","",O1774+(Q1774-O1774)*(H1774-N1774)/(P1774-N1774))</f>
        <v/>
      </c>
      <c r="S1774" s="30">
        <f>IF(OR(M1774&lt;&gt;"OK",NOT(ISNUMBER(L1774))),"",L1774-R1774)</f>
        <v/>
      </c>
      <c r="T1774" s="46">
        <f>IF(OR(NOT(ISNUMBER(S1774)),IF(ISNUMBER(G1774),G1774,F1774)=0),"",S1774/IF(ISNUMBER(G1774),G1774,F1774))</f>
        <v/>
      </c>
      <c r="U1774" s="46">
        <f>IF(ISNUMBER(T1774),ABS(T1774),"")</f>
        <v/>
      </c>
      <c r="V1774" s="46">
        <f>IF(OR($D1773&lt;&gt;"측정",$C1773&lt;&gt;$C1774,NOT(ISNUMBER(L1774)),NOT(ISNUMBER(L1773)),(IF(ISNUMBER(G1774),G1774,F1774)-IF(ISNUMBER(G1773),G1773,F1773))=0),"",(L1774-L1773)/(IF(ISNUMBER(G1774),G1774,F1774)-IF(ISNUMBER(G1773),G1773,F1773)))</f>
        <v/>
      </c>
      <c r="W1774" s="30">
        <f>IF(NOT(AND(ISNUMBER(N1774),ISNUMBER(P1774))),"",(P1774-N1774)*1440)</f>
        <v/>
      </c>
      <c r="X1774" s="28" t="n"/>
      <c r="Y1774" s="28" t="n"/>
      <c r="Z1774" s="28" t="n"/>
      <c r="AA1774" s="31" t="n"/>
      <c r="AB1774" s="31" t="n"/>
    </row>
    <row r="1775">
      <c r="A1775" s="25" t="inlineStr">
        <is>
          <t>S35</t>
        </is>
      </c>
      <c r="B1775" s="25" t="inlineStr">
        <is>
          <t>상주</t>
        </is>
      </c>
      <c r="C1775" s="25" t="inlineStr">
        <is>
          <t>S35-H동</t>
        </is>
      </c>
      <c r="D1775" s="25" t="inlineStr">
        <is>
          <t>측정</t>
        </is>
      </c>
      <c r="E1775" s="25" t="inlineStr">
        <is>
          <t>동</t>
        </is>
      </c>
      <c r="F1775" s="30" t="n">
        <v>1</v>
      </c>
      <c r="G1775" s="29" t="n"/>
      <c r="H1775" s="42" t="n"/>
      <c r="I1775" s="40" t="n"/>
      <c r="J1775" s="40" t="n"/>
      <c r="K1775" s="40" t="n"/>
      <c r="L1775" s="30">
        <f>IF(COUNT(I1775:K1775)=0,"",MEDIAN(I1775:K1775))</f>
        <v/>
      </c>
      <c r="M1775" s="25">
        <f>IF(COUNTIFS($C:$C,$C1775,$D:$D,"P0(전)",$L:$L,"&gt;0")&lt;&gt;1,"P0(전) 유효 1개 아님",IF(COUNTIFS($C:$C,$C1775,$D:$D,"P0(후)",$L:$L,"&gt;0")&lt;&gt;1,"P0(후) 유효 1개 아님",IF(NOT(AND(ISNUMBER(N1775),ISNUMBER(P1775),ISNUMBER(H1775))),"시각 결측",IF(P1775&lt;=N1775,"P0 시각 역전",IF(OR(H1775&lt;N1775,H1775&gt;P1775),"측정시각 구간 밖","OK")))))</f>
        <v/>
      </c>
      <c r="N1775" s="45">
        <f>IF(COUNTIFS($C:$C,$C1775,$D:$D,"P0(전)",$L:$L,"&gt;0")&lt;&gt;1,"",SUMIFS($H:$H,$C:$C,$C1775,$D:$D,"P0(전)"))</f>
        <v/>
      </c>
      <c r="O1775" s="30">
        <f>IF(COUNTIFS($C:$C,$C1775,$D:$D,"P0(전)",$L:$L,"&gt;0")&lt;&gt;1,"",SUMIFS($L:$L,$C:$C,$C1775,$D:$D,"P0(전)"))</f>
        <v/>
      </c>
      <c r="P1775" s="45">
        <f>IF(COUNTIFS($C:$C,$C1775,$D:$D,"P0(후)",$L:$L,"&gt;0")&lt;&gt;1,"",SUMIFS($H:$H,$C:$C,$C1775,$D:$D,"P0(후)"))</f>
        <v/>
      </c>
      <c r="Q1775" s="30">
        <f>IF(COUNTIFS($C:$C,$C1775,$D:$D,"P0(후)",$L:$L,"&gt;0")&lt;&gt;1,"",SUMIFS($L:$L,$C:$C,$C1775,$D:$D,"P0(후)"))</f>
        <v/>
      </c>
      <c r="R1775" s="30">
        <f>IF(M1775&lt;&gt;"OK","",O1775+(Q1775-O1775)*(H1775-N1775)/(P1775-N1775))</f>
        <v/>
      </c>
      <c r="S1775" s="30">
        <f>IF(OR(M1775&lt;&gt;"OK",NOT(ISNUMBER(L1775))),"",L1775-R1775)</f>
        <v/>
      </c>
      <c r="T1775" s="46">
        <f>IF(OR(NOT(ISNUMBER(S1775)),IF(ISNUMBER(G1775),G1775,F1775)=0),"",S1775/IF(ISNUMBER(G1775),G1775,F1775))</f>
        <v/>
      </c>
      <c r="U1775" s="46">
        <f>IF(ISNUMBER(T1775),ABS(T1775),"")</f>
        <v/>
      </c>
      <c r="V1775" s="46">
        <f>IF(OR($D1774&lt;&gt;"측정",$C1774&lt;&gt;$C1775,NOT(ISNUMBER(L1775)),NOT(ISNUMBER(L1774)),(IF(ISNUMBER(G1775),G1775,F1775)-IF(ISNUMBER(G1774),G1774,F1774))=0),"",(L1775-L1774)/(IF(ISNUMBER(G1775),G1775,F1775)-IF(ISNUMBER(G1774),G1774,F1774)))</f>
        <v/>
      </c>
      <c r="W1775" s="30">
        <f>IF(NOT(AND(ISNUMBER(N1775),ISNUMBER(P1775))),"",(P1775-N1775)*1440)</f>
        <v/>
      </c>
      <c r="X1775" s="28" t="n"/>
      <c r="Y1775" s="28" t="n"/>
      <c r="Z1775" s="28" t="n"/>
      <c r="AA1775" s="31" t="n"/>
      <c r="AB1775" s="31" t="n"/>
    </row>
    <row r="1776">
      <c r="A1776" s="25" t="inlineStr">
        <is>
          <t>S35</t>
        </is>
      </c>
      <c r="B1776" s="25" t="inlineStr">
        <is>
          <t>상주</t>
        </is>
      </c>
      <c r="C1776" s="25" t="inlineStr">
        <is>
          <t>S35-H동</t>
        </is>
      </c>
      <c r="D1776" s="25" t="inlineStr">
        <is>
          <t>측정</t>
        </is>
      </c>
      <c r="E1776" s="25" t="inlineStr">
        <is>
          <t>동</t>
        </is>
      </c>
      <c r="F1776" s="30" t="n">
        <v>2</v>
      </c>
      <c r="G1776" s="29" t="n"/>
      <c r="H1776" s="42" t="n"/>
      <c r="I1776" s="40" t="n"/>
      <c r="J1776" s="40" t="n"/>
      <c r="K1776" s="40" t="n"/>
      <c r="L1776" s="30">
        <f>IF(COUNT(I1776:K1776)=0,"",MEDIAN(I1776:K1776))</f>
        <v/>
      </c>
      <c r="M1776" s="25">
        <f>IF(COUNTIFS($C:$C,$C1776,$D:$D,"P0(전)",$L:$L,"&gt;0")&lt;&gt;1,"P0(전) 유효 1개 아님",IF(COUNTIFS($C:$C,$C1776,$D:$D,"P0(후)",$L:$L,"&gt;0")&lt;&gt;1,"P0(후) 유효 1개 아님",IF(NOT(AND(ISNUMBER(N1776),ISNUMBER(P1776),ISNUMBER(H1776))),"시각 결측",IF(P1776&lt;=N1776,"P0 시각 역전",IF(OR(H1776&lt;N1776,H1776&gt;P1776),"측정시각 구간 밖","OK")))))</f>
        <v/>
      </c>
      <c r="N1776" s="45">
        <f>IF(COUNTIFS($C:$C,$C1776,$D:$D,"P0(전)",$L:$L,"&gt;0")&lt;&gt;1,"",SUMIFS($H:$H,$C:$C,$C1776,$D:$D,"P0(전)"))</f>
        <v/>
      </c>
      <c r="O1776" s="30">
        <f>IF(COUNTIFS($C:$C,$C1776,$D:$D,"P0(전)",$L:$L,"&gt;0")&lt;&gt;1,"",SUMIFS($L:$L,$C:$C,$C1776,$D:$D,"P0(전)"))</f>
        <v/>
      </c>
      <c r="P1776" s="45">
        <f>IF(COUNTIFS($C:$C,$C1776,$D:$D,"P0(후)",$L:$L,"&gt;0")&lt;&gt;1,"",SUMIFS($H:$H,$C:$C,$C1776,$D:$D,"P0(후)"))</f>
        <v/>
      </c>
      <c r="Q1776" s="30">
        <f>IF(COUNTIFS($C:$C,$C1776,$D:$D,"P0(후)",$L:$L,"&gt;0")&lt;&gt;1,"",SUMIFS($L:$L,$C:$C,$C1776,$D:$D,"P0(후)"))</f>
        <v/>
      </c>
      <c r="R1776" s="30">
        <f>IF(M1776&lt;&gt;"OK","",O1776+(Q1776-O1776)*(H1776-N1776)/(P1776-N1776))</f>
        <v/>
      </c>
      <c r="S1776" s="30">
        <f>IF(OR(M1776&lt;&gt;"OK",NOT(ISNUMBER(L1776))),"",L1776-R1776)</f>
        <v/>
      </c>
      <c r="T1776" s="46">
        <f>IF(OR(NOT(ISNUMBER(S1776)),IF(ISNUMBER(G1776),G1776,F1776)=0),"",S1776/IF(ISNUMBER(G1776),G1776,F1776))</f>
        <v/>
      </c>
      <c r="U1776" s="46">
        <f>IF(ISNUMBER(T1776),ABS(T1776),"")</f>
        <v/>
      </c>
      <c r="V1776" s="46">
        <f>IF(OR($D1775&lt;&gt;"측정",$C1775&lt;&gt;$C1776,NOT(ISNUMBER(L1776)),NOT(ISNUMBER(L1775)),(IF(ISNUMBER(G1776),G1776,F1776)-IF(ISNUMBER(G1775),G1775,F1775))=0),"",(L1776-L1775)/(IF(ISNUMBER(G1776),G1776,F1776)-IF(ISNUMBER(G1775),G1775,F1775)))</f>
        <v/>
      </c>
      <c r="W1776" s="30">
        <f>IF(NOT(AND(ISNUMBER(N1776),ISNUMBER(P1776))),"",(P1776-N1776)*1440)</f>
        <v/>
      </c>
      <c r="X1776" s="28" t="n"/>
      <c r="Y1776" s="28" t="n"/>
      <c r="Z1776" s="28" t="n"/>
      <c r="AA1776" s="31" t="n"/>
      <c r="AB1776" s="31" t="n"/>
    </row>
    <row r="1777">
      <c r="A1777" s="25" t="inlineStr">
        <is>
          <t>S35</t>
        </is>
      </c>
      <c r="B1777" s="25" t="inlineStr">
        <is>
          <t>상주</t>
        </is>
      </c>
      <c r="C1777" s="25" t="inlineStr">
        <is>
          <t>S35-H동</t>
        </is>
      </c>
      <c r="D1777" s="25" t="inlineStr">
        <is>
          <t>측정</t>
        </is>
      </c>
      <c r="E1777" s="25" t="inlineStr">
        <is>
          <t>동</t>
        </is>
      </c>
      <c r="F1777" s="30" t="n">
        <v>3</v>
      </c>
      <c r="G1777" s="29" t="n"/>
      <c r="H1777" s="42" t="n"/>
      <c r="I1777" s="40" t="n"/>
      <c r="J1777" s="40" t="n"/>
      <c r="K1777" s="40" t="n"/>
      <c r="L1777" s="30">
        <f>IF(COUNT(I1777:K1777)=0,"",MEDIAN(I1777:K1777))</f>
        <v/>
      </c>
      <c r="M1777" s="25">
        <f>IF(COUNTIFS($C:$C,$C1777,$D:$D,"P0(전)",$L:$L,"&gt;0")&lt;&gt;1,"P0(전) 유효 1개 아님",IF(COUNTIFS($C:$C,$C1777,$D:$D,"P0(후)",$L:$L,"&gt;0")&lt;&gt;1,"P0(후) 유효 1개 아님",IF(NOT(AND(ISNUMBER(N1777),ISNUMBER(P1777),ISNUMBER(H1777))),"시각 결측",IF(P1777&lt;=N1777,"P0 시각 역전",IF(OR(H1777&lt;N1777,H1777&gt;P1777),"측정시각 구간 밖","OK")))))</f>
        <v/>
      </c>
      <c r="N1777" s="45">
        <f>IF(COUNTIFS($C:$C,$C1777,$D:$D,"P0(전)",$L:$L,"&gt;0")&lt;&gt;1,"",SUMIFS($H:$H,$C:$C,$C1777,$D:$D,"P0(전)"))</f>
        <v/>
      </c>
      <c r="O1777" s="30">
        <f>IF(COUNTIFS($C:$C,$C1777,$D:$D,"P0(전)",$L:$L,"&gt;0")&lt;&gt;1,"",SUMIFS($L:$L,$C:$C,$C1777,$D:$D,"P0(전)"))</f>
        <v/>
      </c>
      <c r="P1777" s="45">
        <f>IF(COUNTIFS($C:$C,$C1777,$D:$D,"P0(후)",$L:$L,"&gt;0")&lt;&gt;1,"",SUMIFS($H:$H,$C:$C,$C1777,$D:$D,"P0(후)"))</f>
        <v/>
      </c>
      <c r="Q1777" s="30">
        <f>IF(COUNTIFS($C:$C,$C1777,$D:$D,"P0(후)",$L:$L,"&gt;0")&lt;&gt;1,"",SUMIFS($L:$L,$C:$C,$C1777,$D:$D,"P0(후)"))</f>
        <v/>
      </c>
      <c r="R1777" s="30">
        <f>IF(M1777&lt;&gt;"OK","",O1777+(Q1777-O1777)*(H1777-N1777)/(P1777-N1777))</f>
        <v/>
      </c>
      <c r="S1777" s="30">
        <f>IF(OR(M1777&lt;&gt;"OK",NOT(ISNUMBER(L1777))),"",L1777-R1777)</f>
        <v/>
      </c>
      <c r="T1777" s="46">
        <f>IF(OR(NOT(ISNUMBER(S1777)),IF(ISNUMBER(G1777),G1777,F1777)=0),"",S1777/IF(ISNUMBER(G1777),G1777,F1777))</f>
        <v/>
      </c>
      <c r="U1777" s="46">
        <f>IF(ISNUMBER(T1777),ABS(T1777),"")</f>
        <v/>
      </c>
      <c r="V1777" s="46">
        <f>IF(OR($D1776&lt;&gt;"측정",$C1776&lt;&gt;$C1777,NOT(ISNUMBER(L1777)),NOT(ISNUMBER(L1776)),(IF(ISNUMBER(G1777),G1777,F1777)-IF(ISNUMBER(G1776),G1776,F1776))=0),"",(L1777-L1776)/(IF(ISNUMBER(G1777),G1777,F1777)-IF(ISNUMBER(G1776),G1776,F1776)))</f>
        <v/>
      </c>
      <c r="W1777" s="30">
        <f>IF(NOT(AND(ISNUMBER(N1777),ISNUMBER(P1777))),"",(P1777-N1777)*1440)</f>
        <v/>
      </c>
      <c r="X1777" s="28" t="n"/>
      <c r="Y1777" s="28" t="n"/>
      <c r="Z1777" s="28" t="n"/>
      <c r="AA1777" s="31" t="n"/>
      <c r="AB1777" s="31" t="n"/>
    </row>
    <row r="1778">
      <c r="A1778" s="25" t="inlineStr">
        <is>
          <t>S35</t>
        </is>
      </c>
      <c r="B1778" s="25" t="inlineStr">
        <is>
          <t>상주</t>
        </is>
      </c>
      <c r="C1778" s="25" t="inlineStr">
        <is>
          <t>S35-H동</t>
        </is>
      </c>
      <c r="D1778" s="25" t="inlineStr">
        <is>
          <t>측정</t>
        </is>
      </c>
      <c r="E1778" s="25" t="inlineStr">
        <is>
          <t>동</t>
        </is>
      </c>
      <c r="F1778" s="30" t="n">
        <v>4</v>
      </c>
      <c r="G1778" s="29" t="n"/>
      <c r="H1778" s="42" t="n"/>
      <c r="I1778" s="40" t="n"/>
      <c r="J1778" s="40" t="n"/>
      <c r="K1778" s="40" t="n"/>
      <c r="L1778" s="30">
        <f>IF(COUNT(I1778:K1778)=0,"",MEDIAN(I1778:K1778))</f>
        <v/>
      </c>
      <c r="M1778" s="25">
        <f>IF(COUNTIFS($C:$C,$C1778,$D:$D,"P0(전)",$L:$L,"&gt;0")&lt;&gt;1,"P0(전) 유효 1개 아님",IF(COUNTIFS($C:$C,$C1778,$D:$D,"P0(후)",$L:$L,"&gt;0")&lt;&gt;1,"P0(후) 유효 1개 아님",IF(NOT(AND(ISNUMBER(N1778),ISNUMBER(P1778),ISNUMBER(H1778))),"시각 결측",IF(P1778&lt;=N1778,"P0 시각 역전",IF(OR(H1778&lt;N1778,H1778&gt;P1778),"측정시각 구간 밖","OK")))))</f>
        <v/>
      </c>
      <c r="N1778" s="45">
        <f>IF(COUNTIFS($C:$C,$C1778,$D:$D,"P0(전)",$L:$L,"&gt;0")&lt;&gt;1,"",SUMIFS($H:$H,$C:$C,$C1778,$D:$D,"P0(전)"))</f>
        <v/>
      </c>
      <c r="O1778" s="30">
        <f>IF(COUNTIFS($C:$C,$C1778,$D:$D,"P0(전)",$L:$L,"&gt;0")&lt;&gt;1,"",SUMIFS($L:$L,$C:$C,$C1778,$D:$D,"P0(전)"))</f>
        <v/>
      </c>
      <c r="P1778" s="45">
        <f>IF(COUNTIFS($C:$C,$C1778,$D:$D,"P0(후)",$L:$L,"&gt;0")&lt;&gt;1,"",SUMIFS($H:$H,$C:$C,$C1778,$D:$D,"P0(후)"))</f>
        <v/>
      </c>
      <c r="Q1778" s="30">
        <f>IF(COUNTIFS($C:$C,$C1778,$D:$D,"P0(후)",$L:$L,"&gt;0")&lt;&gt;1,"",SUMIFS($L:$L,$C:$C,$C1778,$D:$D,"P0(후)"))</f>
        <v/>
      </c>
      <c r="R1778" s="30">
        <f>IF(M1778&lt;&gt;"OK","",O1778+(Q1778-O1778)*(H1778-N1778)/(P1778-N1778))</f>
        <v/>
      </c>
      <c r="S1778" s="30">
        <f>IF(OR(M1778&lt;&gt;"OK",NOT(ISNUMBER(L1778))),"",L1778-R1778)</f>
        <v/>
      </c>
      <c r="T1778" s="46">
        <f>IF(OR(NOT(ISNUMBER(S1778)),IF(ISNUMBER(G1778),G1778,F1778)=0),"",S1778/IF(ISNUMBER(G1778),G1778,F1778))</f>
        <v/>
      </c>
      <c r="U1778" s="46">
        <f>IF(ISNUMBER(T1778),ABS(T1778),"")</f>
        <v/>
      </c>
      <c r="V1778" s="46">
        <f>IF(OR($D1777&lt;&gt;"측정",$C1777&lt;&gt;$C1778,NOT(ISNUMBER(L1778)),NOT(ISNUMBER(L1777)),(IF(ISNUMBER(G1778),G1778,F1778)-IF(ISNUMBER(G1777),G1777,F1777))=0),"",(L1778-L1777)/(IF(ISNUMBER(G1778),G1778,F1778)-IF(ISNUMBER(G1777),G1777,F1777)))</f>
        <v/>
      </c>
      <c r="W1778" s="30">
        <f>IF(NOT(AND(ISNUMBER(N1778),ISNUMBER(P1778))),"",(P1778-N1778)*1440)</f>
        <v/>
      </c>
      <c r="X1778" s="28" t="n"/>
      <c r="Y1778" s="28" t="n"/>
      <c r="Z1778" s="28" t="n"/>
      <c r="AA1778" s="31" t="n"/>
      <c r="AB1778" s="31" t="n"/>
    </row>
    <row r="1779">
      <c r="A1779" s="25" t="inlineStr">
        <is>
          <t>S35</t>
        </is>
      </c>
      <c r="B1779" s="25" t="inlineStr">
        <is>
          <t>상주</t>
        </is>
      </c>
      <c r="C1779" s="25" t="inlineStr">
        <is>
          <t>S35-H동</t>
        </is>
      </c>
      <c r="D1779" s="25" t="inlineStr">
        <is>
          <t>측정</t>
        </is>
      </c>
      <c r="E1779" s="25" t="inlineStr">
        <is>
          <t>동</t>
        </is>
      </c>
      <c r="F1779" s="30" t="n">
        <v>5</v>
      </c>
      <c r="G1779" s="29" t="n"/>
      <c r="H1779" s="42" t="n"/>
      <c r="I1779" s="40" t="n"/>
      <c r="J1779" s="40" t="n"/>
      <c r="K1779" s="40" t="n"/>
      <c r="L1779" s="30">
        <f>IF(COUNT(I1779:K1779)=0,"",MEDIAN(I1779:K1779))</f>
        <v/>
      </c>
      <c r="M1779" s="25">
        <f>IF(COUNTIFS($C:$C,$C1779,$D:$D,"P0(전)",$L:$L,"&gt;0")&lt;&gt;1,"P0(전) 유효 1개 아님",IF(COUNTIFS($C:$C,$C1779,$D:$D,"P0(후)",$L:$L,"&gt;0")&lt;&gt;1,"P0(후) 유효 1개 아님",IF(NOT(AND(ISNUMBER(N1779),ISNUMBER(P1779),ISNUMBER(H1779))),"시각 결측",IF(P1779&lt;=N1779,"P0 시각 역전",IF(OR(H1779&lt;N1779,H1779&gt;P1779),"측정시각 구간 밖","OK")))))</f>
        <v/>
      </c>
      <c r="N1779" s="45">
        <f>IF(COUNTIFS($C:$C,$C1779,$D:$D,"P0(전)",$L:$L,"&gt;0")&lt;&gt;1,"",SUMIFS($H:$H,$C:$C,$C1779,$D:$D,"P0(전)"))</f>
        <v/>
      </c>
      <c r="O1779" s="30">
        <f>IF(COUNTIFS($C:$C,$C1779,$D:$D,"P0(전)",$L:$L,"&gt;0")&lt;&gt;1,"",SUMIFS($L:$L,$C:$C,$C1779,$D:$D,"P0(전)"))</f>
        <v/>
      </c>
      <c r="P1779" s="45">
        <f>IF(COUNTIFS($C:$C,$C1779,$D:$D,"P0(후)",$L:$L,"&gt;0")&lt;&gt;1,"",SUMIFS($H:$H,$C:$C,$C1779,$D:$D,"P0(후)"))</f>
        <v/>
      </c>
      <c r="Q1779" s="30">
        <f>IF(COUNTIFS($C:$C,$C1779,$D:$D,"P0(후)",$L:$L,"&gt;0")&lt;&gt;1,"",SUMIFS($L:$L,$C:$C,$C1779,$D:$D,"P0(후)"))</f>
        <v/>
      </c>
      <c r="R1779" s="30">
        <f>IF(M1779&lt;&gt;"OK","",O1779+(Q1779-O1779)*(H1779-N1779)/(P1779-N1779))</f>
        <v/>
      </c>
      <c r="S1779" s="30">
        <f>IF(OR(M1779&lt;&gt;"OK",NOT(ISNUMBER(L1779))),"",L1779-R1779)</f>
        <v/>
      </c>
      <c r="T1779" s="46">
        <f>IF(OR(NOT(ISNUMBER(S1779)),IF(ISNUMBER(G1779),G1779,F1779)=0),"",S1779/IF(ISNUMBER(G1779),G1779,F1779))</f>
        <v/>
      </c>
      <c r="U1779" s="46">
        <f>IF(ISNUMBER(T1779),ABS(T1779),"")</f>
        <v/>
      </c>
      <c r="V1779" s="46">
        <f>IF(OR($D1778&lt;&gt;"측정",$C1778&lt;&gt;$C1779,NOT(ISNUMBER(L1779)),NOT(ISNUMBER(L1778)),(IF(ISNUMBER(G1779),G1779,F1779)-IF(ISNUMBER(G1778),G1778,F1778))=0),"",(L1779-L1778)/(IF(ISNUMBER(G1779),G1779,F1779)-IF(ISNUMBER(G1778),G1778,F1778)))</f>
        <v/>
      </c>
      <c r="W1779" s="30">
        <f>IF(NOT(AND(ISNUMBER(N1779),ISNUMBER(P1779))),"",(P1779-N1779)*1440)</f>
        <v/>
      </c>
      <c r="X1779" s="28" t="n"/>
      <c r="Y1779" s="28" t="n"/>
      <c r="Z1779" s="28" t="n"/>
      <c r="AA1779" s="31" t="n"/>
      <c r="AB1779" s="31" t="n"/>
    </row>
    <row r="1780">
      <c r="A1780" s="25" t="inlineStr">
        <is>
          <t>S35</t>
        </is>
      </c>
      <c r="B1780" s="25" t="inlineStr">
        <is>
          <t>상주</t>
        </is>
      </c>
      <c r="C1780" s="25" t="inlineStr">
        <is>
          <t>S35-H동</t>
        </is>
      </c>
      <c r="D1780" s="25" t="inlineStr">
        <is>
          <t>측정</t>
        </is>
      </c>
      <c r="E1780" s="25" t="inlineStr">
        <is>
          <t>동</t>
        </is>
      </c>
      <c r="F1780" s="30" t="n">
        <v>6</v>
      </c>
      <c r="G1780" s="29" t="n"/>
      <c r="H1780" s="42" t="n"/>
      <c r="I1780" s="40" t="n"/>
      <c r="J1780" s="40" t="n"/>
      <c r="K1780" s="40" t="n"/>
      <c r="L1780" s="30">
        <f>IF(COUNT(I1780:K1780)=0,"",MEDIAN(I1780:K1780))</f>
        <v/>
      </c>
      <c r="M1780" s="25">
        <f>IF(COUNTIFS($C:$C,$C1780,$D:$D,"P0(전)",$L:$L,"&gt;0")&lt;&gt;1,"P0(전) 유효 1개 아님",IF(COUNTIFS($C:$C,$C1780,$D:$D,"P0(후)",$L:$L,"&gt;0")&lt;&gt;1,"P0(후) 유효 1개 아님",IF(NOT(AND(ISNUMBER(N1780),ISNUMBER(P1780),ISNUMBER(H1780))),"시각 결측",IF(P1780&lt;=N1780,"P0 시각 역전",IF(OR(H1780&lt;N1780,H1780&gt;P1780),"측정시각 구간 밖","OK")))))</f>
        <v/>
      </c>
      <c r="N1780" s="45">
        <f>IF(COUNTIFS($C:$C,$C1780,$D:$D,"P0(전)",$L:$L,"&gt;0")&lt;&gt;1,"",SUMIFS($H:$H,$C:$C,$C1780,$D:$D,"P0(전)"))</f>
        <v/>
      </c>
      <c r="O1780" s="30">
        <f>IF(COUNTIFS($C:$C,$C1780,$D:$D,"P0(전)",$L:$L,"&gt;0")&lt;&gt;1,"",SUMIFS($L:$L,$C:$C,$C1780,$D:$D,"P0(전)"))</f>
        <v/>
      </c>
      <c r="P1780" s="45">
        <f>IF(COUNTIFS($C:$C,$C1780,$D:$D,"P0(후)",$L:$L,"&gt;0")&lt;&gt;1,"",SUMIFS($H:$H,$C:$C,$C1780,$D:$D,"P0(후)"))</f>
        <v/>
      </c>
      <c r="Q1780" s="30">
        <f>IF(COUNTIFS($C:$C,$C1780,$D:$D,"P0(후)",$L:$L,"&gt;0")&lt;&gt;1,"",SUMIFS($L:$L,$C:$C,$C1780,$D:$D,"P0(후)"))</f>
        <v/>
      </c>
      <c r="R1780" s="30">
        <f>IF(M1780&lt;&gt;"OK","",O1780+(Q1780-O1780)*(H1780-N1780)/(P1780-N1780))</f>
        <v/>
      </c>
      <c r="S1780" s="30">
        <f>IF(OR(M1780&lt;&gt;"OK",NOT(ISNUMBER(L1780))),"",L1780-R1780)</f>
        <v/>
      </c>
      <c r="T1780" s="46">
        <f>IF(OR(NOT(ISNUMBER(S1780)),IF(ISNUMBER(G1780),G1780,F1780)=0),"",S1780/IF(ISNUMBER(G1780),G1780,F1780))</f>
        <v/>
      </c>
      <c r="U1780" s="46">
        <f>IF(ISNUMBER(T1780),ABS(T1780),"")</f>
        <v/>
      </c>
      <c r="V1780" s="46">
        <f>IF(OR($D1779&lt;&gt;"측정",$C1779&lt;&gt;$C1780,NOT(ISNUMBER(L1780)),NOT(ISNUMBER(L1779)),(IF(ISNUMBER(G1780),G1780,F1780)-IF(ISNUMBER(G1779),G1779,F1779))=0),"",(L1780-L1779)/(IF(ISNUMBER(G1780),G1780,F1780)-IF(ISNUMBER(G1779),G1779,F1779)))</f>
        <v/>
      </c>
      <c r="W1780" s="30">
        <f>IF(NOT(AND(ISNUMBER(N1780),ISNUMBER(P1780))),"",(P1780-N1780)*1440)</f>
        <v/>
      </c>
      <c r="X1780" s="28" t="n"/>
      <c r="Y1780" s="28" t="n"/>
      <c r="Z1780" s="28" t="n"/>
      <c r="AA1780" s="31" t="n"/>
      <c r="AB1780" s="31" t="n"/>
    </row>
    <row r="1781">
      <c r="A1781" s="25" t="inlineStr">
        <is>
          <t>S35</t>
        </is>
      </c>
      <c r="B1781" s="25" t="inlineStr">
        <is>
          <t>상주</t>
        </is>
      </c>
      <c r="C1781" s="25" t="inlineStr">
        <is>
          <t>S35-H동</t>
        </is>
      </c>
      <c r="D1781" s="25" t="inlineStr">
        <is>
          <t>측정</t>
        </is>
      </c>
      <c r="E1781" s="25" t="inlineStr">
        <is>
          <t>동</t>
        </is>
      </c>
      <c r="F1781" s="30" t="n">
        <v>7</v>
      </c>
      <c r="G1781" s="29" t="n"/>
      <c r="H1781" s="42" t="n"/>
      <c r="I1781" s="40" t="n"/>
      <c r="J1781" s="40" t="n"/>
      <c r="K1781" s="40" t="n"/>
      <c r="L1781" s="30">
        <f>IF(COUNT(I1781:K1781)=0,"",MEDIAN(I1781:K1781))</f>
        <v/>
      </c>
      <c r="M1781" s="25">
        <f>IF(COUNTIFS($C:$C,$C1781,$D:$D,"P0(전)",$L:$L,"&gt;0")&lt;&gt;1,"P0(전) 유효 1개 아님",IF(COUNTIFS($C:$C,$C1781,$D:$D,"P0(후)",$L:$L,"&gt;0")&lt;&gt;1,"P0(후) 유효 1개 아님",IF(NOT(AND(ISNUMBER(N1781),ISNUMBER(P1781),ISNUMBER(H1781))),"시각 결측",IF(P1781&lt;=N1781,"P0 시각 역전",IF(OR(H1781&lt;N1781,H1781&gt;P1781),"측정시각 구간 밖","OK")))))</f>
        <v/>
      </c>
      <c r="N1781" s="45">
        <f>IF(COUNTIFS($C:$C,$C1781,$D:$D,"P0(전)",$L:$L,"&gt;0")&lt;&gt;1,"",SUMIFS($H:$H,$C:$C,$C1781,$D:$D,"P0(전)"))</f>
        <v/>
      </c>
      <c r="O1781" s="30">
        <f>IF(COUNTIFS($C:$C,$C1781,$D:$D,"P0(전)",$L:$L,"&gt;0")&lt;&gt;1,"",SUMIFS($L:$L,$C:$C,$C1781,$D:$D,"P0(전)"))</f>
        <v/>
      </c>
      <c r="P1781" s="45">
        <f>IF(COUNTIFS($C:$C,$C1781,$D:$D,"P0(후)",$L:$L,"&gt;0")&lt;&gt;1,"",SUMIFS($H:$H,$C:$C,$C1781,$D:$D,"P0(후)"))</f>
        <v/>
      </c>
      <c r="Q1781" s="30">
        <f>IF(COUNTIFS($C:$C,$C1781,$D:$D,"P0(후)",$L:$L,"&gt;0")&lt;&gt;1,"",SUMIFS($L:$L,$C:$C,$C1781,$D:$D,"P0(후)"))</f>
        <v/>
      </c>
      <c r="R1781" s="30">
        <f>IF(M1781&lt;&gt;"OK","",O1781+(Q1781-O1781)*(H1781-N1781)/(P1781-N1781))</f>
        <v/>
      </c>
      <c r="S1781" s="30">
        <f>IF(OR(M1781&lt;&gt;"OK",NOT(ISNUMBER(L1781))),"",L1781-R1781)</f>
        <v/>
      </c>
      <c r="T1781" s="46">
        <f>IF(OR(NOT(ISNUMBER(S1781)),IF(ISNUMBER(G1781),G1781,F1781)=0),"",S1781/IF(ISNUMBER(G1781),G1781,F1781))</f>
        <v/>
      </c>
      <c r="U1781" s="46">
        <f>IF(ISNUMBER(T1781),ABS(T1781),"")</f>
        <v/>
      </c>
      <c r="V1781" s="46">
        <f>IF(OR($D1780&lt;&gt;"측정",$C1780&lt;&gt;$C1781,NOT(ISNUMBER(L1781)),NOT(ISNUMBER(L1780)),(IF(ISNUMBER(G1781),G1781,F1781)-IF(ISNUMBER(G1780),G1780,F1780))=0),"",(L1781-L1780)/(IF(ISNUMBER(G1781),G1781,F1781)-IF(ISNUMBER(G1780),G1780,F1780)))</f>
        <v/>
      </c>
      <c r="W1781" s="30">
        <f>IF(NOT(AND(ISNUMBER(N1781),ISNUMBER(P1781))),"",(P1781-N1781)*1440)</f>
        <v/>
      </c>
      <c r="X1781" s="28" t="n"/>
      <c r="Y1781" s="28" t="n"/>
      <c r="Z1781" s="28" t="n"/>
      <c r="AA1781" s="31" t="n"/>
      <c r="AB1781" s="31" t="n"/>
    </row>
    <row r="1782">
      <c r="A1782" s="25" t="inlineStr">
        <is>
          <t>S35</t>
        </is>
      </c>
      <c r="B1782" s="25" t="inlineStr">
        <is>
          <t>상주</t>
        </is>
      </c>
      <c r="C1782" s="25" t="inlineStr">
        <is>
          <t>S35-H동</t>
        </is>
      </c>
      <c r="D1782" s="25" t="inlineStr">
        <is>
          <t>측정</t>
        </is>
      </c>
      <c r="E1782" s="25" t="inlineStr">
        <is>
          <t>동</t>
        </is>
      </c>
      <c r="F1782" s="30" t="n">
        <v>8</v>
      </c>
      <c r="G1782" s="29" t="n"/>
      <c r="H1782" s="42" t="n"/>
      <c r="I1782" s="40" t="n"/>
      <c r="J1782" s="40" t="n"/>
      <c r="K1782" s="40" t="n"/>
      <c r="L1782" s="30">
        <f>IF(COUNT(I1782:K1782)=0,"",MEDIAN(I1782:K1782))</f>
        <v/>
      </c>
      <c r="M1782" s="25">
        <f>IF(COUNTIFS($C:$C,$C1782,$D:$D,"P0(전)",$L:$L,"&gt;0")&lt;&gt;1,"P0(전) 유효 1개 아님",IF(COUNTIFS($C:$C,$C1782,$D:$D,"P0(후)",$L:$L,"&gt;0")&lt;&gt;1,"P0(후) 유효 1개 아님",IF(NOT(AND(ISNUMBER(N1782),ISNUMBER(P1782),ISNUMBER(H1782))),"시각 결측",IF(P1782&lt;=N1782,"P0 시각 역전",IF(OR(H1782&lt;N1782,H1782&gt;P1782),"측정시각 구간 밖","OK")))))</f>
        <v/>
      </c>
      <c r="N1782" s="45">
        <f>IF(COUNTIFS($C:$C,$C1782,$D:$D,"P0(전)",$L:$L,"&gt;0")&lt;&gt;1,"",SUMIFS($H:$H,$C:$C,$C1782,$D:$D,"P0(전)"))</f>
        <v/>
      </c>
      <c r="O1782" s="30">
        <f>IF(COUNTIFS($C:$C,$C1782,$D:$D,"P0(전)",$L:$L,"&gt;0")&lt;&gt;1,"",SUMIFS($L:$L,$C:$C,$C1782,$D:$D,"P0(전)"))</f>
        <v/>
      </c>
      <c r="P1782" s="45">
        <f>IF(COUNTIFS($C:$C,$C1782,$D:$D,"P0(후)",$L:$L,"&gt;0")&lt;&gt;1,"",SUMIFS($H:$H,$C:$C,$C1782,$D:$D,"P0(후)"))</f>
        <v/>
      </c>
      <c r="Q1782" s="30">
        <f>IF(COUNTIFS($C:$C,$C1782,$D:$D,"P0(후)",$L:$L,"&gt;0")&lt;&gt;1,"",SUMIFS($L:$L,$C:$C,$C1782,$D:$D,"P0(후)"))</f>
        <v/>
      </c>
      <c r="R1782" s="30">
        <f>IF(M1782&lt;&gt;"OK","",O1782+(Q1782-O1782)*(H1782-N1782)/(P1782-N1782))</f>
        <v/>
      </c>
      <c r="S1782" s="30">
        <f>IF(OR(M1782&lt;&gt;"OK",NOT(ISNUMBER(L1782))),"",L1782-R1782)</f>
        <v/>
      </c>
      <c r="T1782" s="46">
        <f>IF(OR(NOT(ISNUMBER(S1782)),IF(ISNUMBER(G1782),G1782,F1782)=0),"",S1782/IF(ISNUMBER(G1782),G1782,F1782))</f>
        <v/>
      </c>
      <c r="U1782" s="46">
        <f>IF(ISNUMBER(T1782),ABS(T1782),"")</f>
        <v/>
      </c>
      <c r="V1782" s="46">
        <f>IF(OR($D1781&lt;&gt;"측정",$C1781&lt;&gt;$C1782,NOT(ISNUMBER(L1782)),NOT(ISNUMBER(L1781)),(IF(ISNUMBER(G1782),G1782,F1782)-IF(ISNUMBER(G1781),G1781,F1781))=0),"",(L1782-L1781)/(IF(ISNUMBER(G1782),G1782,F1782)-IF(ISNUMBER(G1781),G1781,F1781)))</f>
        <v/>
      </c>
      <c r="W1782" s="30">
        <f>IF(NOT(AND(ISNUMBER(N1782),ISNUMBER(P1782))),"",(P1782-N1782)*1440)</f>
        <v/>
      </c>
      <c r="X1782" s="28" t="n"/>
      <c r="Y1782" s="28" t="n"/>
      <c r="Z1782" s="28" t="n"/>
      <c r="AA1782" s="31" t="n"/>
      <c r="AB1782" s="31" t="n"/>
    </row>
    <row r="1783">
      <c r="A1783" s="25" t="inlineStr">
        <is>
          <t>S35</t>
        </is>
      </c>
      <c r="B1783" s="25" t="inlineStr">
        <is>
          <t>상주</t>
        </is>
      </c>
      <c r="C1783" s="25" t="inlineStr">
        <is>
          <t>S35-H동</t>
        </is>
      </c>
      <c r="D1783" s="25" t="inlineStr">
        <is>
          <t>측정</t>
        </is>
      </c>
      <c r="E1783" s="25" t="inlineStr">
        <is>
          <t>동</t>
        </is>
      </c>
      <c r="F1783" s="30" t="n">
        <v>9</v>
      </c>
      <c r="G1783" s="29" t="n"/>
      <c r="H1783" s="42" t="n"/>
      <c r="I1783" s="40" t="n"/>
      <c r="J1783" s="40" t="n"/>
      <c r="K1783" s="40" t="n"/>
      <c r="L1783" s="30">
        <f>IF(COUNT(I1783:K1783)=0,"",MEDIAN(I1783:K1783))</f>
        <v/>
      </c>
      <c r="M1783" s="25">
        <f>IF(COUNTIFS($C:$C,$C1783,$D:$D,"P0(전)",$L:$L,"&gt;0")&lt;&gt;1,"P0(전) 유효 1개 아님",IF(COUNTIFS($C:$C,$C1783,$D:$D,"P0(후)",$L:$L,"&gt;0")&lt;&gt;1,"P0(후) 유효 1개 아님",IF(NOT(AND(ISNUMBER(N1783),ISNUMBER(P1783),ISNUMBER(H1783))),"시각 결측",IF(P1783&lt;=N1783,"P0 시각 역전",IF(OR(H1783&lt;N1783,H1783&gt;P1783),"측정시각 구간 밖","OK")))))</f>
        <v/>
      </c>
      <c r="N1783" s="45">
        <f>IF(COUNTIFS($C:$C,$C1783,$D:$D,"P0(전)",$L:$L,"&gt;0")&lt;&gt;1,"",SUMIFS($H:$H,$C:$C,$C1783,$D:$D,"P0(전)"))</f>
        <v/>
      </c>
      <c r="O1783" s="30">
        <f>IF(COUNTIFS($C:$C,$C1783,$D:$D,"P0(전)",$L:$L,"&gt;0")&lt;&gt;1,"",SUMIFS($L:$L,$C:$C,$C1783,$D:$D,"P0(전)"))</f>
        <v/>
      </c>
      <c r="P1783" s="45">
        <f>IF(COUNTIFS($C:$C,$C1783,$D:$D,"P0(후)",$L:$L,"&gt;0")&lt;&gt;1,"",SUMIFS($H:$H,$C:$C,$C1783,$D:$D,"P0(후)"))</f>
        <v/>
      </c>
      <c r="Q1783" s="30">
        <f>IF(COUNTIFS($C:$C,$C1783,$D:$D,"P0(후)",$L:$L,"&gt;0")&lt;&gt;1,"",SUMIFS($L:$L,$C:$C,$C1783,$D:$D,"P0(후)"))</f>
        <v/>
      </c>
      <c r="R1783" s="30">
        <f>IF(M1783&lt;&gt;"OK","",O1783+(Q1783-O1783)*(H1783-N1783)/(P1783-N1783))</f>
        <v/>
      </c>
      <c r="S1783" s="30">
        <f>IF(OR(M1783&lt;&gt;"OK",NOT(ISNUMBER(L1783))),"",L1783-R1783)</f>
        <v/>
      </c>
      <c r="T1783" s="46">
        <f>IF(OR(NOT(ISNUMBER(S1783)),IF(ISNUMBER(G1783),G1783,F1783)=0),"",S1783/IF(ISNUMBER(G1783),G1783,F1783))</f>
        <v/>
      </c>
      <c r="U1783" s="46">
        <f>IF(ISNUMBER(T1783),ABS(T1783),"")</f>
        <v/>
      </c>
      <c r="V1783" s="46">
        <f>IF(OR($D1782&lt;&gt;"측정",$C1782&lt;&gt;$C1783,NOT(ISNUMBER(L1783)),NOT(ISNUMBER(L1782)),(IF(ISNUMBER(G1783),G1783,F1783)-IF(ISNUMBER(G1782),G1782,F1782))=0),"",(L1783-L1782)/(IF(ISNUMBER(G1783),G1783,F1783)-IF(ISNUMBER(G1782),G1782,F1782)))</f>
        <v/>
      </c>
      <c r="W1783" s="30">
        <f>IF(NOT(AND(ISNUMBER(N1783),ISNUMBER(P1783))),"",(P1783-N1783)*1440)</f>
        <v/>
      </c>
      <c r="X1783" s="28" t="n"/>
      <c r="Y1783" s="28" t="n"/>
      <c r="Z1783" s="28" t="n"/>
      <c r="AA1783" s="31" t="n"/>
      <c r="AB1783" s="31" t="n"/>
    </row>
    <row r="1784">
      <c r="A1784" s="25" t="inlineStr">
        <is>
          <t>S35</t>
        </is>
      </c>
      <c r="B1784" s="25" t="inlineStr">
        <is>
          <t>상주</t>
        </is>
      </c>
      <c r="C1784" s="25" t="inlineStr">
        <is>
          <t>S35-H동</t>
        </is>
      </c>
      <c r="D1784" s="25" t="inlineStr">
        <is>
          <t>측정</t>
        </is>
      </c>
      <c r="E1784" s="25" t="inlineStr">
        <is>
          <t>동</t>
        </is>
      </c>
      <c r="F1784" s="30" t="n">
        <v>10</v>
      </c>
      <c r="G1784" s="29" t="n"/>
      <c r="H1784" s="42" t="n"/>
      <c r="I1784" s="40" t="n"/>
      <c r="J1784" s="40" t="n"/>
      <c r="K1784" s="40" t="n"/>
      <c r="L1784" s="30">
        <f>IF(COUNT(I1784:K1784)=0,"",MEDIAN(I1784:K1784))</f>
        <v/>
      </c>
      <c r="M1784" s="25">
        <f>IF(COUNTIFS($C:$C,$C1784,$D:$D,"P0(전)",$L:$L,"&gt;0")&lt;&gt;1,"P0(전) 유효 1개 아님",IF(COUNTIFS($C:$C,$C1784,$D:$D,"P0(후)",$L:$L,"&gt;0")&lt;&gt;1,"P0(후) 유효 1개 아님",IF(NOT(AND(ISNUMBER(N1784),ISNUMBER(P1784),ISNUMBER(H1784))),"시각 결측",IF(P1784&lt;=N1784,"P0 시각 역전",IF(OR(H1784&lt;N1784,H1784&gt;P1784),"측정시각 구간 밖","OK")))))</f>
        <v/>
      </c>
      <c r="N1784" s="45">
        <f>IF(COUNTIFS($C:$C,$C1784,$D:$D,"P0(전)",$L:$L,"&gt;0")&lt;&gt;1,"",SUMIFS($H:$H,$C:$C,$C1784,$D:$D,"P0(전)"))</f>
        <v/>
      </c>
      <c r="O1784" s="30">
        <f>IF(COUNTIFS($C:$C,$C1784,$D:$D,"P0(전)",$L:$L,"&gt;0")&lt;&gt;1,"",SUMIFS($L:$L,$C:$C,$C1784,$D:$D,"P0(전)"))</f>
        <v/>
      </c>
      <c r="P1784" s="45">
        <f>IF(COUNTIFS($C:$C,$C1784,$D:$D,"P0(후)",$L:$L,"&gt;0")&lt;&gt;1,"",SUMIFS($H:$H,$C:$C,$C1784,$D:$D,"P0(후)"))</f>
        <v/>
      </c>
      <c r="Q1784" s="30">
        <f>IF(COUNTIFS($C:$C,$C1784,$D:$D,"P0(후)",$L:$L,"&gt;0")&lt;&gt;1,"",SUMIFS($L:$L,$C:$C,$C1784,$D:$D,"P0(후)"))</f>
        <v/>
      </c>
      <c r="R1784" s="30">
        <f>IF(M1784&lt;&gt;"OK","",O1784+(Q1784-O1784)*(H1784-N1784)/(P1784-N1784))</f>
        <v/>
      </c>
      <c r="S1784" s="30">
        <f>IF(OR(M1784&lt;&gt;"OK",NOT(ISNUMBER(L1784))),"",L1784-R1784)</f>
        <v/>
      </c>
      <c r="T1784" s="46">
        <f>IF(OR(NOT(ISNUMBER(S1784)),IF(ISNUMBER(G1784),G1784,F1784)=0),"",S1784/IF(ISNUMBER(G1784),G1784,F1784))</f>
        <v/>
      </c>
      <c r="U1784" s="46">
        <f>IF(ISNUMBER(T1784),ABS(T1784),"")</f>
        <v/>
      </c>
      <c r="V1784" s="46">
        <f>IF(OR($D1783&lt;&gt;"측정",$C1783&lt;&gt;$C1784,NOT(ISNUMBER(L1784)),NOT(ISNUMBER(L1783)),(IF(ISNUMBER(G1784),G1784,F1784)-IF(ISNUMBER(G1783),G1783,F1783))=0),"",(L1784-L1783)/(IF(ISNUMBER(G1784),G1784,F1784)-IF(ISNUMBER(G1783),G1783,F1783)))</f>
        <v/>
      </c>
      <c r="W1784" s="30">
        <f>IF(NOT(AND(ISNUMBER(N1784),ISNUMBER(P1784))),"",(P1784-N1784)*1440)</f>
        <v/>
      </c>
      <c r="X1784" s="28" t="n"/>
      <c r="Y1784" s="28" t="n"/>
      <c r="Z1784" s="28" t="n"/>
      <c r="AA1784" s="31" t="n"/>
      <c r="AB1784" s="31" t="n"/>
    </row>
    <row r="1785">
      <c r="A1785" s="43" t="inlineStr">
        <is>
          <t>S35</t>
        </is>
      </c>
      <c r="B1785" s="43" t="inlineStr">
        <is>
          <t>상주</t>
        </is>
      </c>
      <c r="C1785" s="43" t="inlineStr">
        <is>
          <t>S35-H동</t>
        </is>
      </c>
      <c r="D1785" s="43" t="inlineStr">
        <is>
          <t>P0(후)</t>
        </is>
      </c>
      <c r="E1785" s="43" t="inlineStr">
        <is>
          <t>동</t>
        </is>
      </c>
      <c r="F1785" s="44" t="n"/>
      <c r="G1785" s="29" t="n"/>
      <c r="H1785" s="42" t="n"/>
      <c r="I1785" s="40" t="n"/>
      <c r="J1785" s="40" t="n"/>
      <c r="K1785" s="40" t="n"/>
      <c r="L1785" s="30">
        <f>IF(COUNT(I1785:K1785)=0,"",MEDIAN(I1785:K1785))</f>
        <v/>
      </c>
      <c r="M1785" s="37" t="n"/>
      <c r="N1785" s="37" t="n"/>
      <c r="O1785" s="37" t="n"/>
      <c r="P1785" s="37" t="n"/>
      <c r="Q1785" s="37" t="n"/>
      <c r="R1785" s="37" t="n"/>
      <c r="S1785" s="37" t="n"/>
      <c r="T1785" s="37" t="n"/>
      <c r="U1785" s="37" t="n"/>
      <c r="V1785" s="37" t="n"/>
      <c r="W1785" s="37" t="n"/>
      <c r="X1785" s="28" t="n"/>
      <c r="Y1785" s="28" t="n"/>
      <c r="Z1785" s="28" t="n"/>
      <c r="AA1785" s="31" t="n"/>
      <c r="AB1785" s="31" t="n"/>
    </row>
    <row r="1786">
      <c r="A1786" s="43" t="inlineStr">
        <is>
          <t>S35</t>
        </is>
      </c>
      <c r="B1786" s="43" t="inlineStr">
        <is>
          <t>상주</t>
        </is>
      </c>
      <c r="C1786" s="43" t="inlineStr">
        <is>
          <t>S35-H서</t>
        </is>
      </c>
      <c r="D1786" s="43" t="inlineStr">
        <is>
          <t>P0(전)</t>
        </is>
      </c>
      <c r="E1786" s="43" t="inlineStr">
        <is>
          <t>서</t>
        </is>
      </c>
      <c r="F1786" s="44" t="n"/>
      <c r="G1786" s="29" t="n"/>
      <c r="H1786" s="42" t="n"/>
      <c r="I1786" s="40" t="n"/>
      <c r="J1786" s="40" t="n"/>
      <c r="K1786" s="40" t="n"/>
      <c r="L1786" s="30">
        <f>IF(COUNT(I1786:K1786)=0,"",MEDIAN(I1786:K1786))</f>
        <v/>
      </c>
      <c r="M1786" s="37" t="n"/>
      <c r="N1786" s="37" t="n"/>
      <c r="O1786" s="37" t="n"/>
      <c r="P1786" s="37" t="n"/>
      <c r="Q1786" s="37" t="n"/>
      <c r="R1786" s="37" t="n"/>
      <c r="S1786" s="37" t="n"/>
      <c r="T1786" s="37" t="n"/>
      <c r="U1786" s="37" t="n"/>
      <c r="V1786" s="37" t="n"/>
      <c r="W1786" s="37" t="n"/>
      <c r="X1786" s="28" t="n"/>
      <c r="Y1786" s="28" t="n"/>
      <c r="Z1786" s="28" t="n"/>
      <c r="AA1786" s="31" t="n"/>
      <c r="AB1786" s="31" t="n"/>
    </row>
    <row r="1787">
      <c r="A1787" s="25" t="inlineStr">
        <is>
          <t>S35</t>
        </is>
      </c>
      <c r="B1787" s="25" t="inlineStr">
        <is>
          <t>상주</t>
        </is>
      </c>
      <c r="C1787" s="25" t="inlineStr">
        <is>
          <t>S35-H서</t>
        </is>
      </c>
      <c r="D1787" s="25" t="inlineStr">
        <is>
          <t>측정</t>
        </is>
      </c>
      <c r="E1787" s="25" t="inlineStr">
        <is>
          <t>서</t>
        </is>
      </c>
      <c r="F1787" s="30" t="n">
        <v>0.5</v>
      </c>
      <c r="G1787" s="29" t="n"/>
      <c r="H1787" s="42" t="n"/>
      <c r="I1787" s="40" t="n"/>
      <c r="J1787" s="40" t="n"/>
      <c r="K1787" s="40" t="n"/>
      <c r="L1787" s="30">
        <f>IF(COUNT(I1787:K1787)=0,"",MEDIAN(I1787:K1787))</f>
        <v/>
      </c>
      <c r="M1787" s="25">
        <f>IF(COUNTIFS($C:$C,$C1787,$D:$D,"P0(전)",$L:$L,"&gt;0")&lt;&gt;1,"P0(전) 유효 1개 아님",IF(COUNTIFS($C:$C,$C1787,$D:$D,"P0(후)",$L:$L,"&gt;0")&lt;&gt;1,"P0(후) 유효 1개 아님",IF(NOT(AND(ISNUMBER(N1787),ISNUMBER(P1787),ISNUMBER(H1787))),"시각 결측",IF(P1787&lt;=N1787,"P0 시각 역전",IF(OR(H1787&lt;N1787,H1787&gt;P1787),"측정시각 구간 밖","OK")))))</f>
        <v/>
      </c>
      <c r="N1787" s="45">
        <f>IF(COUNTIFS($C:$C,$C1787,$D:$D,"P0(전)",$L:$L,"&gt;0")&lt;&gt;1,"",SUMIFS($H:$H,$C:$C,$C1787,$D:$D,"P0(전)"))</f>
        <v/>
      </c>
      <c r="O1787" s="30">
        <f>IF(COUNTIFS($C:$C,$C1787,$D:$D,"P0(전)",$L:$L,"&gt;0")&lt;&gt;1,"",SUMIFS($L:$L,$C:$C,$C1787,$D:$D,"P0(전)"))</f>
        <v/>
      </c>
      <c r="P1787" s="45">
        <f>IF(COUNTIFS($C:$C,$C1787,$D:$D,"P0(후)",$L:$L,"&gt;0")&lt;&gt;1,"",SUMIFS($H:$H,$C:$C,$C1787,$D:$D,"P0(후)"))</f>
        <v/>
      </c>
      <c r="Q1787" s="30">
        <f>IF(COUNTIFS($C:$C,$C1787,$D:$D,"P0(후)",$L:$L,"&gt;0")&lt;&gt;1,"",SUMIFS($L:$L,$C:$C,$C1787,$D:$D,"P0(후)"))</f>
        <v/>
      </c>
      <c r="R1787" s="30">
        <f>IF(M1787&lt;&gt;"OK","",O1787+(Q1787-O1787)*(H1787-N1787)/(P1787-N1787))</f>
        <v/>
      </c>
      <c r="S1787" s="30">
        <f>IF(OR(M1787&lt;&gt;"OK",NOT(ISNUMBER(L1787))),"",L1787-R1787)</f>
        <v/>
      </c>
      <c r="T1787" s="46">
        <f>IF(OR(NOT(ISNUMBER(S1787)),IF(ISNUMBER(G1787),G1787,F1787)=0),"",S1787/IF(ISNUMBER(G1787),G1787,F1787))</f>
        <v/>
      </c>
      <c r="U1787" s="46">
        <f>IF(ISNUMBER(T1787),ABS(T1787),"")</f>
        <v/>
      </c>
      <c r="V1787" s="46">
        <f>IF(OR($D1786&lt;&gt;"측정",$C1786&lt;&gt;$C1787,NOT(ISNUMBER(L1787)),NOT(ISNUMBER(L1786)),(IF(ISNUMBER(G1787),G1787,F1787)-IF(ISNUMBER(G1786),G1786,F1786))=0),"",(L1787-L1786)/(IF(ISNUMBER(G1787),G1787,F1787)-IF(ISNUMBER(G1786),G1786,F1786)))</f>
        <v/>
      </c>
      <c r="W1787" s="30">
        <f>IF(NOT(AND(ISNUMBER(N1787),ISNUMBER(P1787))),"",(P1787-N1787)*1440)</f>
        <v/>
      </c>
      <c r="X1787" s="28" t="n"/>
      <c r="Y1787" s="28" t="n"/>
      <c r="Z1787" s="28" t="n"/>
      <c r="AA1787" s="31" t="n"/>
      <c r="AB1787" s="31" t="n"/>
    </row>
    <row r="1788">
      <c r="A1788" s="25" t="inlineStr">
        <is>
          <t>S35</t>
        </is>
      </c>
      <c r="B1788" s="25" t="inlineStr">
        <is>
          <t>상주</t>
        </is>
      </c>
      <c r="C1788" s="25" t="inlineStr">
        <is>
          <t>S35-H서</t>
        </is>
      </c>
      <c r="D1788" s="25" t="inlineStr">
        <is>
          <t>측정</t>
        </is>
      </c>
      <c r="E1788" s="25" t="inlineStr">
        <is>
          <t>서</t>
        </is>
      </c>
      <c r="F1788" s="30" t="n">
        <v>1</v>
      </c>
      <c r="G1788" s="29" t="n"/>
      <c r="H1788" s="42" t="n"/>
      <c r="I1788" s="40" t="n"/>
      <c r="J1788" s="40" t="n"/>
      <c r="K1788" s="40" t="n"/>
      <c r="L1788" s="30">
        <f>IF(COUNT(I1788:K1788)=0,"",MEDIAN(I1788:K1788))</f>
        <v/>
      </c>
      <c r="M1788" s="25">
        <f>IF(COUNTIFS($C:$C,$C1788,$D:$D,"P0(전)",$L:$L,"&gt;0")&lt;&gt;1,"P0(전) 유효 1개 아님",IF(COUNTIFS($C:$C,$C1788,$D:$D,"P0(후)",$L:$L,"&gt;0")&lt;&gt;1,"P0(후) 유효 1개 아님",IF(NOT(AND(ISNUMBER(N1788),ISNUMBER(P1788),ISNUMBER(H1788))),"시각 결측",IF(P1788&lt;=N1788,"P0 시각 역전",IF(OR(H1788&lt;N1788,H1788&gt;P1788),"측정시각 구간 밖","OK")))))</f>
        <v/>
      </c>
      <c r="N1788" s="45">
        <f>IF(COUNTIFS($C:$C,$C1788,$D:$D,"P0(전)",$L:$L,"&gt;0")&lt;&gt;1,"",SUMIFS($H:$H,$C:$C,$C1788,$D:$D,"P0(전)"))</f>
        <v/>
      </c>
      <c r="O1788" s="30">
        <f>IF(COUNTIFS($C:$C,$C1788,$D:$D,"P0(전)",$L:$L,"&gt;0")&lt;&gt;1,"",SUMIFS($L:$L,$C:$C,$C1788,$D:$D,"P0(전)"))</f>
        <v/>
      </c>
      <c r="P1788" s="45">
        <f>IF(COUNTIFS($C:$C,$C1788,$D:$D,"P0(후)",$L:$L,"&gt;0")&lt;&gt;1,"",SUMIFS($H:$H,$C:$C,$C1788,$D:$D,"P0(후)"))</f>
        <v/>
      </c>
      <c r="Q1788" s="30">
        <f>IF(COUNTIFS($C:$C,$C1788,$D:$D,"P0(후)",$L:$L,"&gt;0")&lt;&gt;1,"",SUMIFS($L:$L,$C:$C,$C1788,$D:$D,"P0(후)"))</f>
        <v/>
      </c>
      <c r="R1788" s="30">
        <f>IF(M1788&lt;&gt;"OK","",O1788+(Q1788-O1788)*(H1788-N1788)/(P1788-N1788))</f>
        <v/>
      </c>
      <c r="S1788" s="30">
        <f>IF(OR(M1788&lt;&gt;"OK",NOT(ISNUMBER(L1788))),"",L1788-R1788)</f>
        <v/>
      </c>
      <c r="T1788" s="46">
        <f>IF(OR(NOT(ISNUMBER(S1788)),IF(ISNUMBER(G1788),G1788,F1788)=0),"",S1788/IF(ISNUMBER(G1788),G1788,F1788))</f>
        <v/>
      </c>
      <c r="U1788" s="46">
        <f>IF(ISNUMBER(T1788),ABS(T1788),"")</f>
        <v/>
      </c>
      <c r="V1788" s="46">
        <f>IF(OR($D1787&lt;&gt;"측정",$C1787&lt;&gt;$C1788,NOT(ISNUMBER(L1788)),NOT(ISNUMBER(L1787)),(IF(ISNUMBER(G1788),G1788,F1788)-IF(ISNUMBER(G1787),G1787,F1787))=0),"",(L1788-L1787)/(IF(ISNUMBER(G1788),G1788,F1788)-IF(ISNUMBER(G1787),G1787,F1787)))</f>
        <v/>
      </c>
      <c r="W1788" s="30">
        <f>IF(NOT(AND(ISNUMBER(N1788),ISNUMBER(P1788))),"",(P1788-N1788)*1440)</f>
        <v/>
      </c>
      <c r="X1788" s="28" t="n"/>
      <c r="Y1788" s="28" t="n"/>
      <c r="Z1788" s="28" t="n"/>
      <c r="AA1788" s="31" t="n"/>
      <c r="AB1788" s="31" t="n"/>
    </row>
    <row r="1789">
      <c r="A1789" s="25" t="inlineStr">
        <is>
          <t>S35</t>
        </is>
      </c>
      <c r="B1789" s="25" t="inlineStr">
        <is>
          <t>상주</t>
        </is>
      </c>
      <c r="C1789" s="25" t="inlineStr">
        <is>
          <t>S35-H서</t>
        </is>
      </c>
      <c r="D1789" s="25" t="inlineStr">
        <is>
          <t>측정</t>
        </is>
      </c>
      <c r="E1789" s="25" t="inlineStr">
        <is>
          <t>서</t>
        </is>
      </c>
      <c r="F1789" s="30" t="n">
        <v>2</v>
      </c>
      <c r="G1789" s="29" t="n"/>
      <c r="H1789" s="42" t="n"/>
      <c r="I1789" s="40" t="n"/>
      <c r="J1789" s="40" t="n"/>
      <c r="K1789" s="40" t="n"/>
      <c r="L1789" s="30">
        <f>IF(COUNT(I1789:K1789)=0,"",MEDIAN(I1789:K1789))</f>
        <v/>
      </c>
      <c r="M1789" s="25">
        <f>IF(COUNTIFS($C:$C,$C1789,$D:$D,"P0(전)",$L:$L,"&gt;0")&lt;&gt;1,"P0(전) 유효 1개 아님",IF(COUNTIFS($C:$C,$C1789,$D:$D,"P0(후)",$L:$L,"&gt;0")&lt;&gt;1,"P0(후) 유효 1개 아님",IF(NOT(AND(ISNUMBER(N1789),ISNUMBER(P1789),ISNUMBER(H1789))),"시각 결측",IF(P1789&lt;=N1789,"P0 시각 역전",IF(OR(H1789&lt;N1789,H1789&gt;P1789),"측정시각 구간 밖","OK")))))</f>
        <v/>
      </c>
      <c r="N1789" s="45">
        <f>IF(COUNTIFS($C:$C,$C1789,$D:$D,"P0(전)",$L:$L,"&gt;0")&lt;&gt;1,"",SUMIFS($H:$H,$C:$C,$C1789,$D:$D,"P0(전)"))</f>
        <v/>
      </c>
      <c r="O1789" s="30">
        <f>IF(COUNTIFS($C:$C,$C1789,$D:$D,"P0(전)",$L:$L,"&gt;0")&lt;&gt;1,"",SUMIFS($L:$L,$C:$C,$C1789,$D:$D,"P0(전)"))</f>
        <v/>
      </c>
      <c r="P1789" s="45">
        <f>IF(COUNTIFS($C:$C,$C1789,$D:$D,"P0(후)",$L:$L,"&gt;0")&lt;&gt;1,"",SUMIFS($H:$H,$C:$C,$C1789,$D:$D,"P0(후)"))</f>
        <v/>
      </c>
      <c r="Q1789" s="30">
        <f>IF(COUNTIFS($C:$C,$C1789,$D:$D,"P0(후)",$L:$L,"&gt;0")&lt;&gt;1,"",SUMIFS($L:$L,$C:$C,$C1789,$D:$D,"P0(후)"))</f>
        <v/>
      </c>
      <c r="R1789" s="30">
        <f>IF(M1789&lt;&gt;"OK","",O1789+(Q1789-O1789)*(H1789-N1789)/(P1789-N1789))</f>
        <v/>
      </c>
      <c r="S1789" s="30">
        <f>IF(OR(M1789&lt;&gt;"OK",NOT(ISNUMBER(L1789))),"",L1789-R1789)</f>
        <v/>
      </c>
      <c r="T1789" s="46">
        <f>IF(OR(NOT(ISNUMBER(S1789)),IF(ISNUMBER(G1789),G1789,F1789)=0),"",S1789/IF(ISNUMBER(G1789),G1789,F1789))</f>
        <v/>
      </c>
      <c r="U1789" s="46">
        <f>IF(ISNUMBER(T1789),ABS(T1789),"")</f>
        <v/>
      </c>
      <c r="V1789" s="46">
        <f>IF(OR($D1788&lt;&gt;"측정",$C1788&lt;&gt;$C1789,NOT(ISNUMBER(L1789)),NOT(ISNUMBER(L1788)),(IF(ISNUMBER(G1789),G1789,F1789)-IF(ISNUMBER(G1788),G1788,F1788))=0),"",(L1789-L1788)/(IF(ISNUMBER(G1789),G1789,F1789)-IF(ISNUMBER(G1788),G1788,F1788)))</f>
        <v/>
      </c>
      <c r="W1789" s="30">
        <f>IF(NOT(AND(ISNUMBER(N1789),ISNUMBER(P1789))),"",(P1789-N1789)*1440)</f>
        <v/>
      </c>
      <c r="X1789" s="28" t="n"/>
      <c r="Y1789" s="28" t="n"/>
      <c r="Z1789" s="28" t="n"/>
      <c r="AA1789" s="31" t="n"/>
      <c r="AB1789" s="31" t="n"/>
    </row>
    <row r="1790">
      <c r="A1790" s="25" t="inlineStr">
        <is>
          <t>S35</t>
        </is>
      </c>
      <c r="B1790" s="25" t="inlineStr">
        <is>
          <t>상주</t>
        </is>
      </c>
      <c r="C1790" s="25" t="inlineStr">
        <is>
          <t>S35-H서</t>
        </is>
      </c>
      <c r="D1790" s="25" t="inlineStr">
        <is>
          <t>측정</t>
        </is>
      </c>
      <c r="E1790" s="25" t="inlineStr">
        <is>
          <t>서</t>
        </is>
      </c>
      <c r="F1790" s="30" t="n">
        <v>3</v>
      </c>
      <c r="G1790" s="29" t="n"/>
      <c r="H1790" s="42" t="n"/>
      <c r="I1790" s="40" t="n"/>
      <c r="J1790" s="40" t="n"/>
      <c r="K1790" s="40" t="n"/>
      <c r="L1790" s="30">
        <f>IF(COUNT(I1790:K1790)=0,"",MEDIAN(I1790:K1790))</f>
        <v/>
      </c>
      <c r="M1790" s="25">
        <f>IF(COUNTIFS($C:$C,$C1790,$D:$D,"P0(전)",$L:$L,"&gt;0")&lt;&gt;1,"P0(전) 유효 1개 아님",IF(COUNTIFS($C:$C,$C1790,$D:$D,"P0(후)",$L:$L,"&gt;0")&lt;&gt;1,"P0(후) 유효 1개 아님",IF(NOT(AND(ISNUMBER(N1790),ISNUMBER(P1790),ISNUMBER(H1790))),"시각 결측",IF(P1790&lt;=N1790,"P0 시각 역전",IF(OR(H1790&lt;N1790,H1790&gt;P1790),"측정시각 구간 밖","OK")))))</f>
        <v/>
      </c>
      <c r="N1790" s="45">
        <f>IF(COUNTIFS($C:$C,$C1790,$D:$D,"P0(전)",$L:$L,"&gt;0")&lt;&gt;1,"",SUMIFS($H:$H,$C:$C,$C1790,$D:$D,"P0(전)"))</f>
        <v/>
      </c>
      <c r="O1790" s="30">
        <f>IF(COUNTIFS($C:$C,$C1790,$D:$D,"P0(전)",$L:$L,"&gt;0")&lt;&gt;1,"",SUMIFS($L:$L,$C:$C,$C1790,$D:$D,"P0(전)"))</f>
        <v/>
      </c>
      <c r="P1790" s="45">
        <f>IF(COUNTIFS($C:$C,$C1790,$D:$D,"P0(후)",$L:$L,"&gt;0")&lt;&gt;1,"",SUMIFS($H:$H,$C:$C,$C1790,$D:$D,"P0(후)"))</f>
        <v/>
      </c>
      <c r="Q1790" s="30">
        <f>IF(COUNTIFS($C:$C,$C1790,$D:$D,"P0(후)",$L:$L,"&gt;0")&lt;&gt;1,"",SUMIFS($L:$L,$C:$C,$C1790,$D:$D,"P0(후)"))</f>
        <v/>
      </c>
      <c r="R1790" s="30">
        <f>IF(M1790&lt;&gt;"OK","",O1790+(Q1790-O1790)*(H1790-N1790)/(P1790-N1790))</f>
        <v/>
      </c>
      <c r="S1790" s="30">
        <f>IF(OR(M1790&lt;&gt;"OK",NOT(ISNUMBER(L1790))),"",L1790-R1790)</f>
        <v/>
      </c>
      <c r="T1790" s="46">
        <f>IF(OR(NOT(ISNUMBER(S1790)),IF(ISNUMBER(G1790),G1790,F1790)=0),"",S1790/IF(ISNUMBER(G1790),G1790,F1790))</f>
        <v/>
      </c>
      <c r="U1790" s="46">
        <f>IF(ISNUMBER(T1790),ABS(T1790),"")</f>
        <v/>
      </c>
      <c r="V1790" s="46">
        <f>IF(OR($D1789&lt;&gt;"측정",$C1789&lt;&gt;$C1790,NOT(ISNUMBER(L1790)),NOT(ISNUMBER(L1789)),(IF(ISNUMBER(G1790),G1790,F1790)-IF(ISNUMBER(G1789),G1789,F1789))=0),"",(L1790-L1789)/(IF(ISNUMBER(G1790),G1790,F1790)-IF(ISNUMBER(G1789),G1789,F1789)))</f>
        <v/>
      </c>
      <c r="W1790" s="30">
        <f>IF(NOT(AND(ISNUMBER(N1790),ISNUMBER(P1790))),"",(P1790-N1790)*1440)</f>
        <v/>
      </c>
      <c r="X1790" s="28" t="n"/>
      <c r="Y1790" s="28" t="n"/>
      <c r="Z1790" s="28" t="n"/>
      <c r="AA1790" s="31" t="n"/>
      <c r="AB1790" s="31" t="n"/>
    </row>
    <row r="1791">
      <c r="A1791" s="25" t="inlineStr">
        <is>
          <t>S35</t>
        </is>
      </c>
      <c r="B1791" s="25" t="inlineStr">
        <is>
          <t>상주</t>
        </is>
      </c>
      <c r="C1791" s="25" t="inlineStr">
        <is>
          <t>S35-H서</t>
        </is>
      </c>
      <c r="D1791" s="25" t="inlineStr">
        <is>
          <t>측정</t>
        </is>
      </c>
      <c r="E1791" s="25" t="inlineStr">
        <is>
          <t>서</t>
        </is>
      </c>
      <c r="F1791" s="30" t="n">
        <v>4</v>
      </c>
      <c r="G1791" s="29" t="n"/>
      <c r="H1791" s="42" t="n"/>
      <c r="I1791" s="40" t="n"/>
      <c r="J1791" s="40" t="n"/>
      <c r="K1791" s="40" t="n"/>
      <c r="L1791" s="30">
        <f>IF(COUNT(I1791:K1791)=0,"",MEDIAN(I1791:K1791))</f>
        <v/>
      </c>
      <c r="M1791" s="25">
        <f>IF(COUNTIFS($C:$C,$C1791,$D:$D,"P0(전)",$L:$L,"&gt;0")&lt;&gt;1,"P0(전) 유효 1개 아님",IF(COUNTIFS($C:$C,$C1791,$D:$D,"P0(후)",$L:$L,"&gt;0")&lt;&gt;1,"P0(후) 유효 1개 아님",IF(NOT(AND(ISNUMBER(N1791),ISNUMBER(P1791),ISNUMBER(H1791))),"시각 결측",IF(P1791&lt;=N1791,"P0 시각 역전",IF(OR(H1791&lt;N1791,H1791&gt;P1791),"측정시각 구간 밖","OK")))))</f>
        <v/>
      </c>
      <c r="N1791" s="45">
        <f>IF(COUNTIFS($C:$C,$C1791,$D:$D,"P0(전)",$L:$L,"&gt;0")&lt;&gt;1,"",SUMIFS($H:$H,$C:$C,$C1791,$D:$D,"P0(전)"))</f>
        <v/>
      </c>
      <c r="O1791" s="30">
        <f>IF(COUNTIFS($C:$C,$C1791,$D:$D,"P0(전)",$L:$L,"&gt;0")&lt;&gt;1,"",SUMIFS($L:$L,$C:$C,$C1791,$D:$D,"P0(전)"))</f>
        <v/>
      </c>
      <c r="P1791" s="45">
        <f>IF(COUNTIFS($C:$C,$C1791,$D:$D,"P0(후)",$L:$L,"&gt;0")&lt;&gt;1,"",SUMIFS($H:$H,$C:$C,$C1791,$D:$D,"P0(후)"))</f>
        <v/>
      </c>
      <c r="Q1791" s="30">
        <f>IF(COUNTIFS($C:$C,$C1791,$D:$D,"P0(후)",$L:$L,"&gt;0")&lt;&gt;1,"",SUMIFS($L:$L,$C:$C,$C1791,$D:$D,"P0(후)"))</f>
        <v/>
      </c>
      <c r="R1791" s="30">
        <f>IF(M1791&lt;&gt;"OK","",O1791+(Q1791-O1791)*(H1791-N1791)/(P1791-N1791))</f>
        <v/>
      </c>
      <c r="S1791" s="30">
        <f>IF(OR(M1791&lt;&gt;"OK",NOT(ISNUMBER(L1791))),"",L1791-R1791)</f>
        <v/>
      </c>
      <c r="T1791" s="46">
        <f>IF(OR(NOT(ISNUMBER(S1791)),IF(ISNUMBER(G1791),G1791,F1791)=0),"",S1791/IF(ISNUMBER(G1791),G1791,F1791))</f>
        <v/>
      </c>
      <c r="U1791" s="46">
        <f>IF(ISNUMBER(T1791),ABS(T1791),"")</f>
        <v/>
      </c>
      <c r="V1791" s="46">
        <f>IF(OR($D1790&lt;&gt;"측정",$C1790&lt;&gt;$C1791,NOT(ISNUMBER(L1791)),NOT(ISNUMBER(L1790)),(IF(ISNUMBER(G1791),G1791,F1791)-IF(ISNUMBER(G1790),G1790,F1790))=0),"",(L1791-L1790)/(IF(ISNUMBER(G1791),G1791,F1791)-IF(ISNUMBER(G1790),G1790,F1790)))</f>
        <v/>
      </c>
      <c r="W1791" s="30">
        <f>IF(NOT(AND(ISNUMBER(N1791),ISNUMBER(P1791))),"",(P1791-N1791)*1440)</f>
        <v/>
      </c>
      <c r="X1791" s="28" t="n"/>
      <c r="Y1791" s="28" t="n"/>
      <c r="Z1791" s="28" t="n"/>
      <c r="AA1791" s="31" t="n"/>
      <c r="AB1791" s="31" t="n"/>
    </row>
    <row r="1792">
      <c r="A1792" s="25" t="inlineStr">
        <is>
          <t>S35</t>
        </is>
      </c>
      <c r="B1792" s="25" t="inlineStr">
        <is>
          <t>상주</t>
        </is>
      </c>
      <c r="C1792" s="25" t="inlineStr">
        <is>
          <t>S35-H서</t>
        </is>
      </c>
      <c r="D1792" s="25" t="inlineStr">
        <is>
          <t>측정</t>
        </is>
      </c>
      <c r="E1792" s="25" t="inlineStr">
        <is>
          <t>서</t>
        </is>
      </c>
      <c r="F1792" s="30" t="n">
        <v>5</v>
      </c>
      <c r="G1792" s="29" t="n"/>
      <c r="H1792" s="42" t="n"/>
      <c r="I1792" s="40" t="n"/>
      <c r="J1792" s="40" t="n"/>
      <c r="K1792" s="40" t="n"/>
      <c r="L1792" s="30">
        <f>IF(COUNT(I1792:K1792)=0,"",MEDIAN(I1792:K1792))</f>
        <v/>
      </c>
      <c r="M1792" s="25">
        <f>IF(COUNTIFS($C:$C,$C1792,$D:$D,"P0(전)",$L:$L,"&gt;0")&lt;&gt;1,"P0(전) 유효 1개 아님",IF(COUNTIFS($C:$C,$C1792,$D:$D,"P0(후)",$L:$L,"&gt;0")&lt;&gt;1,"P0(후) 유효 1개 아님",IF(NOT(AND(ISNUMBER(N1792),ISNUMBER(P1792),ISNUMBER(H1792))),"시각 결측",IF(P1792&lt;=N1792,"P0 시각 역전",IF(OR(H1792&lt;N1792,H1792&gt;P1792),"측정시각 구간 밖","OK")))))</f>
        <v/>
      </c>
      <c r="N1792" s="45">
        <f>IF(COUNTIFS($C:$C,$C1792,$D:$D,"P0(전)",$L:$L,"&gt;0")&lt;&gt;1,"",SUMIFS($H:$H,$C:$C,$C1792,$D:$D,"P0(전)"))</f>
        <v/>
      </c>
      <c r="O1792" s="30">
        <f>IF(COUNTIFS($C:$C,$C1792,$D:$D,"P0(전)",$L:$L,"&gt;0")&lt;&gt;1,"",SUMIFS($L:$L,$C:$C,$C1792,$D:$D,"P0(전)"))</f>
        <v/>
      </c>
      <c r="P1792" s="45">
        <f>IF(COUNTIFS($C:$C,$C1792,$D:$D,"P0(후)",$L:$L,"&gt;0")&lt;&gt;1,"",SUMIFS($H:$H,$C:$C,$C1792,$D:$D,"P0(후)"))</f>
        <v/>
      </c>
      <c r="Q1792" s="30">
        <f>IF(COUNTIFS($C:$C,$C1792,$D:$D,"P0(후)",$L:$L,"&gt;0")&lt;&gt;1,"",SUMIFS($L:$L,$C:$C,$C1792,$D:$D,"P0(후)"))</f>
        <v/>
      </c>
      <c r="R1792" s="30">
        <f>IF(M1792&lt;&gt;"OK","",O1792+(Q1792-O1792)*(H1792-N1792)/(P1792-N1792))</f>
        <v/>
      </c>
      <c r="S1792" s="30">
        <f>IF(OR(M1792&lt;&gt;"OK",NOT(ISNUMBER(L1792))),"",L1792-R1792)</f>
        <v/>
      </c>
      <c r="T1792" s="46">
        <f>IF(OR(NOT(ISNUMBER(S1792)),IF(ISNUMBER(G1792),G1792,F1792)=0),"",S1792/IF(ISNUMBER(G1792),G1792,F1792))</f>
        <v/>
      </c>
      <c r="U1792" s="46">
        <f>IF(ISNUMBER(T1792),ABS(T1792),"")</f>
        <v/>
      </c>
      <c r="V1792" s="46">
        <f>IF(OR($D1791&lt;&gt;"측정",$C1791&lt;&gt;$C1792,NOT(ISNUMBER(L1792)),NOT(ISNUMBER(L1791)),(IF(ISNUMBER(G1792),G1792,F1792)-IF(ISNUMBER(G1791),G1791,F1791))=0),"",(L1792-L1791)/(IF(ISNUMBER(G1792),G1792,F1792)-IF(ISNUMBER(G1791),G1791,F1791)))</f>
        <v/>
      </c>
      <c r="W1792" s="30">
        <f>IF(NOT(AND(ISNUMBER(N1792),ISNUMBER(P1792))),"",(P1792-N1792)*1440)</f>
        <v/>
      </c>
      <c r="X1792" s="28" t="n"/>
      <c r="Y1792" s="28" t="n"/>
      <c r="Z1792" s="28" t="n"/>
      <c r="AA1792" s="31" t="n"/>
      <c r="AB1792" s="31" t="n"/>
    </row>
    <row r="1793">
      <c r="A1793" s="25" t="inlineStr">
        <is>
          <t>S35</t>
        </is>
      </c>
      <c r="B1793" s="25" t="inlineStr">
        <is>
          <t>상주</t>
        </is>
      </c>
      <c r="C1793" s="25" t="inlineStr">
        <is>
          <t>S35-H서</t>
        </is>
      </c>
      <c r="D1793" s="25" t="inlineStr">
        <is>
          <t>측정</t>
        </is>
      </c>
      <c r="E1793" s="25" t="inlineStr">
        <is>
          <t>서</t>
        </is>
      </c>
      <c r="F1793" s="30" t="n">
        <v>6</v>
      </c>
      <c r="G1793" s="29" t="n"/>
      <c r="H1793" s="42" t="n"/>
      <c r="I1793" s="40" t="n"/>
      <c r="J1793" s="40" t="n"/>
      <c r="K1793" s="40" t="n"/>
      <c r="L1793" s="30">
        <f>IF(COUNT(I1793:K1793)=0,"",MEDIAN(I1793:K1793))</f>
        <v/>
      </c>
      <c r="M1793" s="25">
        <f>IF(COUNTIFS($C:$C,$C1793,$D:$D,"P0(전)",$L:$L,"&gt;0")&lt;&gt;1,"P0(전) 유효 1개 아님",IF(COUNTIFS($C:$C,$C1793,$D:$D,"P0(후)",$L:$L,"&gt;0")&lt;&gt;1,"P0(후) 유효 1개 아님",IF(NOT(AND(ISNUMBER(N1793),ISNUMBER(P1793),ISNUMBER(H1793))),"시각 결측",IF(P1793&lt;=N1793,"P0 시각 역전",IF(OR(H1793&lt;N1793,H1793&gt;P1793),"측정시각 구간 밖","OK")))))</f>
        <v/>
      </c>
      <c r="N1793" s="45">
        <f>IF(COUNTIFS($C:$C,$C1793,$D:$D,"P0(전)",$L:$L,"&gt;0")&lt;&gt;1,"",SUMIFS($H:$H,$C:$C,$C1793,$D:$D,"P0(전)"))</f>
        <v/>
      </c>
      <c r="O1793" s="30">
        <f>IF(COUNTIFS($C:$C,$C1793,$D:$D,"P0(전)",$L:$L,"&gt;0")&lt;&gt;1,"",SUMIFS($L:$L,$C:$C,$C1793,$D:$D,"P0(전)"))</f>
        <v/>
      </c>
      <c r="P1793" s="45">
        <f>IF(COUNTIFS($C:$C,$C1793,$D:$D,"P0(후)",$L:$L,"&gt;0")&lt;&gt;1,"",SUMIFS($H:$H,$C:$C,$C1793,$D:$D,"P0(후)"))</f>
        <v/>
      </c>
      <c r="Q1793" s="30">
        <f>IF(COUNTIFS($C:$C,$C1793,$D:$D,"P0(후)",$L:$L,"&gt;0")&lt;&gt;1,"",SUMIFS($L:$L,$C:$C,$C1793,$D:$D,"P0(후)"))</f>
        <v/>
      </c>
      <c r="R1793" s="30">
        <f>IF(M1793&lt;&gt;"OK","",O1793+(Q1793-O1793)*(H1793-N1793)/(P1793-N1793))</f>
        <v/>
      </c>
      <c r="S1793" s="30">
        <f>IF(OR(M1793&lt;&gt;"OK",NOT(ISNUMBER(L1793))),"",L1793-R1793)</f>
        <v/>
      </c>
      <c r="T1793" s="46">
        <f>IF(OR(NOT(ISNUMBER(S1793)),IF(ISNUMBER(G1793),G1793,F1793)=0),"",S1793/IF(ISNUMBER(G1793),G1793,F1793))</f>
        <v/>
      </c>
      <c r="U1793" s="46">
        <f>IF(ISNUMBER(T1793),ABS(T1793),"")</f>
        <v/>
      </c>
      <c r="V1793" s="46">
        <f>IF(OR($D1792&lt;&gt;"측정",$C1792&lt;&gt;$C1793,NOT(ISNUMBER(L1793)),NOT(ISNUMBER(L1792)),(IF(ISNUMBER(G1793),G1793,F1793)-IF(ISNUMBER(G1792),G1792,F1792))=0),"",(L1793-L1792)/(IF(ISNUMBER(G1793),G1793,F1793)-IF(ISNUMBER(G1792),G1792,F1792)))</f>
        <v/>
      </c>
      <c r="W1793" s="30">
        <f>IF(NOT(AND(ISNUMBER(N1793),ISNUMBER(P1793))),"",(P1793-N1793)*1440)</f>
        <v/>
      </c>
      <c r="X1793" s="28" t="n"/>
      <c r="Y1793" s="28" t="n"/>
      <c r="Z1793" s="28" t="n"/>
      <c r="AA1793" s="31" t="n"/>
      <c r="AB1793" s="31" t="n"/>
    </row>
    <row r="1794">
      <c r="A1794" s="25" t="inlineStr">
        <is>
          <t>S35</t>
        </is>
      </c>
      <c r="B1794" s="25" t="inlineStr">
        <is>
          <t>상주</t>
        </is>
      </c>
      <c r="C1794" s="25" t="inlineStr">
        <is>
          <t>S35-H서</t>
        </is>
      </c>
      <c r="D1794" s="25" t="inlineStr">
        <is>
          <t>측정</t>
        </is>
      </c>
      <c r="E1794" s="25" t="inlineStr">
        <is>
          <t>서</t>
        </is>
      </c>
      <c r="F1794" s="30" t="n">
        <v>7</v>
      </c>
      <c r="G1794" s="29" t="n"/>
      <c r="H1794" s="42" t="n"/>
      <c r="I1794" s="40" t="n"/>
      <c r="J1794" s="40" t="n"/>
      <c r="K1794" s="40" t="n"/>
      <c r="L1794" s="30">
        <f>IF(COUNT(I1794:K1794)=0,"",MEDIAN(I1794:K1794))</f>
        <v/>
      </c>
      <c r="M1794" s="25">
        <f>IF(COUNTIFS($C:$C,$C1794,$D:$D,"P0(전)",$L:$L,"&gt;0")&lt;&gt;1,"P0(전) 유효 1개 아님",IF(COUNTIFS($C:$C,$C1794,$D:$D,"P0(후)",$L:$L,"&gt;0")&lt;&gt;1,"P0(후) 유효 1개 아님",IF(NOT(AND(ISNUMBER(N1794),ISNUMBER(P1794),ISNUMBER(H1794))),"시각 결측",IF(P1794&lt;=N1794,"P0 시각 역전",IF(OR(H1794&lt;N1794,H1794&gt;P1794),"측정시각 구간 밖","OK")))))</f>
        <v/>
      </c>
      <c r="N1794" s="45">
        <f>IF(COUNTIFS($C:$C,$C1794,$D:$D,"P0(전)",$L:$L,"&gt;0")&lt;&gt;1,"",SUMIFS($H:$H,$C:$C,$C1794,$D:$D,"P0(전)"))</f>
        <v/>
      </c>
      <c r="O1794" s="30">
        <f>IF(COUNTIFS($C:$C,$C1794,$D:$D,"P0(전)",$L:$L,"&gt;0")&lt;&gt;1,"",SUMIFS($L:$L,$C:$C,$C1794,$D:$D,"P0(전)"))</f>
        <v/>
      </c>
      <c r="P1794" s="45">
        <f>IF(COUNTIFS($C:$C,$C1794,$D:$D,"P0(후)",$L:$L,"&gt;0")&lt;&gt;1,"",SUMIFS($H:$H,$C:$C,$C1794,$D:$D,"P0(후)"))</f>
        <v/>
      </c>
      <c r="Q1794" s="30">
        <f>IF(COUNTIFS($C:$C,$C1794,$D:$D,"P0(후)",$L:$L,"&gt;0")&lt;&gt;1,"",SUMIFS($L:$L,$C:$C,$C1794,$D:$D,"P0(후)"))</f>
        <v/>
      </c>
      <c r="R1794" s="30">
        <f>IF(M1794&lt;&gt;"OK","",O1794+(Q1794-O1794)*(H1794-N1794)/(P1794-N1794))</f>
        <v/>
      </c>
      <c r="S1794" s="30">
        <f>IF(OR(M1794&lt;&gt;"OK",NOT(ISNUMBER(L1794))),"",L1794-R1794)</f>
        <v/>
      </c>
      <c r="T1794" s="46">
        <f>IF(OR(NOT(ISNUMBER(S1794)),IF(ISNUMBER(G1794),G1794,F1794)=0),"",S1794/IF(ISNUMBER(G1794),G1794,F1794))</f>
        <v/>
      </c>
      <c r="U1794" s="46">
        <f>IF(ISNUMBER(T1794),ABS(T1794),"")</f>
        <v/>
      </c>
      <c r="V1794" s="46">
        <f>IF(OR($D1793&lt;&gt;"측정",$C1793&lt;&gt;$C1794,NOT(ISNUMBER(L1794)),NOT(ISNUMBER(L1793)),(IF(ISNUMBER(G1794),G1794,F1794)-IF(ISNUMBER(G1793),G1793,F1793))=0),"",(L1794-L1793)/(IF(ISNUMBER(G1794),G1794,F1794)-IF(ISNUMBER(G1793),G1793,F1793)))</f>
        <v/>
      </c>
      <c r="W1794" s="30">
        <f>IF(NOT(AND(ISNUMBER(N1794),ISNUMBER(P1794))),"",(P1794-N1794)*1440)</f>
        <v/>
      </c>
      <c r="X1794" s="28" t="n"/>
      <c r="Y1794" s="28" t="n"/>
      <c r="Z1794" s="28" t="n"/>
      <c r="AA1794" s="31" t="n"/>
      <c r="AB1794" s="31" t="n"/>
    </row>
    <row r="1795">
      <c r="A1795" s="25" t="inlineStr">
        <is>
          <t>S35</t>
        </is>
      </c>
      <c r="B1795" s="25" t="inlineStr">
        <is>
          <t>상주</t>
        </is>
      </c>
      <c r="C1795" s="25" t="inlineStr">
        <is>
          <t>S35-H서</t>
        </is>
      </c>
      <c r="D1795" s="25" t="inlineStr">
        <is>
          <t>측정</t>
        </is>
      </c>
      <c r="E1795" s="25" t="inlineStr">
        <is>
          <t>서</t>
        </is>
      </c>
      <c r="F1795" s="30" t="n">
        <v>8</v>
      </c>
      <c r="G1795" s="29" t="n"/>
      <c r="H1795" s="42" t="n"/>
      <c r="I1795" s="40" t="n"/>
      <c r="J1795" s="40" t="n"/>
      <c r="K1795" s="40" t="n"/>
      <c r="L1795" s="30">
        <f>IF(COUNT(I1795:K1795)=0,"",MEDIAN(I1795:K1795))</f>
        <v/>
      </c>
      <c r="M1795" s="25">
        <f>IF(COUNTIFS($C:$C,$C1795,$D:$D,"P0(전)",$L:$L,"&gt;0")&lt;&gt;1,"P0(전) 유효 1개 아님",IF(COUNTIFS($C:$C,$C1795,$D:$D,"P0(후)",$L:$L,"&gt;0")&lt;&gt;1,"P0(후) 유효 1개 아님",IF(NOT(AND(ISNUMBER(N1795),ISNUMBER(P1795),ISNUMBER(H1795))),"시각 결측",IF(P1795&lt;=N1795,"P0 시각 역전",IF(OR(H1795&lt;N1795,H1795&gt;P1795),"측정시각 구간 밖","OK")))))</f>
        <v/>
      </c>
      <c r="N1795" s="45">
        <f>IF(COUNTIFS($C:$C,$C1795,$D:$D,"P0(전)",$L:$L,"&gt;0")&lt;&gt;1,"",SUMIFS($H:$H,$C:$C,$C1795,$D:$D,"P0(전)"))</f>
        <v/>
      </c>
      <c r="O1795" s="30">
        <f>IF(COUNTIFS($C:$C,$C1795,$D:$D,"P0(전)",$L:$L,"&gt;0")&lt;&gt;1,"",SUMIFS($L:$L,$C:$C,$C1795,$D:$D,"P0(전)"))</f>
        <v/>
      </c>
      <c r="P1795" s="45">
        <f>IF(COUNTIFS($C:$C,$C1795,$D:$D,"P0(후)",$L:$L,"&gt;0")&lt;&gt;1,"",SUMIFS($H:$H,$C:$C,$C1795,$D:$D,"P0(후)"))</f>
        <v/>
      </c>
      <c r="Q1795" s="30">
        <f>IF(COUNTIFS($C:$C,$C1795,$D:$D,"P0(후)",$L:$L,"&gt;0")&lt;&gt;1,"",SUMIFS($L:$L,$C:$C,$C1795,$D:$D,"P0(후)"))</f>
        <v/>
      </c>
      <c r="R1795" s="30">
        <f>IF(M1795&lt;&gt;"OK","",O1795+(Q1795-O1795)*(H1795-N1795)/(P1795-N1795))</f>
        <v/>
      </c>
      <c r="S1795" s="30">
        <f>IF(OR(M1795&lt;&gt;"OK",NOT(ISNUMBER(L1795))),"",L1795-R1795)</f>
        <v/>
      </c>
      <c r="T1795" s="46">
        <f>IF(OR(NOT(ISNUMBER(S1795)),IF(ISNUMBER(G1795),G1795,F1795)=0),"",S1795/IF(ISNUMBER(G1795),G1795,F1795))</f>
        <v/>
      </c>
      <c r="U1795" s="46">
        <f>IF(ISNUMBER(T1795),ABS(T1795),"")</f>
        <v/>
      </c>
      <c r="V1795" s="46">
        <f>IF(OR($D1794&lt;&gt;"측정",$C1794&lt;&gt;$C1795,NOT(ISNUMBER(L1795)),NOT(ISNUMBER(L1794)),(IF(ISNUMBER(G1795),G1795,F1795)-IF(ISNUMBER(G1794),G1794,F1794))=0),"",(L1795-L1794)/(IF(ISNUMBER(G1795),G1795,F1795)-IF(ISNUMBER(G1794),G1794,F1794)))</f>
        <v/>
      </c>
      <c r="W1795" s="30">
        <f>IF(NOT(AND(ISNUMBER(N1795),ISNUMBER(P1795))),"",(P1795-N1795)*1440)</f>
        <v/>
      </c>
      <c r="X1795" s="28" t="n"/>
      <c r="Y1795" s="28" t="n"/>
      <c r="Z1795" s="28" t="n"/>
      <c r="AA1795" s="31" t="n"/>
      <c r="AB1795" s="31" t="n"/>
    </row>
    <row r="1796">
      <c r="A1796" s="25" t="inlineStr">
        <is>
          <t>S35</t>
        </is>
      </c>
      <c r="B1796" s="25" t="inlineStr">
        <is>
          <t>상주</t>
        </is>
      </c>
      <c r="C1796" s="25" t="inlineStr">
        <is>
          <t>S35-H서</t>
        </is>
      </c>
      <c r="D1796" s="25" t="inlineStr">
        <is>
          <t>측정</t>
        </is>
      </c>
      <c r="E1796" s="25" t="inlineStr">
        <is>
          <t>서</t>
        </is>
      </c>
      <c r="F1796" s="30" t="n">
        <v>9</v>
      </c>
      <c r="G1796" s="29" t="n"/>
      <c r="H1796" s="42" t="n"/>
      <c r="I1796" s="40" t="n"/>
      <c r="J1796" s="40" t="n"/>
      <c r="K1796" s="40" t="n"/>
      <c r="L1796" s="30">
        <f>IF(COUNT(I1796:K1796)=0,"",MEDIAN(I1796:K1796))</f>
        <v/>
      </c>
      <c r="M1796" s="25">
        <f>IF(COUNTIFS($C:$C,$C1796,$D:$D,"P0(전)",$L:$L,"&gt;0")&lt;&gt;1,"P0(전) 유효 1개 아님",IF(COUNTIFS($C:$C,$C1796,$D:$D,"P0(후)",$L:$L,"&gt;0")&lt;&gt;1,"P0(후) 유효 1개 아님",IF(NOT(AND(ISNUMBER(N1796),ISNUMBER(P1796),ISNUMBER(H1796))),"시각 결측",IF(P1796&lt;=N1796,"P0 시각 역전",IF(OR(H1796&lt;N1796,H1796&gt;P1796),"측정시각 구간 밖","OK")))))</f>
        <v/>
      </c>
      <c r="N1796" s="45">
        <f>IF(COUNTIFS($C:$C,$C1796,$D:$D,"P0(전)",$L:$L,"&gt;0")&lt;&gt;1,"",SUMIFS($H:$H,$C:$C,$C1796,$D:$D,"P0(전)"))</f>
        <v/>
      </c>
      <c r="O1796" s="30">
        <f>IF(COUNTIFS($C:$C,$C1796,$D:$D,"P0(전)",$L:$L,"&gt;0")&lt;&gt;1,"",SUMIFS($L:$L,$C:$C,$C1796,$D:$D,"P0(전)"))</f>
        <v/>
      </c>
      <c r="P1796" s="45">
        <f>IF(COUNTIFS($C:$C,$C1796,$D:$D,"P0(후)",$L:$L,"&gt;0")&lt;&gt;1,"",SUMIFS($H:$H,$C:$C,$C1796,$D:$D,"P0(후)"))</f>
        <v/>
      </c>
      <c r="Q1796" s="30">
        <f>IF(COUNTIFS($C:$C,$C1796,$D:$D,"P0(후)",$L:$L,"&gt;0")&lt;&gt;1,"",SUMIFS($L:$L,$C:$C,$C1796,$D:$D,"P0(후)"))</f>
        <v/>
      </c>
      <c r="R1796" s="30">
        <f>IF(M1796&lt;&gt;"OK","",O1796+(Q1796-O1796)*(H1796-N1796)/(P1796-N1796))</f>
        <v/>
      </c>
      <c r="S1796" s="30">
        <f>IF(OR(M1796&lt;&gt;"OK",NOT(ISNUMBER(L1796))),"",L1796-R1796)</f>
        <v/>
      </c>
      <c r="T1796" s="46">
        <f>IF(OR(NOT(ISNUMBER(S1796)),IF(ISNUMBER(G1796),G1796,F1796)=0),"",S1796/IF(ISNUMBER(G1796),G1796,F1796))</f>
        <v/>
      </c>
      <c r="U1796" s="46">
        <f>IF(ISNUMBER(T1796),ABS(T1796),"")</f>
        <v/>
      </c>
      <c r="V1796" s="46">
        <f>IF(OR($D1795&lt;&gt;"측정",$C1795&lt;&gt;$C1796,NOT(ISNUMBER(L1796)),NOT(ISNUMBER(L1795)),(IF(ISNUMBER(G1796),G1796,F1796)-IF(ISNUMBER(G1795),G1795,F1795))=0),"",(L1796-L1795)/(IF(ISNUMBER(G1796),G1796,F1796)-IF(ISNUMBER(G1795),G1795,F1795)))</f>
        <v/>
      </c>
      <c r="W1796" s="30">
        <f>IF(NOT(AND(ISNUMBER(N1796),ISNUMBER(P1796))),"",(P1796-N1796)*1440)</f>
        <v/>
      </c>
      <c r="X1796" s="28" t="n"/>
      <c r="Y1796" s="28" t="n"/>
      <c r="Z1796" s="28" t="n"/>
      <c r="AA1796" s="31" t="n"/>
      <c r="AB1796" s="31" t="n"/>
    </row>
    <row r="1797">
      <c r="A1797" s="25" t="inlineStr">
        <is>
          <t>S35</t>
        </is>
      </c>
      <c r="B1797" s="25" t="inlineStr">
        <is>
          <t>상주</t>
        </is>
      </c>
      <c r="C1797" s="25" t="inlineStr">
        <is>
          <t>S35-H서</t>
        </is>
      </c>
      <c r="D1797" s="25" t="inlineStr">
        <is>
          <t>측정</t>
        </is>
      </c>
      <c r="E1797" s="25" t="inlineStr">
        <is>
          <t>서</t>
        </is>
      </c>
      <c r="F1797" s="30" t="n">
        <v>10</v>
      </c>
      <c r="G1797" s="29" t="n"/>
      <c r="H1797" s="42" t="n"/>
      <c r="I1797" s="40" t="n"/>
      <c r="J1797" s="40" t="n"/>
      <c r="K1797" s="40" t="n"/>
      <c r="L1797" s="30">
        <f>IF(COUNT(I1797:K1797)=0,"",MEDIAN(I1797:K1797))</f>
        <v/>
      </c>
      <c r="M1797" s="25">
        <f>IF(COUNTIFS($C:$C,$C1797,$D:$D,"P0(전)",$L:$L,"&gt;0")&lt;&gt;1,"P0(전) 유효 1개 아님",IF(COUNTIFS($C:$C,$C1797,$D:$D,"P0(후)",$L:$L,"&gt;0")&lt;&gt;1,"P0(후) 유효 1개 아님",IF(NOT(AND(ISNUMBER(N1797),ISNUMBER(P1797),ISNUMBER(H1797))),"시각 결측",IF(P1797&lt;=N1797,"P0 시각 역전",IF(OR(H1797&lt;N1797,H1797&gt;P1797),"측정시각 구간 밖","OK")))))</f>
        <v/>
      </c>
      <c r="N1797" s="45">
        <f>IF(COUNTIFS($C:$C,$C1797,$D:$D,"P0(전)",$L:$L,"&gt;0")&lt;&gt;1,"",SUMIFS($H:$H,$C:$C,$C1797,$D:$D,"P0(전)"))</f>
        <v/>
      </c>
      <c r="O1797" s="30">
        <f>IF(COUNTIFS($C:$C,$C1797,$D:$D,"P0(전)",$L:$L,"&gt;0")&lt;&gt;1,"",SUMIFS($L:$L,$C:$C,$C1797,$D:$D,"P0(전)"))</f>
        <v/>
      </c>
      <c r="P1797" s="45">
        <f>IF(COUNTIFS($C:$C,$C1797,$D:$D,"P0(후)",$L:$L,"&gt;0")&lt;&gt;1,"",SUMIFS($H:$H,$C:$C,$C1797,$D:$D,"P0(후)"))</f>
        <v/>
      </c>
      <c r="Q1797" s="30">
        <f>IF(COUNTIFS($C:$C,$C1797,$D:$D,"P0(후)",$L:$L,"&gt;0")&lt;&gt;1,"",SUMIFS($L:$L,$C:$C,$C1797,$D:$D,"P0(후)"))</f>
        <v/>
      </c>
      <c r="R1797" s="30">
        <f>IF(M1797&lt;&gt;"OK","",O1797+(Q1797-O1797)*(H1797-N1797)/(P1797-N1797))</f>
        <v/>
      </c>
      <c r="S1797" s="30">
        <f>IF(OR(M1797&lt;&gt;"OK",NOT(ISNUMBER(L1797))),"",L1797-R1797)</f>
        <v/>
      </c>
      <c r="T1797" s="46">
        <f>IF(OR(NOT(ISNUMBER(S1797)),IF(ISNUMBER(G1797),G1797,F1797)=0),"",S1797/IF(ISNUMBER(G1797),G1797,F1797))</f>
        <v/>
      </c>
      <c r="U1797" s="46">
        <f>IF(ISNUMBER(T1797),ABS(T1797),"")</f>
        <v/>
      </c>
      <c r="V1797" s="46">
        <f>IF(OR($D1796&lt;&gt;"측정",$C1796&lt;&gt;$C1797,NOT(ISNUMBER(L1797)),NOT(ISNUMBER(L1796)),(IF(ISNUMBER(G1797),G1797,F1797)-IF(ISNUMBER(G1796),G1796,F1796))=0),"",(L1797-L1796)/(IF(ISNUMBER(G1797),G1797,F1797)-IF(ISNUMBER(G1796),G1796,F1796)))</f>
        <v/>
      </c>
      <c r="W1797" s="30">
        <f>IF(NOT(AND(ISNUMBER(N1797),ISNUMBER(P1797))),"",(P1797-N1797)*1440)</f>
        <v/>
      </c>
      <c r="X1797" s="28" t="n"/>
      <c r="Y1797" s="28" t="n"/>
      <c r="Z1797" s="28" t="n"/>
      <c r="AA1797" s="31" t="n"/>
      <c r="AB1797" s="31" t="n"/>
    </row>
    <row r="1798">
      <c r="A1798" s="43" t="inlineStr">
        <is>
          <t>S35</t>
        </is>
      </c>
      <c r="B1798" s="43" t="inlineStr">
        <is>
          <t>상주</t>
        </is>
      </c>
      <c r="C1798" s="43" t="inlineStr">
        <is>
          <t>S35-H서</t>
        </is>
      </c>
      <c r="D1798" s="43" t="inlineStr">
        <is>
          <t>P0(후)</t>
        </is>
      </c>
      <c r="E1798" s="43" t="inlineStr">
        <is>
          <t>서</t>
        </is>
      </c>
      <c r="F1798" s="44" t="n"/>
      <c r="G1798" s="29" t="n"/>
      <c r="H1798" s="42" t="n"/>
      <c r="I1798" s="40" t="n"/>
      <c r="J1798" s="40" t="n"/>
      <c r="K1798" s="40" t="n"/>
      <c r="L1798" s="30">
        <f>IF(COUNT(I1798:K1798)=0,"",MEDIAN(I1798:K1798))</f>
        <v/>
      </c>
      <c r="M1798" s="37" t="n"/>
      <c r="N1798" s="37" t="n"/>
      <c r="O1798" s="37" t="n"/>
      <c r="P1798" s="37" t="n"/>
      <c r="Q1798" s="37" t="n"/>
      <c r="R1798" s="37" t="n"/>
      <c r="S1798" s="37" t="n"/>
      <c r="T1798" s="37" t="n"/>
      <c r="U1798" s="37" t="n"/>
      <c r="V1798" s="37" t="n"/>
      <c r="W1798" s="37" t="n"/>
      <c r="X1798" s="28" t="n"/>
      <c r="Y1798" s="28" t="n"/>
      <c r="Z1798" s="28" t="n"/>
      <c r="AA1798" s="31" t="n"/>
      <c r="AB1798" s="31" t="n"/>
    </row>
    <row r="1799">
      <c r="A1799" s="43" t="inlineStr">
        <is>
          <t>S35</t>
        </is>
      </c>
      <c r="B1799" s="43" t="inlineStr">
        <is>
          <t>상주</t>
        </is>
      </c>
      <c r="C1799" s="43" t="inlineStr">
        <is>
          <t>S35-H남</t>
        </is>
      </c>
      <c r="D1799" s="43" t="inlineStr">
        <is>
          <t>P0(전)</t>
        </is>
      </c>
      <c r="E1799" s="43" t="inlineStr">
        <is>
          <t>남</t>
        </is>
      </c>
      <c r="F1799" s="44" t="n"/>
      <c r="G1799" s="29" t="n"/>
      <c r="H1799" s="42" t="n"/>
      <c r="I1799" s="40" t="n"/>
      <c r="J1799" s="40" t="n"/>
      <c r="K1799" s="40" t="n"/>
      <c r="L1799" s="30">
        <f>IF(COUNT(I1799:K1799)=0,"",MEDIAN(I1799:K1799))</f>
        <v/>
      </c>
      <c r="M1799" s="37" t="n"/>
      <c r="N1799" s="37" t="n"/>
      <c r="O1799" s="37" t="n"/>
      <c r="P1799" s="37" t="n"/>
      <c r="Q1799" s="37" t="n"/>
      <c r="R1799" s="37" t="n"/>
      <c r="S1799" s="37" t="n"/>
      <c r="T1799" s="37" t="n"/>
      <c r="U1799" s="37" t="n"/>
      <c r="V1799" s="37" t="n"/>
      <c r="W1799" s="37" t="n"/>
      <c r="X1799" s="28" t="n"/>
      <c r="Y1799" s="28" t="n"/>
      <c r="Z1799" s="28" t="n"/>
      <c r="AA1799" s="31" t="n"/>
      <c r="AB1799" s="31" t="n"/>
    </row>
    <row r="1800">
      <c r="A1800" s="25" t="inlineStr">
        <is>
          <t>S35</t>
        </is>
      </c>
      <c r="B1800" s="25" t="inlineStr">
        <is>
          <t>상주</t>
        </is>
      </c>
      <c r="C1800" s="25" t="inlineStr">
        <is>
          <t>S35-H남</t>
        </is>
      </c>
      <c r="D1800" s="25" t="inlineStr">
        <is>
          <t>측정</t>
        </is>
      </c>
      <c r="E1800" s="25" t="inlineStr">
        <is>
          <t>남</t>
        </is>
      </c>
      <c r="F1800" s="30" t="n">
        <v>0.5</v>
      </c>
      <c r="G1800" s="29" t="n"/>
      <c r="H1800" s="42" t="n"/>
      <c r="I1800" s="40" t="n"/>
      <c r="J1800" s="40" t="n"/>
      <c r="K1800" s="40" t="n"/>
      <c r="L1800" s="30">
        <f>IF(COUNT(I1800:K1800)=0,"",MEDIAN(I1800:K1800))</f>
        <v/>
      </c>
      <c r="M1800" s="25">
        <f>IF(COUNTIFS($C:$C,$C1800,$D:$D,"P0(전)",$L:$L,"&gt;0")&lt;&gt;1,"P0(전) 유효 1개 아님",IF(COUNTIFS($C:$C,$C1800,$D:$D,"P0(후)",$L:$L,"&gt;0")&lt;&gt;1,"P0(후) 유효 1개 아님",IF(NOT(AND(ISNUMBER(N1800),ISNUMBER(P1800),ISNUMBER(H1800))),"시각 결측",IF(P1800&lt;=N1800,"P0 시각 역전",IF(OR(H1800&lt;N1800,H1800&gt;P1800),"측정시각 구간 밖","OK")))))</f>
        <v/>
      </c>
      <c r="N1800" s="45">
        <f>IF(COUNTIFS($C:$C,$C1800,$D:$D,"P0(전)",$L:$L,"&gt;0")&lt;&gt;1,"",SUMIFS($H:$H,$C:$C,$C1800,$D:$D,"P0(전)"))</f>
        <v/>
      </c>
      <c r="O1800" s="30">
        <f>IF(COUNTIFS($C:$C,$C1800,$D:$D,"P0(전)",$L:$L,"&gt;0")&lt;&gt;1,"",SUMIFS($L:$L,$C:$C,$C1800,$D:$D,"P0(전)"))</f>
        <v/>
      </c>
      <c r="P1800" s="45">
        <f>IF(COUNTIFS($C:$C,$C1800,$D:$D,"P0(후)",$L:$L,"&gt;0")&lt;&gt;1,"",SUMIFS($H:$H,$C:$C,$C1800,$D:$D,"P0(후)"))</f>
        <v/>
      </c>
      <c r="Q1800" s="30">
        <f>IF(COUNTIFS($C:$C,$C1800,$D:$D,"P0(후)",$L:$L,"&gt;0")&lt;&gt;1,"",SUMIFS($L:$L,$C:$C,$C1800,$D:$D,"P0(후)"))</f>
        <v/>
      </c>
      <c r="R1800" s="30">
        <f>IF(M1800&lt;&gt;"OK","",O1800+(Q1800-O1800)*(H1800-N1800)/(P1800-N1800))</f>
        <v/>
      </c>
      <c r="S1800" s="30">
        <f>IF(OR(M1800&lt;&gt;"OK",NOT(ISNUMBER(L1800))),"",L1800-R1800)</f>
        <v/>
      </c>
      <c r="T1800" s="46">
        <f>IF(OR(NOT(ISNUMBER(S1800)),IF(ISNUMBER(G1800),G1800,F1800)=0),"",S1800/IF(ISNUMBER(G1800),G1800,F1800))</f>
        <v/>
      </c>
      <c r="U1800" s="46">
        <f>IF(ISNUMBER(T1800),ABS(T1800),"")</f>
        <v/>
      </c>
      <c r="V1800" s="46">
        <f>IF(OR($D1799&lt;&gt;"측정",$C1799&lt;&gt;$C1800,NOT(ISNUMBER(L1800)),NOT(ISNUMBER(L1799)),(IF(ISNUMBER(G1800),G1800,F1800)-IF(ISNUMBER(G1799),G1799,F1799))=0),"",(L1800-L1799)/(IF(ISNUMBER(G1800),G1800,F1800)-IF(ISNUMBER(G1799),G1799,F1799)))</f>
        <v/>
      </c>
      <c r="W1800" s="30">
        <f>IF(NOT(AND(ISNUMBER(N1800),ISNUMBER(P1800))),"",(P1800-N1800)*1440)</f>
        <v/>
      </c>
      <c r="X1800" s="28" t="n"/>
      <c r="Y1800" s="28" t="n"/>
      <c r="Z1800" s="28" t="n"/>
      <c r="AA1800" s="31" t="n"/>
      <c r="AB1800" s="31" t="n"/>
    </row>
    <row r="1801">
      <c r="A1801" s="25" t="inlineStr">
        <is>
          <t>S35</t>
        </is>
      </c>
      <c r="B1801" s="25" t="inlineStr">
        <is>
          <t>상주</t>
        </is>
      </c>
      <c r="C1801" s="25" t="inlineStr">
        <is>
          <t>S35-H남</t>
        </is>
      </c>
      <c r="D1801" s="25" t="inlineStr">
        <is>
          <t>측정</t>
        </is>
      </c>
      <c r="E1801" s="25" t="inlineStr">
        <is>
          <t>남</t>
        </is>
      </c>
      <c r="F1801" s="30" t="n">
        <v>1</v>
      </c>
      <c r="G1801" s="29" t="n"/>
      <c r="H1801" s="42" t="n"/>
      <c r="I1801" s="40" t="n"/>
      <c r="J1801" s="40" t="n"/>
      <c r="K1801" s="40" t="n"/>
      <c r="L1801" s="30">
        <f>IF(COUNT(I1801:K1801)=0,"",MEDIAN(I1801:K1801))</f>
        <v/>
      </c>
      <c r="M1801" s="25">
        <f>IF(COUNTIFS($C:$C,$C1801,$D:$D,"P0(전)",$L:$L,"&gt;0")&lt;&gt;1,"P0(전) 유효 1개 아님",IF(COUNTIFS($C:$C,$C1801,$D:$D,"P0(후)",$L:$L,"&gt;0")&lt;&gt;1,"P0(후) 유효 1개 아님",IF(NOT(AND(ISNUMBER(N1801),ISNUMBER(P1801),ISNUMBER(H1801))),"시각 결측",IF(P1801&lt;=N1801,"P0 시각 역전",IF(OR(H1801&lt;N1801,H1801&gt;P1801),"측정시각 구간 밖","OK")))))</f>
        <v/>
      </c>
      <c r="N1801" s="45">
        <f>IF(COUNTIFS($C:$C,$C1801,$D:$D,"P0(전)",$L:$L,"&gt;0")&lt;&gt;1,"",SUMIFS($H:$H,$C:$C,$C1801,$D:$D,"P0(전)"))</f>
        <v/>
      </c>
      <c r="O1801" s="30">
        <f>IF(COUNTIFS($C:$C,$C1801,$D:$D,"P0(전)",$L:$L,"&gt;0")&lt;&gt;1,"",SUMIFS($L:$L,$C:$C,$C1801,$D:$D,"P0(전)"))</f>
        <v/>
      </c>
      <c r="P1801" s="45">
        <f>IF(COUNTIFS($C:$C,$C1801,$D:$D,"P0(후)",$L:$L,"&gt;0")&lt;&gt;1,"",SUMIFS($H:$H,$C:$C,$C1801,$D:$D,"P0(후)"))</f>
        <v/>
      </c>
      <c r="Q1801" s="30">
        <f>IF(COUNTIFS($C:$C,$C1801,$D:$D,"P0(후)",$L:$L,"&gt;0")&lt;&gt;1,"",SUMIFS($L:$L,$C:$C,$C1801,$D:$D,"P0(후)"))</f>
        <v/>
      </c>
      <c r="R1801" s="30">
        <f>IF(M1801&lt;&gt;"OK","",O1801+(Q1801-O1801)*(H1801-N1801)/(P1801-N1801))</f>
        <v/>
      </c>
      <c r="S1801" s="30">
        <f>IF(OR(M1801&lt;&gt;"OK",NOT(ISNUMBER(L1801))),"",L1801-R1801)</f>
        <v/>
      </c>
      <c r="T1801" s="46">
        <f>IF(OR(NOT(ISNUMBER(S1801)),IF(ISNUMBER(G1801),G1801,F1801)=0),"",S1801/IF(ISNUMBER(G1801),G1801,F1801))</f>
        <v/>
      </c>
      <c r="U1801" s="46">
        <f>IF(ISNUMBER(T1801),ABS(T1801),"")</f>
        <v/>
      </c>
      <c r="V1801" s="46">
        <f>IF(OR($D1800&lt;&gt;"측정",$C1800&lt;&gt;$C1801,NOT(ISNUMBER(L1801)),NOT(ISNUMBER(L1800)),(IF(ISNUMBER(G1801),G1801,F1801)-IF(ISNUMBER(G1800),G1800,F1800))=0),"",(L1801-L1800)/(IF(ISNUMBER(G1801),G1801,F1801)-IF(ISNUMBER(G1800),G1800,F1800)))</f>
        <v/>
      </c>
      <c r="W1801" s="30">
        <f>IF(NOT(AND(ISNUMBER(N1801),ISNUMBER(P1801))),"",(P1801-N1801)*1440)</f>
        <v/>
      </c>
      <c r="X1801" s="28" t="n"/>
      <c r="Y1801" s="28" t="n"/>
      <c r="Z1801" s="28" t="n"/>
      <c r="AA1801" s="31" t="n"/>
      <c r="AB1801" s="31" t="n"/>
    </row>
    <row r="1802">
      <c r="A1802" s="25" t="inlineStr">
        <is>
          <t>S35</t>
        </is>
      </c>
      <c r="B1802" s="25" t="inlineStr">
        <is>
          <t>상주</t>
        </is>
      </c>
      <c r="C1802" s="25" t="inlineStr">
        <is>
          <t>S35-H남</t>
        </is>
      </c>
      <c r="D1802" s="25" t="inlineStr">
        <is>
          <t>측정</t>
        </is>
      </c>
      <c r="E1802" s="25" t="inlineStr">
        <is>
          <t>남</t>
        </is>
      </c>
      <c r="F1802" s="30" t="n">
        <v>2</v>
      </c>
      <c r="G1802" s="29" t="n"/>
      <c r="H1802" s="42" t="n"/>
      <c r="I1802" s="40" t="n"/>
      <c r="J1802" s="40" t="n"/>
      <c r="K1802" s="40" t="n"/>
      <c r="L1802" s="30">
        <f>IF(COUNT(I1802:K1802)=0,"",MEDIAN(I1802:K1802))</f>
        <v/>
      </c>
      <c r="M1802" s="25">
        <f>IF(COUNTIFS($C:$C,$C1802,$D:$D,"P0(전)",$L:$L,"&gt;0")&lt;&gt;1,"P0(전) 유효 1개 아님",IF(COUNTIFS($C:$C,$C1802,$D:$D,"P0(후)",$L:$L,"&gt;0")&lt;&gt;1,"P0(후) 유효 1개 아님",IF(NOT(AND(ISNUMBER(N1802),ISNUMBER(P1802),ISNUMBER(H1802))),"시각 결측",IF(P1802&lt;=N1802,"P0 시각 역전",IF(OR(H1802&lt;N1802,H1802&gt;P1802),"측정시각 구간 밖","OK")))))</f>
        <v/>
      </c>
      <c r="N1802" s="45">
        <f>IF(COUNTIFS($C:$C,$C1802,$D:$D,"P0(전)",$L:$L,"&gt;0")&lt;&gt;1,"",SUMIFS($H:$H,$C:$C,$C1802,$D:$D,"P0(전)"))</f>
        <v/>
      </c>
      <c r="O1802" s="30">
        <f>IF(COUNTIFS($C:$C,$C1802,$D:$D,"P0(전)",$L:$L,"&gt;0")&lt;&gt;1,"",SUMIFS($L:$L,$C:$C,$C1802,$D:$D,"P0(전)"))</f>
        <v/>
      </c>
      <c r="P1802" s="45">
        <f>IF(COUNTIFS($C:$C,$C1802,$D:$D,"P0(후)",$L:$L,"&gt;0")&lt;&gt;1,"",SUMIFS($H:$H,$C:$C,$C1802,$D:$D,"P0(후)"))</f>
        <v/>
      </c>
      <c r="Q1802" s="30">
        <f>IF(COUNTIFS($C:$C,$C1802,$D:$D,"P0(후)",$L:$L,"&gt;0")&lt;&gt;1,"",SUMIFS($L:$L,$C:$C,$C1802,$D:$D,"P0(후)"))</f>
        <v/>
      </c>
      <c r="R1802" s="30">
        <f>IF(M1802&lt;&gt;"OK","",O1802+(Q1802-O1802)*(H1802-N1802)/(P1802-N1802))</f>
        <v/>
      </c>
      <c r="S1802" s="30">
        <f>IF(OR(M1802&lt;&gt;"OK",NOT(ISNUMBER(L1802))),"",L1802-R1802)</f>
        <v/>
      </c>
      <c r="T1802" s="46">
        <f>IF(OR(NOT(ISNUMBER(S1802)),IF(ISNUMBER(G1802),G1802,F1802)=0),"",S1802/IF(ISNUMBER(G1802),G1802,F1802))</f>
        <v/>
      </c>
      <c r="U1802" s="46">
        <f>IF(ISNUMBER(T1802),ABS(T1802),"")</f>
        <v/>
      </c>
      <c r="V1802" s="46">
        <f>IF(OR($D1801&lt;&gt;"측정",$C1801&lt;&gt;$C1802,NOT(ISNUMBER(L1802)),NOT(ISNUMBER(L1801)),(IF(ISNUMBER(G1802),G1802,F1802)-IF(ISNUMBER(G1801),G1801,F1801))=0),"",(L1802-L1801)/(IF(ISNUMBER(G1802),G1802,F1802)-IF(ISNUMBER(G1801),G1801,F1801)))</f>
        <v/>
      </c>
      <c r="W1802" s="30">
        <f>IF(NOT(AND(ISNUMBER(N1802),ISNUMBER(P1802))),"",(P1802-N1802)*1440)</f>
        <v/>
      </c>
      <c r="X1802" s="28" t="n"/>
      <c r="Y1802" s="28" t="n"/>
      <c r="Z1802" s="28" t="n"/>
      <c r="AA1802" s="31" t="n"/>
      <c r="AB1802" s="31" t="n"/>
    </row>
    <row r="1803">
      <c r="A1803" s="25" t="inlineStr">
        <is>
          <t>S35</t>
        </is>
      </c>
      <c r="B1803" s="25" t="inlineStr">
        <is>
          <t>상주</t>
        </is>
      </c>
      <c r="C1803" s="25" t="inlineStr">
        <is>
          <t>S35-H남</t>
        </is>
      </c>
      <c r="D1803" s="25" t="inlineStr">
        <is>
          <t>측정</t>
        </is>
      </c>
      <c r="E1803" s="25" t="inlineStr">
        <is>
          <t>남</t>
        </is>
      </c>
      <c r="F1803" s="30" t="n">
        <v>3</v>
      </c>
      <c r="G1803" s="29" t="n"/>
      <c r="H1803" s="42" t="n"/>
      <c r="I1803" s="40" t="n"/>
      <c r="J1803" s="40" t="n"/>
      <c r="K1803" s="40" t="n"/>
      <c r="L1803" s="30">
        <f>IF(COUNT(I1803:K1803)=0,"",MEDIAN(I1803:K1803))</f>
        <v/>
      </c>
      <c r="M1803" s="25">
        <f>IF(COUNTIFS($C:$C,$C1803,$D:$D,"P0(전)",$L:$L,"&gt;0")&lt;&gt;1,"P0(전) 유효 1개 아님",IF(COUNTIFS($C:$C,$C1803,$D:$D,"P0(후)",$L:$L,"&gt;0")&lt;&gt;1,"P0(후) 유효 1개 아님",IF(NOT(AND(ISNUMBER(N1803),ISNUMBER(P1803),ISNUMBER(H1803))),"시각 결측",IF(P1803&lt;=N1803,"P0 시각 역전",IF(OR(H1803&lt;N1803,H1803&gt;P1803),"측정시각 구간 밖","OK")))))</f>
        <v/>
      </c>
      <c r="N1803" s="45">
        <f>IF(COUNTIFS($C:$C,$C1803,$D:$D,"P0(전)",$L:$L,"&gt;0")&lt;&gt;1,"",SUMIFS($H:$H,$C:$C,$C1803,$D:$D,"P0(전)"))</f>
        <v/>
      </c>
      <c r="O1803" s="30">
        <f>IF(COUNTIFS($C:$C,$C1803,$D:$D,"P0(전)",$L:$L,"&gt;0")&lt;&gt;1,"",SUMIFS($L:$L,$C:$C,$C1803,$D:$D,"P0(전)"))</f>
        <v/>
      </c>
      <c r="P1803" s="45">
        <f>IF(COUNTIFS($C:$C,$C1803,$D:$D,"P0(후)",$L:$L,"&gt;0")&lt;&gt;1,"",SUMIFS($H:$H,$C:$C,$C1803,$D:$D,"P0(후)"))</f>
        <v/>
      </c>
      <c r="Q1803" s="30">
        <f>IF(COUNTIFS($C:$C,$C1803,$D:$D,"P0(후)",$L:$L,"&gt;0")&lt;&gt;1,"",SUMIFS($L:$L,$C:$C,$C1803,$D:$D,"P0(후)"))</f>
        <v/>
      </c>
      <c r="R1803" s="30">
        <f>IF(M1803&lt;&gt;"OK","",O1803+(Q1803-O1803)*(H1803-N1803)/(P1803-N1803))</f>
        <v/>
      </c>
      <c r="S1803" s="30">
        <f>IF(OR(M1803&lt;&gt;"OK",NOT(ISNUMBER(L1803))),"",L1803-R1803)</f>
        <v/>
      </c>
      <c r="T1803" s="46">
        <f>IF(OR(NOT(ISNUMBER(S1803)),IF(ISNUMBER(G1803),G1803,F1803)=0),"",S1803/IF(ISNUMBER(G1803),G1803,F1803))</f>
        <v/>
      </c>
      <c r="U1803" s="46">
        <f>IF(ISNUMBER(T1803),ABS(T1803),"")</f>
        <v/>
      </c>
      <c r="V1803" s="46">
        <f>IF(OR($D1802&lt;&gt;"측정",$C1802&lt;&gt;$C1803,NOT(ISNUMBER(L1803)),NOT(ISNUMBER(L1802)),(IF(ISNUMBER(G1803),G1803,F1803)-IF(ISNUMBER(G1802),G1802,F1802))=0),"",(L1803-L1802)/(IF(ISNUMBER(G1803),G1803,F1803)-IF(ISNUMBER(G1802),G1802,F1802)))</f>
        <v/>
      </c>
      <c r="W1803" s="30">
        <f>IF(NOT(AND(ISNUMBER(N1803),ISNUMBER(P1803))),"",(P1803-N1803)*1440)</f>
        <v/>
      </c>
      <c r="X1803" s="28" t="n"/>
      <c r="Y1803" s="28" t="n"/>
      <c r="Z1803" s="28" t="n"/>
      <c r="AA1803" s="31" t="n"/>
      <c r="AB1803" s="31" t="n"/>
    </row>
    <row r="1804">
      <c r="A1804" s="25" t="inlineStr">
        <is>
          <t>S35</t>
        </is>
      </c>
      <c r="B1804" s="25" t="inlineStr">
        <is>
          <t>상주</t>
        </is>
      </c>
      <c r="C1804" s="25" t="inlineStr">
        <is>
          <t>S35-H남</t>
        </is>
      </c>
      <c r="D1804" s="25" t="inlineStr">
        <is>
          <t>측정</t>
        </is>
      </c>
      <c r="E1804" s="25" t="inlineStr">
        <is>
          <t>남</t>
        </is>
      </c>
      <c r="F1804" s="30" t="n">
        <v>4</v>
      </c>
      <c r="G1804" s="29" t="n"/>
      <c r="H1804" s="42" t="n"/>
      <c r="I1804" s="40" t="n"/>
      <c r="J1804" s="40" t="n"/>
      <c r="K1804" s="40" t="n"/>
      <c r="L1804" s="30">
        <f>IF(COUNT(I1804:K1804)=0,"",MEDIAN(I1804:K1804))</f>
        <v/>
      </c>
      <c r="M1804" s="25">
        <f>IF(COUNTIFS($C:$C,$C1804,$D:$D,"P0(전)",$L:$L,"&gt;0")&lt;&gt;1,"P0(전) 유효 1개 아님",IF(COUNTIFS($C:$C,$C1804,$D:$D,"P0(후)",$L:$L,"&gt;0")&lt;&gt;1,"P0(후) 유효 1개 아님",IF(NOT(AND(ISNUMBER(N1804),ISNUMBER(P1804),ISNUMBER(H1804))),"시각 결측",IF(P1804&lt;=N1804,"P0 시각 역전",IF(OR(H1804&lt;N1804,H1804&gt;P1804),"측정시각 구간 밖","OK")))))</f>
        <v/>
      </c>
      <c r="N1804" s="45">
        <f>IF(COUNTIFS($C:$C,$C1804,$D:$D,"P0(전)",$L:$L,"&gt;0")&lt;&gt;1,"",SUMIFS($H:$H,$C:$C,$C1804,$D:$D,"P0(전)"))</f>
        <v/>
      </c>
      <c r="O1804" s="30">
        <f>IF(COUNTIFS($C:$C,$C1804,$D:$D,"P0(전)",$L:$L,"&gt;0")&lt;&gt;1,"",SUMIFS($L:$L,$C:$C,$C1804,$D:$D,"P0(전)"))</f>
        <v/>
      </c>
      <c r="P1804" s="45">
        <f>IF(COUNTIFS($C:$C,$C1804,$D:$D,"P0(후)",$L:$L,"&gt;0")&lt;&gt;1,"",SUMIFS($H:$H,$C:$C,$C1804,$D:$D,"P0(후)"))</f>
        <v/>
      </c>
      <c r="Q1804" s="30">
        <f>IF(COUNTIFS($C:$C,$C1804,$D:$D,"P0(후)",$L:$L,"&gt;0")&lt;&gt;1,"",SUMIFS($L:$L,$C:$C,$C1804,$D:$D,"P0(후)"))</f>
        <v/>
      </c>
      <c r="R1804" s="30">
        <f>IF(M1804&lt;&gt;"OK","",O1804+(Q1804-O1804)*(H1804-N1804)/(P1804-N1804))</f>
        <v/>
      </c>
      <c r="S1804" s="30">
        <f>IF(OR(M1804&lt;&gt;"OK",NOT(ISNUMBER(L1804))),"",L1804-R1804)</f>
        <v/>
      </c>
      <c r="T1804" s="46">
        <f>IF(OR(NOT(ISNUMBER(S1804)),IF(ISNUMBER(G1804),G1804,F1804)=0),"",S1804/IF(ISNUMBER(G1804),G1804,F1804))</f>
        <v/>
      </c>
      <c r="U1804" s="46">
        <f>IF(ISNUMBER(T1804),ABS(T1804),"")</f>
        <v/>
      </c>
      <c r="V1804" s="46">
        <f>IF(OR($D1803&lt;&gt;"측정",$C1803&lt;&gt;$C1804,NOT(ISNUMBER(L1804)),NOT(ISNUMBER(L1803)),(IF(ISNUMBER(G1804),G1804,F1804)-IF(ISNUMBER(G1803),G1803,F1803))=0),"",(L1804-L1803)/(IF(ISNUMBER(G1804),G1804,F1804)-IF(ISNUMBER(G1803),G1803,F1803)))</f>
        <v/>
      </c>
      <c r="W1804" s="30">
        <f>IF(NOT(AND(ISNUMBER(N1804),ISNUMBER(P1804))),"",(P1804-N1804)*1440)</f>
        <v/>
      </c>
      <c r="X1804" s="28" t="n"/>
      <c r="Y1804" s="28" t="n"/>
      <c r="Z1804" s="28" t="n"/>
      <c r="AA1804" s="31" t="n"/>
      <c r="AB1804" s="31" t="n"/>
    </row>
    <row r="1805">
      <c r="A1805" s="25" t="inlineStr">
        <is>
          <t>S35</t>
        </is>
      </c>
      <c r="B1805" s="25" t="inlineStr">
        <is>
          <t>상주</t>
        </is>
      </c>
      <c r="C1805" s="25" t="inlineStr">
        <is>
          <t>S35-H남</t>
        </is>
      </c>
      <c r="D1805" s="25" t="inlineStr">
        <is>
          <t>측정</t>
        </is>
      </c>
      <c r="E1805" s="25" t="inlineStr">
        <is>
          <t>남</t>
        </is>
      </c>
      <c r="F1805" s="30" t="n">
        <v>5</v>
      </c>
      <c r="G1805" s="29" t="n"/>
      <c r="H1805" s="42" t="n"/>
      <c r="I1805" s="40" t="n"/>
      <c r="J1805" s="40" t="n"/>
      <c r="K1805" s="40" t="n"/>
      <c r="L1805" s="30">
        <f>IF(COUNT(I1805:K1805)=0,"",MEDIAN(I1805:K1805))</f>
        <v/>
      </c>
      <c r="M1805" s="25">
        <f>IF(COUNTIFS($C:$C,$C1805,$D:$D,"P0(전)",$L:$L,"&gt;0")&lt;&gt;1,"P0(전) 유효 1개 아님",IF(COUNTIFS($C:$C,$C1805,$D:$D,"P0(후)",$L:$L,"&gt;0")&lt;&gt;1,"P0(후) 유효 1개 아님",IF(NOT(AND(ISNUMBER(N1805),ISNUMBER(P1805),ISNUMBER(H1805))),"시각 결측",IF(P1805&lt;=N1805,"P0 시각 역전",IF(OR(H1805&lt;N1805,H1805&gt;P1805),"측정시각 구간 밖","OK")))))</f>
        <v/>
      </c>
      <c r="N1805" s="45">
        <f>IF(COUNTIFS($C:$C,$C1805,$D:$D,"P0(전)",$L:$L,"&gt;0")&lt;&gt;1,"",SUMIFS($H:$H,$C:$C,$C1805,$D:$D,"P0(전)"))</f>
        <v/>
      </c>
      <c r="O1805" s="30">
        <f>IF(COUNTIFS($C:$C,$C1805,$D:$D,"P0(전)",$L:$L,"&gt;0")&lt;&gt;1,"",SUMIFS($L:$L,$C:$C,$C1805,$D:$D,"P0(전)"))</f>
        <v/>
      </c>
      <c r="P1805" s="45">
        <f>IF(COUNTIFS($C:$C,$C1805,$D:$D,"P0(후)",$L:$L,"&gt;0")&lt;&gt;1,"",SUMIFS($H:$H,$C:$C,$C1805,$D:$D,"P0(후)"))</f>
        <v/>
      </c>
      <c r="Q1805" s="30">
        <f>IF(COUNTIFS($C:$C,$C1805,$D:$D,"P0(후)",$L:$L,"&gt;0")&lt;&gt;1,"",SUMIFS($L:$L,$C:$C,$C1805,$D:$D,"P0(후)"))</f>
        <v/>
      </c>
      <c r="R1805" s="30">
        <f>IF(M1805&lt;&gt;"OK","",O1805+(Q1805-O1805)*(H1805-N1805)/(P1805-N1805))</f>
        <v/>
      </c>
      <c r="S1805" s="30">
        <f>IF(OR(M1805&lt;&gt;"OK",NOT(ISNUMBER(L1805))),"",L1805-R1805)</f>
        <v/>
      </c>
      <c r="T1805" s="46">
        <f>IF(OR(NOT(ISNUMBER(S1805)),IF(ISNUMBER(G1805),G1805,F1805)=0),"",S1805/IF(ISNUMBER(G1805),G1805,F1805))</f>
        <v/>
      </c>
      <c r="U1805" s="46">
        <f>IF(ISNUMBER(T1805),ABS(T1805),"")</f>
        <v/>
      </c>
      <c r="V1805" s="46">
        <f>IF(OR($D1804&lt;&gt;"측정",$C1804&lt;&gt;$C1805,NOT(ISNUMBER(L1805)),NOT(ISNUMBER(L1804)),(IF(ISNUMBER(G1805),G1805,F1805)-IF(ISNUMBER(G1804),G1804,F1804))=0),"",(L1805-L1804)/(IF(ISNUMBER(G1805),G1805,F1805)-IF(ISNUMBER(G1804),G1804,F1804)))</f>
        <v/>
      </c>
      <c r="W1805" s="30">
        <f>IF(NOT(AND(ISNUMBER(N1805),ISNUMBER(P1805))),"",(P1805-N1805)*1440)</f>
        <v/>
      </c>
      <c r="X1805" s="28" t="n"/>
      <c r="Y1805" s="28" t="n"/>
      <c r="Z1805" s="28" t="n"/>
      <c r="AA1805" s="31" t="n"/>
      <c r="AB1805" s="31" t="n"/>
    </row>
    <row r="1806">
      <c r="A1806" s="25" t="inlineStr">
        <is>
          <t>S35</t>
        </is>
      </c>
      <c r="B1806" s="25" t="inlineStr">
        <is>
          <t>상주</t>
        </is>
      </c>
      <c r="C1806" s="25" t="inlineStr">
        <is>
          <t>S35-H남</t>
        </is>
      </c>
      <c r="D1806" s="25" t="inlineStr">
        <is>
          <t>측정</t>
        </is>
      </c>
      <c r="E1806" s="25" t="inlineStr">
        <is>
          <t>남</t>
        </is>
      </c>
      <c r="F1806" s="30" t="n">
        <v>6</v>
      </c>
      <c r="G1806" s="29" t="n"/>
      <c r="H1806" s="42" t="n"/>
      <c r="I1806" s="40" t="n"/>
      <c r="J1806" s="40" t="n"/>
      <c r="K1806" s="40" t="n"/>
      <c r="L1806" s="30">
        <f>IF(COUNT(I1806:K1806)=0,"",MEDIAN(I1806:K1806))</f>
        <v/>
      </c>
      <c r="M1806" s="25">
        <f>IF(COUNTIFS($C:$C,$C1806,$D:$D,"P0(전)",$L:$L,"&gt;0")&lt;&gt;1,"P0(전) 유효 1개 아님",IF(COUNTIFS($C:$C,$C1806,$D:$D,"P0(후)",$L:$L,"&gt;0")&lt;&gt;1,"P0(후) 유효 1개 아님",IF(NOT(AND(ISNUMBER(N1806),ISNUMBER(P1806),ISNUMBER(H1806))),"시각 결측",IF(P1806&lt;=N1806,"P0 시각 역전",IF(OR(H1806&lt;N1806,H1806&gt;P1806),"측정시각 구간 밖","OK")))))</f>
        <v/>
      </c>
      <c r="N1806" s="45">
        <f>IF(COUNTIFS($C:$C,$C1806,$D:$D,"P0(전)",$L:$L,"&gt;0")&lt;&gt;1,"",SUMIFS($H:$H,$C:$C,$C1806,$D:$D,"P0(전)"))</f>
        <v/>
      </c>
      <c r="O1806" s="30">
        <f>IF(COUNTIFS($C:$C,$C1806,$D:$D,"P0(전)",$L:$L,"&gt;0")&lt;&gt;1,"",SUMIFS($L:$L,$C:$C,$C1806,$D:$D,"P0(전)"))</f>
        <v/>
      </c>
      <c r="P1806" s="45">
        <f>IF(COUNTIFS($C:$C,$C1806,$D:$D,"P0(후)",$L:$L,"&gt;0")&lt;&gt;1,"",SUMIFS($H:$H,$C:$C,$C1806,$D:$D,"P0(후)"))</f>
        <v/>
      </c>
      <c r="Q1806" s="30">
        <f>IF(COUNTIFS($C:$C,$C1806,$D:$D,"P0(후)",$L:$L,"&gt;0")&lt;&gt;1,"",SUMIFS($L:$L,$C:$C,$C1806,$D:$D,"P0(후)"))</f>
        <v/>
      </c>
      <c r="R1806" s="30">
        <f>IF(M1806&lt;&gt;"OK","",O1806+(Q1806-O1806)*(H1806-N1806)/(P1806-N1806))</f>
        <v/>
      </c>
      <c r="S1806" s="30">
        <f>IF(OR(M1806&lt;&gt;"OK",NOT(ISNUMBER(L1806))),"",L1806-R1806)</f>
        <v/>
      </c>
      <c r="T1806" s="46">
        <f>IF(OR(NOT(ISNUMBER(S1806)),IF(ISNUMBER(G1806),G1806,F1806)=0),"",S1806/IF(ISNUMBER(G1806),G1806,F1806))</f>
        <v/>
      </c>
      <c r="U1806" s="46">
        <f>IF(ISNUMBER(T1806),ABS(T1806),"")</f>
        <v/>
      </c>
      <c r="V1806" s="46">
        <f>IF(OR($D1805&lt;&gt;"측정",$C1805&lt;&gt;$C1806,NOT(ISNUMBER(L1806)),NOT(ISNUMBER(L1805)),(IF(ISNUMBER(G1806),G1806,F1806)-IF(ISNUMBER(G1805),G1805,F1805))=0),"",(L1806-L1805)/(IF(ISNUMBER(G1806),G1806,F1806)-IF(ISNUMBER(G1805),G1805,F1805)))</f>
        <v/>
      </c>
      <c r="W1806" s="30">
        <f>IF(NOT(AND(ISNUMBER(N1806),ISNUMBER(P1806))),"",(P1806-N1806)*1440)</f>
        <v/>
      </c>
      <c r="X1806" s="28" t="n"/>
      <c r="Y1806" s="28" t="n"/>
      <c r="Z1806" s="28" t="n"/>
      <c r="AA1806" s="31" t="n"/>
      <c r="AB1806" s="31" t="n"/>
    </row>
    <row r="1807">
      <c r="A1807" s="25" t="inlineStr">
        <is>
          <t>S35</t>
        </is>
      </c>
      <c r="B1807" s="25" t="inlineStr">
        <is>
          <t>상주</t>
        </is>
      </c>
      <c r="C1807" s="25" t="inlineStr">
        <is>
          <t>S35-H남</t>
        </is>
      </c>
      <c r="D1807" s="25" t="inlineStr">
        <is>
          <t>측정</t>
        </is>
      </c>
      <c r="E1807" s="25" t="inlineStr">
        <is>
          <t>남</t>
        </is>
      </c>
      <c r="F1807" s="30" t="n">
        <v>7</v>
      </c>
      <c r="G1807" s="29" t="n"/>
      <c r="H1807" s="42" t="n"/>
      <c r="I1807" s="40" t="n"/>
      <c r="J1807" s="40" t="n"/>
      <c r="K1807" s="40" t="n"/>
      <c r="L1807" s="30">
        <f>IF(COUNT(I1807:K1807)=0,"",MEDIAN(I1807:K1807))</f>
        <v/>
      </c>
      <c r="M1807" s="25">
        <f>IF(COUNTIFS($C:$C,$C1807,$D:$D,"P0(전)",$L:$L,"&gt;0")&lt;&gt;1,"P0(전) 유효 1개 아님",IF(COUNTIFS($C:$C,$C1807,$D:$D,"P0(후)",$L:$L,"&gt;0")&lt;&gt;1,"P0(후) 유효 1개 아님",IF(NOT(AND(ISNUMBER(N1807),ISNUMBER(P1807),ISNUMBER(H1807))),"시각 결측",IF(P1807&lt;=N1807,"P0 시각 역전",IF(OR(H1807&lt;N1807,H1807&gt;P1807),"측정시각 구간 밖","OK")))))</f>
        <v/>
      </c>
      <c r="N1807" s="45">
        <f>IF(COUNTIFS($C:$C,$C1807,$D:$D,"P0(전)",$L:$L,"&gt;0")&lt;&gt;1,"",SUMIFS($H:$H,$C:$C,$C1807,$D:$D,"P0(전)"))</f>
        <v/>
      </c>
      <c r="O1807" s="30">
        <f>IF(COUNTIFS($C:$C,$C1807,$D:$D,"P0(전)",$L:$L,"&gt;0")&lt;&gt;1,"",SUMIFS($L:$L,$C:$C,$C1807,$D:$D,"P0(전)"))</f>
        <v/>
      </c>
      <c r="P1807" s="45">
        <f>IF(COUNTIFS($C:$C,$C1807,$D:$D,"P0(후)",$L:$L,"&gt;0")&lt;&gt;1,"",SUMIFS($H:$H,$C:$C,$C1807,$D:$D,"P0(후)"))</f>
        <v/>
      </c>
      <c r="Q1807" s="30">
        <f>IF(COUNTIFS($C:$C,$C1807,$D:$D,"P0(후)",$L:$L,"&gt;0")&lt;&gt;1,"",SUMIFS($L:$L,$C:$C,$C1807,$D:$D,"P0(후)"))</f>
        <v/>
      </c>
      <c r="R1807" s="30">
        <f>IF(M1807&lt;&gt;"OK","",O1807+(Q1807-O1807)*(H1807-N1807)/(P1807-N1807))</f>
        <v/>
      </c>
      <c r="S1807" s="30">
        <f>IF(OR(M1807&lt;&gt;"OK",NOT(ISNUMBER(L1807))),"",L1807-R1807)</f>
        <v/>
      </c>
      <c r="T1807" s="46">
        <f>IF(OR(NOT(ISNUMBER(S1807)),IF(ISNUMBER(G1807),G1807,F1807)=0),"",S1807/IF(ISNUMBER(G1807),G1807,F1807))</f>
        <v/>
      </c>
      <c r="U1807" s="46">
        <f>IF(ISNUMBER(T1807),ABS(T1807),"")</f>
        <v/>
      </c>
      <c r="V1807" s="46">
        <f>IF(OR($D1806&lt;&gt;"측정",$C1806&lt;&gt;$C1807,NOT(ISNUMBER(L1807)),NOT(ISNUMBER(L1806)),(IF(ISNUMBER(G1807),G1807,F1807)-IF(ISNUMBER(G1806),G1806,F1806))=0),"",(L1807-L1806)/(IF(ISNUMBER(G1807),G1807,F1807)-IF(ISNUMBER(G1806),G1806,F1806)))</f>
        <v/>
      </c>
      <c r="W1807" s="30">
        <f>IF(NOT(AND(ISNUMBER(N1807),ISNUMBER(P1807))),"",(P1807-N1807)*1440)</f>
        <v/>
      </c>
      <c r="X1807" s="28" t="n"/>
      <c r="Y1807" s="28" t="n"/>
      <c r="Z1807" s="28" t="n"/>
      <c r="AA1807" s="31" t="n"/>
      <c r="AB1807" s="31" t="n"/>
    </row>
    <row r="1808">
      <c r="A1808" s="25" t="inlineStr">
        <is>
          <t>S35</t>
        </is>
      </c>
      <c r="B1808" s="25" t="inlineStr">
        <is>
          <t>상주</t>
        </is>
      </c>
      <c r="C1808" s="25" t="inlineStr">
        <is>
          <t>S35-H남</t>
        </is>
      </c>
      <c r="D1808" s="25" t="inlineStr">
        <is>
          <t>측정</t>
        </is>
      </c>
      <c r="E1808" s="25" t="inlineStr">
        <is>
          <t>남</t>
        </is>
      </c>
      <c r="F1808" s="30" t="n">
        <v>8</v>
      </c>
      <c r="G1808" s="29" t="n"/>
      <c r="H1808" s="42" t="n"/>
      <c r="I1808" s="40" t="n"/>
      <c r="J1808" s="40" t="n"/>
      <c r="K1808" s="40" t="n"/>
      <c r="L1808" s="30">
        <f>IF(COUNT(I1808:K1808)=0,"",MEDIAN(I1808:K1808))</f>
        <v/>
      </c>
      <c r="M1808" s="25">
        <f>IF(COUNTIFS($C:$C,$C1808,$D:$D,"P0(전)",$L:$L,"&gt;0")&lt;&gt;1,"P0(전) 유효 1개 아님",IF(COUNTIFS($C:$C,$C1808,$D:$D,"P0(후)",$L:$L,"&gt;0")&lt;&gt;1,"P0(후) 유효 1개 아님",IF(NOT(AND(ISNUMBER(N1808),ISNUMBER(P1808),ISNUMBER(H1808))),"시각 결측",IF(P1808&lt;=N1808,"P0 시각 역전",IF(OR(H1808&lt;N1808,H1808&gt;P1808),"측정시각 구간 밖","OK")))))</f>
        <v/>
      </c>
      <c r="N1808" s="45">
        <f>IF(COUNTIFS($C:$C,$C1808,$D:$D,"P0(전)",$L:$L,"&gt;0")&lt;&gt;1,"",SUMIFS($H:$H,$C:$C,$C1808,$D:$D,"P0(전)"))</f>
        <v/>
      </c>
      <c r="O1808" s="30">
        <f>IF(COUNTIFS($C:$C,$C1808,$D:$D,"P0(전)",$L:$L,"&gt;0")&lt;&gt;1,"",SUMIFS($L:$L,$C:$C,$C1808,$D:$D,"P0(전)"))</f>
        <v/>
      </c>
      <c r="P1808" s="45">
        <f>IF(COUNTIFS($C:$C,$C1808,$D:$D,"P0(후)",$L:$L,"&gt;0")&lt;&gt;1,"",SUMIFS($H:$H,$C:$C,$C1808,$D:$D,"P0(후)"))</f>
        <v/>
      </c>
      <c r="Q1808" s="30">
        <f>IF(COUNTIFS($C:$C,$C1808,$D:$D,"P0(후)",$L:$L,"&gt;0")&lt;&gt;1,"",SUMIFS($L:$L,$C:$C,$C1808,$D:$D,"P0(후)"))</f>
        <v/>
      </c>
      <c r="R1808" s="30">
        <f>IF(M1808&lt;&gt;"OK","",O1808+(Q1808-O1808)*(H1808-N1808)/(P1808-N1808))</f>
        <v/>
      </c>
      <c r="S1808" s="30">
        <f>IF(OR(M1808&lt;&gt;"OK",NOT(ISNUMBER(L1808))),"",L1808-R1808)</f>
        <v/>
      </c>
      <c r="T1808" s="46">
        <f>IF(OR(NOT(ISNUMBER(S1808)),IF(ISNUMBER(G1808),G1808,F1808)=0),"",S1808/IF(ISNUMBER(G1808),G1808,F1808))</f>
        <v/>
      </c>
      <c r="U1808" s="46">
        <f>IF(ISNUMBER(T1808),ABS(T1808),"")</f>
        <v/>
      </c>
      <c r="V1808" s="46">
        <f>IF(OR($D1807&lt;&gt;"측정",$C1807&lt;&gt;$C1808,NOT(ISNUMBER(L1808)),NOT(ISNUMBER(L1807)),(IF(ISNUMBER(G1808),G1808,F1808)-IF(ISNUMBER(G1807),G1807,F1807))=0),"",(L1808-L1807)/(IF(ISNUMBER(G1808),G1808,F1808)-IF(ISNUMBER(G1807),G1807,F1807)))</f>
        <v/>
      </c>
      <c r="W1808" s="30">
        <f>IF(NOT(AND(ISNUMBER(N1808),ISNUMBER(P1808))),"",(P1808-N1808)*1440)</f>
        <v/>
      </c>
      <c r="X1808" s="28" t="n"/>
      <c r="Y1808" s="28" t="n"/>
      <c r="Z1808" s="28" t="n"/>
      <c r="AA1808" s="31" t="n"/>
      <c r="AB1808" s="31" t="n"/>
    </row>
    <row r="1809">
      <c r="A1809" s="25" t="inlineStr">
        <is>
          <t>S35</t>
        </is>
      </c>
      <c r="B1809" s="25" t="inlineStr">
        <is>
          <t>상주</t>
        </is>
      </c>
      <c r="C1809" s="25" t="inlineStr">
        <is>
          <t>S35-H남</t>
        </is>
      </c>
      <c r="D1809" s="25" t="inlineStr">
        <is>
          <t>측정</t>
        </is>
      </c>
      <c r="E1809" s="25" t="inlineStr">
        <is>
          <t>남</t>
        </is>
      </c>
      <c r="F1809" s="30" t="n">
        <v>9</v>
      </c>
      <c r="G1809" s="29" t="n"/>
      <c r="H1809" s="42" t="n"/>
      <c r="I1809" s="40" t="n"/>
      <c r="J1809" s="40" t="n"/>
      <c r="K1809" s="40" t="n"/>
      <c r="L1809" s="30">
        <f>IF(COUNT(I1809:K1809)=0,"",MEDIAN(I1809:K1809))</f>
        <v/>
      </c>
      <c r="M1809" s="25">
        <f>IF(COUNTIFS($C:$C,$C1809,$D:$D,"P0(전)",$L:$L,"&gt;0")&lt;&gt;1,"P0(전) 유효 1개 아님",IF(COUNTIFS($C:$C,$C1809,$D:$D,"P0(후)",$L:$L,"&gt;0")&lt;&gt;1,"P0(후) 유효 1개 아님",IF(NOT(AND(ISNUMBER(N1809),ISNUMBER(P1809),ISNUMBER(H1809))),"시각 결측",IF(P1809&lt;=N1809,"P0 시각 역전",IF(OR(H1809&lt;N1809,H1809&gt;P1809),"측정시각 구간 밖","OK")))))</f>
        <v/>
      </c>
      <c r="N1809" s="45">
        <f>IF(COUNTIFS($C:$C,$C1809,$D:$D,"P0(전)",$L:$L,"&gt;0")&lt;&gt;1,"",SUMIFS($H:$H,$C:$C,$C1809,$D:$D,"P0(전)"))</f>
        <v/>
      </c>
      <c r="O1809" s="30">
        <f>IF(COUNTIFS($C:$C,$C1809,$D:$D,"P0(전)",$L:$L,"&gt;0")&lt;&gt;1,"",SUMIFS($L:$L,$C:$C,$C1809,$D:$D,"P0(전)"))</f>
        <v/>
      </c>
      <c r="P1809" s="45">
        <f>IF(COUNTIFS($C:$C,$C1809,$D:$D,"P0(후)",$L:$L,"&gt;0")&lt;&gt;1,"",SUMIFS($H:$H,$C:$C,$C1809,$D:$D,"P0(후)"))</f>
        <v/>
      </c>
      <c r="Q1809" s="30">
        <f>IF(COUNTIFS($C:$C,$C1809,$D:$D,"P0(후)",$L:$L,"&gt;0")&lt;&gt;1,"",SUMIFS($L:$L,$C:$C,$C1809,$D:$D,"P0(후)"))</f>
        <v/>
      </c>
      <c r="R1809" s="30">
        <f>IF(M1809&lt;&gt;"OK","",O1809+(Q1809-O1809)*(H1809-N1809)/(P1809-N1809))</f>
        <v/>
      </c>
      <c r="S1809" s="30">
        <f>IF(OR(M1809&lt;&gt;"OK",NOT(ISNUMBER(L1809))),"",L1809-R1809)</f>
        <v/>
      </c>
      <c r="T1809" s="46">
        <f>IF(OR(NOT(ISNUMBER(S1809)),IF(ISNUMBER(G1809),G1809,F1809)=0),"",S1809/IF(ISNUMBER(G1809),G1809,F1809))</f>
        <v/>
      </c>
      <c r="U1809" s="46">
        <f>IF(ISNUMBER(T1809),ABS(T1809),"")</f>
        <v/>
      </c>
      <c r="V1809" s="46">
        <f>IF(OR($D1808&lt;&gt;"측정",$C1808&lt;&gt;$C1809,NOT(ISNUMBER(L1809)),NOT(ISNUMBER(L1808)),(IF(ISNUMBER(G1809),G1809,F1809)-IF(ISNUMBER(G1808),G1808,F1808))=0),"",(L1809-L1808)/(IF(ISNUMBER(G1809),G1809,F1809)-IF(ISNUMBER(G1808),G1808,F1808)))</f>
        <v/>
      </c>
      <c r="W1809" s="30">
        <f>IF(NOT(AND(ISNUMBER(N1809),ISNUMBER(P1809))),"",(P1809-N1809)*1440)</f>
        <v/>
      </c>
      <c r="X1809" s="28" t="n"/>
      <c r="Y1809" s="28" t="n"/>
      <c r="Z1809" s="28" t="n"/>
      <c r="AA1809" s="31" t="n"/>
      <c r="AB1809" s="31" t="n"/>
    </row>
    <row r="1810">
      <c r="A1810" s="25" t="inlineStr">
        <is>
          <t>S35</t>
        </is>
      </c>
      <c r="B1810" s="25" t="inlineStr">
        <is>
          <t>상주</t>
        </is>
      </c>
      <c r="C1810" s="25" t="inlineStr">
        <is>
          <t>S35-H남</t>
        </is>
      </c>
      <c r="D1810" s="25" t="inlineStr">
        <is>
          <t>측정</t>
        </is>
      </c>
      <c r="E1810" s="25" t="inlineStr">
        <is>
          <t>남</t>
        </is>
      </c>
      <c r="F1810" s="30" t="n">
        <v>10</v>
      </c>
      <c r="G1810" s="29" t="n"/>
      <c r="H1810" s="42" t="n"/>
      <c r="I1810" s="40" t="n"/>
      <c r="J1810" s="40" t="n"/>
      <c r="K1810" s="40" t="n"/>
      <c r="L1810" s="30">
        <f>IF(COUNT(I1810:K1810)=0,"",MEDIAN(I1810:K1810))</f>
        <v/>
      </c>
      <c r="M1810" s="25">
        <f>IF(COUNTIFS($C:$C,$C1810,$D:$D,"P0(전)",$L:$L,"&gt;0")&lt;&gt;1,"P0(전) 유효 1개 아님",IF(COUNTIFS($C:$C,$C1810,$D:$D,"P0(후)",$L:$L,"&gt;0")&lt;&gt;1,"P0(후) 유효 1개 아님",IF(NOT(AND(ISNUMBER(N1810),ISNUMBER(P1810),ISNUMBER(H1810))),"시각 결측",IF(P1810&lt;=N1810,"P0 시각 역전",IF(OR(H1810&lt;N1810,H1810&gt;P1810),"측정시각 구간 밖","OK")))))</f>
        <v/>
      </c>
      <c r="N1810" s="45">
        <f>IF(COUNTIFS($C:$C,$C1810,$D:$D,"P0(전)",$L:$L,"&gt;0")&lt;&gt;1,"",SUMIFS($H:$H,$C:$C,$C1810,$D:$D,"P0(전)"))</f>
        <v/>
      </c>
      <c r="O1810" s="30">
        <f>IF(COUNTIFS($C:$C,$C1810,$D:$D,"P0(전)",$L:$L,"&gt;0")&lt;&gt;1,"",SUMIFS($L:$L,$C:$C,$C1810,$D:$D,"P0(전)"))</f>
        <v/>
      </c>
      <c r="P1810" s="45">
        <f>IF(COUNTIFS($C:$C,$C1810,$D:$D,"P0(후)",$L:$L,"&gt;0")&lt;&gt;1,"",SUMIFS($H:$H,$C:$C,$C1810,$D:$D,"P0(후)"))</f>
        <v/>
      </c>
      <c r="Q1810" s="30">
        <f>IF(COUNTIFS($C:$C,$C1810,$D:$D,"P0(후)",$L:$L,"&gt;0")&lt;&gt;1,"",SUMIFS($L:$L,$C:$C,$C1810,$D:$D,"P0(후)"))</f>
        <v/>
      </c>
      <c r="R1810" s="30">
        <f>IF(M1810&lt;&gt;"OK","",O1810+(Q1810-O1810)*(H1810-N1810)/(P1810-N1810))</f>
        <v/>
      </c>
      <c r="S1810" s="30">
        <f>IF(OR(M1810&lt;&gt;"OK",NOT(ISNUMBER(L1810))),"",L1810-R1810)</f>
        <v/>
      </c>
      <c r="T1810" s="46">
        <f>IF(OR(NOT(ISNUMBER(S1810)),IF(ISNUMBER(G1810),G1810,F1810)=0),"",S1810/IF(ISNUMBER(G1810),G1810,F1810))</f>
        <v/>
      </c>
      <c r="U1810" s="46">
        <f>IF(ISNUMBER(T1810),ABS(T1810),"")</f>
        <v/>
      </c>
      <c r="V1810" s="46">
        <f>IF(OR($D1809&lt;&gt;"측정",$C1809&lt;&gt;$C1810,NOT(ISNUMBER(L1810)),NOT(ISNUMBER(L1809)),(IF(ISNUMBER(G1810),G1810,F1810)-IF(ISNUMBER(G1809),G1809,F1809))=0),"",(L1810-L1809)/(IF(ISNUMBER(G1810),G1810,F1810)-IF(ISNUMBER(G1809),G1809,F1809)))</f>
        <v/>
      </c>
      <c r="W1810" s="30">
        <f>IF(NOT(AND(ISNUMBER(N1810),ISNUMBER(P1810))),"",(P1810-N1810)*1440)</f>
        <v/>
      </c>
      <c r="X1810" s="28" t="n"/>
      <c r="Y1810" s="28" t="n"/>
      <c r="Z1810" s="28" t="n"/>
      <c r="AA1810" s="31" t="n"/>
      <c r="AB1810" s="31" t="n"/>
    </row>
    <row r="1811">
      <c r="A1811" s="43" t="inlineStr">
        <is>
          <t>S35</t>
        </is>
      </c>
      <c r="B1811" s="43" t="inlineStr">
        <is>
          <t>상주</t>
        </is>
      </c>
      <c r="C1811" s="43" t="inlineStr">
        <is>
          <t>S35-H남</t>
        </is>
      </c>
      <c r="D1811" s="43" t="inlineStr">
        <is>
          <t>P0(후)</t>
        </is>
      </c>
      <c r="E1811" s="43" t="inlineStr">
        <is>
          <t>남</t>
        </is>
      </c>
      <c r="F1811" s="44" t="n"/>
      <c r="G1811" s="29" t="n"/>
      <c r="H1811" s="42" t="n"/>
      <c r="I1811" s="40" t="n"/>
      <c r="J1811" s="40" t="n"/>
      <c r="K1811" s="40" t="n"/>
      <c r="L1811" s="30">
        <f>IF(COUNT(I1811:K1811)=0,"",MEDIAN(I1811:K1811))</f>
        <v/>
      </c>
      <c r="M1811" s="37" t="n"/>
      <c r="N1811" s="37" t="n"/>
      <c r="O1811" s="37" t="n"/>
      <c r="P1811" s="37" t="n"/>
      <c r="Q1811" s="37" t="n"/>
      <c r="R1811" s="37" t="n"/>
      <c r="S1811" s="37" t="n"/>
      <c r="T1811" s="37" t="n"/>
      <c r="U1811" s="37" t="n"/>
      <c r="V1811" s="37" t="n"/>
      <c r="W1811" s="37" t="n"/>
      <c r="X1811" s="28" t="n"/>
      <c r="Y1811" s="28" t="n"/>
      <c r="Z1811" s="28" t="n"/>
      <c r="AA1811" s="31" t="n"/>
      <c r="AB1811" s="31" t="n"/>
    </row>
    <row r="1812">
      <c r="A1812" s="43" t="inlineStr">
        <is>
          <t>S35</t>
        </is>
      </c>
      <c r="B1812" s="43" t="inlineStr">
        <is>
          <t>상주</t>
        </is>
      </c>
      <c r="C1812" s="43" t="inlineStr">
        <is>
          <t>S35-H북</t>
        </is>
      </c>
      <c r="D1812" s="43" t="inlineStr">
        <is>
          <t>P0(전)</t>
        </is>
      </c>
      <c r="E1812" s="43" t="inlineStr">
        <is>
          <t>북</t>
        </is>
      </c>
      <c r="F1812" s="44" t="n"/>
      <c r="G1812" s="29" t="n"/>
      <c r="H1812" s="42" t="n"/>
      <c r="I1812" s="40" t="n"/>
      <c r="J1812" s="40" t="n"/>
      <c r="K1812" s="40" t="n"/>
      <c r="L1812" s="30">
        <f>IF(COUNT(I1812:K1812)=0,"",MEDIAN(I1812:K1812))</f>
        <v/>
      </c>
      <c r="M1812" s="37" t="n"/>
      <c r="N1812" s="37" t="n"/>
      <c r="O1812" s="37" t="n"/>
      <c r="P1812" s="37" t="n"/>
      <c r="Q1812" s="37" t="n"/>
      <c r="R1812" s="37" t="n"/>
      <c r="S1812" s="37" t="n"/>
      <c r="T1812" s="37" t="n"/>
      <c r="U1812" s="37" t="n"/>
      <c r="V1812" s="37" t="n"/>
      <c r="W1812" s="37" t="n"/>
      <c r="X1812" s="28" t="n"/>
      <c r="Y1812" s="28" t="n"/>
      <c r="Z1812" s="28" t="n"/>
      <c r="AA1812" s="31" t="n"/>
      <c r="AB1812" s="31" t="n"/>
    </row>
    <row r="1813">
      <c r="A1813" s="25" t="inlineStr">
        <is>
          <t>S35</t>
        </is>
      </c>
      <c r="B1813" s="25" t="inlineStr">
        <is>
          <t>상주</t>
        </is>
      </c>
      <c r="C1813" s="25" t="inlineStr">
        <is>
          <t>S35-H북</t>
        </is>
      </c>
      <c r="D1813" s="25" t="inlineStr">
        <is>
          <t>측정</t>
        </is>
      </c>
      <c r="E1813" s="25" t="inlineStr">
        <is>
          <t>북</t>
        </is>
      </c>
      <c r="F1813" s="30" t="n">
        <v>0.5</v>
      </c>
      <c r="G1813" s="29" t="n"/>
      <c r="H1813" s="42" t="n"/>
      <c r="I1813" s="40" t="n"/>
      <c r="J1813" s="40" t="n"/>
      <c r="K1813" s="40" t="n"/>
      <c r="L1813" s="30">
        <f>IF(COUNT(I1813:K1813)=0,"",MEDIAN(I1813:K1813))</f>
        <v/>
      </c>
      <c r="M1813" s="25">
        <f>IF(COUNTIFS($C:$C,$C1813,$D:$D,"P0(전)",$L:$L,"&gt;0")&lt;&gt;1,"P0(전) 유효 1개 아님",IF(COUNTIFS($C:$C,$C1813,$D:$D,"P0(후)",$L:$L,"&gt;0")&lt;&gt;1,"P0(후) 유효 1개 아님",IF(NOT(AND(ISNUMBER(N1813),ISNUMBER(P1813),ISNUMBER(H1813))),"시각 결측",IF(P1813&lt;=N1813,"P0 시각 역전",IF(OR(H1813&lt;N1813,H1813&gt;P1813),"측정시각 구간 밖","OK")))))</f>
        <v/>
      </c>
      <c r="N1813" s="45">
        <f>IF(COUNTIFS($C:$C,$C1813,$D:$D,"P0(전)",$L:$L,"&gt;0")&lt;&gt;1,"",SUMIFS($H:$H,$C:$C,$C1813,$D:$D,"P0(전)"))</f>
        <v/>
      </c>
      <c r="O1813" s="30">
        <f>IF(COUNTIFS($C:$C,$C1813,$D:$D,"P0(전)",$L:$L,"&gt;0")&lt;&gt;1,"",SUMIFS($L:$L,$C:$C,$C1813,$D:$D,"P0(전)"))</f>
        <v/>
      </c>
      <c r="P1813" s="45">
        <f>IF(COUNTIFS($C:$C,$C1813,$D:$D,"P0(후)",$L:$L,"&gt;0")&lt;&gt;1,"",SUMIFS($H:$H,$C:$C,$C1813,$D:$D,"P0(후)"))</f>
        <v/>
      </c>
      <c r="Q1813" s="30">
        <f>IF(COUNTIFS($C:$C,$C1813,$D:$D,"P0(후)",$L:$L,"&gt;0")&lt;&gt;1,"",SUMIFS($L:$L,$C:$C,$C1813,$D:$D,"P0(후)"))</f>
        <v/>
      </c>
      <c r="R1813" s="30">
        <f>IF(M1813&lt;&gt;"OK","",O1813+(Q1813-O1813)*(H1813-N1813)/(P1813-N1813))</f>
        <v/>
      </c>
      <c r="S1813" s="30">
        <f>IF(OR(M1813&lt;&gt;"OK",NOT(ISNUMBER(L1813))),"",L1813-R1813)</f>
        <v/>
      </c>
      <c r="T1813" s="46">
        <f>IF(OR(NOT(ISNUMBER(S1813)),IF(ISNUMBER(G1813),G1813,F1813)=0),"",S1813/IF(ISNUMBER(G1813),G1813,F1813))</f>
        <v/>
      </c>
      <c r="U1813" s="46">
        <f>IF(ISNUMBER(T1813),ABS(T1813),"")</f>
        <v/>
      </c>
      <c r="V1813" s="46">
        <f>IF(OR($D1812&lt;&gt;"측정",$C1812&lt;&gt;$C1813,NOT(ISNUMBER(L1813)),NOT(ISNUMBER(L1812)),(IF(ISNUMBER(G1813),G1813,F1813)-IF(ISNUMBER(G1812),G1812,F1812))=0),"",(L1813-L1812)/(IF(ISNUMBER(G1813),G1813,F1813)-IF(ISNUMBER(G1812),G1812,F1812)))</f>
        <v/>
      </c>
      <c r="W1813" s="30">
        <f>IF(NOT(AND(ISNUMBER(N1813),ISNUMBER(P1813))),"",(P1813-N1813)*1440)</f>
        <v/>
      </c>
      <c r="X1813" s="28" t="n"/>
      <c r="Y1813" s="28" t="n"/>
      <c r="Z1813" s="28" t="n"/>
      <c r="AA1813" s="31" t="n"/>
      <c r="AB1813" s="31" t="n"/>
    </row>
    <row r="1814">
      <c r="A1814" s="25" t="inlineStr">
        <is>
          <t>S35</t>
        </is>
      </c>
      <c r="B1814" s="25" t="inlineStr">
        <is>
          <t>상주</t>
        </is>
      </c>
      <c r="C1814" s="25" t="inlineStr">
        <is>
          <t>S35-H북</t>
        </is>
      </c>
      <c r="D1814" s="25" t="inlineStr">
        <is>
          <t>측정</t>
        </is>
      </c>
      <c r="E1814" s="25" t="inlineStr">
        <is>
          <t>북</t>
        </is>
      </c>
      <c r="F1814" s="30" t="n">
        <v>1</v>
      </c>
      <c r="G1814" s="29" t="n"/>
      <c r="H1814" s="42" t="n"/>
      <c r="I1814" s="40" t="n"/>
      <c r="J1814" s="40" t="n"/>
      <c r="K1814" s="40" t="n"/>
      <c r="L1814" s="30">
        <f>IF(COUNT(I1814:K1814)=0,"",MEDIAN(I1814:K1814))</f>
        <v/>
      </c>
      <c r="M1814" s="25">
        <f>IF(COUNTIFS($C:$C,$C1814,$D:$D,"P0(전)",$L:$L,"&gt;0")&lt;&gt;1,"P0(전) 유효 1개 아님",IF(COUNTIFS($C:$C,$C1814,$D:$D,"P0(후)",$L:$L,"&gt;0")&lt;&gt;1,"P0(후) 유효 1개 아님",IF(NOT(AND(ISNUMBER(N1814),ISNUMBER(P1814),ISNUMBER(H1814))),"시각 결측",IF(P1814&lt;=N1814,"P0 시각 역전",IF(OR(H1814&lt;N1814,H1814&gt;P1814),"측정시각 구간 밖","OK")))))</f>
        <v/>
      </c>
      <c r="N1814" s="45">
        <f>IF(COUNTIFS($C:$C,$C1814,$D:$D,"P0(전)",$L:$L,"&gt;0")&lt;&gt;1,"",SUMIFS($H:$H,$C:$C,$C1814,$D:$D,"P0(전)"))</f>
        <v/>
      </c>
      <c r="O1814" s="30">
        <f>IF(COUNTIFS($C:$C,$C1814,$D:$D,"P0(전)",$L:$L,"&gt;0")&lt;&gt;1,"",SUMIFS($L:$L,$C:$C,$C1814,$D:$D,"P0(전)"))</f>
        <v/>
      </c>
      <c r="P1814" s="45">
        <f>IF(COUNTIFS($C:$C,$C1814,$D:$D,"P0(후)",$L:$L,"&gt;0")&lt;&gt;1,"",SUMIFS($H:$H,$C:$C,$C1814,$D:$D,"P0(후)"))</f>
        <v/>
      </c>
      <c r="Q1814" s="30">
        <f>IF(COUNTIFS($C:$C,$C1814,$D:$D,"P0(후)",$L:$L,"&gt;0")&lt;&gt;1,"",SUMIFS($L:$L,$C:$C,$C1814,$D:$D,"P0(후)"))</f>
        <v/>
      </c>
      <c r="R1814" s="30">
        <f>IF(M1814&lt;&gt;"OK","",O1814+(Q1814-O1814)*(H1814-N1814)/(P1814-N1814))</f>
        <v/>
      </c>
      <c r="S1814" s="30">
        <f>IF(OR(M1814&lt;&gt;"OK",NOT(ISNUMBER(L1814))),"",L1814-R1814)</f>
        <v/>
      </c>
      <c r="T1814" s="46">
        <f>IF(OR(NOT(ISNUMBER(S1814)),IF(ISNUMBER(G1814),G1814,F1814)=0),"",S1814/IF(ISNUMBER(G1814),G1814,F1814))</f>
        <v/>
      </c>
      <c r="U1814" s="46">
        <f>IF(ISNUMBER(T1814),ABS(T1814),"")</f>
        <v/>
      </c>
      <c r="V1814" s="46">
        <f>IF(OR($D1813&lt;&gt;"측정",$C1813&lt;&gt;$C1814,NOT(ISNUMBER(L1814)),NOT(ISNUMBER(L1813)),(IF(ISNUMBER(G1814),G1814,F1814)-IF(ISNUMBER(G1813),G1813,F1813))=0),"",(L1814-L1813)/(IF(ISNUMBER(G1814),G1814,F1814)-IF(ISNUMBER(G1813),G1813,F1813)))</f>
        <v/>
      </c>
      <c r="W1814" s="30">
        <f>IF(NOT(AND(ISNUMBER(N1814),ISNUMBER(P1814))),"",(P1814-N1814)*1440)</f>
        <v/>
      </c>
      <c r="X1814" s="28" t="n"/>
      <c r="Y1814" s="28" t="n"/>
      <c r="Z1814" s="28" t="n"/>
      <c r="AA1814" s="31" t="n"/>
      <c r="AB1814" s="31" t="n"/>
    </row>
    <row r="1815">
      <c r="A1815" s="25" t="inlineStr">
        <is>
          <t>S35</t>
        </is>
      </c>
      <c r="B1815" s="25" t="inlineStr">
        <is>
          <t>상주</t>
        </is>
      </c>
      <c r="C1815" s="25" t="inlineStr">
        <is>
          <t>S35-H북</t>
        </is>
      </c>
      <c r="D1815" s="25" t="inlineStr">
        <is>
          <t>측정</t>
        </is>
      </c>
      <c r="E1815" s="25" t="inlineStr">
        <is>
          <t>북</t>
        </is>
      </c>
      <c r="F1815" s="30" t="n">
        <v>2</v>
      </c>
      <c r="G1815" s="29" t="n"/>
      <c r="H1815" s="42" t="n"/>
      <c r="I1815" s="40" t="n"/>
      <c r="J1815" s="40" t="n"/>
      <c r="K1815" s="40" t="n"/>
      <c r="L1815" s="30">
        <f>IF(COUNT(I1815:K1815)=0,"",MEDIAN(I1815:K1815))</f>
        <v/>
      </c>
      <c r="M1815" s="25">
        <f>IF(COUNTIFS($C:$C,$C1815,$D:$D,"P0(전)",$L:$L,"&gt;0")&lt;&gt;1,"P0(전) 유효 1개 아님",IF(COUNTIFS($C:$C,$C1815,$D:$D,"P0(후)",$L:$L,"&gt;0")&lt;&gt;1,"P0(후) 유효 1개 아님",IF(NOT(AND(ISNUMBER(N1815),ISNUMBER(P1815),ISNUMBER(H1815))),"시각 결측",IF(P1815&lt;=N1815,"P0 시각 역전",IF(OR(H1815&lt;N1815,H1815&gt;P1815),"측정시각 구간 밖","OK")))))</f>
        <v/>
      </c>
      <c r="N1815" s="45">
        <f>IF(COUNTIFS($C:$C,$C1815,$D:$D,"P0(전)",$L:$L,"&gt;0")&lt;&gt;1,"",SUMIFS($H:$H,$C:$C,$C1815,$D:$D,"P0(전)"))</f>
        <v/>
      </c>
      <c r="O1815" s="30">
        <f>IF(COUNTIFS($C:$C,$C1815,$D:$D,"P0(전)",$L:$L,"&gt;0")&lt;&gt;1,"",SUMIFS($L:$L,$C:$C,$C1815,$D:$D,"P0(전)"))</f>
        <v/>
      </c>
      <c r="P1815" s="45">
        <f>IF(COUNTIFS($C:$C,$C1815,$D:$D,"P0(후)",$L:$L,"&gt;0")&lt;&gt;1,"",SUMIFS($H:$H,$C:$C,$C1815,$D:$D,"P0(후)"))</f>
        <v/>
      </c>
      <c r="Q1815" s="30">
        <f>IF(COUNTIFS($C:$C,$C1815,$D:$D,"P0(후)",$L:$L,"&gt;0")&lt;&gt;1,"",SUMIFS($L:$L,$C:$C,$C1815,$D:$D,"P0(후)"))</f>
        <v/>
      </c>
      <c r="R1815" s="30">
        <f>IF(M1815&lt;&gt;"OK","",O1815+(Q1815-O1815)*(H1815-N1815)/(P1815-N1815))</f>
        <v/>
      </c>
      <c r="S1815" s="30">
        <f>IF(OR(M1815&lt;&gt;"OK",NOT(ISNUMBER(L1815))),"",L1815-R1815)</f>
        <v/>
      </c>
      <c r="T1815" s="46">
        <f>IF(OR(NOT(ISNUMBER(S1815)),IF(ISNUMBER(G1815),G1815,F1815)=0),"",S1815/IF(ISNUMBER(G1815),G1815,F1815))</f>
        <v/>
      </c>
      <c r="U1815" s="46">
        <f>IF(ISNUMBER(T1815),ABS(T1815),"")</f>
        <v/>
      </c>
      <c r="V1815" s="46">
        <f>IF(OR($D1814&lt;&gt;"측정",$C1814&lt;&gt;$C1815,NOT(ISNUMBER(L1815)),NOT(ISNUMBER(L1814)),(IF(ISNUMBER(G1815),G1815,F1815)-IF(ISNUMBER(G1814),G1814,F1814))=0),"",(L1815-L1814)/(IF(ISNUMBER(G1815),G1815,F1815)-IF(ISNUMBER(G1814),G1814,F1814)))</f>
        <v/>
      </c>
      <c r="W1815" s="30">
        <f>IF(NOT(AND(ISNUMBER(N1815),ISNUMBER(P1815))),"",(P1815-N1815)*1440)</f>
        <v/>
      </c>
      <c r="X1815" s="28" t="n"/>
      <c r="Y1815" s="28" t="n"/>
      <c r="Z1815" s="28" t="n"/>
      <c r="AA1815" s="31" t="n"/>
      <c r="AB1815" s="31" t="n"/>
    </row>
    <row r="1816">
      <c r="A1816" s="25" t="inlineStr">
        <is>
          <t>S35</t>
        </is>
      </c>
      <c r="B1816" s="25" t="inlineStr">
        <is>
          <t>상주</t>
        </is>
      </c>
      <c r="C1816" s="25" t="inlineStr">
        <is>
          <t>S35-H북</t>
        </is>
      </c>
      <c r="D1816" s="25" t="inlineStr">
        <is>
          <t>측정</t>
        </is>
      </c>
      <c r="E1816" s="25" t="inlineStr">
        <is>
          <t>북</t>
        </is>
      </c>
      <c r="F1816" s="30" t="n">
        <v>3</v>
      </c>
      <c r="G1816" s="29" t="n"/>
      <c r="H1816" s="42" t="n"/>
      <c r="I1816" s="40" t="n"/>
      <c r="J1816" s="40" t="n"/>
      <c r="K1816" s="40" t="n"/>
      <c r="L1816" s="30">
        <f>IF(COUNT(I1816:K1816)=0,"",MEDIAN(I1816:K1816))</f>
        <v/>
      </c>
      <c r="M1816" s="25">
        <f>IF(COUNTIFS($C:$C,$C1816,$D:$D,"P0(전)",$L:$L,"&gt;0")&lt;&gt;1,"P0(전) 유효 1개 아님",IF(COUNTIFS($C:$C,$C1816,$D:$D,"P0(후)",$L:$L,"&gt;0")&lt;&gt;1,"P0(후) 유효 1개 아님",IF(NOT(AND(ISNUMBER(N1816),ISNUMBER(P1816),ISNUMBER(H1816))),"시각 결측",IF(P1816&lt;=N1816,"P0 시각 역전",IF(OR(H1816&lt;N1816,H1816&gt;P1816),"측정시각 구간 밖","OK")))))</f>
        <v/>
      </c>
      <c r="N1816" s="45">
        <f>IF(COUNTIFS($C:$C,$C1816,$D:$D,"P0(전)",$L:$L,"&gt;0")&lt;&gt;1,"",SUMIFS($H:$H,$C:$C,$C1816,$D:$D,"P0(전)"))</f>
        <v/>
      </c>
      <c r="O1816" s="30">
        <f>IF(COUNTIFS($C:$C,$C1816,$D:$D,"P0(전)",$L:$L,"&gt;0")&lt;&gt;1,"",SUMIFS($L:$L,$C:$C,$C1816,$D:$D,"P0(전)"))</f>
        <v/>
      </c>
      <c r="P1816" s="45">
        <f>IF(COUNTIFS($C:$C,$C1816,$D:$D,"P0(후)",$L:$L,"&gt;0")&lt;&gt;1,"",SUMIFS($H:$H,$C:$C,$C1816,$D:$D,"P0(후)"))</f>
        <v/>
      </c>
      <c r="Q1816" s="30">
        <f>IF(COUNTIFS($C:$C,$C1816,$D:$D,"P0(후)",$L:$L,"&gt;0")&lt;&gt;1,"",SUMIFS($L:$L,$C:$C,$C1816,$D:$D,"P0(후)"))</f>
        <v/>
      </c>
      <c r="R1816" s="30">
        <f>IF(M1816&lt;&gt;"OK","",O1816+(Q1816-O1816)*(H1816-N1816)/(P1816-N1816))</f>
        <v/>
      </c>
      <c r="S1816" s="30">
        <f>IF(OR(M1816&lt;&gt;"OK",NOT(ISNUMBER(L1816))),"",L1816-R1816)</f>
        <v/>
      </c>
      <c r="T1816" s="46">
        <f>IF(OR(NOT(ISNUMBER(S1816)),IF(ISNUMBER(G1816),G1816,F1816)=0),"",S1816/IF(ISNUMBER(G1816),G1816,F1816))</f>
        <v/>
      </c>
      <c r="U1816" s="46">
        <f>IF(ISNUMBER(T1816),ABS(T1816),"")</f>
        <v/>
      </c>
      <c r="V1816" s="46">
        <f>IF(OR($D1815&lt;&gt;"측정",$C1815&lt;&gt;$C1816,NOT(ISNUMBER(L1816)),NOT(ISNUMBER(L1815)),(IF(ISNUMBER(G1816),G1816,F1816)-IF(ISNUMBER(G1815),G1815,F1815))=0),"",(L1816-L1815)/(IF(ISNUMBER(G1816),G1816,F1816)-IF(ISNUMBER(G1815),G1815,F1815)))</f>
        <v/>
      </c>
      <c r="W1816" s="30">
        <f>IF(NOT(AND(ISNUMBER(N1816),ISNUMBER(P1816))),"",(P1816-N1816)*1440)</f>
        <v/>
      </c>
      <c r="X1816" s="28" t="n"/>
      <c r="Y1816" s="28" t="n"/>
      <c r="Z1816" s="28" t="n"/>
      <c r="AA1816" s="31" t="n"/>
      <c r="AB1816" s="31" t="n"/>
    </row>
    <row r="1817">
      <c r="A1817" s="25" t="inlineStr">
        <is>
          <t>S35</t>
        </is>
      </c>
      <c r="B1817" s="25" t="inlineStr">
        <is>
          <t>상주</t>
        </is>
      </c>
      <c r="C1817" s="25" t="inlineStr">
        <is>
          <t>S35-H북</t>
        </is>
      </c>
      <c r="D1817" s="25" t="inlineStr">
        <is>
          <t>측정</t>
        </is>
      </c>
      <c r="E1817" s="25" t="inlineStr">
        <is>
          <t>북</t>
        </is>
      </c>
      <c r="F1817" s="30" t="n">
        <v>4</v>
      </c>
      <c r="G1817" s="29" t="n"/>
      <c r="H1817" s="42" t="n"/>
      <c r="I1817" s="40" t="n"/>
      <c r="J1817" s="40" t="n"/>
      <c r="K1817" s="40" t="n"/>
      <c r="L1817" s="30">
        <f>IF(COUNT(I1817:K1817)=0,"",MEDIAN(I1817:K1817))</f>
        <v/>
      </c>
      <c r="M1817" s="25">
        <f>IF(COUNTIFS($C:$C,$C1817,$D:$D,"P0(전)",$L:$L,"&gt;0")&lt;&gt;1,"P0(전) 유효 1개 아님",IF(COUNTIFS($C:$C,$C1817,$D:$D,"P0(후)",$L:$L,"&gt;0")&lt;&gt;1,"P0(후) 유효 1개 아님",IF(NOT(AND(ISNUMBER(N1817),ISNUMBER(P1817),ISNUMBER(H1817))),"시각 결측",IF(P1817&lt;=N1817,"P0 시각 역전",IF(OR(H1817&lt;N1817,H1817&gt;P1817),"측정시각 구간 밖","OK")))))</f>
        <v/>
      </c>
      <c r="N1817" s="45">
        <f>IF(COUNTIFS($C:$C,$C1817,$D:$D,"P0(전)",$L:$L,"&gt;0")&lt;&gt;1,"",SUMIFS($H:$H,$C:$C,$C1817,$D:$D,"P0(전)"))</f>
        <v/>
      </c>
      <c r="O1817" s="30">
        <f>IF(COUNTIFS($C:$C,$C1817,$D:$D,"P0(전)",$L:$L,"&gt;0")&lt;&gt;1,"",SUMIFS($L:$L,$C:$C,$C1817,$D:$D,"P0(전)"))</f>
        <v/>
      </c>
      <c r="P1817" s="45">
        <f>IF(COUNTIFS($C:$C,$C1817,$D:$D,"P0(후)",$L:$L,"&gt;0")&lt;&gt;1,"",SUMIFS($H:$H,$C:$C,$C1817,$D:$D,"P0(후)"))</f>
        <v/>
      </c>
      <c r="Q1817" s="30">
        <f>IF(COUNTIFS($C:$C,$C1817,$D:$D,"P0(후)",$L:$L,"&gt;0")&lt;&gt;1,"",SUMIFS($L:$L,$C:$C,$C1817,$D:$D,"P0(후)"))</f>
        <v/>
      </c>
      <c r="R1817" s="30">
        <f>IF(M1817&lt;&gt;"OK","",O1817+(Q1817-O1817)*(H1817-N1817)/(P1817-N1817))</f>
        <v/>
      </c>
      <c r="S1817" s="30">
        <f>IF(OR(M1817&lt;&gt;"OK",NOT(ISNUMBER(L1817))),"",L1817-R1817)</f>
        <v/>
      </c>
      <c r="T1817" s="46">
        <f>IF(OR(NOT(ISNUMBER(S1817)),IF(ISNUMBER(G1817),G1817,F1817)=0),"",S1817/IF(ISNUMBER(G1817),G1817,F1817))</f>
        <v/>
      </c>
      <c r="U1817" s="46">
        <f>IF(ISNUMBER(T1817),ABS(T1817),"")</f>
        <v/>
      </c>
      <c r="V1817" s="46">
        <f>IF(OR($D1816&lt;&gt;"측정",$C1816&lt;&gt;$C1817,NOT(ISNUMBER(L1817)),NOT(ISNUMBER(L1816)),(IF(ISNUMBER(G1817),G1817,F1817)-IF(ISNUMBER(G1816),G1816,F1816))=0),"",(L1817-L1816)/(IF(ISNUMBER(G1817),G1817,F1817)-IF(ISNUMBER(G1816),G1816,F1816)))</f>
        <v/>
      </c>
      <c r="W1817" s="30">
        <f>IF(NOT(AND(ISNUMBER(N1817),ISNUMBER(P1817))),"",(P1817-N1817)*1440)</f>
        <v/>
      </c>
      <c r="X1817" s="28" t="n"/>
      <c r="Y1817" s="28" t="n"/>
      <c r="Z1817" s="28" t="n"/>
      <c r="AA1817" s="31" t="n"/>
      <c r="AB1817" s="31" t="n"/>
    </row>
    <row r="1818">
      <c r="A1818" s="25" t="inlineStr">
        <is>
          <t>S35</t>
        </is>
      </c>
      <c r="B1818" s="25" t="inlineStr">
        <is>
          <t>상주</t>
        </is>
      </c>
      <c r="C1818" s="25" t="inlineStr">
        <is>
          <t>S35-H북</t>
        </is>
      </c>
      <c r="D1818" s="25" t="inlineStr">
        <is>
          <t>측정</t>
        </is>
      </c>
      <c r="E1818" s="25" t="inlineStr">
        <is>
          <t>북</t>
        </is>
      </c>
      <c r="F1818" s="30" t="n">
        <v>5</v>
      </c>
      <c r="G1818" s="29" t="n"/>
      <c r="H1818" s="42" t="n"/>
      <c r="I1818" s="40" t="n"/>
      <c r="J1818" s="40" t="n"/>
      <c r="K1818" s="40" t="n"/>
      <c r="L1818" s="30">
        <f>IF(COUNT(I1818:K1818)=0,"",MEDIAN(I1818:K1818))</f>
        <v/>
      </c>
      <c r="M1818" s="25">
        <f>IF(COUNTIFS($C:$C,$C1818,$D:$D,"P0(전)",$L:$L,"&gt;0")&lt;&gt;1,"P0(전) 유효 1개 아님",IF(COUNTIFS($C:$C,$C1818,$D:$D,"P0(후)",$L:$L,"&gt;0")&lt;&gt;1,"P0(후) 유효 1개 아님",IF(NOT(AND(ISNUMBER(N1818),ISNUMBER(P1818),ISNUMBER(H1818))),"시각 결측",IF(P1818&lt;=N1818,"P0 시각 역전",IF(OR(H1818&lt;N1818,H1818&gt;P1818),"측정시각 구간 밖","OK")))))</f>
        <v/>
      </c>
      <c r="N1818" s="45">
        <f>IF(COUNTIFS($C:$C,$C1818,$D:$D,"P0(전)",$L:$L,"&gt;0")&lt;&gt;1,"",SUMIFS($H:$H,$C:$C,$C1818,$D:$D,"P0(전)"))</f>
        <v/>
      </c>
      <c r="O1818" s="30">
        <f>IF(COUNTIFS($C:$C,$C1818,$D:$D,"P0(전)",$L:$L,"&gt;0")&lt;&gt;1,"",SUMIFS($L:$L,$C:$C,$C1818,$D:$D,"P0(전)"))</f>
        <v/>
      </c>
      <c r="P1818" s="45">
        <f>IF(COUNTIFS($C:$C,$C1818,$D:$D,"P0(후)",$L:$L,"&gt;0")&lt;&gt;1,"",SUMIFS($H:$H,$C:$C,$C1818,$D:$D,"P0(후)"))</f>
        <v/>
      </c>
      <c r="Q1818" s="30">
        <f>IF(COUNTIFS($C:$C,$C1818,$D:$D,"P0(후)",$L:$L,"&gt;0")&lt;&gt;1,"",SUMIFS($L:$L,$C:$C,$C1818,$D:$D,"P0(후)"))</f>
        <v/>
      </c>
      <c r="R1818" s="30">
        <f>IF(M1818&lt;&gt;"OK","",O1818+(Q1818-O1818)*(H1818-N1818)/(P1818-N1818))</f>
        <v/>
      </c>
      <c r="S1818" s="30">
        <f>IF(OR(M1818&lt;&gt;"OK",NOT(ISNUMBER(L1818))),"",L1818-R1818)</f>
        <v/>
      </c>
      <c r="T1818" s="46">
        <f>IF(OR(NOT(ISNUMBER(S1818)),IF(ISNUMBER(G1818),G1818,F1818)=0),"",S1818/IF(ISNUMBER(G1818),G1818,F1818))</f>
        <v/>
      </c>
      <c r="U1818" s="46">
        <f>IF(ISNUMBER(T1818),ABS(T1818),"")</f>
        <v/>
      </c>
      <c r="V1818" s="46">
        <f>IF(OR($D1817&lt;&gt;"측정",$C1817&lt;&gt;$C1818,NOT(ISNUMBER(L1818)),NOT(ISNUMBER(L1817)),(IF(ISNUMBER(G1818),G1818,F1818)-IF(ISNUMBER(G1817),G1817,F1817))=0),"",(L1818-L1817)/(IF(ISNUMBER(G1818),G1818,F1818)-IF(ISNUMBER(G1817),G1817,F1817)))</f>
        <v/>
      </c>
      <c r="W1818" s="30">
        <f>IF(NOT(AND(ISNUMBER(N1818),ISNUMBER(P1818))),"",(P1818-N1818)*1440)</f>
        <v/>
      </c>
      <c r="X1818" s="28" t="n"/>
      <c r="Y1818" s="28" t="n"/>
      <c r="Z1818" s="28" t="n"/>
      <c r="AA1818" s="31" t="n"/>
      <c r="AB1818" s="31" t="n"/>
    </row>
    <row r="1819">
      <c r="A1819" s="25" t="inlineStr">
        <is>
          <t>S35</t>
        </is>
      </c>
      <c r="B1819" s="25" t="inlineStr">
        <is>
          <t>상주</t>
        </is>
      </c>
      <c r="C1819" s="25" t="inlineStr">
        <is>
          <t>S35-H북</t>
        </is>
      </c>
      <c r="D1819" s="25" t="inlineStr">
        <is>
          <t>측정</t>
        </is>
      </c>
      <c r="E1819" s="25" t="inlineStr">
        <is>
          <t>북</t>
        </is>
      </c>
      <c r="F1819" s="30" t="n">
        <v>6</v>
      </c>
      <c r="G1819" s="29" t="n"/>
      <c r="H1819" s="42" t="n"/>
      <c r="I1819" s="40" t="n"/>
      <c r="J1819" s="40" t="n"/>
      <c r="K1819" s="40" t="n"/>
      <c r="L1819" s="30">
        <f>IF(COUNT(I1819:K1819)=0,"",MEDIAN(I1819:K1819))</f>
        <v/>
      </c>
      <c r="M1819" s="25">
        <f>IF(COUNTIFS($C:$C,$C1819,$D:$D,"P0(전)",$L:$L,"&gt;0")&lt;&gt;1,"P0(전) 유효 1개 아님",IF(COUNTIFS($C:$C,$C1819,$D:$D,"P0(후)",$L:$L,"&gt;0")&lt;&gt;1,"P0(후) 유효 1개 아님",IF(NOT(AND(ISNUMBER(N1819),ISNUMBER(P1819),ISNUMBER(H1819))),"시각 결측",IF(P1819&lt;=N1819,"P0 시각 역전",IF(OR(H1819&lt;N1819,H1819&gt;P1819),"측정시각 구간 밖","OK")))))</f>
        <v/>
      </c>
      <c r="N1819" s="45">
        <f>IF(COUNTIFS($C:$C,$C1819,$D:$D,"P0(전)",$L:$L,"&gt;0")&lt;&gt;1,"",SUMIFS($H:$H,$C:$C,$C1819,$D:$D,"P0(전)"))</f>
        <v/>
      </c>
      <c r="O1819" s="30">
        <f>IF(COUNTIFS($C:$C,$C1819,$D:$D,"P0(전)",$L:$L,"&gt;0")&lt;&gt;1,"",SUMIFS($L:$L,$C:$C,$C1819,$D:$D,"P0(전)"))</f>
        <v/>
      </c>
      <c r="P1819" s="45">
        <f>IF(COUNTIFS($C:$C,$C1819,$D:$D,"P0(후)",$L:$L,"&gt;0")&lt;&gt;1,"",SUMIFS($H:$H,$C:$C,$C1819,$D:$D,"P0(후)"))</f>
        <v/>
      </c>
      <c r="Q1819" s="30">
        <f>IF(COUNTIFS($C:$C,$C1819,$D:$D,"P0(후)",$L:$L,"&gt;0")&lt;&gt;1,"",SUMIFS($L:$L,$C:$C,$C1819,$D:$D,"P0(후)"))</f>
        <v/>
      </c>
      <c r="R1819" s="30">
        <f>IF(M1819&lt;&gt;"OK","",O1819+(Q1819-O1819)*(H1819-N1819)/(P1819-N1819))</f>
        <v/>
      </c>
      <c r="S1819" s="30">
        <f>IF(OR(M1819&lt;&gt;"OK",NOT(ISNUMBER(L1819))),"",L1819-R1819)</f>
        <v/>
      </c>
      <c r="T1819" s="46">
        <f>IF(OR(NOT(ISNUMBER(S1819)),IF(ISNUMBER(G1819),G1819,F1819)=0),"",S1819/IF(ISNUMBER(G1819),G1819,F1819))</f>
        <v/>
      </c>
      <c r="U1819" s="46">
        <f>IF(ISNUMBER(T1819),ABS(T1819),"")</f>
        <v/>
      </c>
      <c r="V1819" s="46">
        <f>IF(OR($D1818&lt;&gt;"측정",$C1818&lt;&gt;$C1819,NOT(ISNUMBER(L1819)),NOT(ISNUMBER(L1818)),(IF(ISNUMBER(G1819),G1819,F1819)-IF(ISNUMBER(G1818),G1818,F1818))=0),"",(L1819-L1818)/(IF(ISNUMBER(G1819),G1819,F1819)-IF(ISNUMBER(G1818),G1818,F1818)))</f>
        <v/>
      </c>
      <c r="W1819" s="30">
        <f>IF(NOT(AND(ISNUMBER(N1819),ISNUMBER(P1819))),"",(P1819-N1819)*1440)</f>
        <v/>
      </c>
      <c r="X1819" s="28" t="n"/>
      <c r="Y1819" s="28" t="n"/>
      <c r="Z1819" s="28" t="n"/>
      <c r="AA1819" s="31" t="n"/>
      <c r="AB1819" s="31" t="n"/>
    </row>
    <row r="1820">
      <c r="A1820" s="25" t="inlineStr">
        <is>
          <t>S35</t>
        </is>
      </c>
      <c r="B1820" s="25" t="inlineStr">
        <is>
          <t>상주</t>
        </is>
      </c>
      <c r="C1820" s="25" t="inlineStr">
        <is>
          <t>S35-H북</t>
        </is>
      </c>
      <c r="D1820" s="25" t="inlineStr">
        <is>
          <t>측정</t>
        </is>
      </c>
      <c r="E1820" s="25" t="inlineStr">
        <is>
          <t>북</t>
        </is>
      </c>
      <c r="F1820" s="30" t="n">
        <v>7</v>
      </c>
      <c r="G1820" s="29" t="n"/>
      <c r="H1820" s="42" t="n"/>
      <c r="I1820" s="40" t="n"/>
      <c r="J1820" s="40" t="n"/>
      <c r="K1820" s="40" t="n"/>
      <c r="L1820" s="30">
        <f>IF(COUNT(I1820:K1820)=0,"",MEDIAN(I1820:K1820))</f>
        <v/>
      </c>
      <c r="M1820" s="25">
        <f>IF(COUNTIFS($C:$C,$C1820,$D:$D,"P0(전)",$L:$L,"&gt;0")&lt;&gt;1,"P0(전) 유효 1개 아님",IF(COUNTIFS($C:$C,$C1820,$D:$D,"P0(후)",$L:$L,"&gt;0")&lt;&gt;1,"P0(후) 유효 1개 아님",IF(NOT(AND(ISNUMBER(N1820),ISNUMBER(P1820),ISNUMBER(H1820))),"시각 결측",IF(P1820&lt;=N1820,"P0 시각 역전",IF(OR(H1820&lt;N1820,H1820&gt;P1820),"측정시각 구간 밖","OK")))))</f>
        <v/>
      </c>
      <c r="N1820" s="45">
        <f>IF(COUNTIFS($C:$C,$C1820,$D:$D,"P0(전)",$L:$L,"&gt;0")&lt;&gt;1,"",SUMIFS($H:$H,$C:$C,$C1820,$D:$D,"P0(전)"))</f>
        <v/>
      </c>
      <c r="O1820" s="30">
        <f>IF(COUNTIFS($C:$C,$C1820,$D:$D,"P0(전)",$L:$L,"&gt;0")&lt;&gt;1,"",SUMIFS($L:$L,$C:$C,$C1820,$D:$D,"P0(전)"))</f>
        <v/>
      </c>
      <c r="P1820" s="45">
        <f>IF(COUNTIFS($C:$C,$C1820,$D:$D,"P0(후)",$L:$L,"&gt;0")&lt;&gt;1,"",SUMIFS($H:$H,$C:$C,$C1820,$D:$D,"P0(후)"))</f>
        <v/>
      </c>
      <c r="Q1820" s="30">
        <f>IF(COUNTIFS($C:$C,$C1820,$D:$D,"P0(후)",$L:$L,"&gt;0")&lt;&gt;1,"",SUMIFS($L:$L,$C:$C,$C1820,$D:$D,"P0(후)"))</f>
        <v/>
      </c>
      <c r="R1820" s="30">
        <f>IF(M1820&lt;&gt;"OK","",O1820+(Q1820-O1820)*(H1820-N1820)/(P1820-N1820))</f>
        <v/>
      </c>
      <c r="S1820" s="30">
        <f>IF(OR(M1820&lt;&gt;"OK",NOT(ISNUMBER(L1820))),"",L1820-R1820)</f>
        <v/>
      </c>
      <c r="T1820" s="46">
        <f>IF(OR(NOT(ISNUMBER(S1820)),IF(ISNUMBER(G1820),G1820,F1820)=0),"",S1820/IF(ISNUMBER(G1820),G1820,F1820))</f>
        <v/>
      </c>
      <c r="U1820" s="46">
        <f>IF(ISNUMBER(T1820),ABS(T1820),"")</f>
        <v/>
      </c>
      <c r="V1820" s="46">
        <f>IF(OR($D1819&lt;&gt;"측정",$C1819&lt;&gt;$C1820,NOT(ISNUMBER(L1820)),NOT(ISNUMBER(L1819)),(IF(ISNUMBER(G1820),G1820,F1820)-IF(ISNUMBER(G1819),G1819,F1819))=0),"",(L1820-L1819)/(IF(ISNUMBER(G1820),G1820,F1820)-IF(ISNUMBER(G1819),G1819,F1819)))</f>
        <v/>
      </c>
      <c r="W1820" s="30">
        <f>IF(NOT(AND(ISNUMBER(N1820),ISNUMBER(P1820))),"",(P1820-N1820)*1440)</f>
        <v/>
      </c>
      <c r="X1820" s="28" t="n"/>
      <c r="Y1820" s="28" t="n"/>
      <c r="Z1820" s="28" t="n"/>
      <c r="AA1820" s="31" t="n"/>
      <c r="AB1820" s="31" t="n"/>
    </row>
    <row r="1821">
      <c r="A1821" s="25" t="inlineStr">
        <is>
          <t>S35</t>
        </is>
      </c>
      <c r="B1821" s="25" t="inlineStr">
        <is>
          <t>상주</t>
        </is>
      </c>
      <c r="C1821" s="25" t="inlineStr">
        <is>
          <t>S35-H북</t>
        </is>
      </c>
      <c r="D1821" s="25" t="inlineStr">
        <is>
          <t>측정</t>
        </is>
      </c>
      <c r="E1821" s="25" t="inlineStr">
        <is>
          <t>북</t>
        </is>
      </c>
      <c r="F1821" s="30" t="n">
        <v>8</v>
      </c>
      <c r="G1821" s="29" t="n"/>
      <c r="H1821" s="42" t="n"/>
      <c r="I1821" s="40" t="n"/>
      <c r="J1821" s="40" t="n"/>
      <c r="K1821" s="40" t="n"/>
      <c r="L1821" s="30">
        <f>IF(COUNT(I1821:K1821)=0,"",MEDIAN(I1821:K1821))</f>
        <v/>
      </c>
      <c r="M1821" s="25">
        <f>IF(COUNTIFS($C:$C,$C1821,$D:$D,"P0(전)",$L:$L,"&gt;0")&lt;&gt;1,"P0(전) 유효 1개 아님",IF(COUNTIFS($C:$C,$C1821,$D:$D,"P0(후)",$L:$L,"&gt;0")&lt;&gt;1,"P0(후) 유효 1개 아님",IF(NOT(AND(ISNUMBER(N1821),ISNUMBER(P1821),ISNUMBER(H1821))),"시각 결측",IF(P1821&lt;=N1821,"P0 시각 역전",IF(OR(H1821&lt;N1821,H1821&gt;P1821),"측정시각 구간 밖","OK")))))</f>
        <v/>
      </c>
      <c r="N1821" s="45">
        <f>IF(COUNTIFS($C:$C,$C1821,$D:$D,"P0(전)",$L:$L,"&gt;0")&lt;&gt;1,"",SUMIFS($H:$H,$C:$C,$C1821,$D:$D,"P0(전)"))</f>
        <v/>
      </c>
      <c r="O1821" s="30">
        <f>IF(COUNTIFS($C:$C,$C1821,$D:$D,"P0(전)",$L:$L,"&gt;0")&lt;&gt;1,"",SUMIFS($L:$L,$C:$C,$C1821,$D:$D,"P0(전)"))</f>
        <v/>
      </c>
      <c r="P1821" s="45">
        <f>IF(COUNTIFS($C:$C,$C1821,$D:$D,"P0(후)",$L:$L,"&gt;0")&lt;&gt;1,"",SUMIFS($H:$H,$C:$C,$C1821,$D:$D,"P0(후)"))</f>
        <v/>
      </c>
      <c r="Q1821" s="30">
        <f>IF(COUNTIFS($C:$C,$C1821,$D:$D,"P0(후)",$L:$L,"&gt;0")&lt;&gt;1,"",SUMIFS($L:$L,$C:$C,$C1821,$D:$D,"P0(후)"))</f>
        <v/>
      </c>
      <c r="R1821" s="30">
        <f>IF(M1821&lt;&gt;"OK","",O1821+(Q1821-O1821)*(H1821-N1821)/(P1821-N1821))</f>
        <v/>
      </c>
      <c r="S1821" s="30">
        <f>IF(OR(M1821&lt;&gt;"OK",NOT(ISNUMBER(L1821))),"",L1821-R1821)</f>
        <v/>
      </c>
      <c r="T1821" s="46">
        <f>IF(OR(NOT(ISNUMBER(S1821)),IF(ISNUMBER(G1821),G1821,F1821)=0),"",S1821/IF(ISNUMBER(G1821),G1821,F1821))</f>
        <v/>
      </c>
      <c r="U1821" s="46">
        <f>IF(ISNUMBER(T1821),ABS(T1821),"")</f>
        <v/>
      </c>
      <c r="V1821" s="46">
        <f>IF(OR($D1820&lt;&gt;"측정",$C1820&lt;&gt;$C1821,NOT(ISNUMBER(L1821)),NOT(ISNUMBER(L1820)),(IF(ISNUMBER(G1821),G1821,F1821)-IF(ISNUMBER(G1820),G1820,F1820))=0),"",(L1821-L1820)/(IF(ISNUMBER(G1821),G1821,F1821)-IF(ISNUMBER(G1820),G1820,F1820)))</f>
        <v/>
      </c>
      <c r="W1821" s="30">
        <f>IF(NOT(AND(ISNUMBER(N1821),ISNUMBER(P1821))),"",(P1821-N1821)*1440)</f>
        <v/>
      </c>
      <c r="X1821" s="28" t="n"/>
      <c r="Y1821" s="28" t="n"/>
      <c r="Z1821" s="28" t="n"/>
      <c r="AA1821" s="31" t="n"/>
      <c r="AB1821" s="31" t="n"/>
    </row>
    <row r="1822">
      <c r="A1822" s="25" t="inlineStr">
        <is>
          <t>S35</t>
        </is>
      </c>
      <c r="B1822" s="25" t="inlineStr">
        <is>
          <t>상주</t>
        </is>
      </c>
      <c r="C1822" s="25" t="inlineStr">
        <is>
          <t>S35-H북</t>
        </is>
      </c>
      <c r="D1822" s="25" t="inlineStr">
        <is>
          <t>측정</t>
        </is>
      </c>
      <c r="E1822" s="25" t="inlineStr">
        <is>
          <t>북</t>
        </is>
      </c>
      <c r="F1822" s="30" t="n">
        <v>9</v>
      </c>
      <c r="G1822" s="29" t="n"/>
      <c r="H1822" s="42" t="n"/>
      <c r="I1822" s="40" t="n"/>
      <c r="J1822" s="40" t="n"/>
      <c r="K1822" s="40" t="n"/>
      <c r="L1822" s="30">
        <f>IF(COUNT(I1822:K1822)=0,"",MEDIAN(I1822:K1822))</f>
        <v/>
      </c>
      <c r="M1822" s="25">
        <f>IF(COUNTIFS($C:$C,$C1822,$D:$D,"P0(전)",$L:$L,"&gt;0")&lt;&gt;1,"P0(전) 유효 1개 아님",IF(COUNTIFS($C:$C,$C1822,$D:$D,"P0(후)",$L:$L,"&gt;0")&lt;&gt;1,"P0(후) 유효 1개 아님",IF(NOT(AND(ISNUMBER(N1822),ISNUMBER(P1822),ISNUMBER(H1822))),"시각 결측",IF(P1822&lt;=N1822,"P0 시각 역전",IF(OR(H1822&lt;N1822,H1822&gt;P1822),"측정시각 구간 밖","OK")))))</f>
        <v/>
      </c>
      <c r="N1822" s="45">
        <f>IF(COUNTIFS($C:$C,$C1822,$D:$D,"P0(전)",$L:$L,"&gt;0")&lt;&gt;1,"",SUMIFS($H:$H,$C:$C,$C1822,$D:$D,"P0(전)"))</f>
        <v/>
      </c>
      <c r="O1822" s="30">
        <f>IF(COUNTIFS($C:$C,$C1822,$D:$D,"P0(전)",$L:$L,"&gt;0")&lt;&gt;1,"",SUMIFS($L:$L,$C:$C,$C1822,$D:$D,"P0(전)"))</f>
        <v/>
      </c>
      <c r="P1822" s="45">
        <f>IF(COUNTIFS($C:$C,$C1822,$D:$D,"P0(후)",$L:$L,"&gt;0")&lt;&gt;1,"",SUMIFS($H:$H,$C:$C,$C1822,$D:$D,"P0(후)"))</f>
        <v/>
      </c>
      <c r="Q1822" s="30">
        <f>IF(COUNTIFS($C:$C,$C1822,$D:$D,"P0(후)",$L:$L,"&gt;0")&lt;&gt;1,"",SUMIFS($L:$L,$C:$C,$C1822,$D:$D,"P0(후)"))</f>
        <v/>
      </c>
      <c r="R1822" s="30">
        <f>IF(M1822&lt;&gt;"OK","",O1822+(Q1822-O1822)*(H1822-N1822)/(P1822-N1822))</f>
        <v/>
      </c>
      <c r="S1822" s="30">
        <f>IF(OR(M1822&lt;&gt;"OK",NOT(ISNUMBER(L1822))),"",L1822-R1822)</f>
        <v/>
      </c>
      <c r="T1822" s="46">
        <f>IF(OR(NOT(ISNUMBER(S1822)),IF(ISNUMBER(G1822),G1822,F1822)=0),"",S1822/IF(ISNUMBER(G1822),G1822,F1822))</f>
        <v/>
      </c>
      <c r="U1822" s="46">
        <f>IF(ISNUMBER(T1822),ABS(T1822),"")</f>
        <v/>
      </c>
      <c r="V1822" s="46">
        <f>IF(OR($D1821&lt;&gt;"측정",$C1821&lt;&gt;$C1822,NOT(ISNUMBER(L1822)),NOT(ISNUMBER(L1821)),(IF(ISNUMBER(G1822),G1822,F1822)-IF(ISNUMBER(G1821),G1821,F1821))=0),"",(L1822-L1821)/(IF(ISNUMBER(G1822),G1822,F1822)-IF(ISNUMBER(G1821),G1821,F1821)))</f>
        <v/>
      </c>
      <c r="W1822" s="30">
        <f>IF(NOT(AND(ISNUMBER(N1822),ISNUMBER(P1822))),"",(P1822-N1822)*1440)</f>
        <v/>
      </c>
      <c r="X1822" s="28" t="n"/>
      <c r="Y1822" s="28" t="n"/>
      <c r="Z1822" s="28" t="n"/>
      <c r="AA1822" s="31" t="n"/>
      <c r="AB1822" s="31" t="n"/>
    </row>
    <row r="1823">
      <c r="A1823" s="25" t="inlineStr">
        <is>
          <t>S35</t>
        </is>
      </c>
      <c r="B1823" s="25" t="inlineStr">
        <is>
          <t>상주</t>
        </is>
      </c>
      <c r="C1823" s="25" t="inlineStr">
        <is>
          <t>S35-H북</t>
        </is>
      </c>
      <c r="D1823" s="25" t="inlineStr">
        <is>
          <t>측정</t>
        </is>
      </c>
      <c r="E1823" s="25" t="inlineStr">
        <is>
          <t>북</t>
        </is>
      </c>
      <c r="F1823" s="30" t="n">
        <v>10</v>
      </c>
      <c r="G1823" s="29" t="n"/>
      <c r="H1823" s="42" t="n"/>
      <c r="I1823" s="40" t="n"/>
      <c r="J1823" s="40" t="n"/>
      <c r="K1823" s="40" t="n"/>
      <c r="L1823" s="30">
        <f>IF(COUNT(I1823:K1823)=0,"",MEDIAN(I1823:K1823))</f>
        <v/>
      </c>
      <c r="M1823" s="25">
        <f>IF(COUNTIFS($C:$C,$C1823,$D:$D,"P0(전)",$L:$L,"&gt;0")&lt;&gt;1,"P0(전) 유효 1개 아님",IF(COUNTIFS($C:$C,$C1823,$D:$D,"P0(후)",$L:$L,"&gt;0")&lt;&gt;1,"P0(후) 유효 1개 아님",IF(NOT(AND(ISNUMBER(N1823),ISNUMBER(P1823),ISNUMBER(H1823))),"시각 결측",IF(P1823&lt;=N1823,"P0 시각 역전",IF(OR(H1823&lt;N1823,H1823&gt;P1823),"측정시각 구간 밖","OK")))))</f>
        <v/>
      </c>
      <c r="N1823" s="45">
        <f>IF(COUNTIFS($C:$C,$C1823,$D:$D,"P0(전)",$L:$L,"&gt;0")&lt;&gt;1,"",SUMIFS($H:$H,$C:$C,$C1823,$D:$D,"P0(전)"))</f>
        <v/>
      </c>
      <c r="O1823" s="30">
        <f>IF(COUNTIFS($C:$C,$C1823,$D:$D,"P0(전)",$L:$L,"&gt;0")&lt;&gt;1,"",SUMIFS($L:$L,$C:$C,$C1823,$D:$D,"P0(전)"))</f>
        <v/>
      </c>
      <c r="P1823" s="45">
        <f>IF(COUNTIFS($C:$C,$C1823,$D:$D,"P0(후)",$L:$L,"&gt;0")&lt;&gt;1,"",SUMIFS($H:$H,$C:$C,$C1823,$D:$D,"P0(후)"))</f>
        <v/>
      </c>
      <c r="Q1823" s="30">
        <f>IF(COUNTIFS($C:$C,$C1823,$D:$D,"P0(후)",$L:$L,"&gt;0")&lt;&gt;1,"",SUMIFS($L:$L,$C:$C,$C1823,$D:$D,"P0(후)"))</f>
        <v/>
      </c>
      <c r="R1823" s="30">
        <f>IF(M1823&lt;&gt;"OK","",O1823+(Q1823-O1823)*(H1823-N1823)/(P1823-N1823))</f>
        <v/>
      </c>
      <c r="S1823" s="30">
        <f>IF(OR(M1823&lt;&gt;"OK",NOT(ISNUMBER(L1823))),"",L1823-R1823)</f>
        <v/>
      </c>
      <c r="T1823" s="46">
        <f>IF(OR(NOT(ISNUMBER(S1823)),IF(ISNUMBER(G1823),G1823,F1823)=0),"",S1823/IF(ISNUMBER(G1823),G1823,F1823))</f>
        <v/>
      </c>
      <c r="U1823" s="46">
        <f>IF(ISNUMBER(T1823),ABS(T1823),"")</f>
        <v/>
      </c>
      <c r="V1823" s="46">
        <f>IF(OR($D1822&lt;&gt;"측정",$C1822&lt;&gt;$C1823,NOT(ISNUMBER(L1823)),NOT(ISNUMBER(L1822)),(IF(ISNUMBER(G1823),G1823,F1823)-IF(ISNUMBER(G1822),G1822,F1822))=0),"",(L1823-L1822)/(IF(ISNUMBER(G1823),G1823,F1823)-IF(ISNUMBER(G1822),G1822,F1822)))</f>
        <v/>
      </c>
      <c r="W1823" s="30">
        <f>IF(NOT(AND(ISNUMBER(N1823),ISNUMBER(P1823))),"",(P1823-N1823)*1440)</f>
        <v/>
      </c>
      <c r="X1823" s="28" t="n"/>
      <c r="Y1823" s="28" t="n"/>
      <c r="Z1823" s="28" t="n"/>
      <c r="AA1823" s="31" t="n"/>
      <c r="AB1823" s="31" t="n"/>
    </row>
    <row r="1824">
      <c r="A1824" s="43" t="inlineStr">
        <is>
          <t>S35</t>
        </is>
      </c>
      <c r="B1824" s="43" t="inlineStr">
        <is>
          <t>상주</t>
        </is>
      </c>
      <c r="C1824" s="43" t="inlineStr">
        <is>
          <t>S35-H북</t>
        </is>
      </c>
      <c r="D1824" s="43" t="inlineStr">
        <is>
          <t>P0(후)</t>
        </is>
      </c>
      <c r="E1824" s="43" t="inlineStr">
        <is>
          <t>북</t>
        </is>
      </c>
      <c r="F1824" s="44" t="n"/>
      <c r="G1824" s="29" t="n"/>
      <c r="H1824" s="42" t="n"/>
      <c r="I1824" s="40" t="n"/>
      <c r="J1824" s="40" t="n"/>
      <c r="K1824" s="40" t="n"/>
      <c r="L1824" s="30">
        <f>IF(COUNT(I1824:K1824)=0,"",MEDIAN(I1824:K1824))</f>
        <v/>
      </c>
      <c r="M1824" s="37" t="n"/>
      <c r="N1824" s="37" t="n"/>
      <c r="O1824" s="37" t="n"/>
      <c r="P1824" s="37" t="n"/>
      <c r="Q1824" s="37" t="n"/>
      <c r="R1824" s="37" t="n"/>
      <c r="S1824" s="37" t="n"/>
      <c r="T1824" s="37" t="n"/>
      <c r="U1824" s="37" t="n"/>
      <c r="V1824" s="37" t="n"/>
      <c r="W1824" s="37" t="n"/>
      <c r="X1824" s="28" t="n"/>
      <c r="Y1824" s="28" t="n"/>
      <c r="Z1824" s="28" t="n"/>
      <c r="AA1824" s="31" t="n"/>
      <c r="AB1824" s="31" t="n"/>
    </row>
    <row r="1825">
      <c r="A1825" s="43" t="inlineStr">
        <is>
          <t>S36</t>
        </is>
      </c>
      <c r="B1825" s="43" t="inlineStr">
        <is>
          <t>미원</t>
        </is>
      </c>
      <c r="C1825" s="43" t="inlineStr">
        <is>
          <t>S36-H동</t>
        </is>
      </c>
      <c r="D1825" s="43" t="inlineStr">
        <is>
          <t>P0(전)</t>
        </is>
      </c>
      <c r="E1825" s="43" t="inlineStr">
        <is>
          <t>동</t>
        </is>
      </c>
      <c r="F1825" s="44" t="n"/>
      <c r="G1825" s="29" t="n"/>
      <c r="H1825" s="42" t="n"/>
      <c r="I1825" s="40" t="n"/>
      <c r="J1825" s="40" t="n"/>
      <c r="K1825" s="40" t="n"/>
      <c r="L1825" s="30">
        <f>IF(COUNT(I1825:K1825)=0,"",MEDIAN(I1825:K1825))</f>
        <v/>
      </c>
      <c r="M1825" s="37" t="n"/>
      <c r="N1825" s="37" t="n"/>
      <c r="O1825" s="37" t="n"/>
      <c r="P1825" s="37" t="n"/>
      <c r="Q1825" s="37" t="n"/>
      <c r="R1825" s="37" t="n"/>
      <c r="S1825" s="37" t="n"/>
      <c r="T1825" s="37" t="n"/>
      <c r="U1825" s="37" t="n"/>
      <c r="V1825" s="37" t="n"/>
      <c r="W1825" s="37" t="n"/>
      <c r="X1825" s="28" t="n"/>
      <c r="Y1825" s="28" t="n"/>
      <c r="Z1825" s="28" t="n"/>
      <c r="AA1825" s="31" t="n"/>
      <c r="AB1825" s="31" t="n"/>
    </row>
    <row r="1826">
      <c r="A1826" s="25" t="inlineStr">
        <is>
          <t>S36</t>
        </is>
      </c>
      <c r="B1826" s="25" t="inlineStr">
        <is>
          <t>미원</t>
        </is>
      </c>
      <c r="C1826" s="25" t="inlineStr">
        <is>
          <t>S36-H동</t>
        </is>
      </c>
      <c r="D1826" s="25" t="inlineStr">
        <is>
          <t>측정</t>
        </is>
      </c>
      <c r="E1826" s="25" t="inlineStr">
        <is>
          <t>동</t>
        </is>
      </c>
      <c r="F1826" s="30" t="n">
        <v>0.5</v>
      </c>
      <c r="G1826" s="29" t="n"/>
      <c r="H1826" s="42" t="n"/>
      <c r="I1826" s="40" t="n"/>
      <c r="J1826" s="40" t="n"/>
      <c r="K1826" s="40" t="n"/>
      <c r="L1826" s="30">
        <f>IF(COUNT(I1826:K1826)=0,"",MEDIAN(I1826:K1826))</f>
        <v/>
      </c>
      <c r="M1826" s="25">
        <f>IF(COUNTIFS($C:$C,$C1826,$D:$D,"P0(전)",$L:$L,"&gt;0")&lt;&gt;1,"P0(전) 유효 1개 아님",IF(COUNTIFS($C:$C,$C1826,$D:$D,"P0(후)",$L:$L,"&gt;0")&lt;&gt;1,"P0(후) 유효 1개 아님",IF(NOT(AND(ISNUMBER(N1826),ISNUMBER(P1826),ISNUMBER(H1826))),"시각 결측",IF(P1826&lt;=N1826,"P0 시각 역전",IF(OR(H1826&lt;N1826,H1826&gt;P1826),"측정시각 구간 밖","OK")))))</f>
        <v/>
      </c>
      <c r="N1826" s="45">
        <f>IF(COUNTIFS($C:$C,$C1826,$D:$D,"P0(전)",$L:$L,"&gt;0")&lt;&gt;1,"",SUMIFS($H:$H,$C:$C,$C1826,$D:$D,"P0(전)"))</f>
        <v/>
      </c>
      <c r="O1826" s="30">
        <f>IF(COUNTIFS($C:$C,$C1826,$D:$D,"P0(전)",$L:$L,"&gt;0")&lt;&gt;1,"",SUMIFS($L:$L,$C:$C,$C1826,$D:$D,"P0(전)"))</f>
        <v/>
      </c>
      <c r="P1826" s="45">
        <f>IF(COUNTIFS($C:$C,$C1826,$D:$D,"P0(후)",$L:$L,"&gt;0")&lt;&gt;1,"",SUMIFS($H:$H,$C:$C,$C1826,$D:$D,"P0(후)"))</f>
        <v/>
      </c>
      <c r="Q1826" s="30">
        <f>IF(COUNTIFS($C:$C,$C1826,$D:$D,"P0(후)",$L:$L,"&gt;0")&lt;&gt;1,"",SUMIFS($L:$L,$C:$C,$C1826,$D:$D,"P0(후)"))</f>
        <v/>
      </c>
      <c r="R1826" s="30">
        <f>IF(M1826&lt;&gt;"OK","",O1826+(Q1826-O1826)*(H1826-N1826)/(P1826-N1826))</f>
        <v/>
      </c>
      <c r="S1826" s="30">
        <f>IF(OR(M1826&lt;&gt;"OK",NOT(ISNUMBER(L1826))),"",L1826-R1826)</f>
        <v/>
      </c>
      <c r="T1826" s="46">
        <f>IF(OR(NOT(ISNUMBER(S1826)),IF(ISNUMBER(G1826),G1826,F1826)=0),"",S1826/IF(ISNUMBER(G1826),G1826,F1826))</f>
        <v/>
      </c>
      <c r="U1826" s="46">
        <f>IF(ISNUMBER(T1826),ABS(T1826),"")</f>
        <v/>
      </c>
      <c r="V1826" s="46">
        <f>IF(OR($D1825&lt;&gt;"측정",$C1825&lt;&gt;$C1826,NOT(ISNUMBER(L1826)),NOT(ISNUMBER(L1825)),(IF(ISNUMBER(G1826),G1826,F1826)-IF(ISNUMBER(G1825),G1825,F1825))=0),"",(L1826-L1825)/(IF(ISNUMBER(G1826),G1826,F1826)-IF(ISNUMBER(G1825),G1825,F1825)))</f>
        <v/>
      </c>
      <c r="W1826" s="30">
        <f>IF(NOT(AND(ISNUMBER(N1826),ISNUMBER(P1826))),"",(P1826-N1826)*1440)</f>
        <v/>
      </c>
      <c r="X1826" s="28" t="n"/>
      <c r="Y1826" s="28" t="n"/>
      <c r="Z1826" s="28" t="n"/>
      <c r="AA1826" s="31" t="n"/>
      <c r="AB1826" s="31" t="n"/>
    </row>
    <row r="1827">
      <c r="A1827" s="25" t="inlineStr">
        <is>
          <t>S36</t>
        </is>
      </c>
      <c r="B1827" s="25" t="inlineStr">
        <is>
          <t>미원</t>
        </is>
      </c>
      <c r="C1827" s="25" t="inlineStr">
        <is>
          <t>S36-H동</t>
        </is>
      </c>
      <c r="D1827" s="25" t="inlineStr">
        <is>
          <t>측정</t>
        </is>
      </c>
      <c r="E1827" s="25" t="inlineStr">
        <is>
          <t>동</t>
        </is>
      </c>
      <c r="F1827" s="30" t="n">
        <v>1</v>
      </c>
      <c r="G1827" s="29" t="n"/>
      <c r="H1827" s="42" t="n"/>
      <c r="I1827" s="40" t="n"/>
      <c r="J1827" s="40" t="n"/>
      <c r="K1827" s="40" t="n"/>
      <c r="L1827" s="30">
        <f>IF(COUNT(I1827:K1827)=0,"",MEDIAN(I1827:K1827))</f>
        <v/>
      </c>
      <c r="M1827" s="25">
        <f>IF(COUNTIFS($C:$C,$C1827,$D:$D,"P0(전)",$L:$L,"&gt;0")&lt;&gt;1,"P0(전) 유효 1개 아님",IF(COUNTIFS($C:$C,$C1827,$D:$D,"P0(후)",$L:$L,"&gt;0")&lt;&gt;1,"P0(후) 유효 1개 아님",IF(NOT(AND(ISNUMBER(N1827),ISNUMBER(P1827),ISNUMBER(H1827))),"시각 결측",IF(P1827&lt;=N1827,"P0 시각 역전",IF(OR(H1827&lt;N1827,H1827&gt;P1827),"측정시각 구간 밖","OK")))))</f>
        <v/>
      </c>
      <c r="N1827" s="45">
        <f>IF(COUNTIFS($C:$C,$C1827,$D:$D,"P0(전)",$L:$L,"&gt;0")&lt;&gt;1,"",SUMIFS($H:$H,$C:$C,$C1827,$D:$D,"P0(전)"))</f>
        <v/>
      </c>
      <c r="O1827" s="30">
        <f>IF(COUNTIFS($C:$C,$C1827,$D:$D,"P0(전)",$L:$L,"&gt;0")&lt;&gt;1,"",SUMIFS($L:$L,$C:$C,$C1827,$D:$D,"P0(전)"))</f>
        <v/>
      </c>
      <c r="P1827" s="45">
        <f>IF(COUNTIFS($C:$C,$C1827,$D:$D,"P0(후)",$L:$L,"&gt;0")&lt;&gt;1,"",SUMIFS($H:$H,$C:$C,$C1827,$D:$D,"P0(후)"))</f>
        <v/>
      </c>
      <c r="Q1827" s="30">
        <f>IF(COUNTIFS($C:$C,$C1827,$D:$D,"P0(후)",$L:$L,"&gt;0")&lt;&gt;1,"",SUMIFS($L:$L,$C:$C,$C1827,$D:$D,"P0(후)"))</f>
        <v/>
      </c>
      <c r="R1827" s="30">
        <f>IF(M1827&lt;&gt;"OK","",O1827+(Q1827-O1827)*(H1827-N1827)/(P1827-N1827))</f>
        <v/>
      </c>
      <c r="S1827" s="30">
        <f>IF(OR(M1827&lt;&gt;"OK",NOT(ISNUMBER(L1827))),"",L1827-R1827)</f>
        <v/>
      </c>
      <c r="T1827" s="46">
        <f>IF(OR(NOT(ISNUMBER(S1827)),IF(ISNUMBER(G1827),G1827,F1827)=0),"",S1827/IF(ISNUMBER(G1827),G1827,F1827))</f>
        <v/>
      </c>
      <c r="U1827" s="46">
        <f>IF(ISNUMBER(T1827),ABS(T1827),"")</f>
        <v/>
      </c>
      <c r="V1827" s="46">
        <f>IF(OR($D1826&lt;&gt;"측정",$C1826&lt;&gt;$C1827,NOT(ISNUMBER(L1827)),NOT(ISNUMBER(L1826)),(IF(ISNUMBER(G1827),G1827,F1827)-IF(ISNUMBER(G1826),G1826,F1826))=0),"",(L1827-L1826)/(IF(ISNUMBER(G1827),G1827,F1827)-IF(ISNUMBER(G1826),G1826,F1826)))</f>
        <v/>
      </c>
      <c r="W1827" s="30">
        <f>IF(NOT(AND(ISNUMBER(N1827),ISNUMBER(P1827))),"",(P1827-N1827)*1440)</f>
        <v/>
      </c>
      <c r="X1827" s="28" t="n"/>
      <c r="Y1827" s="28" t="n"/>
      <c r="Z1827" s="28" t="n"/>
      <c r="AA1827" s="31" t="n"/>
      <c r="AB1827" s="31" t="n"/>
    </row>
    <row r="1828">
      <c r="A1828" s="25" t="inlineStr">
        <is>
          <t>S36</t>
        </is>
      </c>
      <c r="B1828" s="25" t="inlineStr">
        <is>
          <t>미원</t>
        </is>
      </c>
      <c r="C1828" s="25" t="inlineStr">
        <is>
          <t>S36-H동</t>
        </is>
      </c>
      <c r="D1828" s="25" t="inlineStr">
        <is>
          <t>측정</t>
        </is>
      </c>
      <c r="E1828" s="25" t="inlineStr">
        <is>
          <t>동</t>
        </is>
      </c>
      <c r="F1828" s="30" t="n">
        <v>2</v>
      </c>
      <c r="G1828" s="29" t="n"/>
      <c r="H1828" s="42" t="n"/>
      <c r="I1828" s="40" t="n"/>
      <c r="J1828" s="40" t="n"/>
      <c r="K1828" s="40" t="n"/>
      <c r="L1828" s="30">
        <f>IF(COUNT(I1828:K1828)=0,"",MEDIAN(I1828:K1828))</f>
        <v/>
      </c>
      <c r="M1828" s="25">
        <f>IF(COUNTIFS($C:$C,$C1828,$D:$D,"P0(전)",$L:$L,"&gt;0")&lt;&gt;1,"P0(전) 유효 1개 아님",IF(COUNTIFS($C:$C,$C1828,$D:$D,"P0(후)",$L:$L,"&gt;0")&lt;&gt;1,"P0(후) 유효 1개 아님",IF(NOT(AND(ISNUMBER(N1828),ISNUMBER(P1828),ISNUMBER(H1828))),"시각 결측",IF(P1828&lt;=N1828,"P0 시각 역전",IF(OR(H1828&lt;N1828,H1828&gt;P1828),"측정시각 구간 밖","OK")))))</f>
        <v/>
      </c>
      <c r="N1828" s="45">
        <f>IF(COUNTIFS($C:$C,$C1828,$D:$D,"P0(전)",$L:$L,"&gt;0")&lt;&gt;1,"",SUMIFS($H:$H,$C:$C,$C1828,$D:$D,"P0(전)"))</f>
        <v/>
      </c>
      <c r="O1828" s="30">
        <f>IF(COUNTIFS($C:$C,$C1828,$D:$D,"P0(전)",$L:$L,"&gt;0")&lt;&gt;1,"",SUMIFS($L:$L,$C:$C,$C1828,$D:$D,"P0(전)"))</f>
        <v/>
      </c>
      <c r="P1828" s="45">
        <f>IF(COUNTIFS($C:$C,$C1828,$D:$D,"P0(후)",$L:$L,"&gt;0")&lt;&gt;1,"",SUMIFS($H:$H,$C:$C,$C1828,$D:$D,"P0(후)"))</f>
        <v/>
      </c>
      <c r="Q1828" s="30">
        <f>IF(COUNTIFS($C:$C,$C1828,$D:$D,"P0(후)",$L:$L,"&gt;0")&lt;&gt;1,"",SUMIFS($L:$L,$C:$C,$C1828,$D:$D,"P0(후)"))</f>
        <v/>
      </c>
      <c r="R1828" s="30">
        <f>IF(M1828&lt;&gt;"OK","",O1828+(Q1828-O1828)*(H1828-N1828)/(P1828-N1828))</f>
        <v/>
      </c>
      <c r="S1828" s="30">
        <f>IF(OR(M1828&lt;&gt;"OK",NOT(ISNUMBER(L1828))),"",L1828-R1828)</f>
        <v/>
      </c>
      <c r="T1828" s="46">
        <f>IF(OR(NOT(ISNUMBER(S1828)),IF(ISNUMBER(G1828),G1828,F1828)=0),"",S1828/IF(ISNUMBER(G1828),G1828,F1828))</f>
        <v/>
      </c>
      <c r="U1828" s="46">
        <f>IF(ISNUMBER(T1828),ABS(T1828),"")</f>
        <v/>
      </c>
      <c r="V1828" s="46">
        <f>IF(OR($D1827&lt;&gt;"측정",$C1827&lt;&gt;$C1828,NOT(ISNUMBER(L1828)),NOT(ISNUMBER(L1827)),(IF(ISNUMBER(G1828),G1828,F1828)-IF(ISNUMBER(G1827),G1827,F1827))=0),"",(L1828-L1827)/(IF(ISNUMBER(G1828),G1828,F1828)-IF(ISNUMBER(G1827),G1827,F1827)))</f>
        <v/>
      </c>
      <c r="W1828" s="30">
        <f>IF(NOT(AND(ISNUMBER(N1828),ISNUMBER(P1828))),"",(P1828-N1828)*1440)</f>
        <v/>
      </c>
      <c r="X1828" s="28" t="n"/>
      <c r="Y1828" s="28" t="n"/>
      <c r="Z1828" s="28" t="n"/>
      <c r="AA1828" s="31" t="n"/>
      <c r="AB1828" s="31" t="n"/>
    </row>
    <row r="1829">
      <c r="A1829" s="25" t="inlineStr">
        <is>
          <t>S36</t>
        </is>
      </c>
      <c r="B1829" s="25" t="inlineStr">
        <is>
          <t>미원</t>
        </is>
      </c>
      <c r="C1829" s="25" t="inlineStr">
        <is>
          <t>S36-H동</t>
        </is>
      </c>
      <c r="D1829" s="25" t="inlineStr">
        <is>
          <t>측정</t>
        </is>
      </c>
      <c r="E1829" s="25" t="inlineStr">
        <is>
          <t>동</t>
        </is>
      </c>
      <c r="F1829" s="30" t="n">
        <v>3</v>
      </c>
      <c r="G1829" s="29" t="n"/>
      <c r="H1829" s="42" t="n"/>
      <c r="I1829" s="40" t="n"/>
      <c r="J1829" s="40" t="n"/>
      <c r="K1829" s="40" t="n"/>
      <c r="L1829" s="30">
        <f>IF(COUNT(I1829:K1829)=0,"",MEDIAN(I1829:K1829))</f>
        <v/>
      </c>
      <c r="M1829" s="25">
        <f>IF(COUNTIFS($C:$C,$C1829,$D:$D,"P0(전)",$L:$L,"&gt;0")&lt;&gt;1,"P0(전) 유효 1개 아님",IF(COUNTIFS($C:$C,$C1829,$D:$D,"P0(후)",$L:$L,"&gt;0")&lt;&gt;1,"P0(후) 유효 1개 아님",IF(NOT(AND(ISNUMBER(N1829),ISNUMBER(P1829),ISNUMBER(H1829))),"시각 결측",IF(P1829&lt;=N1829,"P0 시각 역전",IF(OR(H1829&lt;N1829,H1829&gt;P1829),"측정시각 구간 밖","OK")))))</f>
        <v/>
      </c>
      <c r="N1829" s="45">
        <f>IF(COUNTIFS($C:$C,$C1829,$D:$D,"P0(전)",$L:$L,"&gt;0")&lt;&gt;1,"",SUMIFS($H:$H,$C:$C,$C1829,$D:$D,"P0(전)"))</f>
        <v/>
      </c>
      <c r="O1829" s="30">
        <f>IF(COUNTIFS($C:$C,$C1829,$D:$D,"P0(전)",$L:$L,"&gt;0")&lt;&gt;1,"",SUMIFS($L:$L,$C:$C,$C1829,$D:$D,"P0(전)"))</f>
        <v/>
      </c>
      <c r="P1829" s="45">
        <f>IF(COUNTIFS($C:$C,$C1829,$D:$D,"P0(후)",$L:$L,"&gt;0")&lt;&gt;1,"",SUMIFS($H:$H,$C:$C,$C1829,$D:$D,"P0(후)"))</f>
        <v/>
      </c>
      <c r="Q1829" s="30">
        <f>IF(COUNTIFS($C:$C,$C1829,$D:$D,"P0(후)",$L:$L,"&gt;0")&lt;&gt;1,"",SUMIFS($L:$L,$C:$C,$C1829,$D:$D,"P0(후)"))</f>
        <v/>
      </c>
      <c r="R1829" s="30">
        <f>IF(M1829&lt;&gt;"OK","",O1829+(Q1829-O1829)*(H1829-N1829)/(P1829-N1829))</f>
        <v/>
      </c>
      <c r="S1829" s="30">
        <f>IF(OR(M1829&lt;&gt;"OK",NOT(ISNUMBER(L1829))),"",L1829-R1829)</f>
        <v/>
      </c>
      <c r="T1829" s="46">
        <f>IF(OR(NOT(ISNUMBER(S1829)),IF(ISNUMBER(G1829),G1829,F1829)=0),"",S1829/IF(ISNUMBER(G1829),G1829,F1829))</f>
        <v/>
      </c>
      <c r="U1829" s="46">
        <f>IF(ISNUMBER(T1829),ABS(T1829),"")</f>
        <v/>
      </c>
      <c r="V1829" s="46">
        <f>IF(OR($D1828&lt;&gt;"측정",$C1828&lt;&gt;$C1829,NOT(ISNUMBER(L1829)),NOT(ISNUMBER(L1828)),(IF(ISNUMBER(G1829),G1829,F1829)-IF(ISNUMBER(G1828),G1828,F1828))=0),"",(L1829-L1828)/(IF(ISNUMBER(G1829),G1829,F1829)-IF(ISNUMBER(G1828),G1828,F1828)))</f>
        <v/>
      </c>
      <c r="W1829" s="30">
        <f>IF(NOT(AND(ISNUMBER(N1829),ISNUMBER(P1829))),"",(P1829-N1829)*1440)</f>
        <v/>
      </c>
      <c r="X1829" s="28" t="n"/>
      <c r="Y1829" s="28" t="n"/>
      <c r="Z1829" s="28" t="n"/>
      <c r="AA1829" s="31" t="n"/>
      <c r="AB1829" s="31" t="n"/>
    </row>
    <row r="1830">
      <c r="A1830" s="25" t="inlineStr">
        <is>
          <t>S36</t>
        </is>
      </c>
      <c r="B1830" s="25" t="inlineStr">
        <is>
          <t>미원</t>
        </is>
      </c>
      <c r="C1830" s="25" t="inlineStr">
        <is>
          <t>S36-H동</t>
        </is>
      </c>
      <c r="D1830" s="25" t="inlineStr">
        <is>
          <t>측정</t>
        </is>
      </c>
      <c r="E1830" s="25" t="inlineStr">
        <is>
          <t>동</t>
        </is>
      </c>
      <c r="F1830" s="30" t="n">
        <v>4</v>
      </c>
      <c r="G1830" s="29" t="n"/>
      <c r="H1830" s="42" t="n"/>
      <c r="I1830" s="40" t="n"/>
      <c r="J1830" s="40" t="n"/>
      <c r="K1830" s="40" t="n"/>
      <c r="L1830" s="30">
        <f>IF(COUNT(I1830:K1830)=0,"",MEDIAN(I1830:K1830))</f>
        <v/>
      </c>
      <c r="M1830" s="25">
        <f>IF(COUNTIFS($C:$C,$C1830,$D:$D,"P0(전)",$L:$L,"&gt;0")&lt;&gt;1,"P0(전) 유효 1개 아님",IF(COUNTIFS($C:$C,$C1830,$D:$D,"P0(후)",$L:$L,"&gt;0")&lt;&gt;1,"P0(후) 유효 1개 아님",IF(NOT(AND(ISNUMBER(N1830),ISNUMBER(P1830),ISNUMBER(H1830))),"시각 결측",IF(P1830&lt;=N1830,"P0 시각 역전",IF(OR(H1830&lt;N1830,H1830&gt;P1830),"측정시각 구간 밖","OK")))))</f>
        <v/>
      </c>
      <c r="N1830" s="45">
        <f>IF(COUNTIFS($C:$C,$C1830,$D:$D,"P0(전)",$L:$L,"&gt;0")&lt;&gt;1,"",SUMIFS($H:$H,$C:$C,$C1830,$D:$D,"P0(전)"))</f>
        <v/>
      </c>
      <c r="O1830" s="30">
        <f>IF(COUNTIFS($C:$C,$C1830,$D:$D,"P0(전)",$L:$L,"&gt;0")&lt;&gt;1,"",SUMIFS($L:$L,$C:$C,$C1830,$D:$D,"P0(전)"))</f>
        <v/>
      </c>
      <c r="P1830" s="45">
        <f>IF(COUNTIFS($C:$C,$C1830,$D:$D,"P0(후)",$L:$L,"&gt;0")&lt;&gt;1,"",SUMIFS($H:$H,$C:$C,$C1830,$D:$D,"P0(후)"))</f>
        <v/>
      </c>
      <c r="Q1830" s="30">
        <f>IF(COUNTIFS($C:$C,$C1830,$D:$D,"P0(후)",$L:$L,"&gt;0")&lt;&gt;1,"",SUMIFS($L:$L,$C:$C,$C1830,$D:$D,"P0(후)"))</f>
        <v/>
      </c>
      <c r="R1830" s="30">
        <f>IF(M1830&lt;&gt;"OK","",O1830+(Q1830-O1830)*(H1830-N1830)/(P1830-N1830))</f>
        <v/>
      </c>
      <c r="S1830" s="30">
        <f>IF(OR(M1830&lt;&gt;"OK",NOT(ISNUMBER(L1830))),"",L1830-R1830)</f>
        <v/>
      </c>
      <c r="T1830" s="46">
        <f>IF(OR(NOT(ISNUMBER(S1830)),IF(ISNUMBER(G1830),G1830,F1830)=0),"",S1830/IF(ISNUMBER(G1830),G1830,F1830))</f>
        <v/>
      </c>
      <c r="U1830" s="46">
        <f>IF(ISNUMBER(T1830),ABS(T1830),"")</f>
        <v/>
      </c>
      <c r="V1830" s="46">
        <f>IF(OR($D1829&lt;&gt;"측정",$C1829&lt;&gt;$C1830,NOT(ISNUMBER(L1830)),NOT(ISNUMBER(L1829)),(IF(ISNUMBER(G1830),G1830,F1830)-IF(ISNUMBER(G1829),G1829,F1829))=0),"",(L1830-L1829)/(IF(ISNUMBER(G1830),G1830,F1830)-IF(ISNUMBER(G1829),G1829,F1829)))</f>
        <v/>
      </c>
      <c r="W1830" s="30">
        <f>IF(NOT(AND(ISNUMBER(N1830),ISNUMBER(P1830))),"",(P1830-N1830)*1440)</f>
        <v/>
      </c>
      <c r="X1830" s="28" t="n"/>
      <c r="Y1830" s="28" t="n"/>
      <c r="Z1830" s="28" t="n"/>
      <c r="AA1830" s="31" t="n"/>
      <c r="AB1830" s="31" t="n"/>
    </row>
    <row r="1831">
      <c r="A1831" s="25" t="inlineStr">
        <is>
          <t>S36</t>
        </is>
      </c>
      <c r="B1831" s="25" t="inlineStr">
        <is>
          <t>미원</t>
        </is>
      </c>
      <c r="C1831" s="25" t="inlineStr">
        <is>
          <t>S36-H동</t>
        </is>
      </c>
      <c r="D1831" s="25" t="inlineStr">
        <is>
          <t>측정</t>
        </is>
      </c>
      <c r="E1831" s="25" t="inlineStr">
        <is>
          <t>동</t>
        </is>
      </c>
      <c r="F1831" s="30" t="n">
        <v>5</v>
      </c>
      <c r="G1831" s="29" t="n"/>
      <c r="H1831" s="42" t="n"/>
      <c r="I1831" s="40" t="n"/>
      <c r="J1831" s="40" t="n"/>
      <c r="K1831" s="40" t="n"/>
      <c r="L1831" s="30">
        <f>IF(COUNT(I1831:K1831)=0,"",MEDIAN(I1831:K1831))</f>
        <v/>
      </c>
      <c r="M1831" s="25">
        <f>IF(COUNTIFS($C:$C,$C1831,$D:$D,"P0(전)",$L:$L,"&gt;0")&lt;&gt;1,"P0(전) 유효 1개 아님",IF(COUNTIFS($C:$C,$C1831,$D:$D,"P0(후)",$L:$L,"&gt;0")&lt;&gt;1,"P0(후) 유효 1개 아님",IF(NOT(AND(ISNUMBER(N1831),ISNUMBER(P1831),ISNUMBER(H1831))),"시각 결측",IF(P1831&lt;=N1831,"P0 시각 역전",IF(OR(H1831&lt;N1831,H1831&gt;P1831),"측정시각 구간 밖","OK")))))</f>
        <v/>
      </c>
      <c r="N1831" s="45">
        <f>IF(COUNTIFS($C:$C,$C1831,$D:$D,"P0(전)",$L:$L,"&gt;0")&lt;&gt;1,"",SUMIFS($H:$H,$C:$C,$C1831,$D:$D,"P0(전)"))</f>
        <v/>
      </c>
      <c r="O1831" s="30">
        <f>IF(COUNTIFS($C:$C,$C1831,$D:$D,"P0(전)",$L:$L,"&gt;0")&lt;&gt;1,"",SUMIFS($L:$L,$C:$C,$C1831,$D:$D,"P0(전)"))</f>
        <v/>
      </c>
      <c r="P1831" s="45">
        <f>IF(COUNTIFS($C:$C,$C1831,$D:$D,"P0(후)",$L:$L,"&gt;0")&lt;&gt;1,"",SUMIFS($H:$H,$C:$C,$C1831,$D:$D,"P0(후)"))</f>
        <v/>
      </c>
      <c r="Q1831" s="30">
        <f>IF(COUNTIFS($C:$C,$C1831,$D:$D,"P0(후)",$L:$L,"&gt;0")&lt;&gt;1,"",SUMIFS($L:$L,$C:$C,$C1831,$D:$D,"P0(후)"))</f>
        <v/>
      </c>
      <c r="R1831" s="30">
        <f>IF(M1831&lt;&gt;"OK","",O1831+(Q1831-O1831)*(H1831-N1831)/(P1831-N1831))</f>
        <v/>
      </c>
      <c r="S1831" s="30">
        <f>IF(OR(M1831&lt;&gt;"OK",NOT(ISNUMBER(L1831))),"",L1831-R1831)</f>
        <v/>
      </c>
      <c r="T1831" s="46">
        <f>IF(OR(NOT(ISNUMBER(S1831)),IF(ISNUMBER(G1831),G1831,F1831)=0),"",S1831/IF(ISNUMBER(G1831),G1831,F1831))</f>
        <v/>
      </c>
      <c r="U1831" s="46">
        <f>IF(ISNUMBER(T1831),ABS(T1831),"")</f>
        <v/>
      </c>
      <c r="V1831" s="46">
        <f>IF(OR($D1830&lt;&gt;"측정",$C1830&lt;&gt;$C1831,NOT(ISNUMBER(L1831)),NOT(ISNUMBER(L1830)),(IF(ISNUMBER(G1831),G1831,F1831)-IF(ISNUMBER(G1830),G1830,F1830))=0),"",(L1831-L1830)/(IF(ISNUMBER(G1831),G1831,F1831)-IF(ISNUMBER(G1830),G1830,F1830)))</f>
        <v/>
      </c>
      <c r="W1831" s="30">
        <f>IF(NOT(AND(ISNUMBER(N1831),ISNUMBER(P1831))),"",(P1831-N1831)*1440)</f>
        <v/>
      </c>
      <c r="X1831" s="28" t="n"/>
      <c r="Y1831" s="28" t="n"/>
      <c r="Z1831" s="28" t="n"/>
      <c r="AA1831" s="31" t="n"/>
      <c r="AB1831" s="31" t="n"/>
    </row>
    <row r="1832">
      <c r="A1832" s="25" t="inlineStr">
        <is>
          <t>S36</t>
        </is>
      </c>
      <c r="B1832" s="25" t="inlineStr">
        <is>
          <t>미원</t>
        </is>
      </c>
      <c r="C1832" s="25" t="inlineStr">
        <is>
          <t>S36-H동</t>
        </is>
      </c>
      <c r="D1832" s="25" t="inlineStr">
        <is>
          <t>측정</t>
        </is>
      </c>
      <c r="E1832" s="25" t="inlineStr">
        <is>
          <t>동</t>
        </is>
      </c>
      <c r="F1832" s="30" t="n">
        <v>6</v>
      </c>
      <c r="G1832" s="29" t="n"/>
      <c r="H1832" s="42" t="n"/>
      <c r="I1832" s="40" t="n"/>
      <c r="J1832" s="40" t="n"/>
      <c r="K1832" s="40" t="n"/>
      <c r="L1832" s="30">
        <f>IF(COUNT(I1832:K1832)=0,"",MEDIAN(I1832:K1832))</f>
        <v/>
      </c>
      <c r="M1832" s="25">
        <f>IF(COUNTIFS($C:$C,$C1832,$D:$D,"P0(전)",$L:$L,"&gt;0")&lt;&gt;1,"P0(전) 유효 1개 아님",IF(COUNTIFS($C:$C,$C1832,$D:$D,"P0(후)",$L:$L,"&gt;0")&lt;&gt;1,"P0(후) 유효 1개 아님",IF(NOT(AND(ISNUMBER(N1832),ISNUMBER(P1832),ISNUMBER(H1832))),"시각 결측",IF(P1832&lt;=N1832,"P0 시각 역전",IF(OR(H1832&lt;N1832,H1832&gt;P1832),"측정시각 구간 밖","OK")))))</f>
        <v/>
      </c>
      <c r="N1832" s="45">
        <f>IF(COUNTIFS($C:$C,$C1832,$D:$D,"P0(전)",$L:$L,"&gt;0")&lt;&gt;1,"",SUMIFS($H:$H,$C:$C,$C1832,$D:$D,"P0(전)"))</f>
        <v/>
      </c>
      <c r="O1832" s="30">
        <f>IF(COUNTIFS($C:$C,$C1832,$D:$D,"P0(전)",$L:$L,"&gt;0")&lt;&gt;1,"",SUMIFS($L:$L,$C:$C,$C1832,$D:$D,"P0(전)"))</f>
        <v/>
      </c>
      <c r="P1832" s="45">
        <f>IF(COUNTIFS($C:$C,$C1832,$D:$D,"P0(후)",$L:$L,"&gt;0")&lt;&gt;1,"",SUMIFS($H:$H,$C:$C,$C1832,$D:$D,"P0(후)"))</f>
        <v/>
      </c>
      <c r="Q1832" s="30">
        <f>IF(COUNTIFS($C:$C,$C1832,$D:$D,"P0(후)",$L:$L,"&gt;0")&lt;&gt;1,"",SUMIFS($L:$L,$C:$C,$C1832,$D:$D,"P0(후)"))</f>
        <v/>
      </c>
      <c r="R1832" s="30">
        <f>IF(M1832&lt;&gt;"OK","",O1832+(Q1832-O1832)*(H1832-N1832)/(P1832-N1832))</f>
        <v/>
      </c>
      <c r="S1832" s="30">
        <f>IF(OR(M1832&lt;&gt;"OK",NOT(ISNUMBER(L1832))),"",L1832-R1832)</f>
        <v/>
      </c>
      <c r="T1832" s="46">
        <f>IF(OR(NOT(ISNUMBER(S1832)),IF(ISNUMBER(G1832),G1832,F1832)=0),"",S1832/IF(ISNUMBER(G1832),G1832,F1832))</f>
        <v/>
      </c>
      <c r="U1832" s="46">
        <f>IF(ISNUMBER(T1832),ABS(T1832),"")</f>
        <v/>
      </c>
      <c r="V1832" s="46">
        <f>IF(OR($D1831&lt;&gt;"측정",$C1831&lt;&gt;$C1832,NOT(ISNUMBER(L1832)),NOT(ISNUMBER(L1831)),(IF(ISNUMBER(G1832),G1832,F1832)-IF(ISNUMBER(G1831),G1831,F1831))=0),"",(L1832-L1831)/(IF(ISNUMBER(G1832),G1832,F1832)-IF(ISNUMBER(G1831),G1831,F1831)))</f>
        <v/>
      </c>
      <c r="W1832" s="30">
        <f>IF(NOT(AND(ISNUMBER(N1832),ISNUMBER(P1832))),"",(P1832-N1832)*1440)</f>
        <v/>
      </c>
      <c r="X1832" s="28" t="n"/>
      <c r="Y1832" s="28" t="n"/>
      <c r="Z1832" s="28" t="n"/>
      <c r="AA1832" s="31" t="n"/>
      <c r="AB1832" s="31" t="n"/>
    </row>
    <row r="1833">
      <c r="A1833" s="25" t="inlineStr">
        <is>
          <t>S36</t>
        </is>
      </c>
      <c r="B1833" s="25" t="inlineStr">
        <is>
          <t>미원</t>
        </is>
      </c>
      <c r="C1833" s="25" t="inlineStr">
        <is>
          <t>S36-H동</t>
        </is>
      </c>
      <c r="D1833" s="25" t="inlineStr">
        <is>
          <t>측정</t>
        </is>
      </c>
      <c r="E1833" s="25" t="inlineStr">
        <is>
          <t>동</t>
        </is>
      </c>
      <c r="F1833" s="30" t="n">
        <v>7</v>
      </c>
      <c r="G1833" s="29" t="n"/>
      <c r="H1833" s="42" t="n"/>
      <c r="I1833" s="40" t="n"/>
      <c r="J1833" s="40" t="n"/>
      <c r="K1833" s="40" t="n"/>
      <c r="L1833" s="30">
        <f>IF(COUNT(I1833:K1833)=0,"",MEDIAN(I1833:K1833))</f>
        <v/>
      </c>
      <c r="M1833" s="25">
        <f>IF(COUNTIFS($C:$C,$C1833,$D:$D,"P0(전)",$L:$L,"&gt;0")&lt;&gt;1,"P0(전) 유효 1개 아님",IF(COUNTIFS($C:$C,$C1833,$D:$D,"P0(후)",$L:$L,"&gt;0")&lt;&gt;1,"P0(후) 유효 1개 아님",IF(NOT(AND(ISNUMBER(N1833),ISNUMBER(P1833),ISNUMBER(H1833))),"시각 결측",IF(P1833&lt;=N1833,"P0 시각 역전",IF(OR(H1833&lt;N1833,H1833&gt;P1833),"측정시각 구간 밖","OK")))))</f>
        <v/>
      </c>
      <c r="N1833" s="45">
        <f>IF(COUNTIFS($C:$C,$C1833,$D:$D,"P0(전)",$L:$L,"&gt;0")&lt;&gt;1,"",SUMIFS($H:$H,$C:$C,$C1833,$D:$D,"P0(전)"))</f>
        <v/>
      </c>
      <c r="O1833" s="30">
        <f>IF(COUNTIFS($C:$C,$C1833,$D:$D,"P0(전)",$L:$L,"&gt;0")&lt;&gt;1,"",SUMIFS($L:$L,$C:$C,$C1833,$D:$D,"P0(전)"))</f>
        <v/>
      </c>
      <c r="P1833" s="45">
        <f>IF(COUNTIFS($C:$C,$C1833,$D:$D,"P0(후)",$L:$L,"&gt;0")&lt;&gt;1,"",SUMIFS($H:$H,$C:$C,$C1833,$D:$D,"P0(후)"))</f>
        <v/>
      </c>
      <c r="Q1833" s="30">
        <f>IF(COUNTIFS($C:$C,$C1833,$D:$D,"P0(후)",$L:$L,"&gt;0")&lt;&gt;1,"",SUMIFS($L:$L,$C:$C,$C1833,$D:$D,"P0(후)"))</f>
        <v/>
      </c>
      <c r="R1833" s="30">
        <f>IF(M1833&lt;&gt;"OK","",O1833+(Q1833-O1833)*(H1833-N1833)/(P1833-N1833))</f>
        <v/>
      </c>
      <c r="S1833" s="30">
        <f>IF(OR(M1833&lt;&gt;"OK",NOT(ISNUMBER(L1833))),"",L1833-R1833)</f>
        <v/>
      </c>
      <c r="T1833" s="46">
        <f>IF(OR(NOT(ISNUMBER(S1833)),IF(ISNUMBER(G1833),G1833,F1833)=0),"",S1833/IF(ISNUMBER(G1833),G1833,F1833))</f>
        <v/>
      </c>
      <c r="U1833" s="46">
        <f>IF(ISNUMBER(T1833),ABS(T1833),"")</f>
        <v/>
      </c>
      <c r="V1833" s="46">
        <f>IF(OR($D1832&lt;&gt;"측정",$C1832&lt;&gt;$C1833,NOT(ISNUMBER(L1833)),NOT(ISNUMBER(L1832)),(IF(ISNUMBER(G1833),G1833,F1833)-IF(ISNUMBER(G1832),G1832,F1832))=0),"",(L1833-L1832)/(IF(ISNUMBER(G1833),G1833,F1833)-IF(ISNUMBER(G1832),G1832,F1832)))</f>
        <v/>
      </c>
      <c r="W1833" s="30">
        <f>IF(NOT(AND(ISNUMBER(N1833),ISNUMBER(P1833))),"",(P1833-N1833)*1440)</f>
        <v/>
      </c>
      <c r="X1833" s="28" t="n"/>
      <c r="Y1833" s="28" t="n"/>
      <c r="Z1833" s="28" t="n"/>
      <c r="AA1833" s="31" t="n"/>
      <c r="AB1833" s="31" t="n"/>
    </row>
    <row r="1834">
      <c r="A1834" s="25" t="inlineStr">
        <is>
          <t>S36</t>
        </is>
      </c>
      <c r="B1834" s="25" t="inlineStr">
        <is>
          <t>미원</t>
        </is>
      </c>
      <c r="C1834" s="25" t="inlineStr">
        <is>
          <t>S36-H동</t>
        </is>
      </c>
      <c r="D1834" s="25" t="inlineStr">
        <is>
          <t>측정</t>
        </is>
      </c>
      <c r="E1834" s="25" t="inlineStr">
        <is>
          <t>동</t>
        </is>
      </c>
      <c r="F1834" s="30" t="n">
        <v>8</v>
      </c>
      <c r="G1834" s="29" t="n"/>
      <c r="H1834" s="42" t="n"/>
      <c r="I1834" s="40" t="n"/>
      <c r="J1834" s="40" t="n"/>
      <c r="K1834" s="40" t="n"/>
      <c r="L1834" s="30">
        <f>IF(COUNT(I1834:K1834)=0,"",MEDIAN(I1834:K1834))</f>
        <v/>
      </c>
      <c r="M1834" s="25">
        <f>IF(COUNTIFS($C:$C,$C1834,$D:$D,"P0(전)",$L:$L,"&gt;0")&lt;&gt;1,"P0(전) 유효 1개 아님",IF(COUNTIFS($C:$C,$C1834,$D:$D,"P0(후)",$L:$L,"&gt;0")&lt;&gt;1,"P0(후) 유효 1개 아님",IF(NOT(AND(ISNUMBER(N1834),ISNUMBER(P1834),ISNUMBER(H1834))),"시각 결측",IF(P1834&lt;=N1834,"P0 시각 역전",IF(OR(H1834&lt;N1834,H1834&gt;P1834),"측정시각 구간 밖","OK")))))</f>
        <v/>
      </c>
      <c r="N1834" s="45">
        <f>IF(COUNTIFS($C:$C,$C1834,$D:$D,"P0(전)",$L:$L,"&gt;0")&lt;&gt;1,"",SUMIFS($H:$H,$C:$C,$C1834,$D:$D,"P0(전)"))</f>
        <v/>
      </c>
      <c r="O1834" s="30">
        <f>IF(COUNTIFS($C:$C,$C1834,$D:$D,"P0(전)",$L:$L,"&gt;0")&lt;&gt;1,"",SUMIFS($L:$L,$C:$C,$C1834,$D:$D,"P0(전)"))</f>
        <v/>
      </c>
      <c r="P1834" s="45">
        <f>IF(COUNTIFS($C:$C,$C1834,$D:$D,"P0(후)",$L:$L,"&gt;0")&lt;&gt;1,"",SUMIFS($H:$H,$C:$C,$C1834,$D:$D,"P0(후)"))</f>
        <v/>
      </c>
      <c r="Q1834" s="30">
        <f>IF(COUNTIFS($C:$C,$C1834,$D:$D,"P0(후)",$L:$L,"&gt;0")&lt;&gt;1,"",SUMIFS($L:$L,$C:$C,$C1834,$D:$D,"P0(후)"))</f>
        <v/>
      </c>
      <c r="R1834" s="30">
        <f>IF(M1834&lt;&gt;"OK","",O1834+(Q1834-O1834)*(H1834-N1834)/(P1834-N1834))</f>
        <v/>
      </c>
      <c r="S1834" s="30">
        <f>IF(OR(M1834&lt;&gt;"OK",NOT(ISNUMBER(L1834))),"",L1834-R1834)</f>
        <v/>
      </c>
      <c r="T1834" s="46">
        <f>IF(OR(NOT(ISNUMBER(S1834)),IF(ISNUMBER(G1834),G1834,F1834)=0),"",S1834/IF(ISNUMBER(G1834),G1834,F1834))</f>
        <v/>
      </c>
      <c r="U1834" s="46">
        <f>IF(ISNUMBER(T1834),ABS(T1834),"")</f>
        <v/>
      </c>
      <c r="V1834" s="46">
        <f>IF(OR($D1833&lt;&gt;"측정",$C1833&lt;&gt;$C1834,NOT(ISNUMBER(L1834)),NOT(ISNUMBER(L1833)),(IF(ISNUMBER(G1834),G1834,F1834)-IF(ISNUMBER(G1833),G1833,F1833))=0),"",(L1834-L1833)/(IF(ISNUMBER(G1834),G1834,F1834)-IF(ISNUMBER(G1833),G1833,F1833)))</f>
        <v/>
      </c>
      <c r="W1834" s="30">
        <f>IF(NOT(AND(ISNUMBER(N1834),ISNUMBER(P1834))),"",(P1834-N1834)*1440)</f>
        <v/>
      </c>
      <c r="X1834" s="28" t="n"/>
      <c r="Y1834" s="28" t="n"/>
      <c r="Z1834" s="28" t="n"/>
      <c r="AA1834" s="31" t="n"/>
      <c r="AB1834" s="31" t="n"/>
    </row>
    <row r="1835">
      <c r="A1835" s="25" t="inlineStr">
        <is>
          <t>S36</t>
        </is>
      </c>
      <c r="B1835" s="25" t="inlineStr">
        <is>
          <t>미원</t>
        </is>
      </c>
      <c r="C1835" s="25" t="inlineStr">
        <is>
          <t>S36-H동</t>
        </is>
      </c>
      <c r="D1835" s="25" t="inlineStr">
        <is>
          <t>측정</t>
        </is>
      </c>
      <c r="E1835" s="25" t="inlineStr">
        <is>
          <t>동</t>
        </is>
      </c>
      <c r="F1835" s="30" t="n">
        <v>9</v>
      </c>
      <c r="G1835" s="29" t="n"/>
      <c r="H1835" s="42" t="n"/>
      <c r="I1835" s="40" t="n"/>
      <c r="J1835" s="40" t="n"/>
      <c r="K1835" s="40" t="n"/>
      <c r="L1835" s="30">
        <f>IF(COUNT(I1835:K1835)=0,"",MEDIAN(I1835:K1835))</f>
        <v/>
      </c>
      <c r="M1835" s="25">
        <f>IF(COUNTIFS($C:$C,$C1835,$D:$D,"P0(전)",$L:$L,"&gt;0")&lt;&gt;1,"P0(전) 유효 1개 아님",IF(COUNTIFS($C:$C,$C1835,$D:$D,"P0(후)",$L:$L,"&gt;0")&lt;&gt;1,"P0(후) 유효 1개 아님",IF(NOT(AND(ISNUMBER(N1835),ISNUMBER(P1835),ISNUMBER(H1835))),"시각 결측",IF(P1835&lt;=N1835,"P0 시각 역전",IF(OR(H1835&lt;N1835,H1835&gt;P1835),"측정시각 구간 밖","OK")))))</f>
        <v/>
      </c>
      <c r="N1835" s="45">
        <f>IF(COUNTIFS($C:$C,$C1835,$D:$D,"P0(전)",$L:$L,"&gt;0")&lt;&gt;1,"",SUMIFS($H:$H,$C:$C,$C1835,$D:$D,"P0(전)"))</f>
        <v/>
      </c>
      <c r="O1835" s="30">
        <f>IF(COUNTIFS($C:$C,$C1835,$D:$D,"P0(전)",$L:$L,"&gt;0")&lt;&gt;1,"",SUMIFS($L:$L,$C:$C,$C1835,$D:$D,"P0(전)"))</f>
        <v/>
      </c>
      <c r="P1835" s="45">
        <f>IF(COUNTIFS($C:$C,$C1835,$D:$D,"P0(후)",$L:$L,"&gt;0")&lt;&gt;1,"",SUMIFS($H:$H,$C:$C,$C1835,$D:$D,"P0(후)"))</f>
        <v/>
      </c>
      <c r="Q1835" s="30">
        <f>IF(COUNTIFS($C:$C,$C1835,$D:$D,"P0(후)",$L:$L,"&gt;0")&lt;&gt;1,"",SUMIFS($L:$L,$C:$C,$C1835,$D:$D,"P0(후)"))</f>
        <v/>
      </c>
      <c r="R1835" s="30">
        <f>IF(M1835&lt;&gt;"OK","",O1835+(Q1835-O1835)*(H1835-N1835)/(P1835-N1835))</f>
        <v/>
      </c>
      <c r="S1835" s="30">
        <f>IF(OR(M1835&lt;&gt;"OK",NOT(ISNUMBER(L1835))),"",L1835-R1835)</f>
        <v/>
      </c>
      <c r="T1835" s="46">
        <f>IF(OR(NOT(ISNUMBER(S1835)),IF(ISNUMBER(G1835),G1835,F1835)=0),"",S1835/IF(ISNUMBER(G1835),G1835,F1835))</f>
        <v/>
      </c>
      <c r="U1835" s="46">
        <f>IF(ISNUMBER(T1835),ABS(T1835),"")</f>
        <v/>
      </c>
      <c r="V1835" s="46">
        <f>IF(OR($D1834&lt;&gt;"측정",$C1834&lt;&gt;$C1835,NOT(ISNUMBER(L1835)),NOT(ISNUMBER(L1834)),(IF(ISNUMBER(G1835),G1835,F1835)-IF(ISNUMBER(G1834),G1834,F1834))=0),"",(L1835-L1834)/(IF(ISNUMBER(G1835),G1835,F1835)-IF(ISNUMBER(G1834),G1834,F1834)))</f>
        <v/>
      </c>
      <c r="W1835" s="30">
        <f>IF(NOT(AND(ISNUMBER(N1835),ISNUMBER(P1835))),"",(P1835-N1835)*1440)</f>
        <v/>
      </c>
      <c r="X1835" s="28" t="n"/>
      <c r="Y1835" s="28" t="n"/>
      <c r="Z1835" s="28" t="n"/>
      <c r="AA1835" s="31" t="n"/>
      <c r="AB1835" s="31" t="n"/>
    </row>
    <row r="1836">
      <c r="A1836" s="25" t="inlineStr">
        <is>
          <t>S36</t>
        </is>
      </c>
      <c r="B1836" s="25" t="inlineStr">
        <is>
          <t>미원</t>
        </is>
      </c>
      <c r="C1836" s="25" t="inlineStr">
        <is>
          <t>S36-H동</t>
        </is>
      </c>
      <c r="D1836" s="25" t="inlineStr">
        <is>
          <t>측정</t>
        </is>
      </c>
      <c r="E1836" s="25" t="inlineStr">
        <is>
          <t>동</t>
        </is>
      </c>
      <c r="F1836" s="30" t="n">
        <v>10</v>
      </c>
      <c r="G1836" s="29" t="n"/>
      <c r="H1836" s="42" t="n"/>
      <c r="I1836" s="40" t="n"/>
      <c r="J1836" s="40" t="n"/>
      <c r="K1836" s="40" t="n"/>
      <c r="L1836" s="30">
        <f>IF(COUNT(I1836:K1836)=0,"",MEDIAN(I1836:K1836))</f>
        <v/>
      </c>
      <c r="M1836" s="25">
        <f>IF(COUNTIFS($C:$C,$C1836,$D:$D,"P0(전)",$L:$L,"&gt;0")&lt;&gt;1,"P0(전) 유효 1개 아님",IF(COUNTIFS($C:$C,$C1836,$D:$D,"P0(후)",$L:$L,"&gt;0")&lt;&gt;1,"P0(후) 유효 1개 아님",IF(NOT(AND(ISNUMBER(N1836),ISNUMBER(P1836),ISNUMBER(H1836))),"시각 결측",IF(P1836&lt;=N1836,"P0 시각 역전",IF(OR(H1836&lt;N1836,H1836&gt;P1836),"측정시각 구간 밖","OK")))))</f>
        <v/>
      </c>
      <c r="N1836" s="45">
        <f>IF(COUNTIFS($C:$C,$C1836,$D:$D,"P0(전)",$L:$L,"&gt;0")&lt;&gt;1,"",SUMIFS($H:$H,$C:$C,$C1836,$D:$D,"P0(전)"))</f>
        <v/>
      </c>
      <c r="O1836" s="30">
        <f>IF(COUNTIFS($C:$C,$C1836,$D:$D,"P0(전)",$L:$L,"&gt;0")&lt;&gt;1,"",SUMIFS($L:$L,$C:$C,$C1836,$D:$D,"P0(전)"))</f>
        <v/>
      </c>
      <c r="P1836" s="45">
        <f>IF(COUNTIFS($C:$C,$C1836,$D:$D,"P0(후)",$L:$L,"&gt;0")&lt;&gt;1,"",SUMIFS($H:$H,$C:$C,$C1836,$D:$D,"P0(후)"))</f>
        <v/>
      </c>
      <c r="Q1836" s="30">
        <f>IF(COUNTIFS($C:$C,$C1836,$D:$D,"P0(후)",$L:$L,"&gt;0")&lt;&gt;1,"",SUMIFS($L:$L,$C:$C,$C1836,$D:$D,"P0(후)"))</f>
        <v/>
      </c>
      <c r="R1836" s="30">
        <f>IF(M1836&lt;&gt;"OK","",O1836+(Q1836-O1836)*(H1836-N1836)/(P1836-N1836))</f>
        <v/>
      </c>
      <c r="S1836" s="30">
        <f>IF(OR(M1836&lt;&gt;"OK",NOT(ISNUMBER(L1836))),"",L1836-R1836)</f>
        <v/>
      </c>
      <c r="T1836" s="46">
        <f>IF(OR(NOT(ISNUMBER(S1836)),IF(ISNUMBER(G1836),G1836,F1836)=0),"",S1836/IF(ISNUMBER(G1836),G1836,F1836))</f>
        <v/>
      </c>
      <c r="U1836" s="46">
        <f>IF(ISNUMBER(T1836),ABS(T1836),"")</f>
        <v/>
      </c>
      <c r="V1836" s="46">
        <f>IF(OR($D1835&lt;&gt;"측정",$C1835&lt;&gt;$C1836,NOT(ISNUMBER(L1836)),NOT(ISNUMBER(L1835)),(IF(ISNUMBER(G1836),G1836,F1836)-IF(ISNUMBER(G1835),G1835,F1835))=0),"",(L1836-L1835)/(IF(ISNUMBER(G1836),G1836,F1836)-IF(ISNUMBER(G1835),G1835,F1835)))</f>
        <v/>
      </c>
      <c r="W1836" s="30">
        <f>IF(NOT(AND(ISNUMBER(N1836),ISNUMBER(P1836))),"",(P1836-N1836)*1440)</f>
        <v/>
      </c>
      <c r="X1836" s="28" t="n"/>
      <c r="Y1836" s="28" t="n"/>
      <c r="Z1836" s="28" t="n"/>
      <c r="AA1836" s="31" t="n"/>
      <c r="AB1836" s="31" t="n"/>
    </row>
    <row r="1837">
      <c r="A1837" s="43" t="inlineStr">
        <is>
          <t>S36</t>
        </is>
      </c>
      <c r="B1837" s="43" t="inlineStr">
        <is>
          <t>미원</t>
        </is>
      </c>
      <c r="C1837" s="43" t="inlineStr">
        <is>
          <t>S36-H동</t>
        </is>
      </c>
      <c r="D1837" s="43" t="inlineStr">
        <is>
          <t>P0(후)</t>
        </is>
      </c>
      <c r="E1837" s="43" t="inlineStr">
        <is>
          <t>동</t>
        </is>
      </c>
      <c r="F1837" s="44" t="n"/>
      <c r="G1837" s="29" t="n"/>
      <c r="H1837" s="42" t="n"/>
      <c r="I1837" s="40" t="n"/>
      <c r="J1837" s="40" t="n"/>
      <c r="K1837" s="40" t="n"/>
      <c r="L1837" s="30">
        <f>IF(COUNT(I1837:K1837)=0,"",MEDIAN(I1837:K1837))</f>
        <v/>
      </c>
      <c r="M1837" s="37" t="n"/>
      <c r="N1837" s="37" t="n"/>
      <c r="O1837" s="37" t="n"/>
      <c r="P1837" s="37" t="n"/>
      <c r="Q1837" s="37" t="n"/>
      <c r="R1837" s="37" t="n"/>
      <c r="S1837" s="37" t="n"/>
      <c r="T1837" s="37" t="n"/>
      <c r="U1837" s="37" t="n"/>
      <c r="V1837" s="37" t="n"/>
      <c r="W1837" s="37" t="n"/>
      <c r="X1837" s="28" t="n"/>
      <c r="Y1837" s="28" t="n"/>
      <c r="Z1837" s="28" t="n"/>
      <c r="AA1837" s="31" t="n"/>
      <c r="AB1837" s="31" t="n"/>
    </row>
    <row r="1838">
      <c r="A1838" s="43" t="inlineStr">
        <is>
          <t>S36</t>
        </is>
      </c>
      <c r="B1838" s="43" t="inlineStr">
        <is>
          <t>미원</t>
        </is>
      </c>
      <c r="C1838" s="43" t="inlineStr">
        <is>
          <t>S36-H서</t>
        </is>
      </c>
      <c r="D1838" s="43" t="inlineStr">
        <is>
          <t>P0(전)</t>
        </is>
      </c>
      <c r="E1838" s="43" t="inlineStr">
        <is>
          <t>서</t>
        </is>
      </c>
      <c r="F1838" s="44" t="n"/>
      <c r="G1838" s="29" t="n"/>
      <c r="H1838" s="42" t="n"/>
      <c r="I1838" s="40" t="n"/>
      <c r="J1838" s="40" t="n"/>
      <c r="K1838" s="40" t="n"/>
      <c r="L1838" s="30">
        <f>IF(COUNT(I1838:K1838)=0,"",MEDIAN(I1838:K1838))</f>
        <v/>
      </c>
      <c r="M1838" s="37" t="n"/>
      <c r="N1838" s="37" t="n"/>
      <c r="O1838" s="37" t="n"/>
      <c r="P1838" s="37" t="n"/>
      <c r="Q1838" s="37" t="n"/>
      <c r="R1838" s="37" t="n"/>
      <c r="S1838" s="37" t="n"/>
      <c r="T1838" s="37" t="n"/>
      <c r="U1838" s="37" t="n"/>
      <c r="V1838" s="37" t="n"/>
      <c r="W1838" s="37" t="n"/>
      <c r="X1838" s="28" t="n"/>
      <c r="Y1838" s="28" t="n"/>
      <c r="Z1838" s="28" t="n"/>
      <c r="AA1838" s="31" t="n"/>
      <c r="AB1838" s="31" t="n"/>
    </row>
    <row r="1839">
      <c r="A1839" s="25" t="inlineStr">
        <is>
          <t>S36</t>
        </is>
      </c>
      <c r="B1839" s="25" t="inlineStr">
        <is>
          <t>미원</t>
        </is>
      </c>
      <c r="C1839" s="25" t="inlineStr">
        <is>
          <t>S36-H서</t>
        </is>
      </c>
      <c r="D1839" s="25" t="inlineStr">
        <is>
          <t>측정</t>
        </is>
      </c>
      <c r="E1839" s="25" t="inlineStr">
        <is>
          <t>서</t>
        </is>
      </c>
      <c r="F1839" s="30" t="n">
        <v>0.5</v>
      </c>
      <c r="G1839" s="29" t="n"/>
      <c r="H1839" s="42" t="n"/>
      <c r="I1839" s="40" t="n"/>
      <c r="J1839" s="40" t="n"/>
      <c r="K1839" s="40" t="n"/>
      <c r="L1839" s="30">
        <f>IF(COUNT(I1839:K1839)=0,"",MEDIAN(I1839:K1839))</f>
        <v/>
      </c>
      <c r="M1839" s="25">
        <f>IF(COUNTIFS($C:$C,$C1839,$D:$D,"P0(전)",$L:$L,"&gt;0")&lt;&gt;1,"P0(전) 유효 1개 아님",IF(COUNTIFS($C:$C,$C1839,$D:$D,"P0(후)",$L:$L,"&gt;0")&lt;&gt;1,"P0(후) 유효 1개 아님",IF(NOT(AND(ISNUMBER(N1839),ISNUMBER(P1839),ISNUMBER(H1839))),"시각 결측",IF(P1839&lt;=N1839,"P0 시각 역전",IF(OR(H1839&lt;N1839,H1839&gt;P1839),"측정시각 구간 밖","OK")))))</f>
        <v/>
      </c>
      <c r="N1839" s="45">
        <f>IF(COUNTIFS($C:$C,$C1839,$D:$D,"P0(전)",$L:$L,"&gt;0")&lt;&gt;1,"",SUMIFS($H:$H,$C:$C,$C1839,$D:$D,"P0(전)"))</f>
        <v/>
      </c>
      <c r="O1839" s="30">
        <f>IF(COUNTIFS($C:$C,$C1839,$D:$D,"P0(전)",$L:$L,"&gt;0")&lt;&gt;1,"",SUMIFS($L:$L,$C:$C,$C1839,$D:$D,"P0(전)"))</f>
        <v/>
      </c>
      <c r="P1839" s="45">
        <f>IF(COUNTIFS($C:$C,$C1839,$D:$D,"P0(후)",$L:$L,"&gt;0")&lt;&gt;1,"",SUMIFS($H:$H,$C:$C,$C1839,$D:$D,"P0(후)"))</f>
        <v/>
      </c>
      <c r="Q1839" s="30">
        <f>IF(COUNTIFS($C:$C,$C1839,$D:$D,"P0(후)",$L:$L,"&gt;0")&lt;&gt;1,"",SUMIFS($L:$L,$C:$C,$C1839,$D:$D,"P0(후)"))</f>
        <v/>
      </c>
      <c r="R1839" s="30">
        <f>IF(M1839&lt;&gt;"OK","",O1839+(Q1839-O1839)*(H1839-N1839)/(P1839-N1839))</f>
        <v/>
      </c>
      <c r="S1839" s="30">
        <f>IF(OR(M1839&lt;&gt;"OK",NOT(ISNUMBER(L1839))),"",L1839-R1839)</f>
        <v/>
      </c>
      <c r="T1839" s="46">
        <f>IF(OR(NOT(ISNUMBER(S1839)),IF(ISNUMBER(G1839),G1839,F1839)=0),"",S1839/IF(ISNUMBER(G1839),G1839,F1839))</f>
        <v/>
      </c>
      <c r="U1839" s="46">
        <f>IF(ISNUMBER(T1839),ABS(T1839),"")</f>
        <v/>
      </c>
      <c r="V1839" s="46">
        <f>IF(OR($D1838&lt;&gt;"측정",$C1838&lt;&gt;$C1839,NOT(ISNUMBER(L1839)),NOT(ISNUMBER(L1838)),(IF(ISNUMBER(G1839),G1839,F1839)-IF(ISNUMBER(G1838),G1838,F1838))=0),"",(L1839-L1838)/(IF(ISNUMBER(G1839),G1839,F1839)-IF(ISNUMBER(G1838),G1838,F1838)))</f>
        <v/>
      </c>
      <c r="W1839" s="30">
        <f>IF(NOT(AND(ISNUMBER(N1839),ISNUMBER(P1839))),"",(P1839-N1839)*1440)</f>
        <v/>
      </c>
      <c r="X1839" s="28" t="n"/>
      <c r="Y1839" s="28" t="n"/>
      <c r="Z1839" s="28" t="n"/>
      <c r="AA1839" s="31" t="n"/>
      <c r="AB1839" s="31" t="n"/>
    </row>
    <row r="1840">
      <c r="A1840" s="25" t="inlineStr">
        <is>
          <t>S36</t>
        </is>
      </c>
      <c r="B1840" s="25" t="inlineStr">
        <is>
          <t>미원</t>
        </is>
      </c>
      <c r="C1840" s="25" t="inlineStr">
        <is>
          <t>S36-H서</t>
        </is>
      </c>
      <c r="D1840" s="25" t="inlineStr">
        <is>
          <t>측정</t>
        </is>
      </c>
      <c r="E1840" s="25" t="inlineStr">
        <is>
          <t>서</t>
        </is>
      </c>
      <c r="F1840" s="30" t="n">
        <v>1</v>
      </c>
      <c r="G1840" s="29" t="n"/>
      <c r="H1840" s="42" t="n"/>
      <c r="I1840" s="40" t="n"/>
      <c r="J1840" s="40" t="n"/>
      <c r="K1840" s="40" t="n"/>
      <c r="L1840" s="30">
        <f>IF(COUNT(I1840:K1840)=0,"",MEDIAN(I1840:K1840))</f>
        <v/>
      </c>
      <c r="M1840" s="25">
        <f>IF(COUNTIFS($C:$C,$C1840,$D:$D,"P0(전)",$L:$L,"&gt;0")&lt;&gt;1,"P0(전) 유효 1개 아님",IF(COUNTIFS($C:$C,$C1840,$D:$D,"P0(후)",$L:$L,"&gt;0")&lt;&gt;1,"P0(후) 유효 1개 아님",IF(NOT(AND(ISNUMBER(N1840),ISNUMBER(P1840),ISNUMBER(H1840))),"시각 결측",IF(P1840&lt;=N1840,"P0 시각 역전",IF(OR(H1840&lt;N1840,H1840&gt;P1840),"측정시각 구간 밖","OK")))))</f>
        <v/>
      </c>
      <c r="N1840" s="45">
        <f>IF(COUNTIFS($C:$C,$C1840,$D:$D,"P0(전)",$L:$L,"&gt;0")&lt;&gt;1,"",SUMIFS($H:$H,$C:$C,$C1840,$D:$D,"P0(전)"))</f>
        <v/>
      </c>
      <c r="O1840" s="30">
        <f>IF(COUNTIFS($C:$C,$C1840,$D:$D,"P0(전)",$L:$L,"&gt;0")&lt;&gt;1,"",SUMIFS($L:$L,$C:$C,$C1840,$D:$D,"P0(전)"))</f>
        <v/>
      </c>
      <c r="P1840" s="45">
        <f>IF(COUNTIFS($C:$C,$C1840,$D:$D,"P0(후)",$L:$L,"&gt;0")&lt;&gt;1,"",SUMIFS($H:$H,$C:$C,$C1840,$D:$D,"P0(후)"))</f>
        <v/>
      </c>
      <c r="Q1840" s="30">
        <f>IF(COUNTIFS($C:$C,$C1840,$D:$D,"P0(후)",$L:$L,"&gt;0")&lt;&gt;1,"",SUMIFS($L:$L,$C:$C,$C1840,$D:$D,"P0(후)"))</f>
        <v/>
      </c>
      <c r="R1840" s="30">
        <f>IF(M1840&lt;&gt;"OK","",O1840+(Q1840-O1840)*(H1840-N1840)/(P1840-N1840))</f>
        <v/>
      </c>
      <c r="S1840" s="30">
        <f>IF(OR(M1840&lt;&gt;"OK",NOT(ISNUMBER(L1840))),"",L1840-R1840)</f>
        <v/>
      </c>
      <c r="T1840" s="46">
        <f>IF(OR(NOT(ISNUMBER(S1840)),IF(ISNUMBER(G1840),G1840,F1840)=0),"",S1840/IF(ISNUMBER(G1840),G1840,F1840))</f>
        <v/>
      </c>
      <c r="U1840" s="46">
        <f>IF(ISNUMBER(T1840),ABS(T1840),"")</f>
        <v/>
      </c>
      <c r="V1840" s="46">
        <f>IF(OR($D1839&lt;&gt;"측정",$C1839&lt;&gt;$C1840,NOT(ISNUMBER(L1840)),NOT(ISNUMBER(L1839)),(IF(ISNUMBER(G1840),G1840,F1840)-IF(ISNUMBER(G1839),G1839,F1839))=0),"",(L1840-L1839)/(IF(ISNUMBER(G1840),G1840,F1840)-IF(ISNUMBER(G1839),G1839,F1839)))</f>
        <v/>
      </c>
      <c r="W1840" s="30">
        <f>IF(NOT(AND(ISNUMBER(N1840),ISNUMBER(P1840))),"",(P1840-N1840)*1440)</f>
        <v/>
      </c>
      <c r="X1840" s="28" t="n"/>
      <c r="Y1840" s="28" t="n"/>
      <c r="Z1840" s="28" t="n"/>
      <c r="AA1840" s="31" t="n"/>
      <c r="AB1840" s="31" t="n"/>
    </row>
    <row r="1841">
      <c r="A1841" s="25" t="inlineStr">
        <is>
          <t>S36</t>
        </is>
      </c>
      <c r="B1841" s="25" t="inlineStr">
        <is>
          <t>미원</t>
        </is>
      </c>
      <c r="C1841" s="25" t="inlineStr">
        <is>
          <t>S36-H서</t>
        </is>
      </c>
      <c r="D1841" s="25" t="inlineStr">
        <is>
          <t>측정</t>
        </is>
      </c>
      <c r="E1841" s="25" t="inlineStr">
        <is>
          <t>서</t>
        </is>
      </c>
      <c r="F1841" s="30" t="n">
        <v>2</v>
      </c>
      <c r="G1841" s="29" t="n"/>
      <c r="H1841" s="42" t="n"/>
      <c r="I1841" s="40" t="n"/>
      <c r="J1841" s="40" t="n"/>
      <c r="K1841" s="40" t="n"/>
      <c r="L1841" s="30">
        <f>IF(COUNT(I1841:K1841)=0,"",MEDIAN(I1841:K1841))</f>
        <v/>
      </c>
      <c r="M1841" s="25">
        <f>IF(COUNTIFS($C:$C,$C1841,$D:$D,"P0(전)",$L:$L,"&gt;0")&lt;&gt;1,"P0(전) 유효 1개 아님",IF(COUNTIFS($C:$C,$C1841,$D:$D,"P0(후)",$L:$L,"&gt;0")&lt;&gt;1,"P0(후) 유효 1개 아님",IF(NOT(AND(ISNUMBER(N1841),ISNUMBER(P1841),ISNUMBER(H1841))),"시각 결측",IF(P1841&lt;=N1841,"P0 시각 역전",IF(OR(H1841&lt;N1841,H1841&gt;P1841),"측정시각 구간 밖","OK")))))</f>
        <v/>
      </c>
      <c r="N1841" s="45">
        <f>IF(COUNTIFS($C:$C,$C1841,$D:$D,"P0(전)",$L:$L,"&gt;0")&lt;&gt;1,"",SUMIFS($H:$H,$C:$C,$C1841,$D:$D,"P0(전)"))</f>
        <v/>
      </c>
      <c r="O1841" s="30">
        <f>IF(COUNTIFS($C:$C,$C1841,$D:$D,"P0(전)",$L:$L,"&gt;0")&lt;&gt;1,"",SUMIFS($L:$L,$C:$C,$C1841,$D:$D,"P0(전)"))</f>
        <v/>
      </c>
      <c r="P1841" s="45">
        <f>IF(COUNTIFS($C:$C,$C1841,$D:$D,"P0(후)",$L:$L,"&gt;0")&lt;&gt;1,"",SUMIFS($H:$H,$C:$C,$C1841,$D:$D,"P0(후)"))</f>
        <v/>
      </c>
      <c r="Q1841" s="30">
        <f>IF(COUNTIFS($C:$C,$C1841,$D:$D,"P0(후)",$L:$L,"&gt;0")&lt;&gt;1,"",SUMIFS($L:$L,$C:$C,$C1841,$D:$D,"P0(후)"))</f>
        <v/>
      </c>
      <c r="R1841" s="30">
        <f>IF(M1841&lt;&gt;"OK","",O1841+(Q1841-O1841)*(H1841-N1841)/(P1841-N1841))</f>
        <v/>
      </c>
      <c r="S1841" s="30">
        <f>IF(OR(M1841&lt;&gt;"OK",NOT(ISNUMBER(L1841))),"",L1841-R1841)</f>
        <v/>
      </c>
      <c r="T1841" s="46">
        <f>IF(OR(NOT(ISNUMBER(S1841)),IF(ISNUMBER(G1841),G1841,F1841)=0),"",S1841/IF(ISNUMBER(G1841),G1841,F1841))</f>
        <v/>
      </c>
      <c r="U1841" s="46">
        <f>IF(ISNUMBER(T1841),ABS(T1841),"")</f>
        <v/>
      </c>
      <c r="V1841" s="46">
        <f>IF(OR($D1840&lt;&gt;"측정",$C1840&lt;&gt;$C1841,NOT(ISNUMBER(L1841)),NOT(ISNUMBER(L1840)),(IF(ISNUMBER(G1841),G1841,F1841)-IF(ISNUMBER(G1840),G1840,F1840))=0),"",(L1841-L1840)/(IF(ISNUMBER(G1841),G1841,F1841)-IF(ISNUMBER(G1840),G1840,F1840)))</f>
        <v/>
      </c>
      <c r="W1841" s="30">
        <f>IF(NOT(AND(ISNUMBER(N1841),ISNUMBER(P1841))),"",(P1841-N1841)*1440)</f>
        <v/>
      </c>
      <c r="X1841" s="28" t="n"/>
      <c r="Y1841" s="28" t="n"/>
      <c r="Z1841" s="28" t="n"/>
      <c r="AA1841" s="31" t="n"/>
      <c r="AB1841" s="31" t="n"/>
    </row>
    <row r="1842">
      <c r="A1842" s="25" t="inlineStr">
        <is>
          <t>S36</t>
        </is>
      </c>
      <c r="B1842" s="25" t="inlineStr">
        <is>
          <t>미원</t>
        </is>
      </c>
      <c r="C1842" s="25" t="inlineStr">
        <is>
          <t>S36-H서</t>
        </is>
      </c>
      <c r="D1842" s="25" t="inlineStr">
        <is>
          <t>측정</t>
        </is>
      </c>
      <c r="E1842" s="25" t="inlineStr">
        <is>
          <t>서</t>
        </is>
      </c>
      <c r="F1842" s="30" t="n">
        <v>3</v>
      </c>
      <c r="G1842" s="29" t="n"/>
      <c r="H1842" s="42" t="n"/>
      <c r="I1842" s="40" t="n"/>
      <c r="J1842" s="40" t="n"/>
      <c r="K1842" s="40" t="n"/>
      <c r="L1842" s="30">
        <f>IF(COUNT(I1842:K1842)=0,"",MEDIAN(I1842:K1842))</f>
        <v/>
      </c>
      <c r="M1842" s="25">
        <f>IF(COUNTIFS($C:$C,$C1842,$D:$D,"P0(전)",$L:$L,"&gt;0")&lt;&gt;1,"P0(전) 유효 1개 아님",IF(COUNTIFS($C:$C,$C1842,$D:$D,"P0(후)",$L:$L,"&gt;0")&lt;&gt;1,"P0(후) 유효 1개 아님",IF(NOT(AND(ISNUMBER(N1842),ISNUMBER(P1842),ISNUMBER(H1842))),"시각 결측",IF(P1842&lt;=N1842,"P0 시각 역전",IF(OR(H1842&lt;N1842,H1842&gt;P1842),"측정시각 구간 밖","OK")))))</f>
        <v/>
      </c>
      <c r="N1842" s="45">
        <f>IF(COUNTIFS($C:$C,$C1842,$D:$D,"P0(전)",$L:$L,"&gt;0")&lt;&gt;1,"",SUMIFS($H:$H,$C:$C,$C1842,$D:$D,"P0(전)"))</f>
        <v/>
      </c>
      <c r="O1842" s="30">
        <f>IF(COUNTIFS($C:$C,$C1842,$D:$D,"P0(전)",$L:$L,"&gt;0")&lt;&gt;1,"",SUMIFS($L:$L,$C:$C,$C1842,$D:$D,"P0(전)"))</f>
        <v/>
      </c>
      <c r="P1842" s="45">
        <f>IF(COUNTIFS($C:$C,$C1842,$D:$D,"P0(후)",$L:$L,"&gt;0")&lt;&gt;1,"",SUMIFS($H:$H,$C:$C,$C1842,$D:$D,"P0(후)"))</f>
        <v/>
      </c>
      <c r="Q1842" s="30">
        <f>IF(COUNTIFS($C:$C,$C1842,$D:$D,"P0(후)",$L:$L,"&gt;0")&lt;&gt;1,"",SUMIFS($L:$L,$C:$C,$C1842,$D:$D,"P0(후)"))</f>
        <v/>
      </c>
      <c r="R1842" s="30">
        <f>IF(M1842&lt;&gt;"OK","",O1842+(Q1842-O1842)*(H1842-N1842)/(P1842-N1842))</f>
        <v/>
      </c>
      <c r="S1842" s="30">
        <f>IF(OR(M1842&lt;&gt;"OK",NOT(ISNUMBER(L1842))),"",L1842-R1842)</f>
        <v/>
      </c>
      <c r="T1842" s="46">
        <f>IF(OR(NOT(ISNUMBER(S1842)),IF(ISNUMBER(G1842),G1842,F1842)=0),"",S1842/IF(ISNUMBER(G1842),G1842,F1842))</f>
        <v/>
      </c>
      <c r="U1842" s="46">
        <f>IF(ISNUMBER(T1842),ABS(T1842),"")</f>
        <v/>
      </c>
      <c r="V1842" s="46">
        <f>IF(OR($D1841&lt;&gt;"측정",$C1841&lt;&gt;$C1842,NOT(ISNUMBER(L1842)),NOT(ISNUMBER(L1841)),(IF(ISNUMBER(G1842),G1842,F1842)-IF(ISNUMBER(G1841),G1841,F1841))=0),"",(L1842-L1841)/(IF(ISNUMBER(G1842),G1842,F1842)-IF(ISNUMBER(G1841),G1841,F1841)))</f>
        <v/>
      </c>
      <c r="W1842" s="30">
        <f>IF(NOT(AND(ISNUMBER(N1842),ISNUMBER(P1842))),"",(P1842-N1842)*1440)</f>
        <v/>
      </c>
      <c r="X1842" s="28" t="n"/>
      <c r="Y1842" s="28" t="n"/>
      <c r="Z1842" s="28" t="n"/>
      <c r="AA1842" s="31" t="n"/>
      <c r="AB1842" s="31" t="n"/>
    </row>
    <row r="1843">
      <c r="A1843" s="25" t="inlineStr">
        <is>
          <t>S36</t>
        </is>
      </c>
      <c r="B1843" s="25" t="inlineStr">
        <is>
          <t>미원</t>
        </is>
      </c>
      <c r="C1843" s="25" t="inlineStr">
        <is>
          <t>S36-H서</t>
        </is>
      </c>
      <c r="D1843" s="25" t="inlineStr">
        <is>
          <t>측정</t>
        </is>
      </c>
      <c r="E1843" s="25" t="inlineStr">
        <is>
          <t>서</t>
        </is>
      </c>
      <c r="F1843" s="30" t="n">
        <v>4</v>
      </c>
      <c r="G1843" s="29" t="n"/>
      <c r="H1843" s="42" t="n"/>
      <c r="I1843" s="40" t="n"/>
      <c r="J1843" s="40" t="n"/>
      <c r="K1843" s="40" t="n"/>
      <c r="L1843" s="30">
        <f>IF(COUNT(I1843:K1843)=0,"",MEDIAN(I1843:K1843))</f>
        <v/>
      </c>
      <c r="M1843" s="25">
        <f>IF(COUNTIFS($C:$C,$C1843,$D:$D,"P0(전)",$L:$L,"&gt;0")&lt;&gt;1,"P0(전) 유효 1개 아님",IF(COUNTIFS($C:$C,$C1843,$D:$D,"P0(후)",$L:$L,"&gt;0")&lt;&gt;1,"P0(후) 유효 1개 아님",IF(NOT(AND(ISNUMBER(N1843),ISNUMBER(P1843),ISNUMBER(H1843))),"시각 결측",IF(P1843&lt;=N1843,"P0 시각 역전",IF(OR(H1843&lt;N1843,H1843&gt;P1843),"측정시각 구간 밖","OK")))))</f>
        <v/>
      </c>
      <c r="N1843" s="45">
        <f>IF(COUNTIFS($C:$C,$C1843,$D:$D,"P0(전)",$L:$L,"&gt;0")&lt;&gt;1,"",SUMIFS($H:$H,$C:$C,$C1843,$D:$D,"P0(전)"))</f>
        <v/>
      </c>
      <c r="O1843" s="30">
        <f>IF(COUNTIFS($C:$C,$C1843,$D:$D,"P0(전)",$L:$L,"&gt;0")&lt;&gt;1,"",SUMIFS($L:$L,$C:$C,$C1843,$D:$D,"P0(전)"))</f>
        <v/>
      </c>
      <c r="P1843" s="45">
        <f>IF(COUNTIFS($C:$C,$C1843,$D:$D,"P0(후)",$L:$L,"&gt;0")&lt;&gt;1,"",SUMIFS($H:$H,$C:$C,$C1843,$D:$D,"P0(후)"))</f>
        <v/>
      </c>
      <c r="Q1843" s="30">
        <f>IF(COUNTIFS($C:$C,$C1843,$D:$D,"P0(후)",$L:$L,"&gt;0")&lt;&gt;1,"",SUMIFS($L:$L,$C:$C,$C1843,$D:$D,"P0(후)"))</f>
        <v/>
      </c>
      <c r="R1843" s="30">
        <f>IF(M1843&lt;&gt;"OK","",O1843+(Q1843-O1843)*(H1843-N1843)/(P1843-N1843))</f>
        <v/>
      </c>
      <c r="S1843" s="30">
        <f>IF(OR(M1843&lt;&gt;"OK",NOT(ISNUMBER(L1843))),"",L1843-R1843)</f>
        <v/>
      </c>
      <c r="T1843" s="46">
        <f>IF(OR(NOT(ISNUMBER(S1843)),IF(ISNUMBER(G1843),G1843,F1843)=0),"",S1843/IF(ISNUMBER(G1843),G1843,F1843))</f>
        <v/>
      </c>
      <c r="U1843" s="46">
        <f>IF(ISNUMBER(T1843),ABS(T1843),"")</f>
        <v/>
      </c>
      <c r="V1843" s="46">
        <f>IF(OR($D1842&lt;&gt;"측정",$C1842&lt;&gt;$C1843,NOT(ISNUMBER(L1843)),NOT(ISNUMBER(L1842)),(IF(ISNUMBER(G1843),G1843,F1843)-IF(ISNUMBER(G1842),G1842,F1842))=0),"",(L1843-L1842)/(IF(ISNUMBER(G1843),G1843,F1843)-IF(ISNUMBER(G1842),G1842,F1842)))</f>
        <v/>
      </c>
      <c r="W1843" s="30">
        <f>IF(NOT(AND(ISNUMBER(N1843),ISNUMBER(P1843))),"",(P1843-N1843)*1440)</f>
        <v/>
      </c>
      <c r="X1843" s="28" t="n"/>
      <c r="Y1843" s="28" t="n"/>
      <c r="Z1843" s="28" t="n"/>
      <c r="AA1843" s="31" t="n"/>
      <c r="AB1843" s="31" t="n"/>
    </row>
    <row r="1844">
      <c r="A1844" s="25" t="inlineStr">
        <is>
          <t>S36</t>
        </is>
      </c>
      <c r="B1844" s="25" t="inlineStr">
        <is>
          <t>미원</t>
        </is>
      </c>
      <c r="C1844" s="25" t="inlineStr">
        <is>
          <t>S36-H서</t>
        </is>
      </c>
      <c r="D1844" s="25" t="inlineStr">
        <is>
          <t>측정</t>
        </is>
      </c>
      <c r="E1844" s="25" t="inlineStr">
        <is>
          <t>서</t>
        </is>
      </c>
      <c r="F1844" s="30" t="n">
        <v>5</v>
      </c>
      <c r="G1844" s="29" t="n"/>
      <c r="H1844" s="42" t="n"/>
      <c r="I1844" s="40" t="n"/>
      <c r="J1844" s="40" t="n"/>
      <c r="K1844" s="40" t="n"/>
      <c r="L1844" s="30">
        <f>IF(COUNT(I1844:K1844)=0,"",MEDIAN(I1844:K1844))</f>
        <v/>
      </c>
      <c r="M1844" s="25">
        <f>IF(COUNTIFS($C:$C,$C1844,$D:$D,"P0(전)",$L:$L,"&gt;0")&lt;&gt;1,"P0(전) 유효 1개 아님",IF(COUNTIFS($C:$C,$C1844,$D:$D,"P0(후)",$L:$L,"&gt;0")&lt;&gt;1,"P0(후) 유효 1개 아님",IF(NOT(AND(ISNUMBER(N1844),ISNUMBER(P1844),ISNUMBER(H1844))),"시각 결측",IF(P1844&lt;=N1844,"P0 시각 역전",IF(OR(H1844&lt;N1844,H1844&gt;P1844),"측정시각 구간 밖","OK")))))</f>
        <v/>
      </c>
      <c r="N1844" s="45">
        <f>IF(COUNTIFS($C:$C,$C1844,$D:$D,"P0(전)",$L:$L,"&gt;0")&lt;&gt;1,"",SUMIFS($H:$H,$C:$C,$C1844,$D:$D,"P0(전)"))</f>
        <v/>
      </c>
      <c r="O1844" s="30">
        <f>IF(COUNTIFS($C:$C,$C1844,$D:$D,"P0(전)",$L:$L,"&gt;0")&lt;&gt;1,"",SUMIFS($L:$L,$C:$C,$C1844,$D:$D,"P0(전)"))</f>
        <v/>
      </c>
      <c r="P1844" s="45">
        <f>IF(COUNTIFS($C:$C,$C1844,$D:$D,"P0(후)",$L:$L,"&gt;0")&lt;&gt;1,"",SUMIFS($H:$H,$C:$C,$C1844,$D:$D,"P0(후)"))</f>
        <v/>
      </c>
      <c r="Q1844" s="30">
        <f>IF(COUNTIFS($C:$C,$C1844,$D:$D,"P0(후)",$L:$L,"&gt;0")&lt;&gt;1,"",SUMIFS($L:$L,$C:$C,$C1844,$D:$D,"P0(후)"))</f>
        <v/>
      </c>
      <c r="R1844" s="30">
        <f>IF(M1844&lt;&gt;"OK","",O1844+(Q1844-O1844)*(H1844-N1844)/(P1844-N1844))</f>
        <v/>
      </c>
      <c r="S1844" s="30">
        <f>IF(OR(M1844&lt;&gt;"OK",NOT(ISNUMBER(L1844))),"",L1844-R1844)</f>
        <v/>
      </c>
      <c r="T1844" s="46">
        <f>IF(OR(NOT(ISNUMBER(S1844)),IF(ISNUMBER(G1844),G1844,F1844)=0),"",S1844/IF(ISNUMBER(G1844),G1844,F1844))</f>
        <v/>
      </c>
      <c r="U1844" s="46">
        <f>IF(ISNUMBER(T1844),ABS(T1844),"")</f>
        <v/>
      </c>
      <c r="V1844" s="46">
        <f>IF(OR($D1843&lt;&gt;"측정",$C1843&lt;&gt;$C1844,NOT(ISNUMBER(L1844)),NOT(ISNUMBER(L1843)),(IF(ISNUMBER(G1844),G1844,F1844)-IF(ISNUMBER(G1843),G1843,F1843))=0),"",(L1844-L1843)/(IF(ISNUMBER(G1844),G1844,F1844)-IF(ISNUMBER(G1843),G1843,F1843)))</f>
        <v/>
      </c>
      <c r="W1844" s="30">
        <f>IF(NOT(AND(ISNUMBER(N1844),ISNUMBER(P1844))),"",(P1844-N1844)*1440)</f>
        <v/>
      </c>
      <c r="X1844" s="28" t="n"/>
      <c r="Y1844" s="28" t="n"/>
      <c r="Z1844" s="28" t="n"/>
      <c r="AA1844" s="31" t="n"/>
      <c r="AB1844" s="31" t="n"/>
    </row>
    <row r="1845">
      <c r="A1845" s="25" t="inlineStr">
        <is>
          <t>S36</t>
        </is>
      </c>
      <c r="B1845" s="25" t="inlineStr">
        <is>
          <t>미원</t>
        </is>
      </c>
      <c r="C1845" s="25" t="inlineStr">
        <is>
          <t>S36-H서</t>
        </is>
      </c>
      <c r="D1845" s="25" t="inlineStr">
        <is>
          <t>측정</t>
        </is>
      </c>
      <c r="E1845" s="25" t="inlineStr">
        <is>
          <t>서</t>
        </is>
      </c>
      <c r="F1845" s="30" t="n">
        <v>6</v>
      </c>
      <c r="G1845" s="29" t="n"/>
      <c r="H1845" s="42" t="n"/>
      <c r="I1845" s="40" t="n"/>
      <c r="J1845" s="40" t="n"/>
      <c r="K1845" s="40" t="n"/>
      <c r="L1845" s="30">
        <f>IF(COUNT(I1845:K1845)=0,"",MEDIAN(I1845:K1845))</f>
        <v/>
      </c>
      <c r="M1845" s="25">
        <f>IF(COUNTIFS($C:$C,$C1845,$D:$D,"P0(전)",$L:$L,"&gt;0")&lt;&gt;1,"P0(전) 유효 1개 아님",IF(COUNTIFS($C:$C,$C1845,$D:$D,"P0(후)",$L:$L,"&gt;0")&lt;&gt;1,"P0(후) 유효 1개 아님",IF(NOT(AND(ISNUMBER(N1845),ISNUMBER(P1845),ISNUMBER(H1845))),"시각 결측",IF(P1845&lt;=N1845,"P0 시각 역전",IF(OR(H1845&lt;N1845,H1845&gt;P1845),"측정시각 구간 밖","OK")))))</f>
        <v/>
      </c>
      <c r="N1845" s="45">
        <f>IF(COUNTIFS($C:$C,$C1845,$D:$D,"P0(전)",$L:$L,"&gt;0")&lt;&gt;1,"",SUMIFS($H:$H,$C:$C,$C1845,$D:$D,"P0(전)"))</f>
        <v/>
      </c>
      <c r="O1845" s="30">
        <f>IF(COUNTIFS($C:$C,$C1845,$D:$D,"P0(전)",$L:$L,"&gt;0")&lt;&gt;1,"",SUMIFS($L:$L,$C:$C,$C1845,$D:$D,"P0(전)"))</f>
        <v/>
      </c>
      <c r="P1845" s="45">
        <f>IF(COUNTIFS($C:$C,$C1845,$D:$D,"P0(후)",$L:$L,"&gt;0")&lt;&gt;1,"",SUMIFS($H:$H,$C:$C,$C1845,$D:$D,"P0(후)"))</f>
        <v/>
      </c>
      <c r="Q1845" s="30">
        <f>IF(COUNTIFS($C:$C,$C1845,$D:$D,"P0(후)",$L:$L,"&gt;0")&lt;&gt;1,"",SUMIFS($L:$L,$C:$C,$C1845,$D:$D,"P0(후)"))</f>
        <v/>
      </c>
      <c r="R1845" s="30">
        <f>IF(M1845&lt;&gt;"OK","",O1845+(Q1845-O1845)*(H1845-N1845)/(P1845-N1845))</f>
        <v/>
      </c>
      <c r="S1845" s="30">
        <f>IF(OR(M1845&lt;&gt;"OK",NOT(ISNUMBER(L1845))),"",L1845-R1845)</f>
        <v/>
      </c>
      <c r="T1845" s="46">
        <f>IF(OR(NOT(ISNUMBER(S1845)),IF(ISNUMBER(G1845),G1845,F1845)=0),"",S1845/IF(ISNUMBER(G1845),G1845,F1845))</f>
        <v/>
      </c>
      <c r="U1845" s="46">
        <f>IF(ISNUMBER(T1845),ABS(T1845),"")</f>
        <v/>
      </c>
      <c r="V1845" s="46">
        <f>IF(OR($D1844&lt;&gt;"측정",$C1844&lt;&gt;$C1845,NOT(ISNUMBER(L1845)),NOT(ISNUMBER(L1844)),(IF(ISNUMBER(G1845),G1845,F1845)-IF(ISNUMBER(G1844),G1844,F1844))=0),"",(L1845-L1844)/(IF(ISNUMBER(G1845),G1845,F1845)-IF(ISNUMBER(G1844),G1844,F1844)))</f>
        <v/>
      </c>
      <c r="W1845" s="30">
        <f>IF(NOT(AND(ISNUMBER(N1845),ISNUMBER(P1845))),"",(P1845-N1845)*1440)</f>
        <v/>
      </c>
      <c r="X1845" s="28" t="n"/>
      <c r="Y1845" s="28" t="n"/>
      <c r="Z1845" s="28" t="n"/>
      <c r="AA1845" s="31" t="n"/>
      <c r="AB1845" s="31" t="n"/>
    </row>
    <row r="1846">
      <c r="A1846" s="25" t="inlineStr">
        <is>
          <t>S36</t>
        </is>
      </c>
      <c r="B1846" s="25" t="inlineStr">
        <is>
          <t>미원</t>
        </is>
      </c>
      <c r="C1846" s="25" t="inlineStr">
        <is>
          <t>S36-H서</t>
        </is>
      </c>
      <c r="D1846" s="25" t="inlineStr">
        <is>
          <t>측정</t>
        </is>
      </c>
      <c r="E1846" s="25" t="inlineStr">
        <is>
          <t>서</t>
        </is>
      </c>
      <c r="F1846" s="30" t="n">
        <v>7</v>
      </c>
      <c r="G1846" s="29" t="n"/>
      <c r="H1846" s="42" t="n"/>
      <c r="I1846" s="40" t="n"/>
      <c r="J1846" s="40" t="n"/>
      <c r="K1846" s="40" t="n"/>
      <c r="L1846" s="30">
        <f>IF(COUNT(I1846:K1846)=0,"",MEDIAN(I1846:K1846))</f>
        <v/>
      </c>
      <c r="M1846" s="25">
        <f>IF(COUNTIFS($C:$C,$C1846,$D:$D,"P0(전)",$L:$L,"&gt;0")&lt;&gt;1,"P0(전) 유효 1개 아님",IF(COUNTIFS($C:$C,$C1846,$D:$D,"P0(후)",$L:$L,"&gt;0")&lt;&gt;1,"P0(후) 유효 1개 아님",IF(NOT(AND(ISNUMBER(N1846),ISNUMBER(P1846),ISNUMBER(H1846))),"시각 결측",IF(P1846&lt;=N1846,"P0 시각 역전",IF(OR(H1846&lt;N1846,H1846&gt;P1846),"측정시각 구간 밖","OK")))))</f>
        <v/>
      </c>
      <c r="N1846" s="45">
        <f>IF(COUNTIFS($C:$C,$C1846,$D:$D,"P0(전)",$L:$L,"&gt;0")&lt;&gt;1,"",SUMIFS($H:$H,$C:$C,$C1846,$D:$D,"P0(전)"))</f>
        <v/>
      </c>
      <c r="O1846" s="30">
        <f>IF(COUNTIFS($C:$C,$C1846,$D:$D,"P0(전)",$L:$L,"&gt;0")&lt;&gt;1,"",SUMIFS($L:$L,$C:$C,$C1846,$D:$D,"P0(전)"))</f>
        <v/>
      </c>
      <c r="P1846" s="45">
        <f>IF(COUNTIFS($C:$C,$C1846,$D:$D,"P0(후)",$L:$L,"&gt;0")&lt;&gt;1,"",SUMIFS($H:$H,$C:$C,$C1846,$D:$D,"P0(후)"))</f>
        <v/>
      </c>
      <c r="Q1846" s="30">
        <f>IF(COUNTIFS($C:$C,$C1846,$D:$D,"P0(후)",$L:$L,"&gt;0")&lt;&gt;1,"",SUMIFS($L:$L,$C:$C,$C1846,$D:$D,"P0(후)"))</f>
        <v/>
      </c>
      <c r="R1846" s="30">
        <f>IF(M1846&lt;&gt;"OK","",O1846+(Q1846-O1846)*(H1846-N1846)/(P1846-N1846))</f>
        <v/>
      </c>
      <c r="S1846" s="30">
        <f>IF(OR(M1846&lt;&gt;"OK",NOT(ISNUMBER(L1846))),"",L1846-R1846)</f>
        <v/>
      </c>
      <c r="T1846" s="46">
        <f>IF(OR(NOT(ISNUMBER(S1846)),IF(ISNUMBER(G1846),G1846,F1846)=0),"",S1846/IF(ISNUMBER(G1846),G1846,F1846))</f>
        <v/>
      </c>
      <c r="U1846" s="46">
        <f>IF(ISNUMBER(T1846),ABS(T1846),"")</f>
        <v/>
      </c>
      <c r="V1846" s="46">
        <f>IF(OR($D1845&lt;&gt;"측정",$C1845&lt;&gt;$C1846,NOT(ISNUMBER(L1846)),NOT(ISNUMBER(L1845)),(IF(ISNUMBER(G1846),G1846,F1846)-IF(ISNUMBER(G1845),G1845,F1845))=0),"",(L1846-L1845)/(IF(ISNUMBER(G1846),G1846,F1846)-IF(ISNUMBER(G1845),G1845,F1845)))</f>
        <v/>
      </c>
      <c r="W1846" s="30">
        <f>IF(NOT(AND(ISNUMBER(N1846),ISNUMBER(P1846))),"",(P1846-N1846)*1440)</f>
        <v/>
      </c>
      <c r="X1846" s="28" t="n"/>
      <c r="Y1846" s="28" t="n"/>
      <c r="Z1846" s="28" t="n"/>
      <c r="AA1846" s="31" t="n"/>
      <c r="AB1846" s="31" t="n"/>
    </row>
    <row r="1847">
      <c r="A1847" s="25" t="inlineStr">
        <is>
          <t>S36</t>
        </is>
      </c>
      <c r="B1847" s="25" t="inlineStr">
        <is>
          <t>미원</t>
        </is>
      </c>
      <c r="C1847" s="25" t="inlineStr">
        <is>
          <t>S36-H서</t>
        </is>
      </c>
      <c r="D1847" s="25" t="inlineStr">
        <is>
          <t>측정</t>
        </is>
      </c>
      <c r="E1847" s="25" t="inlineStr">
        <is>
          <t>서</t>
        </is>
      </c>
      <c r="F1847" s="30" t="n">
        <v>8</v>
      </c>
      <c r="G1847" s="29" t="n"/>
      <c r="H1847" s="42" t="n"/>
      <c r="I1847" s="40" t="n"/>
      <c r="J1847" s="40" t="n"/>
      <c r="K1847" s="40" t="n"/>
      <c r="L1847" s="30">
        <f>IF(COUNT(I1847:K1847)=0,"",MEDIAN(I1847:K1847))</f>
        <v/>
      </c>
      <c r="M1847" s="25">
        <f>IF(COUNTIFS($C:$C,$C1847,$D:$D,"P0(전)",$L:$L,"&gt;0")&lt;&gt;1,"P0(전) 유효 1개 아님",IF(COUNTIFS($C:$C,$C1847,$D:$D,"P0(후)",$L:$L,"&gt;0")&lt;&gt;1,"P0(후) 유효 1개 아님",IF(NOT(AND(ISNUMBER(N1847),ISNUMBER(P1847),ISNUMBER(H1847))),"시각 결측",IF(P1847&lt;=N1847,"P0 시각 역전",IF(OR(H1847&lt;N1847,H1847&gt;P1847),"측정시각 구간 밖","OK")))))</f>
        <v/>
      </c>
      <c r="N1847" s="45">
        <f>IF(COUNTIFS($C:$C,$C1847,$D:$D,"P0(전)",$L:$L,"&gt;0")&lt;&gt;1,"",SUMIFS($H:$H,$C:$C,$C1847,$D:$D,"P0(전)"))</f>
        <v/>
      </c>
      <c r="O1847" s="30">
        <f>IF(COUNTIFS($C:$C,$C1847,$D:$D,"P0(전)",$L:$L,"&gt;0")&lt;&gt;1,"",SUMIFS($L:$L,$C:$C,$C1847,$D:$D,"P0(전)"))</f>
        <v/>
      </c>
      <c r="P1847" s="45">
        <f>IF(COUNTIFS($C:$C,$C1847,$D:$D,"P0(후)",$L:$L,"&gt;0")&lt;&gt;1,"",SUMIFS($H:$H,$C:$C,$C1847,$D:$D,"P0(후)"))</f>
        <v/>
      </c>
      <c r="Q1847" s="30">
        <f>IF(COUNTIFS($C:$C,$C1847,$D:$D,"P0(후)",$L:$L,"&gt;0")&lt;&gt;1,"",SUMIFS($L:$L,$C:$C,$C1847,$D:$D,"P0(후)"))</f>
        <v/>
      </c>
      <c r="R1847" s="30">
        <f>IF(M1847&lt;&gt;"OK","",O1847+(Q1847-O1847)*(H1847-N1847)/(P1847-N1847))</f>
        <v/>
      </c>
      <c r="S1847" s="30">
        <f>IF(OR(M1847&lt;&gt;"OK",NOT(ISNUMBER(L1847))),"",L1847-R1847)</f>
        <v/>
      </c>
      <c r="T1847" s="46">
        <f>IF(OR(NOT(ISNUMBER(S1847)),IF(ISNUMBER(G1847),G1847,F1847)=0),"",S1847/IF(ISNUMBER(G1847),G1847,F1847))</f>
        <v/>
      </c>
      <c r="U1847" s="46">
        <f>IF(ISNUMBER(T1847),ABS(T1847),"")</f>
        <v/>
      </c>
      <c r="V1847" s="46">
        <f>IF(OR($D1846&lt;&gt;"측정",$C1846&lt;&gt;$C1847,NOT(ISNUMBER(L1847)),NOT(ISNUMBER(L1846)),(IF(ISNUMBER(G1847),G1847,F1847)-IF(ISNUMBER(G1846),G1846,F1846))=0),"",(L1847-L1846)/(IF(ISNUMBER(G1847),G1847,F1847)-IF(ISNUMBER(G1846),G1846,F1846)))</f>
        <v/>
      </c>
      <c r="W1847" s="30">
        <f>IF(NOT(AND(ISNUMBER(N1847),ISNUMBER(P1847))),"",(P1847-N1847)*1440)</f>
        <v/>
      </c>
      <c r="X1847" s="28" t="n"/>
      <c r="Y1847" s="28" t="n"/>
      <c r="Z1847" s="28" t="n"/>
      <c r="AA1847" s="31" t="n"/>
      <c r="AB1847" s="31" t="n"/>
    </row>
    <row r="1848">
      <c r="A1848" s="25" t="inlineStr">
        <is>
          <t>S36</t>
        </is>
      </c>
      <c r="B1848" s="25" t="inlineStr">
        <is>
          <t>미원</t>
        </is>
      </c>
      <c r="C1848" s="25" t="inlineStr">
        <is>
          <t>S36-H서</t>
        </is>
      </c>
      <c r="D1848" s="25" t="inlineStr">
        <is>
          <t>측정</t>
        </is>
      </c>
      <c r="E1848" s="25" t="inlineStr">
        <is>
          <t>서</t>
        </is>
      </c>
      <c r="F1848" s="30" t="n">
        <v>9</v>
      </c>
      <c r="G1848" s="29" t="n"/>
      <c r="H1848" s="42" t="n"/>
      <c r="I1848" s="40" t="n"/>
      <c r="J1848" s="40" t="n"/>
      <c r="K1848" s="40" t="n"/>
      <c r="L1848" s="30">
        <f>IF(COUNT(I1848:K1848)=0,"",MEDIAN(I1848:K1848))</f>
        <v/>
      </c>
      <c r="M1848" s="25">
        <f>IF(COUNTIFS($C:$C,$C1848,$D:$D,"P0(전)",$L:$L,"&gt;0")&lt;&gt;1,"P0(전) 유효 1개 아님",IF(COUNTIFS($C:$C,$C1848,$D:$D,"P0(후)",$L:$L,"&gt;0")&lt;&gt;1,"P0(후) 유효 1개 아님",IF(NOT(AND(ISNUMBER(N1848),ISNUMBER(P1848),ISNUMBER(H1848))),"시각 결측",IF(P1848&lt;=N1848,"P0 시각 역전",IF(OR(H1848&lt;N1848,H1848&gt;P1848),"측정시각 구간 밖","OK")))))</f>
        <v/>
      </c>
      <c r="N1848" s="45">
        <f>IF(COUNTIFS($C:$C,$C1848,$D:$D,"P0(전)",$L:$L,"&gt;0")&lt;&gt;1,"",SUMIFS($H:$H,$C:$C,$C1848,$D:$D,"P0(전)"))</f>
        <v/>
      </c>
      <c r="O1848" s="30">
        <f>IF(COUNTIFS($C:$C,$C1848,$D:$D,"P0(전)",$L:$L,"&gt;0")&lt;&gt;1,"",SUMIFS($L:$L,$C:$C,$C1848,$D:$D,"P0(전)"))</f>
        <v/>
      </c>
      <c r="P1848" s="45">
        <f>IF(COUNTIFS($C:$C,$C1848,$D:$D,"P0(후)",$L:$L,"&gt;0")&lt;&gt;1,"",SUMIFS($H:$H,$C:$C,$C1848,$D:$D,"P0(후)"))</f>
        <v/>
      </c>
      <c r="Q1848" s="30">
        <f>IF(COUNTIFS($C:$C,$C1848,$D:$D,"P0(후)",$L:$L,"&gt;0")&lt;&gt;1,"",SUMIFS($L:$L,$C:$C,$C1848,$D:$D,"P0(후)"))</f>
        <v/>
      </c>
      <c r="R1848" s="30">
        <f>IF(M1848&lt;&gt;"OK","",O1848+(Q1848-O1848)*(H1848-N1848)/(P1848-N1848))</f>
        <v/>
      </c>
      <c r="S1848" s="30">
        <f>IF(OR(M1848&lt;&gt;"OK",NOT(ISNUMBER(L1848))),"",L1848-R1848)</f>
        <v/>
      </c>
      <c r="T1848" s="46">
        <f>IF(OR(NOT(ISNUMBER(S1848)),IF(ISNUMBER(G1848),G1848,F1848)=0),"",S1848/IF(ISNUMBER(G1848),G1848,F1848))</f>
        <v/>
      </c>
      <c r="U1848" s="46">
        <f>IF(ISNUMBER(T1848),ABS(T1848),"")</f>
        <v/>
      </c>
      <c r="V1848" s="46">
        <f>IF(OR($D1847&lt;&gt;"측정",$C1847&lt;&gt;$C1848,NOT(ISNUMBER(L1848)),NOT(ISNUMBER(L1847)),(IF(ISNUMBER(G1848),G1848,F1848)-IF(ISNUMBER(G1847),G1847,F1847))=0),"",(L1848-L1847)/(IF(ISNUMBER(G1848),G1848,F1848)-IF(ISNUMBER(G1847),G1847,F1847)))</f>
        <v/>
      </c>
      <c r="W1848" s="30">
        <f>IF(NOT(AND(ISNUMBER(N1848),ISNUMBER(P1848))),"",(P1848-N1848)*1440)</f>
        <v/>
      </c>
      <c r="X1848" s="28" t="n"/>
      <c r="Y1848" s="28" t="n"/>
      <c r="Z1848" s="28" t="n"/>
      <c r="AA1848" s="31" t="n"/>
      <c r="AB1848" s="31" t="n"/>
    </row>
    <row r="1849">
      <c r="A1849" s="25" t="inlineStr">
        <is>
          <t>S36</t>
        </is>
      </c>
      <c r="B1849" s="25" t="inlineStr">
        <is>
          <t>미원</t>
        </is>
      </c>
      <c r="C1849" s="25" t="inlineStr">
        <is>
          <t>S36-H서</t>
        </is>
      </c>
      <c r="D1849" s="25" t="inlineStr">
        <is>
          <t>측정</t>
        </is>
      </c>
      <c r="E1849" s="25" t="inlineStr">
        <is>
          <t>서</t>
        </is>
      </c>
      <c r="F1849" s="30" t="n">
        <v>10</v>
      </c>
      <c r="G1849" s="29" t="n"/>
      <c r="H1849" s="42" t="n"/>
      <c r="I1849" s="40" t="n"/>
      <c r="J1849" s="40" t="n"/>
      <c r="K1849" s="40" t="n"/>
      <c r="L1849" s="30">
        <f>IF(COUNT(I1849:K1849)=0,"",MEDIAN(I1849:K1849))</f>
        <v/>
      </c>
      <c r="M1849" s="25">
        <f>IF(COUNTIFS($C:$C,$C1849,$D:$D,"P0(전)",$L:$L,"&gt;0")&lt;&gt;1,"P0(전) 유효 1개 아님",IF(COUNTIFS($C:$C,$C1849,$D:$D,"P0(후)",$L:$L,"&gt;0")&lt;&gt;1,"P0(후) 유효 1개 아님",IF(NOT(AND(ISNUMBER(N1849),ISNUMBER(P1849),ISNUMBER(H1849))),"시각 결측",IF(P1849&lt;=N1849,"P0 시각 역전",IF(OR(H1849&lt;N1849,H1849&gt;P1849),"측정시각 구간 밖","OK")))))</f>
        <v/>
      </c>
      <c r="N1849" s="45">
        <f>IF(COUNTIFS($C:$C,$C1849,$D:$D,"P0(전)",$L:$L,"&gt;0")&lt;&gt;1,"",SUMIFS($H:$H,$C:$C,$C1849,$D:$D,"P0(전)"))</f>
        <v/>
      </c>
      <c r="O1849" s="30">
        <f>IF(COUNTIFS($C:$C,$C1849,$D:$D,"P0(전)",$L:$L,"&gt;0")&lt;&gt;1,"",SUMIFS($L:$L,$C:$C,$C1849,$D:$D,"P0(전)"))</f>
        <v/>
      </c>
      <c r="P1849" s="45">
        <f>IF(COUNTIFS($C:$C,$C1849,$D:$D,"P0(후)",$L:$L,"&gt;0")&lt;&gt;1,"",SUMIFS($H:$H,$C:$C,$C1849,$D:$D,"P0(후)"))</f>
        <v/>
      </c>
      <c r="Q1849" s="30">
        <f>IF(COUNTIFS($C:$C,$C1849,$D:$D,"P0(후)",$L:$L,"&gt;0")&lt;&gt;1,"",SUMIFS($L:$L,$C:$C,$C1849,$D:$D,"P0(후)"))</f>
        <v/>
      </c>
      <c r="R1849" s="30">
        <f>IF(M1849&lt;&gt;"OK","",O1849+(Q1849-O1849)*(H1849-N1849)/(P1849-N1849))</f>
        <v/>
      </c>
      <c r="S1849" s="30">
        <f>IF(OR(M1849&lt;&gt;"OK",NOT(ISNUMBER(L1849))),"",L1849-R1849)</f>
        <v/>
      </c>
      <c r="T1849" s="46">
        <f>IF(OR(NOT(ISNUMBER(S1849)),IF(ISNUMBER(G1849),G1849,F1849)=0),"",S1849/IF(ISNUMBER(G1849),G1849,F1849))</f>
        <v/>
      </c>
      <c r="U1849" s="46">
        <f>IF(ISNUMBER(T1849),ABS(T1849),"")</f>
        <v/>
      </c>
      <c r="V1849" s="46">
        <f>IF(OR($D1848&lt;&gt;"측정",$C1848&lt;&gt;$C1849,NOT(ISNUMBER(L1849)),NOT(ISNUMBER(L1848)),(IF(ISNUMBER(G1849),G1849,F1849)-IF(ISNUMBER(G1848),G1848,F1848))=0),"",(L1849-L1848)/(IF(ISNUMBER(G1849),G1849,F1849)-IF(ISNUMBER(G1848),G1848,F1848)))</f>
        <v/>
      </c>
      <c r="W1849" s="30">
        <f>IF(NOT(AND(ISNUMBER(N1849),ISNUMBER(P1849))),"",(P1849-N1849)*1440)</f>
        <v/>
      </c>
      <c r="X1849" s="28" t="n"/>
      <c r="Y1849" s="28" t="n"/>
      <c r="Z1849" s="28" t="n"/>
      <c r="AA1849" s="31" t="n"/>
      <c r="AB1849" s="31" t="n"/>
    </row>
    <row r="1850">
      <c r="A1850" s="43" t="inlineStr">
        <is>
          <t>S36</t>
        </is>
      </c>
      <c r="B1850" s="43" t="inlineStr">
        <is>
          <t>미원</t>
        </is>
      </c>
      <c r="C1850" s="43" t="inlineStr">
        <is>
          <t>S36-H서</t>
        </is>
      </c>
      <c r="D1850" s="43" t="inlineStr">
        <is>
          <t>P0(후)</t>
        </is>
      </c>
      <c r="E1850" s="43" t="inlineStr">
        <is>
          <t>서</t>
        </is>
      </c>
      <c r="F1850" s="44" t="n"/>
      <c r="G1850" s="29" t="n"/>
      <c r="H1850" s="42" t="n"/>
      <c r="I1850" s="40" t="n"/>
      <c r="J1850" s="40" t="n"/>
      <c r="K1850" s="40" t="n"/>
      <c r="L1850" s="30">
        <f>IF(COUNT(I1850:K1850)=0,"",MEDIAN(I1850:K1850))</f>
        <v/>
      </c>
      <c r="M1850" s="37" t="n"/>
      <c r="N1850" s="37" t="n"/>
      <c r="O1850" s="37" t="n"/>
      <c r="P1850" s="37" t="n"/>
      <c r="Q1850" s="37" t="n"/>
      <c r="R1850" s="37" t="n"/>
      <c r="S1850" s="37" t="n"/>
      <c r="T1850" s="37" t="n"/>
      <c r="U1850" s="37" t="n"/>
      <c r="V1850" s="37" t="n"/>
      <c r="W1850" s="37" t="n"/>
      <c r="X1850" s="28" t="n"/>
      <c r="Y1850" s="28" t="n"/>
      <c r="Z1850" s="28" t="n"/>
      <c r="AA1850" s="31" t="n"/>
      <c r="AB1850" s="31" t="n"/>
    </row>
    <row r="1851">
      <c r="A1851" s="43" t="inlineStr">
        <is>
          <t>S36</t>
        </is>
      </c>
      <c r="B1851" s="43" t="inlineStr">
        <is>
          <t>미원</t>
        </is>
      </c>
      <c r="C1851" s="43" t="inlineStr">
        <is>
          <t>S36-H남</t>
        </is>
      </c>
      <c r="D1851" s="43" t="inlineStr">
        <is>
          <t>P0(전)</t>
        </is>
      </c>
      <c r="E1851" s="43" t="inlineStr">
        <is>
          <t>남</t>
        </is>
      </c>
      <c r="F1851" s="44" t="n"/>
      <c r="G1851" s="29" t="n"/>
      <c r="H1851" s="42" t="n"/>
      <c r="I1851" s="40" t="n"/>
      <c r="J1851" s="40" t="n"/>
      <c r="K1851" s="40" t="n"/>
      <c r="L1851" s="30">
        <f>IF(COUNT(I1851:K1851)=0,"",MEDIAN(I1851:K1851))</f>
        <v/>
      </c>
      <c r="M1851" s="37" t="n"/>
      <c r="N1851" s="37" t="n"/>
      <c r="O1851" s="37" t="n"/>
      <c r="P1851" s="37" t="n"/>
      <c r="Q1851" s="37" t="n"/>
      <c r="R1851" s="37" t="n"/>
      <c r="S1851" s="37" t="n"/>
      <c r="T1851" s="37" t="n"/>
      <c r="U1851" s="37" t="n"/>
      <c r="V1851" s="37" t="n"/>
      <c r="W1851" s="37" t="n"/>
      <c r="X1851" s="28" t="n"/>
      <c r="Y1851" s="28" t="n"/>
      <c r="Z1851" s="28" t="n"/>
      <c r="AA1851" s="31" t="n"/>
      <c r="AB1851" s="31" t="n"/>
    </row>
    <row r="1852">
      <c r="A1852" s="25" t="inlineStr">
        <is>
          <t>S36</t>
        </is>
      </c>
      <c r="B1852" s="25" t="inlineStr">
        <is>
          <t>미원</t>
        </is>
      </c>
      <c r="C1852" s="25" t="inlineStr">
        <is>
          <t>S36-H남</t>
        </is>
      </c>
      <c r="D1852" s="25" t="inlineStr">
        <is>
          <t>측정</t>
        </is>
      </c>
      <c r="E1852" s="25" t="inlineStr">
        <is>
          <t>남</t>
        </is>
      </c>
      <c r="F1852" s="30" t="n">
        <v>0.5</v>
      </c>
      <c r="G1852" s="29" t="n"/>
      <c r="H1852" s="42" t="n"/>
      <c r="I1852" s="40" t="n"/>
      <c r="J1852" s="40" t="n"/>
      <c r="K1852" s="40" t="n"/>
      <c r="L1852" s="30">
        <f>IF(COUNT(I1852:K1852)=0,"",MEDIAN(I1852:K1852))</f>
        <v/>
      </c>
      <c r="M1852" s="25">
        <f>IF(COUNTIFS($C:$C,$C1852,$D:$D,"P0(전)",$L:$L,"&gt;0")&lt;&gt;1,"P0(전) 유효 1개 아님",IF(COUNTIFS($C:$C,$C1852,$D:$D,"P0(후)",$L:$L,"&gt;0")&lt;&gt;1,"P0(후) 유효 1개 아님",IF(NOT(AND(ISNUMBER(N1852),ISNUMBER(P1852),ISNUMBER(H1852))),"시각 결측",IF(P1852&lt;=N1852,"P0 시각 역전",IF(OR(H1852&lt;N1852,H1852&gt;P1852),"측정시각 구간 밖","OK")))))</f>
        <v/>
      </c>
      <c r="N1852" s="45">
        <f>IF(COUNTIFS($C:$C,$C1852,$D:$D,"P0(전)",$L:$L,"&gt;0")&lt;&gt;1,"",SUMIFS($H:$H,$C:$C,$C1852,$D:$D,"P0(전)"))</f>
        <v/>
      </c>
      <c r="O1852" s="30">
        <f>IF(COUNTIFS($C:$C,$C1852,$D:$D,"P0(전)",$L:$L,"&gt;0")&lt;&gt;1,"",SUMIFS($L:$L,$C:$C,$C1852,$D:$D,"P0(전)"))</f>
        <v/>
      </c>
      <c r="P1852" s="45">
        <f>IF(COUNTIFS($C:$C,$C1852,$D:$D,"P0(후)",$L:$L,"&gt;0")&lt;&gt;1,"",SUMIFS($H:$H,$C:$C,$C1852,$D:$D,"P0(후)"))</f>
        <v/>
      </c>
      <c r="Q1852" s="30">
        <f>IF(COUNTIFS($C:$C,$C1852,$D:$D,"P0(후)",$L:$L,"&gt;0")&lt;&gt;1,"",SUMIFS($L:$L,$C:$C,$C1852,$D:$D,"P0(후)"))</f>
        <v/>
      </c>
      <c r="R1852" s="30">
        <f>IF(M1852&lt;&gt;"OK","",O1852+(Q1852-O1852)*(H1852-N1852)/(P1852-N1852))</f>
        <v/>
      </c>
      <c r="S1852" s="30">
        <f>IF(OR(M1852&lt;&gt;"OK",NOT(ISNUMBER(L1852))),"",L1852-R1852)</f>
        <v/>
      </c>
      <c r="T1852" s="46">
        <f>IF(OR(NOT(ISNUMBER(S1852)),IF(ISNUMBER(G1852),G1852,F1852)=0),"",S1852/IF(ISNUMBER(G1852),G1852,F1852))</f>
        <v/>
      </c>
      <c r="U1852" s="46">
        <f>IF(ISNUMBER(T1852),ABS(T1852),"")</f>
        <v/>
      </c>
      <c r="V1852" s="46">
        <f>IF(OR($D1851&lt;&gt;"측정",$C1851&lt;&gt;$C1852,NOT(ISNUMBER(L1852)),NOT(ISNUMBER(L1851)),(IF(ISNUMBER(G1852),G1852,F1852)-IF(ISNUMBER(G1851),G1851,F1851))=0),"",(L1852-L1851)/(IF(ISNUMBER(G1852),G1852,F1852)-IF(ISNUMBER(G1851),G1851,F1851)))</f>
        <v/>
      </c>
      <c r="W1852" s="30">
        <f>IF(NOT(AND(ISNUMBER(N1852),ISNUMBER(P1852))),"",(P1852-N1852)*1440)</f>
        <v/>
      </c>
      <c r="X1852" s="28" t="n"/>
      <c r="Y1852" s="28" t="n"/>
      <c r="Z1852" s="28" t="n"/>
      <c r="AA1852" s="31" t="n"/>
      <c r="AB1852" s="31" t="n"/>
    </row>
    <row r="1853">
      <c r="A1853" s="25" t="inlineStr">
        <is>
          <t>S36</t>
        </is>
      </c>
      <c r="B1853" s="25" t="inlineStr">
        <is>
          <t>미원</t>
        </is>
      </c>
      <c r="C1853" s="25" t="inlineStr">
        <is>
          <t>S36-H남</t>
        </is>
      </c>
      <c r="D1853" s="25" t="inlineStr">
        <is>
          <t>측정</t>
        </is>
      </c>
      <c r="E1853" s="25" t="inlineStr">
        <is>
          <t>남</t>
        </is>
      </c>
      <c r="F1853" s="30" t="n">
        <v>1</v>
      </c>
      <c r="G1853" s="29" t="n"/>
      <c r="H1853" s="42" t="n"/>
      <c r="I1853" s="40" t="n"/>
      <c r="J1853" s="40" t="n"/>
      <c r="K1853" s="40" t="n"/>
      <c r="L1853" s="30">
        <f>IF(COUNT(I1853:K1853)=0,"",MEDIAN(I1853:K1853))</f>
        <v/>
      </c>
      <c r="M1853" s="25">
        <f>IF(COUNTIFS($C:$C,$C1853,$D:$D,"P0(전)",$L:$L,"&gt;0")&lt;&gt;1,"P0(전) 유효 1개 아님",IF(COUNTIFS($C:$C,$C1853,$D:$D,"P0(후)",$L:$L,"&gt;0")&lt;&gt;1,"P0(후) 유효 1개 아님",IF(NOT(AND(ISNUMBER(N1853),ISNUMBER(P1853),ISNUMBER(H1853))),"시각 결측",IF(P1853&lt;=N1853,"P0 시각 역전",IF(OR(H1853&lt;N1853,H1853&gt;P1853),"측정시각 구간 밖","OK")))))</f>
        <v/>
      </c>
      <c r="N1853" s="45">
        <f>IF(COUNTIFS($C:$C,$C1853,$D:$D,"P0(전)",$L:$L,"&gt;0")&lt;&gt;1,"",SUMIFS($H:$H,$C:$C,$C1853,$D:$D,"P0(전)"))</f>
        <v/>
      </c>
      <c r="O1853" s="30">
        <f>IF(COUNTIFS($C:$C,$C1853,$D:$D,"P0(전)",$L:$L,"&gt;0")&lt;&gt;1,"",SUMIFS($L:$L,$C:$C,$C1853,$D:$D,"P0(전)"))</f>
        <v/>
      </c>
      <c r="P1853" s="45">
        <f>IF(COUNTIFS($C:$C,$C1853,$D:$D,"P0(후)",$L:$L,"&gt;0")&lt;&gt;1,"",SUMIFS($H:$H,$C:$C,$C1853,$D:$D,"P0(후)"))</f>
        <v/>
      </c>
      <c r="Q1853" s="30">
        <f>IF(COUNTIFS($C:$C,$C1853,$D:$D,"P0(후)",$L:$L,"&gt;0")&lt;&gt;1,"",SUMIFS($L:$L,$C:$C,$C1853,$D:$D,"P0(후)"))</f>
        <v/>
      </c>
      <c r="R1853" s="30">
        <f>IF(M1853&lt;&gt;"OK","",O1853+(Q1853-O1853)*(H1853-N1853)/(P1853-N1853))</f>
        <v/>
      </c>
      <c r="S1853" s="30">
        <f>IF(OR(M1853&lt;&gt;"OK",NOT(ISNUMBER(L1853))),"",L1853-R1853)</f>
        <v/>
      </c>
      <c r="T1853" s="46">
        <f>IF(OR(NOT(ISNUMBER(S1853)),IF(ISNUMBER(G1853),G1853,F1853)=0),"",S1853/IF(ISNUMBER(G1853),G1853,F1853))</f>
        <v/>
      </c>
      <c r="U1853" s="46">
        <f>IF(ISNUMBER(T1853),ABS(T1853),"")</f>
        <v/>
      </c>
      <c r="V1853" s="46">
        <f>IF(OR($D1852&lt;&gt;"측정",$C1852&lt;&gt;$C1853,NOT(ISNUMBER(L1853)),NOT(ISNUMBER(L1852)),(IF(ISNUMBER(G1853),G1853,F1853)-IF(ISNUMBER(G1852),G1852,F1852))=0),"",(L1853-L1852)/(IF(ISNUMBER(G1853),G1853,F1853)-IF(ISNUMBER(G1852),G1852,F1852)))</f>
        <v/>
      </c>
      <c r="W1853" s="30">
        <f>IF(NOT(AND(ISNUMBER(N1853),ISNUMBER(P1853))),"",(P1853-N1853)*1440)</f>
        <v/>
      </c>
      <c r="X1853" s="28" t="n"/>
      <c r="Y1853" s="28" t="n"/>
      <c r="Z1853" s="28" t="n"/>
      <c r="AA1853" s="31" t="n"/>
      <c r="AB1853" s="31" t="n"/>
    </row>
    <row r="1854">
      <c r="A1854" s="25" t="inlineStr">
        <is>
          <t>S36</t>
        </is>
      </c>
      <c r="B1854" s="25" t="inlineStr">
        <is>
          <t>미원</t>
        </is>
      </c>
      <c r="C1854" s="25" t="inlineStr">
        <is>
          <t>S36-H남</t>
        </is>
      </c>
      <c r="D1854" s="25" t="inlineStr">
        <is>
          <t>측정</t>
        </is>
      </c>
      <c r="E1854" s="25" t="inlineStr">
        <is>
          <t>남</t>
        </is>
      </c>
      <c r="F1854" s="30" t="n">
        <v>2</v>
      </c>
      <c r="G1854" s="29" t="n"/>
      <c r="H1854" s="42" t="n"/>
      <c r="I1854" s="40" t="n"/>
      <c r="J1854" s="40" t="n"/>
      <c r="K1854" s="40" t="n"/>
      <c r="L1854" s="30">
        <f>IF(COUNT(I1854:K1854)=0,"",MEDIAN(I1854:K1854))</f>
        <v/>
      </c>
      <c r="M1854" s="25">
        <f>IF(COUNTIFS($C:$C,$C1854,$D:$D,"P0(전)",$L:$L,"&gt;0")&lt;&gt;1,"P0(전) 유효 1개 아님",IF(COUNTIFS($C:$C,$C1854,$D:$D,"P0(후)",$L:$L,"&gt;0")&lt;&gt;1,"P0(후) 유효 1개 아님",IF(NOT(AND(ISNUMBER(N1854),ISNUMBER(P1854),ISNUMBER(H1854))),"시각 결측",IF(P1854&lt;=N1854,"P0 시각 역전",IF(OR(H1854&lt;N1854,H1854&gt;P1854),"측정시각 구간 밖","OK")))))</f>
        <v/>
      </c>
      <c r="N1854" s="45">
        <f>IF(COUNTIFS($C:$C,$C1854,$D:$D,"P0(전)",$L:$L,"&gt;0")&lt;&gt;1,"",SUMIFS($H:$H,$C:$C,$C1854,$D:$D,"P0(전)"))</f>
        <v/>
      </c>
      <c r="O1854" s="30">
        <f>IF(COUNTIFS($C:$C,$C1854,$D:$D,"P0(전)",$L:$L,"&gt;0")&lt;&gt;1,"",SUMIFS($L:$L,$C:$C,$C1854,$D:$D,"P0(전)"))</f>
        <v/>
      </c>
      <c r="P1854" s="45">
        <f>IF(COUNTIFS($C:$C,$C1854,$D:$D,"P0(후)",$L:$L,"&gt;0")&lt;&gt;1,"",SUMIFS($H:$H,$C:$C,$C1854,$D:$D,"P0(후)"))</f>
        <v/>
      </c>
      <c r="Q1854" s="30">
        <f>IF(COUNTIFS($C:$C,$C1854,$D:$D,"P0(후)",$L:$L,"&gt;0")&lt;&gt;1,"",SUMIFS($L:$L,$C:$C,$C1854,$D:$D,"P0(후)"))</f>
        <v/>
      </c>
      <c r="R1854" s="30">
        <f>IF(M1854&lt;&gt;"OK","",O1854+(Q1854-O1854)*(H1854-N1854)/(P1854-N1854))</f>
        <v/>
      </c>
      <c r="S1854" s="30">
        <f>IF(OR(M1854&lt;&gt;"OK",NOT(ISNUMBER(L1854))),"",L1854-R1854)</f>
        <v/>
      </c>
      <c r="T1854" s="46">
        <f>IF(OR(NOT(ISNUMBER(S1854)),IF(ISNUMBER(G1854),G1854,F1854)=0),"",S1854/IF(ISNUMBER(G1854),G1854,F1854))</f>
        <v/>
      </c>
      <c r="U1854" s="46">
        <f>IF(ISNUMBER(T1854),ABS(T1854),"")</f>
        <v/>
      </c>
      <c r="V1854" s="46">
        <f>IF(OR($D1853&lt;&gt;"측정",$C1853&lt;&gt;$C1854,NOT(ISNUMBER(L1854)),NOT(ISNUMBER(L1853)),(IF(ISNUMBER(G1854),G1854,F1854)-IF(ISNUMBER(G1853),G1853,F1853))=0),"",(L1854-L1853)/(IF(ISNUMBER(G1854),G1854,F1854)-IF(ISNUMBER(G1853),G1853,F1853)))</f>
        <v/>
      </c>
      <c r="W1854" s="30">
        <f>IF(NOT(AND(ISNUMBER(N1854),ISNUMBER(P1854))),"",(P1854-N1854)*1440)</f>
        <v/>
      </c>
      <c r="X1854" s="28" t="n"/>
      <c r="Y1854" s="28" t="n"/>
      <c r="Z1854" s="28" t="n"/>
      <c r="AA1854" s="31" t="n"/>
      <c r="AB1854" s="31" t="n"/>
    </row>
    <row r="1855">
      <c r="A1855" s="25" t="inlineStr">
        <is>
          <t>S36</t>
        </is>
      </c>
      <c r="B1855" s="25" t="inlineStr">
        <is>
          <t>미원</t>
        </is>
      </c>
      <c r="C1855" s="25" t="inlineStr">
        <is>
          <t>S36-H남</t>
        </is>
      </c>
      <c r="D1855" s="25" t="inlineStr">
        <is>
          <t>측정</t>
        </is>
      </c>
      <c r="E1855" s="25" t="inlineStr">
        <is>
          <t>남</t>
        </is>
      </c>
      <c r="F1855" s="30" t="n">
        <v>3</v>
      </c>
      <c r="G1855" s="29" t="n"/>
      <c r="H1855" s="42" t="n"/>
      <c r="I1855" s="40" t="n"/>
      <c r="J1855" s="40" t="n"/>
      <c r="K1855" s="40" t="n"/>
      <c r="L1855" s="30">
        <f>IF(COUNT(I1855:K1855)=0,"",MEDIAN(I1855:K1855))</f>
        <v/>
      </c>
      <c r="M1855" s="25">
        <f>IF(COUNTIFS($C:$C,$C1855,$D:$D,"P0(전)",$L:$L,"&gt;0")&lt;&gt;1,"P0(전) 유효 1개 아님",IF(COUNTIFS($C:$C,$C1855,$D:$D,"P0(후)",$L:$L,"&gt;0")&lt;&gt;1,"P0(후) 유효 1개 아님",IF(NOT(AND(ISNUMBER(N1855),ISNUMBER(P1855),ISNUMBER(H1855))),"시각 결측",IF(P1855&lt;=N1855,"P0 시각 역전",IF(OR(H1855&lt;N1855,H1855&gt;P1855),"측정시각 구간 밖","OK")))))</f>
        <v/>
      </c>
      <c r="N1855" s="45">
        <f>IF(COUNTIFS($C:$C,$C1855,$D:$D,"P0(전)",$L:$L,"&gt;0")&lt;&gt;1,"",SUMIFS($H:$H,$C:$C,$C1855,$D:$D,"P0(전)"))</f>
        <v/>
      </c>
      <c r="O1855" s="30">
        <f>IF(COUNTIFS($C:$C,$C1855,$D:$D,"P0(전)",$L:$L,"&gt;0")&lt;&gt;1,"",SUMIFS($L:$L,$C:$C,$C1855,$D:$D,"P0(전)"))</f>
        <v/>
      </c>
      <c r="P1855" s="45">
        <f>IF(COUNTIFS($C:$C,$C1855,$D:$D,"P0(후)",$L:$L,"&gt;0")&lt;&gt;1,"",SUMIFS($H:$H,$C:$C,$C1855,$D:$D,"P0(후)"))</f>
        <v/>
      </c>
      <c r="Q1855" s="30">
        <f>IF(COUNTIFS($C:$C,$C1855,$D:$D,"P0(후)",$L:$L,"&gt;0")&lt;&gt;1,"",SUMIFS($L:$L,$C:$C,$C1855,$D:$D,"P0(후)"))</f>
        <v/>
      </c>
      <c r="R1855" s="30">
        <f>IF(M1855&lt;&gt;"OK","",O1855+(Q1855-O1855)*(H1855-N1855)/(P1855-N1855))</f>
        <v/>
      </c>
      <c r="S1855" s="30">
        <f>IF(OR(M1855&lt;&gt;"OK",NOT(ISNUMBER(L1855))),"",L1855-R1855)</f>
        <v/>
      </c>
      <c r="T1855" s="46">
        <f>IF(OR(NOT(ISNUMBER(S1855)),IF(ISNUMBER(G1855),G1855,F1855)=0),"",S1855/IF(ISNUMBER(G1855),G1855,F1855))</f>
        <v/>
      </c>
      <c r="U1855" s="46">
        <f>IF(ISNUMBER(T1855),ABS(T1855),"")</f>
        <v/>
      </c>
      <c r="V1855" s="46">
        <f>IF(OR($D1854&lt;&gt;"측정",$C1854&lt;&gt;$C1855,NOT(ISNUMBER(L1855)),NOT(ISNUMBER(L1854)),(IF(ISNUMBER(G1855),G1855,F1855)-IF(ISNUMBER(G1854),G1854,F1854))=0),"",(L1855-L1854)/(IF(ISNUMBER(G1855),G1855,F1855)-IF(ISNUMBER(G1854),G1854,F1854)))</f>
        <v/>
      </c>
      <c r="W1855" s="30">
        <f>IF(NOT(AND(ISNUMBER(N1855),ISNUMBER(P1855))),"",(P1855-N1855)*1440)</f>
        <v/>
      </c>
      <c r="X1855" s="28" t="n"/>
      <c r="Y1855" s="28" t="n"/>
      <c r="Z1855" s="28" t="n"/>
      <c r="AA1855" s="31" t="n"/>
      <c r="AB1855" s="31" t="n"/>
    </row>
    <row r="1856">
      <c r="A1856" s="25" t="inlineStr">
        <is>
          <t>S36</t>
        </is>
      </c>
      <c r="B1856" s="25" t="inlineStr">
        <is>
          <t>미원</t>
        </is>
      </c>
      <c r="C1856" s="25" t="inlineStr">
        <is>
          <t>S36-H남</t>
        </is>
      </c>
      <c r="D1856" s="25" t="inlineStr">
        <is>
          <t>측정</t>
        </is>
      </c>
      <c r="E1856" s="25" t="inlineStr">
        <is>
          <t>남</t>
        </is>
      </c>
      <c r="F1856" s="30" t="n">
        <v>4</v>
      </c>
      <c r="G1856" s="29" t="n"/>
      <c r="H1856" s="42" t="n"/>
      <c r="I1856" s="40" t="n"/>
      <c r="J1856" s="40" t="n"/>
      <c r="K1856" s="40" t="n"/>
      <c r="L1856" s="30">
        <f>IF(COUNT(I1856:K1856)=0,"",MEDIAN(I1856:K1856))</f>
        <v/>
      </c>
      <c r="M1856" s="25">
        <f>IF(COUNTIFS($C:$C,$C1856,$D:$D,"P0(전)",$L:$L,"&gt;0")&lt;&gt;1,"P0(전) 유효 1개 아님",IF(COUNTIFS($C:$C,$C1856,$D:$D,"P0(후)",$L:$L,"&gt;0")&lt;&gt;1,"P0(후) 유효 1개 아님",IF(NOT(AND(ISNUMBER(N1856),ISNUMBER(P1856),ISNUMBER(H1856))),"시각 결측",IF(P1856&lt;=N1856,"P0 시각 역전",IF(OR(H1856&lt;N1856,H1856&gt;P1856),"측정시각 구간 밖","OK")))))</f>
        <v/>
      </c>
      <c r="N1856" s="45">
        <f>IF(COUNTIFS($C:$C,$C1856,$D:$D,"P0(전)",$L:$L,"&gt;0")&lt;&gt;1,"",SUMIFS($H:$H,$C:$C,$C1856,$D:$D,"P0(전)"))</f>
        <v/>
      </c>
      <c r="O1856" s="30">
        <f>IF(COUNTIFS($C:$C,$C1856,$D:$D,"P0(전)",$L:$L,"&gt;0")&lt;&gt;1,"",SUMIFS($L:$L,$C:$C,$C1856,$D:$D,"P0(전)"))</f>
        <v/>
      </c>
      <c r="P1856" s="45">
        <f>IF(COUNTIFS($C:$C,$C1856,$D:$D,"P0(후)",$L:$L,"&gt;0")&lt;&gt;1,"",SUMIFS($H:$H,$C:$C,$C1856,$D:$D,"P0(후)"))</f>
        <v/>
      </c>
      <c r="Q1856" s="30">
        <f>IF(COUNTIFS($C:$C,$C1856,$D:$D,"P0(후)",$L:$L,"&gt;0")&lt;&gt;1,"",SUMIFS($L:$L,$C:$C,$C1856,$D:$D,"P0(후)"))</f>
        <v/>
      </c>
      <c r="R1856" s="30">
        <f>IF(M1856&lt;&gt;"OK","",O1856+(Q1856-O1856)*(H1856-N1856)/(P1856-N1856))</f>
        <v/>
      </c>
      <c r="S1856" s="30">
        <f>IF(OR(M1856&lt;&gt;"OK",NOT(ISNUMBER(L1856))),"",L1856-R1856)</f>
        <v/>
      </c>
      <c r="T1856" s="46">
        <f>IF(OR(NOT(ISNUMBER(S1856)),IF(ISNUMBER(G1856),G1856,F1856)=0),"",S1856/IF(ISNUMBER(G1856),G1856,F1856))</f>
        <v/>
      </c>
      <c r="U1856" s="46">
        <f>IF(ISNUMBER(T1856),ABS(T1856),"")</f>
        <v/>
      </c>
      <c r="V1856" s="46">
        <f>IF(OR($D1855&lt;&gt;"측정",$C1855&lt;&gt;$C1856,NOT(ISNUMBER(L1856)),NOT(ISNUMBER(L1855)),(IF(ISNUMBER(G1856),G1856,F1856)-IF(ISNUMBER(G1855),G1855,F1855))=0),"",(L1856-L1855)/(IF(ISNUMBER(G1856),G1856,F1856)-IF(ISNUMBER(G1855),G1855,F1855)))</f>
        <v/>
      </c>
      <c r="W1856" s="30">
        <f>IF(NOT(AND(ISNUMBER(N1856),ISNUMBER(P1856))),"",(P1856-N1856)*1440)</f>
        <v/>
      </c>
      <c r="X1856" s="28" t="n"/>
      <c r="Y1856" s="28" t="n"/>
      <c r="Z1856" s="28" t="n"/>
      <c r="AA1856" s="31" t="n"/>
      <c r="AB1856" s="31" t="n"/>
    </row>
    <row r="1857">
      <c r="A1857" s="25" t="inlineStr">
        <is>
          <t>S36</t>
        </is>
      </c>
      <c r="B1857" s="25" t="inlineStr">
        <is>
          <t>미원</t>
        </is>
      </c>
      <c r="C1857" s="25" t="inlineStr">
        <is>
          <t>S36-H남</t>
        </is>
      </c>
      <c r="D1857" s="25" t="inlineStr">
        <is>
          <t>측정</t>
        </is>
      </c>
      <c r="E1857" s="25" t="inlineStr">
        <is>
          <t>남</t>
        </is>
      </c>
      <c r="F1857" s="30" t="n">
        <v>5</v>
      </c>
      <c r="G1857" s="29" t="n"/>
      <c r="H1857" s="42" t="n"/>
      <c r="I1857" s="40" t="n"/>
      <c r="J1857" s="40" t="n"/>
      <c r="K1857" s="40" t="n"/>
      <c r="L1857" s="30">
        <f>IF(COUNT(I1857:K1857)=0,"",MEDIAN(I1857:K1857))</f>
        <v/>
      </c>
      <c r="M1857" s="25">
        <f>IF(COUNTIFS($C:$C,$C1857,$D:$D,"P0(전)",$L:$L,"&gt;0")&lt;&gt;1,"P0(전) 유효 1개 아님",IF(COUNTIFS($C:$C,$C1857,$D:$D,"P0(후)",$L:$L,"&gt;0")&lt;&gt;1,"P0(후) 유효 1개 아님",IF(NOT(AND(ISNUMBER(N1857),ISNUMBER(P1857),ISNUMBER(H1857))),"시각 결측",IF(P1857&lt;=N1857,"P0 시각 역전",IF(OR(H1857&lt;N1857,H1857&gt;P1857),"측정시각 구간 밖","OK")))))</f>
        <v/>
      </c>
      <c r="N1857" s="45">
        <f>IF(COUNTIFS($C:$C,$C1857,$D:$D,"P0(전)",$L:$L,"&gt;0")&lt;&gt;1,"",SUMIFS($H:$H,$C:$C,$C1857,$D:$D,"P0(전)"))</f>
        <v/>
      </c>
      <c r="O1857" s="30">
        <f>IF(COUNTIFS($C:$C,$C1857,$D:$D,"P0(전)",$L:$L,"&gt;0")&lt;&gt;1,"",SUMIFS($L:$L,$C:$C,$C1857,$D:$D,"P0(전)"))</f>
        <v/>
      </c>
      <c r="P1857" s="45">
        <f>IF(COUNTIFS($C:$C,$C1857,$D:$D,"P0(후)",$L:$L,"&gt;0")&lt;&gt;1,"",SUMIFS($H:$H,$C:$C,$C1857,$D:$D,"P0(후)"))</f>
        <v/>
      </c>
      <c r="Q1857" s="30">
        <f>IF(COUNTIFS($C:$C,$C1857,$D:$D,"P0(후)",$L:$L,"&gt;0")&lt;&gt;1,"",SUMIFS($L:$L,$C:$C,$C1857,$D:$D,"P0(후)"))</f>
        <v/>
      </c>
      <c r="R1857" s="30">
        <f>IF(M1857&lt;&gt;"OK","",O1857+(Q1857-O1857)*(H1857-N1857)/(P1857-N1857))</f>
        <v/>
      </c>
      <c r="S1857" s="30">
        <f>IF(OR(M1857&lt;&gt;"OK",NOT(ISNUMBER(L1857))),"",L1857-R1857)</f>
        <v/>
      </c>
      <c r="T1857" s="46">
        <f>IF(OR(NOT(ISNUMBER(S1857)),IF(ISNUMBER(G1857),G1857,F1857)=0),"",S1857/IF(ISNUMBER(G1857),G1857,F1857))</f>
        <v/>
      </c>
      <c r="U1857" s="46">
        <f>IF(ISNUMBER(T1857),ABS(T1857),"")</f>
        <v/>
      </c>
      <c r="V1857" s="46">
        <f>IF(OR($D1856&lt;&gt;"측정",$C1856&lt;&gt;$C1857,NOT(ISNUMBER(L1857)),NOT(ISNUMBER(L1856)),(IF(ISNUMBER(G1857),G1857,F1857)-IF(ISNUMBER(G1856),G1856,F1856))=0),"",(L1857-L1856)/(IF(ISNUMBER(G1857),G1857,F1857)-IF(ISNUMBER(G1856),G1856,F1856)))</f>
        <v/>
      </c>
      <c r="W1857" s="30">
        <f>IF(NOT(AND(ISNUMBER(N1857),ISNUMBER(P1857))),"",(P1857-N1857)*1440)</f>
        <v/>
      </c>
      <c r="X1857" s="28" t="n"/>
      <c r="Y1857" s="28" t="n"/>
      <c r="Z1857" s="28" t="n"/>
      <c r="AA1857" s="31" t="n"/>
      <c r="AB1857" s="31" t="n"/>
    </row>
    <row r="1858">
      <c r="A1858" s="25" t="inlineStr">
        <is>
          <t>S36</t>
        </is>
      </c>
      <c r="B1858" s="25" t="inlineStr">
        <is>
          <t>미원</t>
        </is>
      </c>
      <c r="C1858" s="25" t="inlineStr">
        <is>
          <t>S36-H남</t>
        </is>
      </c>
      <c r="D1858" s="25" t="inlineStr">
        <is>
          <t>측정</t>
        </is>
      </c>
      <c r="E1858" s="25" t="inlineStr">
        <is>
          <t>남</t>
        </is>
      </c>
      <c r="F1858" s="30" t="n">
        <v>6</v>
      </c>
      <c r="G1858" s="29" t="n"/>
      <c r="H1858" s="42" t="n"/>
      <c r="I1858" s="40" t="n"/>
      <c r="J1858" s="40" t="n"/>
      <c r="K1858" s="40" t="n"/>
      <c r="L1858" s="30">
        <f>IF(COUNT(I1858:K1858)=0,"",MEDIAN(I1858:K1858))</f>
        <v/>
      </c>
      <c r="M1858" s="25">
        <f>IF(COUNTIFS($C:$C,$C1858,$D:$D,"P0(전)",$L:$L,"&gt;0")&lt;&gt;1,"P0(전) 유효 1개 아님",IF(COUNTIFS($C:$C,$C1858,$D:$D,"P0(후)",$L:$L,"&gt;0")&lt;&gt;1,"P0(후) 유효 1개 아님",IF(NOT(AND(ISNUMBER(N1858),ISNUMBER(P1858),ISNUMBER(H1858))),"시각 결측",IF(P1858&lt;=N1858,"P0 시각 역전",IF(OR(H1858&lt;N1858,H1858&gt;P1858),"측정시각 구간 밖","OK")))))</f>
        <v/>
      </c>
      <c r="N1858" s="45">
        <f>IF(COUNTIFS($C:$C,$C1858,$D:$D,"P0(전)",$L:$L,"&gt;0")&lt;&gt;1,"",SUMIFS($H:$H,$C:$C,$C1858,$D:$D,"P0(전)"))</f>
        <v/>
      </c>
      <c r="O1858" s="30">
        <f>IF(COUNTIFS($C:$C,$C1858,$D:$D,"P0(전)",$L:$L,"&gt;0")&lt;&gt;1,"",SUMIFS($L:$L,$C:$C,$C1858,$D:$D,"P0(전)"))</f>
        <v/>
      </c>
      <c r="P1858" s="45">
        <f>IF(COUNTIFS($C:$C,$C1858,$D:$D,"P0(후)",$L:$L,"&gt;0")&lt;&gt;1,"",SUMIFS($H:$H,$C:$C,$C1858,$D:$D,"P0(후)"))</f>
        <v/>
      </c>
      <c r="Q1858" s="30">
        <f>IF(COUNTIFS($C:$C,$C1858,$D:$D,"P0(후)",$L:$L,"&gt;0")&lt;&gt;1,"",SUMIFS($L:$L,$C:$C,$C1858,$D:$D,"P0(후)"))</f>
        <v/>
      </c>
      <c r="R1858" s="30">
        <f>IF(M1858&lt;&gt;"OK","",O1858+(Q1858-O1858)*(H1858-N1858)/(P1858-N1858))</f>
        <v/>
      </c>
      <c r="S1858" s="30">
        <f>IF(OR(M1858&lt;&gt;"OK",NOT(ISNUMBER(L1858))),"",L1858-R1858)</f>
        <v/>
      </c>
      <c r="T1858" s="46">
        <f>IF(OR(NOT(ISNUMBER(S1858)),IF(ISNUMBER(G1858),G1858,F1858)=0),"",S1858/IF(ISNUMBER(G1858),G1858,F1858))</f>
        <v/>
      </c>
      <c r="U1858" s="46">
        <f>IF(ISNUMBER(T1858),ABS(T1858),"")</f>
        <v/>
      </c>
      <c r="V1858" s="46">
        <f>IF(OR($D1857&lt;&gt;"측정",$C1857&lt;&gt;$C1858,NOT(ISNUMBER(L1858)),NOT(ISNUMBER(L1857)),(IF(ISNUMBER(G1858),G1858,F1858)-IF(ISNUMBER(G1857),G1857,F1857))=0),"",(L1858-L1857)/(IF(ISNUMBER(G1858),G1858,F1858)-IF(ISNUMBER(G1857),G1857,F1857)))</f>
        <v/>
      </c>
      <c r="W1858" s="30">
        <f>IF(NOT(AND(ISNUMBER(N1858),ISNUMBER(P1858))),"",(P1858-N1858)*1440)</f>
        <v/>
      </c>
      <c r="X1858" s="28" t="n"/>
      <c r="Y1858" s="28" t="n"/>
      <c r="Z1858" s="28" t="n"/>
      <c r="AA1858" s="31" t="n"/>
      <c r="AB1858" s="31" t="n"/>
    </row>
    <row r="1859">
      <c r="A1859" s="25" t="inlineStr">
        <is>
          <t>S36</t>
        </is>
      </c>
      <c r="B1859" s="25" t="inlineStr">
        <is>
          <t>미원</t>
        </is>
      </c>
      <c r="C1859" s="25" t="inlineStr">
        <is>
          <t>S36-H남</t>
        </is>
      </c>
      <c r="D1859" s="25" t="inlineStr">
        <is>
          <t>측정</t>
        </is>
      </c>
      <c r="E1859" s="25" t="inlineStr">
        <is>
          <t>남</t>
        </is>
      </c>
      <c r="F1859" s="30" t="n">
        <v>7</v>
      </c>
      <c r="G1859" s="29" t="n"/>
      <c r="H1859" s="42" t="n"/>
      <c r="I1859" s="40" t="n"/>
      <c r="J1859" s="40" t="n"/>
      <c r="K1859" s="40" t="n"/>
      <c r="L1859" s="30">
        <f>IF(COUNT(I1859:K1859)=0,"",MEDIAN(I1859:K1859))</f>
        <v/>
      </c>
      <c r="M1859" s="25">
        <f>IF(COUNTIFS($C:$C,$C1859,$D:$D,"P0(전)",$L:$L,"&gt;0")&lt;&gt;1,"P0(전) 유효 1개 아님",IF(COUNTIFS($C:$C,$C1859,$D:$D,"P0(후)",$L:$L,"&gt;0")&lt;&gt;1,"P0(후) 유효 1개 아님",IF(NOT(AND(ISNUMBER(N1859),ISNUMBER(P1859),ISNUMBER(H1859))),"시각 결측",IF(P1859&lt;=N1859,"P0 시각 역전",IF(OR(H1859&lt;N1859,H1859&gt;P1859),"측정시각 구간 밖","OK")))))</f>
        <v/>
      </c>
      <c r="N1859" s="45">
        <f>IF(COUNTIFS($C:$C,$C1859,$D:$D,"P0(전)",$L:$L,"&gt;0")&lt;&gt;1,"",SUMIFS($H:$H,$C:$C,$C1859,$D:$D,"P0(전)"))</f>
        <v/>
      </c>
      <c r="O1859" s="30">
        <f>IF(COUNTIFS($C:$C,$C1859,$D:$D,"P0(전)",$L:$L,"&gt;0")&lt;&gt;1,"",SUMIFS($L:$L,$C:$C,$C1859,$D:$D,"P0(전)"))</f>
        <v/>
      </c>
      <c r="P1859" s="45">
        <f>IF(COUNTIFS($C:$C,$C1859,$D:$D,"P0(후)",$L:$L,"&gt;0")&lt;&gt;1,"",SUMIFS($H:$H,$C:$C,$C1859,$D:$D,"P0(후)"))</f>
        <v/>
      </c>
      <c r="Q1859" s="30">
        <f>IF(COUNTIFS($C:$C,$C1859,$D:$D,"P0(후)",$L:$L,"&gt;0")&lt;&gt;1,"",SUMIFS($L:$L,$C:$C,$C1859,$D:$D,"P0(후)"))</f>
        <v/>
      </c>
      <c r="R1859" s="30">
        <f>IF(M1859&lt;&gt;"OK","",O1859+(Q1859-O1859)*(H1859-N1859)/(P1859-N1859))</f>
        <v/>
      </c>
      <c r="S1859" s="30">
        <f>IF(OR(M1859&lt;&gt;"OK",NOT(ISNUMBER(L1859))),"",L1859-R1859)</f>
        <v/>
      </c>
      <c r="T1859" s="46">
        <f>IF(OR(NOT(ISNUMBER(S1859)),IF(ISNUMBER(G1859),G1859,F1859)=0),"",S1859/IF(ISNUMBER(G1859),G1859,F1859))</f>
        <v/>
      </c>
      <c r="U1859" s="46">
        <f>IF(ISNUMBER(T1859),ABS(T1859),"")</f>
        <v/>
      </c>
      <c r="V1859" s="46">
        <f>IF(OR($D1858&lt;&gt;"측정",$C1858&lt;&gt;$C1859,NOT(ISNUMBER(L1859)),NOT(ISNUMBER(L1858)),(IF(ISNUMBER(G1859),G1859,F1859)-IF(ISNUMBER(G1858),G1858,F1858))=0),"",(L1859-L1858)/(IF(ISNUMBER(G1859),G1859,F1859)-IF(ISNUMBER(G1858),G1858,F1858)))</f>
        <v/>
      </c>
      <c r="W1859" s="30">
        <f>IF(NOT(AND(ISNUMBER(N1859),ISNUMBER(P1859))),"",(P1859-N1859)*1440)</f>
        <v/>
      </c>
      <c r="X1859" s="28" t="n"/>
      <c r="Y1859" s="28" t="n"/>
      <c r="Z1859" s="28" t="n"/>
      <c r="AA1859" s="31" t="n"/>
      <c r="AB1859" s="31" t="n"/>
    </row>
    <row r="1860">
      <c r="A1860" s="25" t="inlineStr">
        <is>
          <t>S36</t>
        </is>
      </c>
      <c r="B1860" s="25" t="inlineStr">
        <is>
          <t>미원</t>
        </is>
      </c>
      <c r="C1860" s="25" t="inlineStr">
        <is>
          <t>S36-H남</t>
        </is>
      </c>
      <c r="D1860" s="25" t="inlineStr">
        <is>
          <t>측정</t>
        </is>
      </c>
      <c r="E1860" s="25" t="inlineStr">
        <is>
          <t>남</t>
        </is>
      </c>
      <c r="F1860" s="30" t="n">
        <v>8</v>
      </c>
      <c r="G1860" s="29" t="n"/>
      <c r="H1860" s="42" t="n"/>
      <c r="I1860" s="40" t="n"/>
      <c r="J1860" s="40" t="n"/>
      <c r="K1860" s="40" t="n"/>
      <c r="L1860" s="30">
        <f>IF(COUNT(I1860:K1860)=0,"",MEDIAN(I1860:K1860))</f>
        <v/>
      </c>
      <c r="M1860" s="25">
        <f>IF(COUNTIFS($C:$C,$C1860,$D:$D,"P0(전)",$L:$L,"&gt;0")&lt;&gt;1,"P0(전) 유효 1개 아님",IF(COUNTIFS($C:$C,$C1860,$D:$D,"P0(후)",$L:$L,"&gt;0")&lt;&gt;1,"P0(후) 유효 1개 아님",IF(NOT(AND(ISNUMBER(N1860),ISNUMBER(P1860),ISNUMBER(H1860))),"시각 결측",IF(P1860&lt;=N1860,"P0 시각 역전",IF(OR(H1860&lt;N1860,H1860&gt;P1860),"측정시각 구간 밖","OK")))))</f>
        <v/>
      </c>
      <c r="N1860" s="45">
        <f>IF(COUNTIFS($C:$C,$C1860,$D:$D,"P0(전)",$L:$L,"&gt;0")&lt;&gt;1,"",SUMIFS($H:$H,$C:$C,$C1860,$D:$D,"P0(전)"))</f>
        <v/>
      </c>
      <c r="O1860" s="30">
        <f>IF(COUNTIFS($C:$C,$C1860,$D:$D,"P0(전)",$L:$L,"&gt;0")&lt;&gt;1,"",SUMIFS($L:$L,$C:$C,$C1860,$D:$D,"P0(전)"))</f>
        <v/>
      </c>
      <c r="P1860" s="45">
        <f>IF(COUNTIFS($C:$C,$C1860,$D:$D,"P0(후)",$L:$L,"&gt;0")&lt;&gt;1,"",SUMIFS($H:$H,$C:$C,$C1860,$D:$D,"P0(후)"))</f>
        <v/>
      </c>
      <c r="Q1860" s="30">
        <f>IF(COUNTIFS($C:$C,$C1860,$D:$D,"P0(후)",$L:$L,"&gt;0")&lt;&gt;1,"",SUMIFS($L:$L,$C:$C,$C1860,$D:$D,"P0(후)"))</f>
        <v/>
      </c>
      <c r="R1860" s="30">
        <f>IF(M1860&lt;&gt;"OK","",O1860+(Q1860-O1860)*(H1860-N1860)/(P1860-N1860))</f>
        <v/>
      </c>
      <c r="S1860" s="30">
        <f>IF(OR(M1860&lt;&gt;"OK",NOT(ISNUMBER(L1860))),"",L1860-R1860)</f>
        <v/>
      </c>
      <c r="T1860" s="46">
        <f>IF(OR(NOT(ISNUMBER(S1860)),IF(ISNUMBER(G1860),G1860,F1860)=0),"",S1860/IF(ISNUMBER(G1860),G1860,F1860))</f>
        <v/>
      </c>
      <c r="U1860" s="46">
        <f>IF(ISNUMBER(T1860),ABS(T1860),"")</f>
        <v/>
      </c>
      <c r="V1860" s="46">
        <f>IF(OR($D1859&lt;&gt;"측정",$C1859&lt;&gt;$C1860,NOT(ISNUMBER(L1860)),NOT(ISNUMBER(L1859)),(IF(ISNUMBER(G1860),G1860,F1860)-IF(ISNUMBER(G1859),G1859,F1859))=0),"",(L1860-L1859)/(IF(ISNUMBER(G1860),G1860,F1860)-IF(ISNUMBER(G1859),G1859,F1859)))</f>
        <v/>
      </c>
      <c r="W1860" s="30">
        <f>IF(NOT(AND(ISNUMBER(N1860),ISNUMBER(P1860))),"",(P1860-N1860)*1440)</f>
        <v/>
      </c>
      <c r="X1860" s="28" t="n"/>
      <c r="Y1860" s="28" t="n"/>
      <c r="Z1860" s="28" t="n"/>
      <c r="AA1860" s="31" t="n"/>
      <c r="AB1860" s="31" t="n"/>
    </row>
    <row r="1861">
      <c r="A1861" s="25" t="inlineStr">
        <is>
          <t>S36</t>
        </is>
      </c>
      <c r="B1861" s="25" t="inlineStr">
        <is>
          <t>미원</t>
        </is>
      </c>
      <c r="C1861" s="25" t="inlineStr">
        <is>
          <t>S36-H남</t>
        </is>
      </c>
      <c r="D1861" s="25" t="inlineStr">
        <is>
          <t>측정</t>
        </is>
      </c>
      <c r="E1861" s="25" t="inlineStr">
        <is>
          <t>남</t>
        </is>
      </c>
      <c r="F1861" s="30" t="n">
        <v>9</v>
      </c>
      <c r="G1861" s="29" t="n"/>
      <c r="H1861" s="42" t="n"/>
      <c r="I1861" s="40" t="n"/>
      <c r="J1861" s="40" t="n"/>
      <c r="K1861" s="40" t="n"/>
      <c r="L1861" s="30">
        <f>IF(COUNT(I1861:K1861)=0,"",MEDIAN(I1861:K1861))</f>
        <v/>
      </c>
      <c r="M1861" s="25">
        <f>IF(COUNTIFS($C:$C,$C1861,$D:$D,"P0(전)",$L:$L,"&gt;0")&lt;&gt;1,"P0(전) 유효 1개 아님",IF(COUNTIFS($C:$C,$C1861,$D:$D,"P0(후)",$L:$L,"&gt;0")&lt;&gt;1,"P0(후) 유효 1개 아님",IF(NOT(AND(ISNUMBER(N1861),ISNUMBER(P1861),ISNUMBER(H1861))),"시각 결측",IF(P1861&lt;=N1861,"P0 시각 역전",IF(OR(H1861&lt;N1861,H1861&gt;P1861),"측정시각 구간 밖","OK")))))</f>
        <v/>
      </c>
      <c r="N1861" s="45">
        <f>IF(COUNTIFS($C:$C,$C1861,$D:$D,"P0(전)",$L:$L,"&gt;0")&lt;&gt;1,"",SUMIFS($H:$H,$C:$C,$C1861,$D:$D,"P0(전)"))</f>
        <v/>
      </c>
      <c r="O1861" s="30">
        <f>IF(COUNTIFS($C:$C,$C1861,$D:$D,"P0(전)",$L:$L,"&gt;0")&lt;&gt;1,"",SUMIFS($L:$L,$C:$C,$C1861,$D:$D,"P0(전)"))</f>
        <v/>
      </c>
      <c r="P1861" s="45">
        <f>IF(COUNTIFS($C:$C,$C1861,$D:$D,"P0(후)",$L:$L,"&gt;0")&lt;&gt;1,"",SUMIFS($H:$H,$C:$C,$C1861,$D:$D,"P0(후)"))</f>
        <v/>
      </c>
      <c r="Q1861" s="30">
        <f>IF(COUNTIFS($C:$C,$C1861,$D:$D,"P0(후)",$L:$L,"&gt;0")&lt;&gt;1,"",SUMIFS($L:$L,$C:$C,$C1861,$D:$D,"P0(후)"))</f>
        <v/>
      </c>
      <c r="R1861" s="30">
        <f>IF(M1861&lt;&gt;"OK","",O1861+(Q1861-O1861)*(H1861-N1861)/(P1861-N1861))</f>
        <v/>
      </c>
      <c r="S1861" s="30">
        <f>IF(OR(M1861&lt;&gt;"OK",NOT(ISNUMBER(L1861))),"",L1861-R1861)</f>
        <v/>
      </c>
      <c r="T1861" s="46">
        <f>IF(OR(NOT(ISNUMBER(S1861)),IF(ISNUMBER(G1861),G1861,F1861)=0),"",S1861/IF(ISNUMBER(G1861),G1861,F1861))</f>
        <v/>
      </c>
      <c r="U1861" s="46">
        <f>IF(ISNUMBER(T1861),ABS(T1861),"")</f>
        <v/>
      </c>
      <c r="V1861" s="46">
        <f>IF(OR($D1860&lt;&gt;"측정",$C1860&lt;&gt;$C1861,NOT(ISNUMBER(L1861)),NOT(ISNUMBER(L1860)),(IF(ISNUMBER(G1861),G1861,F1861)-IF(ISNUMBER(G1860),G1860,F1860))=0),"",(L1861-L1860)/(IF(ISNUMBER(G1861),G1861,F1861)-IF(ISNUMBER(G1860),G1860,F1860)))</f>
        <v/>
      </c>
      <c r="W1861" s="30">
        <f>IF(NOT(AND(ISNUMBER(N1861),ISNUMBER(P1861))),"",(P1861-N1861)*1440)</f>
        <v/>
      </c>
      <c r="X1861" s="28" t="n"/>
      <c r="Y1861" s="28" t="n"/>
      <c r="Z1861" s="28" t="n"/>
      <c r="AA1861" s="31" t="n"/>
      <c r="AB1861" s="31" t="n"/>
    </row>
    <row r="1862">
      <c r="A1862" s="25" t="inlineStr">
        <is>
          <t>S36</t>
        </is>
      </c>
      <c r="B1862" s="25" t="inlineStr">
        <is>
          <t>미원</t>
        </is>
      </c>
      <c r="C1862" s="25" t="inlineStr">
        <is>
          <t>S36-H남</t>
        </is>
      </c>
      <c r="D1862" s="25" t="inlineStr">
        <is>
          <t>측정</t>
        </is>
      </c>
      <c r="E1862" s="25" t="inlineStr">
        <is>
          <t>남</t>
        </is>
      </c>
      <c r="F1862" s="30" t="n">
        <v>10</v>
      </c>
      <c r="G1862" s="29" t="n"/>
      <c r="H1862" s="42" t="n"/>
      <c r="I1862" s="40" t="n"/>
      <c r="J1862" s="40" t="n"/>
      <c r="K1862" s="40" t="n"/>
      <c r="L1862" s="30">
        <f>IF(COUNT(I1862:K1862)=0,"",MEDIAN(I1862:K1862))</f>
        <v/>
      </c>
      <c r="M1862" s="25">
        <f>IF(COUNTIFS($C:$C,$C1862,$D:$D,"P0(전)",$L:$L,"&gt;0")&lt;&gt;1,"P0(전) 유효 1개 아님",IF(COUNTIFS($C:$C,$C1862,$D:$D,"P0(후)",$L:$L,"&gt;0")&lt;&gt;1,"P0(후) 유효 1개 아님",IF(NOT(AND(ISNUMBER(N1862),ISNUMBER(P1862),ISNUMBER(H1862))),"시각 결측",IF(P1862&lt;=N1862,"P0 시각 역전",IF(OR(H1862&lt;N1862,H1862&gt;P1862),"측정시각 구간 밖","OK")))))</f>
        <v/>
      </c>
      <c r="N1862" s="45">
        <f>IF(COUNTIFS($C:$C,$C1862,$D:$D,"P0(전)",$L:$L,"&gt;0")&lt;&gt;1,"",SUMIFS($H:$H,$C:$C,$C1862,$D:$D,"P0(전)"))</f>
        <v/>
      </c>
      <c r="O1862" s="30">
        <f>IF(COUNTIFS($C:$C,$C1862,$D:$D,"P0(전)",$L:$L,"&gt;0")&lt;&gt;1,"",SUMIFS($L:$L,$C:$C,$C1862,$D:$D,"P0(전)"))</f>
        <v/>
      </c>
      <c r="P1862" s="45">
        <f>IF(COUNTIFS($C:$C,$C1862,$D:$D,"P0(후)",$L:$L,"&gt;0")&lt;&gt;1,"",SUMIFS($H:$H,$C:$C,$C1862,$D:$D,"P0(후)"))</f>
        <v/>
      </c>
      <c r="Q1862" s="30">
        <f>IF(COUNTIFS($C:$C,$C1862,$D:$D,"P0(후)",$L:$L,"&gt;0")&lt;&gt;1,"",SUMIFS($L:$L,$C:$C,$C1862,$D:$D,"P0(후)"))</f>
        <v/>
      </c>
      <c r="R1862" s="30">
        <f>IF(M1862&lt;&gt;"OK","",O1862+(Q1862-O1862)*(H1862-N1862)/(P1862-N1862))</f>
        <v/>
      </c>
      <c r="S1862" s="30">
        <f>IF(OR(M1862&lt;&gt;"OK",NOT(ISNUMBER(L1862))),"",L1862-R1862)</f>
        <v/>
      </c>
      <c r="T1862" s="46">
        <f>IF(OR(NOT(ISNUMBER(S1862)),IF(ISNUMBER(G1862),G1862,F1862)=0),"",S1862/IF(ISNUMBER(G1862),G1862,F1862))</f>
        <v/>
      </c>
      <c r="U1862" s="46">
        <f>IF(ISNUMBER(T1862),ABS(T1862),"")</f>
        <v/>
      </c>
      <c r="V1862" s="46">
        <f>IF(OR($D1861&lt;&gt;"측정",$C1861&lt;&gt;$C1862,NOT(ISNUMBER(L1862)),NOT(ISNUMBER(L1861)),(IF(ISNUMBER(G1862),G1862,F1862)-IF(ISNUMBER(G1861),G1861,F1861))=0),"",(L1862-L1861)/(IF(ISNUMBER(G1862),G1862,F1862)-IF(ISNUMBER(G1861),G1861,F1861)))</f>
        <v/>
      </c>
      <c r="W1862" s="30">
        <f>IF(NOT(AND(ISNUMBER(N1862),ISNUMBER(P1862))),"",(P1862-N1862)*1440)</f>
        <v/>
      </c>
      <c r="X1862" s="28" t="n"/>
      <c r="Y1862" s="28" t="n"/>
      <c r="Z1862" s="28" t="n"/>
      <c r="AA1862" s="31" t="n"/>
      <c r="AB1862" s="31" t="n"/>
    </row>
    <row r="1863">
      <c r="A1863" s="43" t="inlineStr">
        <is>
          <t>S36</t>
        </is>
      </c>
      <c r="B1863" s="43" t="inlineStr">
        <is>
          <t>미원</t>
        </is>
      </c>
      <c r="C1863" s="43" t="inlineStr">
        <is>
          <t>S36-H남</t>
        </is>
      </c>
      <c r="D1863" s="43" t="inlineStr">
        <is>
          <t>P0(후)</t>
        </is>
      </c>
      <c r="E1863" s="43" t="inlineStr">
        <is>
          <t>남</t>
        </is>
      </c>
      <c r="F1863" s="44" t="n"/>
      <c r="G1863" s="29" t="n"/>
      <c r="H1863" s="42" t="n"/>
      <c r="I1863" s="40" t="n"/>
      <c r="J1863" s="40" t="n"/>
      <c r="K1863" s="40" t="n"/>
      <c r="L1863" s="30">
        <f>IF(COUNT(I1863:K1863)=0,"",MEDIAN(I1863:K1863))</f>
        <v/>
      </c>
      <c r="M1863" s="37" t="n"/>
      <c r="N1863" s="37" t="n"/>
      <c r="O1863" s="37" t="n"/>
      <c r="P1863" s="37" t="n"/>
      <c r="Q1863" s="37" t="n"/>
      <c r="R1863" s="37" t="n"/>
      <c r="S1863" s="37" t="n"/>
      <c r="T1863" s="37" t="n"/>
      <c r="U1863" s="37" t="n"/>
      <c r="V1863" s="37" t="n"/>
      <c r="W1863" s="37" t="n"/>
      <c r="X1863" s="28" t="n"/>
      <c r="Y1863" s="28" t="n"/>
      <c r="Z1863" s="28" t="n"/>
      <c r="AA1863" s="31" t="n"/>
      <c r="AB1863" s="31" t="n"/>
    </row>
    <row r="1864">
      <c r="A1864" s="43" t="inlineStr">
        <is>
          <t>S36</t>
        </is>
      </c>
      <c r="B1864" s="43" t="inlineStr">
        <is>
          <t>미원</t>
        </is>
      </c>
      <c r="C1864" s="43" t="inlineStr">
        <is>
          <t>S36-H북</t>
        </is>
      </c>
      <c r="D1864" s="43" t="inlineStr">
        <is>
          <t>P0(전)</t>
        </is>
      </c>
      <c r="E1864" s="43" t="inlineStr">
        <is>
          <t>북</t>
        </is>
      </c>
      <c r="F1864" s="44" t="n"/>
      <c r="G1864" s="29" t="n"/>
      <c r="H1864" s="42" t="n"/>
      <c r="I1864" s="40" t="n"/>
      <c r="J1864" s="40" t="n"/>
      <c r="K1864" s="40" t="n"/>
      <c r="L1864" s="30">
        <f>IF(COUNT(I1864:K1864)=0,"",MEDIAN(I1864:K1864))</f>
        <v/>
      </c>
      <c r="M1864" s="37" t="n"/>
      <c r="N1864" s="37" t="n"/>
      <c r="O1864" s="37" t="n"/>
      <c r="P1864" s="37" t="n"/>
      <c r="Q1864" s="37" t="n"/>
      <c r="R1864" s="37" t="n"/>
      <c r="S1864" s="37" t="n"/>
      <c r="T1864" s="37" t="n"/>
      <c r="U1864" s="37" t="n"/>
      <c r="V1864" s="37" t="n"/>
      <c r="W1864" s="37" t="n"/>
      <c r="X1864" s="28" t="n"/>
      <c r="Y1864" s="28" t="n"/>
      <c r="Z1864" s="28" t="n"/>
      <c r="AA1864" s="31" t="n"/>
      <c r="AB1864" s="31" t="n"/>
    </row>
    <row r="1865">
      <c r="A1865" s="25" t="inlineStr">
        <is>
          <t>S36</t>
        </is>
      </c>
      <c r="B1865" s="25" t="inlineStr">
        <is>
          <t>미원</t>
        </is>
      </c>
      <c r="C1865" s="25" t="inlineStr">
        <is>
          <t>S36-H북</t>
        </is>
      </c>
      <c r="D1865" s="25" t="inlineStr">
        <is>
          <t>측정</t>
        </is>
      </c>
      <c r="E1865" s="25" t="inlineStr">
        <is>
          <t>북</t>
        </is>
      </c>
      <c r="F1865" s="30" t="n">
        <v>0.5</v>
      </c>
      <c r="G1865" s="29" t="n"/>
      <c r="H1865" s="42" t="n"/>
      <c r="I1865" s="40" t="n"/>
      <c r="J1865" s="40" t="n"/>
      <c r="K1865" s="40" t="n"/>
      <c r="L1865" s="30">
        <f>IF(COUNT(I1865:K1865)=0,"",MEDIAN(I1865:K1865))</f>
        <v/>
      </c>
      <c r="M1865" s="25">
        <f>IF(COUNTIFS($C:$C,$C1865,$D:$D,"P0(전)",$L:$L,"&gt;0")&lt;&gt;1,"P0(전) 유효 1개 아님",IF(COUNTIFS($C:$C,$C1865,$D:$D,"P0(후)",$L:$L,"&gt;0")&lt;&gt;1,"P0(후) 유효 1개 아님",IF(NOT(AND(ISNUMBER(N1865),ISNUMBER(P1865),ISNUMBER(H1865))),"시각 결측",IF(P1865&lt;=N1865,"P0 시각 역전",IF(OR(H1865&lt;N1865,H1865&gt;P1865),"측정시각 구간 밖","OK")))))</f>
        <v/>
      </c>
      <c r="N1865" s="45">
        <f>IF(COUNTIFS($C:$C,$C1865,$D:$D,"P0(전)",$L:$L,"&gt;0")&lt;&gt;1,"",SUMIFS($H:$H,$C:$C,$C1865,$D:$D,"P0(전)"))</f>
        <v/>
      </c>
      <c r="O1865" s="30">
        <f>IF(COUNTIFS($C:$C,$C1865,$D:$D,"P0(전)",$L:$L,"&gt;0")&lt;&gt;1,"",SUMIFS($L:$L,$C:$C,$C1865,$D:$D,"P0(전)"))</f>
        <v/>
      </c>
      <c r="P1865" s="45">
        <f>IF(COUNTIFS($C:$C,$C1865,$D:$D,"P0(후)",$L:$L,"&gt;0")&lt;&gt;1,"",SUMIFS($H:$H,$C:$C,$C1865,$D:$D,"P0(후)"))</f>
        <v/>
      </c>
      <c r="Q1865" s="30">
        <f>IF(COUNTIFS($C:$C,$C1865,$D:$D,"P0(후)",$L:$L,"&gt;0")&lt;&gt;1,"",SUMIFS($L:$L,$C:$C,$C1865,$D:$D,"P0(후)"))</f>
        <v/>
      </c>
      <c r="R1865" s="30">
        <f>IF(M1865&lt;&gt;"OK","",O1865+(Q1865-O1865)*(H1865-N1865)/(P1865-N1865))</f>
        <v/>
      </c>
      <c r="S1865" s="30">
        <f>IF(OR(M1865&lt;&gt;"OK",NOT(ISNUMBER(L1865))),"",L1865-R1865)</f>
        <v/>
      </c>
      <c r="T1865" s="46">
        <f>IF(OR(NOT(ISNUMBER(S1865)),IF(ISNUMBER(G1865),G1865,F1865)=0),"",S1865/IF(ISNUMBER(G1865),G1865,F1865))</f>
        <v/>
      </c>
      <c r="U1865" s="46">
        <f>IF(ISNUMBER(T1865),ABS(T1865),"")</f>
        <v/>
      </c>
      <c r="V1865" s="46">
        <f>IF(OR($D1864&lt;&gt;"측정",$C1864&lt;&gt;$C1865,NOT(ISNUMBER(L1865)),NOT(ISNUMBER(L1864)),(IF(ISNUMBER(G1865),G1865,F1865)-IF(ISNUMBER(G1864),G1864,F1864))=0),"",(L1865-L1864)/(IF(ISNUMBER(G1865),G1865,F1865)-IF(ISNUMBER(G1864),G1864,F1864)))</f>
        <v/>
      </c>
      <c r="W1865" s="30">
        <f>IF(NOT(AND(ISNUMBER(N1865),ISNUMBER(P1865))),"",(P1865-N1865)*1440)</f>
        <v/>
      </c>
      <c r="X1865" s="28" t="n"/>
      <c r="Y1865" s="28" t="n"/>
      <c r="Z1865" s="28" t="n"/>
      <c r="AA1865" s="31" t="n"/>
      <c r="AB1865" s="31" t="n"/>
    </row>
    <row r="1866">
      <c r="A1866" s="25" t="inlineStr">
        <is>
          <t>S36</t>
        </is>
      </c>
      <c r="B1866" s="25" t="inlineStr">
        <is>
          <t>미원</t>
        </is>
      </c>
      <c r="C1866" s="25" t="inlineStr">
        <is>
          <t>S36-H북</t>
        </is>
      </c>
      <c r="D1866" s="25" t="inlineStr">
        <is>
          <t>측정</t>
        </is>
      </c>
      <c r="E1866" s="25" t="inlineStr">
        <is>
          <t>북</t>
        </is>
      </c>
      <c r="F1866" s="30" t="n">
        <v>1</v>
      </c>
      <c r="G1866" s="29" t="n"/>
      <c r="H1866" s="42" t="n"/>
      <c r="I1866" s="40" t="n"/>
      <c r="J1866" s="40" t="n"/>
      <c r="K1866" s="40" t="n"/>
      <c r="L1866" s="30">
        <f>IF(COUNT(I1866:K1866)=0,"",MEDIAN(I1866:K1866))</f>
        <v/>
      </c>
      <c r="M1866" s="25">
        <f>IF(COUNTIFS($C:$C,$C1866,$D:$D,"P0(전)",$L:$L,"&gt;0")&lt;&gt;1,"P0(전) 유효 1개 아님",IF(COUNTIFS($C:$C,$C1866,$D:$D,"P0(후)",$L:$L,"&gt;0")&lt;&gt;1,"P0(후) 유효 1개 아님",IF(NOT(AND(ISNUMBER(N1866),ISNUMBER(P1866),ISNUMBER(H1866))),"시각 결측",IF(P1866&lt;=N1866,"P0 시각 역전",IF(OR(H1866&lt;N1866,H1866&gt;P1866),"측정시각 구간 밖","OK")))))</f>
        <v/>
      </c>
      <c r="N1866" s="45">
        <f>IF(COUNTIFS($C:$C,$C1866,$D:$D,"P0(전)",$L:$L,"&gt;0")&lt;&gt;1,"",SUMIFS($H:$H,$C:$C,$C1866,$D:$D,"P0(전)"))</f>
        <v/>
      </c>
      <c r="O1866" s="30">
        <f>IF(COUNTIFS($C:$C,$C1866,$D:$D,"P0(전)",$L:$L,"&gt;0")&lt;&gt;1,"",SUMIFS($L:$L,$C:$C,$C1866,$D:$D,"P0(전)"))</f>
        <v/>
      </c>
      <c r="P1866" s="45">
        <f>IF(COUNTIFS($C:$C,$C1866,$D:$D,"P0(후)",$L:$L,"&gt;0")&lt;&gt;1,"",SUMIFS($H:$H,$C:$C,$C1866,$D:$D,"P0(후)"))</f>
        <v/>
      </c>
      <c r="Q1866" s="30">
        <f>IF(COUNTIFS($C:$C,$C1866,$D:$D,"P0(후)",$L:$L,"&gt;0")&lt;&gt;1,"",SUMIFS($L:$L,$C:$C,$C1866,$D:$D,"P0(후)"))</f>
        <v/>
      </c>
      <c r="R1866" s="30">
        <f>IF(M1866&lt;&gt;"OK","",O1866+(Q1866-O1866)*(H1866-N1866)/(P1866-N1866))</f>
        <v/>
      </c>
      <c r="S1866" s="30">
        <f>IF(OR(M1866&lt;&gt;"OK",NOT(ISNUMBER(L1866))),"",L1866-R1866)</f>
        <v/>
      </c>
      <c r="T1866" s="46">
        <f>IF(OR(NOT(ISNUMBER(S1866)),IF(ISNUMBER(G1866),G1866,F1866)=0),"",S1866/IF(ISNUMBER(G1866),G1866,F1866))</f>
        <v/>
      </c>
      <c r="U1866" s="46">
        <f>IF(ISNUMBER(T1866),ABS(T1866),"")</f>
        <v/>
      </c>
      <c r="V1866" s="46">
        <f>IF(OR($D1865&lt;&gt;"측정",$C1865&lt;&gt;$C1866,NOT(ISNUMBER(L1866)),NOT(ISNUMBER(L1865)),(IF(ISNUMBER(G1866),G1866,F1866)-IF(ISNUMBER(G1865),G1865,F1865))=0),"",(L1866-L1865)/(IF(ISNUMBER(G1866),G1866,F1866)-IF(ISNUMBER(G1865),G1865,F1865)))</f>
        <v/>
      </c>
      <c r="W1866" s="30">
        <f>IF(NOT(AND(ISNUMBER(N1866),ISNUMBER(P1866))),"",(P1866-N1866)*1440)</f>
        <v/>
      </c>
      <c r="X1866" s="28" t="n"/>
      <c r="Y1866" s="28" t="n"/>
      <c r="Z1866" s="28" t="n"/>
      <c r="AA1866" s="31" t="n"/>
      <c r="AB1866" s="31" t="n"/>
    </row>
    <row r="1867">
      <c r="A1867" s="25" t="inlineStr">
        <is>
          <t>S36</t>
        </is>
      </c>
      <c r="B1867" s="25" t="inlineStr">
        <is>
          <t>미원</t>
        </is>
      </c>
      <c r="C1867" s="25" t="inlineStr">
        <is>
          <t>S36-H북</t>
        </is>
      </c>
      <c r="D1867" s="25" t="inlineStr">
        <is>
          <t>측정</t>
        </is>
      </c>
      <c r="E1867" s="25" t="inlineStr">
        <is>
          <t>북</t>
        </is>
      </c>
      <c r="F1867" s="30" t="n">
        <v>2</v>
      </c>
      <c r="G1867" s="29" t="n"/>
      <c r="H1867" s="42" t="n"/>
      <c r="I1867" s="40" t="n"/>
      <c r="J1867" s="40" t="n"/>
      <c r="K1867" s="40" t="n"/>
      <c r="L1867" s="30">
        <f>IF(COUNT(I1867:K1867)=0,"",MEDIAN(I1867:K1867))</f>
        <v/>
      </c>
      <c r="M1867" s="25">
        <f>IF(COUNTIFS($C:$C,$C1867,$D:$D,"P0(전)",$L:$L,"&gt;0")&lt;&gt;1,"P0(전) 유효 1개 아님",IF(COUNTIFS($C:$C,$C1867,$D:$D,"P0(후)",$L:$L,"&gt;0")&lt;&gt;1,"P0(후) 유효 1개 아님",IF(NOT(AND(ISNUMBER(N1867),ISNUMBER(P1867),ISNUMBER(H1867))),"시각 결측",IF(P1867&lt;=N1867,"P0 시각 역전",IF(OR(H1867&lt;N1867,H1867&gt;P1867),"측정시각 구간 밖","OK")))))</f>
        <v/>
      </c>
      <c r="N1867" s="45">
        <f>IF(COUNTIFS($C:$C,$C1867,$D:$D,"P0(전)",$L:$L,"&gt;0")&lt;&gt;1,"",SUMIFS($H:$H,$C:$C,$C1867,$D:$D,"P0(전)"))</f>
        <v/>
      </c>
      <c r="O1867" s="30">
        <f>IF(COUNTIFS($C:$C,$C1867,$D:$D,"P0(전)",$L:$L,"&gt;0")&lt;&gt;1,"",SUMIFS($L:$L,$C:$C,$C1867,$D:$D,"P0(전)"))</f>
        <v/>
      </c>
      <c r="P1867" s="45">
        <f>IF(COUNTIFS($C:$C,$C1867,$D:$D,"P0(후)",$L:$L,"&gt;0")&lt;&gt;1,"",SUMIFS($H:$H,$C:$C,$C1867,$D:$D,"P0(후)"))</f>
        <v/>
      </c>
      <c r="Q1867" s="30">
        <f>IF(COUNTIFS($C:$C,$C1867,$D:$D,"P0(후)",$L:$L,"&gt;0")&lt;&gt;1,"",SUMIFS($L:$L,$C:$C,$C1867,$D:$D,"P0(후)"))</f>
        <v/>
      </c>
      <c r="R1867" s="30">
        <f>IF(M1867&lt;&gt;"OK","",O1867+(Q1867-O1867)*(H1867-N1867)/(P1867-N1867))</f>
        <v/>
      </c>
      <c r="S1867" s="30">
        <f>IF(OR(M1867&lt;&gt;"OK",NOT(ISNUMBER(L1867))),"",L1867-R1867)</f>
        <v/>
      </c>
      <c r="T1867" s="46">
        <f>IF(OR(NOT(ISNUMBER(S1867)),IF(ISNUMBER(G1867),G1867,F1867)=0),"",S1867/IF(ISNUMBER(G1867),G1867,F1867))</f>
        <v/>
      </c>
      <c r="U1867" s="46">
        <f>IF(ISNUMBER(T1867),ABS(T1867),"")</f>
        <v/>
      </c>
      <c r="V1867" s="46">
        <f>IF(OR($D1866&lt;&gt;"측정",$C1866&lt;&gt;$C1867,NOT(ISNUMBER(L1867)),NOT(ISNUMBER(L1866)),(IF(ISNUMBER(G1867),G1867,F1867)-IF(ISNUMBER(G1866),G1866,F1866))=0),"",(L1867-L1866)/(IF(ISNUMBER(G1867),G1867,F1867)-IF(ISNUMBER(G1866),G1866,F1866)))</f>
        <v/>
      </c>
      <c r="W1867" s="30">
        <f>IF(NOT(AND(ISNUMBER(N1867),ISNUMBER(P1867))),"",(P1867-N1867)*1440)</f>
        <v/>
      </c>
      <c r="X1867" s="28" t="n"/>
      <c r="Y1867" s="28" t="n"/>
      <c r="Z1867" s="28" t="n"/>
      <c r="AA1867" s="31" t="n"/>
      <c r="AB1867" s="31" t="n"/>
    </row>
    <row r="1868">
      <c r="A1868" s="25" t="inlineStr">
        <is>
          <t>S36</t>
        </is>
      </c>
      <c r="B1868" s="25" t="inlineStr">
        <is>
          <t>미원</t>
        </is>
      </c>
      <c r="C1868" s="25" t="inlineStr">
        <is>
          <t>S36-H북</t>
        </is>
      </c>
      <c r="D1868" s="25" t="inlineStr">
        <is>
          <t>측정</t>
        </is>
      </c>
      <c r="E1868" s="25" t="inlineStr">
        <is>
          <t>북</t>
        </is>
      </c>
      <c r="F1868" s="30" t="n">
        <v>3</v>
      </c>
      <c r="G1868" s="29" t="n"/>
      <c r="H1868" s="42" t="n"/>
      <c r="I1868" s="40" t="n"/>
      <c r="J1868" s="40" t="n"/>
      <c r="K1868" s="40" t="n"/>
      <c r="L1868" s="30">
        <f>IF(COUNT(I1868:K1868)=0,"",MEDIAN(I1868:K1868))</f>
        <v/>
      </c>
      <c r="M1868" s="25">
        <f>IF(COUNTIFS($C:$C,$C1868,$D:$D,"P0(전)",$L:$L,"&gt;0")&lt;&gt;1,"P0(전) 유효 1개 아님",IF(COUNTIFS($C:$C,$C1868,$D:$D,"P0(후)",$L:$L,"&gt;0")&lt;&gt;1,"P0(후) 유효 1개 아님",IF(NOT(AND(ISNUMBER(N1868),ISNUMBER(P1868),ISNUMBER(H1868))),"시각 결측",IF(P1868&lt;=N1868,"P0 시각 역전",IF(OR(H1868&lt;N1868,H1868&gt;P1868),"측정시각 구간 밖","OK")))))</f>
        <v/>
      </c>
      <c r="N1868" s="45">
        <f>IF(COUNTIFS($C:$C,$C1868,$D:$D,"P0(전)",$L:$L,"&gt;0")&lt;&gt;1,"",SUMIFS($H:$H,$C:$C,$C1868,$D:$D,"P0(전)"))</f>
        <v/>
      </c>
      <c r="O1868" s="30">
        <f>IF(COUNTIFS($C:$C,$C1868,$D:$D,"P0(전)",$L:$L,"&gt;0")&lt;&gt;1,"",SUMIFS($L:$L,$C:$C,$C1868,$D:$D,"P0(전)"))</f>
        <v/>
      </c>
      <c r="P1868" s="45">
        <f>IF(COUNTIFS($C:$C,$C1868,$D:$D,"P0(후)",$L:$L,"&gt;0")&lt;&gt;1,"",SUMIFS($H:$H,$C:$C,$C1868,$D:$D,"P0(후)"))</f>
        <v/>
      </c>
      <c r="Q1868" s="30">
        <f>IF(COUNTIFS($C:$C,$C1868,$D:$D,"P0(후)",$L:$L,"&gt;0")&lt;&gt;1,"",SUMIFS($L:$L,$C:$C,$C1868,$D:$D,"P0(후)"))</f>
        <v/>
      </c>
      <c r="R1868" s="30">
        <f>IF(M1868&lt;&gt;"OK","",O1868+(Q1868-O1868)*(H1868-N1868)/(P1868-N1868))</f>
        <v/>
      </c>
      <c r="S1868" s="30">
        <f>IF(OR(M1868&lt;&gt;"OK",NOT(ISNUMBER(L1868))),"",L1868-R1868)</f>
        <v/>
      </c>
      <c r="T1868" s="46">
        <f>IF(OR(NOT(ISNUMBER(S1868)),IF(ISNUMBER(G1868),G1868,F1868)=0),"",S1868/IF(ISNUMBER(G1868),G1868,F1868))</f>
        <v/>
      </c>
      <c r="U1868" s="46">
        <f>IF(ISNUMBER(T1868),ABS(T1868),"")</f>
        <v/>
      </c>
      <c r="V1868" s="46">
        <f>IF(OR($D1867&lt;&gt;"측정",$C1867&lt;&gt;$C1868,NOT(ISNUMBER(L1868)),NOT(ISNUMBER(L1867)),(IF(ISNUMBER(G1868),G1868,F1868)-IF(ISNUMBER(G1867),G1867,F1867))=0),"",(L1868-L1867)/(IF(ISNUMBER(G1868),G1868,F1868)-IF(ISNUMBER(G1867),G1867,F1867)))</f>
        <v/>
      </c>
      <c r="W1868" s="30">
        <f>IF(NOT(AND(ISNUMBER(N1868),ISNUMBER(P1868))),"",(P1868-N1868)*1440)</f>
        <v/>
      </c>
      <c r="X1868" s="28" t="n"/>
      <c r="Y1868" s="28" t="n"/>
      <c r="Z1868" s="28" t="n"/>
      <c r="AA1868" s="31" t="n"/>
      <c r="AB1868" s="31" t="n"/>
    </row>
    <row r="1869">
      <c r="A1869" s="25" t="inlineStr">
        <is>
          <t>S36</t>
        </is>
      </c>
      <c r="B1869" s="25" t="inlineStr">
        <is>
          <t>미원</t>
        </is>
      </c>
      <c r="C1869" s="25" t="inlineStr">
        <is>
          <t>S36-H북</t>
        </is>
      </c>
      <c r="D1869" s="25" t="inlineStr">
        <is>
          <t>측정</t>
        </is>
      </c>
      <c r="E1869" s="25" t="inlineStr">
        <is>
          <t>북</t>
        </is>
      </c>
      <c r="F1869" s="30" t="n">
        <v>4</v>
      </c>
      <c r="G1869" s="29" t="n"/>
      <c r="H1869" s="42" t="n"/>
      <c r="I1869" s="40" t="n"/>
      <c r="J1869" s="40" t="n"/>
      <c r="K1869" s="40" t="n"/>
      <c r="L1869" s="30">
        <f>IF(COUNT(I1869:K1869)=0,"",MEDIAN(I1869:K1869))</f>
        <v/>
      </c>
      <c r="M1869" s="25">
        <f>IF(COUNTIFS($C:$C,$C1869,$D:$D,"P0(전)",$L:$L,"&gt;0")&lt;&gt;1,"P0(전) 유효 1개 아님",IF(COUNTIFS($C:$C,$C1869,$D:$D,"P0(후)",$L:$L,"&gt;0")&lt;&gt;1,"P0(후) 유효 1개 아님",IF(NOT(AND(ISNUMBER(N1869),ISNUMBER(P1869),ISNUMBER(H1869))),"시각 결측",IF(P1869&lt;=N1869,"P0 시각 역전",IF(OR(H1869&lt;N1869,H1869&gt;P1869),"측정시각 구간 밖","OK")))))</f>
        <v/>
      </c>
      <c r="N1869" s="45">
        <f>IF(COUNTIFS($C:$C,$C1869,$D:$D,"P0(전)",$L:$L,"&gt;0")&lt;&gt;1,"",SUMIFS($H:$H,$C:$C,$C1869,$D:$D,"P0(전)"))</f>
        <v/>
      </c>
      <c r="O1869" s="30">
        <f>IF(COUNTIFS($C:$C,$C1869,$D:$D,"P0(전)",$L:$L,"&gt;0")&lt;&gt;1,"",SUMIFS($L:$L,$C:$C,$C1869,$D:$D,"P0(전)"))</f>
        <v/>
      </c>
      <c r="P1869" s="45">
        <f>IF(COUNTIFS($C:$C,$C1869,$D:$D,"P0(후)",$L:$L,"&gt;0")&lt;&gt;1,"",SUMIFS($H:$H,$C:$C,$C1869,$D:$D,"P0(후)"))</f>
        <v/>
      </c>
      <c r="Q1869" s="30">
        <f>IF(COUNTIFS($C:$C,$C1869,$D:$D,"P0(후)",$L:$L,"&gt;0")&lt;&gt;1,"",SUMIFS($L:$L,$C:$C,$C1869,$D:$D,"P0(후)"))</f>
        <v/>
      </c>
      <c r="R1869" s="30">
        <f>IF(M1869&lt;&gt;"OK","",O1869+(Q1869-O1869)*(H1869-N1869)/(P1869-N1869))</f>
        <v/>
      </c>
      <c r="S1869" s="30">
        <f>IF(OR(M1869&lt;&gt;"OK",NOT(ISNUMBER(L1869))),"",L1869-R1869)</f>
        <v/>
      </c>
      <c r="T1869" s="46">
        <f>IF(OR(NOT(ISNUMBER(S1869)),IF(ISNUMBER(G1869),G1869,F1869)=0),"",S1869/IF(ISNUMBER(G1869),G1869,F1869))</f>
        <v/>
      </c>
      <c r="U1869" s="46">
        <f>IF(ISNUMBER(T1869),ABS(T1869),"")</f>
        <v/>
      </c>
      <c r="V1869" s="46">
        <f>IF(OR($D1868&lt;&gt;"측정",$C1868&lt;&gt;$C1869,NOT(ISNUMBER(L1869)),NOT(ISNUMBER(L1868)),(IF(ISNUMBER(G1869),G1869,F1869)-IF(ISNUMBER(G1868),G1868,F1868))=0),"",(L1869-L1868)/(IF(ISNUMBER(G1869),G1869,F1869)-IF(ISNUMBER(G1868),G1868,F1868)))</f>
        <v/>
      </c>
      <c r="W1869" s="30">
        <f>IF(NOT(AND(ISNUMBER(N1869),ISNUMBER(P1869))),"",(P1869-N1869)*1440)</f>
        <v/>
      </c>
      <c r="X1869" s="28" t="n"/>
      <c r="Y1869" s="28" t="n"/>
      <c r="Z1869" s="28" t="n"/>
      <c r="AA1869" s="31" t="n"/>
      <c r="AB1869" s="31" t="n"/>
    </row>
    <row r="1870">
      <c r="A1870" s="25" t="inlineStr">
        <is>
          <t>S36</t>
        </is>
      </c>
      <c r="B1870" s="25" t="inlineStr">
        <is>
          <t>미원</t>
        </is>
      </c>
      <c r="C1870" s="25" t="inlineStr">
        <is>
          <t>S36-H북</t>
        </is>
      </c>
      <c r="D1870" s="25" t="inlineStr">
        <is>
          <t>측정</t>
        </is>
      </c>
      <c r="E1870" s="25" t="inlineStr">
        <is>
          <t>북</t>
        </is>
      </c>
      <c r="F1870" s="30" t="n">
        <v>5</v>
      </c>
      <c r="G1870" s="29" t="n"/>
      <c r="H1870" s="42" t="n"/>
      <c r="I1870" s="40" t="n"/>
      <c r="J1870" s="40" t="n"/>
      <c r="K1870" s="40" t="n"/>
      <c r="L1870" s="30">
        <f>IF(COUNT(I1870:K1870)=0,"",MEDIAN(I1870:K1870))</f>
        <v/>
      </c>
      <c r="M1870" s="25">
        <f>IF(COUNTIFS($C:$C,$C1870,$D:$D,"P0(전)",$L:$L,"&gt;0")&lt;&gt;1,"P0(전) 유효 1개 아님",IF(COUNTIFS($C:$C,$C1870,$D:$D,"P0(후)",$L:$L,"&gt;0")&lt;&gt;1,"P0(후) 유효 1개 아님",IF(NOT(AND(ISNUMBER(N1870),ISNUMBER(P1870),ISNUMBER(H1870))),"시각 결측",IF(P1870&lt;=N1870,"P0 시각 역전",IF(OR(H1870&lt;N1870,H1870&gt;P1870),"측정시각 구간 밖","OK")))))</f>
        <v/>
      </c>
      <c r="N1870" s="45">
        <f>IF(COUNTIFS($C:$C,$C1870,$D:$D,"P0(전)",$L:$L,"&gt;0")&lt;&gt;1,"",SUMIFS($H:$H,$C:$C,$C1870,$D:$D,"P0(전)"))</f>
        <v/>
      </c>
      <c r="O1870" s="30">
        <f>IF(COUNTIFS($C:$C,$C1870,$D:$D,"P0(전)",$L:$L,"&gt;0")&lt;&gt;1,"",SUMIFS($L:$L,$C:$C,$C1870,$D:$D,"P0(전)"))</f>
        <v/>
      </c>
      <c r="P1870" s="45">
        <f>IF(COUNTIFS($C:$C,$C1870,$D:$D,"P0(후)",$L:$L,"&gt;0")&lt;&gt;1,"",SUMIFS($H:$H,$C:$C,$C1870,$D:$D,"P0(후)"))</f>
        <v/>
      </c>
      <c r="Q1870" s="30">
        <f>IF(COUNTIFS($C:$C,$C1870,$D:$D,"P0(후)",$L:$L,"&gt;0")&lt;&gt;1,"",SUMIFS($L:$L,$C:$C,$C1870,$D:$D,"P0(후)"))</f>
        <v/>
      </c>
      <c r="R1870" s="30">
        <f>IF(M1870&lt;&gt;"OK","",O1870+(Q1870-O1870)*(H1870-N1870)/(P1870-N1870))</f>
        <v/>
      </c>
      <c r="S1870" s="30">
        <f>IF(OR(M1870&lt;&gt;"OK",NOT(ISNUMBER(L1870))),"",L1870-R1870)</f>
        <v/>
      </c>
      <c r="T1870" s="46">
        <f>IF(OR(NOT(ISNUMBER(S1870)),IF(ISNUMBER(G1870),G1870,F1870)=0),"",S1870/IF(ISNUMBER(G1870),G1870,F1870))</f>
        <v/>
      </c>
      <c r="U1870" s="46">
        <f>IF(ISNUMBER(T1870),ABS(T1870),"")</f>
        <v/>
      </c>
      <c r="V1870" s="46">
        <f>IF(OR($D1869&lt;&gt;"측정",$C1869&lt;&gt;$C1870,NOT(ISNUMBER(L1870)),NOT(ISNUMBER(L1869)),(IF(ISNUMBER(G1870),G1870,F1870)-IF(ISNUMBER(G1869),G1869,F1869))=0),"",(L1870-L1869)/(IF(ISNUMBER(G1870),G1870,F1870)-IF(ISNUMBER(G1869),G1869,F1869)))</f>
        <v/>
      </c>
      <c r="W1870" s="30">
        <f>IF(NOT(AND(ISNUMBER(N1870),ISNUMBER(P1870))),"",(P1870-N1870)*1440)</f>
        <v/>
      </c>
      <c r="X1870" s="28" t="n"/>
      <c r="Y1870" s="28" t="n"/>
      <c r="Z1870" s="28" t="n"/>
      <c r="AA1870" s="31" t="n"/>
      <c r="AB1870" s="31" t="n"/>
    </row>
    <row r="1871">
      <c r="A1871" s="25" t="inlineStr">
        <is>
          <t>S36</t>
        </is>
      </c>
      <c r="B1871" s="25" t="inlineStr">
        <is>
          <t>미원</t>
        </is>
      </c>
      <c r="C1871" s="25" t="inlineStr">
        <is>
          <t>S36-H북</t>
        </is>
      </c>
      <c r="D1871" s="25" t="inlineStr">
        <is>
          <t>측정</t>
        </is>
      </c>
      <c r="E1871" s="25" t="inlineStr">
        <is>
          <t>북</t>
        </is>
      </c>
      <c r="F1871" s="30" t="n">
        <v>6</v>
      </c>
      <c r="G1871" s="29" t="n"/>
      <c r="H1871" s="42" t="n"/>
      <c r="I1871" s="40" t="n"/>
      <c r="J1871" s="40" t="n"/>
      <c r="K1871" s="40" t="n"/>
      <c r="L1871" s="30">
        <f>IF(COUNT(I1871:K1871)=0,"",MEDIAN(I1871:K1871))</f>
        <v/>
      </c>
      <c r="M1871" s="25">
        <f>IF(COUNTIFS($C:$C,$C1871,$D:$D,"P0(전)",$L:$L,"&gt;0")&lt;&gt;1,"P0(전) 유효 1개 아님",IF(COUNTIFS($C:$C,$C1871,$D:$D,"P0(후)",$L:$L,"&gt;0")&lt;&gt;1,"P0(후) 유효 1개 아님",IF(NOT(AND(ISNUMBER(N1871),ISNUMBER(P1871),ISNUMBER(H1871))),"시각 결측",IF(P1871&lt;=N1871,"P0 시각 역전",IF(OR(H1871&lt;N1871,H1871&gt;P1871),"측정시각 구간 밖","OK")))))</f>
        <v/>
      </c>
      <c r="N1871" s="45">
        <f>IF(COUNTIFS($C:$C,$C1871,$D:$D,"P0(전)",$L:$L,"&gt;0")&lt;&gt;1,"",SUMIFS($H:$H,$C:$C,$C1871,$D:$D,"P0(전)"))</f>
        <v/>
      </c>
      <c r="O1871" s="30">
        <f>IF(COUNTIFS($C:$C,$C1871,$D:$D,"P0(전)",$L:$L,"&gt;0")&lt;&gt;1,"",SUMIFS($L:$L,$C:$C,$C1871,$D:$D,"P0(전)"))</f>
        <v/>
      </c>
      <c r="P1871" s="45">
        <f>IF(COUNTIFS($C:$C,$C1871,$D:$D,"P0(후)",$L:$L,"&gt;0")&lt;&gt;1,"",SUMIFS($H:$H,$C:$C,$C1871,$D:$D,"P0(후)"))</f>
        <v/>
      </c>
      <c r="Q1871" s="30">
        <f>IF(COUNTIFS($C:$C,$C1871,$D:$D,"P0(후)",$L:$L,"&gt;0")&lt;&gt;1,"",SUMIFS($L:$L,$C:$C,$C1871,$D:$D,"P0(후)"))</f>
        <v/>
      </c>
      <c r="R1871" s="30">
        <f>IF(M1871&lt;&gt;"OK","",O1871+(Q1871-O1871)*(H1871-N1871)/(P1871-N1871))</f>
        <v/>
      </c>
      <c r="S1871" s="30">
        <f>IF(OR(M1871&lt;&gt;"OK",NOT(ISNUMBER(L1871))),"",L1871-R1871)</f>
        <v/>
      </c>
      <c r="T1871" s="46">
        <f>IF(OR(NOT(ISNUMBER(S1871)),IF(ISNUMBER(G1871),G1871,F1871)=0),"",S1871/IF(ISNUMBER(G1871),G1871,F1871))</f>
        <v/>
      </c>
      <c r="U1871" s="46">
        <f>IF(ISNUMBER(T1871),ABS(T1871),"")</f>
        <v/>
      </c>
      <c r="V1871" s="46">
        <f>IF(OR($D1870&lt;&gt;"측정",$C1870&lt;&gt;$C1871,NOT(ISNUMBER(L1871)),NOT(ISNUMBER(L1870)),(IF(ISNUMBER(G1871),G1871,F1871)-IF(ISNUMBER(G1870),G1870,F1870))=0),"",(L1871-L1870)/(IF(ISNUMBER(G1871),G1871,F1871)-IF(ISNUMBER(G1870),G1870,F1870)))</f>
        <v/>
      </c>
      <c r="W1871" s="30">
        <f>IF(NOT(AND(ISNUMBER(N1871),ISNUMBER(P1871))),"",(P1871-N1871)*1440)</f>
        <v/>
      </c>
      <c r="X1871" s="28" t="n"/>
      <c r="Y1871" s="28" t="n"/>
      <c r="Z1871" s="28" t="n"/>
      <c r="AA1871" s="31" t="n"/>
      <c r="AB1871" s="31" t="n"/>
    </row>
    <row r="1872">
      <c r="A1872" s="25" t="inlineStr">
        <is>
          <t>S36</t>
        </is>
      </c>
      <c r="B1872" s="25" t="inlineStr">
        <is>
          <t>미원</t>
        </is>
      </c>
      <c r="C1872" s="25" t="inlineStr">
        <is>
          <t>S36-H북</t>
        </is>
      </c>
      <c r="D1872" s="25" t="inlineStr">
        <is>
          <t>측정</t>
        </is>
      </c>
      <c r="E1872" s="25" t="inlineStr">
        <is>
          <t>북</t>
        </is>
      </c>
      <c r="F1872" s="30" t="n">
        <v>7</v>
      </c>
      <c r="G1872" s="29" t="n"/>
      <c r="H1872" s="42" t="n"/>
      <c r="I1872" s="40" t="n"/>
      <c r="J1872" s="40" t="n"/>
      <c r="K1872" s="40" t="n"/>
      <c r="L1872" s="30">
        <f>IF(COUNT(I1872:K1872)=0,"",MEDIAN(I1872:K1872))</f>
        <v/>
      </c>
      <c r="M1872" s="25">
        <f>IF(COUNTIFS($C:$C,$C1872,$D:$D,"P0(전)",$L:$L,"&gt;0")&lt;&gt;1,"P0(전) 유효 1개 아님",IF(COUNTIFS($C:$C,$C1872,$D:$D,"P0(후)",$L:$L,"&gt;0")&lt;&gt;1,"P0(후) 유효 1개 아님",IF(NOT(AND(ISNUMBER(N1872),ISNUMBER(P1872),ISNUMBER(H1872))),"시각 결측",IF(P1872&lt;=N1872,"P0 시각 역전",IF(OR(H1872&lt;N1872,H1872&gt;P1872),"측정시각 구간 밖","OK")))))</f>
        <v/>
      </c>
      <c r="N1872" s="45">
        <f>IF(COUNTIFS($C:$C,$C1872,$D:$D,"P0(전)",$L:$L,"&gt;0")&lt;&gt;1,"",SUMIFS($H:$H,$C:$C,$C1872,$D:$D,"P0(전)"))</f>
        <v/>
      </c>
      <c r="O1872" s="30">
        <f>IF(COUNTIFS($C:$C,$C1872,$D:$D,"P0(전)",$L:$L,"&gt;0")&lt;&gt;1,"",SUMIFS($L:$L,$C:$C,$C1872,$D:$D,"P0(전)"))</f>
        <v/>
      </c>
      <c r="P1872" s="45">
        <f>IF(COUNTIFS($C:$C,$C1872,$D:$D,"P0(후)",$L:$L,"&gt;0")&lt;&gt;1,"",SUMIFS($H:$H,$C:$C,$C1872,$D:$D,"P0(후)"))</f>
        <v/>
      </c>
      <c r="Q1872" s="30">
        <f>IF(COUNTIFS($C:$C,$C1872,$D:$D,"P0(후)",$L:$L,"&gt;0")&lt;&gt;1,"",SUMIFS($L:$L,$C:$C,$C1872,$D:$D,"P0(후)"))</f>
        <v/>
      </c>
      <c r="R1872" s="30">
        <f>IF(M1872&lt;&gt;"OK","",O1872+(Q1872-O1872)*(H1872-N1872)/(P1872-N1872))</f>
        <v/>
      </c>
      <c r="S1872" s="30">
        <f>IF(OR(M1872&lt;&gt;"OK",NOT(ISNUMBER(L1872))),"",L1872-R1872)</f>
        <v/>
      </c>
      <c r="T1872" s="46">
        <f>IF(OR(NOT(ISNUMBER(S1872)),IF(ISNUMBER(G1872),G1872,F1872)=0),"",S1872/IF(ISNUMBER(G1872),G1872,F1872))</f>
        <v/>
      </c>
      <c r="U1872" s="46">
        <f>IF(ISNUMBER(T1872),ABS(T1872),"")</f>
        <v/>
      </c>
      <c r="V1872" s="46">
        <f>IF(OR($D1871&lt;&gt;"측정",$C1871&lt;&gt;$C1872,NOT(ISNUMBER(L1872)),NOT(ISNUMBER(L1871)),(IF(ISNUMBER(G1872),G1872,F1872)-IF(ISNUMBER(G1871),G1871,F1871))=0),"",(L1872-L1871)/(IF(ISNUMBER(G1872),G1872,F1872)-IF(ISNUMBER(G1871),G1871,F1871)))</f>
        <v/>
      </c>
      <c r="W1872" s="30">
        <f>IF(NOT(AND(ISNUMBER(N1872),ISNUMBER(P1872))),"",(P1872-N1872)*1440)</f>
        <v/>
      </c>
      <c r="X1872" s="28" t="n"/>
      <c r="Y1872" s="28" t="n"/>
      <c r="Z1872" s="28" t="n"/>
      <c r="AA1872" s="31" t="n"/>
      <c r="AB1872" s="31" t="n"/>
    </row>
    <row r="1873">
      <c r="A1873" s="25" t="inlineStr">
        <is>
          <t>S36</t>
        </is>
      </c>
      <c r="B1873" s="25" t="inlineStr">
        <is>
          <t>미원</t>
        </is>
      </c>
      <c r="C1873" s="25" t="inlineStr">
        <is>
          <t>S36-H북</t>
        </is>
      </c>
      <c r="D1873" s="25" t="inlineStr">
        <is>
          <t>측정</t>
        </is>
      </c>
      <c r="E1873" s="25" t="inlineStr">
        <is>
          <t>북</t>
        </is>
      </c>
      <c r="F1873" s="30" t="n">
        <v>8</v>
      </c>
      <c r="G1873" s="29" t="n"/>
      <c r="H1873" s="42" t="n"/>
      <c r="I1873" s="40" t="n"/>
      <c r="J1873" s="40" t="n"/>
      <c r="K1873" s="40" t="n"/>
      <c r="L1873" s="30">
        <f>IF(COUNT(I1873:K1873)=0,"",MEDIAN(I1873:K1873))</f>
        <v/>
      </c>
      <c r="M1873" s="25">
        <f>IF(COUNTIFS($C:$C,$C1873,$D:$D,"P0(전)",$L:$L,"&gt;0")&lt;&gt;1,"P0(전) 유효 1개 아님",IF(COUNTIFS($C:$C,$C1873,$D:$D,"P0(후)",$L:$L,"&gt;0")&lt;&gt;1,"P0(후) 유효 1개 아님",IF(NOT(AND(ISNUMBER(N1873),ISNUMBER(P1873),ISNUMBER(H1873))),"시각 결측",IF(P1873&lt;=N1873,"P0 시각 역전",IF(OR(H1873&lt;N1873,H1873&gt;P1873),"측정시각 구간 밖","OK")))))</f>
        <v/>
      </c>
      <c r="N1873" s="45">
        <f>IF(COUNTIFS($C:$C,$C1873,$D:$D,"P0(전)",$L:$L,"&gt;0")&lt;&gt;1,"",SUMIFS($H:$H,$C:$C,$C1873,$D:$D,"P0(전)"))</f>
        <v/>
      </c>
      <c r="O1873" s="30">
        <f>IF(COUNTIFS($C:$C,$C1873,$D:$D,"P0(전)",$L:$L,"&gt;0")&lt;&gt;1,"",SUMIFS($L:$L,$C:$C,$C1873,$D:$D,"P0(전)"))</f>
        <v/>
      </c>
      <c r="P1873" s="45">
        <f>IF(COUNTIFS($C:$C,$C1873,$D:$D,"P0(후)",$L:$L,"&gt;0")&lt;&gt;1,"",SUMIFS($H:$H,$C:$C,$C1873,$D:$D,"P0(후)"))</f>
        <v/>
      </c>
      <c r="Q1873" s="30">
        <f>IF(COUNTIFS($C:$C,$C1873,$D:$D,"P0(후)",$L:$L,"&gt;0")&lt;&gt;1,"",SUMIFS($L:$L,$C:$C,$C1873,$D:$D,"P0(후)"))</f>
        <v/>
      </c>
      <c r="R1873" s="30">
        <f>IF(M1873&lt;&gt;"OK","",O1873+(Q1873-O1873)*(H1873-N1873)/(P1873-N1873))</f>
        <v/>
      </c>
      <c r="S1873" s="30">
        <f>IF(OR(M1873&lt;&gt;"OK",NOT(ISNUMBER(L1873))),"",L1873-R1873)</f>
        <v/>
      </c>
      <c r="T1873" s="46">
        <f>IF(OR(NOT(ISNUMBER(S1873)),IF(ISNUMBER(G1873),G1873,F1873)=0),"",S1873/IF(ISNUMBER(G1873),G1873,F1873))</f>
        <v/>
      </c>
      <c r="U1873" s="46">
        <f>IF(ISNUMBER(T1873),ABS(T1873),"")</f>
        <v/>
      </c>
      <c r="V1873" s="46">
        <f>IF(OR($D1872&lt;&gt;"측정",$C1872&lt;&gt;$C1873,NOT(ISNUMBER(L1873)),NOT(ISNUMBER(L1872)),(IF(ISNUMBER(G1873),G1873,F1873)-IF(ISNUMBER(G1872),G1872,F1872))=0),"",(L1873-L1872)/(IF(ISNUMBER(G1873),G1873,F1873)-IF(ISNUMBER(G1872),G1872,F1872)))</f>
        <v/>
      </c>
      <c r="W1873" s="30">
        <f>IF(NOT(AND(ISNUMBER(N1873),ISNUMBER(P1873))),"",(P1873-N1873)*1440)</f>
        <v/>
      </c>
      <c r="X1873" s="28" t="n"/>
      <c r="Y1873" s="28" t="n"/>
      <c r="Z1873" s="28" t="n"/>
      <c r="AA1873" s="31" t="n"/>
      <c r="AB1873" s="31" t="n"/>
    </row>
    <row r="1874">
      <c r="A1874" s="25" t="inlineStr">
        <is>
          <t>S36</t>
        </is>
      </c>
      <c r="B1874" s="25" t="inlineStr">
        <is>
          <t>미원</t>
        </is>
      </c>
      <c r="C1874" s="25" t="inlineStr">
        <is>
          <t>S36-H북</t>
        </is>
      </c>
      <c r="D1874" s="25" t="inlineStr">
        <is>
          <t>측정</t>
        </is>
      </c>
      <c r="E1874" s="25" t="inlineStr">
        <is>
          <t>북</t>
        </is>
      </c>
      <c r="F1874" s="30" t="n">
        <v>9</v>
      </c>
      <c r="G1874" s="29" t="n"/>
      <c r="H1874" s="42" t="n"/>
      <c r="I1874" s="40" t="n"/>
      <c r="J1874" s="40" t="n"/>
      <c r="K1874" s="40" t="n"/>
      <c r="L1874" s="30">
        <f>IF(COUNT(I1874:K1874)=0,"",MEDIAN(I1874:K1874))</f>
        <v/>
      </c>
      <c r="M1874" s="25">
        <f>IF(COUNTIFS($C:$C,$C1874,$D:$D,"P0(전)",$L:$L,"&gt;0")&lt;&gt;1,"P0(전) 유효 1개 아님",IF(COUNTIFS($C:$C,$C1874,$D:$D,"P0(후)",$L:$L,"&gt;0")&lt;&gt;1,"P0(후) 유효 1개 아님",IF(NOT(AND(ISNUMBER(N1874),ISNUMBER(P1874),ISNUMBER(H1874))),"시각 결측",IF(P1874&lt;=N1874,"P0 시각 역전",IF(OR(H1874&lt;N1874,H1874&gt;P1874),"측정시각 구간 밖","OK")))))</f>
        <v/>
      </c>
      <c r="N1874" s="45">
        <f>IF(COUNTIFS($C:$C,$C1874,$D:$D,"P0(전)",$L:$L,"&gt;0")&lt;&gt;1,"",SUMIFS($H:$H,$C:$C,$C1874,$D:$D,"P0(전)"))</f>
        <v/>
      </c>
      <c r="O1874" s="30">
        <f>IF(COUNTIFS($C:$C,$C1874,$D:$D,"P0(전)",$L:$L,"&gt;0")&lt;&gt;1,"",SUMIFS($L:$L,$C:$C,$C1874,$D:$D,"P0(전)"))</f>
        <v/>
      </c>
      <c r="P1874" s="45">
        <f>IF(COUNTIFS($C:$C,$C1874,$D:$D,"P0(후)",$L:$L,"&gt;0")&lt;&gt;1,"",SUMIFS($H:$H,$C:$C,$C1874,$D:$D,"P0(후)"))</f>
        <v/>
      </c>
      <c r="Q1874" s="30">
        <f>IF(COUNTIFS($C:$C,$C1874,$D:$D,"P0(후)",$L:$L,"&gt;0")&lt;&gt;1,"",SUMIFS($L:$L,$C:$C,$C1874,$D:$D,"P0(후)"))</f>
        <v/>
      </c>
      <c r="R1874" s="30">
        <f>IF(M1874&lt;&gt;"OK","",O1874+(Q1874-O1874)*(H1874-N1874)/(P1874-N1874))</f>
        <v/>
      </c>
      <c r="S1874" s="30">
        <f>IF(OR(M1874&lt;&gt;"OK",NOT(ISNUMBER(L1874))),"",L1874-R1874)</f>
        <v/>
      </c>
      <c r="T1874" s="46">
        <f>IF(OR(NOT(ISNUMBER(S1874)),IF(ISNUMBER(G1874),G1874,F1874)=0),"",S1874/IF(ISNUMBER(G1874),G1874,F1874))</f>
        <v/>
      </c>
      <c r="U1874" s="46">
        <f>IF(ISNUMBER(T1874),ABS(T1874),"")</f>
        <v/>
      </c>
      <c r="V1874" s="46">
        <f>IF(OR($D1873&lt;&gt;"측정",$C1873&lt;&gt;$C1874,NOT(ISNUMBER(L1874)),NOT(ISNUMBER(L1873)),(IF(ISNUMBER(G1874),G1874,F1874)-IF(ISNUMBER(G1873),G1873,F1873))=0),"",(L1874-L1873)/(IF(ISNUMBER(G1874),G1874,F1874)-IF(ISNUMBER(G1873),G1873,F1873)))</f>
        <v/>
      </c>
      <c r="W1874" s="30">
        <f>IF(NOT(AND(ISNUMBER(N1874),ISNUMBER(P1874))),"",(P1874-N1874)*1440)</f>
        <v/>
      </c>
      <c r="X1874" s="28" t="n"/>
      <c r="Y1874" s="28" t="n"/>
      <c r="Z1874" s="28" t="n"/>
      <c r="AA1874" s="31" t="n"/>
      <c r="AB1874" s="31" t="n"/>
    </row>
    <row r="1875">
      <c r="A1875" s="25" t="inlineStr">
        <is>
          <t>S36</t>
        </is>
      </c>
      <c r="B1875" s="25" t="inlineStr">
        <is>
          <t>미원</t>
        </is>
      </c>
      <c r="C1875" s="25" t="inlineStr">
        <is>
          <t>S36-H북</t>
        </is>
      </c>
      <c r="D1875" s="25" t="inlineStr">
        <is>
          <t>측정</t>
        </is>
      </c>
      <c r="E1875" s="25" t="inlineStr">
        <is>
          <t>북</t>
        </is>
      </c>
      <c r="F1875" s="30" t="n">
        <v>10</v>
      </c>
      <c r="G1875" s="29" t="n"/>
      <c r="H1875" s="42" t="n"/>
      <c r="I1875" s="40" t="n"/>
      <c r="J1875" s="40" t="n"/>
      <c r="K1875" s="40" t="n"/>
      <c r="L1875" s="30">
        <f>IF(COUNT(I1875:K1875)=0,"",MEDIAN(I1875:K1875))</f>
        <v/>
      </c>
      <c r="M1875" s="25">
        <f>IF(COUNTIFS($C:$C,$C1875,$D:$D,"P0(전)",$L:$L,"&gt;0")&lt;&gt;1,"P0(전) 유효 1개 아님",IF(COUNTIFS($C:$C,$C1875,$D:$D,"P0(후)",$L:$L,"&gt;0")&lt;&gt;1,"P0(후) 유효 1개 아님",IF(NOT(AND(ISNUMBER(N1875),ISNUMBER(P1875),ISNUMBER(H1875))),"시각 결측",IF(P1875&lt;=N1875,"P0 시각 역전",IF(OR(H1875&lt;N1875,H1875&gt;P1875),"측정시각 구간 밖","OK")))))</f>
        <v/>
      </c>
      <c r="N1875" s="45">
        <f>IF(COUNTIFS($C:$C,$C1875,$D:$D,"P0(전)",$L:$L,"&gt;0")&lt;&gt;1,"",SUMIFS($H:$H,$C:$C,$C1875,$D:$D,"P0(전)"))</f>
        <v/>
      </c>
      <c r="O1875" s="30">
        <f>IF(COUNTIFS($C:$C,$C1875,$D:$D,"P0(전)",$L:$L,"&gt;0")&lt;&gt;1,"",SUMIFS($L:$L,$C:$C,$C1875,$D:$D,"P0(전)"))</f>
        <v/>
      </c>
      <c r="P1875" s="45">
        <f>IF(COUNTIFS($C:$C,$C1875,$D:$D,"P0(후)",$L:$L,"&gt;0")&lt;&gt;1,"",SUMIFS($H:$H,$C:$C,$C1875,$D:$D,"P0(후)"))</f>
        <v/>
      </c>
      <c r="Q1875" s="30">
        <f>IF(COUNTIFS($C:$C,$C1875,$D:$D,"P0(후)",$L:$L,"&gt;0")&lt;&gt;1,"",SUMIFS($L:$L,$C:$C,$C1875,$D:$D,"P0(후)"))</f>
        <v/>
      </c>
      <c r="R1875" s="30">
        <f>IF(M1875&lt;&gt;"OK","",O1875+(Q1875-O1875)*(H1875-N1875)/(P1875-N1875))</f>
        <v/>
      </c>
      <c r="S1875" s="30">
        <f>IF(OR(M1875&lt;&gt;"OK",NOT(ISNUMBER(L1875))),"",L1875-R1875)</f>
        <v/>
      </c>
      <c r="T1875" s="46">
        <f>IF(OR(NOT(ISNUMBER(S1875)),IF(ISNUMBER(G1875),G1875,F1875)=0),"",S1875/IF(ISNUMBER(G1875),G1875,F1875))</f>
        <v/>
      </c>
      <c r="U1875" s="46">
        <f>IF(ISNUMBER(T1875),ABS(T1875),"")</f>
        <v/>
      </c>
      <c r="V1875" s="46">
        <f>IF(OR($D1874&lt;&gt;"측정",$C1874&lt;&gt;$C1875,NOT(ISNUMBER(L1875)),NOT(ISNUMBER(L1874)),(IF(ISNUMBER(G1875),G1875,F1875)-IF(ISNUMBER(G1874),G1874,F1874))=0),"",(L1875-L1874)/(IF(ISNUMBER(G1875),G1875,F1875)-IF(ISNUMBER(G1874),G1874,F1874)))</f>
        <v/>
      </c>
      <c r="W1875" s="30">
        <f>IF(NOT(AND(ISNUMBER(N1875),ISNUMBER(P1875))),"",(P1875-N1875)*1440)</f>
        <v/>
      </c>
      <c r="X1875" s="28" t="n"/>
      <c r="Y1875" s="28" t="n"/>
      <c r="Z1875" s="28" t="n"/>
      <c r="AA1875" s="31" t="n"/>
      <c r="AB1875" s="31" t="n"/>
    </row>
    <row r="1876">
      <c r="A1876" s="43" t="inlineStr">
        <is>
          <t>S36</t>
        </is>
      </c>
      <c r="B1876" s="43" t="inlineStr">
        <is>
          <t>미원</t>
        </is>
      </c>
      <c r="C1876" s="43" t="inlineStr">
        <is>
          <t>S36-H북</t>
        </is>
      </c>
      <c r="D1876" s="43" t="inlineStr">
        <is>
          <t>P0(후)</t>
        </is>
      </c>
      <c r="E1876" s="43" t="inlineStr">
        <is>
          <t>북</t>
        </is>
      </c>
      <c r="F1876" s="44" t="n"/>
      <c r="G1876" s="29" t="n"/>
      <c r="H1876" s="42" t="n"/>
      <c r="I1876" s="40" t="n"/>
      <c r="J1876" s="40" t="n"/>
      <c r="K1876" s="40" t="n"/>
      <c r="L1876" s="30">
        <f>IF(COUNT(I1876:K1876)=0,"",MEDIAN(I1876:K1876))</f>
        <v/>
      </c>
      <c r="M1876" s="37" t="n"/>
      <c r="N1876" s="37" t="n"/>
      <c r="O1876" s="37" t="n"/>
      <c r="P1876" s="37" t="n"/>
      <c r="Q1876" s="37" t="n"/>
      <c r="R1876" s="37" t="n"/>
      <c r="S1876" s="37" t="n"/>
      <c r="T1876" s="37" t="n"/>
      <c r="U1876" s="37" t="n"/>
      <c r="V1876" s="37" t="n"/>
      <c r="W1876" s="37" t="n"/>
      <c r="X1876" s="28" t="n"/>
      <c r="Y1876" s="28" t="n"/>
      <c r="Z1876" s="28" t="n"/>
      <c r="AA1876" s="31" t="n"/>
      <c r="AB1876" s="31" t="n"/>
    </row>
    <row r="1877">
      <c r="A1877" s="43" t="inlineStr">
        <is>
          <t>S37</t>
        </is>
      </c>
      <c r="B1877" s="43" t="inlineStr">
        <is>
          <t>부안</t>
        </is>
      </c>
      <c r="C1877" s="43" t="inlineStr">
        <is>
          <t>S37-H동</t>
        </is>
      </c>
      <c r="D1877" s="43" t="inlineStr">
        <is>
          <t>P0(전)</t>
        </is>
      </c>
      <c r="E1877" s="43" t="inlineStr">
        <is>
          <t>동</t>
        </is>
      </c>
      <c r="F1877" s="44" t="n"/>
      <c r="G1877" s="29" t="n"/>
      <c r="H1877" s="42" t="n"/>
      <c r="I1877" s="40" t="n"/>
      <c r="J1877" s="40" t="n"/>
      <c r="K1877" s="40" t="n"/>
      <c r="L1877" s="30">
        <f>IF(COUNT(I1877:K1877)=0,"",MEDIAN(I1877:K1877))</f>
        <v/>
      </c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28" t="n"/>
      <c r="Y1877" s="28" t="n"/>
      <c r="Z1877" s="28" t="n"/>
      <c r="AA1877" s="31" t="n"/>
      <c r="AB1877" s="31" t="n"/>
    </row>
    <row r="1878">
      <c r="A1878" s="25" t="inlineStr">
        <is>
          <t>S37</t>
        </is>
      </c>
      <c r="B1878" s="25" t="inlineStr">
        <is>
          <t>부안</t>
        </is>
      </c>
      <c r="C1878" s="25" t="inlineStr">
        <is>
          <t>S37-H동</t>
        </is>
      </c>
      <c r="D1878" s="25" t="inlineStr">
        <is>
          <t>측정</t>
        </is>
      </c>
      <c r="E1878" s="25" t="inlineStr">
        <is>
          <t>동</t>
        </is>
      </c>
      <c r="F1878" s="30" t="n">
        <v>0.5</v>
      </c>
      <c r="G1878" s="29" t="n"/>
      <c r="H1878" s="42" t="n"/>
      <c r="I1878" s="40" t="n"/>
      <c r="J1878" s="40" t="n"/>
      <c r="K1878" s="40" t="n"/>
      <c r="L1878" s="30">
        <f>IF(COUNT(I1878:K1878)=0,"",MEDIAN(I1878:K1878))</f>
        <v/>
      </c>
      <c r="M1878" s="25">
        <f>IF(COUNTIFS($C:$C,$C1878,$D:$D,"P0(전)",$L:$L,"&gt;0")&lt;&gt;1,"P0(전) 유효 1개 아님",IF(COUNTIFS($C:$C,$C1878,$D:$D,"P0(후)",$L:$L,"&gt;0")&lt;&gt;1,"P0(후) 유효 1개 아님",IF(NOT(AND(ISNUMBER(N1878),ISNUMBER(P1878),ISNUMBER(H1878))),"시각 결측",IF(P1878&lt;=N1878,"P0 시각 역전",IF(OR(H1878&lt;N1878,H1878&gt;P1878),"측정시각 구간 밖","OK")))))</f>
        <v/>
      </c>
      <c r="N1878" s="45">
        <f>IF(COUNTIFS($C:$C,$C1878,$D:$D,"P0(전)",$L:$L,"&gt;0")&lt;&gt;1,"",SUMIFS($H:$H,$C:$C,$C1878,$D:$D,"P0(전)"))</f>
        <v/>
      </c>
      <c r="O1878" s="30">
        <f>IF(COUNTIFS($C:$C,$C1878,$D:$D,"P0(전)",$L:$L,"&gt;0")&lt;&gt;1,"",SUMIFS($L:$L,$C:$C,$C1878,$D:$D,"P0(전)"))</f>
        <v/>
      </c>
      <c r="P1878" s="45">
        <f>IF(COUNTIFS($C:$C,$C1878,$D:$D,"P0(후)",$L:$L,"&gt;0")&lt;&gt;1,"",SUMIFS($H:$H,$C:$C,$C1878,$D:$D,"P0(후)"))</f>
        <v/>
      </c>
      <c r="Q1878" s="30">
        <f>IF(COUNTIFS($C:$C,$C1878,$D:$D,"P0(후)",$L:$L,"&gt;0")&lt;&gt;1,"",SUMIFS($L:$L,$C:$C,$C1878,$D:$D,"P0(후)"))</f>
        <v/>
      </c>
      <c r="R1878" s="30">
        <f>IF(M1878&lt;&gt;"OK","",O1878+(Q1878-O1878)*(H1878-N1878)/(P1878-N1878))</f>
        <v/>
      </c>
      <c r="S1878" s="30">
        <f>IF(OR(M1878&lt;&gt;"OK",NOT(ISNUMBER(L1878))),"",L1878-R1878)</f>
        <v/>
      </c>
      <c r="T1878" s="46">
        <f>IF(OR(NOT(ISNUMBER(S1878)),IF(ISNUMBER(G1878),G1878,F1878)=0),"",S1878/IF(ISNUMBER(G1878),G1878,F1878))</f>
        <v/>
      </c>
      <c r="U1878" s="46">
        <f>IF(ISNUMBER(T1878),ABS(T1878),"")</f>
        <v/>
      </c>
      <c r="V1878" s="46">
        <f>IF(OR($D1877&lt;&gt;"측정",$C1877&lt;&gt;$C1878,NOT(ISNUMBER(L1878)),NOT(ISNUMBER(L1877)),(IF(ISNUMBER(G1878),G1878,F1878)-IF(ISNUMBER(G1877),G1877,F1877))=0),"",(L1878-L1877)/(IF(ISNUMBER(G1878),G1878,F1878)-IF(ISNUMBER(G1877),G1877,F1877)))</f>
        <v/>
      </c>
      <c r="W1878" s="30">
        <f>IF(NOT(AND(ISNUMBER(N1878),ISNUMBER(P1878))),"",(P1878-N1878)*1440)</f>
        <v/>
      </c>
      <c r="X1878" s="28" t="n"/>
      <c r="Y1878" s="28" t="n"/>
      <c r="Z1878" s="28" t="n"/>
      <c r="AA1878" s="31" t="n"/>
      <c r="AB1878" s="31" t="n"/>
    </row>
    <row r="1879">
      <c r="A1879" s="25" t="inlineStr">
        <is>
          <t>S37</t>
        </is>
      </c>
      <c r="B1879" s="25" t="inlineStr">
        <is>
          <t>부안</t>
        </is>
      </c>
      <c r="C1879" s="25" t="inlineStr">
        <is>
          <t>S37-H동</t>
        </is>
      </c>
      <c r="D1879" s="25" t="inlineStr">
        <is>
          <t>측정</t>
        </is>
      </c>
      <c r="E1879" s="25" t="inlineStr">
        <is>
          <t>동</t>
        </is>
      </c>
      <c r="F1879" s="30" t="n">
        <v>1</v>
      </c>
      <c r="G1879" s="29" t="n"/>
      <c r="H1879" s="42" t="n"/>
      <c r="I1879" s="40" t="n"/>
      <c r="J1879" s="40" t="n"/>
      <c r="K1879" s="40" t="n"/>
      <c r="L1879" s="30">
        <f>IF(COUNT(I1879:K1879)=0,"",MEDIAN(I1879:K1879))</f>
        <v/>
      </c>
      <c r="M1879" s="25">
        <f>IF(COUNTIFS($C:$C,$C1879,$D:$D,"P0(전)",$L:$L,"&gt;0")&lt;&gt;1,"P0(전) 유효 1개 아님",IF(COUNTIFS($C:$C,$C1879,$D:$D,"P0(후)",$L:$L,"&gt;0")&lt;&gt;1,"P0(후) 유효 1개 아님",IF(NOT(AND(ISNUMBER(N1879),ISNUMBER(P1879),ISNUMBER(H1879))),"시각 결측",IF(P1879&lt;=N1879,"P0 시각 역전",IF(OR(H1879&lt;N1879,H1879&gt;P1879),"측정시각 구간 밖","OK")))))</f>
        <v/>
      </c>
      <c r="N1879" s="45">
        <f>IF(COUNTIFS($C:$C,$C1879,$D:$D,"P0(전)",$L:$L,"&gt;0")&lt;&gt;1,"",SUMIFS($H:$H,$C:$C,$C1879,$D:$D,"P0(전)"))</f>
        <v/>
      </c>
      <c r="O1879" s="30">
        <f>IF(COUNTIFS($C:$C,$C1879,$D:$D,"P0(전)",$L:$L,"&gt;0")&lt;&gt;1,"",SUMIFS($L:$L,$C:$C,$C1879,$D:$D,"P0(전)"))</f>
        <v/>
      </c>
      <c r="P1879" s="45">
        <f>IF(COUNTIFS($C:$C,$C1879,$D:$D,"P0(후)",$L:$L,"&gt;0")&lt;&gt;1,"",SUMIFS($H:$H,$C:$C,$C1879,$D:$D,"P0(후)"))</f>
        <v/>
      </c>
      <c r="Q1879" s="30">
        <f>IF(COUNTIFS($C:$C,$C1879,$D:$D,"P0(후)",$L:$L,"&gt;0")&lt;&gt;1,"",SUMIFS($L:$L,$C:$C,$C1879,$D:$D,"P0(후)"))</f>
        <v/>
      </c>
      <c r="R1879" s="30">
        <f>IF(M1879&lt;&gt;"OK","",O1879+(Q1879-O1879)*(H1879-N1879)/(P1879-N1879))</f>
        <v/>
      </c>
      <c r="S1879" s="30">
        <f>IF(OR(M1879&lt;&gt;"OK",NOT(ISNUMBER(L1879))),"",L1879-R1879)</f>
        <v/>
      </c>
      <c r="T1879" s="46">
        <f>IF(OR(NOT(ISNUMBER(S1879)),IF(ISNUMBER(G1879),G1879,F1879)=0),"",S1879/IF(ISNUMBER(G1879),G1879,F1879))</f>
        <v/>
      </c>
      <c r="U1879" s="46">
        <f>IF(ISNUMBER(T1879),ABS(T1879),"")</f>
        <v/>
      </c>
      <c r="V1879" s="46">
        <f>IF(OR($D1878&lt;&gt;"측정",$C1878&lt;&gt;$C1879,NOT(ISNUMBER(L1879)),NOT(ISNUMBER(L1878)),(IF(ISNUMBER(G1879),G1879,F1879)-IF(ISNUMBER(G1878),G1878,F1878))=0),"",(L1879-L1878)/(IF(ISNUMBER(G1879),G1879,F1879)-IF(ISNUMBER(G1878),G1878,F1878)))</f>
        <v/>
      </c>
      <c r="W1879" s="30">
        <f>IF(NOT(AND(ISNUMBER(N1879),ISNUMBER(P1879))),"",(P1879-N1879)*1440)</f>
        <v/>
      </c>
      <c r="X1879" s="28" t="n"/>
      <c r="Y1879" s="28" t="n"/>
      <c r="Z1879" s="28" t="n"/>
      <c r="AA1879" s="31" t="n"/>
      <c r="AB1879" s="31" t="n"/>
    </row>
    <row r="1880">
      <c r="A1880" s="25" t="inlineStr">
        <is>
          <t>S37</t>
        </is>
      </c>
      <c r="B1880" s="25" t="inlineStr">
        <is>
          <t>부안</t>
        </is>
      </c>
      <c r="C1880" s="25" t="inlineStr">
        <is>
          <t>S37-H동</t>
        </is>
      </c>
      <c r="D1880" s="25" t="inlineStr">
        <is>
          <t>측정</t>
        </is>
      </c>
      <c r="E1880" s="25" t="inlineStr">
        <is>
          <t>동</t>
        </is>
      </c>
      <c r="F1880" s="30" t="n">
        <v>2</v>
      </c>
      <c r="G1880" s="29" t="n"/>
      <c r="H1880" s="42" t="n"/>
      <c r="I1880" s="40" t="n"/>
      <c r="J1880" s="40" t="n"/>
      <c r="K1880" s="40" t="n"/>
      <c r="L1880" s="30">
        <f>IF(COUNT(I1880:K1880)=0,"",MEDIAN(I1880:K1880))</f>
        <v/>
      </c>
      <c r="M1880" s="25">
        <f>IF(COUNTIFS($C:$C,$C1880,$D:$D,"P0(전)",$L:$L,"&gt;0")&lt;&gt;1,"P0(전) 유효 1개 아님",IF(COUNTIFS($C:$C,$C1880,$D:$D,"P0(후)",$L:$L,"&gt;0")&lt;&gt;1,"P0(후) 유효 1개 아님",IF(NOT(AND(ISNUMBER(N1880),ISNUMBER(P1880),ISNUMBER(H1880))),"시각 결측",IF(P1880&lt;=N1880,"P0 시각 역전",IF(OR(H1880&lt;N1880,H1880&gt;P1880),"측정시각 구간 밖","OK")))))</f>
        <v/>
      </c>
      <c r="N1880" s="45">
        <f>IF(COUNTIFS($C:$C,$C1880,$D:$D,"P0(전)",$L:$L,"&gt;0")&lt;&gt;1,"",SUMIFS($H:$H,$C:$C,$C1880,$D:$D,"P0(전)"))</f>
        <v/>
      </c>
      <c r="O1880" s="30">
        <f>IF(COUNTIFS($C:$C,$C1880,$D:$D,"P0(전)",$L:$L,"&gt;0")&lt;&gt;1,"",SUMIFS($L:$L,$C:$C,$C1880,$D:$D,"P0(전)"))</f>
        <v/>
      </c>
      <c r="P1880" s="45">
        <f>IF(COUNTIFS($C:$C,$C1880,$D:$D,"P0(후)",$L:$L,"&gt;0")&lt;&gt;1,"",SUMIFS($H:$H,$C:$C,$C1880,$D:$D,"P0(후)"))</f>
        <v/>
      </c>
      <c r="Q1880" s="30">
        <f>IF(COUNTIFS($C:$C,$C1880,$D:$D,"P0(후)",$L:$L,"&gt;0")&lt;&gt;1,"",SUMIFS($L:$L,$C:$C,$C1880,$D:$D,"P0(후)"))</f>
        <v/>
      </c>
      <c r="R1880" s="30">
        <f>IF(M1880&lt;&gt;"OK","",O1880+(Q1880-O1880)*(H1880-N1880)/(P1880-N1880))</f>
        <v/>
      </c>
      <c r="S1880" s="30">
        <f>IF(OR(M1880&lt;&gt;"OK",NOT(ISNUMBER(L1880))),"",L1880-R1880)</f>
        <v/>
      </c>
      <c r="T1880" s="46">
        <f>IF(OR(NOT(ISNUMBER(S1880)),IF(ISNUMBER(G1880),G1880,F1880)=0),"",S1880/IF(ISNUMBER(G1880),G1880,F1880))</f>
        <v/>
      </c>
      <c r="U1880" s="46">
        <f>IF(ISNUMBER(T1880),ABS(T1880),"")</f>
        <v/>
      </c>
      <c r="V1880" s="46">
        <f>IF(OR($D1879&lt;&gt;"측정",$C1879&lt;&gt;$C1880,NOT(ISNUMBER(L1880)),NOT(ISNUMBER(L1879)),(IF(ISNUMBER(G1880),G1880,F1880)-IF(ISNUMBER(G1879),G1879,F1879))=0),"",(L1880-L1879)/(IF(ISNUMBER(G1880),G1880,F1880)-IF(ISNUMBER(G1879),G1879,F1879)))</f>
        <v/>
      </c>
      <c r="W1880" s="30">
        <f>IF(NOT(AND(ISNUMBER(N1880),ISNUMBER(P1880))),"",(P1880-N1880)*1440)</f>
        <v/>
      </c>
      <c r="X1880" s="28" t="n"/>
      <c r="Y1880" s="28" t="n"/>
      <c r="Z1880" s="28" t="n"/>
      <c r="AA1880" s="31" t="n"/>
      <c r="AB1880" s="31" t="n"/>
    </row>
    <row r="1881">
      <c r="A1881" s="25" t="inlineStr">
        <is>
          <t>S37</t>
        </is>
      </c>
      <c r="B1881" s="25" t="inlineStr">
        <is>
          <t>부안</t>
        </is>
      </c>
      <c r="C1881" s="25" t="inlineStr">
        <is>
          <t>S37-H동</t>
        </is>
      </c>
      <c r="D1881" s="25" t="inlineStr">
        <is>
          <t>측정</t>
        </is>
      </c>
      <c r="E1881" s="25" t="inlineStr">
        <is>
          <t>동</t>
        </is>
      </c>
      <c r="F1881" s="30" t="n">
        <v>3</v>
      </c>
      <c r="G1881" s="29" t="n"/>
      <c r="H1881" s="42" t="n"/>
      <c r="I1881" s="40" t="n"/>
      <c r="J1881" s="40" t="n"/>
      <c r="K1881" s="40" t="n"/>
      <c r="L1881" s="30">
        <f>IF(COUNT(I1881:K1881)=0,"",MEDIAN(I1881:K1881))</f>
        <v/>
      </c>
      <c r="M1881" s="25">
        <f>IF(COUNTIFS($C:$C,$C1881,$D:$D,"P0(전)",$L:$L,"&gt;0")&lt;&gt;1,"P0(전) 유효 1개 아님",IF(COUNTIFS($C:$C,$C1881,$D:$D,"P0(후)",$L:$L,"&gt;0")&lt;&gt;1,"P0(후) 유효 1개 아님",IF(NOT(AND(ISNUMBER(N1881),ISNUMBER(P1881),ISNUMBER(H1881))),"시각 결측",IF(P1881&lt;=N1881,"P0 시각 역전",IF(OR(H1881&lt;N1881,H1881&gt;P1881),"측정시각 구간 밖","OK")))))</f>
        <v/>
      </c>
      <c r="N1881" s="45">
        <f>IF(COUNTIFS($C:$C,$C1881,$D:$D,"P0(전)",$L:$L,"&gt;0")&lt;&gt;1,"",SUMIFS($H:$H,$C:$C,$C1881,$D:$D,"P0(전)"))</f>
        <v/>
      </c>
      <c r="O1881" s="30">
        <f>IF(COUNTIFS($C:$C,$C1881,$D:$D,"P0(전)",$L:$L,"&gt;0")&lt;&gt;1,"",SUMIFS($L:$L,$C:$C,$C1881,$D:$D,"P0(전)"))</f>
        <v/>
      </c>
      <c r="P1881" s="45">
        <f>IF(COUNTIFS($C:$C,$C1881,$D:$D,"P0(후)",$L:$L,"&gt;0")&lt;&gt;1,"",SUMIFS($H:$H,$C:$C,$C1881,$D:$D,"P0(후)"))</f>
        <v/>
      </c>
      <c r="Q1881" s="30">
        <f>IF(COUNTIFS($C:$C,$C1881,$D:$D,"P0(후)",$L:$L,"&gt;0")&lt;&gt;1,"",SUMIFS($L:$L,$C:$C,$C1881,$D:$D,"P0(후)"))</f>
        <v/>
      </c>
      <c r="R1881" s="30">
        <f>IF(M1881&lt;&gt;"OK","",O1881+(Q1881-O1881)*(H1881-N1881)/(P1881-N1881))</f>
        <v/>
      </c>
      <c r="S1881" s="30">
        <f>IF(OR(M1881&lt;&gt;"OK",NOT(ISNUMBER(L1881))),"",L1881-R1881)</f>
        <v/>
      </c>
      <c r="T1881" s="46">
        <f>IF(OR(NOT(ISNUMBER(S1881)),IF(ISNUMBER(G1881),G1881,F1881)=0),"",S1881/IF(ISNUMBER(G1881),G1881,F1881))</f>
        <v/>
      </c>
      <c r="U1881" s="46">
        <f>IF(ISNUMBER(T1881),ABS(T1881),"")</f>
        <v/>
      </c>
      <c r="V1881" s="46">
        <f>IF(OR($D1880&lt;&gt;"측정",$C1880&lt;&gt;$C1881,NOT(ISNUMBER(L1881)),NOT(ISNUMBER(L1880)),(IF(ISNUMBER(G1881),G1881,F1881)-IF(ISNUMBER(G1880),G1880,F1880))=0),"",(L1881-L1880)/(IF(ISNUMBER(G1881),G1881,F1881)-IF(ISNUMBER(G1880),G1880,F1880)))</f>
        <v/>
      </c>
      <c r="W1881" s="30">
        <f>IF(NOT(AND(ISNUMBER(N1881),ISNUMBER(P1881))),"",(P1881-N1881)*1440)</f>
        <v/>
      </c>
      <c r="X1881" s="28" t="n"/>
      <c r="Y1881" s="28" t="n"/>
      <c r="Z1881" s="28" t="n"/>
      <c r="AA1881" s="31" t="n"/>
      <c r="AB1881" s="31" t="n"/>
    </row>
    <row r="1882">
      <c r="A1882" s="25" t="inlineStr">
        <is>
          <t>S37</t>
        </is>
      </c>
      <c r="B1882" s="25" t="inlineStr">
        <is>
          <t>부안</t>
        </is>
      </c>
      <c r="C1882" s="25" t="inlineStr">
        <is>
          <t>S37-H동</t>
        </is>
      </c>
      <c r="D1882" s="25" t="inlineStr">
        <is>
          <t>측정</t>
        </is>
      </c>
      <c r="E1882" s="25" t="inlineStr">
        <is>
          <t>동</t>
        </is>
      </c>
      <c r="F1882" s="30" t="n">
        <v>4</v>
      </c>
      <c r="G1882" s="29" t="n"/>
      <c r="H1882" s="42" t="n"/>
      <c r="I1882" s="40" t="n"/>
      <c r="J1882" s="40" t="n"/>
      <c r="K1882" s="40" t="n"/>
      <c r="L1882" s="30">
        <f>IF(COUNT(I1882:K1882)=0,"",MEDIAN(I1882:K1882))</f>
        <v/>
      </c>
      <c r="M1882" s="25">
        <f>IF(COUNTIFS($C:$C,$C1882,$D:$D,"P0(전)",$L:$L,"&gt;0")&lt;&gt;1,"P0(전) 유효 1개 아님",IF(COUNTIFS($C:$C,$C1882,$D:$D,"P0(후)",$L:$L,"&gt;0")&lt;&gt;1,"P0(후) 유효 1개 아님",IF(NOT(AND(ISNUMBER(N1882),ISNUMBER(P1882),ISNUMBER(H1882))),"시각 결측",IF(P1882&lt;=N1882,"P0 시각 역전",IF(OR(H1882&lt;N1882,H1882&gt;P1882),"측정시각 구간 밖","OK")))))</f>
        <v/>
      </c>
      <c r="N1882" s="45">
        <f>IF(COUNTIFS($C:$C,$C1882,$D:$D,"P0(전)",$L:$L,"&gt;0")&lt;&gt;1,"",SUMIFS($H:$H,$C:$C,$C1882,$D:$D,"P0(전)"))</f>
        <v/>
      </c>
      <c r="O1882" s="30">
        <f>IF(COUNTIFS($C:$C,$C1882,$D:$D,"P0(전)",$L:$L,"&gt;0")&lt;&gt;1,"",SUMIFS($L:$L,$C:$C,$C1882,$D:$D,"P0(전)"))</f>
        <v/>
      </c>
      <c r="P1882" s="45">
        <f>IF(COUNTIFS($C:$C,$C1882,$D:$D,"P0(후)",$L:$L,"&gt;0")&lt;&gt;1,"",SUMIFS($H:$H,$C:$C,$C1882,$D:$D,"P0(후)"))</f>
        <v/>
      </c>
      <c r="Q1882" s="30">
        <f>IF(COUNTIFS($C:$C,$C1882,$D:$D,"P0(후)",$L:$L,"&gt;0")&lt;&gt;1,"",SUMIFS($L:$L,$C:$C,$C1882,$D:$D,"P0(후)"))</f>
        <v/>
      </c>
      <c r="R1882" s="30">
        <f>IF(M1882&lt;&gt;"OK","",O1882+(Q1882-O1882)*(H1882-N1882)/(P1882-N1882))</f>
        <v/>
      </c>
      <c r="S1882" s="30">
        <f>IF(OR(M1882&lt;&gt;"OK",NOT(ISNUMBER(L1882))),"",L1882-R1882)</f>
        <v/>
      </c>
      <c r="T1882" s="46">
        <f>IF(OR(NOT(ISNUMBER(S1882)),IF(ISNUMBER(G1882),G1882,F1882)=0),"",S1882/IF(ISNUMBER(G1882),G1882,F1882))</f>
        <v/>
      </c>
      <c r="U1882" s="46">
        <f>IF(ISNUMBER(T1882),ABS(T1882),"")</f>
        <v/>
      </c>
      <c r="V1882" s="46">
        <f>IF(OR($D1881&lt;&gt;"측정",$C1881&lt;&gt;$C1882,NOT(ISNUMBER(L1882)),NOT(ISNUMBER(L1881)),(IF(ISNUMBER(G1882),G1882,F1882)-IF(ISNUMBER(G1881),G1881,F1881))=0),"",(L1882-L1881)/(IF(ISNUMBER(G1882),G1882,F1882)-IF(ISNUMBER(G1881),G1881,F1881)))</f>
        <v/>
      </c>
      <c r="W1882" s="30">
        <f>IF(NOT(AND(ISNUMBER(N1882),ISNUMBER(P1882))),"",(P1882-N1882)*1440)</f>
        <v/>
      </c>
      <c r="X1882" s="28" t="n"/>
      <c r="Y1882" s="28" t="n"/>
      <c r="Z1882" s="28" t="n"/>
      <c r="AA1882" s="31" t="n"/>
      <c r="AB1882" s="31" t="n"/>
    </row>
    <row r="1883">
      <c r="A1883" s="25" t="inlineStr">
        <is>
          <t>S37</t>
        </is>
      </c>
      <c r="B1883" s="25" t="inlineStr">
        <is>
          <t>부안</t>
        </is>
      </c>
      <c r="C1883" s="25" t="inlineStr">
        <is>
          <t>S37-H동</t>
        </is>
      </c>
      <c r="D1883" s="25" t="inlineStr">
        <is>
          <t>측정</t>
        </is>
      </c>
      <c r="E1883" s="25" t="inlineStr">
        <is>
          <t>동</t>
        </is>
      </c>
      <c r="F1883" s="30" t="n">
        <v>5</v>
      </c>
      <c r="G1883" s="29" t="n"/>
      <c r="H1883" s="42" t="n"/>
      <c r="I1883" s="40" t="n"/>
      <c r="J1883" s="40" t="n"/>
      <c r="K1883" s="40" t="n"/>
      <c r="L1883" s="30">
        <f>IF(COUNT(I1883:K1883)=0,"",MEDIAN(I1883:K1883))</f>
        <v/>
      </c>
      <c r="M1883" s="25">
        <f>IF(COUNTIFS($C:$C,$C1883,$D:$D,"P0(전)",$L:$L,"&gt;0")&lt;&gt;1,"P0(전) 유효 1개 아님",IF(COUNTIFS($C:$C,$C1883,$D:$D,"P0(후)",$L:$L,"&gt;0")&lt;&gt;1,"P0(후) 유효 1개 아님",IF(NOT(AND(ISNUMBER(N1883),ISNUMBER(P1883),ISNUMBER(H1883))),"시각 결측",IF(P1883&lt;=N1883,"P0 시각 역전",IF(OR(H1883&lt;N1883,H1883&gt;P1883),"측정시각 구간 밖","OK")))))</f>
        <v/>
      </c>
      <c r="N1883" s="45">
        <f>IF(COUNTIFS($C:$C,$C1883,$D:$D,"P0(전)",$L:$L,"&gt;0")&lt;&gt;1,"",SUMIFS($H:$H,$C:$C,$C1883,$D:$D,"P0(전)"))</f>
        <v/>
      </c>
      <c r="O1883" s="30">
        <f>IF(COUNTIFS($C:$C,$C1883,$D:$D,"P0(전)",$L:$L,"&gt;0")&lt;&gt;1,"",SUMIFS($L:$L,$C:$C,$C1883,$D:$D,"P0(전)"))</f>
        <v/>
      </c>
      <c r="P1883" s="45">
        <f>IF(COUNTIFS($C:$C,$C1883,$D:$D,"P0(후)",$L:$L,"&gt;0")&lt;&gt;1,"",SUMIFS($H:$H,$C:$C,$C1883,$D:$D,"P0(후)"))</f>
        <v/>
      </c>
      <c r="Q1883" s="30">
        <f>IF(COUNTIFS($C:$C,$C1883,$D:$D,"P0(후)",$L:$L,"&gt;0")&lt;&gt;1,"",SUMIFS($L:$L,$C:$C,$C1883,$D:$D,"P0(후)"))</f>
        <v/>
      </c>
      <c r="R1883" s="30">
        <f>IF(M1883&lt;&gt;"OK","",O1883+(Q1883-O1883)*(H1883-N1883)/(P1883-N1883))</f>
        <v/>
      </c>
      <c r="S1883" s="30">
        <f>IF(OR(M1883&lt;&gt;"OK",NOT(ISNUMBER(L1883))),"",L1883-R1883)</f>
        <v/>
      </c>
      <c r="T1883" s="46">
        <f>IF(OR(NOT(ISNUMBER(S1883)),IF(ISNUMBER(G1883),G1883,F1883)=0),"",S1883/IF(ISNUMBER(G1883),G1883,F1883))</f>
        <v/>
      </c>
      <c r="U1883" s="46">
        <f>IF(ISNUMBER(T1883),ABS(T1883),"")</f>
        <v/>
      </c>
      <c r="V1883" s="46">
        <f>IF(OR($D1882&lt;&gt;"측정",$C1882&lt;&gt;$C1883,NOT(ISNUMBER(L1883)),NOT(ISNUMBER(L1882)),(IF(ISNUMBER(G1883),G1883,F1883)-IF(ISNUMBER(G1882),G1882,F1882))=0),"",(L1883-L1882)/(IF(ISNUMBER(G1883),G1883,F1883)-IF(ISNUMBER(G1882),G1882,F1882)))</f>
        <v/>
      </c>
      <c r="W1883" s="30">
        <f>IF(NOT(AND(ISNUMBER(N1883),ISNUMBER(P1883))),"",(P1883-N1883)*1440)</f>
        <v/>
      </c>
      <c r="X1883" s="28" t="n"/>
      <c r="Y1883" s="28" t="n"/>
      <c r="Z1883" s="28" t="n"/>
      <c r="AA1883" s="31" t="n"/>
      <c r="AB1883" s="31" t="n"/>
    </row>
    <row r="1884">
      <c r="A1884" s="25" t="inlineStr">
        <is>
          <t>S37</t>
        </is>
      </c>
      <c r="B1884" s="25" t="inlineStr">
        <is>
          <t>부안</t>
        </is>
      </c>
      <c r="C1884" s="25" t="inlineStr">
        <is>
          <t>S37-H동</t>
        </is>
      </c>
      <c r="D1884" s="25" t="inlineStr">
        <is>
          <t>측정</t>
        </is>
      </c>
      <c r="E1884" s="25" t="inlineStr">
        <is>
          <t>동</t>
        </is>
      </c>
      <c r="F1884" s="30" t="n">
        <v>6</v>
      </c>
      <c r="G1884" s="29" t="n"/>
      <c r="H1884" s="42" t="n"/>
      <c r="I1884" s="40" t="n"/>
      <c r="J1884" s="40" t="n"/>
      <c r="K1884" s="40" t="n"/>
      <c r="L1884" s="30">
        <f>IF(COUNT(I1884:K1884)=0,"",MEDIAN(I1884:K1884))</f>
        <v/>
      </c>
      <c r="M1884" s="25">
        <f>IF(COUNTIFS($C:$C,$C1884,$D:$D,"P0(전)",$L:$L,"&gt;0")&lt;&gt;1,"P0(전) 유효 1개 아님",IF(COUNTIFS($C:$C,$C1884,$D:$D,"P0(후)",$L:$L,"&gt;0")&lt;&gt;1,"P0(후) 유효 1개 아님",IF(NOT(AND(ISNUMBER(N1884),ISNUMBER(P1884),ISNUMBER(H1884))),"시각 결측",IF(P1884&lt;=N1884,"P0 시각 역전",IF(OR(H1884&lt;N1884,H1884&gt;P1884),"측정시각 구간 밖","OK")))))</f>
        <v/>
      </c>
      <c r="N1884" s="45">
        <f>IF(COUNTIFS($C:$C,$C1884,$D:$D,"P0(전)",$L:$L,"&gt;0")&lt;&gt;1,"",SUMIFS($H:$H,$C:$C,$C1884,$D:$D,"P0(전)"))</f>
        <v/>
      </c>
      <c r="O1884" s="30">
        <f>IF(COUNTIFS($C:$C,$C1884,$D:$D,"P0(전)",$L:$L,"&gt;0")&lt;&gt;1,"",SUMIFS($L:$L,$C:$C,$C1884,$D:$D,"P0(전)"))</f>
        <v/>
      </c>
      <c r="P1884" s="45">
        <f>IF(COUNTIFS($C:$C,$C1884,$D:$D,"P0(후)",$L:$L,"&gt;0")&lt;&gt;1,"",SUMIFS($H:$H,$C:$C,$C1884,$D:$D,"P0(후)"))</f>
        <v/>
      </c>
      <c r="Q1884" s="30">
        <f>IF(COUNTIFS($C:$C,$C1884,$D:$D,"P0(후)",$L:$L,"&gt;0")&lt;&gt;1,"",SUMIFS($L:$L,$C:$C,$C1884,$D:$D,"P0(후)"))</f>
        <v/>
      </c>
      <c r="R1884" s="30">
        <f>IF(M1884&lt;&gt;"OK","",O1884+(Q1884-O1884)*(H1884-N1884)/(P1884-N1884))</f>
        <v/>
      </c>
      <c r="S1884" s="30">
        <f>IF(OR(M1884&lt;&gt;"OK",NOT(ISNUMBER(L1884))),"",L1884-R1884)</f>
        <v/>
      </c>
      <c r="T1884" s="46">
        <f>IF(OR(NOT(ISNUMBER(S1884)),IF(ISNUMBER(G1884),G1884,F1884)=0),"",S1884/IF(ISNUMBER(G1884),G1884,F1884))</f>
        <v/>
      </c>
      <c r="U1884" s="46">
        <f>IF(ISNUMBER(T1884),ABS(T1884),"")</f>
        <v/>
      </c>
      <c r="V1884" s="46">
        <f>IF(OR($D1883&lt;&gt;"측정",$C1883&lt;&gt;$C1884,NOT(ISNUMBER(L1884)),NOT(ISNUMBER(L1883)),(IF(ISNUMBER(G1884),G1884,F1884)-IF(ISNUMBER(G1883),G1883,F1883))=0),"",(L1884-L1883)/(IF(ISNUMBER(G1884),G1884,F1884)-IF(ISNUMBER(G1883),G1883,F1883)))</f>
        <v/>
      </c>
      <c r="W1884" s="30">
        <f>IF(NOT(AND(ISNUMBER(N1884),ISNUMBER(P1884))),"",(P1884-N1884)*1440)</f>
        <v/>
      </c>
      <c r="X1884" s="28" t="n"/>
      <c r="Y1884" s="28" t="n"/>
      <c r="Z1884" s="28" t="n"/>
      <c r="AA1884" s="31" t="n"/>
      <c r="AB1884" s="31" t="n"/>
    </row>
    <row r="1885">
      <c r="A1885" s="25" t="inlineStr">
        <is>
          <t>S37</t>
        </is>
      </c>
      <c r="B1885" s="25" t="inlineStr">
        <is>
          <t>부안</t>
        </is>
      </c>
      <c r="C1885" s="25" t="inlineStr">
        <is>
          <t>S37-H동</t>
        </is>
      </c>
      <c r="D1885" s="25" t="inlineStr">
        <is>
          <t>측정</t>
        </is>
      </c>
      <c r="E1885" s="25" t="inlineStr">
        <is>
          <t>동</t>
        </is>
      </c>
      <c r="F1885" s="30" t="n">
        <v>7</v>
      </c>
      <c r="G1885" s="29" t="n"/>
      <c r="H1885" s="42" t="n"/>
      <c r="I1885" s="40" t="n"/>
      <c r="J1885" s="40" t="n"/>
      <c r="K1885" s="40" t="n"/>
      <c r="L1885" s="30">
        <f>IF(COUNT(I1885:K1885)=0,"",MEDIAN(I1885:K1885))</f>
        <v/>
      </c>
      <c r="M1885" s="25">
        <f>IF(COUNTIFS($C:$C,$C1885,$D:$D,"P0(전)",$L:$L,"&gt;0")&lt;&gt;1,"P0(전) 유효 1개 아님",IF(COUNTIFS($C:$C,$C1885,$D:$D,"P0(후)",$L:$L,"&gt;0")&lt;&gt;1,"P0(후) 유효 1개 아님",IF(NOT(AND(ISNUMBER(N1885),ISNUMBER(P1885),ISNUMBER(H1885))),"시각 결측",IF(P1885&lt;=N1885,"P0 시각 역전",IF(OR(H1885&lt;N1885,H1885&gt;P1885),"측정시각 구간 밖","OK")))))</f>
        <v/>
      </c>
      <c r="N1885" s="45">
        <f>IF(COUNTIFS($C:$C,$C1885,$D:$D,"P0(전)",$L:$L,"&gt;0")&lt;&gt;1,"",SUMIFS($H:$H,$C:$C,$C1885,$D:$D,"P0(전)"))</f>
        <v/>
      </c>
      <c r="O1885" s="30">
        <f>IF(COUNTIFS($C:$C,$C1885,$D:$D,"P0(전)",$L:$L,"&gt;0")&lt;&gt;1,"",SUMIFS($L:$L,$C:$C,$C1885,$D:$D,"P0(전)"))</f>
        <v/>
      </c>
      <c r="P1885" s="45">
        <f>IF(COUNTIFS($C:$C,$C1885,$D:$D,"P0(후)",$L:$L,"&gt;0")&lt;&gt;1,"",SUMIFS($H:$H,$C:$C,$C1885,$D:$D,"P0(후)"))</f>
        <v/>
      </c>
      <c r="Q1885" s="30">
        <f>IF(COUNTIFS($C:$C,$C1885,$D:$D,"P0(후)",$L:$L,"&gt;0")&lt;&gt;1,"",SUMIFS($L:$L,$C:$C,$C1885,$D:$D,"P0(후)"))</f>
        <v/>
      </c>
      <c r="R1885" s="30">
        <f>IF(M1885&lt;&gt;"OK","",O1885+(Q1885-O1885)*(H1885-N1885)/(P1885-N1885))</f>
        <v/>
      </c>
      <c r="S1885" s="30">
        <f>IF(OR(M1885&lt;&gt;"OK",NOT(ISNUMBER(L1885))),"",L1885-R1885)</f>
        <v/>
      </c>
      <c r="T1885" s="46">
        <f>IF(OR(NOT(ISNUMBER(S1885)),IF(ISNUMBER(G1885),G1885,F1885)=0),"",S1885/IF(ISNUMBER(G1885),G1885,F1885))</f>
        <v/>
      </c>
      <c r="U1885" s="46">
        <f>IF(ISNUMBER(T1885),ABS(T1885),"")</f>
        <v/>
      </c>
      <c r="V1885" s="46">
        <f>IF(OR($D1884&lt;&gt;"측정",$C1884&lt;&gt;$C1885,NOT(ISNUMBER(L1885)),NOT(ISNUMBER(L1884)),(IF(ISNUMBER(G1885),G1885,F1885)-IF(ISNUMBER(G1884),G1884,F1884))=0),"",(L1885-L1884)/(IF(ISNUMBER(G1885),G1885,F1885)-IF(ISNUMBER(G1884),G1884,F1884)))</f>
        <v/>
      </c>
      <c r="W1885" s="30">
        <f>IF(NOT(AND(ISNUMBER(N1885),ISNUMBER(P1885))),"",(P1885-N1885)*1440)</f>
        <v/>
      </c>
      <c r="X1885" s="28" t="n"/>
      <c r="Y1885" s="28" t="n"/>
      <c r="Z1885" s="28" t="n"/>
      <c r="AA1885" s="31" t="n"/>
      <c r="AB1885" s="31" t="n"/>
    </row>
    <row r="1886">
      <c r="A1886" s="25" t="inlineStr">
        <is>
          <t>S37</t>
        </is>
      </c>
      <c r="B1886" s="25" t="inlineStr">
        <is>
          <t>부안</t>
        </is>
      </c>
      <c r="C1886" s="25" t="inlineStr">
        <is>
          <t>S37-H동</t>
        </is>
      </c>
      <c r="D1886" s="25" t="inlineStr">
        <is>
          <t>측정</t>
        </is>
      </c>
      <c r="E1886" s="25" t="inlineStr">
        <is>
          <t>동</t>
        </is>
      </c>
      <c r="F1886" s="30" t="n">
        <v>8</v>
      </c>
      <c r="G1886" s="29" t="n"/>
      <c r="H1886" s="42" t="n"/>
      <c r="I1886" s="40" t="n"/>
      <c r="J1886" s="40" t="n"/>
      <c r="K1886" s="40" t="n"/>
      <c r="L1886" s="30">
        <f>IF(COUNT(I1886:K1886)=0,"",MEDIAN(I1886:K1886))</f>
        <v/>
      </c>
      <c r="M1886" s="25">
        <f>IF(COUNTIFS($C:$C,$C1886,$D:$D,"P0(전)",$L:$L,"&gt;0")&lt;&gt;1,"P0(전) 유효 1개 아님",IF(COUNTIFS($C:$C,$C1886,$D:$D,"P0(후)",$L:$L,"&gt;0")&lt;&gt;1,"P0(후) 유효 1개 아님",IF(NOT(AND(ISNUMBER(N1886),ISNUMBER(P1886),ISNUMBER(H1886))),"시각 결측",IF(P1886&lt;=N1886,"P0 시각 역전",IF(OR(H1886&lt;N1886,H1886&gt;P1886),"측정시각 구간 밖","OK")))))</f>
        <v/>
      </c>
      <c r="N1886" s="45">
        <f>IF(COUNTIFS($C:$C,$C1886,$D:$D,"P0(전)",$L:$L,"&gt;0")&lt;&gt;1,"",SUMIFS($H:$H,$C:$C,$C1886,$D:$D,"P0(전)"))</f>
        <v/>
      </c>
      <c r="O1886" s="30">
        <f>IF(COUNTIFS($C:$C,$C1886,$D:$D,"P0(전)",$L:$L,"&gt;0")&lt;&gt;1,"",SUMIFS($L:$L,$C:$C,$C1886,$D:$D,"P0(전)"))</f>
        <v/>
      </c>
      <c r="P1886" s="45">
        <f>IF(COUNTIFS($C:$C,$C1886,$D:$D,"P0(후)",$L:$L,"&gt;0")&lt;&gt;1,"",SUMIFS($H:$H,$C:$C,$C1886,$D:$D,"P0(후)"))</f>
        <v/>
      </c>
      <c r="Q1886" s="30">
        <f>IF(COUNTIFS($C:$C,$C1886,$D:$D,"P0(후)",$L:$L,"&gt;0")&lt;&gt;1,"",SUMIFS($L:$L,$C:$C,$C1886,$D:$D,"P0(후)"))</f>
        <v/>
      </c>
      <c r="R1886" s="30">
        <f>IF(M1886&lt;&gt;"OK","",O1886+(Q1886-O1886)*(H1886-N1886)/(P1886-N1886))</f>
        <v/>
      </c>
      <c r="S1886" s="30">
        <f>IF(OR(M1886&lt;&gt;"OK",NOT(ISNUMBER(L1886))),"",L1886-R1886)</f>
        <v/>
      </c>
      <c r="T1886" s="46">
        <f>IF(OR(NOT(ISNUMBER(S1886)),IF(ISNUMBER(G1886),G1886,F1886)=0),"",S1886/IF(ISNUMBER(G1886),G1886,F1886))</f>
        <v/>
      </c>
      <c r="U1886" s="46">
        <f>IF(ISNUMBER(T1886),ABS(T1886),"")</f>
        <v/>
      </c>
      <c r="V1886" s="46">
        <f>IF(OR($D1885&lt;&gt;"측정",$C1885&lt;&gt;$C1886,NOT(ISNUMBER(L1886)),NOT(ISNUMBER(L1885)),(IF(ISNUMBER(G1886),G1886,F1886)-IF(ISNUMBER(G1885),G1885,F1885))=0),"",(L1886-L1885)/(IF(ISNUMBER(G1886),G1886,F1886)-IF(ISNUMBER(G1885),G1885,F1885)))</f>
        <v/>
      </c>
      <c r="W1886" s="30">
        <f>IF(NOT(AND(ISNUMBER(N1886),ISNUMBER(P1886))),"",(P1886-N1886)*1440)</f>
        <v/>
      </c>
      <c r="X1886" s="28" t="n"/>
      <c r="Y1886" s="28" t="n"/>
      <c r="Z1886" s="28" t="n"/>
      <c r="AA1886" s="31" t="n"/>
      <c r="AB1886" s="31" t="n"/>
    </row>
    <row r="1887">
      <c r="A1887" s="25" t="inlineStr">
        <is>
          <t>S37</t>
        </is>
      </c>
      <c r="B1887" s="25" t="inlineStr">
        <is>
          <t>부안</t>
        </is>
      </c>
      <c r="C1887" s="25" t="inlineStr">
        <is>
          <t>S37-H동</t>
        </is>
      </c>
      <c r="D1887" s="25" t="inlineStr">
        <is>
          <t>측정</t>
        </is>
      </c>
      <c r="E1887" s="25" t="inlineStr">
        <is>
          <t>동</t>
        </is>
      </c>
      <c r="F1887" s="30" t="n">
        <v>9</v>
      </c>
      <c r="G1887" s="29" t="n"/>
      <c r="H1887" s="42" t="n"/>
      <c r="I1887" s="40" t="n"/>
      <c r="J1887" s="40" t="n"/>
      <c r="K1887" s="40" t="n"/>
      <c r="L1887" s="30">
        <f>IF(COUNT(I1887:K1887)=0,"",MEDIAN(I1887:K1887))</f>
        <v/>
      </c>
      <c r="M1887" s="25">
        <f>IF(COUNTIFS($C:$C,$C1887,$D:$D,"P0(전)",$L:$L,"&gt;0")&lt;&gt;1,"P0(전) 유효 1개 아님",IF(COUNTIFS($C:$C,$C1887,$D:$D,"P0(후)",$L:$L,"&gt;0")&lt;&gt;1,"P0(후) 유효 1개 아님",IF(NOT(AND(ISNUMBER(N1887),ISNUMBER(P1887),ISNUMBER(H1887))),"시각 결측",IF(P1887&lt;=N1887,"P0 시각 역전",IF(OR(H1887&lt;N1887,H1887&gt;P1887),"측정시각 구간 밖","OK")))))</f>
        <v/>
      </c>
      <c r="N1887" s="45">
        <f>IF(COUNTIFS($C:$C,$C1887,$D:$D,"P0(전)",$L:$L,"&gt;0")&lt;&gt;1,"",SUMIFS($H:$H,$C:$C,$C1887,$D:$D,"P0(전)"))</f>
        <v/>
      </c>
      <c r="O1887" s="30">
        <f>IF(COUNTIFS($C:$C,$C1887,$D:$D,"P0(전)",$L:$L,"&gt;0")&lt;&gt;1,"",SUMIFS($L:$L,$C:$C,$C1887,$D:$D,"P0(전)"))</f>
        <v/>
      </c>
      <c r="P1887" s="45">
        <f>IF(COUNTIFS($C:$C,$C1887,$D:$D,"P0(후)",$L:$L,"&gt;0")&lt;&gt;1,"",SUMIFS($H:$H,$C:$C,$C1887,$D:$D,"P0(후)"))</f>
        <v/>
      </c>
      <c r="Q1887" s="30">
        <f>IF(COUNTIFS($C:$C,$C1887,$D:$D,"P0(후)",$L:$L,"&gt;0")&lt;&gt;1,"",SUMIFS($L:$L,$C:$C,$C1887,$D:$D,"P0(후)"))</f>
        <v/>
      </c>
      <c r="R1887" s="30">
        <f>IF(M1887&lt;&gt;"OK","",O1887+(Q1887-O1887)*(H1887-N1887)/(P1887-N1887))</f>
        <v/>
      </c>
      <c r="S1887" s="30">
        <f>IF(OR(M1887&lt;&gt;"OK",NOT(ISNUMBER(L1887))),"",L1887-R1887)</f>
        <v/>
      </c>
      <c r="T1887" s="46">
        <f>IF(OR(NOT(ISNUMBER(S1887)),IF(ISNUMBER(G1887),G1887,F1887)=0),"",S1887/IF(ISNUMBER(G1887),G1887,F1887))</f>
        <v/>
      </c>
      <c r="U1887" s="46">
        <f>IF(ISNUMBER(T1887),ABS(T1887),"")</f>
        <v/>
      </c>
      <c r="V1887" s="46">
        <f>IF(OR($D1886&lt;&gt;"측정",$C1886&lt;&gt;$C1887,NOT(ISNUMBER(L1887)),NOT(ISNUMBER(L1886)),(IF(ISNUMBER(G1887),G1887,F1887)-IF(ISNUMBER(G1886),G1886,F1886))=0),"",(L1887-L1886)/(IF(ISNUMBER(G1887),G1887,F1887)-IF(ISNUMBER(G1886),G1886,F1886)))</f>
        <v/>
      </c>
      <c r="W1887" s="30">
        <f>IF(NOT(AND(ISNUMBER(N1887),ISNUMBER(P1887))),"",(P1887-N1887)*1440)</f>
        <v/>
      </c>
      <c r="X1887" s="28" t="n"/>
      <c r="Y1887" s="28" t="n"/>
      <c r="Z1887" s="28" t="n"/>
      <c r="AA1887" s="31" t="n"/>
      <c r="AB1887" s="31" t="n"/>
    </row>
    <row r="1888">
      <c r="A1888" s="25" t="inlineStr">
        <is>
          <t>S37</t>
        </is>
      </c>
      <c r="B1888" s="25" t="inlineStr">
        <is>
          <t>부안</t>
        </is>
      </c>
      <c r="C1888" s="25" t="inlineStr">
        <is>
          <t>S37-H동</t>
        </is>
      </c>
      <c r="D1888" s="25" t="inlineStr">
        <is>
          <t>측정</t>
        </is>
      </c>
      <c r="E1888" s="25" t="inlineStr">
        <is>
          <t>동</t>
        </is>
      </c>
      <c r="F1888" s="30" t="n">
        <v>10</v>
      </c>
      <c r="G1888" s="29" t="n"/>
      <c r="H1888" s="42" t="n"/>
      <c r="I1888" s="40" t="n"/>
      <c r="J1888" s="40" t="n"/>
      <c r="K1888" s="40" t="n"/>
      <c r="L1888" s="30">
        <f>IF(COUNT(I1888:K1888)=0,"",MEDIAN(I1888:K1888))</f>
        <v/>
      </c>
      <c r="M1888" s="25">
        <f>IF(COUNTIFS($C:$C,$C1888,$D:$D,"P0(전)",$L:$L,"&gt;0")&lt;&gt;1,"P0(전) 유효 1개 아님",IF(COUNTIFS($C:$C,$C1888,$D:$D,"P0(후)",$L:$L,"&gt;0")&lt;&gt;1,"P0(후) 유효 1개 아님",IF(NOT(AND(ISNUMBER(N1888),ISNUMBER(P1888),ISNUMBER(H1888))),"시각 결측",IF(P1888&lt;=N1888,"P0 시각 역전",IF(OR(H1888&lt;N1888,H1888&gt;P1888),"측정시각 구간 밖","OK")))))</f>
        <v/>
      </c>
      <c r="N1888" s="45">
        <f>IF(COUNTIFS($C:$C,$C1888,$D:$D,"P0(전)",$L:$L,"&gt;0")&lt;&gt;1,"",SUMIFS($H:$H,$C:$C,$C1888,$D:$D,"P0(전)"))</f>
        <v/>
      </c>
      <c r="O1888" s="30">
        <f>IF(COUNTIFS($C:$C,$C1888,$D:$D,"P0(전)",$L:$L,"&gt;0")&lt;&gt;1,"",SUMIFS($L:$L,$C:$C,$C1888,$D:$D,"P0(전)"))</f>
        <v/>
      </c>
      <c r="P1888" s="45">
        <f>IF(COUNTIFS($C:$C,$C1888,$D:$D,"P0(후)",$L:$L,"&gt;0")&lt;&gt;1,"",SUMIFS($H:$H,$C:$C,$C1888,$D:$D,"P0(후)"))</f>
        <v/>
      </c>
      <c r="Q1888" s="30">
        <f>IF(COUNTIFS($C:$C,$C1888,$D:$D,"P0(후)",$L:$L,"&gt;0")&lt;&gt;1,"",SUMIFS($L:$L,$C:$C,$C1888,$D:$D,"P0(후)"))</f>
        <v/>
      </c>
      <c r="R1888" s="30">
        <f>IF(M1888&lt;&gt;"OK","",O1888+(Q1888-O1888)*(H1888-N1888)/(P1888-N1888))</f>
        <v/>
      </c>
      <c r="S1888" s="30">
        <f>IF(OR(M1888&lt;&gt;"OK",NOT(ISNUMBER(L1888))),"",L1888-R1888)</f>
        <v/>
      </c>
      <c r="T1888" s="46">
        <f>IF(OR(NOT(ISNUMBER(S1888)),IF(ISNUMBER(G1888),G1888,F1888)=0),"",S1888/IF(ISNUMBER(G1888),G1888,F1888))</f>
        <v/>
      </c>
      <c r="U1888" s="46">
        <f>IF(ISNUMBER(T1888),ABS(T1888),"")</f>
        <v/>
      </c>
      <c r="V1888" s="46">
        <f>IF(OR($D1887&lt;&gt;"측정",$C1887&lt;&gt;$C1888,NOT(ISNUMBER(L1888)),NOT(ISNUMBER(L1887)),(IF(ISNUMBER(G1888),G1888,F1888)-IF(ISNUMBER(G1887),G1887,F1887))=0),"",(L1888-L1887)/(IF(ISNUMBER(G1888),G1888,F1888)-IF(ISNUMBER(G1887),G1887,F1887)))</f>
        <v/>
      </c>
      <c r="W1888" s="30">
        <f>IF(NOT(AND(ISNUMBER(N1888),ISNUMBER(P1888))),"",(P1888-N1888)*1440)</f>
        <v/>
      </c>
      <c r="X1888" s="28" t="n"/>
      <c r="Y1888" s="28" t="n"/>
      <c r="Z1888" s="28" t="n"/>
      <c r="AA1888" s="31" t="n"/>
      <c r="AB1888" s="31" t="n"/>
    </row>
    <row r="1889">
      <c r="A1889" s="43" t="inlineStr">
        <is>
          <t>S37</t>
        </is>
      </c>
      <c r="B1889" s="43" t="inlineStr">
        <is>
          <t>부안</t>
        </is>
      </c>
      <c r="C1889" s="43" t="inlineStr">
        <is>
          <t>S37-H동</t>
        </is>
      </c>
      <c r="D1889" s="43" t="inlineStr">
        <is>
          <t>P0(후)</t>
        </is>
      </c>
      <c r="E1889" s="43" t="inlineStr">
        <is>
          <t>동</t>
        </is>
      </c>
      <c r="F1889" s="44" t="n"/>
      <c r="G1889" s="29" t="n"/>
      <c r="H1889" s="42" t="n"/>
      <c r="I1889" s="40" t="n"/>
      <c r="J1889" s="40" t="n"/>
      <c r="K1889" s="40" t="n"/>
      <c r="L1889" s="30">
        <f>IF(COUNT(I1889:K1889)=0,"",MEDIAN(I1889:K1889))</f>
        <v/>
      </c>
      <c r="M1889" s="37" t="n"/>
      <c r="N1889" s="37" t="n"/>
      <c r="O1889" s="37" t="n"/>
      <c r="P1889" s="37" t="n"/>
      <c r="Q1889" s="37" t="n"/>
      <c r="R1889" s="37" t="n"/>
      <c r="S1889" s="37" t="n"/>
      <c r="T1889" s="37" t="n"/>
      <c r="U1889" s="37" t="n"/>
      <c r="V1889" s="37" t="n"/>
      <c r="W1889" s="37" t="n"/>
      <c r="X1889" s="28" t="n"/>
      <c r="Y1889" s="28" t="n"/>
      <c r="Z1889" s="28" t="n"/>
      <c r="AA1889" s="31" t="n"/>
      <c r="AB1889" s="31" t="n"/>
    </row>
    <row r="1890">
      <c r="A1890" s="43" t="inlineStr">
        <is>
          <t>S37</t>
        </is>
      </c>
      <c r="B1890" s="43" t="inlineStr">
        <is>
          <t>부안</t>
        </is>
      </c>
      <c r="C1890" s="43" t="inlineStr">
        <is>
          <t>S37-H서</t>
        </is>
      </c>
      <c r="D1890" s="43" t="inlineStr">
        <is>
          <t>P0(전)</t>
        </is>
      </c>
      <c r="E1890" s="43" t="inlineStr">
        <is>
          <t>서</t>
        </is>
      </c>
      <c r="F1890" s="44" t="n"/>
      <c r="G1890" s="29" t="n"/>
      <c r="H1890" s="42" t="n"/>
      <c r="I1890" s="40" t="n"/>
      <c r="J1890" s="40" t="n"/>
      <c r="K1890" s="40" t="n"/>
      <c r="L1890" s="30">
        <f>IF(COUNT(I1890:K1890)=0,"",MEDIAN(I1890:K1890))</f>
        <v/>
      </c>
      <c r="M1890" s="37" t="n"/>
      <c r="N1890" s="37" t="n"/>
      <c r="O1890" s="37" t="n"/>
      <c r="P1890" s="37" t="n"/>
      <c r="Q1890" s="37" t="n"/>
      <c r="R1890" s="37" t="n"/>
      <c r="S1890" s="37" t="n"/>
      <c r="T1890" s="37" t="n"/>
      <c r="U1890" s="37" t="n"/>
      <c r="V1890" s="37" t="n"/>
      <c r="W1890" s="37" t="n"/>
      <c r="X1890" s="28" t="n"/>
      <c r="Y1890" s="28" t="n"/>
      <c r="Z1890" s="28" t="n"/>
      <c r="AA1890" s="31" t="n"/>
      <c r="AB1890" s="31" t="n"/>
    </row>
    <row r="1891">
      <c r="A1891" s="25" t="inlineStr">
        <is>
          <t>S37</t>
        </is>
      </c>
      <c r="B1891" s="25" t="inlineStr">
        <is>
          <t>부안</t>
        </is>
      </c>
      <c r="C1891" s="25" t="inlineStr">
        <is>
          <t>S37-H서</t>
        </is>
      </c>
      <c r="D1891" s="25" t="inlineStr">
        <is>
          <t>측정</t>
        </is>
      </c>
      <c r="E1891" s="25" t="inlineStr">
        <is>
          <t>서</t>
        </is>
      </c>
      <c r="F1891" s="30" t="n">
        <v>0.5</v>
      </c>
      <c r="G1891" s="29" t="n"/>
      <c r="H1891" s="42" t="n"/>
      <c r="I1891" s="40" t="n"/>
      <c r="J1891" s="40" t="n"/>
      <c r="K1891" s="40" t="n"/>
      <c r="L1891" s="30">
        <f>IF(COUNT(I1891:K1891)=0,"",MEDIAN(I1891:K1891))</f>
        <v/>
      </c>
      <c r="M1891" s="25">
        <f>IF(COUNTIFS($C:$C,$C1891,$D:$D,"P0(전)",$L:$L,"&gt;0")&lt;&gt;1,"P0(전) 유효 1개 아님",IF(COUNTIFS($C:$C,$C1891,$D:$D,"P0(후)",$L:$L,"&gt;0")&lt;&gt;1,"P0(후) 유효 1개 아님",IF(NOT(AND(ISNUMBER(N1891),ISNUMBER(P1891),ISNUMBER(H1891))),"시각 결측",IF(P1891&lt;=N1891,"P0 시각 역전",IF(OR(H1891&lt;N1891,H1891&gt;P1891),"측정시각 구간 밖","OK")))))</f>
        <v/>
      </c>
      <c r="N1891" s="45">
        <f>IF(COUNTIFS($C:$C,$C1891,$D:$D,"P0(전)",$L:$L,"&gt;0")&lt;&gt;1,"",SUMIFS($H:$H,$C:$C,$C1891,$D:$D,"P0(전)"))</f>
        <v/>
      </c>
      <c r="O1891" s="30">
        <f>IF(COUNTIFS($C:$C,$C1891,$D:$D,"P0(전)",$L:$L,"&gt;0")&lt;&gt;1,"",SUMIFS($L:$L,$C:$C,$C1891,$D:$D,"P0(전)"))</f>
        <v/>
      </c>
      <c r="P1891" s="45">
        <f>IF(COUNTIFS($C:$C,$C1891,$D:$D,"P0(후)",$L:$L,"&gt;0")&lt;&gt;1,"",SUMIFS($H:$H,$C:$C,$C1891,$D:$D,"P0(후)"))</f>
        <v/>
      </c>
      <c r="Q1891" s="30">
        <f>IF(COUNTIFS($C:$C,$C1891,$D:$D,"P0(후)",$L:$L,"&gt;0")&lt;&gt;1,"",SUMIFS($L:$L,$C:$C,$C1891,$D:$D,"P0(후)"))</f>
        <v/>
      </c>
      <c r="R1891" s="30">
        <f>IF(M1891&lt;&gt;"OK","",O1891+(Q1891-O1891)*(H1891-N1891)/(P1891-N1891))</f>
        <v/>
      </c>
      <c r="S1891" s="30">
        <f>IF(OR(M1891&lt;&gt;"OK",NOT(ISNUMBER(L1891))),"",L1891-R1891)</f>
        <v/>
      </c>
      <c r="T1891" s="46">
        <f>IF(OR(NOT(ISNUMBER(S1891)),IF(ISNUMBER(G1891),G1891,F1891)=0),"",S1891/IF(ISNUMBER(G1891),G1891,F1891))</f>
        <v/>
      </c>
      <c r="U1891" s="46">
        <f>IF(ISNUMBER(T1891),ABS(T1891),"")</f>
        <v/>
      </c>
      <c r="V1891" s="46">
        <f>IF(OR($D1890&lt;&gt;"측정",$C1890&lt;&gt;$C1891,NOT(ISNUMBER(L1891)),NOT(ISNUMBER(L1890)),(IF(ISNUMBER(G1891),G1891,F1891)-IF(ISNUMBER(G1890),G1890,F1890))=0),"",(L1891-L1890)/(IF(ISNUMBER(G1891),G1891,F1891)-IF(ISNUMBER(G1890),G1890,F1890)))</f>
        <v/>
      </c>
      <c r="W1891" s="30">
        <f>IF(NOT(AND(ISNUMBER(N1891),ISNUMBER(P1891))),"",(P1891-N1891)*1440)</f>
        <v/>
      </c>
      <c r="X1891" s="28" t="n"/>
      <c r="Y1891" s="28" t="n"/>
      <c r="Z1891" s="28" t="n"/>
      <c r="AA1891" s="31" t="n"/>
      <c r="AB1891" s="31" t="n"/>
    </row>
    <row r="1892">
      <c r="A1892" s="25" t="inlineStr">
        <is>
          <t>S37</t>
        </is>
      </c>
      <c r="B1892" s="25" t="inlineStr">
        <is>
          <t>부안</t>
        </is>
      </c>
      <c r="C1892" s="25" t="inlineStr">
        <is>
          <t>S37-H서</t>
        </is>
      </c>
      <c r="D1892" s="25" t="inlineStr">
        <is>
          <t>측정</t>
        </is>
      </c>
      <c r="E1892" s="25" t="inlineStr">
        <is>
          <t>서</t>
        </is>
      </c>
      <c r="F1892" s="30" t="n">
        <v>1</v>
      </c>
      <c r="G1892" s="29" t="n"/>
      <c r="H1892" s="42" t="n"/>
      <c r="I1892" s="40" t="n"/>
      <c r="J1892" s="40" t="n"/>
      <c r="K1892" s="40" t="n"/>
      <c r="L1892" s="30">
        <f>IF(COUNT(I1892:K1892)=0,"",MEDIAN(I1892:K1892))</f>
        <v/>
      </c>
      <c r="M1892" s="25">
        <f>IF(COUNTIFS($C:$C,$C1892,$D:$D,"P0(전)",$L:$L,"&gt;0")&lt;&gt;1,"P0(전) 유효 1개 아님",IF(COUNTIFS($C:$C,$C1892,$D:$D,"P0(후)",$L:$L,"&gt;0")&lt;&gt;1,"P0(후) 유효 1개 아님",IF(NOT(AND(ISNUMBER(N1892),ISNUMBER(P1892),ISNUMBER(H1892))),"시각 결측",IF(P1892&lt;=N1892,"P0 시각 역전",IF(OR(H1892&lt;N1892,H1892&gt;P1892),"측정시각 구간 밖","OK")))))</f>
        <v/>
      </c>
      <c r="N1892" s="45">
        <f>IF(COUNTIFS($C:$C,$C1892,$D:$D,"P0(전)",$L:$L,"&gt;0")&lt;&gt;1,"",SUMIFS($H:$H,$C:$C,$C1892,$D:$D,"P0(전)"))</f>
        <v/>
      </c>
      <c r="O1892" s="30">
        <f>IF(COUNTIFS($C:$C,$C1892,$D:$D,"P0(전)",$L:$L,"&gt;0")&lt;&gt;1,"",SUMIFS($L:$L,$C:$C,$C1892,$D:$D,"P0(전)"))</f>
        <v/>
      </c>
      <c r="P1892" s="45">
        <f>IF(COUNTIFS($C:$C,$C1892,$D:$D,"P0(후)",$L:$L,"&gt;0")&lt;&gt;1,"",SUMIFS($H:$H,$C:$C,$C1892,$D:$D,"P0(후)"))</f>
        <v/>
      </c>
      <c r="Q1892" s="30">
        <f>IF(COUNTIFS($C:$C,$C1892,$D:$D,"P0(후)",$L:$L,"&gt;0")&lt;&gt;1,"",SUMIFS($L:$L,$C:$C,$C1892,$D:$D,"P0(후)"))</f>
        <v/>
      </c>
      <c r="R1892" s="30">
        <f>IF(M1892&lt;&gt;"OK","",O1892+(Q1892-O1892)*(H1892-N1892)/(P1892-N1892))</f>
        <v/>
      </c>
      <c r="S1892" s="30">
        <f>IF(OR(M1892&lt;&gt;"OK",NOT(ISNUMBER(L1892))),"",L1892-R1892)</f>
        <v/>
      </c>
      <c r="T1892" s="46">
        <f>IF(OR(NOT(ISNUMBER(S1892)),IF(ISNUMBER(G1892),G1892,F1892)=0),"",S1892/IF(ISNUMBER(G1892),G1892,F1892))</f>
        <v/>
      </c>
      <c r="U1892" s="46">
        <f>IF(ISNUMBER(T1892),ABS(T1892),"")</f>
        <v/>
      </c>
      <c r="V1892" s="46">
        <f>IF(OR($D1891&lt;&gt;"측정",$C1891&lt;&gt;$C1892,NOT(ISNUMBER(L1892)),NOT(ISNUMBER(L1891)),(IF(ISNUMBER(G1892),G1892,F1892)-IF(ISNUMBER(G1891),G1891,F1891))=0),"",(L1892-L1891)/(IF(ISNUMBER(G1892),G1892,F1892)-IF(ISNUMBER(G1891),G1891,F1891)))</f>
        <v/>
      </c>
      <c r="W1892" s="30">
        <f>IF(NOT(AND(ISNUMBER(N1892),ISNUMBER(P1892))),"",(P1892-N1892)*1440)</f>
        <v/>
      </c>
      <c r="X1892" s="28" t="n"/>
      <c r="Y1892" s="28" t="n"/>
      <c r="Z1892" s="28" t="n"/>
      <c r="AA1892" s="31" t="n"/>
      <c r="AB1892" s="31" t="n"/>
    </row>
    <row r="1893">
      <c r="A1893" s="25" t="inlineStr">
        <is>
          <t>S37</t>
        </is>
      </c>
      <c r="B1893" s="25" t="inlineStr">
        <is>
          <t>부안</t>
        </is>
      </c>
      <c r="C1893" s="25" t="inlineStr">
        <is>
          <t>S37-H서</t>
        </is>
      </c>
      <c r="D1893" s="25" t="inlineStr">
        <is>
          <t>측정</t>
        </is>
      </c>
      <c r="E1893" s="25" t="inlineStr">
        <is>
          <t>서</t>
        </is>
      </c>
      <c r="F1893" s="30" t="n">
        <v>2</v>
      </c>
      <c r="G1893" s="29" t="n"/>
      <c r="H1893" s="42" t="n"/>
      <c r="I1893" s="40" t="n"/>
      <c r="J1893" s="40" t="n"/>
      <c r="K1893" s="40" t="n"/>
      <c r="L1893" s="30">
        <f>IF(COUNT(I1893:K1893)=0,"",MEDIAN(I1893:K1893))</f>
        <v/>
      </c>
      <c r="M1893" s="25">
        <f>IF(COUNTIFS($C:$C,$C1893,$D:$D,"P0(전)",$L:$L,"&gt;0")&lt;&gt;1,"P0(전) 유효 1개 아님",IF(COUNTIFS($C:$C,$C1893,$D:$D,"P0(후)",$L:$L,"&gt;0")&lt;&gt;1,"P0(후) 유효 1개 아님",IF(NOT(AND(ISNUMBER(N1893),ISNUMBER(P1893),ISNUMBER(H1893))),"시각 결측",IF(P1893&lt;=N1893,"P0 시각 역전",IF(OR(H1893&lt;N1893,H1893&gt;P1893),"측정시각 구간 밖","OK")))))</f>
        <v/>
      </c>
      <c r="N1893" s="45">
        <f>IF(COUNTIFS($C:$C,$C1893,$D:$D,"P0(전)",$L:$L,"&gt;0")&lt;&gt;1,"",SUMIFS($H:$H,$C:$C,$C1893,$D:$D,"P0(전)"))</f>
        <v/>
      </c>
      <c r="O1893" s="30">
        <f>IF(COUNTIFS($C:$C,$C1893,$D:$D,"P0(전)",$L:$L,"&gt;0")&lt;&gt;1,"",SUMIFS($L:$L,$C:$C,$C1893,$D:$D,"P0(전)"))</f>
        <v/>
      </c>
      <c r="P1893" s="45">
        <f>IF(COUNTIFS($C:$C,$C1893,$D:$D,"P0(후)",$L:$L,"&gt;0")&lt;&gt;1,"",SUMIFS($H:$H,$C:$C,$C1893,$D:$D,"P0(후)"))</f>
        <v/>
      </c>
      <c r="Q1893" s="30">
        <f>IF(COUNTIFS($C:$C,$C1893,$D:$D,"P0(후)",$L:$L,"&gt;0")&lt;&gt;1,"",SUMIFS($L:$L,$C:$C,$C1893,$D:$D,"P0(후)"))</f>
        <v/>
      </c>
      <c r="R1893" s="30">
        <f>IF(M1893&lt;&gt;"OK","",O1893+(Q1893-O1893)*(H1893-N1893)/(P1893-N1893))</f>
        <v/>
      </c>
      <c r="S1893" s="30">
        <f>IF(OR(M1893&lt;&gt;"OK",NOT(ISNUMBER(L1893))),"",L1893-R1893)</f>
        <v/>
      </c>
      <c r="T1893" s="46">
        <f>IF(OR(NOT(ISNUMBER(S1893)),IF(ISNUMBER(G1893),G1893,F1893)=0),"",S1893/IF(ISNUMBER(G1893),G1893,F1893))</f>
        <v/>
      </c>
      <c r="U1893" s="46">
        <f>IF(ISNUMBER(T1893),ABS(T1893),"")</f>
        <v/>
      </c>
      <c r="V1893" s="46">
        <f>IF(OR($D1892&lt;&gt;"측정",$C1892&lt;&gt;$C1893,NOT(ISNUMBER(L1893)),NOT(ISNUMBER(L1892)),(IF(ISNUMBER(G1893),G1893,F1893)-IF(ISNUMBER(G1892),G1892,F1892))=0),"",(L1893-L1892)/(IF(ISNUMBER(G1893),G1893,F1893)-IF(ISNUMBER(G1892),G1892,F1892)))</f>
        <v/>
      </c>
      <c r="W1893" s="30">
        <f>IF(NOT(AND(ISNUMBER(N1893),ISNUMBER(P1893))),"",(P1893-N1893)*1440)</f>
        <v/>
      </c>
      <c r="X1893" s="28" t="n"/>
      <c r="Y1893" s="28" t="n"/>
      <c r="Z1893" s="28" t="n"/>
      <c r="AA1893" s="31" t="n"/>
      <c r="AB1893" s="31" t="n"/>
    </row>
    <row r="1894">
      <c r="A1894" s="25" t="inlineStr">
        <is>
          <t>S37</t>
        </is>
      </c>
      <c r="B1894" s="25" t="inlineStr">
        <is>
          <t>부안</t>
        </is>
      </c>
      <c r="C1894" s="25" t="inlineStr">
        <is>
          <t>S37-H서</t>
        </is>
      </c>
      <c r="D1894" s="25" t="inlineStr">
        <is>
          <t>측정</t>
        </is>
      </c>
      <c r="E1894" s="25" t="inlineStr">
        <is>
          <t>서</t>
        </is>
      </c>
      <c r="F1894" s="30" t="n">
        <v>3</v>
      </c>
      <c r="G1894" s="29" t="n"/>
      <c r="H1894" s="42" t="n"/>
      <c r="I1894" s="40" t="n"/>
      <c r="J1894" s="40" t="n"/>
      <c r="K1894" s="40" t="n"/>
      <c r="L1894" s="30">
        <f>IF(COUNT(I1894:K1894)=0,"",MEDIAN(I1894:K1894))</f>
        <v/>
      </c>
      <c r="M1894" s="25">
        <f>IF(COUNTIFS($C:$C,$C1894,$D:$D,"P0(전)",$L:$L,"&gt;0")&lt;&gt;1,"P0(전) 유효 1개 아님",IF(COUNTIFS($C:$C,$C1894,$D:$D,"P0(후)",$L:$L,"&gt;0")&lt;&gt;1,"P0(후) 유효 1개 아님",IF(NOT(AND(ISNUMBER(N1894),ISNUMBER(P1894),ISNUMBER(H1894))),"시각 결측",IF(P1894&lt;=N1894,"P0 시각 역전",IF(OR(H1894&lt;N1894,H1894&gt;P1894),"측정시각 구간 밖","OK")))))</f>
        <v/>
      </c>
      <c r="N1894" s="45">
        <f>IF(COUNTIFS($C:$C,$C1894,$D:$D,"P0(전)",$L:$L,"&gt;0")&lt;&gt;1,"",SUMIFS($H:$H,$C:$C,$C1894,$D:$D,"P0(전)"))</f>
        <v/>
      </c>
      <c r="O1894" s="30">
        <f>IF(COUNTIFS($C:$C,$C1894,$D:$D,"P0(전)",$L:$L,"&gt;0")&lt;&gt;1,"",SUMIFS($L:$L,$C:$C,$C1894,$D:$D,"P0(전)"))</f>
        <v/>
      </c>
      <c r="P1894" s="45">
        <f>IF(COUNTIFS($C:$C,$C1894,$D:$D,"P0(후)",$L:$L,"&gt;0")&lt;&gt;1,"",SUMIFS($H:$H,$C:$C,$C1894,$D:$D,"P0(후)"))</f>
        <v/>
      </c>
      <c r="Q1894" s="30">
        <f>IF(COUNTIFS($C:$C,$C1894,$D:$D,"P0(후)",$L:$L,"&gt;0")&lt;&gt;1,"",SUMIFS($L:$L,$C:$C,$C1894,$D:$D,"P0(후)"))</f>
        <v/>
      </c>
      <c r="R1894" s="30">
        <f>IF(M1894&lt;&gt;"OK","",O1894+(Q1894-O1894)*(H1894-N1894)/(P1894-N1894))</f>
        <v/>
      </c>
      <c r="S1894" s="30">
        <f>IF(OR(M1894&lt;&gt;"OK",NOT(ISNUMBER(L1894))),"",L1894-R1894)</f>
        <v/>
      </c>
      <c r="T1894" s="46">
        <f>IF(OR(NOT(ISNUMBER(S1894)),IF(ISNUMBER(G1894),G1894,F1894)=0),"",S1894/IF(ISNUMBER(G1894),G1894,F1894))</f>
        <v/>
      </c>
      <c r="U1894" s="46">
        <f>IF(ISNUMBER(T1894),ABS(T1894),"")</f>
        <v/>
      </c>
      <c r="V1894" s="46">
        <f>IF(OR($D1893&lt;&gt;"측정",$C1893&lt;&gt;$C1894,NOT(ISNUMBER(L1894)),NOT(ISNUMBER(L1893)),(IF(ISNUMBER(G1894),G1894,F1894)-IF(ISNUMBER(G1893),G1893,F1893))=0),"",(L1894-L1893)/(IF(ISNUMBER(G1894),G1894,F1894)-IF(ISNUMBER(G1893),G1893,F1893)))</f>
        <v/>
      </c>
      <c r="W1894" s="30">
        <f>IF(NOT(AND(ISNUMBER(N1894),ISNUMBER(P1894))),"",(P1894-N1894)*1440)</f>
        <v/>
      </c>
      <c r="X1894" s="28" t="n"/>
      <c r="Y1894" s="28" t="n"/>
      <c r="Z1894" s="28" t="n"/>
      <c r="AA1894" s="31" t="n"/>
      <c r="AB1894" s="31" t="n"/>
    </row>
    <row r="1895">
      <c r="A1895" s="25" t="inlineStr">
        <is>
          <t>S37</t>
        </is>
      </c>
      <c r="B1895" s="25" t="inlineStr">
        <is>
          <t>부안</t>
        </is>
      </c>
      <c r="C1895" s="25" t="inlineStr">
        <is>
          <t>S37-H서</t>
        </is>
      </c>
      <c r="D1895" s="25" t="inlineStr">
        <is>
          <t>측정</t>
        </is>
      </c>
      <c r="E1895" s="25" t="inlineStr">
        <is>
          <t>서</t>
        </is>
      </c>
      <c r="F1895" s="30" t="n">
        <v>4</v>
      </c>
      <c r="G1895" s="29" t="n"/>
      <c r="H1895" s="42" t="n"/>
      <c r="I1895" s="40" t="n"/>
      <c r="J1895" s="40" t="n"/>
      <c r="K1895" s="40" t="n"/>
      <c r="L1895" s="30">
        <f>IF(COUNT(I1895:K1895)=0,"",MEDIAN(I1895:K1895))</f>
        <v/>
      </c>
      <c r="M1895" s="25">
        <f>IF(COUNTIFS($C:$C,$C1895,$D:$D,"P0(전)",$L:$L,"&gt;0")&lt;&gt;1,"P0(전) 유효 1개 아님",IF(COUNTIFS($C:$C,$C1895,$D:$D,"P0(후)",$L:$L,"&gt;0")&lt;&gt;1,"P0(후) 유효 1개 아님",IF(NOT(AND(ISNUMBER(N1895),ISNUMBER(P1895),ISNUMBER(H1895))),"시각 결측",IF(P1895&lt;=N1895,"P0 시각 역전",IF(OR(H1895&lt;N1895,H1895&gt;P1895),"측정시각 구간 밖","OK")))))</f>
        <v/>
      </c>
      <c r="N1895" s="45">
        <f>IF(COUNTIFS($C:$C,$C1895,$D:$D,"P0(전)",$L:$L,"&gt;0")&lt;&gt;1,"",SUMIFS($H:$H,$C:$C,$C1895,$D:$D,"P0(전)"))</f>
        <v/>
      </c>
      <c r="O1895" s="30">
        <f>IF(COUNTIFS($C:$C,$C1895,$D:$D,"P0(전)",$L:$L,"&gt;0")&lt;&gt;1,"",SUMIFS($L:$L,$C:$C,$C1895,$D:$D,"P0(전)"))</f>
        <v/>
      </c>
      <c r="P1895" s="45">
        <f>IF(COUNTIFS($C:$C,$C1895,$D:$D,"P0(후)",$L:$L,"&gt;0")&lt;&gt;1,"",SUMIFS($H:$H,$C:$C,$C1895,$D:$D,"P0(후)"))</f>
        <v/>
      </c>
      <c r="Q1895" s="30">
        <f>IF(COUNTIFS($C:$C,$C1895,$D:$D,"P0(후)",$L:$L,"&gt;0")&lt;&gt;1,"",SUMIFS($L:$L,$C:$C,$C1895,$D:$D,"P0(후)"))</f>
        <v/>
      </c>
      <c r="R1895" s="30">
        <f>IF(M1895&lt;&gt;"OK","",O1895+(Q1895-O1895)*(H1895-N1895)/(P1895-N1895))</f>
        <v/>
      </c>
      <c r="S1895" s="30">
        <f>IF(OR(M1895&lt;&gt;"OK",NOT(ISNUMBER(L1895))),"",L1895-R1895)</f>
        <v/>
      </c>
      <c r="T1895" s="46">
        <f>IF(OR(NOT(ISNUMBER(S1895)),IF(ISNUMBER(G1895),G1895,F1895)=0),"",S1895/IF(ISNUMBER(G1895),G1895,F1895))</f>
        <v/>
      </c>
      <c r="U1895" s="46">
        <f>IF(ISNUMBER(T1895),ABS(T1895),"")</f>
        <v/>
      </c>
      <c r="V1895" s="46">
        <f>IF(OR($D1894&lt;&gt;"측정",$C1894&lt;&gt;$C1895,NOT(ISNUMBER(L1895)),NOT(ISNUMBER(L1894)),(IF(ISNUMBER(G1895),G1895,F1895)-IF(ISNUMBER(G1894),G1894,F1894))=0),"",(L1895-L1894)/(IF(ISNUMBER(G1895),G1895,F1895)-IF(ISNUMBER(G1894),G1894,F1894)))</f>
        <v/>
      </c>
      <c r="W1895" s="30">
        <f>IF(NOT(AND(ISNUMBER(N1895),ISNUMBER(P1895))),"",(P1895-N1895)*1440)</f>
        <v/>
      </c>
      <c r="X1895" s="28" t="n"/>
      <c r="Y1895" s="28" t="n"/>
      <c r="Z1895" s="28" t="n"/>
      <c r="AA1895" s="31" t="n"/>
      <c r="AB1895" s="31" t="n"/>
    </row>
    <row r="1896">
      <c r="A1896" s="25" t="inlineStr">
        <is>
          <t>S37</t>
        </is>
      </c>
      <c r="B1896" s="25" t="inlineStr">
        <is>
          <t>부안</t>
        </is>
      </c>
      <c r="C1896" s="25" t="inlineStr">
        <is>
          <t>S37-H서</t>
        </is>
      </c>
      <c r="D1896" s="25" t="inlineStr">
        <is>
          <t>측정</t>
        </is>
      </c>
      <c r="E1896" s="25" t="inlineStr">
        <is>
          <t>서</t>
        </is>
      </c>
      <c r="F1896" s="30" t="n">
        <v>5</v>
      </c>
      <c r="G1896" s="29" t="n"/>
      <c r="H1896" s="42" t="n"/>
      <c r="I1896" s="40" t="n"/>
      <c r="J1896" s="40" t="n"/>
      <c r="K1896" s="40" t="n"/>
      <c r="L1896" s="30">
        <f>IF(COUNT(I1896:K1896)=0,"",MEDIAN(I1896:K1896))</f>
        <v/>
      </c>
      <c r="M1896" s="25">
        <f>IF(COUNTIFS($C:$C,$C1896,$D:$D,"P0(전)",$L:$L,"&gt;0")&lt;&gt;1,"P0(전) 유효 1개 아님",IF(COUNTIFS($C:$C,$C1896,$D:$D,"P0(후)",$L:$L,"&gt;0")&lt;&gt;1,"P0(후) 유효 1개 아님",IF(NOT(AND(ISNUMBER(N1896),ISNUMBER(P1896),ISNUMBER(H1896))),"시각 결측",IF(P1896&lt;=N1896,"P0 시각 역전",IF(OR(H1896&lt;N1896,H1896&gt;P1896),"측정시각 구간 밖","OK")))))</f>
        <v/>
      </c>
      <c r="N1896" s="45">
        <f>IF(COUNTIFS($C:$C,$C1896,$D:$D,"P0(전)",$L:$L,"&gt;0")&lt;&gt;1,"",SUMIFS($H:$H,$C:$C,$C1896,$D:$D,"P0(전)"))</f>
        <v/>
      </c>
      <c r="O1896" s="30">
        <f>IF(COUNTIFS($C:$C,$C1896,$D:$D,"P0(전)",$L:$L,"&gt;0")&lt;&gt;1,"",SUMIFS($L:$L,$C:$C,$C1896,$D:$D,"P0(전)"))</f>
        <v/>
      </c>
      <c r="P1896" s="45">
        <f>IF(COUNTIFS($C:$C,$C1896,$D:$D,"P0(후)",$L:$L,"&gt;0")&lt;&gt;1,"",SUMIFS($H:$H,$C:$C,$C1896,$D:$D,"P0(후)"))</f>
        <v/>
      </c>
      <c r="Q1896" s="30">
        <f>IF(COUNTIFS($C:$C,$C1896,$D:$D,"P0(후)",$L:$L,"&gt;0")&lt;&gt;1,"",SUMIFS($L:$L,$C:$C,$C1896,$D:$D,"P0(후)"))</f>
        <v/>
      </c>
      <c r="R1896" s="30">
        <f>IF(M1896&lt;&gt;"OK","",O1896+(Q1896-O1896)*(H1896-N1896)/(P1896-N1896))</f>
        <v/>
      </c>
      <c r="S1896" s="30">
        <f>IF(OR(M1896&lt;&gt;"OK",NOT(ISNUMBER(L1896))),"",L1896-R1896)</f>
        <v/>
      </c>
      <c r="T1896" s="46">
        <f>IF(OR(NOT(ISNUMBER(S1896)),IF(ISNUMBER(G1896),G1896,F1896)=0),"",S1896/IF(ISNUMBER(G1896),G1896,F1896))</f>
        <v/>
      </c>
      <c r="U1896" s="46">
        <f>IF(ISNUMBER(T1896),ABS(T1896),"")</f>
        <v/>
      </c>
      <c r="V1896" s="46">
        <f>IF(OR($D1895&lt;&gt;"측정",$C1895&lt;&gt;$C1896,NOT(ISNUMBER(L1896)),NOT(ISNUMBER(L1895)),(IF(ISNUMBER(G1896),G1896,F1896)-IF(ISNUMBER(G1895),G1895,F1895))=0),"",(L1896-L1895)/(IF(ISNUMBER(G1896),G1896,F1896)-IF(ISNUMBER(G1895),G1895,F1895)))</f>
        <v/>
      </c>
      <c r="W1896" s="30">
        <f>IF(NOT(AND(ISNUMBER(N1896),ISNUMBER(P1896))),"",(P1896-N1896)*1440)</f>
        <v/>
      </c>
      <c r="X1896" s="28" t="n"/>
      <c r="Y1896" s="28" t="n"/>
      <c r="Z1896" s="28" t="n"/>
      <c r="AA1896" s="31" t="n"/>
      <c r="AB1896" s="31" t="n"/>
    </row>
    <row r="1897">
      <c r="A1897" s="25" t="inlineStr">
        <is>
          <t>S37</t>
        </is>
      </c>
      <c r="B1897" s="25" t="inlineStr">
        <is>
          <t>부안</t>
        </is>
      </c>
      <c r="C1897" s="25" t="inlineStr">
        <is>
          <t>S37-H서</t>
        </is>
      </c>
      <c r="D1897" s="25" t="inlineStr">
        <is>
          <t>측정</t>
        </is>
      </c>
      <c r="E1897" s="25" t="inlineStr">
        <is>
          <t>서</t>
        </is>
      </c>
      <c r="F1897" s="30" t="n">
        <v>6</v>
      </c>
      <c r="G1897" s="29" t="n"/>
      <c r="H1897" s="42" t="n"/>
      <c r="I1897" s="40" t="n"/>
      <c r="J1897" s="40" t="n"/>
      <c r="K1897" s="40" t="n"/>
      <c r="L1897" s="30">
        <f>IF(COUNT(I1897:K1897)=0,"",MEDIAN(I1897:K1897))</f>
        <v/>
      </c>
      <c r="M1897" s="25">
        <f>IF(COUNTIFS($C:$C,$C1897,$D:$D,"P0(전)",$L:$L,"&gt;0")&lt;&gt;1,"P0(전) 유효 1개 아님",IF(COUNTIFS($C:$C,$C1897,$D:$D,"P0(후)",$L:$L,"&gt;0")&lt;&gt;1,"P0(후) 유효 1개 아님",IF(NOT(AND(ISNUMBER(N1897),ISNUMBER(P1897),ISNUMBER(H1897))),"시각 결측",IF(P1897&lt;=N1897,"P0 시각 역전",IF(OR(H1897&lt;N1897,H1897&gt;P1897),"측정시각 구간 밖","OK")))))</f>
        <v/>
      </c>
      <c r="N1897" s="45">
        <f>IF(COUNTIFS($C:$C,$C1897,$D:$D,"P0(전)",$L:$L,"&gt;0")&lt;&gt;1,"",SUMIFS($H:$H,$C:$C,$C1897,$D:$D,"P0(전)"))</f>
        <v/>
      </c>
      <c r="O1897" s="30">
        <f>IF(COUNTIFS($C:$C,$C1897,$D:$D,"P0(전)",$L:$L,"&gt;0")&lt;&gt;1,"",SUMIFS($L:$L,$C:$C,$C1897,$D:$D,"P0(전)"))</f>
        <v/>
      </c>
      <c r="P1897" s="45">
        <f>IF(COUNTIFS($C:$C,$C1897,$D:$D,"P0(후)",$L:$L,"&gt;0")&lt;&gt;1,"",SUMIFS($H:$H,$C:$C,$C1897,$D:$D,"P0(후)"))</f>
        <v/>
      </c>
      <c r="Q1897" s="30">
        <f>IF(COUNTIFS($C:$C,$C1897,$D:$D,"P0(후)",$L:$L,"&gt;0")&lt;&gt;1,"",SUMIFS($L:$L,$C:$C,$C1897,$D:$D,"P0(후)"))</f>
        <v/>
      </c>
      <c r="R1897" s="30">
        <f>IF(M1897&lt;&gt;"OK","",O1897+(Q1897-O1897)*(H1897-N1897)/(P1897-N1897))</f>
        <v/>
      </c>
      <c r="S1897" s="30">
        <f>IF(OR(M1897&lt;&gt;"OK",NOT(ISNUMBER(L1897))),"",L1897-R1897)</f>
        <v/>
      </c>
      <c r="T1897" s="46">
        <f>IF(OR(NOT(ISNUMBER(S1897)),IF(ISNUMBER(G1897),G1897,F1897)=0),"",S1897/IF(ISNUMBER(G1897),G1897,F1897))</f>
        <v/>
      </c>
      <c r="U1897" s="46">
        <f>IF(ISNUMBER(T1897),ABS(T1897),"")</f>
        <v/>
      </c>
      <c r="V1897" s="46">
        <f>IF(OR($D1896&lt;&gt;"측정",$C1896&lt;&gt;$C1897,NOT(ISNUMBER(L1897)),NOT(ISNUMBER(L1896)),(IF(ISNUMBER(G1897),G1897,F1897)-IF(ISNUMBER(G1896),G1896,F1896))=0),"",(L1897-L1896)/(IF(ISNUMBER(G1897),G1897,F1897)-IF(ISNUMBER(G1896),G1896,F1896)))</f>
        <v/>
      </c>
      <c r="W1897" s="30">
        <f>IF(NOT(AND(ISNUMBER(N1897),ISNUMBER(P1897))),"",(P1897-N1897)*1440)</f>
        <v/>
      </c>
      <c r="X1897" s="28" t="n"/>
      <c r="Y1897" s="28" t="n"/>
      <c r="Z1897" s="28" t="n"/>
      <c r="AA1897" s="31" t="n"/>
      <c r="AB1897" s="31" t="n"/>
    </row>
    <row r="1898">
      <c r="A1898" s="25" t="inlineStr">
        <is>
          <t>S37</t>
        </is>
      </c>
      <c r="B1898" s="25" t="inlineStr">
        <is>
          <t>부안</t>
        </is>
      </c>
      <c r="C1898" s="25" t="inlineStr">
        <is>
          <t>S37-H서</t>
        </is>
      </c>
      <c r="D1898" s="25" t="inlineStr">
        <is>
          <t>측정</t>
        </is>
      </c>
      <c r="E1898" s="25" t="inlineStr">
        <is>
          <t>서</t>
        </is>
      </c>
      <c r="F1898" s="30" t="n">
        <v>7</v>
      </c>
      <c r="G1898" s="29" t="n"/>
      <c r="H1898" s="42" t="n"/>
      <c r="I1898" s="40" t="n"/>
      <c r="J1898" s="40" t="n"/>
      <c r="K1898" s="40" t="n"/>
      <c r="L1898" s="30">
        <f>IF(COUNT(I1898:K1898)=0,"",MEDIAN(I1898:K1898))</f>
        <v/>
      </c>
      <c r="M1898" s="25">
        <f>IF(COUNTIFS($C:$C,$C1898,$D:$D,"P0(전)",$L:$L,"&gt;0")&lt;&gt;1,"P0(전) 유효 1개 아님",IF(COUNTIFS($C:$C,$C1898,$D:$D,"P0(후)",$L:$L,"&gt;0")&lt;&gt;1,"P0(후) 유효 1개 아님",IF(NOT(AND(ISNUMBER(N1898),ISNUMBER(P1898),ISNUMBER(H1898))),"시각 결측",IF(P1898&lt;=N1898,"P0 시각 역전",IF(OR(H1898&lt;N1898,H1898&gt;P1898),"측정시각 구간 밖","OK")))))</f>
        <v/>
      </c>
      <c r="N1898" s="45">
        <f>IF(COUNTIFS($C:$C,$C1898,$D:$D,"P0(전)",$L:$L,"&gt;0")&lt;&gt;1,"",SUMIFS($H:$H,$C:$C,$C1898,$D:$D,"P0(전)"))</f>
        <v/>
      </c>
      <c r="O1898" s="30">
        <f>IF(COUNTIFS($C:$C,$C1898,$D:$D,"P0(전)",$L:$L,"&gt;0")&lt;&gt;1,"",SUMIFS($L:$L,$C:$C,$C1898,$D:$D,"P0(전)"))</f>
        <v/>
      </c>
      <c r="P1898" s="45">
        <f>IF(COUNTIFS($C:$C,$C1898,$D:$D,"P0(후)",$L:$L,"&gt;0")&lt;&gt;1,"",SUMIFS($H:$H,$C:$C,$C1898,$D:$D,"P0(후)"))</f>
        <v/>
      </c>
      <c r="Q1898" s="30">
        <f>IF(COUNTIFS($C:$C,$C1898,$D:$D,"P0(후)",$L:$L,"&gt;0")&lt;&gt;1,"",SUMIFS($L:$L,$C:$C,$C1898,$D:$D,"P0(후)"))</f>
        <v/>
      </c>
      <c r="R1898" s="30">
        <f>IF(M1898&lt;&gt;"OK","",O1898+(Q1898-O1898)*(H1898-N1898)/(P1898-N1898))</f>
        <v/>
      </c>
      <c r="S1898" s="30">
        <f>IF(OR(M1898&lt;&gt;"OK",NOT(ISNUMBER(L1898))),"",L1898-R1898)</f>
        <v/>
      </c>
      <c r="T1898" s="46">
        <f>IF(OR(NOT(ISNUMBER(S1898)),IF(ISNUMBER(G1898),G1898,F1898)=0),"",S1898/IF(ISNUMBER(G1898),G1898,F1898))</f>
        <v/>
      </c>
      <c r="U1898" s="46">
        <f>IF(ISNUMBER(T1898),ABS(T1898),"")</f>
        <v/>
      </c>
      <c r="V1898" s="46">
        <f>IF(OR($D1897&lt;&gt;"측정",$C1897&lt;&gt;$C1898,NOT(ISNUMBER(L1898)),NOT(ISNUMBER(L1897)),(IF(ISNUMBER(G1898),G1898,F1898)-IF(ISNUMBER(G1897),G1897,F1897))=0),"",(L1898-L1897)/(IF(ISNUMBER(G1898),G1898,F1898)-IF(ISNUMBER(G1897),G1897,F1897)))</f>
        <v/>
      </c>
      <c r="W1898" s="30">
        <f>IF(NOT(AND(ISNUMBER(N1898),ISNUMBER(P1898))),"",(P1898-N1898)*1440)</f>
        <v/>
      </c>
      <c r="X1898" s="28" t="n"/>
      <c r="Y1898" s="28" t="n"/>
      <c r="Z1898" s="28" t="n"/>
      <c r="AA1898" s="31" t="n"/>
      <c r="AB1898" s="31" t="n"/>
    </row>
    <row r="1899">
      <c r="A1899" s="25" t="inlineStr">
        <is>
          <t>S37</t>
        </is>
      </c>
      <c r="B1899" s="25" t="inlineStr">
        <is>
          <t>부안</t>
        </is>
      </c>
      <c r="C1899" s="25" t="inlineStr">
        <is>
          <t>S37-H서</t>
        </is>
      </c>
      <c r="D1899" s="25" t="inlineStr">
        <is>
          <t>측정</t>
        </is>
      </c>
      <c r="E1899" s="25" t="inlineStr">
        <is>
          <t>서</t>
        </is>
      </c>
      <c r="F1899" s="30" t="n">
        <v>8</v>
      </c>
      <c r="G1899" s="29" t="n"/>
      <c r="H1899" s="42" t="n"/>
      <c r="I1899" s="40" t="n"/>
      <c r="J1899" s="40" t="n"/>
      <c r="K1899" s="40" t="n"/>
      <c r="L1899" s="30">
        <f>IF(COUNT(I1899:K1899)=0,"",MEDIAN(I1899:K1899))</f>
        <v/>
      </c>
      <c r="M1899" s="25">
        <f>IF(COUNTIFS($C:$C,$C1899,$D:$D,"P0(전)",$L:$L,"&gt;0")&lt;&gt;1,"P0(전) 유효 1개 아님",IF(COUNTIFS($C:$C,$C1899,$D:$D,"P0(후)",$L:$L,"&gt;0")&lt;&gt;1,"P0(후) 유효 1개 아님",IF(NOT(AND(ISNUMBER(N1899),ISNUMBER(P1899),ISNUMBER(H1899))),"시각 결측",IF(P1899&lt;=N1899,"P0 시각 역전",IF(OR(H1899&lt;N1899,H1899&gt;P1899),"측정시각 구간 밖","OK")))))</f>
        <v/>
      </c>
      <c r="N1899" s="45">
        <f>IF(COUNTIFS($C:$C,$C1899,$D:$D,"P0(전)",$L:$L,"&gt;0")&lt;&gt;1,"",SUMIFS($H:$H,$C:$C,$C1899,$D:$D,"P0(전)"))</f>
        <v/>
      </c>
      <c r="O1899" s="30">
        <f>IF(COUNTIFS($C:$C,$C1899,$D:$D,"P0(전)",$L:$L,"&gt;0")&lt;&gt;1,"",SUMIFS($L:$L,$C:$C,$C1899,$D:$D,"P0(전)"))</f>
        <v/>
      </c>
      <c r="P1899" s="45">
        <f>IF(COUNTIFS($C:$C,$C1899,$D:$D,"P0(후)",$L:$L,"&gt;0")&lt;&gt;1,"",SUMIFS($H:$H,$C:$C,$C1899,$D:$D,"P0(후)"))</f>
        <v/>
      </c>
      <c r="Q1899" s="30">
        <f>IF(COUNTIFS($C:$C,$C1899,$D:$D,"P0(후)",$L:$L,"&gt;0")&lt;&gt;1,"",SUMIFS($L:$L,$C:$C,$C1899,$D:$D,"P0(후)"))</f>
        <v/>
      </c>
      <c r="R1899" s="30">
        <f>IF(M1899&lt;&gt;"OK","",O1899+(Q1899-O1899)*(H1899-N1899)/(P1899-N1899))</f>
        <v/>
      </c>
      <c r="S1899" s="30">
        <f>IF(OR(M1899&lt;&gt;"OK",NOT(ISNUMBER(L1899))),"",L1899-R1899)</f>
        <v/>
      </c>
      <c r="T1899" s="46">
        <f>IF(OR(NOT(ISNUMBER(S1899)),IF(ISNUMBER(G1899),G1899,F1899)=0),"",S1899/IF(ISNUMBER(G1899),G1899,F1899))</f>
        <v/>
      </c>
      <c r="U1899" s="46">
        <f>IF(ISNUMBER(T1899),ABS(T1899),"")</f>
        <v/>
      </c>
      <c r="V1899" s="46">
        <f>IF(OR($D1898&lt;&gt;"측정",$C1898&lt;&gt;$C1899,NOT(ISNUMBER(L1899)),NOT(ISNUMBER(L1898)),(IF(ISNUMBER(G1899),G1899,F1899)-IF(ISNUMBER(G1898),G1898,F1898))=0),"",(L1899-L1898)/(IF(ISNUMBER(G1899),G1899,F1899)-IF(ISNUMBER(G1898),G1898,F1898)))</f>
        <v/>
      </c>
      <c r="W1899" s="30">
        <f>IF(NOT(AND(ISNUMBER(N1899),ISNUMBER(P1899))),"",(P1899-N1899)*1440)</f>
        <v/>
      </c>
      <c r="X1899" s="28" t="n"/>
      <c r="Y1899" s="28" t="n"/>
      <c r="Z1899" s="28" t="n"/>
      <c r="AA1899" s="31" t="n"/>
      <c r="AB1899" s="31" t="n"/>
    </row>
    <row r="1900">
      <c r="A1900" s="25" t="inlineStr">
        <is>
          <t>S37</t>
        </is>
      </c>
      <c r="B1900" s="25" t="inlineStr">
        <is>
          <t>부안</t>
        </is>
      </c>
      <c r="C1900" s="25" t="inlineStr">
        <is>
          <t>S37-H서</t>
        </is>
      </c>
      <c r="D1900" s="25" t="inlineStr">
        <is>
          <t>측정</t>
        </is>
      </c>
      <c r="E1900" s="25" t="inlineStr">
        <is>
          <t>서</t>
        </is>
      </c>
      <c r="F1900" s="30" t="n">
        <v>9</v>
      </c>
      <c r="G1900" s="29" t="n"/>
      <c r="H1900" s="42" t="n"/>
      <c r="I1900" s="40" t="n"/>
      <c r="J1900" s="40" t="n"/>
      <c r="K1900" s="40" t="n"/>
      <c r="L1900" s="30">
        <f>IF(COUNT(I1900:K1900)=0,"",MEDIAN(I1900:K1900))</f>
        <v/>
      </c>
      <c r="M1900" s="25">
        <f>IF(COUNTIFS($C:$C,$C1900,$D:$D,"P0(전)",$L:$L,"&gt;0")&lt;&gt;1,"P0(전) 유효 1개 아님",IF(COUNTIFS($C:$C,$C1900,$D:$D,"P0(후)",$L:$L,"&gt;0")&lt;&gt;1,"P0(후) 유효 1개 아님",IF(NOT(AND(ISNUMBER(N1900),ISNUMBER(P1900),ISNUMBER(H1900))),"시각 결측",IF(P1900&lt;=N1900,"P0 시각 역전",IF(OR(H1900&lt;N1900,H1900&gt;P1900),"측정시각 구간 밖","OK")))))</f>
        <v/>
      </c>
      <c r="N1900" s="45">
        <f>IF(COUNTIFS($C:$C,$C1900,$D:$D,"P0(전)",$L:$L,"&gt;0")&lt;&gt;1,"",SUMIFS($H:$H,$C:$C,$C1900,$D:$D,"P0(전)"))</f>
        <v/>
      </c>
      <c r="O1900" s="30">
        <f>IF(COUNTIFS($C:$C,$C1900,$D:$D,"P0(전)",$L:$L,"&gt;0")&lt;&gt;1,"",SUMIFS($L:$L,$C:$C,$C1900,$D:$D,"P0(전)"))</f>
        <v/>
      </c>
      <c r="P1900" s="45">
        <f>IF(COUNTIFS($C:$C,$C1900,$D:$D,"P0(후)",$L:$L,"&gt;0")&lt;&gt;1,"",SUMIFS($H:$H,$C:$C,$C1900,$D:$D,"P0(후)"))</f>
        <v/>
      </c>
      <c r="Q1900" s="30">
        <f>IF(COUNTIFS($C:$C,$C1900,$D:$D,"P0(후)",$L:$L,"&gt;0")&lt;&gt;1,"",SUMIFS($L:$L,$C:$C,$C1900,$D:$D,"P0(후)"))</f>
        <v/>
      </c>
      <c r="R1900" s="30">
        <f>IF(M1900&lt;&gt;"OK","",O1900+(Q1900-O1900)*(H1900-N1900)/(P1900-N1900))</f>
        <v/>
      </c>
      <c r="S1900" s="30">
        <f>IF(OR(M1900&lt;&gt;"OK",NOT(ISNUMBER(L1900))),"",L1900-R1900)</f>
        <v/>
      </c>
      <c r="T1900" s="46">
        <f>IF(OR(NOT(ISNUMBER(S1900)),IF(ISNUMBER(G1900),G1900,F1900)=0),"",S1900/IF(ISNUMBER(G1900),G1900,F1900))</f>
        <v/>
      </c>
      <c r="U1900" s="46">
        <f>IF(ISNUMBER(T1900),ABS(T1900),"")</f>
        <v/>
      </c>
      <c r="V1900" s="46">
        <f>IF(OR($D1899&lt;&gt;"측정",$C1899&lt;&gt;$C1900,NOT(ISNUMBER(L1900)),NOT(ISNUMBER(L1899)),(IF(ISNUMBER(G1900),G1900,F1900)-IF(ISNUMBER(G1899),G1899,F1899))=0),"",(L1900-L1899)/(IF(ISNUMBER(G1900),G1900,F1900)-IF(ISNUMBER(G1899),G1899,F1899)))</f>
        <v/>
      </c>
      <c r="W1900" s="30">
        <f>IF(NOT(AND(ISNUMBER(N1900),ISNUMBER(P1900))),"",(P1900-N1900)*1440)</f>
        <v/>
      </c>
      <c r="X1900" s="28" t="n"/>
      <c r="Y1900" s="28" t="n"/>
      <c r="Z1900" s="28" t="n"/>
      <c r="AA1900" s="31" t="n"/>
      <c r="AB1900" s="31" t="n"/>
    </row>
    <row r="1901">
      <c r="A1901" s="25" t="inlineStr">
        <is>
          <t>S37</t>
        </is>
      </c>
      <c r="B1901" s="25" t="inlineStr">
        <is>
          <t>부안</t>
        </is>
      </c>
      <c r="C1901" s="25" t="inlineStr">
        <is>
          <t>S37-H서</t>
        </is>
      </c>
      <c r="D1901" s="25" t="inlineStr">
        <is>
          <t>측정</t>
        </is>
      </c>
      <c r="E1901" s="25" t="inlineStr">
        <is>
          <t>서</t>
        </is>
      </c>
      <c r="F1901" s="30" t="n">
        <v>10</v>
      </c>
      <c r="G1901" s="29" t="n"/>
      <c r="H1901" s="42" t="n"/>
      <c r="I1901" s="40" t="n"/>
      <c r="J1901" s="40" t="n"/>
      <c r="K1901" s="40" t="n"/>
      <c r="L1901" s="30">
        <f>IF(COUNT(I1901:K1901)=0,"",MEDIAN(I1901:K1901))</f>
        <v/>
      </c>
      <c r="M1901" s="25">
        <f>IF(COUNTIFS($C:$C,$C1901,$D:$D,"P0(전)",$L:$L,"&gt;0")&lt;&gt;1,"P0(전) 유효 1개 아님",IF(COUNTIFS($C:$C,$C1901,$D:$D,"P0(후)",$L:$L,"&gt;0")&lt;&gt;1,"P0(후) 유효 1개 아님",IF(NOT(AND(ISNUMBER(N1901),ISNUMBER(P1901),ISNUMBER(H1901))),"시각 결측",IF(P1901&lt;=N1901,"P0 시각 역전",IF(OR(H1901&lt;N1901,H1901&gt;P1901),"측정시각 구간 밖","OK")))))</f>
        <v/>
      </c>
      <c r="N1901" s="45">
        <f>IF(COUNTIFS($C:$C,$C1901,$D:$D,"P0(전)",$L:$L,"&gt;0")&lt;&gt;1,"",SUMIFS($H:$H,$C:$C,$C1901,$D:$D,"P0(전)"))</f>
        <v/>
      </c>
      <c r="O1901" s="30">
        <f>IF(COUNTIFS($C:$C,$C1901,$D:$D,"P0(전)",$L:$L,"&gt;0")&lt;&gt;1,"",SUMIFS($L:$L,$C:$C,$C1901,$D:$D,"P0(전)"))</f>
        <v/>
      </c>
      <c r="P1901" s="45">
        <f>IF(COUNTIFS($C:$C,$C1901,$D:$D,"P0(후)",$L:$L,"&gt;0")&lt;&gt;1,"",SUMIFS($H:$H,$C:$C,$C1901,$D:$D,"P0(후)"))</f>
        <v/>
      </c>
      <c r="Q1901" s="30">
        <f>IF(COUNTIFS($C:$C,$C1901,$D:$D,"P0(후)",$L:$L,"&gt;0")&lt;&gt;1,"",SUMIFS($L:$L,$C:$C,$C1901,$D:$D,"P0(후)"))</f>
        <v/>
      </c>
      <c r="R1901" s="30">
        <f>IF(M1901&lt;&gt;"OK","",O1901+(Q1901-O1901)*(H1901-N1901)/(P1901-N1901))</f>
        <v/>
      </c>
      <c r="S1901" s="30">
        <f>IF(OR(M1901&lt;&gt;"OK",NOT(ISNUMBER(L1901))),"",L1901-R1901)</f>
        <v/>
      </c>
      <c r="T1901" s="46">
        <f>IF(OR(NOT(ISNUMBER(S1901)),IF(ISNUMBER(G1901),G1901,F1901)=0),"",S1901/IF(ISNUMBER(G1901),G1901,F1901))</f>
        <v/>
      </c>
      <c r="U1901" s="46">
        <f>IF(ISNUMBER(T1901),ABS(T1901),"")</f>
        <v/>
      </c>
      <c r="V1901" s="46">
        <f>IF(OR($D1900&lt;&gt;"측정",$C1900&lt;&gt;$C1901,NOT(ISNUMBER(L1901)),NOT(ISNUMBER(L1900)),(IF(ISNUMBER(G1901),G1901,F1901)-IF(ISNUMBER(G1900),G1900,F1900))=0),"",(L1901-L1900)/(IF(ISNUMBER(G1901),G1901,F1901)-IF(ISNUMBER(G1900),G1900,F1900)))</f>
        <v/>
      </c>
      <c r="W1901" s="30">
        <f>IF(NOT(AND(ISNUMBER(N1901),ISNUMBER(P1901))),"",(P1901-N1901)*1440)</f>
        <v/>
      </c>
      <c r="X1901" s="28" t="n"/>
      <c r="Y1901" s="28" t="n"/>
      <c r="Z1901" s="28" t="n"/>
      <c r="AA1901" s="31" t="n"/>
      <c r="AB1901" s="31" t="n"/>
    </row>
    <row r="1902">
      <c r="A1902" s="43" t="inlineStr">
        <is>
          <t>S37</t>
        </is>
      </c>
      <c r="B1902" s="43" t="inlineStr">
        <is>
          <t>부안</t>
        </is>
      </c>
      <c r="C1902" s="43" t="inlineStr">
        <is>
          <t>S37-H서</t>
        </is>
      </c>
      <c r="D1902" s="43" t="inlineStr">
        <is>
          <t>P0(후)</t>
        </is>
      </c>
      <c r="E1902" s="43" t="inlineStr">
        <is>
          <t>서</t>
        </is>
      </c>
      <c r="F1902" s="44" t="n"/>
      <c r="G1902" s="29" t="n"/>
      <c r="H1902" s="42" t="n"/>
      <c r="I1902" s="40" t="n"/>
      <c r="J1902" s="40" t="n"/>
      <c r="K1902" s="40" t="n"/>
      <c r="L1902" s="30">
        <f>IF(COUNT(I1902:K1902)=0,"",MEDIAN(I1902:K1902))</f>
        <v/>
      </c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28" t="n"/>
      <c r="Y1902" s="28" t="n"/>
      <c r="Z1902" s="28" t="n"/>
      <c r="AA1902" s="31" t="n"/>
      <c r="AB1902" s="31" t="n"/>
    </row>
    <row r="1903">
      <c r="A1903" s="43" t="inlineStr">
        <is>
          <t>S37</t>
        </is>
      </c>
      <c r="B1903" s="43" t="inlineStr">
        <is>
          <t>부안</t>
        </is>
      </c>
      <c r="C1903" s="43" t="inlineStr">
        <is>
          <t>S37-H남</t>
        </is>
      </c>
      <c r="D1903" s="43" t="inlineStr">
        <is>
          <t>P0(전)</t>
        </is>
      </c>
      <c r="E1903" s="43" t="inlineStr">
        <is>
          <t>남</t>
        </is>
      </c>
      <c r="F1903" s="44" t="n"/>
      <c r="G1903" s="29" t="n"/>
      <c r="H1903" s="42" t="n"/>
      <c r="I1903" s="40" t="n"/>
      <c r="J1903" s="40" t="n"/>
      <c r="K1903" s="40" t="n"/>
      <c r="L1903" s="30">
        <f>IF(COUNT(I1903:K1903)=0,"",MEDIAN(I1903:K1903))</f>
        <v/>
      </c>
      <c r="M1903" s="37" t="n"/>
      <c r="N1903" s="37" t="n"/>
      <c r="O1903" s="37" t="n"/>
      <c r="P1903" s="37" t="n"/>
      <c r="Q1903" s="37" t="n"/>
      <c r="R1903" s="37" t="n"/>
      <c r="S1903" s="37" t="n"/>
      <c r="T1903" s="37" t="n"/>
      <c r="U1903" s="37" t="n"/>
      <c r="V1903" s="37" t="n"/>
      <c r="W1903" s="37" t="n"/>
      <c r="X1903" s="28" t="n"/>
      <c r="Y1903" s="28" t="n"/>
      <c r="Z1903" s="28" t="n"/>
      <c r="AA1903" s="31" t="n"/>
      <c r="AB1903" s="31" t="n"/>
    </row>
    <row r="1904">
      <c r="A1904" s="25" t="inlineStr">
        <is>
          <t>S37</t>
        </is>
      </c>
      <c r="B1904" s="25" t="inlineStr">
        <is>
          <t>부안</t>
        </is>
      </c>
      <c r="C1904" s="25" t="inlineStr">
        <is>
          <t>S37-H남</t>
        </is>
      </c>
      <c r="D1904" s="25" t="inlineStr">
        <is>
          <t>측정</t>
        </is>
      </c>
      <c r="E1904" s="25" t="inlineStr">
        <is>
          <t>남</t>
        </is>
      </c>
      <c r="F1904" s="30" t="n">
        <v>0.5</v>
      </c>
      <c r="G1904" s="29" t="n"/>
      <c r="H1904" s="42" t="n"/>
      <c r="I1904" s="40" t="n"/>
      <c r="J1904" s="40" t="n"/>
      <c r="K1904" s="40" t="n"/>
      <c r="L1904" s="30">
        <f>IF(COUNT(I1904:K1904)=0,"",MEDIAN(I1904:K1904))</f>
        <v/>
      </c>
      <c r="M1904" s="25">
        <f>IF(COUNTIFS($C:$C,$C1904,$D:$D,"P0(전)",$L:$L,"&gt;0")&lt;&gt;1,"P0(전) 유효 1개 아님",IF(COUNTIFS($C:$C,$C1904,$D:$D,"P0(후)",$L:$L,"&gt;0")&lt;&gt;1,"P0(후) 유효 1개 아님",IF(NOT(AND(ISNUMBER(N1904),ISNUMBER(P1904),ISNUMBER(H1904))),"시각 결측",IF(P1904&lt;=N1904,"P0 시각 역전",IF(OR(H1904&lt;N1904,H1904&gt;P1904),"측정시각 구간 밖","OK")))))</f>
        <v/>
      </c>
      <c r="N1904" s="45">
        <f>IF(COUNTIFS($C:$C,$C1904,$D:$D,"P0(전)",$L:$L,"&gt;0")&lt;&gt;1,"",SUMIFS($H:$H,$C:$C,$C1904,$D:$D,"P0(전)"))</f>
        <v/>
      </c>
      <c r="O1904" s="30">
        <f>IF(COUNTIFS($C:$C,$C1904,$D:$D,"P0(전)",$L:$L,"&gt;0")&lt;&gt;1,"",SUMIFS($L:$L,$C:$C,$C1904,$D:$D,"P0(전)"))</f>
        <v/>
      </c>
      <c r="P1904" s="45">
        <f>IF(COUNTIFS($C:$C,$C1904,$D:$D,"P0(후)",$L:$L,"&gt;0")&lt;&gt;1,"",SUMIFS($H:$H,$C:$C,$C1904,$D:$D,"P0(후)"))</f>
        <v/>
      </c>
      <c r="Q1904" s="30">
        <f>IF(COUNTIFS($C:$C,$C1904,$D:$D,"P0(후)",$L:$L,"&gt;0")&lt;&gt;1,"",SUMIFS($L:$L,$C:$C,$C1904,$D:$D,"P0(후)"))</f>
        <v/>
      </c>
      <c r="R1904" s="30">
        <f>IF(M1904&lt;&gt;"OK","",O1904+(Q1904-O1904)*(H1904-N1904)/(P1904-N1904))</f>
        <v/>
      </c>
      <c r="S1904" s="30">
        <f>IF(OR(M1904&lt;&gt;"OK",NOT(ISNUMBER(L1904))),"",L1904-R1904)</f>
        <v/>
      </c>
      <c r="T1904" s="46">
        <f>IF(OR(NOT(ISNUMBER(S1904)),IF(ISNUMBER(G1904),G1904,F1904)=0),"",S1904/IF(ISNUMBER(G1904),G1904,F1904))</f>
        <v/>
      </c>
      <c r="U1904" s="46">
        <f>IF(ISNUMBER(T1904),ABS(T1904),"")</f>
        <v/>
      </c>
      <c r="V1904" s="46">
        <f>IF(OR($D1903&lt;&gt;"측정",$C1903&lt;&gt;$C1904,NOT(ISNUMBER(L1904)),NOT(ISNUMBER(L1903)),(IF(ISNUMBER(G1904),G1904,F1904)-IF(ISNUMBER(G1903),G1903,F1903))=0),"",(L1904-L1903)/(IF(ISNUMBER(G1904),G1904,F1904)-IF(ISNUMBER(G1903),G1903,F1903)))</f>
        <v/>
      </c>
      <c r="W1904" s="30">
        <f>IF(NOT(AND(ISNUMBER(N1904),ISNUMBER(P1904))),"",(P1904-N1904)*1440)</f>
        <v/>
      </c>
      <c r="X1904" s="28" t="n"/>
      <c r="Y1904" s="28" t="n"/>
      <c r="Z1904" s="28" t="n"/>
      <c r="AA1904" s="31" t="n"/>
      <c r="AB1904" s="31" t="n"/>
    </row>
    <row r="1905">
      <c r="A1905" s="25" t="inlineStr">
        <is>
          <t>S37</t>
        </is>
      </c>
      <c r="B1905" s="25" t="inlineStr">
        <is>
          <t>부안</t>
        </is>
      </c>
      <c r="C1905" s="25" t="inlineStr">
        <is>
          <t>S37-H남</t>
        </is>
      </c>
      <c r="D1905" s="25" t="inlineStr">
        <is>
          <t>측정</t>
        </is>
      </c>
      <c r="E1905" s="25" t="inlineStr">
        <is>
          <t>남</t>
        </is>
      </c>
      <c r="F1905" s="30" t="n">
        <v>1</v>
      </c>
      <c r="G1905" s="29" t="n"/>
      <c r="H1905" s="42" t="n"/>
      <c r="I1905" s="40" t="n"/>
      <c r="J1905" s="40" t="n"/>
      <c r="K1905" s="40" t="n"/>
      <c r="L1905" s="30">
        <f>IF(COUNT(I1905:K1905)=0,"",MEDIAN(I1905:K1905))</f>
        <v/>
      </c>
      <c r="M1905" s="25">
        <f>IF(COUNTIFS($C:$C,$C1905,$D:$D,"P0(전)",$L:$L,"&gt;0")&lt;&gt;1,"P0(전) 유효 1개 아님",IF(COUNTIFS($C:$C,$C1905,$D:$D,"P0(후)",$L:$L,"&gt;0")&lt;&gt;1,"P0(후) 유효 1개 아님",IF(NOT(AND(ISNUMBER(N1905),ISNUMBER(P1905),ISNUMBER(H1905))),"시각 결측",IF(P1905&lt;=N1905,"P0 시각 역전",IF(OR(H1905&lt;N1905,H1905&gt;P1905),"측정시각 구간 밖","OK")))))</f>
        <v/>
      </c>
      <c r="N1905" s="45">
        <f>IF(COUNTIFS($C:$C,$C1905,$D:$D,"P0(전)",$L:$L,"&gt;0")&lt;&gt;1,"",SUMIFS($H:$H,$C:$C,$C1905,$D:$D,"P0(전)"))</f>
        <v/>
      </c>
      <c r="O1905" s="30">
        <f>IF(COUNTIFS($C:$C,$C1905,$D:$D,"P0(전)",$L:$L,"&gt;0")&lt;&gt;1,"",SUMIFS($L:$L,$C:$C,$C1905,$D:$D,"P0(전)"))</f>
        <v/>
      </c>
      <c r="P1905" s="45">
        <f>IF(COUNTIFS($C:$C,$C1905,$D:$D,"P0(후)",$L:$L,"&gt;0")&lt;&gt;1,"",SUMIFS($H:$H,$C:$C,$C1905,$D:$D,"P0(후)"))</f>
        <v/>
      </c>
      <c r="Q1905" s="30">
        <f>IF(COUNTIFS($C:$C,$C1905,$D:$D,"P0(후)",$L:$L,"&gt;0")&lt;&gt;1,"",SUMIFS($L:$L,$C:$C,$C1905,$D:$D,"P0(후)"))</f>
        <v/>
      </c>
      <c r="R1905" s="30">
        <f>IF(M1905&lt;&gt;"OK","",O1905+(Q1905-O1905)*(H1905-N1905)/(P1905-N1905))</f>
        <v/>
      </c>
      <c r="S1905" s="30">
        <f>IF(OR(M1905&lt;&gt;"OK",NOT(ISNUMBER(L1905))),"",L1905-R1905)</f>
        <v/>
      </c>
      <c r="T1905" s="46">
        <f>IF(OR(NOT(ISNUMBER(S1905)),IF(ISNUMBER(G1905),G1905,F1905)=0),"",S1905/IF(ISNUMBER(G1905),G1905,F1905))</f>
        <v/>
      </c>
      <c r="U1905" s="46">
        <f>IF(ISNUMBER(T1905),ABS(T1905),"")</f>
        <v/>
      </c>
      <c r="V1905" s="46">
        <f>IF(OR($D1904&lt;&gt;"측정",$C1904&lt;&gt;$C1905,NOT(ISNUMBER(L1905)),NOT(ISNUMBER(L1904)),(IF(ISNUMBER(G1905),G1905,F1905)-IF(ISNUMBER(G1904),G1904,F1904))=0),"",(L1905-L1904)/(IF(ISNUMBER(G1905),G1905,F1905)-IF(ISNUMBER(G1904),G1904,F1904)))</f>
        <v/>
      </c>
      <c r="W1905" s="30">
        <f>IF(NOT(AND(ISNUMBER(N1905),ISNUMBER(P1905))),"",(P1905-N1905)*1440)</f>
        <v/>
      </c>
      <c r="X1905" s="28" t="n"/>
      <c r="Y1905" s="28" t="n"/>
      <c r="Z1905" s="28" t="n"/>
      <c r="AA1905" s="31" t="n"/>
      <c r="AB1905" s="31" t="n"/>
    </row>
    <row r="1906">
      <c r="A1906" s="25" t="inlineStr">
        <is>
          <t>S37</t>
        </is>
      </c>
      <c r="B1906" s="25" t="inlineStr">
        <is>
          <t>부안</t>
        </is>
      </c>
      <c r="C1906" s="25" t="inlineStr">
        <is>
          <t>S37-H남</t>
        </is>
      </c>
      <c r="D1906" s="25" t="inlineStr">
        <is>
          <t>측정</t>
        </is>
      </c>
      <c r="E1906" s="25" t="inlineStr">
        <is>
          <t>남</t>
        </is>
      </c>
      <c r="F1906" s="30" t="n">
        <v>2</v>
      </c>
      <c r="G1906" s="29" t="n"/>
      <c r="H1906" s="42" t="n"/>
      <c r="I1906" s="40" t="n"/>
      <c r="J1906" s="40" t="n"/>
      <c r="K1906" s="40" t="n"/>
      <c r="L1906" s="30">
        <f>IF(COUNT(I1906:K1906)=0,"",MEDIAN(I1906:K1906))</f>
        <v/>
      </c>
      <c r="M1906" s="25">
        <f>IF(COUNTIFS($C:$C,$C1906,$D:$D,"P0(전)",$L:$L,"&gt;0")&lt;&gt;1,"P0(전) 유효 1개 아님",IF(COUNTIFS($C:$C,$C1906,$D:$D,"P0(후)",$L:$L,"&gt;0")&lt;&gt;1,"P0(후) 유효 1개 아님",IF(NOT(AND(ISNUMBER(N1906),ISNUMBER(P1906),ISNUMBER(H1906))),"시각 결측",IF(P1906&lt;=N1906,"P0 시각 역전",IF(OR(H1906&lt;N1906,H1906&gt;P1906),"측정시각 구간 밖","OK")))))</f>
        <v/>
      </c>
      <c r="N1906" s="45">
        <f>IF(COUNTIFS($C:$C,$C1906,$D:$D,"P0(전)",$L:$L,"&gt;0")&lt;&gt;1,"",SUMIFS($H:$H,$C:$C,$C1906,$D:$D,"P0(전)"))</f>
        <v/>
      </c>
      <c r="O1906" s="30">
        <f>IF(COUNTIFS($C:$C,$C1906,$D:$D,"P0(전)",$L:$L,"&gt;0")&lt;&gt;1,"",SUMIFS($L:$L,$C:$C,$C1906,$D:$D,"P0(전)"))</f>
        <v/>
      </c>
      <c r="P1906" s="45">
        <f>IF(COUNTIFS($C:$C,$C1906,$D:$D,"P0(후)",$L:$L,"&gt;0")&lt;&gt;1,"",SUMIFS($H:$H,$C:$C,$C1906,$D:$D,"P0(후)"))</f>
        <v/>
      </c>
      <c r="Q1906" s="30">
        <f>IF(COUNTIFS($C:$C,$C1906,$D:$D,"P0(후)",$L:$L,"&gt;0")&lt;&gt;1,"",SUMIFS($L:$L,$C:$C,$C1906,$D:$D,"P0(후)"))</f>
        <v/>
      </c>
      <c r="R1906" s="30">
        <f>IF(M1906&lt;&gt;"OK","",O1906+(Q1906-O1906)*(H1906-N1906)/(P1906-N1906))</f>
        <v/>
      </c>
      <c r="S1906" s="30">
        <f>IF(OR(M1906&lt;&gt;"OK",NOT(ISNUMBER(L1906))),"",L1906-R1906)</f>
        <v/>
      </c>
      <c r="T1906" s="46">
        <f>IF(OR(NOT(ISNUMBER(S1906)),IF(ISNUMBER(G1906),G1906,F1906)=0),"",S1906/IF(ISNUMBER(G1906),G1906,F1906))</f>
        <v/>
      </c>
      <c r="U1906" s="46">
        <f>IF(ISNUMBER(T1906),ABS(T1906),"")</f>
        <v/>
      </c>
      <c r="V1906" s="46">
        <f>IF(OR($D1905&lt;&gt;"측정",$C1905&lt;&gt;$C1906,NOT(ISNUMBER(L1906)),NOT(ISNUMBER(L1905)),(IF(ISNUMBER(G1906),G1906,F1906)-IF(ISNUMBER(G1905),G1905,F1905))=0),"",(L1906-L1905)/(IF(ISNUMBER(G1906),G1906,F1906)-IF(ISNUMBER(G1905),G1905,F1905)))</f>
        <v/>
      </c>
      <c r="W1906" s="30">
        <f>IF(NOT(AND(ISNUMBER(N1906),ISNUMBER(P1906))),"",(P1906-N1906)*1440)</f>
        <v/>
      </c>
      <c r="X1906" s="28" t="n"/>
      <c r="Y1906" s="28" t="n"/>
      <c r="Z1906" s="28" t="n"/>
      <c r="AA1906" s="31" t="n"/>
      <c r="AB1906" s="31" t="n"/>
    </row>
    <row r="1907">
      <c r="A1907" s="25" t="inlineStr">
        <is>
          <t>S37</t>
        </is>
      </c>
      <c r="B1907" s="25" t="inlineStr">
        <is>
          <t>부안</t>
        </is>
      </c>
      <c r="C1907" s="25" t="inlineStr">
        <is>
          <t>S37-H남</t>
        </is>
      </c>
      <c r="D1907" s="25" t="inlineStr">
        <is>
          <t>측정</t>
        </is>
      </c>
      <c r="E1907" s="25" t="inlineStr">
        <is>
          <t>남</t>
        </is>
      </c>
      <c r="F1907" s="30" t="n">
        <v>3</v>
      </c>
      <c r="G1907" s="29" t="n"/>
      <c r="H1907" s="42" t="n"/>
      <c r="I1907" s="40" t="n"/>
      <c r="J1907" s="40" t="n"/>
      <c r="K1907" s="40" t="n"/>
      <c r="L1907" s="30">
        <f>IF(COUNT(I1907:K1907)=0,"",MEDIAN(I1907:K1907))</f>
        <v/>
      </c>
      <c r="M1907" s="25">
        <f>IF(COUNTIFS($C:$C,$C1907,$D:$D,"P0(전)",$L:$L,"&gt;0")&lt;&gt;1,"P0(전) 유효 1개 아님",IF(COUNTIFS($C:$C,$C1907,$D:$D,"P0(후)",$L:$L,"&gt;0")&lt;&gt;1,"P0(후) 유효 1개 아님",IF(NOT(AND(ISNUMBER(N1907),ISNUMBER(P1907),ISNUMBER(H1907))),"시각 결측",IF(P1907&lt;=N1907,"P0 시각 역전",IF(OR(H1907&lt;N1907,H1907&gt;P1907),"측정시각 구간 밖","OK")))))</f>
        <v/>
      </c>
      <c r="N1907" s="45">
        <f>IF(COUNTIFS($C:$C,$C1907,$D:$D,"P0(전)",$L:$L,"&gt;0")&lt;&gt;1,"",SUMIFS($H:$H,$C:$C,$C1907,$D:$D,"P0(전)"))</f>
        <v/>
      </c>
      <c r="O1907" s="30">
        <f>IF(COUNTIFS($C:$C,$C1907,$D:$D,"P0(전)",$L:$L,"&gt;0")&lt;&gt;1,"",SUMIFS($L:$L,$C:$C,$C1907,$D:$D,"P0(전)"))</f>
        <v/>
      </c>
      <c r="P1907" s="45">
        <f>IF(COUNTIFS($C:$C,$C1907,$D:$D,"P0(후)",$L:$L,"&gt;0")&lt;&gt;1,"",SUMIFS($H:$H,$C:$C,$C1907,$D:$D,"P0(후)"))</f>
        <v/>
      </c>
      <c r="Q1907" s="30">
        <f>IF(COUNTIFS($C:$C,$C1907,$D:$D,"P0(후)",$L:$L,"&gt;0")&lt;&gt;1,"",SUMIFS($L:$L,$C:$C,$C1907,$D:$D,"P0(후)"))</f>
        <v/>
      </c>
      <c r="R1907" s="30">
        <f>IF(M1907&lt;&gt;"OK","",O1907+(Q1907-O1907)*(H1907-N1907)/(P1907-N1907))</f>
        <v/>
      </c>
      <c r="S1907" s="30">
        <f>IF(OR(M1907&lt;&gt;"OK",NOT(ISNUMBER(L1907))),"",L1907-R1907)</f>
        <v/>
      </c>
      <c r="T1907" s="46">
        <f>IF(OR(NOT(ISNUMBER(S1907)),IF(ISNUMBER(G1907),G1907,F1907)=0),"",S1907/IF(ISNUMBER(G1907),G1907,F1907))</f>
        <v/>
      </c>
      <c r="U1907" s="46">
        <f>IF(ISNUMBER(T1907),ABS(T1907),"")</f>
        <v/>
      </c>
      <c r="V1907" s="46">
        <f>IF(OR($D1906&lt;&gt;"측정",$C1906&lt;&gt;$C1907,NOT(ISNUMBER(L1907)),NOT(ISNUMBER(L1906)),(IF(ISNUMBER(G1907),G1907,F1907)-IF(ISNUMBER(G1906),G1906,F1906))=0),"",(L1907-L1906)/(IF(ISNUMBER(G1907),G1907,F1907)-IF(ISNUMBER(G1906),G1906,F1906)))</f>
        <v/>
      </c>
      <c r="W1907" s="30">
        <f>IF(NOT(AND(ISNUMBER(N1907),ISNUMBER(P1907))),"",(P1907-N1907)*1440)</f>
        <v/>
      </c>
      <c r="X1907" s="28" t="n"/>
      <c r="Y1907" s="28" t="n"/>
      <c r="Z1907" s="28" t="n"/>
      <c r="AA1907" s="31" t="n"/>
      <c r="AB1907" s="31" t="n"/>
    </row>
    <row r="1908">
      <c r="A1908" s="25" t="inlineStr">
        <is>
          <t>S37</t>
        </is>
      </c>
      <c r="B1908" s="25" t="inlineStr">
        <is>
          <t>부안</t>
        </is>
      </c>
      <c r="C1908" s="25" t="inlineStr">
        <is>
          <t>S37-H남</t>
        </is>
      </c>
      <c r="D1908" s="25" t="inlineStr">
        <is>
          <t>측정</t>
        </is>
      </c>
      <c r="E1908" s="25" t="inlineStr">
        <is>
          <t>남</t>
        </is>
      </c>
      <c r="F1908" s="30" t="n">
        <v>4</v>
      </c>
      <c r="G1908" s="29" t="n"/>
      <c r="H1908" s="42" t="n"/>
      <c r="I1908" s="40" t="n"/>
      <c r="J1908" s="40" t="n"/>
      <c r="K1908" s="40" t="n"/>
      <c r="L1908" s="30">
        <f>IF(COUNT(I1908:K1908)=0,"",MEDIAN(I1908:K1908))</f>
        <v/>
      </c>
      <c r="M1908" s="25">
        <f>IF(COUNTIFS($C:$C,$C1908,$D:$D,"P0(전)",$L:$L,"&gt;0")&lt;&gt;1,"P0(전) 유효 1개 아님",IF(COUNTIFS($C:$C,$C1908,$D:$D,"P0(후)",$L:$L,"&gt;0")&lt;&gt;1,"P0(후) 유효 1개 아님",IF(NOT(AND(ISNUMBER(N1908),ISNUMBER(P1908),ISNUMBER(H1908))),"시각 결측",IF(P1908&lt;=N1908,"P0 시각 역전",IF(OR(H1908&lt;N1908,H1908&gt;P1908),"측정시각 구간 밖","OK")))))</f>
        <v/>
      </c>
      <c r="N1908" s="45">
        <f>IF(COUNTIFS($C:$C,$C1908,$D:$D,"P0(전)",$L:$L,"&gt;0")&lt;&gt;1,"",SUMIFS($H:$H,$C:$C,$C1908,$D:$D,"P0(전)"))</f>
        <v/>
      </c>
      <c r="O1908" s="30">
        <f>IF(COUNTIFS($C:$C,$C1908,$D:$D,"P0(전)",$L:$L,"&gt;0")&lt;&gt;1,"",SUMIFS($L:$L,$C:$C,$C1908,$D:$D,"P0(전)"))</f>
        <v/>
      </c>
      <c r="P1908" s="45">
        <f>IF(COUNTIFS($C:$C,$C1908,$D:$D,"P0(후)",$L:$L,"&gt;0")&lt;&gt;1,"",SUMIFS($H:$H,$C:$C,$C1908,$D:$D,"P0(후)"))</f>
        <v/>
      </c>
      <c r="Q1908" s="30">
        <f>IF(COUNTIFS($C:$C,$C1908,$D:$D,"P0(후)",$L:$L,"&gt;0")&lt;&gt;1,"",SUMIFS($L:$L,$C:$C,$C1908,$D:$D,"P0(후)"))</f>
        <v/>
      </c>
      <c r="R1908" s="30">
        <f>IF(M1908&lt;&gt;"OK","",O1908+(Q1908-O1908)*(H1908-N1908)/(P1908-N1908))</f>
        <v/>
      </c>
      <c r="S1908" s="30">
        <f>IF(OR(M1908&lt;&gt;"OK",NOT(ISNUMBER(L1908))),"",L1908-R1908)</f>
        <v/>
      </c>
      <c r="T1908" s="46">
        <f>IF(OR(NOT(ISNUMBER(S1908)),IF(ISNUMBER(G1908),G1908,F1908)=0),"",S1908/IF(ISNUMBER(G1908),G1908,F1908))</f>
        <v/>
      </c>
      <c r="U1908" s="46">
        <f>IF(ISNUMBER(T1908),ABS(T1908),"")</f>
        <v/>
      </c>
      <c r="V1908" s="46">
        <f>IF(OR($D1907&lt;&gt;"측정",$C1907&lt;&gt;$C1908,NOT(ISNUMBER(L1908)),NOT(ISNUMBER(L1907)),(IF(ISNUMBER(G1908),G1908,F1908)-IF(ISNUMBER(G1907),G1907,F1907))=0),"",(L1908-L1907)/(IF(ISNUMBER(G1908),G1908,F1908)-IF(ISNUMBER(G1907),G1907,F1907)))</f>
        <v/>
      </c>
      <c r="W1908" s="30">
        <f>IF(NOT(AND(ISNUMBER(N1908),ISNUMBER(P1908))),"",(P1908-N1908)*1440)</f>
        <v/>
      </c>
      <c r="X1908" s="28" t="n"/>
      <c r="Y1908" s="28" t="n"/>
      <c r="Z1908" s="28" t="n"/>
      <c r="AA1908" s="31" t="n"/>
      <c r="AB1908" s="31" t="n"/>
    </row>
    <row r="1909">
      <c r="A1909" s="25" t="inlineStr">
        <is>
          <t>S37</t>
        </is>
      </c>
      <c r="B1909" s="25" t="inlineStr">
        <is>
          <t>부안</t>
        </is>
      </c>
      <c r="C1909" s="25" t="inlineStr">
        <is>
          <t>S37-H남</t>
        </is>
      </c>
      <c r="D1909" s="25" t="inlineStr">
        <is>
          <t>측정</t>
        </is>
      </c>
      <c r="E1909" s="25" t="inlineStr">
        <is>
          <t>남</t>
        </is>
      </c>
      <c r="F1909" s="30" t="n">
        <v>5</v>
      </c>
      <c r="G1909" s="29" t="n"/>
      <c r="H1909" s="42" t="n"/>
      <c r="I1909" s="40" t="n"/>
      <c r="J1909" s="40" t="n"/>
      <c r="K1909" s="40" t="n"/>
      <c r="L1909" s="30">
        <f>IF(COUNT(I1909:K1909)=0,"",MEDIAN(I1909:K1909))</f>
        <v/>
      </c>
      <c r="M1909" s="25">
        <f>IF(COUNTIFS($C:$C,$C1909,$D:$D,"P0(전)",$L:$L,"&gt;0")&lt;&gt;1,"P0(전) 유효 1개 아님",IF(COUNTIFS($C:$C,$C1909,$D:$D,"P0(후)",$L:$L,"&gt;0")&lt;&gt;1,"P0(후) 유효 1개 아님",IF(NOT(AND(ISNUMBER(N1909),ISNUMBER(P1909),ISNUMBER(H1909))),"시각 결측",IF(P1909&lt;=N1909,"P0 시각 역전",IF(OR(H1909&lt;N1909,H1909&gt;P1909),"측정시각 구간 밖","OK")))))</f>
        <v/>
      </c>
      <c r="N1909" s="45">
        <f>IF(COUNTIFS($C:$C,$C1909,$D:$D,"P0(전)",$L:$L,"&gt;0")&lt;&gt;1,"",SUMIFS($H:$H,$C:$C,$C1909,$D:$D,"P0(전)"))</f>
        <v/>
      </c>
      <c r="O1909" s="30">
        <f>IF(COUNTIFS($C:$C,$C1909,$D:$D,"P0(전)",$L:$L,"&gt;0")&lt;&gt;1,"",SUMIFS($L:$L,$C:$C,$C1909,$D:$D,"P0(전)"))</f>
        <v/>
      </c>
      <c r="P1909" s="45">
        <f>IF(COUNTIFS($C:$C,$C1909,$D:$D,"P0(후)",$L:$L,"&gt;0")&lt;&gt;1,"",SUMIFS($H:$H,$C:$C,$C1909,$D:$D,"P0(후)"))</f>
        <v/>
      </c>
      <c r="Q1909" s="30">
        <f>IF(COUNTIFS($C:$C,$C1909,$D:$D,"P0(후)",$L:$L,"&gt;0")&lt;&gt;1,"",SUMIFS($L:$L,$C:$C,$C1909,$D:$D,"P0(후)"))</f>
        <v/>
      </c>
      <c r="R1909" s="30">
        <f>IF(M1909&lt;&gt;"OK","",O1909+(Q1909-O1909)*(H1909-N1909)/(P1909-N1909))</f>
        <v/>
      </c>
      <c r="S1909" s="30">
        <f>IF(OR(M1909&lt;&gt;"OK",NOT(ISNUMBER(L1909))),"",L1909-R1909)</f>
        <v/>
      </c>
      <c r="T1909" s="46">
        <f>IF(OR(NOT(ISNUMBER(S1909)),IF(ISNUMBER(G1909),G1909,F1909)=0),"",S1909/IF(ISNUMBER(G1909),G1909,F1909))</f>
        <v/>
      </c>
      <c r="U1909" s="46">
        <f>IF(ISNUMBER(T1909),ABS(T1909),"")</f>
        <v/>
      </c>
      <c r="V1909" s="46">
        <f>IF(OR($D1908&lt;&gt;"측정",$C1908&lt;&gt;$C1909,NOT(ISNUMBER(L1909)),NOT(ISNUMBER(L1908)),(IF(ISNUMBER(G1909),G1909,F1909)-IF(ISNUMBER(G1908),G1908,F1908))=0),"",(L1909-L1908)/(IF(ISNUMBER(G1909),G1909,F1909)-IF(ISNUMBER(G1908),G1908,F1908)))</f>
        <v/>
      </c>
      <c r="W1909" s="30">
        <f>IF(NOT(AND(ISNUMBER(N1909),ISNUMBER(P1909))),"",(P1909-N1909)*1440)</f>
        <v/>
      </c>
      <c r="X1909" s="28" t="n"/>
      <c r="Y1909" s="28" t="n"/>
      <c r="Z1909" s="28" t="n"/>
      <c r="AA1909" s="31" t="n"/>
      <c r="AB1909" s="31" t="n"/>
    </row>
    <row r="1910">
      <c r="A1910" s="25" t="inlineStr">
        <is>
          <t>S37</t>
        </is>
      </c>
      <c r="B1910" s="25" t="inlineStr">
        <is>
          <t>부안</t>
        </is>
      </c>
      <c r="C1910" s="25" t="inlineStr">
        <is>
          <t>S37-H남</t>
        </is>
      </c>
      <c r="D1910" s="25" t="inlineStr">
        <is>
          <t>측정</t>
        </is>
      </c>
      <c r="E1910" s="25" t="inlineStr">
        <is>
          <t>남</t>
        </is>
      </c>
      <c r="F1910" s="30" t="n">
        <v>6</v>
      </c>
      <c r="G1910" s="29" t="n"/>
      <c r="H1910" s="42" t="n"/>
      <c r="I1910" s="40" t="n"/>
      <c r="J1910" s="40" t="n"/>
      <c r="K1910" s="40" t="n"/>
      <c r="L1910" s="30">
        <f>IF(COUNT(I1910:K1910)=0,"",MEDIAN(I1910:K1910))</f>
        <v/>
      </c>
      <c r="M1910" s="25">
        <f>IF(COUNTIFS($C:$C,$C1910,$D:$D,"P0(전)",$L:$L,"&gt;0")&lt;&gt;1,"P0(전) 유효 1개 아님",IF(COUNTIFS($C:$C,$C1910,$D:$D,"P0(후)",$L:$L,"&gt;0")&lt;&gt;1,"P0(후) 유효 1개 아님",IF(NOT(AND(ISNUMBER(N1910),ISNUMBER(P1910),ISNUMBER(H1910))),"시각 결측",IF(P1910&lt;=N1910,"P0 시각 역전",IF(OR(H1910&lt;N1910,H1910&gt;P1910),"측정시각 구간 밖","OK")))))</f>
        <v/>
      </c>
      <c r="N1910" s="45">
        <f>IF(COUNTIFS($C:$C,$C1910,$D:$D,"P0(전)",$L:$L,"&gt;0")&lt;&gt;1,"",SUMIFS($H:$H,$C:$C,$C1910,$D:$D,"P0(전)"))</f>
        <v/>
      </c>
      <c r="O1910" s="30">
        <f>IF(COUNTIFS($C:$C,$C1910,$D:$D,"P0(전)",$L:$L,"&gt;0")&lt;&gt;1,"",SUMIFS($L:$L,$C:$C,$C1910,$D:$D,"P0(전)"))</f>
        <v/>
      </c>
      <c r="P1910" s="45">
        <f>IF(COUNTIFS($C:$C,$C1910,$D:$D,"P0(후)",$L:$L,"&gt;0")&lt;&gt;1,"",SUMIFS($H:$H,$C:$C,$C1910,$D:$D,"P0(후)"))</f>
        <v/>
      </c>
      <c r="Q1910" s="30">
        <f>IF(COUNTIFS($C:$C,$C1910,$D:$D,"P0(후)",$L:$L,"&gt;0")&lt;&gt;1,"",SUMIFS($L:$L,$C:$C,$C1910,$D:$D,"P0(후)"))</f>
        <v/>
      </c>
      <c r="R1910" s="30">
        <f>IF(M1910&lt;&gt;"OK","",O1910+(Q1910-O1910)*(H1910-N1910)/(P1910-N1910))</f>
        <v/>
      </c>
      <c r="S1910" s="30">
        <f>IF(OR(M1910&lt;&gt;"OK",NOT(ISNUMBER(L1910))),"",L1910-R1910)</f>
        <v/>
      </c>
      <c r="T1910" s="46">
        <f>IF(OR(NOT(ISNUMBER(S1910)),IF(ISNUMBER(G1910),G1910,F1910)=0),"",S1910/IF(ISNUMBER(G1910),G1910,F1910))</f>
        <v/>
      </c>
      <c r="U1910" s="46">
        <f>IF(ISNUMBER(T1910),ABS(T1910),"")</f>
        <v/>
      </c>
      <c r="V1910" s="46">
        <f>IF(OR($D1909&lt;&gt;"측정",$C1909&lt;&gt;$C1910,NOT(ISNUMBER(L1910)),NOT(ISNUMBER(L1909)),(IF(ISNUMBER(G1910),G1910,F1910)-IF(ISNUMBER(G1909),G1909,F1909))=0),"",(L1910-L1909)/(IF(ISNUMBER(G1910),G1910,F1910)-IF(ISNUMBER(G1909),G1909,F1909)))</f>
        <v/>
      </c>
      <c r="W1910" s="30">
        <f>IF(NOT(AND(ISNUMBER(N1910),ISNUMBER(P1910))),"",(P1910-N1910)*1440)</f>
        <v/>
      </c>
      <c r="X1910" s="28" t="n"/>
      <c r="Y1910" s="28" t="n"/>
      <c r="Z1910" s="28" t="n"/>
      <c r="AA1910" s="31" t="n"/>
      <c r="AB1910" s="31" t="n"/>
    </row>
    <row r="1911">
      <c r="A1911" s="25" t="inlineStr">
        <is>
          <t>S37</t>
        </is>
      </c>
      <c r="B1911" s="25" t="inlineStr">
        <is>
          <t>부안</t>
        </is>
      </c>
      <c r="C1911" s="25" t="inlineStr">
        <is>
          <t>S37-H남</t>
        </is>
      </c>
      <c r="D1911" s="25" t="inlineStr">
        <is>
          <t>측정</t>
        </is>
      </c>
      <c r="E1911" s="25" t="inlineStr">
        <is>
          <t>남</t>
        </is>
      </c>
      <c r="F1911" s="30" t="n">
        <v>7</v>
      </c>
      <c r="G1911" s="29" t="n"/>
      <c r="H1911" s="42" t="n"/>
      <c r="I1911" s="40" t="n"/>
      <c r="J1911" s="40" t="n"/>
      <c r="K1911" s="40" t="n"/>
      <c r="L1911" s="30">
        <f>IF(COUNT(I1911:K1911)=0,"",MEDIAN(I1911:K1911))</f>
        <v/>
      </c>
      <c r="M1911" s="25">
        <f>IF(COUNTIFS($C:$C,$C1911,$D:$D,"P0(전)",$L:$L,"&gt;0")&lt;&gt;1,"P0(전) 유효 1개 아님",IF(COUNTIFS($C:$C,$C1911,$D:$D,"P0(후)",$L:$L,"&gt;0")&lt;&gt;1,"P0(후) 유효 1개 아님",IF(NOT(AND(ISNUMBER(N1911),ISNUMBER(P1911),ISNUMBER(H1911))),"시각 결측",IF(P1911&lt;=N1911,"P0 시각 역전",IF(OR(H1911&lt;N1911,H1911&gt;P1911),"측정시각 구간 밖","OK")))))</f>
        <v/>
      </c>
      <c r="N1911" s="45">
        <f>IF(COUNTIFS($C:$C,$C1911,$D:$D,"P0(전)",$L:$L,"&gt;0")&lt;&gt;1,"",SUMIFS($H:$H,$C:$C,$C1911,$D:$D,"P0(전)"))</f>
        <v/>
      </c>
      <c r="O1911" s="30">
        <f>IF(COUNTIFS($C:$C,$C1911,$D:$D,"P0(전)",$L:$L,"&gt;0")&lt;&gt;1,"",SUMIFS($L:$L,$C:$C,$C1911,$D:$D,"P0(전)"))</f>
        <v/>
      </c>
      <c r="P1911" s="45">
        <f>IF(COUNTIFS($C:$C,$C1911,$D:$D,"P0(후)",$L:$L,"&gt;0")&lt;&gt;1,"",SUMIFS($H:$H,$C:$C,$C1911,$D:$D,"P0(후)"))</f>
        <v/>
      </c>
      <c r="Q1911" s="30">
        <f>IF(COUNTIFS($C:$C,$C1911,$D:$D,"P0(후)",$L:$L,"&gt;0")&lt;&gt;1,"",SUMIFS($L:$L,$C:$C,$C1911,$D:$D,"P0(후)"))</f>
        <v/>
      </c>
      <c r="R1911" s="30">
        <f>IF(M1911&lt;&gt;"OK","",O1911+(Q1911-O1911)*(H1911-N1911)/(P1911-N1911))</f>
        <v/>
      </c>
      <c r="S1911" s="30">
        <f>IF(OR(M1911&lt;&gt;"OK",NOT(ISNUMBER(L1911))),"",L1911-R1911)</f>
        <v/>
      </c>
      <c r="T1911" s="46">
        <f>IF(OR(NOT(ISNUMBER(S1911)),IF(ISNUMBER(G1911),G1911,F1911)=0),"",S1911/IF(ISNUMBER(G1911),G1911,F1911))</f>
        <v/>
      </c>
      <c r="U1911" s="46">
        <f>IF(ISNUMBER(T1911),ABS(T1911),"")</f>
        <v/>
      </c>
      <c r="V1911" s="46">
        <f>IF(OR($D1910&lt;&gt;"측정",$C1910&lt;&gt;$C1911,NOT(ISNUMBER(L1911)),NOT(ISNUMBER(L1910)),(IF(ISNUMBER(G1911),G1911,F1911)-IF(ISNUMBER(G1910),G1910,F1910))=0),"",(L1911-L1910)/(IF(ISNUMBER(G1911),G1911,F1911)-IF(ISNUMBER(G1910),G1910,F1910)))</f>
        <v/>
      </c>
      <c r="W1911" s="30">
        <f>IF(NOT(AND(ISNUMBER(N1911),ISNUMBER(P1911))),"",(P1911-N1911)*1440)</f>
        <v/>
      </c>
      <c r="X1911" s="28" t="n"/>
      <c r="Y1911" s="28" t="n"/>
      <c r="Z1911" s="28" t="n"/>
      <c r="AA1911" s="31" t="n"/>
      <c r="AB1911" s="31" t="n"/>
    </row>
    <row r="1912">
      <c r="A1912" s="25" t="inlineStr">
        <is>
          <t>S37</t>
        </is>
      </c>
      <c r="B1912" s="25" t="inlineStr">
        <is>
          <t>부안</t>
        </is>
      </c>
      <c r="C1912" s="25" t="inlineStr">
        <is>
          <t>S37-H남</t>
        </is>
      </c>
      <c r="D1912" s="25" t="inlineStr">
        <is>
          <t>측정</t>
        </is>
      </c>
      <c r="E1912" s="25" t="inlineStr">
        <is>
          <t>남</t>
        </is>
      </c>
      <c r="F1912" s="30" t="n">
        <v>8</v>
      </c>
      <c r="G1912" s="29" t="n"/>
      <c r="H1912" s="42" t="n"/>
      <c r="I1912" s="40" t="n"/>
      <c r="J1912" s="40" t="n"/>
      <c r="K1912" s="40" t="n"/>
      <c r="L1912" s="30">
        <f>IF(COUNT(I1912:K1912)=0,"",MEDIAN(I1912:K1912))</f>
        <v/>
      </c>
      <c r="M1912" s="25">
        <f>IF(COUNTIFS($C:$C,$C1912,$D:$D,"P0(전)",$L:$L,"&gt;0")&lt;&gt;1,"P0(전) 유효 1개 아님",IF(COUNTIFS($C:$C,$C1912,$D:$D,"P0(후)",$L:$L,"&gt;0")&lt;&gt;1,"P0(후) 유효 1개 아님",IF(NOT(AND(ISNUMBER(N1912),ISNUMBER(P1912),ISNUMBER(H1912))),"시각 결측",IF(P1912&lt;=N1912,"P0 시각 역전",IF(OR(H1912&lt;N1912,H1912&gt;P1912),"측정시각 구간 밖","OK")))))</f>
        <v/>
      </c>
      <c r="N1912" s="45">
        <f>IF(COUNTIFS($C:$C,$C1912,$D:$D,"P0(전)",$L:$L,"&gt;0")&lt;&gt;1,"",SUMIFS($H:$H,$C:$C,$C1912,$D:$D,"P0(전)"))</f>
        <v/>
      </c>
      <c r="O1912" s="30">
        <f>IF(COUNTIFS($C:$C,$C1912,$D:$D,"P0(전)",$L:$L,"&gt;0")&lt;&gt;1,"",SUMIFS($L:$L,$C:$C,$C1912,$D:$D,"P0(전)"))</f>
        <v/>
      </c>
      <c r="P1912" s="45">
        <f>IF(COUNTIFS($C:$C,$C1912,$D:$D,"P0(후)",$L:$L,"&gt;0")&lt;&gt;1,"",SUMIFS($H:$H,$C:$C,$C1912,$D:$D,"P0(후)"))</f>
        <v/>
      </c>
      <c r="Q1912" s="30">
        <f>IF(COUNTIFS($C:$C,$C1912,$D:$D,"P0(후)",$L:$L,"&gt;0")&lt;&gt;1,"",SUMIFS($L:$L,$C:$C,$C1912,$D:$D,"P0(후)"))</f>
        <v/>
      </c>
      <c r="R1912" s="30">
        <f>IF(M1912&lt;&gt;"OK","",O1912+(Q1912-O1912)*(H1912-N1912)/(P1912-N1912))</f>
        <v/>
      </c>
      <c r="S1912" s="30">
        <f>IF(OR(M1912&lt;&gt;"OK",NOT(ISNUMBER(L1912))),"",L1912-R1912)</f>
        <v/>
      </c>
      <c r="T1912" s="46">
        <f>IF(OR(NOT(ISNUMBER(S1912)),IF(ISNUMBER(G1912),G1912,F1912)=0),"",S1912/IF(ISNUMBER(G1912),G1912,F1912))</f>
        <v/>
      </c>
      <c r="U1912" s="46">
        <f>IF(ISNUMBER(T1912),ABS(T1912),"")</f>
        <v/>
      </c>
      <c r="V1912" s="46">
        <f>IF(OR($D1911&lt;&gt;"측정",$C1911&lt;&gt;$C1912,NOT(ISNUMBER(L1912)),NOT(ISNUMBER(L1911)),(IF(ISNUMBER(G1912),G1912,F1912)-IF(ISNUMBER(G1911),G1911,F1911))=0),"",(L1912-L1911)/(IF(ISNUMBER(G1912),G1912,F1912)-IF(ISNUMBER(G1911),G1911,F1911)))</f>
        <v/>
      </c>
      <c r="W1912" s="30">
        <f>IF(NOT(AND(ISNUMBER(N1912),ISNUMBER(P1912))),"",(P1912-N1912)*1440)</f>
        <v/>
      </c>
      <c r="X1912" s="28" t="n"/>
      <c r="Y1912" s="28" t="n"/>
      <c r="Z1912" s="28" t="n"/>
      <c r="AA1912" s="31" t="n"/>
      <c r="AB1912" s="31" t="n"/>
    </row>
    <row r="1913">
      <c r="A1913" s="25" t="inlineStr">
        <is>
          <t>S37</t>
        </is>
      </c>
      <c r="B1913" s="25" t="inlineStr">
        <is>
          <t>부안</t>
        </is>
      </c>
      <c r="C1913" s="25" t="inlineStr">
        <is>
          <t>S37-H남</t>
        </is>
      </c>
      <c r="D1913" s="25" t="inlineStr">
        <is>
          <t>측정</t>
        </is>
      </c>
      <c r="E1913" s="25" t="inlineStr">
        <is>
          <t>남</t>
        </is>
      </c>
      <c r="F1913" s="30" t="n">
        <v>9</v>
      </c>
      <c r="G1913" s="29" t="n"/>
      <c r="H1913" s="42" t="n"/>
      <c r="I1913" s="40" t="n"/>
      <c r="J1913" s="40" t="n"/>
      <c r="K1913" s="40" t="n"/>
      <c r="L1913" s="30">
        <f>IF(COUNT(I1913:K1913)=0,"",MEDIAN(I1913:K1913))</f>
        <v/>
      </c>
      <c r="M1913" s="25">
        <f>IF(COUNTIFS($C:$C,$C1913,$D:$D,"P0(전)",$L:$L,"&gt;0")&lt;&gt;1,"P0(전) 유효 1개 아님",IF(COUNTIFS($C:$C,$C1913,$D:$D,"P0(후)",$L:$L,"&gt;0")&lt;&gt;1,"P0(후) 유효 1개 아님",IF(NOT(AND(ISNUMBER(N1913),ISNUMBER(P1913),ISNUMBER(H1913))),"시각 결측",IF(P1913&lt;=N1913,"P0 시각 역전",IF(OR(H1913&lt;N1913,H1913&gt;P1913),"측정시각 구간 밖","OK")))))</f>
        <v/>
      </c>
      <c r="N1913" s="45">
        <f>IF(COUNTIFS($C:$C,$C1913,$D:$D,"P0(전)",$L:$L,"&gt;0")&lt;&gt;1,"",SUMIFS($H:$H,$C:$C,$C1913,$D:$D,"P0(전)"))</f>
        <v/>
      </c>
      <c r="O1913" s="30">
        <f>IF(COUNTIFS($C:$C,$C1913,$D:$D,"P0(전)",$L:$L,"&gt;0")&lt;&gt;1,"",SUMIFS($L:$L,$C:$C,$C1913,$D:$D,"P0(전)"))</f>
        <v/>
      </c>
      <c r="P1913" s="45">
        <f>IF(COUNTIFS($C:$C,$C1913,$D:$D,"P0(후)",$L:$L,"&gt;0")&lt;&gt;1,"",SUMIFS($H:$H,$C:$C,$C1913,$D:$D,"P0(후)"))</f>
        <v/>
      </c>
      <c r="Q1913" s="30">
        <f>IF(COUNTIFS($C:$C,$C1913,$D:$D,"P0(후)",$L:$L,"&gt;0")&lt;&gt;1,"",SUMIFS($L:$L,$C:$C,$C1913,$D:$D,"P0(후)"))</f>
        <v/>
      </c>
      <c r="R1913" s="30">
        <f>IF(M1913&lt;&gt;"OK","",O1913+(Q1913-O1913)*(H1913-N1913)/(P1913-N1913))</f>
        <v/>
      </c>
      <c r="S1913" s="30">
        <f>IF(OR(M1913&lt;&gt;"OK",NOT(ISNUMBER(L1913))),"",L1913-R1913)</f>
        <v/>
      </c>
      <c r="T1913" s="46">
        <f>IF(OR(NOT(ISNUMBER(S1913)),IF(ISNUMBER(G1913),G1913,F1913)=0),"",S1913/IF(ISNUMBER(G1913),G1913,F1913))</f>
        <v/>
      </c>
      <c r="U1913" s="46">
        <f>IF(ISNUMBER(T1913),ABS(T1913),"")</f>
        <v/>
      </c>
      <c r="V1913" s="46">
        <f>IF(OR($D1912&lt;&gt;"측정",$C1912&lt;&gt;$C1913,NOT(ISNUMBER(L1913)),NOT(ISNUMBER(L1912)),(IF(ISNUMBER(G1913),G1913,F1913)-IF(ISNUMBER(G1912),G1912,F1912))=0),"",(L1913-L1912)/(IF(ISNUMBER(G1913),G1913,F1913)-IF(ISNUMBER(G1912),G1912,F1912)))</f>
        <v/>
      </c>
      <c r="W1913" s="30">
        <f>IF(NOT(AND(ISNUMBER(N1913),ISNUMBER(P1913))),"",(P1913-N1913)*1440)</f>
        <v/>
      </c>
      <c r="X1913" s="28" t="n"/>
      <c r="Y1913" s="28" t="n"/>
      <c r="Z1913" s="28" t="n"/>
      <c r="AA1913" s="31" t="n"/>
      <c r="AB1913" s="31" t="n"/>
    </row>
    <row r="1914">
      <c r="A1914" s="25" t="inlineStr">
        <is>
          <t>S37</t>
        </is>
      </c>
      <c r="B1914" s="25" t="inlineStr">
        <is>
          <t>부안</t>
        </is>
      </c>
      <c r="C1914" s="25" t="inlineStr">
        <is>
          <t>S37-H남</t>
        </is>
      </c>
      <c r="D1914" s="25" t="inlineStr">
        <is>
          <t>측정</t>
        </is>
      </c>
      <c r="E1914" s="25" t="inlineStr">
        <is>
          <t>남</t>
        </is>
      </c>
      <c r="F1914" s="30" t="n">
        <v>10</v>
      </c>
      <c r="G1914" s="29" t="n"/>
      <c r="H1914" s="42" t="n"/>
      <c r="I1914" s="40" t="n"/>
      <c r="J1914" s="40" t="n"/>
      <c r="K1914" s="40" t="n"/>
      <c r="L1914" s="30">
        <f>IF(COUNT(I1914:K1914)=0,"",MEDIAN(I1914:K1914))</f>
        <v/>
      </c>
      <c r="M1914" s="25">
        <f>IF(COUNTIFS($C:$C,$C1914,$D:$D,"P0(전)",$L:$L,"&gt;0")&lt;&gt;1,"P0(전) 유효 1개 아님",IF(COUNTIFS($C:$C,$C1914,$D:$D,"P0(후)",$L:$L,"&gt;0")&lt;&gt;1,"P0(후) 유효 1개 아님",IF(NOT(AND(ISNUMBER(N1914),ISNUMBER(P1914),ISNUMBER(H1914))),"시각 결측",IF(P1914&lt;=N1914,"P0 시각 역전",IF(OR(H1914&lt;N1914,H1914&gt;P1914),"측정시각 구간 밖","OK")))))</f>
        <v/>
      </c>
      <c r="N1914" s="45">
        <f>IF(COUNTIFS($C:$C,$C1914,$D:$D,"P0(전)",$L:$L,"&gt;0")&lt;&gt;1,"",SUMIFS($H:$H,$C:$C,$C1914,$D:$D,"P0(전)"))</f>
        <v/>
      </c>
      <c r="O1914" s="30">
        <f>IF(COUNTIFS($C:$C,$C1914,$D:$D,"P0(전)",$L:$L,"&gt;0")&lt;&gt;1,"",SUMIFS($L:$L,$C:$C,$C1914,$D:$D,"P0(전)"))</f>
        <v/>
      </c>
      <c r="P1914" s="45">
        <f>IF(COUNTIFS($C:$C,$C1914,$D:$D,"P0(후)",$L:$L,"&gt;0")&lt;&gt;1,"",SUMIFS($H:$H,$C:$C,$C1914,$D:$D,"P0(후)"))</f>
        <v/>
      </c>
      <c r="Q1914" s="30">
        <f>IF(COUNTIFS($C:$C,$C1914,$D:$D,"P0(후)",$L:$L,"&gt;0")&lt;&gt;1,"",SUMIFS($L:$L,$C:$C,$C1914,$D:$D,"P0(후)"))</f>
        <v/>
      </c>
      <c r="R1914" s="30">
        <f>IF(M1914&lt;&gt;"OK","",O1914+(Q1914-O1914)*(H1914-N1914)/(P1914-N1914))</f>
        <v/>
      </c>
      <c r="S1914" s="30">
        <f>IF(OR(M1914&lt;&gt;"OK",NOT(ISNUMBER(L1914))),"",L1914-R1914)</f>
        <v/>
      </c>
      <c r="T1914" s="46">
        <f>IF(OR(NOT(ISNUMBER(S1914)),IF(ISNUMBER(G1914),G1914,F1914)=0),"",S1914/IF(ISNUMBER(G1914),G1914,F1914))</f>
        <v/>
      </c>
      <c r="U1914" s="46">
        <f>IF(ISNUMBER(T1914),ABS(T1914),"")</f>
        <v/>
      </c>
      <c r="V1914" s="46">
        <f>IF(OR($D1913&lt;&gt;"측정",$C1913&lt;&gt;$C1914,NOT(ISNUMBER(L1914)),NOT(ISNUMBER(L1913)),(IF(ISNUMBER(G1914),G1914,F1914)-IF(ISNUMBER(G1913),G1913,F1913))=0),"",(L1914-L1913)/(IF(ISNUMBER(G1914),G1914,F1914)-IF(ISNUMBER(G1913),G1913,F1913)))</f>
        <v/>
      </c>
      <c r="W1914" s="30">
        <f>IF(NOT(AND(ISNUMBER(N1914),ISNUMBER(P1914))),"",(P1914-N1914)*1440)</f>
        <v/>
      </c>
      <c r="X1914" s="28" t="n"/>
      <c r="Y1914" s="28" t="n"/>
      <c r="Z1914" s="28" t="n"/>
      <c r="AA1914" s="31" t="n"/>
      <c r="AB1914" s="31" t="n"/>
    </row>
    <row r="1915">
      <c r="A1915" s="43" t="inlineStr">
        <is>
          <t>S37</t>
        </is>
      </c>
      <c r="B1915" s="43" t="inlineStr">
        <is>
          <t>부안</t>
        </is>
      </c>
      <c r="C1915" s="43" t="inlineStr">
        <is>
          <t>S37-H남</t>
        </is>
      </c>
      <c r="D1915" s="43" t="inlineStr">
        <is>
          <t>P0(후)</t>
        </is>
      </c>
      <c r="E1915" s="43" t="inlineStr">
        <is>
          <t>남</t>
        </is>
      </c>
      <c r="F1915" s="44" t="n"/>
      <c r="G1915" s="29" t="n"/>
      <c r="H1915" s="42" t="n"/>
      <c r="I1915" s="40" t="n"/>
      <c r="J1915" s="40" t="n"/>
      <c r="K1915" s="40" t="n"/>
      <c r="L1915" s="30">
        <f>IF(COUNT(I1915:K1915)=0,"",MEDIAN(I1915:K1915))</f>
        <v/>
      </c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28" t="n"/>
      <c r="Y1915" s="28" t="n"/>
      <c r="Z1915" s="28" t="n"/>
      <c r="AA1915" s="31" t="n"/>
      <c r="AB1915" s="31" t="n"/>
    </row>
    <row r="1916">
      <c r="A1916" s="43" t="inlineStr">
        <is>
          <t>S37</t>
        </is>
      </c>
      <c r="B1916" s="43" t="inlineStr">
        <is>
          <t>부안</t>
        </is>
      </c>
      <c r="C1916" s="43" t="inlineStr">
        <is>
          <t>S37-H북</t>
        </is>
      </c>
      <c r="D1916" s="43" t="inlineStr">
        <is>
          <t>P0(전)</t>
        </is>
      </c>
      <c r="E1916" s="43" t="inlineStr">
        <is>
          <t>북</t>
        </is>
      </c>
      <c r="F1916" s="44" t="n"/>
      <c r="G1916" s="29" t="n"/>
      <c r="H1916" s="42" t="n"/>
      <c r="I1916" s="40" t="n"/>
      <c r="J1916" s="40" t="n"/>
      <c r="K1916" s="40" t="n"/>
      <c r="L1916" s="30">
        <f>IF(COUNT(I1916:K1916)=0,"",MEDIAN(I1916:K1916))</f>
        <v/>
      </c>
      <c r="M1916" s="37" t="n"/>
      <c r="N1916" s="37" t="n"/>
      <c r="O1916" s="37" t="n"/>
      <c r="P1916" s="37" t="n"/>
      <c r="Q1916" s="37" t="n"/>
      <c r="R1916" s="37" t="n"/>
      <c r="S1916" s="37" t="n"/>
      <c r="T1916" s="37" t="n"/>
      <c r="U1916" s="37" t="n"/>
      <c r="V1916" s="37" t="n"/>
      <c r="W1916" s="37" t="n"/>
      <c r="X1916" s="28" t="n"/>
      <c r="Y1916" s="28" t="n"/>
      <c r="Z1916" s="28" t="n"/>
      <c r="AA1916" s="31" t="n"/>
      <c r="AB1916" s="31" t="n"/>
    </row>
    <row r="1917">
      <c r="A1917" s="25" t="inlineStr">
        <is>
          <t>S37</t>
        </is>
      </c>
      <c r="B1917" s="25" t="inlineStr">
        <is>
          <t>부안</t>
        </is>
      </c>
      <c r="C1917" s="25" t="inlineStr">
        <is>
          <t>S37-H북</t>
        </is>
      </c>
      <c r="D1917" s="25" t="inlineStr">
        <is>
          <t>측정</t>
        </is>
      </c>
      <c r="E1917" s="25" t="inlineStr">
        <is>
          <t>북</t>
        </is>
      </c>
      <c r="F1917" s="30" t="n">
        <v>0.5</v>
      </c>
      <c r="G1917" s="29" t="n"/>
      <c r="H1917" s="42" t="n"/>
      <c r="I1917" s="40" t="n"/>
      <c r="J1917" s="40" t="n"/>
      <c r="K1917" s="40" t="n"/>
      <c r="L1917" s="30">
        <f>IF(COUNT(I1917:K1917)=0,"",MEDIAN(I1917:K1917))</f>
        <v/>
      </c>
      <c r="M1917" s="25">
        <f>IF(COUNTIFS($C:$C,$C1917,$D:$D,"P0(전)",$L:$L,"&gt;0")&lt;&gt;1,"P0(전) 유효 1개 아님",IF(COUNTIFS($C:$C,$C1917,$D:$D,"P0(후)",$L:$L,"&gt;0")&lt;&gt;1,"P0(후) 유효 1개 아님",IF(NOT(AND(ISNUMBER(N1917),ISNUMBER(P1917),ISNUMBER(H1917))),"시각 결측",IF(P1917&lt;=N1917,"P0 시각 역전",IF(OR(H1917&lt;N1917,H1917&gt;P1917),"측정시각 구간 밖","OK")))))</f>
        <v/>
      </c>
      <c r="N1917" s="45">
        <f>IF(COUNTIFS($C:$C,$C1917,$D:$D,"P0(전)",$L:$L,"&gt;0")&lt;&gt;1,"",SUMIFS($H:$H,$C:$C,$C1917,$D:$D,"P0(전)"))</f>
        <v/>
      </c>
      <c r="O1917" s="30">
        <f>IF(COUNTIFS($C:$C,$C1917,$D:$D,"P0(전)",$L:$L,"&gt;0")&lt;&gt;1,"",SUMIFS($L:$L,$C:$C,$C1917,$D:$D,"P0(전)"))</f>
        <v/>
      </c>
      <c r="P1917" s="45">
        <f>IF(COUNTIFS($C:$C,$C1917,$D:$D,"P0(후)",$L:$L,"&gt;0")&lt;&gt;1,"",SUMIFS($H:$H,$C:$C,$C1917,$D:$D,"P0(후)"))</f>
        <v/>
      </c>
      <c r="Q1917" s="30">
        <f>IF(COUNTIFS($C:$C,$C1917,$D:$D,"P0(후)",$L:$L,"&gt;0")&lt;&gt;1,"",SUMIFS($L:$L,$C:$C,$C1917,$D:$D,"P0(후)"))</f>
        <v/>
      </c>
      <c r="R1917" s="30">
        <f>IF(M1917&lt;&gt;"OK","",O1917+(Q1917-O1917)*(H1917-N1917)/(P1917-N1917))</f>
        <v/>
      </c>
      <c r="S1917" s="30">
        <f>IF(OR(M1917&lt;&gt;"OK",NOT(ISNUMBER(L1917))),"",L1917-R1917)</f>
        <v/>
      </c>
      <c r="T1917" s="46">
        <f>IF(OR(NOT(ISNUMBER(S1917)),IF(ISNUMBER(G1917),G1917,F1917)=0),"",S1917/IF(ISNUMBER(G1917),G1917,F1917))</f>
        <v/>
      </c>
      <c r="U1917" s="46">
        <f>IF(ISNUMBER(T1917),ABS(T1917),"")</f>
        <v/>
      </c>
      <c r="V1917" s="46">
        <f>IF(OR($D1916&lt;&gt;"측정",$C1916&lt;&gt;$C1917,NOT(ISNUMBER(L1917)),NOT(ISNUMBER(L1916)),(IF(ISNUMBER(G1917),G1917,F1917)-IF(ISNUMBER(G1916),G1916,F1916))=0),"",(L1917-L1916)/(IF(ISNUMBER(G1917),G1917,F1917)-IF(ISNUMBER(G1916),G1916,F1916)))</f>
        <v/>
      </c>
      <c r="W1917" s="30">
        <f>IF(NOT(AND(ISNUMBER(N1917),ISNUMBER(P1917))),"",(P1917-N1917)*1440)</f>
        <v/>
      </c>
      <c r="X1917" s="28" t="n"/>
      <c r="Y1917" s="28" t="n"/>
      <c r="Z1917" s="28" t="n"/>
      <c r="AA1917" s="31" t="n"/>
      <c r="AB1917" s="31" t="n"/>
    </row>
    <row r="1918">
      <c r="A1918" s="25" t="inlineStr">
        <is>
          <t>S37</t>
        </is>
      </c>
      <c r="B1918" s="25" t="inlineStr">
        <is>
          <t>부안</t>
        </is>
      </c>
      <c r="C1918" s="25" t="inlineStr">
        <is>
          <t>S37-H북</t>
        </is>
      </c>
      <c r="D1918" s="25" t="inlineStr">
        <is>
          <t>측정</t>
        </is>
      </c>
      <c r="E1918" s="25" t="inlineStr">
        <is>
          <t>북</t>
        </is>
      </c>
      <c r="F1918" s="30" t="n">
        <v>1</v>
      </c>
      <c r="G1918" s="29" t="n"/>
      <c r="H1918" s="42" t="n"/>
      <c r="I1918" s="40" t="n"/>
      <c r="J1918" s="40" t="n"/>
      <c r="K1918" s="40" t="n"/>
      <c r="L1918" s="30">
        <f>IF(COUNT(I1918:K1918)=0,"",MEDIAN(I1918:K1918))</f>
        <v/>
      </c>
      <c r="M1918" s="25">
        <f>IF(COUNTIFS($C:$C,$C1918,$D:$D,"P0(전)",$L:$L,"&gt;0")&lt;&gt;1,"P0(전) 유효 1개 아님",IF(COUNTIFS($C:$C,$C1918,$D:$D,"P0(후)",$L:$L,"&gt;0")&lt;&gt;1,"P0(후) 유효 1개 아님",IF(NOT(AND(ISNUMBER(N1918),ISNUMBER(P1918),ISNUMBER(H1918))),"시각 결측",IF(P1918&lt;=N1918,"P0 시각 역전",IF(OR(H1918&lt;N1918,H1918&gt;P1918),"측정시각 구간 밖","OK")))))</f>
        <v/>
      </c>
      <c r="N1918" s="45">
        <f>IF(COUNTIFS($C:$C,$C1918,$D:$D,"P0(전)",$L:$L,"&gt;0")&lt;&gt;1,"",SUMIFS($H:$H,$C:$C,$C1918,$D:$D,"P0(전)"))</f>
        <v/>
      </c>
      <c r="O1918" s="30">
        <f>IF(COUNTIFS($C:$C,$C1918,$D:$D,"P0(전)",$L:$L,"&gt;0")&lt;&gt;1,"",SUMIFS($L:$L,$C:$C,$C1918,$D:$D,"P0(전)"))</f>
        <v/>
      </c>
      <c r="P1918" s="45">
        <f>IF(COUNTIFS($C:$C,$C1918,$D:$D,"P0(후)",$L:$L,"&gt;0")&lt;&gt;1,"",SUMIFS($H:$H,$C:$C,$C1918,$D:$D,"P0(후)"))</f>
        <v/>
      </c>
      <c r="Q1918" s="30">
        <f>IF(COUNTIFS($C:$C,$C1918,$D:$D,"P0(후)",$L:$L,"&gt;0")&lt;&gt;1,"",SUMIFS($L:$L,$C:$C,$C1918,$D:$D,"P0(후)"))</f>
        <v/>
      </c>
      <c r="R1918" s="30">
        <f>IF(M1918&lt;&gt;"OK","",O1918+(Q1918-O1918)*(H1918-N1918)/(P1918-N1918))</f>
        <v/>
      </c>
      <c r="S1918" s="30">
        <f>IF(OR(M1918&lt;&gt;"OK",NOT(ISNUMBER(L1918))),"",L1918-R1918)</f>
        <v/>
      </c>
      <c r="T1918" s="46">
        <f>IF(OR(NOT(ISNUMBER(S1918)),IF(ISNUMBER(G1918),G1918,F1918)=0),"",S1918/IF(ISNUMBER(G1918),G1918,F1918))</f>
        <v/>
      </c>
      <c r="U1918" s="46">
        <f>IF(ISNUMBER(T1918),ABS(T1918),"")</f>
        <v/>
      </c>
      <c r="V1918" s="46">
        <f>IF(OR($D1917&lt;&gt;"측정",$C1917&lt;&gt;$C1918,NOT(ISNUMBER(L1918)),NOT(ISNUMBER(L1917)),(IF(ISNUMBER(G1918),G1918,F1918)-IF(ISNUMBER(G1917),G1917,F1917))=0),"",(L1918-L1917)/(IF(ISNUMBER(G1918),G1918,F1918)-IF(ISNUMBER(G1917),G1917,F1917)))</f>
        <v/>
      </c>
      <c r="W1918" s="30">
        <f>IF(NOT(AND(ISNUMBER(N1918),ISNUMBER(P1918))),"",(P1918-N1918)*1440)</f>
        <v/>
      </c>
      <c r="X1918" s="28" t="n"/>
      <c r="Y1918" s="28" t="n"/>
      <c r="Z1918" s="28" t="n"/>
      <c r="AA1918" s="31" t="n"/>
      <c r="AB1918" s="31" t="n"/>
    </row>
    <row r="1919">
      <c r="A1919" s="25" t="inlineStr">
        <is>
          <t>S37</t>
        </is>
      </c>
      <c r="B1919" s="25" t="inlineStr">
        <is>
          <t>부안</t>
        </is>
      </c>
      <c r="C1919" s="25" t="inlineStr">
        <is>
          <t>S37-H북</t>
        </is>
      </c>
      <c r="D1919" s="25" t="inlineStr">
        <is>
          <t>측정</t>
        </is>
      </c>
      <c r="E1919" s="25" t="inlineStr">
        <is>
          <t>북</t>
        </is>
      </c>
      <c r="F1919" s="30" t="n">
        <v>2</v>
      </c>
      <c r="G1919" s="29" t="n"/>
      <c r="H1919" s="42" t="n"/>
      <c r="I1919" s="40" t="n"/>
      <c r="J1919" s="40" t="n"/>
      <c r="K1919" s="40" t="n"/>
      <c r="L1919" s="30">
        <f>IF(COUNT(I1919:K1919)=0,"",MEDIAN(I1919:K1919))</f>
        <v/>
      </c>
      <c r="M1919" s="25">
        <f>IF(COUNTIFS($C:$C,$C1919,$D:$D,"P0(전)",$L:$L,"&gt;0")&lt;&gt;1,"P0(전) 유효 1개 아님",IF(COUNTIFS($C:$C,$C1919,$D:$D,"P0(후)",$L:$L,"&gt;0")&lt;&gt;1,"P0(후) 유효 1개 아님",IF(NOT(AND(ISNUMBER(N1919),ISNUMBER(P1919),ISNUMBER(H1919))),"시각 결측",IF(P1919&lt;=N1919,"P0 시각 역전",IF(OR(H1919&lt;N1919,H1919&gt;P1919),"측정시각 구간 밖","OK")))))</f>
        <v/>
      </c>
      <c r="N1919" s="45">
        <f>IF(COUNTIFS($C:$C,$C1919,$D:$D,"P0(전)",$L:$L,"&gt;0")&lt;&gt;1,"",SUMIFS($H:$H,$C:$C,$C1919,$D:$D,"P0(전)"))</f>
        <v/>
      </c>
      <c r="O1919" s="30">
        <f>IF(COUNTIFS($C:$C,$C1919,$D:$D,"P0(전)",$L:$L,"&gt;0")&lt;&gt;1,"",SUMIFS($L:$L,$C:$C,$C1919,$D:$D,"P0(전)"))</f>
        <v/>
      </c>
      <c r="P1919" s="45">
        <f>IF(COUNTIFS($C:$C,$C1919,$D:$D,"P0(후)",$L:$L,"&gt;0")&lt;&gt;1,"",SUMIFS($H:$H,$C:$C,$C1919,$D:$D,"P0(후)"))</f>
        <v/>
      </c>
      <c r="Q1919" s="30">
        <f>IF(COUNTIFS($C:$C,$C1919,$D:$D,"P0(후)",$L:$L,"&gt;0")&lt;&gt;1,"",SUMIFS($L:$L,$C:$C,$C1919,$D:$D,"P0(후)"))</f>
        <v/>
      </c>
      <c r="R1919" s="30">
        <f>IF(M1919&lt;&gt;"OK","",O1919+(Q1919-O1919)*(H1919-N1919)/(P1919-N1919))</f>
        <v/>
      </c>
      <c r="S1919" s="30">
        <f>IF(OR(M1919&lt;&gt;"OK",NOT(ISNUMBER(L1919))),"",L1919-R1919)</f>
        <v/>
      </c>
      <c r="T1919" s="46">
        <f>IF(OR(NOT(ISNUMBER(S1919)),IF(ISNUMBER(G1919),G1919,F1919)=0),"",S1919/IF(ISNUMBER(G1919),G1919,F1919))</f>
        <v/>
      </c>
      <c r="U1919" s="46">
        <f>IF(ISNUMBER(T1919),ABS(T1919),"")</f>
        <v/>
      </c>
      <c r="V1919" s="46">
        <f>IF(OR($D1918&lt;&gt;"측정",$C1918&lt;&gt;$C1919,NOT(ISNUMBER(L1919)),NOT(ISNUMBER(L1918)),(IF(ISNUMBER(G1919),G1919,F1919)-IF(ISNUMBER(G1918),G1918,F1918))=0),"",(L1919-L1918)/(IF(ISNUMBER(G1919),G1919,F1919)-IF(ISNUMBER(G1918),G1918,F1918)))</f>
        <v/>
      </c>
      <c r="W1919" s="30">
        <f>IF(NOT(AND(ISNUMBER(N1919),ISNUMBER(P1919))),"",(P1919-N1919)*1440)</f>
        <v/>
      </c>
      <c r="X1919" s="28" t="n"/>
      <c r="Y1919" s="28" t="n"/>
      <c r="Z1919" s="28" t="n"/>
      <c r="AA1919" s="31" t="n"/>
      <c r="AB1919" s="31" t="n"/>
    </row>
    <row r="1920">
      <c r="A1920" s="25" t="inlineStr">
        <is>
          <t>S37</t>
        </is>
      </c>
      <c r="B1920" s="25" t="inlineStr">
        <is>
          <t>부안</t>
        </is>
      </c>
      <c r="C1920" s="25" t="inlineStr">
        <is>
          <t>S37-H북</t>
        </is>
      </c>
      <c r="D1920" s="25" t="inlineStr">
        <is>
          <t>측정</t>
        </is>
      </c>
      <c r="E1920" s="25" t="inlineStr">
        <is>
          <t>북</t>
        </is>
      </c>
      <c r="F1920" s="30" t="n">
        <v>3</v>
      </c>
      <c r="G1920" s="29" t="n"/>
      <c r="H1920" s="42" t="n"/>
      <c r="I1920" s="40" t="n"/>
      <c r="J1920" s="40" t="n"/>
      <c r="K1920" s="40" t="n"/>
      <c r="L1920" s="30">
        <f>IF(COUNT(I1920:K1920)=0,"",MEDIAN(I1920:K1920))</f>
        <v/>
      </c>
      <c r="M1920" s="25">
        <f>IF(COUNTIFS($C:$C,$C1920,$D:$D,"P0(전)",$L:$L,"&gt;0")&lt;&gt;1,"P0(전) 유효 1개 아님",IF(COUNTIFS($C:$C,$C1920,$D:$D,"P0(후)",$L:$L,"&gt;0")&lt;&gt;1,"P0(후) 유효 1개 아님",IF(NOT(AND(ISNUMBER(N1920),ISNUMBER(P1920),ISNUMBER(H1920))),"시각 결측",IF(P1920&lt;=N1920,"P0 시각 역전",IF(OR(H1920&lt;N1920,H1920&gt;P1920),"측정시각 구간 밖","OK")))))</f>
        <v/>
      </c>
      <c r="N1920" s="45">
        <f>IF(COUNTIFS($C:$C,$C1920,$D:$D,"P0(전)",$L:$L,"&gt;0")&lt;&gt;1,"",SUMIFS($H:$H,$C:$C,$C1920,$D:$D,"P0(전)"))</f>
        <v/>
      </c>
      <c r="O1920" s="30">
        <f>IF(COUNTIFS($C:$C,$C1920,$D:$D,"P0(전)",$L:$L,"&gt;0")&lt;&gt;1,"",SUMIFS($L:$L,$C:$C,$C1920,$D:$D,"P0(전)"))</f>
        <v/>
      </c>
      <c r="P1920" s="45">
        <f>IF(COUNTIFS($C:$C,$C1920,$D:$D,"P0(후)",$L:$L,"&gt;0")&lt;&gt;1,"",SUMIFS($H:$H,$C:$C,$C1920,$D:$D,"P0(후)"))</f>
        <v/>
      </c>
      <c r="Q1920" s="30">
        <f>IF(COUNTIFS($C:$C,$C1920,$D:$D,"P0(후)",$L:$L,"&gt;0")&lt;&gt;1,"",SUMIFS($L:$L,$C:$C,$C1920,$D:$D,"P0(후)"))</f>
        <v/>
      </c>
      <c r="R1920" s="30">
        <f>IF(M1920&lt;&gt;"OK","",O1920+(Q1920-O1920)*(H1920-N1920)/(P1920-N1920))</f>
        <v/>
      </c>
      <c r="S1920" s="30">
        <f>IF(OR(M1920&lt;&gt;"OK",NOT(ISNUMBER(L1920))),"",L1920-R1920)</f>
        <v/>
      </c>
      <c r="T1920" s="46">
        <f>IF(OR(NOT(ISNUMBER(S1920)),IF(ISNUMBER(G1920),G1920,F1920)=0),"",S1920/IF(ISNUMBER(G1920),G1920,F1920))</f>
        <v/>
      </c>
      <c r="U1920" s="46">
        <f>IF(ISNUMBER(T1920),ABS(T1920),"")</f>
        <v/>
      </c>
      <c r="V1920" s="46">
        <f>IF(OR($D1919&lt;&gt;"측정",$C1919&lt;&gt;$C1920,NOT(ISNUMBER(L1920)),NOT(ISNUMBER(L1919)),(IF(ISNUMBER(G1920),G1920,F1920)-IF(ISNUMBER(G1919),G1919,F1919))=0),"",(L1920-L1919)/(IF(ISNUMBER(G1920),G1920,F1920)-IF(ISNUMBER(G1919),G1919,F1919)))</f>
        <v/>
      </c>
      <c r="W1920" s="30">
        <f>IF(NOT(AND(ISNUMBER(N1920),ISNUMBER(P1920))),"",(P1920-N1920)*1440)</f>
        <v/>
      </c>
      <c r="X1920" s="28" t="n"/>
      <c r="Y1920" s="28" t="n"/>
      <c r="Z1920" s="28" t="n"/>
      <c r="AA1920" s="31" t="n"/>
      <c r="AB1920" s="31" t="n"/>
    </row>
    <row r="1921">
      <c r="A1921" s="25" t="inlineStr">
        <is>
          <t>S37</t>
        </is>
      </c>
      <c r="B1921" s="25" t="inlineStr">
        <is>
          <t>부안</t>
        </is>
      </c>
      <c r="C1921" s="25" t="inlineStr">
        <is>
          <t>S37-H북</t>
        </is>
      </c>
      <c r="D1921" s="25" t="inlineStr">
        <is>
          <t>측정</t>
        </is>
      </c>
      <c r="E1921" s="25" t="inlineStr">
        <is>
          <t>북</t>
        </is>
      </c>
      <c r="F1921" s="30" t="n">
        <v>4</v>
      </c>
      <c r="G1921" s="29" t="n"/>
      <c r="H1921" s="42" t="n"/>
      <c r="I1921" s="40" t="n"/>
      <c r="J1921" s="40" t="n"/>
      <c r="K1921" s="40" t="n"/>
      <c r="L1921" s="30">
        <f>IF(COUNT(I1921:K1921)=0,"",MEDIAN(I1921:K1921))</f>
        <v/>
      </c>
      <c r="M1921" s="25">
        <f>IF(COUNTIFS($C:$C,$C1921,$D:$D,"P0(전)",$L:$L,"&gt;0")&lt;&gt;1,"P0(전) 유효 1개 아님",IF(COUNTIFS($C:$C,$C1921,$D:$D,"P0(후)",$L:$L,"&gt;0")&lt;&gt;1,"P0(후) 유효 1개 아님",IF(NOT(AND(ISNUMBER(N1921),ISNUMBER(P1921),ISNUMBER(H1921))),"시각 결측",IF(P1921&lt;=N1921,"P0 시각 역전",IF(OR(H1921&lt;N1921,H1921&gt;P1921),"측정시각 구간 밖","OK")))))</f>
        <v/>
      </c>
      <c r="N1921" s="45">
        <f>IF(COUNTIFS($C:$C,$C1921,$D:$D,"P0(전)",$L:$L,"&gt;0")&lt;&gt;1,"",SUMIFS($H:$H,$C:$C,$C1921,$D:$D,"P0(전)"))</f>
        <v/>
      </c>
      <c r="O1921" s="30">
        <f>IF(COUNTIFS($C:$C,$C1921,$D:$D,"P0(전)",$L:$L,"&gt;0")&lt;&gt;1,"",SUMIFS($L:$L,$C:$C,$C1921,$D:$D,"P0(전)"))</f>
        <v/>
      </c>
      <c r="P1921" s="45">
        <f>IF(COUNTIFS($C:$C,$C1921,$D:$D,"P0(후)",$L:$L,"&gt;0")&lt;&gt;1,"",SUMIFS($H:$H,$C:$C,$C1921,$D:$D,"P0(후)"))</f>
        <v/>
      </c>
      <c r="Q1921" s="30">
        <f>IF(COUNTIFS($C:$C,$C1921,$D:$D,"P0(후)",$L:$L,"&gt;0")&lt;&gt;1,"",SUMIFS($L:$L,$C:$C,$C1921,$D:$D,"P0(후)"))</f>
        <v/>
      </c>
      <c r="R1921" s="30">
        <f>IF(M1921&lt;&gt;"OK","",O1921+(Q1921-O1921)*(H1921-N1921)/(P1921-N1921))</f>
        <v/>
      </c>
      <c r="S1921" s="30">
        <f>IF(OR(M1921&lt;&gt;"OK",NOT(ISNUMBER(L1921))),"",L1921-R1921)</f>
        <v/>
      </c>
      <c r="T1921" s="46">
        <f>IF(OR(NOT(ISNUMBER(S1921)),IF(ISNUMBER(G1921),G1921,F1921)=0),"",S1921/IF(ISNUMBER(G1921),G1921,F1921))</f>
        <v/>
      </c>
      <c r="U1921" s="46">
        <f>IF(ISNUMBER(T1921),ABS(T1921),"")</f>
        <v/>
      </c>
      <c r="V1921" s="46">
        <f>IF(OR($D1920&lt;&gt;"측정",$C1920&lt;&gt;$C1921,NOT(ISNUMBER(L1921)),NOT(ISNUMBER(L1920)),(IF(ISNUMBER(G1921),G1921,F1921)-IF(ISNUMBER(G1920),G1920,F1920))=0),"",(L1921-L1920)/(IF(ISNUMBER(G1921),G1921,F1921)-IF(ISNUMBER(G1920),G1920,F1920)))</f>
        <v/>
      </c>
      <c r="W1921" s="30">
        <f>IF(NOT(AND(ISNUMBER(N1921),ISNUMBER(P1921))),"",(P1921-N1921)*1440)</f>
        <v/>
      </c>
      <c r="X1921" s="28" t="n"/>
      <c r="Y1921" s="28" t="n"/>
      <c r="Z1921" s="28" t="n"/>
      <c r="AA1921" s="31" t="n"/>
      <c r="AB1921" s="31" t="n"/>
    </row>
    <row r="1922">
      <c r="A1922" s="25" t="inlineStr">
        <is>
          <t>S37</t>
        </is>
      </c>
      <c r="B1922" s="25" t="inlineStr">
        <is>
          <t>부안</t>
        </is>
      </c>
      <c r="C1922" s="25" t="inlineStr">
        <is>
          <t>S37-H북</t>
        </is>
      </c>
      <c r="D1922" s="25" t="inlineStr">
        <is>
          <t>측정</t>
        </is>
      </c>
      <c r="E1922" s="25" t="inlineStr">
        <is>
          <t>북</t>
        </is>
      </c>
      <c r="F1922" s="30" t="n">
        <v>5</v>
      </c>
      <c r="G1922" s="29" t="n"/>
      <c r="H1922" s="42" t="n"/>
      <c r="I1922" s="40" t="n"/>
      <c r="J1922" s="40" t="n"/>
      <c r="K1922" s="40" t="n"/>
      <c r="L1922" s="30">
        <f>IF(COUNT(I1922:K1922)=0,"",MEDIAN(I1922:K1922))</f>
        <v/>
      </c>
      <c r="M1922" s="25">
        <f>IF(COUNTIFS($C:$C,$C1922,$D:$D,"P0(전)",$L:$L,"&gt;0")&lt;&gt;1,"P0(전) 유효 1개 아님",IF(COUNTIFS($C:$C,$C1922,$D:$D,"P0(후)",$L:$L,"&gt;0")&lt;&gt;1,"P0(후) 유효 1개 아님",IF(NOT(AND(ISNUMBER(N1922),ISNUMBER(P1922),ISNUMBER(H1922))),"시각 결측",IF(P1922&lt;=N1922,"P0 시각 역전",IF(OR(H1922&lt;N1922,H1922&gt;P1922),"측정시각 구간 밖","OK")))))</f>
        <v/>
      </c>
      <c r="N1922" s="45">
        <f>IF(COUNTIFS($C:$C,$C1922,$D:$D,"P0(전)",$L:$L,"&gt;0")&lt;&gt;1,"",SUMIFS($H:$H,$C:$C,$C1922,$D:$D,"P0(전)"))</f>
        <v/>
      </c>
      <c r="O1922" s="30">
        <f>IF(COUNTIFS($C:$C,$C1922,$D:$D,"P0(전)",$L:$L,"&gt;0")&lt;&gt;1,"",SUMIFS($L:$L,$C:$C,$C1922,$D:$D,"P0(전)"))</f>
        <v/>
      </c>
      <c r="P1922" s="45">
        <f>IF(COUNTIFS($C:$C,$C1922,$D:$D,"P0(후)",$L:$L,"&gt;0")&lt;&gt;1,"",SUMIFS($H:$H,$C:$C,$C1922,$D:$D,"P0(후)"))</f>
        <v/>
      </c>
      <c r="Q1922" s="30">
        <f>IF(COUNTIFS($C:$C,$C1922,$D:$D,"P0(후)",$L:$L,"&gt;0")&lt;&gt;1,"",SUMIFS($L:$L,$C:$C,$C1922,$D:$D,"P0(후)"))</f>
        <v/>
      </c>
      <c r="R1922" s="30">
        <f>IF(M1922&lt;&gt;"OK","",O1922+(Q1922-O1922)*(H1922-N1922)/(P1922-N1922))</f>
        <v/>
      </c>
      <c r="S1922" s="30">
        <f>IF(OR(M1922&lt;&gt;"OK",NOT(ISNUMBER(L1922))),"",L1922-R1922)</f>
        <v/>
      </c>
      <c r="T1922" s="46">
        <f>IF(OR(NOT(ISNUMBER(S1922)),IF(ISNUMBER(G1922),G1922,F1922)=0),"",S1922/IF(ISNUMBER(G1922),G1922,F1922))</f>
        <v/>
      </c>
      <c r="U1922" s="46">
        <f>IF(ISNUMBER(T1922),ABS(T1922),"")</f>
        <v/>
      </c>
      <c r="V1922" s="46">
        <f>IF(OR($D1921&lt;&gt;"측정",$C1921&lt;&gt;$C1922,NOT(ISNUMBER(L1922)),NOT(ISNUMBER(L1921)),(IF(ISNUMBER(G1922),G1922,F1922)-IF(ISNUMBER(G1921),G1921,F1921))=0),"",(L1922-L1921)/(IF(ISNUMBER(G1922),G1922,F1922)-IF(ISNUMBER(G1921),G1921,F1921)))</f>
        <v/>
      </c>
      <c r="W1922" s="30">
        <f>IF(NOT(AND(ISNUMBER(N1922),ISNUMBER(P1922))),"",(P1922-N1922)*1440)</f>
        <v/>
      </c>
      <c r="X1922" s="28" t="n"/>
      <c r="Y1922" s="28" t="n"/>
      <c r="Z1922" s="28" t="n"/>
      <c r="AA1922" s="31" t="n"/>
      <c r="AB1922" s="31" t="n"/>
    </row>
    <row r="1923">
      <c r="A1923" s="25" t="inlineStr">
        <is>
          <t>S37</t>
        </is>
      </c>
      <c r="B1923" s="25" t="inlineStr">
        <is>
          <t>부안</t>
        </is>
      </c>
      <c r="C1923" s="25" t="inlineStr">
        <is>
          <t>S37-H북</t>
        </is>
      </c>
      <c r="D1923" s="25" t="inlineStr">
        <is>
          <t>측정</t>
        </is>
      </c>
      <c r="E1923" s="25" t="inlineStr">
        <is>
          <t>북</t>
        </is>
      </c>
      <c r="F1923" s="30" t="n">
        <v>6</v>
      </c>
      <c r="G1923" s="29" t="n"/>
      <c r="H1923" s="42" t="n"/>
      <c r="I1923" s="40" t="n"/>
      <c r="J1923" s="40" t="n"/>
      <c r="K1923" s="40" t="n"/>
      <c r="L1923" s="30">
        <f>IF(COUNT(I1923:K1923)=0,"",MEDIAN(I1923:K1923))</f>
        <v/>
      </c>
      <c r="M1923" s="25">
        <f>IF(COUNTIFS($C:$C,$C1923,$D:$D,"P0(전)",$L:$L,"&gt;0")&lt;&gt;1,"P0(전) 유효 1개 아님",IF(COUNTIFS($C:$C,$C1923,$D:$D,"P0(후)",$L:$L,"&gt;0")&lt;&gt;1,"P0(후) 유효 1개 아님",IF(NOT(AND(ISNUMBER(N1923),ISNUMBER(P1923),ISNUMBER(H1923))),"시각 결측",IF(P1923&lt;=N1923,"P0 시각 역전",IF(OR(H1923&lt;N1923,H1923&gt;P1923),"측정시각 구간 밖","OK")))))</f>
        <v/>
      </c>
      <c r="N1923" s="45">
        <f>IF(COUNTIFS($C:$C,$C1923,$D:$D,"P0(전)",$L:$L,"&gt;0")&lt;&gt;1,"",SUMIFS($H:$H,$C:$C,$C1923,$D:$D,"P0(전)"))</f>
        <v/>
      </c>
      <c r="O1923" s="30">
        <f>IF(COUNTIFS($C:$C,$C1923,$D:$D,"P0(전)",$L:$L,"&gt;0")&lt;&gt;1,"",SUMIFS($L:$L,$C:$C,$C1923,$D:$D,"P0(전)"))</f>
        <v/>
      </c>
      <c r="P1923" s="45">
        <f>IF(COUNTIFS($C:$C,$C1923,$D:$D,"P0(후)",$L:$L,"&gt;0")&lt;&gt;1,"",SUMIFS($H:$H,$C:$C,$C1923,$D:$D,"P0(후)"))</f>
        <v/>
      </c>
      <c r="Q1923" s="30">
        <f>IF(COUNTIFS($C:$C,$C1923,$D:$D,"P0(후)",$L:$L,"&gt;0")&lt;&gt;1,"",SUMIFS($L:$L,$C:$C,$C1923,$D:$D,"P0(후)"))</f>
        <v/>
      </c>
      <c r="R1923" s="30">
        <f>IF(M1923&lt;&gt;"OK","",O1923+(Q1923-O1923)*(H1923-N1923)/(P1923-N1923))</f>
        <v/>
      </c>
      <c r="S1923" s="30">
        <f>IF(OR(M1923&lt;&gt;"OK",NOT(ISNUMBER(L1923))),"",L1923-R1923)</f>
        <v/>
      </c>
      <c r="T1923" s="46">
        <f>IF(OR(NOT(ISNUMBER(S1923)),IF(ISNUMBER(G1923),G1923,F1923)=0),"",S1923/IF(ISNUMBER(G1923),G1923,F1923))</f>
        <v/>
      </c>
      <c r="U1923" s="46">
        <f>IF(ISNUMBER(T1923),ABS(T1923),"")</f>
        <v/>
      </c>
      <c r="V1923" s="46">
        <f>IF(OR($D1922&lt;&gt;"측정",$C1922&lt;&gt;$C1923,NOT(ISNUMBER(L1923)),NOT(ISNUMBER(L1922)),(IF(ISNUMBER(G1923),G1923,F1923)-IF(ISNUMBER(G1922),G1922,F1922))=0),"",(L1923-L1922)/(IF(ISNUMBER(G1923),G1923,F1923)-IF(ISNUMBER(G1922),G1922,F1922)))</f>
        <v/>
      </c>
      <c r="W1923" s="30">
        <f>IF(NOT(AND(ISNUMBER(N1923),ISNUMBER(P1923))),"",(P1923-N1923)*1440)</f>
        <v/>
      </c>
      <c r="X1923" s="28" t="n"/>
      <c r="Y1923" s="28" t="n"/>
      <c r="Z1923" s="28" t="n"/>
      <c r="AA1923" s="31" t="n"/>
      <c r="AB1923" s="31" t="n"/>
    </row>
    <row r="1924">
      <c r="A1924" s="25" t="inlineStr">
        <is>
          <t>S37</t>
        </is>
      </c>
      <c r="B1924" s="25" t="inlineStr">
        <is>
          <t>부안</t>
        </is>
      </c>
      <c r="C1924" s="25" t="inlineStr">
        <is>
          <t>S37-H북</t>
        </is>
      </c>
      <c r="D1924" s="25" t="inlineStr">
        <is>
          <t>측정</t>
        </is>
      </c>
      <c r="E1924" s="25" t="inlineStr">
        <is>
          <t>북</t>
        </is>
      </c>
      <c r="F1924" s="30" t="n">
        <v>7</v>
      </c>
      <c r="G1924" s="29" t="n"/>
      <c r="H1924" s="42" t="n"/>
      <c r="I1924" s="40" t="n"/>
      <c r="J1924" s="40" t="n"/>
      <c r="K1924" s="40" t="n"/>
      <c r="L1924" s="30">
        <f>IF(COUNT(I1924:K1924)=0,"",MEDIAN(I1924:K1924))</f>
        <v/>
      </c>
      <c r="M1924" s="25">
        <f>IF(COUNTIFS($C:$C,$C1924,$D:$D,"P0(전)",$L:$L,"&gt;0")&lt;&gt;1,"P0(전) 유효 1개 아님",IF(COUNTIFS($C:$C,$C1924,$D:$D,"P0(후)",$L:$L,"&gt;0")&lt;&gt;1,"P0(후) 유효 1개 아님",IF(NOT(AND(ISNUMBER(N1924),ISNUMBER(P1924),ISNUMBER(H1924))),"시각 결측",IF(P1924&lt;=N1924,"P0 시각 역전",IF(OR(H1924&lt;N1924,H1924&gt;P1924),"측정시각 구간 밖","OK")))))</f>
        <v/>
      </c>
      <c r="N1924" s="45">
        <f>IF(COUNTIFS($C:$C,$C1924,$D:$D,"P0(전)",$L:$L,"&gt;0")&lt;&gt;1,"",SUMIFS($H:$H,$C:$C,$C1924,$D:$D,"P0(전)"))</f>
        <v/>
      </c>
      <c r="O1924" s="30">
        <f>IF(COUNTIFS($C:$C,$C1924,$D:$D,"P0(전)",$L:$L,"&gt;0")&lt;&gt;1,"",SUMIFS($L:$L,$C:$C,$C1924,$D:$D,"P0(전)"))</f>
        <v/>
      </c>
      <c r="P1924" s="45">
        <f>IF(COUNTIFS($C:$C,$C1924,$D:$D,"P0(후)",$L:$L,"&gt;0")&lt;&gt;1,"",SUMIFS($H:$H,$C:$C,$C1924,$D:$D,"P0(후)"))</f>
        <v/>
      </c>
      <c r="Q1924" s="30">
        <f>IF(COUNTIFS($C:$C,$C1924,$D:$D,"P0(후)",$L:$L,"&gt;0")&lt;&gt;1,"",SUMIFS($L:$L,$C:$C,$C1924,$D:$D,"P0(후)"))</f>
        <v/>
      </c>
      <c r="R1924" s="30">
        <f>IF(M1924&lt;&gt;"OK","",O1924+(Q1924-O1924)*(H1924-N1924)/(P1924-N1924))</f>
        <v/>
      </c>
      <c r="S1924" s="30">
        <f>IF(OR(M1924&lt;&gt;"OK",NOT(ISNUMBER(L1924))),"",L1924-R1924)</f>
        <v/>
      </c>
      <c r="T1924" s="46">
        <f>IF(OR(NOT(ISNUMBER(S1924)),IF(ISNUMBER(G1924),G1924,F1924)=0),"",S1924/IF(ISNUMBER(G1924),G1924,F1924))</f>
        <v/>
      </c>
      <c r="U1924" s="46">
        <f>IF(ISNUMBER(T1924),ABS(T1924),"")</f>
        <v/>
      </c>
      <c r="V1924" s="46">
        <f>IF(OR($D1923&lt;&gt;"측정",$C1923&lt;&gt;$C1924,NOT(ISNUMBER(L1924)),NOT(ISNUMBER(L1923)),(IF(ISNUMBER(G1924),G1924,F1924)-IF(ISNUMBER(G1923),G1923,F1923))=0),"",(L1924-L1923)/(IF(ISNUMBER(G1924),G1924,F1924)-IF(ISNUMBER(G1923),G1923,F1923)))</f>
        <v/>
      </c>
      <c r="W1924" s="30">
        <f>IF(NOT(AND(ISNUMBER(N1924),ISNUMBER(P1924))),"",(P1924-N1924)*1440)</f>
        <v/>
      </c>
      <c r="X1924" s="28" t="n"/>
      <c r="Y1924" s="28" t="n"/>
      <c r="Z1924" s="28" t="n"/>
      <c r="AA1924" s="31" t="n"/>
      <c r="AB1924" s="31" t="n"/>
    </row>
    <row r="1925">
      <c r="A1925" s="25" t="inlineStr">
        <is>
          <t>S37</t>
        </is>
      </c>
      <c r="B1925" s="25" t="inlineStr">
        <is>
          <t>부안</t>
        </is>
      </c>
      <c r="C1925" s="25" t="inlineStr">
        <is>
          <t>S37-H북</t>
        </is>
      </c>
      <c r="D1925" s="25" t="inlineStr">
        <is>
          <t>측정</t>
        </is>
      </c>
      <c r="E1925" s="25" t="inlineStr">
        <is>
          <t>북</t>
        </is>
      </c>
      <c r="F1925" s="30" t="n">
        <v>8</v>
      </c>
      <c r="G1925" s="29" t="n"/>
      <c r="H1925" s="42" t="n"/>
      <c r="I1925" s="40" t="n"/>
      <c r="J1925" s="40" t="n"/>
      <c r="K1925" s="40" t="n"/>
      <c r="L1925" s="30">
        <f>IF(COUNT(I1925:K1925)=0,"",MEDIAN(I1925:K1925))</f>
        <v/>
      </c>
      <c r="M1925" s="25">
        <f>IF(COUNTIFS($C:$C,$C1925,$D:$D,"P0(전)",$L:$L,"&gt;0")&lt;&gt;1,"P0(전) 유효 1개 아님",IF(COUNTIFS($C:$C,$C1925,$D:$D,"P0(후)",$L:$L,"&gt;0")&lt;&gt;1,"P0(후) 유효 1개 아님",IF(NOT(AND(ISNUMBER(N1925),ISNUMBER(P1925),ISNUMBER(H1925))),"시각 결측",IF(P1925&lt;=N1925,"P0 시각 역전",IF(OR(H1925&lt;N1925,H1925&gt;P1925),"측정시각 구간 밖","OK")))))</f>
        <v/>
      </c>
      <c r="N1925" s="45">
        <f>IF(COUNTIFS($C:$C,$C1925,$D:$D,"P0(전)",$L:$L,"&gt;0")&lt;&gt;1,"",SUMIFS($H:$H,$C:$C,$C1925,$D:$D,"P0(전)"))</f>
        <v/>
      </c>
      <c r="O1925" s="30">
        <f>IF(COUNTIFS($C:$C,$C1925,$D:$D,"P0(전)",$L:$L,"&gt;0")&lt;&gt;1,"",SUMIFS($L:$L,$C:$C,$C1925,$D:$D,"P0(전)"))</f>
        <v/>
      </c>
      <c r="P1925" s="45">
        <f>IF(COUNTIFS($C:$C,$C1925,$D:$D,"P0(후)",$L:$L,"&gt;0")&lt;&gt;1,"",SUMIFS($H:$H,$C:$C,$C1925,$D:$D,"P0(후)"))</f>
        <v/>
      </c>
      <c r="Q1925" s="30">
        <f>IF(COUNTIFS($C:$C,$C1925,$D:$D,"P0(후)",$L:$L,"&gt;0")&lt;&gt;1,"",SUMIFS($L:$L,$C:$C,$C1925,$D:$D,"P0(후)"))</f>
        <v/>
      </c>
      <c r="R1925" s="30">
        <f>IF(M1925&lt;&gt;"OK","",O1925+(Q1925-O1925)*(H1925-N1925)/(P1925-N1925))</f>
        <v/>
      </c>
      <c r="S1925" s="30">
        <f>IF(OR(M1925&lt;&gt;"OK",NOT(ISNUMBER(L1925))),"",L1925-R1925)</f>
        <v/>
      </c>
      <c r="T1925" s="46">
        <f>IF(OR(NOT(ISNUMBER(S1925)),IF(ISNUMBER(G1925),G1925,F1925)=0),"",S1925/IF(ISNUMBER(G1925),G1925,F1925))</f>
        <v/>
      </c>
      <c r="U1925" s="46">
        <f>IF(ISNUMBER(T1925),ABS(T1925),"")</f>
        <v/>
      </c>
      <c r="V1925" s="46">
        <f>IF(OR($D1924&lt;&gt;"측정",$C1924&lt;&gt;$C1925,NOT(ISNUMBER(L1925)),NOT(ISNUMBER(L1924)),(IF(ISNUMBER(G1925),G1925,F1925)-IF(ISNUMBER(G1924),G1924,F1924))=0),"",(L1925-L1924)/(IF(ISNUMBER(G1925),G1925,F1925)-IF(ISNUMBER(G1924),G1924,F1924)))</f>
        <v/>
      </c>
      <c r="W1925" s="30">
        <f>IF(NOT(AND(ISNUMBER(N1925),ISNUMBER(P1925))),"",(P1925-N1925)*1440)</f>
        <v/>
      </c>
      <c r="X1925" s="28" t="n"/>
      <c r="Y1925" s="28" t="n"/>
      <c r="Z1925" s="28" t="n"/>
      <c r="AA1925" s="31" t="n"/>
      <c r="AB1925" s="31" t="n"/>
    </row>
    <row r="1926">
      <c r="A1926" s="25" t="inlineStr">
        <is>
          <t>S37</t>
        </is>
      </c>
      <c r="B1926" s="25" t="inlineStr">
        <is>
          <t>부안</t>
        </is>
      </c>
      <c r="C1926" s="25" t="inlineStr">
        <is>
          <t>S37-H북</t>
        </is>
      </c>
      <c r="D1926" s="25" t="inlineStr">
        <is>
          <t>측정</t>
        </is>
      </c>
      <c r="E1926" s="25" t="inlineStr">
        <is>
          <t>북</t>
        </is>
      </c>
      <c r="F1926" s="30" t="n">
        <v>9</v>
      </c>
      <c r="G1926" s="29" t="n"/>
      <c r="H1926" s="42" t="n"/>
      <c r="I1926" s="40" t="n"/>
      <c r="J1926" s="40" t="n"/>
      <c r="K1926" s="40" t="n"/>
      <c r="L1926" s="30">
        <f>IF(COUNT(I1926:K1926)=0,"",MEDIAN(I1926:K1926))</f>
        <v/>
      </c>
      <c r="M1926" s="25">
        <f>IF(COUNTIFS($C:$C,$C1926,$D:$D,"P0(전)",$L:$L,"&gt;0")&lt;&gt;1,"P0(전) 유효 1개 아님",IF(COUNTIFS($C:$C,$C1926,$D:$D,"P0(후)",$L:$L,"&gt;0")&lt;&gt;1,"P0(후) 유효 1개 아님",IF(NOT(AND(ISNUMBER(N1926),ISNUMBER(P1926),ISNUMBER(H1926))),"시각 결측",IF(P1926&lt;=N1926,"P0 시각 역전",IF(OR(H1926&lt;N1926,H1926&gt;P1926),"측정시각 구간 밖","OK")))))</f>
        <v/>
      </c>
      <c r="N1926" s="45">
        <f>IF(COUNTIFS($C:$C,$C1926,$D:$D,"P0(전)",$L:$L,"&gt;0")&lt;&gt;1,"",SUMIFS($H:$H,$C:$C,$C1926,$D:$D,"P0(전)"))</f>
        <v/>
      </c>
      <c r="O1926" s="30">
        <f>IF(COUNTIFS($C:$C,$C1926,$D:$D,"P0(전)",$L:$L,"&gt;0")&lt;&gt;1,"",SUMIFS($L:$L,$C:$C,$C1926,$D:$D,"P0(전)"))</f>
        <v/>
      </c>
      <c r="P1926" s="45">
        <f>IF(COUNTIFS($C:$C,$C1926,$D:$D,"P0(후)",$L:$L,"&gt;0")&lt;&gt;1,"",SUMIFS($H:$H,$C:$C,$C1926,$D:$D,"P0(후)"))</f>
        <v/>
      </c>
      <c r="Q1926" s="30">
        <f>IF(COUNTIFS($C:$C,$C1926,$D:$D,"P0(후)",$L:$L,"&gt;0")&lt;&gt;1,"",SUMIFS($L:$L,$C:$C,$C1926,$D:$D,"P0(후)"))</f>
        <v/>
      </c>
      <c r="R1926" s="30">
        <f>IF(M1926&lt;&gt;"OK","",O1926+(Q1926-O1926)*(H1926-N1926)/(P1926-N1926))</f>
        <v/>
      </c>
      <c r="S1926" s="30">
        <f>IF(OR(M1926&lt;&gt;"OK",NOT(ISNUMBER(L1926))),"",L1926-R1926)</f>
        <v/>
      </c>
      <c r="T1926" s="46">
        <f>IF(OR(NOT(ISNUMBER(S1926)),IF(ISNUMBER(G1926),G1926,F1926)=0),"",S1926/IF(ISNUMBER(G1926),G1926,F1926))</f>
        <v/>
      </c>
      <c r="U1926" s="46">
        <f>IF(ISNUMBER(T1926),ABS(T1926),"")</f>
        <v/>
      </c>
      <c r="V1926" s="46">
        <f>IF(OR($D1925&lt;&gt;"측정",$C1925&lt;&gt;$C1926,NOT(ISNUMBER(L1926)),NOT(ISNUMBER(L1925)),(IF(ISNUMBER(G1926),G1926,F1926)-IF(ISNUMBER(G1925),G1925,F1925))=0),"",(L1926-L1925)/(IF(ISNUMBER(G1926),G1926,F1926)-IF(ISNUMBER(G1925),G1925,F1925)))</f>
        <v/>
      </c>
      <c r="W1926" s="30">
        <f>IF(NOT(AND(ISNUMBER(N1926),ISNUMBER(P1926))),"",(P1926-N1926)*1440)</f>
        <v/>
      </c>
      <c r="X1926" s="28" t="n"/>
      <c r="Y1926" s="28" t="n"/>
      <c r="Z1926" s="28" t="n"/>
      <c r="AA1926" s="31" t="n"/>
      <c r="AB1926" s="31" t="n"/>
    </row>
    <row r="1927">
      <c r="A1927" s="25" t="inlineStr">
        <is>
          <t>S37</t>
        </is>
      </c>
      <c r="B1927" s="25" t="inlineStr">
        <is>
          <t>부안</t>
        </is>
      </c>
      <c r="C1927" s="25" t="inlineStr">
        <is>
          <t>S37-H북</t>
        </is>
      </c>
      <c r="D1927" s="25" t="inlineStr">
        <is>
          <t>측정</t>
        </is>
      </c>
      <c r="E1927" s="25" t="inlineStr">
        <is>
          <t>북</t>
        </is>
      </c>
      <c r="F1927" s="30" t="n">
        <v>10</v>
      </c>
      <c r="G1927" s="29" t="n"/>
      <c r="H1927" s="42" t="n"/>
      <c r="I1927" s="40" t="n"/>
      <c r="J1927" s="40" t="n"/>
      <c r="K1927" s="40" t="n"/>
      <c r="L1927" s="30">
        <f>IF(COUNT(I1927:K1927)=0,"",MEDIAN(I1927:K1927))</f>
        <v/>
      </c>
      <c r="M1927" s="25">
        <f>IF(COUNTIFS($C:$C,$C1927,$D:$D,"P0(전)",$L:$L,"&gt;0")&lt;&gt;1,"P0(전) 유효 1개 아님",IF(COUNTIFS($C:$C,$C1927,$D:$D,"P0(후)",$L:$L,"&gt;0")&lt;&gt;1,"P0(후) 유효 1개 아님",IF(NOT(AND(ISNUMBER(N1927),ISNUMBER(P1927),ISNUMBER(H1927))),"시각 결측",IF(P1927&lt;=N1927,"P0 시각 역전",IF(OR(H1927&lt;N1927,H1927&gt;P1927),"측정시각 구간 밖","OK")))))</f>
        <v/>
      </c>
      <c r="N1927" s="45">
        <f>IF(COUNTIFS($C:$C,$C1927,$D:$D,"P0(전)",$L:$L,"&gt;0")&lt;&gt;1,"",SUMIFS($H:$H,$C:$C,$C1927,$D:$D,"P0(전)"))</f>
        <v/>
      </c>
      <c r="O1927" s="30">
        <f>IF(COUNTIFS($C:$C,$C1927,$D:$D,"P0(전)",$L:$L,"&gt;0")&lt;&gt;1,"",SUMIFS($L:$L,$C:$C,$C1927,$D:$D,"P0(전)"))</f>
        <v/>
      </c>
      <c r="P1927" s="45">
        <f>IF(COUNTIFS($C:$C,$C1927,$D:$D,"P0(후)",$L:$L,"&gt;0")&lt;&gt;1,"",SUMIFS($H:$H,$C:$C,$C1927,$D:$D,"P0(후)"))</f>
        <v/>
      </c>
      <c r="Q1927" s="30">
        <f>IF(COUNTIFS($C:$C,$C1927,$D:$D,"P0(후)",$L:$L,"&gt;0")&lt;&gt;1,"",SUMIFS($L:$L,$C:$C,$C1927,$D:$D,"P0(후)"))</f>
        <v/>
      </c>
      <c r="R1927" s="30">
        <f>IF(M1927&lt;&gt;"OK","",O1927+(Q1927-O1927)*(H1927-N1927)/(P1927-N1927))</f>
        <v/>
      </c>
      <c r="S1927" s="30">
        <f>IF(OR(M1927&lt;&gt;"OK",NOT(ISNUMBER(L1927))),"",L1927-R1927)</f>
        <v/>
      </c>
      <c r="T1927" s="46">
        <f>IF(OR(NOT(ISNUMBER(S1927)),IF(ISNUMBER(G1927),G1927,F1927)=0),"",S1927/IF(ISNUMBER(G1927),G1927,F1927))</f>
        <v/>
      </c>
      <c r="U1927" s="46">
        <f>IF(ISNUMBER(T1927),ABS(T1927),"")</f>
        <v/>
      </c>
      <c r="V1927" s="46">
        <f>IF(OR($D1926&lt;&gt;"측정",$C1926&lt;&gt;$C1927,NOT(ISNUMBER(L1927)),NOT(ISNUMBER(L1926)),(IF(ISNUMBER(G1927),G1927,F1927)-IF(ISNUMBER(G1926),G1926,F1926))=0),"",(L1927-L1926)/(IF(ISNUMBER(G1927),G1927,F1927)-IF(ISNUMBER(G1926),G1926,F1926)))</f>
        <v/>
      </c>
      <c r="W1927" s="30">
        <f>IF(NOT(AND(ISNUMBER(N1927),ISNUMBER(P1927))),"",(P1927-N1927)*1440)</f>
        <v/>
      </c>
      <c r="X1927" s="28" t="n"/>
      <c r="Y1927" s="28" t="n"/>
      <c r="Z1927" s="28" t="n"/>
      <c r="AA1927" s="31" t="n"/>
      <c r="AB1927" s="31" t="n"/>
    </row>
    <row r="1928">
      <c r="A1928" s="43" t="inlineStr">
        <is>
          <t>S37</t>
        </is>
      </c>
      <c r="B1928" s="43" t="inlineStr">
        <is>
          <t>부안</t>
        </is>
      </c>
      <c r="C1928" s="43" t="inlineStr">
        <is>
          <t>S37-H북</t>
        </is>
      </c>
      <c r="D1928" s="43" t="inlineStr">
        <is>
          <t>P0(후)</t>
        </is>
      </c>
      <c r="E1928" s="43" t="inlineStr">
        <is>
          <t>북</t>
        </is>
      </c>
      <c r="F1928" s="44" t="n"/>
      <c r="G1928" s="29" t="n"/>
      <c r="H1928" s="42" t="n"/>
      <c r="I1928" s="40" t="n"/>
      <c r="J1928" s="40" t="n"/>
      <c r="K1928" s="40" t="n"/>
      <c r="L1928" s="30">
        <f>IF(COUNT(I1928:K1928)=0,"",MEDIAN(I1928:K1928))</f>
        <v/>
      </c>
      <c r="M1928" s="37" t="n"/>
      <c r="N1928" s="37" t="n"/>
      <c r="O1928" s="37" t="n"/>
      <c r="P1928" s="37" t="n"/>
      <c r="Q1928" s="37" t="n"/>
      <c r="R1928" s="37" t="n"/>
      <c r="S1928" s="37" t="n"/>
      <c r="T1928" s="37" t="n"/>
      <c r="U1928" s="37" t="n"/>
      <c r="V1928" s="37" t="n"/>
      <c r="W1928" s="37" t="n"/>
      <c r="X1928" s="28" t="n"/>
      <c r="Y1928" s="28" t="n"/>
      <c r="Z1928" s="28" t="n"/>
      <c r="AA1928" s="31" t="n"/>
      <c r="AB1928" s="31" t="n"/>
    </row>
    <row r="1929">
      <c r="A1929" s="43" t="inlineStr">
        <is>
          <t>S38</t>
        </is>
      </c>
      <c r="B1929" s="43" t="inlineStr">
        <is>
          <t>강화</t>
        </is>
      </c>
      <c r="C1929" s="43" t="inlineStr">
        <is>
          <t>S38-H동</t>
        </is>
      </c>
      <c r="D1929" s="43" t="inlineStr">
        <is>
          <t>P0(전)</t>
        </is>
      </c>
      <c r="E1929" s="43" t="inlineStr">
        <is>
          <t>동</t>
        </is>
      </c>
      <c r="F1929" s="44" t="n"/>
      <c r="G1929" s="29" t="n"/>
      <c r="H1929" s="42" t="n"/>
      <c r="I1929" s="40" t="n"/>
      <c r="J1929" s="40" t="n"/>
      <c r="K1929" s="40" t="n"/>
      <c r="L1929" s="30">
        <f>IF(COUNT(I1929:K1929)=0,"",MEDIAN(I1929:K1929))</f>
        <v/>
      </c>
      <c r="M1929" s="37" t="n"/>
      <c r="N1929" s="37" t="n"/>
      <c r="O1929" s="37" t="n"/>
      <c r="P1929" s="37" t="n"/>
      <c r="Q1929" s="37" t="n"/>
      <c r="R1929" s="37" t="n"/>
      <c r="S1929" s="37" t="n"/>
      <c r="T1929" s="37" t="n"/>
      <c r="U1929" s="37" t="n"/>
      <c r="V1929" s="37" t="n"/>
      <c r="W1929" s="37" t="n"/>
      <c r="X1929" s="28" t="n"/>
      <c r="Y1929" s="28" t="n"/>
      <c r="Z1929" s="28" t="n"/>
      <c r="AA1929" s="31" t="n"/>
      <c r="AB1929" s="31" t="n"/>
    </row>
    <row r="1930">
      <c r="A1930" s="25" t="inlineStr">
        <is>
          <t>S38</t>
        </is>
      </c>
      <c r="B1930" s="25" t="inlineStr">
        <is>
          <t>강화</t>
        </is>
      </c>
      <c r="C1930" s="25" t="inlineStr">
        <is>
          <t>S38-H동</t>
        </is>
      </c>
      <c r="D1930" s="25" t="inlineStr">
        <is>
          <t>측정</t>
        </is>
      </c>
      <c r="E1930" s="25" t="inlineStr">
        <is>
          <t>동</t>
        </is>
      </c>
      <c r="F1930" s="30" t="n">
        <v>0.5</v>
      </c>
      <c r="G1930" s="29" t="n"/>
      <c r="H1930" s="42" t="n"/>
      <c r="I1930" s="40" t="n"/>
      <c r="J1930" s="40" t="n"/>
      <c r="K1930" s="40" t="n"/>
      <c r="L1930" s="30">
        <f>IF(COUNT(I1930:K1930)=0,"",MEDIAN(I1930:K1930))</f>
        <v/>
      </c>
      <c r="M1930" s="25">
        <f>IF(COUNTIFS($C:$C,$C1930,$D:$D,"P0(전)",$L:$L,"&gt;0")&lt;&gt;1,"P0(전) 유효 1개 아님",IF(COUNTIFS($C:$C,$C1930,$D:$D,"P0(후)",$L:$L,"&gt;0")&lt;&gt;1,"P0(후) 유효 1개 아님",IF(NOT(AND(ISNUMBER(N1930),ISNUMBER(P1930),ISNUMBER(H1930))),"시각 결측",IF(P1930&lt;=N1930,"P0 시각 역전",IF(OR(H1930&lt;N1930,H1930&gt;P1930),"측정시각 구간 밖","OK")))))</f>
        <v/>
      </c>
      <c r="N1930" s="45">
        <f>IF(COUNTIFS($C:$C,$C1930,$D:$D,"P0(전)",$L:$L,"&gt;0")&lt;&gt;1,"",SUMIFS($H:$H,$C:$C,$C1930,$D:$D,"P0(전)"))</f>
        <v/>
      </c>
      <c r="O1930" s="30">
        <f>IF(COUNTIFS($C:$C,$C1930,$D:$D,"P0(전)",$L:$L,"&gt;0")&lt;&gt;1,"",SUMIFS($L:$L,$C:$C,$C1930,$D:$D,"P0(전)"))</f>
        <v/>
      </c>
      <c r="P1930" s="45">
        <f>IF(COUNTIFS($C:$C,$C1930,$D:$D,"P0(후)",$L:$L,"&gt;0")&lt;&gt;1,"",SUMIFS($H:$H,$C:$C,$C1930,$D:$D,"P0(후)"))</f>
        <v/>
      </c>
      <c r="Q1930" s="30">
        <f>IF(COUNTIFS($C:$C,$C1930,$D:$D,"P0(후)",$L:$L,"&gt;0")&lt;&gt;1,"",SUMIFS($L:$L,$C:$C,$C1930,$D:$D,"P0(후)"))</f>
        <v/>
      </c>
      <c r="R1930" s="30">
        <f>IF(M1930&lt;&gt;"OK","",O1930+(Q1930-O1930)*(H1930-N1930)/(P1930-N1930))</f>
        <v/>
      </c>
      <c r="S1930" s="30">
        <f>IF(OR(M1930&lt;&gt;"OK",NOT(ISNUMBER(L1930))),"",L1930-R1930)</f>
        <v/>
      </c>
      <c r="T1930" s="46">
        <f>IF(OR(NOT(ISNUMBER(S1930)),IF(ISNUMBER(G1930),G1930,F1930)=0),"",S1930/IF(ISNUMBER(G1930),G1930,F1930))</f>
        <v/>
      </c>
      <c r="U1930" s="46">
        <f>IF(ISNUMBER(T1930),ABS(T1930),"")</f>
        <v/>
      </c>
      <c r="V1930" s="46">
        <f>IF(OR($D1929&lt;&gt;"측정",$C1929&lt;&gt;$C1930,NOT(ISNUMBER(L1930)),NOT(ISNUMBER(L1929)),(IF(ISNUMBER(G1930),G1930,F1930)-IF(ISNUMBER(G1929),G1929,F1929))=0),"",(L1930-L1929)/(IF(ISNUMBER(G1930),G1930,F1930)-IF(ISNUMBER(G1929),G1929,F1929)))</f>
        <v/>
      </c>
      <c r="W1930" s="30">
        <f>IF(NOT(AND(ISNUMBER(N1930),ISNUMBER(P1930))),"",(P1930-N1930)*1440)</f>
        <v/>
      </c>
      <c r="X1930" s="28" t="n"/>
      <c r="Y1930" s="28" t="n"/>
      <c r="Z1930" s="28" t="n"/>
      <c r="AA1930" s="31" t="n"/>
      <c r="AB1930" s="31" t="n"/>
    </row>
    <row r="1931">
      <c r="A1931" s="25" t="inlineStr">
        <is>
          <t>S38</t>
        </is>
      </c>
      <c r="B1931" s="25" t="inlineStr">
        <is>
          <t>강화</t>
        </is>
      </c>
      <c r="C1931" s="25" t="inlineStr">
        <is>
          <t>S38-H동</t>
        </is>
      </c>
      <c r="D1931" s="25" t="inlineStr">
        <is>
          <t>측정</t>
        </is>
      </c>
      <c r="E1931" s="25" t="inlineStr">
        <is>
          <t>동</t>
        </is>
      </c>
      <c r="F1931" s="30" t="n">
        <v>1</v>
      </c>
      <c r="G1931" s="29" t="n"/>
      <c r="H1931" s="42" t="n"/>
      <c r="I1931" s="40" t="n"/>
      <c r="J1931" s="40" t="n"/>
      <c r="K1931" s="40" t="n"/>
      <c r="L1931" s="30">
        <f>IF(COUNT(I1931:K1931)=0,"",MEDIAN(I1931:K1931))</f>
        <v/>
      </c>
      <c r="M1931" s="25">
        <f>IF(COUNTIFS($C:$C,$C1931,$D:$D,"P0(전)",$L:$L,"&gt;0")&lt;&gt;1,"P0(전) 유효 1개 아님",IF(COUNTIFS($C:$C,$C1931,$D:$D,"P0(후)",$L:$L,"&gt;0")&lt;&gt;1,"P0(후) 유효 1개 아님",IF(NOT(AND(ISNUMBER(N1931),ISNUMBER(P1931),ISNUMBER(H1931))),"시각 결측",IF(P1931&lt;=N1931,"P0 시각 역전",IF(OR(H1931&lt;N1931,H1931&gt;P1931),"측정시각 구간 밖","OK")))))</f>
        <v/>
      </c>
      <c r="N1931" s="45">
        <f>IF(COUNTIFS($C:$C,$C1931,$D:$D,"P0(전)",$L:$L,"&gt;0")&lt;&gt;1,"",SUMIFS($H:$H,$C:$C,$C1931,$D:$D,"P0(전)"))</f>
        <v/>
      </c>
      <c r="O1931" s="30">
        <f>IF(COUNTIFS($C:$C,$C1931,$D:$D,"P0(전)",$L:$L,"&gt;0")&lt;&gt;1,"",SUMIFS($L:$L,$C:$C,$C1931,$D:$D,"P0(전)"))</f>
        <v/>
      </c>
      <c r="P1931" s="45">
        <f>IF(COUNTIFS($C:$C,$C1931,$D:$D,"P0(후)",$L:$L,"&gt;0")&lt;&gt;1,"",SUMIFS($H:$H,$C:$C,$C1931,$D:$D,"P0(후)"))</f>
        <v/>
      </c>
      <c r="Q1931" s="30">
        <f>IF(COUNTIFS($C:$C,$C1931,$D:$D,"P0(후)",$L:$L,"&gt;0")&lt;&gt;1,"",SUMIFS($L:$L,$C:$C,$C1931,$D:$D,"P0(후)"))</f>
        <v/>
      </c>
      <c r="R1931" s="30">
        <f>IF(M1931&lt;&gt;"OK","",O1931+(Q1931-O1931)*(H1931-N1931)/(P1931-N1931))</f>
        <v/>
      </c>
      <c r="S1931" s="30">
        <f>IF(OR(M1931&lt;&gt;"OK",NOT(ISNUMBER(L1931))),"",L1931-R1931)</f>
        <v/>
      </c>
      <c r="T1931" s="46">
        <f>IF(OR(NOT(ISNUMBER(S1931)),IF(ISNUMBER(G1931),G1931,F1931)=0),"",S1931/IF(ISNUMBER(G1931),G1931,F1931))</f>
        <v/>
      </c>
      <c r="U1931" s="46">
        <f>IF(ISNUMBER(T1931),ABS(T1931),"")</f>
        <v/>
      </c>
      <c r="V1931" s="46">
        <f>IF(OR($D1930&lt;&gt;"측정",$C1930&lt;&gt;$C1931,NOT(ISNUMBER(L1931)),NOT(ISNUMBER(L1930)),(IF(ISNUMBER(G1931),G1931,F1931)-IF(ISNUMBER(G1930),G1930,F1930))=0),"",(L1931-L1930)/(IF(ISNUMBER(G1931),G1931,F1931)-IF(ISNUMBER(G1930),G1930,F1930)))</f>
        <v/>
      </c>
      <c r="W1931" s="30">
        <f>IF(NOT(AND(ISNUMBER(N1931),ISNUMBER(P1931))),"",(P1931-N1931)*1440)</f>
        <v/>
      </c>
      <c r="X1931" s="28" t="n"/>
      <c r="Y1931" s="28" t="n"/>
      <c r="Z1931" s="28" t="n"/>
      <c r="AA1931" s="31" t="n"/>
      <c r="AB1931" s="31" t="n"/>
    </row>
    <row r="1932">
      <c r="A1932" s="25" t="inlineStr">
        <is>
          <t>S38</t>
        </is>
      </c>
      <c r="B1932" s="25" t="inlineStr">
        <is>
          <t>강화</t>
        </is>
      </c>
      <c r="C1932" s="25" t="inlineStr">
        <is>
          <t>S38-H동</t>
        </is>
      </c>
      <c r="D1932" s="25" t="inlineStr">
        <is>
          <t>측정</t>
        </is>
      </c>
      <c r="E1932" s="25" t="inlineStr">
        <is>
          <t>동</t>
        </is>
      </c>
      <c r="F1932" s="30" t="n">
        <v>2</v>
      </c>
      <c r="G1932" s="29" t="n"/>
      <c r="H1932" s="42" t="n"/>
      <c r="I1932" s="40" t="n"/>
      <c r="J1932" s="40" t="n"/>
      <c r="K1932" s="40" t="n"/>
      <c r="L1932" s="30">
        <f>IF(COUNT(I1932:K1932)=0,"",MEDIAN(I1932:K1932))</f>
        <v/>
      </c>
      <c r="M1932" s="25">
        <f>IF(COUNTIFS($C:$C,$C1932,$D:$D,"P0(전)",$L:$L,"&gt;0")&lt;&gt;1,"P0(전) 유효 1개 아님",IF(COUNTIFS($C:$C,$C1932,$D:$D,"P0(후)",$L:$L,"&gt;0")&lt;&gt;1,"P0(후) 유효 1개 아님",IF(NOT(AND(ISNUMBER(N1932),ISNUMBER(P1932),ISNUMBER(H1932))),"시각 결측",IF(P1932&lt;=N1932,"P0 시각 역전",IF(OR(H1932&lt;N1932,H1932&gt;P1932),"측정시각 구간 밖","OK")))))</f>
        <v/>
      </c>
      <c r="N1932" s="45">
        <f>IF(COUNTIFS($C:$C,$C1932,$D:$D,"P0(전)",$L:$L,"&gt;0")&lt;&gt;1,"",SUMIFS($H:$H,$C:$C,$C1932,$D:$D,"P0(전)"))</f>
        <v/>
      </c>
      <c r="O1932" s="30">
        <f>IF(COUNTIFS($C:$C,$C1932,$D:$D,"P0(전)",$L:$L,"&gt;0")&lt;&gt;1,"",SUMIFS($L:$L,$C:$C,$C1932,$D:$D,"P0(전)"))</f>
        <v/>
      </c>
      <c r="P1932" s="45">
        <f>IF(COUNTIFS($C:$C,$C1932,$D:$D,"P0(후)",$L:$L,"&gt;0")&lt;&gt;1,"",SUMIFS($H:$H,$C:$C,$C1932,$D:$D,"P0(후)"))</f>
        <v/>
      </c>
      <c r="Q1932" s="30">
        <f>IF(COUNTIFS($C:$C,$C1932,$D:$D,"P0(후)",$L:$L,"&gt;0")&lt;&gt;1,"",SUMIFS($L:$L,$C:$C,$C1932,$D:$D,"P0(후)"))</f>
        <v/>
      </c>
      <c r="R1932" s="30">
        <f>IF(M1932&lt;&gt;"OK","",O1932+(Q1932-O1932)*(H1932-N1932)/(P1932-N1932))</f>
        <v/>
      </c>
      <c r="S1932" s="30">
        <f>IF(OR(M1932&lt;&gt;"OK",NOT(ISNUMBER(L1932))),"",L1932-R1932)</f>
        <v/>
      </c>
      <c r="T1932" s="46">
        <f>IF(OR(NOT(ISNUMBER(S1932)),IF(ISNUMBER(G1932),G1932,F1932)=0),"",S1932/IF(ISNUMBER(G1932),G1932,F1932))</f>
        <v/>
      </c>
      <c r="U1932" s="46">
        <f>IF(ISNUMBER(T1932),ABS(T1932),"")</f>
        <v/>
      </c>
      <c r="V1932" s="46">
        <f>IF(OR($D1931&lt;&gt;"측정",$C1931&lt;&gt;$C1932,NOT(ISNUMBER(L1932)),NOT(ISNUMBER(L1931)),(IF(ISNUMBER(G1932),G1932,F1932)-IF(ISNUMBER(G1931),G1931,F1931))=0),"",(L1932-L1931)/(IF(ISNUMBER(G1932),G1932,F1932)-IF(ISNUMBER(G1931),G1931,F1931)))</f>
        <v/>
      </c>
      <c r="W1932" s="30">
        <f>IF(NOT(AND(ISNUMBER(N1932),ISNUMBER(P1932))),"",(P1932-N1932)*1440)</f>
        <v/>
      </c>
      <c r="X1932" s="28" t="n"/>
      <c r="Y1932" s="28" t="n"/>
      <c r="Z1932" s="28" t="n"/>
      <c r="AA1932" s="31" t="n"/>
      <c r="AB1932" s="31" t="n"/>
    </row>
    <row r="1933">
      <c r="A1933" s="25" t="inlineStr">
        <is>
          <t>S38</t>
        </is>
      </c>
      <c r="B1933" s="25" t="inlineStr">
        <is>
          <t>강화</t>
        </is>
      </c>
      <c r="C1933" s="25" t="inlineStr">
        <is>
          <t>S38-H동</t>
        </is>
      </c>
      <c r="D1933" s="25" t="inlineStr">
        <is>
          <t>측정</t>
        </is>
      </c>
      <c r="E1933" s="25" t="inlineStr">
        <is>
          <t>동</t>
        </is>
      </c>
      <c r="F1933" s="30" t="n">
        <v>3</v>
      </c>
      <c r="G1933" s="29" t="n"/>
      <c r="H1933" s="42" t="n"/>
      <c r="I1933" s="40" t="n"/>
      <c r="J1933" s="40" t="n"/>
      <c r="K1933" s="40" t="n"/>
      <c r="L1933" s="30">
        <f>IF(COUNT(I1933:K1933)=0,"",MEDIAN(I1933:K1933))</f>
        <v/>
      </c>
      <c r="M1933" s="25">
        <f>IF(COUNTIFS($C:$C,$C1933,$D:$D,"P0(전)",$L:$L,"&gt;0")&lt;&gt;1,"P0(전) 유효 1개 아님",IF(COUNTIFS($C:$C,$C1933,$D:$D,"P0(후)",$L:$L,"&gt;0")&lt;&gt;1,"P0(후) 유효 1개 아님",IF(NOT(AND(ISNUMBER(N1933),ISNUMBER(P1933),ISNUMBER(H1933))),"시각 결측",IF(P1933&lt;=N1933,"P0 시각 역전",IF(OR(H1933&lt;N1933,H1933&gt;P1933),"측정시각 구간 밖","OK")))))</f>
        <v/>
      </c>
      <c r="N1933" s="45">
        <f>IF(COUNTIFS($C:$C,$C1933,$D:$D,"P0(전)",$L:$L,"&gt;0")&lt;&gt;1,"",SUMIFS($H:$H,$C:$C,$C1933,$D:$D,"P0(전)"))</f>
        <v/>
      </c>
      <c r="O1933" s="30">
        <f>IF(COUNTIFS($C:$C,$C1933,$D:$D,"P0(전)",$L:$L,"&gt;0")&lt;&gt;1,"",SUMIFS($L:$L,$C:$C,$C1933,$D:$D,"P0(전)"))</f>
        <v/>
      </c>
      <c r="P1933" s="45">
        <f>IF(COUNTIFS($C:$C,$C1933,$D:$D,"P0(후)",$L:$L,"&gt;0")&lt;&gt;1,"",SUMIFS($H:$H,$C:$C,$C1933,$D:$D,"P0(후)"))</f>
        <v/>
      </c>
      <c r="Q1933" s="30">
        <f>IF(COUNTIFS($C:$C,$C1933,$D:$D,"P0(후)",$L:$L,"&gt;0")&lt;&gt;1,"",SUMIFS($L:$L,$C:$C,$C1933,$D:$D,"P0(후)"))</f>
        <v/>
      </c>
      <c r="R1933" s="30">
        <f>IF(M1933&lt;&gt;"OK","",O1933+(Q1933-O1933)*(H1933-N1933)/(P1933-N1933))</f>
        <v/>
      </c>
      <c r="S1933" s="30">
        <f>IF(OR(M1933&lt;&gt;"OK",NOT(ISNUMBER(L1933))),"",L1933-R1933)</f>
        <v/>
      </c>
      <c r="T1933" s="46">
        <f>IF(OR(NOT(ISNUMBER(S1933)),IF(ISNUMBER(G1933),G1933,F1933)=0),"",S1933/IF(ISNUMBER(G1933),G1933,F1933))</f>
        <v/>
      </c>
      <c r="U1933" s="46">
        <f>IF(ISNUMBER(T1933),ABS(T1933),"")</f>
        <v/>
      </c>
      <c r="V1933" s="46">
        <f>IF(OR($D1932&lt;&gt;"측정",$C1932&lt;&gt;$C1933,NOT(ISNUMBER(L1933)),NOT(ISNUMBER(L1932)),(IF(ISNUMBER(G1933),G1933,F1933)-IF(ISNUMBER(G1932),G1932,F1932))=0),"",(L1933-L1932)/(IF(ISNUMBER(G1933),G1933,F1933)-IF(ISNUMBER(G1932),G1932,F1932)))</f>
        <v/>
      </c>
      <c r="W1933" s="30">
        <f>IF(NOT(AND(ISNUMBER(N1933),ISNUMBER(P1933))),"",(P1933-N1933)*1440)</f>
        <v/>
      </c>
      <c r="X1933" s="28" t="n"/>
      <c r="Y1933" s="28" t="n"/>
      <c r="Z1933" s="28" t="n"/>
      <c r="AA1933" s="31" t="n"/>
      <c r="AB1933" s="31" t="n"/>
    </row>
    <row r="1934">
      <c r="A1934" s="25" t="inlineStr">
        <is>
          <t>S38</t>
        </is>
      </c>
      <c r="B1934" s="25" t="inlineStr">
        <is>
          <t>강화</t>
        </is>
      </c>
      <c r="C1934" s="25" t="inlineStr">
        <is>
          <t>S38-H동</t>
        </is>
      </c>
      <c r="D1934" s="25" t="inlineStr">
        <is>
          <t>측정</t>
        </is>
      </c>
      <c r="E1934" s="25" t="inlineStr">
        <is>
          <t>동</t>
        </is>
      </c>
      <c r="F1934" s="30" t="n">
        <v>4</v>
      </c>
      <c r="G1934" s="29" t="n"/>
      <c r="H1934" s="42" t="n"/>
      <c r="I1934" s="40" t="n"/>
      <c r="J1934" s="40" t="n"/>
      <c r="K1934" s="40" t="n"/>
      <c r="L1934" s="30">
        <f>IF(COUNT(I1934:K1934)=0,"",MEDIAN(I1934:K1934))</f>
        <v/>
      </c>
      <c r="M1934" s="25">
        <f>IF(COUNTIFS($C:$C,$C1934,$D:$D,"P0(전)",$L:$L,"&gt;0")&lt;&gt;1,"P0(전) 유효 1개 아님",IF(COUNTIFS($C:$C,$C1934,$D:$D,"P0(후)",$L:$L,"&gt;0")&lt;&gt;1,"P0(후) 유효 1개 아님",IF(NOT(AND(ISNUMBER(N1934),ISNUMBER(P1934),ISNUMBER(H1934))),"시각 결측",IF(P1934&lt;=N1934,"P0 시각 역전",IF(OR(H1934&lt;N1934,H1934&gt;P1934),"측정시각 구간 밖","OK")))))</f>
        <v/>
      </c>
      <c r="N1934" s="45">
        <f>IF(COUNTIFS($C:$C,$C1934,$D:$D,"P0(전)",$L:$L,"&gt;0")&lt;&gt;1,"",SUMIFS($H:$H,$C:$C,$C1934,$D:$D,"P0(전)"))</f>
        <v/>
      </c>
      <c r="O1934" s="30">
        <f>IF(COUNTIFS($C:$C,$C1934,$D:$D,"P0(전)",$L:$L,"&gt;0")&lt;&gt;1,"",SUMIFS($L:$L,$C:$C,$C1934,$D:$D,"P0(전)"))</f>
        <v/>
      </c>
      <c r="P1934" s="45">
        <f>IF(COUNTIFS($C:$C,$C1934,$D:$D,"P0(후)",$L:$L,"&gt;0")&lt;&gt;1,"",SUMIFS($H:$H,$C:$C,$C1934,$D:$D,"P0(후)"))</f>
        <v/>
      </c>
      <c r="Q1934" s="30">
        <f>IF(COUNTIFS($C:$C,$C1934,$D:$D,"P0(후)",$L:$L,"&gt;0")&lt;&gt;1,"",SUMIFS($L:$L,$C:$C,$C1934,$D:$D,"P0(후)"))</f>
        <v/>
      </c>
      <c r="R1934" s="30">
        <f>IF(M1934&lt;&gt;"OK","",O1934+(Q1934-O1934)*(H1934-N1934)/(P1934-N1934))</f>
        <v/>
      </c>
      <c r="S1934" s="30">
        <f>IF(OR(M1934&lt;&gt;"OK",NOT(ISNUMBER(L1934))),"",L1934-R1934)</f>
        <v/>
      </c>
      <c r="T1934" s="46">
        <f>IF(OR(NOT(ISNUMBER(S1934)),IF(ISNUMBER(G1934),G1934,F1934)=0),"",S1934/IF(ISNUMBER(G1934),G1934,F1934))</f>
        <v/>
      </c>
      <c r="U1934" s="46">
        <f>IF(ISNUMBER(T1934),ABS(T1934),"")</f>
        <v/>
      </c>
      <c r="V1934" s="46">
        <f>IF(OR($D1933&lt;&gt;"측정",$C1933&lt;&gt;$C1934,NOT(ISNUMBER(L1934)),NOT(ISNUMBER(L1933)),(IF(ISNUMBER(G1934),G1934,F1934)-IF(ISNUMBER(G1933),G1933,F1933))=0),"",(L1934-L1933)/(IF(ISNUMBER(G1934),G1934,F1934)-IF(ISNUMBER(G1933),G1933,F1933)))</f>
        <v/>
      </c>
      <c r="W1934" s="30">
        <f>IF(NOT(AND(ISNUMBER(N1934),ISNUMBER(P1934))),"",(P1934-N1934)*1440)</f>
        <v/>
      </c>
      <c r="X1934" s="28" t="n"/>
      <c r="Y1934" s="28" t="n"/>
      <c r="Z1934" s="28" t="n"/>
      <c r="AA1934" s="31" t="n"/>
      <c r="AB1934" s="31" t="n"/>
    </row>
    <row r="1935">
      <c r="A1935" s="25" t="inlineStr">
        <is>
          <t>S38</t>
        </is>
      </c>
      <c r="B1935" s="25" t="inlineStr">
        <is>
          <t>강화</t>
        </is>
      </c>
      <c r="C1935" s="25" t="inlineStr">
        <is>
          <t>S38-H동</t>
        </is>
      </c>
      <c r="D1935" s="25" t="inlineStr">
        <is>
          <t>측정</t>
        </is>
      </c>
      <c r="E1935" s="25" t="inlineStr">
        <is>
          <t>동</t>
        </is>
      </c>
      <c r="F1935" s="30" t="n">
        <v>5</v>
      </c>
      <c r="G1935" s="29" t="n"/>
      <c r="H1935" s="42" t="n"/>
      <c r="I1935" s="40" t="n"/>
      <c r="J1935" s="40" t="n"/>
      <c r="K1935" s="40" t="n"/>
      <c r="L1935" s="30">
        <f>IF(COUNT(I1935:K1935)=0,"",MEDIAN(I1935:K1935))</f>
        <v/>
      </c>
      <c r="M1935" s="25">
        <f>IF(COUNTIFS($C:$C,$C1935,$D:$D,"P0(전)",$L:$L,"&gt;0")&lt;&gt;1,"P0(전) 유효 1개 아님",IF(COUNTIFS($C:$C,$C1935,$D:$D,"P0(후)",$L:$L,"&gt;0")&lt;&gt;1,"P0(후) 유효 1개 아님",IF(NOT(AND(ISNUMBER(N1935),ISNUMBER(P1935),ISNUMBER(H1935))),"시각 결측",IF(P1935&lt;=N1935,"P0 시각 역전",IF(OR(H1935&lt;N1935,H1935&gt;P1935),"측정시각 구간 밖","OK")))))</f>
        <v/>
      </c>
      <c r="N1935" s="45">
        <f>IF(COUNTIFS($C:$C,$C1935,$D:$D,"P0(전)",$L:$L,"&gt;0")&lt;&gt;1,"",SUMIFS($H:$H,$C:$C,$C1935,$D:$D,"P0(전)"))</f>
        <v/>
      </c>
      <c r="O1935" s="30">
        <f>IF(COUNTIFS($C:$C,$C1935,$D:$D,"P0(전)",$L:$L,"&gt;0")&lt;&gt;1,"",SUMIFS($L:$L,$C:$C,$C1935,$D:$D,"P0(전)"))</f>
        <v/>
      </c>
      <c r="P1935" s="45">
        <f>IF(COUNTIFS($C:$C,$C1935,$D:$D,"P0(후)",$L:$L,"&gt;0")&lt;&gt;1,"",SUMIFS($H:$H,$C:$C,$C1935,$D:$D,"P0(후)"))</f>
        <v/>
      </c>
      <c r="Q1935" s="30">
        <f>IF(COUNTIFS($C:$C,$C1935,$D:$D,"P0(후)",$L:$L,"&gt;0")&lt;&gt;1,"",SUMIFS($L:$L,$C:$C,$C1935,$D:$D,"P0(후)"))</f>
        <v/>
      </c>
      <c r="R1935" s="30">
        <f>IF(M1935&lt;&gt;"OK","",O1935+(Q1935-O1935)*(H1935-N1935)/(P1935-N1935))</f>
        <v/>
      </c>
      <c r="S1935" s="30">
        <f>IF(OR(M1935&lt;&gt;"OK",NOT(ISNUMBER(L1935))),"",L1935-R1935)</f>
        <v/>
      </c>
      <c r="T1935" s="46">
        <f>IF(OR(NOT(ISNUMBER(S1935)),IF(ISNUMBER(G1935),G1935,F1935)=0),"",S1935/IF(ISNUMBER(G1935),G1935,F1935))</f>
        <v/>
      </c>
      <c r="U1935" s="46">
        <f>IF(ISNUMBER(T1935),ABS(T1935),"")</f>
        <v/>
      </c>
      <c r="V1935" s="46">
        <f>IF(OR($D1934&lt;&gt;"측정",$C1934&lt;&gt;$C1935,NOT(ISNUMBER(L1935)),NOT(ISNUMBER(L1934)),(IF(ISNUMBER(G1935),G1935,F1935)-IF(ISNUMBER(G1934),G1934,F1934))=0),"",(L1935-L1934)/(IF(ISNUMBER(G1935),G1935,F1935)-IF(ISNUMBER(G1934),G1934,F1934)))</f>
        <v/>
      </c>
      <c r="W1935" s="30">
        <f>IF(NOT(AND(ISNUMBER(N1935),ISNUMBER(P1935))),"",(P1935-N1935)*1440)</f>
        <v/>
      </c>
      <c r="X1935" s="28" t="n"/>
      <c r="Y1935" s="28" t="n"/>
      <c r="Z1935" s="28" t="n"/>
      <c r="AA1935" s="31" t="n"/>
      <c r="AB1935" s="31" t="n"/>
    </row>
    <row r="1936">
      <c r="A1936" s="25" t="inlineStr">
        <is>
          <t>S38</t>
        </is>
      </c>
      <c r="B1936" s="25" t="inlineStr">
        <is>
          <t>강화</t>
        </is>
      </c>
      <c r="C1936" s="25" t="inlineStr">
        <is>
          <t>S38-H동</t>
        </is>
      </c>
      <c r="D1936" s="25" t="inlineStr">
        <is>
          <t>측정</t>
        </is>
      </c>
      <c r="E1936" s="25" t="inlineStr">
        <is>
          <t>동</t>
        </is>
      </c>
      <c r="F1936" s="30" t="n">
        <v>6</v>
      </c>
      <c r="G1936" s="29" t="n"/>
      <c r="H1936" s="42" t="n"/>
      <c r="I1936" s="40" t="n"/>
      <c r="J1936" s="40" t="n"/>
      <c r="K1936" s="40" t="n"/>
      <c r="L1936" s="30">
        <f>IF(COUNT(I1936:K1936)=0,"",MEDIAN(I1936:K1936))</f>
        <v/>
      </c>
      <c r="M1936" s="25">
        <f>IF(COUNTIFS($C:$C,$C1936,$D:$D,"P0(전)",$L:$L,"&gt;0")&lt;&gt;1,"P0(전) 유효 1개 아님",IF(COUNTIFS($C:$C,$C1936,$D:$D,"P0(후)",$L:$L,"&gt;0")&lt;&gt;1,"P0(후) 유효 1개 아님",IF(NOT(AND(ISNUMBER(N1936),ISNUMBER(P1936),ISNUMBER(H1936))),"시각 결측",IF(P1936&lt;=N1936,"P0 시각 역전",IF(OR(H1936&lt;N1936,H1936&gt;P1936),"측정시각 구간 밖","OK")))))</f>
        <v/>
      </c>
      <c r="N1936" s="45">
        <f>IF(COUNTIFS($C:$C,$C1936,$D:$D,"P0(전)",$L:$L,"&gt;0")&lt;&gt;1,"",SUMIFS($H:$H,$C:$C,$C1936,$D:$D,"P0(전)"))</f>
        <v/>
      </c>
      <c r="O1936" s="30">
        <f>IF(COUNTIFS($C:$C,$C1936,$D:$D,"P0(전)",$L:$L,"&gt;0")&lt;&gt;1,"",SUMIFS($L:$L,$C:$C,$C1936,$D:$D,"P0(전)"))</f>
        <v/>
      </c>
      <c r="P1936" s="45">
        <f>IF(COUNTIFS($C:$C,$C1936,$D:$D,"P0(후)",$L:$L,"&gt;0")&lt;&gt;1,"",SUMIFS($H:$H,$C:$C,$C1936,$D:$D,"P0(후)"))</f>
        <v/>
      </c>
      <c r="Q1936" s="30">
        <f>IF(COUNTIFS($C:$C,$C1936,$D:$D,"P0(후)",$L:$L,"&gt;0")&lt;&gt;1,"",SUMIFS($L:$L,$C:$C,$C1936,$D:$D,"P0(후)"))</f>
        <v/>
      </c>
      <c r="R1936" s="30">
        <f>IF(M1936&lt;&gt;"OK","",O1936+(Q1936-O1936)*(H1936-N1936)/(P1936-N1936))</f>
        <v/>
      </c>
      <c r="S1936" s="30">
        <f>IF(OR(M1936&lt;&gt;"OK",NOT(ISNUMBER(L1936))),"",L1936-R1936)</f>
        <v/>
      </c>
      <c r="T1936" s="46">
        <f>IF(OR(NOT(ISNUMBER(S1936)),IF(ISNUMBER(G1936),G1936,F1936)=0),"",S1936/IF(ISNUMBER(G1936),G1936,F1936))</f>
        <v/>
      </c>
      <c r="U1936" s="46">
        <f>IF(ISNUMBER(T1936),ABS(T1936),"")</f>
        <v/>
      </c>
      <c r="V1936" s="46">
        <f>IF(OR($D1935&lt;&gt;"측정",$C1935&lt;&gt;$C1936,NOT(ISNUMBER(L1936)),NOT(ISNUMBER(L1935)),(IF(ISNUMBER(G1936),G1936,F1936)-IF(ISNUMBER(G1935),G1935,F1935))=0),"",(L1936-L1935)/(IF(ISNUMBER(G1936),G1936,F1936)-IF(ISNUMBER(G1935),G1935,F1935)))</f>
        <v/>
      </c>
      <c r="W1936" s="30">
        <f>IF(NOT(AND(ISNUMBER(N1936),ISNUMBER(P1936))),"",(P1936-N1936)*1440)</f>
        <v/>
      </c>
      <c r="X1936" s="28" t="n"/>
      <c r="Y1936" s="28" t="n"/>
      <c r="Z1936" s="28" t="n"/>
      <c r="AA1936" s="31" t="n"/>
      <c r="AB1936" s="31" t="n"/>
    </row>
    <row r="1937">
      <c r="A1937" s="25" t="inlineStr">
        <is>
          <t>S38</t>
        </is>
      </c>
      <c r="B1937" s="25" t="inlineStr">
        <is>
          <t>강화</t>
        </is>
      </c>
      <c r="C1937" s="25" t="inlineStr">
        <is>
          <t>S38-H동</t>
        </is>
      </c>
      <c r="D1937" s="25" t="inlineStr">
        <is>
          <t>측정</t>
        </is>
      </c>
      <c r="E1937" s="25" t="inlineStr">
        <is>
          <t>동</t>
        </is>
      </c>
      <c r="F1937" s="30" t="n">
        <v>7</v>
      </c>
      <c r="G1937" s="29" t="n"/>
      <c r="H1937" s="42" t="n"/>
      <c r="I1937" s="40" t="n"/>
      <c r="J1937" s="40" t="n"/>
      <c r="K1937" s="40" t="n"/>
      <c r="L1937" s="30">
        <f>IF(COUNT(I1937:K1937)=0,"",MEDIAN(I1937:K1937))</f>
        <v/>
      </c>
      <c r="M1937" s="25">
        <f>IF(COUNTIFS($C:$C,$C1937,$D:$D,"P0(전)",$L:$L,"&gt;0")&lt;&gt;1,"P0(전) 유효 1개 아님",IF(COUNTIFS($C:$C,$C1937,$D:$D,"P0(후)",$L:$L,"&gt;0")&lt;&gt;1,"P0(후) 유효 1개 아님",IF(NOT(AND(ISNUMBER(N1937),ISNUMBER(P1937),ISNUMBER(H1937))),"시각 결측",IF(P1937&lt;=N1937,"P0 시각 역전",IF(OR(H1937&lt;N1937,H1937&gt;P1937),"측정시각 구간 밖","OK")))))</f>
        <v/>
      </c>
      <c r="N1937" s="45">
        <f>IF(COUNTIFS($C:$C,$C1937,$D:$D,"P0(전)",$L:$L,"&gt;0")&lt;&gt;1,"",SUMIFS($H:$H,$C:$C,$C1937,$D:$D,"P0(전)"))</f>
        <v/>
      </c>
      <c r="O1937" s="30">
        <f>IF(COUNTIFS($C:$C,$C1937,$D:$D,"P0(전)",$L:$L,"&gt;0")&lt;&gt;1,"",SUMIFS($L:$L,$C:$C,$C1937,$D:$D,"P0(전)"))</f>
        <v/>
      </c>
      <c r="P1937" s="45">
        <f>IF(COUNTIFS($C:$C,$C1937,$D:$D,"P0(후)",$L:$L,"&gt;0")&lt;&gt;1,"",SUMIFS($H:$H,$C:$C,$C1937,$D:$D,"P0(후)"))</f>
        <v/>
      </c>
      <c r="Q1937" s="30">
        <f>IF(COUNTIFS($C:$C,$C1937,$D:$D,"P0(후)",$L:$L,"&gt;0")&lt;&gt;1,"",SUMIFS($L:$L,$C:$C,$C1937,$D:$D,"P0(후)"))</f>
        <v/>
      </c>
      <c r="R1937" s="30">
        <f>IF(M1937&lt;&gt;"OK","",O1937+(Q1937-O1937)*(H1937-N1937)/(P1937-N1937))</f>
        <v/>
      </c>
      <c r="S1937" s="30">
        <f>IF(OR(M1937&lt;&gt;"OK",NOT(ISNUMBER(L1937))),"",L1937-R1937)</f>
        <v/>
      </c>
      <c r="T1937" s="46">
        <f>IF(OR(NOT(ISNUMBER(S1937)),IF(ISNUMBER(G1937),G1937,F1937)=0),"",S1937/IF(ISNUMBER(G1937),G1937,F1937))</f>
        <v/>
      </c>
      <c r="U1937" s="46">
        <f>IF(ISNUMBER(T1937),ABS(T1937),"")</f>
        <v/>
      </c>
      <c r="V1937" s="46">
        <f>IF(OR($D1936&lt;&gt;"측정",$C1936&lt;&gt;$C1937,NOT(ISNUMBER(L1937)),NOT(ISNUMBER(L1936)),(IF(ISNUMBER(G1937),G1937,F1937)-IF(ISNUMBER(G1936),G1936,F1936))=0),"",(L1937-L1936)/(IF(ISNUMBER(G1937),G1937,F1937)-IF(ISNUMBER(G1936),G1936,F1936)))</f>
        <v/>
      </c>
      <c r="W1937" s="30">
        <f>IF(NOT(AND(ISNUMBER(N1937),ISNUMBER(P1937))),"",(P1937-N1937)*1440)</f>
        <v/>
      </c>
      <c r="X1937" s="28" t="n"/>
      <c r="Y1937" s="28" t="n"/>
      <c r="Z1937" s="28" t="n"/>
      <c r="AA1937" s="31" t="n"/>
      <c r="AB1937" s="31" t="n"/>
    </row>
    <row r="1938">
      <c r="A1938" s="25" t="inlineStr">
        <is>
          <t>S38</t>
        </is>
      </c>
      <c r="B1938" s="25" t="inlineStr">
        <is>
          <t>강화</t>
        </is>
      </c>
      <c r="C1938" s="25" t="inlineStr">
        <is>
          <t>S38-H동</t>
        </is>
      </c>
      <c r="D1938" s="25" t="inlineStr">
        <is>
          <t>측정</t>
        </is>
      </c>
      <c r="E1938" s="25" t="inlineStr">
        <is>
          <t>동</t>
        </is>
      </c>
      <c r="F1938" s="30" t="n">
        <v>8</v>
      </c>
      <c r="G1938" s="29" t="n"/>
      <c r="H1938" s="42" t="n"/>
      <c r="I1938" s="40" t="n"/>
      <c r="J1938" s="40" t="n"/>
      <c r="K1938" s="40" t="n"/>
      <c r="L1938" s="30">
        <f>IF(COUNT(I1938:K1938)=0,"",MEDIAN(I1938:K1938))</f>
        <v/>
      </c>
      <c r="M1938" s="25">
        <f>IF(COUNTIFS($C:$C,$C1938,$D:$D,"P0(전)",$L:$L,"&gt;0")&lt;&gt;1,"P0(전) 유효 1개 아님",IF(COUNTIFS($C:$C,$C1938,$D:$D,"P0(후)",$L:$L,"&gt;0")&lt;&gt;1,"P0(후) 유효 1개 아님",IF(NOT(AND(ISNUMBER(N1938),ISNUMBER(P1938),ISNUMBER(H1938))),"시각 결측",IF(P1938&lt;=N1938,"P0 시각 역전",IF(OR(H1938&lt;N1938,H1938&gt;P1938),"측정시각 구간 밖","OK")))))</f>
        <v/>
      </c>
      <c r="N1938" s="45">
        <f>IF(COUNTIFS($C:$C,$C1938,$D:$D,"P0(전)",$L:$L,"&gt;0")&lt;&gt;1,"",SUMIFS($H:$H,$C:$C,$C1938,$D:$D,"P0(전)"))</f>
        <v/>
      </c>
      <c r="O1938" s="30">
        <f>IF(COUNTIFS($C:$C,$C1938,$D:$D,"P0(전)",$L:$L,"&gt;0")&lt;&gt;1,"",SUMIFS($L:$L,$C:$C,$C1938,$D:$D,"P0(전)"))</f>
        <v/>
      </c>
      <c r="P1938" s="45">
        <f>IF(COUNTIFS($C:$C,$C1938,$D:$D,"P0(후)",$L:$L,"&gt;0")&lt;&gt;1,"",SUMIFS($H:$H,$C:$C,$C1938,$D:$D,"P0(후)"))</f>
        <v/>
      </c>
      <c r="Q1938" s="30">
        <f>IF(COUNTIFS($C:$C,$C1938,$D:$D,"P0(후)",$L:$L,"&gt;0")&lt;&gt;1,"",SUMIFS($L:$L,$C:$C,$C1938,$D:$D,"P0(후)"))</f>
        <v/>
      </c>
      <c r="R1938" s="30">
        <f>IF(M1938&lt;&gt;"OK","",O1938+(Q1938-O1938)*(H1938-N1938)/(P1938-N1938))</f>
        <v/>
      </c>
      <c r="S1938" s="30">
        <f>IF(OR(M1938&lt;&gt;"OK",NOT(ISNUMBER(L1938))),"",L1938-R1938)</f>
        <v/>
      </c>
      <c r="T1938" s="46">
        <f>IF(OR(NOT(ISNUMBER(S1938)),IF(ISNUMBER(G1938),G1938,F1938)=0),"",S1938/IF(ISNUMBER(G1938),G1938,F1938))</f>
        <v/>
      </c>
      <c r="U1938" s="46">
        <f>IF(ISNUMBER(T1938),ABS(T1938),"")</f>
        <v/>
      </c>
      <c r="V1938" s="46">
        <f>IF(OR($D1937&lt;&gt;"측정",$C1937&lt;&gt;$C1938,NOT(ISNUMBER(L1938)),NOT(ISNUMBER(L1937)),(IF(ISNUMBER(G1938),G1938,F1938)-IF(ISNUMBER(G1937),G1937,F1937))=0),"",(L1938-L1937)/(IF(ISNUMBER(G1938),G1938,F1938)-IF(ISNUMBER(G1937),G1937,F1937)))</f>
        <v/>
      </c>
      <c r="W1938" s="30">
        <f>IF(NOT(AND(ISNUMBER(N1938),ISNUMBER(P1938))),"",(P1938-N1938)*1440)</f>
        <v/>
      </c>
      <c r="X1938" s="28" t="n"/>
      <c r="Y1938" s="28" t="n"/>
      <c r="Z1938" s="28" t="n"/>
      <c r="AA1938" s="31" t="n"/>
      <c r="AB1938" s="31" t="n"/>
    </row>
    <row r="1939">
      <c r="A1939" s="25" t="inlineStr">
        <is>
          <t>S38</t>
        </is>
      </c>
      <c r="B1939" s="25" t="inlineStr">
        <is>
          <t>강화</t>
        </is>
      </c>
      <c r="C1939" s="25" t="inlineStr">
        <is>
          <t>S38-H동</t>
        </is>
      </c>
      <c r="D1939" s="25" t="inlineStr">
        <is>
          <t>측정</t>
        </is>
      </c>
      <c r="E1939" s="25" t="inlineStr">
        <is>
          <t>동</t>
        </is>
      </c>
      <c r="F1939" s="30" t="n">
        <v>9</v>
      </c>
      <c r="G1939" s="29" t="n"/>
      <c r="H1939" s="42" t="n"/>
      <c r="I1939" s="40" t="n"/>
      <c r="J1939" s="40" t="n"/>
      <c r="K1939" s="40" t="n"/>
      <c r="L1939" s="30">
        <f>IF(COUNT(I1939:K1939)=0,"",MEDIAN(I1939:K1939))</f>
        <v/>
      </c>
      <c r="M1939" s="25">
        <f>IF(COUNTIFS($C:$C,$C1939,$D:$D,"P0(전)",$L:$L,"&gt;0")&lt;&gt;1,"P0(전) 유효 1개 아님",IF(COUNTIFS($C:$C,$C1939,$D:$D,"P0(후)",$L:$L,"&gt;0")&lt;&gt;1,"P0(후) 유효 1개 아님",IF(NOT(AND(ISNUMBER(N1939),ISNUMBER(P1939),ISNUMBER(H1939))),"시각 결측",IF(P1939&lt;=N1939,"P0 시각 역전",IF(OR(H1939&lt;N1939,H1939&gt;P1939),"측정시각 구간 밖","OK")))))</f>
        <v/>
      </c>
      <c r="N1939" s="45">
        <f>IF(COUNTIFS($C:$C,$C1939,$D:$D,"P0(전)",$L:$L,"&gt;0")&lt;&gt;1,"",SUMIFS($H:$H,$C:$C,$C1939,$D:$D,"P0(전)"))</f>
        <v/>
      </c>
      <c r="O1939" s="30">
        <f>IF(COUNTIFS($C:$C,$C1939,$D:$D,"P0(전)",$L:$L,"&gt;0")&lt;&gt;1,"",SUMIFS($L:$L,$C:$C,$C1939,$D:$D,"P0(전)"))</f>
        <v/>
      </c>
      <c r="P1939" s="45">
        <f>IF(COUNTIFS($C:$C,$C1939,$D:$D,"P0(후)",$L:$L,"&gt;0")&lt;&gt;1,"",SUMIFS($H:$H,$C:$C,$C1939,$D:$D,"P0(후)"))</f>
        <v/>
      </c>
      <c r="Q1939" s="30">
        <f>IF(COUNTIFS($C:$C,$C1939,$D:$D,"P0(후)",$L:$L,"&gt;0")&lt;&gt;1,"",SUMIFS($L:$L,$C:$C,$C1939,$D:$D,"P0(후)"))</f>
        <v/>
      </c>
      <c r="R1939" s="30">
        <f>IF(M1939&lt;&gt;"OK","",O1939+(Q1939-O1939)*(H1939-N1939)/(P1939-N1939))</f>
        <v/>
      </c>
      <c r="S1939" s="30">
        <f>IF(OR(M1939&lt;&gt;"OK",NOT(ISNUMBER(L1939))),"",L1939-R1939)</f>
        <v/>
      </c>
      <c r="T1939" s="46">
        <f>IF(OR(NOT(ISNUMBER(S1939)),IF(ISNUMBER(G1939),G1939,F1939)=0),"",S1939/IF(ISNUMBER(G1939),G1939,F1939))</f>
        <v/>
      </c>
      <c r="U1939" s="46">
        <f>IF(ISNUMBER(T1939),ABS(T1939),"")</f>
        <v/>
      </c>
      <c r="V1939" s="46">
        <f>IF(OR($D1938&lt;&gt;"측정",$C1938&lt;&gt;$C1939,NOT(ISNUMBER(L1939)),NOT(ISNUMBER(L1938)),(IF(ISNUMBER(G1939),G1939,F1939)-IF(ISNUMBER(G1938),G1938,F1938))=0),"",(L1939-L1938)/(IF(ISNUMBER(G1939),G1939,F1939)-IF(ISNUMBER(G1938),G1938,F1938)))</f>
        <v/>
      </c>
      <c r="W1939" s="30">
        <f>IF(NOT(AND(ISNUMBER(N1939),ISNUMBER(P1939))),"",(P1939-N1939)*1440)</f>
        <v/>
      </c>
      <c r="X1939" s="28" t="n"/>
      <c r="Y1939" s="28" t="n"/>
      <c r="Z1939" s="28" t="n"/>
      <c r="AA1939" s="31" t="n"/>
      <c r="AB1939" s="31" t="n"/>
    </row>
    <row r="1940">
      <c r="A1940" s="25" t="inlineStr">
        <is>
          <t>S38</t>
        </is>
      </c>
      <c r="B1940" s="25" t="inlineStr">
        <is>
          <t>강화</t>
        </is>
      </c>
      <c r="C1940" s="25" t="inlineStr">
        <is>
          <t>S38-H동</t>
        </is>
      </c>
      <c r="D1940" s="25" t="inlineStr">
        <is>
          <t>측정</t>
        </is>
      </c>
      <c r="E1940" s="25" t="inlineStr">
        <is>
          <t>동</t>
        </is>
      </c>
      <c r="F1940" s="30" t="n">
        <v>10</v>
      </c>
      <c r="G1940" s="29" t="n"/>
      <c r="H1940" s="42" t="n"/>
      <c r="I1940" s="40" t="n"/>
      <c r="J1940" s="40" t="n"/>
      <c r="K1940" s="40" t="n"/>
      <c r="L1940" s="30">
        <f>IF(COUNT(I1940:K1940)=0,"",MEDIAN(I1940:K1940))</f>
        <v/>
      </c>
      <c r="M1940" s="25">
        <f>IF(COUNTIFS($C:$C,$C1940,$D:$D,"P0(전)",$L:$L,"&gt;0")&lt;&gt;1,"P0(전) 유효 1개 아님",IF(COUNTIFS($C:$C,$C1940,$D:$D,"P0(후)",$L:$L,"&gt;0")&lt;&gt;1,"P0(후) 유효 1개 아님",IF(NOT(AND(ISNUMBER(N1940),ISNUMBER(P1940),ISNUMBER(H1940))),"시각 결측",IF(P1940&lt;=N1940,"P0 시각 역전",IF(OR(H1940&lt;N1940,H1940&gt;P1940),"측정시각 구간 밖","OK")))))</f>
        <v/>
      </c>
      <c r="N1940" s="45">
        <f>IF(COUNTIFS($C:$C,$C1940,$D:$D,"P0(전)",$L:$L,"&gt;0")&lt;&gt;1,"",SUMIFS($H:$H,$C:$C,$C1940,$D:$D,"P0(전)"))</f>
        <v/>
      </c>
      <c r="O1940" s="30">
        <f>IF(COUNTIFS($C:$C,$C1940,$D:$D,"P0(전)",$L:$L,"&gt;0")&lt;&gt;1,"",SUMIFS($L:$L,$C:$C,$C1940,$D:$D,"P0(전)"))</f>
        <v/>
      </c>
      <c r="P1940" s="45">
        <f>IF(COUNTIFS($C:$C,$C1940,$D:$D,"P0(후)",$L:$L,"&gt;0")&lt;&gt;1,"",SUMIFS($H:$H,$C:$C,$C1940,$D:$D,"P0(후)"))</f>
        <v/>
      </c>
      <c r="Q1940" s="30">
        <f>IF(COUNTIFS($C:$C,$C1940,$D:$D,"P0(후)",$L:$L,"&gt;0")&lt;&gt;1,"",SUMIFS($L:$L,$C:$C,$C1940,$D:$D,"P0(후)"))</f>
        <v/>
      </c>
      <c r="R1940" s="30">
        <f>IF(M1940&lt;&gt;"OK","",O1940+(Q1940-O1940)*(H1940-N1940)/(P1940-N1940))</f>
        <v/>
      </c>
      <c r="S1940" s="30">
        <f>IF(OR(M1940&lt;&gt;"OK",NOT(ISNUMBER(L1940))),"",L1940-R1940)</f>
        <v/>
      </c>
      <c r="T1940" s="46">
        <f>IF(OR(NOT(ISNUMBER(S1940)),IF(ISNUMBER(G1940),G1940,F1940)=0),"",S1940/IF(ISNUMBER(G1940),G1940,F1940))</f>
        <v/>
      </c>
      <c r="U1940" s="46">
        <f>IF(ISNUMBER(T1940),ABS(T1940),"")</f>
        <v/>
      </c>
      <c r="V1940" s="46">
        <f>IF(OR($D1939&lt;&gt;"측정",$C1939&lt;&gt;$C1940,NOT(ISNUMBER(L1940)),NOT(ISNUMBER(L1939)),(IF(ISNUMBER(G1940),G1940,F1940)-IF(ISNUMBER(G1939),G1939,F1939))=0),"",(L1940-L1939)/(IF(ISNUMBER(G1940),G1940,F1940)-IF(ISNUMBER(G1939),G1939,F1939)))</f>
        <v/>
      </c>
      <c r="W1940" s="30">
        <f>IF(NOT(AND(ISNUMBER(N1940),ISNUMBER(P1940))),"",(P1940-N1940)*1440)</f>
        <v/>
      </c>
      <c r="X1940" s="28" t="n"/>
      <c r="Y1940" s="28" t="n"/>
      <c r="Z1940" s="28" t="n"/>
      <c r="AA1940" s="31" t="n"/>
      <c r="AB1940" s="31" t="n"/>
    </row>
    <row r="1941">
      <c r="A1941" s="43" t="inlineStr">
        <is>
          <t>S38</t>
        </is>
      </c>
      <c r="B1941" s="43" t="inlineStr">
        <is>
          <t>강화</t>
        </is>
      </c>
      <c r="C1941" s="43" t="inlineStr">
        <is>
          <t>S38-H동</t>
        </is>
      </c>
      <c r="D1941" s="43" t="inlineStr">
        <is>
          <t>P0(후)</t>
        </is>
      </c>
      <c r="E1941" s="43" t="inlineStr">
        <is>
          <t>동</t>
        </is>
      </c>
      <c r="F1941" s="44" t="n"/>
      <c r="G1941" s="29" t="n"/>
      <c r="H1941" s="42" t="n"/>
      <c r="I1941" s="40" t="n"/>
      <c r="J1941" s="40" t="n"/>
      <c r="K1941" s="40" t="n"/>
      <c r="L1941" s="30">
        <f>IF(COUNT(I1941:K1941)=0,"",MEDIAN(I1941:K1941))</f>
        <v/>
      </c>
      <c r="M1941" s="37" t="n"/>
      <c r="N1941" s="37" t="n"/>
      <c r="O1941" s="37" t="n"/>
      <c r="P1941" s="37" t="n"/>
      <c r="Q1941" s="37" t="n"/>
      <c r="R1941" s="37" t="n"/>
      <c r="S1941" s="37" t="n"/>
      <c r="T1941" s="37" t="n"/>
      <c r="U1941" s="37" t="n"/>
      <c r="V1941" s="37" t="n"/>
      <c r="W1941" s="37" t="n"/>
      <c r="X1941" s="28" t="n"/>
      <c r="Y1941" s="28" t="n"/>
      <c r="Z1941" s="28" t="n"/>
      <c r="AA1941" s="31" t="n"/>
      <c r="AB1941" s="31" t="n"/>
    </row>
    <row r="1942">
      <c r="A1942" s="43" t="inlineStr">
        <is>
          <t>S38</t>
        </is>
      </c>
      <c r="B1942" s="43" t="inlineStr">
        <is>
          <t>강화</t>
        </is>
      </c>
      <c r="C1942" s="43" t="inlineStr">
        <is>
          <t>S38-H서</t>
        </is>
      </c>
      <c r="D1942" s="43" t="inlineStr">
        <is>
          <t>P0(전)</t>
        </is>
      </c>
      <c r="E1942" s="43" t="inlineStr">
        <is>
          <t>서</t>
        </is>
      </c>
      <c r="F1942" s="44" t="n"/>
      <c r="G1942" s="29" t="n"/>
      <c r="H1942" s="42" t="n"/>
      <c r="I1942" s="40" t="n"/>
      <c r="J1942" s="40" t="n"/>
      <c r="K1942" s="40" t="n"/>
      <c r="L1942" s="30">
        <f>IF(COUNT(I1942:K1942)=0,"",MEDIAN(I1942:K1942))</f>
        <v/>
      </c>
      <c r="M1942" s="37" t="n"/>
      <c r="N1942" s="37" t="n"/>
      <c r="O1942" s="37" t="n"/>
      <c r="P1942" s="37" t="n"/>
      <c r="Q1942" s="37" t="n"/>
      <c r="R1942" s="37" t="n"/>
      <c r="S1942" s="37" t="n"/>
      <c r="T1942" s="37" t="n"/>
      <c r="U1942" s="37" t="n"/>
      <c r="V1942" s="37" t="n"/>
      <c r="W1942" s="37" t="n"/>
      <c r="X1942" s="28" t="n"/>
      <c r="Y1942" s="28" t="n"/>
      <c r="Z1942" s="28" t="n"/>
      <c r="AA1942" s="31" t="n"/>
      <c r="AB1942" s="31" t="n"/>
    </row>
    <row r="1943">
      <c r="A1943" s="25" t="inlineStr">
        <is>
          <t>S38</t>
        </is>
      </c>
      <c r="B1943" s="25" t="inlineStr">
        <is>
          <t>강화</t>
        </is>
      </c>
      <c r="C1943" s="25" t="inlineStr">
        <is>
          <t>S38-H서</t>
        </is>
      </c>
      <c r="D1943" s="25" t="inlineStr">
        <is>
          <t>측정</t>
        </is>
      </c>
      <c r="E1943" s="25" t="inlineStr">
        <is>
          <t>서</t>
        </is>
      </c>
      <c r="F1943" s="30" t="n">
        <v>0.5</v>
      </c>
      <c r="G1943" s="29" t="n"/>
      <c r="H1943" s="42" t="n"/>
      <c r="I1943" s="40" t="n"/>
      <c r="J1943" s="40" t="n"/>
      <c r="K1943" s="40" t="n"/>
      <c r="L1943" s="30">
        <f>IF(COUNT(I1943:K1943)=0,"",MEDIAN(I1943:K1943))</f>
        <v/>
      </c>
      <c r="M1943" s="25">
        <f>IF(COUNTIFS($C:$C,$C1943,$D:$D,"P0(전)",$L:$L,"&gt;0")&lt;&gt;1,"P0(전) 유효 1개 아님",IF(COUNTIFS($C:$C,$C1943,$D:$D,"P0(후)",$L:$L,"&gt;0")&lt;&gt;1,"P0(후) 유효 1개 아님",IF(NOT(AND(ISNUMBER(N1943),ISNUMBER(P1943),ISNUMBER(H1943))),"시각 결측",IF(P1943&lt;=N1943,"P0 시각 역전",IF(OR(H1943&lt;N1943,H1943&gt;P1943),"측정시각 구간 밖","OK")))))</f>
        <v/>
      </c>
      <c r="N1943" s="45">
        <f>IF(COUNTIFS($C:$C,$C1943,$D:$D,"P0(전)",$L:$L,"&gt;0")&lt;&gt;1,"",SUMIFS($H:$H,$C:$C,$C1943,$D:$D,"P0(전)"))</f>
        <v/>
      </c>
      <c r="O1943" s="30">
        <f>IF(COUNTIFS($C:$C,$C1943,$D:$D,"P0(전)",$L:$L,"&gt;0")&lt;&gt;1,"",SUMIFS($L:$L,$C:$C,$C1943,$D:$D,"P0(전)"))</f>
        <v/>
      </c>
      <c r="P1943" s="45">
        <f>IF(COUNTIFS($C:$C,$C1943,$D:$D,"P0(후)",$L:$L,"&gt;0")&lt;&gt;1,"",SUMIFS($H:$H,$C:$C,$C1943,$D:$D,"P0(후)"))</f>
        <v/>
      </c>
      <c r="Q1943" s="30">
        <f>IF(COUNTIFS($C:$C,$C1943,$D:$D,"P0(후)",$L:$L,"&gt;0")&lt;&gt;1,"",SUMIFS($L:$L,$C:$C,$C1943,$D:$D,"P0(후)"))</f>
        <v/>
      </c>
      <c r="R1943" s="30">
        <f>IF(M1943&lt;&gt;"OK","",O1943+(Q1943-O1943)*(H1943-N1943)/(P1943-N1943))</f>
        <v/>
      </c>
      <c r="S1943" s="30">
        <f>IF(OR(M1943&lt;&gt;"OK",NOT(ISNUMBER(L1943))),"",L1943-R1943)</f>
        <v/>
      </c>
      <c r="T1943" s="46">
        <f>IF(OR(NOT(ISNUMBER(S1943)),IF(ISNUMBER(G1943),G1943,F1943)=0),"",S1943/IF(ISNUMBER(G1943),G1943,F1943))</f>
        <v/>
      </c>
      <c r="U1943" s="46">
        <f>IF(ISNUMBER(T1943),ABS(T1943),"")</f>
        <v/>
      </c>
      <c r="V1943" s="46">
        <f>IF(OR($D1942&lt;&gt;"측정",$C1942&lt;&gt;$C1943,NOT(ISNUMBER(L1943)),NOT(ISNUMBER(L1942)),(IF(ISNUMBER(G1943),G1943,F1943)-IF(ISNUMBER(G1942),G1942,F1942))=0),"",(L1943-L1942)/(IF(ISNUMBER(G1943),G1943,F1943)-IF(ISNUMBER(G1942),G1942,F1942)))</f>
        <v/>
      </c>
      <c r="W1943" s="30">
        <f>IF(NOT(AND(ISNUMBER(N1943),ISNUMBER(P1943))),"",(P1943-N1943)*1440)</f>
        <v/>
      </c>
      <c r="X1943" s="28" t="n"/>
      <c r="Y1943" s="28" t="n"/>
      <c r="Z1943" s="28" t="n"/>
      <c r="AA1943" s="31" t="n"/>
      <c r="AB1943" s="31" t="n"/>
    </row>
    <row r="1944">
      <c r="A1944" s="25" t="inlineStr">
        <is>
          <t>S38</t>
        </is>
      </c>
      <c r="B1944" s="25" t="inlineStr">
        <is>
          <t>강화</t>
        </is>
      </c>
      <c r="C1944" s="25" t="inlineStr">
        <is>
          <t>S38-H서</t>
        </is>
      </c>
      <c r="D1944" s="25" t="inlineStr">
        <is>
          <t>측정</t>
        </is>
      </c>
      <c r="E1944" s="25" t="inlineStr">
        <is>
          <t>서</t>
        </is>
      </c>
      <c r="F1944" s="30" t="n">
        <v>1</v>
      </c>
      <c r="G1944" s="29" t="n"/>
      <c r="H1944" s="42" t="n"/>
      <c r="I1944" s="40" t="n"/>
      <c r="J1944" s="40" t="n"/>
      <c r="K1944" s="40" t="n"/>
      <c r="L1944" s="30">
        <f>IF(COUNT(I1944:K1944)=0,"",MEDIAN(I1944:K1944))</f>
        <v/>
      </c>
      <c r="M1944" s="25">
        <f>IF(COUNTIFS($C:$C,$C1944,$D:$D,"P0(전)",$L:$L,"&gt;0")&lt;&gt;1,"P0(전) 유효 1개 아님",IF(COUNTIFS($C:$C,$C1944,$D:$D,"P0(후)",$L:$L,"&gt;0")&lt;&gt;1,"P0(후) 유효 1개 아님",IF(NOT(AND(ISNUMBER(N1944),ISNUMBER(P1944),ISNUMBER(H1944))),"시각 결측",IF(P1944&lt;=N1944,"P0 시각 역전",IF(OR(H1944&lt;N1944,H1944&gt;P1944),"측정시각 구간 밖","OK")))))</f>
        <v/>
      </c>
      <c r="N1944" s="45">
        <f>IF(COUNTIFS($C:$C,$C1944,$D:$D,"P0(전)",$L:$L,"&gt;0")&lt;&gt;1,"",SUMIFS($H:$H,$C:$C,$C1944,$D:$D,"P0(전)"))</f>
        <v/>
      </c>
      <c r="O1944" s="30">
        <f>IF(COUNTIFS($C:$C,$C1944,$D:$D,"P0(전)",$L:$L,"&gt;0")&lt;&gt;1,"",SUMIFS($L:$L,$C:$C,$C1944,$D:$D,"P0(전)"))</f>
        <v/>
      </c>
      <c r="P1944" s="45">
        <f>IF(COUNTIFS($C:$C,$C1944,$D:$D,"P0(후)",$L:$L,"&gt;0")&lt;&gt;1,"",SUMIFS($H:$H,$C:$C,$C1944,$D:$D,"P0(후)"))</f>
        <v/>
      </c>
      <c r="Q1944" s="30">
        <f>IF(COUNTIFS($C:$C,$C1944,$D:$D,"P0(후)",$L:$L,"&gt;0")&lt;&gt;1,"",SUMIFS($L:$L,$C:$C,$C1944,$D:$D,"P0(후)"))</f>
        <v/>
      </c>
      <c r="R1944" s="30">
        <f>IF(M1944&lt;&gt;"OK","",O1944+(Q1944-O1944)*(H1944-N1944)/(P1944-N1944))</f>
        <v/>
      </c>
      <c r="S1944" s="30">
        <f>IF(OR(M1944&lt;&gt;"OK",NOT(ISNUMBER(L1944))),"",L1944-R1944)</f>
        <v/>
      </c>
      <c r="T1944" s="46">
        <f>IF(OR(NOT(ISNUMBER(S1944)),IF(ISNUMBER(G1944),G1944,F1944)=0),"",S1944/IF(ISNUMBER(G1944),G1944,F1944))</f>
        <v/>
      </c>
      <c r="U1944" s="46">
        <f>IF(ISNUMBER(T1944),ABS(T1944),"")</f>
        <v/>
      </c>
      <c r="V1944" s="46">
        <f>IF(OR($D1943&lt;&gt;"측정",$C1943&lt;&gt;$C1944,NOT(ISNUMBER(L1944)),NOT(ISNUMBER(L1943)),(IF(ISNUMBER(G1944),G1944,F1944)-IF(ISNUMBER(G1943),G1943,F1943))=0),"",(L1944-L1943)/(IF(ISNUMBER(G1944),G1944,F1944)-IF(ISNUMBER(G1943),G1943,F1943)))</f>
        <v/>
      </c>
      <c r="W1944" s="30">
        <f>IF(NOT(AND(ISNUMBER(N1944),ISNUMBER(P1944))),"",(P1944-N1944)*1440)</f>
        <v/>
      </c>
      <c r="X1944" s="28" t="n"/>
      <c r="Y1944" s="28" t="n"/>
      <c r="Z1944" s="28" t="n"/>
      <c r="AA1944" s="31" t="n"/>
      <c r="AB1944" s="31" t="n"/>
    </row>
    <row r="1945">
      <c r="A1945" s="25" t="inlineStr">
        <is>
          <t>S38</t>
        </is>
      </c>
      <c r="B1945" s="25" t="inlineStr">
        <is>
          <t>강화</t>
        </is>
      </c>
      <c r="C1945" s="25" t="inlineStr">
        <is>
          <t>S38-H서</t>
        </is>
      </c>
      <c r="D1945" s="25" t="inlineStr">
        <is>
          <t>측정</t>
        </is>
      </c>
      <c r="E1945" s="25" t="inlineStr">
        <is>
          <t>서</t>
        </is>
      </c>
      <c r="F1945" s="30" t="n">
        <v>2</v>
      </c>
      <c r="G1945" s="29" t="n"/>
      <c r="H1945" s="42" t="n"/>
      <c r="I1945" s="40" t="n"/>
      <c r="J1945" s="40" t="n"/>
      <c r="K1945" s="40" t="n"/>
      <c r="L1945" s="30">
        <f>IF(COUNT(I1945:K1945)=0,"",MEDIAN(I1945:K1945))</f>
        <v/>
      </c>
      <c r="M1945" s="25">
        <f>IF(COUNTIFS($C:$C,$C1945,$D:$D,"P0(전)",$L:$L,"&gt;0")&lt;&gt;1,"P0(전) 유효 1개 아님",IF(COUNTIFS($C:$C,$C1945,$D:$D,"P0(후)",$L:$L,"&gt;0")&lt;&gt;1,"P0(후) 유효 1개 아님",IF(NOT(AND(ISNUMBER(N1945),ISNUMBER(P1945),ISNUMBER(H1945))),"시각 결측",IF(P1945&lt;=N1945,"P0 시각 역전",IF(OR(H1945&lt;N1945,H1945&gt;P1945),"측정시각 구간 밖","OK")))))</f>
        <v/>
      </c>
      <c r="N1945" s="45">
        <f>IF(COUNTIFS($C:$C,$C1945,$D:$D,"P0(전)",$L:$L,"&gt;0")&lt;&gt;1,"",SUMIFS($H:$H,$C:$C,$C1945,$D:$D,"P0(전)"))</f>
        <v/>
      </c>
      <c r="O1945" s="30">
        <f>IF(COUNTIFS($C:$C,$C1945,$D:$D,"P0(전)",$L:$L,"&gt;0")&lt;&gt;1,"",SUMIFS($L:$L,$C:$C,$C1945,$D:$D,"P0(전)"))</f>
        <v/>
      </c>
      <c r="P1945" s="45">
        <f>IF(COUNTIFS($C:$C,$C1945,$D:$D,"P0(후)",$L:$L,"&gt;0")&lt;&gt;1,"",SUMIFS($H:$H,$C:$C,$C1945,$D:$D,"P0(후)"))</f>
        <v/>
      </c>
      <c r="Q1945" s="30">
        <f>IF(COUNTIFS($C:$C,$C1945,$D:$D,"P0(후)",$L:$L,"&gt;0")&lt;&gt;1,"",SUMIFS($L:$L,$C:$C,$C1945,$D:$D,"P0(후)"))</f>
        <v/>
      </c>
      <c r="R1945" s="30">
        <f>IF(M1945&lt;&gt;"OK","",O1945+(Q1945-O1945)*(H1945-N1945)/(P1945-N1945))</f>
        <v/>
      </c>
      <c r="S1945" s="30">
        <f>IF(OR(M1945&lt;&gt;"OK",NOT(ISNUMBER(L1945))),"",L1945-R1945)</f>
        <v/>
      </c>
      <c r="T1945" s="46">
        <f>IF(OR(NOT(ISNUMBER(S1945)),IF(ISNUMBER(G1945),G1945,F1945)=0),"",S1945/IF(ISNUMBER(G1945),G1945,F1945))</f>
        <v/>
      </c>
      <c r="U1945" s="46">
        <f>IF(ISNUMBER(T1945),ABS(T1945),"")</f>
        <v/>
      </c>
      <c r="V1945" s="46">
        <f>IF(OR($D1944&lt;&gt;"측정",$C1944&lt;&gt;$C1945,NOT(ISNUMBER(L1945)),NOT(ISNUMBER(L1944)),(IF(ISNUMBER(G1945),G1945,F1945)-IF(ISNUMBER(G1944),G1944,F1944))=0),"",(L1945-L1944)/(IF(ISNUMBER(G1945),G1945,F1945)-IF(ISNUMBER(G1944),G1944,F1944)))</f>
        <v/>
      </c>
      <c r="W1945" s="30">
        <f>IF(NOT(AND(ISNUMBER(N1945),ISNUMBER(P1945))),"",(P1945-N1945)*1440)</f>
        <v/>
      </c>
      <c r="X1945" s="28" t="n"/>
      <c r="Y1945" s="28" t="n"/>
      <c r="Z1945" s="28" t="n"/>
      <c r="AA1945" s="31" t="n"/>
      <c r="AB1945" s="31" t="n"/>
    </row>
    <row r="1946">
      <c r="A1946" s="25" t="inlineStr">
        <is>
          <t>S38</t>
        </is>
      </c>
      <c r="B1946" s="25" t="inlineStr">
        <is>
          <t>강화</t>
        </is>
      </c>
      <c r="C1946" s="25" t="inlineStr">
        <is>
          <t>S38-H서</t>
        </is>
      </c>
      <c r="D1946" s="25" t="inlineStr">
        <is>
          <t>측정</t>
        </is>
      </c>
      <c r="E1946" s="25" t="inlineStr">
        <is>
          <t>서</t>
        </is>
      </c>
      <c r="F1946" s="30" t="n">
        <v>3</v>
      </c>
      <c r="G1946" s="29" t="n"/>
      <c r="H1946" s="42" t="n"/>
      <c r="I1946" s="40" t="n"/>
      <c r="J1946" s="40" t="n"/>
      <c r="K1946" s="40" t="n"/>
      <c r="L1946" s="30">
        <f>IF(COUNT(I1946:K1946)=0,"",MEDIAN(I1946:K1946))</f>
        <v/>
      </c>
      <c r="M1946" s="25">
        <f>IF(COUNTIFS($C:$C,$C1946,$D:$D,"P0(전)",$L:$L,"&gt;0")&lt;&gt;1,"P0(전) 유효 1개 아님",IF(COUNTIFS($C:$C,$C1946,$D:$D,"P0(후)",$L:$L,"&gt;0")&lt;&gt;1,"P0(후) 유효 1개 아님",IF(NOT(AND(ISNUMBER(N1946),ISNUMBER(P1946),ISNUMBER(H1946))),"시각 결측",IF(P1946&lt;=N1946,"P0 시각 역전",IF(OR(H1946&lt;N1946,H1946&gt;P1946),"측정시각 구간 밖","OK")))))</f>
        <v/>
      </c>
      <c r="N1946" s="45">
        <f>IF(COUNTIFS($C:$C,$C1946,$D:$D,"P0(전)",$L:$L,"&gt;0")&lt;&gt;1,"",SUMIFS($H:$H,$C:$C,$C1946,$D:$D,"P0(전)"))</f>
        <v/>
      </c>
      <c r="O1946" s="30">
        <f>IF(COUNTIFS($C:$C,$C1946,$D:$D,"P0(전)",$L:$L,"&gt;0")&lt;&gt;1,"",SUMIFS($L:$L,$C:$C,$C1946,$D:$D,"P0(전)"))</f>
        <v/>
      </c>
      <c r="P1946" s="45">
        <f>IF(COUNTIFS($C:$C,$C1946,$D:$D,"P0(후)",$L:$L,"&gt;0")&lt;&gt;1,"",SUMIFS($H:$H,$C:$C,$C1946,$D:$D,"P0(후)"))</f>
        <v/>
      </c>
      <c r="Q1946" s="30">
        <f>IF(COUNTIFS($C:$C,$C1946,$D:$D,"P0(후)",$L:$L,"&gt;0")&lt;&gt;1,"",SUMIFS($L:$L,$C:$C,$C1946,$D:$D,"P0(후)"))</f>
        <v/>
      </c>
      <c r="R1946" s="30">
        <f>IF(M1946&lt;&gt;"OK","",O1946+(Q1946-O1946)*(H1946-N1946)/(P1946-N1946))</f>
        <v/>
      </c>
      <c r="S1946" s="30">
        <f>IF(OR(M1946&lt;&gt;"OK",NOT(ISNUMBER(L1946))),"",L1946-R1946)</f>
        <v/>
      </c>
      <c r="T1946" s="46">
        <f>IF(OR(NOT(ISNUMBER(S1946)),IF(ISNUMBER(G1946),G1946,F1946)=0),"",S1946/IF(ISNUMBER(G1946),G1946,F1946))</f>
        <v/>
      </c>
      <c r="U1946" s="46">
        <f>IF(ISNUMBER(T1946),ABS(T1946),"")</f>
        <v/>
      </c>
      <c r="V1946" s="46">
        <f>IF(OR($D1945&lt;&gt;"측정",$C1945&lt;&gt;$C1946,NOT(ISNUMBER(L1946)),NOT(ISNUMBER(L1945)),(IF(ISNUMBER(G1946),G1946,F1946)-IF(ISNUMBER(G1945),G1945,F1945))=0),"",(L1946-L1945)/(IF(ISNUMBER(G1946),G1946,F1946)-IF(ISNUMBER(G1945),G1945,F1945)))</f>
        <v/>
      </c>
      <c r="W1946" s="30">
        <f>IF(NOT(AND(ISNUMBER(N1946),ISNUMBER(P1946))),"",(P1946-N1946)*1440)</f>
        <v/>
      </c>
      <c r="X1946" s="28" t="n"/>
      <c r="Y1946" s="28" t="n"/>
      <c r="Z1946" s="28" t="n"/>
      <c r="AA1946" s="31" t="n"/>
      <c r="AB1946" s="31" t="n"/>
    </row>
    <row r="1947">
      <c r="A1947" s="25" t="inlineStr">
        <is>
          <t>S38</t>
        </is>
      </c>
      <c r="B1947" s="25" t="inlineStr">
        <is>
          <t>강화</t>
        </is>
      </c>
      <c r="C1947" s="25" t="inlineStr">
        <is>
          <t>S38-H서</t>
        </is>
      </c>
      <c r="D1947" s="25" t="inlineStr">
        <is>
          <t>측정</t>
        </is>
      </c>
      <c r="E1947" s="25" t="inlineStr">
        <is>
          <t>서</t>
        </is>
      </c>
      <c r="F1947" s="30" t="n">
        <v>4</v>
      </c>
      <c r="G1947" s="29" t="n"/>
      <c r="H1947" s="42" t="n"/>
      <c r="I1947" s="40" t="n"/>
      <c r="J1947" s="40" t="n"/>
      <c r="K1947" s="40" t="n"/>
      <c r="L1947" s="30">
        <f>IF(COUNT(I1947:K1947)=0,"",MEDIAN(I1947:K1947))</f>
        <v/>
      </c>
      <c r="M1947" s="25">
        <f>IF(COUNTIFS($C:$C,$C1947,$D:$D,"P0(전)",$L:$L,"&gt;0")&lt;&gt;1,"P0(전) 유효 1개 아님",IF(COUNTIFS($C:$C,$C1947,$D:$D,"P0(후)",$L:$L,"&gt;0")&lt;&gt;1,"P0(후) 유효 1개 아님",IF(NOT(AND(ISNUMBER(N1947),ISNUMBER(P1947),ISNUMBER(H1947))),"시각 결측",IF(P1947&lt;=N1947,"P0 시각 역전",IF(OR(H1947&lt;N1947,H1947&gt;P1947),"측정시각 구간 밖","OK")))))</f>
        <v/>
      </c>
      <c r="N1947" s="45">
        <f>IF(COUNTIFS($C:$C,$C1947,$D:$D,"P0(전)",$L:$L,"&gt;0")&lt;&gt;1,"",SUMIFS($H:$H,$C:$C,$C1947,$D:$D,"P0(전)"))</f>
        <v/>
      </c>
      <c r="O1947" s="30">
        <f>IF(COUNTIFS($C:$C,$C1947,$D:$D,"P0(전)",$L:$L,"&gt;0")&lt;&gt;1,"",SUMIFS($L:$L,$C:$C,$C1947,$D:$D,"P0(전)"))</f>
        <v/>
      </c>
      <c r="P1947" s="45">
        <f>IF(COUNTIFS($C:$C,$C1947,$D:$D,"P0(후)",$L:$L,"&gt;0")&lt;&gt;1,"",SUMIFS($H:$H,$C:$C,$C1947,$D:$D,"P0(후)"))</f>
        <v/>
      </c>
      <c r="Q1947" s="30">
        <f>IF(COUNTIFS($C:$C,$C1947,$D:$D,"P0(후)",$L:$L,"&gt;0")&lt;&gt;1,"",SUMIFS($L:$L,$C:$C,$C1947,$D:$D,"P0(후)"))</f>
        <v/>
      </c>
      <c r="R1947" s="30">
        <f>IF(M1947&lt;&gt;"OK","",O1947+(Q1947-O1947)*(H1947-N1947)/(P1947-N1947))</f>
        <v/>
      </c>
      <c r="S1947" s="30">
        <f>IF(OR(M1947&lt;&gt;"OK",NOT(ISNUMBER(L1947))),"",L1947-R1947)</f>
        <v/>
      </c>
      <c r="T1947" s="46">
        <f>IF(OR(NOT(ISNUMBER(S1947)),IF(ISNUMBER(G1947),G1947,F1947)=0),"",S1947/IF(ISNUMBER(G1947),G1947,F1947))</f>
        <v/>
      </c>
      <c r="U1947" s="46">
        <f>IF(ISNUMBER(T1947),ABS(T1947),"")</f>
        <v/>
      </c>
      <c r="V1947" s="46">
        <f>IF(OR($D1946&lt;&gt;"측정",$C1946&lt;&gt;$C1947,NOT(ISNUMBER(L1947)),NOT(ISNUMBER(L1946)),(IF(ISNUMBER(G1947),G1947,F1947)-IF(ISNUMBER(G1946),G1946,F1946))=0),"",(L1947-L1946)/(IF(ISNUMBER(G1947),G1947,F1947)-IF(ISNUMBER(G1946),G1946,F1946)))</f>
        <v/>
      </c>
      <c r="W1947" s="30">
        <f>IF(NOT(AND(ISNUMBER(N1947),ISNUMBER(P1947))),"",(P1947-N1947)*1440)</f>
        <v/>
      </c>
      <c r="X1947" s="28" t="n"/>
      <c r="Y1947" s="28" t="n"/>
      <c r="Z1947" s="28" t="n"/>
      <c r="AA1947" s="31" t="n"/>
      <c r="AB1947" s="31" t="n"/>
    </row>
    <row r="1948">
      <c r="A1948" s="25" t="inlineStr">
        <is>
          <t>S38</t>
        </is>
      </c>
      <c r="B1948" s="25" t="inlineStr">
        <is>
          <t>강화</t>
        </is>
      </c>
      <c r="C1948" s="25" t="inlineStr">
        <is>
          <t>S38-H서</t>
        </is>
      </c>
      <c r="D1948" s="25" t="inlineStr">
        <is>
          <t>측정</t>
        </is>
      </c>
      <c r="E1948" s="25" t="inlineStr">
        <is>
          <t>서</t>
        </is>
      </c>
      <c r="F1948" s="30" t="n">
        <v>5</v>
      </c>
      <c r="G1948" s="29" t="n"/>
      <c r="H1948" s="42" t="n"/>
      <c r="I1948" s="40" t="n"/>
      <c r="J1948" s="40" t="n"/>
      <c r="K1948" s="40" t="n"/>
      <c r="L1948" s="30">
        <f>IF(COUNT(I1948:K1948)=0,"",MEDIAN(I1948:K1948))</f>
        <v/>
      </c>
      <c r="M1948" s="25">
        <f>IF(COUNTIFS($C:$C,$C1948,$D:$D,"P0(전)",$L:$L,"&gt;0")&lt;&gt;1,"P0(전) 유효 1개 아님",IF(COUNTIFS($C:$C,$C1948,$D:$D,"P0(후)",$L:$L,"&gt;0")&lt;&gt;1,"P0(후) 유효 1개 아님",IF(NOT(AND(ISNUMBER(N1948),ISNUMBER(P1948),ISNUMBER(H1948))),"시각 결측",IF(P1948&lt;=N1948,"P0 시각 역전",IF(OR(H1948&lt;N1948,H1948&gt;P1948),"측정시각 구간 밖","OK")))))</f>
        <v/>
      </c>
      <c r="N1948" s="45">
        <f>IF(COUNTIFS($C:$C,$C1948,$D:$D,"P0(전)",$L:$L,"&gt;0")&lt;&gt;1,"",SUMIFS($H:$H,$C:$C,$C1948,$D:$D,"P0(전)"))</f>
        <v/>
      </c>
      <c r="O1948" s="30">
        <f>IF(COUNTIFS($C:$C,$C1948,$D:$D,"P0(전)",$L:$L,"&gt;0")&lt;&gt;1,"",SUMIFS($L:$L,$C:$C,$C1948,$D:$D,"P0(전)"))</f>
        <v/>
      </c>
      <c r="P1948" s="45">
        <f>IF(COUNTIFS($C:$C,$C1948,$D:$D,"P0(후)",$L:$L,"&gt;0")&lt;&gt;1,"",SUMIFS($H:$H,$C:$C,$C1948,$D:$D,"P0(후)"))</f>
        <v/>
      </c>
      <c r="Q1948" s="30">
        <f>IF(COUNTIFS($C:$C,$C1948,$D:$D,"P0(후)",$L:$L,"&gt;0")&lt;&gt;1,"",SUMIFS($L:$L,$C:$C,$C1948,$D:$D,"P0(후)"))</f>
        <v/>
      </c>
      <c r="R1948" s="30">
        <f>IF(M1948&lt;&gt;"OK","",O1948+(Q1948-O1948)*(H1948-N1948)/(P1948-N1948))</f>
        <v/>
      </c>
      <c r="S1948" s="30">
        <f>IF(OR(M1948&lt;&gt;"OK",NOT(ISNUMBER(L1948))),"",L1948-R1948)</f>
        <v/>
      </c>
      <c r="T1948" s="46">
        <f>IF(OR(NOT(ISNUMBER(S1948)),IF(ISNUMBER(G1948),G1948,F1948)=0),"",S1948/IF(ISNUMBER(G1948),G1948,F1948))</f>
        <v/>
      </c>
      <c r="U1948" s="46">
        <f>IF(ISNUMBER(T1948),ABS(T1948),"")</f>
        <v/>
      </c>
      <c r="V1948" s="46">
        <f>IF(OR($D1947&lt;&gt;"측정",$C1947&lt;&gt;$C1948,NOT(ISNUMBER(L1948)),NOT(ISNUMBER(L1947)),(IF(ISNUMBER(G1948),G1948,F1948)-IF(ISNUMBER(G1947),G1947,F1947))=0),"",(L1948-L1947)/(IF(ISNUMBER(G1948),G1948,F1948)-IF(ISNUMBER(G1947),G1947,F1947)))</f>
        <v/>
      </c>
      <c r="W1948" s="30">
        <f>IF(NOT(AND(ISNUMBER(N1948),ISNUMBER(P1948))),"",(P1948-N1948)*1440)</f>
        <v/>
      </c>
      <c r="X1948" s="28" t="n"/>
      <c r="Y1948" s="28" t="n"/>
      <c r="Z1948" s="28" t="n"/>
      <c r="AA1948" s="31" t="n"/>
      <c r="AB1948" s="31" t="n"/>
    </row>
    <row r="1949">
      <c r="A1949" s="25" t="inlineStr">
        <is>
          <t>S38</t>
        </is>
      </c>
      <c r="B1949" s="25" t="inlineStr">
        <is>
          <t>강화</t>
        </is>
      </c>
      <c r="C1949" s="25" t="inlineStr">
        <is>
          <t>S38-H서</t>
        </is>
      </c>
      <c r="D1949" s="25" t="inlineStr">
        <is>
          <t>측정</t>
        </is>
      </c>
      <c r="E1949" s="25" t="inlineStr">
        <is>
          <t>서</t>
        </is>
      </c>
      <c r="F1949" s="30" t="n">
        <v>6</v>
      </c>
      <c r="G1949" s="29" t="n"/>
      <c r="H1949" s="42" t="n"/>
      <c r="I1949" s="40" t="n"/>
      <c r="J1949" s="40" t="n"/>
      <c r="K1949" s="40" t="n"/>
      <c r="L1949" s="30">
        <f>IF(COUNT(I1949:K1949)=0,"",MEDIAN(I1949:K1949))</f>
        <v/>
      </c>
      <c r="M1949" s="25">
        <f>IF(COUNTIFS($C:$C,$C1949,$D:$D,"P0(전)",$L:$L,"&gt;0")&lt;&gt;1,"P0(전) 유효 1개 아님",IF(COUNTIFS($C:$C,$C1949,$D:$D,"P0(후)",$L:$L,"&gt;0")&lt;&gt;1,"P0(후) 유효 1개 아님",IF(NOT(AND(ISNUMBER(N1949),ISNUMBER(P1949),ISNUMBER(H1949))),"시각 결측",IF(P1949&lt;=N1949,"P0 시각 역전",IF(OR(H1949&lt;N1949,H1949&gt;P1949),"측정시각 구간 밖","OK")))))</f>
        <v/>
      </c>
      <c r="N1949" s="45">
        <f>IF(COUNTIFS($C:$C,$C1949,$D:$D,"P0(전)",$L:$L,"&gt;0")&lt;&gt;1,"",SUMIFS($H:$H,$C:$C,$C1949,$D:$D,"P0(전)"))</f>
        <v/>
      </c>
      <c r="O1949" s="30">
        <f>IF(COUNTIFS($C:$C,$C1949,$D:$D,"P0(전)",$L:$L,"&gt;0")&lt;&gt;1,"",SUMIFS($L:$L,$C:$C,$C1949,$D:$D,"P0(전)"))</f>
        <v/>
      </c>
      <c r="P1949" s="45">
        <f>IF(COUNTIFS($C:$C,$C1949,$D:$D,"P0(후)",$L:$L,"&gt;0")&lt;&gt;1,"",SUMIFS($H:$H,$C:$C,$C1949,$D:$D,"P0(후)"))</f>
        <v/>
      </c>
      <c r="Q1949" s="30">
        <f>IF(COUNTIFS($C:$C,$C1949,$D:$D,"P0(후)",$L:$L,"&gt;0")&lt;&gt;1,"",SUMIFS($L:$L,$C:$C,$C1949,$D:$D,"P0(후)"))</f>
        <v/>
      </c>
      <c r="R1949" s="30">
        <f>IF(M1949&lt;&gt;"OK","",O1949+(Q1949-O1949)*(H1949-N1949)/(P1949-N1949))</f>
        <v/>
      </c>
      <c r="S1949" s="30">
        <f>IF(OR(M1949&lt;&gt;"OK",NOT(ISNUMBER(L1949))),"",L1949-R1949)</f>
        <v/>
      </c>
      <c r="T1949" s="46">
        <f>IF(OR(NOT(ISNUMBER(S1949)),IF(ISNUMBER(G1949),G1949,F1949)=0),"",S1949/IF(ISNUMBER(G1949),G1949,F1949))</f>
        <v/>
      </c>
      <c r="U1949" s="46">
        <f>IF(ISNUMBER(T1949),ABS(T1949),"")</f>
        <v/>
      </c>
      <c r="V1949" s="46">
        <f>IF(OR($D1948&lt;&gt;"측정",$C1948&lt;&gt;$C1949,NOT(ISNUMBER(L1949)),NOT(ISNUMBER(L1948)),(IF(ISNUMBER(G1949),G1949,F1949)-IF(ISNUMBER(G1948),G1948,F1948))=0),"",(L1949-L1948)/(IF(ISNUMBER(G1949),G1949,F1949)-IF(ISNUMBER(G1948),G1948,F1948)))</f>
        <v/>
      </c>
      <c r="W1949" s="30">
        <f>IF(NOT(AND(ISNUMBER(N1949),ISNUMBER(P1949))),"",(P1949-N1949)*1440)</f>
        <v/>
      </c>
      <c r="X1949" s="28" t="n"/>
      <c r="Y1949" s="28" t="n"/>
      <c r="Z1949" s="28" t="n"/>
      <c r="AA1949" s="31" t="n"/>
      <c r="AB1949" s="31" t="n"/>
    </row>
    <row r="1950">
      <c r="A1950" s="25" t="inlineStr">
        <is>
          <t>S38</t>
        </is>
      </c>
      <c r="B1950" s="25" t="inlineStr">
        <is>
          <t>강화</t>
        </is>
      </c>
      <c r="C1950" s="25" t="inlineStr">
        <is>
          <t>S38-H서</t>
        </is>
      </c>
      <c r="D1950" s="25" t="inlineStr">
        <is>
          <t>측정</t>
        </is>
      </c>
      <c r="E1950" s="25" t="inlineStr">
        <is>
          <t>서</t>
        </is>
      </c>
      <c r="F1950" s="30" t="n">
        <v>7</v>
      </c>
      <c r="G1950" s="29" t="n"/>
      <c r="H1950" s="42" t="n"/>
      <c r="I1950" s="40" t="n"/>
      <c r="J1950" s="40" t="n"/>
      <c r="K1950" s="40" t="n"/>
      <c r="L1950" s="30">
        <f>IF(COUNT(I1950:K1950)=0,"",MEDIAN(I1950:K1950))</f>
        <v/>
      </c>
      <c r="M1950" s="25">
        <f>IF(COUNTIFS($C:$C,$C1950,$D:$D,"P0(전)",$L:$L,"&gt;0")&lt;&gt;1,"P0(전) 유효 1개 아님",IF(COUNTIFS($C:$C,$C1950,$D:$D,"P0(후)",$L:$L,"&gt;0")&lt;&gt;1,"P0(후) 유효 1개 아님",IF(NOT(AND(ISNUMBER(N1950),ISNUMBER(P1950),ISNUMBER(H1950))),"시각 결측",IF(P1950&lt;=N1950,"P0 시각 역전",IF(OR(H1950&lt;N1950,H1950&gt;P1950),"측정시각 구간 밖","OK")))))</f>
        <v/>
      </c>
      <c r="N1950" s="45">
        <f>IF(COUNTIFS($C:$C,$C1950,$D:$D,"P0(전)",$L:$L,"&gt;0")&lt;&gt;1,"",SUMIFS($H:$H,$C:$C,$C1950,$D:$D,"P0(전)"))</f>
        <v/>
      </c>
      <c r="O1950" s="30">
        <f>IF(COUNTIFS($C:$C,$C1950,$D:$D,"P0(전)",$L:$L,"&gt;0")&lt;&gt;1,"",SUMIFS($L:$L,$C:$C,$C1950,$D:$D,"P0(전)"))</f>
        <v/>
      </c>
      <c r="P1950" s="45">
        <f>IF(COUNTIFS($C:$C,$C1950,$D:$D,"P0(후)",$L:$L,"&gt;0")&lt;&gt;1,"",SUMIFS($H:$H,$C:$C,$C1950,$D:$D,"P0(후)"))</f>
        <v/>
      </c>
      <c r="Q1950" s="30">
        <f>IF(COUNTIFS($C:$C,$C1950,$D:$D,"P0(후)",$L:$L,"&gt;0")&lt;&gt;1,"",SUMIFS($L:$L,$C:$C,$C1950,$D:$D,"P0(후)"))</f>
        <v/>
      </c>
      <c r="R1950" s="30">
        <f>IF(M1950&lt;&gt;"OK","",O1950+(Q1950-O1950)*(H1950-N1950)/(P1950-N1950))</f>
        <v/>
      </c>
      <c r="S1950" s="30">
        <f>IF(OR(M1950&lt;&gt;"OK",NOT(ISNUMBER(L1950))),"",L1950-R1950)</f>
        <v/>
      </c>
      <c r="T1950" s="46">
        <f>IF(OR(NOT(ISNUMBER(S1950)),IF(ISNUMBER(G1950),G1950,F1950)=0),"",S1950/IF(ISNUMBER(G1950),G1950,F1950))</f>
        <v/>
      </c>
      <c r="U1950" s="46">
        <f>IF(ISNUMBER(T1950),ABS(T1950),"")</f>
        <v/>
      </c>
      <c r="V1950" s="46">
        <f>IF(OR($D1949&lt;&gt;"측정",$C1949&lt;&gt;$C1950,NOT(ISNUMBER(L1950)),NOT(ISNUMBER(L1949)),(IF(ISNUMBER(G1950),G1950,F1950)-IF(ISNUMBER(G1949),G1949,F1949))=0),"",(L1950-L1949)/(IF(ISNUMBER(G1950),G1950,F1950)-IF(ISNUMBER(G1949),G1949,F1949)))</f>
        <v/>
      </c>
      <c r="W1950" s="30">
        <f>IF(NOT(AND(ISNUMBER(N1950),ISNUMBER(P1950))),"",(P1950-N1950)*1440)</f>
        <v/>
      </c>
      <c r="X1950" s="28" t="n"/>
      <c r="Y1950" s="28" t="n"/>
      <c r="Z1950" s="28" t="n"/>
      <c r="AA1950" s="31" t="n"/>
      <c r="AB1950" s="31" t="n"/>
    </row>
    <row r="1951">
      <c r="A1951" s="25" t="inlineStr">
        <is>
          <t>S38</t>
        </is>
      </c>
      <c r="B1951" s="25" t="inlineStr">
        <is>
          <t>강화</t>
        </is>
      </c>
      <c r="C1951" s="25" t="inlineStr">
        <is>
          <t>S38-H서</t>
        </is>
      </c>
      <c r="D1951" s="25" t="inlineStr">
        <is>
          <t>측정</t>
        </is>
      </c>
      <c r="E1951" s="25" t="inlineStr">
        <is>
          <t>서</t>
        </is>
      </c>
      <c r="F1951" s="30" t="n">
        <v>8</v>
      </c>
      <c r="G1951" s="29" t="n"/>
      <c r="H1951" s="42" t="n"/>
      <c r="I1951" s="40" t="n"/>
      <c r="J1951" s="40" t="n"/>
      <c r="K1951" s="40" t="n"/>
      <c r="L1951" s="30">
        <f>IF(COUNT(I1951:K1951)=0,"",MEDIAN(I1951:K1951))</f>
        <v/>
      </c>
      <c r="M1951" s="25">
        <f>IF(COUNTIFS($C:$C,$C1951,$D:$D,"P0(전)",$L:$L,"&gt;0")&lt;&gt;1,"P0(전) 유효 1개 아님",IF(COUNTIFS($C:$C,$C1951,$D:$D,"P0(후)",$L:$L,"&gt;0")&lt;&gt;1,"P0(후) 유효 1개 아님",IF(NOT(AND(ISNUMBER(N1951),ISNUMBER(P1951),ISNUMBER(H1951))),"시각 결측",IF(P1951&lt;=N1951,"P0 시각 역전",IF(OR(H1951&lt;N1951,H1951&gt;P1951),"측정시각 구간 밖","OK")))))</f>
        <v/>
      </c>
      <c r="N1951" s="45">
        <f>IF(COUNTIFS($C:$C,$C1951,$D:$D,"P0(전)",$L:$L,"&gt;0")&lt;&gt;1,"",SUMIFS($H:$H,$C:$C,$C1951,$D:$D,"P0(전)"))</f>
        <v/>
      </c>
      <c r="O1951" s="30">
        <f>IF(COUNTIFS($C:$C,$C1951,$D:$D,"P0(전)",$L:$L,"&gt;0")&lt;&gt;1,"",SUMIFS($L:$L,$C:$C,$C1951,$D:$D,"P0(전)"))</f>
        <v/>
      </c>
      <c r="P1951" s="45">
        <f>IF(COUNTIFS($C:$C,$C1951,$D:$D,"P0(후)",$L:$L,"&gt;0")&lt;&gt;1,"",SUMIFS($H:$H,$C:$C,$C1951,$D:$D,"P0(후)"))</f>
        <v/>
      </c>
      <c r="Q1951" s="30">
        <f>IF(COUNTIFS($C:$C,$C1951,$D:$D,"P0(후)",$L:$L,"&gt;0")&lt;&gt;1,"",SUMIFS($L:$L,$C:$C,$C1951,$D:$D,"P0(후)"))</f>
        <v/>
      </c>
      <c r="R1951" s="30">
        <f>IF(M1951&lt;&gt;"OK","",O1951+(Q1951-O1951)*(H1951-N1951)/(P1951-N1951))</f>
        <v/>
      </c>
      <c r="S1951" s="30">
        <f>IF(OR(M1951&lt;&gt;"OK",NOT(ISNUMBER(L1951))),"",L1951-R1951)</f>
        <v/>
      </c>
      <c r="T1951" s="46">
        <f>IF(OR(NOT(ISNUMBER(S1951)),IF(ISNUMBER(G1951),G1951,F1951)=0),"",S1951/IF(ISNUMBER(G1951),G1951,F1951))</f>
        <v/>
      </c>
      <c r="U1951" s="46">
        <f>IF(ISNUMBER(T1951),ABS(T1951),"")</f>
        <v/>
      </c>
      <c r="V1951" s="46">
        <f>IF(OR($D1950&lt;&gt;"측정",$C1950&lt;&gt;$C1951,NOT(ISNUMBER(L1951)),NOT(ISNUMBER(L1950)),(IF(ISNUMBER(G1951),G1951,F1951)-IF(ISNUMBER(G1950),G1950,F1950))=0),"",(L1951-L1950)/(IF(ISNUMBER(G1951),G1951,F1951)-IF(ISNUMBER(G1950),G1950,F1950)))</f>
        <v/>
      </c>
      <c r="W1951" s="30">
        <f>IF(NOT(AND(ISNUMBER(N1951),ISNUMBER(P1951))),"",(P1951-N1951)*1440)</f>
        <v/>
      </c>
      <c r="X1951" s="28" t="n"/>
      <c r="Y1951" s="28" t="n"/>
      <c r="Z1951" s="28" t="n"/>
      <c r="AA1951" s="31" t="n"/>
      <c r="AB1951" s="31" t="n"/>
    </row>
    <row r="1952">
      <c r="A1952" s="25" t="inlineStr">
        <is>
          <t>S38</t>
        </is>
      </c>
      <c r="B1952" s="25" t="inlineStr">
        <is>
          <t>강화</t>
        </is>
      </c>
      <c r="C1952" s="25" t="inlineStr">
        <is>
          <t>S38-H서</t>
        </is>
      </c>
      <c r="D1952" s="25" t="inlineStr">
        <is>
          <t>측정</t>
        </is>
      </c>
      <c r="E1952" s="25" t="inlineStr">
        <is>
          <t>서</t>
        </is>
      </c>
      <c r="F1952" s="30" t="n">
        <v>9</v>
      </c>
      <c r="G1952" s="29" t="n"/>
      <c r="H1952" s="42" t="n"/>
      <c r="I1952" s="40" t="n"/>
      <c r="J1952" s="40" t="n"/>
      <c r="K1952" s="40" t="n"/>
      <c r="L1952" s="30">
        <f>IF(COUNT(I1952:K1952)=0,"",MEDIAN(I1952:K1952))</f>
        <v/>
      </c>
      <c r="M1952" s="25">
        <f>IF(COUNTIFS($C:$C,$C1952,$D:$D,"P0(전)",$L:$L,"&gt;0")&lt;&gt;1,"P0(전) 유효 1개 아님",IF(COUNTIFS($C:$C,$C1952,$D:$D,"P0(후)",$L:$L,"&gt;0")&lt;&gt;1,"P0(후) 유효 1개 아님",IF(NOT(AND(ISNUMBER(N1952),ISNUMBER(P1952),ISNUMBER(H1952))),"시각 결측",IF(P1952&lt;=N1952,"P0 시각 역전",IF(OR(H1952&lt;N1952,H1952&gt;P1952),"측정시각 구간 밖","OK")))))</f>
        <v/>
      </c>
      <c r="N1952" s="45">
        <f>IF(COUNTIFS($C:$C,$C1952,$D:$D,"P0(전)",$L:$L,"&gt;0")&lt;&gt;1,"",SUMIFS($H:$H,$C:$C,$C1952,$D:$D,"P0(전)"))</f>
        <v/>
      </c>
      <c r="O1952" s="30">
        <f>IF(COUNTIFS($C:$C,$C1952,$D:$D,"P0(전)",$L:$L,"&gt;0")&lt;&gt;1,"",SUMIFS($L:$L,$C:$C,$C1952,$D:$D,"P0(전)"))</f>
        <v/>
      </c>
      <c r="P1952" s="45">
        <f>IF(COUNTIFS($C:$C,$C1952,$D:$D,"P0(후)",$L:$L,"&gt;0")&lt;&gt;1,"",SUMIFS($H:$H,$C:$C,$C1952,$D:$D,"P0(후)"))</f>
        <v/>
      </c>
      <c r="Q1952" s="30">
        <f>IF(COUNTIFS($C:$C,$C1952,$D:$D,"P0(후)",$L:$L,"&gt;0")&lt;&gt;1,"",SUMIFS($L:$L,$C:$C,$C1952,$D:$D,"P0(후)"))</f>
        <v/>
      </c>
      <c r="R1952" s="30">
        <f>IF(M1952&lt;&gt;"OK","",O1952+(Q1952-O1952)*(H1952-N1952)/(P1952-N1952))</f>
        <v/>
      </c>
      <c r="S1952" s="30">
        <f>IF(OR(M1952&lt;&gt;"OK",NOT(ISNUMBER(L1952))),"",L1952-R1952)</f>
        <v/>
      </c>
      <c r="T1952" s="46">
        <f>IF(OR(NOT(ISNUMBER(S1952)),IF(ISNUMBER(G1952),G1952,F1952)=0),"",S1952/IF(ISNUMBER(G1952),G1952,F1952))</f>
        <v/>
      </c>
      <c r="U1952" s="46">
        <f>IF(ISNUMBER(T1952),ABS(T1952),"")</f>
        <v/>
      </c>
      <c r="V1952" s="46">
        <f>IF(OR($D1951&lt;&gt;"측정",$C1951&lt;&gt;$C1952,NOT(ISNUMBER(L1952)),NOT(ISNUMBER(L1951)),(IF(ISNUMBER(G1952),G1952,F1952)-IF(ISNUMBER(G1951),G1951,F1951))=0),"",(L1952-L1951)/(IF(ISNUMBER(G1952),G1952,F1952)-IF(ISNUMBER(G1951),G1951,F1951)))</f>
        <v/>
      </c>
      <c r="W1952" s="30">
        <f>IF(NOT(AND(ISNUMBER(N1952),ISNUMBER(P1952))),"",(P1952-N1952)*1440)</f>
        <v/>
      </c>
      <c r="X1952" s="28" t="n"/>
      <c r="Y1952" s="28" t="n"/>
      <c r="Z1952" s="28" t="n"/>
      <c r="AA1952" s="31" t="n"/>
      <c r="AB1952" s="31" t="n"/>
    </row>
    <row r="1953">
      <c r="A1953" s="25" t="inlineStr">
        <is>
          <t>S38</t>
        </is>
      </c>
      <c r="B1953" s="25" t="inlineStr">
        <is>
          <t>강화</t>
        </is>
      </c>
      <c r="C1953" s="25" t="inlineStr">
        <is>
          <t>S38-H서</t>
        </is>
      </c>
      <c r="D1953" s="25" t="inlineStr">
        <is>
          <t>측정</t>
        </is>
      </c>
      <c r="E1953" s="25" t="inlineStr">
        <is>
          <t>서</t>
        </is>
      </c>
      <c r="F1953" s="30" t="n">
        <v>10</v>
      </c>
      <c r="G1953" s="29" t="n"/>
      <c r="H1953" s="42" t="n"/>
      <c r="I1953" s="40" t="n"/>
      <c r="J1953" s="40" t="n"/>
      <c r="K1953" s="40" t="n"/>
      <c r="L1953" s="30">
        <f>IF(COUNT(I1953:K1953)=0,"",MEDIAN(I1953:K1953))</f>
        <v/>
      </c>
      <c r="M1953" s="25">
        <f>IF(COUNTIFS($C:$C,$C1953,$D:$D,"P0(전)",$L:$L,"&gt;0")&lt;&gt;1,"P0(전) 유효 1개 아님",IF(COUNTIFS($C:$C,$C1953,$D:$D,"P0(후)",$L:$L,"&gt;0")&lt;&gt;1,"P0(후) 유효 1개 아님",IF(NOT(AND(ISNUMBER(N1953),ISNUMBER(P1953),ISNUMBER(H1953))),"시각 결측",IF(P1953&lt;=N1953,"P0 시각 역전",IF(OR(H1953&lt;N1953,H1953&gt;P1953),"측정시각 구간 밖","OK")))))</f>
        <v/>
      </c>
      <c r="N1953" s="45">
        <f>IF(COUNTIFS($C:$C,$C1953,$D:$D,"P0(전)",$L:$L,"&gt;0")&lt;&gt;1,"",SUMIFS($H:$H,$C:$C,$C1953,$D:$D,"P0(전)"))</f>
        <v/>
      </c>
      <c r="O1953" s="30">
        <f>IF(COUNTIFS($C:$C,$C1953,$D:$D,"P0(전)",$L:$L,"&gt;0")&lt;&gt;1,"",SUMIFS($L:$L,$C:$C,$C1953,$D:$D,"P0(전)"))</f>
        <v/>
      </c>
      <c r="P1953" s="45">
        <f>IF(COUNTIFS($C:$C,$C1953,$D:$D,"P0(후)",$L:$L,"&gt;0")&lt;&gt;1,"",SUMIFS($H:$H,$C:$C,$C1953,$D:$D,"P0(후)"))</f>
        <v/>
      </c>
      <c r="Q1953" s="30">
        <f>IF(COUNTIFS($C:$C,$C1953,$D:$D,"P0(후)",$L:$L,"&gt;0")&lt;&gt;1,"",SUMIFS($L:$L,$C:$C,$C1953,$D:$D,"P0(후)"))</f>
        <v/>
      </c>
      <c r="R1953" s="30">
        <f>IF(M1953&lt;&gt;"OK","",O1953+(Q1953-O1953)*(H1953-N1953)/(P1953-N1953))</f>
        <v/>
      </c>
      <c r="S1953" s="30">
        <f>IF(OR(M1953&lt;&gt;"OK",NOT(ISNUMBER(L1953))),"",L1953-R1953)</f>
        <v/>
      </c>
      <c r="T1953" s="46">
        <f>IF(OR(NOT(ISNUMBER(S1953)),IF(ISNUMBER(G1953),G1953,F1953)=0),"",S1953/IF(ISNUMBER(G1953),G1953,F1953))</f>
        <v/>
      </c>
      <c r="U1953" s="46">
        <f>IF(ISNUMBER(T1953),ABS(T1953),"")</f>
        <v/>
      </c>
      <c r="V1953" s="46">
        <f>IF(OR($D1952&lt;&gt;"측정",$C1952&lt;&gt;$C1953,NOT(ISNUMBER(L1953)),NOT(ISNUMBER(L1952)),(IF(ISNUMBER(G1953),G1953,F1953)-IF(ISNUMBER(G1952),G1952,F1952))=0),"",(L1953-L1952)/(IF(ISNUMBER(G1953),G1953,F1953)-IF(ISNUMBER(G1952),G1952,F1952)))</f>
        <v/>
      </c>
      <c r="W1953" s="30">
        <f>IF(NOT(AND(ISNUMBER(N1953),ISNUMBER(P1953))),"",(P1953-N1953)*1440)</f>
        <v/>
      </c>
      <c r="X1953" s="28" t="n"/>
      <c r="Y1953" s="28" t="n"/>
      <c r="Z1953" s="28" t="n"/>
      <c r="AA1953" s="31" t="n"/>
      <c r="AB1953" s="31" t="n"/>
    </row>
    <row r="1954">
      <c r="A1954" s="43" t="inlineStr">
        <is>
          <t>S38</t>
        </is>
      </c>
      <c r="B1954" s="43" t="inlineStr">
        <is>
          <t>강화</t>
        </is>
      </c>
      <c r="C1954" s="43" t="inlineStr">
        <is>
          <t>S38-H서</t>
        </is>
      </c>
      <c r="D1954" s="43" t="inlineStr">
        <is>
          <t>P0(후)</t>
        </is>
      </c>
      <c r="E1954" s="43" t="inlineStr">
        <is>
          <t>서</t>
        </is>
      </c>
      <c r="F1954" s="44" t="n"/>
      <c r="G1954" s="29" t="n"/>
      <c r="H1954" s="42" t="n"/>
      <c r="I1954" s="40" t="n"/>
      <c r="J1954" s="40" t="n"/>
      <c r="K1954" s="40" t="n"/>
      <c r="L1954" s="30">
        <f>IF(COUNT(I1954:K1954)=0,"",MEDIAN(I1954:K1954))</f>
        <v/>
      </c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28" t="n"/>
      <c r="Y1954" s="28" t="n"/>
      <c r="Z1954" s="28" t="n"/>
      <c r="AA1954" s="31" t="n"/>
      <c r="AB1954" s="31" t="n"/>
    </row>
    <row r="1955">
      <c r="A1955" s="43" t="inlineStr">
        <is>
          <t>S38</t>
        </is>
      </c>
      <c r="B1955" s="43" t="inlineStr">
        <is>
          <t>강화</t>
        </is>
      </c>
      <c r="C1955" s="43" t="inlineStr">
        <is>
          <t>S38-H남</t>
        </is>
      </c>
      <c r="D1955" s="43" t="inlineStr">
        <is>
          <t>P0(전)</t>
        </is>
      </c>
      <c r="E1955" s="43" t="inlineStr">
        <is>
          <t>남</t>
        </is>
      </c>
      <c r="F1955" s="44" t="n"/>
      <c r="G1955" s="29" t="n"/>
      <c r="H1955" s="42" t="n"/>
      <c r="I1955" s="40" t="n"/>
      <c r="J1955" s="40" t="n"/>
      <c r="K1955" s="40" t="n"/>
      <c r="L1955" s="30">
        <f>IF(COUNT(I1955:K1955)=0,"",MEDIAN(I1955:K1955))</f>
        <v/>
      </c>
      <c r="M1955" s="37" t="n"/>
      <c r="N1955" s="37" t="n"/>
      <c r="O1955" s="37" t="n"/>
      <c r="P1955" s="37" t="n"/>
      <c r="Q1955" s="37" t="n"/>
      <c r="R1955" s="37" t="n"/>
      <c r="S1955" s="37" t="n"/>
      <c r="T1955" s="37" t="n"/>
      <c r="U1955" s="37" t="n"/>
      <c r="V1955" s="37" t="n"/>
      <c r="W1955" s="37" t="n"/>
      <c r="X1955" s="28" t="n"/>
      <c r="Y1955" s="28" t="n"/>
      <c r="Z1955" s="28" t="n"/>
      <c r="AA1955" s="31" t="n"/>
      <c r="AB1955" s="31" t="n"/>
    </row>
    <row r="1956">
      <c r="A1956" s="25" t="inlineStr">
        <is>
          <t>S38</t>
        </is>
      </c>
      <c r="B1956" s="25" t="inlineStr">
        <is>
          <t>강화</t>
        </is>
      </c>
      <c r="C1956" s="25" t="inlineStr">
        <is>
          <t>S38-H남</t>
        </is>
      </c>
      <c r="D1956" s="25" t="inlineStr">
        <is>
          <t>측정</t>
        </is>
      </c>
      <c r="E1956" s="25" t="inlineStr">
        <is>
          <t>남</t>
        </is>
      </c>
      <c r="F1956" s="30" t="n">
        <v>0.5</v>
      </c>
      <c r="G1956" s="29" t="n"/>
      <c r="H1956" s="42" t="n"/>
      <c r="I1956" s="40" t="n"/>
      <c r="J1956" s="40" t="n"/>
      <c r="K1956" s="40" t="n"/>
      <c r="L1956" s="30">
        <f>IF(COUNT(I1956:K1956)=0,"",MEDIAN(I1956:K1956))</f>
        <v/>
      </c>
      <c r="M1956" s="25">
        <f>IF(COUNTIFS($C:$C,$C1956,$D:$D,"P0(전)",$L:$L,"&gt;0")&lt;&gt;1,"P0(전) 유효 1개 아님",IF(COUNTIFS($C:$C,$C1956,$D:$D,"P0(후)",$L:$L,"&gt;0")&lt;&gt;1,"P0(후) 유효 1개 아님",IF(NOT(AND(ISNUMBER(N1956),ISNUMBER(P1956),ISNUMBER(H1956))),"시각 결측",IF(P1956&lt;=N1956,"P0 시각 역전",IF(OR(H1956&lt;N1956,H1956&gt;P1956),"측정시각 구간 밖","OK")))))</f>
        <v/>
      </c>
      <c r="N1956" s="45">
        <f>IF(COUNTIFS($C:$C,$C1956,$D:$D,"P0(전)",$L:$L,"&gt;0")&lt;&gt;1,"",SUMIFS($H:$H,$C:$C,$C1956,$D:$D,"P0(전)"))</f>
        <v/>
      </c>
      <c r="O1956" s="30">
        <f>IF(COUNTIFS($C:$C,$C1956,$D:$D,"P0(전)",$L:$L,"&gt;0")&lt;&gt;1,"",SUMIFS($L:$L,$C:$C,$C1956,$D:$D,"P0(전)"))</f>
        <v/>
      </c>
      <c r="P1956" s="45">
        <f>IF(COUNTIFS($C:$C,$C1956,$D:$D,"P0(후)",$L:$L,"&gt;0")&lt;&gt;1,"",SUMIFS($H:$H,$C:$C,$C1956,$D:$D,"P0(후)"))</f>
        <v/>
      </c>
      <c r="Q1956" s="30">
        <f>IF(COUNTIFS($C:$C,$C1956,$D:$D,"P0(후)",$L:$L,"&gt;0")&lt;&gt;1,"",SUMIFS($L:$L,$C:$C,$C1956,$D:$D,"P0(후)"))</f>
        <v/>
      </c>
      <c r="R1956" s="30">
        <f>IF(M1956&lt;&gt;"OK","",O1956+(Q1956-O1956)*(H1956-N1956)/(P1956-N1956))</f>
        <v/>
      </c>
      <c r="S1956" s="30">
        <f>IF(OR(M1956&lt;&gt;"OK",NOT(ISNUMBER(L1956))),"",L1956-R1956)</f>
        <v/>
      </c>
      <c r="T1956" s="46">
        <f>IF(OR(NOT(ISNUMBER(S1956)),IF(ISNUMBER(G1956),G1956,F1956)=0),"",S1956/IF(ISNUMBER(G1956),G1956,F1956))</f>
        <v/>
      </c>
      <c r="U1956" s="46">
        <f>IF(ISNUMBER(T1956),ABS(T1956),"")</f>
        <v/>
      </c>
      <c r="V1956" s="46">
        <f>IF(OR($D1955&lt;&gt;"측정",$C1955&lt;&gt;$C1956,NOT(ISNUMBER(L1956)),NOT(ISNUMBER(L1955)),(IF(ISNUMBER(G1956),G1956,F1956)-IF(ISNUMBER(G1955),G1955,F1955))=0),"",(L1956-L1955)/(IF(ISNUMBER(G1956),G1956,F1956)-IF(ISNUMBER(G1955),G1955,F1955)))</f>
        <v/>
      </c>
      <c r="W1956" s="30">
        <f>IF(NOT(AND(ISNUMBER(N1956),ISNUMBER(P1956))),"",(P1956-N1956)*1440)</f>
        <v/>
      </c>
      <c r="X1956" s="28" t="n"/>
      <c r="Y1956" s="28" t="n"/>
      <c r="Z1956" s="28" t="n"/>
      <c r="AA1956" s="31" t="n"/>
      <c r="AB1956" s="31" t="n"/>
    </row>
    <row r="1957">
      <c r="A1957" s="25" t="inlineStr">
        <is>
          <t>S38</t>
        </is>
      </c>
      <c r="B1957" s="25" t="inlineStr">
        <is>
          <t>강화</t>
        </is>
      </c>
      <c r="C1957" s="25" t="inlineStr">
        <is>
          <t>S38-H남</t>
        </is>
      </c>
      <c r="D1957" s="25" t="inlineStr">
        <is>
          <t>측정</t>
        </is>
      </c>
      <c r="E1957" s="25" t="inlineStr">
        <is>
          <t>남</t>
        </is>
      </c>
      <c r="F1957" s="30" t="n">
        <v>1</v>
      </c>
      <c r="G1957" s="29" t="n"/>
      <c r="H1957" s="42" t="n"/>
      <c r="I1957" s="40" t="n"/>
      <c r="J1957" s="40" t="n"/>
      <c r="K1957" s="40" t="n"/>
      <c r="L1957" s="30">
        <f>IF(COUNT(I1957:K1957)=0,"",MEDIAN(I1957:K1957))</f>
        <v/>
      </c>
      <c r="M1957" s="25">
        <f>IF(COUNTIFS($C:$C,$C1957,$D:$D,"P0(전)",$L:$L,"&gt;0")&lt;&gt;1,"P0(전) 유효 1개 아님",IF(COUNTIFS($C:$C,$C1957,$D:$D,"P0(후)",$L:$L,"&gt;0")&lt;&gt;1,"P0(후) 유효 1개 아님",IF(NOT(AND(ISNUMBER(N1957),ISNUMBER(P1957),ISNUMBER(H1957))),"시각 결측",IF(P1957&lt;=N1957,"P0 시각 역전",IF(OR(H1957&lt;N1957,H1957&gt;P1957),"측정시각 구간 밖","OK")))))</f>
        <v/>
      </c>
      <c r="N1957" s="45">
        <f>IF(COUNTIFS($C:$C,$C1957,$D:$D,"P0(전)",$L:$L,"&gt;0")&lt;&gt;1,"",SUMIFS($H:$H,$C:$C,$C1957,$D:$D,"P0(전)"))</f>
        <v/>
      </c>
      <c r="O1957" s="30">
        <f>IF(COUNTIFS($C:$C,$C1957,$D:$D,"P0(전)",$L:$L,"&gt;0")&lt;&gt;1,"",SUMIFS($L:$L,$C:$C,$C1957,$D:$D,"P0(전)"))</f>
        <v/>
      </c>
      <c r="P1957" s="45">
        <f>IF(COUNTIFS($C:$C,$C1957,$D:$D,"P0(후)",$L:$L,"&gt;0")&lt;&gt;1,"",SUMIFS($H:$H,$C:$C,$C1957,$D:$D,"P0(후)"))</f>
        <v/>
      </c>
      <c r="Q1957" s="30">
        <f>IF(COUNTIFS($C:$C,$C1957,$D:$D,"P0(후)",$L:$L,"&gt;0")&lt;&gt;1,"",SUMIFS($L:$L,$C:$C,$C1957,$D:$D,"P0(후)"))</f>
        <v/>
      </c>
      <c r="R1957" s="30">
        <f>IF(M1957&lt;&gt;"OK","",O1957+(Q1957-O1957)*(H1957-N1957)/(P1957-N1957))</f>
        <v/>
      </c>
      <c r="S1957" s="30">
        <f>IF(OR(M1957&lt;&gt;"OK",NOT(ISNUMBER(L1957))),"",L1957-R1957)</f>
        <v/>
      </c>
      <c r="T1957" s="46">
        <f>IF(OR(NOT(ISNUMBER(S1957)),IF(ISNUMBER(G1957),G1957,F1957)=0),"",S1957/IF(ISNUMBER(G1957),G1957,F1957))</f>
        <v/>
      </c>
      <c r="U1957" s="46">
        <f>IF(ISNUMBER(T1957),ABS(T1957),"")</f>
        <v/>
      </c>
      <c r="V1957" s="46">
        <f>IF(OR($D1956&lt;&gt;"측정",$C1956&lt;&gt;$C1957,NOT(ISNUMBER(L1957)),NOT(ISNUMBER(L1956)),(IF(ISNUMBER(G1957),G1957,F1957)-IF(ISNUMBER(G1956),G1956,F1956))=0),"",(L1957-L1956)/(IF(ISNUMBER(G1957),G1957,F1957)-IF(ISNUMBER(G1956),G1956,F1956)))</f>
        <v/>
      </c>
      <c r="W1957" s="30">
        <f>IF(NOT(AND(ISNUMBER(N1957),ISNUMBER(P1957))),"",(P1957-N1957)*1440)</f>
        <v/>
      </c>
      <c r="X1957" s="28" t="n"/>
      <c r="Y1957" s="28" t="n"/>
      <c r="Z1957" s="28" t="n"/>
      <c r="AA1957" s="31" t="n"/>
      <c r="AB1957" s="31" t="n"/>
    </row>
    <row r="1958">
      <c r="A1958" s="25" t="inlineStr">
        <is>
          <t>S38</t>
        </is>
      </c>
      <c r="B1958" s="25" t="inlineStr">
        <is>
          <t>강화</t>
        </is>
      </c>
      <c r="C1958" s="25" t="inlineStr">
        <is>
          <t>S38-H남</t>
        </is>
      </c>
      <c r="D1958" s="25" t="inlineStr">
        <is>
          <t>측정</t>
        </is>
      </c>
      <c r="E1958" s="25" t="inlineStr">
        <is>
          <t>남</t>
        </is>
      </c>
      <c r="F1958" s="30" t="n">
        <v>2</v>
      </c>
      <c r="G1958" s="29" t="n"/>
      <c r="H1958" s="42" t="n"/>
      <c r="I1958" s="40" t="n"/>
      <c r="J1958" s="40" t="n"/>
      <c r="K1958" s="40" t="n"/>
      <c r="L1958" s="30">
        <f>IF(COUNT(I1958:K1958)=0,"",MEDIAN(I1958:K1958))</f>
        <v/>
      </c>
      <c r="M1958" s="25">
        <f>IF(COUNTIFS($C:$C,$C1958,$D:$D,"P0(전)",$L:$L,"&gt;0")&lt;&gt;1,"P0(전) 유효 1개 아님",IF(COUNTIFS($C:$C,$C1958,$D:$D,"P0(후)",$L:$L,"&gt;0")&lt;&gt;1,"P0(후) 유효 1개 아님",IF(NOT(AND(ISNUMBER(N1958),ISNUMBER(P1958),ISNUMBER(H1958))),"시각 결측",IF(P1958&lt;=N1958,"P0 시각 역전",IF(OR(H1958&lt;N1958,H1958&gt;P1958),"측정시각 구간 밖","OK")))))</f>
        <v/>
      </c>
      <c r="N1958" s="45">
        <f>IF(COUNTIFS($C:$C,$C1958,$D:$D,"P0(전)",$L:$L,"&gt;0")&lt;&gt;1,"",SUMIFS($H:$H,$C:$C,$C1958,$D:$D,"P0(전)"))</f>
        <v/>
      </c>
      <c r="O1958" s="30">
        <f>IF(COUNTIFS($C:$C,$C1958,$D:$D,"P0(전)",$L:$L,"&gt;0")&lt;&gt;1,"",SUMIFS($L:$L,$C:$C,$C1958,$D:$D,"P0(전)"))</f>
        <v/>
      </c>
      <c r="P1958" s="45">
        <f>IF(COUNTIFS($C:$C,$C1958,$D:$D,"P0(후)",$L:$L,"&gt;0")&lt;&gt;1,"",SUMIFS($H:$H,$C:$C,$C1958,$D:$D,"P0(후)"))</f>
        <v/>
      </c>
      <c r="Q1958" s="30">
        <f>IF(COUNTIFS($C:$C,$C1958,$D:$D,"P0(후)",$L:$L,"&gt;0")&lt;&gt;1,"",SUMIFS($L:$L,$C:$C,$C1958,$D:$D,"P0(후)"))</f>
        <v/>
      </c>
      <c r="R1958" s="30">
        <f>IF(M1958&lt;&gt;"OK","",O1958+(Q1958-O1958)*(H1958-N1958)/(P1958-N1958))</f>
        <v/>
      </c>
      <c r="S1958" s="30">
        <f>IF(OR(M1958&lt;&gt;"OK",NOT(ISNUMBER(L1958))),"",L1958-R1958)</f>
        <v/>
      </c>
      <c r="T1958" s="46">
        <f>IF(OR(NOT(ISNUMBER(S1958)),IF(ISNUMBER(G1958),G1958,F1958)=0),"",S1958/IF(ISNUMBER(G1958),G1958,F1958))</f>
        <v/>
      </c>
      <c r="U1958" s="46">
        <f>IF(ISNUMBER(T1958),ABS(T1958),"")</f>
        <v/>
      </c>
      <c r="V1958" s="46">
        <f>IF(OR($D1957&lt;&gt;"측정",$C1957&lt;&gt;$C1958,NOT(ISNUMBER(L1958)),NOT(ISNUMBER(L1957)),(IF(ISNUMBER(G1958),G1958,F1958)-IF(ISNUMBER(G1957),G1957,F1957))=0),"",(L1958-L1957)/(IF(ISNUMBER(G1958),G1958,F1958)-IF(ISNUMBER(G1957),G1957,F1957)))</f>
        <v/>
      </c>
      <c r="W1958" s="30">
        <f>IF(NOT(AND(ISNUMBER(N1958),ISNUMBER(P1958))),"",(P1958-N1958)*1440)</f>
        <v/>
      </c>
      <c r="X1958" s="28" t="n"/>
      <c r="Y1958" s="28" t="n"/>
      <c r="Z1958" s="28" t="n"/>
      <c r="AA1958" s="31" t="n"/>
      <c r="AB1958" s="31" t="n"/>
    </row>
    <row r="1959">
      <c r="A1959" s="25" t="inlineStr">
        <is>
          <t>S38</t>
        </is>
      </c>
      <c r="B1959" s="25" t="inlineStr">
        <is>
          <t>강화</t>
        </is>
      </c>
      <c r="C1959" s="25" t="inlineStr">
        <is>
          <t>S38-H남</t>
        </is>
      </c>
      <c r="D1959" s="25" t="inlineStr">
        <is>
          <t>측정</t>
        </is>
      </c>
      <c r="E1959" s="25" t="inlineStr">
        <is>
          <t>남</t>
        </is>
      </c>
      <c r="F1959" s="30" t="n">
        <v>3</v>
      </c>
      <c r="G1959" s="29" t="n"/>
      <c r="H1959" s="42" t="n"/>
      <c r="I1959" s="40" t="n"/>
      <c r="J1959" s="40" t="n"/>
      <c r="K1959" s="40" t="n"/>
      <c r="L1959" s="30">
        <f>IF(COUNT(I1959:K1959)=0,"",MEDIAN(I1959:K1959))</f>
        <v/>
      </c>
      <c r="M1959" s="25">
        <f>IF(COUNTIFS($C:$C,$C1959,$D:$D,"P0(전)",$L:$L,"&gt;0")&lt;&gt;1,"P0(전) 유효 1개 아님",IF(COUNTIFS($C:$C,$C1959,$D:$D,"P0(후)",$L:$L,"&gt;0")&lt;&gt;1,"P0(후) 유효 1개 아님",IF(NOT(AND(ISNUMBER(N1959),ISNUMBER(P1959),ISNUMBER(H1959))),"시각 결측",IF(P1959&lt;=N1959,"P0 시각 역전",IF(OR(H1959&lt;N1959,H1959&gt;P1959),"측정시각 구간 밖","OK")))))</f>
        <v/>
      </c>
      <c r="N1959" s="45">
        <f>IF(COUNTIFS($C:$C,$C1959,$D:$D,"P0(전)",$L:$L,"&gt;0")&lt;&gt;1,"",SUMIFS($H:$H,$C:$C,$C1959,$D:$D,"P0(전)"))</f>
        <v/>
      </c>
      <c r="O1959" s="30">
        <f>IF(COUNTIFS($C:$C,$C1959,$D:$D,"P0(전)",$L:$L,"&gt;0")&lt;&gt;1,"",SUMIFS($L:$L,$C:$C,$C1959,$D:$D,"P0(전)"))</f>
        <v/>
      </c>
      <c r="P1959" s="45">
        <f>IF(COUNTIFS($C:$C,$C1959,$D:$D,"P0(후)",$L:$L,"&gt;0")&lt;&gt;1,"",SUMIFS($H:$H,$C:$C,$C1959,$D:$D,"P0(후)"))</f>
        <v/>
      </c>
      <c r="Q1959" s="30">
        <f>IF(COUNTIFS($C:$C,$C1959,$D:$D,"P0(후)",$L:$L,"&gt;0")&lt;&gt;1,"",SUMIFS($L:$L,$C:$C,$C1959,$D:$D,"P0(후)"))</f>
        <v/>
      </c>
      <c r="R1959" s="30">
        <f>IF(M1959&lt;&gt;"OK","",O1959+(Q1959-O1959)*(H1959-N1959)/(P1959-N1959))</f>
        <v/>
      </c>
      <c r="S1959" s="30">
        <f>IF(OR(M1959&lt;&gt;"OK",NOT(ISNUMBER(L1959))),"",L1959-R1959)</f>
        <v/>
      </c>
      <c r="T1959" s="46">
        <f>IF(OR(NOT(ISNUMBER(S1959)),IF(ISNUMBER(G1959),G1959,F1959)=0),"",S1959/IF(ISNUMBER(G1959),G1959,F1959))</f>
        <v/>
      </c>
      <c r="U1959" s="46">
        <f>IF(ISNUMBER(T1959),ABS(T1959),"")</f>
        <v/>
      </c>
      <c r="V1959" s="46">
        <f>IF(OR($D1958&lt;&gt;"측정",$C1958&lt;&gt;$C1959,NOT(ISNUMBER(L1959)),NOT(ISNUMBER(L1958)),(IF(ISNUMBER(G1959),G1959,F1959)-IF(ISNUMBER(G1958),G1958,F1958))=0),"",(L1959-L1958)/(IF(ISNUMBER(G1959),G1959,F1959)-IF(ISNUMBER(G1958),G1958,F1958)))</f>
        <v/>
      </c>
      <c r="W1959" s="30">
        <f>IF(NOT(AND(ISNUMBER(N1959),ISNUMBER(P1959))),"",(P1959-N1959)*1440)</f>
        <v/>
      </c>
      <c r="X1959" s="28" t="n"/>
      <c r="Y1959" s="28" t="n"/>
      <c r="Z1959" s="28" t="n"/>
      <c r="AA1959" s="31" t="n"/>
      <c r="AB1959" s="31" t="n"/>
    </row>
    <row r="1960">
      <c r="A1960" s="25" t="inlineStr">
        <is>
          <t>S38</t>
        </is>
      </c>
      <c r="B1960" s="25" t="inlineStr">
        <is>
          <t>강화</t>
        </is>
      </c>
      <c r="C1960" s="25" t="inlineStr">
        <is>
          <t>S38-H남</t>
        </is>
      </c>
      <c r="D1960" s="25" t="inlineStr">
        <is>
          <t>측정</t>
        </is>
      </c>
      <c r="E1960" s="25" t="inlineStr">
        <is>
          <t>남</t>
        </is>
      </c>
      <c r="F1960" s="30" t="n">
        <v>4</v>
      </c>
      <c r="G1960" s="29" t="n"/>
      <c r="H1960" s="42" t="n"/>
      <c r="I1960" s="40" t="n"/>
      <c r="J1960" s="40" t="n"/>
      <c r="K1960" s="40" t="n"/>
      <c r="L1960" s="30">
        <f>IF(COUNT(I1960:K1960)=0,"",MEDIAN(I1960:K1960))</f>
        <v/>
      </c>
      <c r="M1960" s="25">
        <f>IF(COUNTIFS($C:$C,$C1960,$D:$D,"P0(전)",$L:$L,"&gt;0")&lt;&gt;1,"P0(전) 유효 1개 아님",IF(COUNTIFS($C:$C,$C1960,$D:$D,"P0(후)",$L:$L,"&gt;0")&lt;&gt;1,"P0(후) 유효 1개 아님",IF(NOT(AND(ISNUMBER(N1960),ISNUMBER(P1960),ISNUMBER(H1960))),"시각 결측",IF(P1960&lt;=N1960,"P0 시각 역전",IF(OR(H1960&lt;N1960,H1960&gt;P1960),"측정시각 구간 밖","OK")))))</f>
        <v/>
      </c>
      <c r="N1960" s="45">
        <f>IF(COUNTIFS($C:$C,$C1960,$D:$D,"P0(전)",$L:$L,"&gt;0")&lt;&gt;1,"",SUMIFS($H:$H,$C:$C,$C1960,$D:$D,"P0(전)"))</f>
        <v/>
      </c>
      <c r="O1960" s="30">
        <f>IF(COUNTIFS($C:$C,$C1960,$D:$D,"P0(전)",$L:$L,"&gt;0")&lt;&gt;1,"",SUMIFS($L:$L,$C:$C,$C1960,$D:$D,"P0(전)"))</f>
        <v/>
      </c>
      <c r="P1960" s="45">
        <f>IF(COUNTIFS($C:$C,$C1960,$D:$D,"P0(후)",$L:$L,"&gt;0")&lt;&gt;1,"",SUMIFS($H:$H,$C:$C,$C1960,$D:$D,"P0(후)"))</f>
        <v/>
      </c>
      <c r="Q1960" s="30">
        <f>IF(COUNTIFS($C:$C,$C1960,$D:$D,"P0(후)",$L:$L,"&gt;0")&lt;&gt;1,"",SUMIFS($L:$L,$C:$C,$C1960,$D:$D,"P0(후)"))</f>
        <v/>
      </c>
      <c r="R1960" s="30">
        <f>IF(M1960&lt;&gt;"OK","",O1960+(Q1960-O1960)*(H1960-N1960)/(P1960-N1960))</f>
        <v/>
      </c>
      <c r="S1960" s="30">
        <f>IF(OR(M1960&lt;&gt;"OK",NOT(ISNUMBER(L1960))),"",L1960-R1960)</f>
        <v/>
      </c>
      <c r="T1960" s="46">
        <f>IF(OR(NOT(ISNUMBER(S1960)),IF(ISNUMBER(G1960),G1960,F1960)=0),"",S1960/IF(ISNUMBER(G1960),G1960,F1960))</f>
        <v/>
      </c>
      <c r="U1960" s="46">
        <f>IF(ISNUMBER(T1960),ABS(T1960),"")</f>
        <v/>
      </c>
      <c r="V1960" s="46">
        <f>IF(OR($D1959&lt;&gt;"측정",$C1959&lt;&gt;$C1960,NOT(ISNUMBER(L1960)),NOT(ISNUMBER(L1959)),(IF(ISNUMBER(G1960),G1960,F1960)-IF(ISNUMBER(G1959),G1959,F1959))=0),"",(L1960-L1959)/(IF(ISNUMBER(G1960),G1960,F1960)-IF(ISNUMBER(G1959),G1959,F1959)))</f>
        <v/>
      </c>
      <c r="W1960" s="30">
        <f>IF(NOT(AND(ISNUMBER(N1960),ISNUMBER(P1960))),"",(P1960-N1960)*1440)</f>
        <v/>
      </c>
      <c r="X1960" s="28" t="n"/>
      <c r="Y1960" s="28" t="n"/>
      <c r="Z1960" s="28" t="n"/>
      <c r="AA1960" s="31" t="n"/>
      <c r="AB1960" s="31" t="n"/>
    </row>
    <row r="1961">
      <c r="A1961" s="25" t="inlineStr">
        <is>
          <t>S38</t>
        </is>
      </c>
      <c r="B1961" s="25" t="inlineStr">
        <is>
          <t>강화</t>
        </is>
      </c>
      <c r="C1961" s="25" t="inlineStr">
        <is>
          <t>S38-H남</t>
        </is>
      </c>
      <c r="D1961" s="25" t="inlineStr">
        <is>
          <t>측정</t>
        </is>
      </c>
      <c r="E1961" s="25" t="inlineStr">
        <is>
          <t>남</t>
        </is>
      </c>
      <c r="F1961" s="30" t="n">
        <v>5</v>
      </c>
      <c r="G1961" s="29" t="n"/>
      <c r="H1961" s="42" t="n"/>
      <c r="I1961" s="40" t="n"/>
      <c r="J1961" s="40" t="n"/>
      <c r="K1961" s="40" t="n"/>
      <c r="L1961" s="30">
        <f>IF(COUNT(I1961:K1961)=0,"",MEDIAN(I1961:K1961))</f>
        <v/>
      </c>
      <c r="M1961" s="25">
        <f>IF(COUNTIFS($C:$C,$C1961,$D:$D,"P0(전)",$L:$L,"&gt;0")&lt;&gt;1,"P0(전) 유효 1개 아님",IF(COUNTIFS($C:$C,$C1961,$D:$D,"P0(후)",$L:$L,"&gt;0")&lt;&gt;1,"P0(후) 유효 1개 아님",IF(NOT(AND(ISNUMBER(N1961),ISNUMBER(P1961),ISNUMBER(H1961))),"시각 결측",IF(P1961&lt;=N1961,"P0 시각 역전",IF(OR(H1961&lt;N1961,H1961&gt;P1961),"측정시각 구간 밖","OK")))))</f>
        <v/>
      </c>
      <c r="N1961" s="45">
        <f>IF(COUNTIFS($C:$C,$C1961,$D:$D,"P0(전)",$L:$L,"&gt;0")&lt;&gt;1,"",SUMIFS($H:$H,$C:$C,$C1961,$D:$D,"P0(전)"))</f>
        <v/>
      </c>
      <c r="O1961" s="30">
        <f>IF(COUNTIFS($C:$C,$C1961,$D:$D,"P0(전)",$L:$L,"&gt;0")&lt;&gt;1,"",SUMIFS($L:$L,$C:$C,$C1961,$D:$D,"P0(전)"))</f>
        <v/>
      </c>
      <c r="P1961" s="45">
        <f>IF(COUNTIFS($C:$C,$C1961,$D:$D,"P0(후)",$L:$L,"&gt;0")&lt;&gt;1,"",SUMIFS($H:$H,$C:$C,$C1961,$D:$D,"P0(후)"))</f>
        <v/>
      </c>
      <c r="Q1961" s="30">
        <f>IF(COUNTIFS($C:$C,$C1961,$D:$D,"P0(후)",$L:$L,"&gt;0")&lt;&gt;1,"",SUMIFS($L:$L,$C:$C,$C1961,$D:$D,"P0(후)"))</f>
        <v/>
      </c>
      <c r="R1961" s="30">
        <f>IF(M1961&lt;&gt;"OK","",O1961+(Q1961-O1961)*(H1961-N1961)/(P1961-N1961))</f>
        <v/>
      </c>
      <c r="S1961" s="30">
        <f>IF(OR(M1961&lt;&gt;"OK",NOT(ISNUMBER(L1961))),"",L1961-R1961)</f>
        <v/>
      </c>
      <c r="T1961" s="46">
        <f>IF(OR(NOT(ISNUMBER(S1961)),IF(ISNUMBER(G1961),G1961,F1961)=0),"",S1961/IF(ISNUMBER(G1961),G1961,F1961))</f>
        <v/>
      </c>
      <c r="U1961" s="46">
        <f>IF(ISNUMBER(T1961),ABS(T1961),"")</f>
        <v/>
      </c>
      <c r="V1961" s="46">
        <f>IF(OR($D1960&lt;&gt;"측정",$C1960&lt;&gt;$C1961,NOT(ISNUMBER(L1961)),NOT(ISNUMBER(L1960)),(IF(ISNUMBER(G1961),G1961,F1961)-IF(ISNUMBER(G1960),G1960,F1960))=0),"",(L1961-L1960)/(IF(ISNUMBER(G1961),G1961,F1961)-IF(ISNUMBER(G1960),G1960,F1960)))</f>
        <v/>
      </c>
      <c r="W1961" s="30">
        <f>IF(NOT(AND(ISNUMBER(N1961),ISNUMBER(P1961))),"",(P1961-N1961)*1440)</f>
        <v/>
      </c>
      <c r="X1961" s="28" t="n"/>
      <c r="Y1961" s="28" t="n"/>
      <c r="Z1961" s="28" t="n"/>
      <c r="AA1961" s="31" t="n"/>
      <c r="AB1961" s="31" t="n"/>
    </row>
    <row r="1962">
      <c r="A1962" s="25" t="inlineStr">
        <is>
          <t>S38</t>
        </is>
      </c>
      <c r="B1962" s="25" t="inlineStr">
        <is>
          <t>강화</t>
        </is>
      </c>
      <c r="C1962" s="25" t="inlineStr">
        <is>
          <t>S38-H남</t>
        </is>
      </c>
      <c r="D1962" s="25" t="inlineStr">
        <is>
          <t>측정</t>
        </is>
      </c>
      <c r="E1962" s="25" t="inlineStr">
        <is>
          <t>남</t>
        </is>
      </c>
      <c r="F1962" s="30" t="n">
        <v>6</v>
      </c>
      <c r="G1962" s="29" t="n"/>
      <c r="H1962" s="42" t="n"/>
      <c r="I1962" s="40" t="n"/>
      <c r="J1962" s="40" t="n"/>
      <c r="K1962" s="40" t="n"/>
      <c r="L1962" s="30">
        <f>IF(COUNT(I1962:K1962)=0,"",MEDIAN(I1962:K1962))</f>
        <v/>
      </c>
      <c r="M1962" s="25">
        <f>IF(COUNTIFS($C:$C,$C1962,$D:$D,"P0(전)",$L:$L,"&gt;0")&lt;&gt;1,"P0(전) 유효 1개 아님",IF(COUNTIFS($C:$C,$C1962,$D:$D,"P0(후)",$L:$L,"&gt;0")&lt;&gt;1,"P0(후) 유효 1개 아님",IF(NOT(AND(ISNUMBER(N1962),ISNUMBER(P1962),ISNUMBER(H1962))),"시각 결측",IF(P1962&lt;=N1962,"P0 시각 역전",IF(OR(H1962&lt;N1962,H1962&gt;P1962),"측정시각 구간 밖","OK")))))</f>
        <v/>
      </c>
      <c r="N1962" s="45">
        <f>IF(COUNTIFS($C:$C,$C1962,$D:$D,"P0(전)",$L:$L,"&gt;0")&lt;&gt;1,"",SUMIFS($H:$H,$C:$C,$C1962,$D:$D,"P0(전)"))</f>
        <v/>
      </c>
      <c r="O1962" s="30">
        <f>IF(COUNTIFS($C:$C,$C1962,$D:$D,"P0(전)",$L:$L,"&gt;0")&lt;&gt;1,"",SUMIFS($L:$L,$C:$C,$C1962,$D:$D,"P0(전)"))</f>
        <v/>
      </c>
      <c r="P1962" s="45">
        <f>IF(COUNTIFS($C:$C,$C1962,$D:$D,"P0(후)",$L:$L,"&gt;0")&lt;&gt;1,"",SUMIFS($H:$H,$C:$C,$C1962,$D:$D,"P0(후)"))</f>
        <v/>
      </c>
      <c r="Q1962" s="30">
        <f>IF(COUNTIFS($C:$C,$C1962,$D:$D,"P0(후)",$L:$L,"&gt;0")&lt;&gt;1,"",SUMIFS($L:$L,$C:$C,$C1962,$D:$D,"P0(후)"))</f>
        <v/>
      </c>
      <c r="R1962" s="30">
        <f>IF(M1962&lt;&gt;"OK","",O1962+(Q1962-O1962)*(H1962-N1962)/(P1962-N1962))</f>
        <v/>
      </c>
      <c r="S1962" s="30">
        <f>IF(OR(M1962&lt;&gt;"OK",NOT(ISNUMBER(L1962))),"",L1962-R1962)</f>
        <v/>
      </c>
      <c r="T1962" s="46">
        <f>IF(OR(NOT(ISNUMBER(S1962)),IF(ISNUMBER(G1962),G1962,F1962)=0),"",S1962/IF(ISNUMBER(G1962),G1962,F1962))</f>
        <v/>
      </c>
      <c r="U1962" s="46">
        <f>IF(ISNUMBER(T1962),ABS(T1962),"")</f>
        <v/>
      </c>
      <c r="V1962" s="46">
        <f>IF(OR($D1961&lt;&gt;"측정",$C1961&lt;&gt;$C1962,NOT(ISNUMBER(L1962)),NOT(ISNUMBER(L1961)),(IF(ISNUMBER(G1962),G1962,F1962)-IF(ISNUMBER(G1961),G1961,F1961))=0),"",(L1962-L1961)/(IF(ISNUMBER(G1962),G1962,F1962)-IF(ISNUMBER(G1961),G1961,F1961)))</f>
        <v/>
      </c>
      <c r="W1962" s="30">
        <f>IF(NOT(AND(ISNUMBER(N1962),ISNUMBER(P1962))),"",(P1962-N1962)*1440)</f>
        <v/>
      </c>
      <c r="X1962" s="28" t="n"/>
      <c r="Y1962" s="28" t="n"/>
      <c r="Z1962" s="28" t="n"/>
      <c r="AA1962" s="31" t="n"/>
      <c r="AB1962" s="31" t="n"/>
    </row>
    <row r="1963">
      <c r="A1963" s="25" t="inlineStr">
        <is>
          <t>S38</t>
        </is>
      </c>
      <c r="B1963" s="25" t="inlineStr">
        <is>
          <t>강화</t>
        </is>
      </c>
      <c r="C1963" s="25" t="inlineStr">
        <is>
          <t>S38-H남</t>
        </is>
      </c>
      <c r="D1963" s="25" t="inlineStr">
        <is>
          <t>측정</t>
        </is>
      </c>
      <c r="E1963" s="25" t="inlineStr">
        <is>
          <t>남</t>
        </is>
      </c>
      <c r="F1963" s="30" t="n">
        <v>7</v>
      </c>
      <c r="G1963" s="29" t="n"/>
      <c r="H1963" s="42" t="n"/>
      <c r="I1963" s="40" t="n"/>
      <c r="J1963" s="40" t="n"/>
      <c r="K1963" s="40" t="n"/>
      <c r="L1963" s="30">
        <f>IF(COUNT(I1963:K1963)=0,"",MEDIAN(I1963:K1963))</f>
        <v/>
      </c>
      <c r="M1963" s="25">
        <f>IF(COUNTIFS($C:$C,$C1963,$D:$D,"P0(전)",$L:$L,"&gt;0")&lt;&gt;1,"P0(전) 유효 1개 아님",IF(COUNTIFS($C:$C,$C1963,$D:$D,"P0(후)",$L:$L,"&gt;0")&lt;&gt;1,"P0(후) 유효 1개 아님",IF(NOT(AND(ISNUMBER(N1963),ISNUMBER(P1963),ISNUMBER(H1963))),"시각 결측",IF(P1963&lt;=N1963,"P0 시각 역전",IF(OR(H1963&lt;N1963,H1963&gt;P1963),"측정시각 구간 밖","OK")))))</f>
        <v/>
      </c>
      <c r="N1963" s="45">
        <f>IF(COUNTIFS($C:$C,$C1963,$D:$D,"P0(전)",$L:$L,"&gt;0")&lt;&gt;1,"",SUMIFS($H:$H,$C:$C,$C1963,$D:$D,"P0(전)"))</f>
        <v/>
      </c>
      <c r="O1963" s="30">
        <f>IF(COUNTIFS($C:$C,$C1963,$D:$D,"P0(전)",$L:$L,"&gt;0")&lt;&gt;1,"",SUMIFS($L:$L,$C:$C,$C1963,$D:$D,"P0(전)"))</f>
        <v/>
      </c>
      <c r="P1963" s="45">
        <f>IF(COUNTIFS($C:$C,$C1963,$D:$D,"P0(후)",$L:$L,"&gt;0")&lt;&gt;1,"",SUMIFS($H:$H,$C:$C,$C1963,$D:$D,"P0(후)"))</f>
        <v/>
      </c>
      <c r="Q1963" s="30">
        <f>IF(COUNTIFS($C:$C,$C1963,$D:$D,"P0(후)",$L:$L,"&gt;0")&lt;&gt;1,"",SUMIFS($L:$L,$C:$C,$C1963,$D:$D,"P0(후)"))</f>
        <v/>
      </c>
      <c r="R1963" s="30">
        <f>IF(M1963&lt;&gt;"OK","",O1963+(Q1963-O1963)*(H1963-N1963)/(P1963-N1963))</f>
        <v/>
      </c>
      <c r="S1963" s="30">
        <f>IF(OR(M1963&lt;&gt;"OK",NOT(ISNUMBER(L1963))),"",L1963-R1963)</f>
        <v/>
      </c>
      <c r="T1963" s="46">
        <f>IF(OR(NOT(ISNUMBER(S1963)),IF(ISNUMBER(G1963),G1963,F1963)=0),"",S1963/IF(ISNUMBER(G1963),G1963,F1963))</f>
        <v/>
      </c>
      <c r="U1963" s="46">
        <f>IF(ISNUMBER(T1963),ABS(T1963),"")</f>
        <v/>
      </c>
      <c r="V1963" s="46">
        <f>IF(OR($D1962&lt;&gt;"측정",$C1962&lt;&gt;$C1963,NOT(ISNUMBER(L1963)),NOT(ISNUMBER(L1962)),(IF(ISNUMBER(G1963),G1963,F1963)-IF(ISNUMBER(G1962),G1962,F1962))=0),"",(L1963-L1962)/(IF(ISNUMBER(G1963),G1963,F1963)-IF(ISNUMBER(G1962),G1962,F1962)))</f>
        <v/>
      </c>
      <c r="W1963" s="30">
        <f>IF(NOT(AND(ISNUMBER(N1963),ISNUMBER(P1963))),"",(P1963-N1963)*1440)</f>
        <v/>
      </c>
      <c r="X1963" s="28" t="n"/>
      <c r="Y1963" s="28" t="n"/>
      <c r="Z1963" s="28" t="n"/>
      <c r="AA1963" s="31" t="n"/>
      <c r="AB1963" s="31" t="n"/>
    </row>
    <row r="1964">
      <c r="A1964" s="25" t="inlineStr">
        <is>
          <t>S38</t>
        </is>
      </c>
      <c r="B1964" s="25" t="inlineStr">
        <is>
          <t>강화</t>
        </is>
      </c>
      <c r="C1964" s="25" t="inlineStr">
        <is>
          <t>S38-H남</t>
        </is>
      </c>
      <c r="D1964" s="25" t="inlineStr">
        <is>
          <t>측정</t>
        </is>
      </c>
      <c r="E1964" s="25" t="inlineStr">
        <is>
          <t>남</t>
        </is>
      </c>
      <c r="F1964" s="30" t="n">
        <v>8</v>
      </c>
      <c r="G1964" s="29" t="n"/>
      <c r="H1964" s="42" t="n"/>
      <c r="I1964" s="40" t="n"/>
      <c r="J1964" s="40" t="n"/>
      <c r="K1964" s="40" t="n"/>
      <c r="L1964" s="30">
        <f>IF(COUNT(I1964:K1964)=0,"",MEDIAN(I1964:K1964))</f>
        <v/>
      </c>
      <c r="M1964" s="25">
        <f>IF(COUNTIFS($C:$C,$C1964,$D:$D,"P0(전)",$L:$L,"&gt;0")&lt;&gt;1,"P0(전) 유효 1개 아님",IF(COUNTIFS($C:$C,$C1964,$D:$D,"P0(후)",$L:$L,"&gt;0")&lt;&gt;1,"P0(후) 유효 1개 아님",IF(NOT(AND(ISNUMBER(N1964),ISNUMBER(P1964),ISNUMBER(H1964))),"시각 결측",IF(P1964&lt;=N1964,"P0 시각 역전",IF(OR(H1964&lt;N1964,H1964&gt;P1964),"측정시각 구간 밖","OK")))))</f>
        <v/>
      </c>
      <c r="N1964" s="45">
        <f>IF(COUNTIFS($C:$C,$C1964,$D:$D,"P0(전)",$L:$L,"&gt;0")&lt;&gt;1,"",SUMIFS($H:$H,$C:$C,$C1964,$D:$D,"P0(전)"))</f>
        <v/>
      </c>
      <c r="O1964" s="30">
        <f>IF(COUNTIFS($C:$C,$C1964,$D:$D,"P0(전)",$L:$L,"&gt;0")&lt;&gt;1,"",SUMIFS($L:$L,$C:$C,$C1964,$D:$D,"P0(전)"))</f>
        <v/>
      </c>
      <c r="P1964" s="45">
        <f>IF(COUNTIFS($C:$C,$C1964,$D:$D,"P0(후)",$L:$L,"&gt;0")&lt;&gt;1,"",SUMIFS($H:$H,$C:$C,$C1964,$D:$D,"P0(후)"))</f>
        <v/>
      </c>
      <c r="Q1964" s="30">
        <f>IF(COUNTIFS($C:$C,$C1964,$D:$D,"P0(후)",$L:$L,"&gt;0")&lt;&gt;1,"",SUMIFS($L:$L,$C:$C,$C1964,$D:$D,"P0(후)"))</f>
        <v/>
      </c>
      <c r="R1964" s="30">
        <f>IF(M1964&lt;&gt;"OK","",O1964+(Q1964-O1964)*(H1964-N1964)/(P1964-N1964))</f>
        <v/>
      </c>
      <c r="S1964" s="30">
        <f>IF(OR(M1964&lt;&gt;"OK",NOT(ISNUMBER(L1964))),"",L1964-R1964)</f>
        <v/>
      </c>
      <c r="T1964" s="46">
        <f>IF(OR(NOT(ISNUMBER(S1964)),IF(ISNUMBER(G1964),G1964,F1964)=0),"",S1964/IF(ISNUMBER(G1964),G1964,F1964))</f>
        <v/>
      </c>
      <c r="U1964" s="46">
        <f>IF(ISNUMBER(T1964),ABS(T1964),"")</f>
        <v/>
      </c>
      <c r="V1964" s="46">
        <f>IF(OR($D1963&lt;&gt;"측정",$C1963&lt;&gt;$C1964,NOT(ISNUMBER(L1964)),NOT(ISNUMBER(L1963)),(IF(ISNUMBER(G1964),G1964,F1964)-IF(ISNUMBER(G1963),G1963,F1963))=0),"",(L1964-L1963)/(IF(ISNUMBER(G1964),G1964,F1964)-IF(ISNUMBER(G1963),G1963,F1963)))</f>
        <v/>
      </c>
      <c r="W1964" s="30">
        <f>IF(NOT(AND(ISNUMBER(N1964),ISNUMBER(P1964))),"",(P1964-N1964)*1440)</f>
        <v/>
      </c>
      <c r="X1964" s="28" t="n"/>
      <c r="Y1964" s="28" t="n"/>
      <c r="Z1964" s="28" t="n"/>
      <c r="AA1964" s="31" t="n"/>
      <c r="AB1964" s="31" t="n"/>
    </row>
    <row r="1965">
      <c r="A1965" s="25" t="inlineStr">
        <is>
          <t>S38</t>
        </is>
      </c>
      <c r="B1965" s="25" t="inlineStr">
        <is>
          <t>강화</t>
        </is>
      </c>
      <c r="C1965" s="25" t="inlineStr">
        <is>
          <t>S38-H남</t>
        </is>
      </c>
      <c r="D1965" s="25" t="inlineStr">
        <is>
          <t>측정</t>
        </is>
      </c>
      <c r="E1965" s="25" t="inlineStr">
        <is>
          <t>남</t>
        </is>
      </c>
      <c r="F1965" s="30" t="n">
        <v>9</v>
      </c>
      <c r="G1965" s="29" t="n"/>
      <c r="H1965" s="42" t="n"/>
      <c r="I1965" s="40" t="n"/>
      <c r="J1965" s="40" t="n"/>
      <c r="K1965" s="40" t="n"/>
      <c r="L1965" s="30">
        <f>IF(COUNT(I1965:K1965)=0,"",MEDIAN(I1965:K1965))</f>
        <v/>
      </c>
      <c r="M1965" s="25">
        <f>IF(COUNTIFS($C:$C,$C1965,$D:$D,"P0(전)",$L:$L,"&gt;0")&lt;&gt;1,"P0(전) 유효 1개 아님",IF(COUNTIFS($C:$C,$C1965,$D:$D,"P0(후)",$L:$L,"&gt;0")&lt;&gt;1,"P0(후) 유효 1개 아님",IF(NOT(AND(ISNUMBER(N1965),ISNUMBER(P1965),ISNUMBER(H1965))),"시각 결측",IF(P1965&lt;=N1965,"P0 시각 역전",IF(OR(H1965&lt;N1965,H1965&gt;P1965),"측정시각 구간 밖","OK")))))</f>
        <v/>
      </c>
      <c r="N1965" s="45">
        <f>IF(COUNTIFS($C:$C,$C1965,$D:$D,"P0(전)",$L:$L,"&gt;0")&lt;&gt;1,"",SUMIFS($H:$H,$C:$C,$C1965,$D:$D,"P0(전)"))</f>
        <v/>
      </c>
      <c r="O1965" s="30">
        <f>IF(COUNTIFS($C:$C,$C1965,$D:$D,"P0(전)",$L:$L,"&gt;0")&lt;&gt;1,"",SUMIFS($L:$L,$C:$C,$C1965,$D:$D,"P0(전)"))</f>
        <v/>
      </c>
      <c r="P1965" s="45">
        <f>IF(COUNTIFS($C:$C,$C1965,$D:$D,"P0(후)",$L:$L,"&gt;0")&lt;&gt;1,"",SUMIFS($H:$H,$C:$C,$C1965,$D:$D,"P0(후)"))</f>
        <v/>
      </c>
      <c r="Q1965" s="30">
        <f>IF(COUNTIFS($C:$C,$C1965,$D:$D,"P0(후)",$L:$L,"&gt;0")&lt;&gt;1,"",SUMIFS($L:$L,$C:$C,$C1965,$D:$D,"P0(후)"))</f>
        <v/>
      </c>
      <c r="R1965" s="30">
        <f>IF(M1965&lt;&gt;"OK","",O1965+(Q1965-O1965)*(H1965-N1965)/(P1965-N1965))</f>
        <v/>
      </c>
      <c r="S1965" s="30">
        <f>IF(OR(M1965&lt;&gt;"OK",NOT(ISNUMBER(L1965))),"",L1965-R1965)</f>
        <v/>
      </c>
      <c r="T1965" s="46">
        <f>IF(OR(NOT(ISNUMBER(S1965)),IF(ISNUMBER(G1965),G1965,F1965)=0),"",S1965/IF(ISNUMBER(G1965),G1965,F1965))</f>
        <v/>
      </c>
      <c r="U1965" s="46">
        <f>IF(ISNUMBER(T1965),ABS(T1965),"")</f>
        <v/>
      </c>
      <c r="V1965" s="46">
        <f>IF(OR($D1964&lt;&gt;"측정",$C1964&lt;&gt;$C1965,NOT(ISNUMBER(L1965)),NOT(ISNUMBER(L1964)),(IF(ISNUMBER(G1965),G1965,F1965)-IF(ISNUMBER(G1964),G1964,F1964))=0),"",(L1965-L1964)/(IF(ISNUMBER(G1965),G1965,F1965)-IF(ISNUMBER(G1964),G1964,F1964)))</f>
        <v/>
      </c>
      <c r="W1965" s="30">
        <f>IF(NOT(AND(ISNUMBER(N1965),ISNUMBER(P1965))),"",(P1965-N1965)*1440)</f>
        <v/>
      </c>
      <c r="X1965" s="28" t="n"/>
      <c r="Y1965" s="28" t="n"/>
      <c r="Z1965" s="28" t="n"/>
      <c r="AA1965" s="31" t="n"/>
      <c r="AB1965" s="31" t="n"/>
    </row>
    <row r="1966">
      <c r="A1966" s="25" t="inlineStr">
        <is>
          <t>S38</t>
        </is>
      </c>
      <c r="B1966" s="25" t="inlineStr">
        <is>
          <t>강화</t>
        </is>
      </c>
      <c r="C1966" s="25" t="inlineStr">
        <is>
          <t>S38-H남</t>
        </is>
      </c>
      <c r="D1966" s="25" t="inlineStr">
        <is>
          <t>측정</t>
        </is>
      </c>
      <c r="E1966" s="25" t="inlineStr">
        <is>
          <t>남</t>
        </is>
      </c>
      <c r="F1966" s="30" t="n">
        <v>10</v>
      </c>
      <c r="G1966" s="29" t="n"/>
      <c r="H1966" s="42" t="n"/>
      <c r="I1966" s="40" t="n"/>
      <c r="J1966" s="40" t="n"/>
      <c r="K1966" s="40" t="n"/>
      <c r="L1966" s="30">
        <f>IF(COUNT(I1966:K1966)=0,"",MEDIAN(I1966:K1966))</f>
        <v/>
      </c>
      <c r="M1966" s="25">
        <f>IF(COUNTIFS($C:$C,$C1966,$D:$D,"P0(전)",$L:$L,"&gt;0")&lt;&gt;1,"P0(전) 유효 1개 아님",IF(COUNTIFS($C:$C,$C1966,$D:$D,"P0(후)",$L:$L,"&gt;0")&lt;&gt;1,"P0(후) 유효 1개 아님",IF(NOT(AND(ISNUMBER(N1966),ISNUMBER(P1966),ISNUMBER(H1966))),"시각 결측",IF(P1966&lt;=N1966,"P0 시각 역전",IF(OR(H1966&lt;N1966,H1966&gt;P1966),"측정시각 구간 밖","OK")))))</f>
        <v/>
      </c>
      <c r="N1966" s="45">
        <f>IF(COUNTIFS($C:$C,$C1966,$D:$D,"P0(전)",$L:$L,"&gt;0")&lt;&gt;1,"",SUMIFS($H:$H,$C:$C,$C1966,$D:$D,"P0(전)"))</f>
        <v/>
      </c>
      <c r="O1966" s="30">
        <f>IF(COUNTIFS($C:$C,$C1966,$D:$D,"P0(전)",$L:$L,"&gt;0")&lt;&gt;1,"",SUMIFS($L:$L,$C:$C,$C1966,$D:$D,"P0(전)"))</f>
        <v/>
      </c>
      <c r="P1966" s="45">
        <f>IF(COUNTIFS($C:$C,$C1966,$D:$D,"P0(후)",$L:$L,"&gt;0")&lt;&gt;1,"",SUMIFS($H:$H,$C:$C,$C1966,$D:$D,"P0(후)"))</f>
        <v/>
      </c>
      <c r="Q1966" s="30">
        <f>IF(COUNTIFS($C:$C,$C1966,$D:$D,"P0(후)",$L:$L,"&gt;0")&lt;&gt;1,"",SUMIFS($L:$L,$C:$C,$C1966,$D:$D,"P0(후)"))</f>
        <v/>
      </c>
      <c r="R1966" s="30">
        <f>IF(M1966&lt;&gt;"OK","",O1966+(Q1966-O1966)*(H1966-N1966)/(P1966-N1966))</f>
        <v/>
      </c>
      <c r="S1966" s="30">
        <f>IF(OR(M1966&lt;&gt;"OK",NOT(ISNUMBER(L1966))),"",L1966-R1966)</f>
        <v/>
      </c>
      <c r="T1966" s="46">
        <f>IF(OR(NOT(ISNUMBER(S1966)),IF(ISNUMBER(G1966),G1966,F1966)=0),"",S1966/IF(ISNUMBER(G1966),G1966,F1966))</f>
        <v/>
      </c>
      <c r="U1966" s="46">
        <f>IF(ISNUMBER(T1966),ABS(T1966),"")</f>
        <v/>
      </c>
      <c r="V1966" s="46">
        <f>IF(OR($D1965&lt;&gt;"측정",$C1965&lt;&gt;$C1966,NOT(ISNUMBER(L1966)),NOT(ISNUMBER(L1965)),(IF(ISNUMBER(G1966),G1966,F1966)-IF(ISNUMBER(G1965),G1965,F1965))=0),"",(L1966-L1965)/(IF(ISNUMBER(G1966),G1966,F1966)-IF(ISNUMBER(G1965),G1965,F1965)))</f>
        <v/>
      </c>
      <c r="W1966" s="30">
        <f>IF(NOT(AND(ISNUMBER(N1966),ISNUMBER(P1966))),"",(P1966-N1966)*1440)</f>
        <v/>
      </c>
      <c r="X1966" s="28" t="n"/>
      <c r="Y1966" s="28" t="n"/>
      <c r="Z1966" s="28" t="n"/>
      <c r="AA1966" s="31" t="n"/>
      <c r="AB1966" s="31" t="n"/>
    </row>
    <row r="1967">
      <c r="A1967" s="43" t="inlineStr">
        <is>
          <t>S38</t>
        </is>
      </c>
      <c r="B1967" s="43" t="inlineStr">
        <is>
          <t>강화</t>
        </is>
      </c>
      <c r="C1967" s="43" t="inlineStr">
        <is>
          <t>S38-H남</t>
        </is>
      </c>
      <c r="D1967" s="43" t="inlineStr">
        <is>
          <t>P0(후)</t>
        </is>
      </c>
      <c r="E1967" s="43" t="inlineStr">
        <is>
          <t>남</t>
        </is>
      </c>
      <c r="F1967" s="44" t="n"/>
      <c r="G1967" s="29" t="n"/>
      <c r="H1967" s="42" t="n"/>
      <c r="I1967" s="40" t="n"/>
      <c r="J1967" s="40" t="n"/>
      <c r="K1967" s="40" t="n"/>
      <c r="L1967" s="30">
        <f>IF(COUNT(I1967:K1967)=0,"",MEDIAN(I1967:K1967))</f>
        <v/>
      </c>
      <c r="M1967" s="37" t="n"/>
      <c r="N1967" s="37" t="n"/>
      <c r="O1967" s="37" t="n"/>
      <c r="P1967" s="37" t="n"/>
      <c r="Q1967" s="37" t="n"/>
      <c r="R1967" s="37" t="n"/>
      <c r="S1967" s="37" t="n"/>
      <c r="T1967" s="37" t="n"/>
      <c r="U1967" s="37" t="n"/>
      <c r="V1967" s="37" t="n"/>
      <c r="W1967" s="37" t="n"/>
      <c r="X1967" s="28" t="n"/>
      <c r="Y1967" s="28" t="n"/>
      <c r="Z1967" s="28" t="n"/>
      <c r="AA1967" s="31" t="n"/>
      <c r="AB1967" s="31" t="n"/>
    </row>
    <row r="1968">
      <c r="A1968" s="43" t="inlineStr">
        <is>
          <t>S38</t>
        </is>
      </c>
      <c r="B1968" s="43" t="inlineStr">
        <is>
          <t>강화</t>
        </is>
      </c>
      <c r="C1968" s="43" t="inlineStr">
        <is>
          <t>S38-H북</t>
        </is>
      </c>
      <c r="D1968" s="43" t="inlineStr">
        <is>
          <t>P0(전)</t>
        </is>
      </c>
      <c r="E1968" s="43" t="inlineStr">
        <is>
          <t>북</t>
        </is>
      </c>
      <c r="F1968" s="44" t="n"/>
      <c r="G1968" s="29" t="n"/>
      <c r="H1968" s="42" t="n"/>
      <c r="I1968" s="40" t="n"/>
      <c r="J1968" s="40" t="n"/>
      <c r="K1968" s="40" t="n"/>
      <c r="L1968" s="30">
        <f>IF(COUNT(I1968:K1968)=0,"",MEDIAN(I1968:K1968))</f>
        <v/>
      </c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28" t="n"/>
      <c r="Y1968" s="28" t="n"/>
      <c r="Z1968" s="28" t="n"/>
      <c r="AA1968" s="31" t="n"/>
      <c r="AB1968" s="31" t="n"/>
    </row>
    <row r="1969">
      <c r="A1969" s="25" t="inlineStr">
        <is>
          <t>S38</t>
        </is>
      </c>
      <c r="B1969" s="25" t="inlineStr">
        <is>
          <t>강화</t>
        </is>
      </c>
      <c r="C1969" s="25" t="inlineStr">
        <is>
          <t>S38-H북</t>
        </is>
      </c>
      <c r="D1969" s="25" t="inlineStr">
        <is>
          <t>측정</t>
        </is>
      </c>
      <c r="E1969" s="25" t="inlineStr">
        <is>
          <t>북</t>
        </is>
      </c>
      <c r="F1969" s="30" t="n">
        <v>0.5</v>
      </c>
      <c r="G1969" s="29" t="n"/>
      <c r="H1969" s="42" t="n"/>
      <c r="I1969" s="40" t="n"/>
      <c r="J1969" s="40" t="n"/>
      <c r="K1969" s="40" t="n"/>
      <c r="L1969" s="30">
        <f>IF(COUNT(I1969:K1969)=0,"",MEDIAN(I1969:K1969))</f>
        <v/>
      </c>
      <c r="M1969" s="25">
        <f>IF(COUNTIFS($C:$C,$C1969,$D:$D,"P0(전)",$L:$L,"&gt;0")&lt;&gt;1,"P0(전) 유효 1개 아님",IF(COUNTIFS($C:$C,$C1969,$D:$D,"P0(후)",$L:$L,"&gt;0")&lt;&gt;1,"P0(후) 유효 1개 아님",IF(NOT(AND(ISNUMBER(N1969),ISNUMBER(P1969),ISNUMBER(H1969))),"시각 결측",IF(P1969&lt;=N1969,"P0 시각 역전",IF(OR(H1969&lt;N1969,H1969&gt;P1969),"측정시각 구간 밖","OK")))))</f>
        <v/>
      </c>
      <c r="N1969" s="45">
        <f>IF(COUNTIFS($C:$C,$C1969,$D:$D,"P0(전)",$L:$L,"&gt;0")&lt;&gt;1,"",SUMIFS($H:$H,$C:$C,$C1969,$D:$D,"P0(전)"))</f>
        <v/>
      </c>
      <c r="O1969" s="30">
        <f>IF(COUNTIFS($C:$C,$C1969,$D:$D,"P0(전)",$L:$L,"&gt;0")&lt;&gt;1,"",SUMIFS($L:$L,$C:$C,$C1969,$D:$D,"P0(전)"))</f>
        <v/>
      </c>
      <c r="P1969" s="45">
        <f>IF(COUNTIFS($C:$C,$C1969,$D:$D,"P0(후)",$L:$L,"&gt;0")&lt;&gt;1,"",SUMIFS($H:$H,$C:$C,$C1969,$D:$D,"P0(후)"))</f>
        <v/>
      </c>
      <c r="Q1969" s="30">
        <f>IF(COUNTIFS($C:$C,$C1969,$D:$D,"P0(후)",$L:$L,"&gt;0")&lt;&gt;1,"",SUMIFS($L:$L,$C:$C,$C1969,$D:$D,"P0(후)"))</f>
        <v/>
      </c>
      <c r="R1969" s="30">
        <f>IF(M1969&lt;&gt;"OK","",O1969+(Q1969-O1969)*(H1969-N1969)/(P1969-N1969))</f>
        <v/>
      </c>
      <c r="S1969" s="30">
        <f>IF(OR(M1969&lt;&gt;"OK",NOT(ISNUMBER(L1969))),"",L1969-R1969)</f>
        <v/>
      </c>
      <c r="T1969" s="46">
        <f>IF(OR(NOT(ISNUMBER(S1969)),IF(ISNUMBER(G1969),G1969,F1969)=0),"",S1969/IF(ISNUMBER(G1969),G1969,F1969))</f>
        <v/>
      </c>
      <c r="U1969" s="46">
        <f>IF(ISNUMBER(T1969),ABS(T1969),"")</f>
        <v/>
      </c>
      <c r="V1969" s="46">
        <f>IF(OR($D1968&lt;&gt;"측정",$C1968&lt;&gt;$C1969,NOT(ISNUMBER(L1969)),NOT(ISNUMBER(L1968)),(IF(ISNUMBER(G1969),G1969,F1969)-IF(ISNUMBER(G1968),G1968,F1968))=0),"",(L1969-L1968)/(IF(ISNUMBER(G1969),G1969,F1969)-IF(ISNUMBER(G1968),G1968,F1968)))</f>
        <v/>
      </c>
      <c r="W1969" s="30">
        <f>IF(NOT(AND(ISNUMBER(N1969),ISNUMBER(P1969))),"",(P1969-N1969)*1440)</f>
        <v/>
      </c>
      <c r="X1969" s="28" t="n"/>
      <c r="Y1969" s="28" t="n"/>
      <c r="Z1969" s="28" t="n"/>
      <c r="AA1969" s="31" t="n"/>
      <c r="AB1969" s="31" t="n"/>
    </row>
    <row r="1970">
      <c r="A1970" s="25" t="inlineStr">
        <is>
          <t>S38</t>
        </is>
      </c>
      <c r="B1970" s="25" t="inlineStr">
        <is>
          <t>강화</t>
        </is>
      </c>
      <c r="C1970" s="25" t="inlineStr">
        <is>
          <t>S38-H북</t>
        </is>
      </c>
      <c r="D1970" s="25" t="inlineStr">
        <is>
          <t>측정</t>
        </is>
      </c>
      <c r="E1970" s="25" t="inlineStr">
        <is>
          <t>북</t>
        </is>
      </c>
      <c r="F1970" s="30" t="n">
        <v>1</v>
      </c>
      <c r="G1970" s="29" t="n"/>
      <c r="H1970" s="42" t="n"/>
      <c r="I1970" s="40" t="n"/>
      <c r="J1970" s="40" t="n"/>
      <c r="K1970" s="40" t="n"/>
      <c r="L1970" s="30">
        <f>IF(COUNT(I1970:K1970)=0,"",MEDIAN(I1970:K1970))</f>
        <v/>
      </c>
      <c r="M1970" s="25">
        <f>IF(COUNTIFS($C:$C,$C1970,$D:$D,"P0(전)",$L:$L,"&gt;0")&lt;&gt;1,"P0(전) 유효 1개 아님",IF(COUNTIFS($C:$C,$C1970,$D:$D,"P0(후)",$L:$L,"&gt;0")&lt;&gt;1,"P0(후) 유효 1개 아님",IF(NOT(AND(ISNUMBER(N1970),ISNUMBER(P1970),ISNUMBER(H1970))),"시각 결측",IF(P1970&lt;=N1970,"P0 시각 역전",IF(OR(H1970&lt;N1970,H1970&gt;P1970),"측정시각 구간 밖","OK")))))</f>
        <v/>
      </c>
      <c r="N1970" s="45">
        <f>IF(COUNTIFS($C:$C,$C1970,$D:$D,"P0(전)",$L:$L,"&gt;0")&lt;&gt;1,"",SUMIFS($H:$H,$C:$C,$C1970,$D:$D,"P0(전)"))</f>
        <v/>
      </c>
      <c r="O1970" s="30">
        <f>IF(COUNTIFS($C:$C,$C1970,$D:$D,"P0(전)",$L:$L,"&gt;0")&lt;&gt;1,"",SUMIFS($L:$L,$C:$C,$C1970,$D:$D,"P0(전)"))</f>
        <v/>
      </c>
      <c r="P1970" s="45">
        <f>IF(COUNTIFS($C:$C,$C1970,$D:$D,"P0(후)",$L:$L,"&gt;0")&lt;&gt;1,"",SUMIFS($H:$H,$C:$C,$C1970,$D:$D,"P0(후)"))</f>
        <v/>
      </c>
      <c r="Q1970" s="30">
        <f>IF(COUNTIFS($C:$C,$C1970,$D:$D,"P0(후)",$L:$L,"&gt;0")&lt;&gt;1,"",SUMIFS($L:$L,$C:$C,$C1970,$D:$D,"P0(후)"))</f>
        <v/>
      </c>
      <c r="R1970" s="30">
        <f>IF(M1970&lt;&gt;"OK","",O1970+(Q1970-O1970)*(H1970-N1970)/(P1970-N1970))</f>
        <v/>
      </c>
      <c r="S1970" s="30">
        <f>IF(OR(M1970&lt;&gt;"OK",NOT(ISNUMBER(L1970))),"",L1970-R1970)</f>
        <v/>
      </c>
      <c r="T1970" s="46">
        <f>IF(OR(NOT(ISNUMBER(S1970)),IF(ISNUMBER(G1970),G1970,F1970)=0),"",S1970/IF(ISNUMBER(G1970),G1970,F1970))</f>
        <v/>
      </c>
      <c r="U1970" s="46">
        <f>IF(ISNUMBER(T1970),ABS(T1970),"")</f>
        <v/>
      </c>
      <c r="V1970" s="46">
        <f>IF(OR($D1969&lt;&gt;"측정",$C1969&lt;&gt;$C1970,NOT(ISNUMBER(L1970)),NOT(ISNUMBER(L1969)),(IF(ISNUMBER(G1970),G1970,F1970)-IF(ISNUMBER(G1969),G1969,F1969))=0),"",(L1970-L1969)/(IF(ISNUMBER(G1970),G1970,F1970)-IF(ISNUMBER(G1969),G1969,F1969)))</f>
        <v/>
      </c>
      <c r="W1970" s="30">
        <f>IF(NOT(AND(ISNUMBER(N1970),ISNUMBER(P1970))),"",(P1970-N1970)*1440)</f>
        <v/>
      </c>
      <c r="X1970" s="28" t="n"/>
      <c r="Y1970" s="28" t="n"/>
      <c r="Z1970" s="28" t="n"/>
      <c r="AA1970" s="31" t="n"/>
      <c r="AB1970" s="31" t="n"/>
    </row>
    <row r="1971">
      <c r="A1971" s="25" t="inlineStr">
        <is>
          <t>S38</t>
        </is>
      </c>
      <c r="B1971" s="25" t="inlineStr">
        <is>
          <t>강화</t>
        </is>
      </c>
      <c r="C1971" s="25" t="inlineStr">
        <is>
          <t>S38-H북</t>
        </is>
      </c>
      <c r="D1971" s="25" t="inlineStr">
        <is>
          <t>측정</t>
        </is>
      </c>
      <c r="E1971" s="25" t="inlineStr">
        <is>
          <t>북</t>
        </is>
      </c>
      <c r="F1971" s="30" t="n">
        <v>2</v>
      </c>
      <c r="G1971" s="29" t="n"/>
      <c r="H1971" s="42" t="n"/>
      <c r="I1971" s="40" t="n"/>
      <c r="J1971" s="40" t="n"/>
      <c r="K1971" s="40" t="n"/>
      <c r="L1971" s="30">
        <f>IF(COUNT(I1971:K1971)=0,"",MEDIAN(I1971:K1971))</f>
        <v/>
      </c>
      <c r="M1971" s="25">
        <f>IF(COUNTIFS($C:$C,$C1971,$D:$D,"P0(전)",$L:$L,"&gt;0")&lt;&gt;1,"P0(전) 유효 1개 아님",IF(COUNTIFS($C:$C,$C1971,$D:$D,"P0(후)",$L:$L,"&gt;0")&lt;&gt;1,"P0(후) 유효 1개 아님",IF(NOT(AND(ISNUMBER(N1971),ISNUMBER(P1971),ISNUMBER(H1971))),"시각 결측",IF(P1971&lt;=N1971,"P0 시각 역전",IF(OR(H1971&lt;N1971,H1971&gt;P1971),"측정시각 구간 밖","OK")))))</f>
        <v/>
      </c>
      <c r="N1971" s="45">
        <f>IF(COUNTIFS($C:$C,$C1971,$D:$D,"P0(전)",$L:$L,"&gt;0")&lt;&gt;1,"",SUMIFS($H:$H,$C:$C,$C1971,$D:$D,"P0(전)"))</f>
        <v/>
      </c>
      <c r="O1971" s="30">
        <f>IF(COUNTIFS($C:$C,$C1971,$D:$D,"P0(전)",$L:$L,"&gt;0")&lt;&gt;1,"",SUMIFS($L:$L,$C:$C,$C1971,$D:$D,"P0(전)"))</f>
        <v/>
      </c>
      <c r="P1971" s="45">
        <f>IF(COUNTIFS($C:$C,$C1971,$D:$D,"P0(후)",$L:$L,"&gt;0")&lt;&gt;1,"",SUMIFS($H:$H,$C:$C,$C1971,$D:$D,"P0(후)"))</f>
        <v/>
      </c>
      <c r="Q1971" s="30">
        <f>IF(COUNTIFS($C:$C,$C1971,$D:$D,"P0(후)",$L:$L,"&gt;0")&lt;&gt;1,"",SUMIFS($L:$L,$C:$C,$C1971,$D:$D,"P0(후)"))</f>
        <v/>
      </c>
      <c r="R1971" s="30">
        <f>IF(M1971&lt;&gt;"OK","",O1971+(Q1971-O1971)*(H1971-N1971)/(P1971-N1971))</f>
        <v/>
      </c>
      <c r="S1971" s="30">
        <f>IF(OR(M1971&lt;&gt;"OK",NOT(ISNUMBER(L1971))),"",L1971-R1971)</f>
        <v/>
      </c>
      <c r="T1971" s="46">
        <f>IF(OR(NOT(ISNUMBER(S1971)),IF(ISNUMBER(G1971),G1971,F1971)=0),"",S1971/IF(ISNUMBER(G1971),G1971,F1971))</f>
        <v/>
      </c>
      <c r="U1971" s="46">
        <f>IF(ISNUMBER(T1971),ABS(T1971),"")</f>
        <v/>
      </c>
      <c r="V1971" s="46">
        <f>IF(OR($D1970&lt;&gt;"측정",$C1970&lt;&gt;$C1971,NOT(ISNUMBER(L1971)),NOT(ISNUMBER(L1970)),(IF(ISNUMBER(G1971),G1971,F1971)-IF(ISNUMBER(G1970),G1970,F1970))=0),"",(L1971-L1970)/(IF(ISNUMBER(G1971),G1971,F1971)-IF(ISNUMBER(G1970),G1970,F1970)))</f>
        <v/>
      </c>
      <c r="W1971" s="30">
        <f>IF(NOT(AND(ISNUMBER(N1971),ISNUMBER(P1971))),"",(P1971-N1971)*1440)</f>
        <v/>
      </c>
      <c r="X1971" s="28" t="n"/>
      <c r="Y1971" s="28" t="n"/>
      <c r="Z1971" s="28" t="n"/>
      <c r="AA1971" s="31" t="n"/>
      <c r="AB1971" s="31" t="n"/>
    </row>
    <row r="1972">
      <c r="A1972" s="25" t="inlineStr">
        <is>
          <t>S38</t>
        </is>
      </c>
      <c r="B1972" s="25" t="inlineStr">
        <is>
          <t>강화</t>
        </is>
      </c>
      <c r="C1972" s="25" t="inlineStr">
        <is>
          <t>S38-H북</t>
        </is>
      </c>
      <c r="D1972" s="25" t="inlineStr">
        <is>
          <t>측정</t>
        </is>
      </c>
      <c r="E1972" s="25" t="inlineStr">
        <is>
          <t>북</t>
        </is>
      </c>
      <c r="F1972" s="30" t="n">
        <v>3</v>
      </c>
      <c r="G1972" s="29" t="n"/>
      <c r="H1972" s="42" t="n"/>
      <c r="I1972" s="40" t="n"/>
      <c r="J1972" s="40" t="n"/>
      <c r="K1972" s="40" t="n"/>
      <c r="L1972" s="30">
        <f>IF(COUNT(I1972:K1972)=0,"",MEDIAN(I1972:K1972))</f>
        <v/>
      </c>
      <c r="M1972" s="25">
        <f>IF(COUNTIFS($C:$C,$C1972,$D:$D,"P0(전)",$L:$L,"&gt;0")&lt;&gt;1,"P0(전) 유효 1개 아님",IF(COUNTIFS($C:$C,$C1972,$D:$D,"P0(후)",$L:$L,"&gt;0")&lt;&gt;1,"P0(후) 유효 1개 아님",IF(NOT(AND(ISNUMBER(N1972),ISNUMBER(P1972),ISNUMBER(H1972))),"시각 결측",IF(P1972&lt;=N1972,"P0 시각 역전",IF(OR(H1972&lt;N1972,H1972&gt;P1972),"측정시각 구간 밖","OK")))))</f>
        <v/>
      </c>
      <c r="N1972" s="45">
        <f>IF(COUNTIFS($C:$C,$C1972,$D:$D,"P0(전)",$L:$L,"&gt;0")&lt;&gt;1,"",SUMIFS($H:$H,$C:$C,$C1972,$D:$D,"P0(전)"))</f>
        <v/>
      </c>
      <c r="O1972" s="30">
        <f>IF(COUNTIFS($C:$C,$C1972,$D:$D,"P0(전)",$L:$L,"&gt;0")&lt;&gt;1,"",SUMIFS($L:$L,$C:$C,$C1972,$D:$D,"P0(전)"))</f>
        <v/>
      </c>
      <c r="P1972" s="45">
        <f>IF(COUNTIFS($C:$C,$C1972,$D:$D,"P0(후)",$L:$L,"&gt;0")&lt;&gt;1,"",SUMIFS($H:$H,$C:$C,$C1972,$D:$D,"P0(후)"))</f>
        <v/>
      </c>
      <c r="Q1972" s="30">
        <f>IF(COUNTIFS($C:$C,$C1972,$D:$D,"P0(후)",$L:$L,"&gt;0")&lt;&gt;1,"",SUMIFS($L:$L,$C:$C,$C1972,$D:$D,"P0(후)"))</f>
        <v/>
      </c>
      <c r="R1972" s="30">
        <f>IF(M1972&lt;&gt;"OK","",O1972+(Q1972-O1972)*(H1972-N1972)/(P1972-N1972))</f>
        <v/>
      </c>
      <c r="S1972" s="30">
        <f>IF(OR(M1972&lt;&gt;"OK",NOT(ISNUMBER(L1972))),"",L1972-R1972)</f>
        <v/>
      </c>
      <c r="T1972" s="46">
        <f>IF(OR(NOT(ISNUMBER(S1972)),IF(ISNUMBER(G1972),G1972,F1972)=0),"",S1972/IF(ISNUMBER(G1972),G1972,F1972))</f>
        <v/>
      </c>
      <c r="U1972" s="46">
        <f>IF(ISNUMBER(T1972),ABS(T1972),"")</f>
        <v/>
      </c>
      <c r="V1972" s="46">
        <f>IF(OR($D1971&lt;&gt;"측정",$C1971&lt;&gt;$C1972,NOT(ISNUMBER(L1972)),NOT(ISNUMBER(L1971)),(IF(ISNUMBER(G1972),G1972,F1972)-IF(ISNUMBER(G1971),G1971,F1971))=0),"",(L1972-L1971)/(IF(ISNUMBER(G1972),G1972,F1972)-IF(ISNUMBER(G1971),G1971,F1971)))</f>
        <v/>
      </c>
      <c r="W1972" s="30">
        <f>IF(NOT(AND(ISNUMBER(N1972),ISNUMBER(P1972))),"",(P1972-N1972)*1440)</f>
        <v/>
      </c>
      <c r="X1972" s="28" t="n"/>
      <c r="Y1972" s="28" t="n"/>
      <c r="Z1972" s="28" t="n"/>
      <c r="AA1972" s="31" t="n"/>
      <c r="AB1972" s="31" t="n"/>
    </row>
    <row r="1973">
      <c r="A1973" s="25" t="inlineStr">
        <is>
          <t>S38</t>
        </is>
      </c>
      <c r="B1973" s="25" t="inlineStr">
        <is>
          <t>강화</t>
        </is>
      </c>
      <c r="C1973" s="25" t="inlineStr">
        <is>
          <t>S38-H북</t>
        </is>
      </c>
      <c r="D1973" s="25" t="inlineStr">
        <is>
          <t>측정</t>
        </is>
      </c>
      <c r="E1973" s="25" t="inlineStr">
        <is>
          <t>북</t>
        </is>
      </c>
      <c r="F1973" s="30" t="n">
        <v>4</v>
      </c>
      <c r="G1973" s="29" t="n"/>
      <c r="H1973" s="42" t="n"/>
      <c r="I1973" s="40" t="n"/>
      <c r="J1973" s="40" t="n"/>
      <c r="K1973" s="40" t="n"/>
      <c r="L1973" s="30">
        <f>IF(COUNT(I1973:K1973)=0,"",MEDIAN(I1973:K1973))</f>
        <v/>
      </c>
      <c r="M1973" s="25">
        <f>IF(COUNTIFS($C:$C,$C1973,$D:$D,"P0(전)",$L:$L,"&gt;0")&lt;&gt;1,"P0(전) 유효 1개 아님",IF(COUNTIFS($C:$C,$C1973,$D:$D,"P0(후)",$L:$L,"&gt;0")&lt;&gt;1,"P0(후) 유효 1개 아님",IF(NOT(AND(ISNUMBER(N1973),ISNUMBER(P1973),ISNUMBER(H1973))),"시각 결측",IF(P1973&lt;=N1973,"P0 시각 역전",IF(OR(H1973&lt;N1973,H1973&gt;P1973),"측정시각 구간 밖","OK")))))</f>
        <v/>
      </c>
      <c r="N1973" s="45">
        <f>IF(COUNTIFS($C:$C,$C1973,$D:$D,"P0(전)",$L:$L,"&gt;0")&lt;&gt;1,"",SUMIFS($H:$H,$C:$C,$C1973,$D:$D,"P0(전)"))</f>
        <v/>
      </c>
      <c r="O1973" s="30">
        <f>IF(COUNTIFS($C:$C,$C1973,$D:$D,"P0(전)",$L:$L,"&gt;0")&lt;&gt;1,"",SUMIFS($L:$L,$C:$C,$C1973,$D:$D,"P0(전)"))</f>
        <v/>
      </c>
      <c r="P1973" s="45">
        <f>IF(COUNTIFS($C:$C,$C1973,$D:$D,"P0(후)",$L:$L,"&gt;0")&lt;&gt;1,"",SUMIFS($H:$H,$C:$C,$C1973,$D:$D,"P0(후)"))</f>
        <v/>
      </c>
      <c r="Q1973" s="30">
        <f>IF(COUNTIFS($C:$C,$C1973,$D:$D,"P0(후)",$L:$L,"&gt;0")&lt;&gt;1,"",SUMIFS($L:$L,$C:$C,$C1973,$D:$D,"P0(후)"))</f>
        <v/>
      </c>
      <c r="R1973" s="30">
        <f>IF(M1973&lt;&gt;"OK","",O1973+(Q1973-O1973)*(H1973-N1973)/(P1973-N1973))</f>
        <v/>
      </c>
      <c r="S1973" s="30">
        <f>IF(OR(M1973&lt;&gt;"OK",NOT(ISNUMBER(L1973))),"",L1973-R1973)</f>
        <v/>
      </c>
      <c r="T1973" s="46">
        <f>IF(OR(NOT(ISNUMBER(S1973)),IF(ISNUMBER(G1973),G1973,F1973)=0),"",S1973/IF(ISNUMBER(G1973),G1973,F1973))</f>
        <v/>
      </c>
      <c r="U1973" s="46">
        <f>IF(ISNUMBER(T1973),ABS(T1973),"")</f>
        <v/>
      </c>
      <c r="V1973" s="46">
        <f>IF(OR($D1972&lt;&gt;"측정",$C1972&lt;&gt;$C1973,NOT(ISNUMBER(L1973)),NOT(ISNUMBER(L1972)),(IF(ISNUMBER(G1973),G1973,F1973)-IF(ISNUMBER(G1972),G1972,F1972))=0),"",(L1973-L1972)/(IF(ISNUMBER(G1973),G1973,F1973)-IF(ISNUMBER(G1972),G1972,F1972)))</f>
        <v/>
      </c>
      <c r="W1973" s="30">
        <f>IF(NOT(AND(ISNUMBER(N1973),ISNUMBER(P1973))),"",(P1973-N1973)*1440)</f>
        <v/>
      </c>
      <c r="X1973" s="28" t="n"/>
      <c r="Y1973" s="28" t="n"/>
      <c r="Z1973" s="28" t="n"/>
      <c r="AA1973" s="31" t="n"/>
      <c r="AB1973" s="31" t="n"/>
    </row>
    <row r="1974">
      <c r="A1974" s="25" t="inlineStr">
        <is>
          <t>S38</t>
        </is>
      </c>
      <c r="B1974" s="25" t="inlineStr">
        <is>
          <t>강화</t>
        </is>
      </c>
      <c r="C1974" s="25" t="inlineStr">
        <is>
          <t>S38-H북</t>
        </is>
      </c>
      <c r="D1974" s="25" t="inlineStr">
        <is>
          <t>측정</t>
        </is>
      </c>
      <c r="E1974" s="25" t="inlineStr">
        <is>
          <t>북</t>
        </is>
      </c>
      <c r="F1974" s="30" t="n">
        <v>5</v>
      </c>
      <c r="G1974" s="29" t="n"/>
      <c r="H1974" s="42" t="n"/>
      <c r="I1974" s="40" t="n"/>
      <c r="J1974" s="40" t="n"/>
      <c r="K1974" s="40" t="n"/>
      <c r="L1974" s="30">
        <f>IF(COUNT(I1974:K1974)=0,"",MEDIAN(I1974:K1974))</f>
        <v/>
      </c>
      <c r="M1974" s="25">
        <f>IF(COUNTIFS($C:$C,$C1974,$D:$D,"P0(전)",$L:$L,"&gt;0")&lt;&gt;1,"P0(전) 유효 1개 아님",IF(COUNTIFS($C:$C,$C1974,$D:$D,"P0(후)",$L:$L,"&gt;0")&lt;&gt;1,"P0(후) 유효 1개 아님",IF(NOT(AND(ISNUMBER(N1974),ISNUMBER(P1974),ISNUMBER(H1974))),"시각 결측",IF(P1974&lt;=N1974,"P0 시각 역전",IF(OR(H1974&lt;N1974,H1974&gt;P1974),"측정시각 구간 밖","OK")))))</f>
        <v/>
      </c>
      <c r="N1974" s="45">
        <f>IF(COUNTIFS($C:$C,$C1974,$D:$D,"P0(전)",$L:$L,"&gt;0")&lt;&gt;1,"",SUMIFS($H:$H,$C:$C,$C1974,$D:$D,"P0(전)"))</f>
        <v/>
      </c>
      <c r="O1974" s="30">
        <f>IF(COUNTIFS($C:$C,$C1974,$D:$D,"P0(전)",$L:$L,"&gt;0")&lt;&gt;1,"",SUMIFS($L:$L,$C:$C,$C1974,$D:$D,"P0(전)"))</f>
        <v/>
      </c>
      <c r="P1974" s="45">
        <f>IF(COUNTIFS($C:$C,$C1974,$D:$D,"P0(후)",$L:$L,"&gt;0")&lt;&gt;1,"",SUMIFS($H:$H,$C:$C,$C1974,$D:$D,"P0(후)"))</f>
        <v/>
      </c>
      <c r="Q1974" s="30">
        <f>IF(COUNTIFS($C:$C,$C1974,$D:$D,"P0(후)",$L:$L,"&gt;0")&lt;&gt;1,"",SUMIFS($L:$L,$C:$C,$C1974,$D:$D,"P0(후)"))</f>
        <v/>
      </c>
      <c r="R1974" s="30">
        <f>IF(M1974&lt;&gt;"OK","",O1974+(Q1974-O1974)*(H1974-N1974)/(P1974-N1974))</f>
        <v/>
      </c>
      <c r="S1974" s="30">
        <f>IF(OR(M1974&lt;&gt;"OK",NOT(ISNUMBER(L1974))),"",L1974-R1974)</f>
        <v/>
      </c>
      <c r="T1974" s="46">
        <f>IF(OR(NOT(ISNUMBER(S1974)),IF(ISNUMBER(G1974),G1974,F1974)=0),"",S1974/IF(ISNUMBER(G1974),G1974,F1974))</f>
        <v/>
      </c>
      <c r="U1974" s="46">
        <f>IF(ISNUMBER(T1974),ABS(T1974),"")</f>
        <v/>
      </c>
      <c r="V1974" s="46">
        <f>IF(OR($D1973&lt;&gt;"측정",$C1973&lt;&gt;$C1974,NOT(ISNUMBER(L1974)),NOT(ISNUMBER(L1973)),(IF(ISNUMBER(G1974),G1974,F1974)-IF(ISNUMBER(G1973),G1973,F1973))=0),"",(L1974-L1973)/(IF(ISNUMBER(G1974),G1974,F1974)-IF(ISNUMBER(G1973),G1973,F1973)))</f>
        <v/>
      </c>
      <c r="W1974" s="30">
        <f>IF(NOT(AND(ISNUMBER(N1974),ISNUMBER(P1974))),"",(P1974-N1974)*1440)</f>
        <v/>
      </c>
      <c r="X1974" s="28" t="n"/>
      <c r="Y1974" s="28" t="n"/>
      <c r="Z1974" s="28" t="n"/>
      <c r="AA1974" s="31" t="n"/>
      <c r="AB1974" s="31" t="n"/>
    </row>
    <row r="1975">
      <c r="A1975" s="25" t="inlineStr">
        <is>
          <t>S38</t>
        </is>
      </c>
      <c r="B1975" s="25" t="inlineStr">
        <is>
          <t>강화</t>
        </is>
      </c>
      <c r="C1975" s="25" t="inlineStr">
        <is>
          <t>S38-H북</t>
        </is>
      </c>
      <c r="D1975" s="25" t="inlineStr">
        <is>
          <t>측정</t>
        </is>
      </c>
      <c r="E1975" s="25" t="inlineStr">
        <is>
          <t>북</t>
        </is>
      </c>
      <c r="F1975" s="30" t="n">
        <v>6</v>
      </c>
      <c r="G1975" s="29" t="n"/>
      <c r="H1975" s="42" t="n"/>
      <c r="I1975" s="40" t="n"/>
      <c r="J1975" s="40" t="n"/>
      <c r="K1975" s="40" t="n"/>
      <c r="L1975" s="30">
        <f>IF(COUNT(I1975:K1975)=0,"",MEDIAN(I1975:K1975))</f>
        <v/>
      </c>
      <c r="M1975" s="25">
        <f>IF(COUNTIFS($C:$C,$C1975,$D:$D,"P0(전)",$L:$L,"&gt;0")&lt;&gt;1,"P0(전) 유효 1개 아님",IF(COUNTIFS($C:$C,$C1975,$D:$D,"P0(후)",$L:$L,"&gt;0")&lt;&gt;1,"P0(후) 유효 1개 아님",IF(NOT(AND(ISNUMBER(N1975),ISNUMBER(P1975),ISNUMBER(H1975))),"시각 결측",IF(P1975&lt;=N1975,"P0 시각 역전",IF(OR(H1975&lt;N1975,H1975&gt;P1975),"측정시각 구간 밖","OK")))))</f>
        <v/>
      </c>
      <c r="N1975" s="45">
        <f>IF(COUNTIFS($C:$C,$C1975,$D:$D,"P0(전)",$L:$L,"&gt;0")&lt;&gt;1,"",SUMIFS($H:$H,$C:$C,$C1975,$D:$D,"P0(전)"))</f>
        <v/>
      </c>
      <c r="O1975" s="30">
        <f>IF(COUNTIFS($C:$C,$C1975,$D:$D,"P0(전)",$L:$L,"&gt;0")&lt;&gt;1,"",SUMIFS($L:$L,$C:$C,$C1975,$D:$D,"P0(전)"))</f>
        <v/>
      </c>
      <c r="P1975" s="45">
        <f>IF(COUNTIFS($C:$C,$C1975,$D:$D,"P0(후)",$L:$L,"&gt;0")&lt;&gt;1,"",SUMIFS($H:$H,$C:$C,$C1975,$D:$D,"P0(후)"))</f>
        <v/>
      </c>
      <c r="Q1975" s="30">
        <f>IF(COUNTIFS($C:$C,$C1975,$D:$D,"P0(후)",$L:$L,"&gt;0")&lt;&gt;1,"",SUMIFS($L:$L,$C:$C,$C1975,$D:$D,"P0(후)"))</f>
        <v/>
      </c>
      <c r="R1975" s="30">
        <f>IF(M1975&lt;&gt;"OK","",O1975+(Q1975-O1975)*(H1975-N1975)/(P1975-N1975))</f>
        <v/>
      </c>
      <c r="S1975" s="30">
        <f>IF(OR(M1975&lt;&gt;"OK",NOT(ISNUMBER(L1975))),"",L1975-R1975)</f>
        <v/>
      </c>
      <c r="T1975" s="46">
        <f>IF(OR(NOT(ISNUMBER(S1975)),IF(ISNUMBER(G1975),G1975,F1975)=0),"",S1975/IF(ISNUMBER(G1975),G1975,F1975))</f>
        <v/>
      </c>
      <c r="U1975" s="46">
        <f>IF(ISNUMBER(T1975),ABS(T1975),"")</f>
        <v/>
      </c>
      <c r="V1975" s="46">
        <f>IF(OR($D1974&lt;&gt;"측정",$C1974&lt;&gt;$C1975,NOT(ISNUMBER(L1975)),NOT(ISNUMBER(L1974)),(IF(ISNUMBER(G1975),G1975,F1975)-IF(ISNUMBER(G1974),G1974,F1974))=0),"",(L1975-L1974)/(IF(ISNUMBER(G1975),G1975,F1975)-IF(ISNUMBER(G1974),G1974,F1974)))</f>
        <v/>
      </c>
      <c r="W1975" s="30">
        <f>IF(NOT(AND(ISNUMBER(N1975),ISNUMBER(P1975))),"",(P1975-N1975)*1440)</f>
        <v/>
      </c>
      <c r="X1975" s="28" t="n"/>
      <c r="Y1975" s="28" t="n"/>
      <c r="Z1975" s="28" t="n"/>
      <c r="AA1975" s="31" t="n"/>
      <c r="AB1975" s="31" t="n"/>
    </row>
    <row r="1976">
      <c r="A1976" s="25" t="inlineStr">
        <is>
          <t>S38</t>
        </is>
      </c>
      <c r="B1976" s="25" t="inlineStr">
        <is>
          <t>강화</t>
        </is>
      </c>
      <c r="C1976" s="25" t="inlineStr">
        <is>
          <t>S38-H북</t>
        </is>
      </c>
      <c r="D1976" s="25" t="inlineStr">
        <is>
          <t>측정</t>
        </is>
      </c>
      <c r="E1976" s="25" t="inlineStr">
        <is>
          <t>북</t>
        </is>
      </c>
      <c r="F1976" s="30" t="n">
        <v>7</v>
      </c>
      <c r="G1976" s="29" t="n"/>
      <c r="H1976" s="42" t="n"/>
      <c r="I1976" s="40" t="n"/>
      <c r="J1976" s="40" t="n"/>
      <c r="K1976" s="40" t="n"/>
      <c r="L1976" s="30">
        <f>IF(COUNT(I1976:K1976)=0,"",MEDIAN(I1976:K1976))</f>
        <v/>
      </c>
      <c r="M1976" s="25">
        <f>IF(COUNTIFS($C:$C,$C1976,$D:$D,"P0(전)",$L:$L,"&gt;0")&lt;&gt;1,"P0(전) 유효 1개 아님",IF(COUNTIFS($C:$C,$C1976,$D:$D,"P0(후)",$L:$L,"&gt;0")&lt;&gt;1,"P0(후) 유효 1개 아님",IF(NOT(AND(ISNUMBER(N1976),ISNUMBER(P1976),ISNUMBER(H1976))),"시각 결측",IF(P1976&lt;=N1976,"P0 시각 역전",IF(OR(H1976&lt;N1976,H1976&gt;P1976),"측정시각 구간 밖","OK")))))</f>
        <v/>
      </c>
      <c r="N1976" s="45">
        <f>IF(COUNTIFS($C:$C,$C1976,$D:$D,"P0(전)",$L:$L,"&gt;0")&lt;&gt;1,"",SUMIFS($H:$H,$C:$C,$C1976,$D:$D,"P0(전)"))</f>
        <v/>
      </c>
      <c r="O1976" s="30">
        <f>IF(COUNTIFS($C:$C,$C1976,$D:$D,"P0(전)",$L:$L,"&gt;0")&lt;&gt;1,"",SUMIFS($L:$L,$C:$C,$C1976,$D:$D,"P0(전)"))</f>
        <v/>
      </c>
      <c r="P1976" s="45">
        <f>IF(COUNTIFS($C:$C,$C1976,$D:$D,"P0(후)",$L:$L,"&gt;0")&lt;&gt;1,"",SUMIFS($H:$H,$C:$C,$C1976,$D:$D,"P0(후)"))</f>
        <v/>
      </c>
      <c r="Q1976" s="30">
        <f>IF(COUNTIFS($C:$C,$C1976,$D:$D,"P0(후)",$L:$L,"&gt;0")&lt;&gt;1,"",SUMIFS($L:$L,$C:$C,$C1976,$D:$D,"P0(후)"))</f>
        <v/>
      </c>
      <c r="R1976" s="30">
        <f>IF(M1976&lt;&gt;"OK","",O1976+(Q1976-O1976)*(H1976-N1976)/(P1976-N1976))</f>
        <v/>
      </c>
      <c r="S1976" s="30">
        <f>IF(OR(M1976&lt;&gt;"OK",NOT(ISNUMBER(L1976))),"",L1976-R1976)</f>
        <v/>
      </c>
      <c r="T1976" s="46">
        <f>IF(OR(NOT(ISNUMBER(S1976)),IF(ISNUMBER(G1976),G1976,F1976)=0),"",S1976/IF(ISNUMBER(G1976),G1976,F1976))</f>
        <v/>
      </c>
      <c r="U1976" s="46">
        <f>IF(ISNUMBER(T1976),ABS(T1976),"")</f>
        <v/>
      </c>
      <c r="V1976" s="46">
        <f>IF(OR($D1975&lt;&gt;"측정",$C1975&lt;&gt;$C1976,NOT(ISNUMBER(L1976)),NOT(ISNUMBER(L1975)),(IF(ISNUMBER(G1976),G1976,F1976)-IF(ISNUMBER(G1975),G1975,F1975))=0),"",(L1976-L1975)/(IF(ISNUMBER(G1976),G1976,F1976)-IF(ISNUMBER(G1975),G1975,F1975)))</f>
        <v/>
      </c>
      <c r="W1976" s="30">
        <f>IF(NOT(AND(ISNUMBER(N1976),ISNUMBER(P1976))),"",(P1976-N1976)*1440)</f>
        <v/>
      </c>
      <c r="X1976" s="28" t="n"/>
      <c r="Y1976" s="28" t="n"/>
      <c r="Z1976" s="28" t="n"/>
      <c r="AA1976" s="31" t="n"/>
      <c r="AB1976" s="31" t="n"/>
    </row>
    <row r="1977">
      <c r="A1977" s="25" t="inlineStr">
        <is>
          <t>S38</t>
        </is>
      </c>
      <c r="B1977" s="25" t="inlineStr">
        <is>
          <t>강화</t>
        </is>
      </c>
      <c r="C1977" s="25" t="inlineStr">
        <is>
          <t>S38-H북</t>
        </is>
      </c>
      <c r="D1977" s="25" t="inlineStr">
        <is>
          <t>측정</t>
        </is>
      </c>
      <c r="E1977" s="25" t="inlineStr">
        <is>
          <t>북</t>
        </is>
      </c>
      <c r="F1977" s="30" t="n">
        <v>8</v>
      </c>
      <c r="G1977" s="29" t="n"/>
      <c r="H1977" s="42" t="n"/>
      <c r="I1977" s="40" t="n"/>
      <c r="J1977" s="40" t="n"/>
      <c r="K1977" s="40" t="n"/>
      <c r="L1977" s="30">
        <f>IF(COUNT(I1977:K1977)=0,"",MEDIAN(I1977:K1977))</f>
        <v/>
      </c>
      <c r="M1977" s="25">
        <f>IF(COUNTIFS($C:$C,$C1977,$D:$D,"P0(전)",$L:$L,"&gt;0")&lt;&gt;1,"P0(전) 유효 1개 아님",IF(COUNTIFS($C:$C,$C1977,$D:$D,"P0(후)",$L:$L,"&gt;0")&lt;&gt;1,"P0(후) 유효 1개 아님",IF(NOT(AND(ISNUMBER(N1977),ISNUMBER(P1977),ISNUMBER(H1977))),"시각 결측",IF(P1977&lt;=N1977,"P0 시각 역전",IF(OR(H1977&lt;N1977,H1977&gt;P1977),"측정시각 구간 밖","OK")))))</f>
        <v/>
      </c>
      <c r="N1977" s="45">
        <f>IF(COUNTIFS($C:$C,$C1977,$D:$D,"P0(전)",$L:$L,"&gt;0")&lt;&gt;1,"",SUMIFS($H:$H,$C:$C,$C1977,$D:$D,"P0(전)"))</f>
        <v/>
      </c>
      <c r="O1977" s="30">
        <f>IF(COUNTIFS($C:$C,$C1977,$D:$D,"P0(전)",$L:$L,"&gt;0")&lt;&gt;1,"",SUMIFS($L:$L,$C:$C,$C1977,$D:$D,"P0(전)"))</f>
        <v/>
      </c>
      <c r="P1977" s="45">
        <f>IF(COUNTIFS($C:$C,$C1977,$D:$D,"P0(후)",$L:$L,"&gt;0")&lt;&gt;1,"",SUMIFS($H:$H,$C:$C,$C1977,$D:$D,"P0(후)"))</f>
        <v/>
      </c>
      <c r="Q1977" s="30">
        <f>IF(COUNTIFS($C:$C,$C1977,$D:$D,"P0(후)",$L:$L,"&gt;0")&lt;&gt;1,"",SUMIFS($L:$L,$C:$C,$C1977,$D:$D,"P0(후)"))</f>
        <v/>
      </c>
      <c r="R1977" s="30">
        <f>IF(M1977&lt;&gt;"OK","",O1977+(Q1977-O1977)*(H1977-N1977)/(P1977-N1977))</f>
        <v/>
      </c>
      <c r="S1977" s="30">
        <f>IF(OR(M1977&lt;&gt;"OK",NOT(ISNUMBER(L1977))),"",L1977-R1977)</f>
        <v/>
      </c>
      <c r="T1977" s="46">
        <f>IF(OR(NOT(ISNUMBER(S1977)),IF(ISNUMBER(G1977),G1977,F1977)=0),"",S1977/IF(ISNUMBER(G1977),G1977,F1977))</f>
        <v/>
      </c>
      <c r="U1977" s="46">
        <f>IF(ISNUMBER(T1977),ABS(T1977),"")</f>
        <v/>
      </c>
      <c r="V1977" s="46">
        <f>IF(OR($D1976&lt;&gt;"측정",$C1976&lt;&gt;$C1977,NOT(ISNUMBER(L1977)),NOT(ISNUMBER(L1976)),(IF(ISNUMBER(G1977),G1977,F1977)-IF(ISNUMBER(G1976),G1976,F1976))=0),"",(L1977-L1976)/(IF(ISNUMBER(G1977),G1977,F1977)-IF(ISNUMBER(G1976),G1976,F1976)))</f>
        <v/>
      </c>
      <c r="W1977" s="30">
        <f>IF(NOT(AND(ISNUMBER(N1977),ISNUMBER(P1977))),"",(P1977-N1977)*1440)</f>
        <v/>
      </c>
      <c r="X1977" s="28" t="n"/>
      <c r="Y1977" s="28" t="n"/>
      <c r="Z1977" s="28" t="n"/>
      <c r="AA1977" s="31" t="n"/>
      <c r="AB1977" s="31" t="n"/>
    </row>
    <row r="1978">
      <c r="A1978" s="25" t="inlineStr">
        <is>
          <t>S38</t>
        </is>
      </c>
      <c r="B1978" s="25" t="inlineStr">
        <is>
          <t>강화</t>
        </is>
      </c>
      <c r="C1978" s="25" t="inlineStr">
        <is>
          <t>S38-H북</t>
        </is>
      </c>
      <c r="D1978" s="25" t="inlineStr">
        <is>
          <t>측정</t>
        </is>
      </c>
      <c r="E1978" s="25" t="inlineStr">
        <is>
          <t>북</t>
        </is>
      </c>
      <c r="F1978" s="30" t="n">
        <v>9</v>
      </c>
      <c r="G1978" s="29" t="n"/>
      <c r="H1978" s="42" t="n"/>
      <c r="I1978" s="40" t="n"/>
      <c r="J1978" s="40" t="n"/>
      <c r="K1978" s="40" t="n"/>
      <c r="L1978" s="30">
        <f>IF(COUNT(I1978:K1978)=0,"",MEDIAN(I1978:K1978))</f>
        <v/>
      </c>
      <c r="M1978" s="25">
        <f>IF(COUNTIFS($C:$C,$C1978,$D:$D,"P0(전)",$L:$L,"&gt;0")&lt;&gt;1,"P0(전) 유효 1개 아님",IF(COUNTIFS($C:$C,$C1978,$D:$D,"P0(후)",$L:$L,"&gt;0")&lt;&gt;1,"P0(후) 유효 1개 아님",IF(NOT(AND(ISNUMBER(N1978),ISNUMBER(P1978),ISNUMBER(H1978))),"시각 결측",IF(P1978&lt;=N1978,"P0 시각 역전",IF(OR(H1978&lt;N1978,H1978&gt;P1978),"측정시각 구간 밖","OK")))))</f>
        <v/>
      </c>
      <c r="N1978" s="45">
        <f>IF(COUNTIFS($C:$C,$C1978,$D:$D,"P0(전)",$L:$L,"&gt;0")&lt;&gt;1,"",SUMIFS($H:$H,$C:$C,$C1978,$D:$D,"P0(전)"))</f>
        <v/>
      </c>
      <c r="O1978" s="30">
        <f>IF(COUNTIFS($C:$C,$C1978,$D:$D,"P0(전)",$L:$L,"&gt;0")&lt;&gt;1,"",SUMIFS($L:$L,$C:$C,$C1978,$D:$D,"P0(전)"))</f>
        <v/>
      </c>
      <c r="P1978" s="45">
        <f>IF(COUNTIFS($C:$C,$C1978,$D:$D,"P0(후)",$L:$L,"&gt;0")&lt;&gt;1,"",SUMIFS($H:$H,$C:$C,$C1978,$D:$D,"P0(후)"))</f>
        <v/>
      </c>
      <c r="Q1978" s="30">
        <f>IF(COUNTIFS($C:$C,$C1978,$D:$D,"P0(후)",$L:$L,"&gt;0")&lt;&gt;1,"",SUMIFS($L:$L,$C:$C,$C1978,$D:$D,"P0(후)"))</f>
        <v/>
      </c>
      <c r="R1978" s="30">
        <f>IF(M1978&lt;&gt;"OK","",O1978+(Q1978-O1978)*(H1978-N1978)/(P1978-N1978))</f>
        <v/>
      </c>
      <c r="S1978" s="30">
        <f>IF(OR(M1978&lt;&gt;"OK",NOT(ISNUMBER(L1978))),"",L1978-R1978)</f>
        <v/>
      </c>
      <c r="T1978" s="46">
        <f>IF(OR(NOT(ISNUMBER(S1978)),IF(ISNUMBER(G1978),G1978,F1978)=0),"",S1978/IF(ISNUMBER(G1978),G1978,F1978))</f>
        <v/>
      </c>
      <c r="U1978" s="46">
        <f>IF(ISNUMBER(T1978),ABS(T1978),"")</f>
        <v/>
      </c>
      <c r="V1978" s="46">
        <f>IF(OR($D1977&lt;&gt;"측정",$C1977&lt;&gt;$C1978,NOT(ISNUMBER(L1978)),NOT(ISNUMBER(L1977)),(IF(ISNUMBER(G1978),G1978,F1978)-IF(ISNUMBER(G1977),G1977,F1977))=0),"",(L1978-L1977)/(IF(ISNUMBER(G1978),G1978,F1978)-IF(ISNUMBER(G1977),G1977,F1977)))</f>
        <v/>
      </c>
      <c r="W1978" s="30">
        <f>IF(NOT(AND(ISNUMBER(N1978),ISNUMBER(P1978))),"",(P1978-N1978)*1440)</f>
        <v/>
      </c>
      <c r="X1978" s="28" t="n"/>
      <c r="Y1978" s="28" t="n"/>
      <c r="Z1978" s="28" t="n"/>
      <c r="AA1978" s="31" t="n"/>
      <c r="AB1978" s="31" t="n"/>
    </row>
    <row r="1979">
      <c r="A1979" s="25" t="inlineStr">
        <is>
          <t>S38</t>
        </is>
      </c>
      <c r="B1979" s="25" t="inlineStr">
        <is>
          <t>강화</t>
        </is>
      </c>
      <c r="C1979" s="25" t="inlineStr">
        <is>
          <t>S38-H북</t>
        </is>
      </c>
      <c r="D1979" s="25" t="inlineStr">
        <is>
          <t>측정</t>
        </is>
      </c>
      <c r="E1979" s="25" t="inlineStr">
        <is>
          <t>북</t>
        </is>
      </c>
      <c r="F1979" s="30" t="n">
        <v>10</v>
      </c>
      <c r="G1979" s="29" t="n"/>
      <c r="H1979" s="42" t="n"/>
      <c r="I1979" s="40" t="n"/>
      <c r="J1979" s="40" t="n"/>
      <c r="K1979" s="40" t="n"/>
      <c r="L1979" s="30">
        <f>IF(COUNT(I1979:K1979)=0,"",MEDIAN(I1979:K1979))</f>
        <v/>
      </c>
      <c r="M1979" s="25">
        <f>IF(COUNTIFS($C:$C,$C1979,$D:$D,"P0(전)",$L:$L,"&gt;0")&lt;&gt;1,"P0(전) 유효 1개 아님",IF(COUNTIFS($C:$C,$C1979,$D:$D,"P0(후)",$L:$L,"&gt;0")&lt;&gt;1,"P0(후) 유효 1개 아님",IF(NOT(AND(ISNUMBER(N1979),ISNUMBER(P1979),ISNUMBER(H1979))),"시각 결측",IF(P1979&lt;=N1979,"P0 시각 역전",IF(OR(H1979&lt;N1979,H1979&gt;P1979),"측정시각 구간 밖","OK")))))</f>
        <v/>
      </c>
      <c r="N1979" s="45">
        <f>IF(COUNTIFS($C:$C,$C1979,$D:$D,"P0(전)",$L:$L,"&gt;0")&lt;&gt;1,"",SUMIFS($H:$H,$C:$C,$C1979,$D:$D,"P0(전)"))</f>
        <v/>
      </c>
      <c r="O1979" s="30">
        <f>IF(COUNTIFS($C:$C,$C1979,$D:$D,"P0(전)",$L:$L,"&gt;0")&lt;&gt;1,"",SUMIFS($L:$L,$C:$C,$C1979,$D:$D,"P0(전)"))</f>
        <v/>
      </c>
      <c r="P1979" s="45">
        <f>IF(COUNTIFS($C:$C,$C1979,$D:$D,"P0(후)",$L:$L,"&gt;0")&lt;&gt;1,"",SUMIFS($H:$H,$C:$C,$C1979,$D:$D,"P0(후)"))</f>
        <v/>
      </c>
      <c r="Q1979" s="30">
        <f>IF(COUNTIFS($C:$C,$C1979,$D:$D,"P0(후)",$L:$L,"&gt;0")&lt;&gt;1,"",SUMIFS($L:$L,$C:$C,$C1979,$D:$D,"P0(후)"))</f>
        <v/>
      </c>
      <c r="R1979" s="30">
        <f>IF(M1979&lt;&gt;"OK","",O1979+(Q1979-O1979)*(H1979-N1979)/(P1979-N1979))</f>
        <v/>
      </c>
      <c r="S1979" s="30">
        <f>IF(OR(M1979&lt;&gt;"OK",NOT(ISNUMBER(L1979))),"",L1979-R1979)</f>
        <v/>
      </c>
      <c r="T1979" s="46">
        <f>IF(OR(NOT(ISNUMBER(S1979)),IF(ISNUMBER(G1979),G1979,F1979)=0),"",S1979/IF(ISNUMBER(G1979),G1979,F1979))</f>
        <v/>
      </c>
      <c r="U1979" s="46">
        <f>IF(ISNUMBER(T1979),ABS(T1979),"")</f>
        <v/>
      </c>
      <c r="V1979" s="46">
        <f>IF(OR($D1978&lt;&gt;"측정",$C1978&lt;&gt;$C1979,NOT(ISNUMBER(L1979)),NOT(ISNUMBER(L1978)),(IF(ISNUMBER(G1979),G1979,F1979)-IF(ISNUMBER(G1978),G1978,F1978))=0),"",(L1979-L1978)/(IF(ISNUMBER(G1979),G1979,F1979)-IF(ISNUMBER(G1978),G1978,F1978)))</f>
        <v/>
      </c>
      <c r="W1979" s="30">
        <f>IF(NOT(AND(ISNUMBER(N1979),ISNUMBER(P1979))),"",(P1979-N1979)*1440)</f>
        <v/>
      </c>
      <c r="X1979" s="28" t="n"/>
      <c r="Y1979" s="28" t="n"/>
      <c r="Z1979" s="28" t="n"/>
      <c r="AA1979" s="31" t="n"/>
      <c r="AB1979" s="31" t="n"/>
    </row>
    <row r="1980">
      <c r="A1980" s="43" t="inlineStr">
        <is>
          <t>S38</t>
        </is>
      </c>
      <c r="B1980" s="43" t="inlineStr">
        <is>
          <t>강화</t>
        </is>
      </c>
      <c r="C1980" s="43" t="inlineStr">
        <is>
          <t>S38-H북</t>
        </is>
      </c>
      <c r="D1980" s="43" t="inlineStr">
        <is>
          <t>P0(후)</t>
        </is>
      </c>
      <c r="E1980" s="43" t="inlineStr">
        <is>
          <t>북</t>
        </is>
      </c>
      <c r="F1980" s="44" t="n"/>
      <c r="G1980" s="29" t="n"/>
      <c r="H1980" s="42" t="n"/>
      <c r="I1980" s="40" t="n"/>
      <c r="J1980" s="40" t="n"/>
      <c r="K1980" s="40" t="n"/>
      <c r="L1980" s="30">
        <f>IF(COUNT(I1980:K1980)=0,"",MEDIAN(I1980:K1980))</f>
        <v/>
      </c>
      <c r="M1980" s="37" t="n"/>
      <c r="N1980" s="37" t="n"/>
      <c r="O1980" s="37" t="n"/>
      <c r="P1980" s="37" t="n"/>
      <c r="Q1980" s="37" t="n"/>
      <c r="R1980" s="37" t="n"/>
      <c r="S1980" s="37" t="n"/>
      <c r="T1980" s="37" t="n"/>
      <c r="U1980" s="37" t="n"/>
      <c r="V1980" s="37" t="n"/>
      <c r="W1980" s="37" t="n"/>
      <c r="X1980" s="28" t="n"/>
      <c r="Y1980" s="28" t="n"/>
      <c r="Z1980" s="28" t="n"/>
      <c r="AA1980" s="31" t="n"/>
      <c r="AB1980" s="31" t="n"/>
    </row>
    <row r="1981">
      <c r="A1981" s="43" t="inlineStr">
        <is>
          <t>S39</t>
        </is>
      </c>
      <c r="B1981" s="43" t="inlineStr">
        <is>
          <t>언양</t>
        </is>
      </c>
      <c r="C1981" s="43" t="inlineStr">
        <is>
          <t>S39-H동</t>
        </is>
      </c>
      <c r="D1981" s="43" t="inlineStr">
        <is>
          <t>P0(전)</t>
        </is>
      </c>
      <c r="E1981" s="43" t="inlineStr">
        <is>
          <t>동</t>
        </is>
      </c>
      <c r="F1981" s="44" t="n"/>
      <c r="G1981" s="29" t="n"/>
      <c r="H1981" s="42" t="n"/>
      <c r="I1981" s="40" t="n"/>
      <c r="J1981" s="40" t="n"/>
      <c r="K1981" s="40" t="n"/>
      <c r="L1981" s="30">
        <f>IF(COUNT(I1981:K1981)=0,"",MEDIAN(I1981:K1981))</f>
        <v/>
      </c>
      <c r="M1981" s="37" t="n"/>
      <c r="N1981" s="37" t="n"/>
      <c r="O1981" s="37" t="n"/>
      <c r="P1981" s="37" t="n"/>
      <c r="Q1981" s="37" t="n"/>
      <c r="R1981" s="37" t="n"/>
      <c r="S1981" s="37" t="n"/>
      <c r="T1981" s="37" t="n"/>
      <c r="U1981" s="37" t="n"/>
      <c r="V1981" s="37" t="n"/>
      <c r="W1981" s="37" t="n"/>
      <c r="X1981" s="28" t="n"/>
      <c r="Y1981" s="28" t="n"/>
      <c r="Z1981" s="28" t="n"/>
      <c r="AA1981" s="31" t="n"/>
      <c r="AB1981" s="31" t="n"/>
    </row>
    <row r="1982">
      <c r="A1982" s="25" t="inlineStr">
        <is>
          <t>S39</t>
        </is>
      </c>
      <c r="B1982" s="25" t="inlineStr">
        <is>
          <t>언양</t>
        </is>
      </c>
      <c r="C1982" s="25" t="inlineStr">
        <is>
          <t>S39-H동</t>
        </is>
      </c>
      <c r="D1982" s="25" t="inlineStr">
        <is>
          <t>측정</t>
        </is>
      </c>
      <c r="E1982" s="25" t="inlineStr">
        <is>
          <t>동</t>
        </is>
      </c>
      <c r="F1982" s="30" t="n">
        <v>0.5</v>
      </c>
      <c r="G1982" s="29" t="n"/>
      <c r="H1982" s="42" t="n"/>
      <c r="I1982" s="40" t="n"/>
      <c r="J1982" s="40" t="n"/>
      <c r="K1982" s="40" t="n"/>
      <c r="L1982" s="30">
        <f>IF(COUNT(I1982:K1982)=0,"",MEDIAN(I1982:K1982))</f>
        <v/>
      </c>
      <c r="M1982" s="25">
        <f>IF(COUNTIFS($C:$C,$C1982,$D:$D,"P0(전)",$L:$L,"&gt;0")&lt;&gt;1,"P0(전) 유효 1개 아님",IF(COUNTIFS($C:$C,$C1982,$D:$D,"P0(후)",$L:$L,"&gt;0")&lt;&gt;1,"P0(후) 유효 1개 아님",IF(NOT(AND(ISNUMBER(N1982),ISNUMBER(P1982),ISNUMBER(H1982))),"시각 결측",IF(P1982&lt;=N1982,"P0 시각 역전",IF(OR(H1982&lt;N1982,H1982&gt;P1982),"측정시각 구간 밖","OK")))))</f>
        <v/>
      </c>
      <c r="N1982" s="45">
        <f>IF(COUNTIFS($C:$C,$C1982,$D:$D,"P0(전)",$L:$L,"&gt;0")&lt;&gt;1,"",SUMIFS($H:$H,$C:$C,$C1982,$D:$D,"P0(전)"))</f>
        <v/>
      </c>
      <c r="O1982" s="30">
        <f>IF(COUNTIFS($C:$C,$C1982,$D:$D,"P0(전)",$L:$L,"&gt;0")&lt;&gt;1,"",SUMIFS($L:$L,$C:$C,$C1982,$D:$D,"P0(전)"))</f>
        <v/>
      </c>
      <c r="P1982" s="45">
        <f>IF(COUNTIFS($C:$C,$C1982,$D:$D,"P0(후)",$L:$L,"&gt;0")&lt;&gt;1,"",SUMIFS($H:$H,$C:$C,$C1982,$D:$D,"P0(후)"))</f>
        <v/>
      </c>
      <c r="Q1982" s="30">
        <f>IF(COUNTIFS($C:$C,$C1982,$D:$D,"P0(후)",$L:$L,"&gt;0")&lt;&gt;1,"",SUMIFS($L:$L,$C:$C,$C1982,$D:$D,"P0(후)"))</f>
        <v/>
      </c>
      <c r="R1982" s="30">
        <f>IF(M1982&lt;&gt;"OK","",O1982+(Q1982-O1982)*(H1982-N1982)/(P1982-N1982))</f>
        <v/>
      </c>
      <c r="S1982" s="30">
        <f>IF(OR(M1982&lt;&gt;"OK",NOT(ISNUMBER(L1982))),"",L1982-R1982)</f>
        <v/>
      </c>
      <c r="T1982" s="46">
        <f>IF(OR(NOT(ISNUMBER(S1982)),IF(ISNUMBER(G1982),G1982,F1982)=0),"",S1982/IF(ISNUMBER(G1982),G1982,F1982))</f>
        <v/>
      </c>
      <c r="U1982" s="46">
        <f>IF(ISNUMBER(T1982),ABS(T1982),"")</f>
        <v/>
      </c>
      <c r="V1982" s="46">
        <f>IF(OR($D1981&lt;&gt;"측정",$C1981&lt;&gt;$C1982,NOT(ISNUMBER(L1982)),NOT(ISNUMBER(L1981)),(IF(ISNUMBER(G1982),G1982,F1982)-IF(ISNUMBER(G1981),G1981,F1981))=0),"",(L1982-L1981)/(IF(ISNUMBER(G1982),G1982,F1982)-IF(ISNUMBER(G1981),G1981,F1981)))</f>
        <v/>
      </c>
      <c r="W1982" s="30">
        <f>IF(NOT(AND(ISNUMBER(N1982),ISNUMBER(P1982))),"",(P1982-N1982)*1440)</f>
        <v/>
      </c>
      <c r="X1982" s="28" t="n"/>
      <c r="Y1982" s="28" t="n"/>
      <c r="Z1982" s="28" t="n"/>
      <c r="AA1982" s="31" t="n"/>
      <c r="AB1982" s="31" t="n"/>
    </row>
    <row r="1983">
      <c r="A1983" s="25" t="inlineStr">
        <is>
          <t>S39</t>
        </is>
      </c>
      <c r="B1983" s="25" t="inlineStr">
        <is>
          <t>언양</t>
        </is>
      </c>
      <c r="C1983" s="25" t="inlineStr">
        <is>
          <t>S39-H동</t>
        </is>
      </c>
      <c r="D1983" s="25" t="inlineStr">
        <is>
          <t>측정</t>
        </is>
      </c>
      <c r="E1983" s="25" t="inlineStr">
        <is>
          <t>동</t>
        </is>
      </c>
      <c r="F1983" s="30" t="n">
        <v>1</v>
      </c>
      <c r="G1983" s="29" t="n"/>
      <c r="H1983" s="42" t="n"/>
      <c r="I1983" s="40" t="n"/>
      <c r="J1983" s="40" t="n"/>
      <c r="K1983" s="40" t="n"/>
      <c r="L1983" s="30">
        <f>IF(COUNT(I1983:K1983)=0,"",MEDIAN(I1983:K1983))</f>
        <v/>
      </c>
      <c r="M1983" s="25">
        <f>IF(COUNTIFS($C:$C,$C1983,$D:$D,"P0(전)",$L:$L,"&gt;0")&lt;&gt;1,"P0(전) 유효 1개 아님",IF(COUNTIFS($C:$C,$C1983,$D:$D,"P0(후)",$L:$L,"&gt;0")&lt;&gt;1,"P0(후) 유효 1개 아님",IF(NOT(AND(ISNUMBER(N1983),ISNUMBER(P1983),ISNUMBER(H1983))),"시각 결측",IF(P1983&lt;=N1983,"P0 시각 역전",IF(OR(H1983&lt;N1983,H1983&gt;P1983),"측정시각 구간 밖","OK")))))</f>
        <v/>
      </c>
      <c r="N1983" s="45">
        <f>IF(COUNTIFS($C:$C,$C1983,$D:$D,"P0(전)",$L:$L,"&gt;0")&lt;&gt;1,"",SUMIFS($H:$H,$C:$C,$C1983,$D:$D,"P0(전)"))</f>
        <v/>
      </c>
      <c r="O1983" s="30">
        <f>IF(COUNTIFS($C:$C,$C1983,$D:$D,"P0(전)",$L:$L,"&gt;0")&lt;&gt;1,"",SUMIFS($L:$L,$C:$C,$C1983,$D:$D,"P0(전)"))</f>
        <v/>
      </c>
      <c r="P1983" s="45">
        <f>IF(COUNTIFS($C:$C,$C1983,$D:$D,"P0(후)",$L:$L,"&gt;0")&lt;&gt;1,"",SUMIFS($H:$H,$C:$C,$C1983,$D:$D,"P0(후)"))</f>
        <v/>
      </c>
      <c r="Q1983" s="30">
        <f>IF(COUNTIFS($C:$C,$C1983,$D:$D,"P0(후)",$L:$L,"&gt;0")&lt;&gt;1,"",SUMIFS($L:$L,$C:$C,$C1983,$D:$D,"P0(후)"))</f>
        <v/>
      </c>
      <c r="R1983" s="30">
        <f>IF(M1983&lt;&gt;"OK","",O1983+(Q1983-O1983)*(H1983-N1983)/(P1983-N1983))</f>
        <v/>
      </c>
      <c r="S1983" s="30">
        <f>IF(OR(M1983&lt;&gt;"OK",NOT(ISNUMBER(L1983))),"",L1983-R1983)</f>
        <v/>
      </c>
      <c r="T1983" s="46">
        <f>IF(OR(NOT(ISNUMBER(S1983)),IF(ISNUMBER(G1983),G1983,F1983)=0),"",S1983/IF(ISNUMBER(G1983),G1983,F1983))</f>
        <v/>
      </c>
      <c r="U1983" s="46">
        <f>IF(ISNUMBER(T1983),ABS(T1983),"")</f>
        <v/>
      </c>
      <c r="V1983" s="46">
        <f>IF(OR($D1982&lt;&gt;"측정",$C1982&lt;&gt;$C1983,NOT(ISNUMBER(L1983)),NOT(ISNUMBER(L1982)),(IF(ISNUMBER(G1983),G1983,F1983)-IF(ISNUMBER(G1982),G1982,F1982))=0),"",(L1983-L1982)/(IF(ISNUMBER(G1983),G1983,F1983)-IF(ISNUMBER(G1982),G1982,F1982)))</f>
        <v/>
      </c>
      <c r="W1983" s="30">
        <f>IF(NOT(AND(ISNUMBER(N1983),ISNUMBER(P1983))),"",(P1983-N1983)*1440)</f>
        <v/>
      </c>
      <c r="X1983" s="28" t="n"/>
      <c r="Y1983" s="28" t="n"/>
      <c r="Z1983" s="28" t="n"/>
      <c r="AA1983" s="31" t="n"/>
      <c r="AB1983" s="31" t="n"/>
    </row>
    <row r="1984">
      <c r="A1984" s="25" t="inlineStr">
        <is>
          <t>S39</t>
        </is>
      </c>
      <c r="B1984" s="25" t="inlineStr">
        <is>
          <t>언양</t>
        </is>
      </c>
      <c r="C1984" s="25" t="inlineStr">
        <is>
          <t>S39-H동</t>
        </is>
      </c>
      <c r="D1984" s="25" t="inlineStr">
        <is>
          <t>측정</t>
        </is>
      </c>
      <c r="E1984" s="25" t="inlineStr">
        <is>
          <t>동</t>
        </is>
      </c>
      <c r="F1984" s="30" t="n">
        <v>2</v>
      </c>
      <c r="G1984" s="29" t="n"/>
      <c r="H1984" s="42" t="n"/>
      <c r="I1984" s="40" t="n"/>
      <c r="J1984" s="40" t="n"/>
      <c r="K1984" s="40" t="n"/>
      <c r="L1984" s="30">
        <f>IF(COUNT(I1984:K1984)=0,"",MEDIAN(I1984:K1984))</f>
        <v/>
      </c>
      <c r="M1984" s="25">
        <f>IF(COUNTIFS($C:$C,$C1984,$D:$D,"P0(전)",$L:$L,"&gt;0")&lt;&gt;1,"P0(전) 유효 1개 아님",IF(COUNTIFS($C:$C,$C1984,$D:$D,"P0(후)",$L:$L,"&gt;0")&lt;&gt;1,"P0(후) 유효 1개 아님",IF(NOT(AND(ISNUMBER(N1984),ISNUMBER(P1984),ISNUMBER(H1984))),"시각 결측",IF(P1984&lt;=N1984,"P0 시각 역전",IF(OR(H1984&lt;N1984,H1984&gt;P1984),"측정시각 구간 밖","OK")))))</f>
        <v/>
      </c>
      <c r="N1984" s="45">
        <f>IF(COUNTIFS($C:$C,$C1984,$D:$D,"P0(전)",$L:$L,"&gt;0")&lt;&gt;1,"",SUMIFS($H:$H,$C:$C,$C1984,$D:$D,"P0(전)"))</f>
        <v/>
      </c>
      <c r="O1984" s="30">
        <f>IF(COUNTIFS($C:$C,$C1984,$D:$D,"P0(전)",$L:$L,"&gt;0")&lt;&gt;1,"",SUMIFS($L:$L,$C:$C,$C1984,$D:$D,"P0(전)"))</f>
        <v/>
      </c>
      <c r="P1984" s="45">
        <f>IF(COUNTIFS($C:$C,$C1984,$D:$D,"P0(후)",$L:$L,"&gt;0")&lt;&gt;1,"",SUMIFS($H:$H,$C:$C,$C1984,$D:$D,"P0(후)"))</f>
        <v/>
      </c>
      <c r="Q1984" s="30">
        <f>IF(COUNTIFS($C:$C,$C1984,$D:$D,"P0(후)",$L:$L,"&gt;0")&lt;&gt;1,"",SUMIFS($L:$L,$C:$C,$C1984,$D:$D,"P0(후)"))</f>
        <v/>
      </c>
      <c r="R1984" s="30">
        <f>IF(M1984&lt;&gt;"OK","",O1984+(Q1984-O1984)*(H1984-N1984)/(P1984-N1984))</f>
        <v/>
      </c>
      <c r="S1984" s="30">
        <f>IF(OR(M1984&lt;&gt;"OK",NOT(ISNUMBER(L1984))),"",L1984-R1984)</f>
        <v/>
      </c>
      <c r="T1984" s="46">
        <f>IF(OR(NOT(ISNUMBER(S1984)),IF(ISNUMBER(G1984),G1984,F1984)=0),"",S1984/IF(ISNUMBER(G1984),G1984,F1984))</f>
        <v/>
      </c>
      <c r="U1984" s="46">
        <f>IF(ISNUMBER(T1984),ABS(T1984),"")</f>
        <v/>
      </c>
      <c r="V1984" s="46">
        <f>IF(OR($D1983&lt;&gt;"측정",$C1983&lt;&gt;$C1984,NOT(ISNUMBER(L1984)),NOT(ISNUMBER(L1983)),(IF(ISNUMBER(G1984),G1984,F1984)-IF(ISNUMBER(G1983),G1983,F1983))=0),"",(L1984-L1983)/(IF(ISNUMBER(G1984),G1984,F1984)-IF(ISNUMBER(G1983),G1983,F1983)))</f>
        <v/>
      </c>
      <c r="W1984" s="30">
        <f>IF(NOT(AND(ISNUMBER(N1984),ISNUMBER(P1984))),"",(P1984-N1984)*1440)</f>
        <v/>
      </c>
      <c r="X1984" s="28" t="n"/>
      <c r="Y1984" s="28" t="n"/>
      <c r="Z1984" s="28" t="n"/>
      <c r="AA1984" s="31" t="n"/>
      <c r="AB1984" s="31" t="n"/>
    </row>
    <row r="1985">
      <c r="A1985" s="25" t="inlineStr">
        <is>
          <t>S39</t>
        </is>
      </c>
      <c r="B1985" s="25" t="inlineStr">
        <is>
          <t>언양</t>
        </is>
      </c>
      <c r="C1985" s="25" t="inlineStr">
        <is>
          <t>S39-H동</t>
        </is>
      </c>
      <c r="D1985" s="25" t="inlineStr">
        <is>
          <t>측정</t>
        </is>
      </c>
      <c r="E1985" s="25" t="inlineStr">
        <is>
          <t>동</t>
        </is>
      </c>
      <c r="F1985" s="30" t="n">
        <v>3</v>
      </c>
      <c r="G1985" s="29" t="n"/>
      <c r="H1985" s="42" t="n"/>
      <c r="I1985" s="40" t="n"/>
      <c r="J1985" s="40" t="n"/>
      <c r="K1985" s="40" t="n"/>
      <c r="L1985" s="30">
        <f>IF(COUNT(I1985:K1985)=0,"",MEDIAN(I1985:K1985))</f>
        <v/>
      </c>
      <c r="M1985" s="25">
        <f>IF(COUNTIFS($C:$C,$C1985,$D:$D,"P0(전)",$L:$L,"&gt;0")&lt;&gt;1,"P0(전) 유효 1개 아님",IF(COUNTIFS($C:$C,$C1985,$D:$D,"P0(후)",$L:$L,"&gt;0")&lt;&gt;1,"P0(후) 유효 1개 아님",IF(NOT(AND(ISNUMBER(N1985),ISNUMBER(P1985),ISNUMBER(H1985))),"시각 결측",IF(P1985&lt;=N1985,"P0 시각 역전",IF(OR(H1985&lt;N1985,H1985&gt;P1985),"측정시각 구간 밖","OK")))))</f>
        <v/>
      </c>
      <c r="N1985" s="45">
        <f>IF(COUNTIFS($C:$C,$C1985,$D:$D,"P0(전)",$L:$L,"&gt;0")&lt;&gt;1,"",SUMIFS($H:$H,$C:$C,$C1985,$D:$D,"P0(전)"))</f>
        <v/>
      </c>
      <c r="O1985" s="30">
        <f>IF(COUNTIFS($C:$C,$C1985,$D:$D,"P0(전)",$L:$L,"&gt;0")&lt;&gt;1,"",SUMIFS($L:$L,$C:$C,$C1985,$D:$D,"P0(전)"))</f>
        <v/>
      </c>
      <c r="P1985" s="45">
        <f>IF(COUNTIFS($C:$C,$C1985,$D:$D,"P0(후)",$L:$L,"&gt;0")&lt;&gt;1,"",SUMIFS($H:$H,$C:$C,$C1985,$D:$D,"P0(후)"))</f>
        <v/>
      </c>
      <c r="Q1985" s="30">
        <f>IF(COUNTIFS($C:$C,$C1985,$D:$D,"P0(후)",$L:$L,"&gt;0")&lt;&gt;1,"",SUMIFS($L:$L,$C:$C,$C1985,$D:$D,"P0(후)"))</f>
        <v/>
      </c>
      <c r="R1985" s="30">
        <f>IF(M1985&lt;&gt;"OK","",O1985+(Q1985-O1985)*(H1985-N1985)/(P1985-N1985))</f>
        <v/>
      </c>
      <c r="S1985" s="30">
        <f>IF(OR(M1985&lt;&gt;"OK",NOT(ISNUMBER(L1985))),"",L1985-R1985)</f>
        <v/>
      </c>
      <c r="T1985" s="46">
        <f>IF(OR(NOT(ISNUMBER(S1985)),IF(ISNUMBER(G1985),G1985,F1985)=0),"",S1985/IF(ISNUMBER(G1985),G1985,F1985))</f>
        <v/>
      </c>
      <c r="U1985" s="46">
        <f>IF(ISNUMBER(T1985),ABS(T1985),"")</f>
        <v/>
      </c>
      <c r="V1985" s="46">
        <f>IF(OR($D1984&lt;&gt;"측정",$C1984&lt;&gt;$C1985,NOT(ISNUMBER(L1985)),NOT(ISNUMBER(L1984)),(IF(ISNUMBER(G1985),G1985,F1985)-IF(ISNUMBER(G1984),G1984,F1984))=0),"",(L1985-L1984)/(IF(ISNUMBER(G1985),G1985,F1985)-IF(ISNUMBER(G1984),G1984,F1984)))</f>
        <v/>
      </c>
      <c r="W1985" s="30">
        <f>IF(NOT(AND(ISNUMBER(N1985),ISNUMBER(P1985))),"",(P1985-N1985)*1440)</f>
        <v/>
      </c>
      <c r="X1985" s="28" t="n"/>
      <c r="Y1985" s="28" t="n"/>
      <c r="Z1985" s="28" t="n"/>
      <c r="AA1985" s="31" t="n"/>
      <c r="AB1985" s="31" t="n"/>
    </row>
    <row r="1986">
      <c r="A1986" s="25" t="inlineStr">
        <is>
          <t>S39</t>
        </is>
      </c>
      <c r="B1986" s="25" t="inlineStr">
        <is>
          <t>언양</t>
        </is>
      </c>
      <c r="C1986" s="25" t="inlineStr">
        <is>
          <t>S39-H동</t>
        </is>
      </c>
      <c r="D1986" s="25" t="inlineStr">
        <is>
          <t>측정</t>
        </is>
      </c>
      <c r="E1986" s="25" t="inlineStr">
        <is>
          <t>동</t>
        </is>
      </c>
      <c r="F1986" s="30" t="n">
        <v>4</v>
      </c>
      <c r="G1986" s="29" t="n"/>
      <c r="H1986" s="42" t="n"/>
      <c r="I1986" s="40" t="n"/>
      <c r="J1986" s="40" t="n"/>
      <c r="K1986" s="40" t="n"/>
      <c r="L1986" s="30">
        <f>IF(COUNT(I1986:K1986)=0,"",MEDIAN(I1986:K1986))</f>
        <v/>
      </c>
      <c r="M1986" s="25">
        <f>IF(COUNTIFS($C:$C,$C1986,$D:$D,"P0(전)",$L:$L,"&gt;0")&lt;&gt;1,"P0(전) 유효 1개 아님",IF(COUNTIFS($C:$C,$C1986,$D:$D,"P0(후)",$L:$L,"&gt;0")&lt;&gt;1,"P0(후) 유효 1개 아님",IF(NOT(AND(ISNUMBER(N1986),ISNUMBER(P1986),ISNUMBER(H1986))),"시각 결측",IF(P1986&lt;=N1986,"P0 시각 역전",IF(OR(H1986&lt;N1986,H1986&gt;P1986),"측정시각 구간 밖","OK")))))</f>
        <v/>
      </c>
      <c r="N1986" s="45">
        <f>IF(COUNTIFS($C:$C,$C1986,$D:$D,"P0(전)",$L:$L,"&gt;0")&lt;&gt;1,"",SUMIFS($H:$H,$C:$C,$C1986,$D:$D,"P0(전)"))</f>
        <v/>
      </c>
      <c r="O1986" s="30">
        <f>IF(COUNTIFS($C:$C,$C1986,$D:$D,"P0(전)",$L:$L,"&gt;0")&lt;&gt;1,"",SUMIFS($L:$L,$C:$C,$C1986,$D:$D,"P0(전)"))</f>
        <v/>
      </c>
      <c r="P1986" s="45">
        <f>IF(COUNTIFS($C:$C,$C1986,$D:$D,"P0(후)",$L:$L,"&gt;0")&lt;&gt;1,"",SUMIFS($H:$H,$C:$C,$C1986,$D:$D,"P0(후)"))</f>
        <v/>
      </c>
      <c r="Q1986" s="30">
        <f>IF(COUNTIFS($C:$C,$C1986,$D:$D,"P0(후)",$L:$L,"&gt;0")&lt;&gt;1,"",SUMIFS($L:$L,$C:$C,$C1986,$D:$D,"P0(후)"))</f>
        <v/>
      </c>
      <c r="R1986" s="30">
        <f>IF(M1986&lt;&gt;"OK","",O1986+(Q1986-O1986)*(H1986-N1986)/(P1986-N1986))</f>
        <v/>
      </c>
      <c r="S1986" s="30">
        <f>IF(OR(M1986&lt;&gt;"OK",NOT(ISNUMBER(L1986))),"",L1986-R1986)</f>
        <v/>
      </c>
      <c r="T1986" s="46">
        <f>IF(OR(NOT(ISNUMBER(S1986)),IF(ISNUMBER(G1986),G1986,F1986)=0),"",S1986/IF(ISNUMBER(G1986),G1986,F1986))</f>
        <v/>
      </c>
      <c r="U1986" s="46">
        <f>IF(ISNUMBER(T1986),ABS(T1986),"")</f>
        <v/>
      </c>
      <c r="V1986" s="46">
        <f>IF(OR($D1985&lt;&gt;"측정",$C1985&lt;&gt;$C1986,NOT(ISNUMBER(L1986)),NOT(ISNUMBER(L1985)),(IF(ISNUMBER(G1986),G1986,F1986)-IF(ISNUMBER(G1985),G1985,F1985))=0),"",(L1986-L1985)/(IF(ISNUMBER(G1986),G1986,F1986)-IF(ISNUMBER(G1985),G1985,F1985)))</f>
        <v/>
      </c>
      <c r="W1986" s="30">
        <f>IF(NOT(AND(ISNUMBER(N1986),ISNUMBER(P1986))),"",(P1986-N1986)*1440)</f>
        <v/>
      </c>
      <c r="X1986" s="28" t="n"/>
      <c r="Y1986" s="28" t="n"/>
      <c r="Z1986" s="28" t="n"/>
      <c r="AA1986" s="31" t="n"/>
      <c r="AB1986" s="31" t="n"/>
    </row>
    <row r="1987">
      <c r="A1987" s="25" t="inlineStr">
        <is>
          <t>S39</t>
        </is>
      </c>
      <c r="B1987" s="25" t="inlineStr">
        <is>
          <t>언양</t>
        </is>
      </c>
      <c r="C1987" s="25" t="inlineStr">
        <is>
          <t>S39-H동</t>
        </is>
      </c>
      <c r="D1987" s="25" t="inlineStr">
        <is>
          <t>측정</t>
        </is>
      </c>
      <c r="E1987" s="25" t="inlineStr">
        <is>
          <t>동</t>
        </is>
      </c>
      <c r="F1987" s="30" t="n">
        <v>5</v>
      </c>
      <c r="G1987" s="29" t="n"/>
      <c r="H1987" s="42" t="n"/>
      <c r="I1987" s="40" t="n"/>
      <c r="J1987" s="40" t="n"/>
      <c r="K1987" s="40" t="n"/>
      <c r="L1987" s="30">
        <f>IF(COUNT(I1987:K1987)=0,"",MEDIAN(I1987:K1987))</f>
        <v/>
      </c>
      <c r="M1987" s="25">
        <f>IF(COUNTIFS($C:$C,$C1987,$D:$D,"P0(전)",$L:$L,"&gt;0")&lt;&gt;1,"P0(전) 유효 1개 아님",IF(COUNTIFS($C:$C,$C1987,$D:$D,"P0(후)",$L:$L,"&gt;0")&lt;&gt;1,"P0(후) 유효 1개 아님",IF(NOT(AND(ISNUMBER(N1987),ISNUMBER(P1987),ISNUMBER(H1987))),"시각 결측",IF(P1987&lt;=N1987,"P0 시각 역전",IF(OR(H1987&lt;N1987,H1987&gt;P1987),"측정시각 구간 밖","OK")))))</f>
        <v/>
      </c>
      <c r="N1987" s="45">
        <f>IF(COUNTIFS($C:$C,$C1987,$D:$D,"P0(전)",$L:$L,"&gt;0")&lt;&gt;1,"",SUMIFS($H:$H,$C:$C,$C1987,$D:$D,"P0(전)"))</f>
        <v/>
      </c>
      <c r="O1987" s="30">
        <f>IF(COUNTIFS($C:$C,$C1987,$D:$D,"P0(전)",$L:$L,"&gt;0")&lt;&gt;1,"",SUMIFS($L:$L,$C:$C,$C1987,$D:$D,"P0(전)"))</f>
        <v/>
      </c>
      <c r="P1987" s="45">
        <f>IF(COUNTIFS($C:$C,$C1987,$D:$D,"P0(후)",$L:$L,"&gt;0")&lt;&gt;1,"",SUMIFS($H:$H,$C:$C,$C1987,$D:$D,"P0(후)"))</f>
        <v/>
      </c>
      <c r="Q1987" s="30">
        <f>IF(COUNTIFS($C:$C,$C1987,$D:$D,"P0(후)",$L:$L,"&gt;0")&lt;&gt;1,"",SUMIFS($L:$L,$C:$C,$C1987,$D:$D,"P0(후)"))</f>
        <v/>
      </c>
      <c r="R1987" s="30">
        <f>IF(M1987&lt;&gt;"OK","",O1987+(Q1987-O1987)*(H1987-N1987)/(P1987-N1987))</f>
        <v/>
      </c>
      <c r="S1987" s="30">
        <f>IF(OR(M1987&lt;&gt;"OK",NOT(ISNUMBER(L1987))),"",L1987-R1987)</f>
        <v/>
      </c>
      <c r="T1987" s="46">
        <f>IF(OR(NOT(ISNUMBER(S1987)),IF(ISNUMBER(G1987),G1987,F1987)=0),"",S1987/IF(ISNUMBER(G1987),G1987,F1987))</f>
        <v/>
      </c>
      <c r="U1987" s="46">
        <f>IF(ISNUMBER(T1987),ABS(T1987),"")</f>
        <v/>
      </c>
      <c r="V1987" s="46">
        <f>IF(OR($D1986&lt;&gt;"측정",$C1986&lt;&gt;$C1987,NOT(ISNUMBER(L1987)),NOT(ISNUMBER(L1986)),(IF(ISNUMBER(G1987),G1987,F1987)-IF(ISNUMBER(G1986),G1986,F1986))=0),"",(L1987-L1986)/(IF(ISNUMBER(G1987),G1987,F1987)-IF(ISNUMBER(G1986),G1986,F1986)))</f>
        <v/>
      </c>
      <c r="W1987" s="30">
        <f>IF(NOT(AND(ISNUMBER(N1987),ISNUMBER(P1987))),"",(P1987-N1987)*1440)</f>
        <v/>
      </c>
      <c r="X1987" s="28" t="n"/>
      <c r="Y1987" s="28" t="n"/>
      <c r="Z1987" s="28" t="n"/>
      <c r="AA1987" s="31" t="n"/>
      <c r="AB1987" s="31" t="n"/>
    </row>
    <row r="1988">
      <c r="A1988" s="25" t="inlineStr">
        <is>
          <t>S39</t>
        </is>
      </c>
      <c r="B1988" s="25" t="inlineStr">
        <is>
          <t>언양</t>
        </is>
      </c>
      <c r="C1988" s="25" t="inlineStr">
        <is>
          <t>S39-H동</t>
        </is>
      </c>
      <c r="D1988" s="25" t="inlineStr">
        <is>
          <t>측정</t>
        </is>
      </c>
      <c r="E1988" s="25" t="inlineStr">
        <is>
          <t>동</t>
        </is>
      </c>
      <c r="F1988" s="30" t="n">
        <v>6</v>
      </c>
      <c r="G1988" s="29" t="n"/>
      <c r="H1988" s="42" t="n"/>
      <c r="I1988" s="40" t="n"/>
      <c r="J1988" s="40" t="n"/>
      <c r="K1988" s="40" t="n"/>
      <c r="L1988" s="30">
        <f>IF(COUNT(I1988:K1988)=0,"",MEDIAN(I1988:K1988))</f>
        <v/>
      </c>
      <c r="M1988" s="25">
        <f>IF(COUNTIFS($C:$C,$C1988,$D:$D,"P0(전)",$L:$L,"&gt;0")&lt;&gt;1,"P0(전) 유효 1개 아님",IF(COUNTIFS($C:$C,$C1988,$D:$D,"P0(후)",$L:$L,"&gt;0")&lt;&gt;1,"P0(후) 유효 1개 아님",IF(NOT(AND(ISNUMBER(N1988),ISNUMBER(P1988),ISNUMBER(H1988))),"시각 결측",IF(P1988&lt;=N1988,"P0 시각 역전",IF(OR(H1988&lt;N1988,H1988&gt;P1988),"측정시각 구간 밖","OK")))))</f>
        <v/>
      </c>
      <c r="N1988" s="45">
        <f>IF(COUNTIFS($C:$C,$C1988,$D:$D,"P0(전)",$L:$L,"&gt;0")&lt;&gt;1,"",SUMIFS($H:$H,$C:$C,$C1988,$D:$D,"P0(전)"))</f>
        <v/>
      </c>
      <c r="O1988" s="30">
        <f>IF(COUNTIFS($C:$C,$C1988,$D:$D,"P0(전)",$L:$L,"&gt;0")&lt;&gt;1,"",SUMIFS($L:$L,$C:$C,$C1988,$D:$D,"P0(전)"))</f>
        <v/>
      </c>
      <c r="P1988" s="45">
        <f>IF(COUNTIFS($C:$C,$C1988,$D:$D,"P0(후)",$L:$L,"&gt;0")&lt;&gt;1,"",SUMIFS($H:$H,$C:$C,$C1988,$D:$D,"P0(후)"))</f>
        <v/>
      </c>
      <c r="Q1988" s="30">
        <f>IF(COUNTIFS($C:$C,$C1988,$D:$D,"P0(후)",$L:$L,"&gt;0")&lt;&gt;1,"",SUMIFS($L:$L,$C:$C,$C1988,$D:$D,"P0(후)"))</f>
        <v/>
      </c>
      <c r="R1988" s="30">
        <f>IF(M1988&lt;&gt;"OK","",O1988+(Q1988-O1988)*(H1988-N1988)/(P1988-N1988))</f>
        <v/>
      </c>
      <c r="S1988" s="30">
        <f>IF(OR(M1988&lt;&gt;"OK",NOT(ISNUMBER(L1988))),"",L1988-R1988)</f>
        <v/>
      </c>
      <c r="T1988" s="46">
        <f>IF(OR(NOT(ISNUMBER(S1988)),IF(ISNUMBER(G1988),G1988,F1988)=0),"",S1988/IF(ISNUMBER(G1988),G1988,F1988))</f>
        <v/>
      </c>
      <c r="U1988" s="46">
        <f>IF(ISNUMBER(T1988),ABS(T1988),"")</f>
        <v/>
      </c>
      <c r="V1988" s="46">
        <f>IF(OR($D1987&lt;&gt;"측정",$C1987&lt;&gt;$C1988,NOT(ISNUMBER(L1988)),NOT(ISNUMBER(L1987)),(IF(ISNUMBER(G1988),G1988,F1988)-IF(ISNUMBER(G1987),G1987,F1987))=0),"",(L1988-L1987)/(IF(ISNUMBER(G1988),G1988,F1988)-IF(ISNUMBER(G1987),G1987,F1987)))</f>
        <v/>
      </c>
      <c r="W1988" s="30">
        <f>IF(NOT(AND(ISNUMBER(N1988),ISNUMBER(P1988))),"",(P1988-N1988)*1440)</f>
        <v/>
      </c>
      <c r="X1988" s="28" t="n"/>
      <c r="Y1988" s="28" t="n"/>
      <c r="Z1988" s="28" t="n"/>
      <c r="AA1988" s="31" t="n"/>
      <c r="AB1988" s="31" t="n"/>
    </row>
    <row r="1989">
      <c r="A1989" s="25" t="inlineStr">
        <is>
          <t>S39</t>
        </is>
      </c>
      <c r="B1989" s="25" t="inlineStr">
        <is>
          <t>언양</t>
        </is>
      </c>
      <c r="C1989" s="25" t="inlineStr">
        <is>
          <t>S39-H동</t>
        </is>
      </c>
      <c r="D1989" s="25" t="inlineStr">
        <is>
          <t>측정</t>
        </is>
      </c>
      <c r="E1989" s="25" t="inlineStr">
        <is>
          <t>동</t>
        </is>
      </c>
      <c r="F1989" s="30" t="n">
        <v>7</v>
      </c>
      <c r="G1989" s="29" t="n"/>
      <c r="H1989" s="42" t="n"/>
      <c r="I1989" s="40" t="n"/>
      <c r="J1989" s="40" t="n"/>
      <c r="K1989" s="40" t="n"/>
      <c r="L1989" s="30">
        <f>IF(COUNT(I1989:K1989)=0,"",MEDIAN(I1989:K1989))</f>
        <v/>
      </c>
      <c r="M1989" s="25">
        <f>IF(COUNTIFS($C:$C,$C1989,$D:$D,"P0(전)",$L:$L,"&gt;0")&lt;&gt;1,"P0(전) 유효 1개 아님",IF(COUNTIFS($C:$C,$C1989,$D:$D,"P0(후)",$L:$L,"&gt;0")&lt;&gt;1,"P0(후) 유효 1개 아님",IF(NOT(AND(ISNUMBER(N1989),ISNUMBER(P1989),ISNUMBER(H1989))),"시각 결측",IF(P1989&lt;=N1989,"P0 시각 역전",IF(OR(H1989&lt;N1989,H1989&gt;P1989),"측정시각 구간 밖","OK")))))</f>
        <v/>
      </c>
      <c r="N1989" s="45">
        <f>IF(COUNTIFS($C:$C,$C1989,$D:$D,"P0(전)",$L:$L,"&gt;0")&lt;&gt;1,"",SUMIFS($H:$H,$C:$C,$C1989,$D:$D,"P0(전)"))</f>
        <v/>
      </c>
      <c r="O1989" s="30">
        <f>IF(COUNTIFS($C:$C,$C1989,$D:$D,"P0(전)",$L:$L,"&gt;0")&lt;&gt;1,"",SUMIFS($L:$L,$C:$C,$C1989,$D:$D,"P0(전)"))</f>
        <v/>
      </c>
      <c r="P1989" s="45">
        <f>IF(COUNTIFS($C:$C,$C1989,$D:$D,"P0(후)",$L:$L,"&gt;0")&lt;&gt;1,"",SUMIFS($H:$H,$C:$C,$C1989,$D:$D,"P0(후)"))</f>
        <v/>
      </c>
      <c r="Q1989" s="30">
        <f>IF(COUNTIFS($C:$C,$C1989,$D:$D,"P0(후)",$L:$L,"&gt;0")&lt;&gt;1,"",SUMIFS($L:$L,$C:$C,$C1989,$D:$D,"P0(후)"))</f>
        <v/>
      </c>
      <c r="R1989" s="30">
        <f>IF(M1989&lt;&gt;"OK","",O1989+(Q1989-O1989)*(H1989-N1989)/(P1989-N1989))</f>
        <v/>
      </c>
      <c r="S1989" s="30">
        <f>IF(OR(M1989&lt;&gt;"OK",NOT(ISNUMBER(L1989))),"",L1989-R1989)</f>
        <v/>
      </c>
      <c r="T1989" s="46">
        <f>IF(OR(NOT(ISNUMBER(S1989)),IF(ISNUMBER(G1989),G1989,F1989)=0),"",S1989/IF(ISNUMBER(G1989),G1989,F1989))</f>
        <v/>
      </c>
      <c r="U1989" s="46">
        <f>IF(ISNUMBER(T1989),ABS(T1989),"")</f>
        <v/>
      </c>
      <c r="V1989" s="46">
        <f>IF(OR($D1988&lt;&gt;"측정",$C1988&lt;&gt;$C1989,NOT(ISNUMBER(L1989)),NOT(ISNUMBER(L1988)),(IF(ISNUMBER(G1989),G1989,F1989)-IF(ISNUMBER(G1988),G1988,F1988))=0),"",(L1989-L1988)/(IF(ISNUMBER(G1989),G1989,F1989)-IF(ISNUMBER(G1988),G1988,F1988)))</f>
        <v/>
      </c>
      <c r="W1989" s="30">
        <f>IF(NOT(AND(ISNUMBER(N1989),ISNUMBER(P1989))),"",(P1989-N1989)*1440)</f>
        <v/>
      </c>
      <c r="X1989" s="28" t="n"/>
      <c r="Y1989" s="28" t="n"/>
      <c r="Z1989" s="28" t="n"/>
      <c r="AA1989" s="31" t="n"/>
      <c r="AB1989" s="31" t="n"/>
    </row>
    <row r="1990">
      <c r="A1990" s="25" t="inlineStr">
        <is>
          <t>S39</t>
        </is>
      </c>
      <c r="B1990" s="25" t="inlineStr">
        <is>
          <t>언양</t>
        </is>
      </c>
      <c r="C1990" s="25" t="inlineStr">
        <is>
          <t>S39-H동</t>
        </is>
      </c>
      <c r="D1990" s="25" t="inlineStr">
        <is>
          <t>측정</t>
        </is>
      </c>
      <c r="E1990" s="25" t="inlineStr">
        <is>
          <t>동</t>
        </is>
      </c>
      <c r="F1990" s="30" t="n">
        <v>8</v>
      </c>
      <c r="G1990" s="29" t="n"/>
      <c r="H1990" s="42" t="n"/>
      <c r="I1990" s="40" t="n"/>
      <c r="J1990" s="40" t="n"/>
      <c r="K1990" s="40" t="n"/>
      <c r="L1990" s="30">
        <f>IF(COUNT(I1990:K1990)=0,"",MEDIAN(I1990:K1990))</f>
        <v/>
      </c>
      <c r="M1990" s="25">
        <f>IF(COUNTIFS($C:$C,$C1990,$D:$D,"P0(전)",$L:$L,"&gt;0")&lt;&gt;1,"P0(전) 유효 1개 아님",IF(COUNTIFS($C:$C,$C1990,$D:$D,"P0(후)",$L:$L,"&gt;0")&lt;&gt;1,"P0(후) 유효 1개 아님",IF(NOT(AND(ISNUMBER(N1990),ISNUMBER(P1990),ISNUMBER(H1990))),"시각 결측",IF(P1990&lt;=N1990,"P0 시각 역전",IF(OR(H1990&lt;N1990,H1990&gt;P1990),"측정시각 구간 밖","OK")))))</f>
        <v/>
      </c>
      <c r="N1990" s="45">
        <f>IF(COUNTIFS($C:$C,$C1990,$D:$D,"P0(전)",$L:$L,"&gt;0")&lt;&gt;1,"",SUMIFS($H:$H,$C:$C,$C1990,$D:$D,"P0(전)"))</f>
        <v/>
      </c>
      <c r="O1990" s="30">
        <f>IF(COUNTIFS($C:$C,$C1990,$D:$D,"P0(전)",$L:$L,"&gt;0")&lt;&gt;1,"",SUMIFS($L:$L,$C:$C,$C1990,$D:$D,"P0(전)"))</f>
        <v/>
      </c>
      <c r="P1990" s="45">
        <f>IF(COUNTIFS($C:$C,$C1990,$D:$D,"P0(후)",$L:$L,"&gt;0")&lt;&gt;1,"",SUMIFS($H:$H,$C:$C,$C1990,$D:$D,"P0(후)"))</f>
        <v/>
      </c>
      <c r="Q1990" s="30">
        <f>IF(COUNTIFS($C:$C,$C1990,$D:$D,"P0(후)",$L:$L,"&gt;0")&lt;&gt;1,"",SUMIFS($L:$L,$C:$C,$C1990,$D:$D,"P0(후)"))</f>
        <v/>
      </c>
      <c r="R1990" s="30">
        <f>IF(M1990&lt;&gt;"OK","",O1990+(Q1990-O1990)*(H1990-N1990)/(P1990-N1990))</f>
        <v/>
      </c>
      <c r="S1990" s="30">
        <f>IF(OR(M1990&lt;&gt;"OK",NOT(ISNUMBER(L1990))),"",L1990-R1990)</f>
        <v/>
      </c>
      <c r="T1990" s="46">
        <f>IF(OR(NOT(ISNUMBER(S1990)),IF(ISNUMBER(G1990),G1990,F1990)=0),"",S1990/IF(ISNUMBER(G1990),G1990,F1990))</f>
        <v/>
      </c>
      <c r="U1990" s="46">
        <f>IF(ISNUMBER(T1990),ABS(T1990),"")</f>
        <v/>
      </c>
      <c r="V1990" s="46">
        <f>IF(OR($D1989&lt;&gt;"측정",$C1989&lt;&gt;$C1990,NOT(ISNUMBER(L1990)),NOT(ISNUMBER(L1989)),(IF(ISNUMBER(G1990),G1990,F1990)-IF(ISNUMBER(G1989),G1989,F1989))=0),"",(L1990-L1989)/(IF(ISNUMBER(G1990),G1990,F1990)-IF(ISNUMBER(G1989),G1989,F1989)))</f>
        <v/>
      </c>
      <c r="W1990" s="30">
        <f>IF(NOT(AND(ISNUMBER(N1990),ISNUMBER(P1990))),"",(P1990-N1990)*1440)</f>
        <v/>
      </c>
      <c r="X1990" s="28" t="n"/>
      <c r="Y1990" s="28" t="n"/>
      <c r="Z1990" s="28" t="n"/>
      <c r="AA1990" s="31" t="n"/>
      <c r="AB1990" s="31" t="n"/>
    </row>
    <row r="1991">
      <c r="A1991" s="25" t="inlineStr">
        <is>
          <t>S39</t>
        </is>
      </c>
      <c r="B1991" s="25" t="inlineStr">
        <is>
          <t>언양</t>
        </is>
      </c>
      <c r="C1991" s="25" t="inlineStr">
        <is>
          <t>S39-H동</t>
        </is>
      </c>
      <c r="D1991" s="25" t="inlineStr">
        <is>
          <t>측정</t>
        </is>
      </c>
      <c r="E1991" s="25" t="inlineStr">
        <is>
          <t>동</t>
        </is>
      </c>
      <c r="F1991" s="30" t="n">
        <v>9</v>
      </c>
      <c r="G1991" s="29" t="n"/>
      <c r="H1991" s="42" t="n"/>
      <c r="I1991" s="40" t="n"/>
      <c r="J1991" s="40" t="n"/>
      <c r="K1991" s="40" t="n"/>
      <c r="L1991" s="30">
        <f>IF(COUNT(I1991:K1991)=0,"",MEDIAN(I1991:K1991))</f>
        <v/>
      </c>
      <c r="M1991" s="25">
        <f>IF(COUNTIFS($C:$C,$C1991,$D:$D,"P0(전)",$L:$L,"&gt;0")&lt;&gt;1,"P0(전) 유효 1개 아님",IF(COUNTIFS($C:$C,$C1991,$D:$D,"P0(후)",$L:$L,"&gt;0")&lt;&gt;1,"P0(후) 유효 1개 아님",IF(NOT(AND(ISNUMBER(N1991),ISNUMBER(P1991),ISNUMBER(H1991))),"시각 결측",IF(P1991&lt;=N1991,"P0 시각 역전",IF(OR(H1991&lt;N1991,H1991&gt;P1991),"측정시각 구간 밖","OK")))))</f>
        <v/>
      </c>
      <c r="N1991" s="45">
        <f>IF(COUNTIFS($C:$C,$C1991,$D:$D,"P0(전)",$L:$L,"&gt;0")&lt;&gt;1,"",SUMIFS($H:$H,$C:$C,$C1991,$D:$D,"P0(전)"))</f>
        <v/>
      </c>
      <c r="O1991" s="30">
        <f>IF(COUNTIFS($C:$C,$C1991,$D:$D,"P0(전)",$L:$L,"&gt;0")&lt;&gt;1,"",SUMIFS($L:$L,$C:$C,$C1991,$D:$D,"P0(전)"))</f>
        <v/>
      </c>
      <c r="P1991" s="45">
        <f>IF(COUNTIFS($C:$C,$C1991,$D:$D,"P0(후)",$L:$L,"&gt;0")&lt;&gt;1,"",SUMIFS($H:$H,$C:$C,$C1991,$D:$D,"P0(후)"))</f>
        <v/>
      </c>
      <c r="Q1991" s="30">
        <f>IF(COUNTIFS($C:$C,$C1991,$D:$D,"P0(후)",$L:$L,"&gt;0")&lt;&gt;1,"",SUMIFS($L:$L,$C:$C,$C1991,$D:$D,"P0(후)"))</f>
        <v/>
      </c>
      <c r="R1991" s="30">
        <f>IF(M1991&lt;&gt;"OK","",O1991+(Q1991-O1991)*(H1991-N1991)/(P1991-N1991))</f>
        <v/>
      </c>
      <c r="S1991" s="30">
        <f>IF(OR(M1991&lt;&gt;"OK",NOT(ISNUMBER(L1991))),"",L1991-R1991)</f>
        <v/>
      </c>
      <c r="T1991" s="46">
        <f>IF(OR(NOT(ISNUMBER(S1991)),IF(ISNUMBER(G1991),G1991,F1991)=0),"",S1991/IF(ISNUMBER(G1991),G1991,F1991))</f>
        <v/>
      </c>
      <c r="U1991" s="46">
        <f>IF(ISNUMBER(T1991),ABS(T1991),"")</f>
        <v/>
      </c>
      <c r="V1991" s="46">
        <f>IF(OR($D1990&lt;&gt;"측정",$C1990&lt;&gt;$C1991,NOT(ISNUMBER(L1991)),NOT(ISNUMBER(L1990)),(IF(ISNUMBER(G1991),G1991,F1991)-IF(ISNUMBER(G1990),G1990,F1990))=0),"",(L1991-L1990)/(IF(ISNUMBER(G1991),G1991,F1991)-IF(ISNUMBER(G1990),G1990,F1990)))</f>
        <v/>
      </c>
      <c r="W1991" s="30">
        <f>IF(NOT(AND(ISNUMBER(N1991),ISNUMBER(P1991))),"",(P1991-N1991)*1440)</f>
        <v/>
      </c>
      <c r="X1991" s="28" t="n"/>
      <c r="Y1991" s="28" t="n"/>
      <c r="Z1991" s="28" t="n"/>
      <c r="AA1991" s="31" t="n"/>
      <c r="AB1991" s="31" t="n"/>
    </row>
    <row r="1992">
      <c r="A1992" s="25" t="inlineStr">
        <is>
          <t>S39</t>
        </is>
      </c>
      <c r="B1992" s="25" t="inlineStr">
        <is>
          <t>언양</t>
        </is>
      </c>
      <c r="C1992" s="25" t="inlineStr">
        <is>
          <t>S39-H동</t>
        </is>
      </c>
      <c r="D1992" s="25" t="inlineStr">
        <is>
          <t>측정</t>
        </is>
      </c>
      <c r="E1992" s="25" t="inlineStr">
        <is>
          <t>동</t>
        </is>
      </c>
      <c r="F1992" s="30" t="n">
        <v>10</v>
      </c>
      <c r="G1992" s="29" t="n"/>
      <c r="H1992" s="42" t="n"/>
      <c r="I1992" s="40" t="n"/>
      <c r="J1992" s="40" t="n"/>
      <c r="K1992" s="40" t="n"/>
      <c r="L1992" s="30">
        <f>IF(COUNT(I1992:K1992)=0,"",MEDIAN(I1992:K1992))</f>
        <v/>
      </c>
      <c r="M1992" s="25">
        <f>IF(COUNTIFS($C:$C,$C1992,$D:$D,"P0(전)",$L:$L,"&gt;0")&lt;&gt;1,"P0(전) 유효 1개 아님",IF(COUNTIFS($C:$C,$C1992,$D:$D,"P0(후)",$L:$L,"&gt;0")&lt;&gt;1,"P0(후) 유효 1개 아님",IF(NOT(AND(ISNUMBER(N1992),ISNUMBER(P1992),ISNUMBER(H1992))),"시각 결측",IF(P1992&lt;=N1992,"P0 시각 역전",IF(OR(H1992&lt;N1992,H1992&gt;P1992),"측정시각 구간 밖","OK")))))</f>
        <v/>
      </c>
      <c r="N1992" s="45">
        <f>IF(COUNTIFS($C:$C,$C1992,$D:$D,"P0(전)",$L:$L,"&gt;0")&lt;&gt;1,"",SUMIFS($H:$H,$C:$C,$C1992,$D:$D,"P0(전)"))</f>
        <v/>
      </c>
      <c r="O1992" s="30">
        <f>IF(COUNTIFS($C:$C,$C1992,$D:$D,"P0(전)",$L:$L,"&gt;0")&lt;&gt;1,"",SUMIFS($L:$L,$C:$C,$C1992,$D:$D,"P0(전)"))</f>
        <v/>
      </c>
      <c r="P1992" s="45">
        <f>IF(COUNTIFS($C:$C,$C1992,$D:$D,"P0(후)",$L:$L,"&gt;0")&lt;&gt;1,"",SUMIFS($H:$H,$C:$C,$C1992,$D:$D,"P0(후)"))</f>
        <v/>
      </c>
      <c r="Q1992" s="30">
        <f>IF(COUNTIFS($C:$C,$C1992,$D:$D,"P0(후)",$L:$L,"&gt;0")&lt;&gt;1,"",SUMIFS($L:$L,$C:$C,$C1992,$D:$D,"P0(후)"))</f>
        <v/>
      </c>
      <c r="R1992" s="30">
        <f>IF(M1992&lt;&gt;"OK","",O1992+(Q1992-O1992)*(H1992-N1992)/(P1992-N1992))</f>
        <v/>
      </c>
      <c r="S1992" s="30">
        <f>IF(OR(M1992&lt;&gt;"OK",NOT(ISNUMBER(L1992))),"",L1992-R1992)</f>
        <v/>
      </c>
      <c r="T1992" s="46">
        <f>IF(OR(NOT(ISNUMBER(S1992)),IF(ISNUMBER(G1992),G1992,F1992)=0),"",S1992/IF(ISNUMBER(G1992),G1992,F1992))</f>
        <v/>
      </c>
      <c r="U1992" s="46">
        <f>IF(ISNUMBER(T1992),ABS(T1992),"")</f>
        <v/>
      </c>
      <c r="V1992" s="46">
        <f>IF(OR($D1991&lt;&gt;"측정",$C1991&lt;&gt;$C1992,NOT(ISNUMBER(L1992)),NOT(ISNUMBER(L1991)),(IF(ISNUMBER(G1992),G1992,F1992)-IF(ISNUMBER(G1991),G1991,F1991))=0),"",(L1992-L1991)/(IF(ISNUMBER(G1992),G1992,F1992)-IF(ISNUMBER(G1991),G1991,F1991)))</f>
        <v/>
      </c>
      <c r="W1992" s="30">
        <f>IF(NOT(AND(ISNUMBER(N1992),ISNUMBER(P1992))),"",(P1992-N1992)*1440)</f>
        <v/>
      </c>
      <c r="X1992" s="28" t="n"/>
      <c r="Y1992" s="28" t="n"/>
      <c r="Z1992" s="28" t="n"/>
      <c r="AA1992" s="31" t="n"/>
      <c r="AB1992" s="31" t="n"/>
    </row>
    <row r="1993">
      <c r="A1993" s="43" t="inlineStr">
        <is>
          <t>S39</t>
        </is>
      </c>
      <c r="B1993" s="43" t="inlineStr">
        <is>
          <t>언양</t>
        </is>
      </c>
      <c r="C1993" s="43" t="inlineStr">
        <is>
          <t>S39-H동</t>
        </is>
      </c>
      <c r="D1993" s="43" t="inlineStr">
        <is>
          <t>P0(후)</t>
        </is>
      </c>
      <c r="E1993" s="43" t="inlineStr">
        <is>
          <t>동</t>
        </is>
      </c>
      <c r="F1993" s="44" t="n"/>
      <c r="G1993" s="29" t="n"/>
      <c r="H1993" s="42" t="n"/>
      <c r="I1993" s="40" t="n"/>
      <c r="J1993" s="40" t="n"/>
      <c r="K1993" s="40" t="n"/>
      <c r="L1993" s="30">
        <f>IF(COUNT(I1993:K1993)=0,"",MEDIAN(I1993:K1993))</f>
        <v/>
      </c>
      <c r="M1993" s="37" t="n"/>
      <c r="N1993" s="37" t="n"/>
      <c r="O1993" s="37" t="n"/>
      <c r="P1993" s="37" t="n"/>
      <c r="Q1993" s="37" t="n"/>
      <c r="R1993" s="37" t="n"/>
      <c r="S1993" s="37" t="n"/>
      <c r="T1993" s="37" t="n"/>
      <c r="U1993" s="37" t="n"/>
      <c r="V1993" s="37" t="n"/>
      <c r="W1993" s="37" t="n"/>
      <c r="X1993" s="28" t="n"/>
      <c r="Y1993" s="28" t="n"/>
      <c r="Z1993" s="28" t="n"/>
      <c r="AA1993" s="31" t="n"/>
      <c r="AB1993" s="31" t="n"/>
    </row>
    <row r="1994">
      <c r="A1994" s="43" t="inlineStr">
        <is>
          <t>S39</t>
        </is>
      </c>
      <c r="B1994" s="43" t="inlineStr">
        <is>
          <t>언양</t>
        </is>
      </c>
      <c r="C1994" s="43" t="inlineStr">
        <is>
          <t>S39-H서</t>
        </is>
      </c>
      <c r="D1994" s="43" t="inlineStr">
        <is>
          <t>P0(전)</t>
        </is>
      </c>
      <c r="E1994" s="43" t="inlineStr">
        <is>
          <t>서</t>
        </is>
      </c>
      <c r="F1994" s="44" t="n"/>
      <c r="G1994" s="29" t="n"/>
      <c r="H1994" s="42" t="n"/>
      <c r="I1994" s="40" t="n"/>
      <c r="J1994" s="40" t="n"/>
      <c r="K1994" s="40" t="n"/>
      <c r="L1994" s="30">
        <f>IF(COUNT(I1994:K1994)=0,"",MEDIAN(I1994:K1994))</f>
        <v/>
      </c>
      <c r="M1994" s="37" t="n"/>
      <c r="N1994" s="37" t="n"/>
      <c r="O1994" s="37" t="n"/>
      <c r="P1994" s="37" t="n"/>
      <c r="Q1994" s="37" t="n"/>
      <c r="R1994" s="37" t="n"/>
      <c r="S1994" s="37" t="n"/>
      <c r="T1994" s="37" t="n"/>
      <c r="U1994" s="37" t="n"/>
      <c r="V1994" s="37" t="n"/>
      <c r="W1994" s="37" t="n"/>
      <c r="X1994" s="28" t="n"/>
      <c r="Y1994" s="28" t="n"/>
      <c r="Z1994" s="28" t="n"/>
      <c r="AA1994" s="31" t="n"/>
      <c r="AB1994" s="31" t="n"/>
    </row>
    <row r="1995">
      <c r="A1995" s="25" t="inlineStr">
        <is>
          <t>S39</t>
        </is>
      </c>
      <c r="B1995" s="25" t="inlineStr">
        <is>
          <t>언양</t>
        </is>
      </c>
      <c r="C1995" s="25" t="inlineStr">
        <is>
          <t>S39-H서</t>
        </is>
      </c>
      <c r="D1995" s="25" t="inlineStr">
        <is>
          <t>측정</t>
        </is>
      </c>
      <c r="E1995" s="25" t="inlineStr">
        <is>
          <t>서</t>
        </is>
      </c>
      <c r="F1995" s="30" t="n">
        <v>0.5</v>
      </c>
      <c r="G1995" s="29" t="n"/>
      <c r="H1995" s="42" t="n"/>
      <c r="I1995" s="40" t="n"/>
      <c r="J1995" s="40" t="n"/>
      <c r="K1995" s="40" t="n"/>
      <c r="L1995" s="30">
        <f>IF(COUNT(I1995:K1995)=0,"",MEDIAN(I1995:K1995))</f>
        <v/>
      </c>
      <c r="M1995" s="25">
        <f>IF(COUNTIFS($C:$C,$C1995,$D:$D,"P0(전)",$L:$L,"&gt;0")&lt;&gt;1,"P0(전) 유효 1개 아님",IF(COUNTIFS($C:$C,$C1995,$D:$D,"P0(후)",$L:$L,"&gt;0")&lt;&gt;1,"P0(후) 유효 1개 아님",IF(NOT(AND(ISNUMBER(N1995),ISNUMBER(P1995),ISNUMBER(H1995))),"시각 결측",IF(P1995&lt;=N1995,"P0 시각 역전",IF(OR(H1995&lt;N1995,H1995&gt;P1995),"측정시각 구간 밖","OK")))))</f>
        <v/>
      </c>
      <c r="N1995" s="45">
        <f>IF(COUNTIFS($C:$C,$C1995,$D:$D,"P0(전)",$L:$L,"&gt;0")&lt;&gt;1,"",SUMIFS($H:$H,$C:$C,$C1995,$D:$D,"P0(전)"))</f>
        <v/>
      </c>
      <c r="O1995" s="30">
        <f>IF(COUNTIFS($C:$C,$C1995,$D:$D,"P0(전)",$L:$L,"&gt;0")&lt;&gt;1,"",SUMIFS($L:$L,$C:$C,$C1995,$D:$D,"P0(전)"))</f>
        <v/>
      </c>
      <c r="P1995" s="45">
        <f>IF(COUNTIFS($C:$C,$C1995,$D:$D,"P0(후)",$L:$L,"&gt;0")&lt;&gt;1,"",SUMIFS($H:$H,$C:$C,$C1995,$D:$D,"P0(후)"))</f>
        <v/>
      </c>
      <c r="Q1995" s="30">
        <f>IF(COUNTIFS($C:$C,$C1995,$D:$D,"P0(후)",$L:$L,"&gt;0")&lt;&gt;1,"",SUMIFS($L:$L,$C:$C,$C1995,$D:$D,"P0(후)"))</f>
        <v/>
      </c>
      <c r="R1995" s="30">
        <f>IF(M1995&lt;&gt;"OK","",O1995+(Q1995-O1995)*(H1995-N1995)/(P1995-N1995))</f>
        <v/>
      </c>
      <c r="S1995" s="30">
        <f>IF(OR(M1995&lt;&gt;"OK",NOT(ISNUMBER(L1995))),"",L1995-R1995)</f>
        <v/>
      </c>
      <c r="T1995" s="46">
        <f>IF(OR(NOT(ISNUMBER(S1995)),IF(ISNUMBER(G1995),G1995,F1995)=0),"",S1995/IF(ISNUMBER(G1995),G1995,F1995))</f>
        <v/>
      </c>
      <c r="U1995" s="46">
        <f>IF(ISNUMBER(T1995),ABS(T1995),"")</f>
        <v/>
      </c>
      <c r="V1995" s="46">
        <f>IF(OR($D1994&lt;&gt;"측정",$C1994&lt;&gt;$C1995,NOT(ISNUMBER(L1995)),NOT(ISNUMBER(L1994)),(IF(ISNUMBER(G1995),G1995,F1995)-IF(ISNUMBER(G1994),G1994,F1994))=0),"",(L1995-L1994)/(IF(ISNUMBER(G1995),G1995,F1995)-IF(ISNUMBER(G1994),G1994,F1994)))</f>
        <v/>
      </c>
      <c r="W1995" s="30">
        <f>IF(NOT(AND(ISNUMBER(N1995),ISNUMBER(P1995))),"",(P1995-N1995)*1440)</f>
        <v/>
      </c>
      <c r="X1995" s="28" t="n"/>
      <c r="Y1995" s="28" t="n"/>
      <c r="Z1995" s="28" t="n"/>
      <c r="AA1995" s="31" t="n"/>
      <c r="AB1995" s="31" t="n"/>
    </row>
    <row r="1996">
      <c r="A1996" s="25" t="inlineStr">
        <is>
          <t>S39</t>
        </is>
      </c>
      <c r="B1996" s="25" t="inlineStr">
        <is>
          <t>언양</t>
        </is>
      </c>
      <c r="C1996" s="25" t="inlineStr">
        <is>
          <t>S39-H서</t>
        </is>
      </c>
      <c r="D1996" s="25" t="inlineStr">
        <is>
          <t>측정</t>
        </is>
      </c>
      <c r="E1996" s="25" t="inlineStr">
        <is>
          <t>서</t>
        </is>
      </c>
      <c r="F1996" s="30" t="n">
        <v>1</v>
      </c>
      <c r="G1996" s="29" t="n"/>
      <c r="H1996" s="42" t="n"/>
      <c r="I1996" s="40" t="n"/>
      <c r="J1996" s="40" t="n"/>
      <c r="K1996" s="40" t="n"/>
      <c r="L1996" s="30">
        <f>IF(COUNT(I1996:K1996)=0,"",MEDIAN(I1996:K1996))</f>
        <v/>
      </c>
      <c r="M1996" s="25">
        <f>IF(COUNTIFS($C:$C,$C1996,$D:$D,"P0(전)",$L:$L,"&gt;0")&lt;&gt;1,"P0(전) 유효 1개 아님",IF(COUNTIFS($C:$C,$C1996,$D:$D,"P0(후)",$L:$L,"&gt;0")&lt;&gt;1,"P0(후) 유효 1개 아님",IF(NOT(AND(ISNUMBER(N1996),ISNUMBER(P1996),ISNUMBER(H1996))),"시각 결측",IF(P1996&lt;=N1996,"P0 시각 역전",IF(OR(H1996&lt;N1996,H1996&gt;P1996),"측정시각 구간 밖","OK")))))</f>
        <v/>
      </c>
      <c r="N1996" s="45">
        <f>IF(COUNTIFS($C:$C,$C1996,$D:$D,"P0(전)",$L:$L,"&gt;0")&lt;&gt;1,"",SUMIFS($H:$H,$C:$C,$C1996,$D:$D,"P0(전)"))</f>
        <v/>
      </c>
      <c r="O1996" s="30">
        <f>IF(COUNTIFS($C:$C,$C1996,$D:$D,"P0(전)",$L:$L,"&gt;0")&lt;&gt;1,"",SUMIFS($L:$L,$C:$C,$C1996,$D:$D,"P0(전)"))</f>
        <v/>
      </c>
      <c r="P1996" s="45">
        <f>IF(COUNTIFS($C:$C,$C1996,$D:$D,"P0(후)",$L:$L,"&gt;0")&lt;&gt;1,"",SUMIFS($H:$H,$C:$C,$C1996,$D:$D,"P0(후)"))</f>
        <v/>
      </c>
      <c r="Q1996" s="30">
        <f>IF(COUNTIFS($C:$C,$C1996,$D:$D,"P0(후)",$L:$L,"&gt;0")&lt;&gt;1,"",SUMIFS($L:$L,$C:$C,$C1996,$D:$D,"P0(후)"))</f>
        <v/>
      </c>
      <c r="R1996" s="30">
        <f>IF(M1996&lt;&gt;"OK","",O1996+(Q1996-O1996)*(H1996-N1996)/(P1996-N1996))</f>
        <v/>
      </c>
      <c r="S1996" s="30">
        <f>IF(OR(M1996&lt;&gt;"OK",NOT(ISNUMBER(L1996))),"",L1996-R1996)</f>
        <v/>
      </c>
      <c r="T1996" s="46">
        <f>IF(OR(NOT(ISNUMBER(S1996)),IF(ISNUMBER(G1996),G1996,F1996)=0),"",S1996/IF(ISNUMBER(G1996),G1996,F1996))</f>
        <v/>
      </c>
      <c r="U1996" s="46">
        <f>IF(ISNUMBER(T1996),ABS(T1996),"")</f>
        <v/>
      </c>
      <c r="V1996" s="46">
        <f>IF(OR($D1995&lt;&gt;"측정",$C1995&lt;&gt;$C1996,NOT(ISNUMBER(L1996)),NOT(ISNUMBER(L1995)),(IF(ISNUMBER(G1996),G1996,F1996)-IF(ISNUMBER(G1995),G1995,F1995))=0),"",(L1996-L1995)/(IF(ISNUMBER(G1996),G1996,F1996)-IF(ISNUMBER(G1995),G1995,F1995)))</f>
        <v/>
      </c>
      <c r="W1996" s="30">
        <f>IF(NOT(AND(ISNUMBER(N1996),ISNUMBER(P1996))),"",(P1996-N1996)*1440)</f>
        <v/>
      </c>
      <c r="X1996" s="28" t="n"/>
      <c r="Y1996" s="28" t="n"/>
      <c r="Z1996" s="28" t="n"/>
      <c r="AA1996" s="31" t="n"/>
      <c r="AB1996" s="31" t="n"/>
    </row>
    <row r="1997">
      <c r="A1997" s="25" t="inlineStr">
        <is>
          <t>S39</t>
        </is>
      </c>
      <c r="B1997" s="25" t="inlineStr">
        <is>
          <t>언양</t>
        </is>
      </c>
      <c r="C1997" s="25" t="inlineStr">
        <is>
          <t>S39-H서</t>
        </is>
      </c>
      <c r="D1997" s="25" t="inlineStr">
        <is>
          <t>측정</t>
        </is>
      </c>
      <c r="E1997" s="25" t="inlineStr">
        <is>
          <t>서</t>
        </is>
      </c>
      <c r="F1997" s="30" t="n">
        <v>2</v>
      </c>
      <c r="G1997" s="29" t="n"/>
      <c r="H1997" s="42" t="n"/>
      <c r="I1997" s="40" t="n"/>
      <c r="J1997" s="40" t="n"/>
      <c r="K1997" s="40" t="n"/>
      <c r="L1997" s="30">
        <f>IF(COUNT(I1997:K1997)=0,"",MEDIAN(I1997:K1997))</f>
        <v/>
      </c>
      <c r="M1997" s="25">
        <f>IF(COUNTIFS($C:$C,$C1997,$D:$D,"P0(전)",$L:$L,"&gt;0")&lt;&gt;1,"P0(전) 유효 1개 아님",IF(COUNTIFS($C:$C,$C1997,$D:$D,"P0(후)",$L:$L,"&gt;0")&lt;&gt;1,"P0(후) 유효 1개 아님",IF(NOT(AND(ISNUMBER(N1997),ISNUMBER(P1997),ISNUMBER(H1997))),"시각 결측",IF(P1997&lt;=N1997,"P0 시각 역전",IF(OR(H1997&lt;N1997,H1997&gt;P1997),"측정시각 구간 밖","OK")))))</f>
        <v/>
      </c>
      <c r="N1997" s="45">
        <f>IF(COUNTIFS($C:$C,$C1997,$D:$D,"P0(전)",$L:$L,"&gt;0")&lt;&gt;1,"",SUMIFS($H:$H,$C:$C,$C1997,$D:$D,"P0(전)"))</f>
        <v/>
      </c>
      <c r="O1997" s="30">
        <f>IF(COUNTIFS($C:$C,$C1997,$D:$D,"P0(전)",$L:$L,"&gt;0")&lt;&gt;1,"",SUMIFS($L:$L,$C:$C,$C1997,$D:$D,"P0(전)"))</f>
        <v/>
      </c>
      <c r="P1997" s="45">
        <f>IF(COUNTIFS($C:$C,$C1997,$D:$D,"P0(후)",$L:$L,"&gt;0")&lt;&gt;1,"",SUMIFS($H:$H,$C:$C,$C1997,$D:$D,"P0(후)"))</f>
        <v/>
      </c>
      <c r="Q1997" s="30">
        <f>IF(COUNTIFS($C:$C,$C1997,$D:$D,"P0(후)",$L:$L,"&gt;0")&lt;&gt;1,"",SUMIFS($L:$L,$C:$C,$C1997,$D:$D,"P0(후)"))</f>
        <v/>
      </c>
      <c r="R1997" s="30">
        <f>IF(M1997&lt;&gt;"OK","",O1997+(Q1997-O1997)*(H1997-N1997)/(P1997-N1997))</f>
        <v/>
      </c>
      <c r="S1997" s="30">
        <f>IF(OR(M1997&lt;&gt;"OK",NOT(ISNUMBER(L1997))),"",L1997-R1997)</f>
        <v/>
      </c>
      <c r="T1997" s="46">
        <f>IF(OR(NOT(ISNUMBER(S1997)),IF(ISNUMBER(G1997),G1997,F1997)=0),"",S1997/IF(ISNUMBER(G1997),G1997,F1997))</f>
        <v/>
      </c>
      <c r="U1997" s="46">
        <f>IF(ISNUMBER(T1997),ABS(T1997),"")</f>
        <v/>
      </c>
      <c r="V1997" s="46">
        <f>IF(OR($D1996&lt;&gt;"측정",$C1996&lt;&gt;$C1997,NOT(ISNUMBER(L1997)),NOT(ISNUMBER(L1996)),(IF(ISNUMBER(G1997),G1997,F1997)-IF(ISNUMBER(G1996),G1996,F1996))=0),"",(L1997-L1996)/(IF(ISNUMBER(G1997),G1997,F1997)-IF(ISNUMBER(G1996),G1996,F1996)))</f>
        <v/>
      </c>
      <c r="W1997" s="30">
        <f>IF(NOT(AND(ISNUMBER(N1997),ISNUMBER(P1997))),"",(P1997-N1997)*1440)</f>
        <v/>
      </c>
      <c r="X1997" s="28" t="n"/>
      <c r="Y1997" s="28" t="n"/>
      <c r="Z1997" s="28" t="n"/>
      <c r="AA1997" s="31" t="n"/>
      <c r="AB1997" s="31" t="n"/>
    </row>
    <row r="1998">
      <c r="A1998" s="25" t="inlineStr">
        <is>
          <t>S39</t>
        </is>
      </c>
      <c r="B1998" s="25" t="inlineStr">
        <is>
          <t>언양</t>
        </is>
      </c>
      <c r="C1998" s="25" t="inlineStr">
        <is>
          <t>S39-H서</t>
        </is>
      </c>
      <c r="D1998" s="25" t="inlineStr">
        <is>
          <t>측정</t>
        </is>
      </c>
      <c r="E1998" s="25" t="inlineStr">
        <is>
          <t>서</t>
        </is>
      </c>
      <c r="F1998" s="30" t="n">
        <v>3</v>
      </c>
      <c r="G1998" s="29" t="n"/>
      <c r="H1998" s="42" t="n"/>
      <c r="I1998" s="40" t="n"/>
      <c r="J1998" s="40" t="n"/>
      <c r="K1998" s="40" t="n"/>
      <c r="L1998" s="30">
        <f>IF(COUNT(I1998:K1998)=0,"",MEDIAN(I1998:K1998))</f>
        <v/>
      </c>
      <c r="M1998" s="25">
        <f>IF(COUNTIFS($C:$C,$C1998,$D:$D,"P0(전)",$L:$L,"&gt;0")&lt;&gt;1,"P0(전) 유효 1개 아님",IF(COUNTIFS($C:$C,$C1998,$D:$D,"P0(후)",$L:$L,"&gt;0")&lt;&gt;1,"P0(후) 유효 1개 아님",IF(NOT(AND(ISNUMBER(N1998),ISNUMBER(P1998),ISNUMBER(H1998))),"시각 결측",IF(P1998&lt;=N1998,"P0 시각 역전",IF(OR(H1998&lt;N1998,H1998&gt;P1998),"측정시각 구간 밖","OK")))))</f>
        <v/>
      </c>
      <c r="N1998" s="45">
        <f>IF(COUNTIFS($C:$C,$C1998,$D:$D,"P0(전)",$L:$L,"&gt;0")&lt;&gt;1,"",SUMIFS($H:$H,$C:$C,$C1998,$D:$D,"P0(전)"))</f>
        <v/>
      </c>
      <c r="O1998" s="30">
        <f>IF(COUNTIFS($C:$C,$C1998,$D:$D,"P0(전)",$L:$L,"&gt;0")&lt;&gt;1,"",SUMIFS($L:$L,$C:$C,$C1998,$D:$D,"P0(전)"))</f>
        <v/>
      </c>
      <c r="P1998" s="45">
        <f>IF(COUNTIFS($C:$C,$C1998,$D:$D,"P0(후)",$L:$L,"&gt;0")&lt;&gt;1,"",SUMIFS($H:$H,$C:$C,$C1998,$D:$D,"P0(후)"))</f>
        <v/>
      </c>
      <c r="Q1998" s="30">
        <f>IF(COUNTIFS($C:$C,$C1998,$D:$D,"P0(후)",$L:$L,"&gt;0")&lt;&gt;1,"",SUMIFS($L:$L,$C:$C,$C1998,$D:$D,"P0(후)"))</f>
        <v/>
      </c>
      <c r="R1998" s="30">
        <f>IF(M1998&lt;&gt;"OK","",O1998+(Q1998-O1998)*(H1998-N1998)/(P1998-N1998))</f>
        <v/>
      </c>
      <c r="S1998" s="30">
        <f>IF(OR(M1998&lt;&gt;"OK",NOT(ISNUMBER(L1998))),"",L1998-R1998)</f>
        <v/>
      </c>
      <c r="T1998" s="46">
        <f>IF(OR(NOT(ISNUMBER(S1998)),IF(ISNUMBER(G1998),G1998,F1998)=0),"",S1998/IF(ISNUMBER(G1998),G1998,F1998))</f>
        <v/>
      </c>
      <c r="U1998" s="46">
        <f>IF(ISNUMBER(T1998),ABS(T1998),"")</f>
        <v/>
      </c>
      <c r="V1998" s="46">
        <f>IF(OR($D1997&lt;&gt;"측정",$C1997&lt;&gt;$C1998,NOT(ISNUMBER(L1998)),NOT(ISNUMBER(L1997)),(IF(ISNUMBER(G1998),G1998,F1998)-IF(ISNUMBER(G1997),G1997,F1997))=0),"",(L1998-L1997)/(IF(ISNUMBER(G1998),G1998,F1998)-IF(ISNUMBER(G1997),G1997,F1997)))</f>
        <v/>
      </c>
      <c r="W1998" s="30">
        <f>IF(NOT(AND(ISNUMBER(N1998),ISNUMBER(P1998))),"",(P1998-N1998)*1440)</f>
        <v/>
      </c>
      <c r="X1998" s="28" t="n"/>
      <c r="Y1998" s="28" t="n"/>
      <c r="Z1998" s="28" t="n"/>
      <c r="AA1998" s="31" t="n"/>
      <c r="AB1998" s="31" t="n"/>
    </row>
    <row r="1999">
      <c r="A1999" s="25" t="inlineStr">
        <is>
          <t>S39</t>
        </is>
      </c>
      <c r="B1999" s="25" t="inlineStr">
        <is>
          <t>언양</t>
        </is>
      </c>
      <c r="C1999" s="25" t="inlineStr">
        <is>
          <t>S39-H서</t>
        </is>
      </c>
      <c r="D1999" s="25" t="inlineStr">
        <is>
          <t>측정</t>
        </is>
      </c>
      <c r="E1999" s="25" t="inlineStr">
        <is>
          <t>서</t>
        </is>
      </c>
      <c r="F1999" s="30" t="n">
        <v>4</v>
      </c>
      <c r="G1999" s="29" t="n"/>
      <c r="H1999" s="42" t="n"/>
      <c r="I1999" s="40" t="n"/>
      <c r="J1999" s="40" t="n"/>
      <c r="K1999" s="40" t="n"/>
      <c r="L1999" s="30">
        <f>IF(COUNT(I1999:K1999)=0,"",MEDIAN(I1999:K1999))</f>
        <v/>
      </c>
      <c r="M1999" s="25">
        <f>IF(COUNTIFS($C:$C,$C1999,$D:$D,"P0(전)",$L:$L,"&gt;0")&lt;&gt;1,"P0(전) 유효 1개 아님",IF(COUNTIFS($C:$C,$C1999,$D:$D,"P0(후)",$L:$L,"&gt;0")&lt;&gt;1,"P0(후) 유효 1개 아님",IF(NOT(AND(ISNUMBER(N1999),ISNUMBER(P1999),ISNUMBER(H1999))),"시각 결측",IF(P1999&lt;=N1999,"P0 시각 역전",IF(OR(H1999&lt;N1999,H1999&gt;P1999),"측정시각 구간 밖","OK")))))</f>
        <v/>
      </c>
      <c r="N1999" s="45">
        <f>IF(COUNTIFS($C:$C,$C1999,$D:$D,"P0(전)",$L:$L,"&gt;0")&lt;&gt;1,"",SUMIFS($H:$H,$C:$C,$C1999,$D:$D,"P0(전)"))</f>
        <v/>
      </c>
      <c r="O1999" s="30">
        <f>IF(COUNTIFS($C:$C,$C1999,$D:$D,"P0(전)",$L:$L,"&gt;0")&lt;&gt;1,"",SUMIFS($L:$L,$C:$C,$C1999,$D:$D,"P0(전)"))</f>
        <v/>
      </c>
      <c r="P1999" s="45">
        <f>IF(COUNTIFS($C:$C,$C1999,$D:$D,"P0(후)",$L:$L,"&gt;0")&lt;&gt;1,"",SUMIFS($H:$H,$C:$C,$C1999,$D:$D,"P0(후)"))</f>
        <v/>
      </c>
      <c r="Q1999" s="30">
        <f>IF(COUNTIFS($C:$C,$C1999,$D:$D,"P0(후)",$L:$L,"&gt;0")&lt;&gt;1,"",SUMIFS($L:$L,$C:$C,$C1999,$D:$D,"P0(후)"))</f>
        <v/>
      </c>
      <c r="R1999" s="30">
        <f>IF(M1999&lt;&gt;"OK","",O1999+(Q1999-O1999)*(H1999-N1999)/(P1999-N1999))</f>
        <v/>
      </c>
      <c r="S1999" s="30">
        <f>IF(OR(M1999&lt;&gt;"OK",NOT(ISNUMBER(L1999))),"",L1999-R1999)</f>
        <v/>
      </c>
      <c r="T1999" s="46">
        <f>IF(OR(NOT(ISNUMBER(S1999)),IF(ISNUMBER(G1999),G1999,F1999)=0),"",S1999/IF(ISNUMBER(G1999),G1999,F1999))</f>
        <v/>
      </c>
      <c r="U1999" s="46">
        <f>IF(ISNUMBER(T1999),ABS(T1999),"")</f>
        <v/>
      </c>
      <c r="V1999" s="46">
        <f>IF(OR($D1998&lt;&gt;"측정",$C1998&lt;&gt;$C1999,NOT(ISNUMBER(L1999)),NOT(ISNUMBER(L1998)),(IF(ISNUMBER(G1999),G1999,F1999)-IF(ISNUMBER(G1998),G1998,F1998))=0),"",(L1999-L1998)/(IF(ISNUMBER(G1999),G1999,F1999)-IF(ISNUMBER(G1998),G1998,F1998)))</f>
        <v/>
      </c>
      <c r="W1999" s="30">
        <f>IF(NOT(AND(ISNUMBER(N1999),ISNUMBER(P1999))),"",(P1999-N1999)*1440)</f>
        <v/>
      </c>
      <c r="X1999" s="28" t="n"/>
      <c r="Y1999" s="28" t="n"/>
      <c r="Z1999" s="28" t="n"/>
      <c r="AA1999" s="31" t="n"/>
      <c r="AB1999" s="31" t="n"/>
    </row>
    <row r="2000">
      <c r="A2000" s="25" t="inlineStr">
        <is>
          <t>S39</t>
        </is>
      </c>
      <c r="B2000" s="25" t="inlineStr">
        <is>
          <t>언양</t>
        </is>
      </c>
      <c r="C2000" s="25" t="inlineStr">
        <is>
          <t>S39-H서</t>
        </is>
      </c>
      <c r="D2000" s="25" t="inlineStr">
        <is>
          <t>측정</t>
        </is>
      </c>
      <c r="E2000" s="25" t="inlineStr">
        <is>
          <t>서</t>
        </is>
      </c>
      <c r="F2000" s="30" t="n">
        <v>5</v>
      </c>
      <c r="G2000" s="29" t="n"/>
      <c r="H2000" s="42" t="n"/>
      <c r="I2000" s="40" t="n"/>
      <c r="J2000" s="40" t="n"/>
      <c r="K2000" s="40" t="n"/>
      <c r="L2000" s="30">
        <f>IF(COUNT(I2000:K2000)=0,"",MEDIAN(I2000:K2000))</f>
        <v/>
      </c>
      <c r="M2000" s="25">
        <f>IF(COUNTIFS($C:$C,$C2000,$D:$D,"P0(전)",$L:$L,"&gt;0")&lt;&gt;1,"P0(전) 유효 1개 아님",IF(COUNTIFS($C:$C,$C2000,$D:$D,"P0(후)",$L:$L,"&gt;0")&lt;&gt;1,"P0(후) 유효 1개 아님",IF(NOT(AND(ISNUMBER(N2000),ISNUMBER(P2000),ISNUMBER(H2000))),"시각 결측",IF(P2000&lt;=N2000,"P0 시각 역전",IF(OR(H2000&lt;N2000,H2000&gt;P2000),"측정시각 구간 밖","OK")))))</f>
        <v/>
      </c>
      <c r="N2000" s="45">
        <f>IF(COUNTIFS($C:$C,$C2000,$D:$D,"P0(전)",$L:$L,"&gt;0")&lt;&gt;1,"",SUMIFS($H:$H,$C:$C,$C2000,$D:$D,"P0(전)"))</f>
        <v/>
      </c>
      <c r="O2000" s="30">
        <f>IF(COUNTIFS($C:$C,$C2000,$D:$D,"P0(전)",$L:$L,"&gt;0")&lt;&gt;1,"",SUMIFS($L:$L,$C:$C,$C2000,$D:$D,"P0(전)"))</f>
        <v/>
      </c>
      <c r="P2000" s="45">
        <f>IF(COUNTIFS($C:$C,$C2000,$D:$D,"P0(후)",$L:$L,"&gt;0")&lt;&gt;1,"",SUMIFS($H:$H,$C:$C,$C2000,$D:$D,"P0(후)"))</f>
        <v/>
      </c>
      <c r="Q2000" s="30">
        <f>IF(COUNTIFS($C:$C,$C2000,$D:$D,"P0(후)",$L:$L,"&gt;0")&lt;&gt;1,"",SUMIFS($L:$L,$C:$C,$C2000,$D:$D,"P0(후)"))</f>
        <v/>
      </c>
      <c r="R2000" s="30">
        <f>IF(M2000&lt;&gt;"OK","",O2000+(Q2000-O2000)*(H2000-N2000)/(P2000-N2000))</f>
        <v/>
      </c>
      <c r="S2000" s="30">
        <f>IF(OR(M2000&lt;&gt;"OK",NOT(ISNUMBER(L2000))),"",L2000-R2000)</f>
        <v/>
      </c>
      <c r="T2000" s="46">
        <f>IF(OR(NOT(ISNUMBER(S2000)),IF(ISNUMBER(G2000),G2000,F2000)=0),"",S2000/IF(ISNUMBER(G2000),G2000,F2000))</f>
        <v/>
      </c>
      <c r="U2000" s="46">
        <f>IF(ISNUMBER(T2000),ABS(T2000),"")</f>
        <v/>
      </c>
      <c r="V2000" s="46">
        <f>IF(OR($D1999&lt;&gt;"측정",$C1999&lt;&gt;$C2000,NOT(ISNUMBER(L2000)),NOT(ISNUMBER(L1999)),(IF(ISNUMBER(G2000),G2000,F2000)-IF(ISNUMBER(G1999),G1999,F1999))=0),"",(L2000-L1999)/(IF(ISNUMBER(G2000),G2000,F2000)-IF(ISNUMBER(G1999),G1999,F1999)))</f>
        <v/>
      </c>
      <c r="W2000" s="30">
        <f>IF(NOT(AND(ISNUMBER(N2000),ISNUMBER(P2000))),"",(P2000-N2000)*1440)</f>
        <v/>
      </c>
      <c r="X2000" s="28" t="n"/>
      <c r="Y2000" s="28" t="n"/>
      <c r="Z2000" s="28" t="n"/>
      <c r="AA2000" s="31" t="n"/>
      <c r="AB2000" s="31" t="n"/>
    </row>
    <row r="2001">
      <c r="A2001" s="25" t="inlineStr">
        <is>
          <t>S39</t>
        </is>
      </c>
      <c r="B2001" s="25" t="inlineStr">
        <is>
          <t>언양</t>
        </is>
      </c>
      <c r="C2001" s="25" t="inlineStr">
        <is>
          <t>S39-H서</t>
        </is>
      </c>
      <c r="D2001" s="25" t="inlineStr">
        <is>
          <t>측정</t>
        </is>
      </c>
      <c r="E2001" s="25" t="inlineStr">
        <is>
          <t>서</t>
        </is>
      </c>
      <c r="F2001" s="30" t="n">
        <v>6</v>
      </c>
      <c r="G2001" s="29" t="n"/>
      <c r="H2001" s="42" t="n"/>
      <c r="I2001" s="40" t="n"/>
      <c r="J2001" s="40" t="n"/>
      <c r="K2001" s="40" t="n"/>
      <c r="L2001" s="30">
        <f>IF(COUNT(I2001:K2001)=0,"",MEDIAN(I2001:K2001))</f>
        <v/>
      </c>
      <c r="M2001" s="25">
        <f>IF(COUNTIFS($C:$C,$C2001,$D:$D,"P0(전)",$L:$L,"&gt;0")&lt;&gt;1,"P0(전) 유효 1개 아님",IF(COUNTIFS($C:$C,$C2001,$D:$D,"P0(후)",$L:$L,"&gt;0")&lt;&gt;1,"P0(후) 유효 1개 아님",IF(NOT(AND(ISNUMBER(N2001),ISNUMBER(P2001),ISNUMBER(H2001))),"시각 결측",IF(P2001&lt;=N2001,"P0 시각 역전",IF(OR(H2001&lt;N2001,H2001&gt;P2001),"측정시각 구간 밖","OK")))))</f>
        <v/>
      </c>
      <c r="N2001" s="45">
        <f>IF(COUNTIFS($C:$C,$C2001,$D:$D,"P0(전)",$L:$L,"&gt;0")&lt;&gt;1,"",SUMIFS($H:$H,$C:$C,$C2001,$D:$D,"P0(전)"))</f>
        <v/>
      </c>
      <c r="O2001" s="30">
        <f>IF(COUNTIFS($C:$C,$C2001,$D:$D,"P0(전)",$L:$L,"&gt;0")&lt;&gt;1,"",SUMIFS($L:$L,$C:$C,$C2001,$D:$D,"P0(전)"))</f>
        <v/>
      </c>
      <c r="P2001" s="45">
        <f>IF(COUNTIFS($C:$C,$C2001,$D:$D,"P0(후)",$L:$L,"&gt;0")&lt;&gt;1,"",SUMIFS($H:$H,$C:$C,$C2001,$D:$D,"P0(후)"))</f>
        <v/>
      </c>
      <c r="Q2001" s="30">
        <f>IF(COUNTIFS($C:$C,$C2001,$D:$D,"P0(후)",$L:$L,"&gt;0")&lt;&gt;1,"",SUMIFS($L:$L,$C:$C,$C2001,$D:$D,"P0(후)"))</f>
        <v/>
      </c>
      <c r="R2001" s="30">
        <f>IF(M2001&lt;&gt;"OK","",O2001+(Q2001-O2001)*(H2001-N2001)/(P2001-N2001))</f>
        <v/>
      </c>
      <c r="S2001" s="30">
        <f>IF(OR(M2001&lt;&gt;"OK",NOT(ISNUMBER(L2001))),"",L2001-R2001)</f>
        <v/>
      </c>
      <c r="T2001" s="46">
        <f>IF(OR(NOT(ISNUMBER(S2001)),IF(ISNUMBER(G2001),G2001,F2001)=0),"",S2001/IF(ISNUMBER(G2001),G2001,F2001))</f>
        <v/>
      </c>
      <c r="U2001" s="46">
        <f>IF(ISNUMBER(T2001),ABS(T2001),"")</f>
        <v/>
      </c>
      <c r="V2001" s="46">
        <f>IF(OR($D2000&lt;&gt;"측정",$C2000&lt;&gt;$C2001,NOT(ISNUMBER(L2001)),NOT(ISNUMBER(L2000)),(IF(ISNUMBER(G2001),G2001,F2001)-IF(ISNUMBER(G2000),G2000,F2000))=0),"",(L2001-L2000)/(IF(ISNUMBER(G2001),G2001,F2001)-IF(ISNUMBER(G2000),G2000,F2000)))</f>
        <v/>
      </c>
      <c r="W2001" s="30">
        <f>IF(NOT(AND(ISNUMBER(N2001),ISNUMBER(P2001))),"",(P2001-N2001)*1440)</f>
        <v/>
      </c>
      <c r="X2001" s="28" t="n"/>
      <c r="Y2001" s="28" t="n"/>
      <c r="Z2001" s="28" t="n"/>
      <c r="AA2001" s="31" t="n"/>
      <c r="AB2001" s="31" t="n"/>
    </row>
    <row r="2002">
      <c r="A2002" s="25" t="inlineStr">
        <is>
          <t>S39</t>
        </is>
      </c>
      <c r="B2002" s="25" t="inlineStr">
        <is>
          <t>언양</t>
        </is>
      </c>
      <c r="C2002" s="25" t="inlineStr">
        <is>
          <t>S39-H서</t>
        </is>
      </c>
      <c r="D2002" s="25" t="inlineStr">
        <is>
          <t>측정</t>
        </is>
      </c>
      <c r="E2002" s="25" t="inlineStr">
        <is>
          <t>서</t>
        </is>
      </c>
      <c r="F2002" s="30" t="n">
        <v>7</v>
      </c>
      <c r="G2002" s="29" t="n"/>
      <c r="H2002" s="42" t="n"/>
      <c r="I2002" s="40" t="n"/>
      <c r="J2002" s="40" t="n"/>
      <c r="K2002" s="40" t="n"/>
      <c r="L2002" s="30">
        <f>IF(COUNT(I2002:K2002)=0,"",MEDIAN(I2002:K2002))</f>
        <v/>
      </c>
      <c r="M2002" s="25">
        <f>IF(COUNTIFS($C:$C,$C2002,$D:$D,"P0(전)",$L:$L,"&gt;0")&lt;&gt;1,"P0(전) 유효 1개 아님",IF(COUNTIFS($C:$C,$C2002,$D:$D,"P0(후)",$L:$L,"&gt;0")&lt;&gt;1,"P0(후) 유효 1개 아님",IF(NOT(AND(ISNUMBER(N2002),ISNUMBER(P2002),ISNUMBER(H2002))),"시각 결측",IF(P2002&lt;=N2002,"P0 시각 역전",IF(OR(H2002&lt;N2002,H2002&gt;P2002),"측정시각 구간 밖","OK")))))</f>
        <v/>
      </c>
      <c r="N2002" s="45">
        <f>IF(COUNTIFS($C:$C,$C2002,$D:$D,"P0(전)",$L:$L,"&gt;0")&lt;&gt;1,"",SUMIFS($H:$H,$C:$C,$C2002,$D:$D,"P0(전)"))</f>
        <v/>
      </c>
      <c r="O2002" s="30">
        <f>IF(COUNTIFS($C:$C,$C2002,$D:$D,"P0(전)",$L:$L,"&gt;0")&lt;&gt;1,"",SUMIFS($L:$L,$C:$C,$C2002,$D:$D,"P0(전)"))</f>
        <v/>
      </c>
      <c r="P2002" s="45">
        <f>IF(COUNTIFS($C:$C,$C2002,$D:$D,"P0(후)",$L:$L,"&gt;0")&lt;&gt;1,"",SUMIFS($H:$H,$C:$C,$C2002,$D:$D,"P0(후)"))</f>
        <v/>
      </c>
      <c r="Q2002" s="30">
        <f>IF(COUNTIFS($C:$C,$C2002,$D:$D,"P0(후)",$L:$L,"&gt;0")&lt;&gt;1,"",SUMIFS($L:$L,$C:$C,$C2002,$D:$D,"P0(후)"))</f>
        <v/>
      </c>
      <c r="R2002" s="30">
        <f>IF(M2002&lt;&gt;"OK","",O2002+(Q2002-O2002)*(H2002-N2002)/(P2002-N2002))</f>
        <v/>
      </c>
      <c r="S2002" s="30">
        <f>IF(OR(M2002&lt;&gt;"OK",NOT(ISNUMBER(L2002))),"",L2002-R2002)</f>
        <v/>
      </c>
      <c r="T2002" s="46">
        <f>IF(OR(NOT(ISNUMBER(S2002)),IF(ISNUMBER(G2002),G2002,F2002)=0),"",S2002/IF(ISNUMBER(G2002),G2002,F2002))</f>
        <v/>
      </c>
      <c r="U2002" s="46">
        <f>IF(ISNUMBER(T2002),ABS(T2002),"")</f>
        <v/>
      </c>
      <c r="V2002" s="46">
        <f>IF(OR($D2001&lt;&gt;"측정",$C2001&lt;&gt;$C2002,NOT(ISNUMBER(L2002)),NOT(ISNUMBER(L2001)),(IF(ISNUMBER(G2002),G2002,F2002)-IF(ISNUMBER(G2001),G2001,F2001))=0),"",(L2002-L2001)/(IF(ISNUMBER(G2002),G2002,F2002)-IF(ISNUMBER(G2001),G2001,F2001)))</f>
        <v/>
      </c>
      <c r="W2002" s="30">
        <f>IF(NOT(AND(ISNUMBER(N2002),ISNUMBER(P2002))),"",(P2002-N2002)*1440)</f>
        <v/>
      </c>
      <c r="X2002" s="28" t="n"/>
      <c r="Y2002" s="28" t="n"/>
      <c r="Z2002" s="28" t="n"/>
      <c r="AA2002" s="31" t="n"/>
      <c r="AB2002" s="31" t="n"/>
    </row>
    <row r="2003">
      <c r="A2003" s="25" t="inlineStr">
        <is>
          <t>S39</t>
        </is>
      </c>
      <c r="B2003" s="25" t="inlineStr">
        <is>
          <t>언양</t>
        </is>
      </c>
      <c r="C2003" s="25" t="inlineStr">
        <is>
          <t>S39-H서</t>
        </is>
      </c>
      <c r="D2003" s="25" t="inlineStr">
        <is>
          <t>측정</t>
        </is>
      </c>
      <c r="E2003" s="25" t="inlineStr">
        <is>
          <t>서</t>
        </is>
      </c>
      <c r="F2003" s="30" t="n">
        <v>8</v>
      </c>
      <c r="G2003" s="29" t="n"/>
      <c r="H2003" s="42" t="n"/>
      <c r="I2003" s="40" t="n"/>
      <c r="J2003" s="40" t="n"/>
      <c r="K2003" s="40" t="n"/>
      <c r="L2003" s="30">
        <f>IF(COUNT(I2003:K2003)=0,"",MEDIAN(I2003:K2003))</f>
        <v/>
      </c>
      <c r="M2003" s="25">
        <f>IF(COUNTIFS($C:$C,$C2003,$D:$D,"P0(전)",$L:$L,"&gt;0")&lt;&gt;1,"P0(전) 유효 1개 아님",IF(COUNTIFS($C:$C,$C2003,$D:$D,"P0(후)",$L:$L,"&gt;0")&lt;&gt;1,"P0(후) 유효 1개 아님",IF(NOT(AND(ISNUMBER(N2003),ISNUMBER(P2003),ISNUMBER(H2003))),"시각 결측",IF(P2003&lt;=N2003,"P0 시각 역전",IF(OR(H2003&lt;N2003,H2003&gt;P2003),"측정시각 구간 밖","OK")))))</f>
        <v/>
      </c>
      <c r="N2003" s="45">
        <f>IF(COUNTIFS($C:$C,$C2003,$D:$D,"P0(전)",$L:$L,"&gt;0")&lt;&gt;1,"",SUMIFS($H:$H,$C:$C,$C2003,$D:$D,"P0(전)"))</f>
        <v/>
      </c>
      <c r="O2003" s="30">
        <f>IF(COUNTIFS($C:$C,$C2003,$D:$D,"P0(전)",$L:$L,"&gt;0")&lt;&gt;1,"",SUMIFS($L:$L,$C:$C,$C2003,$D:$D,"P0(전)"))</f>
        <v/>
      </c>
      <c r="P2003" s="45">
        <f>IF(COUNTIFS($C:$C,$C2003,$D:$D,"P0(후)",$L:$L,"&gt;0")&lt;&gt;1,"",SUMIFS($H:$H,$C:$C,$C2003,$D:$D,"P0(후)"))</f>
        <v/>
      </c>
      <c r="Q2003" s="30">
        <f>IF(COUNTIFS($C:$C,$C2003,$D:$D,"P0(후)",$L:$L,"&gt;0")&lt;&gt;1,"",SUMIFS($L:$L,$C:$C,$C2003,$D:$D,"P0(후)"))</f>
        <v/>
      </c>
      <c r="R2003" s="30">
        <f>IF(M2003&lt;&gt;"OK","",O2003+(Q2003-O2003)*(H2003-N2003)/(P2003-N2003))</f>
        <v/>
      </c>
      <c r="S2003" s="30">
        <f>IF(OR(M2003&lt;&gt;"OK",NOT(ISNUMBER(L2003))),"",L2003-R2003)</f>
        <v/>
      </c>
      <c r="T2003" s="46">
        <f>IF(OR(NOT(ISNUMBER(S2003)),IF(ISNUMBER(G2003),G2003,F2003)=0),"",S2003/IF(ISNUMBER(G2003),G2003,F2003))</f>
        <v/>
      </c>
      <c r="U2003" s="46">
        <f>IF(ISNUMBER(T2003),ABS(T2003),"")</f>
        <v/>
      </c>
      <c r="V2003" s="46">
        <f>IF(OR($D2002&lt;&gt;"측정",$C2002&lt;&gt;$C2003,NOT(ISNUMBER(L2003)),NOT(ISNUMBER(L2002)),(IF(ISNUMBER(G2003),G2003,F2003)-IF(ISNUMBER(G2002),G2002,F2002))=0),"",(L2003-L2002)/(IF(ISNUMBER(G2003),G2003,F2003)-IF(ISNUMBER(G2002),G2002,F2002)))</f>
        <v/>
      </c>
      <c r="W2003" s="30">
        <f>IF(NOT(AND(ISNUMBER(N2003),ISNUMBER(P2003))),"",(P2003-N2003)*1440)</f>
        <v/>
      </c>
      <c r="X2003" s="28" t="n"/>
      <c r="Y2003" s="28" t="n"/>
      <c r="Z2003" s="28" t="n"/>
      <c r="AA2003" s="31" t="n"/>
      <c r="AB2003" s="31" t="n"/>
    </row>
    <row r="2004">
      <c r="A2004" s="25" t="inlineStr">
        <is>
          <t>S39</t>
        </is>
      </c>
      <c r="B2004" s="25" t="inlineStr">
        <is>
          <t>언양</t>
        </is>
      </c>
      <c r="C2004" s="25" t="inlineStr">
        <is>
          <t>S39-H서</t>
        </is>
      </c>
      <c r="D2004" s="25" t="inlineStr">
        <is>
          <t>측정</t>
        </is>
      </c>
      <c r="E2004" s="25" t="inlineStr">
        <is>
          <t>서</t>
        </is>
      </c>
      <c r="F2004" s="30" t="n">
        <v>9</v>
      </c>
      <c r="G2004" s="29" t="n"/>
      <c r="H2004" s="42" t="n"/>
      <c r="I2004" s="40" t="n"/>
      <c r="J2004" s="40" t="n"/>
      <c r="K2004" s="40" t="n"/>
      <c r="L2004" s="30">
        <f>IF(COUNT(I2004:K2004)=0,"",MEDIAN(I2004:K2004))</f>
        <v/>
      </c>
      <c r="M2004" s="25">
        <f>IF(COUNTIFS($C:$C,$C2004,$D:$D,"P0(전)",$L:$L,"&gt;0")&lt;&gt;1,"P0(전) 유효 1개 아님",IF(COUNTIFS($C:$C,$C2004,$D:$D,"P0(후)",$L:$L,"&gt;0")&lt;&gt;1,"P0(후) 유효 1개 아님",IF(NOT(AND(ISNUMBER(N2004),ISNUMBER(P2004),ISNUMBER(H2004))),"시각 결측",IF(P2004&lt;=N2004,"P0 시각 역전",IF(OR(H2004&lt;N2004,H2004&gt;P2004),"측정시각 구간 밖","OK")))))</f>
        <v/>
      </c>
      <c r="N2004" s="45">
        <f>IF(COUNTIFS($C:$C,$C2004,$D:$D,"P0(전)",$L:$L,"&gt;0")&lt;&gt;1,"",SUMIFS($H:$H,$C:$C,$C2004,$D:$D,"P0(전)"))</f>
        <v/>
      </c>
      <c r="O2004" s="30">
        <f>IF(COUNTIFS($C:$C,$C2004,$D:$D,"P0(전)",$L:$L,"&gt;0")&lt;&gt;1,"",SUMIFS($L:$L,$C:$C,$C2004,$D:$D,"P0(전)"))</f>
        <v/>
      </c>
      <c r="P2004" s="45">
        <f>IF(COUNTIFS($C:$C,$C2004,$D:$D,"P0(후)",$L:$L,"&gt;0")&lt;&gt;1,"",SUMIFS($H:$H,$C:$C,$C2004,$D:$D,"P0(후)"))</f>
        <v/>
      </c>
      <c r="Q2004" s="30">
        <f>IF(COUNTIFS($C:$C,$C2004,$D:$D,"P0(후)",$L:$L,"&gt;0")&lt;&gt;1,"",SUMIFS($L:$L,$C:$C,$C2004,$D:$D,"P0(후)"))</f>
        <v/>
      </c>
      <c r="R2004" s="30">
        <f>IF(M2004&lt;&gt;"OK","",O2004+(Q2004-O2004)*(H2004-N2004)/(P2004-N2004))</f>
        <v/>
      </c>
      <c r="S2004" s="30">
        <f>IF(OR(M2004&lt;&gt;"OK",NOT(ISNUMBER(L2004))),"",L2004-R2004)</f>
        <v/>
      </c>
      <c r="T2004" s="46">
        <f>IF(OR(NOT(ISNUMBER(S2004)),IF(ISNUMBER(G2004),G2004,F2004)=0),"",S2004/IF(ISNUMBER(G2004),G2004,F2004))</f>
        <v/>
      </c>
      <c r="U2004" s="46">
        <f>IF(ISNUMBER(T2004),ABS(T2004),"")</f>
        <v/>
      </c>
      <c r="V2004" s="46">
        <f>IF(OR($D2003&lt;&gt;"측정",$C2003&lt;&gt;$C2004,NOT(ISNUMBER(L2004)),NOT(ISNUMBER(L2003)),(IF(ISNUMBER(G2004),G2004,F2004)-IF(ISNUMBER(G2003),G2003,F2003))=0),"",(L2004-L2003)/(IF(ISNUMBER(G2004),G2004,F2004)-IF(ISNUMBER(G2003),G2003,F2003)))</f>
        <v/>
      </c>
      <c r="W2004" s="30">
        <f>IF(NOT(AND(ISNUMBER(N2004),ISNUMBER(P2004))),"",(P2004-N2004)*1440)</f>
        <v/>
      </c>
      <c r="X2004" s="28" t="n"/>
      <c r="Y2004" s="28" t="n"/>
      <c r="Z2004" s="28" t="n"/>
      <c r="AA2004" s="31" t="n"/>
      <c r="AB2004" s="31" t="n"/>
    </row>
    <row r="2005">
      <c r="A2005" s="25" t="inlineStr">
        <is>
          <t>S39</t>
        </is>
      </c>
      <c r="B2005" s="25" t="inlineStr">
        <is>
          <t>언양</t>
        </is>
      </c>
      <c r="C2005" s="25" t="inlineStr">
        <is>
          <t>S39-H서</t>
        </is>
      </c>
      <c r="D2005" s="25" t="inlineStr">
        <is>
          <t>측정</t>
        </is>
      </c>
      <c r="E2005" s="25" t="inlineStr">
        <is>
          <t>서</t>
        </is>
      </c>
      <c r="F2005" s="30" t="n">
        <v>10</v>
      </c>
      <c r="G2005" s="29" t="n"/>
      <c r="H2005" s="42" t="n"/>
      <c r="I2005" s="40" t="n"/>
      <c r="J2005" s="40" t="n"/>
      <c r="K2005" s="40" t="n"/>
      <c r="L2005" s="30">
        <f>IF(COUNT(I2005:K2005)=0,"",MEDIAN(I2005:K2005))</f>
        <v/>
      </c>
      <c r="M2005" s="25">
        <f>IF(COUNTIFS($C:$C,$C2005,$D:$D,"P0(전)",$L:$L,"&gt;0")&lt;&gt;1,"P0(전) 유효 1개 아님",IF(COUNTIFS($C:$C,$C2005,$D:$D,"P0(후)",$L:$L,"&gt;0")&lt;&gt;1,"P0(후) 유효 1개 아님",IF(NOT(AND(ISNUMBER(N2005),ISNUMBER(P2005),ISNUMBER(H2005))),"시각 결측",IF(P2005&lt;=N2005,"P0 시각 역전",IF(OR(H2005&lt;N2005,H2005&gt;P2005),"측정시각 구간 밖","OK")))))</f>
        <v/>
      </c>
      <c r="N2005" s="45">
        <f>IF(COUNTIFS($C:$C,$C2005,$D:$D,"P0(전)",$L:$L,"&gt;0")&lt;&gt;1,"",SUMIFS($H:$H,$C:$C,$C2005,$D:$D,"P0(전)"))</f>
        <v/>
      </c>
      <c r="O2005" s="30">
        <f>IF(COUNTIFS($C:$C,$C2005,$D:$D,"P0(전)",$L:$L,"&gt;0")&lt;&gt;1,"",SUMIFS($L:$L,$C:$C,$C2005,$D:$D,"P0(전)"))</f>
        <v/>
      </c>
      <c r="P2005" s="45">
        <f>IF(COUNTIFS($C:$C,$C2005,$D:$D,"P0(후)",$L:$L,"&gt;0")&lt;&gt;1,"",SUMIFS($H:$H,$C:$C,$C2005,$D:$D,"P0(후)"))</f>
        <v/>
      </c>
      <c r="Q2005" s="30">
        <f>IF(COUNTIFS($C:$C,$C2005,$D:$D,"P0(후)",$L:$L,"&gt;0")&lt;&gt;1,"",SUMIFS($L:$L,$C:$C,$C2005,$D:$D,"P0(후)"))</f>
        <v/>
      </c>
      <c r="R2005" s="30">
        <f>IF(M2005&lt;&gt;"OK","",O2005+(Q2005-O2005)*(H2005-N2005)/(P2005-N2005))</f>
        <v/>
      </c>
      <c r="S2005" s="30">
        <f>IF(OR(M2005&lt;&gt;"OK",NOT(ISNUMBER(L2005))),"",L2005-R2005)</f>
        <v/>
      </c>
      <c r="T2005" s="46">
        <f>IF(OR(NOT(ISNUMBER(S2005)),IF(ISNUMBER(G2005),G2005,F2005)=0),"",S2005/IF(ISNUMBER(G2005),G2005,F2005))</f>
        <v/>
      </c>
      <c r="U2005" s="46">
        <f>IF(ISNUMBER(T2005),ABS(T2005),"")</f>
        <v/>
      </c>
      <c r="V2005" s="46">
        <f>IF(OR($D2004&lt;&gt;"측정",$C2004&lt;&gt;$C2005,NOT(ISNUMBER(L2005)),NOT(ISNUMBER(L2004)),(IF(ISNUMBER(G2005),G2005,F2005)-IF(ISNUMBER(G2004),G2004,F2004))=0),"",(L2005-L2004)/(IF(ISNUMBER(G2005),G2005,F2005)-IF(ISNUMBER(G2004),G2004,F2004)))</f>
        <v/>
      </c>
      <c r="W2005" s="30">
        <f>IF(NOT(AND(ISNUMBER(N2005),ISNUMBER(P2005))),"",(P2005-N2005)*1440)</f>
        <v/>
      </c>
      <c r="X2005" s="28" t="n"/>
      <c r="Y2005" s="28" t="n"/>
      <c r="Z2005" s="28" t="n"/>
      <c r="AA2005" s="31" t="n"/>
      <c r="AB2005" s="31" t="n"/>
    </row>
    <row r="2006">
      <c r="A2006" s="43" t="inlineStr">
        <is>
          <t>S39</t>
        </is>
      </c>
      <c r="B2006" s="43" t="inlineStr">
        <is>
          <t>언양</t>
        </is>
      </c>
      <c r="C2006" s="43" t="inlineStr">
        <is>
          <t>S39-H서</t>
        </is>
      </c>
      <c r="D2006" s="43" t="inlineStr">
        <is>
          <t>P0(후)</t>
        </is>
      </c>
      <c r="E2006" s="43" t="inlineStr">
        <is>
          <t>서</t>
        </is>
      </c>
      <c r="F2006" s="44" t="n"/>
      <c r="G2006" s="29" t="n"/>
      <c r="H2006" s="42" t="n"/>
      <c r="I2006" s="40" t="n"/>
      <c r="J2006" s="40" t="n"/>
      <c r="K2006" s="40" t="n"/>
      <c r="L2006" s="30">
        <f>IF(COUNT(I2006:K2006)=0,"",MEDIAN(I2006:K2006))</f>
        <v/>
      </c>
      <c r="M2006" s="37" t="n"/>
      <c r="N2006" s="37" t="n"/>
      <c r="O2006" s="37" t="n"/>
      <c r="P2006" s="37" t="n"/>
      <c r="Q2006" s="37" t="n"/>
      <c r="R2006" s="37" t="n"/>
      <c r="S2006" s="37" t="n"/>
      <c r="T2006" s="37" t="n"/>
      <c r="U2006" s="37" t="n"/>
      <c r="V2006" s="37" t="n"/>
      <c r="W2006" s="37" t="n"/>
      <c r="X2006" s="28" t="n"/>
      <c r="Y2006" s="28" t="n"/>
      <c r="Z2006" s="28" t="n"/>
      <c r="AA2006" s="31" t="n"/>
      <c r="AB2006" s="31" t="n"/>
    </row>
    <row r="2007">
      <c r="A2007" s="43" t="inlineStr">
        <is>
          <t>S39</t>
        </is>
      </c>
      <c r="B2007" s="43" t="inlineStr">
        <is>
          <t>언양</t>
        </is>
      </c>
      <c r="C2007" s="43" t="inlineStr">
        <is>
          <t>S39-H남</t>
        </is>
      </c>
      <c r="D2007" s="43" t="inlineStr">
        <is>
          <t>P0(전)</t>
        </is>
      </c>
      <c r="E2007" s="43" t="inlineStr">
        <is>
          <t>남</t>
        </is>
      </c>
      <c r="F2007" s="44" t="n"/>
      <c r="G2007" s="29" t="n"/>
      <c r="H2007" s="42" t="n"/>
      <c r="I2007" s="40" t="n"/>
      <c r="J2007" s="40" t="n"/>
      <c r="K2007" s="40" t="n"/>
      <c r="L2007" s="30">
        <f>IF(COUNT(I2007:K2007)=0,"",MEDIAN(I2007:K2007))</f>
        <v/>
      </c>
      <c r="M2007" s="37" t="n"/>
      <c r="N2007" s="37" t="n"/>
      <c r="O2007" s="37" t="n"/>
      <c r="P2007" s="37" t="n"/>
      <c r="Q2007" s="37" t="n"/>
      <c r="R2007" s="37" t="n"/>
      <c r="S2007" s="37" t="n"/>
      <c r="T2007" s="37" t="n"/>
      <c r="U2007" s="37" t="n"/>
      <c r="V2007" s="37" t="n"/>
      <c r="W2007" s="37" t="n"/>
      <c r="X2007" s="28" t="n"/>
      <c r="Y2007" s="28" t="n"/>
      <c r="Z2007" s="28" t="n"/>
      <c r="AA2007" s="31" t="n"/>
      <c r="AB2007" s="31" t="n"/>
    </row>
    <row r="2008">
      <c r="A2008" s="25" t="inlineStr">
        <is>
          <t>S39</t>
        </is>
      </c>
      <c r="B2008" s="25" t="inlineStr">
        <is>
          <t>언양</t>
        </is>
      </c>
      <c r="C2008" s="25" t="inlineStr">
        <is>
          <t>S39-H남</t>
        </is>
      </c>
      <c r="D2008" s="25" t="inlineStr">
        <is>
          <t>측정</t>
        </is>
      </c>
      <c r="E2008" s="25" t="inlineStr">
        <is>
          <t>남</t>
        </is>
      </c>
      <c r="F2008" s="30" t="n">
        <v>0.5</v>
      </c>
      <c r="G2008" s="29" t="n"/>
      <c r="H2008" s="42" t="n"/>
      <c r="I2008" s="40" t="n"/>
      <c r="J2008" s="40" t="n"/>
      <c r="K2008" s="40" t="n"/>
      <c r="L2008" s="30">
        <f>IF(COUNT(I2008:K2008)=0,"",MEDIAN(I2008:K2008))</f>
        <v/>
      </c>
      <c r="M2008" s="25">
        <f>IF(COUNTIFS($C:$C,$C2008,$D:$D,"P0(전)",$L:$L,"&gt;0")&lt;&gt;1,"P0(전) 유효 1개 아님",IF(COUNTIFS($C:$C,$C2008,$D:$D,"P0(후)",$L:$L,"&gt;0")&lt;&gt;1,"P0(후) 유효 1개 아님",IF(NOT(AND(ISNUMBER(N2008),ISNUMBER(P2008),ISNUMBER(H2008))),"시각 결측",IF(P2008&lt;=N2008,"P0 시각 역전",IF(OR(H2008&lt;N2008,H2008&gt;P2008),"측정시각 구간 밖","OK")))))</f>
        <v/>
      </c>
      <c r="N2008" s="45">
        <f>IF(COUNTIFS($C:$C,$C2008,$D:$D,"P0(전)",$L:$L,"&gt;0")&lt;&gt;1,"",SUMIFS($H:$H,$C:$C,$C2008,$D:$D,"P0(전)"))</f>
        <v/>
      </c>
      <c r="O2008" s="30">
        <f>IF(COUNTIFS($C:$C,$C2008,$D:$D,"P0(전)",$L:$L,"&gt;0")&lt;&gt;1,"",SUMIFS($L:$L,$C:$C,$C2008,$D:$D,"P0(전)"))</f>
        <v/>
      </c>
      <c r="P2008" s="45">
        <f>IF(COUNTIFS($C:$C,$C2008,$D:$D,"P0(후)",$L:$L,"&gt;0")&lt;&gt;1,"",SUMIFS($H:$H,$C:$C,$C2008,$D:$D,"P0(후)"))</f>
        <v/>
      </c>
      <c r="Q2008" s="30">
        <f>IF(COUNTIFS($C:$C,$C2008,$D:$D,"P0(후)",$L:$L,"&gt;0")&lt;&gt;1,"",SUMIFS($L:$L,$C:$C,$C2008,$D:$D,"P0(후)"))</f>
        <v/>
      </c>
      <c r="R2008" s="30">
        <f>IF(M2008&lt;&gt;"OK","",O2008+(Q2008-O2008)*(H2008-N2008)/(P2008-N2008))</f>
        <v/>
      </c>
      <c r="S2008" s="30">
        <f>IF(OR(M2008&lt;&gt;"OK",NOT(ISNUMBER(L2008))),"",L2008-R2008)</f>
        <v/>
      </c>
      <c r="T2008" s="46">
        <f>IF(OR(NOT(ISNUMBER(S2008)),IF(ISNUMBER(G2008),G2008,F2008)=0),"",S2008/IF(ISNUMBER(G2008),G2008,F2008))</f>
        <v/>
      </c>
      <c r="U2008" s="46">
        <f>IF(ISNUMBER(T2008),ABS(T2008),"")</f>
        <v/>
      </c>
      <c r="V2008" s="46">
        <f>IF(OR($D2007&lt;&gt;"측정",$C2007&lt;&gt;$C2008,NOT(ISNUMBER(L2008)),NOT(ISNUMBER(L2007)),(IF(ISNUMBER(G2008),G2008,F2008)-IF(ISNUMBER(G2007),G2007,F2007))=0),"",(L2008-L2007)/(IF(ISNUMBER(G2008),G2008,F2008)-IF(ISNUMBER(G2007),G2007,F2007)))</f>
        <v/>
      </c>
      <c r="W2008" s="30">
        <f>IF(NOT(AND(ISNUMBER(N2008),ISNUMBER(P2008))),"",(P2008-N2008)*1440)</f>
        <v/>
      </c>
      <c r="X2008" s="28" t="n"/>
      <c r="Y2008" s="28" t="n"/>
      <c r="Z2008" s="28" t="n"/>
      <c r="AA2008" s="31" t="n"/>
      <c r="AB2008" s="31" t="n"/>
    </row>
    <row r="2009">
      <c r="A2009" s="25" t="inlineStr">
        <is>
          <t>S39</t>
        </is>
      </c>
      <c r="B2009" s="25" t="inlineStr">
        <is>
          <t>언양</t>
        </is>
      </c>
      <c r="C2009" s="25" t="inlineStr">
        <is>
          <t>S39-H남</t>
        </is>
      </c>
      <c r="D2009" s="25" t="inlineStr">
        <is>
          <t>측정</t>
        </is>
      </c>
      <c r="E2009" s="25" t="inlineStr">
        <is>
          <t>남</t>
        </is>
      </c>
      <c r="F2009" s="30" t="n">
        <v>1</v>
      </c>
      <c r="G2009" s="29" t="n"/>
      <c r="H2009" s="42" t="n"/>
      <c r="I2009" s="40" t="n"/>
      <c r="J2009" s="40" t="n"/>
      <c r="K2009" s="40" t="n"/>
      <c r="L2009" s="30">
        <f>IF(COUNT(I2009:K2009)=0,"",MEDIAN(I2009:K2009))</f>
        <v/>
      </c>
      <c r="M2009" s="25">
        <f>IF(COUNTIFS($C:$C,$C2009,$D:$D,"P0(전)",$L:$L,"&gt;0")&lt;&gt;1,"P0(전) 유효 1개 아님",IF(COUNTIFS($C:$C,$C2009,$D:$D,"P0(후)",$L:$L,"&gt;0")&lt;&gt;1,"P0(후) 유효 1개 아님",IF(NOT(AND(ISNUMBER(N2009),ISNUMBER(P2009),ISNUMBER(H2009))),"시각 결측",IF(P2009&lt;=N2009,"P0 시각 역전",IF(OR(H2009&lt;N2009,H2009&gt;P2009),"측정시각 구간 밖","OK")))))</f>
        <v/>
      </c>
      <c r="N2009" s="45">
        <f>IF(COUNTIFS($C:$C,$C2009,$D:$D,"P0(전)",$L:$L,"&gt;0")&lt;&gt;1,"",SUMIFS($H:$H,$C:$C,$C2009,$D:$D,"P0(전)"))</f>
        <v/>
      </c>
      <c r="O2009" s="30">
        <f>IF(COUNTIFS($C:$C,$C2009,$D:$D,"P0(전)",$L:$L,"&gt;0")&lt;&gt;1,"",SUMIFS($L:$L,$C:$C,$C2009,$D:$D,"P0(전)"))</f>
        <v/>
      </c>
      <c r="P2009" s="45">
        <f>IF(COUNTIFS($C:$C,$C2009,$D:$D,"P0(후)",$L:$L,"&gt;0")&lt;&gt;1,"",SUMIFS($H:$H,$C:$C,$C2009,$D:$D,"P0(후)"))</f>
        <v/>
      </c>
      <c r="Q2009" s="30">
        <f>IF(COUNTIFS($C:$C,$C2009,$D:$D,"P0(후)",$L:$L,"&gt;0")&lt;&gt;1,"",SUMIFS($L:$L,$C:$C,$C2009,$D:$D,"P0(후)"))</f>
        <v/>
      </c>
      <c r="R2009" s="30">
        <f>IF(M2009&lt;&gt;"OK","",O2009+(Q2009-O2009)*(H2009-N2009)/(P2009-N2009))</f>
        <v/>
      </c>
      <c r="S2009" s="30">
        <f>IF(OR(M2009&lt;&gt;"OK",NOT(ISNUMBER(L2009))),"",L2009-R2009)</f>
        <v/>
      </c>
      <c r="T2009" s="46">
        <f>IF(OR(NOT(ISNUMBER(S2009)),IF(ISNUMBER(G2009),G2009,F2009)=0),"",S2009/IF(ISNUMBER(G2009),G2009,F2009))</f>
        <v/>
      </c>
      <c r="U2009" s="46">
        <f>IF(ISNUMBER(T2009),ABS(T2009),"")</f>
        <v/>
      </c>
      <c r="V2009" s="46">
        <f>IF(OR($D2008&lt;&gt;"측정",$C2008&lt;&gt;$C2009,NOT(ISNUMBER(L2009)),NOT(ISNUMBER(L2008)),(IF(ISNUMBER(G2009),G2009,F2009)-IF(ISNUMBER(G2008),G2008,F2008))=0),"",(L2009-L2008)/(IF(ISNUMBER(G2009),G2009,F2009)-IF(ISNUMBER(G2008),G2008,F2008)))</f>
        <v/>
      </c>
      <c r="W2009" s="30">
        <f>IF(NOT(AND(ISNUMBER(N2009),ISNUMBER(P2009))),"",(P2009-N2009)*1440)</f>
        <v/>
      </c>
      <c r="X2009" s="28" t="n"/>
      <c r="Y2009" s="28" t="n"/>
      <c r="Z2009" s="28" t="n"/>
      <c r="AA2009" s="31" t="n"/>
      <c r="AB2009" s="31" t="n"/>
    </row>
    <row r="2010">
      <c r="A2010" s="25" t="inlineStr">
        <is>
          <t>S39</t>
        </is>
      </c>
      <c r="B2010" s="25" t="inlineStr">
        <is>
          <t>언양</t>
        </is>
      </c>
      <c r="C2010" s="25" t="inlineStr">
        <is>
          <t>S39-H남</t>
        </is>
      </c>
      <c r="D2010" s="25" t="inlineStr">
        <is>
          <t>측정</t>
        </is>
      </c>
      <c r="E2010" s="25" t="inlineStr">
        <is>
          <t>남</t>
        </is>
      </c>
      <c r="F2010" s="30" t="n">
        <v>2</v>
      </c>
      <c r="G2010" s="29" t="n"/>
      <c r="H2010" s="42" t="n"/>
      <c r="I2010" s="40" t="n"/>
      <c r="J2010" s="40" t="n"/>
      <c r="K2010" s="40" t="n"/>
      <c r="L2010" s="30">
        <f>IF(COUNT(I2010:K2010)=0,"",MEDIAN(I2010:K2010))</f>
        <v/>
      </c>
      <c r="M2010" s="25">
        <f>IF(COUNTIFS($C:$C,$C2010,$D:$D,"P0(전)",$L:$L,"&gt;0")&lt;&gt;1,"P0(전) 유효 1개 아님",IF(COUNTIFS($C:$C,$C2010,$D:$D,"P0(후)",$L:$L,"&gt;0")&lt;&gt;1,"P0(후) 유효 1개 아님",IF(NOT(AND(ISNUMBER(N2010),ISNUMBER(P2010),ISNUMBER(H2010))),"시각 결측",IF(P2010&lt;=N2010,"P0 시각 역전",IF(OR(H2010&lt;N2010,H2010&gt;P2010),"측정시각 구간 밖","OK")))))</f>
        <v/>
      </c>
      <c r="N2010" s="45">
        <f>IF(COUNTIFS($C:$C,$C2010,$D:$D,"P0(전)",$L:$L,"&gt;0")&lt;&gt;1,"",SUMIFS($H:$H,$C:$C,$C2010,$D:$D,"P0(전)"))</f>
        <v/>
      </c>
      <c r="O2010" s="30">
        <f>IF(COUNTIFS($C:$C,$C2010,$D:$D,"P0(전)",$L:$L,"&gt;0")&lt;&gt;1,"",SUMIFS($L:$L,$C:$C,$C2010,$D:$D,"P0(전)"))</f>
        <v/>
      </c>
      <c r="P2010" s="45">
        <f>IF(COUNTIFS($C:$C,$C2010,$D:$D,"P0(후)",$L:$L,"&gt;0")&lt;&gt;1,"",SUMIFS($H:$H,$C:$C,$C2010,$D:$D,"P0(후)"))</f>
        <v/>
      </c>
      <c r="Q2010" s="30">
        <f>IF(COUNTIFS($C:$C,$C2010,$D:$D,"P0(후)",$L:$L,"&gt;0")&lt;&gt;1,"",SUMIFS($L:$L,$C:$C,$C2010,$D:$D,"P0(후)"))</f>
        <v/>
      </c>
      <c r="R2010" s="30">
        <f>IF(M2010&lt;&gt;"OK","",O2010+(Q2010-O2010)*(H2010-N2010)/(P2010-N2010))</f>
        <v/>
      </c>
      <c r="S2010" s="30">
        <f>IF(OR(M2010&lt;&gt;"OK",NOT(ISNUMBER(L2010))),"",L2010-R2010)</f>
        <v/>
      </c>
      <c r="T2010" s="46">
        <f>IF(OR(NOT(ISNUMBER(S2010)),IF(ISNUMBER(G2010),G2010,F2010)=0),"",S2010/IF(ISNUMBER(G2010),G2010,F2010))</f>
        <v/>
      </c>
      <c r="U2010" s="46">
        <f>IF(ISNUMBER(T2010),ABS(T2010),"")</f>
        <v/>
      </c>
      <c r="V2010" s="46">
        <f>IF(OR($D2009&lt;&gt;"측정",$C2009&lt;&gt;$C2010,NOT(ISNUMBER(L2010)),NOT(ISNUMBER(L2009)),(IF(ISNUMBER(G2010),G2010,F2010)-IF(ISNUMBER(G2009),G2009,F2009))=0),"",(L2010-L2009)/(IF(ISNUMBER(G2010),G2010,F2010)-IF(ISNUMBER(G2009),G2009,F2009)))</f>
        <v/>
      </c>
      <c r="W2010" s="30">
        <f>IF(NOT(AND(ISNUMBER(N2010),ISNUMBER(P2010))),"",(P2010-N2010)*1440)</f>
        <v/>
      </c>
      <c r="X2010" s="28" t="n"/>
      <c r="Y2010" s="28" t="n"/>
      <c r="Z2010" s="28" t="n"/>
      <c r="AA2010" s="31" t="n"/>
      <c r="AB2010" s="31" t="n"/>
    </row>
    <row r="2011">
      <c r="A2011" s="25" t="inlineStr">
        <is>
          <t>S39</t>
        </is>
      </c>
      <c r="B2011" s="25" t="inlineStr">
        <is>
          <t>언양</t>
        </is>
      </c>
      <c r="C2011" s="25" t="inlineStr">
        <is>
          <t>S39-H남</t>
        </is>
      </c>
      <c r="D2011" s="25" t="inlineStr">
        <is>
          <t>측정</t>
        </is>
      </c>
      <c r="E2011" s="25" t="inlineStr">
        <is>
          <t>남</t>
        </is>
      </c>
      <c r="F2011" s="30" t="n">
        <v>3</v>
      </c>
      <c r="G2011" s="29" t="n"/>
      <c r="H2011" s="42" t="n"/>
      <c r="I2011" s="40" t="n"/>
      <c r="J2011" s="40" t="n"/>
      <c r="K2011" s="40" t="n"/>
      <c r="L2011" s="30">
        <f>IF(COUNT(I2011:K2011)=0,"",MEDIAN(I2011:K2011))</f>
        <v/>
      </c>
      <c r="M2011" s="25">
        <f>IF(COUNTIFS($C:$C,$C2011,$D:$D,"P0(전)",$L:$L,"&gt;0")&lt;&gt;1,"P0(전) 유효 1개 아님",IF(COUNTIFS($C:$C,$C2011,$D:$D,"P0(후)",$L:$L,"&gt;0")&lt;&gt;1,"P0(후) 유효 1개 아님",IF(NOT(AND(ISNUMBER(N2011),ISNUMBER(P2011),ISNUMBER(H2011))),"시각 결측",IF(P2011&lt;=N2011,"P0 시각 역전",IF(OR(H2011&lt;N2011,H2011&gt;P2011),"측정시각 구간 밖","OK")))))</f>
        <v/>
      </c>
      <c r="N2011" s="45">
        <f>IF(COUNTIFS($C:$C,$C2011,$D:$D,"P0(전)",$L:$L,"&gt;0")&lt;&gt;1,"",SUMIFS($H:$H,$C:$C,$C2011,$D:$D,"P0(전)"))</f>
        <v/>
      </c>
      <c r="O2011" s="30">
        <f>IF(COUNTIFS($C:$C,$C2011,$D:$D,"P0(전)",$L:$L,"&gt;0")&lt;&gt;1,"",SUMIFS($L:$L,$C:$C,$C2011,$D:$D,"P0(전)"))</f>
        <v/>
      </c>
      <c r="P2011" s="45">
        <f>IF(COUNTIFS($C:$C,$C2011,$D:$D,"P0(후)",$L:$L,"&gt;0")&lt;&gt;1,"",SUMIFS($H:$H,$C:$C,$C2011,$D:$D,"P0(후)"))</f>
        <v/>
      </c>
      <c r="Q2011" s="30">
        <f>IF(COUNTIFS($C:$C,$C2011,$D:$D,"P0(후)",$L:$L,"&gt;0")&lt;&gt;1,"",SUMIFS($L:$L,$C:$C,$C2011,$D:$D,"P0(후)"))</f>
        <v/>
      </c>
      <c r="R2011" s="30">
        <f>IF(M2011&lt;&gt;"OK","",O2011+(Q2011-O2011)*(H2011-N2011)/(P2011-N2011))</f>
        <v/>
      </c>
      <c r="S2011" s="30">
        <f>IF(OR(M2011&lt;&gt;"OK",NOT(ISNUMBER(L2011))),"",L2011-R2011)</f>
        <v/>
      </c>
      <c r="T2011" s="46">
        <f>IF(OR(NOT(ISNUMBER(S2011)),IF(ISNUMBER(G2011),G2011,F2011)=0),"",S2011/IF(ISNUMBER(G2011),G2011,F2011))</f>
        <v/>
      </c>
      <c r="U2011" s="46">
        <f>IF(ISNUMBER(T2011),ABS(T2011),"")</f>
        <v/>
      </c>
      <c r="V2011" s="46">
        <f>IF(OR($D2010&lt;&gt;"측정",$C2010&lt;&gt;$C2011,NOT(ISNUMBER(L2011)),NOT(ISNUMBER(L2010)),(IF(ISNUMBER(G2011),G2011,F2011)-IF(ISNUMBER(G2010),G2010,F2010))=0),"",(L2011-L2010)/(IF(ISNUMBER(G2011),G2011,F2011)-IF(ISNUMBER(G2010),G2010,F2010)))</f>
        <v/>
      </c>
      <c r="W2011" s="30">
        <f>IF(NOT(AND(ISNUMBER(N2011),ISNUMBER(P2011))),"",(P2011-N2011)*1440)</f>
        <v/>
      </c>
      <c r="X2011" s="28" t="n"/>
      <c r="Y2011" s="28" t="n"/>
      <c r="Z2011" s="28" t="n"/>
      <c r="AA2011" s="31" t="n"/>
      <c r="AB2011" s="31" t="n"/>
    </row>
    <row r="2012">
      <c r="A2012" s="25" t="inlineStr">
        <is>
          <t>S39</t>
        </is>
      </c>
      <c r="B2012" s="25" t="inlineStr">
        <is>
          <t>언양</t>
        </is>
      </c>
      <c r="C2012" s="25" t="inlineStr">
        <is>
          <t>S39-H남</t>
        </is>
      </c>
      <c r="D2012" s="25" t="inlineStr">
        <is>
          <t>측정</t>
        </is>
      </c>
      <c r="E2012" s="25" t="inlineStr">
        <is>
          <t>남</t>
        </is>
      </c>
      <c r="F2012" s="30" t="n">
        <v>4</v>
      </c>
      <c r="G2012" s="29" t="n"/>
      <c r="H2012" s="42" t="n"/>
      <c r="I2012" s="40" t="n"/>
      <c r="J2012" s="40" t="n"/>
      <c r="K2012" s="40" t="n"/>
      <c r="L2012" s="30">
        <f>IF(COUNT(I2012:K2012)=0,"",MEDIAN(I2012:K2012))</f>
        <v/>
      </c>
      <c r="M2012" s="25">
        <f>IF(COUNTIFS($C:$C,$C2012,$D:$D,"P0(전)",$L:$L,"&gt;0")&lt;&gt;1,"P0(전) 유효 1개 아님",IF(COUNTIFS($C:$C,$C2012,$D:$D,"P0(후)",$L:$L,"&gt;0")&lt;&gt;1,"P0(후) 유효 1개 아님",IF(NOT(AND(ISNUMBER(N2012),ISNUMBER(P2012),ISNUMBER(H2012))),"시각 결측",IF(P2012&lt;=N2012,"P0 시각 역전",IF(OR(H2012&lt;N2012,H2012&gt;P2012),"측정시각 구간 밖","OK")))))</f>
        <v/>
      </c>
      <c r="N2012" s="45">
        <f>IF(COUNTIFS($C:$C,$C2012,$D:$D,"P0(전)",$L:$L,"&gt;0")&lt;&gt;1,"",SUMIFS($H:$H,$C:$C,$C2012,$D:$D,"P0(전)"))</f>
        <v/>
      </c>
      <c r="O2012" s="30">
        <f>IF(COUNTIFS($C:$C,$C2012,$D:$D,"P0(전)",$L:$L,"&gt;0")&lt;&gt;1,"",SUMIFS($L:$L,$C:$C,$C2012,$D:$D,"P0(전)"))</f>
        <v/>
      </c>
      <c r="P2012" s="45">
        <f>IF(COUNTIFS($C:$C,$C2012,$D:$D,"P0(후)",$L:$L,"&gt;0")&lt;&gt;1,"",SUMIFS($H:$H,$C:$C,$C2012,$D:$D,"P0(후)"))</f>
        <v/>
      </c>
      <c r="Q2012" s="30">
        <f>IF(COUNTIFS($C:$C,$C2012,$D:$D,"P0(후)",$L:$L,"&gt;0")&lt;&gt;1,"",SUMIFS($L:$L,$C:$C,$C2012,$D:$D,"P0(후)"))</f>
        <v/>
      </c>
      <c r="R2012" s="30">
        <f>IF(M2012&lt;&gt;"OK","",O2012+(Q2012-O2012)*(H2012-N2012)/(P2012-N2012))</f>
        <v/>
      </c>
      <c r="S2012" s="30">
        <f>IF(OR(M2012&lt;&gt;"OK",NOT(ISNUMBER(L2012))),"",L2012-R2012)</f>
        <v/>
      </c>
      <c r="T2012" s="46">
        <f>IF(OR(NOT(ISNUMBER(S2012)),IF(ISNUMBER(G2012),G2012,F2012)=0),"",S2012/IF(ISNUMBER(G2012),G2012,F2012))</f>
        <v/>
      </c>
      <c r="U2012" s="46">
        <f>IF(ISNUMBER(T2012),ABS(T2012),"")</f>
        <v/>
      </c>
      <c r="V2012" s="46">
        <f>IF(OR($D2011&lt;&gt;"측정",$C2011&lt;&gt;$C2012,NOT(ISNUMBER(L2012)),NOT(ISNUMBER(L2011)),(IF(ISNUMBER(G2012),G2012,F2012)-IF(ISNUMBER(G2011),G2011,F2011))=0),"",(L2012-L2011)/(IF(ISNUMBER(G2012),G2012,F2012)-IF(ISNUMBER(G2011),G2011,F2011)))</f>
        <v/>
      </c>
      <c r="W2012" s="30">
        <f>IF(NOT(AND(ISNUMBER(N2012),ISNUMBER(P2012))),"",(P2012-N2012)*1440)</f>
        <v/>
      </c>
      <c r="X2012" s="28" t="n"/>
      <c r="Y2012" s="28" t="n"/>
      <c r="Z2012" s="28" t="n"/>
      <c r="AA2012" s="31" t="n"/>
      <c r="AB2012" s="31" t="n"/>
    </row>
    <row r="2013">
      <c r="A2013" s="25" t="inlineStr">
        <is>
          <t>S39</t>
        </is>
      </c>
      <c r="B2013" s="25" t="inlineStr">
        <is>
          <t>언양</t>
        </is>
      </c>
      <c r="C2013" s="25" t="inlineStr">
        <is>
          <t>S39-H남</t>
        </is>
      </c>
      <c r="D2013" s="25" t="inlineStr">
        <is>
          <t>측정</t>
        </is>
      </c>
      <c r="E2013" s="25" t="inlineStr">
        <is>
          <t>남</t>
        </is>
      </c>
      <c r="F2013" s="30" t="n">
        <v>5</v>
      </c>
      <c r="G2013" s="29" t="n"/>
      <c r="H2013" s="42" t="n"/>
      <c r="I2013" s="40" t="n"/>
      <c r="J2013" s="40" t="n"/>
      <c r="K2013" s="40" t="n"/>
      <c r="L2013" s="30">
        <f>IF(COUNT(I2013:K2013)=0,"",MEDIAN(I2013:K2013))</f>
        <v/>
      </c>
      <c r="M2013" s="25">
        <f>IF(COUNTIFS($C:$C,$C2013,$D:$D,"P0(전)",$L:$L,"&gt;0")&lt;&gt;1,"P0(전) 유효 1개 아님",IF(COUNTIFS($C:$C,$C2013,$D:$D,"P0(후)",$L:$L,"&gt;0")&lt;&gt;1,"P0(후) 유효 1개 아님",IF(NOT(AND(ISNUMBER(N2013),ISNUMBER(P2013),ISNUMBER(H2013))),"시각 결측",IF(P2013&lt;=N2013,"P0 시각 역전",IF(OR(H2013&lt;N2013,H2013&gt;P2013),"측정시각 구간 밖","OK")))))</f>
        <v/>
      </c>
      <c r="N2013" s="45">
        <f>IF(COUNTIFS($C:$C,$C2013,$D:$D,"P0(전)",$L:$L,"&gt;0")&lt;&gt;1,"",SUMIFS($H:$H,$C:$C,$C2013,$D:$D,"P0(전)"))</f>
        <v/>
      </c>
      <c r="O2013" s="30">
        <f>IF(COUNTIFS($C:$C,$C2013,$D:$D,"P0(전)",$L:$L,"&gt;0")&lt;&gt;1,"",SUMIFS($L:$L,$C:$C,$C2013,$D:$D,"P0(전)"))</f>
        <v/>
      </c>
      <c r="P2013" s="45">
        <f>IF(COUNTIFS($C:$C,$C2013,$D:$D,"P0(후)",$L:$L,"&gt;0")&lt;&gt;1,"",SUMIFS($H:$H,$C:$C,$C2013,$D:$D,"P0(후)"))</f>
        <v/>
      </c>
      <c r="Q2013" s="30">
        <f>IF(COUNTIFS($C:$C,$C2013,$D:$D,"P0(후)",$L:$L,"&gt;0")&lt;&gt;1,"",SUMIFS($L:$L,$C:$C,$C2013,$D:$D,"P0(후)"))</f>
        <v/>
      </c>
      <c r="R2013" s="30">
        <f>IF(M2013&lt;&gt;"OK","",O2013+(Q2013-O2013)*(H2013-N2013)/(P2013-N2013))</f>
        <v/>
      </c>
      <c r="S2013" s="30">
        <f>IF(OR(M2013&lt;&gt;"OK",NOT(ISNUMBER(L2013))),"",L2013-R2013)</f>
        <v/>
      </c>
      <c r="T2013" s="46">
        <f>IF(OR(NOT(ISNUMBER(S2013)),IF(ISNUMBER(G2013),G2013,F2013)=0),"",S2013/IF(ISNUMBER(G2013),G2013,F2013))</f>
        <v/>
      </c>
      <c r="U2013" s="46">
        <f>IF(ISNUMBER(T2013),ABS(T2013),"")</f>
        <v/>
      </c>
      <c r="V2013" s="46">
        <f>IF(OR($D2012&lt;&gt;"측정",$C2012&lt;&gt;$C2013,NOT(ISNUMBER(L2013)),NOT(ISNUMBER(L2012)),(IF(ISNUMBER(G2013),G2013,F2013)-IF(ISNUMBER(G2012),G2012,F2012))=0),"",(L2013-L2012)/(IF(ISNUMBER(G2013),G2013,F2013)-IF(ISNUMBER(G2012),G2012,F2012)))</f>
        <v/>
      </c>
      <c r="W2013" s="30">
        <f>IF(NOT(AND(ISNUMBER(N2013),ISNUMBER(P2013))),"",(P2013-N2013)*1440)</f>
        <v/>
      </c>
      <c r="X2013" s="28" t="n"/>
      <c r="Y2013" s="28" t="n"/>
      <c r="Z2013" s="28" t="n"/>
      <c r="AA2013" s="31" t="n"/>
      <c r="AB2013" s="31" t="n"/>
    </row>
    <row r="2014">
      <c r="A2014" s="25" t="inlineStr">
        <is>
          <t>S39</t>
        </is>
      </c>
      <c r="B2014" s="25" t="inlineStr">
        <is>
          <t>언양</t>
        </is>
      </c>
      <c r="C2014" s="25" t="inlineStr">
        <is>
          <t>S39-H남</t>
        </is>
      </c>
      <c r="D2014" s="25" t="inlineStr">
        <is>
          <t>측정</t>
        </is>
      </c>
      <c r="E2014" s="25" t="inlineStr">
        <is>
          <t>남</t>
        </is>
      </c>
      <c r="F2014" s="30" t="n">
        <v>6</v>
      </c>
      <c r="G2014" s="29" t="n"/>
      <c r="H2014" s="42" t="n"/>
      <c r="I2014" s="40" t="n"/>
      <c r="J2014" s="40" t="n"/>
      <c r="K2014" s="40" t="n"/>
      <c r="L2014" s="30">
        <f>IF(COUNT(I2014:K2014)=0,"",MEDIAN(I2014:K2014))</f>
        <v/>
      </c>
      <c r="M2014" s="25">
        <f>IF(COUNTIFS($C:$C,$C2014,$D:$D,"P0(전)",$L:$L,"&gt;0")&lt;&gt;1,"P0(전) 유효 1개 아님",IF(COUNTIFS($C:$C,$C2014,$D:$D,"P0(후)",$L:$L,"&gt;0")&lt;&gt;1,"P0(후) 유효 1개 아님",IF(NOT(AND(ISNUMBER(N2014),ISNUMBER(P2014),ISNUMBER(H2014))),"시각 결측",IF(P2014&lt;=N2014,"P0 시각 역전",IF(OR(H2014&lt;N2014,H2014&gt;P2014),"측정시각 구간 밖","OK")))))</f>
        <v/>
      </c>
      <c r="N2014" s="45">
        <f>IF(COUNTIFS($C:$C,$C2014,$D:$D,"P0(전)",$L:$L,"&gt;0")&lt;&gt;1,"",SUMIFS($H:$H,$C:$C,$C2014,$D:$D,"P0(전)"))</f>
        <v/>
      </c>
      <c r="O2014" s="30">
        <f>IF(COUNTIFS($C:$C,$C2014,$D:$D,"P0(전)",$L:$L,"&gt;0")&lt;&gt;1,"",SUMIFS($L:$L,$C:$C,$C2014,$D:$D,"P0(전)"))</f>
        <v/>
      </c>
      <c r="P2014" s="45">
        <f>IF(COUNTIFS($C:$C,$C2014,$D:$D,"P0(후)",$L:$L,"&gt;0")&lt;&gt;1,"",SUMIFS($H:$H,$C:$C,$C2014,$D:$D,"P0(후)"))</f>
        <v/>
      </c>
      <c r="Q2014" s="30">
        <f>IF(COUNTIFS($C:$C,$C2014,$D:$D,"P0(후)",$L:$L,"&gt;0")&lt;&gt;1,"",SUMIFS($L:$L,$C:$C,$C2014,$D:$D,"P0(후)"))</f>
        <v/>
      </c>
      <c r="R2014" s="30">
        <f>IF(M2014&lt;&gt;"OK","",O2014+(Q2014-O2014)*(H2014-N2014)/(P2014-N2014))</f>
        <v/>
      </c>
      <c r="S2014" s="30">
        <f>IF(OR(M2014&lt;&gt;"OK",NOT(ISNUMBER(L2014))),"",L2014-R2014)</f>
        <v/>
      </c>
      <c r="T2014" s="46">
        <f>IF(OR(NOT(ISNUMBER(S2014)),IF(ISNUMBER(G2014),G2014,F2014)=0),"",S2014/IF(ISNUMBER(G2014),G2014,F2014))</f>
        <v/>
      </c>
      <c r="U2014" s="46">
        <f>IF(ISNUMBER(T2014),ABS(T2014),"")</f>
        <v/>
      </c>
      <c r="V2014" s="46">
        <f>IF(OR($D2013&lt;&gt;"측정",$C2013&lt;&gt;$C2014,NOT(ISNUMBER(L2014)),NOT(ISNUMBER(L2013)),(IF(ISNUMBER(G2014),G2014,F2014)-IF(ISNUMBER(G2013),G2013,F2013))=0),"",(L2014-L2013)/(IF(ISNUMBER(G2014),G2014,F2014)-IF(ISNUMBER(G2013),G2013,F2013)))</f>
        <v/>
      </c>
      <c r="W2014" s="30">
        <f>IF(NOT(AND(ISNUMBER(N2014),ISNUMBER(P2014))),"",(P2014-N2014)*1440)</f>
        <v/>
      </c>
      <c r="X2014" s="28" t="n"/>
      <c r="Y2014" s="28" t="n"/>
      <c r="Z2014" s="28" t="n"/>
      <c r="AA2014" s="31" t="n"/>
      <c r="AB2014" s="31" t="n"/>
    </row>
    <row r="2015">
      <c r="A2015" s="25" t="inlineStr">
        <is>
          <t>S39</t>
        </is>
      </c>
      <c r="B2015" s="25" t="inlineStr">
        <is>
          <t>언양</t>
        </is>
      </c>
      <c r="C2015" s="25" t="inlineStr">
        <is>
          <t>S39-H남</t>
        </is>
      </c>
      <c r="D2015" s="25" t="inlineStr">
        <is>
          <t>측정</t>
        </is>
      </c>
      <c r="E2015" s="25" t="inlineStr">
        <is>
          <t>남</t>
        </is>
      </c>
      <c r="F2015" s="30" t="n">
        <v>7</v>
      </c>
      <c r="G2015" s="29" t="n"/>
      <c r="H2015" s="42" t="n"/>
      <c r="I2015" s="40" t="n"/>
      <c r="J2015" s="40" t="n"/>
      <c r="K2015" s="40" t="n"/>
      <c r="L2015" s="30">
        <f>IF(COUNT(I2015:K2015)=0,"",MEDIAN(I2015:K2015))</f>
        <v/>
      </c>
      <c r="M2015" s="25">
        <f>IF(COUNTIFS($C:$C,$C2015,$D:$D,"P0(전)",$L:$L,"&gt;0")&lt;&gt;1,"P0(전) 유효 1개 아님",IF(COUNTIFS($C:$C,$C2015,$D:$D,"P0(후)",$L:$L,"&gt;0")&lt;&gt;1,"P0(후) 유효 1개 아님",IF(NOT(AND(ISNUMBER(N2015),ISNUMBER(P2015),ISNUMBER(H2015))),"시각 결측",IF(P2015&lt;=N2015,"P0 시각 역전",IF(OR(H2015&lt;N2015,H2015&gt;P2015),"측정시각 구간 밖","OK")))))</f>
        <v/>
      </c>
      <c r="N2015" s="45">
        <f>IF(COUNTIFS($C:$C,$C2015,$D:$D,"P0(전)",$L:$L,"&gt;0")&lt;&gt;1,"",SUMIFS($H:$H,$C:$C,$C2015,$D:$D,"P0(전)"))</f>
        <v/>
      </c>
      <c r="O2015" s="30">
        <f>IF(COUNTIFS($C:$C,$C2015,$D:$D,"P0(전)",$L:$L,"&gt;0")&lt;&gt;1,"",SUMIFS($L:$L,$C:$C,$C2015,$D:$D,"P0(전)"))</f>
        <v/>
      </c>
      <c r="P2015" s="45">
        <f>IF(COUNTIFS($C:$C,$C2015,$D:$D,"P0(후)",$L:$L,"&gt;0")&lt;&gt;1,"",SUMIFS($H:$H,$C:$C,$C2015,$D:$D,"P0(후)"))</f>
        <v/>
      </c>
      <c r="Q2015" s="30">
        <f>IF(COUNTIFS($C:$C,$C2015,$D:$D,"P0(후)",$L:$L,"&gt;0")&lt;&gt;1,"",SUMIFS($L:$L,$C:$C,$C2015,$D:$D,"P0(후)"))</f>
        <v/>
      </c>
      <c r="R2015" s="30">
        <f>IF(M2015&lt;&gt;"OK","",O2015+(Q2015-O2015)*(H2015-N2015)/(P2015-N2015))</f>
        <v/>
      </c>
      <c r="S2015" s="30">
        <f>IF(OR(M2015&lt;&gt;"OK",NOT(ISNUMBER(L2015))),"",L2015-R2015)</f>
        <v/>
      </c>
      <c r="T2015" s="46">
        <f>IF(OR(NOT(ISNUMBER(S2015)),IF(ISNUMBER(G2015),G2015,F2015)=0),"",S2015/IF(ISNUMBER(G2015),G2015,F2015))</f>
        <v/>
      </c>
      <c r="U2015" s="46">
        <f>IF(ISNUMBER(T2015),ABS(T2015),"")</f>
        <v/>
      </c>
      <c r="V2015" s="46">
        <f>IF(OR($D2014&lt;&gt;"측정",$C2014&lt;&gt;$C2015,NOT(ISNUMBER(L2015)),NOT(ISNUMBER(L2014)),(IF(ISNUMBER(G2015),G2015,F2015)-IF(ISNUMBER(G2014),G2014,F2014))=0),"",(L2015-L2014)/(IF(ISNUMBER(G2015),G2015,F2015)-IF(ISNUMBER(G2014),G2014,F2014)))</f>
        <v/>
      </c>
      <c r="W2015" s="30">
        <f>IF(NOT(AND(ISNUMBER(N2015),ISNUMBER(P2015))),"",(P2015-N2015)*1440)</f>
        <v/>
      </c>
      <c r="X2015" s="28" t="n"/>
      <c r="Y2015" s="28" t="n"/>
      <c r="Z2015" s="28" t="n"/>
      <c r="AA2015" s="31" t="n"/>
      <c r="AB2015" s="31" t="n"/>
    </row>
    <row r="2016">
      <c r="A2016" s="25" t="inlineStr">
        <is>
          <t>S39</t>
        </is>
      </c>
      <c r="B2016" s="25" t="inlineStr">
        <is>
          <t>언양</t>
        </is>
      </c>
      <c r="C2016" s="25" t="inlineStr">
        <is>
          <t>S39-H남</t>
        </is>
      </c>
      <c r="D2016" s="25" t="inlineStr">
        <is>
          <t>측정</t>
        </is>
      </c>
      <c r="E2016" s="25" t="inlineStr">
        <is>
          <t>남</t>
        </is>
      </c>
      <c r="F2016" s="30" t="n">
        <v>8</v>
      </c>
      <c r="G2016" s="29" t="n"/>
      <c r="H2016" s="42" t="n"/>
      <c r="I2016" s="40" t="n"/>
      <c r="J2016" s="40" t="n"/>
      <c r="K2016" s="40" t="n"/>
      <c r="L2016" s="30">
        <f>IF(COUNT(I2016:K2016)=0,"",MEDIAN(I2016:K2016))</f>
        <v/>
      </c>
      <c r="M2016" s="25">
        <f>IF(COUNTIFS($C:$C,$C2016,$D:$D,"P0(전)",$L:$L,"&gt;0")&lt;&gt;1,"P0(전) 유효 1개 아님",IF(COUNTIFS($C:$C,$C2016,$D:$D,"P0(후)",$L:$L,"&gt;0")&lt;&gt;1,"P0(후) 유효 1개 아님",IF(NOT(AND(ISNUMBER(N2016),ISNUMBER(P2016),ISNUMBER(H2016))),"시각 결측",IF(P2016&lt;=N2016,"P0 시각 역전",IF(OR(H2016&lt;N2016,H2016&gt;P2016),"측정시각 구간 밖","OK")))))</f>
        <v/>
      </c>
      <c r="N2016" s="45">
        <f>IF(COUNTIFS($C:$C,$C2016,$D:$D,"P0(전)",$L:$L,"&gt;0")&lt;&gt;1,"",SUMIFS($H:$H,$C:$C,$C2016,$D:$D,"P0(전)"))</f>
        <v/>
      </c>
      <c r="O2016" s="30">
        <f>IF(COUNTIFS($C:$C,$C2016,$D:$D,"P0(전)",$L:$L,"&gt;0")&lt;&gt;1,"",SUMIFS($L:$L,$C:$C,$C2016,$D:$D,"P0(전)"))</f>
        <v/>
      </c>
      <c r="P2016" s="45">
        <f>IF(COUNTIFS($C:$C,$C2016,$D:$D,"P0(후)",$L:$L,"&gt;0")&lt;&gt;1,"",SUMIFS($H:$H,$C:$C,$C2016,$D:$D,"P0(후)"))</f>
        <v/>
      </c>
      <c r="Q2016" s="30">
        <f>IF(COUNTIFS($C:$C,$C2016,$D:$D,"P0(후)",$L:$L,"&gt;0")&lt;&gt;1,"",SUMIFS($L:$L,$C:$C,$C2016,$D:$D,"P0(후)"))</f>
        <v/>
      </c>
      <c r="R2016" s="30">
        <f>IF(M2016&lt;&gt;"OK","",O2016+(Q2016-O2016)*(H2016-N2016)/(P2016-N2016))</f>
        <v/>
      </c>
      <c r="S2016" s="30">
        <f>IF(OR(M2016&lt;&gt;"OK",NOT(ISNUMBER(L2016))),"",L2016-R2016)</f>
        <v/>
      </c>
      <c r="T2016" s="46">
        <f>IF(OR(NOT(ISNUMBER(S2016)),IF(ISNUMBER(G2016),G2016,F2016)=0),"",S2016/IF(ISNUMBER(G2016),G2016,F2016))</f>
        <v/>
      </c>
      <c r="U2016" s="46">
        <f>IF(ISNUMBER(T2016),ABS(T2016),"")</f>
        <v/>
      </c>
      <c r="V2016" s="46">
        <f>IF(OR($D2015&lt;&gt;"측정",$C2015&lt;&gt;$C2016,NOT(ISNUMBER(L2016)),NOT(ISNUMBER(L2015)),(IF(ISNUMBER(G2016),G2016,F2016)-IF(ISNUMBER(G2015),G2015,F2015))=0),"",(L2016-L2015)/(IF(ISNUMBER(G2016),G2016,F2016)-IF(ISNUMBER(G2015),G2015,F2015)))</f>
        <v/>
      </c>
      <c r="W2016" s="30">
        <f>IF(NOT(AND(ISNUMBER(N2016),ISNUMBER(P2016))),"",(P2016-N2016)*1440)</f>
        <v/>
      </c>
      <c r="X2016" s="28" t="n"/>
      <c r="Y2016" s="28" t="n"/>
      <c r="Z2016" s="28" t="n"/>
      <c r="AA2016" s="31" t="n"/>
      <c r="AB2016" s="31" t="n"/>
    </row>
    <row r="2017">
      <c r="A2017" s="25" t="inlineStr">
        <is>
          <t>S39</t>
        </is>
      </c>
      <c r="B2017" s="25" t="inlineStr">
        <is>
          <t>언양</t>
        </is>
      </c>
      <c r="C2017" s="25" t="inlineStr">
        <is>
          <t>S39-H남</t>
        </is>
      </c>
      <c r="D2017" s="25" t="inlineStr">
        <is>
          <t>측정</t>
        </is>
      </c>
      <c r="E2017" s="25" t="inlineStr">
        <is>
          <t>남</t>
        </is>
      </c>
      <c r="F2017" s="30" t="n">
        <v>9</v>
      </c>
      <c r="G2017" s="29" t="n"/>
      <c r="H2017" s="42" t="n"/>
      <c r="I2017" s="40" t="n"/>
      <c r="J2017" s="40" t="n"/>
      <c r="K2017" s="40" t="n"/>
      <c r="L2017" s="30">
        <f>IF(COUNT(I2017:K2017)=0,"",MEDIAN(I2017:K2017))</f>
        <v/>
      </c>
      <c r="M2017" s="25">
        <f>IF(COUNTIFS($C:$C,$C2017,$D:$D,"P0(전)",$L:$L,"&gt;0")&lt;&gt;1,"P0(전) 유효 1개 아님",IF(COUNTIFS($C:$C,$C2017,$D:$D,"P0(후)",$L:$L,"&gt;0")&lt;&gt;1,"P0(후) 유효 1개 아님",IF(NOT(AND(ISNUMBER(N2017),ISNUMBER(P2017),ISNUMBER(H2017))),"시각 결측",IF(P2017&lt;=N2017,"P0 시각 역전",IF(OR(H2017&lt;N2017,H2017&gt;P2017),"측정시각 구간 밖","OK")))))</f>
        <v/>
      </c>
      <c r="N2017" s="45">
        <f>IF(COUNTIFS($C:$C,$C2017,$D:$D,"P0(전)",$L:$L,"&gt;0")&lt;&gt;1,"",SUMIFS($H:$H,$C:$C,$C2017,$D:$D,"P0(전)"))</f>
        <v/>
      </c>
      <c r="O2017" s="30">
        <f>IF(COUNTIFS($C:$C,$C2017,$D:$D,"P0(전)",$L:$L,"&gt;0")&lt;&gt;1,"",SUMIFS($L:$L,$C:$C,$C2017,$D:$D,"P0(전)"))</f>
        <v/>
      </c>
      <c r="P2017" s="45">
        <f>IF(COUNTIFS($C:$C,$C2017,$D:$D,"P0(후)",$L:$L,"&gt;0")&lt;&gt;1,"",SUMIFS($H:$H,$C:$C,$C2017,$D:$D,"P0(후)"))</f>
        <v/>
      </c>
      <c r="Q2017" s="30">
        <f>IF(COUNTIFS($C:$C,$C2017,$D:$D,"P0(후)",$L:$L,"&gt;0")&lt;&gt;1,"",SUMIFS($L:$L,$C:$C,$C2017,$D:$D,"P0(후)"))</f>
        <v/>
      </c>
      <c r="R2017" s="30">
        <f>IF(M2017&lt;&gt;"OK","",O2017+(Q2017-O2017)*(H2017-N2017)/(P2017-N2017))</f>
        <v/>
      </c>
      <c r="S2017" s="30">
        <f>IF(OR(M2017&lt;&gt;"OK",NOT(ISNUMBER(L2017))),"",L2017-R2017)</f>
        <v/>
      </c>
      <c r="T2017" s="46">
        <f>IF(OR(NOT(ISNUMBER(S2017)),IF(ISNUMBER(G2017),G2017,F2017)=0),"",S2017/IF(ISNUMBER(G2017),G2017,F2017))</f>
        <v/>
      </c>
      <c r="U2017" s="46">
        <f>IF(ISNUMBER(T2017),ABS(T2017),"")</f>
        <v/>
      </c>
      <c r="V2017" s="46">
        <f>IF(OR($D2016&lt;&gt;"측정",$C2016&lt;&gt;$C2017,NOT(ISNUMBER(L2017)),NOT(ISNUMBER(L2016)),(IF(ISNUMBER(G2017),G2017,F2017)-IF(ISNUMBER(G2016),G2016,F2016))=0),"",(L2017-L2016)/(IF(ISNUMBER(G2017),G2017,F2017)-IF(ISNUMBER(G2016),G2016,F2016)))</f>
        <v/>
      </c>
      <c r="W2017" s="30">
        <f>IF(NOT(AND(ISNUMBER(N2017),ISNUMBER(P2017))),"",(P2017-N2017)*1440)</f>
        <v/>
      </c>
      <c r="X2017" s="28" t="n"/>
      <c r="Y2017" s="28" t="n"/>
      <c r="Z2017" s="28" t="n"/>
      <c r="AA2017" s="31" t="n"/>
      <c r="AB2017" s="31" t="n"/>
    </row>
    <row r="2018">
      <c r="A2018" s="25" t="inlineStr">
        <is>
          <t>S39</t>
        </is>
      </c>
      <c r="B2018" s="25" t="inlineStr">
        <is>
          <t>언양</t>
        </is>
      </c>
      <c r="C2018" s="25" t="inlineStr">
        <is>
          <t>S39-H남</t>
        </is>
      </c>
      <c r="D2018" s="25" t="inlineStr">
        <is>
          <t>측정</t>
        </is>
      </c>
      <c r="E2018" s="25" t="inlineStr">
        <is>
          <t>남</t>
        </is>
      </c>
      <c r="F2018" s="30" t="n">
        <v>10</v>
      </c>
      <c r="G2018" s="29" t="n"/>
      <c r="H2018" s="42" t="n"/>
      <c r="I2018" s="40" t="n"/>
      <c r="J2018" s="40" t="n"/>
      <c r="K2018" s="40" t="n"/>
      <c r="L2018" s="30">
        <f>IF(COUNT(I2018:K2018)=0,"",MEDIAN(I2018:K2018))</f>
        <v/>
      </c>
      <c r="M2018" s="25">
        <f>IF(COUNTIFS($C:$C,$C2018,$D:$D,"P0(전)",$L:$L,"&gt;0")&lt;&gt;1,"P0(전) 유효 1개 아님",IF(COUNTIFS($C:$C,$C2018,$D:$D,"P0(후)",$L:$L,"&gt;0")&lt;&gt;1,"P0(후) 유효 1개 아님",IF(NOT(AND(ISNUMBER(N2018),ISNUMBER(P2018),ISNUMBER(H2018))),"시각 결측",IF(P2018&lt;=N2018,"P0 시각 역전",IF(OR(H2018&lt;N2018,H2018&gt;P2018),"측정시각 구간 밖","OK")))))</f>
        <v/>
      </c>
      <c r="N2018" s="45">
        <f>IF(COUNTIFS($C:$C,$C2018,$D:$D,"P0(전)",$L:$L,"&gt;0")&lt;&gt;1,"",SUMIFS($H:$H,$C:$C,$C2018,$D:$D,"P0(전)"))</f>
        <v/>
      </c>
      <c r="O2018" s="30">
        <f>IF(COUNTIFS($C:$C,$C2018,$D:$D,"P0(전)",$L:$L,"&gt;0")&lt;&gt;1,"",SUMIFS($L:$L,$C:$C,$C2018,$D:$D,"P0(전)"))</f>
        <v/>
      </c>
      <c r="P2018" s="45">
        <f>IF(COUNTIFS($C:$C,$C2018,$D:$D,"P0(후)",$L:$L,"&gt;0")&lt;&gt;1,"",SUMIFS($H:$H,$C:$C,$C2018,$D:$D,"P0(후)"))</f>
        <v/>
      </c>
      <c r="Q2018" s="30">
        <f>IF(COUNTIFS($C:$C,$C2018,$D:$D,"P0(후)",$L:$L,"&gt;0")&lt;&gt;1,"",SUMIFS($L:$L,$C:$C,$C2018,$D:$D,"P0(후)"))</f>
        <v/>
      </c>
      <c r="R2018" s="30">
        <f>IF(M2018&lt;&gt;"OK","",O2018+(Q2018-O2018)*(H2018-N2018)/(P2018-N2018))</f>
        <v/>
      </c>
      <c r="S2018" s="30">
        <f>IF(OR(M2018&lt;&gt;"OK",NOT(ISNUMBER(L2018))),"",L2018-R2018)</f>
        <v/>
      </c>
      <c r="T2018" s="46">
        <f>IF(OR(NOT(ISNUMBER(S2018)),IF(ISNUMBER(G2018),G2018,F2018)=0),"",S2018/IF(ISNUMBER(G2018),G2018,F2018))</f>
        <v/>
      </c>
      <c r="U2018" s="46">
        <f>IF(ISNUMBER(T2018),ABS(T2018),"")</f>
        <v/>
      </c>
      <c r="V2018" s="46">
        <f>IF(OR($D2017&lt;&gt;"측정",$C2017&lt;&gt;$C2018,NOT(ISNUMBER(L2018)),NOT(ISNUMBER(L2017)),(IF(ISNUMBER(G2018),G2018,F2018)-IF(ISNUMBER(G2017),G2017,F2017))=0),"",(L2018-L2017)/(IF(ISNUMBER(G2018),G2018,F2018)-IF(ISNUMBER(G2017),G2017,F2017)))</f>
        <v/>
      </c>
      <c r="W2018" s="30">
        <f>IF(NOT(AND(ISNUMBER(N2018),ISNUMBER(P2018))),"",(P2018-N2018)*1440)</f>
        <v/>
      </c>
      <c r="X2018" s="28" t="n"/>
      <c r="Y2018" s="28" t="n"/>
      <c r="Z2018" s="28" t="n"/>
      <c r="AA2018" s="31" t="n"/>
      <c r="AB2018" s="31" t="n"/>
    </row>
    <row r="2019">
      <c r="A2019" s="43" t="inlineStr">
        <is>
          <t>S39</t>
        </is>
      </c>
      <c r="B2019" s="43" t="inlineStr">
        <is>
          <t>언양</t>
        </is>
      </c>
      <c r="C2019" s="43" t="inlineStr">
        <is>
          <t>S39-H남</t>
        </is>
      </c>
      <c r="D2019" s="43" t="inlineStr">
        <is>
          <t>P0(후)</t>
        </is>
      </c>
      <c r="E2019" s="43" t="inlineStr">
        <is>
          <t>남</t>
        </is>
      </c>
      <c r="F2019" s="44" t="n"/>
      <c r="G2019" s="29" t="n"/>
      <c r="H2019" s="42" t="n"/>
      <c r="I2019" s="40" t="n"/>
      <c r="J2019" s="40" t="n"/>
      <c r="K2019" s="40" t="n"/>
      <c r="L2019" s="30">
        <f>IF(COUNT(I2019:K2019)=0,"",MEDIAN(I2019:K2019))</f>
        <v/>
      </c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28" t="n"/>
      <c r="Y2019" s="28" t="n"/>
      <c r="Z2019" s="28" t="n"/>
      <c r="AA2019" s="31" t="n"/>
      <c r="AB2019" s="31" t="n"/>
    </row>
    <row r="2020">
      <c r="A2020" s="43" t="inlineStr">
        <is>
          <t>S39</t>
        </is>
      </c>
      <c r="B2020" s="43" t="inlineStr">
        <is>
          <t>언양</t>
        </is>
      </c>
      <c r="C2020" s="43" t="inlineStr">
        <is>
          <t>S39-H북</t>
        </is>
      </c>
      <c r="D2020" s="43" t="inlineStr">
        <is>
          <t>P0(전)</t>
        </is>
      </c>
      <c r="E2020" s="43" t="inlineStr">
        <is>
          <t>북</t>
        </is>
      </c>
      <c r="F2020" s="44" t="n"/>
      <c r="G2020" s="29" t="n"/>
      <c r="H2020" s="42" t="n"/>
      <c r="I2020" s="40" t="n"/>
      <c r="J2020" s="40" t="n"/>
      <c r="K2020" s="40" t="n"/>
      <c r="L2020" s="30">
        <f>IF(COUNT(I2020:K2020)=0,"",MEDIAN(I2020:K2020))</f>
        <v/>
      </c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28" t="n"/>
      <c r="Y2020" s="28" t="n"/>
      <c r="Z2020" s="28" t="n"/>
      <c r="AA2020" s="31" t="n"/>
      <c r="AB2020" s="31" t="n"/>
    </row>
    <row r="2021">
      <c r="A2021" s="25" t="inlineStr">
        <is>
          <t>S39</t>
        </is>
      </c>
      <c r="B2021" s="25" t="inlineStr">
        <is>
          <t>언양</t>
        </is>
      </c>
      <c r="C2021" s="25" t="inlineStr">
        <is>
          <t>S39-H북</t>
        </is>
      </c>
      <c r="D2021" s="25" t="inlineStr">
        <is>
          <t>측정</t>
        </is>
      </c>
      <c r="E2021" s="25" t="inlineStr">
        <is>
          <t>북</t>
        </is>
      </c>
      <c r="F2021" s="30" t="n">
        <v>0.5</v>
      </c>
      <c r="G2021" s="29" t="n"/>
      <c r="H2021" s="42" t="n"/>
      <c r="I2021" s="40" t="n"/>
      <c r="J2021" s="40" t="n"/>
      <c r="K2021" s="40" t="n"/>
      <c r="L2021" s="30">
        <f>IF(COUNT(I2021:K2021)=0,"",MEDIAN(I2021:K2021))</f>
        <v/>
      </c>
      <c r="M2021" s="25">
        <f>IF(COUNTIFS($C:$C,$C2021,$D:$D,"P0(전)",$L:$L,"&gt;0")&lt;&gt;1,"P0(전) 유효 1개 아님",IF(COUNTIFS($C:$C,$C2021,$D:$D,"P0(후)",$L:$L,"&gt;0")&lt;&gt;1,"P0(후) 유효 1개 아님",IF(NOT(AND(ISNUMBER(N2021),ISNUMBER(P2021),ISNUMBER(H2021))),"시각 결측",IF(P2021&lt;=N2021,"P0 시각 역전",IF(OR(H2021&lt;N2021,H2021&gt;P2021),"측정시각 구간 밖","OK")))))</f>
        <v/>
      </c>
      <c r="N2021" s="45">
        <f>IF(COUNTIFS($C:$C,$C2021,$D:$D,"P0(전)",$L:$L,"&gt;0")&lt;&gt;1,"",SUMIFS($H:$H,$C:$C,$C2021,$D:$D,"P0(전)"))</f>
        <v/>
      </c>
      <c r="O2021" s="30">
        <f>IF(COUNTIFS($C:$C,$C2021,$D:$D,"P0(전)",$L:$L,"&gt;0")&lt;&gt;1,"",SUMIFS($L:$L,$C:$C,$C2021,$D:$D,"P0(전)"))</f>
        <v/>
      </c>
      <c r="P2021" s="45">
        <f>IF(COUNTIFS($C:$C,$C2021,$D:$D,"P0(후)",$L:$L,"&gt;0")&lt;&gt;1,"",SUMIFS($H:$H,$C:$C,$C2021,$D:$D,"P0(후)"))</f>
        <v/>
      </c>
      <c r="Q2021" s="30">
        <f>IF(COUNTIFS($C:$C,$C2021,$D:$D,"P0(후)",$L:$L,"&gt;0")&lt;&gt;1,"",SUMIFS($L:$L,$C:$C,$C2021,$D:$D,"P0(후)"))</f>
        <v/>
      </c>
      <c r="R2021" s="30">
        <f>IF(M2021&lt;&gt;"OK","",O2021+(Q2021-O2021)*(H2021-N2021)/(P2021-N2021))</f>
        <v/>
      </c>
      <c r="S2021" s="30">
        <f>IF(OR(M2021&lt;&gt;"OK",NOT(ISNUMBER(L2021))),"",L2021-R2021)</f>
        <v/>
      </c>
      <c r="T2021" s="46">
        <f>IF(OR(NOT(ISNUMBER(S2021)),IF(ISNUMBER(G2021),G2021,F2021)=0),"",S2021/IF(ISNUMBER(G2021),G2021,F2021))</f>
        <v/>
      </c>
      <c r="U2021" s="46">
        <f>IF(ISNUMBER(T2021),ABS(T2021),"")</f>
        <v/>
      </c>
      <c r="V2021" s="46">
        <f>IF(OR($D2020&lt;&gt;"측정",$C2020&lt;&gt;$C2021,NOT(ISNUMBER(L2021)),NOT(ISNUMBER(L2020)),(IF(ISNUMBER(G2021),G2021,F2021)-IF(ISNUMBER(G2020),G2020,F2020))=0),"",(L2021-L2020)/(IF(ISNUMBER(G2021),G2021,F2021)-IF(ISNUMBER(G2020),G2020,F2020)))</f>
        <v/>
      </c>
      <c r="W2021" s="30">
        <f>IF(NOT(AND(ISNUMBER(N2021),ISNUMBER(P2021))),"",(P2021-N2021)*1440)</f>
        <v/>
      </c>
      <c r="X2021" s="28" t="n"/>
      <c r="Y2021" s="28" t="n"/>
      <c r="Z2021" s="28" t="n"/>
      <c r="AA2021" s="31" t="n"/>
      <c r="AB2021" s="31" t="n"/>
    </row>
    <row r="2022">
      <c r="A2022" s="25" t="inlineStr">
        <is>
          <t>S39</t>
        </is>
      </c>
      <c r="B2022" s="25" t="inlineStr">
        <is>
          <t>언양</t>
        </is>
      </c>
      <c r="C2022" s="25" t="inlineStr">
        <is>
          <t>S39-H북</t>
        </is>
      </c>
      <c r="D2022" s="25" t="inlineStr">
        <is>
          <t>측정</t>
        </is>
      </c>
      <c r="E2022" s="25" t="inlineStr">
        <is>
          <t>북</t>
        </is>
      </c>
      <c r="F2022" s="30" t="n">
        <v>1</v>
      </c>
      <c r="G2022" s="29" t="n"/>
      <c r="H2022" s="42" t="n"/>
      <c r="I2022" s="40" t="n"/>
      <c r="J2022" s="40" t="n"/>
      <c r="K2022" s="40" t="n"/>
      <c r="L2022" s="30">
        <f>IF(COUNT(I2022:K2022)=0,"",MEDIAN(I2022:K2022))</f>
        <v/>
      </c>
      <c r="M2022" s="25">
        <f>IF(COUNTIFS($C:$C,$C2022,$D:$D,"P0(전)",$L:$L,"&gt;0")&lt;&gt;1,"P0(전) 유효 1개 아님",IF(COUNTIFS($C:$C,$C2022,$D:$D,"P0(후)",$L:$L,"&gt;0")&lt;&gt;1,"P0(후) 유효 1개 아님",IF(NOT(AND(ISNUMBER(N2022),ISNUMBER(P2022),ISNUMBER(H2022))),"시각 결측",IF(P2022&lt;=N2022,"P0 시각 역전",IF(OR(H2022&lt;N2022,H2022&gt;P2022),"측정시각 구간 밖","OK")))))</f>
        <v/>
      </c>
      <c r="N2022" s="45">
        <f>IF(COUNTIFS($C:$C,$C2022,$D:$D,"P0(전)",$L:$L,"&gt;0")&lt;&gt;1,"",SUMIFS($H:$H,$C:$C,$C2022,$D:$D,"P0(전)"))</f>
        <v/>
      </c>
      <c r="O2022" s="30">
        <f>IF(COUNTIFS($C:$C,$C2022,$D:$D,"P0(전)",$L:$L,"&gt;0")&lt;&gt;1,"",SUMIFS($L:$L,$C:$C,$C2022,$D:$D,"P0(전)"))</f>
        <v/>
      </c>
      <c r="P2022" s="45">
        <f>IF(COUNTIFS($C:$C,$C2022,$D:$D,"P0(후)",$L:$L,"&gt;0")&lt;&gt;1,"",SUMIFS($H:$H,$C:$C,$C2022,$D:$D,"P0(후)"))</f>
        <v/>
      </c>
      <c r="Q2022" s="30">
        <f>IF(COUNTIFS($C:$C,$C2022,$D:$D,"P0(후)",$L:$L,"&gt;0")&lt;&gt;1,"",SUMIFS($L:$L,$C:$C,$C2022,$D:$D,"P0(후)"))</f>
        <v/>
      </c>
      <c r="R2022" s="30">
        <f>IF(M2022&lt;&gt;"OK","",O2022+(Q2022-O2022)*(H2022-N2022)/(P2022-N2022))</f>
        <v/>
      </c>
      <c r="S2022" s="30">
        <f>IF(OR(M2022&lt;&gt;"OK",NOT(ISNUMBER(L2022))),"",L2022-R2022)</f>
        <v/>
      </c>
      <c r="T2022" s="46">
        <f>IF(OR(NOT(ISNUMBER(S2022)),IF(ISNUMBER(G2022),G2022,F2022)=0),"",S2022/IF(ISNUMBER(G2022),G2022,F2022))</f>
        <v/>
      </c>
      <c r="U2022" s="46">
        <f>IF(ISNUMBER(T2022),ABS(T2022),"")</f>
        <v/>
      </c>
      <c r="V2022" s="46">
        <f>IF(OR($D2021&lt;&gt;"측정",$C2021&lt;&gt;$C2022,NOT(ISNUMBER(L2022)),NOT(ISNUMBER(L2021)),(IF(ISNUMBER(G2022),G2022,F2022)-IF(ISNUMBER(G2021),G2021,F2021))=0),"",(L2022-L2021)/(IF(ISNUMBER(G2022),G2022,F2022)-IF(ISNUMBER(G2021),G2021,F2021)))</f>
        <v/>
      </c>
      <c r="W2022" s="30">
        <f>IF(NOT(AND(ISNUMBER(N2022),ISNUMBER(P2022))),"",(P2022-N2022)*1440)</f>
        <v/>
      </c>
      <c r="X2022" s="28" t="n"/>
      <c r="Y2022" s="28" t="n"/>
      <c r="Z2022" s="28" t="n"/>
      <c r="AA2022" s="31" t="n"/>
      <c r="AB2022" s="31" t="n"/>
    </row>
    <row r="2023">
      <c r="A2023" s="25" t="inlineStr">
        <is>
          <t>S39</t>
        </is>
      </c>
      <c r="B2023" s="25" t="inlineStr">
        <is>
          <t>언양</t>
        </is>
      </c>
      <c r="C2023" s="25" t="inlineStr">
        <is>
          <t>S39-H북</t>
        </is>
      </c>
      <c r="D2023" s="25" t="inlineStr">
        <is>
          <t>측정</t>
        </is>
      </c>
      <c r="E2023" s="25" t="inlineStr">
        <is>
          <t>북</t>
        </is>
      </c>
      <c r="F2023" s="30" t="n">
        <v>2</v>
      </c>
      <c r="G2023" s="29" t="n"/>
      <c r="H2023" s="42" t="n"/>
      <c r="I2023" s="40" t="n"/>
      <c r="J2023" s="40" t="n"/>
      <c r="K2023" s="40" t="n"/>
      <c r="L2023" s="30">
        <f>IF(COUNT(I2023:K2023)=0,"",MEDIAN(I2023:K2023))</f>
        <v/>
      </c>
      <c r="M2023" s="25">
        <f>IF(COUNTIFS($C:$C,$C2023,$D:$D,"P0(전)",$L:$L,"&gt;0")&lt;&gt;1,"P0(전) 유효 1개 아님",IF(COUNTIFS($C:$C,$C2023,$D:$D,"P0(후)",$L:$L,"&gt;0")&lt;&gt;1,"P0(후) 유효 1개 아님",IF(NOT(AND(ISNUMBER(N2023),ISNUMBER(P2023),ISNUMBER(H2023))),"시각 결측",IF(P2023&lt;=N2023,"P0 시각 역전",IF(OR(H2023&lt;N2023,H2023&gt;P2023),"측정시각 구간 밖","OK")))))</f>
        <v/>
      </c>
      <c r="N2023" s="45">
        <f>IF(COUNTIFS($C:$C,$C2023,$D:$D,"P0(전)",$L:$L,"&gt;0")&lt;&gt;1,"",SUMIFS($H:$H,$C:$C,$C2023,$D:$D,"P0(전)"))</f>
        <v/>
      </c>
      <c r="O2023" s="30">
        <f>IF(COUNTIFS($C:$C,$C2023,$D:$D,"P0(전)",$L:$L,"&gt;0")&lt;&gt;1,"",SUMIFS($L:$L,$C:$C,$C2023,$D:$D,"P0(전)"))</f>
        <v/>
      </c>
      <c r="P2023" s="45">
        <f>IF(COUNTIFS($C:$C,$C2023,$D:$D,"P0(후)",$L:$L,"&gt;0")&lt;&gt;1,"",SUMIFS($H:$H,$C:$C,$C2023,$D:$D,"P0(후)"))</f>
        <v/>
      </c>
      <c r="Q2023" s="30">
        <f>IF(COUNTIFS($C:$C,$C2023,$D:$D,"P0(후)",$L:$L,"&gt;0")&lt;&gt;1,"",SUMIFS($L:$L,$C:$C,$C2023,$D:$D,"P0(후)"))</f>
        <v/>
      </c>
      <c r="R2023" s="30">
        <f>IF(M2023&lt;&gt;"OK","",O2023+(Q2023-O2023)*(H2023-N2023)/(P2023-N2023))</f>
        <v/>
      </c>
      <c r="S2023" s="30">
        <f>IF(OR(M2023&lt;&gt;"OK",NOT(ISNUMBER(L2023))),"",L2023-R2023)</f>
        <v/>
      </c>
      <c r="T2023" s="46">
        <f>IF(OR(NOT(ISNUMBER(S2023)),IF(ISNUMBER(G2023),G2023,F2023)=0),"",S2023/IF(ISNUMBER(G2023),G2023,F2023))</f>
        <v/>
      </c>
      <c r="U2023" s="46">
        <f>IF(ISNUMBER(T2023),ABS(T2023),"")</f>
        <v/>
      </c>
      <c r="V2023" s="46">
        <f>IF(OR($D2022&lt;&gt;"측정",$C2022&lt;&gt;$C2023,NOT(ISNUMBER(L2023)),NOT(ISNUMBER(L2022)),(IF(ISNUMBER(G2023),G2023,F2023)-IF(ISNUMBER(G2022),G2022,F2022))=0),"",(L2023-L2022)/(IF(ISNUMBER(G2023),G2023,F2023)-IF(ISNUMBER(G2022),G2022,F2022)))</f>
        <v/>
      </c>
      <c r="W2023" s="30">
        <f>IF(NOT(AND(ISNUMBER(N2023),ISNUMBER(P2023))),"",(P2023-N2023)*1440)</f>
        <v/>
      </c>
      <c r="X2023" s="28" t="n"/>
      <c r="Y2023" s="28" t="n"/>
      <c r="Z2023" s="28" t="n"/>
      <c r="AA2023" s="31" t="n"/>
      <c r="AB2023" s="31" t="n"/>
    </row>
    <row r="2024">
      <c r="A2024" s="25" t="inlineStr">
        <is>
          <t>S39</t>
        </is>
      </c>
      <c r="B2024" s="25" t="inlineStr">
        <is>
          <t>언양</t>
        </is>
      </c>
      <c r="C2024" s="25" t="inlineStr">
        <is>
          <t>S39-H북</t>
        </is>
      </c>
      <c r="D2024" s="25" t="inlineStr">
        <is>
          <t>측정</t>
        </is>
      </c>
      <c r="E2024" s="25" t="inlineStr">
        <is>
          <t>북</t>
        </is>
      </c>
      <c r="F2024" s="30" t="n">
        <v>3</v>
      </c>
      <c r="G2024" s="29" t="n"/>
      <c r="H2024" s="42" t="n"/>
      <c r="I2024" s="40" t="n"/>
      <c r="J2024" s="40" t="n"/>
      <c r="K2024" s="40" t="n"/>
      <c r="L2024" s="30">
        <f>IF(COUNT(I2024:K2024)=0,"",MEDIAN(I2024:K2024))</f>
        <v/>
      </c>
      <c r="M2024" s="25">
        <f>IF(COUNTIFS($C:$C,$C2024,$D:$D,"P0(전)",$L:$L,"&gt;0")&lt;&gt;1,"P0(전) 유효 1개 아님",IF(COUNTIFS($C:$C,$C2024,$D:$D,"P0(후)",$L:$L,"&gt;0")&lt;&gt;1,"P0(후) 유효 1개 아님",IF(NOT(AND(ISNUMBER(N2024),ISNUMBER(P2024),ISNUMBER(H2024))),"시각 결측",IF(P2024&lt;=N2024,"P0 시각 역전",IF(OR(H2024&lt;N2024,H2024&gt;P2024),"측정시각 구간 밖","OK")))))</f>
        <v/>
      </c>
      <c r="N2024" s="45">
        <f>IF(COUNTIFS($C:$C,$C2024,$D:$D,"P0(전)",$L:$L,"&gt;0")&lt;&gt;1,"",SUMIFS($H:$H,$C:$C,$C2024,$D:$D,"P0(전)"))</f>
        <v/>
      </c>
      <c r="O2024" s="30">
        <f>IF(COUNTIFS($C:$C,$C2024,$D:$D,"P0(전)",$L:$L,"&gt;0")&lt;&gt;1,"",SUMIFS($L:$L,$C:$C,$C2024,$D:$D,"P0(전)"))</f>
        <v/>
      </c>
      <c r="P2024" s="45">
        <f>IF(COUNTIFS($C:$C,$C2024,$D:$D,"P0(후)",$L:$L,"&gt;0")&lt;&gt;1,"",SUMIFS($H:$H,$C:$C,$C2024,$D:$D,"P0(후)"))</f>
        <v/>
      </c>
      <c r="Q2024" s="30">
        <f>IF(COUNTIFS($C:$C,$C2024,$D:$D,"P0(후)",$L:$L,"&gt;0")&lt;&gt;1,"",SUMIFS($L:$L,$C:$C,$C2024,$D:$D,"P0(후)"))</f>
        <v/>
      </c>
      <c r="R2024" s="30">
        <f>IF(M2024&lt;&gt;"OK","",O2024+(Q2024-O2024)*(H2024-N2024)/(P2024-N2024))</f>
        <v/>
      </c>
      <c r="S2024" s="30">
        <f>IF(OR(M2024&lt;&gt;"OK",NOT(ISNUMBER(L2024))),"",L2024-R2024)</f>
        <v/>
      </c>
      <c r="T2024" s="46">
        <f>IF(OR(NOT(ISNUMBER(S2024)),IF(ISNUMBER(G2024),G2024,F2024)=0),"",S2024/IF(ISNUMBER(G2024),G2024,F2024))</f>
        <v/>
      </c>
      <c r="U2024" s="46">
        <f>IF(ISNUMBER(T2024),ABS(T2024),"")</f>
        <v/>
      </c>
      <c r="V2024" s="46">
        <f>IF(OR($D2023&lt;&gt;"측정",$C2023&lt;&gt;$C2024,NOT(ISNUMBER(L2024)),NOT(ISNUMBER(L2023)),(IF(ISNUMBER(G2024),G2024,F2024)-IF(ISNUMBER(G2023),G2023,F2023))=0),"",(L2024-L2023)/(IF(ISNUMBER(G2024),G2024,F2024)-IF(ISNUMBER(G2023),G2023,F2023)))</f>
        <v/>
      </c>
      <c r="W2024" s="30">
        <f>IF(NOT(AND(ISNUMBER(N2024),ISNUMBER(P2024))),"",(P2024-N2024)*1440)</f>
        <v/>
      </c>
      <c r="X2024" s="28" t="n"/>
      <c r="Y2024" s="28" t="n"/>
      <c r="Z2024" s="28" t="n"/>
      <c r="AA2024" s="31" t="n"/>
      <c r="AB2024" s="31" t="n"/>
    </row>
    <row r="2025">
      <c r="A2025" s="25" t="inlineStr">
        <is>
          <t>S39</t>
        </is>
      </c>
      <c r="B2025" s="25" t="inlineStr">
        <is>
          <t>언양</t>
        </is>
      </c>
      <c r="C2025" s="25" t="inlineStr">
        <is>
          <t>S39-H북</t>
        </is>
      </c>
      <c r="D2025" s="25" t="inlineStr">
        <is>
          <t>측정</t>
        </is>
      </c>
      <c r="E2025" s="25" t="inlineStr">
        <is>
          <t>북</t>
        </is>
      </c>
      <c r="F2025" s="30" t="n">
        <v>4</v>
      </c>
      <c r="G2025" s="29" t="n"/>
      <c r="H2025" s="42" t="n"/>
      <c r="I2025" s="40" t="n"/>
      <c r="J2025" s="40" t="n"/>
      <c r="K2025" s="40" t="n"/>
      <c r="L2025" s="30">
        <f>IF(COUNT(I2025:K2025)=0,"",MEDIAN(I2025:K2025))</f>
        <v/>
      </c>
      <c r="M2025" s="25">
        <f>IF(COUNTIFS($C:$C,$C2025,$D:$D,"P0(전)",$L:$L,"&gt;0")&lt;&gt;1,"P0(전) 유효 1개 아님",IF(COUNTIFS($C:$C,$C2025,$D:$D,"P0(후)",$L:$L,"&gt;0")&lt;&gt;1,"P0(후) 유효 1개 아님",IF(NOT(AND(ISNUMBER(N2025),ISNUMBER(P2025),ISNUMBER(H2025))),"시각 결측",IF(P2025&lt;=N2025,"P0 시각 역전",IF(OR(H2025&lt;N2025,H2025&gt;P2025),"측정시각 구간 밖","OK")))))</f>
        <v/>
      </c>
      <c r="N2025" s="45">
        <f>IF(COUNTIFS($C:$C,$C2025,$D:$D,"P0(전)",$L:$L,"&gt;0")&lt;&gt;1,"",SUMIFS($H:$H,$C:$C,$C2025,$D:$D,"P0(전)"))</f>
        <v/>
      </c>
      <c r="O2025" s="30">
        <f>IF(COUNTIFS($C:$C,$C2025,$D:$D,"P0(전)",$L:$L,"&gt;0")&lt;&gt;1,"",SUMIFS($L:$L,$C:$C,$C2025,$D:$D,"P0(전)"))</f>
        <v/>
      </c>
      <c r="P2025" s="45">
        <f>IF(COUNTIFS($C:$C,$C2025,$D:$D,"P0(후)",$L:$L,"&gt;0")&lt;&gt;1,"",SUMIFS($H:$H,$C:$C,$C2025,$D:$D,"P0(후)"))</f>
        <v/>
      </c>
      <c r="Q2025" s="30">
        <f>IF(COUNTIFS($C:$C,$C2025,$D:$D,"P0(후)",$L:$L,"&gt;0")&lt;&gt;1,"",SUMIFS($L:$L,$C:$C,$C2025,$D:$D,"P0(후)"))</f>
        <v/>
      </c>
      <c r="R2025" s="30">
        <f>IF(M2025&lt;&gt;"OK","",O2025+(Q2025-O2025)*(H2025-N2025)/(P2025-N2025))</f>
        <v/>
      </c>
      <c r="S2025" s="30">
        <f>IF(OR(M2025&lt;&gt;"OK",NOT(ISNUMBER(L2025))),"",L2025-R2025)</f>
        <v/>
      </c>
      <c r="T2025" s="46">
        <f>IF(OR(NOT(ISNUMBER(S2025)),IF(ISNUMBER(G2025),G2025,F2025)=0),"",S2025/IF(ISNUMBER(G2025),G2025,F2025))</f>
        <v/>
      </c>
      <c r="U2025" s="46">
        <f>IF(ISNUMBER(T2025),ABS(T2025),"")</f>
        <v/>
      </c>
      <c r="V2025" s="46">
        <f>IF(OR($D2024&lt;&gt;"측정",$C2024&lt;&gt;$C2025,NOT(ISNUMBER(L2025)),NOT(ISNUMBER(L2024)),(IF(ISNUMBER(G2025),G2025,F2025)-IF(ISNUMBER(G2024),G2024,F2024))=0),"",(L2025-L2024)/(IF(ISNUMBER(G2025),G2025,F2025)-IF(ISNUMBER(G2024),G2024,F2024)))</f>
        <v/>
      </c>
      <c r="W2025" s="30">
        <f>IF(NOT(AND(ISNUMBER(N2025),ISNUMBER(P2025))),"",(P2025-N2025)*1440)</f>
        <v/>
      </c>
      <c r="X2025" s="28" t="n"/>
      <c r="Y2025" s="28" t="n"/>
      <c r="Z2025" s="28" t="n"/>
      <c r="AA2025" s="31" t="n"/>
      <c r="AB2025" s="31" t="n"/>
    </row>
    <row r="2026">
      <c r="A2026" s="25" t="inlineStr">
        <is>
          <t>S39</t>
        </is>
      </c>
      <c r="B2026" s="25" t="inlineStr">
        <is>
          <t>언양</t>
        </is>
      </c>
      <c r="C2026" s="25" t="inlineStr">
        <is>
          <t>S39-H북</t>
        </is>
      </c>
      <c r="D2026" s="25" t="inlineStr">
        <is>
          <t>측정</t>
        </is>
      </c>
      <c r="E2026" s="25" t="inlineStr">
        <is>
          <t>북</t>
        </is>
      </c>
      <c r="F2026" s="30" t="n">
        <v>5</v>
      </c>
      <c r="G2026" s="29" t="n"/>
      <c r="H2026" s="42" t="n"/>
      <c r="I2026" s="40" t="n"/>
      <c r="J2026" s="40" t="n"/>
      <c r="K2026" s="40" t="n"/>
      <c r="L2026" s="30">
        <f>IF(COUNT(I2026:K2026)=0,"",MEDIAN(I2026:K2026))</f>
        <v/>
      </c>
      <c r="M2026" s="25">
        <f>IF(COUNTIFS($C:$C,$C2026,$D:$D,"P0(전)",$L:$L,"&gt;0")&lt;&gt;1,"P0(전) 유효 1개 아님",IF(COUNTIFS($C:$C,$C2026,$D:$D,"P0(후)",$L:$L,"&gt;0")&lt;&gt;1,"P0(후) 유효 1개 아님",IF(NOT(AND(ISNUMBER(N2026),ISNUMBER(P2026),ISNUMBER(H2026))),"시각 결측",IF(P2026&lt;=N2026,"P0 시각 역전",IF(OR(H2026&lt;N2026,H2026&gt;P2026),"측정시각 구간 밖","OK")))))</f>
        <v/>
      </c>
      <c r="N2026" s="45">
        <f>IF(COUNTIFS($C:$C,$C2026,$D:$D,"P0(전)",$L:$L,"&gt;0")&lt;&gt;1,"",SUMIFS($H:$H,$C:$C,$C2026,$D:$D,"P0(전)"))</f>
        <v/>
      </c>
      <c r="O2026" s="30">
        <f>IF(COUNTIFS($C:$C,$C2026,$D:$D,"P0(전)",$L:$L,"&gt;0")&lt;&gt;1,"",SUMIFS($L:$L,$C:$C,$C2026,$D:$D,"P0(전)"))</f>
        <v/>
      </c>
      <c r="P2026" s="45">
        <f>IF(COUNTIFS($C:$C,$C2026,$D:$D,"P0(후)",$L:$L,"&gt;0")&lt;&gt;1,"",SUMIFS($H:$H,$C:$C,$C2026,$D:$D,"P0(후)"))</f>
        <v/>
      </c>
      <c r="Q2026" s="30">
        <f>IF(COUNTIFS($C:$C,$C2026,$D:$D,"P0(후)",$L:$L,"&gt;0")&lt;&gt;1,"",SUMIFS($L:$L,$C:$C,$C2026,$D:$D,"P0(후)"))</f>
        <v/>
      </c>
      <c r="R2026" s="30">
        <f>IF(M2026&lt;&gt;"OK","",O2026+(Q2026-O2026)*(H2026-N2026)/(P2026-N2026))</f>
        <v/>
      </c>
      <c r="S2026" s="30">
        <f>IF(OR(M2026&lt;&gt;"OK",NOT(ISNUMBER(L2026))),"",L2026-R2026)</f>
        <v/>
      </c>
      <c r="T2026" s="46">
        <f>IF(OR(NOT(ISNUMBER(S2026)),IF(ISNUMBER(G2026),G2026,F2026)=0),"",S2026/IF(ISNUMBER(G2026),G2026,F2026))</f>
        <v/>
      </c>
      <c r="U2026" s="46">
        <f>IF(ISNUMBER(T2026),ABS(T2026),"")</f>
        <v/>
      </c>
      <c r="V2026" s="46">
        <f>IF(OR($D2025&lt;&gt;"측정",$C2025&lt;&gt;$C2026,NOT(ISNUMBER(L2026)),NOT(ISNUMBER(L2025)),(IF(ISNUMBER(G2026),G2026,F2026)-IF(ISNUMBER(G2025),G2025,F2025))=0),"",(L2026-L2025)/(IF(ISNUMBER(G2026),G2026,F2026)-IF(ISNUMBER(G2025),G2025,F2025)))</f>
        <v/>
      </c>
      <c r="W2026" s="30">
        <f>IF(NOT(AND(ISNUMBER(N2026),ISNUMBER(P2026))),"",(P2026-N2026)*1440)</f>
        <v/>
      </c>
      <c r="X2026" s="28" t="n"/>
      <c r="Y2026" s="28" t="n"/>
      <c r="Z2026" s="28" t="n"/>
      <c r="AA2026" s="31" t="n"/>
      <c r="AB2026" s="31" t="n"/>
    </row>
    <row r="2027">
      <c r="A2027" s="25" t="inlineStr">
        <is>
          <t>S39</t>
        </is>
      </c>
      <c r="B2027" s="25" t="inlineStr">
        <is>
          <t>언양</t>
        </is>
      </c>
      <c r="C2027" s="25" t="inlineStr">
        <is>
          <t>S39-H북</t>
        </is>
      </c>
      <c r="D2027" s="25" t="inlineStr">
        <is>
          <t>측정</t>
        </is>
      </c>
      <c r="E2027" s="25" t="inlineStr">
        <is>
          <t>북</t>
        </is>
      </c>
      <c r="F2027" s="30" t="n">
        <v>6</v>
      </c>
      <c r="G2027" s="29" t="n"/>
      <c r="H2027" s="42" t="n"/>
      <c r="I2027" s="40" t="n"/>
      <c r="J2027" s="40" t="n"/>
      <c r="K2027" s="40" t="n"/>
      <c r="L2027" s="30">
        <f>IF(COUNT(I2027:K2027)=0,"",MEDIAN(I2027:K2027))</f>
        <v/>
      </c>
      <c r="M2027" s="25">
        <f>IF(COUNTIFS($C:$C,$C2027,$D:$D,"P0(전)",$L:$L,"&gt;0")&lt;&gt;1,"P0(전) 유효 1개 아님",IF(COUNTIFS($C:$C,$C2027,$D:$D,"P0(후)",$L:$L,"&gt;0")&lt;&gt;1,"P0(후) 유효 1개 아님",IF(NOT(AND(ISNUMBER(N2027),ISNUMBER(P2027),ISNUMBER(H2027))),"시각 결측",IF(P2027&lt;=N2027,"P0 시각 역전",IF(OR(H2027&lt;N2027,H2027&gt;P2027),"측정시각 구간 밖","OK")))))</f>
        <v/>
      </c>
      <c r="N2027" s="45">
        <f>IF(COUNTIFS($C:$C,$C2027,$D:$D,"P0(전)",$L:$L,"&gt;0")&lt;&gt;1,"",SUMIFS($H:$H,$C:$C,$C2027,$D:$D,"P0(전)"))</f>
        <v/>
      </c>
      <c r="O2027" s="30">
        <f>IF(COUNTIFS($C:$C,$C2027,$D:$D,"P0(전)",$L:$L,"&gt;0")&lt;&gt;1,"",SUMIFS($L:$L,$C:$C,$C2027,$D:$D,"P0(전)"))</f>
        <v/>
      </c>
      <c r="P2027" s="45">
        <f>IF(COUNTIFS($C:$C,$C2027,$D:$D,"P0(후)",$L:$L,"&gt;0")&lt;&gt;1,"",SUMIFS($H:$H,$C:$C,$C2027,$D:$D,"P0(후)"))</f>
        <v/>
      </c>
      <c r="Q2027" s="30">
        <f>IF(COUNTIFS($C:$C,$C2027,$D:$D,"P0(후)",$L:$L,"&gt;0")&lt;&gt;1,"",SUMIFS($L:$L,$C:$C,$C2027,$D:$D,"P0(후)"))</f>
        <v/>
      </c>
      <c r="R2027" s="30">
        <f>IF(M2027&lt;&gt;"OK","",O2027+(Q2027-O2027)*(H2027-N2027)/(P2027-N2027))</f>
        <v/>
      </c>
      <c r="S2027" s="30">
        <f>IF(OR(M2027&lt;&gt;"OK",NOT(ISNUMBER(L2027))),"",L2027-R2027)</f>
        <v/>
      </c>
      <c r="T2027" s="46">
        <f>IF(OR(NOT(ISNUMBER(S2027)),IF(ISNUMBER(G2027),G2027,F2027)=0),"",S2027/IF(ISNUMBER(G2027),G2027,F2027))</f>
        <v/>
      </c>
      <c r="U2027" s="46">
        <f>IF(ISNUMBER(T2027),ABS(T2027),"")</f>
        <v/>
      </c>
      <c r="V2027" s="46">
        <f>IF(OR($D2026&lt;&gt;"측정",$C2026&lt;&gt;$C2027,NOT(ISNUMBER(L2027)),NOT(ISNUMBER(L2026)),(IF(ISNUMBER(G2027),G2027,F2027)-IF(ISNUMBER(G2026),G2026,F2026))=0),"",(L2027-L2026)/(IF(ISNUMBER(G2027),G2027,F2027)-IF(ISNUMBER(G2026),G2026,F2026)))</f>
        <v/>
      </c>
      <c r="W2027" s="30">
        <f>IF(NOT(AND(ISNUMBER(N2027),ISNUMBER(P2027))),"",(P2027-N2027)*1440)</f>
        <v/>
      </c>
      <c r="X2027" s="28" t="n"/>
      <c r="Y2027" s="28" t="n"/>
      <c r="Z2027" s="28" t="n"/>
      <c r="AA2027" s="31" t="n"/>
      <c r="AB2027" s="31" t="n"/>
    </row>
    <row r="2028">
      <c r="A2028" s="25" t="inlineStr">
        <is>
          <t>S39</t>
        </is>
      </c>
      <c r="B2028" s="25" t="inlineStr">
        <is>
          <t>언양</t>
        </is>
      </c>
      <c r="C2028" s="25" t="inlineStr">
        <is>
          <t>S39-H북</t>
        </is>
      </c>
      <c r="D2028" s="25" t="inlineStr">
        <is>
          <t>측정</t>
        </is>
      </c>
      <c r="E2028" s="25" t="inlineStr">
        <is>
          <t>북</t>
        </is>
      </c>
      <c r="F2028" s="30" t="n">
        <v>7</v>
      </c>
      <c r="G2028" s="29" t="n"/>
      <c r="H2028" s="42" t="n"/>
      <c r="I2028" s="40" t="n"/>
      <c r="J2028" s="40" t="n"/>
      <c r="K2028" s="40" t="n"/>
      <c r="L2028" s="30">
        <f>IF(COUNT(I2028:K2028)=0,"",MEDIAN(I2028:K2028))</f>
        <v/>
      </c>
      <c r="M2028" s="25">
        <f>IF(COUNTIFS($C:$C,$C2028,$D:$D,"P0(전)",$L:$L,"&gt;0")&lt;&gt;1,"P0(전) 유효 1개 아님",IF(COUNTIFS($C:$C,$C2028,$D:$D,"P0(후)",$L:$L,"&gt;0")&lt;&gt;1,"P0(후) 유효 1개 아님",IF(NOT(AND(ISNUMBER(N2028),ISNUMBER(P2028),ISNUMBER(H2028))),"시각 결측",IF(P2028&lt;=N2028,"P0 시각 역전",IF(OR(H2028&lt;N2028,H2028&gt;P2028),"측정시각 구간 밖","OK")))))</f>
        <v/>
      </c>
      <c r="N2028" s="45">
        <f>IF(COUNTIFS($C:$C,$C2028,$D:$D,"P0(전)",$L:$L,"&gt;0")&lt;&gt;1,"",SUMIFS($H:$H,$C:$C,$C2028,$D:$D,"P0(전)"))</f>
        <v/>
      </c>
      <c r="O2028" s="30">
        <f>IF(COUNTIFS($C:$C,$C2028,$D:$D,"P0(전)",$L:$L,"&gt;0")&lt;&gt;1,"",SUMIFS($L:$L,$C:$C,$C2028,$D:$D,"P0(전)"))</f>
        <v/>
      </c>
      <c r="P2028" s="45">
        <f>IF(COUNTIFS($C:$C,$C2028,$D:$D,"P0(후)",$L:$L,"&gt;0")&lt;&gt;1,"",SUMIFS($H:$H,$C:$C,$C2028,$D:$D,"P0(후)"))</f>
        <v/>
      </c>
      <c r="Q2028" s="30">
        <f>IF(COUNTIFS($C:$C,$C2028,$D:$D,"P0(후)",$L:$L,"&gt;0")&lt;&gt;1,"",SUMIFS($L:$L,$C:$C,$C2028,$D:$D,"P0(후)"))</f>
        <v/>
      </c>
      <c r="R2028" s="30">
        <f>IF(M2028&lt;&gt;"OK","",O2028+(Q2028-O2028)*(H2028-N2028)/(P2028-N2028))</f>
        <v/>
      </c>
      <c r="S2028" s="30">
        <f>IF(OR(M2028&lt;&gt;"OK",NOT(ISNUMBER(L2028))),"",L2028-R2028)</f>
        <v/>
      </c>
      <c r="T2028" s="46">
        <f>IF(OR(NOT(ISNUMBER(S2028)),IF(ISNUMBER(G2028),G2028,F2028)=0),"",S2028/IF(ISNUMBER(G2028),G2028,F2028))</f>
        <v/>
      </c>
      <c r="U2028" s="46">
        <f>IF(ISNUMBER(T2028),ABS(T2028),"")</f>
        <v/>
      </c>
      <c r="V2028" s="46">
        <f>IF(OR($D2027&lt;&gt;"측정",$C2027&lt;&gt;$C2028,NOT(ISNUMBER(L2028)),NOT(ISNUMBER(L2027)),(IF(ISNUMBER(G2028),G2028,F2028)-IF(ISNUMBER(G2027),G2027,F2027))=0),"",(L2028-L2027)/(IF(ISNUMBER(G2028),G2028,F2028)-IF(ISNUMBER(G2027),G2027,F2027)))</f>
        <v/>
      </c>
      <c r="W2028" s="30">
        <f>IF(NOT(AND(ISNUMBER(N2028),ISNUMBER(P2028))),"",(P2028-N2028)*1440)</f>
        <v/>
      </c>
      <c r="X2028" s="28" t="n"/>
      <c r="Y2028" s="28" t="n"/>
      <c r="Z2028" s="28" t="n"/>
      <c r="AA2028" s="31" t="n"/>
      <c r="AB2028" s="31" t="n"/>
    </row>
    <row r="2029">
      <c r="A2029" s="25" t="inlineStr">
        <is>
          <t>S39</t>
        </is>
      </c>
      <c r="B2029" s="25" t="inlineStr">
        <is>
          <t>언양</t>
        </is>
      </c>
      <c r="C2029" s="25" t="inlineStr">
        <is>
          <t>S39-H북</t>
        </is>
      </c>
      <c r="D2029" s="25" t="inlineStr">
        <is>
          <t>측정</t>
        </is>
      </c>
      <c r="E2029" s="25" t="inlineStr">
        <is>
          <t>북</t>
        </is>
      </c>
      <c r="F2029" s="30" t="n">
        <v>8</v>
      </c>
      <c r="G2029" s="29" t="n"/>
      <c r="H2029" s="42" t="n"/>
      <c r="I2029" s="40" t="n"/>
      <c r="J2029" s="40" t="n"/>
      <c r="K2029" s="40" t="n"/>
      <c r="L2029" s="30">
        <f>IF(COUNT(I2029:K2029)=0,"",MEDIAN(I2029:K2029))</f>
        <v/>
      </c>
      <c r="M2029" s="25">
        <f>IF(COUNTIFS($C:$C,$C2029,$D:$D,"P0(전)",$L:$L,"&gt;0")&lt;&gt;1,"P0(전) 유효 1개 아님",IF(COUNTIFS($C:$C,$C2029,$D:$D,"P0(후)",$L:$L,"&gt;0")&lt;&gt;1,"P0(후) 유효 1개 아님",IF(NOT(AND(ISNUMBER(N2029),ISNUMBER(P2029),ISNUMBER(H2029))),"시각 결측",IF(P2029&lt;=N2029,"P0 시각 역전",IF(OR(H2029&lt;N2029,H2029&gt;P2029),"측정시각 구간 밖","OK")))))</f>
        <v/>
      </c>
      <c r="N2029" s="45">
        <f>IF(COUNTIFS($C:$C,$C2029,$D:$D,"P0(전)",$L:$L,"&gt;0")&lt;&gt;1,"",SUMIFS($H:$H,$C:$C,$C2029,$D:$D,"P0(전)"))</f>
        <v/>
      </c>
      <c r="O2029" s="30">
        <f>IF(COUNTIFS($C:$C,$C2029,$D:$D,"P0(전)",$L:$L,"&gt;0")&lt;&gt;1,"",SUMIFS($L:$L,$C:$C,$C2029,$D:$D,"P0(전)"))</f>
        <v/>
      </c>
      <c r="P2029" s="45">
        <f>IF(COUNTIFS($C:$C,$C2029,$D:$D,"P0(후)",$L:$L,"&gt;0")&lt;&gt;1,"",SUMIFS($H:$H,$C:$C,$C2029,$D:$D,"P0(후)"))</f>
        <v/>
      </c>
      <c r="Q2029" s="30">
        <f>IF(COUNTIFS($C:$C,$C2029,$D:$D,"P0(후)",$L:$L,"&gt;0")&lt;&gt;1,"",SUMIFS($L:$L,$C:$C,$C2029,$D:$D,"P0(후)"))</f>
        <v/>
      </c>
      <c r="R2029" s="30">
        <f>IF(M2029&lt;&gt;"OK","",O2029+(Q2029-O2029)*(H2029-N2029)/(P2029-N2029))</f>
        <v/>
      </c>
      <c r="S2029" s="30">
        <f>IF(OR(M2029&lt;&gt;"OK",NOT(ISNUMBER(L2029))),"",L2029-R2029)</f>
        <v/>
      </c>
      <c r="T2029" s="46">
        <f>IF(OR(NOT(ISNUMBER(S2029)),IF(ISNUMBER(G2029),G2029,F2029)=0),"",S2029/IF(ISNUMBER(G2029),G2029,F2029))</f>
        <v/>
      </c>
      <c r="U2029" s="46">
        <f>IF(ISNUMBER(T2029),ABS(T2029),"")</f>
        <v/>
      </c>
      <c r="V2029" s="46">
        <f>IF(OR($D2028&lt;&gt;"측정",$C2028&lt;&gt;$C2029,NOT(ISNUMBER(L2029)),NOT(ISNUMBER(L2028)),(IF(ISNUMBER(G2029),G2029,F2029)-IF(ISNUMBER(G2028),G2028,F2028))=0),"",(L2029-L2028)/(IF(ISNUMBER(G2029),G2029,F2029)-IF(ISNUMBER(G2028),G2028,F2028)))</f>
        <v/>
      </c>
      <c r="W2029" s="30">
        <f>IF(NOT(AND(ISNUMBER(N2029),ISNUMBER(P2029))),"",(P2029-N2029)*1440)</f>
        <v/>
      </c>
      <c r="X2029" s="28" t="n"/>
      <c r="Y2029" s="28" t="n"/>
      <c r="Z2029" s="28" t="n"/>
      <c r="AA2029" s="31" t="n"/>
      <c r="AB2029" s="31" t="n"/>
    </row>
    <row r="2030">
      <c r="A2030" s="25" t="inlineStr">
        <is>
          <t>S39</t>
        </is>
      </c>
      <c r="B2030" s="25" t="inlineStr">
        <is>
          <t>언양</t>
        </is>
      </c>
      <c r="C2030" s="25" t="inlineStr">
        <is>
          <t>S39-H북</t>
        </is>
      </c>
      <c r="D2030" s="25" t="inlineStr">
        <is>
          <t>측정</t>
        </is>
      </c>
      <c r="E2030" s="25" t="inlineStr">
        <is>
          <t>북</t>
        </is>
      </c>
      <c r="F2030" s="30" t="n">
        <v>9</v>
      </c>
      <c r="G2030" s="29" t="n"/>
      <c r="H2030" s="42" t="n"/>
      <c r="I2030" s="40" t="n"/>
      <c r="J2030" s="40" t="n"/>
      <c r="K2030" s="40" t="n"/>
      <c r="L2030" s="30">
        <f>IF(COUNT(I2030:K2030)=0,"",MEDIAN(I2030:K2030))</f>
        <v/>
      </c>
      <c r="M2030" s="25">
        <f>IF(COUNTIFS($C:$C,$C2030,$D:$D,"P0(전)",$L:$L,"&gt;0")&lt;&gt;1,"P0(전) 유효 1개 아님",IF(COUNTIFS($C:$C,$C2030,$D:$D,"P0(후)",$L:$L,"&gt;0")&lt;&gt;1,"P0(후) 유효 1개 아님",IF(NOT(AND(ISNUMBER(N2030),ISNUMBER(P2030),ISNUMBER(H2030))),"시각 결측",IF(P2030&lt;=N2030,"P0 시각 역전",IF(OR(H2030&lt;N2030,H2030&gt;P2030),"측정시각 구간 밖","OK")))))</f>
        <v/>
      </c>
      <c r="N2030" s="45">
        <f>IF(COUNTIFS($C:$C,$C2030,$D:$D,"P0(전)",$L:$L,"&gt;0")&lt;&gt;1,"",SUMIFS($H:$H,$C:$C,$C2030,$D:$D,"P0(전)"))</f>
        <v/>
      </c>
      <c r="O2030" s="30">
        <f>IF(COUNTIFS($C:$C,$C2030,$D:$D,"P0(전)",$L:$L,"&gt;0")&lt;&gt;1,"",SUMIFS($L:$L,$C:$C,$C2030,$D:$D,"P0(전)"))</f>
        <v/>
      </c>
      <c r="P2030" s="45">
        <f>IF(COUNTIFS($C:$C,$C2030,$D:$D,"P0(후)",$L:$L,"&gt;0")&lt;&gt;1,"",SUMIFS($H:$H,$C:$C,$C2030,$D:$D,"P0(후)"))</f>
        <v/>
      </c>
      <c r="Q2030" s="30">
        <f>IF(COUNTIFS($C:$C,$C2030,$D:$D,"P0(후)",$L:$L,"&gt;0")&lt;&gt;1,"",SUMIFS($L:$L,$C:$C,$C2030,$D:$D,"P0(후)"))</f>
        <v/>
      </c>
      <c r="R2030" s="30">
        <f>IF(M2030&lt;&gt;"OK","",O2030+(Q2030-O2030)*(H2030-N2030)/(P2030-N2030))</f>
        <v/>
      </c>
      <c r="S2030" s="30">
        <f>IF(OR(M2030&lt;&gt;"OK",NOT(ISNUMBER(L2030))),"",L2030-R2030)</f>
        <v/>
      </c>
      <c r="T2030" s="46">
        <f>IF(OR(NOT(ISNUMBER(S2030)),IF(ISNUMBER(G2030),G2030,F2030)=0),"",S2030/IF(ISNUMBER(G2030),G2030,F2030))</f>
        <v/>
      </c>
      <c r="U2030" s="46">
        <f>IF(ISNUMBER(T2030),ABS(T2030),"")</f>
        <v/>
      </c>
      <c r="V2030" s="46">
        <f>IF(OR($D2029&lt;&gt;"측정",$C2029&lt;&gt;$C2030,NOT(ISNUMBER(L2030)),NOT(ISNUMBER(L2029)),(IF(ISNUMBER(G2030),G2030,F2030)-IF(ISNUMBER(G2029),G2029,F2029))=0),"",(L2030-L2029)/(IF(ISNUMBER(G2030),G2030,F2030)-IF(ISNUMBER(G2029),G2029,F2029)))</f>
        <v/>
      </c>
      <c r="W2030" s="30">
        <f>IF(NOT(AND(ISNUMBER(N2030),ISNUMBER(P2030))),"",(P2030-N2030)*1440)</f>
        <v/>
      </c>
      <c r="X2030" s="28" t="n"/>
      <c r="Y2030" s="28" t="n"/>
      <c r="Z2030" s="28" t="n"/>
      <c r="AA2030" s="31" t="n"/>
      <c r="AB2030" s="31" t="n"/>
    </row>
    <row r="2031">
      <c r="A2031" s="25" t="inlineStr">
        <is>
          <t>S39</t>
        </is>
      </c>
      <c r="B2031" s="25" t="inlineStr">
        <is>
          <t>언양</t>
        </is>
      </c>
      <c r="C2031" s="25" t="inlineStr">
        <is>
          <t>S39-H북</t>
        </is>
      </c>
      <c r="D2031" s="25" t="inlineStr">
        <is>
          <t>측정</t>
        </is>
      </c>
      <c r="E2031" s="25" t="inlineStr">
        <is>
          <t>북</t>
        </is>
      </c>
      <c r="F2031" s="30" t="n">
        <v>10</v>
      </c>
      <c r="G2031" s="29" t="n"/>
      <c r="H2031" s="42" t="n"/>
      <c r="I2031" s="40" t="n"/>
      <c r="J2031" s="40" t="n"/>
      <c r="K2031" s="40" t="n"/>
      <c r="L2031" s="30">
        <f>IF(COUNT(I2031:K2031)=0,"",MEDIAN(I2031:K2031))</f>
        <v/>
      </c>
      <c r="M2031" s="25">
        <f>IF(COUNTIFS($C:$C,$C2031,$D:$D,"P0(전)",$L:$L,"&gt;0")&lt;&gt;1,"P0(전) 유효 1개 아님",IF(COUNTIFS($C:$C,$C2031,$D:$D,"P0(후)",$L:$L,"&gt;0")&lt;&gt;1,"P0(후) 유효 1개 아님",IF(NOT(AND(ISNUMBER(N2031),ISNUMBER(P2031),ISNUMBER(H2031))),"시각 결측",IF(P2031&lt;=N2031,"P0 시각 역전",IF(OR(H2031&lt;N2031,H2031&gt;P2031),"측정시각 구간 밖","OK")))))</f>
        <v/>
      </c>
      <c r="N2031" s="45">
        <f>IF(COUNTIFS($C:$C,$C2031,$D:$D,"P0(전)",$L:$L,"&gt;0")&lt;&gt;1,"",SUMIFS($H:$H,$C:$C,$C2031,$D:$D,"P0(전)"))</f>
        <v/>
      </c>
      <c r="O2031" s="30">
        <f>IF(COUNTIFS($C:$C,$C2031,$D:$D,"P0(전)",$L:$L,"&gt;0")&lt;&gt;1,"",SUMIFS($L:$L,$C:$C,$C2031,$D:$D,"P0(전)"))</f>
        <v/>
      </c>
      <c r="P2031" s="45">
        <f>IF(COUNTIFS($C:$C,$C2031,$D:$D,"P0(후)",$L:$L,"&gt;0")&lt;&gt;1,"",SUMIFS($H:$H,$C:$C,$C2031,$D:$D,"P0(후)"))</f>
        <v/>
      </c>
      <c r="Q2031" s="30">
        <f>IF(COUNTIFS($C:$C,$C2031,$D:$D,"P0(후)",$L:$L,"&gt;0")&lt;&gt;1,"",SUMIFS($L:$L,$C:$C,$C2031,$D:$D,"P0(후)"))</f>
        <v/>
      </c>
      <c r="R2031" s="30">
        <f>IF(M2031&lt;&gt;"OK","",O2031+(Q2031-O2031)*(H2031-N2031)/(P2031-N2031))</f>
        <v/>
      </c>
      <c r="S2031" s="30">
        <f>IF(OR(M2031&lt;&gt;"OK",NOT(ISNUMBER(L2031))),"",L2031-R2031)</f>
        <v/>
      </c>
      <c r="T2031" s="46">
        <f>IF(OR(NOT(ISNUMBER(S2031)),IF(ISNUMBER(G2031),G2031,F2031)=0),"",S2031/IF(ISNUMBER(G2031),G2031,F2031))</f>
        <v/>
      </c>
      <c r="U2031" s="46">
        <f>IF(ISNUMBER(T2031),ABS(T2031),"")</f>
        <v/>
      </c>
      <c r="V2031" s="46">
        <f>IF(OR($D2030&lt;&gt;"측정",$C2030&lt;&gt;$C2031,NOT(ISNUMBER(L2031)),NOT(ISNUMBER(L2030)),(IF(ISNUMBER(G2031),G2031,F2031)-IF(ISNUMBER(G2030),G2030,F2030))=0),"",(L2031-L2030)/(IF(ISNUMBER(G2031),G2031,F2031)-IF(ISNUMBER(G2030),G2030,F2030)))</f>
        <v/>
      </c>
      <c r="W2031" s="30">
        <f>IF(NOT(AND(ISNUMBER(N2031),ISNUMBER(P2031))),"",(P2031-N2031)*1440)</f>
        <v/>
      </c>
      <c r="X2031" s="28" t="n"/>
      <c r="Y2031" s="28" t="n"/>
      <c r="Z2031" s="28" t="n"/>
      <c r="AA2031" s="31" t="n"/>
      <c r="AB2031" s="31" t="n"/>
    </row>
    <row r="2032">
      <c r="A2032" s="43" t="inlineStr">
        <is>
          <t>S39</t>
        </is>
      </c>
      <c r="B2032" s="43" t="inlineStr">
        <is>
          <t>언양</t>
        </is>
      </c>
      <c r="C2032" s="43" t="inlineStr">
        <is>
          <t>S39-H북</t>
        </is>
      </c>
      <c r="D2032" s="43" t="inlineStr">
        <is>
          <t>P0(후)</t>
        </is>
      </c>
      <c r="E2032" s="43" t="inlineStr">
        <is>
          <t>북</t>
        </is>
      </c>
      <c r="F2032" s="44" t="n"/>
      <c r="G2032" s="29" t="n"/>
      <c r="H2032" s="42" t="n"/>
      <c r="I2032" s="40" t="n"/>
      <c r="J2032" s="40" t="n"/>
      <c r="K2032" s="40" t="n"/>
      <c r="L2032" s="30">
        <f>IF(COUNT(I2032:K2032)=0,"",MEDIAN(I2032:K2032))</f>
        <v/>
      </c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28" t="n"/>
      <c r="Y2032" s="28" t="n"/>
      <c r="Z2032" s="28" t="n"/>
      <c r="AA2032" s="31" t="n"/>
      <c r="AB2032" s="31" t="n"/>
    </row>
    <row r="2033">
      <c r="A2033" s="43" t="inlineStr">
        <is>
          <t>S40</t>
        </is>
      </c>
      <c r="B2033" s="43" t="inlineStr">
        <is>
          <t>남지</t>
        </is>
      </c>
      <c r="C2033" s="43" t="inlineStr">
        <is>
          <t>S40-H동</t>
        </is>
      </c>
      <c r="D2033" s="43" t="inlineStr">
        <is>
          <t>P0(전)</t>
        </is>
      </c>
      <c r="E2033" s="43" t="inlineStr">
        <is>
          <t>동</t>
        </is>
      </c>
      <c r="F2033" s="44" t="n"/>
      <c r="G2033" s="29" t="n"/>
      <c r="H2033" s="42" t="n"/>
      <c r="I2033" s="40" t="n"/>
      <c r="J2033" s="40" t="n"/>
      <c r="K2033" s="40" t="n"/>
      <c r="L2033" s="30">
        <f>IF(COUNT(I2033:K2033)=0,"",MEDIAN(I2033:K2033))</f>
        <v/>
      </c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28" t="n"/>
      <c r="Y2033" s="28" t="n"/>
      <c r="Z2033" s="28" t="n"/>
      <c r="AA2033" s="31" t="n"/>
      <c r="AB2033" s="31" t="n"/>
    </row>
    <row r="2034">
      <c r="A2034" s="25" t="inlineStr">
        <is>
          <t>S40</t>
        </is>
      </c>
      <c r="B2034" s="25" t="inlineStr">
        <is>
          <t>남지</t>
        </is>
      </c>
      <c r="C2034" s="25" t="inlineStr">
        <is>
          <t>S40-H동</t>
        </is>
      </c>
      <c r="D2034" s="25" t="inlineStr">
        <is>
          <t>측정</t>
        </is>
      </c>
      <c r="E2034" s="25" t="inlineStr">
        <is>
          <t>동</t>
        </is>
      </c>
      <c r="F2034" s="30" t="n">
        <v>0.5</v>
      </c>
      <c r="G2034" s="29" t="n"/>
      <c r="H2034" s="42" t="n"/>
      <c r="I2034" s="40" t="n"/>
      <c r="J2034" s="40" t="n"/>
      <c r="K2034" s="40" t="n"/>
      <c r="L2034" s="30">
        <f>IF(COUNT(I2034:K2034)=0,"",MEDIAN(I2034:K2034))</f>
        <v/>
      </c>
      <c r="M2034" s="25">
        <f>IF(COUNTIFS($C:$C,$C2034,$D:$D,"P0(전)",$L:$L,"&gt;0")&lt;&gt;1,"P0(전) 유효 1개 아님",IF(COUNTIFS($C:$C,$C2034,$D:$D,"P0(후)",$L:$L,"&gt;0")&lt;&gt;1,"P0(후) 유효 1개 아님",IF(NOT(AND(ISNUMBER(N2034),ISNUMBER(P2034),ISNUMBER(H2034))),"시각 결측",IF(P2034&lt;=N2034,"P0 시각 역전",IF(OR(H2034&lt;N2034,H2034&gt;P2034),"측정시각 구간 밖","OK")))))</f>
        <v/>
      </c>
      <c r="N2034" s="45">
        <f>IF(COUNTIFS($C:$C,$C2034,$D:$D,"P0(전)",$L:$L,"&gt;0")&lt;&gt;1,"",SUMIFS($H:$H,$C:$C,$C2034,$D:$D,"P0(전)"))</f>
        <v/>
      </c>
      <c r="O2034" s="30">
        <f>IF(COUNTIFS($C:$C,$C2034,$D:$D,"P0(전)",$L:$L,"&gt;0")&lt;&gt;1,"",SUMIFS($L:$L,$C:$C,$C2034,$D:$D,"P0(전)"))</f>
        <v/>
      </c>
      <c r="P2034" s="45">
        <f>IF(COUNTIFS($C:$C,$C2034,$D:$D,"P0(후)",$L:$L,"&gt;0")&lt;&gt;1,"",SUMIFS($H:$H,$C:$C,$C2034,$D:$D,"P0(후)"))</f>
        <v/>
      </c>
      <c r="Q2034" s="30">
        <f>IF(COUNTIFS($C:$C,$C2034,$D:$D,"P0(후)",$L:$L,"&gt;0")&lt;&gt;1,"",SUMIFS($L:$L,$C:$C,$C2034,$D:$D,"P0(후)"))</f>
        <v/>
      </c>
      <c r="R2034" s="30">
        <f>IF(M2034&lt;&gt;"OK","",O2034+(Q2034-O2034)*(H2034-N2034)/(P2034-N2034))</f>
        <v/>
      </c>
      <c r="S2034" s="30">
        <f>IF(OR(M2034&lt;&gt;"OK",NOT(ISNUMBER(L2034))),"",L2034-R2034)</f>
        <v/>
      </c>
      <c r="T2034" s="46">
        <f>IF(OR(NOT(ISNUMBER(S2034)),IF(ISNUMBER(G2034),G2034,F2034)=0),"",S2034/IF(ISNUMBER(G2034),G2034,F2034))</f>
        <v/>
      </c>
      <c r="U2034" s="46">
        <f>IF(ISNUMBER(T2034),ABS(T2034),"")</f>
        <v/>
      </c>
      <c r="V2034" s="46">
        <f>IF(OR($D2033&lt;&gt;"측정",$C2033&lt;&gt;$C2034,NOT(ISNUMBER(L2034)),NOT(ISNUMBER(L2033)),(IF(ISNUMBER(G2034),G2034,F2034)-IF(ISNUMBER(G2033),G2033,F2033))=0),"",(L2034-L2033)/(IF(ISNUMBER(G2034),G2034,F2034)-IF(ISNUMBER(G2033),G2033,F2033)))</f>
        <v/>
      </c>
      <c r="W2034" s="30">
        <f>IF(NOT(AND(ISNUMBER(N2034),ISNUMBER(P2034))),"",(P2034-N2034)*1440)</f>
        <v/>
      </c>
      <c r="X2034" s="28" t="n"/>
      <c r="Y2034" s="28" t="n"/>
      <c r="Z2034" s="28" t="n"/>
      <c r="AA2034" s="31" t="n"/>
      <c r="AB2034" s="31" t="n"/>
    </row>
    <row r="2035">
      <c r="A2035" s="25" t="inlineStr">
        <is>
          <t>S40</t>
        </is>
      </c>
      <c r="B2035" s="25" t="inlineStr">
        <is>
          <t>남지</t>
        </is>
      </c>
      <c r="C2035" s="25" t="inlineStr">
        <is>
          <t>S40-H동</t>
        </is>
      </c>
      <c r="D2035" s="25" t="inlineStr">
        <is>
          <t>측정</t>
        </is>
      </c>
      <c r="E2035" s="25" t="inlineStr">
        <is>
          <t>동</t>
        </is>
      </c>
      <c r="F2035" s="30" t="n">
        <v>1</v>
      </c>
      <c r="G2035" s="29" t="n"/>
      <c r="H2035" s="42" t="n"/>
      <c r="I2035" s="40" t="n"/>
      <c r="J2035" s="40" t="n"/>
      <c r="K2035" s="40" t="n"/>
      <c r="L2035" s="30">
        <f>IF(COUNT(I2035:K2035)=0,"",MEDIAN(I2035:K2035))</f>
        <v/>
      </c>
      <c r="M2035" s="25">
        <f>IF(COUNTIFS($C:$C,$C2035,$D:$D,"P0(전)",$L:$L,"&gt;0")&lt;&gt;1,"P0(전) 유효 1개 아님",IF(COUNTIFS($C:$C,$C2035,$D:$D,"P0(후)",$L:$L,"&gt;0")&lt;&gt;1,"P0(후) 유효 1개 아님",IF(NOT(AND(ISNUMBER(N2035),ISNUMBER(P2035),ISNUMBER(H2035))),"시각 결측",IF(P2035&lt;=N2035,"P0 시각 역전",IF(OR(H2035&lt;N2035,H2035&gt;P2035),"측정시각 구간 밖","OK")))))</f>
        <v/>
      </c>
      <c r="N2035" s="45">
        <f>IF(COUNTIFS($C:$C,$C2035,$D:$D,"P0(전)",$L:$L,"&gt;0")&lt;&gt;1,"",SUMIFS($H:$H,$C:$C,$C2035,$D:$D,"P0(전)"))</f>
        <v/>
      </c>
      <c r="O2035" s="30">
        <f>IF(COUNTIFS($C:$C,$C2035,$D:$D,"P0(전)",$L:$L,"&gt;0")&lt;&gt;1,"",SUMIFS($L:$L,$C:$C,$C2035,$D:$D,"P0(전)"))</f>
        <v/>
      </c>
      <c r="P2035" s="45">
        <f>IF(COUNTIFS($C:$C,$C2035,$D:$D,"P0(후)",$L:$L,"&gt;0")&lt;&gt;1,"",SUMIFS($H:$H,$C:$C,$C2035,$D:$D,"P0(후)"))</f>
        <v/>
      </c>
      <c r="Q2035" s="30">
        <f>IF(COUNTIFS($C:$C,$C2035,$D:$D,"P0(후)",$L:$L,"&gt;0")&lt;&gt;1,"",SUMIFS($L:$L,$C:$C,$C2035,$D:$D,"P0(후)"))</f>
        <v/>
      </c>
      <c r="R2035" s="30">
        <f>IF(M2035&lt;&gt;"OK","",O2035+(Q2035-O2035)*(H2035-N2035)/(P2035-N2035))</f>
        <v/>
      </c>
      <c r="S2035" s="30">
        <f>IF(OR(M2035&lt;&gt;"OK",NOT(ISNUMBER(L2035))),"",L2035-R2035)</f>
        <v/>
      </c>
      <c r="T2035" s="46">
        <f>IF(OR(NOT(ISNUMBER(S2035)),IF(ISNUMBER(G2035),G2035,F2035)=0),"",S2035/IF(ISNUMBER(G2035),G2035,F2035))</f>
        <v/>
      </c>
      <c r="U2035" s="46">
        <f>IF(ISNUMBER(T2035),ABS(T2035),"")</f>
        <v/>
      </c>
      <c r="V2035" s="46">
        <f>IF(OR($D2034&lt;&gt;"측정",$C2034&lt;&gt;$C2035,NOT(ISNUMBER(L2035)),NOT(ISNUMBER(L2034)),(IF(ISNUMBER(G2035),G2035,F2035)-IF(ISNUMBER(G2034),G2034,F2034))=0),"",(L2035-L2034)/(IF(ISNUMBER(G2035),G2035,F2035)-IF(ISNUMBER(G2034),G2034,F2034)))</f>
        <v/>
      </c>
      <c r="W2035" s="30">
        <f>IF(NOT(AND(ISNUMBER(N2035),ISNUMBER(P2035))),"",(P2035-N2035)*1440)</f>
        <v/>
      </c>
      <c r="X2035" s="28" t="n"/>
      <c r="Y2035" s="28" t="n"/>
      <c r="Z2035" s="28" t="n"/>
      <c r="AA2035" s="31" t="n"/>
      <c r="AB2035" s="31" t="n"/>
    </row>
    <row r="2036">
      <c r="A2036" s="25" t="inlineStr">
        <is>
          <t>S40</t>
        </is>
      </c>
      <c r="B2036" s="25" t="inlineStr">
        <is>
          <t>남지</t>
        </is>
      </c>
      <c r="C2036" s="25" t="inlineStr">
        <is>
          <t>S40-H동</t>
        </is>
      </c>
      <c r="D2036" s="25" t="inlineStr">
        <is>
          <t>측정</t>
        </is>
      </c>
      <c r="E2036" s="25" t="inlineStr">
        <is>
          <t>동</t>
        </is>
      </c>
      <c r="F2036" s="30" t="n">
        <v>2</v>
      </c>
      <c r="G2036" s="29" t="n"/>
      <c r="H2036" s="42" t="n"/>
      <c r="I2036" s="40" t="n"/>
      <c r="J2036" s="40" t="n"/>
      <c r="K2036" s="40" t="n"/>
      <c r="L2036" s="30">
        <f>IF(COUNT(I2036:K2036)=0,"",MEDIAN(I2036:K2036))</f>
        <v/>
      </c>
      <c r="M2036" s="25">
        <f>IF(COUNTIFS($C:$C,$C2036,$D:$D,"P0(전)",$L:$L,"&gt;0")&lt;&gt;1,"P0(전) 유효 1개 아님",IF(COUNTIFS($C:$C,$C2036,$D:$D,"P0(후)",$L:$L,"&gt;0")&lt;&gt;1,"P0(후) 유효 1개 아님",IF(NOT(AND(ISNUMBER(N2036),ISNUMBER(P2036),ISNUMBER(H2036))),"시각 결측",IF(P2036&lt;=N2036,"P0 시각 역전",IF(OR(H2036&lt;N2036,H2036&gt;P2036),"측정시각 구간 밖","OK")))))</f>
        <v/>
      </c>
      <c r="N2036" s="45">
        <f>IF(COUNTIFS($C:$C,$C2036,$D:$D,"P0(전)",$L:$L,"&gt;0")&lt;&gt;1,"",SUMIFS($H:$H,$C:$C,$C2036,$D:$D,"P0(전)"))</f>
        <v/>
      </c>
      <c r="O2036" s="30">
        <f>IF(COUNTIFS($C:$C,$C2036,$D:$D,"P0(전)",$L:$L,"&gt;0")&lt;&gt;1,"",SUMIFS($L:$L,$C:$C,$C2036,$D:$D,"P0(전)"))</f>
        <v/>
      </c>
      <c r="P2036" s="45">
        <f>IF(COUNTIFS($C:$C,$C2036,$D:$D,"P0(후)",$L:$L,"&gt;0")&lt;&gt;1,"",SUMIFS($H:$H,$C:$C,$C2036,$D:$D,"P0(후)"))</f>
        <v/>
      </c>
      <c r="Q2036" s="30">
        <f>IF(COUNTIFS($C:$C,$C2036,$D:$D,"P0(후)",$L:$L,"&gt;0")&lt;&gt;1,"",SUMIFS($L:$L,$C:$C,$C2036,$D:$D,"P0(후)"))</f>
        <v/>
      </c>
      <c r="R2036" s="30">
        <f>IF(M2036&lt;&gt;"OK","",O2036+(Q2036-O2036)*(H2036-N2036)/(P2036-N2036))</f>
        <v/>
      </c>
      <c r="S2036" s="30">
        <f>IF(OR(M2036&lt;&gt;"OK",NOT(ISNUMBER(L2036))),"",L2036-R2036)</f>
        <v/>
      </c>
      <c r="T2036" s="46">
        <f>IF(OR(NOT(ISNUMBER(S2036)),IF(ISNUMBER(G2036),G2036,F2036)=0),"",S2036/IF(ISNUMBER(G2036),G2036,F2036))</f>
        <v/>
      </c>
      <c r="U2036" s="46">
        <f>IF(ISNUMBER(T2036),ABS(T2036),"")</f>
        <v/>
      </c>
      <c r="V2036" s="46">
        <f>IF(OR($D2035&lt;&gt;"측정",$C2035&lt;&gt;$C2036,NOT(ISNUMBER(L2036)),NOT(ISNUMBER(L2035)),(IF(ISNUMBER(G2036),G2036,F2036)-IF(ISNUMBER(G2035),G2035,F2035))=0),"",(L2036-L2035)/(IF(ISNUMBER(G2036),G2036,F2036)-IF(ISNUMBER(G2035),G2035,F2035)))</f>
        <v/>
      </c>
      <c r="W2036" s="30">
        <f>IF(NOT(AND(ISNUMBER(N2036),ISNUMBER(P2036))),"",(P2036-N2036)*1440)</f>
        <v/>
      </c>
      <c r="X2036" s="28" t="n"/>
      <c r="Y2036" s="28" t="n"/>
      <c r="Z2036" s="28" t="n"/>
      <c r="AA2036" s="31" t="n"/>
      <c r="AB2036" s="31" t="n"/>
    </row>
    <row r="2037">
      <c r="A2037" s="25" t="inlineStr">
        <is>
          <t>S40</t>
        </is>
      </c>
      <c r="B2037" s="25" t="inlineStr">
        <is>
          <t>남지</t>
        </is>
      </c>
      <c r="C2037" s="25" t="inlineStr">
        <is>
          <t>S40-H동</t>
        </is>
      </c>
      <c r="D2037" s="25" t="inlineStr">
        <is>
          <t>측정</t>
        </is>
      </c>
      <c r="E2037" s="25" t="inlineStr">
        <is>
          <t>동</t>
        </is>
      </c>
      <c r="F2037" s="30" t="n">
        <v>3</v>
      </c>
      <c r="G2037" s="29" t="n"/>
      <c r="H2037" s="42" t="n"/>
      <c r="I2037" s="40" t="n"/>
      <c r="J2037" s="40" t="n"/>
      <c r="K2037" s="40" t="n"/>
      <c r="L2037" s="30">
        <f>IF(COUNT(I2037:K2037)=0,"",MEDIAN(I2037:K2037))</f>
        <v/>
      </c>
      <c r="M2037" s="25">
        <f>IF(COUNTIFS($C:$C,$C2037,$D:$D,"P0(전)",$L:$L,"&gt;0")&lt;&gt;1,"P0(전) 유효 1개 아님",IF(COUNTIFS($C:$C,$C2037,$D:$D,"P0(후)",$L:$L,"&gt;0")&lt;&gt;1,"P0(후) 유효 1개 아님",IF(NOT(AND(ISNUMBER(N2037),ISNUMBER(P2037),ISNUMBER(H2037))),"시각 결측",IF(P2037&lt;=N2037,"P0 시각 역전",IF(OR(H2037&lt;N2037,H2037&gt;P2037),"측정시각 구간 밖","OK")))))</f>
        <v/>
      </c>
      <c r="N2037" s="45">
        <f>IF(COUNTIFS($C:$C,$C2037,$D:$D,"P0(전)",$L:$L,"&gt;0")&lt;&gt;1,"",SUMIFS($H:$H,$C:$C,$C2037,$D:$D,"P0(전)"))</f>
        <v/>
      </c>
      <c r="O2037" s="30">
        <f>IF(COUNTIFS($C:$C,$C2037,$D:$D,"P0(전)",$L:$L,"&gt;0")&lt;&gt;1,"",SUMIFS($L:$L,$C:$C,$C2037,$D:$D,"P0(전)"))</f>
        <v/>
      </c>
      <c r="P2037" s="45">
        <f>IF(COUNTIFS($C:$C,$C2037,$D:$D,"P0(후)",$L:$L,"&gt;0")&lt;&gt;1,"",SUMIFS($H:$H,$C:$C,$C2037,$D:$D,"P0(후)"))</f>
        <v/>
      </c>
      <c r="Q2037" s="30">
        <f>IF(COUNTIFS($C:$C,$C2037,$D:$D,"P0(후)",$L:$L,"&gt;0")&lt;&gt;1,"",SUMIFS($L:$L,$C:$C,$C2037,$D:$D,"P0(후)"))</f>
        <v/>
      </c>
      <c r="R2037" s="30">
        <f>IF(M2037&lt;&gt;"OK","",O2037+(Q2037-O2037)*(H2037-N2037)/(P2037-N2037))</f>
        <v/>
      </c>
      <c r="S2037" s="30">
        <f>IF(OR(M2037&lt;&gt;"OK",NOT(ISNUMBER(L2037))),"",L2037-R2037)</f>
        <v/>
      </c>
      <c r="T2037" s="46">
        <f>IF(OR(NOT(ISNUMBER(S2037)),IF(ISNUMBER(G2037),G2037,F2037)=0),"",S2037/IF(ISNUMBER(G2037),G2037,F2037))</f>
        <v/>
      </c>
      <c r="U2037" s="46">
        <f>IF(ISNUMBER(T2037),ABS(T2037),"")</f>
        <v/>
      </c>
      <c r="V2037" s="46">
        <f>IF(OR($D2036&lt;&gt;"측정",$C2036&lt;&gt;$C2037,NOT(ISNUMBER(L2037)),NOT(ISNUMBER(L2036)),(IF(ISNUMBER(G2037),G2037,F2037)-IF(ISNUMBER(G2036),G2036,F2036))=0),"",(L2037-L2036)/(IF(ISNUMBER(G2037),G2037,F2037)-IF(ISNUMBER(G2036),G2036,F2036)))</f>
        <v/>
      </c>
      <c r="W2037" s="30">
        <f>IF(NOT(AND(ISNUMBER(N2037),ISNUMBER(P2037))),"",(P2037-N2037)*1440)</f>
        <v/>
      </c>
      <c r="X2037" s="28" t="n"/>
      <c r="Y2037" s="28" t="n"/>
      <c r="Z2037" s="28" t="n"/>
      <c r="AA2037" s="31" t="n"/>
      <c r="AB2037" s="31" t="n"/>
    </row>
    <row r="2038">
      <c r="A2038" s="25" t="inlineStr">
        <is>
          <t>S40</t>
        </is>
      </c>
      <c r="B2038" s="25" t="inlineStr">
        <is>
          <t>남지</t>
        </is>
      </c>
      <c r="C2038" s="25" t="inlineStr">
        <is>
          <t>S40-H동</t>
        </is>
      </c>
      <c r="D2038" s="25" t="inlineStr">
        <is>
          <t>측정</t>
        </is>
      </c>
      <c r="E2038" s="25" t="inlineStr">
        <is>
          <t>동</t>
        </is>
      </c>
      <c r="F2038" s="30" t="n">
        <v>4</v>
      </c>
      <c r="G2038" s="29" t="n"/>
      <c r="H2038" s="42" t="n"/>
      <c r="I2038" s="40" t="n"/>
      <c r="J2038" s="40" t="n"/>
      <c r="K2038" s="40" t="n"/>
      <c r="L2038" s="30">
        <f>IF(COUNT(I2038:K2038)=0,"",MEDIAN(I2038:K2038))</f>
        <v/>
      </c>
      <c r="M2038" s="25">
        <f>IF(COUNTIFS($C:$C,$C2038,$D:$D,"P0(전)",$L:$L,"&gt;0")&lt;&gt;1,"P0(전) 유효 1개 아님",IF(COUNTIFS($C:$C,$C2038,$D:$D,"P0(후)",$L:$L,"&gt;0")&lt;&gt;1,"P0(후) 유효 1개 아님",IF(NOT(AND(ISNUMBER(N2038),ISNUMBER(P2038),ISNUMBER(H2038))),"시각 결측",IF(P2038&lt;=N2038,"P0 시각 역전",IF(OR(H2038&lt;N2038,H2038&gt;P2038),"측정시각 구간 밖","OK")))))</f>
        <v/>
      </c>
      <c r="N2038" s="45">
        <f>IF(COUNTIFS($C:$C,$C2038,$D:$D,"P0(전)",$L:$L,"&gt;0")&lt;&gt;1,"",SUMIFS($H:$H,$C:$C,$C2038,$D:$D,"P0(전)"))</f>
        <v/>
      </c>
      <c r="O2038" s="30">
        <f>IF(COUNTIFS($C:$C,$C2038,$D:$D,"P0(전)",$L:$L,"&gt;0")&lt;&gt;1,"",SUMIFS($L:$L,$C:$C,$C2038,$D:$D,"P0(전)"))</f>
        <v/>
      </c>
      <c r="P2038" s="45">
        <f>IF(COUNTIFS($C:$C,$C2038,$D:$D,"P0(후)",$L:$L,"&gt;0")&lt;&gt;1,"",SUMIFS($H:$H,$C:$C,$C2038,$D:$D,"P0(후)"))</f>
        <v/>
      </c>
      <c r="Q2038" s="30">
        <f>IF(COUNTIFS($C:$C,$C2038,$D:$D,"P0(후)",$L:$L,"&gt;0")&lt;&gt;1,"",SUMIFS($L:$L,$C:$C,$C2038,$D:$D,"P0(후)"))</f>
        <v/>
      </c>
      <c r="R2038" s="30">
        <f>IF(M2038&lt;&gt;"OK","",O2038+(Q2038-O2038)*(H2038-N2038)/(P2038-N2038))</f>
        <v/>
      </c>
      <c r="S2038" s="30">
        <f>IF(OR(M2038&lt;&gt;"OK",NOT(ISNUMBER(L2038))),"",L2038-R2038)</f>
        <v/>
      </c>
      <c r="T2038" s="46">
        <f>IF(OR(NOT(ISNUMBER(S2038)),IF(ISNUMBER(G2038),G2038,F2038)=0),"",S2038/IF(ISNUMBER(G2038),G2038,F2038))</f>
        <v/>
      </c>
      <c r="U2038" s="46">
        <f>IF(ISNUMBER(T2038),ABS(T2038),"")</f>
        <v/>
      </c>
      <c r="V2038" s="46">
        <f>IF(OR($D2037&lt;&gt;"측정",$C2037&lt;&gt;$C2038,NOT(ISNUMBER(L2038)),NOT(ISNUMBER(L2037)),(IF(ISNUMBER(G2038),G2038,F2038)-IF(ISNUMBER(G2037),G2037,F2037))=0),"",(L2038-L2037)/(IF(ISNUMBER(G2038),G2038,F2038)-IF(ISNUMBER(G2037),G2037,F2037)))</f>
        <v/>
      </c>
      <c r="W2038" s="30">
        <f>IF(NOT(AND(ISNUMBER(N2038),ISNUMBER(P2038))),"",(P2038-N2038)*1440)</f>
        <v/>
      </c>
      <c r="X2038" s="28" t="n"/>
      <c r="Y2038" s="28" t="n"/>
      <c r="Z2038" s="28" t="n"/>
      <c r="AA2038" s="31" t="n"/>
      <c r="AB2038" s="31" t="n"/>
    </row>
    <row r="2039">
      <c r="A2039" s="25" t="inlineStr">
        <is>
          <t>S40</t>
        </is>
      </c>
      <c r="B2039" s="25" t="inlineStr">
        <is>
          <t>남지</t>
        </is>
      </c>
      <c r="C2039" s="25" t="inlineStr">
        <is>
          <t>S40-H동</t>
        </is>
      </c>
      <c r="D2039" s="25" t="inlineStr">
        <is>
          <t>측정</t>
        </is>
      </c>
      <c r="E2039" s="25" t="inlineStr">
        <is>
          <t>동</t>
        </is>
      </c>
      <c r="F2039" s="30" t="n">
        <v>5</v>
      </c>
      <c r="G2039" s="29" t="n"/>
      <c r="H2039" s="42" t="n"/>
      <c r="I2039" s="40" t="n"/>
      <c r="J2039" s="40" t="n"/>
      <c r="K2039" s="40" t="n"/>
      <c r="L2039" s="30">
        <f>IF(COUNT(I2039:K2039)=0,"",MEDIAN(I2039:K2039))</f>
        <v/>
      </c>
      <c r="M2039" s="25">
        <f>IF(COUNTIFS($C:$C,$C2039,$D:$D,"P0(전)",$L:$L,"&gt;0")&lt;&gt;1,"P0(전) 유효 1개 아님",IF(COUNTIFS($C:$C,$C2039,$D:$D,"P0(후)",$L:$L,"&gt;0")&lt;&gt;1,"P0(후) 유효 1개 아님",IF(NOT(AND(ISNUMBER(N2039),ISNUMBER(P2039),ISNUMBER(H2039))),"시각 결측",IF(P2039&lt;=N2039,"P0 시각 역전",IF(OR(H2039&lt;N2039,H2039&gt;P2039),"측정시각 구간 밖","OK")))))</f>
        <v/>
      </c>
      <c r="N2039" s="45">
        <f>IF(COUNTIFS($C:$C,$C2039,$D:$D,"P0(전)",$L:$L,"&gt;0")&lt;&gt;1,"",SUMIFS($H:$H,$C:$C,$C2039,$D:$D,"P0(전)"))</f>
        <v/>
      </c>
      <c r="O2039" s="30">
        <f>IF(COUNTIFS($C:$C,$C2039,$D:$D,"P0(전)",$L:$L,"&gt;0")&lt;&gt;1,"",SUMIFS($L:$L,$C:$C,$C2039,$D:$D,"P0(전)"))</f>
        <v/>
      </c>
      <c r="P2039" s="45">
        <f>IF(COUNTIFS($C:$C,$C2039,$D:$D,"P0(후)",$L:$L,"&gt;0")&lt;&gt;1,"",SUMIFS($H:$H,$C:$C,$C2039,$D:$D,"P0(후)"))</f>
        <v/>
      </c>
      <c r="Q2039" s="30">
        <f>IF(COUNTIFS($C:$C,$C2039,$D:$D,"P0(후)",$L:$L,"&gt;0")&lt;&gt;1,"",SUMIFS($L:$L,$C:$C,$C2039,$D:$D,"P0(후)"))</f>
        <v/>
      </c>
      <c r="R2039" s="30">
        <f>IF(M2039&lt;&gt;"OK","",O2039+(Q2039-O2039)*(H2039-N2039)/(P2039-N2039))</f>
        <v/>
      </c>
      <c r="S2039" s="30">
        <f>IF(OR(M2039&lt;&gt;"OK",NOT(ISNUMBER(L2039))),"",L2039-R2039)</f>
        <v/>
      </c>
      <c r="T2039" s="46">
        <f>IF(OR(NOT(ISNUMBER(S2039)),IF(ISNUMBER(G2039),G2039,F2039)=0),"",S2039/IF(ISNUMBER(G2039),G2039,F2039))</f>
        <v/>
      </c>
      <c r="U2039" s="46">
        <f>IF(ISNUMBER(T2039),ABS(T2039),"")</f>
        <v/>
      </c>
      <c r="V2039" s="46">
        <f>IF(OR($D2038&lt;&gt;"측정",$C2038&lt;&gt;$C2039,NOT(ISNUMBER(L2039)),NOT(ISNUMBER(L2038)),(IF(ISNUMBER(G2039),G2039,F2039)-IF(ISNUMBER(G2038),G2038,F2038))=0),"",(L2039-L2038)/(IF(ISNUMBER(G2039),G2039,F2039)-IF(ISNUMBER(G2038),G2038,F2038)))</f>
        <v/>
      </c>
      <c r="W2039" s="30">
        <f>IF(NOT(AND(ISNUMBER(N2039),ISNUMBER(P2039))),"",(P2039-N2039)*1440)</f>
        <v/>
      </c>
      <c r="X2039" s="28" t="n"/>
      <c r="Y2039" s="28" t="n"/>
      <c r="Z2039" s="28" t="n"/>
      <c r="AA2039" s="31" t="n"/>
      <c r="AB2039" s="31" t="n"/>
    </row>
    <row r="2040">
      <c r="A2040" s="25" t="inlineStr">
        <is>
          <t>S40</t>
        </is>
      </c>
      <c r="B2040" s="25" t="inlineStr">
        <is>
          <t>남지</t>
        </is>
      </c>
      <c r="C2040" s="25" t="inlineStr">
        <is>
          <t>S40-H동</t>
        </is>
      </c>
      <c r="D2040" s="25" t="inlineStr">
        <is>
          <t>측정</t>
        </is>
      </c>
      <c r="E2040" s="25" t="inlineStr">
        <is>
          <t>동</t>
        </is>
      </c>
      <c r="F2040" s="30" t="n">
        <v>6</v>
      </c>
      <c r="G2040" s="29" t="n"/>
      <c r="H2040" s="42" t="n"/>
      <c r="I2040" s="40" t="n"/>
      <c r="J2040" s="40" t="n"/>
      <c r="K2040" s="40" t="n"/>
      <c r="L2040" s="30">
        <f>IF(COUNT(I2040:K2040)=0,"",MEDIAN(I2040:K2040))</f>
        <v/>
      </c>
      <c r="M2040" s="25">
        <f>IF(COUNTIFS($C:$C,$C2040,$D:$D,"P0(전)",$L:$L,"&gt;0")&lt;&gt;1,"P0(전) 유효 1개 아님",IF(COUNTIFS($C:$C,$C2040,$D:$D,"P0(후)",$L:$L,"&gt;0")&lt;&gt;1,"P0(후) 유효 1개 아님",IF(NOT(AND(ISNUMBER(N2040),ISNUMBER(P2040),ISNUMBER(H2040))),"시각 결측",IF(P2040&lt;=N2040,"P0 시각 역전",IF(OR(H2040&lt;N2040,H2040&gt;P2040),"측정시각 구간 밖","OK")))))</f>
        <v/>
      </c>
      <c r="N2040" s="45">
        <f>IF(COUNTIFS($C:$C,$C2040,$D:$D,"P0(전)",$L:$L,"&gt;0")&lt;&gt;1,"",SUMIFS($H:$H,$C:$C,$C2040,$D:$D,"P0(전)"))</f>
        <v/>
      </c>
      <c r="O2040" s="30">
        <f>IF(COUNTIFS($C:$C,$C2040,$D:$D,"P0(전)",$L:$L,"&gt;0")&lt;&gt;1,"",SUMIFS($L:$L,$C:$C,$C2040,$D:$D,"P0(전)"))</f>
        <v/>
      </c>
      <c r="P2040" s="45">
        <f>IF(COUNTIFS($C:$C,$C2040,$D:$D,"P0(후)",$L:$L,"&gt;0")&lt;&gt;1,"",SUMIFS($H:$H,$C:$C,$C2040,$D:$D,"P0(후)"))</f>
        <v/>
      </c>
      <c r="Q2040" s="30">
        <f>IF(COUNTIFS($C:$C,$C2040,$D:$D,"P0(후)",$L:$L,"&gt;0")&lt;&gt;1,"",SUMIFS($L:$L,$C:$C,$C2040,$D:$D,"P0(후)"))</f>
        <v/>
      </c>
      <c r="R2040" s="30">
        <f>IF(M2040&lt;&gt;"OK","",O2040+(Q2040-O2040)*(H2040-N2040)/(P2040-N2040))</f>
        <v/>
      </c>
      <c r="S2040" s="30">
        <f>IF(OR(M2040&lt;&gt;"OK",NOT(ISNUMBER(L2040))),"",L2040-R2040)</f>
        <v/>
      </c>
      <c r="T2040" s="46">
        <f>IF(OR(NOT(ISNUMBER(S2040)),IF(ISNUMBER(G2040),G2040,F2040)=0),"",S2040/IF(ISNUMBER(G2040),G2040,F2040))</f>
        <v/>
      </c>
      <c r="U2040" s="46">
        <f>IF(ISNUMBER(T2040),ABS(T2040),"")</f>
        <v/>
      </c>
      <c r="V2040" s="46">
        <f>IF(OR($D2039&lt;&gt;"측정",$C2039&lt;&gt;$C2040,NOT(ISNUMBER(L2040)),NOT(ISNUMBER(L2039)),(IF(ISNUMBER(G2040),G2040,F2040)-IF(ISNUMBER(G2039),G2039,F2039))=0),"",(L2040-L2039)/(IF(ISNUMBER(G2040),G2040,F2040)-IF(ISNUMBER(G2039),G2039,F2039)))</f>
        <v/>
      </c>
      <c r="W2040" s="30">
        <f>IF(NOT(AND(ISNUMBER(N2040),ISNUMBER(P2040))),"",(P2040-N2040)*1440)</f>
        <v/>
      </c>
      <c r="X2040" s="28" t="n"/>
      <c r="Y2040" s="28" t="n"/>
      <c r="Z2040" s="28" t="n"/>
      <c r="AA2040" s="31" t="n"/>
      <c r="AB2040" s="31" t="n"/>
    </row>
    <row r="2041">
      <c r="A2041" s="25" t="inlineStr">
        <is>
          <t>S40</t>
        </is>
      </c>
      <c r="B2041" s="25" t="inlineStr">
        <is>
          <t>남지</t>
        </is>
      </c>
      <c r="C2041" s="25" t="inlineStr">
        <is>
          <t>S40-H동</t>
        </is>
      </c>
      <c r="D2041" s="25" t="inlineStr">
        <is>
          <t>측정</t>
        </is>
      </c>
      <c r="E2041" s="25" t="inlineStr">
        <is>
          <t>동</t>
        </is>
      </c>
      <c r="F2041" s="30" t="n">
        <v>7</v>
      </c>
      <c r="G2041" s="29" t="n"/>
      <c r="H2041" s="42" t="n"/>
      <c r="I2041" s="40" t="n"/>
      <c r="J2041" s="40" t="n"/>
      <c r="K2041" s="40" t="n"/>
      <c r="L2041" s="30">
        <f>IF(COUNT(I2041:K2041)=0,"",MEDIAN(I2041:K2041))</f>
        <v/>
      </c>
      <c r="M2041" s="25">
        <f>IF(COUNTIFS($C:$C,$C2041,$D:$D,"P0(전)",$L:$L,"&gt;0")&lt;&gt;1,"P0(전) 유효 1개 아님",IF(COUNTIFS($C:$C,$C2041,$D:$D,"P0(후)",$L:$L,"&gt;0")&lt;&gt;1,"P0(후) 유효 1개 아님",IF(NOT(AND(ISNUMBER(N2041),ISNUMBER(P2041),ISNUMBER(H2041))),"시각 결측",IF(P2041&lt;=N2041,"P0 시각 역전",IF(OR(H2041&lt;N2041,H2041&gt;P2041),"측정시각 구간 밖","OK")))))</f>
        <v/>
      </c>
      <c r="N2041" s="45">
        <f>IF(COUNTIFS($C:$C,$C2041,$D:$D,"P0(전)",$L:$L,"&gt;0")&lt;&gt;1,"",SUMIFS($H:$H,$C:$C,$C2041,$D:$D,"P0(전)"))</f>
        <v/>
      </c>
      <c r="O2041" s="30">
        <f>IF(COUNTIFS($C:$C,$C2041,$D:$D,"P0(전)",$L:$L,"&gt;0")&lt;&gt;1,"",SUMIFS($L:$L,$C:$C,$C2041,$D:$D,"P0(전)"))</f>
        <v/>
      </c>
      <c r="P2041" s="45">
        <f>IF(COUNTIFS($C:$C,$C2041,$D:$D,"P0(후)",$L:$L,"&gt;0")&lt;&gt;1,"",SUMIFS($H:$H,$C:$C,$C2041,$D:$D,"P0(후)"))</f>
        <v/>
      </c>
      <c r="Q2041" s="30">
        <f>IF(COUNTIFS($C:$C,$C2041,$D:$D,"P0(후)",$L:$L,"&gt;0")&lt;&gt;1,"",SUMIFS($L:$L,$C:$C,$C2041,$D:$D,"P0(후)"))</f>
        <v/>
      </c>
      <c r="R2041" s="30">
        <f>IF(M2041&lt;&gt;"OK","",O2041+(Q2041-O2041)*(H2041-N2041)/(P2041-N2041))</f>
        <v/>
      </c>
      <c r="S2041" s="30">
        <f>IF(OR(M2041&lt;&gt;"OK",NOT(ISNUMBER(L2041))),"",L2041-R2041)</f>
        <v/>
      </c>
      <c r="T2041" s="46">
        <f>IF(OR(NOT(ISNUMBER(S2041)),IF(ISNUMBER(G2041),G2041,F2041)=0),"",S2041/IF(ISNUMBER(G2041),G2041,F2041))</f>
        <v/>
      </c>
      <c r="U2041" s="46">
        <f>IF(ISNUMBER(T2041),ABS(T2041),"")</f>
        <v/>
      </c>
      <c r="V2041" s="46">
        <f>IF(OR($D2040&lt;&gt;"측정",$C2040&lt;&gt;$C2041,NOT(ISNUMBER(L2041)),NOT(ISNUMBER(L2040)),(IF(ISNUMBER(G2041),G2041,F2041)-IF(ISNUMBER(G2040),G2040,F2040))=0),"",(L2041-L2040)/(IF(ISNUMBER(G2041),G2041,F2041)-IF(ISNUMBER(G2040),G2040,F2040)))</f>
        <v/>
      </c>
      <c r="W2041" s="30">
        <f>IF(NOT(AND(ISNUMBER(N2041),ISNUMBER(P2041))),"",(P2041-N2041)*1440)</f>
        <v/>
      </c>
      <c r="X2041" s="28" t="n"/>
      <c r="Y2041" s="28" t="n"/>
      <c r="Z2041" s="28" t="n"/>
      <c r="AA2041" s="31" t="n"/>
      <c r="AB2041" s="31" t="n"/>
    </row>
    <row r="2042">
      <c r="A2042" s="25" t="inlineStr">
        <is>
          <t>S40</t>
        </is>
      </c>
      <c r="B2042" s="25" t="inlineStr">
        <is>
          <t>남지</t>
        </is>
      </c>
      <c r="C2042" s="25" t="inlineStr">
        <is>
          <t>S40-H동</t>
        </is>
      </c>
      <c r="D2042" s="25" t="inlineStr">
        <is>
          <t>측정</t>
        </is>
      </c>
      <c r="E2042" s="25" t="inlineStr">
        <is>
          <t>동</t>
        </is>
      </c>
      <c r="F2042" s="30" t="n">
        <v>8</v>
      </c>
      <c r="G2042" s="29" t="n"/>
      <c r="H2042" s="42" t="n"/>
      <c r="I2042" s="40" t="n"/>
      <c r="J2042" s="40" t="n"/>
      <c r="K2042" s="40" t="n"/>
      <c r="L2042" s="30">
        <f>IF(COUNT(I2042:K2042)=0,"",MEDIAN(I2042:K2042))</f>
        <v/>
      </c>
      <c r="M2042" s="25">
        <f>IF(COUNTIFS($C:$C,$C2042,$D:$D,"P0(전)",$L:$L,"&gt;0")&lt;&gt;1,"P0(전) 유효 1개 아님",IF(COUNTIFS($C:$C,$C2042,$D:$D,"P0(후)",$L:$L,"&gt;0")&lt;&gt;1,"P0(후) 유효 1개 아님",IF(NOT(AND(ISNUMBER(N2042),ISNUMBER(P2042),ISNUMBER(H2042))),"시각 결측",IF(P2042&lt;=N2042,"P0 시각 역전",IF(OR(H2042&lt;N2042,H2042&gt;P2042),"측정시각 구간 밖","OK")))))</f>
        <v/>
      </c>
      <c r="N2042" s="45">
        <f>IF(COUNTIFS($C:$C,$C2042,$D:$D,"P0(전)",$L:$L,"&gt;0")&lt;&gt;1,"",SUMIFS($H:$H,$C:$C,$C2042,$D:$D,"P0(전)"))</f>
        <v/>
      </c>
      <c r="O2042" s="30">
        <f>IF(COUNTIFS($C:$C,$C2042,$D:$D,"P0(전)",$L:$L,"&gt;0")&lt;&gt;1,"",SUMIFS($L:$L,$C:$C,$C2042,$D:$D,"P0(전)"))</f>
        <v/>
      </c>
      <c r="P2042" s="45">
        <f>IF(COUNTIFS($C:$C,$C2042,$D:$D,"P0(후)",$L:$L,"&gt;0")&lt;&gt;1,"",SUMIFS($H:$H,$C:$C,$C2042,$D:$D,"P0(후)"))</f>
        <v/>
      </c>
      <c r="Q2042" s="30">
        <f>IF(COUNTIFS($C:$C,$C2042,$D:$D,"P0(후)",$L:$L,"&gt;0")&lt;&gt;1,"",SUMIFS($L:$L,$C:$C,$C2042,$D:$D,"P0(후)"))</f>
        <v/>
      </c>
      <c r="R2042" s="30">
        <f>IF(M2042&lt;&gt;"OK","",O2042+(Q2042-O2042)*(H2042-N2042)/(P2042-N2042))</f>
        <v/>
      </c>
      <c r="S2042" s="30">
        <f>IF(OR(M2042&lt;&gt;"OK",NOT(ISNUMBER(L2042))),"",L2042-R2042)</f>
        <v/>
      </c>
      <c r="T2042" s="46">
        <f>IF(OR(NOT(ISNUMBER(S2042)),IF(ISNUMBER(G2042),G2042,F2042)=0),"",S2042/IF(ISNUMBER(G2042),G2042,F2042))</f>
        <v/>
      </c>
      <c r="U2042" s="46">
        <f>IF(ISNUMBER(T2042),ABS(T2042),"")</f>
        <v/>
      </c>
      <c r="V2042" s="46">
        <f>IF(OR($D2041&lt;&gt;"측정",$C2041&lt;&gt;$C2042,NOT(ISNUMBER(L2042)),NOT(ISNUMBER(L2041)),(IF(ISNUMBER(G2042),G2042,F2042)-IF(ISNUMBER(G2041),G2041,F2041))=0),"",(L2042-L2041)/(IF(ISNUMBER(G2042),G2042,F2042)-IF(ISNUMBER(G2041),G2041,F2041)))</f>
        <v/>
      </c>
      <c r="W2042" s="30">
        <f>IF(NOT(AND(ISNUMBER(N2042),ISNUMBER(P2042))),"",(P2042-N2042)*1440)</f>
        <v/>
      </c>
      <c r="X2042" s="28" t="n"/>
      <c r="Y2042" s="28" t="n"/>
      <c r="Z2042" s="28" t="n"/>
      <c r="AA2042" s="31" t="n"/>
      <c r="AB2042" s="31" t="n"/>
    </row>
    <row r="2043">
      <c r="A2043" s="25" t="inlineStr">
        <is>
          <t>S40</t>
        </is>
      </c>
      <c r="B2043" s="25" t="inlineStr">
        <is>
          <t>남지</t>
        </is>
      </c>
      <c r="C2043" s="25" t="inlineStr">
        <is>
          <t>S40-H동</t>
        </is>
      </c>
      <c r="D2043" s="25" t="inlineStr">
        <is>
          <t>측정</t>
        </is>
      </c>
      <c r="E2043" s="25" t="inlineStr">
        <is>
          <t>동</t>
        </is>
      </c>
      <c r="F2043" s="30" t="n">
        <v>9</v>
      </c>
      <c r="G2043" s="29" t="n"/>
      <c r="H2043" s="42" t="n"/>
      <c r="I2043" s="40" t="n"/>
      <c r="J2043" s="40" t="n"/>
      <c r="K2043" s="40" t="n"/>
      <c r="L2043" s="30">
        <f>IF(COUNT(I2043:K2043)=0,"",MEDIAN(I2043:K2043))</f>
        <v/>
      </c>
      <c r="M2043" s="25">
        <f>IF(COUNTIFS($C:$C,$C2043,$D:$D,"P0(전)",$L:$L,"&gt;0")&lt;&gt;1,"P0(전) 유효 1개 아님",IF(COUNTIFS($C:$C,$C2043,$D:$D,"P0(후)",$L:$L,"&gt;0")&lt;&gt;1,"P0(후) 유효 1개 아님",IF(NOT(AND(ISNUMBER(N2043),ISNUMBER(P2043),ISNUMBER(H2043))),"시각 결측",IF(P2043&lt;=N2043,"P0 시각 역전",IF(OR(H2043&lt;N2043,H2043&gt;P2043),"측정시각 구간 밖","OK")))))</f>
        <v/>
      </c>
      <c r="N2043" s="45">
        <f>IF(COUNTIFS($C:$C,$C2043,$D:$D,"P0(전)",$L:$L,"&gt;0")&lt;&gt;1,"",SUMIFS($H:$H,$C:$C,$C2043,$D:$D,"P0(전)"))</f>
        <v/>
      </c>
      <c r="O2043" s="30">
        <f>IF(COUNTIFS($C:$C,$C2043,$D:$D,"P0(전)",$L:$L,"&gt;0")&lt;&gt;1,"",SUMIFS($L:$L,$C:$C,$C2043,$D:$D,"P0(전)"))</f>
        <v/>
      </c>
      <c r="P2043" s="45">
        <f>IF(COUNTIFS($C:$C,$C2043,$D:$D,"P0(후)",$L:$L,"&gt;0")&lt;&gt;1,"",SUMIFS($H:$H,$C:$C,$C2043,$D:$D,"P0(후)"))</f>
        <v/>
      </c>
      <c r="Q2043" s="30">
        <f>IF(COUNTIFS($C:$C,$C2043,$D:$D,"P0(후)",$L:$L,"&gt;0")&lt;&gt;1,"",SUMIFS($L:$L,$C:$C,$C2043,$D:$D,"P0(후)"))</f>
        <v/>
      </c>
      <c r="R2043" s="30">
        <f>IF(M2043&lt;&gt;"OK","",O2043+(Q2043-O2043)*(H2043-N2043)/(P2043-N2043))</f>
        <v/>
      </c>
      <c r="S2043" s="30">
        <f>IF(OR(M2043&lt;&gt;"OK",NOT(ISNUMBER(L2043))),"",L2043-R2043)</f>
        <v/>
      </c>
      <c r="T2043" s="46">
        <f>IF(OR(NOT(ISNUMBER(S2043)),IF(ISNUMBER(G2043),G2043,F2043)=0),"",S2043/IF(ISNUMBER(G2043),G2043,F2043))</f>
        <v/>
      </c>
      <c r="U2043" s="46">
        <f>IF(ISNUMBER(T2043),ABS(T2043),"")</f>
        <v/>
      </c>
      <c r="V2043" s="46">
        <f>IF(OR($D2042&lt;&gt;"측정",$C2042&lt;&gt;$C2043,NOT(ISNUMBER(L2043)),NOT(ISNUMBER(L2042)),(IF(ISNUMBER(G2043),G2043,F2043)-IF(ISNUMBER(G2042),G2042,F2042))=0),"",(L2043-L2042)/(IF(ISNUMBER(G2043),G2043,F2043)-IF(ISNUMBER(G2042),G2042,F2042)))</f>
        <v/>
      </c>
      <c r="W2043" s="30">
        <f>IF(NOT(AND(ISNUMBER(N2043),ISNUMBER(P2043))),"",(P2043-N2043)*1440)</f>
        <v/>
      </c>
      <c r="X2043" s="28" t="n"/>
      <c r="Y2043" s="28" t="n"/>
      <c r="Z2043" s="28" t="n"/>
      <c r="AA2043" s="31" t="n"/>
      <c r="AB2043" s="31" t="n"/>
    </row>
    <row r="2044">
      <c r="A2044" s="25" t="inlineStr">
        <is>
          <t>S40</t>
        </is>
      </c>
      <c r="B2044" s="25" t="inlineStr">
        <is>
          <t>남지</t>
        </is>
      </c>
      <c r="C2044" s="25" t="inlineStr">
        <is>
          <t>S40-H동</t>
        </is>
      </c>
      <c r="D2044" s="25" t="inlineStr">
        <is>
          <t>측정</t>
        </is>
      </c>
      <c r="E2044" s="25" t="inlineStr">
        <is>
          <t>동</t>
        </is>
      </c>
      <c r="F2044" s="30" t="n">
        <v>10</v>
      </c>
      <c r="G2044" s="29" t="n"/>
      <c r="H2044" s="42" t="n"/>
      <c r="I2044" s="40" t="n"/>
      <c r="J2044" s="40" t="n"/>
      <c r="K2044" s="40" t="n"/>
      <c r="L2044" s="30">
        <f>IF(COUNT(I2044:K2044)=0,"",MEDIAN(I2044:K2044))</f>
        <v/>
      </c>
      <c r="M2044" s="25">
        <f>IF(COUNTIFS($C:$C,$C2044,$D:$D,"P0(전)",$L:$L,"&gt;0")&lt;&gt;1,"P0(전) 유효 1개 아님",IF(COUNTIFS($C:$C,$C2044,$D:$D,"P0(후)",$L:$L,"&gt;0")&lt;&gt;1,"P0(후) 유효 1개 아님",IF(NOT(AND(ISNUMBER(N2044),ISNUMBER(P2044),ISNUMBER(H2044))),"시각 결측",IF(P2044&lt;=N2044,"P0 시각 역전",IF(OR(H2044&lt;N2044,H2044&gt;P2044),"측정시각 구간 밖","OK")))))</f>
        <v/>
      </c>
      <c r="N2044" s="45">
        <f>IF(COUNTIFS($C:$C,$C2044,$D:$D,"P0(전)",$L:$L,"&gt;0")&lt;&gt;1,"",SUMIFS($H:$H,$C:$C,$C2044,$D:$D,"P0(전)"))</f>
        <v/>
      </c>
      <c r="O2044" s="30">
        <f>IF(COUNTIFS($C:$C,$C2044,$D:$D,"P0(전)",$L:$L,"&gt;0")&lt;&gt;1,"",SUMIFS($L:$L,$C:$C,$C2044,$D:$D,"P0(전)"))</f>
        <v/>
      </c>
      <c r="P2044" s="45">
        <f>IF(COUNTIFS($C:$C,$C2044,$D:$D,"P0(후)",$L:$L,"&gt;0")&lt;&gt;1,"",SUMIFS($H:$H,$C:$C,$C2044,$D:$D,"P0(후)"))</f>
        <v/>
      </c>
      <c r="Q2044" s="30">
        <f>IF(COUNTIFS($C:$C,$C2044,$D:$D,"P0(후)",$L:$L,"&gt;0")&lt;&gt;1,"",SUMIFS($L:$L,$C:$C,$C2044,$D:$D,"P0(후)"))</f>
        <v/>
      </c>
      <c r="R2044" s="30">
        <f>IF(M2044&lt;&gt;"OK","",O2044+(Q2044-O2044)*(H2044-N2044)/(P2044-N2044))</f>
        <v/>
      </c>
      <c r="S2044" s="30">
        <f>IF(OR(M2044&lt;&gt;"OK",NOT(ISNUMBER(L2044))),"",L2044-R2044)</f>
        <v/>
      </c>
      <c r="T2044" s="46">
        <f>IF(OR(NOT(ISNUMBER(S2044)),IF(ISNUMBER(G2044),G2044,F2044)=0),"",S2044/IF(ISNUMBER(G2044),G2044,F2044))</f>
        <v/>
      </c>
      <c r="U2044" s="46">
        <f>IF(ISNUMBER(T2044),ABS(T2044),"")</f>
        <v/>
      </c>
      <c r="V2044" s="46">
        <f>IF(OR($D2043&lt;&gt;"측정",$C2043&lt;&gt;$C2044,NOT(ISNUMBER(L2044)),NOT(ISNUMBER(L2043)),(IF(ISNUMBER(G2044),G2044,F2044)-IF(ISNUMBER(G2043),G2043,F2043))=0),"",(L2044-L2043)/(IF(ISNUMBER(G2044),G2044,F2044)-IF(ISNUMBER(G2043),G2043,F2043)))</f>
        <v/>
      </c>
      <c r="W2044" s="30">
        <f>IF(NOT(AND(ISNUMBER(N2044),ISNUMBER(P2044))),"",(P2044-N2044)*1440)</f>
        <v/>
      </c>
      <c r="X2044" s="28" t="n"/>
      <c r="Y2044" s="28" t="n"/>
      <c r="Z2044" s="28" t="n"/>
      <c r="AA2044" s="31" t="n"/>
      <c r="AB2044" s="31" t="n"/>
    </row>
    <row r="2045">
      <c r="A2045" s="43" t="inlineStr">
        <is>
          <t>S40</t>
        </is>
      </c>
      <c r="B2045" s="43" t="inlineStr">
        <is>
          <t>남지</t>
        </is>
      </c>
      <c r="C2045" s="43" t="inlineStr">
        <is>
          <t>S40-H동</t>
        </is>
      </c>
      <c r="D2045" s="43" t="inlineStr">
        <is>
          <t>P0(후)</t>
        </is>
      </c>
      <c r="E2045" s="43" t="inlineStr">
        <is>
          <t>동</t>
        </is>
      </c>
      <c r="F2045" s="44" t="n"/>
      <c r="G2045" s="29" t="n"/>
      <c r="H2045" s="42" t="n"/>
      <c r="I2045" s="40" t="n"/>
      <c r="J2045" s="40" t="n"/>
      <c r="K2045" s="40" t="n"/>
      <c r="L2045" s="30">
        <f>IF(COUNT(I2045:K2045)=0,"",MEDIAN(I2045:K2045))</f>
        <v/>
      </c>
      <c r="M2045" s="37" t="n"/>
      <c r="N2045" s="37" t="n"/>
      <c r="O2045" s="37" t="n"/>
      <c r="P2045" s="37" t="n"/>
      <c r="Q2045" s="37" t="n"/>
      <c r="R2045" s="37" t="n"/>
      <c r="S2045" s="37" t="n"/>
      <c r="T2045" s="37" t="n"/>
      <c r="U2045" s="37" t="n"/>
      <c r="V2045" s="37" t="n"/>
      <c r="W2045" s="37" t="n"/>
      <c r="X2045" s="28" t="n"/>
      <c r="Y2045" s="28" t="n"/>
      <c r="Z2045" s="28" t="n"/>
      <c r="AA2045" s="31" t="n"/>
      <c r="AB2045" s="31" t="n"/>
    </row>
    <row r="2046">
      <c r="A2046" s="43" t="inlineStr">
        <is>
          <t>S40</t>
        </is>
      </c>
      <c r="B2046" s="43" t="inlineStr">
        <is>
          <t>남지</t>
        </is>
      </c>
      <c r="C2046" s="43" t="inlineStr">
        <is>
          <t>S40-H서</t>
        </is>
      </c>
      <c r="D2046" s="43" t="inlineStr">
        <is>
          <t>P0(전)</t>
        </is>
      </c>
      <c r="E2046" s="43" t="inlineStr">
        <is>
          <t>서</t>
        </is>
      </c>
      <c r="F2046" s="44" t="n"/>
      <c r="G2046" s="29" t="n"/>
      <c r="H2046" s="42" t="n"/>
      <c r="I2046" s="40" t="n"/>
      <c r="J2046" s="40" t="n"/>
      <c r="K2046" s="40" t="n"/>
      <c r="L2046" s="30">
        <f>IF(COUNT(I2046:K2046)=0,"",MEDIAN(I2046:K2046))</f>
        <v/>
      </c>
      <c r="M2046" s="37" t="n"/>
      <c r="N2046" s="37" t="n"/>
      <c r="O2046" s="37" t="n"/>
      <c r="P2046" s="37" t="n"/>
      <c r="Q2046" s="37" t="n"/>
      <c r="R2046" s="37" t="n"/>
      <c r="S2046" s="37" t="n"/>
      <c r="T2046" s="37" t="n"/>
      <c r="U2046" s="37" t="n"/>
      <c r="V2046" s="37" t="n"/>
      <c r="W2046" s="37" t="n"/>
      <c r="X2046" s="28" t="n"/>
      <c r="Y2046" s="28" t="n"/>
      <c r="Z2046" s="28" t="n"/>
      <c r="AA2046" s="31" t="n"/>
      <c r="AB2046" s="31" t="n"/>
    </row>
    <row r="2047">
      <c r="A2047" s="25" t="inlineStr">
        <is>
          <t>S40</t>
        </is>
      </c>
      <c r="B2047" s="25" t="inlineStr">
        <is>
          <t>남지</t>
        </is>
      </c>
      <c r="C2047" s="25" t="inlineStr">
        <is>
          <t>S40-H서</t>
        </is>
      </c>
      <c r="D2047" s="25" t="inlineStr">
        <is>
          <t>측정</t>
        </is>
      </c>
      <c r="E2047" s="25" t="inlineStr">
        <is>
          <t>서</t>
        </is>
      </c>
      <c r="F2047" s="30" t="n">
        <v>0.5</v>
      </c>
      <c r="G2047" s="29" t="n"/>
      <c r="H2047" s="42" t="n"/>
      <c r="I2047" s="40" t="n"/>
      <c r="J2047" s="40" t="n"/>
      <c r="K2047" s="40" t="n"/>
      <c r="L2047" s="30">
        <f>IF(COUNT(I2047:K2047)=0,"",MEDIAN(I2047:K2047))</f>
        <v/>
      </c>
      <c r="M2047" s="25">
        <f>IF(COUNTIFS($C:$C,$C2047,$D:$D,"P0(전)",$L:$L,"&gt;0")&lt;&gt;1,"P0(전) 유효 1개 아님",IF(COUNTIFS($C:$C,$C2047,$D:$D,"P0(후)",$L:$L,"&gt;0")&lt;&gt;1,"P0(후) 유효 1개 아님",IF(NOT(AND(ISNUMBER(N2047),ISNUMBER(P2047),ISNUMBER(H2047))),"시각 결측",IF(P2047&lt;=N2047,"P0 시각 역전",IF(OR(H2047&lt;N2047,H2047&gt;P2047),"측정시각 구간 밖","OK")))))</f>
        <v/>
      </c>
      <c r="N2047" s="45">
        <f>IF(COUNTIFS($C:$C,$C2047,$D:$D,"P0(전)",$L:$L,"&gt;0")&lt;&gt;1,"",SUMIFS($H:$H,$C:$C,$C2047,$D:$D,"P0(전)"))</f>
        <v/>
      </c>
      <c r="O2047" s="30">
        <f>IF(COUNTIFS($C:$C,$C2047,$D:$D,"P0(전)",$L:$L,"&gt;0")&lt;&gt;1,"",SUMIFS($L:$L,$C:$C,$C2047,$D:$D,"P0(전)"))</f>
        <v/>
      </c>
      <c r="P2047" s="45">
        <f>IF(COUNTIFS($C:$C,$C2047,$D:$D,"P0(후)",$L:$L,"&gt;0")&lt;&gt;1,"",SUMIFS($H:$H,$C:$C,$C2047,$D:$D,"P0(후)"))</f>
        <v/>
      </c>
      <c r="Q2047" s="30">
        <f>IF(COUNTIFS($C:$C,$C2047,$D:$D,"P0(후)",$L:$L,"&gt;0")&lt;&gt;1,"",SUMIFS($L:$L,$C:$C,$C2047,$D:$D,"P0(후)"))</f>
        <v/>
      </c>
      <c r="R2047" s="30">
        <f>IF(M2047&lt;&gt;"OK","",O2047+(Q2047-O2047)*(H2047-N2047)/(P2047-N2047))</f>
        <v/>
      </c>
      <c r="S2047" s="30">
        <f>IF(OR(M2047&lt;&gt;"OK",NOT(ISNUMBER(L2047))),"",L2047-R2047)</f>
        <v/>
      </c>
      <c r="T2047" s="46">
        <f>IF(OR(NOT(ISNUMBER(S2047)),IF(ISNUMBER(G2047),G2047,F2047)=0),"",S2047/IF(ISNUMBER(G2047),G2047,F2047))</f>
        <v/>
      </c>
      <c r="U2047" s="46">
        <f>IF(ISNUMBER(T2047),ABS(T2047),"")</f>
        <v/>
      </c>
      <c r="V2047" s="46">
        <f>IF(OR($D2046&lt;&gt;"측정",$C2046&lt;&gt;$C2047,NOT(ISNUMBER(L2047)),NOT(ISNUMBER(L2046)),(IF(ISNUMBER(G2047),G2047,F2047)-IF(ISNUMBER(G2046),G2046,F2046))=0),"",(L2047-L2046)/(IF(ISNUMBER(G2047),G2047,F2047)-IF(ISNUMBER(G2046),G2046,F2046)))</f>
        <v/>
      </c>
      <c r="W2047" s="30">
        <f>IF(NOT(AND(ISNUMBER(N2047),ISNUMBER(P2047))),"",(P2047-N2047)*1440)</f>
        <v/>
      </c>
      <c r="X2047" s="28" t="n"/>
      <c r="Y2047" s="28" t="n"/>
      <c r="Z2047" s="28" t="n"/>
      <c r="AA2047" s="31" t="n"/>
      <c r="AB2047" s="31" t="n"/>
    </row>
    <row r="2048">
      <c r="A2048" s="25" t="inlineStr">
        <is>
          <t>S40</t>
        </is>
      </c>
      <c r="B2048" s="25" t="inlineStr">
        <is>
          <t>남지</t>
        </is>
      </c>
      <c r="C2048" s="25" t="inlineStr">
        <is>
          <t>S40-H서</t>
        </is>
      </c>
      <c r="D2048" s="25" t="inlineStr">
        <is>
          <t>측정</t>
        </is>
      </c>
      <c r="E2048" s="25" t="inlineStr">
        <is>
          <t>서</t>
        </is>
      </c>
      <c r="F2048" s="30" t="n">
        <v>1</v>
      </c>
      <c r="G2048" s="29" t="n"/>
      <c r="H2048" s="42" t="n"/>
      <c r="I2048" s="40" t="n"/>
      <c r="J2048" s="40" t="n"/>
      <c r="K2048" s="40" t="n"/>
      <c r="L2048" s="30">
        <f>IF(COUNT(I2048:K2048)=0,"",MEDIAN(I2048:K2048))</f>
        <v/>
      </c>
      <c r="M2048" s="25">
        <f>IF(COUNTIFS($C:$C,$C2048,$D:$D,"P0(전)",$L:$L,"&gt;0")&lt;&gt;1,"P0(전) 유효 1개 아님",IF(COUNTIFS($C:$C,$C2048,$D:$D,"P0(후)",$L:$L,"&gt;0")&lt;&gt;1,"P0(후) 유효 1개 아님",IF(NOT(AND(ISNUMBER(N2048),ISNUMBER(P2048),ISNUMBER(H2048))),"시각 결측",IF(P2048&lt;=N2048,"P0 시각 역전",IF(OR(H2048&lt;N2048,H2048&gt;P2048),"측정시각 구간 밖","OK")))))</f>
        <v/>
      </c>
      <c r="N2048" s="45">
        <f>IF(COUNTIFS($C:$C,$C2048,$D:$D,"P0(전)",$L:$L,"&gt;0")&lt;&gt;1,"",SUMIFS($H:$H,$C:$C,$C2048,$D:$D,"P0(전)"))</f>
        <v/>
      </c>
      <c r="O2048" s="30">
        <f>IF(COUNTIFS($C:$C,$C2048,$D:$D,"P0(전)",$L:$L,"&gt;0")&lt;&gt;1,"",SUMIFS($L:$L,$C:$C,$C2048,$D:$D,"P0(전)"))</f>
        <v/>
      </c>
      <c r="P2048" s="45">
        <f>IF(COUNTIFS($C:$C,$C2048,$D:$D,"P0(후)",$L:$L,"&gt;0")&lt;&gt;1,"",SUMIFS($H:$H,$C:$C,$C2048,$D:$D,"P0(후)"))</f>
        <v/>
      </c>
      <c r="Q2048" s="30">
        <f>IF(COUNTIFS($C:$C,$C2048,$D:$D,"P0(후)",$L:$L,"&gt;0")&lt;&gt;1,"",SUMIFS($L:$L,$C:$C,$C2048,$D:$D,"P0(후)"))</f>
        <v/>
      </c>
      <c r="R2048" s="30">
        <f>IF(M2048&lt;&gt;"OK","",O2048+(Q2048-O2048)*(H2048-N2048)/(P2048-N2048))</f>
        <v/>
      </c>
      <c r="S2048" s="30">
        <f>IF(OR(M2048&lt;&gt;"OK",NOT(ISNUMBER(L2048))),"",L2048-R2048)</f>
        <v/>
      </c>
      <c r="T2048" s="46">
        <f>IF(OR(NOT(ISNUMBER(S2048)),IF(ISNUMBER(G2048),G2048,F2048)=0),"",S2048/IF(ISNUMBER(G2048),G2048,F2048))</f>
        <v/>
      </c>
      <c r="U2048" s="46">
        <f>IF(ISNUMBER(T2048),ABS(T2048),"")</f>
        <v/>
      </c>
      <c r="V2048" s="46">
        <f>IF(OR($D2047&lt;&gt;"측정",$C2047&lt;&gt;$C2048,NOT(ISNUMBER(L2048)),NOT(ISNUMBER(L2047)),(IF(ISNUMBER(G2048),G2048,F2048)-IF(ISNUMBER(G2047),G2047,F2047))=0),"",(L2048-L2047)/(IF(ISNUMBER(G2048),G2048,F2048)-IF(ISNUMBER(G2047),G2047,F2047)))</f>
        <v/>
      </c>
      <c r="W2048" s="30">
        <f>IF(NOT(AND(ISNUMBER(N2048),ISNUMBER(P2048))),"",(P2048-N2048)*1440)</f>
        <v/>
      </c>
      <c r="X2048" s="28" t="n"/>
      <c r="Y2048" s="28" t="n"/>
      <c r="Z2048" s="28" t="n"/>
      <c r="AA2048" s="31" t="n"/>
      <c r="AB2048" s="31" t="n"/>
    </row>
    <row r="2049">
      <c r="A2049" s="25" t="inlineStr">
        <is>
          <t>S40</t>
        </is>
      </c>
      <c r="B2049" s="25" t="inlineStr">
        <is>
          <t>남지</t>
        </is>
      </c>
      <c r="C2049" s="25" t="inlineStr">
        <is>
          <t>S40-H서</t>
        </is>
      </c>
      <c r="D2049" s="25" t="inlineStr">
        <is>
          <t>측정</t>
        </is>
      </c>
      <c r="E2049" s="25" t="inlineStr">
        <is>
          <t>서</t>
        </is>
      </c>
      <c r="F2049" s="30" t="n">
        <v>2</v>
      </c>
      <c r="G2049" s="29" t="n"/>
      <c r="H2049" s="42" t="n"/>
      <c r="I2049" s="40" t="n"/>
      <c r="J2049" s="40" t="n"/>
      <c r="K2049" s="40" t="n"/>
      <c r="L2049" s="30">
        <f>IF(COUNT(I2049:K2049)=0,"",MEDIAN(I2049:K2049))</f>
        <v/>
      </c>
      <c r="M2049" s="25">
        <f>IF(COUNTIFS($C:$C,$C2049,$D:$D,"P0(전)",$L:$L,"&gt;0")&lt;&gt;1,"P0(전) 유효 1개 아님",IF(COUNTIFS($C:$C,$C2049,$D:$D,"P0(후)",$L:$L,"&gt;0")&lt;&gt;1,"P0(후) 유효 1개 아님",IF(NOT(AND(ISNUMBER(N2049),ISNUMBER(P2049),ISNUMBER(H2049))),"시각 결측",IF(P2049&lt;=N2049,"P0 시각 역전",IF(OR(H2049&lt;N2049,H2049&gt;P2049),"측정시각 구간 밖","OK")))))</f>
        <v/>
      </c>
      <c r="N2049" s="45">
        <f>IF(COUNTIFS($C:$C,$C2049,$D:$D,"P0(전)",$L:$L,"&gt;0")&lt;&gt;1,"",SUMIFS($H:$H,$C:$C,$C2049,$D:$D,"P0(전)"))</f>
        <v/>
      </c>
      <c r="O2049" s="30">
        <f>IF(COUNTIFS($C:$C,$C2049,$D:$D,"P0(전)",$L:$L,"&gt;0")&lt;&gt;1,"",SUMIFS($L:$L,$C:$C,$C2049,$D:$D,"P0(전)"))</f>
        <v/>
      </c>
      <c r="P2049" s="45">
        <f>IF(COUNTIFS($C:$C,$C2049,$D:$D,"P0(후)",$L:$L,"&gt;0")&lt;&gt;1,"",SUMIFS($H:$H,$C:$C,$C2049,$D:$D,"P0(후)"))</f>
        <v/>
      </c>
      <c r="Q2049" s="30">
        <f>IF(COUNTIFS($C:$C,$C2049,$D:$D,"P0(후)",$L:$L,"&gt;0")&lt;&gt;1,"",SUMIFS($L:$L,$C:$C,$C2049,$D:$D,"P0(후)"))</f>
        <v/>
      </c>
      <c r="R2049" s="30">
        <f>IF(M2049&lt;&gt;"OK","",O2049+(Q2049-O2049)*(H2049-N2049)/(P2049-N2049))</f>
        <v/>
      </c>
      <c r="S2049" s="30">
        <f>IF(OR(M2049&lt;&gt;"OK",NOT(ISNUMBER(L2049))),"",L2049-R2049)</f>
        <v/>
      </c>
      <c r="T2049" s="46">
        <f>IF(OR(NOT(ISNUMBER(S2049)),IF(ISNUMBER(G2049),G2049,F2049)=0),"",S2049/IF(ISNUMBER(G2049),G2049,F2049))</f>
        <v/>
      </c>
      <c r="U2049" s="46">
        <f>IF(ISNUMBER(T2049),ABS(T2049),"")</f>
        <v/>
      </c>
      <c r="V2049" s="46">
        <f>IF(OR($D2048&lt;&gt;"측정",$C2048&lt;&gt;$C2049,NOT(ISNUMBER(L2049)),NOT(ISNUMBER(L2048)),(IF(ISNUMBER(G2049),G2049,F2049)-IF(ISNUMBER(G2048),G2048,F2048))=0),"",(L2049-L2048)/(IF(ISNUMBER(G2049),G2049,F2049)-IF(ISNUMBER(G2048),G2048,F2048)))</f>
        <v/>
      </c>
      <c r="W2049" s="30">
        <f>IF(NOT(AND(ISNUMBER(N2049),ISNUMBER(P2049))),"",(P2049-N2049)*1440)</f>
        <v/>
      </c>
      <c r="X2049" s="28" t="n"/>
      <c r="Y2049" s="28" t="n"/>
      <c r="Z2049" s="28" t="n"/>
      <c r="AA2049" s="31" t="n"/>
      <c r="AB2049" s="31" t="n"/>
    </row>
    <row r="2050">
      <c r="A2050" s="25" t="inlineStr">
        <is>
          <t>S40</t>
        </is>
      </c>
      <c r="B2050" s="25" t="inlineStr">
        <is>
          <t>남지</t>
        </is>
      </c>
      <c r="C2050" s="25" t="inlineStr">
        <is>
          <t>S40-H서</t>
        </is>
      </c>
      <c r="D2050" s="25" t="inlineStr">
        <is>
          <t>측정</t>
        </is>
      </c>
      <c r="E2050" s="25" t="inlineStr">
        <is>
          <t>서</t>
        </is>
      </c>
      <c r="F2050" s="30" t="n">
        <v>3</v>
      </c>
      <c r="G2050" s="29" t="n"/>
      <c r="H2050" s="42" t="n"/>
      <c r="I2050" s="40" t="n"/>
      <c r="J2050" s="40" t="n"/>
      <c r="K2050" s="40" t="n"/>
      <c r="L2050" s="30">
        <f>IF(COUNT(I2050:K2050)=0,"",MEDIAN(I2050:K2050))</f>
        <v/>
      </c>
      <c r="M2050" s="25">
        <f>IF(COUNTIFS($C:$C,$C2050,$D:$D,"P0(전)",$L:$L,"&gt;0")&lt;&gt;1,"P0(전) 유효 1개 아님",IF(COUNTIFS($C:$C,$C2050,$D:$D,"P0(후)",$L:$L,"&gt;0")&lt;&gt;1,"P0(후) 유효 1개 아님",IF(NOT(AND(ISNUMBER(N2050),ISNUMBER(P2050),ISNUMBER(H2050))),"시각 결측",IF(P2050&lt;=N2050,"P0 시각 역전",IF(OR(H2050&lt;N2050,H2050&gt;P2050),"측정시각 구간 밖","OK")))))</f>
        <v/>
      </c>
      <c r="N2050" s="45">
        <f>IF(COUNTIFS($C:$C,$C2050,$D:$D,"P0(전)",$L:$L,"&gt;0")&lt;&gt;1,"",SUMIFS($H:$H,$C:$C,$C2050,$D:$D,"P0(전)"))</f>
        <v/>
      </c>
      <c r="O2050" s="30">
        <f>IF(COUNTIFS($C:$C,$C2050,$D:$D,"P0(전)",$L:$L,"&gt;0")&lt;&gt;1,"",SUMIFS($L:$L,$C:$C,$C2050,$D:$D,"P0(전)"))</f>
        <v/>
      </c>
      <c r="P2050" s="45">
        <f>IF(COUNTIFS($C:$C,$C2050,$D:$D,"P0(후)",$L:$L,"&gt;0")&lt;&gt;1,"",SUMIFS($H:$H,$C:$C,$C2050,$D:$D,"P0(후)"))</f>
        <v/>
      </c>
      <c r="Q2050" s="30">
        <f>IF(COUNTIFS($C:$C,$C2050,$D:$D,"P0(후)",$L:$L,"&gt;0")&lt;&gt;1,"",SUMIFS($L:$L,$C:$C,$C2050,$D:$D,"P0(후)"))</f>
        <v/>
      </c>
      <c r="R2050" s="30">
        <f>IF(M2050&lt;&gt;"OK","",O2050+(Q2050-O2050)*(H2050-N2050)/(P2050-N2050))</f>
        <v/>
      </c>
      <c r="S2050" s="30">
        <f>IF(OR(M2050&lt;&gt;"OK",NOT(ISNUMBER(L2050))),"",L2050-R2050)</f>
        <v/>
      </c>
      <c r="T2050" s="46">
        <f>IF(OR(NOT(ISNUMBER(S2050)),IF(ISNUMBER(G2050),G2050,F2050)=0),"",S2050/IF(ISNUMBER(G2050),G2050,F2050))</f>
        <v/>
      </c>
      <c r="U2050" s="46">
        <f>IF(ISNUMBER(T2050),ABS(T2050),"")</f>
        <v/>
      </c>
      <c r="V2050" s="46">
        <f>IF(OR($D2049&lt;&gt;"측정",$C2049&lt;&gt;$C2050,NOT(ISNUMBER(L2050)),NOT(ISNUMBER(L2049)),(IF(ISNUMBER(G2050),G2050,F2050)-IF(ISNUMBER(G2049),G2049,F2049))=0),"",(L2050-L2049)/(IF(ISNUMBER(G2050),G2050,F2050)-IF(ISNUMBER(G2049),G2049,F2049)))</f>
        <v/>
      </c>
      <c r="W2050" s="30">
        <f>IF(NOT(AND(ISNUMBER(N2050),ISNUMBER(P2050))),"",(P2050-N2050)*1440)</f>
        <v/>
      </c>
      <c r="X2050" s="28" t="n"/>
      <c r="Y2050" s="28" t="n"/>
      <c r="Z2050" s="28" t="n"/>
      <c r="AA2050" s="31" t="n"/>
      <c r="AB2050" s="31" t="n"/>
    </row>
    <row r="2051">
      <c r="A2051" s="25" t="inlineStr">
        <is>
          <t>S40</t>
        </is>
      </c>
      <c r="B2051" s="25" t="inlineStr">
        <is>
          <t>남지</t>
        </is>
      </c>
      <c r="C2051" s="25" t="inlineStr">
        <is>
          <t>S40-H서</t>
        </is>
      </c>
      <c r="D2051" s="25" t="inlineStr">
        <is>
          <t>측정</t>
        </is>
      </c>
      <c r="E2051" s="25" t="inlineStr">
        <is>
          <t>서</t>
        </is>
      </c>
      <c r="F2051" s="30" t="n">
        <v>4</v>
      </c>
      <c r="G2051" s="29" t="n"/>
      <c r="H2051" s="42" t="n"/>
      <c r="I2051" s="40" t="n"/>
      <c r="J2051" s="40" t="n"/>
      <c r="K2051" s="40" t="n"/>
      <c r="L2051" s="30">
        <f>IF(COUNT(I2051:K2051)=0,"",MEDIAN(I2051:K2051))</f>
        <v/>
      </c>
      <c r="M2051" s="25">
        <f>IF(COUNTIFS($C:$C,$C2051,$D:$D,"P0(전)",$L:$L,"&gt;0")&lt;&gt;1,"P0(전) 유효 1개 아님",IF(COUNTIFS($C:$C,$C2051,$D:$D,"P0(후)",$L:$L,"&gt;0")&lt;&gt;1,"P0(후) 유효 1개 아님",IF(NOT(AND(ISNUMBER(N2051),ISNUMBER(P2051),ISNUMBER(H2051))),"시각 결측",IF(P2051&lt;=N2051,"P0 시각 역전",IF(OR(H2051&lt;N2051,H2051&gt;P2051),"측정시각 구간 밖","OK")))))</f>
        <v/>
      </c>
      <c r="N2051" s="45">
        <f>IF(COUNTIFS($C:$C,$C2051,$D:$D,"P0(전)",$L:$L,"&gt;0")&lt;&gt;1,"",SUMIFS($H:$H,$C:$C,$C2051,$D:$D,"P0(전)"))</f>
        <v/>
      </c>
      <c r="O2051" s="30">
        <f>IF(COUNTIFS($C:$C,$C2051,$D:$D,"P0(전)",$L:$L,"&gt;0")&lt;&gt;1,"",SUMIFS($L:$L,$C:$C,$C2051,$D:$D,"P0(전)"))</f>
        <v/>
      </c>
      <c r="P2051" s="45">
        <f>IF(COUNTIFS($C:$C,$C2051,$D:$D,"P0(후)",$L:$L,"&gt;0")&lt;&gt;1,"",SUMIFS($H:$H,$C:$C,$C2051,$D:$D,"P0(후)"))</f>
        <v/>
      </c>
      <c r="Q2051" s="30">
        <f>IF(COUNTIFS($C:$C,$C2051,$D:$D,"P0(후)",$L:$L,"&gt;0")&lt;&gt;1,"",SUMIFS($L:$L,$C:$C,$C2051,$D:$D,"P0(후)"))</f>
        <v/>
      </c>
      <c r="R2051" s="30">
        <f>IF(M2051&lt;&gt;"OK","",O2051+(Q2051-O2051)*(H2051-N2051)/(P2051-N2051))</f>
        <v/>
      </c>
      <c r="S2051" s="30">
        <f>IF(OR(M2051&lt;&gt;"OK",NOT(ISNUMBER(L2051))),"",L2051-R2051)</f>
        <v/>
      </c>
      <c r="T2051" s="46">
        <f>IF(OR(NOT(ISNUMBER(S2051)),IF(ISNUMBER(G2051),G2051,F2051)=0),"",S2051/IF(ISNUMBER(G2051),G2051,F2051))</f>
        <v/>
      </c>
      <c r="U2051" s="46">
        <f>IF(ISNUMBER(T2051),ABS(T2051),"")</f>
        <v/>
      </c>
      <c r="V2051" s="46">
        <f>IF(OR($D2050&lt;&gt;"측정",$C2050&lt;&gt;$C2051,NOT(ISNUMBER(L2051)),NOT(ISNUMBER(L2050)),(IF(ISNUMBER(G2051),G2051,F2051)-IF(ISNUMBER(G2050),G2050,F2050))=0),"",(L2051-L2050)/(IF(ISNUMBER(G2051),G2051,F2051)-IF(ISNUMBER(G2050),G2050,F2050)))</f>
        <v/>
      </c>
      <c r="W2051" s="30">
        <f>IF(NOT(AND(ISNUMBER(N2051),ISNUMBER(P2051))),"",(P2051-N2051)*1440)</f>
        <v/>
      </c>
      <c r="X2051" s="28" t="n"/>
      <c r="Y2051" s="28" t="n"/>
      <c r="Z2051" s="28" t="n"/>
      <c r="AA2051" s="31" t="n"/>
      <c r="AB2051" s="31" t="n"/>
    </row>
    <row r="2052">
      <c r="A2052" s="25" t="inlineStr">
        <is>
          <t>S40</t>
        </is>
      </c>
      <c r="B2052" s="25" t="inlineStr">
        <is>
          <t>남지</t>
        </is>
      </c>
      <c r="C2052" s="25" t="inlineStr">
        <is>
          <t>S40-H서</t>
        </is>
      </c>
      <c r="D2052" s="25" t="inlineStr">
        <is>
          <t>측정</t>
        </is>
      </c>
      <c r="E2052" s="25" t="inlineStr">
        <is>
          <t>서</t>
        </is>
      </c>
      <c r="F2052" s="30" t="n">
        <v>5</v>
      </c>
      <c r="G2052" s="29" t="n"/>
      <c r="H2052" s="42" t="n"/>
      <c r="I2052" s="40" t="n"/>
      <c r="J2052" s="40" t="n"/>
      <c r="K2052" s="40" t="n"/>
      <c r="L2052" s="30">
        <f>IF(COUNT(I2052:K2052)=0,"",MEDIAN(I2052:K2052))</f>
        <v/>
      </c>
      <c r="M2052" s="25">
        <f>IF(COUNTIFS($C:$C,$C2052,$D:$D,"P0(전)",$L:$L,"&gt;0")&lt;&gt;1,"P0(전) 유효 1개 아님",IF(COUNTIFS($C:$C,$C2052,$D:$D,"P0(후)",$L:$L,"&gt;0")&lt;&gt;1,"P0(후) 유효 1개 아님",IF(NOT(AND(ISNUMBER(N2052),ISNUMBER(P2052),ISNUMBER(H2052))),"시각 결측",IF(P2052&lt;=N2052,"P0 시각 역전",IF(OR(H2052&lt;N2052,H2052&gt;P2052),"측정시각 구간 밖","OK")))))</f>
        <v/>
      </c>
      <c r="N2052" s="45">
        <f>IF(COUNTIFS($C:$C,$C2052,$D:$D,"P0(전)",$L:$L,"&gt;0")&lt;&gt;1,"",SUMIFS($H:$H,$C:$C,$C2052,$D:$D,"P0(전)"))</f>
        <v/>
      </c>
      <c r="O2052" s="30">
        <f>IF(COUNTIFS($C:$C,$C2052,$D:$D,"P0(전)",$L:$L,"&gt;0")&lt;&gt;1,"",SUMIFS($L:$L,$C:$C,$C2052,$D:$D,"P0(전)"))</f>
        <v/>
      </c>
      <c r="P2052" s="45">
        <f>IF(COUNTIFS($C:$C,$C2052,$D:$D,"P0(후)",$L:$L,"&gt;0")&lt;&gt;1,"",SUMIFS($H:$H,$C:$C,$C2052,$D:$D,"P0(후)"))</f>
        <v/>
      </c>
      <c r="Q2052" s="30">
        <f>IF(COUNTIFS($C:$C,$C2052,$D:$D,"P0(후)",$L:$L,"&gt;0")&lt;&gt;1,"",SUMIFS($L:$L,$C:$C,$C2052,$D:$D,"P0(후)"))</f>
        <v/>
      </c>
      <c r="R2052" s="30">
        <f>IF(M2052&lt;&gt;"OK","",O2052+(Q2052-O2052)*(H2052-N2052)/(P2052-N2052))</f>
        <v/>
      </c>
      <c r="S2052" s="30">
        <f>IF(OR(M2052&lt;&gt;"OK",NOT(ISNUMBER(L2052))),"",L2052-R2052)</f>
        <v/>
      </c>
      <c r="T2052" s="46">
        <f>IF(OR(NOT(ISNUMBER(S2052)),IF(ISNUMBER(G2052),G2052,F2052)=0),"",S2052/IF(ISNUMBER(G2052),G2052,F2052))</f>
        <v/>
      </c>
      <c r="U2052" s="46">
        <f>IF(ISNUMBER(T2052),ABS(T2052),"")</f>
        <v/>
      </c>
      <c r="V2052" s="46">
        <f>IF(OR($D2051&lt;&gt;"측정",$C2051&lt;&gt;$C2052,NOT(ISNUMBER(L2052)),NOT(ISNUMBER(L2051)),(IF(ISNUMBER(G2052),G2052,F2052)-IF(ISNUMBER(G2051),G2051,F2051))=0),"",(L2052-L2051)/(IF(ISNUMBER(G2052),G2052,F2052)-IF(ISNUMBER(G2051),G2051,F2051)))</f>
        <v/>
      </c>
      <c r="W2052" s="30">
        <f>IF(NOT(AND(ISNUMBER(N2052),ISNUMBER(P2052))),"",(P2052-N2052)*1440)</f>
        <v/>
      </c>
      <c r="X2052" s="28" t="n"/>
      <c r="Y2052" s="28" t="n"/>
      <c r="Z2052" s="28" t="n"/>
      <c r="AA2052" s="31" t="n"/>
      <c r="AB2052" s="31" t="n"/>
    </row>
    <row r="2053">
      <c r="A2053" s="25" t="inlineStr">
        <is>
          <t>S40</t>
        </is>
      </c>
      <c r="B2053" s="25" t="inlineStr">
        <is>
          <t>남지</t>
        </is>
      </c>
      <c r="C2053" s="25" t="inlineStr">
        <is>
          <t>S40-H서</t>
        </is>
      </c>
      <c r="D2053" s="25" t="inlineStr">
        <is>
          <t>측정</t>
        </is>
      </c>
      <c r="E2053" s="25" t="inlineStr">
        <is>
          <t>서</t>
        </is>
      </c>
      <c r="F2053" s="30" t="n">
        <v>6</v>
      </c>
      <c r="G2053" s="29" t="n"/>
      <c r="H2053" s="42" t="n"/>
      <c r="I2053" s="40" t="n"/>
      <c r="J2053" s="40" t="n"/>
      <c r="K2053" s="40" t="n"/>
      <c r="L2053" s="30">
        <f>IF(COUNT(I2053:K2053)=0,"",MEDIAN(I2053:K2053))</f>
        <v/>
      </c>
      <c r="M2053" s="25">
        <f>IF(COUNTIFS($C:$C,$C2053,$D:$D,"P0(전)",$L:$L,"&gt;0")&lt;&gt;1,"P0(전) 유효 1개 아님",IF(COUNTIFS($C:$C,$C2053,$D:$D,"P0(후)",$L:$L,"&gt;0")&lt;&gt;1,"P0(후) 유효 1개 아님",IF(NOT(AND(ISNUMBER(N2053),ISNUMBER(P2053),ISNUMBER(H2053))),"시각 결측",IF(P2053&lt;=N2053,"P0 시각 역전",IF(OR(H2053&lt;N2053,H2053&gt;P2053),"측정시각 구간 밖","OK")))))</f>
        <v/>
      </c>
      <c r="N2053" s="45">
        <f>IF(COUNTIFS($C:$C,$C2053,$D:$D,"P0(전)",$L:$L,"&gt;0")&lt;&gt;1,"",SUMIFS($H:$H,$C:$C,$C2053,$D:$D,"P0(전)"))</f>
        <v/>
      </c>
      <c r="O2053" s="30">
        <f>IF(COUNTIFS($C:$C,$C2053,$D:$D,"P0(전)",$L:$L,"&gt;0")&lt;&gt;1,"",SUMIFS($L:$L,$C:$C,$C2053,$D:$D,"P0(전)"))</f>
        <v/>
      </c>
      <c r="P2053" s="45">
        <f>IF(COUNTIFS($C:$C,$C2053,$D:$D,"P0(후)",$L:$L,"&gt;0")&lt;&gt;1,"",SUMIFS($H:$H,$C:$C,$C2053,$D:$D,"P0(후)"))</f>
        <v/>
      </c>
      <c r="Q2053" s="30">
        <f>IF(COUNTIFS($C:$C,$C2053,$D:$D,"P0(후)",$L:$L,"&gt;0")&lt;&gt;1,"",SUMIFS($L:$L,$C:$C,$C2053,$D:$D,"P0(후)"))</f>
        <v/>
      </c>
      <c r="R2053" s="30">
        <f>IF(M2053&lt;&gt;"OK","",O2053+(Q2053-O2053)*(H2053-N2053)/(P2053-N2053))</f>
        <v/>
      </c>
      <c r="S2053" s="30">
        <f>IF(OR(M2053&lt;&gt;"OK",NOT(ISNUMBER(L2053))),"",L2053-R2053)</f>
        <v/>
      </c>
      <c r="T2053" s="46">
        <f>IF(OR(NOT(ISNUMBER(S2053)),IF(ISNUMBER(G2053),G2053,F2053)=0),"",S2053/IF(ISNUMBER(G2053),G2053,F2053))</f>
        <v/>
      </c>
      <c r="U2053" s="46">
        <f>IF(ISNUMBER(T2053),ABS(T2053),"")</f>
        <v/>
      </c>
      <c r="V2053" s="46">
        <f>IF(OR($D2052&lt;&gt;"측정",$C2052&lt;&gt;$C2053,NOT(ISNUMBER(L2053)),NOT(ISNUMBER(L2052)),(IF(ISNUMBER(G2053),G2053,F2053)-IF(ISNUMBER(G2052),G2052,F2052))=0),"",(L2053-L2052)/(IF(ISNUMBER(G2053),G2053,F2053)-IF(ISNUMBER(G2052),G2052,F2052)))</f>
        <v/>
      </c>
      <c r="W2053" s="30">
        <f>IF(NOT(AND(ISNUMBER(N2053),ISNUMBER(P2053))),"",(P2053-N2053)*1440)</f>
        <v/>
      </c>
      <c r="X2053" s="28" t="n"/>
      <c r="Y2053" s="28" t="n"/>
      <c r="Z2053" s="28" t="n"/>
      <c r="AA2053" s="31" t="n"/>
      <c r="AB2053" s="31" t="n"/>
    </row>
    <row r="2054">
      <c r="A2054" s="25" t="inlineStr">
        <is>
          <t>S40</t>
        </is>
      </c>
      <c r="B2054" s="25" t="inlineStr">
        <is>
          <t>남지</t>
        </is>
      </c>
      <c r="C2054" s="25" t="inlineStr">
        <is>
          <t>S40-H서</t>
        </is>
      </c>
      <c r="D2054" s="25" t="inlineStr">
        <is>
          <t>측정</t>
        </is>
      </c>
      <c r="E2054" s="25" t="inlineStr">
        <is>
          <t>서</t>
        </is>
      </c>
      <c r="F2054" s="30" t="n">
        <v>7</v>
      </c>
      <c r="G2054" s="29" t="n"/>
      <c r="H2054" s="42" t="n"/>
      <c r="I2054" s="40" t="n"/>
      <c r="J2054" s="40" t="n"/>
      <c r="K2054" s="40" t="n"/>
      <c r="L2054" s="30">
        <f>IF(COUNT(I2054:K2054)=0,"",MEDIAN(I2054:K2054))</f>
        <v/>
      </c>
      <c r="M2054" s="25">
        <f>IF(COUNTIFS($C:$C,$C2054,$D:$D,"P0(전)",$L:$L,"&gt;0")&lt;&gt;1,"P0(전) 유효 1개 아님",IF(COUNTIFS($C:$C,$C2054,$D:$D,"P0(후)",$L:$L,"&gt;0")&lt;&gt;1,"P0(후) 유효 1개 아님",IF(NOT(AND(ISNUMBER(N2054),ISNUMBER(P2054),ISNUMBER(H2054))),"시각 결측",IF(P2054&lt;=N2054,"P0 시각 역전",IF(OR(H2054&lt;N2054,H2054&gt;P2054),"측정시각 구간 밖","OK")))))</f>
        <v/>
      </c>
      <c r="N2054" s="45">
        <f>IF(COUNTIFS($C:$C,$C2054,$D:$D,"P0(전)",$L:$L,"&gt;0")&lt;&gt;1,"",SUMIFS($H:$H,$C:$C,$C2054,$D:$D,"P0(전)"))</f>
        <v/>
      </c>
      <c r="O2054" s="30">
        <f>IF(COUNTIFS($C:$C,$C2054,$D:$D,"P0(전)",$L:$L,"&gt;0")&lt;&gt;1,"",SUMIFS($L:$L,$C:$C,$C2054,$D:$D,"P0(전)"))</f>
        <v/>
      </c>
      <c r="P2054" s="45">
        <f>IF(COUNTIFS($C:$C,$C2054,$D:$D,"P0(후)",$L:$L,"&gt;0")&lt;&gt;1,"",SUMIFS($H:$H,$C:$C,$C2054,$D:$D,"P0(후)"))</f>
        <v/>
      </c>
      <c r="Q2054" s="30">
        <f>IF(COUNTIFS($C:$C,$C2054,$D:$D,"P0(후)",$L:$L,"&gt;0")&lt;&gt;1,"",SUMIFS($L:$L,$C:$C,$C2054,$D:$D,"P0(후)"))</f>
        <v/>
      </c>
      <c r="R2054" s="30">
        <f>IF(M2054&lt;&gt;"OK","",O2054+(Q2054-O2054)*(H2054-N2054)/(P2054-N2054))</f>
        <v/>
      </c>
      <c r="S2054" s="30">
        <f>IF(OR(M2054&lt;&gt;"OK",NOT(ISNUMBER(L2054))),"",L2054-R2054)</f>
        <v/>
      </c>
      <c r="T2054" s="46">
        <f>IF(OR(NOT(ISNUMBER(S2054)),IF(ISNUMBER(G2054),G2054,F2054)=0),"",S2054/IF(ISNUMBER(G2054),G2054,F2054))</f>
        <v/>
      </c>
      <c r="U2054" s="46">
        <f>IF(ISNUMBER(T2054),ABS(T2054),"")</f>
        <v/>
      </c>
      <c r="V2054" s="46">
        <f>IF(OR($D2053&lt;&gt;"측정",$C2053&lt;&gt;$C2054,NOT(ISNUMBER(L2054)),NOT(ISNUMBER(L2053)),(IF(ISNUMBER(G2054),G2054,F2054)-IF(ISNUMBER(G2053),G2053,F2053))=0),"",(L2054-L2053)/(IF(ISNUMBER(G2054),G2054,F2054)-IF(ISNUMBER(G2053),G2053,F2053)))</f>
        <v/>
      </c>
      <c r="W2054" s="30">
        <f>IF(NOT(AND(ISNUMBER(N2054),ISNUMBER(P2054))),"",(P2054-N2054)*1440)</f>
        <v/>
      </c>
      <c r="X2054" s="28" t="n"/>
      <c r="Y2054" s="28" t="n"/>
      <c r="Z2054" s="28" t="n"/>
      <c r="AA2054" s="31" t="n"/>
      <c r="AB2054" s="31" t="n"/>
    </row>
    <row r="2055">
      <c r="A2055" s="25" t="inlineStr">
        <is>
          <t>S40</t>
        </is>
      </c>
      <c r="B2055" s="25" t="inlineStr">
        <is>
          <t>남지</t>
        </is>
      </c>
      <c r="C2055" s="25" t="inlineStr">
        <is>
          <t>S40-H서</t>
        </is>
      </c>
      <c r="D2055" s="25" t="inlineStr">
        <is>
          <t>측정</t>
        </is>
      </c>
      <c r="E2055" s="25" t="inlineStr">
        <is>
          <t>서</t>
        </is>
      </c>
      <c r="F2055" s="30" t="n">
        <v>8</v>
      </c>
      <c r="G2055" s="29" t="n"/>
      <c r="H2055" s="42" t="n"/>
      <c r="I2055" s="40" t="n"/>
      <c r="J2055" s="40" t="n"/>
      <c r="K2055" s="40" t="n"/>
      <c r="L2055" s="30">
        <f>IF(COUNT(I2055:K2055)=0,"",MEDIAN(I2055:K2055))</f>
        <v/>
      </c>
      <c r="M2055" s="25">
        <f>IF(COUNTIFS($C:$C,$C2055,$D:$D,"P0(전)",$L:$L,"&gt;0")&lt;&gt;1,"P0(전) 유효 1개 아님",IF(COUNTIFS($C:$C,$C2055,$D:$D,"P0(후)",$L:$L,"&gt;0")&lt;&gt;1,"P0(후) 유효 1개 아님",IF(NOT(AND(ISNUMBER(N2055),ISNUMBER(P2055),ISNUMBER(H2055))),"시각 결측",IF(P2055&lt;=N2055,"P0 시각 역전",IF(OR(H2055&lt;N2055,H2055&gt;P2055),"측정시각 구간 밖","OK")))))</f>
        <v/>
      </c>
      <c r="N2055" s="45">
        <f>IF(COUNTIFS($C:$C,$C2055,$D:$D,"P0(전)",$L:$L,"&gt;0")&lt;&gt;1,"",SUMIFS($H:$H,$C:$C,$C2055,$D:$D,"P0(전)"))</f>
        <v/>
      </c>
      <c r="O2055" s="30">
        <f>IF(COUNTIFS($C:$C,$C2055,$D:$D,"P0(전)",$L:$L,"&gt;0")&lt;&gt;1,"",SUMIFS($L:$L,$C:$C,$C2055,$D:$D,"P0(전)"))</f>
        <v/>
      </c>
      <c r="P2055" s="45">
        <f>IF(COUNTIFS($C:$C,$C2055,$D:$D,"P0(후)",$L:$L,"&gt;0")&lt;&gt;1,"",SUMIFS($H:$H,$C:$C,$C2055,$D:$D,"P0(후)"))</f>
        <v/>
      </c>
      <c r="Q2055" s="30">
        <f>IF(COUNTIFS($C:$C,$C2055,$D:$D,"P0(후)",$L:$L,"&gt;0")&lt;&gt;1,"",SUMIFS($L:$L,$C:$C,$C2055,$D:$D,"P0(후)"))</f>
        <v/>
      </c>
      <c r="R2055" s="30">
        <f>IF(M2055&lt;&gt;"OK","",O2055+(Q2055-O2055)*(H2055-N2055)/(P2055-N2055))</f>
        <v/>
      </c>
      <c r="S2055" s="30">
        <f>IF(OR(M2055&lt;&gt;"OK",NOT(ISNUMBER(L2055))),"",L2055-R2055)</f>
        <v/>
      </c>
      <c r="T2055" s="46">
        <f>IF(OR(NOT(ISNUMBER(S2055)),IF(ISNUMBER(G2055),G2055,F2055)=0),"",S2055/IF(ISNUMBER(G2055),G2055,F2055))</f>
        <v/>
      </c>
      <c r="U2055" s="46">
        <f>IF(ISNUMBER(T2055),ABS(T2055),"")</f>
        <v/>
      </c>
      <c r="V2055" s="46">
        <f>IF(OR($D2054&lt;&gt;"측정",$C2054&lt;&gt;$C2055,NOT(ISNUMBER(L2055)),NOT(ISNUMBER(L2054)),(IF(ISNUMBER(G2055),G2055,F2055)-IF(ISNUMBER(G2054),G2054,F2054))=0),"",(L2055-L2054)/(IF(ISNUMBER(G2055),G2055,F2055)-IF(ISNUMBER(G2054),G2054,F2054)))</f>
        <v/>
      </c>
      <c r="W2055" s="30">
        <f>IF(NOT(AND(ISNUMBER(N2055),ISNUMBER(P2055))),"",(P2055-N2055)*1440)</f>
        <v/>
      </c>
      <c r="X2055" s="28" t="n"/>
      <c r="Y2055" s="28" t="n"/>
      <c r="Z2055" s="28" t="n"/>
      <c r="AA2055" s="31" t="n"/>
      <c r="AB2055" s="31" t="n"/>
    </row>
    <row r="2056">
      <c r="A2056" s="25" t="inlineStr">
        <is>
          <t>S40</t>
        </is>
      </c>
      <c r="B2056" s="25" t="inlineStr">
        <is>
          <t>남지</t>
        </is>
      </c>
      <c r="C2056" s="25" t="inlineStr">
        <is>
          <t>S40-H서</t>
        </is>
      </c>
      <c r="D2056" s="25" t="inlineStr">
        <is>
          <t>측정</t>
        </is>
      </c>
      <c r="E2056" s="25" t="inlineStr">
        <is>
          <t>서</t>
        </is>
      </c>
      <c r="F2056" s="30" t="n">
        <v>9</v>
      </c>
      <c r="G2056" s="29" t="n"/>
      <c r="H2056" s="42" t="n"/>
      <c r="I2056" s="40" t="n"/>
      <c r="J2056" s="40" t="n"/>
      <c r="K2056" s="40" t="n"/>
      <c r="L2056" s="30">
        <f>IF(COUNT(I2056:K2056)=0,"",MEDIAN(I2056:K2056))</f>
        <v/>
      </c>
      <c r="M2056" s="25">
        <f>IF(COUNTIFS($C:$C,$C2056,$D:$D,"P0(전)",$L:$L,"&gt;0")&lt;&gt;1,"P0(전) 유효 1개 아님",IF(COUNTIFS($C:$C,$C2056,$D:$D,"P0(후)",$L:$L,"&gt;0")&lt;&gt;1,"P0(후) 유효 1개 아님",IF(NOT(AND(ISNUMBER(N2056),ISNUMBER(P2056),ISNUMBER(H2056))),"시각 결측",IF(P2056&lt;=N2056,"P0 시각 역전",IF(OR(H2056&lt;N2056,H2056&gt;P2056),"측정시각 구간 밖","OK")))))</f>
        <v/>
      </c>
      <c r="N2056" s="45">
        <f>IF(COUNTIFS($C:$C,$C2056,$D:$D,"P0(전)",$L:$L,"&gt;0")&lt;&gt;1,"",SUMIFS($H:$H,$C:$C,$C2056,$D:$D,"P0(전)"))</f>
        <v/>
      </c>
      <c r="O2056" s="30">
        <f>IF(COUNTIFS($C:$C,$C2056,$D:$D,"P0(전)",$L:$L,"&gt;0")&lt;&gt;1,"",SUMIFS($L:$L,$C:$C,$C2056,$D:$D,"P0(전)"))</f>
        <v/>
      </c>
      <c r="P2056" s="45">
        <f>IF(COUNTIFS($C:$C,$C2056,$D:$D,"P0(후)",$L:$L,"&gt;0")&lt;&gt;1,"",SUMIFS($H:$H,$C:$C,$C2056,$D:$D,"P0(후)"))</f>
        <v/>
      </c>
      <c r="Q2056" s="30">
        <f>IF(COUNTIFS($C:$C,$C2056,$D:$D,"P0(후)",$L:$L,"&gt;0")&lt;&gt;1,"",SUMIFS($L:$L,$C:$C,$C2056,$D:$D,"P0(후)"))</f>
        <v/>
      </c>
      <c r="R2056" s="30">
        <f>IF(M2056&lt;&gt;"OK","",O2056+(Q2056-O2056)*(H2056-N2056)/(P2056-N2056))</f>
        <v/>
      </c>
      <c r="S2056" s="30">
        <f>IF(OR(M2056&lt;&gt;"OK",NOT(ISNUMBER(L2056))),"",L2056-R2056)</f>
        <v/>
      </c>
      <c r="T2056" s="46">
        <f>IF(OR(NOT(ISNUMBER(S2056)),IF(ISNUMBER(G2056),G2056,F2056)=0),"",S2056/IF(ISNUMBER(G2056),G2056,F2056))</f>
        <v/>
      </c>
      <c r="U2056" s="46">
        <f>IF(ISNUMBER(T2056),ABS(T2056),"")</f>
        <v/>
      </c>
      <c r="V2056" s="46">
        <f>IF(OR($D2055&lt;&gt;"측정",$C2055&lt;&gt;$C2056,NOT(ISNUMBER(L2056)),NOT(ISNUMBER(L2055)),(IF(ISNUMBER(G2056),G2056,F2056)-IF(ISNUMBER(G2055),G2055,F2055))=0),"",(L2056-L2055)/(IF(ISNUMBER(G2056),G2056,F2056)-IF(ISNUMBER(G2055),G2055,F2055)))</f>
        <v/>
      </c>
      <c r="W2056" s="30">
        <f>IF(NOT(AND(ISNUMBER(N2056),ISNUMBER(P2056))),"",(P2056-N2056)*1440)</f>
        <v/>
      </c>
      <c r="X2056" s="28" t="n"/>
      <c r="Y2056" s="28" t="n"/>
      <c r="Z2056" s="28" t="n"/>
      <c r="AA2056" s="31" t="n"/>
      <c r="AB2056" s="31" t="n"/>
    </row>
    <row r="2057">
      <c r="A2057" s="25" t="inlineStr">
        <is>
          <t>S40</t>
        </is>
      </c>
      <c r="B2057" s="25" t="inlineStr">
        <is>
          <t>남지</t>
        </is>
      </c>
      <c r="C2057" s="25" t="inlineStr">
        <is>
          <t>S40-H서</t>
        </is>
      </c>
      <c r="D2057" s="25" t="inlineStr">
        <is>
          <t>측정</t>
        </is>
      </c>
      <c r="E2057" s="25" t="inlineStr">
        <is>
          <t>서</t>
        </is>
      </c>
      <c r="F2057" s="30" t="n">
        <v>10</v>
      </c>
      <c r="G2057" s="29" t="n"/>
      <c r="H2057" s="42" t="n"/>
      <c r="I2057" s="40" t="n"/>
      <c r="J2057" s="40" t="n"/>
      <c r="K2057" s="40" t="n"/>
      <c r="L2057" s="30">
        <f>IF(COUNT(I2057:K2057)=0,"",MEDIAN(I2057:K2057))</f>
        <v/>
      </c>
      <c r="M2057" s="25">
        <f>IF(COUNTIFS($C:$C,$C2057,$D:$D,"P0(전)",$L:$L,"&gt;0")&lt;&gt;1,"P0(전) 유효 1개 아님",IF(COUNTIFS($C:$C,$C2057,$D:$D,"P0(후)",$L:$L,"&gt;0")&lt;&gt;1,"P0(후) 유효 1개 아님",IF(NOT(AND(ISNUMBER(N2057),ISNUMBER(P2057),ISNUMBER(H2057))),"시각 결측",IF(P2057&lt;=N2057,"P0 시각 역전",IF(OR(H2057&lt;N2057,H2057&gt;P2057),"측정시각 구간 밖","OK")))))</f>
        <v/>
      </c>
      <c r="N2057" s="45">
        <f>IF(COUNTIFS($C:$C,$C2057,$D:$D,"P0(전)",$L:$L,"&gt;0")&lt;&gt;1,"",SUMIFS($H:$H,$C:$C,$C2057,$D:$D,"P0(전)"))</f>
        <v/>
      </c>
      <c r="O2057" s="30">
        <f>IF(COUNTIFS($C:$C,$C2057,$D:$D,"P0(전)",$L:$L,"&gt;0")&lt;&gt;1,"",SUMIFS($L:$L,$C:$C,$C2057,$D:$D,"P0(전)"))</f>
        <v/>
      </c>
      <c r="P2057" s="45">
        <f>IF(COUNTIFS($C:$C,$C2057,$D:$D,"P0(후)",$L:$L,"&gt;0")&lt;&gt;1,"",SUMIFS($H:$H,$C:$C,$C2057,$D:$D,"P0(후)"))</f>
        <v/>
      </c>
      <c r="Q2057" s="30">
        <f>IF(COUNTIFS($C:$C,$C2057,$D:$D,"P0(후)",$L:$L,"&gt;0")&lt;&gt;1,"",SUMIFS($L:$L,$C:$C,$C2057,$D:$D,"P0(후)"))</f>
        <v/>
      </c>
      <c r="R2057" s="30">
        <f>IF(M2057&lt;&gt;"OK","",O2057+(Q2057-O2057)*(H2057-N2057)/(P2057-N2057))</f>
        <v/>
      </c>
      <c r="S2057" s="30">
        <f>IF(OR(M2057&lt;&gt;"OK",NOT(ISNUMBER(L2057))),"",L2057-R2057)</f>
        <v/>
      </c>
      <c r="T2057" s="46">
        <f>IF(OR(NOT(ISNUMBER(S2057)),IF(ISNUMBER(G2057),G2057,F2057)=0),"",S2057/IF(ISNUMBER(G2057),G2057,F2057))</f>
        <v/>
      </c>
      <c r="U2057" s="46">
        <f>IF(ISNUMBER(T2057),ABS(T2057),"")</f>
        <v/>
      </c>
      <c r="V2057" s="46">
        <f>IF(OR($D2056&lt;&gt;"측정",$C2056&lt;&gt;$C2057,NOT(ISNUMBER(L2057)),NOT(ISNUMBER(L2056)),(IF(ISNUMBER(G2057),G2057,F2057)-IF(ISNUMBER(G2056),G2056,F2056))=0),"",(L2057-L2056)/(IF(ISNUMBER(G2057),G2057,F2057)-IF(ISNUMBER(G2056),G2056,F2056)))</f>
        <v/>
      </c>
      <c r="W2057" s="30">
        <f>IF(NOT(AND(ISNUMBER(N2057),ISNUMBER(P2057))),"",(P2057-N2057)*1440)</f>
        <v/>
      </c>
      <c r="X2057" s="28" t="n"/>
      <c r="Y2057" s="28" t="n"/>
      <c r="Z2057" s="28" t="n"/>
      <c r="AA2057" s="31" t="n"/>
      <c r="AB2057" s="31" t="n"/>
    </row>
    <row r="2058">
      <c r="A2058" s="43" t="inlineStr">
        <is>
          <t>S40</t>
        </is>
      </c>
      <c r="B2058" s="43" t="inlineStr">
        <is>
          <t>남지</t>
        </is>
      </c>
      <c r="C2058" s="43" t="inlineStr">
        <is>
          <t>S40-H서</t>
        </is>
      </c>
      <c r="D2058" s="43" t="inlineStr">
        <is>
          <t>P0(후)</t>
        </is>
      </c>
      <c r="E2058" s="43" t="inlineStr">
        <is>
          <t>서</t>
        </is>
      </c>
      <c r="F2058" s="44" t="n"/>
      <c r="G2058" s="29" t="n"/>
      <c r="H2058" s="42" t="n"/>
      <c r="I2058" s="40" t="n"/>
      <c r="J2058" s="40" t="n"/>
      <c r="K2058" s="40" t="n"/>
      <c r="L2058" s="30">
        <f>IF(COUNT(I2058:K2058)=0,"",MEDIAN(I2058:K2058))</f>
        <v/>
      </c>
      <c r="M2058" s="37" t="n"/>
      <c r="N2058" s="37" t="n"/>
      <c r="O2058" s="37" t="n"/>
      <c r="P2058" s="37" t="n"/>
      <c r="Q2058" s="37" t="n"/>
      <c r="R2058" s="37" t="n"/>
      <c r="S2058" s="37" t="n"/>
      <c r="T2058" s="37" t="n"/>
      <c r="U2058" s="37" t="n"/>
      <c r="V2058" s="37" t="n"/>
      <c r="W2058" s="37" t="n"/>
      <c r="X2058" s="28" t="n"/>
      <c r="Y2058" s="28" t="n"/>
      <c r="Z2058" s="28" t="n"/>
      <c r="AA2058" s="31" t="n"/>
      <c r="AB2058" s="31" t="n"/>
    </row>
    <row r="2059">
      <c r="A2059" s="43" t="inlineStr">
        <is>
          <t>S40</t>
        </is>
      </c>
      <c r="B2059" s="43" t="inlineStr">
        <is>
          <t>남지</t>
        </is>
      </c>
      <c r="C2059" s="43" t="inlineStr">
        <is>
          <t>S40-H남</t>
        </is>
      </c>
      <c r="D2059" s="43" t="inlineStr">
        <is>
          <t>P0(전)</t>
        </is>
      </c>
      <c r="E2059" s="43" t="inlineStr">
        <is>
          <t>남</t>
        </is>
      </c>
      <c r="F2059" s="44" t="n"/>
      <c r="G2059" s="29" t="n"/>
      <c r="H2059" s="42" t="n"/>
      <c r="I2059" s="40" t="n"/>
      <c r="J2059" s="40" t="n"/>
      <c r="K2059" s="40" t="n"/>
      <c r="L2059" s="30">
        <f>IF(COUNT(I2059:K2059)=0,"",MEDIAN(I2059:K2059))</f>
        <v/>
      </c>
      <c r="M2059" s="37" t="n"/>
      <c r="N2059" s="37" t="n"/>
      <c r="O2059" s="37" t="n"/>
      <c r="P2059" s="37" t="n"/>
      <c r="Q2059" s="37" t="n"/>
      <c r="R2059" s="37" t="n"/>
      <c r="S2059" s="37" t="n"/>
      <c r="T2059" s="37" t="n"/>
      <c r="U2059" s="37" t="n"/>
      <c r="V2059" s="37" t="n"/>
      <c r="W2059" s="37" t="n"/>
      <c r="X2059" s="28" t="n"/>
      <c r="Y2059" s="28" t="n"/>
      <c r="Z2059" s="28" t="n"/>
      <c r="AA2059" s="31" t="n"/>
      <c r="AB2059" s="31" t="n"/>
    </row>
    <row r="2060">
      <c r="A2060" s="25" t="inlineStr">
        <is>
          <t>S40</t>
        </is>
      </c>
      <c r="B2060" s="25" t="inlineStr">
        <is>
          <t>남지</t>
        </is>
      </c>
      <c r="C2060" s="25" t="inlineStr">
        <is>
          <t>S40-H남</t>
        </is>
      </c>
      <c r="D2060" s="25" t="inlineStr">
        <is>
          <t>측정</t>
        </is>
      </c>
      <c r="E2060" s="25" t="inlineStr">
        <is>
          <t>남</t>
        </is>
      </c>
      <c r="F2060" s="30" t="n">
        <v>0.5</v>
      </c>
      <c r="G2060" s="29" t="n"/>
      <c r="H2060" s="42" t="n"/>
      <c r="I2060" s="40" t="n"/>
      <c r="J2060" s="40" t="n"/>
      <c r="K2060" s="40" t="n"/>
      <c r="L2060" s="30">
        <f>IF(COUNT(I2060:K2060)=0,"",MEDIAN(I2060:K2060))</f>
        <v/>
      </c>
      <c r="M2060" s="25">
        <f>IF(COUNTIFS($C:$C,$C2060,$D:$D,"P0(전)",$L:$L,"&gt;0")&lt;&gt;1,"P0(전) 유효 1개 아님",IF(COUNTIFS($C:$C,$C2060,$D:$D,"P0(후)",$L:$L,"&gt;0")&lt;&gt;1,"P0(후) 유효 1개 아님",IF(NOT(AND(ISNUMBER(N2060),ISNUMBER(P2060),ISNUMBER(H2060))),"시각 결측",IF(P2060&lt;=N2060,"P0 시각 역전",IF(OR(H2060&lt;N2060,H2060&gt;P2060),"측정시각 구간 밖","OK")))))</f>
        <v/>
      </c>
      <c r="N2060" s="45">
        <f>IF(COUNTIFS($C:$C,$C2060,$D:$D,"P0(전)",$L:$L,"&gt;0")&lt;&gt;1,"",SUMIFS($H:$H,$C:$C,$C2060,$D:$D,"P0(전)"))</f>
        <v/>
      </c>
      <c r="O2060" s="30">
        <f>IF(COUNTIFS($C:$C,$C2060,$D:$D,"P0(전)",$L:$L,"&gt;0")&lt;&gt;1,"",SUMIFS($L:$L,$C:$C,$C2060,$D:$D,"P0(전)"))</f>
        <v/>
      </c>
      <c r="P2060" s="45">
        <f>IF(COUNTIFS($C:$C,$C2060,$D:$D,"P0(후)",$L:$L,"&gt;0")&lt;&gt;1,"",SUMIFS($H:$H,$C:$C,$C2060,$D:$D,"P0(후)"))</f>
        <v/>
      </c>
      <c r="Q2060" s="30">
        <f>IF(COUNTIFS($C:$C,$C2060,$D:$D,"P0(후)",$L:$L,"&gt;0")&lt;&gt;1,"",SUMIFS($L:$L,$C:$C,$C2060,$D:$D,"P0(후)"))</f>
        <v/>
      </c>
      <c r="R2060" s="30">
        <f>IF(M2060&lt;&gt;"OK","",O2060+(Q2060-O2060)*(H2060-N2060)/(P2060-N2060))</f>
        <v/>
      </c>
      <c r="S2060" s="30">
        <f>IF(OR(M2060&lt;&gt;"OK",NOT(ISNUMBER(L2060))),"",L2060-R2060)</f>
        <v/>
      </c>
      <c r="T2060" s="46">
        <f>IF(OR(NOT(ISNUMBER(S2060)),IF(ISNUMBER(G2060),G2060,F2060)=0),"",S2060/IF(ISNUMBER(G2060),G2060,F2060))</f>
        <v/>
      </c>
      <c r="U2060" s="46">
        <f>IF(ISNUMBER(T2060),ABS(T2060),"")</f>
        <v/>
      </c>
      <c r="V2060" s="46">
        <f>IF(OR($D2059&lt;&gt;"측정",$C2059&lt;&gt;$C2060,NOT(ISNUMBER(L2060)),NOT(ISNUMBER(L2059)),(IF(ISNUMBER(G2060),G2060,F2060)-IF(ISNUMBER(G2059),G2059,F2059))=0),"",(L2060-L2059)/(IF(ISNUMBER(G2060),G2060,F2060)-IF(ISNUMBER(G2059),G2059,F2059)))</f>
        <v/>
      </c>
      <c r="W2060" s="30">
        <f>IF(NOT(AND(ISNUMBER(N2060),ISNUMBER(P2060))),"",(P2060-N2060)*1440)</f>
        <v/>
      </c>
      <c r="X2060" s="28" t="n"/>
      <c r="Y2060" s="28" t="n"/>
      <c r="Z2060" s="28" t="n"/>
      <c r="AA2060" s="31" t="n"/>
      <c r="AB2060" s="31" t="n"/>
    </row>
    <row r="2061">
      <c r="A2061" s="25" t="inlineStr">
        <is>
          <t>S40</t>
        </is>
      </c>
      <c r="B2061" s="25" t="inlineStr">
        <is>
          <t>남지</t>
        </is>
      </c>
      <c r="C2061" s="25" t="inlineStr">
        <is>
          <t>S40-H남</t>
        </is>
      </c>
      <c r="D2061" s="25" t="inlineStr">
        <is>
          <t>측정</t>
        </is>
      </c>
      <c r="E2061" s="25" t="inlineStr">
        <is>
          <t>남</t>
        </is>
      </c>
      <c r="F2061" s="30" t="n">
        <v>1</v>
      </c>
      <c r="G2061" s="29" t="n"/>
      <c r="H2061" s="42" t="n"/>
      <c r="I2061" s="40" t="n"/>
      <c r="J2061" s="40" t="n"/>
      <c r="K2061" s="40" t="n"/>
      <c r="L2061" s="30">
        <f>IF(COUNT(I2061:K2061)=0,"",MEDIAN(I2061:K2061))</f>
        <v/>
      </c>
      <c r="M2061" s="25">
        <f>IF(COUNTIFS($C:$C,$C2061,$D:$D,"P0(전)",$L:$L,"&gt;0")&lt;&gt;1,"P0(전) 유효 1개 아님",IF(COUNTIFS($C:$C,$C2061,$D:$D,"P0(후)",$L:$L,"&gt;0")&lt;&gt;1,"P0(후) 유효 1개 아님",IF(NOT(AND(ISNUMBER(N2061),ISNUMBER(P2061),ISNUMBER(H2061))),"시각 결측",IF(P2061&lt;=N2061,"P0 시각 역전",IF(OR(H2061&lt;N2061,H2061&gt;P2061),"측정시각 구간 밖","OK")))))</f>
        <v/>
      </c>
      <c r="N2061" s="45">
        <f>IF(COUNTIFS($C:$C,$C2061,$D:$D,"P0(전)",$L:$L,"&gt;0")&lt;&gt;1,"",SUMIFS($H:$H,$C:$C,$C2061,$D:$D,"P0(전)"))</f>
        <v/>
      </c>
      <c r="O2061" s="30">
        <f>IF(COUNTIFS($C:$C,$C2061,$D:$D,"P0(전)",$L:$L,"&gt;0")&lt;&gt;1,"",SUMIFS($L:$L,$C:$C,$C2061,$D:$D,"P0(전)"))</f>
        <v/>
      </c>
      <c r="P2061" s="45">
        <f>IF(COUNTIFS($C:$C,$C2061,$D:$D,"P0(후)",$L:$L,"&gt;0")&lt;&gt;1,"",SUMIFS($H:$H,$C:$C,$C2061,$D:$D,"P0(후)"))</f>
        <v/>
      </c>
      <c r="Q2061" s="30">
        <f>IF(COUNTIFS($C:$C,$C2061,$D:$D,"P0(후)",$L:$L,"&gt;0")&lt;&gt;1,"",SUMIFS($L:$L,$C:$C,$C2061,$D:$D,"P0(후)"))</f>
        <v/>
      </c>
      <c r="R2061" s="30">
        <f>IF(M2061&lt;&gt;"OK","",O2061+(Q2061-O2061)*(H2061-N2061)/(P2061-N2061))</f>
        <v/>
      </c>
      <c r="S2061" s="30">
        <f>IF(OR(M2061&lt;&gt;"OK",NOT(ISNUMBER(L2061))),"",L2061-R2061)</f>
        <v/>
      </c>
      <c r="T2061" s="46">
        <f>IF(OR(NOT(ISNUMBER(S2061)),IF(ISNUMBER(G2061),G2061,F2061)=0),"",S2061/IF(ISNUMBER(G2061),G2061,F2061))</f>
        <v/>
      </c>
      <c r="U2061" s="46">
        <f>IF(ISNUMBER(T2061),ABS(T2061),"")</f>
        <v/>
      </c>
      <c r="V2061" s="46">
        <f>IF(OR($D2060&lt;&gt;"측정",$C2060&lt;&gt;$C2061,NOT(ISNUMBER(L2061)),NOT(ISNUMBER(L2060)),(IF(ISNUMBER(G2061),G2061,F2061)-IF(ISNUMBER(G2060),G2060,F2060))=0),"",(L2061-L2060)/(IF(ISNUMBER(G2061),G2061,F2061)-IF(ISNUMBER(G2060),G2060,F2060)))</f>
        <v/>
      </c>
      <c r="W2061" s="30">
        <f>IF(NOT(AND(ISNUMBER(N2061),ISNUMBER(P2061))),"",(P2061-N2061)*1440)</f>
        <v/>
      </c>
      <c r="X2061" s="28" t="n"/>
      <c r="Y2061" s="28" t="n"/>
      <c r="Z2061" s="28" t="n"/>
      <c r="AA2061" s="31" t="n"/>
      <c r="AB2061" s="31" t="n"/>
    </row>
    <row r="2062">
      <c r="A2062" s="25" t="inlineStr">
        <is>
          <t>S40</t>
        </is>
      </c>
      <c r="B2062" s="25" t="inlineStr">
        <is>
          <t>남지</t>
        </is>
      </c>
      <c r="C2062" s="25" t="inlineStr">
        <is>
          <t>S40-H남</t>
        </is>
      </c>
      <c r="D2062" s="25" t="inlineStr">
        <is>
          <t>측정</t>
        </is>
      </c>
      <c r="E2062" s="25" t="inlineStr">
        <is>
          <t>남</t>
        </is>
      </c>
      <c r="F2062" s="30" t="n">
        <v>2</v>
      </c>
      <c r="G2062" s="29" t="n"/>
      <c r="H2062" s="42" t="n"/>
      <c r="I2062" s="40" t="n"/>
      <c r="J2062" s="40" t="n"/>
      <c r="K2062" s="40" t="n"/>
      <c r="L2062" s="30">
        <f>IF(COUNT(I2062:K2062)=0,"",MEDIAN(I2062:K2062))</f>
        <v/>
      </c>
      <c r="M2062" s="25">
        <f>IF(COUNTIFS($C:$C,$C2062,$D:$D,"P0(전)",$L:$L,"&gt;0")&lt;&gt;1,"P0(전) 유효 1개 아님",IF(COUNTIFS($C:$C,$C2062,$D:$D,"P0(후)",$L:$L,"&gt;0")&lt;&gt;1,"P0(후) 유효 1개 아님",IF(NOT(AND(ISNUMBER(N2062),ISNUMBER(P2062),ISNUMBER(H2062))),"시각 결측",IF(P2062&lt;=N2062,"P0 시각 역전",IF(OR(H2062&lt;N2062,H2062&gt;P2062),"측정시각 구간 밖","OK")))))</f>
        <v/>
      </c>
      <c r="N2062" s="45">
        <f>IF(COUNTIFS($C:$C,$C2062,$D:$D,"P0(전)",$L:$L,"&gt;0")&lt;&gt;1,"",SUMIFS($H:$H,$C:$C,$C2062,$D:$D,"P0(전)"))</f>
        <v/>
      </c>
      <c r="O2062" s="30">
        <f>IF(COUNTIFS($C:$C,$C2062,$D:$D,"P0(전)",$L:$L,"&gt;0")&lt;&gt;1,"",SUMIFS($L:$L,$C:$C,$C2062,$D:$D,"P0(전)"))</f>
        <v/>
      </c>
      <c r="P2062" s="45">
        <f>IF(COUNTIFS($C:$C,$C2062,$D:$D,"P0(후)",$L:$L,"&gt;0")&lt;&gt;1,"",SUMIFS($H:$H,$C:$C,$C2062,$D:$D,"P0(후)"))</f>
        <v/>
      </c>
      <c r="Q2062" s="30">
        <f>IF(COUNTIFS($C:$C,$C2062,$D:$D,"P0(후)",$L:$L,"&gt;0")&lt;&gt;1,"",SUMIFS($L:$L,$C:$C,$C2062,$D:$D,"P0(후)"))</f>
        <v/>
      </c>
      <c r="R2062" s="30">
        <f>IF(M2062&lt;&gt;"OK","",O2062+(Q2062-O2062)*(H2062-N2062)/(P2062-N2062))</f>
        <v/>
      </c>
      <c r="S2062" s="30">
        <f>IF(OR(M2062&lt;&gt;"OK",NOT(ISNUMBER(L2062))),"",L2062-R2062)</f>
        <v/>
      </c>
      <c r="T2062" s="46">
        <f>IF(OR(NOT(ISNUMBER(S2062)),IF(ISNUMBER(G2062),G2062,F2062)=0),"",S2062/IF(ISNUMBER(G2062),G2062,F2062))</f>
        <v/>
      </c>
      <c r="U2062" s="46">
        <f>IF(ISNUMBER(T2062),ABS(T2062),"")</f>
        <v/>
      </c>
      <c r="V2062" s="46">
        <f>IF(OR($D2061&lt;&gt;"측정",$C2061&lt;&gt;$C2062,NOT(ISNUMBER(L2062)),NOT(ISNUMBER(L2061)),(IF(ISNUMBER(G2062),G2062,F2062)-IF(ISNUMBER(G2061),G2061,F2061))=0),"",(L2062-L2061)/(IF(ISNUMBER(G2062),G2062,F2062)-IF(ISNUMBER(G2061),G2061,F2061)))</f>
        <v/>
      </c>
      <c r="W2062" s="30">
        <f>IF(NOT(AND(ISNUMBER(N2062),ISNUMBER(P2062))),"",(P2062-N2062)*1440)</f>
        <v/>
      </c>
      <c r="X2062" s="28" t="n"/>
      <c r="Y2062" s="28" t="n"/>
      <c r="Z2062" s="28" t="n"/>
      <c r="AA2062" s="31" t="n"/>
      <c r="AB2062" s="31" t="n"/>
    </row>
    <row r="2063">
      <c r="A2063" s="25" t="inlineStr">
        <is>
          <t>S40</t>
        </is>
      </c>
      <c r="B2063" s="25" t="inlineStr">
        <is>
          <t>남지</t>
        </is>
      </c>
      <c r="C2063" s="25" t="inlineStr">
        <is>
          <t>S40-H남</t>
        </is>
      </c>
      <c r="D2063" s="25" t="inlineStr">
        <is>
          <t>측정</t>
        </is>
      </c>
      <c r="E2063" s="25" t="inlineStr">
        <is>
          <t>남</t>
        </is>
      </c>
      <c r="F2063" s="30" t="n">
        <v>3</v>
      </c>
      <c r="G2063" s="29" t="n"/>
      <c r="H2063" s="42" t="n"/>
      <c r="I2063" s="40" t="n"/>
      <c r="J2063" s="40" t="n"/>
      <c r="K2063" s="40" t="n"/>
      <c r="L2063" s="30">
        <f>IF(COUNT(I2063:K2063)=0,"",MEDIAN(I2063:K2063))</f>
        <v/>
      </c>
      <c r="M2063" s="25">
        <f>IF(COUNTIFS($C:$C,$C2063,$D:$D,"P0(전)",$L:$L,"&gt;0")&lt;&gt;1,"P0(전) 유효 1개 아님",IF(COUNTIFS($C:$C,$C2063,$D:$D,"P0(후)",$L:$L,"&gt;0")&lt;&gt;1,"P0(후) 유효 1개 아님",IF(NOT(AND(ISNUMBER(N2063),ISNUMBER(P2063),ISNUMBER(H2063))),"시각 결측",IF(P2063&lt;=N2063,"P0 시각 역전",IF(OR(H2063&lt;N2063,H2063&gt;P2063),"측정시각 구간 밖","OK")))))</f>
        <v/>
      </c>
      <c r="N2063" s="45">
        <f>IF(COUNTIFS($C:$C,$C2063,$D:$D,"P0(전)",$L:$L,"&gt;0")&lt;&gt;1,"",SUMIFS($H:$H,$C:$C,$C2063,$D:$D,"P0(전)"))</f>
        <v/>
      </c>
      <c r="O2063" s="30">
        <f>IF(COUNTIFS($C:$C,$C2063,$D:$D,"P0(전)",$L:$L,"&gt;0")&lt;&gt;1,"",SUMIFS($L:$L,$C:$C,$C2063,$D:$D,"P0(전)"))</f>
        <v/>
      </c>
      <c r="P2063" s="45">
        <f>IF(COUNTIFS($C:$C,$C2063,$D:$D,"P0(후)",$L:$L,"&gt;0")&lt;&gt;1,"",SUMIFS($H:$H,$C:$C,$C2063,$D:$D,"P0(후)"))</f>
        <v/>
      </c>
      <c r="Q2063" s="30">
        <f>IF(COUNTIFS($C:$C,$C2063,$D:$D,"P0(후)",$L:$L,"&gt;0")&lt;&gt;1,"",SUMIFS($L:$L,$C:$C,$C2063,$D:$D,"P0(후)"))</f>
        <v/>
      </c>
      <c r="R2063" s="30">
        <f>IF(M2063&lt;&gt;"OK","",O2063+(Q2063-O2063)*(H2063-N2063)/(P2063-N2063))</f>
        <v/>
      </c>
      <c r="S2063" s="30">
        <f>IF(OR(M2063&lt;&gt;"OK",NOT(ISNUMBER(L2063))),"",L2063-R2063)</f>
        <v/>
      </c>
      <c r="T2063" s="46">
        <f>IF(OR(NOT(ISNUMBER(S2063)),IF(ISNUMBER(G2063),G2063,F2063)=0),"",S2063/IF(ISNUMBER(G2063),G2063,F2063))</f>
        <v/>
      </c>
      <c r="U2063" s="46">
        <f>IF(ISNUMBER(T2063),ABS(T2063),"")</f>
        <v/>
      </c>
      <c r="V2063" s="46">
        <f>IF(OR($D2062&lt;&gt;"측정",$C2062&lt;&gt;$C2063,NOT(ISNUMBER(L2063)),NOT(ISNUMBER(L2062)),(IF(ISNUMBER(G2063),G2063,F2063)-IF(ISNUMBER(G2062),G2062,F2062))=0),"",(L2063-L2062)/(IF(ISNUMBER(G2063),G2063,F2063)-IF(ISNUMBER(G2062),G2062,F2062)))</f>
        <v/>
      </c>
      <c r="W2063" s="30">
        <f>IF(NOT(AND(ISNUMBER(N2063),ISNUMBER(P2063))),"",(P2063-N2063)*1440)</f>
        <v/>
      </c>
      <c r="X2063" s="28" t="n"/>
      <c r="Y2063" s="28" t="n"/>
      <c r="Z2063" s="28" t="n"/>
      <c r="AA2063" s="31" t="n"/>
      <c r="AB2063" s="31" t="n"/>
    </row>
    <row r="2064">
      <c r="A2064" s="25" t="inlineStr">
        <is>
          <t>S40</t>
        </is>
      </c>
      <c r="B2064" s="25" t="inlineStr">
        <is>
          <t>남지</t>
        </is>
      </c>
      <c r="C2064" s="25" t="inlineStr">
        <is>
          <t>S40-H남</t>
        </is>
      </c>
      <c r="D2064" s="25" t="inlineStr">
        <is>
          <t>측정</t>
        </is>
      </c>
      <c r="E2064" s="25" t="inlineStr">
        <is>
          <t>남</t>
        </is>
      </c>
      <c r="F2064" s="30" t="n">
        <v>4</v>
      </c>
      <c r="G2064" s="29" t="n"/>
      <c r="H2064" s="42" t="n"/>
      <c r="I2064" s="40" t="n"/>
      <c r="J2064" s="40" t="n"/>
      <c r="K2064" s="40" t="n"/>
      <c r="L2064" s="30">
        <f>IF(COUNT(I2064:K2064)=0,"",MEDIAN(I2064:K2064))</f>
        <v/>
      </c>
      <c r="M2064" s="25">
        <f>IF(COUNTIFS($C:$C,$C2064,$D:$D,"P0(전)",$L:$L,"&gt;0")&lt;&gt;1,"P0(전) 유효 1개 아님",IF(COUNTIFS($C:$C,$C2064,$D:$D,"P0(후)",$L:$L,"&gt;0")&lt;&gt;1,"P0(후) 유효 1개 아님",IF(NOT(AND(ISNUMBER(N2064),ISNUMBER(P2064),ISNUMBER(H2064))),"시각 결측",IF(P2064&lt;=N2064,"P0 시각 역전",IF(OR(H2064&lt;N2064,H2064&gt;P2064),"측정시각 구간 밖","OK")))))</f>
        <v/>
      </c>
      <c r="N2064" s="45">
        <f>IF(COUNTIFS($C:$C,$C2064,$D:$D,"P0(전)",$L:$L,"&gt;0")&lt;&gt;1,"",SUMIFS($H:$H,$C:$C,$C2064,$D:$D,"P0(전)"))</f>
        <v/>
      </c>
      <c r="O2064" s="30">
        <f>IF(COUNTIFS($C:$C,$C2064,$D:$D,"P0(전)",$L:$L,"&gt;0")&lt;&gt;1,"",SUMIFS($L:$L,$C:$C,$C2064,$D:$D,"P0(전)"))</f>
        <v/>
      </c>
      <c r="P2064" s="45">
        <f>IF(COUNTIFS($C:$C,$C2064,$D:$D,"P0(후)",$L:$L,"&gt;0")&lt;&gt;1,"",SUMIFS($H:$H,$C:$C,$C2064,$D:$D,"P0(후)"))</f>
        <v/>
      </c>
      <c r="Q2064" s="30">
        <f>IF(COUNTIFS($C:$C,$C2064,$D:$D,"P0(후)",$L:$L,"&gt;0")&lt;&gt;1,"",SUMIFS($L:$L,$C:$C,$C2064,$D:$D,"P0(후)"))</f>
        <v/>
      </c>
      <c r="R2064" s="30">
        <f>IF(M2064&lt;&gt;"OK","",O2064+(Q2064-O2064)*(H2064-N2064)/(P2064-N2064))</f>
        <v/>
      </c>
      <c r="S2064" s="30">
        <f>IF(OR(M2064&lt;&gt;"OK",NOT(ISNUMBER(L2064))),"",L2064-R2064)</f>
        <v/>
      </c>
      <c r="T2064" s="46">
        <f>IF(OR(NOT(ISNUMBER(S2064)),IF(ISNUMBER(G2064),G2064,F2064)=0),"",S2064/IF(ISNUMBER(G2064),G2064,F2064))</f>
        <v/>
      </c>
      <c r="U2064" s="46">
        <f>IF(ISNUMBER(T2064),ABS(T2064),"")</f>
        <v/>
      </c>
      <c r="V2064" s="46">
        <f>IF(OR($D2063&lt;&gt;"측정",$C2063&lt;&gt;$C2064,NOT(ISNUMBER(L2064)),NOT(ISNUMBER(L2063)),(IF(ISNUMBER(G2064),G2064,F2064)-IF(ISNUMBER(G2063),G2063,F2063))=0),"",(L2064-L2063)/(IF(ISNUMBER(G2064),G2064,F2064)-IF(ISNUMBER(G2063),G2063,F2063)))</f>
        <v/>
      </c>
      <c r="W2064" s="30">
        <f>IF(NOT(AND(ISNUMBER(N2064),ISNUMBER(P2064))),"",(P2064-N2064)*1440)</f>
        <v/>
      </c>
      <c r="X2064" s="28" t="n"/>
      <c r="Y2064" s="28" t="n"/>
      <c r="Z2064" s="28" t="n"/>
      <c r="AA2064" s="31" t="n"/>
      <c r="AB2064" s="31" t="n"/>
    </row>
    <row r="2065">
      <c r="A2065" s="25" t="inlineStr">
        <is>
          <t>S40</t>
        </is>
      </c>
      <c r="B2065" s="25" t="inlineStr">
        <is>
          <t>남지</t>
        </is>
      </c>
      <c r="C2065" s="25" t="inlineStr">
        <is>
          <t>S40-H남</t>
        </is>
      </c>
      <c r="D2065" s="25" t="inlineStr">
        <is>
          <t>측정</t>
        </is>
      </c>
      <c r="E2065" s="25" t="inlineStr">
        <is>
          <t>남</t>
        </is>
      </c>
      <c r="F2065" s="30" t="n">
        <v>5</v>
      </c>
      <c r="G2065" s="29" t="n"/>
      <c r="H2065" s="42" t="n"/>
      <c r="I2065" s="40" t="n"/>
      <c r="J2065" s="40" t="n"/>
      <c r="K2065" s="40" t="n"/>
      <c r="L2065" s="30">
        <f>IF(COUNT(I2065:K2065)=0,"",MEDIAN(I2065:K2065))</f>
        <v/>
      </c>
      <c r="M2065" s="25">
        <f>IF(COUNTIFS($C:$C,$C2065,$D:$D,"P0(전)",$L:$L,"&gt;0")&lt;&gt;1,"P0(전) 유효 1개 아님",IF(COUNTIFS($C:$C,$C2065,$D:$D,"P0(후)",$L:$L,"&gt;0")&lt;&gt;1,"P0(후) 유효 1개 아님",IF(NOT(AND(ISNUMBER(N2065),ISNUMBER(P2065),ISNUMBER(H2065))),"시각 결측",IF(P2065&lt;=N2065,"P0 시각 역전",IF(OR(H2065&lt;N2065,H2065&gt;P2065),"측정시각 구간 밖","OK")))))</f>
        <v/>
      </c>
      <c r="N2065" s="45">
        <f>IF(COUNTIFS($C:$C,$C2065,$D:$D,"P0(전)",$L:$L,"&gt;0")&lt;&gt;1,"",SUMIFS($H:$H,$C:$C,$C2065,$D:$D,"P0(전)"))</f>
        <v/>
      </c>
      <c r="O2065" s="30">
        <f>IF(COUNTIFS($C:$C,$C2065,$D:$D,"P0(전)",$L:$L,"&gt;0")&lt;&gt;1,"",SUMIFS($L:$L,$C:$C,$C2065,$D:$D,"P0(전)"))</f>
        <v/>
      </c>
      <c r="P2065" s="45">
        <f>IF(COUNTIFS($C:$C,$C2065,$D:$D,"P0(후)",$L:$L,"&gt;0")&lt;&gt;1,"",SUMIFS($H:$H,$C:$C,$C2065,$D:$D,"P0(후)"))</f>
        <v/>
      </c>
      <c r="Q2065" s="30">
        <f>IF(COUNTIFS($C:$C,$C2065,$D:$D,"P0(후)",$L:$L,"&gt;0")&lt;&gt;1,"",SUMIFS($L:$L,$C:$C,$C2065,$D:$D,"P0(후)"))</f>
        <v/>
      </c>
      <c r="R2065" s="30">
        <f>IF(M2065&lt;&gt;"OK","",O2065+(Q2065-O2065)*(H2065-N2065)/(P2065-N2065))</f>
        <v/>
      </c>
      <c r="S2065" s="30">
        <f>IF(OR(M2065&lt;&gt;"OK",NOT(ISNUMBER(L2065))),"",L2065-R2065)</f>
        <v/>
      </c>
      <c r="T2065" s="46">
        <f>IF(OR(NOT(ISNUMBER(S2065)),IF(ISNUMBER(G2065),G2065,F2065)=0),"",S2065/IF(ISNUMBER(G2065),G2065,F2065))</f>
        <v/>
      </c>
      <c r="U2065" s="46">
        <f>IF(ISNUMBER(T2065),ABS(T2065),"")</f>
        <v/>
      </c>
      <c r="V2065" s="46">
        <f>IF(OR($D2064&lt;&gt;"측정",$C2064&lt;&gt;$C2065,NOT(ISNUMBER(L2065)),NOT(ISNUMBER(L2064)),(IF(ISNUMBER(G2065),G2065,F2065)-IF(ISNUMBER(G2064),G2064,F2064))=0),"",(L2065-L2064)/(IF(ISNUMBER(G2065),G2065,F2065)-IF(ISNUMBER(G2064),G2064,F2064)))</f>
        <v/>
      </c>
      <c r="W2065" s="30">
        <f>IF(NOT(AND(ISNUMBER(N2065),ISNUMBER(P2065))),"",(P2065-N2065)*1440)</f>
        <v/>
      </c>
      <c r="X2065" s="28" t="n"/>
      <c r="Y2065" s="28" t="n"/>
      <c r="Z2065" s="28" t="n"/>
      <c r="AA2065" s="31" t="n"/>
      <c r="AB2065" s="31" t="n"/>
    </row>
    <row r="2066">
      <c r="A2066" s="25" t="inlineStr">
        <is>
          <t>S40</t>
        </is>
      </c>
      <c r="B2066" s="25" t="inlineStr">
        <is>
          <t>남지</t>
        </is>
      </c>
      <c r="C2066" s="25" t="inlineStr">
        <is>
          <t>S40-H남</t>
        </is>
      </c>
      <c r="D2066" s="25" t="inlineStr">
        <is>
          <t>측정</t>
        </is>
      </c>
      <c r="E2066" s="25" t="inlineStr">
        <is>
          <t>남</t>
        </is>
      </c>
      <c r="F2066" s="30" t="n">
        <v>6</v>
      </c>
      <c r="G2066" s="29" t="n"/>
      <c r="H2066" s="42" t="n"/>
      <c r="I2066" s="40" t="n"/>
      <c r="J2066" s="40" t="n"/>
      <c r="K2066" s="40" t="n"/>
      <c r="L2066" s="30">
        <f>IF(COUNT(I2066:K2066)=0,"",MEDIAN(I2066:K2066))</f>
        <v/>
      </c>
      <c r="M2066" s="25">
        <f>IF(COUNTIFS($C:$C,$C2066,$D:$D,"P0(전)",$L:$L,"&gt;0")&lt;&gt;1,"P0(전) 유효 1개 아님",IF(COUNTIFS($C:$C,$C2066,$D:$D,"P0(후)",$L:$L,"&gt;0")&lt;&gt;1,"P0(후) 유효 1개 아님",IF(NOT(AND(ISNUMBER(N2066),ISNUMBER(P2066),ISNUMBER(H2066))),"시각 결측",IF(P2066&lt;=N2066,"P0 시각 역전",IF(OR(H2066&lt;N2066,H2066&gt;P2066),"측정시각 구간 밖","OK")))))</f>
        <v/>
      </c>
      <c r="N2066" s="45">
        <f>IF(COUNTIFS($C:$C,$C2066,$D:$D,"P0(전)",$L:$L,"&gt;0")&lt;&gt;1,"",SUMIFS($H:$H,$C:$C,$C2066,$D:$D,"P0(전)"))</f>
        <v/>
      </c>
      <c r="O2066" s="30">
        <f>IF(COUNTIFS($C:$C,$C2066,$D:$D,"P0(전)",$L:$L,"&gt;0")&lt;&gt;1,"",SUMIFS($L:$L,$C:$C,$C2066,$D:$D,"P0(전)"))</f>
        <v/>
      </c>
      <c r="P2066" s="45">
        <f>IF(COUNTIFS($C:$C,$C2066,$D:$D,"P0(후)",$L:$L,"&gt;0")&lt;&gt;1,"",SUMIFS($H:$H,$C:$C,$C2066,$D:$D,"P0(후)"))</f>
        <v/>
      </c>
      <c r="Q2066" s="30">
        <f>IF(COUNTIFS($C:$C,$C2066,$D:$D,"P0(후)",$L:$L,"&gt;0")&lt;&gt;1,"",SUMIFS($L:$L,$C:$C,$C2066,$D:$D,"P0(후)"))</f>
        <v/>
      </c>
      <c r="R2066" s="30">
        <f>IF(M2066&lt;&gt;"OK","",O2066+(Q2066-O2066)*(H2066-N2066)/(P2066-N2066))</f>
        <v/>
      </c>
      <c r="S2066" s="30">
        <f>IF(OR(M2066&lt;&gt;"OK",NOT(ISNUMBER(L2066))),"",L2066-R2066)</f>
        <v/>
      </c>
      <c r="T2066" s="46">
        <f>IF(OR(NOT(ISNUMBER(S2066)),IF(ISNUMBER(G2066),G2066,F2066)=0),"",S2066/IF(ISNUMBER(G2066),G2066,F2066))</f>
        <v/>
      </c>
      <c r="U2066" s="46">
        <f>IF(ISNUMBER(T2066),ABS(T2066),"")</f>
        <v/>
      </c>
      <c r="V2066" s="46">
        <f>IF(OR($D2065&lt;&gt;"측정",$C2065&lt;&gt;$C2066,NOT(ISNUMBER(L2066)),NOT(ISNUMBER(L2065)),(IF(ISNUMBER(G2066),G2066,F2066)-IF(ISNUMBER(G2065),G2065,F2065))=0),"",(L2066-L2065)/(IF(ISNUMBER(G2066),G2066,F2066)-IF(ISNUMBER(G2065),G2065,F2065)))</f>
        <v/>
      </c>
      <c r="W2066" s="30">
        <f>IF(NOT(AND(ISNUMBER(N2066),ISNUMBER(P2066))),"",(P2066-N2066)*1440)</f>
        <v/>
      </c>
      <c r="X2066" s="28" t="n"/>
      <c r="Y2066" s="28" t="n"/>
      <c r="Z2066" s="28" t="n"/>
      <c r="AA2066" s="31" t="n"/>
      <c r="AB2066" s="31" t="n"/>
    </row>
    <row r="2067">
      <c r="A2067" s="25" t="inlineStr">
        <is>
          <t>S40</t>
        </is>
      </c>
      <c r="B2067" s="25" t="inlineStr">
        <is>
          <t>남지</t>
        </is>
      </c>
      <c r="C2067" s="25" t="inlineStr">
        <is>
          <t>S40-H남</t>
        </is>
      </c>
      <c r="D2067" s="25" t="inlineStr">
        <is>
          <t>측정</t>
        </is>
      </c>
      <c r="E2067" s="25" t="inlineStr">
        <is>
          <t>남</t>
        </is>
      </c>
      <c r="F2067" s="30" t="n">
        <v>7</v>
      </c>
      <c r="G2067" s="29" t="n"/>
      <c r="H2067" s="42" t="n"/>
      <c r="I2067" s="40" t="n"/>
      <c r="J2067" s="40" t="n"/>
      <c r="K2067" s="40" t="n"/>
      <c r="L2067" s="30">
        <f>IF(COUNT(I2067:K2067)=0,"",MEDIAN(I2067:K2067))</f>
        <v/>
      </c>
      <c r="M2067" s="25">
        <f>IF(COUNTIFS($C:$C,$C2067,$D:$D,"P0(전)",$L:$L,"&gt;0")&lt;&gt;1,"P0(전) 유효 1개 아님",IF(COUNTIFS($C:$C,$C2067,$D:$D,"P0(후)",$L:$L,"&gt;0")&lt;&gt;1,"P0(후) 유효 1개 아님",IF(NOT(AND(ISNUMBER(N2067),ISNUMBER(P2067),ISNUMBER(H2067))),"시각 결측",IF(P2067&lt;=N2067,"P0 시각 역전",IF(OR(H2067&lt;N2067,H2067&gt;P2067),"측정시각 구간 밖","OK")))))</f>
        <v/>
      </c>
      <c r="N2067" s="45">
        <f>IF(COUNTIFS($C:$C,$C2067,$D:$D,"P0(전)",$L:$L,"&gt;0")&lt;&gt;1,"",SUMIFS($H:$H,$C:$C,$C2067,$D:$D,"P0(전)"))</f>
        <v/>
      </c>
      <c r="O2067" s="30">
        <f>IF(COUNTIFS($C:$C,$C2067,$D:$D,"P0(전)",$L:$L,"&gt;0")&lt;&gt;1,"",SUMIFS($L:$L,$C:$C,$C2067,$D:$D,"P0(전)"))</f>
        <v/>
      </c>
      <c r="P2067" s="45">
        <f>IF(COUNTIFS($C:$C,$C2067,$D:$D,"P0(후)",$L:$L,"&gt;0")&lt;&gt;1,"",SUMIFS($H:$H,$C:$C,$C2067,$D:$D,"P0(후)"))</f>
        <v/>
      </c>
      <c r="Q2067" s="30">
        <f>IF(COUNTIFS($C:$C,$C2067,$D:$D,"P0(후)",$L:$L,"&gt;0")&lt;&gt;1,"",SUMIFS($L:$L,$C:$C,$C2067,$D:$D,"P0(후)"))</f>
        <v/>
      </c>
      <c r="R2067" s="30">
        <f>IF(M2067&lt;&gt;"OK","",O2067+(Q2067-O2067)*(H2067-N2067)/(P2067-N2067))</f>
        <v/>
      </c>
      <c r="S2067" s="30">
        <f>IF(OR(M2067&lt;&gt;"OK",NOT(ISNUMBER(L2067))),"",L2067-R2067)</f>
        <v/>
      </c>
      <c r="T2067" s="46">
        <f>IF(OR(NOT(ISNUMBER(S2067)),IF(ISNUMBER(G2067),G2067,F2067)=0),"",S2067/IF(ISNUMBER(G2067),G2067,F2067))</f>
        <v/>
      </c>
      <c r="U2067" s="46">
        <f>IF(ISNUMBER(T2067),ABS(T2067),"")</f>
        <v/>
      </c>
      <c r="V2067" s="46">
        <f>IF(OR($D2066&lt;&gt;"측정",$C2066&lt;&gt;$C2067,NOT(ISNUMBER(L2067)),NOT(ISNUMBER(L2066)),(IF(ISNUMBER(G2067),G2067,F2067)-IF(ISNUMBER(G2066),G2066,F2066))=0),"",(L2067-L2066)/(IF(ISNUMBER(G2067),G2067,F2067)-IF(ISNUMBER(G2066),G2066,F2066)))</f>
        <v/>
      </c>
      <c r="W2067" s="30">
        <f>IF(NOT(AND(ISNUMBER(N2067),ISNUMBER(P2067))),"",(P2067-N2067)*1440)</f>
        <v/>
      </c>
      <c r="X2067" s="28" t="n"/>
      <c r="Y2067" s="28" t="n"/>
      <c r="Z2067" s="28" t="n"/>
      <c r="AA2067" s="31" t="n"/>
      <c r="AB2067" s="31" t="n"/>
    </row>
    <row r="2068">
      <c r="A2068" s="25" t="inlineStr">
        <is>
          <t>S40</t>
        </is>
      </c>
      <c r="B2068" s="25" t="inlineStr">
        <is>
          <t>남지</t>
        </is>
      </c>
      <c r="C2068" s="25" t="inlineStr">
        <is>
          <t>S40-H남</t>
        </is>
      </c>
      <c r="D2068" s="25" t="inlineStr">
        <is>
          <t>측정</t>
        </is>
      </c>
      <c r="E2068" s="25" t="inlineStr">
        <is>
          <t>남</t>
        </is>
      </c>
      <c r="F2068" s="30" t="n">
        <v>8</v>
      </c>
      <c r="G2068" s="29" t="n"/>
      <c r="H2068" s="42" t="n"/>
      <c r="I2068" s="40" t="n"/>
      <c r="J2068" s="40" t="n"/>
      <c r="K2068" s="40" t="n"/>
      <c r="L2068" s="30">
        <f>IF(COUNT(I2068:K2068)=0,"",MEDIAN(I2068:K2068))</f>
        <v/>
      </c>
      <c r="M2068" s="25">
        <f>IF(COUNTIFS($C:$C,$C2068,$D:$D,"P0(전)",$L:$L,"&gt;0")&lt;&gt;1,"P0(전) 유효 1개 아님",IF(COUNTIFS($C:$C,$C2068,$D:$D,"P0(후)",$L:$L,"&gt;0")&lt;&gt;1,"P0(후) 유효 1개 아님",IF(NOT(AND(ISNUMBER(N2068),ISNUMBER(P2068),ISNUMBER(H2068))),"시각 결측",IF(P2068&lt;=N2068,"P0 시각 역전",IF(OR(H2068&lt;N2068,H2068&gt;P2068),"측정시각 구간 밖","OK")))))</f>
        <v/>
      </c>
      <c r="N2068" s="45">
        <f>IF(COUNTIFS($C:$C,$C2068,$D:$D,"P0(전)",$L:$L,"&gt;0")&lt;&gt;1,"",SUMIFS($H:$H,$C:$C,$C2068,$D:$D,"P0(전)"))</f>
        <v/>
      </c>
      <c r="O2068" s="30">
        <f>IF(COUNTIFS($C:$C,$C2068,$D:$D,"P0(전)",$L:$L,"&gt;0")&lt;&gt;1,"",SUMIFS($L:$L,$C:$C,$C2068,$D:$D,"P0(전)"))</f>
        <v/>
      </c>
      <c r="P2068" s="45">
        <f>IF(COUNTIFS($C:$C,$C2068,$D:$D,"P0(후)",$L:$L,"&gt;0")&lt;&gt;1,"",SUMIFS($H:$H,$C:$C,$C2068,$D:$D,"P0(후)"))</f>
        <v/>
      </c>
      <c r="Q2068" s="30">
        <f>IF(COUNTIFS($C:$C,$C2068,$D:$D,"P0(후)",$L:$L,"&gt;0")&lt;&gt;1,"",SUMIFS($L:$L,$C:$C,$C2068,$D:$D,"P0(후)"))</f>
        <v/>
      </c>
      <c r="R2068" s="30">
        <f>IF(M2068&lt;&gt;"OK","",O2068+(Q2068-O2068)*(H2068-N2068)/(P2068-N2068))</f>
        <v/>
      </c>
      <c r="S2068" s="30">
        <f>IF(OR(M2068&lt;&gt;"OK",NOT(ISNUMBER(L2068))),"",L2068-R2068)</f>
        <v/>
      </c>
      <c r="T2068" s="46">
        <f>IF(OR(NOT(ISNUMBER(S2068)),IF(ISNUMBER(G2068),G2068,F2068)=0),"",S2068/IF(ISNUMBER(G2068),G2068,F2068))</f>
        <v/>
      </c>
      <c r="U2068" s="46">
        <f>IF(ISNUMBER(T2068),ABS(T2068),"")</f>
        <v/>
      </c>
      <c r="V2068" s="46">
        <f>IF(OR($D2067&lt;&gt;"측정",$C2067&lt;&gt;$C2068,NOT(ISNUMBER(L2068)),NOT(ISNUMBER(L2067)),(IF(ISNUMBER(G2068),G2068,F2068)-IF(ISNUMBER(G2067),G2067,F2067))=0),"",(L2068-L2067)/(IF(ISNUMBER(G2068),G2068,F2068)-IF(ISNUMBER(G2067),G2067,F2067)))</f>
        <v/>
      </c>
      <c r="W2068" s="30">
        <f>IF(NOT(AND(ISNUMBER(N2068),ISNUMBER(P2068))),"",(P2068-N2068)*1440)</f>
        <v/>
      </c>
      <c r="X2068" s="28" t="n"/>
      <c r="Y2068" s="28" t="n"/>
      <c r="Z2068" s="28" t="n"/>
      <c r="AA2068" s="31" t="n"/>
      <c r="AB2068" s="31" t="n"/>
    </row>
    <row r="2069">
      <c r="A2069" s="25" t="inlineStr">
        <is>
          <t>S40</t>
        </is>
      </c>
      <c r="B2069" s="25" t="inlineStr">
        <is>
          <t>남지</t>
        </is>
      </c>
      <c r="C2069" s="25" t="inlineStr">
        <is>
          <t>S40-H남</t>
        </is>
      </c>
      <c r="D2069" s="25" t="inlineStr">
        <is>
          <t>측정</t>
        </is>
      </c>
      <c r="E2069" s="25" t="inlineStr">
        <is>
          <t>남</t>
        </is>
      </c>
      <c r="F2069" s="30" t="n">
        <v>9</v>
      </c>
      <c r="G2069" s="29" t="n"/>
      <c r="H2069" s="42" t="n"/>
      <c r="I2069" s="40" t="n"/>
      <c r="J2069" s="40" t="n"/>
      <c r="K2069" s="40" t="n"/>
      <c r="L2069" s="30">
        <f>IF(COUNT(I2069:K2069)=0,"",MEDIAN(I2069:K2069))</f>
        <v/>
      </c>
      <c r="M2069" s="25">
        <f>IF(COUNTIFS($C:$C,$C2069,$D:$D,"P0(전)",$L:$L,"&gt;0")&lt;&gt;1,"P0(전) 유효 1개 아님",IF(COUNTIFS($C:$C,$C2069,$D:$D,"P0(후)",$L:$L,"&gt;0")&lt;&gt;1,"P0(후) 유효 1개 아님",IF(NOT(AND(ISNUMBER(N2069),ISNUMBER(P2069),ISNUMBER(H2069))),"시각 결측",IF(P2069&lt;=N2069,"P0 시각 역전",IF(OR(H2069&lt;N2069,H2069&gt;P2069),"측정시각 구간 밖","OK")))))</f>
        <v/>
      </c>
      <c r="N2069" s="45">
        <f>IF(COUNTIFS($C:$C,$C2069,$D:$D,"P0(전)",$L:$L,"&gt;0")&lt;&gt;1,"",SUMIFS($H:$H,$C:$C,$C2069,$D:$D,"P0(전)"))</f>
        <v/>
      </c>
      <c r="O2069" s="30">
        <f>IF(COUNTIFS($C:$C,$C2069,$D:$D,"P0(전)",$L:$L,"&gt;0")&lt;&gt;1,"",SUMIFS($L:$L,$C:$C,$C2069,$D:$D,"P0(전)"))</f>
        <v/>
      </c>
      <c r="P2069" s="45">
        <f>IF(COUNTIFS($C:$C,$C2069,$D:$D,"P0(후)",$L:$L,"&gt;0")&lt;&gt;1,"",SUMIFS($H:$H,$C:$C,$C2069,$D:$D,"P0(후)"))</f>
        <v/>
      </c>
      <c r="Q2069" s="30">
        <f>IF(COUNTIFS($C:$C,$C2069,$D:$D,"P0(후)",$L:$L,"&gt;0")&lt;&gt;1,"",SUMIFS($L:$L,$C:$C,$C2069,$D:$D,"P0(후)"))</f>
        <v/>
      </c>
      <c r="R2069" s="30">
        <f>IF(M2069&lt;&gt;"OK","",O2069+(Q2069-O2069)*(H2069-N2069)/(P2069-N2069))</f>
        <v/>
      </c>
      <c r="S2069" s="30">
        <f>IF(OR(M2069&lt;&gt;"OK",NOT(ISNUMBER(L2069))),"",L2069-R2069)</f>
        <v/>
      </c>
      <c r="T2069" s="46">
        <f>IF(OR(NOT(ISNUMBER(S2069)),IF(ISNUMBER(G2069),G2069,F2069)=0),"",S2069/IF(ISNUMBER(G2069),G2069,F2069))</f>
        <v/>
      </c>
      <c r="U2069" s="46">
        <f>IF(ISNUMBER(T2069),ABS(T2069),"")</f>
        <v/>
      </c>
      <c r="V2069" s="46">
        <f>IF(OR($D2068&lt;&gt;"측정",$C2068&lt;&gt;$C2069,NOT(ISNUMBER(L2069)),NOT(ISNUMBER(L2068)),(IF(ISNUMBER(G2069),G2069,F2069)-IF(ISNUMBER(G2068),G2068,F2068))=0),"",(L2069-L2068)/(IF(ISNUMBER(G2069),G2069,F2069)-IF(ISNUMBER(G2068),G2068,F2068)))</f>
        <v/>
      </c>
      <c r="W2069" s="30">
        <f>IF(NOT(AND(ISNUMBER(N2069),ISNUMBER(P2069))),"",(P2069-N2069)*1440)</f>
        <v/>
      </c>
      <c r="X2069" s="28" t="n"/>
      <c r="Y2069" s="28" t="n"/>
      <c r="Z2069" s="28" t="n"/>
      <c r="AA2069" s="31" t="n"/>
      <c r="AB2069" s="31" t="n"/>
    </row>
    <row r="2070">
      <c r="A2070" s="25" t="inlineStr">
        <is>
          <t>S40</t>
        </is>
      </c>
      <c r="B2070" s="25" t="inlineStr">
        <is>
          <t>남지</t>
        </is>
      </c>
      <c r="C2070" s="25" t="inlineStr">
        <is>
          <t>S40-H남</t>
        </is>
      </c>
      <c r="D2070" s="25" t="inlineStr">
        <is>
          <t>측정</t>
        </is>
      </c>
      <c r="E2070" s="25" t="inlineStr">
        <is>
          <t>남</t>
        </is>
      </c>
      <c r="F2070" s="30" t="n">
        <v>10</v>
      </c>
      <c r="G2070" s="29" t="n"/>
      <c r="H2070" s="42" t="n"/>
      <c r="I2070" s="40" t="n"/>
      <c r="J2070" s="40" t="n"/>
      <c r="K2070" s="40" t="n"/>
      <c r="L2070" s="30">
        <f>IF(COUNT(I2070:K2070)=0,"",MEDIAN(I2070:K2070))</f>
        <v/>
      </c>
      <c r="M2070" s="25">
        <f>IF(COUNTIFS($C:$C,$C2070,$D:$D,"P0(전)",$L:$L,"&gt;0")&lt;&gt;1,"P0(전) 유효 1개 아님",IF(COUNTIFS($C:$C,$C2070,$D:$D,"P0(후)",$L:$L,"&gt;0")&lt;&gt;1,"P0(후) 유효 1개 아님",IF(NOT(AND(ISNUMBER(N2070),ISNUMBER(P2070),ISNUMBER(H2070))),"시각 결측",IF(P2070&lt;=N2070,"P0 시각 역전",IF(OR(H2070&lt;N2070,H2070&gt;P2070),"측정시각 구간 밖","OK")))))</f>
        <v/>
      </c>
      <c r="N2070" s="45">
        <f>IF(COUNTIFS($C:$C,$C2070,$D:$D,"P0(전)",$L:$L,"&gt;0")&lt;&gt;1,"",SUMIFS($H:$H,$C:$C,$C2070,$D:$D,"P0(전)"))</f>
        <v/>
      </c>
      <c r="O2070" s="30">
        <f>IF(COUNTIFS($C:$C,$C2070,$D:$D,"P0(전)",$L:$L,"&gt;0")&lt;&gt;1,"",SUMIFS($L:$L,$C:$C,$C2070,$D:$D,"P0(전)"))</f>
        <v/>
      </c>
      <c r="P2070" s="45">
        <f>IF(COUNTIFS($C:$C,$C2070,$D:$D,"P0(후)",$L:$L,"&gt;0")&lt;&gt;1,"",SUMIFS($H:$H,$C:$C,$C2070,$D:$D,"P0(후)"))</f>
        <v/>
      </c>
      <c r="Q2070" s="30">
        <f>IF(COUNTIFS($C:$C,$C2070,$D:$D,"P0(후)",$L:$L,"&gt;0")&lt;&gt;1,"",SUMIFS($L:$L,$C:$C,$C2070,$D:$D,"P0(후)"))</f>
        <v/>
      </c>
      <c r="R2070" s="30">
        <f>IF(M2070&lt;&gt;"OK","",O2070+(Q2070-O2070)*(H2070-N2070)/(P2070-N2070))</f>
        <v/>
      </c>
      <c r="S2070" s="30">
        <f>IF(OR(M2070&lt;&gt;"OK",NOT(ISNUMBER(L2070))),"",L2070-R2070)</f>
        <v/>
      </c>
      <c r="T2070" s="46">
        <f>IF(OR(NOT(ISNUMBER(S2070)),IF(ISNUMBER(G2070),G2070,F2070)=0),"",S2070/IF(ISNUMBER(G2070),G2070,F2070))</f>
        <v/>
      </c>
      <c r="U2070" s="46">
        <f>IF(ISNUMBER(T2070),ABS(T2070),"")</f>
        <v/>
      </c>
      <c r="V2070" s="46">
        <f>IF(OR($D2069&lt;&gt;"측정",$C2069&lt;&gt;$C2070,NOT(ISNUMBER(L2070)),NOT(ISNUMBER(L2069)),(IF(ISNUMBER(G2070),G2070,F2070)-IF(ISNUMBER(G2069),G2069,F2069))=0),"",(L2070-L2069)/(IF(ISNUMBER(G2070),G2070,F2070)-IF(ISNUMBER(G2069),G2069,F2069)))</f>
        <v/>
      </c>
      <c r="W2070" s="30">
        <f>IF(NOT(AND(ISNUMBER(N2070),ISNUMBER(P2070))),"",(P2070-N2070)*1440)</f>
        <v/>
      </c>
      <c r="X2070" s="28" t="n"/>
      <c r="Y2070" s="28" t="n"/>
      <c r="Z2070" s="28" t="n"/>
      <c r="AA2070" s="31" t="n"/>
      <c r="AB2070" s="31" t="n"/>
    </row>
    <row r="2071">
      <c r="A2071" s="43" t="inlineStr">
        <is>
          <t>S40</t>
        </is>
      </c>
      <c r="B2071" s="43" t="inlineStr">
        <is>
          <t>남지</t>
        </is>
      </c>
      <c r="C2071" s="43" t="inlineStr">
        <is>
          <t>S40-H남</t>
        </is>
      </c>
      <c r="D2071" s="43" t="inlineStr">
        <is>
          <t>P0(후)</t>
        </is>
      </c>
      <c r="E2071" s="43" t="inlineStr">
        <is>
          <t>남</t>
        </is>
      </c>
      <c r="F2071" s="44" t="n"/>
      <c r="G2071" s="29" t="n"/>
      <c r="H2071" s="42" t="n"/>
      <c r="I2071" s="40" t="n"/>
      <c r="J2071" s="40" t="n"/>
      <c r="K2071" s="40" t="n"/>
      <c r="L2071" s="30">
        <f>IF(COUNT(I2071:K2071)=0,"",MEDIAN(I2071:K2071))</f>
        <v/>
      </c>
      <c r="M2071" s="37" t="n"/>
      <c r="N2071" s="37" t="n"/>
      <c r="O2071" s="37" t="n"/>
      <c r="P2071" s="37" t="n"/>
      <c r="Q2071" s="37" t="n"/>
      <c r="R2071" s="37" t="n"/>
      <c r="S2071" s="37" t="n"/>
      <c r="T2071" s="37" t="n"/>
      <c r="U2071" s="37" t="n"/>
      <c r="V2071" s="37" t="n"/>
      <c r="W2071" s="37" t="n"/>
      <c r="X2071" s="28" t="n"/>
      <c r="Y2071" s="28" t="n"/>
      <c r="Z2071" s="28" t="n"/>
      <c r="AA2071" s="31" t="n"/>
      <c r="AB2071" s="31" t="n"/>
    </row>
    <row r="2072">
      <c r="A2072" s="43" t="inlineStr">
        <is>
          <t>S40</t>
        </is>
      </c>
      <c r="B2072" s="43" t="inlineStr">
        <is>
          <t>남지</t>
        </is>
      </c>
      <c r="C2072" s="43" t="inlineStr">
        <is>
          <t>S40-H북</t>
        </is>
      </c>
      <c r="D2072" s="43" t="inlineStr">
        <is>
          <t>P0(전)</t>
        </is>
      </c>
      <c r="E2072" s="43" t="inlineStr">
        <is>
          <t>북</t>
        </is>
      </c>
      <c r="F2072" s="44" t="n"/>
      <c r="G2072" s="29" t="n"/>
      <c r="H2072" s="42" t="n"/>
      <c r="I2072" s="40" t="n"/>
      <c r="J2072" s="40" t="n"/>
      <c r="K2072" s="40" t="n"/>
      <c r="L2072" s="30">
        <f>IF(COUNT(I2072:K2072)=0,"",MEDIAN(I2072:K2072))</f>
        <v/>
      </c>
      <c r="M2072" s="37" t="n"/>
      <c r="N2072" s="37" t="n"/>
      <c r="O2072" s="37" t="n"/>
      <c r="P2072" s="37" t="n"/>
      <c r="Q2072" s="37" t="n"/>
      <c r="R2072" s="37" t="n"/>
      <c r="S2072" s="37" t="n"/>
      <c r="T2072" s="37" t="n"/>
      <c r="U2072" s="37" t="n"/>
      <c r="V2072" s="37" t="n"/>
      <c r="W2072" s="37" t="n"/>
      <c r="X2072" s="28" t="n"/>
      <c r="Y2072" s="28" t="n"/>
      <c r="Z2072" s="28" t="n"/>
      <c r="AA2072" s="31" t="n"/>
      <c r="AB2072" s="31" t="n"/>
    </row>
    <row r="2073">
      <c r="A2073" s="25" t="inlineStr">
        <is>
          <t>S40</t>
        </is>
      </c>
      <c r="B2073" s="25" t="inlineStr">
        <is>
          <t>남지</t>
        </is>
      </c>
      <c r="C2073" s="25" t="inlineStr">
        <is>
          <t>S40-H북</t>
        </is>
      </c>
      <c r="D2073" s="25" t="inlineStr">
        <is>
          <t>측정</t>
        </is>
      </c>
      <c r="E2073" s="25" t="inlineStr">
        <is>
          <t>북</t>
        </is>
      </c>
      <c r="F2073" s="30" t="n">
        <v>0.5</v>
      </c>
      <c r="G2073" s="29" t="n"/>
      <c r="H2073" s="42" t="n"/>
      <c r="I2073" s="40" t="n"/>
      <c r="J2073" s="40" t="n"/>
      <c r="K2073" s="40" t="n"/>
      <c r="L2073" s="30">
        <f>IF(COUNT(I2073:K2073)=0,"",MEDIAN(I2073:K2073))</f>
        <v/>
      </c>
      <c r="M2073" s="25">
        <f>IF(COUNTIFS($C:$C,$C2073,$D:$D,"P0(전)",$L:$L,"&gt;0")&lt;&gt;1,"P0(전) 유효 1개 아님",IF(COUNTIFS($C:$C,$C2073,$D:$D,"P0(후)",$L:$L,"&gt;0")&lt;&gt;1,"P0(후) 유효 1개 아님",IF(NOT(AND(ISNUMBER(N2073),ISNUMBER(P2073),ISNUMBER(H2073))),"시각 결측",IF(P2073&lt;=N2073,"P0 시각 역전",IF(OR(H2073&lt;N2073,H2073&gt;P2073),"측정시각 구간 밖","OK")))))</f>
        <v/>
      </c>
      <c r="N2073" s="45">
        <f>IF(COUNTIFS($C:$C,$C2073,$D:$D,"P0(전)",$L:$L,"&gt;0")&lt;&gt;1,"",SUMIFS($H:$H,$C:$C,$C2073,$D:$D,"P0(전)"))</f>
        <v/>
      </c>
      <c r="O2073" s="30">
        <f>IF(COUNTIFS($C:$C,$C2073,$D:$D,"P0(전)",$L:$L,"&gt;0")&lt;&gt;1,"",SUMIFS($L:$L,$C:$C,$C2073,$D:$D,"P0(전)"))</f>
        <v/>
      </c>
      <c r="P2073" s="45">
        <f>IF(COUNTIFS($C:$C,$C2073,$D:$D,"P0(후)",$L:$L,"&gt;0")&lt;&gt;1,"",SUMIFS($H:$H,$C:$C,$C2073,$D:$D,"P0(후)"))</f>
        <v/>
      </c>
      <c r="Q2073" s="30">
        <f>IF(COUNTIFS($C:$C,$C2073,$D:$D,"P0(후)",$L:$L,"&gt;0")&lt;&gt;1,"",SUMIFS($L:$L,$C:$C,$C2073,$D:$D,"P0(후)"))</f>
        <v/>
      </c>
      <c r="R2073" s="30">
        <f>IF(M2073&lt;&gt;"OK","",O2073+(Q2073-O2073)*(H2073-N2073)/(P2073-N2073))</f>
        <v/>
      </c>
      <c r="S2073" s="30">
        <f>IF(OR(M2073&lt;&gt;"OK",NOT(ISNUMBER(L2073))),"",L2073-R2073)</f>
        <v/>
      </c>
      <c r="T2073" s="46">
        <f>IF(OR(NOT(ISNUMBER(S2073)),IF(ISNUMBER(G2073),G2073,F2073)=0),"",S2073/IF(ISNUMBER(G2073),G2073,F2073))</f>
        <v/>
      </c>
      <c r="U2073" s="46">
        <f>IF(ISNUMBER(T2073),ABS(T2073),"")</f>
        <v/>
      </c>
      <c r="V2073" s="46">
        <f>IF(OR($D2072&lt;&gt;"측정",$C2072&lt;&gt;$C2073,NOT(ISNUMBER(L2073)),NOT(ISNUMBER(L2072)),(IF(ISNUMBER(G2073),G2073,F2073)-IF(ISNUMBER(G2072),G2072,F2072))=0),"",(L2073-L2072)/(IF(ISNUMBER(G2073),G2073,F2073)-IF(ISNUMBER(G2072),G2072,F2072)))</f>
        <v/>
      </c>
      <c r="W2073" s="30">
        <f>IF(NOT(AND(ISNUMBER(N2073),ISNUMBER(P2073))),"",(P2073-N2073)*1440)</f>
        <v/>
      </c>
      <c r="X2073" s="28" t="n"/>
      <c r="Y2073" s="28" t="n"/>
      <c r="Z2073" s="28" t="n"/>
      <c r="AA2073" s="31" t="n"/>
      <c r="AB2073" s="31" t="n"/>
    </row>
    <row r="2074">
      <c r="A2074" s="25" t="inlineStr">
        <is>
          <t>S40</t>
        </is>
      </c>
      <c r="B2074" s="25" t="inlineStr">
        <is>
          <t>남지</t>
        </is>
      </c>
      <c r="C2074" s="25" t="inlineStr">
        <is>
          <t>S40-H북</t>
        </is>
      </c>
      <c r="D2074" s="25" t="inlineStr">
        <is>
          <t>측정</t>
        </is>
      </c>
      <c r="E2074" s="25" t="inlineStr">
        <is>
          <t>북</t>
        </is>
      </c>
      <c r="F2074" s="30" t="n">
        <v>1</v>
      </c>
      <c r="G2074" s="29" t="n"/>
      <c r="H2074" s="42" t="n"/>
      <c r="I2074" s="40" t="n"/>
      <c r="J2074" s="40" t="n"/>
      <c r="K2074" s="40" t="n"/>
      <c r="L2074" s="30">
        <f>IF(COUNT(I2074:K2074)=0,"",MEDIAN(I2074:K2074))</f>
        <v/>
      </c>
      <c r="M2074" s="25">
        <f>IF(COUNTIFS($C:$C,$C2074,$D:$D,"P0(전)",$L:$L,"&gt;0")&lt;&gt;1,"P0(전) 유효 1개 아님",IF(COUNTIFS($C:$C,$C2074,$D:$D,"P0(후)",$L:$L,"&gt;0")&lt;&gt;1,"P0(후) 유효 1개 아님",IF(NOT(AND(ISNUMBER(N2074),ISNUMBER(P2074),ISNUMBER(H2074))),"시각 결측",IF(P2074&lt;=N2074,"P0 시각 역전",IF(OR(H2074&lt;N2074,H2074&gt;P2074),"측정시각 구간 밖","OK")))))</f>
        <v/>
      </c>
      <c r="N2074" s="45">
        <f>IF(COUNTIFS($C:$C,$C2074,$D:$D,"P0(전)",$L:$L,"&gt;0")&lt;&gt;1,"",SUMIFS($H:$H,$C:$C,$C2074,$D:$D,"P0(전)"))</f>
        <v/>
      </c>
      <c r="O2074" s="30">
        <f>IF(COUNTIFS($C:$C,$C2074,$D:$D,"P0(전)",$L:$L,"&gt;0")&lt;&gt;1,"",SUMIFS($L:$L,$C:$C,$C2074,$D:$D,"P0(전)"))</f>
        <v/>
      </c>
      <c r="P2074" s="45">
        <f>IF(COUNTIFS($C:$C,$C2074,$D:$D,"P0(후)",$L:$L,"&gt;0")&lt;&gt;1,"",SUMIFS($H:$H,$C:$C,$C2074,$D:$D,"P0(후)"))</f>
        <v/>
      </c>
      <c r="Q2074" s="30">
        <f>IF(COUNTIFS($C:$C,$C2074,$D:$D,"P0(후)",$L:$L,"&gt;0")&lt;&gt;1,"",SUMIFS($L:$L,$C:$C,$C2074,$D:$D,"P0(후)"))</f>
        <v/>
      </c>
      <c r="R2074" s="30">
        <f>IF(M2074&lt;&gt;"OK","",O2074+(Q2074-O2074)*(H2074-N2074)/(P2074-N2074))</f>
        <v/>
      </c>
      <c r="S2074" s="30">
        <f>IF(OR(M2074&lt;&gt;"OK",NOT(ISNUMBER(L2074))),"",L2074-R2074)</f>
        <v/>
      </c>
      <c r="T2074" s="46">
        <f>IF(OR(NOT(ISNUMBER(S2074)),IF(ISNUMBER(G2074),G2074,F2074)=0),"",S2074/IF(ISNUMBER(G2074),G2074,F2074))</f>
        <v/>
      </c>
      <c r="U2074" s="46">
        <f>IF(ISNUMBER(T2074),ABS(T2074),"")</f>
        <v/>
      </c>
      <c r="V2074" s="46">
        <f>IF(OR($D2073&lt;&gt;"측정",$C2073&lt;&gt;$C2074,NOT(ISNUMBER(L2074)),NOT(ISNUMBER(L2073)),(IF(ISNUMBER(G2074),G2074,F2074)-IF(ISNUMBER(G2073),G2073,F2073))=0),"",(L2074-L2073)/(IF(ISNUMBER(G2074),G2074,F2074)-IF(ISNUMBER(G2073),G2073,F2073)))</f>
        <v/>
      </c>
      <c r="W2074" s="30">
        <f>IF(NOT(AND(ISNUMBER(N2074),ISNUMBER(P2074))),"",(P2074-N2074)*1440)</f>
        <v/>
      </c>
      <c r="X2074" s="28" t="n"/>
      <c r="Y2074" s="28" t="n"/>
      <c r="Z2074" s="28" t="n"/>
      <c r="AA2074" s="31" t="n"/>
      <c r="AB2074" s="31" t="n"/>
    </row>
    <row r="2075">
      <c r="A2075" s="25" t="inlineStr">
        <is>
          <t>S40</t>
        </is>
      </c>
      <c r="B2075" s="25" t="inlineStr">
        <is>
          <t>남지</t>
        </is>
      </c>
      <c r="C2075" s="25" t="inlineStr">
        <is>
          <t>S40-H북</t>
        </is>
      </c>
      <c r="D2075" s="25" t="inlineStr">
        <is>
          <t>측정</t>
        </is>
      </c>
      <c r="E2075" s="25" t="inlineStr">
        <is>
          <t>북</t>
        </is>
      </c>
      <c r="F2075" s="30" t="n">
        <v>2</v>
      </c>
      <c r="G2075" s="29" t="n"/>
      <c r="H2075" s="42" t="n"/>
      <c r="I2075" s="40" t="n"/>
      <c r="J2075" s="40" t="n"/>
      <c r="K2075" s="40" t="n"/>
      <c r="L2075" s="30">
        <f>IF(COUNT(I2075:K2075)=0,"",MEDIAN(I2075:K2075))</f>
        <v/>
      </c>
      <c r="M2075" s="25">
        <f>IF(COUNTIFS($C:$C,$C2075,$D:$D,"P0(전)",$L:$L,"&gt;0")&lt;&gt;1,"P0(전) 유효 1개 아님",IF(COUNTIFS($C:$C,$C2075,$D:$D,"P0(후)",$L:$L,"&gt;0")&lt;&gt;1,"P0(후) 유효 1개 아님",IF(NOT(AND(ISNUMBER(N2075),ISNUMBER(P2075),ISNUMBER(H2075))),"시각 결측",IF(P2075&lt;=N2075,"P0 시각 역전",IF(OR(H2075&lt;N2075,H2075&gt;P2075),"측정시각 구간 밖","OK")))))</f>
        <v/>
      </c>
      <c r="N2075" s="45">
        <f>IF(COUNTIFS($C:$C,$C2075,$D:$D,"P0(전)",$L:$L,"&gt;0")&lt;&gt;1,"",SUMIFS($H:$H,$C:$C,$C2075,$D:$D,"P0(전)"))</f>
        <v/>
      </c>
      <c r="O2075" s="30">
        <f>IF(COUNTIFS($C:$C,$C2075,$D:$D,"P0(전)",$L:$L,"&gt;0")&lt;&gt;1,"",SUMIFS($L:$L,$C:$C,$C2075,$D:$D,"P0(전)"))</f>
        <v/>
      </c>
      <c r="P2075" s="45">
        <f>IF(COUNTIFS($C:$C,$C2075,$D:$D,"P0(후)",$L:$L,"&gt;0")&lt;&gt;1,"",SUMIFS($H:$H,$C:$C,$C2075,$D:$D,"P0(후)"))</f>
        <v/>
      </c>
      <c r="Q2075" s="30">
        <f>IF(COUNTIFS($C:$C,$C2075,$D:$D,"P0(후)",$L:$L,"&gt;0")&lt;&gt;1,"",SUMIFS($L:$L,$C:$C,$C2075,$D:$D,"P0(후)"))</f>
        <v/>
      </c>
      <c r="R2075" s="30">
        <f>IF(M2075&lt;&gt;"OK","",O2075+(Q2075-O2075)*(H2075-N2075)/(P2075-N2075))</f>
        <v/>
      </c>
      <c r="S2075" s="30">
        <f>IF(OR(M2075&lt;&gt;"OK",NOT(ISNUMBER(L2075))),"",L2075-R2075)</f>
        <v/>
      </c>
      <c r="T2075" s="46">
        <f>IF(OR(NOT(ISNUMBER(S2075)),IF(ISNUMBER(G2075),G2075,F2075)=0),"",S2075/IF(ISNUMBER(G2075),G2075,F2075))</f>
        <v/>
      </c>
      <c r="U2075" s="46">
        <f>IF(ISNUMBER(T2075),ABS(T2075),"")</f>
        <v/>
      </c>
      <c r="V2075" s="46">
        <f>IF(OR($D2074&lt;&gt;"측정",$C2074&lt;&gt;$C2075,NOT(ISNUMBER(L2075)),NOT(ISNUMBER(L2074)),(IF(ISNUMBER(G2075),G2075,F2075)-IF(ISNUMBER(G2074),G2074,F2074))=0),"",(L2075-L2074)/(IF(ISNUMBER(G2075),G2075,F2075)-IF(ISNUMBER(G2074),G2074,F2074)))</f>
        <v/>
      </c>
      <c r="W2075" s="30">
        <f>IF(NOT(AND(ISNUMBER(N2075),ISNUMBER(P2075))),"",(P2075-N2075)*1440)</f>
        <v/>
      </c>
      <c r="X2075" s="28" t="n"/>
      <c r="Y2075" s="28" t="n"/>
      <c r="Z2075" s="28" t="n"/>
      <c r="AA2075" s="31" t="n"/>
      <c r="AB2075" s="31" t="n"/>
    </row>
    <row r="2076">
      <c r="A2076" s="25" t="inlineStr">
        <is>
          <t>S40</t>
        </is>
      </c>
      <c r="B2076" s="25" t="inlineStr">
        <is>
          <t>남지</t>
        </is>
      </c>
      <c r="C2076" s="25" t="inlineStr">
        <is>
          <t>S40-H북</t>
        </is>
      </c>
      <c r="D2076" s="25" t="inlineStr">
        <is>
          <t>측정</t>
        </is>
      </c>
      <c r="E2076" s="25" t="inlineStr">
        <is>
          <t>북</t>
        </is>
      </c>
      <c r="F2076" s="30" t="n">
        <v>3</v>
      </c>
      <c r="G2076" s="29" t="n"/>
      <c r="H2076" s="42" t="n"/>
      <c r="I2076" s="40" t="n"/>
      <c r="J2076" s="40" t="n"/>
      <c r="K2076" s="40" t="n"/>
      <c r="L2076" s="30">
        <f>IF(COUNT(I2076:K2076)=0,"",MEDIAN(I2076:K2076))</f>
        <v/>
      </c>
      <c r="M2076" s="25">
        <f>IF(COUNTIFS($C:$C,$C2076,$D:$D,"P0(전)",$L:$L,"&gt;0")&lt;&gt;1,"P0(전) 유효 1개 아님",IF(COUNTIFS($C:$C,$C2076,$D:$D,"P0(후)",$L:$L,"&gt;0")&lt;&gt;1,"P0(후) 유효 1개 아님",IF(NOT(AND(ISNUMBER(N2076),ISNUMBER(P2076),ISNUMBER(H2076))),"시각 결측",IF(P2076&lt;=N2076,"P0 시각 역전",IF(OR(H2076&lt;N2076,H2076&gt;P2076),"측정시각 구간 밖","OK")))))</f>
        <v/>
      </c>
      <c r="N2076" s="45">
        <f>IF(COUNTIFS($C:$C,$C2076,$D:$D,"P0(전)",$L:$L,"&gt;0")&lt;&gt;1,"",SUMIFS($H:$H,$C:$C,$C2076,$D:$D,"P0(전)"))</f>
        <v/>
      </c>
      <c r="O2076" s="30">
        <f>IF(COUNTIFS($C:$C,$C2076,$D:$D,"P0(전)",$L:$L,"&gt;0")&lt;&gt;1,"",SUMIFS($L:$L,$C:$C,$C2076,$D:$D,"P0(전)"))</f>
        <v/>
      </c>
      <c r="P2076" s="45">
        <f>IF(COUNTIFS($C:$C,$C2076,$D:$D,"P0(후)",$L:$L,"&gt;0")&lt;&gt;1,"",SUMIFS($H:$H,$C:$C,$C2076,$D:$D,"P0(후)"))</f>
        <v/>
      </c>
      <c r="Q2076" s="30">
        <f>IF(COUNTIFS($C:$C,$C2076,$D:$D,"P0(후)",$L:$L,"&gt;0")&lt;&gt;1,"",SUMIFS($L:$L,$C:$C,$C2076,$D:$D,"P0(후)"))</f>
        <v/>
      </c>
      <c r="R2076" s="30">
        <f>IF(M2076&lt;&gt;"OK","",O2076+(Q2076-O2076)*(H2076-N2076)/(P2076-N2076))</f>
        <v/>
      </c>
      <c r="S2076" s="30">
        <f>IF(OR(M2076&lt;&gt;"OK",NOT(ISNUMBER(L2076))),"",L2076-R2076)</f>
        <v/>
      </c>
      <c r="T2076" s="46">
        <f>IF(OR(NOT(ISNUMBER(S2076)),IF(ISNUMBER(G2076),G2076,F2076)=0),"",S2076/IF(ISNUMBER(G2076),G2076,F2076))</f>
        <v/>
      </c>
      <c r="U2076" s="46">
        <f>IF(ISNUMBER(T2076),ABS(T2076),"")</f>
        <v/>
      </c>
      <c r="V2076" s="46">
        <f>IF(OR($D2075&lt;&gt;"측정",$C2075&lt;&gt;$C2076,NOT(ISNUMBER(L2076)),NOT(ISNUMBER(L2075)),(IF(ISNUMBER(G2076),G2076,F2076)-IF(ISNUMBER(G2075),G2075,F2075))=0),"",(L2076-L2075)/(IF(ISNUMBER(G2076),G2076,F2076)-IF(ISNUMBER(G2075),G2075,F2075)))</f>
        <v/>
      </c>
      <c r="W2076" s="30">
        <f>IF(NOT(AND(ISNUMBER(N2076),ISNUMBER(P2076))),"",(P2076-N2076)*1440)</f>
        <v/>
      </c>
      <c r="X2076" s="28" t="n"/>
      <c r="Y2076" s="28" t="n"/>
      <c r="Z2076" s="28" t="n"/>
      <c r="AA2076" s="31" t="n"/>
      <c r="AB2076" s="31" t="n"/>
    </row>
    <row r="2077">
      <c r="A2077" s="25" t="inlineStr">
        <is>
          <t>S40</t>
        </is>
      </c>
      <c r="B2077" s="25" t="inlineStr">
        <is>
          <t>남지</t>
        </is>
      </c>
      <c r="C2077" s="25" t="inlineStr">
        <is>
          <t>S40-H북</t>
        </is>
      </c>
      <c r="D2077" s="25" t="inlineStr">
        <is>
          <t>측정</t>
        </is>
      </c>
      <c r="E2077" s="25" t="inlineStr">
        <is>
          <t>북</t>
        </is>
      </c>
      <c r="F2077" s="30" t="n">
        <v>4</v>
      </c>
      <c r="G2077" s="29" t="n"/>
      <c r="H2077" s="42" t="n"/>
      <c r="I2077" s="40" t="n"/>
      <c r="J2077" s="40" t="n"/>
      <c r="K2077" s="40" t="n"/>
      <c r="L2077" s="30">
        <f>IF(COUNT(I2077:K2077)=0,"",MEDIAN(I2077:K2077))</f>
        <v/>
      </c>
      <c r="M2077" s="25">
        <f>IF(COUNTIFS($C:$C,$C2077,$D:$D,"P0(전)",$L:$L,"&gt;0")&lt;&gt;1,"P0(전) 유효 1개 아님",IF(COUNTIFS($C:$C,$C2077,$D:$D,"P0(후)",$L:$L,"&gt;0")&lt;&gt;1,"P0(후) 유효 1개 아님",IF(NOT(AND(ISNUMBER(N2077),ISNUMBER(P2077),ISNUMBER(H2077))),"시각 결측",IF(P2077&lt;=N2077,"P0 시각 역전",IF(OR(H2077&lt;N2077,H2077&gt;P2077),"측정시각 구간 밖","OK")))))</f>
        <v/>
      </c>
      <c r="N2077" s="45">
        <f>IF(COUNTIFS($C:$C,$C2077,$D:$D,"P0(전)",$L:$L,"&gt;0")&lt;&gt;1,"",SUMIFS($H:$H,$C:$C,$C2077,$D:$D,"P0(전)"))</f>
        <v/>
      </c>
      <c r="O2077" s="30">
        <f>IF(COUNTIFS($C:$C,$C2077,$D:$D,"P0(전)",$L:$L,"&gt;0")&lt;&gt;1,"",SUMIFS($L:$L,$C:$C,$C2077,$D:$D,"P0(전)"))</f>
        <v/>
      </c>
      <c r="P2077" s="45">
        <f>IF(COUNTIFS($C:$C,$C2077,$D:$D,"P0(후)",$L:$L,"&gt;0")&lt;&gt;1,"",SUMIFS($H:$H,$C:$C,$C2077,$D:$D,"P0(후)"))</f>
        <v/>
      </c>
      <c r="Q2077" s="30">
        <f>IF(COUNTIFS($C:$C,$C2077,$D:$D,"P0(후)",$L:$L,"&gt;0")&lt;&gt;1,"",SUMIFS($L:$L,$C:$C,$C2077,$D:$D,"P0(후)"))</f>
        <v/>
      </c>
      <c r="R2077" s="30">
        <f>IF(M2077&lt;&gt;"OK","",O2077+(Q2077-O2077)*(H2077-N2077)/(P2077-N2077))</f>
        <v/>
      </c>
      <c r="S2077" s="30">
        <f>IF(OR(M2077&lt;&gt;"OK",NOT(ISNUMBER(L2077))),"",L2077-R2077)</f>
        <v/>
      </c>
      <c r="T2077" s="46">
        <f>IF(OR(NOT(ISNUMBER(S2077)),IF(ISNUMBER(G2077),G2077,F2077)=0),"",S2077/IF(ISNUMBER(G2077),G2077,F2077))</f>
        <v/>
      </c>
      <c r="U2077" s="46">
        <f>IF(ISNUMBER(T2077),ABS(T2077),"")</f>
        <v/>
      </c>
      <c r="V2077" s="46">
        <f>IF(OR($D2076&lt;&gt;"측정",$C2076&lt;&gt;$C2077,NOT(ISNUMBER(L2077)),NOT(ISNUMBER(L2076)),(IF(ISNUMBER(G2077),G2077,F2077)-IF(ISNUMBER(G2076),G2076,F2076))=0),"",(L2077-L2076)/(IF(ISNUMBER(G2077),G2077,F2077)-IF(ISNUMBER(G2076),G2076,F2076)))</f>
        <v/>
      </c>
      <c r="W2077" s="30">
        <f>IF(NOT(AND(ISNUMBER(N2077),ISNUMBER(P2077))),"",(P2077-N2077)*1440)</f>
        <v/>
      </c>
      <c r="X2077" s="28" t="n"/>
      <c r="Y2077" s="28" t="n"/>
      <c r="Z2077" s="28" t="n"/>
      <c r="AA2077" s="31" t="n"/>
      <c r="AB2077" s="31" t="n"/>
    </row>
    <row r="2078">
      <c r="A2078" s="25" t="inlineStr">
        <is>
          <t>S40</t>
        </is>
      </c>
      <c r="B2078" s="25" t="inlineStr">
        <is>
          <t>남지</t>
        </is>
      </c>
      <c r="C2078" s="25" t="inlineStr">
        <is>
          <t>S40-H북</t>
        </is>
      </c>
      <c r="D2078" s="25" t="inlineStr">
        <is>
          <t>측정</t>
        </is>
      </c>
      <c r="E2078" s="25" t="inlineStr">
        <is>
          <t>북</t>
        </is>
      </c>
      <c r="F2078" s="30" t="n">
        <v>5</v>
      </c>
      <c r="G2078" s="29" t="n"/>
      <c r="H2078" s="42" t="n"/>
      <c r="I2078" s="40" t="n"/>
      <c r="J2078" s="40" t="n"/>
      <c r="K2078" s="40" t="n"/>
      <c r="L2078" s="30">
        <f>IF(COUNT(I2078:K2078)=0,"",MEDIAN(I2078:K2078))</f>
        <v/>
      </c>
      <c r="M2078" s="25">
        <f>IF(COUNTIFS($C:$C,$C2078,$D:$D,"P0(전)",$L:$L,"&gt;0")&lt;&gt;1,"P0(전) 유효 1개 아님",IF(COUNTIFS($C:$C,$C2078,$D:$D,"P0(후)",$L:$L,"&gt;0")&lt;&gt;1,"P0(후) 유효 1개 아님",IF(NOT(AND(ISNUMBER(N2078),ISNUMBER(P2078),ISNUMBER(H2078))),"시각 결측",IF(P2078&lt;=N2078,"P0 시각 역전",IF(OR(H2078&lt;N2078,H2078&gt;P2078),"측정시각 구간 밖","OK")))))</f>
        <v/>
      </c>
      <c r="N2078" s="45">
        <f>IF(COUNTIFS($C:$C,$C2078,$D:$D,"P0(전)",$L:$L,"&gt;0")&lt;&gt;1,"",SUMIFS($H:$H,$C:$C,$C2078,$D:$D,"P0(전)"))</f>
        <v/>
      </c>
      <c r="O2078" s="30">
        <f>IF(COUNTIFS($C:$C,$C2078,$D:$D,"P0(전)",$L:$L,"&gt;0")&lt;&gt;1,"",SUMIFS($L:$L,$C:$C,$C2078,$D:$D,"P0(전)"))</f>
        <v/>
      </c>
      <c r="P2078" s="45">
        <f>IF(COUNTIFS($C:$C,$C2078,$D:$D,"P0(후)",$L:$L,"&gt;0")&lt;&gt;1,"",SUMIFS($H:$H,$C:$C,$C2078,$D:$D,"P0(후)"))</f>
        <v/>
      </c>
      <c r="Q2078" s="30">
        <f>IF(COUNTIFS($C:$C,$C2078,$D:$D,"P0(후)",$L:$L,"&gt;0")&lt;&gt;1,"",SUMIFS($L:$L,$C:$C,$C2078,$D:$D,"P0(후)"))</f>
        <v/>
      </c>
      <c r="R2078" s="30">
        <f>IF(M2078&lt;&gt;"OK","",O2078+(Q2078-O2078)*(H2078-N2078)/(P2078-N2078))</f>
        <v/>
      </c>
      <c r="S2078" s="30">
        <f>IF(OR(M2078&lt;&gt;"OK",NOT(ISNUMBER(L2078))),"",L2078-R2078)</f>
        <v/>
      </c>
      <c r="T2078" s="46">
        <f>IF(OR(NOT(ISNUMBER(S2078)),IF(ISNUMBER(G2078),G2078,F2078)=0),"",S2078/IF(ISNUMBER(G2078),G2078,F2078))</f>
        <v/>
      </c>
      <c r="U2078" s="46">
        <f>IF(ISNUMBER(T2078),ABS(T2078),"")</f>
        <v/>
      </c>
      <c r="V2078" s="46">
        <f>IF(OR($D2077&lt;&gt;"측정",$C2077&lt;&gt;$C2078,NOT(ISNUMBER(L2078)),NOT(ISNUMBER(L2077)),(IF(ISNUMBER(G2078),G2078,F2078)-IF(ISNUMBER(G2077),G2077,F2077))=0),"",(L2078-L2077)/(IF(ISNUMBER(G2078),G2078,F2078)-IF(ISNUMBER(G2077),G2077,F2077)))</f>
        <v/>
      </c>
      <c r="W2078" s="30">
        <f>IF(NOT(AND(ISNUMBER(N2078),ISNUMBER(P2078))),"",(P2078-N2078)*1440)</f>
        <v/>
      </c>
      <c r="X2078" s="28" t="n"/>
      <c r="Y2078" s="28" t="n"/>
      <c r="Z2078" s="28" t="n"/>
      <c r="AA2078" s="31" t="n"/>
      <c r="AB2078" s="31" t="n"/>
    </row>
    <row r="2079">
      <c r="A2079" s="25" t="inlineStr">
        <is>
          <t>S40</t>
        </is>
      </c>
      <c r="B2079" s="25" t="inlineStr">
        <is>
          <t>남지</t>
        </is>
      </c>
      <c r="C2079" s="25" t="inlineStr">
        <is>
          <t>S40-H북</t>
        </is>
      </c>
      <c r="D2079" s="25" t="inlineStr">
        <is>
          <t>측정</t>
        </is>
      </c>
      <c r="E2079" s="25" t="inlineStr">
        <is>
          <t>북</t>
        </is>
      </c>
      <c r="F2079" s="30" t="n">
        <v>6</v>
      </c>
      <c r="G2079" s="29" t="n"/>
      <c r="H2079" s="42" t="n"/>
      <c r="I2079" s="40" t="n"/>
      <c r="J2079" s="40" t="n"/>
      <c r="K2079" s="40" t="n"/>
      <c r="L2079" s="30">
        <f>IF(COUNT(I2079:K2079)=0,"",MEDIAN(I2079:K2079))</f>
        <v/>
      </c>
      <c r="M2079" s="25">
        <f>IF(COUNTIFS($C:$C,$C2079,$D:$D,"P0(전)",$L:$L,"&gt;0")&lt;&gt;1,"P0(전) 유효 1개 아님",IF(COUNTIFS($C:$C,$C2079,$D:$D,"P0(후)",$L:$L,"&gt;0")&lt;&gt;1,"P0(후) 유효 1개 아님",IF(NOT(AND(ISNUMBER(N2079),ISNUMBER(P2079),ISNUMBER(H2079))),"시각 결측",IF(P2079&lt;=N2079,"P0 시각 역전",IF(OR(H2079&lt;N2079,H2079&gt;P2079),"측정시각 구간 밖","OK")))))</f>
        <v/>
      </c>
      <c r="N2079" s="45">
        <f>IF(COUNTIFS($C:$C,$C2079,$D:$D,"P0(전)",$L:$L,"&gt;0")&lt;&gt;1,"",SUMIFS($H:$H,$C:$C,$C2079,$D:$D,"P0(전)"))</f>
        <v/>
      </c>
      <c r="O2079" s="30">
        <f>IF(COUNTIFS($C:$C,$C2079,$D:$D,"P0(전)",$L:$L,"&gt;0")&lt;&gt;1,"",SUMIFS($L:$L,$C:$C,$C2079,$D:$D,"P0(전)"))</f>
        <v/>
      </c>
      <c r="P2079" s="45">
        <f>IF(COUNTIFS($C:$C,$C2079,$D:$D,"P0(후)",$L:$L,"&gt;0")&lt;&gt;1,"",SUMIFS($H:$H,$C:$C,$C2079,$D:$D,"P0(후)"))</f>
        <v/>
      </c>
      <c r="Q2079" s="30">
        <f>IF(COUNTIFS($C:$C,$C2079,$D:$D,"P0(후)",$L:$L,"&gt;0")&lt;&gt;1,"",SUMIFS($L:$L,$C:$C,$C2079,$D:$D,"P0(후)"))</f>
        <v/>
      </c>
      <c r="R2079" s="30">
        <f>IF(M2079&lt;&gt;"OK","",O2079+(Q2079-O2079)*(H2079-N2079)/(P2079-N2079))</f>
        <v/>
      </c>
      <c r="S2079" s="30">
        <f>IF(OR(M2079&lt;&gt;"OK",NOT(ISNUMBER(L2079))),"",L2079-R2079)</f>
        <v/>
      </c>
      <c r="T2079" s="46">
        <f>IF(OR(NOT(ISNUMBER(S2079)),IF(ISNUMBER(G2079),G2079,F2079)=0),"",S2079/IF(ISNUMBER(G2079),G2079,F2079))</f>
        <v/>
      </c>
      <c r="U2079" s="46">
        <f>IF(ISNUMBER(T2079),ABS(T2079),"")</f>
        <v/>
      </c>
      <c r="V2079" s="46">
        <f>IF(OR($D2078&lt;&gt;"측정",$C2078&lt;&gt;$C2079,NOT(ISNUMBER(L2079)),NOT(ISNUMBER(L2078)),(IF(ISNUMBER(G2079),G2079,F2079)-IF(ISNUMBER(G2078),G2078,F2078))=0),"",(L2079-L2078)/(IF(ISNUMBER(G2079),G2079,F2079)-IF(ISNUMBER(G2078),G2078,F2078)))</f>
        <v/>
      </c>
      <c r="W2079" s="30">
        <f>IF(NOT(AND(ISNUMBER(N2079),ISNUMBER(P2079))),"",(P2079-N2079)*1440)</f>
        <v/>
      </c>
      <c r="X2079" s="28" t="n"/>
      <c r="Y2079" s="28" t="n"/>
      <c r="Z2079" s="28" t="n"/>
      <c r="AA2079" s="31" t="n"/>
      <c r="AB2079" s="31" t="n"/>
    </row>
    <row r="2080">
      <c r="A2080" s="25" t="inlineStr">
        <is>
          <t>S40</t>
        </is>
      </c>
      <c r="B2080" s="25" t="inlineStr">
        <is>
          <t>남지</t>
        </is>
      </c>
      <c r="C2080" s="25" t="inlineStr">
        <is>
          <t>S40-H북</t>
        </is>
      </c>
      <c r="D2080" s="25" t="inlineStr">
        <is>
          <t>측정</t>
        </is>
      </c>
      <c r="E2080" s="25" t="inlineStr">
        <is>
          <t>북</t>
        </is>
      </c>
      <c r="F2080" s="30" t="n">
        <v>7</v>
      </c>
      <c r="G2080" s="29" t="n"/>
      <c r="H2080" s="42" t="n"/>
      <c r="I2080" s="40" t="n"/>
      <c r="J2080" s="40" t="n"/>
      <c r="K2080" s="40" t="n"/>
      <c r="L2080" s="30">
        <f>IF(COUNT(I2080:K2080)=0,"",MEDIAN(I2080:K2080))</f>
        <v/>
      </c>
      <c r="M2080" s="25">
        <f>IF(COUNTIFS($C:$C,$C2080,$D:$D,"P0(전)",$L:$L,"&gt;0")&lt;&gt;1,"P0(전) 유효 1개 아님",IF(COUNTIFS($C:$C,$C2080,$D:$D,"P0(후)",$L:$L,"&gt;0")&lt;&gt;1,"P0(후) 유효 1개 아님",IF(NOT(AND(ISNUMBER(N2080),ISNUMBER(P2080),ISNUMBER(H2080))),"시각 결측",IF(P2080&lt;=N2080,"P0 시각 역전",IF(OR(H2080&lt;N2080,H2080&gt;P2080),"측정시각 구간 밖","OK")))))</f>
        <v/>
      </c>
      <c r="N2080" s="45">
        <f>IF(COUNTIFS($C:$C,$C2080,$D:$D,"P0(전)",$L:$L,"&gt;0")&lt;&gt;1,"",SUMIFS($H:$H,$C:$C,$C2080,$D:$D,"P0(전)"))</f>
        <v/>
      </c>
      <c r="O2080" s="30">
        <f>IF(COUNTIFS($C:$C,$C2080,$D:$D,"P0(전)",$L:$L,"&gt;0")&lt;&gt;1,"",SUMIFS($L:$L,$C:$C,$C2080,$D:$D,"P0(전)"))</f>
        <v/>
      </c>
      <c r="P2080" s="45">
        <f>IF(COUNTIFS($C:$C,$C2080,$D:$D,"P0(후)",$L:$L,"&gt;0")&lt;&gt;1,"",SUMIFS($H:$H,$C:$C,$C2080,$D:$D,"P0(후)"))</f>
        <v/>
      </c>
      <c r="Q2080" s="30">
        <f>IF(COUNTIFS($C:$C,$C2080,$D:$D,"P0(후)",$L:$L,"&gt;0")&lt;&gt;1,"",SUMIFS($L:$L,$C:$C,$C2080,$D:$D,"P0(후)"))</f>
        <v/>
      </c>
      <c r="R2080" s="30">
        <f>IF(M2080&lt;&gt;"OK","",O2080+(Q2080-O2080)*(H2080-N2080)/(P2080-N2080))</f>
        <v/>
      </c>
      <c r="S2080" s="30">
        <f>IF(OR(M2080&lt;&gt;"OK",NOT(ISNUMBER(L2080))),"",L2080-R2080)</f>
        <v/>
      </c>
      <c r="T2080" s="46">
        <f>IF(OR(NOT(ISNUMBER(S2080)),IF(ISNUMBER(G2080),G2080,F2080)=0),"",S2080/IF(ISNUMBER(G2080),G2080,F2080))</f>
        <v/>
      </c>
      <c r="U2080" s="46">
        <f>IF(ISNUMBER(T2080),ABS(T2080),"")</f>
        <v/>
      </c>
      <c r="V2080" s="46">
        <f>IF(OR($D2079&lt;&gt;"측정",$C2079&lt;&gt;$C2080,NOT(ISNUMBER(L2080)),NOT(ISNUMBER(L2079)),(IF(ISNUMBER(G2080),G2080,F2080)-IF(ISNUMBER(G2079),G2079,F2079))=0),"",(L2080-L2079)/(IF(ISNUMBER(G2080),G2080,F2080)-IF(ISNUMBER(G2079),G2079,F2079)))</f>
        <v/>
      </c>
      <c r="W2080" s="30">
        <f>IF(NOT(AND(ISNUMBER(N2080),ISNUMBER(P2080))),"",(P2080-N2080)*1440)</f>
        <v/>
      </c>
      <c r="X2080" s="28" t="n"/>
      <c r="Y2080" s="28" t="n"/>
      <c r="Z2080" s="28" t="n"/>
      <c r="AA2080" s="31" t="n"/>
      <c r="AB2080" s="31" t="n"/>
    </row>
    <row r="2081">
      <c r="A2081" s="25" t="inlineStr">
        <is>
          <t>S40</t>
        </is>
      </c>
      <c r="B2081" s="25" t="inlineStr">
        <is>
          <t>남지</t>
        </is>
      </c>
      <c r="C2081" s="25" t="inlineStr">
        <is>
          <t>S40-H북</t>
        </is>
      </c>
      <c r="D2081" s="25" t="inlineStr">
        <is>
          <t>측정</t>
        </is>
      </c>
      <c r="E2081" s="25" t="inlineStr">
        <is>
          <t>북</t>
        </is>
      </c>
      <c r="F2081" s="30" t="n">
        <v>8</v>
      </c>
      <c r="G2081" s="29" t="n"/>
      <c r="H2081" s="42" t="n"/>
      <c r="I2081" s="40" t="n"/>
      <c r="J2081" s="40" t="n"/>
      <c r="K2081" s="40" t="n"/>
      <c r="L2081" s="30">
        <f>IF(COUNT(I2081:K2081)=0,"",MEDIAN(I2081:K2081))</f>
        <v/>
      </c>
      <c r="M2081" s="25">
        <f>IF(COUNTIFS($C:$C,$C2081,$D:$D,"P0(전)",$L:$L,"&gt;0")&lt;&gt;1,"P0(전) 유효 1개 아님",IF(COUNTIFS($C:$C,$C2081,$D:$D,"P0(후)",$L:$L,"&gt;0")&lt;&gt;1,"P0(후) 유효 1개 아님",IF(NOT(AND(ISNUMBER(N2081),ISNUMBER(P2081),ISNUMBER(H2081))),"시각 결측",IF(P2081&lt;=N2081,"P0 시각 역전",IF(OR(H2081&lt;N2081,H2081&gt;P2081),"측정시각 구간 밖","OK")))))</f>
        <v/>
      </c>
      <c r="N2081" s="45">
        <f>IF(COUNTIFS($C:$C,$C2081,$D:$D,"P0(전)",$L:$L,"&gt;0")&lt;&gt;1,"",SUMIFS($H:$H,$C:$C,$C2081,$D:$D,"P0(전)"))</f>
        <v/>
      </c>
      <c r="O2081" s="30">
        <f>IF(COUNTIFS($C:$C,$C2081,$D:$D,"P0(전)",$L:$L,"&gt;0")&lt;&gt;1,"",SUMIFS($L:$L,$C:$C,$C2081,$D:$D,"P0(전)"))</f>
        <v/>
      </c>
      <c r="P2081" s="45">
        <f>IF(COUNTIFS($C:$C,$C2081,$D:$D,"P0(후)",$L:$L,"&gt;0")&lt;&gt;1,"",SUMIFS($H:$H,$C:$C,$C2081,$D:$D,"P0(후)"))</f>
        <v/>
      </c>
      <c r="Q2081" s="30">
        <f>IF(COUNTIFS($C:$C,$C2081,$D:$D,"P0(후)",$L:$L,"&gt;0")&lt;&gt;1,"",SUMIFS($L:$L,$C:$C,$C2081,$D:$D,"P0(후)"))</f>
        <v/>
      </c>
      <c r="R2081" s="30">
        <f>IF(M2081&lt;&gt;"OK","",O2081+(Q2081-O2081)*(H2081-N2081)/(P2081-N2081))</f>
        <v/>
      </c>
      <c r="S2081" s="30">
        <f>IF(OR(M2081&lt;&gt;"OK",NOT(ISNUMBER(L2081))),"",L2081-R2081)</f>
        <v/>
      </c>
      <c r="T2081" s="46">
        <f>IF(OR(NOT(ISNUMBER(S2081)),IF(ISNUMBER(G2081),G2081,F2081)=0),"",S2081/IF(ISNUMBER(G2081),G2081,F2081))</f>
        <v/>
      </c>
      <c r="U2081" s="46">
        <f>IF(ISNUMBER(T2081),ABS(T2081),"")</f>
        <v/>
      </c>
      <c r="V2081" s="46">
        <f>IF(OR($D2080&lt;&gt;"측정",$C2080&lt;&gt;$C2081,NOT(ISNUMBER(L2081)),NOT(ISNUMBER(L2080)),(IF(ISNUMBER(G2081),G2081,F2081)-IF(ISNUMBER(G2080),G2080,F2080))=0),"",(L2081-L2080)/(IF(ISNUMBER(G2081),G2081,F2081)-IF(ISNUMBER(G2080),G2080,F2080)))</f>
        <v/>
      </c>
      <c r="W2081" s="30">
        <f>IF(NOT(AND(ISNUMBER(N2081),ISNUMBER(P2081))),"",(P2081-N2081)*1440)</f>
        <v/>
      </c>
      <c r="X2081" s="28" t="n"/>
      <c r="Y2081" s="28" t="n"/>
      <c r="Z2081" s="28" t="n"/>
      <c r="AA2081" s="31" t="n"/>
      <c r="AB2081" s="31" t="n"/>
    </row>
    <row r="2082">
      <c r="A2082" s="25" t="inlineStr">
        <is>
          <t>S40</t>
        </is>
      </c>
      <c r="B2082" s="25" t="inlineStr">
        <is>
          <t>남지</t>
        </is>
      </c>
      <c r="C2082" s="25" t="inlineStr">
        <is>
          <t>S40-H북</t>
        </is>
      </c>
      <c r="D2082" s="25" t="inlineStr">
        <is>
          <t>측정</t>
        </is>
      </c>
      <c r="E2082" s="25" t="inlineStr">
        <is>
          <t>북</t>
        </is>
      </c>
      <c r="F2082" s="30" t="n">
        <v>9</v>
      </c>
      <c r="G2082" s="29" t="n"/>
      <c r="H2082" s="42" t="n"/>
      <c r="I2082" s="40" t="n"/>
      <c r="J2082" s="40" t="n"/>
      <c r="K2082" s="40" t="n"/>
      <c r="L2082" s="30">
        <f>IF(COUNT(I2082:K2082)=0,"",MEDIAN(I2082:K2082))</f>
        <v/>
      </c>
      <c r="M2082" s="25">
        <f>IF(COUNTIFS($C:$C,$C2082,$D:$D,"P0(전)",$L:$L,"&gt;0")&lt;&gt;1,"P0(전) 유효 1개 아님",IF(COUNTIFS($C:$C,$C2082,$D:$D,"P0(후)",$L:$L,"&gt;0")&lt;&gt;1,"P0(후) 유효 1개 아님",IF(NOT(AND(ISNUMBER(N2082),ISNUMBER(P2082),ISNUMBER(H2082))),"시각 결측",IF(P2082&lt;=N2082,"P0 시각 역전",IF(OR(H2082&lt;N2082,H2082&gt;P2082),"측정시각 구간 밖","OK")))))</f>
        <v/>
      </c>
      <c r="N2082" s="45">
        <f>IF(COUNTIFS($C:$C,$C2082,$D:$D,"P0(전)",$L:$L,"&gt;0")&lt;&gt;1,"",SUMIFS($H:$H,$C:$C,$C2082,$D:$D,"P0(전)"))</f>
        <v/>
      </c>
      <c r="O2082" s="30">
        <f>IF(COUNTIFS($C:$C,$C2082,$D:$D,"P0(전)",$L:$L,"&gt;0")&lt;&gt;1,"",SUMIFS($L:$L,$C:$C,$C2082,$D:$D,"P0(전)"))</f>
        <v/>
      </c>
      <c r="P2082" s="45">
        <f>IF(COUNTIFS($C:$C,$C2082,$D:$D,"P0(후)",$L:$L,"&gt;0")&lt;&gt;1,"",SUMIFS($H:$H,$C:$C,$C2082,$D:$D,"P0(후)"))</f>
        <v/>
      </c>
      <c r="Q2082" s="30">
        <f>IF(COUNTIFS($C:$C,$C2082,$D:$D,"P0(후)",$L:$L,"&gt;0")&lt;&gt;1,"",SUMIFS($L:$L,$C:$C,$C2082,$D:$D,"P0(후)"))</f>
        <v/>
      </c>
      <c r="R2082" s="30">
        <f>IF(M2082&lt;&gt;"OK","",O2082+(Q2082-O2082)*(H2082-N2082)/(P2082-N2082))</f>
        <v/>
      </c>
      <c r="S2082" s="30">
        <f>IF(OR(M2082&lt;&gt;"OK",NOT(ISNUMBER(L2082))),"",L2082-R2082)</f>
        <v/>
      </c>
      <c r="T2082" s="46">
        <f>IF(OR(NOT(ISNUMBER(S2082)),IF(ISNUMBER(G2082),G2082,F2082)=0),"",S2082/IF(ISNUMBER(G2082),G2082,F2082))</f>
        <v/>
      </c>
      <c r="U2082" s="46">
        <f>IF(ISNUMBER(T2082),ABS(T2082),"")</f>
        <v/>
      </c>
      <c r="V2082" s="46">
        <f>IF(OR($D2081&lt;&gt;"측정",$C2081&lt;&gt;$C2082,NOT(ISNUMBER(L2082)),NOT(ISNUMBER(L2081)),(IF(ISNUMBER(G2082),G2082,F2082)-IF(ISNUMBER(G2081),G2081,F2081))=0),"",(L2082-L2081)/(IF(ISNUMBER(G2082),G2082,F2082)-IF(ISNUMBER(G2081),G2081,F2081)))</f>
        <v/>
      </c>
      <c r="W2082" s="30">
        <f>IF(NOT(AND(ISNUMBER(N2082),ISNUMBER(P2082))),"",(P2082-N2082)*1440)</f>
        <v/>
      </c>
      <c r="X2082" s="28" t="n"/>
      <c r="Y2082" s="28" t="n"/>
      <c r="Z2082" s="28" t="n"/>
      <c r="AA2082" s="31" t="n"/>
      <c r="AB2082" s="31" t="n"/>
    </row>
    <row r="2083">
      <c r="A2083" s="25" t="inlineStr">
        <is>
          <t>S40</t>
        </is>
      </c>
      <c r="B2083" s="25" t="inlineStr">
        <is>
          <t>남지</t>
        </is>
      </c>
      <c r="C2083" s="25" t="inlineStr">
        <is>
          <t>S40-H북</t>
        </is>
      </c>
      <c r="D2083" s="25" t="inlineStr">
        <is>
          <t>측정</t>
        </is>
      </c>
      <c r="E2083" s="25" t="inlineStr">
        <is>
          <t>북</t>
        </is>
      </c>
      <c r="F2083" s="30" t="n">
        <v>10</v>
      </c>
      <c r="G2083" s="29" t="n"/>
      <c r="H2083" s="42" t="n"/>
      <c r="I2083" s="40" t="n"/>
      <c r="J2083" s="40" t="n"/>
      <c r="K2083" s="40" t="n"/>
      <c r="L2083" s="30">
        <f>IF(COUNT(I2083:K2083)=0,"",MEDIAN(I2083:K2083))</f>
        <v/>
      </c>
      <c r="M2083" s="25">
        <f>IF(COUNTIFS($C:$C,$C2083,$D:$D,"P0(전)",$L:$L,"&gt;0")&lt;&gt;1,"P0(전) 유효 1개 아님",IF(COUNTIFS($C:$C,$C2083,$D:$D,"P0(후)",$L:$L,"&gt;0")&lt;&gt;1,"P0(후) 유효 1개 아님",IF(NOT(AND(ISNUMBER(N2083),ISNUMBER(P2083),ISNUMBER(H2083))),"시각 결측",IF(P2083&lt;=N2083,"P0 시각 역전",IF(OR(H2083&lt;N2083,H2083&gt;P2083),"측정시각 구간 밖","OK")))))</f>
        <v/>
      </c>
      <c r="N2083" s="45">
        <f>IF(COUNTIFS($C:$C,$C2083,$D:$D,"P0(전)",$L:$L,"&gt;0")&lt;&gt;1,"",SUMIFS($H:$H,$C:$C,$C2083,$D:$D,"P0(전)"))</f>
        <v/>
      </c>
      <c r="O2083" s="30">
        <f>IF(COUNTIFS($C:$C,$C2083,$D:$D,"P0(전)",$L:$L,"&gt;0")&lt;&gt;1,"",SUMIFS($L:$L,$C:$C,$C2083,$D:$D,"P0(전)"))</f>
        <v/>
      </c>
      <c r="P2083" s="45">
        <f>IF(COUNTIFS($C:$C,$C2083,$D:$D,"P0(후)",$L:$L,"&gt;0")&lt;&gt;1,"",SUMIFS($H:$H,$C:$C,$C2083,$D:$D,"P0(후)"))</f>
        <v/>
      </c>
      <c r="Q2083" s="30">
        <f>IF(COUNTIFS($C:$C,$C2083,$D:$D,"P0(후)",$L:$L,"&gt;0")&lt;&gt;1,"",SUMIFS($L:$L,$C:$C,$C2083,$D:$D,"P0(후)"))</f>
        <v/>
      </c>
      <c r="R2083" s="30">
        <f>IF(M2083&lt;&gt;"OK","",O2083+(Q2083-O2083)*(H2083-N2083)/(P2083-N2083))</f>
        <v/>
      </c>
      <c r="S2083" s="30">
        <f>IF(OR(M2083&lt;&gt;"OK",NOT(ISNUMBER(L2083))),"",L2083-R2083)</f>
        <v/>
      </c>
      <c r="T2083" s="46">
        <f>IF(OR(NOT(ISNUMBER(S2083)),IF(ISNUMBER(G2083),G2083,F2083)=0),"",S2083/IF(ISNUMBER(G2083),G2083,F2083))</f>
        <v/>
      </c>
      <c r="U2083" s="46">
        <f>IF(ISNUMBER(T2083),ABS(T2083),"")</f>
        <v/>
      </c>
      <c r="V2083" s="46">
        <f>IF(OR($D2082&lt;&gt;"측정",$C2082&lt;&gt;$C2083,NOT(ISNUMBER(L2083)),NOT(ISNUMBER(L2082)),(IF(ISNUMBER(G2083),G2083,F2083)-IF(ISNUMBER(G2082),G2082,F2082))=0),"",(L2083-L2082)/(IF(ISNUMBER(G2083),G2083,F2083)-IF(ISNUMBER(G2082),G2082,F2082)))</f>
        <v/>
      </c>
      <c r="W2083" s="30">
        <f>IF(NOT(AND(ISNUMBER(N2083),ISNUMBER(P2083))),"",(P2083-N2083)*1440)</f>
        <v/>
      </c>
      <c r="X2083" s="28" t="n"/>
      <c r="Y2083" s="28" t="n"/>
      <c r="Z2083" s="28" t="n"/>
      <c r="AA2083" s="31" t="n"/>
      <c r="AB2083" s="31" t="n"/>
    </row>
    <row r="2084">
      <c r="A2084" s="43" t="inlineStr">
        <is>
          <t>S40</t>
        </is>
      </c>
      <c r="B2084" s="43" t="inlineStr">
        <is>
          <t>남지</t>
        </is>
      </c>
      <c r="C2084" s="43" t="inlineStr">
        <is>
          <t>S40-H북</t>
        </is>
      </c>
      <c r="D2084" s="43" t="inlineStr">
        <is>
          <t>P0(후)</t>
        </is>
      </c>
      <c r="E2084" s="43" t="inlineStr">
        <is>
          <t>북</t>
        </is>
      </c>
      <c r="F2084" s="44" t="n"/>
      <c r="G2084" s="29" t="n"/>
      <c r="H2084" s="42" t="n"/>
      <c r="I2084" s="40" t="n"/>
      <c r="J2084" s="40" t="n"/>
      <c r="K2084" s="40" t="n"/>
      <c r="L2084" s="30">
        <f>IF(COUNT(I2084:K2084)=0,"",MEDIAN(I2084:K2084))</f>
        <v/>
      </c>
      <c r="M2084" s="37" t="n"/>
      <c r="N2084" s="37" t="n"/>
      <c r="O2084" s="37" t="n"/>
      <c r="P2084" s="37" t="n"/>
      <c r="Q2084" s="37" t="n"/>
      <c r="R2084" s="37" t="n"/>
      <c r="S2084" s="37" t="n"/>
      <c r="T2084" s="37" t="n"/>
      <c r="U2084" s="37" t="n"/>
      <c r="V2084" s="37" t="n"/>
      <c r="W2084" s="37" t="n"/>
      <c r="X2084" s="28" t="n"/>
      <c r="Y2084" s="28" t="n"/>
      <c r="Z2084" s="28" t="n"/>
      <c r="AA2084" s="31" t="n"/>
      <c r="AB2084" s="31" t="n"/>
    </row>
    <row r="2085">
      <c r="A2085" s="43" t="inlineStr">
        <is>
          <t>S41</t>
        </is>
      </c>
      <c r="B2085" s="43" t="inlineStr">
        <is>
          <t>거제</t>
        </is>
      </c>
      <c r="C2085" s="43" t="inlineStr">
        <is>
          <t>S41-H동</t>
        </is>
      </c>
      <c r="D2085" s="43" t="inlineStr">
        <is>
          <t>P0(전)</t>
        </is>
      </c>
      <c r="E2085" s="43" t="inlineStr">
        <is>
          <t>동</t>
        </is>
      </c>
      <c r="F2085" s="44" t="n"/>
      <c r="G2085" s="29" t="n"/>
      <c r="H2085" s="42" t="n"/>
      <c r="I2085" s="40" t="n"/>
      <c r="J2085" s="40" t="n"/>
      <c r="K2085" s="40" t="n"/>
      <c r="L2085" s="30">
        <f>IF(COUNT(I2085:K2085)=0,"",MEDIAN(I2085:K2085))</f>
        <v/>
      </c>
      <c r="M2085" s="37" t="n"/>
      <c r="N2085" s="37" t="n"/>
      <c r="O2085" s="37" t="n"/>
      <c r="P2085" s="37" t="n"/>
      <c r="Q2085" s="37" t="n"/>
      <c r="R2085" s="37" t="n"/>
      <c r="S2085" s="37" t="n"/>
      <c r="T2085" s="37" t="n"/>
      <c r="U2085" s="37" t="n"/>
      <c r="V2085" s="37" t="n"/>
      <c r="W2085" s="37" t="n"/>
      <c r="X2085" s="28" t="n"/>
      <c r="Y2085" s="28" t="n"/>
      <c r="Z2085" s="28" t="n"/>
      <c r="AA2085" s="31" t="n"/>
      <c r="AB2085" s="31" t="n"/>
    </row>
    <row r="2086">
      <c r="A2086" s="25" t="inlineStr">
        <is>
          <t>S41</t>
        </is>
      </c>
      <c r="B2086" s="25" t="inlineStr">
        <is>
          <t>거제</t>
        </is>
      </c>
      <c r="C2086" s="25" t="inlineStr">
        <is>
          <t>S41-H동</t>
        </is>
      </c>
      <c r="D2086" s="25" t="inlineStr">
        <is>
          <t>측정</t>
        </is>
      </c>
      <c r="E2086" s="25" t="inlineStr">
        <is>
          <t>동</t>
        </is>
      </c>
      <c r="F2086" s="30" t="n">
        <v>0.5</v>
      </c>
      <c r="G2086" s="29" t="n"/>
      <c r="H2086" s="42" t="n"/>
      <c r="I2086" s="40" t="n"/>
      <c r="J2086" s="40" t="n"/>
      <c r="K2086" s="40" t="n"/>
      <c r="L2086" s="30">
        <f>IF(COUNT(I2086:K2086)=0,"",MEDIAN(I2086:K2086))</f>
        <v/>
      </c>
      <c r="M2086" s="25">
        <f>IF(COUNTIFS($C:$C,$C2086,$D:$D,"P0(전)",$L:$L,"&gt;0")&lt;&gt;1,"P0(전) 유효 1개 아님",IF(COUNTIFS($C:$C,$C2086,$D:$D,"P0(후)",$L:$L,"&gt;0")&lt;&gt;1,"P0(후) 유효 1개 아님",IF(NOT(AND(ISNUMBER(N2086),ISNUMBER(P2086),ISNUMBER(H2086))),"시각 결측",IF(P2086&lt;=N2086,"P0 시각 역전",IF(OR(H2086&lt;N2086,H2086&gt;P2086),"측정시각 구간 밖","OK")))))</f>
        <v/>
      </c>
      <c r="N2086" s="45">
        <f>IF(COUNTIFS($C:$C,$C2086,$D:$D,"P0(전)",$L:$L,"&gt;0")&lt;&gt;1,"",SUMIFS($H:$H,$C:$C,$C2086,$D:$D,"P0(전)"))</f>
        <v/>
      </c>
      <c r="O2086" s="30">
        <f>IF(COUNTIFS($C:$C,$C2086,$D:$D,"P0(전)",$L:$L,"&gt;0")&lt;&gt;1,"",SUMIFS($L:$L,$C:$C,$C2086,$D:$D,"P0(전)"))</f>
        <v/>
      </c>
      <c r="P2086" s="45">
        <f>IF(COUNTIFS($C:$C,$C2086,$D:$D,"P0(후)",$L:$L,"&gt;0")&lt;&gt;1,"",SUMIFS($H:$H,$C:$C,$C2086,$D:$D,"P0(후)"))</f>
        <v/>
      </c>
      <c r="Q2086" s="30">
        <f>IF(COUNTIFS($C:$C,$C2086,$D:$D,"P0(후)",$L:$L,"&gt;0")&lt;&gt;1,"",SUMIFS($L:$L,$C:$C,$C2086,$D:$D,"P0(후)"))</f>
        <v/>
      </c>
      <c r="R2086" s="30">
        <f>IF(M2086&lt;&gt;"OK","",O2086+(Q2086-O2086)*(H2086-N2086)/(P2086-N2086))</f>
        <v/>
      </c>
      <c r="S2086" s="30">
        <f>IF(OR(M2086&lt;&gt;"OK",NOT(ISNUMBER(L2086))),"",L2086-R2086)</f>
        <v/>
      </c>
      <c r="T2086" s="46">
        <f>IF(OR(NOT(ISNUMBER(S2086)),IF(ISNUMBER(G2086),G2086,F2086)=0),"",S2086/IF(ISNUMBER(G2086),G2086,F2086))</f>
        <v/>
      </c>
      <c r="U2086" s="46">
        <f>IF(ISNUMBER(T2086),ABS(T2086),"")</f>
        <v/>
      </c>
      <c r="V2086" s="46">
        <f>IF(OR($D2085&lt;&gt;"측정",$C2085&lt;&gt;$C2086,NOT(ISNUMBER(L2086)),NOT(ISNUMBER(L2085)),(IF(ISNUMBER(G2086),G2086,F2086)-IF(ISNUMBER(G2085),G2085,F2085))=0),"",(L2086-L2085)/(IF(ISNUMBER(G2086),G2086,F2086)-IF(ISNUMBER(G2085),G2085,F2085)))</f>
        <v/>
      </c>
      <c r="W2086" s="30">
        <f>IF(NOT(AND(ISNUMBER(N2086),ISNUMBER(P2086))),"",(P2086-N2086)*1440)</f>
        <v/>
      </c>
      <c r="X2086" s="28" t="n"/>
      <c r="Y2086" s="28" t="n"/>
      <c r="Z2086" s="28" t="n"/>
      <c r="AA2086" s="31" t="n"/>
      <c r="AB2086" s="31" t="n"/>
    </row>
    <row r="2087">
      <c r="A2087" s="25" t="inlineStr">
        <is>
          <t>S41</t>
        </is>
      </c>
      <c r="B2087" s="25" t="inlineStr">
        <is>
          <t>거제</t>
        </is>
      </c>
      <c r="C2087" s="25" t="inlineStr">
        <is>
          <t>S41-H동</t>
        </is>
      </c>
      <c r="D2087" s="25" t="inlineStr">
        <is>
          <t>측정</t>
        </is>
      </c>
      <c r="E2087" s="25" t="inlineStr">
        <is>
          <t>동</t>
        </is>
      </c>
      <c r="F2087" s="30" t="n">
        <v>1</v>
      </c>
      <c r="G2087" s="29" t="n"/>
      <c r="H2087" s="42" t="n"/>
      <c r="I2087" s="40" t="n"/>
      <c r="J2087" s="40" t="n"/>
      <c r="K2087" s="40" t="n"/>
      <c r="L2087" s="30">
        <f>IF(COUNT(I2087:K2087)=0,"",MEDIAN(I2087:K2087))</f>
        <v/>
      </c>
      <c r="M2087" s="25">
        <f>IF(COUNTIFS($C:$C,$C2087,$D:$D,"P0(전)",$L:$L,"&gt;0")&lt;&gt;1,"P0(전) 유효 1개 아님",IF(COUNTIFS($C:$C,$C2087,$D:$D,"P0(후)",$L:$L,"&gt;0")&lt;&gt;1,"P0(후) 유효 1개 아님",IF(NOT(AND(ISNUMBER(N2087),ISNUMBER(P2087),ISNUMBER(H2087))),"시각 결측",IF(P2087&lt;=N2087,"P0 시각 역전",IF(OR(H2087&lt;N2087,H2087&gt;P2087),"측정시각 구간 밖","OK")))))</f>
        <v/>
      </c>
      <c r="N2087" s="45">
        <f>IF(COUNTIFS($C:$C,$C2087,$D:$D,"P0(전)",$L:$L,"&gt;0")&lt;&gt;1,"",SUMIFS($H:$H,$C:$C,$C2087,$D:$D,"P0(전)"))</f>
        <v/>
      </c>
      <c r="O2087" s="30">
        <f>IF(COUNTIFS($C:$C,$C2087,$D:$D,"P0(전)",$L:$L,"&gt;0")&lt;&gt;1,"",SUMIFS($L:$L,$C:$C,$C2087,$D:$D,"P0(전)"))</f>
        <v/>
      </c>
      <c r="P2087" s="45">
        <f>IF(COUNTIFS($C:$C,$C2087,$D:$D,"P0(후)",$L:$L,"&gt;0")&lt;&gt;1,"",SUMIFS($H:$H,$C:$C,$C2087,$D:$D,"P0(후)"))</f>
        <v/>
      </c>
      <c r="Q2087" s="30">
        <f>IF(COUNTIFS($C:$C,$C2087,$D:$D,"P0(후)",$L:$L,"&gt;0")&lt;&gt;1,"",SUMIFS($L:$L,$C:$C,$C2087,$D:$D,"P0(후)"))</f>
        <v/>
      </c>
      <c r="R2087" s="30">
        <f>IF(M2087&lt;&gt;"OK","",O2087+(Q2087-O2087)*(H2087-N2087)/(P2087-N2087))</f>
        <v/>
      </c>
      <c r="S2087" s="30">
        <f>IF(OR(M2087&lt;&gt;"OK",NOT(ISNUMBER(L2087))),"",L2087-R2087)</f>
        <v/>
      </c>
      <c r="T2087" s="46">
        <f>IF(OR(NOT(ISNUMBER(S2087)),IF(ISNUMBER(G2087),G2087,F2087)=0),"",S2087/IF(ISNUMBER(G2087),G2087,F2087))</f>
        <v/>
      </c>
      <c r="U2087" s="46">
        <f>IF(ISNUMBER(T2087),ABS(T2087),"")</f>
        <v/>
      </c>
      <c r="V2087" s="46">
        <f>IF(OR($D2086&lt;&gt;"측정",$C2086&lt;&gt;$C2087,NOT(ISNUMBER(L2087)),NOT(ISNUMBER(L2086)),(IF(ISNUMBER(G2087),G2087,F2087)-IF(ISNUMBER(G2086),G2086,F2086))=0),"",(L2087-L2086)/(IF(ISNUMBER(G2087),G2087,F2087)-IF(ISNUMBER(G2086),G2086,F2086)))</f>
        <v/>
      </c>
      <c r="W2087" s="30">
        <f>IF(NOT(AND(ISNUMBER(N2087),ISNUMBER(P2087))),"",(P2087-N2087)*1440)</f>
        <v/>
      </c>
      <c r="X2087" s="28" t="n"/>
      <c r="Y2087" s="28" t="n"/>
      <c r="Z2087" s="28" t="n"/>
      <c r="AA2087" s="31" t="n"/>
      <c r="AB2087" s="31" t="n"/>
    </row>
    <row r="2088">
      <c r="A2088" s="25" t="inlineStr">
        <is>
          <t>S41</t>
        </is>
      </c>
      <c r="B2088" s="25" t="inlineStr">
        <is>
          <t>거제</t>
        </is>
      </c>
      <c r="C2088" s="25" t="inlineStr">
        <is>
          <t>S41-H동</t>
        </is>
      </c>
      <c r="D2088" s="25" t="inlineStr">
        <is>
          <t>측정</t>
        </is>
      </c>
      <c r="E2088" s="25" t="inlineStr">
        <is>
          <t>동</t>
        </is>
      </c>
      <c r="F2088" s="30" t="n">
        <v>2</v>
      </c>
      <c r="G2088" s="29" t="n"/>
      <c r="H2088" s="42" t="n"/>
      <c r="I2088" s="40" t="n"/>
      <c r="J2088" s="40" t="n"/>
      <c r="K2088" s="40" t="n"/>
      <c r="L2088" s="30">
        <f>IF(COUNT(I2088:K2088)=0,"",MEDIAN(I2088:K2088))</f>
        <v/>
      </c>
      <c r="M2088" s="25">
        <f>IF(COUNTIFS($C:$C,$C2088,$D:$D,"P0(전)",$L:$L,"&gt;0")&lt;&gt;1,"P0(전) 유효 1개 아님",IF(COUNTIFS($C:$C,$C2088,$D:$D,"P0(후)",$L:$L,"&gt;0")&lt;&gt;1,"P0(후) 유효 1개 아님",IF(NOT(AND(ISNUMBER(N2088),ISNUMBER(P2088),ISNUMBER(H2088))),"시각 결측",IF(P2088&lt;=N2088,"P0 시각 역전",IF(OR(H2088&lt;N2088,H2088&gt;P2088),"측정시각 구간 밖","OK")))))</f>
        <v/>
      </c>
      <c r="N2088" s="45">
        <f>IF(COUNTIFS($C:$C,$C2088,$D:$D,"P0(전)",$L:$L,"&gt;0")&lt;&gt;1,"",SUMIFS($H:$H,$C:$C,$C2088,$D:$D,"P0(전)"))</f>
        <v/>
      </c>
      <c r="O2088" s="30">
        <f>IF(COUNTIFS($C:$C,$C2088,$D:$D,"P0(전)",$L:$L,"&gt;0")&lt;&gt;1,"",SUMIFS($L:$L,$C:$C,$C2088,$D:$D,"P0(전)"))</f>
        <v/>
      </c>
      <c r="P2088" s="45">
        <f>IF(COUNTIFS($C:$C,$C2088,$D:$D,"P0(후)",$L:$L,"&gt;0")&lt;&gt;1,"",SUMIFS($H:$H,$C:$C,$C2088,$D:$D,"P0(후)"))</f>
        <v/>
      </c>
      <c r="Q2088" s="30">
        <f>IF(COUNTIFS($C:$C,$C2088,$D:$D,"P0(후)",$L:$L,"&gt;0")&lt;&gt;1,"",SUMIFS($L:$L,$C:$C,$C2088,$D:$D,"P0(후)"))</f>
        <v/>
      </c>
      <c r="R2088" s="30">
        <f>IF(M2088&lt;&gt;"OK","",O2088+(Q2088-O2088)*(H2088-N2088)/(P2088-N2088))</f>
        <v/>
      </c>
      <c r="S2088" s="30">
        <f>IF(OR(M2088&lt;&gt;"OK",NOT(ISNUMBER(L2088))),"",L2088-R2088)</f>
        <v/>
      </c>
      <c r="T2088" s="46">
        <f>IF(OR(NOT(ISNUMBER(S2088)),IF(ISNUMBER(G2088),G2088,F2088)=0),"",S2088/IF(ISNUMBER(G2088),G2088,F2088))</f>
        <v/>
      </c>
      <c r="U2088" s="46">
        <f>IF(ISNUMBER(T2088),ABS(T2088),"")</f>
        <v/>
      </c>
      <c r="V2088" s="46">
        <f>IF(OR($D2087&lt;&gt;"측정",$C2087&lt;&gt;$C2088,NOT(ISNUMBER(L2088)),NOT(ISNUMBER(L2087)),(IF(ISNUMBER(G2088),G2088,F2088)-IF(ISNUMBER(G2087),G2087,F2087))=0),"",(L2088-L2087)/(IF(ISNUMBER(G2088),G2088,F2088)-IF(ISNUMBER(G2087),G2087,F2087)))</f>
        <v/>
      </c>
      <c r="W2088" s="30">
        <f>IF(NOT(AND(ISNUMBER(N2088),ISNUMBER(P2088))),"",(P2088-N2088)*1440)</f>
        <v/>
      </c>
      <c r="X2088" s="28" t="n"/>
      <c r="Y2088" s="28" t="n"/>
      <c r="Z2088" s="28" t="n"/>
      <c r="AA2088" s="31" t="n"/>
      <c r="AB2088" s="31" t="n"/>
    </row>
    <row r="2089">
      <c r="A2089" s="25" t="inlineStr">
        <is>
          <t>S41</t>
        </is>
      </c>
      <c r="B2089" s="25" t="inlineStr">
        <is>
          <t>거제</t>
        </is>
      </c>
      <c r="C2089" s="25" t="inlineStr">
        <is>
          <t>S41-H동</t>
        </is>
      </c>
      <c r="D2089" s="25" t="inlineStr">
        <is>
          <t>측정</t>
        </is>
      </c>
      <c r="E2089" s="25" t="inlineStr">
        <is>
          <t>동</t>
        </is>
      </c>
      <c r="F2089" s="30" t="n">
        <v>3</v>
      </c>
      <c r="G2089" s="29" t="n"/>
      <c r="H2089" s="42" t="n"/>
      <c r="I2089" s="40" t="n"/>
      <c r="J2089" s="40" t="n"/>
      <c r="K2089" s="40" t="n"/>
      <c r="L2089" s="30">
        <f>IF(COUNT(I2089:K2089)=0,"",MEDIAN(I2089:K2089))</f>
        <v/>
      </c>
      <c r="M2089" s="25">
        <f>IF(COUNTIFS($C:$C,$C2089,$D:$D,"P0(전)",$L:$L,"&gt;0")&lt;&gt;1,"P0(전) 유효 1개 아님",IF(COUNTIFS($C:$C,$C2089,$D:$D,"P0(후)",$L:$L,"&gt;0")&lt;&gt;1,"P0(후) 유효 1개 아님",IF(NOT(AND(ISNUMBER(N2089),ISNUMBER(P2089),ISNUMBER(H2089))),"시각 결측",IF(P2089&lt;=N2089,"P0 시각 역전",IF(OR(H2089&lt;N2089,H2089&gt;P2089),"측정시각 구간 밖","OK")))))</f>
        <v/>
      </c>
      <c r="N2089" s="45">
        <f>IF(COUNTIFS($C:$C,$C2089,$D:$D,"P0(전)",$L:$L,"&gt;0")&lt;&gt;1,"",SUMIFS($H:$H,$C:$C,$C2089,$D:$D,"P0(전)"))</f>
        <v/>
      </c>
      <c r="O2089" s="30">
        <f>IF(COUNTIFS($C:$C,$C2089,$D:$D,"P0(전)",$L:$L,"&gt;0")&lt;&gt;1,"",SUMIFS($L:$L,$C:$C,$C2089,$D:$D,"P0(전)"))</f>
        <v/>
      </c>
      <c r="P2089" s="45">
        <f>IF(COUNTIFS($C:$C,$C2089,$D:$D,"P0(후)",$L:$L,"&gt;0")&lt;&gt;1,"",SUMIFS($H:$H,$C:$C,$C2089,$D:$D,"P0(후)"))</f>
        <v/>
      </c>
      <c r="Q2089" s="30">
        <f>IF(COUNTIFS($C:$C,$C2089,$D:$D,"P0(후)",$L:$L,"&gt;0")&lt;&gt;1,"",SUMIFS($L:$L,$C:$C,$C2089,$D:$D,"P0(후)"))</f>
        <v/>
      </c>
      <c r="R2089" s="30">
        <f>IF(M2089&lt;&gt;"OK","",O2089+(Q2089-O2089)*(H2089-N2089)/(P2089-N2089))</f>
        <v/>
      </c>
      <c r="S2089" s="30">
        <f>IF(OR(M2089&lt;&gt;"OK",NOT(ISNUMBER(L2089))),"",L2089-R2089)</f>
        <v/>
      </c>
      <c r="T2089" s="46">
        <f>IF(OR(NOT(ISNUMBER(S2089)),IF(ISNUMBER(G2089),G2089,F2089)=0),"",S2089/IF(ISNUMBER(G2089),G2089,F2089))</f>
        <v/>
      </c>
      <c r="U2089" s="46">
        <f>IF(ISNUMBER(T2089),ABS(T2089),"")</f>
        <v/>
      </c>
      <c r="V2089" s="46">
        <f>IF(OR($D2088&lt;&gt;"측정",$C2088&lt;&gt;$C2089,NOT(ISNUMBER(L2089)),NOT(ISNUMBER(L2088)),(IF(ISNUMBER(G2089),G2089,F2089)-IF(ISNUMBER(G2088),G2088,F2088))=0),"",(L2089-L2088)/(IF(ISNUMBER(G2089),G2089,F2089)-IF(ISNUMBER(G2088),G2088,F2088)))</f>
        <v/>
      </c>
      <c r="W2089" s="30">
        <f>IF(NOT(AND(ISNUMBER(N2089),ISNUMBER(P2089))),"",(P2089-N2089)*1440)</f>
        <v/>
      </c>
      <c r="X2089" s="28" t="n"/>
      <c r="Y2089" s="28" t="n"/>
      <c r="Z2089" s="28" t="n"/>
      <c r="AA2089" s="31" t="n"/>
      <c r="AB2089" s="31" t="n"/>
    </row>
    <row r="2090">
      <c r="A2090" s="25" t="inlineStr">
        <is>
          <t>S41</t>
        </is>
      </c>
      <c r="B2090" s="25" t="inlineStr">
        <is>
          <t>거제</t>
        </is>
      </c>
      <c r="C2090" s="25" t="inlineStr">
        <is>
          <t>S41-H동</t>
        </is>
      </c>
      <c r="D2090" s="25" t="inlineStr">
        <is>
          <t>측정</t>
        </is>
      </c>
      <c r="E2090" s="25" t="inlineStr">
        <is>
          <t>동</t>
        </is>
      </c>
      <c r="F2090" s="30" t="n">
        <v>4</v>
      </c>
      <c r="G2090" s="29" t="n"/>
      <c r="H2090" s="42" t="n"/>
      <c r="I2090" s="40" t="n"/>
      <c r="J2090" s="40" t="n"/>
      <c r="K2090" s="40" t="n"/>
      <c r="L2090" s="30">
        <f>IF(COUNT(I2090:K2090)=0,"",MEDIAN(I2090:K2090))</f>
        <v/>
      </c>
      <c r="M2090" s="25">
        <f>IF(COUNTIFS($C:$C,$C2090,$D:$D,"P0(전)",$L:$L,"&gt;0")&lt;&gt;1,"P0(전) 유효 1개 아님",IF(COUNTIFS($C:$C,$C2090,$D:$D,"P0(후)",$L:$L,"&gt;0")&lt;&gt;1,"P0(후) 유효 1개 아님",IF(NOT(AND(ISNUMBER(N2090),ISNUMBER(P2090),ISNUMBER(H2090))),"시각 결측",IF(P2090&lt;=N2090,"P0 시각 역전",IF(OR(H2090&lt;N2090,H2090&gt;P2090),"측정시각 구간 밖","OK")))))</f>
        <v/>
      </c>
      <c r="N2090" s="45">
        <f>IF(COUNTIFS($C:$C,$C2090,$D:$D,"P0(전)",$L:$L,"&gt;0")&lt;&gt;1,"",SUMIFS($H:$H,$C:$C,$C2090,$D:$D,"P0(전)"))</f>
        <v/>
      </c>
      <c r="O2090" s="30">
        <f>IF(COUNTIFS($C:$C,$C2090,$D:$D,"P0(전)",$L:$L,"&gt;0")&lt;&gt;1,"",SUMIFS($L:$L,$C:$C,$C2090,$D:$D,"P0(전)"))</f>
        <v/>
      </c>
      <c r="P2090" s="45">
        <f>IF(COUNTIFS($C:$C,$C2090,$D:$D,"P0(후)",$L:$L,"&gt;0")&lt;&gt;1,"",SUMIFS($H:$H,$C:$C,$C2090,$D:$D,"P0(후)"))</f>
        <v/>
      </c>
      <c r="Q2090" s="30">
        <f>IF(COUNTIFS($C:$C,$C2090,$D:$D,"P0(후)",$L:$L,"&gt;0")&lt;&gt;1,"",SUMIFS($L:$L,$C:$C,$C2090,$D:$D,"P0(후)"))</f>
        <v/>
      </c>
      <c r="R2090" s="30">
        <f>IF(M2090&lt;&gt;"OK","",O2090+(Q2090-O2090)*(H2090-N2090)/(P2090-N2090))</f>
        <v/>
      </c>
      <c r="S2090" s="30">
        <f>IF(OR(M2090&lt;&gt;"OK",NOT(ISNUMBER(L2090))),"",L2090-R2090)</f>
        <v/>
      </c>
      <c r="T2090" s="46">
        <f>IF(OR(NOT(ISNUMBER(S2090)),IF(ISNUMBER(G2090),G2090,F2090)=0),"",S2090/IF(ISNUMBER(G2090),G2090,F2090))</f>
        <v/>
      </c>
      <c r="U2090" s="46">
        <f>IF(ISNUMBER(T2090),ABS(T2090),"")</f>
        <v/>
      </c>
      <c r="V2090" s="46">
        <f>IF(OR($D2089&lt;&gt;"측정",$C2089&lt;&gt;$C2090,NOT(ISNUMBER(L2090)),NOT(ISNUMBER(L2089)),(IF(ISNUMBER(G2090),G2090,F2090)-IF(ISNUMBER(G2089),G2089,F2089))=0),"",(L2090-L2089)/(IF(ISNUMBER(G2090),G2090,F2090)-IF(ISNUMBER(G2089),G2089,F2089)))</f>
        <v/>
      </c>
      <c r="W2090" s="30">
        <f>IF(NOT(AND(ISNUMBER(N2090),ISNUMBER(P2090))),"",(P2090-N2090)*1440)</f>
        <v/>
      </c>
      <c r="X2090" s="28" t="n"/>
      <c r="Y2090" s="28" t="n"/>
      <c r="Z2090" s="28" t="n"/>
      <c r="AA2090" s="31" t="n"/>
      <c r="AB2090" s="31" t="n"/>
    </row>
    <row r="2091">
      <c r="A2091" s="25" t="inlineStr">
        <is>
          <t>S41</t>
        </is>
      </c>
      <c r="B2091" s="25" t="inlineStr">
        <is>
          <t>거제</t>
        </is>
      </c>
      <c r="C2091" s="25" t="inlineStr">
        <is>
          <t>S41-H동</t>
        </is>
      </c>
      <c r="D2091" s="25" t="inlineStr">
        <is>
          <t>측정</t>
        </is>
      </c>
      <c r="E2091" s="25" t="inlineStr">
        <is>
          <t>동</t>
        </is>
      </c>
      <c r="F2091" s="30" t="n">
        <v>5</v>
      </c>
      <c r="G2091" s="29" t="n"/>
      <c r="H2091" s="42" t="n"/>
      <c r="I2091" s="40" t="n"/>
      <c r="J2091" s="40" t="n"/>
      <c r="K2091" s="40" t="n"/>
      <c r="L2091" s="30">
        <f>IF(COUNT(I2091:K2091)=0,"",MEDIAN(I2091:K2091))</f>
        <v/>
      </c>
      <c r="M2091" s="25">
        <f>IF(COUNTIFS($C:$C,$C2091,$D:$D,"P0(전)",$L:$L,"&gt;0")&lt;&gt;1,"P0(전) 유효 1개 아님",IF(COUNTIFS($C:$C,$C2091,$D:$D,"P0(후)",$L:$L,"&gt;0")&lt;&gt;1,"P0(후) 유효 1개 아님",IF(NOT(AND(ISNUMBER(N2091),ISNUMBER(P2091),ISNUMBER(H2091))),"시각 결측",IF(P2091&lt;=N2091,"P0 시각 역전",IF(OR(H2091&lt;N2091,H2091&gt;P2091),"측정시각 구간 밖","OK")))))</f>
        <v/>
      </c>
      <c r="N2091" s="45">
        <f>IF(COUNTIFS($C:$C,$C2091,$D:$D,"P0(전)",$L:$L,"&gt;0")&lt;&gt;1,"",SUMIFS($H:$H,$C:$C,$C2091,$D:$D,"P0(전)"))</f>
        <v/>
      </c>
      <c r="O2091" s="30">
        <f>IF(COUNTIFS($C:$C,$C2091,$D:$D,"P0(전)",$L:$L,"&gt;0")&lt;&gt;1,"",SUMIFS($L:$L,$C:$C,$C2091,$D:$D,"P0(전)"))</f>
        <v/>
      </c>
      <c r="P2091" s="45">
        <f>IF(COUNTIFS($C:$C,$C2091,$D:$D,"P0(후)",$L:$L,"&gt;0")&lt;&gt;1,"",SUMIFS($H:$H,$C:$C,$C2091,$D:$D,"P0(후)"))</f>
        <v/>
      </c>
      <c r="Q2091" s="30">
        <f>IF(COUNTIFS($C:$C,$C2091,$D:$D,"P0(후)",$L:$L,"&gt;0")&lt;&gt;1,"",SUMIFS($L:$L,$C:$C,$C2091,$D:$D,"P0(후)"))</f>
        <v/>
      </c>
      <c r="R2091" s="30">
        <f>IF(M2091&lt;&gt;"OK","",O2091+(Q2091-O2091)*(H2091-N2091)/(P2091-N2091))</f>
        <v/>
      </c>
      <c r="S2091" s="30">
        <f>IF(OR(M2091&lt;&gt;"OK",NOT(ISNUMBER(L2091))),"",L2091-R2091)</f>
        <v/>
      </c>
      <c r="T2091" s="46">
        <f>IF(OR(NOT(ISNUMBER(S2091)),IF(ISNUMBER(G2091),G2091,F2091)=0),"",S2091/IF(ISNUMBER(G2091),G2091,F2091))</f>
        <v/>
      </c>
      <c r="U2091" s="46">
        <f>IF(ISNUMBER(T2091),ABS(T2091),"")</f>
        <v/>
      </c>
      <c r="V2091" s="46">
        <f>IF(OR($D2090&lt;&gt;"측정",$C2090&lt;&gt;$C2091,NOT(ISNUMBER(L2091)),NOT(ISNUMBER(L2090)),(IF(ISNUMBER(G2091),G2091,F2091)-IF(ISNUMBER(G2090),G2090,F2090))=0),"",(L2091-L2090)/(IF(ISNUMBER(G2091),G2091,F2091)-IF(ISNUMBER(G2090),G2090,F2090)))</f>
        <v/>
      </c>
      <c r="W2091" s="30">
        <f>IF(NOT(AND(ISNUMBER(N2091),ISNUMBER(P2091))),"",(P2091-N2091)*1440)</f>
        <v/>
      </c>
      <c r="X2091" s="28" t="n"/>
      <c r="Y2091" s="28" t="n"/>
      <c r="Z2091" s="28" t="n"/>
      <c r="AA2091" s="31" t="n"/>
      <c r="AB2091" s="31" t="n"/>
    </row>
    <row r="2092">
      <c r="A2092" s="25" t="inlineStr">
        <is>
          <t>S41</t>
        </is>
      </c>
      <c r="B2092" s="25" t="inlineStr">
        <is>
          <t>거제</t>
        </is>
      </c>
      <c r="C2092" s="25" t="inlineStr">
        <is>
          <t>S41-H동</t>
        </is>
      </c>
      <c r="D2092" s="25" t="inlineStr">
        <is>
          <t>측정</t>
        </is>
      </c>
      <c r="E2092" s="25" t="inlineStr">
        <is>
          <t>동</t>
        </is>
      </c>
      <c r="F2092" s="30" t="n">
        <v>6</v>
      </c>
      <c r="G2092" s="29" t="n"/>
      <c r="H2092" s="42" t="n"/>
      <c r="I2092" s="40" t="n"/>
      <c r="J2092" s="40" t="n"/>
      <c r="K2092" s="40" t="n"/>
      <c r="L2092" s="30">
        <f>IF(COUNT(I2092:K2092)=0,"",MEDIAN(I2092:K2092))</f>
        <v/>
      </c>
      <c r="M2092" s="25">
        <f>IF(COUNTIFS($C:$C,$C2092,$D:$D,"P0(전)",$L:$L,"&gt;0")&lt;&gt;1,"P0(전) 유효 1개 아님",IF(COUNTIFS($C:$C,$C2092,$D:$D,"P0(후)",$L:$L,"&gt;0")&lt;&gt;1,"P0(후) 유효 1개 아님",IF(NOT(AND(ISNUMBER(N2092),ISNUMBER(P2092),ISNUMBER(H2092))),"시각 결측",IF(P2092&lt;=N2092,"P0 시각 역전",IF(OR(H2092&lt;N2092,H2092&gt;P2092),"측정시각 구간 밖","OK")))))</f>
        <v/>
      </c>
      <c r="N2092" s="45">
        <f>IF(COUNTIFS($C:$C,$C2092,$D:$D,"P0(전)",$L:$L,"&gt;0")&lt;&gt;1,"",SUMIFS($H:$H,$C:$C,$C2092,$D:$D,"P0(전)"))</f>
        <v/>
      </c>
      <c r="O2092" s="30">
        <f>IF(COUNTIFS($C:$C,$C2092,$D:$D,"P0(전)",$L:$L,"&gt;0")&lt;&gt;1,"",SUMIFS($L:$L,$C:$C,$C2092,$D:$D,"P0(전)"))</f>
        <v/>
      </c>
      <c r="P2092" s="45">
        <f>IF(COUNTIFS($C:$C,$C2092,$D:$D,"P0(후)",$L:$L,"&gt;0")&lt;&gt;1,"",SUMIFS($H:$H,$C:$C,$C2092,$D:$D,"P0(후)"))</f>
        <v/>
      </c>
      <c r="Q2092" s="30">
        <f>IF(COUNTIFS($C:$C,$C2092,$D:$D,"P0(후)",$L:$L,"&gt;0")&lt;&gt;1,"",SUMIFS($L:$L,$C:$C,$C2092,$D:$D,"P0(후)"))</f>
        <v/>
      </c>
      <c r="R2092" s="30">
        <f>IF(M2092&lt;&gt;"OK","",O2092+(Q2092-O2092)*(H2092-N2092)/(P2092-N2092))</f>
        <v/>
      </c>
      <c r="S2092" s="30">
        <f>IF(OR(M2092&lt;&gt;"OK",NOT(ISNUMBER(L2092))),"",L2092-R2092)</f>
        <v/>
      </c>
      <c r="T2092" s="46">
        <f>IF(OR(NOT(ISNUMBER(S2092)),IF(ISNUMBER(G2092),G2092,F2092)=0),"",S2092/IF(ISNUMBER(G2092),G2092,F2092))</f>
        <v/>
      </c>
      <c r="U2092" s="46">
        <f>IF(ISNUMBER(T2092),ABS(T2092),"")</f>
        <v/>
      </c>
      <c r="V2092" s="46">
        <f>IF(OR($D2091&lt;&gt;"측정",$C2091&lt;&gt;$C2092,NOT(ISNUMBER(L2092)),NOT(ISNUMBER(L2091)),(IF(ISNUMBER(G2092),G2092,F2092)-IF(ISNUMBER(G2091),G2091,F2091))=0),"",(L2092-L2091)/(IF(ISNUMBER(G2092),G2092,F2092)-IF(ISNUMBER(G2091),G2091,F2091)))</f>
        <v/>
      </c>
      <c r="W2092" s="30">
        <f>IF(NOT(AND(ISNUMBER(N2092),ISNUMBER(P2092))),"",(P2092-N2092)*1440)</f>
        <v/>
      </c>
      <c r="X2092" s="28" t="n"/>
      <c r="Y2092" s="28" t="n"/>
      <c r="Z2092" s="28" t="n"/>
      <c r="AA2092" s="31" t="n"/>
      <c r="AB2092" s="31" t="n"/>
    </row>
    <row r="2093">
      <c r="A2093" s="25" t="inlineStr">
        <is>
          <t>S41</t>
        </is>
      </c>
      <c r="B2093" s="25" t="inlineStr">
        <is>
          <t>거제</t>
        </is>
      </c>
      <c r="C2093" s="25" t="inlineStr">
        <is>
          <t>S41-H동</t>
        </is>
      </c>
      <c r="D2093" s="25" t="inlineStr">
        <is>
          <t>측정</t>
        </is>
      </c>
      <c r="E2093" s="25" t="inlineStr">
        <is>
          <t>동</t>
        </is>
      </c>
      <c r="F2093" s="30" t="n">
        <v>7</v>
      </c>
      <c r="G2093" s="29" t="n"/>
      <c r="H2093" s="42" t="n"/>
      <c r="I2093" s="40" t="n"/>
      <c r="J2093" s="40" t="n"/>
      <c r="K2093" s="40" t="n"/>
      <c r="L2093" s="30">
        <f>IF(COUNT(I2093:K2093)=0,"",MEDIAN(I2093:K2093))</f>
        <v/>
      </c>
      <c r="M2093" s="25">
        <f>IF(COUNTIFS($C:$C,$C2093,$D:$D,"P0(전)",$L:$L,"&gt;0")&lt;&gt;1,"P0(전) 유효 1개 아님",IF(COUNTIFS($C:$C,$C2093,$D:$D,"P0(후)",$L:$L,"&gt;0")&lt;&gt;1,"P0(후) 유효 1개 아님",IF(NOT(AND(ISNUMBER(N2093),ISNUMBER(P2093),ISNUMBER(H2093))),"시각 결측",IF(P2093&lt;=N2093,"P0 시각 역전",IF(OR(H2093&lt;N2093,H2093&gt;P2093),"측정시각 구간 밖","OK")))))</f>
        <v/>
      </c>
      <c r="N2093" s="45">
        <f>IF(COUNTIFS($C:$C,$C2093,$D:$D,"P0(전)",$L:$L,"&gt;0")&lt;&gt;1,"",SUMIFS($H:$H,$C:$C,$C2093,$D:$D,"P0(전)"))</f>
        <v/>
      </c>
      <c r="O2093" s="30">
        <f>IF(COUNTIFS($C:$C,$C2093,$D:$D,"P0(전)",$L:$L,"&gt;0")&lt;&gt;1,"",SUMIFS($L:$L,$C:$C,$C2093,$D:$D,"P0(전)"))</f>
        <v/>
      </c>
      <c r="P2093" s="45">
        <f>IF(COUNTIFS($C:$C,$C2093,$D:$D,"P0(후)",$L:$L,"&gt;0")&lt;&gt;1,"",SUMIFS($H:$H,$C:$C,$C2093,$D:$D,"P0(후)"))</f>
        <v/>
      </c>
      <c r="Q2093" s="30">
        <f>IF(COUNTIFS($C:$C,$C2093,$D:$D,"P0(후)",$L:$L,"&gt;0")&lt;&gt;1,"",SUMIFS($L:$L,$C:$C,$C2093,$D:$D,"P0(후)"))</f>
        <v/>
      </c>
      <c r="R2093" s="30">
        <f>IF(M2093&lt;&gt;"OK","",O2093+(Q2093-O2093)*(H2093-N2093)/(P2093-N2093))</f>
        <v/>
      </c>
      <c r="S2093" s="30">
        <f>IF(OR(M2093&lt;&gt;"OK",NOT(ISNUMBER(L2093))),"",L2093-R2093)</f>
        <v/>
      </c>
      <c r="T2093" s="46">
        <f>IF(OR(NOT(ISNUMBER(S2093)),IF(ISNUMBER(G2093),G2093,F2093)=0),"",S2093/IF(ISNUMBER(G2093),G2093,F2093))</f>
        <v/>
      </c>
      <c r="U2093" s="46">
        <f>IF(ISNUMBER(T2093),ABS(T2093),"")</f>
        <v/>
      </c>
      <c r="V2093" s="46">
        <f>IF(OR($D2092&lt;&gt;"측정",$C2092&lt;&gt;$C2093,NOT(ISNUMBER(L2093)),NOT(ISNUMBER(L2092)),(IF(ISNUMBER(G2093),G2093,F2093)-IF(ISNUMBER(G2092),G2092,F2092))=0),"",(L2093-L2092)/(IF(ISNUMBER(G2093),G2093,F2093)-IF(ISNUMBER(G2092),G2092,F2092)))</f>
        <v/>
      </c>
      <c r="W2093" s="30">
        <f>IF(NOT(AND(ISNUMBER(N2093),ISNUMBER(P2093))),"",(P2093-N2093)*1440)</f>
        <v/>
      </c>
      <c r="X2093" s="28" t="n"/>
      <c r="Y2093" s="28" t="n"/>
      <c r="Z2093" s="28" t="n"/>
      <c r="AA2093" s="31" t="n"/>
      <c r="AB2093" s="31" t="n"/>
    </row>
    <row r="2094">
      <c r="A2094" s="25" t="inlineStr">
        <is>
          <t>S41</t>
        </is>
      </c>
      <c r="B2094" s="25" t="inlineStr">
        <is>
          <t>거제</t>
        </is>
      </c>
      <c r="C2094" s="25" t="inlineStr">
        <is>
          <t>S41-H동</t>
        </is>
      </c>
      <c r="D2094" s="25" t="inlineStr">
        <is>
          <t>측정</t>
        </is>
      </c>
      <c r="E2094" s="25" t="inlineStr">
        <is>
          <t>동</t>
        </is>
      </c>
      <c r="F2094" s="30" t="n">
        <v>8</v>
      </c>
      <c r="G2094" s="29" t="n"/>
      <c r="H2094" s="42" t="n"/>
      <c r="I2094" s="40" t="n"/>
      <c r="J2094" s="40" t="n"/>
      <c r="K2094" s="40" t="n"/>
      <c r="L2094" s="30">
        <f>IF(COUNT(I2094:K2094)=0,"",MEDIAN(I2094:K2094))</f>
        <v/>
      </c>
      <c r="M2094" s="25">
        <f>IF(COUNTIFS($C:$C,$C2094,$D:$D,"P0(전)",$L:$L,"&gt;0")&lt;&gt;1,"P0(전) 유효 1개 아님",IF(COUNTIFS($C:$C,$C2094,$D:$D,"P0(후)",$L:$L,"&gt;0")&lt;&gt;1,"P0(후) 유효 1개 아님",IF(NOT(AND(ISNUMBER(N2094),ISNUMBER(P2094),ISNUMBER(H2094))),"시각 결측",IF(P2094&lt;=N2094,"P0 시각 역전",IF(OR(H2094&lt;N2094,H2094&gt;P2094),"측정시각 구간 밖","OK")))))</f>
        <v/>
      </c>
      <c r="N2094" s="45">
        <f>IF(COUNTIFS($C:$C,$C2094,$D:$D,"P0(전)",$L:$L,"&gt;0")&lt;&gt;1,"",SUMIFS($H:$H,$C:$C,$C2094,$D:$D,"P0(전)"))</f>
        <v/>
      </c>
      <c r="O2094" s="30">
        <f>IF(COUNTIFS($C:$C,$C2094,$D:$D,"P0(전)",$L:$L,"&gt;0")&lt;&gt;1,"",SUMIFS($L:$L,$C:$C,$C2094,$D:$D,"P0(전)"))</f>
        <v/>
      </c>
      <c r="P2094" s="45">
        <f>IF(COUNTIFS($C:$C,$C2094,$D:$D,"P0(후)",$L:$L,"&gt;0")&lt;&gt;1,"",SUMIFS($H:$H,$C:$C,$C2094,$D:$D,"P0(후)"))</f>
        <v/>
      </c>
      <c r="Q2094" s="30">
        <f>IF(COUNTIFS($C:$C,$C2094,$D:$D,"P0(후)",$L:$L,"&gt;0")&lt;&gt;1,"",SUMIFS($L:$L,$C:$C,$C2094,$D:$D,"P0(후)"))</f>
        <v/>
      </c>
      <c r="R2094" s="30">
        <f>IF(M2094&lt;&gt;"OK","",O2094+(Q2094-O2094)*(H2094-N2094)/(P2094-N2094))</f>
        <v/>
      </c>
      <c r="S2094" s="30">
        <f>IF(OR(M2094&lt;&gt;"OK",NOT(ISNUMBER(L2094))),"",L2094-R2094)</f>
        <v/>
      </c>
      <c r="T2094" s="46">
        <f>IF(OR(NOT(ISNUMBER(S2094)),IF(ISNUMBER(G2094),G2094,F2094)=0),"",S2094/IF(ISNUMBER(G2094),G2094,F2094))</f>
        <v/>
      </c>
      <c r="U2094" s="46">
        <f>IF(ISNUMBER(T2094),ABS(T2094),"")</f>
        <v/>
      </c>
      <c r="V2094" s="46">
        <f>IF(OR($D2093&lt;&gt;"측정",$C2093&lt;&gt;$C2094,NOT(ISNUMBER(L2094)),NOT(ISNUMBER(L2093)),(IF(ISNUMBER(G2094),G2094,F2094)-IF(ISNUMBER(G2093),G2093,F2093))=0),"",(L2094-L2093)/(IF(ISNUMBER(G2094),G2094,F2094)-IF(ISNUMBER(G2093),G2093,F2093)))</f>
        <v/>
      </c>
      <c r="W2094" s="30">
        <f>IF(NOT(AND(ISNUMBER(N2094),ISNUMBER(P2094))),"",(P2094-N2094)*1440)</f>
        <v/>
      </c>
      <c r="X2094" s="28" t="n"/>
      <c r="Y2094" s="28" t="n"/>
      <c r="Z2094" s="28" t="n"/>
      <c r="AA2094" s="31" t="n"/>
      <c r="AB2094" s="31" t="n"/>
    </row>
    <row r="2095">
      <c r="A2095" s="25" t="inlineStr">
        <is>
          <t>S41</t>
        </is>
      </c>
      <c r="B2095" s="25" t="inlineStr">
        <is>
          <t>거제</t>
        </is>
      </c>
      <c r="C2095" s="25" t="inlineStr">
        <is>
          <t>S41-H동</t>
        </is>
      </c>
      <c r="D2095" s="25" t="inlineStr">
        <is>
          <t>측정</t>
        </is>
      </c>
      <c r="E2095" s="25" t="inlineStr">
        <is>
          <t>동</t>
        </is>
      </c>
      <c r="F2095" s="30" t="n">
        <v>9</v>
      </c>
      <c r="G2095" s="29" t="n"/>
      <c r="H2095" s="42" t="n"/>
      <c r="I2095" s="40" t="n"/>
      <c r="J2095" s="40" t="n"/>
      <c r="K2095" s="40" t="n"/>
      <c r="L2095" s="30">
        <f>IF(COUNT(I2095:K2095)=0,"",MEDIAN(I2095:K2095))</f>
        <v/>
      </c>
      <c r="M2095" s="25">
        <f>IF(COUNTIFS($C:$C,$C2095,$D:$D,"P0(전)",$L:$L,"&gt;0")&lt;&gt;1,"P0(전) 유효 1개 아님",IF(COUNTIFS($C:$C,$C2095,$D:$D,"P0(후)",$L:$L,"&gt;0")&lt;&gt;1,"P0(후) 유효 1개 아님",IF(NOT(AND(ISNUMBER(N2095),ISNUMBER(P2095),ISNUMBER(H2095))),"시각 결측",IF(P2095&lt;=N2095,"P0 시각 역전",IF(OR(H2095&lt;N2095,H2095&gt;P2095),"측정시각 구간 밖","OK")))))</f>
        <v/>
      </c>
      <c r="N2095" s="45">
        <f>IF(COUNTIFS($C:$C,$C2095,$D:$D,"P0(전)",$L:$L,"&gt;0")&lt;&gt;1,"",SUMIFS($H:$H,$C:$C,$C2095,$D:$D,"P0(전)"))</f>
        <v/>
      </c>
      <c r="O2095" s="30">
        <f>IF(COUNTIFS($C:$C,$C2095,$D:$D,"P0(전)",$L:$L,"&gt;0")&lt;&gt;1,"",SUMIFS($L:$L,$C:$C,$C2095,$D:$D,"P0(전)"))</f>
        <v/>
      </c>
      <c r="P2095" s="45">
        <f>IF(COUNTIFS($C:$C,$C2095,$D:$D,"P0(후)",$L:$L,"&gt;0")&lt;&gt;1,"",SUMIFS($H:$H,$C:$C,$C2095,$D:$D,"P0(후)"))</f>
        <v/>
      </c>
      <c r="Q2095" s="30">
        <f>IF(COUNTIFS($C:$C,$C2095,$D:$D,"P0(후)",$L:$L,"&gt;0")&lt;&gt;1,"",SUMIFS($L:$L,$C:$C,$C2095,$D:$D,"P0(후)"))</f>
        <v/>
      </c>
      <c r="R2095" s="30">
        <f>IF(M2095&lt;&gt;"OK","",O2095+(Q2095-O2095)*(H2095-N2095)/(P2095-N2095))</f>
        <v/>
      </c>
      <c r="S2095" s="30">
        <f>IF(OR(M2095&lt;&gt;"OK",NOT(ISNUMBER(L2095))),"",L2095-R2095)</f>
        <v/>
      </c>
      <c r="T2095" s="46">
        <f>IF(OR(NOT(ISNUMBER(S2095)),IF(ISNUMBER(G2095),G2095,F2095)=0),"",S2095/IF(ISNUMBER(G2095),G2095,F2095))</f>
        <v/>
      </c>
      <c r="U2095" s="46">
        <f>IF(ISNUMBER(T2095),ABS(T2095),"")</f>
        <v/>
      </c>
      <c r="V2095" s="46">
        <f>IF(OR($D2094&lt;&gt;"측정",$C2094&lt;&gt;$C2095,NOT(ISNUMBER(L2095)),NOT(ISNUMBER(L2094)),(IF(ISNUMBER(G2095),G2095,F2095)-IF(ISNUMBER(G2094),G2094,F2094))=0),"",(L2095-L2094)/(IF(ISNUMBER(G2095),G2095,F2095)-IF(ISNUMBER(G2094),G2094,F2094)))</f>
        <v/>
      </c>
      <c r="W2095" s="30">
        <f>IF(NOT(AND(ISNUMBER(N2095),ISNUMBER(P2095))),"",(P2095-N2095)*1440)</f>
        <v/>
      </c>
      <c r="X2095" s="28" t="n"/>
      <c r="Y2095" s="28" t="n"/>
      <c r="Z2095" s="28" t="n"/>
      <c r="AA2095" s="31" t="n"/>
      <c r="AB2095" s="31" t="n"/>
    </row>
    <row r="2096">
      <c r="A2096" s="25" t="inlineStr">
        <is>
          <t>S41</t>
        </is>
      </c>
      <c r="B2096" s="25" t="inlineStr">
        <is>
          <t>거제</t>
        </is>
      </c>
      <c r="C2096" s="25" t="inlineStr">
        <is>
          <t>S41-H동</t>
        </is>
      </c>
      <c r="D2096" s="25" t="inlineStr">
        <is>
          <t>측정</t>
        </is>
      </c>
      <c r="E2096" s="25" t="inlineStr">
        <is>
          <t>동</t>
        </is>
      </c>
      <c r="F2096" s="30" t="n">
        <v>10</v>
      </c>
      <c r="G2096" s="29" t="n"/>
      <c r="H2096" s="42" t="n"/>
      <c r="I2096" s="40" t="n"/>
      <c r="J2096" s="40" t="n"/>
      <c r="K2096" s="40" t="n"/>
      <c r="L2096" s="30">
        <f>IF(COUNT(I2096:K2096)=0,"",MEDIAN(I2096:K2096))</f>
        <v/>
      </c>
      <c r="M2096" s="25">
        <f>IF(COUNTIFS($C:$C,$C2096,$D:$D,"P0(전)",$L:$L,"&gt;0")&lt;&gt;1,"P0(전) 유효 1개 아님",IF(COUNTIFS($C:$C,$C2096,$D:$D,"P0(후)",$L:$L,"&gt;0")&lt;&gt;1,"P0(후) 유효 1개 아님",IF(NOT(AND(ISNUMBER(N2096),ISNUMBER(P2096),ISNUMBER(H2096))),"시각 결측",IF(P2096&lt;=N2096,"P0 시각 역전",IF(OR(H2096&lt;N2096,H2096&gt;P2096),"측정시각 구간 밖","OK")))))</f>
        <v/>
      </c>
      <c r="N2096" s="45">
        <f>IF(COUNTIFS($C:$C,$C2096,$D:$D,"P0(전)",$L:$L,"&gt;0")&lt;&gt;1,"",SUMIFS($H:$H,$C:$C,$C2096,$D:$D,"P0(전)"))</f>
        <v/>
      </c>
      <c r="O2096" s="30">
        <f>IF(COUNTIFS($C:$C,$C2096,$D:$D,"P0(전)",$L:$L,"&gt;0")&lt;&gt;1,"",SUMIFS($L:$L,$C:$C,$C2096,$D:$D,"P0(전)"))</f>
        <v/>
      </c>
      <c r="P2096" s="45">
        <f>IF(COUNTIFS($C:$C,$C2096,$D:$D,"P0(후)",$L:$L,"&gt;0")&lt;&gt;1,"",SUMIFS($H:$H,$C:$C,$C2096,$D:$D,"P0(후)"))</f>
        <v/>
      </c>
      <c r="Q2096" s="30">
        <f>IF(COUNTIFS($C:$C,$C2096,$D:$D,"P0(후)",$L:$L,"&gt;0")&lt;&gt;1,"",SUMIFS($L:$L,$C:$C,$C2096,$D:$D,"P0(후)"))</f>
        <v/>
      </c>
      <c r="R2096" s="30">
        <f>IF(M2096&lt;&gt;"OK","",O2096+(Q2096-O2096)*(H2096-N2096)/(P2096-N2096))</f>
        <v/>
      </c>
      <c r="S2096" s="30">
        <f>IF(OR(M2096&lt;&gt;"OK",NOT(ISNUMBER(L2096))),"",L2096-R2096)</f>
        <v/>
      </c>
      <c r="T2096" s="46">
        <f>IF(OR(NOT(ISNUMBER(S2096)),IF(ISNUMBER(G2096),G2096,F2096)=0),"",S2096/IF(ISNUMBER(G2096),G2096,F2096))</f>
        <v/>
      </c>
      <c r="U2096" s="46">
        <f>IF(ISNUMBER(T2096),ABS(T2096),"")</f>
        <v/>
      </c>
      <c r="V2096" s="46">
        <f>IF(OR($D2095&lt;&gt;"측정",$C2095&lt;&gt;$C2096,NOT(ISNUMBER(L2096)),NOT(ISNUMBER(L2095)),(IF(ISNUMBER(G2096),G2096,F2096)-IF(ISNUMBER(G2095),G2095,F2095))=0),"",(L2096-L2095)/(IF(ISNUMBER(G2096),G2096,F2096)-IF(ISNUMBER(G2095),G2095,F2095)))</f>
        <v/>
      </c>
      <c r="W2096" s="30">
        <f>IF(NOT(AND(ISNUMBER(N2096),ISNUMBER(P2096))),"",(P2096-N2096)*1440)</f>
        <v/>
      </c>
      <c r="X2096" s="28" t="n"/>
      <c r="Y2096" s="28" t="n"/>
      <c r="Z2096" s="28" t="n"/>
      <c r="AA2096" s="31" t="n"/>
      <c r="AB2096" s="31" t="n"/>
    </row>
    <row r="2097">
      <c r="A2097" s="43" t="inlineStr">
        <is>
          <t>S41</t>
        </is>
      </c>
      <c r="B2097" s="43" t="inlineStr">
        <is>
          <t>거제</t>
        </is>
      </c>
      <c r="C2097" s="43" t="inlineStr">
        <is>
          <t>S41-H동</t>
        </is>
      </c>
      <c r="D2097" s="43" t="inlineStr">
        <is>
          <t>P0(후)</t>
        </is>
      </c>
      <c r="E2097" s="43" t="inlineStr">
        <is>
          <t>동</t>
        </is>
      </c>
      <c r="F2097" s="44" t="n"/>
      <c r="G2097" s="29" t="n"/>
      <c r="H2097" s="42" t="n"/>
      <c r="I2097" s="40" t="n"/>
      <c r="J2097" s="40" t="n"/>
      <c r="K2097" s="40" t="n"/>
      <c r="L2097" s="30">
        <f>IF(COUNT(I2097:K2097)=0,"",MEDIAN(I2097:K2097))</f>
        <v/>
      </c>
      <c r="M2097" s="37" t="n"/>
      <c r="N2097" s="37" t="n"/>
      <c r="O2097" s="37" t="n"/>
      <c r="P2097" s="37" t="n"/>
      <c r="Q2097" s="37" t="n"/>
      <c r="R2097" s="37" t="n"/>
      <c r="S2097" s="37" t="n"/>
      <c r="T2097" s="37" t="n"/>
      <c r="U2097" s="37" t="n"/>
      <c r="V2097" s="37" t="n"/>
      <c r="W2097" s="37" t="n"/>
      <c r="X2097" s="28" t="n"/>
      <c r="Y2097" s="28" t="n"/>
      <c r="Z2097" s="28" t="n"/>
      <c r="AA2097" s="31" t="n"/>
      <c r="AB2097" s="31" t="n"/>
    </row>
    <row r="2098">
      <c r="A2098" s="43" t="inlineStr">
        <is>
          <t>S41</t>
        </is>
      </c>
      <c r="B2098" s="43" t="inlineStr">
        <is>
          <t>거제</t>
        </is>
      </c>
      <c r="C2098" s="43" t="inlineStr">
        <is>
          <t>S41-H서</t>
        </is>
      </c>
      <c r="D2098" s="43" t="inlineStr">
        <is>
          <t>P0(전)</t>
        </is>
      </c>
      <c r="E2098" s="43" t="inlineStr">
        <is>
          <t>서</t>
        </is>
      </c>
      <c r="F2098" s="44" t="n"/>
      <c r="G2098" s="29" t="n"/>
      <c r="H2098" s="42" t="n"/>
      <c r="I2098" s="40" t="n"/>
      <c r="J2098" s="40" t="n"/>
      <c r="K2098" s="40" t="n"/>
      <c r="L2098" s="30">
        <f>IF(COUNT(I2098:K2098)=0,"",MEDIAN(I2098:K2098))</f>
        <v/>
      </c>
      <c r="M2098" s="37" t="n"/>
      <c r="N2098" s="37" t="n"/>
      <c r="O2098" s="37" t="n"/>
      <c r="P2098" s="37" t="n"/>
      <c r="Q2098" s="37" t="n"/>
      <c r="R2098" s="37" t="n"/>
      <c r="S2098" s="37" t="n"/>
      <c r="T2098" s="37" t="n"/>
      <c r="U2098" s="37" t="n"/>
      <c r="V2098" s="37" t="n"/>
      <c r="W2098" s="37" t="n"/>
      <c r="X2098" s="28" t="n"/>
      <c r="Y2098" s="28" t="n"/>
      <c r="Z2098" s="28" t="n"/>
      <c r="AA2098" s="31" t="n"/>
      <c r="AB2098" s="31" t="n"/>
    </row>
    <row r="2099">
      <c r="A2099" s="25" t="inlineStr">
        <is>
          <t>S41</t>
        </is>
      </c>
      <c r="B2099" s="25" t="inlineStr">
        <is>
          <t>거제</t>
        </is>
      </c>
      <c r="C2099" s="25" t="inlineStr">
        <is>
          <t>S41-H서</t>
        </is>
      </c>
      <c r="D2099" s="25" t="inlineStr">
        <is>
          <t>측정</t>
        </is>
      </c>
      <c r="E2099" s="25" t="inlineStr">
        <is>
          <t>서</t>
        </is>
      </c>
      <c r="F2099" s="30" t="n">
        <v>0.5</v>
      </c>
      <c r="G2099" s="29" t="n"/>
      <c r="H2099" s="42" t="n"/>
      <c r="I2099" s="40" t="n"/>
      <c r="J2099" s="40" t="n"/>
      <c r="K2099" s="40" t="n"/>
      <c r="L2099" s="30">
        <f>IF(COUNT(I2099:K2099)=0,"",MEDIAN(I2099:K2099))</f>
        <v/>
      </c>
      <c r="M2099" s="25">
        <f>IF(COUNTIFS($C:$C,$C2099,$D:$D,"P0(전)",$L:$L,"&gt;0")&lt;&gt;1,"P0(전) 유효 1개 아님",IF(COUNTIFS($C:$C,$C2099,$D:$D,"P0(후)",$L:$L,"&gt;0")&lt;&gt;1,"P0(후) 유효 1개 아님",IF(NOT(AND(ISNUMBER(N2099),ISNUMBER(P2099),ISNUMBER(H2099))),"시각 결측",IF(P2099&lt;=N2099,"P0 시각 역전",IF(OR(H2099&lt;N2099,H2099&gt;P2099),"측정시각 구간 밖","OK")))))</f>
        <v/>
      </c>
      <c r="N2099" s="45">
        <f>IF(COUNTIFS($C:$C,$C2099,$D:$D,"P0(전)",$L:$L,"&gt;0")&lt;&gt;1,"",SUMIFS($H:$H,$C:$C,$C2099,$D:$D,"P0(전)"))</f>
        <v/>
      </c>
      <c r="O2099" s="30">
        <f>IF(COUNTIFS($C:$C,$C2099,$D:$D,"P0(전)",$L:$L,"&gt;0")&lt;&gt;1,"",SUMIFS($L:$L,$C:$C,$C2099,$D:$D,"P0(전)"))</f>
        <v/>
      </c>
      <c r="P2099" s="45">
        <f>IF(COUNTIFS($C:$C,$C2099,$D:$D,"P0(후)",$L:$L,"&gt;0")&lt;&gt;1,"",SUMIFS($H:$H,$C:$C,$C2099,$D:$D,"P0(후)"))</f>
        <v/>
      </c>
      <c r="Q2099" s="30">
        <f>IF(COUNTIFS($C:$C,$C2099,$D:$D,"P0(후)",$L:$L,"&gt;0")&lt;&gt;1,"",SUMIFS($L:$L,$C:$C,$C2099,$D:$D,"P0(후)"))</f>
        <v/>
      </c>
      <c r="R2099" s="30">
        <f>IF(M2099&lt;&gt;"OK","",O2099+(Q2099-O2099)*(H2099-N2099)/(P2099-N2099))</f>
        <v/>
      </c>
      <c r="S2099" s="30">
        <f>IF(OR(M2099&lt;&gt;"OK",NOT(ISNUMBER(L2099))),"",L2099-R2099)</f>
        <v/>
      </c>
      <c r="T2099" s="46">
        <f>IF(OR(NOT(ISNUMBER(S2099)),IF(ISNUMBER(G2099),G2099,F2099)=0),"",S2099/IF(ISNUMBER(G2099),G2099,F2099))</f>
        <v/>
      </c>
      <c r="U2099" s="46">
        <f>IF(ISNUMBER(T2099),ABS(T2099),"")</f>
        <v/>
      </c>
      <c r="V2099" s="46">
        <f>IF(OR($D2098&lt;&gt;"측정",$C2098&lt;&gt;$C2099,NOT(ISNUMBER(L2099)),NOT(ISNUMBER(L2098)),(IF(ISNUMBER(G2099),G2099,F2099)-IF(ISNUMBER(G2098),G2098,F2098))=0),"",(L2099-L2098)/(IF(ISNUMBER(G2099),G2099,F2099)-IF(ISNUMBER(G2098),G2098,F2098)))</f>
        <v/>
      </c>
      <c r="W2099" s="30">
        <f>IF(NOT(AND(ISNUMBER(N2099),ISNUMBER(P2099))),"",(P2099-N2099)*1440)</f>
        <v/>
      </c>
      <c r="X2099" s="28" t="n"/>
      <c r="Y2099" s="28" t="n"/>
      <c r="Z2099" s="28" t="n"/>
      <c r="AA2099" s="31" t="n"/>
      <c r="AB2099" s="31" t="n"/>
    </row>
    <row r="2100">
      <c r="A2100" s="25" t="inlineStr">
        <is>
          <t>S41</t>
        </is>
      </c>
      <c r="B2100" s="25" t="inlineStr">
        <is>
          <t>거제</t>
        </is>
      </c>
      <c r="C2100" s="25" t="inlineStr">
        <is>
          <t>S41-H서</t>
        </is>
      </c>
      <c r="D2100" s="25" t="inlineStr">
        <is>
          <t>측정</t>
        </is>
      </c>
      <c r="E2100" s="25" t="inlineStr">
        <is>
          <t>서</t>
        </is>
      </c>
      <c r="F2100" s="30" t="n">
        <v>1</v>
      </c>
      <c r="G2100" s="29" t="n"/>
      <c r="H2100" s="42" t="n"/>
      <c r="I2100" s="40" t="n"/>
      <c r="J2100" s="40" t="n"/>
      <c r="K2100" s="40" t="n"/>
      <c r="L2100" s="30">
        <f>IF(COUNT(I2100:K2100)=0,"",MEDIAN(I2100:K2100))</f>
        <v/>
      </c>
      <c r="M2100" s="25">
        <f>IF(COUNTIFS($C:$C,$C2100,$D:$D,"P0(전)",$L:$L,"&gt;0")&lt;&gt;1,"P0(전) 유효 1개 아님",IF(COUNTIFS($C:$C,$C2100,$D:$D,"P0(후)",$L:$L,"&gt;0")&lt;&gt;1,"P0(후) 유효 1개 아님",IF(NOT(AND(ISNUMBER(N2100),ISNUMBER(P2100),ISNUMBER(H2100))),"시각 결측",IF(P2100&lt;=N2100,"P0 시각 역전",IF(OR(H2100&lt;N2100,H2100&gt;P2100),"측정시각 구간 밖","OK")))))</f>
        <v/>
      </c>
      <c r="N2100" s="45">
        <f>IF(COUNTIFS($C:$C,$C2100,$D:$D,"P0(전)",$L:$L,"&gt;0")&lt;&gt;1,"",SUMIFS($H:$H,$C:$C,$C2100,$D:$D,"P0(전)"))</f>
        <v/>
      </c>
      <c r="O2100" s="30">
        <f>IF(COUNTIFS($C:$C,$C2100,$D:$D,"P0(전)",$L:$L,"&gt;0")&lt;&gt;1,"",SUMIFS($L:$L,$C:$C,$C2100,$D:$D,"P0(전)"))</f>
        <v/>
      </c>
      <c r="P2100" s="45">
        <f>IF(COUNTIFS($C:$C,$C2100,$D:$D,"P0(후)",$L:$L,"&gt;0")&lt;&gt;1,"",SUMIFS($H:$H,$C:$C,$C2100,$D:$D,"P0(후)"))</f>
        <v/>
      </c>
      <c r="Q2100" s="30">
        <f>IF(COUNTIFS($C:$C,$C2100,$D:$D,"P0(후)",$L:$L,"&gt;0")&lt;&gt;1,"",SUMIFS($L:$L,$C:$C,$C2100,$D:$D,"P0(후)"))</f>
        <v/>
      </c>
      <c r="R2100" s="30">
        <f>IF(M2100&lt;&gt;"OK","",O2100+(Q2100-O2100)*(H2100-N2100)/(P2100-N2100))</f>
        <v/>
      </c>
      <c r="S2100" s="30">
        <f>IF(OR(M2100&lt;&gt;"OK",NOT(ISNUMBER(L2100))),"",L2100-R2100)</f>
        <v/>
      </c>
      <c r="T2100" s="46">
        <f>IF(OR(NOT(ISNUMBER(S2100)),IF(ISNUMBER(G2100),G2100,F2100)=0),"",S2100/IF(ISNUMBER(G2100),G2100,F2100))</f>
        <v/>
      </c>
      <c r="U2100" s="46">
        <f>IF(ISNUMBER(T2100),ABS(T2100),"")</f>
        <v/>
      </c>
      <c r="V2100" s="46">
        <f>IF(OR($D2099&lt;&gt;"측정",$C2099&lt;&gt;$C2100,NOT(ISNUMBER(L2100)),NOT(ISNUMBER(L2099)),(IF(ISNUMBER(G2100),G2100,F2100)-IF(ISNUMBER(G2099),G2099,F2099))=0),"",(L2100-L2099)/(IF(ISNUMBER(G2100),G2100,F2100)-IF(ISNUMBER(G2099),G2099,F2099)))</f>
        <v/>
      </c>
      <c r="W2100" s="30">
        <f>IF(NOT(AND(ISNUMBER(N2100),ISNUMBER(P2100))),"",(P2100-N2100)*1440)</f>
        <v/>
      </c>
      <c r="X2100" s="28" t="n"/>
      <c r="Y2100" s="28" t="n"/>
      <c r="Z2100" s="28" t="n"/>
      <c r="AA2100" s="31" t="n"/>
      <c r="AB2100" s="31" t="n"/>
    </row>
    <row r="2101">
      <c r="A2101" s="25" t="inlineStr">
        <is>
          <t>S41</t>
        </is>
      </c>
      <c r="B2101" s="25" t="inlineStr">
        <is>
          <t>거제</t>
        </is>
      </c>
      <c r="C2101" s="25" t="inlineStr">
        <is>
          <t>S41-H서</t>
        </is>
      </c>
      <c r="D2101" s="25" t="inlineStr">
        <is>
          <t>측정</t>
        </is>
      </c>
      <c r="E2101" s="25" t="inlineStr">
        <is>
          <t>서</t>
        </is>
      </c>
      <c r="F2101" s="30" t="n">
        <v>2</v>
      </c>
      <c r="G2101" s="29" t="n"/>
      <c r="H2101" s="42" t="n"/>
      <c r="I2101" s="40" t="n"/>
      <c r="J2101" s="40" t="n"/>
      <c r="K2101" s="40" t="n"/>
      <c r="L2101" s="30">
        <f>IF(COUNT(I2101:K2101)=0,"",MEDIAN(I2101:K2101))</f>
        <v/>
      </c>
      <c r="M2101" s="25">
        <f>IF(COUNTIFS($C:$C,$C2101,$D:$D,"P0(전)",$L:$L,"&gt;0")&lt;&gt;1,"P0(전) 유효 1개 아님",IF(COUNTIFS($C:$C,$C2101,$D:$D,"P0(후)",$L:$L,"&gt;0")&lt;&gt;1,"P0(후) 유효 1개 아님",IF(NOT(AND(ISNUMBER(N2101),ISNUMBER(P2101),ISNUMBER(H2101))),"시각 결측",IF(P2101&lt;=N2101,"P0 시각 역전",IF(OR(H2101&lt;N2101,H2101&gt;P2101),"측정시각 구간 밖","OK")))))</f>
        <v/>
      </c>
      <c r="N2101" s="45">
        <f>IF(COUNTIFS($C:$C,$C2101,$D:$D,"P0(전)",$L:$L,"&gt;0")&lt;&gt;1,"",SUMIFS($H:$H,$C:$C,$C2101,$D:$D,"P0(전)"))</f>
        <v/>
      </c>
      <c r="O2101" s="30">
        <f>IF(COUNTIFS($C:$C,$C2101,$D:$D,"P0(전)",$L:$L,"&gt;0")&lt;&gt;1,"",SUMIFS($L:$L,$C:$C,$C2101,$D:$D,"P0(전)"))</f>
        <v/>
      </c>
      <c r="P2101" s="45">
        <f>IF(COUNTIFS($C:$C,$C2101,$D:$D,"P0(후)",$L:$L,"&gt;0")&lt;&gt;1,"",SUMIFS($H:$H,$C:$C,$C2101,$D:$D,"P0(후)"))</f>
        <v/>
      </c>
      <c r="Q2101" s="30">
        <f>IF(COUNTIFS($C:$C,$C2101,$D:$D,"P0(후)",$L:$L,"&gt;0")&lt;&gt;1,"",SUMIFS($L:$L,$C:$C,$C2101,$D:$D,"P0(후)"))</f>
        <v/>
      </c>
      <c r="R2101" s="30">
        <f>IF(M2101&lt;&gt;"OK","",O2101+(Q2101-O2101)*(H2101-N2101)/(P2101-N2101))</f>
        <v/>
      </c>
      <c r="S2101" s="30">
        <f>IF(OR(M2101&lt;&gt;"OK",NOT(ISNUMBER(L2101))),"",L2101-R2101)</f>
        <v/>
      </c>
      <c r="T2101" s="46">
        <f>IF(OR(NOT(ISNUMBER(S2101)),IF(ISNUMBER(G2101),G2101,F2101)=0),"",S2101/IF(ISNUMBER(G2101),G2101,F2101))</f>
        <v/>
      </c>
      <c r="U2101" s="46">
        <f>IF(ISNUMBER(T2101),ABS(T2101),"")</f>
        <v/>
      </c>
      <c r="V2101" s="46">
        <f>IF(OR($D2100&lt;&gt;"측정",$C2100&lt;&gt;$C2101,NOT(ISNUMBER(L2101)),NOT(ISNUMBER(L2100)),(IF(ISNUMBER(G2101),G2101,F2101)-IF(ISNUMBER(G2100),G2100,F2100))=0),"",(L2101-L2100)/(IF(ISNUMBER(G2101),G2101,F2101)-IF(ISNUMBER(G2100),G2100,F2100)))</f>
        <v/>
      </c>
      <c r="W2101" s="30">
        <f>IF(NOT(AND(ISNUMBER(N2101),ISNUMBER(P2101))),"",(P2101-N2101)*1440)</f>
        <v/>
      </c>
      <c r="X2101" s="28" t="n"/>
      <c r="Y2101" s="28" t="n"/>
      <c r="Z2101" s="28" t="n"/>
      <c r="AA2101" s="31" t="n"/>
      <c r="AB2101" s="31" t="n"/>
    </row>
    <row r="2102">
      <c r="A2102" s="25" t="inlineStr">
        <is>
          <t>S41</t>
        </is>
      </c>
      <c r="B2102" s="25" t="inlineStr">
        <is>
          <t>거제</t>
        </is>
      </c>
      <c r="C2102" s="25" t="inlineStr">
        <is>
          <t>S41-H서</t>
        </is>
      </c>
      <c r="D2102" s="25" t="inlineStr">
        <is>
          <t>측정</t>
        </is>
      </c>
      <c r="E2102" s="25" t="inlineStr">
        <is>
          <t>서</t>
        </is>
      </c>
      <c r="F2102" s="30" t="n">
        <v>3</v>
      </c>
      <c r="G2102" s="29" t="n"/>
      <c r="H2102" s="42" t="n"/>
      <c r="I2102" s="40" t="n"/>
      <c r="J2102" s="40" t="n"/>
      <c r="K2102" s="40" t="n"/>
      <c r="L2102" s="30">
        <f>IF(COUNT(I2102:K2102)=0,"",MEDIAN(I2102:K2102))</f>
        <v/>
      </c>
      <c r="M2102" s="25">
        <f>IF(COUNTIFS($C:$C,$C2102,$D:$D,"P0(전)",$L:$L,"&gt;0")&lt;&gt;1,"P0(전) 유효 1개 아님",IF(COUNTIFS($C:$C,$C2102,$D:$D,"P0(후)",$L:$L,"&gt;0")&lt;&gt;1,"P0(후) 유효 1개 아님",IF(NOT(AND(ISNUMBER(N2102),ISNUMBER(P2102),ISNUMBER(H2102))),"시각 결측",IF(P2102&lt;=N2102,"P0 시각 역전",IF(OR(H2102&lt;N2102,H2102&gt;P2102),"측정시각 구간 밖","OK")))))</f>
        <v/>
      </c>
      <c r="N2102" s="45">
        <f>IF(COUNTIFS($C:$C,$C2102,$D:$D,"P0(전)",$L:$L,"&gt;0")&lt;&gt;1,"",SUMIFS($H:$H,$C:$C,$C2102,$D:$D,"P0(전)"))</f>
        <v/>
      </c>
      <c r="O2102" s="30">
        <f>IF(COUNTIFS($C:$C,$C2102,$D:$D,"P0(전)",$L:$L,"&gt;0")&lt;&gt;1,"",SUMIFS($L:$L,$C:$C,$C2102,$D:$D,"P0(전)"))</f>
        <v/>
      </c>
      <c r="P2102" s="45">
        <f>IF(COUNTIFS($C:$C,$C2102,$D:$D,"P0(후)",$L:$L,"&gt;0")&lt;&gt;1,"",SUMIFS($H:$H,$C:$C,$C2102,$D:$D,"P0(후)"))</f>
        <v/>
      </c>
      <c r="Q2102" s="30">
        <f>IF(COUNTIFS($C:$C,$C2102,$D:$D,"P0(후)",$L:$L,"&gt;0")&lt;&gt;1,"",SUMIFS($L:$L,$C:$C,$C2102,$D:$D,"P0(후)"))</f>
        <v/>
      </c>
      <c r="R2102" s="30">
        <f>IF(M2102&lt;&gt;"OK","",O2102+(Q2102-O2102)*(H2102-N2102)/(P2102-N2102))</f>
        <v/>
      </c>
      <c r="S2102" s="30">
        <f>IF(OR(M2102&lt;&gt;"OK",NOT(ISNUMBER(L2102))),"",L2102-R2102)</f>
        <v/>
      </c>
      <c r="T2102" s="46">
        <f>IF(OR(NOT(ISNUMBER(S2102)),IF(ISNUMBER(G2102),G2102,F2102)=0),"",S2102/IF(ISNUMBER(G2102),G2102,F2102))</f>
        <v/>
      </c>
      <c r="U2102" s="46">
        <f>IF(ISNUMBER(T2102),ABS(T2102),"")</f>
        <v/>
      </c>
      <c r="V2102" s="46">
        <f>IF(OR($D2101&lt;&gt;"측정",$C2101&lt;&gt;$C2102,NOT(ISNUMBER(L2102)),NOT(ISNUMBER(L2101)),(IF(ISNUMBER(G2102),G2102,F2102)-IF(ISNUMBER(G2101),G2101,F2101))=0),"",(L2102-L2101)/(IF(ISNUMBER(G2102),G2102,F2102)-IF(ISNUMBER(G2101),G2101,F2101)))</f>
        <v/>
      </c>
      <c r="W2102" s="30">
        <f>IF(NOT(AND(ISNUMBER(N2102),ISNUMBER(P2102))),"",(P2102-N2102)*1440)</f>
        <v/>
      </c>
      <c r="X2102" s="28" t="n"/>
      <c r="Y2102" s="28" t="n"/>
      <c r="Z2102" s="28" t="n"/>
      <c r="AA2102" s="31" t="n"/>
      <c r="AB2102" s="31" t="n"/>
    </row>
    <row r="2103">
      <c r="A2103" s="25" t="inlineStr">
        <is>
          <t>S41</t>
        </is>
      </c>
      <c r="B2103" s="25" t="inlineStr">
        <is>
          <t>거제</t>
        </is>
      </c>
      <c r="C2103" s="25" t="inlineStr">
        <is>
          <t>S41-H서</t>
        </is>
      </c>
      <c r="D2103" s="25" t="inlineStr">
        <is>
          <t>측정</t>
        </is>
      </c>
      <c r="E2103" s="25" t="inlineStr">
        <is>
          <t>서</t>
        </is>
      </c>
      <c r="F2103" s="30" t="n">
        <v>4</v>
      </c>
      <c r="G2103" s="29" t="n"/>
      <c r="H2103" s="42" t="n"/>
      <c r="I2103" s="40" t="n"/>
      <c r="J2103" s="40" t="n"/>
      <c r="K2103" s="40" t="n"/>
      <c r="L2103" s="30">
        <f>IF(COUNT(I2103:K2103)=0,"",MEDIAN(I2103:K2103))</f>
        <v/>
      </c>
      <c r="M2103" s="25">
        <f>IF(COUNTIFS($C:$C,$C2103,$D:$D,"P0(전)",$L:$L,"&gt;0")&lt;&gt;1,"P0(전) 유효 1개 아님",IF(COUNTIFS($C:$C,$C2103,$D:$D,"P0(후)",$L:$L,"&gt;0")&lt;&gt;1,"P0(후) 유효 1개 아님",IF(NOT(AND(ISNUMBER(N2103),ISNUMBER(P2103),ISNUMBER(H2103))),"시각 결측",IF(P2103&lt;=N2103,"P0 시각 역전",IF(OR(H2103&lt;N2103,H2103&gt;P2103),"측정시각 구간 밖","OK")))))</f>
        <v/>
      </c>
      <c r="N2103" s="45">
        <f>IF(COUNTIFS($C:$C,$C2103,$D:$D,"P0(전)",$L:$L,"&gt;0")&lt;&gt;1,"",SUMIFS($H:$H,$C:$C,$C2103,$D:$D,"P0(전)"))</f>
        <v/>
      </c>
      <c r="O2103" s="30">
        <f>IF(COUNTIFS($C:$C,$C2103,$D:$D,"P0(전)",$L:$L,"&gt;0")&lt;&gt;1,"",SUMIFS($L:$L,$C:$C,$C2103,$D:$D,"P0(전)"))</f>
        <v/>
      </c>
      <c r="P2103" s="45">
        <f>IF(COUNTIFS($C:$C,$C2103,$D:$D,"P0(후)",$L:$L,"&gt;0")&lt;&gt;1,"",SUMIFS($H:$H,$C:$C,$C2103,$D:$D,"P0(후)"))</f>
        <v/>
      </c>
      <c r="Q2103" s="30">
        <f>IF(COUNTIFS($C:$C,$C2103,$D:$D,"P0(후)",$L:$L,"&gt;0")&lt;&gt;1,"",SUMIFS($L:$L,$C:$C,$C2103,$D:$D,"P0(후)"))</f>
        <v/>
      </c>
      <c r="R2103" s="30">
        <f>IF(M2103&lt;&gt;"OK","",O2103+(Q2103-O2103)*(H2103-N2103)/(P2103-N2103))</f>
        <v/>
      </c>
      <c r="S2103" s="30">
        <f>IF(OR(M2103&lt;&gt;"OK",NOT(ISNUMBER(L2103))),"",L2103-R2103)</f>
        <v/>
      </c>
      <c r="T2103" s="46">
        <f>IF(OR(NOT(ISNUMBER(S2103)),IF(ISNUMBER(G2103),G2103,F2103)=0),"",S2103/IF(ISNUMBER(G2103),G2103,F2103))</f>
        <v/>
      </c>
      <c r="U2103" s="46">
        <f>IF(ISNUMBER(T2103),ABS(T2103),"")</f>
        <v/>
      </c>
      <c r="V2103" s="46">
        <f>IF(OR($D2102&lt;&gt;"측정",$C2102&lt;&gt;$C2103,NOT(ISNUMBER(L2103)),NOT(ISNUMBER(L2102)),(IF(ISNUMBER(G2103),G2103,F2103)-IF(ISNUMBER(G2102),G2102,F2102))=0),"",(L2103-L2102)/(IF(ISNUMBER(G2103),G2103,F2103)-IF(ISNUMBER(G2102),G2102,F2102)))</f>
        <v/>
      </c>
      <c r="W2103" s="30">
        <f>IF(NOT(AND(ISNUMBER(N2103),ISNUMBER(P2103))),"",(P2103-N2103)*1440)</f>
        <v/>
      </c>
      <c r="X2103" s="28" t="n"/>
      <c r="Y2103" s="28" t="n"/>
      <c r="Z2103" s="28" t="n"/>
      <c r="AA2103" s="31" t="n"/>
      <c r="AB2103" s="31" t="n"/>
    </row>
    <row r="2104">
      <c r="A2104" s="25" t="inlineStr">
        <is>
          <t>S41</t>
        </is>
      </c>
      <c r="B2104" s="25" t="inlineStr">
        <is>
          <t>거제</t>
        </is>
      </c>
      <c r="C2104" s="25" t="inlineStr">
        <is>
          <t>S41-H서</t>
        </is>
      </c>
      <c r="D2104" s="25" t="inlineStr">
        <is>
          <t>측정</t>
        </is>
      </c>
      <c r="E2104" s="25" t="inlineStr">
        <is>
          <t>서</t>
        </is>
      </c>
      <c r="F2104" s="30" t="n">
        <v>5</v>
      </c>
      <c r="G2104" s="29" t="n"/>
      <c r="H2104" s="42" t="n"/>
      <c r="I2104" s="40" t="n"/>
      <c r="J2104" s="40" t="n"/>
      <c r="K2104" s="40" t="n"/>
      <c r="L2104" s="30">
        <f>IF(COUNT(I2104:K2104)=0,"",MEDIAN(I2104:K2104))</f>
        <v/>
      </c>
      <c r="M2104" s="25">
        <f>IF(COUNTIFS($C:$C,$C2104,$D:$D,"P0(전)",$L:$L,"&gt;0")&lt;&gt;1,"P0(전) 유효 1개 아님",IF(COUNTIFS($C:$C,$C2104,$D:$D,"P0(후)",$L:$L,"&gt;0")&lt;&gt;1,"P0(후) 유효 1개 아님",IF(NOT(AND(ISNUMBER(N2104),ISNUMBER(P2104),ISNUMBER(H2104))),"시각 결측",IF(P2104&lt;=N2104,"P0 시각 역전",IF(OR(H2104&lt;N2104,H2104&gt;P2104),"측정시각 구간 밖","OK")))))</f>
        <v/>
      </c>
      <c r="N2104" s="45">
        <f>IF(COUNTIFS($C:$C,$C2104,$D:$D,"P0(전)",$L:$L,"&gt;0")&lt;&gt;1,"",SUMIFS($H:$H,$C:$C,$C2104,$D:$D,"P0(전)"))</f>
        <v/>
      </c>
      <c r="O2104" s="30">
        <f>IF(COUNTIFS($C:$C,$C2104,$D:$D,"P0(전)",$L:$L,"&gt;0")&lt;&gt;1,"",SUMIFS($L:$L,$C:$C,$C2104,$D:$D,"P0(전)"))</f>
        <v/>
      </c>
      <c r="P2104" s="45">
        <f>IF(COUNTIFS($C:$C,$C2104,$D:$D,"P0(후)",$L:$L,"&gt;0")&lt;&gt;1,"",SUMIFS($H:$H,$C:$C,$C2104,$D:$D,"P0(후)"))</f>
        <v/>
      </c>
      <c r="Q2104" s="30">
        <f>IF(COUNTIFS($C:$C,$C2104,$D:$D,"P0(후)",$L:$L,"&gt;0")&lt;&gt;1,"",SUMIFS($L:$L,$C:$C,$C2104,$D:$D,"P0(후)"))</f>
        <v/>
      </c>
      <c r="R2104" s="30">
        <f>IF(M2104&lt;&gt;"OK","",O2104+(Q2104-O2104)*(H2104-N2104)/(P2104-N2104))</f>
        <v/>
      </c>
      <c r="S2104" s="30">
        <f>IF(OR(M2104&lt;&gt;"OK",NOT(ISNUMBER(L2104))),"",L2104-R2104)</f>
        <v/>
      </c>
      <c r="T2104" s="46">
        <f>IF(OR(NOT(ISNUMBER(S2104)),IF(ISNUMBER(G2104),G2104,F2104)=0),"",S2104/IF(ISNUMBER(G2104),G2104,F2104))</f>
        <v/>
      </c>
      <c r="U2104" s="46">
        <f>IF(ISNUMBER(T2104),ABS(T2104),"")</f>
        <v/>
      </c>
      <c r="V2104" s="46">
        <f>IF(OR($D2103&lt;&gt;"측정",$C2103&lt;&gt;$C2104,NOT(ISNUMBER(L2104)),NOT(ISNUMBER(L2103)),(IF(ISNUMBER(G2104),G2104,F2104)-IF(ISNUMBER(G2103),G2103,F2103))=0),"",(L2104-L2103)/(IF(ISNUMBER(G2104),G2104,F2104)-IF(ISNUMBER(G2103),G2103,F2103)))</f>
        <v/>
      </c>
      <c r="W2104" s="30">
        <f>IF(NOT(AND(ISNUMBER(N2104),ISNUMBER(P2104))),"",(P2104-N2104)*1440)</f>
        <v/>
      </c>
      <c r="X2104" s="28" t="n"/>
      <c r="Y2104" s="28" t="n"/>
      <c r="Z2104" s="28" t="n"/>
      <c r="AA2104" s="31" t="n"/>
      <c r="AB2104" s="31" t="n"/>
    </row>
    <row r="2105">
      <c r="A2105" s="25" t="inlineStr">
        <is>
          <t>S41</t>
        </is>
      </c>
      <c r="B2105" s="25" t="inlineStr">
        <is>
          <t>거제</t>
        </is>
      </c>
      <c r="C2105" s="25" t="inlineStr">
        <is>
          <t>S41-H서</t>
        </is>
      </c>
      <c r="D2105" s="25" t="inlineStr">
        <is>
          <t>측정</t>
        </is>
      </c>
      <c r="E2105" s="25" t="inlineStr">
        <is>
          <t>서</t>
        </is>
      </c>
      <c r="F2105" s="30" t="n">
        <v>6</v>
      </c>
      <c r="G2105" s="29" t="n"/>
      <c r="H2105" s="42" t="n"/>
      <c r="I2105" s="40" t="n"/>
      <c r="J2105" s="40" t="n"/>
      <c r="K2105" s="40" t="n"/>
      <c r="L2105" s="30">
        <f>IF(COUNT(I2105:K2105)=0,"",MEDIAN(I2105:K2105))</f>
        <v/>
      </c>
      <c r="M2105" s="25">
        <f>IF(COUNTIFS($C:$C,$C2105,$D:$D,"P0(전)",$L:$L,"&gt;0")&lt;&gt;1,"P0(전) 유효 1개 아님",IF(COUNTIFS($C:$C,$C2105,$D:$D,"P0(후)",$L:$L,"&gt;0")&lt;&gt;1,"P0(후) 유효 1개 아님",IF(NOT(AND(ISNUMBER(N2105),ISNUMBER(P2105),ISNUMBER(H2105))),"시각 결측",IF(P2105&lt;=N2105,"P0 시각 역전",IF(OR(H2105&lt;N2105,H2105&gt;P2105),"측정시각 구간 밖","OK")))))</f>
        <v/>
      </c>
      <c r="N2105" s="45">
        <f>IF(COUNTIFS($C:$C,$C2105,$D:$D,"P0(전)",$L:$L,"&gt;0")&lt;&gt;1,"",SUMIFS($H:$H,$C:$C,$C2105,$D:$D,"P0(전)"))</f>
        <v/>
      </c>
      <c r="O2105" s="30">
        <f>IF(COUNTIFS($C:$C,$C2105,$D:$D,"P0(전)",$L:$L,"&gt;0")&lt;&gt;1,"",SUMIFS($L:$L,$C:$C,$C2105,$D:$D,"P0(전)"))</f>
        <v/>
      </c>
      <c r="P2105" s="45">
        <f>IF(COUNTIFS($C:$C,$C2105,$D:$D,"P0(후)",$L:$L,"&gt;0")&lt;&gt;1,"",SUMIFS($H:$H,$C:$C,$C2105,$D:$D,"P0(후)"))</f>
        <v/>
      </c>
      <c r="Q2105" s="30">
        <f>IF(COUNTIFS($C:$C,$C2105,$D:$D,"P0(후)",$L:$L,"&gt;0")&lt;&gt;1,"",SUMIFS($L:$L,$C:$C,$C2105,$D:$D,"P0(후)"))</f>
        <v/>
      </c>
      <c r="R2105" s="30">
        <f>IF(M2105&lt;&gt;"OK","",O2105+(Q2105-O2105)*(H2105-N2105)/(P2105-N2105))</f>
        <v/>
      </c>
      <c r="S2105" s="30">
        <f>IF(OR(M2105&lt;&gt;"OK",NOT(ISNUMBER(L2105))),"",L2105-R2105)</f>
        <v/>
      </c>
      <c r="T2105" s="46">
        <f>IF(OR(NOT(ISNUMBER(S2105)),IF(ISNUMBER(G2105),G2105,F2105)=0),"",S2105/IF(ISNUMBER(G2105),G2105,F2105))</f>
        <v/>
      </c>
      <c r="U2105" s="46">
        <f>IF(ISNUMBER(T2105),ABS(T2105),"")</f>
        <v/>
      </c>
      <c r="V2105" s="46">
        <f>IF(OR($D2104&lt;&gt;"측정",$C2104&lt;&gt;$C2105,NOT(ISNUMBER(L2105)),NOT(ISNUMBER(L2104)),(IF(ISNUMBER(G2105),G2105,F2105)-IF(ISNUMBER(G2104),G2104,F2104))=0),"",(L2105-L2104)/(IF(ISNUMBER(G2105),G2105,F2105)-IF(ISNUMBER(G2104),G2104,F2104)))</f>
        <v/>
      </c>
      <c r="W2105" s="30">
        <f>IF(NOT(AND(ISNUMBER(N2105),ISNUMBER(P2105))),"",(P2105-N2105)*1440)</f>
        <v/>
      </c>
      <c r="X2105" s="28" t="n"/>
      <c r="Y2105" s="28" t="n"/>
      <c r="Z2105" s="28" t="n"/>
      <c r="AA2105" s="31" t="n"/>
      <c r="AB2105" s="31" t="n"/>
    </row>
    <row r="2106">
      <c r="A2106" s="25" t="inlineStr">
        <is>
          <t>S41</t>
        </is>
      </c>
      <c r="B2106" s="25" t="inlineStr">
        <is>
          <t>거제</t>
        </is>
      </c>
      <c r="C2106" s="25" t="inlineStr">
        <is>
          <t>S41-H서</t>
        </is>
      </c>
      <c r="D2106" s="25" t="inlineStr">
        <is>
          <t>측정</t>
        </is>
      </c>
      <c r="E2106" s="25" t="inlineStr">
        <is>
          <t>서</t>
        </is>
      </c>
      <c r="F2106" s="30" t="n">
        <v>7</v>
      </c>
      <c r="G2106" s="29" t="n"/>
      <c r="H2106" s="42" t="n"/>
      <c r="I2106" s="40" t="n"/>
      <c r="J2106" s="40" t="n"/>
      <c r="K2106" s="40" t="n"/>
      <c r="L2106" s="30">
        <f>IF(COUNT(I2106:K2106)=0,"",MEDIAN(I2106:K2106))</f>
        <v/>
      </c>
      <c r="M2106" s="25">
        <f>IF(COUNTIFS($C:$C,$C2106,$D:$D,"P0(전)",$L:$L,"&gt;0")&lt;&gt;1,"P0(전) 유효 1개 아님",IF(COUNTIFS($C:$C,$C2106,$D:$D,"P0(후)",$L:$L,"&gt;0")&lt;&gt;1,"P0(후) 유효 1개 아님",IF(NOT(AND(ISNUMBER(N2106),ISNUMBER(P2106),ISNUMBER(H2106))),"시각 결측",IF(P2106&lt;=N2106,"P0 시각 역전",IF(OR(H2106&lt;N2106,H2106&gt;P2106),"측정시각 구간 밖","OK")))))</f>
        <v/>
      </c>
      <c r="N2106" s="45">
        <f>IF(COUNTIFS($C:$C,$C2106,$D:$D,"P0(전)",$L:$L,"&gt;0")&lt;&gt;1,"",SUMIFS($H:$H,$C:$C,$C2106,$D:$D,"P0(전)"))</f>
        <v/>
      </c>
      <c r="O2106" s="30">
        <f>IF(COUNTIFS($C:$C,$C2106,$D:$D,"P0(전)",$L:$L,"&gt;0")&lt;&gt;1,"",SUMIFS($L:$L,$C:$C,$C2106,$D:$D,"P0(전)"))</f>
        <v/>
      </c>
      <c r="P2106" s="45">
        <f>IF(COUNTIFS($C:$C,$C2106,$D:$D,"P0(후)",$L:$L,"&gt;0")&lt;&gt;1,"",SUMIFS($H:$H,$C:$C,$C2106,$D:$D,"P0(후)"))</f>
        <v/>
      </c>
      <c r="Q2106" s="30">
        <f>IF(COUNTIFS($C:$C,$C2106,$D:$D,"P0(후)",$L:$L,"&gt;0")&lt;&gt;1,"",SUMIFS($L:$L,$C:$C,$C2106,$D:$D,"P0(후)"))</f>
        <v/>
      </c>
      <c r="R2106" s="30">
        <f>IF(M2106&lt;&gt;"OK","",O2106+(Q2106-O2106)*(H2106-N2106)/(P2106-N2106))</f>
        <v/>
      </c>
      <c r="S2106" s="30">
        <f>IF(OR(M2106&lt;&gt;"OK",NOT(ISNUMBER(L2106))),"",L2106-R2106)</f>
        <v/>
      </c>
      <c r="T2106" s="46">
        <f>IF(OR(NOT(ISNUMBER(S2106)),IF(ISNUMBER(G2106),G2106,F2106)=0),"",S2106/IF(ISNUMBER(G2106),G2106,F2106))</f>
        <v/>
      </c>
      <c r="U2106" s="46">
        <f>IF(ISNUMBER(T2106),ABS(T2106),"")</f>
        <v/>
      </c>
      <c r="V2106" s="46">
        <f>IF(OR($D2105&lt;&gt;"측정",$C2105&lt;&gt;$C2106,NOT(ISNUMBER(L2106)),NOT(ISNUMBER(L2105)),(IF(ISNUMBER(G2106),G2106,F2106)-IF(ISNUMBER(G2105),G2105,F2105))=0),"",(L2106-L2105)/(IF(ISNUMBER(G2106),G2106,F2106)-IF(ISNUMBER(G2105),G2105,F2105)))</f>
        <v/>
      </c>
      <c r="W2106" s="30">
        <f>IF(NOT(AND(ISNUMBER(N2106),ISNUMBER(P2106))),"",(P2106-N2106)*1440)</f>
        <v/>
      </c>
      <c r="X2106" s="28" t="n"/>
      <c r="Y2106" s="28" t="n"/>
      <c r="Z2106" s="28" t="n"/>
      <c r="AA2106" s="31" t="n"/>
      <c r="AB2106" s="31" t="n"/>
    </row>
    <row r="2107">
      <c r="A2107" s="25" t="inlineStr">
        <is>
          <t>S41</t>
        </is>
      </c>
      <c r="B2107" s="25" t="inlineStr">
        <is>
          <t>거제</t>
        </is>
      </c>
      <c r="C2107" s="25" t="inlineStr">
        <is>
          <t>S41-H서</t>
        </is>
      </c>
      <c r="D2107" s="25" t="inlineStr">
        <is>
          <t>측정</t>
        </is>
      </c>
      <c r="E2107" s="25" t="inlineStr">
        <is>
          <t>서</t>
        </is>
      </c>
      <c r="F2107" s="30" t="n">
        <v>8</v>
      </c>
      <c r="G2107" s="29" t="n"/>
      <c r="H2107" s="42" t="n"/>
      <c r="I2107" s="40" t="n"/>
      <c r="J2107" s="40" t="n"/>
      <c r="K2107" s="40" t="n"/>
      <c r="L2107" s="30">
        <f>IF(COUNT(I2107:K2107)=0,"",MEDIAN(I2107:K2107))</f>
        <v/>
      </c>
      <c r="M2107" s="25">
        <f>IF(COUNTIFS($C:$C,$C2107,$D:$D,"P0(전)",$L:$L,"&gt;0")&lt;&gt;1,"P0(전) 유효 1개 아님",IF(COUNTIFS($C:$C,$C2107,$D:$D,"P0(후)",$L:$L,"&gt;0")&lt;&gt;1,"P0(후) 유효 1개 아님",IF(NOT(AND(ISNUMBER(N2107),ISNUMBER(P2107),ISNUMBER(H2107))),"시각 결측",IF(P2107&lt;=N2107,"P0 시각 역전",IF(OR(H2107&lt;N2107,H2107&gt;P2107),"측정시각 구간 밖","OK")))))</f>
        <v/>
      </c>
      <c r="N2107" s="45">
        <f>IF(COUNTIFS($C:$C,$C2107,$D:$D,"P0(전)",$L:$L,"&gt;0")&lt;&gt;1,"",SUMIFS($H:$H,$C:$C,$C2107,$D:$D,"P0(전)"))</f>
        <v/>
      </c>
      <c r="O2107" s="30">
        <f>IF(COUNTIFS($C:$C,$C2107,$D:$D,"P0(전)",$L:$L,"&gt;0")&lt;&gt;1,"",SUMIFS($L:$L,$C:$C,$C2107,$D:$D,"P0(전)"))</f>
        <v/>
      </c>
      <c r="P2107" s="45">
        <f>IF(COUNTIFS($C:$C,$C2107,$D:$D,"P0(후)",$L:$L,"&gt;0")&lt;&gt;1,"",SUMIFS($H:$H,$C:$C,$C2107,$D:$D,"P0(후)"))</f>
        <v/>
      </c>
      <c r="Q2107" s="30">
        <f>IF(COUNTIFS($C:$C,$C2107,$D:$D,"P0(후)",$L:$L,"&gt;0")&lt;&gt;1,"",SUMIFS($L:$L,$C:$C,$C2107,$D:$D,"P0(후)"))</f>
        <v/>
      </c>
      <c r="R2107" s="30">
        <f>IF(M2107&lt;&gt;"OK","",O2107+(Q2107-O2107)*(H2107-N2107)/(P2107-N2107))</f>
        <v/>
      </c>
      <c r="S2107" s="30">
        <f>IF(OR(M2107&lt;&gt;"OK",NOT(ISNUMBER(L2107))),"",L2107-R2107)</f>
        <v/>
      </c>
      <c r="T2107" s="46">
        <f>IF(OR(NOT(ISNUMBER(S2107)),IF(ISNUMBER(G2107),G2107,F2107)=0),"",S2107/IF(ISNUMBER(G2107),G2107,F2107))</f>
        <v/>
      </c>
      <c r="U2107" s="46">
        <f>IF(ISNUMBER(T2107),ABS(T2107),"")</f>
        <v/>
      </c>
      <c r="V2107" s="46">
        <f>IF(OR($D2106&lt;&gt;"측정",$C2106&lt;&gt;$C2107,NOT(ISNUMBER(L2107)),NOT(ISNUMBER(L2106)),(IF(ISNUMBER(G2107),G2107,F2107)-IF(ISNUMBER(G2106),G2106,F2106))=0),"",(L2107-L2106)/(IF(ISNUMBER(G2107),G2107,F2107)-IF(ISNUMBER(G2106),G2106,F2106)))</f>
        <v/>
      </c>
      <c r="W2107" s="30">
        <f>IF(NOT(AND(ISNUMBER(N2107),ISNUMBER(P2107))),"",(P2107-N2107)*1440)</f>
        <v/>
      </c>
      <c r="X2107" s="28" t="n"/>
      <c r="Y2107" s="28" t="n"/>
      <c r="Z2107" s="28" t="n"/>
      <c r="AA2107" s="31" t="n"/>
      <c r="AB2107" s="31" t="n"/>
    </row>
    <row r="2108">
      <c r="A2108" s="25" t="inlineStr">
        <is>
          <t>S41</t>
        </is>
      </c>
      <c r="B2108" s="25" t="inlineStr">
        <is>
          <t>거제</t>
        </is>
      </c>
      <c r="C2108" s="25" t="inlineStr">
        <is>
          <t>S41-H서</t>
        </is>
      </c>
      <c r="D2108" s="25" t="inlineStr">
        <is>
          <t>측정</t>
        </is>
      </c>
      <c r="E2108" s="25" t="inlineStr">
        <is>
          <t>서</t>
        </is>
      </c>
      <c r="F2108" s="30" t="n">
        <v>9</v>
      </c>
      <c r="G2108" s="29" t="n"/>
      <c r="H2108" s="42" t="n"/>
      <c r="I2108" s="40" t="n"/>
      <c r="J2108" s="40" t="n"/>
      <c r="K2108" s="40" t="n"/>
      <c r="L2108" s="30">
        <f>IF(COUNT(I2108:K2108)=0,"",MEDIAN(I2108:K2108))</f>
        <v/>
      </c>
      <c r="M2108" s="25">
        <f>IF(COUNTIFS($C:$C,$C2108,$D:$D,"P0(전)",$L:$L,"&gt;0")&lt;&gt;1,"P0(전) 유효 1개 아님",IF(COUNTIFS($C:$C,$C2108,$D:$D,"P0(후)",$L:$L,"&gt;0")&lt;&gt;1,"P0(후) 유효 1개 아님",IF(NOT(AND(ISNUMBER(N2108),ISNUMBER(P2108),ISNUMBER(H2108))),"시각 결측",IF(P2108&lt;=N2108,"P0 시각 역전",IF(OR(H2108&lt;N2108,H2108&gt;P2108),"측정시각 구간 밖","OK")))))</f>
        <v/>
      </c>
      <c r="N2108" s="45">
        <f>IF(COUNTIFS($C:$C,$C2108,$D:$D,"P0(전)",$L:$L,"&gt;0")&lt;&gt;1,"",SUMIFS($H:$H,$C:$C,$C2108,$D:$D,"P0(전)"))</f>
        <v/>
      </c>
      <c r="O2108" s="30">
        <f>IF(COUNTIFS($C:$C,$C2108,$D:$D,"P0(전)",$L:$L,"&gt;0")&lt;&gt;1,"",SUMIFS($L:$L,$C:$C,$C2108,$D:$D,"P0(전)"))</f>
        <v/>
      </c>
      <c r="P2108" s="45">
        <f>IF(COUNTIFS($C:$C,$C2108,$D:$D,"P0(후)",$L:$L,"&gt;0")&lt;&gt;1,"",SUMIFS($H:$H,$C:$C,$C2108,$D:$D,"P0(후)"))</f>
        <v/>
      </c>
      <c r="Q2108" s="30">
        <f>IF(COUNTIFS($C:$C,$C2108,$D:$D,"P0(후)",$L:$L,"&gt;0")&lt;&gt;1,"",SUMIFS($L:$L,$C:$C,$C2108,$D:$D,"P0(후)"))</f>
        <v/>
      </c>
      <c r="R2108" s="30">
        <f>IF(M2108&lt;&gt;"OK","",O2108+(Q2108-O2108)*(H2108-N2108)/(P2108-N2108))</f>
        <v/>
      </c>
      <c r="S2108" s="30">
        <f>IF(OR(M2108&lt;&gt;"OK",NOT(ISNUMBER(L2108))),"",L2108-R2108)</f>
        <v/>
      </c>
      <c r="T2108" s="46">
        <f>IF(OR(NOT(ISNUMBER(S2108)),IF(ISNUMBER(G2108),G2108,F2108)=0),"",S2108/IF(ISNUMBER(G2108),G2108,F2108))</f>
        <v/>
      </c>
      <c r="U2108" s="46">
        <f>IF(ISNUMBER(T2108),ABS(T2108),"")</f>
        <v/>
      </c>
      <c r="V2108" s="46">
        <f>IF(OR($D2107&lt;&gt;"측정",$C2107&lt;&gt;$C2108,NOT(ISNUMBER(L2108)),NOT(ISNUMBER(L2107)),(IF(ISNUMBER(G2108),G2108,F2108)-IF(ISNUMBER(G2107),G2107,F2107))=0),"",(L2108-L2107)/(IF(ISNUMBER(G2108),G2108,F2108)-IF(ISNUMBER(G2107),G2107,F2107)))</f>
        <v/>
      </c>
      <c r="W2108" s="30">
        <f>IF(NOT(AND(ISNUMBER(N2108),ISNUMBER(P2108))),"",(P2108-N2108)*1440)</f>
        <v/>
      </c>
      <c r="X2108" s="28" t="n"/>
      <c r="Y2108" s="28" t="n"/>
      <c r="Z2108" s="28" t="n"/>
      <c r="AA2108" s="31" t="n"/>
      <c r="AB2108" s="31" t="n"/>
    </row>
    <row r="2109">
      <c r="A2109" s="25" t="inlineStr">
        <is>
          <t>S41</t>
        </is>
      </c>
      <c r="B2109" s="25" t="inlineStr">
        <is>
          <t>거제</t>
        </is>
      </c>
      <c r="C2109" s="25" t="inlineStr">
        <is>
          <t>S41-H서</t>
        </is>
      </c>
      <c r="D2109" s="25" t="inlineStr">
        <is>
          <t>측정</t>
        </is>
      </c>
      <c r="E2109" s="25" t="inlineStr">
        <is>
          <t>서</t>
        </is>
      </c>
      <c r="F2109" s="30" t="n">
        <v>10</v>
      </c>
      <c r="G2109" s="29" t="n"/>
      <c r="H2109" s="42" t="n"/>
      <c r="I2109" s="40" t="n"/>
      <c r="J2109" s="40" t="n"/>
      <c r="K2109" s="40" t="n"/>
      <c r="L2109" s="30">
        <f>IF(COUNT(I2109:K2109)=0,"",MEDIAN(I2109:K2109))</f>
        <v/>
      </c>
      <c r="M2109" s="25">
        <f>IF(COUNTIFS($C:$C,$C2109,$D:$D,"P0(전)",$L:$L,"&gt;0")&lt;&gt;1,"P0(전) 유효 1개 아님",IF(COUNTIFS($C:$C,$C2109,$D:$D,"P0(후)",$L:$L,"&gt;0")&lt;&gt;1,"P0(후) 유효 1개 아님",IF(NOT(AND(ISNUMBER(N2109),ISNUMBER(P2109),ISNUMBER(H2109))),"시각 결측",IF(P2109&lt;=N2109,"P0 시각 역전",IF(OR(H2109&lt;N2109,H2109&gt;P2109),"측정시각 구간 밖","OK")))))</f>
        <v/>
      </c>
      <c r="N2109" s="45">
        <f>IF(COUNTIFS($C:$C,$C2109,$D:$D,"P0(전)",$L:$L,"&gt;0")&lt;&gt;1,"",SUMIFS($H:$H,$C:$C,$C2109,$D:$D,"P0(전)"))</f>
        <v/>
      </c>
      <c r="O2109" s="30">
        <f>IF(COUNTIFS($C:$C,$C2109,$D:$D,"P0(전)",$L:$L,"&gt;0")&lt;&gt;1,"",SUMIFS($L:$L,$C:$C,$C2109,$D:$D,"P0(전)"))</f>
        <v/>
      </c>
      <c r="P2109" s="45">
        <f>IF(COUNTIFS($C:$C,$C2109,$D:$D,"P0(후)",$L:$L,"&gt;0")&lt;&gt;1,"",SUMIFS($H:$H,$C:$C,$C2109,$D:$D,"P0(후)"))</f>
        <v/>
      </c>
      <c r="Q2109" s="30">
        <f>IF(COUNTIFS($C:$C,$C2109,$D:$D,"P0(후)",$L:$L,"&gt;0")&lt;&gt;1,"",SUMIFS($L:$L,$C:$C,$C2109,$D:$D,"P0(후)"))</f>
        <v/>
      </c>
      <c r="R2109" s="30">
        <f>IF(M2109&lt;&gt;"OK","",O2109+(Q2109-O2109)*(H2109-N2109)/(P2109-N2109))</f>
        <v/>
      </c>
      <c r="S2109" s="30">
        <f>IF(OR(M2109&lt;&gt;"OK",NOT(ISNUMBER(L2109))),"",L2109-R2109)</f>
        <v/>
      </c>
      <c r="T2109" s="46">
        <f>IF(OR(NOT(ISNUMBER(S2109)),IF(ISNUMBER(G2109),G2109,F2109)=0),"",S2109/IF(ISNUMBER(G2109),G2109,F2109))</f>
        <v/>
      </c>
      <c r="U2109" s="46">
        <f>IF(ISNUMBER(T2109),ABS(T2109),"")</f>
        <v/>
      </c>
      <c r="V2109" s="46">
        <f>IF(OR($D2108&lt;&gt;"측정",$C2108&lt;&gt;$C2109,NOT(ISNUMBER(L2109)),NOT(ISNUMBER(L2108)),(IF(ISNUMBER(G2109),G2109,F2109)-IF(ISNUMBER(G2108),G2108,F2108))=0),"",(L2109-L2108)/(IF(ISNUMBER(G2109),G2109,F2109)-IF(ISNUMBER(G2108),G2108,F2108)))</f>
        <v/>
      </c>
      <c r="W2109" s="30">
        <f>IF(NOT(AND(ISNUMBER(N2109),ISNUMBER(P2109))),"",(P2109-N2109)*1440)</f>
        <v/>
      </c>
      <c r="X2109" s="28" t="n"/>
      <c r="Y2109" s="28" t="n"/>
      <c r="Z2109" s="28" t="n"/>
      <c r="AA2109" s="31" t="n"/>
      <c r="AB2109" s="31" t="n"/>
    </row>
    <row r="2110">
      <c r="A2110" s="43" t="inlineStr">
        <is>
          <t>S41</t>
        </is>
      </c>
      <c r="B2110" s="43" t="inlineStr">
        <is>
          <t>거제</t>
        </is>
      </c>
      <c r="C2110" s="43" t="inlineStr">
        <is>
          <t>S41-H서</t>
        </is>
      </c>
      <c r="D2110" s="43" t="inlineStr">
        <is>
          <t>P0(후)</t>
        </is>
      </c>
      <c r="E2110" s="43" t="inlineStr">
        <is>
          <t>서</t>
        </is>
      </c>
      <c r="F2110" s="44" t="n"/>
      <c r="G2110" s="29" t="n"/>
      <c r="H2110" s="42" t="n"/>
      <c r="I2110" s="40" t="n"/>
      <c r="J2110" s="40" t="n"/>
      <c r="K2110" s="40" t="n"/>
      <c r="L2110" s="30">
        <f>IF(COUNT(I2110:K2110)=0,"",MEDIAN(I2110:K2110))</f>
        <v/>
      </c>
      <c r="M2110" s="37" t="n"/>
      <c r="N2110" s="37" t="n"/>
      <c r="O2110" s="37" t="n"/>
      <c r="P2110" s="37" t="n"/>
      <c r="Q2110" s="37" t="n"/>
      <c r="R2110" s="37" t="n"/>
      <c r="S2110" s="37" t="n"/>
      <c r="T2110" s="37" t="n"/>
      <c r="U2110" s="37" t="n"/>
      <c r="V2110" s="37" t="n"/>
      <c r="W2110" s="37" t="n"/>
      <c r="X2110" s="28" t="n"/>
      <c r="Y2110" s="28" t="n"/>
      <c r="Z2110" s="28" t="n"/>
      <c r="AA2110" s="31" t="n"/>
      <c r="AB2110" s="31" t="n"/>
    </row>
    <row r="2111">
      <c r="A2111" s="43" t="inlineStr">
        <is>
          <t>S41</t>
        </is>
      </c>
      <c r="B2111" s="43" t="inlineStr">
        <is>
          <t>거제</t>
        </is>
      </c>
      <c r="C2111" s="43" t="inlineStr">
        <is>
          <t>S41-H남</t>
        </is>
      </c>
      <c r="D2111" s="43" t="inlineStr">
        <is>
          <t>P0(전)</t>
        </is>
      </c>
      <c r="E2111" s="43" t="inlineStr">
        <is>
          <t>남</t>
        </is>
      </c>
      <c r="F2111" s="44" t="n"/>
      <c r="G2111" s="29" t="n"/>
      <c r="H2111" s="42" t="n"/>
      <c r="I2111" s="40" t="n"/>
      <c r="J2111" s="40" t="n"/>
      <c r="K2111" s="40" t="n"/>
      <c r="L2111" s="30">
        <f>IF(COUNT(I2111:K2111)=0,"",MEDIAN(I2111:K2111))</f>
        <v/>
      </c>
      <c r="M2111" s="37" t="n"/>
      <c r="N2111" s="37" t="n"/>
      <c r="O2111" s="37" t="n"/>
      <c r="P2111" s="37" t="n"/>
      <c r="Q2111" s="37" t="n"/>
      <c r="R2111" s="37" t="n"/>
      <c r="S2111" s="37" t="n"/>
      <c r="T2111" s="37" t="n"/>
      <c r="U2111" s="37" t="n"/>
      <c r="V2111" s="37" t="n"/>
      <c r="W2111" s="37" t="n"/>
      <c r="X2111" s="28" t="n"/>
      <c r="Y2111" s="28" t="n"/>
      <c r="Z2111" s="28" t="n"/>
      <c r="AA2111" s="31" t="n"/>
      <c r="AB2111" s="31" t="n"/>
    </row>
    <row r="2112">
      <c r="A2112" s="25" t="inlineStr">
        <is>
          <t>S41</t>
        </is>
      </c>
      <c r="B2112" s="25" t="inlineStr">
        <is>
          <t>거제</t>
        </is>
      </c>
      <c r="C2112" s="25" t="inlineStr">
        <is>
          <t>S41-H남</t>
        </is>
      </c>
      <c r="D2112" s="25" t="inlineStr">
        <is>
          <t>측정</t>
        </is>
      </c>
      <c r="E2112" s="25" t="inlineStr">
        <is>
          <t>남</t>
        </is>
      </c>
      <c r="F2112" s="30" t="n">
        <v>0.5</v>
      </c>
      <c r="G2112" s="29" t="n"/>
      <c r="H2112" s="42" t="n"/>
      <c r="I2112" s="40" t="n"/>
      <c r="J2112" s="40" t="n"/>
      <c r="K2112" s="40" t="n"/>
      <c r="L2112" s="30">
        <f>IF(COUNT(I2112:K2112)=0,"",MEDIAN(I2112:K2112))</f>
        <v/>
      </c>
      <c r="M2112" s="25">
        <f>IF(COUNTIFS($C:$C,$C2112,$D:$D,"P0(전)",$L:$L,"&gt;0")&lt;&gt;1,"P0(전) 유효 1개 아님",IF(COUNTIFS($C:$C,$C2112,$D:$D,"P0(후)",$L:$L,"&gt;0")&lt;&gt;1,"P0(후) 유효 1개 아님",IF(NOT(AND(ISNUMBER(N2112),ISNUMBER(P2112),ISNUMBER(H2112))),"시각 결측",IF(P2112&lt;=N2112,"P0 시각 역전",IF(OR(H2112&lt;N2112,H2112&gt;P2112),"측정시각 구간 밖","OK")))))</f>
        <v/>
      </c>
      <c r="N2112" s="45">
        <f>IF(COUNTIFS($C:$C,$C2112,$D:$D,"P0(전)",$L:$L,"&gt;0")&lt;&gt;1,"",SUMIFS($H:$H,$C:$C,$C2112,$D:$D,"P0(전)"))</f>
        <v/>
      </c>
      <c r="O2112" s="30">
        <f>IF(COUNTIFS($C:$C,$C2112,$D:$D,"P0(전)",$L:$L,"&gt;0")&lt;&gt;1,"",SUMIFS($L:$L,$C:$C,$C2112,$D:$D,"P0(전)"))</f>
        <v/>
      </c>
      <c r="P2112" s="45">
        <f>IF(COUNTIFS($C:$C,$C2112,$D:$D,"P0(후)",$L:$L,"&gt;0")&lt;&gt;1,"",SUMIFS($H:$H,$C:$C,$C2112,$D:$D,"P0(후)"))</f>
        <v/>
      </c>
      <c r="Q2112" s="30">
        <f>IF(COUNTIFS($C:$C,$C2112,$D:$D,"P0(후)",$L:$L,"&gt;0")&lt;&gt;1,"",SUMIFS($L:$L,$C:$C,$C2112,$D:$D,"P0(후)"))</f>
        <v/>
      </c>
      <c r="R2112" s="30">
        <f>IF(M2112&lt;&gt;"OK","",O2112+(Q2112-O2112)*(H2112-N2112)/(P2112-N2112))</f>
        <v/>
      </c>
      <c r="S2112" s="30">
        <f>IF(OR(M2112&lt;&gt;"OK",NOT(ISNUMBER(L2112))),"",L2112-R2112)</f>
        <v/>
      </c>
      <c r="T2112" s="46">
        <f>IF(OR(NOT(ISNUMBER(S2112)),IF(ISNUMBER(G2112),G2112,F2112)=0),"",S2112/IF(ISNUMBER(G2112),G2112,F2112))</f>
        <v/>
      </c>
      <c r="U2112" s="46">
        <f>IF(ISNUMBER(T2112),ABS(T2112),"")</f>
        <v/>
      </c>
      <c r="V2112" s="46">
        <f>IF(OR($D2111&lt;&gt;"측정",$C2111&lt;&gt;$C2112,NOT(ISNUMBER(L2112)),NOT(ISNUMBER(L2111)),(IF(ISNUMBER(G2112),G2112,F2112)-IF(ISNUMBER(G2111),G2111,F2111))=0),"",(L2112-L2111)/(IF(ISNUMBER(G2112),G2112,F2112)-IF(ISNUMBER(G2111),G2111,F2111)))</f>
        <v/>
      </c>
      <c r="W2112" s="30">
        <f>IF(NOT(AND(ISNUMBER(N2112),ISNUMBER(P2112))),"",(P2112-N2112)*1440)</f>
        <v/>
      </c>
      <c r="X2112" s="28" t="n"/>
      <c r="Y2112" s="28" t="n"/>
      <c r="Z2112" s="28" t="n"/>
      <c r="AA2112" s="31" t="n"/>
      <c r="AB2112" s="31" t="n"/>
    </row>
    <row r="2113">
      <c r="A2113" s="25" t="inlineStr">
        <is>
          <t>S41</t>
        </is>
      </c>
      <c r="B2113" s="25" t="inlineStr">
        <is>
          <t>거제</t>
        </is>
      </c>
      <c r="C2113" s="25" t="inlineStr">
        <is>
          <t>S41-H남</t>
        </is>
      </c>
      <c r="D2113" s="25" t="inlineStr">
        <is>
          <t>측정</t>
        </is>
      </c>
      <c r="E2113" s="25" t="inlineStr">
        <is>
          <t>남</t>
        </is>
      </c>
      <c r="F2113" s="30" t="n">
        <v>1</v>
      </c>
      <c r="G2113" s="29" t="n"/>
      <c r="H2113" s="42" t="n"/>
      <c r="I2113" s="40" t="n"/>
      <c r="J2113" s="40" t="n"/>
      <c r="K2113" s="40" t="n"/>
      <c r="L2113" s="30">
        <f>IF(COUNT(I2113:K2113)=0,"",MEDIAN(I2113:K2113))</f>
        <v/>
      </c>
      <c r="M2113" s="25">
        <f>IF(COUNTIFS($C:$C,$C2113,$D:$D,"P0(전)",$L:$L,"&gt;0")&lt;&gt;1,"P0(전) 유효 1개 아님",IF(COUNTIFS($C:$C,$C2113,$D:$D,"P0(후)",$L:$L,"&gt;0")&lt;&gt;1,"P0(후) 유효 1개 아님",IF(NOT(AND(ISNUMBER(N2113),ISNUMBER(P2113),ISNUMBER(H2113))),"시각 결측",IF(P2113&lt;=N2113,"P0 시각 역전",IF(OR(H2113&lt;N2113,H2113&gt;P2113),"측정시각 구간 밖","OK")))))</f>
        <v/>
      </c>
      <c r="N2113" s="45">
        <f>IF(COUNTIFS($C:$C,$C2113,$D:$D,"P0(전)",$L:$L,"&gt;0")&lt;&gt;1,"",SUMIFS($H:$H,$C:$C,$C2113,$D:$D,"P0(전)"))</f>
        <v/>
      </c>
      <c r="O2113" s="30">
        <f>IF(COUNTIFS($C:$C,$C2113,$D:$D,"P0(전)",$L:$L,"&gt;0")&lt;&gt;1,"",SUMIFS($L:$L,$C:$C,$C2113,$D:$D,"P0(전)"))</f>
        <v/>
      </c>
      <c r="P2113" s="45">
        <f>IF(COUNTIFS($C:$C,$C2113,$D:$D,"P0(후)",$L:$L,"&gt;0")&lt;&gt;1,"",SUMIFS($H:$H,$C:$C,$C2113,$D:$D,"P0(후)"))</f>
        <v/>
      </c>
      <c r="Q2113" s="30">
        <f>IF(COUNTIFS($C:$C,$C2113,$D:$D,"P0(후)",$L:$L,"&gt;0")&lt;&gt;1,"",SUMIFS($L:$L,$C:$C,$C2113,$D:$D,"P0(후)"))</f>
        <v/>
      </c>
      <c r="R2113" s="30">
        <f>IF(M2113&lt;&gt;"OK","",O2113+(Q2113-O2113)*(H2113-N2113)/(P2113-N2113))</f>
        <v/>
      </c>
      <c r="S2113" s="30">
        <f>IF(OR(M2113&lt;&gt;"OK",NOT(ISNUMBER(L2113))),"",L2113-R2113)</f>
        <v/>
      </c>
      <c r="T2113" s="46">
        <f>IF(OR(NOT(ISNUMBER(S2113)),IF(ISNUMBER(G2113),G2113,F2113)=0),"",S2113/IF(ISNUMBER(G2113),G2113,F2113))</f>
        <v/>
      </c>
      <c r="U2113" s="46">
        <f>IF(ISNUMBER(T2113),ABS(T2113),"")</f>
        <v/>
      </c>
      <c r="V2113" s="46">
        <f>IF(OR($D2112&lt;&gt;"측정",$C2112&lt;&gt;$C2113,NOT(ISNUMBER(L2113)),NOT(ISNUMBER(L2112)),(IF(ISNUMBER(G2113),G2113,F2113)-IF(ISNUMBER(G2112),G2112,F2112))=0),"",(L2113-L2112)/(IF(ISNUMBER(G2113),G2113,F2113)-IF(ISNUMBER(G2112),G2112,F2112)))</f>
        <v/>
      </c>
      <c r="W2113" s="30">
        <f>IF(NOT(AND(ISNUMBER(N2113),ISNUMBER(P2113))),"",(P2113-N2113)*1440)</f>
        <v/>
      </c>
      <c r="X2113" s="28" t="n"/>
      <c r="Y2113" s="28" t="n"/>
      <c r="Z2113" s="28" t="n"/>
      <c r="AA2113" s="31" t="n"/>
      <c r="AB2113" s="31" t="n"/>
    </row>
    <row r="2114">
      <c r="A2114" s="25" t="inlineStr">
        <is>
          <t>S41</t>
        </is>
      </c>
      <c r="B2114" s="25" t="inlineStr">
        <is>
          <t>거제</t>
        </is>
      </c>
      <c r="C2114" s="25" t="inlineStr">
        <is>
          <t>S41-H남</t>
        </is>
      </c>
      <c r="D2114" s="25" t="inlineStr">
        <is>
          <t>측정</t>
        </is>
      </c>
      <c r="E2114" s="25" t="inlineStr">
        <is>
          <t>남</t>
        </is>
      </c>
      <c r="F2114" s="30" t="n">
        <v>2</v>
      </c>
      <c r="G2114" s="29" t="n"/>
      <c r="H2114" s="42" t="n"/>
      <c r="I2114" s="40" t="n"/>
      <c r="J2114" s="40" t="n"/>
      <c r="K2114" s="40" t="n"/>
      <c r="L2114" s="30">
        <f>IF(COUNT(I2114:K2114)=0,"",MEDIAN(I2114:K2114))</f>
        <v/>
      </c>
      <c r="M2114" s="25">
        <f>IF(COUNTIFS($C:$C,$C2114,$D:$D,"P0(전)",$L:$L,"&gt;0")&lt;&gt;1,"P0(전) 유효 1개 아님",IF(COUNTIFS($C:$C,$C2114,$D:$D,"P0(후)",$L:$L,"&gt;0")&lt;&gt;1,"P0(후) 유효 1개 아님",IF(NOT(AND(ISNUMBER(N2114),ISNUMBER(P2114),ISNUMBER(H2114))),"시각 결측",IF(P2114&lt;=N2114,"P0 시각 역전",IF(OR(H2114&lt;N2114,H2114&gt;P2114),"측정시각 구간 밖","OK")))))</f>
        <v/>
      </c>
      <c r="N2114" s="45">
        <f>IF(COUNTIFS($C:$C,$C2114,$D:$D,"P0(전)",$L:$L,"&gt;0")&lt;&gt;1,"",SUMIFS($H:$H,$C:$C,$C2114,$D:$D,"P0(전)"))</f>
        <v/>
      </c>
      <c r="O2114" s="30">
        <f>IF(COUNTIFS($C:$C,$C2114,$D:$D,"P0(전)",$L:$L,"&gt;0")&lt;&gt;1,"",SUMIFS($L:$L,$C:$C,$C2114,$D:$D,"P0(전)"))</f>
        <v/>
      </c>
      <c r="P2114" s="45">
        <f>IF(COUNTIFS($C:$C,$C2114,$D:$D,"P0(후)",$L:$L,"&gt;0")&lt;&gt;1,"",SUMIFS($H:$H,$C:$C,$C2114,$D:$D,"P0(후)"))</f>
        <v/>
      </c>
      <c r="Q2114" s="30">
        <f>IF(COUNTIFS($C:$C,$C2114,$D:$D,"P0(후)",$L:$L,"&gt;0")&lt;&gt;1,"",SUMIFS($L:$L,$C:$C,$C2114,$D:$D,"P0(후)"))</f>
        <v/>
      </c>
      <c r="R2114" s="30">
        <f>IF(M2114&lt;&gt;"OK","",O2114+(Q2114-O2114)*(H2114-N2114)/(P2114-N2114))</f>
        <v/>
      </c>
      <c r="S2114" s="30">
        <f>IF(OR(M2114&lt;&gt;"OK",NOT(ISNUMBER(L2114))),"",L2114-R2114)</f>
        <v/>
      </c>
      <c r="T2114" s="46">
        <f>IF(OR(NOT(ISNUMBER(S2114)),IF(ISNUMBER(G2114),G2114,F2114)=0),"",S2114/IF(ISNUMBER(G2114),G2114,F2114))</f>
        <v/>
      </c>
      <c r="U2114" s="46">
        <f>IF(ISNUMBER(T2114),ABS(T2114),"")</f>
        <v/>
      </c>
      <c r="V2114" s="46">
        <f>IF(OR($D2113&lt;&gt;"측정",$C2113&lt;&gt;$C2114,NOT(ISNUMBER(L2114)),NOT(ISNUMBER(L2113)),(IF(ISNUMBER(G2114),G2114,F2114)-IF(ISNUMBER(G2113),G2113,F2113))=0),"",(L2114-L2113)/(IF(ISNUMBER(G2114),G2114,F2114)-IF(ISNUMBER(G2113),G2113,F2113)))</f>
        <v/>
      </c>
      <c r="W2114" s="30">
        <f>IF(NOT(AND(ISNUMBER(N2114),ISNUMBER(P2114))),"",(P2114-N2114)*1440)</f>
        <v/>
      </c>
      <c r="X2114" s="28" t="n"/>
      <c r="Y2114" s="28" t="n"/>
      <c r="Z2114" s="28" t="n"/>
      <c r="AA2114" s="31" t="n"/>
      <c r="AB2114" s="31" t="n"/>
    </row>
    <row r="2115">
      <c r="A2115" s="25" t="inlineStr">
        <is>
          <t>S41</t>
        </is>
      </c>
      <c r="B2115" s="25" t="inlineStr">
        <is>
          <t>거제</t>
        </is>
      </c>
      <c r="C2115" s="25" t="inlineStr">
        <is>
          <t>S41-H남</t>
        </is>
      </c>
      <c r="D2115" s="25" t="inlineStr">
        <is>
          <t>측정</t>
        </is>
      </c>
      <c r="E2115" s="25" t="inlineStr">
        <is>
          <t>남</t>
        </is>
      </c>
      <c r="F2115" s="30" t="n">
        <v>3</v>
      </c>
      <c r="G2115" s="29" t="n"/>
      <c r="H2115" s="42" t="n"/>
      <c r="I2115" s="40" t="n"/>
      <c r="J2115" s="40" t="n"/>
      <c r="K2115" s="40" t="n"/>
      <c r="L2115" s="30">
        <f>IF(COUNT(I2115:K2115)=0,"",MEDIAN(I2115:K2115))</f>
        <v/>
      </c>
      <c r="M2115" s="25">
        <f>IF(COUNTIFS($C:$C,$C2115,$D:$D,"P0(전)",$L:$L,"&gt;0")&lt;&gt;1,"P0(전) 유효 1개 아님",IF(COUNTIFS($C:$C,$C2115,$D:$D,"P0(후)",$L:$L,"&gt;0")&lt;&gt;1,"P0(후) 유효 1개 아님",IF(NOT(AND(ISNUMBER(N2115),ISNUMBER(P2115),ISNUMBER(H2115))),"시각 결측",IF(P2115&lt;=N2115,"P0 시각 역전",IF(OR(H2115&lt;N2115,H2115&gt;P2115),"측정시각 구간 밖","OK")))))</f>
        <v/>
      </c>
      <c r="N2115" s="45">
        <f>IF(COUNTIFS($C:$C,$C2115,$D:$D,"P0(전)",$L:$L,"&gt;0")&lt;&gt;1,"",SUMIFS($H:$H,$C:$C,$C2115,$D:$D,"P0(전)"))</f>
        <v/>
      </c>
      <c r="O2115" s="30">
        <f>IF(COUNTIFS($C:$C,$C2115,$D:$D,"P0(전)",$L:$L,"&gt;0")&lt;&gt;1,"",SUMIFS($L:$L,$C:$C,$C2115,$D:$D,"P0(전)"))</f>
        <v/>
      </c>
      <c r="P2115" s="45">
        <f>IF(COUNTIFS($C:$C,$C2115,$D:$D,"P0(후)",$L:$L,"&gt;0")&lt;&gt;1,"",SUMIFS($H:$H,$C:$C,$C2115,$D:$D,"P0(후)"))</f>
        <v/>
      </c>
      <c r="Q2115" s="30">
        <f>IF(COUNTIFS($C:$C,$C2115,$D:$D,"P0(후)",$L:$L,"&gt;0")&lt;&gt;1,"",SUMIFS($L:$L,$C:$C,$C2115,$D:$D,"P0(후)"))</f>
        <v/>
      </c>
      <c r="R2115" s="30">
        <f>IF(M2115&lt;&gt;"OK","",O2115+(Q2115-O2115)*(H2115-N2115)/(P2115-N2115))</f>
        <v/>
      </c>
      <c r="S2115" s="30">
        <f>IF(OR(M2115&lt;&gt;"OK",NOT(ISNUMBER(L2115))),"",L2115-R2115)</f>
        <v/>
      </c>
      <c r="T2115" s="46">
        <f>IF(OR(NOT(ISNUMBER(S2115)),IF(ISNUMBER(G2115),G2115,F2115)=0),"",S2115/IF(ISNUMBER(G2115),G2115,F2115))</f>
        <v/>
      </c>
      <c r="U2115" s="46">
        <f>IF(ISNUMBER(T2115),ABS(T2115),"")</f>
        <v/>
      </c>
      <c r="V2115" s="46">
        <f>IF(OR($D2114&lt;&gt;"측정",$C2114&lt;&gt;$C2115,NOT(ISNUMBER(L2115)),NOT(ISNUMBER(L2114)),(IF(ISNUMBER(G2115),G2115,F2115)-IF(ISNUMBER(G2114),G2114,F2114))=0),"",(L2115-L2114)/(IF(ISNUMBER(G2115),G2115,F2115)-IF(ISNUMBER(G2114),G2114,F2114)))</f>
        <v/>
      </c>
      <c r="W2115" s="30">
        <f>IF(NOT(AND(ISNUMBER(N2115),ISNUMBER(P2115))),"",(P2115-N2115)*1440)</f>
        <v/>
      </c>
      <c r="X2115" s="28" t="n"/>
      <c r="Y2115" s="28" t="n"/>
      <c r="Z2115" s="28" t="n"/>
      <c r="AA2115" s="31" t="n"/>
      <c r="AB2115" s="31" t="n"/>
    </row>
    <row r="2116">
      <c r="A2116" s="25" t="inlineStr">
        <is>
          <t>S41</t>
        </is>
      </c>
      <c r="B2116" s="25" t="inlineStr">
        <is>
          <t>거제</t>
        </is>
      </c>
      <c r="C2116" s="25" t="inlineStr">
        <is>
          <t>S41-H남</t>
        </is>
      </c>
      <c r="D2116" s="25" t="inlineStr">
        <is>
          <t>측정</t>
        </is>
      </c>
      <c r="E2116" s="25" t="inlineStr">
        <is>
          <t>남</t>
        </is>
      </c>
      <c r="F2116" s="30" t="n">
        <v>4</v>
      </c>
      <c r="G2116" s="29" t="n"/>
      <c r="H2116" s="42" t="n"/>
      <c r="I2116" s="40" t="n"/>
      <c r="J2116" s="40" t="n"/>
      <c r="K2116" s="40" t="n"/>
      <c r="L2116" s="30">
        <f>IF(COUNT(I2116:K2116)=0,"",MEDIAN(I2116:K2116))</f>
        <v/>
      </c>
      <c r="M2116" s="25">
        <f>IF(COUNTIFS($C:$C,$C2116,$D:$D,"P0(전)",$L:$L,"&gt;0")&lt;&gt;1,"P0(전) 유효 1개 아님",IF(COUNTIFS($C:$C,$C2116,$D:$D,"P0(후)",$L:$L,"&gt;0")&lt;&gt;1,"P0(후) 유효 1개 아님",IF(NOT(AND(ISNUMBER(N2116),ISNUMBER(P2116),ISNUMBER(H2116))),"시각 결측",IF(P2116&lt;=N2116,"P0 시각 역전",IF(OR(H2116&lt;N2116,H2116&gt;P2116),"측정시각 구간 밖","OK")))))</f>
        <v/>
      </c>
      <c r="N2116" s="45">
        <f>IF(COUNTIFS($C:$C,$C2116,$D:$D,"P0(전)",$L:$L,"&gt;0")&lt;&gt;1,"",SUMIFS($H:$H,$C:$C,$C2116,$D:$D,"P0(전)"))</f>
        <v/>
      </c>
      <c r="O2116" s="30">
        <f>IF(COUNTIFS($C:$C,$C2116,$D:$D,"P0(전)",$L:$L,"&gt;0")&lt;&gt;1,"",SUMIFS($L:$L,$C:$C,$C2116,$D:$D,"P0(전)"))</f>
        <v/>
      </c>
      <c r="P2116" s="45">
        <f>IF(COUNTIFS($C:$C,$C2116,$D:$D,"P0(후)",$L:$L,"&gt;0")&lt;&gt;1,"",SUMIFS($H:$H,$C:$C,$C2116,$D:$D,"P0(후)"))</f>
        <v/>
      </c>
      <c r="Q2116" s="30">
        <f>IF(COUNTIFS($C:$C,$C2116,$D:$D,"P0(후)",$L:$L,"&gt;0")&lt;&gt;1,"",SUMIFS($L:$L,$C:$C,$C2116,$D:$D,"P0(후)"))</f>
        <v/>
      </c>
      <c r="R2116" s="30">
        <f>IF(M2116&lt;&gt;"OK","",O2116+(Q2116-O2116)*(H2116-N2116)/(P2116-N2116))</f>
        <v/>
      </c>
      <c r="S2116" s="30">
        <f>IF(OR(M2116&lt;&gt;"OK",NOT(ISNUMBER(L2116))),"",L2116-R2116)</f>
        <v/>
      </c>
      <c r="T2116" s="46">
        <f>IF(OR(NOT(ISNUMBER(S2116)),IF(ISNUMBER(G2116),G2116,F2116)=0),"",S2116/IF(ISNUMBER(G2116),G2116,F2116))</f>
        <v/>
      </c>
      <c r="U2116" s="46">
        <f>IF(ISNUMBER(T2116),ABS(T2116),"")</f>
        <v/>
      </c>
      <c r="V2116" s="46">
        <f>IF(OR($D2115&lt;&gt;"측정",$C2115&lt;&gt;$C2116,NOT(ISNUMBER(L2116)),NOT(ISNUMBER(L2115)),(IF(ISNUMBER(G2116),G2116,F2116)-IF(ISNUMBER(G2115),G2115,F2115))=0),"",(L2116-L2115)/(IF(ISNUMBER(G2116),G2116,F2116)-IF(ISNUMBER(G2115),G2115,F2115)))</f>
        <v/>
      </c>
      <c r="W2116" s="30">
        <f>IF(NOT(AND(ISNUMBER(N2116),ISNUMBER(P2116))),"",(P2116-N2116)*1440)</f>
        <v/>
      </c>
      <c r="X2116" s="28" t="n"/>
      <c r="Y2116" s="28" t="n"/>
      <c r="Z2116" s="28" t="n"/>
      <c r="AA2116" s="31" t="n"/>
      <c r="AB2116" s="31" t="n"/>
    </row>
    <row r="2117">
      <c r="A2117" s="25" t="inlineStr">
        <is>
          <t>S41</t>
        </is>
      </c>
      <c r="B2117" s="25" t="inlineStr">
        <is>
          <t>거제</t>
        </is>
      </c>
      <c r="C2117" s="25" t="inlineStr">
        <is>
          <t>S41-H남</t>
        </is>
      </c>
      <c r="D2117" s="25" t="inlineStr">
        <is>
          <t>측정</t>
        </is>
      </c>
      <c r="E2117" s="25" t="inlineStr">
        <is>
          <t>남</t>
        </is>
      </c>
      <c r="F2117" s="30" t="n">
        <v>5</v>
      </c>
      <c r="G2117" s="29" t="n"/>
      <c r="H2117" s="42" t="n"/>
      <c r="I2117" s="40" t="n"/>
      <c r="J2117" s="40" t="n"/>
      <c r="K2117" s="40" t="n"/>
      <c r="L2117" s="30">
        <f>IF(COUNT(I2117:K2117)=0,"",MEDIAN(I2117:K2117))</f>
        <v/>
      </c>
      <c r="M2117" s="25">
        <f>IF(COUNTIFS($C:$C,$C2117,$D:$D,"P0(전)",$L:$L,"&gt;0")&lt;&gt;1,"P0(전) 유효 1개 아님",IF(COUNTIFS($C:$C,$C2117,$D:$D,"P0(후)",$L:$L,"&gt;0")&lt;&gt;1,"P0(후) 유효 1개 아님",IF(NOT(AND(ISNUMBER(N2117),ISNUMBER(P2117),ISNUMBER(H2117))),"시각 결측",IF(P2117&lt;=N2117,"P0 시각 역전",IF(OR(H2117&lt;N2117,H2117&gt;P2117),"측정시각 구간 밖","OK")))))</f>
        <v/>
      </c>
      <c r="N2117" s="45">
        <f>IF(COUNTIFS($C:$C,$C2117,$D:$D,"P0(전)",$L:$L,"&gt;0")&lt;&gt;1,"",SUMIFS($H:$H,$C:$C,$C2117,$D:$D,"P0(전)"))</f>
        <v/>
      </c>
      <c r="O2117" s="30">
        <f>IF(COUNTIFS($C:$C,$C2117,$D:$D,"P0(전)",$L:$L,"&gt;0")&lt;&gt;1,"",SUMIFS($L:$L,$C:$C,$C2117,$D:$D,"P0(전)"))</f>
        <v/>
      </c>
      <c r="P2117" s="45">
        <f>IF(COUNTIFS($C:$C,$C2117,$D:$D,"P0(후)",$L:$L,"&gt;0")&lt;&gt;1,"",SUMIFS($H:$H,$C:$C,$C2117,$D:$D,"P0(후)"))</f>
        <v/>
      </c>
      <c r="Q2117" s="30">
        <f>IF(COUNTIFS($C:$C,$C2117,$D:$D,"P0(후)",$L:$L,"&gt;0")&lt;&gt;1,"",SUMIFS($L:$L,$C:$C,$C2117,$D:$D,"P0(후)"))</f>
        <v/>
      </c>
      <c r="R2117" s="30">
        <f>IF(M2117&lt;&gt;"OK","",O2117+(Q2117-O2117)*(H2117-N2117)/(P2117-N2117))</f>
        <v/>
      </c>
      <c r="S2117" s="30">
        <f>IF(OR(M2117&lt;&gt;"OK",NOT(ISNUMBER(L2117))),"",L2117-R2117)</f>
        <v/>
      </c>
      <c r="T2117" s="46">
        <f>IF(OR(NOT(ISNUMBER(S2117)),IF(ISNUMBER(G2117),G2117,F2117)=0),"",S2117/IF(ISNUMBER(G2117),G2117,F2117))</f>
        <v/>
      </c>
      <c r="U2117" s="46">
        <f>IF(ISNUMBER(T2117),ABS(T2117),"")</f>
        <v/>
      </c>
      <c r="V2117" s="46">
        <f>IF(OR($D2116&lt;&gt;"측정",$C2116&lt;&gt;$C2117,NOT(ISNUMBER(L2117)),NOT(ISNUMBER(L2116)),(IF(ISNUMBER(G2117),G2117,F2117)-IF(ISNUMBER(G2116),G2116,F2116))=0),"",(L2117-L2116)/(IF(ISNUMBER(G2117),G2117,F2117)-IF(ISNUMBER(G2116),G2116,F2116)))</f>
        <v/>
      </c>
      <c r="W2117" s="30">
        <f>IF(NOT(AND(ISNUMBER(N2117),ISNUMBER(P2117))),"",(P2117-N2117)*1440)</f>
        <v/>
      </c>
      <c r="X2117" s="28" t="n"/>
      <c r="Y2117" s="28" t="n"/>
      <c r="Z2117" s="28" t="n"/>
      <c r="AA2117" s="31" t="n"/>
      <c r="AB2117" s="31" t="n"/>
    </row>
    <row r="2118">
      <c r="A2118" s="25" t="inlineStr">
        <is>
          <t>S41</t>
        </is>
      </c>
      <c r="B2118" s="25" t="inlineStr">
        <is>
          <t>거제</t>
        </is>
      </c>
      <c r="C2118" s="25" t="inlineStr">
        <is>
          <t>S41-H남</t>
        </is>
      </c>
      <c r="D2118" s="25" t="inlineStr">
        <is>
          <t>측정</t>
        </is>
      </c>
      <c r="E2118" s="25" t="inlineStr">
        <is>
          <t>남</t>
        </is>
      </c>
      <c r="F2118" s="30" t="n">
        <v>6</v>
      </c>
      <c r="G2118" s="29" t="n"/>
      <c r="H2118" s="42" t="n"/>
      <c r="I2118" s="40" t="n"/>
      <c r="J2118" s="40" t="n"/>
      <c r="K2118" s="40" t="n"/>
      <c r="L2118" s="30">
        <f>IF(COUNT(I2118:K2118)=0,"",MEDIAN(I2118:K2118))</f>
        <v/>
      </c>
      <c r="M2118" s="25">
        <f>IF(COUNTIFS($C:$C,$C2118,$D:$D,"P0(전)",$L:$L,"&gt;0")&lt;&gt;1,"P0(전) 유효 1개 아님",IF(COUNTIFS($C:$C,$C2118,$D:$D,"P0(후)",$L:$L,"&gt;0")&lt;&gt;1,"P0(후) 유효 1개 아님",IF(NOT(AND(ISNUMBER(N2118),ISNUMBER(P2118),ISNUMBER(H2118))),"시각 결측",IF(P2118&lt;=N2118,"P0 시각 역전",IF(OR(H2118&lt;N2118,H2118&gt;P2118),"측정시각 구간 밖","OK")))))</f>
        <v/>
      </c>
      <c r="N2118" s="45">
        <f>IF(COUNTIFS($C:$C,$C2118,$D:$D,"P0(전)",$L:$L,"&gt;0")&lt;&gt;1,"",SUMIFS($H:$H,$C:$C,$C2118,$D:$D,"P0(전)"))</f>
        <v/>
      </c>
      <c r="O2118" s="30">
        <f>IF(COUNTIFS($C:$C,$C2118,$D:$D,"P0(전)",$L:$L,"&gt;0")&lt;&gt;1,"",SUMIFS($L:$L,$C:$C,$C2118,$D:$D,"P0(전)"))</f>
        <v/>
      </c>
      <c r="P2118" s="45">
        <f>IF(COUNTIFS($C:$C,$C2118,$D:$D,"P0(후)",$L:$L,"&gt;0")&lt;&gt;1,"",SUMIFS($H:$H,$C:$C,$C2118,$D:$D,"P0(후)"))</f>
        <v/>
      </c>
      <c r="Q2118" s="30">
        <f>IF(COUNTIFS($C:$C,$C2118,$D:$D,"P0(후)",$L:$L,"&gt;0")&lt;&gt;1,"",SUMIFS($L:$L,$C:$C,$C2118,$D:$D,"P0(후)"))</f>
        <v/>
      </c>
      <c r="R2118" s="30">
        <f>IF(M2118&lt;&gt;"OK","",O2118+(Q2118-O2118)*(H2118-N2118)/(P2118-N2118))</f>
        <v/>
      </c>
      <c r="S2118" s="30">
        <f>IF(OR(M2118&lt;&gt;"OK",NOT(ISNUMBER(L2118))),"",L2118-R2118)</f>
        <v/>
      </c>
      <c r="T2118" s="46">
        <f>IF(OR(NOT(ISNUMBER(S2118)),IF(ISNUMBER(G2118),G2118,F2118)=0),"",S2118/IF(ISNUMBER(G2118),G2118,F2118))</f>
        <v/>
      </c>
      <c r="U2118" s="46">
        <f>IF(ISNUMBER(T2118),ABS(T2118),"")</f>
        <v/>
      </c>
      <c r="V2118" s="46">
        <f>IF(OR($D2117&lt;&gt;"측정",$C2117&lt;&gt;$C2118,NOT(ISNUMBER(L2118)),NOT(ISNUMBER(L2117)),(IF(ISNUMBER(G2118),G2118,F2118)-IF(ISNUMBER(G2117),G2117,F2117))=0),"",(L2118-L2117)/(IF(ISNUMBER(G2118),G2118,F2118)-IF(ISNUMBER(G2117),G2117,F2117)))</f>
        <v/>
      </c>
      <c r="W2118" s="30">
        <f>IF(NOT(AND(ISNUMBER(N2118),ISNUMBER(P2118))),"",(P2118-N2118)*1440)</f>
        <v/>
      </c>
      <c r="X2118" s="28" t="n"/>
      <c r="Y2118" s="28" t="n"/>
      <c r="Z2118" s="28" t="n"/>
      <c r="AA2118" s="31" t="n"/>
      <c r="AB2118" s="31" t="n"/>
    </row>
    <row r="2119">
      <c r="A2119" s="25" t="inlineStr">
        <is>
          <t>S41</t>
        </is>
      </c>
      <c r="B2119" s="25" t="inlineStr">
        <is>
          <t>거제</t>
        </is>
      </c>
      <c r="C2119" s="25" t="inlineStr">
        <is>
          <t>S41-H남</t>
        </is>
      </c>
      <c r="D2119" s="25" t="inlineStr">
        <is>
          <t>측정</t>
        </is>
      </c>
      <c r="E2119" s="25" t="inlineStr">
        <is>
          <t>남</t>
        </is>
      </c>
      <c r="F2119" s="30" t="n">
        <v>7</v>
      </c>
      <c r="G2119" s="29" t="n"/>
      <c r="H2119" s="42" t="n"/>
      <c r="I2119" s="40" t="n"/>
      <c r="J2119" s="40" t="n"/>
      <c r="K2119" s="40" t="n"/>
      <c r="L2119" s="30">
        <f>IF(COUNT(I2119:K2119)=0,"",MEDIAN(I2119:K2119))</f>
        <v/>
      </c>
      <c r="M2119" s="25">
        <f>IF(COUNTIFS($C:$C,$C2119,$D:$D,"P0(전)",$L:$L,"&gt;0")&lt;&gt;1,"P0(전) 유효 1개 아님",IF(COUNTIFS($C:$C,$C2119,$D:$D,"P0(후)",$L:$L,"&gt;0")&lt;&gt;1,"P0(후) 유효 1개 아님",IF(NOT(AND(ISNUMBER(N2119),ISNUMBER(P2119),ISNUMBER(H2119))),"시각 결측",IF(P2119&lt;=N2119,"P0 시각 역전",IF(OR(H2119&lt;N2119,H2119&gt;P2119),"측정시각 구간 밖","OK")))))</f>
        <v/>
      </c>
      <c r="N2119" s="45">
        <f>IF(COUNTIFS($C:$C,$C2119,$D:$D,"P0(전)",$L:$L,"&gt;0")&lt;&gt;1,"",SUMIFS($H:$H,$C:$C,$C2119,$D:$D,"P0(전)"))</f>
        <v/>
      </c>
      <c r="O2119" s="30">
        <f>IF(COUNTIFS($C:$C,$C2119,$D:$D,"P0(전)",$L:$L,"&gt;0")&lt;&gt;1,"",SUMIFS($L:$L,$C:$C,$C2119,$D:$D,"P0(전)"))</f>
        <v/>
      </c>
      <c r="P2119" s="45">
        <f>IF(COUNTIFS($C:$C,$C2119,$D:$D,"P0(후)",$L:$L,"&gt;0")&lt;&gt;1,"",SUMIFS($H:$H,$C:$C,$C2119,$D:$D,"P0(후)"))</f>
        <v/>
      </c>
      <c r="Q2119" s="30">
        <f>IF(COUNTIFS($C:$C,$C2119,$D:$D,"P0(후)",$L:$L,"&gt;0")&lt;&gt;1,"",SUMIFS($L:$L,$C:$C,$C2119,$D:$D,"P0(후)"))</f>
        <v/>
      </c>
      <c r="R2119" s="30">
        <f>IF(M2119&lt;&gt;"OK","",O2119+(Q2119-O2119)*(H2119-N2119)/(P2119-N2119))</f>
        <v/>
      </c>
      <c r="S2119" s="30">
        <f>IF(OR(M2119&lt;&gt;"OK",NOT(ISNUMBER(L2119))),"",L2119-R2119)</f>
        <v/>
      </c>
      <c r="T2119" s="46">
        <f>IF(OR(NOT(ISNUMBER(S2119)),IF(ISNUMBER(G2119),G2119,F2119)=0),"",S2119/IF(ISNUMBER(G2119),G2119,F2119))</f>
        <v/>
      </c>
      <c r="U2119" s="46">
        <f>IF(ISNUMBER(T2119),ABS(T2119),"")</f>
        <v/>
      </c>
      <c r="V2119" s="46">
        <f>IF(OR($D2118&lt;&gt;"측정",$C2118&lt;&gt;$C2119,NOT(ISNUMBER(L2119)),NOT(ISNUMBER(L2118)),(IF(ISNUMBER(G2119),G2119,F2119)-IF(ISNUMBER(G2118),G2118,F2118))=0),"",(L2119-L2118)/(IF(ISNUMBER(G2119),G2119,F2119)-IF(ISNUMBER(G2118),G2118,F2118)))</f>
        <v/>
      </c>
      <c r="W2119" s="30">
        <f>IF(NOT(AND(ISNUMBER(N2119),ISNUMBER(P2119))),"",(P2119-N2119)*1440)</f>
        <v/>
      </c>
      <c r="X2119" s="28" t="n"/>
      <c r="Y2119" s="28" t="n"/>
      <c r="Z2119" s="28" t="n"/>
      <c r="AA2119" s="31" t="n"/>
      <c r="AB2119" s="31" t="n"/>
    </row>
    <row r="2120">
      <c r="A2120" s="25" t="inlineStr">
        <is>
          <t>S41</t>
        </is>
      </c>
      <c r="B2120" s="25" t="inlineStr">
        <is>
          <t>거제</t>
        </is>
      </c>
      <c r="C2120" s="25" t="inlineStr">
        <is>
          <t>S41-H남</t>
        </is>
      </c>
      <c r="D2120" s="25" t="inlineStr">
        <is>
          <t>측정</t>
        </is>
      </c>
      <c r="E2120" s="25" t="inlineStr">
        <is>
          <t>남</t>
        </is>
      </c>
      <c r="F2120" s="30" t="n">
        <v>8</v>
      </c>
      <c r="G2120" s="29" t="n"/>
      <c r="H2120" s="42" t="n"/>
      <c r="I2120" s="40" t="n"/>
      <c r="J2120" s="40" t="n"/>
      <c r="K2120" s="40" t="n"/>
      <c r="L2120" s="30">
        <f>IF(COUNT(I2120:K2120)=0,"",MEDIAN(I2120:K2120))</f>
        <v/>
      </c>
      <c r="M2120" s="25">
        <f>IF(COUNTIFS($C:$C,$C2120,$D:$D,"P0(전)",$L:$L,"&gt;0")&lt;&gt;1,"P0(전) 유효 1개 아님",IF(COUNTIFS($C:$C,$C2120,$D:$D,"P0(후)",$L:$L,"&gt;0")&lt;&gt;1,"P0(후) 유효 1개 아님",IF(NOT(AND(ISNUMBER(N2120),ISNUMBER(P2120),ISNUMBER(H2120))),"시각 결측",IF(P2120&lt;=N2120,"P0 시각 역전",IF(OR(H2120&lt;N2120,H2120&gt;P2120),"측정시각 구간 밖","OK")))))</f>
        <v/>
      </c>
      <c r="N2120" s="45">
        <f>IF(COUNTIFS($C:$C,$C2120,$D:$D,"P0(전)",$L:$L,"&gt;0")&lt;&gt;1,"",SUMIFS($H:$H,$C:$C,$C2120,$D:$D,"P0(전)"))</f>
        <v/>
      </c>
      <c r="O2120" s="30">
        <f>IF(COUNTIFS($C:$C,$C2120,$D:$D,"P0(전)",$L:$L,"&gt;0")&lt;&gt;1,"",SUMIFS($L:$L,$C:$C,$C2120,$D:$D,"P0(전)"))</f>
        <v/>
      </c>
      <c r="P2120" s="45">
        <f>IF(COUNTIFS($C:$C,$C2120,$D:$D,"P0(후)",$L:$L,"&gt;0")&lt;&gt;1,"",SUMIFS($H:$H,$C:$C,$C2120,$D:$D,"P0(후)"))</f>
        <v/>
      </c>
      <c r="Q2120" s="30">
        <f>IF(COUNTIFS($C:$C,$C2120,$D:$D,"P0(후)",$L:$L,"&gt;0")&lt;&gt;1,"",SUMIFS($L:$L,$C:$C,$C2120,$D:$D,"P0(후)"))</f>
        <v/>
      </c>
      <c r="R2120" s="30">
        <f>IF(M2120&lt;&gt;"OK","",O2120+(Q2120-O2120)*(H2120-N2120)/(P2120-N2120))</f>
        <v/>
      </c>
      <c r="S2120" s="30">
        <f>IF(OR(M2120&lt;&gt;"OK",NOT(ISNUMBER(L2120))),"",L2120-R2120)</f>
        <v/>
      </c>
      <c r="T2120" s="46">
        <f>IF(OR(NOT(ISNUMBER(S2120)),IF(ISNUMBER(G2120),G2120,F2120)=0),"",S2120/IF(ISNUMBER(G2120),G2120,F2120))</f>
        <v/>
      </c>
      <c r="U2120" s="46">
        <f>IF(ISNUMBER(T2120),ABS(T2120),"")</f>
        <v/>
      </c>
      <c r="V2120" s="46">
        <f>IF(OR($D2119&lt;&gt;"측정",$C2119&lt;&gt;$C2120,NOT(ISNUMBER(L2120)),NOT(ISNUMBER(L2119)),(IF(ISNUMBER(G2120),G2120,F2120)-IF(ISNUMBER(G2119),G2119,F2119))=0),"",(L2120-L2119)/(IF(ISNUMBER(G2120),G2120,F2120)-IF(ISNUMBER(G2119),G2119,F2119)))</f>
        <v/>
      </c>
      <c r="W2120" s="30">
        <f>IF(NOT(AND(ISNUMBER(N2120),ISNUMBER(P2120))),"",(P2120-N2120)*1440)</f>
        <v/>
      </c>
      <c r="X2120" s="28" t="n"/>
      <c r="Y2120" s="28" t="n"/>
      <c r="Z2120" s="28" t="n"/>
      <c r="AA2120" s="31" t="n"/>
      <c r="AB2120" s="31" t="n"/>
    </row>
    <row r="2121">
      <c r="A2121" s="25" t="inlineStr">
        <is>
          <t>S41</t>
        </is>
      </c>
      <c r="B2121" s="25" t="inlineStr">
        <is>
          <t>거제</t>
        </is>
      </c>
      <c r="C2121" s="25" t="inlineStr">
        <is>
          <t>S41-H남</t>
        </is>
      </c>
      <c r="D2121" s="25" t="inlineStr">
        <is>
          <t>측정</t>
        </is>
      </c>
      <c r="E2121" s="25" t="inlineStr">
        <is>
          <t>남</t>
        </is>
      </c>
      <c r="F2121" s="30" t="n">
        <v>9</v>
      </c>
      <c r="G2121" s="29" t="n"/>
      <c r="H2121" s="42" t="n"/>
      <c r="I2121" s="40" t="n"/>
      <c r="J2121" s="40" t="n"/>
      <c r="K2121" s="40" t="n"/>
      <c r="L2121" s="30">
        <f>IF(COUNT(I2121:K2121)=0,"",MEDIAN(I2121:K2121))</f>
        <v/>
      </c>
      <c r="M2121" s="25">
        <f>IF(COUNTIFS($C:$C,$C2121,$D:$D,"P0(전)",$L:$L,"&gt;0")&lt;&gt;1,"P0(전) 유효 1개 아님",IF(COUNTIFS($C:$C,$C2121,$D:$D,"P0(후)",$L:$L,"&gt;0")&lt;&gt;1,"P0(후) 유효 1개 아님",IF(NOT(AND(ISNUMBER(N2121),ISNUMBER(P2121),ISNUMBER(H2121))),"시각 결측",IF(P2121&lt;=N2121,"P0 시각 역전",IF(OR(H2121&lt;N2121,H2121&gt;P2121),"측정시각 구간 밖","OK")))))</f>
        <v/>
      </c>
      <c r="N2121" s="45">
        <f>IF(COUNTIFS($C:$C,$C2121,$D:$D,"P0(전)",$L:$L,"&gt;0")&lt;&gt;1,"",SUMIFS($H:$H,$C:$C,$C2121,$D:$D,"P0(전)"))</f>
        <v/>
      </c>
      <c r="O2121" s="30">
        <f>IF(COUNTIFS($C:$C,$C2121,$D:$D,"P0(전)",$L:$L,"&gt;0")&lt;&gt;1,"",SUMIFS($L:$L,$C:$C,$C2121,$D:$D,"P0(전)"))</f>
        <v/>
      </c>
      <c r="P2121" s="45">
        <f>IF(COUNTIFS($C:$C,$C2121,$D:$D,"P0(후)",$L:$L,"&gt;0")&lt;&gt;1,"",SUMIFS($H:$H,$C:$C,$C2121,$D:$D,"P0(후)"))</f>
        <v/>
      </c>
      <c r="Q2121" s="30">
        <f>IF(COUNTIFS($C:$C,$C2121,$D:$D,"P0(후)",$L:$L,"&gt;0")&lt;&gt;1,"",SUMIFS($L:$L,$C:$C,$C2121,$D:$D,"P0(후)"))</f>
        <v/>
      </c>
      <c r="R2121" s="30">
        <f>IF(M2121&lt;&gt;"OK","",O2121+(Q2121-O2121)*(H2121-N2121)/(P2121-N2121))</f>
        <v/>
      </c>
      <c r="S2121" s="30">
        <f>IF(OR(M2121&lt;&gt;"OK",NOT(ISNUMBER(L2121))),"",L2121-R2121)</f>
        <v/>
      </c>
      <c r="T2121" s="46">
        <f>IF(OR(NOT(ISNUMBER(S2121)),IF(ISNUMBER(G2121),G2121,F2121)=0),"",S2121/IF(ISNUMBER(G2121),G2121,F2121))</f>
        <v/>
      </c>
      <c r="U2121" s="46">
        <f>IF(ISNUMBER(T2121),ABS(T2121),"")</f>
        <v/>
      </c>
      <c r="V2121" s="46">
        <f>IF(OR($D2120&lt;&gt;"측정",$C2120&lt;&gt;$C2121,NOT(ISNUMBER(L2121)),NOT(ISNUMBER(L2120)),(IF(ISNUMBER(G2121),G2121,F2121)-IF(ISNUMBER(G2120),G2120,F2120))=0),"",(L2121-L2120)/(IF(ISNUMBER(G2121),G2121,F2121)-IF(ISNUMBER(G2120),G2120,F2120)))</f>
        <v/>
      </c>
      <c r="W2121" s="30">
        <f>IF(NOT(AND(ISNUMBER(N2121),ISNUMBER(P2121))),"",(P2121-N2121)*1440)</f>
        <v/>
      </c>
      <c r="X2121" s="28" t="n"/>
      <c r="Y2121" s="28" t="n"/>
      <c r="Z2121" s="28" t="n"/>
      <c r="AA2121" s="31" t="n"/>
      <c r="AB2121" s="31" t="n"/>
    </row>
    <row r="2122">
      <c r="A2122" s="25" t="inlineStr">
        <is>
          <t>S41</t>
        </is>
      </c>
      <c r="B2122" s="25" t="inlineStr">
        <is>
          <t>거제</t>
        </is>
      </c>
      <c r="C2122" s="25" t="inlineStr">
        <is>
          <t>S41-H남</t>
        </is>
      </c>
      <c r="D2122" s="25" t="inlineStr">
        <is>
          <t>측정</t>
        </is>
      </c>
      <c r="E2122" s="25" t="inlineStr">
        <is>
          <t>남</t>
        </is>
      </c>
      <c r="F2122" s="30" t="n">
        <v>10</v>
      </c>
      <c r="G2122" s="29" t="n"/>
      <c r="H2122" s="42" t="n"/>
      <c r="I2122" s="40" t="n"/>
      <c r="J2122" s="40" t="n"/>
      <c r="K2122" s="40" t="n"/>
      <c r="L2122" s="30">
        <f>IF(COUNT(I2122:K2122)=0,"",MEDIAN(I2122:K2122))</f>
        <v/>
      </c>
      <c r="M2122" s="25">
        <f>IF(COUNTIFS($C:$C,$C2122,$D:$D,"P0(전)",$L:$L,"&gt;0")&lt;&gt;1,"P0(전) 유효 1개 아님",IF(COUNTIFS($C:$C,$C2122,$D:$D,"P0(후)",$L:$L,"&gt;0")&lt;&gt;1,"P0(후) 유효 1개 아님",IF(NOT(AND(ISNUMBER(N2122),ISNUMBER(P2122),ISNUMBER(H2122))),"시각 결측",IF(P2122&lt;=N2122,"P0 시각 역전",IF(OR(H2122&lt;N2122,H2122&gt;P2122),"측정시각 구간 밖","OK")))))</f>
        <v/>
      </c>
      <c r="N2122" s="45">
        <f>IF(COUNTIFS($C:$C,$C2122,$D:$D,"P0(전)",$L:$L,"&gt;0")&lt;&gt;1,"",SUMIFS($H:$H,$C:$C,$C2122,$D:$D,"P0(전)"))</f>
        <v/>
      </c>
      <c r="O2122" s="30">
        <f>IF(COUNTIFS($C:$C,$C2122,$D:$D,"P0(전)",$L:$L,"&gt;0")&lt;&gt;1,"",SUMIFS($L:$L,$C:$C,$C2122,$D:$D,"P0(전)"))</f>
        <v/>
      </c>
      <c r="P2122" s="45">
        <f>IF(COUNTIFS($C:$C,$C2122,$D:$D,"P0(후)",$L:$L,"&gt;0")&lt;&gt;1,"",SUMIFS($H:$H,$C:$C,$C2122,$D:$D,"P0(후)"))</f>
        <v/>
      </c>
      <c r="Q2122" s="30">
        <f>IF(COUNTIFS($C:$C,$C2122,$D:$D,"P0(후)",$L:$L,"&gt;0")&lt;&gt;1,"",SUMIFS($L:$L,$C:$C,$C2122,$D:$D,"P0(후)"))</f>
        <v/>
      </c>
      <c r="R2122" s="30">
        <f>IF(M2122&lt;&gt;"OK","",O2122+(Q2122-O2122)*(H2122-N2122)/(P2122-N2122))</f>
        <v/>
      </c>
      <c r="S2122" s="30">
        <f>IF(OR(M2122&lt;&gt;"OK",NOT(ISNUMBER(L2122))),"",L2122-R2122)</f>
        <v/>
      </c>
      <c r="T2122" s="46">
        <f>IF(OR(NOT(ISNUMBER(S2122)),IF(ISNUMBER(G2122),G2122,F2122)=0),"",S2122/IF(ISNUMBER(G2122),G2122,F2122))</f>
        <v/>
      </c>
      <c r="U2122" s="46">
        <f>IF(ISNUMBER(T2122),ABS(T2122),"")</f>
        <v/>
      </c>
      <c r="V2122" s="46">
        <f>IF(OR($D2121&lt;&gt;"측정",$C2121&lt;&gt;$C2122,NOT(ISNUMBER(L2122)),NOT(ISNUMBER(L2121)),(IF(ISNUMBER(G2122),G2122,F2122)-IF(ISNUMBER(G2121),G2121,F2121))=0),"",(L2122-L2121)/(IF(ISNUMBER(G2122),G2122,F2122)-IF(ISNUMBER(G2121),G2121,F2121)))</f>
        <v/>
      </c>
      <c r="W2122" s="30">
        <f>IF(NOT(AND(ISNUMBER(N2122),ISNUMBER(P2122))),"",(P2122-N2122)*1440)</f>
        <v/>
      </c>
      <c r="X2122" s="28" t="n"/>
      <c r="Y2122" s="28" t="n"/>
      <c r="Z2122" s="28" t="n"/>
      <c r="AA2122" s="31" t="n"/>
      <c r="AB2122" s="31" t="n"/>
    </row>
    <row r="2123">
      <c r="A2123" s="43" t="inlineStr">
        <is>
          <t>S41</t>
        </is>
      </c>
      <c r="B2123" s="43" t="inlineStr">
        <is>
          <t>거제</t>
        </is>
      </c>
      <c r="C2123" s="43" t="inlineStr">
        <is>
          <t>S41-H남</t>
        </is>
      </c>
      <c r="D2123" s="43" t="inlineStr">
        <is>
          <t>P0(후)</t>
        </is>
      </c>
      <c r="E2123" s="43" t="inlineStr">
        <is>
          <t>남</t>
        </is>
      </c>
      <c r="F2123" s="44" t="n"/>
      <c r="G2123" s="29" t="n"/>
      <c r="H2123" s="42" t="n"/>
      <c r="I2123" s="40" t="n"/>
      <c r="J2123" s="40" t="n"/>
      <c r="K2123" s="40" t="n"/>
      <c r="L2123" s="30">
        <f>IF(COUNT(I2123:K2123)=0,"",MEDIAN(I2123:K2123))</f>
        <v/>
      </c>
      <c r="M2123" s="37" t="n"/>
      <c r="N2123" s="37" t="n"/>
      <c r="O2123" s="37" t="n"/>
      <c r="P2123" s="37" t="n"/>
      <c r="Q2123" s="37" t="n"/>
      <c r="R2123" s="37" t="n"/>
      <c r="S2123" s="37" t="n"/>
      <c r="T2123" s="37" t="n"/>
      <c r="U2123" s="37" t="n"/>
      <c r="V2123" s="37" t="n"/>
      <c r="W2123" s="37" t="n"/>
      <c r="X2123" s="28" t="n"/>
      <c r="Y2123" s="28" t="n"/>
      <c r="Z2123" s="28" t="n"/>
      <c r="AA2123" s="31" t="n"/>
      <c r="AB2123" s="31" t="n"/>
    </row>
    <row r="2124">
      <c r="A2124" s="43" t="inlineStr">
        <is>
          <t>S41</t>
        </is>
      </c>
      <c r="B2124" s="43" t="inlineStr">
        <is>
          <t>거제</t>
        </is>
      </c>
      <c r="C2124" s="43" t="inlineStr">
        <is>
          <t>S41-H북</t>
        </is>
      </c>
      <c r="D2124" s="43" t="inlineStr">
        <is>
          <t>P0(전)</t>
        </is>
      </c>
      <c r="E2124" s="43" t="inlineStr">
        <is>
          <t>북</t>
        </is>
      </c>
      <c r="F2124" s="44" t="n"/>
      <c r="G2124" s="29" t="n"/>
      <c r="H2124" s="42" t="n"/>
      <c r="I2124" s="40" t="n"/>
      <c r="J2124" s="40" t="n"/>
      <c r="K2124" s="40" t="n"/>
      <c r="L2124" s="30">
        <f>IF(COUNT(I2124:K2124)=0,"",MEDIAN(I2124:K2124))</f>
        <v/>
      </c>
      <c r="M2124" s="37" t="n"/>
      <c r="N2124" s="37" t="n"/>
      <c r="O2124" s="37" t="n"/>
      <c r="P2124" s="37" t="n"/>
      <c r="Q2124" s="37" t="n"/>
      <c r="R2124" s="37" t="n"/>
      <c r="S2124" s="37" t="n"/>
      <c r="T2124" s="37" t="n"/>
      <c r="U2124" s="37" t="n"/>
      <c r="V2124" s="37" t="n"/>
      <c r="W2124" s="37" t="n"/>
      <c r="X2124" s="28" t="n"/>
      <c r="Y2124" s="28" t="n"/>
      <c r="Z2124" s="28" t="n"/>
      <c r="AA2124" s="31" t="n"/>
      <c r="AB2124" s="31" t="n"/>
    </row>
    <row r="2125">
      <c r="A2125" s="25" t="inlineStr">
        <is>
          <t>S41</t>
        </is>
      </c>
      <c r="B2125" s="25" t="inlineStr">
        <is>
          <t>거제</t>
        </is>
      </c>
      <c r="C2125" s="25" t="inlineStr">
        <is>
          <t>S41-H북</t>
        </is>
      </c>
      <c r="D2125" s="25" t="inlineStr">
        <is>
          <t>측정</t>
        </is>
      </c>
      <c r="E2125" s="25" t="inlineStr">
        <is>
          <t>북</t>
        </is>
      </c>
      <c r="F2125" s="30" t="n">
        <v>0.5</v>
      </c>
      <c r="G2125" s="29" t="n"/>
      <c r="H2125" s="42" t="n"/>
      <c r="I2125" s="40" t="n"/>
      <c r="J2125" s="40" t="n"/>
      <c r="K2125" s="40" t="n"/>
      <c r="L2125" s="30">
        <f>IF(COUNT(I2125:K2125)=0,"",MEDIAN(I2125:K2125))</f>
        <v/>
      </c>
      <c r="M2125" s="25">
        <f>IF(COUNTIFS($C:$C,$C2125,$D:$D,"P0(전)",$L:$L,"&gt;0")&lt;&gt;1,"P0(전) 유효 1개 아님",IF(COUNTIFS($C:$C,$C2125,$D:$D,"P0(후)",$L:$L,"&gt;0")&lt;&gt;1,"P0(후) 유효 1개 아님",IF(NOT(AND(ISNUMBER(N2125),ISNUMBER(P2125),ISNUMBER(H2125))),"시각 결측",IF(P2125&lt;=N2125,"P0 시각 역전",IF(OR(H2125&lt;N2125,H2125&gt;P2125),"측정시각 구간 밖","OK")))))</f>
        <v/>
      </c>
      <c r="N2125" s="45">
        <f>IF(COUNTIFS($C:$C,$C2125,$D:$D,"P0(전)",$L:$L,"&gt;0")&lt;&gt;1,"",SUMIFS($H:$H,$C:$C,$C2125,$D:$D,"P0(전)"))</f>
        <v/>
      </c>
      <c r="O2125" s="30">
        <f>IF(COUNTIFS($C:$C,$C2125,$D:$D,"P0(전)",$L:$L,"&gt;0")&lt;&gt;1,"",SUMIFS($L:$L,$C:$C,$C2125,$D:$D,"P0(전)"))</f>
        <v/>
      </c>
      <c r="P2125" s="45">
        <f>IF(COUNTIFS($C:$C,$C2125,$D:$D,"P0(후)",$L:$L,"&gt;0")&lt;&gt;1,"",SUMIFS($H:$H,$C:$C,$C2125,$D:$D,"P0(후)"))</f>
        <v/>
      </c>
      <c r="Q2125" s="30">
        <f>IF(COUNTIFS($C:$C,$C2125,$D:$D,"P0(후)",$L:$L,"&gt;0")&lt;&gt;1,"",SUMIFS($L:$L,$C:$C,$C2125,$D:$D,"P0(후)"))</f>
        <v/>
      </c>
      <c r="R2125" s="30">
        <f>IF(M2125&lt;&gt;"OK","",O2125+(Q2125-O2125)*(H2125-N2125)/(P2125-N2125))</f>
        <v/>
      </c>
      <c r="S2125" s="30">
        <f>IF(OR(M2125&lt;&gt;"OK",NOT(ISNUMBER(L2125))),"",L2125-R2125)</f>
        <v/>
      </c>
      <c r="T2125" s="46">
        <f>IF(OR(NOT(ISNUMBER(S2125)),IF(ISNUMBER(G2125),G2125,F2125)=0),"",S2125/IF(ISNUMBER(G2125),G2125,F2125))</f>
        <v/>
      </c>
      <c r="U2125" s="46">
        <f>IF(ISNUMBER(T2125),ABS(T2125),"")</f>
        <v/>
      </c>
      <c r="V2125" s="46">
        <f>IF(OR($D2124&lt;&gt;"측정",$C2124&lt;&gt;$C2125,NOT(ISNUMBER(L2125)),NOT(ISNUMBER(L2124)),(IF(ISNUMBER(G2125),G2125,F2125)-IF(ISNUMBER(G2124),G2124,F2124))=0),"",(L2125-L2124)/(IF(ISNUMBER(G2125),G2125,F2125)-IF(ISNUMBER(G2124),G2124,F2124)))</f>
        <v/>
      </c>
      <c r="W2125" s="30">
        <f>IF(NOT(AND(ISNUMBER(N2125),ISNUMBER(P2125))),"",(P2125-N2125)*1440)</f>
        <v/>
      </c>
      <c r="X2125" s="28" t="n"/>
      <c r="Y2125" s="28" t="n"/>
      <c r="Z2125" s="28" t="n"/>
      <c r="AA2125" s="31" t="n"/>
      <c r="AB2125" s="31" t="n"/>
    </row>
    <row r="2126">
      <c r="A2126" s="25" t="inlineStr">
        <is>
          <t>S41</t>
        </is>
      </c>
      <c r="B2126" s="25" t="inlineStr">
        <is>
          <t>거제</t>
        </is>
      </c>
      <c r="C2126" s="25" t="inlineStr">
        <is>
          <t>S41-H북</t>
        </is>
      </c>
      <c r="D2126" s="25" t="inlineStr">
        <is>
          <t>측정</t>
        </is>
      </c>
      <c r="E2126" s="25" t="inlineStr">
        <is>
          <t>북</t>
        </is>
      </c>
      <c r="F2126" s="30" t="n">
        <v>1</v>
      </c>
      <c r="G2126" s="29" t="n"/>
      <c r="H2126" s="42" t="n"/>
      <c r="I2126" s="40" t="n"/>
      <c r="J2126" s="40" t="n"/>
      <c r="K2126" s="40" t="n"/>
      <c r="L2126" s="30">
        <f>IF(COUNT(I2126:K2126)=0,"",MEDIAN(I2126:K2126))</f>
        <v/>
      </c>
      <c r="M2126" s="25">
        <f>IF(COUNTIFS($C:$C,$C2126,$D:$D,"P0(전)",$L:$L,"&gt;0")&lt;&gt;1,"P0(전) 유효 1개 아님",IF(COUNTIFS($C:$C,$C2126,$D:$D,"P0(후)",$L:$L,"&gt;0")&lt;&gt;1,"P0(후) 유효 1개 아님",IF(NOT(AND(ISNUMBER(N2126),ISNUMBER(P2126),ISNUMBER(H2126))),"시각 결측",IF(P2126&lt;=N2126,"P0 시각 역전",IF(OR(H2126&lt;N2126,H2126&gt;P2126),"측정시각 구간 밖","OK")))))</f>
        <v/>
      </c>
      <c r="N2126" s="45">
        <f>IF(COUNTIFS($C:$C,$C2126,$D:$D,"P0(전)",$L:$L,"&gt;0")&lt;&gt;1,"",SUMIFS($H:$H,$C:$C,$C2126,$D:$D,"P0(전)"))</f>
        <v/>
      </c>
      <c r="O2126" s="30">
        <f>IF(COUNTIFS($C:$C,$C2126,$D:$D,"P0(전)",$L:$L,"&gt;0")&lt;&gt;1,"",SUMIFS($L:$L,$C:$C,$C2126,$D:$D,"P0(전)"))</f>
        <v/>
      </c>
      <c r="P2126" s="45">
        <f>IF(COUNTIFS($C:$C,$C2126,$D:$D,"P0(후)",$L:$L,"&gt;0")&lt;&gt;1,"",SUMIFS($H:$H,$C:$C,$C2126,$D:$D,"P0(후)"))</f>
        <v/>
      </c>
      <c r="Q2126" s="30">
        <f>IF(COUNTIFS($C:$C,$C2126,$D:$D,"P0(후)",$L:$L,"&gt;0")&lt;&gt;1,"",SUMIFS($L:$L,$C:$C,$C2126,$D:$D,"P0(후)"))</f>
        <v/>
      </c>
      <c r="R2126" s="30">
        <f>IF(M2126&lt;&gt;"OK","",O2126+(Q2126-O2126)*(H2126-N2126)/(P2126-N2126))</f>
        <v/>
      </c>
      <c r="S2126" s="30">
        <f>IF(OR(M2126&lt;&gt;"OK",NOT(ISNUMBER(L2126))),"",L2126-R2126)</f>
        <v/>
      </c>
      <c r="T2126" s="46">
        <f>IF(OR(NOT(ISNUMBER(S2126)),IF(ISNUMBER(G2126),G2126,F2126)=0),"",S2126/IF(ISNUMBER(G2126),G2126,F2126))</f>
        <v/>
      </c>
      <c r="U2126" s="46">
        <f>IF(ISNUMBER(T2126),ABS(T2126),"")</f>
        <v/>
      </c>
      <c r="V2126" s="46">
        <f>IF(OR($D2125&lt;&gt;"측정",$C2125&lt;&gt;$C2126,NOT(ISNUMBER(L2126)),NOT(ISNUMBER(L2125)),(IF(ISNUMBER(G2126),G2126,F2126)-IF(ISNUMBER(G2125),G2125,F2125))=0),"",(L2126-L2125)/(IF(ISNUMBER(G2126),G2126,F2126)-IF(ISNUMBER(G2125),G2125,F2125)))</f>
        <v/>
      </c>
      <c r="W2126" s="30">
        <f>IF(NOT(AND(ISNUMBER(N2126),ISNUMBER(P2126))),"",(P2126-N2126)*1440)</f>
        <v/>
      </c>
      <c r="X2126" s="28" t="n"/>
      <c r="Y2126" s="28" t="n"/>
      <c r="Z2126" s="28" t="n"/>
      <c r="AA2126" s="31" t="n"/>
      <c r="AB2126" s="31" t="n"/>
    </row>
    <row r="2127">
      <c r="A2127" s="25" t="inlineStr">
        <is>
          <t>S41</t>
        </is>
      </c>
      <c r="B2127" s="25" t="inlineStr">
        <is>
          <t>거제</t>
        </is>
      </c>
      <c r="C2127" s="25" t="inlineStr">
        <is>
          <t>S41-H북</t>
        </is>
      </c>
      <c r="D2127" s="25" t="inlineStr">
        <is>
          <t>측정</t>
        </is>
      </c>
      <c r="E2127" s="25" t="inlineStr">
        <is>
          <t>북</t>
        </is>
      </c>
      <c r="F2127" s="30" t="n">
        <v>2</v>
      </c>
      <c r="G2127" s="29" t="n"/>
      <c r="H2127" s="42" t="n"/>
      <c r="I2127" s="40" t="n"/>
      <c r="J2127" s="40" t="n"/>
      <c r="K2127" s="40" t="n"/>
      <c r="L2127" s="30">
        <f>IF(COUNT(I2127:K2127)=0,"",MEDIAN(I2127:K2127))</f>
        <v/>
      </c>
      <c r="M2127" s="25">
        <f>IF(COUNTIFS($C:$C,$C2127,$D:$D,"P0(전)",$L:$L,"&gt;0")&lt;&gt;1,"P0(전) 유효 1개 아님",IF(COUNTIFS($C:$C,$C2127,$D:$D,"P0(후)",$L:$L,"&gt;0")&lt;&gt;1,"P0(후) 유효 1개 아님",IF(NOT(AND(ISNUMBER(N2127),ISNUMBER(P2127),ISNUMBER(H2127))),"시각 결측",IF(P2127&lt;=N2127,"P0 시각 역전",IF(OR(H2127&lt;N2127,H2127&gt;P2127),"측정시각 구간 밖","OK")))))</f>
        <v/>
      </c>
      <c r="N2127" s="45">
        <f>IF(COUNTIFS($C:$C,$C2127,$D:$D,"P0(전)",$L:$L,"&gt;0")&lt;&gt;1,"",SUMIFS($H:$H,$C:$C,$C2127,$D:$D,"P0(전)"))</f>
        <v/>
      </c>
      <c r="O2127" s="30">
        <f>IF(COUNTIFS($C:$C,$C2127,$D:$D,"P0(전)",$L:$L,"&gt;0")&lt;&gt;1,"",SUMIFS($L:$L,$C:$C,$C2127,$D:$D,"P0(전)"))</f>
        <v/>
      </c>
      <c r="P2127" s="45">
        <f>IF(COUNTIFS($C:$C,$C2127,$D:$D,"P0(후)",$L:$L,"&gt;0")&lt;&gt;1,"",SUMIFS($H:$H,$C:$C,$C2127,$D:$D,"P0(후)"))</f>
        <v/>
      </c>
      <c r="Q2127" s="30">
        <f>IF(COUNTIFS($C:$C,$C2127,$D:$D,"P0(후)",$L:$L,"&gt;0")&lt;&gt;1,"",SUMIFS($L:$L,$C:$C,$C2127,$D:$D,"P0(후)"))</f>
        <v/>
      </c>
      <c r="R2127" s="30">
        <f>IF(M2127&lt;&gt;"OK","",O2127+(Q2127-O2127)*(H2127-N2127)/(P2127-N2127))</f>
        <v/>
      </c>
      <c r="S2127" s="30">
        <f>IF(OR(M2127&lt;&gt;"OK",NOT(ISNUMBER(L2127))),"",L2127-R2127)</f>
        <v/>
      </c>
      <c r="T2127" s="46">
        <f>IF(OR(NOT(ISNUMBER(S2127)),IF(ISNUMBER(G2127),G2127,F2127)=0),"",S2127/IF(ISNUMBER(G2127),G2127,F2127))</f>
        <v/>
      </c>
      <c r="U2127" s="46">
        <f>IF(ISNUMBER(T2127),ABS(T2127),"")</f>
        <v/>
      </c>
      <c r="V2127" s="46">
        <f>IF(OR($D2126&lt;&gt;"측정",$C2126&lt;&gt;$C2127,NOT(ISNUMBER(L2127)),NOT(ISNUMBER(L2126)),(IF(ISNUMBER(G2127),G2127,F2127)-IF(ISNUMBER(G2126),G2126,F2126))=0),"",(L2127-L2126)/(IF(ISNUMBER(G2127),G2127,F2127)-IF(ISNUMBER(G2126),G2126,F2126)))</f>
        <v/>
      </c>
      <c r="W2127" s="30">
        <f>IF(NOT(AND(ISNUMBER(N2127),ISNUMBER(P2127))),"",(P2127-N2127)*1440)</f>
        <v/>
      </c>
      <c r="X2127" s="28" t="n"/>
      <c r="Y2127" s="28" t="n"/>
      <c r="Z2127" s="28" t="n"/>
      <c r="AA2127" s="31" t="n"/>
      <c r="AB2127" s="31" t="n"/>
    </row>
    <row r="2128">
      <c r="A2128" s="25" t="inlineStr">
        <is>
          <t>S41</t>
        </is>
      </c>
      <c r="B2128" s="25" t="inlineStr">
        <is>
          <t>거제</t>
        </is>
      </c>
      <c r="C2128" s="25" t="inlineStr">
        <is>
          <t>S41-H북</t>
        </is>
      </c>
      <c r="D2128" s="25" t="inlineStr">
        <is>
          <t>측정</t>
        </is>
      </c>
      <c r="E2128" s="25" t="inlineStr">
        <is>
          <t>북</t>
        </is>
      </c>
      <c r="F2128" s="30" t="n">
        <v>3</v>
      </c>
      <c r="G2128" s="29" t="n"/>
      <c r="H2128" s="42" t="n"/>
      <c r="I2128" s="40" t="n"/>
      <c r="J2128" s="40" t="n"/>
      <c r="K2128" s="40" t="n"/>
      <c r="L2128" s="30">
        <f>IF(COUNT(I2128:K2128)=0,"",MEDIAN(I2128:K2128))</f>
        <v/>
      </c>
      <c r="M2128" s="25">
        <f>IF(COUNTIFS($C:$C,$C2128,$D:$D,"P0(전)",$L:$L,"&gt;0")&lt;&gt;1,"P0(전) 유효 1개 아님",IF(COUNTIFS($C:$C,$C2128,$D:$D,"P0(후)",$L:$L,"&gt;0")&lt;&gt;1,"P0(후) 유효 1개 아님",IF(NOT(AND(ISNUMBER(N2128),ISNUMBER(P2128),ISNUMBER(H2128))),"시각 결측",IF(P2128&lt;=N2128,"P0 시각 역전",IF(OR(H2128&lt;N2128,H2128&gt;P2128),"측정시각 구간 밖","OK")))))</f>
        <v/>
      </c>
      <c r="N2128" s="45">
        <f>IF(COUNTIFS($C:$C,$C2128,$D:$D,"P0(전)",$L:$L,"&gt;0")&lt;&gt;1,"",SUMIFS($H:$H,$C:$C,$C2128,$D:$D,"P0(전)"))</f>
        <v/>
      </c>
      <c r="O2128" s="30">
        <f>IF(COUNTIFS($C:$C,$C2128,$D:$D,"P0(전)",$L:$L,"&gt;0")&lt;&gt;1,"",SUMIFS($L:$L,$C:$C,$C2128,$D:$D,"P0(전)"))</f>
        <v/>
      </c>
      <c r="P2128" s="45">
        <f>IF(COUNTIFS($C:$C,$C2128,$D:$D,"P0(후)",$L:$L,"&gt;0")&lt;&gt;1,"",SUMIFS($H:$H,$C:$C,$C2128,$D:$D,"P0(후)"))</f>
        <v/>
      </c>
      <c r="Q2128" s="30">
        <f>IF(COUNTIFS($C:$C,$C2128,$D:$D,"P0(후)",$L:$L,"&gt;0")&lt;&gt;1,"",SUMIFS($L:$L,$C:$C,$C2128,$D:$D,"P0(후)"))</f>
        <v/>
      </c>
      <c r="R2128" s="30">
        <f>IF(M2128&lt;&gt;"OK","",O2128+(Q2128-O2128)*(H2128-N2128)/(P2128-N2128))</f>
        <v/>
      </c>
      <c r="S2128" s="30">
        <f>IF(OR(M2128&lt;&gt;"OK",NOT(ISNUMBER(L2128))),"",L2128-R2128)</f>
        <v/>
      </c>
      <c r="T2128" s="46">
        <f>IF(OR(NOT(ISNUMBER(S2128)),IF(ISNUMBER(G2128),G2128,F2128)=0),"",S2128/IF(ISNUMBER(G2128),G2128,F2128))</f>
        <v/>
      </c>
      <c r="U2128" s="46">
        <f>IF(ISNUMBER(T2128),ABS(T2128),"")</f>
        <v/>
      </c>
      <c r="V2128" s="46">
        <f>IF(OR($D2127&lt;&gt;"측정",$C2127&lt;&gt;$C2128,NOT(ISNUMBER(L2128)),NOT(ISNUMBER(L2127)),(IF(ISNUMBER(G2128),G2128,F2128)-IF(ISNUMBER(G2127),G2127,F2127))=0),"",(L2128-L2127)/(IF(ISNUMBER(G2128),G2128,F2128)-IF(ISNUMBER(G2127),G2127,F2127)))</f>
        <v/>
      </c>
      <c r="W2128" s="30">
        <f>IF(NOT(AND(ISNUMBER(N2128),ISNUMBER(P2128))),"",(P2128-N2128)*1440)</f>
        <v/>
      </c>
      <c r="X2128" s="28" t="n"/>
      <c r="Y2128" s="28" t="n"/>
      <c r="Z2128" s="28" t="n"/>
      <c r="AA2128" s="31" t="n"/>
      <c r="AB2128" s="31" t="n"/>
    </row>
    <row r="2129">
      <c r="A2129" s="25" t="inlineStr">
        <is>
          <t>S41</t>
        </is>
      </c>
      <c r="B2129" s="25" t="inlineStr">
        <is>
          <t>거제</t>
        </is>
      </c>
      <c r="C2129" s="25" t="inlineStr">
        <is>
          <t>S41-H북</t>
        </is>
      </c>
      <c r="D2129" s="25" t="inlineStr">
        <is>
          <t>측정</t>
        </is>
      </c>
      <c r="E2129" s="25" t="inlineStr">
        <is>
          <t>북</t>
        </is>
      </c>
      <c r="F2129" s="30" t="n">
        <v>4</v>
      </c>
      <c r="G2129" s="29" t="n"/>
      <c r="H2129" s="42" t="n"/>
      <c r="I2129" s="40" t="n"/>
      <c r="J2129" s="40" t="n"/>
      <c r="K2129" s="40" t="n"/>
      <c r="L2129" s="30">
        <f>IF(COUNT(I2129:K2129)=0,"",MEDIAN(I2129:K2129))</f>
        <v/>
      </c>
      <c r="M2129" s="25">
        <f>IF(COUNTIFS($C:$C,$C2129,$D:$D,"P0(전)",$L:$L,"&gt;0")&lt;&gt;1,"P0(전) 유효 1개 아님",IF(COUNTIFS($C:$C,$C2129,$D:$D,"P0(후)",$L:$L,"&gt;0")&lt;&gt;1,"P0(후) 유효 1개 아님",IF(NOT(AND(ISNUMBER(N2129),ISNUMBER(P2129),ISNUMBER(H2129))),"시각 결측",IF(P2129&lt;=N2129,"P0 시각 역전",IF(OR(H2129&lt;N2129,H2129&gt;P2129),"측정시각 구간 밖","OK")))))</f>
        <v/>
      </c>
      <c r="N2129" s="45">
        <f>IF(COUNTIFS($C:$C,$C2129,$D:$D,"P0(전)",$L:$L,"&gt;0")&lt;&gt;1,"",SUMIFS($H:$H,$C:$C,$C2129,$D:$D,"P0(전)"))</f>
        <v/>
      </c>
      <c r="O2129" s="30">
        <f>IF(COUNTIFS($C:$C,$C2129,$D:$D,"P0(전)",$L:$L,"&gt;0")&lt;&gt;1,"",SUMIFS($L:$L,$C:$C,$C2129,$D:$D,"P0(전)"))</f>
        <v/>
      </c>
      <c r="P2129" s="45">
        <f>IF(COUNTIFS($C:$C,$C2129,$D:$D,"P0(후)",$L:$L,"&gt;0")&lt;&gt;1,"",SUMIFS($H:$H,$C:$C,$C2129,$D:$D,"P0(후)"))</f>
        <v/>
      </c>
      <c r="Q2129" s="30">
        <f>IF(COUNTIFS($C:$C,$C2129,$D:$D,"P0(후)",$L:$L,"&gt;0")&lt;&gt;1,"",SUMIFS($L:$L,$C:$C,$C2129,$D:$D,"P0(후)"))</f>
        <v/>
      </c>
      <c r="R2129" s="30">
        <f>IF(M2129&lt;&gt;"OK","",O2129+(Q2129-O2129)*(H2129-N2129)/(P2129-N2129))</f>
        <v/>
      </c>
      <c r="S2129" s="30">
        <f>IF(OR(M2129&lt;&gt;"OK",NOT(ISNUMBER(L2129))),"",L2129-R2129)</f>
        <v/>
      </c>
      <c r="T2129" s="46">
        <f>IF(OR(NOT(ISNUMBER(S2129)),IF(ISNUMBER(G2129),G2129,F2129)=0),"",S2129/IF(ISNUMBER(G2129),G2129,F2129))</f>
        <v/>
      </c>
      <c r="U2129" s="46">
        <f>IF(ISNUMBER(T2129),ABS(T2129),"")</f>
        <v/>
      </c>
      <c r="V2129" s="46">
        <f>IF(OR($D2128&lt;&gt;"측정",$C2128&lt;&gt;$C2129,NOT(ISNUMBER(L2129)),NOT(ISNUMBER(L2128)),(IF(ISNUMBER(G2129),G2129,F2129)-IF(ISNUMBER(G2128),G2128,F2128))=0),"",(L2129-L2128)/(IF(ISNUMBER(G2129),G2129,F2129)-IF(ISNUMBER(G2128),G2128,F2128)))</f>
        <v/>
      </c>
      <c r="W2129" s="30">
        <f>IF(NOT(AND(ISNUMBER(N2129),ISNUMBER(P2129))),"",(P2129-N2129)*1440)</f>
        <v/>
      </c>
      <c r="X2129" s="28" t="n"/>
      <c r="Y2129" s="28" t="n"/>
      <c r="Z2129" s="28" t="n"/>
      <c r="AA2129" s="31" t="n"/>
      <c r="AB2129" s="31" t="n"/>
    </row>
    <row r="2130">
      <c r="A2130" s="25" t="inlineStr">
        <is>
          <t>S41</t>
        </is>
      </c>
      <c r="B2130" s="25" t="inlineStr">
        <is>
          <t>거제</t>
        </is>
      </c>
      <c r="C2130" s="25" t="inlineStr">
        <is>
          <t>S41-H북</t>
        </is>
      </c>
      <c r="D2130" s="25" t="inlineStr">
        <is>
          <t>측정</t>
        </is>
      </c>
      <c r="E2130" s="25" t="inlineStr">
        <is>
          <t>북</t>
        </is>
      </c>
      <c r="F2130" s="30" t="n">
        <v>5</v>
      </c>
      <c r="G2130" s="29" t="n"/>
      <c r="H2130" s="42" t="n"/>
      <c r="I2130" s="40" t="n"/>
      <c r="J2130" s="40" t="n"/>
      <c r="K2130" s="40" t="n"/>
      <c r="L2130" s="30">
        <f>IF(COUNT(I2130:K2130)=0,"",MEDIAN(I2130:K2130))</f>
        <v/>
      </c>
      <c r="M2130" s="25">
        <f>IF(COUNTIFS($C:$C,$C2130,$D:$D,"P0(전)",$L:$L,"&gt;0")&lt;&gt;1,"P0(전) 유효 1개 아님",IF(COUNTIFS($C:$C,$C2130,$D:$D,"P0(후)",$L:$L,"&gt;0")&lt;&gt;1,"P0(후) 유효 1개 아님",IF(NOT(AND(ISNUMBER(N2130),ISNUMBER(P2130),ISNUMBER(H2130))),"시각 결측",IF(P2130&lt;=N2130,"P0 시각 역전",IF(OR(H2130&lt;N2130,H2130&gt;P2130),"측정시각 구간 밖","OK")))))</f>
        <v/>
      </c>
      <c r="N2130" s="45">
        <f>IF(COUNTIFS($C:$C,$C2130,$D:$D,"P0(전)",$L:$L,"&gt;0")&lt;&gt;1,"",SUMIFS($H:$H,$C:$C,$C2130,$D:$D,"P0(전)"))</f>
        <v/>
      </c>
      <c r="O2130" s="30">
        <f>IF(COUNTIFS($C:$C,$C2130,$D:$D,"P0(전)",$L:$L,"&gt;0")&lt;&gt;1,"",SUMIFS($L:$L,$C:$C,$C2130,$D:$D,"P0(전)"))</f>
        <v/>
      </c>
      <c r="P2130" s="45">
        <f>IF(COUNTIFS($C:$C,$C2130,$D:$D,"P0(후)",$L:$L,"&gt;0")&lt;&gt;1,"",SUMIFS($H:$H,$C:$C,$C2130,$D:$D,"P0(후)"))</f>
        <v/>
      </c>
      <c r="Q2130" s="30">
        <f>IF(COUNTIFS($C:$C,$C2130,$D:$D,"P0(후)",$L:$L,"&gt;0")&lt;&gt;1,"",SUMIFS($L:$L,$C:$C,$C2130,$D:$D,"P0(후)"))</f>
        <v/>
      </c>
      <c r="R2130" s="30">
        <f>IF(M2130&lt;&gt;"OK","",O2130+(Q2130-O2130)*(H2130-N2130)/(P2130-N2130))</f>
        <v/>
      </c>
      <c r="S2130" s="30">
        <f>IF(OR(M2130&lt;&gt;"OK",NOT(ISNUMBER(L2130))),"",L2130-R2130)</f>
        <v/>
      </c>
      <c r="T2130" s="46">
        <f>IF(OR(NOT(ISNUMBER(S2130)),IF(ISNUMBER(G2130),G2130,F2130)=0),"",S2130/IF(ISNUMBER(G2130),G2130,F2130))</f>
        <v/>
      </c>
      <c r="U2130" s="46">
        <f>IF(ISNUMBER(T2130),ABS(T2130),"")</f>
        <v/>
      </c>
      <c r="V2130" s="46">
        <f>IF(OR($D2129&lt;&gt;"측정",$C2129&lt;&gt;$C2130,NOT(ISNUMBER(L2130)),NOT(ISNUMBER(L2129)),(IF(ISNUMBER(G2130),G2130,F2130)-IF(ISNUMBER(G2129),G2129,F2129))=0),"",(L2130-L2129)/(IF(ISNUMBER(G2130),G2130,F2130)-IF(ISNUMBER(G2129),G2129,F2129)))</f>
        <v/>
      </c>
      <c r="W2130" s="30">
        <f>IF(NOT(AND(ISNUMBER(N2130),ISNUMBER(P2130))),"",(P2130-N2130)*1440)</f>
        <v/>
      </c>
      <c r="X2130" s="28" t="n"/>
      <c r="Y2130" s="28" t="n"/>
      <c r="Z2130" s="28" t="n"/>
      <c r="AA2130" s="31" t="n"/>
      <c r="AB2130" s="31" t="n"/>
    </row>
    <row r="2131">
      <c r="A2131" s="25" t="inlineStr">
        <is>
          <t>S41</t>
        </is>
      </c>
      <c r="B2131" s="25" t="inlineStr">
        <is>
          <t>거제</t>
        </is>
      </c>
      <c r="C2131" s="25" t="inlineStr">
        <is>
          <t>S41-H북</t>
        </is>
      </c>
      <c r="D2131" s="25" t="inlineStr">
        <is>
          <t>측정</t>
        </is>
      </c>
      <c r="E2131" s="25" t="inlineStr">
        <is>
          <t>북</t>
        </is>
      </c>
      <c r="F2131" s="30" t="n">
        <v>6</v>
      </c>
      <c r="G2131" s="29" t="n"/>
      <c r="H2131" s="42" t="n"/>
      <c r="I2131" s="40" t="n"/>
      <c r="J2131" s="40" t="n"/>
      <c r="K2131" s="40" t="n"/>
      <c r="L2131" s="30">
        <f>IF(COUNT(I2131:K2131)=0,"",MEDIAN(I2131:K2131))</f>
        <v/>
      </c>
      <c r="M2131" s="25">
        <f>IF(COUNTIFS($C:$C,$C2131,$D:$D,"P0(전)",$L:$L,"&gt;0")&lt;&gt;1,"P0(전) 유효 1개 아님",IF(COUNTIFS($C:$C,$C2131,$D:$D,"P0(후)",$L:$L,"&gt;0")&lt;&gt;1,"P0(후) 유효 1개 아님",IF(NOT(AND(ISNUMBER(N2131),ISNUMBER(P2131),ISNUMBER(H2131))),"시각 결측",IF(P2131&lt;=N2131,"P0 시각 역전",IF(OR(H2131&lt;N2131,H2131&gt;P2131),"측정시각 구간 밖","OK")))))</f>
        <v/>
      </c>
      <c r="N2131" s="45">
        <f>IF(COUNTIFS($C:$C,$C2131,$D:$D,"P0(전)",$L:$L,"&gt;0")&lt;&gt;1,"",SUMIFS($H:$H,$C:$C,$C2131,$D:$D,"P0(전)"))</f>
        <v/>
      </c>
      <c r="O2131" s="30">
        <f>IF(COUNTIFS($C:$C,$C2131,$D:$D,"P0(전)",$L:$L,"&gt;0")&lt;&gt;1,"",SUMIFS($L:$L,$C:$C,$C2131,$D:$D,"P0(전)"))</f>
        <v/>
      </c>
      <c r="P2131" s="45">
        <f>IF(COUNTIFS($C:$C,$C2131,$D:$D,"P0(후)",$L:$L,"&gt;0")&lt;&gt;1,"",SUMIFS($H:$H,$C:$C,$C2131,$D:$D,"P0(후)"))</f>
        <v/>
      </c>
      <c r="Q2131" s="30">
        <f>IF(COUNTIFS($C:$C,$C2131,$D:$D,"P0(후)",$L:$L,"&gt;0")&lt;&gt;1,"",SUMIFS($L:$L,$C:$C,$C2131,$D:$D,"P0(후)"))</f>
        <v/>
      </c>
      <c r="R2131" s="30">
        <f>IF(M2131&lt;&gt;"OK","",O2131+(Q2131-O2131)*(H2131-N2131)/(P2131-N2131))</f>
        <v/>
      </c>
      <c r="S2131" s="30">
        <f>IF(OR(M2131&lt;&gt;"OK",NOT(ISNUMBER(L2131))),"",L2131-R2131)</f>
        <v/>
      </c>
      <c r="T2131" s="46">
        <f>IF(OR(NOT(ISNUMBER(S2131)),IF(ISNUMBER(G2131),G2131,F2131)=0),"",S2131/IF(ISNUMBER(G2131),G2131,F2131))</f>
        <v/>
      </c>
      <c r="U2131" s="46">
        <f>IF(ISNUMBER(T2131),ABS(T2131),"")</f>
        <v/>
      </c>
      <c r="V2131" s="46">
        <f>IF(OR($D2130&lt;&gt;"측정",$C2130&lt;&gt;$C2131,NOT(ISNUMBER(L2131)),NOT(ISNUMBER(L2130)),(IF(ISNUMBER(G2131),G2131,F2131)-IF(ISNUMBER(G2130),G2130,F2130))=0),"",(L2131-L2130)/(IF(ISNUMBER(G2131),G2131,F2131)-IF(ISNUMBER(G2130),G2130,F2130)))</f>
        <v/>
      </c>
      <c r="W2131" s="30">
        <f>IF(NOT(AND(ISNUMBER(N2131),ISNUMBER(P2131))),"",(P2131-N2131)*1440)</f>
        <v/>
      </c>
      <c r="X2131" s="28" t="n"/>
      <c r="Y2131" s="28" t="n"/>
      <c r="Z2131" s="28" t="n"/>
      <c r="AA2131" s="31" t="n"/>
      <c r="AB2131" s="31" t="n"/>
    </row>
    <row r="2132">
      <c r="A2132" s="25" t="inlineStr">
        <is>
          <t>S41</t>
        </is>
      </c>
      <c r="B2132" s="25" t="inlineStr">
        <is>
          <t>거제</t>
        </is>
      </c>
      <c r="C2132" s="25" t="inlineStr">
        <is>
          <t>S41-H북</t>
        </is>
      </c>
      <c r="D2132" s="25" t="inlineStr">
        <is>
          <t>측정</t>
        </is>
      </c>
      <c r="E2132" s="25" t="inlineStr">
        <is>
          <t>북</t>
        </is>
      </c>
      <c r="F2132" s="30" t="n">
        <v>7</v>
      </c>
      <c r="G2132" s="29" t="n"/>
      <c r="H2132" s="42" t="n"/>
      <c r="I2132" s="40" t="n"/>
      <c r="J2132" s="40" t="n"/>
      <c r="K2132" s="40" t="n"/>
      <c r="L2132" s="30">
        <f>IF(COUNT(I2132:K2132)=0,"",MEDIAN(I2132:K2132))</f>
        <v/>
      </c>
      <c r="M2132" s="25">
        <f>IF(COUNTIFS($C:$C,$C2132,$D:$D,"P0(전)",$L:$L,"&gt;0")&lt;&gt;1,"P0(전) 유효 1개 아님",IF(COUNTIFS($C:$C,$C2132,$D:$D,"P0(후)",$L:$L,"&gt;0")&lt;&gt;1,"P0(후) 유효 1개 아님",IF(NOT(AND(ISNUMBER(N2132),ISNUMBER(P2132),ISNUMBER(H2132))),"시각 결측",IF(P2132&lt;=N2132,"P0 시각 역전",IF(OR(H2132&lt;N2132,H2132&gt;P2132),"측정시각 구간 밖","OK")))))</f>
        <v/>
      </c>
      <c r="N2132" s="45">
        <f>IF(COUNTIFS($C:$C,$C2132,$D:$D,"P0(전)",$L:$L,"&gt;0")&lt;&gt;1,"",SUMIFS($H:$H,$C:$C,$C2132,$D:$D,"P0(전)"))</f>
        <v/>
      </c>
      <c r="O2132" s="30">
        <f>IF(COUNTIFS($C:$C,$C2132,$D:$D,"P0(전)",$L:$L,"&gt;0")&lt;&gt;1,"",SUMIFS($L:$L,$C:$C,$C2132,$D:$D,"P0(전)"))</f>
        <v/>
      </c>
      <c r="P2132" s="45">
        <f>IF(COUNTIFS($C:$C,$C2132,$D:$D,"P0(후)",$L:$L,"&gt;0")&lt;&gt;1,"",SUMIFS($H:$H,$C:$C,$C2132,$D:$D,"P0(후)"))</f>
        <v/>
      </c>
      <c r="Q2132" s="30">
        <f>IF(COUNTIFS($C:$C,$C2132,$D:$D,"P0(후)",$L:$L,"&gt;0")&lt;&gt;1,"",SUMIFS($L:$L,$C:$C,$C2132,$D:$D,"P0(후)"))</f>
        <v/>
      </c>
      <c r="R2132" s="30">
        <f>IF(M2132&lt;&gt;"OK","",O2132+(Q2132-O2132)*(H2132-N2132)/(P2132-N2132))</f>
        <v/>
      </c>
      <c r="S2132" s="30">
        <f>IF(OR(M2132&lt;&gt;"OK",NOT(ISNUMBER(L2132))),"",L2132-R2132)</f>
        <v/>
      </c>
      <c r="T2132" s="46">
        <f>IF(OR(NOT(ISNUMBER(S2132)),IF(ISNUMBER(G2132),G2132,F2132)=0),"",S2132/IF(ISNUMBER(G2132),G2132,F2132))</f>
        <v/>
      </c>
      <c r="U2132" s="46">
        <f>IF(ISNUMBER(T2132),ABS(T2132),"")</f>
        <v/>
      </c>
      <c r="V2132" s="46">
        <f>IF(OR($D2131&lt;&gt;"측정",$C2131&lt;&gt;$C2132,NOT(ISNUMBER(L2132)),NOT(ISNUMBER(L2131)),(IF(ISNUMBER(G2132),G2132,F2132)-IF(ISNUMBER(G2131),G2131,F2131))=0),"",(L2132-L2131)/(IF(ISNUMBER(G2132),G2132,F2132)-IF(ISNUMBER(G2131),G2131,F2131)))</f>
        <v/>
      </c>
      <c r="W2132" s="30">
        <f>IF(NOT(AND(ISNUMBER(N2132),ISNUMBER(P2132))),"",(P2132-N2132)*1440)</f>
        <v/>
      </c>
      <c r="X2132" s="28" t="n"/>
      <c r="Y2132" s="28" t="n"/>
      <c r="Z2132" s="28" t="n"/>
      <c r="AA2132" s="31" t="n"/>
      <c r="AB2132" s="31" t="n"/>
    </row>
    <row r="2133">
      <c r="A2133" s="25" t="inlineStr">
        <is>
          <t>S41</t>
        </is>
      </c>
      <c r="B2133" s="25" t="inlineStr">
        <is>
          <t>거제</t>
        </is>
      </c>
      <c r="C2133" s="25" t="inlineStr">
        <is>
          <t>S41-H북</t>
        </is>
      </c>
      <c r="D2133" s="25" t="inlineStr">
        <is>
          <t>측정</t>
        </is>
      </c>
      <c r="E2133" s="25" t="inlineStr">
        <is>
          <t>북</t>
        </is>
      </c>
      <c r="F2133" s="30" t="n">
        <v>8</v>
      </c>
      <c r="G2133" s="29" t="n"/>
      <c r="H2133" s="42" t="n"/>
      <c r="I2133" s="40" t="n"/>
      <c r="J2133" s="40" t="n"/>
      <c r="K2133" s="40" t="n"/>
      <c r="L2133" s="30">
        <f>IF(COUNT(I2133:K2133)=0,"",MEDIAN(I2133:K2133))</f>
        <v/>
      </c>
      <c r="M2133" s="25">
        <f>IF(COUNTIFS($C:$C,$C2133,$D:$D,"P0(전)",$L:$L,"&gt;0")&lt;&gt;1,"P0(전) 유효 1개 아님",IF(COUNTIFS($C:$C,$C2133,$D:$D,"P0(후)",$L:$L,"&gt;0")&lt;&gt;1,"P0(후) 유효 1개 아님",IF(NOT(AND(ISNUMBER(N2133),ISNUMBER(P2133),ISNUMBER(H2133))),"시각 결측",IF(P2133&lt;=N2133,"P0 시각 역전",IF(OR(H2133&lt;N2133,H2133&gt;P2133),"측정시각 구간 밖","OK")))))</f>
        <v/>
      </c>
      <c r="N2133" s="45">
        <f>IF(COUNTIFS($C:$C,$C2133,$D:$D,"P0(전)",$L:$L,"&gt;0")&lt;&gt;1,"",SUMIFS($H:$H,$C:$C,$C2133,$D:$D,"P0(전)"))</f>
        <v/>
      </c>
      <c r="O2133" s="30">
        <f>IF(COUNTIFS($C:$C,$C2133,$D:$D,"P0(전)",$L:$L,"&gt;0")&lt;&gt;1,"",SUMIFS($L:$L,$C:$C,$C2133,$D:$D,"P0(전)"))</f>
        <v/>
      </c>
      <c r="P2133" s="45">
        <f>IF(COUNTIFS($C:$C,$C2133,$D:$D,"P0(후)",$L:$L,"&gt;0")&lt;&gt;1,"",SUMIFS($H:$H,$C:$C,$C2133,$D:$D,"P0(후)"))</f>
        <v/>
      </c>
      <c r="Q2133" s="30">
        <f>IF(COUNTIFS($C:$C,$C2133,$D:$D,"P0(후)",$L:$L,"&gt;0")&lt;&gt;1,"",SUMIFS($L:$L,$C:$C,$C2133,$D:$D,"P0(후)"))</f>
        <v/>
      </c>
      <c r="R2133" s="30">
        <f>IF(M2133&lt;&gt;"OK","",O2133+(Q2133-O2133)*(H2133-N2133)/(P2133-N2133))</f>
        <v/>
      </c>
      <c r="S2133" s="30">
        <f>IF(OR(M2133&lt;&gt;"OK",NOT(ISNUMBER(L2133))),"",L2133-R2133)</f>
        <v/>
      </c>
      <c r="T2133" s="46">
        <f>IF(OR(NOT(ISNUMBER(S2133)),IF(ISNUMBER(G2133),G2133,F2133)=0),"",S2133/IF(ISNUMBER(G2133),G2133,F2133))</f>
        <v/>
      </c>
      <c r="U2133" s="46">
        <f>IF(ISNUMBER(T2133),ABS(T2133),"")</f>
        <v/>
      </c>
      <c r="V2133" s="46">
        <f>IF(OR($D2132&lt;&gt;"측정",$C2132&lt;&gt;$C2133,NOT(ISNUMBER(L2133)),NOT(ISNUMBER(L2132)),(IF(ISNUMBER(G2133),G2133,F2133)-IF(ISNUMBER(G2132),G2132,F2132))=0),"",(L2133-L2132)/(IF(ISNUMBER(G2133),G2133,F2133)-IF(ISNUMBER(G2132),G2132,F2132)))</f>
        <v/>
      </c>
      <c r="W2133" s="30">
        <f>IF(NOT(AND(ISNUMBER(N2133),ISNUMBER(P2133))),"",(P2133-N2133)*1440)</f>
        <v/>
      </c>
      <c r="X2133" s="28" t="n"/>
      <c r="Y2133" s="28" t="n"/>
      <c r="Z2133" s="28" t="n"/>
      <c r="AA2133" s="31" t="n"/>
      <c r="AB2133" s="31" t="n"/>
    </row>
    <row r="2134">
      <c r="A2134" s="25" t="inlineStr">
        <is>
          <t>S41</t>
        </is>
      </c>
      <c r="B2134" s="25" t="inlineStr">
        <is>
          <t>거제</t>
        </is>
      </c>
      <c r="C2134" s="25" t="inlineStr">
        <is>
          <t>S41-H북</t>
        </is>
      </c>
      <c r="D2134" s="25" t="inlineStr">
        <is>
          <t>측정</t>
        </is>
      </c>
      <c r="E2134" s="25" t="inlineStr">
        <is>
          <t>북</t>
        </is>
      </c>
      <c r="F2134" s="30" t="n">
        <v>9</v>
      </c>
      <c r="G2134" s="29" t="n"/>
      <c r="H2134" s="42" t="n"/>
      <c r="I2134" s="40" t="n"/>
      <c r="J2134" s="40" t="n"/>
      <c r="K2134" s="40" t="n"/>
      <c r="L2134" s="30">
        <f>IF(COUNT(I2134:K2134)=0,"",MEDIAN(I2134:K2134))</f>
        <v/>
      </c>
      <c r="M2134" s="25">
        <f>IF(COUNTIFS($C:$C,$C2134,$D:$D,"P0(전)",$L:$L,"&gt;0")&lt;&gt;1,"P0(전) 유효 1개 아님",IF(COUNTIFS($C:$C,$C2134,$D:$D,"P0(후)",$L:$L,"&gt;0")&lt;&gt;1,"P0(후) 유효 1개 아님",IF(NOT(AND(ISNUMBER(N2134),ISNUMBER(P2134),ISNUMBER(H2134))),"시각 결측",IF(P2134&lt;=N2134,"P0 시각 역전",IF(OR(H2134&lt;N2134,H2134&gt;P2134),"측정시각 구간 밖","OK")))))</f>
        <v/>
      </c>
      <c r="N2134" s="45">
        <f>IF(COUNTIFS($C:$C,$C2134,$D:$D,"P0(전)",$L:$L,"&gt;0")&lt;&gt;1,"",SUMIFS($H:$H,$C:$C,$C2134,$D:$D,"P0(전)"))</f>
        <v/>
      </c>
      <c r="O2134" s="30">
        <f>IF(COUNTIFS($C:$C,$C2134,$D:$D,"P0(전)",$L:$L,"&gt;0")&lt;&gt;1,"",SUMIFS($L:$L,$C:$C,$C2134,$D:$D,"P0(전)"))</f>
        <v/>
      </c>
      <c r="P2134" s="45">
        <f>IF(COUNTIFS($C:$C,$C2134,$D:$D,"P0(후)",$L:$L,"&gt;0")&lt;&gt;1,"",SUMIFS($H:$H,$C:$C,$C2134,$D:$D,"P0(후)"))</f>
        <v/>
      </c>
      <c r="Q2134" s="30">
        <f>IF(COUNTIFS($C:$C,$C2134,$D:$D,"P0(후)",$L:$L,"&gt;0")&lt;&gt;1,"",SUMIFS($L:$L,$C:$C,$C2134,$D:$D,"P0(후)"))</f>
        <v/>
      </c>
      <c r="R2134" s="30">
        <f>IF(M2134&lt;&gt;"OK","",O2134+(Q2134-O2134)*(H2134-N2134)/(P2134-N2134))</f>
        <v/>
      </c>
      <c r="S2134" s="30">
        <f>IF(OR(M2134&lt;&gt;"OK",NOT(ISNUMBER(L2134))),"",L2134-R2134)</f>
        <v/>
      </c>
      <c r="T2134" s="46">
        <f>IF(OR(NOT(ISNUMBER(S2134)),IF(ISNUMBER(G2134),G2134,F2134)=0),"",S2134/IF(ISNUMBER(G2134),G2134,F2134))</f>
        <v/>
      </c>
      <c r="U2134" s="46">
        <f>IF(ISNUMBER(T2134),ABS(T2134),"")</f>
        <v/>
      </c>
      <c r="V2134" s="46">
        <f>IF(OR($D2133&lt;&gt;"측정",$C2133&lt;&gt;$C2134,NOT(ISNUMBER(L2134)),NOT(ISNUMBER(L2133)),(IF(ISNUMBER(G2134),G2134,F2134)-IF(ISNUMBER(G2133),G2133,F2133))=0),"",(L2134-L2133)/(IF(ISNUMBER(G2134),G2134,F2134)-IF(ISNUMBER(G2133),G2133,F2133)))</f>
        <v/>
      </c>
      <c r="W2134" s="30">
        <f>IF(NOT(AND(ISNUMBER(N2134),ISNUMBER(P2134))),"",(P2134-N2134)*1440)</f>
        <v/>
      </c>
      <c r="X2134" s="28" t="n"/>
      <c r="Y2134" s="28" t="n"/>
      <c r="Z2134" s="28" t="n"/>
      <c r="AA2134" s="31" t="n"/>
      <c r="AB2134" s="31" t="n"/>
    </row>
    <row r="2135">
      <c r="A2135" s="25" t="inlineStr">
        <is>
          <t>S41</t>
        </is>
      </c>
      <c r="B2135" s="25" t="inlineStr">
        <is>
          <t>거제</t>
        </is>
      </c>
      <c r="C2135" s="25" t="inlineStr">
        <is>
          <t>S41-H북</t>
        </is>
      </c>
      <c r="D2135" s="25" t="inlineStr">
        <is>
          <t>측정</t>
        </is>
      </c>
      <c r="E2135" s="25" t="inlineStr">
        <is>
          <t>북</t>
        </is>
      </c>
      <c r="F2135" s="30" t="n">
        <v>10</v>
      </c>
      <c r="G2135" s="29" t="n"/>
      <c r="H2135" s="42" t="n"/>
      <c r="I2135" s="40" t="n"/>
      <c r="J2135" s="40" t="n"/>
      <c r="K2135" s="40" t="n"/>
      <c r="L2135" s="30">
        <f>IF(COUNT(I2135:K2135)=0,"",MEDIAN(I2135:K2135))</f>
        <v/>
      </c>
      <c r="M2135" s="25">
        <f>IF(COUNTIFS($C:$C,$C2135,$D:$D,"P0(전)",$L:$L,"&gt;0")&lt;&gt;1,"P0(전) 유효 1개 아님",IF(COUNTIFS($C:$C,$C2135,$D:$D,"P0(후)",$L:$L,"&gt;0")&lt;&gt;1,"P0(후) 유효 1개 아님",IF(NOT(AND(ISNUMBER(N2135),ISNUMBER(P2135),ISNUMBER(H2135))),"시각 결측",IF(P2135&lt;=N2135,"P0 시각 역전",IF(OR(H2135&lt;N2135,H2135&gt;P2135),"측정시각 구간 밖","OK")))))</f>
        <v/>
      </c>
      <c r="N2135" s="45">
        <f>IF(COUNTIFS($C:$C,$C2135,$D:$D,"P0(전)",$L:$L,"&gt;0")&lt;&gt;1,"",SUMIFS($H:$H,$C:$C,$C2135,$D:$D,"P0(전)"))</f>
        <v/>
      </c>
      <c r="O2135" s="30">
        <f>IF(COUNTIFS($C:$C,$C2135,$D:$D,"P0(전)",$L:$L,"&gt;0")&lt;&gt;1,"",SUMIFS($L:$L,$C:$C,$C2135,$D:$D,"P0(전)"))</f>
        <v/>
      </c>
      <c r="P2135" s="45">
        <f>IF(COUNTIFS($C:$C,$C2135,$D:$D,"P0(후)",$L:$L,"&gt;0")&lt;&gt;1,"",SUMIFS($H:$H,$C:$C,$C2135,$D:$D,"P0(후)"))</f>
        <v/>
      </c>
      <c r="Q2135" s="30">
        <f>IF(COUNTIFS($C:$C,$C2135,$D:$D,"P0(후)",$L:$L,"&gt;0")&lt;&gt;1,"",SUMIFS($L:$L,$C:$C,$C2135,$D:$D,"P0(후)"))</f>
        <v/>
      </c>
      <c r="R2135" s="30">
        <f>IF(M2135&lt;&gt;"OK","",O2135+(Q2135-O2135)*(H2135-N2135)/(P2135-N2135))</f>
        <v/>
      </c>
      <c r="S2135" s="30">
        <f>IF(OR(M2135&lt;&gt;"OK",NOT(ISNUMBER(L2135))),"",L2135-R2135)</f>
        <v/>
      </c>
      <c r="T2135" s="46">
        <f>IF(OR(NOT(ISNUMBER(S2135)),IF(ISNUMBER(G2135),G2135,F2135)=0),"",S2135/IF(ISNUMBER(G2135),G2135,F2135))</f>
        <v/>
      </c>
      <c r="U2135" s="46">
        <f>IF(ISNUMBER(T2135),ABS(T2135),"")</f>
        <v/>
      </c>
      <c r="V2135" s="46">
        <f>IF(OR($D2134&lt;&gt;"측정",$C2134&lt;&gt;$C2135,NOT(ISNUMBER(L2135)),NOT(ISNUMBER(L2134)),(IF(ISNUMBER(G2135),G2135,F2135)-IF(ISNUMBER(G2134),G2134,F2134))=0),"",(L2135-L2134)/(IF(ISNUMBER(G2135),G2135,F2135)-IF(ISNUMBER(G2134),G2134,F2134)))</f>
        <v/>
      </c>
      <c r="W2135" s="30">
        <f>IF(NOT(AND(ISNUMBER(N2135),ISNUMBER(P2135))),"",(P2135-N2135)*1440)</f>
        <v/>
      </c>
      <c r="X2135" s="28" t="n"/>
      <c r="Y2135" s="28" t="n"/>
      <c r="Z2135" s="28" t="n"/>
      <c r="AA2135" s="31" t="n"/>
      <c r="AB2135" s="31" t="n"/>
    </row>
    <row r="2136">
      <c r="A2136" s="43" t="inlineStr">
        <is>
          <t>S41</t>
        </is>
      </c>
      <c r="B2136" s="43" t="inlineStr">
        <is>
          <t>거제</t>
        </is>
      </c>
      <c r="C2136" s="43" t="inlineStr">
        <is>
          <t>S41-H북</t>
        </is>
      </c>
      <c r="D2136" s="43" t="inlineStr">
        <is>
          <t>P0(후)</t>
        </is>
      </c>
      <c r="E2136" s="43" t="inlineStr">
        <is>
          <t>북</t>
        </is>
      </c>
      <c r="F2136" s="44" t="n"/>
      <c r="G2136" s="29" t="n"/>
      <c r="H2136" s="42" t="n"/>
      <c r="I2136" s="40" t="n"/>
      <c r="J2136" s="40" t="n"/>
      <c r="K2136" s="40" t="n"/>
      <c r="L2136" s="30">
        <f>IF(COUNT(I2136:K2136)=0,"",MEDIAN(I2136:K2136))</f>
        <v/>
      </c>
      <c r="M2136" s="37" t="n"/>
      <c r="N2136" s="37" t="n"/>
      <c r="O2136" s="37" t="n"/>
      <c r="P2136" s="37" t="n"/>
      <c r="Q2136" s="37" t="n"/>
      <c r="R2136" s="37" t="n"/>
      <c r="S2136" s="37" t="n"/>
      <c r="T2136" s="37" t="n"/>
      <c r="U2136" s="37" t="n"/>
      <c r="V2136" s="37" t="n"/>
      <c r="W2136" s="37" t="n"/>
      <c r="X2136" s="28" t="n"/>
      <c r="Y2136" s="28" t="n"/>
      <c r="Z2136" s="28" t="n"/>
      <c r="AA2136" s="31" t="n"/>
      <c r="AB2136" s="31" t="n"/>
    </row>
    <row r="2137">
      <c r="A2137" s="43" t="inlineStr">
        <is>
          <t>S42</t>
        </is>
      </c>
      <c r="B2137" s="43" t="inlineStr">
        <is>
          <t>조도</t>
        </is>
      </c>
      <c r="C2137" s="43" t="inlineStr">
        <is>
          <t>S42-H동</t>
        </is>
      </c>
      <c r="D2137" s="43" t="inlineStr">
        <is>
          <t>P0(전)</t>
        </is>
      </c>
      <c r="E2137" s="43" t="inlineStr">
        <is>
          <t>동</t>
        </is>
      </c>
      <c r="F2137" s="44" t="n"/>
      <c r="G2137" s="29" t="n"/>
      <c r="H2137" s="42" t="n"/>
      <c r="I2137" s="40" t="n"/>
      <c r="J2137" s="40" t="n"/>
      <c r="K2137" s="40" t="n"/>
      <c r="L2137" s="30">
        <f>IF(COUNT(I2137:K2137)=0,"",MEDIAN(I2137:K2137))</f>
        <v/>
      </c>
      <c r="M2137" s="37" t="n"/>
      <c r="N2137" s="37" t="n"/>
      <c r="O2137" s="37" t="n"/>
      <c r="P2137" s="37" t="n"/>
      <c r="Q2137" s="37" t="n"/>
      <c r="R2137" s="37" t="n"/>
      <c r="S2137" s="37" t="n"/>
      <c r="T2137" s="37" t="n"/>
      <c r="U2137" s="37" t="n"/>
      <c r="V2137" s="37" t="n"/>
      <c r="W2137" s="37" t="n"/>
      <c r="X2137" s="28" t="n"/>
      <c r="Y2137" s="28" t="n"/>
      <c r="Z2137" s="28" t="n"/>
      <c r="AA2137" s="31" t="n"/>
      <c r="AB2137" s="31" t="n"/>
    </row>
    <row r="2138">
      <c r="A2138" s="25" t="inlineStr">
        <is>
          <t>S42</t>
        </is>
      </c>
      <c r="B2138" s="25" t="inlineStr">
        <is>
          <t>조도</t>
        </is>
      </c>
      <c r="C2138" s="25" t="inlineStr">
        <is>
          <t>S42-H동</t>
        </is>
      </c>
      <c r="D2138" s="25" t="inlineStr">
        <is>
          <t>측정</t>
        </is>
      </c>
      <c r="E2138" s="25" t="inlineStr">
        <is>
          <t>동</t>
        </is>
      </c>
      <c r="F2138" s="30" t="n">
        <v>0.5</v>
      </c>
      <c r="G2138" s="29" t="n"/>
      <c r="H2138" s="42" t="n"/>
      <c r="I2138" s="40" t="n"/>
      <c r="J2138" s="40" t="n"/>
      <c r="K2138" s="40" t="n"/>
      <c r="L2138" s="30">
        <f>IF(COUNT(I2138:K2138)=0,"",MEDIAN(I2138:K2138))</f>
        <v/>
      </c>
      <c r="M2138" s="25">
        <f>IF(COUNTIFS($C:$C,$C2138,$D:$D,"P0(전)",$L:$L,"&gt;0")&lt;&gt;1,"P0(전) 유효 1개 아님",IF(COUNTIFS($C:$C,$C2138,$D:$D,"P0(후)",$L:$L,"&gt;0")&lt;&gt;1,"P0(후) 유효 1개 아님",IF(NOT(AND(ISNUMBER(N2138),ISNUMBER(P2138),ISNUMBER(H2138))),"시각 결측",IF(P2138&lt;=N2138,"P0 시각 역전",IF(OR(H2138&lt;N2138,H2138&gt;P2138),"측정시각 구간 밖","OK")))))</f>
        <v/>
      </c>
      <c r="N2138" s="45">
        <f>IF(COUNTIFS($C:$C,$C2138,$D:$D,"P0(전)",$L:$L,"&gt;0")&lt;&gt;1,"",SUMIFS($H:$H,$C:$C,$C2138,$D:$D,"P0(전)"))</f>
        <v/>
      </c>
      <c r="O2138" s="30">
        <f>IF(COUNTIFS($C:$C,$C2138,$D:$D,"P0(전)",$L:$L,"&gt;0")&lt;&gt;1,"",SUMIFS($L:$L,$C:$C,$C2138,$D:$D,"P0(전)"))</f>
        <v/>
      </c>
      <c r="P2138" s="45">
        <f>IF(COUNTIFS($C:$C,$C2138,$D:$D,"P0(후)",$L:$L,"&gt;0")&lt;&gt;1,"",SUMIFS($H:$H,$C:$C,$C2138,$D:$D,"P0(후)"))</f>
        <v/>
      </c>
      <c r="Q2138" s="30">
        <f>IF(COUNTIFS($C:$C,$C2138,$D:$D,"P0(후)",$L:$L,"&gt;0")&lt;&gt;1,"",SUMIFS($L:$L,$C:$C,$C2138,$D:$D,"P0(후)"))</f>
        <v/>
      </c>
      <c r="R2138" s="30">
        <f>IF(M2138&lt;&gt;"OK","",O2138+(Q2138-O2138)*(H2138-N2138)/(P2138-N2138))</f>
        <v/>
      </c>
      <c r="S2138" s="30">
        <f>IF(OR(M2138&lt;&gt;"OK",NOT(ISNUMBER(L2138))),"",L2138-R2138)</f>
        <v/>
      </c>
      <c r="T2138" s="46">
        <f>IF(OR(NOT(ISNUMBER(S2138)),IF(ISNUMBER(G2138),G2138,F2138)=0),"",S2138/IF(ISNUMBER(G2138),G2138,F2138))</f>
        <v/>
      </c>
      <c r="U2138" s="46">
        <f>IF(ISNUMBER(T2138),ABS(T2138),"")</f>
        <v/>
      </c>
      <c r="V2138" s="46">
        <f>IF(OR($D2137&lt;&gt;"측정",$C2137&lt;&gt;$C2138,NOT(ISNUMBER(L2138)),NOT(ISNUMBER(L2137)),(IF(ISNUMBER(G2138),G2138,F2138)-IF(ISNUMBER(G2137),G2137,F2137))=0),"",(L2138-L2137)/(IF(ISNUMBER(G2138),G2138,F2138)-IF(ISNUMBER(G2137),G2137,F2137)))</f>
        <v/>
      </c>
      <c r="W2138" s="30">
        <f>IF(NOT(AND(ISNUMBER(N2138),ISNUMBER(P2138))),"",(P2138-N2138)*1440)</f>
        <v/>
      </c>
      <c r="X2138" s="28" t="n"/>
      <c r="Y2138" s="28" t="n"/>
      <c r="Z2138" s="28" t="n"/>
      <c r="AA2138" s="31" t="n"/>
      <c r="AB2138" s="31" t="n"/>
    </row>
    <row r="2139">
      <c r="A2139" s="25" t="inlineStr">
        <is>
          <t>S42</t>
        </is>
      </c>
      <c r="B2139" s="25" t="inlineStr">
        <is>
          <t>조도</t>
        </is>
      </c>
      <c r="C2139" s="25" t="inlineStr">
        <is>
          <t>S42-H동</t>
        </is>
      </c>
      <c r="D2139" s="25" t="inlineStr">
        <is>
          <t>측정</t>
        </is>
      </c>
      <c r="E2139" s="25" t="inlineStr">
        <is>
          <t>동</t>
        </is>
      </c>
      <c r="F2139" s="30" t="n">
        <v>1</v>
      </c>
      <c r="G2139" s="29" t="n"/>
      <c r="H2139" s="42" t="n"/>
      <c r="I2139" s="40" t="n"/>
      <c r="J2139" s="40" t="n"/>
      <c r="K2139" s="40" t="n"/>
      <c r="L2139" s="30">
        <f>IF(COUNT(I2139:K2139)=0,"",MEDIAN(I2139:K2139))</f>
        <v/>
      </c>
      <c r="M2139" s="25">
        <f>IF(COUNTIFS($C:$C,$C2139,$D:$D,"P0(전)",$L:$L,"&gt;0")&lt;&gt;1,"P0(전) 유효 1개 아님",IF(COUNTIFS($C:$C,$C2139,$D:$D,"P0(후)",$L:$L,"&gt;0")&lt;&gt;1,"P0(후) 유효 1개 아님",IF(NOT(AND(ISNUMBER(N2139),ISNUMBER(P2139),ISNUMBER(H2139))),"시각 결측",IF(P2139&lt;=N2139,"P0 시각 역전",IF(OR(H2139&lt;N2139,H2139&gt;P2139),"측정시각 구간 밖","OK")))))</f>
        <v/>
      </c>
      <c r="N2139" s="45">
        <f>IF(COUNTIFS($C:$C,$C2139,$D:$D,"P0(전)",$L:$L,"&gt;0")&lt;&gt;1,"",SUMIFS($H:$H,$C:$C,$C2139,$D:$D,"P0(전)"))</f>
        <v/>
      </c>
      <c r="O2139" s="30">
        <f>IF(COUNTIFS($C:$C,$C2139,$D:$D,"P0(전)",$L:$L,"&gt;0")&lt;&gt;1,"",SUMIFS($L:$L,$C:$C,$C2139,$D:$D,"P0(전)"))</f>
        <v/>
      </c>
      <c r="P2139" s="45">
        <f>IF(COUNTIFS($C:$C,$C2139,$D:$D,"P0(후)",$L:$L,"&gt;0")&lt;&gt;1,"",SUMIFS($H:$H,$C:$C,$C2139,$D:$D,"P0(후)"))</f>
        <v/>
      </c>
      <c r="Q2139" s="30">
        <f>IF(COUNTIFS($C:$C,$C2139,$D:$D,"P0(후)",$L:$L,"&gt;0")&lt;&gt;1,"",SUMIFS($L:$L,$C:$C,$C2139,$D:$D,"P0(후)"))</f>
        <v/>
      </c>
      <c r="R2139" s="30">
        <f>IF(M2139&lt;&gt;"OK","",O2139+(Q2139-O2139)*(H2139-N2139)/(P2139-N2139))</f>
        <v/>
      </c>
      <c r="S2139" s="30">
        <f>IF(OR(M2139&lt;&gt;"OK",NOT(ISNUMBER(L2139))),"",L2139-R2139)</f>
        <v/>
      </c>
      <c r="T2139" s="46">
        <f>IF(OR(NOT(ISNUMBER(S2139)),IF(ISNUMBER(G2139),G2139,F2139)=0),"",S2139/IF(ISNUMBER(G2139),G2139,F2139))</f>
        <v/>
      </c>
      <c r="U2139" s="46">
        <f>IF(ISNUMBER(T2139),ABS(T2139),"")</f>
        <v/>
      </c>
      <c r="V2139" s="46">
        <f>IF(OR($D2138&lt;&gt;"측정",$C2138&lt;&gt;$C2139,NOT(ISNUMBER(L2139)),NOT(ISNUMBER(L2138)),(IF(ISNUMBER(G2139),G2139,F2139)-IF(ISNUMBER(G2138),G2138,F2138))=0),"",(L2139-L2138)/(IF(ISNUMBER(G2139),G2139,F2139)-IF(ISNUMBER(G2138),G2138,F2138)))</f>
        <v/>
      </c>
      <c r="W2139" s="30">
        <f>IF(NOT(AND(ISNUMBER(N2139),ISNUMBER(P2139))),"",(P2139-N2139)*1440)</f>
        <v/>
      </c>
      <c r="X2139" s="28" t="n"/>
      <c r="Y2139" s="28" t="n"/>
      <c r="Z2139" s="28" t="n"/>
      <c r="AA2139" s="31" t="n"/>
      <c r="AB2139" s="31" t="n"/>
    </row>
    <row r="2140">
      <c r="A2140" s="25" t="inlineStr">
        <is>
          <t>S42</t>
        </is>
      </c>
      <c r="B2140" s="25" t="inlineStr">
        <is>
          <t>조도</t>
        </is>
      </c>
      <c r="C2140" s="25" t="inlineStr">
        <is>
          <t>S42-H동</t>
        </is>
      </c>
      <c r="D2140" s="25" t="inlineStr">
        <is>
          <t>측정</t>
        </is>
      </c>
      <c r="E2140" s="25" t="inlineStr">
        <is>
          <t>동</t>
        </is>
      </c>
      <c r="F2140" s="30" t="n">
        <v>2</v>
      </c>
      <c r="G2140" s="29" t="n"/>
      <c r="H2140" s="42" t="n"/>
      <c r="I2140" s="40" t="n"/>
      <c r="J2140" s="40" t="n"/>
      <c r="K2140" s="40" t="n"/>
      <c r="L2140" s="30">
        <f>IF(COUNT(I2140:K2140)=0,"",MEDIAN(I2140:K2140))</f>
        <v/>
      </c>
      <c r="M2140" s="25">
        <f>IF(COUNTIFS($C:$C,$C2140,$D:$D,"P0(전)",$L:$L,"&gt;0")&lt;&gt;1,"P0(전) 유효 1개 아님",IF(COUNTIFS($C:$C,$C2140,$D:$D,"P0(후)",$L:$L,"&gt;0")&lt;&gt;1,"P0(후) 유효 1개 아님",IF(NOT(AND(ISNUMBER(N2140),ISNUMBER(P2140),ISNUMBER(H2140))),"시각 결측",IF(P2140&lt;=N2140,"P0 시각 역전",IF(OR(H2140&lt;N2140,H2140&gt;P2140),"측정시각 구간 밖","OK")))))</f>
        <v/>
      </c>
      <c r="N2140" s="45">
        <f>IF(COUNTIFS($C:$C,$C2140,$D:$D,"P0(전)",$L:$L,"&gt;0")&lt;&gt;1,"",SUMIFS($H:$H,$C:$C,$C2140,$D:$D,"P0(전)"))</f>
        <v/>
      </c>
      <c r="O2140" s="30">
        <f>IF(COUNTIFS($C:$C,$C2140,$D:$D,"P0(전)",$L:$L,"&gt;0")&lt;&gt;1,"",SUMIFS($L:$L,$C:$C,$C2140,$D:$D,"P0(전)"))</f>
        <v/>
      </c>
      <c r="P2140" s="45">
        <f>IF(COUNTIFS($C:$C,$C2140,$D:$D,"P0(후)",$L:$L,"&gt;0")&lt;&gt;1,"",SUMIFS($H:$H,$C:$C,$C2140,$D:$D,"P0(후)"))</f>
        <v/>
      </c>
      <c r="Q2140" s="30">
        <f>IF(COUNTIFS($C:$C,$C2140,$D:$D,"P0(후)",$L:$L,"&gt;0")&lt;&gt;1,"",SUMIFS($L:$L,$C:$C,$C2140,$D:$D,"P0(후)"))</f>
        <v/>
      </c>
      <c r="R2140" s="30">
        <f>IF(M2140&lt;&gt;"OK","",O2140+(Q2140-O2140)*(H2140-N2140)/(P2140-N2140))</f>
        <v/>
      </c>
      <c r="S2140" s="30">
        <f>IF(OR(M2140&lt;&gt;"OK",NOT(ISNUMBER(L2140))),"",L2140-R2140)</f>
        <v/>
      </c>
      <c r="T2140" s="46">
        <f>IF(OR(NOT(ISNUMBER(S2140)),IF(ISNUMBER(G2140),G2140,F2140)=0),"",S2140/IF(ISNUMBER(G2140),G2140,F2140))</f>
        <v/>
      </c>
      <c r="U2140" s="46">
        <f>IF(ISNUMBER(T2140),ABS(T2140),"")</f>
        <v/>
      </c>
      <c r="V2140" s="46">
        <f>IF(OR($D2139&lt;&gt;"측정",$C2139&lt;&gt;$C2140,NOT(ISNUMBER(L2140)),NOT(ISNUMBER(L2139)),(IF(ISNUMBER(G2140),G2140,F2140)-IF(ISNUMBER(G2139),G2139,F2139))=0),"",(L2140-L2139)/(IF(ISNUMBER(G2140),G2140,F2140)-IF(ISNUMBER(G2139),G2139,F2139)))</f>
        <v/>
      </c>
      <c r="W2140" s="30">
        <f>IF(NOT(AND(ISNUMBER(N2140),ISNUMBER(P2140))),"",(P2140-N2140)*1440)</f>
        <v/>
      </c>
      <c r="X2140" s="28" t="n"/>
      <c r="Y2140" s="28" t="n"/>
      <c r="Z2140" s="28" t="n"/>
      <c r="AA2140" s="31" t="n"/>
      <c r="AB2140" s="31" t="n"/>
    </row>
    <row r="2141">
      <c r="A2141" s="25" t="inlineStr">
        <is>
          <t>S42</t>
        </is>
      </c>
      <c r="B2141" s="25" t="inlineStr">
        <is>
          <t>조도</t>
        </is>
      </c>
      <c r="C2141" s="25" t="inlineStr">
        <is>
          <t>S42-H동</t>
        </is>
      </c>
      <c r="D2141" s="25" t="inlineStr">
        <is>
          <t>측정</t>
        </is>
      </c>
      <c r="E2141" s="25" t="inlineStr">
        <is>
          <t>동</t>
        </is>
      </c>
      <c r="F2141" s="30" t="n">
        <v>3</v>
      </c>
      <c r="G2141" s="29" t="n"/>
      <c r="H2141" s="42" t="n"/>
      <c r="I2141" s="40" t="n"/>
      <c r="J2141" s="40" t="n"/>
      <c r="K2141" s="40" t="n"/>
      <c r="L2141" s="30">
        <f>IF(COUNT(I2141:K2141)=0,"",MEDIAN(I2141:K2141))</f>
        <v/>
      </c>
      <c r="M2141" s="25">
        <f>IF(COUNTIFS($C:$C,$C2141,$D:$D,"P0(전)",$L:$L,"&gt;0")&lt;&gt;1,"P0(전) 유효 1개 아님",IF(COUNTIFS($C:$C,$C2141,$D:$D,"P0(후)",$L:$L,"&gt;0")&lt;&gt;1,"P0(후) 유효 1개 아님",IF(NOT(AND(ISNUMBER(N2141),ISNUMBER(P2141),ISNUMBER(H2141))),"시각 결측",IF(P2141&lt;=N2141,"P0 시각 역전",IF(OR(H2141&lt;N2141,H2141&gt;P2141),"측정시각 구간 밖","OK")))))</f>
        <v/>
      </c>
      <c r="N2141" s="45">
        <f>IF(COUNTIFS($C:$C,$C2141,$D:$D,"P0(전)",$L:$L,"&gt;0")&lt;&gt;1,"",SUMIFS($H:$H,$C:$C,$C2141,$D:$D,"P0(전)"))</f>
        <v/>
      </c>
      <c r="O2141" s="30">
        <f>IF(COUNTIFS($C:$C,$C2141,$D:$D,"P0(전)",$L:$L,"&gt;0")&lt;&gt;1,"",SUMIFS($L:$L,$C:$C,$C2141,$D:$D,"P0(전)"))</f>
        <v/>
      </c>
      <c r="P2141" s="45">
        <f>IF(COUNTIFS($C:$C,$C2141,$D:$D,"P0(후)",$L:$L,"&gt;0")&lt;&gt;1,"",SUMIFS($H:$H,$C:$C,$C2141,$D:$D,"P0(후)"))</f>
        <v/>
      </c>
      <c r="Q2141" s="30">
        <f>IF(COUNTIFS($C:$C,$C2141,$D:$D,"P0(후)",$L:$L,"&gt;0")&lt;&gt;1,"",SUMIFS($L:$L,$C:$C,$C2141,$D:$D,"P0(후)"))</f>
        <v/>
      </c>
      <c r="R2141" s="30">
        <f>IF(M2141&lt;&gt;"OK","",O2141+(Q2141-O2141)*(H2141-N2141)/(P2141-N2141))</f>
        <v/>
      </c>
      <c r="S2141" s="30">
        <f>IF(OR(M2141&lt;&gt;"OK",NOT(ISNUMBER(L2141))),"",L2141-R2141)</f>
        <v/>
      </c>
      <c r="T2141" s="46">
        <f>IF(OR(NOT(ISNUMBER(S2141)),IF(ISNUMBER(G2141),G2141,F2141)=0),"",S2141/IF(ISNUMBER(G2141),G2141,F2141))</f>
        <v/>
      </c>
      <c r="U2141" s="46">
        <f>IF(ISNUMBER(T2141),ABS(T2141),"")</f>
        <v/>
      </c>
      <c r="V2141" s="46">
        <f>IF(OR($D2140&lt;&gt;"측정",$C2140&lt;&gt;$C2141,NOT(ISNUMBER(L2141)),NOT(ISNUMBER(L2140)),(IF(ISNUMBER(G2141),G2141,F2141)-IF(ISNUMBER(G2140),G2140,F2140))=0),"",(L2141-L2140)/(IF(ISNUMBER(G2141),G2141,F2141)-IF(ISNUMBER(G2140),G2140,F2140)))</f>
        <v/>
      </c>
      <c r="W2141" s="30">
        <f>IF(NOT(AND(ISNUMBER(N2141),ISNUMBER(P2141))),"",(P2141-N2141)*1440)</f>
        <v/>
      </c>
      <c r="X2141" s="28" t="n"/>
      <c r="Y2141" s="28" t="n"/>
      <c r="Z2141" s="28" t="n"/>
      <c r="AA2141" s="31" t="n"/>
      <c r="AB2141" s="31" t="n"/>
    </row>
    <row r="2142">
      <c r="A2142" s="25" t="inlineStr">
        <is>
          <t>S42</t>
        </is>
      </c>
      <c r="B2142" s="25" t="inlineStr">
        <is>
          <t>조도</t>
        </is>
      </c>
      <c r="C2142" s="25" t="inlineStr">
        <is>
          <t>S42-H동</t>
        </is>
      </c>
      <c r="D2142" s="25" t="inlineStr">
        <is>
          <t>측정</t>
        </is>
      </c>
      <c r="E2142" s="25" t="inlineStr">
        <is>
          <t>동</t>
        </is>
      </c>
      <c r="F2142" s="30" t="n">
        <v>4</v>
      </c>
      <c r="G2142" s="29" t="n"/>
      <c r="H2142" s="42" t="n"/>
      <c r="I2142" s="40" t="n"/>
      <c r="J2142" s="40" t="n"/>
      <c r="K2142" s="40" t="n"/>
      <c r="L2142" s="30">
        <f>IF(COUNT(I2142:K2142)=0,"",MEDIAN(I2142:K2142))</f>
        <v/>
      </c>
      <c r="M2142" s="25">
        <f>IF(COUNTIFS($C:$C,$C2142,$D:$D,"P0(전)",$L:$L,"&gt;0")&lt;&gt;1,"P0(전) 유효 1개 아님",IF(COUNTIFS($C:$C,$C2142,$D:$D,"P0(후)",$L:$L,"&gt;0")&lt;&gt;1,"P0(후) 유효 1개 아님",IF(NOT(AND(ISNUMBER(N2142),ISNUMBER(P2142),ISNUMBER(H2142))),"시각 결측",IF(P2142&lt;=N2142,"P0 시각 역전",IF(OR(H2142&lt;N2142,H2142&gt;P2142),"측정시각 구간 밖","OK")))))</f>
        <v/>
      </c>
      <c r="N2142" s="45">
        <f>IF(COUNTIFS($C:$C,$C2142,$D:$D,"P0(전)",$L:$L,"&gt;0")&lt;&gt;1,"",SUMIFS($H:$H,$C:$C,$C2142,$D:$D,"P0(전)"))</f>
        <v/>
      </c>
      <c r="O2142" s="30">
        <f>IF(COUNTIFS($C:$C,$C2142,$D:$D,"P0(전)",$L:$L,"&gt;0")&lt;&gt;1,"",SUMIFS($L:$L,$C:$C,$C2142,$D:$D,"P0(전)"))</f>
        <v/>
      </c>
      <c r="P2142" s="45">
        <f>IF(COUNTIFS($C:$C,$C2142,$D:$D,"P0(후)",$L:$L,"&gt;0")&lt;&gt;1,"",SUMIFS($H:$H,$C:$C,$C2142,$D:$D,"P0(후)"))</f>
        <v/>
      </c>
      <c r="Q2142" s="30">
        <f>IF(COUNTIFS($C:$C,$C2142,$D:$D,"P0(후)",$L:$L,"&gt;0")&lt;&gt;1,"",SUMIFS($L:$L,$C:$C,$C2142,$D:$D,"P0(후)"))</f>
        <v/>
      </c>
      <c r="R2142" s="30">
        <f>IF(M2142&lt;&gt;"OK","",O2142+(Q2142-O2142)*(H2142-N2142)/(P2142-N2142))</f>
        <v/>
      </c>
      <c r="S2142" s="30">
        <f>IF(OR(M2142&lt;&gt;"OK",NOT(ISNUMBER(L2142))),"",L2142-R2142)</f>
        <v/>
      </c>
      <c r="T2142" s="46">
        <f>IF(OR(NOT(ISNUMBER(S2142)),IF(ISNUMBER(G2142),G2142,F2142)=0),"",S2142/IF(ISNUMBER(G2142),G2142,F2142))</f>
        <v/>
      </c>
      <c r="U2142" s="46">
        <f>IF(ISNUMBER(T2142),ABS(T2142),"")</f>
        <v/>
      </c>
      <c r="V2142" s="46">
        <f>IF(OR($D2141&lt;&gt;"측정",$C2141&lt;&gt;$C2142,NOT(ISNUMBER(L2142)),NOT(ISNUMBER(L2141)),(IF(ISNUMBER(G2142),G2142,F2142)-IF(ISNUMBER(G2141),G2141,F2141))=0),"",(L2142-L2141)/(IF(ISNUMBER(G2142),G2142,F2142)-IF(ISNUMBER(G2141),G2141,F2141)))</f>
        <v/>
      </c>
      <c r="W2142" s="30">
        <f>IF(NOT(AND(ISNUMBER(N2142),ISNUMBER(P2142))),"",(P2142-N2142)*1440)</f>
        <v/>
      </c>
      <c r="X2142" s="28" t="n"/>
      <c r="Y2142" s="28" t="n"/>
      <c r="Z2142" s="28" t="n"/>
      <c r="AA2142" s="31" t="n"/>
      <c r="AB2142" s="31" t="n"/>
    </row>
    <row r="2143">
      <c r="A2143" s="25" t="inlineStr">
        <is>
          <t>S42</t>
        </is>
      </c>
      <c r="B2143" s="25" t="inlineStr">
        <is>
          <t>조도</t>
        </is>
      </c>
      <c r="C2143" s="25" t="inlineStr">
        <is>
          <t>S42-H동</t>
        </is>
      </c>
      <c r="D2143" s="25" t="inlineStr">
        <is>
          <t>측정</t>
        </is>
      </c>
      <c r="E2143" s="25" t="inlineStr">
        <is>
          <t>동</t>
        </is>
      </c>
      <c r="F2143" s="30" t="n">
        <v>5</v>
      </c>
      <c r="G2143" s="29" t="n"/>
      <c r="H2143" s="42" t="n"/>
      <c r="I2143" s="40" t="n"/>
      <c r="J2143" s="40" t="n"/>
      <c r="K2143" s="40" t="n"/>
      <c r="L2143" s="30">
        <f>IF(COUNT(I2143:K2143)=0,"",MEDIAN(I2143:K2143))</f>
        <v/>
      </c>
      <c r="M2143" s="25">
        <f>IF(COUNTIFS($C:$C,$C2143,$D:$D,"P0(전)",$L:$L,"&gt;0")&lt;&gt;1,"P0(전) 유효 1개 아님",IF(COUNTIFS($C:$C,$C2143,$D:$D,"P0(후)",$L:$L,"&gt;0")&lt;&gt;1,"P0(후) 유효 1개 아님",IF(NOT(AND(ISNUMBER(N2143),ISNUMBER(P2143),ISNUMBER(H2143))),"시각 결측",IF(P2143&lt;=N2143,"P0 시각 역전",IF(OR(H2143&lt;N2143,H2143&gt;P2143),"측정시각 구간 밖","OK")))))</f>
        <v/>
      </c>
      <c r="N2143" s="45">
        <f>IF(COUNTIFS($C:$C,$C2143,$D:$D,"P0(전)",$L:$L,"&gt;0")&lt;&gt;1,"",SUMIFS($H:$H,$C:$C,$C2143,$D:$D,"P0(전)"))</f>
        <v/>
      </c>
      <c r="O2143" s="30">
        <f>IF(COUNTIFS($C:$C,$C2143,$D:$D,"P0(전)",$L:$L,"&gt;0")&lt;&gt;1,"",SUMIFS($L:$L,$C:$C,$C2143,$D:$D,"P0(전)"))</f>
        <v/>
      </c>
      <c r="P2143" s="45">
        <f>IF(COUNTIFS($C:$C,$C2143,$D:$D,"P0(후)",$L:$L,"&gt;0")&lt;&gt;1,"",SUMIFS($H:$H,$C:$C,$C2143,$D:$D,"P0(후)"))</f>
        <v/>
      </c>
      <c r="Q2143" s="30">
        <f>IF(COUNTIFS($C:$C,$C2143,$D:$D,"P0(후)",$L:$L,"&gt;0")&lt;&gt;1,"",SUMIFS($L:$L,$C:$C,$C2143,$D:$D,"P0(후)"))</f>
        <v/>
      </c>
      <c r="R2143" s="30">
        <f>IF(M2143&lt;&gt;"OK","",O2143+(Q2143-O2143)*(H2143-N2143)/(P2143-N2143))</f>
        <v/>
      </c>
      <c r="S2143" s="30">
        <f>IF(OR(M2143&lt;&gt;"OK",NOT(ISNUMBER(L2143))),"",L2143-R2143)</f>
        <v/>
      </c>
      <c r="T2143" s="46">
        <f>IF(OR(NOT(ISNUMBER(S2143)),IF(ISNUMBER(G2143),G2143,F2143)=0),"",S2143/IF(ISNUMBER(G2143),G2143,F2143))</f>
        <v/>
      </c>
      <c r="U2143" s="46">
        <f>IF(ISNUMBER(T2143),ABS(T2143),"")</f>
        <v/>
      </c>
      <c r="V2143" s="46">
        <f>IF(OR($D2142&lt;&gt;"측정",$C2142&lt;&gt;$C2143,NOT(ISNUMBER(L2143)),NOT(ISNUMBER(L2142)),(IF(ISNUMBER(G2143),G2143,F2143)-IF(ISNUMBER(G2142),G2142,F2142))=0),"",(L2143-L2142)/(IF(ISNUMBER(G2143),G2143,F2143)-IF(ISNUMBER(G2142),G2142,F2142)))</f>
        <v/>
      </c>
      <c r="W2143" s="30">
        <f>IF(NOT(AND(ISNUMBER(N2143),ISNUMBER(P2143))),"",(P2143-N2143)*1440)</f>
        <v/>
      </c>
      <c r="X2143" s="28" t="n"/>
      <c r="Y2143" s="28" t="n"/>
      <c r="Z2143" s="28" t="n"/>
      <c r="AA2143" s="31" t="n"/>
      <c r="AB2143" s="31" t="n"/>
    </row>
    <row r="2144">
      <c r="A2144" s="25" t="inlineStr">
        <is>
          <t>S42</t>
        </is>
      </c>
      <c r="B2144" s="25" t="inlineStr">
        <is>
          <t>조도</t>
        </is>
      </c>
      <c r="C2144" s="25" t="inlineStr">
        <is>
          <t>S42-H동</t>
        </is>
      </c>
      <c r="D2144" s="25" t="inlineStr">
        <is>
          <t>측정</t>
        </is>
      </c>
      <c r="E2144" s="25" t="inlineStr">
        <is>
          <t>동</t>
        </is>
      </c>
      <c r="F2144" s="30" t="n">
        <v>6</v>
      </c>
      <c r="G2144" s="29" t="n"/>
      <c r="H2144" s="42" t="n"/>
      <c r="I2144" s="40" t="n"/>
      <c r="J2144" s="40" t="n"/>
      <c r="K2144" s="40" t="n"/>
      <c r="L2144" s="30">
        <f>IF(COUNT(I2144:K2144)=0,"",MEDIAN(I2144:K2144))</f>
        <v/>
      </c>
      <c r="M2144" s="25">
        <f>IF(COUNTIFS($C:$C,$C2144,$D:$D,"P0(전)",$L:$L,"&gt;0")&lt;&gt;1,"P0(전) 유효 1개 아님",IF(COUNTIFS($C:$C,$C2144,$D:$D,"P0(후)",$L:$L,"&gt;0")&lt;&gt;1,"P0(후) 유효 1개 아님",IF(NOT(AND(ISNUMBER(N2144),ISNUMBER(P2144),ISNUMBER(H2144))),"시각 결측",IF(P2144&lt;=N2144,"P0 시각 역전",IF(OR(H2144&lt;N2144,H2144&gt;P2144),"측정시각 구간 밖","OK")))))</f>
        <v/>
      </c>
      <c r="N2144" s="45">
        <f>IF(COUNTIFS($C:$C,$C2144,$D:$D,"P0(전)",$L:$L,"&gt;0")&lt;&gt;1,"",SUMIFS($H:$H,$C:$C,$C2144,$D:$D,"P0(전)"))</f>
        <v/>
      </c>
      <c r="O2144" s="30">
        <f>IF(COUNTIFS($C:$C,$C2144,$D:$D,"P0(전)",$L:$L,"&gt;0")&lt;&gt;1,"",SUMIFS($L:$L,$C:$C,$C2144,$D:$D,"P0(전)"))</f>
        <v/>
      </c>
      <c r="P2144" s="45">
        <f>IF(COUNTIFS($C:$C,$C2144,$D:$D,"P0(후)",$L:$L,"&gt;0")&lt;&gt;1,"",SUMIFS($H:$H,$C:$C,$C2144,$D:$D,"P0(후)"))</f>
        <v/>
      </c>
      <c r="Q2144" s="30">
        <f>IF(COUNTIFS($C:$C,$C2144,$D:$D,"P0(후)",$L:$L,"&gt;0")&lt;&gt;1,"",SUMIFS($L:$L,$C:$C,$C2144,$D:$D,"P0(후)"))</f>
        <v/>
      </c>
      <c r="R2144" s="30">
        <f>IF(M2144&lt;&gt;"OK","",O2144+(Q2144-O2144)*(H2144-N2144)/(P2144-N2144))</f>
        <v/>
      </c>
      <c r="S2144" s="30">
        <f>IF(OR(M2144&lt;&gt;"OK",NOT(ISNUMBER(L2144))),"",L2144-R2144)</f>
        <v/>
      </c>
      <c r="T2144" s="46">
        <f>IF(OR(NOT(ISNUMBER(S2144)),IF(ISNUMBER(G2144),G2144,F2144)=0),"",S2144/IF(ISNUMBER(G2144),G2144,F2144))</f>
        <v/>
      </c>
      <c r="U2144" s="46">
        <f>IF(ISNUMBER(T2144),ABS(T2144),"")</f>
        <v/>
      </c>
      <c r="V2144" s="46">
        <f>IF(OR($D2143&lt;&gt;"측정",$C2143&lt;&gt;$C2144,NOT(ISNUMBER(L2144)),NOT(ISNUMBER(L2143)),(IF(ISNUMBER(G2144),G2144,F2144)-IF(ISNUMBER(G2143),G2143,F2143))=0),"",(L2144-L2143)/(IF(ISNUMBER(G2144),G2144,F2144)-IF(ISNUMBER(G2143),G2143,F2143)))</f>
        <v/>
      </c>
      <c r="W2144" s="30">
        <f>IF(NOT(AND(ISNUMBER(N2144),ISNUMBER(P2144))),"",(P2144-N2144)*1440)</f>
        <v/>
      </c>
      <c r="X2144" s="28" t="n"/>
      <c r="Y2144" s="28" t="n"/>
      <c r="Z2144" s="28" t="n"/>
      <c r="AA2144" s="31" t="n"/>
      <c r="AB2144" s="31" t="n"/>
    </row>
    <row r="2145">
      <c r="A2145" s="25" t="inlineStr">
        <is>
          <t>S42</t>
        </is>
      </c>
      <c r="B2145" s="25" t="inlineStr">
        <is>
          <t>조도</t>
        </is>
      </c>
      <c r="C2145" s="25" t="inlineStr">
        <is>
          <t>S42-H동</t>
        </is>
      </c>
      <c r="D2145" s="25" t="inlineStr">
        <is>
          <t>측정</t>
        </is>
      </c>
      <c r="E2145" s="25" t="inlineStr">
        <is>
          <t>동</t>
        </is>
      </c>
      <c r="F2145" s="30" t="n">
        <v>7</v>
      </c>
      <c r="G2145" s="29" t="n"/>
      <c r="H2145" s="42" t="n"/>
      <c r="I2145" s="40" t="n"/>
      <c r="J2145" s="40" t="n"/>
      <c r="K2145" s="40" t="n"/>
      <c r="L2145" s="30">
        <f>IF(COUNT(I2145:K2145)=0,"",MEDIAN(I2145:K2145))</f>
        <v/>
      </c>
      <c r="M2145" s="25">
        <f>IF(COUNTIFS($C:$C,$C2145,$D:$D,"P0(전)",$L:$L,"&gt;0")&lt;&gt;1,"P0(전) 유효 1개 아님",IF(COUNTIFS($C:$C,$C2145,$D:$D,"P0(후)",$L:$L,"&gt;0")&lt;&gt;1,"P0(후) 유효 1개 아님",IF(NOT(AND(ISNUMBER(N2145),ISNUMBER(P2145),ISNUMBER(H2145))),"시각 결측",IF(P2145&lt;=N2145,"P0 시각 역전",IF(OR(H2145&lt;N2145,H2145&gt;P2145),"측정시각 구간 밖","OK")))))</f>
        <v/>
      </c>
      <c r="N2145" s="45">
        <f>IF(COUNTIFS($C:$C,$C2145,$D:$D,"P0(전)",$L:$L,"&gt;0")&lt;&gt;1,"",SUMIFS($H:$H,$C:$C,$C2145,$D:$D,"P0(전)"))</f>
        <v/>
      </c>
      <c r="O2145" s="30">
        <f>IF(COUNTIFS($C:$C,$C2145,$D:$D,"P0(전)",$L:$L,"&gt;0")&lt;&gt;1,"",SUMIFS($L:$L,$C:$C,$C2145,$D:$D,"P0(전)"))</f>
        <v/>
      </c>
      <c r="P2145" s="45">
        <f>IF(COUNTIFS($C:$C,$C2145,$D:$D,"P0(후)",$L:$L,"&gt;0")&lt;&gt;1,"",SUMIFS($H:$H,$C:$C,$C2145,$D:$D,"P0(후)"))</f>
        <v/>
      </c>
      <c r="Q2145" s="30">
        <f>IF(COUNTIFS($C:$C,$C2145,$D:$D,"P0(후)",$L:$L,"&gt;0")&lt;&gt;1,"",SUMIFS($L:$L,$C:$C,$C2145,$D:$D,"P0(후)"))</f>
        <v/>
      </c>
      <c r="R2145" s="30">
        <f>IF(M2145&lt;&gt;"OK","",O2145+(Q2145-O2145)*(H2145-N2145)/(P2145-N2145))</f>
        <v/>
      </c>
      <c r="S2145" s="30">
        <f>IF(OR(M2145&lt;&gt;"OK",NOT(ISNUMBER(L2145))),"",L2145-R2145)</f>
        <v/>
      </c>
      <c r="T2145" s="46">
        <f>IF(OR(NOT(ISNUMBER(S2145)),IF(ISNUMBER(G2145),G2145,F2145)=0),"",S2145/IF(ISNUMBER(G2145),G2145,F2145))</f>
        <v/>
      </c>
      <c r="U2145" s="46">
        <f>IF(ISNUMBER(T2145),ABS(T2145),"")</f>
        <v/>
      </c>
      <c r="V2145" s="46">
        <f>IF(OR($D2144&lt;&gt;"측정",$C2144&lt;&gt;$C2145,NOT(ISNUMBER(L2145)),NOT(ISNUMBER(L2144)),(IF(ISNUMBER(G2145),G2145,F2145)-IF(ISNUMBER(G2144),G2144,F2144))=0),"",(L2145-L2144)/(IF(ISNUMBER(G2145),G2145,F2145)-IF(ISNUMBER(G2144),G2144,F2144)))</f>
        <v/>
      </c>
      <c r="W2145" s="30">
        <f>IF(NOT(AND(ISNUMBER(N2145),ISNUMBER(P2145))),"",(P2145-N2145)*1440)</f>
        <v/>
      </c>
      <c r="X2145" s="28" t="n"/>
      <c r="Y2145" s="28" t="n"/>
      <c r="Z2145" s="28" t="n"/>
      <c r="AA2145" s="31" t="n"/>
      <c r="AB2145" s="31" t="n"/>
    </row>
    <row r="2146">
      <c r="A2146" s="25" t="inlineStr">
        <is>
          <t>S42</t>
        </is>
      </c>
      <c r="B2146" s="25" t="inlineStr">
        <is>
          <t>조도</t>
        </is>
      </c>
      <c r="C2146" s="25" t="inlineStr">
        <is>
          <t>S42-H동</t>
        </is>
      </c>
      <c r="D2146" s="25" t="inlineStr">
        <is>
          <t>측정</t>
        </is>
      </c>
      <c r="E2146" s="25" t="inlineStr">
        <is>
          <t>동</t>
        </is>
      </c>
      <c r="F2146" s="30" t="n">
        <v>8</v>
      </c>
      <c r="G2146" s="29" t="n"/>
      <c r="H2146" s="42" t="n"/>
      <c r="I2146" s="40" t="n"/>
      <c r="J2146" s="40" t="n"/>
      <c r="K2146" s="40" t="n"/>
      <c r="L2146" s="30">
        <f>IF(COUNT(I2146:K2146)=0,"",MEDIAN(I2146:K2146))</f>
        <v/>
      </c>
      <c r="M2146" s="25">
        <f>IF(COUNTIFS($C:$C,$C2146,$D:$D,"P0(전)",$L:$L,"&gt;0")&lt;&gt;1,"P0(전) 유효 1개 아님",IF(COUNTIFS($C:$C,$C2146,$D:$D,"P0(후)",$L:$L,"&gt;0")&lt;&gt;1,"P0(후) 유효 1개 아님",IF(NOT(AND(ISNUMBER(N2146),ISNUMBER(P2146),ISNUMBER(H2146))),"시각 결측",IF(P2146&lt;=N2146,"P0 시각 역전",IF(OR(H2146&lt;N2146,H2146&gt;P2146),"측정시각 구간 밖","OK")))))</f>
        <v/>
      </c>
      <c r="N2146" s="45">
        <f>IF(COUNTIFS($C:$C,$C2146,$D:$D,"P0(전)",$L:$L,"&gt;0")&lt;&gt;1,"",SUMIFS($H:$H,$C:$C,$C2146,$D:$D,"P0(전)"))</f>
        <v/>
      </c>
      <c r="O2146" s="30">
        <f>IF(COUNTIFS($C:$C,$C2146,$D:$D,"P0(전)",$L:$L,"&gt;0")&lt;&gt;1,"",SUMIFS($L:$L,$C:$C,$C2146,$D:$D,"P0(전)"))</f>
        <v/>
      </c>
      <c r="P2146" s="45">
        <f>IF(COUNTIFS($C:$C,$C2146,$D:$D,"P0(후)",$L:$L,"&gt;0")&lt;&gt;1,"",SUMIFS($H:$H,$C:$C,$C2146,$D:$D,"P0(후)"))</f>
        <v/>
      </c>
      <c r="Q2146" s="30">
        <f>IF(COUNTIFS($C:$C,$C2146,$D:$D,"P0(후)",$L:$L,"&gt;0")&lt;&gt;1,"",SUMIFS($L:$L,$C:$C,$C2146,$D:$D,"P0(후)"))</f>
        <v/>
      </c>
      <c r="R2146" s="30">
        <f>IF(M2146&lt;&gt;"OK","",O2146+(Q2146-O2146)*(H2146-N2146)/(P2146-N2146))</f>
        <v/>
      </c>
      <c r="S2146" s="30">
        <f>IF(OR(M2146&lt;&gt;"OK",NOT(ISNUMBER(L2146))),"",L2146-R2146)</f>
        <v/>
      </c>
      <c r="T2146" s="46">
        <f>IF(OR(NOT(ISNUMBER(S2146)),IF(ISNUMBER(G2146),G2146,F2146)=0),"",S2146/IF(ISNUMBER(G2146),G2146,F2146))</f>
        <v/>
      </c>
      <c r="U2146" s="46">
        <f>IF(ISNUMBER(T2146),ABS(T2146),"")</f>
        <v/>
      </c>
      <c r="V2146" s="46">
        <f>IF(OR($D2145&lt;&gt;"측정",$C2145&lt;&gt;$C2146,NOT(ISNUMBER(L2146)),NOT(ISNUMBER(L2145)),(IF(ISNUMBER(G2146),G2146,F2146)-IF(ISNUMBER(G2145),G2145,F2145))=0),"",(L2146-L2145)/(IF(ISNUMBER(G2146),G2146,F2146)-IF(ISNUMBER(G2145),G2145,F2145)))</f>
        <v/>
      </c>
      <c r="W2146" s="30">
        <f>IF(NOT(AND(ISNUMBER(N2146),ISNUMBER(P2146))),"",(P2146-N2146)*1440)</f>
        <v/>
      </c>
      <c r="X2146" s="28" t="n"/>
      <c r="Y2146" s="28" t="n"/>
      <c r="Z2146" s="28" t="n"/>
      <c r="AA2146" s="31" t="n"/>
      <c r="AB2146" s="31" t="n"/>
    </row>
    <row r="2147">
      <c r="A2147" s="25" t="inlineStr">
        <is>
          <t>S42</t>
        </is>
      </c>
      <c r="B2147" s="25" t="inlineStr">
        <is>
          <t>조도</t>
        </is>
      </c>
      <c r="C2147" s="25" t="inlineStr">
        <is>
          <t>S42-H동</t>
        </is>
      </c>
      <c r="D2147" s="25" t="inlineStr">
        <is>
          <t>측정</t>
        </is>
      </c>
      <c r="E2147" s="25" t="inlineStr">
        <is>
          <t>동</t>
        </is>
      </c>
      <c r="F2147" s="30" t="n">
        <v>9</v>
      </c>
      <c r="G2147" s="29" t="n"/>
      <c r="H2147" s="42" t="n"/>
      <c r="I2147" s="40" t="n"/>
      <c r="J2147" s="40" t="n"/>
      <c r="K2147" s="40" t="n"/>
      <c r="L2147" s="30">
        <f>IF(COUNT(I2147:K2147)=0,"",MEDIAN(I2147:K2147))</f>
        <v/>
      </c>
      <c r="M2147" s="25">
        <f>IF(COUNTIFS($C:$C,$C2147,$D:$D,"P0(전)",$L:$L,"&gt;0")&lt;&gt;1,"P0(전) 유효 1개 아님",IF(COUNTIFS($C:$C,$C2147,$D:$D,"P0(후)",$L:$L,"&gt;0")&lt;&gt;1,"P0(후) 유효 1개 아님",IF(NOT(AND(ISNUMBER(N2147),ISNUMBER(P2147),ISNUMBER(H2147))),"시각 결측",IF(P2147&lt;=N2147,"P0 시각 역전",IF(OR(H2147&lt;N2147,H2147&gt;P2147),"측정시각 구간 밖","OK")))))</f>
        <v/>
      </c>
      <c r="N2147" s="45">
        <f>IF(COUNTIFS($C:$C,$C2147,$D:$D,"P0(전)",$L:$L,"&gt;0")&lt;&gt;1,"",SUMIFS($H:$H,$C:$C,$C2147,$D:$D,"P0(전)"))</f>
        <v/>
      </c>
      <c r="O2147" s="30">
        <f>IF(COUNTIFS($C:$C,$C2147,$D:$D,"P0(전)",$L:$L,"&gt;0")&lt;&gt;1,"",SUMIFS($L:$L,$C:$C,$C2147,$D:$D,"P0(전)"))</f>
        <v/>
      </c>
      <c r="P2147" s="45">
        <f>IF(COUNTIFS($C:$C,$C2147,$D:$D,"P0(후)",$L:$L,"&gt;0")&lt;&gt;1,"",SUMIFS($H:$H,$C:$C,$C2147,$D:$D,"P0(후)"))</f>
        <v/>
      </c>
      <c r="Q2147" s="30">
        <f>IF(COUNTIFS($C:$C,$C2147,$D:$D,"P0(후)",$L:$L,"&gt;0")&lt;&gt;1,"",SUMIFS($L:$L,$C:$C,$C2147,$D:$D,"P0(후)"))</f>
        <v/>
      </c>
      <c r="R2147" s="30">
        <f>IF(M2147&lt;&gt;"OK","",O2147+(Q2147-O2147)*(H2147-N2147)/(P2147-N2147))</f>
        <v/>
      </c>
      <c r="S2147" s="30">
        <f>IF(OR(M2147&lt;&gt;"OK",NOT(ISNUMBER(L2147))),"",L2147-R2147)</f>
        <v/>
      </c>
      <c r="T2147" s="46">
        <f>IF(OR(NOT(ISNUMBER(S2147)),IF(ISNUMBER(G2147),G2147,F2147)=0),"",S2147/IF(ISNUMBER(G2147),G2147,F2147))</f>
        <v/>
      </c>
      <c r="U2147" s="46">
        <f>IF(ISNUMBER(T2147),ABS(T2147),"")</f>
        <v/>
      </c>
      <c r="V2147" s="46">
        <f>IF(OR($D2146&lt;&gt;"측정",$C2146&lt;&gt;$C2147,NOT(ISNUMBER(L2147)),NOT(ISNUMBER(L2146)),(IF(ISNUMBER(G2147),G2147,F2147)-IF(ISNUMBER(G2146),G2146,F2146))=0),"",(L2147-L2146)/(IF(ISNUMBER(G2147),G2147,F2147)-IF(ISNUMBER(G2146),G2146,F2146)))</f>
        <v/>
      </c>
      <c r="W2147" s="30">
        <f>IF(NOT(AND(ISNUMBER(N2147),ISNUMBER(P2147))),"",(P2147-N2147)*1440)</f>
        <v/>
      </c>
      <c r="X2147" s="28" t="n"/>
      <c r="Y2147" s="28" t="n"/>
      <c r="Z2147" s="28" t="n"/>
      <c r="AA2147" s="31" t="n"/>
      <c r="AB2147" s="31" t="n"/>
    </row>
    <row r="2148">
      <c r="A2148" s="25" t="inlineStr">
        <is>
          <t>S42</t>
        </is>
      </c>
      <c r="B2148" s="25" t="inlineStr">
        <is>
          <t>조도</t>
        </is>
      </c>
      <c r="C2148" s="25" t="inlineStr">
        <is>
          <t>S42-H동</t>
        </is>
      </c>
      <c r="D2148" s="25" t="inlineStr">
        <is>
          <t>측정</t>
        </is>
      </c>
      <c r="E2148" s="25" t="inlineStr">
        <is>
          <t>동</t>
        </is>
      </c>
      <c r="F2148" s="30" t="n">
        <v>10</v>
      </c>
      <c r="G2148" s="29" t="n"/>
      <c r="H2148" s="42" t="n"/>
      <c r="I2148" s="40" t="n"/>
      <c r="J2148" s="40" t="n"/>
      <c r="K2148" s="40" t="n"/>
      <c r="L2148" s="30">
        <f>IF(COUNT(I2148:K2148)=0,"",MEDIAN(I2148:K2148))</f>
        <v/>
      </c>
      <c r="M2148" s="25">
        <f>IF(COUNTIFS($C:$C,$C2148,$D:$D,"P0(전)",$L:$L,"&gt;0")&lt;&gt;1,"P0(전) 유효 1개 아님",IF(COUNTIFS($C:$C,$C2148,$D:$D,"P0(후)",$L:$L,"&gt;0")&lt;&gt;1,"P0(후) 유효 1개 아님",IF(NOT(AND(ISNUMBER(N2148),ISNUMBER(P2148),ISNUMBER(H2148))),"시각 결측",IF(P2148&lt;=N2148,"P0 시각 역전",IF(OR(H2148&lt;N2148,H2148&gt;P2148),"측정시각 구간 밖","OK")))))</f>
        <v/>
      </c>
      <c r="N2148" s="45">
        <f>IF(COUNTIFS($C:$C,$C2148,$D:$D,"P0(전)",$L:$L,"&gt;0")&lt;&gt;1,"",SUMIFS($H:$H,$C:$C,$C2148,$D:$D,"P0(전)"))</f>
        <v/>
      </c>
      <c r="O2148" s="30">
        <f>IF(COUNTIFS($C:$C,$C2148,$D:$D,"P0(전)",$L:$L,"&gt;0")&lt;&gt;1,"",SUMIFS($L:$L,$C:$C,$C2148,$D:$D,"P0(전)"))</f>
        <v/>
      </c>
      <c r="P2148" s="45">
        <f>IF(COUNTIFS($C:$C,$C2148,$D:$D,"P0(후)",$L:$L,"&gt;0")&lt;&gt;1,"",SUMIFS($H:$H,$C:$C,$C2148,$D:$D,"P0(후)"))</f>
        <v/>
      </c>
      <c r="Q2148" s="30">
        <f>IF(COUNTIFS($C:$C,$C2148,$D:$D,"P0(후)",$L:$L,"&gt;0")&lt;&gt;1,"",SUMIFS($L:$L,$C:$C,$C2148,$D:$D,"P0(후)"))</f>
        <v/>
      </c>
      <c r="R2148" s="30">
        <f>IF(M2148&lt;&gt;"OK","",O2148+(Q2148-O2148)*(H2148-N2148)/(P2148-N2148))</f>
        <v/>
      </c>
      <c r="S2148" s="30">
        <f>IF(OR(M2148&lt;&gt;"OK",NOT(ISNUMBER(L2148))),"",L2148-R2148)</f>
        <v/>
      </c>
      <c r="T2148" s="46">
        <f>IF(OR(NOT(ISNUMBER(S2148)),IF(ISNUMBER(G2148),G2148,F2148)=0),"",S2148/IF(ISNUMBER(G2148),G2148,F2148))</f>
        <v/>
      </c>
      <c r="U2148" s="46">
        <f>IF(ISNUMBER(T2148),ABS(T2148),"")</f>
        <v/>
      </c>
      <c r="V2148" s="46">
        <f>IF(OR($D2147&lt;&gt;"측정",$C2147&lt;&gt;$C2148,NOT(ISNUMBER(L2148)),NOT(ISNUMBER(L2147)),(IF(ISNUMBER(G2148),G2148,F2148)-IF(ISNUMBER(G2147),G2147,F2147))=0),"",(L2148-L2147)/(IF(ISNUMBER(G2148),G2148,F2148)-IF(ISNUMBER(G2147),G2147,F2147)))</f>
        <v/>
      </c>
      <c r="W2148" s="30">
        <f>IF(NOT(AND(ISNUMBER(N2148),ISNUMBER(P2148))),"",(P2148-N2148)*1440)</f>
        <v/>
      </c>
      <c r="X2148" s="28" t="n"/>
      <c r="Y2148" s="28" t="n"/>
      <c r="Z2148" s="28" t="n"/>
      <c r="AA2148" s="31" t="n"/>
      <c r="AB2148" s="31" t="n"/>
    </row>
    <row r="2149">
      <c r="A2149" s="43" t="inlineStr">
        <is>
          <t>S42</t>
        </is>
      </c>
      <c r="B2149" s="43" t="inlineStr">
        <is>
          <t>조도</t>
        </is>
      </c>
      <c r="C2149" s="43" t="inlineStr">
        <is>
          <t>S42-H동</t>
        </is>
      </c>
      <c r="D2149" s="43" t="inlineStr">
        <is>
          <t>P0(후)</t>
        </is>
      </c>
      <c r="E2149" s="43" t="inlineStr">
        <is>
          <t>동</t>
        </is>
      </c>
      <c r="F2149" s="44" t="n"/>
      <c r="G2149" s="29" t="n"/>
      <c r="H2149" s="42" t="n"/>
      <c r="I2149" s="40" t="n"/>
      <c r="J2149" s="40" t="n"/>
      <c r="K2149" s="40" t="n"/>
      <c r="L2149" s="30">
        <f>IF(COUNT(I2149:K2149)=0,"",MEDIAN(I2149:K2149))</f>
        <v/>
      </c>
      <c r="M2149" s="37" t="n"/>
      <c r="N2149" s="37" t="n"/>
      <c r="O2149" s="37" t="n"/>
      <c r="P2149" s="37" t="n"/>
      <c r="Q2149" s="37" t="n"/>
      <c r="R2149" s="37" t="n"/>
      <c r="S2149" s="37" t="n"/>
      <c r="T2149" s="37" t="n"/>
      <c r="U2149" s="37" t="n"/>
      <c r="V2149" s="37" t="n"/>
      <c r="W2149" s="37" t="n"/>
      <c r="X2149" s="28" t="n"/>
      <c r="Y2149" s="28" t="n"/>
      <c r="Z2149" s="28" t="n"/>
      <c r="AA2149" s="31" t="n"/>
      <c r="AB2149" s="31" t="n"/>
    </row>
    <row r="2150">
      <c r="A2150" s="43" t="inlineStr">
        <is>
          <t>S42</t>
        </is>
      </c>
      <c r="B2150" s="43" t="inlineStr">
        <is>
          <t>조도</t>
        </is>
      </c>
      <c r="C2150" s="43" t="inlineStr">
        <is>
          <t>S42-H서</t>
        </is>
      </c>
      <c r="D2150" s="43" t="inlineStr">
        <is>
          <t>P0(전)</t>
        </is>
      </c>
      <c r="E2150" s="43" t="inlineStr">
        <is>
          <t>서</t>
        </is>
      </c>
      <c r="F2150" s="44" t="n"/>
      <c r="G2150" s="29" t="n"/>
      <c r="H2150" s="42" t="n"/>
      <c r="I2150" s="40" t="n"/>
      <c r="J2150" s="40" t="n"/>
      <c r="K2150" s="40" t="n"/>
      <c r="L2150" s="30">
        <f>IF(COUNT(I2150:K2150)=0,"",MEDIAN(I2150:K2150))</f>
        <v/>
      </c>
      <c r="M2150" s="37" t="n"/>
      <c r="N2150" s="37" t="n"/>
      <c r="O2150" s="37" t="n"/>
      <c r="P2150" s="37" t="n"/>
      <c r="Q2150" s="37" t="n"/>
      <c r="R2150" s="37" t="n"/>
      <c r="S2150" s="37" t="n"/>
      <c r="T2150" s="37" t="n"/>
      <c r="U2150" s="37" t="n"/>
      <c r="V2150" s="37" t="n"/>
      <c r="W2150" s="37" t="n"/>
      <c r="X2150" s="28" t="n"/>
      <c r="Y2150" s="28" t="n"/>
      <c r="Z2150" s="28" t="n"/>
      <c r="AA2150" s="31" t="n"/>
      <c r="AB2150" s="31" t="n"/>
    </row>
    <row r="2151">
      <c r="A2151" s="25" t="inlineStr">
        <is>
          <t>S42</t>
        </is>
      </c>
      <c r="B2151" s="25" t="inlineStr">
        <is>
          <t>조도</t>
        </is>
      </c>
      <c r="C2151" s="25" t="inlineStr">
        <is>
          <t>S42-H서</t>
        </is>
      </c>
      <c r="D2151" s="25" t="inlineStr">
        <is>
          <t>측정</t>
        </is>
      </c>
      <c r="E2151" s="25" t="inlineStr">
        <is>
          <t>서</t>
        </is>
      </c>
      <c r="F2151" s="30" t="n">
        <v>0.5</v>
      </c>
      <c r="G2151" s="29" t="n"/>
      <c r="H2151" s="42" t="n"/>
      <c r="I2151" s="40" t="n"/>
      <c r="J2151" s="40" t="n"/>
      <c r="K2151" s="40" t="n"/>
      <c r="L2151" s="30">
        <f>IF(COUNT(I2151:K2151)=0,"",MEDIAN(I2151:K2151))</f>
        <v/>
      </c>
      <c r="M2151" s="25">
        <f>IF(COUNTIFS($C:$C,$C2151,$D:$D,"P0(전)",$L:$L,"&gt;0")&lt;&gt;1,"P0(전) 유효 1개 아님",IF(COUNTIFS($C:$C,$C2151,$D:$D,"P0(후)",$L:$L,"&gt;0")&lt;&gt;1,"P0(후) 유효 1개 아님",IF(NOT(AND(ISNUMBER(N2151),ISNUMBER(P2151),ISNUMBER(H2151))),"시각 결측",IF(P2151&lt;=N2151,"P0 시각 역전",IF(OR(H2151&lt;N2151,H2151&gt;P2151),"측정시각 구간 밖","OK")))))</f>
        <v/>
      </c>
      <c r="N2151" s="45">
        <f>IF(COUNTIFS($C:$C,$C2151,$D:$D,"P0(전)",$L:$L,"&gt;0")&lt;&gt;1,"",SUMIFS($H:$H,$C:$C,$C2151,$D:$D,"P0(전)"))</f>
        <v/>
      </c>
      <c r="O2151" s="30">
        <f>IF(COUNTIFS($C:$C,$C2151,$D:$D,"P0(전)",$L:$L,"&gt;0")&lt;&gt;1,"",SUMIFS($L:$L,$C:$C,$C2151,$D:$D,"P0(전)"))</f>
        <v/>
      </c>
      <c r="P2151" s="45">
        <f>IF(COUNTIFS($C:$C,$C2151,$D:$D,"P0(후)",$L:$L,"&gt;0")&lt;&gt;1,"",SUMIFS($H:$H,$C:$C,$C2151,$D:$D,"P0(후)"))</f>
        <v/>
      </c>
      <c r="Q2151" s="30">
        <f>IF(COUNTIFS($C:$C,$C2151,$D:$D,"P0(후)",$L:$L,"&gt;0")&lt;&gt;1,"",SUMIFS($L:$L,$C:$C,$C2151,$D:$D,"P0(후)"))</f>
        <v/>
      </c>
      <c r="R2151" s="30">
        <f>IF(M2151&lt;&gt;"OK","",O2151+(Q2151-O2151)*(H2151-N2151)/(P2151-N2151))</f>
        <v/>
      </c>
      <c r="S2151" s="30">
        <f>IF(OR(M2151&lt;&gt;"OK",NOT(ISNUMBER(L2151))),"",L2151-R2151)</f>
        <v/>
      </c>
      <c r="T2151" s="46">
        <f>IF(OR(NOT(ISNUMBER(S2151)),IF(ISNUMBER(G2151),G2151,F2151)=0),"",S2151/IF(ISNUMBER(G2151),G2151,F2151))</f>
        <v/>
      </c>
      <c r="U2151" s="46">
        <f>IF(ISNUMBER(T2151),ABS(T2151),"")</f>
        <v/>
      </c>
      <c r="V2151" s="46">
        <f>IF(OR($D2150&lt;&gt;"측정",$C2150&lt;&gt;$C2151,NOT(ISNUMBER(L2151)),NOT(ISNUMBER(L2150)),(IF(ISNUMBER(G2151),G2151,F2151)-IF(ISNUMBER(G2150),G2150,F2150))=0),"",(L2151-L2150)/(IF(ISNUMBER(G2151),G2151,F2151)-IF(ISNUMBER(G2150),G2150,F2150)))</f>
        <v/>
      </c>
      <c r="W2151" s="30">
        <f>IF(NOT(AND(ISNUMBER(N2151),ISNUMBER(P2151))),"",(P2151-N2151)*1440)</f>
        <v/>
      </c>
      <c r="X2151" s="28" t="n"/>
      <c r="Y2151" s="28" t="n"/>
      <c r="Z2151" s="28" t="n"/>
      <c r="AA2151" s="31" t="n"/>
      <c r="AB2151" s="31" t="n"/>
    </row>
    <row r="2152">
      <c r="A2152" s="25" t="inlineStr">
        <is>
          <t>S42</t>
        </is>
      </c>
      <c r="B2152" s="25" t="inlineStr">
        <is>
          <t>조도</t>
        </is>
      </c>
      <c r="C2152" s="25" t="inlineStr">
        <is>
          <t>S42-H서</t>
        </is>
      </c>
      <c r="D2152" s="25" t="inlineStr">
        <is>
          <t>측정</t>
        </is>
      </c>
      <c r="E2152" s="25" t="inlineStr">
        <is>
          <t>서</t>
        </is>
      </c>
      <c r="F2152" s="30" t="n">
        <v>1</v>
      </c>
      <c r="G2152" s="29" t="n"/>
      <c r="H2152" s="42" t="n"/>
      <c r="I2152" s="40" t="n"/>
      <c r="J2152" s="40" t="n"/>
      <c r="K2152" s="40" t="n"/>
      <c r="L2152" s="30">
        <f>IF(COUNT(I2152:K2152)=0,"",MEDIAN(I2152:K2152))</f>
        <v/>
      </c>
      <c r="M2152" s="25">
        <f>IF(COUNTIFS($C:$C,$C2152,$D:$D,"P0(전)",$L:$L,"&gt;0")&lt;&gt;1,"P0(전) 유효 1개 아님",IF(COUNTIFS($C:$C,$C2152,$D:$D,"P0(후)",$L:$L,"&gt;0")&lt;&gt;1,"P0(후) 유효 1개 아님",IF(NOT(AND(ISNUMBER(N2152),ISNUMBER(P2152),ISNUMBER(H2152))),"시각 결측",IF(P2152&lt;=N2152,"P0 시각 역전",IF(OR(H2152&lt;N2152,H2152&gt;P2152),"측정시각 구간 밖","OK")))))</f>
        <v/>
      </c>
      <c r="N2152" s="45">
        <f>IF(COUNTIFS($C:$C,$C2152,$D:$D,"P0(전)",$L:$L,"&gt;0")&lt;&gt;1,"",SUMIFS($H:$H,$C:$C,$C2152,$D:$D,"P0(전)"))</f>
        <v/>
      </c>
      <c r="O2152" s="30">
        <f>IF(COUNTIFS($C:$C,$C2152,$D:$D,"P0(전)",$L:$L,"&gt;0")&lt;&gt;1,"",SUMIFS($L:$L,$C:$C,$C2152,$D:$D,"P0(전)"))</f>
        <v/>
      </c>
      <c r="P2152" s="45">
        <f>IF(COUNTIFS($C:$C,$C2152,$D:$D,"P0(후)",$L:$L,"&gt;0")&lt;&gt;1,"",SUMIFS($H:$H,$C:$C,$C2152,$D:$D,"P0(후)"))</f>
        <v/>
      </c>
      <c r="Q2152" s="30">
        <f>IF(COUNTIFS($C:$C,$C2152,$D:$D,"P0(후)",$L:$L,"&gt;0")&lt;&gt;1,"",SUMIFS($L:$L,$C:$C,$C2152,$D:$D,"P0(후)"))</f>
        <v/>
      </c>
      <c r="R2152" s="30">
        <f>IF(M2152&lt;&gt;"OK","",O2152+(Q2152-O2152)*(H2152-N2152)/(P2152-N2152))</f>
        <v/>
      </c>
      <c r="S2152" s="30">
        <f>IF(OR(M2152&lt;&gt;"OK",NOT(ISNUMBER(L2152))),"",L2152-R2152)</f>
        <v/>
      </c>
      <c r="T2152" s="46">
        <f>IF(OR(NOT(ISNUMBER(S2152)),IF(ISNUMBER(G2152),G2152,F2152)=0),"",S2152/IF(ISNUMBER(G2152),G2152,F2152))</f>
        <v/>
      </c>
      <c r="U2152" s="46">
        <f>IF(ISNUMBER(T2152),ABS(T2152),"")</f>
        <v/>
      </c>
      <c r="V2152" s="46">
        <f>IF(OR($D2151&lt;&gt;"측정",$C2151&lt;&gt;$C2152,NOT(ISNUMBER(L2152)),NOT(ISNUMBER(L2151)),(IF(ISNUMBER(G2152),G2152,F2152)-IF(ISNUMBER(G2151),G2151,F2151))=0),"",(L2152-L2151)/(IF(ISNUMBER(G2152),G2152,F2152)-IF(ISNUMBER(G2151),G2151,F2151)))</f>
        <v/>
      </c>
      <c r="W2152" s="30">
        <f>IF(NOT(AND(ISNUMBER(N2152),ISNUMBER(P2152))),"",(P2152-N2152)*1440)</f>
        <v/>
      </c>
      <c r="X2152" s="28" t="n"/>
      <c r="Y2152" s="28" t="n"/>
      <c r="Z2152" s="28" t="n"/>
      <c r="AA2152" s="31" t="n"/>
      <c r="AB2152" s="31" t="n"/>
    </row>
    <row r="2153">
      <c r="A2153" s="25" t="inlineStr">
        <is>
          <t>S42</t>
        </is>
      </c>
      <c r="B2153" s="25" t="inlineStr">
        <is>
          <t>조도</t>
        </is>
      </c>
      <c r="C2153" s="25" t="inlineStr">
        <is>
          <t>S42-H서</t>
        </is>
      </c>
      <c r="D2153" s="25" t="inlineStr">
        <is>
          <t>측정</t>
        </is>
      </c>
      <c r="E2153" s="25" t="inlineStr">
        <is>
          <t>서</t>
        </is>
      </c>
      <c r="F2153" s="30" t="n">
        <v>2</v>
      </c>
      <c r="G2153" s="29" t="n"/>
      <c r="H2153" s="42" t="n"/>
      <c r="I2153" s="40" t="n"/>
      <c r="J2153" s="40" t="n"/>
      <c r="K2153" s="40" t="n"/>
      <c r="L2153" s="30">
        <f>IF(COUNT(I2153:K2153)=0,"",MEDIAN(I2153:K2153))</f>
        <v/>
      </c>
      <c r="M2153" s="25">
        <f>IF(COUNTIFS($C:$C,$C2153,$D:$D,"P0(전)",$L:$L,"&gt;0")&lt;&gt;1,"P0(전) 유효 1개 아님",IF(COUNTIFS($C:$C,$C2153,$D:$D,"P0(후)",$L:$L,"&gt;0")&lt;&gt;1,"P0(후) 유효 1개 아님",IF(NOT(AND(ISNUMBER(N2153),ISNUMBER(P2153),ISNUMBER(H2153))),"시각 결측",IF(P2153&lt;=N2153,"P0 시각 역전",IF(OR(H2153&lt;N2153,H2153&gt;P2153),"측정시각 구간 밖","OK")))))</f>
        <v/>
      </c>
      <c r="N2153" s="45">
        <f>IF(COUNTIFS($C:$C,$C2153,$D:$D,"P0(전)",$L:$L,"&gt;0")&lt;&gt;1,"",SUMIFS($H:$H,$C:$C,$C2153,$D:$D,"P0(전)"))</f>
        <v/>
      </c>
      <c r="O2153" s="30">
        <f>IF(COUNTIFS($C:$C,$C2153,$D:$D,"P0(전)",$L:$L,"&gt;0")&lt;&gt;1,"",SUMIFS($L:$L,$C:$C,$C2153,$D:$D,"P0(전)"))</f>
        <v/>
      </c>
      <c r="P2153" s="45">
        <f>IF(COUNTIFS($C:$C,$C2153,$D:$D,"P0(후)",$L:$L,"&gt;0")&lt;&gt;1,"",SUMIFS($H:$H,$C:$C,$C2153,$D:$D,"P0(후)"))</f>
        <v/>
      </c>
      <c r="Q2153" s="30">
        <f>IF(COUNTIFS($C:$C,$C2153,$D:$D,"P0(후)",$L:$L,"&gt;0")&lt;&gt;1,"",SUMIFS($L:$L,$C:$C,$C2153,$D:$D,"P0(후)"))</f>
        <v/>
      </c>
      <c r="R2153" s="30">
        <f>IF(M2153&lt;&gt;"OK","",O2153+(Q2153-O2153)*(H2153-N2153)/(P2153-N2153))</f>
        <v/>
      </c>
      <c r="S2153" s="30">
        <f>IF(OR(M2153&lt;&gt;"OK",NOT(ISNUMBER(L2153))),"",L2153-R2153)</f>
        <v/>
      </c>
      <c r="T2153" s="46">
        <f>IF(OR(NOT(ISNUMBER(S2153)),IF(ISNUMBER(G2153),G2153,F2153)=0),"",S2153/IF(ISNUMBER(G2153),G2153,F2153))</f>
        <v/>
      </c>
      <c r="U2153" s="46">
        <f>IF(ISNUMBER(T2153),ABS(T2153),"")</f>
        <v/>
      </c>
      <c r="V2153" s="46">
        <f>IF(OR($D2152&lt;&gt;"측정",$C2152&lt;&gt;$C2153,NOT(ISNUMBER(L2153)),NOT(ISNUMBER(L2152)),(IF(ISNUMBER(G2153),G2153,F2153)-IF(ISNUMBER(G2152),G2152,F2152))=0),"",(L2153-L2152)/(IF(ISNUMBER(G2153),G2153,F2153)-IF(ISNUMBER(G2152),G2152,F2152)))</f>
        <v/>
      </c>
      <c r="W2153" s="30">
        <f>IF(NOT(AND(ISNUMBER(N2153),ISNUMBER(P2153))),"",(P2153-N2153)*1440)</f>
        <v/>
      </c>
      <c r="X2153" s="28" t="n"/>
      <c r="Y2153" s="28" t="n"/>
      <c r="Z2153" s="28" t="n"/>
      <c r="AA2153" s="31" t="n"/>
      <c r="AB2153" s="31" t="n"/>
    </row>
    <row r="2154">
      <c r="A2154" s="25" t="inlineStr">
        <is>
          <t>S42</t>
        </is>
      </c>
      <c r="B2154" s="25" t="inlineStr">
        <is>
          <t>조도</t>
        </is>
      </c>
      <c r="C2154" s="25" t="inlineStr">
        <is>
          <t>S42-H서</t>
        </is>
      </c>
      <c r="D2154" s="25" t="inlineStr">
        <is>
          <t>측정</t>
        </is>
      </c>
      <c r="E2154" s="25" t="inlineStr">
        <is>
          <t>서</t>
        </is>
      </c>
      <c r="F2154" s="30" t="n">
        <v>3</v>
      </c>
      <c r="G2154" s="29" t="n"/>
      <c r="H2154" s="42" t="n"/>
      <c r="I2154" s="40" t="n"/>
      <c r="J2154" s="40" t="n"/>
      <c r="K2154" s="40" t="n"/>
      <c r="L2154" s="30">
        <f>IF(COUNT(I2154:K2154)=0,"",MEDIAN(I2154:K2154))</f>
        <v/>
      </c>
      <c r="M2154" s="25">
        <f>IF(COUNTIFS($C:$C,$C2154,$D:$D,"P0(전)",$L:$L,"&gt;0")&lt;&gt;1,"P0(전) 유효 1개 아님",IF(COUNTIFS($C:$C,$C2154,$D:$D,"P0(후)",$L:$L,"&gt;0")&lt;&gt;1,"P0(후) 유효 1개 아님",IF(NOT(AND(ISNUMBER(N2154),ISNUMBER(P2154),ISNUMBER(H2154))),"시각 결측",IF(P2154&lt;=N2154,"P0 시각 역전",IF(OR(H2154&lt;N2154,H2154&gt;P2154),"측정시각 구간 밖","OK")))))</f>
        <v/>
      </c>
      <c r="N2154" s="45">
        <f>IF(COUNTIFS($C:$C,$C2154,$D:$D,"P0(전)",$L:$L,"&gt;0")&lt;&gt;1,"",SUMIFS($H:$H,$C:$C,$C2154,$D:$D,"P0(전)"))</f>
        <v/>
      </c>
      <c r="O2154" s="30">
        <f>IF(COUNTIFS($C:$C,$C2154,$D:$D,"P0(전)",$L:$L,"&gt;0")&lt;&gt;1,"",SUMIFS($L:$L,$C:$C,$C2154,$D:$D,"P0(전)"))</f>
        <v/>
      </c>
      <c r="P2154" s="45">
        <f>IF(COUNTIFS($C:$C,$C2154,$D:$D,"P0(후)",$L:$L,"&gt;0")&lt;&gt;1,"",SUMIFS($H:$H,$C:$C,$C2154,$D:$D,"P0(후)"))</f>
        <v/>
      </c>
      <c r="Q2154" s="30">
        <f>IF(COUNTIFS($C:$C,$C2154,$D:$D,"P0(후)",$L:$L,"&gt;0")&lt;&gt;1,"",SUMIFS($L:$L,$C:$C,$C2154,$D:$D,"P0(후)"))</f>
        <v/>
      </c>
      <c r="R2154" s="30">
        <f>IF(M2154&lt;&gt;"OK","",O2154+(Q2154-O2154)*(H2154-N2154)/(P2154-N2154))</f>
        <v/>
      </c>
      <c r="S2154" s="30">
        <f>IF(OR(M2154&lt;&gt;"OK",NOT(ISNUMBER(L2154))),"",L2154-R2154)</f>
        <v/>
      </c>
      <c r="T2154" s="46">
        <f>IF(OR(NOT(ISNUMBER(S2154)),IF(ISNUMBER(G2154),G2154,F2154)=0),"",S2154/IF(ISNUMBER(G2154),G2154,F2154))</f>
        <v/>
      </c>
      <c r="U2154" s="46">
        <f>IF(ISNUMBER(T2154),ABS(T2154),"")</f>
        <v/>
      </c>
      <c r="V2154" s="46">
        <f>IF(OR($D2153&lt;&gt;"측정",$C2153&lt;&gt;$C2154,NOT(ISNUMBER(L2154)),NOT(ISNUMBER(L2153)),(IF(ISNUMBER(G2154),G2154,F2154)-IF(ISNUMBER(G2153),G2153,F2153))=0),"",(L2154-L2153)/(IF(ISNUMBER(G2154),G2154,F2154)-IF(ISNUMBER(G2153),G2153,F2153)))</f>
        <v/>
      </c>
      <c r="W2154" s="30">
        <f>IF(NOT(AND(ISNUMBER(N2154),ISNUMBER(P2154))),"",(P2154-N2154)*1440)</f>
        <v/>
      </c>
      <c r="X2154" s="28" t="n"/>
      <c r="Y2154" s="28" t="n"/>
      <c r="Z2154" s="28" t="n"/>
      <c r="AA2154" s="31" t="n"/>
      <c r="AB2154" s="31" t="n"/>
    </row>
    <row r="2155">
      <c r="A2155" s="25" t="inlineStr">
        <is>
          <t>S42</t>
        </is>
      </c>
      <c r="B2155" s="25" t="inlineStr">
        <is>
          <t>조도</t>
        </is>
      </c>
      <c r="C2155" s="25" t="inlineStr">
        <is>
          <t>S42-H서</t>
        </is>
      </c>
      <c r="D2155" s="25" t="inlineStr">
        <is>
          <t>측정</t>
        </is>
      </c>
      <c r="E2155" s="25" t="inlineStr">
        <is>
          <t>서</t>
        </is>
      </c>
      <c r="F2155" s="30" t="n">
        <v>4</v>
      </c>
      <c r="G2155" s="29" t="n"/>
      <c r="H2155" s="42" t="n"/>
      <c r="I2155" s="40" t="n"/>
      <c r="J2155" s="40" t="n"/>
      <c r="K2155" s="40" t="n"/>
      <c r="L2155" s="30">
        <f>IF(COUNT(I2155:K2155)=0,"",MEDIAN(I2155:K2155))</f>
        <v/>
      </c>
      <c r="M2155" s="25">
        <f>IF(COUNTIFS($C:$C,$C2155,$D:$D,"P0(전)",$L:$L,"&gt;0")&lt;&gt;1,"P0(전) 유효 1개 아님",IF(COUNTIFS($C:$C,$C2155,$D:$D,"P0(후)",$L:$L,"&gt;0")&lt;&gt;1,"P0(후) 유효 1개 아님",IF(NOT(AND(ISNUMBER(N2155),ISNUMBER(P2155),ISNUMBER(H2155))),"시각 결측",IF(P2155&lt;=N2155,"P0 시각 역전",IF(OR(H2155&lt;N2155,H2155&gt;P2155),"측정시각 구간 밖","OK")))))</f>
        <v/>
      </c>
      <c r="N2155" s="45">
        <f>IF(COUNTIFS($C:$C,$C2155,$D:$D,"P0(전)",$L:$L,"&gt;0")&lt;&gt;1,"",SUMIFS($H:$H,$C:$C,$C2155,$D:$D,"P0(전)"))</f>
        <v/>
      </c>
      <c r="O2155" s="30">
        <f>IF(COUNTIFS($C:$C,$C2155,$D:$D,"P0(전)",$L:$L,"&gt;0")&lt;&gt;1,"",SUMIFS($L:$L,$C:$C,$C2155,$D:$D,"P0(전)"))</f>
        <v/>
      </c>
      <c r="P2155" s="45">
        <f>IF(COUNTIFS($C:$C,$C2155,$D:$D,"P0(후)",$L:$L,"&gt;0")&lt;&gt;1,"",SUMIFS($H:$H,$C:$C,$C2155,$D:$D,"P0(후)"))</f>
        <v/>
      </c>
      <c r="Q2155" s="30">
        <f>IF(COUNTIFS($C:$C,$C2155,$D:$D,"P0(후)",$L:$L,"&gt;0")&lt;&gt;1,"",SUMIFS($L:$L,$C:$C,$C2155,$D:$D,"P0(후)"))</f>
        <v/>
      </c>
      <c r="R2155" s="30">
        <f>IF(M2155&lt;&gt;"OK","",O2155+(Q2155-O2155)*(H2155-N2155)/(P2155-N2155))</f>
        <v/>
      </c>
      <c r="S2155" s="30">
        <f>IF(OR(M2155&lt;&gt;"OK",NOT(ISNUMBER(L2155))),"",L2155-R2155)</f>
        <v/>
      </c>
      <c r="T2155" s="46">
        <f>IF(OR(NOT(ISNUMBER(S2155)),IF(ISNUMBER(G2155),G2155,F2155)=0),"",S2155/IF(ISNUMBER(G2155),G2155,F2155))</f>
        <v/>
      </c>
      <c r="U2155" s="46">
        <f>IF(ISNUMBER(T2155),ABS(T2155),"")</f>
        <v/>
      </c>
      <c r="V2155" s="46">
        <f>IF(OR($D2154&lt;&gt;"측정",$C2154&lt;&gt;$C2155,NOT(ISNUMBER(L2155)),NOT(ISNUMBER(L2154)),(IF(ISNUMBER(G2155),G2155,F2155)-IF(ISNUMBER(G2154),G2154,F2154))=0),"",(L2155-L2154)/(IF(ISNUMBER(G2155),G2155,F2155)-IF(ISNUMBER(G2154),G2154,F2154)))</f>
        <v/>
      </c>
      <c r="W2155" s="30">
        <f>IF(NOT(AND(ISNUMBER(N2155),ISNUMBER(P2155))),"",(P2155-N2155)*1440)</f>
        <v/>
      </c>
      <c r="X2155" s="28" t="n"/>
      <c r="Y2155" s="28" t="n"/>
      <c r="Z2155" s="28" t="n"/>
      <c r="AA2155" s="31" t="n"/>
      <c r="AB2155" s="31" t="n"/>
    </row>
    <row r="2156">
      <c r="A2156" s="25" t="inlineStr">
        <is>
          <t>S42</t>
        </is>
      </c>
      <c r="B2156" s="25" t="inlineStr">
        <is>
          <t>조도</t>
        </is>
      </c>
      <c r="C2156" s="25" t="inlineStr">
        <is>
          <t>S42-H서</t>
        </is>
      </c>
      <c r="D2156" s="25" t="inlineStr">
        <is>
          <t>측정</t>
        </is>
      </c>
      <c r="E2156" s="25" t="inlineStr">
        <is>
          <t>서</t>
        </is>
      </c>
      <c r="F2156" s="30" t="n">
        <v>5</v>
      </c>
      <c r="G2156" s="29" t="n"/>
      <c r="H2156" s="42" t="n"/>
      <c r="I2156" s="40" t="n"/>
      <c r="J2156" s="40" t="n"/>
      <c r="K2156" s="40" t="n"/>
      <c r="L2156" s="30">
        <f>IF(COUNT(I2156:K2156)=0,"",MEDIAN(I2156:K2156))</f>
        <v/>
      </c>
      <c r="M2156" s="25">
        <f>IF(COUNTIFS($C:$C,$C2156,$D:$D,"P0(전)",$L:$L,"&gt;0")&lt;&gt;1,"P0(전) 유효 1개 아님",IF(COUNTIFS($C:$C,$C2156,$D:$D,"P0(후)",$L:$L,"&gt;0")&lt;&gt;1,"P0(후) 유효 1개 아님",IF(NOT(AND(ISNUMBER(N2156),ISNUMBER(P2156),ISNUMBER(H2156))),"시각 결측",IF(P2156&lt;=N2156,"P0 시각 역전",IF(OR(H2156&lt;N2156,H2156&gt;P2156),"측정시각 구간 밖","OK")))))</f>
        <v/>
      </c>
      <c r="N2156" s="45">
        <f>IF(COUNTIFS($C:$C,$C2156,$D:$D,"P0(전)",$L:$L,"&gt;0")&lt;&gt;1,"",SUMIFS($H:$H,$C:$C,$C2156,$D:$D,"P0(전)"))</f>
        <v/>
      </c>
      <c r="O2156" s="30">
        <f>IF(COUNTIFS($C:$C,$C2156,$D:$D,"P0(전)",$L:$L,"&gt;0")&lt;&gt;1,"",SUMIFS($L:$L,$C:$C,$C2156,$D:$D,"P0(전)"))</f>
        <v/>
      </c>
      <c r="P2156" s="45">
        <f>IF(COUNTIFS($C:$C,$C2156,$D:$D,"P0(후)",$L:$L,"&gt;0")&lt;&gt;1,"",SUMIFS($H:$H,$C:$C,$C2156,$D:$D,"P0(후)"))</f>
        <v/>
      </c>
      <c r="Q2156" s="30">
        <f>IF(COUNTIFS($C:$C,$C2156,$D:$D,"P0(후)",$L:$L,"&gt;0")&lt;&gt;1,"",SUMIFS($L:$L,$C:$C,$C2156,$D:$D,"P0(후)"))</f>
        <v/>
      </c>
      <c r="R2156" s="30">
        <f>IF(M2156&lt;&gt;"OK","",O2156+(Q2156-O2156)*(H2156-N2156)/(P2156-N2156))</f>
        <v/>
      </c>
      <c r="S2156" s="30">
        <f>IF(OR(M2156&lt;&gt;"OK",NOT(ISNUMBER(L2156))),"",L2156-R2156)</f>
        <v/>
      </c>
      <c r="T2156" s="46">
        <f>IF(OR(NOT(ISNUMBER(S2156)),IF(ISNUMBER(G2156),G2156,F2156)=0),"",S2156/IF(ISNUMBER(G2156),G2156,F2156))</f>
        <v/>
      </c>
      <c r="U2156" s="46">
        <f>IF(ISNUMBER(T2156),ABS(T2156),"")</f>
        <v/>
      </c>
      <c r="V2156" s="46">
        <f>IF(OR($D2155&lt;&gt;"측정",$C2155&lt;&gt;$C2156,NOT(ISNUMBER(L2156)),NOT(ISNUMBER(L2155)),(IF(ISNUMBER(G2156),G2156,F2156)-IF(ISNUMBER(G2155),G2155,F2155))=0),"",(L2156-L2155)/(IF(ISNUMBER(G2156),G2156,F2156)-IF(ISNUMBER(G2155),G2155,F2155)))</f>
        <v/>
      </c>
      <c r="W2156" s="30">
        <f>IF(NOT(AND(ISNUMBER(N2156),ISNUMBER(P2156))),"",(P2156-N2156)*1440)</f>
        <v/>
      </c>
      <c r="X2156" s="28" t="n"/>
      <c r="Y2156" s="28" t="n"/>
      <c r="Z2156" s="28" t="n"/>
      <c r="AA2156" s="31" t="n"/>
      <c r="AB2156" s="31" t="n"/>
    </row>
    <row r="2157">
      <c r="A2157" s="25" t="inlineStr">
        <is>
          <t>S42</t>
        </is>
      </c>
      <c r="B2157" s="25" t="inlineStr">
        <is>
          <t>조도</t>
        </is>
      </c>
      <c r="C2157" s="25" t="inlineStr">
        <is>
          <t>S42-H서</t>
        </is>
      </c>
      <c r="D2157" s="25" t="inlineStr">
        <is>
          <t>측정</t>
        </is>
      </c>
      <c r="E2157" s="25" t="inlineStr">
        <is>
          <t>서</t>
        </is>
      </c>
      <c r="F2157" s="30" t="n">
        <v>6</v>
      </c>
      <c r="G2157" s="29" t="n"/>
      <c r="H2157" s="42" t="n"/>
      <c r="I2157" s="40" t="n"/>
      <c r="J2157" s="40" t="n"/>
      <c r="K2157" s="40" t="n"/>
      <c r="L2157" s="30">
        <f>IF(COUNT(I2157:K2157)=0,"",MEDIAN(I2157:K2157))</f>
        <v/>
      </c>
      <c r="M2157" s="25">
        <f>IF(COUNTIFS($C:$C,$C2157,$D:$D,"P0(전)",$L:$L,"&gt;0")&lt;&gt;1,"P0(전) 유효 1개 아님",IF(COUNTIFS($C:$C,$C2157,$D:$D,"P0(후)",$L:$L,"&gt;0")&lt;&gt;1,"P0(후) 유효 1개 아님",IF(NOT(AND(ISNUMBER(N2157),ISNUMBER(P2157),ISNUMBER(H2157))),"시각 결측",IF(P2157&lt;=N2157,"P0 시각 역전",IF(OR(H2157&lt;N2157,H2157&gt;P2157),"측정시각 구간 밖","OK")))))</f>
        <v/>
      </c>
      <c r="N2157" s="45">
        <f>IF(COUNTIFS($C:$C,$C2157,$D:$D,"P0(전)",$L:$L,"&gt;0")&lt;&gt;1,"",SUMIFS($H:$H,$C:$C,$C2157,$D:$D,"P0(전)"))</f>
        <v/>
      </c>
      <c r="O2157" s="30">
        <f>IF(COUNTIFS($C:$C,$C2157,$D:$D,"P0(전)",$L:$L,"&gt;0")&lt;&gt;1,"",SUMIFS($L:$L,$C:$C,$C2157,$D:$D,"P0(전)"))</f>
        <v/>
      </c>
      <c r="P2157" s="45">
        <f>IF(COUNTIFS($C:$C,$C2157,$D:$D,"P0(후)",$L:$L,"&gt;0")&lt;&gt;1,"",SUMIFS($H:$H,$C:$C,$C2157,$D:$D,"P0(후)"))</f>
        <v/>
      </c>
      <c r="Q2157" s="30">
        <f>IF(COUNTIFS($C:$C,$C2157,$D:$D,"P0(후)",$L:$L,"&gt;0")&lt;&gt;1,"",SUMIFS($L:$L,$C:$C,$C2157,$D:$D,"P0(후)"))</f>
        <v/>
      </c>
      <c r="R2157" s="30">
        <f>IF(M2157&lt;&gt;"OK","",O2157+(Q2157-O2157)*(H2157-N2157)/(P2157-N2157))</f>
        <v/>
      </c>
      <c r="S2157" s="30">
        <f>IF(OR(M2157&lt;&gt;"OK",NOT(ISNUMBER(L2157))),"",L2157-R2157)</f>
        <v/>
      </c>
      <c r="T2157" s="46">
        <f>IF(OR(NOT(ISNUMBER(S2157)),IF(ISNUMBER(G2157),G2157,F2157)=0),"",S2157/IF(ISNUMBER(G2157),G2157,F2157))</f>
        <v/>
      </c>
      <c r="U2157" s="46">
        <f>IF(ISNUMBER(T2157),ABS(T2157),"")</f>
        <v/>
      </c>
      <c r="V2157" s="46">
        <f>IF(OR($D2156&lt;&gt;"측정",$C2156&lt;&gt;$C2157,NOT(ISNUMBER(L2157)),NOT(ISNUMBER(L2156)),(IF(ISNUMBER(G2157),G2157,F2157)-IF(ISNUMBER(G2156),G2156,F2156))=0),"",(L2157-L2156)/(IF(ISNUMBER(G2157),G2157,F2157)-IF(ISNUMBER(G2156),G2156,F2156)))</f>
        <v/>
      </c>
      <c r="W2157" s="30">
        <f>IF(NOT(AND(ISNUMBER(N2157),ISNUMBER(P2157))),"",(P2157-N2157)*1440)</f>
        <v/>
      </c>
      <c r="X2157" s="28" t="n"/>
      <c r="Y2157" s="28" t="n"/>
      <c r="Z2157" s="28" t="n"/>
      <c r="AA2157" s="31" t="n"/>
      <c r="AB2157" s="31" t="n"/>
    </row>
    <row r="2158">
      <c r="A2158" s="25" t="inlineStr">
        <is>
          <t>S42</t>
        </is>
      </c>
      <c r="B2158" s="25" t="inlineStr">
        <is>
          <t>조도</t>
        </is>
      </c>
      <c r="C2158" s="25" t="inlineStr">
        <is>
          <t>S42-H서</t>
        </is>
      </c>
      <c r="D2158" s="25" t="inlineStr">
        <is>
          <t>측정</t>
        </is>
      </c>
      <c r="E2158" s="25" t="inlineStr">
        <is>
          <t>서</t>
        </is>
      </c>
      <c r="F2158" s="30" t="n">
        <v>7</v>
      </c>
      <c r="G2158" s="29" t="n"/>
      <c r="H2158" s="42" t="n"/>
      <c r="I2158" s="40" t="n"/>
      <c r="J2158" s="40" t="n"/>
      <c r="K2158" s="40" t="n"/>
      <c r="L2158" s="30">
        <f>IF(COUNT(I2158:K2158)=0,"",MEDIAN(I2158:K2158))</f>
        <v/>
      </c>
      <c r="M2158" s="25">
        <f>IF(COUNTIFS($C:$C,$C2158,$D:$D,"P0(전)",$L:$L,"&gt;0")&lt;&gt;1,"P0(전) 유효 1개 아님",IF(COUNTIFS($C:$C,$C2158,$D:$D,"P0(후)",$L:$L,"&gt;0")&lt;&gt;1,"P0(후) 유효 1개 아님",IF(NOT(AND(ISNUMBER(N2158),ISNUMBER(P2158),ISNUMBER(H2158))),"시각 결측",IF(P2158&lt;=N2158,"P0 시각 역전",IF(OR(H2158&lt;N2158,H2158&gt;P2158),"측정시각 구간 밖","OK")))))</f>
        <v/>
      </c>
      <c r="N2158" s="45">
        <f>IF(COUNTIFS($C:$C,$C2158,$D:$D,"P0(전)",$L:$L,"&gt;0")&lt;&gt;1,"",SUMIFS($H:$H,$C:$C,$C2158,$D:$D,"P0(전)"))</f>
        <v/>
      </c>
      <c r="O2158" s="30">
        <f>IF(COUNTIFS($C:$C,$C2158,$D:$D,"P0(전)",$L:$L,"&gt;0")&lt;&gt;1,"",SUMIFS($L:$L,$C:$C,$C2158,$D:$D,"P0(전)"))</f>
        <v/>
      </c>
      <c r="P2158" s="45">
        <f>IF(COUNTIFS($C:$C,$C2158,$D:$D,"P0(후)",$L:$L,"&gt;0")&lt;&gt;1,"",SUMIFS($H:$H,$C:$C,$C2158,$D:$D,"P0(후)"))</f>
        <v/>
      </c>
      <c r="Q2158" s="30">
        <f>IF(COUNTIFS($C:$C,$C2158,$D:$D,"P0(후)",$L:$L,"&gt;0")&lt;&gt;1,"",SUMIFS($L:$L,$C:$C,$C2158,$D:$D,"P0(후)"))</f>
        <v/>
      </c>
      <c r="R2158" s="30">
        <f>IF(M2158&lt;&gt;"OK","",O2158+(Q2158-O2158)*(H2158-N2158)/(P2158-N2158))</f>
        <v/>
      </c>
      <c r="S2158" s="30">
        <f>IF(OR(M2158&lt;&gt;"OK",NOT(ISNUMBER(L2158))),"",L2158-R2158)</f>
        <v/>
      </c>
      <c r="T2158" s="46">
        <f>IF(OR(NOT(ISNUMBER(S2158)),IF(ISNUMBER(G2158),G2158,F2158)=0),"",S2158/IF(ISNUMBER(G2158),G2158,F2158))</f>
        <v/>
      </c>
      <c r="U2158" s="46">
        <f>IF(ISNUMBER(T2158),ABS(T2158),"")</f>
        <v/>
      </c>
      <c r="V2158" s="46">
        <f>IF(OR($D2157&lt;&gt;"측정",$C2157&lt;&gt;$C2158,NOT(ISNUMBER(L2158)),NOT(ISNUMBER(L2157)),(IF(ISNUMBER(G2158),G2158,F2158)-IF(ISNUMBER(G2157),G2157,F2157))=0),"",(L2158-L2157)/(IF(ISNUMBER(G2158),G2158,F2158)-IF(ISNUMBER(G2157),G2157,F2157)))</f>
        <v/>
      </c>
      <c r="W2158" s="30">
        <f>IF(NOT(AND(ISNUMBER(N2158),ISNUMBER(P2158))),"",(P2158-N2158)*1440)</f>
        <v/>
      </c>
      <c r="X2158" s="28" t="n"/>
      <c r="Y2158" s="28" t="n"/>
      <c r="Z2158" s="28" t="n"/>
      <c r="AA2158" s="31" t="n"/>
      <c r="AB2158" s="31" t="n"/>
    </row>
    <row r="2159">
      <c r="A2159" s="25" t="inlineStr">
        <is>
          <t>S42</t>
        </is>
      </c>
      <c r="B2159" s="25" t="inlineStr">
        <is>
          <t>조도</t>
        </is>
      </c>
      <c r="C2159" s="25" t="inlineStr">
        <is>
          <t>S42-H서</t>
        </is>
      </c>
      <c r="D2159" s="25" t="inlineStr">
        <is>
          <t>측정</t>
        </is>
      </c>
      <c r="E2159" s="25" t="inlineStr">
        <is>
          <t>서</t>
        </is>
      </c>
      <c r="F2159" s="30" t="n">
        <v>8</v>
      </c>
      <c r="G2159" s="29" t="n"/>
      <c r="H2159" s="42" t="n"/>
      <c r="I2159" s="40" t="n"/>
      <c r="J2159" s="40" t="n"/>
      <c r="K2159" s="40" t="n"/>
      <c r="L2159" s="30">
        <f>IF(COUNT(I2159:K2159)=0,"",MEDIAN(I2159:K2159))</f>
        <v/>
      </c>
      <c r="M2159" s="25">
        <f>IF(COUNTIFS($C:$C,$C2159,$D:$D,"P0(전)",$L:$L,"&gt;0")&lt;&gt;1,"P0(전) 유효 1개 아님",IF(COUNTIFS($C:$C,$C2159,$D:$D,"P0(후)",$L:$L,"&gt;0")&lt;&gt;1,"P0(후) 유효 1개 아님",IF(NOT(AND(ISNUMBER(N2159),ISNUMBER(P2159),ISNUMBER(H2159))),"시각 결측",IF(P2159&lt;=N2159,"P0 시각 역전",IF(OR(H2159&lt;N2159,H2159&gt;P2159),"측정시각 구간 밖","OK")))))</f>
        <v/>
      </c>
      <c r="N2159" s="45">
        <f>IF(COUNTIFS($C:$C,$C2159,$D:$D,"P0(전)",$L:$L,"&gt;0")&lt;&gt;1,"",SUMIFS($H:$H,$C:$C,$C2159,$D:$D,"P0(전)"))</f>
        <v/>
      </c>
      <c r="O2159" s="30">
        <f>IF(COUNTIFS($C:$C,$C2159,$D:$D,"P0(전)",$L:$L,"&gt;0")&lt;&gt;1,"",SUMIFS($L:$L,$C:$C,$C2159,$D:$D,"P0(전)"))</f>
        <v/>
      </c>
      <c r="P2159" s="45">
        <f>IF(COUNTIFS($C:$C,$C2159,$D:$D,"P0(후)",$L:$L,"&gt;0")&lt;&gt;1,"",SUMIFS($H:$H,$C:$C,$C2159,$D:$D,"P0(후)"))</f>
        <v/>
      </c>
      <c r="Q2159" s="30">
        <f>IF(COUNTIFS($C:$C,$C2159,$D:$D,"P0(후)",$L:$L,"&gt;0")&lt;&gt;1,"",SUMIFS($L:$L,$C:$C,$C2159,$D:$D,"P0(후)"))</f>
        <v/>
      </c>
      <c r="R2159" s="30">
        <f>IF(M2159&lt;&gt;"OK","",O2159+(Q2159-O2159)*(H2159-N2159)/(P2159-N2159))</f>
        <v/>
      </c>
      <c r="S2159" s="30">
        <f>IF(OR(M2159&lt;&gt;"OK",NOT(ISNUMBER(L2159))),"",L2159-R2159)</f>
        <v/>
      </c>
      <c r="T2159" s="46">
        <f>IF(OR(NOT(ISNUMBER(S2159)),IF(ISNUMBER(G2159),G2159,F2159)=0),"",S2159/IF(ISNUMBER(G2159),G2159,F2159))</f>
        <v/>
      </c>
      <c r="U2159" s="46">
        <f>IF(ISNUMBER(T2159),ABS(T2159),"")</f>
        <v/>
      </c>
      <c r="V2159" s="46">
        <f>IF(OR($D2158&lt;&gt;"측정",$C2158&lt;&gt;$C2159,NOT(ISNUMBER(L2159)),NOT(ISNUMBER(L2158)),(IF(ISNUMBER(G2159),G2159,F2159)-IF(ISNUMBER(G2158),G2158,F2158))=0),"",(L2159-L2158)/(IF(ISNUMBER(G2159),G2159,F2159)-IF(ISNUMBER(G2158),G2158,F2158)))</f>
        <v/>
      </c>
      <c r="W2159" s="30">
        <f>IF(NOT(AND(ISNUMBER(N2159),ISNUMBER(P2159))),"",(P2159-N2159)*1440)</f>
        <v/>
      </c>
      <c r="X2159" s="28" t="n"/>
      <c r="Y2159" s="28" t="n"/>
      <c r="Z2159" s="28" t="n"/>
      <c r="AA2159" s="31" t="n"/>
      <c r="AB2159" s="31" t="n"/>
    </row>
    <row r="2160">
      <c r="A2160" s="25" t="inlineStr">
        <is>
          <t>S42</t>
        </is>
      </c>
      <c r="B2160" s="25" t="inlineStr">
        <is>
          <t>조도</t>
        </is>
      </c>
      <c r="C2160" s="25" t="inlineStr">
        <is>
          <t>S42-H서</t>
        </is>
      </c>
      <c r="D2160" s="25" t="inlineStr">
        <is>
          <t>측정</t>
        </is>
      </c>
      <c r="E2160" s="25" t="inlineStr">
        <is>
          <t>서</t>
        </is>
      </c>
      <c r="F2160" s="30" t="n">
        <v>9</v>
      </c>
      <c r="G2160" s="29" t="n"/>
      <c r="H2160" s="42" t="n"/>
      <c r="I2160" s="40" t="n"/>
      <c r="J2160" s="40" t="n"/>
      <c r="K2160" s="40" t="n"/>
      <c r="L2160" s="30">
        <f>IF(COUNT(I2160:K2160)=0,"",MEDIAN(I2160:K2160))</f>
        <v/>
      </c>
      <c r="M2160" s="25">
        <f>IF(COUNTIFS($C:$C,$C2160,$D:$D,"P0(전)",$L:$L,"&gt;0")&lt;&gt;1,"P0(전) 유효 1개 아님",IF(COUNTIFS($C:$C,$C2160,$D:$D,"P0(후)",$L:$L,"&gt;0")&lt;&gt;1,"P0(후) 유효 1개 아님",IF(NOT(AND(ISNUMBER(N2160),ISNUMBER(P2160),ISNUMBER(H2160))),"시각 결측",IF(P2160&lt;=N2160,"P0 시각 역전",IF(OR(H2160&lt;N2160,H2160&gt;P2160),"측정시각 구간 밖","OK")))))</f>
        <v/>
      </c>
      <c r="N2160" s="45">
        <f>IF(COUNTIFS($C:$C,$C2160,$D:$D,"P0(전)",$L:$L,"&gt;0")&lt;&gt;1,"",SUMIFS($H:$H,$C:$C,$C2160,$D:$D,"P0(전)"))</f>
        <v/>
      </c>
      <c r="O2160" s="30">
        <f>IF(COUNTIFS($C:$C,$C2160,$D:$D,"P0(전)",$L:$L,"&gt;0")&lt;&gt;1,"",SUMIFS($L:$L,$C:$C,$C2160,$D:$D,"P0(전)"))</f>
        <v/>
      </c>
      <c r="P2160" s="45">
        <f>IF(COUNTIFS($C:$C,$C2160,$D:$D,"P0(후)",$L:$L,"&gt;0")&lt;&gt;1,"",SUMIFS($H:$H,$C:$C,$C2160,$D:$D,"P0(후)"))</f>
        <v/>
      </c>
      <c r="Q2160" s="30">
        <f>IF(COUNTIFS($C:$C,$C2160,$D:$D,"P0(후)",$L:$L,"&gt;0")&lt;&gt;1,"",SUMIFS($L:$L,$C:$C,$C2160,$D:$D,"P0(후)"))</f>
        <v/>
      </c>
      <c r="R2160" s="30">
        <f>IF(M2160&lt;&gt;"OK","",O2160+(Q2160-O2160)*(H2160-N2160)/(P2160-N2160))</f>
        <v/>
      </c>
      <c r="S2160" s="30">
        <f>IF(OR(M2160&lt;&gt;"OK",NOT(ISNUMBER(L2160))),"",L2160-R2160)</f>
        <v/>
      </c>
      <c r="T2160" s="46">
        <f>IF(OR(NOT(ISNUMBER(S2160)),IF(ISNUMBER(G2160),G2160,F2160)=0),"",S2160/IF(ISNUMBER(G2160),G2160,F2160))</f>
        <v/>
      </c>
      <c r="U2160" s="46">
        <f>IF(ISNUMBER(T2160),ABS(T2160),"")</f>
        <v/>
      </c>
      <c r="V2160" s="46">
        <f>IF(OR($D2159&lt;&gt;"측정",$C2159&lt;&gt;$C2160,NOT(ISNUMBER(L2160)),NOT(ISNUMBER(L2159)),(IF(ISNUMBER(G2160),G2160,F2160)-IF(ISNUMBER(G2159),G2159,F2159))=0),"",(L2160-L2159)/(IF(ISNUMBER(G2160),G2160,F2160)-IF(ISNUMBER(G2159),G2159,F2159)))</f>
        <v/>
      </c>
      <c r="W2160" s="30">
        <f>IF(NOT(AND(ISNUMBER(N2160),ISNUMBER(P2160))),"",(P2160-N2160)*1440)</f>
        <v/>
      </c>
      <c r="X2160" s="28" t="n"/>
      <c r="Y2160" s="28" t="n"/>
      <c r="Z2160" s="28" t="n"/>
      <c r="AA2160" s="31" t="n"/>
      <c r="AB2160" s="31" t="n"/>
    </row>
    <row r="2161">
      <c r="A2161" s="25" t="inlineStr">
        <is>
          <t>S42</t>
        </is>
      </c>
      <c r="B2161" s="25" t="inlineStr">
        <is>
          <t>조도</t>
        </is>
      </c>
      <c r="C2161" s="25" t="inlineStr">
        <is>
          <t>S42-H서</t>
        </is>
      </c>
      <c r="D2161" s="25" t="inlineStr">
        <is>
          <t>측정</t>
        </is>
      </c>
      <c r="E2161" s="25" t="inlineStr">
        <is>
          <t>서</t>
        </is>
      </c>
      <c r="F2161" s="30" t="n">
        <v>10</v>
      </c>
      <c r="G2161" s="29" t="n"/>
      <c r="H2161" s="42" t="n"/>
      <c r="I2161" s="40" t="n"/>
      <c r="J2161" s="40" t="n"/>
      <c r="K2161" s="40" t="n"/>
      <c r="L2161" s="30">
        <f>IF(COUNT(I2161:K2161)=0,"",MEDIAN(I2161:K2161))</f>
        <v/>
      </c>
      <c r="M2161" s="25">
        <f>IF(COUNTIFS($C:$C,$C2161,$D:$D,"P0(전)",$L:$L,"&gt;0")&lt;&gt;1,"P0(전) 유효 1개 아님",IF(COUNTIFS($C:$C,$C2161,$D:$D,"P0(후)",$L:$L,"&gt;0")&lt;&gt;1,"P0(후) 유효 1개 아님",IF(NOT(AND(ISNUMBER(N2161),ISNUMBER(P2161),ISNUMBER(H2161))),"시각 결측",IF(P2161&lt;=N2161,"P0 시각 역전",IF(OR(H2161&lt;N2161,H2161&gt;P2161),"측정시각 구간 밖","OK")))))</f>
        <v/>
      </c>
      <c r="N2161" s="45">
        <f>IF(COUNTIFS($C:$C,$C2161,$D:$D,"P0(전)",$L:$L,"&gt;0")&lt;&gt;1,"",SUMIFS($H:$H,$C:$C,$C2161,$D:$D,"P0(전)"))</f>
        <v/>
      </c>
      <c r="O2161" s="30">
        <f>IF(COUNTIFS($C:$C,$C2161,$D:$D,"P0(전)",$L:$L,"&gt;0")&lt;&gt;1,"",SUMIFS($L:$L,$C:$C,$C2161,$D:$D,"P0(전)"))</f>
        <v/>
      </c>
      <c r="P2161" s="45">
        <f>IF(COUNTIFS($C:$C,$C2161,$D:$D,"P0(후)",$L:$L,"&gt;0")&lt;&gt;1,"",SUMIFS($H:$H,$C:$C,$C2161,$D:$D,"P0(후)"))</f>
        <v/>
      </c>
      <c r="Q2161" s="30">
        <f>IF(COUNTIFS($C:$C,$C2161,$D:$D,"P0(후)",$L:$L,"&gt;0")&lt;&gt;1,"",SUMIFS($L:$L,$C:$C,$C2161,$D:$D,"P0(후)"))</f>
        <v/>
      </c>
      <c r="R2161" s="30">
        <f>IF(M2161&lt;&gt;"OK","",O2161+(Q2161-O2161)*(H2161-N2161)/(P2161-N2161))</f>
        <v/>
      </c>
      <c r="S2161" s="30">
        <f>IF(OR(M2161&lt;&gt;"OK",NOT(ISNUMBER(L2161))),"",L2161-R2161)</f>
        <v/>
      </c>
      <c r="T2161" s="46">
        <f>IF(OR(NOT(ISNUMBER(S2161)),IF(ISNUMBER(G2161),G2161,F2161)=0),"",S2161/IF(ISNUMBER(G2161),G2161,F2161))</f>
        <v/>
      </c>
      <c r="U2161" s="46">
        <f>IF(ISNUMBER(T2161),ABS(T2161),"")</f>
        <v/>
      </c>
      <c r="V2161" s="46">
        <f>IF(OR($D2160&lt;&gt;"측정",$C2160&lt;&gt;$C2161,NOT(ISNUMBER(L2161)),NOT(ISNUMBER(L2160)),(IF(ISNUMBER(G2161),G2161,F2161)-IF(ISNUMBER(G2160),G2160,F2160))=0),"",(L2161-L2160)/(IF(ISNUMBER(G2161),G2161,F2161)-IF(ISNUMBER(G2160),G2160,F2160)))</f>
        <v/>
      </c>
      <c r="W2161" s="30">
        <f>IF(NOT(AND(ISNUMBER(N2161),ISNUMBER(P2161))),"",(P2161-N2161)*1440)</f>
        <v/>
      </c>
      <c r="X2161" s="28" t="n"/>
      <c r="Y2161" s="28" t="n"/>
      <c r="Z2161" s="28" t="n"/>
      <c r="AA2161" s="31" t="n"/>
      <c r="AB2161" s="31" t="n"/>
    </row>
    <row r="2162">
      <c r="A2162" s="43" t="inlineStr">
        <is>
          <t>S42</t>
        </is>
      </c>
      <c r="B2162" s="43" t="inlineStr">
        <is>
          <t>조도</t>
        </is>
      </c>
      <c r="C2162" s="43" t="inlineStr">
        <is>
          <t>S42-H서</t>
        </is>
      </c>
      <c r="D2162" s="43" t="inlineStr">
        <is>
          <t>P0(후)</t>
        </is>
      </c>
      <c r="E2162" s="43" t="inlineStr">
        <is>
          <t>서</t>
        </is>
      </c>
      <c r="F2162" s="44" t="n"/>
      <c r="G2162" s="29" t="n"/>
      <c r="H2162" s="42" t="n"/>
      <c r="I2162" s="40" t="n"/>
      <c r="J2162" s="40" t="n"/>
      <c r="K2162" s="40" t="n"/>
      <c r="L2162" s="30">
        <f>IF(COUNT(I2162:K2162)=0,"",MEDIAN(I2162:K2162))</f>
        <v/>
      </c>
      <c r="M2162" s="37" t="n"/>
      <c r="N2162" s="37" t="n"/>
      <c r="O2162" s="37" t="n"/>
      <c r="P2162" s="37" t="n"/>
      <c r="Q2162" s="37" t="n"/>
      <c r="R2162" s="37" t="n"/>
      <c r="S2162" s="37" t="n"/>
      <c r="T2162" s="37" t="n"/>
      <c r="U2162" s="37" t="n"/>
      <c r="V2162" s="37" t="n"/>
      <c r="W2162" s="37" t="n"/>
      <c r="X2162" s="28" t="n"/>
      <c r="Y2162" s="28" t="n"/>
      <c r="Z2162" s="28" t="n"/>
      <c r="AA2162" s="31" t="n"/>
      <c r="AB2162" s="31" t="n"/>
    </row>
    <row r="2163">
      <c r="A2163" s="43" t="inlineStr">
        <is>
          <t>S42</t>
        </is>
      </c>
      <c r="B2163" s="43" t="inlineStr">
        <is>
          <t>조도</t>
        </is>
      </c>
      <c r="C2163" s="43" t="inlineStr">
        <is>
          <t>S42-H남</t>
        </is>
      </c>
      <c r="D2163" s="43" t="inlineStr">
        <is>
          <t>P0(전)</t>
        </is>
      </c>
      <c r="E2163" s="43" t="inlineStr">
        <is>
          <t>남</t>
        </is>
      </c>
      <c r="F2163" s="44" t="n"/>
      <c r="G2163" s="29" t="n"/>
      <c r="H2163" s="42" t="n"/>
      <c r="I2163" s="40" t="n"/>
      <c r="J2163" s="40" t="n"/>
      <c r="K2163" s="40" t="n"/>
      <c r="L2163" s="30">
        <f>IF(COUNT(I2163:K2163)=0,"",MEDIAN(I2163:K2163))</f>
        <v/>
      </c>
      <c r="M2163" s="37" t="n"/>
      <c r="N2163" s="37" t="n"/>
      <c r="O2163" s="37" t="n"/>
      <c r="P2163" s="37" t="n"/>
      <c r="Q2163" s="37" t="n"/>
      <c r="R2163" s="37" t="n"/>
      <c r="S2163" s="37" t="n"/>
      <c r="T2163" s="37" t="n"/>
      <c r="U2163" s="37" t="n"/>
      <c r="V2163" s="37" t="n"/>
      <c r="W2163" s="37" t="n"/>
      <c r="X2163" s="28" t="n"/>
      <c r="Y2163" s="28" t="n"/>
      <c r="Z2163" s="28" t="n"/>
      <c r="AA2163" s="31" t="n"/>
      <c r="AB2163" s="31" t="n"/>
    </row>
    <row r="2164">
      <c r="A2164" s="25" t="inlineStr">
        <is>
          <t>S42</t>
        </is>
      </c>
      <c r="B2164" s="25" t="inlineStr">
        <is>
          <t>조도</t>
        </is>
      </c>
      <c r="C2164" s="25" t="inlineStr">
        <is>
          <t>S42-H남</t>
        </is>
      </c>
      <c r="D2164" s="25" t="inlineStr">
        <is>
          <t>측정</t>
        </is>
      </c>
      <c r="E2164" s="25" t="inlineStr">
        <is>
          <t>남</t>
        </is>
      </c>
      <c r="F2164" s="30" t="n">
        <v>0.5</v>
      </c>
      <c r="G2164" s="29" t="n"/>
      <c r="H2164" s="42" t="n"/>
      <c r="I2164" s="40" t="n"/>
      <c r="J2164" s="40" t="n"/>
      <c r="K2164" s="40" t="n"/>
      <c r="L2164" s="30">
        <f>IF(COUNT(I2164:K2164)=0,"",MEDIAN(I2164:K2164))</f>
        <v/>
      </c>
      <c r="M2164" s="25">
        <f>IF(COUNTIFS($C:$C,$C2164,$D:$D,"P0(전)",$L:$L,"&gt;0")&lt;&gt;1,"P0(전) 유효 1개 아님",IF(COUNTIFS($C:$C,$C2164,$D:$D,"P0(후)",$L:$L,"&gt;0")&lt;&gt;1,"P0(후) 유효 1개 아님",IF(NOT(AND(ISNUMBER(N2164),ISNUMBER(P2164),ISNUMBER(H2164))),"시각 결측",IF(P2164&lt;=N2164,"P0 시각 역전",IF(OR(H2164&lt;N2164,H2164&gt;P2164),"측정시각 구간 밖","OK")))))</f>
        <v/>
      </c>
      <c r="N2164" s="45">
        <f>IF(COUNTIFS($C:$C,$C2164,$D:$D,"P0(전)",$L:$L,"&gt;0")&lt;&gt;1,"",SUMIFS($H:$H,$C:$C,$C2164,$D:$D,"P0(전)"))</f>
        <v/>
      </c>
      <c r="O2164" s="30">
        <f>IF(COUNTIFS($C:$C,$C2164,$D:$D,"P0(전)",$L:$L,"&gt;0")&lt;&gt;1,"",SUMIFS($L:$L,$C:$C,$C2164,$D:$D,"P0(전)"))</f>
        <v/>
      </c>
      <c r="P2164" s="45">
        <f>IF(COUNTIFS($C:$C,$C2164,$D:$D,"P0(후)",$L:$L,"&gt;0")&lt;&gt;1,"",SUMIFS($H:$H,$C:$C,$C2164,$D:$D,"P0(후)"))</f>
        <v/>
      </c>
      <c r="Q2164" s="30">
        <f>IF(COUNTIFS($C:$C,$C2164,$D:$D,"P0(후)",$L:$L,"&gt;0")&lt;&gt;1,"",SUMIFS($L:$L,$C:$C,$C2164,$D:$D,"P0(후)"))</f>
        <v/>
      </c>
      <c r="R2164" s="30">
        <f>IF(M2164&lt;&gt;"OK","",O2164+(Q2164-O2164)*(H2164-N2164)/(P2164-N2164))</f>
        <v/>
      </c>
      <c r="S2164" s="30">
        <f>IF(OR(M2164&lt;&gt;"OK",NOT(ISNUMBER(L2164))),"",L2164-R2164)</f>
        <v/>
      </c>
      <c r="T2164" s="46">
        <f>IF(OR(NOT(ISNUMBER(S2164)),IF(ISNUMBER(G2164),G2164,F2164)=0),"",S2164/IF(ISNUMBER(G2164),G2164,F2164))</f>
        <v/>
      </c>
      <c r="U2164" s="46">
        <f>IF(ISNUMBER(T2164),ABS(T2164),"")</f>
        <v/>
      </c>
      <c r="V2164" s="46">
        <f>IF(OR($D2163&lt;&gt;"측정",$C2163&lt;&gt;$C2164,NOT(ISNUMBER(L2164)),NOT(ISNUMBER(L2163)),(IF(ISNUMBER(G2164),G2164,F2164)-IF(ISNUMBER(G2163),G2163,F2163))=0),"",(L2164-L2163)/(IF(ISNUMBER(G2164),G2164,F2164)-IF(ISNUMBER(G2163),G2163,F2163)))</f>
        <v/>
      </c>
      <c r="W2164" s="30">
        <f>IF(NOT(AND(ISNUMBER(N2164),ISNUMBER(P2164))),"",(P2164-N2164)*1440)</f>
        <v/>
      </c>
      <c r="X2164" s="28" t="n"/>
      <c r="Y2164" s="28" t="n"/>
      <c r="Z2164" s="28" t="n"/>
      <c r="AA2164" s="31" t="n"/>
      <c r="AB2164" s="31" t="n"/>
    </row>
    <row r="2165">
      <c r="A2165" s="25" t="inlineStr">
        <is>
          <t>S42</t>
        </is>
      </c>
      <c r="B2165" s="25" t="inlineStr">
        <is>
          <t>조도</t>
        </is>
      </c>
      <c r="C2165" s="25" t="inlineStr">
        <is>
          <t>S42-H남</t>
        </is>
      </c>
      <c r="D2165" s="25" t="inlineStr">
        <is>
          <t>측정</t>
        </is>
      </c>
      <c r="E2165" s="25" t="inlineStr">
        <is>
          <t>남</t>
        </is>
      </c>
      <c r="F2165" s="30" t="n">
        <v>1</v>
      </c>
      <c r="G2165" s="29" t="n"/>
      <c r="H2165" s="42" t="n"/>
      <c r="I2165" s="40" t="n"/>
      <c r="J2165" s="40" t="n"/>
      <c r="K2165" s="40" t="n"/>
      <c r="L2165" s="30">
        <f>IF(COUNT(I2165:K2165)=0,"",MEDIAN(I2165:K2165))</f>
        <v/>
      </c>
      <c r="M2165" s="25">
        <f>IF(COUNTIFS($C:$C,$C2165,$D:$D,"P0(전)",$L:$L,"&gt;0")&lt;&gt;1,"P0(전) 유효 1개 아님",IF(COUNTIFS($C:$C,$C2165,$D:$D,"P0(후)",$L:$L,"&gt;0")&lt;&gt;1,"P0(후) 유효 1개 아님",IF(NOT(AND(ISNUMBER(N2165),ISNUMBER(P2165),ISNUMBER(H2165))),"시각 결측",IF(P2165&lt;=N2165,"P0 시각 역전",IF(OR(H2165&lt;N2165,H2165&gt;P2165),"측정시각 구간 밖","OK")))))</f>
        <v/>
      </c>
      <c r="N2165" s="45">
        <f>IF(COUNTIFS($C:$C,$C2165,$D:$D,"P0(전)",$L:$L,"&gt;0")&lt;&gt;1,"",SUMIFS($H:$H,$C:$C,$C2165,$D:$D,"P0(전)"))</f>
        <v/>
      </c>
      <c r="O2165" s="30">
        <f>IF(COUNTIFS($C:$C,$C2165,$D:$D,"P0(전)",$L:$L,"&gt;0")&lt;&gt;1,"",SUMIFS($L:$L,$C:$C,$C2165,$D:$D,"P0(전)"))</f>
        <v/>
      </c>
      <c r="P2165" s="45">
        <f>IF(COUNTIFS($C:$C,$C2165,$D:$D,"P0(후)",$L:$L,"&gt;0")&lt;&gt;1,"",SUMIFS($H:$H,$C:$C,$C2165,$D:$D,"P0(후)"))</f>
        <v/>
      </c>
      <c r="Q2165" s="30">
        <f>IF(COUNTIFS($C:$C,$C2165,$D:$D,"P0(후)",$L:$L,"&gt;0")&lt;&gt;1,"",SUMIFS($L:$L,$C:$C,$C2165,$D:$D,"P0(후)"))</f>
        <v/>
      </c>
      <c r="R2165" s="30">
        <f>IF(M2165&lt;&gt;"OK","",O2165+(Q2165-O2165)*(H2165-N2165)/(P2165-N2165))</f>
        <v/>
      </c>
      <c r="S2165" s="30">
        <f>IF(OR(M2165&lt;&gt;"OK",NOT(ISNUMBER(L2165))),"",L2165-R2165)</f>
        <v/>
      </c>
      <c r="T2165" s="46">
        <f>IF(OR(NOT(ISNUMBER(S2165)),IF(ISNUMBER(G2165),G2165,F2165)=0),"",S2165/IF(ISNUMBER(G2165),G2165,F2165))</f>
        <v/>
      </c>
      <c r="U2165" s="46">
        <f>IF(ISNUMBER(T2165),ABS(T2165),"")</f>
        <v/>
      </c>
      <c r="V2165" s="46">
        <f>IF(OR($D2164&lt;&gt;"측정",$C2164&lt;&gt;$C2165,NOT(ISNUMBER(L2165)),NOT(ISNUMBER(L2164)),(IF(ISNUMBER(G2165),G2165,F2165)-IF(ISNUMBER(G2164),G2164,F2164))=0),"",(L2165-L2164)/(IF(ISNUMBER(G2165),G2165,F2165)-IF(ISNUMBER(G2164),G2164,F2164)))</f>
        <v/>
      </c>
      <c r="W2165" s="30">
        <f>IF(NOT(AND(ISNUMBER(N2165),ISNUMBER(P2165))),"",(P2165-N2165)*1440)</f>
        <v/>
      </c>
      <c r="X2165" s="28" t="n"/>
      <c r="Y2165" s="28" t="n"/>
      <c r="Z2165" s="28" t="n"/>
      <c r="AA2165" s="31" t="n"/>
      <c r="AB2165" s="31" t="n"/>
    </row>
    <row r="2166">
      <c r="A2166" s="25" t="inlineStr">
        <is>
          <t>S42</t>
        </is>
      </c>
      <c r="B2166" s="25" t="inlineStr">
        <is>
          <t>조도</t>
        </is>
      </c>
      <c r="C2166" s="25" t="inlineStr">
        <is>
          <t>S42-H남</t>
        </is>
      </c>
      <c r="D2166" s="25" t="inlineStr">
        <is>
          <t>측정</t>
        </is>
      </c>
      <c r="E2166" s="25" t="inlineStr">
        <is>
          <t>남</t>
        </is>
      </c>
      <c r="F2166" s="30" t="n">
        <v>2</v>
      </c>
      <c r="G2166" s="29" t="n"/>
      <c r="H2166" s="42" t="n"/>
      <c r="I2166" s="40" t="n"/>
      <c r="J2166" s="40" t="n"/>
      <c r="K2166" s="40" t="n"/>
      <c r="L2166" s="30">
        <f>IF(COUNT(I2166:K2166)=0,"",MEDIAN(I2166:K2166))</f>
        <v/>
      </c>
      <c r="M2166" s="25">
        <f>IF(COUNTIFS($C:$C,$C2166,$D:$D,"P0(전)",$L:$L,"&gt;0")&lt;&gt;1,"P0(전) 유효 1개 아님",IF(COUNTIFS($C:$C,$C2166,$D:$D,"P0(후)",$L:$L,"&gt;0")&lt;&gt;1,"P0(후) 유효 1개 아님",IF(NOT(AND(ISNUMBER(N2166),ISNUMBER(P2166),ISNUMBER(H2166))),"시각 결측",IF(P2166&lt;=N2166,"P0 시각 역전",IF(OR(H2166&lt;N2166,H2166&gt;P2166),"측정시각 구간 밖","OK")))))</f>
        <v/>
      </c>
      <c r="N2166" s="45">
        <f>IF(COUNTIFS($C:$C,$C2166,$D:$D,"P0(전)",$L:$L,"&gt;0")&lt;&gt;1,"",SUMIFS($H:$H,$C:$C,$C2166,$D:$D,"P0(전)"))</f>
        <v/>
      </c>
      <c r="O2166" s="30">
        <f>IF(COUNTIFS($C:$C,$C2166,$D:$D,"P0(전)",$L:$L,"&gt;0")&lt;&gt;1,"",SUMIFS($L:$L,$C:$C,$C2166,$D:$D,"P0(전)"))</f>
        <v/>
      </c>
      <c r="P2166" s="45">
        <f>IF(COUNTIFS($C:$C,$C2166,$D:$D,"P0(후)",$L:$L,"&gt;0")&lt;&gt;1,"",SUMIFS($H:$H,$C:$C,$C2166,$D:$D,"P0(후)"))</f>
        <v/>
      </c>
      <c r="Q2166" s="30">
        <f>IF(COUNTIFS($C:$C,$C2166,$D:$D,"P0(후)",$L:$L,"&gt;0")&lt;&gt;1,"",SUMIFS($L:$L,$C:$C,$C2166,$D:$D,"P0(후)"))</f>
        <v/>
      </c>
      <c r="R2166" s="30">
        <f>IF(M2166&lt;&gt;"OK","",O2166+(Q2166-O2166)*(H2166-N2166)/(P2166-N2166))</f>
        <v/>
      </c>
      <c r="S2166" s="30">
        <f>IF(OR(M2166&lt;&gt;"OK",NOT(ISNUMBER(L2166))),"",L2166-R2166)</f>
        <v/>
      </c>
      <c r="T2166" s="46">
        <f>IF(OR(NOT(ISNUMBER(S2166)),IF(ISNUMBER(G2166),G2166,F2166)=0),"",S2166/IF(ISNUMBER(G2166),G2166,F2166))</f>
        <v/>
      </c>
      <c r="U2166" s="46">
        <f>IF(ISNUMBER(T2166),ABS(T2166),"")</f>
        <v/>
      </c>
      <c r="V2166" s="46">
        <f>IF(OR($D2165&lt;&gt;"측정",$C2165&lt;&gt;$C2166,NOT(ISNUMBER(L2166)),NOT(ISNUMBER(L2165)),(IF(ISNUMBER(G2166),G2166,F2166)-IF(ISNUMBER(G2165),G2165,F2165))=0),"",(L2166-L2165)/(IF(ISNUMBER(G2166),G2166,F2166)-IF(ISNUMBER(G2165),G2165,F2165)))</f>
        <v/>
      </c>
      <c r="W2166" s="30">
        <f>IF(NOT(AND(ISNUMBER(N2166),ISNUMBER(P2166))),"",(P2166-N2166)*1440)</f>
        <v/>
      </c>
      <c r="X2166" s="28" t="n"/>
      <c r="Y2166" s="28" t="n"/>
      <c r="Z2166" s="28" t="n"/>
      <c r="AA2166" s="31" t="n"/>
      <c r="AB2166" s="31" t="n"/>
    </row>
    <row r="2167">
      <c r="A2167" s="25" t="inlineStr">
        <is>
          <t>S42</t>
        </is>
      </c>
      <c r="B2167" s="25" t="inlineStr">
        <is>
          <t>조도</t>
        </is>
      </c>
      <c r="C2167" s="25" t="inlineStr">
        <is>
          <t>S42-H남</t>
        </is>
      </c>
      <c r="D2167" s="25" t="inlineStr">
        <is>
          <t>측정</t>
        </is>
      </c>
      <c r="E2167" s="25" t="inlineStr">
        <is>
          <t>남</t>
        </is>
      </c>
      <c r="F2167" s="30" t="n">
        <v>3</v>
      </c>
      <c r="G2167" s="29" t="n"/>
      <c r="H2167" s="42" t="n"/>
      <c r="I2167" s="40" t="n"/>
      <c r="J2167" s="40" t="n"/>
      <c r="K2167" s="40" t="n"/>
      <c r="L2167" s="30">
        <f>IF(COUNT(I2167:K2167)=0,"",MEDIAN(I2167:K2167))</f>
        <v/>
      </c>
      <c r="M2167" s="25">
        <f>IF(COUNTIFS($C:$C,$C2167,$D:$D,"P0(전)",$L:$L,"&gt;0")&lt;&gt;1,"P0(전) 유효 1개 아님",IF(COUNTIFS($C:$C,$C2167,$D:$D,"P0(후)",$L:$L,"&gt;0")&lt;&gt;1,"P0(후) 유효 1개 아님",IF(NOT(AND(ISNUMBER(N2167),ISNUMBER(P2167),ISNUMBER(H2167))),"시각 결측",IF(P2167&lt;=N2167,"P0 시각 역전",IF(OR(H2167&lt;N2167,H2167&gt;P2167),"측정시각 구간 밖","OK")))))</f>
        <v/>
      </c>
      <c r="N2167" s="45">
        <f>IF(COUNTIFS($C:$C,$C2167,$D:$D,"P0(전)",$L:$L,"&gt;0")&lt;&gt;1,"",SUMIFS($H:$H,$C:$C,$C2167,$D:$D,"P0(전)"))</f>
        <v/>
      </c>
      <c r="O2167" s="30">
        <f>IF(COUNTIFS($C:$C,$C2167,$D:$D,"P0(전)",$L:$L,"&gt;0")&lt;&gt;1,"",SUMIFS($L:$L,$C:$C,$C2167,$D:$D,"P0(전)"))</f>
        <v/>
      </c>
      <c r="P2167" s="45">
        <f>IF(COUNTIFS($C:$C,$C2167,$D:$D,"P0(후)",$L:$L,"&gt;0")&lt;&gt;1,"",SUMIFS($H:$H,$C:$C,$C2167,$D:$D,"P0(후)"))</f>
        <v/>
      </c>
      <c r="Q2167" s="30">
        <f>IF(COUNTIFS($C:$C,$C2167,$D:$D,"P0(후)",$L:$L,"&gt;0")&lt;&gt;1,"",SUMIFS($L:$L,$C:$C,$C2167,$D:$D,"P0(후)"))</f>
        <v/>
      </c>
      <c r="R2167" s="30">
        <f>IF(M2167&lt;&gt;"OK","",O2167+(Q2167-O2167)*(H2167-N2167)/(P2167-N2167))</f>
        <v/>
      </c>
      <c r="S2167" s="30">
        <f>IF(OR(M2167&lt;&gt;"OK",NOT(ISNUMBER(L2167))),"",L2167-R2167)</f>
        <v/>
      </c>
      <c r="T2167" s="46">
        <f>IF(OR(NOT(ISNUMBER(S2167)),IF(ISNUMBER(G2167),G2167,F2167)=0),"",S2167/IF(ISNUMBER(G2167),G2167,F2167))</f>
        <v/>
      </c>
      <c r="U2167" s="46">
        <f>IF(ISNUMBER(T2167),ABS(T2167),"")</f>
        <v/>
      </c>
      <c r="V2167" s="46">
        <f>IF(OR($D2166&lt;&gt;"측정",$C2166&lt;&gt;$C2167,NOT(ISNUMBER(L2167)),NOT(ISNUMBER(L2166)),(IF(ISNUMBER(G2167),G2167,F2167)-IF(ISNUMBER(G2166),G2166,F2166))=0),"",(L2167-L2166)/(IF(ISNUMBER(G2167),G2167,F2167)-IF(ISNUMBER(G2166),G2166,F2166)))</f>
        <v/>
      </c>
      <c r="W2167" s="30">
        <f>IF(NOT(AND(ISNUMBER(N2167),ISNUMBER(P2167))),"",(P2167-N2167)*1440)</f>
        <v/>
      </c>
      <c r="X2167" s="28" t="n"/>
      <c r="Y2167" s="28" t="n"/>
      <c r="Z2167" s="28" t="n"/>
      <c r="AA2167" s="31" t="n"/>
      <c r="AB2167" s="31" t="n"/>
    </row>
    <row r="2168">
      <c r="A2168" s="25" t="inlineStr">
        <is>
          <t>S42</t>
        </is>
      </c>
      <c r="B2168" s="25" t="inlineStr">
        <is>
          <t>조도</t>
        </is>
      </c>
      <c r="C2168" s="25" t="inlineStr">
        <is>
          <t>S42-H남</t>
        </is>
      </c>
      <c r="D2168" s="25" t="inlineStr">
        <is>
          <t>측정</t>
        </is>
      </c>
      <c r="E2168" s="25" t="inlineStr">
        <is>
          <t>남</t>
        </is>
      </c>
      <c r="F2168" s="30" t="n">
        <v>4</v>
      </c>
      <c r="G2168" s="29" t="n"/>
      <c r="H2168" s="42" t="n"/>
      <c r="I2168" s="40" t="n"/>
      <c r="J2168" s="40" t="n"/>
      <c r="K2168" s="40" t="n"/>
      <c r="L2168" s="30">
        <f>IF(COUNT(I2168:K2168)=0,"",MEDIAN(I2168:K2168))</f>
        <v/>
      </c>
      <c r="M2168" s="25">
        <f>IF(COUNTIFS($C:$C,$C2168,$D:$D,"P0(전)",$L:$L,"&gt;0")&lt;&gt;1,"P0(전) 유효 1개 아님",IF(COUNTIFS($C:$C,$C2168,$D:$D,"P0(후)",$L:$L,"&gt;0")&lt;&gt;1,"P0(후) 유효 1개 아님",IF(NOT(AND(ISNUMBER(N2168),ISNUMBER(P2168),ISNUMBER(H2168))),"시각 결측",IF(P2168&lt;=N2168,"P0 시각 역전",IF(OR(H2168&lt;N2168,H2168&gt;P2168),"측정시각 구간 밖","OK")))))</f>
        <v/>
      </c>
      <c r="N2168" s="45">
        <f>IF(COUNTIFS($C:$C,$C2168,$D:$D,"P0(전)",$L:$L,"&gt;0")&lt;&gt;1,"",SUMIFS($H:$H,$C:$C,$C2168,$D:$D,"P0(전)"))</f>
        <v/>
      </c>
      <c r="O2168" s="30">
        <f>IF(COUNTIFS($C:$C,$C2168,$D:$D,"P0(전)",$L:$L,"&gt;0")&lt;&gt;1,"",SUMIFS($L:$L,$C:$C,$C2168,$D:$D,"P0(전)"))</f>
        <v/>
      </c>
      <c r="P2168" s="45">
        <f>IF(COUNTIFS($C:$C,$C2168,$D:$D,"P0(후)",$L:$L,"&gt;0")&lt;&gt;1,"",SUMIFS($H:$H,$C:$C,$C2168,$D:$D,"P0(후)"))</f>
        <v/>
      </c>
      <c r="Q2168" s="30">
        <f>IF(COUNTIFS($C:$C,$C2168,$D:$D,"P0(후)",$L:$L,"&gt;0")&lt;&gt;1,"",SUMIFS($L:$L,$C:$C,$C2168,$D:$D,"P0(후)"))</f>
        <v/>
      </c>
      <c r="R2168" s="30">
        <f>IF(M2168&lt;&gt;"OK","",O2168+(Q2168-O2168)*(H2168-N2168)/(P2168-N2168))</f>
        <v/>
      </c>
      <c r="S2168" s="30">
        <f>IF(OR(M2168&lt;&gt;"OK",NOT(ISNUMBER(L2168))),"",L2168-R2168)</f>
        <v/>
      </c>
      <c r="T2168" s="46">
        <f>IF(OR(NOT(ISNUMBER(S2168)),IF(ISNUMBER(G2168),G2168,F2168)=0),"",S2168/IF(ISNUMBER(G2168),G2168,F2168))</f>
        <v/>
      </c>
      <c r="U2168" s="46">
        <f>IF(ISNUMBER(T2168),ABS(T2168),"")</f>
        <v/>
      </c>
      <c r="V2168" s="46">
        <f>IF(OR($D2167&lt;&gt;"측정",$C2167&lt;&gt;$C2168,NOT(ISNUMBER(L2168)),NOT(ISNUMBER(L2167)),(IF(ISNUMBER(G2168),G2168,F2168)-IF(ISNUMBER(G2167),G2167,F2167))=0),"",(L2168-L2167)/(IF(ISNUMBER(G2168),G2168,F2168)-IF(ISNUMBER(G2167),G2167,F2167)))</f>
        <v/>
      </c>
      <c r="W2168" s="30">
        <f>IF(NOT(AND(ISNUMBER(N2168),ISNUMBER(P2168))),"",(P2168-N2168)*1440)</f>
        <v/>
      </c>
      <c r="X2168" s="28" t="n"/>
      <c r="Y2168" s="28" t="n"/>
      <c r="Z2168" s="28" t="n"/>
      <c r="AA2168" s="31" t="n"/>
      <c r="AB2168" s="31" t="n"/>
    </row>
    <row r="2169">
      <c r="A2169" s="25" t="inlineStr">
        <is>
          <t>S42</t>
        </is>
      </c>
      <c r="B2169" s="25" t="inlineStr">
        <is>
          <t>조도</t>
        </is>
      </c>
      <c r="C2169" s="25" t="inlineStr">
        <is>
          <t>S42-H남</t>
        </is>
      </c>
      <c r="D2169" s="25" t="inlineStr">
        <is>
          <t>측정</t>
        </is>
      </c>
      <c r="E2169" s="25" t="inlineStr">
        <is>
          <t>남</t>
        </is>
      </c>
      <c r="F2169" s="30" t="n">
        <v>5</v>
      </c>
      <c r="G2169" s="29" t="n"/>
      <c r="H2169" s="42" t="n"/>
      <c r="I2169" s="40" t="n"/>
      <c r="J2169" s="40" t="n"/>
      <c r="K2169" s="40" t="n"/>
      <c r="L2169" s="30">
        <f>IF(COUNT(I2169:K2169)=0,"",MEDIAN(I2169:K2169))</f>
        <v/>
      </c>
      <c r="M2169" s="25">
        <f>IF(COUNTIFS($C:$C,$C2169,$D:$D,"P0(전)",$L:$L,"&gt;0")&lt;&gt;1,"P0(전) 유효 1개 아님",IF(COUNTIFS($C:$C,$C2169,$D:$D,"P0(후)",$L:$L,"&gt;0")&lt;&gt;1,"P0(후) 유효 1개 아님",IF(NOT(AND(ISNUMBER(N2169),ISNUMBER(P2169),ISNUMBER(H2169))),"시각 결측",IF(P2169&lt;=N2169,"P0 시각 역전",IF(OR(H2169&lt;N2169,H2169&gt;P2169),"측정시각 구간 밖","OK")))))</f>
        <v/>
      </c>
      <c r="N2169" s="45">
        <f>IF(COUNTIFS($C:$C,$C2169,$D:$D,"P0(전)",$L:$L,"&gt;0")&lt;&gt;1,"",SUMIFS($H:$H,$C:$C,$C2169,$D:$D,"P0(전)"))</f>
        <v/>
      </c>
      <c r="O2169" s="30">
        <f>IF(COUNTIFS($C:$C,$C2169,$D:$D,"P0(전)",$L:$L,"&gt;0")&lt;&gt;1,"",SUMIFS($L:$L,$C:$C,$C2169,$D:$D,"P0(전)"))</f>
        <v/>
      </c>
      <c r="P2169" s="45">
        <f>IF(COUNTIFS($C:$C,$C2169,$D:$D,"P0(후)",$L:$L,"&gt;0")&lt;&gt;1,"",SUMIFS($H:$H,$C:$C,$C2169,$D:$D,"P0(후)"))</f>
        <v/>
      </c>
      <c r="Q2169" s="30">
        <f>IF(COUNTIFS($C:$C,$C2169,$D:$D,"P0(후)",$L:$L,"&gt;0")&lt;&gt;1,"",SUMIFS($L:$L,$C:$C,$C2169,$D:$D,"P0(후)"))</f>
        <v/>
      </c>
      <c r="R2169" s="30">
        <f>IF(M2169&lt;&gt;"OK","",O2169+(Q2169-O2169)*(H2169-N2169)/(P2169-N2169))</f>
        <v/>
      </c>
      <c r="S2169" s="30">
        <f>IF(OR(M2169&lt;&gt;"OK",NOT(ISNUMBER(L2169))),"",L2169-R2169)</f>
        <v/>
      </c>
      <c r="T2169" s="46">
        <f>IF(OR(NOT(ISNUMBER(S2169)),IF(ISNUMBER(G2169),G2169,F2169)=0),"",S2169/IF(ISNUMBER(G2169),G2169,F2169))</f>
        <v/>
      </c>
      <c r="U2169" s="46">
        <f>IF(ISNUMBER(T2169),ABS(T2169),"")</f>
        <v/>
      </c>
      <c r="V2169" s="46">
        <f>IF(OR($D2168&lt;&gt;"측정",$C2168&lt;&gt;$C2169,NOT(ISNUMBER(L2169)),NOT(ISNUMBER(L2168)),(IF(ISNUMBER(G2169),G2169,F2169)-IF(ISNUMBER(G2168),G2168,F2168))=0),"",(L2169-L2168)/(IF(ISNUMBER(G2169),G2169,F2169)-IF(ISNUMBER(G2168),G2168,F2168)))</f>
        <v/>
      </c>
      <c r="W2169" s="30">
        <f>IF(NOT(AND(ISNUMBER(N2169),ISNUMBER(P2169))),"",(P2169-N2169)*1440)</f>
        <v/>
      </c>
      <c r="X2169" s="28" t="n"/>
      <c r="Y2169" s="28" t="n"/>
      <c r="Z2169" s="28" t="n"/>
      <c r="AA2169" s="31" t="n"/>
      <c r="AB2169" s="31" t="n"/>
    </row>
    <row r="2170">
      <c r="A2170" s="25" t="inlineStr">
        <is>
          <t>S42</t>
        </is>
      </c>
      <c r="B2170" s="25" t="inlineStr">
        <is>
          <t>조도</t>
        </is>
      </c>
      <c r="C2170" s="25" t="inlineStr">
        <is>
          <t>S42-H남</t>
        </is>
      </c>
      <c r="D2170" s="25" t="inlineStr">
        <is>
          <t>측정</t>
        </is>
      </c>
      <c r="E2170" s="25" t="inlineStr">
        <is>
          <t>남</t>
        </is>
      </c>
      <c r="F2170" s="30" t="n">
        <v>6</v>
      </c>
      <c r="G2170" s="29" t="n"/>
      <c r="H2170" s="42" t="n"/>
      <c r="I2170" s="40" t="n"/>
      <c r="J2170" s="40" t="n"/>
      <c r="K2170" s="40" t="n"/>
      <c r="L2170" s="30">
        <f>IF(COUNT(I2170:K2170)=0,"",MEDIAN(I2170:K2170))</f>
        <v/>
      </c>
      <c r="M2170" s="25">
        <f>IF(COUNTIFS($C:$C,$C2170,$D:$D,"P0(전)",$L:$L,"&gt;0")&lt;&gt;1,"P0(전) 유효 1개 아님",IF(COUNTIFS($C:$C,$C2170,$D:$D,"P0(후)",$L:$L,"&gt;0")&lt;&gt;1,"P0(후) 유효 1개 아님",IF(NOT(AND(ISNUMBER(N2170),ISNUMBER(P2170),ISNUMBER(H2170))),"시각 결측",IF(P2170&lt;=N2170,"P0 시각 역전",IF(OR(H2170&lt;N2170,H2170&gt;P2170),"측정시각 구간 밖","OK")))))</f>
        <v/>
      </c>
      <c r="N2170" s="45">
        <f>IF(COUNTIFS($C:$C,$C2170,$D:$D,"P0(전)",$L:$L,"&gt;0")&lt;&gt;1,"",SUMIFS($H:$H,$C:$C,$C2170,$D:$D,"P0(전)"))</f>
        <v/>
      </c>
      <c r="O2170" s="30">
        <f>IF(COUNTIFS($C:$C,$C2170,$D:$D,"P0(전)",$L:$L,"&gt;0")&lt;&gt;1,"",SUMIFS($L:$L,$C:$C,$C2170,$D:$D,"P0(전)"))</f>
        <v/>
      </c>
      <c r="P2170" s="45">
        <f>IF(COUNTIFS($C:$C,$C2170,$D:$D,"P0(후)",$L:$L,"&gt;0")&lt;&gt;1,"",SUMIFS($H:$H,$C:$C,$C2170,$D:$D,"P0(후)"))</f>
        <v/>
      </c>
      <c r="Q2170" s="30">
        <f>IF(COUNTIFS($C:$C,$C2170,$D:$D,"P0(후)",$L:$L,"&gt;0")&lt;&gt;1,"",SUMIFS($L:$L,$C:$C,$C2170,$D:$D,"P0(후)"))</f>
        <v/>
      </c>
      <c r="R2170" s="30">
        <f>IF(M2170&lt;&gt;"OK","",O2170+(Q2170-O2170)*(H2170-N2170)/(P2170-N2170))</f>
        <v/>
      </c>
      <c r="S2170" s="30">
        <f>IF(OR(M2170&lt;&gt;"OK",NOT(ISNUMBER(L2170))),"",L2170-R2170)</f>
        <v/>
      </c>
      <c r="T2170" s="46">
        <f>IF(OR(NOT(ISNUMBER(S2170)),IF(ISNUMBER(G2170),G2170,F2170)=0),"",S2170/IF(ISNUMBER(G2170),G2170,F2170))</f>
        <v/>
      </c>
      <c r="U2170" s="46">
        <f>IF(ISNUMBER(T2170),ABS(T2170),"")</f>
        <v/>
      </c>
      <c r="V2170" s="46">
        <f>IF(OR($D2169&lt;&gt;"측정",$C2169&lt;&gt;$C2170,NOT(ISNUMBER(L2170)),NOT(ISNUMBER(L2169)),(IF(ISNUMBER(G2170),G2170,F2170)-IF(ISNUMBER(G2169),G2169,F2169))=0),"",(L2170-L2169)/(IF(ISNUMBER(G2170),G2170,F2170)-IF(ISNUMBER(G2169),G2169,F2169)))</f>
        <v/>
      </c>
      <c r="W2170" s="30">
        <f>IF(NOT(AND(ISNUMBER(N2170),ISNUMBER(P2170))),"",(P2170-N2170)*1440)</f>
        <v/>
      </c>
      <c r="X2170" s="28" t="n"/>
      <c r="Y2170" s="28" t="n"/>
      <c r="Z2170" s="28" t="n"/>
      <c r="AA2170" s="31" t="n"/>
      <c r="AB2170" s="31" t="n"/>
    </row>
    <row r="2171">
      <c r="A2171" s="25" t="inlineStr">
        <is>
          <t>S42</t>
        </is>
      </c>
      <c r="B2171" s="25" t="inlineStr">
        <is>
          <t>조도</t>
        </is>
      </c>
      <c r="C2171" s="25" t="inlineStr">
        <is>
          <t>S42-H남</t>
        </is>
      </c>
      <c r="D2171" s="25" t="inlineStr">
        <is>
          <t>측정</t>
        </is>
      </c>
      <c r="E2171" s="25" t="inlineStr">
        <is>
          <t>남</t>
        </is>
      </c>
      <c r="F2171" s="30" t="n">
        <v>7</v>
      </c>
      <c r="G2171" s="29" t="n"/>
      <c r="H2171" s="42" t="n"/>
      <c r="I2171" s="40" t="n"/>
      <c r="J2171" s="40" t="n"/>
      <c r="K2171" s="40" t="n"/>
      <c r="L2171" s="30">
        <f>IF(COUNT(I2171:K2171)=0,"",MEDIAN(I2171:K2171))</f>
        <v/>
      </c>
      <c r="M2171" s="25">
        <f>IF(COUNTIFS($C:$C,$C2171,$D:$D,"P0(전)",$L:$L,"&gt;0")&lt;&gt;1,"P0(전) 유효 1개 아님",IF(COUNTIFS($C:$C,$C2171,$D:$D,"P0(후)",$L:$L,"&gt;0")&lt;&gt;1,"P0(후) 유효 1개 아님",IF(NOT(AND(ISNUMBER(N2171),ISNUMBER(P2171),ISNUMBER(H2171))),"시각 결측",IF(P2171&lt;=N2171,"P0 시각 역전",IF(OR(H2171&lt;N2171,H2171&gt;P2171),"측정시각 구간 밖","OK")))))</f>
        <v/>
      </c>
      <c r="N2171" s="45">
        <f>IF(COUNTIFS($C:$C,$C2171,$D:$D,"P0(전)",$L:$L,"&gt;0")&lt;&gt;1,"",SUMIFS($H:$H,$C:$C,$C2171,$D:$D,"P0(전)"))</f>
        <v/>
      </c>
      <c r="O2171" s="30">
        <f>IF(COUNTIFS($C:$C,$C2171,$D:$D,"P0(전)",$L:$L,"&gt;0")&lt;&gt;1,"",SUMIFS($L:$L,$C:$C,$C2171,$D:$D,"P0(전)"))</f>
        <v/>
      </c>
      <c r="P2171" s="45">
        <f>IF(COUNTIFS($C:$C,$C2171,$D:$D,"P0(후)",$L:$L,"&gt;0")&lt;&gt;1,"",SUMIFS($H:$H,$C:$C,$C2171,$D:$D,"P0(후)"))</f>
        <v/>
      </c>
      <c r="Q2171" s="30">
        <f>IF(COUNTIFS($C:$C,$C2171,$D:$D,"P0(후)",$L:$L,"&gt;0")&lt;&gt;1,"",SUMIFS($L:$L,$C:$C,$C2171,$D:$D,"P0(후)"))</f>
        <v/>
      </c>
      <c r="R2171" s="30">
        <f>IF(M2171&lt;&gt;"OK","",O2171+(Q2171-O2171)*(H2171-N2171)/(P2171-N2171))</f>
        <v/>
      </c>
      <c r="S2171" s="30">
        <f>IF(OR(M2171&lt;&gt;"OK",NOT(ISNUMBER(L2171))),"",L2171-R2171)</f>
        <v/>
      </c>
      <c r="T2171" s="46">
        <f>IF(OR(NOT(ISNUMBER(S2171)),IF(ISNUMBER(G2171),G2171,F2171)=0),"",S2171/IF(ISNUMBER(G2171),G2171,F2171))</f>
        <v/>
      </c>
      <c r="U2171" s="46">
        <f>IF(ISNUMBER(T2171),ABS(T2171),"")</f>
        <v/>
      </c>
      <c r="V2171" s="46">
        <f>IF(OR($D2170&lt;&gt;"측정",$C2170&lt;&gt;$C2171,NOT(ISNUMBER(L2171)),NOT(ISNUMBER(L2170)),(IF(ISNUMBER(G2171),G2171,F2171)-IF(ISNUMBER(G2170),G2170,F2170))=0),"",(L2171-L2170)/(IF(ISNUMBER(G2171),G2171,F2171)-IF(ISNUMBER(G2170),G2170,F2170)))</f>
        <v/>
      </c>
      <c r="W2171" s="30">
        <f>IF(NOT(AND(ISNUMBER(N2171),ISNUMBER(P2171))),"",(P2171-N2171)*1440)</f>
        <v/>
      </c>
      <c r="X2171" s="28" t="n"/>
      <c r="Y2171" s="28" t="n"/>
      <c r="Z2171" s="28" t="n"/>
      <c r="AA2171" s="31" t="n"/>
      <c r="AB2171" s="31" t="n"/>
    </row>
    <row r="2172">
      <c r="A2172" s="25" t="inlineStr">
        <is>
          <t>S42</t>
        </is>
      </c>
      <c r="B2172" s="25" t="inlineStr">
        <is>
          <t>조도</t>
        </is>
      </c>
      <c r="C2172" s="25" t="inlineStr">
        <is>
          <t>S42-H남</t>
        </is>
      </c>
      <c r="D2172" s="25" t="inlineStr">
        <is>
          <t>측정</t>
        </is>
      </c>
      <c r="E2172" s="25" t="inlineStr">
        <is>
          <t>남</t>
        </is>
      </c>
      <c r="F2172" s="30" t="n">
        <v>8</v>
      </c>
      <c r="G2172" s="29" t="n"/>
      <c r="H2172" s="42" t="n"/>
      <c r="I2172" s="40" t="n"/>
      <c r="J2172" s="40" t="n"/>
      <c r="K2172" s="40" t="n"/>
      <c r="L2172" s="30">
        <f>IF(COUNT(I2172:K2172)=0,"",MEDIAN(I2172:K2172))</f>
        <v/>
      </c>
      <c r="M2172" s="25">
        <f>IF(COUNTIFS($C:$C,$C2172,$D:$D,"P0(전)",$L:$L,"&gt;0")&lt;&gt;1,"P0(전) 유효 1개 아님",IF(COUNTIFS($C:$C,$C2172,$D:$D,"P0(후)",$L:$L,"&gt;0")&lt;&gt;1,"P0(후) 유효 1개 아님",IF(NOT(AND(ISNUMBER(N2172),ISNUMBER(P2172),ISNUMBER(H2172))),"시각 결측",IF(P2172&lt;=N2172,"P0 시각 역전",IF(OR(H2172&lt;N2172,H2172&gt;P2172),"측정시각 구간 밖","OK")))))</f>
        <v/>
      </c>
      <c r="N2172" s="45">
        <f>IF(COUNTIFS($C:$C,$C2172,$D:$D,"P0(전)",$L:$L,"&gt;0")&lt;&gt;1,"",SUMIFS($H:$H,$C:$C,$C2172,$D:$D,"P0(전)"))</f>
        <v/>
      </c>
      <c r="O2172" s="30">
        <f>IF(COUNTIFS($C:$C,$C2172,$D:$D,"P0(전)",$L:$L,"&gt;0")&lt;&gt;1,"",SUMIFS($L:$L,$C:$C,$C2172,$D:$D,"P0(전)"))</f>
        <v/>
      </c>
      <c r="P2172" s="45">
        <f>IF(COUNTIFS($C:$C,$C2172,$D:$D,"P0(후)",$L:$L,"&gt;0")&lt;&gt;1,"",SUMIFS($H:$H,$C:$C,$C2172,$D:$D,"P0(후)"))</f>
        <v/>
      </c>
      <c r="Q2172" s="30">
        <f>IF(COUNTIFS($C:$C,$C2172,$D:$D,"P0(후)",$L:$L,"&gt;0")&lt;&gt;1,"",SUMIFS($L:$L,$C:$C,$C2172,$D:$D,"P0(후)"))</f>
        <v/>
      </c>
      <c r="R2172" s="30">
        <f>IF(M2172&lt;&gt;"OK","",O2172+(Q2172-O2172)*(H2172-N2172)/(P2172-N2172))</f>
        <v/>
      </c>
      <c r="S2172" s="30">
        <f>IF(OR(M2172&lt;&gt;"OK",NOT(ISNUMBER(L2172))),"",L2172-R2172)</f>
        <v/>
      </c>
      <c r="T2172" s="46">
        <f>IF(OR(NOT(ISNUMBER(S2172)),IF(ISNUMBER(G2172),G2172,F2172)=0),"",S2172/IF(ISNUMBER(G2172),G2172,F2172))</f>
        <v/>
      </c>
      <c r="U2172" s="46">
        <f>IF(ISNUMBER(T2172),ABS(T2172),"")</f>
        <v/>
      </c>
      <c r="V2172" s="46">
        <f>IF(OR($D2171&lt;&gt;"측정",$C2171&lt;&gt;$C2172,NOT(ISNUMBER(L2172)),NOT(ISNUMBER(L2171)),(IF(ISNUMBER(G2172),G2172,F2172)-IF(ISNUMBER(G2171),G2171,F2171))=0),"",(L2172-L2171)/(IF(ISNUMBER(G2172),G2172,F2172)-IF(ISNUMBER(G2171),G2171,F2171)))</f>
        <v/>
      </c>
      <c r="W2172" s="30">
        <f>IF(NOT(AND(ISNUMBER(N2172),ISNUMBER(P2172))),"",(P2172-N2172)*1440)</f>
        <v/>
      </c>
      <c r="X2172" s="28" t="n"/>
      <c r="Y2172" s="28" t="n"/>
      <c r="Z2172" s="28" t="n"/>
      <c r="AA2172" s="31" t="n"/>
      <c r="AB2172" s="31" t="n"/>
    </row>
    <row r="2173">
      <c r="A2173" s="25" t="inlineStr">
        <is>
          <t>S42</t>
        </is>
      </c>
      <c r="B2173" s="25" t="inlineStr">
        <is>
          <t>조도</t>
        </is>
      </c>
      <c r="C2173" s="25" t="inlineStr">
        <is>
          <t>S42-H남</t>
        </is>
      </c>
      <c r="D2173" s="25" t="inlineStr">
        <is>
          <t>측정</t>
        </is>
      </c>
      <c r="E2173" s="25" t="inlineStr">
        <is>
          <t>남</t>
        </is>
      </c>
      <c r="F2173" s="30" t="n">
        <v>9</v>
      </c>
      <c r="G2173" s="29" t="n"/>
      <c r="H2173" s="42" t="n"/>
      <c r="I2173" s="40" t="n"/>
      <c r="J2173" s="40" t="n"/>
      <c r="K2173" s="40" t="n"/>
      <c r="L2173" s="30">
        <f>IF(COUNT(I2173:K2173)=0,"",MEDIAN(I2173:K2173))</f>
        <v/>
      </c>
      <c r="M2173" s="25">
        <f>IF(COUNTIFS($C:$C,$C2173,$D:$D,"P0(전)",$L:$L,"&gt;0")&lt;&gt;1,"P0(전) 유효 1개 아님",IF(COUNTIFS($C:$C,$C2173,$D:$D,"P0(후)",$L:$L,"&gt;0")&lt;&gt;1,"P0(후) 유효 1개 아님",IF(NOT(AND(ISNUMBER(N2173),ISNUMBER(P2173),ISNUMBER(H2173))),"시각 결측",IF(P2173&lt;=N2173,"P0 시각 역전",IF(OR(H2173&lt;N2173,H2173&gt;P2173),"측정시각 구간 밖","OK")))))</f>
        <v/>
      </c>
      <c r="N2173" s="45">
        <f>IF(COUNTIFS($C:$C,$C2173,$D:$D,"P0(전)",$L:$L,"&gt;0")&lt;&gt;1,"",SUMIFS($H:$H,$C:$C,$C2173,$D:$D,"P0(전)"))</f>
        <v/>
      </c>
      <c r="O2173" s="30">
        <f>IF(COUNTIFS($C:$C,$C2173,$D:$D,"P0(전)",$L:$L,"&gt;0")&lt;&gt;1,"",SUMIFS($L:$L,$C:$C,$C2173,$D:$D,"P0(전)"))</f>
        <v/>
      </c>
      <c r="P2173" s="45">
        <f>IF(COUNTIFS($C:$C,$C2173,$D:$D,"P0(후)",$L:$L,"&gt;0")&lt;&gt;1,"",SUMIFS($H:$H,$C:$C,$C2173,$D:$D,"P0(후)"))</f>
        <v/>
      </c>
      <c r="Q2173" s="30">
        <f>IF(COUNTIFS($C:$C,$C2173,$D:$D,"P0(후)",$L:$L,"&gt;0")&lt;&gt;1,"",SUMIFS($L:$L,$C:$C,$C2173,$D:$D,"P0(후)"))</f>
        <v/>
      </c>
      <c r="R2173" s="30">
        <f>IF(M2173&lt;&gt;"OK","",O2173+(Q2173-O2173)*(H2173-N2173)/(P2173-N2173))</f>
        <v/>
      </c>
      <c r="S2173" s="30">
        <f>IF(OR(M2173&lt;&gt;"OK",NOT(ISNUMBER(L2173))),"",L2173-R2173)</f>
        <v/>
      </c>
      <c r="T2173" s="46">
        <f>IF(OR(NOT(ISNUMBER(S2173)),IF(ISNUMBER(G2173),G2173,F2173)=0),"",S2173/IF(ISNUMBER(G2173),G2173,F2173))</f>
        <v/>
      </c>
      <c r="U2173" s="46">
        <f>IF(ISNUMBER(T2173),ABS(T2173),"")</f>
        <v/>
      </c>
      <c r="V2173" s="46">
        <f>IF(OR($D2172&lt;&gt;"측정",$C2172&lt;&gt;$C2173,NOT(ISNUMBER(L2173)),NOT(ISNUMBER(L2172)),(IF(ISNUMBER(G2173),G2173,F2173)-IF(ISNUMBER(G2172),G2172,F2172))=0),"",(L2173-L2172)/(IF(ISNUMBER(G2173),G2173,F2173)-IF(ISNUMBER(G2172),G2172,F2172)))</f>
        <v/>
      </c>
      <c r="W2173" s="30">
        <f>IF(NOT(AND(ISNUMBER(N2173),ISNUMBER(P2173))),"",(P2173-N2173)*1440)</f>
        <v/>
      </c>
      <c r="X2173" s="28" t="n"/>
      <c r="Y2173" s="28" t="n"/>
      <c r="Z2173" s="28" t="n"/>
      <c r="AA2173" s="31" t="n"/>
      <c r="AB2173" s="31" t="n"/>
    </row>
    <row r="2174">
      <c r="A2174" s="25" t="inlineStr">
        <is>
          <t>S42</t>
        </is>
      </c>
      <c r="B2174" s="25" t="inlineStr">
        <is>
          <t>조도</t>
        </is>
      </c>
      <c r="C2174" s="25" t="inlineStr">
        <is>
          <t>S42-H남</t>
        </is>
      </c>
      <c r="D2174" s="25" t="inlineStr">
        <is>
          <t>측정</t>
        </is>
      </c>
      <c r="E2174" s="25" t="inlineStr">
        <is>
          <t>남</t>
        </is>
      </c>
      <c r="F2174" s="30" t="n">
        <v>10</v>
      </c>
      <c r="G2174" s="29" t="n"/>
      <c r="H2174" s="42" t="n"/>
      <c r="I2174" s="40" t="n"/>
      <c r="J2174" s="40" t="n"/>
      <c r="K2174" s="40" t="n"/>
      <c r="L2174" s="30">
        <f>IF(COUNT(I2174:K2174)=0,"",MEDIAN(I2174:K2174))</f>
        <v/>
      </c>
      <c r="M2174" s="25">
        <f>IF(COUNTIFS($C:$C,$C2174,$D:$D,"P0(전)",$L:$L,"&gt;0")&lt;&gt;1,"P0(전) 유효 1개 아님",IF(COUNTIFS($C:$C,$C2174,$D:$D,"P0(후)",$L:$L,"&gt;0")&lt;&gt;1,"P0(후) 유효 1개 아님",IF(NOT(AND(ISNUMBER(N2174),ISNUMBER(P2174),ISNUMBER(H2174))),"시각 결측",IF(P2174&lt;=N2174,"P0 시각 역전",IF(OR(H2174&lt;N2174,H2174&gt;P2174),"측정시각 구간 밖","OK")))))</f>
        <v/>
      </c>
      <c r="N2174" s="45">
        <f>IF(COUNTIFS($C:$C,$C2174,$D:$D,"P0(전)",$L:$L,"&gt;0")&lt;&gt;1,"",SUMIFS($H:$H,$C:$C,$C2174,$D:$D,"P0(전)"))</f>
        <v/>
      </c>
      <c r="O2174" s="30">
        <f>IF(COUNTIFS($C:$C,$C2174,$D:$D,"P0(전)",$L:$L,"&gt;0")&lt;&gt;1,"",SUMIFS($L:$L,$C:$C,$C2174,$D:$D,"P0(전)"))</f>
        <v/>
      </c>
      <c r="P2174" s="45">
        <f>IF(COUNTIFS($C:$C,$C2174,$D:$D,"P0(후)",$L:$L,"&gt;0")&lt;&gt;1,"",SUMIFS($H:$H,$C:$C,$C2174,$D:$D,"P0(후)"))</f>
        <v/>
      </c>
      <c r="Q2174" s="30">
        <f>IF(COUNTIFS($C:$C,$C2174,$D:$D,"P0(후)",$L:$L,"&gt;0")&lt;&gt;1,"",SUMIFS($L:$L,$C:$C,$C2174,$D:$D,"P0(후)"))</f>
        <v/>
      </c>
      <c r="R2174" s="30">
        <f>IF(M2174&lt;&gt;"OK","",O2174+(Q2174-O2174)*(H2174-N2174)/(P2174-N2174))</f>
        <v/>
      </c>
      <c r="S2174" s="30">
        <f>IF(OR(M2174&lt;&gt;"OK",NOT(ISNUMBER(L2174))),"",L2174-R2174)</f>
        <v/>
      </c>
      <c r="T2174" s="46">
        <f>IF(OR(NOT(ISNUMBER(S2174)),IF(ISNUMBER(G2174),G2174,F2174)=0),"",S2174/IF(ISNUMBER(G2174),G2174,F2174))</f>
        <v/>
      </c>
      <c r="U2174" s="46">
        <f>IF(ISNUMBER(T2174),ABS(T2174),"")</f>
        <v/>
      </c>
      <c r="V2174" s="46">
        <f>IF(OR($D2173&lt;&gt;"측정",$C2173&lt;&gt;$C2174,NOT(ISNUMBER(L2174)),NOT(ISNUMBER(L2173)),(IF(ISNUMBER(G2174),G2174,F2174)-IF(ISNUMBER(G2173),G2173,F2173))=0),"",(L2174-L2173)/(IF(ISNUMBER(G2174),G2174,F2174)-IF(ISNUMBER(G2173),G2173,F2173)))</f>
        <v/>
      </c>
      <c r="W2174" s="30">
        <f>IF(NOT(AND(ISNUMBER(N2174),ISNUMBER(P2174))),"",(P2174-N2174)*1440)</f>
        <v/>
      </c>
      <c r="X2174" s="28" t="n"/>
      <c r="Y2174" s="28" t="n"/>
      <c r="Z2174" s="28" t="n"/>
      <c r="AA2174" s="31" t="n"/>
      <c r="AB2174" s="31" t="n"/>
    </row>
    <row r="2175">
      <c r="A2175" s="43" t="inlineStr">
        <is>
          <t>S42</t>
        </is>
      </c>
      <c r="B2175" s="43" t="inlineStr">
        <is>
          <t>조도</t>
        </is>
      </c>
      <c r="C2175" s="43" t="inlineStr">
        <is>
          <t>S42-H남</t>
        </is>
      </c>
      <c r="D2175" s="43" t="inlineStr">
        <is>
          <t>P0(후)</t>
        </is>
      </c>
      <c r="E2175" s="43" t="inlineStr">
        <is>
          <t>남</t>
        </is>
      </c>
      <c r="F2175" s="44" t="n"/>
      <c r="G2175" s="29" t="n"/>
      <c r="H2175" s="42" t="n"/>
      <c r="I2175" s="40" t="n"/>
      <c r="J2175" s="40" t="n"/>
      <c r="K2175" s="40" t="n"/>
      <c r="L2175" s="30">
        <f>IF(COUNT(I2175:K2175)=0,"",MEDIAN(I2175:K2175))</f>
        <v/>
      </c>
      <c r="M2175" s="37" t="n"/>
      <c r="N2175" s="37" t="n"/>
      <c r="O2175" s="37" t="n"/>
      <c r="P2175" s="37" t="n"/>
      <c r="Q2175" s="37" t="n"/>
      <c r="R2175" s="37" t="n"/>
      <c r="S2175" s="37" t="n"/>
      <c r="T2175" s="37" t="n"/>
      <c r="U2175" s="37" t="n"/>
      <c r="V2175" s="37" t="n"/>
      <c r="W2175" s="37" t="n"/>
      <c r="X2175" s="28" t="n"/>
      <c r="Y2175" s="28" t="n"/>
      <c r="Z2175" s="28" t="n"/>
      <c r="AA2175" s="31" t="n"/>
      <c r="AB2175" s="31" t="n"/>
    </row>
    <row r="2176">
      <c r="A2176" s="43" t="inlineStr">
        <is>
          <t>S42</t>
        </is>
      </c>
      <c r="B2176" s="43" t="inlineStr">
        <is>
          <t>조도</t>
        </is>
      </c>
      <c r="C2176" s="43" t="inlineStr">
        <is>
          <t>S42-H북</t>
        </is>
      </c>
      <c r="D2176" s="43" t="inlineStr">
        <is>
          <t>P0(전)</t>
        </is>
      </c>
      <c r="E2176" s="43" t="inlineStr">
        <is>
          <t>북</t>
        </is>
      </c>
      <c r="F2176" s="44" t="n"/>
      <c r="G2176" s="29" t="n"/>
      <c r="H2176" s="42" t="n"/>
      <c r="I2176" s="40" t="n"/>
      <c r="J2176" s="40" t="n"/>
      <c r="K2176" s="40" t="n"/>
      <c r="L2176" s="30">
        <f>IF(COUNT(I2176:K2176)=0,"",MEDIAN(I2176:K2176))</f>
        <v/>
      </c>
      <c r="M2176" s="37" t="n"/>
      <c r="N2176" s="37" t="n"/>
      <c r="O2176" s="37" t="n"/>
      <c r="P2176" s="37" t="n"/>
      <c r="Q2176" s="37" t="n"/>
      <c r="R2176" s="37" t="n"/>
      <c r="S2176" s="37" t="n"/>
      <c r="T2176" s="37" t="n"/>
      <c r="U2176" s="37" t="n"/>
      <c r="V2176" s="37" t="n"/>
      <c r="W2176" s="37" t="n"/>
      <c r="X2176" s="28" t="n"/>
      <c r="Y2176" s="28" t="n"/>
      <c r="Z2176" s="28" t="n"/>
      <c r="AA2176" s="31" t="n"/>
      <c r="AB2176" s="31" t="n"/>
    </row>
    <row r="2177">
      <c r="A2177" s="25" t="inlineStr">
        <is>
          <t>S42</t>
        </is>
      </c>
      <c r="B2177" s="25" t="inlineStr">
        <is>
          <t>조도</t>
        </is>
      </c>
      <c r="C2177" s="25" t="inlineStr">
        <is>
          <t>S42-H북</t>
        </is>
      </c>
      <c r="D2177" s="25" t="inlineStr">
        <is>
          <t>측정</t>
        </is>
      </c>
      <c r="E2177" s="25" t="inlineStr">
        <is>
          <t>북</t>
        </is>
      </c>
      <c r="F2177" s="30" t="n">
        <v>0.5</v>
      </c>
      <c r="G2177" s="29" t="n"/>
      <c r="H2177" s="42" t="n"/>
      <c r="I2177" s="40" t="n"/>
      <c r="J2177" s="40" t="n"/>
      <c r="K2177" s="40" t="n"/>
      <c r="L2177" s="30">
        <f>IF(COUNT(I2177:K2177)=0,"",MEDIAN(I2177:K2177))</f>
        <v/>
      </c>
      <c r="M2177" s="25">
        <f>IF(COUNTIFS($C:$C,$C2177,$D:$D,"P0(전)",$L:$L,"&gt;0")&lt;&gt;1,"P0(전) 유효 1개 아님",IF(COUNTIFS($C:$C,$C2177,$D:$D,"P0(후)",$L:$L,"&gt;0")&lt;&gt;1,"P0(후) 유효 1개 아님",IF(NOT(AND(ISNUMBER(N2177),ISNUMBER(P2177),ISNUMBER(H2177))),"시각 결측",IF(P2177&lt;=N2177,"P0 시각 역전",IF(OR(H2177&lt;N2177,H2177&gt;P2177),"측정시각 구간 밖","OK")))))</f>
        <v/>
      </c>
      <c r="N2177" s="45">
        <f>IF(COUNTIFS($C:$C,$C2177,$D:$D,"P0(전)",$L:$L,"&gt;0")&lt;&gt;1,"",SUMIFS($H:$H,$C:$C,$C2177,$D:$D,"P0(전)"))</f>
        <v/>
      </c>
      <c r="O2177" s="30">
        <f>IF(COUNTIFS($C:$C,$C2177,$D:$D,"P0(전)",$L:$L,"&gt;0")&lt;&gt;1,"",SUMIFS($L:$L,$C:$C,$C2177,$D:$D,"P0(전)"))</f>
        <v/>
      </c>
      <c r="P2177" s="45">
        <f>IF(COUNTIFS($C:$C,$C2177,$D:$D,"P0(후)",$L:$L,"&gt;0")&lt;&gt;1,"",SUMIFS($H:$H,$C:$C,$C2177,$D:$D,"P0(후)"))</f>
        <v/>
      </c>
      <c r="Q2177" s="30">
        <f>IF(COUNTIFS($C:$C,$C2177,$D:$D,"P0(후)",$L:$L,"&gt;0")&lt;&gt;1,"",SUMIFS($L:$L,$C:$C,$C2177,$D:$D,"P0(후)"))</f>
        <v/>
      </c>
      <c r="R2177" s="30">
        <f>IF(M2177&lt;&gt;"OK","",O2177+(Q2177-O2177)*(H2177-N2177)/(P2177-N2177))</f>
        <v/>
      </c>
      <c r="S2177" s="30">
        <f>IF(OR(M2177&lt;&gt;"OK",NOT(ISNUMBER(L2177))),"",L2177-R2177)</f>
        <v/>
      </c>
      <c r="T2177" s="46">
        <f>IF(OR(NOT(ISNUMBER(S2177)),IF(ISNUMBER(G2177),G2177,F2177)=0),"",S2177/IF(ISNUMBER(G2177),G2177,F2177))</f>
        <v/>
      </c>
      <c r="U2177" s="46">
        <f>IF(ISNUMBER(T2177),ABS(T2177),"")</f>
        <v/>
      </c>
      <c r="V2177" s="46">
        <f>IF(OR($D2176&lt;&gt;"측정",$C2176&lt;&gt;$C2177,NOT(ISNUMBER(L2177)),NOT(ISNUMBER(L2176)),(IF(ISNUMBER(G2177),G2177,F2177)-IF(ISNUMBER(G2176),G2176,F2176))=0),"",(L2177-L2176)/(IF(ISNUMBER(G2177),G2177,F2177)-IF(ISNUMBER(G2176),G2176,F2176)))</f>
        <v/>
      </c>
      <c r="W2177" s="30">
        <f>IF(NOT(AND(ISNUMBER(N2177),ISNUMBER(P2177))),"",(P2177-N2177)*1440)</f>
        <v/>
      </c>
      <c r="X2177" s="28" t="n"/>
      <c r="Y2177" s="28" t="n"/>
      <c r="Z2177" s="28" t="n"/>
      <c r="AA2177" s="31" t="n"/>
      <c r="AB2177" s="31" t="n"/>
    </row>
    <row r="2178">
      <c r="A2178" s="25" t="inlineStr">
        <is>
          <t>S42</t>
        </is>
      </c>
      <c r="B2178" s="25" t="inlineStr">
        <is>
          <t>조도</t>
        </is>
      </c>
      <c r="C2178" s="25" t="inlineStr">
        <is>
          <t>S42-H북</t>
        </is>
      </c>
      <c r="D2178" s="25" t="inlineStr">
        <is>
          <t>측정</t>
        </is>
      </c>
      <c r="E2178" s="25" t="inlineStr">
        <is>
          <t>북</t>
        </is>
      </c>
      <c r="F2178" s="30" t="n">
        <v>1</v>
      </c>
      <c r="G2178" s="29" t="n"/>
      <c r="H2178" s="42" t="n"/>
      <c r="I2178" s="40" t="n"/>
      <c r="J2178" s="40" t="n"/>
      <c r="K2178" s="40" t="n"/>
      <c r="L2178" s="30">
        <f>IF(COUNT(I2178:K2178)=0,"",MEDIAN(I2178:K2178))</f>
        <v/>
      </c>
      <c r="M2178" s="25">
        <f>IF(COUNTIFS($C:$C,$C2178,$D:$D,"P0(전)",$L:$L,"&gt;0")&lt;&gt;1,"P0(전) 유효 1개 아님",IF(COUNTIFS($C:$C,$C2178,$D:$D,"P0(후)",$L:$L,"&gt;0")&lt;&gt;1,"P0(후) 유효 1개 아님",IF(NOT(AND(ISNUMBER(N2178),ISNUMBER(P2178),ISNUMBER(H2178))),"시각 결측",IF(P2178&lt;=N2178,"P0 시각 역전",IF(OR(H2178&lt;N2178,H2178&gt;P2178),"측정시각 구간 밖","OK")))))</f>
        <v/>
      </c>
      <c r="N2178" s="45">
        <f>IF(COUNTIFS($C:$C,$C2178,$D:$D,"P0(전)",$L:$L,"&gt;0")&lt;&gt;1,"",SUMIFS($H:$H,$C:$C,$C2178,$D:$D,"P0(전)"))</f>
        <v/>
      </c>
      <c r="O2178" s="30">
        <f>IF(COUNTIFS($C:$C,$C2178,$D:$D,"P0(전)",$L:$L,"&gt;0")&lt;&gt;1,"",SUMIFS($L:$L,$C:$C,$C2178,$D:$D,"P0(전)"))</f>
        <v/>
      </c>
      <c r="P2178" s="45">
        <f>IF(COUNTIFS($C:$C,$C2178,$D:$D,"P0(후)",$L:$L,"&gt;0")&lt;&gt;1,"",SUMIFS($H:$H,$C:$C,$C2178,$D:$D,"P0(후)"))</f>
        <v/>
      </c>
      <c r="Q2178" s="30">
        <f>IF(COUNTIFS($C:$C,$C2178,$D:$D,"P0(후)",$L:$L,"&gt;0")&lt;&gt;1,"",SUMIFS($L:$L,$C:$C,$C2178,$D:$D,"P0(후)"))</f>
        <v/>
      </c>
      <c r="R2178" s="30">
        <f>IF(M2178&lt;&gt;"OK","",O2178+(Q2178-O2178)*(H2178-N2178)/(P2178-N2178))</f>
        <v/>
      </c>
      <c r="S2178" s="30">
        <f>IF(OR(M2178&lt;&gt;"OK",NOT(ISNUMBER(L2178))),"",L2178-R2178)</f>
        <v/>
      </c>
      <c r="T2178" s="46">
        <f>IF(OR(NOT(ISNUMBER(S2178)),IF(ISNUMBER(G2178),G2178,F2178)=0),"",S2178/IF(ISNUMBER(G2178),G2178,F2178))</f>
        <v/>
      </c>
      <c r="U2178" s="46">
        <f>IF(ISNUMBER(T2178),ABS(T2178),"")</f>
        <v/>
      </c>
      <c r="V2178" s="46">
        <f>IF(OR($D2177&lt;&gt;"측정",$C2177&lt;&gt;$C2178,NOT(ISNUMBER(L2178)),NOT(ISNUMBER(L2177)),(IF(ISNUMBER(G2178),G2178,F2178)-IF(ISNUMBER(G2177),G2177,F2177))=0),"",(L2178-L2177)/(IF(ISNUMBER(G2178),G2178,F2178)-IF(ISNUMBER(G2177),G2177,F2177)))</f>
        <v/>
      </c>
      <c r="W2178" s="30">
        <f>IF(NOT(AND(ISNUMBER(N2178),ISNUMBER(P2178))),"",(P2178-N2178)*1440)</f>
        <v/>
      </c>
      <c r="X2178" s="28" t="n"/>
      <c r="Y2178" s="28" t="n"/>
      <c r="Z2178" s="28" t="n"/>
      <c r="AA2178" s="31" t="n"/>
      <c r="AB2178" s="31" t="n"/>
    </row>
    <row r="2179">
      <c r="A2179" s="25" t="inlineStr">
        <is>
          <t>S42</t>
        </is>
      </c>
      <c r="B2179" s="25" t="inlineStr">
        <is>
          <t>조도</t>
        </is>
      </c>
      <c r="C2179" s="25" t="inlineStr">
        <is>
          <t>S42-H북</t>
        </is>
      </c>
      <c r="D2179" s="25" t="inlineStr">
        <is>
          <t>측정</t>
        </is>
      </c>
      <c r="E2179" s="25" t="inlineStr">
        <is>
          <t>북</t>
        </is>
      </c>
      <c r="F2179" s="30" t="n">
        <v>2</v>
      </c>
      <c r="G2179" s="29" t="n"/>
      <c r="H2179" s="42" t="n"/>
      <c r="I2179" s="40" t="n"/>
      <c r="J2179" s="40" t="n"/>
      <c r="K2179" s="40" t="n"/>
      <c r="L2179" s="30">
        <f>IF(COUNT(I2179:K2179)=0,"",MEDIAN(I2179:K2179))</f>
        <v/>
      </c>
      <c r="M2179" s="25">
        <f>IF(COUNTIFS($C:$C,$C2179,$D:$D,"P0(전)",$L:$L,"&gt;0")&lt;&gt;1,"P0(전) 유효 1개 아님",IF(COUNTIFS($C:$C,$C2179,$D:$D,"P0(후)",$L:$L,"&gt;0")&lt;&gt;1,"P0(후) 유효 1개 아님",IF(NOT(AND(ISNUMBER(N2179),ISNUMBER(P2179),ISNUMBER(H2179))),"시각 결측",IF(P2179&lt;=N2179,"P0 시각 역전",IF(OR(H2179&lt;N2179,H2179&gt;P2179),"측정시각 구간 밖","OK")))))</f>
        <v/>
      </c>
      <c r="N2179" s="45">
        <f>IF(COUNTIFS($C:$C,$C2179,$D:$D,"P0(전)",$L:$L,"&gt;0")&lt;&gt;1,"",SUMIFS($H:$H,$C:$C,$C2179,$D:$D,"P0(전)"))</f>
        <v/>
      </c>
      <c r="O2179" s="30">
        <f>IF(COUNTIFS($C:$C,$C2179,$D:$D,"P0(전)",$L:$L,"&gt;0")&lt;&gt;1,"",SUMIFS($L:$L,$C:$C,$C2179,$D:$D,"P0(전)"))</f>
        <v/>
      </c>
      <c r="P2179" s="45">
        <f>IF(COUNTIFS($C:$C,$C2179,$D:$D,"P0(후)",$L:$L,"&gt;0")&lt;&gt;1,"",SUMIFS($H:$H,$C:$C,$C2179,$D:$D,"P0(후)"))</f>
        <v/>
      </c>
      <c r="Q2179" s="30">
        <f>IF(COUNTIFS($C:$C,$C2179,$D:$D,"P0(후)",$L:$L,"&gt;0")&lt;&gt;1,"",SUMIFS($L:$L,$C:$C,$C2179,$D:$D,"P0(후)"))</f>
        <v/>
      </c>
      <c r="R2179" s="30">
        <f>IF(M2179&lt;&gt;"OK","",O2179+(Q2179-O2179)*(H2179-N2179)/(P2179-N2179))</f>
        <v/>
      </c>
      <c r="S2179" s="30">
        <f>IF(OR(M2179&lt;&gt;"OK",NOT(ISNUMBER(L2179))),"",L2179-R2179)</f>
        <v/>
      </c>
      <c r="T2179" s="46">
        <f>IF(OR(NOT(ISNUMBER(S2179)),IF(ISNUMBER(G2179),G2179,F2179)=0),"",S2179/IF(ISNUMBER(G2179),G2179,F2179))</f>
        <v/>
      </c>
      <c r="U2179" s="46">
        <f>IF(ISNUMBER(T2179),ABS(T2179),"")</f>
        <v/>
      </c>
      <c r="V2179" s="46">
        <f>IF(OR($D2178&lt;&gt;"측정",$C2178&lt;&gt;$C2179,NOT(ISNUMBER(L2179)),NOT(ISNUMBER(L2178)),(IF(ISNUMBER(G2179),G2179,F2179)-IF(ISNUMBER(G2178),G2178,F2178))=0),"",(L2179-L2178)/(IF(ISNUMBER(G2179),G2179,F2179)-IF(ISNUMBER(G2178),G2178,F2178)))</f>
        <v/>
      </c>
      <c r="W2179" s="30">
        <f>IF(NOT(AND(ISNUMBER(N2179),ISNUMBER(P2179))),"",(P2179-N2179)*1440)</f>
        <v/>
      </c>
      <c r="X2179" s="28" t="n"/>
      <c r="Y2179" s="28" t="n"/>
      <c r="Z2179" s="28" t="n"/>
      <c r="AA2179" s="31" t="n"/>
      <c r="AB2179" s="31" t="n"/>
    </row>
    <row r="2180">
      <c r="A2180" s="25" t="inlineStr">
        <is>
          <t>S42</t>
        </is>
      </c>
      <c r="B2180" s="25" t="inlineStr">
        <is>
          <t>조도</t>
        </is>
      </c>
      <c r="C2180" s="25" t="inlineStr">
        <is>
          <t>S42-H북</t>
        </is>
      </c>
      <c r="D2180" s="25" t="inlineStr">
        <is>
          <t>측정</t>
        </is>
      </c>
      <c r="E2180" s="25" t="inlineStr">
        <is>
          <t>북</t>
        </is>
      </c>
      <c r="F2180" s="30" t="n">
        <v>3</v>
      </c>
      <c r="G2180" s="29" t="n"/>
      <c r="H2180" s="42" t="n"/>
      <c r="I2180" s="40" t="n"/>
      <c r="J2180" s="40" t="n"/>
      <c r="K2180" s="40" t="n"/>
      <c r="L2180" s="30">
        <f>IF(COUNT(I2180:K2180)=0,"",MEDIAN(I2180:K2180))</f>
        <v/>
      </c>
      <c r="M2180" s="25">
        <f>IF(COUNTIFS($C:$C,$C2180,$D:$D,"P0(전)",$L:$L,"&gt;0")&lt;&gt;1,"P0(전) 유효 1개 아님",IF(COUNTIFS($C:$C,$C2180,$D:$D,"P0(후)",$L:$L,"&gt;0")&lt;&gt;1,"P0(후) 유효 1개 아님",IF(NOT(AND(ISNUMBER(N2180),ISNUMBER(P2180),ISNUMBER(H2180))),"시각 결측",IF(P2180&lt;=N2180,"P0 시각 역전",IF(OR(H2180&lt;N2180,H2180&gt;P2180),"측정시각 구간 밖","OK")))))</f>
        <v/>
      </c>
      <c r="N2180" s="45">
        <f>IF(COUNTIFS($C:$C,$C2180,$D:$D,"P0(전)",$L:$L,"&gt;0")&lt;&gt;1,"",SUMIFS($H:$H,$C:$C,$C2180,$D:$D,"P0(전)"))</f>
        <v/>
      </c>
      <c r="O2180" s="30">
        <f>IF(COUNTIFS($C:$C,$C2180,$D:$D,"P0(전)",$L:$L,"&gt;0")&lt;&gt;1,"",SUMIFS($L:$L,$C:$C,$C2180,$D:$D,"P0(전)"))</f>
        <v/>
      </c>
      <c r="P2180" s="45">
        <f>IF(COUNTIFS($C:$C,$C2180,$D:$D,"P0(후)",$L:$L,"&gt;0")&lt;&gt;1,"",SUMIFS($H:$H,$C:$C,$C2180,$D:$D,"P0(후)"))</f>
        <v/>
      </c>
      <c r="Q2180" s="30">
        <f>IF(COUNTIFS($C:$C,$C2180,$D:$D,"P0(후)",$L:$L,"&gt;0")&lt;&gt;1,"",SUMIFS($L:$L,$C:$C,$C2180,$D:$D,"P0(후)"))</f>
        <v/>
      </c>
      <c r="R2180" s="30">
        <f>IF(M2180&lt;&gt;"OK","",O2180+(Q2180-O2180)*(H2180-N2180)/(P2180-N2180))</f>
        <v/>
      </c>
      <c r="S2180" s="30">
        <f>IF(OR(M2180&lt;&gt;"OK",NOT(ISNUMBER(L2180))),"",L2180-R2180)</f>
        <v/>
      </c>
      <c r="T2180" s="46">
        <f>IF(OR(NOT(ISNUMBER(S2180)),IF(ISNUMBER(G2180),G2180,F2180)=0),"",S2180/IF(ISNUMBER(G2180),G2180,F2180))</f>
        <v/>
      </c>
      <c r="U2180" s="46">
        <f>IF(ISNUMBER(T2180),ABS(T2180),"")</f>
        <v/>
      </c>
      <c r="V2180" s="46">
        <f>IF(OR($D2179&lt;&gt;"측정",$C2179&lt;&gt;$C2180,NOT(ISNUMBER(L2180)),NOT(ISNUMBER(L2179)),(IF(ISNUMBER(G2180),G2180,F2180)-IF(ISNUMBER(G2179),G2179,F2179))=0),"",(L2180-L2179)/(IF(ISNUMBER(G2180),G2180,F2180)-IF(ISNUMBER(G2179),G2179,F2179)))</f>
        <v/>
      </c>
      <c r="W2180" s="30">
        <f>IF(NOT(AND(ISNUMBER(N2180),ISNUMBER(P2180))),"",(P2180-N2180)*1440)</f>
        <v/>
      </c>
      <c r="X2180" s="28" t="n"/>
      <c r="Y2180" s="28" t="n"/>
      <c r="Z2180" s="28" t="n"/>
      <c r="AA2180" s="31" t="n"/>
      <c r="AB2180" s="31" t="n"/>
    </row>
    <row r="2181">
      <c r="A2181" s="25" t="inlineStr">
        <is>
          <t>S42</t>
        </is>
      </c>
      <c r="B2181" s="25" t="inlineStr">
        <is>
          <t>조도</t>
        </is>
      </c>
      <c r="C2181" s="25" t="inlineStr">
        <is>
          <t>S42-H북</t>
        </is>
      </c>
      <c r="D2181" s="25" t="inlineStr">
        <is>
          <t>측정</t>
        </is>
      </c>
      <c r="E2181" s="25" t="inlineStr">
        <is>
          <t>북</t>
        </is>
      </c>
      <c r="F2181" s="30" t="n">
        <v>4</v>
      </c>
      <c r="G2181" s="29" t="n"/>
      <c r="H2181" s="42" t="n"/>
      <c r="I2181" s="40" t="n"/>
      <c r="J2181" s="40" t="n"/>
      <c r="K2181" s="40" t="n"/>
      <c r="L2181" s="30">
        <f>IF(COUNT(I2181:K2181)=0,"",MEDIAN(I2181:K2181))</f>
        <v/>
      </c>
      <c r="M2181" s="25">
        <f>IF(COUNTIFS($C:$C,$C2181,$D:$D,"P0(전)",$L:$L,"&gt;0")&lt;&gt;1,"P0(전) 유효 1개 아님",IF(COUNTIFS($C:$C,$C2181,$D:$D,"P0(후)",$L:$L,"&gt;0")&lt;&gt;1,"P0(후) 유효 1개 아님",IF(NOT(AND(ISNUMBER(N2181),ISNUMBER(P2181),ISNUMBER(H2181))),"시각 결측",IF(P2181&lt;=N2181,"P0 시각 역전",IF(OR(H2181&lt;N2181,H2181&gt;P2181),"측정시각 구간 밖","OK")))))</f>
        <v/>
      </c>
      <c r="N2181" s="45">
        <f>IF(COUNTIFS($C:$C,$C2181,$D:$D,"P0(전)",$L:$L,"&gt;0")&lt;&gt;1,"",SUMIFS($H:$H,$C:$C,$C2181,$D:$D,"P0(전)"))</f>
        <v/>
      </c>
      <c r="O2181" s="30">
        <f>IF(COUNTIFS($C:$C,$C2181,$D:$D,"P0(전)",$L:$L,"&gt;0")&lt;&gt;1,"",SUMIFS($L:$L,$C:$C,$C2181,$D:$D,"P0(전)"))</f>
        <v/>
      </c>
      <c r="P2181" s="45">
        <f>IF(COUNTIFS($C:$C,$C2181,$D:$D,"P0(후)",$L:$L,"&gt;0")&lt;&gt;1,"",SUMIFS($H:$H,$C:$C,$C2181,$D:$D,"P0(후)"))</f>
        <v/>
      </c>
      <c r="Q2181" s="30">
        <f>IF(COUNTIFS($C:$C,$C2181,$D:$D,"P0(후)",$L:$L,"&gt;0")&lt;&gt;1,"",SUMIFS($L:$L,$C:$C,$C2181,$D:$D,"P0(후)"))</f>
        <v/>
      </c>
      <c r="R2181" s="30">
        <f>IF(M2181&lt;&gt;"OK","",O2181+(Q2181-O2181)*(H2181-N2181)/(P2181-N2181))</f>
        <v/>
      </c>
      <c r="S2181" s="30">
        <f>IF(OR(M2181&lt;&gt;"OK",NOT(ISNUMBER(L2181))),"",L2181-R2181)</f>
        <v/>
      </c>
      <c r="T2181" s="46">
        <f>IF(OR(NOT(ISNUMBER(S2181)),IF(ISNUMBER(G2181),G2181,F2181)=0),"",S2181/IF(ISNUMBER(G2181),G2181,F2181))</f>
        <v/>
      </c>
      <c r="U2181" s="46">
        <f>IF(ISNUMBER(T2181),ABS(T2181),"")</f>
        <v/>
      </c>
      <c r="V2181" s="46">
        <f>IF(OR($D2180&lt;&gt;"측정",$C2180&lt;&gt;$C2181,NOT(ISNUMBER(L2181)),NOT(ISNUMBER(L2180)),(IF(ISNUMBER(G2181),G2181,F2181)-IF(ISNUMBER(G2180),G2180,F2180))=0),"",(L2181-L2180)/(IF(ISNUMBER(G2181),G2181,F2181)-IF(ISNUMBER(G2180),G2180,F2180)))</f>
        <v/>
      </c>
      <c r="W2181" s="30">
        <f>IF(NOT(AND(ISNUMBER(N2181),ISNUMBER(P2181))),"",(P2181-N2181)*1440)</f>
        <v/>
      </c>
      <c r="X2181" s="28" t="n"/>
      <c r="Y2181" s="28" t="n"/>
      <c r="Z2181" s="28" t="n"/>
      <c r="AA2181" s="31" t="n"/>
      <c r="AB2181" s="31" t="n"/>
    </row>
    <row r="2182">
      <c r="A2182" s="25" t="inlineStr">
        <is>
          <t>S42</t>
        </is>
      </c>
      <c r="B2182" s="25" t="inlineStr">
        <is>
          <t>조도</t>
        </is>
      </c>
      <c r="C2182" s="25" t="inlineStr">
        <is>
          <t>S42-H북</t>
        </is>
      </c>
      <c r="D2182" s="25" t="inlineStr">
        <is>
          <t>측정</t>
        </is>
      </c>
      <c r="E2182" s="25" t="inlineStr">
        <is>
          <t>북</t>
        </is>
      </c>
      <c r="F2182" s="30" t="n">
        <v>5</v>
      </c>
      <c r="G2182" s="29" t="n"/>
      <c r="H2182" s="42" t="n"/>
      <c r="I2182" s="40" t="n"/>
      <c r="J2182" s="40" t="n"/>
      <c r="K2182" s="40" t="n"/>
      <c r="L2182" s="30">
        <f>IF(COUNT(I2182:K2182)=0,"",MEDIAN(I2182:K2182))</f>
        <v/>
      </c>
      <c r="M2182" s="25">
        <f>IF(COUNTIFS($C:$C,$C2182,$D:$D,"P0(전)",$L:$L,"&gt;0")&lt;&gt;1,"P0(전) 유효 1개 아님",IF(COUNTIFS($C:$C,$C2182,$D:$D,"P0(후)",$L:$L,"&gt;0")&lt;&gt;1,"P0(후) 유효 1개 아님",IF(NOT(AND(ISNUMBER(N2182),ISNUMBER(P2182),ISNUMBER(H2182))),"시각 결측",IF(P2182&lt;=N2182,"P0 시각 역전",IF(OR(H2182&lt;N2182,H2182&gt;P2182),"측정시각 구간 밖","OK")))))</f>
        <v/>
      </c>
      <c r="N2182" s="45">
        <f>IF(COUNTIFS($C:$C,$C2182,$D:$D,"P0(전)",$L:$L,"&gt;0")&lt;&gt;1,"",SUMIFS($H:$H,$C:$C,$C2182,$D:$D,"P0(전)"))</f>
        <v/>
      </c>
      <c r="O2182" s="30">
        <f>IF(COUNTIFS($C:$C,$C2182,$D:$D,"P0(전)",$L:$L,"&gt;0")&lt;&gt;1,"",SUMIFS($L:$L,$C:$C,$C2182,$D:$D,"P0(전)"))</f>
        <v/>
      </c>
      <c r="P2182" s="45">
        <f>IF(COUNTIFS($C:$C,$C2182,$D:$D,"P0(후)",$L:$L,"&gt;0")&lt;&gt;1,"",SUMIFS($H:$H,$C:$C,$C2182,$D:$D,"P0(후)"))</f>
        <v/>
      </c>
      <c r="Q2182" s="30">
        <f>IF(COUNTIFS($C:$C,$C2182,$D:$D,"P0(후)",$L:$L,"&gt;0")&lt;&gt;1,"",SUMIFS($L:$L,$C:$C,$C2182,$D:$D,"P0(후)"))</f>
        <v/>
      </c>
      <c r="R2182" s="30">
        <f>IF(M2182&lt;&gt;"OK","",O2182+(Q2182-O2182)*(H2182-N2182)/(P2182-N2182))</f>
        <v/>
      </c>
      <c r="S2182" s="30">
        <f>IF(OR(M2182&lt;&gt;"OK",NOT(ISNUMBER(L2182))),"",L2182-R2182)</f>
        <v/>
      </c>
      <c r="T2182" s="46">
        <f>IF(OR(NOT(ISNUMBER(S2182)),IF(ISNUMBER(G2182),G2182,F2182)=0),"",S2182/IF(ISNUMBER(G2182),G2182,F2182))</f>
        <v/>
      </c>
      <c r="U2182" s="46">
        <f>IF(ISNUMBER(T2182),ABS(T2182),"")</f>
        <v/>
      </c>
      <c r="V2182" s="46">
        <f>IF(OR($D2181&lt;&gt;"측정",$C2181&lt;&gt;$C2182,NOT(ISNUMBER(L2182)),NOT(ISNUMBER(L2181)),(IF(ISNUMBER(G2182),G2182,F2182)-IF(ISNUMBER(G2181),G2181,F2181))=0),"",(L2182-L2181)/(IF(ISNUMBER(G2182),G2182,F2182)-IF(ISNUMBER(G2181),G2181,F2181)))</f>
        <v/>
      </c>
      <c r="W2182" s="30">
        <f>IF(NOT(AND(ISNUMBER(N2182),ISNUMBER(P2182))),"",(P2182-N2182)*1440)</f>
        <v/>
      </c>
      <c r="X2182" s="28" t="n"/>
      <c r="Y2182" s="28" t="n"/>
      <c r="Z2182" s="28" t="n"/>
      <c r="AA2182" s="31" t="n"/>
      <c r="AB2182" s="31" t="n"/>
    </row>
    <row r="2183">
      <c r="A2183" s="25" t="inlineStr">
        <is>
          <t>S42</t>
        </is>
      </c>
      <c r="B2183" s="25" t="inlineStr">
        <is>
          <t>조도</t>
        </is>
      </c>
      <c r="C2183" s="25" t="inlineStr">
        <is>
          <t>S42-H북</t>
        </is>
      </c>
      <c r="D2183" s="25" t="inlineStr">
        <is>
          <t>측정</t>
        </is>
      </c>
      <c r="E2183" s="25" t="inlineStr">
        <is>
          <t>북</t>
        </is>
      </c>
      <c r="F2183" s="30" t="n">
        <v>6</v>
      </c>
      <c r="G2183" s="29" t="n"/>
      <c r="H2183" s="42" t="n"/>
      <c r="I2183" s="40" t="n"/>
      <c r="J2183" s="40" t="n"/>
      <c r="K2183" s="40" t="n"/>
      <c r="L2183" s="30">
        <f>IF(COUNT(I2183:K2183)=0,"",MEDIAN(I2183:K2183))</f>
        <v/>
      </c>
      <c r="M2183" s="25">
        <f>IF(COUNTIFS($C:$C,$C2183,$D:$D,"P0(전)",$L:$L,"&gt;0")&lt;&gt;1,"P0(전) 유효 1개 아님",IF(COUNTIFS($C:$C,$C2183,$D:$D,"P0(후)",$L:$L,"&gt;0")&lt;&gt;1,"P0(후) 유효 1개 아님",IF(NOT(AND(ISNUMBER(N2183),ISNUMBER(P2183),ISNUMBER(H2183))),"시각 결측",IF(P2183&lt;=N2183,"P0 시각 역전",IF(OR(H2183&lt;N2183,H2183&gt;P2183),"측정시각 구간 밖","OK")))))</f>
        <v/>
      </c>
      <c r="N2183" s="45">
        <f>IF(COUNTIFS($C:$C,$C2183,$D:$D,"P0(전)",$L:$L,"&gt;0")&lt;&gt;1,"",SUMIFS($H:$H,$C:$C,$C2183,$D:$D,"P0(전)"))</f>
        <v/>
      </c>
      <c r="O2183" s="30">
        <f>IF(COUNTIFS($C:$C,$C2183,$D:$D,"P0(전)",$L:$L,"&gt;0")&lt;&gt;1,"",SUMIFS($L:$L,$C:$C,$C2183,$D:$D,"P0(전)"))</f>
        <v/>
      </c>
      <c r="P2183" s="45">
        <f>IF(COUNTIFS($C:$C,$C2183,$D:$D,"P0(후)",$L:$L,"&gt;0")&lt;&gt;1,"",SUMIFS($H:$H,$C:$C,$C2183,$D:$D,"P0(후)"))</f>
        <v/>
      </c>
      <c r="Q2183" s="30">
        <f>IF(COUNTIFS($C:$C,$C2183,$D:$D,"P0(후)",$L:$L,"&gt;0")&lt;&gt;1,"",SUMIFS($L:$L,$C:$C,$C2183,$D:$D,"P0(후)"))</f>
        <v/>
      </c>
      <c r="R2183" s="30">
        <f>IF(M2183&lt;&gt;"OK","",O2183+(Q2183-O2183)*(H2183-N2183)/(P2183-N2183))</f>
        <v/>
      </c>
      <c r="S2183" s="30">
        <f>IF(OR(M2183&lt;&gt;"OK",NOT(ISNUMBER(L2183))),"",L2183-R2183)</f>
        <v/>
      </c>
      <c r="T2183" s="46">
        <f>IF(OR(NOT(ISNUMBER(S2183)),IF(ISNUMBER(G2183),G2183,F2183)=0),"",S2183/IF(ISNUMBER(G2183),G2183,F2183))</f>
        <v/>
      </c>
      <c r="U2183" s="46">
        <f>IF(ISNUMBER(T2183),ABS(T2183),"")</f>
        <v/>
      </c>
      <c r="V2183" s="46">
        <f>IF(OR($D2182&lt;&gt;"측정",$C2182&lt;&gt;$C2183,NOT(ISNUMBER(L2183)),NOT(ISNUMBER(L2182)),(IF(ISNUMBER(G2183),G2183,F2183)-IF(ISNUMBER(G2182),G2182,F2182))=0),"",(L2183-L2182)/(IF(ISNUMBER(G2183),G2183,F2183)-IF(ISNUMBER(G2182),G2182,F2182)))</f>
        <v/>
      </c>
      <c r="W2183" s="30">
        <f>IF(NOT(AND(ISNUMBER(N2183),ISNUMBER(P2183))),"",(P2183-N2183)*1440)</f>
        <v/>
      </c>
      <c r="X2183" s="28" t="n"/>
      <c r="Y2183" s="28" t="n"/>
      <c r="Z2183" s="28" t="n"/>
      <c r="AA2183" s="31" t="n"/>
      <c r="AB2183" s="31" t="n"/>
    </row>
    <row r="2184">
      <c r="A2184" s="25" t="inlineStr">
        <is>
          <t>S42</t>
        </is>
      </c>
      <c r="B2184" s="25" t="inlineStr">
        <is>
          <t>조도</t>
        </is>
      </c>
      <c r="C2184" s="25" t="inlineStr">
        <is>
          <t>S42-H북</t>
        </is>
      </c>
      <c r="D2184" s="25" t="inlineStr">
        <is>
          <t>측정</t>
        </is>
      </c>
      <c r="E2184" s="25" t="inlineStr">
        <is>
          <t>북</t>
        </is>
      </c>
      <c r="F2184" s="30" t="n">
        <v>7</v>
      </c>
      <c r="G2184" s="29" t="n"/>
      <c r="H2184" s="42" t="n"/>
      <c r="I2184" s="40" t="n"/>
      <c r="J2184" s="40" t="n"/>
      <c r="K2184" s="40" t="n"/>
      <c r="L2184" s="30">
        <f>IF(COUNT(I2184:K2184)=0,"",MEDIAN(I2184:K2184))</f>
        <v/>
      </c>
      <c r="M2184" s="25">
        <f>IF(COUNTIFS($C:$C,$C2184,$D:$D,"P0(전)",$L:$L,"&gt;0")&lt;&gt;1,"P0(전) 유효 1개 아님",IF(COUNTIFS($C:$C,$C2184,$D:$D,"P0(후)",$L:$L,"&gt;0")&lt;&gt;1,"P0(후) 유효 1개 아님",IF(NOT(AND(ISNUMBER(N2184),ISNUMBER(P2184),ISNUMBER(H2184))),"시각 결측",IF(P2184&lt;=N2184,"P0 시각 역전",IF(OR(H2184&lt;N2184,H2184&gt;P2184),"측정시각 구간 밖","OK")))))</f>
        <v/>
      </c>
      <c r="N2184" s="45">
        <f>IF(COUNTIFS($C:$C,$C2184,$D:$D,"P0(전)",$L:$L,"&gt;0")&lt;&gt;1,"",SUMIFS($H:$H,$C:$C,$C2184,$D:$D,"P0(전)"))</f>
        <v/>
      </c>
      <c r="O2184" s="30">
        <f>IF(COUNTIFS($C:$C,$C2184,$D:$D,"P0(전)",$L:$L,"&gt;0")&lt;&gt;1,"",SUMIFS($L:$L,$C:$C,$C2184,$D:$D,"P0(전)"))</f>
        <v/>
      </c>
      <c r="P2184" s="45">
        <f>IF(COUNTIFS($C:$C,$C2184,$D:$D,"P0(후)",$L:$L,"&gt;0")&lt;&gt;1,"",SUMIFS($H:$H,$C:$C,$C2184,$D:$D,"P0(후)"))</f>
        <v/>
      </c>
      <c r="Q2184" s="30">
        <f>IF(COUNTIFS($C:$C,$C2184,$D:$D,"P0(후)",$L:$L,"&gt;0")&lt;&gt;1,"",SUMIFS($L:$L,$C:$C,$C2184,$D:$D,"P0(후)"))</f>
        <v/>
      </c>
      <c r="R2184" s="30">
        <f>IF(M2184&lt;&gt;"OK","",O2184+(Q2184-O2184)*(H2184-N2184)/(P2184-N2184))</f>
        <v/>
      </c>
      <c r="S2184" s="30">
        <f>IF(OR(M2184&lt;&gt;"OK",NOT(ISNUMBER(L2184))),"",L2184-R2184)</f>
        <v/>
      </c>
      <c r="T2184" s="46">
        <f>IF(OR(NOT(ISNUMBER(S2184)),IF(ISNUMBER(G2184),G2184,F2184)=0),"",S2184/IF(ISNUMBER(G2184),G2184,F2184))</f>
        <v/>
      </c>
      <c r="U2184" s="46">
        <f>IF(ISNUMBER(T2184),ABS(T2184),"")</f>
        <v/>
      </c>
      <c r="V2184" s="46">
        <f>IF(OR($D2183&lt;&gt;"측정",$C2183&lt;&gt;$C2184,NOT(ISNUMBER(L2184)),NOT(ISNUMBER(L2183)),(IF(ISNUMBER(G2184),G2184,F2184)-IF(ISNUMBER(G2183),G2183,F2183))=0),"",(L2184-L2183)/(IF(ISNUMBER(G2184),G2184,F2184)-IF(ISNUMBER(G2183),G2183,F2183)))</f>
        <v/>
      </c>
      <c r="W2184" s="30">
        <f>IF(NOT(AND(ISNUMBER(N2184),ISNUMBER(P2184))),"",(P2184-N2184)*1440)</f>
        <v/>
      </c>
      <c r="X2184" s="28" t="n"/>
      <c r="Y2184" s="28" t="n"/>
      <c r="Z2184" s="28" t="n"/>
      <c r="AA2184" s="31" t="n"/>
      <c r="AB2184" s="31" t="n"/>
    </row>
    <row r="2185">
      <c r="A2185" s="25" t="inlineStr">
        <is>
          <t>S42</t>
        </is>
      </c>
      <c r="B2185" s="25" t="inlineStr">
        <is>
          <t>조도</t>
        </is>
      </c>
      <c r="C2185" s="25" t="inlineStr">
        <is>
          <t>S42-H북</t>
        </is>
      </c>
      <c r="D2185" s="25" t="inlineStr">
        <is>
          <t>측정</t>
        </is>
      </c>
      <c r="E2185" s="25" t="inlineStr">
        <is>
          <t>북</t>
        </is>
      </c>
      <c r="F2185" s="30" t="n">
        <v>8</v>
      </c>
      <c r="G2185" s="29" t="n"/>
      <c r="H2185" s="42" t="n"/>
      <c r="I2185" s="40" t="n"/>
      <c r="J2185" s="40" t="n"/>
      <c r="K2185" s="40" t="n"/>
      <c r="L2185" s="30">
        <f>IF(COUNT(I2185:K2185)=0,"",MEDIAN(I2185:K2185))</f>
        <v/>
      </c>
      <c r="M2185" s="25">
        <f>IF(COUNTIFS($C:$C,$C2185,$D:$D,"P0(전)",$L:$L,"&gt;0")&lt;&gt;1,"P0(전) 유효 1개 아님",IF(COUNTIFS($C:$C,$C2185,$D:$D,"P0(후)",$L:$L,"&gt;0")&lt;&gt;1,"P0(후) 유효 1개 아님",IF(NOT(AND(ISNUMBER(N2185),ISNUMBER(P2185),ISNUMBER(H2185))),"시각 결측",IF(P2185&lt;=N2185,"P0 시각 역전",IF(OR(H2185&lt;N2185,H2185&gt;P2185),"측정시각 구간 밖","OK")))))</f>
        <v/>
      </c>
      <c r="N2185" s="45">
        <f>IF(COUNTIFS($C:$C,$C2185,$D:$D,"P0(전)",$L:$L,"&gt;0")&lt;&gt;1,"",SUMIFS($H:$H,$C:$C,$C2185,$D:$D,"P0(전)"))</f>
        <v/>
      </c>
      <c r="O2185" s="30">
        <f>IF(COUNTIFS($C:$C,$C2185,$D:$D,"P0(전)",$L:$L,"&gt;0")&lt;&gt;1,"",SUMIFS($L:$L,$C:$C,$C2185,$D:$D,"P0(전)"))</f>
        <v/>
      </c>
      <c r="P2185" s="45">
        <f>IF(COUNTIFS($C:$C,$C2185,$D:$D,"P0(후)",$L:$L,"&gt;0")&lt;&gt;1,"",SUMIFS($H:$H,$C:$C,$C2185,$D:$D,"P0(후)"))</f>
        <v/>
      </c>
      <c r="Q2185" s="30">
        <f>IF(COUNTIFS($C:$C,$C2185,$D:$D,"P0(후)",$L:$L,"&gt;0")&lt;&gt;1,"",SUMIFS($L:$L,$C:$C,$C2185,$D:$D,"P0(후)"))</f>
        <v/>
      </c>
      <c r="R2185" s="30">
        <f>IF(M2185&lt;&gt;"OK","",O2185+(Q2185-O2185)*(H2185-N2185)/(P2185-N2185))</f>
        <v/>
      </c>
      <c r="S2185" s="30">
        <f>IF(OR(M2185&lt;&gt;"OK",NOT(ISNUMBER(L2185))),"",L2185-R2185)</f>
        <v/>
      </c>
      <c r="T2185" s="46">
        <f>IF(OR(NOT(ISNUMBER(S2185)),IF(ISNUMBER(G2185),G2185,F2185)=0),"",S2185/IF(ISNUMBER(G2185),G2185,F2185))</f>
        <v/>
      </c>
      <c r="U2185" s="46">
        <f>IF(ISNUMBER(T2185),ABS(T2185),"")</f>
        <v/>
      </c>
      <c r="V2185" s="46">
        <f>IF(OR($D2184&lt;&gt;"측정",$C2184&lt;&gt;$C2185,NOT(ISNUMBER(L2185)),NOT(ISNUMBER(L2184)),(IF(ISNUMBER(G2185),G2185,F2185)-IF(ISNUMBER(G2184),G2184,F2184))=0),"",(L2185-L2184)/(IF(ISNUMBER(G2185),G2185,F2185)-IF(ISNUMBER(G2184),G2184,F2184)))</f>
        <v/>
      </c>
      <c r="W2185" s="30">
        <f>IF(NOT(AND(ISNUMBER(N2185),ISNUMBER(P2185))),"",(P2185-N2185)*1440)</f>
        <v/>
      </c>
      <c r="X2185" s="28" t="n"/>
      <c r="Y2185" s="28" t="n"/>
      <c r="Z2185" s="28" t="n"/>
      <c r="AA2185" s="31" t="n"/>
      <c r="AB2185" s="31" t="n"/>
    </row>
    <row r="2186">
      <c r="A2186" s="25" t="inlineStr">
        <is>
          <t>S42</t>
        </is>
      </c>
      <c r="B2186" s="25" t="inlineStr">
        <is>
          <t>조도</t>
        </is>
      </c>
      <c r="C2186" s="25" t="inlineStr">
        <is>
          <t>S42-H북</t>
        </is>
      </c>
      <c r="D2186" s="25" t="inlineStr">
        <is>
          <t>측정</t>
        </is>
      </c>
      <c r="E2186" s="25" t="inlineStr">
        <is>
          <t>북</t>
        </is>
      </c>
      <c r="F2186" s="30" t="n">
        <v>9</v>
      </c>
      <c r="G2186" s="29" t="n"/>
      <c r="H2186" s="42" t="n"/>
      <c r="I2186" s="40" t="n"/>
      <c r="J2186" s="40" t="n"/>
      <c r="K2186" s="40" t="n"/>
      <c r="L2186" s="30">
        <f>IF(COUNT(I2186:K2186)=0,"",MEDIAN(I2186:K2186))</f>
        <v/>
      </c>
      <c r="M2186" s="25">
        <f>IF(COUNTIFS($C:$C,$C2186,$D:$D,"P0(전)",$L:$L,"&gt;0")&lt;&gt;1,"P0(전) 유효 1개 아님",IF(COUNTIFS($C:$C,$C2186,$D:$D,"P0(후)",$L:$L,"&gt;0")&lt;&gt;1,"P0(후) 유효 1개 아님",IF(NOT(AND(ISNUMBER(N2186),ISNUMBER(P2186),ISNUMBER(H2186))),"시각 결측",IF(P2186&lt;=N2186,"P0 시각 역전",IF(OR(H2186&lt;N2186,H2186&gt;P2186),"측정시각 구간 밖","OK")))))</f>
        <v/>
      </c>
      <c r="N2186" s="45">
        <f>IF(COUNTIFS($C:$C,$C2186,$D:$D,"P0(전)",$L:$L,"&gt;0")&lt;&gt;1,"",SUMIFS($H:$H,$C:$C,$C2186,$D:$D,"P0(전)"))</f>
        <v/>
      </c>
      <c r="O2186" s="30">
        <f>IF(COUNTIFS($C:$C,$C2186,$D:$D,"P0(전)",$L:$L,"&gt;0")&lt;&gt;1,"",SUMIFS($L:$L,$C:$C,$C2186,$D:$D,"P0(전)"))</f>
        <v/>
      </c>
      <c r="P2186" s="45">
        <f>IF(COUNTIFS($C:$C,$C2186,$D:$D,"P0(후)",$L:$L,"&gt;0")&lt;&gt;1,"",SUMIFS($H:$H,$C:$C,$C2186,$D:$D,"P0(후)"))</f>
        <v/>
      </c>
      <c r="Q2186" s="30">
        <f>IF(COUNTIFS($C:$C,$C2186,$D:$D,"P0(후)",$L:$L,"&gt;0")&lt;&gt;1,"",SUMIFS($L:$L,$C:$C,$C2186,$D:$D,"P0(후)"))</f>
        <v/>
      </c>
      <c r="R2186" s="30">
        <f>IF(M2186&lt;&gt;"OK","",O2186+(Q2186-O2186)*(H2186-N2186)/(P2186-N2186))</f>
        <v/>
      </c>
      <c r="S2186" s="30">
        <f>IF(OR(M2186&lt;&gt;"OK",NOT(ISNUMBER(L2186))),"",L2186-R2186)</f>
        <v/>
      </c>
      <c r="T2186" s="46">
        <f>IF(OR(NOT(ISNUMBER(S2186)),IF(ISNUMBER(G2186),G2186,F2186)=0),"",S2186/IF(ISNUMBER(G2186),G2186,F2186))</f>
        <v/>
      </c>
      <c r="U2186" s="46">
        <f>IF(ISNUMBER(T2186),ABS(T2186),"")</f>
        <v/>
      </c>
      <c r="V2186" s="46">
        <f>IF(OR($D2185&lt;&gt;"측정",$C2185&lt;&gt;$C2186,NOT(ISNUMBER(L2186)),NOT(ISNUMBER(L2185)),(IF(ISNUMBER(G2186),G2186,F2186)-IF(ISNUMBER(G2185),G2185,F2185))=0),"",(L2186-L2185)/(IF(ISNUMBER(G2186),G2186,F2186)-IF(ISNUMBER(G2185),G2185,F2185)))</f>
        <v/>
      </c>
      <c r="W2186" s="30">
        <f>IF(NOT(AND(ISNUMBER(N2186),ISNUMBER(P2186))),"",(P2186-N2186)*1440)</f>
        <v/>
      </c>
      <c r="X2186" s="28" t="n"/>
      <c r="Y2186" s="28" t="n"/>
      <c r="Z2186" s="28" t="n"/>
      <c r="AA2186" s="31" t="n"/>
      <c r="AB2186" s="31" t="n"/>
    </row>
    <row r="2187">
      <c r="A2187" s="25" t="inlineStr">
        <is>
          <t>S42</t>
        </is>
      </c>
      <c r="B2187" s="25" t="inlineStr">
        <is>
          <t>조도</t>
        </is>
      </c>
      <c r="C2187" s="25" t="inlineStr">
        <is>
          <t>S42-H북</t>
        </is>
      </c>
      <c r="D2187" s="25" t="inlineStr">
        <is>
          <t>측정</t>
        </is>
      </c>
      <c r="E2187" s="25" t="inlineStr">
        <is>
          <t>북</t>
        </is>
      </c>
      <c r="F2187" s="30" t="n">
        <v>10</v>
      </c>
      <c r="G2187" s="29" t="n"/>
      <c r="H2187" s="42" t="n"/>
      <c r="I2187" s="40" t="n"/>
      <c r="J2187" s="40" t="n"/>
      <c r="K2187" s="40" t="n"/>
      <c r="L2187" s="30">
        <f>IF(COUNT(I2187:K2187)=0,"",MEDIAN(I2187:K2187))</f>
        <v/>
      </c>
      <c r="M2187" s="25">
        <f>IF(COUNTIFS($C:$C,$C2187,$D:$D,"P0(전)",$L:$L,"&gt;0")&lt;&gt;1,"P0(전) 유효 1개 아님",IF(COUNTIFS($C:$C,$C2187,$D:$D,"P0(후)",$L:$L,"&gt;0")&lt;&gt;1,"P0(후) 유효 1개 아님",IF(NOT(AND(ISNUMBER(N2187),ISNUMBER(P2187),ISNUMBER(H2187))),"시각 결측",IF(P2187&lt;=N2187,"P0 시각 역전",IF(OR(H2187&lt;N2187,H2187&gt;P2187),"측정시각 구간 밖","OK")))))</f>
        <v/>
      </c>
      <c r="N2187" s="45">
        <f>IF(COUNTIFS($C:$C,$C2187,$D:$D,"P0(전)",$L:$L,"&gt;0")&lt;&gt;1,"",SUMIFS($H:$H,$C:$C,$C2187,$D:$D,"P0(전)"))</f>
        <v/>
      </c>
      <c r="O2187" s="30">
        <f>IF(COUNTIFS($C:$C,$C2187,$D:$D,"P0(전)",$L:$L,"&gt;0")&lt;&gt;1,"",SUMIFS($L:$L,$C:$C,$C2187,$D:$D,"P0(전)"))</f>
        <v/>
      </c>
      <c r="P2187" s="45">
        <f>IF(COUNTIFS($C:$C,$C2187,$D:$D,"P0(후)",$L:$L,"&gt;0")&lt;&gt;1,"",SUMIFS($H:$H,$C:$C,$C2187,$D:$D,"P0(후)"))</f>
        <v/>
      </c>
      <c r="Q2187" s="30">
        <f>IF(COUNTIFS($C:$C,$C2187,$D:$D,"P0(후)",$L:$L,"&gt;0")&lt;&gt;1,"",SUMIFS($L:$L,$C:$C,$C2187,$D:$D,"P0(후)"))</f>
        <v/>
      </c>
      <c r="R2187" s="30">
        <f>IF(M2187&lt;&gt;"OK","",O2187+(Q2187-O2187)*(H2187-N2187)/(P2187-N2187))</f>
        <v/>
      </c>
      <c r="S2187" s="30">
        <f>IF(OR(M2187&lt;&gt;"OK",NOT(ISNUMBER(L2187))),"",L2187-R2187)</f>
        <v/>
      </c>
      <c r="T2187" s="46">
        <f>IF(OR(NOT(ISNUMBER(S2187)),IF(ISNUMBER(G2187),G2187,F2187)=0),"",S2187/IF(ISNUMBER(G2187),G2187,F2187))</f>
        <v/>
      </c>
      <c r="U2187" s="46">
        <f>IF(ISNUMBER(T2187),ABS(T2187),"")</f>
        <v/>
      </c>
      <c r="V2187" s="46">
        <f>IF(OR($D2186&lt;&gt;"측정",$C2186&lt;&gt;$C2187,NOT(ISNUMBER(L2187)),NOT(ISNUMBER(L2186)),(IF(ISNUMBER(G2187),G2187,F2187)-IF(ISNUMBER(G2186),G2186,F2186))=0),"",(L2187-L2186)/(IF(ISNUMBER(G2187),G2187,F2187)-IF(ISNUMBER(G2186),G2186,F2186)))</f>
        <v/>
      </c>
      <c r="W2187" s="30">
        <f>IF(NOT(AND(ISNUMBER(N2187),ISNUMBER(P2187))),"",(P2187-N2187)*1440)</f>
        <v/>
      </c>
      <c r="X2187" s="28" t="n"/>
      <c r="Y2187" s="28" t="n"/>
      <c r="Z2187" s="28" t="n"/>
      <c r="AA2187" s="31" t="n"/>
      <c r="AB2187" s="31" t="n"/>
    </row>
    <row r="2188">
      <c r="A2188" s="43" t="inlineStr">
        <is>
          <t>S42</t>
        </is>
      </c>
      <c r="B2188" s="43" t="inlineStr">
        <is>
          <t>조도</t>
        </is>
      </c>
      <c r="C2188" s="43" t="inlineStr">
        <is>
          <t>S42-H북</t>
        </is>
      </c>
      <c r="D2188" s="43" t="inlineStr">
        <is>
          <t>P0(후)</t>
        </is>
      </c>
      <c r="E2188" s="43" t="inlineStr">
        <is>
          <t>북</t>
        </is>
      </c>
      <c r="F2188" s="44" t="n"/>
      <c r="G2188" s="29" t="n"/>
      <c r="H2188" s="42" t="n"/>
      <c r="I2188" s="40" t="n"/>
      <c r="J2188" s="40" t="n"/>
      <c r="K2188" s="40" t="n"/>
      <c r="L2188" s="30">
        <f>IF(COUNT(I2188:K2188)=0,"",MEDIAN(I2188:K2188))</f>
        <v/>
      </c>
      <c r="M2188" s="37" t="n"/>
      <c r="N2188" s="37" t="n"/>
      <c r="O2188" s="37" t="n"/>
      <c r="P2188" s="37" t="n"/>
      <c r="Q2188" s="37" t="n"/>
      <c r="R2188" s="37" t="n"/>
      <c r="S2188" s="37" t="n"/>
      <c r="T2188" s="37" t="n"/>
      <c r="U2188" s="37" t="n"/>
      <c r="V2188" s="37" t="n"/>
      <c r="W2188" s="37" t="n"/>
      <c r="X2188" s="28" t="n"/>
      <c r="Y2188" s="28" t="n"/>
      <c r="Z2188" s="28" t="n"/>
      <c r="AA2188" s="31" t="n"/>
      <c r="AB2188" s="31" t="n"/>
    </row>
    <row r="2189">
      <c r="A2189" s="43" t="inlineStr">
        <is>
          <t>S43</t>
        </is>
      </c>
      <c r="B2189" s="43" t="inlineStr">
        <is>
          <t>포천</t>
        </is>
      </c>
      <c r="C2189" s="43" t="inlineStr">
        <is>
          <t>S43-H동</t>
        </is>
      </c>
      <c r="D2189" s="43" t="inlineStr">
        <is>
          <t>P0(전)</t>
        </is>
      </c>
      <c r="E2189" s="43" t="inlineStr">
        <is>
          <t>동</t>
        </is>
      </c>
      <c r="F2189" s="44" t="n"/>
      <c r="G2189" s="29" t="n"/>
      <c r="H2189" s="42" t="n"/>
      <c r="I2189" s="40" t="n"/>
      <c r="J2189" s="40" t="n"/>
      <c r="K2189" s="40" t="n"/>
      <c r="L2189" s="30">
        <f>IF(COUNT(I2189:K2189)=0,"",MEDIAN(I2189:K2189))</f>
        <v/>
      </c>
      <c r="M2189" s="37" t="n"/>
      <c r="N2189" s="37" t="n"/>
      <c r="O2189" s="37" t="n"/>
      <c r="P2189" s="37" t="n"/>
      <c r="Q2189" s="37" t="n"/>
      <c r="R2189" s="37" t="n"/>
      <c r="S2189" s="37" t="n"/>
      <c r="T2189" s="37" t="n"/>
      <c r="U2189" s="37" t="n"/>
      <c r="V2189" s="37" t="n"/>
      <c r="W2189" s="37" t="n"/>
      <c r="X2189" s="28" t="n"/>
      <c r="Y2189" s="28" t="n"/>
      <c r="Z2189" s="28" t="n"/>
      <c r="AA2189" s="31" t="n"/>
      <c r="AB2189" s="31" t="n"/>
    </row>
    <row r="2190">
      <c r="A2190" s="25" t="inlineStr">
        <is>
          <t>S43</t>
        </is>
      </c>
      <c r="B2190" s="25" t="inlineStr">
        <is>
          <t>포천</t>
        </is>
      </c>
      <c r="C2190" s="25" t="inlineStr">
        <is>
          <t>S43-H동</t>
        </is>
      </c>
      <c r="D2190" s="25" t="inlineStr">
        <is>
          <t>측정</t>
        </is>
      </c>
      <c r="E2190" s="25" t="inlineStr">
        <is>
          <t>동</t>
        </is>
      </c>
      <c r="F2190" s="30" t="n">
        <v>0.5</v>
      </c>
      <c r="G2190" s="29" t="n"/>
      <c r="H2190" s="42" t="n"/>
      <c r="I2190" s="40" t="n"/>
      <c r="J2190" s="40" t="n"/>
      <c r="K2190" s="40" t="n"/>
      <c r="L2190" s="30">
        <f>IF(COUNT(I2190:K2190)=0,"",MEDIAN(I2190:K2190))</f>
        <v/>
      </c>
      <c r="M2190" s="25">
        <f>IF(COUNTIFS($C:$C,$C2190,$D:$D,"P0(전)",$L:$L,"&gt;0")&lt;&gt;1,"P0(전) 유효 1개 아님",IF(COUNTIFS($C:$C,$C2190,$D:$D,"P0(후)",$L:$L,"&gt;0")&lt;&gt;1,"P0(후) 유효 1개 아님",IF(NOT(AND(ISNUMBER(N2190),ISNUMBER(P2190),ISNUMBER(H2190))),"시각 결측",IF(P2190&lt;=N2190,"P0 시각 역전",IF(OR(H2190&lt;N2190,H2190&gt;P2190),"측정시각 구간 밖","OK")))))</f>
        <v/>
      </c>
      <c r="N2190" s="45">
        <f>IF(COUNTIFS($C:$C,$C2190,$D:$D,"P0(전)",$L:$L,"&gt;0")&lt;&gt;1,"",SUMIFS($H:$H,$C:$C,$C2190,$D:$D,"P0(전)"))</f>
        <v/>
      </c>
      <c r="O2190" s="30">
        <f>IF(COUNTIFS($C:$C,$C2190,$D:$D,"P0(전)",$L:$L,"&gt;0")&lt;&gt;1,"",SUMIFS($L:$L,$C:$C,$C2190,$D:$D,"P0(전)"))</f>
        <v/>
      </c>
      <c r="P2190" s="45">
        <f>IF(COUNTIFS($C:$C,$C2190,$D:$D,"P0(후)",$L:$L,"&gt;0")&lt;&gt;1,"",SUMIFS($H:$H,$C:$C,$C2190,$D:$D,"P0(후)"))</f>
        <v/>
      </c>
      <c r="Q2190" s="30">
        <f>IF(COUNTIFS($C:$C,$C2190,$D:$D,"P0(후)",$L:$L,"&gt;0")&lt;&gt;1,"",SUMIFS($L:$L,$C:$C,$C2190,$D:$D,"P0(후)"))</f>
        <v/>
      </c>
      <c r="R2190" s="30">
        <f>IF(M2190&lt;&gt;"OK","",O2190+(Q2190-O2190)*(H2190-N2190)/(P2190-N2190))</f>
        <v/>
      </c>
      <c r="S2190" s="30">
        <f>IF(OR(M2190&lt;&gt;"OK",NOT(ISNUMBER(L2190))),"",L2190-R2190)</f>
        <v/>
      </c>
      <c r="T2190" s="46">
        <f>IF(OR(NOT(ISNUMBER(S2190)),IF(ISNUMBER(G2190),G2190,F2190)=0),"",S2190/IF(ISNUMBER(G2190),G2190,F2190))</f>
        <v/>
      </c>
      <c r="U2190" s="46">
        <f>IF(ISNUMBER(T2190),ABS(T2190),"")</f>
        <v/>
      </c>
      <c r="V2190" s="46">
        <f>IF(OR($D2189&lt;&gt;"측정",$C2189&lt;&gt;$C2190,NOT(ISNUMBER(L2190)),NOT(ISNUMBER(L2189)),(IF(ISNUMBER(G2190),G2190,F2190)-IF(ISNUMBER(G2189),G2189,F2189))=0),"",(L2190-L2189)/(IF(ISNUMBER(G2190),G2190,F2190)-IF(ISNUMBER(G2189),G2189,F2189)))</f>
        <v/>
      </c>
      <c r="W2190" s="30">
        <f>IF(NOT(AND(ISNUMBER(N2190),ISNUMBER(P2190))),"",(P2190-N2190)*1440)</f>
        <v/>
      </c>
      <c r="X2190" s="28" t="n"/>
      <c r="Y2190" s="28" t="n"/>
      <c r="Z2190" s="28" t="n"/>
      <c r="AA2190" s="31" t="n"/>
      <c r="AB2190" s="31" t="n"/>
    </row>
    <row r="2191">
      <c r="A2191" s="25" t="inlineStr">
        <is>
          <t>S43</t>
        </is>
      </c>
      <c r="B2191" s="25" t="inlineStr">
        <is>
          <t>포천</t>
        </is>
      </c>
      <c r="C2191" s="25" t="inlineStr">
        <is>
          <t>S43-H동</t>
        </is>
      </c>
      <c r="D2191" s="25" t="inlineStr">
        <is>
          <t>측정</t>
        </is>
      </c>
      <c r="E2191" s="25" t="inlineStr">
        <is>
          <t>동</t>
        </is>
      </c>
      <c r="F2191" s="30" t="n">
        <v>1</v>
      </c>
      <c r="G2191" s="29" t="n"/>
      <c r="H2191" s="42" t="n"/>
      <c r="I2191" s="40" t="n"/>
      <c r="J2191" s="40" t="n"/>
      <c r="K2191" s="40" t="n"/>
      <c r="L2191" s="30">
        <f>IF(COUNT(I2191:K2191)=0,"",MEDIAN(I2191:K2191))</f>
        <v/>
      </c>
      <c r="M2191" s="25">
        <f>IF(COUNTIFS($C:$C,$C2191,$D:$D,"P0(전)",$L:$L,"&gt;0")&lt;&gt;1,"P0(전) 유효 1개 아님",IF(COUNTIFS($C:$C,$C2191,$D:$D,"P0(후)",$L:$L,"&gt;0")&lt;&gt;1,"P0(후) 유효 1개 아님",IF(NOT(AND(ISNUMBER(N2191),ISNUMBER(P2191),ISNUMBER(H2191))),"시각 결측",IF(P2191&lt;=N2191,"P0 시각 역전",IF(OR(H2191&lt;N2191,H2191&gt;P2191),"측정시각 구간 밖","OK")))))</f>
        <v/>
      </c>
      <c r="N2191" s="45">
        <f>IF(COUNTIFS($C:$C,$C2191,$D:$D,"P0(전)",$L:$L,"&gt;0")&lt;&gt;1,"",SUMIFS($H:$H,$C:$C,$C2191,$D:$D,"P0(전)"))</f>
        <v/>
      </c>
      <c r="O2191" s="30">
        <f>IF(COUNTIFS($C:$C,$C2191,$D:$D,"P0(전)",$L:$L,"&gt;0")&lt;&gt;1,"",SUMIFS($L:$L,$C:$C,$C2191,$D:$D,"P0(전)"))</f>
        <v/>
      </c>
      <c r="P2191" s="45">
        <f>IF(COUNTIFS($C:$C,$C2191,$D:$D,"P0(후)",$L:$L,"&gt;0")&lt;&gt;1,"",SUMIFS($H:$H,$C:$C,$C2191,$D:$D,"P0(후)"))</f>
        <v/>
      </c>
      <c r="Q2191" s="30">
        <f>IF(COUNTIFS($C:$C,$C2191,$D:$D,"P0(후)",$L:$L,"&gt;0")&lt;&gt;1,"",SUMIFS($L:$L,$C:$C,$C2191,$D:$D,"P0(후)"))</f>
        <v/>
      </c>
      <c r="R2191" s="30">
        <f>IF(M2191&lt;&gt;"OK","",O2191+(Q2191-O2191)*(H2191-N2191)/(P2191-N2191))</f>
        <v/>
      </c>
      <c r="S2191" s="30">
        <f>IF(OR(M2191&lt;&gt;"OK",NOT(ISNUMBER(L2191))),"",L2191-R2191)</f>
        <v/>
      </c>
      <c r="T2191" s="46">
        <f>IF(OR(NOT(ISNUMBER(S2191)),IF(ISNUMBER(G2191),G2191,F2191)=0),"",S2191/IF(ISNUMBER(G2191),G2191,F2191))</f>
        <v/>
      </c>
      <c r="U2191" s="46">
        <f>IF(ISNUMBER(T2191),ABS(T2191),"")</f>
        <v/>
      </c>
      <c r="V2191" s="46">
        <f>IF(OR($D2190&lt;&gt;"측정",$C2190&lt;&gt;$C2191,NOT(ISNUMBER(L2191)),NOT(ISNUMBER(L2190)),(IF(ISNUMBER(G2191),G2191,F2191)-IF(ISNUMBER(G2190),G2190,F2190))=0),"",(L2191-L2190)/(IF(ISNUMBER(G2191),G2191,F2191)-IF(ISNUMBER(G2190),G2190,F2190)))</f>
        <v/>
      </c>
      <c r="W2191" s="30">
        <f>IF(NOT(AND(ISNUMBER(N2191),ISNUMBER(P2191))),"",(P2191-N2191)*1440)</f>
        <v/>
      </c>
      <c r="X2191" s="28" t="n"/>
      <c r="Y2191" s="28" t="n"/>
      <c r="Z2191" s="28" t="n"/>
      <c r="AA2191" s="31" t="n"/>
      <c r="AB2191" s="31" t="n"/>
    </row>
    <row r="2192">
      <c r="A2192" s="25" t="inlineStr">
        <is>
          <t>S43</t>
        </is>
      </c>
      <c r="B2192" s="25" t="inlineStr">
        <is>
          <t>포천</t>
        </is>
      </c>
      <c r="C2192" s="25" t="inlineStr">
        <is>
          <t>S43-H동</t>
        </is>
      </c>
      <c r="D2192" s="25" t="inlineStr">
        <is>
          <t>측정</t>
        </is>
      </c>
      <c r="E2192" s="25" t="inlineStr">
        <is>
          <t>동</t>
        </is>
      </c>
      <c r="F2192" s="30" t="n">
        <v>2</v>
      </c>
      <c r="G2192" s="29" t="n"/>
      <c r="H2192" s="42" t="n"/>
      <c r="I2192" s="40" t="n"/>
      <c r="J2192" s="40" t="n"/>
      <c r="K2192" s="40" t="n"/>
      <c r="L2192" s="30">
        <f>IF(COUNT(I2192:K2192)=0,"",MEDIAN(I2192:K2192))</f>
        <v/>
      </c>
      <c r="M2192" s="25">
        <f>IF(COUNTIFS($C:$C,$C2192,$D:$D,"P0(전)",$L:$L,"&gt;0")&lt;&gt;1,"P0(전) 유효 1개 아님",IF(COUNTIFS($C:$C,$C2192,$D:$D,"P0(후)",$L:$L,"&gt;0")&lt;&gt;1,"P0(후) 유효 1개 아님",IF(NOT(AND(ISNUMBER(N2192),ISNUMBER(P2192),ISNUMBER(H2192))),"시각 결측",IF(P2192&lt;=N2192,"P0 시각 역전",IF(OR(H2192&lt;N2192,H2192&gt;P2192),"측정시각 구간 밖","OK")))))</f>
        <v/>
      </c>
      <c r="N2192" s="45">
        <f>IF(COUNTIFS($C:$C,$C2192,$D:$D,"P0(전)",$L:$L,"&gt;0")&lt;&gt;1,"",SUMIFS($H:$H,$C:$C,$C2192,$D:$D,"P0(전)"))</f>
        <v/>
      </c>
      <c r="O2192" s="30">
        <f>IF(COUNTIFS($C:$C,$C2192,$D:$D,"P0(전)",$L:$L,"&gt;0")&lt;&gt;1,"",SUMIFS($L:$L,$C:$C,$C2192,$D:$D,"P0(전)"))</f>
        <v/>
      </c>
      <c r="P2192" s="45">
        <f>IF(COUNTIFS($C:$C,$C2192,$D:$D,"P0(후)",$L:$L,"&gt;0")&lt;&gt;1,"",SUMIFS($H:$H,$C:$C,$C2192,$D:$D,"P0(후)"))</f>
        <v/>
      </c>
      <c r="Q2192" s="30">
        <f>IF(COUNTIFS($C:$C,$C2192,$D:$D,"P0(후)",$L:$L,"&gt;0")&lt;&gt;1,"",SUMIFS($L:$L,$C:$C,$C2192,$D:$D,"P0(후)"))</f>
        <v/>
      </c>
      <c r="R2192" s="30">
        <f>IF(M2192&lt;&gt;"OK","",O2192+(Q2192-O2192)*(H2192-N2192)/(P2192-N2192))</f>
        <v/>
      </c>
      <c r="S2192" s="30">
        <f>IF(OR(M2192&lt;&gt;"OK",NOT(ISNUMBER(L2192))),"",L2192-R2192)</f>
        <v/>
      </c>
      <c r="T2192" s="46">
        <f>IF(OR(NOT(ISNUMBER(S2192)),IF(ISNUMBER(G2192),G2192,F2192)=0),"",S2192/IF(ISNUMBER(G2192),G2192,F2192))</f>
        <v/>
      </c>
      <c r="U2192" s="46">
        <f>IF(ISNUMBER(T2192),ABS(T2192),"")</f>
        <v/>
      </c>
      <c r="V2192" s="46">
        <f>IF(OR($D2191&lt;&gt;"측정",$C2191&lt;&gt;$C2192,NOT(ISNUMBER(L2192)),NOT(ISNUMBER(L2191)),(IF(ISNUMBER(G2192),G2192,F2192)-IF(ISNUMBER(G2191),G2191,F2191))=0),"",(L2192-L2191)/(IF(ISNUMBER(G2192),G2192,F2192)-IF(ISNUMBER(G2191),G2191,F2191)))</f>
        <v/>
      </c>
      <c r="W2192" s="30">
        <f>IF(NOT(AND(ISNUMBER(N2192),ISNUMBER(P2192))),"",(P2192-N2192)*1440)</f>
        <v/>
      </c>
      <c r="X2192" s="28" t="n"/>
      <c r="Y2192" s="28" t="n"/>
      <c r="Z2192" s="28" t="n"/>
      <c r="AA2192" s="31" t="n"/>
      <c r="AB2192" s="31" t="n"/>
    </row>
    <row r="2193">
      <c r="A2193" s="25" t="inlineStr">
        <is>
          <t>S43</t>
        </is>
      </c>
      <c r="B2193" s="25" t="inlineStr">
        <is>
          <t>포천</t>
        </is>
      </c>
      <c r="C2193" s="25" t="inlineStr">
        <is>
          <t>S43-H동</t>
        </is>
      </c>
      <c r="D2193" s="25" t="inlineStr">
        <is>
          <t>측정</t>
        </is>
      </c>
      <c r="E2193" s="25" t="inlineStr">
        <is>
          <t>동</t>
        </is>
      </c>
      <c r="F2193" s="30" t="n">
        <v>3</v>
      </c>
      <c r="G2193" s="29" t="n"/>
      <c r="H2193" s="42" t="n"/>
      <c r="I2193" s="40" t="n"/>
      <c r="J2193" s="40" t="n"/>
      <c r="K2193" s="40" t="n"/>
      <c r="L2193" s="30">
        <f>IF(COUNT(I2193:K2193)=0,"",MEDIAN(I2193:K2193))</f>
        <v/>
      </c>
      <c r="M2193" s="25">
        <f>IF(COUNTIFS($C:$C,$C2193,$D:$D,"P0(전)",$L:$L,"&gt;0")&lt;&gt;1,"P0(전) 유효 1개 아님",IF(COUNTIFS($C:$C,$C2193,$D:$D,"P0(후)",$L:$L,"&gt;0")&lt;&gt;1,"P0(후) 유효 1개 아님",IF(NOT(AND(ISNUMBER(N2193),ISNUMBER(P2193),ISNUMBER(H2193))),"시각 결측",IF(P2193&lt;=N2193,"P0 시각 역전",IF(OR(H2193&lt;N2193,H2193&gt;P2193),"측정시각 구간 밖","OK")))))</f>
        <v/>
      </c>
      <c r="N2193" s="45">
        <f>IF(COUNTIFS($C:$C,$C2193,$D:$D,"P0(전)",$L:$L,"&gt;0")&lt;&gt;1,"",SUMIFS($H:$H,$C:$C,$C2193,$D:$D,"P0(전)"))</f>
        <v/>
      </c>
      <c r="O2193" s="30">
        <f>IF(COUNTIFS($C:$C,$C2193,$D:$D,"P0(전)",$L:$L,"&gt;0")&lt;&gt;1,"",SUMIFS($L:$L,$C:$C,$C2193,$D:$D,"P0(전)"))</f>
        <v/>
      </c>
      <c r="P2193" s="45">
        <f>IF(COUNTIFS($C:$C,$C2193,$D:$D,"P0(후)",$L:$L,"&gt;0")&lt;&gt;1,"",SUMIFS($H:$H,$C:$C,$C2193,$D:$D,"P0(후)"))</f>
        <v/>
      </c>
      <c r="Q2193" s="30">
        <f>IF(COUNTIFS($C:$C,$C2193,$D:$D,"P0(후)",$L:$L,"&gt;0")&lt;&gt;1,"",SUMIFS($L:$L,$C:$C,$C2193,$D:$D,"P0(후)"))</f>
        <v/>
      </c>
      <c r="R2193" s="30">
        <f>IF(M2193&lt;&gt;"OK","",O2193+(Q2193-O2193)*(H2193-N2193)/(P2193-N2193))</f>
        <v/>
      </c>
      <c r="S2193" s="30">
        <f>IF(OR(M2193&lt;&gt;"OK",NOT(ISNUMBER(L2193))),"",L2193-R2193)</f>
        <v/>
      </c>
      <c r="T2193" s="46">
        <f>IF(OR(NOT(ISNUMBER(S2193)),IF(ISNUMBER(G2193),G2193,F2193)=0),"",S2193/IF(ISNUMBER(G2193),G2193,F2193))</f>
        <v/>
      </c>
      <c r="U2193" s="46">
        <f>IF(ISNUMBER(T2193),ABS(T2193),"")</f>
        <v/>
      </c>
      <c r="V2193" s="46">
        <f>IF(OR($D2192&lt;&gt;"측정",$C2192&lt;&gt;$C2193,NOT(ISNUMBER(L2193)),NOT(ISNUMBER(L2192)),(IF(ISNUMBER(G2193),G2193,F2193)-IF(ISNUMBER(G2192),G2192,F2192))=0),"",(L2193-L2192)/(IF(ISNUMBER(G2193),G2193,F2193)-IF(ISNUMBER(G2192),G2192,F2192)))</f>
        <v/>
      </c>
      <c r="W2193" s="30">
        <f>IF(NOT(AND(ISNUMBER(N2193),ISNUMBER(P2193))),"",(P2193-N2193)*1440)</f>
        <v/>
      </c>
      <c r="X2193" s="28" t="n"/>
      <c r="Y2193" s="28" t="n"/>
      <c r="Z2193" s="28" t="n"/>
      <c r="AA2193" s="31" t="n"/>
      <c r="AB2193" s="31" t="n"/>
    </row>
    <row r="2194">
      <c r="A2194" s="25" t="inlineStr">
        <is>
          <t>S43</t>
        </is>
      </c>
      <c r="B2194" s="25" t="inlineStr">
        <is>
          <t>포천</t>
        </is>
      </c>
      <c r="C2194" s="25" t="inlineStr">
        <is>
          <t>S43-H동</t>
        </is>
      </c>
      <c r="D2194" s="25" t="inlineStr">
        <is>
          <t>측정</t>
        </is>
      </c>
      <c r="E2194" s="25" t="inlineStr">
        <is>
          <t>동</t>
        </is>
      </c>
      <c r="F2194" s="30" t="n">
        <v>4</v>
      </c>
      <c r="G2194" s="29" t="n"/>
      <c r="H2194" s="42" t="n"/>
      <c r="I2194" s="40" t="n"/>
      <c r="J2194" s="40" t="n"/>
      <c r="K2194" s="40" t="n"/>
      <c r="L2194" s="30">
        <f>IF(COUNT(I2194:K2194)=0,"",MEDIAN(I2194:K2194))</f>
        <v/>
      </c>
      <c r="M2194" s="25">
        <f>IF(COUNTIFS($C:$C,$C2194,$D:$D,"P0(전)",$L:$L,"&gt;0")&lt;&gt;1,"P0(전) 유효 1개 아님",IF(COUNTIFS($C:$C,$C2194,$D:$D,"P0(후)",$L:$L,"&gt;0")&lt;&gt;1,"P0(후) 유효 1개 아님",IF(NOT(AND(ISNUMBER(N2194),ISNUMBER(P2194),ISNUMBER(H2194))),"시각 결측",IF(P2194&lt;=N2194,"P0 시각 역전",IF(OR(H2194&lt;N2194,H2194&gt;P2194),"측정시각 구간 밖","OK")))))</f>
        <v/>
      </c>
      <c r="N2194" s="45">
        <f>IF(COUNTIFS($C:$C,$C2194,$D:$D,"P0(전)",$L:$L,"&gt;0")&lt;&gt;1,"",SUMIFS($H:$H,$C:$C,$C2194,$D:$D,"P0(전)"))</f>
        <v/>
      </c>
      <c r="O2194" s="30">
        <f>IF(COUNTIFS($C:$C,$C2194,$D:$D,"P0(전)",$L:$L,"&gt;0")&lt;&gt;1,"",SUMIFS($L:$L,$C:$C,$C2194,$D:$D,"P0(전)"))</f>
        <v/>
      </c>
      <c r="P2194" s="45">
        <f>IF(COUNTIFS($C:$C,$C2194,$D:$D,"P0(후)",$L:$L,"&gt;0")&lt;&gt;1,"",SUMIFS($H:$H,$C:$C,$C2194,$D:$D,"P0(후)"))</f>
        <v/>
      </c>
      <c r="Q2194" s="30">
        <f>IF(COUNTIFS($C:$C,$C2194,$D:$D,"P0(후)",$L:$L,"&gt;0")&lt;&gt;1,"",SUMIFS($L:$L,$C:$C,$C2194,$D:$D,"P0(후)"))</f>
        <v/>
      </c>
      <c r="R2194" s="30">
        <f>IF(M2194&lt;&gt;"OK","",O2194+(Q2194-O2194)*(H2194-N2194)/(P2194-N2194))</f>
        <v/>
      </c>
      <c r="S2194" s="30">
        <f>IF(OR(M2194&lt;&gt;"OK",NOT(ISNUMBER(L2194))),"",L2194-R2194)</f>
        <v/>
      </c>
      <c r="T2194" s="46">
        <f>IF(OR(NOT(ISNUMBER(S2194)),IF(ISNUMBER(G2194),G2194,F2194)=0),"",S2194/IF(ISNUMBER(G2194),G2194,F2194))</f>
        <v/>
      </c>
      <c r="U2194" s="46">
        <f>IF(ISNUMBER(T2194),ABS(T2194),"")</f>
        <v/>
      </c>
      <c r="V2194" s="46">
        <f>IF(OR($D2193&lt;&gt;"측정",$C2193&lt;&gt;$C2194,NOT(ISNUMBER(L2194)),NOT(ISNUMBER(L2193)),(IF(ISNUMBER(G2194),G2194,F2194)-IF(ISNUMBER(G2193),G2193,F2193))=0),"",(L2194-L2193)/(IF(ISNUMBER(G2194),G2194,F2194)-IF(ISNUMBER(G2193),G2193,F2193)))</f>
        <v/>
      </c>
      <c r="W2194" s="30">
        <f>IF(NOT(AND(ISNUMBER(N2194),ISNUMBER(P2194))),"",(P2194-N2194)*1440)</f>
        <v/>
      </c>
      <c r="X2194" s="28" t="n"/>
      <c r="Y2194" s="28" t="n"/>
      <c r="Z2194" s="28" t="n"/>
      <c r="AA2194" s="31" t="n"/>
      <c r="AB2194" s="31" t="n"/>
    </row>
    <row r="2195">
      <c r="A2195" s="25" t="inlineStr">
        <is>
          <t>S43</t>
        </is>
      </c>
      <c r="B2195" s="25" t="inlineStr">
        <is>
          <t>포천</t>
        </is>
      </c>
      <c r="C2195" s="25" t="inlineStr">
        <is>
          <t>S43-H동</t>
        </is>
      </c>
      <c r="D2195" s="25" t="inlineStr">
        <is>
          <t>측정</t>
        </is>
      </c>
      <c r="E2195" s="25" t="inlineStr">
        <is>
          <t>동</t>
        </is>
      </c>
      <c r="F2195" s="30" t="n">
        <v>5</v>
      </c>
      <c r="G2195" s="29" t="n"/>
      <c r="H2195" s="42" t="n"/>
      <c r="I2195" s="40" t="n"/>
      <c r="J2195" s="40" t="n"/>
      <c r="K2195" s="40" t="n"/>
      <c r="L2195" s="30">
        <f>IF(COUNT(I2195:K2195)=0,"",MEDIAN(I2195:K2195))</f>
        <v/>
      </c>
      <c r="M2195" s="25">
        <f>IF(COUNTIFS($C:$C,$C2195,$D:$D,"P0(전)",$L:$L,"&gt;0")&lt;&gt;1,"P0(전) 유효 1개 아님",IF(COUNTIFS($C:$C,$C2195,$D:$D,"P0(후)",$L:$L,"&gt;0")&lt;&gt;1,"P0(후) 유효 1개 아님",IF(NOT(AND(ISNUMBER(N2195),ISNUMBER(P2195),ISNUMBER(H2195))),"시각 결측",IF(P2195&lt;=N2195,"P0 시각 역전",IF(OR(H2195&lt;N2195,H2195&gt;P2195),"측정시각 구간 밖","OK")))))</f>
        <v/>
      </c>
      <c r="N2195" s="45">
        <f>IF(COUNTIFS($C:$C,$C2195,$D:$D,"P0(전)",$L:$L,"&gt;0")&lt;&gt;1,"",SUMIFS($H:$H,$C:$C,$C2195,$D:$D,"P0(전)"))</f>
        <v/>
      </c>
      <c r="O2195" s="30">
        <f>IF(COUNTIFS($C:$C,$C2195,$D:$D,"P0(전)",$L:$L,"&gt;0")&lt;&gt;1,"",SUMIFS($L:$L,$C:$C,$C2195,$D:$D,"P0(전)"))</f>
        <v/>
      </c>
      <c r="P2195" s="45">
        <f>IF(COUNTIFS($C:$C,$C2195,$D:$D,"P0(후)",$L:$L,"&gt;0")&lt;&gt;1,"",SUMIFS($H:$H,$C:$C,$C2195,$D:$D,"P0(후)"))</f>
        <v/>
      </c>
      <c r="Q2195" s="30">
        <f>IF(COUNTIFS($C:$C,$C2195,$D:$D,"P0(후)",$L:$L,"&gt;0")&lt;&gt;1,"",SUMIFS($L:$L,$C:$C,$C2195,$D:$D,"P0(후)"))</f>
        <v/>
      </c>
      <c r="R2195" s="30">
        <f>IF(M2195&lt;&gt;"OK","",O2195+(Q2195-O2195)*(H2195-N2195)/(P2195-N2195))</f>
        <v/>
      </c>
      <c r="S2195" s="30">
        <f>IF(OR(M2195&lt;&gt;"OK",NOT(ISNUMBER(L2195))),"",L2195-R2195)</f>
        <v/>
      </c>
      <c r="T2195" s="46">
        <f>IF(OR(NOT(ISNUMBER(S2195)),IF(ISNUMBER(G2195),G2195,F2195)=0),"",S2195/IF(ISNUMBER(G2195),G2195,F2195))</f>
        <v/>
      </c>
      <c r="U2195" s="46">
        <f>IF(ISNUMBER(T2195),ABS(T2195),"")</f>
        <v/>
      </c>
      <c r="V2195" s="46">
        <f>IF(OR($D2194&lt;&gt;"측정",$C2194&lt;&gt;$C2195,NOT(ISNUMBER(L2195)),NOT(ISNUMBER(L2194)),(IF(ISNUMBER(G2195),G2195,F2195)-IF(ISNUMBER(G2194),G2194,F2194))=0),"",(L2195-L2194)/(IF(ISNUMBER(G2195),G2195,F2195)-IF(ISNUMBER(G2194),G2194,F2194)))</f>
        <v/>
      </c>
      <c r="W2195" s="30">
        <f>IF(NOT(AND(ISNUMBER(N2195),ISNUMBER(P2195))),"",(P2195-N2195)*1440)</f>
        <v/>
      </c>
      <c r="X2195" s="28" t="n"/>
      <c r="Y2195" s="28" t="n"/>
      <c r="Z2195" s="28" t="n"/>
      <c r="AA2195" s="31" t="n"/>
      <c r="AB2195" s="31" t="n"/>
    </row>
    <row r="2196">
      <c r="A2196" s="25" t="inlineStr">
        <is>
          <t>S43</t>
        </is>
      </c>
      <c r="B2196" s="25" t="inlineStr">
        <is>
          <t>포천</t>
        </is>
      </c>
      <c r="C2196" s="25" t="inlineStr">
        <is>
          <t>S43-H동</t>
        </is>
      </c>
      <c r="D2196" s="25" t="inlineStr">
        <is>
          <t>측정</t>
        </is>
      </c>
      <c r="E2196" s="25" t="inlineStr">
        <is>
          <t>동</t>
        </is>
      </c>
      <c r="F2196" s="30" t="n">
        <v>6</v>
      </c>
      <c r="G2196" s="29" t="n"/>
      <c r="H2196" s="42" t="n"/>
      <c r="I2196" s="40" t="n"/>
      <c r="J2196" s="40" t="n"/>
      <c r="K2196" s="40" t="n"/>
      <c r="L2196" s="30">
        <f>IF(COUNT(I2196:K2196)=0,"",MEDIAN(I2196:K2196))</f>
        <v/>
      </c>
      <c r="M2196" s="25">
        <f>IF(COUNTIFS($C:$C,$C2196,$D:$D,"P0(전)",$L:$L,"&gt;0")&lt;&gt;1,"P0(전) 유효 1개 아님",IF(COUNTIFS($C:$C,$C2196,$D:$D,"P0(후)",$L:$L,"&gt;0")&lt;&gt;1,"P0(후) 유효 1개 아님",IF(NOT(AND(ISNUMBER(N2196),ISNUMBER(P2196),ISNUMBER(H2196))),"시각 결측",IF(P2196&lt;=N2196,"P0 시각 역전",IF(OR(H2196&lt;N2196,H2196&gt;P2196),"측정시각 구간 밖","OK")))))</f>
        <v/>
      </c>
      <c r="N2196" s="45">
        <f>IF(COUNTIFS($C:$C,$C2196,$D:$D,"P0(전)",$L:$L,"&gt;0")&lt;&gt;1,"",SUMIFS($H:$H,$C:$C,$C2196,$D:$D,"P0(전)"))</f>
        <v/>
      </c>
      <c r="O2196" s="30">
        <f>IF(COUNTIFS($C:$C,$C2196,$D:$D,"P0(전)",$L:$L,"&gt;0")&lt;&gt;1,"",SUMIFS($L:$L,$C:$C,$C2196,$D:$D,"P0(전)"))</f>
        <v/>
      </c>
      <c r="P2196" s="45">
        <f>IF(COUNTIFS($C:$C,$C2196,$D:$D,"P0(후)",$L:$L,"&gt;0")&lt;&gt;1,"",SUMIFS($H:$H,$C:$C,$C2196,$D:$D,"P0(후)"))</f>
        <v/>
      </c>
      <c r="Q2196" s="30">
        <f>IF(COUNTIFS($C:$C,$C2196,$D:$D,"P0(후)",$L:$L,"&gt;0")&lt;&gt;1,"",SUMIFS($L:$L,$C:$C,$C2196,$D:$D,"P0(후)"))</f>
        <v/>
      </c>
      <c r="R2196" s="30">
        <f>IF(M2196&lt;&gt;"OK","",O2196+(Q2196-O2196)*(H2196-N2196)/(P2196-N2196))</f>
        <v/>
      </c>
      <c r="S2196" s="30">
        <f>IF(OR(M2196&lt;&gt;"OK",NOT(ISNUMBER(L2196))),"",L2196-R2196)</f>
        <v/>
      </c>
      <c r="T2196" s="46">
        <f>IF(OR(NOT(ISNUMBER(S2196)),IF(ISNUMBER(G2196),G2196,F2196)=0),"",S2196/IF(ISNUMBER(G2196),G2196,F2196))</f>
        <v/>
      </c>
      <c r="U2196" s="46">
        <f>IF(ISNUMBER(T2196),ABS(T2196),"")</f>
        <v/>
      </c>
      <c r="V2196" s="46">
        <f>IF(OR($D2195&lt;&gt;"측정",$C2195&lt;&gt;$C2196,NOT(ISNUMBER(L2196)),NOT(ISNUMBER(L2195)),(IF(ISNUMBER(G2196),G2196,F2196)-IF(ISNUMBER(G2195),G2195,F2195))=0),"",(L2196-L2195)/(IF(ISNUMBER(G2196),G2196,F2196)-IF(ISNUMBER(G2195),G2195,F2195)))</f>
        <v/>
      </c>
      <c r="W2196" s="30">
        <f>IF(NOT(AND(ISNUMBER(N2196),ISNUMBER(P2196))),"",(P2196-N2196)*1440)</f>
        <v/>
      </c>
      <c r="X2196" s="28" t="n"/>
      <c r="Y2196" s="28" t="n"/>
      <c r="Z2196" s="28" t="n"/>
      <c r="AA2196" s="31" t="n"/>
      <c r="AB2196" s="31" t="n"/>
    </row>
    <row r="2197">
      <c r="A2197" s="25" t="inlineStr">
        <is>
          <t>S43</t>
        </is>
      </c>
      <c r="B2197" s="25" t="inlineStr">
        <is>
          <t>포천</t>
        </is>
      </c>
      <c r="C2197" s="25" t="inlineStr">
        <is>
          <t>S43-H동</t>
        </is>
      </c>
      <c r="D2197" s="25" t="inlineStr">
        <is>
          <t>측정</t>
        </is>
      </c>
      <c r="E2197" s="25" t="inlineStr">
        <is>
          <t>동</t>
        </is>
      </c>
      <c r="F2197" s="30" t="n">
        <v>7</v>
      </c>
      <c r="G2197" s="29" t="n"/>
      <c r="H2197" s="42" t="n"/>
      <c r="I2197" s="40" t="n"/>
      <c r="J2197" s="40" t="n"/>
      <c r="K2197" s="40" t="n"/>
      <c r="L2197" s="30">
        <f>IF(COUNT(I2197:K2197)=0,"",MEDIAN(I2197:K2197))</f>
        <v/>
      </c>
      <c r="M2197" s="25">
        <f>IF(COUNTIFS($C:$C,$C2197,$D:$D,"P0(전)",$L:$L,"&gt;0")&lt;&gt;1,"P0(전) 유효 1개 아님",IF(COUNTIFS($C:$C,$C2197,$D:$D,"P0(후)",$L:$L,"&gt;0")&lt;&gt;1,"P0(후) 유효 1개 아님",IF(NOT(AND(ISNUMBER(N2197),ISNUMBER(P2197),ISNUMBER(H2197))),"시각 결측",IF(P2197&lt;=N2197,"P0 시각 역전",IF(OR(H2197&lt;N2197,H2197&gt;P2197),"측정시각 구간 밖","OK")))))</f>
        <v/>
      </c>
      <c r="N2197" s="45">
        <f>IF(COUNTIFS($C:$C,$C2197,$D:$D,"P0(전)",$L:$L,"&gt;0")&lt;&gt;1,"",SUMIFS($H:$H,$C:$C,$C2197,$D:$D,"P0(전)"))</f>
        <v/>
      </c>
      <c r="O2197" s="30">
        <f>IF(COUNTIFS($C:$C,$C2197,$D:$D,"P0(전)",$L:$L,"&gt;0")&lt;&gt;1,"",SUMIFS($L:$L,$C:$C,$C2197,$D:$D,"P0(전)"))</f>
        <v/>
      </c>
      <c r="P2197" s="45">
        <f>IF(COUNTIFS($C:$C,$C2197,$D:$D,"P0(후)",$L:$L,"&gt;0")&lt;&gt;1,"",SUMIFS($H:$H,$C:$C,$C2197,$D:$D,"P0(후)"))</f>
        <v/>
      </c>
      <c r="Q2197" s="30">
        <f>IF(COUNTIFS($C:$C,$C2197,$D:$D,"P0(후)",$L:$L,"&gt;0")&lt;&gt;1,"",SUMIFS($L:$L,$C:$C,$C2197,$D:$D,"P0(후)"))</f>
        <v/>
      </c>
      <c r="R2197" s="30">
        <f>IF(M2197&lt;&gt;"OK","",O2197+(Q2197-O2197)*(H2197-N2197)/(P2197-N2197))</f>
        <v/>
      </c>
      <c r="S2197" s="30">
        <f>IF(OR(M2197&lt;&gt;"OK",NOT(ISNUMBER(L2197))),"",L2197-R2197)</f>
        <v/>
      </c>
      <c r="T2197" s="46">
        <f>IF(OR(NOT(ISNUMBER(S2197)),IF(ISNUMBER(G2197),G2197,F2197)=0),"",S2197/IF(ISNUMBER(G2197),G2197,F2197))</f>
        <v/>
      </c>
      <c r="U2197" s="46">
        <f>IF(ISNUMBER(T2197),ABS(T2197),"")</f>
        <v/>
      </c>
      <c r="V2197" s="46">
        <f>IF(OR($D2196&lt;&gt;"측정",$C2196&lt;&gt;$C2197,NOT(ISNUMBER(L2197)),NOT(ISNUMBER(L2196)),(IF(ISNUMBER(G2197),G2197,F2197)-IF(ISNUMBER(G2196),G2196,F2196))=0),"",(L2197-L2196)/(IF(ISNUMBER(G2197),G2197,F2197)-IF(ISNUMBER(G2196),G2196,F2196)))</f>
        <v/>
      </c>
      <c r="W2197" s="30">
        <f>IF(NOT(AND(ISNUMBER(N2197),ISNUMBER(P2197))),"",(P2197-N2197)*1440)</f>
        <v/>
      </c>
      <c r="X2197" s="28" t="n"/>
      <c r="Y2197" s="28" t="n"/>
      <c r="Z2197" s="28" t="n"/>
      <c r="AA2197" s="31" t="n"/>
      <c r="AB2197" s="31" t="n"/>
    </row>
    <row r="2198">
      <c r="A2198" s="25" t="inlineStr">
        <is>
          <t>S43</t>
        </is>
      </c>
      <c r="B2198" s="25" t="inlineStr">
        <is>
          <t>포천</t>
        </is>
      </c>
      <c r="C2198" s="25" t="inlineStr">
        <is>
          <t>S43-H동</t>
        </is>
      </c>
      <c r="D2198" s="25" t="inlineStr">
        <is>
          <t>측정</t>
        </is>
      </c>
      <c r="E2198" s="25" t="inlineStr">
        <is>
          <t>동</t>
        </is>
      </c>
      <c r="F2198" s="30" t="n">
        <v>8</v>
      </c>
      <c r="G2198" s="29" t="n"/>
      <c r="H2198" s="42" t="n"/>
      <c r="I2198" s="40" t="n"/>
      <c r="J2198" s="40" t="n"/>
      <c r="K2198" s="40" t="n"/>
      <c r="L2198" s="30">
        <f>IF(COUNT(I2198:K2198)=0,"",MEDIAN(I2198:K2198))</f>
        <v/>
      </c>
      <c r="M2198" s="25">
        <f>IF(COUNTIFS($C:$C,$C2198,$D:$D,"P0(전)",$L:$L,"&gt;0")&lt;&gt;1,"P0(전) 유효 1개 아님",IF(COUNTIFS($C:$C,$C2198,$D:$D,"P0(후)",$L:$L,"&gt;0")&lt;&gt;1,"P0(후) 유효 1개 아님",IF(NOT(AND(ISNUMBER(N2198),ISNUMBER(P2198),ISNUMBER(H2198))),"시각 결측",IF(P2198&lt;=N2198,"P0 시각 역전",IF(OR(H2198&lt;N2198,H2198&gt;P2198),"측정시각 구간 밖","OK")))))</f>
        <v/>
      </c>
      <c r="N2198" s="45">
        <f>IF(COUNTIFS($C:$C,$C2198,$D:$D,"P0(전)",$L:$L,"&gt;0")&lt;&gt;1,"",SUMIFS($H:$H,$C:$C,$C2198,$D:$D,"P0(전)"))</f>
        <v/>
      </c>
      <c r="O2198" s="30">
        <f>IF(COUNTIFS($C:$C,$C2198,$D:$D,"P0(전)",$L:$L,"&gt;0")&lt;&gt;1,"",SUMIFS($L:$L,$C:$C,$C2198,$D:$D,"P0(전)"))</f>
        <v/>
      </c>
      <c r="P2198" s="45">
        <f>IF(COUNTIFS($C:$C,$C2198,$D:$D,"P0(후)",$L:$L,"&gt;0")&lt;&gt;1,"",SUMIFS($H:$H,$C:$C,$C2198,$D:$D,"P0(후)"))</f>
        <v/>
      </c>
      <c r="Q2198" s="30">
        <f>IF(COUNTIFS($C:$C,$C2198,$D:$D,"P0(후)",$L:$L,"&gt;0")&lt;&gt;1,"",SUMIFS($L:$L,$C:$C,$C2198,$D:$D,"P0(후)"))</f>
        <v/>
      </c>
      <c r="R2198" s="30">
        <f>IF(M2198&lt;&gt;"OK","",O2198+(Q2198-O2198)*(H2198-N2198)/(P2198-N2198))</f>
        <v/>
      </c>
      <c r="S2198" s="30">
        <f>IF(OR(M2198&lt;&gt;"OK",NOT(ISNUMBER(L2198))),"",L2198-R2198)</f>
        <v/>
      </c>
      <c r="T2198" s="46">
        <f>IF(OR(NOT(ISNUMBER(S2198)),IF(ISNUMBER(G2198),G2198,F2198)=0),"",S2198/IF(ISNUMBER(G2198),G2198,F2198))</f>
        <v/>
      </c>
      <c r="U2198" s="46">
        <f>IF(ISNUMBER(T2198),ABS(T2198),"")</f>
        <v/>
      </c>
      <c r="V2198" s="46">
        <f>IF(OR($D2197&lt;&gt;"측정",$C2197&lt;&gt;$C2198,NOT(ISNUMBER(L2198)),NOT(ISNUMBER(L2197)),(IF(ISNUMBER(G2198),G2198,F2198)-IF(ISNUMBER(G2197),G2197,F2197))=0),"",(L2198-L2197)/(IF(ISNUMBER(G2198),G2198,F2198)-IF(ISNUMBER(G2197),G2197,F2197)))</f>
        <v/>
      </c>
      <c r="W2198" s="30">
        <f>IF(NOT(AND(ISNUMBER(N2198),ISNUMBER(P2198))),"",(P2198-N2198)*1440)</f>
        <v/>
      </c>
      <c r="X2198" s="28" t="n"/>
      <c r="Y2198" s="28" t="n"/>
      <c r="Z2198" s="28" t="n"/>
      <c r="AA2198" s="31" t="n"/>
      <c r="AB2198" s="31" t="n"/>
    </row>
    <row r="2199">
      <c r="A2199" s="25" t="inlineStr">
        <is>
          <t>S43</t>
        </is>
      </c>
      <c r="B2199" s="25" t="inlineStr">
        <is>
          <t>포천</t>
        </is>
      </c>
      <c r="C2199" s="25" t="inlineStr">
        <is>
          <t>S43-H동</t>
        </is>
      </c>
      <c r="D2199" s="25" t="inlineStr">
        <is>
          <t>측정</t>
        </is>
      </c>
      <c r="E2199" s="25" t="inlineStr">
        <is>
          <t>동</t>
        </is>
      </c>
      <c r="F2199" s="30" t="n">
        <v>9</v>
      </c>
      <c r="G2199" s="29" t="n"/>
      <c r="H2199" s="42" t="n"/>
      <c r="I2199" s="40" t="n"/>
      <c r="J2199" s="40" t="n"/>
      <c r="K2199" s="40" t="n"/>
      <c r="L2199" s="30">
        <f>IF(COUNT(I2199:K2199)=0,"",MEDIAN(I2199:K2199))</f>
        <v/>
      </c>
      <c r="M2199" s="25">
        <f>IF(COUNTIFS($C:$C,$C2199,$D:$D,"P0(전)",$L:$L,"&gt;0")&lt;&gt;1,"P0(전) 유효 1개 아님",IF(COUNTIFS($C:$C,$C2199,$D:$D,"P0(후)",$L:$L,"&gt;0")&lt;&gt;1,"P0(후) 유효 1개 아님",IF(NOT(AND(ISNUMBER(N2199),ISNUMBER(P2199),ISNUMBER(H2199))),"시각 결측",IF(P2199&lt;=N2199,"P0 시각 역전",IF(OR(H2199&lt;N2199,H2199&gt;P2199),"측정시각 구간 밖","OK")))))</f>
        <v/>
      </c>
      <c r="N2199" s="45">
        <f>IF(COUNTIFS($C:$C,$C2199,$D:$D,"P0(전)",$L:$L,"&gt;0")&lt;&gt;1,"",SUMIFS($H:$H,$C:$C,$C2199,$D:$D,"P0(전)"))</f>
        <v/>
      </c>
      <c r="O2199" s="30">
        <f>IF(COUNTIFS($C:$C,$C2199,$D:$D,"P0(전)",$L:$L,"&gt;0")&lt;&gt;1,"",SUMIFS($L:$L,$C:$C,$C2199,$D:$D,"P0(전)"))</f>
        <v/>
      </c>
      <c r="P2199" s="45">
        <f>IF(COUNTIFS($C:$C,$C2199,$D:$D,"P0(후)",$L:$L,"&gt;0")&lt;&gt;1,"",SUMIFS($H:$H,$C:$C,$C2199,$D:$D,"P0(후)"))</f>
        <v/>
      </c>
      <c r="Q2199" s="30">
        <f>IF(COUNTIFS($C:$C,$C2199,$D:$D,"P0(후)",$L:$L,"&gt;0")&lt;&gt;1,"",SUMIFS($L:$L,$C:$C,$C2199,$D:$D,"P0(후)"))</f>
        <v/>
      </c>
      <c r="R2199" s="30">
        <f>IF(M2199&lt;&gt;"OK","",O2199+(Q2199-O2199)*(H2199-N2199)/(P2199-N2199))</f>
        <v/>
      </c>
      <c r="S2199" s="30">
        <f>IF(OR(M2199&lt;&gt;"OK",NOT(ISNUMBER(L2199))),"",L2199-R2199)</f>
        <v/>
      </c>
      <c r="T2199" s="46">
        <f>IF(OR(NOT(ISNUMBER(S2199)),IF(ISNUMBER(G2199),G2199,F2199)=0),"",S2199/IF(ISNUMBER(G2199),G2199,F2199))</f>
        <v/>
      </c>
      <c r="U2199" s="46">
        <f>IF(ISNUMBER(T2199),ABS(T2199),"")</f>
        <v/>
      </c>
      <c r="V2199" s="46">
        <f>IF(OR($D2198&lt;&gt;"측정",$C2198&lt;&gt;$C2199,NOT(ISNUMBER(L2199)),NOT(ISNUMBER(L2198)),(IF(ISNUMBER(G2199),G2199,F2199)-IF(ISNUMBER(G2198),G2198,F2198))=0),"",(L2199-L2198)/(IF(ISNUMBER(G2199),G2199,F2199)-IF(ISNUMBER(G2198),G2198,F2198)))</f>
        <v/>
      </c>
      <c r="W2199" s="30">
        <f>IF(NOT(AND(ISNUMBER(N2199),ISNUMBER(P2199))),"",(P2199-N2199)*1440)</f>
        <v/>
      </c>
      <c r="X2199" s="28" t="n"/>
      <c r="Y2199" s="28" t="n"/>
      <c r="Z2199" s="28" t="n"/>
      <c r="AA2199" s="31" t="n"/>
      <c r="AB2199" s="31" t="n"/>
    </row>
    <row r="2200">
      <c r="A2200" s="25" t="inlineStr">
        <is>
          <t>S43</t>
        </is>
      </c>
      <c r="B2200" s="25" t="inlineStr">
        <is>
          <t>포천</t>
        </is>
      </c>
      <c r="C2200" s="25" t="inlineStr">
        <is>
          <t>S43-H동</t>
        </is>
      </c>
      <c r="D2200" s="25" t="inlineStr">
        <is>
          <t>측정</t>
        </is>
      </c>
      <c r="E2200" s="25" t="inlineStr">
        <is>
          <t>동</t>
        </is>
      </c>
      <c r="F2200" s="30" t="n">
        <v>10</v>
      </c>
      <c r="G2200" s="29" t="n"/>
      <c r="H2200" s="42" t="n"/>
      <c r="I2200" s="40" t="n"/>
      <c r="J2200" s="40" t="n"/>
      <c r="K2200" s="40" t="n"/>
      <c r="L2200" s="30">
        <f>IF(COUNT(I2200:K2200)=0,"",MEDIAN(I2200:K2200))</f>
        <v/>
      </c>
      <c r="M2200" s="25">
        <f>IF(COUNTIFS($C:$C,$C2200,$D:$D,"P0(전)",$L:$L,"&gt;0")&lt;&gt;1,"P0(전) 유효 1개 아님",IF(COUNTIFS($C:$C,$C2200,$D:$D,"P0(후)",$L:$L,"&gt;0")&lt;&gt;1,"P0(후) 유효 1개 아님",IF(NOT(AND(ISNUMBER(N2200),ISNUMBER(P2200),ISNUMBER(H2200))),"시각 결측",IF(P2200&lt;=N2200,"P0 시각 역전",IF(OR(H2200&lt;N2200,H2200&gt;P2200),"측정시각 구간 밖","OK")))))</f>
        <v/>
      </c>
      <c r="N2200" s="45">
        <f>IF(COUNTIFS($C:$C,$C2200,$D:$D,"P0(전)",$L:$L,"&gt;0")&lt;&gt;1,"",SUMIFS($H:$H,$C:$C,$C2200,$D:$D,"P0(전)"))</f>
        <v/>
      </c>
      <c r="O2200" s="30">
        <f>IF(COUNTIFS($C:$C,$C2200,$D:$D,"P0(전)",$L:$L,"&gt;0")&lt;&gt;1,"",SUMIFS($L:$L,$C:$C,$C2200,$D:$D,"P0(전)"))</f>
        <v/>
      </c>
      <c r="P2200" s="45">
        <f>IF(COUNTIFS($C:$C,$C2200,$D:$D,"P0(후)",$L:$L,"&gt;0")&lt;&gt;1,"",SUMIFS($H:$H,$C:$C,$C2200,$D:$D,"P0(후)"))</f>
        <v/>
      </c>
      <c r="Q2200" s="30">
        <f>IF(COUNTIFS($C:$C,$C2200,$D:$D,"P0(후)",$L:$L,"&gt;0")&lt;&gt;1,"",SUMIFS($L:$L,$C:$C,$C2200,$D:$D,"P0(후)"))</f>
        <v/>
      </c>
      <c r="R2200" s="30">
        <f>IF(M2200&lt;&gt;"OK","",O2200+(Q2200-O2200)*(H2200-N2200)/(P2200-N2200))</f>
        <v/>
      </c>
      <c r="S2200" s="30">
        <f>IF(OR(M2200&lt;&gt;"OK",NOT(ISNUMBER(L2200))),"",L2200-R2200)</f>
        <v/>
      </c>
      <c r="T2200" s="46">
        <f>IF(OR(NOT(ISNUMBER(S2200)),IF(ISNUMBER(G2200),G2200,F2200)=0),"",S2200/IF(ISNUMBER(G2200),G2200,F2200))</f>
        <v/>
      </c>
      <c r="U2200" s="46">
        <f>IF(ISNUMBER(T2200),ABS(T2200),"")</f>
        <v/>
      </c>
      <c r="V2200" s="46">
        <f>IF(OR($D2199&lt;&gt;"측정",$C2199&lt;&gt;$C2200,NOT(ISNUMBER(L2200)),NOT(ISNUMBER(L2199)),(IF(ISNUMBER(G2200),G2200,F2200)-IF(ISNUMBER(G2199),G2199,F2199))=0),"",(L2200-L2199)/(IF(ISNUMBER(G2200),G2200,F2200)-IF(ISNUMBER(G2199),G2199,F2199)))</f>
        <v/>
      </c>
      <c r="W2200" s="30">
        <f>IF(NOT(AND(ISNUMBER(N2200),ISNUMBER(P2200))),"",(P2200-N2200)*1440)</f>
        <v/>
      </c>
      <c r="X2200" s="28" t="n"/>
      <c r="Y2200" s="28" t="n"/>
      <c r="Z2200" s="28" t="n"/>
      <c r="AA2200" s="31" t="n"/>
      <c r="AB2200" s="31" t="n"/>
    </row>
    <row r="2201">
      <c r="A2201" s="43" t="inlineStr">
        <is>
          <t>S43</t>
        </is>
      </c>
      <c r="B2201" s="43" t="inlineStr">
        <is>
          <t>포천</t>
        </is>
      </c>
      <c r="C2201" s="43" t="inlineStr">
        <is>
          <t>S43-H동</t>
        </is>
      </c>
      <c r="D2201" s="43" t="inlineStr">
        <is>
          <t>P0(후)</t>
        </is>
      </c>
      <c r="E2201" s="43" t="inlineStr">
        <is>
          <t>동</t>
        </is>
      </c>
      <c r="F2201" s="44" t="n"/>
      <c r="G2201" s="29" t="n"/>
      <c r="H2201" s="42" t="n"/>
      <c r="I2201" s="40" t="n"/>
      <c r="J2201" s="40" t="n"/>
      <c r="K2201" s="40" t="n"/>
      <c r="L2201" s="30">
        <f>IF(COUNT(I2201:K2201)=0,"",MEDIAN(I2201:K2201))</f>
        <v/>
      </c>
      <c r="M2201" s="37" t="n"/>
      <c r="N2201" s="37" t="n"/>
      <c r="O2201" s="37" t="n"/>
      <c r="P2201" s="37" t="n"/>
      <c r="Q2201" s="37" t="n"/>
      <c r="R2201" s="37" t="n"/>
      <c r="S2201" s="37" t="n"/>
      <c r="T2201" s="37" t="n"/>
      <c r="U2201" s="37" t="n"/>
      <c r="V2201" s="37" t="n"/>
      <c r="W2201" s="37" t="n"/>
      <c r="X2201" s="28" t="n"/>
      <c r="Y2201" s="28" t="n"/>
      <c r="Z2201" s="28" t="n"/>
      <c r="AA2201" s="31" t="n"/>
      <c r="AB2201" s="31" t="n"/>
    </row>
    <row r="2202">
      <c r="A2202" s="43" t="inlineStr">
        <is>
          <t>S43</t>
        </is>
      </c>
      <c r="B2202" s="43" t="inlineStr">
        <is>
          <t>포천</t>
        </is>
      </c>
      <c r="C2202" s="43" t="inlineStr">
        <is>
          <t>S43-H서</t>
        </is>
      </c>
      <c r="D2202" s="43" t="inlineStr">
        <is>
          <t>P0(전)</t>
        </is>
      </c>
      <c r="E2202" s="43" t="inlineStr">
        <is>
          <t>서</t>
        </is>
      </c>
      <c r="F2202" s="44" t="n"/>
      <c r="G2202" s="29" t="n"/>
      <c r="H2202" s="42" t="n"/>
      <c r="I2202" s="40" t="n"/>
      <c r="J2202" s="40" t="n"/>
      <c r="K2202" s="40" t="n"/>
      <c r="L2202" s="30">
        <f>IF(COUNT(I2202:K2202)=0,"",MEDIAN(I2202:K2202))</f>
        <v/>
      </c>
      <c r="M2202" s="37" t="n"/>
      <c r="N2202" s="37" t="n"/>
      <c r="O2202" s="37" t="n"/>
      <c r="P2202" s="37" t="n"/>
      <c r="Q2202" s="37" t="n"/>
      <c r="R2202" s="37" t="n"/>
      <c r="S2202" s="37" t="n"/>
      <c r="T2202" s="37" t="n"/>
      <c r="U2202" s="37" t="n"/>
      <c r="V2202" s="37" t="n"/>
      <c r="W2202" s="37" t="n"/>
      <c r="X2202" s="28" t="n"/>
      <c r="Y2202" s="28" t="n"/>
      <c r="Z2202" s="28" t="n"/>
      <c r="AA2202" s="31" t="n"/>
      <c r="AB2202" s="31" t="n"/>
    </row>
    <row r="2203">
      <c r="A2203" s="25" t="inlineStr">
        <is>
          <t>S43</t>
        </is>
      </c>
      <c r="B2203" s="25" t="inlineStr">
        <is>
          <t>포천</t>
        </is>
      </c>
      <c r="C2203" s="25" t="inlineStr">
        <is>
          <t>S43-H서</t>
        </is>
      </c>
      <c r="D2203" s="25" t="inlineStr">
        <is>
          <t>측정</t>
        </is>
      </c>
      <c r="E2203" s="25" t="inlineStr">
        <is>
          <t>서</t>
        </is>
      </c>
      <c r="F2203" s="30" t="n">
        <v>0.5</v>
      </c>
      <c r="G2203" s="29" t="n"/>
      <c r="H2203" s="42" t="n"/>
      <c r="I2203" s="40" t="n"/>
      <c r="J2203" s="40" t="n"/>
      <c r="K2203" s="40" t="n"/>
      <c r="L2203" s="30">
        <f>IF(COUNT(I2203:K2203)=0,"",MEDIAN(I2203:K2203))</f>
        <v/>
      </c>
      <c r="M2203" s="25">
        <f>IF(COUNTIFS($C:$C,$C2203,$D:$D,"P0(전)",$L:$L,"&gt;0")&lt;&gt;1,"P0(전) 유효 1개 아님",IF(COUNTIFS($C:$C,$C2203,$D:$D,"P0(후)",$L:$L,"&gt;0")&lt;&gt;1,"P0(후) 유효 1개 아님",IF(NOT(AND(ISNUMBER(N2203),ISNUMBER(P2203),ISNUMBER(H2203))),"시각 결측",IF(P2203&lt;=N2203,"P0 시각 역전",IF(OR(H2203&lt;N2203,H2203&gt;P2203),"측정시각 구간 밖","OK")))))</f>
        <v/>
      </c>
      <c r="N2203" s="45">
        <f>IF(COUNTIFS($C:$C,$C2203,$D:$D,"P0(전)",$L:$L,"&gt;0")&lt;&gt;1,"",SUMIFS($H:$H,$C:$C,$C2203,$D:$D,"P0(전)"))</f>
        <v/>
      </c>
      <c r="O2203" s="30">
        <f>IF(COUNTIFS($C:$C,$C2203,$D:$D,"P0(전)",$L:$L,"&gt;0")&lt;&gt;1,"",SUMIFS($L:$L,$C:$C,$C2203,$D:$D,"P0(전)"))</f>
        <v/>
      </c>
      <c r="P2203" s="45">
        <f>IF(COUNTIFS($C:$C,$C2203,$D:$D,"P0(후)",$L:$L,"&gt;0")&lt;&gt;1,"",SUMIFS($H:$H,$C:$C,$C2203,$D:$D,"P0(후)"))</f>
        <v/>
      </c>
      <c r="Q2203" s="30">
        <f>IF(COUNTIFS($C:$C,$C2203,$D:$D,"P0(후)",$L:$L,"&gt;0")&lt;&gt;1,"",SUMIFS($L:$L,$C:$C,$C2203,$D:$D,"P0(후)"))</f>
        <v/>
      </c>
      <c r="R2203" s="30">
        <f>IF(M2203&lt;&gt;"OK","",O2203+(Q2203-O2203)*(H2203-N2203)/(P2203-N2203))</f>
        <v/>
      </c>
      <c r="S2203" s="30">
        <f>IF(OR(M2203&lt;&gt;"OK",NOT(ISNUMBER(L2203))),"",L2203-R2203)</f>
        <v/>
      </c>
      <c r="T2203" s="46">
        <f>IF(OR(NOT(ISNUMBER(S2203)),IF(ISNUMBER(G2203),G2203,F2203)=0),"",S2203/IF(ISNUMBER(G2203),G2203,F2203))</f>
        <v/>
      </c>
      <c r="U2203" s="46">
        <f>IF(ISNUMBER(T2203),ABS(T2203),"")</f>
        <v/>
      </c>
      <c r="V2203" s="46">
        <f>IF(OR($D2202&lt;&gt;"측정",$C2202&lt;&gt;$C2203,NOT(ISNUMBER(L2203)),NOT(ISNUMBER(L2202)),(IF(ISNUMBER(G2203),G2203,F2203)-IF(ISNUMBER(G2202),G2202,F2202))=0),"",(L2203-L2202)/(IF(ISNUMBER(G2203),G2203,F2203)-IF(ISNUMBER(G2202),G2202,F2202)))</f>
        <v/>
      </c>
      <c r="W2203" s="30">
        <f>IF(NOT(AND(ISNUMBER(N2203),ISNUMBER(P2203))),"",(P2203-N2203)*1440)</f>
        <v/>
      </c>
      <c r="X2203" s="28" t="n"/>
      <c r="Y2203" s="28" t="n"/>
      <c r="Z2203" s="28" t="n"/>
      <c r="AA2203" s="31" t="n"/>
      <c r="AB2203" s="31" t="n"/>
    </row>
    <row r="2204">
      <c r="A2204" s="25" t="inlineStr">
        <is>
          <t>S43</t>
        </is>
      </c>
      <c r="B2204" s="25" t="inlineStr">
        <is>
          <t>포천</t>
        </is>
      </c>
      <c r="C2204" s="25" t="inlineStr">
        <is>
          <t>S43-H서</t>
        </is>
      </c>
      <c r="D2204" s="25" t="inlineStr">
        <is>
          <t>측정</t>
        </is>
      </c>
      <c r="E2204" s="25" t="inlineStr">
        <is>
          <t>서</t>
        </is>
      </c>
      <c r="F2204" s="30" t="n">
        <v>1</v>
      </c>
      <c r="G2204" s="29" t="n"/>
      <c r="H2204" s="42" t="n"/>
      <c r="I2204" s="40" t="n"/>
      <c r="J2204" s="40" t="n"/>
      <c r="K2204" s="40" t="n"/>
      <c r="L2204" s="30">
        <f>IF(COUNT(I2204:K2204)=0,"",MEDIAN(I2204:K2204))</f>
        <v/>
      </c>
      <c r="M2204" s="25">
        <f>IF(COUNTIFS($C:$C,$C2204,$D:$D,"P0(전)",$L:$L,"&gt;0")&lt;&gt;1,"P0(전) 유효 1개 아님",IF(COUNTIFS($C:$C,$C2204,$D:$D,"P0(후)",$L:$L,"&gt;0")&lt;&gt;1,"P0(후) 유효 1개 아님",IF(NOT(AND(ISNUMBER(N2204),ISNUMBER(P2204),ISNUMBER(H2204))),"시각 결측",IF(P2204&lt;=N2204,"P0 시각 역전",IF(OR(H2204&lt;N2204,H2204&gt;P2204),"측정시각 구간 밖","OK")))))</f>
        <v/>
      </c>
      <c r="N2204" s="45">
        <f>IF(COUNTIFS($C:$C,$C2204,$D:$D,"P0(전)",$L:$L,"&gt;0")&lt;&gt;1,"",SUMIFS($H:$H,$C:$C,$C2204,$D:$D,"P0(전)"))</f>
        <v/>
      </c>
      <c r="O2204" s="30">
        <f>IF(COUNTIFS($C:$C,$C2204,$D:$D,"P0(전)",$L:$L,"&gt;0")&lt;&gt;1,"",SUMIFS($L:$L,$C:$C,$C2204,$D:$D,"P0(전)"))</f>
        <v/>
      </c>
      <c r="P2204" s="45">
        <f>IF(COUNTIFS($C:$C,$C2204,$D:$D,"P0(후)",$L:$L,"&gt;0")&lt;&gt;1,"",SUMIFS($H:$H,$C:$C,$C2204,$D:$D,"P0(후)"))</f>
        <v/>
      </c>
      <c r="Q2204" s="30">
        <f>IF(COUNTIFS($C:$C,$C2204,$D:$D,"P0(후)",$L:$L,"&gt;0")&lt;&gt;1,"",SUMIFS($L:$L,$C:$C,$C2204,$D:$D,"P0(후)"))</f>
        <v/>
      </c>
      <c r="R2204" s="30">
        <f>IF(M2204&lt;&gt;"OK","",O2204+(Q2204-O2204)*(H2204-N2204)/(P2204-N2204))</f>
        <v/>
      </c>
      <c r="S2204" s="30">
        <f>IF(OR(M2204&lt;&gt;"OK",NOT(ISNUMBER(L2204))),"",L2204-R2204)</f>
        <v/>
      </c>
      <c r="T2204" s="46">
        <f>IF(OR(NOT(ISNUMBER(S2204)),IF(ISNUMBER(G2204),G2204,F2204)=0),"",S2204/IF(ISNUMBER(G2204),G2204,F2204))</f>
        <v/>
      </c>
      <c r="U2204" s="46">
        <f>IF(ISNUMBER(T2204),ABS(T2204),"")</f>
        <v/>
      </c>
      <c r="V2204" s="46">
        <f>IF(OR($D2203&lt;&gt;"측정",$C2203&lt;&gt;$C2204,NOT(ISNUMBER(L2204)),NOT(ISNUMBER(L2203)),(IF(ISNUMBER(G2204),G2204,F2204)-IF(ISNUMBER(G2203),G2203,F2203))=0),"",(L2204-L2203)/(IF(ISNUMBER(G2204),G2204,F2204)-IF(ISNUMBER(G2203),G2203,F2203)))</f>
        <v/>
      </c>
      <c r="W2204" s="30">
        <f>IF(NOT(AND(ISNUMBER(N2204),ISNUMBER(P2204))),"",(P2204-N2204)*1440)</f>
        <v/>
      </c>
      <c r="X2204" s="28" t="n"/>
      <c r="Y2204" s="28" t="n"/>
      <c r="Z2204" s="28" t="n"/>
      <c r="AA2204" s="31" t="n"/>
      <c r="AB2204" s="31" t="n"/>
    </row>
    <row r="2205">
      <c r="A2205" s="25" t="inlineStr">
        <is>
          <t>S43</t>
        </is>
      </c>
      <c r="B2205" s="25" t="inlineStr">
        <is>
          <t>포천</t>
        </is>
      </c>
      <c r="C2205" s="25" t="inlineStr">
        <is>
          <t>S43-H서</t>
        </is>
      </c>
      <c r="D2205" s="25" t="inlineStr">
        <is>
          <t>측정</t>
        </is>
      </c>
      <c r="E2205" s="25" t="inlineStr">
        <is>
          <t>서</t>
        </is>
      </c>
      <c r="F2205" s="30" t="n">
        <v>2</v>
      </c>
      <c r="G2205" s="29" t="n"/>
      <c r="H2205" s="42" t="n"/>
      <c r="I2205" s="40" t="n"/>
      <c r="J2205" s="40" t="n"/>
      <c r="K2205" s="40" t="n"/>
      <c r="L2205" s="30">
        <f>IF(COUNT(I2205:K2205)=0,"",MEDIAN(I2205:K2205))</f>
        <v/>
      </c>
      <c r="M2205" s="25">
        <f>IF(COUNTIFS($C:$C,$C2205,$D:$D,"P0(전)",$L:$L,"&gt;0")&lt;&gt;1,"P0(전) 유효 1개 아님",IF(COUNTIFS($C:$C,$C2205,$D:$D,"P0(후)",$L:$L,"&gt;0")&lt;&gt;1,"P0(후) 유효 1개 아님",IF(NOT(AND(ISNUMBER(N2205),ISNUMBER(P2205),ISNUMBER(H2205))),"시각 결측",IF(P2205&lt;=N2205,"P0 시각 역전",IF(OR(H2205&lt;N2205,H2205&gt;P2205),"측정시각 구간 밖","OK")))))</f>
        <v/>
      </c>
      <c r="N2205" s="45">
        <f>IF(COUNTIFS($C:$C,$C2205,$D:$D,"P0(전)",$L:$L,"&gt;0")&lt;&gt;1,"",SUMIFS($H:$H,$C:$C,$C2205,$D:$D,"P0(전)"))</f>
        <v/>
      </c>
      <c r="O2205" s="30">
        <f>IF(COUNTIFS($C:$C,$C2205,$D:$D,"P0(전)",$L:$L,"&gt;0")&lt;&gt;1,"",SUMIFS($L:$L,$C:$C,$C2205,$D:$D,"P0(전)"))</f>
        <v/>
      </c>
      <c r="P2205" s="45">
        <f>IF(COUNTIFS($C:$C,$C2205,$D:$D,"P0(후)",$L:$L,"&gt;0")&lt;&gt;1,"",SUMIFS($H:$H,$C:$C,$C2205,$D:$D,"P0(후)"))</f>
        <v/>
      </c>
      <c r="Q2205" s="30">
        <f>IF(COUNTIFS($C:$C,$C2205,$D:$D,"P0(후)",$L:$L,"&gt;0")&lt;&gt;1,"",SUMIFS($L:$L,$C:$C,$C2205,$D:$D,"P0(후)"))</f>
        <v/>
      </c>
      <c r="R2205" s="30">
        <f>IF(M2205&lt;&gt;"OK","",O2205+(Q2205-O2205)*(H2205-N2205)/(P2205-N2205))</f>
        <v/>
      </c>
      <c r="S2205" s="30">
        <f>IF(OR(M2205&lt;&gt;"OK",NOT(ISNUMBER(L2205))),"",L2205-R2205)</f>
        <v/>
      </c>
      <c r="T2205" s="46">
        <f>IF(OR(NOT(ISNUMBER(S2205)),IF(ISNUMBER(G2205),G2205,F2205)=0),"",S2205/IF(ISNUMBER(G2205),G2205,F2205))</f>
        <v/>
      </c>
      <c r="U2205" s="46">
        <f>IF(ISNUMBER(T2205),ABS(T2205),"")</f>
        <v/>
      </c>
      <c r="V2205" s="46">
        <f>IF(OR($D2204&lt;&gt;"측정",$C2204&lt;&gt;$C2205,NOT(ISNUMBER(L2205)),NOT(ISNUMBER(L2204)),(IF(ISNUMBER(G2205),G2205,F2205)-IF(ISNUMBER(G2204),G2204,F2204))=0),"",(L2205-L2204)/(IF(ISNUMBER(G2205),G2205,F2205)-IF(ISNUMBER(G2204),G2204,F2204)))</f>
        <v/>
      </c>
      <c r="W2205" s="30">
        <f>IF(NOT(AND(ISNUMBER(N2205),ISNUMBER(P2205))),"",(P2205-N2205)*1440)</f>
        <v/>
      </c>
      <c r="X2205" s="28" t="n"/>
      <c r="Y2205" s="28" t="n"/>
      <c r="Z2205" s="28" t="n"/>
      <c r="AA2205" s="31" t="n"/>
      <c r="AB2205" s="31" t="n"/>
    </row>
    <row r="2206">
      <c r="A2206" s="25" t="inlineStr">
        <is>
          <t>S43</t>
        </is>
      </c>
      <c r="B2206" s="25" t="inlineStr">
        <is>
          <t>포천</t>
        </is>
      </c>
      <c r="C2206" s="25" t="inlineStr">
        <is>
          <t>S43-H서</t>
        </is>
      </c>
      <c r="D2206" s="25" t="inlineStr">
        <is>
          <t>측정</t>
        </is>
      </c>
      <c r="E2206" s="25" t="inlineStr">
        <is>
          <t>서</t>
        </is>
      </c>
      <c r="F2206" s="30" t="n">
        <v>3</v>
      </c>
      <c r="G2206" s="29" t="n"/>
      <c r="H2206" s="42" t="n"/>
      <c r="I2206" s="40" t="n"/>
      <c r="J2206" s="40" t="n"/>
      <c r="K2206" s="40" t="n"/>
      <c r="L2206" s="30">
        <f>IF(COUNT(I2206:K2206)=0,"",MEDIAN(I2206:K2206))</f>
        <v/>
      </c>
      <c r="M2206" s="25">
        <f>IF(COUNTIFS($C:$C,$C2206,$D:$D,"P0(전)",$L:$L,"&gt;0")&lt;&gt;1,"P0(전) 유효 1개 아님",IF(COUNTIFS($C:$C,$C2206,$D:$D,"P0(후)",$L:$L,"&gt;0")&lt;&gt;1,"P0(후) 유효 1개 아님",IF(NOT(AND(ISNUMBER(N2206),ISNUMBER(P2206),ISNUMBER(H2206))),"시각 결측",IF(P2206&lt;=N2206,"P0 시각 역전",IF(OR(H2206&lt;N2206,H2206&gt;P2206),"측정시각 구간 밖","OK")))))</f>
        <v/>
      </c>
      <c r="N2206" s="45">
        <f>IF(COUNTIFS($C:$C,$C2206,$D:$D,"P0(전)",$L:$L,"&gt;0")&lt;&gt;1,"",SUMIFS($H:$H,$C:$C,$C2206,$D:$D,"P0(전)"))</f>
        <v/>
      </c>
      <c r="O2206" s="30">
        <f>IF(COUNTIFS($C:$C,$C2206,$D:$D,"P0(전)",$L:$L,"&gt;0")&lt;&gt;1,"",SUMIFS($L:$L,$C:$C,$C2206,$D:$D,"P0(전)"))</f>
        <v/>
      </c>
      <c r="P2206" s="45">
        <f>IF(COUNTIFS($C:$C,$C2206,$D:$D,"P0(후)",$L:$L,"&gt;0")&lt;&gt;1,"",SUMIFS($H:$H,$C:$C,$C2206,$D:$D,"P0(후)"))</f>
        <v/>
      </c>
      <c r="Q2206" s="30">
        <f>IF(COUNTIFS($C:$C,$C2206,$D:$D,"P0(후)",$L:$L,"&gt;0")&lt;&gt;1,"",SUMIFS($L:$L,$C:$C,$C2206,$D:$D,"P0(후)"))</f>
        <v/>
      </c>
      <c r="R2206" s="30">
        <f>IF(M2206&lt;&gt;"OK","",O2206+(Q2206-O2206)*(H2206-N2206)/(P2206-N2206))</f>
        <v/>
      </c>
      <c r="S2206" s="30">
        <f>IF(OR(M2206&lt;&gt;"OK",NOT(ISNUMBER(L2206))),"",L2206-R2206)</f>
        <v/>
      </c>
      <c r="T2206" s="46">
        <f>IF(OR(NOT(ISNUMBER(S2206)),IF(ISNUMBER(G2206),G2206,F2206)=0),"",S2206/IF(ISNUMBER(G2206),G2206,F2206))</f>
        <v/>
      </c>
      <c r="U2206" s="46">
        <f>IF(ISNUMBER(T2206),ABS(T2206),"")</f>
        <v/>
      </c>
      <c r="V2206" s="46">
        <f>IF(OR($D2205&lt;&gt;"측정",$C2205&lt;&gt;$C2206,NOT(ISNUMBER(L2206)),NOT(ISNUMBER(L2205)),(IF(ISNUMBER(G2206),G2206,F2206)-IF(ISNUMBER(G2205),G2205,F2205))=0),"",(L2206-L2205)/(IF(ISNUMBER(G2206),G2206,F2206)-IF(ISNUMBER(G2205),G2205,F2205)))</f>
        <v/>
      </c>
      <c r="W2206" s="30">
        <f>IF(NOT(AND(ISNUMBER(N2206),ISNUMBER(P2206))),"",(P2206-N2206)*1440)</f>
        <v/>
      </c>
      <c r="X2206" s="28" t="n"/>
      <c r="Y2206" s="28" t="n"/>
      <c r="Z2206" s="28" t="n"/>
      <c r="AA2206" s="31" t="n"/>
      <c r="AB2206" s="31" t="n"/>
    </row>
    <row r="2207">
      <c r="A2207" s="25" t="inlineStr">
        <is>
          <t>S43</t>
        </is>
      </c>
      <c r="B2207" s="25" t="inlineStr">
        <is>
          <t>포천</t>
        </is>
      </c>
      <c r="C2207" s="25" t="inlineStr">
        <is>
          <t>S43-H서</t>
        </is>
      </c>
      <c r="D2207" s="25" t="inlineStr">
        <is>
          <t>측정</t>
        </is>
      </c>
      <c r="E2207" s="25" t="inlineStr">
        <is>
          <t>서</t>
        </is>
      </c>
      <c r="F2207" s="30" t="n">
        <v>4</v>
      </c>
      <c r="G2207" s="29" t="n"/>
      <c r="H2207" s="42" t="n"/>
      <c r="I2207" s="40" t="n"/>
      <c r="J2207" s="40" t="n"/>
      <c r="K2207" s="40" t="n"/>
      <c r="L2207" s="30">
        <f>IF(COUNT(I2207:K2207)=0,"",MEDIAN(I2207:K2207))</f>
        <v/>
      </c>
      <c r="M2207" s="25">
        <f>IF(COUNTIFS($C:$C,$C2207,$D:$D,"P0(전)",$L:$L,"&gt;0")&lt;&gt;1,"P0(전) 유효 1개 아님",IF(COUNTIFS($C:$C,$C2207,$D:$D,"P0(후)",$L:$L,"&gt;0")&lt;&gt;1,"P0(후) 유효 1개 아님",IF(NOT(AND(ISNUMBER(N2207),ISNUMBER(P2207),ISNUMBER(H2207))),"시각 결측",IF(P2207&lt;=N2207,"P0 시각 역전",IF(OR(H2207&lt;N2207,H2207&gt;P2207),"측정시각 구간 밖","OK")))))</f>
        <v/>
      </c>
      <c r="N2207" s="45">
        <f>IF(COUNTIFS($C:$C,$C2207,$D:$D,"P0(전)",$L:$L,"&gt;0")&lt;&gt;1,"",SUMIFS($H:$H,$C:$C,$C2207,$D:$D,"P0(전)"))</f>
        <v/>
      </c>
      <c r="O2207" s="30">
        <f>IF(COUNTIFS($C:$C,$C2207,$D:$D,"P0(전)",$L:$L,"&gt;0")&lt;&gt;1,"",SUMIFS($L:$L,$C:$C,$C2207,$D:$D,"P0(전)"))</f>
        <v/>
      </c>
      <c r="P2207" s="45">
        <f>IF(COUNTIFS($C:$C,$C2207,$D:$D,"P0(후)",$L:$L,"&gt;0")&lt;&gt;1,"",SUMIFS($H:$H,$C:$C,$C2207,$D:$D,"P0(후)"))</f>
        <v/>
      </c>
      <c r="Q2207" s="30">
        <f>IF(COUNTIFS($C:$C,$C2207,$D:$D,"P0(후)",$L:$L,"&gt;0")&lt;&gt;1,"",SUMIFS($L:$L,$C:$C,$C2207,$D:$D,"P0(후)"))</f>
        <v/>
      </c>
      <c r="R2207" s="30">
        <f>IF(M2207&lt;&gt;"OK","",O2207+(Q2207-O2207)*(H2207-N2207)/(P2207-N2207))</f>
        <v/>
      </c>
      <c r="S2207" s="30">
        <f>IF(OR(M2207&lt;&gt;"OK",NOT(ISNUMBER(L2207))),"",L2207-R2207)</f>
        <v/>
      </c>
      <c r="T2207" s="46">
        <f>IF(OR(NOT(ISNUMBER(S2207)),IF(ISNUMBER(G2207),G2207,F2207)=0),"",S2207/IF(ISNUMBER(G2207),G2207,F2207))</f>
        <v/>
      </c>
      <c r="U2207" s="46">
        <f>IF(ISNUMBER(T2207),ABS(T2207),"")</f>
        <v/>
      </c>
      <c r="V2207" s="46">
        <f>IF(OR($D2206&lt;&gt;"측정",$C2206&lt;&gt;$C2207,NOT(ISNUMBER(L2207)),NOT(ISNUMBER(L2206)),(IF(ISNUMBER(G2207),G2207,F2207)-IF(ISNUMBER(G2206),G2206,F2206))=0),"",(L2207-L2206)/(IF(ISNUMBER(G2207),G2207,F2207)-IF(ISNUMBER(G2206),G2206,F2206)))</f>
        <v/>
      </c>
      <c r="W2207" s="30">
        <f>IF(NOT(AND(ISNUMBER(N2207),ISNUMBER(P2207))),"",(P2207-N2207)*1440)</f>
        <v/>
      </c>
      <c r="X2207" s="28" t="n"/>
      <c r="Y2207" s="28" t="n"/>
      <c r="Z2207" s="28" t="n"/>
      <c r="AA2207" s="31" t="n"/>
      <c r="AB2207" s="31" t="n"/>
    </row>
    <row r="2208">
      <c r="A2208" s="25" t="inlineStr">
        <is>
          <t>S43</t>
        </is>
      </c>
      <c r="B2208" s="25" t="inlineStr">
        <is>
          <t>포천</t>
        </is>
      </c>
      <c r="C2208" s="25" t="inlineStr">
        <is>
          <t>S43-H서</t>
        </is>
      </c>
      <c r="D2208" s="25" t="inlineStr">
        <is>
          <t>측정</t>
        </is>
      </c>
      <c r="E2208" s="25" t="inlineStr">
        <is>
          <t>서</t>
        </is>
      </c>
      <c r="F2208" s="30" t="n">
        <v>5</v>
      </c>
      <c r="G2208" s="29" t="n"/>
      <c r="H2208" s="42" t="n"/>
      <c r="I2208" s="40" t="n"/>
      <c r="J2208" s="40" t="n"/>
      <c r="K2208" s="40" t="n"/>
      <c r="L2208" s="30">
        <f>IF(COUNT(I2208:K2208)=0,"",MEDIAN(I2208:K2208))</f>
        <v/>
      </c>
      <c r="M2208" s="25">
        <f>IF(COUNTIFS($C:$C,$C2208,$D:$D,"P0(전)",$L:$L,"&gt;0")&lt;&gt;1,"P0(전) 유효 1개 아님",IF(COUNTIFS($C:$C,$C2208,$D:$D,"P0(후)",$L:$L,"&gt;0")&lt;&gt;1,"P0(후) 유효 1개 아님",IF(NOT(AND(ISNUMBER(N2208),ISNUMBER(P2208),ISNUMBER(H2208))),"시각 결측",IF(P2208&lt;=N2208,"P0 시각 역전",IF(OR(H2208&lt;N2208,H2208&gt;P2208),"측정시각 구간 밖","OK")))))</f>
        <v/>
      </c>
      <c r="N2208" s="45">
        <f>IF(COUNTIFS($C:$C,$C2208,$D:$D,"P0(전)",$L:$L,"&gt;0")&lt;&gt;1,"",SUMIFS($H:$H,$C:$C,$C2208,$D:$D,"P0(전)"))</f>
        <v/>
      </c>
      <c r="O2208" s="30">
        <f>IF(COUNTIFS($C:$C,$C2208,$D:$D,"P0(전)",$L:$L,"&gt;0")&lt;&gt;1,"",SUMIFS($L:$L,$C:$C,$C2208,$D:$D,"P0(전)"))</f>
        <v/>
      </c>
      <c r="P2208" s="45">
        <f>IF(COUNTIFS($C:$C,$C2208,$D:$D,"P0(후)",$L:$L,"&gt;0")&lt;&gt;1,"",SUMIFS($H:$H,$C:$C,$C2208,$D:$D,"P0(후)"))</f>
        <v/>
      </c>
      <c r="Q2208" s="30">
        <f>IF(COUNTIFS($C:$C,$C2208,$D:$D,"P0(후)",$L:$L,"&gt;0")&lt;&gt;1,"",SUMIFS($L:$L,$C:$C,$C2208,$D:$D,"P0(후)"))</f>
        <v/>
      </c>
      <c r="R2208" s="30">
        <f>IF(M2208&lt;&gt;"OK","",O2208+(Q2208-O2208)*(H2208-N2208)/(P2208-N2208))</f>
        <v/>
      </c>
      <c r="S2208" s="30">
        <f>IF(OR(M2208&lt;&gt;"OK",NOT(ISNUMBER(L2208))),"",L2208-R2208)</f>
        <v/>
      </c>
      <c r="T2208" s="46">
        <f>IF(OR(NOT(ISNUMBER(S2208)),IF(ISNUMBER(G2208),G2208,F2208)=0),"",S2208/IF(ISNUMBER(G2208),G2208,F2208))</f>
        <v/>
      </c>
      <c r="U2208" s="46">
        <f>IF(ISNUMBER(T2208),ABS(T2208),"")</f>
        <v/>
      </c>
      <c r="V2208" s="46">
        <f>IF(OR($D2207&lt;&gt;"측정",$C2207&lt;&gt;$C2208,NOT(ISNUMBER(L2208)),NOT(ISNUMBER(L2207)),(IF(ISNUMBER(G2208),G2208,F2208)-IF(ISNUMBER(G2207),G2207,F2207))=0),"",(L2208-L2207)/(IF(ISNUMBER(G2208),G2208,F2208)-IF(ISNUMBER(G2207),G2207,F2207)))</f>
        <v/>
      </c>
      <c r="W2208" s="30">
        <f>IF(NOT(AND(ISNUMBER(N2208),ISNUMBER(P2208))),"",(P2208-N2208)*1440)</f>
        <v/>
      </c>
      <c r="X2208" s="28" t="n"/>
      <c r="Y2208" s="28" t="n"/>
      <c r="Z2208" s="28" t="n"/>
      <c r="AA2208" s="31" t="n"/>
      <c r="AB2208" s="31" t="n"/>
    </row>
    <row r="2209">
      <c r="A2209" s="25" t="inlineStr">
        <is>
          <t>S43</t>
        </is>
      </c>
      <c r="B2209" s="25" t="inlineStr">
        <is>
          <t>포천</t>
        </is>
      </c>
      <c r="C2209" s="25" t="inlineStr">
        <is>
          <t>S43-H서</t>
        </is>
      </c>
      <c r="D2209" s="25" t="inlineStr">
        <is>
          <t>측정</t>
        </is>
      </c>
      <c r="E2209" s="25" t="inlineStr">
        <is>
          <t>서</t>
        </is>
      </c>
      <c r="F2209" s="30" t="n">
        <v>6</v>
      </c>
      <c r="G2209" s="29" t="n"/>
      <c r="H2209" s="42" t="n"/>
      <c r="I2209" s="40" t="n"/>
      <c r="J2209" s="40" t="n"/>
      <c r="K2209" s="40" t="n"/>
      <c r="L2209" s="30">
        <f>IF(COUNT(I2209:K2209)=0,"",MEDIAN(I2209:K2209))</f>
        <v/>
      </c>
      <c r="M2209" s="25">
        <f>IF(COUNTIFS($C:$C,$C2209,$D:$D,"P0(전)",$L:$L,"&gt;0")&lt;&gt;1,"P0(전) 유효 1개 아님",IF(COUNTIFS($C:$C,$C2209,$D:$D,"P0(후)",$L:$L,"&gt;0")&lt;&gt;1,"P0(후) 유효 1개 아님",IF(NOT(AND(ISNUMBER(N2209),ISNUMBER(P2209),ISNUMBER(H2209))),"시각 결측",IF(P2209&lt;=N2209,"P0 시각 역전",IF(OR(H2209&lt;N2209,H2209&gt;P2209),"측정시각 구간 밖","OK")))))</f>
        <v/>
      </c>
      <c r="N2209" s="45">
        <f>IF(COUNTIFS($C:$C,$C2209,$D:$D,"P0(전)",$L:$L,"&gt;0")&lt;&gt;1,"",SUMIFS($H:$H,$C:$C,$C2209,$D:$D,"P0(전)"))</f>
        <v/>
      </c>
      <c r="O2209" s="30">
        <f>IF(COUNTIFS($C:$C,$C2209,$D:$D,"P0(전)",$L:$L,"&gt;0")&lt;&gt;1,"",SUMIFS($L:$L,$C:$C,$C2209,$D:$D,"P0(전)"))</f>
        <v/>
      </c>
      <c r="P2209" s="45">
        <f>IF(COUNTIFS($C:$C,$C2209,$D:$D,"P0(후)",$L:$L,"&gt;0")&lt;&gt;1,"",SUMIFS($H:$H,$C:$C,$C2209,$D:$D,"P0(후)"))</f>
        <v/>
      </c>
      <c r="Q2209" s="30">
        <f>IF(COUNTIFS($C:$C,$C2209,$D:$D,"P0(후)",$L:$L,"&gt;0")&lt;&gt;1,"",SUMIFS($L:$L,$C:$C,$C2209,$D:$D,"P0(후)"))</f>
        <v/>
      </c>
      <c r="R2209" s="30">
        <f>IF(M2209&lt;&gt;"OK","",O2209+(Q2209-O2209)*(H2209-N2209)/(P2209-N2209))</f>
        <v/>
      </c>
      <c r="S2209" s="30">
        <f>IF(OR(M2209&lt;&gt;"OK",NOT(ISNUMBER(L2209))),"",L2209-R2209)</f>
        <v/>
      </c>
      <c r="T2209" s="46">
        <f>IF(OR(NOT(ISNUMBER(S2209)),IF(ISNUMBER(G2209),G2209,F2209)=0),"",S2209/IF(ISNUMBER(G2209),G2209,F2209))</f>
        <v/>
      </c>
      <c r="U2209" s="46">
        <f>IF(ISNUMBER(T2209),ABS(T2209),"")</f>
        <v/>
      </c>
      <c r="V2209" s="46">
        <f>IF(OR($D2208&lt;&gt;"측정",$C2208&lt;&gt;$C2209,NOT(ISNUMBER(L2209)),NOT(ISNUMBER(L2208)),(IF(ISNUMBER(G2209),G2209,F2209)-IF(ISNUMBER(G2208),G2208,F2208))=0),"",(L2209-L2208)/(IF(ISNUMBER(G2209),G2209,F2209)-IF(ISNUMBER(G2208),G2208,F2208)))</f>
        <v/>
      </c>
      <c r="W2209" s="30">
        <f>IF(NOT(AND(ISNUMBER(N2209),ISNUMBER(P2209))),"",(P2209-N2209)*1440)</f>
        <v/>
      </c>
      <c r="X2209" s="28" t="n"/>
      <c r="Y2209" s="28" t="n"/>
      <c r="Z2209" s="28" t="n"/>
      <c r="AA2209" s="31" t="n"/>
      <c r="AB2209" s="31" t="n"/>
    </row>
    <row r="2210">
      <c r="A2210" s="25" t="inlineStr">
        <is>
          <t>S43</t>
        </is>
      </c>
      <c r="B2210" s="25" t="inlineStr">
        <is>
          <t>포천</t>
        </is>
      </c>
      <c r="C2210" s="25" t="inlineStr">
        <is>
          <t>S43-H서</t>
        </is>
      </c>
      <c r="D2210" s="25" t="inlineStr">
        <is>
          <t>측정</t>
        </is>
      </c>
      <c r="E2210" s="25" t="inlineStr">
        <is>
          <t>서</t>
        </is>
      </c>
      <c r="F2210" s="30" t="n">
        <v>7</v>
      </c>
      <c r="G2210" s="29" t="n"/>
      <c r="H2210" s="42" t="n"/>
      <c r="I2210" s="40" t="n"/>
      <c r="J2210" s="40" t="n"/>
      <c r="K2210" s="40" t="n"/>
      <c r="L2210" s="30">
        <f>IF(COUNT(I2210:K2210)=0,"",MEDIAN(I2210:K2210))</f>
        <v/>
      </c>
      <c r="M2210" s="25">
        <f>IF(COUNTIFS($C:$C,$C2210,$D:$D,"P0(전)",$L:$L,"&gt;0")&lt;&gt;1,"P0(전) 유효 1개 아님",IF(COUNTIFS($C:$C,$C2210,$D:$D,"P0(후)",$L:$L,"&gt;0")&lt;&gt;1,"P0(후) 유효 1개 아님",IF(NOT(AND(ISNUMBER(N2210),ISNUMBER(P2210),ISNUMBER(H2210))),"시각 결측",IF(P2210&lt;=N2210,"P0 시각 역전",IF(OR(H2210&lt;N2210,H2210&gt;P2210),"측정시각 구간 밖","OK")))))</f>
        <v/>
      </c>
      <c r="N2210" s="45">
        <f>IF(COUNTIFS($C:$C,$C2210,$D:$D,"P0(전)",$L:$L,"&gt;0")&lt;&gt;1,"",SUMIFS($H:$H,$C:$C,$C2210,$D:$D,"P0(전)"))</f>
        <v/>
      </c>
      <c r="O2210" s="30">
        <f>IF(COUNTIFS($C:$C,$C2210,$D:$D,"P0(전)",$L:$L,"&gt;0")&lt;&gt;1,"",SUMIFS($L:$L,$C:$C,$C2210,$D:$D,"P0(전)"))</f>
        <v/>
      </c>
      <c r="P2210" s="45">
        <f>IF(COUNTIFS($C:$C,$C2210,$D:$D,"P0(후)",$L:$L,"&gt;0")&lt;&gt;1,"",SUMIFS($H:$H,$C:$C,$C2210,$D:$D,"P0(후)"))</f>
        <v/>
      </c>
      <c r="Q2210" s="30">
        <f>IF(COUNTIFS($C:$C,$C2210,$D:$D,"P0(후)",$L:$L,"&gt;0")&lt;&gt;1,"",SUMIFS($L:$L,$C:$C,$C2210,$D:$D,"P0(후)"))</f>
        <v/>
      </c>
      <c r="R2210" s="30">
        <f>IF(M2210&lt;&gt;"OK","",O2210+(Q2210-O2210)*(H2210-N2210)/(P2210-N2210))</f>
        <v/>
      </c>
      <c r="S2210" s="30">
        <f>IF(OR(M2210&lt;&gt;"OK",NOT(ISNUMBER(L2210))),"",L2210-R2210)</f>
        <v/>
      </c>
      <c r="T2210" s="46">
        <f>IF(OR(NOT(ISNUMBER(S2210)),IF(ISNUMBER(G2210),G2210,F2210)=0),"",S2210/IF(ISNUMBER(G2210),G2210,F2210))</f>
        <v/>
      </c>
      <c r="U2210" s="46">
        <f>IF(ISNUMBER(T2210),ABS(T2210),"")</f>
        <v/>
      </c>
      <c r="V2210" s="46">
        <f>IF(OR($D2209&lt;&gt;"측정",$C2209&lt;&gt;$C2210,NOT(ISNUMBER(L2210)),NOT(ISNUMBER(L2209)),(IF(ISNUMBER(G2210),G2210,F2210)-IF(ISNUMBER(G2209),G2209,F2209))=0),"",(L2210-L2209)/(IF(ISNUMBER(G2210),G2210,F2210)-IF(ISNUMBER(G2209),G2209,F2209)))</f>
        <v/>
      </c>
      <c r="W2210" s="30">
        <f>IF(NOT(AND(ISNUMBER(N2210),ISNUMBER(P2210))),"",(P2210-N2210)*1440)</f>
        <v/>
      </c>
      <c r="X2210" s="28" t="n"/>
      <c r="Y2210" s="28" t="n"/>
      <c r="Z2210" s="28" t="n"/>
      <c r="AA2210" s="31" t="n"/>
      <c r="AB2210" s="31" t="n"/>
    </row>
    <row r="2211">
      <c r="A2211" s="25" t="inlineStr">
        <is>
          <t>S43</t>
        </is>
      </c>
      <c r="B2211" s="25" t="inlineStr">
        <is>
          <t>포천</t>
        </is>
      </c>
      <c r="C2211" s="25" t="inlineStr">
        <is>
          <t>S43-H서</t>
        </is>
      </c>
      <c r="D2211" s="25" t="inlineStr">
        <is>
          <t>측정</t>
        </is>
      </c>
      <c r="E2211" s="25" t="inlineStr">
        <is>
          <t>서</t>
        </is>
      </c>
      <c r="F2211" s="30" t="n">
        <v>8</v>
      </c>
      <c r="G2211" s="29" t="n"/>
      <c r="H2211" s="42" t="n"/>
      <c r="I2211" s="40" t="n"/>
      <c r="J2211" s="40" t="n"/>
      <c r="K2211" s="40" t="n"/>
      <c r="L2211" s="30">
        <f>IF(COUNT(I2211:K2211)=0,"",MEDIAN(I2211:K2211))</f>
        <v/>
      </c>
      <c r="M2211" s="25">
        <f>IF(COUNTIFS($C:$C,$C2211,$D:$D,"P0(전)",$L:$L,"&gt;0")&lt;&gt;1,"P0(전) 유효 1개 아님",IF(COUNTIFS($C:$C,$C2211,$D:$D,"P0(후)",$L:$L,"&gt;0")&lt;&gt;1,"P0(후) 유효 1개 아님",IF(NOT(AND(ISNUMBER(N2211),ISNUMBER(P2211),ISNUMBER(H2211))),"시각 결측",IF(P2211&lt;=N2211,"P0 시각 역전",IF(OR(H2211&lt;N2211,H2211&gt;P2211),"측정시각 구간 밖","OK")))))</f>
        <v/>
      </c>
      <c r="N2211" s="45">
        <f>IF(COUNTIFS($C:$C,$C2211,$D:$D,"P0(전)",$L:$L,"&gt;0")&lt;&gt;1,"",SUMIFS($H:$H,$C:$C,$C2211,$D:$D,"P0(전)"))</f>
        <v/>
      </c>
      <c r="O2211" s="30">
        <f>IF(COUNTIFS($C:$C,$C2211,$D:$D,"P0(전)",$L:$L,"&gt;0")&lt;&gt;1,"",SUMIFS($L:$L,$C:$C,$C2211,$D:$D,"P0(전)"))</f>
        <v/>
      </c>
      <c r="P2211" s="45">
        <f>IF(COUNTIFS($C:$C,$C2211,$D:$D,"P0(후)",$L:$L,"&gt;0")&lt;&gt;1,"",SUMIFS($H:$H,$C:$C,$C2211,$D:$D,"P0(후)"))</f>
        <v/>
      </c>
      <c r="Q2211" s="30">
        <f>IF(COUNTIFS($C:$C,$C2211,$D:$D,"P0(후)",$L:$L,"&gt;0")&lt;&gt;1,"",SUMIFS($L:$L,$C:$C,$C2211,$D:$D,"P0(후)"))</f>
        <v/>
      </c>
      <c r="R2211" s="30">
        <f>IF(M2211&lt;&gt;"OK","",O2211+(Q2211-O2211)*(H2211-N2211)/(P2211-N2211))</f>
        <v/>
      </c>
      <c r="S2211" s="30">
        <f>IF(OR(M2211&lt;&gt;"OK",NOT(ISNUMBER(L2211))),"",L2211-R2211)</f>
        <v/>
      </c>
      <c r="T2211" s="46">
        <f>IF(OR(NOT(ISNUMBER(S2211)),IF(ISNUMBER(G2211),G2211,F2211)=0),"",S2211/IF(ISNUMBER(G2211),G2211,F2211))</f>
        <v/>
      </c>
      <c r="U2211" s="46">
        <f>IF(ISNUMBER(T2211),ABS(T2211),"")</f>
        <v/>
      </c>
      <c r="V2211" s="46">
        <f>IF(OR($D2210&lt;&gt;"측정",$C2210&lt;&gt;$C2211,NOT(ISNUMBER(L2211)),NOT(ISNUMBER(L2210)),(IF(ISNUMBER(G2211),G2211,F2211)-IF(ISNUMBER(G2210),G2210,F2210))=0),"",(L2211-L2210)/(IF(ISNUMBER(G2211),G2211,F2211)-IF(ISNUMBER(G2210),G2210,F2210)))</f>
        <v/>
      </c>
      <c r="W2211" s="30">
        <f>IF(NOT(AND(ISNUMBER(N2211),ISNUMBER(P2211))),"",(P2211-N2211)*1440)</f>
        <v/>
      </c>
      <c r="X2211" s="28" t="n"/>
      <c r="Y2211" s="28" t="n"/>
      <c r="Z2211" s="28" t="n"/>
      <c r="AA2211" s="31" t="n"/>
      <c r="AB2211" s="31" t="n"/>
    </row>
    <row r="2212">
      <c r="A2212" s="25" t="inlineStr">
        <is>
          <t>S43</t>
        </is>
      </c>
      <c r="B2212" s="25" t="inlineStr">
        <is>
          <t>포천</t>
        </is>
      </c>
      <c r="C2212" s="25" t="inlineStr">
        <is>
          <t>S43-H서</t>
        </is>
      </c>
      <c r="D2212" s="25" t="inlineStr">
        <is>
          <t>측정</t>
        </is>
      </c>
      <c r="E2212" s="25" t="inlineStr">
        <is>
          <t>서</t>
        </is>
      </c>
      <c r="F2212" s="30" t="n">
        <v>9</v>
      </c>
      <c r="G2212" s="29" t="n"/>
      <c r="H2212" s="42" t="n"/>
      <c r="I2212" s="40" t="n"/>
      <c r="J2212" s="40" t="n"/>
      <c r="K2212" s="40" t="n"/>
      <c r="L2212" s="30">
        <f>IF(COUNT(I2212:K2212)=0,"",MEDIAN(I2212:K2212))</f>
        <v/>
      </c>
      <c r="M2212" s="25">
        <f>IF(COUNTIFS($C:$C,$C2212,$D:$D,"P0(전)",$L:$L,"&gt;0")&lt;&gt;1,"P0(전) 유효 1개 아님",IF(COUNTIFS($C:$C,$C2212,$D:$D,"P0(후)",$L:$L,"&gt;0")&lt;&gt;1,"P0(후) 유효 1개 아님",IF(NOT(AND(ISNUMBER(N2212),ISNUMBER(P2212),ISNUMBER(H2212))),"시각 결측",IF(P2212&lt;=N2212,"P0 시각 역전",IF(OR(H2212&lt;N2212,H2212&gt;P2212),"측정시각 구간 밖","OK")))))</f>
        <v/>
      </c>
      <c r="N2212" s="45">
        <f>IF(COUNTIFS($C:$C,$C2212,$D:$D,"P0(전)",$L:$L,"&gt;0")&lt;&gt;1,"",SUMIFS($H:$H,$C:$C,$C2212,$D:$D,"P0(전)"))</f>
        <v/>
      </c>
      <c r="O2212" s="30">
        <f>IF(COUNTIFS($C:$C,$C2212,$D:$D,"P0(전)",$L:$L,"&gt;0")&lt;&gt;1,"",SUMIFS($L:$L,$C:$C,$C2212,$D:$D,"P0(전)"))</f>
        <v/>
      </c>
      <c r="P2212" s="45">
        <f>IF(COUNTIFS($C:$C,$C2212,$D:$D,"P0(후)",$L:$L,"&gt;0")&lt;&gt;1,"",SUMIFS($H:$H,$C:$C,$C2212,$D:$D,"P0(후)"))</f>
        <v/>
      </c>
      <c r="Q2212" s="30">
        <f>IF(COUNTIFS($C:$C,$C2212,$D:$D,"P0(후)",$L:$L,"&gt;0")&lt;&gt;1,"",SUMIFS($L:$L,$C:$C,$C2212,$D:$D,"P0(후)"))</f>
        <v/>
      </c>
      <c r="R2212" s="30">
        <f>IF(M2212&lt;&gt;"OK","",O2212+(Q2212-O2212)*(H2212-N2212)/(P2212-N2212))</f>
        <v/>
      </c>
      <c r="S2212" s="30">
        <f>IF(OR(M2212&lt;&gt;"OK",NOT(ISNUMBER(L2212))),"",L2212-R2212)</f>
        <v/>
      </c>
      <c r="T2212" s="46">
        <f>IF(OR(NOT(ISNUMBER(S2212)),IF(ISNUMBER(G2212),G2212,F2212)=0),"",S2212/IF(ISNUMBER(G2212),G2212,F2212))</f>
        <v/>
      </c>
      <c r="U2212" s="46">
        <f>IF(ISNUMBER(T2212),ABS(T2212),"")</f>
        <v/>
      </c>
      <c r="V2212" s="46">
        <f>IF(OR($D2211&lt;&gt;"측정",$C2211&lt;&gt;$C2212,NOT(ISNUMBER(L2212)),NOT(ISNUMBER(L2211)),(IF(ISNUMBER(G2212),G2212,F2212)-IF(ISNUMBER(G2211),G2211,F2211))=0),"",(L2212-L2211)/(IF(ISNUMBER(G2212),G2212,F2212)-IF(ISNUMBER(G2211),G2211,F2211)))</f>
        <v/>
      </c>
      <c r="W2212" s="30">
        <f>IF(NOT(AND(ISNUMBER(N2212),ISNUMBER(P2212))),"",(P2212-N2212)*1440)</f>
        <v/>
      </c>
      <c r="X2212" s="28" t="n"/>
      <c r="Y2212" s="28" t="n"/>
      <c r="Z2212" s="28" t="n"/>
      <c r="AA2212" s="31" t="n"/>
      <c r="AB2212" s="31" t="n"/>
    </row>
    <row r="2213">
      <c r="A2213" s="25" t="inlineStr">
        <is>
          <t>S43</t>
        </is>
      </c>
      <c r="B2213" s="25" t="inlineStr">
        <is>
          <t>포천</t>
        </is>
      </c>
      <c r="C2213" s="25" t="inlineStr">
        <is>
          <t>S43-H서</t>
        </is>
      </c>
      <c r="D2213" s="25" t="inlineStr">
        <is>
          <t>측정</t>
        </is>
      </c>
      <c r="E2213" s="25" t="inlineStr">
        <is>
          <t>서</t>
        </is>
      </c>
      <c r="F2213" s="30" t="n">
        <v>10</v>
      </c>
      <c r="G2213" s="29" t="n"/>
      <c r="H2213" s="42" t="n"/>
      <c r="I2213" s="40" t="n"/>
      <c r="J2213" s="40" t="n"/>
      <c r="K2213" s="40" t="n"/>
      <c r="L2213" s="30">
        <f>IF(COUNT(I2213:K2213)=0,"",MEDIAN(I2213:K2213))</f>
        <v/>
      </c>
      <c r="M2213" s="25">
        <f>IF(COUNTIFS($C:$C,$C2213,$D:$D,"P0(전)",$L:$L,"&gt;0")&lt;&gt;1,"P0(전) 유효 1개 아님",IF(COUNTIFS($C:$C,$C2213,$D:$D,"P0(후)",$L:$L,"&gt;0")&lt;&gt;1,"P0(후) 유효 1개 아님",IF(NOT(AND(ISNUMBER(N2213),ISNUMBER(P2213),ISNUMBER(H2213))),"시각 결측",IF(P2213&lt;=N2213,"P0 시각 역전",IF(OR(H2213&lt;N2213,H2213&gt;P2213),"측정시각 구간 밖","OK")))))</f>
        <v/>
      </c>
      <c r="N2213" s="45">
        <f>IF(COUNTIFS($C:$C,$C2213,$D:$D,"P0(전)",$L:$L,"&gt;0")&lt;&gt;1,"",SUMIFS($H:$H,$C:$C,$C2213,$D:$D,"P0(전)"))</f>
        <v/>
      </c>
      <c r="O2213" s="30">
        <f>IF(COUNTIFS($C:$C,$C2213,$D:$D,"P0(전)",$L:$L,"&gt;0")&lt;&gt;1,"",SUMIFS($L:$L,$C:$C,$C2213,$D:$D,"P0(전)"))</f>
        <v/>
      </c>
      <c r="P2213" s="45">
        <f>IF(COUNTIFS($C:$C,$C2213,$D:$D,"P0(후)",$L:$L,"&gt;0")&lt;&gt;1,"",SUMIFS($H:$H,$C:$C,$C2213,$D:$D,"P0(후)"))</f>
        <v/>
      </c>
      <c r="Q2213" s="30">
        <f>IF(COUNTIFS($C:$C,$C2213,$D:$D,"P0(후)",$L:$L,"&gt;0")&lt;&gt;1,"",SUMIFS($L:$L,$C:$C,$C2213,$D:$D,"P0(후)"))</f>
        <v/>
      </c>
      <c r="R2213" s="30">
        <f>IF(M2213&lt;&gt;"OK","",O2213+(Q2213-O2213)*(H2213-N2213)/(P2213-N2213))</f>
        <v/>
      </c>
      <c r="S2213" s="30">
        <f>IF(OR(M2213&lt;&gt;"OK",NOT(ISNUMBER(L2213))),"",L2213-R2213)</f>
        <v/>
      </c>
      <c r="T2213" s="46">
        <f>IF(OR(NOT(ISNUMBER(S2213)),IF(ISNUMBER(G2213),G2213,F2213)=0),"",S2213/IF(ISNUMBER(G2213),G2213,F2213))</f>
        <v/>
      </c>
      <c r="U2213" s="46">
        <f>IF(ISNUMBER(T2213),ABS(T2213),"")</f>
        <v/>
      </c>
      <c r="V2213" s="46">
        <f>IF(OR($D2212&lt;&gt;"측정",$C2212&lt;&gt;$C2213,NOT(ISNUMBER(L2213)),NOT(ISNUMBER(L2212)),(IF(ISNUMBER(G2213),G2213,F2213)-IF(ISNUMBER(G2212),G2212,F2212))=0),"",(L2213-L2212)/(IF(ISNUMBER(G2213),G2213,F2213)-IF(ISNUMBER(G2212),G2212,F2212)))</f>
        <v/>
      </c>
      <c r="W2213" s="30">
        <f>IF(NOT(AND(ISNUMBER(N2213),ISNUMBER(P2213))),"",(P2213-N2213)*1440)</f>
        <v/>
      </c>
      <c r="X2213" s="28" t="n"/>
      <c r="Y2213" s="28" t="n"/>
      <c r="Z2213" s="28" t="n"/>
      <c r="AA2213" s="31" t="n"/>
      <c r="AB2213" s="31" t="n"/>
    </row>
    <row r="2214">
      <c r="A2214" s="43" t="inlineStr">
        <is>
          <t>S43</t>
        </is>
      </c>
      <c r="B2214" s="43" t="inlineStr">
        <is>
          <t>포천</t>
        </is>
      </c>
      <c r="C2214" s="43" t="inlineStr">
        <is>
          <t>S43-H서</t>
        </is>
      </c>
      <c r="D2214" s="43" t="inlineStr">
        <is>
          <t>P0(후)</t>
        </is>
      </c>
      <c r="E2214" s="43" t="inlineStr">
        <is>
          <t>서</t>
        </is>
      </c>
      <c r="F2214" s="44" t="n"/>
      <c r="G2214" s="29" t="n"/>
      <c r="H2214" s="42" t="n"/>
      <c r="I2214" s="40" t="n"/>
      <c r="J2214" s="40" t="n"/>
      <c r="K2214" s="40" t="n"/>
      <c r="L2214" s="30">
        <f>IF(COUNT(I2214:K2214)=0,"",MEDIAN(I2214:K2214))</f>
        <v/>
      </c>
      <c r="M2214" s="37" t="n"/>
      <c r="N2214" s="37" t="n"/>
      <c r="O2214" s="37" t="n"/>
      <c r="P2214" s="37" t="n"/>
      <c r="Q2214" s="37" t="n"/>
      <c r="R2214" s="37" t="n"/>
      <c r="S2214" s="37" t="n"/>
      <c r="T2214" s="37" t="n"/>
      <c r="U2214" s="37" t="n"/>
      <c r="V2214" s="37" t="n"/>
      <c r="W2214" s="37" t="n"/>
      <c r="X2214" s="28" t="n"/>
      <c r="Y2214" s="28" t="n"/>
      <c r="Z2214" s="28" t="n"/>
      <c r="AA2214" s="31" t="n"/>
      <c r="AB2214" s="31" t="n"/>
    </row>
    <row r="2215">
      <c r="A2215" s="43" t="inlineStr">
        <is>
          <t>S43</t>
        </is>
      </c>
      <c r="B2215" s="43" t="inlineStr">
        <is>
          <t>포천</t>
        </is>
      </c>
      <c r="C2215" s="43" t="inlineStr">
        <is>
          <t>S43-H남</t>
        </is>
      </c>
      <c r="D2215" s="43" t="inlineStr">
        <is>
          <t>P0(전)</t>
        </is>
      </c>
      <c r="E2215" s="43" t="inlineStr">
        <is>
          <t>남</t>
        </is>
      </c>
      <c r="F2215" s="44" t="n"/>
      <c r="G2215" s="29" t="n"/>
      <c r="H2215" s="42" t="n"/>
      <c r="I2215" s="40" t="n"/>
      <c r="J2215" s="40" t="n"/>
      <c r="K2215" s="40" t="n"/>
      <c r="L2215" s="30">
        <f>IF(COUNT(I2215:K2215)=0,"",MEDIAN(I2215:K2215))</f>
        <v/>
      </c>
      <c r="M2215" s="37" t="n"/>
      <c r="N2215" s="37" t="n"/>
      <c r="O2215" s="37" t="n"/>
      <c r="P2215" s="37" t="n"/>
      <c r="Q2215" s="37" t="n"/>
      <c r="R2215" s="37" t="n"/>
      <c r="S2215" s="37" t="n"/>
      <c r="T2215" s="37" t="n"/>
      <c r="U2215" s="37" t="n"/>
      <c r="V2215" s="37" t="n"/>
      <c r="W2215" s="37" t="n"/>
      <c r="X2215" s="28" t="n"/>
      <c r="Y2215" s="28" t="n"/>
      <c r="Z2215" s="28" t="n"/>
      <c r="AA2215" s="31" t="n"/>
      <c r="AB2215" s="31" t="n"/>
    </row>
    <row r="2216">
      <c r="A2216" s="25" t="inlineStr">
        <is>
          <t>S43</t>
        </is>
      </c>
      <c r="B2216" s="25" t="inlineStr">
        <is>
          <t>포천</t>
        </is>
      </c>
      <c r="C2216" s="25" t="inlineStr">
        <is>
          <t>S43-H남</t>
        </is>
      </c>
      <c r="D2216" s="25" t="inlineStr">
        <is>
          <t>측정</t>
        </is>
      </c>
      <c r="E2216" s="25" t="inlineStr">
        <is>
          <t>남</t>
        </is>
      </c>
      <c r="F2216" s="30" t="n">
        <v>0.5</v>
      </c>
      <c r="G2216" s="29" t="n"/>
      <c r="H2216" s="42" t="n"/>
      <c r="I2216" s="40" t="n"/>
      <c r="J2216" s="40" t="n"/>
      <c r="K2216" s="40" t="n"/>
      <c r="L2216" s="30">
        <f>IF(COUNT(I2216:K2216)=0,"",MEDIAN(I2216:K2216))</f>
        <v/>
      </c>
      <c r="M2216" s="25">
        <f>IF(COUNTIFS($C:$C,$C2216,$D:$D,"P0(전)",$L:$L,"&gt;0")&lt;&gt;1,"P0(전) 유효 1개 아님",IF(COUNTIFS($C:$C,$C2216,$D:$D,"P0(후)",$L:$L,"&gt;0")&lt;&gt;1,"P0(후) 유효 1개 아님",IF(NOT(AND(ISNUMBER(N2216),ISNUMBER(P2216),ISNUMBER(H2216))),"시각 결측",IF(P2216&lt;=N2216,"P0 시각 역전",IF(OR(H2216&lt;N2216,H2216&gt;P2216),"측정시각 구간 밖","OK")))))</f>
        <v/>
      </c>
      <c r="N2216" s="45">
        <f>IF(COUNTIFS($C:$C,$C2216,$D:$D,"P0(전)",$L:$L,"&gt;0")&lt;&gt;1,"",SUMIFS($H:$H,$C:$C,$C2216,$D:$D,"P0(전)"))</f>
        <v/>
      </c>
      <c r="O2216" s="30">
        <f>IF(COUNTIFS($C:$C,$C2216,$D:$D,"P0(전)",$L:$L,"&gt;0")&lt;&gt;1,"",SUMIFS($L:$L,$C:$C,$C2216,$D:$D,"P0(전)"))</f>
        <v/>
      </c>
      <c r="P2216" s="45">
        <f>IF(COUNTIFS($C:$C,$C2216,$D:$D,"P0(후)",$L:$L,"&gt;0")&lt;&gt;1,"",SUMIFS($H:$H,$C:$C,$C2216,$D:$D,"P0(후)"))</f>
        <v/>
      </c>
      <c r="Q2216" s="30">
        <f>IF(COUNTIFS($C:$C,$C2216,$D:$D,"P0(후)",$L:$L,"&gt;0")&lt;&gt;1,"",SUMIFS($L:$L,$C:$C,$C2216,$D:$D,"P0(후)"))</f>
        <v/>
      </c>
      <c r="R2216" s="30">
        <f>IF(M2216&lt;&gt;"OK","",O2216+(Q2216-O2216)*(H2216-N2216)/(P2216-N2216))</f>
        <v/>
      </c>
      <c r="S2216" s="30">
        <f>IF(OR(M2216&lt;&gt;"OK",NOT(ISNUMBER(L2216))),"",L2216-R2216)</f>
        <v/>
      </c>
      <c r="T2216" s="46">
        <f>IF(OR(NOT(ISNUMBER(S2216)),IF(ISNUMBER(G2216),G2216,F2216)=0),"",S2216/IF(ISNUMBER(G2216),G2216,F2216))</f>
        <v/>
      </c>
      <c r="U2216" s="46">
        <f>IF(ISNUMBER(T2216),ABS(T2216),"")</f>
        <v/>
      </c>
      <c r="V2216" s="46">
        <f>IF(OR($D2215&lt;&gt;"측정",$C2215&lt;&gt;$C2216,NOT(ISNUMBER(L2216)),NOT(ISNUMBER(L2215)),(IF(ISNUMBER(G2216),G2216,F2216)-IF(ISNUMBER(G2215),G2215,F2215))=0),"",(L2216-L2215)/(IF(ISNUMBER(G2216),G2216,F2216)-IF(ISNUMBER(G2215),G2215,F2215)))</f>
        <v/>
      </c>
      <c r="W2216" s="30">
        <f>IF(NOT(AND(ISNUMBER(N2216),ISNUMBER(P2216))),"",(P2216-N2216)*1440)</f>
        <v/>
      </c>
      <c r="X2216" s="28" t="n"/>
      <c r="Y2216" s="28" t="n"/>
      <c r="Z2216" s="28" t="n"/>
      <c r="AA2216" s="31" t="n"/>
      <c r="AB2216" s="31" t="n"/>
    </row>
    <row r="2217">
      <c r="A2217" s="25" t="inlineStr">
        <is>
          <t>S43</t>
        </is>
      </c>
      <c r="B2217" s="25" t="inlineStr">
        <is>
          <t>포천</t>
        </is>
      </c>
      <c r="C2217" s="25" t="inlineStr">
        <is>
          <t>S43-H남</t>
        </is>
      </c>
      <c r="D2217" s="25" t="inlineStr">
        <is>
          <t>측정</t>
        </is>
      </c>
      <c r="E2217" s="25" t="inlineStr">
        <is>
          <t>남</t>
        </is>
      </c>
      <c r="F2217" s="30" t="n">
        <v>1</v>
      </c>
      <c r="G2217" s="29" t="n"/>
      <c r="H2217" s="42" t="n"/>
      <c r="I2217" s="40" t="n"/>
      <c r="J2217" s="40" t="n"/>
      <c r="K2217" s="40" t="n"/>
      <c r="L2217" s="30">
        <f>IF(COUNT(I2217:K2217)=0,"",MEDIAN(I2217:K2217))</f>
        <v/>
      </c>
      <c r="M2217" s="25">
        <f>IF(COUNTIFS($C:$C,$C2217,$D:$D,"P0(전)",$L:$L,"&gt;0")&lt;&gt;1,"P0(전) 유효 1개 아님",IF(COUNTIFS($C:$C,$C2217,$D:$D,"P0(후)",$L:$L,"&gt;0")&lt;&gt;1,"P0(후) 유효 1개 아님",IF(NOT(AND(ISNUMBER(N2217),ISNUMBER(P2217),ISNUMBER(H2217))),"시각 결측",IF(P2217&lt;=N2217,"P0 시각 역전",IF(OR(H2217&lt;N2217,H2217&gt;P2217),"측정시각 구간 밖","OK")))))</f>
        <v/>
      </c>
      <c r="N2217" s="45">
        <f>IF(COUNTIFS($C:$C,$C2217,$D:$D,"P0(전)",$L:$L,"&gt;0")&lt;&gt;1,"",SUMIFS($H:$H,$C:$C,$C2217,$D:$D,"P0(전)"))</f>
        <v/>
      </c>
      <c r="O2217" s="30">
        <f>IF(COUNTIFS($C:$C,$C2217,$D:$D,"P0(전)",$L:$L,"&gt;0")&lt;&gt;1,"",SUMIFS($L:$L,$C:$C,$C2217,$D:$D,"P0(전)"))</f>
        <v/>
      </c>
      <c r="P2217" s="45">
        <f>IF(COUNTIFS($C:$C,$C2217,$D:$D,"P0(후)",$L:$L,"&gt;0")&lt;&gt;1,"",SUMIFS($H:$H,$C:$C,$C2217,$D:$D,"P0(후)"))</f>
        <v/>
      </c>
      <c r="Q2217" s="30">
        <f>IF(COUNTIFS($C:$C,$C2217,$D:$D,"P0(후)",$L:$L,"&gt;0")&lt;&gt;1,"",SUMIFS($L:$L,$C:$C,$C2217,$D:$D,"P0(후)"))</f>
        <v/>
      </c>
      <c r="R2217" s="30">
        <f>IF(M2217&lt;&gt;"OK","",O2217+(Q2217-O2217)*(H2217-N2217)/(P2217-N2217))</f>
        <v/>
      </c>
      <c r="S2217" s="30">
        <f>IF(OR(M2217&lt;&gt;"OK",NOT(ISNUMBER(L2217))),"",L2217-R2217)</f>
        <v/>
      </c>
      <c r="T2217" s="46">
        <f>IF(OR(NOT(ISNUMBER(S2217)),IF(ISNUMBER(G2217),G2217,F2217)=0),"",S2217/IF(ISNUMBER(G2217),G2217,F2217))</f>
        <v/>
      </c>
      <c r="U2217" s="46">
        <f>IF(ISNUMBER(T2217),ABS(T2217),"")</f>
        <v/>
      </c>
      <c r="V2217" s="46">
        <f>IF(OR($D2216&lt;&gt;"측정",$C2216&lt;&gt;$C2217,NOT(ISNUMBER(L2217)),NOT(ISNUMBER(L2216)),(IF(ISNUMBER(G2217),G2217,F2217)-IF(ISNUMBER(G2216),G2216,F2216))=0),"",(L2217-L2216)/(IF(ISNUMBER(G2217),G2217,F2217)-IF(ISNUMBER(G2216),G2216,F2216)))</f>
        <v/>
      </c>
      <c r="W2217" s="30">
        <f>IF(NOT(AND(ISNUMBER(N2217),ISNUMBER(P2217))),"",(P2217-N2217)*1440)</f>
        <v/>
      </c>
      <c r="X2217" s="28" t="n"/>
      <c r="Y2217" s="28" t="n"/>
      <c r="Z2217" s="28" t="n"/>
      <c r="AA2217" s="31" t="n"/>
      <c r="AB2217" s="31" t="n"/>
    </row>
    <row r="2218">
      <c r="A2218" s="25" t="inlineStr">
        <is>
          <t>S43</t>
        </is>
      </c>
      <c r="B2218" s="25" t="inlineStr">
        <is>
          <t>포천</t>
        </is>
      </c>
      <c r="C2218" s="25" t="inlineStr">
        <is>
          <t>S43-H남</t>
        </is>
      </c>
      <c r="D2218" s="25" t="inlineStr">
        <is>
          <t>측정</t>
        </is>
      </c>
      <c r="E2218" s="25" t="inlineStr">
        <is>
          <t>남</t>
        </is>
      </c>
      <c r="F2218" s="30" t="n">
        <v>2</v>
      </c>
      <c r="G2218" s="29" t="n"/>
      <c r="H2218" s="42" t="n"/>
      <c r="I2218" s="40" t="n"/>
      <c r="J2218" s="40" t="n"/>
      <c r="K2218" s="40" t="n"/>
      <c r="L2218" s="30">
        <f>IF(COUNT(I2218:K2218)=0,"",MEDIAN(I2218:K2218))</f>
        <v/>
      </c>
      <c r="M2218" s="25">
        <f>IF(COUNTIFS($C:$C,$C2218,$D:$D,"P0(전)",$L:$L,"&gt;0")&lt;&gt;1,"P0(전) 유효 1개 아님",IF(COUNTIFS($C:$C,$C2218,$D:$D,"P0(후)",$L:$L,"&gt;0")&lt;&gt;1,"P0(후) 유효 1개 아님",IF(NOT(AND(ISNUMBER(N2218),ISNUMBER(P2218),ISNUMBER(H2218))),"시각 결측",IF(P2218&lt;=N2218,"P0 시각 역전",IF(OR(H2218&lt;N2218,H2218&gt;P2218),"측정시각 구간 밖","OK")))))</f>
        <v/>
      </c>
      <c r="N2218" s="45">
        <f>IF(COUNTIFS($C:$C,$C2218,$D:$D,"P0(전)",$L:$L,"&gt;0")&lt;&gt;1,"",SUMIFS($H:$H,$C:$C,$C2218,$D:$D,"P0(전)"))</f>
        <v/>
      </c>
      <c r="O2218" s="30">
        <f>IF(COUNTIFS($C:$C,$C2218,$D:$D,"P0(전)",$L:$L,"&gt;0")&lt;&gt;1,"",SUMIFS($L:$L,$C:$C,$C2218,$D:$D,"P0(전)"))</f>
        <v/>
      </c>
      <c r="P2218" s="45">
        <f>IF(COUNTIFS($C:$C,$C2218,$D:$D,"P0(후)",$L:$L,"&gt;0")&lt;&gt;1,"",SUMIFS($H:$H,$C:$C,$C2218,$D:$D,"P0(후)"))</f>
        <v/>
      </c>
      <c r="Q2218" s="30">
        <f>IF(COUNTIFS($C:$C,$C2218,$D:$D,"P0(후)",$L:$L,"&gt;0")&lt;&gt;1,"",SUMIFS($L:$L,$C:$C,$C2218,$D:$D,"P0(후)"))</f>
        <v/>
      </c>
      <c r="R2218" s="30">
        <f>IF(M2218&lt;&gt;"OK","",O2218+(Q2218-O2218)*(H2218-N2218)/(P2218-N2218))</f>
        <v/>
      </c>
      <c r="S2218" s="30">
        <f>IF(OR(M2218&lt;&gt;"OK",NOT(ISNUMBER(L2218))),"",L2218-R2218)</f>
        <v/>
      </c>
      <c r="T2218" s="46">
        <f>IF(OR(NOT(ISNUMBER(S2218)),IF(ISNUMBER(G2218),G2218,F2218)=0),"",S2218/IF(ISNUMBER(G2218),G2218,F2218))</f>
        <v/>
      </c>
      <c r="U2218" s="46">
        <f>IF(ISNUMBER(T2218),ABS(T2218),"")</f>
        <v/>
      </c>
      <c r="V2218" s="46">
        <f>IF(OR($D2217&lt;&gt;"측정",$C2217&lt;&gt;$C2218,NOT(ISNUMBER(L2218)),NOT(ISNUMBER(L2217)),(IF(ISNUMBER(G2218),G2218,F2218)-IF(ISNUMBER(G2217),G2217,F2217))=0),"",(L2218-L2217)/(IF(ISNUMBER(G2218),G2218,F2218)-IF(ISNUMBER(G2217),G2217,F2217)))</f>
        <v/>
      </c>
      <c r="W2218" s="30">
        <f>IF(NOT(AND(ISNUMBER(N2218),ISNUMBER(P2218))),"",(P2218-N2218)*1440)</f>
        <v/>
      </c>
      <c r="X2218" s="28" t="n"/>
      <c r="Y2218" s="28" t="n"/>
      <c r="Z2218" s="28" t="n"/>
      <c r="AA2218" s="31" t="n"/>
      <c r="AB2218" s="31" t="n"/>
    </row>
    <row r="2219">
      <c r="A2219" s="25" t="inlineStr">
        <is>
          <t>S43</t>
        </is>
      </c>
      <c r="B2219" s="25" t="inlineStr">
        <is>
          <t>포천</t>
        </is>
      </c>
      <c r="C2219" s="25" t="inlineStr">
        <is>
          <t>S43-H남</t>
        </is>
      </c>
      <c r="D2219" s="25" t="inlineStr">
        <is>
          <t>측정</t>
        </is>
      </c>
      <c r="E2219" s="25" t="inlineStr">
        <is>
          <t>남</t>
        </is>
      </c>
      <c r="F2219" s="30" t="n">
        <v>3</v>
      </c>
      <c r="G2219" s="29" t="n"/>
      <c r="H2219" s="42" t="n"/>
      <c r="I2219" s="40" t="n"/>
      <c r="J2219" s="40" t="n"/>
      <c r="K2219" s="40" t="n"/>
      <c r="L2219" s="30">
        <f>IF(COUNT(I2219:K2219)=0,"",MEDIAN(I2219:K2219))</f>
        <v/>
      </c>
      <c r="M2219" s="25">
        <f>IF(COUNTIFS($C:$C,$C2219,$D:$D,"P0(전)",$L:$L,"&gt;0")&lt;&gt;1,"P0(전) 유효 1개 아님",IF(COUNTIFS($C:$C,$C2219,$D:$D,"P0(후)",$L:$L,"&gt;0")&lt;&gt;1,"P0(후) 유효 1개 아님",IF(NOT(AND(ISNUMBER(N2219),ISNUMBER(P2219),ISNUMBER(H2219))),"시각 결측",IF(P2219&lt;=N2219,"P0 시각 역전",IF(OR(H2219&lt;N2219,H2219&gt;P2219),"측정시각 구간 밖","OK")))))</f>
        <v/>
      </c>
      <c r="N2219" s="45">
        <f>IF(COUNTIFS($C:$C,$C2219,$D:$D,"P0(전)",$L:$L,"&gt;0")&lt;&gt;1,"",SUMIFS($H:$H,$C:$C,$C2219,$D:$D,"P0(전)"))</f>
        <v/>
      </c>
      <c r="O2219" s="30">
        <f>IF(COUNTIFS($C:$C,$C2219,$D:$D,"P0(전)",$L:$L,"&gt;0")&lt;&gt;1,"",SUMIFS($L:$L,$C:$C,$C2219,$D:$D,"P0(전)"))</f>
        <v/>
      </c>
      <c r="P2219" s="45">
        <f>IF(COUNTIFS($C:$C,$C2219,$D:$D,"P0(후)",$L:$L,"&gt;0")&lt;&gt;1,"",SUMIFS($H:$H,$C:$C,$C2219,$D:$D,"P0(후)"))</f>
        <v/>
      </c>
      <c r="Q2219" s="30">
        <f>IF(COUNTIFS($C:$C,$C2219,$D:$D,"P0(후)",$L:$L,"&gt;0")&lt;&gt;1,"",SUMIFS($L:$L,$C:$C,$C2219,$D:$D,"P0(후)"))</f>
        <v/>
      </c>
      <c r="R2219" s="30">
        <f>IF(M2219&lt;&gt;"OK","",O2219+(Q2219-O2219)*(H2219-N2219)/(P2219-N2219))</f>
        <v/>
      </c>
      <c r="S2219" s="30">
        <f>IF(OR(M2219&lt;&gt;"OK",NOT(ISNUMBER(L2219))),"",L2219-R2219)</f>
        <v/>
      </c>
      <c r="T2219" s="46">
        <f>IF(OR(NOT(ISNUMBER(S2219)),IF(ISNUMBER(G2219),G2219,F2219)=0),"",S2219/IF(ISNUMBER(G2219),G2219,F2219))</f>
        <v/>
      </c>
      <c r="U2219" s="46">
        <f>IF(ISNUMBER(T2219),ABS(T2219),"")</f>
        <v/>
      </c>
      <c r="V2219" s="46">
        <f>IF(OR($D2218&lt;&gt;"측정",$C2218&lt;&gt;$C2219,NOT(ISNUMBER(L2219)),NOT(ISNUMBER(L2218)),(IF(ISNUMBER(G2219),G2219,F2219)-IF(ISNUMBER(G2218),G2218,F2218))=0),"",(L2219-L2218)/(IF(ISNUMBER(G2219),G2219,F2219)-IF(ISNUMBER(G2218),G2218,F2218)))</f>
        <v/>
      </c>
      <c r="W2219" s="30">
        <f>IF(NOT(AND(ISNUMBER(N2219),ISNUMBER(P2219))),"",(P2219-N2219)*1440)</f>
        <v/>
      </c>
      <c r="X2219" s="28" t="n"/>
      <c r="Y2219" s="28" t="n"/>
      <c r="Z2219" s="28" t="n"/>
      <c r="AA2219" s="31" t="n"/>
      <c r="AB2219" s="31" t="n"/>
    </row>
    <row r="2220">
      <c r="A2220" s="25" t="inlineStr">
        <is>
          <t>S43</t>
        </is>
      </c>
      <c r="B2220" s="25" t="inlineStr">
        <is>
          <t>포천</t>
        </is>
      </c>
      <c r="C2220" s="25" t="inlineStr">
        <is>
          <t>S43-H남</t>
        </is>
      </c>
      <c r="D2220" s="25" t="inlineStr">
        <is>
          <t>측정</t>
        </is>
      </c>
      <c r="E2220" s="25" t="inlineStr">
        <is>
          <t>남</t>
        </is>
      </c>
      <c r="F2220" s="30" t="n">
        <v>4</v>
      </c>
      <c r="G2220" s="29" t="n"/>
      <c r="H2220" s="42" t="n"/>
      <c r="I2220" s="40" t="n"/>
      <c r="J2220" s="40" t="n"/>
      <c r="K2220" s="40" t="n"/>
      <c r="L2220" s="30">
        <f>IF(COUNT(I2220:K2220)=0,"",MEDIAN(I2220:K2220))</f>
        <v/>
      </c>
      <c r="M2220" s="25">
        <f>IF(COUNTIFS($C:$C,$C2220,$D:$D,"P0(전)",$L:$L,"&gt;0")&lt;&gt;1,"P0(전) 유효 1개 아님",IF(COUNTIFS($C:$C,$C2220,$D:$D,"P0(후)",$L:$L,"&gt;0")&lt;&gt;1,"P0(후) 유효 1개 아님",IF(NOT(AND(ISNUMBER(N2220),ISNUMBER(P2220),ISNUMBER(H2220))),"시각 결측",IF(P2220&lt;=N2220,"P0 시각 역전",IF(OR(H2220&lt;N2220,H2220&gt;P2220),"측정시각 구간 밖","OK")))))</f>
        <v/>
      </c>
      <c r="N2220" s="45">
        <f>IF(COUNTIFS($C:$C,$C2220,$D:$D,"P0(전)",$L:$L,"&gt;0")&lt;&gt;1,"",SUMIFS($H:$H,$C:$C,$C2220,$D:$D,"P0(전)"))</f>
        <v/>
      </c>
      <c r="O2220" s="30">
        <f>IF(COUNTIFS($C:$C,$C2220,$D:$D,"P0(전)",$L:$L,"&gt;0")&lt;&gt;1,"",SUMIFS($L:$L,$C:$C,$C2220,$D:$D,"P0(전)"))</f>
        <v/>
      </c>
      <c r="P2220" s="45">
        <f>IF(COUNTIFS($C:$C,$C2220,$D:$D,"P0(후)",$L:$L,"&gt;0")&lt;&gt;1,"",SUMIFS($H:$H,$C:$C,$C2220,$D:$D,"P0(후)"))</f>
        <v/>
      </c>
      <c r="Q2220" s="30">
        <f>IF(COUNTIFS($C:$C,$C2220,$D:$D,"P0(후)",$L:$L,"&gt;0")&lt;&gt;1,"",SUMIFS($L:$L,$C:$C,$C2220,$D:$D,"P0(후)"))</f>
        <v/>
      </c>
      <c r="R2220" s="30">
        <f>IF(M2220&lt;&gt;"OK","",O2220+(Q2220-O2220)*(H2220-N2220)/(P2220-N2220))</f>
        <v/>
      </c>
      <c r="S2220" s="30">
        <f>IF(OR(M2220&lt;&gt;"OK",NOT(ISNUMBER(L2220))),"",L2220-R2220)</f>
        <v/>
      </c>
      <c r="T2220" s="46">
        <f>IF(OR(NOT(ISNUMBER(S2220)),IF(ISNUMBER(G2220),G2220,F2220)=0),"",S2220/IF(ISNUMBER(G2220),G2220,F2220))</f>
        <v/>
      </c>
      <c r="U2220" s="46">
        <f>IF(ISNUMBER(T2220),ABS(T2220),"")</f>
        <v/>
      </c>
      <c r="V2220" s="46">
        <f>IF(OR($D2219&lt;&gt;"측정",$C2219&lt;&gt;$C2220,NOT(ISNUMBER(L2220)),NOT(ISNUMBER(L2219)),(IF(ISNUMBER(G2220),G2220,F2220)-IF(ISNUMBER(G2219),G2219,F2219))=0),"",(L2220-L2219)/(IF(ISNUMBER(G2220),G2220,F2220)-IF(ISNUMBER(G2219),G2219,F2219)))</f>
        <v/>
      </c>
      <c r="W2220" s="30">
        <f>IF(NOT(AND(ISNUMBER(N2220),ISNUMBER(P2220))),"",(P2220-N2220)*1440)</f>
        <v/>
      </c>
      <c r="X2220" s="28" t="n"/>
      <c r="Y2220" s="28" t="n"/>
      <c r="Z2220" s="28" t="n"/>
      <c r="AA2220" s="31" t="n"/>
      <c r="AB2220" s="31" t="n"/>
    </row>
    <row r="2221">
      <c r="A2221" s="25" t="inlineStr">
        <is>
          <t>S43</t>
        </is>
      </c>
      <c r="B2221" s="25" t="inlineStr">
        <is>
          <t>포천</t>
        </is>
      </c>
      <c r="C2221" s="25" t="inlineStr">
        <is>
          <t>S43-H남</t>
        </is>
      </c>
      <c r="D2221" s="25" t="inlineStr">
        <is>
          <t>측정</t>
        </is>
      </c>
      <c r="E2221" s="25" t="inlineStr">
        <is>
          <t>남</t>
        </is>
      </c>
      <c r="F2221" s="30" t="n">
        <v>5</v>
      </c>
      <c r="G2221" s="29" t="n"/>
      <c r="H2221" s="42" t="n"/>
      <c r="I2221" s="40" t="n"/>
      <c r="J2221" s="40" t="n"/>
      <c r="K2221" s="40" t="n"/>
      <c r="L2221" s="30">
        <f>IF(COUNT(I2221:K2221)=0,"",MEDIAN(I2221:K2221))</f>
        <v/>
      </c>
      <c r="M2221" s="25">
        <f>IF(COUNTIFS($C:$C,$C2221,$D:$D,"P0(전)",$L:$L,"&gt;0")&lt;&gt;1,"P0(전) 유효 1개 아님",IF(COUNTIFS($C:$C,$C2221,$D:$D,"P0(후)",$L:$L,"&gt;0")&lt;&gt;1,"P0(후) 유효 1개 아님",IF(NOT(AND(ISNUMBER(N2221),ISNUMBER(P2221),ISNUMBER(H2221))),"시각 결측",IF(P2221&lt;=N2221,"P0 시각 역전",IF(OR(H2221&lt;N2221,H2221&gt;P2221),"측정시각 구간 밖","OK")))))</f>
        <v/>
      </c>
      <c r="N2221" s="45">
        <f>IF(COUNTIFS($C:$C,$C2221,$D:$D,"P0(전)",$L:$L,"&gt;0")&lt;&gt;1,"",SUMIFS($H:$H,$C:$C,$C2221,$D:$D,"P0(전)"))</f>
        <v/>
      </c>
      <c r="O2221" s="30">
        <f>IF(COUNTIFS($C:$C,$C2221,$D:$D,"P0(전)",$L:$L,"&gt;0")&lt;&gt;1,"",SUMIFS($L:$L,$C:$C,$C2221,$D:$D,"P0(전)"))</f>
        <v/>
      </c>
      <c r="P2221" s="45">
        <f>IF(COUNTIFS($C:$C,$C2221,$D:$D,"P0(후)",$L:$L,"&gt;0")&lt;&gt;1,"",SUMIFS($H:$H,$C:$C,$C2221,$D:$D,"P0(후)"))</f>
        <v/>
      </c>
      <c r="Q2221" s="30">
        <f>IF(COUNTIFS($C:$C,$C2221,$D:$D,"P0(후)",$L:$L,"&gt;0")&lt;&gt;1,"",SUMIFS($L:$L,$C:$C,$C2221,$D:$D,"P0(후)"))</f>
        <v/>
      </c>
      <c r="R2221" s="30">
        <f>IF(M2221&lt;&gt;"OK","",O2221+(Q2221-O2221)*(H2221-N2221)/(P2221-N2221))</f>
        <v/>
      </c>
      <c r="S2221" s="30">
        <f>IF(OR(M2221&lt;&gt;"OK",NOT(ISNUMBER(L2221))),"",L2221-R2221)</f>
        <v/>
      </c>
      <c r="T2221" s="46">
        <f>IF(OR(NOT(ISNUMBER(S2221)),IF(ISNUMBER(G2221),G2221,F2221)=0),"",S2221/IF(ISNUMBER(G2221),G2221,F2221))</f>
        <v/>
      </c>
      <c r="U2221" s="46">
        <f>IF(ISNUMBER(T2221),ABS(T2221),"")</f>
        <v/>
      </c>
      <c r="V2221" s="46">
        <f>IF(OR($D2220&lt;&gt;"측정",$C2220&lt;&gt;$C2221,NOT(ISNUMBER(L2221)),NOT(ISNUMBER(L2220)),(IF(ISNUMBER(G2221),G2221,F2221)-IF(ISNUMBER(G2220),G2220,F2220))=0),"",(L2221-L2220)/(IF(ISNUMBER(G2221),G2221,F2221)-IF(ISNUMBER(G2220),G2220,F2220)))</f>
        <v/>
      </c>
      <c r="W2221" s="30">
        <f>IF(NOT(AND(ISNUMBER(N2221),ISNUMBER(P2221))),"",(P2221-N2221)*1440)</f>
        <v/>
      </c>
      <c r="X2221" s="28" t="n"/>
      <c r="Y2221" s="28" t="n"/>
      <c r="Z2221" s="28" t="n"/>
      <c r="AA2221" s="31" t="n"/>
      <c r="AB2221" s="31" t="n"/>
    </row>
    <row r="2222">
      <c r="A2222" s="25" t="inlineStr">
        <is>
          <t>S43</t>
        </is>
      </c>
      <c r="B2222" s="25" t="inlineStr">
        <is>
          <t>포천</t>
        </is>
      </c>
      <c r="C2222" s="25" t="inlineStr">
        <is>
          <t>S43-H남</t>
        </is>
      </c>
      <c r="D2222" s="25" t="inlineStr">
        <is>
          <t>측정</t>
        </is>
      </c>
      <c r="E2222" s="25" t="inlineStr">
        <is>
          <t>남</t>
        </is>
      </c>
      <c r="F2222" s="30" t="n">
        <v>6</v>
      </c>
      <c r="G2222" s="29" t="n"/>
      <c r="H2222" s="42" t="n"/>
      <c r="I2222" s="40" t="n"/>
      <c r="J2222" s="40" t="n"/>
      <c r="K2222" s="40" t="n"/>
      <c r="L2222" s="30">
        <f>IF(COUNT(I2222:K2222)=0,"",MEDIAN(I2222:K2222))</f>
        <v/>
      </c>
      <c r="M2222" s="25">
        <f>IF(COUNTIFS($C:$C,$C2222,$D:$D,"P0(전)",$L:$L,"&gt;0")&lt;&gt;1,"P0(전) 유효 1개 아님",IF(COUNTIFS($C:$C,$C2222,$D:$D,"P0(후)",$L:$L,"&gt;0")&lt;&gt;1,"P0(후) 유효 1개 아님",IF(NOT(AND(ISNUMBER(N2222),ISNUMBER(P2222),ISNUMBER(H2222))),"시각 결측",IF(P2222&lt;=N2222,"P0 시각 역전",IF(OR(H2222&lt;N2222,H2222&gt;P2222),"측정시각 구간 밖","OK")))))</f>
        <v/>
      </c>
      <c r="N2222" s="45">
        <f>IF(COUNTIFS($C:$C,$C2222,$D:$D,"P0(전)",$L:$L,"&gt;0")&lt;&gt;1,"",SUMIFS($H:$H,$C:$C,$C2222,$D:$D,"P0(전)"))</f>
        <v/>
      </c>
      <c r="O2222" s="30">
        <f>IF(COUNTIFS($C:$C,$C2222,$D:$D,"P0(전)",$L:$L,"&gt;0")&lt;&gt;1,"",SUMIFS($L:$L,$C:$C,$C2222,$D:$D,"P0(전)"))</f>
        <v/>
      </c>
      <c r="P2222" s="45">
        <f>IF(COUNTIFS($C:$C,$C2222,$D:$D,"P0(후)",$L:$L,"&gt;0")&lt;&gt;1,"",SUMIFS($H:$H,$C:$C,$C2222,$D:$D,"P0(후)"))</f>
        <v/>
      </c>
      <c r="Q2222" s="30">
        <f>IF(COUNTIFS($C:$C,$C2222,$D:$D,"P0(후)",$L:$L,"&gt;0")&lt;&gt;1,"",SUMIFS($L:$L,$C:$C,$C2222,$D:$D,"P0(후)"))</f>
        <v/>
      </c>
      <c r="R2222" s="30">
        <f>IF(M2222&lt;&gt;"OK","",O2222+(Q2222-O2222)*(H2222-N2222)/(P2222-N2222))</f>
        <v/>
      </c>
      <c r="S2222" s="30">
        <f>IF(OR(M2222&lt;&gt;"OK",NOT(ISNUMBER(L2222))),"",L2222-R2222)</f>
        <v/>
      </c>
      <c r="T2222" s="46">
        <f>IF(OR(NOT(ISNUMBER(S2222)),IF(ISNUMBER(G2222),G2222,F2222)=0),"",S2222/IF(ISNUMBER(G2222),G2222,F2222))</f>
        <v/>
      </c>
      <c r="U2222" s="46">
        <f>IF(ISNUMBER(T2222),ABS(T2222),"")</f>
        <v/>
      </c>
      <c r="V2222" s="46">
        <f>IF(OR($D2221&lt;&gt;"측정",$C2221&lt;&gt;$C2222,NOT(ISNUMBER(L2222)),NOT(ISNUMBER(L2221)),(IF(ISNUMBER(G2222),G2222,F2222)-IF(ISNUMBER(G2221),G2221,F2221))=0),"",(L2222-L2221)/(IF(ISNUMBER(G2222),G2222,F2222)-IF(ISNUMBER(G2221),G2221,F2221)))</f>
        <v/>
      </c>
      <c r="W2222" s="30">
        <f>IF(NOT(AND(ISNUMBER(N2222),ISNUMBER(P2222))),"",(P2222-N2222)*1440)</f>
        <v/>
      </c>
      <c r="X2222" s="28" t="n"/>
      <c r="Y2222" s="28" t="n"/>
      <c r="Z2222" s="28" t="n"/>
      <c r="AA2222" s="31" t="n"/>
      <c r="AB2222" s="31" t="n"/>
    </row>
    <row r="2223">
      <c r="A2223" s="25" t="inlineStr">
        <is>
          <t>S43</t>
        </is>
      </c>
      <c r="B2223" s="25" t="inlineStr">
        <is>
          <t>포천</t>
        </is>
      </c>
      <c r="C2223" s="25" t="inlineStr">
        <is>
          <t>S43-H남</t>
        </is>
      </c>
      <c r="D2223" s="25" t="inlineStr">
        <is>
          <t>측정</t>
        </is>
      </c>
      <c r="E2223" s="25" t="inlineStr">
        <is>
          <t>남</t>
        </is>
      </c>
      <c r="F2223" s="30" t="n">
        <v>7</v>
      </c>
      <c r="G2223" s="29" t="n"/>
      <c r="H2223" s="42" t="n"/>
      <c r="I2223" s="40" t="n"/>
      <c r="J2223" s="40" t="n"/>
      <c r="K2223" s="40" t="n"/>
      <c r="L2223" s="30">
        <f>IF(COUNT(I2223:K2223)=0,"",MEDIAN(I2223:K2223))</f>
        <v/>
      </c>
      <c r="M2223" s="25">
        <f>IF(COUNTIFS($C:$C,$C2223,$D:$D,"P0(전)",$L:$L,"&gt;0")&lt;&gt;1,"P0(전) 유효 1개 아님",IF(COUNTIFS($C:$C,$C2223,$D:$D,"P0(후)",$L:$L,"&gt;0")&lt;&gt;1,"P0(후) 유효 1개 아님",IF(NOT(AND(ISNUMBER(N2223),ISNUMBER(P2223),ISNUMBER(H2223))),"시각 결측",IF(P2223&lt;=N2223,"P0 시각 역전",IF(OR(H2223&lt;N2223,H2223&gt;P2223),"측정시각 구간 밖","OK")))))</f>
        <v/>
      </c>
      <c r="N2223" s="45">
        <f>IF(COUNTIFS($C:$C,$C2223,$D:$D,"P0(전)",$L:$L,"&gt;0")&lt;&gt;1,"",SUMIFS($H:$H,$C:$C,$C2223,$D:$D,"P0(전)"))</f>
        <v/>
      </c>
      <c r="O2223" s="30">
        <f>IF(COUNTIFS($C:$C,$C2223,$D:$D,"P0(전)",$L:$L,"&gt;0")&lt;&gt;1,"",SUMIFS($L:$L,$C:$C,$C2223,$D:$D,"P0(전)"))</f>
        <v/>
      </c>
      <c r="P2223" s="45">
        <f>IF(COUNTIFS($C:$C,$C2223,$D:$D,"P0(후)",$L:$L,"&gt;0")&lt;&gt;1,"",SUMIFS($H:$H,$C:$C,$C2223,$D:$D,"P0(후)"))</f>
        <v/>
      </c>
      <c r="Q2223" s="30">
        <f>IF(COUNTIFS($C:$C,$C2223,$D:$D,"P0(후)",$L:$L,"&gt;0")&lt;&gt;1,"",SUMIFS($L:$L,$C:$C,$C2223,$D:$D,"P0(후)"))</f>
        <v/>
      </c>
      <c r="R2223" s="30">
        <f>IF(M2223&lt;&gt;"OK","",O2223+(Q2223-O2223)*(H2223-N2223)/(P2223-N2223))</f>
        <v/>
      </c>
      <c r="S2223" s="30">
        <f>IF(OR(M2223&lt;&gt;"OK",NOT(ISNUMBER(L2223))),"",L2223-R2223)</f>
        <v/>
      </c>
      <c r="T2223" s="46">
        <f>IF(OR(NOT(ISNUMBER(S2223)),IF(ISNUMBER(G2223),G2223,F2223)=0),"",S2223/IF(ISNUMBER(G2223),G2223,F2223))</f>
        <v/>
      </c>
      <c r="U2223" s="46">
        <f>IF(ISNUMBER(T2223),ABS(T2223),"")</f>
        <v/>
      </c>
      <c r="V2223" s="46">
        <f>IF(OR($D2222&lt;&gt;"측정",$C2222&lt;&gt;$C2223,NOT(ISNUMBER(L2223)),NOT(ISNUMBER(L2222)),(IF(ISNUMBER(G2223),G2223,F2223)-IF(ISNUMBER(G2222),G2222,F2222))=0),"",(L2223-L2222)/(IF(ISNUMBER(G2223),G2223,F2223)-IF(ISNUMBER(G2222),G2222,F2222)))</f>
        <v/>
      </c>
      <c r="W2223" s="30">
        <f>IF(NOT(AND(ISNUMBER(N2223),ISNUMBER(P2223))),"",(P2223-N2223)*1440)</f>
        <v/>
      </c>
      <c r="X2223" s="28" t="n"/>
      <c r="Y2223" s="28" t="n"/>
      <c r="Z2223" s="28" t="n"/>
      <c r="AA2223" s="31" t="n"/>
      <c r="AB2223" s="31" t="n"/>
    </row>
    <row r="2224">
      <c r="A2224" s="25" t="inlineStr">
        <is>
          <t>S43</t>
        </is>
      </c>
      <c r="B2224" s="25" t="inlineStr">
        <is>
          <t>포천</t>
        </is>
      </c>
      <c r="C2224" s="25" t="inlineStr">
        <is>
          <t>S43-H남</t>
        </is>
      </c>
      <c r="D2224" s="25" t="inlineStr">
        <is>
          <t>측정</t>
        </is>
      </c>
      <c r="E2224" s="25" t="inlineStr">
        <is>
          <t>남</t>
        </is>
      </c>
      <c r="F2224" s="30" t="n">
        <v>8</v>
      </c>
      <c r="G2224" s="29" t="n"/>
      <c r="H2224" s="42" t="n"/>
      <c r="I2224" s="40" t="n"/>
      <c r="J2224" s="40" t="n"/>
      <c r="K2224" s="40" t="n"/>
      <c r="L2224" s="30">
        <f>IF(COUNT(I2224:K2224)=0,"",MEDIAN(I2224:K2224))</f>
        <v/>
      </c>
      <c r="M2224" s="25">
        <f>IF(COUNTIFS($C:$C,$C2224,$D:$D,"P0(전)",$L:$L,"&gt;0")&lt;&gt;1,"P0(전) 유효 1개 아님",IF(COUNTIFS($C:$C,$C2224,$D:$D,"P0(후)",$L:$L,"&gt;0")&lt;&gt;1,"P0(후) 유효 1개 아님",IF(NOT(AND(ISNUMBER(N2224),ISNUMBER(P2224),ISNUMBER(H2224))),"시각 결측",IF(P2224&lt;=N2224,"P0 시각 역전",IF(OR(H2224&lt;N2224,H2224&gt;P2224),"측정시각 구간 밖","OK")))))</f>
        <v/>
      </c>
      <c r="N2224" s="45">
        <f>IF(COUNTIFS($C:$C,$C2224,$D:$D,"P0(전)",$L:$L,"&gt;0")&lt;&gt;1,"",SUMIFS($H:$H,$C:$C,$C2224,$D:$D,"P0(전)"))</f>
        <v/>
      </c>
      <c r="O2224" s="30">
        <f>IF(COUNTIFS($C:$C,$C2224,$D:$D,"P0(전)",$L:$L,"&gt;0")&lt;&gt;1,"",SUMIFS($L:$L,$C:$C,$C2224,$D:$D,"P0(전)"))</f>
        <v/>
      </c>
      <c r="P2224" s="45">
        <f>IF(COUNTIFS($C:$C,$C2224,$D:$D,"P0(후)",$L:$L,"&gt;0")&lt;&gt;1,"",SUMIFS($H:$H,$C:$C,$C2224,$D:$D,"P0(후)"))</f>
        <v/>
      </c>
      <c r="Q2224" s="30">
        <f>IF(COUNTIFS($C:$C,$C2224,$D:$D,"P0(후)",$L:$L,"&gt;0")&lt;&gt;1,"",SUMIFS($L:$L,$C:$C,$C2224,$D:$D,"P0(후)"))</f>
        <v/>
      </c>
      <c r="R2224" s="30">
        <f>IF(M2224&lt;&gt;"OK","",O2224+(Q2224-O2224)*(H2224-N2224)/(P2224-N2224))</f>
        <v/>
      </c>
      <c r="S2224" s="30">
        <f>IF(OR(M2224&lt;&gt;"OK",NOT(ISNUMBER(L2224))),"",L2224-R2224)</f>
        <v/>
      </c>
      <c r="T2224" s="46">
        <f>IF(OR(NOT(ISNUMBER(S2224)),IF(ISNUMBER(G2224),G2224,F2224)=0),"",S2224/IF(ISNUMBER(G2224),G2224,F2224))</f>
        <v/>
      </c>
      <c r="U2224" s="46">
        <f>IF(ISNUMBER(T2224),ABS(T2224),"")</f>
        <v/>
      </c>
      <c r="V2224" s="46">
        <f>IF(OR($D2223&lt;&gt;"측정",$C2223&lt;&gt;$C2224,NOT(ISNUMBER(L2224)),NOT(ISNUMBER(L2223)),(IF(ISNUMBER(G2224),G2224,F2224)-IF(ISNUMBER(G2223),G2223,F2223))=0),"",(L2224-L2223)/(IF(ISNUMBER(G2224),G2224,F2224)-IF(ISNUMBER(G2223),G2223,F2223)))</f>
        <v/>
      </c>
      <c r="W2224" s="30">
        <f>IF(NOT(AND(ISNUMBER(N2224),ISNUMBER(P2224))),"",(P2224-N2224)*1440)</f>
        <v/>
      </c>
      <c r="X2224" s="28" t="n"/>
      <c r="Y2224" s="28" t="n"/>
      <c r="Z2224" s="28" t="n"/>
      <c r="AA2224" s="31" t="n"/>
      <c r="AB2224" s="31" t="n"/>
    </row>
    <row r="2225">
      <c r="A2225" s="25" t="inlineStr">
        <is>
          <t>S43</t>
        </is>
      </c>
      <c r="B2225" s="25" t="inlineStr">
        <is>
          <t>포천</t>
        </is>
      </c>
      <c r="C2225" s="25" t="inlineStr">
        <is>
          <t>S43-H남</t>
        </is>
      </c>
      <c r="D2225" s="25" t="inlineStr">
        <is>
          <t>측정</t>
        </is>
      </c>
      <c r="E2225" s="25" t="inlineStr">
        <is>
          <t>남</t>
        </is>
      </c>
      <c r="F2225" s="30" t="n">
        <v>9</v>
      </c>
      <c r="G2225" s="29" t="n"/>
      <c r="H2225" s="42" t="n"/>
      <c r="I2225" s="40" t="n"/>
      <c r="J2225" s="40" t="n"/>
      <c r="K2225" s="40" t="n"/>
      <c r="L2225" s="30">
        <f>IF(COUNT(I2225:K2225)=0,"",MEDIAN(I2225:K2225))</f>
        <v/>
      </c>
      <c r="M2225" s="25">
        <f>IF(COUNTIFS($C:$C,$C2225,$D:$D,"P0(전)",$L:$L,"&gt;0")&lt;&gt;1,"P0(전) 유효 1개 아님",IF(COUNTIFS($C:$C,$C2225,$D:$D,"P0(후)",$L:$L,"&gt;0")&lt;&gt;1,"P0(후) 유효 1개 아님",IF(NOT(AND(ISNUMBER(N2225),ISNUMBER(P2225),ISNUMBER(H2225))),"시각 결측",IF(P2225&lt;=N2225,"P0 시각 역전",IF(OR(H2225&lt;N2225,H2225&gt;P2225),"측정시각 구간 밖","OK")))))</f>
        <v/>
      </c>
      <c r="N2225" s="45">
        <f>IF(COUNTIFS($C:$C,$C2225,$D:$D,"P0(전)",$L:$L,"&gt;0")&lt;&gt;1,"",SUMIFS($H:$H,$C:$C,$C2225,$D:$D,"P0(전)"))</f>
        <v/>
      </c>
      <c r="O2225" s="30">
        <f>IF(COUNTIFS($C:$C,$C2225,$D:$D,"P0(전)",$L:$L,"&gt;0")&lt;&gt;1,"",SUMIFS($L:$L,$C:$C,$C2225,$D:$D,"P0(전)"))</f>
        <v/>
      </c>
      <c r="P2225" s="45">
        <f>IF(COUNTIFS($C:$C,$C2225,$D:$D,"P0(후)",$L:$L,"&gt;0")&lt;&gt;1,"",SUMIFS($H:$H,$C:$C,$C2225,$D:$D,"P0(후)"))</f>
        <v/>
      </c>
      <c r="Q2225" s="30">
        <f>IF(COUNTIFS($C:$C,$C2225,$D:$D,"P0(후)",$L:$L,"&gt;0")&lt;&gt;1,"",SUMIFS($L:$L,$C:$C,$C2225,$D:$D,"P0(후)"))</f>
        <v/>
      </c>
      <c r="R2225" s="30">
        <f>IF(M2225&lt;&gt;"OK","",O2225+(Q2225-O2225)*(H2225-N2225)/(P2225-N2225))</f>
        <v/>
      </c>
      <c r="S2225" s="30">
        <f>IF(OR(M2225&lt;&gt;"OK",NOT(ISNUMBER(L2225))),"",L2225-R2225)</f>
        <v/>
      </c>
      <c r="T2225" s="46">
        <f>IF(OR(NOT(ISNUMBER(S2225)),IF(ISNUMBER(G2225),G2225,F2225)=0),"",S2225/IF(ISNUMBER(G2225),G2225,F2225))</f>
        <v/>
      </c>
      <c r="U2225" s="46">
        <f>IF(ISNUMBER(T2225),ABS(T2225),"")</f>
        <v/>
      </c>
      <c r="V2225" s="46">
        <f>IF(OR($D2224&lt;&gt;"측정",$C2224&lt;&gt;$C2225,NOT(ISNUMBER(L2225)),NOT(ISNUMBER(L2224)),(IF(ISNUMBER(G2225),G2225,F2225)-IF(ISNUMBER(G2224),G2224,F2224))=0),"",(L2225-L2224)/(IF(ISNUMBER(G2225),G2225,F2225)-IF(ISNUMBER(G2224),G2224,F2224)))</f>
        <v/>
      </c>
      <c r="W2225" s="30">
        <f>IF(NOT(AND(ISNUMBER(N2225),ISNUMBER(P2225))),"",(P2225-N2225)*1440)</f>
        <v/>
      </c>
      <c r="X2225" s="28" t="n"/>
      <c r="Y2225" s="28" t="n"/>
      <c r="Z2225" s="28" t="n"/>
      <c r="AA2225" s="31" t="n"/>
      <c r="AB2225" s="31" t="n"/>
    </row>
    <row r="2226">
      <c r="A2226" s="25" t="inlineStr">
        <is>
          <t>S43</t>
        </is>
      </c>
      <c r="B2226" s="25" t="inlineStr">
        <is>
          <t>포천</t>
        </is>
      </c>
      <c r="C2226" s="25" t="inlineStr">
        <is>
          <t>S43-H남</t>
        </is>
      </c>
      <c r="D2226" s="25" t="inlineStr">
        <is>
          <t>측정</t>
        </is>
      </c>
      <c r="E2226" s="25" t="inlineStr">
        <is>
          <t>남</t>
        </is>
      </c>
      <c r="F2226" s="30" t="n">
        <v>10</v>
      </c>
      <c r="G2226" s="29" t="n"/>
      <c r="H2226" s="42" t="n"/>
      <c r="I2226" s="40" t="n"/>
      <c r="J2226" s="40" t="n"/>
      <c r="K2226" s="40" t="n"/>
      <c r="L2226" s="30">
        <f>IF(COUNT(I2226:K2226)=0,"",MEDIAN(I2226:K2226))</f>
        <v/>
      </c>
      <c r="M2226" s="25">
        <f>IF(COUNTIFS($C:$C,$C2226,$D:$D,"P0(전)",$L:$L,"&gt;0")&lt;&gt;1,"P0(전) 유효 1개 아님",IF(COUNTIFS($C:$C,$C2226,$D:$D,"P0(후)",$L:$L,"&gt;0")&lt;&gt;1,"P0(후) 유효 1개 아님",IF(NOT(AND(ISNUMBER(N2226),ISNUMBER(P2226),ISNUMBER(H2226))),"시각 결측",IF(P2226&lt;=N2226,"P0 시각 역전",IF(OR(H2226&lt;N2226,H2226&gt;P2226),"측정시각 구간 밖","OK")))))</f>
        <v/>
      </c>
      <c r="N2226" s="45">
        <f>IF(COUNTIFS($C:$C,$C2226,$D:$D,"P0(전)",$L:$L,"&gt;0")&lt;&gt;1,"",SUMIFS($H:$H,$C:$C,$C2226,$D:$D,"P0(전)"))</f>
        <v/>
      </c>
      <c r="O2226" s="30">
        <f>IF(COUNTIFS($C:$C,$C2226,$D:$D,"P0(전)",$L:$L,"&gt;0")&lt;&gt;1,"",SUMIFS($L:$L,$C:$C,$C2226,$D:$D,"P0(전)"))</f>
        <v/>
      </c>
      <c r="P2226" s="45">
        <f>IF(COUNTIFS($C:$C,$C2226,$D:$D,"P0(후)",$L:$L,"&gt;0")&lt;&gt;1,"",SUMIFS($H:$H,$C:$C,$C2226,$D:$D,"P0(후)"))</f>
        <v/>
      </c>
      <c r="Q2226" s="30">
        <f>IF(COUNTIFS($C:$C,$C2226,$D:$D,"P0(후)",$L:$L,"&gt;0")&lt;&gt;1,"",SUMIFS($L:$L,$C:$C,$C2226,$D:$D,"P0(후)"))</f>
        <v/>
      </c>
      <c r="R2226" s="30">
        <f>IF(M2226&lt;&gt;"OK","",O2226+(Q2226-O2226)*(H2226-N2226)/(P2226-N2226))</f>
        <v/>
      </c>
      <c r="S2226" s="30">
        <f>IF(OR(M2226&lt;&gt;"OK",NOT(ISNUMBER(L2226))),"",L2226-R2226)</f>
        <v/>
      </c>
      <c r="T2226" s="46">
        <f>IF(OR(NOT(ISNUMBER(S2226)),IF(ISNUMBER(G2226),G2226,F2226)=0),"",S2226/IF(ISNUMBER(G2226),G2226,F2226))</f>
        <v/>
      </c>
      <c r="U2226" s="46">
        <f>IF(ISNUMBER(T2226),ABS(T2226),"")</f>
        <v/>
      </c>
      <c r="V2226" s="46">
        <f>IF(OR($D2225&lt;&gt;"측정",$C2225&lt;&gt;$C2226,NOT(ISNUMBER(L2226)),NOT(ISNUMBER(L2225)),(IF(ISNUMBER(G2226),G2226,F2226)-IF(ISNUMBER(G2225),G2225,F2225))=0),"",(L2226-L2225)/(IF(ISNUMBER(G2226),G2226,F2226)-IF(ISNUMBER(G2225),G2225,F2225)))</f>
        <v/>
      </c>
      <c r="W2226" s="30">
        <f>IF(NOT(AND(ISNUMBER(N2226),ISNUMBER(P2226))),"",(P2226-N2226)*1440)</f>
        <v/>
      </c>
      <c r="X2226" s="28" t="n"/>
      <c r="Y2226" s="28" t="n"/>
      <c r="Z2226" s="28" t="n"/>
      <c r="AA2226" s="31" t="n"/>
      <c r="AB2226" s="31" t="n"/>
    </row>
    <row r="2227">
      <c r="A2227" s="43" t="inlineStr">
        <is>
          <t>S43</t>
        </is>
      </c>
      <c r="B2227" s="43" t="inlineStr">
        <is>
          <t>포천</t>
        </is>
      </c>
      <c r="C2227" s="43" t="inlineStr">
        <is>
          <t>S43-H남</t>
        </is>
      </c>
      <c r="D2227" s="43" t="inlineStr">
        <is>
          <t>P0(후)</t>
        </is>
      </c>
      <c r="E2227" s="43" t="inlineStr">
        <is>
          <t>남</t>
        </is>
      </c>
      <c r="F2227" s="44" t="n"/>
      <c r="G2227" s="29" t="n"/>
      <c r="H2227" s="42" t="n"/>
      <c r="I2227" s="40" t="n"/>
      <c r="J2227" s="40" t="n"/>
      <c r="K2227" s="40" t="n"/>
      <c r="L2227" s="30">
        <f>IF(COUNT(I2227:K2227)=0,"",MEDIAN(I2227:K2227))</f>
        <v/>
      </c>
      <c r="M2227" s="37" t="n"/>
      <c r="N2227" s="37" t="n"/>
      <c r="O2227" s="37" t="n"/>
      <c r="P2227" s="37" t="n"/>
      <c r="Q2227" s="37" t="n"/>
      <c r="R2227" s="37" t="n"/>
      <c r="S2227" s="37" t="n"/>
      <c r="T2227" s="37" t="n"/>
      <c r="U2227" s="37" t="n"/>
      <c r="V2227" s="37" t="n"/>
      <c r="W2227" s="37" t="n"/>
      <c r="X2227" s="28" t="n"/>
      <c r="Y2227" s="28" t="n"/>
      <c r="Z2227" s="28" t="n"/>
      <c r="AA2227" s="31" t="n"/>
      <c r="AB2227" s="31" t="n"/>
    </row>
    <row r="2228">
      <c r="A2228" s="43" t="inlineStr">
        <is>
          <t>S43</t>
        </is>
      </c>
      <c r="B2228" s="43" t="inlineStr">
        <is>
          <t>포천</t>
        </is>
      </c>
      <c r="C2228" s="43" t="inlineStr">
        <is>
          <t>S43-H북</t>
        </is>
      </c>
      <c r="D2228" s="43" t="inlineStr">
        <is>
          <t>P0(전)</t>
        </is>
      </c>
      <c r="E2228" s="43" t="inlineStr">
        <is>
          <t>북</t>
        </is>
      </c>
      <c r="F2228" s="44" t="n"/>
      <c r="G2228" s="29" t="n"/>
      <c r="H2228" s="42" t="n"/>
      <c r="I2228" s="40" t="n"/>
      <c r="J2228" s="40" t="n"/>
      <c r="K2228" s="40" t="n"/>
      <c r="L2228" s="30">
        <f>IF(COUNT(I2228:K2228)=0,"",MEDIAN(I2228:K2228))</f>
        <v/>
      </c>
      <c r="M2228" s="37" t="n"/>
      <c r="N2228" s="37" t="n"/>
      <c r="O2228" s="37" t="n"/>
      <c r="P2228" s="37" t="n"/>
      <c r="Q2228" s="37" t="n"/>
      <c r="R2228" s="37" t="n"/>
      <c r="S2228" s="37" t="n"/>
      <c r="T2228" s="37" t="n"/>
      <c r="U2228" s="37" t="n"/>
      <c r="V2228" s="37" t="n"/>
      <c r="W2228" s="37" t="n"/>
      <c r="X2228" s="28" t="n"/>
      <c r="Y2228" s="28" t="n"/>
      <c r="Z2228" s="28" t="n"/>
      <c r="AA2228" s="31" t="n"/>
      <c r="AB2228" s="31" t="n"/>
    </row>
    <row r="2229">
      <c r="A2229" s="25" t="inlineStr">
        <is>
          <t>S43</t>
        </is>
      </c>
      <c r="B2229" s="25" t="inlineStr">
        <is>
          <t>포천</t>
        </is>
      </c>
      <c r="C2229" s="25" t="inlineStr">
        <is>
          <t>S43-H북</t>
        </is>
      </c>
      <c r="D2229" s="25" t="inlineStr">
        <is>
          <t>측정</t>
        </is>
      </c>
      <c r="E2229" s="25" t="inlineStr">
        <is>
          <t>북</t>
        </is>
      </c>
      <c r="F2229" s="30" t="n">
        <v>0.5</v>
      </c>
      <c r="G2229" s="29" t="n"/>
      <c r="H2229" s="42" t="n"/>
      <c r="I2229" s="40" t="n"/>
      <c r="J2229" s="40" t="n"/>
      <c r="K2229" s="40" t="n"/>
      <c r="L2229" s="30">
        <f>IF(COUNT(I2229:K2229)=0,"",MEDIAN(I2229:K2229))</f>
        <v/>
      </c>
      <c r="M2229" s="25">
        <f>IF(COUNTIFS($C:$C,$C2229,$D:$D,"P0(전)",$L:$L,"&gt;0")&lt;&gt;1,"P0(전) 유효 1개 아님",IF(COUNTIFS($C:$C,$C2229,$D:$D,"P0(후)",$L:$L,"&gt;0")&lt;&gt;1,"P0(후) 유효 1개 아님",IF(NOT(AND(ISNUMBER(N2229),ISNUMBER(P2229),ISNUMBER(H2229))),"시각 결측",IF(P2229&lt;=N2229,"P0 시각 역전",IF(OR(H2229&lt;N2229,H2229&gt;P2229),"측정시각 구간 밖","OK")))))</f>
        <v/>
      </c>
      <c r="N2229" s="45">
        <f>IF(COUNTIFS($C:$C,$C2229,$D:$D,"P0(전)",$L:$L,"&gt;0")&lt;&gt;1,"",SUMIFS($H:$H,$C:$C,$C2229,$D:$D,"P0(전)"))</f>
        <v/>
      </c>
      <c r="O2229" s="30">
        <f>IF(COUNTIFS($C:$C,$C2229,$D:$D,"P0(전)",$L:$L,"&gt;0")&lt;&gt;1,"",SUMIFS($L:$L,$C:$C,$C2229,$D:$D,"P0(전)"))</f>
        <v/>
      </c>
      <c r="P2229" s="45">
        <f>IF(COUNTIFS($C:$C,$C2229,$D:$D,"P0(후)",$L:$L,"&gt;0")&lt;&gt;1,"",SUMIFS($H:$H,$C:$C,$C2229,$D:$D,"P0(후)"))</f>
        <v/>
      </c>
      <c r="Q2229" s="30">
        <f>IF(COUNTIFS($C:$C,$C2229,$D:$D,"P0(후)",$L:$L,"&gt;0")&lt;&gt;1,"",SUMIFS($L:$L,$C:$C,$C2229,$D:$D,"P0(후)"))</f>
        <v/>
      </c>
      <c r="R2229" s="30">
        <f>IF(M2229&lt;&gt;"OK","",O2229+(Q2229-O2229)*(H2229-N2229)/(P2229-N2229))</f>
        <v/>
      </c>
      <c r="S2229" s="30">
        <f>IF(OR(M2229&lt;&gt;"OK",NOT(ISNUMBER(L2229))),"",L2229-R2229)</f>
        <v/>
      </c>
      <c r="T2229" s="46">
        <f>IF(OR(NOT(ISNUMBER(S2229)),IF(ISNUMBER(G2229),G2229,F2229)=0),"",S2229/IF(ISNUMBER(G2229),G2229,F2229))</f>
        <v/>
      </c>
      <c r="U2229" s="46">
        <f>IF(ISNUMBER(T2229),ABS(T2229),"")</f>
        <v/>
      </c>
      <c r="V2229" s="46">
        <f>IF(OR($D2228&lt;&gt;"측정",$C2228&lt;&gt;$C2229,NOT(ISNUMBER(L2229)),NOT(ISNUMBER(L2228)),(IF(ISNUMBER(G2229),G2229,F2229)-IF(ISNUMBER(G2228),G2228,F2228))=0),"",(L2229-L2228)/(IF(ISNUMBER(G2229),G2229,F2229)-IF(ISNUMBER(G2228),G2228,F2228)))</f>
        <v/>
      </c>
      <c r="W2229" s="30">
        <f>IF(NOT(AND(ISNUMBER(N2229),ISNUMBER(P2229))),"",(P2229-N2229)*1440)</f>
        <v/>
      </c>
      <c r="X2229" s="28" t="n"/>
      <c r="Y2229" s="28" t="n"/>
      <c r="Z2229" s="28" t="n"/>
      <c r="AA2229" s="31" t="n"/>
      <c r="AB2229" s="31" t="n"/>
    </row>
    <row r="2230">
      <c r="A2230" s="25" t="inlineStr">
        <is>
          <t>S43</t>
        </is>
      </c>
      <c r="B2230" s="25" t="inlineStr">
        <is>
          <t>포천</t>
        </is>
      </c>
      <c r="C2230" s="25" t="inlineStr">
        <is>
          <t>S43-H북</t>
        </is>
      </c>
      <c r="D2230" s="25" t="inlineStr">
        <is>
          <t>측정</t>
        </is>
      </c>
      <c r="E2230" s="25" t="inlineStr">
        <is>
          <t>북</t>
        </is>
      </c>
      <c r="F2230" s="30" t="n">
        <v>1</v>
      </c>
      <c r="G2230" s="29" t="n"/>
      <c r="H2230" s="42" t="n"/>
      <c r="I2230" s="40" t="n"/>
      <c r="J2230" s="40" t="n"/>
      <c r="K2230" s="40" t="n"/>
      <c r="L2230" s="30">
        <f>IF(COUNT(I2230:K2230)=0,"",MEDIAN(I2230:K2230))</f>
        <v/>
      </c>
      <c r="M2230" s="25">
        <f>IF(COUNTIFS($C:$C,$C2230,$D:$D,"P0(전)",$L:$L,"&gt;0")&lt;&gt;1,"P0(전) 유효 1개 아님",IF(COUNTIFS($C:$C,$C2230,$D:$D,"P0(후)",$L:$L,"&gt;0")&lt;&gt;1,"P0(후) 유효 1개 아님",IF(NOT(AND(ISNUMBER(N2230),ISNUMBER(P2230),ISNUMBER(H2230))),"시각 결측",IF(P2230&lt;=N2230,"P0 시각 역전",IF(OR(H2230&lt;N2230,H2230&gt;P2230),"측정시각 구간 밖","OK")))))</f>
        <v/>
      </c>
      <c r="N2230" s="45">
        <f>IF(COUNTIFS($C:$C,$C2230,$D:$D,"P0(전)",$L:$L,"&gt;0")&lt;&gt;1,"",SUMIFS($H:$H,$C:$C,$C2230,$D:$D,"P0(전)"))</f>
        <v/>
      </c>
      <c r="O2230" s="30">
        <f>IF(COUNTIFS($C:$C,$C2230,$D:$D,"P0(전)",$L:$L,"&gt;0")&lt;&gt;1,"",SUMIFS($L:$L,$C:$C,$C2230,$D:$D,"P0(전)"))</f>
        <v/>
      </c>
      <c r="P2230" s="45">
        <f>IF(COUNTIFS($C:$C,$C2230,$D:$D,"P0(후)",$L:$L,"&gt;0")&lt;&gt;1,"",SUMIFS($H:$H,$C:$C,$C2230,$D:$D,"P0(후)"))</f>
        <v/>
      </c>
      <c r="Q2230" s="30">
        <f>IF(COUNTIFS($C:$C,$C2230,$D:$D,"P0(후)",$L:$L,"&gt;0")&lt;&gt;1,"",SUMIFS($L:$L,$C:$C,$C2230,$D:$D,"P0(후)"))</f>
        <v/>
      </c>
      <c r="R2230" s="30">
        <f>IF(M2230&lt;&gt;"OK","",O2230+(Q2230-O2230)*(H2230-N2230)/(P2230-N2230))</f>
        <v/>
      </c>
      <c r="S2230" s="30">
        <f>IF(OR(M2230&lt;&gt;"OK",NOT(ISNUMBER(L2230))),"",L2230-R2230)</f>
        <v/>
      </c>
      <c r="T2230" s="46">
        <f>IF(OR(NOT(ISNUMBER(S2230)),IF(ISNUMBER(G2230),G2230,F2230)=0),"",S2230/IF(ISNUMBER(G2230),G2230,F2230))</f>
        <v/>
      </c>
      <c r="U2230" s="46">
        <f>IF(ISNUMBER(T2230),ABS(T2230),"")</f>
        <v/>
      </c>
      <c r="V2230" s="46">
        <f>IF(OR($D2229&lt;&gt;"측정",$C2229&lt;&gt;$C2230,NOT(ISNUMBER(L2230)),NOT(ISNUMBER(L2229)),(IF(ISNUMBER(G2230),G2230,F2230)-IF(ISNUMBER(G2229),G2229,F2229))=0),"",(L2230-L2229)/(IF(ISNUMBER(G2230),G2230,F2230)-IF(ISNUMBER(G2229),G2229,F2229)))</f>
        <v/>
      </c>
      <c r="W2230" s="30">
        <f>IF(NOT(AND(ISNUMBER(N2230),ISNUMBER(P2230))),"",(P2230-N2230)*1440)</f>
        <v/>
      </c>
      <c r="X2230" s="28" t="n"/>
      <c r="Y2230" s="28" t="n"/>
      <c r="Z2230" s="28" t="n"/>
      <c r="AA2230" s="31" t="n"/>
      <c r="AB2230" s="31" t="n"/>
    </row>
    <row r="2231">
      <c r="A2231" s="25" t="inlineStr">
        <is>
          <t>S43</t>
        </is>
      </c>
      <c r="B2231" s="25" t="inlineStr">
        <is>
          <t>포천</t>
        </is>
      </c>
      <c r="C2231" s="25" t="inlineStr">
        <is>
          <t>S43-H북</t>
        </is>
      </c>
      <c r="D2231" s="25" t="inlineStr">
        <is>
          <t>측정</t>
        </is>
      </c>
      <c r="E2231" s="25" t="inlineStr">
        <is>
          <t>북</t>
        </is>
      </c>
      <c r="F2231" s="30" t="n">
        <v>2</v>
      </c>
      <c r="G2231" s="29" t="n"/>
      <c r="H2231" s="42" t="n"/>
      <c r="I2231" s="40" t="n"/>
      <c r="J2231" s="40" t="n"/>
      <c r="K2231" s="40" t="n"/>
      <c r="L2231" s="30">
        <f>IF(COUNT(I2231:K2231)=0,"",MEDIAN(I2231:K2231))</f>
        <v/>
      </c>
      <c r="M2231" s="25">
        <f>IF(COUNTIFS($C:$C,$C2231,$D:$D,"P0(전)",$L:$L,"&gt;0")&lt;&gt;1,"P0(전) 유효 1개 아님",IF(COUNTIFS($C:$C,$C2231,$D:$D,"P0(후)",$L:$L,"&gt;0")&lt;&gt;1,"P0(후) 유효 1개 아님",IF(NOT(AND(ISNUMBER(N2231),ISNUMBER(P2231),ISNUMBER(H2231))),"시각 결측",IF(P2231&lt;=N2231,"P0 시각 역전",IF(OR(H2231&lt;N2231,H2231&gt;P2231),"측정시각 구간 밖","OK")))))</f>
        <v/>
      </c>
      <c r="N2231" s="45">
        <f>IF(COUNTIFS($C:$C,$C2231,$D:$D,"P0(전)",$L:$L,"&gt;0")&lt;&gt;1,"",SUMIFS($H:$H,$C:$C,$C2231,$D:$D,"P0(전)"))</f>
        <v/>
      </c>
      <c r="O2231" s="30">
        <f>IF(COUNTIFS($C:$C,$C2231,$D:$D,"P0(전)",$L:$L,"&gt;0")&lt;&gt;1,"",SUMIFS($L:$L,$C:$C,$C2231,$D:$D,"P0(전)"))</f>
        <v/>
      </c>
      <c r="P2231" s="45">
        <f>IF(COUNTIFS($C:$C,$C2231,$D:$D,"P0(후)",$L:$L,"&gt;0")&lt;&gt;1,"",SUMIFS($H:$H,$C:$C,$C2231,$D:$D,"P0(후)"))</f>
        <v/>
      </c>
      <c r="Q2231" s="30">
        <f>IF(COUNTIFS($C:$C,$C2231,$D:$D,"P0(후)",$L:$L,"&gt;0")&lt;&gt;1,"",SUMIFS($L:$L,$C:$C,$C2231,$D:$D,"P0(후)"))</f>
        <v/>
      </c>
      <c r="R2231" s="30">
        <f>IF(M2231&lt;&gt;"OK","",O2231+(Q2231-O2231)*(H2231-N2231)/(P2231-N2231))</f>
        <v/>
      </c>
      <c r="S2231" s="30">
        <f>IF(OR(M2231&lt;&gt;"OK",NOT(ISNUMBER(L2231))),"",L2231-R2231)</f>
        <v/>
      </c>
      <c r="T2231" s="46">
        <f>IF(OR(NOT(ISNUMBER(S2231)),IF(ISNUMBER(G2231),G2231,F2231)=0),"",S2231/IF(ISNUMBER(G2231),G2231,F2231))</f>
        <v/>
      </c>
      <c r="U2231" s="46">
        <f>IF(ISNUMBER(T2231),ABS(T2231),"")</f>
        <v/>
      </c>
      <c r="V2231" s="46">
        <f>IF(OR($D2230&lt;&gt;"측정",$C2230&lt;&gt;$C2231,NOT(ISNUMBER(L2231)),NOT(ISNUMBER(L2230)),(IF(ISNUMBER(G2231),G2231,F2231)-IF(ISNUMBER(G2230),G2230,F2230))=0),"",(L2231-L2230)/(IF(ISNUMBER(G2231),G2231,F2231)-IF(ISNUMBER(G2230),G2230,F2230)))</f>
        <v/>
      </c>
      <c r="W2231" s="30">
        <f>IF(NOT(AND(ISNUMBER(N2231),ISNUMBER(P2231))),"",(P2231-N2231)*1440)</f>
        <v/>
      </c>
      <c r="X2231" s="28" t="n"/>
      <c r="Y2231" s="28" t="n"/>
      <c r="Z2231" s="28" t="n"/>
      <c r="AA2231" s="31" t="n"/>
      <c r="AB2231" s="31" t="n"/>
    </row>
    <row r="2232">
      <c r="A2232" s="25" t="inlineStr">
        <is>
          <t>S43</t>
        </is>
      </c>
      <c r="B2232" s="25" t="inlineStr">
        <is>
          <t>포천</t>
        </is>
      </c>
      <c r="C2232" s="25" t="inlineStr">
        <is>
          <t>S43-H북</t>
        </is>
      </c>
      <c r="D2232" s="25" t="inlineStr">
        <is>
          <t>측정</t>
        </is>
      </c>
      <c r="E2232" s="25" t="inlineStr">
        <is>
          <t>북</t>
        </is>
      </c>
      <c r="F2232" s="30" t="n">
        <v>3</v>
      </c>
      <c r="G2232" s="29" t="n"/>
      <c r="H2232" s="42" t="n"/>
      <c r="I2232" s="40" t="n"/>
      <c r="J2232" s="40" t="n"/>
      <c r="K2232" s="40" t="n"/>
      <c r="L2232" s="30">
        <f>IF(COUNT(I2232:K2232)=0,"",MEDIAN(I2232:K2232))</f>
        <v/>
      </c>
      <c r="M2232" s="25">
        <f>IF(COUNTIFS($C:$C,$C2232,$D:$D,"P0(전)",$L:$L,"&gt;0")&lt;&gt;1,"P0(전) 유효 1개 아님",IF(COUNTIFS($C:$C,$C2232,$D:$D,"P0(후)",$L:$L,"&gt;0")&lt;&gt;1,"P0(후) 유효 1개 아님",IF(NOT(AND(ISNUMBER(N2232),ISNUMBER(P2232),ISNUMBER(H2232))),"시각 결측",IF(P2232&lt;=N2232,"P0 시각 역전",IF(OR(H2232&lt;N2232,H2232&gt;P2232),"측정시각 구간 밖","OK")))))</f>
        <v/>
      </c>
      <c r="N2232" s="45">
        <f>IF(COUNTIFS($C:$C,$C2232,$D:$D,"P0(전)",$L:$L,"&gt;0")&lt;&gt;1,"",SUMIFS($H:$H,$C:$C,$C2232,$D:$D,"P0(전)"))</f>
        <v/>
      </c>
      <c r="O2232" s="30">
        <f>IF(COUNTIFS($C:$C,$C2232,$D:$D,"P0(전)",$L:$L,"&gt;0")&lt;&gt;1,"",SUMIFS($L:$L,$C:$C,$C2232,$D:$D,"P0(전)"))</f>
        <v/>
      </c>
      <c r="P2232" s="45">
        <f>IF(COUNTIFS($C:$C,$C2232,$D:$D,"P0(후)",$L:$L,"&gt;0")&lt;&gt;1,"",SUMIFS($H:$H,$C:$C,$C2232,$D:$D,"P0(후)"))</f>
        <v/>
      </c>
      <c r="Q2232" s="30">
        <f>IF(COUNTIFS($C:$C,$C2232,$D:$D,"P0(후)",$L:$L,"&gt;0")&lt;&gt;1,"",SUMIFS($L:$L,$C:$C,$C2232,$D:$D,"P0(후)"))</f>
        <v/>
      </c>
      <c r="R2232" s="30">
        <f>IF(M2232&lt;&gt;"OK","",O2232+(Q2232-O2232)*(H2232-N2232)/(P2232-N2232))</f>
        <v/>
      </c>
      <c r="S2232" s="30">
        <f>IF(OR(M2232&lt;&gt;"OK",NOT(ISNUMBER(L2232))),"",L2232-R2232)</f>
        <v/>
      </c>
      <c r="T2232" s="46">
        <f>IF(OR(NOT(ISNUMBER(S2232)),IF(ISNUMBER(G2232),G2232,F2232)=0),"",S2232/IF(ISNUMBER(G2232),G2232,F2232))</f>
        <v/>
      </c>
      <c r="U2232" s="46">
        <f>IF(ISNUMBER(T2232),ABS(T2232),"")</f>
        <v/>
      </c>
      <c r="V2232" s="46">
        <f>IF(OR($D2231&lt;&gt;"측정",$C2231&lt;&gt;$C2232,NOT(ISNUMBER(L2232)),NOT(ISNUMBER(L2231)),(IF(ISNUMBER(G2232),G2232,F2232)-IF(ISNUMBER(G2231),G2231,F2231))=0),"",(L2232-L2231)/(IF(ISNUMBER(G2232),G2232,F2232)-IF(ISNUMBER(G2231),G2231,F2231)))</f>
        <v/>
      </c>
      <c r="W2232" s="30">
        <f>IF(NOT(AND(ISNUMBER(N2232),ISNUMBER(P2232))),"",(P2232-N2232)*1440)</f>
        <v/>
      </c>
      <c r="X2232" s="28" t="n"/>
      <c r="Y2232" s="28" t="n"/>
      <c r="Z2232" s="28" t="n"/>
      <c r="AA2232" s="31" t="n"/>
      <c r="AB2232" s="31" t="n"/>
    </row>
    <row r="2233">
      <c r="A2233" s="25" t="inlineStr">
        <is>
          <t>S43</t>
        </is>
      </c>
      <c r="B2233" s="25" t="inlineStr">
        <is>
          <t>포천</t>
        </is>
      </c>
      <c r="C2233" s="25" t="inlineStr">
        <is>
          <t>S43-H북</t>
        </is>
      </c>
      <c r="D2233" s="25" t="inlineStr">
        <is>
          <t>측정</t>
        </is>
      </c>
      <c r="E2233" s="25" t="inlineStr">
        <is>
          <t>북</t>
        </is>
      </c>
      <c r="F2233" s="30" t="n">
        <v>4</v>
      </c>
      <c r="G2233" s="29" t="n"/>
      <c r="H2233" s="42" t="n"/>
      <c r="I2233" s="40" t="n"/>
      <c r="J2233" s="40" t="n"/>
      <c r="K2233" s="40" t="n"/>
      <c r="L2233" s="30">
        <f>IF(COUNT(I2233:K2233)=0,"",MEDIAN(I2233:K2233))</f>
        <v/>
      </c>
      <c r="M2233" s="25">
        <f>IF(COUNTIFS($C:$C,$C2233,$D:$D,"P0(전)",$L:$L,"&gt;0")&lt;&gt;1,"P0(전) 유효 1개 아님",IF(COUNTIFS($C:$C,$C2233,$D:$D,"P0(후)",$L:$L,"&gt;0")&lt;&gt;1,"P0(후) 유효 1개 아님",IF(NOT(AND(ISNUMBER(N2233),ISNUMBER(P2233),ISNUMBER(H2233))),"시각 결측",IF(P2233&lt;=N2233,"P0 시각 역전",IF(OR(H2233&lt;N2233,H2233&gt;P2233),"측정시각 구간 밖","OK")))))</f>
        <v/>
      </c>
      <c r="N2233" s="45">
        <f>IF(COUNTIFS($C:$C,$C2233,$D:$D,"P0(전)",$L:$L,"&gt;0")&lt;&gt;1,"",SUMIFS($H:$H,$C:$C,$C2233,$D:$D,"P0(전)"))</f>
        <v/>
      </c>
      <c r="O2233" s="30">
        <f>IF(COUNTIFS($C:$C,$C2233,$D:$D,"P0(전)",$L:$L,"&gt;0")&lt;&gt;1,"",SUMIFS($L:$L,$C:$C,$C2233,$D:$D,"P0(전)"))</f>
        <v/>
      </c>
      <c r="P2233" s="45">
        <f>IF(COUNTIFS($C:$C,$C2233,$D:$D,"P0(후)",$L:$L,"&gt;0")&lt;&gt;1,"",SUMIFS($H:$H,$C:$C,$C2233,$D:$D,"P0(후)"))</f>
        <v/>
      </c>
      <c r="Q2233" s="30">
        <f>IF(COUNTIFS($C:$C,$C2233,$D:$D,"P0(후)",$L:$L,"&gt;0")&lt;&gt;1,"",SUMIFS($L:$L,$C:$C,$C2233,$D:$D,"P0(후)"))</f>
        <v/>
      </c>
      <c r="R2233" s="30">
        <f>IF(M2233&lt;&gt;"OK","",O2233+(Q2233-O2233)*(H2233-N2233)/(P2233-N2233))</f>
        <v/>
      </c>
      <c r="S2233" s="30">
        <f>IF(OR(M2233&lt;&gt;"OK",NOT(ISNUMBER(L2233))),"",L2233-R2233)</f>
        <v/>
      </c>
      <c r="T2233" s="46">
        <f>IF(OR(NOT(ISNUMBER(S2233)),IF(ISNUMBER(G2233),G2233,F2233)=0),"",S2233/IF(ISNUMBER(G2233),G2233,F2233))</f>
        <v/>
      </c>
      <c r="U2233" s="46">
        <f>IF(ISNUMBER(T2233),ABS(T2233),"")</f>
        <v/>
      </c>
      <c r="V2233" s="46">
        <f>IF(OR($D2232&lt;&gt;"측정",$C2232&lt;&gt;$C2233,NOT(ISNUMBER(L2233)),NOT(ISNUMBER(L2232)),(IF(ISNUMBER(G2233),G2233,F2233)-IF(ISNUMBER(G2232),G2232,F2232))=0),"",(L2233-L2232)/(IF(ISNUMBER(G2233),G2233,F2233)-IF(ISNUMBER(G2232),G2232,F2232)))</f>
        <v/>
      </c>
      <c r="W2233" s="30">
        <f>IF(NOT(AND(ISNUMBER(N2233),ISNUMBER(P2233))),"",(P2233-N2233)*1440)</f>
        <v/>
      </c>
      <c r="X2233" s="28" t="n"/>
      <c r="Y2233" s="28" t="n"/>
      <c r="Z2233" s="28" t="n"/>
      <c r="AA2233" s="31" t="n"/>
      <c r="AB2233" s="31" t="n"/>
    </row>
    <row r="2234">
      <c r="A2234" s="25" t="inlineStr">
        <is>
          <t>S43</t>
        </is>
      </c>
      <c r="B2234" s="25" t="inlineStr">
        <is>
          <t>포천</t>
        </is>
      </c>
      <c r="C2234" s="25" t="inlineStr">
        <is>
          <t>S43-H북</t>
        </is>
      </c>
      <c r="D2234" s="25" t="inlineStr">
        <is>
          <t>측정</t>
        </is>
      </c>
      <c r="E2234" s="25" t="inlineStr">
        <is>
          <t>북</t>
        </is>
      </c>
      <c r="F2234" s="30" t="n">
        <v>5</v>
      </c>
      <c r="G2234" s="29" t="n"/>
      <c r="H2234" s="42" t="n"/>
      <c r="I2234" s="40" t="n"/>
      <c r="J2234" s="40" t="n"/>
      <c r="K2234" s="40" t="n"/>
      <c r="L2234" s="30">
        <f>IF(COUNT(I2234:K2234)=0,"",MEDIAN(I2234:K2234))</f>
        <v/>
      </c>
      <c r="M2234" s="25">
        <f>IF(COUNTIFS($C:$C,$C2234,$D:$D,"P0(전)",$L:$L,"&gt;0")&lt;&gt;1,"P0(전) 유효 1개 아님",IF(COUNTIFS($C:$C,$C2234,$D:$D,"P0(후)",$L:$L,"&gt;0")&lt;&gt;1,"P0(후) 유효 1개 아님",IF(NOT(AND(ISNUMBER(N2234),ISNUMBER(P2234),ISNUMBER(H2234))),"시각 결측",IF(P2234&lt;=N2234,"P0 시각 역전",IF(OR(H2234&lt;N2234,H2234&gt;P2234),"측정시각 구간 밖","OK")))))</f>
        <v/>
      </c>
      <c r="N2234" s="45">
        <f>IF(COUNTIFS($C:$C,$C2234,$D:$D,"P0(전)",$L:$L,"&gt;0")&lt;&gt;1,"",SUMIFS($H:$H,$C:$C,$C2234,$D:$D,"P0(전)"))</f>
        <v/>
      </c>
      <c r="O2234" s="30">
        <f>IF(COUNTIFS($C:$C,$C2234,$D:$D,"P0(전)",$L:$L,"&gt;0")&lt;&gt;1,"",SUMIFS($L:$L,$C:$C,$C2234,$D:$D,"P0(전)"))</f>
        <v/>
      </c>
      <c r="P2234" s="45">
        <f>IF(COUNTIFS($C:$C,$C2234,$D:$D,"P0(후)",$L:$L,"&gt;0")&lt;&gt;1,"",SUMIFS($H:$H,$C:$C,$C2234,$D:$D,"P0(후)"))</f>
        <v/>
      </c>
      <c r="Q2234" s="30">
        <f>IF(COUNTIFS($C:$C,$C2234,$D:$D,"P0(후)",$L:$L,"&gt;0")&lt;&gt;1,"",SUMIFS($L:$L,$C:$C,$C2234,$D:$D,"P0(후)"))</f>
        <v/>
      </c>
      <c r="R2234" s="30">
        <f>IF(M2234&lt;&gt;"OK","",O2234+(Q2234-O2234)*(H2234-N2234)/(P2234-N2234))</f>
        <v/>
      </c>
      <c r="S2234" s="30">
        <f>IF(OR(M2234&lt;&gt;"OK",NOT(ISNUMBER(L2234))),"",L2234-R2234)</f>
        <v/>
      </c>
      <c r="T2234" s="46">
        <f>IF(OR(NOT(ISNUMBER(S2234)),IF(ISNUMBER(G2234),G2234,F2234)=0),"",S2234/IF(ISNUMBER(G2234),G2234,F2234))</f>
        <v/>
      </c>
      <c r="U2234" s="46">
        <f>IF(ISNUMBER(T2234),ABS(T2234),"")</f>
        <v/>
      </c>
      <c r="V2234" s="46">
        <f>IF(OR($D2233&lt;&gt;"측정",$C2233&lt;&gt;$C2234,NOT(ISNUMBER(L2234)),NOT(ISNUMBER(L2233)),(IF(ISNUMBER(G2234),G2234,F2234)-IF(ISNUMBER(G2233),G2233,F2233))=0),"",(L2234-L2233)/(IF(ISNUMBER(G2234),G2234,F2234)-IF(ISNUMBER(G2233),G2233,F2233)))</f>
        <v/>
      </c>
      <c r="W2234" s="30">
        <f>IF(NOT(AND(ISNUMBER(N2234),ISNUMBER(P2234))),"",(P2234-N2234)*1440)</f>
        <v/>
      </c>
      <c r="X2234" s="28" t="n"/>
      <c r="Y2234" s="28" t="n"/>
      <c r="Z2234" s="28" t="n"/>
      <c r="AA2234" s="31" t="n"/>
      <c r="AB2234" s="31" t="n"/>
    </row>
    <row r="2235">
      <c r="A2235" s="25" t="inlineStr">
        <is>
          <t>S43</t>
        </is>
      </c>
      <c r="B2235" s="25" t="inlineStr">
        <is>
          <t>포천</t>
        </is>
      </c>
      <c r="C2235" s="25" t="inlineStr">
        <is>
          <t>S43-H북</t>
        </is>
      </c>
      <c r="D2235" s="25" t="inlineStr">
        <is>
          <t>측정</t>
        </is>
      </c>
      <c r="E2235" s="25" t="inlineStr">
        <is>
          <t>북</t>
        </is>
      </c>
      <c r="F2235" s="30" t="n">
        <v>6</v>
      </c>
      <c r="G2235" s="29" t="n"/>
      <c r="H2235" s="42" t="n"/>
      <c r="I2235" s="40" t="n"/>
      <c r="J2235" s="40" t="n"/>
      <c r="K2235" s="40" t="n"/>
      <c r="L2235" s="30">
        <f>IF(COUNT(I2235:K2235)=0,"",MEDIAN(I2235:K2235))</f>
        <v/>
      </c>
      <c r="M2235" s="25">
        <f>IF(COUNTIFS($C:$C,$C2235,$D:$D,"P0(전)",$L:$L,"&gt;0")&lt;&gt;1,"P0(전) 유효 1개 아님",IF(COUNTIFS($C:$C,$C2235,$D:$D,"P0(후)",$L:$L,"&gt;0")&lt;&gt;1,"P0(후) 유효 1개 아님",IF(NOT(AND(ISNUMBER(N2235),ISNUMBER(P2235),ISNUMBER(H2235))),"시각 결측",IF(P2235&lt;=N2235,"P0 시각 역전",IF(OR(H2235&lt;N2235,H2235&gt;P2235),"측정시각 구간 밖","OK")))))</f>
        <v/>
      </c>
      <c r="N2235" s="45">
        <f>IF(COUNTIFS($C:$C,$C2235,$D:$D,"P0(전)",$L:$L,"&gt;0")&lt;&gt;1,"",SUMIFS($H:$H,$C:$C,$C2235,$D:$D,"P0(전)"))</f>
        <v/>
      </c>
      <c r="O2235" s="30">
        <f>IF(COUNTIFS($C:$C,$C2235,$D:$D,"P0(전)",$L:$L,"&gt;0")&lt;&gt;1,"",SUMIFS($L:$L,$C:$C,$C2235,$D:$D,"P0(전)"))</f>
        <v/>
      </c>
      <c r="P2235" s="45">
        <f>IF(COUNTIFS($C:$C,$C2235,$D:$D,"P0(후)",$L:$L,"&gt;0")&lt;&gt;1,"",SUMIFS($H:$H,$C:$C,$C2235,$D:$D,"P0(후)"))</f>
        <v/>
      </c>
      <c r="Q2235" s="30">
        <f>IF(COUNTIFS($C:$C,$C2235,$D:$D,"P0(후)",$L:$L,"&gt;0")&lt;&gt;1,"",SUMIFS($L:$L,$C:$C,$C2235,$D:$D,"P0(후)"))</f>
        <v/>
      </c>
      <c r="R2235" s="30">
        <f>IF(M2235&lt;&gt;"OK","",O2235+(Q2235-O2235)*(H2235-N2235)/(P2235-N2235))</f>
        <v/>
      </c>
      <c r="S2235" s="30">
        <f>IF(OR(M2235&lt;&gt;"OK",NOT(ISNUMBER(L2235))),"",L2235-R2235)</f>
        <v/>
      </c>
      <c r="T2235" s="46">
        <f>IF(OR(NOT(ISNUMBER(S2235)),IF(ISNUMBER(G2235),G2235,F2235)=0),"",S2235/IF(ISNUMBER(G2235),G2235,F2235))</f>
        <v/>
      </c>
      <c r="U2235" s="46">
        <f>IF(ISNUMBER(T2235),ABS(T2235),"")</f>
        <v/>
      </c>
      <c r="V2235" s="46">
        <f>IF(OR($D2234&lt;&gt;"측정",$C2234&lt;&gt;$C2235,NOT(ISNUMBER(L2235)),NOT(ISNUMBER(L2234)),(IF(ISNUMBER(G2235),G2235,F2235)-IF(ISNUMBER(G2234),G2234,F2234))=0),"",(L2235-L2234)/(IF(ISNUMBER(G2235),G2235,F2235)-IF(ISNUMBER(G2234),G2234,F2234)))</f>
        <v/>
      </c>
      <c r="W2235" s="30">
        <f>IF(NOT(AND(ISNUMBER(N2235),ISNUMBER(P2235))),"",(P2235-N2235)*1440)</f>
        <v/>
      </c>
      <c r="X2235" s="28" t="n"/>
      <c r="Y2235" s="28" t="n"/>
      <c r="Z2235" s="28" t="n"/>
      <c r="AA2235" s="31" t="n"/>
      <c r="AB2235" s="31" t="n"/>
    </row>
    <row r="2236">
      <c r="A2236" s="25" t="inlineStr">
        <is>
          <t>S43</t>
        </is>
      </c>
      <c r="B2236" s="25" t="inlineStr">
        <is>
          <t>포천</t>
        </is>
      </c>
      <c r="C2236" s="25" t="inlineStr">
        <is>
          <t>S43-H북</t>
        </is>
      </c>
      <c r="D2236" s="25" t="inlineStr">
        <is>
          <t>측정</t>
        </is>
      </c>
      <c r="E2236" s="25" t="inlineStr">
        <is>
          <t>북</t>
        </is>
      </c>
      <c r="F2236" s="30" t="n">
        <v>7</v>
      </c>
      <c r="G2236" s="29" t="n"/>
      <c r="H2236" s="42" t="n"/>
      <c r="I2236" s="40" t="n"/>
      <c r="J2236" s="40" t="n"/>
      <c r="K2236" s="40" t="n"/>
      <c r="L2236" s="30">
        <f>IF(COUNT(I2236:K2236)=0,"",MEDIAN(I2236:K2236))</f>
        <v/>
      </c>
      <c r="M2236" s="25">
        <f>IF(COUNTIFS($C:$C,$C2236,$D:$D,"P0(전)",$L:$L,"&gt;0")&lt;&gt;1,"P0(전) 유효 1개 아님",IF(COUNTIFS($C:$C,$C2236,$D:$D,"P0(후)",$L:$L,"&gt;0")&lt;&gt;1,"P0(후) 유효 1개 아님",IF(NOT(AND(ISNUMBER(N2236),ISNUMBER(P2236),ISNUMBER(H2236))),"시각 결측",IF(P2236&lt;=N2236,"P0 시각 역전",IF(OR(H2236&lt;N2236,H2236&gt;P2236),"측정시각 구간 밖","OK")))))</f>
        <v/>
      </c>
      <c r="N2236" s="45">
        <f>IF(COUNTIFS($C:$C,$C2236,$D:$D,"P0(전)",$L:$L,"&gt;0")&lt;&gt;1,"",SUMIFS($H:$H,$C:$C,$C2236,$D:$D,"P0(전)"))</f>
        <v/>
      </c>
      <c r="O2236" s="30">
        <f>IF(COUNTIFS($C:$C,$C2236,$D:$D,"P0(전)",$L:$L,"&gt;0")&lt;&gt;1,"",SUMIFS($L:$L,$C:$C,$C2236,$D:$D,"P0(전)"))</f>
        <v/>
      </c>
      <c r="P2236" s="45">
        <f>IF(COUNTIFS($C:$C,$C2236,$D:$D,"P0(후)",$L:$L,"&gt;0")&lt;&gt;1,"",SUMIFS($H:$H,$C:$C,$C2236,$D:$D,"P0(후)"))</f>
        <v/>
      </c>
      <c r="Q2236" s="30">
        <f>IF(COUNTIFS($C:$C,$C2236,$D:$D,"P0(후)",$L:$L,"&gt;0")&lt;&gt;1,"",SUMIFS($L:$L,$C:$C,$C2236,$D:$D,"P0(후)"))</f>
        <v/>
      </c>
      <c r="R2236" s="30">
        <f>IF(M2236&lt;&gt;"OK","",O2236+(Q2236-O2236)*(H2236-N2236)/(P2236-N2236))</f>
        <v/>
      </c>
      <c r="S2236" s="30">
        <f>IF(OR(M2236&lt;&gt;"OK",NOT(ISNUMBER(L2236))),"",L2236-R2236)</f>
        <v/>
      </c>
      <c r="T2236" s="46">
        <f>IF(OR(NOT(ISNUMBER(S2236)),IF(ISNUMBER(G2236),G2236,F2236)=0),"",S2236/IF(ISNUMBER(G2236),G2236,F2236))</f>
        <v/>
      </c>
      <c r="U2236" s="46">
        <f>IF(ISNUMBER(T2236),ABS(T2236),"")</f>
        <v/>
      </c>
      <c r="V2236" s="46">
        <f>IF(OR($D2235&lt;&gt;"측정",$C2235&lt;&gt;$C2236,NOT(ISNUMBER(L2236)),NOT(ISNUMBER(L2235)),(IF(ISNUMBER(G2236),G2236,F2236)-IF(ISNUMBER(G2235),G2235,F2235))=0),"",(L2236-L2235)/(IF(ISNUMBER(G2236),G2236,F2236)-IF(ISNUMBER(G2235),G2235,F2235)))</f>
        <v/>
      </c>
      <c r="W2236" s="30">
        <f>IF(NOT(AND(ISNUMBER(N2236),ISNUMBER(P2236))),"",(P2236-N2236)*1440)</f>
        <v/>
      </c>
      <c r="X2236" s="28" t="n"/>
      <c r="Y2236" s="28" t="n"/>
      <c r="Z2236" s="28" t="n"/>
      <c r="AA2236" s="31" t="n"/>
      <c r="AB2236" s="31" t="n"/>
    </row>
    <row r="2237">
      <c r="A2237" s="25" t="inlineStr">
        <is>
          <t>S43</t>
        </is>
      </c>
      <c r="B2237" s="25" t="inlineStr">
        <is>
          <t>포천</t>
        </is>
      </c>
      <c r="C2237" s="25" t="inlineStr">
        <is>
          <t>S43-H북</t>
        </is>
      </c>
      <c r="D2237" s="25" t="inlineStr">
        <is>
          <t>측정</t>
        </is>
      </c>
      <c r="E2237" s="25" t="inlineStr">
        <is>
          <t>북</t>
        </is>
      </c>
      <c r="F2237" s="30" t="n">
        <v>8</v>
      </c>
      <c r="G2237" s="29" t="n"/>
      <c r="H2237" s="42" t="n"/>
      <c r="I2237" s="40" t="n"/>
      <c r="J2237" s="40" t="n"/>
      <c r="K2237" s="40" t="n"/>
      <c r="L2237" s="30">
        <f>IF(COUNT(I2237:K2237)=0,"",MEDIAN(I2237:K2237))</f>
        <v/>
      </c>
      <c r="M2237" s="25">
        <f>IF(COUNTIFS($C:$C,$C2237,$D:$D,"P0(전)",$L:$L,"&gt;0")&lt;&gt;1,"P0(전) 유효 1개 아님",IF(COUNTIFS($C:$C,$C2237,$D:$D,"P0(후)",$L:$L,"&gt;0")&lt;&gt;1,"P0(후) 유효 1개 아님",IF(NOT(AND(ISNUMBER(N2237),ISNUMBER(P2237),ISNUMBER(H2237))),"시각 결측",IF(P2237&lt;=N2237,"P0 시각 역전",IF(OR(H2237&lt;N2237,H2237&gt;P2237),"측정시각 구간 밖","OK")))))</f>
        <v/>
      </c>
      <c r="N2237" s="45">
        <f>IF(COUNTIFS($C:$C,$C2237,$D:$D,"P0(전)",$L:$L,"&gt;0")&lt;&gt;1,"",SUMIFS($H:$H,$C:$C,$C2237,$D:$D,"P0(전)"))</f>
        <v/>
      </c>
      <c r="O2237" s="30">
        <f>IF(COUNTIFS($C:$C,$C2237,$D:$D,"P0(전)",$L:$L,"&gt;0")&lt;&gt;1,"",SUMIFS($L:$L,$C:$C,$C2237,$D:$D,"P0(전)"))</f>
        <v/>
      </c>
      <c r="P2237" s="45">
        <f>IF(COUNTIFS($C:$C,$C2237,$D:$D,"P0(후)",$L:$L,"&gt;0")&lt;&gt;1,"",SUMIFS($H:$H,$C:$C,$C2237,$D:$D,"P0(후)"))</f>
        <v/>
      </c>
      <c r="Q2237" s="30">
        <f>IF(COUNTIFS($C:$C,$C2237,$D:$D,"P0(후)",$L:$L,"&gt;0")&lt;&gt;1,"",SUMIFS($L:$L,$C:$C,$C2237,$D:$D,"P0(후)"))</f>
        <v/>
      </c>
      <c r="R2237" s="30">
        <f>IF(M2237&lt;&gt;"OK","",O2237+(Q2237-O2237)*(H2237-N2237)/(P2237-N2237))</f>
        <v/>
      </c>
      <c r="S2237" s="30">
        <f>IF(OR(M2237&lt;&gt;"OK",NOT(ISNUMBER(L2237))),"",L2237-R2237)</f>
        <v/>
      </c>
      <c r="T2237" s="46">
        <f>IF(OR(NOT(ISNUMBER(S2237)),IF(ISNUMBER(G2237),G2237,F2237)=0),"",S2237/IF(ISNUMBER(G2237),G2237,F2237))</f>
        <v/>
      </c>
      <c r="U2237" s="46">
        <f>IF(ISNUMBER(T2237),ABS(T2237),"")</f>
        <v/>
      </c>
      <c r="V2237" s="46">
        <f>IF(OR($D2236&lt;&gt;"측정",$C2236&lt;&gt;$C2237,NOT(ISNUMBER(L2237)),NOT(ISNUMBER(L2236)),(IF(ISNUMBER(G2237),G2237,F2237)-IF(ISNUMBER(G2236),G2236,F2236))=0),"",(L2237-L2236)/(IF(ISNUMBER(G2237),G2237,F2237)-IF(ISNUMBER(G2236),G2236,F2236)))</f>
        <v/>
      </c>
      <c r="W2237" s="30">
        <f>IF(NOT(AND(ISNUMBER(N2237),ISNUMBER(P2237))),"",(P2237-N2237)*1440)</f>
        <v/>
      </c>
      <c r="X2237" s="28" t="n"/>
      <c r="Y2237" s="28" t="n"/>
      <c r="Z2237" s="28" t="n"/>
      <c r="AA2237" s="31" t="n"/>
      <c r="AB2237" s="31" t="n"/>
    </row>
    <row r="2238">
      <c r="A2238" s="25" t="inlineStr">
        <is>
          <t>S43</t>
        </is>
      </c>
      <c r="B2238" s="25" t="inlineStr">
        <is>
          <t>포천</t>
        </is>
      </c>
      <c r="C2238" s="25" t="inlineStr">
        <is>
          <t>S43-H북</t>
        </is>
      </c>
      <c r="D2238" s="25" t="inlineStr">
        <is>
          <t>측정</t>
        </is>
      </c>
      <c r="E2238" s="25" t="inlineStr">
        <is>
          <t>북</t>
        </is>
      </c>
      <c r="F2238" s="30" t="n">
        <v>9</v>
      </c>
      <c r="G2238" s="29" t="n"/>
      <c r="H2238" s="42" t="n"/>
      <c r="I2238" s="40" t="n"/>
      <c r="J2238" s="40" t="n"/>
      <c r="K2238" s="40" t="n"/>
      <c r="L2238" s="30">
        <f>IF(COUNT(I2238:K2238)=0,"",MEDIAN(I2238:K2238))</f>
        <v/>
      </c>
      <c r="M2238" s="25">
        <f>IF(COUNTIFS($C:$C,$C2238,$D:$D,"P0(전)",$L:$L,"&gt;0")&lt;&gt;1,"P0(전) 유효 1개 아님",IF(COUNTIFS($C:$C,$C2238,$D:$D,"P0(후)",$L:$L,"&gt;0")&lt;&gt;1,"P0(후) 유효 1개 아님",IF(NOT(AND(ISNUMBER(N2238),ISNUMBER(P2238),ISNUMBER(H2238))),"시각 결측",IF(P2238&lt;=N2238,"P0 시각 역전",IF(OR(H2238&lt;N2238,H2238&gt;P2238),"측정시각 구간 밖","OK")))))</f>
        <v/>
      </c>
      <c r="N2238" s="45">
        <f>IF(COUNTIFS($C:$C,$C2238,$D:$D,"P0(전)",$L:$L,"&gt;0")&lt;&gt;1,"",SUMIFS($H:$H,$C:$C,$C2238,$D:$D,"P0(전)"))</f>
        <v/>
      </c>
      <c r="O2238" s="30">
        <f>IF(COUNTIFS($C:$C,$C2238,$D:$D,"P0(전)",$L:$L,"&gt;0")&lt;&gt;1,"",SUMIFS($L:$L,$C:$C,$C2238,$D:$D,"P0(전)"))</f>
        <v/>
      </c>
      <c r="P2238" s="45">
        <f>IF(COUNTIFS($C:$C,$C2238,$D:$D,"P0(후)",$L:$L,"&gt;0")&lt;&gt;1,"",SUMIFS($H:$H,$C:$C,$C2238,$D:$D,"P0(후)"))</f>
        <v/>
      </c>
      <c r="Q2238" s="30">
        <f>IF(COUNTIFS($C:$C,$C2238,$D:$D,"P0(후)",$L:$L,"&gt;0")&lt;&gt;1,"",SUMIFS($L:$L,$C:$C,$C2238,$D:$D,"P0(후)"))</f>
        <v/>
      </c>
      <c r="R2238" s="30">
        <f>IF(M2238&lt;&gt;"OK","",O2238+(Q2238-O2238)*(H2238-N2238)/(P2238-N2238))</f>
        <v/>
      </c>
      <c r="S2238" s="30">
        <f>IF(OR(M2238&lt;&gt;"OK",NOT(ISNUMBER(L2238))),"",L2238-R2238)</f>
        <v/>
      </c>
      <c r="T2238" s="46">
        <f>IF(OR(NOT(ISNUMBER(S2238)),IF(ISNUMBER(G2238),G2238,F2238)=0),"",S2238/IF(ISNUMBER(G2238),G2238,F2238))</f>
        <v/>
      </c>
      <c r="U2238" s="46">
        <f>IF(ISNUMBER(T2238),ABS(T2238),"")</f>
        <v/>
      </c>
      <c r="V2238" s="46">
        <f>IF(OR($D2237&lt;&gt;"측정",$C2237&lt;&gt;$C2238,NOT(ISNUMBER(L2238)),NOT(ISNUMBER(L2237)),(IF(ISNUMBER(G2238),G2238,F2238)-IF(ISNUMBER(G2237),G2237,F2237))=0),"",(L2238-L2237)/(IF(ISNUMBER(G2238),G2238,F2238)-IF(ISNUMBER(G2237),G2237,F2237)))</f>
        <v/>
      </c>
      <c r="W2238" s="30">
        <f>IF(NOT(AND(ISNUMBER(N2238),ISNUMBER(P2238))),"",(P2238-N2238)*1440)</f>
        <v/>
      </c>
      <c r="X2238" s="28" t="n"/>
      <c r="Y2238" s="28" t="n"/>
      <c r="Z2238" s="28" t="n"/>
      <c r="AA2238" s="31" t="n"/>
      <c r="AB2238" s="31" t="n"/>
    </row>
    <row r="2239">
      <c r="A2239" s="25" t="inlineStr">
        <is>
          <t>S43</t>
        </is>
      </c>
      <c r="B2239" s="25" t="inlineStr">
        <is>
          <t>포천</t>
        </is>
      </c>
      <c r="C2239" s="25" t="inlineStr">
        <is>
          <t>S43-H북</t>
        </is>
      </c>
      <c r="D2239" s="25" t="inlineStr">
        <is>
          <t>측정</t>
        </is>
      </c>
      <c r="E2239" s="25" t="inlineStr">
        <is>
          <t>북</t>
        </is>
      </c>
      <c r="F2239" s="30" t="n">
        <v>10</v>
      </c>
      <c r="G2239" s="29" t="n"/>
      <c r="H2239" s="42" t="n"/>
      <c r="I2239" s="40" t="n"/>
      <c r="J2239" s="40" t="n"/>
      <c r="K2239" s="40" t="n"/>
      <c r="L2239" s="30">
        <f>IF(COUNT(I2239:K2239)=0,"",MEDIAN(I2239:K2239))</f>
        <v/>
      </c>
      <c r="M2239" s="25">
        <f>IF(COUNTIFS($C:$C,$C2239,$D:$D,"P0(전)",$L:$L,"&gt;0")&lt;&gt;1,"P0(전) 유효 1개 아님",IF(COUNTIFS($C:$C,$C2239,$D:$D,"P0(후)",$L:$L,"&gt;0")&lt;&gt;1,"P0(후) 유효 1개 아님",IF(NOT(AND(ISNUMBER(N2239),ISNUMBER(P2239),ISNUMBER(H2239))),"시각 결측",IF(P2239&lt;=N2239,"P0 시각 역전",IF(OR(H2239&lt;N2239,H2239&gt;P2239),"측정시각 구간 밖","OK")))))</f>
        <v/>
      </c>
      <c r="N2239" s="45">
        <f>IF(COUNTIFS($C:$C,$C2239,$D:$D,"P0(전)",$L:$L,"&gt;0")&lt;&gt;1,"",SUMIFS($H:$H,$C:$C,$C2239,$D:$D,"P0(전)"))</f>
        <v/>
      </c>
      <c r="O2239" s="30">
        <f>IF(COUNTIFS($C:$C,$C2239,$D:$D,"P0(전)",$L:$L,"&gt;0")&lt;&gt;1,"",SUMIFS($L:$L,$C:$C,$C2239,$D:$D,"P0(전)"))</f>
        <v/>
      </c>
      <c r="P2239" s="45">
        <f>IF(COUNTIFS($C:$C,$C2239,$D:$D,"P0(후)",$L:$L,"&gt;0")&lt;&gt;1,"",SUMIFS($H:$H,$C:$C,$C2239,$D:$D,"P0(후)"))</f>
        <v/>
      </c>
      <c r="Q2239" s="30">
        <f>IF(COUNTIFS($C:$C,$C2239,$D:$D,"P0(후)",$L:$L,"&gt;0")&lt;&gt;1,"",SUMIFS($L:$L,$C:$C,$C2239,$D:$D,"P0(후)"))</f>
        <v/>
      </c>
      <c r="R2239" s="30">
        <f>IF(M2239&lt;&gt;"OK","",O2239+(Q2239-O2239)*(H2239-N2239)/(P2239-N2239))</f>
        <v/>
      </c>
      <c r="S2239" s="30">
        <f>IF(OR(M2239&lt;&gt;"OK",NOT(ISNUMBER(L2239))),"",L2239-R2239)</f>
        <v/>
      </c>
      <c r="T2239" s="46">
        <f>IF(OR(NOT(ISNUMBER(S2239)),IF(ISNUMBER(G2239),G2239,F2239)=0),"",S2239/IF(ISNUMBER(G2239),G2239,F2239))</f>
        <v/>
      </c>
      <c r="U2239" s="46">
        <f>IF(ISNUMBER(T2239),ABS(T2239),"")</f>
        <v/>
      </c>
      <c r="V2239" s="46">
        <f>IF(OR($D2238&lt;&gt;"측정",$C2238&lt;&gt;$C2239,NOT(ISNUMBER(L2239)),NOT(ISNUMBER(L2238)),(IF(ISNUMBER(G2239),G2239,F2239)-IF(ISNUMBER(G2238),G2238,F2238))=0),"",(L2239-L2238)/(IF(ISNUMBER(G2239),G2239,F2239)-IF(ISNUMBER(G2238),G2238,F2238)))</f>
        <v/>
      </c>
      <c r="W2239" s="30">
        <f>IF(NOT(AND(ISNUMBER(N2239),ISNUMBER(P2239))),"",(P2239-N2239)*1440)</f>
        <v/>
      </c>
      <c r="X2239" s="28" t="n"/>
      <c r="Y2239" s="28" t="n"/>
      <c r="Z2239" s="28" t="n"/>
      <c r="AA2239" s="31" t="n"/>
      <c r="AB2239" s="31" t="n"/>
    </row>
    <row r="2240">
      <c r="A2240" s="43" t="inlineStr">
        <is>
          <t>S43</t>
        </is>
      </c>
      <c r="B2240" s="43" t="inlineStr">
        <is>
          <t>포천</t>
        </is>
      </c>
      <c r="C2240" s="43" t="inlineStr">
        <is>
          <t>S43-H북</t>
        </is>
      </c>
      <c r="D2240" s="43" t="inlineStr">
        <is>
          <t>P0(후)</t>
        </is>
      </c>
      <c r="E2240" s="43" t="inlineStr">
        <is>
          <t>북</t>
        </is>
      </c>
      <c r="F2240" s="44" t="n"/>
      <c r="G2240" s="29" t="n"/>
      <c r="H2240" s="42" t="n"/>
      <c r="I2240" s="40" t="n"/>
      <c r="J2240" s="40" t="n"/>
      <c r="K2240" s="40" t="n"/>
      <c r="L2240" s="30">
        <f>IF(COUNT(I2240:K2240)=0,"",MEDIAN(I2240:K2240))</f>
        <v/>
      </c>
      <c r="M2240" s="37" t="n"/>
      <c r="N2240" s="37" t="n"/>
      <c r="O2240" s="37" t="n"/>
      <c r="P2240" s="37" t="n"/>
      <c r="Q2240" s="37" t="n"/>
      <c r="R2240" s="37" t="n"/>
      <c r="S2240" s="37" t="n"/>
      <c r="T2240" s="37" t="n"/>
      <c r="U2240" s="37" t="n"/>
      <c r="V2240" s="37" t="n"/>
      <c r="W2240" s="37" t="n"/>
      <c r="X2240" s="28" t="n"/>
      <c r="Y2240" s="28" t="n"/>
      <c r="Z2240" s="28" t="n"/>
      <c r="AA2240" s="31" t="n"/>
      <c r="AB2240" s="31" t="n"/>
    </row>
    <row r="2241">
      <c r="A2241" s="43" t="inlineStr">
        <is>
          <t>S44</t>
        </is>
      </c>
      <c r="B2241" s="43" t="inlineStr">
        <is>
          <t>성산</t>
        </is>
      </c>
      <c r="C2241" s="43" t="inlineStr">
        <is>
          <t>S44-H동</t>
        </is>
      </c>
      <c r="D2241" s="43" t="inlineStr">
        <is>
          <t>P0(전)</t>
        </is>
      </c>
      <c r="E2241" s="43" t="inlineStr">
        <is>
          <t>동</t>
        </is>
      </c>
      <c r="F2241" s="44" t="n"/>
      <c r="G2241" s="29" t="n"/>
      <c r="H2241" s="42" t="n"/>
      <c r="I2241" s="40" t="n"/>
      <c r="J2241" s="40" t="n"/>
      <c r="K2241" s="40" t="n"/>
      <c r="L2241" s="30">
        <f>IF(COUNT(I2241:K2241)=0,"",MEDIAN(I2241:K2241))</f>
        <v/>
      </c>
      <c r="M2241" s="37" t="n"/>
      <c r="N2241" s="37" t="n"/>
      <c r="O2241" s="37" t="n"/>
      <c r="P2241" s="37" t="n"/>
      <c r="Q2241" s="37" t="n"/>
      <c r="R2241" s="37" t="n"/>
      <c r="S2241" s="37" t="n"/>
      <c r="T2241" s="37" t="n"/>
      <c r="U2241" s="37" t="n"/>
      <c r="V2241" s="37" t="n"/>
      <c r="W2241" s="37" t="n"/>
      <c r="X2241" s="28" t="n"/>
      <c r="Y2241" s="28" t="n"/>
      <c r="Z2241" s="28" t="n"/>
      <c r="AA2241" s="31" t="n"/>
      <c r="AB2241" s="31" t="n"/>
    </row>
    <row r="2242">
      <c r="A2242" s="25" t="inlineStr">
        <is>
          <t>S44</t>
        </is>
      </c>
      <c r="B2242" s="25" t="inlineStr">
        <is>
          <t>성산</t>
        </is>
      </c>
      <c r="C2242" s="25" t="inlineStr">
        <is>
          <t>S44-H동</t>
        </is>
      </c>
      <c r="D2242" s="25" t="inlineStr">
        <is>
          <t>측정</t>
        </is>
      </c>
      <c r="E2242" s="25" t="inlineStr">
        <is>
          <t>동</t>
        </is>
      </c>
      <c r="F2242" s="30" t="n">
        <v>0.5</v>
      </c>
      <c r="G2242" s="29" t="n"/>
      <c r="H2242" s="42" t="n"/>
      <c r="I2242" s="40" t="n"/>
      <c r="J2242" s="40" t="n"/>
      <c r="K2242" s="40" t="n"/>
      <c r="L2242" s="30">
        <f>IF(COUNT(I2242:K2242)=0,"",MEDIAN(I2242:K2242))</f>
        <v/>
      </c>
      <c r="M2242" s="25">
        <f>IF(COUNTIFS($C:$C,$C2242,$D:$D,"P0(전)",$L:$L,"&gt;0")&lt;&gt;1,"P0(전) 유효 1개 아님",IF(COUNTIFS($C:$C,$C2242,$D:$D,"P0(후)",$L:$L,"&gt;0")&lt;&gt;1,"P0(후) 유효 1개 아님",IF(NOT(AND(ISNUMBER(N2242),ISNUMBER(P2242),ISNUMBER(H2242))),"시각 결측",IF(P2242&lt;=N2242,"P0 시각 역전",IF(OR(H2242&lt;N2242,H2242&gt;P2242),"측정시각 구간 밖","OK")))))</f>
        <v/>
      </c>
      <c r="N2242" s="45">
        <f>IF(COUNTIFS($C:$C,$C2242,$D:$D,"P0(전)",$L:$L,"&gt;0")&lt;&gt;1,"",SUMIFS($H:$H,$C:$C,$C2242,$D:$D,"P0(전)"))</f>
        <v/>
      </c>
      <c r="O2242" s="30">
        <f>IF(COUNTIFS($C:$C,$C2242,$D:$D,"P0(전)",$L:$L,"&gt;0")&lt;&gt;1,"",SUMIFS($L:$L,$C:$C,$C2242,$D:$D,"P0(전)"))</f>
        <v/>
      </c>
      <c r="P2242" s="45">
        <f>IF(COUNTIFS($C:$C,$C2242,$D:$D,"P0(후)",$L:$L,"&gt;0")&lt;&gt;1,"",SUMIFS($H:$H,$C:$C,$C2242,$D:$D,"P0(후)"))</f>
        <v/>
      </c>
      <c r="Q2242" s="30">
        <f>IF(COUNTIFS($C:$C,$C2242,$D:$D,"P0(후)",$L:$L,"&gt;0")&lt;&gt;1,"",SUMIFS($L:$L,$C:$C,$C2242,$D:$D,"P0(후)"))</f>
        <v/>
      </c>
      <c r="R2242" s="30">
        <f>IF(M2242&lt;&gt;"OK","",O2242+(Q2242-O2242)*(H2242-N2242)/(P2242-N2242))</f>
        <v/>
      </c>
      <c r="S2242" s="30">
        <f>IF(OR(M2242&lt;&gt;"OK",NOT(ISNUMBER(L2242))),"",L2242-R2242)</f>
        <v/>
      </c>
      <c r="T2242" s="46">
        <f>IF(OR(NOT(ISNUMBER(S2242)),IF(ISNUMBER(G2242),G2242,F2242)=0),"",S2242/IF(ISNUMBER(G2242),G2242,F2242))</f>
        <v/>
      </c>
      <c r="U2242" s="46">
        <f>IF(ISNUMBER(T2242),ABS(T2242),"")</f>
        <v/>
      </c>
      <c r="V2242" s="46">
        <f>IF(OR($D2241&lt;&gt;"측정",$C2241&lt;&gt;$C2242,NOT(ISNUMBER(L2242)),NOT(ISNUMBER(L2241)),(IF(ISNUMBER(G2242),G2242,F2242)-IF(ISNUMBER(G2241),G2241,F2241))=0),"",(L2242-L2241)/(IF(ISNUMBER(G2242),G2242,F2242)-IF(ISNUMBER(G2241),G2241,F2241)))</f>
        <v/>
      </c>
      <c r="W2242" s="30">
        <f>IF(NOT(AND(ISNUMBER(N2242),ISNUMBER(P2242))),"",(P2242-N2242)*1440)</f>
        <v/>
      </c>
      <c r="X2242" s="28" t="n"/>
      <c r="Y2242" s="28" t="n"/>
      <c r="Z2242" s="28" t="n"/>
      <c r="AA2242" s="31" t="n"/>
      <c r="AB2242" s="31" t="n"/>
    </row>
    <row r="2243">
      <c r="A2243" s="25" t="inlineStr">
        <is>
          <t>S44</t>
        </is>
      </c>
      <c r="B2243" s="25" t="inlineStr">
        <is>
          <t>성산</t>
        </is>
      </c>
      <c r="C2243" s="25" t="inlineStr">
        <is>
          <t>S44-H동</t>
        </is>
      </c>
      <c r="D2243" s="25" t="inlineStr">
        <is>
          <t>측정</t>
        </is>
      </c>
      <c r="E2243" s="25" t="inlineStr">
        <is>
          <t>동</t>
        </is>
      </c>
      <c r="F2243" s="30" t="n">
        <v>1</v>
      </c>
      <c r="G2243" s="29" t="n"/>
      <c r="H2243" s="42" t="n"/>
      <c r="I2243" s="40" t="n"/>
      <c r="J2243" s="40" t="n"/>
      <c r="K2243" s="40" t="n"/>
      <c r="L2243" s="30">
        <f>IF(COUNT(I2243:K2243)=0,"",MEDIAN(I2243:K2243))</f>
        <v/>
      </c>
      <c r="M2243" s="25">
        <f>IF(COUNTIFS($C:$C,$C2243,$D:$D,"P0(전)",$L:$L,"&gt;0")&lt;&gt;1,"P0(전) 유효 1개 아님",IF(COUNTIFS($C:$C,$C2243,$D:$D,"P0(후)",$L:$L,"&gt;0")&lt;&gt;1,"P0(후) 유효 1개 아님",IF(NOT(AND(ISNUMBER(N2243),ISNUMBER(P2243),ISNUMBER(H2243))),"시각 결측",IF(P2243&lt;=N2243,"P0 시각 역전",IF(OR(H2243&lt;N2243,H2243&gt;P2243),"측정시각 구간 밖","OK")))))</f>
        <v/>
      </c>
      <c r="N2243" s="45">
        <f>IF(COUNTIFS($C:$C,$C2243,$D:$D,"P0(전)",$L:$L,"&gt;0")&lt;&gt;1,"",SUMIFS($H:$H,$C:$C,$C2243,$D:$D,"P0(전)"))</f>
        <v/>
      </c>
      <c r="O2243" s="30">
        <f>IF(COUNTIFS($C:$C,$C2243,$D:$D,"P0(전)",$L:$L,"&gt;0")&lt;&gt;1,"",SUMIFS($L:$L,$C:$C,$C2243,$D:$D,"P0(전)"))</f>
        <v/>
      </c>
      <c r="P2243" s="45">
        <f>IF(COUNTIFS($C:$C,$C2243,$D:$D,"P0(후)",$L:$L,"&gt;0")&lt;&gt;1,"",SUMIFS($H:$H,$C:$C,$C2243,$D:$D,"P0(후)"))</f>
        <v/>
      </c>
      <c r="Q2243" s="30">
        <f>IF(COUNTIFS($C:$C,$C2243,$D:$D,"P0(후)",$L:$L,"&gt;0")&lt;&gt;1,"",SUMIFS($L:$L,$C:$C,$C2243,$D:$D,"P0(후)"))</f>
        <v/>
      </c>
      <c r="R2243" s="30">
        <f>IF(M2243&lt;&gt;"OK","",O2243+(Q2243-O2243)*(H2243-N2243)/(P2243-N2243))</f>
        <v/>
      </c>
      <c r="S2243" s="30">
        <f>IF(OR(M2243&lt;&gt;"OK",NOT(ISNUMBER(L2243))),"",L2243-R2243)</f>
        <v/>
      </c>
      <c r="T2243" s="46">
        <f>IF(OR(NOT(ISNUMBER(S2243)),IF(ISNUMBER(G2243),G2243,F2243)=0),"",S2243/IF(ISNUMBER(G2243),G2243,F2243))</f>
        <v/>
      </c>
      <c r="U2243" s="46">
        <f>IF(ISNUMBER(T2243),ABS(T2243),"")</f>
        <v/>
      </c>
      <c r="V2243" s="46">
        <f>IF(OR($D2242&lt;&gt;"측정",$C2242&lt;&gt;$C2243,NOT(ISNUMBER(L2243)),NOT(ISNUMBER(L2242)),(IF(ISNUMBER(G2243),G2243,F2243)-IF(ISNUMBER(G2242),G2242,F2242))=0),"",(L2243-L2242)/(IF(ISNUMBER(G2243),G2243,F2243)-IF(ISNUMBER(G2242),G2242,F2242)))</f>
        <v/>
      </c>
      <c r="W2243" s="30">
        <f>IF(NOT(AND(ISNUMBER(N2243),ISNUMBER(P2243))),"",(P2243-N2243)*1440)</f>
        <v/>
      </c>
      <c r="X2243" s="28" t="n"/>
      <c r="Y2243" s="28" t="n"/>
      <c r="Z2243" s="28" t="n"/>
      <c r="AA2243" s="31" t="n"/>
      <c r="AB2243" s="31" t="n"/>
    </row>
    <row r="2244">
      <c r="A2244" s="25" t="inlineStr">
        <is>
          <t>S44</t>
        </is>
      </c>
      <c r="B2244" s="25" t="inlineStr">
        <is>
          <t>성산</t>
        </is>
      </c>
      <c r="C2244" s="25" t="inlineStr">
        <is>
          <t>S44-H동</t>
        </is>
      </c>
      <c r="D2244" s="25" t="inlineStr">
        <is>
          <t>측정</t>
        </is>
      </c>
      <c r="E2244" s="25" t="inlineStr">
        <is>
          <t>동</t>
        </is>
      </c>
      <c r="F2244" s="30" t="n">
        <v>2</v>
      </c>
      <c r="G2244" s="29" t="n"/>
      <c r="H2244" s="42" t="n"/>
      <c r="I2244" s="40" t="n"/>
      <c r="J2244" s="40" t="n"/>
      <c r="K2244" s="40" t="n"/>
      <c r="L2244" s="30">
        <f>IF(COUNT(I2244:K2244)=0,"",MEDIAN(I2244:K2244))</f>
        <v/>
      </c>
      <c r="M2244" s="25">
        <f>IF(COUNTIFS($C:$C,$C2244,$D:$D,"P0(전)",$L:$L,"&gt;0")&lt;&gt;1,"P0(전) 유효 1개 아님",IF(COUNTIFS($C:$C,$C2244,$D:$D,"P0(후)",$L:$L,"&gt;0")&lt;&gt;1,"P0(후) 유효 1개 아님",IF(NOT(AND(ISNUMBER(N2244),ISNUMBER(P2244),ISNUMBER(H2244))),"시각 결측",IF(P2244&lt;=N2244,"P0 시각 역전",IF(OR(H2244&lt;N2244,H2244&gt;P2244),"측정시각 구간 밖","OK")))))</f>
        <v/>
      </c>
      <c r="N2244" s="45">
        <f>IF(COUNTIFS($C:$C,$C2244,$D:$D,"P0(전)",$L:$L,"&gt;0")&lt;&gt;1,"",SUMIFS($H:$H,$C:$C,$C2244,$D:$D,"P0(전)"))</f>
        <v/>
      </c>
      <c r="O2244" s="30">
        <f>IF(COUNTIFS($C:$C,$C2244,$D:$D,"P0(전)",$L:$L,"&gt;0")&lt;&gt;1,"",SUMIFS($L:$L,$C:$C,$C2244,$D:$D,"P0(전)"))</f>
        <v/>
      </c>
      <c r="P2244" s="45">
        <f>IF(COUNTIFS($C:$C,$C2244,$D:$D,"P0(후)",$L:$L,"&gt;0")&lt;&gt;1,"",SUMIFS($H:$H,$C:$C,$C2244,$D:$D,"P0(후)"))</f>
        <v/>
      </c>
      <c r="Q2244" s="30">
        <f>IF(COUNTIFS($C:$C,$C2244,$D:$D,"P0(후)",$L:$L,"&gt;0")&lt;&gt;1,"",SUMIFS($L:$L,$C:$C,$C2244,$D:$D,"P0(후)"))</f>
        <v/>
      </c>
      <c r="R2244" s="30">
        <f>IF(M2244&lt;&gt;"OK","",O2244+(Q2244-O2244)*(H2244-N2244)/(P2244-N2244))</f>
        <v/>
      </c>
      <c r="S2244" s="30">
        <f>IF(OR(M2244&lt;&gt;"OK",NOT(ISNUMBER(L2244))),"",L2244-R2244)</f>
        <v/>
      </c>
      <c r="T2244" s="46">
        <f>IF(OR(NOT(ISNUMBER(S2244)),IF(ISNUMBER(G2244),G2244,F2244)=0),"",S2244/IF(ISNUMBER(G2244),G2244,F2244))</f>
        <v/>
      </c>
      <c r="U2244" s="46">
        <f>IF(ISNUMBER(T2244),ABS(T2244),"")</f>
        <v/>
      </c>
      <c r="V2244" s="46">
        <f>IF(OR($D2243&lt;&gt;"측정",$C2243&lt;&gt;$C2244,NOT(ISNUMBER(L2244)),NOT(ISNUMBER(L2243)),(IF(ISNUMBER(G2244),G2244,F2244)-IF(ISNUMBER(G2243),G2243,F2243))=0),"",(L2244-L2243)/(IF(ISNUMBER(G2244),G2244,F2244)-IF(ISNUMBER(G2243),G2243,F2243)))</f>
        <v/>
      </c>
      <c r="W2244" s="30">
        <f>IF(NOT(AND(ISNUMBER(N2244),ISNUMBER(P2244))),"",(P2244-N2244)*1440)</f>
        <v/>
      </c>
      <c r="X2244" s="28" t="n"/>
      <c r="Y2244" s="28" t="n"/>
      <c r="Z2244" s="28" t="n"/>
      <c r="AA2244" s="31" t="n"/>
      <c r="AB2244" s="31" t="n"/>
    </row>
    <row r="2245">
      <c r="A2245" s="25" t="inlineStr">
        <is>
          <t>S44</t>
        </is>
      </c>
      <c r="B2245" s="25" t="inlineStr">
        <is>
          <t>성산</t>
        </is>
      </c>
      <c r="C2245" s="25" t="inlineStr">
        <is>
          <t>S44-H동</t>
        </is>
      </c>
      <c r="D2245" s="25" t="inlineStr">
        <is>
          <t>측정</t>
        </is>
      </c>
      <c r="E2245" s="25" t="inlineStr">
        <is>
          <t>동</t>
        </is>
      </c>
      <c r="F2245" s="30" t="n">
        <v>3</v>
      </c>
      <c r="G2245" s="29" t="n"/>
      <c r="H2245" s="42" t="n"/>
      <c r="I2245" s="40" t="n"/>
      <c r="J2245" s="40" t="n"/>
      <c r="K2245" s="40" t="n"/>
      <c r="L2245" s="30">
        <f>IF(COUNT(I2245:K2245)=0,"",MEDIAN(I2245:K2245))</f>
        <v/>
      </c>
      <c r="M2245" s="25">
        <f>IF(COUNTIFS($C:$C,$C2245,$D:$D,"P0(전)",$L:$L,"&gt;0")&lt;&gt;1,"P0(전) 유효 1개 아님",IF(COUNTIFS($C:$C,$C2245,$D:$D,"P0(후)",$L:$L,"&gt;0")&lt;&gt;1,"P0(후) 유효 1개 아님",IF(NOT(AND(ISNUMBER(N2245),ISNUMBER(P2245),ISNUMBER(H2245))),"시각 결측",IF(P2245&lt;=N2245,"P0 시각 역전",IF(OR(H2245&lt;N2245,H2245&gt;P2245),"측정시각 구간 밖","OK")))))</f>
        <v/>
      </c>
      <c r="N2245" s="45">
        <f>IF(COUNTIFS($C:$C,$C2245,$D:$D,"P0(전)",$L:$L,"&gt;0")&lt;&gt;1,"",SUMIFS($H:$H,$C:$C,$C2245,$D:$D,"P0(전)"))</f>
        <v/>
      </c>
      <c r="O2245" s="30">
        <f>IF(COUNTIFS($C:$C,$C2245,$D:$D,"P0(전)",$L:$L,"&gt;0")&lt;&gt;1,"",SUMIFS($L:$L,$C:$C,$C2245,$D:$D,"P0(전)"))</f>
        <v/>
      </c>
      <c r="P2245" s="45">
        <f>IF(COUNTIFS($C:$C,$C2245,$D:$D,"P0(후)",$L:$L,"&gt;0")&lt;&gt;1,"",SUMIFS($H:$H,$C:$C,$C2245,$D:$D,"P0(후)"))</f>
        <v/>
      </c>
      <c r="Q2245" s="30">
        <f>IF(COUNTIFS($C:$C,$C2245,$D:$D,"P0(후)",$L:$L,"&gt;0")&lt;&gt;1,"",SUMIFS($L:$L,$C:$C,$C2245,$D:$D,"P0(후)"))</f>
        <v/>
      </c>
      <c r="R2245" s="30">
        <f>IF(M2245&lt;&gt;"OK","",O2245+(Q2245-O2245)*(H2245-N2245)/(P2245-N2245))</f>
        <v/>
      </c>
      <c r="S2245" s="30">
        <f>IF(OR(M2245&lt;&gt;"OK",NOT(ISNUMBER(L2245))),"",L2245-R2245)</f>
        <v/>
      </c>
      <c r="T2245" s="46">
        <f>IF(OR(NOT(ISNUMBER(S2245)),IF(ISNUMBER(G2245),G2245,F2245)=0),"",S2245/IF(ISNUMBER(G2245),G2245,F2245))</f>
        <v/>
      </c>
      <c r="U2245" s="46">
        <f>IF(ISNUMBER(T2245),ABS(T2245),"")</f>
        <v/>
      </c>
      <c r="V2245" s="46">
        <f>IF(OR($D2244&lt;&gt;"측정",$C2244&lt;&gt;$C2245,NOT(ISNUMBER(L2245)),NOT(ISNUMBER(L2244)),(IF(ISNUMBER(G2245),G2245,F2245)-IF(ISNUMBER(G2244),G2244,F2244))=0),"",(L2245-L2244)/(IF(ISNUMBER(G2245),G2245,F2245)-IF(ISNUMBER(G2244),G2244,F2244)))</f>
        <v/>
      </c>
      <c r="W2245" s="30">
        <f>IF(NOT(AND(ISNUMBER(N2245),ISNUMBER(P2245))),"",(P2245-N2245)*1440)</f>
        <v/>
      </c>
      <c r="X2245" s="28" t="n"/>
      <c r="Y2245" s="28" t="n"/>
      <c r="Z2245" s="28" t="n"/>
      <c r="AA2245" s="31" t="n"/>
      <c r="AB2245" s="31" t="n"/>
    </row>
    <row r="2246">
      <c r="A2246" s="25" t="inlineStr">
        <is>
          <t>S44</t>
        </is>
      </c>
      <c r="B2246" s="25" t="inlineStr">
        <is>
          <t>성산</t>
        </is>
      </c>
      <c r="C2246" s="25" t="inlineStr">
        <is>
          <t>S44-H동</t>
        </is>
      </c>
      <c r="D2246" s="25" t="inlineStr">
        <is>
          <t>측정</t>
        </is>
      </c>
      <c r="E2246" s="25" t="inlineStr">
        <is>
          <t>동</t>
        </is>
      </c>
      <c r="F2246" s="30" t="n">
        <v>4</v>
      </c>
      <c r="G2246" s="29" t="n"/>
      <c r="H2246" s="42" t="n"/>
      <c r="I2246" s="40" t="n"/>
      <c r="J2246" s="40" t="n"/>
      <c r="K2246" s="40" t="n"/>
      <c r="L2246" s="30">
        <f>IF(COUNT(I2246:K2246)=0,"",MEDIAN(I2246:K2246))</f>
        <v/>
      </c>
      <c r="M2246" s="25">
        <f>IF(COUNTIFS($C:$C,$C2246,$D:$D,"P0(전)",$L:$L,"&gt;0")&lt;&gt;1,"P0(전) 유효 1개 아님",IF(COUNTIFS($C:$C,$C2246,$D:$D,"P0(후)",$L:$L,"&gt;0")&lt;&gt;1,"P0(후) 유효 1개 아님",IF(NOT(AND(ISNUMBER(N2246),ISNUMBER(P2246),ISNUMBER(H2246))),"시각 결측",IF(P2246&lt;=N2246,"P0 시각 역전",IF(OR(H2246&lt;N2246,H2246&gt;P2246),"측정시각 구간 밖","OK")))))</f>
        <v/>
      </c>
      <c r="N2246" s="45">
        <f>IF(COUNTIFS($C:$C,$C2246,$D:$D,"P0(전)",$L:$L,"&gt;0")&lt;&gt;1,"",SUMIFS($H:$H,$C:$C,$C2246,$D:$D,"P0(전)"))</f>
        <v/>
      </c>
      <c r="O2246" s="30">
        <f>IF(COUNTIFS($C:$C,$C2246,$D:$D,"P0(전)",$L:$L,"&gt;0")&lt;&gt;1,"",SUMIFS($L:$L,$C:$C,$C2246,$D:$D,"P0(전)"))</f>
        <v/>
      </c>
      <c r="P2246" s="45">
        <f>IF(COUNTIFS($C:$C,$C2246,$D:$D,"P0(후)",$L:$L,"&gt;0")&lt;&gt;1,"",SUMIFS($H:$H,$C:$C,$C2246,$D:$D,"P0(후)"))</f>
        <v/>
      </c>
      <c r="Q2246" s="30">
        <f>IF(COUNTIFS($C:$C,$C2246,$D:$D,"P0(후)",$L:$L,"&gt;0")&lt;&gt;1,"",SUMIFS($L:$L,$C:$C,$C2246,$D:$D,"P0(후)"))</f>
        <v/>
      </c>
      <c r="R2246" s="30">
        <f>IF(M2246&lt;&gt;"OK","",O2246+(Q2246-O2246)*(H2246-N2246)/(P2246-N2246))</f>
        <v/>
      </c>
      <c r="S2246" s="30">
        <f>IF(OR(M2246&lt;&gt;"OK",NOT(ISNUMBER(L2246))),"",L2246-R2246)</f>
        <v/>
      </c>
      <c r="T2246" s="46">
        <f>IF(OR(NOT(ISNUMBER(S2246)),IF(ISNUMBER(G2246),G2246,F2246)=0),"",S2246/IF(ISNUMBER(G2246),G2246,F2246))</f>
        <v/>
      </c>
      <c r="U2246" s="46">
        <f>IF(ISNUMBER(T2246),ABS(T2246),"")</f>
        <v/>
      </c>
      <c r="V2246" s="46">
        <f>IF(OR($D2245&lt;&gt;"측정",$C2245&lt;&gt;$C2246,NOT(ISNUMBER(L2246)),NOT(ISNUMBER(L2245)),(IF(ISNUMBER(G2246),G2246,F2246)-IF(ISNUMBER(G2245),G2245,F2245))=0),"",(L2246-L2245)/(IF(ISNUMBER(G2246),G2246,F2246)-IF(ISNUMBER(G2245),G2245,F2245)))</f>
        <v/>
      </c>
      <c r="W2246" s="30">
        <f>IF(NOT(AND(ISNUMBER(N2246),ISNUMBER(P2246))),"",(P2246-N2246)*1440)</f>
        <v/>
      </c>
      <c r="X2246" s="28" t="n"/>
      <c r="Y2246" s="28" t="n"/>
      <c r="Z2246" s="28" t="n"/>
      <c r="AA2246" s="31" t="n"/>
      <c r="AB2246" s="31" t="n"/>
    </row>
    <row r="2247">
      <c r="A2247" s="25" t="inlineStr">
        <is>
          <t>S44</t>
        </is>
      </c>
      <c r="B2247" s="25" t="inlineStr">
        <is>
          <t>성산</t>
        </is>
      </c>
      <c r="C2247" s="25" t="inlineStr">
        <is>
          <t>S44-H동</t>
        </is>
      </c>
      <c r="D2247" s="25" t="inlineStr">
        <is>
          <t>측정</t>
        </is>
      </c>
      <c r="E2247" s="25" t="inlineStr">
        <is>
          <t>동</t>
        </is>
      </c>
      <c r="F2247" s="30" t="n">
        <v>5</v>
      </c>
      <c r="G2247" s="29" t="n"/>
      <c r="H2247" s="42" t="n"/>
      <c r="I2247" s="40" t="n"/>
      <c r="J2247" s="40" t="n"/>
      <c r="K2247" s="40" t="n"/>
      <c r="L2247" s="30">
        <f>IF(COUNT(I2247:K2247)=0,"",MEDIAN(I2247:K2247))</f>
        <v/>
      </c>
      <c r="M2247" s="25">
        <f>IF(COUNTIFS($C:$C,$C2247,$D:$D,"P0(전)",$L:$L,"&gt;0")&lt;&gt;1,"P0(전) 유효 1개 아님",IF(COUNTIFS($C:$C,$C2247,$D:$D,"P0(후)",$L:$L,"&gt;0")&lt;&gt;1,"P0(후) 유효 1개 아님",IF(NOT(AND(ISNUMBER(N2247),ISNUMBER(P2247),ISNUMBER(H2247))),"시각 결측",IF(P2247&lt;=N2247,"P0 시각 역전",IF(OR(H2247&lt;N2247,H2247&gt;P2247),"측정시각 구간 밖","OK")))))</f>
        <v/>
      </c>
      <c r="N2247" s="45">
        <f>IF(COUNTIFS($C:$C,$C2247,$D:$D,"P0(전)",$L:$L,"&gt;0")&lt;&gt;1,"",SUMIFS($H:$H,$C:$C,$C2247,$D:$D,"P0(전)"))</f>
        <v/>
      </c>
      <c r="O2247" s="30">
        <f>IF(COUNTIFS($C:$C,$C2247,$D:$D,"P0(전)",$L:$L,"&gt;0")&lt;&gt;1,"",SUMIFS($L:$L,$C:$C,$C2247,$D:$D,"P0(전)"))</f>
        <v/>
      </c>
      <c r="P2247" s="45">
        <f>IF(COUNTIFS($C:$C,$C2247,$D:$D,"P0(후)",$L:$L,"&gt;0")&lt;&gt;1,"",SUMIFS($H:$H,$C:$C,$C2247,$D:$D,"P0(후)"))</f>
        <v/>
      </c>
      <c r="Q2247" s="30">
        <f>IF(COUNTIFS($C:$C,$C2247,$D:$D,"P0(후)",$L:$L,"&gt;0")&lt;&gt;1,"",SUMIFS($L:$L,$C:$C,$C2247,$D:$D,"P0(후)"))</f>
        <v/>
      </c>
      <c r="R2247" s="30">
        <f>IF(M2247&lt;&gt;"OK","",O2247+(Q2247-O2247)*(H2247-N2247)/(P2247-N2247))</f>
        <v/>
      </c>
      <c r="S2247" s="30">
        <f>IF(OR(M2247&lt;&gt;"OK",NOT(ISNUMBER(L2247))),"",L2247-R2247)</f>
        <v/>
      </c>
      <c r="T2247" s="46">
        <f>IF(OR(NOT(ISNUMBER(S2247)),IF(ISNUMBER(G2247),G2247,F2247)=0),"",S2247/IF(ISNUMBER(G2247),G2247,F2247))</f>
        <v/>
      </c>
      <c r="U2247" s="46">
        <f>IF(ISNUMBER(T2247),ABS(T2247),"")</f>
        <v/>
      </c>
      <c r="V2247" s="46">
        <f>IF(OR($D2246&lt;&gt;"측정",$C2246&lt;&gt;$C2247,NOT(ISNUMBER(L2247)),NOT(ISNUMBER(L2246)),(IF(ISNUMBER(G2247),G2247,F2247)-IF(ISNUMBER(G2246),G2246,F2246))=0),"",(L2247-L2246)/(IF(ISNUMBER(G2247),G2247,F2247)-IF(ISNUMBER(G2246),G2246,F2246)))</f>
        <v/>
      </c>
      <c r="W2247" s="30">
        <f>IF(NOT(AND(ISNUMBER(N2247),ISNUMBER(P2247))),"",(P2247-N2247)*1440)</f>
        <v/>
      </c>
      <c r="X2247" s="28" t="n"/>
      <c r="Y2247" s="28" t="n"/>
      <c r="Z2247" s="28" t="n"/>
      <c r="AA2247" s="31" t="n"/>
      <c r="AB2247" s="31" t="n"/>
    </row>
    <row r="2248">
      <c r="A2248" s="25" t="inlineStr">
        <is>
          <t>S44</t>
        </is>
      </c>
      <c r="B2248" s="25" t="inlineStr">
        <is>
          <t>성산</t>
        </is>
      </c>
      <c r="C2248" s="25" t="inlineStr">
        <is>
          <t>S44-H동</t>
        </is>
      </c>
      <c r="D2248" s="25" t="inlineStr">
        <is>
          <t>측정</t>
        </is>
      </c>
      <c r="E2248" s="25" t="inlineStr">
        <is>
          <t>동</t>
        </is>
      </c>
      <c r="F2248" s="30" t="n">
        <v>6</v>
      </c>
      <c r="G2248" s="29" t="n"/>
      <c r="H2248" s="42" t="n"/>
      <c r="I2248" s="40" t="n"/>
      <c r="J2248" s="40" t="n"/>
      <c r="K2248" s="40" t="n"/>
      <c r="L2248" s="30">
        <f>IF(COUNT(I2248:K2248)=0,"",MEDIAN(I2248:K2248))</f>
        <v/>
      </c>
      <c r="M2248" s="25">
        <f>IF(COUNTIFS($C:$C,$C2248,$D:$D,"P0(전)",$L:$L,"&gt;0")&lt;&gt;1,"P0(전) 유효 1개 아님",IF(COUNTIFS($C:$C,$C2248,$D:$D,"P0(후)",$L:$L,"&gt;0")&lt;&gt;1,"P0(후) 유효 1개 아님",IF(NOT(AND(ISNUMBER(N2248),ISNUMBER(P2248),ISNUMBER(H2248))),"시각 결측",IF(P2248&lt;=N2248,"P0 시각 역전",IF(OR(H2248&lt;N2248,H2248&gt;P2248),"측정시각 구간 밖","OK")))))</f>
        <v/>
      </c>
      <c r="N2248" s="45">
        <f>IF(COUNTIFS($C:$C,$C2248,$D:$D,"P0(전)",$L:$L,"&gt;0")&lt;&gt;1,"",SUMIFS($H:$H,$C:$C,$C2248,$D:$D,"P0(전)"))</f>
        <v/>
      </c>
      <c r="O2248" s="30">
        <f>IF(COUNTIFS($C:$C,$C2248,$D:$D,"P0(전)",$L:$L,"&gt;0")&lt;&gt;1,"",SUMIFS($L:$L,$C:$C,$C2248,$D:$D,"P0(전)"))</f>
        <v/>
      </c>
      <c r="P2248" s="45">
        <f>IF(COUNTIFS($C:$C,$C2248,$D:$D,"P0(후)",$L:$L,"&gt;0")&lt;&gt;1,"",SUMIFS($H:$H,$C:$C,$C2248,$D:$D,"P0(후)"))</f>
        <v/>
      </c>
      <c r="Q2248" s="30">
        <f>IF(COUNTIFS($C:$C,$C2248,$D:$D,"P0(후)",$L:$L,"&gt;0")&lt;&gt;1,"",SUMIFS($L:$L,$C:$C,$C2248,$D:$D,"P0(후)"))</f>
        <v/>
      </c>
      <c r="R2248" s="30">
        <f>IF(M2248&lt;&gt;"OK","",O2248+(Q2248-O2248)*(H2248-N2248)/(P2248-N2248))</f>
        <v/>
      </c>
      <c r="S2248" s="30">
        <f>IF(OR(M2248&lt;&gt;"OK",NOT(ISNUMBER(L2248))),"",L2248-R2248)</f>
        <v/>
      </c>
      <c r="T2248" s="46">
        <f>IF(OR(NOT(ISNUMBER(S2248)),IF(ISNUMBER(G2248),G2248,F2248)=0),"",S2248/IF(ISNUMBER(G2248),G2248,F2248))</f>
        <v/>
      </c>
      <c r="U2248" s="46">
        <f>IF(ISNUMBER(T2248),ABS(T2248),"")</f>
        <v/>
      </c>
      <c r="V2248" s="46">
        <f>IF(OR($D2247&lt;&gt;"측정",$C2247&lt;&gt;$C2248,NOT(ISNUMBER(L2248)),NOT(ISNUMBER(L2247)),(IF(ISNUMBER(G2248),G2248,F2248)-IF(ISNUMBER(G2247),G2247,F2247))=0),"",(L2248-L2247)/(IF(ISNUMBER(G2248),G2248,F2248)-IF(ISNUMBER(G2247),G2247,F2247)))</f>
        <v/>
      </c>
      <c r="W2248" s="30">
        <f>IF(NOT(AND(ISNUMBER(N2248),ISNUMBER(P2248))),"",(P2248-N2248)*1440)</f>
        <v/>
      </c>
      <c r="X2248" s="28" t="n"/>
      <c r="Y2248" s="28" t="n"/>
      <c r="Z2248" s="28" t="n"/>
      <c r="AA2248" s="31" t="n"/>
      <c r="AB2248" s="31" t="n"/>
    </row>
    <row r="2249">
      <c r="A2249" s="25" t="inlineStr">
        <is>
          <t>S44</t>
        </is>
      </c>
      <c r="B2249" s="25" t="inlineStr">
        <is>
          <t>성산</t>
        </is>
      </c>
      <c r="C2249" s="25" t="inlineStr">
        <is>
          <t>S44-H동</t>
        </is>
      </c>
      <c r="D2249" s="25" t="inlineStr">
        <is>
          <t>측정</t>
        </is>
      </c>
      <c r="E2249" s="25" t="inlineStr">
        <is>
          <t>동</t>
        </is>
      </c>
      <c r="F2249" s="30" t="n">
        <v>7</v>
      </c>
      <c r="G2249" s="29" t="n"/>
      <c r="H2249" s="42" t="n"/>
      <c r="I2249" s="40" t="n"/>
      <c r="J2249" s="40" t="n"/>
      <c r="K2249" s="40" t="n"/>
      <c r="L2249" s="30">
        <f>IF(COUNT(I2249:K2249)=0,"",MEDIAN(I2249:K2249))</f>
        <v/>
      </c>
      <c r="M2249" s="25">
        <f>IF(COUNTIFS($C:$C,$C2249,$D:$D,"P0(전)",$L:$L,"&gt;0")&lt;&gt;1,"P0(전) 유효 1개 아님",IF(COUNTIFS($C:$C,$C2249,$D:$D,"P0(후)",$L:$L,"&gt;0")&lt;&gt;1,"P0(후) 유효 1개 아님",IF(NOT(AND(ISNUMBER(N2249),ISNUMBER(P2249),ISNUMBER(H2249))),"시각 결측",IF(P2249&lt;=N2249,"P0 시각 역전",IF(OR(H2249&lt;N2249,H2249&gt;P2249),"측정시각 구간 밖","OK")))))</f>
        <v/>
      </c>
      <c r="N2249" s="45">
        <f>IF(COUNTIFS($C:$C,$C2249,$D:$D,"P0(전)",$L:$L,"&gt;0")&lt;&gt;1,"",SUMIFS($H:$H,$C:$C,$C2249,$D:$D,"P0(전)"))</f>
        <v/>
      </c>
      <c r="O2249" s="30">
        <f>IF(COUNTIFS($C:$C,$C2249,$D:$D,"P0(전)",$L:$L,"&gt;0")&lt;&gt;1,"",SUMIFS($L:$L,$C:$C,$C2249,$D:$D,"P0(전)"))</f>
        <v/>
      </c>
      <c r="P2249" s="45">
        <f>IF(COUNTIFS($C:$C,$C2249,$D:$D,"P0(후)",$L:$L,"&gt;0")&lt;&gt;1,"",SUMIFS($H:$H,$C:$C,$C2249,$D:$D,"P0(후)"))</f>
        <v/>
      </c>
      <c r="Q2249" s="30">
        <f>IF(COUNTIFS($C:$C,$C2249,$D:$D,"P0(후)",$L:$L,"&gt;0")&lt;&gt;1,"",SUMIFS($L:$L,$C:$C,$C2249,$D:$D,"P0(후)"))</f>
        <v/>
      </c>
      <c r="R2249" s="30">
        <f>IF(M2249&lt;&gt;"OK","",O2249+(Q2249-O2249)*(H2249-N2249)/(P2249-N2249))</f>
        <v/>
      </c>
      <c r="S2249" s="30">
        <f>IF(OR(M2249&lt;&gt;"OK",NOT(ISNUMBER(L2249))),"",L2249-R2249)</f>
        <v/>
      </c>
      <c r="T2249" s="46">
        <f>IF(OR(NOT(ISNUMBER(S2249)),IF(ISNUMBER(G2249),G2249,F2249)=0),"",S2249/IF(ISNUMBER(G2249),G2249,F2249))</f>
        <v/>
      </c>
      <c r="U2249" s="46">
        <f>IF(ISNUMBER(T2249),ABS(T2249),"")</f>
        <v/>
      </c>
      <c r="V2249" s="46">
        <f>IF(OR($D2248&lt;&gt;"측정",$C2248&lt;&gt;$C2249,NOT(ISNUMBER(L2249)),NOT(ISNUMBER(L2248)),(IF(ISNUMBER(G2249),G2249,F2249)-IF(ISNUMBER(G2248),G2248,F2248))=0),"",(L2249-L2248)/(IF(ISNUMBER(G2249),G2249,F2249)-IF(ISNUMBER(G2248),G2248,F2248)))</f>
        <v/>
      </c>
      <c r="W2249" s="30">
        <f>IF(NOT(AND(ISNUMBER(N2249),ISNUMBER(P2249))),"",(P2249-N2249)*1440)</f>
        <v/>
      </c>
      <c r="X2249" s="28" t="n"/>
      <c r="Y2249" s="28" t="n"/>
      <c r="Z2249" s="28" t="n"/>
      <c r="AA2249" s="31" t="n"/>
      <c r="AB2249" s="31" t="n"/>
    </row>
    <row r="2250">
      <c r="A2250" s="25" t="inlineStr">
        <is>
          <t>S44</t>
        </is>
      </c>
      <c r="B2250" s="25" t="inlineStr">
        <is>
          <t>성산</t>
        </is>
      </c>
      <c r="C2250" s="25" t="inlineStr">
        <is>
          <t>S44-H동</t>
        </is>
      </c>
      <c r="D2250" s="25" t="inlineStr">
        <is>
          <t>측정</t>
        </is>
      </c>
      <c r="E2250" s="25" t="inlineStr">
        <is>
          <t>동</t>
        </is>
      </c>
      <c r="F2250" s="30" t="n">
        <v>8</v>
      </c>
      <c r="G2250" s="29" t="n"/>
      <c r="H2250" s="42" t="n"/>
      <c r="I2250" s="40" t="n"/>
      <c r="J2250" s="40" t="n"/>
      <c r="K2250" s="40" t="n"/>
      <c r="L2250" s="30">
        <f>IF(COUNT(I2250:K2250)=0,"",MEDIAN(I2250:K2250))</f>
        <v/>
      </c>
      <c r="M2250" s="25">
        <f>IF(COUNTIFS($C:$C,$C2250,$D:$D,"P0(전)",$L:$L,"&gt;0")&lt;&gt;1,"P0(전) 유효 1개 아님",IF(COUNTIFS($C:$C,$C2250,$D:$D,"P0(후)",$L:$L,"&gt;0")&lt;&gt;1,"P0(후) 유효 1개 아님",IF(NOT(AND(ISNUMBER(N2250),ISNUMBER(P2250),ISNUMBER(H2250))),"시각 결측",IF(P2250&lt;=N2250,"P0 시각 역전",IF(OR(H2250&lt;N2250,H2250&gt;P2250),"측정시각 구간 밖","OK")))))</f>
        <v/>
      </c>
      <c r="N2250" s="45">
        <f>IF(COUNTIFS($C:$C,$C2250,$D:$D,"P0(전)",$L:$L,"&gt;0")&lt;&gt;1,"",SUMIFS($H:$H,$C:$C,$C2250,$D:$D,"P0(전)"))</f>
        <v/>
      </c>
      <c r="O2250" s="30">
        <f>IF(COUNTIFS($C:$C,$C2250,$D:$D,"P0(전)",$L:$L,"&gt;0")&lt;&gt;1,"",SUMIFS($L:$L,$C:$C,$C2250,$D:$D,"P0(전)"))</f>
        <v/>
      </c>
      <c r="P2250" s="45">
        <f>IF(COUNTIFS($C:$C,$C2250,$D:$D,"P0(후)",$L:$L,"&gt;0")&lt;&gt;1,"",SUMIFS($H:$H,$C:$C,$C2250,$D:$D,"P0(후)"))</f>
        <v/>
      </c>
      <c r="Q2250" s="30">
        <f>IF(COUNTIFS($C:$C,$C2250,$D:$D,"P0(후)",$L:$L,"&gt;0")&lt;&gt;1,"",SUMIFS($L:$L,$C:$C,$C2250,$D:$D,"P0(후)"))</f>
        <v/>
      </c>
      <c r="R2250" s="30">
        <f>IF(M2250&lt;&gt;"OK","",O2250+(Q2250-O2250)*(H2250-N2250)/(P2250-N2250))</f>
        <v/>
      </c>
      <c r="S2250" s="30">
        <f>IF(OR(M2250&lt;&gt;"OK",NOT(ISNUMBER(L2250))),"",L2250-R2250)</f>
        <v/>
      </c>
      <c r="T2250" s="46">
        <f>IF(OR(NOT(ISNUMBER(S2250)),IF(ISNUMBER(G2250),G2250,F2250)=0),"",S2250/IF(ISNUMBER(G2250),G2250,F2250))</f>
        <v/>
      </c>
      <c r="U2250" s="46">
        <f>IF(ISNUMBER(T2250),ABS(T2250),"")</f>
        <v/>
      </c>
      <c r="V2250" s="46">
        <f>IF(OR($D2249&lt;&gt;"측정",$C2249&lt;&gt;$C2250,NOT(ISNUMBER(L2250)),NOT(ISNUMBER(L2249)),(IF(ISNUMBER(G2250),G2250,F2250)-IF(ISNUMBER(G2249),G2249,F2249))=0),"",(L2250-L2249)/(IF(ISNUMBER(G2250),G2250,F2250)-IF(ISNUMBER(G2249),G2249,F2249)))</f>
        <v/>
      </c>
      <c r="W2250" s="30">
        <f>IF(NOT(AND(ISNUMBER(N2250),ISNUMBER(P2250))),"",(P2250-N2250)*1440)</f>
        <v/>
      </c>
      <c r="X2250" s="28" t="n"/>
      <c r="Y2250" s="28" t="n"/>
      <c r="Z2250" s="28" t="n"/>
      <c r="AA2250" s="31" t="n"/>
      <c r="AB2250" s="31" t="n"/>
    </row>
    <row r="2251">
      <c r="A2251" s="25" t="inlineStr">
        <is>
          <t>S44</t>
        </is>
      </c>
      <c r="B2251" s="25" t="inlineStr">
        <is>
          <t>성산</t>
        </is>
      </c>
      <c r="C2251" s="25" t="inlineStr">
        <is>
          <t>S44-H동</t>
        </is>
      </c>
      <c r="D2251" s="25" t="inlineStr">
        <is>
          <t>측정</t>
        </is>
      </c>
      <c r="E2251" s="25" t="inlineStr">
        <is>
          <t>동</t>
        </is>
      </c>
      <c r="F2251" s="30" t="n">
        <v>9</v>
      </c>
      <c r="G2251" s="29" t="n"/>
      <c r="H2251" s="42" t="n"/>
      <c r="I2251" s="40" t="n"/>
      <c r="J2251" s="40" t="n"/>
      <c r="K2251" s="40" t="n"/>
      <c r="L2251" s="30">
        <f>IF(COUNT(I2251:K2251)=0,"",MEDIAN(I2251:K2251))</f>
        <v/>
      </c>
      <c r="M2251" s="25">
        <f>IF(COUNTIFS($C:$C,$C2251,$D:$D,"P0(전)",$L:$L,"&gt;0")&lt;&gt;1,"P0(전) 유효 1개 아님",IF(COUNTIFS($C:$C,$C2251,$D:$D,"P0(후)",$L:$L,"&gt;0")&lt;&gt;1,"P0(후) 유효 1개 아님",IF(NOT(AND(ISNUMBER(N2251),ISNUMBER(P2251),ISNUMBER(H2251))),"시각 결측",IF(P2251&lt;=N2251,"P0 시각 역전",IF(OR(H2251&lt;N2251,H2251&gt;P2251),"측정시각 구간 밖","OK")))))</f>
        <v/>
      </c>
      <c r="N2251" s="45">
        <f>IF(COUNTIFS($C:$C,$C2251,$D:$D,"P0(전)",$L:$L,"&gt;0")&lt;&gt;1,"",SUMIFS($H:$H,$C:$C,$C2251,$D:$D,"P0(전)"))</f>
        <v/>
      </c>
      <c r="O2251" s="30">
        <f>IF(COUNTIFS($C:$C,$C2251,$D:$D,"P0(전)",$L:$L,"&gt;0")&lt;&gt;1,"",SUMIFS($L:$L,$C:$C,$C2251,$D:$D,"P0(전)"))</f>
        <v/>
      </c>
      <c r="P2251" s="45">
        <f>IF(COUNTIFS($C:$C,$C2251,$D:$D,"P0(후)",$L:$L,"&gt;0")&lt;&gt;1,"",SUMIFS($H:$H,$C:$C,$C2251,$D:$D,"P0(후)"))</f>
        <v/>
      </c>
      <c r="Q2251" s="30">
        <f>IF(COUNTIFS($C:$C,$C2251,$D:$D,"P0(후)",$L:$L,"&gt;0")&lt;&gt;1,"",SUMIFS($L:$L,$C:$C,$C2251,$D:$D,"P0(후)"))</f>
        <v/>
      </c>
      <c r="R2251" s="30">
        <f>IF(M2251&lt;&gt;"OK","",O2251+(Q2251-O2251)*(H2251-N2251)/(P2251-N2251))</f>
        <v/>
      </c>
      <c r="S2251" s="30">
        <f>IF(OR(M2251&lt;&gt;"OK",NOT(ISNUMBER(L2251))),"",L2251-R2251)</f>
        <v/>
      </c>
      <c r="T2251" s="46">
        <f>IF(OR(NOT(ISNUMBER(S2251)),IF(ISNUMBER(G2251),G2251,F2251)=0),"",S2251/IF(ISNUMBER(G2251),G2251,F2251))</f>
        <v/>
      </c>
      <c r="U2251" s="46">
        <f>IF(ISNUMBER(T2251),ABS(T2251),"")</f>
        <v/>
      </c>
      <c r="V2251" s="46">
        <f>IF(OR($D2250&lt;&gt;"측정",$C2250&lt;&gt;$C2251,NOT(ISNUMBER(L2251)),NOT(ISNUMBER(L2250)),(IF(ISNUMBER(G2251),G2251,F2251)-IF(ISNUMBER(G2250),G2250,F2250))=0),"",(L2251-L2250)/(IF(ISNUMBER(G2251),G2251,F2251)-IF(ISNUMBER(G2250),G2250,F2250)))</f>
        <v/>
      </c>
      <c r="W2251" s="30">
        <f>IF(NOT(AND(ISNUMBER(N2251),ISNUMBER(P2251))),"",(P2251-N2251)*1440)</f>
        <v/>
      </c>
      <c r="X2251" s="28" t="n"/>
      <c r="Y2251" s="28" t="n"/>
      <c r="Z2251" s="28" t="n"/>
      <c r="AA2251" s="31" t="n"/>
      <c r="AB2251" s="31" t="n"/>
    </row>
    <row r="2252">
      <c r="A2252" s="25" t="inlineStr">
        <is>
          <t>S44</t>
        </is>
      </c>
      <c r="B2252" s="25" t="inlineStr">
        <is>
          <t>성산</t>
        </is>
      </c>
      <c r="C2252" s="25" t="inlineStr">
        <is>
          <t>S44-H동</t>
        </is>
      </c>
      <c r="D2252" s="25" t="inlineStr">
        <is>
          <t>측정</t>
        </is>
      </c>
      <c r="E2252" s="25" t="inlineStr">
        <is>
          <t>동</t>
        </is>
      </c>
      <c r="F2252" s="30" t="n">
        <v>10</v>
      </c>
      <c r="G2252" s="29" t="n"/>
      <c r="H2252" s="42" t="n"/>
      <c r="I2252" s="40" t="n"/>
      <c r="J2252" s="40" t="n"/>
      <c r="K2252" s="40" t="n"/>
      <c r="L2252" s="30">
        <f>IF(COUNT(I2252:K2252)=0,"",MEDIAN(I2252:K2252))</f>
        <v/>
      </c>
      <c r="M2252" s="25">
        <f>IF(COUNTIFS($C:$C,$C2252,$D:$D,"P0(전)",$L:$L,"&gt;0")&lt;&gt;1,"P0(전) 유효 1개 아님",IF(COUNTIFS($C:$C,$C2252,$D:$D,"P0(후)",$L:$L,"&gt;0")&lt;&gt;1,"P0(후) 유효 1개 아님",IF(NOT(AND(ISNUMBER(N2252),ISNUMBER(P2252),ISNUMBER(H2252))),"시각 결측",IF(P2252&lt;=N2252,"P0 시각 역전",IF(OR(H2252&lt;N2252,H2252&gt;P2252),"측정시각 구간 밖","OK")))))</f>
        <v/>
      </c>
      <c r="N2252" s="45">
        <f>IF(COUNTIFS($C:$C,$C2252,$D:$D,"P0(전)",$L:$L,"&gt;0")&lt;&gt;1,"",SUMIFS($H:$H,$C:$C,$C2252,$D:$D,"P0(전)"))</f>
        <v/>
      </c>
      <c r="O2252" s="30">
        <f>IF(COUNTIFS($C:$C,$C2252,$D:$D,"P0(전)",$L:$L,"&gt;0")&lt;&gt;1,"",SUMIFS($L:$L,$C:$C,$C2252,$D:$D,"P0(전)"))</f>
        <v/>
      </c>
      <c r="P2252" s="45">
        <f>IF(COUNTIFS($C:$C,$C2252,$D:$D,"P0(후)",$L:$L,"&gt;0")&lt;&gt;1,"",SUMIFS($H:$H,$C:$C,$C2252,$D:$D,"P0(후)"))</f>
        <v/>
      </c>
      <c r="Q2252" s="30">
        <f>IF(COUNTIFS($C:$C,$C2252,$D:$D,"P0(후)",$L:$L,"&gt;0")&lt;&gt;1,"",SUMIFS($L:$L,$C:$C,$C2252,$D:$D,"P0(후)"))</f>
        <v/>
      </c>
      <c r="R2252" s="30">
        <f>IF(M2252&lt;&gt;"OK","",O2252+(Q2252-O2252)*(H2252-N2252)/(P2252-N2252))</f>
        <v/>
      </c>
      <c r="S2252" s="30">
        <f>IF(OR(M2252&lt;&gt;"OK",NOT(ISNUMBER(L2252))),"",L2252-R2252)</f>
        <v/>
      </c>
      <c r="T2252" s="46">
        <f>IF(OR(NOT(ISNUMBER(S2252)),IF(ISNUMBER(G2252),G2252,F2252)=0),"",S2252/IF(ISNUMBER(G2252),G2252,F2252))</f>
        <v/>
      </c>
      <c r="U2252" s="46">
        <f>IF(ISNUMBER(T2252),ABS(T2252),"")</f>
        <v/>
      </c>
      <c r="V2252" s="46">
        <f>IF(OR($D2251&lt;&gt;"측정",$C2251&lt;&gt;$C2252,NOT(ISNUMBER(L2252)),NOT(ISNUMBER(L2251)),(IF(ISNUMBER(G2252),G2252,F2252)-IF(ISNUMBER(G2251),G2251,F2251))=0),"",(L2252-L2251)/(IF(ISNUMBER(G2252),G2252,F2252)-IF(ISNUMBER(G2251),G2251,F2251)))</f>
        <v/>
      </c>
      <c r="W2252" s="30">
        <f>IF(NOT(AND(ISNUMBER(N2252),ISNUMBER(P2252))),"",(P2252-N2252)*1440)</f>
        <v/>
      </c>
      <c r="X2252" s="28" t="n"/>
      <c r="Y2252" s="28" t="n"/>
      <c r="Z2252" s="28" t="n"/>
      <c r="AA2252" s="31" t="n"/>
      <c r="AB2252" s="31" t="n"/>
    </row>
    <row r="2253">
      <c r="A2253" s="43" t="inlineStr">
        <is>
          <t>S44</t>
        </is>
      </c>
      <c r="B2253" s="43" t="inlineStr">
        <is>
          <t>성산</t>
        </is>
      </c>
      <c r="C2253" s="43" t="inlineStr">
        <is>
          <t>S44-H동</t>
        </is>
      </c>
      <c r="D2253" s="43" t="inlineStr">
        <is>
          <t>P0(후)</t>
        </is>
      </c>
      <c r="E2253" s="43" t="inlineStr">
        <is>
          <t>동</t>
        </is>
      </c>
      <c r="F2253" s="44" t="n"/>
      <c r="G2253" s="29" t="n"/>
      <c r="H2253" s="42" t="n"/>
      <c r="I2253" s="40" t="n"/>
      <c r="J2253" s="40" t="n"/>
      <c r="K2253" s="40" t="n"/>
      <c r="L2253" s="30">
        <f>IF(COUNT(I2253:K2253)=0,"",MEDIAN(I2253:K2253))</f>
        <v/>
      </c>
      <c r="M2253" s="37" t="n"/>
      <c r="N2253" s="37" t="n"/>
      <c r="O2253" s="37" t="n"/>
      <c r="P2253" s="37" t="n"/>
      <c r="Q2253" s="37" t="n"/>
      <c r="R2253" s="37" t="n"/>
      <c r="S2253" s="37" t="n"/>
      <c r="T2253" s="37" t="n"/>
      <c r="U2253" s="37" t="n"/>
      <c r="V2253" s="37" t="n"/>
      <c r="W2253" s="37" t="n"/>
      <c r="X2253" s="28" t="n"/>
      <c r="Y2253" s="28" t="n"/>
      <c r="Z2253" s="28" t="n"/>
      <c r="AA2253" s="31" t="n"/>
      <c r="AB2253" s="31" t="n"/>
    </row>
    <row r="2254">
      <c r="A2254" s="43" t="inlineStr">
        <is>
          <t>S44</t>
        </is>
      </c>
      <c r="B2254" s="43" t="inlineStr">
        <is>
          <t>성산</t>
        </is>
      </c>
      <c r="C2254" s="43" t="inlineStr">
        <is>
          <t>S44-H서</t>
        </is>
      </c>
      <c r="D2254" s="43" t="inlineStr">
        <is>
          <t>P0(전)</t>
        </is>
      </c>
      <c r="E2254" s="43" t="inlineStr">
        <is>
          <t>서</t>
        </is>
      </c>
      <c r="F2254" s="44" t="n"/>
      <c r="G2254" s="29" t="n"/>
      <c r="H2254" s="42" t="n"/>
      <c r="I2254" s="40" t="n"/>
      <c r="J2254" s="40" t="n"/>
      <c r="K2254" s="40" t="n"/>
      <c r="L2254" s="30">
        <f>IF(COUNT(I2254:K2254)=0,"",MEDIAN(I2254:K2254))</f>
        <v/>
      </c>
      <c r="M2254" s="37" t="n"/>
      <c r="N2254" s="37" t="n"/>
      <c r="O2254" s="37" t="n"/>
      <c r="P2254" s="37" t="n"/>
      <c r="Q2254" s="37" t="n"/>
      <c r="R2254" s="37" t="n"/>
      <c r="S2254" s="37" t="n"/>
      <c r="T2254" s="37" t="n"/>
      <c r="U2254" s="37" t="n"/>
      <c r="V2254" s="37" t="n"/>
      <c r="W2254" s="37" t="n"/>
      <c r="X2254" s="28" t="n"/>
      <c r="Y2254" s="28" t="n"/>
      <c r="Z2254" s="28" t="n"/>
      <c r="AA2254" s="31" t="n"/>
      <c r="AB2254" s="31" t="n"/>
    </row>
    <row r="2255">
      <c r="A2255" s="25" t="inlineStr">
        <is>
          <t>S44</t>
        </is>
      </c>
      <c r="B2255" s="25" t="inlineStr">
        <is>
          <t>성산</t>
        </is>
      </c>
      <c r="C2255" s="25" t="inlineStr">
        <is>
          <t>S44-H서</t>
        </is>
      </c>
      <c r="D2255" s="25" t="inlineStr">
        <is>
          <t>측정</t>
        </is>
      </c>
      <c r="E2255" s="25" t="inlineStr">
        <is>
          <t>서</t>
        </is>
      </c>
      <c r="F2255" s="30" t="n">
        <v>0.5</v>
      </c>
      <c r="G2255" s="29" t="n"/>
      <c r="H2255" s="42" t="n"/>
      <c r="I2255" s="40" t="n"/>
      <c r="J2255" s="40" t="n"/>
      <c r="K2255" s="40" t="n"/>
      <c r="L2255" s="30">
        <f>IF(COUNT(I2255:K2255)=0,"",MEDIAN(I2255:K2255))</f>
        <v/>
      </c>
      <c r="M2255" s="25">
        <f>IF(COUNTIFS($C:$C,$C2255,$D:$D,"P0(전)",$L:$L,"&gt;0")&lt;&gt;1,"P0(전) 유효 1개 아님",IF(COUNTIFS($C:$C,$C2255,$D:$D,"P0(후)",$L:$L,"&gt;0")&lt;&gt;1,"P0(후) 유효 1개 아님",IF(NOT(AND(ISNUMBER(N2255),ISNUMBER(P2255),ISNUMBER(H2255))),"시각 결측",IF(P2255&lt;=N2255,"P0 시각 역전",IF(OR(H2255&lt;N2255,H2255&gt;P2255),"측정시각 구간 밖","OK")))))</f>
        <v/>
      </c>
      <c r="N2255" s="45">
        <f>IF(COUNTIFS($C:$C,$C2255,$D:$D,"P0(전)",$L:$L,"&gt;0")&lt;&gt;1,"",SUMIFS($H:$H,$C:$C,$C2255,$D:$D,"P0(전)"))</f>
        <v/>
      </c>
      <c r="O2255" s="30">
        <f>IF(COUNTIFS($C:$C,$C2255,$D:$D,"P0(전)",$L:$L,"&gt;0")&lt;&gt;1,"",SUMIFS($L:$L,$C:$C,$C2255,$D:$D,"P0(전)"))</f>
        <v/>
      </c>
      <c r="P2255" s="45">
        <f>IF(COUNTIFS($C:$C,$C2255,$D:$D,"P0(후)",$L:$L,"&gt;0")&lt;&gt;1,"",SUMIFS($H:$H,$C:$C,$C2255,$D:$D,"P0(후)"))</f>
        <v/>
      </c>
      <c r="Q2255" s="30">
        <f>IF(COUNTIFS($C:$C,$C2255,$D:$D,"P0(후)",$L:$L,"&gt;0")&lt;&gt;1,"",SUMIFS($L:$L,$C:$C,$C2255,$D:$D,"P0(후)"))</f>
        <v/>
      </c>
      <c r="R2255" s="30">
        <f>IF(M2255&lt;&gt;"OK","",O2255+(Q2255-O2255)*(H2255-N2255)/(P2255-N2255))</f>
        <v/>
      </c>
      <c r="S2255" s="30">
        <f>IF(OR(M2255&lt;&gt;"OK",NOT(ISNUMBER(L2255))),"",L2255-R2255)</f>
        <v/>
      </c>
      <c r="T2255" s="46">
        <f>IF(OR(NOT(ISNUMBER(S2255)),IF(ISNUMBER(G2255),G2255,F2255)=0),"",S2255/IF(ISNUMBER(G2255),G2255,F2255))</f>
        <v/>
      </c>
      <c r="U2255" s="46">
        <f>IF(ISNUMBER(T2255),ABS(T2255),"")</f>
        <v/>
      </c>
      <c r="V2255" s="46">
        <f>IF(OR($D2254&lt;&gt;"측정",$C2254&lt;&gt;$C2255,NOT(ISNUMBER(L2255)),NOT(ISNUMBER(L2254)),(IF(ISNUMBER(G2255),G2255,F2255)-IF(ISNUMBER(G2254),G2254,F2254))=0),"",(L2255-L2254)/(IF(ISNUMBER(G2255),G2255,F2255)-IF(ISNUMBER(G2254),G2254,F2254)))</f>
        <v/>
      </c>
      <c r="W2255" s="30">
        <f>IF(NOT(AND(ISNUMBER(N2255),ISNUMBER(P2255))),"",(P2255-N2255)*1440)</f>
        <v/>
      </c>
      <c r="X2255" s="28" t="n"/>
      <c r="Y2255" s="28" t="n"/>
      <c r="Z2255" s="28" t="n"/>
      <c r="AA2255" s="31" t="n"/>
      <c r="AB2255" s="31" t="n"/>
    </row>
    <row r="2256">
      <c r="A2256" s="25" t="inlineStr">
        <is>
          <t>S44</t>
        </is>
      </c>
      <c r="B2256" s="25" t="inlineStr">
        <is>
          <t>성산</t>
        </is>
      </c>
      <c r="C2256" s="25" t="inlineStr">
        <is>
          <t>S44-H서</t>
        </is>
      </c>
      <c r="D2256" s="25" t="inlineStr">
        <is>
          <t>측정</t>
        </is>
      </c>
      <c r="E2256" s="25" t="inlineStr">
        <is>
          <t>서</t>
        </is>
      </c>
      <c r="F2256" s="30" t="n">
        <v>1</v>
      </c>
      <c r="G2256" s="29" t="n"/>
      <c r="H2256" s="42" t="n"/>
      <c r="I2256" s="40" t="n"/>
      <c r="J2256" s="40" t="n"/>
      <c r="K2256" s="40" t="n"/>
      <c r="L2256" s="30">
        <f>IF(COUNT(I2256:K2256)=0,"",MEDIAN(I2256:K2256))</f>
        <v/>
      </c>
      <c r="M2256" s="25">
        <f>IF(COUNTIFS($C:$C,$C2256,$D:$D,"P0(전)",$L:$L,"&gt;0")&lt;&gt;1,"P0(전) 유효 1개 아님",IF(COUNTIFS($C:$C,$C2256,$D:$D,"P0(후)",$L:$L,"&gt;0")&lt;&gt;1,"P0(후) 유효 1개 아님",IF(NOT(AND(ISNUMBER(N2256),ISNUMBER(P2256),ISNUMBER(H2256))),"시각 결측",IF(P2256&lt;=N2256,"P0 시각 역전",IF(OR(H2256&lt;N2256,H2256&gt;P2256),"측정시각 구간 밖","OK")))))</f>
        <v/>
      </c>
      <c r="N2256" s="45">
        <f>IF(COUNTIFS($C:$C,$C2256,$D:$D,"P0(전)",$L:$L,"&gt;0")&lt;&gt;1,"",SUMIFS($H:$H,$C:$C,$C2256,$D:$D,"P0(전)"))</f>
        <v/>
      </c>
      <c r="O2256" s="30">
        <f>IF(COUNTIFS($C:$C,$C2256,$D:$D,"P0(전)",$L:$L,"&gt;0")&lt;&gt;1,"",SUMIFS($L:$L,$C:$C,$C2256,$D:$D,"P0(전)"))</f>
        <v/>
      </c>
      <c r="P2256" s="45">
        <f>IF(COUNTIFS($C:$C,$C2256,$D:$D,"P0(후)",$L:$L,"&gt;0")&lt;&gt;1,"",SUMIFS($H:$H,$C:$C,$C2256,$D:$D,"P0(후)"))</f>
        <v/>
      </c>
      <c r="Q2256" s="30">
        <f>IF(COUNTIFS($C:$C,$C2256,$D:$D,"P0(후)",$L:$L,"&gt;0")&lt;&gt;1,"",SUMIFS($L:$L,$C:$C,$C2256,$D:$D,"P0(후)"))</f>
        <v/>
      </c>
      <c r="R2256" s="30">
        <f>IF(M2256&lt;&gt;"OK","",O2256+(Q2256-O2256)*(H2256-N2256)/(P2256-N2256))</f>
        <v/>
      </c>
      <c r="S2256" s="30">
        <f>IF(OR(M2256&lt;&gt;"OK",NOT(ISNUMBER(L2256))),"",L2256-R2256)</f>
        <v/>
      </c>
      <c r="T2256" s="46">
        <f>IF(OR(NOT(ISNUMBER(S2256)),IF(ISNUMBER(G2256),G2256,F2256)=0),"",S2256/IF(ISNUMBER(G2256),G2256,F2256))</f>
        <v/>
      </c>
      <c r="U2256" s="46">
        <f>IF(ISNUMBER(T2256),ABS(T2256),"")</f>
        <v/>
      </c>
      <c r="V2256" s="46">
        <f>IF(OR($D2255&lt;&gt;"측정",$C2255&lt;&gt;$C2256,NOT(ISNUMBER(L2256)),NOT(ISNUMBER(L2255)),(IF(ISNUMBER(G2256),G2256,F2256)-IF(ISNUMBER(G2255),G2255,F2255))=0),"",(L2256-L2255)/(IF(ISNUMBER(G2256),G2256,F2256)-IF(ISNUMBER(G2255),G2255,F2255)))</f>
        <v/>
      </c>
      <c r="W2256" s="30">
        <f>IF(NOT(AND(ISNUMBER(N2256),ISNUMBER(P2256))),"",(P2256-N2256)*1440)</f>
        <v/>
      </c>
      <c r="X2256" s="28" t="n"/>
      <c r="Y2256" s="28" t="n"/>
      <c r="Z2256" s="28" t="n"/>
      <c r="AA2256" s="31" t="n"/>
      <c r="AB2256" s="31" t="n"/>
    </row>
    <row r="2257">
      <c r="A2257" s="25" t="inlineStr">
        <is>
          <t>S44</t>
        </is>
      </c>
      <c r="B2257" s="25" t="inlineStr">
        <is>
          <t>성산</t>
        </is>
      </c>
      <c r="C2257" s="25" t="inlineStr">
        <is>
          <t>S44-H서</t>
        </is>
      </c>
      <c r="D2257" s="25" t="inlineStr">
        <is>
          <t>측정</t>
        </is>
      </c>
      <c r="E2257" s="25" t="inlineStr">
        <is>
          <t>서</t>
        </is>
      </c>
      <c r="F2257" s="30" t="n">
        <v>2</v>
      </c>
      <c r="G2257" s="29" t="n"/>
      <c r="H2257" s="42" t="n"/>
      <c r="I2257" s="40" t="n"/>
      <c r="J2257" s="40" t="n"/>
      <c r="K2257" s="40" t="n"/>
      <c r="L2257" s="30">
        <f>IF(COUNT(I2257:K2257)=0,"",MEDIAN(I2257:K2257))</f>
        <v/>
      </c>
      <c r="M2257" s="25">
        <f>IF(COUNTIFS($C:$C,$C2257,$D:$D,"P0(전)",$L:$L,"&gt;0")&lt;&gt;1,"P0(전) 유효 1개 아님",IF(COUNTIFS($C:$C,$C2257,$D:$D,"P0(후)",$L:$L,"&gt;0")&lt;&gt;1,"P0(후) 유효 1개 아님",IF(NOT(AND(ISNUMBER(N2257),ISNUMBER(P2257),ISNUMBER(H2257))),"시각 결측",IF(P2257&lt;=N2257,"P0 시각 역전",IF(OR(H2257&lt;N2257,H2257&gt;P2257),"측정시각 구간 밖","OK")))))</f>
        <v/>
      </c>
      <c r="N2257" s="45">
        <f>IF(COUNTIFS($C:$C,$C2257,$D:$D,"P0(전)",$L:$L,"&gt;0")&lt;&gt;1,"",SUMIFS($H:$H,$C:$C,$C2257,$D:$D,"P0(전)"))</f>
        <v/>
      </c>
      <c r="O2257" s="30">
        <f>IF(COUNTIFS($C:$C,$C2257,$D:$D,"P0(전)",$L:$L,"&gt;0")&lt;&gt;1,"",SUMIFS($L:$L,$C:$C,$C2257,$D:$D,"P0(전)"))</f>
        <v/>
      </c>
      <c r="P2257" s="45">
        <f>IF(COUNTIFS($C:$C,$C2257,$D:$D,"P0(후)",$L:$L,"&gt;0")&lt;&gt;1,"",SUMIFS($H:$H,$C:$C,$C2257,$D:$D,"P0(후)"))</f>
        <v/>
      </c>
      <c r="Q2257" s="30">
        <f>IF(COUNTIFS($C:$C,$C2257,$D:$D,"P0(후)",$L:$L,"&gt;0")&lt;&gt;1,"",SUMIFS($L:$L,$C:$C,$C2257,$D:$D,"P0(후)"))</f>
        <v/>
      </c>
      <c r="R2257" s="30">
        <f>IF(M2257&lt;&gt;"OK","",O2257+(Q2257-O2257)*(H2257-N2257)/(P2257-N2257))</f>
        <v/>
      </c>
      <c r="S2257" s="30">
        <f>IF(OR(M2257&lt;&gt;"OK",NOT(ISNUMBER(L2257))),"",L2257-R2257)</f>
        <v/>
      </c>
      <c r="T2257" s="46">
        <f>IF(OR(NOT(ISNUMBER(S2257)),IF(ISNUMBER(G2257),G2257,F2257)=0),"",S2257/IF(ISNUMBER(G2257),G2257,F2257))</f>
        <v/>
      </c>
      <c r="U2257" s="46">
        <f>IF(ISNUMBER(T2257),ABS(T2257),"")</f>
        <v/>
      </c>
      <c r="V2257" s="46">
        <f>IF(OR($D2256&lt;&gt;"측정",$C2256&lt;&gt;$C2257,NOT(ISNUMBER(L2257)),NOT(ISNUMBER(L2256)),(IF(ISNUMBER(G2257),G2257,F2257)-IF(ISNUMBER(G2256),G2256,F2256))=0),"",(L2257-L2256)/(IF(ISNUMBER(G2257),G2257,F2257)-IF(ISNUMBER(G2256),G2256,F2256)))</f>
        <v/>
      </c>
      <c r="W2257" s="30">
        <f>IF(NOT(AND(ISNUMBER(N2257),ISNUMBER(P2257))),"",(P2257-N2257)*1440)</f>
        <v/>
      </c>
      <c r="X2257" s="28" t="n"/>
      <c r="Y2257" s="28" t="n"/>
      <c r="Z2257" s="28" t="n"/>
      <c r="AA2257" s="31" t="n"/>
      <c r="AB2257" s="31" t="n"/>
    </row>
    <row r="2258">
      <c r="A2258" s="25" t="inlineStr">
        <is>
          <t>S44</t>
        </is>
      </c>
      <c r="B2258" s="25" t="inlineStr">
        <is>
          <t>성산</t>
        </is>
      </c>
      <c r="C2258" s="25" t="inlineStr">
        <is>
          <t>S44-H서</t>
        </is>
      </c>
      <c r="D2258" s="25" t="inlineStr">
        <is>
          <t>측정</t>
        </is>
      </c>
      <c r="E2258" s="25" t="inlineStr">
        <is>
          <t>서</t>
        </is>
      </c>
      <c r="F2258" s="30" t="n">
        <v>3</v>
      </c>
      <c r="G2258" s="29" t="n"/>
      <c r="H2258" s="42" t="n"/>
      <c r="I2258" s="40" t="n"/>
      <c r="J2258" s="40" t="n"/>
      <c r="K2258" s="40" t="n"/>
      <c r="L2258" s="30">
        <f>IF(COUNT(I2258:K2258)=0,"",MEDIAN(I2258:K2258))</f>
        <v/>
      </c>
      <c r="M2258" s="25">
        <f>IF(COUNTIFS($C:$C,$C2258,$D:$D,"P0(전)",$L:$L,"&gt;0")&lt;&gt;1,"P0(전) 유효 1개 아님",IF(COUNTIFS($C:$C,$C2258,$D:$D,"P0(후)",$L:$L,"&gt;0")&lt;&gt;1,"P0(후) 유효 1개 아님",IF(NOT(AND(ISNUMBER(N2258),ISNUMBER(P2258),ISNUMBER(H2258))),"시각 결측",IF(P2258&lt;=N2258,"P0 시각 역전",IF(OR(H2258&lt;N2258,H2258&gt;P2258),"측정시각 구간 밖","OK")))))</f>
        <v/>
      </c>
      <c r="N2258" s="45">
        <f>IF(COUNTIFS($C:$C,$C2258,$D:$D,"P0(전)",$L:$L,"&gt;0")&lt;&gt;1,"",SUMIFS($H:$H,$C:$C,$C2258,$D:$D,"P0(전)"))</f>
        <v/>
      </c>
      <c r="O2258" s="30">
        <f>IF(COUNTIFS($C:$C,$C2258,$D:$D,"P0(전)",$L:$L,"&gt;0")&lt;&gt;1,"",SUMIFS($L:$L,$C:$C,$C2258,$D:$D,"P0(전)"))</f>
        <v/>
      </c>
      <c r="P2258" s="45">
        <f>IF(COUNTIFS($C:$C,$C2258,$D:$D,"P0(후)",$L:$L,"&gt;0")&lt;&gt;1,"",SUMIFS($H:$H,$C:$C,$C2258,$D:$D,"P0(후)"))</f>
        <v/>
      </c>
      <c r="Q2258" s="30">
        <f>IF(COUNTIFS($C:$C,$C2258,$D:$D,"P0(후)",$L:$L,"&gt;0")&lt;&gt;1,"",SUMIFS($L:$L,$C:$C,$C2258,$D:$D,"P0(후)"))</f>
        <v/>
      </c>
      <c r="R2258" s="30">
        <f>IF(M2258&lt;&gt;"OK","",O2258+(Q2258-O2258)*(H2258-N2258)/(P2258-N2258))</f>
        <v/>
      </c>
      <c r="S2258" s="30">
        <f>IF(OR(M2258&lt;&gt;"OK",NOT(ISNUMBER(L2258))),"",L2258-R2258)</f>
        <v/>
      </c>
      <c r="T2258" s="46">
        <f>IF(OR(NOT(ISNUMBER(S2258)),IF(ISNUMBER(G2258),G2258,F2258)=0),"",S2258/IF(ISNUMBER(G2258),G2258,F2258))</f>
        <v/>
      </c>
      <c r="U2258" s="46">
        <f>IF(ISNUMBER(T2258),ABS(T2258),"")</f>
        <v/>
      </c>
      <c r="V2258" s="46">
        <f>IF(OR($D2257&lt;&gt;"측정",$C2257&lt;&gt;$C2258,NOT(ISNUMBER(L2258)),NOT(ISNUMBER(L2257)),(IF(ISNUMBER(G2258),G2258,F2258)-IF(ISNUMBER(G2257),G2257,F2257))=0),"",(L2258-L2257)/(IF(ISNUMBER(G2258),G2258,F2258)-IF(ISNUMBER(G2257),G2257,F2257)))</f>
        <v/>
      </c>
      <c r="W2258" s="30">
        <f>IF(NOT(AND(ISNUMBER(N2258),ISNUMBER(P2258))),"",(P2258-N2258)*1440)</f>
        <v/>
      </c>
      <c r="X2258" s="28" t="n"/>
      <c r="Y2258" s="28" t="n"/>
      <c r="Z2258" s="28" t="n"/>
      <c r="AA2258" s="31" t="n"/>
      <c r="AB2258" s="31" t="n"/>
    </row>
    <row r="2259">
      <c r="A2259" s="25" t="inlineStr">
        <is>
          <t>S44</t>
        </is>
      </c>
      <c r="B2259" s="25" t="inlineStr">
        <is>
          <t>성산</t>
        </is>
      </c>
      <c r="C2259" s="25" t="inlineStr">
        <is>
          <t>S44-H서</t>
        </is>
      </c>
      <c r="D2259" s="25" t="inlineStr">
        <is>
          <t>측정</t>
        </is>
      </c>
      <c r="E2259" s="25" t="inlineStr">
        <is>
          <t>서</t>
        </is>
      </c>
      <c r="F2259" s="30" t="n">
        <v>4</v>
      </c>
      <c r="G2259" s="29" t="n"/>
      <c r="H2259" s="42" t="n"/>
      <c r="I2259" s="40" t="n"/>
      <c r="J2259" s="40" t="n"/>
      <c r="K2259" s="40" t="n"/>
      <c r="L2259" s="30">
        <f>IF(COUNT(I2259:K2259)=0,"",MEDIAN(I2259:K2259))</f>
        <v/>
      </c>
      <c r="M2259" s="25">
        <f>IF(COUNTIFS($C:$C,$C2259,$D:$D,"P0(전)",$L:$L,"&gt;0")&lt;&gt;1,"P0(전) 유효 1개 아님",IF(COUNTIFS($C:$C,$C2259,$D:$D,"P0(후)",$L:$L,"&gt;0")&lt;&gt;1,"P0(후) 유효 1개 아님",IF(NOT(AND(ISNUMBER(N2259),ISNUMBER(P2259),ISNUMBER(H2259))),"시각 결측",IF(P2259&lt;=N2259,"P0 시각 역전",IF(OR(H2259&lt;N2259,H2259&gt;P2259),"측정시각 구간 밖","OK")))))</f>
        <v/>
      </c>
      <c r="N2259" s="45">
        <f>IF(COUNTIFS($C:$C,$C2259,$D:$D,"P0(전)",$L:$L,"&gt;0")&lt;&gt;1,"",SUMIFS($H:$H,$C:$C,$C2259,$D:$D,"P0(전)"))</f>
        <v/>
      </c>
      <c r="O2259" s="30">
        <f>IF(COUNTIFS($C:$C,$C2259,$D:$D,"P0(전)",$L:$L,"&gt;0")&lt;&gt;1,"",SUMIFS($L:$L,$C:$C,$C2259,$D:$D,"P0(전)"))</f>
        <v/>
      </c>
      <c r="P2259" s="45">
        <f>IF(COUNTIFS($C:$C,$C2259,$D:$D,"P0(후)",$L:$L,"&gt;0")&lt;&gt;1,"",SUMIFS($H:$H,$C:$C,$C2259,$D:$D,"P0(후)"))</f>
        <v/>
      </c>
      <c r="Q2259" s="30">
        <f>IF(COUNTIFS($C:$C,$C2259,$D:$D,"P0(후)",$L:$L,"&gt;0")&lt;&gt;1,"",SUMIFS($L:$L,$C:$C,$C2259,$D:$D,"P0(후)"))</f>
        <v/>
      </c>
      <c r="R2259" s="30">
        <f>IF(M2259&lt;&gt;"OK","",O2259+(Q2259-O2259)*(H2259-N2259)/(P2259-N2259))</f>
        <v/>
      </c>
      <c r="S2259" s="30">
        <f>IF(OR(M2259&lt;&gt;"OK",NOT(ISNUMBER(L2259))),"",L2259-R2259)</f>
        <v/>
      </c>
      <c r="T2259" s="46">
        <f>IF(OR(NOT(ISNUMBER(S2259)),IF(ISNUMBER(G2259),G2259,F2259)=0),"",S2259/IF(ISNUMBER(G2259),G2259,F2259))</f>
        <v/>
      </c>
      <c r="U2259" s="46">
        <f>IF(ISNUMBER(T2259),ABS(T2259),"")</f>
        <v/>
      </c>
      <c r="V2259" s="46">
        <f>IF(OR($D2258&lt;&gt;"측정",$C2258&lt;&gt;$C2259,NOT(ISNUMBER(L2259)),NOT(ISNUMBER(L2258)),(IF(ISNUMBER(G2259),G2259,F2259)-IF(ISNUMBER(G2258),G2258,F2258))=0),"",(L2259-L2258)/(IF(ISNUMBER(G2259),G2259,F2259)-IF(ISNUMBER(G2258),G2258,F2258)))</f>
        <v/>
      </c>
      <c r="W2259" s="30">
        <f>IF(NOT(AND(ISNUMBER(N2259),ISNUMBER(P2259))),"",(P2259-N2259)*1440)</f>
        <v/>
      </c>
      <c r="X2259" s="28" t="n"/>
      <c r="Y2259" s="28" t="n"/>
      <c r="Z2259" s="28" t="n"/>
      <c r="AA2259" s="31" t="n"/>
      <c r="AB2259" s="31" t="n"/>
    </row>
    <row r="2260">
      <c r="A2260" s="25" t="inlineStr">
        <is>
          <t>S44</t>
        </is>
      </c>
      <c r="B2260" s="25" t="inlineStr">
        <is>
          <t>성산</t>
        </is>
      </c>
      <c r="C2260" s="25" t="inlineStr">
        <is>
          <t>S44-H서</t>
        </is>
      </c>
      <c r="D2260" s="25" t="inlineStr">
        <is>
          <t>측정</t>
        </is>
      </c>
      <c r="E2260" s="25" t="inlineStr">
        <is>
          <t>서</t>
        </is>
      </c>
      <c r="F2260" s="30" t="n">
        <v>5</v>
      </c>
      <c r="G2260" s="29" t="n"/>
      <c r="H2260" s="42" t="n"/>
      <c r="I2260" s="40" t="n"/>
      <c r="J2260" s="40" t="n"/>
      <c r="K2260" s="40" t="n"/>
      <c r="L2260" s="30">
        <f>IF(COUNT(I2260:K2260)=0,"",MEDIAN(I2260:K2260))</f>
        <v/>
      </c>
      <c r="M2260" s="25">
        <f>IF(COUNTIFS($C:$C,$C2260,$D:$D,"P0(전)",$L:$L,"&gt;0")&lt;&gt;1,"P0(전) 유효 1개 아님",IF(COUNTIFS($C:$C,$C2260,$D:$D,"P0(후)",$L:$L,"&gt;0")&lt;&gt;1,"P0(후) 유효 1개 아님",IF(NOT(AND(ISNUMBER(N2260),ISNUMBER(P2260),ISNUMBER(H2260))),"시각 결측",IF(P2260&lt;=N2260,"P0 시각 역전",IF(OR(H2260&lt;N2260,H2260&gt;P2260),"측정시각 구간 밖","OK")))))</f>
        <v/>
      </c>
      <c r="N2260" s="45">
        <f>IF(COUNTIFS($C:$C,$C2260,$D:$D,"P0(전)",$L:$L,"&gt;0")&lt;&gt;1,"",SUMIFS($H:$H,$C:$C,$C2260,$D:$D,"P0(전)"))</f>
        <v/>
      </c>
      <c r="O2260" s="30">
        <f>IF(COUNTIFS($C:$C,$C2260,$D:$D,"P0(전)",$L:$L,"&gt;0")&lt;&gt;1,"",SUMIFS($L:$L,$C:$C,$C2260,$D:$D,"P0(전)"))</f>
        <v/>
      </c>
      <c r="P2260" s="45">
        <f>IF(COUNTIFS($C:$C,$C2260,$D:$D,"P0(후)",$L:$L,"&gt;0")&lt;&gt;1,"",SUMIFS($H:$H,$C:$C,$C2260,$D:$D,"P0(후)"))</f>
        <v/>
      </c>
      <c r="Q2260" s="30">
        <f>IF(COUNTIFS($C:$C,$C2260,$D:$D,"P0(후)",$L:$L,"&gt;0")&lt;&gt;1,"",SUMIFS($L:$L,$C:$C,$C2260,$D:$D,"P0(후)"))</f>
        <v/>
      </c>
      <c r="R2260" s="30">
        <f>IF(M2260&lt;&gt;"OK","",O2260+(Q2260-O2260)*(H2260-N2260)/(P2260-N2260))</f>
        <v/>
      </c>
      <c r="S2260" s="30">
        <f>IF(OR(M2260&lt;&gt;"OK",NOT(ISNUMBER(L2260))),"",L2260-R2260)</f>
        <v/>
      </c>
      <c r="T2260" s="46">
        <f>IF(OR(NOT(ISNUMBER(S2260)),IF(ISNUMBER(G2260),G2260,F2260)=0),"",S2260/IF(ISNUMBER(G2260),G2260,F2260))</f>
        <v/>
      </c>
      <c r="U2260" s="46">
        <f>IF(ISNUMBER(T2260),ABS(T2260),"")</f>
        <v/>
      </c>
      <c r="V2260" s="46">
        <f>IF(OR($D2259&lt;&gt;"측정",$C2259&lt;&gt;$C2260,NOT(ISNUMBER(L2260)),NOT(ISNUMBER(L2259)),(IF(ISNUMBER(G2260),G2260,F2260)-IF(ISNUMBER(G2259),G2259,F2259))=0),"",(L2260-L2259)/(IF(ISNUMBER(G2260),G2260,F2260)-IF(ISNUMBER(G2259),G2259,F2259)))</f>
        <v/>
      </c>
      <c r="W2260" s="30">
        <f>IF(NOT(AND(ISNUMBER(N2260),ISNUMBER(P2260))),"",(P2260-N2260)*1440)</f>
        <v/>
      </c>
      <c r="X2260" s="28" t="n"/>
      <c r="Y2260" s="28" t="n"/>
      <c r="Z2260" s="28" t="n"/>
      <c r="AA2260" s="31" t="n"/>
      <c r="AB2260" s="31" t="n"/>
    </row>
    <row r="2261">
      <c r="A2261" s="25" t="inlineStr">
        <is>
          <t>S44</t>
        </is>
      </c>
      <c r="B2261" s="25" t="inlineStr">
        <is>
          <t>성산</t>
        </is>
      </c>
      <c r="C2261" s="25" t="inlineStr">
        <is>
          <t>S44-H서</t>
        </is>
      </c>
      <c r="D2261" s="25" t="inlineStr">
        <is>
          <t>측정</t>
        </is>
      </c>
      <c r="E2261" s="25" t="inlineStr">
        <is>
          <t>서</t>
        </is>
      </c>
      <c r="F2261" s="30" t="n">
        <v>6</v>
      </c>
      <c r="G2261" s="29" t="n"/>
      <c r="H2261" s="42" t="n"/>
      <c r="I2261" s="40" t="n"/>
      <c r="J2261" s="40" t="n"/>
      <c r="K2261" s="40" t="n"/>
      <c r="L2261" s="30">
        <f>IF(COUNT(I2261:K2261)=0,"",MEDIAN(I2261:K2261))</f>
        <v/>
      </c>
      <c r="M2261" s="25">
        <f>IF(COUNTIFS($C:$C,$C2261,$D:$D,"P0(전)",$L:$L,"&gt;0")&lt;&gt;1,"P0(전) 유효 1개 아님",IF(COUNTIFS($C:$C,$C2261,$D:$D,"P0(후)",$L:$L,"&gt;0")&lt;&gt;1,"P0(후) 유효 1개 아님",IF(NOT(AND(ISNUMBER(N2261),ISNUMBER(P2261),ISNUMBER(H2261))),"시각 결측",IF(P2261&lt;=N2261,"P0 시각 역전",IF(OR(H2261&lt;N2261,H2261&gt;P2261),"측정시각 구간 밖","OK")))))</f>
        <v/>
      </c>
      <c r="N2261" s="45">
        <f>IF(COUNTIFS($C:$C,$C2261,$D:$D,"P0(전)",$L:$L,"&gt;0")&lt;&gt;1,"",SUMIFS($H:$H,$C:$C,$C2261,$D:$D,"P0(전)"))</f>
        <v/>
      </c>
      <c r="O2261" s="30">
        <f>IF(COUNTIFS($C:$C,$C2261,$D:$D,"P0(전)",$L:$L,"&gt;0")&lt;&gt;1,"",SUMIFS($L:$L,$C:$C,$C2261,$D:$D,"P0(전)"))</f>
        <v/>
      </c>
      <c r="P2261" s="45">
        <f>IF(COUNTIFS($C:$C,$C2261,$D:$D,"P0(후)",$L:$L,"&gt;0")&lt;&gt;1,"",SUMIFS($H:$H,$C:$C,$C2261,$D:$D,"P0(후)"))</f>
        <v/>
      </c>
      <c r="Q2261" s="30">
        <f>IF(COUNTIFS($C:$C,$C2261,$D:$D,"P0(후)",$L:$L,"&gt;0")&lt;&gt;1,"",SUMIFS($L:$L,$C:$C,$C2261,$D:$D,"P0(후)"))</f>
        <v/>
      </c>
      <c r="R2261" s="30">
        <f>IF(M2261&lt;&gt;"OK","",O2261+(Q2261-O2261)*(H2261-N2261)/(P2261-N2261))</f>
        <v/>
      </c>
      <c r="S2261" s="30">
        <f>IF(OR(M2261&lt;&gt;"OK",NOT(ISNUMBER(L2261))),"",L2261-R2261)</f>
        <v/>
      </c>
      <c r="T2261" s="46">
        <f>IF(OR(NOT(ISNUMBER(S2261)),IF(ISNUMBER(G2261),G2261,F2261)=0),"",S2261/IF(ISNUMBER(G2261),G2261,F2261))</f>
        <v/>
      </c>
      <c r="U2261" s="46">
        <f>IF(ISNUMBER(T2261),ABS(T2261),"")</f>
        <v/>
      </c>
      <c r="V2261" s="46">
        <f>IF(OR($D2260&lt;&gt;"측정",$C2260&lt;&gt;$C2261,NOT(ISNUMBER(L2261)),NOT(ISNUMBER(L2260)),(IF(ISNUMBER(G2261),G2261,F2261)-IF(ISNUMBER(G2260),G2260,F2260))=0),"",(L2261-L2260)/(IF(ISNUMBER(G2261),G2261,F2261)-IF(ISNUMBER(G2260),G2260,F2260)))</f>
        <v/>
      </c>
      <c r="W2261" s="30">
        <f>IF(NOT(AND(ISNUMBER(N2261),ISNUMBER(P2261))),"",(P2261-N2261)*1440)</f>
        <v/>
      </c>
      <c r="X2261" s="28" t="n"/>
      <c r="Y2261" s="28" t="n"/>
      <c r="Z2261" s="28" t="n"/>
      <c r="AA2261" s="31" t="n"/>
      <c r="AB2261" s="31" t="n"/>
    </row>
    <row r="2262">
      <c r="A2262" s="25" t="inlineStr">
        <is>
          <t>S44</t>
        </is>
      </c>
      <c r="B2262" s="25" t="inlineStr">
        <is>
          <t>성산</t>
        </is>
      </c>
      <c r="C2262" s="25" t="inlineStr">
        <is>
          <t>S44-H서</t>
        </is>
      </c>
      <c r="D2262" s="25" t="inlineStr">
        <is>
          <t>측정</t>
        </is>
      </c>
      <c r="E2262" s="25" t="inlineStr">
        <is>
          <t>서</t>
        </is>
      </c>
      <c r="F2262" s="30" t="n">
        <v>7</v>
      </c>
      <c r="G2262" s="29" t="n"/>
      <c r="H2262" s="42" t="n"/>
      <c r="I2262" s="40" t="n"/>
      <c r="J2262" s="40" t="n"/>
      <c r="K2262" s="40" t="n"/>
      <c r="L2262" s="30">
        <f>IF(COUNT(I2262:K2262)=0,"",MEDIAN(I2262:K2262))</f>
        <v/>
      </c>
      <c r="M2262" s="25">
        <f>IF(COUNTIFS($C:$C,$C2262,$D:$D,"P0(전)",$L:$L,"&gt;0")&lt;&gt;1,"P0(전) 유효 1개 아님",IF(COUNTIFS($C:$C,$C2262,$D:$D,"P0(후)",$L:$L,"&gt;0")&lt;&gt;1,"P0(후) 유효 1개 아님",IF(NOT(AND(ISNUMBER(N2262),ISNUMBER(P2262),ISNUMBER(H2262))),"시각 결측",IF(P2262&lt;=N2262,"P0 시각 역전",IF(OR(H2262&lt;N2262,H2262&gt;P2262),"측정시각 구간 밖","OK")))))</f>
        <v/>
      </c>
      <c r="N2262" s="45">
        <f>IF(COUNTIFS($C:$C,$C2262,$D:$D,"P0(전)",$L:$L,"&gt;0")&lt;&gt;1,"",SUMIFS($H:$H,$C:$C,$C2262,$D:$D,"P0(전)"))</f>
        <v/>
      </c>
      <c r="O2262" s="30">
        <f>IF(COUNTIFS($C:$C,$C2262,$D:$D,"P0(전)",$L:$L,"&gt;0")&lt;&gt;1,"",SUMIFS($L:$L,$C:$C,$C2262,$D:$D,"P0(전)"))</f>
        <v/>
      </c>
      <c r="P2262" s="45">
        <f>IF(COUNTIFS($C:$C,$C2262,$D:$D,"P0(후)",$L:$L,"&gt;0")&lt;&gt;1,"",SUMIFS($H:$H,$C:$C,$C2262,$D:$D,"P0(후)"))</f>
        <v/>
      </c>
      <c r="Q2262" s="30">
        <f>IF(COUNTIFS($C:$C,$C2262,$D:$D,"P0(후)",$L:$L,"&gt;0")&lt;&gt;1,"",SUMIFS($L:$L,$C:$C,$C2262,$D:$D,"P0(후)"))</f>
        <v/>
      </c>
      <c r="R2262" s="30">
        <f>IF(M2262&lt;&gt;"OK","",O2262+(Q2262-O2262)*(H2262-N2262)/(P2262-N2262))</f>
        <v/>
      </c>
      <c r="S2262" s="30">
        <f>IF(OR(M2262&lt;&gt;"OK",NOT(ISNUMBER(L2262))),"",L2262-R2262)</f>
        <v/>
      </c>
      <c r="T2262" s="46">
        <f>IF(OR(NOT(ISNUMBER(S2262)),IF(ISNUMBER(G2262),G2262,F2262)=0),"",S2262/IF(ISNUMBER(G2262),G2262,F2262))</f>
        <v/>
      </c>
      <c r="U2262" s="46">
        <f>IF(ISNUMBER(T2262),ABS(T2262),"")</f>
        <v/>
      </c>
      <c r="V2262" s="46">
        <f>IF(OR($D2261&lt;&gt;"측정",$C2261&lt;&gt;$C2262,NOT(ISNUMBER(L2262)),NOT(ISNUMBER(L2261)),(IF(ISNUMBER(G2262),G2262,F2262)-IF(ISNUMBER(G2261),G2261,F2261))=0),"",(L2262-L2261)/(IF(ISNUMBER(G2262),G2262,F2262)-IF(ISNUMBER(G2261),G2261,F2261)))</f>
        <v/>
      </c>
      <c r="W2262" s="30">
        <f>IF(NOT(AND(ISNUMBER(N2262),ISNUMBER(P2262))),"",(P2262-N2262)*1440)</f>
        <v/>
      </c>
      <c r="X2262" s="28" t="n"/>
      <c r="Y2262" s="28" t="n"/>
      <c r="Z2262" s="28" t="n"/>
      <c r="AA2262" s="31" t="n"/>
      <c r="AB2262" s="31" t="n"/>
    </row>
    <row r="2263">
      <c r="A2263" s="25" t="inlineStr">
        <is>
          <t>S44</t>
        </is>
      </c>
      <c r="B2263" s="25" t="inlineStr">
        <is>
          <t>성산</t>
        </is>
      </c>
      <c r="C2263" s="25" t="inlineStr">
        <is>
          <t>S44-H서</t>
        </is>
      </c>
      <c r="D2263" s="25" t="inlineStr">
        <is>
          <t>측정</t>
        </is>
      </c>
      <c r="E2263" s="25" t="inlineStr">
        <is>
          <t>서</t>
        </is>
      </c>
      <c r="F2263" s="30" t="n">
        <v>8</v>
      </c>
      <c r="G2263" s="29" t="n"/>
      <c r="H2263" s="42" t="n"/>
      <c r="I2263" s="40" t="n"/>
      <c r="J2263" s="40" t="n"/>
      <c r="K2263" s="40" t="n"/>
      <c r="L2263" s="30">
        <f>IF(COUNT(I2263:K2263)=0,"",MEDIAN(I2263:K2263))</f>
        <v/>
      </c>
      <c r="M2263" s="25">
        <f>IF(COUNTIFS($C:$C,$C2263,$D:$D,"P0(전)",$L:$L,"&gt;0")&lt;&gt;1,"P0(전) 유효 1개 아님",IF(COUNTIFS($C:$C,$C2263,$D:$D,"P0(후)",$L:$L,"&gt;0")&lt;&gt;1,"P0(후) 유효 1개 아님",IF(NOT(AND(ISNUMBER(N2263),ISNUMBER(P2263),ISNUMBER(H2263))),"시각 결측",IF(P2263&lt;=N2263,"P0 시각 역전",IF(OR(H2263&lt;N2263,H2263&gt;P2263),"측정시각 구간 밖","OK")))))</f>
        <v/>
      </c>
      <c r="N2263" s="45">
        <f>IF(COUNTIFS($C:$C,$C2263,$D:$D,"P0(전)",$L:$L,"&gt;0")&lt;&gt;1,"",SUMIFS($H:$H,$C:$C,$C2263,$D:$D,"P0(전)"))</f>
        <v/>
      </c>
      <c r="O2263" s="30">
        <f>IF(COUNTIFS($C:$C,$C2263,$D:$D,"P0(전)",$L:$L,"&gt;0")&lt;&gt;1,"",SUMIFS($L:$L,$C:$C,$C2263,$D:$D,"P0(전)"))</f>
        <v/>
      </c>
      <c r="P2263" s="45">
        <f>IF(COUNTIFS($C:$C,$C2263,$D:$D,"P0(후)",$L:$L,"&gt;0")&lt;&gt;1,"",SUMIFS($H:$H,$C:$C,$C2263,$D:$D,"P0(후)"))</f>
        <v/>
      </c>
      <c r="Q2263" s="30">
        <f>IF(COUNTIFS($C:$C,$C2263,$D:$D,"P0(후)",$L:$L,"&gt;0")&lt;&gt;1,"",SUMIFS($L:$L,$C:$C,$C2263,$D:$D,"P0(후)"))</f>
        <v/>
      </c>
      <c r="R2263" s="30">
        <f>IF(M2263&lt;&gt;"OK","",O2263+(Q2263-O2263)*(H2263-N2263)/(P2263-N2263))</f>
        <v/>
      </c>
      <c r="S2263" s="30">
        <f>IF(OR(M2263&lt;&gt;"OK",NOT(ISNUMBER(L2263))),"",L2263-R2263)</f>
        <v/>
      </c>
      <c r="T2263" s="46">
        <f>IF(OR(NOT(ISNUMBER(S2263)),IF(ISNUMBER(G2263),G2263,F2263)=0),"",S2263/IF(ISNUMBER(G2263),G2263,F2263))</f>
        <v/>
      </c>
      <c r="U2263" s="46">
        <f>IF(ISNUMBER(T2263),ABS(T2263),"")</f>
        <v/>
      </c>
      <c r="V2263" s="46">
        <f>IF(OR($D2262&lt;&gt;"측정",$C2262&lt;&gt;$C2263,NOT(ISNUMBER(L2263)),NOT(ISNUMBER(L2262)),(IF(ISNUMBER(G2263),G2263,F2263)-IF(ISNUMBER(G2262),G2262,F2262))=0),"",(L2263-L2262)/(IF(ISNUMBER(G2263),G2263,F2263)-IF(ISNUMBER(G2262),G2262,F2262)))</f>
        <v/>
      </c>
      <c r="W2263" s="30">
        <f>IF(NOT(AND(ISNUMBER(N2263),ISNUMBER(P2263))),"",(P2263-N2263)*1440)</f>
        <v/>
      </c>
      <c r="X2263" s="28" t="n"/>
      <c r="Y2263" s="28" t="n"/>
      <c r="Z2263" s="28" t="n"/>
      <c r="AA2263" s="31" t="n"/>
      <c r="AB2263" s="31" t="n"/>
    </row>
    <row r="2264">
      <c r="A2264" s="25" t="inlineStr">
        <is>
          <t>S44</t>
        </is>
      </c>
      <c r="B2264" s="25" t="inlineStr">
        <is>
          <t>성산</t>
        </is>
      </c>
      <c r="C2264" s="25" t="inlineStr">
        <is>
          <t>S44-H서</t>
        </is>
      </c>
      <c r="D2264" s="25" t="inlineStr">
        <is>
          <t>측정</t>
        </is>
      </c>
      <c r="E2264" s="25" t="inlineStr">
        <is>
          <t>서</t>
        </is>
      </c>
      <c r="F2264" s="30" t="n">
        <v>9</v>
      </c>
      <c r="G2264" s="29" t="n"/>
      <c r="H2264" s="42" t="n"/>
      <c r="I2264" s="40" t="n"/>
      <c r="J2264" s="40" t="n"/>
      <c r="K2264" s="40" t="n"/>
      <c r="L2264" s="30">
        <f>IF(COUNT(I2264:K2264)=0,"",MEDIAN(I2264:K2264))</f>
        <v/>
      </c>
      <c r="M2264" s="25">
        <f>IF(COUNTIFS($C:$C,$C2264,$D:$D,"P0(전)",$L:$L,"&gt;0")&lt;&gt;1,"P0(전) 유효 1개 아님",IF(COUNTIFS($C:$C,$C2264,$D:$D,"P0(후)",$L:$L,"&gt;0")&lt;&gt;1,"P0(후) 유효 1개 아님",IF(NOT(AND(ISNUMBER(N2264),ISNUMBER(P2264),ISNUMBER(H2264))),"시각 결측",IF(P2264&lt;=N2264,"P0 시각 역전",IF(OR(H2264&lt;N2264,H2264&gt;P2264),"측정시각 구간 밖","OK")))))</f>
        <v/>
      </c>
      <c r="N2264" s="45">
        <f>IF(COUNTIFS($C:$C,$C2264,$D:$D,"P0(전)",$L:$L,"&gt;0")&lt;&gt;1,"",SUMIFS($H:$H,$C:$C,$C2264,$D:$D,"P0(전)"))</f>
        <v/>
      </c>
      <c r="O2264" s="30">
        <f>IF(COUNTIFS($C:$C,$C2264,$D:$D,"P0(전)",$L:$L,"&gt;0")&lt;&gt;1,"",SUMIFS($L:$L,$C:$C,$C2264,$D:$D,"P0(전)"))</f>
        <v/>
      </c>
      <c r="P2264" s="45">
        <f>IF(COUNTIFS($C:$C,$C2264,$D:$D,"P0(후)",$L:$L,"&gt;0")&lt;&gt;1,"",SUMIFS($H:$H,$C:$C,$C2264,$D:$D,"P0(후)"))</f>
        <v/>
      </c>
      <c r="Q2264" s="30">
        <f>IF(COUNTIFS($C:$C,$C2264,$D:$D,"P0(후)",$L:$L,"&gt;0")&lt;&gt;1,"",SUMIFS($L:$L,$C:$C,$C2264,$D:$D,"P0(후)"))</f>
        <v/>
      </c>
      <c r="R2264" s="30">
        <f>IF(M2264&lt;&gt;"OK","",O2264+(Q2264-O2264)*(H2264-N2264)/(P2264-N2264))</f>
        <v/>
      </c>
      <c r="S2264" s="30">
        <f>IF(OR(M2264&lt;&gt;"OK",NOT(ISNUMBER(L2264))),"",L2264-R2264)</f>
        <v/>
      </c>
      <c r="T2264" s="46">
        <f>IF(OR(NOT(ISNUMBER(S2264)),IF(ISNUMBER(G2264),G2264,F2264)=0),"",S2264/IF(ISNUMBER(G2264),G2264,F2264))</f>
        <v/>
      </c>
      <c r="U2264" s="46">
        <f>IF(ISNUMBER(T2264),ABS(T2264),"")</f>
        <v/>
      </c>
      <c r="V2264" s="46">
        <f>IF(OR($D2263&lt;&gt;"측정",$C2263&lt;&gt;$C2264,NOT(ISNUMBER(L2264)),NOT(ISNUMBER(L2263)),(IF(ISNUMBER(G2264),G2264,F2264)-IF(ISNUMBER(G2263),G2263,F2263))=0),"",(L2264-L2263)/(IF(ISNUMBER(G2264),G2264,F2264)-IF(ISNUMBER(G2263),G2263,F2263)))</f>
        <v/>
      </c>
      <c r="W2264" s="30">
        <f>IF(NOT(AND(ISNUMBER(N2264),ISNUMBER(P2264))),"",(P2264-N2264)*1440)</f>
        <v/>
      </c>
      <c r="X2264" s="28" t="n"/>
      <c r="Y2264" s="28" t="n"/>
      <c r="Z2264" s="28" t="n"/>
      <c r="AA2264" s="31" t="n"/>
      <c r="AB2264" s="31" t="n"/>
    </row>
    <row r="2265">
      <c r="A2265" s="25" t="inlineStr">
        <is>
          <t>S44</t>
        </is>
      </c>
      <c r="B2265" s="25" t="inlineStr">
        <is>
          <t>성산</t>
        </is>
      </c>
      <c r="C2265" s="25" t="inlineStr">
        <is>
          <t>S44-H서</t>
        </is>
      </c>
      <c r="D2265" s="25" t="inlineStr">
        <is>
          <t>측정</t>
        </is>
      </c>
      <c r="E2265" s="25" t="inlineStr">
        <is>
          <t>서</t>
        </is>
      </c>
      <c r="F2265" s="30" t="n">
        <v>10</v>
      </c>
      <c r="G2265" s="29" t="n"/>
      <c r="H2265" s="42" t="n"/>
      <c r="I2265" s="40" t="n"/>
      <c r="J2265" s="40" t="n"/>
      <c r="K2265" s="40" t="n"/>
      <c r="L2265" s="30">
        <f>IF(COUNT(I2265:K2265)=0,"",MEDIAN(I2265:K2265))</f>
        <v/>
      </c>
      <c r="M2265" s="25">
        <f>IF(COUNTIFS($C:$C,$C2265,$D:$D,"P0(전)",$L:$L,"&gt;0")&lt;&gt;1,"P0(전) 유효 1개 아님",IF(COUNTIFS($C:$C,$C2265,$D:$D,"P0(후)",$L:$L,"&gt;0")&lt;&gt;1,"P0(후) 유효 1개 아님",IF(NOT(AND(ISNUMBER(N2265),ISNUMBER(P2265),ISNUMBER(H2265))),"시각 결측",IF(P2265&lt;=N2265,"P0 시각 역전",IF(OR(H2265&lt;N2265,H2265&gt;P2265),"측정시각 구간 밖","OK")))))</f>
        <v/>
      </c>
      <c r="N2265" s="45">
        <f>IF(COUNTIFS($C:$C,$C2265,$D:$D,"P0(전)",$L:$L,"&gt;0")&lt;&gt;1,"",SUMIFS($H:$H,$C:$C,$C2265,$D:$D,"P0(전)"))</f>
        <v/>
      </c>
      <c r="O2265" s="30">
        <f>IF(COUNTIFS($C:$C,$C2265,$D:$D,"P0(전)",$L:$L,"&gt;0")&lt;&gt;1,"",SUMIFS($L:$L,$C:$C,$C2265,$D:$D,"P0(전)"))</f>
        <v/>
      </c>
      <c r="P2265" s="45">
        <f>IF(COUNTIFS($C:$C,$C2265,$D:$D,"P0(후)",$L:$L,"&gt;0")&lt;&gt;1,"",SUMIFS($H:$H,$C:$C,$C2265,$D:$D,"P0(후)"))</f>
        <v/>
      </c>
      <c r="Q2265" s="30">
        <f>IF(COUNTIFS($C:$C,$C2265,$D:$D,"P0(후)",$L:$L,"&gt;0")&lt;&gt;1,"",SUMIFS($L:$L,$C:$C,$C2265,$D:$D,"P0(후)"))</f>
        <v/>
      </c>
      <c r="R2265" s="30">
        <f>IF(M2265&lt;&gt;"OK","",O2265+(Q2265-O2265)*(H2265-N2265)/(P2265-N2265))</f>
        <v/>
      </c>
      <c r="S2265" s="30">
        <f>IF(OR(M2265&lt;&gt;"OK",NOT(ISNUMBER(L2265))),"",L2265-R2265)</f>
        <v/>
      </c>
      <c r="T2265" s="46">
        <f>IF(OR(NOT(ISNUMBER(S2265)),IF(ISNUMBER(G2265),G2265,F2265)=0),"",S2265/IF(ISNUMBER(G2265),G2265,F2265))</f>
        <v/>
      </c>
      <c r="U2265" s="46">
        <f>IF(ISNUMBER(T2265),ABS(T2265),"")</f>
        <v/>
      </c>
      <c r="V2265" s="46">
        <f>IF(OR($D2264&lt;&gt;"측정",$C2264&lt;&gt;$C2265,NOT(ISNUMBER(L2265)),NOT(ISNUMBER(L2264)),(IF(ISNUMBER(G2265),G2265,F2265)-IF(ISNUMBER(G2264),G2264,F2264))=0),"",(L2265-L2264)/(IF(ISNUMBER(G2265),G2265,F2265)-IF(ISNUMBER(G2264),G2264,F2264)))</f>
        <v/>
      </c>
      <c r="W2265" s="30">
        <f>IF(NOT(AND(ISNUMBER(N2265),ISNUMBER(P2265))),"",(P2265-N2265)*1440)</f>
        <v/>
      </c>
      <c r="X2265" s="28" t="n"/>
      <c r="Y2265" s="28" t="n"/>
      <c r="Z2265" s="28" t="n"/>
      <c r="AA2265" s="31" t="n"/>
      <c r="AB2265" s="31" t="n"/>
    </row>
    <row r="2266">
      <c r="A2266" s="43" t="inlineStr">
        <is>
          <t>S44</t>
        </is>
      </c>
      <c r="B2266" s="43" t="inlineStr">
        <is>
          <t>성산</t>
        </is>
      </c>
      <c r="C2266" s="43" t="inlineStr">
        <is>
          <t>S44-H서</t>
        </is>
      </c>
      <c r="D2266" s="43" t="inlineStr">
        <is>
          <t>P0(후)</t>
        </is>
      </c>
      <c r="E2266" s="43" t="inlineStr">
        <is>
          <t>서</t>
        </is>
      </c>
      <c r="F2266" s="44" t="n"/>
      <c r="G2266" s="29" t="n"/>
      <c r="H2266" s="42" t="n"/>
      <c r="I2266" s="40" t="n"/>
      <c r="J2266" s="40" t="n"/>
      <c r="K2266" s="40" t="n"/>
      <c r="L2266" s="30">
        <f>IF(COUNT(I2266:K2266)=0,"",MEDIAN(I2266:K2266))</f>
        <v/>
      </c>
      <c r="M2266" s="37" t="n"/>
      <c r="N2266" s="37" t="n"/>
      <c r="O2266" s="37" t="n"/>
      <c r="P2266" s="37" t="n"/>
      <c r="Q2266" s="37" t="n"/>
      <c r="R2266" s="37" t="n"/>
      <c r="S2266" s="37" t="n"/>
      <c r="T2266" s="37" t="n"/>
      <c r="U2266" s="37" t="n"/>
      <c r="V2266" s="37" t="n"/>
      <c r="W2266" s="37" t="n"/>
      <c r="X2266" s="28" t="n"/>
      <c r="Y2266" s="28" t="n"/>
      <c r="Z2266" s="28" t="n"/>
      <c r="AA2266" s="31" t="n"/>
      <c r="AB2266" s="31" t="n"/>
    </row>
    <row r="2267">
      <c r="A2267" s="43" t="inlineStr">
        <is>
          <t>S44</t>
        </is>
      </c>
      <c r="B2267" s="43" t="inlineStr">
        <is>
          <t>성산</t>
        </is>
      </c>
      <c r="C2267" s="43" t="inlineStr">
        <is>
          <t>S44-H남</t>
        </is>
      </c>
      <c r="D2267" s="43" t="inlineStr">
        <is>
          <t>P0(전)</t>
        </is>
      </c>
      <c r="E2267" s="43" t="inlineStr">
        <is>
          <t>남</t>
        </is>
      </c>
      <c r="F2267" s="44" t="n"/>
      <c r="G2267" s="29" t="n"/>
      <c r="H2267" s="42" t="n"/>
      <c r="I2267" s="40" t="n"/>
      <c r="J2267" s="40" t="n"/>
      <c r="K2267" s="40" t="n"/>
      <c r="L2267" s="30">
        <f>IF(COUNT(I2267:K2267)=0,"",MEDIAN(I2267:K2267))</f>
        <v/>
      </c>
      <c r="M2267" s="37" t="n"/>
      <c r="N2267" s="37" t="n"/>
      <c r="O2267" s="37" t="n"/>
      <c r="P2267" s="37" t="n"/>
      <c r="Q2267" s="37" t="n"/>
      <c r="R2267" s="37" t="n"/>
      <c r="S2267" s="37" t="n"/>
      <c r="T2267" s="37" t="n"/>
      <c r="U2267" s="37" t="n"/>
      <c r="V2267" s="37" t="n"/>
      <c r="W2267" s="37" t="n"/>
      <c r="X2267" s="28" t="n"/>
      <c r="Y2267" s="28" t="n"/>
      <c r="Z2267" s="28" t="n"/>
      <c r="AA2267" s="31" t="n"/>
      <c r="AB2267" s="31" t="n"/>
    </row>
    <row r="2268">
      <c r="A2268" s="25" t="inlineStr">
        <is>
          <t>S44</t>
        </is>
      </c>
      <c r="B2268" s="25" t="inlineStr">
        <is>
          <t>성산</t>
        </is>
      </c>
      <c r="C2268" s="25" t="inlineStr">
        <is>
          <t>S44-H남</t>
        </is>
      </c>
      <c r="D2268" s="25" t="inlineStr">
        <is>
          <t>측정</t>
        </is>
      </c>
      <c r="E2268" s="25" t="inlineStr">
        <is>
          <t>남</t>
        </is>
      </c>
      <c r="F2268" s="30" t="n">
        <v>0.5</v>
      </c>
      <c r="G2268" s="29" t="n"/>
      <c r="H2268" s="42" t="n"/>
      <c r="I2268" s="40" t="n"/>
      <c r="J2268" s="40" t="n"/>
      <c r="K2268" s="40" t="n"/>
      <c r="L2268" s="30">
        <f>IF(COUNT(I2268:K2268)=0,"",MEDIAN(I2268:K2268))</f>
        <v/>
      </c>
      <c r="M2268" s="25">
        <f>IF(COUNTIFS($C:$C,$C2268,$D:$D,"P0(전)",$L:$L,"&gt;0")&lt;&gt;1,"P0(전) 유효 1개 아님",IF(COUNTIFS($C:$C,$C2268,$D:$D,"P0(후)",$L:$L,"&gt;0")&lt;&gt;1,"P0(후) 유효 1개 아님",IF(NOT(AND(ISNUMBER(N2268),ISNUMBER(P2268),ISNUMBER(H2268))),"시각 결측",IF(P2268&lt;=N2268,"P0 시각 역전",IF(OR(H2268&lt;N2268,H2268&gt;P2268),"측정시각 구간 밖","OK")))))</f>
        <v/>
      </c>
      <c r="N2268" s="45">
        <f>IF(COUNTIFS($C:$C,$C2268,$D:$D,"P0(전)",$L:$L,"&gt;0")&lt;&gt;1,"",SUMIFS($H:$H,$C:$C,$C2268,$D:$D,"P0(전)"))</f>
        <v/>
      </c>
      <c r="O2268" s="30">
        <f>IF(COUNTIFS($C:$C,$C2268,$D:$D,"P0(전)",$L:$L,"&gt;0")&lt;&gt;1,"",SUMIFS($L:$L,$C:$C,$C2268,$D:$D,"P0(전)"))</f>
        <v/>
      </c>
      <c r="P2268" s="45">
        <f>IF(COUNTIFS($C:$C,$C2268,$D:$D,"P0(후)",$L:$L,"&gt;0")&lt;&gt;1,"",SUMIFS($H:$H,$C:$C,$C2268,$D:$D,"P0(후)"))</f>
        <v/>
      </c>
      <c r="Q2268" s="30">
        <f>IF(COUNTIFS($C:$C,$C2268,$D:$D,"P0(후)",$L:$L,"&gt;0")&lt;&gt;1,"",SUMIFS($L:$L,$C:$C,$C2268,$D:$D,"P0(후)"))</f>
        <v/>
      </c>
      <c r="R2268" s="30">
        <f>IF(M2268&lt;&gt;"OK","",O2268+(Q2268-O2268)*(H2268-N2268)/(P2268-N2268))</f>
        <v/>
      </c>
      <c r="S2268" s="30">
        <f>IF(OR(M2268&lt;&gt;"OK",NOT(ISNUMBER(L2268))),"",L2268-R2268)</f>
        <v/>
      </c>
      <c r="T2268" s="46">
        <f>IF(OR(NOT(ISNUMBER(S2268)),IF(ISNUMBER(G2268),G2268,F2268)=0),"",S2268/IF(ISNUMBER(G2268),G2268,F2268))</f>
        <v/>
      </c>
      <c r="U2268" s="46">
        <f>IF(ISNUMBER(T2268),ABS(T2268),"")</f>
        <v/>
      </c>
      <c r="V2268" s="46">
        <f>IF(OR($D2267&lt;&gt;"측정",$C2267&lt;&gt;$C2268,NOT(ISNUMBER(L2268)),NOT(ISNUMBER(L2267)),(IF(ISNUMBER(G2268),G2268,F2268)-IF(ISNUMBER(G2267),G2267,F2267))=0),"",(L2268-L2267)/(IF(ISNUMBER(G2268),G2268,F2268)-IF(ISNUMBER(G2267),G2267,F2267)))</f>
        <v/>
      </c>
      <c r="W2268" s="30">
        <f>IF(NOT(AND(ISNUMBER(N2268),ISNUMBER(P2268))),"",(P2268-N2268)*1440)</f>
        <v/>
      </c>
      <c r="X2268" s="28" t="n"/>
      <c r="Y2268" s="28" t="n"/>
      <c r="Z2268" s="28" t="n"/>
      <c r="AA2268" s="31" t="n"/>
      <c r="AB2268" s="31" t="n"/>
    </row>
    <row r="2269">
      <c r="A2269" s="25" t="inlineStr">
        <is>
          <t>S44</t>
        </is>
      </c>
      <c r="B2269" s="25" t="inlineStr">
        <is>
          <t>성산</t>
        </is>
      </c>
      <c r="C2269" s="25" t="inlineStr">
        <is>
          <t>S44-H남</t>
        </is>
      </c>
      <c r="D2269" s="25" t="inlineStr">
        <is>
          <t>측정</t>
        </is>
      </c>
      <c r="E2269" s="25" t="inlineStr">
        <is>
          <t>남</t>
        </is>
      </c>
      <c r="F2269" s="30" t="n">
        <v>1</v>
      </c>
      <c r="G2269" s="29" t="n"/>
      <c r="H2269" s="42" t="n"/>
      <c r="I2269" s="40" t="n"/>
      <c r="J2269" s="40" t="n"/>
      <c r="K2269" s="40" t="n"/>
      <c r="L2269" s="30">
        <f>IF(COUNT(I2269:K2269)=0,"",MEDIAN(I2269:K2269))</f>
        <v/>
      </c>
      <c r="M2269" s="25">
        <f>IF(COUNTIFS($C:$C,$C2269,$D:$D,"P0(전)",$L:$L,"&gt;0")&lt;&gt;1,"P0(전) 유효 1개 아님",IF(COUNTIFS($C:$C,$C2269,$D:$D,"P0(후)",$L:$L,"&gt;0")&lt;&gt;1,"P0(후) 유효 1개 아님",IF(NOT(AND(ISNUMBER(N2269),ISNUMBER(P2269),ISNUMBER(H2269))),"시각 결측",IF(P2269&lt;=N2269,"P0 시각 역전",IF(OR(H2269&lt;N2269,H2269&gt;P2269),"측정시각 구간 밖","OK")))))</f>
        <v/>
      </c>
      <c r="N2269" s="45">
        <f>IF(COUNTIFS($C:$C,$C2269,$D:$D,"P0(전)",$L:$L,"&gt;0")&lt;&gt;1,"",SUMIFS($H:$H,$C:$C,$C2269,$D:$D,"P0(전)"))</f>
        <v/>
      </c>
      <c r="O2269" s="30">
        <f>IF(COUNTIFS($C:$C,$C2269,$D:$D,"P0(전)",$L:$L,"&gt;0")&lt;&gt;1,"",SUMIFS($L:$L,$C:$C,$C2269,$D:$D,"P0(전)"))</f>
        <v/>
      </c>
      <c r="P2269" s="45">
        <f>IF(COUNTIFS($C:$C,$C2269,$D:$D,"P0(후)",$L:$L,"&gt;0")&lt;&gt;1,"",SUMIFS($H:$H,$C:$C,$C2269,$D:$D,"P0(후)"))</f>
        <v/>
      </c>
      <c r="Q2269" s="30">
        <f>IF(COUNTIFS($C:$C,$C2269,$D:$D,"P0(후)",$L:$L,"&gt;0")&lt;&gt;1,"",SUMIFS($L:$L,$C:$C,$C2269,$D:$D,"P0(후)"))</f>
        <v/>
      </c>
      <c r="R2269" s="30">
        <f>IF(M2269&lt;&gt;"OK","",O2269+(Q2269-O2269)*(H2269-N2269)/(P2269-N2269))</f>
        <v/>
      </c>
      <c r="S2269" s="30">
        <f>IF(OR(M2269&lt;&gt;"OK",NOT(ISNUMBER(L2269))),"",L2269-R2269)</f>
        <v/>
      </c>
      <c r="T2269" s="46">
        <f>IF(OR(NOT(ISNUMBER(S2269)),IF(ISNUMBER(G2269),G2269,F2269)=0),"",S2269/IF(ISNUMBER(G2269),G2269,F2269))</f>
        <v/>
      </c>
      <c r="U2269" s="46">
        <f>IF(ISNUMBER(T2269),ABS(T2269),"")</f>
        <v/>
      </c>
      <c r="V2269" s="46">
        <f>IF(OR($D2268&lt;&gt;"측정",$C2268&lt;&gt;$C2269,NOT(ISNUMBER(L2269)),NOT(ISNUMBER(L2268)),(IF(ISNUMBER(G2269),G2269,F2269)-IF(ISNUMBER(G2268),G2268,F2268))=0),"",(L2269-L2268)/(IF(ISNUMBER(G2269),G2269,F2269)-IF(ISNUMBER(G2268),G2268,F2268)))</f>
        <v/>
      </c>
      <c r="W2269" s="30">
        <f>IF(NOT(AND(ISNUMBER(N2269),ISNUMBER(P2269))),"",(P2269-N2269)*1440)</f>
        <v/>
      </c>
      <c r="X2269" s="28" t="n"/>
      <c r="Y2269" s="28" t="n"/>
      <c r="Z2269" s="28" t="n"/>
      <c r="AA2269" s="31" t="n"/>
      <c r="AB2269" s="31" t="n"/>
    </row>
    <row r="2270">
      <c r="A2270" s="25" t="inlineStr">
        <is>
          <t>S44</t>
        </is>
      </c>
      <c r="B2270" s="25" t="inlineStr">
        <is>
          <t>성산</t>
        </is>
      </c>
      <c r="C2270" s="25" t="inlineStr">
        <is>
          <t>S44-H남</t>
        </is>
      </c>
      <c r="D2270" s="25" t="inlineStr">
        <is>
          <t>측정</t>
        </is>
      </c>
      <c r="E2270" s="25" t="inlineStr">
        <is>
          <t>남</t>
        </is>
      </c>
      <c r="F2270" s="30" t="n">
        <v>2</v>
      </c>
      <c r="G2270" s="29" t="n"/>
      <c r="H2270" s="42" t="n"/>
      <c r="I2270" s="40" t="n"/>
      <c r="J2270" s="40" t="n"/>
      <c r="K2270" s="40" t="n"/>
      <c r="L2270" s="30">
        <f>IF(COUNT(I2270:K2270)=0,"",MEDIAN(I2270:K2270))</f>
        <v/>
      </c>
      <c r="M2270" s="25">
        <f>IF(COUNTIFS($C:$C,$C2270,$D:$D,"P0(전)",$L:$L,"&gt;0")&lt;&gt;1,"P0(전) 유효 1개 아님",IF(COUNTIFS($C:$C,$C2270,$D:$D,"P0(후)",$L:$L,"&gt;0")&lt;&gt;1,"P0(후) 유효 1개 아님",IF(NOT(AND(ISNUMBER(N2270),ISNUMBER(P2270),ISNUMBER(H2270))),"시각 결측",IF(P2270&lt;=N2270,"P0 시각 역전",IF(OR(H2270&lt;N2270,H2270&gt;P2270),"측정시각 구간 밖","OK")))))</f>
        <v/>
      </c>
      <c r="N2270" s="45">
        <f>IF(COUNTIFS($C:$C,$C2270,$D:$D,"P0(전)",$L:$L,"&gt;0")&lt;&gt;1,"",SUMIFS($H:$H,$C:$C,$C2270,$D:$D,"P0(전)"))</f>
        <v/>
      </c>
      <c r="O2270" s="30">
        <f>IF(COUNTIFS($C:$C,$C2270,$D:$D,"P0(전)",$L:$L,"&gt;0")&lt;&gt;1,"",SUMIFS($L:$L,$C:$C,$C2270,$D:$D,"P0(전)"))</f>
        <v/>
      </c>
      <c r="P2270" s="45">
        <f>IF(COUNTIFS($C:$C,$C2270,$D:$D,"P0(후)",$L:$L,"&gt;0")&lt;&gt;1,"",SUMIFS($H:$H,$C:$C,$C2270,$D:$D,"P0(후)"))</f>
        <v/>
      </c>
      <c r="Q2270" s="30">
        <f>IF(COUNTIFS($C:$C,$C2270,$D:$D,"P0(후)",$L:$L,"&gt;0")&lt;&gt;1,"",SUMIFS($L:$L,$C:$C,$C2270,$D:$D,"P0(후)"))</f>
        <v/>
      </c>
      <c r="R2270" s="30">
        <f>IF(M2270&lt;&gt;"OK","",O2270+(Q2270-O2270)*(H2270-N2270)/(P2270-N2270))</f>
        <v/>
      </c>
      <c r="S2270" s="30">
        <f>IF(OR(M2270&lt;&gt;"OK",NOT(ISNUMBER(L2270))),"",L2270-R2270)</f>
        <v/>
      </c>
      <c r="T2270" s="46">
        <f>IF(OR(NOT(ISNUMBER(S2270)),IF(ISNUMBER(G2270),G2270,F2270)=0),"",S2270/IF(ISNUMBER(G2270),G2270,F2270))</f>
        <v/>
      </c>
      <c r="U2270" s="46">
        <f>IF(ISNUMBER(T2270),ABS(T2270),"")</f>
        <v/>
      </c>
      <c r="V2270" s="46">
        <f>IF(OR($D2269&lt;&gt;"측정",$C2269&lt;&gt;$C2270,NOT(ISNUMBER(L2270)),NOT(ISNUMBER(L2269)),(IF(ISNUMBER(G2270),G2270,F2270)-IF(ISNUMBER(G2269),G2269,F2269))=0),"",(L2270-L2269)/(IF(ISNUMBER(G2270),G2270,F2270)-IF(ISNUMBER(G2269),G2269,F2269)))</f>
        <v/>
      </c>
      <c r="W2270" s="30">
        <f>IF(NOT(AND(ISNUMBER(N2270),ISNUMBER(P2270))),"",(P2270-N2270)*1440)</f>
        <v/>
      </c>
      <c r="X2270" s="28" t="n"/>
      <c r="Y2270" s="28" t="n"/>
      <c r="Z2270" s="28" t="n"/>
      <c r="AA2270" s="31" t="n"/>
      <c r="AB2270" s="31" t="n"/>
    </row>
    <row r="2271">
      <c r="A2271" s="25" t="inlineStr">
        <is>
          <t>S44</t>
        </is>
      </c>
      <c r="B2271" s="25" t="inlineStr">
        <is>
          <t>성산</t>
        </is>
      </c>
      <c r="C2271" s="25" t="inlineStr">
        <is>
          <t>S44-H남</t>
        </is>
      </c>
      <c r="D2271" s="25" t="inlineStr">
        <is>
          <t>측정</t>
        </is>
      </c>
      <c r="E2271" s="25" t="inlineStr">
        <is>
          <t>남</t>
        </is>
      </c>
      <c r="F2271" s="30" t="n">
        <v>3</v>
      </c>
      <c r="G2271" s="29" t="n"/>
      <c r="H2271" s="42" t="n"/>
      <c r="I2271" s="40" t="n"/>
      <c r="J2271" s="40" t="n"/>
      <c r="K2271" s="40" t="n"/>
      <c r="L2271" s="30">
        <f>IF(COUNT(I2271:K2271)=0,"",MEDIAN(I2271:K2271))</f>
        <v/>
      </c>
      <c r="M2271" s="25">
        <f>IF(COUNTIFS($C:$C,$C2271,$D:$D,"P0(전)",$L:$L,"&gt;0")&lt;&gt;1,"P0(전) 유효 1개 아님",IF(COUNTIFS($C:$C,$C2271,$D:$D,"P0(후)",$L:$L,"&gt;0")&lt;&gt;1,"P0(후) 유효 1개 아님",IF(NOT(AND(ISNUMBER(N2271),ISNUMBER(P2271),ISNUMBER(H2271))),"시각 결측",IF(P2271&lt;=N2271,"P0 시각 역전",IF(OR(H2271&lt;N2271,H2271&gt;P2271),"측정시각 구간 밖","OK")))))</f>
        <v/>
      </c>
      <c r="N2271" s="45">
        <f>IF(COUNTIFS($C:$C,$C2271,$D:$D,"P0(전)",$L:$L,"&gt;0")&lt;&gt;1,"",SUMIFS($H:$H,$C:$C,$C2271,$D:$D,"P0(전)"))</f>
        <v/>
      </c>
      <c r="O2271" s="30">
        <f>IF(COUNTIFS($C:$C,$C2271,$D:$D,"P0(전)",$L:$L,"&gt;0")&lt;&gt;1,"",SUMIFS($L:$L,$C:$C,$C2271,$D:$D,"P0(전)"))</f>
        <v/>
      </c>
      <c r="P2271" s="45">
        <f>IF(COUNTIFS($C:$C,$C2271,$D:$D,"P0(후)",$L:$L,"&gt;0")&lt;&gt;1,"",SUMIFS($H:$H,$C:$C,$C2271,$D:$D,"P0(후)"))</f>
        <v/>
      </c>
      <c r="Q2271" s="30">
        <f>IF(COUNTIFS($C:$C,$C2271,$D:$D,"P0(후)",$L:$L,"&gt;0")&lt;&gt;1,"",SUMIFS($L:$L,$C:$C,$C2271,$D:$D,"P0(후)"))</f>
        <v/>
      </c>
      <c r="R2271" s="30">
        <f>IF(M2271&lt;&gt;"OK","",O2271+(Q2271-O2271)*(H2271-N2271)/(P2271-N2271))</f>
        <v/>
      </c>
      <c r="S2271" s="30">
        <f>IF(OR(M2271&lt;&gt;"OK",NOT(ISNUMBER(L2271))),"",L2271-R2271)</f>
        <v/>
      </c>
      <c r="T2271" s="46">
        <f>IF(OR(NOT(ISNUMBER(S2271)),IF(ISNUMBER(G2271),G2271,F2271)=0),"",S2271/IF(ISNUMBER(G2271),G2271,F2271))</f>
        <v/>
      </c>
      <c r="U2271" s="46">
        <f>IF(ISNUMBER(T2271),ABS(T2271),"")</f>
        <v/>
      </c>
      <c r="V2271" s="46">
        <f>IF(OR($D2270&lt;&gt;"측정",$C2270&lt;&gt;$C2271,NOT(ISNUMBER(L2271)),NOT(ISNUMBER(L2270)),(IF(ISNUMBER(G2271),G2271,F2271)-IF(ISNUMBER(G2270),G2270,F2270))=0),"",(L2271-L2270)/(IF(ISNUMBER(G2271),G2271,F2271)-IF(ISNUMBER(G2270),G2270,F2270)))</f>
        <v/>
      </c>
      <c r="W2271" s="30">
        <f>IF(NOT(AND(ISNUMBER(N2271),ISNUMBER(P2271))),"",(P2271-N2271)*1440)</f>
        <v/>
      </c>
      <c r="X2271" s="28" t="n"/>
      <c r="Y2271" s="28" t="n"/>
      <c r="Z2271" s="28" t="n"/>
      <c r="AA2271" s="31" t="n"/>
      <c r="AB2271" s="31" t="n"/>
    </row>
    <row r="2272">
      <c r="A2272" s="25" t="inlineStr">
        <is>
          <t>S44</t>
        </is>
      </c>
      <c r="B2272" s="25" t="inlineStr">
        <is>
          <t>성산</t>
        </is>
      </c>
      <c r="C2272" s="25" t="inlineStr">
        <is>
          <t>S44-H남</t>
        </is>
      </c>
      <c r="D2272" s="25" t="inlineStr">
        <is>
          <t>측정</t>
        </is>
      </c>
      <c r="E2272" s="25" t="inlineStr">
        <is>
          <t>남</t>
        </is>
      </c>
      <c r="F2272" s="30" t="n">
        <v>4</v>
      </c>
      <c r="G2272" s="29" t="n"/>
      <c r="H2272" s="42" t="n"/>
      <c r="I2272" s="40" t="n"/>
      <c r="J2272" s="40" t="n"/>
      <c r="K2272" s="40" t="n"/>
      <c r="L2272" s="30">
        <f>IF(COUNT(I2272:K2272)=0,"",MEDIAN(I2272:K2272))</f>
        <v/>
      </c>
      <c r="M2272" s="25">
        <f>IF(COUNTIFS($C:$C,$C2272,$D:$D,"P0(전)",$L:$L,"&gt;0")&lt;&gt;1,"P0(전) 유효 1개 아님",IF(COUNTIFS($C:$C,$C2272,$D:$D,"P0(후)",$L:$L,"&gt;0")&lt;&gt;1,"P0(후) 유효 1개 아님",IF(NOT(AND(ISNUMBER(N2272),ISNUMBER(P2272),ISNUMBER(H2272))),"시각 결측",IF(P2272&lt;=N2272,"P0 시각 역전",IF(OR(H2272&lt;N2272,H2272&gt;P2272),"측정시각 구간 밖","OK")))))</f>
        <v/>
      </c>
      <c r="N2272" s="45">
        <f>IF(COUNTIFS($C:$C,$C2272,$D:$D,"P0(전)",$L:$L,"&gt;0")&lt;&gt;1,"",SUMIFS($H:$H,$C:$C,$C2272,$D:$D,"P0(전)"))</f>
        <v/>
      </c>
      <c r="O2272" s="30">
        <f>IF(COUNTIFS($C:$C,$C2272,$D:$D,"P0(전)",$L:$L,"&gt;0")&lt;&gt;1,"",SUMIFS($L:$L,$C:$C,$C2272,$D:$D,"P0(전)"))</f>
        <v/>
      </c>
      <c r="P2272" s="45">
        <f>IF(COUNTIFS($C:$C,$C2272,$D:$D,"P0(후)",$L:$L,"&gt;0")&lt;&gt;1,"",SUMIFS($H:$H,$C:$C,$C2272,$D:$D,"P0(후)"))</f>
        <v/>
      </c>
      <c r="Q2272" s="30">
        <f>IF(COUNTIFS($C:$C,$C2272,$D:$D,"P0(후)",$L:$L,"&gt;0")&lt;&gt;1,"",SUMIFS($L:$L,$C:$C,$C2272,$D:$D,"P0(후)"))</f>
        <v/>
      </c>
      <c r="R2272" s="30">
        <f>IF(M2272&lt;&gt;"OK","",O2272+(Q2272-O2272)*(H2272-N2272)/(P2272-N2272))</f>
        <v/>
      </c>
      <c r="S2272" s="30">
        <f>IF(OR(M2272&lt;&gt;"OK",NOT(ISNUMBER(L2272))),"",L2272-R2272)</f>
        <v/>
      </c>
      <c r="T2272" s="46">
        <f>IF(OR(NOT(ISNUMBER(S2272)),IF(ISNUMBER(G2272),G2272,F2272)=0),"",S2272/IF(ISNUMBER(G2272),G2272,F2272))</f>
        <v/>
      </c>
      <c r="U2272" s="46">
        <f>IF(ISNUMBER(T2272),ABS(T2272),"")</f>
        <v/>
      </c>
      <c r="V2272" s="46">
        <f>IF(OR($D2271&lt;&gt;"측정",$C2271&lt;&gt;$C2272,NOT(ISNUMBER(L2272)),NOT(ISNUMBER(L2271)),(IF(ISNUMBER(G2272),G2272,F2272)-IF(ISNUMBER(G2271),G2271,F2271))=0),"",(L2272-L2271)/(IF(ISNUMBER(G2272),G2272,F2272)-IF(ISNUMBER(G2271),G2271,F2271)))</f>
        <v/>
      </c>
      <c r="W2272" s="30">
        <f>IF(NOT(AND(ISNUMBER(N2272),ISNUMBER(P2272))),"",(P2272-N2272)*1440)</f>
        <v/>
      </c>
      <c r="X2272" s="28" t="n"/>
      <c r="Y2272" s="28" t="n"/>
      <c r="Z2272" s="28" t="n"/>
      <c r="AA2272" s="31" t="n"/>
      <c r="AB2272" s="31" t="n"/>
    </row>
    <row r="2273">
      <c r="A2273" s="25" t="inlineStr">
        <is>
          <t>S44</t>
        </is>
      </c>
      <c r="B2273" s="25" t="inlineStr">
        <is>
          <t>성산</t>
        </is>
      </c>
      <c r="C2273" s="25" t="inlineStr">
        <is>
          <t>S44-H남</t>
        </is>
      </c>
      <c r="D2273" s="25" t="inlineStr">
        <is>
          <t>측정</t>
        </is>
      </c>
      <c r="E2273" s="25" t="inlineStr">
        <is>
          <t>남</t>
        </is>
      </c>
      <c r="F2273" s="30" t="n">
        <v>5</v>
      </c>
      <c r="G2273" s="29" t="n"/>
      <c r="H2273" s="42" t="n"/>
      <c r="I2273" s="40" t="n"/>
      <c r="J2273" s="40" t="n"/>
      <c r="K2273" s="40" t="n"/>
      <c r="L2273" s="30">
        <f>IF(COUNT(I2273:K2273)=0,"",MEDIAN(I2273:K2273))</f>
        <v/>
      </c>
      <c r="M2273" s="25">
        <f>IF(COUNTIFS($C:$C,$C2273,$D:$D,"P0(전)",$L:$L,"&gt;0")&lt;&gt;1,"P0(전) 유효 1개 아님",IF(COUNTIFS($C:$C,$C2273,$D:$D,"P0(후)",$L:$L,"&gt;0")&lt;&gt;1,"P0(후) 유효 1개 아님",IF(NOT(AND(ISNUMBER(N2273),ISNUMBER(P2273),ISNUMBER(H2273))),"시각 결측",IF(P2273&lt;=N2273,"P0 시각 역전",IF(OR(H2273&lt;N2273,H2273&gt;P2273),"측정시각 구간 밖","OK")))))</f>
        <v/>
      </c>
      <c r="N2273" s="45">
        <f>IF(COUNTIFS($C:$C,$C2273,$D:$D,"P0(전)",$L:$L,"&gt;0")&lt;&gt;1,"",SUMIFS($H:$H,$C:$C,$C2273,$D:$D,"P0(전)"))</f>
        <v/>
      </c>
      <c r="O2273" s="30">
        <f>IF(COUNTIFS($C:$C,$C2273,$D:$D,"P0(전)",$L:$L,"&gt;0")&lt;&gt;1,"",SUMIFS($L:$L,$C:$C,$C2273,$D:$D,"P0(전)"))</f>
        <v/>
      </c>
      <c r="P2273" s="45">
        <f>IF(COUNTIFS($C:$C,$C2273,$D:$D,"P0(후)",$L:$L,"&gt;0")&lt;&gt;1,"",SUMIFS($H:$H,$C:$C,$C2273,$D:$D,"P0(후)"))</f>
        <v/>
      </c>
      <c r="Q2273" s="30">
        <f>IF(COUNTIFS($C:$C,$C2273,$D:$D,"P0(후)",$L:$L,"&gt;0")&lt;&gt;1,"",SUMIFS($L:$L,$C:$C,$C2273,$D:$D,"P0(후)"))</f>
        <v/>
      </c>
      <c r="R2273" s="30">
        <f>IF(M2273&lt;&gt;"OK","",O2273+(Q2273-O2273)*(H2273-N2273)/(P2273-N2273))</f>
        <v/>
      </c>
      <c r="S2273" s="30">
        <f>IF(OR(M2273&lt;&gt;"OK",NOT(ISNUMBER(L2273))),"",L2273-R2273)</f>
        <v/>
      </c>
      <c r="T2273" s="46">
        <f>IF(OR(NOT(ISNUMBER(S2273)),IF(ISNUMBER(G2273),G2273,F2273)=0),"",S2273/IF(ISNUMBER(G2273),G2273,F2273))</f>
        <v/>
      </c>
      <c r="U2273" s="46">
        <f>IF(ISNUMBER(T2273),ABS(T2273),"")</f>
        <v/>
      </c>
      <c r="V2273" s="46">
        <f>IF(OR($D2272&lt;&gt;"측정",$C2272&lt;&gt;$C2273,NOT(ISNUMBER(L2273)),NOT(ISNUMBER(L2272)),(IF(ISNUMBER(G2273),G2273,F2273)-IF(ISNUMBER(G2272),G2272,F2272))=0),"",(L2273-L2272)/(IF(ISNUMBER(G2273),G2273,F2273)-IF(ISNUMBER(G2272),G2272,F2272)))</f>
        <v/>
      </c>
      <c r="W2273" s="30">
        <f>IF(NOT(AND(ISNUMBER(N2273),ISNUMBER(P2273))),"",(P2273-N2273)*1440)</f>
        <v/>
      </c>
      <c r="X2273" s="28" t="n"/>
      <c r="Y2273" s="28" t="n"/>
      <c r="Z2273" s="28" t="n"/>
      <c r="AA2273" s="31" t="n"/>
      <c r="AB2273" s="31" t="n"/>
    </row>
    <row r="2274">
      <c r="A2274" s="25" t="inlineStr">
        <is>
          <t>S44</t>
        </is>
      </c>
      <c r="B2274" s="25" t="inlineStr">
        <is>
          <t>성산</t>
        </is>
      </c>
      <c r="C2274" s="25" t="inlineStr">
        <is>
          <t>S44-H남</t>
        </is>
      </c>
      <c r="D2274" s="25" t="inlineStr">
        <is>
          <t>측정</t>
        </is>
      </c>
      <c r="E2274" s="25" t="inlineStr">
        <is>
          <t>남</t>
        </is>
      </c>
      <c r="F2274" s="30" t="n">
        <v>6</v>
      </c>
      <c r="G2274" s="29" t="n"/>
      <c r="H2274" s="42" t="n"/>
      <c r="I2274" s="40" t="n"/>
      <c r="J2274" s="40" t="n"/>
      <c r="K2274" s="40" t="n"/>
      <c r="L2274" s="30">
        <f>IF(COUNT(I2274:K2274)=0,"",MEDIAN(I2274:K2274))</f>
        <v/>
      </c>
      <c r="M2274" s="25">
        <f>IF(COUNTIFS($C:$C,$C2274,$D:$D,"P0(전)",$L:$L,"&gt;0")&lt;&gt;1,"P0(전) 유효 1개 아님",IF(COUNTIFS($C:$C,$C2274,$D:$D,"P0(후)",$L:$L,"&gt;0")&lt;&gt;1,"P0(후) 유효 1개 아님",IF(NOT(AND(ISNUMBER(N2274),ISNUMBER(P2274),ISNUMBER(H2274))),"시각 결측",IF(P2274&lt;=N2274,"P0 시각 역전",IF(OR(H2274&lt;N2274,H2274&gt;P2274),"측정시각 구간 밖","OK")))))</f>
        <v/>
      </c>
      <c r="N2274" s="45">
        <f>IF(COUNTIFS($C:$C,$C2274,$D:$D,"P0(전)",$L:$L,"&gt;0")&lt;&gt;1,"",SUMIFS($H:$H,$C:$C,$C2274,$D:$D,"P0(전)"))</f>
        <v/>
      </c>
      <c r="O2274" s="30">
        <f>IF(COUNTIFS($C:$C,$C2274,$D:$D,"P0(전)",$L:$L,"&gt;0")&lt;&gt;1,"",SUMIFS($L:$L,$C:$C,$C2274,$D:$D,"P0(전)"))</f>
        <v/>
      </c>
      <c r="P2274" s="45">
        <f>IF(COUNTIFS($C:$C,$C2274,$D:$D,"P0(후)",$L:$L,"&gt;0")&lt;&gt;1,"",SUMIFS($H:$H,$C:$C,$C2274,$D:$D,"P0(후)"))</f>
        <v/>
      </c>
      <c r="Q2274" s="30">
        <f>IF(COUNTIFS($C:$C,$C2274,$D:$D,"P0(후)",$L:$L,"&gt;0")&lt;&gt;1,"",SUMIFS($L:$L,$C:$C,$C2274,$D:$D,"P0(후)"))</f>
        <v/>
      </c>
      <c r="R2274" s="30">
        <f>IF(M2274&lt;&gt;"OK","",O2274+(Q2274-O2274)*(H2274-N2274)/(P2274-N2274))</f>
        <v/>
      </c>
      <c r="S2274" s="30">
        <f>IF(OR(M2274&lt;&gt;"OK",NOT(ISNUMBER(L2274))),"",L2274-R2274)</f>
        <v/>
      </c>
      <c r="T2274" s="46">
        <f>IF(OR(NOT(ISNUMBER(S2274)),IF(ISNUMBER(G2274),G2274,F2274)=0),"",S2274/IF(ISNUMBER(G2274),G2274,F2274))</f>
        <v/>
      </c>
      <c r="U2274" s="46">
        <f>IF(ISNUMBER(T2274),ABS(T2274),"")</f>
        <v/>
      </c>
      <c r="V2274" s="46">
        <f>IF(OR($D2273&lt;&gt;"측정",$C2273&lt;&gt;$C2274,NOT(ISNUMBER(L2274)),NOT(ISNUMBER(L2273)),(IF(ISNUMBER(G2274),G2274,F2274)-IF(ISNUMBER(G2273),G2273,F2273))=0),"",(L2274-L2273)/(IF(ISNUMBER(G2274),G2274,F2274)-IF(ISNUMBER(G2273),G2273,F2273)))</f>
        <v/>
      </c>
      <c r="W2274" s="30">
        <f>IF(NOT(AND(ISNUMBER(N2274),ISNUMBER(P2274))),"",(P2274-N2274)*1440)</f>
        <v/>
      </c>
      <c r="X2274" s="28" t="n"/>
      <c r="Y2274" s="28" t="n"/>
      <c r="Z2274" s="28" t="n"/>
      <c r="AA2274" s="31" t="n"/>
      <c r="AB2274" s="31" t="n"/>
    </row>
    <row r="2275">
      <c r="A2275" s="25" t="inlineStr">
        <is>
          <t>S44</t>
        </is>
      </c>
      <c r="B2275" s="25" t="inlineStr">
        <is>
          <t>성산</t>
        </is>
      </c>
      <c r="C2275" s="25" t="inlineStr">
        <is>
          <t>S44-H남</t>
        </is>
      </c>
      <c r="D2275" s="25" t="inlineStr">
        <is>
          <t>측정</t>
        </is>
      </c>
      <c r="E2275" s="25" t="inlineStr">
        <is>
          <t>남</t>
        </is>
      </c>
      <c r="F2275" s="30" t="n">
        <v>7</v>
      </c>
      <c r="G2275" s="29" t="n"/>
      <c r="H2275" s="42" t="n"/>
      <c r="I2275" s="40" t="n"/>
      <c r="J2275" s="40" t="n"/>
      <c r="K2275" s="40" t="n"/>
      <c r="L2275" s="30">
        <f>IF(COUNT(I2275:K2275)=0,"",MEDIAN(I2275:K2275))</f>
        <v/>
      </c>
      <c r="M2275" s="25">
        <f>IF(COUNTIFS($C:$C,$C2275,$D:$D,"P0(전)",$L:$L,"&gt;0")&lt;&gt;1,"P0(전) 유효 1개 아님",IF(COUNTIFS($C:$C,$C2275,$D:$D,"P0(후)",$L:$L,"&gt;0")&lt;&gt;1,"P0(후) 유효 1개 아님",IF(NOT(AND(ISNUMBER(N2275),ISNUMBER(P2275),ISNUMBER(H2275))),"시각 결측",IF(P2275&lt;=N2275,"P0 시각 역전",IF(OR(H2275&lt;N2275,H2275&gt;P2275),"측정시각 구간 밖","OK")))))</f>
        <v/>
      </c>
      <c r="N2275" s="45">
        <f>IF(COUNTIFS($C:$C,$C2275,$D:$D,"P0(전)",$L:$L,"&gt;0")&lt;&gt;1,"",SUMIFS($H:$H,$C:$C,$C2275,$D:$D,"P0(전)"))</f>
        <v/>
      </c>
      <c r="O2275" s="30">
        <f>IF(COUNTIFS($C:$C,$C2275,$D:$D,"P0(전)",$L:$L,"&gt;0")&lt;&gt;1,"",SUMIFS($L:$L,$C:$C,$C2275,$D:$D,"P0(전)"))</f>
        <v/>
      </c>
      <c r="P2275" s="45">
        <f>IF(COUNTIFS($C:$C,$C2275,$D:$D,"P0(후)",$L:$L,"&gt;0")&lt;&gt;1,"",SUMIFS($H:$H,$C:$C,$C2275,$D:$D,"P0(후)"))</f>
        <v/>
      </c>
      <c r="Q2275" s="30">
        <f>IF(COUNTIFS($C:$C,$C2275,$D:$D,"P0(후)",$L:$L,"&gt;0")&lt;&gt;1,"",SUMIFS($L:$L,$C:$C,$C2275,$D:$D,"P0(후)"))</f>
        <v/>
      </c>
      <c r="R2275" s="30">
        <f>IF(M2275&lt;&gt;"OK","",O2275+(Q2275-O2275)*(H2275-N2275)/(P2275-N2275))</f>
        <v/>
      </c>
      <c r="S2275" s="30">
        <f>IF(OR(M2275&lt;&gt;"OK",NOT(ISNUMBER(L2275))),"",L2275-R2275)</f>
        <v/>
      </c>
      <c r="T2275" s="46">
        <f>IF(OR(NOT(ISNUMBER(S2275)),IF(ISNUMBER(G2275),G2275,F2275)=0),"",S2275/IF(ISNUMBER(G2275),G2275,F2275))</f>
        <v/>
      </c>
      <c r="U2275" s="46">
        <f>IF(ISNUMBER(T2275),ABS(T2275),"")</f>
        <v/>
      </c>
      <c r="V2275" s="46">
        <f>IF(OR($D2274&lt;&gt;"측정",$C2274&lt;&gt;$C2275,NOT(ISNUMBER(L2275)),NOT(ISNUMBER(L2274)),(IF(ISNUMBER(G2275),G2275,F2275)-IF(ISNUMBER(G2274),G2274,F2274))=0),"",(L2275-L2274)/(IF(ISNUMBER(G2275),G2275,F2275)-IF(ISNUMBER(G2274),G2274,F2274)))</f>
        <v/>
      </c>
      <c r="W2275" s="30">
        <f>IF(NOT(AND(ISNUMBER(N2275),ISNUMBER(P2275))),"",(P2275-N2275)*1440)</f>
        <v/>
      </c>
      <c r="X2275" s="28" t="n"/>
      <c r="Y2275" s="28" t="n"/>
      <c r="Z2275" s="28" t="n"/>
      <c r="AA2275" s="31" t="n"/>
      <c r="AB2275" s="31" t="n"/>
    </row>
    <row r="2276">
      <c r="A2276" s="25" t="inlineStr">
        <is>
          <t>S44</t>
        </is>
      </c>
      <c r="B2276" s="25" t="inlineStr">
        <is>
          <t>성산</t>
        </is>
      </c>
      <c r="C2276" s="25" t="inlineStr">
        <is>
          <t>S44-H남</t>
        </is>
      </c>
      <c r="D2276" s="25" t="inlineStr">
        <is>
          <t>측정</t>
        </is>
      </c>
      <c r="E2276" s="25" t="inlineStr">
        <is>
          <t>남</t>
        </is>
      </c>
      <c r="F2276" s="30" t="n">
        <v>8</v>
      </c>
      <c r="G2276" s="29" t="n"/>
      <c r="H2276" s="42" t="n"/>
      <c r="I2276" s="40" t="n"/>
      <c r="J2276" s="40" t="n"/>
      <c r="K2276" s="40" t="n"/>
      <c r="L2276" s="30">
        <f>IF(COUNT(I2276:K2276)=0,"",MEDIAN(I2276:K2276))</f>
        <v/>
      </c>
      <c r="M2276" s="25">
        <f>IF(COUNTIFS($C:$C,$C2276,$D:$D,"P0(전)",$L:$L,"&gt;0")&lt;&gt;1,"P0(전) 유효 1개 아님",IF(COUNTIFS($C:$C,$C2276,$D:$D,"P0(후)",$L:$L,"&gt;0")&lt;&gt;1,"P0(후) 유효 1개 아님",IF(NOT(AND(ISNUMBER(N2276),ISNUMBER(P2276),ISNUMBER(H2276))),"시각 결측",IF(P2276&lt;=N2276,"P0 시각 역전",IF(OR(H2276&lt;N2276,H2276&gt;P2276),"측정시각 구간 밖","OK")))))</f>
        <v/>
      </c>
      <c r="N2276" s="45">
        <f>IF(COUNTIFS($C:$C,$C2276,$D:$D,"P0(전)",$L:$L,"&gt;0")&lt;&gt;1,"",SUMIFS($H:$H,$C:$C,$C2276,$D:$D,"P0(전)"))</f>
        <v/>
      </c>
      <c r="O2276" s="30">
        <f>IF(COUNTIFS($C:$C,$C2276,$D:$D,"P0(전)",$L:$L,"&gt;0")&lt;&gt;1,"",SUMIFS($L:$L,$C:$C,$C2276,$D:$D,"P0(전)"))</f>
        <v/>
      </c>
      <c r="P2276" s="45">
        <f>IF(COUNTIFS($C:$C,$C2276,$D:$D,"P0(후)",$L:$L,"&gt;0")&lt;&gt;1,"",SUMIFS($H:$H,$C:$C,$C2276,$D:$D,"P0(후)"))</f>
        <v/>
      </c>
      <c r="Q2276" s="30">
        <f>IF(COUNTIFS($C:$C,$C2276,$D:$D,"P0(후)",$L:$L,"&gt;0")&lt;&gt;1,"",SUMIFS($L:$L,$C:$C,$C2276,$D:$D,"P0(후)"))</f>
        <v/>
      </c>
      <c r="R2276" s="30">
        <f>IF(M2276&lt;&gt;"OK","",O2276+(Q2276-O2276)*(H2276-N2276)/(P2276-N2276))</f>
        <v/>
      </c>
      <c r="S2276" s="30">
        <f>IF(OR(M2276&lt;&gt;"OK",NOT(ISNUMBER(L2276))),"",L2276-R2276)</f>
        <v/>
      </c>
      <c r="T2276" s="46">
        <f>IF(OR(NOT(ISNUMBER(S2276)),IF(ISNUMBER(G2276),G2276,F2276)=0),"",S2276/IF(ISNUMBER(G2276),G2276,F2276))</f>
        <v/>
      </c>
      <c r="U2276" s="46">
        <f>IF(ISNUMBER(T2276),ABS(T2276),"")</f>
        <v/>
      </c>
      <c r="V2276" s="46">
        <f>IF(OR($D2275&lt;&gt;"측정",$C2275&lt;&gt;$C2276,NOT(ISNUMBER(L2276)),NOT(ISNUMBER(L2275)),(IF(ISNUMBER(G2276),G2276,F2276)-IF(ISNUMBER(G2275),G2275,F2275))=0),"",(L2276-L2275)/(IF(ISNUMBER(G2276),G2276,F2276)-IF(ISNUMBER(G2275),G2275,F2275)))</f>
        <v/>
      </c>
      <c r="W2276" s="30">
        <f>IF(NOT(AND(ISNUMBER(N2276),ISNUMBER(P2276))),"",(P2276-N2276)*1440)</f>
        <v/>
      </c>
      <c r="X2276" s="28" t="n"/>
      <c r="Y2276" s="28" t="n"/>
      <c r="Z2276" s="28" t="n"/>
      <c r="AA2276" s="31" t="n"/>
      <c r="AB2276" s="31" t="n"/>
    </row>
    <row r="2277">
      <c r="A2277" s="25" t="inlineStr">
        <is>
          <t>S44</t>
        </is>
      </c>
      <c r="B2277" s="25" t="inlineStr">
        <is>
          <t>성산</t>
        </is>
      </c>
      <c r="C2277" s="25" t="inlineStr">
        <is>
          <t>S44-H남</t>
        </is>
      </c>
      <c r="D2277" s="25" t="inlineStr">
        <is>
          <t>측정</t>
        </is>
      </c>
      <c r="E2277" s="25" t="inlineStr">
        <is>
          <t>남</t>
        </is>
      </c>
      <c r="F2277" s="30" t="n">
        <v>9</v>
      </c>
      <c r="G2277" s="29" t="n"/>
      <c r="H2277" s="42" t="n"/>
      <c r="I2277" s="40" t="n"/>
      <c r="J2277" s="40" t="n"/>
      <c r="K2277" s="40" t="n"/>
      <c r="L2277" s="30">
        <f>IF(COUNT(I2277:K2277)=0,"",MEDIAN(I2277:K2277))</f>
        <v/>
      </c>
      <c r="M2277" s="25">
        <f>IF(COUNTIFS($C:$C,$C2277,$D:$D,"P0(전)",$L:$L,"&gt;0")&lt;&gt;1,"P0(전) 유효 1개 아님",IF(COUNTIFS($C:$C,$C2277,$D:$D,"P0(후)",$L:$L,"&gt;0")&lt;&gt;1,"P0(후) 유효 1개 아님",IF(NOT(AND(ISNUMBER(N2277),ISNUMBER(P2277),ISNUMBER(H2277))),"시각 결측",IF(P2277&lt;=N2277,"P0 시각 역전",IF(OR(H2277&lt;N2277,H2277&gt;P2277),"측정시각 구간 밖","OK")))))</f>
        <v/>
      </c>
      <c r="N2277" s="45">
        <f>IF(COUNTIFS($C:$C,$C2277,$D:$D,"P0(전)",$L:$L,"&gt;0")&lt;&gt;1,"",SUMIFS($H:$H,$C:$C,$C2277,$D:$D,"P0(전)"))</f>
        <v/>
      </c>
      <c r="O2277" s="30">
        <f>IF(COUNTIFS($C:$C,$C2277,$D:$D,"P0(전)",$L:$L,"&gt;0")&lt;&gt;1,"",SUMIFS($L:$L,$C:$C,$C2277,$D:$D,"P0(전)"))</f>
        <v/>
      </c>
      <c r="P2277" s="45">
        <f>IF(COUNTIFS($C:$C,$C2277,$D:$D,"P0(후)",$L:$L,"&gt;0")&lt;&gt;1,"",SUMIFS($H:$H,$C:$C,$C2277,$D:$D,"P0(후)"))</f>
        <v/>
      </c>
      <c r="Q2277" s="30">
        <f>IF(COUNTIFS($C:$C,$C2277,$D:$D,"P0(후)",$L:$L,"&gt;0")&lt;&gt;1,"",SUMIFS($L:$L,$C:$C,$C2277,$D:$D,"P0(후)"))</f>
        <v/>
      </c>
      <c r="R2277" s="30">
        <f>IF(M2277&lt;&gt;"OK","",O2277+(Q2277-O2277)*(H2277-N2277)/(P2277-N2277))</f>
        <v/>
      </c>
      <c r="S2277" s="30">
        <f>IF(OR(M2277&lt;&gt;"OK",NOT(ISNUMBER(L2277))),"",L2277-R2277)</f>
        <v/>
      </c>
      <c r="T2277" s="46">
        <f>IF(OR(NOT(ISNUMBER(S2277)),IF(ISNUMBER(G2277),G2277,F2277)=0),"",S2277/IF(ISNUMBER(G2277),G2277,F2277))</f>
        <v/>
      </c>
      <c r="U2277" s="46">
        <f>IF(ISNUMBER(T2277),ABS(T2277),"")</f>
        <v/>
      </c>
      <c r="V2277" s="46">
        <f>IF(OR($D2276&lt;&gt;"측정",$C2276&lt;&gt;$C2277,NOT(ISNUMBER(L2277)),NOT(ISNUMBER(L2276)),(IF(ISNUMBER(G2277),G2277,F2277)-IF(ISNUMBER(G2276),G2276,F2276))=0),"",(L2277-L2276)/(IF(ISNUMBER(G2277),G2277,F2277)-IF(ISNUMBER(G2276),G2276,F2276)))</f>
        <v/>
      </c>
      <c r="W2277" s="30">
        <f>IF(NOT(AND(ISNUMBER(N2277),ISNUMBER(P2277))),"",(P2277-N2277)*1440)</f>
        <v/>
      </c>
      <c r="X2277" s="28" t="n"/>
      <c r="Y2277" s="28" t="n"/>
      <c r="Z2277" s="28" t="n"/>
      <c r="AA2277" s="31" t="n"/>
      <c r="AB2277" s="31" t="n"/>
    </row>
    <row r="2278">
      <c r="A2278" s="25" t="inlineStr">
        <is>
          <t>S44</t>
        </is>
      </c>
      <c r="B2278" s="25" t="inlineStr">
        <is>
          <t>성산</t>
        </is>
      </c>
      <c r="C2278" s="25" t="inlineStr">
        <is>
          <t>S44-H남</t>
        </is>
      </c>
      <c r="D2278" s="25" t="inlineStr">
        <is>
          <t>측정</t>
        </is>
      </c>
      <c r="E2278" s="25" t="inlineStr">
        <is>
          <t>남</t>
        </is>
      </c>
      <c r="F2278" s="30" t="n">
        <v>10</v>
      </c>
      <c r="G2278" s="29" t="n"/>
      <c r="H2278" s="42" t="n"/>
      <c r="I2278" s="40" t="n"/>
      <c r="J2278" s="40" t="n"/>
      <c r="K2278" s="40" t="n"/>
      <c r="L2278" s="30">
        <f>IF(COUNT(I2278:K2278)=0,"",MEDIAN(I2278:K2278))</f>
        <v/>
      </c>
      <c r="M2278" s="25">
        <f>IF(COUNTIFS($C:$C,$C2278,$D:$D,"P0(전)",$L:$L,"&gt;0")&lt;&gt;1,"P0(전) 유효 1개 아님",IF(COUNTIFS($C:$C,$C2278,$D:$D,"P0(후)",$L:$L,"&gt;0")&lt;&gt;1,"P0(후) 유효 1개 아님",IF(NOT(AND(ISNUMBER(N2278),ISNUMBER(P2278),ISNUMBER(H2278))),"시각 결측",IF(P2278&lt;=N2278,"P0 시각 역전",IF(OR(H2278&lt;N2278,H2278&gt;P2278),"측정시각 구간 밖","OK")))))</f>
        <v/>
      </c>
      <c r="N2278" s="45">
        <f>IF(COUNTIFS($C:$C,$C2278,$D:$D,"P0(전)",$L:$L,"&gt;0")&lt;&gt;1,"",SUMIFS($H:$H,$C:$C,$C2278,$D:$D,"P0(전)"))</f>
        <v/>
      </c>
      <c r="O2278" s="30">
        <f>IF(COUNTIFS($C:$C,$C2278,$D:$D,"P0(전)",$L:$L,"&gt;0")&lt;&gt;1,"",SUMIFS($L:$L,$C:$C,$C2278,$D:$D,"P0(전)"))</f>
        <v/>
      </c>
      <c r="P2278" s="45">
        <f>IF(COUNTIFS($C:$C,$C2278,$D:$D,"P0(후)",$L:$L,"&gt;0")&lt;&gt;1,"",SUMIFS($H:$H,$C:$C,$C2278,$D:$D,"P0(후)"))</f>
        <v/>
      </c>
      <c r="Q2278" s="30">
        <f>IF(COUNTIFS($C:$C,$C2278,$D:$D,"P0(후)",$L:$L,"&gt;0")&lt;&gt;1,"",SUMIFS($L:$L,$C:$C,$C2278,$D:$D,"P0(후)"))</f>
        <v/>
      </c>
      <c r="R2278" s="30">
        <f>IF(M2278&lt;&gt;"OK","",O2278+(Q2278-O2278)*(H2278-N2278)/(P2278-N2278))</f>
        <v/>
      </c>
      <c r="S2278" s="30">
        <f>IF(OR(M2278&lt;&gt;"OK",NOT(ISNUMBER(L2278))),"",L2278-R2278)</f>
        <v/>
      </c>
      <c r="T2278" s="46">
        <f>IF(OR(NOT(ISNUMBER(S2278)),IF(ISNUMBER(G2278),G2278,F2278)=0),"",S2278/IF(ISNUMBER(G2278),G2278,F2278))</f>
        <v/>
      </c>
      <c r="U2278" s="46">
        <f>IF(ISNUMBER(T2278),ABS(T2278),"")</f>
        <v/>
      </c>
      <c r="V2278" s="46">
        <f>IF(OR($D2277&lt;&gt;"측정",$C2277&lt;&gt;$C2278,NOT(ISNUMBER(L2278)),NOT(ISNUMBER(L2277)),(IF(ISNUMBER(G2278),G2278,F2278)-IF(ISNUMBER(G2277),G2277,F2277))=0),"",(L2278-L2277)/(IF(ISNUMBER(G2278),G2278,F2278)-IF(ISNUMBER(G2277),G2277,F2277)))</f>
        <v/>
      </c>
      <c r="W2278" s="30">
        <f>IF(NOT(AND(ISNUMBER(N2278),ISNUMBER(P2278))),"",(P2278-N2278)*1440)</f>
        <v/>
      </c>
      <c r="X2278" s="28" t="n"/>
      <c r="Y2278" s="28" t="n"/>
      <c r="Z2278" s="28" t="n"/>
      <c r="AA2278" s="31" t="n"/>
      <c r="AB2278" s="31" t="n"/>
    </row>
    <row r="2279">
      <c r="A2279" s="43" t="inlineStr">
        <is>
          <t>S44</t>
        </is>
      </c>
      <c r="B2279" s="43" t="inlineStr">
        <is>
          <t>성산</t>
        </is>
      </c>
      <c r="C2279" s="43" t="inlineStr">
        <is>
          <t>S44-H남</t>
        </is>
      </c>
      <c r="D2279" s="43" t="inlineStr">
        <is>
          <t>P0(후)</t>
        </is>
      </c>
      <c r="E2279" s="43" t="inlineStr">
        <is>
          <t>남</t>
        </is>
      </c>
      <c r="F2279" s="44" t="n"/>
      <c r="G2279" s="29" t="n"/>
      <c r="H2279" s="42" t="n"/>
      <c r="I2279" s="40" t="n"/>
      <c r="J2279" s="40" t="n"/>
      <c r="K2279" s="40" t="n"/>
      <c r="L2279" s="30">
        <f>IF(COUNT(I2279:K2279)=0,"",MEDIAN(I2279:K2279))</f>
        <v/>
      </c>
      <c r="M2279" s="37" t="n"/>
      <c r="N2279" s="37" t="n"/>
      <c r="O2279" s="37" t="n"/>
      <c r="P2279" s="37" t="n"/>
      <c r="Q2279" s="37" t="n"/>
      <c r="R2279" s="37" t="n"/>
      <c r="S2279" s="37" t="n"/>
      <c r="T2279" s="37" t="n"/>
      <c r="U2279" s="37" t="n"/>
      <c r="V2279" s="37" t="n"/>
      <c r="W2279" s="37" t="n"/>
      <c r="X2279" s="28" t="n"/>
      <c r="Y2279" s="28" t="n"/>
      <c r="Z2279" s="28" t="n"/>
      <c r="AA2279" s="31" t="n"/>
      <c r="AB2279" s="31" t="n"/>
    </row>
    <row r="2280">
      <c r="A2280" s="43" t="inlineStr">
        <is>
          <t>S44</t>
        </is>
      </c>
      <c r="B2280" s="43" t="inlineStr">
        <is>
          <t>성산</t>
        </is>
      </c>
      <c r="C2280" s="43" t="inlineStr">
        <is>
          <t>S44-H북</t>
        </is>
      </c>
      <c r="D2280" s="43" t="inlineStr">
        <is>
          <t>P0(전)</t>
        </is>
      </c>
      <c r="E2280" s="43" t="inlineStr">
        <is>
          <t>북</t>
        </is>
      </c>
      <c r="F2280" s="44" t="n"/>
      <c r="G2280" s="29" t="n"/>
      <c r="H2280" s="42" t="n"/>
      <c r="I2280" s="40" t="n"/>
      <c r="J2280" s="40" t="n"/>
      <c r="K2280" s="40" t="n"/>
      <c r="L2280" s="30">
        <f>IF(COUNT(I2280:K2280)=0,"",MEDIAN(I2280:K2280))</f>
        <v/>
      </c>
      <c r="M2280" s="37" t="n"/>
      <c r="N2280" s="37" t="n"/>
      <c r="O2280" s="37" t="n"/>
      <c r="P2280" s="37" t="n"/>
      <c r="Q2280" s="37" t="n"/>
      <c r="R2280" s="37" t="n"/>
      <c r="S2280" s="37" t="n"/>
      <c r="T2280" s="37" t="n"/>
      <c r="U2280" s="37" t="n"/>
      <c r="V2280" s="37" t="n"/>
      <c r="W2280" s="37" t="n"/>
      <c r="X2280" s="28" t="n"/>
      <c r="Y2280" s="28" t="n"/>
      <c r="Z2280" s="28" t="n"/>
      <c r="AA2280" s="31" t="n"/>
      <c r="AB2280" s="31" t="n"/>
    </row>
    <row r="2281">
      <c r="A2281" s="25" t="inlineStr">
        <is>
          <t>S44</t>
        </is>
      </c>
      <c r="B2281" s="25" t="inlineStr">
        <is>
          <t>성산</t>
        </is>
      </c>
      <c r="C2281" s="25" t="inlineStr">
        <is>
          <t>S44-H북</t>
        </is>
      </c>
      <c r="D2281" s="25" t="inlineStr">
        <is>
          <t>측정</t>
        </is>
      </c>
      <c r="E2281" s="25" t="inlineStr">
        <is>
          <t>북</t>
        </is>
      </c>
      <c r="F2281" s="30" t="n">
        <v>0.5</v>
      </c>
      <c r="G2281" s="29" t="n"/>
      <c r="H2281" s="42" t="n"/>
      <c r="I2281" s="40" t="n"/>
      <c r="J2281" s="40" t="n"/>
      <c r="K2281" s="40" t="n"/>
      <c r="L2281" s="30">
        <f>IF(COUNT(I2281:K2281)=0,"",MEDIAN(I2281:K2281))</f>
        <v/>
      </c>
      <c r="M2281" s="25">
        <f>IF(COUNTIFS($C:$C,$C2281,$D:$D,"P0(전)",$L:$L,"&gt;0")&lt;&gt;1,"P0(전) 유효 1개 아님",IF(COUNTIFS($C:$C,$C2281,$D:$D,"P0(후)",$L:$L,"&gt;0")&lt;&gt;1,"P0(후) 유효 1개 아님",IF(NOT(AND(ISNUMBER(N2281),ISNUMBER(P2281),ISNUMBER(H2281))),"시각 결측",IF(P2281&lt;=N2281,"P0 시각 역전",IF(OR(H2281&lt;N2281,H2281&gt;P2281),"측정시각 구간 밖","OK")))))</f>
        <v/>
      </c>
      <c r="N2281" s="45">
        <f>IF(COUNTIFS($C:$C,$C2281,$D:$D,"P0(전)",$L:$L,"&gt;0")&lt;&gt;1,"",SUMIFS($H:$H,$C:$C,$C2281,$D:$D,"P0(전)"))</f>
        <v/>
      </c>
      <c r="O2281" s="30">
        <f>IF(COUNTIFS($C:$C,$C2281,$D:$D,"P0(전)",$L:$L,"&gt;0")&lt;&gt;1,"",SUMIFS($L:$L,$C:$C,$C2281,$D:$D,"P0(전)"))</f>
        <v/>
      </c>
      <c r="P2281" s="45">
        <f>IF(COUNTIFS($C:$C,$C2281,$D:$D,"P0(후)",$L:$L,"&gt;0")&lt;&gt;1,"",SUMIFS($H:$H,$C:$C,$C2281,$D:$D,"P0(후)"))</f>
        <v/>
      </c>
      <c r="Q2281" s="30">
        <f>IF(COUNTIFS($C:$C,$C2281,$D:$D,"P0(후)",$L:$L,"&gt;0")&lt;&gt;1,"",SUMIFS($L:$L,$C:$C,$C2281,$D:$D,"P0(후)"))</f>
        <v/>
      </c>
      <c r="R2281" s="30">
        <f>IF(M2281&lt;&gt;"OK","",O2281+(Q2281-O2281)*(H2281-N2281)/(P2281-N2281))</f>
        <v/>
      </c>
      <c r="S2281" s="30">
        <f>IF(OR(M2281&lt;&gt;"OK",NOT(ISNUMBER(L2281))),"",L2281-R2281)</f>
        <v/>
      </c>
      <c r="T2281" s="46">
        <f>IF(OR(NOT(ISNUMBER(S2281)),IF(ISNUMBER(G2281),G2281,F2281)=0),"",S2281/IF(ISNUMBER(G2281),G2281,F2281))</f>
        <v/>
      </c>
      <c r="U2281" s="46">
        <f>IF(ISNUMBER(T2281),ABS(T2281),"")</f>
        <v/>
      </c>
      <c r="V2281" s="46">
        <f>IF(OR($D2280&lt;&gt;"측정",$C2280&lt;&gt;$C2281,NOT(ISNUMBER(L2281)),NOT(ISNUMBER(L2280)),(IF(ISNUMBER(G2281),G2281,F2281)-IF(ISNUMBER(G2280),G2280,F2280))=0),"",(L2281-L2280)/(IF(ISNUMBER(G2281),G2281,F2281)-IF(ISNUMBER(G2280),G2280,F2280)))</f>
        <v/>
      </c>
      <c r="W2281" s="30">
        <f>IF(NOT(AND(ISNUMBER(N2281),ISNUMBER(P2281))),"",(P2281-N2281)*1440)</f>
        <v/>
      </c>
      <c r="X2281" s="28" t="n"/>
      <c r="Y2281" s="28" t="n"/>
      <c r="Z2281" s="28" t="n"/>
      <c r="AA2281" s="31" t="n"/>
      <c r="AB2281" s="31" t="n"/>
    </row>
    <row r="2282">
      <c r="A2282" s="25" t="inlineStr">
        <is>
          <t>S44</t>
        </is>
      </c>
      <c r="B2282" s="25" t="inlineStr">
        <is>
          <t>성산</t>
        </is>
      </c>
      <c r="C2282" s="25" t="inlineStr">
        <is>
          <t>S44-H북</t>
        </is>
      </c>
      <c r="D2282" s="25" t="inlineStr">
        <is>
          <t>측정</t>
        </is>
      </c>
      <c r="E2282" s="25" t="inlineStr">
        <is>
          <t>북</t>
        </is>
      </c>
      <c r="F2282" s="30" t="n">
        <v>1</v>
      </c>
      <c r="G2282" s="29" t="n"/>
      <c r="H2282" s="42" t="n"/>
      <c r="I2282" s="40" t="n"/>
      <c r="J2282" s="40" t="n"/>
      <c r="K2282" s="40" t="n"/>
      <c r="L2282" s="30">
        <f>IF(COUNT(I2282:K2282)=0,"",MEDIAN(I2282:K2282))</f>
        <v/>
      </c>
      <c r="M2282" s="25">
        <f>IF(COUNTIFS($C:$C,$C2282,$D:$D,"P0(전)",$L:$L,"&gt;0")&lt;&gt;1,"P0(전) 유효 1개 아님",IF(COUNTIFS($C:$C,$C2282,$D:$D,"P0(후)",$L:$L,"&gt;0")&lt;&gt;1,"P0(후) 유효 1개 아님",IF(NOT(AND(ISNUMBER(N2282),ISNUMBER(P2282),ISNUMBER(H2282))),"시각 결측",IF(P2282&lt;=N2282,"P0 시각 역전",IF(OR(H2282&lt;N2282,H2282&gt;P2282),"측정시각 구간 밖","OK")))))</f>
        <v/>
      </c>
      <c r="N2282" s="45">
        <f>IF(COUNTIFS($C:$C,$C2282,$D:$D,"P0(전)",$L:$L,"&gt;0")&lt;&gt;1,"",SUMIFS($H:$H,$C:$C,$C2282,$D:$D,"P0(전)"))</f>
        <v/>
      </c>
      <c r="O2282" s="30">
        <f>IF(COUNTIFS($C:$C,$C2282,$D:$D,"P0(전)",$L:$L,"&gt;0")&lt;&gt;1,"",SUMIFS($L:$L,$C:$C,$C2282,$D:$D,"P0(전)"))</f>
        <v/>
      </c>
      <c r="P2282" s="45">
        <f>IF(COUNTIFS($C:$C,$C2282,$D:$D,"P0(후)",$L:$L,"&gt;0")&lt;&gt;1,"",SUMIFS($H:$H,$C:$C,$C2282,$D:$D,"P0(후)"))</f>
        <v/>
      </c>
      <c r="Q2282" s="30">
        <f>IF(COUNTIFS($C:$C,$C2282,$D:$D,"P0(후)",$L:$L,"&gt;0")&lt;&gt;1,"",SUMIFS($L:$L,$C:$C,$C2282,$D:$D,"P0(후)"))</f>
        <v/>
      </c>
      <c r="R2282" s="30">
        <f>IF(M2282&lt;&gt;"OK","",O2282+(Q2282-O2282)*(H2282-N2282)/(P2282-N2282))</f>
        <v/>
      </c>
      <c r="S2282" s="30">
        <f>IF(OR(M2282&lt;&gt;"OK",NOT(ISNUMBER(L2282))),"",L2282-R2282)</f>
        <v/>
      </c>
      <c r="T2282" s="46">
        <f>IF(OR(NOT(ISNUMBER(S2282)),IF(ISNUMBER(G2282),G2282,F2282)=0),"",S2282/IF(ISNUMBER(G2282),G2282,F2282))</f>
        <v/>
      </c>
      <c r="U2282" s="46">
        <f>IF(ISNUMBER(T2282),ABS(T2282),"")</f>
        <v/>
      </c>
      <c r="V2282" s="46">
        <f>IF(OR($D2281&lt;&gt;"측정",$C2281&lt;&gt;$C2282,NOT(ISNUMBER(L2282)),NOT(ISNUMBER(L2281)),(IF(ISNUMBER(G2282),G2282,F2282)-IF(ISNUMBER(G2281),G2281,F2281))=0),"",(L2282-L2281)/(IF(ISNUMBER(G2282),G2282,F2282)-IF(ISNUMBER(G2281),G2281,F2281)))</f>
        <v/>
      </c>
      <c r="W2282" s="30">
        <f>IF(NOT(AND(ISNUMBER(N2282),ISNUMBER(P2282))),"",(P2282-N2282)*1440)</f>
        <v/>
      </c>
      <c r="X2282" s="28" t="n"/>
      <c r="Y2282" s="28" t="n"/>
      <c r="Z2282" s="28" t="n"/>
      <c r="AA2282" s="31" t="n"/>
      <c r="AB2282" s="31" t="n"/>
    </row>
    <row r="2283">
      <c r="A2283" s="25" t="inlineStr">
        <is>
          <t>S44</t>
        </is>
      </c>
      <c r="B2283" s="25" t="inlineStr">
        <is>
          <t>성산</t>
        </is>
      </c>
      <c r="C2283" s="25" t="inlineStr">
        <is>
          <t>S44-H북</t>
        </is>
      </c>
      <c r="D2283" s="25" t="inlineStr">
        <is>
          <t>측정</t>
        </is>
      </c>
      <c r="E2283" s="25" t="inlineStr">
        <is>
          <t>북</t>
        </is>
      </c>
      <c r="F2283" s="30" t="n">
        <v>2</v>
      </c>
      <c r="G2283" s="29" t="n"/>
      <c r="H2283" s="42" t="n"/>
      <c r="I2283" s="40" t="n"/>
      <c r="J2283" s="40" t="n"/>
      <c r="K2283" s="40" t="n"/>
      <c r="L2283" s="30">
        <f>IF(COUNT(I2283:K2283)=0,"",MEDIAN(I2283:K2283))</f>
        <v/>
      </c>
      <c r="M2283" s="25">
        <f>IF(COUNTIFS($C:$C,$C2283,$D:$D,"P0(전)",$L:$L,"&gt;0")&lt;&gt;1,"P0(전) 유효 1개 아님",IF(COUNTIFS($C:$C,$C2283,$D:$D,"P0(후)",$L:$L,"&gt;0")&lt;&gt;1,"P0(후) 유효 1개 아님",IF(NOT(AND(ISNUMBER(N2283),ISNUMBER(P2283),ISNUMBER(H2283))),"시각 결측",IF(P2283&lt;=N2283,"P0 시각 역전",IF(OR(H2283&lt;N2283,H2283&gt;P2283),"측정시각 구간 밖","OK")))))</f>
        <v/>
      </c>
      <c r="N2283" s="45">
        <f>IF(COUNTIFS($C:$C,$C2283,$D:$D,"P0(전)",$L:$L,"&gt;0")&lt;&gt;1,"",SUMIFS($H:$H,$C:$C,$C2283,$D:$D,"P0(전)"))</f>
        <v/>
      </c>
      <c r="O2283" s="30">
        <f>IF(COUNTIFS($C:$C,$C2283,$D:$D,"P0(전)",$L:$L,"&gt;0")&lt;&gt;1,"",SUMIFS($L:$L,$C:$C,$C2283,$D:$D,"P0(전)"))</f>
        <v/>
      </c>
      <c r="P2283" s="45">
        <f>IF(COUNTIFS($C:$C,$C2283,$D:$D,"P0(후)",$L:$L,"&gt;0")&lt;&gt;1,"",SUMIFS($H:$H,$C:$C,$C2283,$D:$D,"P0(후)"))</f>
        <v/>
      </c>
      <c r="Q2283" s="30">
        <f>IF(COUNTIFS($C:$C,$C2283,$D:$D,"P0(후)",$L:$L,"&gt;0")&lt;&gt;1,"",SUMIFS($L:$L,$C:$C,$C2283,$D:$D,"P0(후)"))</f>
        <v/>
      </c>
      <c r="R2283" s="30">
        <f>IF(M2283&lt;&gt;"OK","",O2283+(Q2283-O2283)*(H2283-N2283)/(P2283-N2283))</f>
        <v/>
      </c>
      <c r="S2283" s="30">
        <f>IF(OR(M2283&lt;&gt;"OK",NOT(ISNUMBER(L2283))),"",L2283-R2283)</f>
        <v/>
      </c>
      <c r="T2283" s="46">
        <f>IF(OR(NOT(ISNUMBER(S2283)),IF(ISNUMBER(G2283),G2283,F2283)=0),"",S2283/IF(ISNUMBER(G2283),G2283,F2283))</f>
        <v/>
      </c>
      <c r="U2283" s="46">
        <f>IF(ISNUMBER(T2283),ABS(T2283),"")</f>
        <v/>
      </c>
      <c r="V2283" s="46">
        <f>IF(OR($D2282&lt;&gt;"측정",$C2282&lt;&gt;$C2283,NOT(ISNUMBER(L2283)),NOT(ISNUMBER(L2282)),(IF(ISNUMBER(G2283),G2283,F2283)-IF(ISNUMBER(G2282),G2282,F2282))=0),"",(L2283-L2282)/(IF(ISNUMBER(G2283),G2283,F2283)-IF(ISNUMBER(G2282),G2282,F2282)))</f>
        <v/>
      </c>
      <c r="W2283" s="30">
        <f>IF(NOT(AND(ISNUMBER(N2283),ISNUMBER(P2283))),"",(P2283-N2283)*1440)</f>
        <v/>
      </c>
      <c r="X2283" s="28" t="n"/>
      <c r="Y2283" s="28" t="n"/>
      <c r="Z2283" s="28" t="n"/>
      <c r="AA2283" s="31" t="n"/>
      <c r="AB2283" s="31" t="n"/>
    </row>
    <row r="2284">
      <c r="A2284" s="25" t="inlineStr">
        <is>
          <t>S44</t>
        </is>
      </c>
      <c r="B2284" s="25" t="inlineStr">
        <is>
          <t>성산</t>
        </is>
      </c>
      <c r="C2284" s="25" t="inlineStr">
        <is>
          <t>S44-H북</t>
        </is>
      </c>
      <c r="D2284" s="25" t="inlineStr">
        <is>
          <t>측정</t>
        </is>
      </c>
      <c r="E2284" s="25" t="inlineStr">
        <is>
          <t>북</t>
        </is>
      </c>
      <c r="F2284" s="30" t="n">
        <v>3</v>
      </c>
      <c r="G2284" s="29" t="n"/>
      <c r="H2284" s="42" t="n"/>
      <c r="I2284" s="40" t="n"/>
      <c r="J2284" s="40" t="n"/>
      <c r="K2284" s="40" t="n"/>
      <c r="L2284" s="30">
        <f>IF(COUNT(I2284:K2284)=0,"",MEDIAN(I2284:K2284))</f>
        <v/>
      </c>
      <c r="M2284" s="25">
        <f>IF(COUNTIFS($C:$C,$C2284,$D:$D,"P0(전)",$L:$L,"&gt;0")&lt;&gt;1,"P0(전) 유효 1개 아님",IF(COUNTIFS($C:$C,$C2284,$D:$D,"P0(후)",$L:$L,"&gt;0")&lt;&gt;1,"P0(후) 유효 1개 아님",IF(NOT(AND(ISNUMBER(N2284),ISNUMBER(P2284),ISNUMBER(H2284))),"시각 결측",IF(P2284&lt;=N2284,"P0 시각 역전",IF(OR(H2284&lt;N2284,H2284&gt;P2284),"측정시각 구간 밖","OK")))))</f>
        <v/>
      </c>
      <c r="N2284" s="45">
        <f>IF(COUNTIFS($C:$C,$C2284,$D:$D,"P0(전)",$L:$L,"&gt;0")&lt;&gt;1,"",SUMIFS($H:$H,$C:$C,$C2284,$D:$D,"P0(전)"))</f>
        <v/>
      </c>
      <c r="O2284" s="30">
        <f>IF(COUNTIFS($C:$C,$C2284,$D:$D,"P0(전)",$L:$L,"&gt;0")&lt;&gt;1,"",SUMIFS($L:$L,$C:$C,$C2284,$D:$D,"P0(전)"))</f>
        <v/>
      </c>
      <c r="P2284" s="45">
        <f>IF(COUNTIFS($C:$C,$C2284,$D:$D,"P0(후)",$L:$L,"&gt;0")&lt;&gt;1,"",SUMIFS($H:$H,$C:$C,$C2284,$D:$D,"P0(후)"))</f>
        <v/>
      </c>
      <c r="Q2284" s="30">
        <f>IF(COUNTIFS($C:$C,$C2284,$D:$D,"P0(후)",$L:$L,"&gt;0")&lt;&gt;1,"",SUMIFS($L:$L,$C:$C,$C2284,$D:$D,"P0(후)"))</f>
        <v/>
      </c>
      <c r="R2284" s="30">
        <f>IF(M2284&lt;&gt;"OK","",O2284+(Q2284-O2284)*(H2284-N2284)/(P2284-N2284))</f>
        <v/>
      </c>
      <c r="S2284" s="30">
        <f>IF(OR(M2284&lt;&gt;"OK",NOT(ISNUMBER(L2284))),"",L2284-R2284)</f>
        <v/>
      </c>
      <c r="T2284" s="46">
        <f>IF(OR(NOT(ISNUMBER(S2284)),IF(ISNUMBER(G2284),G2284,F2284)=0),"",S2284/IF(ISNUMBER(G2284),G2284,F2284))</f>
        <v/>
      </c>
      <c r="U2284" s="46">
        <f>IF(ISNUMBER(T2284),ABS(T2284),"")</f>
        <v/>
      </c>
      <c r="V2284" s="46">
        <f>IF(OR($D2283&lt;&gt;"측정",$C2283&lt;&gt;$C2284,NOT(ISNUMBER(L2284)),NOT(ISNUMBER(L2283)),(IF(ISNUMBER(G2284),G2284,F2284)-IF(ISNUMBER(G2283),G2283,F2283))=0),"",(L2284-L2283)/(IF(ISNUMBER(G2284),G2284,F2284)-IF(ISNUMBER(G2283),G2283,F2283)))</f>
        <v/>
      </c>
      <c r="W2284" s="30">
        <f>IF(NOT(AND(ISNUMBER(N2284),ISNUMBER(P2284))),"",(P2284-N2284)*1440)</f>
        <v/>
      </c>
      <c r="X2284" s="28" t="n"/>
      <c r="Y2284" s="28" t="n"/>
      <c r="Z2284" s="28" t="n"/>
      <c r="AA2284" s="31" t="n"/>
      <c r="AB2284" s="31" t="n"/>
    </row>
    <row r="2285">
      <c r="A2285" s="25" t="inlineStr">
        <is>
          <t>S44</t>
        </is>
      </c>
      <c r="B2285" s="25" t="inlineStr">
        <is>
          <t>성산</t>
        </is>
      </c>
      <c r="C2285" s="25" t="inlineStr">
        <is>
          <t>S44-H북</t>
        </is>
      </c>
      <c r="D2285" s="25" t="inlineStr">
        <is>
          <t>측정</t>
        </is>
      </c>
      <c r="E2285" s="25" t="inlineStr">
        <is>
          <t>북</t>
        </is>
      </c>
      <c r="F2285" s="30" t="n">
        <v>4</v>
      </c>
      <c r="G2285" s="29" t="n"/>
      <c r="H2285" s="42" t="n"/>
      <c r="I2285" s="40" t="n"/>
      <c r="J2285" s="40" t="n"/>
      <c r="K2285" s="40" t="n"/>
      <c r="L2285" s="30">
        <f>IF(COUNT(I2285:K2285)=0,"",MEDIAN(I2285:K2285))</f>
        <v/>
      </c>
      <c r="M2285" s="25">
        <f>IF(COUNTIFS($C:$C,$C2285,$D:$D,"P0(전)",$L:$L,"&gt;0")&lt;&gt;1,"P0(전) 유효 1개 아님",IF(COUNTIFS($C:$C,$C2285,$D:$D,"P0(후)",$L:$L,"&gt;0")&lt;&gt;1,"P0(후) 유효 1개 아님",IF(NOT(AND(ISNUMBER(N2285),ISNUMBER(P2285),ISNUMBER(H2285))),"시각 결측",IF(P2285&lt;=N2285,"P0 시각 역전",IF(OR(H2285&lt;N2285,H2285&gt;P2285),"측정시각 구간 밖","OK")))))</f>
        <v/>
      </c>
      <c r="N2285" s="45">
        <f>IF(COUNTIFS($C:$C,$C2285,$D:$D,"P0(전)",$L:$L,"&gt;0")&lt;&gt;1,"",SUMIFS($H:$H,$C:$C,$C2285,$D:$D,"P0(전)"))</f>
        <v/>
      </c>
      <c r="O2285" s="30">
        <f>IF(COUNTIFS($C:$C,$C2285,$D:$D,"P0(전)",$L:$L,"&gt;0")&lt;&gt;1,"",SUMIFS($L:$L,$C:$C,$C2285,$D:$D,"P0(전)"))</f>
        <v/>
      </c>
      <c r="P2285" s="45">
        <f>IF(COUNTIFS($C:$C,$C2285,$D:$D,"P0(후)",$L:$L,"&gt;0")&lt;&gt;1,"",SUMIFS($H:$H,$C:$C,$C2285,$D:$D,"P0(후)"))</f>
        <v/>
      </c>
      <c r="Q2285" s="30">
        <f>IF(COUNTIFS($C:$C,$C2285,$D:$D,"P0(후)",$L:$L,"&gt;0")&lt;&gt;1,"",SUMIFS($L:$L,$C:$C,$C2285,$D:$D,"P0(후)"))</f>
        <v/>
      </c>
      <c r="R2285" s="30">
        <f>IF(M2285&lt;&gt;"OK","",O2285+(Q2285-O2285)*(H2285-N2285)/(P2285-N2285))</f>
        <v/>
      </c>
      <c r="S2285" s="30">
        <f>IF(OR(M2285&lt;&gt;"OK",NOT(ISNUMBER(L2285))),"",L2285-R2285)</f>
        <v/>
      </c>
      <c r="T2285" s="46">
        <f>IF(OR(NOT(ISNUMBER(S2285)),IF(ISNUMBER(G2285),G2285,F2285)=0),"",S2285/IF(ISNUMBER(G2285),G2285,F2285))</f>
        <v/>
      </c>
      <c r="U2285" s="46">
        <f>IF(ISNUMBER(T2285),ABS(T2285),"")</f>
        <v/>
      </c>
      <c r="V2285" s="46">
        <f>IF(OR($D2284&lt;&gt;"측정",$C2284&lt;&gt;$C2285,NOT(ISNUMBER(L2285)),NOT(ISNUMBER(L2284)),(IF(ISNUMBER(G2285),G2285,F2285)-IF(ISNUMBER(G2284),G2284,F2284))=0),"",(L2285-L2284)/(IF(ISNUMBER(G2285),G2285,F2285)-IF(ISNUMBER(G2284),G2284,F2284)))</f>
        <v/>
      </c>
      <c r="W2285" s="30">
        <f>IF(NOT(AND(ISNUMBER(N2285),ISNUMBER(P2285))),"",(P2285-N2285)*1440)</f>
        <v/>
      </c>
      <c r="X2285" s="28" t="n"/>
      <c r="Y2285" s="28" t="n"/>
      <c r="Z2285" s="28" t="n"/>
      <c r="AA2285" s="31" t="n"/>
      <c r="AB2285" s="31" t="n"/>
    </row>
    <row r="2286">
      <c r="A2286" s="25" t="inlineStr">
        <is>
          <t>S44</t>
        </is>
      </c>
      <c r="B2286" s="25" t="inlineStr">
        <is>
          <t>성산</t>
        </is>
      </c>
      <c r="C2286" s="25" t="inlineStr">
        <is>
          <t>S44-H북</t>
        </is>
      </c>
      <c r="D2286" s="25" t="inlineStr">
        <is>
          <t>측정</t>
        </is>
      </c>
      <c r="E2286" s="25" t="inlineStr">
        <is>
          <t>북</t>
        </is>
      </c>
      <c r="F2286" s="30" t="n">
        <v>5</v>
      </c>
      <c r="G2286" s="29" t="n"/>
      <c r="H2286" s="42" t="n"/>
      <c r="I2286" s="40" t="n"/>
      <c r="J2286" s="40" t="n"/>
      <c r="K2286" s="40" t="n"/>
      <c r="L2286" s="30">
        <f>IF(COUNT(I2286:K2286)=0,"",MEDIAN(I2286:K2286))</f>
        <v/>
      </c>
      <c r="M2286" s="25">
        <f>IF(COUNTIFS($C:$C,$C2286,$D:$D,"P0(전)",$L:$L,"&gt;0")&lt;&gt;1,"P0(전) 유효 1개 아님",IF(COUNTIFS($C:$C,$C2286,$D:$D,"P0(후)",$L:$L,"&gt;0")&lt;&gt;1,"P0(후) 유효 1개 아님",IF(NOT(AND(ISNUMBER(N2286),ISNUMBER(P2286),ISNUMBER(H2286))),"시각 결측",IF(P2286&lt;=N2286,"P0 시각 역전",IF(OR(H2286&lt;N2286,H2286&gt;P2286),"측정시각 구간 밖","OK")))))</f>
        <v/>
      </c>
      <c r="N2286" s="45">
        <f>IF(COUNTIFS($C:$C,$C2286,$D:$D,"P0(전)",$L:$L,"&gt;0")&lt;&gt;1,"",SUMIFS($H:$H,$C:$C,$C2286,$D:$D,"P0(전)"))</f>
        <v/>
      </c>
      <c r="O2286" s="30">
        <f>IF(COUNTIFS($C:$C,$C2286,$D:$D,"P0(전)",$L:$L,"&gt;0")&lt;&gt;1,"",SUMIFS($L:$L,$C:$C,$C2286,$D:$D,"P0(전)"))</f>
        <v/>
      </c>
      <c r="P2286" s="45">
        <f>IF(COUNTIFS($C:$C,$C2286,$D:$D,"P0(후)",$L:$L,"&gt;0")&lt;&gt;1,"",SUMIFS($H:$H,$C:$C,$C2286,$D:$D,"P0(후)"))</f>
        <v/>
      </c>
      <c r="Q2286" s="30">
        <f>IF(COUNTIFS($C:$C,$C2286,$D:$D,"P0(후)",$L:$L,"&gt;0")&lt;&gt;1,"",SUMIFS($L:$L,$C:$C,$C2286,$D:$D,"P0(후)"))</f>
        <v/>
      </c>
      <c r="R2286" s="30">
        <f>IF(M2286&lt;&gt;"OK","",O2286+(Q2286-O2286)*(H2286-N2286)/(P2286-N2286))</f>
        <v/>
      </c>
      <c r="S2286" s="30">
        <f>IF(OR(M2286&lt;&gt;"OK",NOT(ISNUMBER(L2286))),"",L2286-R2286)</f>
        <v/>
      </c>
      <c r="T2286" s="46">
        <f>IF(OR(NOT(ISNUMBER(S2286)),IF(ISNUMBER(G2286),G2286,F2286)=0),"",S2286/IF(ISNUMBER(G2286),G2286,F2286))</f>
        <v/>
      </c>
      <c r="U2286" s="46">
        <f>IF(ISNUMBER(T2286),ABS(T2286),"")</f>
        <v/>
      </c>
      <c r="V2286" s="46">
        <f>IF(OR($D2285&lt;&gt;"측정",$C2285&lt;&gt;$C2286,NOT(ISNUMBER(L2286)),NOT(ISNUMBER(L2285)),(IF(ISNUMBER(G2286),G2286,F2286)-IF(ISNUMBER(G2285),G2285,F2285))=0),"",(L2286-L2285)/(IF(ISNUMBER(G2286),G2286,F2286)-IF(ISNUMBER(G2285),G2285,F2285)))</f>
        <v/>
      </c>
      <c r="W2286" s="30">
        <f>IF(NOT(AND(ISNUMBER(N2286),ISNUMBER(P2286))),"",(P2286-N2286)*1440)</f>
        <v/>
      </c>
      <c r="X2286" s="28" t="n"/>
      <c r="Y2286" s="28" t="n"/>
      <c r="Z2286" s="28" t="n"/>
      <c r="AA2286" s="31" t="n"/>
      <c r="AB2286" s="31" t="n"/>
    </row>
    <row r="2287">
      <c r="A2287" s="25" t="inlineStr">
        <is>
          <t>S44</t>
        </is>
      </c>
      <c r="B2287" s="25" t="inlineStr">
        <is>
          <t>성산</t>
        </is>
      </c>
      <c r="C2287" s="25" t="inlineStr">
        <is>
          <t>S44-H북</t>
        </is>
      </c>
      <c r="D2287" s="25" t="inlineStr">
        <is>
          <t>측정</t>
        </is>
      </c>
      <c r="E2287" s="25" t="inlineStr">
        <is>
          <t>북</t>
        </is>
      </c>
      <c r="F2287" s="30" t="n">
        <v>6</v>
      </c>
      <c r="G2287" s="29" t="n"/>
      <c r="H2287" s="42" t="n"/>
      <c r="I2287" s="40" t="n"/>
      <c r="J2287" s="40" t="n"/>
      <c r="K2287" s="40" t="n"/>
      <c r="L2287" s="30">
        <f>IF(COUNT(I2287:K2287)=0,"",MEDIAN(I2287:K2287))</f>
        <v/>
      </c>
      <c r="M2287" s="25">
        <f>IF(COUNTIFS($C:$C,$C2287,$D:$D,"P0(전)",$L:$L,"&gt;0")&lt;&gt;1,"P0(전) 유효 1개 아님",IF(COUNTIFS($C:$C,$C2287,$D:$D,"P0(후)",$L:$L,"&gt;0")&lt;&gt;1,"P0(후) 유효 1개 아님",IF(NOT(AND(ISNUMBER(N2287),ISNUMBER(P2287),ISNUMBER(H2287))),"시각 결측",IF(P2287&lt;=N2287,"P0 시각 역전",IF(OR(H2287&lt;N2287,H2287&gt;P2287),"측정시각 구간 밖","OK")))))</f>
        <v/>
      </c>
      <c r="N2287" s="45">
        <f>IF(COUNTIFS($C:$C,$C2287,$D:$D,"P0(전)",$L:$L,"&gt;0")&lt;&gt;1,"",SUMIFS($H:$H,$C:$C,$C2287,$D:$D,"P0(전)"))</f>
        <v/>
      </c>
      <c r="O2287" s="30">
        <f>IF(COUNTIFS($C:$C,$C2287,$D:$D,"P0(전)",$L:$L,"&gt;0")&lt;&gt;1,"",SUMIFS($L:$L,$C:$C,$C2287,$D:$D,"P0(전)"))</f>
        <v/>
      </c>
      <c r="P2287" s="45">
        <f>IF(COUNTIFS($C:$C,$C2287,$D:$D,"P0(후)",$L:$L,"&gt;0")&lt;&gt;1,"",SUMIFS($H:$H,$C:$C,$C2287,$D:$D,"P0(후)"))</f>
        <v/>
      </c>
      <c r="Q2287" s="30">
        <f>IF(COUNTIFS($C:$C,$C2287,$D:$D,"P0(후)",$L:$L,"&gt;0")&lt;&gt;1,"",SUMIFS($L:$L,$C:$C,$C2287,$D:$D,"P0(후)"))</f>
        <v/>
      </c>
      <c r="R2287" s="30">
        <f>IF(M2287&lt;&gt;"OK","",O2287+(Q2287-O2287)*(H2287-N2287)/(P2287-N2287))</f>
        <v/>
      </c>
      <c r="S2287" s="30">
        <f>IF(OR(M2287&lt;&gt;"OK",NOT(ISNUMBER(L2287))),"",L2287-R2287)</f>
        <v/>
      </c>
      <c r="T2287" s="46">
        <f>IF(OR(NOT(ISNUMBER(S2287)),IF(ISNUMBER(G2287),G2287,F2287)=0),"",S2287/IF(ISNUMBER(G2287),G2287,F2287))</f>
        <v/>
      </c>
      <c r="U2287" s="46">
        <f>IF(ISNUMBER(T2287),ABS(T2287),"")</f>
        <v/>
      </c>
      <c r="V2287" s="46">
        <f>IF(OR($D2286&lt;&gt;"측정",$C2286&lt;&gt;$C2287,NOT(ISNUMBER(L2287)),NOT(ISNUMBER(L2286)),(IF(ISNUMBER(G2287),G2287,F2287)-IF(ISNUMBER(G2286),G2286,F2286))=0),"",(L2287-L2286)/(IF(ISNUMBER(G2287),G2287,F2287)-IF(ISNUMBER(G2286),G2286,F2286)))</f>
        <v/>
      </c>
      <c r="W2287" s="30">
        <f>IF(NOT(AND(ISNUMBER(N2287),ISNUMBER(P2287))),"",(P2287-N2287)*1440)</f>
        <v/>
      </c>
      <c r="X2287" s="28" t="n"/>
      <c r="Y2287" s="28" t="n"/>
      <c r="Z2287" s="28" t="n"/>
      <c r="AA2287" s="31" t="n"/>
      <c r="AB2287" s="31" t="n"/>
    </row>
    <row r="2288">
      <c r="A2288" s="25" t="inlineStr">
        <is>
          <t>S44</t>
        </is>
      </c>
      <c r="B2288" s="25" t="inlineStr">
        <is>
          <t>성산</t>
        </is>
      </c>
      <c r="C2288" s="25" t="inlineStr">
        <is>
          <t>S44-H북</t>
        </is>
      </c>
      <c r="D2288" s="25" t="inlineStr">
        <is>
          <t>측정</t>
        </is>
      </c>
      <c r="E2288" s="25" t="inlineStr">
        <is>
          <t>북</t>
        </is>
      </c>
      <c r="F2288" s="30" t="n">
        <v>7</v>
      </c>
      <c r="G2288" s="29" t="n"/>
      <c r="H2288" s="42" t="n"/>
      <c r="I2288" s="40" t="n"/>
      <c r="J2288" s="40" t="n"/>
      <c r="K2288" s="40" t="n"/>
      <c r="L2288" s="30">
        <f>IF(COUNT(I2288:K2288)=0,"",MEDIAN(I2288:K2288))</f>
        <v/>
      </c>
      <c r="M2288" s="25">
        <f>IF(COUNTIFS($C:$C,$C2288,$D:$D,"P0(전)",$L:$L,"&gt;0")&lt;&gt;1,"P0(전) 유효 1개 아님",IF(COUNTIFS($C:$C,$C2288,$D:$D,"P0(후)",$L:$L,"&gt;0")&lt;&gt;1,"P0(후) 유효 1개 아님",IF(NOT(AND(ISNUMBER(N2288),ISNUMBER(P2288),ISNUMBER(H2288))),"시각 결측",IF(P2288&lt;=N2288,"P0 시각 역전",IF(OR(H2288&lt;N2288,H2288&gt;P2288),"측정시각 구간 밖","OK")))))</f>
        <v/>
      </c>
      <c r="N2288" s="45">
        <f>IF(COUNTIFS($C:$C,$C2288,$D:$D,"P0(전)",$L:$L,"&gt;0")&lt;&gt;1,"",SUMIFS($H:$H,$C:$C,$C2288,$D:$D,"P0(전)"))</f>
        <v/>
      </c>
      <c r="O2288" s="30">
        <f>IF(COUNTIFS($C:$C,$C2288,$D:$D,"P0(전)",$L:$L,"&gt;0")&lt;&gt;1,"",SUMIFS($L:$L,$C:$C,$C2288,$D:$D,"P0(전)"))</f>
        <v/>
      </c>
      <c r="P2288" s="45">
        <f>IF(COUNTIFS($C:$C,$C2288,$D:$D,"P0(후)",$L:$L,"&gt;0")&lt;&gt;1,"",SUMIFS($H:$H,$C:$C,$C2288,$D:$D,"P0(후)"))</f>
        <v/>
      </c>
      <c r="Q2288" s="30">
        <f>IF(COUNTIFS($C:$C,$C2288,$D:$D,"P0(후)",$L:$L,"&gt;0")&lt;&gt;1,"",SUMIFS($L:$L,$C:$C,$C2288,$D:$D,"P0(후)"))</f>
        <v/>
      </c>
      <c r="R2288" s="30">
        <f>IF(M2288&lt;&gt;"OK","",O2288+(Q2288-O2288)*(H2288-N2288)/(P2288-N2288))</f>
        <v/>
      </c>
      <c r="S2288" s="30">
        <f>IF(OR(M2288&lt;&gt;"OK",NOT(ISNUMBER(L2288))),"",L2288-R2288)</f>
        <v/>
      </c>
      <c r="T2288" s="46">
        <f>IF(OR(NOT(ISNUMBER(S2288)),IF(ISNUMBER(G2288),G2288,F2288)=0),"",S2288/IF(ISNUMBER(G2288),G2288,F2288))</f>
        <v/>
      </c>
      <c r="U2288" s="46">
        <f>IF(ISNUMBER(T2288),ABS(T2288),"")</f>
        <v/>
      </c>
      <c r="V2288" s="46">
        <f>IF(OR($D2287&lt;&gt;"측정",$C2287&lt;&gt;$C2288,NOT(ISNUMBER(L2288)),NOT(ISNUMBER(L2287)),(IF(ISNUMBER(G2288),G2288,F2288)-IF(ISNUMBER(G2287),G2287,F2287))=0),"",(L2288-L2287)/(IF(ISNUMBER(G2288),G2288,F2288)-IF(ISNUMBER(G2287),G2287,F2287)))</f>
        <v/>
      </c>
      <c r="W2288" s="30">
        <f>IF(NOT(AND(ISNUMBER(N2288),ISNUMBER(P2288))),"",(P2288-N2288)*1440)</f>
        <v/>
      </c>
      <c r="X2288" s="28" t="n"/>
      <c r="Y2288" s="28" t="n"/>
      <c r="Z2288" s="28" t="n"/>
      <c r="AA2288" s="31" t="n"/>
      <c r="AB2288" s="31" t="n"/>
    </row>
    <row r="2289">
      <c r="A2289" s="25" t="inlineStr">
        <is>
          <t>S44</t>
        </is>
      </c>
      <c r="B2289" s="25" t="inlineStr">
        <is>
          <t>성산</t>
        </is>
      </c>
      <c r="C2289" s="25" t="inlineStr">
        <is>
          <t>S44-H북</t>
        </is>
      </c>
      <c r="D2289" s="25" t="inlineStr">
        <is>
          <t>측정</t>
        </is>
      </c>
      <c r="E2289" s="25" t="inlineStr">
        <is>
          <t>북</t>
        </is>
      </c>
      <c r="F2289" s="30" t="n">
        <v>8</v>
      </c>
      <c r="G2289" s="29" t="n"/>
      <c r="H2289" s="42" t="n"/>
      <c r="I2289" s="40" t="n"/>
      <c r="J2289" s="40" t="n"/>
      <c r="K2289" s="40" t="n"/>
      <c r="L2289" s="30">
        <f>IF(COUNT(I2289:K2289)=0,"",MEDIAN(I2289:K2289))</f>
        <v/>
      </c>
      <c r="M2289" s="25">
        <f>IF(COUNTIFS($C:$C,$C2289,$D:$D,"P0(전)",$L:$L,"&gt;0")&lt;&gt;1,"P0(전) 유효 1개 아님",IF(COUNTIFS($C:$C,$C2289,$D:$D,"P0(후)",$L:$L,"&gt;0")&lt;&gt;1,"P0(후) 유효 1개 아님",IF(NOT(AND(ISNUMBER(N2289),ISNUMBER(P2289),ISNUMBER(H2289))),"시각 결측",IF(P2289&lt;=N2289,"P0 시각 역전",IF(OR(H2289&lt;N2289,H2289&gt;P2289),"측정시각 구간 밖","OK")))))</f>
        <v/>
      </c>
      <c r="N2289" s="45">
        <f>IF(COUNTIFS($C:$C,$C2289,$D:$D,"P0(전)",$L:$L,"&gt;0")&lt;&gt;1,"",SUMIFS($H:$H,$C:$C,$C2289,$D:$D,"P0(전)"))</f>
        <v/>
      </c>
      <c r="O2289" s="30">
        <f>IF(COUNTIFS($C:$C,$C2289,$D:$D,"P0(전)",$L:$L,"&gt;0")&lt;&gt;1,"",SUMIFS($L:$L,$C:$C,$C2289,$D:$D,"P0(전)"))</f>
        <v/>
      </c>
      <c r="P2289" s="45">
        <f>IF(COUNTIFS($C:$C,$C2289,$D:$D,"P0(후)",$L:$L,"&gt;0")&lt;&gt;1,"",SUMIFS($H:$H,$C:$C,$C2289,$D:$D,"P0(후)"))</f>
        <v/>
      </c>
      <c r="Q2289" s="30">
        <f>IF(COUNTIFS($C:$C,$C2289,$D:$D,"P0(후)",$L:$L,"&gt;0")&lt;&gt;1,"",SUMIFS($L:$L,$C:$C,$C2289,$D:$D,"P0(후)"))</f>
        <v/>
      </c>
      <c r="R2289" s="30">
        <f>IF(M2289&lt;&gt;"OK","",O2289+(Q2289-O2289)*(H2289-N2289)/(P2289-N2289))</f>
        <v/>
      </c>
      <c r="S2289" s="30">
        <f>IF(OR(M2289&lt;&gt;"OK",NOT(ISNUMBER(L2289))),"",L2289-R2289)</f>
        <v/>
      </c>
      <c r="T2289" s="46">
        <f>IF(OR(NOT(ISNUMBER(S2289)),IF(ISNUMBER(G2289),G2289,F2289)=0),"",S2289/IF(ISNUMBER(G2289),G2289,F2289))</f>
        <v/>
      </c>
      <c r="U2289" s="46">
        <f>IF(ISNUMBER(T2289),ABS(T2289),"")</f>
        <v/>
      </c>
      <c r="V2289" s="46">
        <f>IF(OR($D2288&lt;&gt;"측정",$C2288&lt;&gt;$C2289,NOT(ISNUMBER(L2289)),NOT(ISNUMBER(L2288)),(IF(ISNUMBER(G2289),G2289,F2289)-IF(ISNUMBER(G2288),G2288,F2288))=0),"",(L2289-L2288)/(IF(ISNUMBER(G2289),G2289,F2289)-IF(ISNUMBER(G2288),G2288,F2288)))</f>
        <v/>
      </c>
      <c r="W2289" s="30">
        <f>IF(NOT(AND(ISNUMBER(N2289),ISNUMBER(P2289))),"",(P2289-N2289)*1440)</f>
        <v/>
      </c>
      <c r="X2289" s="28" t="n"/>
      <c r="Y2289" s="28" t="n"/>
      <c r="Z2289" s="28" t="n"/>
      <c r="AA2289" s="31" t="n"/>
      <c r="AB2289" s="31" t="n"/>
    </row>
    <row r="2290">
      <c r="A2290" s="25" t="inlineStr">
        <is>
          <t>S44</t>
        </is>
      </c>
      <c r="B2290" s="25" t="inlineStr">
        <is>
          <t>성산</t>
        </is>
      </c>
      <c r="C2290" s="25" t="inlineStr">
        <is>
          <t>S44-H북</t>
        </is>
      </c>
      <c r="D2290" s="25" t="inlineStr">
        <is>
          <t>측정</t>
        </is>
      </c>
      <c r="E2290" s="25" t="inlineStr">
        <is>
          <t>북</t>
        </is>
      </c>
      <c r="F2290" s="30" t="n">
        <v>9</v>
      </c>
      <c r="G2290" s="29" t="n"/>
      <c r="H2290" s="42" t="n"/>
      <c r="I2290" s="40" t="n"/>
      <c r="J2290" s="40" t="n"/>
      <c r="K2290" s="40" t="n"/>
      <c r="L2290" s="30">
        <f>IF(COUNT(I2290:K2290)=0,"",MEDIAN(I2290:K2290))</f>
        <v/>
      </c>
      <c r="M2290" s="25">
        <f>IF(COUNTIFS($C:$C,$C2290,$D:$D,"P0(전)",$L:$L,"&gt;0")&lt;&gt;1,"P0(전) 유효 1개 아님",IF(COUNTIFS($C:$C,$C2290,$D:$D,"P0(후)",$L:$L,"&gt;0")&lt;&gt;1,"P0(후) 유효 1개 아님",IF(NOT(AND(ISNUMBER(N2290),ISNUMBER(P2290),ISNUMBER(H2290))),"시각 결측",IF(P2290&lt;=N2290,"P0 시각 역전",IF(OR(H2290&lt;N2290,H2290&gt;P2290),"측정시각 구간 밖","OK")))))</f>
        <v/>
      </c>
      <c r="N2290" s="45">
        <f>IF(COUNTIFS($C:$C,$C2290,$D:$D,"P0(전)",$L:$L,"&gt;0")&lt;&gt;1,"",SUMIFS($H:$H,$C:$C,$C2290,$D:$D,"P0(전)"))</f>
        <v/>
      </c>
      <c r="O2290" s="30">
        <f>IF(COUNTIFS($C:$C,$C2290,$D:$D,"P0(전)",$L:$L,"&gt;0")&lt;&gt;1,"",SUMIFS($L:$L,$C:$C,$C2290,$D:$D,"P0(전)"))</f>
        <v/>
      </c>
      <c r="P2290" s="45">
        <f>IF(COUNTIFS($C:$C,$C2290,$D:$D,"P0(후)",$L:$L,"&gt;0")&lt;&gt;1,"",SUMIFS($H:$H,$C:$C,$C2290,$D:$D,"P0(후)"))</f>
        <v/>
      </c>
      <c r="Q2290" s="30">
        <f>IF(COUNTIFS($C:$C,$C2290,$D:$D,"P0(후)",$L:$L,"&gt;0")&lt;&gt;1,"",SUMIFS($L:$L,$C:$C,$C2290,$D:$D,"P0(후)"))</f>
        <v/>
      </c>
      <c r="R2290" s="30">
        <f>IF(M2290&lt;&gt;"OK","",O2290+(Q2290-O2290)*(H2290-N2290)/(P2290-N2290))</f>
        <v/>
      </c>
      <c r="S2290" s="30">
        <f>IF(OR(M2290&lt;&gt;"OK",NOT(ISNUMBER(L2290))),"",L2290-R2290)</f>
        <v/>
      </c>
      <c r="T2290" s="46">
        <f>IF(OR(NOT(ISNUMBER(S2290)),IF(ISNUMBER(G2290),G2290,F2290)=0),"",S2290/IF(ISNUMBER(G2290),G2290,F2290))</f>
        <v/>
      </c>
      <c r="U2290" s="46">
        <f>IF(ISNUMBER(T2290),ABS(T2290),"")</f>
        <v/>
      </c>
      <c r="V2290" s="46">
        <f>IF(OR($D2289&lt;&gt;"측정",$C2289&lt;&gt;$C2290,NOT(ISNUMBER(L2290)),NOT(ISNUMBER(L2289)),(IF(ISNUMBER(G2290),G2290,F2290)-IF(ISNUMBER(G2289),G2289,F2289))=0),"",(L2290-L2289)/(IF(ISNUMBER(G2290),G2290,F2290)-IF(ISNUMBER(G2289),G2289,F2289)))</f>
        <v/>
      </c>
      <c r="W2290" s="30">
        <f>IF(NOT(AND(ISNUMBER(N2290),ISNUMBER(P2290))),"",(P2290-N2290)*1440)</f>
        <v/>
      </c>
      <c r="X2290" s="28" t="n"/>
      <c r="Y2290" s="28" t="n"/>
      <c r="Z2290" s="28" t="n"/>
      <c r="AA2290" s="31" t="n"/>
      <c r="AB2290" s="31" t="n"/>
    </row>
    <row r="2291">
      <c r="A2291" s="25" t="inlineStr">
        <is>
          <t>S44</t>
        </is>
      </c>
      <c r="B2291" s="25" t="inlineStr">
        <is>
          <t>성산</t>
        </is>
      </c>
      <c r="C2291" s="25" t="inlineStr">
        <is>
          <t>S44-H북</t>
        </is>
      </c>
      <c r="D2291" s="25" t="inlineStr">
        <is>
          <t>측정</t>
        </is>
      </c>
      <c r="E2291" s="25" t="inlineStr">
        <is>
          <t>북</t>
        </is>
      </c>
      <c r="F2291" s="30" t="n">
        <v>10</v>
      </c>
      <c r="G2291" s="29" t="n"/>
      <c r="H2291" s="42" t="n"/>
      <c r="I2291" s="40" t="n"/>
      <c r="J2291" s="40" t="n"/>
      <c r="K2291" s="40" t="n"/>
      <c r="L2291" s="30">
        <f>IF(COUNT(I2291:K2291)=0,"",MEDIAN(I2291:K2291))</f>
        <v/>
      </c>
      <c r="M2291" s="25">
        <f>IF(COUNTIFS($C:$C,$C2291,$D:$D,"P0(전)",$L:$L,"&gt;0")&lt;&gt;1,"P0(전) 유효 1개 아님",IF(COUNTIFS($C:$C,$C2291,$D:$D,"P0(후)",$L:$L,"&gt;0")&lt;&gt;1,"P0(후) 유효 1개 아님",IF(NOT(AND(ISNUMBER(N2291),ISNUMBER(P2291),ISNUMBER(H2291))),"시각 결측",IF(P2291&lt;=N2291,"P0 시각 역전",IF(OR(H2291&lt;N2291,H2291&gt;P2291),"측정시각 구간 밖","OK")))))</f>
        <v/>
      </c>
      <c r="N2291" s="45">
        <f>IF(COUNTIFS($C:$C,$C2291,$D:$D,"P0(전)",$L:$L,"&gt;0")&lt;&gt;1,"",SUMIFS($H:$H,$C:$C,$C2291,$D:$D,"P0(전)"))</f>
        <v/>
      </c>
      <c r="O2291" s="30">
        <f>IF(COUNTIFS($C:$C,$C2291,$D:$D,"P0(전)",$L:$L,"&gt;0")&lt;&gt;1,"",SUMIFS($L:$L,$C:$C,$C2291,$D:$D,"P0(전)"))</f>
        <v/>
      </c>
      <c r="P2291" s="45">
        <f>IF(COUNTIFS($C:$C,$C2291,$D:$D,"P0(후)",$L:$L,"&gt;0")&lt;&gt;1,"",SUMIFS($H:$H,$C:$C,$C2291,$D:$D,"P0(후)"))</f>
        <v/>
      </c>
      <c r="Q2291" s="30">
        <f>IF(COUNTIFS($C:$C,$C2291,$D:$D,"P0(후)",$L:$L,"&gt;0")&lt;&gt;1,"",SUMIFS($L:$L,$C:$C,$C2291,$D:$D,"P0(후)"))</f>
        <v/>
      </c>
      <c r="R2291" s="30">
        <f>IF(M2291&lt;&gt;"OK","",O2291+(Q2291-O2291)*(H2291-N2291)/(P2291-N2291))</f>
        <v/>
      </c>
      <c r="S2291" s="30">
        <f>IF(OR(M2291&lt;&gt;"OK",NOT(ISNUMBER(L2291))),"",L2291-R2291)</f>
        <v/>
      </c>
      <c r="T2291" s="46">
        <f>IF(OR(NOT(ISNUMBER(S2291)),IF(ISNUMBER(G2291),G2291,F2291)=0),"",S2291/IF(ISNUMBER(G2291),G2291,F2291))</f>
        <v/>
      </c>
      <c r="U2291" s="46">
        <f>IF(ISNUMBER(T2291),ABS(T2291),"")</f>
        <v/>
      </c>
      <c r="V2291" s="46">
        <f>IF(OR($D2290&lt;&gt;"측정",$C2290&lt;&gt;$C2291,NOT(ISNUMBER(L2291)),NOT(ISNUMBER(L2290)),(IF(ISNUMBER(G2291),G2291,F2291)-IF(ISNUMBER(G2290),G2290,F2290))=0),"",(L2291-L2290)/(IF(ISNUMBER(G2291),G2291,F2291)-IF(ISNUMBER(G2290),G2290,F2290)))</f>
        <v/>
      </c>
      <c r="W2291" s="30">
        <f>IF(NOT(AND(ISNUMBER(N2291),ISNUMBER(P2291))),"",(P2291-N2291)*1440)</f>
        <v/>
      </c>
      <c r="X2291" s="28" t="n"/>
      <c r="Y2291" s="28" t="n"/>
      <c r="Z2291" s="28" t="n"/>
      <c r="AA2291" s="31" t="n"/>
      <c r="AB2291" s="31" t="n"/>
    </row>
    <row r="2292">
      <c r="A2292" s="43" t="inlineStr">
        <is>
          <t>S44</t>
        </is>
      </c>
      <c r="B2292" s="43" t="inlineStr">
        <is>
          <t>성산</t>
        </is>
      </c>
      <c r="C2292" s="43" t="inlineStr">
        <is>
          <t>S44-H북</t>
        </is>
      </c>
      <c r="D2292" s="43" t="inlineStr">
        <is>
          <t>P0(후)</t>
        </is>
      </c>
      <c r="E2292" s="43" t="inlineStr">
        <is>
          <t>북</t>
        </is>
      </c>
      <c r="F2292" s="44" t="n"/>
      <c r="G2292" s="29" t="n"/>
      <c r="H2292" s="42" t="n"/>
      <c r="I2292" s="40" t="n"/>
      <c r="J2292" s="40" t="n"/>
      <c r="K2292" s="40" t="n"/>
      <c r="L2292" s="30">
        <f>IF(COUNT(I2292:K2292)=0,"",MEDIAN(I2292:K2292))</f>
        <v/>
      </c>
      <c r="M2292" s="37" t="n"/>
      <c r="N2292" s="37" t="n"/>
      <c r="O2292" s="37" t="n"/>
      <c r="P2292" s="37" t="n"/>
      <c r="Q2292" s="37" t="n"/>
      <c r="R2292" s="37" t="n"/>
      <c r="S2292" s="37" t="n"/>
      <c r="T2292" s="37" t="n"/>
      <c r="U2292" s="37" t="n"/>
      <c r="V2292" s="37" t="n"/>
      <c r="W2292" s="37" t="n"/>
      <c r="X2292" s="28" t="n"/>
      <c r="Y2292" s="28" t="n"/>
      <c r="Z2292" s="28" t="n"/>
      <c r="AA2292" s="31" t="n"/>
      <c r="AB2292" s="31" t="n"/>
    </row>
    <row r="2293">
      <c r="A2293" s="43" t="inlineStr">
        <is>
          <t>S45</t>
        </is>
      </c>
      <c r="B2293" s="43" t="inlineStr">
        <is>
          <t>여주</t>
        </is>
      </c>
      <c r="C2293" s="43" t="inlineStr">
        <is>
          <t>S45-H동</t>
        </is>
      </c>
      <c r="D2293" s="43" t="inlineStr">
        <is>
          <t>P0(전)</t>
        </is>
      </c>
      <c r="E2293" s="43" t="inlineStr">
        <is>
          <t>동</t>
        </is>
      </c>
      <c r="F2293" s="44" t="n"/>
      <c r="G2293" s="29" t="n"/>
      <c r="H2293" s="42" t="n"/>
      <c r="I2293" s="40" t="n"/>
      <c r="J2293" s="40" t="n"/>
      <c r="K2293" s="40" t="n"/>
      <c r="L2293" s="30">
        <f>IF(COUNT(I2293:K2293)=0,"",MEDIAN(I2293:K2293))</f>
        <v/>
      </c>
      <c r="M2293" s="37" t="n"/>
      <c r="N2293" s="37" t="n"/>
      <c r="O2293" s="37" t="n"/>
      <c r="P2293" s="37" t="n"/>
      <c r="Q2293" s="37" t="n"/>
      <c r="R2293" s="37" t="n"/>
      <c r="S2293" s="37" t="n"/>
      <c r="T2293" s="37" t="n"/>
      <c r="U2293" s="37" t="n"/>
      <c r="V2293" s="37" t="n"/>
      <c r="W2293" s="37" t="n"/>
      <c r="X2293" s="28" t="n"/>
      <c r="Y2293" s="28" t="n"/>
      <c r="Z2293" s="28" t="n"/>
      <c r="AA2293" s="31" t="n"/>
      <c r="AB2293" s="31" t="n"/>
    </row>
    <row r="2294">
      <c r="A2294" s="25" t="inlineStr">
        <is>
          <t>S45</t>
        </is>
      </c>
      <c r="B2294" s="25" t="inlineStr">
        <is>
          <t>여주</t>
        </is>
      </c>
      <c r="C2294" s="25" t="inlineStr">
        <is>
          <t>S45-H동</t>
        </is>
      </c>
      <c r="D2294" s="25" t="inlineStr">
        <is>
          <t>측정</t>
        </is>
      </c>
      <c r="E2294" s="25" t="inlineStr">
        <is>
          <t>동</t>
        </is>
      </c>
      <c r="F2294" s="30" t="n">
        <v>0.5</v>
      </c>
      <c r="G2294" s="29" t="n"/>
      <c r="H2294" s="42" t="n"/>
      <c r="I2294" s="40" t="n"/>
      <c r="J2294" s="40" t="n"/>
      <c r="K2294" s="40" t="n"/>
      <c r="L2294" s="30">
        <f>IF(COUNT(I2294:K2294)=0,"",MEDIAN(I2294:K2294))</f>
        <v/>
      </c>
      <c r="M2294" s="25">
        <f>IF(COUNTIFS($C:$C,$C2294,$D:$D,"P0(전)",$L:$L,"&gt;0")&lt;&gt;1,"P0(전) 유효 1개 아님",IF(COUNTIFS($C:$C,$C2294,$D:$D,"P0(후)",$L:$L,"&gt;0")&lt;&gt;1,"P0(후) 유효 1개 아님",IF(NOT(AND(ISNUMBER(N2294),ISNUMBER(P2294),ISNUMBER(H2294))),"시각 결측",IF(P2294&lt;=N2294,"P0 시각 역전",IF(OR(H2294&lt;N2294,H2294&gt;P2294),"측정시각 구간 밖","OK")))))</f>
        <v/>
      </c>
      <c r="N2294" s="45">
        <f>IF(COUNTIFS($C:$C,$C2294,$D:$D,"P0(전)",$L:$L,"&gt;0")&lt;&gt;1,"",SUMIFS($H:$H,$C:$C,$C2294,$D:$D,"P0(전)"))</f>
        <v/>
      </c>
      <c r="O2294" s="30">
        <f>IF(COUNTIFS($C:$C,$C2294,$D:$D,"P0(전)",$L:$L,"&gt;0")&lt;&gt;1,"",SUMIFS($L:$L,$C:$C,$C2294,$D:$D,"P0(전)"))</f>
        <v/>
      </c>
      <c r="P2294" s="45">
        <f>IF(COUNTIFS($C:$C,$C2294,$D:$D,"P0(후)",$L:$L,"&gt;0")&lt;&gt;1,"",SUMIFS($H:$H,$C:$C,$C2294,$D:$D,"P0(후)"))</f>
        <v/>
      </c>
      <c r="Q2294" s="30">
        <f>IF(COUNTIFS($C:$C,$C2294,$D:$D,"P0(후)",$L:$L,"&gt;0")&lt;&gt;1,"",SUMIFS($L:$L,$C:$C,$C2294,$D:$D,"P0(후)"))</f>
        <v/>
      </c>
      <c r="R2294" s="30">
        <f>IF(M2294&lt;&gt;"OK","",O2294+(Q2294-O2294)*(H2294-N2294)/(P2294-N2294))</f>
        <v/>
      </c>
      <c r="S2294" s="30">
        <f>IF(OR(M2294&lt;&gt;"OK",NOT(ISNUMBER(L2294))),"",L2294-R2294)</f>
        <v/>
      </c>
      <c r="T2294" s="46">
        <f>IF(OR(NOT(ISNUMBER(S2294)),IF(ISNUMBER(G2294),G2294,F2294)=0),"",S2294/IF(ISNUMBER(G2294),G2294,F2294))</f>
        <v/>
      </c>
      <c r="U2294" s="46">
        <f>IF(ISNUMBER(T2294),ABS(T2294),"")</f>
        <v/>
      </c>
      <c r="V2294" s="46">
        <f>IF(OR($D2293&lt;&gt;"측정",$C2293&lt;&gt;$C2294,NOT(ISNUMBER(L2294)),NOT(ISNUMBER(L2293)),(IF(ISNUMBER(G2294),G2294,F2294)-IF(ISNUMBER(G2293),G2293,F2293))=0),"",(L2294-L2293)/(IF(ISNUMBER(G2294),G2294,F2294)-IF(ISNUMBER(G2293),G2293,F2293)))</f>
        <v/>
      </c>
      <c r="W2294" s="30">
        <f>IF(NOT(AND(ISNUMBER(N2294),ISNUMBER(P2294))),"",(P2294-N2294)*1440)</f>
        <v/>
      </c>
      <c r="X2294" s="28" t="n"/>
      <c r="Y2294" s="28" t="n"/>
      <c r="Z2294" s="28" t="n"/>
      <c r="AA2294" s="31" t="n"/>
      <c r="AB2294" s="31" t="n"/>
    </row>
    <row r="2295">
      <c r="A2295" s="25" t="inlineStr">
        <is>
          <t>S45</t>
        </is>
      </c>
      <c r="B2295" s="25" t="inlineStr">
        <is>
          <t>여주</t>
        </is>
      </c>
      <c r="C2295" s="25" t="inlineStr">
        <is>
          <t>S45-H동</t>
        </is>
      </c>
      <c r="D2295" s="25" t="inlineStr">
        <is>
          <t>측정</t>
        </is>
      </c>
      <c r="E2295" s="25" t="inlineStr">
        <is>
          <t>동</t>
        </is>
      </c>
      <c r="F2295" s="30" t="n">
        <v>1</v>
      </c>
      <c r="G2295" s="29" t="n"/>
      <c r="H2295" s="42" t="n"/>
      <c r="I2295" s="40" t="n"/>
      <c r="J2295" s="40" t="n"/>
      <c r="K2295" s="40" t="n"/>
      <c r="L2295" s="30">
        <f>IF(COUNT(I2295:K2295)=0,"",MEDIAN(I2295:K2295))</f>
        <v/>
      </c>
      <c r="M2295" s="25">
        <f>IF(COUNTIFS($C:$C,$C2295,$D:$D,"P0(전)",$L:$L,"&gt;0")&lt;&gt;1,"P0(전) 유효 1개 아님",IF(COUNTIFS($C:$C,$C2295,$D:$D,"P0(후)",$L:$L,"&gt;0")&lt;&gt;1,"P0(후) 유효 1개 아님",IF(NOT(AND(ISNUMBER(N2295),ISNUMBER(P2295),ISNUMBER(H2295))),"시각 결측",IF(P2295&lt;=N2295,"P0 시각 역전",IF(OR(H2295&lt;N2295,H2295&gt;P2295),"측정시각 구간 밖","OK")))))</f>
        <v/>
      </c>
      <c r="N2295" s="45">
        <f>IF(COUNTIFS($C:$C,$C2295,$D:$D,"P0(전)",$L:$L,"&gt;0")&lt;&gt;1,"",SUMIFS($H:$H,$C:$C,$C2295,$D:$D,"P0(전)"))</f>
        <v/>
      </c>
      <c r="O2295" s="30">
        <f>IF(COUNTIFS($C:$C,$C2295,$D:$D,"P0(전)",$L:$L,"&gt;0")&lt;&gt;1,"",SUMIFS($L:$L,$C:$C,$C2295,$D:$D,"P0(전)"))</f>
        <v/>
      </c>
      <c r="P2295" s="45">
        <f>IF(COUNTIFS($C:$C,$C2295,$D:$D,"P0(후)",$L:$L,"&gt;0")&lt;&gt;1,"",SUMIFS($H:$H,$C:$C,$C2295,$D:$D,"P0(후)"))</f>
        <v/>
      </c>
      <c r="Q2295" s="30">
        <f>IF(COUNTIFS($C:$C,$C2295,$D:$D,"P0(후)",$L:$L,"&gt;0")&lt;&gt;1,"",SUMIFS($L:$L,$C:$C,$C2295,$D:$D,"P0(후)"))</f>
        <v/>
      </c>
      <c r="R2295" s="30">
        <f>IF(M2295&lt;&gt;"OK","",O2295+(Q2295-O2295)*(H2295-N2295)/(P2295-N2295))</f>
        <v/>
      </c>
      <c r="S2295" s="30">
        <f>IF(OR(M2295&lt;&gt;"OK",NOT(ISNUMBER(L2295))),"",L2295-R2295)</f>
        <v/>
      </c>
      <c r="T2295" s="46">
        <f>IF(OR(NOT(ISNUMBER(S2295)),IF(ISNUMBER(G2295),G2295,F2295)=0),"",S2295/IF(ISNUMBER(G2295),G2295,F2295))</f>
        <v/>
      </c>
      <c r="U2295" s="46">
        <f>IF(ISNUMBER(T2295),ABS(T2295),"")</f>
        <v/>
      </c>
      <c r="V2295" s="46">
        <f>IF(OR($D2294&lt;&gt;"측정",$C2294&lt;&gt;$C2295,NOT(ISNUMBER(L2295)),NOT(ISNUMBER(L2294)),(IF(ISNUMBER(G2295),G2295,F2295)-IF(ISNUMBER(G2294),G2294,F2294))=0),"",(L2295-L2294)/(IF(ISNUMBER(G2295),G2295,F2295)-IF(ISNUMBER(G2294),G2294,F2294)))</f>
        <v/>
      </c>
      <c r="W2295" s="30">
        <f>IF(NOT(AND(ISNUMBER(N2295),ISNUMBER(P2295))),"",(P2295-N2295)*1440)</f>
        <v/>
      </c>
      <c r="X2295" s="28" t="n"/>
      <c r="Y2295" s="28" t="n"/>
      <c r="Z2295" s="28" t="n"/>
      <c r="AA2295" s="31" t="n"/>
      <c r="AB2295" s="31" t="n"/>
    </row>
    <row r="2296">
      <c r="A2296" s="25" t="inlineStr">
        <is>
          <t>S45</t>
        </is>
      </c>
      <c r="B2296" s="25" t="inlineStr">
        <is>
          <t>여주</t>
        </is>
      </c>
      <c r="C2296" s="25" t="inlineStr">
        <is>
          <t>S45-H동</t>
        </is>
      </c>
      <c r="D2296" s="25" t="inlineStr">
        <is>
          <t>측정</t>
        </is>
      </c>
      <c r="E2296" s="25" t="inlineStr">
        <is>
          <t>동</t>
        </is>
      </c>
      <c r="F2296" s="30" t="n">
        <v>2</v>
      </c>
      <c r="G2296" s="29" t="n"/>
      <c r="H2296" s="42" t="n"/>
      <c r="I2296" s="40" t="n"/>
      <c r="J2296" s="40" t="n"/>
      <c r="K2296" s="40" t="n"/>
      <c r="L2296" s="30">
        <f>IF(COUNT(I2296:K2296)=0,"",MEDIAN(I2296:K2296))</f>
        <v/>
      </c>
      <c r="M2296" s="25">
        <f>IF(COUNTIFS($C:$C,$C2296,$D:$D,"P0(전)",$L:$L,"&gt;0")&lt;&gt;1,"P0(전) 유효 1개 아님",IF(COUNTIFS($C:$C,$C2296,$D:$D,"P0(후)",$L:$L,"&gt;0")&lt;&gt;1,"P0(후) 유효 1개 아님",IF(NOT(AND(ISNUMBER(N2296),ISNUMBER(P2296),ISNUMBER(H2296))),"시각 결측",IF(P2296&lt;=N2296,"P0 시각 역전",IF(OR(H2296&lt;N2296,H2296&gt;P2296),"측정시각 구간 밖","OK")))))</f>
        <v/>
      </c>
      <c r="N2296" s="45">
        <f>IF(COUNTIFS($C:$C,$C2296,$D:$D,"P0(전)",$L:$L,"&gt;0")&lt;&gt;1,"",SUMIFS($H:$H,$C:$C,$C2296,$D:$D,"P0(전)"))</f>
        <v/>
      </c>
      <c r="O2296" s="30">
        <f>IF(COUNTIFS($C:$C,$C2296,$D:$D,"P0(전)",$L:$L,"&gt;0")&lt;&gt;1,"",SUMIFS($L:$L,$C:$C,$C2296,$D:$D,"P0(전)"))</f>
        <v/>
      </c>
      <c r="P2296" s="45">
        <f>IF(COUNTIFS($C:$C,$C2296,$D:$D,"P0(후)",$L:$L,"&gt;0")&lt;&gt;1,"",SUMIFS($H:$H,$C:$C,$C2296,$D:$D,"P0(후)"))</f>
        <v/>
      </c>
      <c r="Q2296" s="30">
        <f>IF(COUNTIFS($C:$C,$C2296,$D:$D,"P0(후)",$L:$L,"&gt;0")&lt;&gt;1,"",SUMIFS($L:$L,$C:$C,$C2296,$D:$D,"P0(후)"))</f>
        <v/>
      </c>
      <c r="R2296" s="30">
        <f>IF(M2296&lt;&gt;"OK","",O2296+(Q2296-O2296)*(H2296-N2296)/(P2296-N2296))</f>
        <v/>
      </c>
      <c r="S2296" s="30">
        <f>IF(OR(M2296&lt;&gt;"OK",NOT(ISNUMBER(L2296))),"",L2296-R2296)</f>
        <v/>
      </c>
      <c r="T2296" s="46">
        <f>IF(OR(NOT(ISNUMBER(S2296)),IF(ISNUMBER(G2296),G2296,F2296)=0),"",S2296/IF(ISNUMBER(G2296),G2296,F2296))</f>
        <v/>
      </c>
      <c r="U2296" s="46">
        <f>IF(ISNUMBER(T2296),ABS(T2296),"")</f>
        <v/>
      </c>
      <c r="V2296" s="46">
        <f>IF(OR($D2295&lt;&gt;"측정",$C2295&lt;&gt;$C2296,NOT(ISNUMBER(L2296)),NOT(ISNUMBER(L2295)),(IF(ISNUMBER(G2296),G2296,F2296)-IF(ISNUMBER(G2295),G2295,F2295))=0),"",(L2296-L2295)/(IF(ISNUMBER(G2296),G2296,F2296)-IF(ISNUMBER(G2295),G2295,F2295)))</f>
        <v/>
      </c>
      <c r="W2296" s="30">
        <f>IF(NOT(AND(ISNUMBER(N2296),ISNUMBER(P2296))),"",(P2296-N2296)*1440)</f>
        <v/>
      </c>
      <c r="X2296" s="28" t="n"/>
      <c r="Y2296" s="28" t="n"/>
      <c r="Z2296" s="28" t="n"/>
      <c r="AA2296" s="31" t="n"/>
      <c r="AB2296" s="31" t="n"/>
    </row>
    <row r="2297">
      <c r="A2297" s="25" t="inlineStr">
        <is>
          <t>S45</t>
        </is>
      </c>
      <c r="B2297" s="25" t="inlineStr">
        <is>
          <t>여주</t>
        </is>
      </c>
      <c r="C2297" s="25" t="inlineStr">
        <is>
          <t>S45-H동</t>
        </is>
      </c>
      <c r="D2297" s="25" t="inlineStr">
        <is>
          <t>측정</t>
        </is>
      </c>
      <c r="E2297" s="25" t="inlineStr">
        <is>
          <t>동</t>
        </is>
      </c>
      <c r="F2297" s="30" t="n">
        <v>3</v>
      </c>
      <c r="G2297" s="29" t="n"/>
      <c r="H2297" s="42" t="n"/>
      <c r="I2297" s="40" t="n"/>
      <c r="J2297" s="40" t="n"/>
      <c r="K2297" s="40" t="n"/>
      <c r="L2297" s="30">
        <f>IF(COUNT(I2297:K2297)=0,"",MEDIAN(I2297:K2297))</f>
        <v/>
      </c>
      <c r="M2297" s="25">
        <f>IF(COUNTIFS($C:$C,$C2297,$D:$D,"P0(전)",$L:$L,"&gt;0")&lt;&gt;1,"P0(전) 유효 1개 아님",IF(COUNTIFS($C:$C,$C2297,$D:$D,"P0(후)",$L:$L,"&gt;0")&lt;&gt;1,"P0(후) 유효 1개 아님",IF(NOT(AND(ISNUMBER(N2297),ISNUMBER(P2297),ISNUMBER(H2297))),"시각 결측",IF(P2297&lt;=N2297,"P0 시각 역전",IF(OR(H2297&lt;N2297,H2297&gt;P2297),"측정시각 구간 밖","OK")))))</f>
        <v/>
      </c>
      <c r="N2297" s="45">
        <f>IF(COUNTIFS($C:$C,$C2297,$D:$D,"P0(전)",$L:$L,"&gt;0")&lt;&gt;1,"",SUMIFS($H:$H,$C:$C,$C2297,$D:$D,"P0(전)"))</f>
        <v/>
      </c>
      <c r="O2297" s="30">
        <f>IF(COUNTIFS($C:$C,$C2297,$D:$D,"P0(전)",$L:$L,"&gt;0")&lt;&gt;1,"",SUMIFS($L:$L,$C:$C,$C2297,$D:$D,"P0(전)"))</f>
        <v/>
      </c>
      <c r="P2297" s="45">
        <f>IF(COUNTIFS($C:$C,$C2297,$D:$D,"P0(후)",$L:$L,"&gt;0")&lt;&gt;1,"",SUMIFS($H:$H,$C:$C,$C2297,$D:$D,"P0(후)"))</f>
        <v/>
      </c>
      <c r="Q2297" s="30">
        <f>IF(COUNTIFS($C:$C,$C2297,$D:$D,"P0(후)",$L:$L,"&gt;0")&lt;&gt;1,"",SUMIFS($L:$L,$C:$C,$C2297,$D:$D,"P0(후)"))</f>
        <v/>
      </c>
      <c r="R2297" s="30">
        <f>IF(M2297&lt;&gt;"OK","",O2297+(Q2297-O2297)*(H2297-N2297)/(P2297-N2297))</f>
        <v/>
      </c>
      <c r="S2297" s="30">
        <f>IF(OR(M2297&lt;&gt;"OK",NOT(ISNUMBER(L2297))),"",L2297-R2297)</f>
        <v/>
      </c>
      <c r="T2297" s="46">
        <f>IF(OR(NOT(ISNUMBER(S2297)),IF(ISNUMBER(G2297),G2297,F2297)=0),"",S2297/IF(ISNUMBER(G2297),G2297,F2297))</f>
        <v/>
      </c>
      <c r="U2297" s="46">
        <f>IF(ISNUMBER(T2297),ABS(T2297),"")</f>
        <v/>
      </c>
      <c r="V2297" s="46">
        <f>IF(OR($D2296&lt;&gt;"측정",$C2296&lt;&gt;$C2297,NOT(ISNUMBER(L2297)),NOT(ISNUMBER(L2296)),(IF(ISNUMBER(G2297),G2297,F2297)-IF(ISNUMBER(G2296),G2296,F2296))=0),"",(L2297-L2296)/(IF(ISNUMBER(G2297),G2297,F2297)-IF(ISNUMBER(G2296),G2296,F2296)))</f>
        <v/>
      </c>
      <c r="W2297" s="30">
        <f>IF(NOT(AND(ISNUMBER(N2297),ISNUMBER(P2297))),"",(P2297-N2297)*1440)</f>
        <v/>
      </c>
      <c r="X2297" s="28" t="n"/>
      <c r="Y2297" s="28" t="n"/>
      <c r="Z2297" s="28" t="n"/>
      <c r="AA2297" s="31" t="n"/>
      <c r="AB2297" s="31" t="n"/>
    </row>
    <row r="2298">
      <c r="A2298" s="25" t="inlineStr">
        <is>
          <t>S45</t>
        </is>
      </c>
      <c r="B2298" s="25" t="inlineStr">
        <is>
          <t>여주</t>
        </is>
      </c>
      <c r="C2298" s="25" t="inlineStr">
        <is>
          <t>S45-H동</t>
        </is>
      </c>
      <c r="D2298" s="25" t="inlineStr">
        <is>
          <t>측정</t>
        </is>
      </c>
      <c r="E2298" s="25" t="inlineStr">
        <is>
          <t>동</t>
        </is>
      </c>
      <c r="F2298" s="30" t="n">
        <v>4</v>
      </c>
      <c r="G2298" s="29" t="n"/>
      <c r="H2298" s="42" t="n"/>
      <c r="I2298" s="40" t="n"/>
      <c r="J2298" s="40" t="n"/>
      <c r="K2298" s="40" t="n"/>
      <c r="L2298" s="30">
        <f>IF(COUNT(I2298:K2298)=0,"",MEDIAN(I2298:K2298))</f>
        <v/>
      </c>
      <c r="M2298" s="25">
        <f>IF(COUNTIFS($C:$C,$C2298,$D:$D,"P0(전)",$L:$L,"&gt;0")&lt;&gt;1,"P0(전) 유효 1개 아님",IF(COUNTIFS($C:$C,$C2298,$D:$D,"P0(후)",$L:$L,"&gt;0")&lt;&gt;1,"P0(후) 유효 1개 아님",IF(NOT(AND(ISNUMBER(N2298),ISNUMBER(P2298),ISNUMBER(H2298))),"시각 결측",IF(P2298&lt;=N2298,"P0 시각 역전",IF(OR(H2298&lt;N2298,H2298&gt;P2298),"측정시각 구간 밖","OK")))))</f>
        <v/>
      </c>
      <c r="N2298" s="45">
        <f>IF(COUNTIFS($C:$C,$C2298,$D:$D,"P0(전)",$L:$L,"&gt;0")&lt;&gt;1,"",SUMIFS($H:$H,$C:$C,$C2298,$D:$D,"P0(전)"))</f>
        <v/>
      </c>
      <c r="O2298" s="30">
        <f>IF(COUNTIFS($C:$C,$C2298,$D:$D,"P0(전)",$L:$L,"&gt;0")&lt;&gt;1,"",SUMIFS($L:$L,$C:$C,$C2298,$D:$D,"P0(전)"))</f>
        <v/>
      </c>
      <c r="P2298" s="45">
        <f>IF(COUNTIFS($C:$C,$C2298,$D:$D,"P0(후)",$L:$L,"&gt;0")&lt;&gt;1,"",SUMIFS($H:$H,$C:$C,$C2298,$D:$D,"P0(후)"))</f>
        <v/>
      </c>
      <c r="Q2298" s="30">
        <f>IF(COUNTIFS($C:$C,$C2298,$D:$D,"P0(후)",$L:$L,"&gt;0")&lt;&gt;1,"",SUMIFS($L:$L,$C:$C,$C2298,$D:$D,"P0(후)"))</f>
        <v/>
      </c>
      <c r="R2298" s="30">
        <f>IF(M2298&lt;&gt;"OK","",O2298+(Q2298-O2298)*(H2298-N2298)/(P2298-N2298))</f>
        <v/>
      </c>
      <c r="S2298" s="30">
        <f>IF(OR(M2298&lt;&gt;"OK",NOT(ISNUMBER(L2298))),"",L2298-R2298)</f>
        <v/>
      </c>
      <c r="T2298" s="46">
        <f>IF(OR(NOT(ISNUMBER(S2298)),IF(ISNUMBER(G2298),G2298,F2298)=0),"",S2298/IF(ISNUMBER(G2298),G2298,F2298))</f>
        <v/>
      </c>
      <c r="U2298" s="46">
        <f>IF(ISNUMBER(T2298),ABS(T2298),"")</f>
        <v/>
      </c>
      <c r="V2298" s="46">
        <f>IF(OR($D2297&lt;&gt;"측정",$C2297&lt;&gt;$C2298,NOT(ISNUMBER(L2298)),NOT(ISNUMBER(L2297)),(IF(ISNUMBER(G2298),G2298,F2298)-IF(ISNUMBER(G2297),G2297,F2297))=0),"",(L2298-L2297)/(IF(ISNUMBER(G2298),G2298,F2298)-IF(ISNUMBER(G2297),G2297,F2297)))</f>
        <v/>
      </c>
      <c r="W2298" s="30">
        <f>IF(NOT(AND(ISNUMBER(N2298),ISNUMBER(P2298))),"",(P2298-N2298)*1440)</f>
        <v/>
      </c>
      <c r="X2298" s="28" t="n"/>
      <c r="Y2298" s="28" t="n"/>
      <c r="Z2298" s="28" t="n"/>
      <c r="AA2298" s="31" t="n"/>
      <c r="AB2298" s="31" t="n"/>
    </row>
    <row r="2299">
      <c r="A2299" s="25" t="inlineStr">
        <is>
          <t>S45</t>
        </is>
      </c>
      <c r="B2299" s="25" t="inlineStr">
        <is>
          <t>여주</t>
        </is>
      </c>
      <c r="C2299" s="25" t="inlineStr">
        <is>
          <t>S45-H동</t>
        </is>
      </c>
      <c r="D2299" s="25" t="inlineStr">
        <is>
          <t>측정</t>
        </is>
      </c>
      <c r="E2299" s="25" t="inlineStr">
        <is>
          <t>동</t>
        </is>
      </c>
      <c r="F2299" s="30" t="n">
        <v>5</v>
      </c>
      <c r="G2299" s="29" t="n"/>
      <c r="H2299" s="42" t="n"/>
      <c r="I2299" s="40" t="n"/>
      <c r="J2299" s="40" t="n"/>
      <c r="K2299" s="40" t="n"/>
      <c r="L2299" s="30">
        <f>IF(COUNT(I2299:K2299)=0,"",MEDIAN(I2299:K2299))</f>
        <v/>
      </c>
      <c r="M2299" s="25">
        <f>IF(COUNTIFS($C:$C,$C2299,$D:$D,"P0(전)",$L:$L,"&gt;0")&lt;&gt;1,"P0(전) 유효 1개 아님",IF(COUNTIFS($C:$C,$C2299,$D:$D,"P0(후)",$L:$L,"&gt;0")&lt;&gt;1,"P0(후) 유효 1개 아님",IF(NOT(AND(ISNUMBER(N2299),ISNUMBER(P2299),ISNUMBER(H2299))),"시각 결측",IF(P2299&lt;=N2299,"P0 시각 역전",IF(OR(H2299&lt;N2299,H2299&gt;P2299),"측정시각 구간 밖","OK")))))</f>
        <v/>
      </c>
      <c r="N2299" s="45">
        <f>IF(COUNTIFS($C:$C,$C2299,$D:$D,"P0(전)",$L:$L,"&gt;0")&lt;&gt;1,"",SUMIFS($H:$H,$C:$C,$C2299,$D:$D,"P0(전)"))</f>
        <v/>
      </c>
      <c r="O2299" s="30">
        <f>IF(COUNTIFS($C:$C,$C2299,$D:$D,"P0(전)",$L:$L,"&gt;0")&lt;&gt;1,"",SUMIFS($L:$L,$C:$C,$C2299,$D:$D,"P0(전)"))</f>
        <v/>
      </c>
      <c r="P2299" s="45">
        <f>IF(COUNTIFS($C:$C,$C2299,$D:$D,"P0(후)",$L:$L,"&gt;0")&lt;&gt;1,"",SUMIFS($H:$H,$C:$C,$C2299,$D:$D,"P0(후)"))</f>
        <v/>
      </c>
      <c r="Q2299" s="30">
        <f>IF(COUNTIFS($C:$C,$C2299,$D:$D,"P0(후)",$L:$L,"&gt;0")&lt;&gt;1,"",SUMIFS($L:$L,$C:$C,$C2299,$D:$D,"P0(후)"))</f>
        <v/>
      </c>
      <c r="R2299" s="30">
        <f>IF(M2299&lt;&gt;"OK","",O2299+(Q2299-O2299)*(H2299-N2299)/(P2299-N2299))</f>
        <v/>
      </c>
      <c r="S2299" s="30">
        <f>IF(OR(M2299&lt;&gt;"OK",NOT(ISNUMBER(L2299))),"",L2299-R2299)</f>
        <v/>
      </c>
      <c r="T2299" s="46">
        <f>IF(OR(NOT(ISNUMBER(S2299)),IF(ISNUMBER(G2299),G2299,F2299)=0),"",S2299/IF(ISNUMBER(G2299),G2299,F2299))</f>
        <v/>
      </c>
      <c r="U2299" s="46">
        <f>IF(ISNUMBER(T2299),ABS(T2299),"")</f>
        <v/>
      </c>
      <c r="V2299" s="46">
        <f>IF(OR($D2298&lt;&gt;"측정",$C2298&lt;&gt;$C2299,NOT(ISNUMBER(L2299)),NOT(ISNUMBER(L2298)),(IF(ISNUMBER(G2299),G2299,F2299)-IF(ISNUMBER(G2298),G2298,F2298))=0),"",(L2299-L2298)/(IF(ISNUMBER(G2299),G2299,F2299)-IF(ISNUMBER(G2298),G2298,F2298)))</f>
        <v/>
      </c>
      <c r="W2299" s="30">
        <f>IF(NOT(AND(ISNUMBER(N2299),ISNUMBER(P2299))),"",(P2299-N2299)*1440)</f>
        <v/>
      </c>
      <c r="X2299" s="28" t="n"/>
      <c r="Y2299" s="28" t="n"/>
      <c r="Z2299" s="28" t="n"/>
      <c r="AA2299" s="31" t="n"/>
      <c r="AB2299" s="31" t="n"/>
    </row>
    <row r="2300">
      <c r="A2300" s="25" t="inlineStr">
        <is>
          <t>S45</t>
        </is>
      </c>
      <c r="B2300" s="25" t="inlineStr">
        <is>
          <t>여주</t>
        </is>
      </c>
      <c r="C2300" s="25" t="inlineStr">
        <is>
          <t>S45-H동</t>
        </is>
      </c>
      <c r="D2300" s="25" t="inlineStr">
        <is>
          <t>측정</t>
        </is>
      </c>
      <c r="E2300" s="25" t="inlineStr">
        <is>
          <t>동</t>
        </is>
      </c>
      <c r="F2300" s="30" t="n">
        <v>6</v>
      </c>
      <c r="G2300" s="29" t="n"/>
      <c r="H2300" s="42" t="n"/>
      <c r="I2300" s="40" t="n"/>
      <c r="J2300" s="40" t="n"/>
      <c r="K2300" s="40" t="n"/>
      <c r="L2300" s="30">
        <f>IF(COUNT(I2300:K2300)=0,"",MEDIAN(I2300:K2300))</f>
        <v/>
      </c>
      <c r="M2300" s="25">
        <f>IF(COUNTIFS($C:$C,$C2300,$D:$D,"P0(전)",$L:$L,"&gt;0")&lt;&gt;1,"P0(전) 유효 1개 아님",IF(COUNTIFS($C:$C,$C2300,$D:$D,"P0(후)",$L:$L,"&gt;0")&lt;&gt;1,"P0(후) 유효 1개 아님",IF(NOT(AND(ISNUMBER(N2300),ISNUMBER(P2300),ISNUMBER(H2300))),"시각 결측",IF(P2300&lt;=N2300,"P0 시각 역전",IF(OR(H2300&lt;N2300,H2300&gt;P2300),"측정시각 구간 밖","OK")))))</f>
        <v/>
      </c>
      <c r="N2300" s="45">
        <f>IF(COUNTIFS($C:$C,$C2300,$D:$D,"P0(전)",$L:$L,"&gt;0")&lt;&gt;1,"",SUMIFS($H:$H,$C:$C,$C2300,$D:$D,"P0(전)"))</f>
        <v/>
      </c>
      <c r="O2300" s="30">
        <f>IF(COUNTIFS($C:$C,$C2300,$D:$D,"P0(전)",$L:$L,"&gt;0")&lt;&gt;1,"",SUMIFS($L:$L,$C:$C,$C2300,$D:$D,"P0(전)"))</f>
        <v/>
      </c>
      <c r="P2300" s="45">
        <f>IF(COUNTIFS($C:$C,$C2300,$D:$D,"P0(후)",$L:$L,"&gt;0")&lt;&gt;1,"",SUMIFS($H:$H,$C:$C,$C2300,$D:$D,"P0(후)"))</f>
        <v/>
      </c>
      <c r="Q2300" s="30">
        <f>IF(COUNTIFS($C:$C,$C2300,$D:$D,"P0(후)",$L:$L,"&gt;0")&lt;&gt;1,"",SUMIFS($L:$L,$C:$C,$C2300,$D:$D,"P0(후)"))</f>
        <v/>
      </c>
      <c r="R2300" s="30">
        <f>IF(M2300&lt;&gt;"OK","",O2300+(Q2300-O2300)*(H2300-N2300)/(P2300-N2300))</f>
        <v/>
      </c>
      <c r="S2300" s="30">
        <f>IF(OR(M2300&lt;&gt;"OK",NOT(ISNUMBER(L2300))),"",L2300-R2300)</f>
        <v/>
      </c>
      <c r="T2300" s="46">
        <f>IF(OR(NOT(ISNUMBER(S2300)),IF(ISNUMBER(G2300),G2300,F2300)=0),"",S2300/IF(ISNUMBER(G2300),G2300,F2300))</f>
        <v/>
      </c>
      <c r="U2300" s="46">
        <f>IF(ISNUMBER(T2300),ABS(T2300),"")</f>
        <v/>
      </c>
      <c r="V2300" s="46">
        <f>IF(OR($D2299&lt;&gt;"측정",$C2299&lt;&gt;$C2300,NOT(ISNUMBER(L2300)),NOT(ISNUMBER(L2299)),(IF(ISNUMBER(G2300),G2300,F2300)-IF(ISNUMBER(G2299),G2299,F2299))=0),"",(L2300-L2299)/(IF(ISNUMBER(G2300),G2300,F2300)-IF(ISNUMBER(G2299),G2299,F2299)))</f>
        <v/>
      </c>
      <c r="W2300" s="30">
        <f>IF(NOT(AND(ISNUMBER(N2300),ISNUMBER(P2300))),"",(P2300-N2300)*1440)</f>
        <v/>
      </c>
      <c r="X2300" s="28" t="n"/>
      <c r="Y2300" s="28" t="n"/>
      <c r="Z2300" s="28" t="n"/>
      <c r="AA2300" s="31" t="n"/>
      <c r="AB2300" s="31" t="n"/>
    </row>
    <row r="2301">
      <c r="A2301" s="25" t="inlineStr">
        <is>
          <t>S45</t>
        </is>
      </c>
      <c r="B2301" s="25" t="inlineStr">
        <is>
          <t>여주</t>
        </is>
      </c>
      <c r="C2301" s="25" t="inlineStr">
        <is>
          <t>S45-H동</t>
        </is>
      </c>
      <c r="D2301" s="25" t="inlineStr">
        <is>
          <t>측정</t>
        </is>
      </c>
      <c r="E2301" s="25" t="inlineStr">
        <is>
          <t>동</t>
        </is>
      </c>
      <c r="F2301" s="30" t="n">
        <v>7</v>
      </c>
      <c r="G2301" s="29" t="n"/>
      <c r="H2301" s="42" t="n"/>
      <c r="I2301" s="40" t="n"/>
      <c r="J2301" s="40" t="n"/>
      <c r="K2301" s="40" t="n"/>
      <c r="L2301" s="30">
        <f>IF(COUNT(I2301:K2301)=0,"",MEDIAN(I2301:K2301))</f>
        <v/>
      </c>
      <c r="M2301" s="25">
        <f>IF(COUNTIFS($C:$C,$C2301,$D:$D,"P0(전)",$L:$L,"&gt;0")&lt;&gt;1,"P0(전) 유효 1개 아님",IF(COUNTIFS($C:$C,$C2301,$D:$D,"P0(후)",$L:$L,"&gt;0")&lt;&gt;1,"P0(후) 유효 1개 아님",IF(NOT(AND(ISNUMBER(N2301),ISNUMBER(P2301),ISNUMBER(H2301))),"시각 결측",IF(P2301&lt;=N2301,"P0 시각 역전",IF(OR(H2301&lt;N2301,H2301&gt;P2301),"측정시각 구간 밖","OK")))))</f>
        <v/>
      </c>
      <c r="N2301" s="45">
        <f>IF(COUNTIFS($C:$C,$C2301,$D:$D,"P0(전)",$L:$L,"&gt;0")&lt;&gt;1,"",SUMIFS($H:$H,$C:$C,$C2301,$D:$D,"P0(전)"))</f>
        <v/>
      </c>
      <c r="O2301" s="30">
        <f>IF(COUNTIFS($C:$C,$C2301,$D:$D,"P0(전)",$L:$L,"&gt;0")&lt;&gt;1,"",SUMIFS($L:$L,$C:$C,$C2301,$D:$D,"P0(전)"))</f>
        <v/>
      </c>
      <c r="P2301" s="45">
        <f>IF(COUNTIFS($C:$C,$C2301,$D:$D,"P0(후)",$L:$L,"&gt;0")&lt;&gt;1,"",SUMIFS($H:$H,$C:$C,$C2301,$D:$D,"P0(후)"))</f>
        <v/>
      </c>
      <c r="Q2301" s="30">
        <f>IF(COUNTIFS($C:$C,$C2301,$D:$D,"P0(후)",$L:$L,"&gt;0")&lt;&gt;1,"",SUMIFS($L:$L,$C:$C,$C2301,$D:$D,"P0(후)"))</f>
        <v/>
      </c>
      <c r="R2301" s="30">
        <f>IF(M2301&lt;&gt;"OK","",O2301+(Q2301-O2301)*(H2301-N2301)/(P2301-N2301))</f>
        <v/>
      </c>
      <c r="S2301" s="30">
        <f>IF(OR(M2301&lt;&gt;"OK",NOT(ISNUMBER(L2301))),"",L2301-R2301)</f>
        <v/>
      </c>
      <c r="T2301" s="46">
        <f>IF(OR(NOT(ISNUMBER(S2301)),IF(ISNUMBER(G2301),G2301,F2301)=0),"",S2301/IF(ISNUMBER(G2301),G2301,F2301))</f>
        <v/>
      </c>
      <c r="U2301" s="46">
        <f>IF(ISNUMBER(T2301),ABS(T2301),"")</f>
        <v/>
      </c>
      <c r="V2301" s="46">
        <f>IF(OR($D2300&lt;&gt;"측정",$C2300&lt;&gt;$C2301,NOT(ISNUMBER(L2301)),NOT(ISNUMBER(L2300)),(IF(ISNUMBER(G2301),G2301,F2301)-IF(ISNUMBER(G2300),G2300,F2300))=0),"",(L2301-L2300)/(IF(ISNUMBER(G2301),G2301,F2301)-IF(ISNUMBER(G2300),G2300,F2300)))</f>
        <v/>
      </c>
      <c r="W2301" s="30">
        <f>IF(NOT(AND(ISNUMBER(N2301),ISNUMBER(P2301))),"",(P2301-N2301)*1440)</f>
        <v/>
      </c>
      <c r="X2301" s="28" t="n"/>
      <c r="Y2301" s="28" t="n"/>
      <c r="Z2301" s="28" t="n"/>
      <c r="AA2301" s="31" t="n"/>
      <c r="AB2301" s="31" t="n"/>
    </row>
    <row r="2302">
      <c r="A2302" s="25" t="inlineStr">
        <is>
          <t>S45</t>
        </is>
      </c>
      <c r="B2302" s="25" t="inlineStr">
        <is>
          <t>여주</t>
        </is>
      </c>
      <c r="C2302" s="25" t="inlineStr">
        <is>
          <t>S45-H동</t>
        </is>
      </c>
      <c r="D2302" s="25" t="inlineStr">
        <is>
          <t>측정</t>
        </is>
      </c>
      <c r="E2302" s="25" t="inlineStr">
        <is>
          <t>동</t>
        </is>
      </c>
      <c r="F2302" s="30" t="n">
        <v>8</v>
      </c>
      <c r="G2302" s="29" t="n"/>
      <c r="H2302" s="42" t="n"/>
      <c r="I2302" s="40" t="n"/>
      <c r="J2302" s="40" t="n"/>
      <c r="K2302" s="40" t="n"/>
      <c r="L2302" s="30">
        <f>IF(COUNT(I2302:K2302)=0,"",MEDIAN(I2302:K2302))</f>
        <v/>
      </c>
      <c r="M2302" s="25">
        <f>IF(COUNTIFS($C:$C,$C2302,$D:$D,"P0(전)",$L:$L,"&gt;0")&lt;&gt;1,"P0(전) 유효 1개 아님",IF(COUNTIFS($C:$C,$C2302,$D:$D,"P0(후)",$L:$L,"&gt;0")&lt;&gt;1,"P0(후) 유효 1개 아님",IF(NOT(AND(ISNUMBER(N2302),ISNUMBER(P2302),ISNUMBER(H2302))),"시각 결측",IF(P2302&lt;=N2302,"P0 시각 역전",IF(OR(H2302&lt;N2302,H2302&gt;P2302),"측정시각 구간 밖","OK")))))</f>
        <v/>
      </c>
      <c r="N2302" s="45">
        <f>IF(COUNTIFS($C:$C,$C2302,$D:$D,"P0(전)",$L:$L,"&gt;0")&lt;&gt;1,"",SUMIFS($H:$H,$C:$C,$C2302,$D:$D,"P0(전)"))</f>
        <v/>
      </c>
      <c r="O2302" s="30">
        <f>IF(COUNTIFS($C:$C,$C2302,$D:$D,"P0(전)",$L:$L,"&gt;0")&lt;&gt;1,"",SUMIFS($L:$L,$C:$C,$C2302,$D:$D,"P0(전)"))</f>
        <v/>
      </c>
      <c r="P2302" s="45">
        <f>IF(COUNTIFS($C:$C,$C2302,$D:$D,"P0(후)",$L:$L,"&gt;0")&lt;&gt;1,"",SUMIFS($H:$H,$C:$C,$C2302,$D:$D,"P0(후)"))</f>
        <v/>
      </c>
      <c r="Q2302" s="30">
        <f>IF(COUNTIFS($C:$C,$C2302,$D:$D,"P0(후)",$L:$L,"&gt;0")&lt;&gt;1,"",SUMIFS($L:$L,$C:$C,$C2302,$D:$D,"P0(후)"))</f>
        <v/>
      </c>
      <c r="R2302" s="30">
        <f>IF(M2302&lt;&gt;"OK","",O2302+(Q2302-O2302)*(H2302-N2302)/(P2302-N2302))</f>
        <v/>
      </c>
      <c r="S2302" s="30">
        <f>IF(OR(M2302&lt;&gt;"OK",NOT(ISNUMBER(L2302))),"",L2302-R2302)</f>
        <v/>
      </c>
      <c r="T2302" s="46">
        <f>IF(OR(NOT(ISNUMBER(S2302)),IF(ISNUMBER(G2302),G2302,F2302)=0),"",S2302/IF(ISNUMBER(G2302),G2302,F2302))</f>
        <v/>
      </c>
      <c r="U2302" s="46">
        <f>IF(ISNUMBER(T2302),ABS(T2302),"")</f>
        <v/>
      </c>
      <c r="V2302" s="46">
        <f>IF(OR($D2301&lt;&gt;"측정",$C2301&lt;&gt;$C2302,NOT(ISNUMBER(L2302)),NOT(ISNUMBER(L2301)),(IF(ISNUMBER(G2302),G2302,F2302)-IF(ISNUMBER(G2301),G2301,F2301))=0),"",(L2302-L2301)/(IF(ISNUMBER(G2302),G2302,F2302)-IF(ISNUMBER(G2301),G2301,F2301)))</f>
        <v/>
      </c>
      <c r="W2302" s="30">
        <f>IF(NOT(AND(ISNUMBER(N2302),ISNUMBER(P2302))),"",(P2302-N2302)*1440)</f>
        <v/>
      </c>
      <c r="X2302" s="28" t="n"/>
      <c r="Y2302" s="28" t="n"/>
      <c r="Z2302" s="28" t="n"/>
      <c r="AA2302" s="31" t="n"/>
      <c r="AB2302" s="31" t="n"/>
    </row>
    <row r="2303">
      <c r="A2303" s="25" t="inlineStr">
        <is>
          <t>S45</t>
        </is>
      </c>
      <c r="B2303" s="25" t="inlineStr">
        <is>
          <t>여주</t>
        </is>
      </c>
      <c r="C2303" s="25" t="inlineStr">
        <is>
          <t>S45-H동</t>
        </is>
      </c>
      <c r="D2303" s="25" t="inlineStr">
        <is>
          <t>측정</t>
        </is>
      </c>
      <c r="E2303" s="25" t="inlineStr">
        <is>
          <t>동</t>
        </is>
      </c>
      <c r="F2303" s="30" t="n">
        <v>9</v>
      </c>
      <c r="G2303" s="29" t="n"/>
      <c r="H2303" s="42" t="n"/>
      <c r="I2303" s="40" t="n"/>
      <c r="J2303" s="40" t="n"/>
      <c r="K2303" s="40" t="n"/>
      <c r="L2303" s="30">
        <f>IF(COUNT(I2303:K2303)=0,"",MEDIAN(I2303:K2303))</f>
        <v/>
      </c>
      <c r="M2303" s="25">
        <f>IF(COUNTIFS($C:$C,$C2303,$D:$D,"P0(전)",$L:$L,"&gt;0")&lt;&gt;1,"P0(전) 유효 1개 아님",IF(COUNTIFS($C:$C,$C2303,$D:$D,"P0(후)",$L:$L,"&gt;0")&lt;&gt;1,"P0(후) 유효 1개 아님",IF(NOT(AND(ISNUMBER(N2303),ISNUMBER(P2303),ISNUMBER(H2303))),"시각 결측",IF(P2303&lt;=N2303,"P0 시각 역전",IF(OR(H2303&lt;N2303,H2303&gt;P2303),"측정시각 구간 밖","OK")))))</f>
        <v/>
      </c>
      <c r="N2303" s="45">
        <f>IF(COUNTIFS($C:$C,$C2303,$D:$D,"P0(전)",$L:$L,"&gt;0")&lt;&gt;1,"",SUMIFS($H:$H,$C:$C,$C2303,$D:$D,"P0(전)"))</f>
        <v/>
      </c>
      <c r="O2303" s="30">
        <f>IF(COUNTIFS($C:$C,$C2303,$D:$D,"P0(전)",$L:$L,"&gt;0")&lt;&gt;1,"",SUMIFS($L:$L,$C:$C,$C2303,$D:$D,"P0(전)"))</f>
        <v/>
      </c>
      <c r="P2303" s="45">
        <f>IF(COUNTIFS($C:$C,$C2303,$D:$D,"P0(후)",$L:$L,"&gt;0")&lt;&gt;1,"",SUMIFS($H:$H,$C:$C,$C2303,$D:$D,"P0(후)"))</f>
        <v/>
      </c>
      <c r="Q2303" s="30">
        <f>IF(COUNTIFS($C:$C,$C2303,$D:$D,"P0(후)",$L:$L,"&gt;0")&lt;&gt;1,"",SUMIFS($L:$L,$C:$C,$C2303,$D:$D,"P0(후)"))</f>
        <v/>
      </c>
      <c r="R2303" s="30">
        <f>IF(M2303&lt;&gt;"OK","",O2303+(Q2303-O2303)*(H2303-N2303)/(P2303-N2303))</f>
        <v/>
      </c>
      <c r="S2303" s="30">
        <f>IF(OR(M2303&lt;&gt;"OK",NOT(ISNUMBER(L2303))),"",L2303-R2303)</f>
        <v/>
      </c>
      <c r="T2303" s="46">
        <f>IF(OR(NOT(ISNUMBER(S2303)),IF(ISNUMBER(G2303),G2303,F2303)=0),"",S2303/IF(ISNUMBER(G2303),G2303,F2303))</f>
        <v/>
      </c>
      <c r="U2303" s="46">
        <f>IF(ISNUMBER(T2303),ABS(T2303),"")</f>
        <v/>
      </c>
      <c r="V2303" s="46">
        <f>IF(OR($D2302&lt;&gt;"측정",$C2302&lt;&gt;$C2303,NOT(ISNUMBER(L2303)),NOT(ISNUMBER(L2302)),(IF(ISNUMBER(G2303),G2303,F2303)-IF(ISNUMBER(G2302),G2302,F2302))=0),"",(L2303-L2302)/(IF(ISNUMBER(G2303),G2303,F2303)-IF(ISNUMBER(G2302),G2302,F2302)))</f>
        <v/>
      </c>
      <c r="W2303" s="30">
        <f>IF(NOT(AND(ISNUMBER(N2303),ISNUMBER(P2303))),"",(P2303-N2303)*1440)</f>
        <v/>
      </c>
      <c r="X2303" s="28" t="n"/>
      <c r="Y2303" s="28" t="n"/>
      <c r="Z2303" s="28" t="n"/>
      <c r="AA2303" s="31" t="n"/>
      <c r="AB2303" s="31" t="n"/>
    </row>
    <row r="2304">
      <c r="A2304" s="25" t="inlineStr">
        <is>
          <t>S45</t>
        </is>
      </c>
      <c r="B2304" s="25" t="inlineStr">
        <is>
          <t>여주</t>
        </is>
      </c>
      <c r="C2304" s="25" t="inlineStr">
        <is>
          <t>S45-H동</t>
        </is>
      </c>
      <c r="D2304" s="25" t="inlineStr">
        <is>
          <t>측정</t>
        </is>
      </c>
      <c r="E2304" s="25" t="inlineStr">
        <is>
          <t>동</t>
        </is>
      </c>
      <c r="F2304" s="30" t="n">
        <v>10</v>
      </c>
      <c r="G2304" s="29" t="n"/>
      <c r="H2304" s="42" t="n"/>
      <c r="I2304" s="40" t="n"/>
      <c r="J2304" s="40" t="n"/>
      <c r="K2304" s="40" t="n"/>
      <c r="L2304" s="30">
        <f>IF(COUNT(I2304:K2304)=0,"",MEDIAN(I2304:K2304))</f>
        <v/>
      </c>
      <c r="M2304" s="25">
        <f>IF(COUNTIFS($C:$C,$C2304,$D:$D,"P0(전)",$L:$L,"&gt;0")&lt;&gt;1,"P0(전) 유효 1개 아님",IF(COUNTIFS($C:$C,$C2304,$D:$D,"P0(후)",$L:$L,"&gt;0")&lt;&gt;1,"P0(후) 유효 1개 아님",IF(NOT(AND(ISNUMBER(N2304),ISNUMBER(P2304),ISNUMBER(H2304))),"시각 결측",IF(P2304&lt;=N2304,"P0 시각 역전",IF(OR(H2304&lt;N2304,H2304&gt;P2304),"측정시각 구간 밖","OK")))))</f>
        <v/>
      </c>
      <c r="N2304" s="45">
        <f>IF(COUNTIFS($C:$C,$C2304,$D:$D,"P0(전)",$L:$L,"&gt;0")&lt;&gt;1,"",SUMIFS($H:$H,$C:$C,$C2304,$D:$D,"P0(전)"))</f>
        <v/>
      </c>
      <c r="O2304" s="30">
        <f>IF(COUNTIFS($C:$C,$C2304,$D:$D,"P0(전)",$L:$L,"&gt;0")&lt;&gt;1,"",SUMIFS($L:$L,$C:$C,$C2304,$D:$D,"P0(전)"))</f>
        <v/>
      </c>
      <c r="P2304" s="45">
        <f>IF(COUNTIFS($C:$C,$C2304,$D:$D,"P0(후)",$L:$L,"&gt;0")&lt;&gt;1,"",SUMIFS($H:$H,$C:$C,$C2304,$D:$D,"P0(후)"))</f>
        <v/>
      </c>
      <c r="Q2304" s="30">
        <f>IF(COUNTIFS($C:$C,$C2304,$D:$D,"P0(후)",$L:$L,"&gt;0")&lt;&gt;1,"",SUMIFS($L:$L,$C:$C,$C2304,$D:$D,"P0(후)"))</f>
        <v/>
      </c>
      <c r="R2304" s="30">
        <f>IF(M2304&lt;&gt;"OK","",O2304+(Q2304-O2304)*(H2304-N2304)/(P2304-N2304))</f>
        <v/>
      </c>
      <c r="S2304" s="30">
        <f>IF(OR(M2304&lt;&gt;"OK",NOT(ISNUMBER(L2304))),"",L2304-R2304)</f>
        <v/>
      </c>
      <c r="T2304" s="46">
        <f>IF(OR(NOT(ISNUMBER(S2304)),IF(ISNUMBER(G2304),G2304,F2304)=0),"",S2304/IF(ISNUMBER(G2304),G2304,F2304))</f>
        <v/>
      </c>
      <c r="U2304" s="46">
        <f>IF(ISNUMBER(T2304),ABS(T2304),"")</f>
        <v/>
      </c>
      <c r="V2304" s="46">
        <f>IF(OR($D2303&lt;&gt;"측정",$C2303&lt;&gt;$C2304,NOT(ISNUMBER(L2304)),NOT(ISNUMBER(L2303)),(IF(ISNUMBER(G2304),G2304,F2304)-IF(ISNUMBER(G2303),G2303,F2303))=0),"",(L2304-L2303)/(IF(ISNUMBER(G2304),G2304,F2304)-IF(ISNUMBER(G2303),G2303,F2303)))</f>
        <v/>
      </c>
      <c r="W2304" s="30">
        <f>IF(NOT(AND(ISNUMBER(N2304),ISNUMBER(P2304))),"",(P2304-N2304)*1440)</f>
        <v/>
      </c>
      <c r="X2304" s="28" t="n"/>
      <c r="Y2304" s="28" t="n"/>
      <c r="Z2304" s="28" t="n"/>
      <c r="AA2304" s="31" t="n"/>
      <c r="AB2304" s="31" t="n"/>
    </row>
    <row r="2305">
      <c r="A2305" s="43" t="inlineStr">
        <is>
          <t>S45</t>
        </is>
      </c>
      <c r="B2305" s="43" t="inlineStr">
        <is>
          <t>여주</t>
        </is>
      </c>
      <c r="C2305" s="43" t="inlineStr">
        <is>
          <t>S45-H동</t>
        </is>
      </c>
      <c r="D2305" s="43" t="inlineStr">
        <is>
          <t>P0(후)</t>
        </is>
      </c>
      <c r="E2305" s="43" t="inlineStr">
        <is>
          <t>동</t>
        </is>
      </c>
      <c r="F2305" s="44" t="n"/>
      <c r="G2305" s="29" t="n"/>
      <c r="H2305" s="42" t="n"/>
      <c r="I2305" s="40" t="n"/>
      <c r="J2305" s="40" t="n"/>
      <c r="K2305" s="40" t="n"/>
      <c r="L2305" s="30">
        <f>IF(COUNT(I2305:K2305)=0,"",MEDIAN(I2305:K2305))</f>
        <v/>
      </c>
      <c r="M2305" s="37" t="n"/>
      <c r="N2305" s="37" t="n"/>
      <c r="O2305" s="37" t="n"/>
      <c r="P2305" s="37" t="n"/>
      <c r="Q2305" s="37" t="n"/>
      <c r="R2305" s="37" t="n"/>
      <c r="S2305" s="37" t="n"/>
      <c r="T2305" s="37" t="n"/>
      <c r="U2305" s="37" t="n"/>
      <c r="V2305" s="37" t="n"/>
      <c r="W2305" s="37" t="n"/>
      <c r="X2305" s="28" t="n"/>
      <c r="Y2305" s="28" t="n"/>
      <c r="Z2305" s="28" t="n"/>
      <c r="AA2305" s="31" t="n"/>
      <c r="AB2305" s="31" t="n"/>
    </row>
    <row r="2306">
      <c r="A2306" s="43" t="inlineStr">
        <is>
          <t>S45</t>
        </is>
      </c>
      <c r="B2306" s="43" t="inlineStr">
        <is>
          <t>여주</t>
        </is>
      </c>
      <c r="C2306" s="43" t="inlineStr">
        <is>
          <t>S45-H서</t>
        </is>
      </c>
      <c r="D2306" s="43" t="inlineStr">
        <is>
          <t>P0(전)</t>
        </is>
      </c>
      <c r="E2306" s="43" t="inlineStr">
        <is>
          <t>서</t>
        </is>
      </c>
      <c r="F2306" s="44" t="n"/>
      <c r="G2306" s="29" t="n"/>
      <c r="H2306" s="42" t="n"/>
      <c r="I2306" s="40" t="n"/>
      <c r="J2306" s="40" t="n"/>
      <c r="K2306" s="40" t="n"/>
      <c r="L2306" s="30">
        <f>IF(COUNT(I2306:K2306)=0,"",MEDIAN(I2306:K2306))</f>
        <v/>
      </c>
      <c r="M2306" s="37" t="n"/>
      <c r="N2306" s="37" t="n"/>
      <c r="O2306" s="37" t="n"/>
      <c r="P2306" s="37" t="n"/>
      <c r="Q2306" s="37" t="n"/>
      <c r="R2306" s="37" t="n"/>
      <c r="S2306" s="37" t="n"/>
      <c r="T2306" s="37" t="n"/>
      <c r="U2306" s="37" t="n"/>
      <c r="V2306" s="37" t="n"/>
      <c r="W2306" s="37" t="n"/>
      <c r="X2306" s="28" t="n"/>
      <c r="Y2306" s="28" t="n"/>
      <c r="Z2306" s="28" t="n"/>
      <c r="AA2306" s="31" t="n"/>
      <c r="AB2306" s="31" t="n"/>
    </row>
    <row r="2307">
      <c r="A2307" s="25" t="inlineStr">
        <is>
          <t>S45</t>
        </is>
      </c>
      <c r="B2307" s="25" t="inlineStr">
        <is>
          <t>여주</t>
        </is>
      </c>
      <c r="C2307" s="25" t="inlineStr">
        <is>
          <t>S45-H서</t>
        </is>
      </c>
      <c r="D2307" s="25" t="inlineStr">
        <is>
          <t>측정</t>
        </is>
      </c>
      <c r="E2307" s="25" t="inlineStr">
        <is>
          <t>서</t>
        </is>
      </c>
      <c r="F2307" s="30" t="n">
        <v>0.5</v>
      </c>
      <c r="G2307" s="29" t="n"/>
      <c r="H2307" s="42" t="n"/>
      <c r="I2307" s="40" t="n"/>
      <c r="J2307" s="40" t="n"/>
      <c r="K2307" s="40" t="n"/>
      <c r="L2307" s="30">
        <f>IF(COUNT(I2307:K2307)=0,"",MEDIAN(I2307:K2307))</f>
        <v/>
      </c>
      <c r="M2307" s="25">
        <f>IF(COUNTIFS($C:$C,$C2307,$D:$D,"P0(전)",$L:$L,"&gt;0")&lt;&gt;1,"P0(전) 유효 1개 아님",IF(COUNTIFS($C:$C,$C2307,$D:$D,"P0(후)",$L:$L,"&gt;0")&lt;&gt;1,"P0(후) 유효 1개 아님",IF(NOT(AND(ISNUMBER(N2307),ISNUMBER(P2307),ISNUMBER(H2307))),"시각 결측",IF(P2307&lt;=N2307,"P0 시각 역전",IF(OR(H2307&lt;N2307,H2307&gt;P2307),"측정시각 구간 밖","OK")))))</f>
        <v/>
      </c>
      <c r="N2307" s="45">
        <f>IF(COUNTIFS($C:$C,$C2307,$D:$D,"P0(전)",$L:$L,"&gt;0")&lt;&gt;1,"",SUMIFS($H:$H,$C:$C,$C2307,$D:$D,"P0(전)"))</f>
        <v/>
      </c>
      <c r="O2307" s="30">
        <f>IF(COUNTIFS($C:$C,$C2307,$D:$D,"P0(전)",$L:$L,"&gt;0")&lt;&gt;1,"",SUMIFS($L:$L,$C:$C,$C2307,$D:$D,"P0(전)"))</f>
        <v/>
      </c>
      <c r="P2307" s="45">
        <f>IF(COUNTIFS($C:$C,$C2307,$D:$D,"P0(후)",$L:$L,"&gt;0")&lt;&gt;1,"",SUMIFS($H:$H,$C:$C,$C2307,$D:$D,"P0(후)"))</f>
        <v/>
      </c>
      <c r="Q2307" s="30">
        <f>IF(COUNTIFS($C:$C,$C2307,$D:$D,"P0(후)",$L:$L,"&gt;0")&lt;&gt;1,"",SUMIFS($L:$L,$C:$C,$C2307,$D:$D,"P0(후)"))</f>
        <v/>
      </c>
      <c r="R2307" s="30">
        <f>IF(M2307&lt;&gt;"OK","",O2307+(Q2307-O2307)*(H2307-N2307)/(P2307-N2307))</f>
        <v/>
      </c>
      <c r="S2307" s="30">
        <f>IF(OR(M2307&lt;&gt;"OK",NOT(ISNUMBER(L2307))),"",L2307-R2307)</f>
        <v/>
      </c>
      <c r="T2307" s="46">
        <f>IF(OR(NOT(ISNUMBER(S2307)),IF(ISNUMBER(G2307),G2307,F2307)=0),"",S2307/IF(ISNUMBER(G2307),G2307,F2307))</f>
        <v/>
      </c>
      <c r="U2307" s="46">
        <f>IF(ISNUMBER(T2307),ABS(T2307),"")</f>
        <v/>
      </c>
      <c r="V2307" s="46">
        <f>IF(OR($D2306&lt;&gt;"측정",$C2306&lt;&gt;$C2307,NOT(ISNUMBER(L2307)),NOT(ISNUMBER(L2306)),(IF(ISNUMBER(G2307),G2307,F2307)-IF(ISNUMBER(G2306),G2306,F2306))=0),"",(L2307-L2306)/(IF(ISNUMBER(G2307),G2307,F2307)-IF(ISNUMBER(G2306),G2306,F2306)))</f>
        <v/>
      </c>
      <c r="W2307" s="30">
        <f>IF(NOT(AND(ISNUMBER(N2307),ISNUMBER(P2307))),"",(P2307-N2307)*1440)</f>
        <v/>
      </c>
      <c r="X2307" s="28" t="n"/>
      <c r="Y2307" s="28" t="n"/>
      <c r="Z2307" s="28" t="n"/>
      <c r="AA2307" s="31" t="n"/>
      <c r="AB2307" s="31" t="n"/>
    </row>
    <row r="2308">
      <c r="A2308" s="25" t="inlineStr">
        <is>
          <t>S45</t>
        </is>
      </c>
      <c r="B2308" s="25" t="inlineStr">
        <is>
          <t>여주</t>
        </is>
      </c>
      <c r="C2308" s="25" t="inlineStr">
        <is>
          <t>S45-H서</t>
        </is>
      </c>
      <c r="D2308" s="25" t="inlineStr">
        <is>
          <t>측정</t>
        </is>
      </c>
      <c r="E2308" s="25" t="inlineStr">
        <is>
          <t>서</t>
        </is>
      </c>
      <c r="F2308" s="30" t="n">
        <v>1</v>
      </c>
      <c r="G2308" s="29" t="n"/>
      <c r="H2308" s="42" t="n"/>
      <c r="I2308" s="40" t="n"/>
      <c r="J2308" s="40" t="n"/>
      <c r="K2308" s="40" t="n"/>
      <c r="L2308" s="30">
        <f>IF(COUNT(I2308:K2308)=0,"",MEDIAN(I2308:K2308))</f>
        <v/>
      </c>
      <c r="M2308" s="25">
        <f>IF(COUNTIFS($C:$C,$C2308,$D:$D,"P0(전)",$L:$L,"&gt;0")&lt;&gt;1,"P0(전) 유효 1개 아님",IF(COUNTIFS($C:$C,$C2308,$D:$D,"P0(후)",$L:$L,"&gt;0")&lt;&gt;1,"P0(후) 유효 1개 아님",IF(NOT(AND(ISNUMBER(N2308),ISNUMBER(P2308),ISNUMBER(H2308))),"시각 결측",IF(P2308&lt;=N2308,"P0 시각 역전",IF(OR(H2308&lt;N2308,H2308&gt;P2308),"측정시각 구간 밖","OK")))))</f>
        <v/>
      </c>
      <c r="N2308" s="45">
        <f>IF(COUNTIFS($C:$C,$C2308,$D:$D,"P0(전)",$L:$L,"&gt;0")&lt;&gt;1,"",SUMIFS($H:$H,$C:$C,$C2308,$D:$D,"P0(전)"))</f>
        <v/>
      </c>
      <c r="O2308" s="30">
        <f>IF(COUNTIFS($C:$C,$C2308,$D:$D,"P0(전)",$L:$L,"&gt;0")&lt;&gt;1,"",SUMIFS($L:$L,$C:$C,$C2308,$D:$D,"P0(전)"))</f>
        <v/>
      </c>
      <c r="P2308" s="45">
        <f>IF(COUNTIFS($C:$C,$C2308,$D:$D,"P0(후)",$L:$L,"&gt;0")&lt;&gt;1,"",SUMIFS($H:$H,$C:$C,$C2308,$D:$D,"P0(후)"))</f>
        <v/>
      </c>
      <c r="Q2308" s="30">
        <f>IF(COUNTIFS($C:$C,$C2308,$D:$D,"P0(후)",$L:$L,"&gt;0")&lt;&gt;1,"",SUMIFS($L:$L,$C:$C,$C2308,$D:$D,"P0(후)"))</f>
        <v/>
      </c>
      <c r="R2308" s="30">
        <f>IF(M2308&lt;&gt;"OK","",O2308+(Q2308-O2308)*(H2308-N2308)/(P2308-N2308))</f>
        <v/>
      </c>
      <c r="S2308" s="30">
        <f>IF(OR(M2308&lt;&gt;"OK",NOT(ISNUMBER(L2308))),"",L2308-R2308)</f>
        <v/>
      </c>
      <c r="T2308" s="46">
        <f>IF(OR(NOT(ISNUMBER(S2308)),IF(ISNUMBER(G2308),G2308,F2308)=0),"",S2308/IF(ISNUMBER(G2308),G2308,F2308))</f>
        <v/>
      </c>
      <c r="U2308" s="46">
        <f>IF(ISNUMBER(T2308),ABS(T2308),"")</f>
        <v/>
      </c>
      <c r="V2308" s="46">
        <f>IF(OR($D2307&lt;&gt;"측정",$C2307&lt;&gt;$C2308,NOT(ISNUMBER(L2308)),NOT(ISNUMBER(L2307)),(IF(ISNUMBER(G2308),G2308,F2308)-IF(ISNUMBER(G2307),G2307,F2307))=0),"",(L2308-L2307)/(IF(ISNUMBER(G2308),G2308,F2308)-IF(ISNUMBER(G2307),G2307,F2307)))</f>
        <v/>
      </c>
      <c r="W2308" s="30">
        <f>IF(NOT(AND(ISNUMBER(N2308),ISNUMBER(P2308))),"",(P2308-N2308)*1440)</f>
        <v/>
      </c>
      <c r="X2308" s="28" t="n"/>
      <c r="Y2308" s="28" t="n"/>
      <c r="Z2308" s="28" t="n"/>
      <c r="AA2308" s="31" t="n"/>
      <c r="AB2308" s="31" t="n"/>
    </row>
    <row r="2309">
      <c r="A2309" s="25" t="inlineStr">
        <is>
          <t>S45</t>
        </is>
      </c>
      <c r="B2309" s="25" t="inlineStr">
        <is>
          <t>여주</t>
        </is>
      </c>
      <c r="C2309" s="25" t="inlineStr">
        <is>
          <t>S45-H서</t>
        </is>
      </c>
      <c r="D2309" s="25" t="inlineStr">
        <is>
          <t>측정</t>
        </is>
      </c>
      <c r="E2309" s="25" t="inlineStr">
        <is>
          <t>서</t>
        </is>
      </c>
      <c r="F2309" s="30" t="n">
        <v>2</v>
      </c>
      <c r="G2309" s="29" t="n"/>
      <c r="H2309" s="42" t="n"/>
      <c r="I2309" s="40" t="n"/>
      <c r="J2309" s="40" t="n"/>
      <c r="K2309" s="40" t="n"/>
      <c r="L2309" s="30">
        <f>IF(COUNT(I2309:K2309)=0,"",MEDIAN(I2309:K2309))</f>
        <v/>
      </c>
      <c r="M2309" s="25">
        <f>IF(COUNTIFS($C:$C,$C2309,$D:$D,"P0(전)",$L:$L,"&gt;0")&lt;&gt;1,"P0(전) 유효 1개 아님",IF(COUNTIFS($C:$C,$C2309,$D:$D,"P0(후)",$L:$L,"&gt;0")&lt;&gt;1,"P0(후) 유효 1개 아님",IF(NOT(AND(ISNUMBER(N2309),ISNUMBER(P2309),ISNUMBER(H2309))),"시각 결측",IF(P2309&lt;=N2309,"P0 시각 역전",IF(OR(H2309&lt;N2309,H2309&gt;P2309),"측정시각 구간 밖","OK")))))</f>
        <v/>
      </c>
      <c r="N2309" s="45">
        <f>IF(COUNTIFS($C:$C,$C2309,$D:$D,"P0(전)",$L:$L,"&gt;0")&lt;&gt;1,"",SUMIFS($H:$H,$C:$C,$C2309,$D:$D,"P0(전)"))</f>
        <v/>
      </c>
      <c r="O2309" s="30">
        <f>IF(COUNTIFS($C:$C,$C2309,$D:$D,"P0(전)",$L:$L,"&gt;0")&lt;&gt;1,"",SUMIFS($L:$L,$C:$C,$C2309,$D:$D,"P0(전)"))</f>
        <v/>
      </c>
      <c r="P2309" s="45">
        <f>IF(COUNTIFS($C:$C,$C2309,$D:$D,"P0(후)",$L:$L,"&gt;0")&lt;&gt;1,"",SUMIFS($H:$H,$C:$C,$C2309,$D:$D,"P0(후)"))</f>
        <v/>
      </c>
      <c r="Q2309" s="30">
        <f>IF(COUNTIFS($C:$C,$C2309,$D:$D,"P0(후)",$L:$L,"&gt;0")&lt;&gt;1,"",SUMIFS($L:$L,$C:$C,$C2309,$D:$D,"P0(후)"))</f>
        <v/>
      </c>
      <c r="R2309" s="30">
        <f>IF(M2309&lt;&gt;"OK","",O2309+(Q2309-O2309)*(H2309-N2309)/(P2309-N2309))</f>
        <v/>
      </c>
      <c r="S2309" s="30">
        <f>IF(OR(M2309&lt;&gt;"OK",NOT(ISNUMBER(L2309))),"",L2309-R2309)</f>
        <v/>
      </c>
      <c r="T2309" s="46">
        <f>IF(OR(NOT(ISNUMBER(S2309)),IF(ISNUMBER(G2309),G2309,F2309)=0),"",S2309/IF(ISNUMBER(G2309),G2309,F2309))</f>
        <v/>
      </c>
      <c r="U2309" s="46">
        <f>IF(ISNUMBER(T2309),ABS(T2309),"")</f>
        <v/>
      </c>
      <c r="V2309" s="46">
        <f>IF(OR($D2308&lt;&gt;"측정",$C2308&lt;&gt;$C2309,NOT(ISNUMBER(L2309)),NOT(ISNUMBER(L2308)),(IF(ISNUMBER(G2309),G2309,F2309)-IF(ISNUMBER(G2308),G2308,F2308))=0),"",(L2309-L2308)/(IF(ISNUMBER(G2309),G2309,F2309)-IF(ISNUMBER(G2308),G2308,F2308)))</f>
        <v/>
      </c>
      <c r="W2309" s="30">
        <f>IF(NOT(AND(ISNUMBER(N2309),ISNUMBER(P2309))),"",(P2309-N2309)*1440)</f>
        <v/>
      </c>
      <c r="X2309" s="28" t="n"/>
      <c r="Y2309" s="28" t="n"/>
      <c r="Z2309" s="28" t="n"/>
      <c r="AA2309" s="31" t="n"/>
      <c r="AB2309" s="31" t="n"/>
    </row>
    <row r="2310">
      <c r="A2310" s="25" t="inlineStr">
        <is>
          <t>S45</t>
        </is>
      </c>
      <c r="B2310" s="25" t="inlineStr">
        <is>
          <t>여주</t>
        </is>
      </c>
      <c r="C2310" s="25" t="inlineStr">
        <is>
          <t>S45-H서</t>
        </is>
      </c>
      <c r="D2310" s="25" t="inlineStr">
        <is>
          <t>측정</t>
        </is>
      </c>
      <c r="E2310" s="25" t="inlineStr">
        <is>
          <t>서</t>
        </is>
      </c>
      <c r="F2310" s="30" t="n">
        <v>3</v>
      </c>
      <c r="G2310" s="29" t="n"/>
      <c r="H2310" s="42" t="n"/>
      <c r="I2310" s="40" t="n"/>
      <c r="J2310" s="40" t="n"/>
      <c r="K2310" s="40" t="n"/>
      <c r="L2310" s="30">
        <f>IF(COUNT(I2310:K2310)=0,"",MEDIAN(I2310:K2310))</f>
        <v/>
      </c>
      <c r="M2310" s="25">
        <f>IF(COUNTIFS($C:$C,$C2310,$D:$D,"P0(전)",$L:$L,"&gt;0")&lt;&gt;1,"P0(전) 유효 1개 아님",IF(COUNTIFS($C:$C,$C2310,$D:$D,"P0(후)",$L:$L,"&gt;0")&lt;&gt;1,"P0(후) 유효 1개 아님",IF(NOT(AND(ISNUMBER(N2310),ISNUMBER(P2310),ISNUMBER(H2310))),"시각 결측",IF(P2310&lt;=N2310,"P0 시각 역전",IF(OR(H2310&lt;N2310,H2310&gt;P2310),"측정시각 구간 밖","OK")))))</f>
        <v/>
      </c>
      <c r="N2310" s="45">
        <f>IF(COUNTIFS($C:$C,$C2310,$D:$D,"P0(전)",$L:$L,"&gt;0")&lt;&gt;1,"",SUMIFS($H:$H,$C:$C,$C2310,$D:$D,"P0(전)"))</f>
        <v/>
      </c>
      <c r="O2310" s="30">
        <f>IF(COUNTIFS($C:$C,$C2310,$D:$D,"P0(전)",$L:$L,"&gt;0")&lt;&gt;1,"",SUMIFS($L:$L,$C:$C,$C2310,$D:$D,"P0(전)"))</f>
        <v/>
      </c>
      <c r="P2310" s="45">
        <f>IF(COUNTIFS($C:$C,$C2310,$D:$D,"P0(후)",$L:$L,"&gt;0")&lt;&gt;1,"",SUMIFS($H:$H,$C:$C,$C2310,$D:$D,"P0(후)"))</f>
        <v/>
      </c>
      <c r="Q2310" s="30">
        <f>IF(COUNTIFS($C:$C,$C2310,$D:$D,"P0(후)",$L:$L,"&gt;0")&lt;&gt;1,"",SUMIFS($L:$L,$C:$C,$C2310,$D:$D,"P0(후)"))</f>
        <v/>
      </c>
      <c r="R2310" s="30">
        <f>IF(M2310&lt;&gt;"OK","",O2310+(Q2310-O2310)*(H2310-N2310)/(P2310-N2310))</f>
        <v/>
      </c>
      <c r="S2310" s="30">
        <f>IF(OR(M2310&lt;&gt;"OK",NOT(ISNUMBER(L2310))),"",L2310-R2310)</f>
        <v/>
      </c>
      <c r="T2310" s="46">
        <f>IF(OR(NOT(ISNUMBER(S2310)),IF(ISNUMBER(G2310),G2310,F2310)=0),"",S2310/IF(ISNUMBER(G2310),G2310,F2310))</f>
        <v/>
      </c>
      <c r="U2310" s="46">
        <f>IF(ISNUMBER(T2310),ABS(T2310),"")</f>
        <v/>
      </c>
      <c r="V2310" s="46">
        <f>IF(OR($D2309&lt;&gt;"측정",$C2309&lt;&gt;$C2310,NOT(ISNUMBER(L2310)),NOT(ISNUMBER(L2309)),(IF(ISNUMBER(G2310),G2310,F2310)-IF(ISNUMBER(G2309),G2309,F2309))=0),"",(L2310-L2309)/(IF(ISNUMBER(G2310),G2310,F2310)-IF(ISNUMBER(G2309),G2309,F2309)))</f>
        <v/>
      </c>
      <c r="W2310" s="30">
        <f>IF(NOT(AND(ISNUMBER(N2310),ISNUMBER(P2310))),"",(P2310-N2310)*1440)</f>
        <v/>
      </c>
      <c r="X2310" s="28" t="n"/>
      <c r="Y2310" s="28" t="n"/>
      <c r="Z2310" s="28" t="n"/>
      <c r="AA2310" s="31" t="n"/>
      <c r="AB2310" s="31" t="n"/>
    </row>
    <row r="2311">
      <c r="A2311" s="25" t="inlineStr">
        <is>
          <t>S45</t>
        </is>
      </c>
      <c r="B2311" s="25" t="inlineStr">
        <is>
          <t>여주</t>
        </is>
      </c>
      <c r="C2311" s="25" t="inlineStr">
        <is>
          <t>S45-H서</t>
        </is>
      </c>
      <c r="D2311" s="25" t="inlineStr">
        <is>
          <t>측정</t>
        </is>
      </c>
      <c r="E2311" s="25" t="inlineStr">
        <is>
          <t>서</t>
        </is>
      </c>
      <c r="F2311" s="30" t="n">
        <v>4</v>
      </c>
      <c r="G2311" s="29" t="n"/>
      <c r="H2311" s="42" t="n"/>
      <c r="I2311" s="40" t="n"/>
      <c r="J2311" s="40" t="n"/>
      <c r="K2311" s="40" t="n"/>
      <c r="L2311" s="30">
        <f>IF(COUNT(I2311:K2311)=0,"",MEDIAN(I2311:K2311))</f>
        <v/>
      </c>
      <c r="M2311" s="25">
        <f>IF(COUNTIFS($C:$C,$C2311,$D:$D,"P0(전)",$L:$L,"&gt;0")&lt;&gt;1,"P0(전) 유효 1개 아님",IF(COUNTIFS($C:$C,$C2311,$D:$D,"P0(후)",$L:$L,"&gt;0")&lt;&gt;1,"P0(후) 유효 1개 아님",IF(NOT(AND(ISNUMBER(N2311),ISNUMBER(P2311),ISNUMBER(H2311))),"시각 결측",IF(P2311&lt;=N2311,"P0 시각 역전",IF(OR(H2311&lt;N2311,H2311&gt;P2311),"측정시각 구간 밖","OK")))))</f>
        <v/>
      </c>
      <c r="N2311" s="45">
        <f>IF(COUNTIFS($C:$C,$C2311,$D:$D,"P0(전)",$L:$L,"&gt;0")&lt;&gt;1,"",SUMIFS($H:$H,$C:$C,$C2311,$D:$D,"P0(전)"))</f>
        <v/>
      </c>
      <c r="O2311" s="30">
        <f>IF(COUNTIFS($C:$C,$C2311,$D:$D,"P0(전)",$L:$L,"&gt;0")&lt;&gt;1,"",SUMIFS($L:$L,$C:$C,$C2311,$D:$D,"P0(전)"))</f>
        <v/>
      </c>
      <c r="P2311" s="45">
        <f>IF(COUNTIFS($C:$C,$C2311,$D:$D,"P0(후)",$L:$L,"&gt;0")&lt;&gt;1,"",SUMIFS($H:$H,$C:$C,$C2311,$D:$D,"P0(후)"))</f>
        <v/>
      </c>
      <c r="Q2311" s="30">
        <f>IF(COUNTIFS($C:$C,$C2311,$D:$D,"P0(후)",$L:$L,"&gt;0")&lt;&gt;1,"",SUMIFS($L:$L,$C:$C,$C2311,$D:$D,"P0(후)"))</f>
        <v/>
      </c>
      <c r="R2311" s="30">
        <f>IF(M2311&lt;&gt;"OK","",O2311+(Q2311-O2311)*(H2311-N2311)/(P2311-N2311))</f>
        <v/>
      </c>
      <c r="S2311" s="30">
        <f>IF(OR(M2311&lt;&gt;"OK",NOT(ISNUMBER(L2311))),"",L2311-R2311)</f>
        <v/>
      </c>
      <c r="T2311" s="46">
        <f>IF(OR(NOT(ISNUMBER(S2311)),IF(ISNUMBER(G2311),G2311,F2311)=0),"",S2311/IF(ISNUMBER(G2311),G2311,F2311))</f>
        <v/>
      </c>
      <c r="U2311" s="46">
        <f>IF(ISNUMBER(T2311),ABS(T2311),"")</f>
        <v/>
      </c>
      <c r="V2311" s="46">
        <f>IF(OR($D2310&lt;&gt;"측정",$C2310&lt;&gt;$C2311,NOT(ISNUMBER(L2311)),NOT(ISNUMBER(L2310)),(IF(ISNUMBER(G2311),G2311,F2311)-IF(ISNUMBER(G2310),G2310,F2310))=0),"",(L2311-L2310)/(IF(ISNUMBER(G2311),G2311,F2311)-IF(ISNUMBER(G2310),G2310,F2310)))</f>
        <v/>
      </c>
      <c r="W2311" s="30">
        <f>IF(NOT(AND(ISNUMBER(N2311),ISNUMBER(P2311))),"",(P2311-N2311)*1440)</f>
        <v/>
      </c>
      <c r="X2311" s="28" t="n"/>
      <c r="Y2311" s="28" t="n"/>
      <c r="Z2311" s="28" t="n"/>
      <c r="AA2311" s="31" t="n"/>
      <c r="AB2311" s="31" t="n"/>
    </row>
    <row r="2312">
      <c r="A2312" s="25" t="inlineStr">
        <is>
          <t>S45</t>
        </is>
      </c>
      <c r="B2312" s="25" t="inlineStr">
        <is>
          <t>여주</t>
        </is>
      </c>
      <c r="C2312" s="25" t="inlineStr">
        <is>
          <t>S45-H서</t>
        </is>
      </c>
      <c r="D2312" s="25" t="inlineStr">
        <is>
          <t>측정</t>
        </is>
      </c>
      <c r="E2312" s="25" t="inlineStr">
        <is>
          <t>서</t>
        </is>
      </c>
      <c r="F2312" s="30" t="n">
        <v>5</v>
      </c>
      <c r="G2312" s="29" t="n"/>
      <c r="H2312" s="42" t="n"/>
      <c r="I2312" s="40" t="n"/>
      <c r="J2312" s="40" t="n"/>
      <c r="K2312" s="40" t="n"/>
      <c r="L2312" s="30">
        <f>IF(COUNT(I2312:K2312)=0,"",MEDIAN(I2312:K2312))</f>
        <v/>
      </c>
      <c r="M2312" s="25">
        <f>IF(COUNTIFS($C:$C,$C2312,$D:$D,"P0(전)",$L:$L,"&gt;0")&lt;&gt;1,"P0(전) 유효 1개 아님",IF(COUNTIFS($C:$C,$C2312,$D:$D,"P0(후)",$L:$L,"&gt;0")&lt;&gt;1,"P0(후) 유효 1개 아님",IF(NOT(AND(ISNUMBER(N2312),ISNUMBER(P2312),ISNUMBER(H2312))),"시각 결측",IF(P2312&lt;=N2312,"P0 시각 역전",IF(OR(H2312&lt;N2312,H2312&gt;P2312),"측정시각 구간 밖","OK")))))</f>
        <v/>
      </c>
      <c r="N2312" s="45">
        <f>IF(COUNTIFS($C:$C,$C2312,$D:$D,"P0(전)",$L:$L,"&gt;0")&lt;&gt;1,"",SUMIFS($H:$H,$C:$C,$C2312,$D:$D,"P0(전)"))</f>
        <v/>
      </c>
      <c r="O2312" s="30">
        <f>IF(COUNTIFS($C:$C,$C2312,$D:$D,"P0(전)",$L:$L,"&gt;0")&lt;&gt;1,"",SUMIFS($L:$L,$C:$C,$C2312,$D:$D,"P0(전)"))</f>
        <v/>
      </c>
      <c r="P2312" s="45">
        <f>IF(COUNTIFS($C:$C,$C2312,$D:$D,"P0(후)",$L:$L,"&gt;0")&lt;&gt;1,"",SUMIFS($H:$H,$C:$C,$C2312,$D:$D,"P0(후)"))</f>
        <v/>
      </c>
      <c r="Q2312" s="30">
        <f>IF(COUNTIFS($C:$C,$C2312,$D:$D,"P0(후)",$L:$L,"&gt;0")&lt;&gt;1,"",SUMIFS($L:$L,$C:$C,$C2312,$D:$D,"P0(후)"))</f>
        <v/>
      </c>
      <c r="R2312" s="30">
        <f>IF(M2312&lt;&gt;"OK","",O2312+(Q2312-O2312)*(H2312-N2312)/(P2312-N2312))</f>
        <v/>
      </c>
      <c r="S2312" s="30">
        <f>IF(OR(M2312&lt;&gt;"OK",NOT(ISNUMBER(L2312))),"",L2312-R2312)</f>
        <v/>
      </c>
      <c r="T2312" s="46">
        <f>IF(OR(NOT(ISNUMBER(S2312)),IF(ISNUMBER(G2312),G2312,F2312)=0),"",S2312/IF(ISNUMBER(G2312),G2312,F2312))</f>
        <v/>
      </c>
      <c r="U2312" s="46">
        <f>IF(ISNUMBER(T2312),ABS(T2312),"")</f>
        <v/>
      </c>
      <c r="V2312" s="46">
        <f>IF(OR($D2311&lt;&gt;"측정",$C2311&lt;&gt;$C2312,NOT(ISNUMBER(L2312)),NOT(ISNUMBER(L2311)),(IF(ISNUMBER(G2312),G2312,F2312)-IF(ISNUMBER(G2311),G2311,F2311))=0),"",(L2312-L2311)/(IF(ISNUMBER(G2312),G2312,F2312)-IF(ISNUMBER(G2311),G2311,F2311)))</f>
        <v/>
      </c>
      <c r="W2312" s="30">
        <f>IF(NOT(AND(ISNUMBER(N2312),ISNUMBER(P2312))),"",(P2312-N2312)*1440)</f>
        <v/>
      </c>
      <c r="X2312" s="28" t="n"/>
      <c r="Y2312" s="28" t="n"/>
      <c r="Z2312" s="28" t="n"/>
      <c r="AA2312" s="31" t="n"/>
      <c r="AB2312" s="31" t="n"/>
    </row>
    <row r="2313">
      <c r="A2313" s="25" t="inlineStr">
        <is>
          <t>S45</t>
        </is>
      </c>
      <c r="B2313" s="25" t="inlineStr">
        <is>
          <t>여주</t>
        </is>
      </c>
      <c r="C2313" s="25" t="inlineStr">
        <is>
          <t>S45-H서</t>
        </is>
      </c>
      <c r="D2313" s="25" t="inlineStr">
        <is>
          <t>측정</t>
        </is>
      </c>
      <c r="E2313" s="25" t="inlineStr">
        <is>
          <t>서</t>
        </is>
      </c>
      <c r="F2313" s="30" t="n">
        <v>6</v>
      </c>
      <c r="G2313" s="29" t="n"/>
      <c r="H2313" s="42" t="n"/>
      <c r="I2313" s="40" t="n"/>
      <c r="J2313" s="40" t="n"/>
      <c r="K2313" s="40" t="n"/>
      <c r="L2313" s="30">
        <f>IF(COUNT(I2313:K2313)=0,"",MEDIAN(I2313:K2313))</f>
        <v/>
      </c>
      <c r="M2313" s="25">
        <f>IF(COUNTIFS($C:$C,$C2313,$D:$D,"P0(전)",$L:$L,"&gt;0")&lt;&gt;1,"P0(전) 유효 1개 아님",IF(COUNTIFS($C:$C,$C2313,$D:$D,"P0(후)",$L:$L,"&gt;0")&lt;&gt;1,"P0(후) 유효 1개 아님",IF(NOT(AND(ISNUMBER(N2313),ISNUMBER(P2313),ISNUMBER(H2313))),"시각 결측",IF(P2313&lt;=N2313,"P0 시각 역전",IF(OR(H2313&lt;N2313,H2313&gt;P2313),"측정시각 구간 밖","OK")))))</f>
        <v/>
      </c>
      <c r="N2313" s="45">
        <f>IF(COUNTIFS($C:$C,$C2313,$D:$D,"P0(전)",$L:$L,"&gt;0")&lt;&gt;1,"",SUMIFS($H:$H,$C:$C,$C2313,$D:$D,"P0(전)"))</f>
        <v/>
      </c>
      <c r="O2313" s="30">
        <f>IF(COUNTIFS($C:$C,$C2313,$D:$D,"P0(전)",$L:$L,"&gt;0")&lt;&gt;1,"",SUMIFS($L:$L,$C:$C,$C2313,$D:$D,"P0(전)"))</f>
        <v/>
      </c>
      <c r="P2313" s="45">
        <f>IF(COUNTIFS($C:$C,$C2313,$D:$D,"P0(후)",$L:$L,"&gt;0")&lt;&gt;1,"",SUMIFS($H:$H,$C:$C,$C2313,$D:$D,"P0(후)"))</f>
        <v/>
      </c>
      <c r="Q2313" s="30">
        <f>IF(COUNTIFS($C:$C,$C2313,$D:$D,"P0(후)",$L:$L,"&gt;0")&lt;&gt;1,"",SUMIFS($L:$L,$C:$C,$C2313,$D:$D,"P0(후)"))</f>
        <v/>
      </c>
      <c r="R2313" s="30">
        <f>IF(M2313&lt;&gt;"OK","",O2313+(Q2313-O2313)*(H2313-N2313)/(P2313-N2313))</f>
        <v/>
      </c>
      <c r="S2313" s="30">
        <f>IF(OR(M2313&lt;&gt;"OK",NOT(ISNUMBER(L2313))),"",L2313-R2313)</f>
        <v/>
      </c>
      <c r="T2313" s="46">
        <f>IF(OR(NOT(ISNUMBER(S2313)),IF(ISNUMBER(G2313),G2313,F2313)=0),"",S2313/IF(ISNUMBER(G2313),G2313,F2313))</f>
        <v/>
      </c>
      <c r="U2313" s="46">
        <f>IF(ISNUMBER(T2313),ABS(T2313),"")</f>
        <v/>
      </c>
      <c r="V2313" s="46">
        <f>IF(OR($D2312&lt;&gt;"측정",$C2312&lt;&gt;$C2313,NOT(ISNUMBER(L2313)),NOT(ISNUMBER(L2312)),(IF(ISNUMBER(G2313),G2313,F2313)-IF(ISNUMBER(G2312),G2312,F2312))=0),"",(L2313-L2312)/(IF(ISNUMBER(G2313),G2313,F2313)-IF(ISNUMBER(G2312),G2312,F2312)))</f>
        <v/>
      </c>
      <c r="W2313" s="30">
        <f>IF(NOT(AND(ISNUMBER(N2313),ISNUMBER(P2313))),"",(P2313-N2313)*1440)</f>
        <v/>
      </c>
      <c r="X2313" s="28" t="n"/>
      <c r="Y2313" s="28" t="n"/>
      <c r="Z2313" s="28" t="n"/>
      <c r="AA2313" s="31" t="n"/>
      <c r="AB2313" s="31" t="n"/>
    </row>
    <row r="2314">
      <c r="A2314" s="25" t="inlineStr">
        <is>
          <t>S45</t>
        </is>
      </c>
      <c r="B2314" s="25" t="inlineStr">
        <is>
          <t>여주</t>
        </is>
      </c>
      <c r="C2314" s="25" t="inlineStr">
        <is>
          <t>S45-H서</t>
        </is>
      </c>
      <c r="D2314" s="25" t="inlineStr">
        <is>
          <t>측정</t>
        </is>
      </c>
      <c r="E2314" s="25" t="inlineStr">
        <is>
          <t>서</t>
        </is>
      </c>
      <c r="F2314" s="30" t="n">
        <v>7</v>
      </c>
      <c r="G2314" s="29" t="n"/>
      <c r="H2314" s="42" t="n"/>
      <c r="I2314" s="40" t="n"/>
      <c r="J2314" s="40" t="n"/>
      <c r="K2314" s="40" t="n"/>
      <c r="L2314" s="30">
        <f>IF(COUNT(I2314:K2314)=0,"",MEDIAN(I2314:K2314))</f>
        <v/>
      </c>
      <c r="M2314" s="25">
        <f>IF(COUNTIFS($C:$C,$C2314,$D:$D,"P0(전)",$L:$L,"&gt;0")&lt;&gt;1,"P0(전) 유효 1개 아님",IF(COUNTIFS($C:$C,$C2314,$D:$D,"P0(후)",$L:$L,"&gt;0")&lt;&gt;1,"P0(후) 유효 1개 아님",IF(NOT(AND(ISNUMBER(N2314),ISNUMBER(P2314),ISNUMBER(H2314))),"시각 결측",IF(P2314&lt;=N2314,"P0 시각 역전",IF(OR(H2314&lt;N2314,H2314&gt;P2314),"측정시각 구간 밖","OK")))))</f>
        <v/>
      </c>
      <c r="N2314" s="45">
        <f>IF(COUNTIFS($C:$C,$C2314,$D:$D,"P0(전)",$L:$L,"&gt;0")&lt;&gt;1,"",SUMIFS($H:$H,$C:$C,$C2314,$D:$D,"P0(전)"))</f>
        <v/>
      </c>
      <c r="O2314" s="30">
        <f>IF(COUNTIFS($C:$C,$C2314,$D:$D,"P0(전)",$L:$L,"&gt;0")&lt;&gt;1,"",SUMIFS($L:$L,$C:$C,$C2314,$D:$D,"P0(전)"))</f>
        <v/>
      </c>
      <c r="P2314" s="45">
        <f>IF(COUNTIFS($C:$C,$C2314,$D:$D,"P0(후)",$L:$L,"&gt;0")&lt;&gt;1,"",SUMIFS($H:$H,$C:$C,$C2314,$D:$D,"P0(후)"))</f>
        <v/>
      </c>
      <c r="Q2314" s="30">
        <f>IF(COUNTIFS($C:$C,$C2314,$D:$D,"P0(후)",$L:$L,"&gt;0")&lt;&gt;1,"",SUMIFS($L:$L,$C:$C,$C2314,$D:$D,"P0(후)"))</f>
        <v/>
      </c>
      <c r="R2314" s="30">
        <f>IF(M2314&lt;&gt;"OK","",O2314+(Q2314-O2314)*(H2314-N2314)/(P2314-N2314))</f>
        <v/>
      </c>
      <c r="S2314" s="30">
        <f>IF(OR(M2314&lt;&gt;"OK",NOT(ISNUMBER(L2314))),"",L2314-R2314)</f>
        <v/>
      </c>
      <c r="T2314" s="46">
        <f>IF(OR(NOT(ISNUMBER(S2314)),IF(ISNUMBER(G2314),G2314,F2314)=0),"",S2314/IF(ISNUMBER(G2314),G2314,F2314))</f>
        <v/>
      </c>
      <c r="U2314" s="46">
        <f>IF(ISNUMBER(T2314),ABS(T2314),"")</f>
        <v/>
      </c>
      <c r="V2314" s="46">
        <f>IF(OR($D2313&lt;&gt;"측정",$C2313&lt;&gt;$C2314,NOT(ISNUMBER(L2314)),NOT(ISNUMBER(L2313)),(IF(ISNUMBER(G2314),G2314,F2314)-IF(ISNUMBER(G2313),G2313,F2313))=0),"",(L2314-L2313)/(IF(ISNUMBER(G2314),G2314,F2314)-IF(ISNUMBER(G2313),G2313,F2313)))</f>
        <v/>
      </c>
      <c r="W2314" s="30">
        <f>IF(NOT(AND(ISNUMBER(N2314),ISNUMBER(P2314))),"",(P2314-N2314)*1440)</f>
        <v/>
      </c>
      <c r="X2314" s="28" t="n"/>
      <c r="Y2314" s="28" t="n"/>
      <c r="Z2314" s="28" t="n"/>
      <c r="AA2314" s="31" t="n"/>
      <c r="AB2314" s="31" t="n"/>
    </row>
    <row r="2315">
      <c r="A2315" s="25" t="inlineStr">
        <is>
          <t>S45</t>
        </is>
      </c>
      <c r="B2315" s="25" t="inlineStr">
        <is>
          <t>여주</t>
        </is>
      </c>
      <c r="C2315" s="25" t="inlineStr">
        <is>
          <t>S45-H서</t>
        </is>
      </c>
      <c r="D2315" s="25" t="inlineStr">
        <is>
          <t>측정</t>
        </is>
      </c>
      <c r="E2315" s="25" t="inlineStr">
        <is>
          <t>서</t>
        </is>
      </c>
      <c r="F2315" s="30" t="n">
        <v>8</v>
      </c>
      <c r="G2315" s="29" t="n"/>
      <c r="H2315" s="42" t="n"/>
      <c r="I2315" s="40" t="n"/>
      <c r="J2315" s="40" t="n"/>
      <c r="K2315" s="40" t="n"/>
      <c r="L2315" s="30">
        <f>IF(COUNT(I2315:K2315)=0,"",MEDIAN(I2315:K2315))</f>
        <v/>
      </c>
      <c r="M2315" s="25">
        <f>IF(COUNTIFS($C:$C,$C2315,$D:$D,"P0(전)",$L:$L,"&gt;0")&lt;&gt;1,"P0(전) 유효 1개 아님",IF(COUNTIFS($C:$C,$C2315,$D:$D,"P0(후)",$L:$L,"&gt;0")&lt;&gt;1,"P0(후) 유효 1개 아님",IF(NOT(AND(ISNUMBER(N2315),ISNUMBER(P2315),ISNUMBER(H2315))),"시각 결측",IF(P2315&lt;=N2315,"P0 시각 역전",IF(OR(H2315&lt;N2315,H2315&gt;P2315),"측정시각 구간 밖","OK")))))</f>
        <v/>
      </c>
      <c r="N2315" s="45">
        <f>IF(COUNTIFS($C:$C,$C2315,$D:$D,"P0(전)",$L:$L,"&gt;0")&lt;&gt;1,"",SUMIFS($H:$H,$C:$C,$C2315,$D:$D,"P0(전)"))</f>
        <v/>
      </c>
      <c r="O2315" s="30">
        <f>IF(COUNTIFS($C:$C,$C2315,$D:$D,"P0(전)",$L:$L,"&gt;0")&lt;&gt;1,"",SUMIFS($L:$L,$C:$C,$C2315,$D:$D,"P0(전)"))</f>
        <v/>
      </c>
      <c r="P2315" s="45">
        <f>IF(COUNTIFS($C:$C,$C2315,$D:$D,"P0(후)",$L:$L,"&gt;0")&lt;&gt;1,"",SUMIFS($H:$H,$C:$C,$C2315,$D:$D,"P0(후)"))</f>
        <v/>
      </c>
      <c r="Q2315" s="30">
        <f>IF(COUNTIFS($C:$C,$C2315,$D:$D,"P0(후)",$L:$L,"&gt;0")&lt;&gt;1,"",SUMIFS($L:$L,$C:$C,$C2315,$D:$D,"P0(후)"))</f>
        <v/>
      </c>
      <c r="R2315" s="30">
        <f>IF(M2315&lt;&gt;"OK","",O2315+(Q2315-O2315)*(H2315-N2315)/(P2315-N2315))</f>
        <v/>
      </c>
      <c r="S2315" s="30">
        <f>IF(OR(M2315&lt;&gt;"OK",NOT(ISNUMBER(L2315))),"",L2315-R2315)</f>
        <v/>
      </c>
      <c r="T2315" s="46">
        <f>IF(OR(NOT(ISNUMBER(S2315)),IF(ISNUMBER(G2315),G2315,F2315)=0),"",S2315/IF(ISNUMBER(G2315),G2315,F2315))</f>
        <v/>
      </c>
      <c r="U2315" s="46">
        <f>IF(ISNUMBER(T2315),ABS(T2315),"")</f>
        <v/>
      </c>
      <c r="V2315" s="46">
        <f>IF(OR($D2314&lt;&gt;"측정",$C2314&lt;&gt;$C2315,NOT(ISNUMBER(L2315)),NOT(ISNUMBER(L2314)),(IF(ISNUMBER(G2315),G2315,F2315)-IF(ISNUMBER(G2314),G2314,F2314))=0),"",(L2315-L2314)/(IF(ISNUMBER(G2315),G2315,F2315)-IF(ISNUMBER(G2314),G2314,F2314)))</f>
        <v/>
      </c>
      <c r="W2315" s="30">
        <f>IF(NOT(AND(ISNUMBER(N2315),ISNUMBER(P2315))),"",(P2315-N2315)*1440)</f>
        <v/>
      </c>
      <c r="X2315" s="28" t="n"/>
      <c r="Y2315" s="28" t="n"/>
      <c r="Z2315" s="28" t="n"/>
      <c r="AA2315" s="31" t="n"/>
      <c r="AB2315" s="31" t="n"/>
    </row>
    <row r="2316">
      <c r="A2316" s="25" t="inlineStr">
        <is>
          <t>S45</t>
        </is>
      </c>
      <c r="B2316" s="25" t="inlineStr">
        <is>
          <t>여주</t>
        </is>
      </c>
      <c r="C2316" s="25" t="inlineStr">
        <is>
          <t>S45-H서</t>
        </is>
      </c>
      <c r="D2316" s="25" t="inlineStr">
        <is>
          <t>측정</t>
        </is>
      </c>
      <c r="E2316" s="25" t="inlineStr">
        <is>
          <t>서</t>
        </is>
      </c>
      <c r="F2316" s="30" t="n">
        <v>9</v>
      </c>
      <c r="G2316" s="29" t="n"/>
      <c r="H2316" s="42" t="n"/>
      <c r="I2316" s="40" t="n"/>
      <c r="J2316" s="40" t="n"/>
      <c r="K2316" s="40" t="n"/>
      <c r="L2316" s="30">
        <f>IF(COUNT(I2316:K2316)=0,"",MEDIAN(I2316:K2316))</f>
        <v/>
      </c>
      <c r="M2316" s="25">
        <f>IF(COUNTIFS($C:$C,$C2316,$D:$D,"P0(전)",$L:$L,"&gt;0")&lt;&gt;1,"P0(전) 유효 1개 아님",IF(COUNTIFS($C:$C,$C2316,$D:$D,"P0(후)",$L:$L,"&gt;0")&lt;&gt;1,"P0(후) 유효 1개 아님",IF(NOT(AND(ISNUMBER(N2316),ISNUMBER(P2316),ISNUMBER(H2316))),"시각 결측",IF(P2316&lt;=N2316,"P0 시각 역전",IF(OR(H2316&lt;N2316,H2316&gt;P2316),"측정시각 구간 밖","OK")))))</f>
        <v/>
      </c>
      <c r="N2316" s="45">
        <f>IF(COUNTIFS($C:$C,$C2316,$D:$D,"P0(전)",$L:$L,"&gt;0")&lt;&gt;1,"",SUMIFS($H:$H,$C:$C,$C2316,$D:$D,"P0(전)"))</f>
        <v/>
      </c>
      <c r="O2316" s="30">
        <f>IF(COUNTIFS($C:$C,$C2316,$D:$D,"P0(전)",$L:$L,"&gt;0")&lt;&gt;1,"",SUMIFS($L:$L,$C:$C,$C2316,$D:$D,"P0(전)"))</f>
        <v/>
      </c>
      <c r="P2316" s="45">
        <f>IF(COUNTIFS($C:$C,$C2316,$D:$D,"P0(후)",$L:$L,"&gt;0")&lt;&gt;1,"",SUMIFS($H:$H,$C:$C,$C2316,$D:$D,"P0(후)"))</f>
        <v/>
      </c>
      <c r="Q2316" s="30">
        <f>IF(COUNTIFS($C:$C,$C2316,$D:$D,"P0(후)",$L:$L,"&gt;0")&lt;&gt;1,"",SUMIFS($L:$L,$C:$C,$C2316,$D:$D,"P0(후)"))</f>
        <v/>
      </c>
      <c r="R2316" s="30">
        <f>IF(M2316&lt;&gt;"OK","",O2316+(Q2316-O2316)*(H2316-N2316)/(P2316-N2316))</f>
        <v/>
      </c>
      <c r="S2316" s="30">
        <f>IF(OR(M2316&lt;&gt;"OK",NOT(ISNUMBER(L2316))),"",L2316-R2316)</f>
        <v/>
      </c>
      <c r="T2316" s="46">
        <f>IF(OR(NOT(ISNUMBER(S2316)),IF(ISNUMBER(G2316),G2316,F2316)=0),"",S2316/IF(ISNUMBER(G2316),G2316,F2316))</f>
        <v/>
      </c>
      <c r="U2316" s="46">
        <f>IF(ISNUMBER(T2316),ABS(T2316),"")</f>
        <v/>
      </c>
      <c r="V2316" s="46">
        <f>IF(OR($D2315&lt;&gt;"측정",$C2315&lt;&gt;$C2316,NOT(ISNUMBER(L2316)),NOT(ISNUMBER(L2315)),(IF(ISNUMBER(G2316),G2316,F2316)-IF(ISNUMBER(G2315),G2315,F2315))=0),"",(L2316-L2315)/(IF(ISNUMBER(G2316),G2316,F2316)-IF(ISNUMBER(G2315),G2315,F2315)))</f>
        <v/>
      </c>
      <c r="W2316" s="30">
        <f>IF(NOT(AND(ISNUMBER(N2316),ISNUMBER(P2316))),"",(P2316-N2316)*1440)</f>
        <v/>
      </c>
      <c r="X2316" s="28" t="n"/>
      <c r="Y2316" s="28" t="n"/>
      <c r="Z2316" s="28" t="n"/>
      <c r="AA2316" s="31" t="n"/>
      <c r="AB2316" s="31" t="n"/>
    </row>
    <row r="2317">
      <c r="A2317" s="25" t="inlineStr">
        <is>
          <t>S45</t>
        </is>
      </c>
      <c r="B2317" s="25" t="inlineStr">
        <is>
          <t>여주</t>
        </is>
      </c>
      <c r="C2317" s="25" t="inlineStr">
        <is>
          <t>S45-H서</t>
        </is>
      </c>
      <c r="D2317" s="25" t="inlineStr">
        <is>
          <t>측정</t>
        </is>
      </c>
      <c r="E2317" s="25" t="inlineStr">
        <is>
          <t>서</t>
        </is>
      </c>
      <c r="F2317" s="30" t="n">
        <v>10</v>
      </c>
      <c r="G2317" s="29" t="n"/>
      <c r="H2317" s="42" t="n"/>
      <c r="I2317" s="40" t="n"/>
      <c r="J2317" s="40" t="n"/>
      <c r="K2317" s="40" t="n"/>
      <c r="L2317" s="30">
        <f>IF(COUNT(I2317:K2317)=0,"",MEDIAN(I2317:K2317))</f>
        <v/>
      </c>
      <c r="M2317" s="25">
        <f>IF(COUNTIFS($C:$C,$C2317,$D:$D,"P0(전)",$L:$L,"&gt;0")&lt;&gt;1,"P0(전) 유효 1개 아님",IF(COUNTIFS($C:$C,$C2317,$D:$D,"P0(후)",$L:$L,"&gt;0")&lt;&gt;1,"P0(후) 유효 1개 아님",IF(NOT(AND(ISNUMBER(N2317),ISNUMBER(P2317),ISNUMBER(H2317))),"시각 결측",IF(P2317&lt;=N2317,"P0 시각 역전",IF(OR(H2317&lt;N2317,H2317&gt;P2317),"측정시각 구간 밖","OK")))))</f>
        <v/>
      </c>
      <c r="N2317" s="45">
        <f>IF(COUNTIFS($C:$C,$C2317,$D:$D,"P0(전)",$L:$L,"&gt;0")&lt;&gt;1,"",SUMIFS($H:$H,$C:$C,$C2317,$D:$D,"P0(전)"))</f>
        <v/>
      </c>
      <c r="O2317" s="30">
        <f>IF(COUNTIFS($C:$C,$C2317,$D:$D,"P0(전)",$L:$L,"&gt;0")&lt;&gt;1,"",SUMIFS($L:$L,$C:$C,$C2317,$D:$D,"P0(전)"))</f>
        <v/>
      </c>
      <c r="P2317" s="45">
        <f>IF(COUNTIFS($C:$C,$C2317,$D:$D,"P0(후)",$L:$L,"&gt;0")&lt;&gt;1,"",SUMIFS($H:$H,$C:$C,$C2317,$D:$D,"P0(후)"))</f>
        <v/>
      </c>
      <c r="Q2317" s="30">
        <f>IF(COUNTIFS($C:$C,$C2317,$D:$D,"P0(후)",$L:$L,"&gt;0")&lt;&gt;1,"",SUMIFS($L:$L,$C:$C,$C2317,$D:$D,"P0(후)"))</f>
        <v/>
      </c>
      <c r="R2317" s="30">
        <f>IF(M2317&lt;&gt;"OK","",O2317+(Q2317-O2317)*(H2317-N2317)/(P2317-N2317))</f>
        <v/>
      </c>
      <c r="S2317" s="30">
        <f>IF(OR(M2317&lt;&gt;"OK",NOT(ISNUMBER(L2317))),"",L2317-R2317)</f>
        <v/>
      </c>
      <c r="T2317" s="46">
        <f>IF(OR(NOT(ISNUMBER(S2317)),IF(ISNUMBER(G2317),G2317,F2317)=0),"",S2317/IF(ISNUMBER(G2317),G2317,F2317))</f>
        <v/>
      </c>
      <c r="U2317" s="46">
        <f>IF(ISNUMBER(T2317),ABS(T2317),"")</f>
        <v/>
      </c>
      <c r="V2317" s="46">
        <f>IF(OR($D2316&lt;&gt;"측정",$C2316&lt;&gt;$C2317,NOT(ISNUMBER(L2317)),NOT(ISNUMBER(L2316)),(IF(ISNUMBER(G2317),G2317,F2317)-IF(ISNUMBER(G2316),G2316,F2316))=0),"",(L2317-L2316)/(IF(ISNUMBER(G2317),G2317,F2317)-IF(ISNUMBER(G2316),G2316,F2316)))</f>
        <v/>
      </c>
      <c r="W2317" s="30">
        <f>IF(NOT(AND(ISNUMBER(N2317),ISNUMBER(P2317))),"",(P2317-N2317)*1440)</f>
        <v/>
      </c>
      <c r="X2317" s="28" t="n"/>
      <c r="Y2317" s="28" t="n"/>
      <c r="Z2317" s="28" t="n"/>
      <c r="AA2317" s="31" t="n"/>
      <c r="AB2317" s="31" t="n"/>
    </row>
    <row r="2318">
      <c r="A2318" s="43" t="inlineStr">
        <is>
          <t>S45</t>
        </is>
      </c>
      <c r="B2318" s="43" t="inlineStr">
        <is>
          <t>여주</t>
        </is>
      </c>
      <c r="C2318" s="43" t="inlineStr">
        <is>
          <t>S45-H서</t>
        </is>
      </c>
      <c r="D2318" s="43" t="inlineStr">
        <is>
          <t>P0(후)</t>
        </is>
      </c>
      <c r="E2318" s="43" t="inlineStr">
        <is>
          <t>서</t>
        </is>
      </c>
      <c r="F2318" s="44" t="n"/>
      <c r="G2318" s="29" t="n"/>
      <c r="H2318" s="42" t="n"/>
      <c r="I2318" s="40" t="n"/>
      <c r="J2318" s="40" t="n"/>
      <c r="K2318" s="40" t="n"/>
      <c r="L2318" s="30">
        <f>IF(COUNT(I2318:K2318)=0,"",MEDIAN(I2318:K2318))</f>
        <v/>
      </c>
      <c r="M2318" s="37" t="n"/>
      <c r="N2318" s="37" t="n"/>
      <c r="O2318" s="37" t="n"/>
      <c r="P2318" s="37" t="n"/>
      <c r="Q2318" s="37" t="n"/>
      <c r="R2318" s="37" t="n"/>
      <c r="S2318" s="37" t="n"/>
      <c r="T2318" s="37" t="n"/>
      <c r="U2318" s="37" t="n"/>
      <c r="V2318" s="37" t="n"/>
      <c r="W2318" s="37" t="n"/>
      <c r="X2318" s="28" t="n"/>
      <c r="Y2318" s="28" t="n"/>
      <c r="Z2318" s="28" t="n"/>
      <c r="AA2318" s="31" t="n"/>
      <c r="AB2318" s="31" t="n"/>
    </row>
    <row r="2319">
      <c r="A2319" s="43" t="inlineStr">
        <is>
          <t>S45</t>
        </is>
      </c>
      <c r="B2319" s="43" t="inlineStr">
        <is>
          <t>여주</t>
        </is>
      </c>
      <c r="C2319" s="43" t="inlineStr">
        <is>
          <t>S45-H남</t>
        </is>
      </c>
      <c r="D2319" s="43" t="inlineStr">
        <is>
          <t>P0(전)</t>
        </is>
      </c>
      <c r="E2319" s="43" t="inlineStr">
        <is>
          <t>남</t>
        </is>
      </c>
      <c r="F2319" s="44" t="n"/>
      <c r="G2319" s="29" t="n"/>
      <c r="H2319" s="42" t="n"/>
      <c r="I2319" s="40" t="n"/>
      <c r="J2319" s="40" t="n"/>
      <c r="K2319" s="40" t="n"/>
      <c r="L2319" s="30">
        <f>IF(COUNT(I2319:K2319)=0,"",MEDIAN(I2319:K2319))</f>
        <v/>
      </c>
      <c r="M2319" s="37" t="n"/>
      <c r="N2319" s="37" t="n"/>
      <c r="O2319" s="37" t="n"/>
      <c r="P2319" s="37" t="n"/>
      <c r="Q2319" s="37" t="n"/>
      <c r="R2319" s="37" t="n"/>
      <c r="S2319" s="37" t="n"/>
      <c r="T2319" s="37" t="n"/>
      <c r="U2319" s="37" t="n"/>
      <c r="V2319" s="37" t="n"/>
      <c r="W2319" s="37" t="n"/>
      <c r="X2319" s="28" t="n"/>
      <c r="Y2319" s="28" t="n"/>
      <c r="Z2319" s="28" t="n"/>
      <c r="AA2319" s="31" t="n"/>
      <c r="AB2319" s="31" t="n"/>
    </row>
    <row r="2320">
      <c r="A2320" s="25" t="inlineStr">
        <is>
          <t>S45</t>
        </is>
      </c>
      <c r="B2320" s="25" t="inlineStr">
        <is>
          <t>여주</t>
        </is>
      </c>
      <c r="C2320" s="25" t="inlineStr">
        <is>
          <t>S45-H남</t>
        </is>
      </c>
      <c r="D2320" s="25" t="inlineStr">
        <is>
          <t>측정</t>
        </is>
      </c>
      <c r="E2320" s="25" t="inlineStr">
        <is>
          <t>남</t>
        </is>
      </c>
      <c r="F2320" s="30" t="n">
        <v>0.5</v>
      </c>
      <c r="G2320" s="29" t="n"/>
      <c r="H2320" s="42" t="n"/>
      <c r="I2320" s="40" t="n"/>
      <c r="J2320" s="40" t="n"/>
      <c r="K2320" s="40" t="n"/>
      <c r="L2320" s="30">
        <f>IF(COUNT(I2320:K2320)=0,"",MEDIAN(I2320:K2320))</f>
        <v/>
      </c>
      <c r="M2320" s="25">
        <f>IF(COUNTIFS($C:$C,$C2320,$D:$D,"P0(전)",$L:$L,"&gt;0")&lt;&gt;1,"P0(전) 유효 1개 아님",IF(COUNTIFS($C:$C,$C2320,$D:$D,"P0(후)",$L:$L,"&gt;0")&lt;&gt;1,"P0(후) 유효 1개 아님",IF(NOT(AND(ISNUMBER(N2320),ISNUMBER(P2320),ISNUMBER(H2320))),"시각 결측",IF(P2320&lt;=N2320,"P0 시각 역전",IF(OR(H2320&lt;N2320,H2320&gt;P2320),"측정시각 구간 밖","OK")))))</f>
        <v/>
      </c>
      <c r="N2320" s="45">
        <f>IF(COUNTIFS($C:$C,$C2320,$D:$D,"P0(전)",$L:$L,"&gt;0")&lt;&gt;1,"",SUMIFS($H:$H,$C:$C,$C2320,$D:$D,"P0(전)"))</f>
        <v/>
      </c>
      <c r="O2320" s="30">
        <f>IF(COUNTIFS($C:$C,$C2320,$D:$D,"P0(전)",$L:$L,"&gt;0")&lt;&gt;1,"",SUMIFS($L:$L,$C:$C,$C2320,$D:$D,"P0(전)"))</f>
        <v/>
      </c>
      <c r="P2320" s="45">
        <f>IF(COUNTIFS($C:$C,$C2320,$D:$D,"P0(후)",$L:$L,"&gt;0")&lt;&gt;1,"",SUMIFS($H:$H,$C:$C,$C2320,$D:$D,"P0(후)"))</f>
        <v/>
      </c>
      <c r="Q2320" s="30">
        <f>IF(COUNTIFS($C:$C,$C2320,$D:$D,"P0(후)",$L:$L,"&gt;0")&lt;&gt;1,"",SUMIFS($L:$L,$C:$C,$C2320,$D:$D,"P0(후)"))</f>
        <v/>
      </c>
      <c r="R2320" s="30">
        <f>IF(M2320&lt;&gt;"OK","",O2320+(Q2320-O2320)*(H2320-N2320)/(P2320-N2320))</f>
        <v/>
      </c>
      <c r="S2320" s="30">
        <f>IF(OR(M2320&lt;&gt;"OK",NOT(ISNUMBER(L2320))),"",L2320-R2320)</f>
        <v/>
      </c>
      <c r="T2320" s="46">
        <f>IF(OR(NOT(ISNUMBER(S2320)),IF(ISNUMBER(G2320),G2320,F2320)=0),"",S2320/IF(ISNUMBER(G2320),G2320,F2320))</f>
        <v/>
      </c>
      <c r="U2320" s="46">
        <f>IF(ISNUMBER(T2320),ABS(T2320),"")</f>
        <v/>
      </c>
      <c r="V2320" s="46">
        <f>IF(OR($D2319&lt;&gt;"측정",$C2319&lt;&gt;$C2320,NOT(ISNUMBER(L2320)),NOT(ISNUMBER(L2319)),(IF(ISNUMBER(G2320),G2320,F2320)-IF(ISNUMBER(G2319),G2319,F2319))=0),"",(L2320-L2319)/(IF(ISNUMBER(G2320),G2320,F2320)-IF(ISNUMBER(G2319),G2319,F2319)))</f>
        <v/>
      </c>
      <c r="W2320" s="30">
        <f>IF(NOT(AND(ISNUMBER(N2320),ISNUMBER(P2320))),"",(P2320-N2320)*1440)</f>
        <v/>
      </c>
      <c r="X2320" s="28" t="n"/>
      <c r="Y2320" s="28" t="n"/>
      <c r="Z2320" s="28" t="n"/>
      <c r="AA2320" s="31" t="n"/>
      <c r="AB2320" s="31" t="n"/>
    </row>
    <row r="2321">
      <c r="A2321" s="25" t="inlineStr">
        <is>
          <t>S45</t>
        </is>
      </c>
      <c r="B2321" s="25" t="inlineStr">
        <is>
          <t>여주</t>
        </is>
      </c>
      <c r="C2321" s="25" t="inlineStr">
        <is>
          <t>S45-H남</t>
        </is>
      </c>
      <c r="D2321" s="25" t="inlineStr">
        <is>
          <t>측정</t>
        </is>
      </c>
      <c r="E2321" s="25" t="inlineStr">
        <is>
          <t>남</t>
        </is>
      </c>
      <c r="F2321" s="30" t="n">
        <v>1</v>
      </c>
      <c r="G2321" s="29" t="n"/>
      <c r="H2321" s="42" t="n"/>
      <c r="I2321" s="40" t="n"/>
      <c r="J2321" s="40" t="n"/>
      <c r="K2321" s="40" t="n"/>
      <c r="L2321" s="30">
        <f>IF(COUNT(I2321:K2321)=0,"",MEDIAN(I2321:K2321))</f>
        <v/>
      </c>
      <c r="M2321" s="25">
        <f>IF(COUNTIFS($C:$C,$C2321,$D:$D,"P0(전)",$L:$L,"&gt;0")&lt;&gt;1,"P0(전) 유효 1개 아님",IF(COUNTIFS($C:$C,$C2321,$D:$D,"P0(후)",$L:$L,"&gt;0")&lt;&gt;1,"P0(후) 유효 1개 아님",IF(NOT(AND(ISNUMBER(N2321),ISNUMBER(P2321),ISNUMBER(H2321))),"시각 결측",IF(P2321&lt;=N2321,"P0 시각 역전",IF(OR(H2321&lt;N2321,H2321&gt;P2321),"측정시각 구간 밖","OK")))))</f>
        <v/>
      </c>
      <c r="N2321" s="45">
        <f>IF(COUNTIFS($C:$C,$C2321,$D:$D,"P0(전)",$L:$L,"&gt;0")&lt;&gt;1,"",SUMIFS($H:$H,$C:$C,$C2321,$D:$D,"P0(전)"))</f>
        <v/>
      </c>
      <c r="O2321" s="30">
        <f>IF(COUNTIFS($C:$C,$C2321,$D:$D,"P0(전)",$L:$L,"&gt;0")&lt;&gt;1,"",SUMIFS($L:$L,$C:$C,$C2321,$D:$D,"P0(전)"))</f>
        <v/>
      </c>
      <c r="P2321" s="45">
        <f>IF(COUNTIFS($C:$C,$C2321,$D:$D,"P0(후)",$L:$L,"&gt;0")&lt;&gt;1,"",SUMIFS($H:$H,$C:$C,$C2321,$D:$D,"P0(후)"))</f>
        <v/>
      </c>
      <c r="Q2321" s="30">
        <f>IF(COUNTIFS($C:$C,$C2321,$D:$D,"P0(후)",$L:$L,"&gt;0")&lt;&gt;1,"",SUMIFS($L:$L,$C:$C,$C2321,$D:$D,"P0(후)"))</f>
        <v/>
      </c>
      <c r="R2321" s="30">
        <f>IF(M2321&lt;&gt;"OK","",O2321+(Q2321-O2321)*(H2321-N2321)/(P2321-N2321))</f>
        <v/>
      </c>
      <c r="S2321" s="30">
        <f>IF(OR(M2321&lt;&gt;"OK",NOT(ISNUMBER(L2321))),"",L2321-R2321)</f>
        <v/>
      </c>
      <c r="T2321" s="46">
        <f>IF(OR(NOT(ISNUMBER(S2321)),IF(ISNUMBER(G2321),G2321,F2321)=0),"",S2321/IF(ISNUMBER(G2321),G2321,F2321))</f>
        <v/>
      </c>
      <c r="U2321" s="46">
        <f>IF(ISNUMBER(T2321),ABS(T2321),"")</f>
        <v/>
      </c>
      <c r="V2321" s="46">
        <f>IF(OR($D2320&lt;&gt;"측정",$C2320&lt;&gt;$C2321,NOT(ISNUMBER(L2321)),NOT(ISNUMBER(L2320)),(IF(ISNUMBER(G2321),G2321,F2321)-IF(ISNUMBER(G2320),G2320,F2320))=0),"",(L2321-L2320)/(IF(ISNUMBER(G2321),G2321,F2321)-IF(ISNUMBER(G2320),G2320,F2320)))</f>
        <v/>
      </c>
      <c r="W2321" s="30">
        <f>IF(NOT(AND(ISNUMBER(N2321),ISNUMBER(P2321))),"",(P2321-N2321)*1440)</f>
        <v/>
      </c>
      <c r="X2321" s="28" t="n"/>
      <c r="Y2321" s="28" t="n"/>
      <c r="Z2321" s="28" t="n"/>
      <c r="AA2321" s="31" t="n"/>
      <c r="AB2321" s="31" t="n"/>
    </row>
    <row r="2322">
      <c r="A2322" s="25" t="inlineStr">
        <is>
          <t>S45</t>
        </is>
      </c>
      <c r="B2322" s="25" t="inlineStr">
        <is>
          <t>여주</t>
        </is>
      </c>
      <c r="C2322" s="25" t="inlineStr">
        <is>
          <t>S45-H남</t>
        </is>
      </c>
      <c r="D2322" s="25" t="inlineStr">
        <is>
          <t>측정</t>
        </is>
      </c>
      <c r="E2322" s="25" t="inlineStr">
        <is>
          <t>남</t>
        </is>
      </c>
      <c r="F2322" s="30" t="n">
        <v>2</v>
      </c>
      <c r="G2322" s="29" t="n"/>
      <c r="H2322" s="42" t="n"/>
      <c r="I2322" s="40" t="n"/>
      <c r="J2322" s="40" t="n"/>
      <c r="K2322" s="40" t="n"/>
      <c r="L2322" s="30">
        <f>IF(COUNT(I2322:K2322)=0,"",MEDIAN(I2322:K2322))</f>
        <v/>
      </c>
      <c r="M2322" s="25">
        <f>IF(COUNTIFS($C:$C,$C2322,$D:$D,"P0(전)",$L:$L,"&gt;0")&lt;&gt;1,"P0(전) 유효 1개 아님",IF(COUNTIFS($C:$C,$C2322,$D:$D,"P0(후)",$L:$L,"&gt;0")&lt;&gt;1,"P0(후) 유효 1개 아님",IF(NOT(AND(ISNUMBER(N2322),ISNUMBER(P2322),ISNUMBER(H2322))),"시각 결측",IF(P2322&lt;=N2322,"P0 시각 역전",IF(OR(H2322&lt;N2322,H2322&gt;P2322),"측정시각 구간 밖","OK")))))</f>
        <v/>
      </c>
      <c r="N2322" s="45">
        <f>IF(COUNTIFS($C:$C,$C2322,$D:$D,"P0(전)",$L:$L,"&gt;0")&lt;&gt;1,"",SUMIFS($H:$H,$C:$C,$C2322,$D:$D,"P0(전)"))</f>
        <v/>
      </c>
      <c r="O2322" s="30">
        <f>IF(COUNTIFS($C:$C,$C2322,$D:$D,"P0(전)",$L:$L,"&gt;0")&lt;&gt;1,"",SUMIFS($L:$L,$C:$C,$C2322,$D:$D,"P0(전)"))</f>
        <v/>
      </c>
      <c r="P2322" s="45">
        <f>IF(COUNTIFS($C:$C,$C2322,$D:$D,"P0(후)",$L:$L,"&gt;0")&lt;&gt;1,"",SUMIFS($H:$H,$C:$C,$C2322,$D:$D,"P0(후)"))</f>
        <v/>
      </c>
      <c r="Q2322" s="30">
        <f>IF(COUNTIFS($C:$C,$C2322,$D:$D,"P0(후)",$L:$L,"&gt;0")&lt;&gt;1,"",SUMIFS($L:$L,$C:$C,$C2322,$D:$D,"P0(후)"))</f>
        <v/>
      </c>
      <c r="R2322" s="30">
        <f>IF(M2322&lt;&gt;"OK","",O2322+(Q2322-O2322)*(H2322-N2322)/(P2322-N2322))</f>
        <v/>
      </c>
      <c r="S2322" s="30">
        <f>IF(OR(M2322&lt;&gt;"OK",NOT(ISNUMBER(L2322))),"",L2322-R2322)</f>
        <v/>
      </c>
      <c r="T2322" s="46">
        <f>IF(OR(NOT(ISNUMBER(S2322)),IF(ISNUMBER(G2322),G2322,F2322)=0),"",S2322/IF(ISNUMBER(G2322),G2322,F2322))</f>
        <v/>
      </c>
      <c r="U2322" s="46">
        <f>IF(ISNUMBER(T2322),ABS(T2322),"")</f>
        <v/>
      </c>
      <c r="V2322" s="46">
        <f>IF(OR($D2321&lt;&gt;"측정",$C2321&lt;&gt;$C2322,NOT(ISNUMBER(L2322)),NOT(ISNUMBER(L2321)),(IF(ISNUMBER(G2322),G2322,F2322)-IF(ISNUMBER(G2321),G2321,F2321))=0),"",(L2322-L2321)/(IF(ISNUMBER(G2322),G2322,F2322)-IF(ISNUMBER(G2321),G2321,F2321)))</f>
        <v/>
      </c>
      <c r="W2322" s="30">
        <f>IF(NOT(AND(ISNUMBER(N2322),ISNUMBER(P2322))),"",(P2322-N2322)*1440)</f>
        <v/>
      </c>
      <c r="X2322" s="28" t="n"/>
      <c r="Y2322" s="28" t="n"/>
      <c r="Z2322" s="28" t="n"/>
      <c r="AA2322" s="31" t="n"/>
      <c r="AB2322" s="31" t="n"/>
    </row>
    <row r="2323">
      <c r="A2323" s="25" t="inlineStr">
        <is>
          <t>S45</t>
        </is>
      </c>
      <c r="B2323" s="25" t="inlineStr">
        <is>
          <t>여주</t>
        </is>
      </c>
      <c r="C2323" s="25" t="inlineStr">
        <is>
          <t>S45-H남</t>
        </is>
      </c>
      <c r="D2323" s="25" t="inlineStr">
        <is>
          <t>측정</t>
        </is>
      </c>
      <c r="E2323" s="25" t="inlineStr">
        <is>
          <t>남</t>
        </is>
      </c>
      <c r="F2323" s="30" t="n">
        <v>3</v>
      </c>
      <c r="G2323" s="29" t="n"/>
      <c r="H2323" s="42" t="n"/>
      <c r="I2323" s="40" t="n"/>
      <c r="J2323" s="40" t="n"/>
      <c r="K2323" s="40" t="n"/>
      <c r="L2323" s="30">
        <f>IF(COUNT(I2323:K2323)=0,"",MEDIAN(I2323:K2323))</f>
        <v/>
      </c>
      <c r="M2323" s="25">
        <f>IF(COUNTIFS($C:$C,$C2323,$D:$D,"P0(전)",$L:$L,"&gt;0")&lt;&gt;1,"P0(전) 유효 1개 아님",IF(COUNTIFS($C:$C,$C2323,$D:$D,"P0(후)",$L:$L,"&gt;0")&lt;&gt;1,"P0(후) 유효 1개 아님",IF(NOT(AND(ISNUMBER(N2323),ISNUMBER(P2323),ISNUMBER(H2323))),"시각 결측",IF(P2323&lt;=N2323,"P0 시각 역전",IF(OR(H2323&lt;N2323,H2323&gt;P2323),"측정시각 구간 밖","OK")))))</f>
        <v/>
      </c>
      <c r="N2323" s="45">
        <f>IF(COUNTIFS($C:$C,$C2323,$D:$D,"P0(전)",$L:$L,"&gt;0")&lt;&gt;1,"",SUMIFS($H:$H,$C:$C,$C2323,$D:$D,"P0(전)"))</f>
        <v/>
      </c>
      <c r="O2323" s="30">
        <f>IF(COUNTIFS($C:$C,$C2323,$D:$D,"P0(전)",$L:$L,"&gt;0")&lt;&gt;1,"",SUMIFS($L:$L,$C:$C,$C2323,$D:$D,"P0(전)"))</f>
        <v/>
      </c>
      <c r="P2323" s="45">
        <f>IF(COUNTIFS($C:$C,$C2323,$D:$D,"P0(후)",$L:$L,"&gt;0")&lt;&gt;1,"",SUMIFS($H:$H,$C:$C,$C2323,$D:$D,"P0(후)"))</f>
        <v/>
      </c>
      <c r="Q2323" s="30">
        <f>IF(COUNTIFS($C:$C,$C2323,$D:$D,"P0(후)",$L:$L,"&gt;0")&lt;&gt;1,"",SUMIFS($L:$L,$C:$C,$C2323,$D:$D,"P0(후)"))</f>
        <v/>
      </c>
      <c r="R2323" s="30">
        <f>IF(M2323&lt;&gt;"OK","",O2323+(Q2323-O2323)*(H2323-N2323)/(P2323-N2323))</f>
        <v/>
      </c>
      <c r="S2323" s="30">
        <f>IF(OR(M2323&lt;&gt;"OK",NOT(ISNUMBER(L2323))),"",L2323-R2323)</f>
        <v/>
      </c>
      <c r="T2323" s="46">
        <f>IF(OR(NOT(ISNUMBER(S2323)),IF(ISNUMBER(G2323),G2323,F2323)=0),"",S2323/IF(ISNUMBER(G2323),G2323,F2323))</f>
        <v/>
      </c>
      <c r="U2323" s="46">
        <f>IF(ISNUMBER(T2323),ABS(T2323),"")</f>
        <v/>
      </c>
      <c r="V2323" s="46">
        <f>IF(OR($D2322&lt;&gt;"측정",$C2322&lt;&gt;$C2323,NOT(ISNUMBER(L2323)),NOT(ISNUMBER(L2322)),(IF(ISNUMBER(G2323),G2323,F2323)-IF(ISNUMBER(G2322),G2322,F2322))=0),"",(L2323-L2322)/(IF(ISNUMBER(G2323),G2323,F2323)-IF(ISNUMBER(G2322),G2322,F2322)))</f>
        <v/>
      </c>
      <c r="W2323" s="30">
        <f>IF(NOT(AND(ISNUMBER(N2323),ISNUMBER(P2323))),"",(P2323-N2323)*1440)</f>
        <v/>
      </c>
      <c r="X2323" s="28" t="n"/>
      <c r="Y2323" s="28" t="n"/>
      <c r="Z2323" s="28" t="n"/>
      <c r="AA2323" s="31" t="n"/>
      <c r="AB2323" s="31" t="n"/>
    </row>
    <row r="2324">
      <c r="A2324" s="25" t="inlineStr">
        <is>
          <t>S45</t>
        </is>
      </c>
      <c r="B2324" s="25" t="inlineStr">
        <is>
          <t>여주</t>
        </is>
      </c>
      <c r="C2324" s="25" t="inlineStr">
        <is>
          <t>S45-H남</t>
        </is>
      </c>
      <c r="D2324" s="25" t="inlineStr">
        <is>
          <t>측정</t>
        </is>
      </c>
      <c r="E2324" s="25" t="inlineStr">
        <is>
          <t>남</t>
        </is>
      </c>
      <c r="F2324" s="30" t="n">
        <v>4</v>
      </c>
      <c r="G2324" s="29" t="n"/>
      <c r="H2324" s="42" t="n"/>
      <c r="I2324" s="40" t="n"/>
      <c r="J2324" s="40" t="n"/>
      <c r="K2324" s="40" t="n"/>
      <c r="L2324" s="30">
        <f>IF(COUNT(I2324:K2324)=0,"",MEDIAN(I2324:K2324))</f>
        <v/>
      </c>
      <c r="M2324" s="25">
        <f>IF(COUNTIFS($C:$C,$C2324,$D:$D,"P0(전)",$L:$L,"&gt;0")&lt;&gt;1,"P0(전) 유효 1개 아님",IF(COUNTIFS($C:$C,$C2324,$D:$D,"P0(후)",$L:$L,"&gt;0")&lt;&gt;1,"P0(후) 유효 1개 아님",IF(NOT(AND(ISNUMBER(N2324),ISNUMBER(P2324),ISNUMBER(H2324))),"시각 결측",IF(P2324&lt;=N2324,"P0 시각 역전",IF(OR(H2324&lt;N2324,H2324&gt;P2324),"측정시각 구간 밖","OK")))))</f>
        <v/>
      </c>
      <c r="N2324" s="45">
        <f>IF(COUNTIFS($C:$C,$C2324,$D:$D,"P0(전)",$L:$L,"&gt;0")&lt;&gt;1,"",SUMIFS($H:$H,$C:$C,$C2324,$D:$D,"P0(전)"))</f>
        <v/>
      </c>
      <c r="O2324" s="30">
        <f>IF(COUNTIFS($C:$C,$C2324,$D:$D,"P0(전)",$L:$L,"&gt;0")&lt;&gt;1,"",SUMIFS($L:$L,$C:$C,$C2324,$D:$D,"P0(전)"))</f>
        <v/>
      </c>
      <c r="P2324" s="45">
        <f>IF(COUNTIFS($C:$C,$C2324,$D:$D,"P0(후)",$L:$L,"&gt;0")&lt;&gt;1,"",SUMIFS($H:$H,$C:$C,$C2324,$D:$D,"P0(후)"))</f>
        <v/>
      </c>
      <c r="Q2324" s="30">
        <f>IF(COUNTIFS($C:$C,$C2324,$D:$D,"P0(후)",$L:$L,"&gt;0")&lt;&gt;1,"",SUMIFS($L:$L,$C:$C,$C2324,$D:$D,"P0(후)"))</f>
        <v/>
      </c>
      <c r="R2324" s="30">
        <f>IF(M2324&lt;&gt;"OK","",O2324+(Q2324-O2324)*(H2324-N2324)/(P2324-N2324))</f>
        <v/>
      </c>
      <c r="S2324" s="30">
        <f>IF(OR(M2324&lt;&gt;"OK",NOT(ISNUMBER(L2324))),"",L2324-R2324)</f>
        <v/>
      </c>
      <c r="T2324" s="46">
        <f>IF(OR(NOT(ISNUMBER(S2324)),IF(ISNUMBER(G2324),G2324,F2324)=0),"",S2324/IF(ISNUMBER(G2324),G2324,F2324))</f>
        <v/>
      </c>
      <c r="U2324" s="46">
        <f>IF(ISNUMBER(T2324),ABS(T2324),"")</f>
        <v/>
      </c>
      <c r="V2324" s="46">
        <f>IF(OR($D2323&lt;&gt;"측정",$C2323&lt;&gt;$C2324,NOT(ISNUMBER(L2324)),NOT(ISNUMBER(L2323)),(IF(ISNUMBER(G2324),G2324,F2324)-IF(ISNUMBER(G2323),G2323,F2323))=0),"",(L2324-L2323)/(IF(ISNUMBER(G2324),G2324,F2324)-IF(ISNUMBER(G2323),G2323,F2323)))</f>
        <v/>
      </c>
      <c r="W2324" s="30">
        <f>IF(NOT(AND(ISNUMBER(N2324),ISNUMBER(P2324))),"",(P2324-N2324)*1440)</f>
        <v/>
      </c>
      <c r="X2324" s="28" t="n"/>
      <c r="Y2324" s="28" t="n"/>
      <c r="Z2324" s="28" t="n"/>
      <c r="AA2324" s="31" t="n"/>
      <c r="AB2324" s="31" t="n"/>
    </row>
    <row r="2325">
      <c r="A2325" s="25" t="inlineStr">
        <is>
          <t>S45</t>
        </is>
      </c>
      <c r="B2325" s="25" t="inlineStr">
        <is>
          <t>여주</t>
        </is>
      </c>
      <c r="C2325" s="25" t="inlineStr">
        <is>
          <t>S45-H남</t>
        </is>
      </c>
      <c r="D2325" s="25" t="inlineStr">
        <is>
          <t>측정</t>
        </is>
      </c>
      <c r="E2325" s="25" t="inlineStr">
        <is>
          <t>남</t>
        </is>
      </c>
      <c r="F2325" s="30" t="n">
        <v>5</v>
      </c>
      <c r="G2325" s="29" t="n"/>
      <c r="H2325" s="42" t="n"/>
      <c r="I2325" s="40" t="n"/>
      <c r="J2325" s="40" t="n"/>
      <c r="K2325" s="40" t="n"/>
      <c r="L2325" s="30">
        <f>IF(COUNT(I2325:K2325)=0,"",MEDIAN(I2325:K2325))</f>
        <v/>
      </c>
      <c r="M2325" s="25">
        <f>IF(COUNTIFS($C:$C,$C2325,$D:$D,"P0(전)",$L:$L,"&gt;0")&lt;&gt;1,"P0(전) 유효 1개 아님",IF(COUNTIFS($C:$C,$C2325,$D:$D,"P0(후)",$L:$L,"&gt;0")&lt;&gt;1,"P0(후) 유효 1개 아님",IF(NOT(AND(ISNUMBER(N2325),ISNUMBER(P2325),ISNUMBER(H2325))),"시각 결측",IF(P2325&lt;=N2325,"P0 시각 역전",IF(OR(H2325&lt;N2325,H2325&gt;P2325),"측정시각 구간 밖","OK")))))</f>
        <v/>
      </c>
      <c r="N2325" s="45">
        <f>IF(COUNTIFS($C:$C,$C2325,$D:$D,"P0(전)",$L:$L,"&gt;0")&lt;&gt;1,"",SUMIFS($H:$H,$C:$C,$C2325,$D:$D,"P0(전)"))</f>
        <v/>
      </c>
      <c r="O2325" s="30">
        <f>IF(COUNTIFS($C:$C,$C2325,$D:$D,"P0(전)",$L:$L,"&gt;0")&lt;&gt;1,"",SUMIFS($L:$L,$C:$C,$C2325,$D:$D,"P0(전)"))</f>
        <v/>
      </c>
      <c r="P2325" s="45">
        <f>IF(COUNTIFS($C:$C,$C2325,$D:$D,"P0(후)",$L:$L,"&gt;0")&lt;&gt;1,"",SUMIFS($H:$H,$C:$C,$C2325,$D:$D,"P0(후)"))</f>
        <v/>
      </c>
      <c r="Q2325" s="30">
        <f>IF(COUNTIFS($C:$C,$C2325,$D:$D,"P0(후)",$L:$L,"&gt;0")&lt;&gt;1,"",SUMIFS($L:$L,$C:$C,$C2325,$D:$D,"P0(후)"))</f>
        <v/>
      </c>
      <c r="R2325" s="30">
        <f>IF(M2325&lt;&gt;"OK","",O2325+(Q2325-O2325)*(H2325-N2325)/(P2325-N2325))</f>
        <v/>
      </c>
      <c r="S2325" s="30">
        <f>IF(OR(M2325&lt;&gt;"OK",NOT(ISNUMBER(L2325))),"",L2325-R2325)</f>
        <v/>
      </c>
      <c r="T2325" s="46">
        <f>IF(OR(NOT(ISNUMBER(S2325)),IF(ISNUMBER(G2325),G2325,F2325)=0),"",S2325/IF(ISNUMBER(G2325),G2325,F2325))</f>
        <v/>
      </c>
      <c r="U2325" s="46">
        <f>IF(ISNUMBER(T2325),ABS(T2325),"")</f>
        <v/>
      </c>
      <c r="V2325" s="46">
        <f>IF(OR($D2324&lt;&gt;"측정",$C2324&lt;&gt;$C2325,NOT(ISNUMBER(L2325)),NOT(ISNUMBER(L2324)),(IF(ISNUMBER(G2325),G2325,F2325)-IF(ISNUMBER(G2324),G2324,F2324))=0),"",(L2325-L2324)/(IF(ISNUMBER(G2325),G2325,F2325)-IF(ISNUMBER(G2324),G2324,F2324)))</f>
        <v/>
      </c>
      <c r="W2325" s="30">
        <f>IF(NOT(AND(ISNUMBER(N2325),ISNUMBER(P2325))),"",(P2325-N2325)*1440)</f>
        <v/>
      </c>
      <c r="X2325" s="28" t="n"/>
      <c r="Y2325" s="28" t="n"/>
      <c r="Z2325" s="28" t="n"/>
      <c r="AA2325" s="31" t="n"/>
      <c r="AB2325" s="31" t="n"/>
    </row>
    <row r="2326">
      <c r="A2326" s="25" t="inlineStr">
        <is>
          <t>S45</t>
        </is>
      </c>
      <c r="B2326" s="25" t="inlineStr">
        <is>
          <t>여주</t>
        </is>
      </c>
      <c r="C2326" s="25" t="inlineStr">
        <is>
          <t>S45-H남</t>
        </is>
      </c>
      <c r="D2326" s="25" t="inlineStr">
        <is>
          <t>측정</t>
        </is>
      </c>
      <c r="E2326" s="25" t="inlineStr">
        <is>
          <t>남</t>
        </is>
      </c>
      <c r="F2326" s="30" t="n">
        <v>6</v>
      </c>
      <c r="G2326" s="29" t="n"/>
      <c r="H2326" s="42" t="n"/>
      <c r="I2326" s="40" t="n"/>
      <c r="J2326" s="40" t="n"/>
      <c r="K2326" s="40" t="n"/>
      <c r="L2326" s="30">
        <f>IF(COUNT(I2326:K2326)=0,"",MEDIAN(I2326:K2326))</f>
        <v/>
      </c>
      <c r="M2326" s="25">
        <f>IF(COUNTIFS($C:$C,$C2326,$D:$D,"P0(전)",$L:$L,"&gt;0")&lt;&gt;1,"P0(전) 유효 1개 아님",IF(COUNTIFS($C:$C,$C2326,$D:$D,"P0(후)",$L:$L,"&gt;0")&lt;&gt;1,"P0(후) 유효 1개 아님",IF(NOT(AND(ISNUMBER(N2326),ISNUMBER(P2326),ISNUMBER(H2326))),"시각 결측",IF(P2326&lt;=N2326,"P0 시각 역전",IF(OR(H2326&lt;N2326,H2326&gt;P2326),"측정시각 구간 밖","OK")))))</f>
        <v/>
      </c>
      <c r="N2326" s="45">
        <f>IF(COUNTIFS($C:$C,$C2326,$D:$D,"P0(전)",$L:$L,"&gt;0")&lt;&gt;1,"",SUMIFS($H:$H,$C:$C,$C2326,$D:$D,"P0(전)"))</f>
        <v/>
      </c>
      <c r="O2326" s="30">
        <f>IF(COUNTIFS($C:$C,$C2326,$D:$D,"P0(전)",$L:$L,"&gt;0")&lt;&gt;1,"",SUMIFS($L:$L,$C:$C,$C2326,$D:$D,"P0(전)"))</f>
        <v/>
      </c>
      <c r="P2326" s="45">
        <f>IF(COUNTIFS($C:$C,$C2326,$D:$D,"P0(후)",$L:$L,"&gt;0")&lt;&gt;1,"",SUMIFS($H:$H,$C:$C,$C2326,$D:$D,"P0(후)"))</f>
        <v/>
      </c>
      <c r="Q2326" s="30">
        <f>IF(COUNTIFS($C:$C,$C2326,$D:$D,"P0(후)",$L:$L,"&gt;0")&lt;&gt;1,"",SUMIFS($L:$L,$C:$C,$C2326,$D:$D,"P0(후)"))</f>
        <v/>
      </c>
      <c r="R2326" s="30">
        <f>IF(M2326&lt;&gt;"OK","",O2326+(Q2326-O2326)*(H2326-N2326)/(P2326-N2326))</f>
        <v/>
      </c>
      <c r="S2326" s="30">
        <f>IF(OR(M2326&lt;&gt;"OK",NOT(ISNUMBER(L2326))),"",L2326-R2326)</f>
        <v/>
      </c>
      <c r="T2326" s="46">
        <f>IF(OR(NOT(ISNUMBER(S2326)),IF(ISNUMBER(G2326),G2326,F2326)=0),"",S2326/IF(ISNUMBER(G2326),G2326,F2326))</f>
        <v/>
      </c>
      <c r="U2326" s="46">
        <f>IF(ISNUMBER(T2326),ABS(T2326),"")</f>
        <v/>
      </c>
      <c r="V2326" s="46">
        <f>IF(OR($D2325&lt;&gt;"측정",$C2325&lt;&gt;$C2326,NOT(ISNUMBER(L2326)),NOT(ISNUMBER(L2325)),(IF(ISNUMBER(G2326),G2326,F2326)-IF(ISNUMBER(G2325),G2325,F2325))=0),"",(L2326-L2325)/(IF(ISNUMBER(G2326),G2326,F2326)-IF(ISNUMBER(G2325),G2325,F2325)))</f>
        <v/>
      </c>
      <c r="W2326" s="30">
        <f>IF(NOT(AND(ISNUMBER(N2326),ISNUMBER(P2326))),"",(P2326-N2326)*1440)</f>
        <v/>
      </c>
      <c r="X2326" s="28" t="n"/>
      <c r="Y2326" s="28" t="n"/>
      <c r="Z2326" s="28" t="n"/>
      <c r="AA2326" s="31" t="n"/>
      <c r="AB2326" s="31" t="n"/>
    </row>
    <row r="2327">
      <c r="A2327" s="25" t="inlineStr">
        <is>
          <t>S45</t>
        </is>
      </c>
      <c r="B2327" s="25" t="inlineStr">
        <is>
          <t>여주</t>
        </is>
      </c>
      <c r="C2327" s="25" t="inlineStr">
        <is>
          <t>S45-H남</t>
        </is>
      </c>
      <c r="D2327" s="25" t="inlineStr">
        <is>
          <t>측정</t>
        </is>
      </c>
      <c r="E2327" s="25" t="inlineStr">
        <is>
          <t>남</t>
        </is>
      </c>
      <c r="F2327" s="30" t="n">
        <v>7</v>
      </c>
      <c r="G2327" s="29" t="n"/>
      <c r="H2327" s="42" t="n"/>
      <c r="I2327" s="40" t="n"/>
      <c r="J2327" s="40" t="n"/>
      <c r="K2327" s="40" t="n"/>
      <c r="L2327" s="30">
        <f>IF(COUNT(I2327:K2327)=0,"",MEDIAN(I2327:K2327))</f>
        <v/>
      </c>
      <c r="M2327" s="25">
        <f>IF(COUNTIFS($C:$C,$C2327,$D:$D,"P0(전)",$L:$L,"&gt;0")&lt;&gt;1,"P0(전) 유효 1개 아님",IF(COUNTIFS($C:$C,$C2327,$D:$D,"P0(후)",$L:$L,"&gt;0")&lt;&gt;1,"P0(후) 유효 1개 아님",IF(NOT(AND(ISNUMBER(N2327),ISNUMBER(P2327),ISNUMBER(H2327))),"시각 결측",IF(P2327&lt;=N2327,"P0 시각 역전",IF(OR(H2327&lt;N2327,H2327&gt;P2327),"측정시각 구간 밖","OK")))))</f>
        <v/>
      </c>
      <c r="N2327" s="45">
        <f>IF(COUNTIFS($C:$C,$C2327,$D:$D,"P0(전)",$L:$L,"&gt;0")&lt;&gt;1,"",SUMIFS($H:$H,$C:$C,$C2327,$D:$D,"P0(전)"))</f>
        <v/>
      </c>
      <c r="O2327" s="30">
        <f>IF(COUNTIFS($C:$C,$C2327,$D:$D,"P0(전)",$L:$L,"&gt;0")&lt;&gt;1,"",SUMIFS($L:$L,$C:$C,$C2327,$D:$D,"P0(전)"))</f>
        <v/>
      </c>
      <c r="P2327" s="45">
        <f>IF(COUNTIFS($C:$C,$C2327,$D:$D,"P0(후)",$L:$L,"&gt;0")&lt;&gt;1,"",SUMIFS($H:$H,$C:$C,$C2327,$D:$D,"P0(후)"))</f>
        <v/>
      </c>
      <c r="Q2327" s="30">
        <f>IF(COUNTIFS($C:$C,$C2327,$D:$D,"P0(후)",$L:$L,"&gt;0")&lt;&gt;1,"",SUMIFS($L:$L,$C:$C,$C2327,$D:$D,"P0(후)"))</f>
        <v/>
      </c>
      <c r="R2327" s="30">
        <f>IF(M2327&lt;&gt;"OK","",O2327+(Q2327-O2327)*(H2327-N2327)/(P2327-N2327))</f>
        <v/>
      </c>
      <c r="S2327" s="30">
        <f>IF(OR(M2327&lt;&gt;"OK",NOT(ISNUMBER(L2327))),"",L2327-R2327)</f>
        <v/>
      </c>
      <c r="T2327" s="46">
        <f>IF(OR(NOT(ISNUMBER(S2327)),IF(ISNUMBER(G2327),G2327,F2327)=0),"",S2327/IF(ISNUMBER(G2327),G2327,F2327))</f>
        <v/>
      </c>
      <c r="U2327" s="46">
        <f>IF(ISNUMBER(T2327),ABS(T2327),"")</f>
        <v/>
      </c>
      <c r="V2327" s="46">
        <f>IF(OR($D2326&lt;&gt;"측정",$C2326&lt;&gt;$C2327,NOT(ISNUMBER(L2327)),NOT(ISNUMBER(L2326)),(IF(ISNUMBER(G2327),G2327,F2327)-IF(ISNUMBER(G2326),G2326,F2326))=0),"",(L2327-L2326)/(IF(ISNUMBER(G2327),G2327,F2327)-IF(ISNUMBER(G2326),G2326,F2326)))</f>
        <v/>
      </c>
      <c r="W2327" s="30">
        <f>IF(NOT(AND(ISNUMBER(N2327),ISNUMBER(P2327))),"",(P2327-N2327)*1440)</f>
        <v/>
      </c>
      <c r="X2327" s="28" t="n"/>
      <c r="Y2327" s="28" t="n"/>
      <c r="Z2327" s="28" t="n"/>
      <c r="AA2327" s="31" t="n"/>
      <c r="AB2327" s="31" t="n"/>
    </row>
    <row r="2328">
      <c r="A2328" s="25" t="inlineStr">
        <is>
          <t>S45</t>
        </is>
      </c>
      <c r="B2328" s="25" t="inlineStr">
        <is>
          <t>여주</t>
        </is>
      </c>
      <c r="C2328" s="25" t="inlineStr">
        <is>
          <t>S45-H남</t>
        </is>
      </c>
      <c r="D2328" s="25" t="inlineStr">
        <is>
          <t>측정</t>
        </is>
      </c>
      <c r="E2328" s="25" t="inlineStr">
        <is>
          <t>남</t>
        </is>
      </c>
      <c r="F2328" s="30" t="n">
        <v>8</v>
      </c>
      <c r="G2328" s="29" t="n"/>
      <c r="H2328" s="42" t="n"/>
      <c r="I2328" s="40" t="n"/>
      <c r="J2328" s="40" t="n"/>
      <c r="K2328" s="40" t="n"/>
      <c r="L2328" s="30">
        <f>IF(COUNT(I2328:K2328)=0,"",MEDIAN(I2328:K2328))</f>
        <v/>
      </c>
      <c r="M2328" s="25">
        <f>IF(COUNTIFS($C:$C,$C2328,$D:$D,"P0(전)",$L:$L,"&gt;0")&lt;&gt;1,"P0(전) 유효 1개 아님",IF(COUNTIFS($C:$C,$C2328,$D:$D,"P0(후)",$L:$L,"&gt;0")&lt;&gt;1,"P0(후) 유효 1개 아님",IF(NOT(AND(ISNUMBER(N2328),ISNUMBER(P2328),ISNUMBER(H2328))),"시각 결측",IF(P2328&lt;=N2328,"P0 시각 역전",IF(OR(H2328&lt;N2328,H2328&gt;P2328),"측정시각 구간 밖","OK")))))</f>
        <v/>
      </c>
      <c r="N2328" s="45">
        <f>IF(COUNTIFS($C:$C,$C2328,$D:$D,"P0(전)",$L:$L,"&gt;0")&lt;&gt;1,"",SUMIFS($H:$H,$C:$C,$C2328,$D:$D,"P0(전)"))</f>
        <v/>
      </c>
      <c r="O2328" s="30">
        <f>IF(COUNTIFS($C:$C,$C2328,$D:$D,"P0(전)",$L:$L,"&gt;0")&lt;&gt;1,"",SUMIFS($L:$L,$C:$C,$C2328,$D:$D,"P0(전)"))</f>
        <v/>
      </c>
      <c r="P2328" s="45">
        <f>IF(COUNTIFS($C:$C,$C2328,$D:$D,"P0(후)",$L:$L,"&gt;0")&lt;&gt;1,"",SUMIFS($H:$H,$C:$C,$C2328,$D:$D,"P0(후)"))</f>
        <v/>
      </c>
      <c r="Q2328" s="30">
        <f>IF(COUNTIFS($C:$C,$C2328,$D:$D,"P0(후)",$L:$L,"&gt;0")&lt;&gt;1,"",SUMIFS($L:$L,$C:$C,$C2328,$D:$D,"P0(후)"))</f>
        <v/>
      </c>
      <c r="R2328" s="30">
        <f>IF(M2328&lt;&gt;"OK","",O2328+(Q2328-O2328)*(H2328-N2328)/(P2328-N2328))</f>
        <v/>
      </c>
      <c r="S2328" s="30">
        <f>IF(OR(M2328&lt;&gt;"OK",NOT(ISNUMBER(L2328))),"",L2328-R2328)</f>
        <v/>
      </c>
      <c r="T2328" s="46">
        <f>IF(OR(NOT(ISNUMBER(S2328)),IF(ISNUMBER(G2328),G2328,F2328)=0),"",S2328/IF(ISNUMBER(G2328),G2328,F2328))</f>
        <v/>
      </c>
      <c r="U2328" s="46">
        <f>IF(ISNUMBER(T2328),ABS(T2328),"")</f>
        <v/>
      </c>
      <c r="V2328" s="46">
        <f>IF(OR($D2327&lt;&gt;"측정",$C2327&lt;&gt;$C2328,NOT(ISNUMBER(L2328)),NOT(ISNUMBER(L2327)),(IF(ISNUMBER(G2328),G2328,F2328)-IF(ISNUMBER(G2327),G2327,F2327))=0),"",(L2328-L2327)/(IF(ISNUMBER(G2328),G2328,F2328)-IF(ISNUMBER(G2327),G2327,F2327)))</f>
        <v/>
      </c>
      <c r="W2328" s="30">
        <f>IF(NOT(AND(ISNUMBER(N2328),ISNUMBER(P2328))),"",(P2328-N2328)*1440)</f>
        <v/>
      </c>
      <c r="X2328" s="28" t="n"/>
      <c r="Y2328" s="28" t="n"/>
      <c r="Z2328" s="28" t="n"/>
      <c r="AA2328" s="31" t="n"/>
      <c r="AB2328" s="31" t="n"/>
    </row>
    <row r="2329">
      <c r="A2329" s="25" t="inlineStr">
        <is>
          <t>S45</t>
        </is>
      </c>
      <c r="B2329" s="25" t="inlineStr">
        <is>
          <t>여주</t>
        </is>
      </c>
      <c r="C2329" s="25" t="inlineStr">
        <is>
          <t>S45-H남</t>
        </is>
      </c>
      <c r="D2329" s="25" t="inlineStr">
        <is>
          <t>측정</t>
        </is>
      </c>
      <c r="E2329" s="25" t="inlineStr">
        <is>
          <t>남</t>
        </is>
      </c>
      <c r="F2329" s="30" t="n">
        <v>9</v>
      </c>
      <c r="G2329" s="29" t="n"/>
      <c r="H2329" s="42" t="n"/>
      <c r="I2329" s="40" t="n"/>
      <c r="J2329" s="40" t="n"/>
      <c r="K2329" s="40" t="n"/>
      <c r="L2329" s="30">
        <f>IF(COUNT(I2329:K2329)=0,"",MEDIAN(I2329:K2329))</f>
        <v/>
      </c>
      <c r="M2329" s="25">
        <f>IF(COUNTIFS($C:$C,$C2329,$D:$D,"P0(전)",$L:$L,"&gt;0")&lt;&gt;1,"P0(전) 유효 1개 아님",IF(COUNTIFS($C:$C,$C2329,$D:$D,"P0(후)",$L:$L,"&gt;0")&lt;&gt;1,"P0(후) 유효 1개 아님",IF(NOT(AND(ISNUMBER(N2329),ISNUMBER(P2329),ISNUMBER(H2329))),"시각 결측",IF(P2329&lt;=N2329,"P0 시각 역전",IF(OR(H2329&lt;N2329,H2329&gt;P2329),"측정시각 구간 밖","OK")))))</f>
        <v/>
      </c>
      <c r="N2329" s="45">
        <f>IF(COUNTIFS($C:$C,$C2329,$D:$D,"P0(전)",$L:$L,"&gt;0")&lt;&gt;1,"",SUMIFS($H:$H,$C:$C,$C2329,$D:$D,"P0(전)"))</f>
        <v/>
      </c>
      <c r="O2329" s="30">
        <f>IF(COUNTIFS($C:$C,$C2329,$D:$D,"P0(전)",$L:$L,"&gt;0")&lt;&gt;1,"",SUMIFS($L:$L,$C:$C,$C2329,$D:$D,"P0(전)"))</f>
        <v/>
      </c>
      <c r="P2329" s="45">
        <f>IF(COUNTIFS($C:$C,$C2329,$D:$D,"P0(후)",$L:$L,"&gt;0")&lt;&gt;1,"",SUMIFS($H:$H,$C:$C,$C2329,$D:$D,"P0(후)"))</f>
        <v/>
      </c>
      <c r="Q2329" s="30">
        <f>IF(COUNTIFS($C:$C,$C2329,$D:$D,"P0(후)",$L:$L,"&gt;0")&lt;&gt;1,"",SUMIFS($L:$L,$C:$C,$C2329,$D:$D,"P0(후)"))</f>
        <v/>
      </c>
      <c r="R2329" s="30">
        <f>IF(M2329&lt;&gt;"OK","",O2329+(Q2329-O2329)*(H2329-N2329)/(P2329-N2329))</f>
        <v/>
      </c>
      <c r="S2329" s="30">
        <f>IF(OR(M2329&lt;&gt;"OK",NOT(ISNUMBER(L2329))),"",L2329-R2329)</f>
        <v/>
      </c>
      <c r="T2329" s="46">
        <f>IF(OR(NOT(ISNUMBER(S2329)),IF(ISNUMBER(G2329),G2329,F2329)=0),"",S2329/IF(ISNUMBER(G2329),G2329,F2329))</f>
        <v/>
      </c>
      <c r="U2329" s="46">
        <f>IF(ISNUMBER(T2329),ABS(T2329),"")</f>
        <v/>
      </c>
      <c r="V2329" s="46">
        <f>IF(OR($D2328&lt;&gt;"측정",$C2328&lt;&gt;$C2329,NOT(ISNUMBER(L2329)),NOT(ISNUMBER(L2328)),(IF(ISNUMBER(G2329),G2329,F2329)-IF(ISNUMBER(G2328),G2328,F2328))=0),"",(L2329-L2328)/(IF(ISNUMBER(G2329),G2329,F2329)-IF(ISNUMBER(G2328),G2328,F2328)))</f>
        <v/>
      </c>
      <c r="W2329" s="30">
        <f>IF(NOT(AND(ISNUMBER(N2329),ISNUMBER(P2329))),"",(P2329-N2329)*1440)</f>
        <v/>
      </c>
      <c r="X2329" s="28" t="n"/>
      <c r="Y2329" s="28" t="n"/>
      <c r="Z2329" s="28" t="n"/>
      <c r="AA2329" s="31" t="n"/>
      <c r="AB2329" s="31" t="n"/>
    </row>
    <row r="2330">
      <c r="A2330" s="25" t="inlineStr">
        <is>
          <t>S45</t>
        </is>
      </c>
      <c r="B2330" s="25" t="inlineStr">
        <is>
          <t>여주</t>
        </is>
      </c>
      <c r="C2330" s="25" t="inlineStr">
        <is>
          <t>S45-H남</t>
        </is>
      </c>
      <c r="D2330" s="25" t="inlineStr">
        <is>
          <t>측정</t>
        </is>
      </c>
      <c r="E2330" s="25" t="inlineStr">
        <is>
          <t>남</t>
        </is>
      </c>
      <c r="F2330" s="30" t="n">
        <v>10</v>
      </c>
      <c r="G2330" s="29" t="n"/>
      <c r="H2330" s="42" t="n"/>
      <c r="I2330" s="40" t="n"/>
      <c r="J2330" s="40" t="n"/>
      <c r="K2330" s="40" t="n"/>
      <c r="L2330" s="30">
        <f>IF(COUNT(I2330:K2330)=0,"",MEDIAN(I2330:K2330))</f>
        <v/>
      </c>
      <c r="M2330" s="25">
        <f>IF(COUNTIFS($C:$C,$C2330,$D:$D,"P0(전)",$L:$L,"&gt;0")&lt;&gt;1,"P0(전) 유효 1개 아님",IF(COUNTIFS($C:$C,$C2330,$D:$D,"P0(후)",$L:$L,"&gt;0")&lt;&gt;1,"P0(후) 유효 1개 아님",IF(NOT(AND(ISNUMBER(N2330),ISNUMBER(P2330),ISNUMBER(H2330))),"시각 결측",IF(P2330&lt;=N2330,"P0 시각 역전",IF(OR(H2330&lt;N2330,H2330&gt;P2330),"측정시각 구간 밖","OK")))))</f>
        <v/>
      </c>
      <c r="N2330" s="45">
        <f>IF(COUNTIFS($C:$C,$C2330,$D:$D,"P0(전)",$L:$L,"&gt;0")&lt;&gt;1,"",SUMIFS($H:$H,$C:$C,$C2330,$D:$D,"P0(전)"))</f>
        <v/>
      </c>
      <c r="O2330" s="30">
        <f>IF(COUNTIFS($C:$C,$C2330,$D:$D,"P0(전)",$L:$L,"&gt;0")&lt;&gt;1,"",SUMIFS($L:$L,$C:$C,$C2330,$D:$D,"P0(전)"))</f>
        <v/>
      </c>
      <c r="P2330" s="45">
        <f>IF(COUNTIFS($C:$C,$C2330,$D:$D,"P0(후)",$L:$L,"&gt;0")&lt;&gt;1,"",SUMIFS($H:$H,$C:$C,$C2330,$D:$D,"P0(후)"))</f>
        <v/>
      </c>
      <c r="Q2330" s="30">
        <f>IF(COUNTIFS($C:$C,$C2330,$D:$D,"P0(후)",$L:$L,"&gt;0")&lt;&gt;1,"",SUMIFS($L:$L,$C:$C,$C2330,$D:$D,"P0(후)"))</f>
        <v/>
      </c>
      <c r="R2330" s="30">
        <f>IF(M2330&lt;&gt;"OK","",O2330+(Q2330-O2330)*(H2330-N2330)/(P2330-N2330))</f>
        <v/>
      </c>
      <c r="S2330" s="30">
        <f>IF(OR(M2330&lt;&gt;"OK",NOT(ISNUMBER(L2330))),"",L2330-R2330)</f>
        <v/>
      </c>
      <c r="T2330" s="46">
        <f>IF(OR(NOT(ISNUMBER(S2330)),IF(ISNUMBER(G2330),G2330,F2330)=0),"",S2330/IF(ISNUMBER(G2330),G2330,F2330))</f>
        <v/>
      </c>
      <c r="U2330" s="46">
        <f>IF(ISNUMBER(T2330),ABS(T2330),"")</f>
        <v/>
      </c>
      <c r="V2330" s="46">
        <f>IF(OR($D2329&lt;&gt;"측정",$C2329&lt;&gt;$C2330,NOT(ISNUMBER(L2330)),NOT(ISNUMBER(L2329)),(IF(ISNUMBER(G2330),G2330,F2330)-IF(ISNUMBER(G2329),G2329,F2329))=0),"",(L2330-L2329)/(IF(ISNUMBER(G2330),G2330,F2330)-IF(ISNUMBER(G2329),G2329,F2329)))</f>
        <v/>
      </c>
      <c r="W2330" s="30">
        <f>IF(NOT(AND(ISNUMBER(N2330),ISNUMBER(P2330))),"",(P2330-N2330)*1440)</f>
        <v/>
      </c>
      <c r="X2330" s="28" t="n"/>
      <c r="Y2330" s="28" t="n"/>
      <c r="Z2330" s="28" t="n"/>
      <c r="AA2330" s="31" t="n"/>
      <c r="AB2330" s="31" t="n"/>
    </row>
    <row r="2331">
      <c r="A2331" s="43" t="inlineStr">
        <is>
          <t>S45</t>
        </is>
      </c>
      <c r="B2331" s="43" t="inlineStr">
        <is>
          <t>여주</t>
        </is>
      </c>
      <c r="C2331" s="43" t="inlineStr">
        <is>
          <t>S45-H남</t>
        </is>
      </c>
      <c r="D2331" s="43" t="inlineStr">
        <is>
          <t>P0(후)</t>
        </is>
      </c>
      <c r="E2331" s="43" t="inlineStr">
        <is>
          <t>남</t>
        </is>
      </c>
      <c r="F2331" s="44" t="n"/>
      <c r="G2331" s="29" t="n"/>
      <c r="H2331" s="42" t="n"/>
      <c r="I2331" s="40" t="n"/>
      <c r="J2331" s="40" t="n"/>
      <c r="K2331" s="40" t="n"/>
      <c r="L2331" s="30">
        <f>IF(COUNT(I2331:K2331)=0,"",MEDIAN(I2331:K2331))</f>
        <v/>
      </c>
      <c r="M2331" s="37" t="n"/>
      <c r="N2331" s="37" t="n"/>
      <c r="O2331" s="37" t="n"/>
      <c r="P2331" s="37" t="n"/>
      <c r="Q2331" s="37" t="n"/>
      <c r="R2331" s="37" t="n"/>
      <c r="S2331" s="37" t="n"/>
      <c r="T2331" s="37" t="n"/>
      <c r="U2331" s="37" t="n"/>
      <c r="V2331" s="37" t="n"/>
      <c r="W2331" s="37" t="n"/>
      <c r="X2331" s="28" t="n"/>
      <c r="Y2331" s="28" t="n"/>
      <c r="Z2331" s="28" t="n"/>
      <c r="AA2331" s="31" t="n"/>
      <c r="AB2331" s="31" t="n"/>
    </row>
    <row r="2332">
      <c r="A2332" s="43" t="inlineStr">
        <is>
          <t>S45</t>
        </is>
      </c>
      <c r="B2332" s="43" t="inlineStr">
        <is>
          <t>여주</t>
        </is>
      </c>
      <c r="C2332" s="43" t="inlineStr">
        <is>
          <t>S45-H북</t>
        </is>
      </c>
      <c r="D2332" s="43" t="inlineStr">
        <is>
          <t>P0(전)</t>
        </is>
      </c>
      <c r="E2332" s="43" t="inlineStr">
        <is>
          <t>북</t>
        </is>
      </c>
      <c r="F2332" s="44" t="n"/>
      <c r="G2332" s="29" t="n"/>
      <c r="H2332" s="42" t="n"/>
      <c r="I2332" s="40" t="n"/>
      <c r="J2332" s="40" t="n"/>
      <c r="K2332" s="40" t="n"/>
      <c r="L2332" s="30">
        <f>IF(COUNT(I2332:K2332)=0,"",MEDIAN(I2332:K2332))</f>
        <v/>
      </c>
      <c r="M2332" s="37" t="n"/>
      <c r="N2332" s="37" t="n"/>
      <c r="O2332" s="37" t="n"/>
      <c r="P2332" s="37" t="n"/>
      <c r="Q2332" s="37" t="n"/>
      <c r="R2332" s="37" t="n"/>
      <c r="S2332" s="37" t="n"/>
      <c r="T2332" s="37" t="n"/>
      <c r="U2332" s="37" t="n"/>
      <c r="V2332" s="37" t="n"/>
      <c r="W2332" s="37" t="n"/>
      <c r="X2332" s="28" t="n"/>
      <c r="Y2332" s="28" t="n"/>
      <c r="Z2332" s="28" t="n"/>
      <c r="AA2332" s="31" t="n"/>
      <c r="AB2332" s="31" t="n"/>
    </row>
    <row r="2333">
      <c r="A2333" s="25" t="inlineStr">
        <is>
          <t>S45</t>
        </is>
      </c>
      <c r="B2333" s="25" t="inlineStr">
        <is>
          <t>여주</t>
        </is>
      </c>
      <c r="C2333" s="25" t="inlineStr">
        <is>
          <t>S45-H북</t>
        </is>
      </c>
      <c r="D2333" s="25" t="inlineStr">
        <is>
          <t>측정</t>
        </is>
      </c>
      <c r="E2333" s="25" t="inlineStr">
        <is>
          <t>북</t>
        </is>
      </c>
      <c r="F2333" s="30" t="n">
        <v>0.5</v>
      </c>
      <c r="G2333" s="29" t="n"/>
      <c r="H2333" s="42" t="n"/>
      <c r="I2333" s="40" t="n"/>
      <c r="J2333" s="40" t="n"/>
      <c r="K2333" s="40" t="n"/>
      <c r="L2333" s="30">
        <f>IF(COUNT(I2333:K2333)=0,"",MEDIAN(I2333:K2333))</f>
        <v/>
      </c>
      <c r="M2333" s="25">
        <f>IF(COUNTIFS($C:$C,$C2333,$D:$D,"P0(전)",$L:$L,"&gt;0")&lt;&gt;1,"P0(전) 유효 1개 아님",IF(COUNTIFS($C:$C,$C2333,$D:$D,"P0(후)",$L:$L,"&gt;0")&lt;&gt;1,"P0(후) 유효 1개 아님",IF(NOT(AND(ISNUMBER(N2333),ISNUMBER(P2333),ISNUMBER(H2333))),"시각 결측",IF(P2333&lt;=N2333,"P0 시각 역전",IF(OR(H2333&lt;N2333,H2333&gt;P2333),"측정시각 구간 밖","OK")))))</f>
        <v/>
      </c>
      <c r="N2333" s="45">
        <f>IF(COUNTIFS($C:$C,$C2333,$D:$D,"P0(전)",$L:$L,"&gt;0")&lt;&gt;1,"",SUMIFS($H:$H,$C:$C,$C2333,$D:$D,"P0(전)"))</f>
        <v/>
      </c>
      <c r="O2333" s="30">
        <f>IF(COUNTIFS($C:$C,$C2333,$D:$D,"P0(전)",$L:$L,"&gt;0")&lt;&gt;1,"",SUMIFS($L:$L,$C:$C,$C2333,$D:$D,"P0(전)"))</f>
        <v/>
      </c>
      <c r="P2333" s="45">
        <f>IF(COUNTIFS($C:$C,$C2333,$D:$D,"P0(후)",$L:$L,"&gt;0")&lt;&gt;1,"",SUMIFS($H:$H,$C:$C,$C2333,$D:$D,"P0(후)"))</f>
        <v/>
      </c>
      <c r="Q2333" s="30">
        <f>IF(COUNTIFS($C:$C,$C2333,$D:$D,"P0(후)",$L:$L,"&gt;0")&lt;&gt;1,"",SUMIFS($L:$L,$C:$C,$C2333,$D:$D,"P0(후)"))</f>
        <v/>
      </c>
      <c r="R2333" s="30">
        <f>IF(M2333&lt;&gt;"OK","",O2333+(Q2333-O2333)*(H2333-N2333)/(P2333-N2333))</f>
        <v/>
      </c>
      <c r="S2333" s="30">
        <f>IF(OR(M2333&lt;&gt;"OK",NOT(ISNUMBER(L2333))),"",L2333-R2333)</f>
        <v/>
      </c>
      <c r="T2333" s="46">
        <f>IF(OR(NOT(ISNUMBER(S2333)),IF(ISNUMBER(G2333),G2333,F2333)=0),"",S2333/IF(ISNUMBER(G2333),G2333,F2333))</f>
        <v/>
      </c>
      <c r="U2333" s="46">
        <f>IF(ISNUMBER(T2333),ABS(T2333),"")</f>
        <v/>
      </c>
      <c r="V2333" s="46">
        <f>IF(OR($D2332&lt;&gt;"측정",$C2332&lt;&gt;$C2333,NOT(ISNUMBER(L2333)),NOT(ISNUMBER(L2332)),(IF(ISNUMBER(G2333),G2333,F2333)-IF(ISNUMBER(G2332),G2332,F2332))=0),"",(L2333-L2332)/(IF(ISNUMBER(G2333),G2333,F2333)-IF(ISNUMBER(G2332),G2332,F2332)))</f>
        <v/>
      </c>
      <c r="W2333" s="30">
        <f>IF(NOT(AND(ISNUMBER(N2333),ISNUMBER(P2333))),"",(P2333-N2333)*1440)</f>
        <v/>
      </c>
      <c r="X2333" s="28" t="n"/>
      <c r="Y2333" s="28" t="n"/>
      <c r="Z2333" s="28" t="n"/>
      <c r="AA2333" s="31" t="n"/>
      <c r="AB2333" s="31" t="n"/>
    </row>
    <row r="2334">
      <c r="A2334" s="25" t="inlineStr">
        <is>
          <t>S45</t>
        </is>
      </c>
      <c r="B2334" s="25" t="inlineStr">
        <is>
          <t>여주</t>
        </is>
      </c>
      <c r="C2334" s="25" t="inlineStr">
        <is>
          <t>S45-H북</t>
        </is>
      </c>
      <c r="D2334" s="25" t="inlineStr">
        <is>
          <t>측정</t>
        </is>
      </c>
      <c r="E2334" s="25" t="inlineStr">
        <is>
          <t>북</t>
        </is>
      </c>
      <c r="F2334" s="30" t="n">
        <v>1</v>
      </c>
      <c r="G2334" s="29" t="n"/>
      <c r="H2334" s="42" t="n"/>
      <c r="I2334" s="40" t="n"/>
      <c r="J2334" s="40" t="n"/>
      <c r="K2334" s="40" t="n"/>
      <c r="L2334" s="30">
        <f>IF(COUNT(I2334:K2334)=0,"",MEDIAN(I2334:K2334))</f>
        <v/>
      </c>
      <c r="M2334" s="25">
        <f>IF(COUNTIFS($C:$C,$C2334,$D:$D,"P0(전)",$L:$L,"&gt;0")&lt;&gt;1,"P0(전) 유효 1개 아님",IF(COUNTIFS($C:$C,$C2334,$D:$D,"P0(후)",$L:$L,"&gt;0")&lt;&gt;1,"P0(후) 유효 1개 아님",IF(NOT(AND(ISNUMBER(N2334),ISNUMBER(P2334),ISNUMBER(H2334))),"시각 결측",IF(P2334&lt;=N2334,"P0 시각 역전",IF(OR(H2334&lt;N2334,H2334&gt;P2334),"측정시각 구간 밖","OK")))))</f>
        <v/>
      </c>
      <c r="N2334" s="45">
        <f>IF(COUNTIFS($C:$C,$C2334,$D:$D,"P0(전)",$L:$L,"&gt;0")&lt;&gt;1,"",SUMIFS($H:$H,$C:$C,$C2334,$D:$D,"P0(전)"))</f>
        <v/>
      </c>
      <c r="O2334" s="30">
        <f>IF(COUNTIFS($C:$C,$C2334,$D:$D,"P0(전)",$L:$L,"&gt;0")&lt;&gt;1,"",SUMIFS($L:$L,$C:$C,$C2334,$D:$D,"P0(전)"))</f>
        <v/>
      </c>
      <c r="P2334" s="45">
        <f>IF(COUNTIFS($C:$C,$C2334,$D:$D,"P0(후)",$L:$L,"&gt;0")&lt;&gt;1,"",SUMIFS($H:$H,$C:$C,$C2334,$D:$D,"P0(후)"))</f>
        <v/>
      </c>
      <c r="Q2334" s="30">
        <f>IF(COUNTIFS($C:$C,$C2334,$D:$D,"P0(후)",$L:$L,"&gt;0")&lt;&gt;1,"",SUMIFS($L:$L,$C:$C,$C2334,$D:$D,"P0(후)"))</f>
        <v/>
      </c>
      <c r="R2334" s="30">
        <f>IF(M2334&lt;&gt;"OK","",O2334+(Q2334-O2334)*(H2334-N2334)/(P2334-N2334))</f>
        <v/>
      </c>
      <c r="S2334" s="30">
        <f>IF(OR(M2334&lt;&gt;"OK",NOT(ISNUMBER(L2334))),"",L2334-R2334)</f>
        <v/>
      </c>
      <c r="T2334" s="46">
        <f>IF(OR(NOT(ISNUMBER(S2334)),IF(ISNUMBER(G2334),G2334,F2334)=0),"",S2334/IF(ISNUMBER(G2334),G2334,F2334))</f>
        <v/>
      </c>
      <c r="U2334" s="46">
        <f>IF(ISNUMBER(T2334),ABS(T2334),"")</f>
        <v/>
      </c>
      <c r="V2334" s="46">
        <f>IF(OR($D2333&lt;&gt;"측정",$C2333&lt;&gt;$C2334,NOT(ISNUMBER(L2334)),NOT(ISNUMBER(L2333)),(IF(ISNUMBER(G2334),G2334,F2334)-IF(ISNUMBER(G2333),G2333,F2333))=0),"",(L2334-L2333)/(IF(ISNUMBER(G2334),G2334,F2334)-IF(ISNUMBER(G2333),G2333,F2333)))</f>
        <v/>
      </c>
      <c r="W2334" s="30">
        <f>IF(NOT(AND(ISNUMBER(N2334),ISNUMBER(P2334))),"",(P2334-N2334)*1440)</f>
        <v/>
      </c>
      <c r="X2334" s="28" t="n"/>
      <c r="Y2334" s="28" t="n"/>
      <c r="Z2334" s="28" t="n"/>
      <c r="AA2334" s="31" t="n"/>
      <c r="AB2334" s="31" t="n"/>
    </row>
    <row r="2335">
      <c r="A2335" s="25" t="inlineStr">
        <is>
          <t>S45</t>
        </is>
      </c>
      <c r="B2335" s="25" t="inlineStr">
        <is>
          <t>여주</t>
        </is>
      </c>
      <c r="C2335" s="25" t="inlineStr">
        <is>
          <t>S45-H북</t>
        </is>
      </c>
      <c r="D2335" s="25" t="inlineStr">
        <is>
          <t>측정</t>
        </is>
      </c>
      <c r="E2335" s="25" t="inlineStr">
        <is>
          <t>북</t>
        </is>
      </c>
      <c r="F2335" s="30" t="n">
        <v>2</v>
      </c>
      <c r="G2335" s="29" t="n"/>
      <c r="H2335" s="42" t="n"/>
      <c r="I2335" s="40" t="n"/>
      <c r="J2335" s="40" t="n"/>
      <c r="K2335" s="40" t="n"/>
      <c r="L2335" s="30">
        <f>IF(COUNT(I2335:K2335)=0,"",MEDIAN(I2335:K2335))</f>
        <v/>
      </c>
      <c r="M2335" s="25">
        <f>IF(COUNTIFS($C:$C,$C2335,$D:$D,"P0(전)",$L:$L,"&gt;0")&lt;&gt;1,"P0(전) 유효 1개 아님",IF(COUNTIFS($C:$C,$C2335,$D:$D,"P0(후)",$L:$L,"&gt;0")&lt;&gt;1,"P0(후) 유효 1개 아님",IF(NOT(AND(ISNUMBER(N2335),ISNUMBER(P2335),ISNUMBER(H2335))),"시각 결측",IF(P2335&lt;=N2335,"P0 시각 역전",IF(OR(H2335&lt;N2335,H2335&gt;P2335),"측정시각 구간 밖","OK")))))</f>
        <v/>
      </c>
      <c r="N2335" s="45">
        <f>IF(COUNTIFS($C:$C,$C2335,$D:$D,"P0(전)",$L:$L,"&gt;0")&lt;&gt;1,"",SUMIFS($H:$H,$C:$C,$C2335,$D:$D,"P0(전)"))</f>
        <v/>
      </c>
      <c r="O2335" s="30">
        <f>IF(COUNTIFS($C:$C,$C2335,$D:$D,"P0(전)",$L:$L,"&gt;0")&lt;&gt;1,"",SUMIFS($L:$L,$C:$C,$C2335,$D:$D,"P0(전)"))</f>
        <v/>
      </c>
      <c r="P2335" s="45">
        <f>IF(COUNTIFS($C:$C,$C2335,$D:$D,"P0(후)",$L:$L,"&gt;0")&lt;&gt;1,"",SUMIFS($H:$H,$C:$C,$C2335,$D:$D,"P0(후)"))</f>
        <v/>
      </c>
      <c r="Q2335" s="30">
        <f>IF(COUNTIFS($C:$C,$C2335,$D:$D,"P0(후)",$L:$L,"&gt;0")&lt;&gt;1,"",SUMIFS($L:$L,$C:$C,$C2335,$D:$D,"P0(후)"))</f>
        <v/>
      </c>
      <c r="R2335" s="30">
        <f>IF(M2335&lt;&gt;"OK","",O2335+(Q2335-O2335)*(H2335-N2335)/(P2335-N2335))</f>
        <v/>
      </c>
      <c r="S2335" s="30">
        <f>IF(OR(M2335&lt;&gt;"OK",NOT(ISNUMBER(L2335))),"",L2335-R2335)</f>
        <v/>
      </c>
      <c r="T2335" s="46">
        <f>IF(OR(NOT(ISNUMBER(S2335)),IF(ISNUMBER(G2335),G2335,F2335)=0),"",S2335/IF(ISNUMBER(G2335),G2335,F2335))</f>
        <v/>
      </c>
      <c r="U2335" s="46">
        <f>IF(ISNUMBER(T2335),ABS(T2335),"")</f>
        <v/>
      </c>
      <c r="V2335" s="46">
        <f>IF(OR($D2334&lt;&gt;"측정",$C2334&lt;&gt;$C2335,NOT(ISNUMBER(L2335)),NOT(ISNUMBER(L2334)),(IF(ISNUMBER(G2335),G2335,F2335)-IF(ISNUMBER(G2334),G2334,F2334))=0),"",(L2335-L2334)/(IF(ISNUMBER(G2335),G2335,F2335)-IF(ISNUMBER(G2334),G2334,F2334)))</f>
        <v/>
      </c>
      <c r="W2335" s="30">
        <f>IF(NOT(AND(ISNUMBER(N2335),ISNUMBER(P2335))),"",(P2335-N2335)*1440)</f>
        <v/>
      </c>
      <c r="X2335" s="28" t="n"/>
      <c r="Y2335" s="28" t="n"/>
      <c r="Z2335" s="28" t="n"/>
      <c r="AA2335" s="31" t="n"/>
      <c r="AB2335" s="31" t="n"/>
    </row>
    <row r="2336">
      <c r="A2336" s="25" t="inlineStr">
        <is>
          <t>S45</t>
        </is>
      </c>
      <c r="B2336" s="25" t="inlineStr">
        <is>
          <t>여주</t>
        </is>
      </c>
      <c r="C2336" s="25" t="inlineStr">
        <is>
          <t>S45-H북</t>
        </is>
      </c>
      <c r="D2336" s="25" t="inlineStr">
        <is>
          <t>측정</t>
        </is>
      </c>
      <c r="E2336" s="25" t="inlineStr">
        <is>
          <t>북</t>
        </is>
      </c>
      <c r="F2336" s="30" t="n">
        <v>3</v>
      </c>
      <c r="G2336" s="29" t="n"/>
      <c r="H2336" s="42" t="n"/>
      <c r="I2336" s="40" t="n"/>
      <c r="J2336" s="40" t="n"/>
      <c r="K2336" s="40" t="n"/>
      <c r="L2336" s="30">
        <f>IF(COUNT(I2336:K2336)=0,"",MEDIAN(I2336:K2336))</f>
        <v/>
      </c>
      <c r="M2336" s="25">
        <f>IF(COUNTIFS($C:$C,$C2336,$D:$D,"P0(전)",$L:$L,"&gt;0")&lt;&gt;1,"P0(전) 유효 1개 아님",IF(COUNTIFS($C:$C,$C2336,$D:$D,"P0(후)",$L:$L,"&gt;0")&lt;&gt;1,"P0(후) 유효 1개 아님",IF(NOT(AND(ISNUMBER(N2336),ISNUMBER(P2336),ISNUMBER(H2336))),"시각 결측",IF(P2336&lt;=N2336,"P0 시각 역전",IF(OR(H2336&lt;N2336,H2336&gt;P2336),"측정시각 구간 밖","OK")))))</f>
        <v/>
      </c>
      <c r="N2336" s="45">
        <f>IF(COUNTIFS($C:$C,$C2336,$D:$D,"P0(전)",$L:$L,"&gt;0")&lt;&gt;1,"",SUMIFS($H:$H,$C:$C,$C2336,$D:$D,"P0(전)"))</f>
        <v/>
      </c>
      <c r="O2336" s="30">
        <f>IF(COUNTIFS($C:$C,$C2336,$D:$D,"P0(전)",$L:$L,"&gt;0")&lt;&gt;1,"",SUMIFS($L:$L,$C:$C,$C2336,$D:$D,"P0(전)"))</f>
        <v/>
      </c>
      <c r="P2336" s="45">
        <f>IF(COUNTIFS($C:$C,$C2336,$D:$D,"P0(후)",$L:$L,"&gt;0")&lt;&gt;1,"",SUMIFS($H:$H,$C:$C,$C2336,$D:$D,"P0(후)"))</f>
        <v/>
      </c>
      <c r="Q2336" s="30">
        <f>IF(COUNTIFS($C:$C,$C2336,$D:$D,"P0(후)",$L:$L,"&gt;0")&lt;&gt;1,"",SUMIFS($L:$L,$C:$C,$C2336,$D:$D,"P0(후)"))</f>
        <v/>
      </c>
      <c r="R2336" s="30">
        <f>IF(M2336&lt;&gt;"OK","",O2336+(Q2336-O2336)*(H2336-N2336)/(P2336-N2336))</f>
        <v/>
      </c>
      <c r="S2336" s="30">
        <f>IF(OR(M2336&lt;&gt;"OK",NOT(ISNUMBER(L2336))),"",L2336-R2336)</f>
        <v/>
      </c>
      <c r="T2336" s="46">
        <f>IF(OR(NOT(ISNUMBER(S2336)),IF(ISNUMBER(G2336),G2336,F2336)=0),"",S2336/IF(ISNUMBER(G2336),G2336,F2336))</f>
        <v/>
      </c>
      <c r="U2336" s="46">
        <f>IF(ISNUMBER(T2336),ABS(T2336),"")</f>
        <v/>
      </c>
      <c r="V2336" s="46">
        <f>IF(OR($D2335&lt;&gt;"측정",$C2335&lt;&gt;$C2336,NOT(ISNUMBER(L2336)),NOT(ISNUMBER(L2335)),(IF(ISNUMBER(G2336),G2336,F2336)-IF(ISNUMBER(G2335),G2335,F2335))=0),"",(L2336-L2335)/(IF(ISNUMBER(G2336),G2336,F2336)-IF(ISNUMBER(G2335),G2335,F2335)))</f>
        <v/>
      </c>
      <c r="W2336" s="30">
        <f>IF(NOT(AND(ISNUMBER(N2336),ISNUMBER(P2336))),"",(P2336-N2336)*1440)</f>
        <v/>
      </c>
      <c r="X2336" s="28" t="n"/>
      <c r="Y2336" s="28" t="n"/>
      <c r="Z2336" s="28" t="n"/>
      <c r="AA2336" s="31" t="n"/>
      <c r="AB2336" s="31" t="n"/>
    </row>
    <row r="2337">
      <c r="A2337" s="25" t="inlineStr">
        <is>
          <t>S45</t>
        </is>
      </c>
      <c r="B2337" s="25" t="inlineStr">
        <is>
          <t>여주</t>
        </is>
      </c>
      <c r="C2337" s="25" t="inlineStr">
        <is>
          <t>S45-H북</t>
        </is>
      </c>
      <c r="D2337" s="25" t="inlineStr">
        <is>
          <t>측정</t>
        </is>
      </c>
      <c r="E2337" s="25" t="inlineStr">
        <is>
          <t>북</t>
        </is>
      </c>
      <c r="F2337" s="30" t="n">
        <v>4</v>
      </c>
      <c r="G2337" s="29" t="n"/>
      <c r="H2337" s="42" t="n"/>
      <c r="I2337" s="40" t="n"/>
      <c r="J2337" s="40" t="n"/>
      <c r="K2337" s="40" t="n"/>
      <c r="L2337" s="30">
        <f>IF(COUNT(I2337:K2337)=0,"",MEDIAN(I2337:K2337))</f>
        <v/>
      </c>
      <c r="M2337" s="25">
        <f>IF(COUNTIFS($C:$C,$C2337,$D:$D,"P0(전)",$L:$L,"&gt;0")&lt;&gt;1,"P0(전) 유효 1개 아님",IF(COUNTIFS($C:$C,$C2337,$D:$D,"P0(후)",$L:$L,"&gt;0")&lt;&gt;1,"P0(후) 유효 1개 아님",IF(NOT(AND(ISNUMBER(N2337),ISNUMBER(P2337),ISNUMBER(H2337))),"시각 결측",IF(P2337&lt;=N2337,"P0 시각 역전",IF(OR(H2337&lt;N2337,H2337&gt;P2337),"측정시각 구간 밖","OK")))))</f>
        <v/>
      </c>
      <c r="N2337" s="45">
        <f>IF(COUNTIFS($C:$C,$C2337,$D:$D,"P0(전)",$L:$L,"&gt;0")&lt;&gt;1,"",SUMIFS($H:$H,$C:$C,$C2337,$D:$D,"P0(전)"))</f>
        <v/>
      </c>
      <c r="O2337" s="30">
        <f>IF(COUNTIFS($C:$C,$C2337,$D:$D,"P0(전)",$L:$L,"&gt;0")&lt;&gt;1,"",SUMIFS($L:$L,$C:$C,$C2337,$D:$D,"P0(전)"))</f>
        <v/>
      </c>
      <c r="P2337" s="45">
        <f>IF(COUNTIFS($C:$C,$C2337,$D:$D,"P0(후)",$L:$L,"&gt;0")&lt;&gt;1,"",SUMIFS($H:$H,$C:$C,$C2337,$D:$D,"P0(후)"))</f>
        <v/>
      </c>
      <c r="Q2337" s="30">
        <f>IF(COUNTIFS($C:$C,$C2337,$D:$D,"P0(후)",$L:$L,"&gt;0")&lt;&gt;1,"",SUMIFS($L:$L,$C:$C,$C2337,$D:$D,"P0(후)"))</f>
        <v/>
      </c>
      <c r="R2337" s="30">
        <f>IF(M2337&lt;&gt;"OK","",O2337+(Q2337-O2337)*(H2337-N2337)/(P2337-N2337))</f>
        <v/>
      </c>
      <c r="S2337" s="30">
        <f>IF(OR(M2337&lt;&gt;"OK",NOT(ISNUMBER(L2337))),"",L2337-R2337)</f>
        <v/>
      </c>
      <c r="T2337" s="46">
        <f>IF(OR(NOT(ISNUMBER(S2337)),IF(ISNUMBER(G2337),G2337,F2337)=0),"",S2337/IF(ISNUMBER(G2337),G2337,F2337))</f>
        <v/>
      </c>
      <c r="U2337" s="46">
        <f>IF(ISNUMBER(T2337),ABS(T2337),"")</f>
        <v/>
      </c>
      <c r="V2337" s="46">
        <f>IF(OR($D2336&lt;&gt;"측정",$C2336&lt;&gt;$C2337,NOT(ISNUMBER(L2337)),NOT(ISNUMBER(L2336)),(IF(ISNUMBER(G2337),G2337,F2337)-IF(ISNUMBER(G2336),G2336,F2336))=0),"",(L2337-L2336)/(IF(ISNUMBER(G2337),G2337,F2337)-IF(ISNUMBER(G2336),G2336,F2336)))</f>
        <v/>
      </c>
      <c r="W2337" s="30">
        <f>IF(NOT(AND(ISNUMBER(N2337),ISNUMBER(P2337))),"",(P2337-N2337)*1440)</f>
        <v/>
      </c>
      <c r="X2337" s="28" t="n"/>
      <c r="Y2337" s="28" t="n"/>
      <c r="Z2337" s="28" t="n"/>
      <c r="AA2337" s="31" t="n"/>
      <c r="AB2337" s="31" t="n"/>
    </row>
    <row r="2338">
      <c r="A2338" s="25" t="inlineStr">
        <is>
          <t>S45</t>
        </is>
      </c>
      <c r="B2338" s="25" t="inlineStr">
        <is>
          <t>여주</t>
        </is>
      </c>
      <c r="C2338" s="25" t="inlineStr">
        <is>
          <t>S45-H북</t>
        </is>
      </c>
      <c r="D2338" s="25" t="inlineStr">
        <is>
          <t>측정</t>
        </is>
      </c>
      <c r="E2338" s="25" t="inlineStr">
        <is>
          <t>북</t>
        </is>
      </c>
      <c r="F2338" s="30" t="n">
        <v>5</v>
      </c>
      <c r="G2338" s="29" t="n"/>
      <c r="H2338" s="42" t="n"/>
      <c r="I2338" s="40" t="n"/>
      <c r="J2338" s="40" t="n"/>
      <c r="K2338" s="40" t="n"/>
      <c r="L2338" s="30">
        <f>IF(COUNT(I2338:K2338)=0,"",MEDIAN(I2338:K2338))</f>
        <v/>
      </c>
      <c r="M2338" s="25">
        <f>IF(COUNTIFS($C:$C,$C2338,$D:$D,"P0(전)",$L:$L,"&gt;0")&lt;&gt;1,"P0(전) 유효 1개 아님",IF(COUNTIFS($C:$C,$C2338,$D:$D,"P0(후)",$L:$L,"&gt;0")&lt;&gt;1,"P0(후) 유효 1개 아님",IF(NOT(AND(ISNUMBER(N2338),ISNUMBER(P2338),ISNUMBER(H2338))),"시각 결측",IF(P2338&lt;=N2338,"P0 시각 역전",IF(OR(H2338&lt;N2338,H2338&gt;P2338),"측정시각 구간 밖","OK")))))</f>
        <v/>
      </c>
      <c r="N2338" s="45">
        <f>IF(COUNTIFS($C:$C,$C2338,$D:$D,"P0(전)",$L:$L,"&gt;0")&lt;&gt;1,"",SUMIFS($H:$H,$C:$C,$C2338,$D:$D,"P0(전)"))</f>
        <v/>
      </c>
      <c r="O2338" s="30">
        <f>IF(COUNTIFS($C:$C,$C2338,$D:$D,"P0(전)",$L:$L,"&gt;0")&lt;&gt;1,"",SUMIFS($L:$L,$C:$C,$C2338,$D:$D,"P0(전)"))</f>
        <v/>
      </c>
      <c r="P2338" s="45">
        <f>IF(COUNTIFS($C:$C,$C2338,$D:$D,"P0(후)",$L:$L,"&gt;0")&lt;&gt;1,"",SUMIFS($H:$H,$C:$C,$C2338,$D:$D,"P0(후)"))</f>
        <v/>
      </c>
      <c r="Q2338" s="30">
        <f>IF(COUNTIFS($C:$C,$C2338,$D:$D,"P0(후)",$L:$L,"&gt;0")&lt;&gt;1,"",SUMIFS($L:$L,$C:$C,$C2338,$D:$D,"P0(후)"))</f>
        <v/>
      </c>
      <c r="R2338" s="30">
        <f>IF(M2338&lt;&gt;"OK","",O2338+(Q2338-O2338)*(H2338-N2338)/(P2338-N2338))</f>
        <v/>
      </c>
      <c r="S2338" s="30">
        <f>IF(OR(M2338&lt;&gt;"OK",NOT(ISNUMBER(L2338))),"",L2338-R2338)</f>
        <v/>
      </c>
      <c r="T2338" s="46">
        <f>IF(OR(NOT(ISNUMBER(S2338)),IF(ISNUMBER(G2338),G2338,F2338)=0),"",S2338/IF(ISNUMBER(G2338),G2338,F2338))</f>
        <v/>
      </c>
      <c r="U2338" s="46">
        <f>IF(ISNUMBER(T2338),ABS(T2338),"")</f>
        <v/>
      </c>
      <c r="V2338" s="46">
        <f>IF(OR($D2337&lt;&gt;"측정",$C2337&lt;&gt;$C2338,NOT(ISNUMBER(L2338)),NOT(ISNUMBER(L2337)),(IF(ISNUMBER(G2338),G2338,F2338)-IF(ISNUMBER(G2337),G2337,F2337))=0),"",(L2338-L2337)/(IF(ISNUMBER(G2338),G2338,F2338)-IF(ISNUMBER(G2337),G2337,F2337)))</f>
        <v/>
      </c>
      <c r="W2338" s="30">
        <f>IF(NOT(AND(ISNUMBER(N2338),ISNUMBER(P2338))),"",(P2338-N2338)*1440)</f>
        <v/>
      </c>
      <c r="X2338" s="28" t="n"/>
      <c r="Y2338" s="28" t="n"/>
      <c r="Z2338" s="28" t="n"/>
      <c r="AA2338" s="31" t="n"/>
      <c r="AB2338" s="31" t="n"/>
    </row>
    <row r="2339">
      <c r="A2339" s="25" t="inlineStr">
        <is>
          <t>S45</t>
        </is>
      </c>
      <c r="B2339" s="25" t="inlineStr">
        <is>
          <t>여주</t>
        </is>
      </c>
      <c r="C2339" s="25" t="inlineStr">
        <is>
          <t>S45-H북</t>
        </is>
      </c>
      <c r="D2339" s="25" t="inlineStr">
        <is>
          <t>측정</t>
        </is>
      </c>
      <c r="E2339" s="25" t="inlineStr">
        <is>
          <t>북</t>
        </is>
      </c>
      <c r="F2339" s="30" t="n">
        <v>6</v>
      </c>
      <c r="G2339" s="29" t="n"/>
      <c r="H2339" s="42" t="n"/>
      <c r="I2339" s="40" t="n"/>
      <c r="J2339" s="40" t="n"/>
      <c r="K2339" s="40" t="n"/>
      <c r="L2339" s="30">
        <f>IF(COUNT(I2339:K2339)=0,"",MEDIAN(I2339:K2339))</f>
        <v/>
      </c>
      <c r="M2339" s="25">
        <f>IF(COUNTIFS($C:$C,$C2339,$D:$D,"P0(전)",$L:$L,"&gt;0")&lt;&gt;1,"P0(전) 유효 1개 아님",IF(COUNTIFS($C:$C,$C2339,$D:$D,"P0(후)",$L:$L,"&gt;0")&lt;&gt;1,"P0(후) 유효 1개 아님",IF(NOT(AND(ISNUMBER(N2339),ISNUMBER(P2339),ISNUMBER(H2339))),"시각 결측",IF(P2339&lt;=N2339,"P0 시각 역전",IF(OR(H2339&lt;N2339,H2339&gt;P2339),"측정시각 구간 밖","OK")))))</f>
        <v/>
      </c>
      <c r="N2339" s="45">
        <f>IF(COUNTIFS($C:$C,$C2339,$D:$D,"P0(전)",$L:$L,"&gt;0")&lt;&gt;1,"",SUMIFS($H:$H,$C:$C,$C2339,$D:$D,"P0(전)"))</f>
        <v/>
      </c>
      <c r="O2339" s="30">
        <f>IF(COUNTIFS($C:$C,$C2339,$D:$D,"P0(전)",$L:$L,"&gt;0")&lt;&gt;1,"",SUMIFS($L:$L,$C:$C,$C2339,$D:$D,"P0(전)"))</f>
        <v/>
      </c>
      <c r="P2339" s="45">
        <f>IF(COUNTIFS($C:$C,$C2339,$D:$D,"P0(후)",$L:$L,"&gt;0")&lt;&gt;1,"",SUMIFS($H:$H,$C:$C,$C2339,$D:$D,"P0(후)"))</f>
        <v/>
      </c>
      <c r="Q2339" s="30">
        <f>IF(COUNTIFS($C:$C,$C2339,$D:$D,"P0(후)",$L:$L,"&gt;0")&lt;&gt;1,"",SUMIFS($L:$L,$C:$C,$C2339,$D:$D,"P0(후)"))</f>
        <v/>
      </c>
      <c r="R2339" s="30">
        <f>IF(M2339&lt;&gt;"OK","",O2339+(Q2339-O2339)*(H2339-N2339)/(P2339-N2339))</f>
        <v/>
      </c>
      <c r="S2339" s="30">
        <f>IF(OR(M2339&lt;&gt;"OK",NOT(ISNUMBER(L2339))),"",L2339-R2339)</f>
        <v/>
      </c>
      <c r="T2339" s="46">
        <f>IF(OR(NOT(ISNUMBER(S2339)),IF(ISNUMBER(G2339),G2339,F2339)=0),"",S2339/IF(ISNUMBER(G2339),G2339,F2339))</f>
        <v/>
      </c>
      <c r="U2339" s="46">
        <f>IF(ISNUMBER(T2339),ABS(T2339),"")</f>
        <v/>
      </c>
      <c r="V2339" s="46">
        <f>IF(OR($D2338&lt;&gt;"측정",$C2338&lt;&gt;$C2339,NOT(ISNUMBER(L2339)),NOT(ISNUMBER(L2338)),(IF(ISNUMBER(G2339),G2339,F2339)-IF(ISNUMBER(G2338),G2338,F2338))=0),"",(L2339-L2338)/(IF(ISNUMBER(G2339),G2339,F2339)-IF(ISNUMBER(G2338),G2338,F2338)))</f>
        <v/>
      </c>
      <c r="W2339" s="30">
        <f>IF(NOT(AND(ISNUMBER(N2339),ISNUMBER(P2339))),"",(P2339-N2339)*1440)</f>
        <v/>
      </c>
      <c r="X2339" s="28" t="n"/>
      <c r="Y2339" s="28" t="n"/>
      <c r="Z2339" s="28" t="n"/>
      <c r="AA2339" s="31" t="n"/>
      <c r="AB2339" s="31" t="n"/>
    </row>
    <row r="2340">
      <c r="A2340" s="25" t="inlineStr">
        <is>
          <t>S45</t>
        </is>
      </c>
      <c r="B2340" s="25" t="inlineStr">
        <is>
          <t>여주</t>
        </is>
      </c>
      <c r="C2340" s="25" t="inlineStr">
        <is>
          <t>S45-H북</t>
        </is>
      </c>
      <c r="D2340" s="25" t="inlineStr">
        <is>
          <t>측정</t>
        </is>
      </c>
      <c r="E2340" s="25" t="inlineStr">
        <is>
          <t>북</t>
        </is>
      </c>
      <c r="F2340" s="30" t="n">
        <v>7</v>
      </c>
      <c r="G2340" s="29" t="n"/>
      <c r="H2340" s="42" t="n"/>
      <c r="I2340" s="40" t="n"/>
      <c r="J2340" s="40" t="n"/>
      <c r="K2340" s="40" t="n"/>
      <c r="L2340" s="30">
        <f>IF(COUNT(I2340:K2340)=0,"",MEDIAN(I2340:K2340))</f>
        <v/>
      </c>
      <c r="M2340" s="25">
        <f>IF(COUNTIFS($C:$C,$C2340,$D:$D,"P0(전)",$L:$L,"&gt;0")&lt;&gt;1,"P0(전) 유효 1개 아님",IF(COUNTIFS($C:$C,$C2340,$D:$D,"P0(후)",$L:$L,"&gt;0")&lt;&gt;1,"P0(후) 유효 1개 아님",IF(NOT(AND(ISNUMBER(N2340),ISNUMBER(P2340),ISNUMBER(H2340))),"시각 결측",IF(P2340&lt;=N2340,"P0 시각 역전",IF(OR(H2340&lt;N2340,H2340&gt;P2340),"측정시각 구간 밖","OK")))))</f>
        <v/>
      </c>
      <c r="N2340" s="45">
        <f>IF(COUNTIFS($C:$C,$C2340,$D:$D,"P0(전)",$L:$L,"&gt;0")&lt;&gt;1,"",SUMIFS($H:$H,$C:$C,$C2340,$D:$D,"P0(전)"))</f>
        <v/>
      </c>
      <c r="O2340" s="30">
        <f>IF(COUNTIFS($C:$C,$C2340,$D:$D,"P0(전)",$L:$L,"&gt;0")&lt;&gt;1,"",SUMIFS($L:$L,$C:$C,$C2340,$D:$D,"P0(전)"))</f>
        <v/>
      </c>
      <c r="P2340" s="45">
        <f>IF(COUNTIFS($C:$C,$C2340,$D:$D,"P0(후)",$L:$L,"&gt;0")&lt;&gt;1,"",SUMIFS($H:$H,$C:$C,$C2340,$D:$D,"P0(후)"))</f>
        <v/>
      </c>
      <c r="Q2340" s="30">
        <f>IF(COUNTIFS($C:$C,$C2340,$D:$D,"P0(후)",$L:$L,"&gt;0")&lt;&gt;1,"",SUMIFS($L:$L,$C:$C,$C2340,$D:$D,"P0(후)"))</f>
        <v/>
      </c>
      <c r="R2340" s="30">
        <f>IF(M2340&lt;&gt;"OK","",O2340+(Q2340-O2340)*(H2340-N2340)/(P2340-N2340))</f>
        <v/>
      </c>
      <c r="S2340" s="30">
        <f>IF(OR(M2340&lt;&gt;"OK",NOT(ISNUMBER(L2340))),"",L2340-R2340)</f>
        <v/>
      </c>
      <c r="T2340" s="46">
        <f>IF(OR(NOT(ISNUMBER(S2340)),IF(ISNUMBER(G2340),G2340,F2340)=0),"",S2340/IF(ISNUMBER(G2340),G2340,F2340))</f>
        <v/>
      </c>
      <c r="U2340" s="46">
        <f>IF(ISNUMBER(T2340),ABS(T2340),"")</f>
        <v/>
      </c>
      <c r="V2340" s="46">
        <f>IF(OR($D2339&lt;&gt;"측정",$C2339&lt;&gt;$C2340,NOT(ISNUMBER(L2340)),NOT(ISNUMBER(L2339)),(IF(ISNUMBER(G2340),G2340,F2340)-IF(ISNUMBER(G2339),G2339,F2339))=0),"",(L2340-L2339)/(IF(ISNUMBER(G2340),G2340,F2340)-IF(ISNUMBER(G2339),G2339,F2339)))</f>
        <v/>
      </c>
      <c r="W2340" s="30">
        <f>IF(NOT(AND(ISNUMBER(N2340),ISNUMBER(P2340))),"",(P2340-N2340)*1440)</f>
        <v/>
      </c>
      <c r="X2340" s="28" t="n"/>
      <c r="Y2340" s="28" t="n"/>
      <c r="Z2340" s="28" t="n"/>
      <c r="AA2340" s="31" t="n"/>
      <c r="AB2340" s="31" t="n"/>
    </row>
    <row r="2341">
      <c r="A2341" s="25" t="inlineStr">
        <is>
          <t>S45</t>
        </is>
      </c>
      <c r="B2341" s="25" t="inlineStr">
        <is>
          <t>여주</t>
        </is>
      </c>
      <c r="C2341" s="25" t="inlineStr">
        <is>
          <t>S45-H북</t>
        </is>
      </c>
      <c r="D2341" s="25" t="inlineStr">
        <is>
          <t>측정</t>
        </is>
      </c>
      <c r="E2341" s="25" t="inlineStr">
        <is>
          <t>북</t>
        </is>
      </c>
      <c r="F2341" s="30" t="n">
        <v>8</v>
      </c>
      <c r="G2341" s="29" t="n"/>
      <c r="H2341" s="42" t="n"/>
      <c r="I2341" s="40" t="n"/>
      <c r="J2341" s="40" t="n"/>
      <c r="K2341" s="40" t="n"/>
      <c r="L2341" s="30">
        <f>IF(COUNT(I2341:K2341)=0,"",MEDIAN(I2341:K2341))</f>
        <v/>
      </c>
      <c r="M2341" s="25">
        <f>IF(COUNTIFS($C:$C,$C2341,$D:$D,"P0(전)",$L:$L,"&gt;0")&lt;&gt;1,"P0(전) 유효 1개 아님",IF(COUNTIFS($C:$C,$C2341,$D:$D,"P0(후)",$L:$L,"&gt;0")&lt;&gt;1,"P0(후) 유효 1개 아님",IF(NOT(AND(ISNUMBER(N2341),ISNUMBER(P2341),ISNUMBER(H2341))),"시각 결측",IF(P2341&lt;=N2341,"P0 시각 역전",IF(OR(H2341&lt;N2341,H2341&gt;P2341),"측정시각 구간 밖","OK")))))</f>
        <v/>
      </c>
      <c r="N2341" s="45">
        <f>IF(COUNTIFS($C:$C,$C2341,$D:$D,"P0(전)",$L:$L,"&gt;0")&lt;&gt;1,"",SUMIFS($H:$H,$C:$C,$C2341,$D:$D,"P0(전)"))</f>
        <v/>
      </c>
      <c r="O2341" s="30">
        <f>IF(COUNTIFS($C:$C,$C2341,$D:$D,"P0(전)",$L:$L,"&gt;0")&lt;&gt;1,"",SUMIFS($L:$L,$C:$C,$C2341,$D:$D,"P0(전)"))</f>
        <v/>
      </c>
      <c r="P2341" s="45">
        <f>IF(COUNTIFS($C:$C,$C2341,$D:$D,"P0(후)",$L:$L,"&gt;0")&lt;&gt;1,"",SUMIFS($H:$H,$C:$C,$C2341,$D:$D,"P0(후)"))</f>
        <v/>
      </c>
      <c r="Q2341" s="30">
        <f>IF(COUNTIFS($C:$C,$C2341,$D:$D,"P0(후)",$L:$L,"&gt;0")&lt;&gt;1,"",SUMIFS($L:$L,$C:$C,$C2341,$D:$D,"P0(후)"))</f>
        <v/>
      </c>
      <c r="R2341" s="30">
        <f>IF(M2341&lt;&gt;"OK","",O2341+(Q2341-O2341)*(H2341-N2341)/(P2341-N2341))</f>
        <v/>
      </c>
      <c r="S2341" s="30">
        <f>IF(OR(M2341&lt;&gt;"OK",NOT(ISNUMBER(L2341))),"",L2341-R2341)</f>
        <v/>
      </c>
      <c r="T2341" s="46">
        <f>IF(OR(NOT(ISNUMBER(S2341)),IF(ISNUMBER(G2341),G2341,F2341)=0),"",S2341/IF(ISNUMBER(G2341),G2341,F2341))</f>
        <v/>
      </c>
      <c r="U2341" s="46">
        <f>IF(ISNUMBER(T2341),ABS(T2341),"")</f>
        <v/>
      </c>
      <c r="V2341" s="46">
        <f>IF(OR($D2340&lt;&gt;"측정",$C2340&lt;&gt;$C2341,NOT(ISNUMBER(L2341)),NOT(ISNUMBER(L2340)),(IF(ISNUMBER(G2341),G2341,F2341)-IF(ISNUMBER(G2340),G2340,F2340))=0),"",(L2341-L2340)/(IF(ISNUMBER(G2341),G2341,F2341)-IF(ISNUMBER(G2340),G2340,F2340)))</f>
        <v/>
      </c>
      <c r="W2341" s="30">
        <f>IF(NOT(AND(ISNUMBER(N2341),ISNUMBER(P2341))),"",(P2341-N2341)*1440)</f>
        <v/>
      </c>
      <c r="X2341" s="28" t="n"/>
      <c r="Y2341" s="28" t="n"/>
      <c r="Z2341" s="28" t="n"/>
      <c r="AA2341" s="31" t="n"/>
      <c r="AB2341" s="31" t="n"/>
    </row>
    <row r="2342">
      <c r="A2342" s="25" t="inlineStr">
        <is>
          <t>S45</t>
        </is>
      </c>
      <c r="B2342" s="25" t="inlineStr">
        <is>
          <t>여주</t>
        </is>
      </c>
      <c r="C2342" s="25" t="inlineStr">
        <is>
          <t>S45-H북</t>
        </is>
      </c>
      <c r="D2342" s="25" t="inlineStr">
        <is>
          <t>측정</t>
        </is>
      </c>
      <c r="E2342" s="25" t="inlineStr">
        <is>
          <t>북</t>
        </is>
      </c>
      <c r="F2342" s="30" t="n">
        <v>9</v>
      </c>
      <c r="G2342" s="29" t="n"/>
      <c r="H2342" s="42" t="n"/>
      <c r="I2342" s="40" t="n"/>
      <c r="J2342" s="40" t="n"/>
      <c r="K2342" s="40" t="n"/>
      <c r="L2342" s="30">
        <f>IF(COUNT(I2342:K2342)=0,"",MEDIAN(I2342:K2342))</f>
        <v/>
      </c>
      <c r="M2342" s="25">
        <f>IF(COUNTIFS($C:$C,$C2342,$D:$D,"P0(전)",$L:$L,"&gt;0")&lt;&gt;1,"P0(전) 유효 1개 아님",IF(COUNTIFS($C:$C,$C2342,$D:$D,"P0(후)",$L:$L,"&gt;0")&lt;&gt;1,"P0(후) 유효 1개 아님",IF(NOT(AND(ISNUMBER(N2342),ISNUMBER(P2342),ISNUMBER(H2342))),"시각 결측",IF(P2342&lt;=N2342,"P0 시각 역전",IF(OR(H2342&lt;N2342,H2342&gt;P2342),"측정시각 구간 밖","OK")))))</f>
        <v/>
      </c>
      <c r="N2342" s="45">
        <f>IF(COUNTIFS($C:$C,$C2342,$D:$D,"P0(전)",$L:$L,"&gt;0")&lt;&gt;1,"",SUMIFS($H:$H,$C:$C,$C2342,$D:$D,"P0(전)"))</f>
        <v/>
      </c>
      <c r="O2342" s="30">
        <f>IF(COUNTIFS($C:$C,$C2342,$D:$D,"P0(전)",$L:$L,"&gt;0")&lt;&gt;1,"",SUMIFS($L:$L,$C:$C,$C2342,$D:$D,"P0(전)"))</f>
        <v/>
      </c>
      <c r="P2342" s="45">
        <f>IF(COUNTIFS($C:$C,$C2342,$D:$D,"P0(후)",$L:$L,"&gt;0")&lt;&gt;1,"",SUMIFS($H:$H,$C:$C,$C2342,$D:$D,"P0(후)"))</f>
        <v/>
      </c>
      <c r="Q2342" s="30">
        <f>IF(COUNTIFS($C:$C,$C2342,$D:$D,"P0(후)",$L:$L,"&gt;0")&lt;&gt;1,"",SUMIFS($L:$L,$C:$C,$C2342,$D:$D,"P0(후)"))</f>
        <v/>
      </c>
      <c r="R2342" s="30">
        <f>IF(M2342&lt;&gt;"OK","",O2342+(Q2342-O2342)*(H2342-N2342)/(P2342-N2342))</f>
        <v/>
      </c>
      <c r="S2342" s="30">
        <f>IF(OR(M2342&lt;&gt;"OK",NOT(ISNUMBER(L2342))),"",L2342-R2342)</f>
        <v/>
      </c>
      <c r="T2342" s="46">
        <f>IF(OR(NOT(ISNUMBER(S2342)),IF(ISNUMBER(G2342),G2342,F2342)=0),"",S2342/IF(ISNUMBER(G2342),G2342,F2342))</f>
        <v/>
      </c>
      <c r="U2342" s="46">
        <f>IF(ISNUMBER(T2342),ABS(T2342),"")</f>
        <v/>
      </c>
      <c r="V2342" s="46">
        <f>IF(OR($D2341&lt;&gt;"측정",$C2341&lt;&gt;$C2342,NOT(ISNUMBER(L2342)),NOT(ISNUMBER(L2341)),(IF(ISNUMBER(G2342),G2342,F2342)-IF(ISNUMBER(G2341),G2341,F2341))=0),"",(L2342-L2341)/(IF(ISNUMBER(G2342),G2342,F2342)-IF(ISNUMBER(G2341),G2341,F2341)))</f>
        <v/>
      </c>
      <c r="W2342" s="30">
        <f>IF(NOT(AND(ISNUMBER(N2342),ISNUMBER(P2342))),"",(P2342-N2342)*1440)</f>
        <v/>
      </c>
      <c r="X2342" s="28" t="n"/>
      <c r="Y2342" s="28" t="n"/>
      <c r="Z2342" s="28" t="n"/>
      <c r="AA2342" s="31" t="n"/>
      <c r="AB2342" s="31" t="n"/>
    </row>
    <row r="2343">
      <c r="A2343" s="25" t="inlineStr">
        <is>
          <t>S45</t>
        </is>
      </c>
      <c r="B2343" s="25" t="inlineStr">
        <is>
          <t>여주</t>
        </is>
      </c>
      <c r="C2343" s="25" t="inlineStr">
        <is>
          <t>S45-H북</t>
        </is>
      </c>
      <c r="D2343" s="25" t="inlineStr">
        <is>
          <t>측정</t>
        </is>
      </c>
      <c r="E2343" s="25" t="inlineStr">
        <is>
          <t>북</t>
        </is>
      </c>
      <c r="F2343" s="30" t="n">
        <v>10</v>
      </c>
      <c r="G2343" s="29" t="n"/>
      <c r="H2343" s="42" t="n"/>
      <c r="I2343" s="40" t="n"/>
      <c r="J2343" s="40" t="n"/>
      <c r="K2343" s="40" t="n"/>
      <c r="L2343" s="30">
        <f>IF(COUNT(I2343:K2343)=0,"",MEDIAN(I2343:K2343))</f>
        <v/>
      </c>
      <c r="M2343" s="25">
        <f>IF(COUNTIFS($C:$C,$C2343,$D:$D,"P0(전)",$L:$L,"&gt;0")&lt;&gt;1,"P0(전) 유효 1개 아님",IF(COUNTIFS($C:$C,$C2343,$D:$D,"P0(후)",$L:$L,"&gt;0")&lt;&gt;1,"P0(후) 유효 1개 아님",IF(NOT(AND(ISNUMBER(N2343),ISNUMBER(P2343),ISNUMBER(H2343))),"시각 결측",IF(P2343&lt;=N2343,"P0 시각 역전",IF(OR(H2343&lt;N2343,H2343&gt;P2343),"측정시각 구간 밖","OK")))))</f>
        <v/>
      </c>
      <c r="N2343" s="45">
        <f>IF(COUNTIFS($C:$C,$C2343,$D:$D,"P0(전)",$L:$L,"&gt;0")&lt;&gt;1,"",SUMIFS($H:$H,$C:$C,$C2343,$D:$D,"P0(전)"))</f>
        <v/>
      </c>
      <c r="O2343" s="30">
        <f>IF(COUNTIFS($C:$C,$C2343,$D:$D,"P0(전)",$L:$L,"&gt;0")&lt;&gt;1,"",SUMIFS($L:$L,$C:$C,$C2343,$D:$D,"P0(전)"))</f>
        <v/>
      </c>
      <c r="P2343" s="45">
        <f>IF(COUNTIFS($C:$C,$C2343,$D:$D,"P0(후)",$L:$L,"&gt;0")&lt;&gt;1,"",SUMIFS($H:$H,$C:$C,$C2343,$D:$D,"P0(후)"))</f>
        <v/>
      </c>
      <c r="Q2343" s="30">
        <f>IF(COUNTIFS($C:$C,$C2343,$D:$D,"P0(후)",$L:$L,"&gt;0")&lt;&gt;1,"",SUMIFS($L:$L,$C:$C,$C2343,$D:$D,"P0(후)"))</f>
        <v/>
      </c>
      <c r="R2343" s="30">
        <f>IF(M2343&lt;&gt;"OK","",O2343+(Q2343-O2343)*(H2343-N2343)/(P2343-N2343))</f>
        <v/>
      </c>
      <c r="S2343" s="30">
        <f>IF(OR(M2343&lt;&gt;"OK",NOT(ISNUMBER(L2343))),"",L2343-R2343)</f>
        <v/>
      </c>
      <c r="T2343" s="46">
        <f>IF(OR(NOT(ISNUMBER(S2343)),IF(ISNUMBER(G2343),G2343,F2343)=0),"",S2343/IF(ISNUMBER(G2343),G2343,F2343))</f>
        <v/>
      </c>
      <c r="U2343" s="46">
        <f>IF(ISNUMBER(T2343),ABS(T2343),"")</f>
        <v/>
      </c>
      <c r="V2343" s="46">
        <f>IF(OR($D2342&lt;&gt;"측정",$C2342&lt;&gt;$C2343,NOT(ISNUMBER(L2343)),NOT(ISNUMBER(L2342)),(IF(ISNUMBER(G2343),G2343,F2343)-IF(ISNUMBER(G2342),G2342,F2342))=0),"",(L2343-L2342)/(IF(ISNUMBER(G2343),G2343,F2343)-IF(ISNUMBER(G2342),G2342,F2342)))</f>
        <v/>
      </c>
      <c r="W2343" s="30">
        <f>IF(NOT(AND(ISNUMBER(N2343),ISNUMBER(P2343))),"",(P2343-N2343)*1440)</f>
        <v/>
      </c>
      <c r="X2343" s="28" t="n"/>
      <c r="Y2343" s="28" t="n"/>
      <c r="Z2343" s="28" t="n"/>
      <c r="AA2343" s="31" t="n"/>
      <c r="AB2343" s="31" t="n"/>
    </row>
    <row r="2344">
      <c r="A2344" s="43" t="inlineStr">
        <is>
          <t>S45</t>
        </is>
      </c>
      <c r="B2344" s="43" t="inlineStr">
        <is>
          <t>여주</t>
        </is>
      </c>
      <c r="C2344" s="43" t="inlineStr">
        <is>
          <t>S45-H북</t>
        </is>
      </c>
      <c r="D2344" s="43" t="inlineStr">
        <is>
          <t>P0(후)</t>
        </is>
      </c>
      <c r="E2344" s="43" t="inlineStr">
        <is>
          <t>북</t>
        </is>
      </c>
      <c r="F2344" s="44" t="n"/>
      <c r="G2344" s="29" t="n"/>
      <c r="H2344" s="42" t="n"/>
      <c r="I2344" s="40" t="n"/>
      <c r="J2344" s="40" t="n"/>
      <c r="K2344" s="40" t="n"/>
      <c r="L2344" s="30">
        <f>IF(COUNT(I2344:K2344)=0,"",MEDIAN(I2344:K2344))</f>
        <v/>
      </c>
      <c r="M2344" s="37" t="n"/>
      <c r="N2344" s="37" t="n"/>
      <c r="O2344" s="37" t="n"/>
      <c r="P2344" s="37" t="n"/>
      <c r="Q2344" s="37" t="n"/>
      <c r="R2344" s="37" t="n"/>
      <c r="S2344" s="37" t="n"/>
      <c r="T2344" s="37" t="n"/>
      <c r="U2344" s="37" t="n"/>
      <c r="V2344" s="37" t="n"/>
      <c r="W2344" s="37" t="n"/>
      <c r="X2344" s="28" t="n"/>
      <c r="Y2344" s="28" t="n"/>
      <c r="Z2344" s="28" t="n"/>
      <c r="AA2344" s="31" t="n"/>
      <c r="AB2344" s="31" t="n"/>
    </row>
    <row r="2345">
      <c r="A2345" s="43" t="inlineStr">
        <is>
          <t>S46</t>
        </is>
      </c>
      <c r="B2345" s="43" t="inlineStr">
        <is>
          <t>화천</t>
        </is>
      </c>
      <c r="C2345" s="43" t="inlineStr">
        <is>
          <t>S46-H동</t>
        </is>
      </c>
      <c r="D2345" s="43" t="inlineStr">
        <is>
          <t>P0(전)</t>
        </is>
      </c>
      <c r="E2345" s="43" t="inlineStr">
        <is>
          <t>동</t>
        </is>
      </c>
      <c r="F2345" s="44" t="n"/>
      <c r="G2345" s="29" t="n"/>
      <c r="H2345" s="42" t="n"/>
      <c r="I2345" s="40" t="n"/>
      <c r="J2345" s="40" t="n"/>
      <c r="K2345" s="40" t="n"/>
      <c r="L2345" s="30">
        <f>IF(COUNT(I2345:K2345)=0,"",MEDIAN(I2345:K2345))</f>
        <v/>
      </c>
      <c r="M2345" s="37" t="n"/>
      <c r="N2345" s="37" t="n"/>
      <c r="O2345" s="37" t="n"/>
      <c r="P2345" s="37" t="n"/>
      <c r="Q2345" s="37" t="n"/>
      <c r="R2345" s="37" t="n"/>
      <c r="S2345" s="37" t="n"/>
      <c r="T2345" s="37" t="n"/>
      <c r="U2345" s="37" t="n"/>
      <c r="V2345" s="37" t="n"/>
      <c r="W2345" s="37" t="n"/>
      <c r="X2345" s="28" t="n"/>
      <c r="Y2345" s="28" t="n"/>
      <c r="Z2345" s="28" t="n"/>
      <c r="AA2345" s="31" t="n"/>
      <c r="AB2345" s="31" t="n"/>
    </row>
    <row r="2346">
      <c r="A2346" s="25" t="inlineStr">
        <is>
          <t>S46</t>
        </is>
      </c>
      <c r="B2346" s="25" t="inlineStr">
        <is>
          <t>화천</t>
        </is>
      </c>
      <c r="C2346" s="25" t="inlineStr">
        <is>
          <t>S46-H동</t>
        </is>
      </c>
      <c r="D2346" s="25" t="inlineStr">
        <is>
          <t>측정</t>
        </is>
      </c>
      <c r="E2346" s="25" t="inlineStr">
        <is>
          <t>동</t>
        </is>
      </c>
      <c r="F2346" s="30" t="n">
        <v>0.5</v>
      </c>
      <c r="G2346" s="29" t="n"/>
      <c r="H2346" s="42" t="n"/>
      <c r="I2346" s="40" t="n"/>
      <c r="J2346" s="40" t="n"/>
      <c r="K2346" s="40" t="n"/>
      <c r="L2346" s="30">
        <f>IF(COUNT(I2346:K2346)=0,"",MEDIAN(I2346:K2346))</f>
        <v/>
      </c>
      <c r="M2346" s="25">
        <f>IF(COUNTIFS($C:$C,$C2346,$D:$D,"P0(전)",$L:$L,"&gt;0")&lt;&gt;1,"P0(전) 유효 1개 아님",IF(COUNTIFS($C:$C,$C2346,$D:$D,"P0(후)",$L:$L,"&gt;0")&lt;&gt;1,"P0(후) 유효 1개 아님",IF(NOT(AND(ISNUMBER(N2346),ISNUMBER(P2346),ISNUMBER(H2346))),"시각 결측",IF(P2346&lt;=N2346,"P0 시각 역전",IF(OR(H2346&lt;N2346,H2346&gt;P2346),"측정시각 구간 밖","OK")))))</f>
        <v/>
      </c>
      <c r="N2346" s="45">
        <f>IF(COUNTIFS($C:$C,$C2346,$D:$D,"P0(전)",$L:$L,"&gt;0")&lt;&gt;1,"",SUMIFS($H:$H,$C:$C,$C2346,$D:$D,"P0(전)"))</f>
        <v/>
      </c>
      <c r="O2346" s="30">
        <f>IF(COUNTIFS($C:$C,$C2346,$D:$D,"P0(전)",$L:$L,"&gt;0")&lt;&gt;1,"",SUMIFS($L:$L,$C:$C,$C2346,$D:$D,"P0(전)"))</f>
        <v/>
      </c>
      <c r="P2346" s="45">
        <f>IF(COUNTIFS($C:$C,$C2346,$D:$D,"P0(후)",$L:$L,"&gt;0")&lt;&gt;1,"",SUMIFS($H:$H,$C:$C,$C2346,$D:$D,"P0(후)"))</f>
        <v/>
      </c>
      <c r="Q2346" s="30">
        <f>IF(COUNTIFS($C:$C,$C2346,$D:$D,"P0(후)",$L:$L,"&gt;0")&lt;&gt;1,"",SUMIFS($L:$L,$C:$C,$C2346,$D:$D,"P0(후)"))</f>
        <v/>
      </c>
      <c r="R2346" s="30">
        <f>IF(M2346&lt;&gt;"OK","",O2346+(Q2346-O2346)*(H2346-N2346)/(P2346-N2346))</f>
        <v/>
      </c>
      <c r="S2346" s="30">
        <f>IF(OR(M2346&lt;&gt;"OK",NOT(ISNUMBER(L2346))),"",L2346-R2346)</f>
        <v/>
      </c>
      <c r="T2346" s="46">
        <f>IF(OR(NOT(ISNUMBER(S2346)),IF(ISNUMBER(G2346),G2346,F2346)=0),"",S2346/IF(ISNUMBER(G2346),G2346,F2346))</f>
        <v/>
      </c>
      <c r="U2346" s="46">
        <f>IF(ISNUMBER(T2346),ABS(T2346),"")</f>
        <v/>
      </c>
      <c r="V2346" s="46">
        <f>IF(OR($D2345&lt;&gt;"측정",$C2345&lt;&gt;$C2346,NOT(ISNUMBER(L2346)),NOT(ISNUMBER(L2345)),(IF(ISNUMBER(G2346),G2346,F2346)-IF(ISNUMBER(G2345),G2345,F2345))=0),"",(L2346-L2345)/(IF(ISNUMBER(G2346),G2346,F2346)-IF(ISNUMBER(G2345),G2345,F2345)))</f>
        <v/>
      </c>
      <c r="W2346" s="30">
        <f>IF(NOT(AND(ISNUMBER(N2346),ISNUMBER(P2346))),"",(P2346-N2346)*1440)</f>
        <v/>
      </c>
      <c r="X2346" s="28" t="n"/>
      <c r="Y2346" s="28" t="n"/>
      <c r="Z2346" s="28" t="n"/>
      <c r="AA2346" s="31" t="n"/>
      <c r="AB2346" s="31" t="n"/>
    </row>
    <row r="2347">
      <c r="A2347" s="25" t="inlineStr">
        <is>
          <t>S46</t>
        </is>
      </c>
      <c r="B2347" s="25" t="inlineStr">
        <is>
          <t>화천</t>
        </is>
      </c>
      <c r="C2347" s="25" t="inlineStr">
        <is>
          <t>S46-H동</t>
        </is>
      </c>
      <c r="D2347" s="25" t="inlineStr">
        <is>
          <t>측정</t>
        </is>
      </c>
      <c r="E2347" s="25" t="inlineStr">
        <is>
          <t>동</t>
        </is>
      </c>
      <c r="F2347" s="30" t="n">
        <v>1</v>
      </c>
      <c r="G2347" s="29" t="n"/>
      <c r="H2347" s="42" t="n"/>
      <c r="I2347" s="40" t="n"/>
      <c r="J2347" s="40" t="n"/>
      <c r="K2347" s="40" t="n"/>
      <c r="L2347" s="30">
        <f>IF(COUNT(I2347:K2347)=0,"",MEDIAN(I2347:K2347))</f>
        <v/>
      </c>
      <c r="M2347" s="25">
        <f>IF(COUNTIFS($C:$C,$C2347,$D:$D,"P0(전)",$L:$L,"&gt;0")&lt;&gt;1,"P0(전) 유효 1개 아님",IF(COUNTIFS($C:$C,$C2347,$D:$D,"P0(후)",$L:$L,"&gt;0")&lt;&gt;1,"P0(후) 유효 1개 아님",IF(NOT(AND(ISNUMBER(N2347),ISNUMBER(P2347),ISNUMBER(H2347))),"시각 결측",IF(P2347&lt;=N2347,"P0 시각 역전",IF(OR(H2347&lt;N2347,H2347&gt;P2347),"측정시각 구간 밖","OK")))))</f>
        <v/>
      </c>
      <c r="N2347" s="45">
        <f>IF(COUNTIFS($C:$C,$C2347,$D:$D,"P0(전)",$L:$L,"&gt;0")&lt;&gt;1,"",SUMIFS($H:$H,$C:$C,$C2347,$D:$D,"P0(전)"))</f>
        <v/>
      </c>
      <c r="O2347" s="30">
        <f>IF(COUNTIFS($C:$C,$C2347,$D:$D,"P0(전)",$L:$L,"&gt;0")&lt;&gt;1,"",SUMIFS($L:$L,$C:$C,$C2347,$D:$D,"P0(전)"))</f>
        <v/>
      </c>
      <c r="P2347" s="45">
        <f>IF(COUNTIFS($C:$C,$C2347,$D:$D,"P0(후)",$L:$L,"&gt;0")&lt;&gt;1,"",SUMIFS($H:$H,$C:$C,$C2347,$D:$D,"P0(후)"))</f>
        <v/>
      </c>
      <c r="Q2347" s="30">
        <f>IF(COUNTIFS($C:$C,$C2347,$D:$D,"P0(후)",$L:$L,"&gt;0")&lt;&gt;1,"",SUMIFS($L:$L,$C:$C,$C2347,$D:$D,"P0(후)"))</f>
        <v/>
      </c>
      <c r="R2347" s="30">
        <f>IF(M2347&lt;&gt;"OK","",O2347+(Q2347-O2347)*(H2347-N2347)/(P2347-N2347))</f>
        <v/>
      </c>
      <c r="S2347" s="30">
        <f>IF(OR(M2347&lt;&gt;"OK",NOT(ISNUMBER(L2347))),"",L2347-R2347)</f>
        <v/>
      </c>
      <c r="T2347" s="46">
        <f>IF(OR(NOT(ISNUMBER(S2347)),IF(ISNUMBER(G2347),G2347,F2347)=0),"",S2347/IF(ISNUMBER(G2347),G2347,F2347))</f>
        <v/>
      </c>
      <c r="U2347" s="46">
        <f>IF(ISNUMBER(T2347),ABS(T2347),"")</f>
        <v/>
      </c>
      <c r="V2347" s="46">
        <f>IF(OR($D2346&lt;&gt;"측정",$C2346&lt;&gt;$C2347,NOT(ISNUMBER(L2347)),NOT(ISNUMBER(L2346)),(IF(ISNUMBER(G2347),G2347,F2347)-IF(ISNUMBER(G2346),G2346,F2346))=0),"",(L2347-L2346)/(IF(ISNUMBER(G2347),G2347,F2347)-IF(ISNUMBER(G2346),G2346,F2346)))</f>
        <v/>
      </c>
      <c r="W2347" s="30">
        <f>IF(NOT(AND(ISNUMBER(N2347),ISNUMBER(P2347))),"",(P2347-N2347)*1440)</f>
        <v/>
      </c>
      <c r="X2347" s="28" t="n"/>
      <c r="Y2347" s="28" t="n"/>
      <c r="Z2347" s="28" t="n"/>
      <c r="AA2347" s="31" t="n"/>
      <c r="AB2347" s="31" t="n"/>
    </row>
    <row r="2348">
      <c r="A2348" s="25" t="inlineStr">
        <is>
          <t>S46</t>
        </is>
      </c>
      <c r="B2348" s="25" t="inlineStr">
        <is>
          <t>화천</t>
        </is>
      </c>
      <c r="C2348" s="25" t="inlineStr">
        <is>
          <t>S46-H동</t>
        </is>
      </c>
      <c r="D2348" s="25" t="inlineStr">
        <is>
          <t>측정</t>
        </is>
      </c>
      <c r="E2348" s="25" t="inlineStr">
        <is>
          <t>동</t>
        </is>
      </c>
      <c r="F2348" s="30" t="n">
        <v>2</v>
      </c>
      <c r="G2348" s="29" t="n"/>
      <c r="H2348" s="42" t="n"/>
      <c r="I2348" s="40" t="n"/>
      <c r="J2348" s="40" t="n"/>
      <c r="K2348" s="40" t="n"/>
      <c r="L2348" s="30">
        <f>IF(COUNT(I2348:K2348)=0,"",MEDIAN(I2348:K2348))</f>
        <v/>
      </c>
      <c r="M2348" s="25">
        <f>IF(COUNTIFS($C:$C,$C2348,$D:$D,"P0(전)",$L:$L,"&gt;0")&lt;&gt;1,"P0(전) 유효 1개 아님",IF(COUNTIFS($C:$C,$C2348,$D:$D,"P0(후)",$L:$L,"&gt;0")&lt;&gt;1,"P0(후) 유효 1개 아님",IF(NOT(AND(ISNUMBER(N2348),ISNUMBER(P2348),ISNUMBER(H2348))),"시각 결측",IF(P2348&lt;=N2348,"P0 시각 역전",IF(OR(H2348&lt;N2348,H2348&gt;P2348),"측정시각 구간 밖","OK")))))</f>
        <v/>
      </c>
      <c r="N2348" s="45">
        <f>IF(COUNTIFS($C:$C,$C2348,$D:$D,"P0(전)",$L:$L,"&gt;0")&lt;&gt;1,"",SUMIFS($H:$H,$C:$C,$C2348,$D:$D,"P0(전)"))</f>
        <v/>
      </c>
      <c r="O2348" s="30">
        <f>IF(COUNTIFS($C:$C,$C2348,$D:$D,"P0(전)",$L:$L,"&gt;0")&lt;&gt;1,"",SUMIFS($L:$L,$C:$C,$C2348,$D:$D,"P0(전)"))</f>
        <v/>
      </c>
      <c r="P2348" s="45">
        <f>IF(COUNTIFS($C:$C,$C2348,$D:$D,"P0(후)",$L:$L,"&gt;0")&lt;&gt;1,"",SUMIFS($H:$H,$C:$C,$C2348,$D:$D,"P0(후)"))</f>
        <v/>
      </c>
      <c r="Q2348" s="30">
        <f>IF(COUNTIFS($C:$C,$C2348,$D:$D,"P0(후)",$L:$L,"&gt;0")&lt;&gt;1,"",SUMIFS($L:$L,$C:$C,$C2348,$D:$D,"P0(후)"))</f>
        <v/>
      </c>
      <c r="R2348" s="30">
        <f>IF(M2348&lt;&gt;"OK","",O2348+(Q2348-O2348)*(H2348-N2348)/(P2348-N2348))</f>
        <v/>
      </c>
      <c r="S2348" s="30">
        <f>IF(OR(M2348&lt;&gt;"OK",NOT(ISNUMBER(L2348))),"",L2348-R2348)</f>
        <v/>
      </c>
      <c r="T2348" s="46">
        <f>IF(OR(NOT(ISNUMBER(S2348)),IF(ISNUMBER(G2348),G2348,F2348)=0),"",S2348/IF(ISNUMBER(G2348),G2348,F2348))</f>
        <v/>
      </c>
      <c r="U2348" s="46">
        <f>IF(ISNUMBER(T2348),ABS(T2348),"")</f>
        <v/>
      </c>
      <c r="V2348" s="46">
        <f>IF(OR($D2347&lt;&gt;"측정",$C2347&lt;&gt;$C2348,NOT(ISNUMBER(L2348)),NOT(ISNUMBER(L2347)),(IF(ISNUMBER(G2348),G2348,F2348)-IF(ISNUMBER(G2347),G2347,F2347))=0),"",(L2348-L2347)/(IF(ISNUMBER(G2348),G2348,F2348)-IF(ISNUMBER(G2347),G2347,F2347)))</f>
        <v/>
      </c>
      <c r="W2348" s="30">
        <f>IF(NOT(AND(ISNUMBER(N2348),ISNUMBER(P2348))),"",(P2348-N2348)*1440)</f>
        <v/>
      </c>
      <c r="X2348" s="28" t="n"/>
      <c r="Y2348" s="28" t="n"/>
      <c r="Z2348" s="28" t="n"/>
      <c r="AA2348" s="31" t="n"/>
      <c r="AB2348" s="31" t="n"/>
    </row>
    <row r="2349">
      <c r="A2349" s="25" t="inlineStr">
        <is>
          <t>S46</t>
        </is>
      </c>
      <c r="B2349" s="25" t="inlineStr">
        <is>
          <t>화천</t>
        </is>
      </c>
      <c r="C2349" s="25" t="inlineStr">
        <is>
          <t>S46-H동</t>
        </is>
      </c>
      <c r="D2349" s="25" t="inlineStr">
        <is>
          <t>측정</t>
        </is>
      </c>
      <c r="E2349" s="25" t="inlineStr">
        <is>
          <t>동</t>
        </is>
      </c>
      <c r="F2349" s="30" t="n">
        <v>3</v>
      </c>
      <c r="G2349" s="29" t="n"/>
      <c r="H2349" s="42" t="n"/>
      <c r="I2349" s="40" t="n"/>
      <c r="J2349" s="40" t="n"/>
      <c r="K2349" s="40" t="n"/>
      <c r="L2349" s="30">
        <f>IF(COUNT(I2349:K2349)=0,"",MEDIAN(I2349:K2349))</f>
        <v/>
      </c>
      <c r="M2349" s="25">
        <f>IF(COUNTIFS($C:$C,$C2349,$D:$D,"P0(전)",$L:$L,"&gt;0")&lt;&gt;1,"P0(전) 유효 1개 아님",IF(COUNTIFS($C:$C,$C2349,$D:$D,"P0(후)",$L:$L,"&gt;0")&lt;&gt;1,"P0(후) 유효 1개 아님",IF(NOT(AND(ISNUMBER(N2349),ISNUMBER(P2349),ISNUMBER(H2349))),"시각 결측",IF(P2349&lt;=N2349,"P0 시각 역전",IF(OR(H2349&lt;N2349,H2349&gt;P2349),"측정시각 구간 밖","OK")))))</f>
        <v/>
      </c>
      <c r="N2349" s="45">
        <f>IF(COUNTIFS($C:$C,$C2349,$D:$D,"P0(전)",$L:$L,"&gt;0")&lt;&gt;1,"",SUMIFS($H:$H,$C:$C,$C2349,$D:$D,"P0(전)"))</f>
        <v/>
      </c>
      <c r="O2349" s="30">
        <f>IF(COUNTIFS($C:$C,$C2349,$D:$D,"P0(전)",$L:$L,"&gt;0")&lt;&gt;1,"",SUMIFS($L:$L,$C:$C,$C2349,$D:$D,"P0(전)"))</f>
        <v/>
      </c>
      <c r="P2349" s="45">
        <f>IF(COUNTIFS($C:$C,$C2349,$D:$D,"P0(후)",$L:$L,"&gt;0")&lt;&gt;1,"",SUMIFS($H:$H,$C:$C,$C2349,$D:$D,"P0(후)"))</f>
        <v/>
      </c>
      <c r="Q2349" s="30">
        <f>IF(COUNTIFS($C:$C,$C2349,$D:$D,"P0(후)",$L:$L,"&gt;0")&lt;&gt;1,"",SUMIFS($L:$L,$C:$C,$C2349,$D:$D,"P0(후)"))</f>
        <v/>
      </c>
      <c r="R2349" s="30">
        <f>IF(M2349&lt;&gt;"OK","",O2349+(Q2349-O2349)*(H2349-N2349)/(P2349-N2349))</f>
        <v/>
      </c>
      <c r="S2349" s="30">
        <f>IF(OR(M2349&lt;&gt;"OK",NOT(ISNUMBER(L2349))),"",L2349-R2349)</f>
        <v/>
      </c>
      <c r="T2349" s="46">
        <f>IF(OR(NOT(ISNUMBER(S2349)),IF(ISNUMBER(G2349),G2349,F2349)=0),"",S2349/IF(ISNUMBER(G2349),G2349,F2349))</f>
        <v/>
      </c>
      <c r="U2349" s="46">
        <f>IF(ISNUMBER(T2349),ABS(T2349),"")</f>
        <v/>
      </c>
      <c r="V2349" s="46">
        <f>IF(OR($D2348&lt;&gt;"측정",$C2348&lt;&gt;$C2349,NOT(ISNUMBER(L2349)),NOT(ISNUMBER(L2348)),(IF(ISNUMBER(G2349),G2349,F2349)-IF(ISNUMBER(G2348),G2348,F2348))=0),"",(L2349-L2348)/(IF(ISNUMBER(G2349),G2349,F2349)-IF(ISNUMBER(G2348),G2348,F2348)))</f>
        <v/>
      </c>
      <c r="W2349" s="30">
        <f>IF(NOT(AND(ISNUMBER(N2349),ISNUMBER(P2349))),"",(P2349-N2349)*1440)</f>
        <v/>
      </c>
      <c r="X2349" s="28" t="n"/>
      <c r="Y2349" s="28" t="n"/>
      <c r="Z2349" s="28" t="n"/>
      <c r="AA2349" s="31" t="n"/>
      <c r="AB2349" s="31" t="n"/>
    </row>
    <row r="2350">
      <c r="A2350" s="25" t="inlineStr">
        <is>
          <t>S46</t>
        </is>
      </c>
      <c r="B2350" s="25" t="inlineStr">
        <is>
          <t>화천</t>
        </is>
      </c>
      <c r="C2350" s="25" t="inlineStr">
        <is>
          <t>S46-H동</t>
        </is>
      </c>
      <c r="D2350" s="25" t="inlineStr">
        <is>
          <t>측정</t>
        </is>
      </c>
      <c r="E2350" s="25" t="inlineStr">
        <is>
          <t>동</t>
        </is>
      </c>
      <c r="F2350" s="30" t="n">
        <v>4</v>
      </c>
      <c r="G2350" s="29" t="n"/>
      <c r="H2350" s="42" t="n"/>
      <c r="I2350" s="40" t="n"/>
      <c r="J2350" s="40" t="n"/>
      <c r="K2350" s="40" t="n"/>
      <c r="L2350" s="30">
        <f>IF(COUNT(I2350:K2350)=0,"",MEDIAN(I2350:K2350))</f>
        <v/>
      </c>
      <c r="M2350" s="25">
        <f>IF(COUNTIFS($C:$C,$C2350,$D:$D,"P0(전)",$L:$L,"&gt;0")&lt;&gt;1,"P0(전) 유효 1개 아님",IF(COUNTIFS($C:$C,$C2350,$D:$D,"P0(후)",$L:$L,"&gt;0")&lt;&gt;1,"P0(후) 유효 1개 아님",IF(NOT(AND(ISNUMBER(N2350),ISNUMBER(P2350),ISNUMBER(H2350))),"시각 결측",IF(P2350&lt;=N2350,"P0 시각 역전",IF(OR(H2350&lt;N2350,H2350&gt;P2350),"측정시각 구간 밖","OK")))))</f>
        <v/>
      </c>
      <c r="N2350" s="45">
        <f>IF(COUNTIFS($C:$C,$C2350,$D:$D,"P0(전)",$L:$L,"&gt;0")&lt;&gt;1,"",SUMIFS($H:$H,$C:$C,$C2350,$D:$D,"P0(전)"))</f>
        <v/>
      </c>
      <c r="O2350" s="30">
        <f>IF(COUNTIFS($C:$C,$C2350,$D:$D,"P0(전)",$L:$L,"&gt;0")&lt;&gt;1,"",SUMIFS($L:$L,$C:$C,$C2350,$D:$D,"P0(전)"))</f>
        <v/>
      </c>
      <c r="P2350" s="45">
        <f>IF(COUNTIFS($C:$C,$C2350,$D:$D,"P0(후)",$L:$L,"&gt;0")&lt;&gt;1,"",SUMIFS($H:$H,$C:$C,$C2350,$D:$D,"P0(후)"))</f>
        <v/>
      </c>
      <c r="Q2350" s="30">
        <f>IF(COUNTIFS($C:$C,$C2350,$D:$D,"P0(후)",$L:$L,"&gt;0")&lt;&gt;1,"",SUMIFS($L:$L,$C:$C,$C2350,$D:$D,"P0(후)"))</f>
        <v/>
      </c>
      <c r="R2350" s="30">
        <f>IF(M2350&lt;&gt;"OK","",O2350+(Q2350-O2350)*(H2350-N2350)/(P2350-N2350))</f>
        <v/>
      </c>
      <c r="S2350" s="30">
        <f>IF(OR(M2350&lt;&gt;"OK",NOT(ISNUMBER(L2350))),"",L2350-R2350)</f>
        <v/>
      </c>
      <c r="T2350" s="46">
        <f>IF(OR(NOT(ISNUMBER(S2350)),IF(ISNUMBER(G2350),G2350,F2350)=0),"",S2350/IF(ISNUMBER(G2350),G2350,F2350))</f>
        <v/>
      </c>
      <c r="U2350" s="46">
        <f>IF(ISNUMBER(T2350),ABS(T2350),"")</f>
        <v/>
      </c>
      <c r="V2350" s="46">
        <f>IF(OR($D2349&lt;&gt;"측정",$C2349&lt;&gt;$C2350,NOT(ISNUMBER(L2350)),NOT(ISNUMBER(L2349)),(IF(ISNUMBER(G2350),G2350,F2350)-IF(ISNUMBER(G2349),G2349,F2349))=0),"",(L2350-L2349)/(IF(ISNUMBER(G2350),G2350,F2350)-IF(ISNUMBER(G2349),G2349,F2349)))</f>
        <v/>
      </c>
      <c r="W2350" s="30">
        <f>IF(NOT(AND(ISNUMBER(N2350),ISNUMBER(P2350))),"",(P2350-N2350)*1440)</f>
        <v/>
      </c>
      <c r="X2350" s="28" t="n"/>
      <c r="Y2350" s="28" t="n"/>
      <c r="Z2350" s="28" t="n"/>
      <c r="AA2350" s="31" t="n"/>
      <c r="AB2350" s="31" t="n"/>
    </row>
    <row r="2351">
      <c r="A2351" s="25" t="inlineStr">
        <is>
          <t>S46</t>
        </is>
      </c>
      <c r="B2351" s="25" t="inlineStr">
        <is>
          <t>화천</t>
        </is>
      </c>
      <c r="C2351" s="25" t="inlineStr">
        <is>
          <t>S46-H동</t>
        </is>
      </c>
      <c r="D2351" s="25" t="inlineStr">
        <is>
          <t>측정</t>
        </is>
      </c>
      <c r="E2351" s="25" t="inlineStr">
        <is>
          <t>동</t>
        </is>
      </c>
      <c r="F2351" s="30" t="n">
        <v>5</v>
      </c>
      <c r="G2351" s="29" t="n"/>
      <c r="H2351" s="42" t="n"/>
      <c r="I2351" s="40" t="n"/>
      <c r="J2351" s="40" t="n"/>
      <c r="K2351" s="40" t="n"/>
      <c r="L2351" s="30">
        <f>IF(COUNT(I2351:K2351)=0,"",MEDIAN(I2351:K2351))</f>
        <v/>
      </c>
      <c r="M2351" s="25">
        <f>IF(COUNTIFS($C:$C,$C2351,$D:$D,"P0(전)",$L:$L,"&gt;0")&lt;&gt;1,"P0(전) 유효 1개 아님",IF(COUNTIFS($C:$C,$C2351,$D:$D,"P0(후)",$L:$L,"&gt;0")&lt;&gt;1,"P0(후) 유효 1개 아님",IF(NOT(AND(ISNUMBER(N2351),ISNUMBER(P2351),ISNUMBER(H2351))),"시각 결측",IF(P2351&lt;=N2351,"P0 시각 역전",IF(OR(H2351&lt;N2351,H2351&gt;P2351),"측정시각 구간 밖","OK")))))</f>
        <v/>
      </c>
      <c r="N2351" s="45">
        <f>IF(COUNTIFS($C:$C,$C2351,$D:$D,"P0(전)",$L:$L,"&gt;0")&lt;&gt;1,"",SUMIFS($H:$H,$C:$C,$C2351,$D:$D,"P0(전)"))</f>
        <v/>
      </c>
      <c r="O2351" s="30">
        <f>IF(COUNTIFS($C:$C,$C2351,$D:$D,"P0(전)",$L:$L,"&gt;0")&lt;&gt;1,"",SUMIFS($L:$L,$C:$C,$C2351,$D:$D,"P0(전)"))</f>
        <v/>
      </c>
      <c r="P2351" s="45">
        <f>IF(COUNTIFS($C:$C,$C2351,$D:$D,"P0(후)",$L:$L,"&gt;0")&lt;&gt;1,"",SUMIFS($H:$H,$C:$C,$C2351,$D:$D,"P0(후)"))</f>
        <v/>
      </c>
      <c r="Q2351" s="30">
        <f>IF(COUNTIFS($C:$C,$C2351,$D:$D,"P0(후)",$L:$L,"&gt;0")&lt;&gt;1,"",SUMIFS($L:$L,$C:$C,$C2351,$D:$D,"P0(후)"))</f>
        <v/>
      </c>
      <c r="R2351" s="30">
        <f>IF(M2351&lt;&gt;"OK","",O2351+(Q2351-O2351)*(H2351-N2351)/(P2351-N2351))</f>
        <v/>
      </c>
      <c r="S2351" s="30">
        <f>IF(OR(M2351&lt;&gt;"OK",NOT(ISNUMBER(L2351))),"",L2351-R2351)</f>
        <v/>
      </c>
      <c r="T2351" s="46">
        <f>IF(OR(NOT(ISNUMBER(S2351)),IF(ISNUMBER(G2351),G2351,F2351)=0),"",S2351/IF(ISNUMBER(G2351),G2351,F2351))</f>
        <v/>
      </c>
      <c r="U2351" s="46">
        <f>IF(ISNUMBER(T2351),ABS(T2351),"")</f>
        <v/>
      </c>
      <c r="V2351" s="46">
        <f>IF(OR($D2350&lt;&gt;"측정",$C2350&lt;&gt;$C2351,NOT(ISNUMBER(L2351)),NOT(ISNUMBER(L2350)),(IF(ISNUMBER(G2351),G2351,F2351)-IF(ISNUMBER(G2350),G2350,F2350))=0),"",(L2351-L2350)/(IF(ISNUMBER(G2351),G2351,F2351)-IF(ISNUMBER(G2350),G2350,F2350)))</f>
        <v/>
      </c>
      <c r="W2351" s="30">
        <f>IF(NOT(AND(ISNUMBER(N2351),ISNUMBER(P2351))),"",(P2351-N2351)*1440)</f>
        <v/>
      </c>
      <c r="X2351" s="28" t="n"/>
      <c r="Y2351" s="28" t="n"/>
      <c r="Z2351" s="28" t="n"/>
      <c r="AA2351" s="31" t="n"/>
      <c r="AB2351" s="31" t="n"/>
    </row>
    <row r="2352">
      <c r="A2352" s="25" t="inlineStr">
        <is>
          <t>S46</t>
        </is>
      </c>
      <c r="B2352" s="25" t="inlineStr">
        <is>
          <t>화천</t>
        </is>
      </c>
      <c r="C2352" s="25" t="inlineStr">
        <is>
          <t>S46-H동</t>
        </is>
      </c>
      <c r="D2352" s="25" t="inlineStr">
        <is>
          <t>측정</t>
        </is>
      </c>
      <c r="E2352" s="25" t="inlineStr">
        <is>
          <t>동</t>
        </is>
      </c>
      <c r="F2352" s="30" t="n">
        <v>6</v>
      </c>
      <c r="G2352" s="29" t="n"/>
      <c r="H2352" s="42" t="n"/>
      <c r="I2352" s="40" t="n"/>
      <c r="J2352" s="40" t="n"/>
      <c r="K2352" s="40" t="n"/>
      <c r="L2352" s="30">
        <f>IF(COUNT(I2352:K2352)=0,"",MEDIAN(I2352:K2352))</f>
        <v/>
      </c>
      <c r="M2352" s="25">
        <f>IF(COUNTIFS($C:$C,$C2352,$D:$D,"P0(전)",$L:$L,"&gt;0")&lt;&gt;1,"P0(전) 유효 1개 아님",IF(COUNTIFS($C:$C,$C2352,$D:$D,"P0(후)",$L:$L,"&gt;0")&lt;&gt;1,"P0(후) 유효 1개 아님",IF(NOT(AND(ISNUMBER(N2352),ISNUMBER(P2352),ISNUMBER(H2352))),"시각 결측",IF(P2352&lt;=N2352,"P0 시각 역전",IF(OR(H2352&lt;N2352,H2352&gt;P2352),"측정시각 구간 밖","OK")))))</f>
        <v/>
      </c>
      <c r="N2352" s="45">
        <f>IF(COUNTIFS($C:$C,$C2352,$D:$D,"P0(전)",$L:$L,"&gt;0")&lt;&gt;1,"",SUMIFS($H:$H,$C:$C,$C2352,$D:$D,"P0(전)"))</f>
        <v/>
      </c>
      <c r="O2352" s="30">
        <f>IF(COUNTIFS($C:$C,$C2352,$D:$D,"P0(전)",$L:$L,"&gt;0")&lt;&gt;1,"",SUMIFS($L:$L,$C:$C,$C2352,$D:$D,"P0(전)"))</f>
        <v/>
      </c>
      <c r="P2352" s="45">
        <f>IF(COUNTIFS($C:$C,$C2352,$D:$D,"P0(후)",$L:$L,"&gt;0")&lt;&gt;1,"",SUMIFS($H:$H,$C:$C,$C2352,$D:$D,"P0(후)"))</f>
        <v/>
      </c>
      <c r="Q2352" s="30">
        <f>IF(COUNTIFS($C:$C,$C2352,$D:$D,"P0(후)",$L:$L,"&gt;0")&lt;&gt;1,"",SUMIFS($L:$L,$C:$C,$C2352,$D:$D,"P0(후)"))</f>
        <v/>
      </c>
      <c r="R2352" s="30">
        <f>IF(M2352&lt;&gt;"OK","",O2352+(Q2352-O2352)*(H2352-N2352)/(P2352-N2352))</f>
        <v/>
      </c>
      <c r="S2352" s="30">
        <f>IF(OR(M2352&lt;&gt;"OK",NOT(ISNUMBER(L2352))),"",L2352-R2352)</f>
        <v/>
      </c>
      <c r="T2352" s="46">
        <f>IF(OR(NOT(ISNUMBER(S2352)),IF(ISNUMBER(G2352),G2352,F2352)=0),"",S2352/IF(ISNUMBER(G2352),G2352,F2352))</f>
        <v/>
      </c>
      <c r="U2352" s="46">
        <f>IF(ISNUMBER(T2352),ABS(T2352),"")</f>
        <v/>
      </c>
      <c r="V2352" s="46">
        <f>IF(OR($D2351&lt;&gt;"측정",$C2351&lt;&gt;$C2352,NOT(ISNUMBER(L2352)),NOT(ISNUMBER(L2351)),(IF(ISNUMBER(G2352),G2352,F2352)-IF(ISNUMBER(G2351),G2351,F2351))=0),"",(L2352-L2351)/(IF(ISNUMBER(G2352),G2352,F2352)-IF(ISNUMBER(G2351),G2351,F2351)))</f>
        <v/>
      </c>
      <c r="W2352" s="30">
        <f>IF(NOT(AND(ISNUMBER(N2352),ISNUMBER(P2352))),"",(P2352-N2352)*1440)</f>
        <v/>
      </c>
      <c r="X2352" s="28" t="n"/>
      <c r="Y2352" s="28" t="n"/>
      <c r="Z2352" s="28" t="n"/>
      <c r="AA2352" s="31" t="n"/>
      <c r="AB2352" s="31" t="n"/>
    </row>
    <row r="2353">
      <c r="A2353" s="25" t="inlineStr">
        <is>
          <t>S46</t>
        </is>
      </c>
      <c r="B2353" s="25" t="inlineStr">
        <is>
          <t>화천</t>
        </is>
      </c>
      <c r="C2353" s="25" t="inlineStr">
        <is>
          <t>S46-H동</t>
        </is>
      </c>
      <c r="D2353" s="25" t="inlineStr">
        <is>
          <t>측정</t>
        </is>
      </c>
      <c r="E2353" s="25" t="inlineStr">
        <is>
          <t>동</t>
        </is>
      </c>
      <c r="F2353" s="30" t="n">
        <v>7</v>
      </c>
      <c r="G2353" s="29" t="n"/>
      <c r="H2353" s="42" t="n"/>
      <c r="I2353" s="40" t="n"/>
      <c r="J2353" s="40" t="n"/>
      <c r="K2353" s="40" t="n"/>
      <c r="L2353" s="30">
        <f>IF(COUNT(I2353:K2353)=0,"",MEDIAN(I2353:K2353))</f>
        <v/>
      </c>
      <c r="M2353" s="25">
        <f>IF(COUNTIFS($C:$C,$C2353,$D:$D,"P0(전)",$L:$L,"&gt;0")&lt;&gt;1,"P0(전) 유효 1개 아님",IF(COUNTIFS($C:$C,$C2353,$D:$D,"P0(후)",$L:$L,"&gt;0")&lt;&gt;1,"P0(후) 유효 1개 아님",IF(NOT(AND(ISNUMBER(N2353),ISNUMBER(P2353),ISNUMBER(H2353))),"시각 결측",IF(P2353&lt;=N2353,"P0 시각 역전",IF(OR(H2353&lt;N2353,H2353&gt;P2353),"측정시각 구간 밖","OK")))))</f>
        <v/>
      </c>
      <c r="N2353" s="45">
        <f>IF(COUNTIFS($C:$C,$C2353,$D:$D,"P0(전)",$L:$L,"&gt;0")&lt;&gt;1,"",SUMIFS($H:$H,$C:$C,$C2353,$D:$D,"P0(전)"))</f>
        <v/>
      </c>
      <c r="O2353" s="30">
        <f>IF(COUNTIFS($C:$C,$C2353,$D:$D,"P0(전)",$L:$L,"&gt;0")&lt;&gt;1,"",SUMIFS($L:$L,$C:$C,$C2353,$D:$D,"P0(전)"))</f>
        <v/>
      </c>
      <c r="P2353" s="45">
        <f>IF(COUNTIFS($C:$C,$C2353,$D:$D,"P0(후)",$L:$L,"&gt;0")&lt;&gt;1,"",SUMIFS($H:$H,$C:$C,$C2353,$D:$D,"P0(후)"))</f>
        <v/>
      </c>
      <c r="Q2353" s="30">
        <f>IF(COUNTIFS($C:$C,$C2353,$D:$D,"P0(후)",$L:$L,"&gt;0")&lt;&gt;1,"",SUMIFS($L:$L,$C:$C,$C2353,$D:$D,"P0(후)"))</f>
        <v/>
      </c>
      <c r="R2353" s="30">
        <f>IF(M2353&lt;&gt;"OK","",O2353+(Q2353-O2353)*(H2353-N2353)/(P2353-N2353))</f>
        <v/>
      </c>
      <c r="S2353" s="30">
        <f>IF(OR(M2353&lt;&gt;"OK",NOT(ISNUMBER(L2353))),"",L2353-R2353)</f>
        <v/>
      </c>
      <c r="T2353" s="46">
        <f>IF(OR(NOT(ISNUMBER(S2353)),IF(ISNUMBER(G2353),G2353,F2353)=0),"",S2353/IF(ISNUMBER(G2353),G2353,F2353))</f>
        <v/>
      </c>
      <c r="U2353" s="46">
        <f>IF(ISNUMBER(T2353),ABS(T2353),"")</f>
        <v/>
      </c>
      <c r="V2353" s="46">
        <f>IF(OR($D2352&lt;&gt;"측정",$C2352&lt;&gt;$C2353,NOT(ISNUMBER(L2353)),NOT(ISNUMBER(L2352)),(IF(ISNUMBER(G2353),G2353,F2353)-IF(ISNUMBER(G2352),G2352,F2352))=0),"",(L2353-L2352)/(IF(ISNUMBER(G2353),G2353,F2353)-IF(ISNUMBER(G2352),G2352,F2352)))</f>
        <v/>
      </c>
      <c r="W2353" s="30">
        <f>IF(NOT(AND(ISNUMBER(N2353),ISNUMBER(P2353))),"",(P2353-N2353)*1440)</f>
        <v/>
      </c>
      <c r="X2353" s="28" t="n"/>
      <c r="Y2353" s="28" t="n"/>
      <c r="Z2353" s="28" t="n"/>
      <c r="AA2353" s="31" t="n"/>
      <c r="AB2353" s="31" t="n"/>
    </row>
    <row r="2354">
      <c r="A2354" s="25" t="inlineStr">
        <is>
          <t>S46</t>
        </is>
      </c>
      <c r="B2354" s="25" t="inlineStr">
        <is>
          <t>화천</t>
        </is>
      </c>
      <c r="C2354" s="25" t="inlineStr">
        <is>
          <t>S46-H동</t>
        </is>
      </c>
      <c r="D2354" s="25" t="inlineStr">
        <is>
          <t>측정</t>
        </is>
      </c>
      <c r="E2354" s="25" t="inlineStr">
        <is>
          <t>동</t>
        </is>
      </c>
      <c r="F2354" s="30" t="n">
        <v>8</v>
      </c>
      <c r="G2354" s="29" t="n"/>
      <c r="H2354" s="42" t="n"/>
      <c r="I2354" s="40" t="n"/>
      <c r="J2354" s="40" t="n"/>
      <c r="K2354" s="40" t="n"/>
      <c r="L2354" s="30">
        <f>IF(COUNT(I2354:K2354)=0,"",MEDIAN(I2354:K2354))</f>
        <v/>
      </c>
      <c r="M2354" s="25">
        <f>IF(COUNTIFS($C:$C,$C2354,$D:$D,"P0(전)",$L:$L,"&gt;0")&lt;&gt;1,"P0(전) 유효 1개 아님",IF(COUNTIFS($C:$C,$C2354,$D:$D,"P0(후)",$L:$L,"&gt;0")&lt;&gt;1,"P0(후) 유효 1개 아님",IF(NOT(AND(ISNUMBER(N2354),ISNUMBER(P2354),ISNUMBER(H2354))),"시각 결측",IF(P2354&lt;=N2354,"P0 시각 역전",IF(OR(H2354&lt;N2354,H2354&gt;P2354),"측정시각 구간 밖","OK")))))</f>
        <v/>
      </c>
      <c r="N2354" s="45">
        <f>IF(COUNTIFS($C:$C,$C2354,$D:$D,"P0(전)",$L:$L,"&gt;0")&lt;&gt;1,"",SUMIFS($H:$H,$C:$C,$C2354,$D:$D,"P0(전)"))</f>
        <v/>
      </c>
      <c r="O2354" s="30">
        <f>IF(COUNTIFS($C:$C,$C2354,$D:$D,"P0(전)",$L:$L,"&gt;0")&lt;&gt;1,"",SUMIFS($L:$L,$C:$C,$C2354,$D:$D,"P0(전)"))</f>
        <v/>
      </c>
      <c r="P2354" s="45">
        <f>IF(COUNTIFS($C:$C,$C2354,$D:$D,"P0(후)",$L:$L,"&gt;0")&lt;&gt;1,"",SUMIFS($H:$H,$C:$C,$C2354,$D:$D,"P0(후)"))</f>
        <v/>
      </c>
      <c r="Q2354" s="30">
        <f>IF(COUNTIFS($C:$C,$C2354,$D:$D,"P0(후)",$L:$L,"&gt;0")&lt;&gt;1,"",SUMIFS($L:$L,$C:$C,$C2354,$D:$D,"P0(후)"))</f>
        <v/>
      </c>
      <c r="R2354" s="30">
        <f>IF(M2354&lt;&gt;"OK","",O2354+(Q2354-O2354)*(H2354-N2354)/(P2354-N2354))</f>
        <v/>
      </c>
      <c r="S2354" s="30">
        <f>IF(OR(M2354&lt;&gt;"OK",NOT(ISNUMBER(L2354))),"",L2354-R2354)</f>
        <v/>
      </c>
      <c r="T2354" s="46">
        <f>IF(OR(NOT(ISNUMBER(S2354)),IF(ISNUMBER(G2354),G2354,F2354)=0),"",S2354/IF(ISNUMBER(G2354),G2354,F2354))</f>
        <v/>
      </c>
      <c r="U2354" s="46">
        <f>IF(ISNUMBER(T2354),ABS(T2354),"")</f>
        <v/>
      </c>
      <c r="V2354" s="46">
        <f>IF(OR($D2353&lt;&gt;"측정",$C2353&lt;&gt;$C2354,NOT(ISNUMBER(L2354)),NOT(ISNUMBER(L2353)),(IF(ISNUMBER(G2354),G2354,F2354)-IF(ISNUMBER(G2353),G2353,F2353))=0),"",(L2354-L2353)/(IF(ISNUMBER(G2354),G2354,F2354)-IF(ISNUMBER(G2353),G2353,F2353)))</f>
        <v/>
      </c>
      <c r="W2354" s="30">
        <f>IF(NOT(AND(ISNUMBER(N2354),ISNUMBER(P2354))),"",(P2354-N2354)*1440)</f>
        <v/>
      </c>
      <c r="X2354" s="28" t="n"/>
      <c r="Y2354" s="28" t="n"/>
      <c r="Z2354" s="28" t="n"/>
      <c r="AA2354" s="31" t="n"/>
      <c r="AB2354" s="31" t="n"/>
    </row>
    <row r="2355">
      <c r="A2355" s="25" t="inlineStr">
        <is>
          <t>S46</t>
        </is>
      </c>
      <c r="B2355" s="25" t="inlineStr">
        <is>
          <t>화천</t>
        </is>
      </c>
      <c r="C2355" s="25" t="inlineStr">
        <is>
          <t>S46-H동</t>
        </is>
      </c>
      <c r="D2355" s="25" t="inlineStr">
        <is>
          <t>측정</t>
        </is>
      </c>
      <c r="E2355" s="25" t="inlineStr">
        <is>
          <t>동</t>
        </is>
      </c>
      <c r="F2355" s="30" t="n">
        <v>9</v>
      </c>
      <c r="G2355" s="29" t="n"/>
      <c r="H2355" s="42" t="n"/>
      <c r="I2355" s="40" t="n"/>
      <c r="J2355" s="40" t="n"/>
      <c r="K2355" s="40" t="n"/>
      <c r="L2355" s="30">
        <f>IF(COUNT(I2355:K2355)=0,"",MEDIAN(I2355:K2355))</f>
        <v/>
      </c>
      <c r="M2355" s="25">
        <f>IF(COUNTIFS($C:$C,$C2355,$D:$D,"P0(전)",$L:$L,"&gt;0")&lt;&gt;1,"P0(전) 유효 1개 아님",IF(COUNTIFS($C:$C,$C2355,$D:$D,"P0(후)",$L:$L,"&gt;0")&lt;&gt;1,"P0(후) 유효 1개 아님",IF(NOT(AND(ISNUMBER(N2355),ISNUMBER(P2355),ISNUMBER(H2355))),"시각 결측",IF(P2355&lt;=N2355,"P0 시각 역전",IF(OR(H2355&lt;N2355,H2355&gt;P2355),"측정시각 구간 밖","OK")))))</f>
        <v/>
      </c>
      <c r="N2355" s="45">
        <f>IF(COUNTIFS($C:$C,$C2355,$D:$D,"P0(전)",$L:$L,"&gt;0")&lt;&gt;1,"",SUMIFS($H:$H,$C:$C,$C2355,$D:$D,"P0(전)"))</f>
        <v/>
      </c>
      <c r="O2355" s="30">
        <f>IF(COUNTIFS($C:$C,$C2355,$D:$D,"P0(전)",$L:$L,"&gt;0")&lt;&gt;1,"",SUMIFS($L:$L,$C:$C,$C2355,$D:$D,"P0(전)"))</f>
        <v/>
      </c>
      <c r="P2355" s="45">
        <f>IF(COUNTIFS($C:$C,$C2355,$D:$D,"P0(후)",$L:$L,"&gt;0")&lt;&gt;1,"",SUMIFS($H:$H,$C:$C,$C2355,$D:$D,"P0(후)"))</f>
        <v/>
      </c>
      <c r="Q2355" s="30">
        <f>IF(COUNTIFS($C:$C,$C2355,$D:$D,"P0(후)",$L:$L,"&gt;0")&lt;&gt;1,"",SUMIFS($L:$L,$C:$C,$C2355,$D:$D,"P0(후)"))</f>
        <v/>
      </c>
      <c r="R2355" s="30">
        <f>IF(M2355&lt;&gt;"OK","",O2355+(Q2355-O2355)*(H2355-N2355)/(P2355-N2355))</f>
        <v/>
      </c>
      <c r="S2355" s="30">
        <f>IF(OR(M2355&lt;&gt;"OK",NOT(ISNUMBER(L2355))),"",L2355-R2355)</f>
        <v/>
      </c>
      <c r="T2355" s="46">
        <f>IF(OR(NOT(ISNUMBER(S2355)),IF(ISNUMBER(G2355),G2355,F2355)=0),"",S2355/IF(ISNUMBER(G2355),G2355,F2355))</f>
        <v/>
      </c>
      <c r="U2355" s="46">
        <f>IF(ISNUMBER(T2355),ABS(T2355),"")</f>
        <v/>
      </c>
      <c r="V2355" s="46">
        <f>IF(OR($D2354&lt;&gt;"측정",$C2354&lt;&gt;$C2355,NOT(ISNUMBER(L2355)),NOT(ISNUMBER(L2354)),(IF(ISNUMBER(G2355),G2355,F2355)-IF(ISNUMBER(G2354),G2354,F2354))=0),"",(L2355-L2354)/(IF(ISNUMBER(G2355),G2355,F2355)-IF(ISNUMBER(G2354),G2354,F2354)))</f>
        <v/>
      </c>
      <c r="W2355" s="30">
        <f>IF(NOT(AND(ISNUMBER(N2355),ISNUMBER(P2355))),"",(P2355-N2355)*1440)</f>
        <v/>
      </c>
      <c r="X2355" s="28" t="n"/>
      <c r="Y2355" s="28" t="n"/>
      <c r="Z2355" s="28" t="n"/>
      <c r="AA2355" s="31" t="n"/>
      <c r="AB2355" s="31" t="n"/>
    </row>
    <row r="2356">
      <c r="A2356" s="25" t="inlineStr">
        <is>
          <t>S46</t>
        </is>
      </c>
      <c r="B2356" s="25" t="inlineStr">
        <is>
          <t>화천</t>
        </is>
      </c>
      <c r="C2356" s="25" t="inlineStr">
        <is>
          <t>S46-H동</t>
        </is>
      </c>
      <c r="D2356" s="25" t="inlineStr">
        <is>
          <t>측정</t>
        </is>
      </c>
      <c r="E2356" s="25" t="inlineStr">
        <is>
          <t>동</t>
        </is>
      </c>
      <c r="F2356" s="30" t="n">
        <v>10</v>
      </c>
      <c r="G2356" s="29" t="n"/>
      <c r="H2356" s="42" t="n"/>
      <c r="I2356" s="40" t="n"/>
      <c r="J2356" s="40" t="n"/>
      <c r="K2356" s="40" t="n"/>
      <c r="L2356" s="30">
        <f>IF(COUNT(I2356:K2356)=0,"",MEDIAN(I2356:K2356))</f>
        <v/>
      </c>
      <c r="M2356" s="25">
        <f>IF(COUNTIFS($C:$C,$C2356,$D:$D,"P0(전)",$L:$L,"&gt;0")&lt;&gt;1,"P0(전) 유효 1개 아님",IF(COUNTIFS($C:$C,$C2356,$D:$D,"P0(후)",$L:$L,"&gt;0")&lt;&gt;1,"P0(후) 유효 1개 아님",IF(NOT(AND(ISNUMBER(N2356),ISNUMBER(P2356),ISNUMBER(H2356))),"시각 결측",IF(P2356&lt;=N2356,"P0 시각 역전",IF(OR(H2356&lt;N2356,H2356&gt;P2356),"측정시각 구간 밖","OK")))))</f>
        <v/>
      </c>
      <c r="N2356" s="45">
        <f>IF(COUNTIFS($C:$C,$C2356,$D:$D,"P0(전)",$L:$L,"&gt;0")&lt;&gt;1,"",SUMIFS($H:$H,$C:$C,$C2356,$D:$D,"P0(전)"))</f>
        <v/>
      </c>
      <c r="O2356" s="30">
        <f>IF(COUNTIFS($C:$C,$C2356,$D:$D,"P0(전)",$L:$L,"&gt;0")&lt;&gt;1,"",SUMIFS($L:$L,$C:$C,$C2356,$D:$D,"P0(전)"))</f>
        <v/>
      </c>
      <c r="P2356" s="45">
        <f>IF(COUNTIFS($C:$C,$C2356,$D:$D,"P0(후)",$L:$L,"&gt;0")&lt;&gt;1,"",SUMIFS($H:$H,$C:$C,$C2356,$D:$D,"P0(후)"))</f>
        <v/>
      </c>
      <c r="Q2356" s="30">
        <f>IF(COUNTIFS($C:$C,$C2356,$D:$D,"P0(후)",$L:$L,"&gt;0")&lt;&gt;1,"",SUMIFS($L:$L,$C:$C,$C2356,$D:$D,"P0(후)"))</f>
        <v/>
      </c>
      <c r="R2356" s="30">
        <f>IF(M2356&lt;&gt;"OK","",O2356+(Q2356-O2356)*(H2356-N2356)/(P2356-N2356))</f>
        <v/>
      </c>
      <c r="S2356" s="30">
        <f>IF(OR(M2356&lt;&gt;"OK",NOT(ISNUMBER(L2356))),"",L2356-R2356)</f>
        <v/>
      </c>
      <c r="T2356" s="46">
        <f>IF(OR(NOT(ISNUMBER(S2356)),IF(ISNUMBER(G2356),G2356,F2356)=0),"",S2356/IF(ISNUMBER(G2356),G2356,F2356))</f>
        <v/>
      </c>
      <c r="U2356" s="46">
        <f>IF(ISNUMBER(T2356),ABS(T2356),"")</f>
        <v/>
      </c>
      <c r="V2356" s="46">
        <f>IF(OR($D2355&lt;&gt;"측정",$C2355&lt;&gt;$C2356,NOT(ISNUMBER(L2356)),NOT(ISNUMBER(L2355)),(IF(ISNUMBER(G2356),G2356,F2356)-IF(ISNUMBER(G2355),G2355,F2355))=0),"",(L2356-L2355)/(IF(ISNUMBER(G2356),G2356,F2356)-IF(ISNUMBER(G2355),G2355,F2355)))</f>
        <v/>
      </c>
      <c r="W2356" s="30">
        <f>IF(NOT(AND(ISNUMBER(N2356),ISNUMBER(P2356))),"",(P2356-N2356)*1440)</f>
        <v/>
      </c>
      <c r="X2356" s="28" t="n"/>
      <c r="Y2356" s="28" t="n"/>
      <c r="Z2356" s="28" t="n"/>
      <c r="AA2356" s="31" t="n"/>
      <c r="AB2356" s="31" t="n"/>
    </row>
    <row r="2357">
      <c r="A2357" s="43" t="inlineStr">
        <is>
          <t>S46</t>
        </is>
      </c>
      <c r="B2357" s="43" t="inlineStr">
        <is>
          <t>화천</t>
        </is>
      </c>
      <c r="C2357" s="43" t="inlineStr">
        <is>
          <t>S46-H동</t>
        </is>
      </c>
      <c r="D2357" s="43" t="inlineStr">
        <is>
          <t>P0(후)</t>
        </is>
      </c>
      <c r="E2357" s="43" t="inlineStr">
        <is>
          <t>동</t>
        </is>
      </c>
      <c r="F2357" s="44" t="n"/>
      <c r="G2357" s="29" t="n"/>
      <c r="H2357" s="42" t="n"/>
      <c r="I2357" s="40" t="n"/>
      <c r="J2357" s="40" t="n"/>
      <c r="K2357" s="40" t="n"/>
      <c r="L2357" s="30">
        <f>IF(COUNT(I2357:K2357)=0,"",MEDIAN(I2357:K2357))</f>
        <v/>
      </c>
      <c r="M2357" s="37" t="n"/>
      <c r="N2357" s="37" t="n"/>
      <c r="O2357" s="37" t="n"/>
      <c r="P2357" s="37" t="n"/>
      <c r="Q2357" s="37" t="n"/>
      <c r="R2357" s="37" t="n"/>
      <c r="S2357" s="37" t="n"/>
      <c r="T2357" s="37" t="n"/>
      <c r="U2357" s="37" t="n"/>
      <c r="V2357" s="37" t="n"/>
      <c r="W2357" s="37" t="n"/>
      <c r="X2357" s="28" t="n"/>
      <c r="Y2357" s="28" t="n"/>
      <c r="Z2357" s="28" t="n"/>
      <c r="AA2357" s="31" t="n"/>
      <c r="AB2357" s="31" t="n"/>
    </row>
    <row r="2358">
      <c r="A2358" s="43" t="inlineStr">
        <is>
          <t>S46</t>
        </is>
      </c>
      <c r="B2358" s="43" t="inlineStr">
        <is>
          <t>화천</t>
        </is>
      </c>
      <c r="C2358" s="43" t="inlineStr">
        <is>
          <t>S46-H서</t>
        </is>
      </c>
      <c r="D2358" s="43" t="inlineStr">
        <is>
          <t>P0(전)</t>
        </is>
      </c>
      <c r="E2358" s="43" t="inlineStr">
        <is>
          <t>서</t>
        </is>
      </c>
      <c r="F2358" s="44" t="n"/>
      <c r="G2358" s="29" t="n"/>
      <c r="H2358" s="42" t="n"/>
      <c r="I2358" s="40" t="n"/>
      <c r="J2358" s="40" t="n"/>
      <c r="K2358" s="40" t="n"/>
      <c r="L2358" s="30">
        <f>IF(COUNT(I2358:K2358)=0,"",MEDIAN(I2358:K2358))</f>
        <v/>
      </c>
      <c r="M2358" s="37" t="n"/>
      <c r="N2358" s="37" t="n"/>
      <c r="O2358" s="37" t="n"/>
      <c r="P2358" s="37" t="n"/>
      <c r="Q2358" s="37" t="n"/>
      <c r="R2358" s="37" t="n"/>
      <c r="S2358" s="37" t="n"/>
      <c r="T2358" s="37" t="n"/>
      <c r="U2358" s="37" t="n"/>
      <c r="V2358" s="37" t="n"/>
      <c r="W2358" s="37" t="n"/>
      <c r="X2358" s="28" t="n"/>
      <c r="Y2358" s="28" t="n"/>
      <c r="Z2358" s="28" t="n"/>
      <c r="AA2358" s="31" t="n"/>
      <c r="AB2358" s="31" t="n"/>
    </row>
    <row r="2359">
      <c r="A2359" s="25" t="inlineStr">
        <is>
          <t>S46</t>
        </is>
      </c>
      <c r="B2359" s="25" t="inlineStr">
        <is>
          <t>화천</t>
        </is>
      </c>
      <c r="C2359" s="25" t="inlineStr">
        <is>
          <t>S46-H서</t>
        </is>
      </c>
      <c r="D2359" s="25" t="inlineStr">
        <is>
          <t>측정</t>
        </is>
      </c>
      <c r="E2359" s="25" t="inlineStr">
        <is>
          <t>서</t>
        </is>
      </c>
      <c r="F2359" s="30" t="n">
        <v>0.5</v>
      </c>
      <c r="G2359" s="29" t="n"/>
      <c r="H2359" s="42" t="n"/>
      <c r="I2359" s="40" t="n"/>
      <c r="J2359" s="40" t="n"/>
      <c r="K2359" s="40" t="n"/>
      <c r="L2359" s="30">
        <f>IF(COUNT(I2359:K2359)=0,"",MEDIAN(I2359:K2359))</f>
        <v/>
      </c>
      <c r="M2359" s="25">
        <f>IF(COUNTIFS($C:$C,$C2359,$D:$D,"P0(전)",$L:$L,"&gt;0")&lt;&gt;1,"P0(전) 유효 1개 아님",IF(COUNTIFS($C:$C,$C2359,$D:$D,"P0(후)",$L:$L,"&gt;0")&lt;&gt;1,"P0(후) 유효 1개 아님",IF(NOT(AND(ISNUMBER(N2359),ISNUMBER(P2359),ISNUMBER(H2359))),"시각 결측",IF(P2359&lt;=N2359,"P0 시각 역전",IF(OR(H2359&lt;N2359,H2359&gt;P2359),"측정시각 구간 밖","OK")))))</f>
        <v/>
      </c>
      <c r="N2359" s="45">
        <f>IF(COUNTIFS($C:$C,$C2359,$D:$D,"P0(전)",$L:$L,"&gt;0")&lt;&gt;1,"",SUMIFS($H:$H,$C:$C,$C2359,$D:$D,"P0(전)"))</f>
        <v/>
      </c>
      <c r="O2359" s="30">
        <f>IF(COUNTIFS($C:$C,$C2359,$D:$D,"P0(전)",$L:$L,"&gt;0")&lt;&gt;1,"",SUMIFS($L:$L,$C:$C,$C2359,$D:$D,"P0(전)"))</f>
        <v/>
      </c>
      <c r="P2359" s="45">
        <f>IF(COUNTIFS($C:$C,$C2359,$D:$D,"P0(후)",$L:$L,"&gt;0")&lt;&gt;1,"",SUMIFS($H:$H,$C:$C,$C2359,$D:$D,"P0(후)"))</f>
        <v/>
      </c>
      <c r="Q2359" s="30">
        <f>IF(COUNTIFS($C:$C,$C2359,$D:$D,"P0(후)",$L:$L,"&gt;0")&lt;&gt;1,"",SUMIFS($L:$L,$C:$C,$C2359,$D:$D,"P0(후)"))</f>
        <v/>
      </c>
      <c r="R2359" s="30">
        <f>IF(M2359&lt;&gt;"OK","",O2359+(Q2359-O2359)*(H2359-N2359)/(P2359-N2359))</f>
        <v/>
      </c>
      <c r="S2359" s="30">
        <f>IF(OR(M2359&lt;&gt;"OK",NOT(ISNUMBER(L2359))),"",L2359-R2359)</f>
        <v/>
      </c>
      <c r="T2359" s="46">
        <f>IF(OR(NOT(ISNUMBER(S2359)),IF(ISNUMBER(G2359),G2359,F2359)=0),"",S2359/IF(ISNUMBER(G2359),G2359,F2359))</f>
        <v/>
      </c>
      <c r="U2359" s="46">
        <f>IF(ISNUMBER(T2359),ABS(T2359),"")</f>
        <v/>
      </c>
      <c r="V2359" s="46">
        <f>IF(OR($D2358&lt;&gt;"측정",$C2358&lt;&gt;$C2359,NOT(ISNUMBER(L2359)),NOT(ISNUMBER(L2358)),(IF(ISNUMBER(G2359),G2359,F2359)-IF(ISNUMBER(G2358),G2358,F2358))=0),"",(L2359-L2358)/(IF(ISNUMBER(G2359),G2359,F2359)-IF(ISNUMBER(G2358),G2358,F2358)))</f>
        <v/>
      </c>
      <c r="W2359" s="30">
        <f>IF(NOT(AND(ISNUMBER(N2359),ISNUMBER(P2359))),"",(P2359-N2359)*1440)</f>
        <v/>
      </c>
      <c r="X2359" s="28" t="n"/>
      <c r="Y2359" s="28" t="n"/>
      <c r="Z2359" s="28" t="n"/>
      <c r="AA2359" s="31" t="n"/>
      <c r="AB2359" s="31" t="n"/>
    </row>
    <row r="2360">
      <c r="A2360" s="25" t="inlineStr">
        <is>
          <t>S46</t>
        </is>
      </c>
      <c r="B2360" s="25" t="inlineStr">
        <is>
          <t>화천</t>
        </is>
      </c>
      <c r="C2360" s="25" t="inlineStr">
        <is>
          <t>S46-H서</t>
        </is>
      </c>
      <c r="D2360" s="25" t="inlineStr">
        <is>
          <t>측정</t>
        </is>
      </c>
      <c r="E2360" s="25" t="inlineStr">
        <is>
          <t>서</t>
        </is>
      </c>
      <c r="F2360" s="30" t="n">
        <v>1</v>
      </c>
      <c r="G2360" s="29" t="n"/>
      <c r="H2360" s="42" t="n"/>
      <c r="I2360" s="40" t="n"/>
      <c r="J2360" s="40" t="n"/>
      <c r="K2360" s="40" t="n"/>
      <c r="L2360" s="30">
        <f>IF(COUNT(I2360:K2360)=0,"",MEDIAN(I2360:K2360))</f>
        <v/>
      </c>
      <c r="M2360" s="25">
        <f>IF(COUNTIFS($C:$C,$C2360,$D:$D,"P0(전)",$L:$L,"&gt;0")&lt;&gt;1,"P0(전) 유효 1개 아님",IF(COUNTIFS($C:$C,$C2360,$D:$D,"P0(후)",$L:$L,"&gt;0")&lt;&gt;1,"P0(후) 유효 1개 아님",IF(NOT(AND(ISNUMBER(N2360),ISNUMBER(P2360),ISNUMBER(H2360))),"시각 결측",IF(P2360&lt;=N2360,"P0 시각 역전",IF(OR(H2360&lt;N2360,H2360&gt;P2360),"측정시각 구간 밖","OK")))))</f>
        <v/>
      </c>
      <c r="N2360" s="45">
        <f>IF(COUNTIFS($C:$C,$C2360,$D:$D,"P0(전)",$L:$L,"&gt;0")&lt;&gt;1,"",SUMIFS($H:$H,$C:$C,$C2360,$D:$D,"P0(전)"))</f>
        <v/>
      </c>
      <c r="O2360" s="30">
        <f>IF(COUNTIFS($C:$C,$C2360,$D:$D,"P0(전)",$L:$L,"&gt;0")&lt;&gt;1,"",SUMIFS($L:$L,$C:$C,$C2360,$D:$D,"P0(전)"))</f>
        <v/>
      </c>
      <c r="P2360" s="45">
        <f>IF(COUNTIFS($C:$C,$C2360,$D:$D,"P0(후)",$L:$L,"&gt;0")&lt;&gt;1,"",SUMIFS($H:$H,$C:$C,$C2360,$D:$D,"P0(후)"))</f>
        <v/>
      </c>
      <c r="Q2360" s="30">
        <f>IF(COUNTIFS($C:$C,$C2360,$D:$D,"P0(후)",$L:$L,"&gt;0")&lt;&gt;1,"",SUMIFS($L:$L,$C:$C,$C2360,$D:$D,"P0(후)"))</f>
        <v/>
      </c>
      <c r="R2360" s="30">
        <f>IF(M2360&lt;&gt;"OK","",O2360+(Q2360-O2360)*(H2360-N2360)/(P2360-N2360))</f>
        <v/>
      </c>
      <c r="S2360" s="30">
        <f>IF(OR(M2360&lt;&gt;"OK",NOT(ISNUMBER(L2360))),"",L2360-R2360)</f>
        <v/>
      </c>
      <c r="T2360" s="46">
        <f>IF(OR(NOT(ISNUMBER(S2360)),IF(ISNUMBER(G2360),G2360,F2360)=0),"",S2360/IF(ISNUMBER(G2360),G2360,F2360))</f>
        <v/>
      </c>
      <c r="U2360" s="46">
        <f>IF(ISNUMBER(T2360),ABS(T2360),"")</f>
        <v/>
      </c>
      <c r="V2360" s="46">
        <f>IF(OR($D2359&lt;&gt;"측정",$C2359&lt;&gt;$C2360,NOT(ISNUMBER(L2360)),NOT(ISNUMBER(L2359)),(IF(ISNUMBER(G2360),G2360,F2360)-IF(ISNUMBER(G2359),G2359,F2359))=0),"",(L2360-L2359)/(IF(ISNUMBER(G2360),G2360,F2360)-IF(ISNUMBER(G2359),G2359,F2359)))</f>
        <v/>
      </c>
      <c r="W2360" s="30">
        <f>IF(NOT(AND(ISNUMBER(N2360),ISNUMBER(P2360))),"",(P2360-N2360)*1440)</f>
        <v/>
      </c>
      <c r="X2360" s="28" t="n"/>
      <c r="Y2360" s="28" t="n"/>
      <c r="Z2360" s="28" t="n"/>
      <c r="AA2360" s="31" t="n"/>
      <c r="AB2360" s="31" t="n"/>
    </row>
    <row r="2361">
      <c r="A2361" s="25" t="inlineStr">
        <is>
          <t>S46</t>
        </is>
      </c>
      <c r="B2361" s="25" t="inlineStr">
        <is>
          <t>화천</t>
        </is>
      </c>
      <c r="C2361" s="25" t="inlineStr">
        <is>
          <t>S46-H서</t>
        </is>
      </c>
      <c r="D2361" s="25" t="inlineStr">
        <is>
          <t>측정</t>
        </is>
      </c>
      <c r="E2361" s="25" t="inlineStr">
        <is>
          <t>서</t>
        </is>
      </c>
      <c r="F2361" s="30" t="n">
        <v>2</v>
      </c>
      <c r="G2361" s="29" t="n"/>
      <c r="H2361" s="42" t="n"/>
      <c r="I2361" s="40" t="n"/>
      <c r="J2361" s="40" t="n"/>
      <c r="K2361" s="40" t="n"/>
      <c r="L2361" s="30">
        <f>IF(COUNT(I2361:K2361)=0,"",MEDIAN(I2361:K2361))</f>
        <v/>
      </c>
      <c r="M2361" s="25">
        <f>IF(COUNTIFS($C:$C,$C2361,$D:$D,"P0(전)",$L:$L,"&gt;0")&lt;&gt;1,"P0(전) 유효 1개 아님",IF(COUNTIFS($C:$C,$C2361,$D:$D,"P0(후)",$L:$L,"&gt;0")&lt;&gt;1,"P0(후) 유효 1개 아님",IF(NOT(AND(ISNUMBER(N2361),ISNUMBER(P2361),ISNUMBER(H2361))),"시각 결측",IF(P2361&lt;=N2361,"P0 시각 역전",IF(OR(H2361&lt;N2361,H2361&gt;P2361),"측정시각 구간 밖","OK")))))</f>
        <v/>
      </c>
      <c r="N2361" s="45">
        <f>IF(COUNTIFS($C:$C,$C2361,$D:$D,"P0(전)",$L:$L,"&gt;0")&lt;&gt;1,"",SUMIFS($H:$H,$C:$C,$C2361,$D:$D,"P0(전)"))</f>
        <v/>
      </c>
      <c r="O2361" s="30">
        <f>IF(COUNTIFS($C:$C,$C2361,$D:$D,"P0(전)",$L:$L,"&gt;0")&lt;&gt;1,"",SUMIFS($L:$L,$C:$C,$C2361,$D:$D,"P0(전)"))</f>
        <v/>
      </c>
      <c r="P2361" s="45">
        <f>IF(COUNTIFS($C:$C,$C2361,$D:$D,"P0(후)",$L:$L,"&gt;0")&lt;&gt;1,"",SUMIFS($H:$H,$C:$C,$C2361,$D:$D,"P0(후)"))</f>
        <v/>
      </c>
      <c r="Q2361" s="30">
        <f>IF(COUNTIFS($C:$C,$C2361,$D:$D,"P0(후)",$L:$L,"&gt;0")&lt;&gt;1,"",SUMIFS($L:$L,$C:$C,$C2361,$D:$D,"P0(후)"))</f>
        <v/>
      </c>
      <c r="R2361" s="30">
        <f>IF(M2361&lt;&gt;"OK","",O2361+(Q2361-O2361)*(H2361-N2361)/(P2361-N2361))</f>
        <v/>
      </c>
      <c r="S2361" s="30">
        <f>IF(OR(M2361&lt;&gt;"OK",NOT(ISNUMBER(L2361))),"",L2361-R2361)</f>
        <v/>
      </c>
      <c r="T2361" s="46">
        <f>IF(OR(NOT(ISNUMBER(S2361)),IF(ISNUMBER(G2361),G2361,F2361)=0),"",S2361/IF(ISNUMBER(G2361),G2361,F2361))</f>
        <v/>
      </c>
      <c r="U2361" s="46">
        <f>IF(ISNUMBER(T2361),ABS(T2361),"")</f>
        <v/>
      </c>
      <c r="V2361" s="46">
        <f>IF(OR($D2360&lt;&gt;"측정",$C2360&lt;&gt;$C2361,NOT(ISNUMBER(L2361)),NOT(ISNUMBER(L2360)),(IF(ISNUMBER(G2361),G2361,F2361)-IF(ISNUMBER(G2360),G2360,F2360))=0),"",(L2361-L2360)/(IF(ISNUMBER(G2361),G2361,F2361)-IF(ISNUMBER(G2360),G2360,F2360)))</f>
        <v/>
      </c>
      <c r="W2361" s="30">
        <f>IF(NOT(AND(ISNUMBER(N2361),ISNUMBER(P2361))),"",(P2361-N2361)*1440)</f>
        <v/>
      </c>
      <c r="X2361" s="28" t="n"/>
      <c r="Y2361" s="28" t="n"/>
      <c r="Z2361" s="28" t="n"/>
      <c r="AA2361" s="31" t="n"/>
      <c r="AB2361" s="31" t="n"/>
    </row>
    <row r="2362">
      <c r="A2362" s="25" t="inlineStr">
        <is>
          <t>S46</t>
        </is>
      </c>
      <c r="B2362" s="25" t="inlineStr">
        <is>
          <t>화천</t>
        </is>
      </c>
      <c r="C2362" s="25" t="inlineStr">
        <is>
          <t>S46-H서</t>
        </is>
      </c>
      <c r="D2362" s="25" t="inlineStr">
        <is>
          <t>측정</t>
        </is>
      </c>
      <c r="E2362" s="25" t="inlineStr">
        <is>
          <t>서</t>
        </is>
      </c>
      <c r="F2362" s="30" t="n">
        <v>3</v>
      </c>
      <c r="G2362" s="29" t="n"/>
      <c r="H2362" s="42" t="n"/>
      <c r="I2362" s="40" t="n"/>
      <c r="J2362" s="40" t="n"/>
      <c r="K2362" s="40" t="n"/>
      <c r="L2362" s="30">
        <f>IF(COUNT(I2362:K2362)=0,"",MEDIAN(I2362:K2362))</f>
        <v/>
      </c>
      <c r="M2362" s="25">
        <f>IF(COUNTIFS($C:$C,$C2362,$D:$D,"P0(전)",$L:$L,"&gt;0")&lt;&gt;1,"P0(전) 유효 1개 아님",IF(COUNTIFS($C:$C,$C2362,$D:$D,"P0(후)",$L:$L,"&gt;0")&lt;&gt;1,"P0(후) 유효 1개 아님",IF(NOT(AND(ISNUMBER(N2362),ISNUMBER(P2362),ISNUMBER(H2362))),"시각 결측",IF(P2362&lt;=N2362,"P0 시각 역전",IF(OR(H2362&lt;N2362,H2362&gt;P2362),"측정시각 구간 밖","OK")))))</f>
        <v/>
      </c>
      <c r="N2362" s="45">
        <f>IF(COUNTIFS($C:$C,$C2362,$D:$D,"P0(전)",$L:$L,"&gt;0")&lt;&gt;1,"",SUMIFS($H:$H,$C:$C,$C2362,$D:$D,"P0(전)"))</f>
        <v/>
      </c>
      <c r="O2362" s="30">
        <f>IF(COUNTIFS($C:$C,$C2362,$D:$D,"P0(전)",$L:$L,"&gt;0")&lt;&gt;1,"",SUMIFS($L:$L,$C:$C,$C2362,$D:$D,"P0(전)"))</f>
        <v/>
      </c>
      <c r="P2362" s="45">
        <f>IF(COUNTIFS($C:$C,$C2362,$D:$D,"P0(후)",$L:$L,"&gt;0")&lt;&gt;1,"",SUMIFS($H:$H,$C:$C,$C2362,$D:$D,"P0(후)"))</f>
        <v/>
      </c>
      <c r="Q2362" s="30">
        <f>IF(COUNTIFS($C:$C,$C2362,$D:$D,"P0(후)",$L:$L,"&gt;0")&lt;&gt;1,"",SUMIFS($L:$L,$C:$C,$C2362,$D:$D,"P0(후)"))</f>
        <v/>
      </c>
      <c r="R2362" s="30">
        <f>IF(M2362&lt;&gt;"OK","",O2362+(Q2362-O2362)*(H2362-N2362)/(P2362-N2362))</f>
        <v/>
      </c>
      <c r="S2362" s="30">
        <f>IF(OR(M2362&lt;&gt;"OK",NOT(ISNUMBER(L2362))),"",L2362-R2362)</f>
        <v/>
      </c>
      <c r="T2362" s="46">
        <f>IF(OR(NOT(ISNUMBER(S2362)),IF(ISNUMBER(G2362),G2362,F2362)=0),"",S2362/IF(ISNUMBER(G2362),G2362,F2362))</f>
        <v/>
      </c>
      <c r="U2362" s="46">
        <f>IF(ISNUMBER(T2362),ABS(T2362),"")</f>
        <v/>
      </c>
      <c r="V2362" s="46">
        <f>IF(OR($D2361&lt;&gt;"측정",$C2361&lt;&gt;$C2362,NOT(ISNUMBER(L2362)),NOT(ISNUMBER(L2361)),(IF(ISNUMBER(G2362),G2362,F2362)-IF(ISNUMBER(G2361),G2361,F2361))=0),"",(L2362-L2361)/(IF(ISNUMBER(G2362),G2362,F2362)-IF(ISNUMBER(G2361),G2361,F2361)))</f>
        <v/>
      </c>
      <c r="W2362" s="30">
        <f>IF(NOT(AND(ISNUMBER(N2362),ISNUMBER(P2362))),"",(P2362-N2362)*1440)</f>
        <v/>
      </c>
      <c r="X2362" s="28" t="n"/>
      <c r="Y2362" s="28" t="n"/>
      <c r="Z2362" s="28" t="n"/>
      <c r="AA2362" s="31" t="n"/>
      <c r="AB2362" s="31" t="n"/>
    </row>
    <row r="2363">
      <c r="A2363" s="25" t="inlineStr">
        <is>
          <t>S46</t>
        </is>
      </c>
      <c r="B2363" s="25" t="inlineStr">
        <is>
          <t>화천</t>
        </is>
      </c>
      <c r="C2363" s="25" t="inlineStr">
        <is>
          <t>S46-H서</t>
        </is>
      </c>
      <c r="D2363" s="25" t="inlineStr">
        <is>
          <t>측정</t>
        </is>
      </c>
      <c r="E2363" s="25" t="inlineStr">
        <is>
          <t>서</t>
        </is>
      </c>
      <c r="F2363" s="30" t="n">
        <v>4</v>
      </c>
      <c r="G2363" s="29" t="n"/>
      <c r="H2363" s="42" t="n"/>
      <c r="I2363" s="40" t="n"/>
      <c r="J2363" s="40" t="n"/>
      <c r="K2363" s="40" t="n"/>
      <c r="L2363" s="30">
        <f>IF(COUNT(I2363:K2363)=0,"",MEDIAN(I2363:K2363))</f>
        <v/>
      </c>
      <c r="M2363" s="25">
        <f>IF(COUNTIFS($C:$C,$C2363,$D:$D,"P0(전)",$L:$L,"&gt;0")&lt;&gt;1,"P0(전) 유효 1개 아님",IF(COUNTIFS($C:$C,$C2363,$D:$D,"P0(후)",$L:$L,"&gt;0")&lt;&gt;1,"P0(후) 유효 1개 아님",IF(NOT(AND(ISNUMBER(N2363),ISNUMBER(P2363),ISNUMBER(H2363))),"시각 결측",IF(P2363&lt;=N2363,"P0 시각 역전",IF(OR(H2363&lt;N2363,H2363&gt;P2363),"측정시각 구간 밖","OK")))))</f>
        <v/>
      </c>
      <c r="N2363" s="45">
        <f>IF(COUNTIFS($C:$C,$C2363,$D:$D,"P0(전)",$L:$L,"&gt;0")&lt;&gt;1,"",SUMIFS($H:$H,$C:$C,$C2363,$D:$D,"P0(전)"))</f>
        <v/>
      </c>
      <c r="O2363" s="30">
        <f>IF(COUNTIFS($C:$C,$C2363,$D:$D,"P0(전)",$L:$L,"&gt;0")&lt;&gt;1,"",SUMIFS($L:$L,$C:$C,$C2363,$D:$D,"P0(전)"))</f>
        <v/>
      </c>
      <c r="P2363" s="45">
        <f>IF(COUNTIFS($C:$C,$C2363,$D:$D,"P0(후)",$L:$L,"&gt;0")&lt;&gt;1,"",SUMIFS($H:$H,$C:$C,$C2363,$D:$D,"P0(후)"))</f>
        <v/>
      </c>
      <c r="Q2363" s="30">
        <f>IF(COUNTIFS($C:$C,$C2363,$D:$D,"P0(후)",$L:$L,"&gt;0")&lt;&gt;1,"",SUMIFS($L:$L,$C:$C,$C2363,$D:$D,"P0(후)"))</f>
        <v/>
      </c>
      <c r="R2363" s="30">
        <f>IF(M2363&lt;&gt;"OK","",O2363+(Q2363-O2363)*(H2363-N2363)/(P2363-N2363))</f>
        <v/>
      </c>
      <c r="S2363" s="30">
        <f>IF(OR(M2363&lt;&gt;"OK",NOT(ISNUMBER(L2363))),"",L2363-R2363)</f>
        <v/>
      </c>
      <c r="T2363" s="46">
        <f>IF(OR(NOT(ISNUMBER(S2363)),IF(ISNUMBER(G2363),G2363,F2363)=0),"",S2363/IF(ISNUMBER(G2363),G2363,F2363))</f>
        <v/>
      </c>
      <c r="U2363" s="46">
        <f>IF(ISNUMBER(T2363),ABS(T2363),"")</f>
        <v/>
      </c>
      <c r="V2363" s="46">
        <f>IF(OR($D2362&lt;&gt;"측정",$C2362&lt;&gt;$C2363,NOT(ISNUMBER(L2363)),NOT(ISNUMBER(L2362)),(IF(ISNUMBER(G2363),G2363,F2363)-IF(ISNUMBER(G2362),G2362,F2362))=0),"",(L2363-L2362)/(IF(ISNUMBER(G2363),G2363,F2363)-IF(ISNUMBER(G2362),G2362,F2362)))</f>
        <v/>
      </c>
      <c r="W2363" s="30">
        <f>IF(NOT(AND(ISNUMBER(N2363),ISNUMBER(P2363))),"",(P2363-N2363)*1440)</f>
        <v/>
      </c>
      <c r="X2363" s="28" t="n"/>
      <c r="Y2363" s="28" t="n"/>
      <c r="Z2363" s="28" t="n"/>
      <c r="AA2363" s="31" t="n"/>
      <c r="AB2363" s="31" t="n"/>
    </row>
    <row r="2364">
      <c r="A2364" s="25" t="inlineStr">
        <is>
          <t>S46</t>
        </is>
      </c>
      <c r="B2364" s="25" t="inlineStr">
        <is>
          <t>화천</t>
        </is>
      </c>
      <c r="C2364" s="25" t="inlineStr">
        <is>
          <t>S46-H서</t>
        </is>
      </c>
      <c r="D2364" s="25" t="inlineStr">
        <is>
          <t>측정</t>
        </is>
      </c>
      <c r="E2364" s="25" t="inlineStr">
        <is>
          <t>서</t>
        </is>
      </c>
      <c r="F2364" s="30" t="n">
        <v>5</v>
      </c>
      <c r="G2364" s="29" t="n"/>
      <c r="H2364" s="42" t="n"/>
      <c r="I2364" s="40" t="n"/>
      <c r="J2364" s="40" t="n"/>
      <c r="K2364" s="40" t="n"/>
      <c r="L2364" s="30">
        <f>IF(COUNT(I2364:K2364)=0,"",MEDIAN(I2364:K2364))</f>
        <v/>
      </c>
      <c r="M2364" s="25">
        <f>IF(COUNTIFS($C:$C,$C2364,$D:$D,"P0(전)",$L:$L,"&gt;0")&lt;&gt;1,"P0(전) 유효 1개 아님",IF(COUNTIFS($C:$C,$C2364,$D:$D,"P0(후)",$L:$L,"&gt;0")&lt;&gt;1,"P0(후) 유효 1개 아님",IF(NOT(AND(ISNUMBER(N2364),ISNUMBER(P2364),ISNUMBER(H2364))),"시각 결측",IF(P2364&lt;=N2364,"P0 시각 역전",IF(OR(H2364&lt;N2364,H2364&gt;P2364),"측정시각 구간 밖","OK")))))</f>
        <v/>
      </c>
      <c r="N2364" s="45">
        <f>IF(COUNTIFS($C:$C,$C2364,$D:$D,"P0(전)",$L:$L,"&gt;0")&lt;&gt;1,"",SUMIFS($H:$H,$C:$C,$C2364,$D:$D,"P0(전)"))</f>
        <v/>
      </c>
      <c r="O2364" s="30">
        <f>IF(COUNTIFS($C:$C,$C2364,$D:$D,"P0(전)",$L:$L,"&gt;0")&lt;&gt;1,"",SUMIFS($L:$L,$C:$C,$C2364,$D:$D,"P0(전)"))</f>
        <v/>
      </c>
      <c r="P2364" s="45">
        <f>IF(COUNTIFS($C:$C,$C2364,$D:$D,"P0(후)",$L:$L,"&gt;0")&lt;&gt;1,"",SUMIFS($H:$H,$C:$C,$C2364,$D:$D,"P0(후)"))</f>
        <v/>
      </c>
      <c r="Q2364" s="30">
        <f>IF(COUNTIFS($C:$C,$C2364,$D:$D,"P0(후)",$L:$L,"&gt;0")&lt;&gt;1,"",SUMIFS($L:$L,$C:$C,$C2364,$D:$D,"P0(후)"))</f>
        <v/>
      </c>
      <c r="R2364" s="30">
        <f>IF(M2364&lt;&gt;"OK","",O2364+(Q2364-O2364)*(H2364-N2364)/(P2364-N2364))</f>
        <v/>
      </c>
      <c r="S2364" s="30">
        <f>IF(OR(M2364&lt;&gt;"OK",NOT(ISNUMBER(L2364))),"",L2364-R2364)</f>
        <v/>
      </c>
      <c r="T2364" s="46">
        <f>IF(OR(NOT(ISNUMBER(S2364)),IF(ISNUMBER(G2364),G2364,F2364)=0),"",S2364/IF(ISNUMBER(G2364),G2364,F2364))</f>
        <v/>
      </c>
      <c r="U2364" s="46">
        <f>IF(ISNUMBER(T2364),ABS(T2364),"")</f>
        <v/>
      </c>
      <c r="V2364" s="46">
        <f>IF(OR($D2363&lt;&gt;"측정",$C2363&lt;&gt;$C2364,NOT(ISNUMBER(L2364)),NOT(ISNUMBER(L2363)),(IF(ISNUMBER(G2364),G2364,F2364)-IF(ISNUMBER(G2363),G2363,F2363))=0),"",(L2364-L2363)/(IF(ISNUMBER(G2364),G2364,F2364)-IF(ISNUMBER(G2363),G2363,F2363)))</f>
        <v/>
      </c>
      <c r="W2364" s="30">
        <f>IF(NOT(AND(ISNUMBER(N2364),ISNUMBER(P2364))),"",(P2364-N2364)*1440)</f>
        <v/>
      </c>
      <c r="X2364" s="28" t="n"/>
      <c r="Y2364" s="28" t="n"/>
      <c r="Z2364" s="28" t="n"/>
      <c r="AA2364" s="31" t="n"/>
      <c r="AB2364" s="31" t="n"/>
    </row>
    <row r="2365">
      <c r="A2365" s="25" t="inlineStr">
        <is>
          <t>S46</t>
        </is>
      </c>
      <c r="B2365" s="25" t="inlineStr">
        <is>
          <t>화천</t>
        </is>
      </c>
      <c r="C2365" s="25" t="inlineStr">
        <is>
          <t>S46-H서</t>
        </is>
      </c>
      <c r="D2365" s="25" t="inlineStr">
        <is>
          <t>측정</t>
        </is>
      </c>
      <c r="E2365" s="25" t="inlineStr">
        <is>
          <t>서</t>
        </is>
      </c>
      <c r="F2365" s="30" t="n">
        <v>6</v>
      </c>
      <c r="G2365" s="29" t="n"/>
      <c r="H2365" s="42" t="n"/>
      <c r="I2365" s="40" t="n"/>
      <c r="J2365" s="40" t="n"/>
      <c r="K2365" s="40" t="n"/>
      <c r="L2365" s="30">
        <f>IF(COUNT(I2365:K2365)=0,"",MEDIAN(I2365:K2365))</f>
        <v/>
      </c>
      <c r="M2365" s="25">
        <f>IF(COUNTIFS($C:$C,$C2365,$D:$D,"P0(전)",$L:$L,"&gt;0")&lt;&gt;1,"P0(전) 유효 1개 아님",IF(COUNTIFS($C:$C,$C2365,$D:$D,"P0(후)",$L:$L,"&gt;0")&lt;&gt;1,"P0(후) 유효 1개 아님",IF(NOT(AND(ISNUMBER(N2365),ISNUMBER(P2365),ISNUMBER(H2365))),"시각 결측",IF(P2365&lt;=N2365,"P0 시각 역전",IF(OR(H2365&lt;N2365,H2365&gt;P2365),"측정시각 구간 밖","OK")))))</f>
        <v/>
      </c>
      <c r="N2365" s="45">
        <f>IF(COUNTIFS($C:$C,$C2365,$D:$D,"P0(전)",$L:$L,"&gt;0")&lt;&gt;1,"",SUMIFS($H:$H,$C:$C,$C2365,$D:$D,"P0(전)"))</f>
        <v/>
      </c>
      <c r="O2365" s="30">
        <f>IF(COUNTIFS($C:$C,$C2365,$D:$D,"P0(전)",$L:$L,"&gt;0")&lt;&gt;1,"",SUMIFS($L:$L,$C:$C,$C2365,$D:$D,"P0(전)"))</f>
        <v/>
      </c>
      <c r="P2365" s="45">
        <f>IF(COUNTIFS($C:$C,$C2365,$D:$D,"P0(후)",$L:$L,"&gt;0")&lt;&gt;1,"",SUMIFS($H:$H,$C:$C,$C2365,$D:$D,"P0(후)"))</f>
        <v/>
      </c>
      <c r="Q2365" s="30">
        <f>IF(COUNTIFS($C:$C,$C2365,$D:$D,"P0(후)",$L:$L,"&gt;0")&lt;&gt;1,"",SUMIFS($L:$L,$C:$C,$C2365,$D:$D,"P0(후)"))</f>
        <v/>
      </c>
      <c r="R2365" s="30">
        <f>IF(M2365&lt;&gt;"OK","",O2365+(Q2365-O2365)*(H2365-N2365)/(P2365-N2365))</f>
        <v/>
      </c>
      <c r="S2365" s="30">
        <f>IF(OR(M2365&lt;&gt;"OK",NOT(ISNUMBER(L2365))),"",L2365-R2365)</f>
        <v/>
      </c>
      <c r="T2365" s="46">
        <f>IF(OR(NOT(ISNUMBER(S2365)),IF(ISNUMBER(G2365),G2365,F2365)=0),"",S2365/IF(ISNUMBER(G2365),G2365,F2365))</f>
        <v/>
      </c>
      <c r="U2365" s="46">
        <f>IF(ISNUMBER(T2365),ABS(T2365),"")</f>
        <v/>
      </c>
      <c r="V2365" s="46">
        <f>IF(OR($D2364&lt;&gt;"측정",$C2364&lt;&gt;$C2365,NOT(ISNUMBER(L2365)),NOT(ISNUMBER(L2364)),(IF(ISNUMBER(G2365),G2365,F2365)-IF(ISNUMBER(G2364),G2364,F2364))=0),"",(L2365-L2364)/(IF(ISNUMBER(G2365),G2365,F2365)-IF(ISNUMBER(G2364),G2364,F2364)))</f>
        <v/>
      </c>
      <c r="W2365" s="30">
        <f>IF(NOT(AND(ISNUMBER(N2365),ISNUMBER(P2365))),"",(P2365-N2365)*1440)</f>
        <v/>
      </c>
      <c r="X2365" s="28" t="n"/>
      <c r="Y2365" s="28" t="n"/>
      <c r="Z2365" s="28" t="n"/>
      <c r="AA2365" s="31" t="n"/>
      <c r="AB2365" s="31" t="n"/>
    </row>
    <row r="2366">
      <c r="A2366" s="25" t="inlineStr">
        <is>
          <t>S46</t>
        </is>
      </c>
      <c r="B2366" s="25" t="inlineStr">
        <is>
          <t>화천</t>
        </is>
      </c>
      <c r="C2366" s="25" t="inlineStr">
        <is>
          <t>S46-H서</t>
        </is>
      </c>
      <c r="D2366" s="25" t="inlineStr">
        <is>
          <t>측정</t>
        </is>
      </c>
      <c r="E2366" s="25" t="inlineStr">
        <is>
          <t>서</t>
        </is>
      </c>
      <c r="F2366" s="30" t="n">
        <v>7</v>
      </c>
      <c r="G2366" s="29" t="n"/>
      <c r="H2366" s="42" t="n"/>
      <c r="I2366" s="40" t="n"/>
      <c r="J2366" s="40" t="n"/>
      <c r="K2366" s="40" t="n"/>
      <c r="L2366" s="30">
        <f>IF(COUNT(I2366:K2366)=0,"",MEDIAN(I2366:K2366))</f>
        <v/>
      </c>
      <c r="M2366" s="25">
        <f>IF(COUNTIFS($C:$C,$C2366,$D:$D,"P0(전)",$L:$L,"&gt;0")&lt;&gt;1,"P0(전) 유효 1개 아님",IF(COUNTIFS($C:$C,$C2366,$D:$D,"P0(후)",$L:$L,"&gt;0")&lt;&gt;1,"P0(후) 유효 1개 아님",IF(NOT(AND(ISNUMBER(N2366),ISNUMBER(P2366),ISNUMBER(H2366))),"시각 결측",IF(P2366&lt;=N2366,"P0 시각 역전",IF(OR(H2366&lt;N2366,H2366&gt;P2366),"측정시각 구간 밖","OK")))))</f>
        <v/>
      </c>
      <c r="N2366" s="45">
        <f>IF(COUNTIFS($C:$C,$C2366,$D:$D,"P0(전)",$L:$L,"&gt;0")&lt;&gt;1,"",SUMIFS($H:$H,$C:$C,$C2366,$D:$D,"P0(전)"))</f>
        <v/>
      </c>
      <c r="O2366" s="30">
        <f>IF(COUNTIFS($C:$C,$C2366,$D:$D,"P0(전)",$L:$L,"&gt;0")&lt;&gt;1,"",SUMIFS($L:$L,$C:$C,$C2366,$D:$D,"P0(전)"))</f>
        <v/>
      </c>
      <c r="P2366" s="45">
        <f>IF(COUNTIFS($C:$C,$C2366,$D:$D,"P0(후)",$L:$L,"&gt;0")&lt;&gt;1,"",SUMIFS($H:$H,$C:$C,$C2366,$D:$D,"P0(후)"))</f>
        <v/>
      </c>
      <c r="Q2366" s="30">
        <f>IF(COUNTIFS($C:$C,$C2366,$D:$D,"P0(후)",$L:$L,"&gt;0")&lt;&gt;1,"",SUMIFS($L:$L,$C:$C,$C2366,$D:$D,"P0(후)"))</f>
        <v/>
      </c>
      <c r="R2366" s="30">
        <f>IF(M2366&lt;&gt;"OK","",O2366+(Q2366-O2366)*(H2366-N2366)/(P2366-N2366))</f>
        <v/>
      </c>
      <c r="S2366" s="30">
        <f>IF(OR(M2366&lt;&gt;"OK",NOT(ISNUMBER(L2366))),"",L2366-R2366)</f>
        <v/>
      </c>
      <c r="T2366" s="46">
        <f>IF(OR(NOT(ISNUMBER(S2366)),IF(ISNUMBER(G2366),G2366,F2366)=0),"",S2366/IF(ISNUMBER(G2366),G2366,F2366))</f>
        <v/>
      </c>
      <c r="U2366" s="46">
        <f>IF(ISNUMBER(T2366),ABS(T2366),"")</f>
        <v/>
      </c>
      <c r="V2366" s="46">
        <f>IF(OR($D2365&lt;&gt;"측정",$C2365&lt;&gt;$C2366,NOT(ISNUMBER(L2366)),NOT(ISNUMBER(L2365)),(IF(ISNUMBER(G2366),G2366,F2366)-IF(ISNUMBER(G2365),G2365,F2365))=0),"",(L2366-L2365)/(IF(ISNUMBER(G2366),G2366,F2366)-IF(ISNUMBER(G2365),G2365,F2365)))</f>
        <v/>
      </c>
      <c r="W2366" s="30">
        <f>IF(NOT(AND(ISNUMBER(N2366),ISNUMBER(P2366))),"",(P2366-N2366)*1440)</f>
        <v/>
      </c>
      <c r="X2366" s="28" t="n"/>
      <c r="Y2366" s="28" t="n"/>
      <c r="Z2366" s="28" t="n"/>
      <c r="AA2366" s="31" t="n"/>
      <c r="AB2366" s="31" t="n"/>
    </row>
    <row r="2367">
      <c r="A2367" s="25" t="inlineStr">
        <is>
          <t>S46</t>
        </is>
      </c>
      <c r="B2367" s="25" t="inlineStr">
        <is>
          <t>화천</t>
        </is>
      </c>
      <c r="C2367" s="25" t="inlineStr">
        <is>
          <t>S46-H서</t>
        </is>
      </c>
      <c r="D2367" s="25" t="inlineStr">
        <is>
          <t>측정</t>
        </is>
      </c>
      <c r="E2367" s="25" t="inlineStr">
        <is>
          <t>서</t>
        </is>
      </c>
      <c r="F2367" s="30" t="n">
        <v>8</v>
      </c>
      <c r="G2367" s="29" t="n"/>
      <c r="H2367" s="42" t="n"/>
      <c r="I2367" s="40" t="n"/>
      <c r="J2367" s="40" t="n"/>
      <c r="K2367" s="40" t="n"/>
      <c r="L2367" s="30">
        <f>IF(COUNT(I2367:K2367)=0,"",MEDIAN(I2367:K2367))</f>
        <v/>
      </c>
      <c r="M2367" s="25">
        <f>IF(COUNTIFS($C:$C,$C2367,$D:$D,"P0(전)",$L:$L,"&gt;0")&lt;&gt;1,"P0(전) 유효 1개 아님",IF(COUNTIFS($C:$C,$C2367,$D:$D,"P0(후)",$L:$L,"&gt;0")&lt;&gt;1,"P0(후) 유효 1개 아님",IF(NOT(AND(ISNUMBER(N2367),ISNUMBER(P2367),ISNUMBER(H2367))),"시각 결측",IF(P2367&lt;=N2367,"P0 시각 역전",IF(OR(H2367&lt;N2367,H2367&gt;P2367),"측정시각 구간 밖","OK")))))</f>
        <v/>
      </c>
      <c r="N2367" s="45">
        <f>IF(COUNTIFS($C:$C,$C2367,$D:$D,"P0(전)",$L:$L,"&gt;0")&lt;&gt;1,"",SUMIFS($H:$H,$C:$C,$C2367,$D:$D,"P0(전)"))</f>
        <v/>
      </c>
      <c r="O2367" s="30">
        <f>IF(COUNTIFS($C:$C,$C2367,$D:$D,"P0(전)",$L:$L,"&gt;0")&lt;&gt;1,"",SUMIFS($L:$L,$C:$C,$C2367,$D:$D,"P0(전)"))</f>
        <v/>
      </c>
      <c r="P2367" s="45">
        <f>IF(COUNTIFS($C:$C,$C2367,$D:$D,"P0(후)",$L:$L,"&gt;0")&lt;&gt;1,"",SUMIFS($H:$H,$C:$C,$C2367,$D:$D,"P0(후)"))</f>
        <v/>
      </c>
      <c r="Q2367" s="30">
        <f>IF(COUNTIFS($C:$C,$C2367,$D:$D,"P0(후)",$L:$L,"&gt;0")&lt;&gt;1,"",SUMIFS($L:$L,$C:$C,$C2367,$D:$D,"P0(후)"))</f>
        <v/>
      </c>
      <c r="R2367" s="30">
        <f>IF(M2367&lt;&gt;"OK","",O2367+(Q2367-O2367)*(H2367-N2367)/(P2367-N2367))</f>
        <v/>
      </c>
      <c r="S2367" s="30">
        <f>IF(OR(M2367&lt;&gt;"OK",NOT(ISNUMBER(L2367))),"",L2367-R2367)</f>
        <v/>
      </c>
      <c r="T2367" s="46">
        <f>IF(OR(NOT(ISNUMBER(S2367)),IF(ISNUMBER(G2367),G2367,F2367)=0),"",S2367/IF(ISNUMBER(G2367),G2367,F2367))</f>
        <v/>
      </c>
      <c r="U2367" s="46">
        <f>IF(ISNUMBER(T2367),ABS(T2367),"")</f>
        <v/>
      </c>
      <c r="V2367" s="46">
        <f>IF(OR($D2366&lt;&gt;"측정",$C2366&lt;&gt;$C2367,NOT(ISNUMBER(L2367)),NOT(ISNUMBER(L2366)),(IF(ISNUMBER(G2367),G2367,F2367)-IF(ISNUMBER(G2366),G2366,F2366))=0),"",(L2367-L2366)/(IF(ISNUMBER(G2367),G2367,F2367)-IF(ISNUMBER(G2366),G2366,F2366)))</f>
        <v/>
      </c>
      <c r="W2367" s="30">
        <f>IF(NOT(AND(ISNUMBER(N2367),ISNUMBER(P2367))),"",(P2367-N2367)*1440)</f>
        <v/>
      </c>
      <c r="X2367" s="28" t="n"/>
      <c r="Y2367" s="28" t="n"/>
      <c r="Z2367" s="28" t="n"/>
      <c r="AA2367" s="31" t="n"/>
      <c r="AB2367" s="31" t="n"/>
    </row>
    <row r="2368">
      <c r="A2368" s="25" t="inlineStr">
        <is>
          <t>S46</t>
        </is>
      </c>
      <c r="B2368" s="25" t="inlineStr">
        <is>
          <t>화천</t>
        </is>
      </c>
      <c r="C2368" s="25" t="inlineStr">
        <is>
          <t>S46-H서</t>
        </is>
      </c>
      <c r="D2368" s="25" t="inlineStr">
        <is>
          <t>측정</t>
        </is>
      </c>
      <c r="E2368" s="25" t="inlineStr">
        <is>
          <t>서</t>
        </is>
      </c>
      <c r="F2368" s="30" t="n">
        <v>9</v>
      </c>
      <c r="G2368" s="29" t="n"/>
      <c r="H2368" s="42" t="n"/>
      <c r="I2368" s="40" t="n"/>
      <c r="J2368" s="40" t="n"/>
      <c r="K2368" s="40" t="n"/>
      <c r="L2368" s="30">
        <f>IF(COUNT(I2368:K2368)=0,"",MEDIAN(I2368:K2368))</f>
        <v/>
      </c>
      <c r="M2368" s="25">
        <f>IF(COUNTIFS($C:$C,$C2368,$D:$D,"P0(전)",$L:$L,"&gt;0")&lt;&gt;1,"P0(전) 유효 1개 아님",IF(COUNTIFS($C:$C,$C2368,$D:$D,"P0(후)",$L:$L,"&gt;0")&lt;&gt;1,"P0(후) 유효 1개 아님",IF(NOT(AND(ISNUMBER(N2368),ISNUMBER(P2368),ISNUMBER(H2368))),"시각 결측",IF(P2368&lt;=N2368,"P0 시각 역전",IF(OR(H2368&lt;N2368,H2368&gt;P2368),"측정시각 구간 밖","OK")))))</f>
        <v/>
      </c>
      <c r="N2368" s="45">
        <f>IF(COUNTIFS($C:$C,$C2368,$D:$D,"P0(전)",$L:$L,"&gt;0")&lt;&gt;1,"",SUMIFS($H:$H,$C:$C,$C2368,$D:$D,"P0(전)"))</f>
        <v/>
      </c>
      <c r="O2368" s="30">
        <f>IF(COUNTIFS($C:$C,$C2368,$D:$D,"P0(전)",$L:$L,"&gt;0")&lt;&gt;1,"",SUMIFS($L:$L,$C:$C,$C2368,$D:$D,"P0(전)"))</f>
        <v/>
      </c>
      <c r="P2368" s="45">
        <f>IF(COUNTIFS($C:$C,$C2368,$D:$D,"P0(후)",$L:$L,"&gt;0")&lt;&gt;1,"",SUMIFS($H:$H,$C:$C,$C2368,$D:$D,"P0(후)"))</f>
        <v/>
      </c>
      <c r="Q2368" s="30">
        <f>IF(COUNTIFS($C:$C,$C2368,$D:$D,"P0(후)",$L:$L,"&gt;0")&lt;&gt;1,"",SUMIFS($L:$L,$C:$C,$C2368,$D:$D,"P0(후)"))</f>
        <v/>
      </c>
      <c r="R2368" s="30">
        <f>IF(M2368&lt;&gt;"OK","",O2368+(Q2368-O2368)*(H2368-N2368)/(P2368-N2368))</f>
        <v/>
      </c>
      <c r="S2368" s="30">
        <f>IF(OR(M2368&lt;&gt;"OK",NOT(ISNUMBER(L2368))),"",L2368-R2368)</f>
        <v/>
      </c>
      <c r="T2368" s="46">
        <f>IF(OR(NOT(ISNUMBER(S2368)),IF(ISNUMBER(G2368),G2368,F2368)=0),"",S2368/IF(ISNUMBER(G2368),G2368,F2368))</f>
        <v/>
      </c>
      <c r="U2368" s="46">
        <f>IF(ISNUMBER(T2368),ABS(T2368),"")</f>
        <v/>
      </c>
      <c r="V2368" s="46">
        <f>IF(OR($D2367&lt;&gt;"측정",$C2367&lt;&gt;$C2368,NOT(ISNUMBER(L2368)),NOT(ISNUMBER(L2367)),(IF(ISNUMBER(G2368),G2368,F2368)-IF(ISNUMBER(G2367),G2367,F2367))=0),"",(L2368-L2367)/(IF(ISNUMBER(G2368),G2368,F2368)-IF(ISNUMBER(G2367),G2367,F2367)))</f>
        <v/>
      </c>
      <c r="W2368" s="30">
        <f>IF(NOT(AND(ISNUMBER(N2368),ISNUMBER(P2368))),"",(P2368-N2368)*1440)</f>
        <v/>
      </c>
      <c r="X2368" s="28" t="n"/>
      <c r="Y2368" s="28" t="n"/>
      <c r="Z2368" s="28" t="n"/>
      <c r="AA2368" s="31" t="n"/>
      <c r="AB2368" s="31" t="n"/>
    </row>
    <row r="2369">
      <c r="A2369" s="25" t="inlineStr">
        <is>
          <t>S46</t>
        </is>
      </c>
      <c r="B2369" s="25" t="inlineStr">
        <is>
          <t>화천</t>
        </is>
      </c>
      <c r="C2369" s="25" t="inlineStr">
        <is>
          <t>S46-H서</t>
        </is>
      </c>
      <c r="D2369" s="25" t="inlineStr">
        <is>
          <t>측정</t>
        </is>
      </c>
      <c r="E2369" s="25" t="inlineStr">
        <is>
          <t>서</t>
        </is>
      </c>
      <c r="F2369" s="30" t="n">
        <v>10</v>
      </c>
      <c r="G2369" s="29" t="n"/>
      <c r="H2369" s="42" t="n"/>
      <c r="I2369" s="40" t="n"/>
      <c r="J2369" s="40" t="n"/>
      <c r="K2369" s="40" t="n"/>
      <c r="L2369" s="30">
        <f>IF(COUNT(I2369:K2369)=0,"",MEDIAN(I2369:K2369))</f>
        <v/>
      </c>
      <c r="M2369" s="25">
        <f>IF(COUNTIFS($C:$C,$C2369,$D:$D,"P0(전)",$L:$L,"&gt;0")&lt;&gt;1,"P0(전) 유효 1개 아님",IF(COUNTIFS($C:$C,$C2369,$D:$D,"P0(후)",$L:$L,"&gt;0")&lt;&gt;1,"P0(후) 유효 1개 아님",IF(NOT(AND(ISNUMBER(N2369),ISNUMBER(P2369),ISNUMBER(H2369))),"시각 결측",IF(P2369&lt;=N2369,"P0 시각 역전",IF(OR(H2369&lt;N2369,H2369&gt;P2369),"측정시각 구간 밖","OK")))))</f>
        <v/>
      </c>
      <c r="N2369" s="45">
        <f>IF(COUNTIFS($C:$C,$C2369,$D:$D,"P0(전)",$L:$L,"&gt;0")&lt;&gt;1,"",SUMIFS($H:$H,$C:$C,$C2369,$D:$D,"P0(전)"))</f>
        <v/>
      </c>
      <c r="O2369" s="30">
        <f>IF(COUNTIFS($C:$C,$C2369,$D:$D,"P0(전)",$L:$L,"&gt;0")&lt;&gt;1,"",SUMIFS($L:$L,$C:$C,$C2369,$D:$D,"P0(전)"))</f>
        <v/>
      </c>
      <c r="P2369" s="45">
        <f>IF(COUNTIFS($C:$C,$C2369,$D:$D,"P0(후)",$L:$L,"&gt;0")&lt;&gt;1,"",SUMIFS($H:$H,$C:$C,$C2369,$D:$D,"P0(후)"))</f>
        <v/>
      </c>
      <c r="Q2369" s="30">
        <f>IF(COUNTIFS($C:$C,$C2369,$D:$D,"P0(후)",$L:$L,"&gt;0")&lt;&gt;1,"",SUMIFS($L:$L,$C:$C,$C2369,$D:$D,"P0(후)"))</f>
        <v/>
      </c>
      <c r="R2369" s="30">
        <f>IF(M2369&lt;&gt;"OK","",O2369+(Q2369-O2369)*(H2369-N2369)/(P2369-N2369))</f>
        <v/>
      </c>
      <c r="S2369" s="30">
        <f>IF(OR(M2369&lt;&gt;"OK",NOT(ISNUMBER(L2369))),"",L2369-R2369)</f>
        <v/>
      </c>
      <c r="T2369" s="46">
        <f>IF(OR(NOT(ISNUMBER(S2369)),IF(ISNUMBER(G2369),G2369,F2369)=0),"",S2369/IF(ISNUMBER(G2369),G2369,F2369))</f>
        <v/>
      </c>
      <c r="U2369" s="46">
        <f>IF(ISNUMBER(T2369),ABS(T2369),"")</f>
        <v/>
      </c>
      <c r="V2369" s="46">
        <f>IF(OR($D2368&lt;&gt;"측정",$C2368&lt;&gt;$C2369,NOT(ISNUMBER(L2369)),NOT(ISNUMBER(L2368)),(IF(ISNUMBER(G2369),G2369,F2369)-IF(ISNUMBER(G2368),G2368,F2368))=0),"",(L2369-L2368)/(IF(ISNUMBER(G2369),G2369,F2369)-IF(ISNUMBER(G2368),G2368,F2368)))</f>
        <v/>
      </c>
      <c r="W2369" s="30">
        <f>IF(NOT(AND(ISNUMBER(N2369),ISNUMBER(P2369))),"",(P2369-N2369)*1440)</f>
        <v/>
      </c>
      <c r="X2369" s="28" t="n"/>
      <c r="Y2369" s="28" t="n"/>
      <c r="Z2369" s="28" t="n"/>
      <c r="AA2369" s="31" t="n"/>
      <c r="AB2369" s="31" t="n"/>
    </row>
    <row r="2370">
      <c r="A2370" s="43" t="inlineStr">
        <is>
          <t>S46</t>
        </is>
      </c>
      <c r="B2370" s="43" t="inlineStr">
        <is>
          <t>화천</t>
        </is>
      </c>
      <c r="C2370" s="43" t="inlineStr">
        <is>
          <t>S46-H서</t>
        </is>
      </c>
      <c r="D2370" s="43" t="inlineStr">
        <is>
          <t>P0(후)</t>
        </is>
      </c>
      <c r="E2370" s="43" t="inlineStr">
        <is>
          <t>서</t>
        </is>
      </c>
      <c r="F2370" s="44" t="n"/>
      <c r="G2370" s="29" t="n"/>
      <c r="H2370" s="42" t="n"/>
      <c r="I2370" s="40" t="n"/>
      <c r="J2370" s="40" t="n"/>
      <c r="K2370" s="40" t="n"/>
      <c r="L2370" s="30">
        <f>IF(COUNT(I2370:K2370)=0,"",MEDIAN(I2370:K2370))</f>
        <v/>
      </c>
      <c r="M2370" s="37" t="n"/>
      <c r="N2370" s="37" t="n"/>
      <c r="O2370" s="37" t="n"/>
      <c r="P2370" s="37" t="n"/>
      <c r="Q2370" s="37" t="n"/>
      <c r="R2370" s="37" t="n"/>
      <c r="S2370" s="37" t="n"/>
      <c r="T2370" s="37" t="n"/>
      <c r="U2370" s="37" t="n"/>
      <c r="V2370" s="37" t="n"/>
      <c r="W2370" s="37" t="n"/>
      <c r="X2370" s="28" t="n"/>
      <c r="Y2370" s="28" t="n"/>
      <c r="Z2370" s="28" t="n"/>
      <c r="AA2370" s="31" t="n"/>
      <c r="AB2370" s="31" t="n"/>
    </row>
    <row r="2371">
      <c r="A2371" s="43" t="inlineStr">
        <is>
          <t>S46</t>
        </is>
      </c>
      <c r="B2371" s="43" t="inlineStr">
        <is>
          <t>화천</t>
        </is>
      </c>
      <c r="C2371" s="43" t="inlineStr">
        <is>
          <t>S46-H남</t>
        </is>
      </c>
      <c r="D2371" s="43" t="inlineStr">
        <is>
          <t>P0(전)</t>
        </is>
      </c>
      <c r="E2371" s="43" t="inlineStr">
        <is>
          <t>남</t>
        </is>
      </c>
      <c r="F2371" s="44" t="n"/>
      <c r="G2371" s="29" t="n"/>
      <c r="H2371" s="42" t="n"/>
      <c r="I2371" s="40" t="n"/>
      <c r="J2371" s="40" t="n"/>
      <c r="K2371" s="40" t="n"/>
      <c r="L2371" s="30">
        <f>IF(COUNT(I2371:K2371)=0,"",MEDIAN(I2371:K2371))</f>
        <v/>
      </c>
      <c r="M2371" s="37" t="n"/>
      <c r="N2371" s="37" t="n"/>
      <c r="O2371" s="37" t="n"/>
      <c r="P2371" s="37" t="n"/>
      <c r="Q2371" s="37" t="n"/>
      <c r="R2371" s="37" t="n"/>
      <c r="S2371" s="37" t="n"/>
      <c r="T2371" s="37" t="n"/>
      <c r="U2371" s="37" t="n"/>
      <c r="V2371" s="37" t="n"/>
      <c r="W2371" s="37" t="n"/>
      <c r="X2371" s="28" t="n"/>
      <c r="Y2371" s="28" t="n"/>
      <c r="Z2371" s="28" t="n"/>
      <c r="AA2371" s="31" t="n"/>
      <c r="AB2371" s="31" t="n"/>
    </row>
    <row r="2372">
      <c r="A2372" s="25" t="inlineStr">
        <is>
          <t>S46</t>
        </is>
      </c>
      <c r="B2372" s="25" t="inlineStr">
        <is>
          <t>화천</t>
        </is>
      </c>
      <c r="C2372" s="25" t="inlineStr">
        <is>
          <t>S46-H남</t>
        </is>
      </c>
      <c r="D2372" s="25" t="inlineStr">
        <is>
          <t>측정</t>
        </is>
      </c>
      <c r="E2372" s="25" t="inlineStr">
        <is>
          <t>남</t>
        </is>
      </c>
      <c r="F2372" s="30" t="n">
        <v>0.5</v>
      </c>
      <c r="G2372" s="29" t="n"/>
      <c r="H2372" s="42" t="n"/>
      <c r="I2372" s="40" t="n"/>
      <c r="J2372" s="40" t="n"/>
      <c r="K2372" s="40" t="n"/>
      <c r="L2372" s="30">
        <f>IF(COUNT(I2372:K2372)=0,"",MEDIAN(I2372:K2372))</f>
        <v/>
      </c>
      <c r="M2372" s="25">
        <f>IF(COUNTIFS($C:$C,$C2372,$D:$D,"P0(전)",$L:$L,"&gt;0")&lt;&gt;1,"P0(전) 유효 1개 아님",IF(COUNTIFS($C:$C,$C2372,$D:$D,"P0(후)",$L:$L,"&gt;0")&lt;&gt;1,"P0(후) 유효 1개 아님",IF(NOT(AND(ISNUMBER(N2372),ISNUMBER(P2372),ISNUMBER(H2372))),"시각 결측",IF(P2372&lt;=N2372,"P0 시각 역전",IF(OR(H2372&lt;N2372,H2372&gt;P2372),"측정시각 구간 밖","OK")))))</f>
        <v/>
      </c>
      <c r="N2372" s="45">
        <f>IF(COUNTIFS($C:$C,$C2372,$D:$D,"P0(전)",$L:$L,"&gt;0")&lt;&gt;1,"",SUMIFS($H:$H,$C:$C,$C2372,$D:$D,"P0(전)"))</f>
        <v/>
      </c>
      <c r="O2372" s="30">
        <f>IF(COUNTIFS($C:$C,$C2372,$D:$D,"P0(전)",$L:$L,"&gt;0")&lt;&gt;1,"",SUMIFS($L:$L,$C:$C,$C2372,$D:$D,"P0(전)"))</f>
        <v/>
      </c>
      <c r="P2372" s="45">
        <f>IF(COUNTIFS($C:$C,$C2372,$D:$D,"P0(후)",$L:$L,"&gt;0")&lt;&gt;1,"",SUMIFS($H:$H,$C:$C,$C2372,$D:$D,"P0(후)"))</f>
        <v/>
      </c>
      <c r="Q2372" s="30">
        <f>IF(COUNTIFS($C:$C,$C2372,$D:$D,"P0(후)",$L:$L,"&gt;0")&lt;&gt;1,"",SUMIFS($L:$L,$C:$C,$C2372,$D:$D,"P0(후)"))</f>
        <v/>
      </c>
      <c r="R2372" s="30">
        <f>IF(M2372&lt;&gt;"OK","",O2372+(Q2372-O2372)*(H2372-N2372)/(P2372-N2372))</f>
        <v/>
      </c>
      <c r="S2372" s="30">
        <f>IF(OR(M2372&lt;&gt;"OK",NOT(ISNUMBER(L2372))),"",L2372-R2372)</f>
        <v/>
      </c>
      <c r="T2372" s="46">
        <f>IF(OR(NOT(ISNUMBER(S2372)),IF(ISNUMBER(G2372),G2372,F2372)=0),"",S2372/IF(ISNUMBER(G2372),G2372,F2372))</f>
        <v/>
      </c>
      <c r="U2372" s="46">
        <f>IF(ISNUMBER(T2372),ABS(T2372),"")</f>
        <v/>
      </c>
      <c r="V2372" s="46">
        <f>IF(OR($D2371&lt;&gt;"측정",$C2371&lt;&gt;$C2372,NOT(ISNUMBER(L2372)),NOT(ISNUMBER(L2371)),(IF(ISNUMBER(G2372),G2372,F2372)-IF(ISNUMBER(G2371),G2371,F2371))=0),"",(L2372-L2371)/(IF(ISNUMBER(G2372),G2372,F2372)-IF(ISNUMBER(G2371),G2371,F2371)))</f>
        <v/>
      </c>
      <c r="W2372" s="30">
        <f>IF(NOT(AND(ISNUMBER(N2372),ISNUMBER(P2372))),"",(P2372-N2372)*1440)</f>
        <v/>
      </c>
      <c r="X2372" s="28" t="n"/>
      <c r="Y2372" s="28" t="n"/>
      <c r="Z2372" s="28" t="n"/>
      <c r="AA2372" s="31" t="n"/>
      <c r="AB2372" s="31" t="n"/>
    </row>
    <row r="2373">
      <c r="A2373" s="25" t="inlineStr">
        <is>
          <t>S46</t>
        </is>
      </c>
      <c r="B2373" s="25" t="inlineStr">
        <is>
          <t>화천</t>
        </is>
      </c>
      <c r="C2373" s="25" t="inlineStr">
        <is>
          <t>S46-H남</t>
        </is>
      </c>
      <c r="D2373" s="25" t="inlineStr">
        <is>
          <t>측정</t>
        </is>
      </c>
      <c r="E2373" s="25" t="inlineStr">
        <is>
          <t>남</t>
        </is>
      </c>
      <c r="F2373" s="30" t="n">
        <v>1</v>
      </c>
      <c r="G2373" s="29" t="n"/>
      <c r="H2373" s="42" t="n"/>
      <c r="I2373" s="40" t="n"/>
      <c r="J2373" s="40" t="n"/>
      <c r="K2373" s="40" t="n"/>
      <c r="L2373" s="30">
        <f>IF(COUNT(I2373:K2373)=0,"",MEDIAN(I2373:K2373))</f>
        <v/>
      </c>
      <c r="M2373" s="25">
        <f>IF(COUNTIFS($C:$C,$C2373,$D:$D,"P0(전)",$L:$L,"&gt;0")&lt;&gt;1,"P0(전) 유효 1개 아님",IF(COUNTIFS($C:$C,$C2373,$D:$D,"P0(후)",$L:$L,"&gt;0")&lt;&gt;1,"P0(후) 유효 1개 아님",IF(NOT(AND(ISNUMBER(N2373),ISNUMBER(P2373),ISNUMBER(H2373))),"시각 결측",IF(P2373&lt;=N2373,"P0 시각 역전",IF(OR(H2373&lt;N2373,H2373&gt;P2373),"측정시각 구간 밖","OK")))))</f>
        <v/>
      </c>
      <c r="N2373" s="45">
        <f>IF(COUNTIFS($C:$C,$C2373,$D:$D,"P0(전)",$L:$L,"&gt;0")&lt;&gt;1,"",SUMIFS($H:$H,$C:$C,$C2373,$D:$D,"P0(전)"))</f>
        <v/>
      </c>
      <c r="O2373" s="30">
        <f>IF(COUNTIFS($C:$C,$C2373,$D:$D,"P0(전)",$L:$L,"&gt;0")&lt;&gt;1,"",SUMIFS($L:$L,$C:$C,$C2373,$D:$D,"P0(전)"))</f>
        <v/>
      </c>
      <c r="P2373" s="45">
        <f>IF(COUNTIFS($C:$C,$C2373,$D:$D,"P0(후)",$L:$L,"&gt;0")&lt;&gt;1,"",SUMIFS($H:$H,$C:$C,$C2373,$D:$D,"P0(후)"))</f>
        <v/>
      </c>
      <c r="Q2373" s="30">
        <f>IF(COUNTIFS($C:$C,$C2373,$D:$D,"P0(후)",$L:$L,"&gt;0")&lt;&gt;1,"",SUMIFS($L:$L,$C:$C,$C2373,$D:$D,"P0(후)"))</f>
        <v/>
      </c>
      <c r="R2373" s="30">
        <f>IF(M2373&lt;&gt;"OK","",O2373+(Q2373-O2373)*(H2373-N2373)/(P2373-N2373))</f>
        <v/>
      </c>
      <c r="S2373" s="30">
        <f>IF(OR(M2373&lt;&gt;"OK",NOT(ISNUMBER(L2373))),"",L2373-R2373)</f>
        <v/>
      </c>
      <c r="T2373" s="46">
        <f>IF(OR(NOT(ISNUMBER(S2373)),IF(ISNUMBER(G2373),G2373,F2373)=0),"",S2373/IF(ISNUMBER(G2373),G2373,F2373))</f>
        <v/>
      </c>
      <c r="U2373" s="46">
        <f>IF(ISNUMBER(T2373),ABS(T2373),"")</f>
        <v/>
      </c>
      <c r="V2373" s="46">
        <f>IF(OR($D2372&lt;&gt;"측정",$C2372&lt;&gt;$C2373,NOT(ISNUMBER(L2373)),NOT(ISNUMBER(L2372)),(IF(ISNUMBER(G2373),G2373,F2373)-IF(ISNUMBER(G2372),G2372,F2372))=0),"",(L2373-L2372)/(IF(ISNUMBER(G2373),G2373,F2373)-IF(ISNUMBER(G2372),G2372,F2372)))</f>
        <v/>
      </c>
      <c r="W2373" s="30">
        <f>IF(NOT(AND(ISNUMBER(N2373),ISNUMBER(P2373))),"",(P2373-N2373)*1440)</f>
        <v/>
      </c>
      <c r="X2373" s="28" t="n"/>
      <c r="Y2373" s="28" t="n"/>
      <c r="Z2373" s="28" t="n"/>
      <c r="AA2373" s="31" t="n"/>
      <c r="AB2373" s="31" t="n"/>
    </row>
    <row r="2374">
      <c r="A2374" s="25" t="inlineStr">
        <is>
          <t>S46</t>
        </is>
      </c>
      <c r="B2374" s="25" t="inlineStr">
        <is>
          <t>화천</t>
        </is>
      </c>
      <c r="C2374" s="25" t="inlineStr">
        <is>
          <t>S46-H남</t>
        </is>
      </c>
      <c r="D2374" s="25" t="inlineStr">
        <is>
          <t>측정</t>
        </is>
      </c>
      <c r="E2374" s="25" t="inlineStr">
        <is>
          <t>남</t>
        </is>
      </c>
      <c r="F2374" s="30" t="n">
        <v>2</v>
      </c>
      <c r="G2374" s="29" t="n"/>
      <c r="H2374" s="42" t="n"/>
      <c r="I2374" s="40" t="n"/>
      <c r="J2374" s="40" t="n"/>
      <c r="K2374" s="40" t="n"/>
      <c r="L2374" s="30">
        <f>IF(COUNT(I2374:K2374)=0,"",MEDIAN(I2374:K2374))</f>
        <v/>
      </c>
      <c r="M2374" s="25">
        <f>IF(COUNTIFS($C:$C,$C2374,$D:$D,"P0(전)",$L:$L,"&gt;0")&lt;&gt;1,"P0(전) 유효 1개 아님",IF(COUNTIFS($C:$C,$C2374,$D:$D,"P0(후)",$L:$L,"&gt;0")&lt;&gt;1,"P0(후) 유효 1개 아님",IF(NOT(AND(ISNUMBER(N2374),ISNUMBER(P2374),ISNUMBER(H2374))),"시각 결측",IF(P2374&lt;=N2374,"P0 시각 역전",IF(OR(H2374&lt;N2374,H2374&gt;P2374),"측정시각 구간 밖","OK")))))</f>
        <v/>
      </c>
      <c r="N2374" s="45">
        <f>IF(COUNTIFS($C:$C,$C2374,$D:$D,"P0(전)",$L:$L,"&gt;0")&lt;&gt;1,"",SUMIFS($H:$H,$C:$C,$C2374,$D:$D,"P0(전)"))</f>
        <v/>
      </c>
      <c r="O2374" s="30">
        <f>IF(COUNTIFS($C:$C,$C2374,$D:$D,"P0(전)",$L:$L,"&gt;0")&lt;&gt;1,"",SUMIFS($L:$L,$C:$C,$C2374,$D:$D,"P0(전)"))</f>
        <v/>
      </c>
      <c r="P2374" s="45">
        <f>IF(COUNTIFS($C:$C,$C2374,$D:$D,"P0(후)",$L:$L,"&gt;0")&lt;&gt;1,"",SUMIFS($H:$H,$C:$C,$C2374,$D:$D,"P0(후)"))</f>
        <v/>
      </c>
      <c r="Q2374" s="30">
        <f>IF(COUNTIFS($C:$C,$C2374,$D:$D,"P0(후)",$L:$L,"&gt;0")&lt;&gt;1,"",SUMIFS($L:$L,$C:$C,$C2374,$D:$D,"P0(후)"))</f>
        <v/>
      </c>
      <c r="R2374" s="30">
        <f>IF(M2374&lt;&gt;"OK","",O2374+(Q2374-O2374)*(H2374-N2374)/(P2374-N2374))</f>
        <v/>
      </c>
      <c r="S2374" s="30">
        <f>IF(OR(M2374&lt;&gt;"OK",NOT(ISNUMBER(L2374))),"",L2374-R2374)</f>
        <v/>
      </c>
      <c r="T2374" s="46">
        <f>IF(OR(NOT(ISNUMBER(S2374)),IF(ISNUMBER(G2374),G2374,F2374)=0),"",S2374/IF(ISNUMBER(G2374),G2374,F2374))</f>
        <v/>
      </c>
      <c r="U2374" s="46">
        <f>IF(ISNUMBER(T2374),ABS(T2374),"")</f>
        <v/>
      </c>
      <c r="V2374" s="46">
        <f>IF(OR($D2373&lt;&gt;"측정",$C2373&lt;&gt;$C2374,NOT(ISNUMBER(L2374)),NOT(ISNUMBER(L2373)),(IF(ISNUMBER(G2374),G2374,F2374)-IF(ISNUMBER(G2373),G2373,F2373))=0),"",(L2374-L2373)/(IF(ISNUMBER(G2374),G2374,F2374)-IF(ISNUMBER(G2373),G2373,F2373)))</f>
        <v/>
      </c>
      <c r="W2374" s="30">
        <f>IF(NOT(AND(ISNUMBER(N2374),ISNUMBER(P2374))),"",(P2374-N2374)*1440)</f>
        <v/>
      </c>
      <c r="X2374" s="28" t="n"/>
      <c r="Y2374" s="28" t="n"/>
      <c r="Z2374" s="28" t="n"/>
      <c r="AA2374" s="31" t="n"/>
      <c r="AB2374" s="31" t="n"/>
    </row>
    <row r="2375">
      <c r="A2375" s="25" t="inlineStr">
        <is>
          <t>S46</t>
        </is>
      </c>
      <c r="B2375" s="25" t="inlineStr">
        <is>
          <t>화천</t>
        </is>
      </c>
      <c r="C2375" s="25" t="inlineStr">
        <is>
          <t>S46-H남</t>
        </is>
      </c>
      <c r="D2375" s="25" t="inlineStr">
        <is>
          <t>측정</t>
        </is>
      </c>
      <c r="E2375" s="25" t="inlineStr">
        <is>
          <t>남</t>
        </is>
      </c>
      <c r="F2375" s="30" t="n">
        <v>3</v>
      </c>
      <c r="G2375" s="29" t="n"/>
      <c r="H2375" s="42" t="n"/>
      <c r="I2375" s="40" t="n"/>
      <c r="J2375" s="40" t="n"/>
      <c r="K2375" s="40" t="n"/>
      <c r="L2375" s="30">
        <f>IF(COUNT(I2375:K2375)=0,"",MEDIAN(I2375:K2375))</f>
        <v/>
      </c>
      <c r="M2375" s="25">
        <f>IF(COUNTIFS($C:$C,$C2375,$D:$D,"P0(전)",$L:$L,"&gt;0")&lt;&gt;1,"P0(전) 유효 1개 아님",IF(COUNTIFS($C:$C,$C2375,$D:$D,"P0(후)",$L:$L,"&gt;0")&lt;&gt;1,"P0(후) 유효 1개 아님",IF(NOT(AND(ISNUMBER(N2375),ISNUMBER(P2375),ISNUMBER(H2375))),"시각 결측",IF(P2375&lt;=N2375,"P0 시각 역전",IF(OR(H2375&lt;N2375,H2375&gt;P2375),"측정시각 구간 밖","OK")))))</f>
        <v/>
      </c>
      <c r="N2375" s="45">
        <f>IF(COUNTIFS($C:$C,$C2375,$D:$D,"P0(전)",$L:$L,"&gt;0")&lt;&gt;1,"",SUMIFS($H:$H,$C:$C,$C2375,$D:$D,"P0(전)"))</f>
        <v/>
      </c>
      <c r="O2375" s="30">
        <f>IF(COUNTIFS($C:$C,$C2375,$D:$D,"P0(전)",$L:$L,"&gt;0")&lt;&gt;1,"",SUMIFS($L:$L,$C:$C,$C2375,$D:$D,"P0(전)"))</f>
        <v/>
      </c>
      <c r="P2375" s="45">
        <f>IF(COUNTIFS($C:$C,$C2375,$D:$D,"P0(후)",$L:$L,"&gt;0")&lt;&gt;1,"",SUMIFS($H:$H,$C:$C,$C2375,$D:$D,"P0(후)"))</f>
        <v/>
      </c>
      <c r="Q2375" s="30">
        <f>IF(COUNTIFS($C:$C,$C2375,$D:$D,"P0(후)",$L:$L,"&gt;0")&lt;&gt;1,"",SUMIFS($L:$L,$C:$C,$C2375,$D:$D,"P0(후)"))</f>
        <v/>
      </c>
      <c r="R2375" s="30">
        <f>IF(M2375&lt;&gt;"OK","",O2375+(Q2375-O2375)*(H2375-N2375)/(P2375-N2375))</f>
        <v/>
      </c>
      <c r="S2375" s="30">
        <f>IF(OR(M2375&lt;&gt;"OK",NOT(ISNUMBER(L2375))),"",L2375-R2375)</f>
        <v/>
      </c>
      <c r="T2375" s="46">
        <f>IF(OR(NOT(ISNUMBER(S2375)),IF(ISNUMBER(G2375),G2375,F2375)=0),"",S2375/IF(ISNUMBER(G2375),G2375,F2375))</f>
        <v/>
      </c>
      <c r="U2375" s="46">
        <f>IF(ISNUMBER(T2375),ABS(T2375),"")</f>
        <v/>
      </c>
      <c r="V2375" s="46">
        <f>IF(OR($D2374&lt;&gt;"측정",$C2374&lt;&gt;$C2375,NOT(ISNUMBER(L2375)),NOT(ISNUMBER(L2374)),(IF(ISNUMBER(G2375),G2375,F2375)-IF(ISNUMBER(G2374),G2374,F2374))=0),"",(L2375-L2374)/(IF(ISNUMBER(G2375),G2375,F2375)-IF(ISNUMBER(G2374),G2374,F2374)))</f>
        <v/>
      </c>
      <c r="W2375" s="30">
        <f>IF(NOT(AND(ISNUMBER(N2375),ISNUMBER(P2375))),"",(P2375-N2375)*1440)</f>
        <v/>
      </c>
      <c r="X2375" s="28" t="n"/>
      <c r="Y2375" s="28" t="n"/>
      <c r="Z2375" s="28" t="n"/>
      <c r="AA2375" s="31" t="n"/>
      <c r="AB2375" s="31" t="n"/>
    </row>
    <row r="2376">
      <c r="A2376" s="25" t="inlineStr">
        <is>
          <t>S46</t>
        </is>
      </c>
      <c r="B2376" s="25" t="inlineStr">
        <is>
          <t>화천</t>
        </is>
      </c>
      <c r="C2376" s="25" t="inlineStr">
        <is>
          <t>S46-H남</t>
        </is>
      </c>
      <c r="D2376" s="25" t="inlineStr">
        <is>
          <t>측정</t>
        </is>
      </c>
      <c r="E2376" s="25" t="inlineStr">
        <is>
          <t>남</t>
        </is>
      </c>
      <c r="F2376" s="30" t="n">
        <v>4</v>
      </c>
      <c r="G2376" s="29" t="n"/>
      <c r="H2376" s="42" t="n"/>
      <c r="I2376" s="40" t="n"/>
      <c r="J2376" s="40" t="n"/>
      <c r="K2376" s="40" t="n"/>
      <c r="L2376" s="30">
        <f>IF(COUNT(I2376:K2376)=0,"",MEDIAN(I2376:K2376))</f>
        <v/>
      </c>
      <c r="M2376" s="25">
        <f>IF(COUNTIFS($C:$C,$C2376,$D:$D,"P0(전)",$L:$L,"&gt;0")&lt;&gt;1,"P0(전) 유효 1개 아님",IF(COUNTIFS($C:$C,$C2376,$D:$D,"P0(후)",$L:$L,"&gt;0")&lt;&gt;1,"P0(후) 유효 1개 아님",IF(NOT(AND(ISNUMBER(N2376),ISNUMBER(P2376),ISNUMBER(H2376))),"시각 결측",IF(P2376&lt;=N2376,"P0 시각 역전",IF(OR(H2376&lt;N2376,H2376&gt;P2376),"측정시각 구간 밖","OK")))))</f>
        <v/>
      </c>
      <c r="N2376" s="45">
        <f>IF(COUNTIFS($C:$C,$C2376,$D:$D,"P0(전)",$L:$L,"&gt;0")&lt;&gt;1,"",SUMIFS($H:$H,$C:$C,$C2376,$D:$D,"P0(전)"))</f>
        <v/>
      </c>
      <c r="O2376" s="30">
        <f>IF(COUNTIFS($C:$C,$C2376,$D:$D,"P0(전)",$L:$L,"&gt;0")&lt;&gt;1,"",SUMIFS($L:$L,$C:$C,$C2376,$D:$D,"P0(전)"))</f>
        <v/>
      </c>
      <c r="P2376" s="45">
        <f>IF(COUNTIFS($C:$C,$C2376,$D:$D,"P0(후)",$L:$L,"&gt;0")&lt;&gt;1,"",SUMIFS($H:$H,$C:$C,$C2376,$D:$D,"P0(후)"))</f>
        <v/>
      </c>
      <c r="Q2376" s="30">
        <f>IF(COUNTIFS($C:$C,$C2376,$D:$D,"P0(후)",$L:$L,"&gt;0")&lt;&gt;1,"",SUMIFS($L:$L,$C:$C,$C2376,$D:$D,"P0(후)"))</f>
        <v/>
      </c>
      <c r="R2376" s="30">
        <f>IF(M2376&lt;&gt;"OK","",O2376+(Q2376-O2376)*(H2376-N2376)/(P2376-N2376))</f>
        <v/>
      </c>
      <c r="S2376" s="30">
        <f>IF(OR(M2376&lt;&gt;"OK",NOT(ISNUMBER(L2376))),"",L2376-R2376)</f>
        <v/>
      </c>
      <c r="T2376" s="46">
        <f>IF(OR(NOT(ISNUMBER(S2376)),IF(ISNUMBER(G2376),G2376,F2376)=0),"",S2376/IF(ISNUMBER(G2376),G2376,F2376))</f>
        <v/>
      </c>
      <c r="U2376" s="46">
        <f>IF(ISNUMBER(T2376),ABS(T2376),"")</f>
        <v/>
      </c>
      <c r="V2376" s="46">
        <f>IF(OR($D2375&lt;&gt;"측정",$C2375&lt;&gt;$C2376,NOT(ISNUMBER(L2376)),NOT(ISNUMBER(L2375)),(IF(ISNUMBER(G2376),G2376,F2376)-IF(ISNUMBER(G2375),G2375,F2375))=0),"",(L2376-L2375)/(IF(ISNUMBER(G2376),G2376,F2376)-IF(ISNUMBER(G2375),G2375,F2375)))</f>
        <v/>
      </c>
      <c r="W2376" s="30">
        <f>IF(NOT(AND(ISNUMBER(N2376),ISNUMBER(P2376))),"",(P2376-N2376)*1440)</f>
        <v/>
      </c>
      <c r="X2376" s="28" t="n"/>
      <c r="Y2376" s="28" t="n"/>
      <c r="Z2376" s="28" t="n"/>
      <c r="AA2376" s="31" t="n"/>
      <c r="AB2376" s="31" t="n"/>
    </row>
    <row r="2377">
      <c r="A2377" s="25" t="inlineStr">
        <is>
          <t>S46</t>
        </is>
      </c>
      <c r="B2377" s="25" t="inlineStr">
        <is>
          <t>화천</t>
        </is>
      </c>
      <c r="C2377" s="25" t="inlineStr">
        <is>
          <t>S46-H남</t>
        </is>
      </c>
      <c r="D2377" s="25" t="inlineStr">
        <is>
          <t>측정</t>
        </is>
      </c>
      <c r="E2377" s="25" t="inlineStr">
        <is>
          <t>남</t>
        </is>
      </c>
      <c r="F2377" s="30" t="n">
        <v>5</v>
      </c>
      <c r="G2377" s="29" t="n"/>
      <c r="H2377" s="42" t="n"/>
      <c r="I2377" s="40" t="n"/>
      <c r="J2377" s="40" t="n"/>
      <c r="K2377" s="40" t="n"/>
      <c r="L2377" s="30">
        <f>IF(COUNT(I2377:K2377)=0,"",MEDIAN(I2377:K2377))</f>
        <v/>
      </c>
      <c r="M2377" s="25">
        <f>IF(COUNTIFS($C:$C,$C2377,$D:$D,"P0(전)",$L:$L,"&gt;0")&lt;&gt;1,"P0(전) 유효 1개 아님",IF(COUNTIFS($C:$C,$C2377,$D:$D,"P0(후)",$L:$L,"&gt;0")&lt;&gt;1,"P0(후) 유효 1개 아님",IF(NOT(AND(ISNUMBER(N2377),ISNUMBER(P2377),ISNUMBER(H2377))),"시각 결측",IF(P2377&lt;=N2377,"P0 시각 역전",IF(OR(H2377&lt;N2377,H2377&gt;P2377),"측정시각 구간 밖","OK")))))</f>
        <v/>
      </c>
      <c r="N2377" s="45">
        <f>IF(COUNTIFS($C:$C,$C2377,$D:$D,"P0(전)",$L:$L,"&gt;0")&lt;&gt;1,"",SUMIFS($H:$H,$C:$C,$C2377,$D:$D,"P0(전)"))</f>
        <v/>
      </c>
      <c r="O2377" s="30">
        <f>IF(COUNTIFS($C:$C,$C2377,$D:$D,"P0(전)",$L:$L,"&gt;0")&lt;&gt;1,"",SUMIFS($L:$L,$C:$C,$C2377,$D:$D,"P0(전)"))</f>
        <v/>
      </c>
      <c r="P2377" s="45">
        <f>IF(COUNTIFS($C:$C,$C2377,$D:$D,"P0(후)",$L:$L,"&gt;0")&lt;&gt;1,"",SUMIFS($H:$H,$C:$C,$C2377,$D:$D,"P0(후)"))</f>
        <v/>
      </c>
      <c r="Q2377" s="30">
        <f>IF(COUNTIFS($C:$C,$C2377,$D:$D,"P0(후)",$L:$L,"&gt;0")&lt;&gt;1,"",SUMIFS($L:$L,$C:$C,$C2377,$D:$D,"P0(후)"))</f>
        <v/>
      </c>
      <c r="R2377" s="30">
        <f>IF(M2377&lt;&gt;"OK","",O2377+(Q2377-O2377)*(H2377-N2377)/(P2377-N2377))</f>
        <v/>
      </c>
      <c r="S2377" s="30">
        <f>IF(OR(M2377&lt;&gt;"OK",NOT(ISNUMBER(L2377))),"",L2377-R2377)</f>
        <v/>
      </c>
      <c r="T2377" s="46">
        <f>IF(OR(NOT(ISNUMBER(S2377)),IF(ISNUMBER(G2377),G2377,F2377)=0),"",S2377/IF(ISNUMBER(G2377),G2377,F2377))</f>
        <v/>
      </c>
      <c r="U2377" s="46">
        <f>IF(ISNUMBER(T2377),ABS(T2377),"")</f>
        <v/>
      </c>
      <c r="V2377" s="46">
        <f>IF(OR($D2376&lt;&gt;"측정",$C2376&lt;&gt;$C2377,NOT(ISNUMBER(L2377)),NOT(ISNUMBER(L2376)),(IF(ISNUMBER(G2377),G2377,F2377)-IF(ISNUMBER(G2376),G2376,F2376))=0),"",(L2377-L2376)/(IF(ISNUMBER(G2377),G2377,F2377)-IF(ISNUMBER(G2376),G2376,F2376)))</f>
        <v/>
      </c>
      <c r="W2377" s="30">
        <f>IF(NOT(AND(ISNUMBER(N2377),ISNUMBER(P2377))),"",(P2377-N2377)*1440)</f>
        <v/>
      </c>
      <c r="X2377" s="28" t="n"/>
      <c r="Y2377" s="28" t="n"/>
      <c r="Z2377" s="28" t="n"/>
      <c r="AA2377" s="31" t="n"/>
      <c r="AB2377" s="31" t="n"/>
    </row>
    <row r="2378">
      <c r="A2378" s="25" t="inlineStr">
        <is>
          <t>S46</t>
        </is>
      </c>
      <c r="B2378" s="25" t="inlineStr">
        <is>
          <t>화천</t>
        </is>
      </c>
      <c r="C2378" s="25" t="inlineStr">
        <is>
          <t>S46-H남</t>
        </is>
      </c>
      <c r="D2378" s="25" t="inlineStr">
        <is>
          <t>측정</t>
        </is>
      </c>
      <c r="E2378" s="25" t="inlineStr">
        <is>
          <t>남</t>
        </is>
      </c>
      <c r="F2378" s="30" t="n">
        <v>6</v>
      </c>
      <c r="G2378" s="29" t="n"/>
      <c r="H2378" s="42" t="n"/>
      <c r="I2378" s="40" t="n"/>
      <c r="J2378" s="40" t="n"/>
      <c r="K2378" s="40" t="n"/>
      <c r="L2378" s="30">
        <f>IF(COUNT(I2378:K2378)=0,"",MEDIAN(I2378:K2378))</f>
        <v/>
      </c>
      <c r="M2378" s="25">
        <f>IF(COUNTIFS($C:$C,$C2378,$D:$D,"P0(전)",$L:$L,"&gt;0")&lt;&gt;1,"P0(전) 유효 1개 아님",IF(COUNTIFS($C:$C,$C2378,$D:$D,"P0(후)",$L:$L,"&gt;0")&lt;&gt;1,"P0(후) 유효 1개 아님",IF(NOT(AND(ISNUMBER(N2378),ISNUMBER(P2378),ISNUMBER(H2378))),"시각 결측",IF(P2378&lt;=N2378,"P0 시각 역전",IF(OR(H2378&lt;N2378,H2378&gt;P2378),"측정시각 구간 밖","OK")))))</f>
        <v/>
      </c>
      <c r="N2378" s="45">
        <f>IF(COUNTIFS($C:$C,$C2378,$D:$D,"P0(전)",$L:$L,"&gt;0")&lt;&gt;1,"",SUMIFS($H:$H,$C:$C,$C2378,$D:$D,"P0(전)"))</f>
        <v/>
      </c>
      <c r="O2378" s="30">
        <f>IF(COUNTIFS($C:$C,$C2378,$D:$D,"P0(전)",$L:$L,"&gt;0")&lt;&gt;1,"",SUMIFS($L:$L,$C:$C,$C2378,$D:$D,"P0(전)"))</f>
        <v/>
      </c>
      <c r="P2378" s="45">
        <f>IF(COUNTIFS($C:$C,$C2378,$D:$D,"P0(후)",$L:$L,"&gt;0")&lt;&gt;1,"",SUMIFS($H:$H,$C:$C,$C2378,$D:$D,"P0(후)"))</f>
        <v/>
      </c>
      <c r="Q2378" s="30">
        <f>IF(COUNTIFS($C:$C,$C2378,$D:$D,"P0(후)",$L:$L,"&gt;0")&lt;&gt;1,"",SUMIFS($L:$L,$C:$C,$C2378,$D:$D,"P0(후)"))</f>
        <v/>
      </c>
      <c r="R2378" s="30">
        <f>IF(M2378&lt;&gt;"OK","",O2378+(Q2378-O2378)*(H2378-N2378)/(P2378-N2378))</f>
        <v/>
      </c>
      <c r="S2378" s="30">
        <f>IF(OR(M2378&lt;&gt;"OK",NOT(ISNUMBER(L2378))),"",L2378-R2378)</f>
        <v/>
      </c>
      <c r="T2378" s="46">
        <f>IF(OR(NOT(ISNUMBER(S2378)),IF(ISNUMBER(G2378),G2378,F2378)=0),"",S2378/IF(ISNUMBER(G2378),G2378,F2378))</f>
        <v/>
      </c>
      <c r="U2378" s="46">
        <f>IF(ISNUMBER(T2378),ABS(T2378),"")</f>
        <v/>
      </c>
      <c r="V2378" s="46">
        <f>IF(OR($D2377&lt;&gt;"측정",$C2377&lt;&gt;$C2378,NOT(ISNUMBER(L2378)),NOT(ISNUMBER(L2377)),(IF(ISNUMBER(G2378),G2378,F2378)-IF(ISNUMBER(G2377),G2377,F2377))=0),"",(L2378-L2377)/(IF(ISNUMBER(G2378),G2378,F2378)-IF(ISNUMBER(G2377),G2377,F2377)))</f>
        <v/>
      </c>
      <c r="W2378" s="30">
        <f>IF(NOT(AND(ISNUMBER(N2378),ISNUMBER(P2378))),"",(P2378-N2378)*1440)</f>
        <v/>
      </c>
      <c r="X2378" s="28" t="n"/>
      <c r="Y2378" s="28" t="n"/>
      <c r="Z2378" s="28" t="n"/>
      <c r="AA2378" s="31" t="n"/>
      <c r="AB2378" s="31" t="n"/>
    </row>
    <row r="2379">
      <c r="A2379" s="25" t="inlineStr">
        <is>
          <t>S46</t>
        </is>
      </c>
      <c r="B2379" s="25" t="inlineStr">
        <is>
          <t>화천</t>
        </is>
      </c>
      <c r="C2379" s="25" t="inlineStr">
        <is>
          <t>S46-H남</t>
        </is>
      </c>
      <c r="D2379" s="25" t="inlineStr">
        <is>
          <t>측정</t>
        </is>
      </c>
      <c r="E2379" s="25" t="inlineStr">
        <is>
          <t>남</t>
        </is>
      </c>
      <c r="F2379" s="30" t="n">
        <v>7</v>
      </c>
      <c r="G2379" s="29" t="n"/>
      <c r="H2379" s="42" t="n"/>
      <c r="I2379" s="40" t="n"/>
      <c r="J2379" s="40" t="n"/>
      <c r="K2379" s="40" t="n"/>
      <c r="L2379" s="30">
        <f>IF(COUNT(I2379:K2379)=0,"",MEDIAN(I2379:K2379))</f>
        <v/>
      </c>
      <c r="M2379" s="25">
        <f>IF(COUNTIFS($C:$C,$C2379,$D:$D,"P0(전)",$L:$L,"&gt;0")&lt;&gt;1,"P0(전) 유효 1개 아님",IF(COUNTIFS($C:$C,$C2379,$D:$D,"P0(후)",$L:$L,"&gt;0")&lt;&gt;1,"P0(후) 유효 1개 아님",IF(NOT(AND(ISNUMBER(N2379),ISNUMBER(P2379),ISNUMBER(H2379))),"시각 결측",IF(P2379&lt;=N2379,"P0 시각 역전",IF(OR(H2379&lt;N2379,H2379&gt;P2379),"측정시각 구간 밖","OK")))))</f>
        <v/>
      </c>
      <c r="N2379" s="45">
        <f>IF(COUNTIFS($C:$C,$C2379,$D:$D,"P0(전)",$L:$L,"&gt;0")&lt;&gt;1,"",SUMIFS($H:$H,$C:$C,$C2379,$D:$D,"P0(전)"))</f>
        <v/>
      </c>
      <c r="O2379" s="30">
        <f>IF(COUNTIFS($C:$C,$C2379,$D:$D,"P0(전)",$L:$L,"&gt;0")&lt;&gt;1,"",SUMIFS($L:$L,$C:$C,$C2379,$D:$D,"P0(전)"))</f>
        <v/>
      </c>
      <c r="P2379" s="45">
        <f>IF(COUNTIFS($C:$C,$C2379,$D:$D,"P0(후)",$L:$L,"&gt;0")&lt;&gt;1,"",SUMIFS($H:$H,$C:$C,$C2379,$D:$D,"P0(후)"))</f>
        <v/>
      </c>
      <c r="Q2379" s="30">
        <f>IF(COUNTIFS($C:$C,$C2379,$D:$D,"P0(후)",$L:$L,"&gt;0")&lt;&gt;1,"",SUMIFS($L:$L,$C:$C,$C2379,$D:$D,"P0(후)"))</f>
        <v/>
      </c>
      <c r="R2379" s="30">
        <f>IF(M2379&lt;&gt;"OK","",O2379+(Q2379-O2379)*(H2379-N2379)/(P2379-N2379))</f>
        <v/>
      </c>
      <c r="S2379" s="30">
        <f>IF(OR(M2379&lt;&gt;"OK",NOT(ISNUMBER(L2379))),"",L2379-R2379)</f>
        <v/>
      </c>
      <c r="T2379" s="46">
        <f>IF(OR(NOT(ISNUMBER(S2379)),IF(ISNUMBER(G2379),G2379,F2379)=0),"",S2379/IF(ISNUMBER(G2379),G2379,F2379))</f>
        <v/>
      </c>
      <c r="U2379" s="46">
        <f>IF(ISNUMBER(T2379),ABS(T2379),"")</f>
        <v/>
      </c>
      <c r="V2379" s="46">
        <f>IF(OR($D2378&lt;&gt;"측정",$C2378&lt;&gt;$C2379,NOT(ISNUMBER(L2379)),NOT(ISNUMBER(L2378)),(IF(ISNUMBER(G2379),G2379,F2379)-IF(ISNUMBER(G2378),G2378,F2378))=0),"",(L2379-L2378)/(IF(ISNUMBER(G2379),G2379,F2379)-IF(ISNUMBER(G2378),G2378,F2378)))</f>
        <v/>
      </c>
      <c r="W2379" s="30">
        <f>IF(NOT(AND(ISNUMBER(N2379),ISNUMBER(P2379))),"",(P2379-N2379)*1440)</f>
        <v/>
      </c>
      <c r="X2379" s="28" t="n"/>
      <c r="Y2379" s="28" t="n"/>
      <c r="Z2379" s="28" t="n"/>
      <c r="AA2379" s="31" t="n"/>
      <c r="AB2379" s="31" t="n"/>
    </row>
    <row r="2380">
      <c r="A2380" s="25" t="inlineStr">
        <is>
          <t>S46</t>
        </is>
      </c>
      <c r="B2380" s="25" t="inlineStr">
        <is>
          <t>화천</t>
        </is>
      </c>
      <c r="C2380" s="25" t="inlineStr">
        <is>
          <t>S46-H남</t>
        </is>
      </c>
      <c r="D2380" s="25" t="inlineStr">
        <is>
          <t>측정</t>
        </is>
      </c>
      <c r="E2380" s="25" t="inlineStr">
        <is>
          <t>남</t>
        </is>
      </c>
      <c r="F2380" s="30" t="n">
        <v>8</v>
      </c>
      <c r="G2380" s="29" t="n"/>
      <c r="H2380" s="42" t="n"/>
      <c r="I2380" s="40" t="n"/>
      <c r="J2380" s="40" t="n"/>
      <c r="K2380" s="40" t="n"/>
      <c r="L2380" s="30">
        <f>IF(COUNT(I2380:K2380)=0,"",MEDIAN(I2380:K2380))</f>
        <v/>
      </c>
      <c r="M2380" s="25">
        <f>IF(COUNTIFS($C:$C,$C2380,$D:$D,"P0(전)",$L:$L,"&gt;0")&lt;&gt;1,"P0(전) 유효 1개 아님",IF(COUNTIFS($C:$C,$C2380,$D:$D,"P0(후)",$L:$L,"&gt;0")&lt;&gt;1,"P0(후) 유효 1개 아님",IF(NOT(AND(ISNUMBER(N2380),ISNUMBER(P2380),ISNUMBER(H2380))),"시각 결측",IF(P2380&lt;=N2380,"P0 시각 역전",IF(OR(H2380&lt;N2380,H2380&gt;P2380),"측정시각 구간 밖","OK")))))</f>
        <v/>
      </c>
      <c r="N2380" s="45">
        <f>IF(COUNTIFS($C:$C,$C2380,$D:$D,"P0(전)",$L:$L,"&gt;0")&lt;&gt;1,"",SUMIFS($H:$H,$C:$C,$C2380,$D:$D,"P0(전)"))</f>
        <v/>
      </c>
      <c r="O2380" s="30">
        <f>IF(COUNTIFS($C:$C,$C2380,$D:$D,"P0(전)",$L:$L,"&gt;0")&lt;&gt;1,"",SUMIFS($L:$L,$C:$C,$C2380,$D:$D,"P0(전)"))</f>
        <v/>
      </c>
      <c r="P2380" s="45">
        <f>IF(COUNTIFS($C:$C,$C2380,$D:$D,"P0(후)",$L:$L,"&gt;0")&lt;&gt;1,"",SUMIFS($H:$H,$C:$C,$C2380,$D:$D,"P0(후)"))</f>
        <v/>
      </c>
      <c r="Q2380" s="30">
        <f>IF(COUNTIFS($C:$C,$C2380,$D:$D,"P0(후)",$L:$L,"&gt;0")&lt;&gt;1,"",SUMIFS($L:$L,$C:$C,$C2380,$D:$D,"P0(후)"))</f>
        <v/>
      </c>
      <c r="R2380" s="30">
        <f>IF(M2380&lt;&gt;"OK","",O2380+(Q2380-O2380)*(H2380-N2380)/(P2380-N2380))</f>
        <v/>
      </c>
      <c r="S2380" s="30">
        <f>IF(OR(M2380&lt;&gt;"OK",NOT(ISNUMBER(L2380))),"",L2380-R2380)</f>
        <v/>
      </c>
      <c r="T2380" s="46">
        <f>IF(OR(NOT(ISNUMBER(S2380)),IF(ISNUMBER(G2380),G2380,F2380)=0),"",S2380/IF(ISNUMBER(G2380),G2380,F2380))</f>
        <v/>
      </c>
      <c r="U2380" s="46">
        <f>IF(ISNUMBER(T2380),ABS(T2380),"")</f>
        <v/>
      </c>
      <c r="V2380" s="46">
        <f>IF(OR($D2379&lt;&gt;"측정",$C2379&lt;&gt;$C2380,NOT(ISNUMBER(L2380)),NOT(ISNUMBER(L2379)),(IF(ISNUMBER(G2380),G2380,F2380)-IF(ISNUMBER(G2379),G2379,F2379))=0),"",(L2380-L2379)/(IF(ISNUMBER(G2380),G2380,F2380)-IF(ISNUMBER(G2379),G2379,F2379)))</f>
        <v/>
      </c>
      <c r="W2380" s="30">
        <f>IF(NOT(AND(ISNUMBER(N2380),ISNUMBER(P2380))),"",(P2380-N2380)*1440)</f>
        <v/>
      </c>
      <c r="X2380" s="28" t="n"/>
      <c r="Y2380" s="28" t="n"/>
      <c r="Z2380" s="28" t="n"/>
      <c r="AA2380" s="31" t="n"/>
      <c r="AB2380" s="31" t="n"/>
    </row>
    <row r="2381">
      <c r="A2381" s="25" t="inlineStr">
        <is>
          <t>S46</t>
        </is>
      </c>
      <c r="B2381" s="25" t="inlineStr">
        <is>
          <t>화천</t>
        </is>
      </c>
      <c r="C2381" s="25" t="inlineStr">
        <is>
          <t>S46-H남</t>
        </is>
      </c>
      <c r="D2381" s="25" t="inlineStr">
        <is>
          <t>측정</t>
        </is>
      </c>
      <c r="E2381" s="25" t="inlineStr">
        <is>
          <t>남</t>
        </is>
      </c>
      <c r="F2381" s="30" t="n">
        <v>9</v>
      </c>
      <c r="G2381" s="29" t="n"/>
      <c r="H2381" s="42" t="n"/>
      <c r="I2381" s="40" t="n"/>
      <c r="J2381" s="40" t="n"/>
      <c r="K2381" s="40" t="n"/>
      <c r="L2381" s="30">
        <f>IF(COUNT(I2381:K2381)=0,"",MEDIAN(I2381:K2381))</f>
        <v/>
      </c>
      <c r="M2381" s="25">
        <f>IF(COUNTIFS($C:$C,$C2381,$D:$D,"P0(전)",$L:$L,"&gt;0")&lt;&gt;1,"P0(전) 유효 1개 아님",IF(COUNTIFS($C:$C,$C2381,$D:$D,"P0(후)",$L:$L,"&gt;0")&lt;&gt;1,"P0(후) 유효 1개 아님",IF(NOT(AND(ISNUMBER(N2381),ISNUMBER(P2381),ISNUMBER(H2381))),"시각 결측",IF(P2381&lt;=N2381,"P0 시각 역전",IF(OR(H2381&lt;N2381,H2381&gt;P2381),"측정시각 구간 밖","OK")))))</f>
        <v/>
      </c>
      <c r="N2381" s="45">
        <f>IF(COUNTIFS($C:$C,$C2381,$D:$D,"P0(전)",$L:$L,"&gt;0")&lt;&gt;1,"",SUMIFS($H:$H,$C:$C,$C2381,$D:$D,"P0(전)"))</f>
        <v/>
      </c>
      <c r="O2381" s="30">
        <f>IF(COUNTIFS($C:$C,$C2381,$D:$D,"P0(전)",$L:$L,"&gt;0")&lt;&gt;1,"",SUMIFS($L:$L,$C:$C,$C2381,$D:$D,"P0(전)"))</f>
        <v/>
      </c>
      <c r="P2381" s="45">
        <f>IF(COUNTIFS($C:$C,$C2381,$D:$D,"P0(후)",$L:$L,"&gt;0")&lt;&gt;1,"",SUMIFS($H:$H,$C:$C,$C2381,$D:$D,"P0(후)"))</f>
        <v/>
      </c>
      <c r="Q2381" s="30">
        <f>IF(COUNTIFS($C:$C,$C2381,$D:$D,"P0(후)",$L:$L,"&gt;0")&lt;&gt;1,"",SUMIFS($L:$L,$C:$C,$C2381,$D:$D,"P0(후)"))</f>
        <v/>
      </c>
      <c r="R2381" s="30">
        <f>IF(M2381&lt;&gt;"OK","",O2381+(Q2381-O2381)*(H2381-N2381)/(P2381-N2381))</f>
        <v/>
      </c>
      <c r="S2381" s="30">
        <f>IF(OR(M2381&lt;&gt;"OK",NOT(ISNUMBER(L2381))),"",L2381-R2381)</f>
        <v/>
      </c>
      <c r="T2381" s="46">
        <f>IF(OR(NOT(ISNUMBER(S2381)),IF(ISNUMBER(G2381),G2381,F2381)=0),"",S2381/IF(ISNUMBER(G2381),G2381,F2381))</f>
        <v/>
      </c>
      <c r="U2381" s="46">
        <f>IF(ISNUMBER(T2381),ABS(T2381),"")</f>
        <v/>
      </c>
      <c r="V2381" s="46">
        <f>IF(OR($D2380&lt;&gt;"측정",$C2380&lt;&gt;$C2381,NOT(ISNUMBER(L2381)),NOT(ISNUMBER(L2380)),(IF(ISNUMBER(G2381),G2381,F2381)-IF(ISNUMBER(G2380),G2380,F2380))=0),"",(L2381-L2380)/(IF(ISNUMBER(G2381),G2381,F2381)-IF(ISNUMBER(G2380),G2380,F2380)))</f>
        <v/>
      </c>
      <c r="W2381" s="30">
        <f>IF(NOT(AND(ISNUMBER(N2381),ISNUMBER(P2381))),"",(P2381-N2381)*1440)</f>
        <v/>
      </c>
      <c r="X2381" s="28" t="n"/>
      <c r="Y2381" s="28" t="n"/>
      <c r="Z2381" s="28" t="n"/>
      <c r="AA2381" s="31" t="n"/>
      <c r="AB2381" s="31" t="n"/>
    </row>
    <row r="2382">
      <c r="A2382" s="25" t="inlineStr">
        <is>
          <t>S46</t>
        </is>
      </c>
      <c r="B2382" s="25" t="inlineStr">
        <is>
          <t>화천</t>
        </is>
      </c>
      <c r="C2382" s="25" t="inlineStr">
        <is>
          <t>S46-H남</t>
        </is>
      </c>
      <c r="D2382" s="25" t="inlineStr">
        <is>
          <t>측정</t>
        </is>
      </c>
      <c r="E2382" s="25" t="inlineStr">
        <is>
          <t>남</t>
        </is>
      </c>
      <c r="F2382" s="30" t="n">
        <v>10</v>
      </c>
      <c r="G2382" s="29" t="n"/>
      <c r="H2382" s="42" t="n"/>
      <c r="I2382" s="40" t="n"/>
      <c r="J2382" s="40" t="n"/>
      <c r="K2382" s="40" t="n"/>
      <c r="L2382" s="30">
        <f>IF(COUNT(I2382:K2382)=0,"",MEDIAN(I2382:K2382))</f>
        <v/>
      </c>
      <c r="M2382" s="25">
        <f>IF(COUNTIFS($C:$C,$C2382,$D:$D,"P0(전)",$L:$L,"&gt;0")&lt;&gt;1,"P0(전) 유효 1개 아님",IF(COUNTIFS($C:$C,$C2382,$D:$D,"P0(후)",$L:$L,"&gt;0")&lt;&gt;1,"P0(후) 유효 1개 아님",IF(NOT(AND(ISNUMBER(N2382),ISNUMBER(P2382),ISNUMBER(H2382))),"시각 결측",IF(P2382&lt;=N2382,"P0 시각 역전",IF(OR(H2382&lt;N2382,H2382&gt;P2382),"측정시각 구간 밖","OK")))))</f>
        <v/>
      </c>
      <c r="N2382" s="45">
        <f>IF(COUNTIFS($C:$C,$C2382,$D:$D,"P0(전)",$L:$L,"&gt;0")&lt;&gt;1,"",SUMIFS($H:$H,$C:$C,$C2382,$D:$D,"P0(전)"))</f>
        <v/>
      </c>
      <c r="O2382" s="30">
        <f>IF(COUNTIFS($C:$C,$C2382,$D:$D,"P0(전)",$L:$L,"&gt;0")&lt;&gt;1,"",SUMIFS($L:$L,$C:$C,$C2382,$D:$D,"P0(전)"))</f>
        <v/>
      </c>
      <c r="P2382" s="45">
        <f>IF(COUNTIFS($C:$C,$C2382,$D:$D,"P0(후)",$L:$L,"&gt;0")&lt;&gt;1,"",SUMIFS($H:$H,$C:$C,$C2382,$D:$D,"P0(후)"))</f>
        <v/>
      </c>
      <c r="Q2382" s="30">
        <f>IF(COUNTIFS($C:$C,$C2382,$D:$D,"P0(후)",$L:$L,"&gt;0")&lt;&gt;1,"",SUMIFS($L:$L,$C:$C,$C2382,$D:$D,"P0(후)"))</f>
        <v/>
      </c>
      <c r="R2382" s="30">
        <f>IF(M2382&lt;&gt;"OK","",O2382+(Q2382-O2382)*(H2382-N2382)/(P2382-N2382))</f>
        <v/>
      </c>
      <c r="S2382" s="30">
        <f>IF(OR(M2382&lt;&gt;"OK",NOT(ISNUMBER(L2382))),"",L2382-R2382)</f>
        <v/>
      </c>
      <c r="T2382" s="46">
        <f>IF(OR(NOT(ISNUMBER(S2382)),IF(ISNUMBER(G2382),G2382,F2382)=0),"",S2382/IF(ISNUMBER(G2382),G2382,F2382))</f>
        <v/>
      </c>
      <c r="U2382" s="46">
        <f>IF(ISNUMBER(T2382),ABS(T2382),"")</f>
        <v/>
      </c>
      <c r="V2382" s="46">
        <f>IF(OR($D2381&lt;&gt;"측정",$C2381&lt;&gt;$C2382,NOT(ISNUMBER(L2382)),NOT(ISNUMBER(L2381)),(IF(ISNUMBER(G2382),G2382,F2382)-IF(ISNUMBER(G2381),G2381,F2381))=0),"",(L2382-L2381)/(IF(ISNUMBER(G2382),G2382,F2382)-IF(ISNUMBER(G2381),G2381,F2381)))</f>
        <v/>
      </c>
      <c r="W2382" s="30">
        <f>IF(NOT(AND(ISNUMBER(N2382),ISNUMBER(P2382))),"",(P2382-N2382)*1440)</f>
        <v/>
      </c>
      <c r="X2382" s="28" t="n"/>
      <c r="Y2382" s="28" t="n"/>
      <c r="Z2382" s="28" t="n"/>
      <c r="AA2382" s="31" t="n"/>
      <c r="AB2382" s="31" t="n"/>
    </row>
    <row r="2383">
      <c r="A2383" s="43" t="inlineStr">
        <is>
          <t>S46</t>
        </is>
      </c>
      <c r="B2383" s="43" t="inlineStr">
        <is>
          <t>화천</t>
        </is>
      </c>
      <c r="C2383" s="43" t="inlineStr">
        <is>
          <t>S46-H남</t>
        </is>
      </c>
      <c r="D2383" s="43" t="inlineStr">
        <is>
          <t>P0(후)</t>
        </is>
      </c>
      <c r="E2383" s="43" t="inlineStr">
        <is>
          <t>남</t>
        </is>
      </c>
      <c r="F2383" s="44" t="n"/>
      <c r="G2383" s="29" t="n"/>
      <c r="H2383" s="42" t="n"/>
      <c r="I2383" s="40" t="n"/>
      <c r="J2383" s="40" t="n"/>
      <c r="K2383" s="40" t="n"/>
      <c r="L2383" s="30">
        <f>IF(COUNT(I2383:K2383)=0,"",MEDIAN(I2383:K2383))</f>
        <v/>
      </c>
      <c r="M2383" s="37" t="n"/>
      <c r="N2383" s="37" t="n"/>
      <c r="O2383" s="37" t="n"/>
      <c r="P2383" s="37" t="n"/>
      <c r="Q2383" s="37" t="n"/>
      <c r="R2383" s="37" t="n"/>
      <c r="S2383" s="37" t="n"/>
      <c r="T2383" s="37" t="n"/>
      <c r="U2383" s="37" t="n"/>
      <c r="V2383" s="37" t="n"/>
      <c r="W2383" s="37" t="n"/>
      <c r="X2383" s="28" t="n"/>
      <c r="Y2383" s="28" t="n"/>
      <c r="Z2383" s="28" t="n"/>
      <c r="AA2383" s="31" t="n"/>
      <c r="AB2383" s="31" t="n"/>
    </row>
    <row r="2384">
      <c r="A2384" s="43" t="inlineStr">
        <is>
          <t>S46</t>
        </is>
      </c>
      <c r="B2384" s="43" t="inlineStr">
        <is>
          <t>화천</t>
        </is>
      </c>
      <c r="C2384" s="43" t="inlineStr">
        <is>
          <t>S46-H북</t>
        </is>
      </c>
      <c r="D2384" s="43" t="inlineStr">
        <is>
          <t>P0(전)</t>
        </is>
      </c>
      <c r="E2384" s="43" t="inlineStr">
        <is>
          <t>북</t>
        </is>
      </c>
      <c r="F2384" s="44" t="n"/>
      <c r="G2384" s="29" t="n"/>
      <c r="H2384" s="42" t="n"/>
      <c r="I2384" s="40" t="n"/>
      <c r="J2384" s="40" t="n"/>
      <c r="K2384" s="40" t="n"/>
      <c r="L2384" s="30">
        <f>IF(COUNT(I2384:K2384)=0,"",MEDIAN(I2384:K2384))</f>
        <v/>
      </c>
      <c r="M2384" s="37" t="n"/>
      <c r="N2384" s="37" t="n"/>
      <c r="O2384" s="37" t="n"/>
      <c r="P2384" s="37" t="n"/>
      <c r="Q2384" s="37" t="n"/>
      <c r="R2384" s="37" t="n"/>
      <c r="S2384" s="37" t="n"/>
      <c r="T2384" s="37" t="n"/>
      <c r="U2384" s="37" t="n"/>
      <c r="V2384" s="37" t="n"/>
      <c r="W2384" s="37" t="n"/>
      <c r="X2384" s="28" t="n"/>
      <c r="Y2384" s="28" t="n"/>
      <c r="Z2384" s="28" t="n"/>
      <c r="AA2384" s="31" t="n"/>
      <c r="AB2384" s="31" t="n"/>
    </row>
    <row r="2385">
      <c r="A2385" s="25" t="inlineStr">
        <is>
          <t>S46</t>
        </is>
      </c>
      <c r="B2385" s="25" t="inlineStr">
        <is>
          <t>화천</t>
        </is>
      </c>
      <c r="C2385" s="25" t="inlineStr">
        <is>
          <t>S46-H북</t>
        </is>
      </c>
      <c r="D2385" s="25" t="inlineStr">
        <is>
          <t>측정</t>
        </is>
      </c>
      <c r="E2385" s="25" t="inlineStr">
        <is>
          <t>북</t>
        </is>
      </c>
      <c r="F2385" s="30" t="n">
        <v>0.5</v>
      </c>
      <c r="G2385" s="29" t="n"/>
      <c r="H2385" s="42" t="n"/>
      <c r="I2385" s="40" t="n"/>
      <c r="J2385" s="40" t="n"/>
      <c r="K2385" s="40" t="n"/>
      <c r="L2385" s="30">
        <f>IF(COUNT(I2385:K2385)=0,"",MEDIAN(I2385:K2385))</f>
        <v/>
      </c>
      <c r="M2385" s="25">
        <f>IF(COUNTIFS($C:$C,$C2385,$D:$D,"P0(전)",$L:$L,"&gt;0")&lt;&gt;1,"P0(전) 유효 1개 아님",IF(COUNTIFS($C:$C,$C2385,$D:$D,"P0(후)",$L:$L,"&gt;0")&lt;&gt;1,"P0(후) 유효 1개 아님",IF(NOT(AND(ISNUMBER(N2385),ISNUMBER(P2385),ISNUMBER(H2385))),"시각 결측",IF(P2385&lt;=N2385,"P0 시각 역전",IF(OR(H2385&lt;N2385,H2385&gt;P2385),"측정시각 구간 밖","OK")))))</f>
        <v/>
      </c>
      <c r="N2385" s="45">
        <f>IF(COUNTIFS($C:$C,$C2385,$D:$D,"P0(전)",$L:$L,"&gt;0")&lt;&gt;1,"",SUMIFS($H:$H,$C:$C,$C2385,$D:$D,"P0(전)"))</f>
        <v/>
      </c>
      <c r="O2385" s="30">
        <f>IF(COUNTIFS($C:$C,$C2385,$D:$D,"P0(전)",$L:$L,"&gt;0")&lt;&gt;1,"",SUMIFS($L:$L,$C:$C,$C2385,$D:$D,"P0(전)"))</f>
        <v/>
      </c>
      <c r="P2385" s="45">
        <f>IF(COUNTIFS($C:$C,$C2385,$D:$D,"P0(후)",$L:$L,"&gt;0")&lt;&gt;1,"",SUMIFS($H:$H,$C:$C,$C2385,$D:$D,"P0(후)"))</f>
        <v/>
      </c>
      <c r="Q2385" s="30">
        <f>IF(COUNTIFS($C:$C,$C2385,$D:$D,"P0(후)",$L:$L,"&gt;0")&lt;&gt;1,"",SUMIFS($L:$L,$C:$C,$C2385,$D:$D,"P0(후)"))</f>
        <v/>
      </c>
      <c r="R2385" s="30">
        <f>IF(M2385&lt;&gt;"OK","",O2385+(Q2385-O2385)*(H2385-N2385)/(P2385-N2385))</f>
        <v/>
      </c>
      <c r="S2385" s="30">
        <f>IF(OR(M2385&lt;&gt;"OK",NOT(ISNUMBER(L2385))),"",L2385-R2385)</f>
        <v/>
      </c>
      <c r="T2385" s="46">
        <f>IF(OR(NOT(ISNUMBER(S2385)),IF(ISNUMBER(G2385),G2385,F2385)=0),"",S2385/IF(ISNUMBER(G2385),G2385,F2385))</f>
        <v/>
      </c>
      <c r="U2385" s="46">
        <f>IF(ISNUMBER(T2385),ABS(T2385),"")</f>
        <v/>
      </c>
      <c r="V2385" s="46">
        <f>IF(OR($D2384&lt;&gt;"측정",$C2384&lt;&gt;$C2385,NOT(ISNUMBER(L2385)),NOT(ISNUMBER(L2384)),(IF(ISNUMBER(G2385),G2385,F2385)-IF(ISNUMBER(G2384),G2384,F2384))=0),"",(L2385-L2384)/(IF(ISNUMBER(G2385),G2385,F2385)-IF(ISNUMBER(G2384),G2384,F2384)))</f>
        <v/>
      </c>
      <c r="W2385" s="30">
        <f>IF(NOT(AND(ISNUMBER(N2385),ISNUMBER(P2385))),"",(P2385-N2385)*1440)</f>
        <v/>
      </c>
      <c r="X2385" s="28" t="n"/>
      <c r="Y2385" s="28" t="n"/>
      <c r="Z2385" s="28" t="n"/>
      <c r="AA2385" s="31" t="n"/>
      <c r="AB2385" s="31" t="n"/>
    </row>
    <row r="2386">
      <c r="A2386" s="25" t="inlineStr">
        <is>
          <t>S46</t>
        </is>
      </c>
      <c r="B2386" s="25" t="inlineStr">
        <is>
          <t>화천</t>
        </is>
      </c>
      <c r="C2386" s="25" t="inlineStr">
        <is>
          <t>S46-H북</t>
        </is>
      </c>
      <c r="D2386" s="25" t="inlineStr">
        <is>
          <t>측정</t>
        </is>
      </c>
      <c r="E2386" s="25" t="inlineStr">
        <is>
          <t>북</t>
        </is>
      </c>
      <c r="F2386" s="30" t="n">
        <v>1</v>
      </c>
      <c r="G2386" s="29" t="n"/>
      <c r="H2386" s="42" t="n"/>
      <c r="I2386" s="40" t="n"/>
      <c r="J2386" s="40" t="n"/>
      <c r="K2386" s="40" t="n"/>
      <c r="L2386" s="30">
        <f>IF(COUNT(I2386:K2386)=0,"",MEDIAN(I2386:K2386))</f>
        <v/>
      </c>
      <c r="M2386" s="25">
        <f>IF(COUNTIFS($C:$C,$C2386,$D:$D,"P0(전)",$L:$L,"&gt;0")&lt;&gt;1,"P0(전) 유효 1개 아님",IF(COUNTIFS($C:$C,$C2386,$D:$D,"P0(후)",$L:$L,"&gt;0")&lt;&gt;1,"P0(후) 유효 1개 아님",IF(NOT(AND(ISNUMBER(N2386),ISNUMBER(P2386),ISNUMBER(H2386))),"시각 결측",IF(P2386&lt;=N2386,"P0 시각 역전",IF(OR(H2386&lt;N2386,H2386&gt;P2386),"측정시각 구간 밖","OK")))))</f>
        <v/>
      </c>
      <c r="N2386" s="45">
        <f>IF(COUNTIFS($C:$C,$C2386,$D:$D,"P0(전)",$L:$L,"&gt;0")&lt;&gt;1,"",SUMIFS($H:$H,$C:$C,$C2386,$D:$D,"P0(전)"))</f>
        <v/>
      </c>
      <c r="O2386" s="30">
        <f>IF(COUNTIFS($C:$C,$C2386,$D:$D,"P0(전)",$L:$L,"&gt;0")&lt;&gt;1,"",SUMIFS($L:$L,$C:$C,$C2386,$D:$D,"P0(전)"))</f>
        <v/>
      </c>
      <c r="P2386" s="45">
        <f>IF(COUNTIFS($C:$C,$C2386,$D:$D,"P0(후)",$L:$L,"&gt;0")&lt;&gt;1,"",SUMIFS($H:$H,$C:$C,$C2386,$D:$D,"P0(후)"))</f>
        <v/>
      </c>
      <c r="Q2386" s="30">
        <f>IF(COUNTIFS($C:$C,$C2386,$D:$D,"P0(후)",$L:$L,"&gt;0")&lt;&gt;1,"",SUMIFS($L:$L,$C:$C,$C2386,$D:$D,"P0(후)"))</f>
        <v/>
      </c>
      <c r="R2386" s="30">
        <f>IF(M2386&lt;&gt;"OK","",O2386+(Q2386-O2386)*(H2386-N2386)/(P2386-N2386))</f>
        <v/>
      </c>
      <c r="S2386" s="30">
        <f>IF(OR(M2386&lt;&gt;"OK",NOT(ISNUMBER(L2386))),"",L2386-R2386)</f>
        <v/>
      </c>
      <c r="T2386" s="46">
        <f>IF(OR(NOT(ISNUMBER(S2386)),IF(ISNUMBER(G2386),G2386,F2386)=0),"",S2386/IF(ISNUMBER(G2386),G2386,F2386))</f>
        <v/>
      </c>
      <c r="U2386" s="46">
        <f>IF(ISNUMBER(T2386),ABS(T2386),"")</f>
        <v/>
      </c>
      <c r="V2386" s="46">
        <f>IF(OR($D2385&lt;&gt;"측정",$C2385&lt;&gt;$C2386,NOT(ISNUMBER(L2386)),NOT(ISNUMBER(L2385)),(IF(ISNUMBER(G2386),G2386,F2386)-IF(ISNUMBER(G2385),G2385,F2385))=0),"",(L2386-L2385)/(IF(ISNUMBER(G2386),G2386,F2386)-IF(ISNUMBER(G2385),G2385,F2385)))</f>
        <v/>
      </c>
      <c r="W2386" s="30">
        <f>IF(NOT(AND(ISNUMBER(N2386),ISNUMBER(P2386))),"",(P2386-N2386)*1440)</f>
        <v/>
      </c>
      <c r="X2386" s="28" t="n"/>
      <c r="Y2386" s="28" t="n"/>
      <c r="Z2386" s="28" t="n"/>
      <c r="AA2386" s="31" t="n"/>
      <c r="AB2386" s="31" t="n"/>
    </row>
    <row r="2387">
      <c r="A2387" s="25" t="inlineStr">
        <is>
          <t>S46</t>
        </is>
      </c>
      <c r="B2387" s="25" t="inlineStr">
        <is>
          <t>화천</t>
        </is>
      </c>
      <c r="C2387" s="25" t="inlineStr">
        <is>
          <t>S46-H북</t>
        </is>
      </c>
      <c r="D2387" s="25" t="inlineStr">
        <is>
          <t>측정</t>
        </is>
      </c>
      <c r="E2387" s="25" t="inlineStr">
        <is>
          <t>북</t>
        </is>
      </c>
      <c r="F2387" s="30" t="n">
        <v>2</v>
      </c>
      <c r="G2387" s="29" t="n"/>
      <c r="H2387" s="42" t="n"/>
      <c r="I2387" s="40" t="n"/>
      <c r="J2387" s="40" t="n"/>
      <c r="K2387" s="40" t="n"/>
      <c r="L2387" s="30">
        <f>IF(COUNT(I2387:K2387)=0,"",MEDIAN(I2387:K2387))</f>
        <v/>
      </c>
      <c r="M2387" s="25">
        <f>IF(COUNTIFS($C:$C,$C2387,$D:$D,"P0(전)",$L:$L,"&gt;0")&lt;&gt;1,"P0(전) 유효 1개 아님",IF(COUNTIFS($C:$C,$C2387,$D:$D,"P0(후)",$L:$L,"&gt;0")&lt;&gt;1,"P0(후) 유효 1개 아님",IF(NOT(AND(ISNUMBER(N2387),ISNUMBER(P2387),ISNUMBER(H2387))),"시각 결측",IF(P2387&lt;=N2387,"P0 시각 역전",IF(OR(H2387&lt;N2387,H2387&gt;P2387),"측정시각 구간 밖","OK")))))</f>
        <v/>
      </c>
      <c r="N2387" s="45">
        <f>IF(COUNTIFS($C:$C,$C2387,$D:$D,"P0(전)",$L:$L,"&gt;0")&lt;&gt;1,"",SUMIFS($H:$H,$C:$C,$C2387,$D:$D,"P0(전)"))</f>
        <v/>
      </c>
      <c r="O2387" s="30">
        <f>IF(COUNTIFS($C:$C,$C2387,$D:$D,"P0(전)",$L:$L,"&gt;0")&lt;&gt;1,"",SUMIFS($L:$L,$C:$C,$C2387,$D:$D,"P0(전)"))</f>
        <v/>
      </c>
      <c r="P2387" s="45">
        <f>IF(COUNTIFS($C:$C,$C2387,$D:$D,"P0(후)",$L:$L,"&gt;0")&lt;&gt;1,"",SUMIFS($H:$H,$C:$C,$C2387,$D:$D,"P0(후)"))</f>
        <v/>
      </c>
      <c r="Q2387" s="30">
        <f>IF(COUNTIFS($C:$C,$C2387,$D:$D,"P0(후)",$L:$L,"&gt;0")&lt;&gt;1,"",SUMIFS($L:$L,$C:$C,$C2387,$D:$D,"P0(후)"))</f>
        <v/>
      </c>
      <c r="R2387" s="30">
        <f>IF(M2387&lt;&gt;"OK","",O2387+(Q2387-O2387)*(H2387-N2387)/(P2387-N2387))</f>
        <v/>
      </c>
      <c r="S2387" s="30">
        <f>IF(OR(M2387&lt;&gt;"OK",NOT(ISNUMBER(L2387))),"",L2387-R2387)</f>
        <v/>
      </c>
      <c r="T2387" s="46">
        <f>IF(OR(NOT(ISNUMBER(S2387)),IF(ISNUMBER(G2387),G2387,F2387)=0),"",S2387/IF(ISNUMBER(G2387),G2387,F2387))</f>
        <v/>
      </c>
      <c r="U2387" s="46">
        <f>IF(ISNUMBER(T2387),ABS(T2387),"")</f>
        <v/>
      </c>
      <c r="V2387" s="46">
        <f>IF(OR($D2386&lt;&gt;"측정",$C2386&lt;&gt;$C2387,NOT(ISNUMBER(L2387)),NOT(ISNUMBER(L2386)),(IF(ISNUMBER(G2387),G2387,F2387)-IF(ISNUMBER(G2386),G2386,F2386))=0),"",(L2387-L2386)/(IF(ISNUMBER(G2387),G2387,F2387)-IF(ISNUMBER(G2386),G2386,F2386)))</f>
        <v/>
      </c>
      <c r="W2387" s="30">
        <f>IF(NOT(AND(ISNUMBER(N2387),ISNUMBER(P2387))),"",(P2387-N2387)*1440)</f>
        <v/>
      </c>
      <c r="X2387" s="28" t="n"/>
      <c r="Y2387" s="28" t="n"/>
      <c r="Z2387" s="28" t="n"/>
      <c r="AA2387" s="31" t="n"/>
      <c r="AB2387" s="31" t="n"/>
    </row>
    <row r="2388">
      <c r="A2388" s="25" t="inlineStr">
        <is>
          <t>S46</t>
        </is>
      </c>
      <c r="B2388" s="25" t="inlineStr">
        <is>
          <t>화천</t>
        </is>
      </c>
      <c r="C2388" s="25" t="inlineStr">
        <is>
          <t>S46-H북</t>
        </is>
      </c>
      <c r="D2388" s="25" t="inlineStr">
        <is>
          <t>측정</t>
        </is>
      </c>
      <c r="E2388" s="25" t="inlineStr">
        <is>
          <t>북</t>
        </is>
      </c>
      <c r="F2388" s="30" t="n">
        <v>3</v>
      </c>
      <c r="G2388" s="29" t="n"/>
      <c r="H2388" s="42" t="n"/>
      <c r="I2388" s="40" t="n"/>
      <c r="J2388" s="40" t="n"/>
      <c r="K2388" s="40" t="n"/>
      <c r="L2388" s="30">
        <f>IF(COUNT(I2388:K2388)=0,"",MEDIAN(I2388:K2388))</f>
        <v/>
      </c>
      <c r="M2388" s="25">
        <f>IF(COUNTIFS($C:$C,$C2388,$D:$D,"P0(전)",$L:$L,"&gt;0")&lt;&gt;1,"P0(전) 유효 1개 아님",IF(COUNTIFS($C:$C,$C2388,$D:$D,"P0(후)",$L:$L,"&gt;0")&lt;&gt;1,"P0(후) 유효 1개 아님",IF(NOT(AND(ISNUMBER(N2388),ISNUMBER(P2388),ISNUMBER(H2388))),"시각 결측",IF(P2388&lt;=N2388,"P0 시각 역전",IF(OR(H2388&lt;N2388,H2388&gt;P2388),"측정시각 구간 밖","OK")))))</f>
        <v/>
      </c>
      <c r="N2388" s="45">
        <f>IF(COUNTIFS($C:$C,$C2388,$D:$D,"P0(전)",$L:$L,"&gt;0")&lt;&gt;1,"",SUMIFS($H:$H,$C:$C,$C2388,$D:$D,"P0(전)"))</f>
        <v/>
      </c>
      <c r="O2388" s="30">
        <f>IF(COUNTIFS($C:$C,$C2388,$D:$D,"P0(전)",$L:$L,"&gt;0")&lt;&gt;1,"",SUMIFS($L:$L,$C:$C,$C2388,$D:$D,"P0(전)"))</f>
        <v/>
      </c>
      <c r="P2388" s="45">
        <f>IF(COUNTIFS($C:$C,$C2388,$D:$D,"P0(후)",$L:$L,"&gt;0")&lt;&gt;1,"",SUMIFS($H:$H,$C:$C,$C2388,$D:$D,"P0(후)"))</f>
        <v/>
      </c>
      <c r="Q2388" s="30">
        <f>IF(COUNTIFS($C:$C,$C2388,$D:$D,"P0(후)",$L:$L,"&gt;0")&lt;&gt;1,"",SUMIFS($L:$L,$C:$C,$C2388,$D:$D,"P0(후)"))</f>
        <v/>
      </c>
      <c r="R2388" s="30">
        <f>IF(M2388&lt;&gt;"OK","",O2388+(Q2388-O2388)*(H2388-N2388)/(P2388-N2388))</f>
        <v/>
      </c>
      <c r="S2388" s="30">
        <f>IF(OR(M2388&lt;&gt;"OK",NOT(ISNUMBER(L2388))),"",L2388-R2388)</f>
        <v/>
      </c>
      <c r="T2388" s="46">
        <f>IF(OR(NOT(ISNUMBER(S2388)),IF(ISNUMBER(G2388),G2388,F2388)=0),"",S2388/IF(ISNUMBER(G2388),G2388,F2388))</f>
        <v/>
      </c>
      <c r="U2388" s="46">
        <f>IF(ISNUMBER(T2388),ABS(T2388),"")</f>
        <v/>
      </c>
      <c r="V2388" s="46">
        <f>IF(OR($D2387&lt;&gt;"측정",$C2387&lt;&gt;$C2388,NOT(ISNUMBER(L2388)),NOT(ISNUMBER(L2387)),(IF(ISNUMBER(G2388),G2388,F2388)-IF(ISNUMBER(G2387),G2387,F2387))=0),"",(L2388-L2387)/(IF(ISNUMBER(G2388),G2388,F2388)-IF(ISNUMBER(G2387),G2387,F2387)))</f>
        <v/>
      </c>
      <c r="W2388" s="30">
        <f>IF(NOT(AND(ISNUMBER(N2388),ISNUMBER(P2388))),"",(P2388-N2388)*1440)</f>
        <v/>
      </c>
      <c r="X2388" s="28" t="n"/>
      <c r="Y2388" s="28" t="n"/>
      <c r="Z2388" s="28" t="n"/>
      <c r="AA2388" s="31" t="n"/>
      <c r="AB2388" s="31" t="n"/>
    </row>
    <row r="2389">
      <c r="A2389" s="25" t="inlineStr">
        <is>
          <t>S46</t>
        </is>
      </c>
      <c r="B2389" s="25" t="inlineStr">
        <is>
          <t>화천</t>
        </is>
      </c>
      <c r="C2389" s="25" t="inlineStr">
        <is>
          <t>S46-H북</t>
        </is>
      </c>
      <c r="D2389" s="25" t="inlineStr">
        <is>
          <t>측정</t>
        </is>
      </c>
      <c r="E2389" s="25" t="inlineStr">
        <is>
          <t>북</t>
        </is>
      </c>
      <c r="F2389" s="30" t="n">
        <v>4</v>
      </c>
      <c r="G2389" s="29" t="n"/>
      <c r="H2389" s="42" t="n"/>
      <c r="I2389" s="40" t="n"/>
      <c r="J2389" s="40" t="n"/>
      <c r="K2389" s="40" t="n"/>
      <c r="L2389" s="30">
        <f>IF(COUNT(I2389:K2389)=0,"",MEDIAN(I2389:K2389))</f>
        <v/>
      </c>
      <c r="M2389" s="25">
        <f>IF(COUNTIFS($C:$C,$C2389,$D:$D,"P0(전)",$L:$L,"&gt;0")&lt;&gt;1,"P0(전) 유효 1개 아님",IF(COUNTIFS($C:$C,$C2389,$D:$D,"P0(후)",$L:$L,"&gt;0")&lt;&gt;1,"P0(후) 유효 1개 아님",IF(NOT(AND(ISNUMBER(N2389),ISNUMBER(P2389),ISNUMBER(H2389))),"시각 결측",IF(P2389&lt;=N2389,"P0 시각 역전",IF(OR(H2389&lt;N2389,H2389&gt;P2389),"측정시각 구간 밖","OK")))))</f>
        <v/>
      </c>
      <c r="N2389" s="45">
        <f>IF(COUNTIFS($C:$C,$C2389,$D:$D,"P0(전)",$L:$L,"&gt;0")&lt;&gt;1,"",SUMIFS($H:$H,$C:$C,$C2389,$D:$D,"P0(전)"))</f>
        <v/>
      </c>
      <c r="O2389" s="30">
        <f>IF(COUNTIFS($C:$C,$C2389,$D:$D,"P0(전)",$L:$L,"&gt;0")&lt;&gt;1,"",SUMIFS($L:$L,$C:$C,$C2389,$D:$D,"P0(전)"))</f>
        <v/>
      </c>
      <c r="P2389" s="45">
        <f>IF(COUNTIFS($C:$C,$C2389,$D:$D,"P0(후)",$L:$L,"&gt;0")&lt;&gt;1,"",SUMIFS($H:$H,$C:$C,$C2389,$D:$D,"P0(후)"))</f>
        <v/>
      </c>
      <c r="Q2389" s="30">
        <f>IF(COUNTIFS($C:$C,$C2389,$D:$D,"P0(후)",$L:$L,"&gt;0")&lt;&gt;1,"",SUMIFS($L:$L,$C:$C,$C2389,$D:$D,"P0(후)"))</f>
        <v/>
      </c>
      <c r="R2389" s="30">
        <f>IF(M2389&lt;&gt;"OK","",O2389+(Q2389-O2389)*(H2389-N2389)/(P2389-N2389))</f>
        <v/>
      </c>
      <c r="S2389" s="30">
        <f>IF(OR(M2389&lt;&gt;"OK",NOT(ISNUMBER(L2389))),"",L2389-R2389)</f>
        <v/>
      </c>
      <c r="T2389" s="46">
        <f>IF(OR(NOT(ISNUMBER(S2389)),IF(ISNUMBER(G2389),G2389,F2389)=0),"",S2389/IF(ISNUMBER(G2389),G2389,F2389))</f>
        <v/>
      </c>
      <c r="U2389" s="46">
        <f>IF(ISNUMBER(T2389),ABS(T2389),"")</f>
        <v/>
      </c>
      <c r="V2389" s="46">
        <f>IF(OR($D2388&lt;&gt;"측정",$C2388&lt;&gt;$C2389,NOT(ISNUMBER(L2389)),NOT(ISNUMBER(L2388)),(IF(ISNUMBER(G2389),G2389,F2389)-IF(ISNUMBER(G2388),G2388,F2388))=0),"",(L2389-L2388)/(IF(ISNUMBER(G2389),G2389,F2389)-IF(ISNUMBER(G2388),G2388,F2388)))</f>
        <v/>
      </c>
      <c r="W2389" s="30">
        <f>IF(NOT(AND(ISNUMBER(N2389),ISNUMBER(P2389))),"",(P2389-N2389)*1440)</f>
        <v/>
      </c>
      <c r="X2389" s="28" t="n"/>
      <c r="Y2389" s="28" t="n"/>
      <c r="Z2389" s="28" t="n"/>
      <c r="AA2389" s="31" t="n"/>
      <c r="AB2389" s="31" t="n"/>
    </row>
    <row r="2390">
      <c r="A2390" s="25" t="inlineStr">
        <is>
          <t>S46</t>
        </is>
      </c>
      <c r="B2390" s="25" t="inlineStr">
        <is>
          <t>화천</t>
        </is>
      </c>
      <c r="C2390" s="25" t="inlineStr">
        <is>
          <t>S46-H북</t>
        </is>
      </c>
      <c r="D2390" s="25" t="inlineStr">
        <is>
          <t>측정</t>
        </is>
      </c>
      <c r="E2390" s="25" t="inlineStr">
        <is>
          <t>북</t>
        </is>
      </c>
      <c r="F2390" s="30" t="n">
        <v>5</v>
      </c>
      <c r="G2390" s="29" t="n"/>
      <c r="H2390" s="42" t="n"/>
      <c r="I2390" s="40" t="n"/>
      <c r="J2390" s="40" t="n"/>
      <c r="K2390" s="40" t="n"/>
      <c r="L2390" s="30">
        <f>IF(COUNT(I2390:K2390)=0,"",MEDIAN(I2390:K2390))</f>
        <v/>
      </c>
      <c r="M2390" s="25">
        <f>IF(COUNTIFS($C:$C,$C2390,$D:$D,"P0(전)",$L:$L,"&gt;0")&lt;&gt;1,"P0(전) 유효 1개 아님",IF(COUNTIFS($C:$C,$C2390,$D:$D,"P0(후)",$L:$L,"&gt;0")&lt;&gt;1,"P0(후) 유효 1개 아님",IF(NOT(AND(ISNUMBER(N2390),ISNUMBER(P2390),ISNUMBER(H2390))),"시각 결측",IF(P2390&lt;=N2390,"P0 시각 역전",IF(OR(H2390&lt;N2390,H2390&gt;P2390),"측정시각 구간 밖","OK")))))</f>
        <v/>
      </c>
      <c r="N2390" s="45">
        <f>IF(COUNTIFS($C:$C,$C2390,$D:$D,"P0(전)",$L:$L,"&gt;0")&lt;&gt;1,"",SUMIFS($H:$H,$C:$C,$C2390,$D:$D,"P0(전)"))</f>
        <v/>
      </c>
      <c r="O2390" s="30">
        <f>IF(COUNTIFS($C:$C,$C2390,$D:$D,"P0(전)",$L:$L,"&gt;0")&lt;&gt;1,"",SUMIFS($L:$L,$C:$C,$C2390,$D:$D,"P0(전)"))</f>
        <v/>
      </c>
      <c r="P2390" s="45">
        <f>IF(COUNTIFS($C:$C,$C2390,$D:$D,"P0(후)",$L:$L,"&gt;0")&lt;&gt;1,"",SUMIFS($H:$H,$C:$C,$C2390,$D:$D,"P0(후)"))</f>
        <v/>
      </c>
      <c r="Q2390" s="30">
        <f>IF(COUNTIFS($C:$C,$C2390,$D:$D,"P0(후)",$L:$L,"&gt;0")&lt;&gt;1,"",SUMIFS($L:$L,$C:$C,$C2390,$D:$D,"P0(후)"))</f>
        <v/>
      </c>
      <c r="R2390" s="30">
        <f>IF(M2390&lt;&gt;"OK","",O2390+(Q2390-O2390)*(H2390-N2390)/(P2390-N2390))</f>
        <v/>
      </c>
      <c r="S2390" s="30">
        <f>IF(OR(M2390&lt;&gt;"OK",NOT(ISNUMBER(L2390))),"",L2390-R2390)</f>
        <v/>
      </c>
      <c r="T2390" s="46">
        <f>IF(OR(NOT(ISNUMBER(S2390)),IF(ISNUMBER(G2390),G2390,F2390)=0),"",S2390/IF(ISNUMBER(G2390),G2390,F2390))</f>
        <v/>
      </c>
      <c r="U2390" s="46">
        <f>IF(ISNUMBER(T2390),ABS(T2390),"")</f>
        <v/>
      </c>
      <c r="V2390" s="46">
        <f>IF(OR($D2389&lt;&gt;"측정",$C2389&lt;&gt;$C2390,NOT(ISNUMBER(L2390)),NOT(ISNUMBER(L2389)),(IF(ISNUMBER(G2390),G2390,F2390)-IF(ISNUMBER(G2389),G2389,F2389))=0),"",(L2390-L2389)/(IF(ISNUMBER(G2390),G2390,F2390)-IF(ISNUMBER(G2389),G2389,F2389)))</f>
        <v/>
      </c>
      <c r="W2390" s="30">
        <f>IF(NOT(AND(ISNUMBER(N2390),ISNUMBER(P2390))),"",(P2390-N2390)*1440)</f>
        <v/>
      </c>
      <c r="X2390" s="28" t="n"/>
      <c r="Y2390" s="28" t="n"/>
      <c r="Z2390" s="28" t="n"/>
      <c r="AA2390" s="31" t="n"/>
      <c r="AB2390" s="31" t="n"/>
    </row>
    <row r="2391">
      <c r="A2391" s="25" t="inlineStr">
        <is>
          <t>S46</t>
        </is>
      </c>
      <c r="B2391" s="25" t="inlineStr">
        <is>
          <t>화천</t>
        </is>
      </c>
      <c r="C2391" s="25" t="inlineStr">
        <is>
          <t>S46-H북</t>
        </is>
      </c>
      <c r="D2391" s="25" t="inlineStr">
        <is>
          <t>측정</t>
        </is>
      </c>
      <c r="E2391" s="25" t="inlineStr">
        <is>
          <t>북</t>
        </is>
      </c>
      <c r="F2391" s="30" t="n">
        <v>6</v>
      </c>
      <c r="G2391" s="29" t="n"/>
      <c r="H2391" s="42" t="n"/>
      <c r="I2391" s="40" t="n"/>
      <c r="J2391" s="40" t="n"/>
      <c r="K2391" s="40" t="n"/>
      <c r="L2391" s="30">
        <f>IF(COUNT(I2391:K2391)=0,"",MEDIAN(I2391:K2391))</f>
        <v/>
      </c>
      <c r="M2391" s="25">
        <f>IF(COUNTIFS($C:$C,$C2391,$D:$D,"P0(전)",$L:$L,"&gt;0")&lt;&gt;1,"P0(전) 유효 1개 아님",IF(COUNTIFS($C:$C,$C2391,$D:$D,"P0(후)",$L:$L,"&gt;0")&lt;&gt;1,"P0(후) 유효 1개 아님",IF(NOT(AND(ISNUMBER(N2391),ISNUMBER(P2391),ISNUMBER(H2391))),"시각 결측",IF(P2391&lt;=N2391,"P0 시각 역전",IF(OR(H2391&lt;N2391,H2391&gt;P2391),"측정시각 구간 밖","OK")))))</f>
        <v/>
      </c>
      <c r="N2391" s="45">
        <f>IF(COUNTIFS($C:$C,$C2391,$D:$D,"P0(전)",$L:$L,"&gt;0")&lt;&gt;1,"",SUMIFS($H:$H,$C:$C,$C2391,$D:$D,"P0(전)"))</f>
        <v/>
      </c>
      <c r="O2391" s="30">
        <f>IF(COUNTIFS($C:$C,$C2391,$D:$D,"P0(전)",$L:$L,"&gt;0")&lt;&gt;1,"",SUMIFS($L:$L,$C:$C,$C2391,$D:$D,"P0(전)"))</f>
        <v/>
      </c>
      <c r="P2391" s="45">
        <f>IF(COUNTIFS($C:$C,$C2391,$D:$D,"P0(후)",$L:$L,"&gt;0")&lt;&gt;1,"",SUMIFS($H:$H,$C:$C,$C2391,$D:$D,"P0(후)"))</f>
        <v/>
      </c>
      <c r="Q2391" s="30">
        <f>IF(COUNTIFS($C:$C,$C2391,$D:$D,"P0(후)",$L:$L,"&gt;0")&lt;&gt;1,"",SUMIFS($L:$L,$C:$C,$C2391,$D:$D,"P0(후)"))</f>
        <v/>
      </c>
      <c r="R2391" s="30">
        <f>IF(M2391&lt;&gt;"OK","",O2391+(Q2391-O2391)*(H2391-N2391)/(P2391-N2391))</f>
        <v/>
      </c>
      <c r="S2391" s="30">
        <f>IF(OR(M2391&lt;&gt;"OK",NOT(ISNUMBER(L2391))),"",L2391-R2391)</f>
        <v/>
      </c>
      <c r="T2391" s="46">
        <f>IF(OR(NOT(ISNUMBER(S2391)),IF(ISNUMBER(G2391),G2391,F2391)=0),"",S2391/IF(ISNUMBER(G2391),G2391,F2391))</f>
        <v/>
      </c>
      <c r="U2391" s="46">
        <f>IF(ISNUMBER(T2391),ABS(T2391),"")</f>
        <v/>
      </c>
      <c r="V2391" s="46">
        <f>IF(OR($D2390&lt;&gt;"측정",$C2390&lt;&gt;$C2391,NOT(ISNUMBER(L2391)),NOT(ISNUMBER(L2390)),(IF(ISNUMBER(G2391),G2391,F2391)-IF(ISNUMBER(G2390),G2390,F2390))=0),"",(L2391-L2390)/(IF(ISNUMBER(G2391),G2391,F2391)-IF(ISNUMBER(G2390),G2390,F2390)))</f>
        <v/>
      </c>
      <c r="W2391" s="30">
        <f>IF(NOT(AND(ISNUMBER(N2391),ISNUMBER(P2391))),"",(P2391-N2391)*1440)</f>
        <v/>
      </c>
      <c r="X2391" s="28" t="n"/>
      <c r="Y2391" s="28" t="n"/>
      <c r="Z2391" s="28" t="n"/>
      <c r="AA2391" s="31" t="n"/>
      <c r="AB2391" s="31" t="n"/>
    </row>
    <row r="2392">
      <c r="A2392" s="25" t="inlineStr">
        <is>
          <t>S46</t>
        </is>
      </c>
      <c r="B2392" s="25" t="inlineStr">
        <is>
          <t>화천</t>
        </is>
      </c>
      <c r="C2392" s="25" t="inlineStr">
        <is>
          <t>S46-H북</t>
        </is>
      </c>
      <c r="D2392" s="25" t="inlineStr">
        <is>
          <t>측정</t>
        </is>
      </c>
      <c r="E2392" s="25" t="inlineStr">
        <is>
          <t>북</t>
        </is>
      </c>
      <c r="F2392" s="30" t="n">
        <v>7</v>
      </c>
      <c r="G2392" s="29" t="n"/>
      <c r="H2392" s="42" t="n"/>
      <c r="I2392" s="40" t="n"/>
      <c r="J2392" s="40" t="n"/>
      <c r="K2392" s="40" t="n"/>
      <c r="L2392" s="30">
        <f>IF(COUNT(I2392:K2392)=0,"",MEDIAN(I2392:K2392))</f>
        <v/>
      </c>
      <c r="M2392" s="25">
        <f>IF(COUNTIFS($C:$C,$C2392,$D:$D,"P0(전)",$L:$L,"&gt;0")&lt;&gt;1,"P0(전) 유효 1개 아님",IF(COUNTIFS($C:$C,$C2392,$D:$D,"P0(후)",$L:$L,"&gt;0")&lt;&gt;1,"P0(후) 유효 1개 아님",IF(NOT(AND(ISNUMBER(N2392),ISNUMBER(P2392),ISNUMBER(H2392))),"시각 결측",IF(P2392&lt;=N2392,"P0 시각 역전",IF(OR(H2392&lt;N2392,H2392&gt;P2392),"측정시각 구간 밖","OK")))))</f>
        <v/>
      </c>
      <c r="N2392" s="45">
        <f>IF(COUNTIFS($C:$C,$C2392,$D:$D,"P0(전)",$L:$L,"&gt;0")&lt;&gt;1,"",SUMIFS($H:$H,$C:$C,$C2392,$D:$D,"P0(전)"))</f>
        <v/>
      </c>
      <c r="O2392" s="30">
        <f>IF(COUNTIFS($C:$C,$C2392,$D:$D,"P0(전)",$L:$L,"&gt;0")&lt;&gt;1,"",SUMIFS($L:$L,$C:$C,$C2392,$D:$D,"P0(전)"))</f>
        <v/>
      </c>
      <c r="P2392" s="45">
        <f>IF(COUNTIFS($C:$C,$C2392,$D:$D,"P0(후)",$L:$L,"&gt;0")&lt;&gt;1,"",SUMIFS($H:$H,$C:$C,$C2392,$D:$D,"P0(후)"))</f>
        <v/>
      </c>
      <c r="Q2392" s="30">
        <f>IF(COUNTIFS($C:$C,$C2392,$D:$D,"P0(후)",$L:$L,"&gt;0")&lt;&gt;1,"",SUMIFS($L:$L,$C:$C,$C2392,$D:$D,"P0(후)"))</f>
        <v/>
      </c>
      <c r="R2392" s="30">
        <f>IF(M2392&lt;&gt;"OK","",O2392+(Q2392-O2392)*(H2392-N2392)/(P2392-N2392))</f>
        <v/>
      </c>
      <c r="S2392" s="30">
        <f>IF(OR(M2392&lt;&gt;"OK",NOT(ISNUMBER(L2392))),"",L2392-R2392)</f>
        <v/>
      </c>
      <c r="T2392" s="46">
        <f>IF(OR(NOT(ISNUMBER(S2392)),IF(ISNUMBER(G2392),G2392,F2392)=0),"",S2392/IF(ISNUMBER(G2392),G2392,F2392))</f>
        <v/>
      </c>
      <c r="U2392" s="46">
        <f>IF(ISNUMBER(T2392),ABS(T2392),"")</f>
        <v/>
      </c>
      <c r="V2392" s="46">
        <f>IF(OR($D2391&lt;&gt;"측정",$C2391&lt;&gt;$C2392,NOT(ISNUMBER(L2392)),NOT(ISNUMBER(L2391)),(IF(ISNUMBER(G2392),G2392,F2392)-IF(ISNUMBER(G2391),G2391,F2391))=0),"",(L2392-L2391)/(IF(ISNUMBER(G2392),G2392,F2392)-IF(ISNUMBER(G2391),G2391,F2391)))</f>
        <v/>
      </c>
      <c r="W2392" s="30">
        <f>IF(NOT(AND(ISNUMBER(N2392),ISNUMBER(P2392))),"",(P2392-N2392)*1440)</f>
        <v/>
      </c>
      <c r="X2392" s="28" t="n"/>
      <c r="Y2392" s="28" t="n"/>
      <c r="Z2392" s="28" t="n"/>
      <c r="AA2392" s="31" t="n"/>
      <c r="AB2392" s="31" t="n"/>
    </row>
    <row r="2393">
      <c r="A2393" s="25" t="inlineStr">
        <is>
          <t>S46</t>
        </is>
      </c>
      <c r="B2393" s="25" t="inlineStr">
        <is>
          <t>화천</t>
        </is>
      </c>
      <c r="C2393" s="25" t="inlineStr">
        <is>
          <t>S46-H북</t>
        </is>
      </c>
      <c r="D2393" s="25" t="inlineStr">
        <is>
          <t>측정</t>
        </is>
      </c>
      <c r="E2393" s="25" t="inlineStr">
        <is>
          <t>북</t>
        </is>
      </c>
      <c r="F2393" s="30" t="n">
        <v>8</v>
      </c>
      <c r="G2393" s="29" t="n"/>
      <c r="H2393" s="42" t="n"/>
      <c r="I2393" s="40" t="n"/>
      <c r="J2393" s="40" t="n"/>
      <c r="K2393" s="40" t="n"/>
      <c r="L2393" s="30">
        <f>IF(COUNT(I2393:K2393)=0,"",MEDIAN(I2393:K2393))</f>
        <v/>
      </c>
      <c r="M2393" s="25">
        <f>IF(COUNTIFS($C:$C,$C2393,$D:$D,"P0(전)",$L:$L,"&gt;0")&lt;&gt;1,"P0(전) 유효 1개 아님",IF(COUNTIFS($C:$C,$C2393,$D:$D,"P0(후)",$L:$L,"&gt;0")&lt;&gt;1,"P0(후) 유효 1개 아님",IF(NOT(AND(ISNUMBER(N2393),ISNUMBER(P2393),ISNUMBER(H2393))),"시각 결측",IF(P2393&lt;=N2393,"P0 시각 역전",IF(OR(H2393&lt;N2393,H2393&gt;P2393),"측정시각 구간 밖","OK")))))</f>
        <v/>
      </c>
      <c r="N2393" s="45">
        <f>IF(COUNTIFS($C:$C,$C2393,$D:$D,"P0(전)",$L:$L,"&gt;0")&lt;&gt;1,"",SUMIFS($H:$H,$C:$C,$C2393,$D:$D,"P0(전)"))</f>
        <v/>
      </c>
      <c r="O2393" s="30">
        <f>IF(COUNTIFS($C:$C,$C2393,$D:$D,"P0(전)",$L:$L,"&gt;0")&lt;&gt;1,"",SUMIFS($L:$L,$C:$C,$C2393,$D:$D,"P0(전)"))</f>
        <v/>
      </c>
      <c r="P2393" s="45">
        <f>IF(COUNTIFS($C:$C,$C2393,$D:$D,"P0(후)",$L:$L,"&gt;0")&lt;&gt;1,"",SUMIFS($H:$H,$C:$C,$C2393,$D:$D,"P0(후)"))</f>
        <v/>
      </c>
      <c r="Q2393" s="30">
        <f>IF(COUNTIFS($C:$C,$C2393,$D:$D,"P0(후)",$L:$L,"&gt;0")&lt;&gt;1,"",SUMIFS($L:$L,$C:$C,$C2393,$D:$D,"P0(후)"))</f>
        <v/>
      </c>
      <c r="R2393" s="30">
        <f>IF(M2393&lt;&gt;"OK","",O2393+(Q2393-O2393)*(H2393-N2393)/(P2393-N2393))</f>
        <v/>
      </c>
      <c r="S2393" s="30">
        <f>IF(OR(M2393&lt;&gt;"OK",NOT(ISNUMBER(L2393))),"",L2393-R2393)</f>
        <v/>
      </c>
      <c r="T2393" s="46">
        <f>IF(OR(NOT(ISNUMBER(S2393)),IF(ISNUMBER(G2393),G2393,F2393)=0),"",S2393/IF(ISNUMBER(G2393),G2393,F2393))</f>
        <v/>
      </c>
      <c r="U2393" s="46">
        <f>IF(ISNUMBER(T2393),ABS(T2393),"")</f>
        <v/>
      </c>
      <c r="V2393" s="46">
        <f>IF(OR($D2392&lt;&gt;"측정",$C2392&lt;&gt;$C2393,NOT(ISNUMBER(L2393)),NOT(ISNUMBER(L2392)),(IF(ISNUMBER(G2393),G2393,F2393)-IF(ISNUMBER(G2392),G2392,F2392))=0),"",(L2393-L2392)/(IF(ISNUMBER(G2393),G2393,F2393)-IF(ISNUMBER(G2392),G2392,F2392)))</f>
        <v/>
      </c>
      <c r="W2393" s="30">
        <f>IF(NOT(AND(ISNUMBER(N2393),ISNUMBER(P2393))),"",(P2393-N2393)*1440)</f>
        <v/>
      </c>
      <c r="X2393" s="28" t="n"/>
      <c r="Y2393" s="28" t="n"/>
      <c r="Z2393" s="28" t="n"/>
      <c r="AA2393" s="31" t="n"/>
      <c r="AB2393" s="31" t="n"/>
    </row>
    <row r="2394">
      <c r="A2394" s="25" t="inlineStr">
        <is>
          <t>S46</t>
        </is>
      </c>
      <c r="B2394" s="25" t="inlineStr">
        <is>
          <t>화천</t>
        </is>
      </c>
      <c r="C2394" s="25" t="inlineStr">
        <is>
          <t>S46-H북</t>
        </is>
      </c>
      <c r="D2394" s="25" t="inlineStr">
        <is>
          <t>측정</t>
        </is>
      </c>
      <c r="E2394" s="25" t="inlineStr">
        <is>
          <t>북</t>
        </is>
      </c>
      <c r="F2394" s="30" t="n">
        <v>9</v>
      </c>
      <c r="G2394" s="29" t="n"/>
      <c r="H2394" s="42" t="n"/>
      <c r="I2394" s="40" t="n"/>
      <c r="J2394" s="40" t="n"/>
      <c r="K2394" s="40" t="n"/>
      <c r="L2394" s="30">
        <f>IF(COUNT(I2394:K2394)=0,"",MEDIAN(I2394:K2394))</f>
        <v/>
      </c>
      <c r="M2394" s="25">
        <f>IF(COUNTIFS($C:$C,$C2394,$D:$D,"P0(전)",$L:$L,"&gt;0")&lt;&gt;1,"P0(전) 유효 1개 아님",IF(COUNTIFS($C:$C,$C2394,$D:$D,"P0(후)",$L:$L,"&gt;0")&lt;&gt;1,"P0(후) 유효 1개 아님",IF(NOT(AND(ISNUMBER(N2394),ISNUMBER(P2394),ISNUMBER(H2394))),"시각 결측",IF(P2394&lt;=N2394,"P0 시각 역전",IF(OR(H2394&lt;N2394,H2394&gt;P2394),"측정시각 구간 밖","OK")))))</f>
        <v/>
      </c>
      <c r="N2394" s="45">
        <f>IF(COUNTIFS($C:$C,$C2394,$D:$D,"P0(전)",$L:$L,"&gt;0")&lt;&gt;1,"",SUMIFS($H:$H,$C:$C,$C2394,$D:$D,"P0(전)"))</f>
        <v/>
      </c>
      <c r="O2394" s="30">
        <f>IF(COUNTIFS($C:$C,$C2394,$D:$D,"P0(전)",$L:$L,"&gt;0")&lt;&gt;1,"",SUMIFS($L:$L,$C:$C,$C2394,$D:$D,"P0(전)"))</f>
        <v/>
      </c>
      <c r="P2394" s="45">
        <f>IF(COUNTIFS($C:$C,$C2394,$D:$D,"P0(후)",$L:$L,"&gt;0")&lt;&gt;1,"",SUMIFS($H:$H,$C:$C,$C2394,$D:$D,"P0(후)"))</f>
        <v/>
      </c>
      <c r="Q2394" s="30">
        <f>IF(COUNTIFS($C:$C,$C2394,$D:$D,"P0(후)",$L:$L,"&gt;0")&lt;&gt;1,"",SUMIFS($L:$L,$C:$C,$C2394,$D:$D,"P0(후)"))</f>
        <v/>
      </c>
      <c r="R2394" s="30">
        <f>IF(M2394&lt;&gt;"OK","",O2394+(Q2394-O2394)*(H2394-N2394)/(P2394-N2394))</f>
        <v/>
      </c>
      <c r="S2394" s="30">
        <f>IF(OR(M2394&lt;&gt;"OK",NOT(ISNUMBER(L2394))),"",L2394-R2394)</f>
        <v/>
      </c>
      <c r="T2394" s="46">
        <f>IF(OR(NOT(ISNUMBER(S2394)),IF(ISNUMBER(G2394),G2394,F2394)=0),"",S2394/IF(ISNUMBER(G2394),G2394,F2394))</f>
        <v/>
      </c>
      <c r="U2394" s="46">
        <f>IF(ISNUMBER(T2394),ABS(T2394),"")</f>
        <v/>
      </c>
      <c r="V2394" s="46">
        <f>IF(OR($D2393&lt;&gt;"측정",$C2393&lt;&gt;$C2394,NOT(ISNUMBER(L2394)),NOT(ISNUMBER(L2393)),(IF(ISNUMBER(G2394),G2394,F2394)-IF(ISNUMBER(G2393),G2393,F2393))=0),"",(L2394-L2393)/(IF(ISNUMBER(G2394),G2394,F2394)-IF(ISNUMBER(G2393),G2393,F2393)))</f>
        <v/>
      </c>
      <c r="W2394" s="30">
        <f>IF(NOT(AND(ISNUMBER(N2394),ISNUMBER(P2394))),"",(P2394-N2394)*1440)</f>
        <v/>
      </c>
      <c r="X2394" s="28" t="n"/>
      <c r="Y2394" s="28" t="n"/>
      <c r="Z2394" s="28" t="n"/>
      <c r="AA2394" s="31" t="n"/>
      <c r="AB2394" s="31" t="n"/>
    </row>
    <row r="2395">
      <c r="A2395" s="25" t="inlineStr">
        <is>
          <t>S46</t>
        </is>
      </c>
      <c r="B2395" s="25" t="inlineStr">
        <is>
          <t>화천</t>
        </is>
      </c>
      <c r="C2395" s="25" t="inlineStr">
        <is>
          <t>S46-H북</t>
        </is>
      </c>
      <c r="D2395" s="25" t="inlineStr">
        <is>
          <t>측정</t>
        </is>
      </c>
      <c r="E2395" s="25" t="inlineStr">
        <is>
          <t>북</t>
        </is>
      </c>
      <c r="F2395" s="30" t="n">
        <v>10</v>
      </c>
      <c r="G2395" s="29" t="n"/>
      <c r="H2395" s="42" t="n"/>
      <c r="I2395" s="40" t="n"/>
      <c r="J2395" s="40" t="n"/>
      <c r="K2395" s="40" t="n"/>
      <c r="L2395" s="30">
        <f>IF(COUNT(I2395:K2395)=0,"",MEDIAN(I2395:K2395))</f>
        <v/>
      </c>
      <c r="M2395" s="25">
        <f>IF(COUNTIFS($C:$C,$C2395,$D:$D,"P0(전)",$L:$L,"&gt;0")&lt;&gt;1,"P0(전) 유효 1개 아님",IF(COUNTIFS($C:$C,$C2395,$D:$D,"P0(후)",$L:$L,"&gt;0")&lt;&gt;1,"P0(후) 유효 1개 아님",IF(NOT(AND(ISNUMBER(N2395),ISNUMBER(P2395),ISNUMBER(H2395))),"시각 결측",IF(P2395&lt;=N2395,"P0 시각 역전",IF(OR(H2395&lt;N2395,H2395&gt;P2395),"측정시각 구간 밖","OK")))))</f>
        <v/>
      </c>
      <c r="N2395" s="45">
        <f>IF(COUNTIFS($C:$C,$C2395,$D:$D,"P0(전)",$L:$L,"&gt;0")&lt;&gt;1,"",SUMIFS($H:$H,$C:$C,$C2395,$D:$D,"P0(전)"))</f>
        <v/>
      </c>
      <c r="O2395" s="30">
        <f>IF(COUNTIFS($C:$C,$C2395,$D:$D,"P0(전)",$L:$L,"&gt;0")&lt;&gt;1,"",SUMIFS($L:$L,$C:$C,$C2395,$D:$D,"P0(전)"))</f>
        <v/>
      </c>
      <c r="P2395" s="45">
        <f>IF(COUNTIFS($C:$C,$C2395,$D:$D,"P0(후)",$L:$L,"&gt;0")&lt;&gt;1,"",SUMIFS($H:$H,$C:$C,$C2395,$D:$D,"P0(후)"))</f>
        <v/>
      </c>
      <c r="Q2395" s="30">
        <f>IF(COUNTIFS($C:$C,$C2395,$D:$D,"P0(후)",$L:$L,"&gt;0")&lt;&gt;1,"",SUMIFS($L:$L,$C:$C,$C2395,$D:$D,"P0(후)"))</f>
        <v/>
      </c>
      <c r="R2395" s="30">
        <f>IF(M2395&lt;&gt;"OK","",O2395+(Q2395-O2395)*(H2395-N2395)/(P2395-N2395))</f>
        <v/>
      </c>
      <c r="S2395" s="30">
        <f>IF(OR(M2395&lt;&gt;"OK",NOT(ISNUMBER(L2395))),"",L2395-R2395)</f>
        <v/>
      </c>
      <c r="T2395" s="46">
        <f>IF(OR(NOT(ISNUMBER(S2395)),IF(ISNUMBER(G2395),G2395,F2395)=0),"",S2395/IF(ISNUMBER(G2395),G2395,F2395))</f>
        <v/>
      </c>
      <c r="U2395" s="46">
        <f>IF(ISNUMBER(T2395),ABS(T2395),"")</f>
        <v/>
      </c>
      <c r="V2395" s="46">
        <f>IF(OR($D2394&lt;&gt;"측정",$C2394&lt;&gt;$C2395,NOT(ISNUMBER(L2395)),NOT(ISNUMBER(L2394)),(IF(ISNUMBER(G2395),G2395,F2395)-IF(ISNUMBER(G2394),G2394,F2394))=0),"",(L2395-L2394)/(IF(ISNUMBER(G2395),G2395,F2395)-IF(ISNUMBER(G2394),G2394,F2394)))</f>
        <v/>
      </c>
      <c r="W2395" s="30">
        <f>IF(NOT(AND(ISNUMBER(N2395),ISNUMBER(P2395))),"",(P2395-N2395)*1440)</f>
        <v/>
      </c>
      <c r="X2395" s="28" t="n"/>
      <c r="Y2395" s="28" t="n"/>
      <c r="Z2395" s="28" t="n"/>
      <c r="AA2395" s="31" t="n"/>
      <c r="AB2395" s="31" t="n"/>
    </row>
    <row r="2396">
      <c r="A2396" s="43" t="inlineStr">
        <is>
          <t>S46</t>
        </is>
      </c>
      <c r="B2396" s="43" t="inlineStr">
        <is>
          <t>화천</t>
        </is>
      </c>
      <c r="C2396" s="43" t="inlineStr">
        <is>
          <t>S46-H북</t>
        </is>
      </c>
      <c r="D2396" s="43" t="inlineStr">
        <is>
          <t>P0(후)</t>
        </is>
      </c>
      <c r="E2396" s="43" t="inlineStr">
        <is>
          <t>북</t>
        </is>
      </c>
      <c r="F2396" s="44" t="n"/>
      <c r="G2396" s="29" t="n"/>
      <c r="H2396" s="42" t="n"/>
      <c r="I2396" s="40" t="n"/>
      <c r="J2396" s="40" t="n"/>
      <c r="K2396" s="40" t="n"/>
      <c r="L2396" s="30">
        <f>IF(COUNT(I2396:K2396)=0,"",MEDIAN(I2396:K2396))</f>
        <v/>
      </c>
      <c r="M2396" s="37" t="n"/>
      <c r="N2396" s="37" t="n"/>
      <c r="O2396" s="37" t="n"/>
      <c r="P2396" s="37" t="n"/>
      <c r="Q2396" s="37" t="n"/>
      <c r="R2396" s="37" t="n"/>
      <c r="S2396" s="37" t="n"/>
      <c r="T2396" s="37" t="n"/>
      <c r="U2396" s="37" t="n"/>
      <c r="V2396" s="37" t="n"/>
      <c r="W2396" s="37" t="n"/>
      <c r="X2396" s="28" t="n"/>
      <c r="Y2396" s="28" t="n"/>
      <c r="Z2396" s="28" t="n"/>
      <c r="AA2396" s="31" t="n"/>
      <c r="AB2396" s="31" t="n"/>
    </row>
    <row r="2397">
      <c r="A2397" s="43" t="inlineStr">
        <is>
          <t>S47</t>
        </is>
      </c>
      <c r="B2397" s="43" t="inlineStr">
        <is>
          <t>봉평</t>
        </is>
      </c>
      <c r="C2397" s="43" t="inlineStr">
        <is>
          <t>S47-H동</t>
        </is>
      </c>
      <c r="D2397" s="43" t="inlineStr">
        <is>
          <t>P0(전)</t>
        </is>
      </c>
      <c r="E2397" s="43" t="inlineStr">
        <is>
          <t>동</t>
        </is>
      </c>
      <c r="F2397" s="44" t="n"/>
      <c r="G2397" s="29" t="n"/>
      <c r="H2397" s="42" t="n"/>
      <c r="I2397" s="40" t="n"/>
      <c r="J2397" s="40" t="n"/>
      <c r="K2397" s="40" t="n"/>
      <c r="L2397" s="30">
        <f>IF(COUNT(I2397:K2397)=0,"",MEDIAN(I2397:K2397))</f>
        <v/>
      </c>
      <c r="M2397" s="37" t="n"/>
      <c r="N2397" s="37" t="n"/>
      <c r="O2397" s="37" t="n"/>
      <c r="P2397" s="37" t="n"/>
      <c r="Q2397" s="37" t="n"/>
      <c r="R2397" s="37" t="n"/>
      <c r="S2397" s="37" t="n"/>
      <c r="T2397" s="37" t="n"/>
      <c r="U2397" s="37" t="n"/>
      <c r="V2397" s="37" t="n"/>
      <c r="W2397" s="37" t="n"/>
      <c r="X2397" s="28" t="n"/>
      <c r="Y2397" s="28" t="n"/>
      <c r="Z2397" s="28" t="n"/>
      <c r="AA2397" s="31" t="n"/>
      <c r="AB2397" s="31" t="n"/>
    </row>
    <row r="2398">
      <c r="A2398" s="25" t="inlineStr">
        <is>
          <t>S47</t>
        </is>
      </c>
      <c r="B2398" s="25" t="inlineStr">
        <is>
          <t>봉평</t>
        </is>
      </c>
      <c r="C2398" s="25" t="inlineStr">
        <is>
          <t>S47-H동</t>
        </is>
      </c>
      <c r="D2398" s="25" t="inlineStr">
        <is>
          <t>측정</t>
        </is>
      </c>
      <c r="E2398" s="25" t="inlineStr">
        <is>
          <t>동</t>
        </is>
      </c>
      <c r="F2398" s="30" t="n">
        <v>0.5</v>
      </c>
      <c r="G2398" s="29" t="n"/>
      <c r="H2398" s="42" t="n"/>
      <c r="I2398" s="40" t="n"/>
      <c r="J2398" s="40" t="n"/>
      <c r="K2398" s="40" t="n"/>
      <c r="L2398" s="30">
        <f>IF(COUNT(I2398:K2398)=0,"",MEDIAN(I2398:K2398))</f>
        <v/>
      </c>
      <c r="M2398" s="25">
        <f>IF(COUNTIFS($C:$C,$C2398,$D:$D,"P0(전)",$L:$L,"&gt;0")&lt;&gt;1,"P0(전) 유효 1개 아님",IF(COUNTIFS($C:$C,$C2398,$D:$D,"P0(후)",$L:$L,"&gt;0")&lt;&gt;1,"P0(후) 유효 1개 아님",IF(NOT(AND(ISNUMBER(N2398),ISNUMBER(P2398),ISNUMBER(H2398))),"시각 결측",IF(P2398&lt;=N2398,"P0 시각 역전",IF(OR(H2398&lt;N2398,H2398&gt;P2398),"측정시각 구간 밖","OK")))))</f>
        <v/>
      </c>
      <c r="N2398" s="45">
        <f>IF(COUNTIFS($C:$C,$C2398,$D:$D,"P0(전)",$L:$L,"&gt;0")&lt;&gt;1,"",SUMIFS($H:$H,$C:$C,$C2398,$D:$D,"P0(전)"))</f>
        <v/>
      </c>
      <c r="O2398" s="30">
        <f>IF(COUNTIFS($C:$C,$C2398,$D:$D,"P0(전)",$L:$L,"&gt;0")&lt;&gt;1,"",SUMIFS($L:$L,$C:$C,$C2398,$D:$D,"P0(전)"))</f>
        <v/>
      </c>
      <c r="P2398" s="45">
        <f>IF(COUNTIFS($C:$C,$C2398,$D:$D,"P0(후)",$L:$L,"&gt;0")&lt;&gt;1,"",SUMIFS($H:$H,$C:$C,$C2398,$D:$D,"P0(후)"))</f>
        <v/>
      </c>
      <c r="Q2398" s="30">
        <f>IF(COUNTIFS($C:$C,$C2398,$D:$D,"P0(후)",$L:$L,"&gt;0")&lt;&gt;1,"",SUMIFS($L:$L,$C:$C,$C2398,$D:$D,"P0(후)"))</f>
        <v/>
      </c>
      <c r="R2398" s="30">
        <f>IF(M2398&lt;&gt;"OK","",O2398+(Q2398-O2398)*(H2398-N2398)/(P2398-N2398))</f>
        <v/>
      </c>
      <c r="S2398" s="30">
        <f>IF(OR(M2398&lt;&gt;"OK",NOT(ISNUMBER(L2398))),"",L2398-R2398)</f>
        <v/>
      </c>
      <c r="T2398" s="46">
        <f>IF(OR(NOT(ISNUMBER(S2398)),IF(ISNUMBER(G2398),G2398,F2398)=0),"",S2398/IF(ISNUMBER(G2398),G2398,F2398))</f>
        <v/>
      </c>
      <c r="U2398" s="46">
        <f>IF(ISNUMBER(T2398),ABS(T2398),"")</f>
        <v/>
      </c>
      <c r="V2398" s="46">
        <f>IF(OR($D2397&lt;&gt;"측정",$C2397&lt;&gt;$C2398,NOT(ISNUMBER(L2398)),NOT(ISNUMBER(L2397)),(IF(ISNUMBER(G2398),G2398,F2398)-IF(ISNUMBER(G2397),G2397,F2397))=0),"",(L2398-L2397)/(IF(ISNUMBER(G2398),G2398,F2398)-IF(ISNUMBER(G2397),G2397,F2397)))</f>
        <v/>
      </c>
      <c r="W2398" s="30">
        <f>IF(NOT(AND(ISNUMBER(N2398),ISNUMBER(P2398))),"",(P2398-N2398)*1440)</f>
        <v/>
      </c>
      <c r="X2398" s="28" t="n"/>
      <c r="Y2398" s="28" t="n"/>
      <c r="Z2398" s="28" t="n"/>
      <c r="AA2398" s="31" t="n"/>
      <c r="AB2398" s="31" t="n"/>
    </row>
    <row r="2399">
      <c r="A2399" s="25" t="inlineStr">
        <is>
          <t>S47</t>
        </is>
      </c>
      <c r="B2399" s="25" t="inlineStr">
        <is>
          <t>봉평</t>
        </is>
      </c>
      <c r="C2399" s="25" t="inlineStr">
        <is>
          <t>S47-H동</t>
        </is>
      </c>
      <c r="D2399" s="25" t="inlineStr">
        <is>
          <t>측정</t>
        </is>
      </c>
      <c r="E2399" s="25" t="inlineStr">
        <is>
          <t>동</t>
        </is>
      </c>
      <c r="F2399" s="30" t="n">
        <v>1</v>
      </c>
      <c r="G2399" s="29" t="n"/>
      <c r="H2399" s="42" t="n"/>
      <c r="I2399" s="40" t="n"/>
      <c r="J2399" s="40" t="n"/>
      <c r="K2399" s="40" t="n"/>
      <c r="L2399" s="30">
        <f>IF(COUNT(I2399:K2399)=0,"",MEDIAN(I2399:K2399))</f>
        <v/>
      </c>
      <c r="M2399" s="25">
        <f>IF(COUNTIFS($C:$C,$C2399,$D:$D,"P0(전)",$L:$L,"&gt;0")&lt;&gt;1,"P0(전) 유효 1개 아님",IF(COUNTIFS($C:$C,$C2399,$D:$D,"P0(후)",$L:$L,"&gt;0")&lt;&gt;1,"P0(후) 유효 1개 아님",IF(NOT(AND(ISNUMBER(N2399),ISNUMBER(P2399),ISNUMBER(H2399))),"시각 결측",IF(P2399&lt;=N2399,"P0 시각 역전",IF(OR(H2399&lt;N2399,H2399&gt;P2399),"측정시각 구간 밖","OK")))))</f>
        <v/>
      </c>
      <c r="N2399" s="45">
        <f>IF(COUNTIFS($C:$C,$C2399,$D:$D,"P0(전)",$L:$L,"&gt;0")&lt;&gt;1,"",SUMIFS($H:$H,$C:$C,$C2399,$D:$D,"P0(전)"))</f>
        <v/>
      </c>
      <c r="O2399" s="30">
        <f>IF(COUNTIFS($C:$C,$C2399,$D:$D,"P0(전)",$L:$L,"&gt;0")&lt;&gt;1,"",SUMIFS($L:$L,$C:$C,$C2399,$D:$D,"P0(전)"))</f>
        <v/>
      </c>
      <c r="P2399" s="45">
        <f>IF(COUNTIFS($C:$C,$C2399,$D:$D,"P0(후)",$L:$L,"&gt;0")&lt;&gt;1,"",SUMIFS($H:$H,$C:$C,$C2399,$D:$D,"P0(후)"))</f>
        <v/>
      </c>
      <c r="Q2399" s="30">
        <f>IF(COUNTIFS($C:$C,$C2399,$D:$D,"P0(후)",$L:$L,"&gt;0")&lt;&gt;1,"",SUMIFS($L:$L,$C:$C,$C2399,$D:$D,"P0(후)"))</f>
        <v/>
      </c>
      <c r="R2399" s="30">
        <f>IF(M2399&lt;&gt;"OK","",O2399+(Q2399-O2399)*(H2399-N2399)/(P2399-N2399))</f>
        <v/>
      </c>
      <c r="S2399" s="30">
        <f>IF(OR(M2399&lt;&gt;"OK",NOT(ISNUMBER(L2399))),"",L2399-R2399)</f>
        <v/>
      </c>
      <c r="T2399" s="46">
        <f>IF(OR(NOT(ISNUMBER(S2399)),IF(ISNUMBER(G2399),G2399,F2399)=0),"",S2399/IF(ISNUMBER(G2399),G2399,F2399))</f>
        <v/>
      </c>
      <c r="U2399" s="46">
        <f>IF(ISNUMBER(T2399),ABS(T2399),"")</f>
        <v/>
      </c>
      <c r="V2399" s="46">
        <f>IF(OR($D2398&lt;&gt;"측정",$C2398&lt;&gt;$C2399,NOT(ISNUMBER(L2399)),NOT(ISNUMBER(L2398)),(IF(ISNUMBER(G2399),G2399,F2399)-IF(ISNUMBER(G2398),G2398,F2398))=0),"",(L2399-L2398)/(IF(ISNUMBER(G2399),G2399,F2399)-IF(ISNUMBER(G2398),G2398,F2398)))</f>
        <v/>
      </c>
      <c r="W2399" s="30">
        <f>IF(NOT(AND(ISNUMBER(N2399),ISNUMBER(P2399))),"",(P2399-N2399)*1440)</f>
        <v/>
      </c>
      <c r="X2399" s="28" t="n"/>
      <c r="Y2399" s="28" t="n"/>
      <c r="Z2399" s="28" t="n"/>
      <c r="AA2399" s="31" t="n"/>
      <c r="AB2399" s="31" t="n"/>
    </row>
    <row r="2400">
      <c r="A2400" s="25" t="inlineStr">
        <is>
          <t>S47</t>
        </is>
      </c>
      <c r="B2400" s="25" t="inlineStr">
        <is>
          <t>봉평</t>
        </is>
      </c>
      <c r="C2400" s="25" t="inlineStr">
        <is>
          <t>S47-H동</t>
        </is>
      </c>
      <c r="D2400" s="25" t="inlineStr">
        <is>
          <t>측정</t>
        </is>
      </c>
      <c r="E2400" s="25" t="inlineStr">
        <is>
          <t>동</t>
        </is>
      </c>
      <c r="F2400" s="30" t="n">
        <v>2</v>
      </c>
      <c r="G2400" s="29" t="n"/>
      <c r="H2400" s="42" t="n"/>
      <c r="I2400" s="40" t="n"/>
      <c r="J2400" s="40" t="n"/>
      <c r="K2400" s="40" t="n"/>
      <c r="L2400" s="30">
        <f>IF(COUNT(I2400:K2400)=0,"",MEDIAN(I2400:K2400))</f>
        <v/>
      </c>
      <c r="M2400" s="25">
        <f>IF(COUNTIFS($C:$C,$C2400,$D:$D,"P0(전)",$L:$L,"&gt;0")&lt;&gt;1,"P0(전) 유효 1개 아님",IF(COUNTIFS($C:$C,$C2400,$D:$D,"P0(후)",$L:$L,"&gt;0")&lt;&gt;1,"P0(후) 유효 1개 아님",IF(NOT(AND(ISNUMBER(N2400),ISNUMBER(P2400),ISNUMBER(H2400))),"시각 결측",IF(P2400&lt;=N2400,"P0 시각 역전",IF(OR(H2400&lt;N2400,H2400&gt;P2400),"측정시각 구간 밖","OK")))))</f>
        <v/>
      </c>
      <c r="N2400" s="45">
        <f>IF(COUNTIFS($C:$C,$C2400,$D:$D,"P0(전)",$L:$L,"&gt;0")&lt;&gt;1,"",SUMIFS($H:$H,$C:$C,$C2400,$D:$D,"P0(전)"))</f>
        <v/>
      </c>
      <c r="O2400" s="30">
        <f>IF(COUNTIFS($C:$C,$C2400,$D:$D,"P0(전)",$L:$L,"&gt;0")&lt;&gt;1,"",SUMIFS($L:$L,$C:$C,$C2400,$D:$D,"P0(전)"))</f>
        <v/>
      </c>
      <c r="P2400" s="45">
        <f>IF(COUNTIFS($C:$C,$C2400,$D:$D,"P0(후)",$L:$L,"&gt;0")&lt;&gt;1,"",SUMIFS($H:$H,$C:$C,$C2400,$D:$D,"P0(후)"))</f>
        <v/>
      </c>
      <c r="Q2400" s="30">
        <f>IF(COUNTIFS($C:$C,$C2400,$D:$D,"P0(후)",$L:$L,"&gt;0")&lt;&gt;1,"",SUMIFS($L:$L,$C:$C,$C2400,$D:$D,"P0(후)"))</f>
        <v/>
      </c>
      <c r="R2400" s="30">
        <f>IF(M2400&lt;&gt;"OK","",O2400+(Q2400-O2400)*(H2400-N2400)/(P2400-N2400))</f>
        <v/>
      </c>
      <c r="S2400" s="30">
        <f>IF(OR(M2400&lt;&gt;"OK",NOT(ISNUMBER(L2400))),"",L2400-R2400)</f>
        <v/>
      </c>
      <c r="T2400" s="46">
        <f>IF(OR(NOT(ISNUMBER(S2400)),IF(ISNUMBER(G2400),G2400,F2400)=0),"",S2400/IF(ISNUMBER(G2400),G2400,F2400))</f>
        <v/>
      </c>
      <c r="U2400" s="46">
        <f>IF(ISNUMBER(T2400),ABS(T2400),"")</f>
        <v/>
      </c>
      <c r="V2400" s="46">
        <f>IF(OR($D2399&lt;&gt;"측정",$C2399&lt;&gt;$C2400,NOT(ISNUMBER(L2400)),NOT(ISNUMBER(L2399)),(IF(ISNUMBER(G2400),G2400,F2400)-IF(ISNUMBER(G2399),G2399,F2399))=0),"",(L2400-L2399)/(IF(ISNUMBER(G2400),G2400,F2400)-IF(ISNUMBER(G2399),G2399,F2399)))</f>
        <v/>
      </c>
      <c r="W2400" s="30">
        <f>IF(NOT(AND(ISNUMBER(N2400),ISNUMBER(P2400))),"",(P2400-N2400)*1440)</f>
        <v/>
      </c>
      <c r="X2400" s="28" t="n"/>
      <c r="Y2400" s="28" t="n"/>
      <c r="Z2400" s="28" t="n"/>
      <c r="AA2400" s="31" t="n"/>
      <c r="AB2400" s="31" t="n"/>
    </row>
    <row r="2401">
      <c r="A2401" s="25" t="inlineStr">
        <is>
          <t>S47</t>
        </is>
      </c>
      <c r="B2401" s="25" t="inlineStr">
        <is>
          <t>봉평</t>
        </is>
      </c>
      <c r="C2401" s="25" t="inlineStr">
        <is>
          <t>S47-H동</t>
        </is>
      </c>
      <c r="D2401" s="25" t="inlineStr">
        <is>
          <t>측정</t>
        </is>
      </c>
      <c r="E2401" s="25" t="inlineStr">
        <is>
          <t>동</t>
        </is>
      </c>
      <c r="F2401" s="30" t="n">
        <v>3</v>
      </c>
      <c r="G2401" s="29" t="n"/>
      <c r="H2401" s="42" t="n"/>
      <c r="I2401" s="40" t="n"/>
      <c r="J2401" s="40" t="n"/>
      <c r="K2401" s="40" t="n"/>
      <c r="L2401" s="30">
        <f>IF(COUNT(I2401:K2401)=0,"",MEDIAN(I2401:K2401))</f>
        <v/>
      </c>
      <c r="M2401" s="25">
        <f>IF(COUNTIFS($C:$C,$C2401,$D:$D,"P0(전)",$L:$L,"&gt;0")&lt;&gt;1,"P0(전) 유효 1개 아님",IF(COUNTIFS($C:$C,$C2401,$D:$D,"P0(후)",$L:$L,"&gt;0")&lt;&gt;1,"P0(후) 유효 1개 아님",IF(NOT(AND(ISNUMBER(N2401),ISNUMBER(P2401),ISNUMBER(H2401))),"시각 결측",IF(P2401&lt;=N2401,"P0 시각 역전",IF(OR(H2401&lt;N2401,H2401&gt;P2401),"측정시각 구간 밖","OK")))))</f>
        <v/>
      </c>
      <c r="N2401" s="45">
        <f>IF(COUNTIFS($C:$C,$C2401,$D:$D,"P0(전)",$L:$L,"&gt;0")&lt;&gt;1,"",SUMIFS($H:$H,$C:$C,$C2401,$D:$D,"P0(전)"))</f>
        <v/>
      </c>
      <c r="O2401" s="30">
        <f>IF(COUNTIFS($C:$C,$C2401,$D:$D,"P0(전)",$L:$L,"&gt;0")&lt;&gt;1,"",SUMIFS($L:$L,$C:$C,$C2401,$D:$D,"P0(전)"))</f>
        <v/>
      </c>
      <c r="P2401" s="45">
        <f>IF(COUNTIFS($C:$C,$C2401,$D:$D,"P0(후)",$L:$L,"&gt;0")&lt;&gt;1,"",SUMIFS($H:$H,$C:$C,$C2401,$D:$D,"P0(후)"))</f>
        <v/>
      </c>
      <c r="Q2401" s="30">
        <f>IF(COUNTIFS($C:$C,$C2401,$D:$D,"P0(후)",$L:$L,"&gt;0")&lt;&gt;1,"",SUMIFS($L:$L,$C:$C,$C2401,$D:$D,"P0(후)"))</f>
        <v/>
      </c>
      <c r="R2401" s="30">
        <f>IF(M2401&lt;&gt;"OK","",O2401+(Q2401-O2401)*(H2401-N2401)/(P2401-N2401))</f>
        <v/>
      </c>
      <c r="S2401" s="30">
        <f>IF(OR(M2401&lt;&gt;"OK",NOT(ISNUMBER(L2401))),"",L2401-R2401)</f>
        <v/>
      </c>
      <c r="T2401" s="46">
        <f>IF(OR(NOT(ISNUMBER(S2401)),IF(ISNUMBER(G2401),G2401,F2401)=0),"",S2401/IF(ISNUMBER(G2401),G2401,F2401))</f>
        <v/>
      </c>
      <c r="U2401" s="46">
        <f>IF(ISNUMBER(T2401),ABS(T2401),"")</f>
        <v/>
      </c>
      <c r="V2401" s="46">
        <f>IF(OR($D2400&lt;&gt;"측정",$C2400&lt;&gt;$C2401,NOT(ISNUMBER(L2401)),NOT(ISNUMBER(L2400)),(IF(ISNUMBER(G2401),G2401,F2401)-IF(ISNUMBER(G2400),G2400,F2400))=0),"",(L2401-L2400)/(IF(ISNUMBER(G2401),G2401,F2401)-IF(ISNUMBER(G2400),G2400,F2400)))</f>
        <v/>
      </c>
      <c r="W2401" s="30">
        <f>IF(NOT(AND(ISNUMBER(N2401),ISNUMBER(P2401))),"",(P2401-N2401)*1440)</f>
        <v/>
      </c>
      <c r="X2401" s="28" t="n"/>
      <c r="Y2401" s="28" t="n"/>
      <c r="Z2401" s="28" t="n"/>
      <c r="AA2401" s="31" t="n"/>
      <c r="AB2401" s="31" t="n"/>
    </row>
    <row r="2402">
      <c r="A2402" s="25" t="inlineStr">
        <is>
          <t>S47</t>
        </is>
      </c>
      <c r="B2402" s="25" t="inlineStr">
        <is>
          <t>봉평</t>
        </is>
      </c>
      <c r="C2402" s="25" t="inlineStr">
        <is>
          <t>S47-H동</t>
        </is>
      </c>
      <c r="D2402" s="25" t="inlineStr">
        <is>
          <t>측정</t>
        </is>
      </c>
      <c r="E2402" s="25" t="inlineStr">
        <is>
          <t>동</t>
        </is>
      </c>
      <c r="F2402" s="30" t="n">
        <v>4</v>
      </c>
      <c r="G2402" s="29" t="n"/>
      <c r="H2402" s="42" t="n"/>
      <c r="I2402" s="40" t="n"/>
      <c r="J2402" s="40" t="n"/>
      <c r="K2402" s="40" t="n"/>
      <c r="L2402" s="30">
        <f>IF(COUNT(I2402:K2402)=0,"",MEDIAN(I2402:K2402))</f>
        <v/>
      </c>
      <c r="M2402" s="25">
        <f>IF(COUNTIFS($C:$C,$C2402,$D:$D,"P0(전)",$L:$L,"&gt;0")&lt;&gt;1,"P0(전) 유효 1개 아님",IF(COUNTIFS($C:$C,$C2402,$D:$D,"P0(후)",$L:$L,"&gt;0")&lt;&gt;1,"P0(후) 유효 1개 아님",IF(NOT(AND(ISNUMBER(N2402),ISNUMBER(P2402),ISNUMBER(H2402))),"시각 결측",IF(P2402&lt;=N2402,"P0 시각 역전",IF(OR(H2402&lt;N2402,H2402&gt;P2402),"측정시각 구간 밖","OK")))))</f>
        <v/>
      </c>
      <c r="N2402" s="45">
        <f>IF(COUNTIFS($C:$C,$C2402,$D:$D,"P0(전)",$L:$L,"&gt;0")&lt;&gt;1,"",SUMIFS($H:$H,$C:$C,$C2402,$D:$D,"P0(전)"))</f>
        <v/>
      </c>
      <c r="O2402" s="30">
        <f>IF(COUNTIFS($C:$C,$C2402,$D:$D,"P0(전)",$L:$L,"&gt;0")&lt;&gt;1,"",SUMIFS($L:$L,$C:$C,$C2402,$D:$D,"P0(전)"))</f>
        <v/>
      </c>
      <c r="P2402" s="45">
        <f>IF(COUNTIFS($C:$C,$C2402,$D:$D,"P0(후)",$L:$L,"&gt;0")&lt;&gt;1,"",SUMIFS($H:$H,$C:$C,$C2402,$D:$D,"P0(후)"))</f>
        <v/>
      </c>
      <c r="Q2402" s="30">
        <f>IF(COUNTIFS($C:$C,$C2402,$D:$D,"P0(후)",$L:$L,"&gt;0")&lt;&gt;1,"",SUMIFS($L:$L,$C:$C,$C2402,$D:$D,"P0(후)"))</f>
        <v/>
      </c>
      <c r="R2402" s="30">
        <f>IF(M2402&lt;&gt;"OK","",O2402+(Q2402-O2402)*(H2402-N2402)/(P2402-N2402))</f>
        <v/>
      </c>
      <c r="S2402" s="30">
        <f>IF(OR(M2402&lt;&gt;"OK",NOT(ISNUMBER(L2402))),"",L2402-R2402)</f>
        <v/>
      </c>
      <c r="T2402" s="46">
        <f>IF(OR(NOT(ISNUMBER(S2402)),IF(ISNUMBER(G2402),G2402,F2402)=0),"",S2402/IF(ISNUMBER(G2402),G2402,F2402))</f>
        <v/>
      </c>
      <c r="U2402" s="46">
        <f>IF(ISNUMBER(T2402),ABS(T2402),"")</f>
        <v/>
      </c>
      <c r="V2402" s="46">
        <f>IF(OR($D2401&lt;&gt;"측정",$C2401&lt;&gt;$C2402,NOT(ISNUMBER(L2402)),NOT(ISNUMBER(L2401)),(IF(ISNUMBER(G2402),G2402,F2402)-IF(ISNUMBER(G2401),G2401,F2401))=0),"",(L2402-L2401)/(IF(ISNUMBER(G2402),G2402,F2402)-IF(ISNUMBER(G2401),G2401,F2401)))</f>
        <v/>
      </c>
      <c r="W2402" s="30">
        <f>IF(NOT(AND(ISNUMBER(N2402),ISNUMBER(P2402))),"",(P2402-N2402)*1440)</f>
        <v/>
      </c>
      <c r="X2402" s="28" t="n"/>
      <c r="Y2402" s="28" t="n"/>
      <c r="Z2402" s="28" t="n"/>
      <c r="AA2402" s="31" t="n"/>
      <c r="AB2402" s="31" t="n"/>
    </row>
    <row r="2403">
      <c r="A2403" s="25" t="inlineStr">
        <is>
          <t>S47</t>
        </is>
      </c>
      <c r="B2403" s="25" t="inlineStr">
        <is>
          <t>봉평</t>
        </is>
      </c>
      <c r="C2403" s="25" t="inlineStr">
        <is>
          <t>S47-H동</t>
        </is>
      </c>
      <c r="D2403" s="25" t="inlineStr">
        <is>
          <t>측정</t>
        </is>
      </c>
      <c r="E2403" s="25" t="inlineStr">
        <is>
          <t>동</t>
        </is>
      </c>
      <c r="F2403" s="30" t="n">
        <v>5</v>
      </c>
      <c r="G2403" s="29" t="n"/>
      <c r="H2403" s="42" t="n"/>
      <c r="I2403" s="40" t="n"/>
      <c r="J2403" s="40" t="n"/>
      <c r="K2403" s="40" t="n"/>
      <c r="L2403" s="30">
        <f>IF(COUNT(I2403:K2403)=0,"",MEDIAN(I2403:K2403))</f>
        <v/>
      </c>
      <c r="M2403" s="25">
        <f>IF(COUNTIFS($C:$C,$C2403,$D:$D,"P0(전)",$L:$L,"&gt;0")&lt;&gt;1,"P0(전) 유효 1개 아님",IF(COUNTIFS($C:$C,$C2403,$D:$D,"P0(후)",$L:$L,"&gt;0")&lt;&gt;1,"P0(후) 유효 1개 아님",IF(NOT(AND(ISNUMBER(N2403),ISNUMBER(P2403),ISNUMBER(H2403))),"시각 결측",IF(P2403&lt;=N2403,"P0 시각 역전",IF(OR(H2403&lt;N2403,H2403&gt;P2403),"측정시각 구간 밖","OK")))))</f>
        <v/>
      </c>
      <c r="N2403" s="45">
        <f>IF(COUNTIFS($C:$C,$C2403,$D:$D,"P0(전)",$L:$L,"&gt;0")&lt;&gt;1,"",SUMIFS($H:$H,$C:$C,$C2403,$D:$D,"P0(전)"))</f>
        <v/>
      </c>
      <c r="O2403" s="30">
        <f>IF(COUNTIFS($C:$C,$C2403,$D:$D,"P0(전)",$L:$L,"&gt;0")&lt;&gt;1,"",SUMIFS($L:$L,$C:$C,$C2403,$D:$D,"P0(전)"))</f>
        <v/>
      </c>
      <c r="P2403" s="45">
        <f>IF(COUNTIFS($C:$C,$C2403,$D:$D,"P0(후)",$L:$L,"&gt;0")&lt;&gt;1,"",SUMIFS($H:$H,$C:$C,$C2403,$D:$D,"P0(후)"))</f>
        <v/>
      </c>
      <c r="Q2403" s="30">
        <f>IF(COUNTIFS($C:$C,$C2403,$D:$D,"P0(후)",$L:$L,"&gt;0")&lt;&gt;1,"",SUMIFS($L:$L,$C:$C,$C2403,$D:$D,"P0(후)"))</f>
        <v/>
      </c>
      <c r="R2403" s="30">
        <f>IF(M2403&lt;&gt;"OK","",O2403+(Q2403-O2403)*(H2403-N2403)/(P2403-N2403))</f>
        <v/>
      </c>
      <c r="S2403" s="30">
        <f>IF(OR(M2403&lt;&gt;"OK",NOT(ISNUMBER(L2403))),"",L2403-R2403)</f>
        <v/>
      </c>
      <c r="T2403" s="46">
        <f>IF(OR(NOT(ISNUMBER(S2403)),IF(ISNUMBER(G2403),G2403,F2403)=0),"",S2403/IF(ISNUMBER(G2403),G2403,F2403))</f>
        <v/>
      </c>
      <c r="U2403" s="46">
        <f>IF(ISNUMBER(T2403),ABS(T2403),"")</f>
        <v/>
      </c>
      <c r="V2403" s="46">
        <f>IF(OR($D2402&lt;&gt;"측정",$C2402&lt;&gt;$C2403,NOT(ISNUMBER(L2403)),NOT(ISNUMBER(L2402)),(IF(ISNUMBER(G2403),G2403,F2403)-IF(ISNUMBER(G2402),G2402,F2402))=0),"",(L2403-L2402)/(IF(ISNUMBER(G2403),G2403,F2403)-IF(ISNUMBER(G2402),G2402,F2402)))</f>
        <v/>
      </c>
      <c r="W2403" s="30">
        <f>IF(NOT(AND(ISNUMBER(N2403),ISNUMBER(P2403))),"",(P2403-N2403)*1440)</f>
        <v/>
      </c>
      <c r="X2403" s="28" t="n"/>
      <c r="Y2403" s="28" t="n"/>
      <c r="Z2403" s="28" t="n"/>
      <c r="AA2403" s="31" t="n"/>
      <c r="AB2403" s="31" t="n"/>
    </row>
    <row r="2404">
      <c r="A2404" s="25" t="inlineStr">
        <is>
          <t>S47</t>
        </is>
      </c>
      <c r="B2404" s="25" t="inlineStr">
        <is>
          <t>봉평</t>
        </is>
      </c>
      <c r="C2404" s="25" t="inlineStr">
        <is>
          <t>S47-H동</t>
        </is>
      </c>
      <c r="D2404" s="25" t="inlineStr">
        <is>
          <t>측정</t>
        </is>
      </c>
      <c r="E2404" s="25" t="inlineStr">
        <is>
          <t>동</t>
        </is>
      </c>
      <c r="F2404" s="30" t="n">
        <v>6</v>
      </c>
      <c r="G2404" s="29" t="n"/>
      <c r="H2404" s="42" t="n"/>
      <c r="I2404" s="40" t="n"/>
      <c r="J2404" s="40" t="n"/>
      <c r="K2404" s="40" t="n"/>
      <c r="L2404" s="30">
        <f>IF(COUNT(I2404:K2404)=0,"",MEDIAN(I2404:K2404))</f>
        <v/>
      </c>
      <c r="M2404" s="25">
        <f>IF(COUNTIFS($C:$C,$C2404,$D:$D,"P0(전)",$L:$L,"&gt;0")&lt;&gt;1,"P0(전) 유효 1개 아님",IF(COUNTIFS($C:$C,$C2404,$D:$D,"P0(후)",$L:$L,"&gt;0")&lt;&gt;1,"P0(후) 유효 1개 아님",IF(NOT(AND(ISNUMBER(N2404),ISNUMBER(P2404),ISNUMBER(H2404))),"시각 결측",IF(P2404&lt;=N2404,"P0 시각 역전",IF(OR(H2404&lt;N2404,H2404&gt;P2404),"측정시각 구간 밖","OK")))))</f>
        <v/>
      </c>
      <c r="N2404" s="45">
        <f>IF(COUNTIFS($C:$C,$C2404,$D:$D,"P0(전)",$L:$L,"&gt;0")&lt;&gt;1,"",SUMIFS($H:$H,$C:$C,$C2404,$D:$D,"P0(전)"))</f>
        <v/>
      </c>
      <c r="O2404" s="30">
        <f>IF(COUNTIFS($C:$C,$C2404,$D:$D,"P0(전)",$L:$L,"&gt;0")&lt;&gt;1,"",SUMIFS($L:$L,$C:$C,$C2404,$D:$D,"P0(전)"))</f>
        <v/>
      </c>
      <c r="P2404" s="45">
        <f>IF(COUNTIFS($C:$C,$C2404,$D:$D,"P0(후)",$L:$L,"&gt;0")&lt;&gt;1,"",SUMIFS($H:$H,$C:$C,$C2404,$D:$D,"P0(후)"))</f>
        <v/>
      </c>
      <c r="Q2404" s="30">
        <f>IF(COUNTIFS($C:$C,$C2404,$D:$D,"P0(후)",$L:$L,"&gt;0")&lt;&gt;1,"",SUMIFS($L:$L,$C:$C,$C2404,$D:$D,"P0(후)"))</f>
        <v/>
      </c>
      <c r="R2404" s="30">
        <f>IF(M2404&lt;&gt;"OK","",O2404+(Q2404-O2404)*(H2404-N2404)/(P2404-N2404))</f>
        <v/>
      </c>
      <c r="S2404" s="30">
        <f>IF(OR(M2404&lt;&gt;"OK",NOT(ISNUMBER(L2404))),"",L2404-R2404)</f>
        <v/>
      </c>
      <c r="T2404" s="46">
        <f>IF(OR(NOT(ISNUMBER(S2404)),IF(ISNUMBER(G2404),G2404,F2404)=0),"",S2404/IF(ISNUMBER(G2404),G2404,F2404))</f>
        <v/>
      </c>
      <c r="U2404" s="46">
        <f>IF(ISNUMBER(T2404),ABS(T2404),"")</f>
        <v/>
      </c>
      <c r="V2404" s="46">
        <f>IF(OR($D2403&lt;&gt;"측정",$C2403&lt;&gt;$C2404,NOT(ISNUMBER(L2404)),NOT(ISNUMBER(L2403)),(IF(ISNUMBER(G2404),G2404,F2404)-IF(ISNUMBER(G2403),G2403,F2403))=0),"",(L2404-L2403)/(IF(ISNUMBER(G2404),G2404,F2404)-IF(ISNUMBER(G2403),G2403,F2403)))</f>
        <v/>
      </c>
      <c r="W2404" s="30">
        <f>IF(NOT(AND(ISNUMBER(N2404),ISNUMBER(P2404))),"",(P2404-N2404)*1440)</f>
        <v/>
      </c>
      <c r="X2404" s="28" t="n"/>
      <c r="Y2404" s="28" t="n"/>
      <c r="Z2404" s="28" t="n"/>
      <c r="AA2404" s="31" t="n"/>
      <c r="AB2404" s="31" t="n"/>
    </row>
    <row r="2405">
      <c r="A2405" s="25" t="inlineStr">
        <is>
          <t>S47</t>
        </is>
      </c>
      <c r="B2405" s="25" t="inlineStr">
        <is>
          <t>봉평</t>
        </is>
      </c>
      <c r="C2405" s="25" t="inlineStr">
        <is>
          <t>S47-H동</t>
        </is>
      </c>
      <c r="D2405" s="25" t="inlineStr">
        <is>
          <t>측정</t>
        </is>
      </c>
      <c r="E2405" s="25" t="inlineStr">
        <is>
          <t>동</t>
        </is>
      </c>
      <c r="F2405" s="30" t="n">
        <v>7</v>
      </c>
      <c r="G2405" s="29" t="n"/>
      <c r="H2405" s="42" t="n"/>
      <c r="I2405" s="40" t="n"/>
      <c r="J2405" s="40" t="n"/>
      <c r="K2405" s="40" t="n"/>
      <c r="L2405" s="30">
        <f>IF(COUNT(I2405:K2405)=0,"",MEDIAN(I2405:K2405))</f>
        <v/>
      </c>
      <c r="M2405" s="25">
        <f>IF(COUNTIFS($C:$C,$C2405,$D:$D,"P0(전)",$L:$L,"&gt;0")&lt;&gt;1,"P0(전) 유효 1개 아님",IF(COUNTIFS($C:$C,$C2405,$D:$D,"P0(후)",$L:$L,"&gt;0")&lt;&gt;1,"P0(후) 유효 1개 아님",IF(NOT(AND(ISNUMBER(N2405),ISNUMBER(P2405),ISNUMBER(H2405))),"시각 결측",IF(P2405&lt;=N2405,"P0 시각 역전",IF(OR(H2405&lt;N2405,H2405&gt;P2405),"측정시각 구간 밖","OK")))))</f>
        <v/>
      </c>
      <c r="N2405" s="45">
        <f>IF(COUNTIFS($C:$C,$C2405,$D:$D,"P0(전)",$L:$L,"&gt;0")&lt;&gt;1,"",SUMIFS($H:$H,$C:$C,$C2405,$D:$D,"P0(전)"))</f>
        <v/>
      </c>
      <c r="O2405" s="30">
        <f>IF(COUNTIFS($C:$C,$C2405,$D:$D,"P0(전)",$L:$L,"&gt;0")&lt;&gt;1,"",SUMIFS($L:$L,$C:$C,$C2405,$D:$D,"P0(전)"))</f>
        <v/>
      </c>
      <c r="P2405" s="45">
        <f>IF(COUNTIFS($C:$C,$C2405,$D:$D,"P0(후)",$L:$L,"&gt;0")&lt;&gt;1,"",SUMIFS($H:$H,$C:$C,$C2405,$D:$D,"P0(후)"))</f>
        <v/>
      </c>
      <c r="Q2405" s="30">
        <f>IF(COUNTIFS($C:$C,$C2405,$D:$D,"P0(후)",$L:$L,"&gt;0")&lt;&gt;1,"",SUMIFS($L:$L,$C:$C,$C2405,$D:$D,"P0(후)"))</f>
        <v/>
      </c>
      <c r="R2405" s="30">
        <f>IF(M2405&lt;&gt;"OK","",O2405+(Q2405-O2405)*(H2405-N2405)/(P2405-N2405))</f>
        <v/>
      </c>
      <c r="S2405" s="30">
        <f>IF(OR(M2405&lt;&gt;"OK",NOT(ISNUMBER(L2405))),"",L2405-R2405)</f>
        <v/>
      </c>
      <c r="T2405" s="46">
        <f>IF(OR(NOT(ISNUMBER(S2405)),IF(ISNUMBER(G2405),G2405,F2405)=0),"",S2405/IF(ISNUMBER(G2405),G2405,F2405))</f>
        <v/>
      </c>
      <c r="U2405" s="46">
        <f>IF(ISNUMBER(T2405),ABS(T2405),"")</f>
        <v/>
      </c>
      <c r="V2405" s="46">
        <f>IF(OR($D2404&lt;&gt;"측정",$C2404&lt;&gt;$C2405,NOT(ISNUMBER(L2405)),NOT(ISNUMBER(L2404)),(IF(ISNUMBER(G2405),G2405,F2405)-IF(ISNUMBER(G2404),G2404,F2404))=0),"",(L2405-L2404)/(IF(ISNUMBER(G2405),G2405,F2405)-IF(ISNUMBER(G2404),G2404,F2404)))</f>
        <v/>
      </c>
      <c r="W2405" s="30">
        <f>IF(NOT(AND(ISNUMBER(N2405),ISNUMBER(P2405))),"",(P2405-N2405)*1440)</f>
        <v/>
      </c>
      <c r="X2405" s="28" t="n"/>
      <c r="Y2405" s="28" t="n"/>
      <c r="Z2405" s="28" t="n"/>
      <c r="AA2405" s="31" t="n"/>
      <c r="AB2405" s="31" t="n"/>
    </row>
    <row r="2406">
      <c r="A2406" s="25" t="inlineStr">
        <is>
          <t>S47</t>
        </is>
      </c>
      <c r="B2406" s="25" t="inlineStr">
        <is>
          <t>봉평</t>
        </is>
      </c>
      <c r="C2406" s="25" t="inlineStr">
        <is>
          <t>S47-H동</t>
        </is>
      </c>
      <c r="D2406" s="25" t="inlineStr">
        <is>
          <t>측정</t>
        </is>
      </c>
      <c r="E2406" s="25" t="inlineStr">
        <is>
          <t>동</t>
        </is>
      </c>
      <c r="F2406" s="30" t="n">
        <v>8</v>
      </c>
      <c r="G2406" s="29" t="n"/>
      <c r="H2406" s="42" t="n"/>
      <c r="I2406" s="40" t="n"/>
      <c r="J2406" s="40" t="n"/>
      <c r="K2406" s="40" t="n"/>
      <c r="L2406" s="30">
        <f>IF(COUNT(I2406:K2406)=0,"",MEDIAN(I2406:K2406))</f>
        <v/>
      </c>
      <c r="M2406" s="25">
        <f>IF(COUNTIFS($C:$C,$C2406,$D:$D,"P0(전)",$L:$L,"&gt;0")&lt;&gt;1,"P0(전) 유효 1개 아님",IF(COUNTIFS($C:$C,$C2406,$D:$D,"P0(후)",$L:$L,"&gt;0")&lt;&gt;1,"P0(후) 유효 1개 아님",IF(NOT(AND(ISNUMBER(N2406),ISNUMBER(P2406),ISNUMBER(H2406))),"시각 결측",IF(P2406&lt;=N2406,"P0 시각 역전",IF(OR(H2406&lt;N2406,H2406&gt;P2406),"측정시각 구간 밖","OK")))))</f>
        <v/>
      </c>
      <c r="N2406" s="45">
        <f>IF(COUNTIFS($C:$C,$C2406,$D:$D,"P0(전)",$L:$L,"&gt;0")&lt;&gt;1,"",SUMIFS($H:$H,$C:$C,$C2406,$D:$D,"P0(전)"))</f>
        <v/>
      </c>
      <c r="O2406" s="30">
        <f>IF(COUNTIFS($C:$C,$C2406,$D:$D,"P0(전)",$L:$L,"&gt;0")&lt;&gt;1,"",SUMIFS($L:$L,$C:$C,$C2406,$D:$D,"P0(전)"))</f>
        <v/>
      </c>
      <c r="P2406" s="45">
        <f>IF(COUNTIFS($C:$C,$C2406,$D:$D,"P0(후)",$L:$L,"&gt;0")&lt;&gt;1,"",SUMIFS($H:$H,$C:$C,$C2406,$D:$D,"P0(후)"))</f>
        <v/>
      </c>
      <c r="Q2406" s="30">
        <f>IF(COUNTIFS($C:$C,$C2406,$D:$D,"P0(후)",$L:$L,"&gt;0")&lt;&gt;1,"",SUMIFS($L:$L,$C:$C,$C2406,$D:$D,"P0(후)"))</f>
        <v/>
      </c>
      <c r="R2406" s="30">
        <f>IF(M2406&lt;&gt;"OK","",O2406+(Q2406-O2406)*(H2406-N2406)/(P2406-N2406))</f>
        <v/>
      </c>
      <c r="S2406" s="30">
        <f>IF(OR(M2406&lt;&gt;"OK",NOT(ISNUMBER(L2406))),"",L2406-R2406)</f>
        <v/>
      </c>
      <c r="T2406" s="46">
        <f>IF(OR(NOT(ISNUMBER(S2406)),IF(ISNUMBER(G2406),G2406,F2406)=0),"",S2406/IF(ISNUMBER(G2406),G2406,F2406))</f>
        <v/>
      </c>
      <c r="U2406" s="46">
        <f>IF(ISNUMBER(T2406),ABS(T2406),"")</f>
        <v/>
      </c>
      <c r="V2406" s="46">
        <f>IF(OR($D2405&lt;&gt;"측정",$C2405&lt;&gt;$C2406,NOT(ISNUMBER(L2406)),NOT(ISNUMBER(L2405)),(IF(ISNUMBER(G2406),G2406,F2406)-IF(ISNUMBER(G2405),G2405,F2405))=0),"",(L2406-L2405)/(IF(ISNUMBER(G2406),G2406,F2406)-IF(ISNUMBER(G2405),G2405,F2405)))</f>
        <v/>
      </c>
      <c r="W2406" s="30">
        <f>IF(NOT(AND(ISNUMBER(N2406),ISNUMBER(P2406))),"",(P2406-N2406)*1440)</f>
        <v/>
      </c>
      <c r="X2406" s="28" t="n"/>
      <c r="Y2406" s="28" t="n"/>
      <c r="Z2406" s="28" t="n"/>
      <c r="AA2406" s="31" t="n"/>
      <c r="AB2406" s="31" t="n"/>
    </row>
    <row r="2407">
      <c r="A2407" s="25" t="inlineStr">
        <is>
          <t>S47</t>
        </is>
      </c>
      <c r="B2407" s="25" t="inlineStr">
        <is>
          <t>봉평</t>
        </is>
      </c>
      <c r="C2407" s="25" t="inlineStr">
        <is>
          <t>S47-H동</t>
        </is>
      </c>
      <c r="D2407" s="25" t="inlineStr">
        <is>
          <t>측정</t>
        </is>
      </c>
      <c r="E2407" s="25" t="inlineStr">
        <is>
          <t>동</t>
        </is>
      </c>
      <c r="F2407" s="30" t="n">
        <v>9</v>
      </c>
      <c r="G2407" s="29" t="n"/>
      <c r="H2407" s="42" t="n"/>
      <c r="I2407" s="40" t="n"/>
      <c r="J2407" s="40" t="n"/>
      <c r="K2407" s="40" t="n"/>
      <c r="L2407" s="30">
        <f>IF(COUNT(I2407:K2407)=0,"",MEDIAN(I2407:K2407))</f>
        <v/>
      </c>
      <c r="M2407" s="25">
        <f>IF(COUNTIFS($C:$C,$C2407,$D:$D,"P0(전)",$L:$L,"&gt;0")&lt;&gt;1,"P0(전) 유효 1개 아님",IF(COUNTIFS($C:$C,$C2407,$D:$D,"P0(후)",$L:$L,"&gt;0")&lt;&gt;1,"P0(후) 유효 1개 아님",IF(NOT(AND(ISNUMBER(N2407),ISNUMBER(P2407),ISNUMBER(H2407))),"시각 결측",IF(P2407&lt;=N2407,"P0 시각 역전",IF(OR(H2407&lt;N2407,H2407&gt;P2407),"측정시각 구간 밖","OK")))))</f>
        <v/>
      </c>
      <c r="N2407" s="45">
        <f>IF(COUNTIFS($C:$C,$C2407,$D:$D,"P0(전)",$L:$L,"&gt;0")&lt;&gt;1,"",SUMIFS($H:$H,$C:$C,$C2407,$D:$D,"P0(전)"))</f>
        <v/>
      </c>
      <c r="O2407" s="30">
        <f>IF(COUNTIFS($C:$C,$C2407,$D:$D,"P0(전)",$L:$L,"&gt;0")&lt;&gt;1,"",SUMIFS($L:$L,$C:$C,$C2407,$D:$D,"P0(전)"))</f>
        <v/>
      </c>
      <c r="P2407" s="45">
        <f>IF(COUNTIFS($C:$C,$C2407,$D:$D,"P0(후)",$L:$L,"&gt;0")&lt;&gt;1,"",SUMIFS($H:$H,$C:$C,$C2407,$D:$D,"P0(후)"))</f>
        <v/>
      </c>
      <c r="Q2407" s="30">
        <f>IF(COUNTIFS($C:$C,$C2407,$D:$D,"P0(후)",$L:$L,"&gt;0")&lt;&gt;1,"",SUMIFS($L:$L,$C:$C,$C2407,$D:$D,"P0(후)"))</f>
        <v/>
      </c>
      <c r="R2407" s="30">
        <f>IF(M2407&lt;&gt;"OK","",O2407+(Q2407-O2407)*(H2407-N2407)/(P2407-N2407))</f>
        <v/>
      </c>
      <c r="S2407" s="30">
        <f>IF(OR(M2407&lt;&gt;"OK",NOT(ISNUMBER(L2407))),"",L2407-R2407)</f>
        <v/>
      </c>
      <c r="T2407" s="46">
        <f>IF(OR(NOT(ISNUMBER(S2407)),IF(ISNUMBER(G2407),G2407,F2407)=0),"",S2407/IF(ISNUMBER(G2407),G2407,F2407))</f>
        <v/>
      </c>
      <c r="U2407" s="46">
        <f>IF(ISNUMBER(T2407),ABS(T2407),"")</f>
        <v/>
      </c>
      <c r="V2407" s="46">
        <f>IF(OR($D2406&lt;&gt;"측정",$C2406&lt;&gt;$C2407,NOT(ISNUMBER(L2407)),NOT(ISNUMBER(L2406)),(IF(ISNUMBER(G2407),G2407,F2407)-IF(ISNUMBER(G2406),G2406,F2406))=0),"",(L2407-L2406)/(IF(ISNUMBER(G2407),G2407,F2407)-IF(ISNUMBER(G2406),G2406,F2406)))</f>
        <v/>
      </c>
      <c r="W2407" s="30">
        <f>IF(NOT(AND(ISNUMBER(N2407),ISNUMBER(P2407))),"",(P2407-N2407)*1440)</f>
        <v/>
      </c>
      <c r="X2407" s="28" t="n"/>
      <c r="Y2407" s="28" t="n"/>
      <c r="Z2407" s="28" t="n"/>
      <c r="AA2407" s="31" t="n"/>
      <c r="AB2407" s="31" t="n"/>
    </row>
    <row r="2408">
      <c r="A2408" s="25" t="inlineStr">
        <is>
          <t>S47</t>
        </is>
      </c>
      <c r="B2408" s="25" t="inlineStr">
        <is>
          <t>봉평</t>
        </is>
      </c>
      <c r="C2408" s="25" t="inlineStr">
        <is>
          <t>S47-H동</t>
        </is>
      </c>
      <c r="D2408" s="25" t="inlineStr">
        <is>
          <t>측정</t>
        </is>
      </c>
      <c r="E2408" s="25" t="inlineStr">
        <is>
          <t>동</t>
        </is>
      </c>
      <c r="F2408" s="30" t="n">
        <v>10</v>
      </c>
      <c r="G2408" s="29" t="n"/>
      <c r="H2408" s="42" t="n"/>
      <c r="I2408" s="40" t="n"/>
      <c r="J2408" s="40" t="n"/>
      <c r="K2408" s="40" t="n"/>
      <c r="L2408" s="30">
        <f>IF(COUNT(I2408:K2408)=0,"",MEDIAN(I2408:K2408))</f>
        <v/>
      </c>
      <c r="M2408" s="25">
        <f>IF(COUNTIFS($C:$C,$C2408,$D:$D,"P0(전)",$L:$L,"&gt;0")&lt;&gt;1,"P0(전) 유효 1개 아님",IF(COUNTIFS($C:$C,$C2408,$D:$D,"P0(후)",$L:$L,"&gt;0")&lt;&gt;1,"P0(후) 유효 1개 아님",IF(NOT(AND(ISNUMBER(N2408),ISNUMBER(P2408),ISNUMBER(H2408))),"시각 결측",IF(P2408&lt;=N2408,"P0 시각 역전",IF(OR(H2408&lt;N2408,H2408&gt;P2408),"측정시각 구간 밖","OK")))))</f>
        <v/>
      </c>
      <c r="N2408" s="45">
        <f>IF(COUNTIFS($C:$C,$C2408,$D:$D,"P0(전)",$L:$L,"&gt;0")&lt;&gt;1,"",SUMIFS($H:$H,$C:$C,$C2408,$D:$D,"P0(전)"))</f>
        <v/>
      </c>
      <c r="O2408" s="30">
        <f>IF(COUNTIFS($C:$C,$C2408,$D:$D,"P0(전)",$L:$L,"&gt;0")&lt;&gt;1,"",SUMIFS($L:$L,$C:$C,$C2408,$D:$D,"P0(전)"))</f>
        <v/>
      </c>
      <c r="P2408" s="45">
        <f>IF(COUNTIFS($C:$C,$C2408,$D:$D,"P0(후)",$L:$L,"&gt;0")&lt;&gt;1,"",SUMIFS($H:$H,$C:$C,$C2408,$D:$D,"P0(후)"))</f>
        <v/>
      </c>
      <c r="Q2408" s="30">
        <f>IF(COUNTIFS($C:$C,$C2408,$D:$D,"P0(후)",$L:$L,"&gt;0")&lt;&gt;1,"",SUMIFS($L:$L,$C:$C,$C2408,$D:$D,"P0(후)"))</f>
        <v/>
      </c>
      <c r="R2408" s="30">
        <f>IF(M2408&lt;&gt;"OK","",O2408+(Q2408-O2408)*(H2408-N2408)/(P2408-N2408))</f>
        <v/>
      </c>
      <c r="S2408" s="30">
        <f>IF(OR(M2408&lt;&gt;"OK",NOT(ISNUMBER(L2408))),"",L2408-R2408)</f>
        <v/>
      </c>
      <c r="T2408" s="46">
        <f>IF(OR(NOT(ISNUMBER(S2408)),IF(ISNUMBER(G2408),G2408,F2408)=0),"",S2408/IF(ISNUMBER(G2408),G2408,F2408))</f>
        <v/>
      </c>
      <c r="U2408" s="46">
        <f>IF(ISNUMBER(T2408),ABS(T2408),"")</f>
        <v/>
      </c>
      <c r="V2408" s="46">
        <f>IF(OR($D2407&lt;&gt;"측정",$C2407&lt;&gt;$C2408,NOT(ISNUMBER(L2408)),NOT(ISNUMBER(L2407)),(IF(ISNUMBER(G2408),G2408,F2408)-IF(ISNUMBER(G2407),G2407,F2407))=0),"",(L2408-L2407)/(IF(ISNUMBER(G2408),G2408,F2408)-IF(ISNUMBER(G2407),G2407,F2407)))</f>
        <v/>
      </c>
      <c r="W2408" s="30">
        <f>IF(NOT(AND(ISNUMBER(N2408),ISNUMBER(P2408))),"",(P2408-N2408)*1440)</f>
        <v/>
      </c>
      <c r="X2408" s="28" t="n"/>
      <c r="Y2408" s="28" t="n"/>
      <c r="Z2408" s="28" t="n"/>
      <c r="AA2408" s="31" t="n"/>
      <c r="AB2408" s="31" t="n"/>
    </row>
    <row r="2409">
      <c r="A2409" s="43" t="inlineStr">
        <is>
          <t>S47</t>
        </is>
      </c>
      <c r="B2409" s="43" t="inlineStr">
        <is>
          <t>봉평</t>
        </is>
      </c>
      <c r="C2409" s="43" t="inlineStr">
        <is>
          <t>S47-H동</t>
        </is>
      </c>
      <c r="D2409" s="43" t="inlineStr">
        <is>
          <t>P0(후)</t>
        </is>
      </c>
      <c r="E2409" s="43" t="inlineStr">
        <is>
          <t>동</t>
        </is>
      </c>
      <c r="F2409" s="44" t="n"/>
      <c r="G2409" s="29" t="n"/>
      <c r="H2409" s="42" t="n"/>
      <c r="I2409" s="40" t="n"/>
      <c r="J2409" s="40" t="n"/>
      <c r="K2409" s="40" t="n"/>
      <c r="L2409" s="30">
        <f>IF(COUNT(I2409:K2409)=0,"",MEDIAN(I2409:K2409))</f>
        <v/>
      </c>
      <c r="M2409" s="37" t="n"/>
      <c r="N2409" s="37" t="n"/>
      <c r="O2409" s="37" t="n"/>
      <c r="P2409" s="37" t="n"/>
      <c r="Q2409" s="37" t="n"/>
      <c r="R2409" s="37" t="n"/>
      <c r="S2409" s="37" t="n"/>
      <c r="T2409" s="37" t="n"/>
      <c r="U2409" s="37" t="n"/>
      <c r="V2409" s="37" t="n"/>
      <c r="W2409" s="37" t="n"/>
      <c r="X2409" s="28" t="n"/>
      <c r="Y2409" s="28" t="n"/>
      <c r="Z2409" s="28" t="n"/>
      <c r="AA2409" s="31" t="n"/>
      <c r="AB2409" s="31" t="n"/>
    </row>
    <row r="2410">
      <c r="A2410" s="43" t="inlineStr">
        <is>
          <t>S47</t>
        </is>
      </c>
      <c r="B2410" s="43" t="inlineStr">
        <is>
          <t>봉평</t>
        </is>
      </c>
      <c r="C2410" s="43" t="inlineStr">
        <is>
          <t>S47-H서</t>
        </is>
      </c>
      <c r="D2410" s="43" t="inlineStr">
        <is>
          <t>P0(전)</t>
        </is>
      </c>
      <c r="E2410" s="43" t="inlineStr">
        <is>
          <t>서</t>
        </is>
      </c>
      <c r="F2410" s="44" t="n"/>
      <c r="G2410" s="29" t="n"/>
      <c r="H2410" s="42" t="n"/>
      <c r="I2410" s="40" t="n"/>
      <c r="J2410" s="40" t="n"/>
      <c r="K2410" s="40" t="n"/>
      <c r="L2410" s="30">
        <f>IF(COUNT(I2410:K2410)=0,"",MEDIAN(I2410:K2410))</f>
        <v/>
      </c>
      <c r="M2410" s="37" t="n"/>
      <c r="N2410" s="37" t="n"/>
      <c r="O2410" s="37" t="n"/>
      <c r="P2410" s="37" t="n"/>
      <c r="Q2410" s="37" t="n"/>
      <c r="R2410" s="37" t="n"/>
      <c r="S2410" s="37" t="n"/>
      <c r="T2410" s="37" t="n"/>
      <c r="U2410" s="37" t="n"/>
      <c r="V2410" s="37" t="n"/>
      <c r="W2410" s="37" t="n"/>
      <c r="X2410" s="28" t="n"/>
      <c r="Y2410" s="28" t="n"/>
      <c r="Z2410" s="28" t="n"/>
      <c r="AA2410" s="31" t="n"/>
      <c r="AB2410" s="31" t="n"/>
    </row>
    <row r="2411">
      <c r="A2411" s="25" t="inlineStr">
        <is>
          <t>S47</t>
        </is>
      </c>
      <c r="B2411" s="25" t="inlineStr">
        <is>
          <t>봉평</t>
        </is>
      </c>
      <c r="C2411" s="25" t="inlineStr">
        <is>
          <t>S47-H서</t>
        </is>
      </c>
      <c r="D2411" s="25" t="inlineStr">
        <is>
          <t>측정</t>
        </is>
      </c>
      <c r="E2411" s="25" t="inlineStr">
        <is>
          <t>서</t>
        </is>
      </c>
      <c r="F2411" s="30" t="n">
        <v>0.5</v>
      </c>
      <c r="G2411" s="29" t="n"/>
      <c r="H2411" s="42" t="n"/>
      <c r="I2411" s="40" t="n"/>
      <c r="J2411" s="40" t="n"/>
      <c r="K2411" s="40" t="n"/>
      <c r="L2411" s="30">
        <f>IF(COUNT(I2411:K2411)=0,"",MEDIAN(I2411:K2411))</f>
        <v/>
      </c>
      <c r="M2411" s="25">
        <f>IF(COUNTIFS($C:$C,$C2411,$D:$D,"P0(전)",$L:$L,"&gt;0")&lt;&gt;1,"P0(전) 유효 1개 아님",IF(COUNTIFS($C:$C,$C2411,$D:$D,"P0(후)",$L:$L,"&gt;0")&lt;&gt;1,"P0(후) 유효 1개 아님",IF(NOT(AND(ISNUMBER(N2411),ISNUMBER(P2411),ISNUMBER(H2411))),"시각 결측",IF(P2411&lt;=N2411,"P0 시각 역전",IF(OR(H2411&lt;N2411,H2411&gt;P2411),"측정시각 구간 밖","OK")))))</f>
        <v/>
      </c>
      <c r="N2411" s="45">
        <f>IF(COUNTIFS($C:$C,$C2411,$D:$D,"P0(전)",$L:$L,"&gt;0")&lt;&gt;1,"",SUMIFS($H:$H,$C:$C,$C2411,$D:$D,"P0(전)"))</f>
        <v/>
      </c>
      <c r="O2411" s="30">
        <f>IF(COUNTIFS($C:$C,$C2411,$D:$D,"P0(전)",$L:$L,"&gt;0")&lt;&gt;1,"",SUMIFS($L:$L,$C:$C,$C2411,$D:$D,"P0(전)"))</f>
        <v/>
      </c>
      <c r="P2411" s="45">
        <f>IF(COUNTIFS($C:$C,$C2411,$D:$D,"P0(후)",$L:$L,"&gt;0")&lt;&gt;1,"",SUMIFS($H:$H,$C:$C,$C2411,$D:$D,"P0(후)"))</f>
        <v/>
      </c>
      <c r="Q2411" s="30">
        <f>IF(COUNTIFS($C:$C,$C2411,$D:$D,"P0(후)",$L:$L,"&gt;0")&lt;&gt;1,"",SUMIFS($L:$L,$C:$C,$C2411,$D:$D,"P0(후)"))</f>
        <v/>
      </c>
      <c r="R2411" s="30">
        <f>IF(M2411&lt;&gt;"OK","",O2411+(Q2411-O2411)*(H2411-N2411)/(P2411-N2411))</f>
        <v/>
      </c>
      <c r="S2411" s="30">
        <f>IF(OR(M2411&lt;&gt;"OK",NOT(ISNUMBER(L2411))),"",L2411-R2411)</f>
        <v/>
      </c>
      <c r="T2411" s="46">
        <f>IF(OR(NOT(ISNUMBER(S2411)),IF(ISNUMBER(G2411),G2411,F2411)=0),"",S2411/IF(ISNUMBER(G2411),G2411,F2411))</f>
        <v/>
      </c>
      <c r="U2411" s="46">
        <f>IF(ISNUMBER(T2411),ABS(T2411),"")</f>
        <v/>
      </c>
      <c r="V2411" s="46">
        <f>IF(OR($D2410&lt;&gt;"측정",$C2410&lt;&gt;$C2411,NOT(ISNUMBER(L2411)),NOT(ISNUMBER(L2410)),(IF(ISNUMBER(G2411),G2411,F2411)-IF(ISNUMBER(G2410),G2410,F2410))=0),"",(L2411-L2410)/(IF(ISNUMBER(G2411),G2411,F2411)-IF(ISNUMBER(G2410),G2410,F2410)))</f>
        <v/>
      </c>
      <c r="W2411" s="30">
        <f>IF(NOT(AND(ISNUMBER(N2411),ISNUMBER(P2411))),"",(P2411-N2411)*1440)</f>
        <v/>
      </c>
      <c r="X2411" s="28" t="n"/>
      <c r="Y2411" s="28" t="n"/>
      <c r="Z2411" s="28" t="n"/>
      <c r="AA2411" s="31" t="n"/>
      <c r="AB2411" s="31" t="n"/>
    </row>
    <row r="2412">
      <c r="A2412" s="25" t="inlineStr">
        <is>
          <t>S47</t>
        </is>
      </c>
      <c r="B2412" s="25" t="inlineStr">
        <is>
          <t>봉평</t>
        </is>
      </c>
      <c r="C2412" s="25" t="inlineStr">
        <is>
          <t>S47-H서</t>
        </is>
      </c>
      <c r="D2412" s="25" t="inlineStr">
        <is>
          <t>측정</t>
        </is>
      </c>
      <c r="E2412" s="25" t="inlineStr">
        <is>
          <t>서</t>
        </is>
      </c>
      <c r="F2412" s="30" t="n">
        <v>1</v>
      </c>
      <c r="G2412" s="29" t="n"/>
      <c r="H2412" s="42" t="n"/>
      <c r="I2412" s="40" t="n"/>
      <c r="J2412" s="40" t="n"/>
      <c r="K2412" s="40" t="n"/>
      <c r="L2412" s="30">
        <f>IF(COUNT(I2412:K2412)=0,"",MEDIAN(I2412:K2412))</f>
        <v/>
      </c>
      <c r="M2412" s="25">
        <f>IF(COUNTIFS($C:$C,$C2412,$D:$D,"P0(전)",$L:$L,"&gt;0")&lt;&gt;1,"P0(전) 유효 1개 아님",IF(COUNTIFS($C:$C,$C2412,$D:$D,"P0(후)",$L:$L,"&gt;0")&lt;&gt;1,"P0(후) 유효 1개 아님",IF(NOT(AND(ISNUMBER(N2412),ISNUMBER(P2412),ISNUMBER(H2412))),"시각 결측",IF(P2412&lt;=N2412,"P0 시각 역전",IF(OR(H2412&lt;N2412,H2412&gt;P2412),"측정시각 구간 밖","OK")))))</f>
        <v/>
      </c>
      <c r="N2412" s="45">
        <f>IF(COUNTIFS($C:$C,$C2412,$D:$D,"P0(전)",$L:$L,"&gt;0")&lt;&gt;1,"",SUMIFS($H:$H,$C:$C,$C2412,$D:$D,"P0(전)"))</f>
        <v/>
      </c>
      <c r="O2412" s="30">
        <f>IF(COUNTIFS($C:$C,$C2412,$D:$D,"P0(전)",$L:$L,"&gt;0")&lt;&gt;1,"",SUMIFS($L:$L,$C:$C,$C2412,$D:$D,"P0(전)"))</f>
        <v/>
      </c>
      <c r="P2412" s="45">
        <f>IF(COUNTIFS($C:$C,$C2412,$D:$D,"P0(후)",$L:$L,"&gt;0")&lt;&gt;1,"",SUMIFS($H:$H,$C:$C,$C2412,$D:$D,"P0(후)"))</f>
        <v/>
      </c>
      <c r="Q2412" s="30">
        <f>IF(COUNTIFS($C:$C,$C2412,$D:$D,"P0(후)",$L:$L,"&gt;0")&lt;&gt;1,"",SUMIFS($L:$L,$C:$C,$C2412,$D:$D,"P0(후)"))</f>
        <v/>
      </c>
      <c r="R2412" s="30">
        <f>IF(M2412&lt;&gt;"OK","",O2412+(Q2412-O2412)*(H2412-N2412)/(P2412-N2412))</f>
        <v/>
      </c>
      <c r="S2412" s="30">
        <f>IF(OR(M2412&lt;&gt;"OK",NOT(ISNUMBER(L2412))),"",L2412-R2412)</f>
        <v/>
      </c>
      <c r="T2412" s="46">
        <f>IF(OR(NOT(ISNUMBER(S2412)),IF(ISNUMBER(G2412),G2412,F2412)=0),"",S2412/IF(ISNUMBER(G2412),G2412,F2412))</f>
        <v/>
      </c>
      <c r="U2412" s="46">
        <f>IF(ISNUMBER(T2412),ABS(T2412),"")</f>
        <v/>
      </c>
      <c r="V2412" s="46">
        <f>IF(OR($D2411&lt;&gt;"측정",$C2411&lt;&gt;$C2412,NOT(ISNUMBER(L2412)),NOT(ISNUMBER(L2411)),(IF(ISNUMBER(G2412),G2412,F2412)-IF(ISNUMBER(G2411),G2411,F2411))=0),"",(L2412-L2411)/(IF(ISNUMBER(G2412),G2412,F2412)-IF(ISNUMBER(G2411),G2411,F2411)))</f>
        <v/>
      </c>
      <c r="W2412" s="30">
        <f>IF(NOT(AND(ISNUMBER(N2412),ISNUMBER(P2412))),"",(P2412-N2412)*1440)</f>
        <v/>
      </c>
      <c r="X2412" s="28" t="n"/>
      <c r="Y2412" s="28" t="n"/>
      <c r="Z2412" s="28" t="n"/>
      <c r="AA2412" s="31" t="n"/>
      <c r="AB2412" s="31" t="n"/>
    </row>
    <row r="2413">
      <c r="A2413" s="25" t="inlineStr">
        <is>
          <t>S47</t>
        </is>
      </c>
      <c r="B2413" s="25" t="inlineStr">
        <is>
          <t>봉평</t>
        </is>
      </c>
      <c r="C2413" s="25" t="inlineStr">
        <is>
          <t>S47-H서</t>
        </is>
      </c>
      <c r="D2413" s="25" t="inlineStr">
        <is>
          <t>측정</t>
        </is>
      </c>
      <c r="E2413" s="25" t="inlineStr">
        <is>
          <t>서</t>
        </is>
      </c>
      <c r="F2413" s="30" t="n">
        <v>2</v>
      </c>
      <c r="G2413" s="29" t="n"/>
      <c r="H2413" s="42" t="n"/>
      <c r="I2413" s="40" t="n"/>
      <c r="J2413" s="40" t="n"/>
      <c r="K2413" s="40" t="n"/>
      <c r="L2413" s="30">
        <f>IF(COUNT(I2413:K2413)=0,"",MEDIAN(I2413:K2413))</f>
        <v/>
      </c>
      <c r="M2413" s="25">
        <f>IF(COUNTIFS($C:$C,$C2413,$D:$D,"P0(전)",$L:$L,"&gt;0")&lt;&gt;1,"P0(전) 유효 1개 아님",IF(COUNTIFS($C:$C,$C2413,$D:$D,"P0(후)",$L:$L,"&gt;0")&lt;&gt;1,"P0(후) 유효 1개 아님",IF(NOT(AND(ISNUMBER(N2413),ISNUMBER(P2413),ISNUMBER(H2413))),"시각 결측",IF(P2413&lt;=N2413,"P0 시각 역전",IF(OR(H2413&lt;N2413,H2413&gt;P2413),"측정시각 구간 밖","OK")))))</f>
        <v/>
      </c>
      <c r="N2413" s="45">
        <f>IF(COUNTIFS($C:$C,$C2413,$D:$D,"P0(전)",$L:$L,"&gt;0")&lt;&gt;1,"",SUMIFS($H:$H,$C:$C,$C2413,$D:$D,"P0(전)"))</f>
        <v/>
      </c>
      <c r="O2413" s="30">
        <f>IF(COUNTIFS($C:$C,$C2413,$D:$D,"P0(전)",$L:$L,"&gt;0")&lt;&gt;1,"",SUMIFS($L:$L,$C:$C,$C2413,$D:$D,"P0(전)"))</f>
        <v/>
      </c>
      <c r="P2413" s="45">
        <f>IF(COUNTIFS($C:$C,$C2413,$D:$D,"P0(후)",$L:$L,"&gt;0")&lt;&gt;1,"",SUMIFS($H:$H,$C:$C,$C2413,$D:$D,"P0(후)"))</f>
        <v/>
      </c>
      <c r="Q2413" s="30">
        <f>IF(COUNTIFS($C:$C,$C2413,$D:$D,"P0(후)",$L:$L,"&gt;0")&lt;&gt;1,"",SUMIFS($L:$L,$C:$C,$C2413,$D:$D,"P0(후)"))</f>
        <v/>
      </c>
      <c r="R2413" s="30">
        <f>IF(M2413&lt;&gt;"OK","",O2413+(Q2413-O2413)*(H2413-N2413)/(P2413-N2413))</f>
        <v/>
      </c>
      <c r="S2413" s="30">
        <f>IF(OR(M2413&lt;&gt;"OK",NOT(ISNUMBER(L2413))),"",L2413-R2413)</f>
        <v/>
      </c>
      <c r="T2413" s="46">
        <f>IF(OR(NOT(ISNUMBER(S2413)),IF(ISNUMBER(G2413),G2413,F2413)=0),"",S2413/IF(ISNUMBER(G2413),G2413,F2413))</f>
        <v/>
      </c>
      <c r="U2413" s="46">
        <f>IF(ISNUMBER(T2413),ABS(T2413),"")</f>
        <v/>
      </c>
      <c r="V2413" s="46">
        <f>IF(OR($D2412&lt;&gt;"측정",$C2412&lt;&gt;$C2413,NOT(ISNUMBER(L2413)),NOT(ISNUMBER(L2412)),(IF(ISNUMBER(G2413),G2413,F2413)-IF(ISNUMBER(G2412),G2412,F2412))=0),"",(L2413-L2412)/(IF(ISNUMBER(G2413),G2413,F2413)-IF(ISNUMBER(G2412),G2412,F2412)))</f>
        <v/>
      </c>
      <c r="W2413" s="30">
        <f>IF(NOT(AND(ISNUMBER(N2413),ISNUMBER(P2413))),"",(P2413-N2413)*1440)</f>
        <v/>
      </c>
      <c r="X2413" s="28" t="n"/>
      <c r="Y2413" s="28" t="n"/>
      <c r="Z2413" s="28" t="n"/>
      <c r="AA2413" s="31" t="n"/>
      <c r="AB2413" s="31" t="n"/>
    </row>
    <row r="2414">
      <c r="A2414" s="25" t="inlineStr">
        <is>
          <t>S47</t>
        </is>
      </c>
      <c r="B2414" s="25" t="inlineStr">
        <is>
          <t>봉평</t>
        </is>
      </c>
      <c r="C2414" s="25" t="inlineStr">
        <is>
          <t>S47-H서</t>
        </is>
      </c>
      <c r="D2414" s="25" t="inlineStr">
        <is>
          <t>측정</t>
        </is>
      </c>
      <c r="E2414" s="25" t="inlineStr">
        <is>
          <t>서</t>
        </is>
      </c>
      <c r="F2414" s="30" t="n">
        <v>3</v>
      </c>
      <c r="G2414" s="29" t="n"/>
      <c r="H2414" s="42" t="n"/>
      <c r="I2414" s="40" t="n"/>
      <c r="J2414" s="40" t="n"/>
      <c r="K2414" s="40" t="n"/>
      <c r="L2414" s="30">
        <f>IF(COUNT(I2414:K2414)=0,"",MEDIAN(I2414:K2414))</f>
        <v/>
      </c>
      <c r="M2414" s="25">
        <f>IF(COUNTIFS($C:$C,$C2414,$D:$D,"P0(전)",$L:$L,"&gt;0")&lt;&gt;1,"P0(전) 유효 1개 아님",IF(COUNTIFS($C:$C,$C2414,$D:$D,"P0(후)",$L:$L,"&gt;0")&lt;&gt;1,"P0(후) 유효 1개 아님",IF(NOT(AND(ISNUMBER(N2414),ISNUMBER(P2414),ISNUMBER(H2414))),"시각 결측",IF(P2414&lt;=N2414,"P0 시각 역전",IF(OR(H2414&lt;N2414,H2414&gt;P2414),"측정시각 구간 밖","OK")))))</f>
        <v/>
      </c>
      <c r="N2414" s="45">
        <f>IF(COUNTIFS($C:$C,$C2414,$D:$D,"P0(전)",$L:$L,"&gt;0")&lt;&gt;1,"",SUMIFS($H:$H,$C:$C,$C2414,$D:$D,"P0(전)"))</f>
        <v/>
      </c>
      <c r="O2414" s="30">
        <f>IF(COUNTIFS($C:$C,$C2414,$D:$D,"P0(전)",$L:$L,"&gt;0")&lt;&gt;1,"",SUMIFS($L:$L,$C:$C,$C2414,$D:$D,"P0(전)"))</f>
        <v/>
      </c>
      <c r="P2414" s="45">
        <f>IF(COUNTIFS($C:$C,$C2414,$D:$D,"P0(후)",$L:$L,"&gt;0")&lt;&gt;1,"",SUMIFS($H:$H,$C:$C,$C2414,$D:$D,"P0(후)"))</f>
        <v/>
      </c>
      <c r="Q2414" s="30">
        <f>IF(COUNTIFS($C:$C,$C2414,$D:$D,"P0(후)",$L:$L,"&gt;0")&lt;&gt;1,"",SUMIFS($L:$L,$C:$C,$C2414,$D:$D,"P0(후)"))</f>
        <v/>
      </c>
      <c r="R2414" s="30">
        <f>IF(M2414&lt;&gt;"OK","",O2414+(Q2414-O2414)*(H2414-N2414)/(P2414-N2414))</f>
        <v/>
      </c>
      <c r="S2414" s="30">
        <f>IF(OR(M2414&lt;&gt;"OK",NOT(ISNUMBER(L2414))),"",L2414-R2414)</f>
        <v/>
      </c>
      <c r="T2414" s="46">
        <f>IF(OR(NOT(ISNUMBER(S2414)),IF(ISNUMBER(G2414),G2414,F2414)=0),"",S2414/IF(ISNUMBER(G2414),G2414,F2414))</f>
        <v/>
      </c>
      <c r="U2414" s="46">
        <f>IF(ISNUMBER(T2414),ABS(T2414),"")</f>
        <v/>
      </c>
      <c r="V2414" s="46">
        <f>IF(OR($D2413&lt;&gt;"측정",$C2413&lt;&gt;$C2414,NOT(ISNUMBER(L2414)),NOT(ISNUMBER(L2413)),(IF(ISNUMBER(G2414),G2414,F2414)-IF(ISNUMBER(G2413),G2413,F2413))=0),"",(L2414-L2413)/(IF(ISNUMBER(G2414),G2414,F2414)-IF(ISNUMBER(G2413),G2413,F2413)))</f>
        <v/>
      </c>
      <c r="W2414" s="30">
        <f>IF(NOT(AND(ISNUMBER(N2414),ISNUMBER(P2414))),"",(P2414-N2414)*1440)</f>
        <v/>
      </c>
      <c r="X2414" s="28" t="n"/>
      <c r="Y2414" s="28" t="n"/>
      <c r="Z2414" s="28" t="n"/>
      <c r="AA2414" s="31" t="n"/>
      <c r="AB2414" s="31" t="n"/>
    </row>
    <row r="2415">
      <c r="A2415" s="25" t="inlineStr">
        <is>
          <t>S47</t>
        </is>
      </c>
      <c r="B2415" s="25" t="inlineStr">
        <is>
          <t>봉평</t>
        </is>
      </c>
      <c r="C2415" s="25" t="inlineStr">
        <is>
          <t>S47-H서</t>
        </is>
      </c>
      <c r="D2415" s="25" t="inlineStr">
        <is>
          <t>측정</t>
        </is>
      </c>
      <c r="E2415" s="25" t="inlineStr">
        <is>
          <t>서</t>
        </is>
      </c>
      <c r="F2415" s="30" t="n">
        <v>4</v>
      </c>
      <c r="G2415" s="29" t="n"/>
      <c r="H2415" s="42" t="n"/>
      <c r="I2415" s="40" t="n"/>
      <c r="J2415" s="40" t="n"/>
      <c r="K2415" s="40" t="n"/>
      <c r="L2415" s="30">
        <f>IF(COUNT(I2415:K2415)=0,"",MEDIAN(I2415:K2415))</f>
        <v/>
      </c>
      <c r="M2415" s="25">
        <f>IF(COUNTIFS($C:$C,$C2415,$D:$D,"P0(전)",$L:$L,"&gt;0")&lt;&gt;1,"P0(전) 유효 1개 아님",IF(COUNTIFS($C:$C,$C2415,$D:$D,"P0(후)",$L:$L,"&gt;0")&lt;&gt;1,"P0(후) 유효 1개 아님",IF(NOT(AND(ISNUMBER(N2415),ISNUMBER(P2415),ISNUMBER(H2415))),"시각 결측",IF(P2415&lt;=N2415,"P0 시각 역전",IF(OR(H2415&lt;N2415,H2415&gt;P2415),"측정시각 구간 밖","OK")))))</f>
        <v/>
      </c>
      <c r="N2415" s="45">
        <f>IF(COUNTIFS($C:$C,$C2415,$D:$D,"P0(전)",$L:$L,"&gt;0")&lt;&gt;1,"",SUMIFS($H:$H,$C:$C,$C2415,$D:$D,"P0(전)"))</f>
        <v/>
      </c>
      <c r="O2415" s="30">
        <f>IF(COUNTIFS($C:$C,$C2415,$D:$D,"P0(전)",$L:$L,"&gt;0")&lt;&gt;1,"",SUMIFS($L:$L,$C:$C,$C2415,$D:$D,"P0(전)"))</f>
        <v/>
      </c>
      <c r="P2415" s="45">
        <f>IF(COUNTIFS($C:$C,$C2415,$D:$D,"P0(후)",$L:$L,"&gt;0")&lt;&gt;1,"",SUMIFS($H:$H,$C:$C,$C2415,$D:$D,"P0(후)"))</f>
        <v/>
      </c>
      <c r="Q2415" s="30">
        <f>IF(COUNTIFS($C:$C,$C2415,$D:$D,"P0(후)",$L:$L,"&gt;0")&lt;&gt;1,"",SUMIFS($L:$L,$C:$C,$C2415,$D:$D,"P0(후)"))</f>
        <v/>
      </c>
      <c r="R2415" s="30">
        <f>IF(M2415&lt;&gt;"OK","",O2415+(Q2415-O2415)*(H2415-N2415)/(P2415-N2415))</f>
        <v/>
      </c>
      <c r="S2415" s="30">
        <f>IF(OR(M2415&lt;&gt;"OK",NOT(ISNUMBER(L2415))),"",L2415-R2415)</f>
        <v/>
      </c>
      <c r="T2415" s="46">
        <f>IF(OR(NOT(ISNUMBER(S2415)),IF(ISNUMBER(G2415),G2415,F2415)=0),"",S2415/IF(ISNUMBER(G2415),G2415,F2415))</f>
        <v/>
      </c>
      <c r="U2415" s="46">
        <f>IF(ISNUMBER(T2415),ABS(T2415),"")</f>
        <v/>
      </c>
      <c r="V2415" s="46">
        <f>IF(OR($D2414&lt;&gt;"측정",$C2414&lt;&gt;$C2415,NOT(ISNUMBER(L2415)),NOT(ISNUMBER(L2414)),(IF(ISNUMBER(G2415),G2415,F2415)-IF(ISNUMBER(G2414),G2414,F2414))=0),"",(L2415-L2414)/(IF(ISNUMBER(G2415),G2415,F2415)-IF(ISNUMBER(G2414),G2414,F2414)))</f>
        <v/>
      </c>
      <c r="W2415" s="30">
        <f>IF(NOT(AND(ISNUMBER(N2415),ISNUMBER(P2415))),"",(P2415-N2415)*1440)</f>
        <v/>
      </c>
      <c r="X2415" s="28" t="n"/>
      <c r="Y2415" s="28" t="n"/>
      <c r="Z2415" s="28" t="n"/>
      <c r="AA2415" s="31" t="n"/>
      <c r="AB2415" s="31" t="n"/>
    </row>
    <row r="2416">
      <c r="A2416" s="25" t="inlineStr">
        <is>
          <t>S47</t>
        </is>
      </c>
      <c r="B2416" s="25" t="inlineStr">
        <is>
          <t>봉평</t>
        </is>
      </c>
      <c r="C2416" s="25" t="inlineStr">
        <is>
          <t>S47-H서</t>
        </is>
      </c>
      <c r="D2416" s="25" t="inlineStr">
        <is>
          <t>측정</t>
        </is>
      </c>
      <c r="E2416" s="25" t="inlineStr">
        <is>
          <t>서</t>
        </is>
      </c>
      <c r="F2416" s="30" t="n">
        <v>5</v>
      </c>
      <c r="G2416" s="29" t="n"/>
      <c r="H2416" s="42" t="n"/>
      <c r="I2416" s="40" t="n"/>
      <c r="J2416" s="40" t="n"/>
      <c r="K2416" s="40" t="n"/>
      <c r="L2416" s="30">
        <f>IF(COUNT(I2416:K2416)=0,"",MEDIAN(I2416:K2416))</f>
        <v/>
      </c>
      <c r="M2416" s="25">
        <f>IF(COUNTIFS($C:$C,$C2416,$D:$D,"P0(전)",$L:$L,"&gt;0")&lt;&gt;1,"P0(전) 유효 1개 아님",IF(COUNTIFS($C:$C,$C2416,$D:$D,"P0(후)",$L:$L,"&gt;0")&lt;&gt;1,"P0(후) 유효 1개 아님",IF(NOT(AND(ISNUMBER(N2416),ISNUMBER(P2416),ISNUMBER(H2416))),"시각 결측",IF(P2416&lt;=N2416,"P0 시각 역전",IF(OR(H2416&lt;N2416,H2416&gt;P2416),"측정시각 구간 밖","OK")))))</f>
        <v/>
      </c>
      <c r="N2416" s="45">
        <f>IF(COUNTIFS($C:$C,$C2416,$D:$D,"P0(전)",$L:$L,"&gt;0")&lt;&gt;1,"",SUMIFS($H:$H,$C:$C,$C2416,$D:$D,"P0(전)"))</f>
        <v/>
      </c>
      <c r="O2416" s="30">
        <f>IF(COUNTIFS($C:$C,$C2416,$D:$D,"P0(전)",$L:$L,"&gt;0")&lt;&gt;1,"",SUMIFS($L:$L,$C:$C,$C2416,$D:$D,"P0(전)"))</f>
        <v/>
      </c>
      <c r="P2416" s="45">
        <f>IF(COUNTIFS($C:$C,$C2416,$D:$D,"P0(후)",$L:$L,"&gt;0")&lt;&gt;1,"",SUMIFS($H:$H,$C:$C,$C2416,$D:$D,"P0(후)"))</f>
        <v/>
      </c>
      <c r="Q2416" s="30">
        <f>IF(COUNTIFS($C:$C,$C2416,$D:$D,"P0(후)",$L:$L,"&gt;0")&lt;&gt;1,"",SUMIFS($L:$L,$C:$C,$C2416,$D:$D,"P0(후)"))</f>
        <v/>
      </c>
      <c r="R2416" s="30">
        <f>IF(M2416&lt;&gt;"OK","",O2416+(Q2416-O2416)*(H2416-N2416)/(P2416-N2416))</f>
        <v/>
      </c>
      <c r="S2416" s="30">
        <f>IF(OR(M2416&lt;&gt;"OK",NOT(ISNUMBER(L2416))),"",L2416-R2416)</f>
        <v/>
      </c>
      <c r="T2416" s="46">
        <f>IF(OR(NOT(ISNUMBER(S2416)),IF(ISNUMBER(G2416),G2416,F2416)=0),"",S2416/IF(ISNUMBER(G2416),G2416,F2416))</f>
        <v/>
      </c>
      <c r="U2416" s="46">
        <f>IF(ISNUMBER(T2416),ABS(T2416),"")</f>
        <v/>
      </c>
      <c r="V2416" s="46">
        <f>IF(OR($D2415&lt;&gt;"측정",$C2415&lt;&gt;$C2416,NOT(ISNUMBER(L2416)),NOT(ISNUMBER(L2415)),(IF(ISNUMBER(G2416),G2416,F2416)-IF(ISNUMBER(G2415),G2415,F2415))=0),"",(L2416-L2415)/(IF(ISNUMBER(G2416),G2416,F2416)-IF(ISNUMBER(G2415),G2415,F2415)))</f>
        <v/>
      </c>
      <c r="W2416" s="30">
        <f>IF(NOT(AND(ISNUMBER(N2416),ISNUMBER(P2416))),"",(P2416-N2416)*1440)</f>
        <v/>
      </c>
      <c r="X2416" s="28" t="n"/>
      <c r="Y2416" s="28" t="n"/>
      <c r="Z2416" s="28" t="n"/>
      <c r="AA2416" s="31" t="n"/>
      <c r="AB2416" s="31" t="n"/>
    </row>
    <row r="2417">
      <c r="A2417" s="25" t="inlineStr">
        <is>
          <t>S47</t>
        </is>
      </c>
      <c r="B2417" s="25" t="inlineStr">
        <is>
          <t>봉평</t>
        </is>
      </c>
      <c r="C2417" s="25" t="inlineStr">
        <is>
          <t>S47-H서</t>
        </is>
      </c>
      <c r="D2417" s="25" t="inlineStr">
        <is>
          <t>측정</t>
        </is>
      </c>
      <c r="E2417" s="25" t="inlineStr">
        <is>
          <t>서</t>
        </is>
      </c>
      <c r="F2417" s="30" t="n">
        <v>6</v>
      </c>
      <c r="G2417" s="29" t="n"/>
      <c r="H2417" s="42" t="n"/>
      <c r="I2417" s="40" t="n"/>
      <c r="J2417" s="40" t="n"/>
      <c r="K2417" s="40" t="n"/>
      <c r="L2417" s="30">
        <f>IF(COUNT(I2417:K2417)=0,"",MEDIAN(I2417:K2417))</f>
        <v/>
      </c>
      <c r="M2417" s="25">
        <f>IF(COUNTIFS($C:$C,$C2417,$D:$D,"P0(전)",$L:$L,"&gt;0")&lt;&gt;1,"P0(전) 유효 1개 아님",IF(COUNTIFS($C:$C,$C2417,$D:$D,"P0(후)",$L:$L,"&gt;0")&lt;&gt;1,"P0(후) 유효 1개 아님",IF(NOT(AND(ISNUMBER(N2417),ISNUMBER(P2417),ISNUMBER(H2417))),"시각 결측",IF(P2417&lt;=N2417,"P0 시각 역전",IF(OR(H2417&lt;N2417,H2417&gt;P2417),"측정시각 구간 밖","OK")))))</f>
        <v/>
      </c>
      <c r="N2417" s="45">
        <f>IF(COUNTIFS($C:$C,$C2417,$D:$D,"P0(전)",$L:$L,"&gt;0")&lt;&gt;1,"",SUMIFS($H:$H,$C:$C,$C2417,$D:$D,"P0(전)"))</f>
        <v/>
      </c>
      <c r="O2417" s="30">
        <f>IF(COUNTIFS($C:$C,$C2417,$D:$D,"P0(전)",$L:$L,"&gt;0")&lt;&gt;1,"",SUMIFS($L:$L,$C:$C,$C2417,$D:$D,"P0(전)"))</f>
        <v/>
      </c>
      <c r="P2417" s="45">
        <f>IF(COUNTIFS($C:$C,$C2417,$D:$D,"P0(후)",$L:$L,"&gt;0")&lt;&gt;1,"",SUMIFS($H:$H,$C:$C,$C2417,$D:$D,"P0(후)"))</f>
        <v/>
      </c>
      <c r="Q2417" s="30">
        <f>IF(COUNTIFS($C:$C,$C2417,$D:$D,"P0(후)",$L:$L,"&gt;0")&lt;&gt;1,"",SUMIFS($L:$L,$C:$C,$C2417,$D:$D,"P0(후)"))</f>
        <v/>
      </c>
      <c r="R2417" s="30">
        <f>IF(M2417&lt;&gt;"OK","",O2417+(Q2417-O2417)*(H2417-N2417)/(P2417-N2417))</f>
        <v/>
      </c>
      <c r="S2417" s="30">
        <f>IF(OR(M2417&lt;&gt;"OK",NOT(ISNUMBER(L2417))),"",L2417-R2417)</f>
        <v/>
      </c>
      <c r="T2417" s="46">
        <f>IF(OR(NOT(ISNUMBER(S2417)),IF(ISNUMBER(G2417),G2417,F2417)=0),"",S2417/IF(ISNUMBER(G2417),G2417,F2417))</f>
        <v/>
      </c>
      <c r="U2417" s="46">
        <f>IF(ISNUMBER(T2417),ABS(T2417),"")</f>
        <v/>
      </c>
      <c r="V2417" s="46">
        <f>IF(OR($D2416&lt;&gt;"측정",$C2416&lt;&gt;$C2417,NOT(ISNUMBER(L2417)),NOT(ISNUMBER(L2416)),(IF(ISNUMBER(G2417),G2417,F2417)-IF(ISNUMBER(G2416),G2416,F2416))=0),"",(L2417-L2416)/(IF(ISNUMBER(G2417),G2417,F2417)-IF(ISNUMBER(G2416),G2416,F2416)))</f>
        <v/>
      </c>
      <c r="W2417" s="30">
        <f>IF(NOT(AND(ISNUMBER(N2417),ISNUMBER(P2417))),"",(P2417-N2417)*1440)</f>
        <v/>
      </c>
      <c r="X2417" s="28" t="n"/>
      <c r="Y2417" s="28" t="n"/>
      <c r="Z2417" s="28" t="n"/>
      <c r="AA2417" s="31" t="n"/>
      <c r="AB2417" s="31" t="n"/>
    </row>
    <row r="2418">
      <c r="A2418" s="25" t="inlineStr">
        <is>
          <t>S47</t>
        </is>
      </c>
      <c r="B2418" s="25" t="inlineStr">
        <is>
          <t>봉평</t>
        </is>
      </c>
      <c r="C2418" s="25" t="inlineStr">
        <is>
          <t>S47-H서</t>
        </is>
      </c>
      <c r="D2418" s="25" t="inlineStr">
        <is>
          <t>측정</t>
        </is>
      </c>
      <c r="E2418" s="25" t="inlineStr">
        <is>
          <t>서</t>
        </is>
      </c>
      <c r="F2418" s="30" t="n">
        <v>7</v>
      </c>
      <c r="G2418" s="29" t="n"/>
      <c r="H2418" s="42" t="n"/>
      <c r="I2418" s="40" t="n"/>
      <c r="J2418" s="40" t="n"/>
      <c r="K2418" s="40" t="n"/>
      <c r="L2418" s="30">
        <f>IF(COUNT(I2418:K2418)=0,"",MEDIAN(I2418:K2418))</f>
        <v/>
      </c>
      <c r="M2418" s="25">
        <f>IF(COUNTIFS($C:$C,$C2418,$D:$D,"P0(전)",$L:$L,"&gt;0")&lt;&gt;1,"P0(전) 유효 1개 아님",IF(COUNTIFS($C:$C,$C2418,$D:$D,"P0(후)",$L:$L,"&gt;0")&lt;&gt;1,"P0(후) 유효 1개 아님",IF(NOT(AND(ISNUMBER(N2418),ISNUMBER(P2418),ISNUMBER(H2418))),"시각 결측",IF(P2418&lt;=N2418,"P0 시각 역전",IF(OR(H2418&lt;N2418,H2418&gt;P2418),"측정시각 구간 밖","OK")))))</f>
        <v/>
      </c>
      <c r="N2418" s="45">
        <f>IF(COUNTIFS($C:$C,$C2418,$D:$D,"P0(전)",$L:$L,"&gt;0")&lt;&gt;1,"",SUMIFS($H:$H,$C:$C,$C2418,$D:$D,"P0(전)"))</f>
        <v/>
      </c>
      <c r="O2418" s="30">
        <f>IF(COUNTIFS($C:$C,$C2418,$D:$D,"P0(전)",$L:$L,"&gt;0")&lt;&gt;1,"",SUMIFS($L:$L,$C:$C,$C2418,$D:$D,"P0(전)"))</f>
        <v/>
      </c>
      <c r="P2418" s="45">
        <f>IF(COUNTIFS($C:$C,$C2418,$D:$D,"P0(후)",$L:$L,"&gt;0")&lt;&gt;1,"",SUMIFS($H:$H,$C:$C,$C2418,$D:$D,"P0(후)"))</f>
        <v/>
      </c>
      <c r="Q2418" s="30">
        <f>IF(COUNTIFS($C:$C,$C2418,$D:$D,"P0(후)",$L:$L,"&gt;0")&lt;&gt;1,"",SUMIFS($L:$L,$C:$C,$C2418,$D:$D,"P0(후)"))</f>
        <v/>
      </c>
      <c r="R2418" s="30">
        <f>IF(M2418&lt;&gt;"OK","",O2418+(Q2418-O2418)*(H2418-N2418)/(P2418-N2418))</f>
        <v/>
      </c>
      <c r="S2418" s="30">
        <f>IF(OR(M2418&lt;&gt;"OK",NOT(ISNUMBER(L2418))),"",L2418-R2418)</f>
        <v/>
      </c>
      <c r="T2418" s="46">
        <f>IF(OR(NOT(ISNUMBER(S2418)),IF(ISNUMBER(G2418),G2418,F2418)=0),"",S2418/IF(ISNUMBER(G2418),G2418,F2418))</f>
        <v/>
      </c>
      <c r="U2418" s="46">
        <f>IF(ISNUMBER(T2418),ABS(T2418),"")</f>
        <v/>
      </c>
      <c r="V2418" s="46">
        <f>IF(OR($D2417&lt;&gt;"측정",$C2417&lt;&gt;$C2418,NOT(ISNUMBER(L2418)),NOT(ISNUMBER(L2417)),(IF(ISNUMBER(G2418),G2418,F2418)-IF(ISNUMBER(G2417),G2417,F2417))=0),"",(L2418-L2417)/(IF(ISNUMBER(G2418),G2418,F2418)-IF(ISNUMBER(G2417),G2417,F2417)))</f>
        <v/>
      </c>
      <c r="W2418" s="30">
        <f>IF(NOT(AND(ISNUMBER(N2418),ISNUMBER(P2418))),"",(P2418-N2418)*1440)</f>
        <v/>
      </c>
      <c r="X2418" s="28" t="n"/>
      <c r="Y2418" s="28" t="n"/>
      <c r="Z2418" s="28" t="n"/>
      <c r="AA2418" s="31" t="n"/>
      <c r="AB2418" s="31" t="n"/>
    </row>
    <row r="2419">
      <c r="A2419" s="25" t="inlineStr">
        <is>
          <t>S47</t>
        </is>
      </c>
      <c r="B2419" s="25" t="inlineStr">
        <is>
          <t>봉평</t>
        </is>
      </c>
      <c r="C2419" s="25" t="inlineStr">
        <is>
          <t>S47-H서</t>
        </is>
      </c>
      <c r="D2419" s="25" t="inlineStr">
        <is>
          <t>측정</t>
        </is>
      </c>
      <c r="E2419" s="25" t="inlineStr">
        <is>
          <t>서</t>
        </is>
      </c>
      <c r="F2419" s="30" t="n">
        <v>8</v>
      </c>
      <c r="G2419" s="29" t="n"/>
      <c r="H2419" s="42" t="n"/>
      <c r="I2419" s="40" t="n"/>
      <c r="J2419" s="40" t="n"/>
      <c r="K2419" s="40" t="n"/>
      <c r="L2419" s="30">
        <f>IF(COUNT(I2419:K2419)=0,"",MEDIAN(I2419:K2419))</f>
        <v/>
      </c>
      <c r="M2419" s="25">
        <f>IF(COUNTIFS($C:$C,$C2419,$D:$D,"P0(전)",$L:$L,"&gt;0")&lt;&gt;1,"P0(전) 유효 1개 아님",IF(COUNTIFS($C:$C,$C2419,$D:$D,"P0(후)",$L:$L,"&gt;0")&lt;&gt;1,"P0(후) 유효 1개 아님",IF(NOT(AND(ISNUMBER(N2419),ISNUMBER(P2419),ISNUMBER(H2419))),"시각 결측",IF(P2419&lt;=N2419,"P0 시각 역전",IF(OR(H2419&lt;N2419,H2419&gt;P2419),"측정시각 구간 밖","OK")))))</f>
        <v/>
      </c>
      <c r="N2419" s="45">
        <f>IF(COUNTIFS($C:$C,$C2419,$D:$D,"P0(전)",$L:$L,"&gt;0")&lt;&gt;1,"",SUMIFS($H:$H,$C:$C,$C2419,$D:$D,"P0(전)"))</f>
        <v/>
      </c>
      <c r="O2419" s="30">
        <f>IF(COUNTIFS($C:$C,$C2419,$D:$D,"P0(전)",$L:$L,"&gt;0")&lt;&gt;1,"",SUMIFS($L:$L,$C:$C,$C2419,$D:$D,"P0(전)"))</f>
        <v/>
      </c>
      <c r="P2419" s="45">
        <f>IF(COUNTIFS($C:$C,$C2419,$D:$D,"P0(후)",$L:$L,"&gt;0")&lt;&gt;1,"",SUMIFS($H:$H,$C:$C,$C2419,$D:$D,"P0(후)"))</f>
        <v/>
      </c>
      <c r="Q2419" s="30">
        <f>IF(COUNTIFS($C:$C,$C2419,$D:$D,"P0(후)",$L:$L,"&gt;0")&lt;&gt;1,"",SUMIFS($L:$L,$C:$C,$C2419,$D:$D,"P0(후)"))</f>
        <v/>
      </c>
      <c r="R2419" s="30">
        <f>IF(M2419&lt;&gt;"OK","",O2419+(Q2419-O2419)*(H2419-N2419)/(P2419-N2419))</f>
        <v/>
      </c>
      <c r="S2419" s="30">
        <f>IF(OR(M2419&lt;&gt;"OK",NOT(ISNUMBER(L2419))),"",L2419-R2419)</f>
        <v/>
      </c>
      <c r="T2419" s="46">
        <f>IF(OR(NOT(ISNUMBER(S2419)),IF(ISNUMBER(G2419),G2419,F2419)=0),"",S2419/IF(ISNUMBER(G2419),G2419,F2419))</f>
        <v/>
      </c>
      <c r="U2419" s="46">
        <f>IF(ISNUMBER(T2419),ABS(T2419),"")</f>
        <v/>
      </c>
      <c r="V2419" s="46">
        <f>IF(OR($D2418&lt;&gt;"측정",$C2418&lt;&gt;$C2419,NOT(ISNUMBER(L2419)),NOT(ISNUMBER(L2418)),(IF(ISNUMBER(G2419),G2419,F2419)-IF(ISNUMBER(G2418),G2418,F2418))=0),"",(L2419-L2418)/(IF(ISNUMBER(G2419),G2419,F2419)-IF(ISNUMBER(G2418),G2418,F2418)))</f>
        <v/>
      </c>
      <c r="W2419" s="30">
        <f>IF(NOT(AND(ISNUMBER(N2419),ISNUMBER(P2419))),"",(P2419-N2419)*1440)</f>
        <v/>
      </c>
      <c r="X2419" s="28" t="n"/>
      <c r="Y2419" s="28" t="n"/>
      <c r="Z2419" s="28" t="n"/>
      <c r="AA2419" s="31" t="n"/>
      <c r="AB2419" s="31" t="n"/>
    </row>
    <row r="2420">
      <c r="A2420" s="25" t="inlineStr">
        <is>
          <t>S47</t>
        </is>
      </c>
      <c r="B2420" s="25" t="inlineStr">
        <is>
          <t>봉평</t>
        </is>
      </c>
      <c r="C2420" s="25" t="inlineStr">
        <is>
          <t>S47-H서</t>
        </is>
      </c>
      <c r="D2420" s="25" t="inlineStr">
        <is>
          <t>측정</t>
        </is>
      </c>
      <c r="E2420" s="25" t="inlineStr">
        <is>
          <t>서</t>
        </is>
      </c>
      <c r="F2420" s="30" t="n">
        <v>9</v>
      </c>
      <c r="G2420" s="29" t="n"/>
      <c r="H2420" s="42" t="n"/>
      <c r="I2420" s="40" t="n"/>
      <c r="J2420" s="40" t="n"/>
      <c r="K2420" s="40" t="n"/>
      <c r="L2420" s="30">
        <f>IF(COUNT(I2420:K2420)=0,"",MEDIAN(I2420:K2420))</f>
        <v/>
      </c>
      <c r="M2420" s="25">
        <f>IF(COUNTIFS($C:$C,$C2420,$D:$D,"P0(전)",$L:$L,"&gt;0")&lt;&gt;1,"P0(전) 유효 1개 아님",IF(COUNTIFS($C:$C,$C2420,$D:$D,"P0(후)",$L:$L,"&gt;0")&lt;&gt;1,"P0(후) 유효 1개 아님",IF(NOT(AND(ISNUMBER(N2420),ISNUMBER(P2420),ISNUMBER(H2420))),"시각 결측",IF(P2420&lt;=N2420,"P0 시각 역전",IF(OR(H2420&lt;N2420,H2420&gt;P2420),"측정시각 구간 밖","OK")))))</f>
        <v/>
      </c>
      <c r="N2420" s="45">
        <f>IF(COUNTIFS($C:$C,$C2420,$D:$D,"P0(전)",$L:$L,"&gt;0")&lt;&gt;1,"",SUMIFS($H:$H,$C:$C,$C2420,$D:$D,"P0(전)"))</f>
        <v/>
      </c>
      <c r="O2420" s="30">
        <f>IF(COUNTIFS($C:$C,$C2420,$D:$D,"P0(전)",$L:$L,"&gt;0")&lt;&gt;1,"",SUMIFS($L:$L,$C:$C,$C2420,$D:$D,"P0(전)"))</f>
        <v/>
      </c>
      <c r="P2420" s="45">
        <f>IF(COUNTIFS($C:$C,$C2420,$D:$D,"P0(후)",$L:$L,"&gt;0")&lt;&gt;1,"",SUMIFS($H:$H,$C:$C,$C2420,$D:$D,"P0(후)"))</f>
        <v/>
      </c>
      <c r="Q2420" s="30">
        <f>IF(COUNTIFS($C:$C,$C2420,$D:$D,"P0(후)",$L:$L,"&gt;0")&lt;&gt;1,"",SUMIFS($L:$L,$C:$C,$C2420,$D:$D,"P0(후)"))</f>
        <v/>
      </c>
      <c r="R2420" s="30">
        <f>IF(M2420&lt;&gt;"OK","",O2420+(Q2420-O2420)*(H2420-N2420)/(P2420-N2420))</f>
        <v/>
      </c>
      <c r="S2420" s="30">
        <f>IF(OR(M2420&lt;&gt;"OK",NOT(ISNUMBER(L2420))),"",L2420-R2420)</f>
        <v/>
      </c>
      <c r="T2420" s="46">
        <f>IF(OR(NOT(ISNUMBER(S2420)),IF(ISNUMBER(G2420),G2420,F2420)=0),"",S2420/IF(ISNUMBER(G2420),G2420,F2420))</f>
        <v/>
      </c>
      <c r="U2420" s="46">
        <f>IF(ISNUMBER(T2420),ABS(T2420),"")</f>
        <v/>
      </c>
      <c r="V2420" s="46">
        <f>IF(OR($D2419&lt;&gt;"측정",$C2419&lt;&gt;$C2420,NOT(ISNUMBER(L2420)),NOT(ISNUMBER(L2419)),(IF(ISNUMBER(G2420),G2420,F2420)-IF(ISNUMBER(G2419),G2419,F2419))=0),"",(L2420-L2419)/(IF(ISNUMBER(G2420),G2420,F2420)-IF(ISNUMBER(G2419),G2419,F2419)))</f>
        <v/>
      </c>
      <c r="W2420" s="30">
        <f>IF(NOT(AND(ISNUMBER(N2420),ISNUMBER(P2420))),"",(P2420-N2420)*1440)</f>
        <v/>
      </c>
      <c r="X2420" s="28" t="n"/>
      <c r="Y2420" s="28" t="n"/>
      <c r="Z2420" s="28" t="n"/>
      <c r="AA2420" s="31" t="n"/>
      <c r="AB2420" s="31" t="n"/>
    </row>
    <row r="2421">
      <c r="A2421" s="25" t="inlineStr">
        <is>
          <t>S47</t>
        </is>
      </c>
      <c r="B2421" s="25" t="inlineStr">
        <is>
          <t>봉평</t>
        </is>
      </c>
      <c r="C2421" s="25" t="inlineStr">
        <is>
          <t>S47-H서</t>
        </is>
      </c>
      <c r="D2421" s="25" t="inlineStr">
        <is>
          <t>측정</t>
        </is>
      </c>
      <c r="E2421" s="25" t="inlineStr">
        <is>
          <t>서</t>
        </is>
      </c>
      <c r="F2421" s="30" t="n">
        <v>10</v>
      </c>
      <c r="G2421" s="29" t="n"/>
      <c r="H2421" s="42" t="n"/>
      <c r="I2421" s="40" t="n"/>
      <c r="J2421" s="40" t="n"/>
      <c r="K2421" s="40" t="n"/>
      <c r="L2421" s="30">
        <f>IF(COUNT(I2421:K2421)=0,"",MEDIAN(I2421:K2421))</f>
        <v/>
      </c>
      <c r="M2421" s="25">
        <f>IF(COUNTIFS($C:$C,$C2421,$D:$D,"P0(전)",$L:$L,"&gt;0")&lt;&gt;1,"P0(전) 유효 1개 아님",IF(COUNTIFS($C:$C,$C2421,$D:$D,"P0(후)",$L:$L,"&gt;0")&lt;&gt;1,"P0(후) 유효 1개 아님",IF(NOT(AND(ISNUMBER(N2421),ISNUMBER(P2421),ISNUMBER(H2421))),"시각 결측",IF(P2421&lt;=N2421,"P0 시각 역전",IF(OR(H2421&lt;N2421,H2421&gt;P2421),"측정시각 구간 밖","OK")))))</f>
        <v/>
      </c>
      <c r="N2421" s="45">
        <f>IF(COUNTIFS($C:$C,$C2421,$D:$D,"P0(전)",$L:$L,"&gt;0")&lt;&gt;1,"",SUMIFS($H:$H,$C:$C,$C2421,$D:$D,"P0(전)"))</f>
        <v/>
      </c>
      <c r="O2421" s="30">
        <f>IF(COUNTIFS($C:$C,$C2421,$D:$D,"P0(전)",$L:$L,"&gt;0")&lt;&gt;1,"",SUMIFS($L:$L,$C:$C,$C2421,$D:$D,"P0(전)"))</f>
        <v/>
      </c>
      <c r="P2421" s="45">
        <f>IF(COUNTIFS($C:$C,$C2421,$D:$D,"P0(후)",$L:$L,"&gt;0")&lt;&gt;1,"",SUMIFS($H:$H,$C:$C,$C2421,$D:$D,"P0(후)"))</f>
        <v/>
      </c>
      <c r="Q2421" s="30">
        <f>IF(COUNTIFS($C:$C,$C2421,$D:$D,"P0(후)",$L:$L,"&gt;0")&lt;&gt;1,"",SUMIFS($L:$L,$C:$C,$C2421,$D:$D,"P0(후)"))</f>
        <v/>
      </c>
      <c r="R2421" s="30">
        <f>IF(M2421&lt;&gt;"OK","",O2421+(Q2421-O2421)*(H2421-N2421)/(P2421-N2421))</f>
        <v/>
      </c>
      <c r="S2421" s="30">
        <f>IF(OR(M2421&lt;&gt;"OK",NOT(ISNUMBER(L2421))),"",L2421-R2421)</f>
        <v/>
      </c>
      <c r="T2421" s="46">
        <f>IF(OR(NOT(ISNUMBER(S2421)),IF(ISNUMBER(G2421),G2421,F2421)=0),"",S2421/IF(ISNUMBER(G2421),G2421,F2421))</f>
        <v/>
      </c>
      <c r="U2421" s="46">
        <f>IF(ISNUMBER(T2421),ABS(T2421),"")</f>
        <v/>
      </c>
      <c r="V2421" s="46">
        <f>IF(OR($D2420&lt;&gt;"측정",$C2420&lt;&gt;$C2421,NOT(ISNUMBER(L2421)),NOT(ISNUMBER(L2420)),(IF(ISNUMBER(G2421),G2421,F2421)-IF(ISNUMBER(G2420),G2420,F2420))=0),"",(L2421-L2420)/(IF(ISNUMBER(G2421),G2421,F2421)-IF(ISNUMBER(G2420),G2420,F2420)))</f>
        <v/>
      </c>
      <c r="W2421" s="30">
        <f>IF(NOT(AND(ISNUMBER(N2421),ISNUMBER(P2421))),"",(P2421-N2421)*1440)</f>
        <v/>
      </c>
      <c r="X2421" s="28" t="n"/>
      <c r="Y2421" s="28" t="n"/>
      <c r="Z2421" s="28" t="n"/>
      <c r="AA2421" s="31" t="n"/>
      <c r="AB2421" s="31" t="n"/>
    </row>
    <row r="2422">
      <c r="A2422" s="43" t="inlineStr">
        <is>
          <t>S47</t>
        </is>
      </c>
      <c r="B2422" s="43" t="inlineStr">
        <is>
          <t>봉평</t>
        </is>
      </c>
      <c r="C2422" s="43" t="inlineStr">
        <is>
          <t>S47-H서</t>
        </is>
      </c>
      <c r="D2422" s="43" t="inlineStr">
        <is>
          <t>P0(후)</t>
        </is>
      </c>
      <c r="E2422" s="43" t="inlineStr">
        <is>
          <t>서</t>
        </is>
      </c>
      <c r="F2422" s="44" t="n"/>
      <c r="G2422" s="29" t="n"/>
      <c r="H2422" s="42" t="n"/>
      <c r="I2422" s="40" t="n"/>
      <c r="J2422" s="40" t="n"/>
      <c r="K2422" s="40" t="n"/>
      <c r="L2422" s="30">
        <f>IF(COUNT(I2422:K2422)=0,"",MEDIAN(I2422:K2422))</f>
        <v/>
      </c>
      <c r="M2422" s="37" t="n"/>
      <c r="N2422" s="37" t="n"/>
      <c r="O2422" s="37" t="n"/>
      <c r="P2422" s="37" t="n"/>
      <c r="Q2422" s="37" t="n"/>
      <c r="R2422" s="37" t="n"/>
      <c r="S2422" s="37" t="n"/>
      <c r="T2422" s="37" t="n"/>
      <c r="U2422" s="37" t="n"/>
      <c r="V2422" s="37" t="n"/>
      <c r="W2422" s="37" t="n"/>
      <c r="X2422" s="28" t="n"/>
      <c r="Y2422" s="28" t="n"/>
      <c r="Z2422" s="28" t="n"/>
      <c r="AA2422" s="31" t="n"/>
      <c r="AB2422" s="31" t="n"/>
    </row>
    <row r="2423">
      <c r="A2423" s="43" t="inlineStr">
        <is>
          <t>S47</t>
        </is>
      </c>
      <c r="B2423" s="43" t="inlineStr">
        <is>
          <t>봉평</t>
        </is>
      </c>
      <c r="C2423" s="43" t="inlineStr">
        <is>
          <t>S47-H남</t>
        </is>
      </c>
      <c r="D2423" s="43" t="inlineStr">
        <is>
          <t>P0(전)</t>
        </is>
      </c>
      <c r="E2423" s="43" t="inlineStr">
        <is>
          <t>남</t>
        </is>
      </c>
      <c r="F2423" s="44" t="n"/>
      <c r="G2423" s="29" t="n"/>
      <c r="H2423" s="42" t="n"/>
      <c r="I2423" s="40" t="n"/>
      <c r="J2423" s="40" t="n"/>
      <c r="K2423" s="40" t="n"/>
      <c r="L2423" s="30">
        <f>IF(COUNT(I2423:K2423)=0,"",MEDIAN(I2423:K2423))</f>
        <v/>
      </c>
      <c r="M2423" s="37" t="n"/>
      <c r="N2423" s="37" t="n"/>
      <c r="O2423" s="37" t="n"/>
      <c r="P2423" s="37" t="n"/>
      <c r="Q2423" s="37" t="n"/>
      <c r="R2423" s="37" t="n"/>
      <c r="S2423" s="37" t="n"/>
      <c r="T2423" s="37" t="n"/>
      <c r="U2423" s="37" t="n"/>
      <c r="V2423" s="37" t="n"/>
      <c r="W2423" s="37" t="n"/>
      <c r="X2423" s="28" t="n"/>
      <c r="Y2423" s="28" t="n"/>
      <c r="Z2423" s="28" t="n"/>
      <c r="AA2423" s="31" t="n"/>
      <c r="AB2423" s="31" t="n"/>
    </row>
    <row r="2424">
      <c r="A2424" s="25" t="inlineStr">
        <is>
          <t>S47</t>
        </is>
      </c>
      <c r="B2424" s="25" t="inlineStr">
        <is>
          <t>봉평</t>
        </is>
      </c>
      <c r="C2424" s="25" t="inlineStr">
        <is>
          <t>S47-H남</t>
        </is>
      </c>
      <c r="D2424" s="25" t="inlineStr">
        <is>
          <t>측정</t>
        </is>
      </c>
      <c r="E2424" s="25" t="inlineStr">
        <is>
          <t>남</t>
        </is>
      </c>
      <c r="F2424" s="30" t="n">
        <v>0.5</v>
      </c>
      <c r="G2424" s="29" t="n"/>
      <c r="H2424" s="42" t="n"/>
      <c r="I2424" s="40" t="n"/>
      <c r="J2424" s="40" t="n"/>
      <c r="K2424" s="40" t="n"/>
      <c r="L2424" s="30">
        <f>IF(COUNT(I2424:K2424)=0,"",MEDIAN(I2424:K2424))</f>
        <v/>
      </c>
      <c r="M2424" s="25">
        <f>IF(COUNTIFS($C:$C,$C2424,$D:$D,"P0(전)",$L:$L,"&gt;0")&lt;&gt;1,"P0(전) 유효 1개 아님",IF(COUNTIFS($C:$C,$C2424,$D:$D,"P0(후)",$L:$L,"&gt;0")&lt;&gt;1,"P0(후) 유효 1개 아님",IF(NOT(AND(ISNUMBER(N2424),ISNUMBER(P2424),ISNUMBER(H2424))),"시각 결측",IF(P2424&lt;=N2424,"P0 시각 역전",IF(OR(H2424&lt;N2424,H2424&gt;P2424),"측정시각 구간 밖","OK")))))</f>
        <v/>
      </c>
      <c r="N2424" s="45">
        <f>IF(COUNTIFS($C:$C,$C2424,$D:$D,"P0(전)",$L:$L,"&gt;0")&lt;&gt;1,"",SUMIFS($H:$H,$C:$C,$C2424,$D:$D,"P0(전)"))</f>
        <v/>
      </c>
      <c r="O2424" s="30">
        <f>IF(COUNTIFS($C:$C,$C2424,$D:$D,"P0(전)",$L:$L,"&gt;0")&lt;&gt;1,"",SUMIFS($L:$L,$C:$C,$C2424,$D:$D,"P0(전)"))</f>
        <v/>
      </c>
      <c r="P2424" s="45">
        <f>IF(COUNTIFS($C:$C,$C2424,$D:$D,"P0(후)",$L:$L,"&gt;0")&lt;&gt;1,"",SUMIFS($H:$H,$C:$C,$C2424,$D:$D,"P0(후)"))</f>
        <v/>
      </c>
      <c r="Q2424" s="30">
        <f>IF(COUNTIFS($C:$C,$C2424,$D:$D,"P0(후)",$L:$L,"&gt;0")&lt;&gt;1,"",SUMIFS($L:$L,$C:$C,$C2424,$D:$D,"P0(후)"))</f>
        <v/>
      </c>
      <c r="R2424" s="30">
        <f>IF(M2424&lt;&gt;"OK","",O2424+(Q2424-O2424)*(H2424-N2424)/(P2424-N2424))</f>
        <v/>
      </c>
      <c r="S2424" s="30">
        <f>IF(OR(M2424&lt;&gt;"OK",NOT(ISNUMBER(L2424))),"",L2424-R2424)</f>
        <v/>
      </c>
      <c r="T2424" s="46">
        <f>IF(OR(NOT(ISNUMBER(S2424)),IF(ISNUMBER(G2424),G2424,F2424)=0),"",S2424/IF(ISNUMBER(G2424),G2424,F2424))</f>
        <v/>
      </c>
      <c r="U2424" s="46">
        <f>IF(ISNUMBER(T2424),ABS(T2424),"")</f>
        <v/>
      </c>
      <c r="V2424" s="46">
        <f>IF(OR($D2423&lt;&gt;"측정",$C2423&lt;&gt;$C2424,NOT(ISNUMBER(L2424)),NOT(ISNUMBER(L2423)),(IF(ISNUMBER(G2424),G2424,F2424)-IF(ISNUMBER(G2423),G2423,F2423))=0),"",(L2424-L2423)/(IF(ISNUMBER(G2424),G2424,F2424)-IF(ISNUMBER(G2423),G2423,F2423)))</f>
        <v/>
      </c>
      <c r="W2424" s="30">
        <f>IF(NOT(AND(ISNUMBER(N2424),ISNUMBER(P2424))),"",(P2424-N2424)*1440)</f>
        <v/>
      </c>
      <c r="X2424" s="28" t="n"/>
      <c r="Y2424" s="28" t="n"/>
      <c r="Z2424" s="28" t="n"/>
      <c r="AA2424" s="31" t="n"/>
      <c r="AB2424" s="31" t="n"/>
    </row>
    <row r="2425">
      <c r="A2425" s="25" t="inlineStr">
        <is>
          <t>S47</t>
        </is>
      </c>
      <c r="B2425" s="25" t="inlineStr">
        <is>
          <t>봉평</t>
        </is>
      </c>
      <c r="C2425" s="25" t="inlineStr">
        <is>
          <t>S47-H남</t>
        </is>
      </c>
      <c r="D2425" s="25" t="inlineStr">
        <is>
          <t>측정</t>
        </is>
      </c>
      <c r="E2425" s="25" t="inlineStr">
        <is>
          <t>남</t>
        </is>
      </c>
      <c r="F2425" s="30" t="n">
        <v>1</v>
      </c>
      <c r="G2425" s="29" t="n"/>
      <c r="H2425" s="42" t="n"/>
      <c r="I2425" s="40" t="n"/>
      <c r="J2425" s="40" t="n"/>
      <c r="K2425" s="40" t="n"/>
      <c r="L2425" s="30">
        <f>IF(COUNT(I2425:K2425)=0,"",MEDIAN(I2425:K2425))</f>
        <v/>
      </c>
      <c r="M2425" s="25">
        <f>IF(COUNTIFS($C:$C,$C2425,$D:$D,"P0(전)",$L:$L,"&gt;0")&lt;&gt;1,"P0(전) 유효 1개 아님",IF(COUNTIFS($C:$C,$C2425,$D:$D,"P0(후)",$L:$L,"&gt;0")&lt;&gt;1,"P0(후) 유효 1개 아님",IF(NOT(AND(ISNUMBER(N2425),ISNUMBER(P2425),ISNUMBER(H2425))),"시각 결측",IF(P2425&lt;=N2425,"P0 시각 역전",IF(OR(H2425&lt;N2425,H2425&gt;P2425),"측정시각 구간 밖","OK")))))</f>
        <v/>
      </c>
      <c r="N2425" s="45">
        <f>IF(COUNTIFS($C:$C,$C2425,$D:$D,"P0(전)",$L:$L,"&gt;0")&lt;&gt;1,"",SUMIFS($H:$H,$C:$C,$C2425,$D:$D,"P0(전)"))</f>
        <v/>
      </c>
      <c r="O2425" s="30">
        <f>IF(COUNTIFS($C:$C,$C2425,$D:$D,"P0(전)",$L:$L,"&gt;0")&lt;&gt;1,"",SUMIFS($L:$L,$C:$C,$C2425,$D:$D,"P0(전)"))</f>
        <v/>
      </c>
      <c r="P2425" s="45">
        <f>IF(COUNTIFS($C:$C,$C2425,$D:$D,"P0(후)",$L:$L,"&gt;0")&lt;&gt;1,"",SUMIFS($H:$H,$C:$C,$C2425,$D:$D,"P0(후)"))</f>
        <v/>
      </c>
      <c r="Q2425" s="30">
        <f>IF(COUNTIFS($C:$C,$C2425,$D:$D,"P0(후)",$L:$L,"&gt;0")&lt;&gt;1,"",SUMIFS($L:$L,$C:$C,$C2425,$D:$D,"P0(후)"))</f>
        <v/>
      </c>
      <c r="R2425" s="30">
        <f>IF(M2425&lt;&gt;"OK","",O2425+(Q2425-O2425)*(H2425-N2425)/(P2425-N2425))</f>
        <v/>
      </c>
      <c r="S2425" s="30">
        <f>IF(OR(M2425&lt;&gt;"OK",NOT(ISNUMBER(L2425))),"",L2425-R2425)</f>
        <v/>
      </c>
      <c r="T2425" s="46">
        <f>IF(OR(NOT(ISNUMBER(S2425)),IF(ISNUMBER(G2425),G2425,F2425)=0),"",S2425/IF(ISNUMBER(G2425),G2425,F2425))</f>
        <v/>
      </c>
      <c r="U2425" s="46">
        <f>IF(ISNUMBER(T2425),ABS(T2425),"")</f>
        <v/>
      </c>
      <c r="V2425" s="46">
        <f>IF(OR($D2424&lt;&gt;"측정",$C2424&lt;&gt;$C2425,NOT(ISNUMBER(L2425)),NOT(ISNUMBER(L2424)),(IF(ISNUMBER(G2425),G2425,F2425)-IF(ISNUMBER(G2424),G2424,F2424))=0),"",(L2425-L2424)/(IF(ISNUMBER(G2425),G2425,F2425)-IF(ISNUMBER(G2424),G2424,F2424)))</f>
        <v/>
      </c>
      <c r="W2425" s="30">
        <f>IF(NOT(AND(ISNUMBER(N2425),ISNUMBER(P2425))),"",(P2425-N2425)*1440)</f>
        <v/>
      </c>
      <c r="X2425" s="28" t="n"/>
      <c r="Y2425" s="28" t="n"/>
      <c r="Z2425" s="28" t="n"/>
      <c r="AA2425" s="31" t="n"/>
      <c r="AB2425" s="31" t="n"/>
    </row>
    <row r="2426">
      <c r="A2426" s="25" t="inlineStr">
        <is>
          <t>S47</t>
        </is>
      </c>
      <c r="B2426" s="25" t="inlineStr">
        <is>
          <t>봉평</t>
        </is>
      </c>
      <c r="C2426" s="25" t="inlineStr">
        <is>
          <t>S47-H남</t>
        </is>
      </c>
      <c r="D2426" s="25" t="inlineStr">
        <is>
          <t>측정</t>
        </is>
      </c>
      <c r="E2426" s="25" t="inlineStr">
        <is>
          <t>남</t>
        </is>
      </c>
      <c r="F2426" s="30" t="n">
        <v>2</v>
      </c>
      <c r="G2426" s="29" t="n"/>
      <c r="H2426" s="42" t="n"/>
      <c r="I2426" s="40" t="n"/>
      <c r="J2426" s="40" t="n"/>
      <c r="K2426" s="40" t="n"/>
      <c r="L2426" s="30">
        <f>IF(COUNT(I2426:K2426)=0,"",MEDIAN(I2426:K2426))</f>
        <v/>
      </c>
      <c r="M2426" s="25">
        <f>IF(COUNTIFS($C:$C,$C2426,$D:$D,"P0(전)",$L:$L,"&gt;0")&lt;&gt;1,"P0(전) 유효 1개 아님",IF(COUNTIFS($C:$C,$C2426,$D:$D,"P0(후)",$L:$L,"&gt;0")&lt;&gt;1,"P0(후) 유효 1개 아님",IF(NOT(AND(ISNUMBER(N2426),ISNUMBER(P2426),ISNUMBER(H2426))),"시각 결측",IF(P2426&lt;=N2426,"P0 시각 역전",IF(OR(H2426&lt;N2426,H2426&gt;P2426),"측정시각 구간 밖","OK")))))</f>
        <v/>
      </c>
      <c r="N2426" s="45">
        <f>IF(COUNTIFS($C:$C,$C2426,$D:$D,"P0(전)",$L:$L,"&gt;0")&lt;&gt;1,"",SUMIFS($H:$H,$C:$C,$C2426,$D:$D,"P0(전)"))</f>
        <v/>
      </c>
      <c r="O2426" s="30">
        <f>IF(COUNTIFS($C:$C,$C2426,$D:$D,"P0(전)",$L:$L,"&gt;0")&lt;&gt;1,"",SUMIFS($L:$L,$C:$C,$C2426,$D:$D,"P0(전)"))</f>
        <v/>
      </c>
      <c r="P2426" s="45">
        <f>IF(COUNTIFS($C:$C,$C2426,$D:$D,"P0(후)",$L:$L,"&gt;0")&lt;&gt;1,"",SUMIFS($H:$H,$C:$C,$C2426,$D:$D,"P0(후)"))</f>
        <v/>
      </c>
      <c r="Q2426" s="30">
        <f>IF(COUNTIFS($C:$C,$C2426,$D:$D,"P0(후)",$L:$L,"&gt;0")&lt;&gt;1,"",SUMIFS($L:$L,$C:$C,$C2426,$D:$D,"P0(후)"))</f>
        <v/>
      </c>
      <c r="R2426" s="30">
        <f>IF(M2426&lt;&gt;"OK","",O2426+(Q2426-O2426)*(H2426-N2426)/(P2426-N2426))</f>
        <v/>
      </c>
      <c r="S2426" s="30">
        <f>IF(OR(M2426&lt;&gt;"OK",NOT(ISNUMBER(L2426))),"",L2426-R2426)</f>
        <v/>
      </c>
      <c r="T2426" s="46">
        <f>IF(OR(NOT(ISNUMBER(S2426)),IF(ISNUMBER(G2426),G2426,F2426)=0),"",S2426/IF(ISNUMBER(G2426),G2426,F2426))</f>
        <v/>
      </c>
      <c r="U2426" s="46">
        <f>IF(ISNUMBER(T2426),ABS(T2426),"")</f>
        <v/>
      </c>
      <c r="V2426" s="46">
        <f>IF(OR($D2425&lt;&gt;"측정",$C2425&lt;&gt;$C2426,NOT(ISNUMBER(L2426)),NOT(ISNUMBER(L2425)),(IF(ISNUMBER(G2426),G2426,F2426)-IF(ISNUMBER(G2425),G2425,F2425))=0),"",(L2426-L2425)/(IF(ISNUMBER(G2426),G2426,F2426)-IF(ISNUMBER(G2425),G2425,F2425)))</f>
        <v/>
      </c>
      <c r="W2426" s="30">
        <f>IF(NOT(AND(ISNUMBER(N2426),ISNUMBER(P2426))),"",(P2426-N2426)*1440)</f>
        <v/>
      </c>
      <c r="X2426" s="28" t="n"/>
      <c r="Y2426" s="28" t="n"/>
      <c r="Z2426" s="28" t="n"/>
      <c r="AA2426" s="31" t="n"/>
      <c r="AB2426" s="31" t="n"/>
    </row>
    <row r="2427">
      <c r="A2427" s="25" t="inlineStr">
        <is>
          <t>S47</t>
        </is>
      </c>
      <c r="B2427" s="25" t="inlineStr">
        <is>
          <t>봉평</t>
        </is>
      </c>
      <c r="C2427" s="25" t="inlineStr">
        <is>
          <t>S47-H남</t>
        </is>
      </c>
      <c r="D2427" s="25" t="inlineStr">
        <is>
          <t>측정</t>
        </is>
      </c>
      <c r="E2427" s="25" t="inlineStr">
        <is>
          <t>남</t>
        </is>
      </c>
      <c r="F2427" s="30" t="n">
        <v>3</v>
      </c>
      <c r="G2427" s="29" t="n"/>
      <c r="H2427" s="42" t="n"/>
      <c r="I2427" s="40" t="n"/>
      <c r="J2427" s="40" t="n"/>
      <c r="K2427" s="40" t="n"/>
      <c r="L2427" s="30">
        <f>IF(COUNT(I2427:K2427)=0,"",MEDIAN(I2427:K2427))</f>
        <v/>
      </c>
      <c r="M2427" s="25">
        <f>IF(COUNTIFS($C:$C,$C2427,$D:$D,"P0(전)",$L:$L,"&gt;0")&lt;&gt;1,"P0(전) 유효 1개 아님",IF(COUNTIFS($C:$C,$C2427,$D:$D,"P0(후)",$L:$L,"&gt;0")&lt;&gt;1,"P0(후) 유효 1개 아님",IF(NOT(AND(ISNUMBER(N2427),ISNUMBER(P2427),ISNUMBER(H2427))),"시각 결측",IF(P2427&lt;=N2427,"P0 시각 역전",IF(OR(H2427&lt;N2427,H2427&gt;P2427),"측정시각 구간 밖","OK")))))</f>
        <v/>
      </c>
      <c r="N2427" s="45">
        <f>IF(COUNTIFS($C:$C,$C2427,$D:$D,"P0(전)",$L:$L,"&gt;0")&lt;&gt;1,"",SUMIFS($H:$H,$C:$C,$C2427,$D:$D,"P0(전)"))</f>
        <v/>
      </c>
      <c r="O2427" s="30">
        <f>IF(COUNTIFS($C:$C,$C2427,$D:$D,"P0(전)",$L:$L,"&gt;0")&lt;&gt;1,"",SUMIFS($L:$L,$C:$C,$C2427,$D:$D,"P0(전)"))</f>
        <v/>
      </c>
      <c r="P2427" s="45">
        <f>IF(COUNTIFS($C:$C,$C2427,$D:$D,"P0(후)",$L:$L,"&gt;0")&lt;&gt;1,"",SUMIFS($H:$H,$C:$C,$C2427,$D:$D,"P0(후)"))</f>
        <v/>
      </c>
      <c r="Q2427" s="30">
        <f>IF(COUNTIFS($C:$C,$C2427,$D:$D,"P0(후)",$L:$L,"&gt;0")&lt;&gt;1,"",SUMIFS($L:$L,$C:$C,$C2427,$D:$D,"P0(후)"))</f>
        <v/>
      </c>
      <c r="R2427" s="30">
        <f>IF(M2427&lt;&gt;"OK","",O2427+(Q2427-O2427)*(H2427-N2427)/(P2427-N2427))</f>
        <v/>
      </c>
      <c r="S2427" s="30">
        <f>IF(OR(M2427&lt;&gt;"OK",NOT(ISNUMBER(L2427))),"",L2427-R2427)</f>
        <v/>
      </c>
      <c r="T2427" s="46">
        <f>IF(OR(NOT(ISNUMBER(S2427)),IF(ISNUMBER(G2427),G2427,F2427)=0),"",S2427/IF(ISNUMBER(G2427),G2427,F2427))</f>
        <v/>
      </c>
      <c r="U2427" s="46">
        <f>IF(ISNUMBER(T2427),ABS(T2427),"")</f>
        <v/>
      </c>
      <c r="V2427" s="46">
        <f>IF(OR($D2426&lt;&gt;"측정",$C2426&lt;&gt;$C2427,NOT(ISNUMBER(L2427)),NOT(ISNUMBER(L2426)),(IF(ISNUMBER(G2427),G2427,F2427)-IF(ISNUMBER(G2426),G2426,F2426))=0),"",(L2427-L2426)/(IF(ISNUMBER(G2427),G2427,F2427)-IF(ISNUMBER(G2426),G2426,F2426)))</f>
        <v/>
      </c>
      <c r="W2427" s="30">
        <f>IF(NOT(AND(ISNUMBER(N2427),ISNUMBER(P2427))),"",(P2427-N2427)*1440)</f>
        <v/>
      </c>
      <c r="X2427" s="28" t="n"/>
      <c r="Y2427" s="28" t="n"/>
      <c r="Z2427" s="28" t="n"/>
      <c r="AA2427" s="31" t="n"/>
      <c r="AB2427" s="31" t="n"/>
    </row>
    <row r="2428">
      <c r="A2428" s="25" t="inlineStr">
        <is>
          <t>S47</t>
        </is>
      </c>
      <c r="B2428" s="25" t="inlineStr">
        <is>
          <t>봉평</t>
        </is>
      </c>
      <c r="C2428" s="25" t="inlineStr">
        <is>
          <t>S47-H남</t>
        </is>
      </c>
      <c r="D2428" s="25" t="inlineStr">
        <is>
          <t>측정</t>
        </is>
      </c>
      <c r="E2428" s="25" t="inlineStr">
        <is>
          <t>남</t>
        </is>
      </c>
      <c r="F2428" s="30" t="n">
        <v>4</v>
      </c>
      <c r="G2428" s="29" t="n"/>
      <c r="H2428" s="42" t="n"/>
      <c r="I2428" s="40" t="n"/>
      <c r="J2428" s="40" t="n"/>
      <c r="K2428" s="40" t="n"/>
      <c r="L2428" s="30">
        <f>IF(COUNT(I2428:K2428)=0,"",MEDIAN(I2428:K2428))</f>
        <v/>
      </c>
      <c r="M2428" s="25">
        <f>IF(COUNTIFS($C:$C,$C2428,$D:$D,"P0(전)",$L:$L,"&gt;0")&lt;&gt;1,"P0(전) 유효 1개 아님",IF(COUNTIFS($C:$C,$C2428,$D:$D,"P0(후)",$L:$L,"&gt;0")&lt;&gt;1,"P0(후) 유효 1개 아님",IF(NOT(AND(ISNUMBER(N2428),ISNUMBER(P2428),ISNUMBER(H2428))),"시각 결측",IF(P2428&lt;=N2428,"P0 시각 역전",IF(OR(H2428&lt;N2428,H2428&gt;P2428),"측정시각 구간 밖","OK")))))</f>
        <v/>
      </c>
      <c r="N2428" s="45">
        <f>IF(COUNTIFS($C:$C,$C2428,$D:$D,"P0(전)",$L:$L,"&gt;0")&lt;&gt;1,"",SUMIFS($H:$H,$C:$C,$C2428,$D:$D,"P0(전)"))</f>
        <v/>
      </c>
      <c r="O2428" s="30">
        <f>IF(COUNTIFS($C:$C,$C2428,$D:$D,"P0(전)",$L:$L,"&gt;0")&lt;&gt;1,"",SUMIFS($L:$L,$C:$C,$C2428,$D:$D,"P0(전)"))</f>
        <v/>
      </c>
      <c r="P2428" s="45">
        <f>IF(COUNTIFS($C:$C,$C2428,$D:$D,"P0(후)",$L:$L,"&gt;0")&lt;&gt;1,"",SUMIFS($H:$H,$C:$C,$C2428,$D:$D,"P0(후)"))</f>
        <v/>
      </c>
      <c r="Q2428" s="30">
        <f>IF(COUNTIFS($C:$C,$C2428,$D:$D,"P0(후)",$L:$L,"&gt;0")&lt;&gt;1,"",SUMIFS($L:$L,$C:$C,$C2428,$D:$D,"P0(후)"))</f>
        <v/>
      </c>
      <c r="R2428" s="30">
        <f>IF(M2428&lt;&gt;"OK","",O2428+(Q2428-O2428)*(H2428-N2428)/(P2428-N2428))</f>
        <v/>
      </c>
      <c r="S2428" s="30">
        <f>IF(OR(M2428&lt;&gt;"OK",NOT(ISNUMBER(L2428))),"",L2428-R2428)</f>
        <v/>
      </c>
      <c r="T2428" s="46">
        <f>IF(OR(NOT(ISNUMBER(S2428)),IF(ISNUMBER(G2428),G2428,F2428)=0),"",S2428/IF(ISNUMBER(G2428),G2428,F2428))</f>
        <v/>
      </c>
      <c r="U2428" s="46">
        <f>IF(ISNUMBER(T2428),ABS(T2428),"")</f>
        <v/>
      </c>
      <c r="V2428" s="46">
        <f>IF(OR($D2427&lt;&gt;"측정",$C2427&lt;&gt;$C2428,NOT(ISNUMBER(L2428)),NOT(ISNUMBER(L2427)),(IF(ISNUMBER(G2428),G2428,F2428)-IF(ISNUMBER(G2427),G2427,F2427))=0),"",(L2428-L2427)/(IF(ISNUMBER(G2428),G2428,F2428)-IF(ISNUMBER(G2427),G2427,F2427)))</f>
        <v/>
      </c>
      <c r="W2428" s="30">
        <f>IF(NOT(AND(ISNUMBER(N2428),ISNUMBER(P2428))),"",(P2428-N2428)*1440)</f>
        <v/>
      </c>
      <c r="X2428" s="28" t="n"/>
      <c r="Y2428" s="28" t="n"/>
      <c r="Z2428" s="28" t="n"/>
      <c r="AA2428" s="31" t="n"/>
      <c r="AB2428" s="31" t="n"/>
    </row>
    <row r="2429">
      <c r="A2429" s="25" t="inlineStr">
        <is>
          <t>S47</t>
        </is>
      </c>
      <c r="B2429" s="25" t="inlineStr">
        <is>
          <t>봉평</t>
        </is>
      </c>
      <c r="C2429" s="25" t="inlineStr">
        <is>
          <t>S47-H남</t>
        </is>
      </c>
      <c r="D2429" s="25" t="inlineStr">
        <is>
          <t>측정</t>
        </is>
      </c>
      <c r="E2429" s="25" t="inlineStr">
        <is>
          <t>남</t>
        </is>
      </c>
      <c r="F2429" s="30" t="n">
        <v>5</v>
      </c>
      <c r="G2429" s="29" t="n"/>
      <c r="H2429" s="42" t="n"/>
      <c r="I2429" s="40" t="n"/>
      <c r="J2429" s="40" t="n"/>
      <c r="K2429" s="40" t="n"/>
      <c r="L2429" s="30">
        <f>IF(COUNT(I2429:K2429)=0,"",MEDIAN(I2429:K2429))</f>
        <v/>
      </c>
      <c r="M2429" s="25">
        <f>IF(COUNTIFS($C:$C,$C2429,$D:$D,"P0(전)",$L:$L,"&gt;0")&lt;&gt;1,"P0(전) 유효 1개 아님",IF(COUNTIFS($C:$C,$C2429,$D:$D,"P0(후)",$L:$L,"&gt;0")&lt;&gt;1,"P0(후) 유효 1개 아님",IF(NOT(AND(ISNUMBER(N2429),ISNUMBER(P2429),ISNUMBER(H2429))),"시각 결측",IF(P2429&lt;=N2429,"P0 시각 역전",IF(OR(H2429&lt;N2429,H2429&gt;P2429),"측정시각 구간 밖","OK")))))</f>
        <v/>
      </c>
      <c r="N2429" s="45">
        <f>IF(COUNTIFS($C:$C,$C2429,$D:$D,"P0(전)",$L:$L,"&gt;0")&lt;&gt;1,"",SUMIFS($H:$H,$C:$C,$C2429,$D:$D,"P0(전)"))</f>
        <v/>
      </c>
      <c r="O2429" s="30">
        <f>IF(COUNTIFS($C:$C,$C2429,$D:$D,"P0(전)",$L:$L,"&gt;0")&lt;&gt;1,"",SUMIFS($L:$L,$C:$C,$C2429,$D:$D,"P0(전)"))</f>
        <v/>
      </c>
      <c r="P2429" s="45">
        <f>IF(COUNTIFS($C:$C,$C2429,$D:$D,"P0(후)",$L:$L,"&gt;0")&lt;&gt;1,"",SUMIFS($H:$H,$C:$C,$C2429,$D:$D,"P0(후)"))</f>
        <v/>
      </c>
      <c r="Q2429" s="30">
        <f>IF(COUNTIFS($C:$C,$C2429,$D:$D,"P0(후)",$L:$L,"&gt;0")&lt;&gt;1,"",SUMIFS($L:$L,$C:$C,$C2429,$D:$D,"P0(후)"))</f>
        <v/>
      </c>
      <c r="R2429" s="30">
        <f>IF(M2429&lt;&gt;"OK","",O2429+(Q2429-O2429)*(H2429-N2429)/(P2429-N2429))</f>
        <v/>
      </c>
      <c r="S2429" s="30">
        <f>IF(OR(M2429&lt;&gt;"OK",NOT(ISNUMBER(L2429))),"",L2429-R2429)</f>
        <v/>
      </c>
      <c r="T2429" s="46">
        <f>IF(OR(NOT(ISNUMBER(S2429)),IF(ISNUMBER(G2429),G2429,F2429)=0),"",S2429/IF(ISNUMBER(G2429),G2429,F2429))</f>
        <v/>
      </c>
      <c r="U2429" s="46">
        <f>IF(ISNUMBER(T2429),ABS(T2429),"")</f>
        <v/>
      </c>
      <c r="V2429" s="46">
        <f>IF(OR($D2428&lt;&gt;"측정",$C2428&lt;&gt;$C2429,NOT(ISNUMBER(L2429)),NOT(ISNUMBER(L2428)),(IF(ISNUMBER(G2429),G2429,F2429)-IF(ISNUMBER(G2428),G2428,F2428))=0),"",(L2429-L2428)/(IF(ISNUMBER(G2429),G2429,F2429)-IF(ISNUMBER(G2428),G2428,F2428)))</f>
        <v/>
      </c>
      <c r="W2429" s="30">
        <f>IF(NOT(AND(ISNUMBER(N2429),ISNUMBER(P2429))),"",(P2429-N2429)*1440)</f>
        <v/>
      </c>
      <c r="X2429" s="28" t="n"/>
      <c r="Y2429" s="28" t="n"/>
      <c r="Z2429" s="28" t="n"/>
      <c r="AA2429" s="31" t="n"/>
      <c r="AB2429" s="31" t="n"/>
    </row>
    <row r="2430">
      <c r="A2430" s="25" t="inlineStr">
        <is>
          <t>S47</t>
        </is>
      </c>
      <c r="B2430" s="25" t="inlineStr">
        <is>
          <t>봉평</t>
        </is>
      </c>
      <c r="C2430" s="25" t="inlineStr">
        <is>
          <t>S47-H남</t>
        </is>
      </c>
      <c r="D2430" s="25" t="inlineStr">
        <is>
          <t>측정</t>
        </is>
      </c>
      <c r="E2430" s="25" t="inlineStr">
        <is>
          <t>남</t>
        </is>
      </c>
      <c r="F2430" s="30" t="n">
        <v>6</v>
      </c>
      <c r="G2430" s="29" t="n"/>
      <c r="H2430" s="42" t="n"/>
      <c r="I2430" s="40" t="n"/>
      <c r="J2430" s="40" t="n"/>
      <c r="K2430" s="40" t="n"/>
      <c r="L2430" s="30">
        <f>IF(COUNT(I2430:K2430)=0,"",MEDIAN(I2430:K2430))</f>
        <v/>
      </c>
      <c r="M2430" s="25">
        <f>IF(COUNTIFS($C:$C,$C2430,$D:$D,"P0(전)",$L:$L,"&gt;0")&lt;&gt;1,"P0(전) 유효 1개 아님",IF(COUNTIFS($C:$C,$C2430,$D:$D,"P0(후)",$L:$L,"&gt;0")&lt;&gt;1,"P0(후) 유효 1개 아님",IF(NOT(AND(ISNUMBER(N2430),ISNUMBER(P2430),ISNUMBER(H2430))),"시각 결측",IF(P2430&lt;=N2430,"P0 시각 역전",IF(OR(H2430&lt;N2430,H2430&gt;P2430),"측정시각 구간 밖","OK")))))</f>
        <v/>
      </c>
      <c r="N2430" s="45">
        <f>IF(COUNTIFS($C:$C,$C2430,$D:$D,"P0(전)",$L:$L,"&gt;0")&lt;&gt;1,"",SUMIFS($H:$H,$C:$C,$C2430,$D:$D,"P0(전)"))</f>
        <v/>
      </c>
      <c r="O2430" s="30">
        <f>IF(COUNTIFS($C:$C,$C2430,$D:$D,"P0(전)",$L:$L,"&gt;0")&lt;&gt;1,"",SUMIFS($L:$L,$C:$C,$C2430,$D:$D,"P0(전)"))</f>
        <v/>
      </c>
      <c r="P2430" s="45">
        <f>IF(COUNTIFS($C:$C,$C2430,$D:$D,"P0(후)",$L:$L,"&gt;0")&lt;&gt;1,"",SUMIFS($H:$H,$C:$C,$C2430,$D:$D,"P0(후)"))</f>
        <v/>
      </c>
      <c r="Q2430" s="30">
        <f>IF(COUNTIFS($C:$C,$C2430,$D:$D,"P0(후)",$L:$L,"&gt;0")&lt;&gt;1,"",SUMIFS($L:$L,$C:$C,$C2430,$D:$D,"P0(후)"))</f>
        <v/>
      </c>
      <c r="R2430" s="30">
        <f>IF(M2430&lt;&gt;"OK","",O2430+(Q2430-O2430)*(H2430-N2430)/(P2430-N2430))</f>
        <v/>
      </c>
      <c r="S2430" s="30">
        <f>IF(OR(M2430&lt;&gt;"OK",NOT(ISNUMBER(L2430))),"",L2430-R2430)</f>
        <v/>
      </c>
      <c r="T2430" s="46">
        <f>IF(OR(NOT(ISNUMBER(S2430)),IF(ISNUMBER(G2430),G2430,F2430)=0),"",S2430/IF(ISNUMBER(G2430),G2430,F2430))</f>
        <v/>
      </c>
      <c r="U2430" s="46">
        <f>IF(ISNUMBER(T2430),ABS(T2430),"")</f>
        <v/>
      </c>
      <c r="V2430" s="46">
        <f>IF(OR($D2429&lt;&gt;"측정",$C2429&lt;&gt;$C2430,NOT(ISNUMBER(L2430)),NOT(ISNUMBER(L2429)),(IF(ISNUMBER(G2430),G2430,F2430)-IF(ISNUMBER(G2429),G2429,F2429))=0),"",(L2430-L2429)/(IF(ISNUMBER(G2430),G2430,F2430)-IF(ISNUMBER(G2429),G2429,F2429)))</f>
        <v/>
      </c>
      <c r="W2430" s="30">
        <f>IF(NOT(AND(ISNUMBER(N2430),ISNUMBER(P2430))),"",(P2430-N2430)*1440)</f>
        <v/>
      </c>
      <c r="X2430" s="28" t="n"/>
      <c r="Y2430" s="28" t="n"/>
      <c r="Z2430" s="28" t="n"/>
      <c r="AA2430" s="31" t="n"/>
      <c r="AB2430" s="31" t="n"/>
    </row>
    <row r="2431">
      <c r="A2431" s="25" t="inlineStr">
        <is>
          <t>S47</t>
        </is>
      </c>
      <c r="B2431" s="25" t="inlineStr">
        <is>
          <t>봉평</t>
        </is>
      </c>
      <c r="C2431" s="25" t="inlineStr">
        <is>
          <t>S47-H남</t>
        </is>
      </c>
      <c r="D2431" s="25" t="inlineStr">
        <is>
          <t>측정</t>
        </is>
      </c>
      <c r="E2431" s="25" t="inlineStr">
        <is>
          <t>남</t>
        </is>
      </c>
      <c r="F2431" s="30" t="n">
        <v>7</v>
      </c>
      <c r="G2431" s="29" t="n"/>
      <c r="H2431" s="42" t="n"/>
      <c r="I2431" s="40" t="n"/>
      <c r="J2431" s="40" t="n"/>
      <c r="K2431" s="40" t="n"/>
      <c r="L2431" s="30">
        <f>IF(COUNT(I2431:K2431)=0,"",MEDIAN(I2431:K2431))</f>
        <v/>
      </c>
      <c r="M2431" s="25">
        <f>IF(COUNTIFS($C:$C,$C2431,$D:$D,"P0(전)",$L:$L,"&gt;0")&lt;&gt;1,"P0(전) 유효 1개 아님",IF(COUNTIFS($C:$C,$C2431,$D:$D,"P0(후)",$L:$L,"&gt;0")&lt;&gt;1,"P0(후) 유효 1개 아님",IF(NOT(AND(ISNUMBER(N2431),ISNUMBER(P2431),ISNUMBER(H2431))),"시각 결측",IF(P2431&lt;=N2431,"P0 시각 역전",IF(OR(H2431&lt;N2431,H2431&gt;P2431),"측정시각 구간 밖","OK")))))</f>
        <v/>
      </c>
      <c r="N2431" s="45">
        <f>IF(COUNTIFS($C:$C,$C2431,$D:$D,"P0(전)",$L:$L,"&gt;0")&lt;&gt;1,"",SUMIFS($H:$H,$C:$C,$C2431,$D:$D,"P0(전)"))</f>
        <v/>
      </c>
      <c r="O2431" s="30">
        <f>IF(COUNTIFS($C:$C,$C2431,$D:$D,"P0(전)",$L:$L,"&gt;0")&lt;&gt;1,"",SUMIFS($L:$L,$C:$C,$C2431,$D:$D,"P0(전)"))</f>
        <v/>
      </c>
      <c r="P2431" s="45">
        <f>IF(COUNTIFS($C:$C,$C2431,$D:$D,"P0(후)",$L:$L,"&gt;0")&lt;&gt;1,"",SUMIFS($H:$H,$C:$C,$C2431,$D:$D,"P0(후)"))</f>
        <v/>
      </c>
      <c r="Q2431" s="30">
        <f>IF(COUNTIFS($C:$C,$C2431,$D:$D,"P0(후)",$L:$L,"&gt;0")&lt;&gt;1,"",SUMIFS($L:$L,$C:$C,$C2431,$D:$D,"P0(후)"))</f>
        <v/>
      </c>
      <c r="R2431" s="30">
        <f>IF(M2431&lt;&gt;"OK","",O2431+(Q2431-O2431)*(H2431-N2431)/(P2431-N2431))</f>
        <v/>
      </c>
      <c r="S2431" s="30">
        <f>IF(OR(M2431&lt;&gt;"OK",NOT(ISNUMBER(L2431))),"",L2431-R2431)</f>
        <v/>
      </c>
      <c r="T2431" s="46">
        <f>IF(OR(NOT(ISNUMBER(S2431)),IF(ISNUMBER(G2431),G2431,F2431)=0),"",S2431/IF(ISNUMBER(G2431),G2431,F2431))</f>
        <v/>
      </c>
      <c r="U2431" s="46">
        <f>IF(ISNUMBER(T2431),ABS(T2431),"")</f>
        <v/>
      </c>
      <c r="V2431" s="46">
        <f>IF(OR($D2430&lt;&gt;"측정",$C2430&lt;&gt;$C2431,NOT(ISNUMBER(L2431)),NOT(ISNUMBER(L2430)),(IF(ISNUMBER(G2431),G2431,F2431)-IF(ISNUMBER(G2430),G2430,F2430))=0),"",(L2431-L2430)/(IF(ISNUMBER(G2431),G2431,F2431)-IF(ISNUMBER(G2430),G2430,F2430)))</f>
        <v/>
      </c>
      <c r="W2431" s="30">
        <f>IF(NOT(AND(ISNUMBER(N2431),ISNUMBER(P2431))),"",(P2431-N2431)*1440)</f>
        <v/>
      </c>
      <c r="X2431" s="28" t="n"/>
      <c r="Y2431" s="28" t="n"/>
      <c r="Z2431" s="28" t="n"/>
      <c r="AA2431" s="31" t="n"/>
      <c r="AB2431" s="31" t="n"/>
    </row>
    <row r="2432">
      <c r="A2432" s="25" t="inlineStr">
        <is>
          <t>S47</t>
        </is>
      </c>
      <c r="B2432" s="25" t="inlineStr">
        <is>
          <t>봉평</t>
        </is>
      </c>
      <c r="C2432" s="25" t="inlineStr">
        <is>
          <t>S47-H남</t>
        </is>
      </c>
      <c r="D2432" s="25" t="inlineStr">
        <is>
          <t>측정</t>
        </is>
      </c>
      <c r="E2432" s="25" t="inlineStr">
        <is>
          <t>남</t>
        </is>
      </c>
      <c r="F2432" s="30" t="n">
        <v>8</v>
      </c>
      <c r="G2432" s="29" t="n"/>
      <c r="H2432" s="42" t="n"/>
      <c r="I2432" s="40" t="n"/>
      <c r="J2432" s="40" t="n"/>
      <c r="K2432" s="40" t="n"/>
      <c r="L2432" s="30">
        <f>IF(COUNT(I2432:K2432)=0,"",MEDIAN(I2432:K2432))</f>
        <v/>
      </c>
      <c r="M2432" s="25">
        <f>IF(COUNTIFS($C:$C,$C2432,$D:$D,"P0(전)",$L:$L,"&gt;0")&lt;&gt;1,"P0(전) 유효 1개 아님",IF(COUNTIFS($C:$C,$C2432,$D:$D,"P0(후)",$L:$L,"&gt;0")&lt;&gt;1,"P0(후) 유효 1개 아님",IF(NOT(AND(ISNUMBER(N2432),ISNUMBER(P2432),ISNUMBER(H2432))),"시각 결측",IF(P2432&lt;=N2432,"P0 시각 역전",IF(OR(H2432&lt;N2432,H2432&gt;P2432),"측정시각 구간 밖","OK")))))</f>
        <v/>
      </c>
      <c r="N2432" s="45">
        <f>IF(COUNTIFS($C:$C,$C2432,$D:$D,"P0(전)",$L:$L,"&gt;0")&lt;&gt;1,"",SUMIFS($H:$H,$C:$C,$C2432,$D:$D,"P0(전)"))</f>
        <v/>
      </c>
      <c r="O2432" s="30">
        <f>IF(COUNTIFS($C:$C,$C2432,$D:$D,"P0(전)",$L:$L,"&gt;0")&lt;&gt;1,"",SUMIFS($L:$L,$C:$C,$C2432,$D:$D,"P0(전)"))</f>
        <v/>
      </c>
      <c r="P2432" s="45">
        <f>IF(COUNTIFS($C:$C,$C2432,$D:$D,"P0(후)",$L:$L,"&gt;0")&lt;&gt;1,"",SUMIFS($H:$H,$C:$C,$C2432,$D:$D,"P0(후)"))</f>
        <v/>
      </c>
      <c r="Q2432" s="30">
        <f>IF(COUNTIFS($C:$C,$C2432,$D:$D,"P0(후)",$L:$L,"&gt;0")&lt;&gt;1,"",SUMIFS($L:$L,$C:$C,$C2432,$D:$D,"P0(후)"))</f>
        <v/>
      </c>
      <c r="R2432" s="30">
        <f>IF(M2432&lt;&gt;"OK","",O2432+(Q2432-O2432)*(H2432-N2432)/(P2432-N2432))</f>
        <v/>
      </c>
      <c r="S2432" s="30">
        <f>IF(OR(M2432&lt;&gt;"OK",NOT(ISNUMBER(L2432))),"",L2432-R2432)</f>
        <v/>
      </c>
      <c r="T2432" s="46">
        <f>IF(OR(NOT(ISNUMBER(S2432)),IF(ISNUMBER(G2432),G2432,F2432)=0),"",S2432/IF(ISNUMBER(G2432),G2432,F2432))</f>
        <v/>
      </c>
      <c r="U2432" s="46">
        <f>IF(ISNUMBER(T2432),ABS(T2432),"")</f>
        <v/>
      </c>
      <c r="V2432" s="46">
        <f>IF(OR($D2431&lt;&gt;"측정",$C2431&lt;&gt;$C2432,NOT(ISNUMBER(L2432)),NOT(ISNUMBER(L2431)),(IF(ISNUMBER(G2432),G2432,F2432)-IF(ISNUMBER(G2431),G2431,F2431))=0),"",(L2432-L2431)/(IF(ISNUMBER(G2432),G2432,F2432)-IF(ISNUMBER(G2431),G2431,F2431)))</f>
        <v/>
      </c>
      <c r="W2432" s="30">
        <f>IF(NOT(AND(ISNUMBER(N2432),ISNUMBER(P2432))),"",(P2432-N2432)*1440)</f>
        <v/>
      </c>
      <c r="X2432" s="28" t="n"/>
      <c r="Y2432" s="28" t="n"/>
      <c r="Z2432" s="28" t="n"/>
      <c r="AA2432" s="31" t="n"/>
      <c r="AB2432" s="31" t="n"/>
    </row>
    <row r="2433">
      <c r="A2433" s="25" t="inlineStr">
        <is>
          <t>S47</t>
        </is>
      </c>
      <c r="B2433" s="25" t="inlineStr">
        <is>
          <t>봉평</t>
        </is>
      </c>
      <c r="C2433" s="25" t="inlineStr">
        <is>
          <t>S47-H남</t>
        </is>
      </c>
      <c r="D2433" s="25" t="inlineStr">
        <is>
          <t>측정</t>
        </is>
      </c>
      <c r="E2433" s="25" t="inlineStr">
        <is>
          <t>남</t>
        </is>
      </c>
      <c r="F2433" s="30" t="n">
        <v>9</v>
      </c>
      <c r="G2433" s="29" t="n"/>
      <c r="H2433" s="42" t="n"/>
      <c r="I2433" s="40" t="n"/>
      <c r="J2433" s="40" t="n"/>
      <c r="K2433" s="40" t="n"/>
      <c r="L2433" s="30">
        <f>IF(COUNT(I2433:K2433)=0,"",MEDIAN(I2433:K2433))</f>
        <v/>
      </c>
      <c r="M2433" s="25">
        <f>IF(COUNTIFS($C:$C,$C2433,$D:$D,"P0(전)",$L:$L,"&gt;0")&lt;&gt;1,"P0(전) 유효 1개 아님",IF(COUNTIFS($C:$C,$C2433,$D:$D,"P0(후)",$L:$L,"&gt;0")&lt;&gt;1,"P0(후) 유효 1개 아님",IF(NOT(AND(ISNUMBER(N2433),ISNUMBER(P2433),ISNUMBER(H2433))),"시각 결측",IF(P2433&lt;=N2433,"P0 시각 역전",IF(OR(H2433&lt;N2433,H2433&gt;P2433),"측정시각 구간 밖","OK")))))</f>
        <v/>
      </c>
      <c r="N2433" s="45">
        <f>IF(COUNTIFS($C:$C,$C2433,$D:$D,"P0(전)",$L:$L,"&gt;0")&lt;&gt;1,"",SUMIFS($H:$H,$C:$C,$C2433,$D:$D,"P0(전)"))</f>
        <v/>
      </c>
      <c r="O2433" s="30">
        <f>IF(COUNTIFS($C:$C,$C2433,$D:$D,"P0(전)",$L:$L,"&gt;0")&lt;&gt;1,"",SUMIFS($L:$L,$C:$C,$C2433,$D:$D,"P0(전)"))</f>
        <v/>
      </c>
      <c r="P2433" s="45">
        <f>IF(COUNTIFS($C:$C,$C2433,$D:$D,"P0(후)",$L:$L,"&gt;0")&lt;&gt;1,"",SUMIFS($H:$H,$C:$C,$C2433,$D:$D,"P0(후)"))</f>
        <v/>
      </c>
      <c r="Q2433" s="30">
        <f>IF(COUNTIFS($C:$C,$C2433,$D:$D,"P0(후)",$L:$L,"&gt;0")&lt;&gt;1,"",SUMIFS($L:$L,$C:$C,$C2433,$D:$D,"P0(후)"))</f>
        <v/>
      </c>
      <c r="R2433" s="30">
        <f>IF(M2433&lt;&gt;"OK","",O2433+(Q2433-O2433)*(H2433-N2433)/(P2433-N2433))</f>
        <v/>
      </c>
      <c r="S2433" s="30">
        <f>IF(OR(M2433&lt;&gt;"OK",NOT(ISNUMBER(L2433))),"",L2433-R2433)</f>
        <v/>
      </c>
      <c r="T2433" s="46">
        <f>IF(OR(NOT(ISNUMBER(S2433)),IF(ISNUMBER(G2433),G2433,F2433)=0),"",S2433/IF(ISNUMBER(G2433),G2433,F2433))</f>
        <v/>
      </c>
      <c r="U2433" s="46">
        <f>IF(ISNUMBER(T2433),ABS(T2433),"")</f>
        <v/>
      </c>
      <c r="V2433" s="46">
        <f>IF(OR($D2432&lt;&gt;"측정",$C2432&lt;&gt;$C2433,NOT(ISNUMBER(L2433)),NOT(ISNUMBER(L2432)),(IF(ISNUMBER(G2433),G2433,F2433)-IF(ISNUMBER(G2432),G2432,F2432))=0),"",(L2433-L2432)/(IF(ISNUMBER(G2433),G2433,F2433)-IF(ISNUMBER(G2432),G2432,F2432)))</f>
        <v/>
      </c>
      <c r="W2433" s="30">
        <f>IF(NOT(AND(ISNUMBER(N2433),ISNUMBER(P2433))),"",(P2433-N2433)*1440)</f>
        <v/>
      </c>
      <c r="X2433" s="28" t="n"/>
      <c r="Y2433" s="28" t="n"/>
      <c r="Z2433" s="28" t="n"/>
      <c r="AA2433" s="31" t="n"/>
      <c r="AB2433" s="31" t="n"/>
    </row>
    <row r="2434">
      <c r="A2434" s="25" t="inlineStr">
        <is>
          <t>S47</t>
        </is>
      </c>
      <c r="B2434" s="25" t="inlineStr">
        <is>
          <t>봉평</t>
        </is>
      </c>
      <c r="C2434" s="25" t="inlineStr">
        <is>
          <t>S47-H남</t>
        </is>
      </c>
      <c r="D2434" s="25" t="inlineStr">
        <is>
          <t>측정</t>
        </is>
      </c>
      <c r="E2434" s="25" t="inlineStr">
        <is>
          <t>남</t>
        </is>
      </c>
      <c r="F2434" s="30" t="n">
        <v>10</v>
      </c>
      <c r="G2434" s="29" t="n"/>
      <c r="H2434" s="42" t="n"/>
      <c r="I2434" s="40" t="n"/>
      <c r="J2434" s="40" t="n"/>
      <c r="K2434" s="40" t="n"/>
      <c r="L2434" s="30">
        <f>IF(COUNT(I2434:K2434)=0,"",MEDIAN(I2434:K2434))</f>
        <v/>
      </c>
      <c r="M2434" s="25">
        <f>IF(COUNTIFS($C:$C,$C2434,$D:$D,"P0(전)",$L:$L,"&gt;0")&lt;&gt;1,"P0(전) 유효 1개 아님",IF(COUNTIFS($C:$C,$C2434,$D:$D,"P0(후)",$L:$L,"&gt;0")&lt;&gt;1,"P0(후) 유효 1개 아님",IF(NOT(AND(ISNUMBER(N2434),ISNUMBER(P2434),ISNUMBER(H2434))),"시각 결측",IF(P2434&lt;=N2434,"P0 시각 역전",IF(OR(H2434&lt;N2434,H2434&gt;P2434),"측정시각 구간 밖","OK")))))</f>
        <v/>
      </c>
      <c r="N2434" s="45">
        <f>IF(COUNTIFS($C:$C,$C2434,$D:$D,"P0(전)",$L:$L,"&gt;0")&lt;&gt;1,"",SUMIFS($H:$H,$C:$C,$C2434,$D:$D,"P0(전)"))</f>
        <v/>
      </c>
      <c r="O2434" s="30">
        <f>IF(COUNTIFS($C:$C,$C2434,$D:$D,"P0(전)",$L:$L,"&gt;0")&lt;&gt;1,"",SUMIFS($L:$L,$C:$C,$C2434,$D:$D,"P0(전)"))</f>
        <v/>
      </c>
      <c r="P2434" s="45">
        <f>IF(COUNTIFS($C:$C,$C2434,$D:$D,"P0(후)",$L:$L,"&gt;0")&lt;&gt;1,"",SUMIFS($H:$H,$C:$C,$C2434,$D:$D,"P0(후)"))</f>
        <v/>
      </c>
      <c r="Q2434" s="30">
        <f>IF(COUNTIFS($C:$C,$C2434,$D:$D,"P0(후)",$L:$L,"&gt;0")&lt;&gt;1,"",SUMIFS($L:$L,$C:$C,$C2434,$D:$D,"P0(후)"))</f>
        <v/>
      </c>
      <c r="R2434" s="30">
        <f>IF(M2434&lt;&gt;"OK","",O2434+(Q2434-O2434)*(H2434-N2434)/(P2434-N2434))</f>
        <v/>
      </c>
      <c r="S2434" s="30">
        <f>IF(OR(M2434&lt;&gt;"OK",NOT(ISNUMBER(L2434))),"",L2434-R2434)</f>
        <v/>
      </c>
      <c r="T2434" s="46">
        <f>IF(OR(NOT(ISNUMBER(S2434)),IF(ISNUMBER(G2434),G2434,F2434)=0),"",S2434/IF(ISNUMBER(G2434),G2434,F2434))</f>
        <v/>
      </c>
      <c r="U2434" s="46">
        <f>IF(ISNUMBER(T2434),ABS(T2434),"")</f>
        <v/>
      </c>
      <c r="V2434" s="46">
        <f>IF(OR($D2433&lt;&gt;"측정",$C2433&lt;&gt;$C2434,NOT(ISNUMBER(L2434)),NOT(ISNUMBER(L2433)),(IF(ISNUMBER(G2434),G2434,F2434)-IF(ISNUMBER(G2433),G2433,F2433))=0),"",(L2434-L2433)/(IF(ISNUMBER(G2434),G2434,F2434)-IF(ISNUMBER(G2433),G2433,F2433)))</f>
        <v/>
      </c>
      <c r="W2434" s="30">
        <f>IF(NOT(AND(ISNUMBER(N2434),ISNUMBER(P2434))),"",(P2434-N2434)*1440)</f>
        <v/>
      </c>
      <c r="X2434" s="28" t="n"/>
      <c r="Y2434" s="28" t="n"/>
      <c r="Z2434" s="28" t="n"/>
      <c r="AA2434" s="31" t="n"/>
      <c r="AB2434" s="31" t="n"/>
    </row>
    <row r="2435">
      <c r="A2435" s="43" t="inlineStr">
        <is>
          <t>S47</t>
        </is>
      </c>
      <c r="B2435" s="43" t="inlineStr">
        <is>
          <t>봉평</t>
        </is>
      </c>
      <c r="C2435" s="43" t="inlineStr">
        <is>
          <t>S47-H남</t>
        </is>
      </c>
      <c r="D2435" s="43" t="inlineStr">
        <is>
          <t>P0(후)</t>
        </is>
      </c>
      <c r="E2435" s="43" t="inlineStr">
        <is>
          <t>남</t>
        </is>
      </c>
      <c r="F2435" s="44" t="n"/>
      <c r="G2435" s="29" t="n"/>
      <c r="H2435" s="42" t="n"/>
      <c r="I2435" s="40" t="n"/>
      <c r="J2435" s="40" t="n"/>
      <c r="K2435" s="40" t="n"/>
      <c r="L2435" s="30">
        <f>IF(COUNT(I2435:K2435)=0,"",MEDIAN(I2435:K2435))</f>
        <v/>
      </c>
      <c r="M2435" s="37" t="n"/>
      <c r="N2435" s="37" t="n"/>
      <c r="O2435" s="37" t="n"/>
      <c r="P2435" s="37" t="n"/>
      <c r="Q2435" s="37" t="n"/>
      <c r="R2435" s="37" t="n"/>
      <c r="S2435" s="37" t="n"/>
      <c r="T2435" s="37" t="n"/>
      <c r="U2435" s="37" t="n"/>
      <c r="V2435" s="37" t="n"/>
      <c r="W2435" s="37" t="n"/>
      <c r="X2435" s="28" t="n"/>
      <c r="Y2435" s="28" t="n"/>
      <c r="Z2435" s="28" t="n"/>
      <c r="AA2435" s="31" t="n"/>
      <c r="AB2435" s="31" t="n"/>
    </row>
    <row r="2436">
      <c r="A2436" s="43" t="inlineStr">
        <is>
          <t>S47</t>
        </is>
      </c>
      <c r="B2436" s="43" t="inlineStr">
        <is>
          <t>봉평</t>
        </is>
      </c>
      <c r="C2436" s="43" t="inlineStr">
        <is>
          <t>S47-H북</t>
        </is>
      </c>
      <c r="D2436" s="43" t="inlineStr">
        <is>
          <t>P0(전)</t>
        </is>
      </c>
      <c r="E2436" s="43" t="inlineStr">
        <is>
          <t>북</t>
        </is>
      </c>
      <c r="F2436" s="44" t="n"/>
      <c r="G2436" s="29" t="n"/>
      <c r="H2436" s="42" t="n"/>
      <c r="I2436" s="40" t="n"/>
      <c r="J2436" s="40" t="n"/>
      <c r="K2436" s="40" t="n"/>
      <c r="L2436" s="30">
        <f>IF(COUNT(I2436:K2436)=0,"",MEDIAN(I2436:K2436))</f>
        <v/>
      </c>
      <c r="M2436" s="37" t="n"/>
      <c r="N2436" s="37" t="n"/>
      <c r="O2436" s="37" t="n"/>
      <c r="P2436" s="37" t="n"/>
      <c r="Q2436" s="37" t="n"/>
      <c r="R2436" s="37" t="n"/>
      <c r="S2436" s="37" t="n"/>
      <c r="T2436" s="37" t="n"/>
      <c r="U2436" s="37" t="n"/>
      <c r="V2436" s="37" t="n"/>
      <c r="W2436" s="37" t="n"/>
      <c r="X2436" s="28" t="n"/>
      <c r="Y2436" s="28" t="n"/>
      <c r="Z2436" s="28" t="n"/>
      <c r="AA2436" s="31" t="n"/>
      <c r="AB2436" s="31" t="n"/>
    </row>
    <row r="2437">
      <c r="A2437" s="25" t="inlineStr">
        <is>
          <t>S47</t>
        </is>
      </c>
      <c r="B2437" s="25" t="inlineStr">
        <is>
          <t>봉평</t>
        </is>
      </c>
      <c r="C2437" s="25" t="inlineStr">
        <is>
          <t>S47-H북</t>
        </is>
      </c>
      <c r="D2437" s="25" t="inlineStr">
        <is>
          <t>측정</t>
        </is>
      </c>
      <c r="E2437" s="25" t="inlineStr">
        <is>
          <t>북</t>
        </is>
      </c>
      <c r="F2437" s="30" t="n">
        <v>0.5</v>
      </c>
      <c r="G2437" s="29" t="n"/>
      <c r="H2437" s="42" t="n"/>
      <c r="I2437" s="40" t="n"/>
      <c r="J2437" s="40" t="n"/>
      <c r="K2437" s="40" t="n"/>
      <c r="L2437" s="30">
        <f>IF(COUNT(I2437:K2437)=0,"",MEDIAN(I2437:K2437))</f>
        <v/>
      </c>
      <c r="M2437" s="25">
        <f>IF(COUNTIFS($C:$C,$C2437,$D:$D,"P0(전)",$L:$L,"&gt;0")&lt;&gt;1,"P0(전) 유효 1개 아님",IF(COUNTIFS($C:$C,$C2437,$D:$D,"P0(후)",$L:$L,"&gt;0")&lt;&gt;1,"P0(후) 유효 1개 아님",IF(NOT(AND(ISNUMBER(N2437),ISNUMBER(P2437),ISNUMBER(H2437))),"시각 결측",IF(P2437&lt;=N2437,"P0 시각 역전",IF(OR(H2437&lt;N2437,H2437&gt;P2437),"측정시각 구간 밖","OK")))))</f>
        <v/>
      </c>
      <c r="N2437" s="45">
        <f>IF(COUNTIFS($C:$C,$C2437,$D:$D,"P0(전)",$L:$L,"&gt;0")&lt;&gt;1,"",SUMIFS($H:$H,$C:$C,$C2437,$D:$D,"P0(전)"))</f>
        <v/>
      </c>
      <c r="O2437" s="30">
        <f>IF(COUNTIFS($C:$C,$C2437,$D:$D,"P0(전)",$L:$L,"&gt;0")&lt;&gt;1,"",SUMIFS($L:$L,$C:$C,$C2437,$D:$D,"P0(전)"))</f>
        <v/>
      </c>
      <c r="P2437" s="45">
        <f>IF(COUNTIFS($C:$C,$C2437,$D:$D,"P0(후)",$L:$L,"&gt;0")&lt;&gt;1,"",SUMIFS($H:$H,$C:$C,$C2437,$D:$D,"P0(후)"))</f>
        <v/>
      </c>
      <c r="Q2437" s="30">
        <f>IF(COUNTIFS($C:$C,$C2437,$D:$D,"P0(후)",$L:$L,"&gt;0")&lt;&gt;1,"",SUMIFS($L:$L,$C:$C,$C2437,$D:$D,"P0(후)"))</f>
        <v/>
      </c>
      <c r="R2437" s="30">
        <f>IF(M2437&lt;&gt;"OK","",O2437+(Q2437-O2437)*(H2437-N2437)/(P2437-N2437))</f>
        <v/>
      </c>
      <c r="S2437" s="30">
        <f>IF(OR(M2437&lt;&gt;"OK",NOT(ISNUMBER(L2437))),"",L2437-R2437)</f>
        <v/>
      </c>
      <c r="T2437" s="46">
        <f>IF(OR(NOT(ISNUMBER(S2437)),IF(ISNUMBER(G2437),G2437,F2437)=0),"",S2437/IF(ISNUMBER(G2437),G2437,F2437))</f>
        <v/>
      </c>
      <c r="U2437" s="46">
        <f>IF(ISNUMBER(T2437),ABS(T2437),"")</f>
        <v/>
      </c>
      <c r="V2437" s="46">
        <f>IF(OR($D2436&lt;&gt;"측정",$C2436&lt;&gt;$C2437,NOT(ISNUMBER(L2437)),NOT(ISNUMBER(L2436)),(IF(ISNUMBER(G2437),G2437,F2437)-IF(ISNUMBER(G2436),G2436,F2436))=0),"",(L2437-L2436)/(IF(ISNUMBER(G2437),G2437,F2437)-IF(ISNUMBER(G2436),G2436,F2436)))</f>
        <v/>
      </c>
      <c r="W2437" s="30">
        <f>IF(NOT(AND(ISNUMBER(N2437),ISNUMBER(P2437))),"",(P2437-N2437)*1440)</f>
        <v/>
      </c>
      <c r="X2437" s="28" t="n"/>
      <c r="Y2437" s="28" t="n"/>
      <c r="Z2437" s="28" t="n"/>
      <c r="AA2437" s="31" t="n"/>
      <c r="AB2437" s="31" t="n"/>
    </row>
    <row r="2438">
      <c r="A2438" s="25" t="inlineStr">
        <is>
          <t>S47</t>
        </is>
      </c>
      <c r="B2438" s="25" t="inlineStr">
        <is>
          <t>봉평</t>
        </is>
      </c>
      <c r="C2438" s="25" t="inlineStr">
        <is>
          <t>S47-H북</t>
        </is>
      </c>
      <c r="D2438" s="25" t="inlineStr">
        <is>
          <t>측정</t>
        </is>
      </c>
      <c r="E2438" s="25" t="inlineStr">
        <is>
          <t>북</t>
        </is>
      </c>
      <c r="F2438" s="30" t="n">
        <v>1</v>
      </c>
      <c r="G2438" s="29" t="n"/>
      <c r="H2438" s="42" t="n"/>
      <c r="I2438" s="40" t="n"/>
      <c r="J2438" s="40" t="n"/>
      <c r="K2438" s="40" t="n"/>
      <c r="L2438" s="30">
        <f>IF(COUNT(I2438:K2438)=0,"",MEDIAN(I2438:K2438))</f>
        <v/>
      </c>
      <c r="M2438" s="25">
        <f>IF(COUNTIFS($C:$C,$C2438,$D:$D,"P0(전)",$L:$L,"&gt;0")&lt;&gt;1,"P0(전) 유효 1개 아님",IF(COUNTIFS($C:$C,$C2438,$D:$D,"P0(후)",$L:$L,"&gt;0")&lt;&gt;1,"P0(후) 유효 1개 아님",IF(NOT(AND(ISNUMBER(N2438),ISNUMBER(P2438),ISNUMBER(H2438))),"시각 결측",IF(P2438&lt;=N2438,"P0 시각 역전",IF(OR(H2438&lt;N2438,H2438&gt;P2438),"측정시각 구간 밖","OK")))))</f>
        <v/>
      </c>
      <c r="N2438" s="45">
        <f>IF(COUNTIFS($C:$C,$C2438,$D:$D,"P0(전)",$L:$L,"&gt;0")&lt;&gt;1,"",SUMIFS($H:$H,$C:$C,$C2438,$D:$D,"P0(전)"))</f>
        <v/>
      </c>
      <c r="O2438" s="30">
        <f>IF(COUNTIFS($C:$C,$C2438,$D:$D,"P0(전)",$L:$L,"&gt;0")&lt;&gt;1,"",SUMIFS($L:$L,$C:$C,$C2438,$D:$D,"P0(전)"))</f>
        <v/>
      </c>
      <c r="P2438" s="45">
        <f>IF(COUNTIFS($C:$C,$C2438,$D:$D,"P0(후)",$L:$L,"&gt;0")&lt;&gt;1,"",SUMIFS($H:$H,$C:$C,$C2438,$D:$D,"P0(후)"))</f>
        <v/>
      </c>
      <c r="Q2438" s="30">
        <f>IF(COUNTIFS($C:$C,$C2438,$D:$D,"P0(후)",$L:$L,"&gt;0")&lt;&gt;1,"",SUMIFS($L:$L,$C:$C,$C2438,$D:$D,"P0(후)"))</f>
        <v/>
      </c>
      <c r="R2438" s="30">
        <f>IF(M2438&lt;&gt;"OK","",O2438+(Q2438-O2438)*(H2438-N2438)/(P2438-N2438))</f>
        <v/>
      </c>
      <c r="S2438" s="30">
        <f>IF(OR(M2438&lt;&gt;"OK",NOT(ISNUMBER(L2438))),"",L2438-R2438)</f>
        <v/>
      </c>
      <c r="T2438" s="46">
        <f>IF(OR(NOT(ISNUMBER(S2438)),IF(ISNUMBER(G2438),G2438,F2438)=0),"",S2438/IF(ISNUMBER(G2438),G2438,F2438))</f>
        <v/>
      </c>
      <c r="U2438" s="46">
        <f>IF(ISNUMBER(T2438),ABS(T2438),"")</f>
        <v/>
      </c>
      <c r="V2438" s="46">
        <f>IF(OR($D2437&lt;&gt;"측정",$C2437&lt;&gt;$C2438,NOT(ISNUMBER(L2438)),NOT(ISNUMBER(L2437)),(IF(ISNUMBER(G2438),G2438,F2438)-IF(ISNUMBER(G2437),G2437,F2437))=0),"",(L2438-L2437)/(IF(ISNUMBER(G2438),G2438,F2438)-IF(ISNUMBER(G2437),G2437,F2437)))</f>
        <v/>
      </c>
      <c r="W2438" s="30">
        <f>IF(NOT(AND(ISNUMBER(N2438),ISNUMBER(P2438))),"",(P2438-N2438)*1440)</f>
        <v/>
      </c>
      <c r="X2438" s="28" t="n"/>
      <c r="Y2438" s="28" t="n"/>
      <c r="Z2438" s="28" t="n"/>
      <c r="AA2438" s="31" t="n"/>
      <c r="AB2438" s="31" t="n"/>
    </row>
    <row r="2439">
      <c r="A2439" s="25" t="inlineStr">
        <is>
          <t>S47</t>
        </is>
      </c>
      <c r="B2439" s="25" t="inlineStr">
        <is>
          <t>봉평</t>
        </is>
      </c>
      <c r="C2439" s="25" t="inlineStr">
        <is>
          <t>S47-H북</t>
        </is>
      </c>
      <c r="D2439" s="25" t="inlineStr">
        <is>
          <t>측정</t>
        </is>
      </c>
      <c r="E2439" s="25" t="inlineStr">
        <is>
          <t>북</t>
        </is>
      </c>
      <c r="F2439" s="30" t="n">
        <v>2</v>
      </c>
      <c r="G2439" s="29" t="n"/>
      <c r="H2439" s="42" t="n"/>
      <c r="I2439" s="40" t="n"/>
      <c r="J2439" s="40" t="n"/>
      <c r="K2439" s="40" t="n"/>
      <c r="L2439" s="30">
        <f>IF(COUNT(I2439:K2439)=0,"",MEDIAN(I2439:K2439))</f>
        <v/>
      </c>
      <c r="M2439" s="25">
        <f>IF(COUNTIFS($C:$C,$C2439,$D:$D,"P0(전)",$L:$L,"&gt;0")&lt;&gt;1,"P0(전) 유효 1개 아님",IF(COUNTIFS($C:$C,$C2439,$D:$D,"P0(후)",$L:$L,"&gt;0")&lt;&gt;1,"P0(후) 유효 1개 아님",IF(NOT(AND(ISNUMBER(N2439),ISNUMBER(P2439),ISNUMBER(H2439))),"시각 결측",IF(P2439&lt;=N2439,"P0 시각 역전",IF(OR(H2439&lt;N2439,H2439&gt;P2439),"측정시각 구간 밖","OK")))))</f>
        <v/>
      </c>
      <c r="N2439" s="45">
        <f>IF(COUNTIFS($C:$C,$C2439,$D:$D,"P0(전)",$L:$L,"&gt;0")&lt;&gt;1,"",SUMIFS($H:$H,$C:$C,$C2439,$D:$D,"P0(전)"))</f>
        <v/>
      </c>
      <c r="O2439" s="30">
        <f>IF(COUNTIFS($C:$C,$C2439,$D:$D,"P0(전)",$L:$L,"&gt;0")&lt;&gt;1,"",SUMIFS($L:$L,$C:$C,$C2439,$D:$D,"P0(전)"))</f>
        <v/>
      </c>
      <c r="P2439" s="45">
        <f>IF(COUNTIFS($C:$C,$C2439,$D:$D,"P0(후)",$L:$L,"&gt;0")&lt;&gt;1,"",SUMIFS($H:$H,$C:$C,$C2439,$D:$D,"P0(후)"))</f>
        <v/>
      </c>
      <c r="Q2439" s="30">
        <f>IF(COUNTIFS($C:$C,$C2439,$D:$D,"P0(후)",$L:$L,"&gt;0")&lt;&gt;1,"",SUMIFS($L:$L,$C:$C,$C2439,$D:$D,"P0(후)"))</f>
        <v/>
      </c>
      <c r="R2439" s="30">
        <f>IF(M2439&lt;&gt;"OK","",O2439+(Q2439-O2439)*(H2439-N2439)/(P2439-N2439))</f>
        <v/>
      </c>
      <c r="S2439" s="30">
        <f>IF(OR(M2439&lt;&gt;"OK",NOT(ISNUMBER(L2439))),"",L2439-R2439)</f>
        <v/>
      </c>
      <c r="T2439" s="46">
        <f>IF(OR(NOT(ISNUMBER(S2439)),IF(ISNUMBER(G2439),G2439,F2439)=0),"",S2439/IF(ISNUMBER(G2439),G2439,F2439))</f>
        <v/>
      </c>
      <c r="U2439" s="46">
        <f>IF(ISNUMBER(T2439),ABS(T2439),"")</f>
        <v/>
      </c>
      <c r="V2439" s="46">
        <f>IF(OR($D2438&lt;&gt;"측정",$C2438&lt;&gt;$C2439,NOT(ISNUMBER(L2439)),NOT(ISNUMBER(L2438)),(IF(ISNUMBER(G2439),G2439,F2439)-IF(ISNUMBER(G2438),G2438,F2438))=0),"",(L2439-L2438)/(IF(ISNUMBER(G2439),G2439,F2439)-IF(ISNUMBER(G2438),G2438,F2438)))</f>
        <v/>
      </c>
      <c r="W2439" s="30">
        <f>IF(NOT(AND(ISNUMBER(N2439),ISNUMBER(P2439))),"",(P2439-N2439)*1440)</f>
        <v/>
      </c>
      <c r="X2439" s="28" t="n"/>
      <c r="Y2439" s="28" t="n"/>
      <c r="Z2439" s="28" t="n"/>
      <c r="AA2439" s="31" t="n"/>
      <c r="AB2439" s="31" t="n"/>
    </row>
    <row r="2440">
      <c r="A2440" s="25" t="inlineStr">
        <is>
          <t>S47</t>
        </is>
      </c>
      <c r="B2440" s="25" t="inlineStr">
        <is>
          <t>봉평</t>
        </is>
      </c>
      <c r="C2440" s="25" t="inlineStr">
        <is>
          <t>S47-H북</t>
        </is>
      </c>
      <c r="D2440" s="25" t="inlineStr">
        <is>
          <t>측정</t>
        </is>
      </c>
      <c r="E2440" s="25" t="inlineStr">
        <is>
          <t>북</t>
        </is>
      </c>
      <c r="F2440" s="30" t="n">
        <v>3</v>
      </c>
      <c r="G2440" s="29" t="n"/>
      <c r="H2440" s="42" t="n"/>
      <c r="I2440" s="40" t="n"/>
      <c r="J2440" s="40" t="n"/>
      <c r="K2440" s="40" t="n"/>
      <c r="L2440" s="30">
        <f>IF(COUNT(I2440:K2440)=0,"",MEDIAN(I2440:K2440))</f>
        <v/>
      </c>
      <c r="M2440" s="25">
        <f>IF(COUNTIFS($C:$C,$C2440,$D:$D,"P0(전)",$L:$L,"&gt;0")&lt;&gt;1,"P0(전) 유효 1개 아님",IF(COUNTIFS($C:$C,$C2440,$D:$D,"P0(후)",$L:$L,"&gt;0")&lt;&gt;1,"P0(후) 유효 1개 아님",IF(NOT(AND(ISNUMBER(N2440),ISNUMBER(P2440),ISNUMBER(H2440))),"시각 결측",IF(P2440&lt;=N2440,"P0 시각 역전",IF(OR(H2440&lt;N2440,H2440&gt;P2440),"측정시각 구간 밖","OK")))))</f>
        <v/>
      </c>
      <c r="N2440" s="45">
        <f>IF(COUNTIFS($C:$C,$C2440,$D:$D,"P0(전)",$L:$L,"&gt;0")&lt;&gt;1,"",SUMIFS($H:$H,$C:$C,$C2440,$D:$D,"P0(전)"))</f>
        <v/>
      </c>
      <c r="O2440" s="30">
        <f>IF(COUNTIFS($C:$C,$C2440,$D:$D,"P0(전)",$L:$L,"&gt;0")&lt;&gt;1,"",SUMIFS($L:$L,$C:$C,$C2440,$D:$D,"P0(전)"))</f>
        <v/>
      </c>
      <c r="P2440" s="45">
        <f>IF(COUNTIFS($C:$C,$C2440,$D:$D,"P0(후)",$L:$L,"&gt;0")&lt;&gt;1,"",SUMIFS($H:$H,$C:$C,$C2440,$D:$D,"P0(후)"))</f>
        <v/>
      </c>
      <c r="Q2440" s="30">
        <f>IF(COUNTIFS($C:$C,$C2440,$D:$D,"P0(후)",$L:$L,"&gt;0")&lt;&gt;1,"",SUMIFS($L:$L,$C:$C,$C2440,$D:$D,"P0(후)"))</f>
        <v/>
      </c>
      <c r="R2440" s="30">
        <f>IF(M2440&lt;&gt;"OK","",O2440+(Q2440-O2440)*(H2440-N2440)/(P2440-N2440))</f>
        <v/>
      </c>
      <c r="S2440" s="30">
        <f>IF(OR(M2440&lt;&gt;"OK",NOT(ISNUMBER(L2440))),"",L2440-R2440)</f>
        <v/>
      </c>
      <c r="T2440" s="46">
        <f>IF(OR(NOT(ISNUMBER(S2440)),IF(ISNUMBER(G2440),G2440,F2440)=0),"",S2440/IF(ISNUMBER(G2440),G2440,F2440))</f>
        <v/>
      </c>
      <c r="U2440" s="46">
        <f>IF(ISNUMBER(T2440),ABS(T2440),"")</f>
        <v/>
      </c>
      <c r="V2440" s="46">
        <f>IF(OR($D2439&lt;&gt;"측정",$C2439&lt;&gt;$C2440,NOT(ISNUMBER(L2440)),NOT(ISNUMBER(L2439)),(IF(ISNUMBER(G2440),G2440,F2440)-IF(ISNUMBER(G2439),G2439,F2439))=0),"",(L2440-L2439)/(IF(ISNUMBER(G2440),G2440,F2440)-IF(ISNUMBER(G2439),G2439,F2439)))</f>
        <v/>
      </c>
      <c r="W2440" s="30">
        <f>IF(NOT(AND(ISNUMBER(N2440),ISNUMBER(P2440))),"",(P2440-N2440)*1440)</f>
        <v/>
      </c>
      <c r="X2440" s="28" t="n"/>
      <c r="Y2440" s="28" t="n"/>
      <c r="Z2440" s="28" t="n"/>
      <c r="AA2440" s="31" t="n"/>
      <c r="AB2440" s="31" t="n"/>
    </row>
    <row r="2441">
      <c r="A2441" s="25" t="inlineStr">
        <is>
          <t>S47</t>
        </is>
      </c>
      <c r="B2441" s="25" t="inlineStr">
        <is>
          <t>봉평</t>
        </is>
      </c>
      <c r="C2441" s="25" t="inlineStr">
        <is>
          <t>S47-H북</t>
        </is>
      </c>
      <c r="D2441" s="25" t="inlineStr">
        <is>
          <t>측정</t>
        </is>
      </c>
      <c r="E2441" s="25" t="inlineStr">
        <is>
          <t>북</t>
        </is>
      </c>
      <c r="F2441" s="30" t="n">
        <v>4</v>
      </c>
      <c r="G2441" s="29" t="n"/>
      <c r="H2441" s="42" t="n"/>
      <c r="I2441" s="40" t="n"/>
      <c r="J2441" s="40" t="n"/>
      <c r="K2441" s="40" t="n"/>
      <c r="L2441" s="30">
        <f>IF(COUNT(I2441:K2441)=0,"",MEDIAN(I2441:K2441))</f>
        <v/>
      </c>
      <c r="M2441" s="25">
        <f>IF(COUNTIFS($C:$C,$C2441,$D:$D,"P0(전)",$L:$L,"&gt;0")&lt;&gt;1,"P0(전) 유효 1개 아님",IF(COUNTIFS($C:$C,$C2441,$D:$D,"P0(후)",$L:$L,"&gt;0")&lt;&gt;1,"P0(후) 유효 1개 아님",IF(NOT(AND(ISNUMBER(N2441),ISNUMBER(P2441),ISNUMBER(H2441))),"시각 결측",IF(P2441&lt;=N2441,"P0 시각 역전",IF(OR(H2441&lt;N2441,H2441&gt;P2441),"측정시각 구간 밖","OK")))))</f>
        <v/>
      </c>
      <c r="N2441" s="45">
        <f>IF(COUNTIFS($C:$C,$C2441,$D:$D,"P0(전)",$L:$L,"&gt;0")&lt;&gt;1,"",SUMIFS($H:$H,$C:$C,$C2441,$D:$D,"P0(전)"))</f>
        <v/>
      </c>
      <c r="O2441" s="30">
        <f>IF(COUNTIFS($C:$C,$C2441,$D:$D,"P0(전)",$L:$L,"&gt;0")&lt;&gt;1,"",SUMIFS($L:$L,$C:$C,$C2441,$D:$D,"P0(전)"))</f>
        <v/>
      </c>
      <c r="P2441" s="45">
        <f>IF(COUNTIFS($C:$C,$C2441,$D:$D,"P0(후)",$L:$L,"&gt;0")&lt;&gt;1,"",SUMIFS($H:$H,$C:$C,$C2441,$D:$D,"P0(후)"))</f>
        <v/>
      </c>
      <c r="Q2441" s="30">
        <f>IF(COUNTIFS($C:$C,$C2441,$D:$D,"P0(후)",$L:$L,"&gt;0")&lt;&gt;1,"",SUMIFS($L:$L,$C:$C,$C2441,$D:$D,"P0(후)"))</f>
        <v/>
      </c>
      <c r="R2441" s="30">
        <f>IF(M2441&lt;&gt;"OK","",O2441+(Q2441-O2441)*(H2441-N2441)/(P2441-N2441))</f>
        <v/>
      </c>
      <c r="S2441" s="30">
        <f>IF(OR(M2441&lt;&gt;"OK",NOT(ISNUMBER(L2441))),"",L2441-R2441)</f>
        <v/>
      </c>
      <c r="T2441" s="46">
        <f>IF(OR(NOT(ISNUMBER(S2441)),IF(ISNUMBER(G2441),G2441,F2441)=0),"",S2441/IF(ISNUMBER(G2441),G2441,F2441))</f>
        <v/>
      </c>
      <c r="U2441" s="46">
        <f>IF(ISNUMBER(T2441),ABS(T2441),"")</f>
        <v/>
      </c>
      <c r="V2441" s="46">
        <f>IF(OR($D2440&lt;&gt;"측정",$C2440&lt;&gt;$C2441,NOT(ISNUMBER(L2441)),NOT(ISNUMBER(L2440)),(IF(ISNUMBER(G2441),G2441,F2441)-IF(ISNUMBER(G2440),G2440,F2440))=0),"",(L2441-L2440)/(IF(ISNUMBER(G2441),G2441,F2441)-IF(ISNUMBER(G2440),G2440,F2440)))</f>
        <v/>
      </c>
      <c r="W2441" s="30">
        <f>IF(NOT(AND(ISNUMBER(N2441),ISNUMBER(P2441))),"",(P2441-N2441)*1440)</f>
        <v/>
      </c>
      <c r="X2441" s="28" t="n"/>
      <c r="Y2441" s="28" t="n"/>
      <c r="Z2441" s="28" t="n"/>
      <c r="AA2441" s="31" t="n"/>
      <c r="AB2441" s="31" t="n"/>
    </row>
    <row r="2442">
      <c r="A2442" s="25" t="inlineStr">
        <is>
          <t>S47</t>
        </is>
      </c>
      <c r="B2442" s="25" t="inlineStr">
        <is>
          <t>봉평</t>
        </is>
      </c>
      <c r="C2442" s="25" t="inlineStr">
        <is>
          <t>S47-H북</t>
        </is>
      </c>
      <c r="D2442" s="25" t="inlineStr">
        <is>
          <t>측정</t>
        </is>
      </c>
      <c r="E2442" s="25" t="inlineStr">
        <is>
          <t>북</t>
        </is>
      </c>
      <c r="F2442" s="30" t="n">
        <v>5</v>
      </c>
      <c r="G2442" s="29" t="n"/>
      <c r="H2442" s="42" t="n"/>
      <c r="I2442" s="40" t="n"/>
      <c r="J2442" s="40" t="n"/>
      <c r="K2442" s="40" t="n"/>
      <c r="L2442" s="30">
        <f>IF(COUNT(I2442:K2442)=0,"",MEDIAN(I2442:K2442))</f>
        <v/>
      </c>
      <c r="M2442" s="25">
        <f>IF(COUNTIFS($C:$C,$C2442,$D:$D,"P0(전)",$L:$L,"&gt;0")&lt;&gt;1,"P0(전) 유효 1개 아님",IF(COUNTIFS($C:$C,$C2442,$D:$D,"P0(후)",$L:$L,"&gt;0")&lt;&gt;1,"P0(후) 유효 1개 아님",IF(NOT(AND(ISNUMBER(N2442),ISNUMBER(P2442),ISNUMBER(H2442))),"시각 결측",IF(P2442&lt;=N2442,"P0 시각 역전",IF(OR(H2442&lt;N2442,H2442&gt;P2442),"측정시각 구간 밖","OK")))))</f>
        <v/>
      </c>
      <c r="N2442" s="45">
        <f>IF(COUNTIFS($C:$C,$C2442,$D:$D,"P0(전)",$L:$L,"&gt;0")&lt;&gt;1,"",SUMIFS($H:$H,$C:$C,$C2442,$D:$D,"P0(전)"))</f>
        <v/>
      </c>
      <c r="O2442" s="30">
        <f>IF(COUNTIFS($C:$C,$C2442,$D:$D,"P0(전)",$L:$L,"&gt;0")&lt;&gt;1,"",SUMIFS($L:$L,$C:$C,$C2442,$D:$D,"P0(전)"))</f>
        <v/>
      </c>
      <c r="P2442" s="45">
        <f>IF(COUNTIFS($C:$C,$C2442,$D:$D,"P0(후)",$L:$L,"&gt;0")&lt;&gt;1,"",SUMIFS($H:$H,$C:$C,$C2442,$D:$D,"P0(후)"))</f>
        <v/>
      </c>
      <c r="Q2442" s="30">
        <f>IF(COUNTIFS($C:$C,$C2442,$D:$D,"P0(후)",$L:$L,"&gt;0")&lt;&gt;1,"",SUMIFS($L:$L,$C:$C,$C2442,$D:$D,"P0(후)"))</f>
        <v/>
      </c>
      <c r="R2442" s="30">
        <f>IF(M2442&lt;&gt;"OK","",O2442+(Q2442-O2442)*(H2442-N2442)/(P2442-N2442))</f>
        <v/>
      </c>
      <c r="S2442" s="30">
        <f>IF(OR(M2442&lt;&gt;"OK",NOT(ISNUMBER(L2442))),"",L2442-R2442)</f>
        <v/>
      </c>
      <c r="T2442" s="46">
        <f>IF(OR(NOT(ISNUMBER(S2442)),IF(ISNUMBER(G2442),G2442,F2442)=0),"",S2442/IF(ISNUMBER(G2442),G2442,F2442))</f>
        <v/>
      </c>
      <c r="U2442" s="46">
        <f>IF(ISNUMBER(T2442),ABS(T2442),"")</f>
        <v/>
      </c>
      <c r="V2442" s="46">
        <f>IF(OR($D2441&lt;&gt;"측정",$C2441&lt;&gt;$C2442,NOT(ISNUMBER(L2442)),NOT(ISNUMBER(L2441)),(IF(ISNUMBER(G2442),G2442,F2442)-IF(ISNUMBER(G2441),G2441,F2441))=0),"",(L2442-L2441)/(IF(ISNUMBER(G2442),G2442,F2442)-IF(ISNUMBER(G2441),G2441,F2441)))</f>
        <v/>
      </c>
      <c r="W2442" s="30">
        <f>IF(NOT(AND(ISNUMBER(N2442),ISNUMBER(P2442))),"",(P2442-N2442)*1440)</f>
        <v/>
      </c>
      <c r="X2442" s="28" t="n"/>
      <c r="Y2442" s="28" t="n"/>
      <c r="Z2442" s="28" t="n"/>
      <c r="AA2442" s="31" t="n"/>
      <c r="AB2442" s="31" t="n"/>
    </row>
    <row r="2443">
      <c r="A2443" s="25" t="inlineStr">
        <is>
          <t>S47</t>
        </is>
      </c>
      <c r="B2443" s="25" t="inlineStr">
        <is>
          <t>봉평</t>
        </is>
      </c>
      <c r="C2443" s="25" t="inlineStr">
        <is>
          <t>S47-H북</t>
        </is>
      </c>
      <c r="D2443" s="25" t="inlineStr">
        <is>
          <t>측정</t>
        </is>
      </c>
      <c r="E2443" s="25" t="inlineStr">
        <is>
          <t>북</t>
        </is>
      </c>
      <c r="F2443" s="30" t="n">
        <v>6</v>
      </c>
      <c r="G2443" s="29" t="n"/>
      <c r="H2443" s="42" t="n"/>
      <c r="I2443" s="40" t="n"/>
      <c r="J2443" s="40" t="n"/>
      <c r="K2443" s="40" t="n"/>
      <c r="L2443" s="30">
        <f>IF(COUNT(I2443:K2443)=0,"",MEDIAN(I2443:K2443))</f>
        <v/>
      </c>
      <c r="M2443" s="25">
        <f>IF(COUNTIFS($C:$C,$C2443,$D:$D,"P0(전)",$L:$L,"&gt;0")&lt;&gt;1,"P0(전) 유효 1개 아님",IF(COUNTIFS($C:$C,$C2443,$D:$D,"P0(후)",$L:$L,"&gt;0")&lt;&gt;1,"P0(후) 유효 1개 아님",IF(NOT(AND(ISNUMBER(N2443),ISNUMBER(P2443),ISNUMBER(H2443))),"시각 결측",IF(P2443&lt;=N2443,"P0 시각 역전",IF(OR(H2443&lt;N2443,H2443&gt;P2443),"측정시각 구간 밖","OK")))))</f>
        <v/>
      </c>
      <c r="N2443" s="45">
        <f>IF(COUNTIFS($C:$C,$C2443,$D:$D,"P0(전)",$L:$L,"&gt;0")&lt;&gt;1,"",SUMIFS($H:$H,$C:$C,$C2443,$D:$D,"P0(전)"))</f>
        <v/>
      </c>
      <c r="O2443" s="30">
        <f>IF(COUNTIFS($C:$C,$C2443,$D:$D,"P0(전)",$L:$L,"&gt;0")&lt;&gt;1,"",SUMIFS($L:$L,$C:$C,$C2443,$D:$D,"P0(전)"))</f>
        <v/>
      </c>
      <c r="P2443" s="45">
        <f>IF(COUNTIFS($C:$C,$C2443,$D:$D,"P0(후)",$L:$L,"&gt;0")&lt;&gt;1,"",SUMIFS($H:$H,$C:$C,$C2443,$D:$D,"P0(후)"))</f>
        <v/>
      </c>
      <c r="Q2443" s="30">
        <f>IF(COUNTIFS($C:$C,$C2443,$D:$D,"P0(후)",$L:$L,"&gt;0")&lt;&gt;1,"",SUMIFS($L:$L,$C:$C,$C2443,$D:$D,"P0(후)"))</f>
        <v/>
      </c>
      <c r="R2443" s="30">
        <f>IF(M2443&lt;&gt;"OK","",O2443+(Q2443-O2443)*(H2443-N2443)/(P2443-N2443))</f>
        <v/>
      </c>
      <c r="S2443" s="30">
        <f>IF(OR(M2443&lt;&gt;"OK",NOT(ISNUMBER(L2443))),"",L2443-R2443)</f>
        <v/>
      </c>
      <c r="T2443" s="46">
        <f>IF(OR(NOT(ISNUMBER(S2443)),IF(ISNUMBER(G2443),G2443,F2443)=0),"",S2443/IF(ISNUMBER(G2443),G2443,F2443))</f>
        <v/>
      </c>
      <c r="U2443" s="46">
        <f>IF(ISNUMBER(T2443),ABS(T2443),"")</f>
        <v/>
      </c>
      <c r="V2443" s="46">
        <f>IF(OR($D2442&lt;&gt;"측정",$C2442&lt;&gt;$C2443,NOT(ISNUMBER(L2443)),NOT(ISNUMBER(L2442)),(IF(ISNUMBER(G2443),G2443,F2443)-IF(ISNUMBER(G2442),G2442,F2442))=0),"",(L2443-L2442)/(IF(ISNUMBER(G2443),G2443,F2443)-IF(ISNUMBER(G2442),G2442,F2442)))</f>
        <v/>
      </c>
      <c r="W2443" s="30">
        <f>IF(NOT(AND(ISNUMBER(N2443),ISNUMBER(P2443))),"",(P2443-N2443)*1440)</f>
        <v/>
      </c>
      <c r="X2443" s="28" t="n"/>
      <c r="Y2443" s="28" t="n"/>
      <c r="Z2443" s="28" t="n"/>
      <c r="AA2443" s="31" t="n"/>
      <c r="AB2443" s="31" t="n"/>
    </row>
    <row r="2444">
      <c r="A2444" s="25" t="inlineStr">
        <is>
          <t>S47</t>
        </is>
      </c>
      <c r="B2444" s="25" t="inlineStr">
        <is>
          <t>봉평</t>
        </is>
      </c>
      <c r="C2444" s="25" t="inlineStr">
        <is>
          <t>S47-H북</t>
        </is>
      </c>
      <c r="D2444" s="25" t="inlineStr">
        <is>
          <t>측정</t>
        </is>
      </c>
      <c r="E2444" s="25" t="inlineStr">
        <is>
          <t>북</t>
        </is>
      </c>
      <c r="F2444" s="30" t="n">
        <v>7</v>
      </c>
      <c r="G2444" s="29" t="n"/>
      <c r="H2444" s="42" t="n"/>
      <c r="I2444" s="40" t="n"/>
      <c r="J2444" s="40" t="n"/>
      <c r="K2444" s="40" t="n"/>
      <c r="L2444" s="30">
        <f>IF(COUNT(I2444:K2444)=0,"",MEDIAN(I2444:K2444))</f>
        <v/>
      </c>
      <c r="M2444" s="25">
        <f>IF(COUNTIFS($C:$C,$C2444,$D:$D,"P0(전)",$L:$L,"&gt;0")&lt;&gt;1,"P0(전) 유효 1개 아님",IF(COUNTIFS($C:$C,$C2444,$D:$D,"P0(후)",$L:$L,"&gt;0")&lt;&gt;1,"P0(후) 유효 1개 아님",IF(NOT(AND(ISNUMBER(N2444),ISNUMBER(P2444),ISNUMBER(H2444))),"시각 결측",IF(P2444&lt;=N2444,"P0 시각 역전",IF(OR(H2444&lt;N2444,H2444&gt;P2444),"측정시각 구간 밖","OK")))))</f>
        <v/>
      </c>
      <c r="N2444" s="45">
        <f>IF(COUNTIFS($C:$C,$C2444,$D:$D,"P0(전)",$L:$L,"&gt;0")&lt;&gt;1,"",SUMIFS($H:$H,$C:$C,$C2444,$D:$D,"P0(전)"))</f>
        <v/>
      </c>
      <c r="O2444" s="30">
        <f>IF(COUNTIFS($C:$C,$C2444,$D:$D,"P0(전)",$L:$L,"&gt;0")&lt;&gt;1,"",SUMIFS($L:$L,$C:$C,$C2444,$D:$D,"P0(전)"))</f>
        <v/>
      </c>
      <c r="P2444" s="45">
        <f>IF(COUNTIFS($C:$C,$C2444,$D:$D,"P0(후)",$L:$L,"&gt;0")&lt;&gt;1,"",SUMIFS($H:$H,$C:$C,$C2444,$D:$D,"P0(후)"))</f>
        <v/>
      </c>
      <c r="Q2444" s="30">
        <f>IF(COUNTIFS($C:$C,$C2444,$D:$D,"P0(후)",$L:$L,"&gt;0")&lt;&gt;1,"",SUMIFS($L:$L,$C:$C,$C2444,$D:$D,"P0(후)"))</f>
        <v/>
      </c>
      <c r="R2444" s="30">
        <f>IF(M2444&lt;&gt;"OK","",O2444+(Q2444-O2444)*(H2444-N2444)/(P2444-N2444))</f>
        <v/>
      </c>
      <c r="S2444" s="30">
        <f>IF(OR(M2444&lt;&gt;"OK",NOT(ISNUMBER(L2444))),"",L2444-R2444)</f>
        <v/>
      </c>
      <c r="T2444" s="46">
        <f>IF(OR(NOT(ISNUMBER(S2444)),IF(ISNUMBER(G2444),G2444,F2444)=0),"",S2444/IF(ISNUMBER(G2444),G2444,F2444))</f>
        <v/>
      </c>
      <c r="U2444" s="46">
        <f>IF(ISNUMBER(T2444),ABS(T2444),"")</f>
        <v/>
      </c>
      <c r="V2444" s="46">
        <f>IF(OR($D2443&lt;&gt;"측정",$C2443&lt;&gt;$C2444,NOT(ISNUMBER(L2444)),NOT(ISNUMBER(L2443)),(IF(ISNUMBER(G2444),G2444,F2444)-IF(ISNUMBER(G2443),G2443,F2443))=0),"",(L2444-L2443)/(IF(ISNUMBER(G2444),G2444,F2444)-IF(ISNUMBER(G2443),G2443,F2443)))</f>
        <v/>
      </c>
      <c r="W2444" s="30">
        <f>IF(NOT(AND(ISNUMBER(N2444),ISNUMBER(P2444))),"",(P2444-N2444)*1440)</f>
        <v/>
      </c>
      <c r="X2444" s="28" t="n"/>
      <c r="Y2444" s="28" t="n"/>
      <c r="Z2444" s="28" t="n"/>
      <c r="AA2444" s="31" t="n"/>
      <c r="AB2444" s="31" t="n"/>
    </row>
    <row r="2445">
      <c r="A2445" s="25" t="inlineStr">
        <is>
          <t>S47</t>
        </is>
      </c>
      <c r="B2445" s="25" t="inlineStr">
        <is>
          <t>봉평</t>
        </is>
      </c>
      <c r="C2445" s="25" t="inlineStr">
        <is>
          <t>S47-H북</t>
        </is>
      </c>
      <c r="D2445" s="25" t="inlineStr">
        <is>
          <t>측정</t>
        </is>
      </c>
      <c r="E2445" s="25" t="inlineStr">
        <is>
          <t>북</t>
        </is>
      </c>
      <c r="F2445" s="30" t="n">
        <v>8</v>
      </c>
      <c r="G2445" s="29" t="n"/>
      <c r="H2445" s="42" t="n"/>
      <c r="I2445" s="40" t="n"/>
      <c r="J2445" s="40" t="n"/>
      <c r="K2445" s="40" t="n"/>
      <c r="L2445" s="30">
        <f>IF(COUNT(I2445:K2445)=0,"",MEDIAN(I2445:K2445))</f>
        <v/>
      </c>
      <c r="M2445" s="25">
        <f>IF(COUNTIFS($C:$C,$C2445,$D:$D,"P0(전)",$L:$L,"&gt;0")&lt;&gt;1,"P0(전) 유효 1개 아님",IF(COUNTIFS($C:$C,$C2445,$D:$D,"P0(후)",$L:$L,"&gt;0")&lt;&gt;1,"P0(후) 유효 1개 아님",IF(NOT(AND(ISNUMBER(N2445),ISNUMBER(P2445),ISNUMBER(H2445))),"시각 결측",IF(P2445&lt;=N2445,"P0 시각 역전",IF(OR(H2445&lt;N2445,H2445&gt;P2445),"측정시각 구간 밖","OK")))))</f>
        <v/>
      </c>
      <c r="N2445" s="45">
        <f>IF(COUNTIFS($C:$C,$C2445,$D:$D,"P0(전)",$L:$L,"&gt;0")&lt;&gt;1,"",SUMIFS($H:$H,$C:$C,$C2445,$D:$D,"P0(전)"))</f>
        <v/>
      </c>
      <c r="O2445" s="30">
        <f>IF(COUNTIFS($C:$C,$C2445,$D:$D,"P0(전)",$L:$L,"&gt;0")&lt;&gt;1,"",SUMIFS($L:$L,$C:$C,$C2445,$D:$D,"P0(전)"))</f>
        <v/>
      </c>
      <c r="P2445" s="45">
        <f>IF(COUNTIFS($C:$C,$C2445,$D:$D,"P0(후)",$L:$L,"&gt;0")&lt;&gt;1,"",SUMIFS($H:$H,$C:$C,$C2445,$D:$D,"P0(후)"))</f>
        <v/>
      </c>
      <c r="Q2445" s="30">
        <f>IF(COUNTIFS($C:$C,$C2445,$D:$D,"P0(후)",$L:$L,"&gt;0")&lt;&gt;1,"",SUMIFS($L:$L,$C:$C,$C2445,$D:$D,"P0(후)"))</f>
        <v/>
      </c>
      <c r="R2445" s="30">
        <f>IF(M2445&lt;&gt;"OK","",O2445+(Q2445-O2445)*(H2445-N2445)/(P2445-N2445))</f>
        <v/>
      </c>
      <c r="S2445" s="30">
        <f>IF(OR(M2445&lt;&gt;"OK",NOT(ISNUMBER(L2445))),"",L2445-R2445)</f>
        <v/>
      </c>
      <c r="T2445" s="46">
        <f>IF(OR(NOT(ISNUMBER(S2445)),IF(ISNUMBER(G2445),G2445,F2445)=0),"",S2445/IF(ISNUMBER(G2445),G2445,F2445))</f>
        <v/>
      </c>
      <c r="U2445" s="46">
        <f>IF(ISNUMBER(T2445),ABS(T2445),"")</f>
        <v/>
      </c>
      <c r="V2445" s="46">
        <f>IF(OR($D2444&lt;&gt;"측정",$C2444&lt;&gt;$C2445,NOT(ISNUMBER(L2445)),NOT(ISNUMBER(L2444)),(IF(ISNUMBER(G2445),G2445,F2445)-IF(ISNUMBER(G2444),G2444,F2444))=0),"",(L2445-L2444)/(IF(ISNUMBER(G2445),G2445,F2445)-IF(ISNUMBER(G2444),G2444,F2444)))</f>
        <v/>
      </c>
      <c r="W2445" s="30">
        <f>IF(NOT(AND(ISNUMBER(N2445),ISNUMBER(P2445))),"",(P2445-N2445)*1440)</f>
        <v/>
      </c>
      <c r="X2445" s="28" t="n"/>
      <c r="Y2445" s="28" t="n"/>
      <c r="Z2445" s="28" t="n"/>
      <c r="AA2445" s="31" t="n"/>
      <c r="AB2445" s="31" t="n"/>
    </row>
    <row r="2446">
      <c r="A2446" s="25" t="inlineStr">
        <is>
          <t>S47</t>
        </is>
      </c>
      <c r="B2446" s="25" t="inlineStr">
        <is>
          <t>봉평</t>
        </is>
      </c>
      <c r="C2446" s="25" t="inlineStr">
        <is>
          <t>S47-H북</t>
        </is>
      </c>
      <c r="D2446" s="25" t="inlineStr">
        <is>
          <t>측정</t>
        </is>
      </c>
      <c r="E2446" s="25" t="inlineStr">
        <is>
          <t>북</t>
        </is>
      </c>
      <c r="F2446" s="30" t="n">
        <v>9</v>
      </c>
      <c r="G2446" s="29" t="n"/>
      <c r="H2446" s="42" t="n"/>
      <c r="I2446" s="40" t="n"/>
      <c r="J2446" s="40" t="n"/>
      <c r="K2446" s="40" t="n"/>
      <c r="L2446" s="30">
        <f>IF(COUNT(I2446:K2446)=0,"",MEDIAN(I2446:K2446))</f>
        <v/>
      </c>
      <c r="M2446" s="25">
        <f>IF(COUNTIFS($C:$C,$C2446,$D:$D,"P0(전)",$L:$L,"&gt;0")&lt;&gt;1,"P0(전) 유효 1개 아님",IF(COUNTIFS($C:$C,$C2446,$D:$D,"P0(후)",$L:$L,"&gt;0")&lt;&gt;1,"P0(후) 유효 1개 아님",IF(NOT(AND(ISNUMBER(N2446),ISNUMBER(P2446),ISNUMBER(H2446))),"시각 결측",IF(P2446&lt;=N2446,"P0 시각 역전",IF(OR(H2446&lt;N2446,H2446&gt;P2446),"측정시각 구간 밖","OK")))))</f>
        <v/>
      </c>
      <c r="N2446" s="45">
        <f>IF(COUNTIFS($C:$C,$C2446,$D:$D,"P0(전)",$L:$L,"&gt;0")&lt;&gt;1,"",SUMIFS($H:$H,$C:$C,$C2446,$D:$D,"P0(전)"))</f>
        <v/>
      </c>
      <c r="O2446" s="30">
        <f>IF(COUNTIFS($C:$C,$C2446,$D:$D,"P0(전)",$L:$L,"&gt;0")&lt;&gt;1,"",SUMIFS($L:$L,$C:$C,$C2446,$D:$D,"P0(전)"))</f>
        <v/>
      </c>
      <c r="P2446" s="45">
        <f>IF(COUNTIFS($C:$C,$C2446,$D:$D,"P0(후)",$L:$L,"&gt;0")&lt;&gt;1,"",SUMIFS($H:$H,$C:$C,$C2446,$D:$D,"P0(후)"))</f>
        <v/>
      </c>
      <c r="Q2446" s="30">
        <f>IF(COUNTIFS($C:$C,$C2446,$D:$D,"P0(후)",$L:$L,"&gt;0")&lt;&gt;1,"",SUMIFS($L:$L,$C:$C,$C2446,$D:$D,"P0(후)"))</f>
        <v/>
      </c>
      <c r="R2446" s="30">
        <f>IF(M2446&lt;&gt;"OK","",O2446+(Q2446-O2446)*(H2446-N2446)/(P2446-N2446))</f>
        <v/>
      </c>
      <c r="S2446" s="30">
        <f>IF(OR(M2446&lt;&gt;"OK",NOT(ISNUMBER(L2446))),"",L2446-R2446)</f>
        <v/>
      </c>
      <c r="T2446" s="46">
        <f>IF(OR(NOT(ISNUMBER(S2446)),IF(ISNUMBER(G2446),G2446,F2446)=0),"",S2446/IF(ISNUMBER(G2446),G2446,F2446))</f>
        <v/>
      </c>
      <c r="U2446" s="46">
        <f>IF(ISNUMBER(T2446),ABS(T2446),"")</f>
        <v/>
      </c>
      <c r="V2446" s="46">
        <f>IF(OR($D2445&lt;&gt;"측정",$C2445&lt;&gt;$C2446,NOT(ISNUMBER(L2446)),NOT(ISNUMBER(L2445)),(IF(ISNUMBER(G2446),G2446,F2446)-IF(ISNUMBER(G2445),G2445,F2445))=0),"",(L2446-L2445)/(IF(ISNUMBER(G2446),G2446,F2446)-IF(ISNUMBER(G2445),G2445,F2445)))</f>
        <v/>
      </c>
      <c r="W2446" s="30">
        <f>IF(NOT(AND(ISNUMBER(N2446),ISNUMBER(P2446))),"",(P2446-N2446)*1440)</f>
        <v/>
      </c>
      <c r="X2446" s="28" t="n"/>
      <c r="Y2446" s="28" t="n"/>
      <c r="Z2446" s="28" t="n"/>
      <c r="AA2446" s="31" t="n"/>
      <c r="AB2446" s="31" t="n"/>
    </row>
    <row r="2447">
      <c r="A2447" s="25" t="inlineStr">
        <is>
          <t>S47</t>
        </is>
      </c>
      <c r="B2447" s="25" t="inlineStr">
        <is>
          <t>봉평</t>
        </is>
      </c>
      <c r="C2447" s="25" t="inlineStr">
        <is>
          <t>S47-H북</t>
        </is>
      </c>
      <c r="D2447" s="25" t="inlineStr">
        <is>
          <t>측정</t>
        </is>
      </c>
      <c r="E2447" s="25" t="inlineStr">
        <is>
          <t>북</t>
        </is>
      </c>
      <c r="F2447" s="30" t="n">
        <v>10</v>
      </c>
      <c r="G2447" s="29" t="n"/>
      <c r="H2447" s="42" t="n"/>
      <c r="I2447" s="40" t="n"/>
      <c r="J2447" s="40" t="n"/>
      <c r="K2447" s="40" t="n"/>
      <c r="L2447" s="30">
        <f>IF(COUNT(I2447:K2447)=0,"",MEDIAN(I2447:K2447))</f>
        <v/>
      </c>
      <c r="M2447" s="25">
        <f>IF(COUNTIFS($C:$C,$C2447,$D:$D,"P0(전)",$L:$L,"&gt;0")&lt;&gt;1,"P0(전) 유효 1개 아님",IF(COUNTIFS($C:$C,$C2447,$D:$D,"P0(후)",$L:$L,"&gt;0")&lt;&gt;1,"P0(후) 유효 1개 아님",IF(NOT(AND(ISNUMBER(N2447),ISNUMBER(P2447),ISNUMBER(H2447))),"시각 결측",IF(P2447&lt;=N2447,"P0 시각 역전",IF(OR(H2447&lt;N2447,H2447&gt;P2447),"측정시각 구간 밖","OK")))))</f>
        <v/>
      </c>
      <c r="N2447" s="45">
        <f>IF(COUNTIFS($C:$C,$C2447,$D:$D,"P0(전)",$L:$L,"&gt;0")&lt;&gt;1,"",SUMIFS($H:$H,$C:$C,$C2447,$D:$D,"P0(전)"))</f>
        <v/>
      </c>
      <c r="O2447" s="30">
        <f>IF(COUNTIFS($C:$C,$C2447,$D:$D,"P0(전)",$L:$L,"&gt;0")&lt;&gt;1,"",SUMIFS($L:$L,$C:$C,$C2447,$D:$D,"P0(전)"))</f>
        <v/>
      </c>
      <c r="P2447" s="45">
        <f>IF(COUNTIFS($C:$C,$C2447,$D:$D,"P0(후)",$L:$L,"&gt;0")&lt;&gt;1,"",SUMIFS($H:$H,$C:$C,$C2447,$D:$D,"P0(후)"))</f>
        <v/>
      </c>
      <c r="Q2447" s="30">
        <f>IF(COUNTIFS($C:$C,$C2447,$D:$D,"P0(후)",$L:$L,"&gt;0")&lt;&gt;1,"",SUMIFS($L:$L,$C:$C,$C2447,$D:$D,"P0(후)"))</f>
        <v/>
      </c>
      <c r="R2447" s="30">
        <f>IF(M2447&lt;&gt;"OK","",O2447+(Q2447-O2447)*(H2447-N2447)/(P2447-N2447))</f>
        <v/>
      </c>
      <c r="S2447" s="30">
        <f>IF(OR(M2447&lt;&gt;"OK",NOT(ISNUMBER(L2447))),"",L2447-R2447)</f>
        <v/>
      </c>
      <c r="T2447" s="46">
        <f>IF(OR(NOT(ISNUMBER(S2447)),IF(ISNUMBER(G2447),G2447,F2447)=0),"",S2447/IF(ISNUMBER(G2447),G2447,F2447))</f>
        <v/>
      </c>
      <c r="U2447" s="46">
        <f>IF(ISNUMBER(T2447),ABS(T2447),"")</f>
        <v/>
      </c>
      <c r="V2447" s="46">
        <f>IF(OR($D2446&lt;&gt;"측정",$C2446&lt;&gt;$C2447,NOT(ISNUMBER(L2447)),NOT(ISNUMBER(L2446)),(IF(ISNUMBER(G2447),G2447,F2447)-IF(ISNUMBER(G2446),G2446,F2446))=0),"",(L2447-L2446)/(IF(ISNUMBER(G2447),G2447,F2447)-IF(ISNUMBER(G2446),G2446,F2446)))</f>
        <v/>
      </c>
      <c r="W2447" s="30">
        <f>IF(NOT(AND(ISNUMBER(N2447),ISNUMBER(P2447))),"",(P2447-N2447)*1440)</f>
        <v/>
      </c>
      <c r="X2447" s="28" t="n"/>
      <c r="Y2447" s="28" t="n"/>
      <c r="Z2447" s="28" t="n"/>
      <c r="AA2447" s="31" t="n"/>
      <c r="AB2447" s="31" t="n"/>
    </row>
    <row r="2448">
      <c r="A2448" s="43" t="inlineStr">
        <is>
          <t>S47</t>
        </is>
      </c>
      <c r="B2448" s="43" t="inlineStr">
        <is>
          <t>봉평</t>
        </is>
      </c>
      <c r="C2448" s="43" t="inlineStr">
        <is>
          <t>S47-H북</t>
        </is>
      </c>
      <c r="D2448" s="43" t="inlineStr">
        <is>
          <t>P0(후)</t>
        </is>
      </c>
      <c r="E2448" s="43" t="inlineStr">
        <is>
          <t>북</t>
        </is>
      </c>
      <c r="F2448" s="44" t="n"/>
      <c r="G2448" s="29" t="n"/>
      <c r="H2448" s="42" t="n"/>
      <c r="I2448" s="40" t="n"/>
      <c r="J2448" s="40" t="n"/>
      <c r="K2448" s="40" t="n"/>
      <c r="L2448" s="30">
        <f>IF(COUNT(I2448:K2448)=0,"",MEDIAN(I2448:K2448))</f>
        <v/>
      </c>
      <c r="M2448" s="37" t="n"/>
      <c r="N2448" s="37" t="n"/>
      <c r="O2448" s="37" t="n"/>
      <c r="P2448" s="37" t="n"/>
      <c r="Q2448" s="37" t="n"/>
      <c r="R2448" s="37" t="n"/>
      <c r="S2448" s="37" t="n"/>
      <c r="T2448" s="37" t="n"/>
      <c r="U2448" s="37" t="n"/>
      <c r="V2448" s="37" t="n"/>
      <c r="W2448" s="37" t="n"/>
      <c r="X2448" s="28" t="n"/>
      <c r="Y2448" s="28" t="n"/>
      <c r="Z2448" s="28" t="n"/>
      <c r="AA2448" s="31" t="n"/>
      <c r="AB2448" s="31" t="n"/>
    </row>
    <row r="2449">
      <c r="A2449" s="43" t="inlineStr">
        <is>
          <t>S48</t>
        </is>
      </c>
      <c r="B2449" s="43" t="inlineStr">
        <is>
          <t>삼척</t>
        </is>
      </c>
      <c r="C2449" s="43" t="inlineStr">
        <is>
          <t>S48-H동</t>
        </is>
      </c>
      <c r="D2449" s="43" t="inlineStr">
        <is>
          <t>P0(전)</t>
        </is>
      </c>
      <c r="E2449" s="43" t="inlineStr">
        <is>
          <t>동</t>
        </is>
      </c>
      <c r="F2449" s="44" t="n"/>
      <c r="G2449" s="29" t="n"/>
      <c r="H2449" s="42" t="n"/>
      <c r="I2449" s="40" t="n"/>
      <c r="J2449" s="40" t="n"/>
      <c r="K2449" s="40" t="n"/>
      <c r="L2449" s="30">
        <f>IF(COUNT(I2449:K2449)=0,"",MEDIAN(I2449:K2449))</f>
        <v/>
      </c>
      <c r="M2449" s="37" t="n"/>
      <c r="N2449" s="37" t="n"/>
      <c r="O2449" s="37" t="n"/>
      <c r="P2449" s="37" t="n"/>
      <c r="Q2449" s="37" t="n"/>
      <c r="R2449" s="37" t="n"/>
      <c r="S2449" s="37" t="n"/>
      <c r="T2449" s="37" t="n"/>
      <c r="U2449" s="37" t="n"/>
      <c r="V2449" s="37" t="n"/>
      <c r="W2449" s="37" t="n"/>
      <c r="X2449" s="28" t="n"/>
      <c r="Y2449" s="28" t="n"/>
      <c r="Z2449" s="28" t="n"/>
      <c r="AA2449" s="31" t="n"/>
      <c r="AB2449" s="31" t="n"/>
    </row>
    <row r="2450">
      <c r="A2450" s="25" t="inlineStr">
        <is>
          <t>S48</t>
        </is>
      </c>
      <c r="B2450" s="25" t="inlineStr">
        <is>
          <t>삼척</t>
        </is>
      </c>
      <c r="C2450" s="25" t="inlineStr">
        <is>
          <t>S48-H동</t>
        </is>
      </c>
      <c r="D2450" s="25" t="inlineStr">
        <is>
          <t>측정</t>
        </is>
      </c>
      <c r="E2450" s="25" t="inlineStr">
        <is>
          <t>동</t>
        </is>
      </c>
      <c r="F2450" s="30" t="n">
        <v>0.5</v>
      </c>
      <c r="G2450" s="29" t="n"/>
      <c r="H2450" s="42" t="n"/>
      <c r="I2450" s="40" t="n"/>
      <c r="J2450" s="40" t="n"/>
      <c r="K2450" s="40" t="n"/>
      <c r="L2450" s="30">
        <f>IF(COUNT(I2450:K2450)=0,"",MEDIAN(I2450:K2450))</f>
        <v/>
      </c>
      <c r="M2450" s="25">
        <f>IF(COUNTIFS($C:$C,$C2450,$D:$D,"P0(전)",$L:$L,"&gt;0")&lt;&gt;1,"P0(전) 유효 1개 아님",IF(COUNTIFS($C:$C,$C2450,$D:$D,"P0(후)",$L:$L,"&gt;0")&lt;&gt;1,"P0(후) 유효 1개 아님",IF(NOT(AND(ISNUMBER(N2450),ISNUMBER(P2450),ISNUMBER(H2450))),"시각 결측",IF(P2450&lt;=N2450,"P0 시각 역전",IF(OR(H2450&lt;N2450,H2450&gt;P2450),"측정시각 구간 밖","OK")))))</f>
        <v/>
      </c>
      <c r="N2450" s="45">
        <f>IF(COUNTIFS($C:$C,$C2450,$D:$D,"P0(전)",$L:$L,"&gt;0")&lt;&gt;1,"",SUMIFS($H:$H,$C:$C,$C2450,$D:$D,"P0(전)"))</f>
        <v/>
      </c>
      <c r="O2450" s="30">
        <f>IF(COUNTIFS($C:$C,$C2450,$D:$D,"P0(전)",$L:$L,"&gt;0")&lt;&gt;1,"",SUMIFS($L:$L,$C:$C,$C2450,$D:$D,"P0(전)"))</f>
        <v/>
      </c>
      <c r="P2450" s="45">
        <f>IF(COUNTIFS($C:$C,$C2450,$D:$D,"P0(후)",$L:$L,"&gt;0")&lt;&gt;1,"",SUMIFS($H:$H,$C:$C,$C2450,$D:$D,"P0(후)"))</f>
        <v/>
      </c>
      <c r="Q2450" s="30">
        <f>IF(COUNTIFS($C:$C,$C2450,$D:$D,"P0(후)",$L:$L,"&gt;0")&lt;&gt;1,"",SUMIFS($L:$L,$C:$C,$C2450,$D:$D,"P0(후)"))</f>
        <v/>
      </c>
      <c r="R2450" s="30">
        <f>IF(M2450&lt;&gt;"OK","",O2450+(Q2450-O2450)*(H2450-N2450)/(P2450-N2450))</f>
        <v/>
      </c>
      <c r="S2450" s="30">
        <f>IF(OR(M2450&lt;&gt;"OK",NOT(ISNUMBER(L2450))),"",L2450-R2450)</f>
        <v/>
      </c>
      <c r="T2450" s="46">
        <f>IF(OR(NOT(ISNUMBER(S2450)),IF(ISNUMBER(G2450),G2450,F2450)=0),"",S2450/IF(ISNUMBER(G2450),G2450,F2450))</f>
        <v/>
      </c>
      <c r="U2450" s="46">
        <f>IF(ISNUMBER(T2450),ABS(T2450),"")</f>
        <v/>
      </c>
      <c r="V2450" s="46">
        <f>IF(OR($D2449&lt;&gt;"측정",$C2449&lt;&gt;$C2450,NOT(ISNUMBER(L2450)),NOT(ISNUMBER(L2449)),(IF(ISNUMBER(G2450),G2450,F2450)-IF(ISNUMBER(G2449),G2449,F2449))=0),"",(L2450-L2449)/(IF(ISNUMBER(G2450),G2450,F2450)-IF(ISNUMBER(G2449),G2449,F2449)))</f>
        <v/>
      </c>
      <c r="W2450" s="30">
        <f>IF(NOT(AND(ISNUMBER(N2450),ISNUMBER(P2450))),"",(P2450-N2450)*1440)</f>
        <v/>
      </c>
      <c r="X2450" s="28" t="n"/>
      <c r="Y2450" s="28" t="n"/>
      <c r="Z2450" s="28" t="n"/>
      <c r="AA2450" s="31" t="n"/>
      <c r="AB2450" s="31" t="n"/>
    </row>
    <row r="2451">
      <c r="A2451" s="25" t="inlineStr">
        <is>
          <t>S48</t>
        </is>
      </c>
      <c r="B2451" s="25" t="inlineStr">
        <is>
          <t>삼척</t>
        </is>
      </c>
      <c r="C2451" s="25" t="inlineStr">
        <is>
          <t>S48-H동</t>
        </is>
      </c>
      <c r="D2451" s="25" t="inlineStr">
        <is>
          <t>측정</t>
        </is>
      </c>
      <c r="E2451" s="25" t="inlineStr">
        <is>
          <t>동</t>
        </is>
      </c>
      <c r="F2451" s="30" t="n">
        <v>1</v>
      </c>
      <c r="G2451" s="29" t="n"/>
      <c r="H2451" s="42" t="n"/>
      <c r="I2451" s="40" t="n"/>
      <c r="J2451" s="40" t="n"/>
      <c r="K2451" s="40" t="n"/>
      <c r="L2451" s="30">
        <f>IF(COUNT(I2451:K2451)=0,"",MEDIAN(I2451:K2451))</f>
        <v/>
      </c>
      <c r="M2451" s="25">
        <f>IF(COUNTIFS($C:$C,$C2451,$D:$D,"P0(전)",$L:$L,"&gt;0")&lt;&gt;1,"P0(전) 유효 1개 아님",IF(COUNTIFS($C:$C,$C2451,$D:$D,"P0(후)",$L:$L,"&gt;0")&lt;&gt;1,"P0(후) 유효 1개 아님",IF(NOT(AND(ISNUMBER(N2451),ISNUMBER(P2451),ISNUMBER(H2451))),"시각 결측",IF(P2451&lt;=N2451,"P0 시각 역전",IF(OR(H2451&lt;N2451,H2451&gt;P2451),"측정시각 구간 밖","OK")))))</f>
        <v/>
      </c>
      <c r="N2451" s="45">
        <f>IF(COUNTIFS($C:$C,$C2451,$D:$D,"P0(전)",$L:$L,"&gt;0")&lt;&gt;1,"",SUMIFS($H:$H,$C:$C,$C2451,$D:$D,"P0(전)"))</f>
        <v/>
      </c>
      <c r="O2451" s="30">
        <f>IF(COUNTIFS($C:$C,$C2451,$D:$D,"P0(전)",$L:$L,"&gt;0")&lt;&gt;1,"",SUMIFS($L:$L,$C:$C,$C2451,$D:$D,"P0(전)"))</f>
        <v/>
      </c>
      <c r="P2451" s="45">
        <f>IF(COUNTIFS($C:$C,$C2451,$D:$D,"P0(후)",$L:$L,"&gt;0")&lt;&gt;1,"",SUMIFS($H:$H,$C:$C,$C2451,$D:$D,"P0(후)"))</f>
        <v/>
      </c>
      <c r="Q2451" s="30">
        <f>IF(COUNTIFS($C:$C,$C2451,$D:$D,"P0(후)",$L:$L,"&gt;0")&lt;&gt;1,"",SUMIFS($L:$L,$C:$C,$C2451,$D:$D,"P0(후)"))</f>
        <v/>
      </c>
      <c r="R2451" s="30">
        <f>IF(M2451&lt;&gt;"OK","",O2451+(Q2451-O2451)*(H2451-N2451)/(P2451-N2451))</f>
        <v/>
      </c>
      <c r="S2451" s="30">
        <f>IF(OR(M2451&lt;&gt;"OK",NOT(ISNUMBER(L2451))),"",L2451-R2451)</f>
        <v/>
      </c>
      <c r="T2451" s="46">
        <f>IF(OR(NOT(ISNUMBER(S2451)),IF(ISNUMBER(G2451),G2451,F2451)=0),"",S2451/IF(ISNUMBER(G2451),G2451,F2451))</f>
        <v/>
      </c>
      <c r="U2451" s="46">
        <f>IF(ISNUMBER(T2451),ABS(T2451),"")</f>
        <v/>
      </c>
      <c r="V2451" s="46">
        <f>IF(OR($D2450&lt;&gt;"측정",$C2450&lt;&gt;$C2451,NOT(ISNUMBER(L2451)),NOT(ISNUMBER(L2450)),(IF(ISNUMBER(G2451),G2451,F2451)-IF(ISNUMBER(G2450),G2450,F2450))=0),"",(L2451-L2450)/(IF(ISNUMBER(G2451),G2451,F2451)-IF(ISNUMBER(G2450),G2450,F2450)))</f>
        <v/>
      </c>
      <c r="W2451" s="30">
        <f>IF(NOT(AND(ISNUMBER(N2451),ISNUMBER(P2451))),"",(P2451-N2451)*1440)</f>
        <v/>
      </c>
      <c r="X2451" s="28" t="n"/>
      <c r="Y2451" s="28" t="n"/>
      <c r="Z2451" s="28" t="n"/>
      <c r="AA2451" s="31" t="n"/>
      <c r="AB2451" s="31" t="n"/>
    </row>
    <row r="2452">
      <c r="A2452" s="25" t="inlineStr">
        <is>
          <t>S48</t>
        </is>
      </c>
      <c r="B2452" s="25" t="inlineStr">
        <is>
          <t>삼척</t>
        </is>
      </c>
      <c r="C2452" s="25" t="inlineStr">
        <is>
          <t>S48-H동</t>
        </is>
      </c>
      <c r="D2452" s="25" t="inlineStr">
        <is>
          <t>측정</t>
        </is>
      </c>
      <c r="E2452" s="25" t="inlineStr">
        <is>
          <t>동</t>
        </is>
      </c>
      <c r="F2452" s="30" t="n">
        <v>2</v>
      </c>
      <c r="G2452" s="29" t="n"/>
      <c r="H2452" s="42" t="n"/>
      <c r="I2452" s="40" t="n"/>
      <c r="J2452" s="40" t="n"/>
      <c r="K2452" s="40" t="n"/>
      <c r="L2452" s="30">
        <f>IF(COUNT(I2452:K2452)=0,"",MEDIAN(I2452:K2452))</f>
        <v/>
      </c>
      <c r="M2452" s="25">
        <f>IF(COUNTIFS($C:$C,$C2452,$D:$D,"P0(전)",$L:$L,"&gt;0")&lt;&gt;1,"P0(전) 유효 1개 아님",IF(COUNTIFS($C:$C,$C2452,$D:$D,"P0(후)",$L:$L,"&gt;0")&lt;&gt;1,"P0(후) 유효 1개 아님",IF(NOT(AND(ISNUMBER(N2452),ISNUMBER(P2452),ISNUMBER(H2452))),"시각 결측",IF(P2452&lt;=N2452,"P0 시각 역전",IF(OR(H2452&lt;N2452,H2452&gt;P2452),"측정시각 구간 밖","OK")))))</f>
        <v/>
      </c>
      <c r="N2452" s="45">
        <f>IF(COUNTIFS($C:$C,$C2452,$D:$D,"P0(전)",$L:$L,"&gt;0")&lt;&gt;1,"",SUMIFS($H:$H,$C:$C,$C2452,$D:$D,"P0(전)"))</f>
        <v/>
      </c>
      <c r="O2452" s="30">
        <f>IF(COUNTIFS($C:$C,$C2452,$D:$D,"P0(전)",$L:$L,"&gt;0")&lt;&gt;1,"",SUMIFS($L:$L,$C:$C,$C2452,$D:$D,"P0(전)"))</f>
        <v/>
      </c>
      <c r="P2452" s="45">
        <f>IF(COUNTIFS($C:$C,$C2452,$D:$D,"P0(후)",$L:$L,"&gt;0")&lt;&gt;1,"",SUMIFS($H:$H,$C:$C,$C2452,$D:$D,"P0(후)"))</f>
        <v/>
      </c>
      <c r="Q2452" s="30">
        <f>IF(COUNTIFS($C:$C,$C2452,$D:$D,"P0(후)",$L:$L,"&gt;0")&lt;&gt;1,"",SUMIFS($L:$L,$C:$C,$C2452,$D:$D,"P0(후)"))</f>
        <v/>
      </c>
      <c r="R2452" s="30">
        <f>IF(M2452&lt;&gt;"OK","",O2452+(Q2452-O2452)*(H2452-N2452)/(P2452-N2452))</f>
        <v/>
      </c>
      <c r="S2452" s="30">
        <f>IF(OR(M2452&lt;&gt;"OK",NOT(ISNUMBER(L2452))),"",L2452-R2452)</f>
        <v/>
      </c>
      <c r="T2452" s="46">
        <f>IF(OR(NOT(ISNUMBER(S2452)),IF(ISNUMBER(G2452),G2452,F2452)=0),"",S2452/IF(ISNUMBER(G2452),G2452,F2452))</f>
        <v/>
      </c>
      <c r="U2452" s="46">
        <f>IF(ISNUMBER(T2452),ABS(T2452),"")</f>
        <v/>
      </c>
      <c r="V2452" s="46">
        <f>IF(OR($D2451&lt;&gt;"측정",$C2451&lt;&gt;$C2452,NOT(ISNUMBER(L2452)),NOT(ISNUMBER(L2451)),(IF(ISNUMBER(G2452),G2452,F2452)-IF(ISNUMBER(G2451),G2451,F2451))=0),"",(L2452-L2451)/(IF(ISNUMBER(G2452),G2452,F2452)-IF(ISNUMBER(G2451),G2451,F2451)))</f>
        <v/>
      </c>
      <c r="W2452" s="30">
        <f>IF(NOT(AND(ISNUMBER(N2452),ISNUMBER(P2452))),"",(P2452-N2452)*1440)</f>
        <v/>
      </c>
      <c r="X2452" s="28" t="n"/>
      <c r="Y2452" s="28" t="n"/>
      <c r="Z2452" s="28" t="n"/>
      <c r="AA2452" s="31" t="n"/>
      <c r="AB2452" s="31" t="n"/>
    </row>
    <row r="2453">
      <c r="A2453" s="25" t="inlineStr">
        <is>
          <t>S48</t>
        </is>
      </c>
      <c r="B2453" s="25" t="inlineStr">
        <is>
          <t>삼척</t>
        </is>
      </c>
      <c r="C2453" s="25" t="inlineStr">
        <is>
          <t>S48-H동</t>
        </is>
      </c>
      <c r="D2453" s="25" t="inlineStr">
        <is>
          <t>측정</t>
        </is>
      </c>
      <c r="E2453" s="25" t="inlineStr">
        <is>
          <t>동</t>
        </is>
      </c>
      <c r="F2453" s="30" t="n">
        <v>3</v>
      </c>
      <c r="G2453" s="29" t="n"/>
      <c r="H2453" s="42" t="n"/>
      <c r="I2453" s="40" t="n"/>
      <c r="J2453" s="40" t="n"/>
      <c r="K2453" s="40" t="n"/>
      <c r="L2453" s="30">
        <f>IF(COUNT(I2453:K2453)=0,"",MEDIAN(I2453:K2453))</f>
        <v/>
      </c>
      <c r="M2453" s="25">
        <f>IF(COUNTIFS($C:$C,$C2453,$D:$D,"P0(전)",$L:$L,"&gt;0")&lt;&gt;1,"P0(전) 유효 1개 아님",IF(COUNTIFS($C:$C,$C2453,$D:$D,"P0(후)",$L:$L,"&gt;0")&lt;&gt;1,"P0(후) 유효 1개 아님",IF(NOT(AND(ISNUMBER(N2453),ISNUMBER(P2453),ISNUMBER(H2453))),"시각 결측",IF(P2453&lt;=N2453,"P0 시각 역전",IF(OR(H2453&lt;N2453,H2453&gt;P2453),"측정시각 구간 밖","OK")))))</f>
        <v/>
      </c>
      <c r="N2453" s="45">
        <f>IF(COUNTIFS($C:$C,$C2453,$D:$D,"P0(전)",$L:$L,"&gt;0")&lt;&gt;1,"",SUMIFS($H:$H,$C:$C,$C2453,$D:$D,"P0(전)"))</f>
        <v/>
      </c>
      <c r="O2453" s="30">
        <f>IF(COUNTIFS($C:$C,$C2453,$D:$D,"P0(전)",$L:$L,"&gt;0")&lt;&gt;1,"",SUMIFS($L:$L,$C:$C,$C2453,$D:$D,"P0(전)"))</f>
        <v/>
      </c>
      <c r="P2453" s="45">
        <f>IF(COUNTIFS($C:$C,$C2453,$D:$D,"P0(후)",$L:$L,"&gt;0")&lt;&gt;1,"",SUMIFS($H:$H,$C:$C,$C2453,$D:$D,"P0(후)"))</f>
        <v/>
      </c>
      <c r="Q2453" s="30">
        <f>IF(COUNTIFS($C:$C,$C2453,$D:$D,"P0(후)",$L:$L,"&gt;0")&lt;&gt;1,"",SUMIFS($L:$L,$C:$C,$C2453,$D:$D,"P0(후)"))</f>
        <v/>
      </c>
      <c r="R2453" s="30">
        <f>IF(M2453&lt;&gt;"OK","",O2453+(Q2453-O2453)*(H2453-N2453)/(P2453-N2453))</f>
        <v/>
      </c>
      <c r="S2453" s="30">
        <f>IF(OR(M2453&lt;&gt;"OK",NOT(ISNUMBER(L2453))),"",L2453-R2453)</f>
        <v/>
      </c>
      <c r="T2453" s="46">
        <f>IF(OR(NOT(ISNUMBER(S2453)),IF(ISNUMBER(G2453),G2453,F2453)=0),"",S2453/IF(ISNUMBER(G2453),G2453,F2453))</f>
        <v/>
      </c>
      <c r="U2453" s="46">
        <f>IF(ISNUMBER(T2453),ABS(T2453),"")</f>
        <v/>
      </c>
      <c r="V2453" s="46">
        <f>IF(OR($D2452&lt;&gt;"측정",$C2452&lt;&gt;$C2453,NOT(ISNUMBER(L2453)),NOT(ISNUMBER(L2452)),(IF(ISNUMBER(G2453),G2453,F2453)-IF(ISNUMBER(G2452),G2452,F2452))=0),"",(L2453-L2452)/(IF(ISNUMBER(G2453),G2453,F2453)-IF(ISNUMBER(G2452),G2452,F2452)))</f>
        <v/>
      </c>
      <c r="W2453" s="30">
        <f>IF(NOT(AND(ISNUMBER(N2453),ISNUMBER(P2453))),"",(P2453-N2453)*1440)</f>
        <v/>
      </c>
      <c r="X2453" s="28" t="n"/>
      <c r="Y2453" s="28" t="n"/>
      <c r="Z2453" s="28" t="n"/>
      <c r="AA2453" s="31" t="n"/>
      <c r="AB2453" s="31" t="n"/>
    </row>
    <row r="2454">
      <c r="A2454" s="25" t="inlineStr">
        <is>
          <t>S48</t>
        </is>
      </c>
      <c r="B2454" s="25" t="inlineStr">
        <is>
          <t>삼척</t>
        </is>
      </c>
      <c r="C2454" s="25" t="inlineStr">
        <is>
          <t>S48-H동</t>
        </is>
      </c>
      <c r="D2454" s="25" t="inlineStr">
        <is>
          <t>측정</t>
        </is>
      </c>
      <c r="E2454" s="25" t="inlineStr">
        <is>
          <t>동</t>
        </is>
      </c>
      <c r="F2454" s="30" t="n">
        <v>4</v>
      </c>
      <c r="G2454" s="29" t="n"/>
      <c r="H2454" s="42" t="n"/>
      <c r="I2454" s="40" t="n"/>
      <c r="J2454" s="40" t="n"/>
      <c r="K2454" s="40" t="n"/>
      <c r="L2454" s="30">
        <f>IF(COUNT(I2454:K2454)=0,"",MEDIAN(I2454:K2454))</f>
        <v/>
      </c>
      <c r="M2454" s="25">
        <f>IF(COUNTIFS($C:$C,$C2454,$D:$D,"P0(전)",$L:$L,"&gt;0")&lt;&gt;1,"P0(전) 유효 1개 아님",IF(COUNTIFS($C:$C,$C2454,$D:$D,"P0(후)",$L:$L,"&gt;0")&lt;&gt;1,"P0(후) 유효 1개 아님",IF(NOT(AND(ISNUMBER(N2454),ISNUMBER(P2454),ISNUMBER(H2454))),"시각 결측",IF(P2454&lt;=N2454,"P0 시각 역전",IF(OR(H2454&lt;N2454,H2454&gt;P2454),"측정시각 구간 밖","OK")))))</f>
        <v/>
      </c>
      <c r="N2454" s="45">
        <f>IF(COUNTIFS($C:$C,$C2454,$D:$D,"P0(전)",$L:$L,"&gt;0")&lt;&gt;1,"",SUMIFS($H:$H,$C:$C,$C2454,$D:$D,"P0(전)"))</f>
        <v/>
      </c>
      <c r="O2454" s="30">
        <f>IF(COUNTIFS($C:$C,$C2454,$D:$D,"P0(전)",$L:$L,"&gt;0")&lt;&gt;1,"",SUMIFS($L:$L,$C:$C,$C2454,$D:$D,"P0(전)"))</f>
        <v/>
      </c>
      <c r="P2454" s="45">
        <f>IF(COUNTIFS($C:$C,$C2454,$D:$D,"P0(후)",$L:$L,"&gt;0")&lt;&gt;1,"",SUMIFS($H:$H,$C:$C,$C2454,$D:$D,"P0(후)"))</f>
        <v/>
      </c>
      <c r="Q2454" s="30">
        <f>IF(COUNTIFS($C:$C,$C2454,$D:$D,"P0(후)",$L:$L,"&gt;0")&lt;&gt;1,"",SUMIFS($L:$L,$C:$C,$C2454,$D:$D,"P0(후)"))</f>
        <v/>
      </c>
      <c r="R2454" s="30">
        <f>IF(M2454&lt;&gt;"OK","",O2454+(Q2454-O2454)*(H2454-N2454)/(P2454-N2454))</f>
        <v/>
      </c>
      <c r="S2454" s="30">
        <f>IF(OR(M2454&lt;&gt;"OK",NOT(ISNUMBER(L2454))),"",L2454-R2454)</f>
        <v/>
      </c>
      <c r="T2454" s="46">
        <f>IF(OR(NOT(ISNUMBER(S2454)),IF(ISNUMBER(G2454),G2454,F2454)=0),"",S2454/IF(ISNUMBER(G2454),G2454,F2454))</f>
        <v/>
      </c>
      <c r="U2454" s="46">
        <f>IF(ISNUMBER(T2454),ABS(T2454),"")</f>
        <v/>
      </c>
      <c r="V2454" s="46">
        <f>IF(OR($D2453&lt;&gt;"측정",$C2453&lt;&gt;$C2454,NOT(ISNUMBER(L2454)),NOT(ISNUMBER(L2453)),(IF(ISNUMBER(G2454),G2454,F2454)-IF(ISNUMBER(G2453),G2453,F2453))=0),"",(L2454-L2453)/(IF(ISNUMBER(G2454),G2454,F2454)-IF(ISNUMBER(G2453),G2453,F2453)))</f>
        <v/>
      </c>
      <c r="W2454" s="30">
        <f>IF(NOT(AND(ISNUMBER(N2454),ISNUMBER(P2454))),"",(P2454-N2454)*1440)</f>
        <v/>
      </c>
      <c r="X2454" s="28" t="n"/>
      <c r="Y2454" s="28" t="n"/>
      <c r="Z2454" s="28" t="n"/>
      <c r="AA2454" s="31" t="n"/>
      <c r="AB2454" s="31" t="n"/>
    </row>
    <row r="2455">
      <c r="A2455" s="25" t="inlineStr">
        <is>
          <t>S48</t>
        </is>
      </c>
      <c r="B2455" s="25" t="inlineStr">
        <is>
          <t>삼척</t>
        </is>
      </c>
      <c r="C2455" s="25" t="inlineStr">
        <is>
          <t>S48-H동</t>
        </is>
      </c>
      <c r="D2455" s="25" t="inlineStr">
        <is>
          <t>측정</t>
        </is>
      </c>
      <c r="E2455" s="25" t="inlineStr">
        <is>
          <t>동</t>
        </is>
      </c>
      <c r="F2455" s="30" t="n">
        <v>5</v>
      </c>
      <c r="G2455" s="29" t="n"/>
      <c r="H2455" s="42" t="n"/>
      <c r="I2455" s="40" t="n"/>
      <c r="J2455" s="40" t="n"/>
      <c r="K2455" s="40" t="n"/>
      <c r="L2455" s="30">
        <f>IF(COUNT(I2455:K2455)=0,"",MEDIAN(I2455:K2455))</f>
        <v/>
      </c>
      <c r="M2455" s="25">
        <f>IF(COUNTIFS($C:$C,$C2455,$D:$D,"P0(전)",$L:$L,"&gt;0")&lt;&gt;1,"P0(전) 유효 1개 아님",IF(COUNTIFS($C:$C,$C2455,$D:$D,"P0(후)",$L:$L,"&gt;0")&lt;&gt;1,"P0(후) 유효 1개 아님",IF(NOT(AND(ISNUMBER(N2455),ISNUMBER(P2455),ISNUMBER(H2455))),"시각 결측",IF(P2455&lt;=N2455,"P0 시각 역전",IF(OR(H2455&lt;N2455,H2455&gt;P2455),"측정시각 구간 밖","OK")))))</f>
        <v/>
      </c>
      <c r="N2455" s="45">
        <f>IF(COUNTIFS($C:$C,$C2455,$D:$D,"P0(전)",$L:$L,"&gt;0")&lt;&gt;1,"",SUMIFS($H:$H,$C:$C,$C2455,$D:$D,"P0(전)"))</f>
        <v/>
      </c>
      <c r="O2455" s="30">
        <f>IF(COUNTIFS($C:$C,$C2455,$D:$D,"P0(전)",$L:$L,"&gt;0")&lt;&gt;1,"",SUMIFS($L:$L,$C:$C,$C2455,$D:$D,"P0(전)"))</f>
        <v/>
      </c>
      <c r="P2455" s="45">
        <f>IF(COUNTIFS($C:$C,$C2455,$D:$D,"P0(후)",$L:$L,"&gt;0")&lt;&gt;1,"",SUMIFS($H:$H,$C:$C,$C2455,$D:$D,"P0(후)"))</f>
        <v/>
      </c>
      <c r="Q2455" s="30">
        <f>IF(COUNTIFS($C:$C,$C2455,$D:$D,"P0(후)",$L:$L,"&gt;0")&lt;&gt;1,"",SUMIFS($L:$L,$C:$C,$C2455,$D:$D,"P0(후)"))</f>
        <v/>
      </c>
      <c r="R2455" s="30">
        <f>IF(M2455&lt;&gt;"OK","",O2455+(Q2455-O2455)*(H2455-N2455)/(P2455-N2455))</f>
        <v/>
      </c>
      <c r="S2455" s="30">
        <f>IF(OR(M2455&lt;&gt;"OK",NOT(ISNUMBER(L2455))),"",L2455-R2455)</f>
        <v/>
      </c>
      <c r="T2455" s="46">
        <f>IF(OR(NOT(ISNUMBER(S2455)),IF(ISNUMBER(G2455),G2455,F2455)=0),"",S2455/IF(ISNUMBER(G2455),G2455,F2455))</f>
        <v/>
      </c>
      <c r="U2455" s="46">
        <f>IF(ISNUMBER(T2455),ABS(T2455),"")</f>
        <v/>
      </c>
      <c r="V2455" s="46">
        <f>IF(OR($D2454&lt;&gt;"측정",$C2454&lt;&gt;$C2455,NOT(ISNUMBER(L2455)),NOT(ISNUMBER(L2454)),(IF(ISNUMBER(G2455),G2455,F2455)-IF(ISNUMBER(G2454),G2454,F2454))=0),"",(L2455-L2454)/(IF(ISNUMBER(G2455),G2455,F2455)-IF(ISNUMBER(G2454),G2454,F2454)))</f>
        <v/>
      </c>
      <c r="W2455" s="30">
        <f>IF(NOT(AND(ISNUMBER(N2455),ISNUMBER(P2455))),"",(P2455-N2455)*1440)</f>
        <v/>
      </c>
      <c r="X2455" s="28" t="n"/>
      <c r="Y2455" s="28" t="n"/>
      <c r="Z2455" s="28" t="n"/>
      <c r="AA2455" s="31" t="n"/>
      <c r="AB2455" s="31" t="n"/>
    </row>
    <row r="2456">
      <c r="A2456" s="25" t="inlineStr">
        <is>
          <t>S48</t>
        </is>
      </c>
      <c r="B2456" s="25" t="inlineStr">
        <is>
          <t>삼척</t>
        </is>
      </c>
      <c r="C2456" s="25" t="inlineStr">
        <is>
          <t>S48-H동</t>
        </is>
      </c>
      <c r="D2456" s="25" t="inlineStr">
        <is>
          <t>측정</t>
        </is>
      </c>
      <c r="E2456" s="25" t="inlineStr">
        <is>
          <t>동</t>
        </is>
      </c>
      <c r="F2456" s="30" t="n">
        <v>6</v>
      </c>
      <c r="G2456" s="29" t="n"/>
      <c r="H2456" s="42" t="n"/>
      <c r="I2456" s="40" t="n"/>
      <c r="J2456" s="40" t="n"/>
      <c r="K2456" s="40" t="n"/>
      <c r="L2456" s="30">
        <f>IF(COUNT(I2456:K2456)=0,"",MEDIAN(I2456:K2456))</f>
        <v/>
      </c>
      <c r="M2456" s="25">
        <f>IF(COUNTIFS($C:$C,$C2456,$D:$D,"P0(전)",$L:$L,"&gt;0")&lt;&gt;1,"P0(전) 유효 1개 아님",IF(COUNTIFS($C:$C,$C2456,$D:$D,"P0(후)",$L:$L,"&gt;0")&lt;&gt;1,"P0(후) 유효 1개 아님",IF(NOT(AND(ISNUMBER(N2456),ISNUMBER(P2456),ISNUMBER(H2456))),"시각 결측",IF(P2456&lt;=N2456,"P0 시각 역전",IF(OR(H2456&lt;N2456,H2456&gt;P2456),"측정시각 구간 밖","OK")))))</f>
        <v/>
      </c>
      <c r="N2456" s="45">
        <f>IF(COUNTIFS($C:$C,$C2456,$D:$D,"P0(전)",$L:$L,"&gt;0")&lt;&gt;1,"",SUMIFS($H:$H,$C:$C,$C2456,$D:$D,"P0(전)"))</f>
        <v/>
      </c>
      <c r="O2456" s="30">
        <f>IF(COUNTIFS($C:$C,$C2456,$D:$D,"P0(전)",$L:$L,"&gt;0")&lt;&gt;1,"",SUMIFS($L:$L,$C:$C,$C2456,$D:$D,"P0(전)"))</f>
        <v/>
      </c>
      <c r="P2456" s="45">
        <f>IF(COUNTIFS($C:$C,$C2456,$D:$D,"P0(후)",$L:$L,"&gt;0")&lt;&gt;1,"",SUMIFS($H:$H,$C:$C,$C2456,$D:$D,"P0(후)"))</f>
        <v/>
      </c>
      <c r="Q2456" s="30">
        <f>IF(COUNTIFS($C:$C,$C2456,$D:$D,"P0(후)",$L:$L,"&gt;0")&lt;&gt;1,"",SUMIFS($L:$L,$C:$C,$C2456,$D:$D,"P0(후)"))</f>
        <v/>
      </c>
      <c r="R2456" s="30">
        <f>IF(M2456&lt;&gt;"OK","",O2456+(Q2456-O2456)*(H2456-N2456)/(P2456-N2456))</f>
        <v/>
      </c>
      <c r="S2456" s="30">
        <f>IF(OR(M2456&lt;&gt;"OK",NOT(ISNUMBER(L2456))),"",L2456-R2456)</f>
        <v/>
      </c>
      <c r="T2456" s="46">
        <f>IF(OR(NOT(ISNUMBER(S2456)),IF(ISNUMBER(G2456),G2456,F2456)=0),"",S2456/IF(ISNUMBER(G2456),G2456,F2456))</f>
        <v/>
      </c>
      <c r="U2456" s="46">
        <f>IF(ISNUMBER(T2456),ABS(T2456),"")</f>
        <v/>
      </c>
      <c r="V2456" s="46">
        <f>IF(OR($D2455&lt;&gt;"측정",$C2455&lt;&gt;$C2456,NOT(ISNUMBER(L2456)),NOT(ISNUMBER(L2455)),(IF(ISNUMBER(G2456),G2456,F2456)-IF(ISNUMBER(G2455),G2455,F2455))=0),"",(L2456-L2455)/(IF(ISNUMBER(G2456),G2456,F2456)-IF(ISNUMBER(G2455),G2455,F2455)))</f>
        <v/>
      </c>
      <c r="W2456" s="30">
        <f>IF(NOT(AND(ISNUMBER(N2456),ISNUMBER(P2456))),"",(P2456-N2456)*1440)</f>
        <v/>
      </c>
      <c r="X2456" s="28" t="n"/>
      <c r="Y2456" s="28" t="n"/>
      <c r="Z2456" s="28" t="n"/>
      <c r="AA2456" s="31" t="n"/>
      <c r="AB2456" s="31" t="n"/>
    </row>
    <row r="2457">
      <c r="A2457" s="25" t="inlineStr">
        <is>
          <t>S48</t>
        </is>
      </c>
      <c r="B2457" s="25" t="inlineStr">
        <is>
          <t>삼척</t>
        </is>
      </c>
      <c r="C2457" s="25" t="inlineStr">
        <is>
          <t>S48-H동</t>
        </is>
      </c>
      <c r="D2457" s="25" t="inlineStr">
        <is>
          <t>측정</t>
        </is>
      </c>
      <c r="E2457" s="25" t="inlineStr">
        <is>
          <t>동</t>
        </is>
      </c>
      <c r="F2457" s="30" t="n">
        <v>7</v>
      </c>
      <c r="G2457" s="29" t="n"/>
      <c r="H2457" s="42" t="n"/>
      <c r="I2457" s="40" t="n"/>
      <c r="J2457" s="40" t="n"/>
      <c r="K2457" s="40" t="n"/>
      <c r="L2457" s="30">
        <f>IF(COUNT(I2457:K2457)=0,"",MEDIAN(I2457:K2457))</f>
        <v/>
      </c>
      <c r="M2457" s="25">
        <f>IF(COUNTIFS($C:$C,$C2457,$D:$D,"P0(전)",$L:$L,"&gt;0")&lt;&gt;1,"P0(전) 유효 1개 아님",IF(COUNTIFS($C:$C,$C2457,$D:$D,"P0(후)",$L:$L,"&gt;0")&lt;&gt;1,"P0(후) 유효 1개 아님",IF(NOT(AND(ISNUMBER(N2457),ISNUMBER(P2457),ISNUMBER(H2457))),"시각 결측",IF(P2457&lt;=N2457,"P0 시각 역전",IF(OR(H2457&lt;N2457,H2457&gt;P2457),"측정시각 구간 밖","OK")))))</f>
        <v/>
      </c>
      <c r="N2457" s="45">
        <f>IF(COUNTIFS($C:$C,$C2457,$D:$D,"P0(전)",$L:$L,"&gt;0")&lt;&gt;1,"",SUMIFS($H:$H,$C:$C,$C2457,$D:$D,"P0(전)"))</f>
        <v/>
      </c>
      <c r="O2457" s="30">
        <f>IF(COUNTIFS($C:$C,$C2457,$D:$D,"P0(전)",$L:$L,"&gt;0")&lt;&gt;1,"",SUMIFS($L:$L,$C:$C,$C2457,$D:$D,"P0(전)"))</f>
        <v/>
      </c>
      <c r="P2457" s="45">
        <f>IF(COUNTIFS($C:$C,$C2457,$D:$D,"P0(후)",$L:$L,"&gt;0")&lt;&gt;1,"",SUMIFS($H:$H,$C:$C,$C2457,$D:$D,"P0(후)"))</f>
        <v/>
      </c>
      <c r="Q2457" s="30">
        <f>IF(COUNTIFS($C:$C,$C2457,$D:$D,"P0(후)",$L:$L,"&gt;0")&lt;&gt;1,"",SUMIFS($L:$L,$C:$C,$C2457,$D:$D,"P0(후)"))</f>
        <v/>
      </c>
      <c r="R2457" s="30">
        <f>IF(M2457&lt;&gt;"OK","",O2457+(Q2457-O2457)*(H2457-N2457)/(P2457-N2457))</f>
        <v/>
      </c>
      <c r="S2457" s="30">
        <f>IF(OR(M2457&lt;&gt;"OK",NOT(ISNUMBER(L2457))),"",L2457-R2457)</f>
        <v/>
      </c>
      <c r="T2457" s="46">
        <f>IF(OR(NOT(ISNUMBER(S2457)),IF(ISNUMBER(G2457),G2457,F2457)=0),"",S2457/IF(ISNUMBER(G2457),G2457,F2457))</f>
        <v/>
      </c>
      <c r="U2457" s="46">
        <f>IF(ISNUMBER(T2457),ABS(T2457),"")</f>
        <v/>
      </c>
      <c r="V2457" s="46">
        <f>IF(OR($D2456&lt;&gt;"측정",$C2456&lt;&gt;$C2457,NOT(ISNUMBER(L2457)),NOT(ISNUMBER(L2456)),(IF(ISNUMBER(G2457),G2457,F2457)-IF(ISNUMBER(G2456),G2456,F2456))=0),"",(L2457-L2456)/(IF(ISNUMBER(G2457),G2457,F2457)-IF(ISNUMBER(G2456),G2456,F2456)))</f>
        <v/>
      </c>
      <c r="W2457" s="30">
        <f>IF(NOT(AND(ISNUMBER(N2457),ISNUMBER(P2457))),"",(P2457-N2457)*1440)</f>
        <v/>
      </c>
      <c r="X2457" s="28" t="n"/>
      <c r="Y2457" s="28" t="n"/>
      <c r="Z2457" s="28" t="n"/>
      <c r="AA2457" s="31" t="n"/>
      <c r="AB2457" s="31" t="n"/>
    </row>
    <row r="2458">
      <c r="A2458" s="25" t="inlineStr">
        <is>
          <t>S48</t>
        </is>
      </c>
      <c r="B2458" s="25" t="inlineStr">
        <is>
          <t>삼척</t>
        </is>
      </c>
      <c r="C2458" s="25" t="inlineStr">
        <is>
          <t>S48-H동</t>
        </is>
      </c>
      <c r="D2458" s="25" t="inlineStr">
        <is>
          <t>측정</t>
        </is>
      </c>
      <c r="E2458" s="25" t="inlineStr">
        <is>
          <t>동</t>
        </is>
      </c>
      <c r="F2458" s="30" t="n">
        <v>8</v>
      </c>
      <c r="G2458" s="29" t="n"/>
      <c r="H2458" s="42" t="n"/>
      <c r="I2458" s="40" t="n"/>
      <c r="J2458" s="40" t="n"/>
      <c r="K2458" s="40" t="n"/>
      <c r="L2458" s="30">
        <f>IF(COUNT(I2458:K2458)=0,"",MEDIAN(I2458:K2458))</f>
        <v/>
      </c>
      <c r="M2458" s="25">
        <f>IF(COUNTIFS($C:$C,$C2458,$D:$D,"P0(전)",$L:$L,"&gt;0")&lt;&gt;1,"P0(전) 유효 1개 아님",IF(COUNTIFS($C:$C,$C2458,$D:$D,"P0(후)",$L:$L,"&gt;0")&lt;&gt;1,"P0(후) 유효 1개 아님",IF(NOT(AND(ISNUMBER(N2458),ISNUMBER(P2458),ISNUMBER(H2458))),"시각 결측",IF(P2458&lt;=N2458,"P0 시각 역전",IF(OR(H2458&lt;N2458,H2458&gt;P2458),"측정시각 구간 밖","OK")))))</f>
        <v/>
      </c>
      <c r="N2458" s="45">
        <f>IF(COUNTIFS($C:$C,$C2458,$D:$D,"P0(전)",$L:$L,"&gt;0")&lt;&gt;1,"",SUMIFS($H:$H,$C:$C,$C2458,$D:$D,"P0(전)"))</f>
        <v/>
      </c>
      <c r="O2458" s="30">
        <f>IF(COUNTIFS($C:$C,$C2458,$D:$D,"P0(전)",$L:$L,"&gt;0")&lt;&gt;1,"",SUMIFS($L:$L,$C:$C,$C2458,$D:$D,"P0(전)"))</f>
        <v/>
      </c>
      <c r="P2458" s="45">
        <f>IF(COUNTIFS($C:$C,$C2458,$D:$D,"P0(후)",$L:$L,"&gt;0")&lt;&gt;1,"",SUMIFS($H:$H,$C:$C,$C2458,$D:$D,"P0(후)"))</f>
        <v/>
      </c>
      <c r="Q2458" s="30">
        <f>IF(COUNTIFS($C:$C,$C2458,$D:$D,"P0(후)",$L:$L,"&gt;0")&lt;&gt;1,"",SUMIFS($L:$L,$C:$C,$C2458,$D:$D,"P0(후)"))</f>
        <v/>
      </c>
      <c r="R2458" s="30">
        <f>IF(M2458&lt;&gt;"OK","",O2458+(Q2458-O2458)*(H2458-N2458)/(P2458-N2458))</f>
        <v/>
      </c>
      <c r="S2458" s="30">
        <f>IF(OR(M2458&lt;&gt;"OK",NOT(ISNUMBER(L2458))),"",L2458-R2458)</f>
        <v/>
      </c>
      <c r="T2458" s="46">
        <f>IF(OR(NOT(ISNUMBER(S2458)),IF(ISNUMBER(G2458),G2458,F2458)=0),"",S2458/IF(ISNUMBER(G2458),G2458,F2458))</f>
        <v/>
      </c>
      <c r="U2458" s="46">
        <f>IF(ISNUMBER(T2458),ABS(T2458),"")</f>
        <v/>
      </c>
      <c r="V2458" s="46">
        <f>IF(OR($D2457&lt;&gt;"측정",$C2457&lt;&gt;$C2458,NOT(ISNUMBER(L2458)),NOT(ISNUMBER(L2457)),(IF(ISNUMBER(G2458),G2458,F2458)-IF(ISNUMBER(G2457),G2457,F2457))=0),"",(L2458-L2457)/(IF(ISNUMBER(G2458),G2458,F2458)-IF(ISNUMBER(G2457),G2457,F2457)))</f>
        <v/>
      </c>
      <c r="W2458" s="30">
        <f>IF(NOT(AND(ISNUMBER(N2458),ISNUMBER(P2458))),"",(P2458-N2458)*1440)</f>
        <v/>
      </c>
      <c r="X2458" s="28" t="n"/>
      <c r="Y2458" s="28" t="n"/>
      <c r="Z2458" s="28" t="n"/>
      <c r="AA2458" s="31" t="n"/>
      <c r="AB2458" s="31" t="n"/>
    </row>
    <row r="2459">
      <c r="A2459" s="25" t="inlineStr">
        <is>
          <t>S48</t>
        </is>
      </c>
      <c r="B2459" s="25" t="inlineStr">
        <is>
          <t>삼척</t>
        </is>
      </c>
      <c r="C2459" s="25" t="inlineStr">
        <is>
          <t>S48-H동</t>
        </is>
      </c>
      <c r="D2459" s="25" t="inlineStr">
        <is>
          <t>측정</t>
        </is>
      </c>
      <c r="E2459" s="25" t="inlineStr">
        <is>
          <t>동</t>
        </is>
      </c>
      <c r="F2459" s="30" t="n">
        <v>9</v>
      </c>
      <c r="G2459" s="29" t="n"/>
      <c r="H2459" s="42" t="n"/>
      <c r="I2459" s="40" t="n"/>
      <c r="J2459" s="40" t="n"/>
      <c r="K2459" s="40" t="n"/>
      <c r="L2459" s="30">
        <f>IF(COUNT(I2459:K2459)=0,"",MEDIAN(I2459:K2459))</f>
        <v/>
      </c>
      <c r="M2459" s="25">
        <f>IF(COUNTIFS($C:$C,$C2459,$D:$D,"P0(전)",$L:$L,"&gt;0")&lt;&gt;1,"P0(전) 유효 1개 아님",IF(COUNTIFS($C:$C,$C2459,$D:$D,"P0(후)",$L:$L,"&gt;0")&lt;&gt;1,"P0(후) 유효 1개 아님",IF(NOT(AND(ISNUMBER(N2459),ISNUMBER(P2459),ISNUMBER(H2459))),"시각 결측",IF(P2459&lt;=N2459,"P0 시각 역전",IF(OR(H2459&lt;N2459,H2459&gt;P2459),"측정시각 구간 밖","OK")))))</f>
        <v/>
      </c>
      <c r="N2459" s="45">
        <f>IF(COUNTIFS($C:$C,$C2459,$D:$D,"P0(전)",$L:$L,"&gt;0")&lt;&gt;1,"",SUMIFS($H:$H,$C:$C,$C2459,$D:$D,"P0(전)"))</f>
        <v/>
      </c>
      <c r="O2459" s="30">
        <f>IF(COUNTIFS($C:$C,$C2459,$D:$D,"P0(전)",$L:$L,"&gt;0")&lt;&gt;1,"",SUMIFS($L:$L,$C:$C,$C2459,$D:$D,"P0(전)"))</f>
        <v/>
      </c>
      <c r="P2459" s="45">
        <f>IF(COUNTIFS($C:$C,$C2459,$D:$D,"P0(후)",$L:$L,"&gt;0")&lt;&gt;1,"",SUMIFS($H:$H,$C:$C,$C2459,$D:$D,"P0(후)"))</f>
        <v/>
      </c>
      <c r="Q2459" s="30">
        <f>IF(COUNTIFS($C:$C,$C2459,$D:$D,"P0(후)",$L:$L,"&gt;0")&lt;&gt;1,"",SUMIFS($L:$L,$C:$C,$C2459,$D:$D,"P0(후)"))</f>
        <v/>
      </c>
      <c r="R2459" s="30">
        <f>IF(M2459&lt;&gt;"OK","",O2459+(Q2459-O2459)*(H2459-N2459)/(P2459-N2459))</f>
        <v/>
      </c>
      <c r="S2459" s="30">
        <f>IF(OR(M2459&lt;&gt;"OK",NOT(ISNUMBER(L2459))),"",L2459-R2459)</f>
        <v/>
      </c>
      <c r="T2459" s="46">
        <f>IF(OR(NOT(ISNUMBER(S2459)),IF(ISNUMBER(G2459),G2459,F2459)=0),"",S2459/IF(ISNUMBER(G2459),G2459,F2459))</f>
        <v/>
      </c>
      <c r="U2459" s="46">
        <f>IF(ISNUMBER(T2459),ABS(T2459),"")</f>
        <v/>
      </c>
      <c r="V2459" s="46">
        <f>IF(OR($D2458&lt;&gt;"측정",$C2458&lt;&gt;$C2459,NOT(ISNUMBER(L2459)),NOT(ISNUMBER(L2458)),(IF(ISNUMBER(G2459),G2459,F2459)-IF(ISNUMBER(G2458),G2458,F2458))=0),"",(L2459-L2458)/(IF(ISNUMBER(G2459),G2459,F2459)-IF(ISNUMBER(G2458),G2458,F2458)))</f>
        <v/>
      </c>
      <c r="W2459" s="30">
        <f>IF(NOT(AND(ISNUMBER(N2459),ISNUMBER(P2459))),"",(P2459-N2459)*1440)</f>
        <v/>
      </c>
      <c r="X2459" s="28" t="n"/>
      <c r="Y2459" s="28" t="n"/>
      <c r="Z2459" s="28" t="n"/>
      <c r="AA2459" s="31" t="n"/>
      <c r="AB2459" s="31" t="n"/>
    </row>
    <row r="2460">
      <c r="A2460" s="25" t="inlineStr">
        <is>
          <t>S48</t>
        </is>
      </c>
      <c r="B2460" s="25" t="inlineStr">
        <is>
          <t>삼척</t>
        </is>
      </c>
      <c r="C2460" s="25" t="inlineStr">
        <is>
          <t>S48-H동</t>
        </is>
      </c>
      <c r="D2460" s="25" t="inlineStr">
        <is>
          <t>측정</t>
        </is>
      </c>
      <c r="E2460" s="25" t="inlineStr">
        <is>
          <t>동</t>
        </is>
      </c>
      <c r="F2460" s="30" t="n">
        <v>10</v>
      </c>
      <c r="G2460" s="29" t="n"/>
      <c r="H2460" s="42" t="n"/>
      <c r="I2460" s="40" t="n"/>
      <c r="J2460" s="40" t="n"/>
      <c r="K2460" s="40" t="n"/>
      <c r="L2460" s="30">
        <f>IF(COUNT(I2460:K2460)=0,"",MEDIAN(I2460:K2460))</f>
        <v/>
      </c>
      <c r="M2460" s="25">
        <f>IF(COUNTIFS($C:$C,$C2460,$D:$D,"P0(전)",$L:$L,"&gt;0")&lt;&gt;1,"P0(전) 유효 1개 아님",IF(COUNTIFS($C:$C,$C2460,$D:$D,"P0(후)",$L:$L,"&gt;0")&lt;&gt;1,"P0(후) 유효 1개 아님",IF(NOT(AND(ISNUMBER(N2460),ISNUMBER(P2460),ISNUMBER(H2460))),"시각 결측",IF(P2460&lt;=N2460,"P0 시각 역전",IF(OR(H2460&lt;N2460,H2460&gt;P2460),"측정시각 구간 밖","OK")))))</f>
        <v/>
      </c>
      <c r="N2460" s="45">
        <f>IF(COUNTIFS($C:$C,$C2460,$D:$D,"P0(전)",$L:$L,"&gt;0")&lt;&gt;1,"",SUMIFS($H:$H,$C:$C,$C2460,$D:$D,"P0(전)"))</f>
        <v/>
      </c>
      <c r="O2460" s="30">
        <f>IF(COUNTIFS($C:$C,$C2460,$D:$D,"P0(전)",$L:$L,"&gt;0")&lt;&gt;1,"",SUMIFS($L:$L,$C:$C,$C2460,$D:$D,"P0(전)"))</f>
        <v/>
      </c>
      <c r="P2460" s="45">
        <f>IF(COUNTIFS($C:$C,$C2460,$D:$D,"P0(후)",$L:$L,"&gt;0")&lt;&gt;1,"",SUMIFS($H:$H,$C:$C,$C2460,$D:$D,"P0(후)"))</f>
        <v/>
      </c>
      <c r="Q2460" s="30">
        <f>IF(COUNTIFS($C:$C,$C2460,$D:$D,"P0(후)",$L:$L,"&gt;0")&lt;&gt;1,"",SUMIFS($L:$L,$C:$C,$C2460,$D:$D,"P0(후)"))</f>
        <v/>
      </c>
      <c r="R2460" s="30">
        <f>IF(M2460&lt;&gt;"OK","",O2460+(Q2460-O2460)*(H2460-N2460)/(P2460-N2460))</f>
        <v/>
      </c>
      <c r="S2460" s="30">
        <f>IF(OR(M2460&lt;&gt;"OK",NOT(ISNUMBER(L2460))),"",L2460-R2460)</f>
        <v/>
      </c>
      <c r="T2460" s="46">
        <f>IF(OR(NOT(ISNUMBER(S2460)),IF(ISNUMBER(G2460),G2460,F2460)=0),"",S2460/IF(ISNUMBER(G2460),G2460,F2460))</f>
        <v/>
      </c>
      <c r="U2460" s="46">
        <f>IF(ISNUMBER(T2460),ABS(T2460),"")</f>
        <v/>
      </c>
      <c r="V2460" s="46">
        <f>IF(OR($D2459&lt;&gt;"측정",$C2459&lt;&gt;$C2460,NOT(ISNUMBER(L2460)),NOT(ISNUMBER(L2459)),(IF(ISNUMBER(G2460),G2460,F2460)-IF(ISNUMBER(G2459),G2459,F2459))=0),"",(L2460-L2459)/(IF(ISNUMBER(G2460),G2460,F2460)-IF(ISNUMBER(G2459),G2459,F2459)))</f>
        <v/>
      </c>
      <c r="W2460" s="30">
        <f>IF(NOT(AND(ISNUMBER(N2460),ISNUMBER(P2460))),"",(P2460-N2460)*1440)</f>
        <v/>
      </c>
      <c r="X2460" s="28" t="n"/>
      <c r="Y2460" s="28" t="n"/>
      <c r="Z2460" s="28" t="n"/>
      <c r="AA2460" s="31" t="n"/>
      <c r="AB2460" s="31" t="n"/>
    </row>
    <row r="2461">
      <c r="A2461" s="43" t="inlineStr">
        <is>
          <t>S48</t>
        </is>
      </c>
      <c r="B2461" s="43" t="inlineStr">
        <is>
          <t>삼척</t>
        </is>
      </c>
      <c r="C2461" s="43" t="inlineStr">
        <is>
          <t>S48-H동</t>
        </is>
      </c>
      <c r="D2461" s="43" t="inlineStr">
        <is>
          <t>P0(후)</t>
        </is>
      </c>
      <c r="E2461" s="43" t="inlineStr">
        <is>
          <t>동</t>
        </is>
      </c>
      <c r="F2461" s="44" t="n"/>
      <c r="G2461" s="29" t="n"/>
      <c r="H2461" s="42" t="n"/>
      <c r="I2461" s="40" t="n"/>
      <c r="J2461" s="40" t="n"/>
      <c r="K2461" s="40" t="n"/>
      <c r="L2461" s="30">
        <f>IF(COUNT(I2461:K2461)=0,"",MEDIAN(I2461:K2461))</f>
        <v/>
      </c>
      <c r="M2461" s="37" t="n"/>
      <c r="N2461" s="37" t="n"/>
      <c r="O2461" s="37" t="n"/>
      <c r="P2461" s="37" t="n"/>
      <c r="Q2461" s="37" t="n"/>
      <c r="R2461" s="37" t="n"/>
      <c r="S2461" s="37" t="n"/>
      <c r="T2461" s="37" t="n"/>
      <c r="U2461" s="37" t="n"/>
      <c r="V2461" s="37" t="n"/>
      <c r="W2461" s="37" t="n"/>
      <c r="X2461" s="28" t="n"/>
      <c r="Y2461" s="28" t="n"/>
      <c r="Z2461" s="28" t="n"/>
      <c r="AA2461" s="31" t="n"/>
      <c r="AB2461" s="31" t="n"/>
    </row>
    <row r="2462">
      <c r="A2462" s="43" t="inlineStr">
        <is>
          <t>S48</t>
        </is>
      </c>
      <c r="B2462" s="43" t="inlineStr">
        <is>
          <t>삼척</t>
        </is>
      </c>
      <c r="C2462" s="43" t="inlineStr">
        <is>
          <t>S48-H서</t>
        </is>
      </c>
      <c r="D2462" s="43" t="inlineStr">
        <is>
          <t>P0(전)</t>
        </is>
      </c>
      <c r="E2462" s="43" t="inlineStr">
        <is>
          <t>서</t>
        </is>
      </c>
      <c r="F2462" s="44" t="n"/>
      <c r="G2462" s="29" t="n"/>
      <c r="H2462" s="42" t="n"/>
      <c r="I2462" s="40" t="n"/>
      <c r="J2462" s="40" t="n"/>
      <c r="K2462" s="40" t="n"/>
      <c r="L2462" s="30">
        <f>IF(COUNT(I2462:K2462)=0,"",MEDIAN(I2462:K2462))</f>
        <v/>
      </c>
      <c r="M2462" s="37" t="n"/>
      <c r="N2462" s="37" t="n"/>
      <c r="O2462" s="37" t="n"/>
      <c r="P2462" s="37" t="n"/>
      <c r="Q2462" s="37" t="n"/>
      <c r="R2462" s="37" t="n"/>
      <c r="S2462" s="37" t="n"/>
      <c r="T2462" s="37" t="n"/>
      <c r="U2462" s="37" t="n"/>
      <c r="V2462" s="37" t="n"/>
      <c r="W2462" s="37" t="n"/>
      <c r="X2462" s="28" t="n"/>
      <c r="Y2462" s="28" t="n"/>
      <c r="Z2462" s="28" t="n"/>
      <c r="AA2462" s="31" t="n"/>
      <c r="AB2462" s="31" t="n"/>
    </row>
    <row r="2463">
      <c r="A2463" s="25" t="inlineStr">
        <is>
          <t>S48</t>
        </is>
      </c>
      <c r="B2463" s="25" t="inlineStr">
        <is>
          <t>삼척</t>
        </is>
      </c>
      <c r="C2463" s="25" t="inlineStr">
        <is>
          <t>S48-H서</t>
        </is>
      </c>
      <c r="D2463" s="25" t="inlineStr">
        <is>
          <t>측정</t>
        </is>
      </c>
      <c r="E2463" s="25" t="inlineStr">
        <is>
          <t>서</t>
        </is>
      </c>
      <c r="F2463" s="30" t="n">
        <v>0.5</v>
      </c>
      <c r="G2463" s="29" t="n"/>
      <c r="H2463" s="42" t="n"/>
      <c r="I2463" s="40" t="n"/>
      <c r="J2463" s="40" t="n"/>
      <c r="K2463" s="40" t="n"/>
      <c r="L2463" s="30">
        <f>IF(COUNT(I2463:K2463)=0,"",MEDIAN(I2463:K2463))</f>
        <v/>
      </c>
      <c r="M2463" s="25">
        <f>IF(COUNTIFS($C:$C,$C2463,$D:$D,"P0(전)",$L:$L,"&gt;0")&lt;&gt;1,"P0(전) 유효 1개 아님",IF(COUNTIFS($C:$C,$C2463,$D:$D,"P0(후)",$L:$L,"&gt;0")&lt;&gt;1,"P0(후) 유효 1개 아님",IF(NOT(AND(ISNUMBER(N2463),ISNUMBER(P2463),ISNUMBER(H2463))),"시각 결측",IF(P2463&lt;=N2463,"P0 시각 역전",IF(OR(H2463&lt;N2463,H2463&gt;P2463),"측정시각 구간 밖","OK")))))</f>
        <v/>
      </c>
      <c r="N2463" s="45">
        <f>IF(COUNTIFS($C:$C,$C2463,$D:$D,"P0(전)",$L:$L,"&gt;0")&lt;&gt;1,"",SUMIFS($H:$H,$C:$C,$C2463,$D:$D,"P0(전)"))</f>
        <v/>
      </c>
      <c r="O2463" s="30">
        <f>IF(COUNTIFS($C:$C,$C2463,$D:$D,"P0(전)",$L:$L,"&gt;0")&lt;&gt;1,"",SUMIFS($L:$L,$C:$C,$C2463,$D:$D,"P0(전)"))</f>
        <v/>
      </c>
      <c r="P2463" s="45">
        <f>IF(COUNTIFS($C:$C,$C2463,$D:$D,"P0(후)",$L:$L,"&gt;0")&lt;&gt;1,"",SUMIFS($H:$H,$C:$C,$C2463,$D:$D,"P0(후)"))</f>
        <v/>
      </c>
      <c r="Q2463" s="30">
        <f>IF(COUNTIFS($C:$C,$C2463,$D:$D,"P0(후)",$L:$L,"&gt;0")&lt;&gt;1,"",SUMIFS($L:$L,$C:$C,$C2463,$D:$D,"P0(후)"))</f>
        <v/>
      </c>
      <c r="R2463" s="30">
        <f>IF(M2463&lt;&gt;"OK","",O2463+(Q2463-O2463)*(H2463-N2463)/(P2463-N2463))</f>
        <v/>
      </c>
      <c r="S2463" s="30">
        <f>IF(OR(M2463&lt;&gt;"OK",NOT(ISNUMBER(L2463))),"",L2463-R2463)</f>
        <v/>
      </c>
      <c r="T2463" s="46">
        <f>IF(OR(NOT(ISNUMBER(S2463)),IF(ISNUMBER(G2463),G2463,F2463)=0),"",S2463/IF(ISNUMBER(G2463),G2463,F2463))</f>
        <v/>
      </c>
      <c r="U2463" s="46">
        <f>IF(ISNUMBER(T2463),ABS(T2463),"")</f>
        <v/>
      </c>
      <c r="V2463" s="46">
        <f>IF(OR($D2462&lt;&gt;"측정",$C2462&lt;&gt;$C2463,NOT(ISNUMBER(L2463)),NOT(ISNUMBER(L2462)),(IF(ISNUMBER(G2463),G2463,F2463)-IF(ISNUMBER(G2462),G2462,F2462))=0),"",(L2463-L2462)/(IF(ISNUMBER(G2463),G2463,F2463)-IF(ISNUMBER(G2462),G2462,F2462)))</f>
        <v/>
      </c>
      <c r="W2463" s="30">
        <f>IF(NOT(AND(ISNUMBER(N2463),ISNUMBER(P2463))),"",(P2463-N2463)*1440)</f>
        <v/>
      </c>
      <c r="X2463" s="28" t="n"/>
      <c r="Y2463" s="28" t="n"/>
      <c r="Z2463" s="28" t="n"/>
      <c r="AA2463" s="31" t="n"/>
      <c r="AB2463" s="31" t="n"/>
    </row>
    <row r="2464">
      <c r="A2464" s="25" t="inlineStr">
        <is>
          <t>S48</t>
        </is>
      </c>
      <c r="B2464" s="25" t="inlineStr">
        <is>
          <t>삼척</t>
        </is>
      </c>
      <c r="C2464" s="25" t="inlineStr">
        <is>
          <t>S48-H서</t>
        </is>
      </c>
      <c r="D2464" s="25" t="inlineStr">
        <is>
          <t>측정</t>
        </is>
      </c>
      <c r="E2464" s="25" t="inlineStr">
        <is>
          <t>서</t>
        </is>
      </c>
      <c r="F2464" s="30" t="n">
        <v>1</v>
      </c>
      <c r="G2464" s="29" t="n"/>
      <c r="H2464" s="42" t="n"/>
      <c r="I2464" s="40" t="n"/>
      <c r="J2464" s="40" t="n"/>
      <c r="K2464" s="40" t="n"/>
      <c r="L2464" s="30">
        <f>IF(COUNT(I2464:K2464)=0,"",MEDIAN(I2464:K2464))</f>
        <v/>
      </c>
      <c r="M2464" s="25">
        <f>IF(COUNTIFS($C:$C,$C2464,$D:$D,"P0(전)",$L:$L,"&gt;0")&lt;&gt;1,"P0(전) 유효 1개 아님",IF(COUNTIFS($C:$C,$C2464,$D:$D,"P0(후)",$L:$L,"&gt;0")&lt;&gt;1,"P0(후) 유효 1개 아님",IF(NOT(AND(ISNUMBER(N2464),ISNUMBER(P2464),ISNUMBER(H2464))),"시각 결측",IF(P2464&lt;=N2464,"P0 시각 역전",IF(OR(H2464&lt;N2464,H2464&gt;P2464),"측정시각 구간 밖","OK")))))</f>
        <v/>
      </c>
      <c r="N2464" s="45">
        <f>IF(COUNTIFS($C:$C,$C2464,$D:$D,"P0(전)",$L:$L,"&gt;0")&lt;&gt;1,"",SUMIFS($H:$H,$C:$C,$C2464,$D:$D,"P0(전)"))</f>
        <v/>
      </c>
      <c r="O2464" s="30">
        <f>IF(COUNTIFS($C:$C,$C2464,$D:$D,"P0(전)",$L:$L,"&gt;0")&lt;&gt;1,"",SUMIFS($L:$L,$C:$C,$C2464,$D:$D,"P0(전)"))</f>
        <v/>
      </c>
      <c r="P2464" s="45">
        <f>IF(COUNTIFS($C:$C,$C2464,$D:$D,"P0(후)",$L:$L,"&gt;0")&lt;&gt;1,"",SUMIFS($H:$H,$C:$C,$C2464,$D:$D,"P0(후)"))</f>
        <v/>
      </c>
      <c r="Q2464" s="30">
        <f>IF(COUNTIFS($C:$C,$C2464,$D:$D,"P0(후)",$L:$L,"&gt;0")&lt;&gt;1,"",SUMIFS($L:$L,$C:$C,$C2464,$D:$D,"P0(후)"))</f>
        <v/>
      </c>
      <c r="R2464" s="30">
        <f>IF(M2464&lt;&gt;"OK","",O2464+(Q2464-O2464)*(H2464-N2464)/(P2464-N2464))</f>
        <v/>
      </c>
      <c r="S2464" s="30">
        <f>IF(OR(M2464&lt;&gt;"OK",NOT(ISNUMBER(L2464))),"",L2464-R2464)</f>
        <v/>
      </c>
      <c r="T2464" s="46">
        <f>IF(OR(NOT(ISNUMBER(S2464)),IF(ISNUMBER(G2464),G2464,F2464)=0),"",S2464/IF(ISNUMBER(G2464),G2464,F2464))</f>
        <v/>
      </c>
      <c r="U2464" s="46">
        <f>IF(ISNUMBER(T2464),ABS(T2464),"")</f>
        <v/>
      </c>
      <c r="V2464" s="46">
        <f>IF(OR($D2463&lt;&gt;"측정",$C2463&lt;&gt;$C2464,NOT(ISNUMBER(L2464)),NOT(ISNUMBER(L2463)),(IF(ISNUMBER(G2464),G2464,F2464)-IF(ISNUMBER(G2463),G2463,F2463))=0),"",(L2464-L2463)/(IF(ISNUMBER(G2464),G2464,F2464)-IF(ISNUMBER(G2463),G2463,F2463)))</f>
        <v/>
      </c>
      <c r="W2464" s="30">
        <f>IF(NOT(AND(ISNUMBER(N2464),ISNUMBER(P2464))),"",(P2464-N2464)*1440)</f>
        <v/>
      </c>
      <c r="X2464" s="28" t="n"/>
      <c r="Y2464" s="28" t="n"/>
      <c r="Z2464" s="28" t="n"/>
      <c r="AA2464" s="31" t="n"/>
      <c r="AB2464" s="31" t="n"/>
    </row>
    <row r="2465">
      <c r="A2465" s="25" t="inlineStr">
        <is>
          <t>S48</t>
        </is>
      </c>
      <c r="B2465" s="25" t="inlineStr">
        <is>
          <t>삼척</t>
        </is>
      </c>
      <c r="C2465" s="25" t="inlineStr">
        <is>
          <t>S48-H서</t>
        </is>
      </c>
      <c r="D2465" s="25" t="inlineStr">
        <is>
          <t>측정</t>
        </is>
      </c>
      <c r="E2465" s="25" t="inlineStr">
        <is>
          <t>서</t>
        </is>
      </c>
      <c r="F2465" s="30" t="n">
        <v>2</v>
      </c>
      <c r="G2465" s="29" t="n"/>
      <c r="H2465" s="42" t="n"/>
      <c r="I2465" s="40" t="n"/>
      <c r="J2465" s="40" t="n"/>
      <c r="K2465" s="40" t="n"/>
      <c r="L2465" s="30">
        <f>IF(COUNT(I2465:K2465)=0,"",MEDIAN(I2465:K2465))</f>
        <v/>
      </c>
      <c r="M2465" s="25">
        <f>IF(COUNTIFS($C:$C,$C2465,$D:$D,"P0(전)",$L:$L,"&gt;0")&lt;&gt;1,"P0(전) 유효 1개 아님",IF(COUNTIFS($C:$C,$C2465,$D:$D,"P0(후)",$L:$L,"&gt;0")&lt;&gt;1,"P0(후) 유효 1개 아님",IF(NOT(AND(ISNUMBER(N2465),ISNUMBER(P2465),ISNUMBER(H2465))),"시각 결측",IF(P2465&lt;=N2465,"P0 시각 역전",IF(OR(H2465&lt;N2465,H2465&gt;P2465),"측정시각 구간 밖","OK")))))</f>
        <v/>
      </c>
      <c r="N2465" s="45">
        <f>IF(COUNTIFS($C:$C,$C2465,$D:$D,"P0(전)",$L:$L,"&gt;0")&lt;&gt;1,"",SUMIFS($H:$H,$C:$C,$C2465,$D:$D,"P0(전)"))</f>
        <v/>
      </c>
      <c r="O2465" s="30">
        <f>IF(COUNTIFS($C:$C,$C2465,$D:$D,"P0(전)",$L:$L,"&gt;0")&lt;&gt;1,"",SUMIFS($L:$L,$C:$C,$C2465,$D:$D,"P0(전)"))</f>
        <v/>
      </c>
      <c r="P2465" s="45">
        <f>IF(COUNTIFS($C:$C,$C2465,$D:$D,"P0(후)",$L:$L,"&gt;0")&lt;&gt;1,"",SUMIFS($H:$H,$C:$C,$C2465,$D:$D,"P0(후)"))</f>
        <v/>
      </c>
      <c r="Q2465" s="30">
        <f>IF(COUNTIFS($C:$C,$C2465,$D:$D,"P0(후)",$L:$L,"&gt;0")&lt;&gt;1,"",SUMIFS($L:$L,$C:$C,$C2465,$D:$D,"P0(후)"))</f>
        <v/>
      </c>
      <c r="R2465" s="30">
        <f>IF(M2465&lt;&gt;"OK","",O2465+(Q2465-O2465)*(H2465-N2465)/(P2465-N2465))</f>
        <v/>
      </c>
      <c r="S2465" s="30">
        <f>IF(OR(M2465&lt;&gt;"OK",NOT(ISNUMBER(L2465))),"",L2465-R2465)</f>
        <v/>
      </c>
      <c r="T2465" s="46">
        <f>IF(OR(NOT(ISNUMBER(S2465)),IF(ISNUMBER(G2465),G2465,F2465)=0),"",S2465/IF(ISNUMBER(G2465),G2465,F2465))</f>
        <v/>
      </c>
      <c r="U2465" s="46">
        <f>IF(ISNUMBER(T2465),ABS(T2465),"")</f>
        <v/>
      </c>
      <c r="V2465" s="46">
        <f>IF(OR($D2464&lt;&gt;"측정",$C2464&lt;&gt;$C2465,NOT(ISNUMBER(L2465)),NOT(ISNUMBER(L2464)),(IF(ISNUMBER(G2465),G2465,F2465)-IF(ISNUMBER(G2464),G2464,F2464))=0),"",(L2465-L2464)/(IF(ISNUMBER(G2465),G2465,F2465)-IF(ISNUMBER(G2464),G2464,F2464)))</f>
        <v/>
      </c>
      <c r="W2465" s="30">
        <f>IF(NOT(AND(ISNUMBER(N2465),ISNUMBER(P2465))),"",(P2465-N2465)*1440)</f>
        <v/>
      </c>
      <c r="X2465" s="28" t="n"/>
      <c r="Y2465" s="28" t="n"/>
      <c r="Z2465" s="28" t="n"/>
      <c r="AA2465" s="31" t="n"/>
      <c r="AB2465" s="31" t="n"/>
    </row>
    <row r="2466">
      <c r="A2466" s="25" t="inlineStr">
        <is>
          <t>S48</t>
        </is>
      </c>
      <c r="B2466" s="25" t="inlineStr">
        <is>
          <t>삼척</t>
        </is>
      </c>
      <c r="C2466" s="25" t="inlineStr">
        <is>
          <t>S48-H서</t>
        </is>
      </c>
      <c r="D2466" s="25" t="inlineStr">
        <is>
          <t>측정</t>
        </is>
      </c>
      <c r="E2466" s="25" t="inlineStr">
        <is>
          <t>서</t>
        </is>
      </c>
      <c r="F2466" s="30" t="n">
        <v>3</v>
      </c>
      <c r="G2466" s="29" t="n"/>
      <c r="H2466" s="42" t="n"/>
      <c r="I2466" s="40" t="n"/>
      <c r="J2466" s="40" t="n"/>
      <c r="K2466" s="40" t="n"/>
      <c r="L2466" s="30">
        <f>IF(COUNT(I2466:K2466)=0,"",MEDIAN(I2466:K2466))</f>
        <v/>
      </c>
      <c r="M2466" s="25">
        <f>IF(COUNTIFS($C:$C,$C2466,$D:$D,"P0(전)",$L:$L,"&gt;0")&lt;&gt;1,"P0(전) 유효 1개 아님",IF(COUNTIFS($C:$C,$C2466,$D:$D,"P0(후)",$L:$L,"&gt;0")&lt;&gt;1,"P0(후) 유효 1개 아님",IF(NOT(AND(ISNUMBER(N2466),ISNUMBER(P2466),ISNUMBER(H2466))),"시각 결측",IF(P2466&lt;=N2466,"P0 시각 역전",IF(OR(H2466&lt;N2466,H2466&gt;P2466),"측정시각 구간 밖","OK")))))</f>
        <v/>
      </c>
      <c r="N2466" s="45">
        <f>IF(COUNTIFS($C:$C,$C2466,$D:$D,"P0(전)",$L:$L,"&gt;0")&lt;&gt;1,"",SUMIFS($H:$H,$C:$C,$C2466,$D:$D,"P0(전)"))</f>
        <v/>
      </c>
      <c r="O2466" s="30">
        <f>IF(COUNTIFS($C:$C,$C2466,$D:$D,"P0(전)",$L:$L,"&gt;0")&lt;&gt;1,"",SUMIFS($L:$L,$C:$C,$C2466,$D:$D,"P0(전)"))</f>
        <v/>
      </c>
      <c r="P2466" s="45">
        <f>IF(COUNTIFS($C:$C,$C2466,$D:$D,"P0(후)",$L:$L,"&gt;0")&lt;&gt;1,"",SUMIFS($H:$H,$C:$C,$C2466,$D:$D,"P0(후)"))</f>
        <v/>
      </c>
      <c r="Q2466" s="30">
        <f>IF(COUNTIFS($C:$C,$C2466,$D:$D,"P0(후)",$L:$L,"&gt;0")&lt;&gt;1,"",SUMIFS($L:$L,$C:$C,$C2466,$D:$D,"P0(후)"))</f>
        <v/>
      </c>
      <c r="R2466" s="30">
        <f>IF(M2466&lt;&gt;"OK","",O2466+(Q2466-O2466)*(H2466-N2466)/(P2466-N2466))</f>
        <v/>
      </c>
      <c r="S2466" s="30">
        <f>IF(OR(M2466&lt;&gt;"OK",NOT(ISNUMBER(L2466))),"",L2466-R2466)</f>
        <v/>
      </c>
      <c r="T2466" s="46">
        <f>IF(OR(NOT(ISNUMBER(S2466)),IF(ISNUMBER(G2466),G2466,F2466)=0),"",S2466/IF(ISNUMBER(G2466),G2466,F2466))</f>
        <v/>
      </c>
      <c r="U2466" s="46">
        <f>IF(ISNUMBER(T2466),ABS(T2466),"")</f>
        <v/>
      </c>
      <c r="V2466" s="46">
        <f>IF(OR($D2465&lt;&gt;"측정",$C2465&lt;&gt;$C2466,NOT(ISNUMBER(L2466)),NOT(ISNUMBER(L2465)),(IF(ISNUMBER(G2466),G2466,F2466)-IF(ISNUMBER(G2465),G2465,F2465))=0),"",(L2466-L2465)/(IF(ISNUMBER(G2466),G2466,F2466)-IF(ISNUMBER(G2465),G2465,F2465)))</f>
        <v/>
      </c>
      <c r="W2466" s="30">
        <f>IF(NOT(AND(ISNUMBER(N2466),ISNUMBER(P2466))),"",(P2466-N2466)*1440)</f>
        <v/>
      </c>
      <c r="X2466" s="28" t="n"/>
      <c r="Y2466" s="28" t="n"/>
      <c r="Z2466" s="28" t="n"/>
      <c r="AA2466" s="31" t="n"/>
      <c r="AB2466" s="31" t="n"/>
    </row>
    <row r="2467">
      <c r="A2467" s="25" t="inlineStr">
        <is>
          <t>S48</t>
        </is>
      </c>
      <c r="B2467" s="25" t="inlineStr">
        <is>
          <t>삼척</t>
        </is>
      </c>
      <c r="C2467" s="25" t="inlineStr">
        <is>
          <t>S48-H서</t>
        </is>
      </c>
      <c r="D2467" s="25" t="inlineStr">
        <is>
          <t>측정</t>
        </is>
      </c>
      <c r="E2467" s="25" t="inlineStr">
        <is>
          <t>서</t>
        </is>
      </c>
      <c r="F2467" s="30" t="n">
        <v>4</v>
      </c>
      <c r="G2467" s="29" t="n"/>
      <c r="H2467" s="42" t="n"/>
      <c r="I2467" s="40" t="n"/>
      <c r="J2467" s="40" t="n"/>
      <c r="K2467" s="40" t="n"/>
      <c r="L2467" s="30">
        <f>IF(COUNT(I2467:K2467)=0,"",MEDIAN(I2467:K2467))</f>
        <v/>
      </c>
      <c r="M2467" s="25">
        <f>IF(COUNTIFS($C:$C,$C2467,$D:$D,"P0(전)",$L:$L,"&gt;0")&lt;&gt;1,"P0(전) 유효 1개 아님",IF(COUNTIFS($C:$C,$C2467,$D:$D,"P0(후)",$L:$L,"&gt;0")&lt;&gt;1,"P0(후) 유효 1개 아님",IF(NOT(AND(ISNUMBER(N2467),ISNUMBER(P2467),ISNUMBER(H2467))),"시각 결측",IF(P2467&lt;=N2467,"P0 시각 역전",IF(OR(H2467&lt;N2467,H2467&gt;P2467),"측정시각 구간 밖","OK")))))</f>
        <v/>
      </c>
      <c r="N2467" s="45">
        <f>IF(COUNTIFS($C:$C,$C2467,$D:$D,"P0(전)",$L:$L,"&gt;0")&lt;&gt;1,"",SUMIFS($H:$H,$C:$C,$C2467,$D:$D,"P0(전)"))</f>
        <v/>
      </c>
      <c r="O2467" s="30">
        <f>IF(COUNTIFS($C:$C,$C2467,$D:$D,"P0(전)",$L:$L,"&gt;0")&lt;&gt;1,"",SUMIFS($L:$L,$C:$C,$C2467,$D:$D,"P0(전)"))</f>
        <v/>
      </c>
      <c r="P2467" s="45">
        <f>IF(COUNTIFS($C:$C,$C2467,$D:$D,"P0(후)",$L:$L,"&gt;0")&lt;&gt;1,"",SUMIFS($H:$H,$C:$C,$C2467,$D:$D,"P0(후)"))</f>
        <v/>
      </c>
      <c r="Q2467" s="30">
        <f>IF(COUNTIFS($C:$C,$C2467,$D:$D,"P0(후)",$L:$L,"&gt;0")&lt;&gt;1,"",SUMIFS($L:$L,$C:$C,$C2467,$D:$D,"P0(후)"))</f>
        <v/>
      </c>
      <c r="R2467" s="30">
        <f>IF(M2467&lt;&gt;"OK","",O2467+(Q2467-O2467)*(H2467-N2467)/(P2467-N2467))</f>
        <v/>
      </c>
      <c r="S2467" s="30">
        <f>IF(OR(M2467&lt;&gt;"OK",NOT(ISNUMBER(L2467))),"",L2467-R2467)</f>
        <v/>
      </c>
      <c r="T2467" s="46">
        <f>IF(OR(NOT(ISNUMBER(S2467)),IF(ISNUMBER(G2467),G2467,F2467)=0),"",S2467/IF(ISNUMBER(G2467),G2467,F2467))</f>
        <v/>
      </c>
      <c r="U2467" s="46">
        <f>IF(ISNUMBER(T2467),ABS(T2467),"")</f>
        <v/>
      </c>
      <c r="V2467" s="46">
        <f>IF(OR($D2466&lt;&gt;"측정",$C2466&lt;&gt;$C2467,NOT(ISNUMBER(L2467)),NOT(ISNUMBER(L2466)),(IF(ISNUMBER(G2467),G2467,F2467)-IF(ISNUMBER(G2466),G2466,F2466))=0),"",(L2467-L2466)/(IF(ISNUMBER(G2467),G2467,F2467)-IF(ISNUMBER(G2466),G2466,F2466)))</f>
        <v/>
      </c>
      <c r="W2467" s="30">
        <f>IF(NOT(AND(ISNUMBER(N2467),ISNUMBER(P2467))),"",(P2467-N2467)*1440)</f>
        <v/>
      </c>
      <c r="X2467" s="28" t="n"/>
      <c r="Y2467" s="28" t="n"/>
      <c r="Z2467" s="28" t="n"/>
      <c r="AA2467" s="31" t="n"/>
      <c r="AB2467" s="31" t="n"/>
    </row>
    <row r="2468">
      <c r="A2468" s="25" t="inlineStr">
        <is>
          <t>S48</t>
        </is>
      </c>
      <c r="B2468" s="25" t="inlineStr">
        <is>
          <t>삼척</t>
        </is>
      </c>
      <c r="C2468" s="25" t="inlineStr">
        <is>
          <t>S48-H서</t>
        </is>
      </c>
      <c r="D2468" s="25" t="inlineStr">
        <is>
          <t>측정</t>
        </is>
      </c>
      <c r="E2468" s="25" t="inlineStr">
        <is>
          <t>서</t>
        </is>
      </c>
      <c r="F2468" s="30" t="n">
        <v>5</v>
      </c>
      <c r="G2468" s="29" t="n"/>
      <c r="H2468" s="42" t="n"/>
      <c r="I2468" s="40" t="n"/>
      <c r="J2468" s="40" t="n"/>
      <c r="K2468" s="40" t="n"/>
      <c r="L2468" s="30">
        <f>IF(COUNT(I2468:K2468)=0,"",MEDIAN(I2468:K2468))</f>
        <v/>
      </c>
      <c r="M2468" s="25">
        <f>IF(COUNTIFS($C:$C,$C2468,$D:$D,"P0(전)",$L:$L,"&gt;0")&lt;&gt;1,"P0(전) 유효 1개 아님",IF(COUNTIFS($C:$C,$C2468,$D:$D,"P0(후)",$L:$L,"&gt;0")&lt;&gt;1,"P0(후) 유효 1개 아님",IF(NOT(AND(ISNUMBER(N2468),ISNUMBER(P2468),ISNUMBER(H2468))),"시각 결측",IF(P2468&lt;=N2468,"P0 시각 역전",IF(OR(H2468&lt;N2468,H2468&gt;P2468),"측정시각 구간 밖","OK")))))</f>
        <v/>
      </c>
      <c r="N2468" s="45">
        <f>IF(COUNTIFS($C:$C,$C2468,$D:$D,"P0(전)",$L:$L,"&gt;0")&lt;&gt;1,"",SUMIFS($H:$H,$C:$C,$C2468,$D:$D,"P0(전)"))</f>
        <v/>
      </c>
      <c r="O2468" s="30">
        <f>IF(COUNTIFS($C:$C,$C2468,$D:$D,"P0(전)",$L:$L,"&gt;0")&lt;&gt;1,"",SUMIFS($L:$L,$C:$C,$C2468,$D:$D,"P0(전)"))</f>
        <v/>
      </c>
      <c r="P2468" s="45">
        <f>IF(COUNTIFS($C:$C,$C2468,$D:$D,"P0(후)",$L:$L,"&gt;0")&lt;&gt;1,"",SUMIFS($H:$H,$C:$C,$C2468,$D:$D,"P0(후)"))</f>
        <v/>
      </c>
      <c r="Q2468" s="30">
        <f>IF(COUNTIFS($C:$C,$C2468,$D:$D,"P0(후)",$L:$L,"&gt;0")&lt;&gt;1,"",SUMIFS($L:$L,$C:$C,$C2468,$D:$D,"P0(후)"))</f>
        <v/>
      </c>
      <c r="R2468" s="30">
        <f>IF(M2468&lt;&gt;"OK","",O2468+(Q2468-O2468)*(H2468-N2468)/(P2468-N2468))</f>
        <v/>
      </c>
      <c r="S2468" s="30">
        <f>IF(OR(M2468&lt;&gt;"OK",NOT(ISNUMBER(L2468))),"",L2468-R2468)</f>
        <v/>
      </c>
      <c r="T2468" s="46">
        <f>IF(OR(NOT(ISNUMBER(S2468)),IF(ISNUMBER(G2468),G2468,F2468)=0),"",S2468/IF(ISNUMBER(G2468),G2468,F2468))</f>
        <v/>
      </c>
      <c r="U2468" s="46">
        <f>IF(ISNUMBER(T2468),ABS(T2468),"")</f>
        <v/>
      </c>
      <c r="V2468" s="46">
        <f>IF(OR($D2467&lt;&gt;"측정",$C2467&lt;&gt;$C2468,NOT(ISNUMBER(L2468)),NOT(ISNUMBER(L2467)),(IF(ISNUMBER(G2468),G2468,F2468)-IF(ISNUMBER(G2467),G2467,F2467))=0),"",(L2468-L2467)/(IF(ISNUMBER(G2468),G2468,F2468)-IF(ISNUMBER(G2467),G2467,F2467)))</f>
        <v/>
      </c>
      <c r="W2468" s="30">
        <f>IF(NOT(AND(ISNUMBER(N2468),ISNUMBER(P2468))),"",(P2468-N2468)*1440)</f>
        <v/>
      </c>
      <c r="X2468" s="28" t="n"/>
      <c r="Y2468" s="28" t="n"/>
      <c r="Z2468" s="28" t="n"/>
      <c r="AA2468" s="31" t="n"/>
      <c r="AB2468" s="31" t="n"/>
    </row>
    <row r="2469">
      <c r="A2469" s="25" t="inlineStr">
        <is>
          <t>S48</t>
        </is>
      </c>
      <c r="B2469" s="25" t="inlineStr">
        <is>
          <t>삼척</t>
        </is>
      </c>
      <c r="C2469" s="25" t="inlineStr">
        <is>
          <t>S48-H서</t>
        </is>
      </c>
      <c r="D2469" s="25" t="inlineStr">
        <is>
          <t>측정</t>
        </is>
      </c>
      <c r="E2469" s="25" t="inlineStr">
        <is>
          <t>서</t>
        </is>
      </c>
      <c r="F2469" s="30" t="n">
        <v>6</v>
      </c>
      <c r="G2469" s="29" t="n"/>
      <c r="H2469" s="42" t="n"/>
      <c r="I2469" s="40" t="n"/>
      <c r="J2469" s="40" t="n"/>
      <c r="K2469" s="40" t="n"/>
      <c r="L2469" s="30">
        <f>IF(COUNT(I2469:K2469)=0,"",MEDIAN(I2469:K2469))</f>
        <v/>
      </c>
      <c r="M2469" s="25">
        <f>IF(COUNTIFS($C:$C,$C2469,$D:$D,"P0(전)",$L:$L,"&gt;0")&lt;&gt;1,"P0(전) 유효 1개 아님",IF(COUNTIFS($C:$C,$C2469,$D:$D,"P0(후)",$L:$L,"&gt;0")&lt;&gt;1,"P0(후) 유효 1개 아님",IF(NOT(AND(ISNUMBER(N2469),ISNUMBER(P2469),ISNUMBER(H2469))),"시각 결측",IF(P2469&lt;=N2469,"P0 시각 역전",IF(OR(H2469&lt;N2469,H2469&gt;P2469),"측정시각 구간 밖","OK")))))</f>
        <v/>
      </c>
      <c r="N2469" s="45">
        <f>IF(COUNTIFS($C:$C,$C2469,$D:$D,"P0(전)",$L:$L,"&gt;0")&lt;&gt;1,"",SUMIFS($H:$H,$C:$C,$C2469,$D:$D,"P0(전)"))</f>
        <v/>
      </c>
      <c r="O2469" s="30">
        <f>IF(COUNTIFS($C:$C,$C2469,$D:$D,"P0(전)",$L:$L,"&gt;0")&lt;&gt;1,"",SUMIFS($L:$L,$C:$C,$C2469,$D:$D,"P0(전)"))</f>
        <v/>
      </c>
      <c r="P2469" s="45">
        <f>IF(COUNTIFS($C:$C,$C2469,$D:$D,"P0(후)",$L:$L,"&gt;0")&lt;&gt;1,"",SUMIFS($H:$H,$C:$C,$C2469,$D:$D,"P0(후)"))</f>
        <v/>
      </c>
      <c r="Q2469" s="30">
        <f>IF(COUNTIFS($C:$C,$C2469,$D:$D,"P0(후)",$L:$L,"&gt;0")&lt;&gt;1,"",SUMIFS($L:$L,$C:$C,$C2469,$D:$D,"P0(후)"))</f>
        <v/>
      </c>
      <c r="R2469" s="30">
        <f>IF(M2469&lt;&gt;"OK","",O2469+(Q2469-O2469)*(H2469-N2469)/(P2469-N2469))</f>
        <v/>
      </c>
      <c r="S2469" s="30">
        <f>IF(OR(M2469&lt;&gt;"OK",NOT(ISNUMBER(L2469))),"",L2469-R2469)</f>
        <v/>
      </c>
      <c r="T2469" s="46">
        <f>IF(OR(NOT(ISNUMBER(S2469)),IF(ISNUMBER(G2469),G2469,F2469)=0),"",S2469/IF(ISNUMBER(G2469),G2469,F2469))</f>
        <v/>
      </c>
      <c r="U2469" s="46">
        <f>IF(ISNUMBER(T2469),ABS(T2469),"")</f>
        <v/>
      </c>
      <c r="V2469" s="46">
        <f>IF(OR($D2468&lt;&gt;"측정",$C2468&lt;&gt;$C2469,NOT(ISNUMBER(L2469)),NOT(ISNUMBER(L2468)),(IF(ISNUMBER(G2469),G2469,F2469)-IF(ISNUMBER(G2468),G2468,F2468))=0),"",(L2469-L2468)/(IF(ISNUMBER(G2469),G2469,F2469)-IF(ISNUMBER(G2468),G2468,F2468)))</f>
        <v/>
      </c>
      <c r="W2469" s="30">
        <f>IF(NOT(AND(ISNUMBER(N2469),ISNUMBER(P2469))),"",(P2469-N2469)*1440)</f>
        <v/>
      </c>
      <c r="X2469" s="28" t="n"/>
      <c r="Y2469" s="28" t="n"/>
      <c r="Z2469" s="28" t="n"/>
      <c r="AA2469" s="31" t="n"/>
      <c r="AB2469" s="31" t="n"/>
    </row>
    <row r="2470">
      <c r="A2470" s="25" t="inlineStr">
        <is>
          <t>S48</t>
        </is>
      </c>
      <c r="B2470" s="25" t="inlineStr">
        <is>
          <t>삼척</t>
        </is>
      </c>
      <c r="C2470" s="25" t="inlineStr">
        <is>
          <t>S48-H서</t>
        </is>
      </c>
      <c r="D2470" s="25" t="inlineStr">
        <is>
          <t>측정</t>
        </is>
      </c>
      <c r="E2470" s="25" t="inlineStr">
        <is>
          <t>서</t>
        </is>
      </c>
      <c r="F2470" s="30" t="n">
        <v>7</v>
      </c>
      <c r="G2470" s="29" t="n"/>
      <c r="H2470" s="42" t="n"/>
      <c r="I2470" s="40" t="n"/>
      <c r="J2470" s="40" t="n"/>
      <c r="K2470" s="40" t="n"/>
      <c r="L2470" s="30">
        <f>IF(COUNT(I2470:K2470)=0,"",MEDIAN(I2470:K2470))</f>
        <v/>
      </c>
      <c r="M2470" s="25">
        <f>IF(COUNTIFS($C:$C,$C2470,$D:$D,"P0(전)",$L:$L,"&gt;0")&lt;&gt;1,"P0(전) 유효 1개 아님",IF(COUNTIFS($C:$C,$C2470,$D:$D,"P0(후)",$L:$L,"&gt;0")&lt;&gt;1,"P0(후) 유효 1개 아님",IF(NOT(AND(ISNUMBER(N2470),ISNUMBER(P2470),ISNUMBER(H2470))),"시각 결측",IF(P2470&lt;=N2470,"P0 시각 역전",IF(OR(H2470&lt;N2470,H2470&gt;P2470),"측정시각 구간 밖","OK")))))</f>
        <v/>
      </c>
      <c r="N2470" s="45">
        <f>IF(COUNTIFS($C:$C,$C2470,$D:$D,"P0(전)",$L:$L,"&gt;0")&lt;&gt;1,"",SUMIFS($H:$H,$C:$C,$C2470,$D:$D,"P0(전)"))</f>
        <v/>
      </c>
      <c r="O2470" s="30">
        <f>IF(COUNTIFS($C:$C,$C2470,$D:$D,"P0(전)",$L:$L,"&gt;0")&lt;&gt;1,"",SUMIFS($L:$L,$C:$C,$C2470,$D:$D,"P0(전)"))</f>
        <v/>
      </c>
      <c r="P2470" s="45">
        <f>IF(COUNTIFS($C:$C,$C2470,$D:$D,"P0(후)",$L:$L,"&gt;0")&lt;&gt;1,"",SUMIFS($H:$H,$C:$C,$C2470,$D:$D,"P0(후)"))</f>
        <v/>
      </c>
      <c r="Q2470" s="30">
        <f>IF(COUNTIFS($C:$C,$C2470,$D:$D,"P0(후)",$L:$L,"&gt;0")&lt;&gt;1,"",SUMIFS($L:$L,$C:$C,$C2470,$D:$D,"P0(후)"))</f>
        <v/>
      </c>
      <c r="R2470" s="30">
        <f>IF(M2470&lt;&gt;"OK","",O2470+(Q2470-O2470)*(H2470-N2470)/(P2470-N2470))</f>
        <v/>
      </c>
      <c r="S2470" s="30">
        <f>IF(OR(M2470&lt;&gt;"OK",NOT(ISNUMBER(L2470))),"",L2470-R2470)</f>
        <v/>
      </c>
      <c r="T2470" s="46">
        <f>IF(OR(NOT(ISNUMBER(S2470)),IF(ISNUMBER(G2470),G2470,F2470)=0),"",S2470/IF(ISNUMBER(G2470),G2470,F2470))</f>
        <v/>
      </c>
      <c r="U2470" s="46">
        <f>IF(ISNUMBER(T2470),ABS(T2470),"")</f>
        <v/>
      </c>
      <c r="V2470" s="46">
        <f>IF(OR($D2469&lt;&gt;"측정",$C2469&lt;&gt;$C2470,NOT(ISNUMBER(L2470)),NOT(ISNUMBER(L2469)),(IF(ISNUMBER(G2470),G2470,F2470)-IF(ISNUMBER(G2469),G2469,F2469))=0),"",(L2470-L2469)/(IF(ISNUMBER(G2470),G2470,F2470)-IF(ISNUMBER(G2469),G2469,F2469)))</f>
        <v/>
      </c>
      <c r="W2470" s="30">
        <f>IF(NOT(AND(ISNUMBER(N2470),ISNUMBER(P2470))),"",(P2470-N2470)*1440)</f>
        <v/>
      </c>
      <c r="X2470" s="28" t="n"/>
      <c r="Y2470" s="28" t="n"/>
      <c r="Z2470" s="28" t="n"/>
      <c r="AA2470" s="31" t="n"/>
      <c r="AB2470" s="31" t="n"/>
    </row>
    <row r="2471">
      <c r="A2471" s="25" t="inlineStr">
        <is>
          <t>S48</t>
        </is>
      </c>
      <c r="B2471" s="25" t="inlineStr">
        <is>
          <t>삼척</t>
        </is>
      </c>
      <c r="C2471" s="25" t="inlineStr">
        <is>
          <t>S48-H서</t>
        </is>
      </c>
      <c r="D2471" s="25" t="inlineStr">
        <is>
          <t>측정</t>
        </is>
      </c>
      <c r="E2471" s="25" t="inlineStr">
        <is>
          <t>서</t>
        </is>
      </c>
      <c r="F2471" s="30" t="n">
        <v>8</v>
      </c>
      <c r="G2471" s="29" t="n"/>
      <c r="H2471" s="42" t="n"/>
      <c r="I2471" s="40" t="n"/>
      <c r="J2471" s="40" t="n"/>
      <c r="K2471" s="40" t="n"/>
      <c r="L2471" s="30">
        <f>IF(COUNT(I2471:K2471)=0,"",MEDIAN(I2471:K2471))</f>
        <v/>
      </c>
      <c r="M2471" s="25">
        <f>IF(COUNTIFS($C:$C,$C2471,$D:$D,"P0(전)",$L:$L,"&gt;0")&lt;&gt;1,"P0(전) 유효 1개 아님",IF(COUNTIFS($C:$C,$C2471,$D:$D,"P0(후)",$L:$L,"&gt;0")&lt;&gt;1,"P0(후) 유효 1개 아님",IF(NOT(AND(ISNUMBER(N2471),ISNUMBER(P2471),ISNUMBER(H2471))),"시각 결측",IF(P2471&lt;=N2471,"P0 시각 역전",IF(OR(H2471&lt;N2471,H2471&gt;P2471),"측정시각 구간 밖","OK")))))</f>
        <v/>
      </c>
      <c r="N2471" s="45">
        <f>IF(COUNTIFS($C:$C,$C2471,$D:$D,"P0(전)",$L:$L,"&gt;0")&lt;&gt;1,"",SUMIFS($H:$H,$C:$C,$C2471,$D:$D,"P0(전)"))</f>
        <v/>
      </c>
      <c r="O2471" s="30">
        <f>IF(COUNTIFS($C:$C,$C2471,$D:$D,"P0(전)",$L:$L,"&gt;0")&lt;&gt;1,"",SUMIFS($L:$L,$C:$C,$C2471,$D:$D,"P0(전)"))</f>
        <v/>
      </c>
      <c r="P2471" s="45">
        <f>IF(COUNTIFS($C:$C,$C2471,$D:$D,"P0(후)",$L:$L,"&gt;0")&lt;&gt;1,"",SUMIFS($H:$H,$C:$C,$C2471,$D:$D,"P0(후)"))</f>
        <v/>
      </c>
      <c r="Q2471" s="30">
        <f>IF(COUNTIFS($C:$C,$C2471,$D:$D,"P0(후)",$L:$L,"&gt;0")&lt;&gt;1,"",SUMIFS($L:$L,$C:$C,$C2471,$D:$D,"P0(후)"))</f>
        <v/>
      </c>
      <c r="R2471" s="30">
        <f>IF(M2471&lt;&gt;"OK","",O2471+(Q2471-O2471)*(H2471-N2471)/(P2471-N2471))</f>
        <v/>
      </c>
      <c r="S2471" s="30">
        <f>IF(OR(M2471&lt;&gt;"OK",NOT(ISNUMBER(L2471))),"",L2471-R2471)</f>
        <v/>
      </c>
      <c r="T2471" s="46">
        <f>IF(OR(NOT(ISNUMBER(S2471)),IF(ISNUMBER(G2471),G2471,F2471)=0),"",S2471/IF(ISNUMBER(G2471),G2471,F2471))</f>
        <v/>
      </c>
      <c r="U2471" s="46">
        <f>IF(ISNUMBER(T2471),ABS(T2471),"")</f>
        <v/>
      </c>
      <c r="V2471" s="46">
        <f>IF(OR($D2470&lt;&gt;"측정",$C2470&lt;&gt;$C2471,NOT(ISNUMBER(L2471)),NOT(ISNUMBER(L2470)),(IF(ISNUMBER(G2471),G2471,F2471)-IF(ISNUMBER(G2470),G2470,F2470))=0),"",(L2471-L2470)/(IF(ISNUMBER(G2471),G2471,F2471)-IF(ISNUMBER(G2470),G2470,F2470)))</f>
        <v/>
      </c>
      <c r="W2471" s="30">
        <f>IF(NOT(AND(ISNUMBER(N2471),ISNUMBER(P2471))),"",(P2471-N2471)*1440)</f>
        <v/>
      </c>
      <c r="X2471" s="28" t="n"/>
      <c r="Y2471" s="28" t="n"/>
      <c r="Z2471" s="28" t="n"/>
      <c r="AA2471" s="31" t="n"/>
      <c r="AB2471" s="31" t="n"/>
    </row>
    <row r="2472">
      <c r="A2472" s="25" t="inlineStr">
        <is>
          <t>S48</t>
        </is>
      </c>
      <c r="B2472" s="25" t="inlineStr">
        <is>
          <t>삼척</t>
        </is>
      </c>
      <c r="C2472" s="25" t="inlineStr">
        <is>
          <t>S48-H서</t>
        </is>
      </c>
      <c r="D2472" s="25" t="inlineStr">
        <is>
          <t>측정</t>
        </is>
      </c>
      <c r="E2472" s="25" t="inlineStr">
        <is>
          <t>서</t>
        </is>
      </c>
      <c r="F2472" s="30" t="n">
        <v>9</v>
      </c>
      <c r="G2472" s="29" t="n"/>
      <c r="H2472" s="42" t="n"/>
      <c r="I2472" s="40" t="n"/>
      <c r="J2472" s="40" t="n"/>
      <c r="K2472" s="40" t="n"/>
      <c r="L2472" s="30">
        <f>IF(COUNT(I2472:K2472)=0,"",MEDIAN(I2472:K2472))</f>
        <v/>
      </c>
      <c r="M2472" s="25">
        <f>IF(COUNTIFS($C:$C,$C2472,$D:$D,"P0(전)",$L:$L,"&gt;0")&lt;&gt;1,"P0(전) 유효 1개 아님",IF(COUNTIFS($C:$C,$C2472,$D:$D,"P0(후)",$L:$L,"&gt;0")&lt;&gt;1,"P0(후) 유효 1개 아님",IF(NOT(AND(ISNUMBER(N2472),ISNUMBER(P2472),ISNUMBER(H2472))),"시각 결측",IF(P2472&lt;=N2472,"P0 시각 역전",IF(OR(H2472&lt;N2472,H2472&gt;P2472),"측정시각 구간 밖","OK")))))</f>
        <v/>
      </c>
      <c r="N2472" s="45">
        <f>IF(COUNTIFS($C:$C,$C2472,$D:$D,"P0(전)",$L:$L,"&gt;0")&lt;&gt;1,"",SUMIFS($H:$H,$C:$C,$C2472,$D:$D,"P0(전)"))</f>
        <v/>
      </c>
      <c r="O2472" s="30">
        <f>IF(COUNTIFS($C:$C,$C2472,$D:$D,"P0(전)",$L:$L,"&gt;0")&lt;&gt;1,"",SUMIFS($L:$L,$C:$C,$C2472,$D:$D,"P0(전)"))</f>
        <v/>
      </c>
      <c r="P2472" s="45">
        <f>IF(COUNTIFS($C:$C,$C2472,$D:$D,"P0(후)",$L:$L,"&gt;0")&lt;&gt;1,"",SUMIFS($H:$H,$C:$C,$C2472,$D:$D,"P0(후)"))</f>
        <v/>
      </c>
      <c r="Q2472" s="30">
        <f>IF(COUNTIFS($C:$C,$C2472,$D:$D,"P0(후)",$L:$L,"&gt;0")&lt;&gt;1,"",SUMIFS($L:$L,$C:$C,$C2472,$D:$D,"P0(후)"))</f>
        <v/>
      </c>
      <c r="R2472" s="30">
        <f>IF(M2472&lt;&gt;"OK","",O2472+(Q2472-O2472)*(H2472-N2472)/(P2472-N2472))</f>
        <v/>
      </c>
      <c r="S2472" s="30">
        <f>IF(OR(M2472&lt;&gt;"OK",NOT(ISNUMBER(L2472))),"",L2472-R2472)</f>
        <v/>
      </c>
      <c r="T2472" s="46">
        <f>IF(OR(NOT(ISNUMBER(S2472)),IF(ISNUMBER(G2472),G2472,F2472)=0),"",S2472/IF(ISNUMBER(G2472),G2472,F2472))</f>
        <v/>
      </c>
      <c r="U2472" s="46">
        <f>IF(ISNUMBER(T2472),ABS(T2472),"")</f>
        <v/>
      </c>
      <c r="V2472" s="46">
        <f>IF(OR($D2471&lt;&gt;"측정",$C2471&lt;&gt;$C2472,NOT(ISNUMBER(L2472)),NOT(ISNUMBER(L2471)),(IF(ISNUMBER(G2472),G2472,F2472)-IF(ISNUMBER(G2471),G2471,F2471))=0),"",(L2472-L2471)/(IF(ISNUMBER(G2472),G2472,F2472)-IF(ISNUMBER(G2471),G2471,F2471)))</f>
        <v/>
      </c>
      <c r="W2472" s="30">
        <f>IF(NOT(AND(ISNUMBER(N2472),ISNUMBER(P2472))),"",(P2472-N2472)*1440)</f>
        <v/>
      </c>
      <c r="X2472" s="28" t="n"/>
      <c r="Y2472" s="28" t="n"/>
      <c r="Z2472" s="28" t="n"/>
      <c r="AA2472" s="31" t="n"/>
      <c r="AB2472" s="31" t="n"/>
    </row>
    <row r="2473">
      <c r="A2473" s="25" t="inlineStr">
        <is>
          <t>S48</t>
        </is>
      </c>
      <c r="B2473" s="25" t="inlineStr">
        <is>
          <t>삼척</t>
        </is>
      </c>
      <c r="C2473" s="25" t="inlineStr">
        <is>
          <t>S48-H서</t>
        </is>
      </c>
      <c r="D2473" s="25" t="inlineStr">
        <is>
          <t>측정</t>
        </is>
      </c>
      <c r="E2473" s="25" t="inlineStr">
        <is>
          <t>서</t>
        </is>
      </c>
      <c r="F2473" s="30" t="n">
        <v>10</v>
      </c>
      <c r="G2473" s="29" t="n"/>
      <c r="H2473" s="42" t="n"/>
      <c r="I2473" s="40" t="n"/>
      <c r="J2473" s="40" t="n"/>
      <c r="K2473" s="40" t="n"/>
      <c r="L2473" s="30">
        <f>IF(COUNT(I2473:K2473)=0,"",MEDIAN(I2473:K2473))</f>
        <v/>
      </c>
      <c r="M2473" s="25">
        <f>IF(COUNTIFS($C:$C,$C2473,$D:$D,"P0(전)",$L:$L,"&gt;0")&lt;&gt;1,"P0(전) 유효 1개 아님",IF(COUNTIFS($C:$C,$C2473,$D:$D,"P0(후)",$L:$L,"&gt;0")&lt;&gt;1,"P0(후) 유효 1개 아님",IF(NOT(AND(ISNUMBER(N2473),ISNUMBER(P2473),ISNUMBER(H2473))),"시각 결측",IF(P2473&lt;=N2473,"P0 시각 역전",IF(OR(H2473&lt;N2473,H2473&gt;P2473),"측정시각 구간 밖","OK")))))</f>
        <v/>
      </c>
      <c r="N2473" s="45">
        <f>IF(COUNTIFS($C:$C,$C2473,$D:$D,"P0(전)",$L:$L,"&gt;0")&lt;&gt;1,"",SUMIFS($H:$H,$C:$C,$C2473,$D:$D,"P0(전)"))</f>
        <v/>
      </c>
      <c r="O2473" s="30">
        <f>IF(COUNTIFS($C:$C,$C2473,$D:$D,"P0(전)",$L:$L,"&gt;0")&lt;&gt;1,"",SUMIFS($L:$L,$C:$C,$C2473,$D:$D,"P0(전)"))</f>
        <v/>
      </c>
      <c r="P2473" s="45">
        <f>IF(COUNTIFS($C:$C,$C2473,$D:$D,"P0(후)",$L:$L,"&gt;0")&lt;&gt;1,"",SUMIFS($H:$H,$C:$C,$C2473,$D:$D,"P0(후)"))</f>
        <v/>
      </c>
      <c r="Q2473" s="30">
        <f>IF(COUNTIFS($C:$C,$C2473,$D:$D,"P0(후)",$L:$L,"&gt;0")&lt;&gt;1,"",SUMIFS($L:$L,$C:$C,$C2473,$D:$D,"P0(후)"))</f>
        <v/>
      </c>
      <c r="R2473" s="30">
        <f>IF(M2473&lt;&gt;"OK","",O2473+(Q2473-O2473)*(H2473-N2473)/(P2473-N2473))</f>
        <v/>
      </c>
      <c r="S2473" s="30">
        <f>IF(OR(M2473&lt;&gt;"OK",NOT(ISNUMBER(L2473))),"",L2473-R2473)</f>
        <v/>
      </c>
      <c r="T2473" s="46">
        <f>IF(OR(NOT(ISNUMBER(S2473)),IF(ISNUMBER(G2473),G2473,F2473)=0),"",S2473/IF(ISNUMBER(G2473),G2473,F2473))</f>
        <v/>
      </c>
      <c r="U2473" s="46">
        <f>IF(ISNUMBER(T2473),ABS(T2473),"")</f>
        <v/>
      </c>
      <c r="V2473" s="46">
        <f>IF(OR($D2472&lt;&gt;"측정",$C2472&lt;&gt;$C2473,NOT(ISNUMBER(L2473)),NOT(ISNUMBER(L2472)),(IF(ISNUMBER(G2473),G2473,F2473)-IF(ISNUMBER(G2472),G2472,F2472))=0),"",(L2473-L2472)/(IF(ISNUMBER(G2473),G2473,F2473)-IF(ISNUMBER(G2472),G2472,F2472)))</f>
        <v/>
      </c>
      <c r="W2473" s="30">
        <f>IF(NOT(AND(ISNUMBER(N2473),ISNUMBER(P2473))),"",(P2473-N2473)*1440)</f>
        <v/>
      </c>
      <c r="X2473" s="28" t="n"/>
      <c r="Y2473" s="28" t="n"/>
      <c r="Z2473" s="28" t="n"/>
      <c r="AA2473" s="31" t="n"/>
      <c r="AB2473" s="31" t="n"/>
    </row>
    <row r="2474">
      <c r="A2474" s="43" t="inlineStr">
        <is>
          <t>S48</t>
        </is>
      </c>
      <c r="B2474" s="43" t="inlineStr">
        <is>
          <t>삼척</t>
        </is>
      </c>
      <c r="C2474" s="43" t="inlineStr">
        <is>
          <t>S48-H서</t>
        </is>
      </c>
      <c r="D2474" s="43" t="inlineStr">
        <is>
          <t>P0(후)</t>
        </is>
      </c>
      <c r="E2474" s="43" t="inlineStr">
        <is>
          <t>서</t>
        </is>
      </c>
      <c r="F2474" s="44" t="n"/>
      <c r="G2474" s="29" t="n"/>
      <c r="H2474" s="42" t="n"/>
      <c r="I2474" s="40" t="n"/>
      <c r="J2474" s="40" t="n"/>
      <c r="K2474" s="40" t="n"/>
      <c r="L2474" s="30">
        <f>IF(COUNT(I2474:K2474)=0,"",MEDIAN(I2474:K2474))</f>
        <v/>
      </c>
      <c r="M2474" s="37" t="n"/>
      <c r="N2474" s="37" t="n"/>
      <c r="O2474" s="37" t="n"/>
      <c r="P2474" s="37" t="n"/>
      <c r="Q2474" s="37" t="n"/>
      <c r="R2474" s="37" t="n"/>
      <c r="S2474" s="37" t="n"/>
      <c r="T2474" s="37" t="n"/>
      <c r="U2474" s="37" t="n"/>
      <c r="V2474" s="37" t="n"/>
      <c r="W2474" s="37" t="n"/>
      <c r="X2474" s="28" t="n"/>
      <c r="Y2474" s="28" t="n"/>
      <c r="Z2474" s="28" t="n"/>
      <c r="AA2474" s="31" t="n"/>
      <c r="AB2474" s="31" t="n"/>
    </row>
    <row r="2475">
      <c r="A2475" s="43" t="inlineStr">
        <is>
          <t>S48</t>
        </is>
      </c>
      <c r="B2475" s="43" t="inlineStr">
        <is>
          <t>삼척</t>
        </is>
      </c>
      <c r="C2475" s="43" t="inlineStr">
        <is>
          <t>S48-H남</t>
        </is>
      </c>
      <c r="D2475" s="43" t="inlineStr">
        <is>
          <t>P0(전)</t>
        </is>
      </c>
      <c r="E2475" s="43" t="inlineStr">
        <is>
          <t>남</t>
        </is>
      </c>
      <c r="F2475" s="44" t="n"/>
      <c r="G2475" s="29" t="n"/>
      <c r="H2475" s="42" t="n"/>
      <c r="I2475" s="40" t="n"/>
      <c r="J2475" s="40" t="n"/>
      <c r="K2475" s="40" t="n"/>
      <c r="L2475" s="30">
        <f>IF(COUNT(I2475:K2475)=0,"",MEDIAN(I2475:K2475))</f>
        <v/>
      </c>
      <c r="M2475" s="37" t="n"/>
      <c r="N2475" s="37" t="n"/>
      <c r="O2475" s="37" t="n"/>
      <c r="P2475" s="37" t="n"/>
      <c r="Q2475" s="37" t="n"/>
      <c r="R2475" s="37" t="n"/>
      <c r="S2475" s="37" t="n"/>
      <c r="T2475" s="37" t="n"/>
      <c r="U2475" s="37" t="n"/>
      <c r="V2475" s="37" t="n"/>
      <c r="W2475" s="37" t="n"/>
      <c r="X2475" s="28" t="n"/>
      <c r="Y2475" s="28" t="n"/>
      <c r="Z2475" s="28" t="n"/>
      <c r="AA2475" s="31" t="n"/>
      <c r="AB2475" s="31" t="n"/>
    </row>
    <row r="2476">
      <c r="A2476" s="25" t="inlineStr">
        <is>
          <t>S48</t>
        </is>
      </c>
      <c r="B2476" s="25" t="inlineStr">
        <is>
          <t>삼척</t>
        </is>
      </c>
      <c r="C2476" s="25" t="inlineStr">
        <is>
          <t>S48-H남</t>
        </is>
      </c>
      <c r="D2476" s="25" t="inlineStr">
        <is>
          <t>측정</t>
        </is>
      </c>
      <c r="E2476" s="25" t="inlineStr">
        <is>
          <t>남</t>
        </is>
      </c>
      <c r="F2476" s="30" t="n">
        <v>0.5</v>
      </c>
      <c r="G2476" s="29" t="n"/>
      <c r="H2476" s="42" t="n"/>
      <c r="I2476" s="40" t="n"/>
      <c r="J2476" s="40" t="n"/>
      <c r="K2476" s="40" t="n"/>
      <c r="L2476" s="30">
        <f>IF(COUNT(I2476:K2476)=0,"",MEDIAN(I2476:K2476))</f>
        <v/>
      </c>
      <c r="M2476" s="25">
        <f>IF(COUNTIFS($C:$C,$C2476,$D:$D,"P0(전)",$L:$L,"&gt;0")&lt;&gt;1,"P0(전) 유효 1개 아님",IF(COUNTIFS($C:$C,$C2476,$D:$D,"P0(후)",$L:$L,"&gt;0")&lt;&gt;1,"P0(후) 유효 1개 아님",IF(NOT(AND(ISNUMBER(N2476),ISNUMBER(P2476),ISNUMBER(H2476))),"시각 결측",IF(P2476&lt;=N2476,"P0 시각 역전",IF(OR(H2476&lt;N2476,H2476&gt;P2476),"측정시각 구간 밖","OK")))))</f>
        <v/>
      </c>
      <c r="N2476" s="45">
        <f>IF(COUNTIFS($C:$C,$C2476,$D:$D,"P0(전)",$L:$L,"&gt;0")&lt;&gt;1,"",SUMIFS($H:$H,$C:$C,$C2476,$D:$D,"P0(전)"))</f>
        <v/>
      </c>
      <c r="O2476" s="30">
        <f>IF(COUNTIFS($C:$C,$C2476,$D:$D,"P0(전)",$L:$L,"&gt;0")&lt;&gt;1,"",SUMIFS($L:$L,$C:$C,$C2476,$D:$D,"P0(전)"))</f>
        <v/>
      </c>
      <c r="P2476" s="45">
        <f>IF(COUNTIFS($C:$C,$C2476,$D:$D,"P0(후)",$L:$L,"&gt;0")&lt;&gt;1,"",SUMIFS($H:$H,$C:$C,$C2476,$D:$D,"P0(후)"))</f>
        <v/>
      </c>
      <c r="Q2476" s="30">
        <f>IF(COUNTIFS($C:$C,$C2476,$D:$D,"P0(후)",$L:$L,"&gt;0")&lt;&gt;1,"",SUMIFS($L:$L,$C:$C,$C2476,$D:$D,"P0(후)"))</f>
        <v/>
      </c>
      <c r="R2476" s="30">
        <f>IF(M2476&lt;&gt;"OK","",O2476+(Q2476-O2476)*(H2476-N2476)/(P2476-N2476))</f>
        <v/>
      </c>
      <c r="S2476" s="30">
        <f>IF(OR(M2476&lt;&gt;"OK",NOT(ISNUMBER(L2476))),"",L2476-R2476)</f>
        <v/>
      </c>
      <c r="T2476" s="46">
        <f>IF(OR(NOT(ISNUMBER(S2476)),IF(ISNUMBER(G2476),G2476,F2476)=0),"",S2476/IF(ISNUMBER(G2476),G2476,F2476))</f>
        <v/>
      </c>
      <c r="U2476" s="46">
        <f>IF(ISNUMBER(T2476),ABS(T2476),"")</f>
        <v/>
      </c>
      <c r="V2476" s="46">
        <f>IF(OR($D2475&lt;&gt;"측정",$C2475&lt;&gt;$C2476,NOT(ISNUMBER(L2476)),NOT(ISNUMBER(L2475)),(IF(ISNUMBER(G2476),G2476,F2476)-IF(ISNUMBER(G2475),G2475,F2475))=0),"",(L2476-L2475)/(IF(ISNUMBER(G2476),G2476,F2476)-IF(ISNUMBER(G2475),G2475,F2475)))</f>
        <v/>
      </c>
      <c r="W2476" s="30">
        <f>IF(NOT(AND(ISNUMBER(N2476),ISNUMBER(P2476))),"",(P2476-N2476)*1440)</f>
        <v/>
      </c>
      <c r="X2476" s="28" t="n"/>
      <c r="Y2476" s="28" t="n"/>
      <c r="Z2476" s="28" t="n"/>
      <c r="AA2476" s="31" t="n"/>
      <c r="AB2476" s="31" t="n"/>
    </row>
    <row r="2477">
      <c r="A2477" s="25" t="inlineStr">
        <is>
          <t>S48</t>
        </is>
      </c>
      <c r="B2477" s="25" t="inlineStr">
        <is>
          <t>삼척</t>
        </is>
      </c>
      <c r="C2477" s="25" t="inlineStr">
        <is>
          <t>S48-H남</t>
        </is>
      </c>
      <c r="D2477" s="25" t="inlineStr">
        <is>
          <t>측정</t>
        </is>
      </c>
      <c r="E2477" s="25" t="inlineStr">
        <is>
          <t>남</t>
        </is>
      </c>
      <c r="F2477" s="30" t="n">
        <v>1</v>
      </c>
      <c r="G2477" s="29" t="n"/>
      <c r="H2477" s="42" t="n"/>
      <c r="I2477" s="40" t="n"/>
      <c r="J2477" s="40" t="n"/>
      <c r="K2477" s="40" t="n"/>
      <c r="L2477" s="30">
        <f>IF(COUNT(I2477:K2477)=0,"",MEDIAN(I2477:K2477))</f>
        <v/>
      </c>
      <c r="M2477" s="25">
        <f>IF(COUNTIFS($C:$C,$C2477,$D:$D,"P0(전)",$L:$L,"&gt;0")&lt;&gt;1,"P0(전) 유효 1개 아님",IF(COUNTIFS($C:$C,$C2477,$D:$D,"P0(후)",$L:$L,"&gt;0")&lt;&gt;1,"P0(후) 유효 1개 아님",IF(NOT(AND(ISNUMBER(N2477),ISNUMBER(P2477),ISNUMBER(H2477))),"시각 결측",IF(P2477&lt;=N2477,"P0 시각 역전",IF(OR(H2477&lt;N2477,H2477&gt;P2477),"측정시각 구간 밖","OK")))))</f>
        <v/>
      </c>
      <c r="N2477" s="45">
        <f>IF(COUNTIFS($C:$C,$C2477,$D:$D,"P0(전)",$L:$L,"&gt;0")&lt;&gt;1,"",SUMIFS($H:$H,$C:$C,$C2477,$D:$D,"P0(전)"))</f>
        <v/>
      </c>
      <c r="O2477" s="30">
        <f>IF(COUNTIFS($C:$C,$C2477,$D:$D,"P0(전)",$L:$L,"&gt;0")&lt;&gt;1,"",SUMIFS($L:$L,$C:$C,$C2477,$D:$D,"P0(전)"))</f>
        <v/>
      </c>
      <c r="P2477" s="45">
        <f>IF(COUNTIFS($C:$C,$C2477,$D:$D,"P0(후)",$L:$L,"&gt;0")&lt;&gt;1,"",SUMIFS($H:$H,$C:$C,$C2477,$D:$D,"P0(후)"))</f>
        <v/>
      </c>
      <c r="Q2477" s="30">
        <f>IF(COUNTIFS($C:$C,$C2477,$D:$D,"P0(후)",$L:$L,"&gt;0")&lt;&gt;1,"",SUMIFS($L:$L,$C:$C,$C2477,$D:$D,"P0(후)"))</f>
        <v/>
      </c>
      <c r="R2477" s="30">
        <f>IF(M2477&lt;&gt;"OK","",O2477+(Q2477-O2477)*(H2477-N2477)/(P2477-N2477))</f>
        <v/>
      </c>
      <c r="S2477" s="30">
        <f>IF(OR(M2477&lt;&gt;"OK",NOT(ISNUMBER(L2477))),"",L2477-R2477)</f>
        <v/>
      </c>
      <c r="T2477" s="46">
        <f>IF(OR(NOT(ISNUMBER(S2477)),IF(ISNUMBER(G2477),G2477,F2477)=0),"",S2477/IF(ISNUMBER(G2477),G2477,F2477))</f>
        <v/>
      </c>
      <c r="U2477" s="46">
        <f>IF(ISNUMBER(T2477),ABS(T2477),"")</f>
        <v/>
      </c>
      <c r="V2477" s="46">
        <f>IF(OR($D2476&lt;&gt;"측정",$C2476&lt;&gt;$C2477,NOT(ISNUMBER(L2477)),NOT(ISNUMBER(L2476)),(IF(ISNUMBER(G2477),G2477,F2477)-IF(ISNUMBER(G2476),G2476,F2476))=0),"",(L2477-L2476)/(IF(ISNUMBER(G2477),G2477,F2477)-IF(ISNUMBER(G2476),G2476,F2476)))</f>
        <v/>
      </c>
      <c r="W2477" s="30">
        <f>IF(NOT(AND(ISNUMBER(N2477),ISNUMBER(P2477))),"",(P2477-N2477)*1440)</f>
        <v/>
      </c>
      <c r="X2477" s="28" t="n"/>
      <c r="Y2477" s="28" t="n"/>
      <c r="Z2477" s="28" t="n"/>
      <c r="AA2477" s="31" t="n"/>
      <c r="AB2477" s="31" t="n"/>
    </row>
    <row r="2478">
      <c r="A2478" s="25" t="inlineStr">
        <is>
          <t>S48</t>
        </is>
      </c>
      <c r="B2478" s="25" t="inlineStr">
        <is>
          <t>삼척</t>
        </is>
      </c>
      <c r="C2478" s="25" t="inlineStr">
        <is>
          <t>S48-H남</t>
        </is>
      </c>
      <c r="D2478" s="25" t="inlineStr">
        <is>
          <t>측정</t>
        </is>
      </c>
      <c r="E2478" s="25" t="inlineStr">
        <is>
          <t>남</t>
        </is>
      </c>
      <c r="F2478" s="30" t="n">
        <v>2</v>
      </c>
      <c r="G2478" s="29" t="n"/>
      <c r="H2478" s="42" t="n"/>
      <c r="I2478" s="40" t="n"/>
      <c r="J2478" s="40" t="n"/>
      <c r="K2478" s="40" t="n"/>
      <c r="L2478" s="30">
        <f>IF(COUNT(I2478:K2478)=0,"",MEDIAN(I2478:K2478))</f>
        <v/>
      </c>
      <c r="M2478" s="25">
        <f>IF(COUNTIFS($C:$C,$C2478,$D:$D,"P0(전)",$L:$L,"&gt;0")&lt;&gt;1,"P0(전) 유효 1개 아님",IF(COUNTIFS($C:$C,$C2478,$D:$D,"P0(후)",$L:$L,"&gt;0")&lt;&gt;1,"P0(후) 유효 1개 아님",IF(NOT(AND(ISNUMBER(N2478),ISNUMBER(P2478),ISNUMBER(H2478))),"시각 결측",IF(P2478&lt;=N2478,"P0 시각 역전",IF(OR(H2478&lt;N2478,H2478&gt;P2478),"측정시각 구간 밖","OK")))))</f>
        <v/>
      </c>
      <c r="N2478" s="45">
        <f>IF(COUNTIFS($C:$C,$C2478,$D:$D,"P0(전)",$L:$L,"&gt;0")&lt;&gt;1,"",SUMIFS($H:$H,$C:$C,$C2478,$D:$D,"P0(전)"))</f>
        <v/>
      </c>
      <c r="O2478" s="30">
        <f>IF(COUNTIFS($C:$C,$C2478,$D:$D,"P0(전)",$L:$L,"&gt;0")&lt;&gt;1,"",SUMIFS($L:$L,$C:$C,$C2478,$D:$D,"P0(전)"))</f>
        <v/>
      </c>
      <c r="P2478" s="45">
        <f>IF(COUNTIFS($C:$C,$C2478,$D:$D,"P0(후)",$L:$L,"&gt;0")&lt;&gt;1,"",SUMIFS($H:$H,$C:$C,$C2478,$D:$D,"P0(후)"))</f>
        <v/>
      </c>
      <c r="Q2478" s="30">
        <f>IF(COUNTIFS($C:$C,$C2478,$D:$D,"P0(후)",$L:$L,"&gt;0")&lt;&gt;1,"",SUMIFS($L:$L,$C:$C,$C2478,$D:$D,"P0(후)"))</f>
        <v/>
      </c>
      <c r="R2478" s="30">
        <f>IF(M2478&lt;&gt;"OK","",O2478+(Q2478-O2478)*(H2478-N2478)/(P2478-N2478))</f>
        <v/>
      </c>
      <c r="S2478" s="30">
        <f>IF(OR(M2478&lt;&gt;"OK",NOT(ISNUMBER(L2478))),"",L2478-R2478)</f>
        <v/>
      </c>
      <c r="T2478" s="46">
        <f>IF(OR(NOT(ISNUMBER(S2478)),IF(ISNUMBER(G2478),G2478,F2478)=0),"",S2478/IF(ISNUMBER(G2478),G2478,F2478))</f>
        <v/>
      </c>
      <c r="U2478" s="46">
        <f>IF(ISNUMBER(T2478),ABS(T2478),"")</f>
        <v/>
      </c>
      <c r="V2478" s="46">
        <f>IF(OR($D2477&lt;&gt;"측정",$C2477&lt;&gt;$C2478,NOT(ISNUMBER(L2478)),NOT(ISNUMBER(L2477)),(IF(ISNUMBER(G2478),G2478,F2478)-IF(ISNUMBER(G2477),G2477,F2477))=0),"",(L2478-L2477)/(IF(ISNUMBER(G2478),G2478,F2478)-IF(ISNUMBER(G2477),G2477,F2477)))</f>
        <v/>
      </c>
      <c r="W2478" s="30">
        <f>IF(NOT(AND(ISNUMBER(N2478),ISNUMBER(P2478))),"",(P2478-N2478)*1440)</f>
        <v/>
      </c>
      <c r="X2478" s="28" t="n"/>
      <c r="Y2478" s="28" t="n"/>
      <c r="Z2478" s="28" t="n"/>
      <c r="AA2478" s="31" t="n"/>
      <c r="AB2478" s="31" t="n"/>
    </row>
    <row r="2479">
      <c r="A2479" s="25" t="inlineStr">
        <is>
          <t>S48</t>
        </is>
      </c>
      <c r="B2479" s="25" t="inlineStr">
        <is>
          <t>삼척</t>
        </is>
      </c>
      <c r="C2479" s="25" t="inlineStr">
        <is>
          <t>S48-H남</t>
        </is>
      </c>
      <c r="D2479" s="25" t="inlineStr">
        <is>
          <t>측정</t>
        </is>
      </c>
      <c r="E2479" s="25" t="inlineStr">
        <is>
          <t>남</t>
        </is>
      </c>
      <c r="F2479" s="30" t="n">
        <v>3</v>
      </c>
      <c r="G2479" s="29" t="n"/>
      <c r="H2479" s="42" t="n"/>
      <c r="I2479" s="40" t="n"/>
      <c r="J2479" s="40" t="n"/>
      <c r="K2479" s="40" t="n"/>
      <c r="L2479" s="30">
        <f>IF(COUNT(I2479:K2479)=0,"",MEDIAN(I2479:K2479))</f>
        <v/>
      </c>
      <c r="M2479" s="25">
        <f>IF(COUNTIFS($C:$C,$C2479,$D:$D,"P0(전)",$L:$L,"&gt;0")&lt;&gt;1,"P0(전) 유효 1개 아님",IF(COUNTIFS($C:$C,$C2479,$D:$D,"P0(후)",$L:$L,"&gt;0")&lt;&gt;1,"P0(후) 유효 1개 아님",IF(NOT(AND(ISNUMBER(N2479),ISNUMBER(P2479),ISNUMBER(H2479))),"시각 결측",IF(P2479&lt;=N2479,"P0 시각 역전",IF(OR(H2479&lt;N2479,H2479&gt;P2479),"측정시각 구간 밖","OK")))))</f>
        <v/>
      </c>
      <c r="N2479" s="45">
        <f>IF(COUNTIFS($C:$C,$C2479,$D:$D,"P0(전)",$L:$L,"&gt;0")&lt;&gt;1,"",SUMIFS($H:$H,$C:$C,$C2479,$D:$D,"P0(전)"))</f>
        <v/>
      </c>
      <c r="O2479" s="30">
        <f>IF(COUNTIFS($C:$C,$C2479,$D:$D,"P0(전)",$L:$L,"&gt;0")&lt;&gt;1,"",SUMIFS($L:$L,$C:$C,$C2479,$D:$D,"P0(전)"))</f>
        <v/>
      </c>
      <c r="P2479" s="45">
        <f>IF(COUNTIFS($C:$C,$C2479,$D:$D,"P0(후)",$L:$L,"&gt;0")&lt;&gt;1,"",SUMIFS($H:$H,$C:$C,$C2479,$D:$D,"P0(후)"))</f>
        <v/>
      </c>
      <c r="Q2479" s="30">
        <f>IF(COUNTIFS($C:$C,$C2479,$D:$D,"P0(후)",$L:$L,"&gt;0")&lt;&gt;1,"",SUMIFS($L:$L,$C:$C,$C2479,$D:$D,"P0(후)"))</f>
        <v/>
      </c>
      <c r="R2479" s="30">
        <f>IF(M2479&lt;&gt;"OK","",O2479+(Q2479-O2479)*(H2479-N2479)/(P2479-N2479))</f>
        <v/>
      </c>
      <c r="S2479" s="30">
        <f>IF(OR(M2479&lt;&gt;"OK",NOT(ISNUMBER(L2479))),"",L2479-R2479)</f>
        <v/>
      </c>
      <c r="T2479" s="46">
        <f>IF(OR(NOT(ISNUMBER(S2479)),IF(ISNUMBER(G2479),G2479,F2479)=0),"",S2479/IF(ISNUMBER(G2479),G2479,F2479))</f>
        <v/>
      </c>
      <c r="U2479" s="46">
        <f>IF(ISNUMBER(T2479),ABS(T2479),"")</f>
        <v/>
      </c>
      <c r="V2479" s="46">
        <f>IF(OR($D2478&lt;&gt;"측정",$C2478&lt;&gt;$C2479,NOT(ISNUMBER(L2479)),NOT(ISNUMBER(L2478)),(IF(ISNUMBER(G2479),G2479,F2479)-IF(ISNUMBER(G2478),G2478,F2478))=0),"",(L2479-L2478)/(IF(ISNUMBER(G2479),G2479,F2479)-IF(ISNUMBER(G2478),G2478,F2478)))</f>
        <v/>
      </c>
      <c r="W2479" s="30">
        <f>IF(NOT(AND(ISNUMBER(N2479),ISNUMBER(P2479))),"",(P2479-N2479)*1440)</f>
        <v/>
      </c>
      <c r="X2479" s="28" t="n"/>
      <c r="Y2479" s="28" t="n"/>
      <c r="Z2479" s="28" t="n"/>
      <c r="AA2479" s="31" t="n"/>
      <c r="AB2479" s="31" t="n"/>
    </row>
    <row r="2480">
      <c r="A2480" s="25" t="inlineStr">
        <is>
          <t>S48</t>
        </is>
      </c>
      <c r="B2480" s="25" t="inlineStr">
        <is>
          <t>삼척</t>
        </is>
      </c>
      <c r="C2480" s="25" t="inlineStr">
        <is>
          <t>S48-H남</t>
        </is>
      </c>
      <c r="D2480" s="25" t="inlineStr">
        <is>
          <t>측정</t>
        </is>
      </c>
      <c r="E2480" s="25" t="inlineStr">
        <is>
          <t>남</t>
        </is>
      </c>
      <c r="F2480" s="30" t="n">
        <v>4</v>
      </c>
      <c r="G2480" s="29" t="n"/>
      <c r="H2480" s="42" t="n"/>
      <c r="I2480" s="40" t="n"/>
      <c r="J2480" s="40" t="n"/>
      <c r="K2480" s="40" t="n"/>
      <c r="L2480" s="30">
        <f>IF(COUNT(I2480:K2480)=0,"",MEDIAN(I2480:K2480))</f>
        <v/>
      </c>
      <c r="M2480" s="25">
        <f>IF(COUNTIFS($C:$C,$C2480,$D:$D,"P0(전)",$L:$L,"&gt;0")&lt;&gt;1,"P0(전) 유효 1개 아님",IF(COUNTIFS($C:$C,$C2480,$D:$D,"P0(후)",$L:$L,"&gt;0")&lt;&gt;1,"P0(후) 유효 1개 아님",IF(NOT(AND(ISNUMBER(N2480),ISNUMBER(P2480),ISNUMBER(H2480))),"시각 결측",IF(P2480&lt;=N2480,"P0 시각 역전",IF(OR(H2480&lt;N2480,H2480&gt;P2480),"측정시각 구간 밖","OK")))))</f>
        <v/>
      </c>
      <c r="N2480" s="45">
        <f>IF(COUNTIFS($C:$C,$C2480,$D:$D,"P0(전)",$L:$L,"&gt;0")&lt;&gt;1,"",SUMIFS($H:$H,$C:$C,$C2480,$D:$D,"P0(전)"))</f>
        <v/>
      </c>
      <c r="O2480" s="30">
        <f>IF(COUNTIFS($C:$C,$C2480,$D:$D,"P0(전)",$L:$L,"&gt;0")&lt;&gt;1,"",SUMIFS($L:$L,$C:$C,$C2480,$D:$D,"P0(전)"))</f>
        <v/>
      </c>
      <c r="P2480" s="45">
        <f>IF(COUNTIFS($C:$C,$C2480,$D:$D,"P0(후)",$L:$L,"&gt;0")&lt;&gt;1,"",SUMIFS($H:$H,$C:$C,$C2480,$D:$D,"P0(후)"))</f>
        <v/>
      </c>
      <c r="Q2480" s="30">
        <f>IF(COUNTIFS($C:$C,$C2480,$D:$D,"P0(후)",$L:$L,"&gt;0")&lt;&gt;1,"",SUMIFS($L:$L,$C:$C,$C2480,$D:$D,"P0(후)"))</f>
        <v/>
      </c>
      <c r="R2480" s="30">
        <f>IF(M2480&lt;&gt;"OK","",O2480+(Q2480-O2480)*(H2480-N2480)/(P2480-N2480))</f>
        <v/>
      </c>
      <c r="S2480" s="30">
        <f>IF(OR(M2480&lt;&gt;"OK",NOT(ISNUMBER(L2480))),"",L2480-R2480)</f>
        <v/>
      </c>
      <c r="T2480" s="46">
        <f>IF(OR(NOT(ISNUMBER(S2480)),IF(ISNUMBER(G2480),G2480,F2480)=0),"",S2480/IF(ISNUMBER(G2480),G2480,F2480))</f>
        <v/>
      </c>
      <c r="U2480" s="46">
        <f>IF(ISNUMBER(T2480),ABS(T2480),"")</f>
        <v/>
      </c>
      <c r="V2480" s="46">
        <f>IF(OR($D2479&lt;&gt;"측정",$C2479&lt;&gt;$C2480,NOT(ISNUMBER(L2480)),NOT(ISNUMBER(L2479)),(IF(ISNUMBER(G2480),G2480,F2480)-IF(ISNUMBER(G2479),G2479,F2479))=0),"",(L2480-L2479)/(IF(ISNUMBER(G2480),G2480,F2480)-IF(ISNUMBER(G2479),G2479,F2479)))</f>
        <v/>
      </c>
      <c r="W2480" s="30">
        <f>IF(NOT(AND(ISNUMBER(N2480),ISNUMBER(P2480))),"",(P2480-N2480)*1440)</f>
        <v/>
      </c>
      <c r="X2480" s="28" t="n"/>
      <c r="Y2480" s="28" t="n"/>
      <c r="Z2480" s="28" t="n"/>
      <c r="AA2480" s="31" t="n"/>
      <c r="AB2480" s="31" t="n"/>
    </row>
    <row r="2481">
      <c r="A2481" s="25" t="inlineStr">
        <is>
          <t>S48</t>
        </is>
      </c>
      <c r="B2481" s="25" t="inlineStr">
        <is>
          <t>삼척</t>
        </is>
      </c>
      <c r="C2481" s="25" t="inlineStr">
        <is>
          <t>S48-H남</t>
        </is>
      </c>
      <c r="D2481" s="25" t="inlineStr">
        <is>
          <t>측정</t>
        </is>
      </c>
      <c r="E2481" s="25" t="inlineStr">
        <is>
          <t>남</t>
        </is>
      </c>
      <c r="F2481" s="30" t="n">
        <v>5</v>
      </c>
      <c r="G2481" s="29" t="n"/>
      <c r="H2481" s="42" t="n"/>
      <c r="I2481" s="40" t="n"/>
      <c r="J2481" s="40" t="n"/>
      <c r="K2481" s="40" t="n"/>
      <c r="L2481" s="30">
        <f>IF(COUNT(I2481:K2481)=0,"",MEDIAN(I2481:K2481))</f>
        <v/>
      </c>
      <c r="M2481" s="25">
        <f>IF(COUNTIFS($C:$C,$C2481,$D:$D,"P0(전)",$L:$L,"&gt;0")&lt;&gt;1,"P0(전) 유효 1개 아님",IF(COUNTIFS($C:$C,$C2481,$D:$D,"P0(후)",$L:$L,"&gt;0")&lt;&gt;1,"P0(후) 유효 1개 아님",IF(NOT(AND(ISNUMBER(N2481),ISNUMBER(P2481),ISNUMBER(H2481))),"시각 결측",IF(P2481&lt;=N2481,"P0 시각 역전",IF(OR(H2481&lt;N2481,H2481&gt;P2481),"측정시각 구간 밖","OK")))))</f>
        <v/>
      </c>
      <c r="N2481" s="45">
        <f>IF(COUNTIFS($C:$C,$C2481,$D:$D,"P0(전)",$L:$L,"&gt;0")&lt;&gt;1,"",SUMIFS($H:$H,$C:$C,$C2481,$D:$D,"P0(전)"))</f>
        <v/>
      </c>
      <c r="O2481" s="30">
        <f>IF(COUNTIFS($C:$C,$C2481,$D:$D,"P0(전)",$L:$L,"&gt;0")&lt;&gt;1,"",SUMIFS($L:$L,$C:$C,$C2481,$D:$D,"P0(전)"))</f>
        <v/>
      </c>
      <c r="P2481" s="45">
        <f>IF(COUNTIFS($C:$C,$C2481,$D:$D,"P0(후)",$L:$L,"&gt;0")&lt;&gt;1,"",SUMIFS($H:$H,$C:$C,$C2481,$D:$D,"P0(후)"))</f>
        <v/>
      </c>
      <c r="Q2481" s="30">
        <f>IF(COUNTIFS($C:$C,$C2481,$D:$D,"P0(후)",$L:$L,"&gt;0")&lt;&gt;1,"",SUMIFS($L:$L,$C:$C,$C2481,$D:$D,"P0(후)"))</f>
        <v/>
      </c>
      <c r="R2481" s="30">
        <f>IF(M2481&lt;&gt;"OK","",O2481+(Q2481-O2481)*(H2481-N2481)/(P2481-N2481))</f>
        <v/>
      </c>
      <c r="S2481" s="30">
        <f>IF(OR(M2481&lt;&gt;"OK",NOT(ISNUMBER(L2481))),"",L2481-R2481)</f>
        <v/>
      </c>
      <c r="T2481" s="46">
        <f>IF(OR(NOT(ISNUMBER(S2481)),IF(ISNUMBER(G2481),G2481,F2481)=0),"",S2481/IF(ISNUMBER(G2481),G2481,F2481))</f>
        <v/>
      </c>
      <c r="U2481" s="46">
        <f>IF(ISNUMBER(T2481),ABS(T2481),"")</f>
        <v/>
      </c>
      <c r="V2481" s="46">
        <f>IF(OR($D2480&lt;&gt;"측정",$C2480&lt;&gt;$C2481,NOT(ISNUMBER(L2481)),NOT(ISNUMBER(L2480)),(IF(ISNUMBER(G2481),G2481,F2481)-IF(ISNUMBER(G2480),G2480,F2480))=0),"",(L2481-L2480)/(IF(ISNUMBER(G2481),G2481,F2481)-IF(ISNUMBER(G2480),G2480,F2480)))</f>
        <v/>
      </c>
      <c r="W2481" s="30">
        <f>IF(NOT(AND(ISNUMBER(N2481),ISNUMBER(P2481))),"",(P2481-N2481)*1440)</f>
        <v/>
      </c>
      <c r="X2481" s="28" t="n"/>
      <c r="Y2481" s="28" t="n"/>
      <c r="Z2481" s="28" t="n"/>
      <c r="AA2481" s="31" t="n"/>
      <c r="AB2481" s="31" t="n"/>
    </row>
    <row r="2482">
      <c r="A2482" s="25" t="inlineStr">
        <is>
          <t>S48</t>
        </is>
      </c>
      <c r="B2482" s="25" t="inlineStr">
        <is>
          <t>삼척</t>
        </is>
      </c>
      <c r="C2482" s="25" t="inlineStr">
        <is>
          <t>S48-H남</t>
        </is>
      </c>
      <c r="D2482" s="25" t="inlineStr">
        <is>
          <t>측정</t>
        </is>
      </c>
      <c r="E2482" s="25" t="inlineStr">
        <is>
          <t>남</t>
        </is>
      </c>
      <c r="F2482" s="30" t="n">
        <v>6</v>
      </c>
      <c r="G2482" s="29" t="n"/>
      <c r="H2482" s="42" t="n"/>
      <c r="I2482" s="40" t="n"/>
      <c r="J2482" s="40" t="n"/>
      <c r="K2482" s="40" t="n"/>
      <c r="L2482" s="30">
        <f>IF(COUNT(I2482:K2482)=0,"",MEDIAN(I2482:K2482))</f>
        <v/>
      </c>
      <c r="M2482" s="25">
        <f>IF(COUNTIFS($C:$C,$C2482,$D:$D,"P0(전)",$L:$L,"&gt;0")&lt;&gt;1,"P0(전) 유효 1개 아님",IF(COUNTIFS($C:$C,$C2482,$D:$D,"P0(후)",$L:$L,"&gt;0")&lt;&gt;1,"P0(후) 유효 1개 아님",IF(NOT(AND(ISNUMBER(N2482),ISNUMBER(P2482),ISNUMBER(H2482))),"시각 결측",IF(P2482&lt;=N2482,"P0 시각 역전",IF(OR(H2482&lt;N2482,H2482&gt;P2482),"측정시각 구간 밖","OK")))))</f>
        <v/>
      </c>
      <c r="N2482" s="45">
        <f>IF(COUNTIFS($C:$C,$C2482,$D:$D,"P0(전)",$L:$L,"&gt;0")&lt;&gt;1,"",SUMIFS($H:$H,$C:$C,$C2482,$D:$D,"P0(전)"))</f>
        <v/>
      </c>
      <c r="O2482" s="30">
        <f>IF(COUNTIFS($C:$C,$C2482,$D:$D,"P0(전)",$L:$L,"&gt;0")&lt;&gt;1,"",SUMIFS($L:$L,$C:$C,$C2482,$D:$D,"P0(전)"))</f>
        <v/>
      </c>
      <c r="P2482" s="45">
        <f>IF(COUNTIFS($C:$C,$C2482,$D:$D,"P0(후)",$L:$L,"&gt;0")&lt;&gt;1,"",SUMIFS($H:$H,$C:$C,$C2482,$D:$D,"P0(후)"))</f>
        <v/>
      </c>
      <c r="Q2482" s="30">
        <f>IF(COUNTIFS($C:$C,$C2482,$D:$D,"P0(후)",$L:$L,"&gt;0")&lt;&gt;1,"",SUMIFS($L:$L,$C:$C,$C2482,$D:$D,"P0(후)"))</f>
        <v/>
      </c>
      <c r="R2482" s="30">
        <f>IF(M2482&lt;&gt;"OK","",O2482+(Q2482-O2482)*(H2482-N2482)/(P2482-N2482))</f>
        <v/>
      </c>
      <c r="S2482" s="30">
        <f>IF(OR(M2482&lt;&gt;"OK",NOT(ISNUMBER(L2482))),"",L2482-R2482)</f>
        <v/>
      </c>
      <c r="T2482" s="46">
        <f>IF(OR(NOT(ISNUMBER(S2482)),IF(ISNUMBER(G2482),G2482,F2482)=0),"",S2482/IF(ISNUMBER(G2482),G2482,F2482))</f>
        <v/>
      </c>
      <c r="U2482" s="46">
        <f>IF(ISNUMBER(T2482),ABS(T2482),"")</f>
        <v/>
      </c>
      <c r="V2482" s="46">
        <f>IF(OR($D2481&lt;&gt;"측정",$C2481&lt;&gt;$C2482,NOT(ISNUMBER(L2482)),NOT(ISNUMBER(L2481)),(IF(ISNUMBER(G2482),G2482,F2482)-IF(ISNUMBER(G2481),G2481,F2481))=0),"",(L2482-L2481)/(IF(ISNUMBER(G2482),G2482,F2482)-IF(ISNUMBER(G2481),G2481,F2481)))</f>
        <v/>
      </c>
      <c r="W2482" s="30">
        <f>IF(NOT(AND(ISNUMBER(N2482),ISNUMBER(P2482))),"",(P2482-N2482)*1440)</f>
        <v/>
      </c>
      <c r="X2482" s="28" t="n"/>
      <c r="Y2482" s="28" t="n"/>
      <c r="Z2482" s="28" t="n"/>
      <c r="AA2482" s="31" t="n"/>
      <c r="AB2482" s="31" t="n"/>
    </row>
    <row r="2483">
      <c r="A2483" s="25" t="inlineStr">
        <is>
          <t>S48</t>
        </is>
      </c>
      <c r="B2483" s="25" t="inlineStr">
        <is>
          <t>삼척</t>
        </is>
      </c>
      <c r="C2483" s="25" t="inlineStr">
        <is>
          <t>S48-H남</t>
        </is>
      </c>
      <c r="D2483" s="25" t="inlineStr">
        <is>
          <t>측정</t>
        </is>
      </c>
      <c r="E2483" s="25" t="inlineStr">
        <is>
          <t>남</t>
        </is>
      </c>
      <c r="F2483" s="30" t="n">
        <v>7</v>
      </c>
      <c r="G2483" s="29" t="n"/>
      <c r="H2483" s="42" t="n"/>
      <c r="I2483" s="40" t="n"/>
      <c r="J2483" s="40" t="n"/>
      <c r="K2483" s="40" t="n"/>
      <c r="L2483" s="30">
        <f>IF(COUNT(I2483:K2483)=0,"",MEDIAN(I2483:K2483))</f>
        <v/>
      </c>
      <c r="M2483" s="25">
        <f>IF(COUNTIFS($C:$C,$C2483,$D:$D,"P0(전)",$L:$L,"&gt;0")&lt;&gt;1,"P0(전) 유효 1개 아님",IF(COUNTIFS($C:$C,$C2483,$D:$D,"P0(후)",$L:$L,"&gt;0")&lt;&gt;1,"P0(후) 유효 1개 아님",IF(NOT(AND(ISNUMBER(N2483),ISNUMBER(P2483),ISNUMBER(H2483))),"시각 결측",IF(P2483&lt;=N2483,"P0 시각 역전",IF(OR(H2483&lt;N2483,H2483&gt;P2483),"측정시각 구간 밖","OK")))))</f>
        <v/>
      </c>
      <c r="N2483" s="45">
        <f>IF(COUNTIFS($C:$C,$C2483,$D:$D,"P0(전)",$L:$L,"&gt;0")&lt;&gt;1,"",SUMIFS($H:$H,$C:$C,$C2483,$D:$D,"P0(전)"))</f>
        <v/>
      </c>
      <c r="O2483" s="30">
        <f>IF(COUNTIFS($C:$C,$C2483,$D:$D,"P0(전)",$L:$L,"&gt;0")&lt;&gt;1,"",SUMIFS($L:$L,$C:$C,$C2483,$D:$D,"P0(전)"))</f>
        <v/>
      </c>
      <c r="P2483" s="45">
        <f>IF(COUNTIFS($C:$C,$C2483,$D:$D,"P0(후)",$L:$L,"&gt;0")&lt;&gt;1,"",SUMIFS($H:$H,$C:$C,$C2483,$D:$D,"P0(후)"))</f>
        <v/>
      </c>
      <c r="Q2483" s="30">
        <f>IF(COUNTIFS($C:$C,$C2483,$D:$D,"P0(후)",$L:$L,"&gt;0")&lt;&gt;1,"",SUMIFS($L:$L,$C:$C,$C2483,$D:$D,"P0(후)"))</f>
        <v/>
      </c>
      <c r="R2483" s="30">
        <f>IF(M2483&lt;&gt;"OK","",O2483+(Q2483-O2483)*(H2483-N2483)/(P2483-N2483))</f>
        <v/>
      </c>
      <c r="S2483" s="30">
        <f>IF(OR(M2483&lt;&gt;"OK",NOT(ISNUMBER(L2483))),"",L2483-R2483)</f>
        <v/>
      </c>
      <c r="T2483" s="46">
        <f>IF(OR(NOT(ISNUMBER(S2483)),IF(ISNUMBER(G2483),G2483,F2483)=0),"",S2483/IF(ISNUMBER(G2483),G2483,F2483))</f>
        <v/>
      </c>
      <c r="U2483" s="46">
        <f>IF(ISNUMBER(T2483),ABS(T2483),"")</f>
        <v/>
      </c>
      <c r="V2483" s="46">
        <f>IF(OR($D2482&lt;&gt;"측정",$C2482&lt;&gt;$C2483,NOT(ISNUMBER(L2483)),NOT(ISNUMBER(L2482)),(IF(ISNUMBER(G2483),G2483,F2483)-IF(ISNUMBER(G2482),G2482,F2482))=0),"",(L2483-L2482)/(IF(ISNUMBER(G2483),G2483,F2483)-IF(ISNUMBER(G2482),G2482,F2482)))</f>
        <v/>
      </c>
      <c r="W2483" s="30">
        <f>IF(NOT(AND(ISNUMBER(N2483),ISNUMBER(P2483))),"",(P2483-N2483)*1440)</f>
        <v/>
      </c>
      <c r="X2483" s="28" t="n"/>
      <c r="Y2483" s="28" t="n"/>
      <c r="Z2483" s="28" t="n"/>
      <c r="AA2483" s="31" t="n"/>
      <c r="AB2483" s="31" t="n"/>
    </row>
    <row r="2484">
      <c r="A2484" s="25" t="inlineStr">
        <is>
          <t>S48</t>
        </is>
      </c>
      <c r="B2484" s="25" t="inlineStr">
        <is>
          <t>삼척</t>
        </is>
      </c>
      <c r="C2484" s="25" t="inlineStr">
        <is>
          <t>S48-H남</t>
        </is>
      </c>
      <c r="D2484" s="25" t="inlineStr">
        <is>
          <t>측정</t>
        </is>
      </c>
      <c r="E2484" s="25" t="inlineStr">
        <is>
          <t>남</t>
        </is>
      </c>
      <c r="F2484" s="30" t="n">
        <v>8</v>
      </c>
      <c r="G2484" s="29" t="n"/>
      <c r="H2484" s="42" t="n"/>
      <c r="I2484" s="40" t="n"/>
      <c r="J2484" s="40" t="n"/>
      <c r="K2484" s="40" t="n"/>
      <c r="L2484" s="30">
        <f>IF(COUNT(I2484:K2484)=0,"",MEDIAN(I2484:K2484))</f>
        <v/>
      </c>
      <c r="M2484" s="25">
        <f>IF(COUNTIFS($C:$C,$C2484,$D:$D,"P0(전)",$L:$L,"&gt;0")&lt;&gt;1,"P0(전) 유효 1개 아님",IF(COUNTIFS($C:$C,$C2484,$D:$D,"P0(후)",$L:$L,"&gt;0")&lt;&gt;1,"P0(후) 유효 1개 아님",IF(NOT(AND(ISNUMBER(N2484),ISNUMBER(P2484),ISNUMBER(H2484))),"시각 결측",IF(P2484&lt;=N2484,"P0 시각 역전",IF(OR(H2484&lt;N2484,H2484&gt;P2484),"측정시각 구간 밖","OK")))))</f>
        <v/>
      </c>
      <c r="N2484" s="45">
        <f>IF(COUNTIFS($C:$C,$C2484,$D:$D,"P0(전)",$L:$L,"&gt;0")&lt;&gt;1,"",SUMIFS($H:$H,$C:$C,$C2484,$D:$D,"P0(전)"))</f>
        <v/>
      </c>
      <c r="O2484" s="30">
        <f>IF(COUNTIFS($C:$C,$C2484,$D:$D,"P0(전)",$L:$L,"&gt;0")&lt;&gt;1,"",SUMIFS($L:$L,$C:$C,$C2484,$D:$D,"P0(전)"))</f>
        <v/>
      </c>
      <c r="P2484" s="45">
        <f>IF(COUNTIFS($C:$C,$C2484,$D:$D,"P0(후)",$L:$L,"&gt;0")&lt;&gt;1,"",SUMIFS($H:$H,$C:$C,$C2484,$D:$D,"P0(후)"))</f>
        <v/>
      </c>
      <c r="Q2484" s="30">
        <f>IF(COUNTIFS($C:$C,$C2484,$D:$D,"P0(후)",$L:$L,"&gt;0")&lt;&gt;1,"",SUMIFS($L:$L,$C:$C,$C2484,$D:$D,"P0(후)"))</f>
        <v/>
      </c>
      <c r="R2484" s="30">
        <f>IF(M2484&lt;&gt;"OK","",O2484+(Q2484-O2484)*(H2484-N2484)/(P2484-N2484))</f>
        <v/>
      </c>
      <c r="S2484" s="30">
        <f>IF(OR(M2484&lt;&gt;"OK",NOT(ISNUMBER(L2484))),"",L2484-R2484)</f>
        <v/>
      </c>
      <c r="T2484" s="46">
        <f>IF(OR(NOT(ISNUMBER(S2484)),IF(ISNUMBER(G2484),G2484,F2484)=0),"",S2484/IF(ISNUMBER(G2484),G2484,F2484))</f>
        <v/>
      </c>
      <c r="U2484" s="46">
        <f>IF(ISNUMBER(T2484),ABS(T2484),"")</f>
        <v/>
      </c>
      <c r="V2484" s="46">
        <f>IF(OR($D2483&lt;&gt;"측정",$C2483&lt;&gt;$C2484,NOT(ISNUMBER(L2484)),NOT(ISNUMBER(L2483)),(IF(ISNUMBER(G2484),G2484,F2484)-IF(ISNUMBER(G2483),G2483,F2483))=0),"",(L2484-L2483)/(IF(ISNUMBER(G2484),G2484,F2484)-IF(ISNUMBER(G2483),G2483,F2483)))</f>
        <v/>
      </c>
      <c r="W2484" s="30">
        <f>IF(NOT(AND(ISNUMBER(N2484),ISNUMBER(P2484))),"",(P2484-N2484)*1440)</f>
        <v/>
      </c>
      <c r="X2484" s="28" t="n"/>
      <c r="Y2484" s="28" t="n"/>
      <c r="Z2484" s="28" t="n"/>
      <c r="AA2484" s="31" t="n"/>
      <c r="AB2484" s="31" t="n"/>
    </row>
    <row r="2485">
      <c r="A2485" s="25" t="inlineStr">
        <is>
          <t>S48</t>
        </is>
      </c>
      <c r="B2485" s="25" t="inlineStr">
        <is>
          <t>삼척</t>
        </is>
      </c>
      <c r="C2485" s="25" t="inlineStr">
        <is>
          <t>S48-H남</t>
        </is>
      </c>
      <c r="D2485" s="25" t="inlineStr">
        <is>
          <t>측정</t>
        </is>
      </c>
      <c r="E2485" s="25" t="inlineStr">
        <is>
          <t>남</t>
        </is>
      </c>
      <c r="F2485" s="30" t="n">
        <v>9</v>
      </c>
      <c r="G2485" s="29" t="n"/>
      <c r="H2485" s="42" t="n"/>
      <c r="I2485" s="40" t="n"/>
      <c r="J2485" s="40" t="n"/>
      <c r="K2485" s="40" t="n"/>
      <c r="L2485" s="30">
        <f>IF(COUNT(I2485:K2485)=0,"",MEDIAN(I2485:K2485))</f>
        <v/>
      </c>
      <c r="M2485" s="25">
        <f>IF(COUNTIFS($C:$C,$C2485,$D:$D,"P0(전)",$L:$L,"&gt;0")&lt;&gt;1,"P0(전) 유효 1개 아님",IF(COUNTIFS($C:$C,$C2485,$D:$D,"P0(후)",$L:$L,"&gt;0")&lt;&gt;1,"P0(후) 유효 1개 아님",IF(NOT(AND(ISNUMBER(N2485),ISNUMBER(P2485),ISNUMBER(H2485))),"시각 결측",IF(P2485&lt;=N2485,"P0 시각 역전",IF(OR(H2485&lt;N2485,H2485&gt;P2485),"측정시각 구간 밖","OK")))))</f>
        <v/>
      </c>
      <c r="N2485" s="45">
        <f>IF(COUNTIFS($C:$C,$C2485,$D:$D,"P0(전)",$L:$L,"&gt;0")&lt;&gt;1,"",SUMIFS($H:$H,$C:$C,$C2485,$D:$D,"P0(전)"))</f>
        <v/>
      </c>
      <c r="O2485" s="30">
        <f>IF(COUNTIFS($C:$C,$C2485,$D:$D,"P0(전)",$L:$L,"&gt;0")&lt;&gt;1,"",SUMIFS($L:$L,$C:$C,$C2485,$D:$D,"P0(전)"))</f>
        <v/>
      </c>
      <c r="P2485" s="45">
        <f>IF(COUNTIFS($C:$C,$C2485,$D:$D,"P0(후)",$L:$L,"&gt;0")&lt;&gt;1,"",SUMIFS($H:$H,$C:$C,$C2485,$D:$D,"P0(후)"))</f>
        <v/>
      </c>
      <c r="Q2485" s="30">
        <f>IF(COUNTIFS($C:$C,$C2485,$D:$D,"P0(후)",$L:$L,"&gt;0")&lt;&gt;1,"",SUMIFS($L:$L,$C:$C,$C2485,$D:$D,"P0(후)"))</f>
        <v/>
      </c>
      <c r="R2485" s="30">
        <f>IF(M2485&lt;&gt;"OK","",O2485+(Q2485-O2485)*(H2485-N2485)/(P2485-N2485))</f>
        <v/>
      </c>
      <c r="S2485" s="30">
        <f>IF(OR(M2485&lt;&gt;"OK",NOT(ISNUMBER(L2485))),"",L2485-R2485)</f>
        <v/>
      </c>
      <c r="T2485" s="46">
        <f>IF(OR(NOT(ISNUMBER(S2485)),IF(ISNUMBER(G2485),G2485,F2485)=0),"",S2485/IF(ISNUMBER(G2485),G2485,F2485))</f>
        <v/>
      </c>
      <c r="U2485" s="46">
        <f>IF(ISNUMBER(T2485),ABS(T2485),"")</f>
        <v/>
      </c>
      <c r="V2485" s="46">
        <f>IF(OR($D2484&lt;&gt;"측정",$C2484&lt;&gt;$C2485,NOT(ISNUMBER(L2485)),NOT(ISNUMBER(L2484)),(IF(ISNUMBER(G2485),G2485,F2485)-IF(ISNUMBER(G2484),G2484,F2484))=0),"",(L2485-L2484)/(IF(ISNUMBER(G2485),G2485,F2485)-IF(ISNUMBER(G2484),G2484,F2484)))</f>
        <v/>
      </c>
      <c r="W2485" s="30">
        <f>IF(NOT(AND(ISNUMBER(N2485),ISNUMBER(P2485))),"",(P2485-N2485)*1440)</f>
        <v/>
      </c>
      <c r="X2485" s="28" t="n"/>
      <c r="Y2485" s="28" t="n"/>
      <c r="Z2485" s="28" t="n"/>
      <c r="AA2485" s="31" t="n"/>
      <c r="AB2485" s="31" t="n"/>
    </row>
    <row r="2486">
      <c r="A2486" s="25" t="inlineStr">
        <is>
          <t>S48</t>
        </is>
      </c>
      <c r="B2486" s="25" t="inlineStr">
        <is>
          <t>삼척</t>
        </is>
      </c>
      <c r="C2486" s="25" t="inlineStr">
        <is>
          <t>S48-H남</t>
        </is>
      </c>
      <c r="D2486" s="25" t="inlineStr">
        <is>
          <t>측정</t>
        </is>
      </c>
      <c r="E2486" s="25" t="inlineStr">
        <is>
          <t>남</t>
        </is>
      </c>
      <c r="F2486" s="30" t="n">
        <v>10</v>
      </c>
      <c r="G2486" s="29" t="n"/>
      <c r="H2486" s="42" t="n"/>
      <c r="I2486" s="40" t="n"/>
      <c r="J2486" s="40" t="n"/>
      <c r="K2486" s="40" t="n"/>
      <c r="L2486" s="30">
        <f>IF(COUNT(I2486:K2486)=0,"",MEDIAN(I2486:K2486))</f>
        <v/>
      </c>
      <c r="M2486" s="25">
        <f>IF(COUNTIFS($C:$C,$C2486,$D:$D,"P0(전)",$L:$L,"&gt;0")&lt;&gt;1,"P0(전) 유효 1개 아님",IF(COUNTIFS($C:$C,$C2486,$D:$D,"P0(후)",$L:$L,"&gt;0")&lt;&gt;1,"P0(후) 유효 1개 아님",IF(NOT(AND(ISNUMBER(N2486),ISNUMBER(P2486),ISNUMBER(H2486))),"시각 결측",IF(P2486&lt;=N2486,"P0 시각 역전",IF(OR(H2486&lt;N2486,H2486&gt;P2486),"측정시각 구간 밖","OK")))))</f>
        <v/>
      </c>
      <c r="N2486" s="45">
        <f>IF(COUNTIFS($C:$C,$C2486,$D:$D,"P0(전)",$L:$L,"&gt;0")&lt;&gt;1,"",SUMIFS($H:$H,$C:$C,$C2486,$D:$D,"P0(전)"))</f>
        <v/>
      </c>
      <c r="O2486" s="30">
        <f>IF(COUNTIFS($C:$C,$C2486,$D:$D,"P0(전)",$L:$L,"&gt;0")&lt;&gt;1,"",SUMIFS($L:$L,$C:$C,$C2486,$D:$D,"P0(전)"))</f>
        <v/>
      </c>
      <c r="P2486" s="45">
        <f>IF(COUNTIFS($C:$C,$C2486,$D:$D,"P0(후)",$L:$L,"&gt;0")&lt;&gt;1,"",SUMIFS($H:$H,$C:$C,$C2486,$D:$D,"P0(후)"))</f>
        <v/>
      </c>
      <c r="Q2486" s="30">
        <f>IF(COUNTIFS($C:$C,$C2486,$D:$D,"P0(후)",$L:$L,"&gt;0")&lt;&gt;1,"",SUMIFS($L:$L,$C:$C,$C2486,$D:$D,"P0(후)"))</f>
        <v/>
      </c>
      <c r="R2486" s="30">
        <f>IF(M2486&lt;&gt;"OK","",O2486+(Q2486-O2486)*(H2486-N2486)/(P2486-N2486))</f>
        <v/>
      </c>
      <c r="S2486" s="30">
        <f>IF(OR(M2486&lt;&gt;"OK",NOT(ISNUMBER(L2486))),"",L2486-R2486)</f>
        <v/>
      </c>
      <c r="T2486" s="46">
        <f>IF(OR(NOT(ISNUMBER(S2486)),IF(ISNUMBER(G2486),G2486,F2486)=0),"",S2486/IF(ISNUMBER(G2486),G2486,F2486))</f>
        <v/>
      </c>
      <c r="U2486" s="46">
        <f>IF(ISNUMBER(T2486),ABS(T2486),"")</f>
        <v/>
      </c>
      <c r="V2486" s="46">
        <f>IF(OR($D2485&lt;&gt;"측정",$C2485&lt;&gt;$C2486,NOT(ISNUMBER(L2486)),NOT(ISNUMBER(L2485)),(IF(ISNUMBER(G2486),G2486,F2486)-IF(ISNUMBER(G2485),G2485,F2485))=0),"",(L2486-L2485)/(IF(ISNUMBER(G2486),G2486,F2486)-IF(ISNUMBER(G2485),G2485,F2485)))</f>
        <v/>
      </c>
      <c r="W2486" s="30">
        <f>IF(NOT(AND(ISNUMBER(N2486),ISNUMBER(P2486))),"",(P2486-N2486)*1440)</f>
        <v/>
      </c>
      <c r="X2486" s="28" t="n"/>
      <c r="Y2486" s="28" t="n"/>
      <c r="Z2486" s="28" t="n"/>
      <c r="AA2486" s="31" t="n"/>
      <c r="AB2486" s="31" t="n"/>
    </row>
    <row r="2487">
      <c r="A2487" s="43" t="inlineStr">
        <is>
          <t>S48</t>
        </is>
      </c>
      <c r="B2487" s="43" t="inlineStr">
        <is>
          <t>삼척</t>
        </is>
      </c>
      <c r="C2487" s="43" t="inlineStr">
        <is>
          <t>S48-H남</t>
        </is>
      </c>
      <c r="D2487" s="43" t="inlineStr">
        <is>
          <t>P0(후)</t>
        </is>
      </c>
      <c r="E2487" s="43" t="inlineStr">
        <is>
          <t>남</t>
        </is>
      </c>
      <c r="F2487" s="44" t="n"/>
      <c r="G2487" s="29" t="n"/>
      <c r="H2487" s="42" t="n"/>
      <c r="I2487" s="40" t="n"/>
      <c r="J2487" s="40" t="n"/>
      <c r="K2487" s="40" t="n"/>
      <c r="L2487" s="30">
        <f>IF(COUNT(I2487:K2487)=0,"",MEDIAN(I2487:K2487))</f>
        <v/>
      </c>
      <c r="M2487" s="37" t="n"/>
      <c r="N2487" s="37" t="n"/>
      <c r="O2487" s="37" t="n"/>
      <c r="P2487" s="37" t="n"/>
      <c r="Q2487" s="37" t="n"/>
      <c r="R2487" s="37" t="n"/>
      <c r="S2487" s="37" t="n"/>
      <c r="T2487" s="37" t="n"/>
      <c r="U2487" s="37" t="n"/>
      <c r="V2487" s="37" t="n"/>
      <c r="W2487" s="37" t="n"/>
      <c r="X2487" s="28" t="n"/>
      <c r="Y2487" s="28" t="n"/>
      <c r="Z2487" s="28" t="n"/>
      <c r="AA2487" s="31" t="n"/>
      <c r="AB2487" s="31" t="n"/>
    </row>
    <row r="2488">
      <c r="A2488" s="43" t="inlineStr">
        <is>
          <t>S48</t>
        </is>
      </c>
      <c r="B2488" s="43" t="inlineStr">
        <is>
          <t>삼척</t>
        </is>
      </c>
      <c r="C2488" s="43" t="inlineStr">
        <is>
          <t>S48-H북</t>
        </is>
      </c>
      <c r="D2488" s="43" t="inlineStr">
        <is>
          <t>P0(전)</t>
        </is>
      </c>
      <c r="E2488" s="43" t="inlineStr">
        <is>
          <t>북</t>
        </is>
      </c>
      <c r="F2488" s="44" t="n"/>
      <c r="G2488" s="29" t="n"/>
      <c r="H2488" s="42" t="n"/>
      <c r="I2488" s="40" t="n"/>
      <c r="J2488" s="40" t="n"/>
      <c r="K2488" s="40" t="n"/>
      <c r="L2488" s="30">
        <f>IF(COUNT(I2488:K2488)=0,"",MEDIAN(I2488:K2488))</f>
        <v/>
      </c>
      <c r="M2488" s="37" t="n"/>
      <c r="N2488" s="37" t="n"/>
      <c r="O2488" s="37" t="n"/>
      <c r="P2488" s="37" t="n"/>
      <c r="Q2488" s="37" t="n"/>
      <c r="R2488" s="37" t="n"/>
      <c r="S2488" s="37" t="n"/>
      <c r="T2488" s="37" t="n"/>
      <c r="U2488" s="37" t="n"/>
      <c r="V2488" s="37" t="n"/>
      <c r="W2488" s="37" t="n"/>
      <c r="X2488" s="28" t="n"/>
      <c r="Y2488" s="28" t="n"/>
      <c r="Z2488" s="28" t="n"/>
      <c r="AA2488" s="31" t="n"/>
      <c r="AB2488" s="31" t="n"/>
    </row>
    <row r="2489">
      <c r="A2489" s="25" t="inlineStr">
        <is>
          <t>S48</t>
        </is>
      </c>
      <c r="B2489" s="25" t="inlineStr">
        <is>
          <t>삼척</t>
        </is>
      </c>
      <c r="C2489" s="25" t="inlineStr">
        <is>
          <t>S48-H북</t>
        </is>
      </c>
      <c r="D2489" s="25" t="inlineStr">
        <is>
          <t>측정</t>
        </is>
      </c>
      <c r="E2489" s="25" t="inlineStr">
        <is>
          <t>북</t>
        </is>
      </c>
      <c r="F2489" s="30" t="n">
        <v>0.5</v>
      </c>
      <c r="G2489" s="29" t="n"/>
      <c r="H2489" s="42" t="n"/>
      <c r="I2489" s="40" t="n"/>
      <c r="J2489" s="40" t="n"/>
      <c r="K2489" s="40" t="n"/>
      <c r="L2489" s="30">
        <f>IF(COUNT(I2489:K2489)=0,"",MEDIAN(I2489:K2489))</f>
        <v/>
      </c>
      <c r="M2489" s="25">
        <f>IF(COUNTIFS($C:$C,$C2489,$D:$D,"P0(전)",$L:$L,"&gt;0")&lt;&gt;1,"P0(전) 유효 1개 아님",IF(COUNTIFS($C:$C,$C2489,$D:$D,"P0(후)",$L:$L,"&gt;0")&lt;&gt;1,"P0(후) 유효 1개 아님",IF(NOT(AND(ISNUMBER(N2489),ISNUMBER(P2489),ISNUMBER(H2489))),"시각 결측",IF(P2489&lt;=N2489,"P0 시각 역전",IF(OR(H2489&lt;N2489,H2489&gt;P2489),"측정시각 구간 밖","OK")))))</f>
        <v/>
      </c>
      <c r="N2489" s="45">
        <f>IF(COUNTIFS($C:$C,$C2489,$D:$D,"P0(전)",$L:$L,"&gt;0")&lt;&gt;1,"",SUMIFS($H:$H,$C:$C,$C2489,$D:$D,"P0(전)"))</f>
        <v/>
      </c>
      <c r="O2489" s="30">
        <f>IF(COUNTIFS($C:$C,$C2489,$D:$D,"P0(전)",$L:$L,"&gt;0")&lt;&gt;1,"",SUMIFS($L:$L,$C:$C,$C2489,$D:$D,"P0(전)"))</f>
        <v/>
      </c>
      <c r="P2489" s="45">
        <f>IF(COUNTIFS($C:$C,$C2489,$D:$D,"P0(후)",$L:$L,"&gt;0")&lt;&gt;1,"",SUMIFS($H:$H,$C:$C,$C2489,$D:$D,"P0(후)"))</f>
        <v/>
      </c>
      <c r="Q2489" s="30">
        <f>IF(COUNTIFS($C:$C,$C2489,$D:$D,"P0(후)",$L:$L,"&gt;0")&lt;&gt;1,"",SUMIFS($L:$L,$C:$C,$C2489,$D:$D,"P0(후)"))</f>
        <v/>
      </c>
      <c r="R2489" s="30">
        <f>IF(M2489&lt;&gt;"OK","",O2489+(Q2489-O2489)*(H2489-N2489)/(P2489-N2489))</f>
        <v/>
      </c>
      <c r="S2489" s="30">
        <f>IF(OR(M2489&lt;&gt;"OK",NOT(ISNUMBER(L2489))),"",L2489-R2489)</f>
        <v/>
      </c>
      <c r="T2489" s="46">
        <f>IF(OR(NOT(ISNUMBER(S2489)),IF(ISNUMBER(G2489),G2489,F2489)=0),"",S2489/IF(ISNUMBER(G2489),G2489,F2489))</f>
        <v/>
      </c>
      <c r="U2489" s="46">
        <f>IF(ISNUMBER(T2489),ABS(T2489),"")</f>
        <v/>
      </c>
      <c r="V2489" s="46">
        <f>IF(OR($D2488&lt;&gt;"측정",$C2488&lt;&gt;$C2489,NOT(ISNUMBER(L2489)),NOT(ISNUMBER(L2488)),(IF(ISNUMBER(G2489),G2489,F2489)-IF(ISNUMBER(G2488),G2488,F2488))=0),"",(L2489-L2488)/(IF(ISNUMBER(G2489),G2489,F2489)-IF(ISNUMBER(G2488),G2488,F2488)))</f>
        <v/>
      </c>
      <c r="W2489" s="30">
        <f>IF(NOT(AND(ISNUMBER(N2489),ISNUMBER(P2489))),"",(P2489-N2489)*1440)</f>
        <v/>
      </c>
      <c r="X2489" s="28" t="n"/>
      <c r="Y2489" s="28" t="n"/>
      <c r="Z2489" s="28" t="n"/>
      <c r="AA2489" s="31" t="n"/>
      <c r="AB2489" s="31" t="n"/>
    </row>
    <row r="2490">
      <c r="A2490" s="25" t="inlineStr">
        <is>
          <t>S48</t>
        </is>
      </c>
      <c r="B2490" s="25" t="inlineStr">
        <is>
          <t>삼척</t>
        </is>
      </c>
      <c r="C2490" s="25" t="inlineStr">
        <is>
          <t>S48-H북</t>
        </is>
      </c>
      <c r="D2490" s="25" t="inlineStr">
        <is>
          <t>측정</t>
        </is>
      </c>
      <c r="E2490" s="25" t="inlineStr">
        <is>
          <t>북</t>
        </is>
      </c>
      <c r="F2490" s="30" t="n">
        <v>1</v>
      </c>
      <c r="G2490" s="29" t="n"/>
      <c r="H2490" s="42" t="n"/>
      <c r="I2490" s="40" t="n"/>
      <c r="J2490" s="40" t="n"/>
      <c r="K2490" s="40" t="n"/>
      <c r="L2490" s="30">
        <f>IF(COUNT(I2490:K2490)=0,"",MEDIAN(I2490:K2490))</f>
        <v/>
      </c>
      <c r="M2490" s="25">
        <f>IF(COUNTIFS($C:$C,$C2490,$D:$D,"P0(전)",$L:$L,"&gt;0")&lt;&gt;1,"P0(전) 유효 1개 아님",IF(COUNTIFS($C:$C,$C2490,$D:$D,"P0(후)",$L:$L,"&gt;0")&lt;&gt;1,"P0(후) 유효 1개 아님",IF(NOT(AND(ISNUMBER(N2490),ISNUMBER(P2490),ISNUMBER(H2490))),"시각 결측",IF(P2490&lt;=N2490,"P0 시각 역전",IF(OR(H2490&lt;N2490,H2490&gt;P2490),"측정시각 구간 밖","OK")))))</f>
        <v/>
      </c>
      <c r="N2490" s="45">
        <f>IF(COUNTIFS($C:$C,$C2490,$D:$D,"P0(전)",$L:$L,"&gt;0")&lt;&gt;1,"",SUMIFS($H:$H,$C:$C,$C2490,$D:$D,"P0(전)"))</f>
        <v/>
      </c>
      <c r="O2490" s="30">
        <f>IF(COUNTIFS($C:$C,$C2490,$D:$D,"P0(전)",$L:$L,"&gt;0")&lt;&gt;1,"",SUMIFS($L:$L,$C:$C,$C2490,$D:$D,"P0(전)"))</f>
        <v/>
      </c>
      <c r="P2490" s="45">
        <f>IF(COUNTIFS($C:$C,$C2490,$D:$D,"P0(후)",$L:$L,"&gt;0")&lt;&gt;1,"",SUMIFS($H:$H,$C:$C,$C2490,$D:$D,"P0(후)"))</f>
        <v/>
      </c>
      <c r="Q2490" s="30">
        <f>IF(COUNTIFS($C:$C,$C2490,$D:$D,"P0(후)",$L:$L,"&gt;0")&lt;&gt;1,"",SUMIFS($L:$L,$C:$C,$C2490,$D:$D,"P0(후)"))</f>
        <v/>
      </c>
      <c r="R2490" s="30">
        <f>IF(M2490&lt;&gt;"OK","",O2490+(Q2490-O2490)*(H2490-N2490)/(P2490-N2490))</f>
        <v/>
      </c>
      <c r="S2490" s="30">
        <f>IF(OR(M2490&lt;&gt;"OK",NOT(ISNUMBER(L2490))),"",L2490-R2490)</f>
        <v/>
      </c>
      <c r="T2490" s="46">
        <f>IF(OR(NOT(ISNUMBER(S2490)),IF(ISNUMBER(G2490),G2490,F2490)=0),"",S2490/IF(ISNUMBER(G2490),G2490,F2490))</f>
        <v/>
      </c>
      <c r="U2490" s="46">
        <f>IF(ISNUMBER(T2490),ABS(T2490),"")</f>
        <v/>
      </c>
      <c r="V2490" s="46">
        <f>IF(OR($D2489&lt;&gt;"측정",$C2489&lt;&gt;$C2490,NOT(ISNUMBER(L2490)),NOT(ISNUMBER(L2489)),(IF(ISNUMBER(G2490),G2490,F2490)-IF(ISNUMBER(G2489),G2489,F2489))=0),"",(L2490-L2489)/(IF(ISNUMBER(G2490),G2490,F2490)-IF(ISNUMBER(G2489),G2489,F2489)))</f>
        <v/>
      </c>
      <c r="W2490" s="30">
        <f>IF(NOT(AND(ISNUMBER(N2490),ISNUMBER(P2490))),"",(P2490-N2490)*1440)</f>
        <v/>
      </c>
      <c r="X2490" s="28" t="n"/>
      <c r="Y2490" s="28" t="n"/>
      <c r="Z2490" s="28" t="n"/>
      <c r="AA2490" s="31" t="n"/>
      <c r="AB2490" s="31" t="n"/>
    </row>
    <row r="2491">
      <c r="A2491" s="25" t="inlineStr">
        <is>
          <t>S48</t>
        </is>
      </c>
      <c r="B2491" s="25" t="inlineStr">
        <is>
          <t>삼척</t>
        </is>
      </c>
      <c r="C2491" s="25" t="inlineStr">
        <is>
          <t>S48-H북</t>
        </is>
      </c>
      <c r="D2491" s="25" t="inlineStr">
        <is>
          <t>측정</t>
        </is>
      </c>
      <c r="E2491" s="25" t="inlineStr">
        <is>
          <t>북</t>
        </is>
      </c>
      <c r="F2491" s="30" t="n">
        <v>2</v>
      </c>
      <c r="G2491" s="29" t="n"/>
      <c r="H2491" s="42" t="n"/>
      <c r="I2491" s="40" t="n"/>
      <c r="J2491" s="40" t="n"/>
      <c r="K2491" s="40" t="n"/>
      <c r="L2491" s="30">
        <f>IF(COUNT(I2491:K2491)=0,"",MEDIAN(I2491:K2491))</f>
        <v/>
      </c>
      <c r="M2491" s="25">
        <f>IF(COUNTIFS($C:$C,$C2491,$D:$D,"P0(전)",$L:$L,"&gt;0")&lt;&gt;1,"P0(전) 유효 1개 아님",IF(COUNTIFS($C:$C,$C2491,$D:$D,"P0(후)",$L:$L,"&gt;0")&lt;&gt;1,"P0(후) 유효 1개 아님",IF(NOT(AND(ISNUMBER(N2491),ISNUMBER(P2491),ISNUMBER(H2491))),"시각 결측",IF(P2491&lt;=N2491,"P0 시각 역전",IF(OR(H2491&lt;N2491,H2491&gt;P2491),"측정시각 구간 밖","OK")))))</f>
        <v/>
      </c>
      <c r="N2491" s="45">
        <f>IF(COUNTIFS($C:$C,$C2491,$D:$D,"P0(전)",$L:$L,"&gt;0")&lt;&gt;1,"",SUMIFS($H:$H,$C:$C,$C2491,$D:$D,"P0(전)"))</f>
        <v/>
      </c>
      <c r="O2491" s="30">
        <f>IF(COUNTIFS($C:$C,$C2491,$D:$D,"P0(전)",$L:$L,"&gt;0")&lt;&gt;1,"",SUMIFS($L:$L,$C:$C,$C2491,$D:$D,"P0(전)"))</f>
        <v/>
      </c>
      <c r="P2491" s="45">
        <f>IF(COUNTIFS($C:$C,$C2491,$D:$D,"P0(후)",$L:$L,"&gt;0")&lt;&gt;1,"",SUMIFS($H:$H,$C:$C,$C2491,$D:$D,"P0(후)"))</f>
        <v/>
      </c>
      <c r="Q2491" s="30">
        <f>IF(COUNTIFS($C:$C,$C2491,$D:$D,"P0(후)",$L:$L,"&gt;0")&lt;&gt;1,"",SUMIFS($L:$L,$C:$C,$C2491,$D:$D,"P0(후)"))</f>
        <v/>
      </c>
      <c r="R2491" s="30">
        <f>IF(M2491&lt;&gt;"OK","",O2491+(Q2491-O2491)*(H2491-N2491)/(P2491-N2491))</f>
        <v/>
      </c>
      <c r="S2491" s="30">
        <f>IF(OR(M2491&lt;&gt;"OK",NOT(ISNUMBER(L2491))),"",L2491-R2491)</f>
        <v/>
      </c>
      <c r="T2491" s="46">
        <f>IF(OR(NOT(ISNUMBER(S2491)),IF(ISNUMBER(G2491),G2491,F2491)=0),"",S2491/IF(ISNUMBER(G2491),G2491,F2491))</f>
        <v/>
      </c>
      <c r="U2491" s="46">
        <f>IF(ISNUMBER(T2491),ABS(T2491),"")</f>
        <v/>
      </c>
      <c r="V2491" s="46">
        <f>IF(OR($D2490&lt;&gt;"측정",$C2490&lt;&gt;$C2491,NOT(ISNUMBER(L2491)),NOT(ISNUMBER(L2490)),(IF(ISNUMBER(G2491),G2491,F2491)-IF(ISNUMBER(G2490),G2490,F2490))=0),"",(L2491-L2490)/(IF(ISNUMBER(G2491),G2491,F2491)-IF(ISNUMBER(G2490),G2490,F2490)))</f>
        <v/>
      </c>
      <c r="W2491" s="30">
        <f>IF(NOT(AND(ISNUMBER(N2491),ISNUMBER(P2491))),"",(P2491-N2491)*1440)</f>
        <v/>
      </c>
      <c r="X2491" s="28" t="n"/>
      <c r="Y2491" s="28" t="n"/>
      <c r="Z2491" s="28" t="n"/>
      <c r="AA2491" s="31" t="n"/>
      <c r="AB2491" s="31" t="n"/>
    </row>
    <row r="2492">
      <c r="A2492" s="25" t="inlineStr">
        <is>
          <t>S48</t>
        </is>
      </c>
      <c r="B2492" s="25" t="inlineStr">
        <is>
          <t>삼척</t>
        </is>
      </c>
      <c r="C2492" s="25" t="inlineStr">
        <is>
          <t>S48-H북</t>
        </is>
      </c>
      <c r="D2492" s="25" t="inlineStr">
        <is>
          <t>측정</t>
        </is>
      </c>
      <c r="E2492" s="25" t="inlineStr">
        <is>
          <t>북</t>
        </is>
      </c>
      <c r="F2492" s="30" t="n">
        <v>3</v>
      </c>
      <c r="G2492" s="29" t="n"/>
      <c r="H2492" s="42" t="n"/>
      <c r="I2492" s="40" t="n"/>
      <c r="J2492" s="40" t="n"/>
      <c r="K2492" s="40" t="n"/>
      <c r="L2492" s="30">
        <f>IF(COUNT(I2492:K2492)=0,"",MEDIAN(I2492:K2492))</f>
        <v/>
      </c>
      <c r="M2492" s="25">
        <f>IF(COUNTIFS($C:$C,$C2492,$D:$D,"P0(전)",$L:$L,"&gt;0")&lt;&gt;1,"P0(전) 유효 1개 아님",IF(COUNTIFS($C:$C,$C2492,$D:$D,"P0(후)",$L:$L,"&gt;0")&lt;&gt;1,"P0(후) 유효 1개 아님",IF(NOT(AND(ISNUMBER(N2492),ISNUMBER(P2492),ISNUMBER(H2492))),"시각 결측",IF(P2492&lt;=N2492,"P0 시각 역전",IF(OR(H2492&lt;N2492,H2492&gt;P2492),"측정시각 구간 밖","OK")))))</f>
        <v/>
      </c>
      <c r="N2492" s="45">
        <f>IF(COUNTIFS($C:$C,$C2492,$D:$D,"P0(전)",$L:$L,"&gt;0")&lt;&gt;1,"",SUMIFS($H:$H,$C:$C,$C2492,$D:$D,"P0(전)"))</f>
        <v/>
      </c>
      <c r="O2492" s="30">
        <f>IF(COUNTIFS($C:$C,$C2492,$D:$D,"P0(전)",$L:$L,"&gt;0")&lt;&gt;1,"",SUMIFS($L:$L,$C:$C,$C2492,$D:$D,"P0(전)"))</f>
        <v/>
      </c>
      <c r="P2492" s="45">
        <f>IF(COUNTIFS($C:$C,$C2492,$D:$D,"P0(후)",$L:$L,"&gt;0")&lt;&gt;1,"",SUMIFS($H:$H,$C:$C,$C2492,$D:$D,"P0(후)"))</f>
        <v/>
      </c>
      <c r="Q2492" s="30">
        <f>IF(COUNTIFS($C:$C,$C2492,$D:$D,"P0(후)",$L:$L,"&gt;0")&lt;&gt;1,"",SUMIFS($L:$L,$C:$C,$C2492,$D:$D,"P0(후)"))</f>
        <v/>
      </c>
      <c r="R2492" s="30">
        <f>IF(M2492&lt;&gt;"OK","",O2492+(Q2492-O2492)*(H2492-N2492)/(P2492-N2492))</f>
        <v/>
      </c>
      <c r="S2492" s="30">
        <f>IF(OR(M2492&lt;&gt;"OK",NOT(ISNUMBER(L2492))),"",L2492-R2492)</f>
        <v/>
      </c>
      <c r="T2492" s="46">
        <f>IF(OR(NOT(ISNUMBER(S2492)),IF(ISNUMBER(G2492),G2492,F2492)=0),"",S2492/IF(ISNUMBER(G2492),G2492,F2492))</f>
        <v/>
      </c>
      <c r="U2492" s="46">
        <f>IF(ISNUMBER(T2492),ABS(T2492),"")</f>
        <v/>
      </c>
      <c r="V2492" s="46">
        <f>IF(OR($D2491&lt;&gt;"측정",$C2491&lt;&gt;$C2492,NOT(ISNUMBER(L2492)),NOT(ISNUMBER(L2491)),(IF(ISNUMBER(G2492),G2492,F2492)-IF(ISNUMBER(G2491),G2491,F2491))=0),"",(L2492-L2491)/(IF(ISNUMBER(G2492),G2492,F2492)-IF(ISNUMBER(G2491),G2491,F2491)))</f>
        <v/>
      </c>
      <c r="W2492" s="30">
        <f>IF(NOT(AND(ISNUMBER(N2492),ISNUMBER(P2492))),"",(P2492-N2492)*1440)</f>
        <v/>
      </c>
      <c r="X2492" s="28" t="n"/>
      <c r="Y2492" s="28" t="n"/>
      <c r="Z2492" s="28" t="n"/>
      <c r="AA2492" s="31" t="n"/>
      <c r="AB2492" s="31" t="n"/>
    </row>
    <row r="2493">
      <c r="A2493" s="25" t="inlineStr">
        <is>
          <t>S48</t>
        </is>
      </c>
      <c r="B2493" s="25" t="inlineStr">
        <is>
          <t>삼척</t>
        </is>
      </c>
      <c r="C2493" s="25" t="inlineStr">
        <is>
          <t>S48-H북</t>
        </is>
      </c>
      <c r="D2493" s="25" t="inlineStr">
        <is>
          <t>측정</t>
        </is>
      </c>
      <c r="E2493" s="25" t="inlineStr">
        <is>
          <t>북</t>
        </is>
      </c>
      <c r="F2493" s="30" t="n">
        <v>4</v>
      </c>
      <c r="G2493" s="29" t="n"/>
      <c r="H2493" s="42" t="n"/>
      <c r="I2493" s="40" t="n"/>
      <c r="J2493" s="40" t="n"/>
      <c r="K2493" s="40" t="n"/>
      <c r="L2493" s="30">
        <f>IF(COUNT(I2493:K2493)=0,"",MEDIAN(I2493:K2493))</f>
        <v/>
      </c>
      <c r="M2493" s="25">
        <f>IF(COUNTIFS($C:$C,$C2493,$D:$D,"P0(전)",$L:$L,"&gt;0")&lt;&gt;1,"P0(전) 유효 1개 아님",IF(COUNTIFS($C:$C,$C2493,$D:$D,"P0(후)",$L:$L,"&gt;0")&lt;&gt;1,"P0(후) 유효 1개 아님",IF(NOT(AND(ISNUMBER(N2493),ISNUMBER(P2493),ISNUMBER(H2493))),"시각 결측",IF(P2493&lt;=N2493,"P0 시각 역전",IF(OR(H2493&lt;N2493,H2493&gt;P2493),"측정시각 구간 밖","OK")))))</f>
        <v/>
      </c>
      <c r="N2493" s="45">
        <f>IF(COUNTIFS($C:$C,$C2493,$D:$D,"P0(전)",$L:$L,"&gt;0")&lt;&gt;1,"",SUMIFS($H:$H,$C:$C,$C2493,$D:$D,"P0(전)"))</f>
        <v/>
      </c>
      <c r="O2493" s="30">
        <f>IF(COUNTIFS($C:$C,$C2493,$D:$D,"P0(전)",$L:$L,"&gt;0")&lt;&gt;1,"",SUMIFS($L:$L,$C:$C,$C2493,$D:$D,"P0(전)"))</f>
        <v/>
      </c>
      <c r="P2493" s="45">
        <f>IF(COUNTIFS($C:$C,$C2493,$D:$D,"P0(후)",$L:$L,"&gt;0")&lt;&gt;1,"",SUMIFS($H:$H,$C:$C,$C2493,$D:$D,"P0(후)"))</f>
        <v/>
      </c>
      <c r="Q2493" s="30">
        <f>IF(COUNTIFS($C:$C,$C2493,$D:$D,"P0(후)",$L:$L,"&gt;0")&lt;&gt;1,"",SUMIFS($L:$L,$C:$C,$C2493,$D:$D,"P0(후)"))</f>
        <v/>
      </c>
      <c r="R2493" s="30">
        <f>IF(M2493&lt;&gt;"OK","",O2493+(Q2493-O2493)*(H2493-N2493)/(P2493-N2493))</f>
        <v/>
      </c>
      <c r="S2493" s="30">
        <f>IF(OR(M2493&lt;&gt;"OK",NOT(ISNUMBER(L2493))),"",L2493-R2493)</f>
        <v/>
      </c>
      <c r="T2493" s="46">
        <f>IF(OR(NOT(ISNUMBER(S2493)),IF(ISNUMBER(G2493),G2493,F2493)=0),"",S2493/IF(ISNUMBER(G2493),G2493,F2493))</f>
        <v/>
      </c>
      <c r="U2493" s="46">
        <f>IF(ISNUMBER(T2493),ABS(T2493),"")</f>
        <v/>
      </c>
      <c r="V2493" s="46">
        <f>IF(OR($D2492&lt;&gt;"측정",$C2492&lt;&gt;$C2493,NOT(ISNUMBER(L2493)),NOT(ISNUMBER(L2492)),(IF(ISNUMBER(G2493),G2493,F2493)-IF(ISNUMBER(G2492),G2492,F2492))=0),"",(L2493-L2492)/(IF(ISNUMBER(G2493),G2493,F2493)-IF(ISNUMBER(G2492),G2492,F2492)))</f>
        <v/>
      </c>
      <c r="W2493" s="30">
        <f>IF(NOT(AND(ISNUMBER(N2493),ISNUMBER(P2493))),"",(P2493-N2493)*1440)</f>
        <v/>
      </c>
      <c r="X2493" s="28" t="n"/>
      <c r="Y2493" s="28" t="n"/>
      <c r="Z2493" s="28" t="n"/>
      <c r="AA2493" s="31" t="n"/>
      <c r="AB2493" s="31" t="n"/>
    </row>
    <row r="2494">
      <c r="A2494" s="25" t="inlineStr">
        <is>
          <t>S48</t>
        </is>
      </c>
      <c r="B2494" s="25" t="inlineStr">
        <is>
          <t>삼척</t>
        </is>
      </c>
      <c r="C2494" s="25" t="inlineStr">
        <is>
          <t>S48-H북</t>
        </is>
      </c>
      <c r="D2494" s="25" t="inlineStr">
        <is>
          <t>측정</t>
        </is>
      </c>
      <c r="E2494" s="25" t="inlineStr">
        <is>
          <t>북</t>
        </is>
      </c>
      <c r="F2494" s="30" t="n">
        <v>5</v>
      </c>
      <c r="G2494" s="29" t="n"/>
      <c r="H2494" s="42" t="n"/>
      <c r="I2494" s="40" t="n"/>
      <c r="J2494" s="40" t="n"/>
      <c r="K2494" s="40" t="n"/>
      <c r="L2494" s="30">
        <f>IF(COUNT(I2494:K2494)=0,"",MEDIAN(I2494:K2494))</f>
        <v/>
      </c>
      <c r="M2494" s="25">
        <f>IF(COUNTIFS($C:$C,$C2494,$D:$D,"P0(전)",$L:$L,"&gt;0")&lt;&gt;1,"P0(전) 유효 1개 아님",IF(COUNTIFS($C:$C,$C2494,$D:$D,"P0(후)",$L:$L,"&gt;0")&lt;&gt;1,"P0(후) 유효 1개 아님",IF(NOT(AND(ISNUMBER(N2494),ISNUMBER(P2494),ISNUMBER(H2494))),"시각 결측",IF(P2494&lt;=N2494,"P0 시각 역전",IF(OR(H2494&lt;N2494,H2494&gt;P2494),"측정시각 구간 밖","OK")))))</f>
        <v/>
      </c>
      <c r="N2494" s="45">
        <f>IF(COUNTIFS($C:$C,$C2494,$D:$D,"P0(전)",$L:$L,"&gt;0")&lt;&gt;1,"",SUMIFS($H:$H,$C:$C,$C2494,$D:$D,"P0(전)"))</f>
        <v/>
      </c>
      <c r="O2494" s="30">
        <f>IF(COUNTIFS($C:$C,$C2494,$D:$D,"P0(전)",$L:$L,"&gt;0")&lt;&gt;1,"",SUMIFS($L:$L,$C:$C,$C2494,$D:$D,"P0(전)"))</f>
        <v/>
      </c>
      <c r="P2494" s="45">
        <f>IF(COUNTIFS($C:$C,$C2494,$D:$D,"P0(후)",$L:$L,"&gt;0")&lt;&gt;1,"",SUMIFS($H:$H,$C:$C,$C2494,$D:$D,"P0(후)"))</f>
        <v/>
      </c>
      <c r="Q2494" s="30">
        <f>IF(COUNTIFS($C:$C,$C2494,$D:$D,"P0(후)",$L:$L,"&gt;0")&lt;&gt;1,"",SUMIFS($L:$L,$C:$C,$C2494,$D:$D,"P0(후)"))</f>
        <v/>
      </c>
      <c r="R2494" s="30">
        <f>IF(M2494&lt;&gt;"OK","",O2494+(Q2494-O2494)*(H2494-N2494)/(P2494-N2494))</f>
        <v/>
      </c>
      <c r="S2494" s="30">
        <f>IF(OR(M2494&lt;&gt;"OK",NOT(ISNUMBER(L2494))),"",L2494-R2494)</f>
        <v/>
      </c>
      <c r="T2494" s="46">
        <f>IF(OR(NOT(ISNUMBER(S2494)),IF(ISNUMBER(G2494),G2494,F2494)=0),"",S2494/IF(ISNUMBER(G2494),G2494,F2494))</f>
        <v/>
      </c>
      <c r="U2494" s="46">
        <f>IF(ISNUMBER(T2494),ABS(T2494),"")</f>
        <v/>
      </c>
      <c r="V2494" s="46">
        <f>IF(OR($D2493&lt;&gt;"측정",$C2493&lt;&gt;$C2494,NOT(ISNUMBER(L2494)),NOT(ISNUMBER(L2493)),(IF(ISNUMBER(G2494),G2494,F2494)-IF(ISNUMBER(G2493),G2493,F2493))=0),"",(L2494-L2493)/(IF(ISNUMBER(G2494),G2494,F2494)-IF(ISNUMBER(G2493),G2493,F2493)))</f>
        <v/>
      </c>
      <c r="W2494" s="30">
        <f>IF(NOT(AND(ISNUMBER(N2494),ISNUMBER(P2494))),"",(P2494-N2494)*1440)</f>
        <v/>
      </c>
      <c r="X2494" s="28" t="n"/>
      <c r="Y2494" s="28" t="n"/>
      <c r="Z2494" s="28" t="n"/>
      <c r="AA2494" s="31" t="n"/>
      <c r="AB2494" s="31" t="n"/>
    </row>
    <row r="2495">
      <c r="A2495" s="25" t="inlineStr">
        <is>
          <t>S48</t>
        </is>
      </c>
      <c r="B2495" s="25" t="inlineStr">
        <is>
          <t>삼척</t>
        </is>
      </c>
      <c r="C2495" s="25" t="inlineStr">
        <is>
          <t>S48-H북</t>
        </is>
      </c>
      <c r="D2495" s="25" t="inlineStr">
        <is>
          <t>측정</t>
        </is>
      </c>
      <c r="E2495" s="25" t="inlineStr">
        <is>
          <t>북</t>
        </is>
      </c>
      <c r="F2495" s="30" t="n">
        <v>6</v>
      </c>
      <c r="G2495" s="29" t="n"/>
      <c r="H2495" s="42" t="n"/>
      <c r="I2495" s="40" t="n"/>
      <c r="J2495" s="40" t="n"/>
      <c r="K2495" s="40" t="n"/>
      <c r="L2495" s="30">
        <f>IF(COUNT(I2495:K2495)=0,"",MEDIAN(I2495:K2495))</f>
        <v/>
      </c>
      <c r="M2495" s="25">
        <f>IF(COUNTIFS($C:$C,$C2495,$D:$D,"P0(전)",$L:$L,"&gt;0")&lt;&gt;1,"P0(전) 유효 1개 아님",IF(COUNTIFS($C:$C,$C2495,$D:$D,"P0(후)",$L:$L,"&gt;0")&lt;&gt;1,"P0(후) 유효 1개 아님",IF(NOT(AND(ISNUMBER(N2495),ISNUMBER(P2495),ISNUMBER(H2495))),"시각 결측",IF(P2495&lt;=N2495,"P0 시각 역전",IF(OR(H2495&lt;N2495,H2495&gt;P2495),"측정시각 구간 밖","OK")))))</f>
        <v/>
      </c>
      <c r="N2495" s="45">
        <f>IF(COUNTIFS($C:$C,$C2495,$D:$D,"P0(전)",$L:$L,"&gt;0")&lt;&gt;1,"",SUMIFS($H:$H,$C:$C,$C2495,$D:$D,"P0(전)"))</f>
        <v/>
      </c>
      <c r="O2495" s="30">
        <f>IF(COUNTIFS($C:$C,$C2495,$D:$D,"P0(전)",$L:$L,"&gt;0")&lt;&gt;1,"",SUMIFS($L:$L,$C:$C,$C2495,$D:$D,"P0(전)"))</f>
        <v/>
      </c>
      <c r="P2495" s="45">
        <f>IF(COUNTIFS($C:$C,$C2495,$D:$D,"P0(후)",$L:$L,"&gt;0")&lt;&gt;1,"",SUMIFS($H:$H,$C:$C,$C2495,$D:$D,"P0(후)"))</f>
        <v/>
      </c>
      <c r="Q2495" s="30">
        <f>IF(COUNTIFS($C:$C,$C2495,$D:$D,"P0(후)",$L:$L,"&gt;0")&lt;&gt;1,"",SUMIFS($L:$L,$C:$C,$C2495,$D:$D,"P0(후)"))</f>
        <v/>
      </c>
      <c r="R2495" s="30">
        <f>IF(M2495&lt;&gt;"OK","",O2495+(Q2495-O2495)*(H2495-N2495)/(P2495-N2495))</f>
        <v/>
      </c>
      <c r="S2495" s="30">
        <f>IF(OR(M2495&lt;&gt;"OK",NOT(ISNUMBER(L2495))),"",L2495-R2495)</f>
        <v/>
      </c>
      <c r="T2495" s="46">
        <f>IF(OR(NOT(ISNUMBER(S2495)),IF(ISNUMBER(G2495),G2495,F2495)=0),"",S2495/IF(ISNUMBER(G2495),G2495,F2495))</f>
        <v/>
      </c>
      <c r="U2495" s="46">
        <f>IF(ISNUMBER(T2495),ABS(T2495),"")</f>
        <v/>
      </c>
      <c r="V2495" s="46">
        <f>IF(OR($D2494&lt;&gt;"측정",$C2494&lt;&gt;$C2495,NOT(ISNUMBER(L2495)),NOT(ISNUMBER(L2494)),(IF(ISNUMBER(G2495),G2495,F2495)-IF(ISNUMBER(G2494),G2494,F2494))=0),"",(L2495-L2494)/(IF(ISNUMBER(G2495),G2495,F2495)-IF(ISNUMBER(G2494),G2494,F2494)))</f>
        <v/>
      </c>
      <c r="W2495" s="30">
        <f>IF(NOT(AND(ISNUMBER(N2495),ISNUMBER(P2495))),"",(P2495-N2495)*1440)</f>
        <v/>
      </c>
      <c r="X2495" s="28" t="n"/>
      <c r="Y2495" s="28" t="n"/>
      <c r="Z2495" s="28" t="n"/>
      <c r="AA2495" s="31" t="n"/>
      <c r="AB2495" s="31" t="n"/>
    </row>
    <row r="2496">
      <c r="A2496" s="25" t="inlineStr">
        <is>
          <t>S48</t>
        </is>
      </c>
      <c r="B2496" s="25" t="inlineStr">
        <is>
          <t>삼척</t>
        </is>
      </c>
      <c r="C2496" s="25" t="inlineStr">
        <is>
          <t>S48-H북</t>
        </is>
      </c>
      <c r="D2496" s="25" t="inlineStr">
        <is>
          <t>측정</t>
        </is>
      </c>
      <c r="E2496" s="25" t="inlineStr">
        <is>
          <t>북</t>
        </is>
      </c>
      <c r="F2496" s="30" t="n">
        <v>7</v>
      </c>
      <c r="G2496" s="29" t="n"/>
      <c r="H2496" s="42" t="n"/>
      <c r="I2496" s="40" t="n"/>
      <c r="J2496" s="40" t="n"/>
      <c r="K2496" s="40" t="n"/>
      <c r="L2496" s="30">
        <f>IF(COUNT(I2496:K2496)=0,"",MEDIAN(I2496:K2496))</f>
        <v/>
      </c>
      <c r="M2496" s="25">
        <f>IF(COUNTIFS($C:$C,$C2496,$D:$D,"P0(전)",$L:$L,"&gt;0")&lt;&gt;1,"P0(전) 유효 1개 아님",IF(COUNTIFS($C:$C,$C2496,$D:$D,"P0(후)",$L:$L,"&gt;0")&lt;&gt;1,"P0(후) 유효 1개 아님",IF(NOT(AND(ISNUMBER(N2496),ISNUMBER(P2496),ISNUMBER(H2496))),"시각 결측",IF(P2496&lt;=N2496,"P0 시각 역전",IF(OR(H2496&lt;N2496,H2496&gt;P2496),"측정시각 구간 밖","OK")))))</f>
        <v/>
      </c>
      <c r="N2496" s="45">
        <f>IF(COUNTIFS($C:$C,$C2496,$D:$D,"P0(전)",$L:$L,"&gt;0")&lt;&gt;1,"",SUMIFS($H:$H,$C:$C,$C2496,$D:$D,"P0(전)"))</f>
        <v/>
      </c>
      <c r="O2496" s="30">
        <f>IF(COUNTIFS($C:$C,$C2496,$D:$D,"P0(전)",$L:$L,"&gt;0")&lt;&gt;1,"",SUMIFS($L:$L,$C:$C,$C2496,$D:$D,"P0(전)"))</f>
        <v/>
      </c>
      <c r="P2496" s="45">
        <f>IF(COUNTIFS($C:$C,$C2496,$D:$D,"P0(후)",$L:$L,"&gt;0")&lt;&gt;1,"",SUMIFS($H:$H,$C:$C,$C2496,$D:$D,"P0(후)"))</f>
        <v/>
      </c>
      <c r="Q2496" s="30">
        <f>IF(COUNTIFS($C:$C,$C2496,$D:$D,"P0(후)",$L:$L,"&gt;0")&lt;&gt;1,"",SUMIFS($L:$L,$C:$C,$C2496,$D:$D,"P0(후)"))</f>
        <v/>
      </c>
      <c r="R2496" s="30">
        <f>IF(M2496&lt;&gt;"OK","",O2496+(Q2496-O2496)*(H2496-N2496)/(P2496-N2496))</f>
        <v/>
      </c>
      <c r="S2496" s="30">
        <f>IF(OR(M2496&lt;&gt;"OK",NOT(ISNUMBER(L2496))),"",L2496-R2496)</f>
        <v/>
      </c>
      <c r="T2496" s="46">
        <f>IF(OR(NOT(ISNUMBER(S2496)),IF(ISNUMBER(G2496),G2496,F2496)=0),"",S2496/IF(ISNUMBER(G2496),G2496,F2496))</f>
        <v/>
      </c>
      <c r="U2496" s="46">
        <f>IF(ISNUMBER(T2496),ABS(T2496),"")</f>
        <v/>
      </c>
      <c r="V2496" s="46">
        <f>IF(OR($D2495&lt;&gt;"측정",$C2495&lt;&gt;$C2496,NOT(ISNUMBER(L2496)),NOT(ISNUMBER(L2495)),(IF(ISNUMBER(G2496),G2496,F2496)-IF(ISNUMBER(G2495),G2495,F2495))=0),"",(L2496-L2495)/(IF(ISNUMBER(G2496),G2496,F2496)-IF(ISNUMBER(G2495),G2495,F2495)))</f>
        <v/>
      </c>
      <c r="W2496" s="30">
        <f>IF(NOT(AND(ISNUMBER(N2496),ISNUMBER(P2496))),"",(P2496-N2496)*1440)</f>
        <v/>
      </c>
      <c r="X2496" s="28" t="n"/>
      <c r="Y2496" s="28" t="n"/>
      <c r="Z2496" s="28" t="n"/>
      <c r="AA2496" s="31" t="n"/>
      <c r="AB2496" s="31" t="n"/>
    </row>
    <row r="2497">
      <c r="A2497" s="25" t="inlineStr">
        <is>
          <t>S48</t>
        </is>
      </c>
      <c r="B2497" s="25" t="inlineStr">
        <is>
          <t>삼척</t>
        </is>
      </c>
      <c r="C2497" s="25" t="inlineStr">
        <is>
          <t>S48-H북</t>
        </is>
      </c>
      <c r="D2497" s="25" t="inlineStr">
        <is>
          <t>측정</t>
        </is>
      </c>
      <c r="E2497" s="25" t="inlineStr">
        <is>
          <t>북</t>
        </is>
      </c>
      <c r="F2497" s="30" t="n">
        <v>8</v>
      </c>
      <c r="G2497" s="29" t="n"/>
      <c r="H2497" s="42" t="n"/>
      <c r="I2497" s="40" t="n"/>
      <c r="J2497" s="40" t="n"/>
      <c r="K2497" s="40" t="n"/>
      <c r="L2497" s="30">
        <f>IF(COUNT(I2497:K2497)=0,"",MEDIAN(I2497:K2497))</f>
        <v/>
      </c>
      <c r="M2497" s="25">
        <f>IF(COUNTIFS($C:$C,$C2497,$D:$D,"P0(전)",$L:$L,"&gt;0")&lt;&gt;1,"P0(전) 유효 1개 아님",IF(COUNTIFS($C:$C,$C2497,$D:$D,"P0(후)",$L:$L,"&gt;0")&lt;&gt;1,"P0(후) 유효 1개 아님",IF(NOT(AND(ISNUMBER(N2497),ISNUMBER(P2497),ISNUMBER(H2497))),"시각 결측",IF(P2497&lt;=N2497,"P0 시각 역전",IF(OR(H2497&lt;N2497,H2497&gt;P2497),"측정시각 구간 밖","OK")))))</f>
        <v/>
      </c>
      <c r="N2497" s="45">
        <f>IF(COUNTIFS($C:$C,$C2497,$D:$D,"P0(전)",$L:$L,"&gt;0")&lt;&gt;1,"",SUMIFS($H:$H,$C:$C,$C2497,$D:$D,"P0(전)"))</f>
        <v/>
      </c>
      <c r="O2497" s="30">
        <f>IF(COUNTIFS($C:$C,$C2497,$D:$D,"P0(전)",$L:$L,"&gt;0")&lt;&gt;1,"",SUMIFS($L:$L,$C:$C,$C2497,$D:$D,"P0(전)"))</f>
        <v/>
      </c>
      <c r="P2497" s="45">
        <f>IF(COUNTIFS($C:$C,$C2497,$D:$D,"P0(후)",$L:$L,"&gt;0")&lt;&gt;1,"",SUMIFS($H:$H,$C:$C,$C2497,$D:$D,"P0(후)"))</f>
        <v/>
      </c>
      <c r="Q2497" s="30">
        <f>IF(COUNTIFS($C:$C,$C2497,$D:$D,"P0(후)",$L:$L,"&gt;0")&lt;&gt;1,"",SUMIFS($L:$L,$C:$C,$C2497,$D:$D,"P0(후)"))</f>
        <v/>
      </c>
      <c r="R2497" s="30">
        <f>IF(M2497&lt;&gt;"OK","",O2497+(Q2497-O2497)*(H2497-N2497)/(P2497-N2497))</f>
        <v/>
      </c>
      <c r="S2497" s="30">
        <f>IF(OR(M2497&lt;&gt;"OK",NOT(ISNUMBER(L2497))),"",L2497-R2497)</f>
        <v/>
      </c>
      <c r="T2497" s="46">
        <f>IF(OR(NOT(ISNUMBER(S2497)),IF(ISNUMBER(G2497),G2497,F2497)=0),"",S2497/IF(ISNUMBER(G2497),G2497,F2497))</f>
        <v/>
      </c>
      <c r="U2497" s="46">
        <f>IF(ISNUMBER(T2497),ABS(T2497),"")</f>
        <v/>
      </c>
      <c r="V2497" s="46">
        <f>IF(OR($D2496&lt;&gt;"측정",$C2496&lt;&gt;$C2497,NOT(ISNUMBER(L2497)),NOT(ISNUMBER(L2496)),(IF(ISNUMBER(G2497),G2497,F2497)-IF(ISNUMBER(G2496),G2496,F2496))=0),"",(L2497-L2496)/(IF(ISNUMBER(G2497),G2497,F2497)-IF(ISNUMBER(G2496),G2496,F2496)))</f>
        <v/>
      </c>
      <c r="W2497" s="30">
        <f>IF(NOT(AND(ISNUMBER(N2497),ISNUMBER(P2497))),"",(P2497-N2497)*1440)</f>
        <v/>
      </c>
      <c r="X2497" s="28" t="n"/>
      <c r="Y2497" s="28" t="n"/>
      <c r="Z2497" s="28" t="n"/>
      <c r="AA2497" s="31" t="n"/>
      <c r="AB2497" s="31" t="n"/>
    </row>
    <row r="2498">
      <c r="A2498" s="25" t="inlineStr">
        <is>
          <t>S48</t>
        </is>
      </c>
      <c r="B2498" s="25" t="inlineStr">
        <is>
          <t>삼척</t>
        </is>
      </c>
      <c r="C2498" s="25" t="inlineStr">
        <is>
          <t>S48-H북</t>
        </is>
      </c>
      <c r="D2498" s="25" t="inlineStr">
        <is>
          <t>측정</t>
        </is>
      </c>
      <c r="E2498" s="25" t="inlineStr">
        <is>
          <t>북</t>
        </is>
      </c>
      <c r="F2498" s="30" t="n">
        <v>9</v>
      </c>
      <c r="G2498" s="29" t="n"/>
      <c r="H2498" s="42" t="n"/>
      <c r="I2498" s="40" t="n"/>
      <c r="J2498" s="40" t="n"/>
      <c r="K2498" s="40" t="n"/>
      <c r="L2498" s="30">
        <f>IF(COUNT(I2498:K2498)=0,"",MEDIAN(I2498:K2498))</f>
        <v/>
      </c>
      <c r="M2498" s="25">
        <f>IF(COUNTIFS($C:$C,$C2498,$D:$D,"P0(전)",$L:$L,"&gt;0")&lt;&gt;1,"P0(전) 유효 1개 아님",IF(COUNTIFS($C:$C,$C2498,$D:$D,"P0(후)",$L:$L,"&gt;0")&lt;&gt;1,"P0(후) 유효 1개 아님",IF(NOT(AND(ISNUMBER(N2498),ISNUMBER(P2498),ISNUMBER(H2498))),"시각 결측",IF(P2498&lt;=N2498,"P0 시각 역전",IF(OR(H2498&lt;N2498,H2498&gt;P2498),"측정시각 구간 밖","OK")))))</f>
        <v/>
      </c>
      <c r="N2498" s="45">
        <f>IF(COUNTIFS($C:$C,$C2498,$D:$D,"P0(전)",$L:$L,"&gt;0")&lt;&gt;1,"",SUMIFS($H:$H,$C:$C,$C2498,$D:$D,"P0(전)"))</f>
        <v/>
      </c>
      <c r="O2498" s="30">
        <f>IF(COUNTIFS($C:$C,$C2498,$D:$D,"P0(전)",$L:$L,"&gt;0")&lt;&gt;1,"",SUMIFS($L:$L,$C:$C,$C2498,$D:$D,"P0(전)"))</f>
        <v/>
      </c>
      <c r="P2498" s="45">
        <f>IF(COUNTIFS($C:$C,$C2498,$D:$D,"P0(후)",$L:$L,"&gt;0")&lt;&gt;1,"",SUMIFS($H:$H,$C:$C,$C2498,$D:$D,"P0(후)"))</f>
        <v/>
      </c>
      <c r="Q2498" s="30">
        <f>IF(COUNTIFS($C:$C,$C2498,$D:$D,"P0(후)",$L:$L,"&gt;0")&lt;&gt;1,"",SUMIFS($L:$L,$C:$C,$C2498,$D:$D,"P0(후)"))</f>
        <v/>
      </c>
      <c r="R2498" s="30">
        <f>IF(M2498&lt;&gt;"OK","",O2498+(Q2498-O2498)*(H2498-N2498)/(P2498-N2498))</f>
        <v/>
      </c>
      <c r="S2498" s="30">
        <f>IF(OR(M2498&lt;&gt;"OK",NOT(ISNUMBER(L2498))),"",L2498-R2498)</f>
        <v/>
      </c>
      <c r="T2498" s="46">
        <f>IF(OR(NOT(ISNUMBER(S2498)),IF(ISNUMBER(G2498),G2498,F2498)=0),"",S2498/IF(ISNUMBER(G2498),G2498,F2498))</f>
        <v/>
      </c>
      <c r="U2498" s="46">
        <f>IF(ISNUMBER(T2498),ABS(T2498),"")</f>
        <v/>
      </c>
      <c r="V2498" s="46">
        <f>IF(OR($D2497&lt;&gt;"측정",$C2497&lt;&gt;$C2498,NOT(ISNUMBER(L2498)),NOT(ISNUMBER(L2497)),(IF(ISNUMBER(G2498),G2498,F2498)-IF(ISNUMBER(G2497),G2497,F2497))=0),"",(L2498-L2497)/(IF(ISNUMBER(G2498),G2498,F2498)-IF(ISNUMBER(G2497),G2497,F2497)))</f>
        <v/>
      </c>
      <c r="W2498" s="30">
        <f>IF(NOT(AND(ISNUMBER(N2498),ISNUMBER(P2498))),"",(P2498-N2498)*1440)</f>
        <v/>
      </c>
      <c r="X2498" s="28" t="n"/>
      <c r="Y2498" s="28" t="n"/>
      <c r="Z2498" s="28" t="n"/>
      <c r="AA2498" s="31" t="n"/>
      <c r="AB2498" s="31" t="n"/>
    </row>
    <row r="2499">
      <c r="A2499" s="25" t="inlineStr">
        <is>
          <t>S48</t>
        </is>
      </c>
      <c r="B2499" s="25" t="inlineStr">
        <is>
          <t>삼척</t>
        </is>
      </c>
      <c r="C2499" s="25" t="inlineStr">
        <is>
          <t>S48-H북</t>
        </is>
      </c>
      <c r="D2499" s="25" t="inlineStr">
        <is>
          <t>측정</t>
        </is>
      </c>
      <c r="E2499" s="25" t="inlineStr">
        <is>
          <t>북</t>
        </is>
      </c>
      <c r="F2499" s="30" t="n">
        <v>10</v>
      </c>
      <c r="G2499" s="29" t="n"/>
      <c r="H2499" s="42" t="n"/>
      <c r="I2499" s="40" t="n"/>
      <c r="J2499" s="40" t="n"/>
      <c r="K2499" s="40" t="n"/>
      <c r="L2499" s="30">
        <f>IF(COUNT(I2499:K2499)=0,"",MEDIAN(I2499:K2499))</f>
        <v/>
      </c>
      <c r="M2499" s="25">
        <f>IF(COUNTIFS($C:$C,$C2499,$D:$D,"P0(전)",$L:$L,"&gt;0")&lt;&gt;1,"P0(전) 유효 1개 아님",IF(COUNTIFS($C:$C,$C2499,$D:$D,"P0(후)",$L:$L,"&gt;0")&lt;&gt;1,"P0(후) 유효 1개 아님",IF(NOT(AND(ISNUMBER(N2499),ISNUMBER(P2499),ISNUMBER(H2499))),"시각 결측",IF(P2499&lt;=N2499,"P0 시각 역전",IF(OR(H2499&lt;N2499,H2499&gt;P2499),"측정시각 구간 밖","OK")))))</f>
        <v/>
      </c>
      <c r="N2499" s="45">
        <f>IF(COUNTIFS($C:$C,$C2499,$D:$D,"P0(전)",$L:$L,"&gt;0")&lt;&gt;1,"",SUMIFS($H:$H,$C:$C,$C2499,$D:$D,"P0(전)"))</f>
        <v/>
      </c>
      <c r="O2499" s="30">
        <f>IF(COUNTIFS($C:$C,$C2499,$D:$D,"P0(전)",$L:$L,"&gt;0")&lt;&gt;1,"",SUMIFS($L:$L,$C:$C,$C2499,$D:$D,"P0(전)"))</f>
        <v/>
      </c>
      <c r="P2499" s="45">
        <f>IF(COUNTIFS($C:$C,$C2499,$D:$D,"P0(후)",$L:$L,"&gt;0")&lt;&gt;1,"",SUMIFS($H:$H,$C:$C,$C2499,$D:$D,"P0(후)"))</f>
        <v/>
      </c>
      <c r="Q2499" s="30">
        <f>IF(COUNTIFS($C:$C,$C2499,$D:$D,"P0(후)",$L:$L,"&gt;0")&lt;&gt;1,"",SUMIFS($L:$L,$C:$C,$C2499,$D:$D,"P0(후)"))</f>
        <v/>
      </c>
      <c r="R2499" s="30">
        <f>IF(M2499&lt;&gt;"OK","",O2499+(Q2499-O2499)*(H2499-N2499)/(P2499-N2499))</f>
        <v/>
      </c>
      <c r="S2499" s="30">
        <f>IF(OR(M2499&lt;&gt;"OK",NOT(ISNUMBER(L2499))),"",L2499-R2499)</f>
        <v/>
      </c>
      <c r="T2499" s="46">
        <f>IF(OR(NOT(ISNUMBER(S2499)),IF(ISNUMBER(G2499),G2499,F2499)=0),"",S2499/IF(ISNUMBER(G2499),G2499,F2499))</f>
        <v/>
      </c>
      <c r="U2499" s="46">
        <f>IF(ISNUMBER(T2499),ABS(T2499),"")</f>
        <v/>
      </c>
      <c r="V2499" s="46">
        <f>IF(OR($D2498&lt;&gt;"측정",$C2498&lt;&gt;$C2499,NOT(ISNUMBER(L2499)),NOT(ISNUMBER(L2498)),(IF(ISNUMBER(G2499),G2499,F2499)-IF(ISNUMBER(G2498),G2498,F2498))=0),"",(L2499-L2498)/(IF(ISNUMBER(G2499),G2499,F2499)-IF(ISNUMBER(G2498),G2498,F2498)))</f>
        <v/>
      </c>
      <c r="W2499" s="30">
        <f>IF(NOT(AND(ISNUMBER(N2499),ISNUMBER(P2499))),"",(P2499-N2499)*1440)</f>
        <v/>
      </c>
      <c r="X2499" s="28" t="n"/>
      <c r="Y2499" s="28" t="n"/>
      <c r="Z2499" s="28" t="n"/>
      <c r="AA2499" s="31" t="n"/>
      <c r="AB2499" s="31" t="n"/>
    </row>
    <row r="2500">
      <c r="A2500" s="43" t="inlineStr">
        <is>
          <t>S48</t>
        </is>
      </c>
      <c r="B2500" s="43" t="inlineStr">
        <is>
          <t>삼척</t>
        </is>
      </c>
      <c r="C2500" s="43" t="inlineStr">
        <is>
          <t>S48-H북</t>
        </is>
      </c>
      <c r="D2500" s="43" t="inlineStr">
        <is>
          <t>P0(후)</t>
        </is>
      </c>
      <c r="E2500" s="43" t="inlineStr">
        <is>
          <t>북</t>
        </is>
      </c>
      <c r="F2500" s="44" t="n"/>
      <c r="G2500" s="29" t="n"/>
      <c r="H2500" s="42" t="n"/>
      <c r="I2500" s="40" t="n"/>
      <c r="J2500" s="40" t="n"/>
      <c r="K2500" s="40" t="n"/>
      <c r="L2500" s="30">
        <f>IF(COUNT(I2500:K2500)=0,"",MEDIAN(I2500:K2500))</f>
        <v/>
      </c>
      <c r="M2500" s="37" t="n"/>
      <c r="N2500" s="37" t="n"/>
      <c r="O2500" s="37" t="n"/>
      <c r="P2500" s="37" t="n"/>
      <c r="Q2500" s="37" t="n"/>
      <c r="R2500" s="37" t="n"/>
      <c r="S2500" s="37" t="n"/>
      <c r="T2500" s="37" t="n"/>
      <c r="U2500" s="37" t="n"/>
      <c r="V2500" s="37" t="n"/>
      <c r="W2500" s="37" t="n"/>
      <c r="X2500" s="28" t="n"/>
      <c r="Y2500" s="28" t="n"/>
      <c r="Z2500" s="28" t="n"/>
      <c r="AA2500" s="31" t="n"/>
      <c r="AB2500" s="31" t="n"/>
    </row>
    <row r="2501">
      <c r="A2501" s="43" t="inlineStr">
        <is>
          <t>S49</t>
        </is>
      </c>
      <c r="B2501" s="43" t="inlineStr">
        <is>
          <t>제천</t>
        </is>
      </c>
      <c r="C2501" s="43" t="inlineStr">
        <is>
          <t>S49-H동</t>
        </is>
      </c>
      <c r="D2501" s="43" t="inlineStr">
        <is>
          <t>P0(전)</t>
        </is>
      </c>
      <c r="E2501" s="43" t="inlineStr">
        <is>
          <t>동</t>
        </is>
      </c>
      <c r="F2501" s="44" t="n"/>
      <c r="G2501" s="29" t="n"/>
      <c r="H2501" s="42" t="n"/>
      <c r="I2501" s="40" t="n"/>
      <c r="J2501" s="40" t="n"/>
      <c r="K2501" s="40" t="n"/>
      <c r="L2501" s="30">
        <f>IF(COUNT(I2501:K2501)=0,"",MEDIAN(I2501:K2501))</f>
        <v/>
      </c>
      <c r="M2501" s="37" t="n"/>
      <c r="N2501" s="37" t="n"/>
      <c r="O2501" s="37" t="n"/>
      <c r="P2501" s="37" t="n"/>
      <c r="Q2501" s="37" t="n"/>
      <c r="R2501" s="37" t="n"/>
      <c r="S2501" s="37" t="n"/>
      <c r="T2501" s="37" t="n"/>
      <c r="U2501" s="37" t="n"/>
      <c r="V2501" s="37" t="n"/>
      <c r="W2501" s="37" t="n"/>
      <c r="X2501" s="28" t="n"/>
      <c r="Y2501" s="28" t="n"/>
      <c r="Z2501" s="28" t="n"/>
      <c r="AA2501" s="31" t="n"/>
      <c r="AB2501" s="31" t="n"/>
    </row>
    <row r="2502">
      <c r="A2502" s="25" t="inlineStr">
        <is>
          <t>S49</t>
        </is>
      </c>
      <c r="B2502" s="25" t="inlineStr">
        <is>
          <t>제천</t>
        </is>
      </c>
      <c r="C2502" s="25" t="inlineStr">
        <is>
          <t>S49-H동</t>
        </is>
      </c>
      <c r="D2502" s="25" t="inlineStr">
        <is>
          <t>측정</t>
        </is>
      </c>
      <c r="E2502" s="25" t="inlineStr">
        <is>
          <t>동</t>
        </is>
      </c>
      <c r="F2502" s="30" t="n">
        <v>0.5</v>
      </c>
      <c r="G2502" s="29" t="n"/>
      <c r="H2502" s="42" t="n"/>
      <c r="I2502" s="40" t="n"/>
      <c r="J2502" s="40" t="n"/>
      <c r="K2502" s="40" t="n"/>
      <c r="L2502" s="30">
        <f>IF(COUNT(I2502:K2502)=0,"",MEDIAN(I2502:K2502))</f>
        <v/>
      </c>
      <c r="M2502" s="25">
        <f>IF(COUNTIFS($C:$C,$C2502,$D:$D,"P0(전)",$L:$L,"&gt;0")&lt;&gt;1,"P0(전) 유효 1개 아님",IF(COUNTIFS($C:$C,$C2502,$D:$D,"P0(후)",$L:$L,"&gt;0")&lt;&gt;1,"P0(후) 유효 1개 아님",IF(NOT(AND(ISNUMBER(N2502),ISNUMBER(P2502),ISNUMBER(H2502))),"시각 결측",IF(P2502&lt;=N2502,"P0 시각 역전",IF(OR(H2502&lt;N2502,H2502&gt;P2502),"측정시각 구간 밖","OK")))))</f>
        <v/>
      </c>
      <c r="N2502" s="45">
        <f>IF(COUNTIFS($C:$C,$C2502,$D:$D,"P0(전)",$L:$L,"&gt;0")&lt;&gt;1,"",SUMIFS($H:$H,$C:$C,$C2502,$D:$D,"P0(전)"))</f>
        <v/>
      </c>
      <c r="O2502" s="30">
        <f>IF(COUNTIFS($C:$C,$C2502,$D:$D,"P0(전)",$L:$L,"&gt;0")&lt;&gt;1,"",SUMIFS($L:$L,$C:$C,$C2502,$D:$D,"P0(전)"))</f>
        <v/>
      </c>
      <c r="P2502" s="45">
        <f>IF(COUNTIFS($C:$C,$C2502,$D:$D,"P0(후)",$L:$L,"&gt;0")&lt;&gt;1,"",SUMIFS($H:$H,$C:$C,$C2502,$D:$D,"P0(후)"))</f>
        <v/>
      </c>
      <c r="Q2502" s="30">
        <f>IF(COUNTIFS($C:$C,$C2502,$D:$D,"P0(후)",$L:$L,"&gt;0")&lt;&gt;1,"",SUMIFS($L:$L,$C:$C,$C2502,$D:$D,"P0(후)"))</f>
        <v/>
      </c>
      <c r="R2502" s="30">
        <f>IF(M2502&lt;&gt;"OK","",O2502+(Q2502-O2502)*(H2502-N2502)/(P2502-N2502))</f>
        <v/>
      </c>
      <c r="S2502" s="30">
        <f>IF(OR(M2502&lt;&gt;"OK",NOT(ISNUMBER(L2502))),"",L2502-R2502)</f>
        <v/>
      </c>
      <c r="T2502" s="46">
        <f>IF(OR(NOT(ISNUMBER(S2502)),IF(ISNUMBER(G2502),G2502,F2502)=0),"",S2502/IF(ISNUMBER(G2502),G2502,F2502))</f>
        <v/>
      </c>
      <c r="U2502" s="46">
        <f>IF(ISNUMBER(T2502),ABS(T2502),"")</f>
        <v/>
      </c>
      <c r="V2502" s="46">
        <f>IF(OR($D2501&lt;&gt;"측정",$C2501&lt;&gt;$C2502,NOT(ISNUMBER(L2502)),NOT(ISNUMBER(L2501)),(IF(ISNUMBER(G2502),G2502,F2502)-IF(ISNUMBER(G2501),G2501,F2501))=0),"",(L2502-L2501)/(IF(ISNUMBER(G2502),G2502,F2502)-IF(ISNUMBER(G2501),G2501,F2501)))</f>
        <v/>
      </c>
      <c r="W2502" s="30">
        <f>IF(NOT(AND(ISNUMBER(N2502),ISNUMBER(P2502))),"",(P2502-N2502)*1440)</f>
        <v/>
      </c>
      <c r="X2502" s="28" t="n"/>
      <c r="Y2502" s="28" t="n"/>
      <c r="Z2502" s="28" t="n"/>
      <c r="AA2502" s="31" t="n"/>
      <c r="AB2502" s="31" t="n"/>
    </row>
    <row r="2503">
      <c r="A2503" s="25" t="inlineStr">
        <is>
          <t>S49</t>
        </is>
      </c>
      <c r="B2503" s="25" t="inlineStr">
        <is>
          <t>제천</t>
        </is>
      </c>
      <c r="C2503" s="25" t="inlineStr">
        <is>
          <t>S49-H동</t>
        </is>
      </c>
      <c r="D2503" s="25" t="inlineStr">
        <is>
          <t>측정</t>
        </is>
      </c>
      <c r="E2503" s="25" t="inlineStr">
        <is>
          <t>동</t>
        </is>
      </c>
      <c r="F2503" s="30" t="n">
        <v>1</v>
      </c>
      <c r="G2503" s="29" t="n"/>
      <c r="H2503" s="42" t="n"/>
      <c r="I2503" s="40" t="n"/>
      <c r="J2503" s="40" t="n"/>
      <c r="K2503" s="40" t="n"/>
      <c r="L2503" s="30">
        <f>IF(COUNT(I2503:K2503)=0,"",MEDIAN(I2503:K2503))</f>
        <v/>
      </c>
      <c r="M2503" s="25">
        <f>IF(COUNTIFS($C:$C,$C2503,$D:$D,"P0(전)",$L:$L,"&gt;0")&lt;&gt;1,"P0(전) 유효 1개 아님",IF(COUNTIFS($C:$C,$C2503,$D:$D,"P0(후)",$L:$L,"&gt;0")&lt;&gt;1,"P0(후) 유효 1개 아님",IF(NOT(AND(ISNUMBER(N2503),ISNUMBER(P2503),ISNUMBER(H2503))),"시각 결측",IF(P2503&lt;=N2503,"P0 시각 역전",IF(OR(H2503&lt;N2503,H2503&gt;P2503),"측정시각 구간 밖","OK")))))</f>
        <v/>
      </c>
      <c r="N2503" s="45">
        <f>IF(COUNTIFS($C:$C,$C2503,$D:$D,"P0(전)",$L:$L,"&gt;0")&lt;&gt;1,"",SUMIFS($H:$H,$C:$C,$C2503,$D:$D,"P0(전)"))</f>
        <v/>
      </c>
      <c r="O2503" s="30">
        <f>IF(COUNTIFS($C:$C,$C2503,$D:$D,"P0(전)",$L:$L,"&gt;0")&lt;&gt;1,"",SUMIFS($L:$L,$C:$C,$C2503,$D:$D,"P0(전)"))</f>
        <v/>
      </c>
      <c r="P2503" s="45">
        <f>IF(COUNTIFS($C:$C,$C2503,$D:$D,"P0(후)",$L:$L,"&gt;0")&lt;&gt;1,"",SUMIFS($H:$H,$C:$C,$C2503,$D:$D,"P0(후)"))</f>
        <v/>
      </c>
      <c r="Q2503" s="30">
        <f>IF(COUNTIFS($C:$C,$C2503,$D:$D,"P0(후)",$L:$L,"&gt;0")&lt;&gt;1,"",SUMIFS($L:$L,$C:$C,$C2503,$D:$D,"P0(후)"))</f>
        <v/>
      </c>
      <c r="R2503" s="30">
        <f>IF(M2503&lt;&gt;"OK","",O2503+(Q2503-O2503)*(H2503-N2503)/(P2503-N2503))</f>
        <v/>
      </c>
      <c r="S2503" s="30">
        <f>IF(OR(M2503&lt;&gt;"OK",NOT(ISNUMBER(L2503))),"",L2503-R2503)</f>
        <v/>
      </c>
      <c r="T2503" s="46">
        <f>IF(OR(NOT(ISNUMBER(S2503)),IF(ISNUMBER(G2503),G2503,F2503)=0),"",S2503/IF(ISNUMBER(G2503),G2503,F2503))</f>
        <v/>
      </c>
      <c r="U2503" s="46">
        <f>IF(ISNUMBER(T2503),ABS(T2503),"")</f>
        <v/>
      </c>
      <c r="V2503" s="46">
        <f>IF(OR($D2502&lt;&gt;"측정",$C2502&lt;&gt;$C2503,NOT(ISNUMBER(L2503)),NOT(ISNUMBER(L2502)),(IF(ISNUMBER(G2503),G2503,F2503)-IF(ISNUMBER(G2502),G2502,F2502))=0),"",(L2503-L2502)/(IF(ISNUMBER(G2503),G2503,F2503)-IF(ISNUMBER(G2502),G2502,F2502)))</f>
        <v/>
      </c>
      <c r="W2503" s="30">
        <f>IF(NOT(AND(ISNUMBER(N2503),ISNUMBER(P2503))),"",(P2503-N2503)*1440)</f>
        <v/>
      </c>
      <c r="X2503" s="28" t="n"/>
      <c r="Y2503" s="28" t="n"/>
      <c r="Z2503" s="28" t="n"/>
      <c r="AA2503" s="31" t="n"/>
      <c r="AB2503" s="31" t="n"/>
    </row>
    <row r="2504">
      <c r="A2504" s="25" t="inlineStr">
        <is>
          <t>S49</t>
        </is>
      </c>
      <c r="B2504" s="25" t="inlineStr">
        <is>
          <t>제천</t>
        </is>
      </c>
      <c r="C2504" s="25" t="inlineStr">
        <is>
          <t>S49-H동</t>
        </is>
      </c>
      <c r="D2504" s="25" t="inlineStr">
        <is>
          <t>측정</t>
        </is>
      </c>
      <c r="E2504" s="25" t="inlineStr">
        <is>
          <t>동</t>
        </is>
      </c>
      <c r="F2504" s="30" t="n">
        <v>2</v>
      </c>
      <c r="G2504" s="29" t="n"/>
      <c r="H2504" s="42" t="n"/>
      <c r="I2504" s="40" t="n"/>
      <c r="J2504" s="40" t="n"/>
      <c r="K2504" s="40" t="n"/>
      <c r="L2504" s="30">
        <f>IF(COUNT(I2504:K2504)=0,"",MEDIAN(I2504:K2504))</f>
        <v/>
      </c>
      <c r="M2504" s="25">
        <f>IF(COUNTIFS($C:$C,$C2504,$D:$D,"P0(전)",$L:$L,"&gt;0")&lt;&gt;1,"P0(전) 유효 1개 아님",IF(COUNTIFS($C:$C,$C2504,$D:$D,"P0(후)",$L:$L,"&gt;0")&lt;&gt;1,"P0(후) 유효 1개 아님",IF(NOT(AND(ISNUMBER(N2504),ISNUMBER(P2504),ISNUMBER(H2504))),"시각 결측",IF(P2504&lt;=N2504,"P0 시각 역전",IF(OR(H2504&lt;N2504,H2504&gt;P2504),"측정시각 구간 밖","OK")))))</f>
        <v/>
      </c>
      <c r="N2504" s="45">
        <f>IF(COUNTIFS($C:$C,$C2504,$D:$D,"P0(전)",$L:$L,"&gt;0")&lt;&gt;1,"",SUMIFS($H:$H,$C:$C,$C2504,$D:$D,"P0(전)"))</f>
        <v/>
      </c>
      <c r="O2504" s="30">
        <f>IF(COUNTIFS($C:$C,$C2504,$D:$D,"P0(전)",$L:$L,"&gt;0")&lt;&gt;1,"",SUMIFS($L:$L,$C:$C,$C2504,$D:$D,"P0(전)"))</f>
        <v/>
      </c>
      <c r="P2504" s="45">
        <f>IF(COUNTIFS($C:$C,$C2504,$D:$D,"P0(후)",$L:$L,"&gt;0")&lt;&gt;1,"",SUMIFS($H:$H,$C:$C,$C2504,$D:$D,"P0(후)"))</f>
        <v/>
      </c>
      <c r="Q2504" s="30">
        <f>IF(COUNTIFS($C:$C,$C2504,$D:$D,"P0(후)",$L:$L,"&gt;0")&lt;&gt;1,"",SUMIFS($L:$L,$C:$C,$C2504,$D:$D,"P0(후)"))</f>
        <v/>
      </c>
      <c r="R2504" s="30">
        <f>IF(M2504&lt;&gt;"OK","",O2504+(Q2504-O2504)*(H2504-N2504)/(P2504-N2504))</f>
        <v/>
      </c>
      <c r="S2504" s="30">
        <f>IF(OR(M2504&lt;&gt;"OK",NOT(ISNUMBER(L2504))),"",L2504-R2504)</f>
        <v/>
      </c>
      <c r="T2504" s="46">
        <f>IF(OR(NOT(ISNUMBER(S2504)),IF(ISNUMBER(G2504),G2504,F2504)=0),"",S2504/IF(ISNUMBER(G2504),G2504,F2504))</f>
        <v/>
      </c>
      <c r="U2504" s="46">
        <f>IF(ISNUMBER(T2504),ABS(T2504),"")</f>
        <v/>
      </c>
      <c r="V2504" s="46">
        <f>IF(OR($D2503&lt;&gt;"측정",$C2503&lt;&gt;$C2504,NOT(ISNUMBER(L2504)),NOT(ISNUMBER(L2503)),(IF(ISNUMBER(G2504),G2504,F2504)-IF(ISNUMBER(G2503),G2503,F2503))=0),"",(L2504-L2503)/(IF(ISNUMBER(G2504),G2504,F2504)-IF(ISNUMBER(G2503),G2503,F2503)))</f>
        <v/>
      </c>
      <c r="W2504" s="30">
        <f>IF(NOT(AND(ISNUMBER(N2504),ISNUMBER(P2504))),"",(P2504-N2504)*1440)</f>
        <v/>
      </c>
      <c r="X2504" s="28" t="n"/>
      <c r="Y2504" s="28" t="n"/>
      <c r="Z2504" s="28" t="n"/>
      <c r="AA2504" s="31" t="n"/>
      <c r="AB2504" s="31" t="n"/>
    </row>
    <row r="2505">
      <c r="A2505" s="25" t="inlineStr">
        <is>
          <t>S49</t>
        </is>
      </c>
      <c r="B2505" s="25" t="inlineStr">
        <is>
          <t>제천</t>
        </is>
      </c>
      <c r="C2505" s="25" t="inlineStr">
        <is>
          <t>S49-H동</t>
        </is>
      </c>
      <c r="D2505" s="25" t="inlineStr">
        <is>
          <t>측정</t>
        </is>
      </c>
      <c r="E2505" s="25" t="inlineStr">
        <is>
          <t>동</t>
        </is>
      </c>
      <c r="F2505" s="30" t="n">
        <v>3</v>
      </c>
      <c r="G2505" s="29" t="n"/>
      <c r="H2505" s="42" t="n"/>
      <c r="I2505" s="40" t="n"/>
      <c r="J2505" s="40" t="n"/>
      <c r="K2505" s="40" t="n"/>
      <c r="L2505" s="30">
        <f>IF(COUNT(I2505:K2505)=0,"",MEDIAN(I2505:K2505))</f>
        <v/>
      </c>
      <c r="M2505" s="25">
        <f>IF(COUNTIFS($C:$C,$C2505,$D:$D,"P0(전)",$L:$L,"&gt;0")&lt;&gt;1,"P0(전) 유효 1개 아님",IF(COUNTIFS($C:$C,$C2505,$D:$D,"P0(후)",$L:$L,"&gt;0")&lt;&gt;1,"P0(후) 유효 1개 아님",IF(NOT(AND(ISNUMBER(N2505),ISNUMBER(P2505),ISNUMBER(H2505))),"시각 결측",IF(P2505&lt;=N2505,"P0 시각 역전",IF(OR(H2505&lt;N2505,H2505&gt;P2505),"측정시각 구간 밖","OK")))))</f>
        <v/>
      </c>
      <c r="N2505" s="45">
        <f>IF(COUNTIFS($C:$C,$C2505,$D:$D,"P0(전)",$L:$L,"&gt;0")&lt;&gt;1,"",SUMIFS($H:$H,$C:$C,$C2505,$D:$D,"P0(전)"))</f>
        <v/>
      </c>
      <c r="O2505" s="30">
        <f>IF(COUNTIFS($C:$C,$C2505,$D:$D,"P0(전)",$L:$L,"&gt;0")&lt;&gt;1,"",SUMIFS($L:$L,$C:$C,$C2505,$D:$D,"P0(전)"))</f>
        <v/>
      </c>
      <c r="P2505" s="45">
        <f>IF(COUNTIFS($C:$C,$C2505,$D:$D,"P0(후)",$L:$L,"&gt;0")&lt;&gt;1,"",SUMIFS($H:$H,$C:$C,$C2505,$D:$D,"P0(후)"))</f>
        <v/>
      </c>
      <c r="Q2505" s="30">
        <f>IF(COUNTIFS($C:$C,$C2505,$D:$D,"P0(후)",$L:$L,"&gt;0")&lt;&gt;1,"",SUMIFS($L:$L,$C:$C,$C2505,$D:$D,"P0(후)"))</f>
        <v/>
      </c>
      <c r="R2505" s="30">
        <f>IF(M2505&lt;&gt;"OK","",O2505+(Q2505-O2505)*(H2505-N2505)/(P2505-N2505))</f>
        <v/>
      </c>
      <c r="S2505" s="30">
        <f>IF(OR(M2505&lt;&gt;"OK",NOT(ISNUMBER(L2505))),"",L2505-R2505)</f>
        <v/>
      </c>
      <c r="T2505" s="46">
        <f>IF(OR(NOT(ISNUMBER(S2505)),IF(ISNUMBER(G2505),G2505,F2505)=0),"",S2505/IF(ISNUMBER(G2505),G2505,F2505))</f>
        <v/>
      </c>
      <c r="U2505" s="46">
        <f>IF(ISNUMBER(T2505),ABS(T2505),"")</f>
        <v/>
      </c>
      <c r="V2505" s="46">
        <f>IF(OR($D2504&lt;&gt;"측정",$C2504&lt;&gt;$C2505,NOT(ISNUMBER(L2505)),NOT(ISNUMBER(L2504)),(IF(ISNUMBER(G2505),G2505,F2505)-IF(ISNUMBER(G2504),G2504,F2504))=0),"",(L2505-L2504)/(IF(ISNUMBER(G2505),G2505,F2505)-IF(ISNUMBER(G2504),G2504,F2504)))</f>
        <v/>
      </c>
      <c r="W2505" s="30">
        <f>IF(NOT(AND(ISNUMBER(N2505),ISNUMBER(P2505))),"",(P2505-N2505)*1440)</f>
        <v/>
      </c>
      <c r="X2505" s="28" t="n"/>
      <c r="Y2505" s="28" t="n"/>
      <c r="Z2505" s="28" t="n"/>
      <c r="AA2505" s="31" t="n"/>
      <c r="AB2505" s="31" t="n"/>
    </row>
    <row r="2506">
      <c r="A2506" s="25" t="inlineStr">
        <is>
          <t>S49</t>
        </is>
      </c>
      <c r="B2506" s="25" t="inlineStr">
        <is>
          <t>제천</t>
        </is>
      </c>
      <c r="C2506" s="25" t="inlineStr">
        <is>
          <t>S49-H동</t>
        </is>
      </c>
      <c r="D2506" s="25" t="inlineStr">
        <is>
          <t>측정</t>
        </is>
      </c>
      <c r="E2506" s="25" t="inlineStr">
        <is>
          <t>동</t>
        </is>
      </c>
      <c r="F2506" s="30" t="n">
        <v>4</v>
      </c>
      <c r="G2506" s="29" t="n"/>
      <c r="H2506" s="42" t="n"/>
      <c r="I2506" s="40" t="n"/>
      <c r="J2506" s="40" t="n"/>
      <c r="K2506" s="40" t="n"/>
      <c r="L2506" s="30">
        <f>IF(COUNT(I2506:K2506)=0,"",MEDIAN(I2506:K2506))</f>
        <v/>
      </c>
      <c r="M2506" s="25">
        <f>IF(COUNTIFS($C:$C,$C2506,$D:$D,"P0(전)",$L:$L,"&gt;0")&lt;&gt;1,"P0(전) 유효 1개 아님",IF(COUNTIFS($C:$C,$C2506,$D:$D,"P0(후)",$L:$L,"&gt;0")&lt;&gt;1,"P0(후) 유효 1개 아님",IF(NOT(AND(ISNUMBER(N2506),ISNUMBER(P2506),ISNUMBER(H2506))),"시각 결측",IF(P2506&lt;=N2506,"P0 시각 역전",IF(OR(H2506&lt;N2506,H2506&gt;P2506),"측정시각 구간 밖","OK")))))</f>
        <v/>
      </c>
      <c r="N2506" s="45">
        <f>IF(COUNTIFS($C:$C,$C2506,$D:$D,"P0(전)",$L:$L,"&gt;0")&lt;&gt;1,"",SUMIFS($H:$H,$C:$C,$C2506,$D:$D,"P0(전)"))</f>
        <v/>
      </c>
      <c r="O2506" s="30">
        <f>IF(COUNTIFS($C:$C,$C2506,$D:$D,"P0(전)",$L:$L,"&gt;0")&lt;&gt;1,"",SUMIFS($L:$L,$C:$C,$C2506,$D:$D,"P0(전)"))</f>
        <v/>
      </c>
      <c r="P2506" s="45">
        <f>IF(COUNTIFS($C:$C,$C2506,$D:$D,"P0(후)",$L:$L,"&gt;0")&lt;&gt;1,"",SUMIFS($H:$H,$C:$C,$C2506,$D:$D,"P0(후)"))</f>
        <v/>
      </c>
      <c r="Q2506" s="30">
        <f>IF(COUNTIFS($C:$C,$C2506,$D:$D,"P0(후)",$L:$L,"&gt;0")&lt;&gt;1,"",SUMIFS($L:$L,$C:$C,$C2506,$D:$D,"P0(후)"))</f>
        <v/>
      </c>
      <c r="R2506" s="30">
        <f>IF(M2506&lt;&gt;"OK","",O2506+(Q2506-O2506)*(H2506-N2506)/(P2506-N2506))</f>
        <v/>
      </c>
      <c r="S2506" s="30">
        <f>IF(OR(M2506&lt;&gt;"OK",NOT(ISNUMBER(L2506))),"",L2506-R2506)</f>
        <v/>
      </c>
      <c r="T2506" s="46">
        <f>IF(OR(NOT(ISNUMBER(S2506)),IF(ISNUMBER(G2506),G2506,F2506)=0),"",S2506/IF(ISNUMBER(G2506),G2506,F2506))</f>
        <v/>
      </c>
      <c r="U2506" s="46">
        <f>IF(ISNUMBER(T2506),ABS(T2506),"")</f>
        <v/>
      </c>
      <c r="V2506" s="46">
        <f>IF(OR($D2505&lt;&gt;"측정",$C2505&lt;&gt;$C2506,NOT(ISNUMBER(L2506)),NOT(ISNUMBER(L2505)),(IF(ISNUMBER(G2506),G2506,F2506)-IF(ISNUMBER(G2505),G2505,F2505))=0),"",(L2506-L2505)/(IF(ISNUMBER(G2506),G2506,F2506)-IF(ISNUMBER(G2505),G2505,F2505)))</f>
        <v/>
      </c>
      <c r="W2506" s="30">
        <f>IF(NOT(AND(ISNUMBER(N2506),ISNUMBER(P2506))),"",(P2506-N2506)*1440)</f>
        <v/>
      </c>
      <c r="X2506" s="28" t="n"/>
      <c r="Y2506" s="28" t="n"/>
      <c r="Z2506" s="28" t="n"/>
      <c r="AA2506" s="31" t="n"/>
      <c r="AB2506" s="31" t="n"/>
    </row>
    <row r="2507">
      <c r="A2507" s="25" t="inlineStr">
        <is>
          <t>S49</t>
        </is>
      </c>
      <c r="B2507" s="25" t="inlineStr">
        <is>
          <t>제천</t>
        </is>
      </c>
      <c r="C2507" s="25" t="inlineStr">
        <is>
          <t>S49-H동</t>
        </is>
      </c>
      <c r="D2507" s="25" t="inlineStr">
        <is>
          <t>측정</t>
        </is>
      </c>
      <c r="E2507" s="25" t="inlineStr">
        <is>
          <t>동</t>
        </is>
      </c>
      <c r="F2507" s="30" t="n">
        <v>5</v>
      </c>
      <c r="G2507" s="29" t="n"/>
      <c r="H2507" s="42" t="n"/>
      <c r="I2507" s="40" t="n"/>
      <c r="J2507" s="40" t="n"/>
      <c r="K2507" s="40" t="n"/>
      <c r="L2507" s="30">
        <f>IF(COUNT(I2507:K2507)=0,"",MEDIAN(I2507:K2507))</f>
        <v/>
      </c>
      <c r="M2507" s="25">
        <f>IF(COUNTIFS($C:$C,$C2507,$D:$D,"P0(전)",$L:$L,"&gt;0")&lt;&gt;1,"P0(전) 유효 1개 아님",IF(COUNTIFS($C:$C,$C2507,$D:$D,"P0(후)",$L:$L,"&gt;0")&lt;&gt;1,"P0(후) 유효 1개 아님",IF(NOT(AND(ISNUMBER(N2507),ISNUMBER(P2507),ISNUMBER(H2507))),"시각 결측",IF(P2507&lt;=N2507,"P0 시각 역전",IF(OR(H2507&lt;N2507,H2507&gt;P2507),"측정시각 구간 밖","OK")))))</f>
        <v/>
      </c>
      <c r="N2507" s="45">
        <f>IF(COUNTIFS($C:$C,$C2507,$D:$D,"P0(전)",$L:$L,"&gt;0")&lt;&gt;1,"",SUMIFS($H:$H,$C:$C,$C2507,$D:$D,"P0(전)"))</f>
        <v/>
      </c>
      <c r="O2507" s="30">
        <f>IF(COUNTIFS($C:$C,$C2507,$D:$D,"P0(전)",$L:$L,"&gt;0")&lt;&gt;1,"",SUMIFS($L:$L,$C:$C,$C2507,$D:$D,"P0(전)"))</f>
        <v/>
      </c>
      <c r="P2507" s="45">
        <f>IF(COUNTIFS($C:$C,$C2507,$D:$D,"P0(후)",$L:$L,"&gt;0")&lt;&gt;1,"",SUMIFS($H:$H,$C:$C,$C2507,$D:$D,"P0(후)"))</f>
        <v/>
      </c>
      <c r="Q2507" s="30">
        <f>IF(COUNTIFS($C:$C,$C2507,$D:$D,"P0(후)",$L:$L,"&gt;0")&lt;&gt;1,"",SUMIFS($L:$L,$C:$C,$C2507,$D:$D,"P0(후)"))</f>
        <v/>
      </c>
      <c r="R2507" s="30">
        <f>IF(M2507&lt;&gt;"OK","",O2507+(Q2507-O2507)*(H2507-N2507)/(P2507-N2507))</f>
        <v/>
      </c>
      <c r="S2507" s="30">
        <f>IF(OR(M2507&lt;&gt;"OK",NOT(ISNUMBER(L2507))),"",L2507-R2507)</f>
        <v/>
      </c>
      <c r="T2507" s="46">
        <f>IF(OR(NOT(ISNUMBER(S2507)),IF(ISNUMBER(G2507),G2507,F2507)=0),"",S2507/IF(ISNUMBER(G2507),G2507,F2507))</f>
        <v/>
      </c>
      <c r="U2507" s="46">
        <f>IF(ISNUMBER(T2507),ABS(T2507),"")</f>
        <v/>
      </c>
      <c r="V2507" s="46">
        <f>IF(OR($D2506&lt;&gt;"측정",$C2506&lt;&gt;$C2507,NOT(ISNUMBER(L2507)),NOT(ISNUMBER(L2506)),(IF(ISNUMBER(G2507),G2507,F2507)-IF(ISNUMBER(G2506),G2506,F2506))=0),"",(L2507-L2506)/(IF(ISNUMBER(G2507),G2507,F2507)-IF(ISNUMBER(G2506),G2506,F2506)))</f>
        <v/>
      </c>
      <c r="W2507" s="30">
        <f>IF(NOT(AND(ISNUMBER(N2507),ISNUMBER(P2507))),"",(P2507-N2507)*1440)</f>
        <v/>
      </c>
      <c r="X2507" s="28" t="n"/>
      <c r="Y2507" s="28" t="n"/>
      <c r="Z2507" s="28" t="n"/>
      <c r="AA2507" s="31" t="n"/>
      <c r="AB2507" s="31" t="n"/>
    </row>
    <row r="2508">
      <c r="A2508" s="25" t="inlineStr">
        <is>
          <t>S49</t>
        </is>
      </c>
      <c r="B2508" s="25" t="inlineStr">
        <is>
          <t>제천</t>
        </is>
      </c>
      <c r="C2508" s="25" t="inlineStr">
        <is>
          <t>S49-H동</t>
        </is>
      </c>
      <c r="D2508" s="25" t="inlineStr">
        <is>
          <t>측정</t>
        </is>
      </c>
      <c r="E2508" s="25" t="inlineStr">
        <is>
          <t>동</t>
        </is>
      </c>
      <c r="F2508" s="30" t="n">
        <v>6</v>
      </c>
      <c r="G2508" s="29" t="n"/>
      <c r="H2508" s="42" t="n"/>
      <c r="I2508" s="40" t="n"/>
      <c r="J2508" s="40" t="n"/>
      <c r="K2508" s="40" t="n"/>
      <c r="L2508" s="30">
        <f>IF(COUNT(I2508:K2508)=0,"",MEDIAN(I2508:K2508))</f>
        <v/>
      </c>
      <c r="M2508" s="25">
        <f>IF(COUNTIFS($C:$C,$C2508,$D:$D,"P0(전)",$L:$L,"&gt;0")&lt;&gt;1,"P0(전) 유효 1개 아님",IF(COUNTIFS($C:$C,$C2508,$D:$D,"P0(후)",$L:$L,"&gt;0")&lt;&gt;1,"P0(후) 유효 1개 아님",IF(NOT(AND(ISNUMBER(N2508),ISNUMBER(P2508),ISNUMBER(H2508))),"시각 결측",IF(P2508&lt;=N2508,"P0 시각 역전",IF(OR(H2508&lt;N2508,H2508&gt;P2508),"측정시각 구간 밖","OK")))))</f>
        <v/>
      </c>
      <c r="N2508" s="45">
        <f>IF(COUNTIFS($C:$C,$C2508,$D:$D,"P0(전)",$L:$L,"&gt;0")&lt;&gt;1,"",SUMIFS($H:$H,$C:$C,$C2508,$D:$D,"P0(전)"))</f>
        <v/>
      </c>
      <c r="O2508" s="30">
        <f>IF(COUNTIFS($C:$C,$C2508,$D:$D,"P0(전)",$L:$L,"&gt;0")&lt;&gt;1,"",SUMIFS($L:$L,$C:$C,$C2508,$D:$D,"P0(전)"))</f>
        <v/>
      </c>
      <c r="P2508" s="45">
        <f>IF(COUNTIFS($C:$C,$C2508,$D:$D,"P0(후)",$L:$L,"&gt;0")&lt;&gt;1,"",SUMIFS($H:$H,$C:$C,$C2508,$D:$D,"P0(후)"))</f>
        <v/>
      </c>
      <c r="Q2508" s="30">
        <f>IF(COUNTIFS($C:$C,$C2508,$D:$D,"P0(후)",$L:$L,"&gt;0")&lt;&gt;1,"",SUMIFS($L:$L,$C:$C,$C2508,$D:$D,"P0(후)"))</f>
        <v/>
      </c>
      <c r="R2508" s="30">
        <f>IF(M2508&lt;&gt;"OK","",O2508+(Q2508-O2508)*(H2508-N2508)/(P2508-N2508))</f>
        <v/>
      </c>
      <c r="S2508" s="30">
        <f>IF(OR(M2508&lt;&gt;"OK",NOT(ISNUMBER(L2508))),"",L2508-R2508)</f>
        <v/>
      </c>
      <c r="T2508" s="46">
        <f>IF(OR(NOT(ISNUMBER(S2508)),IF(ISNUMBER(G2508),G2508,F2508)=0),"",S2508/IF(ISNUMBER(G2508),G2508,F2508))</f>
        <v/>
      </c>
      <c r="U2508" s="46">
        <f>IF(ISNUMBER(T2508),ABS(T2508),"")</f>
        <v/>
      </c>
      <c r="V2508" s="46">
        <f>IF(OR($D2507&lt;&gt;"측정",$C2507&lt;&gt;$C2508,NOT(ISNUMBER(L2508)),NOT(ISNUMBER(L2507)),(IF(ISNUMBER(G2508),G2508,F2508)-IF(ISNUMBER(G2507),G2507,F2507))=0),"",(L2508-L2507)/(IF(ISNUMBER(G2508),G2508,F2508)-IF(ISNUMBER(G2507),G2507,F2507)))</f>
        <v/>
      </c>
      <c r="W2508" s="30">
        <f>IF(NOT(AND(ISNUMBER(N2508),ISNUMBER(P2508))),"",(P2508-N2508)*1440)</f>
        <v/>
      </c>
      <c r="X2508" s="28" t="n"/>
      <c r="Y2508" s="28" t="n"/>
      <c r="Z2508" s="28" t="n"/>
      <c r="AA2508" s="31" t="n"/>
      <c r="AB2508" s="31" t="n"/>
    </row>
    <row r="2509">
      <c r="A2509" s="25" t="inlineStr">
        <is>
          <t>S49</t>
        </is>
      </c>
      <c r="B2509" s="25" t="inlineStr">
        <is>
          <t>제천</t>
        </is>
      </c>
      <c r="C2509" s="25" t="inlineStr">
        <is>
          <t>S49-H동</t>
        </is>
      </c>
      <c r="D2509" s="25" t="inlineStr">
        <is>
          <t>측정</t>
        </is>
      </c>
      <c r="E2509" s="25" t="inlineStr">
        <is>
          <t>동</t>
        </is>
      </c>
      <c r="F2509" s="30" t="n">
        <v>7</v>
      </c>
      <c r="G2509" s="29" t="n"/>
      <c r="H2509" s="42" t="n"/>
      <c r="I2509" s="40" t="n"/>
      <c r="J2509" s="40" t="n"/>
      <c r="K2509" s="40" t="n"/>
      <c r="L2509" s="30">
        <f>IF(COUNT(I2509:K2509)=0,"",MEDIAN(I2509:K2509))</f>
        <v/>
      </c>
      <c r="M2509" s="25">
        <f>IF(COUNTIFS($C:$C,$C2509,$D:$D,"P0(전)",$L:$L,"&gt;0")&lt;&gt;1,"P0(전) 유효 1개 아님",IF(COUNTIFS($C:$C,$C2509,$D:$D,"P0(후)",$L:$L,"&gt;0")&lt;&gt;1,"P0(후) 유효 1개 아님",IF(NOT(AND(ISNUMBER(N2509),ISNUMBER(P2509),ISNUMBER(H2509))),"시각 결측",IF(P2509&lt;=N2509,"P0 시각 역전",IF(OR(H2509&lt;N2509,H2509&gt;P2509),"측정시각 구간 밖","OK")))))</f>
        <v/>
      </c>
      <c r="N2509" s="45">
        <f>IF(COUNTIFS($C:$C,$C2509,$D:$D,"P0(전)",$L:$L,"&gt;0")&lt;&gt;1,"",SUMIFS($H:$H,$C:$C,$C2509,$D:$D,"P0(전)"))</f>
        <v/>
      </c>
      <c r="O2509" s="30">
        <f>IF(COUNTIFS($C:$C,$C2509,$D:$D,"P0(전)",$L:$L,"&gt;0")&lt;&gt;1,"",SUMIFS($L:$L,$C:$C,$C2509,$D:$D,"P0(전)"))</f>
        <v/>
      </c>
      <c r="P2509" s="45">
        <f>IF(COUNTIFS($C:$C,$C2509,$D:$D,"P0(후)",$L:$L,"&gt;0")&lt;&gt;1,"",SUMIFS($H:$H,$C:$C,$C2509,$D:$D,"P0(후)"))</f>
        <v/>
      </c>
      <c r="Q2509" s="30">
        <f>IF(COUNTIFS($C:$C,$C2509,$D:$D,"P0(후)",$L:$L,"&gt;0")&lt;&gt;1,"",SUMIFS($L:$L,$C:$C,$C2509,$D:$D,"P0(후)"))</f>
        <v/>
      </c>
      <c r="R2509" s="30">
        <f>IF(M2509&lt;&gt;"OK","",O2509+(Q2509-O2509)*(H2509-N2509)/(P2509-N2509))</f>
        <v/>
      </c>
      <c r="S2509" s="30">
        <f>IF(OR(M2509&lt;&gt;"OK",NOT(ISNUMBER(L2509))),"",L2509-R2509)</f>
        <v/>
      </c>
      <c r="T2509" s="46">
        <f>IF(OR(NOT(ISNUMBER(S2509)),IF(ISNUMBER(G2509),G2509,F2509)=0),"",S2509/IF(ISNUMBER(G2509),G2509,F2509))</f>
        <v/>
      </c>
      <c r="U2509" s="46">
        <f>IF(ISNUMBER(T2509),ABS(T2509),"")</f>
        <v/>
      </c>
      <c r="V2509" s="46">
        <f>IF(OR($D2508&lt;&gt;"측정",$C2508&lt;&gt;$C2509,NOT(ISNUMBER(L2509)),NOT(ISNUMBER(L2508)),(IF(ISNUMBER(G2509),G2509,F2509)-IF(ISNUMBER(G2508),G2508,F2508))=0),"",(L2509-L2508)/(IF(ISNUMBER(G2509),G2509,F2509)-IF(ISNUMBER(G2508),G2508,F2508)))</f>
        <v/>
      </c>
      <c r="W2509" s="30">
        <f>IF(NOT(AND(ISNUMBER(N2509),ISNUMBER(P2509))),"",(P2509-N2509)*1440)</f>
        <v/>
      </c>
      <c r="X2509" s="28" t="n"/>
      <c r="Y2509" s="28" t="n"/>
      <c r="Z2509" s="28" t="n"/>
      <c r="AA2509" s="31" t="n"/>
      <c r="AB2509" s="31" t="n"/>
    </row>
    <row r="2510">
      <c r="A2510" s="25" t="inlineStr">
        <is>
          <t>S49</t>
        </is>
      </c>
      <c r="B2510" s="25" t="inlineStr">
        <is>
          <t>제천</t>
        </is>
      </c>
      <c r="C2510" s="25" t="inlineStr">
        <is>
          <t>S49-H동</t>
        </is>
      </c>
      <c r="D2510" s="25" t="inlineStr">
        <is>
          <t>측정</t>
        </is>
      </c>
      <c r="E2510" s="25" t="inlineStr">
        <is>
          <t>동</t>
        </is>
      </c>
      <c r="F2510" s="30" t="n">
        <v>8</v>
      </c>
      <c r="G2510" s="29" t="n"/>
      <c r="H2510" s="42" t="n"/>
      <c r="I2510" s="40" t="n"/>
      <c r="J2510" s="40" t="n"/>
      <c r="K2510" s="40" t="n"/>
      <c r="L2510" s="30">
        <f>IF(COUNT(I2510:K2510)=0,"",MEDIAN(I2510:K2510))</f>
        <v/>
      </c>
      <c r="M2510" s="25">
        <f>IF(COUNTIFS($C:$C,$C2510,$D:$D,"P0(전)",$L:$L,"&gt;0")&lt;&gt;1,"P0(전) 유효 1개 아님",IF(COUNTIFS($C:$C,$C2510,$D:$D,"P0(후)",$L:$L,"&gt;0")&lt;&gt;1,"P0(후) 유효 1개 아님",IF(NOT(AND(ISNUMBER(N2510),ISNUMBER(P2510),ISNUMBER(H2510))),"시각 결측",IF(P2510&lt;=N2510,"P0 시각 역전",IF(OR(H2510&lt;N2510,H2510&gt;P2510),"측정시각 구간 밖","OK")))))</f>
        <v/>
      </c>
      <c r="N2510" s="45">
        <f>IF(COUNTIFS($C:$C,$C2510,$D:$D,"P0(전)",$L:$L,"&gt;0")&lt;&gt;1,"",SUMIFS($H:$H,$C:$C,$C2510,$D:$D,"P0(전)"))</f>
        <v/>
      </c>
      <c r="O2510" s="30">
        <f>IF(COUNTIFS($C:$C,$C2510,$D:$D,"P0(전)",$L:$L,"&gt;0")&lt;&gt;1,"",SUMIFS($L:$L,$C:$C,$C2510,$D:$D,"P0(전)"))</f>
        <v/>
      </c>
      <c r="P2510" s="45">
        <f>IF(COUNTIFS($C:$C,$C2510,$D:$D,"P0(후)",$L:$L,"&gt;0")&lt;&gt;1,"",SUMIFS($H:$H,$C:$C,$C2510,$D:$D,"P0(후)"))</f>
        <v/>
      </c>
      <c r="Q2510" s="30">
        <f>IF(COUNTIFS($C:$C,$C2510,$D:$D,"P0(후)",$L:$L,"&gt;0")&lt;&gt;1,"",SUMIFS($L:$L,$C:$C,$C2510,$D:$D,"P0(후)"))</f>
        <v/>
      </c>
      <c r="R2510" s="30">
        <f>IF(M2510&lt;&gt;"OK","",O2510+(Q2510-O2510)*(H2510-N2510)/(P2510-N2510))</f>
        <v/>
      </c>
      <c r="S2510" s="30">
        <f>IF(OR(M2510&lt;&gt;"OK",NOT(ISNUMBER(L2510))),"",L2510-R2510)</f>
        <v/>
      </c>
      <c r="T2510" s="46">
        <f>IF(OR(NOT(ISNUMBER(S2510)),IF(ISNUMBER(G2510),G2510,F2510)=0),"",S2510/IF(ISNUMBER(G2510),G2510,F2510))</f>
        <v/>
      </c>
      <c r="U2510" s="46">
        <f>IF(ISNUMBER(T2510),ABS(T2510),"")</f>
        <v/>
      </c>
      <c r="V2510" s="46">
        <f>IF(OR($D2509&lt;&gt;"측정",$C2509&lt;&gt;$C2510,NOT(ISNUMBER(L2510)),NOT(ISNUMBER(L2509)),(IF(ISNUMBER(G2510),G2510,F2510)-IF(ISNUMBER(G2509),G2509,F2509))=0),"",(L2510-L2509)/(IF(ISNUMBER(G2510),G2510,F2510)-IF(ISNUMBER(G2509),G2509,F2509)))</f>
        <v/>
      </c>
      <c r="W2510" s="30">
        <f>IF(NOT(AND(ISNUMBER(N2510),ISNUMBER(P2510))),"",(P2510-N2510)*1440)</f>
        <v/>
      </c>
      <c r="X2510" s="28" t="n"/>
      <c r="Y2510" s="28" t="n"/>
      <c r="Z2510" s="28" t="n"/>
      <c r="AA2510" s="31" t="n"/>
      <c r="AB2510" s="31" t="n"/>
    </row>
    <row r="2511">
      <c r="A2511" s="25" t="inlineStr">
        <is>
          <t>S49</t>
        </is>
      </c>
      <c r="B2511" s="25" t="inlineStr">
        <is>
          <t>제천</t>
        </is>
      </c>
      <c r="C2511" s="25" t="inlineStr">
        <is>
          <t>S49-H동</t>
        </is>
      </c>
      <c r="D2511" s="25" t="inlineStr">
        <is>
          <t>측정</t>
        </is>
      </c>
      <c r="E2511" s="25" t="inlineStr">
        <is>
          <t>동</t>
        </is>
      </c>
      <c r="F2511" s="30" t="n">
        <v>9</v>
      </c>
      <c r="G2511" s="29" t="n"/>
      <c r="H2511" s="42" t="n"/>
      <c r="I2511" s="40" t="n"/>
      <c r="J2511" s="40" t="n"/>
      <c r="K2511" s="40" t="n"/>
      <c r="L2511" s="30">
        <f>IF(COUNT(I2511:K2511)=0,"",MEDIAN(I2511:K2511))</f>
        <v/>
      </c>
      <c r="M2511" s="25">
        <f>IF(COUNTIFS($C:$C,$C2511,$D:$D,"P0(전)",$L:$L,"&gt;0")&lt;&gt;1,"P0(전) 유효 1개 아님",IF(COUNTIFS($C:$C,$C2511,$D:$D,"P0(후)",$L:$L,"&gt;0")&lt;&gt;1,"P0(후) 유효 1개 아님",IF(NOT(AND(ISNUMBER(N2511),ISNUMBER(P2511),ISNUMBER(H2511))),"시각 결측",IF(P2511&lt;=N2511,"P0 시각 역전",IF(OR(H2511&lt;N2511,H2511&gt;P2511),"측정시각 구간 밖","OK")))))</f>
        <v/>
      </c>
      <c r="N2511" s="45">
        <f>IF(COUNTIFS($C:$C,$C2511,$D:$D,"P0(전)",$L:$L,"&gt;0")&lt;&gt;1,"",SUMIFS($H:$H,$C:$C,$C2511,$D:$D,"P0(전)"))</f>
        <v/>
      </c>
      <c r="O2511" s="30">
        <f>IF(COUNTIFS($C:$C,$C2511,$D:$D,"P0(전)",$L:$L,"&gt;0")&lt;&gt;1,"",SUMIFS($L:$L,$C:$C,$C2511,$D:$D,"P0(전)"))</f>
        <v/>
      </c>
      <c r="P2511" s="45">
        <f>IF(COUNTIFS($C:$C,$C2511,$D:$D,"P0(후)",$L:$L,"&gt;0")&lt;&gt;1,"",SUMIFS($H:$H,$C:$C,$C2511,$D:$D,"P0(후)"))</f>
        <v/>
      </c>
      <c r="Q2511" s="30">
        <f>IF(COUNTIFS($C:$C,$C2511,$D:$D,"P0(후)",$L:$L,"&gt;0")&lt;&gt;1,"",SUMIFS($L:$L,$C:$C,$C2511,$D:$D,"P0(후)"))</f>
        <v/>
      </c>
      <c r="R2511" s="30">
        <f>IF(M2511&lt;&gt;"OK","",O2511+(Q2511-O2511)*(H2511-N2511)/(P2511-N2511))</f>
        <v/>
      </c>
      <c r="S2511" s="30">
        <f>IF(OR(M2511&lt;&gt;"OK",NOT(ISNUMBER(L2511))),"",L2511-R2511)</f>
        <v/>
      </c>
      <c r="T2511" s="46">
        <f>IF(OR(NOT(ISNUMBER(S2511)),IF(ISNUMBER(G2511),G2511,F2511)=0),"",S2511/IF(ISNUMBER(G2511),G2511,F2511))</f>
        <v/>
      </c>
      <c r="U2511" s="46">
        <f>IF(ISNUMBER(T2511),ABS(T2511),"")</f>
        <v/>
      </c>
      <c r="V2511" s="46">
        <f>IF(OR($D2510&lt;&gt;"측정",$C2510&lt;&gt;$C2511,NOT(ISNUMBER(L2511)),NOT(ISNUMBER(L2510)),(IF(ISNUMBER(G2511),G2511,F2511)-IF(ISNUMBER(G2510),G2510,F2510))=0),"",(L2511-L2510)/(IF(ISNUMBER(G2511),G2511,F2511)-IF(ISNUMBER(G2510),G2510,F2510)))</f>
        <v/>
      </c>
      <c r="W2511" s="30">
        <f>IF(NOT(AND(ISNUMBER(N2511),ISNUMBER(P2511))),"",(P2511-N2511)*1440)</f>
        <v/>
      </c>
      <c r="X2511" s="28" t="n"/>
      <c r="Y2511" s="28" t="n"/>
      <c r="Z2511" s="28" t="n"/>
      <c r="AA2511" s="31" t="n"/>
      <c r="AB2511" s="31" t="n"/>
    </row>
    <row r="2512">
      <c r="A2512" s="25" t="inlineStr">
        <is>
          <t>S49</t>
        </is>
      </c>
      <c r="B2512" s="25" t="inlineStr">
        <is>
          <t>제천</t>
        </is>
      </c>
      <c r="C2512" s="25" t="inlineStr">
        <is>
          <t>S49-H동</t>
        </is>
      </c>
      <c r="D2512" s="25" t="inlineStr">
        <is>
          <t>측정</t>
        </is>
      </c>
      <c r="E2512" s="25" t="inlineStr">
        <is>
          <t>동</t>
        </is>
      </c>
      <c r="F2512" s="30" t="n">
        <v>10</v>
      </c>
      <c r="G2512" s="29" t="n"/>
      <c r="H2512" s="42" t="n"/>
      <c r="I2512" s="40" t="n"/>
      <c r="J2512" s="40" t="n"/>
      <c r="K2512" s="40" t="n"/>
      <c r="L2512" s="30">
        <f>IF(COUNT(I2512:K2512)=0,"",MEDIAN(I2512:K2512))</f>
        <v/>
      </c>
      <c r="M2512" s="25">
        <f>IF(COUNTIFS($C:$C,$C2512,$D:$D,"P0(전)",$L:$L,"&gt;0")&lt;&gt;1,"P0(전) 유효 1개 아님",IF(COUNTIFS($C:$C,$C2512,$D:$D,"P0(후)",$L:$L,"&gt;0")&lt;&gt;1,"P0(후) 유효 1개 아님",IF(NOT(AND(ISNUMBER(N2512),ISNUMBER(P2512),ISNUMBER(H2512))),"시각 결측",IF(P2512&lt;=N2512,"P0 시각 역전",IF(OR(H2512&lt;N2512,H2512&gt;P2512),"측정시각 구간 밖","OK")))))</f>
        <v/>
      </c>
      <c r="N2512" s="45">
        <f>IF(COUNTIFS($C:$C,$C2512,$D:$D,"P0(전)",$L:$L,"&gt;0")&lt;&gt;1,"",SUMIFS($H:$H,$C:$C,$C2512,$D:$D,"P0(전)"))</f>
        <v/>
      </c>
      <c r="O2512" s="30">
        <f>IF(COUNTIFS($C:$C,$C2512,$D:$D,"P0(전)",$L:$L,"&gt;0")&lt;&gt;1,"",SUMIFS($L:$L,$C:$C,$C2512,$D:$D,"P0(전)"))</f>
        <v/>
      </c>
      <c r="P2512" s="45">
        <f>IF(COUNTIFS($C:$C,$C2512,$D:$D,"P0(후)",$L:$L,"&gt;0")&lt;&gt;1,"",SUMIFS($H:$H,$C:$C,$C2512,$D:$D,"P0(후)"))</f>
        <v/>
      </c>
      <c r="Q2512" s="30">
        <f>IF(COUNTIFS($C:$C,$C2512,$D:$D,"P0(후)",$L:$L,"&gt;0")&lt;&gt;1,"",SUMIFS($L:$L,$C:$C,$C2512,$D:$D,"P0(후)"))</f>
        <v/>
      </c>
      <c r="R2512" s="30">
        <f>IF(M2512&lt;&gt;"OK","",O2512+(Q2512-O2512)*(H2512-N2512)/(P2512-N2512))</f>
        <v/>
      </c>
      <c r="S2512" s="30">
        <f>IF(OR(M2512&lt;&gt;"OK",NOT(ISNUMBER(L2512))),"",L2512-R2512)</f>
        <v/>
      </c>
      <c r="T2512" s="46">
        <f>IF(OR(NOT(ISNUMBER(S2512)),IF(ISNUMBER(G2512),G2512,F2512)=0),"",S2512/IF(ISNUMBER(G2512),G2512,F2512))</f>
        <v/>
      </c>
      <c r="U2512" s="46">
        <f>IF(ISNUMBER(T2512),ABS(T2512),"")</f>
        <v/>
      </c>
      <c r="V2512" s="46">
        <f>IF(OR($D2511&lt;&gt;"측정",$C2511&lt;&gt;$C2512,NOT(ISNUMBER(L2512)),NOT(ISNUMBER(L2511)),(IF(ISNUMBER(G2512),G2512,F2512)-IF(ISNUMBER(G2511),G2511,F2511))=0),"",(L2512-L2511)/(IF(ISNUMBER(G2512),G2512,F2512)-IF(ISNUMBER(G2511),G2511,F2511)))</f>
        <v/>
      </c>
      <c r="W2512" s="30">
        <f>IF(NOT(AND(ISNUMBER(N2512),ISNUMBER(P2512))),"",(P2512-N2512)*1440)</f>
        <v/>
      </c>
      <c r="X2512" s="28" t="n"/>
      <c r="Y2512" s="28" t="n"/>
      <c r="Z2512" s="28" t="n"/>
      <c r="AA2512" s="31" t="n"/>
      <c r="AB2512" s="31" t="n"/>
    </row>
    <row r="2513">
      <c r="A2513" s="43" t="inlineStr">
        <is>
          <t>S49</t>
        </is>
      </c>
      <c r="B2513" s="43" t="inlineStr">
        <is>
          <t>제천</t>
        </is>
      </c>
      <c r="C2513" s="43" t="inlineStr">
        <is>
          <t>S49-H동</t>
        </is>
      </c>
      <c r="D2513" s="43" t="inlineStr">
        <is>
          <t>P0(후)</t>
        </is>
      </c>
      <c r="E2513" s="43" t="inlineStr">
        <is>
          <t>동</t>
        </is>
      </c>
      <c r="F2513" s="44" t="n"/>
      <c r="G2513" s="29" t="n"/>
      <c r="H2513" s="42" t="n"/>
      <c r="I2513" s="40" t="n"/>
      <c r="J2513" s="40" t="n"/>
      <c r="K2513" s="40" t="n"/>
      <c r="L2513" s="30">
        <f>IF(COUNT(I2513:K2513)=0,"",MEDIAN(I2513:K2513))</f>
        <v/>
      </c>
      <c r="M2513" s="37" t="n"/>
      <c r="N2513" s="37" t="n"/>
      <c r="O2513" s="37" t="n"/>
      <c r="P2513" s="37" t="n"/>
      <c r="Q2513" s="37" t="n"/>
      <c r="R2513" s="37" t="n"/>
      <c r="S2513" s="37" t="n"/>
      <c r="T2513" s="37" t="n"/>
      <c r="U2513" s="37" t="n"/>
      <c r="V2513" s="37" t="n"/>
      <c r="W2513" s="37" t="n"/>
      <c r="X2513" s="28" t="n"/>
      <c r="Y2513" s="28" t="n"/>
      <c r="Z2513" s="28" t="n"/>
      <c r="AA2513" s="31" t="n"/>
      <c r="AB2513" s="31" t="n"/>
    </row>
    <row r="2514">
      <c r="A2514" s="43" t="inlineStr">
        <is>
          <t>S49</t>
        </is>
      </c>
      <c r="B2514" s="43" t="inlineStr">
        <is>
          <t>제천</t>
        </is>
      </c>
      <c r="C2514" s="43" t="inlineStr">
        <is>
          <t>S49-H서</t>
        </is>
      </c>
      <c r="D2514" s="43" t="inlineStr">
        <is>
          <t>P0(전)</t>
        </is>
      </c>
      <c r="E2514" s="43" t="inlineStr">
        <is>
          <t>서</t>
        </is>
      </c>
      <c r="F2514" s="44" t="n"/>
      <c r="G2514" s="29" t="n"/>
      <c r="H2514" s="42" t="n"/>
      <c r="I2514" s="40" t="n"/>
      <c r="J2514" s="40" t="n"/>
      <c r="K2514" s="40" t="n"/>
      <c r="L2514" s="30">
        <f>IF(COUNT(I2514:K2514)=0,"",MEDIAN(I2514:K2514))</f>
        <v/>
      </c>
      <c r="M2514" s="37" t="n"/>
      <c r="N2514" s="37" t="n"/>
      <c r="O2514" s="37" t="n"/>
      <c r="P2514" s="37" t="n"/>
      <c r="Q2514" s="37" t="n"/>
      <c r="R2514" s="37" t="n"/>
      <c r="S2514" s="37" t="n"/>
      <c r="T2514" s="37" t="n"/>
      <c r="U2514" s="37" t="n"/>
      <c r="V2514" s="37" t="n"/>
      <c r="W2514" s="37" t="n"/>
      <c r="X2514" s="28" t="n"/>
      <c r="Y2514" s="28" t="n"/>
      <c r="Z2514" s="28" t="n"/>
      <c r="AA2514" s="31" t="n"/>
      <c r="AB2514" s="31" t="n"/>
    </row>
    <row r="2515">
      <c r="A2515" s="25" t="inlineStr">
        <is>
          <t>S49</t>
        </is>
      </c>
      <c r="B2515" s="25" t="inlineStr">
        <is>
          <t>제천</t>
        </is>
      </c>
      <c r="C2515" s="25" t="inlineStr">
        <is>
          <t>S49-H서</t>
        </is>
      </c>
      <c r="D2515" s="25" t="inlineStr">
        <is>
          <t>측정</t>
        </is>
      </c>
      <c r="E2515" s="25" t="inlineStr">
        <is>
          <t>서</t>
        </is>
      </c>
      <c r="F2515" s="30" t="n">
        <v>0.5</v>
      </c>
      <c r="G2515" s="29" t="n"/>
      <c r="H2515" s="42" t="n"/>
      <c r="I2515" s="40" t="n"/>
      <c r="J2515" s="40" t="n"/>
      <c r="K2515" s="40" t="n"/>
      <c r="L2515" s="30">
        <f>IF(COUNT(I2515:K2515)=0,"",MEDIAN(I2515:K2515))</f>
        <v/>
      </c>
      <c r="M2515" s="25">
        <f>IF(COUNTIFS($C:$C,$C2515,$D:$D,"P0(전)",$L:$L,"&gt;0")&lt;&gt;1,"P0(전) 유효 1개 아님",IF(COUNTIFS($C:$C,$C2515,$D:$D,"P0(후)",$L:$L,"&gt;0")&lt;&gt;1,"P0(후) 유효 1개 아님",IF(NOT(AND(ISNUMBER(N2515),ISNUMBER(P2515),ISNUMBER(H2515))),"시각 결측",IF(P2515&lt;=N2515,"P0 시각 역전",IF(OR(H2515&lt;N2515,H2515&gt;P2515),"측정시각 구간 밖","OK")))))</f>
        <v/>
      </c>
      <c r="N2515" s="45">
        <f>IF(COUNTIFS($C:$C,$C2515,$D:$D,"P0(전)",$L:$L,"&gt;0")&lt;&gt;1,"",SUMIFS($H:$H,$C:$C,$C2515,$D:$D,"P0(전)"))</f>
        <v/>
      </c>
      <c r="O2515" s="30">
        <f>IF(COUNTIFS($C:$C,$C2515,$D:$D,"P0(전)",$L:$L,"&gt;0")&lt;&gt;1,"",SUMIFS($L:$L,$C:$C,$C2515,$D:$D,"P0(전)"))</f>
        <v/>
      </c>
      <c r="P2515" s="45">
        <f>IF(COUNTIFS($C:$C,$C2515,$D:$D,"P0(후)",$L:$L,"&gt;0")&lt;&gt;1,"",SUMIFS($H:$H,$C:$C,$C2515,$D:$D,"P0(후)"))</f>
        <v/>
      </c>
      <c r="Q2515" s="30">
        <f>IF(COUNTIFS($C:$C,$C2515,$D:$D,"P0(후)",$L:$L,"&gt;0")&lt;&gt;1,"",SUMIFS($L:$L,$C:$C,$C2515,$D:$D,"P0(후)"))</f>
        <v/>
      </c>
      <c r="R2515" s="30">
        <f>IF(M2515&lt;&gt;"OK","",O2515+(Q2515-O2515)*(H2515-N2515)/(P2515-N2515))</f>
        <v/>
      </c>
      <c r="S2515" s="30">
        <f>IF(OR(M2515&lt;&gt;"OK",NOT(ISNUMBER(L2515))),"",L2515-R2515)</f>
        <v/>
      </c>
      <c r="T2515" s="46">
        <f>IF(OR(NOT(ISNUMBER(S2515)),IF(ISNUMBER(G2515),G2515,F2515)=0),"",S2515/IF(ISNUMBER(G2515),G2515,F2515))</f>
        <v/>
      </c>
      <c r="U2515" s="46">
        <f>IF(ISNUMBER(T2515),ABS(T2515),"")</f>
        <v/>
      </c>
      <c r="V2515" s="46">
        <f>IF(OR($D2514&lt;&gt;"측정",$C2514&lt;&gt;$C2515,NOT(ISNUMBER(L2515)),NOT(ISNUMBER(L2514)),(IF(ISNUMBER(G2515),G2515,F2515)-IF(ISNUMBER(G2514),G2514,F2514))=0),"",(L2515-L2514)/(IF(ISNUMBER(G2515),G2515,F2515)-IF(ISNUMBER(G2514),G2514,F2514)))</f>
        <v/>
      </c>
      <c r="W2515" s="30">
        <f>IF(NOT(AND(ISNUMBER(N2515),ISNUMBER(P2515))),"",(P2515-N2515)*1440)</f>
        <v/>
      </c>
      <c r="X2515" s="28" t="n"/>
      <c r="Y2515" s="28" t="n"/>
      <c r="Z2515" s="28" t="n"/>
      <c r="AA2515" s="31" t="n"/>
      <c r="AB2515" s="31" t="n"/>
    </row>
    <row r="2516">
      <c r="A2516" s="25" t="inlineStr">
        <is>
          <t>S49</t>
        </is>
      </c>
      <c r="B2516" s="25" t="inlineStr">
        <is>
          <t>제천</t>
        </is>
      </c>
      <c r="C2516" s="25" t="inlineStr">
        <is>
          <t>S49-H서</t>
        </is>
      </c>
      <c r="D2516" s="25" t="inlineStr">
        <is>
          <t>측정</t>
        </is>
      </c>
      <c r="E2516" s="25" t="inlineStr">
        <is>
          <t>서</t>
        </is>
      </c>
      <c r="F2516" s="30" t="n">
        <v>1</v>
      </c>
      <c r="G2516" s="29" t="n"/>
      <c r="H2516" s="42" t="n"/>
      <c r="I2516" s="40" t="n"/>
      <c r="J2516" s="40" t="n"/>
      <c r="K2516" s="40" t="n"/>
      <c r="L2516" s="30">
        <f>IF(COUNT(I2516:K2516)=0,"",MEDIAN(I2516:K2516))</f>
        <v/>
      </c>
      <c r="M2516" s="25">
        <f>IF(COUNTIFS($C:$C,$C2516,$D:$D,"P0(전)",$L:$L,"&gt;0")&lt;&gt;1,"P0(전) 유효 1개 아님",IF(COUNTIFS($C:$C,$C2516,$D:$D,"P0(후)",$L:$L,"&gt;0")&lt;&gt;1,"P0(후) 유효 1개 아님",IF(NOT(AND(ISNUMBER(N2516),ISNUMBER(P2516),ISNUMBER(H2516))),"시각 결측",IF(P2516&lt;=N2516,"P0 시각 역전",IF(OR(H2516&lt;N2516,H2516&gt;P2516),"측정시각 구간 밖","OK")))))</f>
        <v/>
      </c>
      <c r="N2516" s="45">
        <f>IF(COUNTIFS($C:$C,$C2516,$D:$D,"P0(전)",$L:$L,"&gt;0")&lt;&gt;1,"",SUMIFS($H:$H,$C:$C,$C2516,$D:$D,"P0(전)"))</f>
        <v/>
      </c>
      <c r="O2516" s="30">
        <f>IF(COUNTIFS($C:$C,$C2516,$D:$D,"P0(전)",$L:$L,"&gt;0")&lt;&gt;1,"",SUMIFS($L:$L,$C:$C,$C2516,$D:$D,"P0(전)"))</f>
        <v/>
      </c>
      <c r="P2516" s="45">
        <f>IF(COUNTIFS($C:$C,$C2516,$D:$D,"P0(후)",$L:$L,"&gt;0")&lt;&gt;1,"",SUMIFS($H:$H,$C:$C,$C2516,$D:$D,"P0(후)"))</f>
        <v/>
      </c>
      <c r="Q2516" s="30">
        <f>IF(COUNTIFS($C:$C,$C2516,$D:$D,"P0(후)",$L:$L,"&gt;0")&lt;&gt;1,"",SUMIFS($L:$L,$C:$C,$C2516,$D:$D,"P0(후)"))</f>
        <v/>
      </c>
      <c r="R2516" s="30">
        <f>IF(M2516&lt;&gt;"OK","",O2516+(Q2516-O2516)*(H2516-N2516)/(P2516-N2516))</f>
        <v/>
      </c>
      <c r="S2516" s="30">
        <f>IF(OR(M2516&lt;&gt;"OK",NOT(ISNUMBER(L2516))),"",L2516-R2516)</f>
        <v/>
      </c>
      <c r="T2516" s="46">
        <f>IF(OR(NOT(ISNUMBER(S2516)),IF(ISNUMBER(G2516),G2516,F2516)=0),"",S2516/IF(ISNUMBER(G2516),G2516,F2516))</f>
        <v/>
      </c>
      <c r="U2516" s="46">
        <f>IF(ISNUMBER(T2516),ABS(T2516),"")</f>
        <v/>
      </c>
      <c r="V2516" s="46">
        <f>IF(OR($D2515&lt;&gt;"측정",$C2515&lt;&gt;$C2516,NOT(ISNUMBER(L2516)),NOT(ISNUMBER(L2515)),(IF(ISNUMBER(G2516),G2516,F2516)-IF(ISNUMBER(G2515),G2515,F2515))=0),"",(L2516-L2515)/(IF(ISNUMBER(G2516),G2516,F2516)-IF(ISNUMBER(G2515),G2515,F2515)))</f>
        <v/>
      </c>
      <c r="W2516" s="30">
        <f>IF(NOT(AND(ISNUMBER(N2516),ISNUMBER(P2516))),"",(P2516-N2516)*1440)</f>
        <v/>
      </c>
      <c r="X2516" s="28" t="n"/>
      <c r="Y2516" s="28" t="n"/>
      <c r="Z2516" s="28" t="n"/>
      <c r="AA2516" s="31" t="n"/>
      <c r="AB2516" s="31" t="n"/>
    </row>
    <row r="2517">
      <c r="A2517" s="25" t="inlineStr">
        <is>
          <t>S49</t>
        </is>
      </c>
      <c r="B2517" s="25" t="inlineStr">
        <is>
          <t>제천</t>
        </is>
      </c>
      <c r="C2517" s="25" t="inlineStr">
        <is>
          <t>S49-H서</t>
        </is>
      </c>
      <c r="D2517" s="25" t="inlineStr">
        <is>
          <t>측정</t>
        </is>
      </c>
      <c r="E2517" s="25" t="inlineStr">
        <is>
          <t>서</t>
        </is>
      </c>
      <c r="F2517" s="30" t="n">
        <v>2</v>
      </c>
      <c r="G2517" s="29" t="n"/>
      <c r="H2517" s="42" t="n"/>
      <c r="I2517" s="40" t="n"/>
      <c r="J2517" s="40" t="n"/>
      <c r="K2517" s="40" t="n"/>
      <c r="L2517" s="30">
        <f>IF(COUNT(I2517:K2517)=0,"",MEDIAN(I2517:K2517))</f>
        <v/>
      </c>
      <c r="M2517" s="25">
        <f>IF(COUNTIFS($C:$C,$C2517,$D:$D,"P0(전)",$L:$L,"&gt;0")&lt;&gt;1,"P0(전) 유효 1개 아님",IF(COUNTIFS($C:$C,$C2517,$D:$D,"P0(후)",$L:$L,"&gt;0")&lt;&gt;1,"P0(후) 유효 1개 아님",IF(NOT(AND(ISNUMBER(N2517),ISNUMBER(P2517),ISNUMBER(H2517))),"시각 결측",IF(P2517&lt;=N2517,"P0 시각 역전",IF(OR(H2517&lt;N2517,H2517&gt;P2517),"측정시각 구간 밖","OK")))))</f>
        <v/>
      </c>
      <c r="N2517" s="45">
        <f>IF(COUNTIFS($C:$C,$C2517,$D:$D,"P0(전)",$L:$L,"&gt;0")&lt;&gt;1,"",SUMIFS($H:$H,$C:$C,$C2517,$D:$D,"P0(전)"))</f>
        <v/>
      </c>
      <c r="O2517" s="30">
        <f>IF(COUNTIFS($C:$C,$C2517,$D:$D,"P0(전)",$L:$L,"&gt;0")&lt;&gt;1,"",SUMIFS($L:$L,$C:$C,$C2517,$D:$D,"P0(전)"))</f>
        <v/>
      </c>
      <c r="P2517" s="45">
        <f>IF(COUNTIFS($C:$C,$C2517,$D:$D,"P0(후)",$L:$L,"&gt;0")&lt;&gt;1,"",SUMIFS($H:$H,$C:$C,$C2517,$D:$D,"P0(후)"))</f>
        <v/>
      </c>
      <c r="Q2517" s="30">
        <f>IF(COUNTIFS($C:$C,$C2517,$D:$D,"P0(후)",$L:$L,"&gt;0")&lt;&gt;1,"",SUMIFS($L:$L,$C:$C,$C2517,$D:$D,"P0(후)"))</f>
        <v/>
      </c>
      <c r="R2517" s="30">
        <f>IF(M2517&lt;&gt;"OK","",O2517+(Q2517-O2517)*(H2517-N2517)/(P2517-N2517))</f>
        <v/>
      </c>
      <c r="S2517" s="30">
        <f>IF(OR(M2517&lt;&gt;"OK",NOT(ISNUMBER(L2517))),"",L2517-R2517)</f>
        <v/>
      </c>
      <c r="T2517" s="46">
        <f>IF(OR(NOT(ISNUMBER(S2517)),IF(ISNUMBER(G2517),G2517,F2517)=0),"",S2517/IF(ISNUMBER(G2517),G2517,F2517))</f>
        <v/>
      </c>
      <c r="U2517" s="46">
        <f>IF(ISNUMBER(T2517),ABS(T2517),"")</f>
        <v/>
      </c>
      <c r="V2517" s="46">
        <f>IF(OR($D2516&lt;&gt;"측정",$C2516&lt;&gt;$C2517,NOT(ISNUMBER(L2517)),NOT(ISNUMBER(L2516)),(IF(ISNUMBER(G2517),G2517,F2517)-IF(ISNUMBER(G2516),G2516,F2516))=0),"",(L2517-L2516)/(IF(ISNUMBER(G2517),G2517,F2517)-IF(ISNUMBER(G2516),G2516,F2516)))</f>
        <v/>
      </c>
      <c r="W2517" s="30">
        <f>IF(NOT(AND(ISNUMBER(N2517),ISNUMBER(P2517))),"",(P2517-N2517)*1440)</f>
        <v/>
      </c>
      <c r="X2517" s="28" t="n"/>
      <c r="Y2517" s="28" t="n"/>
      <c r="Z2517" s="28" t="n"/>
      <c r="AA2517" s="31" t="n"/>
      <c r="AB2517" s="31" t="n"/>
    </row>
    <row r="2518">
      <c r="A2518" s="25" t="inlineStr">
        <is>
          <t>S49</t>
        </is>
      </c>
      <c r="B2518" s="25" t="inlineStr">
        <is>
          <t>제천</t>
        </is>
      </c>
      <c r="C2518" s="25" t="inlineStr">
        <is>
          <t>S49-H서</t>
        </is>
      </c>
      <c r="D2518" s="25" t="inlineStr">
        <is>
          <t>측정</t>
        </is>
      </c>
      <c r="E2518" s="25" t="inlineStr">
        <is>
          <t>서</t>
        </is>
      </c>
      <c r="F2518" s="30" t="n">
        <v>3</v>
      </c>
      <c r="G2518" s="29" t="n"/>
      <c r="H2518" s="42" t="n"/>
      <c r="I2518" s="40" t="n"/>
      <c r="J2518" s="40" t="n"/>
      <c r="K2518" s="40" t="n"/>
      <c r="L2518" s="30">
        <f>IF(COUNT(I2518:K2518)=0,"",MEDIAN(I2518:K2518))</f>
        <v/>
      </c>
      <c r="M2518" s="25">
        <f>IF(COUNTIFS($C:$C,$C2518,$D:$D,"P0(전)",$L:$L,"&gt;0")&lt;&gt;1,"P0(전) 유효 1개 아님",IF(COUNTIFS($C:$C,$C2518,$D:$D,"P0(후)",$L:$L,"&gt;0")&lt;&gt;1,"P0(후) 유효 1개 아님",IF(NOT(AND(ISNUMBER(N2518),ISNUMBER(P2518),ISNUMBER(H2518))),"시각 결측",IF(P2518&lt;=N2518,"P0 시각 역전",IF(OR(H2518&lt;N2518,H2518&gt;P2518),"측정시각 구간 밖","OK")))))</f>
        <v/>
      </c>
      <c r="N2518" s="45">
        <f>IF(COUNTIFS($C:$C,$C2518,$D:$D,"P0(전)",$L:$L,"&gt;0")&lt;&gt;1,"",SUMIFS($H:$H,$C:$C,$C2518,$D:$D,"P0(전)"))</f>
        <v/>
      </c>
      <c r="O2518" s="30">
        <f>IF(COUNTIFS($C:$C,$C2518,$D:$D,"P0(전)",$L:$L,"&gt;0")&lt;&gt;1,"",SUMIFS($L:$L,$C:$C,$C2518,$D:$D,"P0(전)"))</f>
        <v/>
      </c>
      <c r="P2518" s="45">
        <f>IF(COUNTIFS($C:$C,$C2518,$D:$D,"P0(후)",$L:$L,"&gt;0")&lt;&gt;1,"",SUMIFS($H:$H,$C:$C,$C2518,$D:$D,"P0(후)"))</f>
        <v/>
      </c>
      <c r="Q2518" s="30">
        <f>IF(COUNTIFS($C:$C,$C2518,$D:$D,"P0(후)",$L:$L,"&gt;0")&lt;&gt;1,"",SUMIFS($L:$L,$C:$C,$C2518,$D:$D,"P0(후)"))</f>
        <v/>
      </c>
      <c r="R2518" s="30">
        <f>IF(M2518&lt;&gt;"OK","",O2518+(Q2518-O2518)*(H2518-N2518)/(P2518-N2518))</f>
        <v/>
      </c>
      <c r="S2518" s="30">
        <f>IF(OR(M2518&lt;&gt;"OK",NOT(ISNUMBER(L2518))),"",L2518-R2518)</f>
        <v/>
      </c>
      <c r="T2518" s="46">
        <f>IF(OR(NOT(ISNUMBER(S2518)),IF(ISNUMBER(G2518),G2518,F2518)=0),"",S2518/IF(ISNUMBER(G2518),G2518,F2518))</f>
        <v/>
      </c>
      <c r="U2518" s="46">
        <f>IF(ISNUMBER(T2518),ABS(T2518),"")</f>
        <v/>
      </c>
      <c r="V2518" s="46">
        <f>IF(OR($D2517&lt;&gt;"측정",$C2517&lt;&gt;$C2518,NOT(ISNUMBER(L2518)),NOT(ISNUMBER(L2517)),(IF(ISNUMBER(G2518),G2518,F2518)-IF(ISNUMBER(G2517),G2517,F2517))=0),"",(L2518-L2517)/(IF(ISNUMBER(G2518),G2518,F2518)-IF(ISNUMBER(G2517),G2517,F2517)))</f>
        <v/>
      </c>
      <c r="W2518" s="30">
        <f>IF(NOT(AND(ISNUMBER(N2518),ISNUMBER(P2518))),"",(P2518-N2518)*1440)</f>
        <v/>
      </c>
      <c r="X2518" s="28" t="n"/>
      <c r="Y2518" s="28" t="n"/>
      <c r="Z2518" s="28" t="n"/>
      <c r="AA2518" s="31" t="n"/>
      <c r="AB2518" s="31" t="n"/>
    </row>
    <row r="2519">
      <c r="A2519" s="25" t="inlineStr">
        <is>
          <t>S49</t>
        </is>
      </c>
      <c r="B2519" s="25" t="inlineStr">
        <is>
          <t>제천</t>
        </is>
      </c>
      <c r="C2519" s="25" t="inlineStr">
        <is>
          <t>S49-H서</t>
        </is>
      </c>
      <c r="D2519" s="25" t="inlineStr">
        <is>
          <t>측정</t>
        </is>
      </c>
      <c r="E2519" s="25" t="inlineStr">
        <is>
          <t>서</t>
        </is>
      </c>
      <c r="F2519" s="30" t="n">
        <v>4</v>
      </c>
      <c r="G2519" s="29" t="n"/>
      <c r="H2519" s="42" t="n"/>
      <c r="I2519" s="40" t="n"/>
      <c r="J2519" s="40" t="n"/>
      <c r="K2519" s="40" t="n"/>
      <c r="L2519" s="30">
        <f>IF(COUNT(I2519:K2519)=0,"",MEDIAN(I2519:K2519))</f>
        <v/>
      </c>
      <c r="M2519" s="25">
        <f>IF(COUNTIFS($C:$C,$C2519,$D:$D,"P0(전)",$L:$L,"&gt;0")&lt;&gt;1,"P0(전) 유효 1개 아님",IF(COUNTIFS($C:$C,$C2519,$D:$D,"P0(후)",$L:$L,"&gt;0")&lt;&gt;1,"P0(후) 유효 1개 아님",IF(NOT(AND(ISNUMBER(N2519),ISNUMBER(P2519),ISNUMBER(H2519))),"시각 결측",IF(P2519&lt;=N2519,"P0 시각 역전",IF(OR(H2519&lt;N2519,H2519&gt;P2519),"측정시각 구간 밖","OK")))))</f>
        <v/>
      </c>
      <c r="N2519" s="45">
        <f>IF(COUNTIFS($C:$C,$C2519,$D:$D,"P0(전)",$L:$L,"&gt;0")&lt;&gt;1,"",SUMIFS($H:$H,$C:$C,$C2519,$D:$D,"P0(전)"))</f>
        <v/>
      </c>
      <c r="O2519" s="30">
        <f>IF(COUNTIFS($C:$C,$C2519,$D:$D,"P0(전)",$L:$L,"&gt;0")&lt;&gt;1,"",SUMIFS($L:$L,$C:$C,$C2519,$D:$D,"P0(전)"))</f>
        <v/>
      </c>
      <c r="P2519" s="45">
        <f>IF(COUNTIFS($C:$C,$C2519,$D:$D,"P0(후)",$L:$L,"&gt;0")&lt;&gt;1,"",SUMIFS($H:$H,$C:$C,$C2519,$D:$D,"P0(후)"))</f>
        <v/>
      </c>
      <c r="Q2519" s="30">
        <f>IF(COUNTIFS($C:$C,$C2519,$D:$D,"P0(후)",$L:$L,"&gt;0")&lt;&gt;1,"",SUMIFS($L:$L,$C:$C,$C2519,$D:$D,"P0(후)"))</f>
        <v/>
      </c>
      <c r="R2519" s="30">
        <f>IF(M2519&lt;&gt;"OK","",O2519+(Q2519-O2519)*(H2519-N2519)/(P2519-N2519))</f>
        <v/>
      </c>
      <c r="S2519" s="30">
        <f>IF(OR(M2519&lt;&gt;"OK",NOT(ISNUMBER(L2519))),"",L2519-R2519)</f>
        <v/>
      </c>
      <c r="T2519" s="46">
        <f>IF(OR(NOT(ISNUMBER(S2519)),IF(ISNUMBER(G2519),G2519,F2519)=0),"",S2519/IF(ISNUMBER(G2519),G2519,F2519))</f>
        <v/>
      </c>
      <c r="U2519" s="46">
        <f>IF(ISNUMBER(T2519),ABS(T2519),"")</f>
        <v/>
      </c>
      <c r="V2519" s="46">
        <f>IF(OR($D2518&lt;&gt;"측정",$C2518&lt;&gt;$C2519,NOT(ISNUMBER(L2519)),NOT(ISNUMBER(L2518)),(IF(ISNUMBER(G2519),G2519,F2519)-IF(ISNUMBER(G2518),G2518,F2518))=0),"",(L2519-L2518)/(IF(ISNUMBER(G2519),G2519,F2519)-IF(ISNUMBER(G2518),G2518,F2518)))</f>
        <v/>
      </c>
      <c r="W2519" s="30">
        <f>IF(NOT(AND(ISNUMBER(N2519),ISNUMBER(P2519))),"",(P2519-N2519)*1440)</f>
        <v/>
      </c>
      <c r="X2519" s="28" t="n"/>
      <c r="Y2519" s="28" t="n"/>
      <c r="Z2519" s="28" t="n"/>
      <c r="AA2519" s="31" t="n"/>
      <c r="AB2519" s="31" t="n"/>
    </row>
    <row r="2520">
      <c r="A2520" s="25" t="inlineStr">
        <is>
          <t>S49</t>
        </is>
      </c>
      <c r="B2520" s="25" t="inlineStr">
        <is>
          <t>제천</t>
        </is>
      </c>
      <c r="C2520" s="25" t="inlineStr">
        <is>
          <t>S49-H서</t>
        </is>
      </c>
      <c r="D2520" s="25" t="inlineStr">
        <is>
          <t>측정</t>
        </is>
      </c>
      <c r="E2520" s="25" t="inlineStr">
        <is>
          <t>서</t>
        </is>
      </c>
      <c r="F2520" s="30" t="n">
        <v>5</v>
      </c>
      <c r="G2520" s="29" t="n"/>
      <c r="H2520" s="42" t="n"/>
      <c r="I2520" s="40" t="n"/>
      <c r="J2520" s="40" t="n"/>
      <c r="K2520" s="40" t="n"/>
      <c r="L2520" s="30">
        <f>IF(COUNT(I2520:K2520)=0,"",MEDIAN(I2520:K2520))</f>
        <v/>
      </c>
      <c r="M2520" s="25">
        <f>IF(COUNTIFS($C:$C,$C2520,$D:$D,"P0(전)",$L:$L,"&gt;0")&lt;&gt;1,"P0(전) 유효 1개 아님",IF(COUNTIFS($C:$C,$C2520,$D:$D,"P0(후)",$L:$L,"&gt;0")&lt;&gt;1,"P0(후) 유효 1개 아님",IF(NOT(AND(ISNUMBER(N2520),ISNUMBER(P2520),ISNUMBER(H2520))),"시각 결측",IF(P2520&lt;=N2520,"P0 시각 역전",IF(OR(H2520&lt;N2520,H2520&gt;P2520),"측정시각 구간 밖","OK")))))</f>
        <v/>
      </c>
      <c r="N2520" s="45">
        <f>IF(COUNTIFS($C:$C,$C2520,$D:$D,"P0(전)",$L:$L,"&gt;0")&lt;&gt;1,"",SUMIFS($H:$H,$C:$C,$C2520,$D:$D,"P0(전)"))</f>
        <v/>
      </c>
      <c r="O2520" s="30">
        <f>IF(COUNTIFS($C:$C,$C2520,$D:$D,"P0(전)",$L:$L,"&gt;0")&lt;&gt;1,"",SUMIFS($L:$L,$C:$C,$C2520,$D:$D,"P0(전)"))</f>
        <v/>
      </c>
      <c r="P2520" s="45">
        <f>IF(COUNTIFS($C:$C,$C2520,$D:$D,"P0(후)",$L:$L,"&gt;0")&lt;&gt;1,"",SUMIFS($H:$H,$C:$C,$C2520,$D:$D,"P0(후)"))</f>
        <v/>
      </c>
      <c r="Q2520" s="30">
        <f>IF(COUNTIFS($C:$C,$C2520,$D:$D,"P0(후)",$L:$L,"&gt;0")&lt;&gt;1,"",SUMIFS($L:$L,$C:$C,$C2520,$D:$D,"P0(후)"))</f>
        <v/>
      </c>
      <c r="R2520" s="30">
        <f>IF(M2520&lt;&gt;"OK","",O2520+(Q2520-O2520)*(H2520-N2520)/(P2520-N2520))</f>
        <v/>
      </c>
      <c r="S2520" s="30">
        <f>IF(OR(M2520&lt;&gt;"OK",NOT(ISNUMBER(L2520))),"",L2520-R2520)</f>
        <v/>
      </c>
      <c r="T2520" s="46">
        <f>IF(OR(NOT(ISNUMBER(S2520)),IF(ISNUMBER(G2520),G2520,F2520)=0),"",S2520/IF(ISNUMBER(G2520),G2520,F2520))</f>
        <v/>
      </c>
      <c r="U2520" s="46">
        <f>IF(ISNUMBER(T2520),ABS(T2520),"")</f>
        <v/>
      </c>
      <c r="V2520" s="46">
        <f>IF(OR($D2519&lt;&gt;"측정",$C2519&lt;&gt;$C2520,NOT(ISNUMBER(L2520)),NOT(ISNUMBER(L2519)),(IF(ISNUMBER(G2520),G2520,F2520)-IF(ISNUMBER(G2519),G2519,F2519))=0),"",(L2520-L2519)/(IF(ISNUMBER(G2520),G2520,F2520)-IF(ISNUMBER(G2519),G2519,F2519)))</f>
        <v/>
      </c>
      <c r="W2520" s="30">
        <f>IF(NOT(AND(ISNUMBER(N2520),ISNUMBER(P2520))),"",(P2520-N2520)*1440)</f>
        <v/>
      </c>
      <c r="X2520" s="28" t="n"/>
      <c r="Y2520" s="28" t="n"/>
      <c r="Z2520" s="28" t="n"/>
      <c r="AA2520" s="31" t="n"/>
      <c r="AB2520" s="31" t="n"/>
    </row>
    <row r="2521">
      <c r="A2521" s="25" t="inlineStr">
        <is>
          <t>S49</t>
        </is>
      </c>
      <c r="B2521" s="25" t="inlineStr">
        <is>
          <t>제천</t>
        </is>
      </c>
      <c r="C2521" s="25" t="inlineStr">
        <is>
          <t>S49-H서</t>
        </is>
      </c>
      <c r="D2521" s="25" t="inlineStr">
        <is>
          <t>측정</t>
        </is>
      </c>
      <c r="E2521" s="25" t="inlineStr">
        <is>
          <t>서</t>
        </is>
      </c>
      <c r="F2521" s="30" t="n">
        <v>6</v>
      </c>
      <c r="G2521" s="29" t="n"/>
      <c r="H2521" s="42" t="n"/>
      <c r="I2521" s="40" t="n"/>
      <c r="J2521" s="40" t="n"/>
      <c r="K2521" s="40" t="n"/>
      <c r="L2521" s="30">
        <f>IF(COUNT(I2521:K2521)=0,"",MEDIAN(I2521:K2521))</f>
        <v/>
      </c>
      <c r="M2521" s="25">
        <f>IF(COUNTIFS($C:$C,$C2521,$D:$D,"P0(전)",$L:$L,"&gt;0")&lt;&gt;1,"P0(전) 유효 1개 아님",IF(COUNTIFS($C:$C,$C2521,$D:$D,"P0(후)",$L:$L,"&gt;0")&lt;&gt;1,"P0(후) 유효 1개 아님",IF(NOT(AND(ISNUMBER(N2521),ISNUMBER(P2521),ISNUMBER(H2521))),"시각 결측",IF(P2521&lt;=N2521,"P0 시각 역전",IF(OR(H2521&lt;N2521,H2521&gt;P2521),"측정시각 구간 밖","OK")))))</f>
        <v/>
      </c>
      <c r="N2521" s="45">
        <f>IF(COUNTIFS($C:$C,$C2521,$D:$D,"P0(전)",$L:$L,"&gt;0")&lt;&gt;1,"",SUMIFS($H:$H,$C:$C,$C2521,$D:$D,"P0(전)"))</f>
        <v/>
      </c>
      <c r="O2521" s="30">
        <f>IF(COUNTIFS($C:$C,$C2521,$D:$D,"P0(전)",$L:$L,"&gt;0")&lt;&gt;1,"",SUMIFS($L:$L,$C:$C,$C2521,$D:$D,"P0(전)"))</f>
        <v/>
      </c>
      <c r="P2521" s="45">
        <f>IF(COUNTIFS($C:$C,$C2521,$D:$D,"P0(후)",$L:$L,"&gt;0")&lt;&gt;1,"",SUMIFS($H:$H,$C:$C,$C2521,$D:$D,"P0(후)"))</f>
        <v/>
      </c>
      <c r="Q2521" s="30">
        <f>IF(COUNTIFS($C:$C,$C2521,$D:$D,"P0(후)",$L:$L,"&gt;0")&lt;&gt;1,"",SUMIFS($L:$L,$C:$C,$C2521,$D:$D,"P0(후)"))</f>
        <v/>
      </c>
      <c r="R2521" s="30">
        <f>IF(M2521&lt;&gt;"OK","",O2521+(Q2521-O2521)*(H2521-N2521)/(P2521-N2521))</f>
        <v/>
      </c>
      <c r="S2521" s="30">
        <f>IF(OR(M2521&lt;&gt;"OK",NOT(ISNUMBER(L2521))),"",L2521-R2521)</f>
        <v/>
      </c>
      <c r="T2521" s="46">
        <f>IF(OR(NOT(ISNUMBER(S2521)),IF(ISNUMBER(G2521),G2521,F2521)=0),"",S2521/IF(ISNUMBER(G2521),G2521,F2521))</f>
        <v/>
      </c>
      <c r="U2521" s="46">
        <f>IF(ISNUMBER(T2521),ABS(T2521),"")</f>
        <v/>
      </c>
      <c r="V2521" s="46">
        <f>IF(OR($D2520&lt;&gt;"측정",$C2520&lt;&gt;$C2521,NOT(ISNUMBER(L2521)),NOT(ISNUMBER(L2520)),(IF(ISNUMBER(G2521),G2521,F2521)-IF(ISNUMBER(G2520),G2520,F2520))=0),"",(L2521-L2520)/(IF(ISNUMBER(G2521),G2521,F2521)-IF(ISNUMBER(G2520),G2520,F2520)))</f>
        <v/>
      </c>
      <c r="W2521" s="30">
        <f>IF(NOT(AND(ISNUMBER(N2521),ISNUMBER(P2521))),"",(P2521-N2521)*1440)</f>
        <v/>
      </c>
      <c r="X2521" s="28" t="n"/>
      <c r="Y2521" s="28" t="n"/>
      <c r="Z2521" s="28" t="n"/>
      <c r="AA2521" s="31" t="n"/>
      <c r="AB2521" s="31" t="n"/>
    </row>
    <row r="2522">
      <c r="A2522" s="25" t="inlineStr">
        <is>
          <t>S49</t>
        </is>
      </c>
      <c r="B2522" s="25" t="inlineStr">
        <is>
          <t>제천</t>
        </is>
      </c>
      <c r="C2522" s="25" t="inlineStr">
        <is>
          <t>S49-H서</t>
        </is>
      </c>
      <c r="D2522" s="25" t="inlineStr">
        <is>
          <t>측정</t>
        </is>
      </c>
      <c r="E2522" s="25" t="inlineStr">
        <is>
          <t>서</t>
        </is>
      </c>
      <c r="F2522" s="30" t="n">
        <v>7</v>
      </c>
      <c r="G2522" s="29" t="n"/>
      <c r="H2522" s="42" t="n"/>
      <c r="I2522" s="40" t="n"/>
      <c r="J2522" s="40" t="n"/>
      <c r="K2522" s="40" t="n"/>
      <c r="L2522" s="30">
        <f>IF(COUNT(I2522:K2522)=0,"",MEDIAN(I2522:K2522))</f>
        <v/>
      </c>
      <c r="M2522" s="25">
        <f>IF(COUNTIFS($C:$C,$C2522,$D:$D,"P0(전)",$L:$L,"&gt;0")&lt;&gt;1,"P0(전) 유효 1개 아님",IF(COUNTIFS($C:$C,$C2522,$D:$D,"P0(후)",$L:$L,"&gt;0")&lt;&gt;1,"P0(후) 유효 1개 아님",IF(NOT(AND(ISNUMBER(N2522),ISNUMBER(P2522),ISNUMBER(H2522))),"시각 결측",IF(P2522&lt;=N2522,"P0 시각 역전",IF(OR(H2522&lt;N2522,H2522&gt;P2522),"측정시각 구간 밖","OK")))))</f>
        <v/>
      </c>
      <c r="N2522" s="45">
        <f>IF(COUNTIFS($C:$C,$C2522,$D:$D,"P0(전)",$L:$L,"&gt;0")&lt;&gt;1,"",SUMIFS($H:$H,$C:$C,$C2522,$D:$D,"P0(전)"))</f>
        <v/>
      </c>
      <c r="O2522" s="30">
        <f>IF(COUNTIFS($C:$C,$C2522,$D:$D,"P0(전)",$L:$L,"&gt;0")&lt;&gt;1,"",SUMIFS($L:$L,$C:$C,$C2522,$D:$D,"P0(전)"))</f>
        <v/>
      </c>
      <c r="P2522" s="45">
        <f>IF(COUNTIFS($C:$C,$C2522,$D:$D,"P0(후)",$L:$L,"&gt;0")&lt;&gt;1,"",SUMIFS($H:$H,$C:$C,$C2522,$D:$D,"P0(후)"))</f>
        <v/>
      </c>
      <c r="Q2522" s="30">
        <f>IF(COUNTIFS($C:$C,$C2522,$D:$D,"P0(후)",$L:$L,"&gt;0")&lt;&gt;1,"",SUMIFS($L:$L,$C:$C,$C2522,$D:$D,"P0(후)"))</f>
        <v/>
      </c>
      <c r="R2522" s="30">
        <f>IF(M2522&lt;&gt;"OK","",O2522+(Q2522-O2522)*(H2522-N2522)/(P2522-N2522))</f>
        <v/>
      </c>
      <c r="S2522" s="30">
        <f>IF(OR(M2522&lt;&gt;"OK",NOT(ISNUMBER(L2522))),"",L2522-R2522)</f>
        <v/>
      </c>
      <c r="T2522" s="46">
        <f>IF(OR(NOT(ISNUMBER(S2522)),IF(ISNUMBER(G2522),G2522,F2522)=0),"",S2522/IF(ISNUMBER(G2522),G2522,F2522))</f>
        <v/>
      </c>
      <c r="U2522" s="46">
        <f>IF(ISNUMBER(T2522),ABS(T2522),"")</f>
        <v/>
      </c>
      <c r="V2522" s="46">
        <f>IF(OR($D2521&lt;&gt;"측정",$C2521&lt;&gt;$C2522,NOT(ISNUMBER(L2522)),NOT(ISNUMBER(L2521)),(IF(ISNUMBER(G2522),G2522,F2522)-IF(ISNUMBER(G2521),G2521,F2521))=0),"",(L2522-L2521)/(IF(ISNUMBER(G2522),G2522,F2522)-IF(ISNUMBER(G2521),G2521,F2521)))</f>
        <v/>
      </c>
      <c r="W2522" s="30">
        <f>IF(NOT(AND(ISNUMBER(N2522),ISNUMBER(P2522))),"",(P2522-N2522)*1440)</f>
        <v/>
      </c>
      <c r="X2522" s="28" t="n"/>
      <c r="Y2522" s="28" t="n"/>
      <c r="Z2522" s="28" t="n"/>
      <c r="AA2522" s="31" t="n"/>
      <c r="AB2522" s="31" t="n"/>
    </row>
    <row r="2523">
      <c r="A2523" s="25" t="inlineStr">
        <is>
          <t>S49</t>
        </is>
      </c>
      <c r="B2523" s="25" t="inlineStr">
        <is>
          <t>제천</t>
        </is>
      </c>
      <c r="C2523" s="25" t="inlineStr">
        <is>
          <t>S49-H서</t>
        </is>
      </c>
      <c r="D2523" s="25" t="inlineStr">
        <is>
          <t>측정</t>
        </is>
      </c>
      <c r="E2523" s="25" t="inlineStr">
        <is>
          <t>서</t>
        </is>
      </c>
      <c r="F2523" s="30" t="n">
        <v>8</v>
      </c>
      <c r="G2523" s="29" t="n"/>
      <c r="H2523" s="42" t="n"/>
      <c r="I2523" s="40" t="n"/>
      <c r="J2523" s="40" t="n"/>
      <c r="K2523" s="40" t="n"/>
      <c r="L2523" s="30">
        <f>IF(COUNT(I2523:K2523)=0,"",MEDIAN(I2523:K2523))</f>
        <v/>
      </c>
      <c r="M2523" s="25">
        <f>IF(COUNTIFS($C:$C,$C2523,$D:$D,"P0(전)",$L:$L,"&gt;0")&lt;&gt;1,"P0(전) 유효 1개 아님",IF(COUNTIFS($C:$C,$C2523,$D:$D,"P0(후)",$L:$L,"&gt;0")&lt;&gt;1,"P0(후) 유효 1개 아님",IF(NOT(AND(ISNUMBER(N2523),ISNUMBER(P2523),ISNUMBER(H2523))),"시각 결측",IF(P2523&lt;=N2523,"P0 시각 역전",IF(OR(H2523&lt;N2523,H2523&gt;P2523),"측정시각 구간 밖","OK")))))</f>
        <v/>
      </c>
      <c r="N2523" s="45">
        <f>IF(COUNTIFS($C:$C,$C2523,$D:$D,"P0(전)",$L:$L,"&gt;0")&lt;&gt;1,"",SUMIFS($H:$H,$C:$C,$C2523,$D:$D,"P0(전)"))</f>
        <v/>
      </c>
      <c r="O2523" s="30">
        <f>IF(COUNTIFS($C:$C,$C2523,$D:$D,"P0(전)",$L:$L,"&gt;0")&lt;&gt;1,"",SUMIFS($L:$L,$C:$C,$C2523,$D:$D,"P0(전)"))</f>
        <v/>
      </c>
      <c r="P2523" s="45">
        <f>IF(COUNTIFS($C:$C,$C2523,$D:$D,"P0(후)",$L:$L,"&gt;0")&lt;&gt;1,"",SUMIFS($H:$H,$C:$C,$C2523,$D:$D,"P0(후)"))</f>
        <v/>
      </c>
      <c r="Q2523" s="30">
        <f>IF(COUNTIFS($C:$C,$C2523,$D:$D,"P0(후)",$L:$L,"&gt;0")&lt;&gt;1,"",SUMIFS($L:$L,$C:$C,$C2523,$D:$D,"P0(후)"))</f>
        <v/>
      </c>
      <c r="R2523" s="30">
        <f>IF(M2523&lt;&gt;"OK","",O2523+(Q2523-O2523)*(H2523-N2523)/(P2523-N2523))</f>
        <v/>
      </c>
      <c r="S2523" s="30">
        <f>IF(OR(M2523&lt;&gt;"OK",NOT(ISNUMBER(L2523))),"",L2523-R2523)</f>
        <v/>
      </c>
      <c r="T2523" s="46">
        <f>IF(OR(NOT(ISNUMBER(S2523)),IF(ISNUMBER(G2523),G2523,F2523)=0),"",S2523/IF(ISNUMBER(G2523),G2523,F2523))</f>
        <v/>
      </c>
      <c r="U2523" s="46">
        <f>IF(ISNUMBER(T2523),ABS(T2523),"")</f>
        <v/>
      </c>
      <c r="V2523" s="46">
        <f>IF(OR($D2522&lt;&gt;"측정",$C2522&lt;&gt;$C2523,NOT(ISNUMBER(L2523)),NOT(ISNUMBER(L2522)),(IF(ISNUMBER(G2523),G2523,F2523)-IF(ISNUMBER(G2522),G2522,F2522))=0),"",(L2523-L2522)/(IF(ISNUMBER(G2523),G2523,F2523)-IF(ISNUMBER(G2522),G2522,F2522)))</f>
        <v/>
      </c>
      <c r="W2523" s="30">
        <f>IF(NOT(AND(ISNUMBER(N2523),ISNUMBER(P2523))),"",(P2523-N2523)*1440)</f>
        <v/>
      </c>
      <c r="X2523" s="28" t="n"/>
      <c r="Y2523" s="28" t="n"/>
      <c r="Z2523" s="28" t="n"/>
      <c r="AA2523" s="31" t="n"/>
      <c r="AB2523" s="31" t="n"/>
    </row>
    <row r="2524">
      <c r="A2524" s="25" t="inlineStr">
        <is>
          <t>S49</t>
        </is>
      </c>
      <c r="B2524" s="25" t="inlineStr">
        <is>
          <t>제천</t>
        </is>
      </c>
      <c r="C2524" s="25" t="inlineStr">
        <is>
          <t>S49-H서</t>
        </is>
      </c>
      <c r="D2524" s="25" t="inlineStr">
        <is>
          <t>측정</t>
        </is>
      </c>
      <c r="E2524" s="25" t="inlineStr">
        <is>
          <t>서</t>
        </is>
      </c>
      <c r="F2524" s="30" t="n">
        <v>9</v>
      </c>
      <c r="G2524" s="29" t="n"/>
      <c r="H2524" s="42" t="n"/>
      <c r="I2524" s="40" t="n"/>
      <c r="J2524" s="40" t="n"/>
      <c r="K2524" s="40" t="n"/>
      <c r="L2524" s="30">
        <f>IF(COUNT(I2524:K2524)=0,"",MEDIAN(I2524:K2524))</f>
        <v/>
      </c>
      <c r="M2524" s="25">
        <f>IF(COUNTIFS($C:$C,$C2524,$D:$D,"P0(전)",$L:$L,"&gt;0")&lt;&gt;1,"P0(전) 유효 1개 아님",IF(COUNTIFS($C:$C,$C2524,$D:$D,"P0(후)",$L:$L,"&gt;0")&lt;&gt;1,"P0(후) 유효 1개 아님",IF(NOT(AND(ISNUMBER(N2524),ISNUMBER(P2524),ISNUMBER(H2524))),"시각 결측",IF(P2524&lt;=N2524,"P0 시각 역전",IF(OR(H2524&lt;N2524,H2524&gt;P2524),"측정시각 구간 밖","OK")))))</f>
        <v/>
      </c>
      <c r="N2524" s="45">
        <f>IF(COUNTIFS($C:$C,$C2524,$D:$D,"P0(전)",$L:$L,"&gt;0")&lt;&gt;1,"",SUMIFS($H:$H,$C:$C,$C2524,$D:$D,"P0(전)"))</f>
        <v/>
      </c>
      <c r="O2524" s="30">
        <f>IF(COUNTIFS($C:$C,$C2524,$D:$D,"P0(전)",$L:$L,"&gt;0")&lt;&gt;1,"",SUMIFS($L:$L,$C:$C,$C2524,$D:$D,"P0(전)"))</f>
        <v/>
      </c>
      <c r="P2524" s="45">
        <f>IF(COUNTIFS($C:$C,$C2524,$D:$D,"P0(후)",$L:$L,"&gt;0")&lt;&gt;1,"",SUMIFS($H:$H,$C:$C,$C2524,$D:$D,"P0(후)"))</f>
        <v/>
      </c>
      <c r="Q2524" s="30">
        <f>IF(COUNTIFS($C:$C,$C2524,$D:$D,"P0(후)",$L:$L,"&gt;0")&lt;&gt;1,"",SUMIFS($L:$L,$C:$C,$C2524,$D:$D,"P0(후)"))</f>
        <v/>
      </c>
      <c r="R2524" s="30">
        <f>IF(M2524&lt;&gt;"OK","",O2524+(Q2524-O2524)*(H2524-N2524)/(P2524-N2524))</f>
        <v/>
      </c>
      <c r="S2524" s="30">
        <f>IF(OR(M2524&lt;&gt;"OK",NOT(ISNUMBER(L2524))),"",L2524-R2524)</f>
        <v/>
      </c>
      <c r="T2524" s="46">
        <f>IF(OR(NOT(ISNUMBER(S2524)),IF(ISNUMBER(G2524),G2524,F2524)=0),"",S2524/IF(ISNUMBER(G2524),G2524,F2524))</f>
        <v/>
      </c>
      <c r="U2524" s="46">
        <f>IF(ISNUMBER(T2524),ABS(T2524),"")</f>
        <v/>
      </c>
      <c r="V2524" s="46">
        <f>IF(OR($D2523&lt;&gt;"측정",$C2523&lt;&gt;$C2524,NOT(ISNUMBER(L2524)),NOT(ISNUMBER(L2523)),(IF(ISNUMBER(G2524),G2524,F2524)-IF(ISNUMBER(G2523),G2523,F2523))=0),"",(L2524-L2523)/(IF(ISNUMBER(G2524),G2524,F2524)-IF(ISNUMBER(G2523),G2523,F2523)))</f>
        <v/>
      </c>
      <c r="W2524" s="30">
        <f>IF(NOT(AND(ISNUMBER(N2524),ISNUMBER(P2524))),"",(P2524-N2524)*1440)</f>
        <v/>
      </c>
      <c r="X2524" s="28" t="n"/>
      <c r="Y2524" s="28" t="n"/>
      <c r="Z2524" s="28" t="n"/>
      <c r="AA2524" s="31" t="n"/>
      <c r="AB2524" s="31" t="n"/>
    </row>
    <row r="2525">
      <c r="A2525" s="25" t="inlineStr">
        <is>
          <t>S49</t>
        </is>
      </c>
      <c r="B2525" s="25" t="inlineStr">
        <is>
          <t>제천</t>
        </is>
      </c>
      <c r="C2525" s="25" t="inlineStr">
        <is>
          <t>S49-H서</t>
        </is>
      </c>
      <c r="D2525" s="25" t="inlineStr">
        <is>
          <t>측정</t>
        </is>
      </c>
      <c r="E2525" s="25" t="inlineStr">
        <is>
          <t>서</t>
        </is>
      </c>
      <c r="F2525" s="30" t="n">
        <v>10</v>
      </c>
      <c r="G2525" s="29" t="n"/>
      <c r="H2525" s="42" t="n"/>
      <c r="I2525" s="40" t="n"/>
      <c r="J2525" s="40" t="n"/>
      <c r="K2525" s="40" t="n"/>
      <c r="L2525" s="30">
        <f>IF(COUNT(I2525:K2525)=0,"",MEDIAN(I2525:K2525))</f>
        <v/>
      </c>
      <c r="M2525" s="25">
        <f>IF(COUNTIFS($C:$C,$C2525,$D:$D,"P0(전)",$L:$L,"&gt;0")&lt;&gt;1,"P0(전) 유효 1개 아님",IF(COUNTIFS($C:$C,$C2525,$D:$D,"P0(후)",$L:$L,"&gt;0")&lt;&gt;1,"P0(후) 유효 1개 아님",IF(NOT(AND(ISNUMBER(N2525),ISNUMBER(P2525),ISNUMBER(H2525))),"시각 결측",IF(P2525&lt;=N2525,"P0 시각 역전",IF(OR(H2525&lt;N2525,H2525&gt;P2525),"측정시각 구간 밖","OK")))))</f>
        <v/>
      </c>
      <c r="N2525" s="45">
        <f>IF(COUNTIFS($C:$C,$C2525,$D:$D,"P0(전)",$L:$L,"&gt;0")&lt;&gt;1,"",SUMIFS($H:$H,$C:$C,$C2525,$D:$D,"P0(전)"))</f>
        <v/>
      </c>
      <c r="O2525" s="30">
        <f>IF(COUNTIFS($C:$C,$C2525,$D:$D,"P0(전)",$L:$L,"&gt;0")&lt;&gt;1,"",SUMIFS($L:$L,$C:$C,$C2525,$D:$D,"P0(전)"))</f>
        <v/>
      </c>
      <c r="P2525" s="45">
        <f>IF(COUNTIFS($C:$C,$C2525,$D:$D,"P0(후)",$L:$L,"&gt;0")&lt;&gt;1,"",SUMIFS($H:$H,$C:$C,$C2525,$D:$D,"P0(후)"))</f>
        <v/>
      </c>
      <c r="Q2525" s="30">
        <f>IF(COUNTIFS($C:$C,$C2525,$D:$D,"P0(후)",$L:$L,"&gt;0")&lt;&gt;1,"",SUMIFS($L:$L,$C:$C,$C2525,$D:$D,"P0(후)"))</f>
        <v/>
      </c>
      <c r="R2525" s="30">
        <f>IF(M2525&lt;&gt;"OK","",O2525+(Q2525-O2525)*(H2525-N2525)/(P2525-N2525))</f>
        <v/>
      </c>
      <c r="S2525" s="30">
        <f>IF(OR(M2525&lt;&gt;"OK",NOT(ISNUMBER(L2525))),"",L2525-R2525)</f>
        <v/>
      </c>
      <c r="T2525" s="46">
        <f>IF(OR(NOT(ISNUMBER(S2525)),IF(ISNUMBER(G2525),G2525,F2525)=0),"",S2525/IF(ISNUMBER(G2525),G2525,F2525))</f>
        <v/>
      </c>
      <c r="U2525" s="46">
        <f>IF(ISNUMBER(T2525),ABS(T2525),"")</f>
        <v/>
      </c>
      <c r="V2525" s="46">
        <f>IF(OR($D2524&lt;&gt;"측정",$C2524&lt;&gt;$C2525,NOT(ISNUMBER(L2525)),NOT(ISNUMBER(L2524)),(IF(ISNUMBER(G2525),G2525,F2525)-IF(ISNUMBER(G2524),G2524,F2524))=0),"",(L2525-L2524)/(IF(ISNUMBER(G2525),G2525,F2525)-IF(ISNUMBER(G2524),G2524,F2524)))</f>
        <v/>
      </c>
      <c r="W2525" s="30">
        <f>IF(NOT(AND(ISNUMBER(N2525),ISNUMBER(P2525))),"",(P2525-N2525)*1440)</f>
        <v/>
      </c>
      <c r="X2525" s="28" t="n"/>
      <c r="Y2525" s="28" t="n"/>
      <c r="Z2525" s="28" t="n"/>
      <c r="AA2525" s="31" t="n"/>
      <c r="AB2525" s="31" t="n"/>
    </row>
    <row r="2526">
      <c r="A2526" s="43" t="inlineStr">
        <is>
          <t>S49</t>
        </is>
      </c>
      <c r="B2526" s="43" t="inlineStr">
        <is>
          <t>제천</t>
        </is>
      </c>
      <c r="C2526" s="43" t="inlineStr">
        <is>
          <t>S49-H서</t>
        </is>
      </c>
      <c r="D2526" s="43" t="inlineStr">
        <is>
          <t>P0(후)</t>
        </is>
      </c>
      <c r="E2526" s="43" t="inlineStr">
        <is>
          <t>서</t>
        </is>
      </c>
      <c r="F2526" s="44" t="n"/>
      <c r="G2526" s="29" t="n"/>
      <c r="H2526" s="42" t="n"/>
      <c r="I2526" s="40" t="n"/>
      <c r="J2526" s="40" t="n"/>
      <c r="K2526" s="40" t="n"/>
      <c r="L2526" s="30">
        <f>IF(COUNT(I2526:K2526)=0,"",MEDIAN(I2526:K2526))</f>
        <v/>
      </c>
      <c r="M2526" s="37" t="n"/>
      <c r="N2526" s="37" t="n"/>
      <c r="O2526" s="37" t="n"/>
      <c r="P2526" s="37" t="n"/>
      <c r="Q2526" s="37" t="n"/>
      <c r="R2526" s="37" t="n"/>
      <c r="S2526" s="37" t="n"/>
      <c r="T2526" s="37" t="n"/>
      <c r="U2526" s="37" t="n"/>
      <c r="V2526" s="37" t="n"/>
      <c r="W2526" s="37" t="n"/>
      <c r="X2526" s="28" t="n"/>
      <c r="Y2526" s="28" t="n"/>
      <c r="Z2526" s="28" t="n"/>
      <c r="AA2526" s="31" t="n"/>
      <c r="AB2526" s="31" t="n"/>
    </row>
    <row r="2527">
      <c r="A2527" s="43" t="inlineStr">
        <is>
          <t>S49</t>
        </is>
      </c>
      <c r="B2527" s="43" t="inlineStr">
        <is>
          <t>제천</t>
        </is>
      </c>
      <c r="C2527" s="43" t="inlineStr">
        <is>
          <t>S49-H남</t>
        </is>
      </c>
      <c r="D2527" s="43" t="inlineStr">
        <is>
          <t>P0(전)</t>
        </is>
      </c>
      <c r="E2527" s="43" t="inlineStr">
        <is>
          <t>남</t>
        </is>
      </c>
      <c r="F2527" s="44" t="n"/>
      <c r="G2527" s="29" t="n"/>
      <c r="H2527" s="42" t="n"/>
      <c r="I2527" s="40" t="n"/>
      <c r="J2527" s="40" t="n"/>
      <c r="K2527" s="40" t="n"/>
      <c r="L2527" s="30">
        <f>IF(COUNT(I2527:K2527)=0,"",MEDIAN(I2527:K2527))</f>
        <v/>
      </c>
      <c r="M2527" s="37" t="n"/>
      <c r="N2527" s="37" t="n"/>
      <c r="O2527" s="37" t="n"/>
      <c r="P2527" s="37" t="n"/>
      <c r="Q2527" s="37" t="n"/>
      <c r="R2527" s="37" t="n"/>
      <c r="S2527" s="37" t="n"/>
      <c r="T2527" s="37" t="n"/>
      <c r="U2527" s="37" t="n"/>
      <c r="V2527" s="37" t="n"/>
      <c r="W2527" s="37" t="n"/>
      <c r="X2527" s="28" t="n"/>
      <c r="Y2527" s="28" t="n"/>
      <c r="Z2527" s="28" t="n"/>
      <c r="AA2527" s="31" t="n"/>
      <c r="AB2527" s="31" t="n"/>
    </row>
    <row r="2528">
      <c r="A2528" s="25" t="inlineStr">
        <is>
          <t>S49</t>
        </is>
      </c>
      <c r="B2528" s="25" t="inlineStr">
        <is>
          <t>제천</t>
        </is>
      </c>
      <c r="C2528" s="25" t="inlineStr">
        <is>
          <t>S49-H남</t>
        </is>
      </c>
      <c r="D2528" s="25" t="inlineStr">
        <is>
          <t>측정</t>
        </is>
      </c>
      <c r="E2528" s="25" t="inlineStr">
        <is>
          <t>남</t>
        </is>
      </c>
      <c r="F2528" s="30" t="n">
        <v>0.5</v>
      </c>
      <c r="G2528" s="29" t="n"/>
      <c r="H2528" s="42" t="n"/>
      <c r="I2528" s="40" t="n"/>
      <c r="J2528" s="40" t="n"/>
      <c r="K2528" s="40" t="n"/>
      <c r="L2528" s="30">
        <f>IF(COUNT(I2528:K2528)=0,"",MEDIAN(I2528:K2528))</f>
        <v/>
      </c>
      <c r="M2528" s="25">
        <f>IF(COUNTIFS($C:$C,$C2528,$D:$D,"P0(전)",$L:$L,"&gt;0")&lt;&gt;1,"P0(전) 유효 1개 아님",IF(COUNTIFS($C:$C,$C2528,$D:$D,"P0(후)",$L:$L,"&gt;0")&lt;&gt;1,"P0(후) 유효 1개 아님",IF(NOT(AND(ISNUMBER(N2528),ISNUMBER(P2528),ISNUMBER(H2528))),"시각 결측",IF(P2528&lt;=N2528,"P0 시각 역전",IF(OR(H2528&lt;N2528,H2528&gt;P2528),"측정시각 구간 밖","OK")))))</f>
        <v/>
      </c>
      <c r="N2528" s="45">
        <f>IF(COUNTIFS($C:$C,$C2528,$D:$D,"P0(전)",$L:$L,"&gt;0")&lt;&gt;1,"",SUMIFS($H:$H,$C:$C,$C2528,$D:$D,"P0(전)"))</f>
        <v/>
      </c>
      <c r="O2528" s="30">
        <f>IF(COUNTIFS($C:$C,$C2528,$D:$D,"P0(전)",$L:$L,"&gt;0")&lt;&gt;1,"",SUMIFS($L:$L,$C:$C,$C2528,$D:$D,"P0(전)"))</f>
        <v/>
      </c>
      <c r="P2528" s="45">
        <f>IF(COUNTIFS($C:$C,$C2528,$D:$D,"P0(후)",$L:$L,"&gt;0")&lt;&gt;1,"",SUMIFS($H:$H,$C:$C,$C2528,$D:$D,"P0(후)"))</f>
        <v/>
      </c>
      <c r="Q2528" s="30">
        <f>IF(COUNTIFS($C:$C,$C2528,$D:$D,"P0(후)",$L:$L,"&gt;0")&lt;&gt;1,"",SUMIFS($L:$L,$C:$C,$C2528,$D:$D,"P0(후)"))</f>
        <v/>
      </c>
      <c r="R2528" s="30">
        <f>IF(M2528&lt;&gt;"OK","",O2528+(Q2528-O2528)*(H2528-N2528)/(P2528-N2528))</f>
        <v/>
      </c>
      <c r="S2528" s="30">
        <f>IF(OR(M2528&lt;&gt;"OK",NOT(ISNUMBER(L2528))),"",L2528-R2528)</f>
        <v/>
      </c>
      <c r="T2528" s="46">
        <f>IF(OR(NOT(ISNUMBER(S2528)),IF(ISNUMBER(G2528),G2528,F2528)=0),"",S2528/IF(ISNUMBER(G2528),G2528,F2528))</f>
        <v/>
      </c>
      <c r="U2528" s="46">
        <f>IF(ISNUMBER(T2528),ABS(T2528),"")</f>
        <v/>
      </c>
      <c r="V2528" s="46">
        <f>IF(OR($D2527&lt;&gt;"측정",$C2527&lt;&gt;$C2528,NOT(ISNUMBER(L2528)),NOT(ISNUMBER(L2527)),(IF(ISNUMBER(G2528),G2528,F2528)-IF(ISNUMBER(G2527),G2527,F2527))=0),"",(L2528-L2527)/(IF(ISNUMBER(G2528),G2528,F2528)-IF(ISNUMBER(G2527),G2527,F2527)))</f>
        <v/>
      </c>
      <c r="W2528" s="30">
        <f>IF(NOT(AND(ISNUMBER(N2528),ISNUMBER(P2528))),"",(P2528-N2528)*1440)</f>
        <v/>
      </c>
      <c r="X2528" s="28" t="n"/>
      <c r="Y2528" s="28" t="n"/>
      <c r="Z2528" s="28" t="n"/>
      <c r="AA2528" s="31" t="n"/>
      <c r="AB2528" s="31" t="n"/>
    </row>
    <row r="2529">
      <c r="A2529" s="25" t="inlineStr">
        <is>
          <t>S49</t>
        </is>
      </c>
      <c r="B2529" s="25" t="inlineStr">
        <is>
          <t>제천</t>
        </is>
      </c>
      <c r="C2529" s="25" t="inlineStr">
        <is>
          <t>S49-H남</t>
        </is>
      </c>
      <c r="D2529" s="25" t="inlineStr">
        <is>
          <t>측정</t>
        </is>
      </c>
      <c r="E2529" s="25" t="inlineStr">
        <is>
          <t>남</t>
        </is>
      </c>
      <c r="F2529" s="30" t="n">
        <v>1</v>
      </c>
      <c r="G2529" s="29" t="n"/>
      <c r="H2529" s="42" t="n"/>
      <c r="I2529" s="40" t="n"/>
      <c r="J2529" s="40" t="n"/>
      <c r="K2529" s="40" t="n"/>
      <c r="L2529" s="30">
        <f>IF(COUNT(I2529:K2529)=0,"",MEDIAN(I2529:K2529))</f>
        <v/>
      </c>
      <c r="M2529" s="25">
        <f>IF(COUNTIFS($C:$C,$C2529,$D:$D,"P0(전)",$L:$L,"&gt;0")&lt;&gt;1,"P0(전) 유효 1개 아님",IF(COUNTIFS($C:$C,$C2529,$D:$D,"P0(후)",$L:$L,"&gt;0")&lt;&gt;1,"P0(후) 유효 1개 아님",IF(NOT(AND(ISNUMBER(N2529),ISNUMBER(P2529),ISNUMBER(H2529))),"시각 결측",IF(P2529&lt;=N2529,"P0 시각 역전",IF(OR(H2529&lt;N2529,H2529&gt;P2529),"측정시각 구간 밖","OK")))))</f>
        <v/>
      </c>
      <c r="N2529" s="45">
        <f>IF(COUNTIFS($C:$C,$C2529,$D:$D,"P0(전)",$L:$L,"&gt;0")&lt;&gt;1,"",SUMIFS($H:$H,$C:$C,$C2529,$D:$D,"P0(전)"))</f>
        <v/>
      </c>
      <c r="O2529" s="30">
        <f>IF(COUNTIFS($C:$C,$C2529,$D:$D,"P0(전)",$L:$L,"&gt;0")&lt;&gt;1,"",SUMIFS($L:$L,$C:$C,$C2529,$D:$D,"P0(전)"))</f>
        <v/>
      </c>
      <c r="P2529" s="45">
        <f>IF(COUNTIFS($C:$C,$C2529,$D:$D,"P0(후)",$L:$L,"&gt;0")&lt;&gt;1,"",SUMIFS($H:$H,$C:$C,$C2529,$D:$D,"P0(후)"))</f>
        <v/>
      </c>
      <c r="Q2529" s="30">
        <f>IF(COUNTIFS($C:$C,$C2529,$D:$D,"P0(후)",$L:$L,"&gt;0")&lt;&gt;1,"",SUMIFS($L:$L,$C:$C,$C2529,$D:$D,"P0(후)"))</f>
        <v/>
      </c>
      <c r="R2529" s="30">
        <f>IF(M2529&lt;&gt;"OK","",O2529+(Q2529-O2529)*(H2529-N2529)/(P2529-N2529))</f>
        <v/>
      </c>
      <c r="S2529" s="30">
        <f>IF(OR(M2529&lt;&gt;"OK",NOT(ISNUMBER(L2529))),"",L2529-R2529)</f>
        <v/>
      </c>
      <c r="T2529" s="46">
        <f>IF(OR(NOT(ISNUMBER(S2529)),IF(ISNUMBER(G2529),G2529,F2529)=0),"",S2529/IF(ISNUMBER(G2529),G2529,F2529))</f>
        <v/>
      </c>
      <c r="U2529" s="46">
        <f>IF(ISNUMBER(T2529),ABS(T2529),"")</f>
        <v/>
      </c>
      <c r="V2529" s="46">
        <f>IF(OR($D2528&lt;&gt;"측정",$C2528&lt;&gt;$C2529,NOT(ISNUMBER(L2529)),NOT(ISNUMBER(L2528)),(IF(ISNUMBER(G2529),G2529,F2529)-IF(ISNUMBER(G2528),G2528,F2528))=0),"",(L2529-L2528)/(IF(ISNUMBER(G2529),G2529,F2529)-IF(ISNUMBER(G2528),G2528,F2528)))</f>
        <v/>
      </c>
      <c r="W2529" s="30">
        <f>IF(NOT(AND(ISNUMBER(N2529),ISNUMBER(P2529))),"",(P2529-N2529)*1440)</f>
        <v/>
      </c>
      <c r="X2529" s="28" t="n"/>
      <c r="Y2529" s="28" t="n"/>
      <c r="Z2529" s="28" t="n"/>
      <c r="AA2529" s="31" t="n"/>
      <c r="AB2529" s="31" t="n"/>
    </row>
    <row r="2530">
      <c r="A2530" s="25" t="inlineStr">
        <is>
          <t>S49</t>
        </is>
      </c>
      <c r="B2530" s="25" t="inlineStr">
        <is>
          <t>제천</t>
        </is>
      </c>
      <c r="C2530" s="25" t="inlineStr">
        <is>
          <t>S49-H남</t>
        </is>
      </c>
      <c r="D2530" s="25" t="inlineStr">
        <is>
          <t>측정</t>
        </is>
      </c>
      <c r="E2530" s="25" t="inlineStr">
        <is>
          <t>남</t>
        </is>
      </c>
      <c r="F2530" s="30" t="n">
        <v>2</v>
      </c>
      <c r="G2530" s="29" t="n"/>
      <c r="H2530" s="42" t="n"/>
      <c r="I2530" s="40" t="n"/>
      <c r="J2530" s="40" t="n"/>
      <c r="K2530" s="40" t="n"/>
      <c r="L2530" s="30">
        <f>IF(COUNT(I2530:K2530)=0,"",MEDIAN(I2530:K2530))</f>
        <v/>
      </c>
      <c r="M2530" s="25">
        <f>IF(COUNTIFS($C:$C,$C2530,$D:$D,"P0(전)",$L:$L,"&gt;0")&lt;&gt;1,"P0(전) 유효 1개 아님",IF(COUNTIFS($C:$C,$C2530,$D:$D,"P0(후)",$L:$L,"&gt;0")&lt;&gt;1,"P0(후) 유효 1개 아님",IF(NOT(AND(ISNUMBER(N2530),ISNUMBER(P2530),ISNUMBER(H2530))),"시각 결측",IF(P2530&lt;=N2530,"P0 시각 역전",IF(OR(H2530&lt;N2530,H2530&gt;P2530),"측정시각 구간 밖","OK")))))</f>
        <v/>
      </c>
      <c r="N2530" s="45">
        <f>IF(COUNTIFS($C:$C,$C2530,$D:$D,"P0(전)",$L:$L,"&gt;0")&lt;&gt;1,"",SUMIFS($H:$H,$C:$C,$C2530,$D:$D,"P0(전)"))</f>
        <v/>
      </c>
      <c r="O2530" s="30">
        <f>IF(COUNTIFS($C:$C,$C2530,$D:$D,"P0(전)",$L:$L,"&gt;0")&lt;&gt;1,"",SUMIFS($L:$L,$C:$C,$C2530,$D:$D,"P0(전)"))</f>
        <v/>
      </c>
      <c r="P2530" s="45">
        <f>IF(COUNTIFS($C:$C,$C2530,$D:$D,"P0(후)",$L:$L,"&gt;0")&lt;&gt;1,"",SUMIFS($H:$H,$C:$C,$C2530,$D:$D,"P0(후)"))</f>
        <v/>
      </c>
      <c r="Q2530" s="30">
        <f>IF(COUNTIFS($C:$C,$C2530,$D:$D,"P0(후)",$L:$L,"&gt;0")&lt;&gt;1,"",SUMIFS($L:$L,$C:$C,$C2530,$D:$D,"P0(후)"))</f>
        <v/>
      </c>
      <c r="R2530" s="30">
        <f>IF(M2530&lt;&gt;"OK","",O2530+(Q2530-O2530)*(H2530-N2530)/(P2530-N2530))</f>
        <v/>
      </c>
      <c r="S2530" s="30">
        <f>IF(OR(M2530&lt;&gt;"OK",NOT(ISNUMBER(L2530))),"",L2530-R2530)</f>
        <v/>
      </c>
      <c r="T2530" s="46">
        <f>IF(OR(NOT(ISNUMBER(S2530)),IF(ISNUMBER(G2530),G2530,F2530)=0),"",S2530/IF(ISNUMBER(G2530),G2530,F2530))</f>
        <v/>
      </c>
      <c r="U2530" s="46">
        <f>IF(ISNUMBER(T2530),ABS(T2530),"")</f>
        <v/>
      </c>
      <c r="V2530" s="46">
        <f>IF(OR($D2529&lt;&gt;"측정",$C2529&lt;&gt;$C2530,NOT(ISNUMBER(L2530)),NOT(ISNUMBER(L2529)),(IF(ISNUMBER(G2530),G2530,F2530)-IF(ISNUMBER(G2529),G2529,F2529))=0),"",(L2530-L2529)/(IF(ISNUMBER(G2530),G2530,F2530)-IF(ISNUMBER(G2529),G2529,F2529)))</f>
        <v/>
      </c>
      <c r="W2530" s="30">
        <f>IF(NOT(AND(ISNUMBER(N2530),ISNUMBER(P2530))),"",(P2530-N2530)*1440)</f>
        <v/>
      </c>
      <c r="X2530" s="28" t="n"/>
      <c r="Y2530" s="28" t="n"/>
      <c r="Z2530" s="28" t="n"/>
      <c r="AA2530" s="31" t="n"/>
      <c r="AB2530" s="31" t="n"/>
    </row>
    <row r="2531">
      <c r="A2531" s="25" t="inlineStr">
        <is>
          <t>S49</t>
        </is>
      </c>
      <c r="B2531" s="25" t="inlineStr">
        <is>
          <t>제천</t>
        </is>
      </c>
      <c r="C2531" s="25" t="inlineStr">
        <is>
          <t>S49-H남</t>
        </is>
      </c>
      <c r="D2531" s="25" t="inlineStr">
        <is>
          <t>측정</t>
        </is>
      </c>
      <c r="E2531" s="25" t="inlineStr">
        <is>
          <t>남</t>
        </is>
      </c>
      <c r="F2531" s="30" t="n">
        <v>3</v>
      </c>
      <c r="G2531" s="29" t="n"/>
      <c r="H2531" s="42" t="n"/>
      <c r="I2531" s="40" t="n"/>
      <c r="J2531" s="40" t="n"/>
      <c r="K2531" s="40" t="n"/>
      <c r="L2531" s="30">
        <f>IF(COUNT(I2531:K2531)=0,"",MEDIAN(I2531:K2531))</f>
        <v/>
      </c>
      <c r="M2531" s="25">
        <f>IF(COUNTIFS($C:$C,$C2531,$D:$D,"P0(전)",$L:$L,"&gt;0")&lt;&gt;1,"P0(전) 유효 1개 아님",IF(COUNTIFS($C:$C,$C2531,$D:$D,"P0(후)",$L:$L,"&gt;0")&lt;&gt;1,"P0(후) 유효 1개 아님",IF(NOT(AND(ISNUMBER(N2531),ISNUMBER(P2531),ISNUMBER(H2531))),"시각 결측",IF(P2531&lt;=N2531,"P0 시각 역전",IF(OR(H2531&lt;N2531,H2531&gt;P2531),"측정시각 구간 밖","OK")))))</f>
        <v/>
      </c>
      <c r="N2531" s="45">
        <f>IF(COUNTIFS($C:$C,$C2531,$D:$D,"P0(전)",$L:$L,"&gt;0")&lt;&gt;1,"",SUMIFS($H:$H,$C:$C,$C2531,$D:$D,"P0(전)"))</f>
        <v/>
      </c>
      <c r="O2531" s="30">
        <f>IF(COUNTIFS($C:$C,$C2531,$D:$D,"P0(전)",$L:$L,"&gt;0")&lt;&gt;1,"",SUMIFS($L:$L,$C:$C,$C2531,$D:$D,"P0(전)"))</f>
        <v/>
      </c>
      <c r="P2531" s="45">
        <f>IF(COUNTIFS($C:$C,$C2531,$D:$D,"P0(후)",$L:$L,"&gt;0")&lt;&gt;1,"",SUMIFS($H:$H,$C:$C,$C2531,$D:$D,"P0(후)"))</f>
        <v/>
      </c>
      <c r="Q2531" s="30">
        <f>IF(COUNTIFS($C:$C,$C2531,$D:$D,"P0(후)",$L:$L,"&gt;0")&lt;&gt;1,"",SUMIFS($L:$L,$C:$C,$C2531,$D:$D,"P0(후)"))</f>
        <v/>
      </c>
      <c r="R2531" s="30">
        <f>IF(M2531&lt;&gt;"OK","",O2531+(Q2531-O2531)*(H2531-N2531)/(P2531-N2531))</f>
        <v/>
      </c>
      <c r="S2531" s="30">
        <f>IF(OR(M2531&lt;&gt;"OK",NOT(ISNUMBER(L2531))),"",L2531-R2531)</f>
        <v/>
      </c>
      <c r="T2531" s="46">
        <f>IF(OR(NOT(ISNUMBER(S2531)),IF(ISNUMBER(G2531),G2531,F2531)=0),"",S2531/IF(ISNUMBER(G2531),G2531,F2531))</f>
        <v/>
      </c>
      <c r="U2531" s="46">
        <f>IF(ISNUMBER(T2531),ABS(T2531),"")</f>
        <v/>
      </c>
      <c r="V2531" s="46">
        <f>IF(OR($D2530&lt;&gt;"측정",$C2530&lt;&gt;$C2531,NOT(ISNUMBER(L2531)),NOT(ISNUMBER(L2530)),(IF(ISNUMBER(G2531),G2531,F2531)-IF(ISNUMBER(G2530),G2530,F2530))=0),"",(L2531-L2530)/(IF(ISNUMBER(G2531),G2531,F2531)-IF(ISNUMBER(G2530),G2530,F2530)))</f>
        <v/>
      </c>
      <c r="W2531" s="30">
        <f>IF(NOT(AND(ISNUMBER(N2531),ISNUMBER(P2531))),"",(P2531-N2531)*1440)</f>
        <v/>
      </c>
      <c r="X2531" s="28" t="n"/>
      <c r="Y2531" s="28" t="n"/>
      <c r="Z2531" s="28" t="n"/>
      <c r="AA2531" s="31" t="n"/>
      <c r="AB2531" s="31" t="n"/>
    </row>
    <row r="2532">
      <c r="A2532" s="25" t="inlineStr">
        <is>
          <t>S49</t>
        </is>
      </c>
      <c r="B2532" s="25" t="inlineStr">
        <is>
          <t>제천</t>
        </is>
      </c>
      <c r="C2532" s="25" t="inlineStr">
        <is>
          <t>S49-H남</t>
        </is>
      </c>
      <c r="D2532" s="25" t="inlineStr">
        <is>
          <t>측정</t>
        </is>
      </c>
      <c r="E2532" s="25" t="inlineStr">
        <is>
          <t>남</t>
        </is>
      </c>
      <c r="F2532" s="30" t="n">
        <v>4</v>
      </c>
      <c r="G2532" s="29" t="n"/>
      <c r="H2532" s="42" t="n"/>
      <c r="I2532" s="40" t="n"/>
      <c r="J2532" s="40" t="n"/>
      <c r="K2532" s="40" t="n"/>
      <c r="L2532" s="30">
        <f>IF(COUNT(I2532:K2532)=0,"",MEDIAN(I2532:K2532))</f>
        <v/>
      </c>
      <c r="M2532" s="25">
        <f>IF(COUNTIFS($C:$C,$C2532,$D:$D,"P0(전)",$L:$L,"&gt;0")&lt;&gt;1,"P0(전) 유효 1개 아님",IF(COUNTIFS($C:$C,$C2532,$D:$D,"P0(후)",$L:$L,"&gt;0")&lt;&gt;1,"P0(후) 유효 1개 아님",IF(NOT(AND(ISNUMBER(N2532),ISNUMBER(P2532),ISNUMBER(H2532))),"시각 결측",IF(P2532&lt;=N2532,"P0 시각 역전",IF(OR(H2532&lt;N2532,H2532&gt;P2532),"측정시각 구간 밖","OK")))))</f>
        <v/>
      </c>
      <c r="N2532" s="45">
        <f>IF(COUNTIFS($C:$C,$C2532,$D:$D,"P0(전)",$L:$L,"&gt;0")&lt;&gt;1,"",SUMIFS($H:$H,$C:$C,$C2532,$D:$D,"P0(전)"))</f>
        <v/>
      </c>
      <c r="O2532" s="30">
        <f>IF(COUNTIFS($C:$C,$C2532,$D:$D,"P0(전)",$L:$L,"&gt;0")&lt;&gt;1,"",SUMIFS($L:$L,$C:$C,$C2532,$D:$D,"P0(전)"))</f>
        <v/>
      </c>
      <c r="P2532" s="45">
        <f>IF(COUNTIFS($C:$C,$C2532,$D:$D,"P0(후)",$L:$L,"&gt;0")&lt;&gt;1,"",SUMIFS($H:$H,$C:$C,$C2532,$D:$D,"P0(후)"))</f>
        <v/>
      </c>
      <c r="Q2532" s="30">
        <f>IF(COUNTIFS($C:$C,$C2532,$D:$D,"P0(후)",$L:$L,"&gt;0")&lt;&gt;1,"",SUMIFS($L:$L,$C:$C,$C2532,$D:$D,"P0(후)"))</f>
        <v/>
      </c>
      <c r="R2532" s="30">
        <f>IF(M2532&lt;&gt;"OK","",O2532+(Q2532-O2532)*(H2532-N2532)/(P2532-N2532))</f>
        <v/>
      </c>
      <c r="S2532" s="30">
        <f>IF(OR(M2532&lt;&gt;"OK",NOT(ISNUMBER(L2532))),"",L2532-R2532)</f>
        <v/>
      </c>
      <c r="T2532" s="46">
        <f>IF(OR(NOT(ISNUMBER(S2532)),IF(ISNUMBER(G2532),G2532,F2532)=0),"",S2532/IF(ISNUMBER(G2532),G2532,F2532))</f>
        <v/>
      </c>
      <c r="U2532" s="46">
        <f>IF(ISNUMBER(T2532),ABS(T2532),"")</f>
        <v/>
      </c>
      <c r="V2532" s="46">
        <f>IF(OR($D2531&lt;&gt;"측정",$C2531&lt;&gt;$C2532,NOT(ISNUMBER(L2532)),NOT(ISNUMBER(L2531)),(IF(ISNUMBER(G2532),G2532,F2532)-IF(ISNUMBER(G2531),G2531,F2531))=0),"",(L2532-L2531)/(IF(ISNUMBER(G2532),G2532,F2532)-IF(ISNUMBER(G2531),G2531,F2531)))</f>
        <v/>
      </c>
      <c r="W2532" s="30">
        <f>IF(NOT(AND(ISNUMBER(N2532),ISNUMBER(P2532))),"",(P2532-N2532)*1440)</f>
        <v/>
      </c>
      <c r="X2532" s="28" t="n"/>
      <c r="Y2532" s="28" t="n"/>
      <c r="Z2532" s="28" t="n"/>
      <c r="AA2532" s="31" t="n"/>
      <c r="AB2532" s="31" t="n"/>
    </row>
    <row r="2533">
      <c r="A2533" s="25" t="inlineStr">
        <is>
          <t>S49</t>
        </is>
      </c>
      <c r="B2533" s="25" t="inlineStr">
        <is>
          <t>제천</t>
        </is>
      </c>
      <c r="C2533" s="25" t="inlineStr">
        <is>
          <t>S49-H남</t>
        </is>
      </c>
      <c r="D2533" s="25" t="inlineStr">
        <is>
          <t>측정</t>
        </is>
      </c>
      <c r="E2533" s="25" t="inlineStr">
        <is>
          <t>남</t>
        </is>
      </c>
      <c r="F2533" s="30" t="n">
        <v>5</v>
      </c>
      <c r="G2533" s="29" t="n"/>
      <c r="H2533" s="42" t="n"/>
      <c r="I2533" s="40" t="n"/>
      <c r="J2533" s="40" t="n"/>
      <c r="K2533" s="40" t="n"/>
      <c r="L2533" s="30">
        <f>IF(COUNT(I2533:K2533)=0,"",MEDIAN(I2533:K2533))</f>
        <v/>
      </c>
      <c r="M2533" s="25">
        <f>IF(COUNTIFS($C:$C,$C2533,$D:$D,"P0(전)",$L:$L,"&gt;0")&lt;&gt;1,"P0(전) 유효 1개 아님",IF(COUNTIFS($C:$C,$C2533,$D:$D,"P0(후)",$L:$L,"&gt;0")&lt;&gt;1,"P0(후) 유효 1개 아님",IF(NOT(AND(ISNUMBER(N2533),ISNUMBER(P2533),ISNUMBER(H2533))),"시각 결측",IF(P2533&lt;=N2533,"P0 시각 역전",IF(OR(H2533&lt;N2533,H2533&gt;P2533),"측정시각 구간 밖","OK")))))</f>
        <v/>
      </c>
      <c r="N2533" s="45">
        <f>IF(COUNTIFS($C:$C,$C2533,$D:$D,"P0(전)",$L:$L,"&gt;0")&lt;&gt;1,"",SUMIFS($H:$H,$C:$C,$C2533,$D:$D,"P0(전)"))</f>
        <v/>
      </c>
      <c r="O2533" s="30">
        <f>IF(COUNTIFS($C:$C,$C2533,$D:$D,"P0(전)",$L:$L,"&gt;0")&lt;&gt;1,"",SUMIFS($L:$L,$C:$C,$C2533,$D:$D,"P0(전)"))</f>
        <v/>
      </c>
      <c r="P2533" s="45">
        <f>IF(COUNTIFS($C:$C,$C2533,$D:$D,"P0(후)",$L:$L,"&gt;0")&lt;&gt;1,"",SUMIFS($H:$H,$C:$C,$C2533,$D:$D,"P0(후)"))</f>
        <v/>
      </c>
      <c r="Q2533" s="30">
        <f>IF(COUNTIFS($C:$C,$C2533,$D:$D,"P0(후)",$L:$L,"&gt;0")&lt;&gt;1,"",SUMIFS($L:$L,$C:$C,$C2533,$D:$D,"P0(후)"))</f>
        <v/>
      </c>
      <c r="R2533" s="30">
        <f>IF(M2533&lt;&gt;"OK","",O2533+(Q2533-O2533)*(H2533-N2533)/(P2533-N2533))</f>
        <v/>
      </c>
      <c r="S2533" s="30">
        <f>IF(OR(M2533&lt;&gt;"OK",NOT(ISNUMBER(L2533))),"",L2533-R2533)</f>
        <v/>
      </c>
      <c r="T2533" s="46">
        <f>IF(OR(NOT(ISNUMBER(S2533)),IF(ISNUMBER(G2533),G2533,F2533)=0),"",S2533/IF(ISNUMBER(G2533),G2533,F2533))</f>
        <v/>
      </c>
      <c r="U2533" s="46">
        <f>IF(ISNUMBER(T2533),ABS(T2533),"")</f>
        <v/>
      </c>
      <c r="V2533" s="46">
        <f>IF(OR($D2532&lt;&gt;"측정",$C2532&lt;&gt;$C2533,NOT(ISNUMBER(L2533)),NOT(ISNUMBER(L2532)),(IF(ISNUMBER(G2533),G2533,F2533)-IF(ISNUMBER(G2532),G2532,F2532))=0),"",(L2533-L2532)/(IF(ISNUMBER(G2533),G2533,F2533)-IF(ISNUMBER(G2532),G2532,F2532)))</f>
        <v/>
      </c>
      <c r="W2533" s="30">
        <f>IF(NOT(AND(ISNUMBER(N2533),ISNUMBER(P2533))),"",(P2533-N2533)*1440)</f>
        <v/>
      </c>
      <c r="X2533" s="28" t="n"/>
      <c r="Y2533" s="28" t="n"/>
      <c r="Z2533" s="28" t="n"/>
      <c r="AA2533" s="31" t="n"/>
      <c r="AB2533" s="31" t="n"/>
    </row>
    <row r="2534">
      <c r="A2534" s="25" t="inlineStr">
        <is>
          <t>S49</t>
        </is>
      </c>
      <c r="B2534" s="25" t="inlineStr">
        <is>
          <t>제천</t>
        </is>
      </c>
      <c r="C2534" s="25" t="inlineStr">
        <is>
          <t>S49-H남</t>
        </is>
      </c>
      <c r="D2534" s="25" t="inlineStr">
        <is>
          <t>측정</t>
        </is>
      </c>
      <c r="E2534" s="25" t="inlineStr">
        <is>
          <t>남</t>
        </is>
      </c>
      <c r="F2534" s="30" t="n">
        <v>6</v>
      </c>
      <c r="G2534" s="29" t="n"/>
      <c r="H2534" s="42" t="n"/>
      <c r="I2534" s="40" t="n"/>
      <c r="J2534" s="40" t="n"/>
      <c r="K2534" s="40" t="n"/>
      <c r="L2534" s="30">
        <f>IF(COUNT(I2534:K2534)=0,"",MEDIAN(I2534:K2534))</f>
        <v/>
      </c>
      <c r="M2534" s="25">
        <f>IF(COUNTIFS($C:$C,$C2534,$D:$D,"P0(전)",$L:$L,"&gt;0")&lt;&gt;1,"P0(전) 유효 1개 아님",IF(COUNTIFS($C:$C,$C2534,$D:$D,"P0(후)",$L:$L,"&gt;0")&lt;&gt;1,"P0(후) 유효 1개 아님",IF(NOT(AND(ISNUMBER(N2534),ISNUMBER(P2534),ISNUMBER(H2534))),"시각 결측",IF(P2534&lt;=N2534,"P0 시각 역전",IF(OR(H2534&lt;N2534,H2534&gt;P2534),"측정시각 구간 밖","OK")))))</f>
        <v/>
      </c>
      <c r="N2534" s="45">
        <f>IF(COUNTIFS($C:$C,$C2534,$D:$D,"P0(전)",$L:$L,"&gt;0")&lt;&gt;1,"",SUMIFS($H:$H,$C:$C,$C2534,$D:$D,"P0(전)"))</f>
        <v/>
      </c>
      <c r="O2534" s="30">
        <f>IF(COUNTIFS($C:$C,$C2534,$D:$D,"P0(전)",$L:$L,"&gt;0")&lt;&gt;1,"",SUMIFS($L:$L,$C:$C,$C2534,$D:$D,"P0(전)"))</f>
        <v/>
      </c>
      <c r="P2534" s="45">
        <f>IF(COUNTIFS($C:$C,$C2534,$D:$D,"P0(후)",$L:$L,"&gt;0")&lt;&gt;1,"",SUMIFS($H:$H,$C:$C,$C2534,$D:$D,"P0(후)"))</f>
        <v/>
      </c>
      <c r="Q2534" s="30">
        <f>IF(COUNTIFS($C:$C,$C2534,$D:$D,"P0(후)",$L:$L,"&gt;0")&lt;&gt;1,"",SUMIFS($L:$L,$C:$C,$C2534,$D:$D,"P0(후)"))</f>
        <v/>
      </c>
      <c r="R2534" s="30">
        <f>IF(M2534&lt;&gt;"OK","",O2534+(Q2534-O2534)*(H2534-N2534)/(P2534-N2534))</f>
        <v/>
      </c>
      <c r="S2534" s="30">
        <f>IF(OR(M2534&lt;&gt;"OK",NOT(ISNUMBER(L2534))),"",L2534-R2534)</f>
        <v/>
      </c>
      <c r="T2534" s="46">
        <f>IF(OR(NOT(ISNUMBER(S2534)),IF(ISNUMBER(G2534),G2534,F2534)=0),"",S2534/IF(ISNUMBER(G2534),G2534,F2534))</f>
        <v/>
      </c>
      <c r="U2534" s="46">
        <f>IF(ISNUMBER(T2534),ABS(T2534),"")</f>
        <v/>
      </c>
      <c r="V2534" s="46">
        <f>IF(OR($D2533&lt;&gt;"측정",$C2533&lt;&gt;$C2534,NOT(ISNUMBER(L2534)),NOT(ISNUMBER(L2533)),(IF(ISNUMBER(G2534),G2534,F2534)-IF(ISNUMBER(G2533),G2533,F2533))=0),"",(L2534-L2533)/(IF(ISNUMBER(G2534),G2534,F2534)-IF(ISNUMBER(G2533),G2533,F2533)))</f>
        <v/>
      </c>
      <c r="W2534" s="30">
        <f>IF(NOT(AND(ISNUMBER(N2534),ISNUMBER(P2534))),"",(P2534-N2534)*1440)</f>
        <v/>
      </c>
      <c r="X2534" s="28" t="n"/>
      <c r="Y2534" s="28" t="n"/>
      <c r="Z2534" s="28" t="n"/>
      <c r="AA2534" s="31" t="n"/>
      <c r="AB2534" s="31" t="n"/>
    </row>
    <row r="2535">
      <c r="A2535" s="25" t="inlineStr">
        <is>
          <t>S49</t>
        </is>
      </c>
      <c r="B2535" s="25" t="inlineStr">
        <is>
          <t>제천</t>
        </is>
      </c>
      <c r="C2535" s="25" t="inlineStr">
        <is>
          <t>S49-H남</t>
        </is>
      </c>
      <c r="D2535" s="25" t="inlineStr">
        <is>
          <t>측정</t>
        </is>
      </c>
      <c r="E2535" s="25" t="inlineStr">
        <is>
          <t>남</t>
        </is>
      </c>
      <c r="F2535" s="30" t="n">
        <v>7</v>
      </c>
      <c r="G2535" s="29" t="n"/>
      <c r="H2535" s="42" t="n"/>
      <c r="I2535" s="40" t="n"/>
      <c r="J2535" s="40" t="n"/>
      <c r="K2535" s="40" t="n"/>
      <c r="L2535" s="30">
        <f>IF(COUNT(I2535:K2535)=0,"",MEDIAN(I2535:K2535))</f>
        <v/>
      </c>
      <c r="M2535" s="25">
        <f>IF(COUNTIFS($C:$C,$C2535,$D:$D,"P0(전)",$L:$L,"&gt;0")&lt;&gt;1,"P0(전) 유효 1개 아님",IF(COUNTIFS($C:$C,$C2535,$D:$D,"P0(후)",$L:$L,"&gt;0")&lt;&gt;1,"P0(후) 유효 1개 아님",IF(NOT(AND(ISNUMBER(N2535),ISNUMBER(P2535),ISNUMBER(H2535))),"시각 결측",IF(P2535&lt;=N2535,"P0 시각 역전",IF(OR(H2535&lt;N2535,H2535&gt;P2535),"측정시각 구간 밖","OK")))))</f>
        <v/>
      </c>
      <c r="N2535" s="45">
        <f>IF(COUNTIFS($C:$C,$C2535,$D:$D,"P0(전)",$L:$L,"&gt;0")&lt;&gt;1,"",SUMIFS($H:$H,$C:$C,$C2535,$D:$D,"P0(전)"))</f>
        <v/>
      </c>
      <c r="O2535" s="30">
        <f>IF(COUNTIFS($C:$C,$C2535,$D:$D,"P0(전)",$L:$L,"&gt;0")&lt;&gt;1,"",SUMIFS($L:$L,$C:$C,$C2535,$D:$D,"P0(전)"))</f>
        <v/>
      </c>
      <c r="P2535" s="45">
        <f>IF(COUNTIFS($C:$C,$C2535,$D:$D,"P0(후)",$L:$L,"&gt;0")&lt;&gt;1,"",SUMIFS($H:$H,$C:$C,$C2535,$D:$D,"P0(후)"))</f>
        <v/>
      </c>
      <c r="Q2535" s="30">
        <f>IF(COUNTIFS($C:$C,$C2535,$D:$D,"P0(후)",$L:$L,"&gt;0")&lt;&gt;1,"",SUMIFS($L:$L,$C:$C,$C2535,$D:$D,"P0(후)"))</f>
        <v/>
      </c>
      <c r="R2535" s="30">
        <f>IF(M2535&lt;&gt;"OK","",O2535+(Q2535-O2535)*(H2535-N2535)/(P2535-N2535))</f>
        <v/>
      </c>
      <c r="S2535" s="30">
        <f>IF(OR(M2535&lt;&gt;"OK",NOT(ISNUMBER(L2535))),"",L2535-R2535)</f>
        <v/>
      </c>
      <c r="T2535" s="46">
        <f>IF(OR(NOT(ISNUMBER(S2535)),IF(ISNUMBER(G2535),G2535,F2535)=0),"",S2535/IF(ISNUMBER(G2535),G2535,F2535))</f>
        <v/>
      </c>
      <c r="U2535" s="46">
        <f>IF(ISNUMBER(T2535),ABS(T2535),"")</f>
        <v/>
      </c>
      <c r="V2535" s="46">
        <f>IF(OR($D2534&lt;&gt;"측정",$C2534&lt;&gt;$C2535,NOT(ISNUMBER(L2535)),NOT(ISNUMBER(L2534)),(IF(ISNUMBER(G2535),G2535,F2535)-IF(ISNUMBER(G2534),G2534,F2534))=0),"",(L2535-L2534)/(IF(ISNUMBER(G2535),G2535,F2535)-IF(ISNUMBER(G2534),G2534,F2534)))</f>
        <v/>
      </c>
      <c r="W2535" s="30">
        <f>IF(NOT(AND(ISNUMBER(N2535),ISNUMBER(P2535))),"",(P2535-N2535)*1440)</f>
        <v/>
      </c>
      <c r="X2535" s="28" t="n"/>
      <c r="Y2535" s="28" t="n"/>
      <c r="Z2535" s="28" t="n"/>
      <c r="AA2535" s="31" t="n"/>
      <c r="AB2535" s="31" t="n"/>
    </row>
    <row r="2536">
      <c r="A2536" s="25" t="inlineStr">
        <is>
          <t>S49</t>
        </is>
      </c>
      <c r="B2536" s="25" t="inlineStr">
        <is>
          <t>제천</t>
        </is>
      </c>
      <c r="C2536" s="25" t="inlineStr">
        <is>
          <t>S49-H남</t>
        </is>
      </c>
      <c r="D2536" s="25" t="inlineStr">
        <is>
          <t>측정</t>
        </is>
      </c>
      <c r="E2536" s="25" t="inlineStr">
        <is>
          <t>남</t>
        </is>
      </c>
      <c r="F2536" s="30" t="n">
        <v>8</v>
      </c>
      <c r="G2536" s="29" t="n"/>
      <c r="H2536" s="42" t="n"/>
      <c r="I2536" s="40" t="n"/>
      <c r="J2536" s="40" t="n"/>
      <c r="K2536" s="40" t="n"/>
      <c r="L2536" s="30">
        <f>IF(COUNT(I2536:K2536)=0,"",MEDIAN(I2536:K2536))</f>
        <v/>
      </c>
      <c r="M2536" s="25">
        <f>IF(COUNTIFS($C:$C,$C2536,$D:$D,"P0(전)",$L:$L,"&gt;0")&lt;&gt;1,"P0(전) 유효 1개 아님",IF(COUNTIFS($C:$C,$C2536,$D:$D,"P0(후)",$L:$L,"&gt;0")&lt;&gt;1,"P0(후) 유효 1개 아님",IF(NOT(AND(ISNUMBER(N2536),ISNUMBER(P2536),ISNUMBER(H2536))),"시각 결측",IF(P2536&lt;=N2536,"P0 시각 역전",IF(OR(H2536&lt;N2536,H2536&gt;P2536),"측정시각 구간 밖","OK")))))</f>
        <v/>
      </c>
      <c r="N2536" s="45">
        <f>IF(COUNTIFS($C:$C,$C2536,$D:$D,"P0(전)",$L:$L,"&gt;0")&lt;&gt;1,"",SUMIFS($H:$H,$C:$C,$C2536,$D:$D,"P0(전)"))</f>
        <v/>
      </c>
      <c r="O2536" s="30">
        <f>IF(COUNTIFS($C:$C,$C2536,$D:$D,"P0(전)",$L:$L,"&gt;0")&lt;&gt;1,"",SUMIFS($L:$L,$C:$C,$C2536,$D:$D,"P0(전)"))</f>
        <v/>
      </c>
      <c r="P2536" s="45">
        <f>IF(COUNTIFS($C:$C,$C2536,$D:$D,"P0(후)",$L:$L,"&gt;0")&lt;&gt;1,"",SUMIFS($H:$H,$C:$C,$C2536,$D:$D,"P0(후)"))</f>
        <v/>
      </c>
      <c r="Q2536" s="30">
        <f>IF(COUNTIFS($C:$C,$C2536,$D:$D,"P0(후)",$L:$L,"&gt;0")&lt;&gt;1,"",SUMIFS($L:$L,$C:$C,$C2536,$D:$D,"P0(후)"))</f>
        <v/>
      </c>
      <c r="R2536" s="30">
        <f>IF(M2536&lt;&gt;"OK","",O2536+(Q2536-O2536)*(H2536-N2536)/(P2536-N2536))</f>
        <v/>
      </c>
      <c r="S2536" s="30">
        <f>IF(OR(M2536&lt;&gt;"OK",NOT(ISNUMBER(L2536))),"",L2536-R2536)</f>
        <v/>
      </c>
      <c r="T2536" s="46">
        <f>IF(OR(NOT(ISNUMBER(S2536)),IF(ISNUMBER(G2536),G2536,F2536)=0),"",S2536/IF(ISNUMBER(G2536),G2536,F2536))</f>
        <v/>
      </c>
      <c r="U2536" s="46">
        <f>IF(ISNUMBER(T2536),ABS(T2536),"")</f>
        <v/>
      </c>
      <c r="V2536" s="46">
        <f>IF(OR($D2535&lt;&gt;"측정",$C2535&lt;&gt;$C2536,NOT(ISNUMBER(L2536)),NOT(ISNUMBER(L2535)),(IF(ISNUMBER(G2536),G2536,F2536)-IF(ISNUMBER(G2535),G2535,F2535))=0),"",(L2536-L2535)/(IF(ISNUMBER(G2536),G2536,F2536)-IF(ISNUMBER(G2535),G2535,F2535)))</f>
        <v/>
      </c>
      <c r="W2536" s="30">
        <f>IF(NOT(AND(ISNUMBER(N2536),ISNUMBER(P2536))),"",(P2536-N2536)*1440)</f>
        <v/>
      </c>
      <c r="X2536" s="28" t="n"/>
      <c r="Y2536" s="28" t="n"/>
      <c r="Z2536" s="28" t="n"/>
      <c r="AA2536" s="31" t="n"/>
      <c r="AB2536" s="31" t="n"/>
    </row>
    <row r="2537">
      <c r="A2537" s="25" t="inlineStr">
        <is>
          <t>S49</t>
        </is>
      </c>
      <c r="B2537" s="25" t="inlineStr">
        <is>
          <t>제천</t>
        </is>
      </c>
      <c r="C2537" s="25" t="inlineStr">
        <is>
          <t>S49-H남</t>
        </is>
      </c>
      <c r="D2537" s="25" t="inlineStr">
        <is>
          <t>측정</t>
        </is>
      </c>
      <c r="E2537" s="25" t="inlineStr">
        <is>
          <t>남</t>
        </is>
      </c>
      <c r="F2537" s="30" t="n">
        <v>9</v>
      </c>
      <c r="G2537" s="29" t="n"/>
      <c r="H2537" s="42" t="n"/>
      <c r="I2537" s="40" t="n"/>
      <c r="J2537" s="40" t="n"/>
      <c r="K2537" s="40" t="n"/>
      <c r="L2537" s="30">
        <f>IF(COUNT(I2537:K2537)=0,"",MEDIAN(I2537:K2537))</f>
        <v/>
      </c>
      <c r="M2537" s="25">
        <f>IF(COUNTIFS($C:$C,$C2537,$D:$D,"P0(전)",$L:$L,"&gt;0")&lt;&gt;1,"P0(전) 유효 1개 아님",IF(COUNTIFS($C:$C,$C2537,$D:$D,"P0(후)",$L:$L,"&gt;0")&lt;&gt;1,"P0(후) 유효 1개 아님",IF(NOT(AND(ISNUMBER(N2537),ISNUMBER(P2537),ISNUMBER(H2537))),"시각 결측",IF(P2537&lt;=N2537,"P0 시각 역전",IF(OR(H2537&lt;N2537,H2537&gt;P2537),"측정시각 구간 밖","OK")))))</f>
        <v/>
      </c>
      <c r="N2537" s="45">
        <f>IF(COUNTIFS($C:$C,$C2537,$D:$D,"P0(전)",$L:$L,"&gt;0")&lt;&gt;1,"",SUMIFS($H:$H,$C:$C,$C2537,$D:$D,"P0(전)"))</f>
        <v/>
      </c>
      <c r="O2537" s="30">
        <f>IF(COUNTIFS($C:$C,$C2537,$D:$D,"P0(전)",$L:$L,"&gt;0")&lt;&gt;1,"",SUMIFS($L:$L,$C:$C,$C2537,$D:$D,"P0(전)"))</f>
        <v/>
      </c>
      <c r="P2537" s="45">
        <f>IF(COUNTIFS($C:$C,$C2537,$D:$D,"P0(후)",$L:$L,"&gt;0")&lt;&gt;1,"",SUMIFS($H:$H,$C:$C,$C2537,$D:$D,"P0(후)"))</f>
        <v/>
      </c>
      <c r="Q2537" s="30">
        <f>IF(COUNTIFS($C:$C,$C2537,$D:$D,"P0(후)",$L:$L,"&gt;0")&lt;&gt;1,"",SUMIFS($L:$L,$C:$C,$C2537,$D:$D,"P0(후)"))</f>
        <v/>
      </c>
      <c r="R2537" s="30">
        <f>IF(M2537&lt;&gt;"OK","",O2537+(Q2537-O2537)*(H2537-N2537)/(P2537-N2537))</f>
        <v/>
      </c>
      <c r="S2537" s="30">
        <f>IF(OR(M2537&lt;&gt;"OK",NOT(ISNUMBER(L2537))),"",L2537-R2537)</f>
        <v/>
      </c>
      <c r="T2537" s="46">
        <f>IF(OR(NOT(ISNUMBER(S2537)),IF(ISNUMBER(G2537),G2537,F2537)=0),"",S2537/IF(ISNUMBER(G2537),G2537,F2537))</f>
        <v/>
      </c>
      <c r="U2537" s="46">
        <f>IF(ISNUMBER(T2537),ABS(T2537),"")</f>
        <v/>
      </c>
      <c r="V2537" s="46">
        <f>IF(OR($D2536&lt;&gt;"측정",$C2536&lt;&gt;$C2537,NOT(ISNUMBER(L2537)),NOT(ISNUMBER(L2536)),(IF(ISNUMBER(G2537),G2537,F2537)-IF(ISNUMBER(G2536),G2536,F2536))=0),"",(L2537-L2536)/(IF(ISNUMBER(G2537),G2537,F2537)-IF(ISNUMBER(G2536),G2536,F2536)))</f>
        <v/>
      </c>
      <c r="W2537" s="30">
        <f>IF(NOT(AND(ISNUMBER(N2537),ISNUMBER(P2537))),"",(P2537-N2537)*1440)</f>
        <v/>
      </c>
      <c r="X2537" s="28" t="n"/>
      <c r="Y2537" s="28" t="n"/>
      <c r="Z2537" s="28" t="n"/>
      <c r="AA2537" s="31" t="n"/>
      <c r="AB2537" s="31" t="n"/>
    </row>
    <row r="2538">
      <c r="A2538" s="25" t="inlineStr">
        <is>
          <t>S49</t>
        </is>
      </c>
      <c r="B2538" s="25" t="inlineStr">
        <is>
          <t>제천</t>
        </is>
      </c>
      <c r="C2538" s="25" t="inlineStr">
        <is>
          <t>S49-H남</t>
        </is>
      </c>
      <c r="D2538" s="25" t="inlineStr">
        <is>
          <t>측정</t>
        </is>
      </c>
      <c r="E2538" s="25" t="inlineStr">
        <is>
          <t>남</t>
        </is>
      </c>
      <c r="F2538" s="30" t="n">
        <v>10</v>
      </c>
      <c r="G2538" s="29" t="n"/>
      <c r="H2538" s="42" t="n"/>
      <c r="I2538" s="40" t="n"/>
      <c r="J2538" s="40" t="n"/>
      <c r="K2538" s="40" t="n"/>
      <c r="L2538" s="30">
        <f>IF(COUNT(I2538:K2538)=0,"",MEDIAN(I2538:K2538))</f>
        <v/>
      </c>
      <c r="M2538" s="25">
        <f>IF(COUNTIFS($C:$C,$C2538,$D:$D,"P0(전)",$L:$L,"&gt;0")&lt;&gt;1,"P0(전) 유효 1개 아님",IF(COUNTIFS($C:$C,$C2538,$D:$D,"P0(후)",$L:$L,"&gt;0")&lt;&gt;1,"P0(후) 유효 1개 아님",IF(NOT(AND(ISNUMBER(N2538),ISNUMBER(P2538),ISNUMBER(H2538))),"시각 결측",IF(P2538&lt;=N2538,"P0 시각 역전",IF(OR(H2538&lt;N2538,H2538&gt;P2538),"측정시각 구간 밖","OK")))))</f>
        <v/>
      </c>
      <c r="N2538" s="45">
        <f>IF(COUNTIFS($C:$C,$C2538,$D:$D,"P0(전)",$L:$L,"&gt;0")&lt;&gt;1,"",SUMIFS($H:$H,$C:$C,$C2538,$D:$D,"P0(전)"))</f>
        <v/>
      </c>
      <c r="O2538" s="30">
        <f>IF(COUNTIFS($C:$C,$C2538,$D:$D,"P0(전)",$L:$L,"&gt;0")&lt;&gt;1,"",SUMIFS($L:$L,$C:$C,$C2538,$D:$D,"P0(전)"))</f>
        <v/>
      </c>
      <c r="P2538" s="45">
        <f>IF(COUNTIFS($C:$C,$C2538,$D:$D,"P0(후)",$L:$L,"&gt;0")&lt;&gt;1,"",SUMIFS($H:$H,$C:$C,$C2538,$D:$D,"P0(후)"))</f>
        <v/>
      </c>
      <c r="Q2538" s="30">
        <f>IF(COUNTIFS($C:$C,$C2538,$D:$D,"P0(후)",$L:$L,"&gt;0")&lt;&gt;1,"",SUMIFS($L:$L,$C:$C,$C2538,$D:$D,"P0(후)"))</f>
        <v/>
      </c>
      <c r="R2538" s="30">
        <f>IF(M2538&lt;&gt;"OK","",O2538+(Q2538-O2538)*(H2538-N2538)/(P2538-N2538))</f>
        <v/>
      </c>
      <c r="S2538" s="30">
        <f>IF(OR(M2538&lt;&gt;"OK",NOT(ISNUMBER(L2538))),"",L2538-R2538)</f>
        <v/>
      </c>
      <c r="T2538" s="46">
        <f>IF(OR(NOT(ISNUMBER(S2538)),IF(ISNUMBER(G2538),G2538,F2538)=0),"",S2538/IF(ISNUMBER(G2538),G2538,F2538))</f>
        <v/>
      </c>
      <c r="U2538" s="46">
        <f>IF(ISNUMBER(T2538),ABS(T2538),"")</f>
        <v/>
      </c>
      <c r="V2538" s="46">
        <f>IF(OR($D2537&lt;&gt;"측정",$C2537&lt;&gt;$C2538,NOT(ISNUMBER(L2538)),NOT(ISNUMBER(L2537)),(IF(ISNUMBER(G2538),G2538,F2538)-IF(ISNUMBER(G2537),G2537,F2537))=0),"",(L2538-L2537)/(IF(ISNUMBER(G2538),G2538,F2538)-IF(ISNUMBER(G2537),G2537,F2537)))</f>
        <v/>
      </c>
      <c r="W2538" s="30">
        <f>IF(NOT(AND(ISNUMBER(N2538),ISNUMBER(P2538))),"",(P2538-N2538)*1440)</f>
        <v/>
      </c>
      <c r="X2538" s="28" t="n"/>
      <c r="Y2538" s="28" t="n"/>
      <c r="Z2538" s="28" t="n"/>
      <c r="AA2538" s="31" t="n"/>
      <c r="AB2538" s="31" t="n"/>
    </row>
    <row r="2539">
      <c r="A2539" s="43" t="inlineStr">
        <is>
          <t>S49</t>
        </is>
      </c>
      <c r="B2539" s="43" t="inlineStr">
        <is>
          <t>제천</t>
        </is>
      </c>
      <c r="C2539" s="43" t="inlineStr">
        <is>
          <t>S49-H남</t>
        </is>
      </c>
      <c r="D2539" s="43" t="inlineStr">
        <is>
          <t>P0(후)</t>
        </is>
      </c>
      <c r="E2539" s="43" t="inlineStr">
        <is>
          <t>남</t>
        </is>
      </c>
      <c r="F2539" s="44" t="n"/>
      <c r="G2539" s="29" t="n"/>
      <c r="H2539" s="42" t="n"/>
      <c r="I2539" s="40" t="n"/>
      <c r="J2539" s="40" t="n"/>
      <c r="K2539" s="40" t="n"/>
      <c r="L2539" s="30">
        <f>IF(COUNT(I2539:K2539)=0,"",MEDIAN(I2539:K2539))</f>
        <v/>
      </c>
      <c r="M2539" s="37" t="n"/>
      <c r="N2539" s="37" t="n"/>
      <c r="O2539" s="37" t="n"/>
      <c r="P2539" s="37" t="n"/>
      <c r="Q2539" s="37" t="n"/>
      <c r="R2539" s="37" t="n"/>
      <c r="S2539" s="37" t="n"/>
      <c r="T2539" s="37" t="n"/>
      <c r="U2539" s="37" t="n"/>
      <c r="V2539" s="37" t="n"/>
      <c r="W2539" s="37" t="n"/>
      <c r="X2539" s="28" t="n"/>
      <c r="Y2539" s="28" t="n"/>
      <c r="Z2539" s="28" t="n"/>
      <c r="AA2539" s="31" t="n"/>
      <c r="AB2539" s="31" t="n"/>
    </row>
    <row r="2540">
      <c r="A2540" s="43" t="inlineStr">
        <is>
          <t>S49</t>
        </is>
      </c>
      <c r="B2540" s="43" t="inlineStr">
        <is>
          <t>제천</t>
        </is>
      </c>
      <c r="C2540" s="43" t="inlineStr">
        <is>
          <t>S49-H북</t>
        </is>
      </c>
      <c r="D2540" s="43" t="inlineStr">
        <is>
          <t>P0(전)</t>
        </is>
      </c>
      <c r="E2540" s="43" t="inlineStr">
        <is>
          <t>북</t>
        </is>
      </c>
      <c r="F2540" s="44" t="n"/>
      <c r="G2540" s="29" t="n"/>
      <c r="H2540" s="42" t="n"/>
      <c r="I2540" s="40" t="n"/>
      <c r="J2540" s="40" t="n"/>
      <c r="K2540" s="40" t="n"/>
      <c r="L2540" s="30">
        <f>IF(COUNT(I2540:K2540)=0,"",MEDIAN(I2540:K2540))</f>
        <v/>
      </c>
      <c r="M2540" s="37" t="n"/>
      <c r="N2540" s="37" t="n"/>
      <c r="O2540" s="37" t="n"/>
      <c r="P2540" s="37" t="n"/>
      <c r="Q2540" s="37" t="n"/>
      <c r="R2540" s="37" t="n"/>
      <c r="S2540" s="37" t="n"/>
      <c r="T2540" s="37" t="n"/>
      <c r="U2540" s="37" t="n"/>
      <c r="V2540" s="37" t="n"/>
      <c r="W2540" s="37" t="n"/>
      <c r="X2540" s="28" t="n"/>
      <c r="Y2540" s="28" t="n"/>
      <c r="Z2540" s="28" t="n"/>
      <c r="AA2540" s="31" t="n"/>
      <c r="AB2540" s="31" t="n"/>
    </row>
    <row r="2541">
      <c r="A2541" s="25" t="inlineStr">
        <is>
          <t>S49</t>
        </is>
      </c>
      <c r="B2541" s="25" t="inlineStr">
        <is>
          <t>제천</t>
        </is>
      </c>
      <c r="C2541" s="25" t="inlineStr">
        <is>
          <t>S49-H북</t>
        </is>
      </c>
      <c r="D2541" s="25" t="inlineStr">
        <is>
          <t>측정</t>
        </is>
      </c>
      <c r="E2541" s="25" t="inlineStr">
        <is>
          <t>북</t>
        </is>
      </c>
      <c r="F2541" s="30" t="n">
        <v>0.5</v>
      </c>
      <c r="G2541" s="29" t="n"/>
      <c r="H2541" s="42" t="n"/>
      <c r="I2541" s="40" t="n"/>
      <c r="J2541" s="40" t="n"/>
      <c r="K2541" s="40" t="n"/>
      <c r="L2541" s="30">
        <f>IF(COUNT(I2541:K2541)=0,"",MEDIAN(I2541:K2541))</f>
        <v/>
      </c>
      <c r="M2541" s="25">
        <f>IF(COUNTIFS($C:$C,$C2541,$D:$D,"P0(전)",$L:$L,"&gt;0")&lt;&gt;1,"P0(전) 유효 1개 아님",IF(COUNTIFS($C:$C,$C2541,$D:$D,"P0(후)",$L:$L,"&gt;0")&lt;&gt;1,"P0(후) 유효 1개 아님",IF(NOT(AND(ISNUMBER(N2541),ISNUMBER(P2541),ISNUMBER(H2541))),"시각 결측",IF(P2541&lt;=N2541,"P0 시각 역전",IF(OR(H2541&lt;N2541,H2541&gt;P2541),"측정시각 구간 밖","OK")))))</f>
        <v/>
      </c>
      <c r="N2541" s="45">
        <f>IF(COUNTIFS($C:$C,$C2541,$D:$D,"P0(전)",$L:$L,"&gt;0")&lt;&gt;1,"",SUMIFS($H:$H,$C:$C,$C2541,$D:$D,"P0(전)"))</f>
        <v/>
      </c>
      <c r="O2541" s="30">
        <f>IF(COUNTIFS($C:$C,$C2541,$D:$D,"P0(전)",$L:$L,"&gt;0")&lt;&gt;1,"",SUMIFS($L:$L,$C:$C,$C2541,$D:$D,"P0(전)"))</f>
        <v/>
      </c>
      <c r="P2541" s="45">
        <f>IF(COUNTIFS($C:$C,$C2541,$D:$D,"P0(후)",$L:$L,"&gt;0")&lt;&gt;1,"",SUMIFS($H:$H,$C:$C,$C2541,$D:$D,"P0(후)"))</f>
        <v/>
      </c>
      <c r="Q2541" s="30">
        <f>IF(COUNTIFS($C:$C,$C2541,$D:$D,"P0(후)",$L:$L,"&gt;0")&lt;&gt;1,"",SUMIFS($L:$L,$C:$C,$C2541,$D:$D,"P0(후)"))</f>
        <v/>
      </c>
      <c r="R2541" s="30">
        <f>IF(M2541&lt;&gt;"OK","",O2541+(Q2541-O2541)*(H2541-N2541)/(P2541-N2541))</f>
        <v/>
      </c>
      <c r="S2541" s="30">
        <f>IF(OR(M2541&lt;&gt;"OK",NOT(ISNUMBER(L2541))),"",L2541-R2541)</f>
        <v/>
      </c>
      <c r="T2541" s="46">
        <f>IF(OR(NOT(ISNUMBER(S2541)),IF(ISNUMBER(G2541),G2541,F2541)=0),"",S2541/IF(ISNUMBER(G2541),G2541,F2541))</f>
        <v/>
      </c>
      <c r="U2541" s="46">
        <f>IF(ISNUMBER(T2541),ABS(T2541),"")</f>
        <v/>
      </c>
      <c r="V2541" s="46">
        <f>IF(OR($D2540&lt;&gt;"측정",$C2540&lt;&gt;$C2541,NOT(ISNUMBER(L2541)),NOT(ISNUMBER(L2540)),(IF(ISNUMBER(G2541),G2541,F2541)-IF(ISNUMBER(G2540),G2540,F2540))=0),"",(L2541-L2540)/(IF(ISNUMBER(G2541),G2541,F2541)-IF(ISNUMBER(G2540),G2540,F2540)))</f>
        <v/>
      </c>
      <c r="W2541" s="30">
        <f>IF(NOT(AND(ISNUMBER(N2541),ISNUMBER(P2541))),"",(P2541-N2541)*1440)</f>
        <v/>
      </c>
      <c r="X2541" s="28" t="n"/>
      <c r="Y2541" s="28" t="n"/>
      <c r="Z2541" s="28" t="n"/>
      <c r="AA2541" s="31" t="n"/>
      <c r="AB2541" s="31" t="n"/>
    </row>
    <row r="2542">
      <c r="A2542" s="25" t="inlineStr">
        <is>
          <t>S49</t>
        </is>
      </c>
      <c r="B2542" s="25" t="inlineStr">
        <is>
          <t>제천</t>
        </is>
      </c>
      <c r="C2542" s="25" t="inlineStr">
        <is>
          <t>S49-H북</t>
        </is>
      </c>
      <c r="D2542" s="25" t="inlineStr">
        <is>
          <t>측정</t>
        </is>
      </c>
      <c r="E2542" s="25" t="inlineStr">
        <is>
          <t>북</t>
        </is>
      </c>
      <c r="F2542" s="30" t="n">
        <v>1</v>
      </c>
      <c r="G2542" s="29" t="n"/>
      <c r="H2542" s="42" t="n"/>
      <c r="I2542" s="40" t="n"/>
      <c r="J2542" s="40" t="n"/>
      <c r="K2542" s="40" t="n"/>
      <c r="L2542" s="30">
        <f>IF(COUNT(I2542:K2542)=0,"",MEDIAN(I2542:K2542))</f>
        <v/>
      </c>
      <c r="M2542" s="25">
        <f>IF(COUNTIFS($C:$C,$C2542,$D:$D,"P0(전)",$L:$L,"&gt;0")&lt;&gt;1,"P0(전) 유효 1개 아님",IF(COUNTIFS($C:$C,$C2542,$D:$D,"P0(후)",$L:$L,"&gt;0")&lt;&gt;1,"P0(후) 유효 1개 아님",IF(NOT(AND(ISNUMBER(N2542),ISNUMBER(P2542),ISNUMBER(H2542))),"시각 결측",IF(P2542&lt;=N2542,"P0 시각 역전",IF(OR(H2542&lt;N2542,H2542&gt;P2542),"측정시각 구간 밖","OK")))))</f>
        <v/>
      </c>
      <c r="N2542" s="45">
        <f>IF(COUNTIFS($C:$C,$C2542,$D:$D,"P0(전)",$L:$L,"&gt;0")&lt;&gt;1,"",SUMIFS($H:$H,$C:$C,$C2542,$D:$D,"P0(전)"))</f>
        <v/>
      </c>
      <c r="O2542" s="30">
        <f>IF(COUNTIFS($C:$C,$C2542,$D:$D,"P0(전)",$L:$L,"&gt;0")&lt;&gt;1,"",SUMIFS($L:$L,$C:$C,$C2542,$D:$D,"P0(전)"))</f>
        <v/>
      </c>
      <c r="P2542" s="45">
        <f>IF(COUNTIFS($C:$C,$C2542,$D:$D,"P0(후)",$L:$L,"&gt;0")&lt;&gt;1,"",SUMIFS($H:$H,$C:$C,$C2542,$D:$D,"P0(후)"))</f>
        <v/>
      </c>
      <c r="Q2542" s="30">
        <f>IF(COUNTIFS($C:$C,$C2542,$D:$D,"P0(후)",$L:$L,"&gt;0")&lt;&gt;1,"",SUMIFS($L:$L,$C:$C,$C2542,$D:$D,"P0(후)"))</f>
        <v/>
      </c>
      <c r="R2542" s="30">
        <f>IF(M2542&lt;&gt;"OK","",O2542+(Q2542-O2542)*(H2542-N2542)/(P2542-N2542))</f>
        <v/>
      </c>
      <c r="S2542" s="30">
        <f>IF(OR(M2542&lt;&gt;"OK",NOT(ISNUMBER(L2542))),"",L2542-R2542)</f>
        <v/>
      </c>
      <c r="T2542" s="46">
        <f>IF(OR(NOT(ISNUMBER(S2542)),IF(ISNUMBER(G2542),G2542,F2542)=0),"",S2542/IF(ISNUMBER(G2542),G2542,F2542))</f>
        <v/>
      </c>
      <c r="U2542" s="46">
        <f>IF(ISNUMBER(T2542),ABS(T2542),"")</f>
        <v/>
      </c>
      <c r="V2542" s="46">
        <f>IF(OR($D2541&lt;&gt;"측정",$C2541&lt;&gt;$C2542,NOT(ISNUMBER(L2542)),NOT(ISNUMBER(L2541)),(IF(ISNUMBER(G2542),G2542,F2542)-IF(ISNUMBER(G2541),G2541,F2541))=0),"",(L2542-L2541)/(IF(ISNUMBER(G2542),G2542,F2542)-IF(ISNUMBER(G2541),G2541,F2541)))</f>
        <v/>
      </c>
      <c r="W2542" s="30">
        <f>IF(NOT(AND(ISNUMBER(N2542),ISNUMBER(P2542))),"",(P2542-N2542)*1440)</f>
        <v/>
      </c>
      <c r="X2542" s="28" t="n"/>
      <c r="Y2542" s="28" t="n"/>
      <c r="Z2542" s="28" t="n"/>
      <c r="AA2542" s="31" t="n"/>
      <c r="AB2542" s="31" t="n"/>
    </row>
    <row r="2543">
      <c r="A2543" s="25" t="inlineStr">
        <is>
          <t>S49</t>
        </is>
      </c>
      <c r="B2543" s="25" t="inlineStr">
        <is>
          <t>제천</t>
        </is>
      </c>
      <c r="C2543" s="25" t="inlineStr">
        <is>
          <t>S49-H북</t>
        </is>
      </c>
      <c r="D2543" s="25" t="inlineStr">
        <is>
          <t>측정</t>
        </is>
      </c>
      <c r="E2543" s="25" t="inlineStr">
        <is>
          <t>북</t>
        </is>
      </c>
      <c r="F2543" s="30" t="n">
        <v>2</v>
      </c>
      <c r="G2543" s="29" t="n"/>
      <c r="H2543" s="42" t="n"/>
      <c r="I2543" s="40" t="n"/>
      <c r="J2543" s="40" t="n"/>
      <c r="K2543" s="40" t="n"/>
      <c r="L2543" s="30">
        <f>IF(COUNT(I2543:K2543)=0,"",MEDIAN(I2543:K2543))</f>
        <v/>
      </c>
      <c r="M2543" s="25">
        <f>IF(COUNTIFS($C:$C,$C2543,$D:$D,"P0(전)",$L:$L,"&gt;0")&lt;&gt;1,"P0(전) 유효 1개 아님",IF(COUNTIFS($C:$C,$C2543,$D:$D,"P0(후)",$L:$L,"&gt;0")&lt;&gt;1,"P0(후) 유효 1개 아님",IF(NOT(AND(ISNUMBER(N2543),ISNUMBER(P2543),ISNUMBER(H2543))),"시각 결측",IF(P2543&lt;=N2543,"P0 시각 역전",IF(OR(H2543&lt;N2543,H2543&gt;P2543),"측정시각 구간 밖","OK")))))</f>
        <v/>
      </c>
      <c r="N2543" s="45">
        <f>IF(COUNTIFS($C:$C,$C2543,$D:$D,"P0(전)",$L:$L,"&gt;0")&lt;&gt;1,"",SUMIFS($H:$H,$C:$C,$C2543,$D:$D,"P0(전)"))</f>
        <v/>
      </c>
      <c r="O2543" s="30">
        <f>IF(COUNTIFS($C:$C,$C2543,$D:$D,"P0(전)",$L:$L,"&gt;0")&lt;&gt;1,"",SUMIFS($L:$L,$C:$C,$C2543,$D:$D,"P0(전)"))</f>
        <v/>
      </c>
      <c r="P2543" s="45">
        <f>IF(COUNTIFS($C:$C,$C2543,$D:$D,"P0(후)",$L:$L,"&gt;0")&lt;&gt;1,"",SUMIFS($H:$H,$C:$C,$C2543,$D:$D,"P0(후)"))</f>
        <v/>
      </c>
      <c r="Q2543" s="30">
        <f>IF(COUNTIFS($C:$C,$C2543,$D:$D,"P0(후)",$L:$L,"&gt;0")&lt;&gt;1,"",SUMIFS($L:$L,$C:$C,$C2543,$D:$D,"P0(후)"))</f>
        <v/>
      </c>
      <c r="R2543" s="30">
        <f>IF(M2543&lt;&gt;"OK","",O2543+(Q2543-O2543)*(H2543-N2543)/(P2543-N2543))</f>
        <v/>
      </c>
      <c r="S2543" s="30">
        <f>IF(OR(M2543&lt;&gt;"OK",NOT(ISNUMBER(L2543))),"",L2543-R2543)</f>
        <v/>
      </c>
      <c r="T2543" s="46">
        <f>IF(OR(NOT(ISNUMBER(S2543)),IF(ISNUMBER(G2543),G2543,F2543)=0),"",S2543/IF(ISNUMBER(G2543),G2543,F2543))</f>
        <v/>
      </c>
      <c r="U2543" s="46">
        <f>IF(ISNUMBER(T2543),ABS(T2543),"")</f>
        <v/>
      </c>
      <c r="V2543" s="46">
        <f>IF(OR($D2542&lt;&gt;"측정",$C2542&lt;&gt;$C2543,NOT(ISNUMBER(L2543)),NOT(ISNUMBER(L2542)),(IF(ISNUMBER(G2543),G2543,F2543)-IF(ISNUMBER(G2542),G2542,F2542))=0),"",(L2543-L2542)/(IF(ISNUMBER(G2543),G2543,F2543)-IF(ISNUMBER(G2542),G2542,F2542)))</f>
        <v/>
      </c>
      <c r="W2543" s="30">
        <f>IF(NOT(AND(ISNUMBER(N2543),ISNUMBER(P2543))),"",(P2543-N2543)*1440)</f>
        <v/>
      </c>
      <c r="X2543" s="28" t="n"/>
      <c r="Y2543" s="28" t="n"/>
      <c r="Z2543" s="28" t="n"/>
      <c r="AA2543" s="31" t="n"/>
      <c r="AB2543" s="31" t="n"/>
    </row>
    <row r="2544">
      <c r="A2544" s="25" t="inlineStr">
        <is>
          <t>S49</t>
        </is>
      </c>
      <c r="B2544" s="25" t="inlineStr">
        <is>
          <t>제천</t>
        </is>
      </c>
      <c r="C2544" s="25" t="inlineStr">
        <is>
          <t>S49-H북</t>
        </is>
      </c>
      <c r="D2544" s="25" t="inlineStr">
        <is>
          <t>측정</t>
        </is>
      </c>
      <c r="E2544" s="25" t="inlineStr">
        <is>
          <t>북</t>
        </is>
      </c>
      <c r="F2544" s="30" t="n">
        <v>3</v>
      </c>
      <c r="G2544" s="29" t="n"/>
      <c r="H2544" s="42" t="n"/>
      <c r="I2544" s="40" t="n"/>
      <c r="J2544" s="40" t="n"/>
      <c r="K2544" s="40" t="n"/>
      <c r="L2544" s="30">
        <f>IF(COUNT(I2544:K2544)=0,"",MEDIAN(I2544:K2544))</f>
        <v/>
      </c>
      <c r="M2544" s="25">
        <f>IF(COUNTIFS($C:$C,$C2544,$D:$D,"P0(전)",$L:$L,"&gt;0")&lt;&gt;1,"P0(전) 유효 1개 아님",IF(COUNTIFS($C:$C,$C2544,$D:$D,"P0(후)",$L:$L,"&gt;0")&lt;&gt;1,"P0(후) 유효 1개 아님",IF(NOT(AND(ISNUMBER(N2544),ISNUMBER(P2544),ISNUMBER(H2544))),"시각 결측",IF(P2544&lt;=N2544,"P0 시각 역전",IF(OR(H2544&lt;N2544,H2544&gt;P2544),"측정시각 구간 밖","OK")))))</f>
        <v/>
      </c>
      <c r="N2544" s="45">
        <f>IF(COUNTIFS($C:$C,$C2544,$D:$D,"P0(전)",$L:$L,"&gt;0")&lt;&gt;1,"",SUMIFS($H:$H,$C:$C,$C2544,$D:$D,"P0(전)"))</f>
        <v/>
      </c>
      <c r="O2544" s="30">
        <f>IF(COUNTIFS($C:$C,$C2544,$D:$D,"P0(전)",$L:$L,"&gt;0")&lt;&gt;1,"",SUMIFS($L:$L,$C:$C,$C2544,$D:$D,"P0(전)"))</f>
        <v/>
      </c>
      <c r="P2544" s="45">
        <f>IF(COUNTIFS($C:$C,$C2544,$D:$D,"P0(후)",$L:$L,"&gt;0")&lt;&gt;1,"",SUMIFS($H:$H,$C:$C,$C2544,$D:$D,"P0(후)"))</f>
        <v/>
      </c>
      <c r="Q2544" s="30">
        <f>IF(COUNTIFS($C:$C,$C2544,$D:$D,"P0(후)",$L:$L,"&gt;0")&lt;&gt;1,"",SUMIFS($L:$L,$C:$C,$C2544,$D:$D,"P0(후)"))</f>
        <v/>
      </c>
      <c r="R2544" s="30">
        <f>IF(M2544&lt;&gt;"OK","",O2544+(Q2544-O2544)*(H2544-N2544)/(P2544-N2544))</f>
        <v/>
      </c>
      <c r="S2544" s="30">
        <f>IF(OR(M2544&lt;&gt;"OK",NOT(ISNUMBER(L2544))),"",L2544-R2544)</f>
        <v/>
      </c>
      <c r="T2544" s="46">
        <f>IF(OR(NOT(ISNUMBER(S2544)),IF(ISNUMBER(G2544),G2544,F2544)=0),"",S2544/IF(ISNUMBER(G2544),G2544,F2544))</f>
        <v/>
      </c>
      <c r="U2544" s="46">
        <f>IF(ISNUMBER(T2544),ABS(T2544),"")</f>
        <v/>
      </c>
      <c r="V2544" s="46">
        <f>IF(OR($D2543&lt;&gt;"측정",$C2543&lt;&gt;$C2544,NOT(ISNUMBER(L2544)),NOT(ISNUMBER(L2543)),(IF(ISNUMBER(G2544),G2544,F2544)-IF(ISNUMBER(G2543),G2543,F2543))=0),"",(L2544-L2543)/(IF(ISNUMBER(G2544),G2544,F2544)-IF(ISNUMBER(G2543),G2543,F2543)))</f>
        <v/>
      </c>
      <c r="W2544" s="30">
        <f>IF(NOT(AND(ISNUMBER(N2544),ISNUMBER(P2544))),"",(P2544-N2544)*1440)</f>
        <v/>
      </c>
      <c r="X2544" s="28" t="n"/>
      <c r="Y2544" s="28" t="n"/>
      <c r="Z2544" s="28" t="n"/>
      <c r="AA2544" s="31" t="n"/>
      <c r="AB2544" s="31" t="n"/>
    </row>
    <row r="2545">
      <c r="A2545" s="25" t="inlineStr">
        <is>
          <t>S49</t>
        </is>
      </c>
      <c r="B2545" s="25" t="inlineStr">
        <is>
          <t>제천</t>
        </is>
      </c>
      <c r="C2545" s="25" t="inlineStr">
        <is>
          <t>S49-H북</t>
        </is>
      </c>
      <c r="D2545" s="25" t="inlineStr">
        <is>
          <t>측정</t>
        </is>
      </c>
      <c r="E2545" s="25" t="inlineStr">
        <is>
          <t>북</t>
        </is>
      </c>
      <c r="F2545" s="30" t="n">
        <v>4</v>
      </c>
      <c r="G2545" s="29" t="n"/>
      <c r="H2545" s="42" t="n"/>
      <c r="I2545" s="40" t="n"/>
      <c r="J2545" s="40" t="n"/>
      <c r="K2545" s="40" t="n"/>
      <c r="L2545" s="30">
        <f>IF(COUNT(I2545:K2545)=0,"",MEDIAN(I2545:K2545))</f>
        <v/>
      </c>
      <c r="M2545" s="25">
        <f>IF(COUNTIFS($C:$C,$C2545,$D:$D,"P0(전)",$L:$L,"&gt;0")&lt;&gt;1,"P0(전) 유효 1개 아님",IF(COUNTIFS($C:$C,$C2545,$D:$D,"P0(후)",$L:$L,"&gt;0")&lt;&gt;1,"P0(후) 유효 1개 아님",IF(NOT(AND(ISNUMBER(N2545),ISNUMBER(P2545),ISNUMBER(H2545))),"시각 결측",IF(P2545&lt;=N2545,"P0 시각 역전",IF(OR(H2545&lt;N2545,H2545&gt;P2545),"측정시각 구간 밖","OK")))))</f>
        <v/>
      </c>
      <c r="N2545" s="45">
        <f>IF(COUNTIFS($C:$C,$C2545,$D:$D,"P0(전)",$L:$L,"&gt;0")&lt;&gt;1,"",SUMIFS($H:$H,$C:$C,$C2545,$D:$D,"P0(전)"))</f>
        <v/>
      </c>
      <c r="O2545" s="30">
        <f>IF(COUNTIFS($C:$C,$C2545,$D:$D,"P0(전)",$L:$L,"&gt;0")&lt;&gt;1,"",SUMIFS($L:$L,$C:$C,$C2545,$D:$D,"P0(전)"))</f>
        <v/>
      </c>
      <c r="P2545" s="45">
        <f>IF(COUNTIFS($C:$C,$C2545,$D:$D,"P0(후)",$L:$L,"&gt;0")&lt;&gt;1,"",SUMIFS($H:$H,$C:$C,$C2545,$D:$D,"P0(후)"))</f>
        <v/>
      </c>
      <c r="Q2545" s="30">
        <f>IF(COUNTIFS($C:$C,$C2545,$D:$D,"P0(후)",$L:$L,"&gt;0")&lt;&gt;1,"",SUMIFS($L:$L,$C:$C,$C2545,$D:$D,"P0(후)"))</f>
        <v/>
      </c>
      <c r="R2545" s="30">
        <f>IF(M2545&lt;&gt;"OK","",O2545+(Q2545-O2545)*(H2545-N2545)/(P2545-N2545))</f>
        <v/>
      </c>
      <c r="S2545" s="30">
        <f>IF(OR(M2545&lt;&gt;"OK",NOT(ISNUMBER(L2545))),"",L2545-R2545)</f>
        <v/>
      </c>
      <c r="T2545" s="46">
        <f>IF(OR(NOT(ISNUMBER(S2545)),IF(ISNUMBER(G2545),G2545,F2545)=0),"",S2545/IF(ISNUMBER(G2545),G2545,F2545))</f>
        <v/>
      </c>
      <c r="U2545" s="46">
        <f>IF(ISNUMBER(T2545),ABS(T2545),"")</f>
        <v/>
      </c>
      <c r="V2545" s="46">
        <f>IF(OR($D2544&lt;&gt;"측정",$C2544&lt;&gt;$C2545,NOT(ISNUMBER(L2545)),NOT(ISNUMBER(L2544)),(IF(ISNUMBER(G2545),G2545,F2545)-IF(ISNUMBER(G2544),G2544,F2544))=0),"",(L2545-L2544)/(IF(ISNUMBER(G2545),G2545,F2545)-IF(ISNUMBER(G2544),G2544,F2544)))</f>
        <v/>
      </c>
      <c r="W2545" s="30">
        <f>IF(NOT(AND(ISNUMBER(N2545),ISNUMBER(P2545))),"",(P2545-N2545)*1440)</f>
        <v/>
      </c>
      <c r="X2545" s="28" t="n"/>
      <c r="Y2545" s="28" t="n"/>
      <c r="Z2545" s="28" t="n"/>
      <c r="AA2545" s="31" t="n"/>
      <c r="AB2545" s="31" t="n"/>
    </row>
    <row r="2546">
      <c r="A2546" s="25" t="inlineStr">
        <is>
          <t>S49</t>
        </is>
      </c>
      <c r="B2546" s="25" t="inlineStr">
        <is>
          <t>제천</t>
        </is>
      </c>
      <c r="C2546" s="25" t="inlineStr">
        <is>
          <t>S49-H북</t>
        </is>
      </c>
      <c r="D2546" s="25" t="inlineStr">
        <is>
          <t>측정</t>
        </is>
      </c>
      <c r="E2546" s="25" t="inlineStr">
        <is>
          <t>북</t>
        </is>
      </c>
      <c r="F2546" s="30" t="n">
        <v>5</v>
      </c>
      <c r="G2546" s="29" t="n"/>
      <c r="H2546" s="42" t="n"/>
      <c r="I2546" s="40" t="n"/>
      <c r="J2546" s="40" t="n"/>
      <c r="K2546" s="40" t="n"/>
      <c r="L2546" s="30">
        <f>IF(COUNT(I2546:K2546)=0,"",MEDIAN(I2546:K2546))</f>
        <v/>
      </c>
      <c r="M2546" s="25">
        <f>IF(COUNTIFS($C:$C,$C2546,$D:$D,"P0(전)",$L:$L,"&gt;0")&lt;&gt;1,"P0(전) 유효 1개 아님",IF(COUNTIFS($C:$C,$C2546,$D:$D,"P0(후)",$L:$L,"&gt;0")&lt;&gt;1,"P0(후) 유효 1개 아님",IF(NOT(AND(ISNUMBER(N2546),ISNUMBER(P2546),ISNUMBER(H2546))),"시각 결측",IF(P2546&lt;=N2546,"P0 시각 역전",IF(OR(H2546&lt;N2546,H2546&gt;P2546),"측정시각 구간 밖","OK")))))</f>
        <v/>
      </c>
      <c r="N2546" s="45">
        <f>IF(COUNTIFS($C:$C,$C2546,$D:$D,"P0(전)",$L:$L,"&gt;0")&lt;&gt;1,"",SUMIFS($H:$H,$C:$C,$C2546,$D:$D,"P0(전)"))</f>
        <v/>
      </c>
      <c r="O2546" s="30">
        <f>IF(COUNTIFS($C:$C,$C2546,$D:$D,"P0(전)",$L:$L,"&gt;0")&lt;&gt;1,"",SUMIFS($L:$L,$C:$C,$C2546,$D:$D,"P0(전)"))</f>
        <v/>
      </c>
      <c r="P2546" s="45">
        <f>IF(COUNTIFS($C:$C,$C2546,$D:$D,"P0(후)",$L:$L,"&gt;0")&lt;&gt;1,"",SUMIFS($H:$H,$C:$C,$C2546,$D:$D,"P0(후)"))</f>
        <v/>
      </c>
      <c r="Q2546" s="30">
        <f>IF(COUNTIFS($C:$C,$C2546,$D:$D,"P0(후)",$L:$L,"&gt;0")&lt;&gt;1,"",SUMIFS($L:$L,$C:$C,$C2546,$D:$D,"P0(후)"))</f>
        <v/>
      </c>
      <c r="R2546" s="30">
        <f>IF(M2546&lt;&gt;"OK","",O2546+(Q2546-O2546)*(H2546-N2546)/(P2546-N2546))</f>
        <v/>
      </c>
      <c r="S2546" s="30">
        <f>IF(OR(M2546&lt;&gt;"OK",NOT(ISNUMBER(L2546))),"",L2546-R2546)</f>
        <v/>
      </c>
      <c r="T2546" s="46">
        <f>IF(OR(NOT(ISNUMBER(S2546)),IF(ISNUMBER(G2546),G2546,F2546)=0),"",S2546/IF(ISNUMBER(G2546),G2546,F2546))</f>
        <v/>
      </c>
      <c r="U2546" s="46">
        <f>IF(ISNUMBER(T2546),ABS(T2546),"")</f>
        <v/>
      </c>
      <c r="V2546" s="46">
        <f>IF(OR($D2545&lt;&gt;"측정",$C2545&lt;&gt;$C2546,NOT(ISNUMBER(L2546)),NOT(ISNUMBER(L2545)),(IF(ISNUMBER(G2546),G2546,F2546)-IF(ISNUMBER(G2545),G2545,F2545))=0),"",(L2546-L2545)/(IF(ISNUMBER(G2546),G2546,F2546)-IF(ISNUMBER(G2545),G2545,F2545)))</f>
        <v/>
      </c>
      <c r="W2546" s="30">
        <f>IF(NOT(AND(ISNUMBER(N2546),ISNUMBER(P2546))),"",(P2546-N2546)*1440)</f>
        <v/>
      </c>
      <c r="X2546" s="28" t="n"/>
      <c r="Y2546" s="28" t="n"/>
      <c r="Z2546" s="28" t="n"/>
      <c r="AA2546" s="31" t="n"/>
      <c r="AB2546" s="31" t="n"/>
    </row>
    <row r="2547">
      <c r="A2547" s="25" t="inlineStr">
        <is>
          <t>S49</t>
        </is>
      </c>
      <c r="B2547" s="25" t="inlineStr">
        <is>
          <t>제천</t>
        </is>
      </c>
      <c r="C2547" s="25" t="inlineStr">
        <is>
          <t>S49-H북</t>
        </is>
      </c>
      <c r="D2547" s="25" t="inlineStr">
        <is>
          <t>측정</t>
        </is>
      </c>
      <c r="E2547" s="25" t="inlineStr">
        <is>
          <t>북</t>
        </is>
      </c>
      <c r="F2547" s="30" t="n">
        <v>6</v>
      </c>
      <c r="G2547" s="29" t="n"/>
      <c r="H2547" s="42" t="n"/>
      <c r="I2547" s="40" t="n"/>
      <c r="J2547" s="40" t="n"/>
      <c r="K2547" s="40" t="n"/>
      <c r="L2547" s="30">
        <f>IF(COUNT(I2547:K2547)=0,"",MEDIAN(I2547:K2547))</f>
        <v/>
      </c>
      <c r="M2547" s="25">
        <f>IF(COUNTIFS($C:$C,$C2547,$D:$D,"P0(전)",$L:$L,"&gt;0")&lt;&gt;1,"P0(전) 유효 1개 아님",IF(COUNTIFS($C:$C,$C2547,$D:$D,"P0(후)",$L:$L,"&gt;0")&lt;&gt;1,"P0(후) 유효 1개 아님",IF(NOT(AND(ISNUMBER(N2547),ISNUMBER(P2547),ISNUMBER(H2547))),"시각 결측",IF(P2547&lt;=N2547,"P0 시각 역전",IF(OR(H2547&lt;N2547,H2547&gt;P2547),"측정시각 구간 밖","OK")))))</f>
        <v/>
      </c>
      <c r="N2547" s="45">
        <f>IF(COUNTIFS($C:$C,$C2547,$D:$D,"P0(전)",$L:$L,"&gt;0")&lt;&gt;1,"",SUMIFS($H:$H,$C:$C,$C2547,$D:$D,"P0(전)"))</f>
        <v/>
      </c>
      <c r="O2547" s="30">
        <f>IF(COUNTIFS($C:$C,$C2547,$D:$D,"P0(전)",$L:$L,"&gt;0")&lt;&gt;1,"",SUMIFS($L:$L,$C:$C,$C2547,$D:$D,"P0(전)"))</f>
        <v/>
      </c>
      <c r="P2547" s="45">
        <f>IF(COUNTIFS($C:$C,$C2547,$D:$D,"P0(후)",$L:$L,"&gt;0")&lt;&gt;1,"",SUMIFS($H:$H,$C:$C,$C2547,$D:$D,"P0(후)"))</f>
        <v/>
      </c>
      <c r="Q2547" s="30">
        <f>IF(COUNTIFS($C:$C,$C2547,$D:$D,"P0(후)",$L:$L,"&gt;0")&lt;&gt;1,"",SUMIFS($L:$L,$C:$C,$C2547,$D:$D,"P0(후)"))</f>
        <v/>
      </c>
      <c r="R2547" s="30">
        <f>IF(M2547&lt;&gt;"OK","",O2547+(Q2547-O2547)*(H2547-N2547)/(P2547-N2547))</f>
        <v/>
      </c>
      <c r="S2547" s="30">
        <f>IF(OR(M2547&lt;&gt;"OK",NOT(ISNUMBER(L2547))),"",L2547-R2547)</f>
        <v/>
      </c>
      <c r="T2547" s="46">
        <f>IF(OR(NOT(ISNUMBER(S2547)),IF(ISNUMBER(G2547),G2547,F2547)=0),"",S2547/IF(ISNUMBER(G2547),G2547,F2547))</f>
        <v/>
      </c>
      <c r="U2547" s="46">
        <f>IF(ISNUMBER(T2547),ABS(T2547),"")</f>
        <v/>
      </c>
      <c r="V2547" s="46">
        <f>IF(OR($D2546&lt;&gt;"측정",$C2546&lt;&gt;$C2547,NOT(ISNUMBER(L2547)),NOT(ISNUMBER(L2546)),(IF(ISNUMBER(G2547),G2547,F2547)-IF(ISNUMBER(G2546),G2546,F2546))=0),"",(L2547-L2546)/(IF(ISNUMBER(G2547),G2547,F2547)-IF(ISNUMBER(G2546),G2546,F2546)))</f>
        <v/>
      </c>
      <c r="W2547" s="30">
        <f>IF(NOT(AND(ISNUMBER(N2547),ISNUMBER(P2547))),"",(P2547-N2547)*1440)</f>
        <v/>
      </c>
      <c r="X2547" s="28" t="n"/>
      <c r="Y2547" s="28" t="n"/>
      <c r="Z2547" s="28" t="n"/>
      <c r="AA2547" s="31" t="n"/>
      <c r="AB2547" s="31" t="n"/>
    </row>
    <row r="2548">
      <c r="A2548" s="25" t="inlineStr">
        <is>
          <t>S49</t>
        </is>
      </c>
      <c r="B2548" s="25" t="inlineStr">
        <is>
          <t>제천</t>
        </is>
      </c>
      <c r="C2548" s="25" t="inlineStr">
        <is>
          <t>S49-H북</t>
        </is>
      </c>
      <c r="D2548" s="25" t="inlineStr">
        <is>
          <t>측정</t>
        </is>
      </c>
      <c r="E2548" s="25" t="inlineStr">
        <is>
          <t>북</t>
        </is>
      </c>
      <c r="F2548" s="30" t="n">
        <v>7</v>
      </c>
      <c r="G2548" s="29" t="n"/>
      <c r="H2548" s="42" t="n"/>
      <c r="I2548" s="40" t="n"/>
      <c r="J2548" s="40" t="n"/>
      <c r="K2548" s="40" t="n"/>
      <c r="L2548" s="30">
        <f>IF(COUNT(I2548:K2548)=0,"",MEDIAN(I2548:K2548))</f>
        <v/>
      </c>
      <c r="M2548" s="25">
        <f>IF(COUNTIFS($C:$C,$C2548,$D:$D,"P0(전)",$L:$L,"&gt;0")&lt;&gt;1,"P0(전) 유효 1개 아님",IF(COUNTIFS($C:$C,$C2548,$D:$D,"P0(후)",$L:$L,"&gt;0")&lt;&gt;1,"P0(후) 유효 1개 아님",IF(NOT(AND(ISNUMBER(N2548),ISNUMBER(P2548),ISNUMBER(H2548))),"시각 결측",IF(P2548&lt;=N2548,"P0 시각 역전",IF(OR(H2548&lt;N2548,H2548&gt;P2548),"측정시각 구간 밖","OK")))))</f>
        <v/>
      </c>
      <c r="N2548" s="45">
        <f>IF(COUNTIFS($C:$C,$C2548,$D:$D,"P0(전)",$L:$L,"&gt;0")&lt;&gt;1,"",SUMIFS($H:$H,$C:$C,$C2548,$D:$D,"P0(전)"))</f>
        <v/>
      </c>
      <c r="O2548" s="30">
        <f>IF(COUNTIFS($C:$C,$C2548,$D:$D,"P0(전)",$L:$L,"&gt;0")&lt;&gt;1,"",SUMIFS($L:$L,$C:$C,$C2548,$D:$D,"P0(전)"))</f>
        <v/>
      </c>
      <c r="P2548" s="45">
        <f>IF(COUNTIFS($C:$C,$C2548,$D:$D,"P0(후)",$L:$L,"&gt;0")&lt;&gt;1,"",SUMIFS($H:$H,$C:$C,$C2548,$D:$D,"P0(후)"))</f>
        <v/>
      </c>
      <c r="Q2548" s="30">
        <f>IF(COUNTIFS($C:$C,$C2548,$D:$D,"P0(후)",$L:$L,"&gt;0")&lt;&gt;1,"",SUMIFS($L:$L,$C:$C,$C2548,$D:$D,"P0(후)"))</f>
        <v/>
      </c>
      <c r="R2548" s="30">
        <f>IF(M2548&lt;&gt;"OK","",O2548+(Q2548-O2548)*(H2548-N2548)/(P2548-N2548))</f>
        <v/>
      </c>
      <c r="S2548" s="30">
        <f>IF(OR(M2548&lt;&gt;"OK",NOT(ISNUMBER(L2548))),"",L2548-R2548)</f>
        <v/>
      </c>
      <c r="T2548" s="46">
        <f>IF(OR(NOT(ISNUMBER(S2548)),IF(ISNUMBER(G2548),G2548,F2548)=0),"",S2548/IF(ISNUMBER(G2548),G2548,F2548))</f>
        <v/>
      </c>
      <c r="U2548" s="46">
        <f>IF(ISNUMBER(T2548),ABS(T2548),"")</f>
        <v/>
      </c>
      <c r="V2548" s="46">
        <f>IF(OR($D2547&lt;&gt;"측정",$C2547&lt;&gt;$C2548,NOT(ISNUMBER(L2548)),NOT(ISNUMBER(L2547)),(IF(ISNUMBER(G2548),G2548,F2548)-IF(ISNUMBER(G2547),G2547,F2547))=0),"",(L2548-L2547)/(IF(ISNUMBER(G2548),G2548,F2548)-IF(ISNUMBER(G2547),G2547,F2547)))</f>
        <v/>
      </c>
      <c r="W2548" s="30">
        <f>IF(NOT(AND(ISNUMBER(N2548),ISNUMBER(P2548))),"",(P2548-N2548)*1440)</f>
        <v/>
      </c>
      <c r="X2548" s="28" t="n"/>
      <c r="Y2548" s="28" t="n"/>
      <c r="Z2548" s="28" t="n"/>
      <c r="AA2548" s="31" t="n"/>
      <c r="AB2548" s="31" t="n"/>
    </row>
    <row r="2549">
      <c r="A2549" s="25" t="inlineStr">
        <is>
          <t>S49</t>
        </is>
      </c>
      <c r="B2549" s="25" t="inlineStr">
        <is>
          <t>제천</t>
        </is>
      </c>
      <c r="C2549" s="25" t="inlineStr">
        <is>
          <t>S49-H북</t>
        </is>
      </c>
      <c r="D2549" s="25" t="inlineStr">
        <is>
          <t>측정</t>
        </is>
      </c>
      <c r="E2549" s="25" t="inlineStr">
        <is>
          <t>북</t>
        </is>
      </c>
      <c r="F2549" s="30" t="n">
        <v>8</v>
      </c>
      <c r="G2549" s="29" t="n"/>
      <c r="H2549" s="42" t="n"/>
      <c r="I2549" s="40" t="n"/>
      <c r="J2549" s="40" t="n"/>
      <c r="K2549" s="40" t="n"/>
      <c r="L2549" s="30">
        <f>IF(COUNT(I2549:K2549)=0,"",MEDIAN(I2549:K2549))</f>
        <v/>
      </c>
      <c r="M2549" s="25">
        <f>IF(COUNTIFS($C:$C,$C2549,$D:$D,"P0(전)",$L:$L,"&gt;0")&lt;&gt;1,"P0(전) 유효 1개 아님",IF(COUNTIFS($C:$C,$C2549,$D:$D,"P0(후)",$L:$L,"&gt;0")&lt;&gt;1,"P0(후) 유효 1개 아님",IF(NOT(AND(ISNUMBER(N2549),ISNUMBER(P2549),ISNUMBER(H2549))),"시각 결측",IF(P2549&lt;=N2549,"P0 시각 역전",IF(OR(H2549&lt;N2549,H2549&gt;P2549),"측정시각 구간 밖","OK")))))</f>
        <v/>
      </c>
      <c r="N2549" s="45">
        <f>IF(COUNTIFS($C:$C,$C2549,$D:$D,"P0(전)",$L:$L,"&gt;0")&lt;&gt;1,"",SUMIFS($H:$H,$C:$C,$C2549,$D:$D,"P0(전)"))</f>
        <v/>
      </c>
      <c r="O2549" s="30">
        <f>IF(COUNTIFS($C:$C,$C2549,$D:$D,"P0(전)",$L:$L,"&gt;0")&lt;&gt;1,"",SUMIFS($L:$L,$C:$C,$C2549,$D:$D,"P0(전)"))</f>
        <v/>
      </c>
      <c r="P2549" s="45">
        <f>IF(COUNTIFS($C:$C,$C2549,$D:$D,"P0(후)",$L:$L,"&gt;0")&lt;&gt;1,"",SUMIFS($H:$H,$C:$C,$C2549,$D:$D,"P0(후)"))</f>
        <v/>
      </c>
      <c r="Q2549" s="30">
        <f>IF(COUNTIFS($C:$C,$C2549,$D:$D,"P0(후)",$L:$L,"&gt;0")&lt;&gt;1,"",SUMIFS($L:$L,$C:$C,$C2549,$D:$D,"P0(후)"))</f>
        <v/>
      </c>
      <c r="R2549" s="30">
        <f>IF(M2549&lt;&gt;"OK","",O2549+(Q2549-O2549)*(H2549-N2549)/(P2549-N2549))</f>
        <v/>
      </c>
      <c r="S2549" s="30">
        <f>IF(OR(M2549&lt;&gt;"OK",NOT(ISNUMBER(L2549))),"",L2549-R2549)</f>
        <v/>
      </c>
      <c r="T2549" s="46">
        <f>IF(OR(NOT(ISNUMBER(S2549)),IF(ISNUMBER(G2549),G2549,F2549)=0),"",S2549/IF(ISNUMBER(G2549),G2549,F2549))</f>
        <v/>
      </c>
      <c r="U2549" s="46">
        <f>IF(ISNUMBER(T2549),ABS(T2549),"")</f>
        <v/>
      </c>
      <c r="V2549" s="46">
        <f>IF(OR($D2548&lt;&gt;"측정",$C2548&lt;&gt;$C2549,NOT(ISNUMBER(L2549)),NOT(ISNUMBER(L2548)),(IF(ISNUMBER(G2549),G2549,F2549)-IF(ISNUMBER(G2548),G2548,F2548))=0),"",(L2549-L2548)/(IF(ISNUMBER(G2549),G2549,F2549)-IF(ISNUMBER(G2548),G2548,F2548)))</f>
        <v/>
      </c>
      <c r="W2549" s="30">
        <f>IF(NOT(AND(ISNUMBER(N2549),ISNUMBER(P2549))),"",(P2549-N2549)*1440)</f>
        <v/>
      </c>
      <c r="X2549" s="28" t="n"/>
      <c r="Y2549" s="28" t="n"/>
      <c r="Z2549" s="28" t="n"/>
      <c r="AA2549" s="31" t="n"/>
      <c r="AB2549" s="31" t="n"/>
    </row>
    <row r="2550">
      <c r="A2550" s="25" t="inlineStr">
        <is>
          <t>S49</t>
        </is>
      </c>
      <c r="B2550" s="25" t="inlineStr">
        <is>
          <t>제천</t>
        </is>
      </c>
      <c r="C2550" s="25" t="inlineStr">
        <is>
          <t>S49-H북</t>
        </is>
      </c>
      <c r="D2550" s="25" t="inlineStr">
        <is>
          <t>측정</t>
        </is>
      </c>
      <c r="E2550" s="25" t="inlineStr">
        <is>
          <t>북</t>
        </is>
      </c>
      <c r="F2550" s="30" t="n">
        <v>9</v>
      </c>
      <c r="G2550" s="29" t="n"/>
      <c r="H2550" s="42" t="n"/>
      <c r="I2550" s="40" t="n"/>
      <c r="J2550" s="40" t="n"/>
      <c r="K2550" s="40" t="n"/>
      <c r="L2550" s="30">
        <f>IF(COUNT(I2550:K2550)=0,"",MEDIAN(I2550:K2550))</f>
        <v/>
      </c>
      <c r="M2550" s="25">
        <f>IF(COUNTIFS($C:$C,$C2550,$D:$D,"P0(전)",$L:$L,"&gt;0")&lt;&gt;1,"P0(전) 유효 1개 아님",IF(COUNTIFS($C:$C,$C2550,$D:$D,"P0(후)",$L:$L,"&gt;0")&lt;&gt;1,"P0(후) 유효 1개 아님",IF(NOT(AND(ISNUMBER(N2550),ISNUMBER(P2550),ISNUMBER(H2550))),"시각 결측",IF(P2550&lt;=N2550,"P0 시각 역전",IF(OR(H2550&lt;N2550,H2550&gt;P2550),"측정시각 구간 밖","OK")))))</f>
        <v/>
      </c>
      <c r="N2550" s="45">
        <f>IF(COUNTIFS($C:$C,$C2550,$D:$D,"P0(전)",$L:$L,"&gt;0")&lt;&gt;1,"",SUMIFS($H:$H,$C:$C,$C2550,$D:$D,"P0(전)"))</f>
        <v/>
      </c>
      <c r="O2550" s="30">
        <f>IF(COUNTIFS($C:$C,$C2550,$D:$D,"P0(전)",$L:$L,"&gt;0")&lt;&gt;1,"",SUMIFS($L:$L,$C:$C,$C2550,$D:$D,"P0(전)"))</f>
        <v/>
      </c>
      <c r="P2550" s="45">
        <f>IF(COUNTIFS($C:$C,$C2550,$D:$D,"P0(후)",$L:$L,"&gt;0")&lt;&gt;1,"",SUMIFS($H:$H,$C:$C,$C2550,$D:$D,"P0(후)"))</f>
        <v/>
      </c>
      <c r="Q2550" s="30">
        <f>IF(COUNTIFS($C:$C,$C2550,$D:$D,"P0(후)",$L:$L,"&gt;0")&lt;&gt;1,"",SUMIFS($L:$L,$C:$C,$C2550,$D:$D,"P0(후)"))</f>
        <v/>
      </c>
      <c r="R2550" s="30">
        <f>IF(M2550&lt;&gt;"OK","",O2550+(Q2550-O2550)*(H2550-N2550)/(P2550-N2550))</f>
        <v/>
      </c>
      <c r="S2550" s="30">
        <f>IF(OR(M2550&lt;&gt;"OK",NOT(ISNUMBER(L2550))),"",L2550-R2550)</f>
        <v/>
      </c>
      <c r="T2550" s="46">
        <f>IF(OR(NOT(ISNUMBER(S2550)),IF(ISNUMBER(G2550),G2550,F2550)=0),"",S2550/IF(ISNUMBER(G2550),G2550,F2550))</f>
        <v/>
      </c>
      <c r="U2550" s="46">
        <f>IF(ISNUMBER(T2550),ABS(T2550),"")</f>
        <v/>
      </c>
      <c r="V2550" s="46">
        <f>IF(OR($D2549&lt;&gt;"측정",$C2549&lt;&gt;$C2550,NOT(ISNUMBER(L2550)),NOT(ISNUMBER(L2549)),(IF(ISNUMBER(G2550),G2550,F2550)-IF(ISNUMBER(G2549),G2549,F2549))=0),"",(L2550-L2549)/(IF(ISNUMBER(G2550),G2550,F2550)-IF(ISNUMBER(G2549),G2549,F2549)))</f>
        <v/>
      </c>
      <c r="W2550" s="30">
        <f>IF(NOT(AND(ISNUMBER(N2550),ISNUMBER(P2550))),"",(P2550-N2550)*1440)</f>
        <v/>
      </c>
      <c r="X2550" s="28" t="n"/>
      <c r="Y2550" s="28" t="n"/>
      <c r="Z2550" s="28" t="n"/>
      <c r="AA2550" s="31" t="n"/>
      <c r="AB2550" s="31" t="n"/>
    </row>
    <row r="2551">
      <c r="A2551" s="25" t="inlineStr">
        <is>
          <t>S49</t>
        </is>
      </c>
      <c r="B2551" s="25" t="inlineStr">
        <is>
          <t>제천</t>
        </is>
      </c>
      <c r="C2551" s="25" t="inlineStr">
        <is>
          <t>S49-H북</t>
        </is>
      </c>
      <c r="D2551" s="25" t="inlineStr">
        <is>
          <t>측정</t>
        </is>
      </c>
      <c r="E2551" s="25" t="inlineStr">
        <is>
          <t>북</t>
        </is>
      </c>
      <c r="F2551" s="30" t="n">
        <v>10</v>
      </c>
      <c r="G2551" s="29" t="n"/>
      <c r="H2551" s="42" t="n"/>
      <c r="I2551" s="40" t="n"/>
      <c r="J2551" s="40" t="n"/>
      <c r="K2551" s="40" t="n"/>
      <c r="L2551" s="30">
        <f>IF(COUNT(I2551:K2551)=0,"",MEDIAN(I2551:K2551))</f>
        <v/>
      </c>
      <c r="M2551" s="25">
        <f>IF(COUNTIFS($C:$C,$C2551,$D:$D,"P0(전)",$L:$L,"&gt;0")&lt;&gt;1,"P0(전) 유효 1개 아님",IF(COUNTIFS($C:$C,$C2551,$D:$D,"P0(후)",$L:$L,"&gt;0")&lt;&gt;1,"P0(후) 유효 1개 아님",IF(NOT(AND(ISNUMBER(N2551),ISNUMBER(P2551),ISNUMBER(H2551))),"시각 결측",IF(P2551&lt;=N2551,"P0 시각 역전",IF(OR(H2551&lt;N2551,H2551&gt;P2551),"측정시각 구간 밖","OK")))))</f>
        <v/>
      </c>
      <c r="N2551" s="45">
        <f>IF(COUNTIFS($C:$C,$C2551,$D:$D,"P0(전)",$L:$L,"&gt;0")&lt;&gt;1,"",SUMIFS($H:$H,$C:$C,$C2551,$D:$D,"P0(전)"))</f>
        <v/>
      </c>
      <c r="O2551" s="30">
        <f>IF(COUNTIFS($C:$C,$C2551,$D:$D,"P0(전)",$L:$L,"&gt;0")&lt;&gt;1,"",SUMIFS($L:$L,$C:$C,$C2551,$D:$D,"P0(전)"))</f>
        <v/>
      </c>
      <c r="P2551" s="45">
        <f>IF(COUNTIFS($C:$C,$C2551,$D:$D,"P0(후)",$L:$L,"&gt;0")&lt;&gt;1,"",SUMIFS($H:$H,$C:$C,$C2551,$D:$D,"P0(후)"))</f>
        <v/>
      </c>
      <c r="Q2551" s="30">
        <f>IF(COUNTIFS($C:$C,$C2551,$D:$D,"P0(후)",$L:$L,"&gt;0")&lt;&gt;1,"",SUMIFS($L:$L,$C:$C,$C2551,$D:$D,"P0(후)"))</f>
        <v/>
      </c>
      <c r="R2551" s="30">
        <f>IF(M2551&lt;&gt;"OK","",O2551+(Q2551-O2551)*(H2551-N2551)/(P2551-N2551))</f>
        <v/>
      </c>
      <c r="S2551" s="30">
        <f>IF(OR(M2551&lt;&gt;"OK",NOT(ISNUMBER(L2551))),"",L2551-R2551)</f>
        <v/>
      </c>
      <c r="T2551" s="46">
        <f>IF(OR(NOT(ISNUMBER(S2551)),IF(ISNUMBER(G2551),G2551,F2551)=0),"",S2551/IF(ISNUMBER(G2551),G2551,F2551))</f>
        <v/>
      </c>
      <c r="U2551" s="46">
        <f>IF(ISNUMBER(T2551),ABS(T2551),"")</f>
        <v/>
      </c>
      <c r="V2551" s="46">
        <f>IF(OR($D2550&lt;&gt;"측정",$C2550&lt;&gt;$C2551,NOT(ISNUMBER(L2551)),NOT(ISNUMBER(L2550)),(IF(ISNUMBER(G2551),G2551,F2551)-IF(ISNUMBER(G2550),G2550,F2550))=0),"",(L2551-L2550)/(IF(ISNUMBER(G2551),G2551,F2551)-IF(ISNUMBER(G2550),G2550,F2550)))</f>
        <v/>
      </c>
      <c r="W2551" s="30">
        <f>IF(NOT(AND(ISNUMBER(N2551),ISNUMBER(P2551))),"",(P2551-N2551)*1440)</f>
        <v/>
      </c>
      <c r="X2551" s="28" t="n"/>
      <c r="Y2551" s="28" t="n"/>
      <c r="Z2551" s="28" t="n"/>
      <c r="AA2551" s="31" t="n"/>
      <c r="AB2551" s="31" t="n"/>
    </row>
    <row r="2552">
      <c r="A2552" s="43" t="inlineStr">
        <is>
          <t>S49</t>
        </is>
      </c>
      <c r="B2552" s="43" t="inlineStr">
        <is>
          <t>제천</t>
        </is>
      </c>
      <c r="C2552" s="43" t="inlineStr">
        <is>
          <t>S49-H북</t>
        </is>
      </c>
      <c r="D2552" s="43" t="inlineStr">
        <is>
          <t>P0(후)</t>
        </is>
      </c>
      <c r="E2552" s="43" t="inlineStr">
        <is>
          <t>북</t>
        </is>
      </c>
      <c r="F2552" s="44" t="n"/>
      <c r="G2552" s="29" t="n"/>
      <c r="H2552" s="42" t="n"/>
      <c r="I2552" s="40" t="n"/>
      <c r="J2552" s="40" t="n"/>
      <c r="K2552" s="40" t="n"/>
      <c r="L2552" s="30">
        <f>IF(COUNT(I2552:K2552)=0,"",MEDIAN(I2552:K2552))</f>
        <v/>
      </c>
      <c r="M2552" s="37" t="n"/>
      <c r="N2552" s="37" t="n"/>
      <c r="O2552" s="37" t="n"/>
      <c r="P2552" s="37" t="n"/>
      <c r="Q2552" s="37" t="n"/>
      <c r="R2552" s="37" t="n"/>
      <c r="S2552" s="37" t="n"/>
      <c r="T2552" s="37" t="n"/>
      <c r="U2552" s="37" t="n"/>
      <c r="V2552" s="37" t="n"/>
      <c r="W2552" s="37" t="n"/>
      <c r="X2552" s="28" t="n"/>
      <c r="Y2552" s="28" t="n"/>
      <c r="Z2552" s="28" t="n"/>
      <c r="AA2552" s="31" t="n"/>
      <c r="AB2552" s="31" t="n"/>
    </row>
    <row r="2553">
      <c r="A2553" s="43" t="inlineStr">
        <is>
          <t>S50</t>
        </is>
      </c>
      <c r="B2553" s="43" t="inlineStr">
        <is>
          <t>함양</t>
        </is>
      </c>
      <c r="C2553" s="43" t="inlineStr">
        <is>
          <t>S50-H동</t>
        </is>
      </c>
      <c r="D2553" s="43" t="inlineStr">
        <is>
          <t>P0(전)</t>
        </is>
      </c>
      <c r="E2553" s="43" t="inlineStr">
        <is>
          <t>동</t>
        </is>
      </c>
      <c r="F2553" s="44" t="n"/>
      <c r="G2553" s="29" t="n"/>
      <c r="H2553" s="42" t="n"/>
      <c r="I2553" s="40" t="n"/>
      <c r="J2553" s="40" t="n"/>
      <c r="K2553" s="40" t="n"/>
      <c r="L2553" s="30">
        <f>IF(COUNT(I2553:K2553)=0,"",MEDIAN(I2553:K2553))</f>
        <v/>
      </c>
      <c r="M2553" s="37" t="n"/>
      <c r="N2553" s="37" t="n"/>
      <c r="O2553" s="37" t="n"/>
      <c r="P2553" s="37" t="n"/>
      <c r="Q2553" s="37" t="n"/>
      <c r="R2553" s="37" t="n"/>
      <c r="S2553" s="37" t="n"/>
      <c r="T2553" s="37" t="n"/>
      <c r="U2553" s="37" t="n"/>
      <c r="V2553" s="37" t="n"/>
      <c r="W2553" s="37" t="n"/>
      <c r="X2553" s="28" t="n"/>
      <c r="Y2553" s="28" t="n"/>
      <c r="Z2553" s="28" t="n"/>
      <c r="AA2553" s="31" t="n"/>
      <c r="AB2553" s="31" t="n"/>
    </row>
    <row r="2554">
      <c r="A2554" s="25" t="inlineStr">
        <is>
          <t>S50</t>
        </is>
      </c>
      <c r="B2554" s="25" t="inlineStr">
        <is>
          <t>함양</t>
        </is>
      </c>
      <c r="C2554" s="25" t="inlineStr">
        <is>
          <t>S50-H동</t>
        </is>
      </c>
      <c r="D2554" s="25" t="inlineStr">
        <is>
          <t>측정</t>
        </is>
      </c>
      <c r="E2554" s="25" t="inlineStr">
        <is>
          <t>동</t>
        </is>
      </c>
      <c r="F2554" s="30" t="n">
        <v>0.5</v>
      </c>
      <c r="G2554" s="29" t="n"/>
      <c r="H2554" s="42" t="n"/>
      <c r="I2554" s="40" t="n"/>
      <c r="J2554" s="40" t="n"/>
      <c r="K2554" s="40" t="n"/>
      <c r="L2554" s="30">
        <f>IF(COUNT(I2554:K2554)=0,"",MEDIAN(I2554:K2554))</f>
        <v/>
      </c>
      <c r="M2554" s="25">
        <f>IF(COUNTIFS($C:$C,$C2554,$D:$D,"P0(전)",$L:$L,"&gt;0")&lt;&gt;1,"P0(전) 유효 1개 아님",IF(COUNTIFS($C:$C,$C2554,$D:$D,"P0(후)",$L:$L,"&gt;0")&lt;&gt;1,"P0(후) 유효 1개 아님",IF(NOT(AND(ISNUMBER(N2554),ISNUMBER(P2554),ISNUMBER(H2554))),"시각 결측",IF(P2554&lt;=N2554,"P0 시각 역전",IF(OR(H2554&lt;N2554,H2554&gt;P2554),"측정시각 구간 밖","OK")))))</f>
        <v/>
      </c>
      <c r="N2554" s="45">
        <f>IF(COUNTIFS($C:$C,$C2554,$D:$D,"P0(전)",$L:$L,"&gt;0")&lt;&gt;1,"",SUMIFS($H:$H,$C:$C,$C2554,$D:$D,"P0(전)"))</f>
        <v/>
      </c>
      <c r="O2554" s="30">
        <f>IF(COUNTIFS($C:$C,$C2554,$D:$D,"P0(전)",$L:$L,"&gt;0")&lt;&gt;1,"",SUMIFS($L:$L,$C:$C,$C2554,$D:$D,"P0(전)"))</f>
        <v/>
      </c>
      <c r="P2554" s="45">
        <f>IF(COUNTIFS($C:$C,$C2554,$D:$D,"P0(후)",$L:$L,"&gt;0")&lt;&gt;1,"",SUMIFS($H:$H,$C:$C,$C2554,$D:$D,"P0(후)"))</f>
        <v/>
      </c>
      <c r="Q2554" s="30">
        <f>IF(COUNTIFS($C:$C,$C2554,$D:$D,"P0(후)",$L:$L,"&gt;0")&lt;&gt;1,"",SUMIFS($L:$L,$C:$C,$C2554,$D:$D,"P0(후)"))</f>
        <v/>
      </c>
      <c r="R2554" s="30">
        <f>IF(M2554&lt;&gt;"OK","",O2554+(Q2554-O2554)*(H2554-N2554)/(P2554-N2554))</f>
        <v/>
      </c>
      <c r="S2554" s="30">
        <f>IF(OR(M2554&lt;&gt;"OK",NOT(ISNUMBER(L2554))),"",L2554-R2554)</f>
        <v/>
      </c>
      <c r="T2554" s="46">
        <f>IF(OR(NOT(ISNUMBER(S2554)),IF(ISNUMBER(G2554),G2554,F2554)=0),"",S2554/IF(ISNUMBER(G2554),G2554,F2554))</f>
        <v/>
      </c>
      <c r="U2554" s="46">
        <f>IF(ISNUMBER(T2554),ABS(T2554),"")</f>
        <v/>
      </c>
      <c r="V2554" s="46">
        <f>IF(OR($D2553&lt;&gt;"측정",$C2553&lt;&gt;$C2554,NOT(ISNUMBER(L2554)),NOT(ISNUMBER(L2553)),(IF(ISNUMBER(G2554),G2554,F2554)-IF(ISNUMBER(G2553),G2553,F2553))=0),"",(L2554-L2553)/(IF(ISNUMBER(G2554),G2554,F2554)-IF(ISNUMBER(G2553),G2553,F2553)))</f>
        <v/>
      </c>
      <c r="W2554" s="30">
        <f>IF(NOT(AND(ISNUMBER(N2554),ISNUMBER(P2554))),"",(P2554-N2554)*1440)</f>
        <v/>
      </c>
      <c r="X2554" s="28" t="n"/>
      <c r="Y2554" s="28" t="n"/>
      <c r="Z2554" s="28" t="n"/>
      <c r="AA2554" s="31" t="n"/>
      <c r="AB2554" s="31" t="n"/>
    </row>
    <row r="2555">
      <c r="A2555" s="25" t="inlineStr">
        <is>
          <t>S50</t>
        </is>
      </c>
      <c r="B2555" s="25" t="inlineStr">
        <is>
          <t>함양</t>
        </is>
      </c>
      <c r="C2555" s="25" t="inlineStr">
        <is>
          <t>S50-H동</t>
        </is>
      </c>
      <c r="D2555" s="25" t="inlineStr">
        <is>
          <t>측정</t>
        </is>
      </c>
      <c r="E2555" s="25" t="inlineStr">
        <is>
          <t>동</t>
        </is>
      </c>
      <c r="F2555" s="30" t="n">
        <v>1</v>
      </c>
      <c r="G2555" s="29" t="n"/>
      <c r="H2555" s="42" t="n"/>
      <c r="I2555" s="40" t="n"/>
      <c r="J2555" s="40" t="n"/>
      <c r="K2555" s="40" t="n"/>
      <c r="L2555" s="30">
        <f>IF(COUNT(I2555:K2555)=0,"",MEDIAN(I2555:K2555))</f>
        <v/>
      </c>
      <c r="M2555" s="25">
        <f>IF(COUNTIFS($C:$C,$C2555,$D:$D,"P0(전)",$L:$L,"&gt;0")&lt;&gt;1,"P0(전) 유효 1개 아님",IF(COUNTIFS($C:$C,$C2555,$D:$D,"P0(후)",$L:$L,"&gt;0")&lt;&gt;1,"P0(후) 유효 1개 아님",IF(NOT(AND(ISNUMBER(N2555),ISNUMBER(P2555),ISNUMBER(H2555))),"시각 결측",IF(P2555&lt;=N2555,"P0 시각 역전",IF(OR(H2555&lt;N2555,H2555&gt;P2555),"측정시각 구간 밖","OK")))))</f>
        <v/>
      </c>
      <c r="N2555" s="45">
        <f>IF(COUNTIFS($C:$C,$C2555,$D:$D,"P0(전)",$L:$L,"&gt;0")&lt;&gt;1,"",SUMIFS($H:$H,$C:$C,$C2555,$D:$D,"P0(전)"))</f>
        <v/>
      </c>
      <c r="O2555" s="30">
        <f>IF(COUNTIFS($C:$C,$C2555,$D:$D,"P0(전)",$L:$L,"&gt;0")&lt;&gt;1,"",SUMIFS($L:$L,$C:$C,$C2555,$D:$D,"P0(전)"))</f>
        <v/>
      </c>
      <c r="P2555" s="45">
        <f>IF(COUNTIFS($C:$C,$C2555,$D:$D,"P0(후)",$L:$L,"&gt;0")&lt;&gt;1,"",SUMIFS($H:$H,$C:$C,$C2555,$D:$D,"P0(후)"))</f>
        <v/>
      </c>
      <c r="Q2555" s="30">
        <f>IF(COUNTIFS($C:$C,$C2555,$D:$D,"P0(후)",$L:$L,"&gt;0")&lt;&gt;1,"",SUMIFS($L:$L,$C:$C,$C2555,$D:$D,"P0(후)"))</f>
        <v/>
      </c>
      <c r="R2555" s="30">
        <f>IF(M2555&lt;&gt;"OK","",O2555+(Q2555-O2555)*(H2555-N2555)/(P2555-N2555))</f>
        <v/>
      </c>
      <c r="S2555" s="30">
        <f>IF(OR(M2555&lt;&gt;"OK",NOT(ISNUMBER(L2555))),"",L2555-R2555)</f>
        <v/>
      </c>
      <c r="T2555" s="46">
        <f>IF(OR(NOT(ISNUMBER(S2555)),IF(ISNUMBER(G2555),G2555,F2555)=0),"",S2555/IF(ISNUMBER(G2555),G2555,F2555))</f>
        <v/>
      </c>
      <c r="U2555" s="46">
        <f>IF(ISNUMBER(T2555),ABS(T2555),"")</f>
        <v/>
      </c>
      <c r="V2555" s="46">
        <f>IF(OR($D2554&lt;&gt;"측정",$C2554&lt;&gt;$C2555,NOT(ISNUMBER(L2555)),NOT(ISNUMBER(L2554)),(IF(ISNUMBER(G2555),G2555,F2555)-IF(ISNUMBER(G2554),G2554,F2554))=0),"",(L2555-L2554)/(IF(ISNUMBER(G2555),G2555,F2555)-IF(ISNUMBER(G2554),G2554,F2554)))</f>
        <v/>
      </c>
      <c r="W2555" s="30">
        <f>IF(NOT(AND(ISNUMBER(N2555),ISNUMBER(P2555))),"",(P2555-N2555)*1440)</f>
        <v/>
      </c>
      <c r="X2555" s="28" t="n"/>
      <c r="Y2555" s="28" t="n"/>
      <c r="Z2555" s="28" t="n"/>
      <c r="AA2555" s="31" t="n"/>
      <c r="AB2555" s="31" t="n"/>
    </row>
    <row r="2556">
      <c r="A2556" s="25" t="inlineStr">
        <is>
          <t>S50</t>
        </is>
      </c>
      <c r="B2556" s="25" t="inlineStr">
        <is>
          <t>함양</t>
        </is>
      </c>
      <c r="C2556" s="25" t="inlineStr">
        <is>
          <t>S50-H동</t>
        </is>
      </c>
      <c r="D2556" s="25" t="inlineStr">
        <is>
          <t>측정</t>
        </is>
      </c>
      <c r="E2556" s="25" t="inlineStr">
        <is>
          <t>동</t>
        </is>
      </c>
      <c r="F2556" s="30" t="n">
        <v>2</v>
      </c>
      <c r="G2556" s="29" t="n"/>
      <c r="H2556" s="42" t="n"/>
      <c r="I2556" s="40" t="n"/>
      <c r="J2556" s="40" t="n"/>
      <c r="K2556" s="40" t="n"/>
      <c r="L2556" s="30">
        <f>IF(COUNT(I2556:K2556)=0,"",MEDIAN(I2556:K2556))</f>
        <v/>
      </c>
      <c r="M2556" s="25">
        <f>IF(COUNTIFS($C:$C,$C2556,$D:$D,"P0(전)",$L:$L,"&gt;0")&lt;&gt;1,"P0(전) 유효 1개 아님",IF(COUNTIFS($C:$C,$C2556,$D:$D,"P0(후)",$L:$L,"&gt;0")&lt;&gt;1,"P0(후) 유효 1개 아님",IF(NOT(AND(ISNUMBER(N2556),ISNUMBER(P2556),ISNUMBER(H2556))),"시각 결측",IF(P2556&lt;=N2556,"P0 시각 역전",IF(OR(H2556&lt;N2556,H2556&gt;P2556),"측정시각 구간 밖","OK")))))</f>
        <v/>
      </c>
      <c r="N2556" s="45">
        <f>IF(COUNTIFS($C:$C,$C2556,$D:$D,"P0(전)",$L:$L,"&gt;0")&lt;&gt;1,"",SUMIFS($H:$H,$C:$C,$C2556,$D:$D,"P0(전)"))</f>
        <v/>
      </c>
      <c r="O2556" s="30">
        <f>IF(COUNTIFS($C:$C,$C2556,$D:$D,"P0(전)",$L:$L,"&gt;0")&lt;&gt;1,"",SUMIFS($L:$L,$C:$C,$C2556,$D:$D,"P0(전)"))</f>
        <v/>
      </c>
      <c r="P2556" s="45">
        <f>IF(COUNTIFS($C:$C,$C2556,$D:$D,"P0(후)",$L:$L,"&gt;0")&lt;&gt;1,"",SUMIFS($H:$H,$C:$C,$C2556,$D:$D,"P0(후)"))</f>
        <v/>
      </c>
      <c r="Q2556" s="30">
        <f>IF(COUNTIFS($C:$C,$C2556,$D:$D,"P0(후)",$L:$L,"&gt;0")&lt;&gt;1,"",SUMIFS($L:$L,$C:$C,$C2556,$D:$D,"P0(후)"))</f>
        <v/>
      </c>
      <c r="R2556" s="30">
        <f>IF(M2556&lt;&gt;"OK","",O2556+(Q2556-O2556)*(H2556-N2556)/(P2556-N2556))</f>
        <v/>
      </c>
      <c r="S2556" s="30">
        <f>IF(OR(M2556&lt;&gt;"OK",NOT(ISNUMBER(L2556))),"",L2556-R2556)</f>
        <v/>
      </c>
      <c r="T2556" s="46">
        <f>IF(OR(NOT(ISNUMBER(S2556)),IF(ISNUMBER(G2556),G2556,F2556)=0),"",S2556/IF(ISNUMBER(G2556),G2556,F2556))</f>
        <v/>
      </c>
      <c r="U2556" s="46">
        <f>IF(ISNUMBER(T2556),ABS(T2556),"")</f>
        <v/>
      </c>
      <c r="V2556" s="46">
        <f>IF(OR($D2555&lt;&gt;"측정",$C2555&lt;&gt;$C2556,NOT(ISNUMBER(L2556)),NOT(ISNUMBER(L2555)),(IF(ISNUMBER(G2556),G2556,F2556)-IF(ISNUMBER(G2555),G2555,F2555))=0),"",(L2556-L2555)/(IF(ISNUMBER(G2556),G2556,F2556)-IF(ISNUMBER(G2555),G2555,F2555)))</f>
        <v/>
      </c>
      <c r="W2556" s="30">
        <f>IF(NOT(AND(ISNUMBER(N2556),ISNUMBER(P2556))),"",(P2556-N2556)*1440)</f>
        <v/>
      </c>
      <c r="X2556" s="28" t="n"/>
      <c r="Y2556" s="28" t="n"/>
      <c r="Z2556" s="28" t="n"/>
      <c r="AA2556" s="31" t="n"/>
      <c r="AB2556" s="31" t="n"/>
    </row>
    <row r="2557">
      <c r="A2557" s="25" t="inlineStr">
        <is>
          <t>S50</t>
        </is>
      </c>
      <c r="B2557" s="25" t="inlineStr">
        <is>
          <t>함양</t>
        </is>
      </c>
      <c r="C2557" s="25" t="inlineStr">
        <is>
          <t>S50-H동</t>
        </is>
      </c>
      <c r="D2557" s="25" t="inlineStr">
        <is>
          <t>측정</t>
        </is>
      </c>
      <c r="E2557" s="25" t="inlineStr">
        <is>
          <t>동</t>
        </is>
      </c>
      <c r="F2557" s="30" t="n">
        <v>3</v>
      </c>
      <c r="G2557" s="29" t="n"/>
      <c r="H2557" s="42" t="n"/>
      <c r="I2557" s="40" t="n"/>
      <c r="J2557" s="40" t="n"/>
      <c r="K2557" s="40" t="n"/>
      <c r="L2557" s="30">
        <f>IF(COUNT(I2557:K2557)=0,"",MEDIAN(I2557:K2557))</f>
        <v/>
      </c>
      <c r="M2557" s="25">
        <f>IF(COUNTIFS($C:$C,$C2557,$D:$D,"P0(전)",$L:$L,"&gt;0")&lt;&gt;1,"P0(전) 유효 1개 아님",IF(COUNTIFS($C:$C,$C2557,$D:$D,"P0(후)",$L:$L,"&gt;0")&lt;&gt;1,"P0(후) 유효 1개 아님",IF(NOT(AND(ISNUMBER(N2557),ISNUMBER(P2557),ISNUMBER(H2557))),"시각 결측",IF(P2557&lt;=N2557,"P0 시각 역전",IF(OR(H2557&lt;N2557,H2557&gt;P2557),"측정시각 구간 밖","OK")))))</f>
        <v/>
      </c>
      <c r="N2557" s="45">
        <f>IF(COUNTIFS($C:$C,$C2557,$D:$D,"P0(전)",$L:$L,"&gt;0")&lt;&gt;1,"",SUMIFS($H:$H,$C:$C,$C2557,$D:$D,"P0(전)"))</f>
        <v/>
      </c>
      <c r="O2557" s="30">
        <f>IF(COUNTIFS($C:$C,$C2557,$D:$D,"P0(전)",$L:$L,"&gt;0")&lt;&gt;1,"",SUMIFS($L:$L,$C:$C,$C2557,$D:$D,"P0(전)"))</f>
        <v/>
      </c>
      <c r="P2557" s="45">
        <f>IF(COUNTIFS($C:$C,$C2557,$D:$D,"P0(후)",$L:$L,"&gt;0")&lt;&gt;1,"",SUMIFS($H:$H,$C:$C,$C2557,$D:$D,"P0(후)"))</f>
        <v/>
      </c>
      <c r="Q2557" s="30">
        <f>IF(COUNTIFS($C:$C,$C2557,$D:$D,"P0(후)",$L:$L,"&gt;0")&lt;&gt;1,"",SUMIFS($L:$L,$C:$C,$C2557,$D:$D,"P0(후)"))</f>
        <v/>
      </c>
      <c r="R2557" s="30">
        <f>IF(M2557&lt;&gt;"OK","",O2557+(Q2557-O2557)*(H2557-N2557)/(P2557-N2557))</f>
        <v/>
      </c>
      <c r="S2557" s="30">
        <f>IF(OR(M2557&lt;&gt;"OK",NOT(ISNUMBER(L2557))),"",L2557-R2557)</f>
        <v/>
      </c>
      <c r="T2557" s="46">
        <f>IF(OR(NOT(ISNUMBER(S2557)),IF(ISNUMBER(G2557),G2557,F2557)=0),"",S2557/IF(ISNUMBER(G2557),G2557,F2557))</f>
        <v/>
      </c>
      <c r="U2557" s="46">
        <f>IF(ISNUMBER(T2557),ABS(T2557),"")</f>
        <v/>
      </c>
      <c r="V2557" s="46">
        <f>IF(OR($D2556&lt;&gt;"측정",$C2556&lt;&gt;$C2557,NOT(ISNUMBER(L2557)),NOT(ISNUMBER(L2556)),(IF(ISNUMBER(G2557),G2557,F2557)-IF(ISNUMBER(G2556),G2556,F2556))=0),"",(L2557-L2556)/(IF(ISNUMBER(G2557),G2557,F2557)-IF(ISNUMBER(G2556),G2556,F2556)))</f>
        <v/>
      </c>
      <c r="W2557" s="30">
        <f>IF(NOT(AND(ISNUMBER(N2557),ISNUMBER(P2557))),"",(P2557-N2557)*1440)</f>
        <v/>
      </c>
      <c r="X2557" s="28" t="n"/>
      <c r="Y2557" s="28" t="n"/>
      <c r="Z2557" s="28" t="n"/>
      <c r="AA2557" s="31" t="n"/>
      <c r="AB2557" s="31" t="n"/>
    </row>
    <row r="2558">
      <c r="A2558" s="25" t="inlineStr">
        <is>
          <t>S50</t>
        </is>
      </c>
      <c r="B2558" s="25" t="inlineStr">
        <is>
          <t>함양</t>
        </is>
      </c>
      <c r="C2558" s="25" t="inlineStr">
        <is>
          <t>S50-H동</t>
        </is>
      </c>
      <c r="D2558" s="25" t="inlineStr">
        <is>
          <t>측정</t>
        </is>
      </c>
      <c r="E2558" s="25" t="inlineStr">
        <is>
          <t>동</t>
        </is>
      </c>
      <c r="F2558" s="30" t="n">
        <v>4</v>
      </c>
      <c r="G2558" s="29" t="n"/>
      <c r="H2558" s="42" t="n"/>
      <c r="I2558" s="40" t="n"/>
      <c r="J2558" s="40" t="n"/>
      <c r="K2558" s="40" t="n"/>
      <c r="L2558" s="30">
        <f>IF(COUNT(I2558:K2558)=0,"",MEDIAN(I2558:K2558))</f>
        <v/>
      </c>
      <c r="M2558" s="25">
        <f>IF(COUNTIFS($C:$C,$C2558,$D:$D,"P0(전)",$L:$L,"&gt;0")&lt;&gt;1,"P0(전) 유효 1개 아님",IF(COUNTIFS($C:$C,$C2558,$D:$D,"P0(후)",$L:$L,"&gt;0")&lt;&gt;1,"P0(후) 유효 1개 아님",IF(NOT(AND(ISNUMBER(N2558),ISNUMBER(P2558),ISNUMBER(H2558))),"시각 결측",IF(P2558&lt;=N2558,"P0 시각 역전",IF(OR(H2558&lt;N2558,H2558&gt;P2558),"측정시각 구간 밖","OK")))))</f>
        <v/>
      </c>
      <c r="N2558" s="45">
        <f>IF(COUNTIFS($C:$C,$C2558,$D:$D,"P0(전)",$L:$L,"&gt;0")&lt;&gt;1,"",SUMIFS($H:$H,$C:$C,$C2558,$D:$D,"P0(전)"))</f>
        <v/>
      </c>
      <c r="O2558" s="30">
        <f>IF(COUNTIFS($C:$C,$C2558,$D:$D,"P0(전)",$L:$L,"&gt;0")&lt;&gt;1,"",SUMIFS($L:$L,$C:$C,$C2558,$D:$D,"P0(전)"))</f>
        <v/>
      </c>
      <c r="P2558" s="45">
        <f>IF(COUNTIFS($C:$C,$C2558,$D:$D,"P0(후)",$L:$L,"&gt;0")&lt;&gt;1,"",SUMIFS($H:$H,$C:$C,$C2558,$D:$D,"P0(후)"))</f>
        <v/>
      </c>
      <c r="Q2558" s="30">
        <f>IF(COUNTIFS($C:$C,$C2558,$D:$D,"P0(후)",$L:$L,"&gt;0")&lt;&gt;1,"",SUMIFS($L:$L,$C:$C,$C2558,$D:$D,"P0(후)"))</f>
        <v/>
      </c>
      <c r="R2558" s="30">
        <f>IF(M2558&lt;&gt;"OK","",O2558+(Q2558-O2558)*(H2558-N2558)/(P2558-N2558))</f>
        <v/>
      </c>
      <c r="S2558" s="30">
        <f>IF(OR(M2558&lt;&gt;"OK",NOT(ISNUMBER(L2558))),"",L2558-R2558)</f>
        <v/>
      </c>
      <c r="T2558" s="46">
        <f>IF(OR(NOT(ISNUMBER(S2558)),IF(ISNUMBER(G2558),G2558,F2558)=0),"",S2558/IF(ISNUMBER(G2558),G2558,F2558))</f>
        <v/>
      </c>
      <c r="U2558" s="46">
        <f>IF(ISNUMBER(T2558),ABS(T2558),"")</f>
        <v/>
      </c>
      <c r="V2558" s="46">
        <f>IF(OR($D2557&lt;&gt;"측정",$C2557&lt;&gt;$C2558,NOT(ISNUMBER(L2558)),NOT(ISNUMBER(L2557)),(IF(ISNUMBER(G2558),G2558,F2558)-IF(ISNUMBER(G2557),G2557,F2557))=0),"",(L2558-L2557)/(IF(ISNUMBER(G2558),G2558,F2558)-IF(ISNUMBER(G2557),G2557,F2557)))</f>
        <v/>
      </c>
      <c r="W2558" s="30">
        <f>IF(NOT(AND(ISNUMBER(N2558),ISNUMBER(P2558))),"",(P2558-N2558)*1440)</f>
        <v/>
      </c>
      <c r="X2558" s="28" t="n"/>
      <c r="Y2558" s="28" t="n"/>
      <c r="Z2558" s="28" t="n"/>
      <c r="AA2558" s="31" t="n"/>
      <c r="AB2558" s="31" t="n"/>
    </row>
    <row r="2559">
      <c r="A2559" s="25" t="inlineStr">
        <is>
          <t>S50</t>
        </is>
      </c>
      <c r="B2559" s="25" t="inlineStr">
        <is>
          <t>함양</t>
        </is>
      </c>
      <c r="C2559" s="25" t="inlineStr">
        <is>
          <t>S50-H동</t>
        </is>
      </c>
      <c r="D2559" s="25" t="inlineStr">
        <is>
          <t>측정</t>
        </is>
      </c>
      <c r="E2559" s="25" t="inlineStr">
        <is>
          <t>동</t>
        </is>
      </c>
      <c r="F2559" s="30" t="n">
        <v>5</v>
      </c>
      <c r="G2559" s="29" t="n"/>
      <c r="H2559" s="42" t="n"/>
      <c r="I2559" s="40" t="n"/>
      <c r="J2559" s="40" t="n"/>
      <c r="K2559" s="40" t="n"/>
      <c r="L2559" s="30">
        <f>IF(COUNT(I2559:K2559)=0,"",MEDIAN(I2559:K2559))</f>
        <v/>
      </c>
      <c r="M2559" s="25">
        <f>IF(COUNTIFS($C:$C,$C2559,$D:$D,"P0(전)",$L:$L,"&gt;0")&lt;&gt;1,"P0(전) 유효 1개 아님",IF(COUNTIFS($C:$C,$C2559,$D:$D,"P0(후)",$L:$L,"&gt;0")&lt;&gt;1,"P0(후) 유효 1개 아님",IF(NOT(AND(ISNUMBER(N2559),ISNUMBER(P2559),ISNUMBER(H2559))),"시각 결측",IF(P2559&lt;=N2559,"P0 시각 역전",IF(OR(H2559&lt;N2559,H2559&gt;P2559),"측정시각 구간 밖","OK")))))</f>
        <v/>
      </c>
      <c r="N2559" s="45">
        <f>IF(COUNTIFS($C:$C,$C2559,$D:$D,"P0(전)",$L:$L,"&gt;0")&lt;&gt;1,"",SUMIFS($H:$H,$C:$C,$C2559,$D:$D,"P0(전)"))</f>
        <v/>
      </c>
      <c r="O2559" s="30">
        <f>IF(COUNTIFS($C:$C,$C2559,$D:$D,"P0(전)",$L:$L,"&gt;0")&lt;&gt;1,"",SUMIFS($L:$L,$C:$C,$C2559,$D:$D,"P0(전)"))</f>
        <v/>
      </c>
      <c r="P2559" s="45">
        <f>IF(COUNTIFS($C:$C,$C2559,$D:$D,"P0(후)",$L:$L,"&gt;0")&lt;&gt;1,"",SUMIFS($H:$H,$C:$C,$C2559,$D:$D,"P0(후)"))</f>
        <v/>
      </c>
      <c r="Q2559" s="30">
        <f>IF(COUNTIFS($C:$C,$C2559,$D:$D,"P0(후)",$L:$L,"&gt;0")&lt;&gt;1,"",SUMIFS($L:$L,$C:$C,$C2559,$D:$D,"P0(후)"))</f>
        <v/>
      </c>
      <c r="R2559" s="30">
        <f>IF(M2559&lt;&gt;"OK","",O2559+(Q2559-O2559)*(H2559-N2559)/(P2559-N2559))</f>
        <v/>
      </c>
      <c r="S2559" s="30">
        <f>IF(OR(M2559&lt;&gt;"OK",NOT(ISNUMBER(L2559))),"",L2559-R2559)</f>
        <v/>
      </c>
      <c r="T2559" s="46">
        <f>IF(OR(NOT(ISNUMBER(S2559)),IF(ISNUMBER(G2559),G2559,F2559)=0),"",S2559/IF(ISNUMBER(G2559),G2559,F2559))</f>
        <v/>
      </c>
      <c r="U2559" s="46">
        <f>IF(ISNUMBER(T2559),ABS(T2559),"")</f>
        <v/>
      </c>
      <c r="V2559" s="46">
        <f>IF(OR($D2558&lt;&gt;"측정",$C2558&lt;&gt;$C2559,NOT(ISNUMBER(L2559)),NOT(ISNUMBER(L2558)),(IF(ISNUMBER(G2559),G2559,F2559)-IF(ISNUMBER(G2558),G2558,F2558))=0),"",(L2559-L2558)/(IF(ISNUMBER(G2559),G2559,F2559)-IF(ISNUMBER(G2558),G2558,F2558)))</f>
        <v/>
      </c>
      <c r="W2559" s="30">
        <f>IF(NOT(AND(ISNUMBER(N2559),ISNUMBER(P2559))),"",(P2559-N2559)*1440)</f>
        <v/>
      </c>
      <c r="X2559" s="28" t="n"/>
      <c r="Y2559" s="28" t="n"/>
      <c r="Z2559" s="28" t="n"/>
      <c r="AA2559" s="31" t="n"/>
      <c r="AB2559" s="31" t="n"/>
    </row>
    <row r="2560">
      <c r="A2560" s="25" t="inlineStr">
        <is>
          <t>S50</t>
        </is>
      </c>
      <c r="B2560" s="25" t="inlineStr">
        <is>
          <t>함양</t>
        </is>
      </c>
      <c r="C2560" s="25" t="inlineStr">
        <is>
          <t>S50-H동</t>
        </is>
      </c>
      <c r="D2560" s="25" t="inlineStr">
        <is>
          <t>측정</t>
        </is>
      </c>
      <c r="E2560" s="25" t="inlineStr">
        <is>
          <t>동</t>
        </is>
      </c>
      <c r="F2560" s="30" t="n">
        <v>6</v>
      </c>
      <c r="G2560" s="29" t="n"/>
      <c r="H2560" s="42" t="n"/>
      <c r="I2560" s="40" t="n"/>
      <c r="J2560" s="40" t="n"/>
      <c r="K2560" s="40" t="n"/>
      <c r="L2560" s="30">
        <f>IF(COUNT(I2560:K2560)=0,"",MEDIAN(I2560:K2560))</f>
        <v/>
      </c>
      <c r="M2560" s="25">
        <f>IF(COUNTIFS($C:$C,$C2560,$D:$D,"P0(전)",$L:$L,"&gt;0")&lt;&gt;1,"P0(전) 유효 1개 아님",IF(COUNTIFS($C:$C,$C2560,$D:$D,"P0(후)",$L:$L,"&gt;0")&lt;&gt;1,"P0(후) 유효 1개 아님",IF(NOT(AND(ISNUMBER(N2560),ISNUMBER(P2560),ISNUMBER(H2560))),"시각 결측",IF(P2560&lt;=N2560,"P0 시각 역전",IF(OR(H2560&lt;N2560,H2560&gt;P2560),"측정시각 구간 밖","OK")))))</f>
        <v/>
      </c>
      <c r="N2560" s="45">
        <f>IF(COUNTIFS($C:$C,$C2560,$D:$D,"P0(전)",$L:$L,"&gt;0")&lt;&gt;1,"",SUMIFS($H:$H,$C:$C,$C2560,$D:$D,"P0(전)"))</f>
        <v/>
      </c>
      <c r="O2560" s="30">
        <f>IF(COUNTIFS($C:$C,$C2560,$D:$D,"P0(전)",$L:$L,"&gt;0")&lt;&gt;1,"",SUMIFS($L:$L,$C:$C,$C2560,$D:$D,"P0(전)"))</f>
        <v/>
      </c>
      <c r="P2560" s="45">
        <f>IF(COUNTIFS($C:$C,$C2560,$D:$D,"P0(후)",$L:$L,"&gt;0")&lt;&gt;1,"",SUMIFS($H:$H,$C:$C,$C2560,$D:$D,"P0(후)"))</f>
        <v/>
      </c>
      <c r="Q2560" s="30">
        <f>IF(COUNTIFS($C:$C,$C2560,$D:$D,"P0(후)",$L:$L,"&gt;0")&lt;&gt;1,"",SUMIFS($L:$L,$C:$C,$C2560,$D:$D,"P0(후)"))</f>
        <v/>
      </c>
      <c r="R2560" s="30">
        <f>IF(M2560&lt;&gt;"OK","",O2560+(Q2560-O2560)*(H2560-N2560)/(P2560-N2560))</f>
        <v/>
      </c>
      <c r="S2560" s="30">
        <f>IF(OR(M2560&lt;&gt;"OK",NOT(ISNUMBER(L2560))),"",L2560-R2560)</f>
        <v/>
      </c>
      <c r="T2560" s="46">
        <f>IF(OR(NOT(ISNUMBER(S2560)),IF(ISNUMBER(G2560),G2560,F2560)=0),"",S2560/IF(ISNUMBER(G2560),G2560,F2560))</f>
        <v/>
      </c>
      <c r="U2560" s="46">
        <f>IF(ISNUMBER(T2560),ABS(T2560),"")</f>
        <v/>
      </c>
      <c r="V2560" s="46">
        <f>IF(OR($D2559&lt;&gt;"측정",$C2559&lt;&gt;$C2560,NOT(ISNUMBER(L2560)),NOT(ISNUMBER(L2559)),(IF(ISNUMBER(G2560),G2560,F2560)-IF(ISNUMBER(G2559),G2559,F2559))=0),"",(L2560-L2559)/(IF(ISNUMBER(G2560),G2560,F2560)-IF(ISNUMBER(G2559),G2559,F2559)))</f>
        <v/>
      </c>
      <c r="W2560" s="30">
        <f>IF(NOT(AND(ISNUMBER(N2560),ISNUMBER(P2560))),"",(P2560-N2560)*1440)</f>
        <v/>
      </c>
      <c r="X2560" s="28" t="n"/>
      <c r="Y2560" s="28" t="n"/>
      <c r="Z2560" s="28" t="n"/>
      <c r="AA2560" s="31" t="n"/>
      <c r="AB2560" s="31" t="n"/>
    </row>
    <row r="2561">
      <c r="A2561" s="25" t="inlineStr">
        <is>
          <t>S50</t>
        </is>
      </c>
      <c r="B2561" s="25" t="inlineStr">
        <is>
          <t>함양</t>
        </is>
      </c>
      <c r="C2561" s="25" t="inlineStr">
        <is>
          <t>S50-H동</t>
        </is>
      </c>
      <c r="D2561" s="25" t="inlineStr">
        <is>
          <t>측정</t>
        </is>
      </c>
      <c r="E2561" s="25" t="inlineStr">
        <is>
          <t>동</t>
        </is>
      </c>
      <c r="F2561" s="30" t="n">
        <v>7</v>
      </c>
      <c r="G2561" s="29" t="n"/>
      <c r="H2561" s="42" t="n"/>
      <c r="I2561" s="40" t="n"/>
      <c r="J2561" s="40" t="n"/>
      <c r="K2561" s="40" t="n"/>
      <c r="L2561" s="30">
        <f>IF(COUNT(I2561:K2561)=0,"",MEDIAN(I2561:K2561))</f>
        <v/>
      </c>
      <c r="M2561" s="25">
        <f>IF(COUNTIFS($C:$C,$C2561,$D:$D,"P0(전)",$L:$L,"&gt;0")&lt;&gt;1,"P0(전) 유효 1개 아님",IF(COUNTIFS($C:$C,$C2561,$D:$D,"P0(후)",$L:$L,"&gt;0")&lt;&gt;1,"P0(후) 유효 1개 아님",IF(NOT(AND(ISNUMBER(N2561),ISNUMBER(P2561),ISNUMBER(H2561))),"시각 결측",IF(P2561&lt;=N2561,"P0 시각 역전",IF(OR(H2561&lt;N2561,H2561&gt;P2561),"측정시각 구간 밖","OK")))))</f>
        <v/>
      </c>
      <c r="N2561" s="45">
        <f>IF(COUNTIFS($C:$C,$C2561,$D:$D,"P0(전)",$L:$L,"&gt;0")&lt;&gt;1,"",SUMIFS($H:$H,$C:$C,$C2561,$D:$D,"P0(전)"))</f>
        <v/>
      </c>
      <c r="O2561" s="30">
        <f>IF(COUNTIFS($C:$C,$C2561,$D:$D,"P0(전)",$L:$L,"&gt;0")&lt;&gt;1,"",SUMIFS($L:$L,$C:$C,$C2561,$D:$D,"P0(전)"))</f>
        <v/>
      </c>
      <c r="P2561" s="45">
        <f>IF(COUNTIFS($C:$C,$C2561,$D:$D,"P0(후)",$L:$L,"&gt;0")&lt;&gt;1,"",SUMIFS($H:$H,$C:$C,$C2561,$D:$D,"P0(후)"))</f>
        <v/>
      </c>
      <c r="Q2561" s="30">
        <f>IF(COUNTIFS($C:$C,$C2561,$D:$D,"P0(후)",$L:$L,"&gt;0")&lt;&gt;1,"",SUMIFS($L:$L,$C:$C,$C2561,$D:$D,"P0(후)"))</f>
        <v/>
      </c>
      <c r="R2561" s="30">
        <f>IF(M2561&lt;&gt;"OK","",O2561+(Q2561-O2561)*(H2561-N2561)/(P2561-N2561))</f>
        <v/>
      </c>
      <c r="S2561" s="30">
        <f>IF(OR(M2561&lt;&gt;"OK",NOT(ISNUMBER(L2561))),"",L2561-R2561)</f>
        <v/>
      </c>
      <c r="T2561" s="46">
        <f>IF(OR(NOT(ISNUMBER(S2561)),IF(ISNUMBER(G2561),G2561,F2561)=0),"",S2561/IF(ISNUMBER(G2561),G2561,F2561))</f>
        <v/>
      </c>
      <c r="U2561" s="46">
        <f>IF(ISNUMBER(T2561),ABS(T2561),"")</f>
        <v/>
      </c>
      <c r="V2561" s="46">
        <f>IF(OR($D2560&lt;&gt;"측정",$C2560&lt;&gt;$C2561,NOT(ISNUMBER(L2561)),NOT(ISNUMBER(L2560)),(IF(ISNUMBER(G2561),G2561,F2561)-IF(ISNUMBER(G2560),G2560,F2560))=0),"",(L2561-L2560)/(IF(ISNUMBER(G2561),G2561,F2561)-IF(ISNUMBER(G2560),G2560,F2560)))</f>
        <v/>
      </c>
      <c r="W2561" s="30">
        <f>IF(NOT(AND(ISNUMBER(N2561),ISNUMBER(P2561))),"",(P2561-N2561)*1440)</f>
        <v/>
      </c>
      <c r="X2561" s="28" t="n"/>
      <c r="Y2561" s="28" t="n"/>
      <c r="Z2561" s="28" t="n"/>
      <c r="AA2561" s="31" t="n"/>
      <c r="AB2561" s="31" t="n"/>
    </row>
    <row r="2562">
      <c r="A2562" s="25" t="inlineStr">
        <is>
          <t>S50</t>
        </is>
      </c>
      <c r="B2562" s="25" t="inlineStr">
        <is>
          <t>함양</t>
        </is>
      </c>
      <c r="C2562" s="25" t="inlineStr">
        <is>
          <t>S50-H동</t>
        </is>
      </c>
      <c r="D2562" s="25" t="inlineStr">
        <is>
          <t>측정</t>
        </is>
      </c>
      <c r="E2562" s="25" t="inlineStr">
        <is>
          <t>동</t>
        </is>
      </c>
      <c r="F2562" s="30" t="n">
        <v>8</v>
      </c>
      <c r="G2562" s="29" t="n"/>
      <c r="H2562" s="42" t="n"/>
      <c r="I2562" s="40" t="n"/>
      <c r="J2562" s="40" t="n"/>
      <c r="K2562" s="40" t="n"/>
      <c r="L2562" s="30">
        <f>IF(COUNT(I2562:K2562)=0,"",MEDIAN(I2562:K2562))</f>
        <v/>
      </c>
      <c r="M2562" s="25">
        <f>IF(COUNTIFS($C:$C,$C2562,$D:$D,"P0(전)",$L:$L,"&gt;0")&lt;&gt;1,"P0(전) 유효 1개 아님",IF(COUNTIFS($C:$C,$C2562,$D:$D,"P0(후)",$L:$L,"&gt;0")&lt;&gt;1,"P0(후) 유효 1개 아님",IF(NOT(AND(ISNUMBER(N2562),ISNUMBER(P2562),ISNUMBER(H2562))),"시각 결측",IF(P2562&lt;=N2562,"P0 시각 역전",IF(OR(H2562&lt;N2562,H2562&gt;P2562),"측정시각 구간 밖","OK")))))</f>
        <v/>
      </c>
      <c r="N2562" s="45">
        <f>IF(COUNTIFS($C:$C,$C2562,$D:$D,"P0(전)",$L:$L,"&gt;0")&lt;&gt;1,"",SUMIFS($H:$H,$C:$C,$C2562,$D:$D,"P0(전)"))</f>
        <v/>
      </c>
      <c r="O2562" s="30">
        <f>IF(COUNTIFS($C:$C,$C2562,$D:$D,"P0(전)",$L:$L,"&gt;0")&lt;&gt;1,"",SUMIFS($L:$L,$C:$C,$C2562,$D:$D,"P0(전)"))</f>
        <v/>
      </c>
      <c r="P2562" s="45">
        <f>IF(COUNTIFS($C:$C,$C2562,$D:$D,"P0(후)",$L:$L,"&gt;0")&lt;&gt;1,"",SUMIFS($H:$H,$C:$C,$C2562,$D:$D,"P0(후)"))</f>
        <v/>
      </c>
      <c r="Q2562" s="30">
        <f>IF(COUNTIFS($C:$C,$C2562,$D:$D,"P0(후)",$L:$L,"&gt;0")&lt;&gt;1,"",SUMIFS($L:$L,$C:$C,$C2562,$D:$D,"P0(후)"))</f>
        <v/>
      </c>
      <c r="R2562" s="30">
        <f>IF(M2562&lt;&gt;"OK","",O2562+(Q2562-O2562)*(H2562-N2562)/(P2562-N2562))</f>
        <v/>
      </c>
      <c r="S2562" s="30">
        <f>IF(OR(M2562&lt;&gt;"OK",NOT(ISNUMBER(L2562))),"",L2562-R2562)</f>
        <v/>
      </c>
      <c r="T2562" s="46">
        <f>IF(OR(NOT(ISNUMBER(S2562)),IF(ISNUMBER(G2562),G2562,F2562)=0),"",S2562/IF(ISNUMBER(G2562),G2562,F2562))</f>
        <v/>
      </c>
      <c r="U2562" s="46">
        <f>IF(ISNUMBER(T2562),ABS(T2562),"")</f>
        <v/>
      </c>
      <c r="V2562" s="46">
        <f>IF(OR($D2561&lt;&gt;"측정",$C2561&lt;&gt;$C2562,NOT(ISNUMBER(L2562)),NOT(ISNUMBER(L2561)),(IF(ISNUMBER(G2562),G2562,F2562)-IF(ISNUMBER(G2561),G2561,F2561))=0),"",(L2562-L2561)/(IF(ISNUMBER(G2562),G2562,F2562)-IF(ISNUMBER(G2561),G2561,F2561)))</f>
        <v/>
      </c>
      <c r="W2562" s="30">
        <f>IF(NOT(AND(ISNUMBER(N2562),ISNUMBER(P2562))),"",(P2562-N2562)*1440)</f>
        <v/>
      </c>
      <c r="X2562" s="28" t="n"/>
      <c r="Y2562" s="28" t="n"/>
      <c r="Z2562" s="28" t="n"/>
      <c r="AA2562" s="31" t="n"/>
      <c r="AB2562" s="31" t="n"/>
    </row>
    <row r="2563">
      <c r="A2563" s="25" t="inlineStr">
        <is>
          <t>S50</t>
        </is>
      </c>
      <c r="B2563" s="25" t="inlineStr">
        <is>
          <t>함양</t>
        </is>
      </c>
      <c r="C2563" s="25" t="inlineStr">
        <is>
          <t>S50-H동</t>
        </is>
      </c>
      <c r="D2563" s="25" t="inlineStr">
        <is>
          <t>측정</t>
        </is>
      </c>
      <c r="E2563" s="25" t="inlineStr">
        <is>
          <t>동</t>
        </is>
      </c>
      <c r="F2563" s="30" t="n">
        <v>9</v>
      </c>
      <c r="G2563" s="29" t="n"/>
      <c r="H2563" s="42" t="n"/>
      <c r="I2563" s="40" t="n"/>
      <c r="J2563" s="40" t="n"/>
      <c r="K2563" s="40" t="n"/>
      <c r="L2563" s="30">
        <f>IF(COUNT(I2563:K2563)=0,"",MEDIAN(I2563:K2563))</f>
        <v/>
      </c>
      <c r="M2563" s="25">
        <f>IF(COUNTIFS($C:$C,$C2563,$D:$D,"P0(전)",$L:$L,"&gt;0")&lt;&gt;1,"P0(전) 유효 1개 아님",IF(COUNTIFS($C:$C,$C2563,$D:$D,"P0(후)",$L:$L,"&gt;0")&lt;&gt;1,"P0(후) 유효 1개 아님",IF(NOT(AND(ISNUMBER(N2563),ISNUMBER(P2563),ISNUMBER(H2563))),"시각 결측",IF(P2563&lt;=N2563,"P0 시각 역전",IF(OR(H2563&lt;N2563,H2563&gt;P2563),"측정시각 구간 밖","OK")))))</f>
        <v/>
      </c>
      <c r="N2563" s="45">
        <f>IF(COUNTIFS($C:$C,$C2563,$D:$D,"P0(전)",$L:$L,"&gt;0")&lt;&gt;1,"",SUMIFS($H:$H,$C:$C,$C2563,$D:$D,"P0(전)"))</f>
        <v/>
      </c>
      <c r="O2563" s="30">
        <f>IF(COUNTIFS($C:$C,$C2563,$D:$D,"P0(전)",$L:$L,"&gt;0")&lt;&gt;1,"",SUMIFS($L:$L,$C:$C,$C2563,$D:$D,"P0(전)"))</f>
        <v/>
      </c>
      <c r="P2563" s="45">
        <f>IF(COUNTIFS($C:$C,$C2563,$D:$D,"P0(후)",$L:$L,"&gt;0")&lt;&gt;1,"",SUMIFS($H:$H,$C:$C,$C2563,$D:$D,"P0(후)"))</f>
        <v/>
      </c>
      <c r="Q2563" s="30">
        <f>IF(COUNTIFS($C:$C,$C2563,$D:$D,"P0(후)",$L:$L,"&gt;0")&lt;&gt;1,"",SUMIFS($L:$L,$C:$C,$C2563,$D:$D,"P0(후)"))</f>
        <v/>
      </c>
      <c r="R2563" s="30">
        <f>IF(M2563&lt;&gt;"OK","",O2563+(Q2563-O2563)*(H2563-N2563)/(P2563-N2563))</f>
        <v/>
      </c>
      <c r="S2563" s="30">
        <f>IF(OR(M2563&lt;&gt;"OK",NOT(ISNUMBER(L2563))),"",L2563-R2563)</f>
        <v/>
      </c>
      <c r="T2563" s="46">
        <f>IF(OR(NOT(ISNUMBER(S2563)),IF(ISNUMBER(G2563),G2563,F2563)=0),"",S2563/IF(ISNUMBER(G2563),G2563,F2563))</f>
        <v/>
      </c>
      <c r="U2563" s="46">
        <f>IF(ISNUMBER(T2563),ABS(T2563),"")</f>
        <v/>
      </c>
      <c r="V2563" s="46">
        <f>IF(OR($D2562&lt;&gt;"측정",$C2562&lt;&gt;$C2563,NOT(ISNUMBER(L2563)),NOT(ISNUMBER(L2562)),(IF(ISNUMBER(G2563),G2563,F2563)-IF(ISNUMBER(G2562),G2562,F2562))=0),"",(L2563-L2562)/(IF(ISNUMBER(G2563),G2563,F2563)-IF(ISNUMBER(G2562),G2562,F2562)))</f>
        <v/>
      </c>
      <c r="W2563" s="30">
        <f>IF(NOT(AND(ISNUMBER(N2563),ISNUMBER(P2563))),"",(P2563-N2563)*1440)</f>
        <v/>
      </c>
      <c r="X2563" s="28" t="n"/>
      <c r="Y2563" s="28" t="n"/>
      <c r="Z2563" s="28" t="n"/>
      <c r="AA2563" s="31" t="n"/>
      <c r="AB2563" s="31" t="n"/>
    </row>
    <row r="2564">
      <c r="A2564" s="25" t="inlineStr">
        <is>
          <t>S50</t>
        </is>
      </c>
      <c r="B2564" s="25" t="inlineStr">
        <is>
          <t>함양</t>
        </is>
      </c>
      <c r="C2564" s="25" t="inlineStr">
        <is>
          <t>S50-H동</t>
        </is>
      </c>
      <c r="D2564" s="25" t="inlineStr">
        <is>
          <t>측정</t>
        </is>
      </c>
      <c r="E2564" s="25" t="inlineStr">
        <is>
          <t>동</t>
        </is>
      </c>
      <c r="F2564" s="30" t="n">
        <v>10</v>
      </c>
      <c r="G2564" s="29" t="n"/>
      <c r="H2564" s="42" t="n"/>
      <c r="I2564" s="40" t="n"/>
      <c r="J2564" s="40" t="n"/>
      <c r="K2564" s="40" t="n"/>
      <c r="L2564" s="30">
        <f>IF(COUNT(I2564:K2564)=0,"",MEDIAN(I2564:K2564))</f>
        <v/>
      </c>
      <c r="M2564" s="25">
        <f>IF(COUNTIFS($C:$C,$C2564,$D:$D,"P0(전)",$L:$L,"&gt;0")&lt;&gt;1,"P0(전) 유효 1개 아님",IF(COUNTIFS($C:$C,$C2564,$D:$D,"P0(후)",$L:$L,"&gt;0")&lt;&gt;1,"P0(후) 유효 1개 아님",IF(NOT(AND(ISNUMBER(N2564),ISNUMBER(P2564),ISNUMBER(H2564))),"시각 결측",IF(P2564&lt;=N2564,"P0 시각 역전",IF(OR(H2564&lt;N2564,H2564&gt;P2564),"측정시각 구간 밖","OK")))))</f>
        <v/>
      </c>
      <c r="N2564" s="45">
        <f>IF(COUNTIFS($C:$C,$C2564,$D:$D,"P0(전)",$L:$L,"&gt;0")&lt;&gt;1,"",SUMIFS($H:$H,$C:$C,$C2564,$D:$D,"P0(전)"))</f>
        <v/>
      </c>
      <c r="O2564" s="30">
        <f>IF(COUNTIFS($C:$C,$C2564,$D:$D,"P0(전)",$L:$L,"&gt;0")&lt;&gt;1,"",SUMIFS($L:$L,$C:$C,$C2564,$D:$D,"P0(전)"))</f>
        <v/>
      </c>
      <c r="P2564" s="45">
        <f>IF(COUNTIFS($C:$C,$C2564,$D:$D,"P0(후)",$L:$L,"&gt;0")&lt;&gt;1,"",SUMIFS($H:$H,$C:$C,$C2564,$D:$D,"P0(후)"))</f>
        <v/>
      </c>
      <c r="Q2564" s="30">
        <f>IF(COUNTIFS($C:$C,$C2564,$D:$D,"P0(후)",$L:$L,"&gt;0")&lt;&gt;1,"",SUMIFS($L:$L,$C:$C,$C2564,$D:$D,"P0(후)"))</f>
        <v/>
      </c>
      <c r="R2564" s="30">
        <f>IF(M2564&lt;&gt;"OK","",O2564+(Q2564-O2564)*(H2564-N2564)/(P2564-N2564))</f>
        <v/>
      </c>
      <c r="S2564" s="30">
        <f>IF(OR(M2564&lt;&gt;"OK",NOT(ISNUMBER(L2564))),"",L2564-R2564)</f>
        <v/>
      </c>
      <c r="T2564" s="46">
        <f>IF(OR(NOT(ISNUMBER(S2564)),IF(ISNUMBER(G2564),G2564,F2564)=0),"",S2564/IF(ISNUMBER(G2564),G2564,F2564))</f>
        <v/>
      </c>
      <c r="U2564" s="46">
        <f>IF(ISNUMBER(T2564),ABS(T2564),"")</f>
        <v/>
      </c>
      <c r="V2564" s="46">
        <f>IF(OR($D2563&lt;&gt;"측정",$C2563&lt;&gt;$C2564,NOT(ISNUMBER(L2564)),NOT(ISNUMBER(L2563)),(IF(ISNUMBER(G2564),G2564,F2564)-IF(ISNUMBER(G2563),G2563,F2563))=0),"",(L2564-L2563)/(IF(ISNUMBER(G2564),G2564,F2564)-IF(ISNUMBER(G2563),G2563,F2563)))</f>
        <v/>
      </c>
      <c r="W2564" s="30">
        <f>IF(NOT(AND(ISNUMBER(N2564),ISNUMBER(P2564))),"",(P2564-N2564)*1440)</f>
        <v/>
      </c>
      <c r="X2564" s="28" t="n"/>
      <c r="Y2564" s="28" t="n"/>
      <c r="Z2564" s="28" t="n"/>
      <c r="AA2564" s="31" t="n"/>
      <c r="AB2564" s="31" t="n"/>
    </row>
    <row r="2565">
      <c r="A2565" s="43" t="inlineStr">
        <is>
          <t>S50</t>
        </is>
      </c>
      <c r="B2565" s="43" t="inlineStr">
        <is>
          <t>함양</t>
        </is>
      </c>
      <c r="C2565" s="43" t="inlineStr">
        <is>
          <t>S50-H동</t>
        </is>
      </c>
      <c r="D2565" s="43" t="inlineStr">
        <is>
          <t>P0(후)</t>
        </is>
      </c>
      <c r="E2565" s="43" t="inlineStr">
        <is>
          <t>동</t>
        </is>
      </c>
      <c r="F2565" s="44" t="n"/>
      <c r="G2565" s="29" t="n"/>
      <c r="H2565" s="42" t="n"/>
      <c r="I2565" s="40" t="n"/>
      <c r="J2565" s="40" t="n"/>
      <c r="K2565" s="40" t="n"/>
      <c r="L2565" s="30">
        <f>IF(COUNT(I2565:K2565)=0,"",MEDIAN(I2565:K2565))</f>
        <v/>
      </c>
      <c r="M2565" s="37" t="n"/>
      <c r="N2565" s="37" t="n"/>
      <c r="O2565" s="37" t="n"/>
      <c r="P2565" s="37" t="n"/>
      <c r="Q2565" s="37" t="n"/>
      <c r="R2565" s="37" t="n"/>
      <c r="S2565" s="37" t="n"/>
      <c r="T2565" s="37" t="n"/>
      <c r="U2565" s="37" t="n"/>
      <c r="V2565" s="37" t="n"/>
      <c r="W2565" s="37" t="n"/>
      <c r="X2565" s="28" t="n"/>
      <c r="Y2565" s="28" t="n"/>
      <c r="Z2565" s="28" t="n"/>
      <c r="AA2565" s="31" t="n"/>
      <c r="AB2565" s="31" t="n"/>
    </row>
    <row r="2566">
      <c r="A2566" s="43" t="inlineStr">
        <is>
          <t>S50</t>
        </is>
      </c>
      <c r="B2566" s="43" t="inlineStr">
        <is>
          <t>함양</t>
        </is>
      </c>
      <c r="C2566" s="43" t="inlineStr">
        <is>
          <t>S50-H서</t>
        </is>
      </c>
      <c r="D2566" s="43" t="inlineStr">
        <is>
          <t>P0(전)</t>
        </is>
      </c>
      <c r="E2566" s="43" t="inlineStr">
        <is>
          <t>서</t>
        </is>
      </c>
      <c r="F2566" s="44" t="n"/>
      <c r="G2566" s="29" t="n"/>
      <c r="H2566" s="42" t="n"/>
      <c r="I2566" s="40" t="n"/>
      <c r="J2566" s="40" t="n"/>
      <c r="K2566" s="40" t="n"/>
      <c r="L2566" s="30">
        <f>IF(COUNT(I2566:K2566)=0,"",MEDIAN(I2566:K2566))</f>
        <v/>
      </c>
      <c r="M2566" s="37" t="n"/>
      <c r="N2566" s="37" t="n"/>
      <c r="O2566" s="37" t="n"/>
      <c r="P2566" s="37" t="n"/>
      <c r="Q2566" s="37" t="n"/>
      <c r="R2566" s="37" t="n"/>
      <c r="S2566" s="37" t="n"/>
      <c r="T2566" s="37" t="n"/>
      <c r="U2566" s="37" t="n"/>
      <c r="V2566" s="37" t="n"/>
      <c r="W2566" s="37" t="n"/>
      <c r="X2566" s="28" t="n"/>
      <c r="Y2566" s="28" t="n"/>
      <c r="Z2566" s="28" t="n"/>
      <c r="AA2566" s="31" t="n"/>
      <c r="AB2566" s="31" t="n"/>
    </row>
    <row r="2567">
      <c r="A2567" s="25" t="inlineStr">
        <is>
          <t>S50</t>
        </is>
      </c>
      <c r="B2567" s="25" t="inlineStr">
        <is>
          <t>함양</t>
        </is>
      </c>
      <c r="C2567" s="25" t="inlineStr">
        <is>
          <t>S50-H서</t>
        </is>
      </c>
      <c r="D2567" s="25" t="inlineStr">
        <is>
          <t>측정</t>
        </is>
      </c>
      <c r="E2567" s="25" t="inlineStr">
        <is>
          <t>서</t>
        </is>
      </c>
      <c r="F2567" s="30" t="n">
        <v>0.5</v>
      </c>
      <c r="G2567" s="29" t="n"/>
      <c r="H2567" s="42" t="n"/>
      <c r="I2567" s="40" t="n"/>
      <c r="J2567" s="40" t="n"/>
      <c r="K2567" s="40" t="n"/>
      <c r="L2567" s="30">
        <f>IF(COUNT(I2567:K2567)=0,"",MEDIAN(I2567:K2567))</f>
        <v/>
      </c>
      <c r="M2567" s="25">
        <f>IF(COUNTIFS($C:$C,$C2567,$D:$D,"P0(전)",$L:$L,"&gt;0")&lt;&gt;1,"P0(전) 유효 1개 아님",IF(COUNTIFS($C:$C,$C2567,$D:$D,"P0(후)",$L:$L,"&gt;0")&lt;&gt;1,"P0(후) 유효 1개 아님",IF(NOT(AND(ISNUMBER(N2567),ISNUMBER(P2567),ISNUMBER(H2567))),"시각 결측",IF(P2567&lt;=N2567,"P0 시각 역전",IF(OR(H2567&lt;N2567,H2567&gt;P2567),"측정시각 구간 밖","OK")))))</f>
        <v/>
      </c>
      <c r="N2567" s="45">
        <f>IF(COUNTIFS($C:$C,$C2567,$D:$D,"P0(전)",$L:$L,"&gt;0")&lt;&gt;1,"",SUMIFS($H:$H,$C:$C,$C2567,$D:$D,"P0(전)"))</f>
        <v/>
      </c>
      <c r="O2567" s="30">
        <f>IF(COUNTIFS($C:$C,$C2567,$D:$D,"P0(전)",$L:$L,"&gt;0")&lt;&gt;1,"",SUMIFS($L:$L,$C:$C,$C2567,$D:$D,"P0(전)"))</f>
        <v/>
      </c>
      <c r="P2567" s="45">
        <f>IF(COUNTIFS($C:$C,$C2567,$D:$D,"P0(후)",$L:$L,"&gt;0")&lt;&gt;1,"",SUMIFS($H:$H,$C:$C,$C2567,$D:$D,"P0(후)"))</f>
        <v/>
      </c>
      <c r="Q2567" s="30">
        <f>IF(COUNTIFS($C:$C,$C2567,$D:$D,"P0(후)",$L:$L,"&gt;0")&lt;&gt;1,"",SUMIFS($L:$L,$C:$C,$C2567,$D:$D,"P0(후)"))</f>
        <v/>
      </c>
      <c r="R2567" s="30">
        <f>IF(M2567&lt;&gt;"OK","",O2567+(Q2567-O2567)*(H2567-N2567)/(P2567-N2567))</f>
        <v/>
      </c>
      <c r="S2567" s="30">
        <f>IF(OR(M2567&lt;&gt;"OK",NOT(ISNUMBER(L2567))),"",L2567-R2567)</f>
        <v/>
      </c>
      <c r="T2567" s="46">
        <f>IF(OR(NOT(ISNUMBER(S2567)),IF(ISNUMBER(G2567),G2567,F2567)=0),"",S2567/IF(ISNUMBER(G2567),G2567,F2567))</f>
        <v/>
      </c>
      <c r="U2567" s="46">
        <f>IF(ISNUMBER(T2567),ABS(T2567),"")</f>
        <v/>
      </c>
      <c r="V2567" s="46">
        <f>IF(OR($D2566&lt;&gt;"측정",$C2566&lt;&gt;$C2567,NOT(ISNUMBER(L2567)),NOT(ISNUMBER(L2566)),(IF(ISNUMBER(G2567),G2567,F2567)-IF(ISNUMBER(G2566),G2566,F2566))=0),"",(L2567-L2566)/(IF(ISNUMBER(G2567),G2567,F2567)-IF(ISNUMBER(G2566),G2566,F2566)))</f>
        <v/>
      </c>
      <c r="W2567" s="30">
        <f>IF(NOT(AND(ISNUMBER(N2567),ISNUMBER(P2567))),"",(P2567-N2567)*1440)</f>
        <v/>
      </c>
      <c r="X2567" s="28" t="n"/>
      <c r="Y2567" s="28" t="n"/>
      <c r="Z2567" s="28" t="n"/>
      <c r="AA2567" s="31" t="n"/>
      <c r="AB2567" s="31" t="n"/>
    </row>
    <row r="2568">
      <c r="A2568" s="25" t="inlineStr">
        <is>
          <t>S50</t>
        </is>
      </c>
      <c r="B2568" s="25" t="inlineStr">
        <is>
          <t>함양</t>
        </is>
      </c>
      <c r="C2568" s="25" t="inlineStr">
        <is>
          <t>S50-H서</t>
        </is>
      </c>
      <c r="D2568" s="25" t="inlineStr">
        <is>
          <t>측정</t>
        </is>
      </c>
      <c r="E2568" s="25" t="inlineStr">
        <is>
          <t>서</t>
        </is>
      </c>
      <c r="F2568" s="30" t="n">
        <v>1</v>
      </c>
      <c r="G2568" s="29" t="n"/>
      <c r="H2568" s="42" t="n"/>
      <c r="I2568" s="40" t="n"/>
      <c r="J2568" s="40" t="n"/>
      <c r="K2568" s="40" t="n"/>
      <c r="L2568" s="30">
        <f>IF(COUNT(I2568:K2568)=0,"",MEDIAN(I2568:K2568))</f>
        <v/>
      </c>
      <c r="M2568" s="25">
        <f>IF(COUNTIFS($C:$C,$C2568,$D:$D,"P0(전)",$L:$L,"&gt;0")&lt;&gt;1,"P0(전) 유효 1개 아님",IF(COUNTIFS($C:$C,$C2568,$D:$D,"P0(후)",$L:$L,"&gt;0")&lt;&gt;1,"P0(후) 유효 1개 아님",IF(NOT(AND(ISNUMBER(N2568),ISNUMBER(P2568),ISNUMBER(H2568))),"시각 결측",IF(P2568&lt;=N2568,"P0 시각 역전",IF(OR(H2568&lt;N2568,H2568&gt;P2568),"측정시각 구간 밖","OK")))))</f>
        <v/>
      </c>
      <c r="N2568" s="45">
        <f>IF(COUNTIFS($C:$C,$C2568,$D:$D,"P0(전)",$L:$L,"&gt;0")&lt;&gt;1,"",SUMIFS($H:$H,$C:$C,$C2568,$D:$D,"P0(전)"))</f>
        <v/>
      </c>
      <c r="O2568" s="30">
        <f>IF(COUNTIFS($C:$C,$C2568,$D:$D,"P0(전)",$L:$L,"&gt;0")&lt;&gt;1,"",SUMIFS($L:$L,$C:$C,$C2568,$D:$D,"P0(전)"))</f>
        <v/>
      </c>
      <c r="P2568" s="45">
        <f>IF(COUNTIFS($C:$C,$C2568,$D:$D,"P0(후)",$L:$L,"&gt;0")&lt;&gt;1,"",SUMIFS($H:$H,$C:$C,$C2568,$D:$D,"P0(후)"))</f>
        <v/>
      </c>
      <c r="Q2568" s="30">
        <f>IF(COUNTIFS($C:$C,$C2568,$D:$D,"P0(후)",$L:$L,"&gt;0")&lt;&gt;1,"",SUMIFS($L:$L,$C:$C,$C2568,$D:$D,"P0(후)"))</f>
        <v/>
      </c>
      <c r="R2568" s="30">
        <f>IF(M2568&lt;&gt;"OK","",O2568+(Q2568-O2568)*(H2568-N2568)/(P2568-N2568))</f>
        <v/>
      </c>
      <c r="S2568" s="30">
        <f>IF(OR(M2568&lt;&gt;"OK",NOT(ISNUMBER(L2568))),"",L2568-R2568)</f>
        <v/>
      </c>
      <c r="T2568" s="46">
        <f>IF(OR(NOT(ISNUMBER(S2568)),IF(ISNUMBER(G2568),G2568,F2568)=0),"",S2568/IF(ISNUMBER(G2568),G2568,F2568))</f>
        <v/>
      </c>
      <c r="U2568" s="46">
        <f>IF(ISNUMBER(T2568),ABS(T2568),"")</f>
        <v/>
      </c>
      <c r="V2568" s="46">
        <f>IF(OR($D2567&lt;&gt;"측정",$C2567&lt;&gt;$C2568,NOT(ISNUMBER(L2568)),NOT(ISNUMBER(L2567)),(IF(ISNUMBER(G2568),G2568,F2568)-IF(ISNUMBER(G2567),G2567,F2567))=0),"",(L2568-L2567)/(IF(ISNUMBER(G2568),G2568,F2568)-IF(ISNUMBER(G2567),G2567,F2567)))</f>
        <v/>
      </c>
      <c r="W2568" s="30">
        <f>IF(NOT(AND(ISNUMBER(N2568),ISNUMBER(P2568))),"",(P2568-N2568)*1440)</f>
        <v/>
      </c>
      <c r="X2568" s="28" t="n"/>
      <c r="Y2568" s="28" t="n"/>
      <c r="Z2568" s="28" t="n"/>
      <c r="AA2568" s="31" t="n"/>
      <c r="AB2568" s="31" t="n"/>
    </row>
    <row r="2569">
      <c r="A2569" s="25" t="inlineStr">
        <is>
          <t>S50</t>
        </is>
      </c>
      <c r="B2569" s="25" t="inlineStr">
        <is>
          <t>함양</t>
        </is>
      </c>
      <c r="C2569" s="25" t="inlineStr">
        <is>
          <t>S50-H서</t>
        </is>
      </c>
      <c r="D2569" s="25" t="inlineStr">
        <is>
          <t>측정</t>
        </is>
      </c>
      <c r="E2569" s="25" t="inlineStr">
        <is>
          <t>서</t>
        </is>
      </c>
      <c r="F2569" s="30" t="n">
        <v>2</v>
      </c>
      <c r="G2569" s="29" t="n"/>
      <c r="H2569" s="42" t="n"/>
      <c r="I2569" s="40" t="n"/>
      <c r="J2569" s="40" t="n"/>
      <c r="K2569" s="40" t="n"/>
      <c r="L2569" s="30">
        <f>IF(COUNT(I2569:K2569)=0,"",MEDIAN(I2569:K2569))</f>
        <v/>
      </c>
      <c r="M2569" s="25">
        <f>IF(COUNTIFS($C:$C,$C2569,$D:$D,"P0(전)",$L:$L,"&gt;0")&lt;&gt;1,"P0(전) 유효 1개 아님",IF(COUNTIFS($C:$C,$C2569,$D:$D,"P0(후)",$L:$L,"&gt;0")&lt;&gt;1,"P0(후) 유효 1개 아님",IF(NOT(AND(ISNUMBER(N2569),ISNUMBER(P2569),ISNUMBER(H2569))),"시각 결측",IF(P2569&lt;=N2569,"P0 시각 역전",IF(OR(H2569&lt;N2569,H2569&gt;P2569),"측정시각 구간 밖","OK")))))</f>
        <v/>
      </c>
      <c r="N2569" s="45">
        <f>IF(COUNTIFS($C:$C,$C2569,$D:$D,"P0(전)",$L:$L,"&gt;0")&lt;&gt;1,"",SUMIFS($H:$H,$C:$C,$C2569,$D:$D,"P0(전)"))</f>
        <v/>
      </c>
      <c r="O2569" s="30">
        <f>IF(COUNTIFS($C:$C,$C2569,$D:$D,"P0(전)",$L:$L,"&gt;0")&lt;&gt;1,"",SUMIFS($L:$L,$C:$C,$C2569,$D:$D,"P0(전)"))</f>
        <v/>
      </c>
      <c r="P2569" s="45">
        <f>IF(COUNTIFS($C:$C,$C2569,$D:$D,"P0(후)",$L:$L,"&gt;0")&lt;&gt;1,"",SUMIFS($H:$H,$C:$C,$C2569,$D:$D,"P0(후)"))</f>
        <v/>
      </c>
      <c r="Q2569" s="30">
        <f>IF(COUNTIFS($C:$C,$C2569,$D:$D,"P0(후)",$L:$L,"&gt;0")&lt;&gt;1,"",SUMIFS($L:$L,$C:$C,$C2569,$D:$D,"P0(후)"))</f>
        <v/>
      </c>
      <c r="R2569" s="30">
        <f>IF(M2569&lt;&gt;"OK","",O2569+(Q2569-O2569)*(H2569-N2569)/(P2569-N2569))</f>
        <v/>
      </c>
      <c r="S2569" s="30">
        <f>IF(OR(M2569&lt;&gt;"OK",NOT(ISNUMBER(L2569))),"",L2569-R2569)</f>
        <v/>
      </c>
      <c r="T2569" s="46">
        <f>IF(OR(NOT(ISNUMBER(S2569)),IF(ISNUMBER(G2569),G2569,F2569)=0),"",S2569/IF(ISNUMBER(G2569),G2569,F2569))</f>
        <v/>
      </c>
      <c r="U2569" s="46">
        <f>IF(ISNUMBER(T2569),ABS(T2569),"")</f>
        <v/>
      </c>
      <c r="V2569" s="46">
        <f>IF(OR($D2568&lt;&gt;"측정",$C2568&lt;&gt;$C2569,NOT(ISNUMBER(L2569)),NOT(ISNUMBER(L2568)),(IF(ISNUMBER(G2569),G2569,F2569)-IF(ISNUMBER(G2568),G2568,F2568))=0),"",(L2569-L2568)/(IF(ISNUMBER(G2569),G2569,F2569)-IF(ISNUMBER(G2568),G2568,F2568)))</f>
        <v/>
      </c>
      <c r="W2569" s="30">
        <f>IF(NOT(AND(ISNUMBER(N2569),ISNUMBER(P2569))),"",(P2569-N2569)*1440)</f>
        <v/>
      </c>
      <c r="X2569" s="28" t="n"/>
      <c r="Y2569" s="28" t="n"/>
      <c r="Z2569" s="28" t="n"/>
      <c r="AA2569" s="31" t="n"/>
      <c r="AB2569" s="31" t="n"/>
    </row>
    <row r="2570">
      <c r="A2570" s="25" t="inlineStr">
        <is>
          <t>S50</t>
        </is>
      </c>
      <c r="B2570" s="25" t="inlineStr">
        <is>
          <t>함양</t>
        </is>
      </c>
      <c r="C2570" s="25" t="inlineStr">
        <is>
          <t>S50-H서</t>
        </is>
      </c>
      <c r="D2570" s="25" t="inlineStr">
        <is>
          <t>측정</t>
        </is>
      </c>
      <c r="E2570" s="25" t="inlineStr">
        <is>
          <t>서</t>
        </is>
      </c>
      <c r="F2570" s="30" t="n">
        <v>3</v>
      </c>
      <c r="G2570" s="29" t="n"/>
      <c r="H2570" s="42" t="n"/>
      <c r="I2570" s="40" t="n"/>
      <c r="J2570" s="40" t="n"/>
      <c r="K2570" s="40" t="n"/>
      <c r="L2570" s="30">
        <f>IF(COUNT(I2570:K2570)=0,"",MEDIAN(I2570:K2570))</f>
        <v/>
      </c>
      <c r="M2570" s="25">
        <f>IF(COUNTIFS($C:$C,$C2570,$D:$D,"P0(전)",$L:$L,"&gt;0")&lt;&gt;1,"P0(전) 유효 1개 아님",IF(COUNTIFS($C:$C,$C2570,$D:$D,"P0(후)",$L:$L,"&gt;0")&lt;&gt;1,"P0(후) 유효 1개 아님",IF(NOT(AND(ISNUMBER(N2570),ISNUMBER(P2570),ISNUMBER(H2570))),"시각 결측",IF(P2570&lt;=N2570,"P0 시각 역전",IF(OR(H2570&lt;N2570,H2570&gt;P2570),"측정시각 구간 밖","OK")))))</f>
        <v/>
      </c>
      <c r="N2570" s="45">
        <f>IF(COUNTIFS($C:$C,$C2570,$D:$D,"P0(전)",$L:$L,"&gt;0")&lt;&gt;1,"",SUMIFS($H:$H,$C:$C,$C2570,$D:$D,"P0(전)"))</f>
        <v/>
      </c>
      <c r="O2570" s="30">
        <f>IF(COUNTIFS($C:$C,$C2570,$D:$D,"P0(전)",$L:$L,"&gt;0")&lt;&gt;1,"",SUMIFS($L:$L,$C:$C,$C2570,$D:$D,"P0(전)"))</f>
        <v/>
      </c>
      <c r="P2570" s="45">
        <f>IF(COUNTIFS($C:$C,$C2570,$D:$D,"P0(후)",$L:$L,"&gt;0")&lt;&gt;1,"",SUMIFS($H:$H,$C:$C,$C2570,$D:$D,"P0(후)"))</f>
        <v/>
      </c>
      <c r="Q2570" s="30">
        <f>IF(COUNTIFS($C:$C,$C2570,$D:$D,"P0(후)",$L:$L,"&gt;0")&lt;&gt;1,"",SUMIFS($L:$L,$C:$C,$C2570,$D:$D,"P0(후)"))</f>
        <v/>
      </c>
      <c r="R2570" s="30">
        <f>IF(M2570&lt;&gt;"OK","",O2570+(Q2570-O2570)*(H2570-N2570)/(P2570-N2570))</f>
        <v/>
      </c>
      <c r="S2570" s="30">
        <f>IF(OR(M2570&lt;&gt;"OK",NOT(ISNUMBER(L2570))),"",L2570-R2570)</f>
        <v/>
      </c>
      <c r="T2570" s="46">
        <f>IF(OR(NOT(ISNUMBER(S2570)),IF(ISNUMBER(G2570),G2570,F2570)=0),"",S2570/IF(ISNUMBER(G2570),G2570,F2570))</f>
        <v/>
      </c>
      <c r="U2570" s="46">
        <f>IF(ISNUMBER(T2570),ABS(T2570),"")</f>
        <v/>
      </c>
      <c r="V2570" s="46">
        <f>IF(OR($D2569&lt;&gt;"측정",$C2569&lt;&gt;$C2570,NOT(ISNUMBER(L2570)),NOT(ISNUMBER(L2569)),(IF(ISNUMBER(G2570),G2570,F2570)-IF(ISNUMBER(G2569),G2569,F2569))=0),"",(L2570-L2569)/(IF(ISNUMBER(G2570),G2570,F2570)-IF(ISNUMBER(G2569),G2569,F2569)))</f>
        <v/>
      </c>
      <c r="W2570" s="30">
        <f>IF(NOT(AND(ISNUMBER(N2570),ISNUMBER(P2570))),"",(P2570-N2570)*1440)</f>
        <v/>
      </c>
      <c r="X2570" s="28" t="n"/>
      <c r="Y2570" s="28" t="n"/>
      <c r="Z2570" s="28" t="n"/>
      <c r="AA2570" s="31" t="n"/>
      <c r="AB2570" s="31" t="n"/>
    </row>
    <row r="2571">
      <c r="A2571" s="25" t="inlineStr">
        <is>
          <t>S50</t>
        </is>
      </c>
      <c r="B2571" s="25" t="inlineStr">
        <is>
          <t>함양</t>
        </is>
      </c>
      <c r="C2571" s="25" t="inlineStr">
        <is>
          <t>S50-H서</t>
        </is>
      </c>
      <c r="D2571" s="25" t="inlineStr">
        <is>
          <t>측정</t>
        </is>
      </c>
      <c r="E2571" s="25" t="inlineStr">
        <is>
          <t>서</t>
        </is>
      </c>
      <c r="F2571" s="30" t="n">
        <v>4</v>
      </c>
      <c r="G2571" s="29" t="n"/>
      <c r="H2571" s="42" t="n"/>
      <c r="I2571" s="40" t="n"/>
      <c r="J2571" s="40" t="n"/>
      <c r="K2571" s="40" t="n"/>
      <c r="L2571" s="30">
        <f>IF(COUNT(I2571:K2571)=0,"",MEDIAN(I2571:K2571))</f>
        <v/>
      </c>
      <c r="M2571" s="25">
        <f>IF(COUNTIFS($C:$C,$C2571,$D:$D,"P0(전)",$L:$L,"&gt;0")&lt;&gt;1,"P0(전) 유효 1개 아님",IF(COUNTIFS($C:$C,$C2571,$D:$D,"P0(후)",$L:$L,"&gt;0")&lt;&gt;1,"P0(후) 유효 1개 아님",IF(NOT(AND(ISNUMBER(N2571),ISNUMBER(P2571),ISNUMBER(H2571))),"시각 결측",IF(P2571&lt;=N2571,"P0 시각 역전",IF(OR(H2571&lt;N2571,H2571&gt;P2571),"측정시각 구간 밖","OK")))))</f>
        <v/>
      </c>
      <c r="N2571" s="45">
        <f>IF(COUNTIFS($C:$C,$C2571,$D:$D,"P0(전)",$L:$L,"&gt;0")&lt;&gt;1,"",SUMIFS($H:$H,$C:$C,$C2571,$D:$D,"P0(전)"))</f>
        <v/>
      </c>
      <c r="O2571" s="30">
        <f>IF(COUNTIFS($C:$C,$C2571,$D:$D,"P0(전)",$L:$L,"&gt;0")&lt;&gt;1,"",SUMIFS($L:$L,$C:$C,$C2571,$D:$D,"P0(전)"))</f>
        <v/>
      </c>
      <c r="P2571" s="45">
        <f>IF(COUNTIFS($C:$C,$C2571,$D:$D,"P0(후)",$L:$L,"&gt;0")&lt;&gt;1,"",SUMIFS($H:$H,$C:$C,$C2571,$D:$D,"P0(후)"))</f>
        <v/>
      </c>
      <c r="Q2571" s="30">
        <f>IF(COUNTIFS($C:$C,$C2571,$D:$D,"P0(후)",$L:$L,"&gt;0")&lt;&gt;1,"",SUMIFS($L:$L,$C:$C,$C2571,$D:$D,"P0(후)"))</f>
        <v/>
      </c>
      <c r="R2571" s="30">
        <f>IF(M2571&lt;&gt;"OK","",O2571+(Q2571-O2571)*(H2571-N2571)/(P2571-N2571))</f>
        <v/>
      </c>
      <c r="S2571" s="30">
        <f>IF(OR(M2571&lt;&gt;"OK",NOT(ISNUMBER(L2571))),"",L2571-R2571)</f>
        <v/>
      </c>
      <c r="T2571" s="46">
        <f>IF(OR(NOT(ISNUMBER(S2571)),IF(ISNUMBER(G2571),G2571,F2571)=0),"",S2571/IF(ISNUMBER(G2571),G2571,F2571))</f>
        <v/>
      </c>
      <c r="U2571" s="46">
        <f>IF(ISNUMBER(T2571),ABS(T2571),"")</f>
        <v/>
      </c>
      <c r="V2571" s="46">
        <f>IF(OR($D2570&lt;&gt;"측정",$C2570&lt;&gt;$C2571,NOT(ISNUMBER(L2571)),NOT(ISNUMBER(L2570)),(IF(ISNUMBER(G2571),G2571,F2571)-IF(ISNUMBER(G2570),G2570,F2570))=0),"",(L2571-L2570)/(IF(ISNUMBER(G2571),G2571,F2571)-IF(ISNUMBER(G2570),G2570,F2570)))</f>
        <v/>
      </c>
      <c r="W2571" s="30">
        <f>IF(NOT(AND(ISNUMBER(N2571),ISNUMBER(P2571))),"",(P2571-N2571)*1440)</f>
        <v/>
      </c>
      <c r="X2571" s="28" t="n"/>
      <c r="Y2571" s="28" t="n"/>
      <c r="Z2571" s="28" t="n"/>
      <c r="AA2571" s="31" t="n"/>
      <c r="AB2571" s="31" t="n"/>
    </row>
    <row r="2572">
      <c r="A2572" s="25" t="inlineStr">
        <is>
          <t>S50</t>
        </is>
      </c>
      <c r="B2572" s="25" t="inlineStr">
        <is>
          <t>함양</t>
        </is>
      </c>
      <c r="C2572" s="25" t="inlineStr">
        <is>
          <t>S50-H서</t>
        </is>
      </c>
      <c r="D2572" s="25" t="inlineStr">
        <is>
          <t>측정</t>
        </is>
      </c>
      <c r="E2572" s="25" t="inlineStr">
        <is>
          <t>서</t>
        </is>
      </c>
      <c r="F2572" s="30" t="n">
        <v>5</v>
      </c>
      <c r="G2572" s="29" t="n"/>
      <c r="H2572" s="42" t="n"/>
      <c r="I2572" s="40" t="n"/>
      <c r="J2572" s="40" t="n"/>
      <c r="K2572" s="40" t="n"/>
      <c r="L2572" s="30">
        <f>IF(COUNT(I2572:K2572)=0,"",MEDIAN(I2572:K2572))</f>
        <v/>
      </c>
      <c r="M2572" s="25">
        <f>IF(COUNTIFS($C:$C,$C2572,$D:$D,"P0(전)",$L:$L,"&gt;0")&lt;&gt;1,"P0(전) 유효 1개 아님",IF(COUNTIFS($C:$C,$C2572,$D:$D,"P0(후)",$L:$L,"&gt;0")&lt;&gt;1,"P0(후) 유효 1개 아님",IF(NOT(AND(ISNUMBER(N2572),ISNUMBER(P2572),ISNUMBER(H2572))),"시각 결측",IF(P2572&lt;=N2572,"P0 시각 역전",IF(OR(H2572&lt;N2572,H2572&gt;P2572),"측정시각 구간 밖","OK")))))</f>
        <v/>
      </c>
      <c r="N2572" s="45">
        <f>IF(COUNTIFS($C:$C,$C2572,$D:$D,"P0(전)",$L:$L,"&gt;0")&lt;&gt;1,"",SUMIFS($H:$H,$C:$C,$C2572,$D:$D,"P0(전)"))</f>
        <v/>
      </c>
      <c r="O2572" s="30">
        <f>IF(COUNTIFS($C:$C,$C2572,$D:$D,"P0(전)",$L:$L,"&gt;0")&lt;&gt;1,"",SUMIFS($L:$L,$C:$C,$C2572,$D:$D,"P0(전)"))</f>
        <v/>
      </c>
      <c r="P2572" s="45">
        <f>IF(COUNTIFS($C:$C,$C2572,$D:$D,"P0(후)",$L:$L,"&gt;0")&lt;&gt;1,"",SUMIFS($H:$H,$C:$C,$C2572,$D:$D,"P0(후)"))</f>
        <v/>
      </c>
      <c r="Q2572" s="30">
        <f>IF(COUNTIFS($C:$C,$C2572,$D:$D,"P0(후)",$L:$L,"&gt;0")&lt;&gt;1,"",SUMIFS($L:$L,$C:$C,$C2572,$D:$D,"P0(후)"))</f>
        <v/>
      </c>
      <c r="R2572" s="30">
        <f>IF(M2572&lt;&gt;"OK","",O2572+(Q2572-O2572)*(H2572-N2572)/(P2572-N2572))</f>
        <v/>
      </c>
      <c r="S2572" s="30">
        <f>IF(OR(M2572&lt;&gt;"OK",NOT(ISNUMBER(L2572))),"",L2572-R2572)</f>
        <v/>
      </c>
      <c r="T2572" s="46">
        <f>IF(OR(NOT(ISNUMBER(S2572)),IF(ISNUMBER(G2572),G2572,F2572)=0),"",S2572/IF(ISNUMBER(G2572),G2572,F2572))</f>
        <v/>
      </c>
      <c r="U2572" s="46">
        <f>IF(ISNUMBER(T2572),ABS(T2572),"")</f>
        <v/>
      </c>
      <c r="V2572" s="46">
        <f>IF(OR($D2571&lt;&gt;"측정",$C2571&lt;&gt;$C2572,NOT(ISNUMBER(L2572)),NOT(ISNUMBER(L2571)),(IF(ISNUMBER(G2572),G2572,F2572)-IF(ISNUMBER(G2571),G2571,F2571))=0),"",(L2572-L2571)/(IF(ISNUMBER(G2572),G2572,F2572)-IF(ISNUMBER(G2571),G2571,F2571)))</f>
        <v/>
      </c>
      <c r="W2572" s="30">
        <f>IF(NOT(AND(ISNUMBER(N2572),ISNUMBER(P2572))),"",(P2572-N2572)*1440)</f>
        <v/>
      </c>
      <c r="X2572" s="28" t="n"/>
      <c r="Y2572" s="28" t="n"/>
      <c r="Z2572" s="28" t="n"/>
      <c r="AA2572" s="31" t="n"/>
      <c r="AB2572" s="31" t="n"/>
    </row>
    <row r="2573">
      <c r="A2573" s="25" t="inlineStr">
        <is>
          <t>S50</t>
        </is>
      </c>
      <c r="B2573" s="25" t="inlineStr">
        <is>
          <t>함양</t>
        </is>
      </c>
      <c r="C2573" s="25" t="inlineStr">
        <is>
          <t>S50-H서</t>
        </is>
      </c>
      <c r="D2573" s="25" t="inlineStr">
        <is>
          <t>측정</t>
        </is>
      </c>
      <c r="E2573" s="25" t="inlineStr">
        <is>
          <t>서</t>
        </is>
      </c>
      <c r="F2573" s="30" t="n">
        <v>6</v>
      </c>
      <c r="G2573" s="29" t="n"/>
      <c r="H2573" s="42" t="n"/>
      <c r="I2573" s="40" t="n"/>
      <c r="J2573" s="40" t="n"/>
      <c r="K2573" s="40" t="n"/>
      <c r="L2573" s="30">
        <f>IF(COUNT(I2573:K2573)=0,"",MEDIAN(I2573:K2573))</f>
        <v/>
      </c>
      <c r="M2573" s="25">
        <f>IF(COUNTIFS($C:$C,$C2573,$D:$D,"P0(전)",$L:$L,"&gt;0")&lt;&gt;1,"P0(전) 유효 1개 아님",IF(COUNTIFS($C:$C,$C2573,$D:$D,"P0(후)",$L:$L,"&gt;0")&lt;&gt;1,"P0(후) 유효 1개 아님",IF(NOT(AND(ISNUMBER(N2573),ISNUMBER(P2573),ISNUMBER(H2573))),"시각 결측",IF(P2573&lt;=N2573,"P0 시각 역전",IF(OR(H2573&lt;N2573,H2573&gt;P2573),"측정시각 구간 밖","OK")))))</f>
        <v/>
      </c>
      <c r="N2573" s="45">
        <f>IF(COUNTIFS($C:$C,$C2573,$D:$D,"P0(전)",$L:$L,"&gt;0")&lt;&gt;1,"",SUMIFS($H:$H,$C:$C,$C2573,$D:$D,"P0(전)"))</f>
        <v/>
      </c>
      <c r="O2573" s="30">
        <f>IF(COUNTIFS($C:$C,$C2573,$D:$D,"P0(전)",$L:$L,"&gt;0")&lt;&gt;1,"",SUMIFS($L:$L,$C:$C,$C2573,$D:$D,"P0(전)"))</f>
        <v/>
      </c>
      <c r="P2573" s="45">
        <f>IF(COUNTIFS($C:$C,$C2573,$D:$D,"P0(후)",$L:$L,"&gt;0")&lt;&gt;1,"",SUMIFS($H:$H,$C:$C,$C2573,$D:$D,"P0(후)"))</f>
        <v/>
      </c>
      <c r="Q2573" s="30">
        <f>IF(COUNTIFS($C:$C,$C2573,$D:$D,"P0(후)",$L:$L,"&gt;0")&lt;&gt;1,"",SUMIFS($L:$L,$C:$C,$C2573,$D:$D,"P0(후)"))</f>
        <v/>
      </c>
      <c r="R2573" s="30">
        <f>IF(M2573&lt;&gt;"OK","",O2573+(Q2573-O2573)*(H2573-N2573)/(P2573-N2573))</f>
        <v/>
      </c>
      <c r="S2573" s="30">
        <f>IF(OR(M2573&lt;&gt;"OK",NOT(ISNUMBER(L2573))),"",L2573-R2573)</f>
        <v/>
      </c>
      <c r="T2573" s="46">
        <f>IF(OR(NOT(ISNUMBER(S2573)),IF(ISNUMBER(G2573),G2573,F2573)=0),"",S2573/IF(ISNUMBER(G2573),G2573,F2573))</f>
        <v/>
      </c>
      <c r="U2573" s="46">
        <f>IF(ISNUMBER(T2573),ABS(T2573),"")</f>
        <v/>
      </c>
      <c r="V2573" s="46">
        <f>IF(OR($D2572&lt;&gt;"측정",$C2572&lt;&gt;$C2573,NOT(ISNUMBER(L2573)),NOT(ISNUMBER(L2572)),(IF(ISNUMBER(G2573),G2573,F2573)-IF(ISNUMBER(G2572),G2572,F2572))=0),"",(L2573-L2572)/(IF(ISNUMBER(G2573),G2573,F2573)-IF(ISNUMBER(G2572),G2572,F2572)))</f>
        <v/>
      </c>
      <c r="W2573" s="30">
        <f>IF(NOT(AND(ISNUMBER(N2573),ISNUMBER(P2573))),"",(P2573-N2573)*1440)</f>
        <v/>
      </c>
      <c r="X2573" s="28" t="n"/>
      <c r="Y2573" s="28" t="n"/>
      <c r="Z2573" s="28" t="n"/>
      <c r="AA2573" s="31" t="n"/>
      <c r="AB2573" s="31" t="n"/>
    </row>
    <row r="2574">
      <c r="A2574" s="25" t="inlineStr">
        <is>
          <t>S50</t>
        </is>
      </c>
      <c r="B2574" s="25" t="inlineStr">
        <is>
          <t>함양</t>
        </is>
      </c>
      <c r="C2574" s="25" t="inlineStr">
        <is>
          <t>S50-H서</t>
        </is>
      </c>
      <c r="D2574" s="25" t="inlineStr">
        <is>
          <t>측정</t>
        </is>
      </c>
      <c r="E2574" s="25" t="inlineStr">
        <is>
          <t>서</t>
        </is>
      </c>
      <c r="F2574" s="30" t="n">
        <v>7</v>
      </c>
      <c r="G2574" s="29" t="n"/>
      <c r="H2574" s="42" t="n"/>
      <c r="I2574" s="40" t="n"/>
      <c r="J2574" s="40" t="n"/>
      <c r="K2574" s="40" t="n"/>
      <c r="L2574" s="30">
        <f>IF(COUNT(I2574:K2574)=0,"",MEDIAN(I2574:K2574))</f>
        <v/>
      </c>
      <c r="M2574" s="25">
        <f>IF(COUNTIFS($C:$C,$C2574,$D:$D,"P0(전)",$L:$L,"&gt;0")&lt;&gt;1,"P0(전) 유효 1개 아님",IF(COUNTIFS($C:$C,$C2574,$D:$D,"P0(후)",$L:$L,"&gt;0")&lt;&gt;1,"P0(후) 유효 1개 아님",IF(NOT(AND(ISNUMBER(N2574),ISNUMBER(P2574),ISNUMBER(H2574))),"시각 결측",IF(P2574&lt;=N2574,"P0 시각 역전",IF(OR(H2574&lt;N2574,H2574&gt;P2574),"측정시각 구간 밖","OK")))))</f>
        <v/>
      </c>
      <c r="N2574" s="45">
        <f>IF(COUNTIFS($C:$C,$C2574,$D:$D,"P0(전)",$L:$L,"&gt;0")&lt;&gt;1,"",SUMIFS($H:$H,$C:$C,$C2574,$D:$D,"P0(전)"))</f>
        <v/>
      </c>
      <c r="O2574" s="30">
        <f>IF(COUNTIFS($C:$C,$C2574,$D:$D,"P0(전)",$L:$L,"&gt;0")&lt;&gt;1,"",SUMIFS($L:$L,$C:$C,$C2574,$D:$D,"P0(전)"))</f>
        <v/>
      </c>
      <c r="P2574" s="45">
        <f>IF(COUNTIFS($C:$C,$C2574,$D:$D,"P0(후)",$L:$L,"&gt;0")&lt;&gt;1,"",SUMIFS($H:$H,$C:$C,$C2574,$D:$D,"P0(후)"))</f>
        <v/>
      </c>
      <c r="Q2574" s="30">
        <f>IF(COUNTIFS($C:$C,$C2574,$D:$D,"P0(후)",$L:$L,"&gt;0")&lt;&gt;1,"",SUMIFS($L:$L,$C:$C,$C2574,$D:$D,"P0(후)"))</f>
        <v/>
      </c>
      <c r="R2574" s="30">
        <f>IF(M2574&lt;&gt;"OK","",O2574+(Q2574-O2574)*(H2574-N2574)/(P2574-N2574))</f>
        <v/>
      </c>
      <c r="S2574" s="30">
        <f>IF(OR(M2574&lt;&gt;"OK",NOT(ISNUMBER(L2574))),"",L2574-R2574)</f>
        <v/>
      </c>
      <c r="T2574" s="46">
        <f>IF(OR(NOT(ISNUMBER(S2574)),IF(ISNUMBER(G2574),G2574,F2574)=0),"",S2574/IF(ISNUMBER(G2574),G2574,F2574))</f>
        <v/>
      </c>
      <c r="U2574" s="46">
        <f>IF(ISNUMBER(T2574),ABS(T2574),"")</f>
        <v/>
      </c>
      <c r="V2574" s="46">
        <f>IF(OR($D2573&lt;&gt;"측정",$C2573&lt;&gt;$C2574,NOT(ISNUMBER(L2574)),NOT(ISNUMBER(L2573)),(IF(ISNUMBER(G2574),G2574,F2574)-IF(ISNUMBER(G2573),G2573,F2573))=0),"",(L2574-L2573)/(IF(ISNUMBER(G2574),G2574,F2574)-IF(ISNUMBER(G2573),G2573,F2573)))</f>
        <v/>
      </c>
      <c r="W2574" s="30">
        <f>IF(NOT(AND(ISNUMBER(N2574),ISNUMBER(P2574))),"",(P2574-N2574)*1440)</f>
        <v/>
      </c>
      <c r="X2574" s="28" t="n"/>
      <c r="Y2574" s="28" t="n"/>
      <c r="Z2574" s="28" t="n"/>
      <c r="AA2574" s="31" t="n"/>
      <c r="AB2574" s="31" t="n"/>
    </row>
    <row r="2575">
      <c r="A2575" s="25" t="inlineStr">
        <is>
          <t>S50</t>
        </is>
      </c>
      <c r="B2575" s="25" t="inlineStr">
        <is>
          <t>함양</t>
        </is>
      </c>
      <c r="C2575" s="25" t="inlineStr">
        <is>
          <t>S50-H서</t>
        </is>
      </c>
      <c r="D2575" s="25" t="inlineStr">
        <is>
          <t>측정</t>
        </is>
      </c>
      <c r="E2575" s="25" t="inlineStr">
        <is>
          <t>서</t>
        </is>
      </c>
      <c r="F2575" s="30" t="n">
        <v>8</v>
      </c>
      <c r="G2575" s="29" t="n"/>
      <c r="H2575" s="42" t="n"/>
      <c r="I2575" s="40" t="n"/>
      <c r="J2575" s="40" t="n"/>
      <c r="K2575" s="40" t="n"/>
      <c r="L2575" s="30">
        <f>IF(COUNT(I2575:K2575)=0,"",MEDIAN(I2575:K2575))</f>
        <v/>
      </c>
      <c r="M2575" s="25">
        <f>IF(COUNTIFS($C:$C,$C2575,$D:$D,"P0(전)",$L:$L,"&gt;0")&lt;&gt;1,"P0(전) 유효 1개 아님",IF(COUNTIFS($C:$C,$C2575,$D:$D,"P0(후)",$L:$L,"&gt;0")&lt;&gt;1,"P0(후) 유효 1개 아님",IF(NOT(AND(ISNUMBER(N2575),ISNUMBER(P2575),ISNUMBER(H2575))),"시각 결측",IF(P2575&lt;=N2575,"P0 시각 역전",IF(OR(H2575&lt;N2575,H2575&gt;P2575),"측정시각 구간 밖","OK")))))</f>
        <v/>
      </c>
      <c r="N2575" s="45">
        <f>IF(COUNTIFS($C:$C,$C2575,$D:$D,"P0(전)",$L:$L,"&gt;0")&lt;&gt;1,"",SUMIFS($H:$H,$C:$C,$C2575,$D:$D,"P0(전)"))</f>
        <v/>
      </c>
      <c r="O2575" s="30">
        <f>IF(COUNTIFS($C:$C,$C2575,$D:$D,"P0(전)",$L:$L,"&gt;0")&lt;&gt;1,"",SUMIFS($L:$L,$C:$C,$C2575,$D:$D,"P0(전)"))</f>
        <v/>
      </c>
      <c r="P2575" s="45">
        <f>IF(COUNTIFS($C:$C,$C2575,$D:$D,"P0(후)",$L:$L,"&gt;0")&lt;&gt;1,"",SUMIFS($H:$H,$C:$C,$C2575,$D:$D,"P0(후)"))</f>
        <v/>
      </c>
      <c r="Q2575" s="30">
        <f>IF(COUNTIFS($C:$C,$C2575,$D:$D,"P0(후)",$L:$L,"&gt;0")&lt;&gt;1,"",SUMIFS($L:$L,$C:$C,$C2575,$D:$D,"P0(후)"))</f>
        <v/>
      </c>
      <c r="R2575" s="30">
        <f>IF(M2575&lt;&gt;"OK","",O2575+(Q2575-O2575)*(H2575-N2575)/(P2575-N2575))</f>
        <v/>
      </c>
      <c r="S2575" s="30">
        <f>IF(OR(M2575&lt;&gt;"OK",NOT(ISNUMBER(L2575))),"",L2575-R2575)</f>
        <v/>
      </c>
      <c r="T2575" s="46">
        <f>IF(OR(NOT(ISNUMBER(S2575)),IF(ISNUMBER(G2575),G2575,F2575)=0),"",S2575/IF(ISNUMBER(G2575),G2575,F2575))</f>
        <v/>
      </c>
      <c r="U2575" s="46">
        <f>IF(ISNUMBER(T2575),ABS(T2575),"")</f>
        <v/>
      </c>
      <c r="V2575" s="46">
        <f>IF(OR($D2574&lt;&gt;"측정",$C2574&lt;&gt;$C2575,NOT(ISNUMBER(L2575)),NOT(ISNUMBER(L2574)),(IF(ISNUMBER(G2575),G2575,F2575)-IF(ISNUMBER(G2574),G2574,F2574))=0),"",(L2575-L2574)/(IF(ISNUMBER(G2575),G2575,F2575)-IF(ISNUMBER(G2574),G2574,F2574)))</f>
        <v/>
      </c>
      <c r="W2575" s="30">
        <f>IF(NOT(AND(ISNUMBER(N2575),ISNUMBER(P2575))),"",(P2575-N2575)*1440)</f>
        <v/>
      </c>
      <c r="X2575" s="28" t="n"/>
      <c r="Y2575" s="28" t="n"/>
      <c r="Z2575" s="28" t="n"/>
      <c r="AA2575" s="31" t="n"/>
      <c r="AB2575" s="31" t="n"/>
    </row>
    <row r="2576">
      <c r="A2576" s="25" t="inlineStr">
        <is>
          <t>S50</t>
        </is>
      </c>
      <c r="B2576" s="25" t="inlineStr">
        <is>
          <t>함양</t>
        </is>
      </c>
      <c r="C2576" s="25" t="inlineStr">
        <is>
          <t>S50-H서</t>
        </is>
      </c>
      <c r="D2576" s="25" t="inlineStr">
        <is>
          <t>측정</t>
        </is>
      </c>
      <c r="E2576" s="25" t="inlineStr">
        <is>
          <t>서</t>
        </is>
      </c>
      <c r="F2576" s="30" t="n">
        <v>9</v>
      </c>
      <c r="G2576" s="29" t="n"/>
      <c r="H2576" s="42" t="n"/>
      <c r="I2576" s="40" t="n"/>
      <c r="J2576" s="40" t="n"/>
      <c r="K2576" s="40" t="n"/>
      <c r="L2576" s="30">
        <f>IF(COUNT(I2576:K2576)=0,"",MEDIAN(I2576:K2576))</f>
        <v/>
      </c>
      <c r="M2576" s="25">
        <f>IF(COUNTIFS($C:$C,$C2576,$D:$D,"P0(전)",$L:$L,"&gt;0")&lt;&gt;1,"P0(전) 유효 1개 아님",IF(COUNTIFS($C:$C,$C2576,$D:$D,"P0(후)",$L:$L,"&gt;0")&lt;&gt;1,"P0(후) 유효 1개 아님",IF(NOT(AND(ISNUMBER(N2576),ISNUMBER(P2576),ISNUMBER(H2576))),"시각 결측",IF(P2576&lt;=N2576,"P0 시각 역전",IF(OR(H2576&lt;N2576,H2576&gt;P2576),"측정시각 구간 밖","OK")))))</f>
        <v/>
      </c>
      <c r="N2576" s="45">
        <f>IF(COUNTIFS($C:$C,$C2576,$D:$D,"P0(전)",$L:$L,"&gt;0")&lt;&gt;1,"",SUMIFS($H:$H,$C:$C,$C2576,$D:$D,"P0(전)"))</f>
        <v/>
      </c>
      <c r="O2576" s="30">
        <f>IF(COUNTIFS($C:$C,$C2576,$D:$D,"P0(전)",$L:$L,"&gt;0")&lt;&gt;1,"",SUMIFS($L:$L,$C:$C,$C2576,$D:$D,"P0(전)"))</f>
        <v/>
      </c>
      <c r="P2576" s="45">
        <f>IF(COUNTIFS($C:$C,$C2576,$D:$D,"P0(후)",$L:$L,"&gt;0")&lt;&gt;1,"",SUMIFS($H:$H,$C:$C,$C2576,$D:$D,"P0(후)"))</f>
        <v/>
      </c>
      <c r="Q2576" s="30">
        <f>IF(COUNTIFS($C:$C,$C2576,$D:$D,"P0(후)",$L:$L,"&gt;0")&lt;&gt;1,"",SUMIFS($L:$L,$C:$C,$C2576,$D:$D,"P0(후)"))</f>
        <v/>
      </c>
      <c r="R2576" s="30">
        <f>IF(M2576&lt;&gt;"OK","",O2576+(Q2576-O2576)*(H2576-N2576)/(P2576-N2576))</f>
        <v/>
      </c>
      <c r="S2576" s="30">
        <f>IF(OR(M2576&lt;&gt;"OK",NOT(ISNUMBER(L2576))),"",L2576-R2576)</f>
        <v/>
      </c>
      <c r="T2576" s="46">
        <f>IF(OR(NOT(ISNUMBER(S2576)),IF(ISNUMBER(G2576),G2576,F2576)=0),"",S2576/IF(ISNUMBER(G2576),G2576,F2576))</f>
        <v/>
      </c>
      <c r="U2576" s="46">
        <f>IF(ISNUMBER(T2576),ABS(T2576),"")</f>
        <v/>
      </c>
      <c r="V2576" s="46">
        <f>IF(OR($D2575&lt;&gt;"측정",$C2575&lt;&gt;$C2576,NOT(ISNUMBER(L2576)),NOT(ISNUMBER(L2575)),(IF(ISNUMBER(G2576),G2576,F2576)-IF(ISNUMBER(G2575),G2575,F2575))=0),"",(L2576-L2575)/(IF(ISNUMBER(G2576),G2576,F2576)-IF(ISNUMBER(G2575),G2575,F2575)))</f>
        <v/>
      </c>
      <c r="W2576" s="30">
        <f>IF(NOT(AND(ISNUMBER(N2576),ISNUMBER(P2576))),"",(P2576-N2576)*1440)</f>
        <v/>
      </c>
      <c r="X2576" s="28" t="n"/>
      <c r="Y2576" s="28" t="n"/>
      <c r="Z2576" s="28" t="n"/>
      <c r="AA2576" s="31" t="n"/>
      <c r="AB2576" s="31" t="n"/>
    </row>
    <row r="2577">
      <c r="A2577" s="25" t="inlineStr">
        <is>
          <t>S50</t>
        </is>
      </c>
      <c r="B2577" s="25" t="inlineStr">
        <is>
          <t>함양</t>
        </is>
      </c>
      <c r="C2577" s="25" t="inlineStr">
        <is>
          <t>S50-H서</t>
        </is>
      </c>
      <c r="D2577" s="25" t="inlineStr">
        <is>
          <t>측정</t>
        </is>
      </c>
      <c r="E2577" s="25" t="inlineStr">
        <is>
          <t>서</t>
        </is>
      </c>
      <c r="F2577" s="30" t="n">
        <v>10</v>
      </c>
      <c r="G2577" s="29" t="n"/>
      <c r="H2577" s="42" t="n"/>
      <c r="I2577" s="40" t="n"/>
      <c r="J2577" s="40" t="n"/>
      <c r="K2577" s="40" t="n"/>
      <c r="L2577" s="30">
        <f>IF(COUNT(I2577:K2577)=0,"",MEDIAN(I2577:K2577))</f>
        <v/>
      </c>
      <c r="M2577" s="25">
        <f>IF(COUNTIFS($C:$C,$C2577,$D:$D,"P0(전)",$L:$L,"&gt;0")&lt;&gt;1,"P0(전) 유효 1개 아님",IF(COUNTIFS($C:$C,$C2577,$D:$D,"P0(후)",$L:$L,"&gt;0")&lt;&gt;1,"P0(후) 유효 1개 아님",IF(NOT(AND(ISNUMBER(N2577),ISNUMBER(P2577),ISNUMBER(H2577))),"시각 결측",IF(P2577&lt;=N2577,"P0 시각 역전",IF(OR(H2577&lt;N2577,H2577&gt;P2577),"측정시각 구간 밖","OK")))))</f>
        <v/>
      </c>
      <c r="N2577" s="45">
        <f>IF(COUNTIFS($C:$C,$C2577,$D:$D,"P0(전)",$L:$L,"&gt;0")&lt;&gt;1,"",SUMIFS($H:$H,$C:$C,$C2577,$D:$D,"P0(전)"))</f>
        <v/>
      </c>
      <c r="O2577" s="30">
        <f>IF(COUNTIFS($C:$C,$C2577,$D:$D,"P0(전)",$L:$L,"&gt;0")&lt;&gt;1,"",SUMIFS($L:$L,$C:$C,$C2577,$D:$D,"P0(전)"))</f>
        <v/>
      </c>
      <c r="P2577" s="45">
        <f>IF(COUNTIFS($C:$C,$C2577,$D:$D,"P0(후)",$L:$L,"&gt;0")&lt;&gt;1,"",SUMIFS($H:$H,$C:$C,$C2577,$D:$D,"P0(후)"))</f>
        <v/>
      </c>
      <c r="Q2577" s="30">
        <f>IF(COUNTIFS($C:$C,$C2577,$D:$D,"P0(후)",$L:$L,"&gt;0")&lt;&gt;1,"",SUMIFS($L:$L,$C:$C,$C2577,$D:$D,"P0(후)"))</f>
        <v/>
      </c>
      <c r="R2577" s="30">
        <f>IF(M2577&lt;&gt;"OK","",O2577+(Q2577-O2577)*(H2577-N2577)/(P2577-N2577))</f>
        <v/>
      </c>
      <c r="S2577" s="30">
        <f>IF(OR(M2577&lt;&gt;"OK",NOT(ISNUMBER(L2577))),"",L2577-R2577)</f>
        <v/>
      </c>
      <c r="T2577" s="46">
        <f>IF(OR(NOT(ISNUMBER(S2577)),IF(ISNUMBER(G2577),G2577,F2577)=0),"",S2577/IF(ISNUMBER(G2577),G2577,F2577))</f>
        <v/>
      </c>
      <c r="U2577" s="46">
        <f>IF(ISNUMBER(T2577),ABS(T2577),"")</f>
        <v/>
      </c>
      <c r="V2577" s="46">
        <f>IF(OR($D2576&lt;&gt;"측정",$C2576&lt;&gt;$C2577,NOT(ISNUMBER(L2577)),NOT(ISNUMBER(L2576)),(IF(ISNUMBER(G2577),G2577,F2577)-IF(ISNUMBER(G2576),G2576,F2576))=0),"",(L2577-L2576)/(IF(ISNUMBER(G2577),G2577,F2577)-IF(ISNUMBER(G2576),G2576,F2576)))</f>
        <v/>
      </c>
      <c r="W2577" s="30">
        <f>IF(NOT(AND(ISNUMBER(N2577),ISNUMBER(P2577))),"",(P2577-N2577)*1440)</f>
        <v/>
      </c>
      <c r="X2577" s="28" t="n"/>
      <c r="Y2577" s="28" t="n"/>
      <c r="Z2577" s="28" t="n"/>
      <c r="AA2577" s="31" t="n"/>
      <c r="AB2577" s="31" t="n"/>
    </row>
    <row r="2578">
      <c r="A2578" s="43" t="inlineStr">
        <is>
          <t>S50</t>
        </is>
      </c>
      <c r="B2578" s="43" t="inlineStr">
        <is>
          <t>함양</t>
        </is>
      </c>
      <c r="C2578" s="43" t="inlineStr">
        <is>
          <t>S50-H서</t>
        </is>
      </c>
      <c r="D2578" s="43" t="inlineStr">
        <is>
          <t>P0(후)</t>
        </is>
      </c>
      <c r="E2578" s="43" t="inlineStr">
        <is>
          <t>서</t>
        </is>
      </c>
      <c r="F2578" s="44" t="n"/>
      <c r="G2578" s="29" t="n"/>
      <c r="H2578" s="42" t="n"/>
      <c r="I2578" s="40" t="n"/>
      <c r="J2578" s="40" t="n"/>
      <c r="K2578" s="40" t="n"/>
      <c r="L2578" s="30">
        <f>IF(COUNT(I2578:K2578)=0,"",MEDIAN(I2578:K2578))</f>
        <v/>
      </c>
      <c r="M2578" s="37" t="n"/>
      <c r="N2578" s="37" t="n"/>
      <c r="O2578" s="37" t="n"/>
      <c r="P2578" s="37" t="n"/>
      <c r="Q2578" s="37" t="n"/>
      <c r="R2578" s="37" t="n"/>
      <c r="S2578" s="37" t="n"/>
      <c r="T2578" s="37" t="n"/>
      <c r="U2578" s="37" t="n"/>
      <c r="V2578" s="37" t="n"/>
      <c r="W2578" s="37" t="n"/>
      <c r="X2578" s="28" t="n"/>
      <c r="Y2578" s="28" t="n"/>
      <c r="Z2578" s="28" t="n"/>
      <c r="AA2578" s="31" t="n"/>
      <c r="AB2578" s="31" t="n"/>
    </row>
    <row r="2579">
      <c r="A2579" s="43" t="inlineStr">
        <is>
          <t>S50</t>
        </is>
      </c>
      <c r="B2579" s="43" t="inlineStr">
        <is>
          <t>함양</t>
        </is>
      </c>
      <c r="C2579" s="43" t="inlineStr">
        <is>
          <t>S50-H남</t>
        </is>
      </c>
      <c r="D2579" s="43" t="inlineStr">
        <is>
          <t>P0(전)</t>
        </is>
      </c>
      <c r="E2579" s="43" t="inlineStr">
        <is>
          <t>남</t>
        </is>
      </c>
      <c r="F2579" s="44" t="n"/>
      <c r="G2579" s="29" t="n"/>
      <c r="H2579" s="42" t="n"/>
      <c r="I2579" s="40" t="n"/>
      <c r="J2579" s="40" t="n"/>
      <c r="K2579" s="40" t="n"/>
      <c r="L2579" s="30">
        <f>IF(COUNT(I2579:K2579)=0,"",MEDIAN(I2579:K2579))</f>
        <v/>
      </c>
      <c r="M2579" s="37" t="n"/>
      <c r="N2579" s="37" t="n"/>
      <c r="O2579" s="37" t="n"/>
      <c r="P2579" s="37" t="n"/>
      <c r="Q2579" s="37" t="n"/>
      <c r="R2579" s="37" t="n"/>
      <c r="S2579" s="37" t="n"/>
      <c r="T2579" s="37" t="n"/>
      <c r="U2579" s="37" t="n"/>
      <c r="V2579" s="37" t="n"/>
      <c r="W2579" s="37" t="n"/>
      <c r="X2579" s="28" t="n"/>
      <c r="Y2579" s="28" t="n"/>
      <c r="Z2579" s="28" t="n"/>
      <c r="AA2579" s="31" t="n"/>
      <c r="AB2579" s="31" t="n"/>
    </row>
    <row r="2580">
      <c r="A2580" s="25" t="inlineStr">
        <is>
          <t>S50</t>
        </is>
      </c>
      <c r="B2580" s="25" t="inlineStr">
        <is>
          <t>함양</t>
        </is>
      </c>
      <c r="C2580" s="25" t="inlineStr">
        <is>
          <t>S50-H남</t>
        </is>
      </c>
      <c r="D2580" s="25" t="inlineStr">
        <is>
          <t>측정</t>
        </is>
      </c>
      <c r="E2580" s="25" t="inlineStr">
        <is>
          <t>남</t>
        </is>
      </c>
      <c r="F2580" s="30" t="n">
        <v>0.5</v>
      </c>
      <c r="G2580" s="29" t="n"/>
      <c r="H2580" s="42" t="n"/>
      <c r="I2580" s="40" t="n"/>
      <c r="J2580" s="40" t="n"/>
      <c r="K2580" s="40" t="n"/>
      <c r="L2580" s="30">
        <f>IF(COUNT(I2580:K2580)=0,"",MEDIAN(I2580:K2580))</f>
        <v/>
      </c>
      <c r="M2580" s="25">
        <f>IF(COUNTIFS($C:$C,$C2580,$D:$D,"P0(전)",$L:$L,"&gt;0")&lt;&gt;1,"P0(전) 유효 1개 아님",IF(COUNTIFS($C:$C,$C2580,$D:$D,"P0(후)",$L:$L,"&gt;0")&lt;&gt;1,"P0(후) 유효 1개 아님",IF(NOT(AND(ISNUMBER(N2580),ISNUMBER(P2580),ISNUMBER(H2580))),"시각 결측",IF(P2580&lt;=N2580,"P0 시각 역전",IF(OR(H2580&lt;N2580,H2580&gt;P2580),"측정시각 구간 밖","OK")))))</f>
        <v/>
      </c>
      <c r="N2580" s="45">
        <f>IF(COUNTIFS($C:$C,$C2580,$D:$D,"P0(전)",$L:$L,"&gt;0")&lt;&gt;1,"",SUMIFS($H:$H,$C:$C,$C2580,$D:$D,"P0(전)"))</f>
        <v/>
      </c>
      <c r="O2580" s="30">
        <f>IF(COUNTIFS($C:$C,$C2580,$D:$D,"P0(전)",$L:$L,"&gt;0")&lt;&gt;1,"",SUMIFS($L:$L,$C:$C,$C2580,$D:$D,"P0(전)"))</f>
        <v/>
      </c>
      <c r="P2580" s="45">
        <f>IF(COUNTIFS($C:$C,$C2580,$D:$D,"P0(후)",$L:$L,"&gt;0")&lt;&gt;1,"",SUMIFS($H:$H,$C:$C,$C2580,$D:$D,"P0(후)"))</f>
        <v/>
      </c>
      <c r="Q2580" s="30">
        <f>IF(COUNTIFS($C:$C,$C2580,$D:$D,"P0(후)",$L:$L,"&gt;0")&lt;&gt;1,"",SUMIFS($L:$L,$C:$C,$C2580,$D:$D,"P0(후)"))</f>
        <v/>
      </c>
      <c r="R2580" s="30">
        <f>IF(M2580&lt;&gt;"OK","",O2580+(Q2580-O2580)*(H2580-N2580)/(P2580-N2580))</f>
        <v/>
      </c>
      <c r="S2580" s="30">
        <f>IF(OR(M2580&lt;&gt;"OK",NOT(ISNUMBER(L2580))),"",L2580-R2580)</f>
        <v/>
      </c>
      <c r="T2580" s="46">
        <f>IF(OR(NOT(ISNUMBER(S2580)),IF(ISNUMBER(G2580),G2580,F2580)=0),"",S2580/IF(ISNUMBER(G2580),G2580,F2580))</f>
        <v/>
      </c>
      <c r="U2580" s="46">
        <f>IF(ISNUMBER(T2580),ABS(T2580),"")</f>
        <v/>
      </c>
      <c r="V2580" s="46">
        <f>IF(OR($D2579&lt;&gt;"측정",$C2579&lt;&gt;$C2580,NOT(ISNUMBER(L2580)),NOT(ISNUMBER(L2579)),(IF(ISNUMBER(G2580),G2580,F2580)-IF(ISNUMBER(G2579),G2579,F2579))=0),"",(L2580-L2579)/(IF(ISNUMBER(G2580),G2580,F2580)-IF(ISNUMBER(G2579),G2579,F2579)))</f>
        <v/>
      </c>
      <c r="W2580" s="30">
        <f>IF(NOT(AND(ISNUMBER(N2580),ISNUMBER(P2580))),"",(P2580-N2580)*1440)</f>
        <v/>
      </c>
      <c r="X2580" s="28" t="n"/>
      <c r="Y2580" s="28" t="n"/>
      <c r="Z2580" s="28" t="n"/>
      <c r="AA2580" s="31" t="n"/>
      <c r="AB2580" s="31" t="n"/>
    </row>
    <row r="2581">
      <c r="A2581" s="25" t="inlineStr">
        <is>
          <t>S50</t>
        </is>
      </c>
      <c r="B2581" s="25" t="inlineStr">
        <is>
          <t>함양</t>
        </is>
      </c>
      <c r="C2581" s="25" t="inlineStr">
        <is>
          <t>S50-H남</t>
        </is>
      </c>
      <c r="D2581" s="25" t="inlineStr">
        <is>
          <t>측정</t>
        </is>
      </c>
      <c r="E2581" s="25" t="inlineStr">
        <is>
          <t>남</t>
        </is>
      </c>
      <c r="F2581" s="30" t="n">
        <v>1</v>
      </c>
      <c r="G2581" s="29" t="n"/>
      <c r="H2581" s="42" t="n"/>
      <c r="I2581" s="40" t="n"/>
      <c r="J2581" s="40" t="n"/>
      <c r="K2581" s="40" t="n"/>
      <c r="L2581" s="30">
        <f>IF(COUNT(I2581:K2581)=0,"",MEDIAN(I2581:K2581))</f>
        <v/>
      </c>
      <c r="M2581" s="25">
        <f>IF(COUNTIFS($C:$C,$C2581,$D:$D,"P0(전)",$L:$L,"&gt;0")&lt;&gt;1,"P0(전) 유효 1개 아님",IF(COUNTIFS($C:$C,$C2581,$D:$D,"P0(후)",$L:$L,"&gt;0")&lt;&gt;1,"P0(후) 유효 1개 아님",IF(NOT(AND(ISNUMBER(N2581),ISNUMBER(P2581),ISNUMBER(H2581))),"시각 결측",IF(P2581&lt;=N2581,"P0 시각 역전",IF(OR(H2581&lt;N2581,H2581&gt;P2581),"측정시각 구간 밖","OK")))))</f>
        <v/>
      </c>
      <c r="N2581" s="45">
        <f>IF(COUNTIFS($C:$C,$C2581,$D:$D,"P0(전)",$L:$L,"&gt;0")&lt;&gt;1,"",SUMIFS($H:$H,$C:$C,$C2581,$D:$D,"P0(전)"))</f>
        <v/>
      </c>
      <c r="O2581" s="30">
        <f>IF(COUNTIFS($C:$C,$C2581,$D:$D,"P0(전)",$L:$L,"&gt;0")&lt;&gt;1,"",SUMIFS($L:$L,$C:$C,$C2581,$D:$D,"P0(전)"))</f>
        <v/>
      </c>
      <c r="P2581" s="45">
        <f>IF(COUNTIFS($C:$C,$C2581,$D:$D,"P0(후)",$L:$L,"&gt;0")&lt;&gt;1,"",SUMIFS($H:$H,$C:$C,$C2581,$D:$D,"P0(후)"))</f>
        <v/>
      </c>
      <c r="Q2581" s="30">
        <f>IF(COUNTIFS($C:$C,$C2581,$D:$D,"P0(후)",$L:$L,"&gt;0")&lt;&gt;1,"",SUMIFS($L:$L,$C:$C,$C2581,$D:$D,"P0(후)"))</f>
        <v/>
      </c>
      <c r="R2581" s="30">
        <f>IF(M2581&lt;&gt;"OK","",O2581+(Q2581-O2581)*(H2581-N2581)/(P2581-N2581))</f>
        <v/>
      </c>
      <c r="S2581" s="30">
        <f>IF(OR(M2581&lt;&gt;"OK",NOT(ISNUMBER(L2581))),"",L2581-R2581)</f>
        <v/>
      </c>
      <c r="T2581" s="46">
        <f>IF(OR(NOT(ISNUMBER(S2581)),IF(ISNUMBER(G2581),G2581,F2581)=0),"",S2581/IF(ISNUMBER(G2581),G2581,F2581))</f>
        <v/>
      </c>
      <c r="U2581" s="46">
        <f>IF(ISNUMBER(T2581),ABS(T2581),"")</f>
        <v/>
      </c>
      <c r="V2581" s="46">
        <f>IF(OR($D2580&lt;&gt;"측정",$C2580&lt;&gt;$C2581,NOT(ISNUMBER(L2581)),NOT(ISNUMBER(L2580)),(IF(ISNUMBER(G2581),G2581,F2581)-IF(ISNUMBER(G2580),G2580,F2580))=0),"",(L2581-L2580)/(IF(ISNUMBER(G2581),G2581,F2581)-IF(ISNUMBER(G2580),G2580,F2580)))</f>
        <v/>
      </c>
      <c r="W2581" s="30">
        <f>IF(NOT(AND(ISNUMBER(N2581),ISNUMBER(P2581))),"",(P2581-N2581)*1440)</f>
        <v/>
      </c>
      <c r="X2581" s="28" t="n"/>
      <c r="Y2581" s="28" t="n"/>
      <c r="Z2581" s="28" t="n"/>
      <c r="AA2581" s="31" t="n"/>
      <c r="AB2581" s="31" t="n"/>
    </row>
    <row r="2582">
      <c r="A2582" s="25" t="inlineStr">
        <is>
          <t>S50</t>
        </is>
      </c>
      <c r="B2582" s="25" t="inlineStr">
        <is>
          <t>함양</t>
        </is>
      </c>
      <c r="C2582" s="25" t="inlineStr">
        <is>
          <t>S50-H남</t>
        </is>
      </c>
      <c r="D2582" s="25" t="inlineStr">
        <is>
          <t>측정</t>
        </is>
      </c>
      <c r="E2582" s="25" t="inlineStr">
        <is>
          <t>남</t>
        </is>
      </c>
      <c r="F2582" s="30" t="n">
        <v>2</v>
      </c>
      <c r="G2582" s="29" t="n"/>
      <c r="H2582" s="42" t="n"/>
      <c r="I2582" s="40" t="n"/>
      <c r="J2582" s="40" t="n"/>
      <c r="K2582" s="40" t="n"/>
      <c r="L2582" s="30">
        <f>IF(COUNT(I2582:K2582)=0,"",MEDIAN(I2582:K2582))</f>
        <v/>
      </c>
      <c r="M2582" s="25">
        <f>IF(COUNTIFS($C:$C,$C2582,$D:$D,"P0(전)",$L:$L,"&gt;0")&lt;&gt;1,"P0(전) 유효 1개 아님",IF(COUNTIFS($C:$C,$C2582,$D:$D,"P0(후)",$L:$L,"&gt;0")&lt;&gt;1,"P0(후) 유효 1개 아님",IF(NOT(AND(ISNUMBER(N2582),ISNUMBER(P2582),ISNUMBER(H2582))),"시각 결측",IF(P2582&lt;=N2582,"P0 시각 역전",IF(OR(H2582&lt;N2582,H2582&gt;P2582),"측정시각 구간 밖","OK")))))</f>
        <v/>
      </c>
      <c r="N2582" s="45">
        <f>IF(COUNTIFS($C:$C,$C2582,$D:$D,"P0(전)",$L:$L,"&gt;0")&lt;&gt;1,"",SUMIFS($H:$H,$C:$C,$C2582,$D:$D,"P0(전)"))</f>
        <v/>
      </c>
      <c r="O2582" s="30">
        <f>IF(COUNTIFS($C:$C,$C2582,$D:$D,"P0(전)",$L:$L,"&gt;0")&lt;&gt;1,"",SUMIFS($L:$L,$C:$C,$C2582,$D:$D,"P0(전)"))</f>
        <v/>
      </c>
      <c r="P2582" s="45">
        <f>IF(COUNTIFS($C:$C,$C2582,$D:$D,"P0(후)",$L:$L,"&gt;0")&lt;&gt;1,"",SUMIFS($H:$H,$C:$C,$C2582,$D:$D,"P0(후)"))</f>
        <v/>
      </c>
      <c r="Q2582" s="30">
        <f>IF(COUNTIFS($C:$C,$C2582,$D:$D,"P0(후)",$L:$L,"&gt;0")&lt;&gt;1,"",SUMIFS($L:$L,$C:$C,$C2582,$D:$D,"P0(후)"))</f>
        <v/>
      </c>
      <c r="R2582" s="30">
        <f>IF(M2582&lt;&gt;"OK","",O2582+(Q2582-O2582)*(H2582-N2582)/(P2582-N2582))</f>
        <v/>
      </c>
      <c r="S2582" s="30">
        <f>IF(OR(M2582&lt;&gt;"OK",NOT(ISNUMBER(L2582))),"",L2582-R2582)</f>
        <v/>
      </c>
      <c r="T2582" s="46">
        <f>IF(OR(NOT(ISNUMBER(S2582)),IF(ISNUMBER(G2582),G2582,F2582)=0),"",S2582/IF(ISNUMBER(G2582),G2582,F2582))</f>
        <v/>
      </c>
      <c r="U2582" s="46">
        <f>IF(ISNUMBER(T2582),ABS(T2582),"")</f>
        <v/>
      </c>
      <c r="V2582" s="46">
        <f>IF(OR($D2581&lt;&gt;"측정",$C2581&lt;&gt;$C2582,NOT(ISNUMBER(L2582)),NOT(ISNUMBER(L2581)),(IF(ISNUMBER(G2582),G2582,F2582)-IF(ISNUMBER(G2581),G2581,F2581))=0),"",(L2582-L2581)/(IF(ISNUMBER(G2582),G2582,F2582)-IF(ISNUMBER(G2581),G2581,F2581)))</f>
        <v/>
      </c>
      <c r="W2582" s="30">
        <f>IF(NOT(AND(ISNUMBER(N2582),ISNUMBER(P2582))),"",(P2582-N2582)*1440)</f>
        <v/>
      </c>
      <c r="X2582" s="28" t="n"/>
      <c r="Y2582" s="28" t="n"/>
      <c r="Z2582" s="28" t="n"/>
      <c r="AA2582" s="31" t="n"/>
      <c r="AB2582" s="31" t="n"/>
    </row>
    <row r="2583">
      <c r="A2583" s="25" t="inlineStr">
        <is>
          <t>S50</t>
        </is>
      </c>
      <c r="B2583" s="25" t="inlineStr">
        <is>
          <t>함양</t>
        </is>
      </c>
      <c r="C2583" s="25" t="inlineStr">
        <is>
          <t>S50-H남</t>
        </is>
      </c>
      <c r="D2583" s="25" t="inlineStr">
        <is>
          <t>측정</t>
        </is>
      </c>
      <c r="E2583" s="25" t="inlineStr">
        <is>
          <t>남</t>
        </is>
      </c>
      <c r="F2583" s="30" t="n">
        <v>3</v>
      </c>
      <c r="G2583" s="29" t="n"/>
      <c r="H2583" s="42" t="n"/>
      <c r="I2583" s="40" t="n"/>
      <c r="J2583" s="40" t="n"/>
      <c r="K2583" s="40" t="n"/>
      <c r="L2583" s="30">
        <f>IF(COUNT(I2583:K2583)=0,"",MEDIAN(I2583:K2583))</f>
        <v/>
      </c>
      <c r="M2583" s="25">
        <f>IF(COUNTIFS($C:$C,$C2583,$D:$D,"P0(전)",$L:$L,"&gt;0")&lt;&gt;1,"P0(전) 유효 1개 아님",IF(COUNTIFS($C:$C,$C2583,$D:$D,"P0(후)",$L:$L,"&gt;0")&lt;&gt;1,"P0(후) 유효 1개 아님",IF(NOT(AND(ISNUMBER(N2583),ISNUMBER(P2583),ISNUMBER(H2583))),"시각 결측",IF(P2583&lt;=N2583,"P0 시각 역전",IF(OR(H2583&lt;N2583,H2583&gt;P2583),"측정시각 구간 밖","OK")))))</f>
        <v/>
      </c>
      <c r="N2583" s="45">
        <f>IF(COUNTIFS($C:$C,$C2583,$D:$D,"P0(전)",$L:$L,"&gt;0")&lt;&gt;1,"",SUMIFS($H:$H,$C:$C,$C2583,$D:$D,"P0(전)"))</f>
        <v/>
      </c>
      <c r="O2583" s="30">
        <f>IF(COUNTIFS($C:$C,$C2583,$D:$D,"P0(전)",$L:$L,"&gt;0")&lt;&gt;1,"",SUMIFS($L:$L,$C:$C,$C2583,$D:$D,"P0(전)"))</f>
        <v/>
      </c>
      <c r="P2583" s="45">
        <f>IF(COUNTIFS($C:$C,$C2583,$D:$D,"P0(후)",$L:$L,"&gt;0")&lt;&gt;1,"",SUMIFS($H:$H,$C:$C,$C2583,$D:$D,"P0(후)"))</f>
        <v/>
      </c>
      <c r="Q2583" s="30">
        <f>IF(COUNTIFS($C:$C,$C2583,$D:$D,"P0(후)",$L:$L,"&gt;0")&lt;&gt;1,"",SUMIFS($L:$L,$C:$C,$C2583,$D:$D,"P0(후)"))</f>
        <v/>
      </c>
      <c r="R2583" s="30">
        <f>IF(M2583&lt;&gt;"OK","",O2583+(Q2583-O2583)*(H2583-N2583)/(P2583-N2583))</f>
        <v/>
      </c>
      <c r="S2583" s="30">
        <f>IF(OR(M2583&lt;&gt;"OK",NOT(ISNUMBER(L2583))),"",L2583-R2583)</f>
        <v/>
      </c>
      <c r="T2583" s="46">
        <f>IF(OR(NOT(ISNUMBER(S2583)),IF(ISNUMBER(G2583),G2583,F2583)=0),"",S2583/IF(ISNUMBER(G2583),G2583,F2583))</f>
        <v/>
      </c>
      <c r="U2583" s="46">
        <f>IF(ISNUMBER(T2583),ABS(T2583),"")</f>
        <v/>
      </c>
      <c r="V2583" s="46">
        <f>IF(OR($D2582&lt;&gt;"측정",$C2582&lt;&gt;$C2583,NOT(ISNUMBER(L2583)),NOT(ISNUMBER(L2582)),(IF(ISNUMBER(G2583),G2583,F2583)-IF(ISNUMBER(G2582),G2582,F2582))=0),"",(L2583-L2582)/(IF(ISNUMBER(G2583),G2583,F2583)-IF(ISNUMBER(G2582),G2582,F2582)))</f>
        <v/>
      </c>
      <c r="W2583" s="30">
        <f>IF(NOT(AND(ISNUMBER(N2583),ISNUMBER(P2583))),"",(P2583-N2583)*1440)</f>
        <v/>
      </c>
      <c r="X2583" s="28" t="n"/>
      <c r="Y2583" s="28" t="n"/>
      <c r="Z2583" s="28" t="n"/>
      <c r="AA2583" s="31" t="n"/>
      <c r="AB2583" s="31" t="n"/>
    </row>
    <row r="2584">
      <c r="A2584" s="25" t="inlineStr">
        <is>
          <t>S50</t>
        </is>
      </c>
      <c r="B2584" s="25" t="inlineStr">
        <is>
          <t>함양</t>
        </is>
      </c>
      <c r="C2584" s="25" t="inlineStr">
        <is>
          <t>S50-H남</t>
        </is>
      </c>
      <c r="D2584" s="25" t="inlineStr">
        <is>
          <t>측정</t>
        </is>
      </c>
      <c r="E2584" s="25" t="inlineStr">
        <is>
          <t>남</t>
        </is>
      </c>
      <c r="F2584" s="30" t="n">
        <v>4</v>
      </c>
      <c r="G2584" s="29" t="n"/>
      <c r="H2584" s="42" t="n"/>
      <c r="I2584" s="40" t="n"/>
      <c r="J2584" s="40" t="n"/>
      <c r="K2584" s="40" t="n"/>
      <c r="L2584" s="30">
        <f>IF(COUNT(I2584:K2584)=0,"",MEDIAN(I2584:K2584))</f>
        <v/>
      </c>
      <c r="M2584" s="25">
        <f>IF(COUNTIFS($C:$C,$C2584,$D:$D,"P0(전)",$L:$L,"&gt;0")&lt;&gt;1,"P0(전) 유효 1개 아님",IF(COUNTIFS($C:$C,$C2584,$D:$D,"P0(후)",$L:$L,"&gt;0")&lt;&gt;1,"P0(후) 유효 1개 아님",IF(NOT(AND(ISNUMBER(N2584),ISNUMBER(P2584),ISNUMBER(H2584))),"시각 결측",IF(P2584&lt;=N2584,"P0 시각 역전",IF(OR(H2584&lt;N2584,H2584&gt;P2584),"측정시각 구간 밖","OK")))))</f>
        <v/>
      </c>
      <c r="N2584" s="45">
        <f>IF(COUNTIFS($C:$C,$C2584,$D:$D,"P0(전)",$L:$L,"&gt;0")&lt;&gt;1,"",SUMIFS($H:$H,$C:$C,$C2584,$D:$D,"P0(전)"))</f>
        <v/>
      </c>
      <c r="O2584" s="30">
        <f>IF(COUNTIFS($C:$C,$C2584,$D:$D,"P0(전)",$L:$L,"&gt;0")&lt;&gt;1,"",SUMIFS($L:$L,$C:$C,$C2584,$D:$D,"P0(전)"))</f>
        <v/>
      </c>
      <c r="P2584" s="45">
        <f>IF(COUNTIFS($C:$C,$C2584,$D:$D,"P0(후)",$L:$L,"&gt;0")&lt;&gt;1,"",SUMIFS($H:$H,$C:$C,$C2584,$D:$D,"P0(후)"))</f>
        <v/>
      </c>
      <c r="Q2584" s="30">
        <f>IF(COUNTIFS($C:$C,$C2584,$D:$D,"P0(후)",$L:$L,"&gt;0")&lt;&gt;1,"",SUMIFS($L:$L,$C:$C,$C2584,$D:$D,"P0(후)"))</f>
        <v/>
      </c>
      <c r="R2584" s="30">
        <f>IF(M2584&lt;&gt;"OK","",O2584+(Q2584-O2584)*(H2584-N2584)/(P2584-N2584))</f>
        <v/>
      </c>
      <c r="S2584" s="30">
        <f>IF(OR(M2584&lt;&gt;"OK",NOT(ISNUMBER(L2584))),"",L2584-R2584)</f>
        <v/>
      </c>
      <c r="T2584" s="46">
        <f>IF(OR(NOT(ISNUMBER(S2584)),IF(ISNUMBER(G2584),G2584,F2584)=0),"",S2584/IF(ISNUMBER(G2584),G2584,F2584))</f>
        <v/>
      </c>
      <c r="U2584" s="46">
        <f>IF(ISNUMBER(T2584),ABS(T2584),"")</f>
        <v/>
      </c>
      <c r="V2584" s="46">
        <f>IF(OR($D2583&lt;&gt;"측정",$C2583&lt;&gt;$C2584,NOT(ISNUMBER(L2584)),NOT(ISNUMBER(L2583)),(IF(ISNUMBER(G2584),G2584,F2584)-IF(ISNUMBER(G2583),G2583,F2583))=0),"",(L2584-L2583)/(IF(ISNUMBER(G2584),G2584,F2584)-IF(ISNUMBER(G2583),G2583,F2583)))</f>
        <v/>
      </c>
      <c r="W2584" s="30">
        <f>IF(NOT(AND(ISNUMBER(N2584),ISNUMBER(P2584))),"",(P2584-N2584)*1440)</f>
        <v/>
      </c>
      <c r="X2584" s="28" t="n"/>
      <c r="Y2584" s="28" t="n"/>
      <c r="Z2584" s="28" t="n"/>
      <c r="AA2584" s="31" t="n"/>
      <c r="AB2584" s="31" t="n"/>
    </row>
    <row r="2585">
      <c r="A2585" s="25" t="inlineStr">
        <is>
          <t>S50</t>
        </is>
      </c>
      <c r="B2585" s="25" t="inlineStr">
        <is>
          <t>함양</t>
        </is>
      </c>
      <c r="C2585" s="25" t="inlineStr">
        <is>
          <t>S50-H남</t>
        </is>
      </c>
      <c r="D2585" s="25" t="inlineStr">
        <is>
          <t>측정</t>
        </is>
      </c>
      <c r="E2585" s="25" t="inlineStr">
        <is>
          <t>남</t>
        </is>
      </c>
      <c r="F2585" s="30" t="n">
        <v>5</v>
      </c>
      <c r="G2585" s="29" t="n"/>
      <c r="H2585" s="42" t="n"/>
      <c r="I2585" s="40" t="n"/>
      <c r="J2585" s="40" t="n"/>
      <c r="K2585" s="40" t="n"/>
      <c r="L2585" s="30">
        <f>IF(COUNT(I2585:K2585)=0,"",MEDIAN(I2585:K2585))</f>
        <v/>
      </c>
      <c r="M2585" s="25">
        <f>IF(COUNTIFS($C:$C,$C2585,$D:$D,"P0(전)",$L:$L,"&gt;0")&lt;&gt;1,"P0(전) 유효 1개 아님",IF(COUNTIFS($C:$C,$C2585,$D:$D,"P0(후)",$L:$L,"&gt;0")&lt;&gt;1,"P0(후) 유효 1개 아님",IF(NOT(AND(ISNUMBER(N2585),ISNUMBER(P2585),ISNUMBER(H2585))),"시각 결측",IF(P2585&lt;=N2585,"P0 시각 역전",IF(OR(H2585&lt;N2585,H2585&gt;P2585),"측정시각 구간 밖","OK")))))</f>
        <v/>
      </c>
      <c r="N2585" s="45">
        <f>IF(COUNTIFS($C:$C,$C2585,$D:$D,"P0(전)",$L:$L,"&gt;0")&lt;&gt;1,"",SUMIFS($H:$H,$C:$C,$C2585,$D:$D,"P0(전)"))</f>
        <v/>
      </c>
      <c r="O2585" s="30">
        <f>IF(COUNTIFS($C:$C,$C2585,$D:$D,"P0(전)",$L:$L,"&gt;0")&lt;&gt;1,"",SUMIFS($L:$L,$C:$C,$C2585,$D:$D,"P0(전)"))</f>
        <v/>
      </c>
      <c r="P2585" s="45">
        <f>IF(COUNTIFS($C:$C,$C2585,$D:$D,"P0(후)",$L:$L,"&gt;0")&lt;&gt;1,"",SUMIFS($H:$H,$C:$C,$C2585,$D:$D,"P0(후)"))</f>
        <v/>
      </c>
      <c r="Q2585" s="30">
        <f>IF(COUNTIFS($C:$C,$C2585,$D:$D,"P0(후)",$L:$L,"&gt;0")&lt;&gt;1,"",SUMIFS($L:$L,$C:$C,$C2585,$D:$D,"P0(후)"))</f>
        <v/>
      </c>
      <c r="R2585" s="30">
        <f>IF(M2585&lt;&gt;"OK","",O2585+(Q2585-O2585)*(H2585-N2585)/(P2585-N2585))</f>
        <v/>
      </c>
      <c r="S2585" s="30">
        <f>IF(OR(M2585&lt;&gt;"OK",NOT(ISNUMBER(L2585))),"",L2585-R2585)</f>
        <v/>
      </c>
      <c r="T2585" s="46">
        <f>IF(OR(NOT(ISNUMBER(S2585)),IF(ISNUMBER(G2585),G2585,F2585)=0),"",S2585/IF(ISNUMBER(G2585),G2585,F2585))</f>
        <v/>
      </c>
      <c r="U2585" s="46">
        <f>IF(ISNUMBER(T2585),ABS(T2585),"")</f>
        <v/>
      </c>
      <c r="V2585" s="46">
        <f>IF(OR($D2584&lt;&gt;"측정",$C2584&lt;&gt;$C2585,NOT(ISNUMBER(L2585)),NOT(ISNUMBER(L2584)),(IF(ISNUMBER(G2585),G2585,F2585)-IF(ISNUMBER(G2584),G2584,F2584))=0),"",(L2585-L2584)/(IF(ISNUMBER(G2585),G2585,F2585)-IF(ISNUMBER(G2584),G2584,F2584)))</f>
        <v/>
      </c>
      <c r="W2585" s="30">
        <f>IF(NOT(AND(ISNUMBER(N2585),ISNUMBER(P2585))),"",(P2585-N2585)*1440)</f>
        <v/>
      </c>
      <c r="X2585" s="28" t="n"/>
      <c r="Y2585" s="28" t="n"/>
      <c r="Z2585" s="28" t="n"/>
      <c r="AA2585" s="31" t="n"/>
      <c r="AB2585" s="31" t="n"/>
    </row>
    <row r="2586">
      <c r="A2586" s="25" t="inlineStr">
        <is>
          <t>S50</t>
        </is>
      </c>
      <c r="B2586" s="25" t="inlineStr">
        <is>
          <t>함양</t>
        </is>
      </c>
      <c r="C2586" s="25" t="inlineStr">
        <is>
          <t>S50-H남</t>
        </is>
      </c>
      <c r="D2586" s="25" t="inlineStr">
        <is>
          <t>측정</t>
        </is>
      </c>
      <c r="E2586" s="25" t="inlineStr">
        <is>
          <t>남</t>
        </is>
      </c>
      <c r="F2586" s="30" t="n">
        <v>6</v>
      </c>
      <c r="G2586" s="29" t="n"/>
      <c r="H2586" s="42" t="n"/>
      <c r="I2586" s="40" t="n"/>
      <c r="J2586" s="40" t="n"/>
      <c r="K2586" s="40" t="n"/>
      <c r="L2586" s="30">
        <f>IF(COUNT(I2586:K2586)=0,"",MEDIAN(I2586:K2586))</f>
        <v/>
      </c>
      <c r="M2586" s="25">
        <f>IF(COUNTIFS($C:$C,$C2586,$D:$D,"P0(전)",$L:$L,"&gt;0")&lt;&gt;1,"P0(전) 유효 1개 아님",IF(COUNTIFS($C:$C,$C2586,$D:$D,"P0(후)",$L:$L,"&gt;0")&lt;&gt;1,"P0(후) 유효 1개 아님",IF(NOT(AND(ISNUMBER(N2586),ISNUMBER(P2586),ISNUMBER(H2586))),"시각 결측",IF(P2586&lt;=N2586,"P0 시각 역전",IF(OR(H2586&lt;N2586,H2586&gt;P2586),"측정시각 구간 밖","OK")))))</f>
        <v/>
      </c>
      <c r="N2586" s="45">
        <f>IF(COUNTIFS($C:$C,$C2586,$D:$D,"P0(전)",$L:$L,"&gt;0")&lt;&gt;1,"",SUMIFS($H:$H,$C:$C,$C2586,$D:$D,"P0(전)"))</f>
        <v/>
      </c>
      <c r="O2586" s="30">
        <f>IF(COUNTIFS($C:$C,$C2586,$D:$D,"P0(전)",$L:$L,"&gt;0")&lt;&gt;1,"",SUMIFS($L:$L,$C:$C,$C2586,$D:$D,"P0(전)"))</f>
        <v/>
      </c>
      <c r="P2586" s="45">
        <f>IF(COUNTIFS($C:$C,$C2586,$D:$D,"P0(후)",$L:$L,"&gt;0")&lt;&gt;1,"",SUMIFS($H:$H,$C:$C,$C2586,$D:$D,"P0(후)"))</f>
        <v/>
      </c>
      <c r="Q2586" s="30">
        <f>IF(COUNTIFS($C:$C,$C2586,$D:$D,"P0(후)",$L:$L,"&gt;0")&lt;&gt;1,"",SUMIFS($L:$L,$C:$C,$C2586,$D:$D,"P0(후)"))</f>
        <v/>
      </c>
      <c r="R2586" s="30">
        <f>IF(M2586&lt;&gt;"OK","",O2586+(Q2586-O2586)*(H2586-N2586)/(P2586-N2586))</f>
        <v/>
      </c>
      <c r="S2586" s="30">
        <f>IF(OR(M2586&lt;&gt;"OK",NOT(ISNUMBER(L2586))),"",L2586-R2586)</f>
        <v/>
      </c>
      <c r="T2586" s="46">
        <f>IF(OR(NOT(ISNUMBER(S2586)),IF(ISNUMBER(G2586),G2586,F2586)=0),"",S2586/IF(ISNUMBER(G2586),G2586,F2586))</f>
        <v/>
      </c>
      <c r="U2586" s="46">
        <f>IF(ISNUMBER(T2586),ABS(T2586),"")</f>
        <v/>
      </c>
      <c r="V2586" s="46">
        <f>IF(OR($D2585&lt;&gt;"측정",$C2585&lt;&gt;$C2586,NOT(ISNUMBER(L2586)),NOT(ISNUMBER(L2585)),(IF(ISNUMBER(G2586),G2586,F2586)-IF(ISNUMBER(G2585),G2585,F2585))=0),"",(L2586-L2585)/(IF(ISNUMBER(G2586),G2586,F2586)-IF(ISNUMBER(G2585),G2585,F2585)))</f>
        <v/>
      </c>
      <c r="W2586" s="30">
        <f>IF(NOT(AND(ISNUMBER(N2586),ISNUMBER(P2586))),"",(P2586-N2586)*1440)</f>
        <v/>
      </c>
      <c r="X2586" s="28" t="n"/>
      <c r="Y2586" s="28" t="n"/>
      <c r="Z2586" s="28" t="n"/>
      <c r="AA2586" s="31" t="n"/>
      <c r="AB2586" s="31" t="n"/>
    </row>
    <row r="2587">
      <c r="A2587" s="25" t="inlineStr">
        <is>
          <t>S50</t>
        </is>
      </c>
      <c r="B2587" s="25" t="inlineStr">
        <is>
          <t>함양</t>
        </is>
      </c>
      <c r="C2587" s="25" t="inlineStr">
        <is>
          <t>S50-H남</t>
        </is>
      </c>
      <c r="D2587" s="25" t="inlineStr">
        <is>
          <t>측정</t>
        </is>
      </c>
      <c r="E2587" s="25" t="inlineStr">
        <is>
          <t>남</t>
        </is>
      </c>
      <c r="F2587" s="30" t="n">
        <v>7</v>
      </c>
      <c r="G2587" s="29" t="n"/>
      <c r="H2587" s="42" t="n"/>
      <c r="I2587" s="40" t="n"/>
      <c r="J2587" s="40" t="n"/>
      <c r="K2587" s="40" t="n"/>
      <c r="L2587" s="30">
        <f>IF(COUNT(I2587:K2587)=0,"",MEDIAN(I2587:K2587))</f>
        <v/>
      </c>
      <c r="M2587" s="25">
        <f>IF(COUNTIFS($C:$C,$C2587,$D:$D,"P0(전)",$L:$L,"&gt;0")&lt;&gt;1,"P0(전) 유효 1개 아님",IF(COUNTIFS($C:$C,$C2587,$D:$D,"P0(후)",$L:$L,"&gt;0")&lt;&gt;1,"P0(후) 유효 1개 아님",IF(NOT(AND(ISNUMBER(N2587),ISNUMBER(P2587),ISNUMBER(H2587))),"시각 결측",IF(P2587&lt;=N2587,"P0 시각 역전",IF(OR(H2587&lt;N2587,H2587&gt;P2587),"측정시각 구간 밖","OK")))))</f>
        <v/>
      </c>
      <c r="N2587" s="45">
        <f>IF(COUNTIFS($C:$C,$C2587,$D:$D,"P0(전)",$L:$L,"&gt;0")&lt;&gt;1,"",SUMIFS($H:$H,$C:$C,$C2587,$D:$D,"P0(전)"))</f>
        <v/>
      </c>
      <c r="O2587" s="30">
        <f>IF(COUNTIFS($C:$C,$C2587,$D:$D,"P0(전)",$L:$L,"&gt;0")&lt;&gt;1,"",SUMIFS($L:$L,$C:$C,$C2587,$D:$D,"P0(전)"))</f>
        <v/>
      </c>
      <c r="P2587" s="45">
        <f>IF(COUNTIFS($C:$C,$C2587,$D:$D,"P0(후)",$L:$L,"&gt;0")&lt;&gt;1,"",SUMIFS($H:$H,$C:$C,$C2587,$D:$D,"P0(후)"))</f>
        <v/>
      </c>
      <c r="Q2587" s="30">
        <f>IF(COUNTIFS($C:$C,$C2587,$D:$D,"P0(후)",$L:$L,"&gt;0")&lt;&gt;1,"",SUMIFS($L:$L,$C:$C,$C2587,$D:$D,"P0(후)"))</f>
        <v/>
      </c>
      <c r="R2587" s="30">
        <f>IF(M2587&lt;&gt;"OK","",O2587+(Q2587-O2587)*(H2587-N2587)/(P2587-N2587))</f>
        <v/>
      </c>
      <c r="S2587" s="30">
        <f>IF(OR(M2587&lt;&gt;"OK",NOT(ISNUMBER(L2587))),"",L2587-R2587)</f>
        <v/>
      </c>
      <c r="T2587" s="46">
        <f>IF(OR(NOT(ISNUMBER(S2587)),IF(ISNUMBER(G2587),G2587,F2587)=0),"",S2587/IF(ISNUMBER(G2587),G2587,F2587))</f>
        <v/>
      </c>
      <c r="U2587" s="46">
        <f>IF(ISNUMBER(T2587),ABS(T2587),"")</f>
        <v/>
      </c>
      <c r="V2587" s="46">
        <f>IF(OR($D2586&lt;&gt;"측정",$C2586&lt;&gt;$C2587,NOT(ISNUMBER(L2587)),NOT(ISNUMBER(L2586)),(IF(ISNUMBER(G2587),G2587,F2587)-IF(ISNUMBER(G2586),G2586,F2586))=0),"",(L2587-L2586)/(IF(ISNUMBER(G2587),G2587,F2587)-IF(ISNUMBER(G2586),G2586,F2586)))</f>
        <v/>
      </c>
      <c r="W2587" s="30">
        <f>IF(NOT(AND(ISNUMBER(N2587),ISNUMBER(P2587))),"",(P2587-N2587)*1440)</f>
        <v/>
      </c>
      <c r="X2587" s="28" t="n"/>
      <c r="Y2587" s="28" t="n"/>
      <c r="Z2587" s="28" t="n"/>
      <c r="AA2587" s="31" t="n"/>
      <c r="AB2587" s="31" t="n"/>
    </row>
    <row r="2588">
      <c r="A2588" s="25" t="inlineStr">
        <is>
          <t>S50</t>
        </is>
      </c>
      <c r="B2588" s="25" t="inlineStr">
        <is>
          <t>함양</t>
        </is>
      </c>
      <c r="C2588" s="25" t="inlineStr">
        <is>
          <t>S50-H남</t>
        </is>
      </c>
      <c r="D2588" s="25" t="inlineStr">
        <is>
          <t>측정</t>
        </is>
      </c>
      <c r="E2588" s="25" t="inlineStr">
        <is>
          <t>남</t>
        </is>
      </c>
      <c r="F2588" s="30" t="n">
        <v>8</v>
      </c>
      <c r="G2588" s="29" t="n"/>
      <c r="H2588" s="42" t="n"/>
      <c r="I2588" s="40" t="n"/>
      <c r="J2588" s="40" t="n"/>
      <c r="K2588" s="40" t="n"/>
      <c r="L2588" s="30">
        <f>IF(COUNT(I2588:K2588)=0,"",MEDIAN(I2588:K2588))</f>
        <v/>
      </c>
      <c r="M2588" s="25">
        <f>IF(COUNTIFS($C:$C,$C2588,$D:$D,"P0(전)",$L:$L,"&gt;0")&lt;&gt;1,"P0(전) 유효 1개 아님",IF(COUNTIFS($C:$C,$C2588,$D:$D,"P0(후)",$L:$L,"&gt;0")&lt;&gt;1,"P0(후) 유효 1개 아님",IF(NOT(AND(ISNUMBER(N2588),ISNUMBER(P2588),ISNUMBER(H2588))),"시각 결측",IF(P2588&lt;=N2588,"P0 시각 역전",IF(OR(H2588&lt;N2588,H2588&gt;P2588),"측정시각 구간 밖","OK")))))</f>
        <v/>
      </c>
      <c r="N2588" s="45">
        <f>IF(COUNTIFS($C:$C,$C2588,$D:$D,"P0(전)",$L:$L,"&gt;0")&lt;&gt;1,"",SUMIFS($H:$H,$C:$C,$C2588,$D:$D,"P0(전)"))</f>
        <v/>
      </c>
      <c r="O2588" s="30">
        <f>IF(COUNTIFS($C:$C,$C2588,$D:$D,"P0(전)",$L:$L,"&gt;0")&lt;&gt;1,"",SUMIFS($L:$L,$C:$C,$C2588,$D:$D,"P0(전)"))</f>
        <v/>
      </c>
      <c r="P2588" s="45">
        <f>IF(COUNTIFS($C:$C,$C2588,$D:$D,"P0(후)",$L:$L,"&gt;0")&lt;&gt;1,"",SUMIFS($H:$H,$C:$C,$C2588,$D:$D,"P0(후)"))</f>
        <v/>
      </c>
      <c r="Q2588" s="30">
        <f>IF(COUNTIFS($C:$C,$C2588,$D:$D,"P0(후)",$L:$L,"&gt;0")&lt;&gt;1,"",SUMIFS($L:$L,$C:$C,$C2588,$D:$D,"P0(후)"))</f>
        <v/>
      </c>
      <c r="R2588" s="30">
        <f>IF(M2588&lt;&gt;"OK","",O2588+(Q2588-O2588)*(H2588-N2588)/(P2588-N2588))</f>
        <v/>
      </c>
      <c r="S2588" s="30">
        <f>IF(OR(M2588&lt;&gt;"OK",NOT(ISNUMBER(L2588))),"",L2588-R2588)</f>
        <v/>
      </c>
      <c r="T2588" s="46">
        <f>IF(OR(NOT(ISNUMBER(S2588)),IF(ISNUMBER(G2588),G2588,F2588)=0),"",S2588/IF(ISNUMBER(G2588),G2588,F2588))</f>
        <v/>
      </c>
      <c r="U2588" s="46">
        <f>IF(ISNUMBER(T2588),ABS(T2588),"")</f>
        <v/>
      </c>
      <c r="V2588" s="46">
        <f>IF(OR($D2587&lt;&gt;"측정",$C2587&lt;&gt;$C2588,NOT(ISNUMBER(L2588)),NOT(ISNUMBER(L2587)),(IF(ISNUMBER(G2588),G2588,F2588)-IF(ISNUMBER(G2587),G2587,F2587))=0),"",(L2588-L2587)/(IF(ISNUMBER(G2588),G2588,F2588)-IF(ISNUMBER(G2587),G2587,F2587)))</f>
        <v/>
      </c>
      <c r="W2588" s="30">
        <f>IF(NOT(AND(ISNUMBER(N2588),ISNUMBER(P2588))),"",(P2588-N2588)*1440)</f>
        <v/>
      </c>
      <c r="X2588" s="28" t="n"/>
      <c r="Y2588" s="28" t="n"/>
      <c r="Z2588" s="28" t="n"/>
      <c r="AA2588" s="31" t="n"/>
      <c r="AB2588" s="31" t="n"/>
    </row>
    <row r="2589">
      <c r="A2589" s="25" t="inlineStr">
        <is>
          <t>S50</t>
        </is>
      </c>
      <c r="B2589" s="25" t="inlineStr">
        <is>
          <t>함양</t>
        </is>
      </c>
      <c r="C2589" s="25" t="inlineStr">
        <is>
          <t>S50-H남</t>
        </is>
      </c>
      <c r="D2589" s="25" t="inlineStr">
        <is>
          <t>측정</t>
        </is>
      </c>
      <c r="E2589" s="25" t="inlineStr">
        <is>
          <t>남</t>
        </is>
      </c>
      <c r="F2589" s="30" t="n">
        <v>9</v>
      </c>
      <c r="G2589" s="29" t="n"/>
      <c r="H2589" s="42" t="n"/>
      <c r="I2589" s="40" t="n"/>
      <c r="J2589" s="40" t="n"/>
      <c r="K2589" s="40" t="n"/>
      <c r="L2589" s="30">
        <f>IF(COUNT(I2589:K2589)=0,"",MEDIAN(I2589:K2589))</f>
        <v/>
      </c>
      <c r="M2589" s="25">
        <f>IF(COUNTIFS($C:$C,$C2589,$D:$D,"P0(전)",$L:$L,"&gt;0")&lt;&gt;1,"P0(전) 유효 1개 아님",IF(COUNTIFS($C:$C,$C2589,$D:$D,"P0(후)",$L:$L,"&gt;0")&lt;&gt;1,"P0(후) 유효 1개 아님",IF(NOT(AND(ISNUMBER(N2589),ISNUMBER(P2589),ISNUMBER(H2589))),"시각 결측",IF(P2589&lt;=N2589,"P0 시각 역전",IF(OR(H2589&lt;N2589,H2589&gt;P2589),"측정시각 구간 밖","OK")))))</f>
        <v/>
      </c>
      <c r="N2589" s="45">
        <f>IF(COUNTIFS($C:$C,$C2589,$D:$D,"P0(전)",$L:$L,"&gt;0")&lt;&gt;1,"",SUMIFS($H:$H,$C:$C,$C2589,$D:$D,"P0(전)"))</f>
        <v/>
      </c>
      <c r="O2589" s="30">
        <f>IF(COUNTIFS($C:$C,$C2589,$D:$D,"P0(전)",$L:$L,"&gt;0")&lt;&gt;1,"",SUMIFS($L:$L,$C:$C,$C2589,$D:$D,"P0(전)"))</f>
        <v/>
      </c>
      <c r="P2589" s="45">
        <f>IF(COUNTIFS($C:$C,$C2589,$D:$D,"P0(후)",$L:$L,"&gt;0")&lt;&gt;1,"",SUMIFS($H:$H,$C:$C,$C2589,$D:$D,"P0(후)"))</f>
        <v/>
      </c>
      <c r="Q2589" s="30">
        <f>IF(COUNTIFS($C:$C,$C2589,$D:$D,"P0(후)",$L:$L,"&gt;0")&lt;&gt;1,"",SUMIFS($L:$L,$C:$C,$C2589,$D:$D,"P0(후)"))</f>
        <v/>
      </c>
      <c r="R2589" s="30">
        <f>IF(M2589&lt;&gt;"OK","",O2589+(Q2589-O2589)*(H2589-N2589)/(P2589-N2589))</f>
        <v/>
      </c>
      <c r="S2589" s="30">
        <f>IF(OR(M2589&lt;&gt;"OK",NOT(ISNUMBER(L2589))),"",L2589-R2589)</f>
        <v/>
      </c>
      <c r="T2589" s="46">
        <f>IF(OR(NOT(ISNUMBER(S2589)),IF(ISNUMBER(G2589),G2589,F2589)=0),"",S2589/IF(ISNUMBER(G2589),G2589,F2589))</f>
        <v/>
      </c>
      <c r="U2589" s="46">
        <f>IF(ISNUMBER(T2589),ABS(T2589),"")</f>
        <v/>
      </c>
      <c r="V2589" s="46">
        <f>IF(OR($D2588&lt;&gt;"측정",$C2588&lt;&gt;$C2589,NOT(ISNUMBER(L2589)),NOT(ISNUMBER(L2588)),(IF(ISNUMBER(G2589),G2589,F2589)-IF(ISNUMBER(G2588),G2588,F2588))=0),"",(L2589-L2588)/(IF(ISNUMBER(G2589),G2589,F2589)-IF(ISNUMBER(G2588),G2588,F2588)))</f>
        <v/>
      </c>
      <c r="W2589" s="30">
        <f>IF(NOT(AND(ISNUMBER(N2589),ISNUMBER(P2589))),"",(P2589-N2589)*1440)</f>
        <v/>
      </c>
      <c r="X2589" s="28" t="n"/>
      <c r="Y2589" s="28" t="n"/>
      <c r="Z2589" s="28" t="n"/>
      <c r="AA2589" s="31" t="n"/>
      <c r="AB2589" s="31" t="n"/>
    </row>
    <row r="2590">
      <c r="A2590" s="25" t="inlineStr">
        <is>
          <t>S50</t>
        </is>
      </c>
      <c r="B2590" s="25" t="inlineStr">
        <is>
          <t>함양</t>
        </is>
      </c>
      <c r="C2590" s="25" t="inlineStr">
        <is>
          <t>S50-H남</t>
        </is>
      </c>
      <c r="D2590" s="25" t="inlineStr">
        <is>
          <t>측정</t>
        </is>
      </c>
      <c r="E2590" s="25" t="inlineStr">
        <is>
          <t>남</t>
        </is>
      </c>
      <c r="F2590" s="30" t="n">
        <v>10</v>
      </c>
      <c r="G2590" s="29" t="n"/>
      <c r="H2590" s="42" t="n"/>
      <c r="I2590" s="40" t="n"/>
      <c r="J2590" s="40" t="n"/>
      <c r="K2590" s="40" t="n"/>
      <c r="L2590" s="30">
        <f>IF(COUNT(I2590:K2590)=0,"",MEDIAN(I2590:K2590))</f>
        <v/>
      </c>
      <c r="M2590" s="25">
        <f>IF(COUNTIFS($C:$C,$C2590,$D:$D,"P0(전)",$L:$L,"&gt;0")&lt;&gt;1,"P0(전) 유효 1개 아님",IF(COUNTIFS($C:$C,$C2590,$D:$D,"P0(후)",$L:$L,"&gt;0")&lt;&gt;1,"P0(후) 유효 1개 아님",IF(NOT(AND(ISNUMBER(N2590),ISNUMBER(P2590),ISNUMBER(H2590))),"시각 결측",IF(P2590&lt;=N2590,"P0 시각 역전",IF(OR(H2590&lt;N2590,H2590&gt;P2590),"측정시각 구간 밖","OK")))))</f>
        <v/>
      </c>
      <c r="N2590" s="45">
        <f>IF(COUNTIFS($C:$C,$C2590,$D:$D,"P0(전)",$L:$L,"&gt;0")&lt;&gt;1,"",SUMIFS($H:$H,$C:$C,$C2590,$D:$D,"P0(전)"))</f>
        <v/>
      </c>
      <c r="O2590" s="30">
        <f>IF(COUNTIFS($C:$C,$C2590,$D:$D,"P0(전)",$L:$L,"&gt;0")&lt;&gt;1,"",SUMIFS($L:$L,$C:$C,$C2590,$D:$D,"P0(전)"))</f>
        <v/>
      </c>
      <c r="P2590" s="45">
        <f>IF(COUNTIFS($C:$C,$C2590,$D:$D,"P0(후)",$L:$L,"&gt;0")&lt;&gt;1,"",SUMIFS($H:$H,$C:$C,$C2590,$D:$D,"P0(후)"))</f>
        <v/>
      </c>
      <c r="Q2590" s="30">
        <f>IF(COUNTIFS($C:$C,$C2590,$D:$D,"P0(후)",$L:$L,"&gt;0")&lt;&gt;1,"",SUMIFS($L:$L,$C:$C,$C2590,$D:$D,"P0(후)"))</f>
        <v/>
      </c>
      <c r="R2590" s="30">
        <f>IF(M2590&lt;&gt;"OK","",O2590+(Q2590-O2590)*(H2590-N2590)/(P2590-N2590))</f>
        <v/>
      </c>
      <c r="S2590" s="30">
        <f>IF(OR(M2590&lt;&gt;"OK",NOT(ISNUMBER(L2590))),"",L2590-R2590)</f>
        <v/>
      </c>
      <c r="T2590" s="46">
        <f>IF(OR(NOT(ISNUMBER(S2590)),IF(ISNUMBER(G2590),G2590,F2590)=0),"",S2590/IF(ISNUMBER(G2590),G2590,F2590))</f>
        <v/>
      </c>
      <c r="U2590" s="46">
        <f>IF(ISNUMBER(T2590),ABS(T2590),"")</f>
        <v/>
      </c>
      <c r="V2590" s="46">
        <f>IF(OR($D2589&lt;&gt;"측정",$C2589&lt;&gt;$C2590,NOT(ISNUMBER(L2590)),NOT(ISNUMBER(L2589)),(IF(ISNUMBER(G2590),G2590,F2590)-IF(ISNUMBER(G2589),G2589,F2589))=0),"",(L2590-L2589)/(IF(ISNUMBER(G2590),G2590,F2590)-IF(ISNUMBER(G2589),G2589,F2589)))</f>
        <v/>
      </c>
      <c r="W2590" s="30">
        <f>IF(NOT(AND(ISNUMBER(N2590),ISNUMBER(P2590))),"",(P2590-N2590)*1440)</f>
        <v/>
      </c>
      <c r="X2590" s="28" t="n"/>
      <c r="Y2590" s="28" t="n"/>
      <c r="Z2590" s="28" t="n"/>
      <c r="AA2590" s="31" t="n"/>
      <c r="AB2590" s="31" t="n"/>
    </row>
    <row r="2591">
      <c r="A2591" s="43" t="inlineStr">
        <is>
          <t>S50</t>
        </is>
      </c>
      <c r="B2591" s="43" t="inlineStr">
        <is>
          <t>함양</t>
        </is>
      </c>
      <c r="C2591" s="43" t="inlineStr">
        <is>
          <t>S50-H남</t>
        </is>
      </c>
      <c r="D2591" s="43" t="inlineStr">
        <is>
          <t>P0(후)</t>
        </is>
      </c>
      <c r="E2591" s="43" t="inlineStr">
        <is>
          <t>남</t>
        </is>
      </c>
      <c r="F2591" s="44" t="n"/>
      <c r="G2591" s="29" t="n"/>
      <c r="H2591" s="42" t="n"/>
      <c r="I2591" s="40" t="n"/>
      <c r="J2591" s="40" t="n"/>
      <c r="K2591" s="40" t="n"/>
      <c r="L2591" s="30">
        <f>IF(COUNT(I2591:K2591)=0,"",MEDIAN(I2591:K2591))</f>
        <v/>
      </c>
      <c r="M2591" s="37" t="n"/>
      <c r="N2591" s="37" t="n"/>
      <c r="O2591" s="37" t="n"/>
      <c r="P2591" s="37" t="n"/>
      <c r="Q2591" s="37" t="n"/>
      <c r="R2591" s="37" t="n"/>
      <c r="S2591" s="37" t="n"/>
      <c r="T2591" s="37" t="n"/>
      <c r="U2591" s="37" t="n"/>
      <c r="V2591" s="37" t="n"/>
      <c r="W2591" s="37" t="n"/>
      <c r="X2591" s="28" t="n"/>
      <c r="Y2591" s="28" t="n"/>
      <c r="Z2591" s="28" t="n"/>
      <c r="AA2591" s="31" t="n"/>
      <c r="AB2591" s="31" t="n"/>
    </row>
    <row r="2592">
      <c r="A2592" s="43" t="inlineStr">
        <is>
          <t>S50</t>
        </is>
      </c>
      <c r="B2592" s="43" t="inlineStr">
        <is>
          <t>함양</t>
        </is>
      </c>
      <c r="C2592" s="43" t="inlineStr">
        <is>
          <t>S50-H북</t>
        </is>
      </c>
      <c r="D2592" s="43" t="inlineStr">
        <is>
          <t>P0(전)</t>
        </is>
      </c>
      <c r="E2592" s="43" t="inlineStr">
        <is>
          <t>북</t>
        </is>
      </c>
      <c r="F2592" s="44" t="n"/>
      <c r="G2592" s="29" t="n"/>
      <c r="H2592" s="42" t="n"/>
      <c r="I2592" s="40" t="n"/>
      <c r="J2592" s="40" t="n"/>
      <c r="K2592" s="40" t="n"/>
      <c r="L2592" s="30">
        <f>IF(COUNT(I2592:K2592)=0,"",MEDIAN(I2592:K2592))</f>
        <v/>
      </c>
      <c r="M2592" s="37" t="n"/>
      <c r="N2592" s="37" t="n"/>
      <c r="O2592" s="37" t="n"/>
      <c r="P2592" s="37" t="n"/>
      <c r="Q2592" s="37" t="n"/>
      <c r="R2592" s="37" t="n"/>
      <c r="S2592" s="37" t="n"/>
      <c r="T2592" s="37" t="n"/>
      <c r="U2592" s="37" t="n"/>
      <c r="V2592" s="37" t="n"/>
      <c r="W2592" s="37" t="n"/>
      <c r="X2592" s="28" t="n"/>
      <c r="Y2592" s="28" t="n"/>
      <c r="Z2592" s="28" t="n"/>
      <c r="AA2592" s="31" t="n"/>
      <c r="AB2592" s="31" t="n"/>
    </row>
    <row r="2593">
      <c r="A2593" s="25" t="inlineStr">
        <is>
          <t>S50</t>
        </is>
      </c>
      <c r="B2593" s="25" t="inlineStr">
        <is>
          <t>함양</t>
        </is>
      </c>
      <c r="C2593" s="25" t="inlineStr">
        <is>
          <t>S50-H북</t>
        </is>
      </c>
      <c r="D2593" s="25" t="inlineStr">
        <is>
          <t>측정</t>
        </is>
      </c>
      <c r="E2593" s="25" t="inlineStr">
        <is>
          <t>북</t>
        </is>
      </c>
      <c r="F2593" s="30" t="n">
        <v>0.5</v>
      </c>
      <c r="G2593" s="29" t="n"/>
      <c r="H2593" s="42" t="n"/>
      <c r="I2593" s="40" t="n"/>
      <c r="J2593" s="40" t="n"/>
      <c r="K2593" s="40" t="n"/>
      <c r="L2593" s="30">
        <f>IF(COUNT(I2593:K2593)=0,"",MEDIAN(I2593:K2593))</f>
        <v/>
      </c>
      <c r="M2593" s="25">
        <f>IF(COUNTIFS($C:$C,$C2593,$D:$D,"P0(전)",$L:$L,"&gt;0")&lt;&gt;1,"P0(전) 유효 1개 아님",IF(COUNTIFS($C:$C,$C2593,$D:$D,"P0(후)",$L:$L,"&gt;0")&lt;&gt;1,"P0(후) 유효 1개 아님",IF(NOT(AND(ISNUMBER(N2593),ISNUMBER(P2593),ISNUMBER(H2593))),"시각 결측",IF(P2593&lt;=N2593,"P0 시각 역전",IF(OR(H2593&lt;N2593,H2593&gt;P2593),"측정시각 구간 밖","OK")))))</f>
        <v/>
      </c>
      <c r="N2593" s="45">
        <f>IF(COUNTIFS($C:$C,$C2593,$D:$D,"P0(전)",$L:$L,"&gt;0")&lt;&gt;1,"",SUMIFS($H:$H,$C:$C,$C2593,$D:$D,"P0(전)"))</f>
        <v/>
      </c>
      <c r="O2593" s="30">
        <f>IF(COUNTIFS($C:$C,$C2593,$D:$D,"P0(전)",$L:$L,"&gt;0")&lt;&gt;1,"",SUMIFS($L:$L,$C:$C,$C2593,$D:$D,"P0(전)"))</f>
        <v/>
      </c>
      <c r="P2593" s="45">
        <f>IF(COUNTIFS($C:$C,$C2593,$D:$D,"P0(후)",$L:$L,"&gt;0")&lt;&gt;1,"",SUMIFS($H:$H,$C:$C,$C2593,$D:$D,"P0(후)"))</f>
        <v/>
      </c>
      <c r="Q2593" s="30">
        <f>IF(COUNTIFS($C:$C,$C2593,$D:$D,"P0(후)",$L:$L,"&gt;0")&lt;&gt;1,"",SUMIFS($L:$L,$C:$C,$C2593,$D:$D,"P0(후)"))</f>
        <v/>
      </c>
      <c r="R2593" s="30">
        <f>IF(M2593&lt;&gt;"OK","",O2593+(Q2593-O2593)*(H2593-N2593)/(P2593-N2593))</f>
        <v/>
      </c>
      <c r="S2593" s="30">
        <f>IF(OR(M2593&lt;&gt;"OK",NOT(ISNUMBER(L2593))),"",L2593-R2593)</f>
        <v/>
      </c>
      <c r="T2593" s="46">
        <f>IF(OR(NOT(ISNUMBER(S2593)),IF(ISNUMBER(G2593),G2593,F2593)=0),"",S2593/IF(ISNUMBER(G2593),G2593,F2593))</f>
        <v/>
      </c>
      <c r="U2593" s="46">
        <f>IF(ISNUMBER(T2593),ABS(T2593),"")</f>
        <v/>
      </c>
      <c r="V2593" s="46">
        <f>IF(OR($D2592&lt;&gt;"측정",$C2592&lt;&gt;$C2593,NOT(ISNUMBER(L2593)),NOT(ISNUMBER(L2592)),(IF(ISNUMBER(G2593),G2593,F2593)-IF(ISNUMBER(G2592),G2592,F2592))=0),"",(L2593-L2592)/(IF(ISNUMBER(G2593),G2593,F2593)-IF(ISNUMBER(G2592),G2592,F2592)))</f>
        <v/>
      </c>
      <c r="W2593" s="30">
        <f>IF(NOT(AND(ISNUMBER(N2593),ISNUMBER(P2593))),"",(P2593-N2593)*1440)</f>
        <v/>
      </c>
      <c r="X2593" s="28" t="n"/>
      <c r="Y2593" s="28" t="n"/>
      <c r="Z2593" s="28" t="n"/>
      <c r="AA2593" s="31" t="n"/>
      <c r="AB2593" s="31" t="n"/>
    </row>
    <row r="2594">
      <c r="A2594" s="25" t="inlineStr">
        <is>
          <t>S50</t>
        </is>
      </c>
      <c r="B2594" s="25" t="inlineStr">
        <is>
          <t>함양</t>
        </is>
      </c>
      <c r="C2594" s="25" t="inlineStr">
        <is>
          <t>S50-H북</t>
        </is>
      </c>
      <c r="D2594" s="25" t="inlineStr">
        <is>
          <t>측정</t>
        </is>
      </c>
      <c r="E2594" s="25" t="inlineStr">
        <is>
          <t>북</t>
        </is>
      </c>
      <c r="F2594" s="30" t="n">
        <v>1</v>
      </c>
      <c r="G2594" s="29" t="n"/>
      <c r="H2594" s="42" t="n"/>
      <c r="I2594" s="40" t="n"/>
      <c r="J2594" s="40" t="n"/>
      <c r="K2594" s="40" t="n"/>
      <c r="L2594" s="30">
        <f>IF(COUNT(I2594:K2594)=0,"",MEDIAN(I2594:K2594))</f>
        <v/>
      </c>
      <c r="M2594" s="25">
        <f>IF(COUNTIFS($C:$C,$C2594,$D:$D,"P0(전)",$L:$L,"&gt;0")&lt;&gt;1,"P0(전) 유효 1개 아님",IF(COUNTIFS($C:$C,$C2594,$D:$D,"P0(후)",$L:$L,"&gt;0")&lt;&gt;1,"P0(후) 유효 1개 아님",IF(NOT(AND(ISNUMBER(N2594),ISNUMBER(P2594),ISNUMBER(H2594))),"시각 결측",IF(P2594&lt;=N2594,"P0 시각 역전",IF(OR(H2594&lt;N2594,H2594&gt;P2594),"측정시각 구간 밖","OK")))))</f>
        <v/>
      </c>
      <c r="N2594" s="45">
        <f>IF(COUNTIFS($C:$C,$C2594,$D:$D,"P0(전)",$L:$L,"&gt;0")&lt;&gt;1,"",SUMIFS($H:$H,$C:$C,$C2594,$D:$D,"P0(전)"))</f>
        <v/>
      </c>
      <c r="O2594" s="30">
        <f>IF(COUNTIFS($C:$C,$C2594,$D:$D,"P0(전)",$L:$L,"&gt;0")&lt;&gt;1,"",SUMIFS($L:$L,$C:$C,$C2594,$D:$D,"P0(전)"))</f>
        <v/>
      </c>
      <c r="P2594" s="45">
        <f>IF(COUNTIFS($C:$C,$C2594,$D:$D,"P0(후)",$L:$L,"&gt;0")&lt;&gt;1,"",SUMIFS($H:$H,$C:$C,$C2594,$D:$D,"P0(후)"))</f>
        <v/>
      </c>
      <c r="Q2594" s="30">
        <f>IF(COUNTIFS($C:$C,$C2594,$D:$D,"P0(후)",$L:$L,"&gt;0")&lt;&gt;1,"",SUMIFS($L:$L,$C:$C,$C2594,$D:$D,"P0(후)"))</f>
        <v/>
      </c>
      <c r="R2594" s="30">
        <f>IF(M2594&lt;&gt;"OK","",O2594+(Q2594-O2594)*(H2594-N2594)/(P2594-N2594))</f>
        <v/>
      </c>
      <c r="S2594" s="30">
        <f>IF(OR(M2594&lt;&gt;"OK",NOT(ISNUMBER(L2594))),"",L2594-R2594)</f>
        <v/>
      </c>
      <c r="T2594" s="46">
        <f>IF(OR(NOT(ISNUMBER(S2594)),IF(ISNUMBER(G2594),G2594,F2594)=0),"",S2594/IF(ISNUMBER(G2594),G2594,F2594))</f>
        <v/>
      </c>
      <c r="U2594" s="46">
        <f>IF(ISNUMBER(T2594),ABS(T2594),"")</f>
        <v/>
      </c>
      <c r="V2594" s="46">
        <f>IF(OR($D2593&lt;&gt;"측정",$C2593&lt;&gt;$C2594,NOT(ISNUMBER(L2594)),NOT(ISNUMBER(L2593)),(IF(ISNUMBER(G2594),G2594,F2594)-IF(ISNUMBER(G2593),G2593,F2593))=0),"",(L2594-L2593)/(IF(ISNUMBER(G2594),G2594,F2594)-IF(ISNUMBER(G2593),G2593,F2593)))</f>
        <v/>
      </c>
      <c r="W2594" s="30">
        <f>IF(NOT(AND(ISNUMBER(N2594),ISNUMBER(P2594))),"",(P2594-N2594)*1440)</f>
        <v/>
      </c>
      <c r="X2594" s="28" t="n"/>
      <c r="Y2594" s="28" t="n"/>
      <c r="Z2594" s="28" t="n"/>
      <c r="AA2594" s="31" t="n"/>
      <c r="AB2594" s="31" t="n"/>
    </row>
    <row r="2595">
      <c r="A2595" s="25" t="inlineStr">
        <is>
          <t>S50</t>
        </is>
      </c>
      <c r="B2595" s="25" t="inlineStr">
        <is>
          <t>함양</t>
        </is>
      </c>
      <c r="C2595" s="25" t="inlineStr">
        <is>
          <t>S50-H북</t>
        </is>
      </c>
      <c r="D2595" s="25" t="inlineStr">
        <is>
          <t>측정</t>
        </is>
      </c>
      <c r="E2595" s="25" t="inlineStr">
        <is>
          <t>북</t>
        </is>
      </c>
      <c r="F2595" s="30" t="n">
        <v>2</v>
      </c>
      <c r="G2595" s="29" t="n"/>
      <c r="H2595" s="42" t="n"/>
      <c r="I2595" s="40" t="n"/>
      <c r="J2595" s="40" t="n"/>
      <c r="K2595" s="40" t="n"/>
      <c r="L2595" s="30">
        <f>IF(COUNT(I2595:K2595)=0,"",MEDIAN(I2595:K2595))</f>
        <v/>
      </c>
      <c r="M2595" s="25">
        <f>IF(COUNTIFS($C:$C,$C2595,$D:$D,"P0(전)",$L:$L,"&gt;0")&lt;&gt;1,"P0(전) 유효 1개 아님",IF(COUNTIFS($C:$C,$C2595,$D:$D,"P0(후)",$L:$L,"&gt;0")&lt;&gt;1,"P0(후) 유효 1개 아님",IF(NOT(AND(ISNUMBER(N2595),ISNUMBER(P2595),ISNUMBER(H2595))),"시각 결측",IF(P2595&lt;=N2595,"P0 시각 역전",IF(OR(H2595&lt;N2595,H2595&gt;P2595),"측정시각 구간 밖","OK")))))</f>
        <v/>
      </c>
      <c r="N2595" s="45">
        <f>IF(COUNTIFS($C:$C,$C2595,$D:$D,"P0(전)",$L:$L,"&gt;0")&lt;&gt;1,"",SUMIFS($H:$H,$C:$C,$C2595,$D:$D,"P0(전)"))</f>
        <v/>
      </c>
      <c r="O2595" s="30">
        <f>IF(COUNTIFS($C:$C,$C2595,$D:$D,"P0(전)",$L:$L,"&gt;0")&lt;&gt;1,"",SUMIFS($L:$L,$C:$C,$C2595,$D:$D,"P0(전)"))</f>
        <v/>
      </c>
      <c r="P2595" s="45">
        <f>IF(COUNTIFS($C:$C,$C2595,$D:$D,"P0(후)",$L:$L,"&gt;0")&lt;&gt;1,"",SUMIFS($H:$H,$C:$C,$C2595,$D:$D,"P0(후)"))</f>
        <v/>
      </c>
      <c r="Q2595" s="30">
        <f>IF(COUNTIFS($C:$C,$C2595,$D:$D,"P0(후)",$L:$L,"&gt;0")&lt;&gt;1,"",SUMIFS($L:$L,$C:$C,$C2595,$D:$D,"P0(후)"))</f>
        <v/>
      </c>
      <c r="R2595" s="30">
        <f>IF(M2595&lt;&gt;"OK","",O2595+(Q2595-O2595)*(H2595-N2595)/(P2595-N2595))</f>
        <v/>
      </c>
      <c r="S2595" s="30">
        <f>IF(OR(M2595&lt;&gt;"OK",NOT(ISNUMBER(L2595))),"",L2595-R2595)</f>
        <v/>
      </c>
      <c r="T2595" s="46">
        <f>IF(OR(NOT(ISNUMBER(S2595)),IF(ISNUMBER(G2595),G2595,F2595)=0),"",S2595/IF(ISNUMBER(G2595),G2595,F2595))</f>
        <v/>
      </c>
      <c r="U2595" s="46">
        <f>IF(ISNUMBER(T2595),ABS(T2595),"")</f>
        <v/>
      </c>
      <c r="V2595" s="46">
        <f>IF(OR($D2594&lt;&gt;"측정",$C2594&lt;&gt;$C2595,NOT(ISNUMBER(L2595)),NOT(ISNUMBER(L2594)),(IF(ISNUMBER(G2595),G2595,F2595)-IF(ISNUMBER(G2594),G2594,F2594))=0),"",(L2595-L2594)/(IF(ISNUMBER(G2595),G2595,F2595)-IF(ISNUMBER(G2594),G2594,F2594)))</f>
        <v/>
      </c>
      <c r="W2595" s="30">
        <f>IF(NOT(AND(ISNUMBER(N2595),ISNUMBER(P2595))),"",(P2595-N2595)*1440)</f>
        <v/>
      </c>
      <c r="X2595" s="28" t="n"/>
      <c r="Y2595" s="28" t="n"/>
      <c r="Z2595" s="28" t="n"/>
      <c r="AA2595" s="31" t="n"/>
      <c r="AB2595" s="31" t="n"/>
    </row>
    <row r="2596">
      <c r="A2596" s="25" t="inlineStr">
        <is>
          <t>S50</t>
        </is>
      </c>
      <c r="B2596" s="25" t="inlineStr">
        <is>
          <t>함양</t>
        </is>
      </c>
      <c r="C2596" s="25" t="inlineStr">
        <is>
          <t>S50-H북</t>
        </is>
      </c>
      <c r="D2596" s="25" t="inlineStr">
        <is>
          <t>측정</t>
        </is>
      </c>
      <c r="E2596" s="25" t="inlineStr">
        <is>
          <t>북</t>
        </is>
      </c>
      <c r="F2596" s="30" t="n">
        <v>3</v>
      </c>
      <c r="G2596" s="29" t="n"/>
      <c r="H2596" s="42" t="n"/>
      <c r="I2596" s="40" t="n"/>
      <c r="J2596" s="40" t="n"/>
      <c r="K2596" s="40" t="n"/>
      <c r="L2596" s="30">
        <f>IF(COUNT(I2596:K2596)=0,"",MEDIAN(I2596:K2596))</f>
        <v/>
      </c>
      <c r="M2596" s="25">
        <f>IF(COUNTIFS($C:$C,$C2596,$D:$D,"P0(전)",$L:$L,"&gt;0")&lt;&gt;1,"P0(전) 유효 1개 아님",IF(COUNTIFS($C:$C,$C2596,$D:$D,"P0(후)",$L:$L,"&gt;0")&lt;&gt;1,"P0(후) 유효 1개 아님",IF(NOT(AND(ISNUMBER(N2596),ISNUMBER(P2596),ISNUMBER(H2596))),"시각 결측",IF(P2596&lt;=N2596,"P0 시각 역전",IF(OR(H2596&lt;N2596,H2596&gt;P2596),"측정시각 구간 밖","OK")))))</f>
        <v/>
      </c>
      <c r="N2596" s="45">
        <f>IF(COUNTIFS($C:$C,$C2596,$D:$D,"P0(전)",$L:$L,"&gt;0")&lt;&gt;1,"",SUMIFS($H:$H,$C:$C,$C2596,$D:$D,"P0(전)"))</f>
        <v/>
      </c>
      <c r="O2596" s="30">
        <f>IF(COUNTIFS($C:$C,$C2596,$D:$D,"P0(전)",$L:$L,"&gt;0")&lt;&gt;1,"",SUMIFS($L:$L,$C:$C,$C2596,$D:$D,"P0(전)"))</f>
        <v/>
      </c>
      <c r="P2596" s="45">
        <f>IF(COUNTIFS($C:$C,$C2596,$D:$D,"P0(후)",$L:$L,"&gt;0")&lt;&gt;1,"",SUMIFS($H:$H,$C:$C,$C2596,$D:$D,"P0(후)"))</f>
        <v/>
      </c>
      <c r="Q2596" s="30">
        <f>IF(COUNTIFS($C:$C,$C2596,$D:$D,"P0(후)",$L:$L,"&gt;0")&lt;&gt;1,"",SUMIFS($L:$L,$C:$C,$C2596,$D:$D,"P0(후)"))</f>
        <v/>
      </c>
      <c r="R2596" s="30">
        <f>IF(M2596&lt;&gt;"OK","",O2596+(Q2596-O2596)*(H2596-N2596)/(P2596-N2596))</f>
        <v/>
      </c>
      <c r="S2596" s="30">
        <f>IF(OR(M2596&lt;&gt;"OK",NOT(ISNUMBER(L2596))),"",L2596-R2596)</f>
        <v/>
      </c>
      <c r="T2596" s="46">
        <f>IF(OR(NOT(ISNUMBER(S2596)),IF(ISNUMBER(G2596),G2596,F2596)=0),"",S2596/IF(ISNUMBER(G2596),G2596,F2596))</f>
        <v/>
      </c>
      <c r="U2596" s="46">
        <f>IF(ISNUMBER(T2596),ABS(T2596),"")</f>
        <v/>
      </c>
      <c r="V2596" s="46">
        <f>IF(OR($D2595&lt;&gt;"측정",$C2595&lt;&gt;$C2596,NOT(ISNUMBER(L2596)),NOT(ISNUMBER(L2595)),(IF(ISNUMBER(G2596),G2596,F2596)-IF(ISNUMBER(G2595),G2595,F2595))=0),"",(L2596-L2595)/(IF(ISNUMBER(G2596),G2596,F2596)-IF(ISNUMBER(G2595),G2595,F2595)))</f>
        <v/>
      </c>
      <c r="W2596" s="30">
        <f>IF(NOT(AND(ISNUMBER(N2596),ISNUMBER(P2596))),"",(P2596-N2596)*1440)</f>
        <v/>
      </c>
      <c r="X2596" s="28" t="n"/>
      <c r="Y2596" s="28" t="n"/>
      <c r="Z2596" s="28" t="n"/>
      <c r="AA2596" s="31" t="n"/>
      <c r="AB2596" s="31" t="n"/>
    </row>
    <row r="2597">
      <c r="A2597" s="25" t="inlineStr">
        <is>
          <t>S50</t>
        </is>
      </c>
      <c r="B2597" s="25" t="inlineStr">
        <is>
          <t>함양</t>
        </is>
      </c>
      <c r="C2597" s="25" t="inlineStr">
        <is>
          <t>S50-H북</t>
        </is>
      </c>
      <c r="D2597" s="25" t="inlineStr">
        <is>
          <t>측정</t>
        </is>
      </c>
      <c r="E2597" s="25" t="inlineStr">
        <is>
          <t>북</t>
        </is>
      </c>
      <c r="F2597" s="30" t="n">
        <v>4</v>
      </c>
      <c r="G2597" s="29" t="n"/>
      <c r="H2597" s="42" t="n"/>
      <c r="I2597" s="40" t="n"/>
      <c r="J2597" s="40" t="n"/>
      <c r="K2597" s="40" t="n"/>
      <c r="L2597" s="30">
        <f>IF(COUNT(I2597:K2597)=0,"",MEDIAN(I2597:K2597))</f>
        <v/>
      </c>
      <c r="M2597" s="25">
        <f>IF(COUNTIFS($C:$C,$C2597,$D:$D,"P0(전)",$L:$L,"&gt;0")&lt;&gt;1,"P0(전) 유효 1개 아님",IF(COUNTIFS($C:$C,$C2597,$D:$D,"P0(후)",$L:$L,"&gt;0")&lt;&gt;1,"P0(후) 유효 1개 아님",IF(NOT(AND(ISNUMBER(N2597),ISNUMBER(P2597),ISNUMBER(H2597))),"시각 결측",IF(P2597&lt;=N2597,"P0 시각 역전",IF(OR(H2597&lt;N2597,H2597&gt;P2597),"측정시각 구간 밖","OK")))))</f>
        <v/>
      </c>
      <c r="N2597" s="45">
        <f>IF(COUNTIFS($C:$C,$C2597,$D:$D,"P0(전)",$L:$L,"&gt;0")&lt;&gt;1,"",SUMIFS($H:$H,$C:$C,$C2597,$D:$D,"P0(전)"))</f>
        <v/>
      </c>
      <c r="O2597" s="30">
        <f>IF(COUNTIFS($C:$C,$C2597,$D:$D,"P0(전)",$L:$L,"&gt;0")&lt;&gt;1,"",SUMIFS($L:$L,$C:$C,$C2597,$D:$D,"P0(전)"))</f>
        <v/>
      </c>
      <c r="P2597" s="45">
        <f>IF(COUNTIFS($C:$C,$C2597,$D:$D,"P0(후)",$L:$L,"&gt;0")&lt;&gt;1,"",SUMIFS($H:$H,$C:$C,$C2597,$D:$D,"P0(후)"))</f>
        <v/>
      </c>
      <c r="Q2597" s="30">
        <f>IF(COUNTIFS($C:$C,$C2597,$D:$D,"P0(후)",$L:$L,"&gt;0")&lt;&gt;1,"",SUMIFS($L:$L,$C:$C,$C2597,$D:$D,"P0(후)"))</f>
        <v/>
      </c>
      <c r="R2597" s="30">
        <f>IF(M2597&lt;&gt;"OK","",O2597+(Q2597-O2597)*(H2597-N2597)/(P2597-N2597))</f>
        <v/>
      </c>
      <c r="S2597" s="30">
        <f>IF(OR(M2597&lt;&gt;"OK",NOT(ISNUMBER(L2597))),"",L2597-R2597)</f>
        <v/>
      </c>
      <c r="T2597" s="46">
        <f>IF(OR(NOT(ISNUMBER(S2597)),IF(ISNUMBER(G2597),G2597,F2597)=0),"",S2597/IF(ISNUMBER(G2597),G2597,F2597))</f>
        <v/>
      </c>
      <c r="U2597" s="46">
        <f>IF(ISNUMBER(T2597),ABS(T2597),"")</f>
        <v/>
      </c>
      <c r="V2597" s="46">
        <f>IF(OR($D2596&lt;&gt;"측정",$C2596&lt;&gt;$C2597,NOT(ISNUMBER(L2597)),NOT(ISNUMBER(L2596)),(IF(ISNUMBER(G2597),G2597,F2597)-IF(ISNUMBER(G2596),G2596,F2596))=0),"",(L2597-L2596)/(IF(ISNUMBER(G2597),G2597,F2597)-IF(ISNUMBER(G2596),G2596,F2596)))</f>
        <v/>
      </c>
      <c r="W2597" s="30">
        <f>IF(NOT(AND(ISNUMBER(N2597),ISNUMBER(P2597))),"",(P2597-N2597)*1440)</f>
        <v/>
      </c>
      <c r="X2597" s="28" t="n"/>
      <c r="Y2597" s="28" t="n"/>
      <c r="Z2597" s="28" t="n"/>
      <c r="AA2597" s="31" t="n"/>
      <c r="AB2597" s="31" t="n"/>
    </row>
    <row r="2598">
      <c r="A2598" s="25" t="inlineStr">
        <is>
          <t>S50</t>
        </is>
      </c>
      <c r="B2598" s="25" t="inlineStr">
        <is>
          <t>함양</t>
        </is>
      </c>
      <c r="C2598" s="25" t="inlineStr">
        <is>
          <t>S50-H북</t>
        </is>
      </c>
      <c r="D2598" s="25" t="inlineStr">
        <is>
          <t>측정</t>
        </is>
      </c>
      <c r="E2598" s="25" t="inlineStr">
        <is>
          <t>북</t>
        </is>
      </c>
      <c r="F2598" s="30" t="n">
        <v>5</v>
      </c>
      <c r="G2598" s="29" t="n"/>
      <c r="H2598" s="42" t="n"/>
      <c r="I2598" s="40" t="n"/>
      <c r="J2598" s="40" t="n"/>
      <c r="K2598" s="40" t="n"/>
      <c r="L2598" s="30">
        <f>IF(COUNT(I2598:K2598)=0,"",MEDIAN(I2598:K2598))</f>
        <v/>
      </c>
      <c r="M2598" s="25">
        <f>IF(COUNTIFS($C:$C,$C2598,$D:$D,"P0(전)",$L:$L,"&gt;0")&lt;&gt;1,"P0(전) 유효 1개 아님",IF(COUNTIFS($C:$C,$C2598,$D:$D,"P0(후)",$L:$L,"&gt;0")&lt;&gt;1,"P0(후) 유효 1개 아님",IF(NOT(AND(ISNUMBER(N2598),ISNUMBER(P2598),ISNUMBER(H2598))),"시각 결측",IF(P2598&lt;=N2598,"P0 시각 역전",IF(OR(H2598&lt;N2598,H2598&gt;P2598),"측정시각 구간 밖","OK")))))</f>
        <v/>
      </c>
      <c r="N2598" s="45">
        <f>IF(COUNTIFS($C:$C,$C2598,$D:$D,"P0(전)",$L:$L,"&gt;0")&lt;&gt;1,"",SUMIFS($H:$H,$C:$C,$C2598,$D:$D,"P0(전)"))</f>
        <v/>
      </c>
      <c r="O2598" s="30">
        <f>IF(COUNTIFS($C:$C,$C2598,$D:$D,"P0(전)",$L:$L,"&gt;0")&lt;&gt;1,"",SUMIFS($L:$L,$C:$C,$C2598,$D:$D,"P0(전)"))</f>
        <v/>
      </c>
      <c r="P2598" s="45">
        <f>IF(COUNTIFS($C:$C,$C2598,$D:$D,"P0(후)",$L:$L,"&gt;0")&lt;&gt;1,"",SUMIFS($H:$H,$C:$C,$C2598,$D:$D,"P0(후)"))</f>
        <v/>
      </c>
      <c r="Q2598" s="30">
        <f>IF(COUNTIFS($C:$C,$C2598,$D:$D,"P0(후)",$L:$L,"&gt;0")&lt;&gt;1,"",SUMIFS($L:$L,$C:$C,$C2598,$D:$D,"P0(후)"))</f>
        <v/>
      </c>
      <c r="R2598" s="30">
        <f>IF(M2598&lt;&gt;"OK","",O2598+(Q2598-O2598)*(H2598-N2598)/(P2598-N2598))</f>
        <v/>
      </c>
      <c r="S2598" s="30">
        <f>IF(OR(M2598&lt;&gt;"OK",NOT(ISNUMBER(L2598))),"",L2598-R2598)</f>
        <v/>
      </c>
      <c r="T2598" s="46">
        <f>IF(OR(NOT(ISNUMBER(S2598)),IF(ISNUMBER(G2598),G2598,F2598)=0),"",S2598/IF(ISNUMBER(G2598),G2598,F2598))</f>
        <v/>
      </c>
      <c r="U2598" s="46">
        <f>IF(ISNUMBER(T2598),ABS(T2598),"")</f>
        <v/>
      </c>
      <c r="V2598" s="46">
        <f>IF(OR($D2597&lt;&gt;"측정",$C2597&lt;&gt;$C2598,NOT(ISNUMBER(L2598)),NOT(ISNUMBER(L2597)),(IF(ISNUMBER(G2598),G2598,F2598)-IF(ISNUMBER(G2597),G2597,F2597))=0),"",(L2598-L2597)/(IF(ISNUMBER(G2598),G2598,F2598)-IF(ISNUMBER(G2597),G2597,F2597)))</f>
        <v/>
      </c>
      <c r="W2598" s="30">
        <f>IF(NOT(AND(ISNUMBER(N2598),ISNUMBER(P2598))),"",(P2598-N2598)*1440)</f>
        <v/>
      </c>
      <c r="X2598" s="28" t="n"/>
      <c r="Y2598" s="28" t="n"/>
      <c r="Z2598" s="28" t="n"/>
      <c r="AA2598" s="31" t="n"/>
      <c r="AB2598" s="31" t="n"/>
    </row>
    <row r="2599">
      <c r="A2599" s="25" t="inlineStr">
        <is>
          <t>S50</t>
        </is>
      </c>
      <c r="B2599" s="25" t="inlineStr">
        <is>
          <t>함양</t>
        </is>
      </c>
      <c r="C2599" s="25" t="inlineStr">
        <is>
          <t>S50-H북</t>
        </is>
      </c>
      <c r="D2599" s="25" t="inlineStr">
        <is>
          <t>측정</t>
        </is>
      </c>
      <c r="E2599" s="25" t="inlineStr">
        <is>
          <t>북</t>
        </is>
      </c>
      <c r="F2599" s="30" t="n">
        <v>6</v>
      </c>
      <c r="G2599" s="29" t="n"/>
      <c r="H2599" s="42" t="n"/>
      <c r="I2599" s="40" t="n"/>
      <c r="J2599" s="40" t="n"/>
      <c r="K2599" s="40" t="n"/>
      <c r="L2599" s="30">
        <f>IF(COUNT(I2599:K2599)=0,"",MEDIAN(I2599:K2599))</f>
        <v/>
      </c>
      <c r="M2599" s="25">
        <f>IF(COUNTIFS($C:$C,$C2599,$D:$D,"P0(전)",$L:$L,"&gt;0")&lt;&gt;1,"P0(전) 유효 1개 아님",IF(COUNTIFS($C:$C,$C2599,$D:$D,"P0(후)",$L:$L,"&gt;0")&lt;&gt;1,"P0(후) 유효 1개 아님",IF(NOT(AND(ISNUMBER(N2599),ISNUMBER(P2599),ISNUMBER(H2599))),"시각 결측",IF(P2599&lt;=N2599,"P0 시각 역전",IF(OR(H2599&lt;N2599,H2599&gt;P2599),"측정시각 구간 밖","OK")))))</f>
        <v/>
      </c>
      <c r="N2599" s="45">
        <f>IF(COUNTIFS($C:$C,$C2599,$D:$D,"P0(전)",$L:$L,"&gt;0")&lt;&gt;1,"",SUMIFS($H:$H,$C:$C,$C2599,$D:$D,"P0(전)"))</f>
        <v/>
      </c>
      <c r="O2599" s="30">
        <f>IF(COUNTIFS($C:$C,$C2599,$D:$D,"P0(전)",$L:$L,"&gt;0")&lt;&gt;1,"",SUMIFS($L:$L,$C:$C,$C2599,$D:$D,"P0(전)"))</f>
        <v/>
      </c>
      <c r="P2599" s="45">
        <f>IF(COUNTIFS($C:$C,$C2599,$D:$D,"P0(후)",$L:$L,"&gt;0")&lt;&gt;1,"",SUMIFS($H:$H,$C:$C,$C2599,$D:$D,"P0(후)"))</f>
        <v/>
      </c>
      <c r="Q2599" s="30">
        <f>IF(COUNTIFS($C:$C,$C2599,$D:$D,"P0(후)",$L:$L,"&gt;0")&lt;&gt;1,"",SUMIFS($L:$L,$C:$C,$C2599,$D:$D,"P0(후)"))</f>
        <v/>
      </c>
      <c r="R2599" s="30">
        <f>IF(M2599&lt;&gt;"OK","",O2599+(Q2599-O2599)*(H2599-N2599)/(P2599-N2599))</f>
        <v/>
      </c>
      <c r="S2599" s="30">
        <f>IF(OR(M2599&lt;&gt;"OK",NOT(ISNUMBER(L2599))),"",L2599-R2599)</f>
        <v/>
      </c>
      <c r="T2599" s="46">
        <f>IF(OR(NOT(ISNUMBER(S2599)),IF(ISNUMBER(G2599),G2599,F2599)=0),"",S2599/IF(ISNUMBER(G2599),G2599,F2599))</f>
        <v/>
      </c>
      <c r="U2599" s="46">
        <f>IF(ISNUMBER(T2599),ABS(T2599),"")</f>
        <v/>
      </c>
      <c r="V2599" s="46">
        <f>IF(OR($D2598&lt;&gt;"측정",$C2598&lt;&gt;$C2599,NOT(ISNUMBER(L2599)),NOT(ISNUMBER(L2598)),(IF(ISNUMBER(G2599),G2599,F2599)-IF(ISNUMBER(G2598),G2598,F2598))=0),"",(L2599-L2598)/(IF(ISNUMBER(G2599),G2599,F2599)-IF(ISNUMBER(G2598),G2598,F2598)))</f>
        <v/>
      </c>
      <c r="W2599" s="30">
        <f>IF(NOT(AND(ISNUMBER(N2599),ISNUMBER(P2599))),"",(P2599-N2599)*1440)</f>
        <v/>
      </c>
      <c r="X2599" s="28" t="n"/>
      <c r="Y2599" s="28" t="n"/>
      <c r="Z2599" s="28" t="n"/>
      <c r="AA2599" s="31" t="n"/>
      <c r="AB2599" s="31" t="n"/>
    </row>
    <row r="2600">
      <c r="A2600" s="25" t="inlineStr">
        <is>
          <t>S50</t>
        </is>
      </c>
      <c r="B2600" s="25" t="inlineStr">
        <is>
          <t>함양</t>
        </is>
      </c>
      <c r="C2600" s="25" t="inlineStr">
        <is>
          <t>S50-H북</t>
        </is>
      </c>
      <c r="D2600" s="25" t="inlineStr">
        <is>
          <t>측정</t>
        </is>
      </c>
      <c r="E2600" s="25" t="inlineStr">
        <is>
          <t>북</t>
        </is>
      </c>
      <c r="F2600" s="30" t="n">
        <v>7</v>
      </c>
      <c r="G2600" s="29" t="n"/>
      <c r="H2600" s="42" t="n"/>
      <c r="I2600" s="40" t="n"/>
      <c r="J2600" s="40" t="n"/>
      <c r="K2600" s="40" t="n"/>
      <c r="L2600" s="30">
        <f>IF(COUNT(I2600:K2600)=0,"",MEDIAN(I2600:K2600))</f>
        <v/>
      </c>
      <c r="M2600" s="25">
        <f>IF(COUNTIFS($C:$C,$C2600,$D:$D,"P0(전)",$L:$L,"&gt;0")&lt;&gt;1,"P0(전) 유효 1개 아님",IF(COUNTIFS($C:$C,$C2600,$D:$D,"P0(후)",$L:$L,"&gt;0")&lt;&gt;1,"P0(후) 유효 1개 아님",IF(NOT(AND(ISNUMBER(N2600),ISNUMBER(P2600),ISNUMBER(H2600))),"시각 결측",IF(P2600&lt;=N2600,"P0 시각 역전",IF(OR(H2600&lt;N2600,H2600&gt;P2600),"측정시각 구간 밖","OK")))))</f>
        <v/>
      </c>
      <c r="N2600" s="45">
        <f>IF(COUNTIFS($C:$C,$C2600,$D:$D,"P0(전)",$L:$L,"&gt;0")&lt;&gt;1,"",SUMIFS($H:$H,$C:$C,$C2600,$D:$D,"P0(전)"))</f>
        <v/>
      </c>
      <c r="O2600" s="30">
        <f>IF(COUNTIFS($C:$C,$C2600,$D:$D,"P0(전)",$L:$L,"&gt;0")&lt;&gt;1,"",SUMIFS($L:$L,$C:$C,$C2600,$D:$D,"P0(전)"))</f>
        <v/>
      </c>
      <c r="P2600" s="45">
        <f>IF(COUNTIFS($C:$C,$C2600,$D:$D,"P0(후)",$L:$L,"&gt;0")&lt;&gt;1,"",SUMIFS($H:$H,$C:$C,$C2600,$D:$D,"P0(후)"))</f>
        <v/>
      </c>
      <c r="Q2600" s="30">
        <f>IF(COUNTIFS($C:$C,$C2600,$D:$D,"P0(후)",$L:$L,"&gt;0")&lt;&gt;1,"",SUMIFS($L:$L,$C:$C,$C2600,$D:$D,"P0(후)"))</f>
        <v/>
      </c>
      <c r="R2600" s="30">
        <f>IF(M2600&lt;&gt;"OK","",O2600+(Q2600-O2600)*(H2600-N2600)/(P2600-N2600))</f>
        <v/>
      </c>
      <c r="S2600" s="30">
        <f>IF(OR(M2600&lt;&gt;"OK",NOT(ISNUMBER(L2600))),"",L2600-R2600)</f>
        <v/>
      </c>
      <c r="T2600" s="46">
        <f>IF(OR(NOT(ISNUMBER(S2600)),IF(ISNUMBER(G2600),G2600,F2600)=0),"",S2600/IF(ISNUMBER(G2600),G2600,F2600))</f>
        <v/>
      </c>
      <c r="U2600" s="46">
        <f>IF(ISNUMBER(T2600),ABS(T2600),"")</f>
        <v/>
      </c>
      <c r="V2600" s="46">
        <f>IF(OR($D2599&lt;&gt;"측정",$C2599&lt;&gt;$C2600,NOT(ISNUMBER(L2600)),NOT(ISNUMBER(L2599)),(IF(ISNUMBER(G2600),G2600,F2600)-IF(ISNUMBER(G2599),G2599,F2599))=0),"",(L2600-L2599)/(IF(ISNUMBER(G2600),G2600,F2600)-IF(ISNUMBER(G2599),G2599,F2599)))</f>
        <v/>
      </c>
      <c r="W2600" s="30">
        <f>IF(NOT(AND(ISNUMBER(N2600),ISNUMBER(P2600))),"",(P2600-N2600)*1440)</f>
        <v/>
      </c>
      <c r="X2600" s="28" t="n"/>
      <c r="Y2600" s="28" t="n"/>
      <c r="Z2600" s="28" t="n"/>
      <c r="AA2600" s="31" t="n"/>
      <c r="AB2600" s="31" t="n"/>
    </row>
    <row r="2601">
      <c r="A2601" s="25" t="inlineStr">
        <is>
          <t>S50</t>
        </is>
      </c>
      <c r="B2601" s="25" t="inlineStr">
        <is>
          <t>함양</t>
        </is>
      </c>
      <c r="C2601" s="25" t="inlineStr">
        <is>
          <t>S50-H북</t>
        </is>
      </c>
      <c r="D2601" s="25" t="inlineStr">
        <is>
          <t>측정</t>
        </is>
      </c>
      <c r="E2601" s="25" t="inlineStr">
        <is>
          <t>북</t>
        </is>
      </c>
      <c r="F2601" s="30" t="n">
        <v>8</v>
      </c>
      <c r="G2601" s="29" t="n"/>
      <c r="H2601" s="42" t="n"/>
      <c r="I2601" s="40" t="n"/>
      <c r="J2601" s="40" t="n"/>
      <c r="K2601" s="40" t="n"/>
      <c r="L2601" s="30">
        <f>IF(COUNT(I2601:K2601)=0,"",MEDIAN(I2601:K2601))</f>
        <v/>
      </c>
      <c r="M2601" s="25">
        <f>IF(COUNTIFS($C:$C,$C2601,$D:$D,"P0(전)",$L:$L,"&gt;0")&lt;&gt;1,"P0(전) 유효 1개 아님",IF(COUNTIFS($C:$C,$C2601,$D:$D,"P0(후)",$L:$L,"&gt;0")&lt;&gt;1,"P0(후) 유효 1개 아님",IF(NOT(AND(ISNUMBER(N2601),ISNUMBER(P2601),ISNUMBER(H2601))),"시각 결측",IF(P2601&lt;=N2601,"P0 시각 역전",IF(OR(H2601&lt;N2601,H2601&gt;P2601),"측정시각 구간 밖","OK")))))</f>
        <v/>
      </c>
      <c r="N2601" s="45">
        <f>IF(COUNTIFS($C:$C,$C2601,$D:$D,"P0(전)",$L:$L,"&gt;0")&lt;&gt;1,"",SUMIFS($H:$H,$C:$C,$C2601,$D:$D,"P0(전)"))</f>
        <v/>
      </c>
      <c r="O2601" s="30">
        <f>IF(COUNTIFS($C:$C,$C2601,$D:$D,"P0(전)",$L:$L,"&gt;0")&lt;&gt;1,"",SUMIFS($L:$L,$C:$C,$C2601,$D:$D,"P0(전)"))</f>
        <v/>
      </c>
      <c r="P2601" s="45">
        <f>IF(COUNTIFS($C:$C,$C2601,$D:$D,"P0(후)",$L:$L,"&gt;0")&lt;&gt;1,"",SUMIFS($H:$H,$C:$C,$C2601,$D:$D,"P0(후)"))</f>
        <v/>
      </c>
      <c r="Q2601" s="30">
        <f>IF(COUNTIFS($C:$C,$C2601,$D:$D,"P0(후)",$L:$L,"&gt;0")&lt;&gt;1,"",SUMIFS($L:$L,$C:$C,$C2601,$D:$D,"P0(후)"))</f>
        <v/>
      </c>
      <c r="R2601" s="30">
        <f>IF(M2601&lt;&gt;"OK","",O2601+(Q2601-O2601)*(H2601-N2601)/(P2601-N2601))</f>
        <v/>
      </c>
      <c r="S2601" s="30">
        <f>IF(OR(M2601&lt;&gt;"OK",NOT(ISNUMBER(L2601))),"",L2601-R2601)</f>
        <v/>
      </c>
      <c r="T2601" s="46">
        <f>IF(OR(NOT(ISNUMBER(S2601)),IF(ISNUMBER(G2601),G2601,F2601)=0),"",S2601/IF(ISNUMBER(G2601),G2601,F2601))</f>
        <v/>
      </c>
      <c r="U2601" s="46">
        <f>IF(ISNUMBER(T2601),ABS(T2601),"")</f>
        <v/>
      </c>
      <c r="V2601" s="46">
        <f>IF(OR($D2600&lt;&gt;"측정",$C2600&lt;&gt;$C2601,NOT(ISNUMBER(L2601)),NOT(ISNUMBER(L2600)),(IF(ISNUMBER(G2601),G2601,F2601)-IF(ISNUMBER(G2600),G2600,F2600))=0),"",(L2601-L2600)/(IF(ISNUMBER(G2601),G2601,F2601)-IF(ISNUMBER(G2600),G2600,F2600)))</f>
        <v/>
      </c>
      <c r="W2601" s="30">
        <f>IF(NOT(AND(ISNUMBER(N2601),ISNUMBER(P2601))),"",(P2601-N2601)*1440)</f>
        <v/>
      </c>
      <c r="X2601" s="28" t="n"/>
      <c r="Y2601" s="28" t="n"/>
      <c r="Z2601" s="28" t="n"/>
      <c r="AA2601" s="31" t="n"/>
      <c r="AB2601" s="31" t="n"/>
    </row>
    <row r="2602">
      <c r="A2602" s="25" t="inlineStr">
        <is>
          <t>S50</t>
        </is>
      </c>
      <c r="B2602" s="25" t="inlineStr">
        <is>
          <t>함양</t>
        </is>
      </c>
      <c r="C2602" s="25" t="inlineStr">
        <is>
          <t>S50-H북</t>
        </is>
      </c>
      <c r="D2602" s="25" t="inlineStr">
        <is>
          <t>측정</t>
        </is>
      </c>
      <c r="E2602" s="25" t="inlineStr">
        <is>
          <t>북</t>
        </is>
      </c>
      <c r="F2602" s="30" t="n">
        <v>9</v>
      </c>
      <c r="G2602" s="29" t="n"/>
      <c r="H2602" s="42" t="n"/>
      <c r="I2602" s="40" t="n"/>
      <c r="J2602" s="40" t="n"/>
      <c r="K2602" s="40" t="n"/>
      <c r="L2602" s="30">
        <f>IF(COUNT(I2602:K2602)=0,"",MEDIAN(I2602:K2602))</f>
        <v/>
      </c>
      <c r="M2602" s="25">
        <f>IF(COUNTIFS($C:$C,$C2602,$D:$D,"P0(전)",$L:$L,"&gt;0")&lt;&gt;1,"P0(전) 유효 1개 아님",IF(COUNTIFS($C:$C,$C2602,$D:$D,"P0(후)",$L:$L,"&gt;0")&lt;&gt;1,"P0(후) 유효 1개 아님",IF(NOT(AND(ISNUMBER(N2602),ISNUMBER(P2602),ISNUMBER(H2602))),"시각 결측",IF(P2602&lt;=N2602,"P0 시각 역전",IF(OR(H2602&lt;N2602,H2602&gt;P2602),"측정시각 구간 밖","OK")))))</f>
        <v/>
      </c>
      <c r="N2602" s="45">
        <f>IF(COUNTIFS($C:$C,$C2602,$D:$D,"P0(전)",$L:$L,"&gt;0")&lt;&gt;1,"",SUMIFS($H:$H,$C:$C,$C2602,$D:$D,"P0(전)"))</f>
        <v/>
      </c>
      <c r="O2602" s="30">
        <f>IF(COUNTIFS($C:$C,$C2602,$D:$D,"P0(전)",$L:$L,"&gt;0")&lt;&gt;1,"",SUMIFS($L:$L,$C:$C,$C2602,$D:$D,"P0(전)"))</f>
        <v/>
      </c>
      <c r="P2602" s="45">
        <f>IF(COUNTIFS($C:$C,$C2602,$D:$D,"P0(후)",$L:$L,"&gt;0")&lt;&gt;1,"",SUMIFS($H:$H,$C:$C,$C2602,$D:$D,"P0(후)"))</f>
        <v/>
      </c>
      <c r="Q2602" s="30">
        <f>IF(COUNTIFS($C:$C,$C2602,$D:$D,"P0(후)",$L:$L,"&gt;0")&lt;&gt;1,"",SUMIFS($L:$L,$C:$C,$C2602,$D:$D,"P0(후)"))</f>
        <v/>
      </c>
      <c r="R2602" s="30">
        <f>IF(M2602&lt;&gt;"OK","",O2602+(Q2602-O2602)*(H2602-N2602)/(P2602-N2602))</f>
        <v/>
      </c>
      <c r="S2602" s="30">
        <f>IF(OR(M2602&lt;&gt;"OK",NOT(ISNUMBER(L2602))),"",L2602-R2602)</f>
        <v/>
      </c>
      <c r="T2602" s="46">
        <f>IF(OR(NOT(ISNUMBER(S2602)),IF(ISNUMBER(G2602),G2602,F2602)=0),"",S2602/IF(ISNUMBER(G2602),G2602,F2602))</f>
        <v/>
      </c>
      <c r="U2602" s="46">
        <f>IF(ISNUMBER(T2602),ABS(T2602),"")</f>
        <v/>
      </c>
      <c r="V2602" s="46">
        <f>IF(OR($D2601&lt;&gt;"측정",$C2601&lt;&gt;$C2602,NOT(ISNUMBER(L2602)),NOT(ISNUMBER(L2601)),(IF(ISNUMBER(G2602),G2602,F2602)-IF(ISNUMBER(G2601),G2601,F2601))=0),"",(L2602-L2601)/(IF(ISNUMBER(G2602),G2602,F2602)-IF(ISNUMBER(G2601),G2601,F2601)))</f>
        <v/>
      </c>
      <c r="W2602" s="30">
        <f>IF(NOT(AND(ISNUMBER(N2602),ISNUMBER(P2602))),"",(P2602-N2602)*1440)</f>
        <v/>
      </c>
      <c r="X2602" s="28" t="n"/>
      <c r="Y2602" s="28" t="n"/>
      <c r="Z2602" s="28" t="n"/>
      <c r="AA2602" s="31" t="n"/>
      <c r="AB2602" s="31" t="n"/>
    </row>
    <row r="2603">
      <c r="A2603" s="25" t="inlineStr">
        <is>
          <t>S50</t>
        </is>
      </c>
      <c r="B2603" s="25" t="inlineStr">
        <is>
          <t>함양</t>
        </is>
      </c>
      <c r="C2603" s="25" t="inlineStr">
        <is>
          <t>S50-H북</t>
        </is>
      </c>
      <c r="D2603" s="25" t="inlineStr">
        <is>
          <t>측정</t>
        </is>
      </c>
      <c r="E2603" s="25" t="inlineStr">
        <is>
          <t>북</t>
        </is>
      </c>
      <c r="F2603" s="30" t="n">
        <v>10</v>
      </c>
      <c r="G2603" s="29" t="n"/>
      <c r="H2603" s="42" t="n"/>
      <c r="I2603" s="40" t="n"/>
      <c r="J2603" s="40" t="n"/>
      <c r="K2603" s="40" t="n"/>
      <c r="L2603" s="30">
        <f>IF(COUNT(I2603:K2603)=0,"",MEDIAN(I2603:K2603))</f>
        <v/>
      </c>
      <c r="M2603" s="25">
        <f>IF(COUNTIFS($C:$C,$C2603,$D:$D,"P0(전)",$L:$L,"&gt;0")&lt;&gt;1,"P0(전) 유효 1개 아님",IF(COUNTIFS($C:$C,$C2603,$D:$D,"P0(후)",$L:$L,"&gt;0")&lt;&gt;1,"P0(후) 유효 1개 아님",IF(NOT(AND(ISNUMBER(N2603),ISNUMBER(P2603),ISNUMBER(H2603))),"시각 결측",IF(P2603&lt;=N2603,"P0 시각 역전",IF(OR(H2603&lt;N2603,H2603&gt;P2603),"측정시각 구간 밖","OK")))))</f>
        <v/>
      </c>
      <c r="N2603" s="45">
        <f>IF(COUNTIFS($C:$C,$C2603,$D:$D,"P0(전)",$L:$L,"&gt;0")&lt;&gt;1,"",SUMIFS($H:$H,$C:$C,$C2603,$D:$D,"P0(전)"))</f>
        <v/>
      </c>
      <c r="O2603" s="30">
        <f>IF(COUNTIFS($C:$C,$C2603,$D:$D,"P0(전)",$L:$L,"&gt;0")&lt;&gt;1,"",SUMIFS($L:$L,$C:$C,$C2603,$D:$D,"P0(전)"))</f>
        <v/>
      </c>
      <c r="P2603" s="45">
        <f>IF(COUNTIFS($C:$C,$C2603,$D:$D,"P0(후)",$L:$L,"&gt;0")&lt;&gt;1,"",SUMIFS($H:$H,$C:$C,$C2603,$D:$D,"P0(후)"))</f>
        <v/>
      </c>
      <c r="Q2603" s="30">
        <f>IF(COUNTIFS($C:$C,$C2603,$D:$D,"P0(후)",$L:$L,"&gt;0")&lt;&gt;1,"",SUMIFS($L:$L,$C:$C,$C2603,$D:$D,"P0(후)"))</f>
        <v/>
      </c>
      <c r="R2603" s="30">
        <f>IF(M2603&lt;&gt;"OK","",O2603+(Q2603-O2603)*(H2603-N2603)/(P2603-N2603))</f>
        <v/>
      </c>
      <c r="S2603" s="30">
        <f>IF(OR(M2603&lt;&gt;"OK",NOT(ISNUMBER(L2603))),"",L2603-R2603)</f>
        <v/>
      </c>
      <c r="T2603" s="46">
        <f>IF(OR(NOT(ISNUMBER(S2603)),IF(ISNUMBER(G2603),G2603,F2603)=0),"",S2603/IF(ISNUMBER(G2603),G2603,F2603))</f>
        <v/>
      </c>
      <c r="U2603" s="46">
        <f>IF(ISNUMBER(T2603),ABS(T2603),"")</f>
        <v/>
      </c>
      <c r="V2603" s="46">
        <f>IF(OR($D2602&lt;&gt;"측정",$C2602&lt;&gt;$C2603,NOT(ISNUMBER(L2603)),NOT(ISNUMBER(L2602)),(IF(ISNUMBER(G2603),G2603,F2603)-IF(ISNUMBER(G2602),G2602,F2602))=0),"",(L2603-L2602)/(IF(ISNUMBER(G2603),G2603,F2603)-IF(ISNUMBER(G2602),G2602,F2602)))</f>
        <v/>
      </c>
      <c r="W2603" s="30">
        <f>IF(NOT(AND(ISNUMBER(N2603),ISNUMBER(P2603))),"",(P2603-N2603)*1440)</f>
        <v/>
      </c>
      <c r="X2603" s="28" t="n"/>
      <c r="Y2603" s="28" t="n"/>
      <c r="Z2603" s="28" t="n"/>
      <c r="AA2603" s="31" t="n"/>
      <c r="AB2603" s="31" t="n"/>
    </row>
    <row r="2604">
      <c r="A2604" s="43" t="inlineStr">
        <is>
          <t>S50</t>
        </is>
      </c>
      <c r="B2604" s="43" t="inlineStr">
        <is>
          <t>함양</t>
        </is>
      </c>
      <c r="C2604" s="43" t="inlineStr">
        <is>
          <t>S50-H북</t>
        </is>
      </c>
      <c r="D2604" s="43" t="inlineStr">
        <is>
          <t>P0(후)</t>
        </is>
      </c>
      <c r="E2604" s="43" t="inlineStr">
        <is>
          <t>북</t>
        </is>
      </c>
      <c r="F2604" s="44" t="n"/>
      <c r="G2604" s="29" t="n"/>
      <c r="H2604" s="42" t="n"/>
      <c r="I2604" s="40" t="n"/>
      <c r="J2604" s="40" t="n"/>
      <c r="K2604" s="40" t="n"/>
      <c r="L2604" s="30">
        <f>IF(COUNT(I2604:K2604)=0,"",MEDIAN(I2604:K2604))</f>
        <v/>
      </c>
      <c r="M2604" s="37" t="n"/>
      <c r="N2604" s="37" t="n"/>
      <c r="O2604" s="37" t="n"/>
      <c r="P2604" s="37" t="n"/>
      <c r="Q2604" s="37" t="n"/>
      <c r="R2604" s="37" t="n"/>
      <c r="S2604" s="37" t="n"/>
      <c r="T2604" s="37" t="n"/>
      <c r="U2604" s="37" t="n"/>
      <c r="V2604" s="37" t="n"/>
      <c r="W2604" s="37" t="n"/>
      <c r="X2604" s="28" t="n"/>
      <c r="Y2604" s="28" t="n"/>
      <c r="Z2604" s="28" t="n"/>
      <c r="AA2604" s="31" t="n"/>
      <c r="AB2604" s="31" t="n"/>
    </row>
  </sheetData>
  <mergeCells count="3">
    <mergeCell ref="A3:AB3"/>
    <mergeCell ref="A2:AB2"/>
    <mergeCell ref="A1:AB1"/>
  </mergeCells>
  <dataValidations count="3">
    <dataValidation sqref="Z5:Z2604" showDropDown="0" showInputMessage="0" showErrorMessage="0" allowBlank="1" type="list">
      <formula1>"정상,중단,재시작,무효,PENDING"</formula1>
    </dataValidation>
    <dataValidation sqref="AB5:AB2604" showDropDown="0" showInputMessage="0" showErrorMessage="0" allowBlank="1" type="list">
      <formula1>"정상,NOT AVAILABLE,NOT OBSERVED,INVALID,NOT APPLICABLE,PENDING"</formula1>
    </dataValidation>
    <dataValidation sqref="I5:K2604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5" customWidth="1" min="6" max="6"/>
    <col width="13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4" customWidth="1" min="20" max="20"/>
    <col width="11" customWidth="1" min="21" max="21"/>
    <col width="12" customWidth="1" min="22" max="22"/>
    <col width="24" customWidth="1" min="23" max="23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33" customHeight="1">
      <c r="A3" s="3" t="inlineStr">
        <is>
          <t>⚠ 유럽 권고는 「수직 자기구배 점검」을 요구하나 **정량 임계를 제시하지 않았다.** 따라서 이 시트는 자동 판정에 쓰지 않고 기술지표(보정 F 프로파일·전 구간 범위·인접 높이 변화·비선형성)만 낸다. 실제 센서 «중심»높이와 측정기준면을 반드시 적을 것 — 목표 높이만으로는 재현되지 않는다.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명목 높이(cm)</t>
        </is>
      </c>
      <c r="F4" s="8" t="inlineStr">
        <is>
          <t>실제 센서 중심높이(cm)</t>
        </is>
      </c>
      <c r="G4" s="8" t="inlineStr">
        <is>
          <t>측정 기준면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기준(전) 시각
계산</t>
        </is>
      </c>
      <c r="O4" s="8" t="inlineStr">
        <is>
          <t>기준(전) F
계산</t>
        </is>
      </c>
      <c r="P4" s="8" t="inlineStr">
        <is>
          <t>기준(후) 시각
계산</t>
        </is>
      </c>
      <c r="Q4" s="8" t="inlineStr">
        <is>
          <t>기준(후) F
계산</t>
        </is>
      </c>
      <c r="R4" s="8" t="inlineStr">
        <is>
          <t>기준 추정값
계산</t>
        </is>
      </c>
      <c r="S4" s="8" t="inlineStr">
        <is>
          <t>ΔF(nT)
계산</t>
        </is>
      </c>
      <c r="T4" s="8" t="inlineStr">
        <is>
          <t>인접높이 변화율
(nT/m)
계산</t>
        </is>
      </c>
      <c r="U4" s="8" t="inlineStr">
        <is>
          <t>기기번호</t>
        </is>
      </c>
      <c r="V4" s="8" t="inlineStr">
        <is>
          <t>Set 상태</t>
        </is>
      </c>
      <c r="W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S01-V</t>
        </is>
      </c>
      <c r="D5" s="43" t="inlineStr">
        <is>
          <t>기준(전)</t>
        </is>
      </c>
      <c r="E5" s="47" t="n"/>
      <c r="F5" s="40" t="n"/>
      <c r="G5" s="28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28" t="n"/>
      <c r="V5" s="28" t="n"/>
      <c r="W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S01-V</t>
        </is>
      </c>
      <c r="D6" s="25" t="inlineStr">
        <is>
          <t>측정</t>
        </is>
      </c>
      <c r="E6" s="48" t="n">
        <v>20</v>
      </c>
      <c r="F6" s="40" t="n"/>
      <c r="G6" s="28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IF(COUNTIFS($C:$C,$C6,$D:$D,"기준(전)",$L:$L,"&gt;0")&lt;&gt;1,"기준(전) 유효 1개 아님",IF(COUNTIFS($C:$C,$C6,$D:$D,"기준(후)",$L:$L,"&gt;0")&lt;&gt;1,"기준(후) 유효 1개 아님",IF(NOT(AND(ISNUMBER(N6),ISNUMBER(P6),ISNUMBER(H6))),"시각 결측",IF(P6&lt;=N6,"기준 시각 역전",IF(OR(H6&lt;N6,H6&gt;P6),"측정시각 구간 밖","OK")))))</f>
        <v/>
      </c>
      <c r="N6" s="45">
        <f>IF(COUNTIFS($C:$C,$C6,$D:$D,"기준(전)",$L:$L,"&gt;0")&lt;&gt;1,"",SUMIFS($H:$H,$C:$C,$C6,$D:$D,"기준(전)"))</f>
        <v/>
      </c>
      <c r="O6" s="30">
        <f>IF(COUNTIFS($C:$C,$C6,$D:$D,"기준(전)",$L:$L,"&gt;0")&lt;&gt;1,"",SUMIFS($L:$L,$C:$C,$C6,$D:$D,"기준(전)"))</f>
        <v/>
      </c>
      <c r="P6" s="45">
        <f>IF(COUNTIFS($C:$C,$C6,$D:$D,"기준(후)",$L:$L,"&gt;0")&lt;&gt;1,"",SUMIFS($H:$H,$C:$C,$C6,$D:$D,"기준(후)"))</f>
        <v/>
      </c>
      <c r="Q6" s="30">
        <f>IF(COUNTIFS($C:$C,$C6,$D:$D,"기준(후)",$L:$L,"&gt;0")&lt;&gt;1,"",SUMIFS($L:$L,$C:$C,$C6,$D:$D,"기준(후)"))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IF(OR($D5&lt;&gt;"측정",$C5&lt;&gt;$C6,NOT(ISNUMBER(L6)),NOT(ISNUMBER(L5)),(IF(ISNUMBER(F6),F6,E6)-IF(ISNUMBER(F5),F5,E5))=0),"",(L6-L5)/((IF(ISNUMBER(F6),F6,E6)-IF(ISNUMBER(F5),F5,E5))/100))</f>
        <v/>
      </c>
      <c r="U6" s="28" t="n"/>
      <c r="V6" s="28" t="n"/>
      <c r="W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S01-V</t>
        </is>
      </c>
      <c r="D7" s="25" t="inlineStr">
        <is>
          <t>측정</t>
        </is>
      </c>
      <c r="E7" s="48" t="n">
        <v>40</v>
      </c>
      <c r="F7" s="40" t="n"/>
      <c r="G7" s="28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IF(COUNTIFS($C:$C,$C7,$D:$D,"기준(전)",$L:$L,"&gt;0")&lt;&gt;1,"기준(전) 유효 1개 아님",IF(COUNTIFS($C:$C,$C7,$D:$D,"기준(후)",$L:$L,"&gt;0")&lt;&gt;1,"기준(후) 유효 1개 아님",IF(NOT(AND(ISNUMBER(N7),ISNUMBER(P7),ISNUMBER(H7))),"시각 결측",IF(P7&lt;=N7,"기준 시각 역전",IF(OR(H7&lt;N7,H7&gt;P7),"측정시각 구간 밖","OK")))))</f>
        <v/>
      </c>
      <c r="N7" s="45">
        <f>IF(COUNTIFS($C:$C,$C7,$D:$D,"기준(전)",$L:$L,"&gt;0")&lt;&gt;1,"",SUMIFS($H:$H,$C:$C,$C7,$D:$D,"기준(전)"))</f>
        <v/>
      </c>
      <c r="O7" s="30">
        <f>IF(COUNTIFS($C:$C,$C7,$D:$D,"기준(전)",$L:$L,"&gt;0")&lt;&gt;1,"",SUMIFS($L:$L,$C:$C,$C7,$D:$D,"기준(전)"))</f>
        <v/>
      </c>
      <c r="P7" s="45">
        <f>IF(COUNTIFS($C:$C,$C7,$D:$D,"기준(후)",$L:$L,"&gt;0")&lt;&gt;1,"",SUMIFS($H:$H,$C:$C,$C7,$D:$D,"기준(후)"))</f>
        <v/>
      </c>
      <c r="Q7" s="30">
        <f>IF(COUNTIFS($C:$C,$C7,$D:$D,"기준(후)",$L:$L,"&gt;0")&lt;&gt;1,"",SUMIFS($L:$L,$C:$C,$C7,$D:$D,"기준(후)"))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IF(OR($D6&lt;&gt;"측정",$C6&lt;&gt;$C7,NOT(ISNUMBER(L7)),NOT(ISNUMBER(L6)),(IF(ISNUMBER(F7),F7,E7)-IF(ISNUMBER(F6),F6,E6))=0),"",(L7-L6)/((IF(ISNUMBER(F7),F7,E7)-IF(ISNUMBER(F6),F6,E6))/100))</f>
        <v/>
      </c>
      <c r="U7" s="28" t="n"/>
      <c r="V7" s="28" t="n"/>
      <c r="W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S01-V</t>
        </is>
      </c>
      <c r="D8" s="25" t="inlineStr">
        <is>
          <t>측정</t>
        </is>
      </c>
      <c r="E8" s="48" t="n">
        <v>60</v>
      </c>
      <c r="F8" s="40" t="n"/>
      <c r="G8" s="28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IF(COUNTIFS($C:$C,$C8,$D:$D,"기준(전)",$L:$L,"&gt;0")&lt;&gt;1,"기준(전) 유효 1개 아님",IF(COUNTIFS($C:$C,$C8,$D:$D,"기준(후)",$L:$L,"&gt;0")&lt;&gt;1,"기준(후) 유효 1개 아님",IF(NOT(AND(ISNUMBER(N8),ISNUMBER(P8),ISNUMBER(H8))),"시각 결측",IF(P8&lt;=N8,"기준 시각 역전",IF(OR(H8&lt;N8,H8&gt;P8),"측정시각 구간 밖","OK")))))</f>
        <v/>
      </c>
      <c r="N8" s="45">
        <f>IF(COUNTIFS($C:$C,$C8,$D:$D,"기준(전)",$L:$L,"&gt;0")&lt;&gt;1,"",SUMIFS($H:$H,$C:$C,$C8,$D:$D,"기준(전)"))</f>
        <v/>
      </c>
      <c r="O8" s="30">
        <f>IF(COUNTIFS($C:$C,$C8,$D:$D,"기준(전)",$L:$L,"&gt;0")&lt;&gt;1,"",SUMIFS($L:$L,$C:$C,$C8,$D:$D,"기준(전)"))</f>
        <v/>
      </c>
      <c r="P8" s="45">
        <f>IF(COUNTIFS($C:$C,$C8,$D:$D,"기준(후)",$L:$L,"&gt;0")&lt;&gt;1,"",SUMIFS($H:$H,$C:$C,$C8,$D:$D,"기준(후)"))</f>
        <v/>
      </c>
      <c r="Q8" s="30">
        <f>IF(COUNTIFS($C:$C,$C8,$D:$D,"기준(후)",$L:$L,"&gt;0")&lt;&gt;1,"",SUMIFS($L:$L,$C:$C,$C8,$D:$D,"기준(후)"))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IF(OR($D7&lt;&gt;"측정",$C7&lt;&gt;$C8,NOT(ISNUMBER(L8)),NOT(ISNUMBER(L7)),(IF(ISNUMBER(F8),F8,E8)-IF(ISNUMBER(F7),F7,E7))=0),"",(L8-L7)/((IF(ISNUMBER(F8),F8,E8)-IF(ISNUMBER(F7),F7,E7))/100))</f>
        <v/>
      </c>
      <c r="U8" s="28" t="n"/>
      <c r="V8" s="28" t="n"/>
      <c r="W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S01-V</t>
        </is>
      </c>
      <c r="D9" s="25" t="inlineStr">
        <is>
          <t>측정</t>
        </is>
      </c>
      <c r="E9" s="48" t="n">
        <v>80</v>
      </c>
      <c r="F9" s="40" t="n"/>
      <c r="G9" s="28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IF(COUNTIFS($C:$C,$C9,$D:$D,"기준(전)",$L:$L,"&gt;0")&lt;&gt;1,"기준(전) 유효 1개 아님",IF(COUNTIFS($C:$C,$C9,$D:$D,"기준(후)",$L:$L,"&gt;0")&lt;&gt;1,"기준(후) 유효 1개 아님",IF(NOT(AND(ISNUMBER(N9),ISNUMBER(P9),ISNUMBER(H9))),"시각 결측",IF(P9&lt;=N9,"기준 시각 역전",IF(OR(H9&lt;N9,H9&gt;P9),"측정시각 구간 밖","OK")))))</f>
        <v/>
      </c>
      <c r="N9" s="45">
        <f>IF(COUNTIFS($C:$C,$C9,$D:$D,"기준(전)",$L:$L,"&gt;0")&lt;&gt;1,"",SUMIFS($H:$H,$C:$C,$C9,$D:$D,"기준(전)"))</f>
        <v/>
      </c>
      <c r="O9" s="30">
        <f>IF(COUNTIFS($C:$C,$C9,$D:$D,"기준(전)",$L:$L,"&gt;0")&lt;&gt;1,"",SUMIFS($L:$L,$C:$C,$C9,$D:$D,"기준(전)"))</f>
        <v/>
      </c>
      <c r="P9" s="45">
        <f>IF(COUNTIFS($C:$C,$C9,$D:$D,"기준(후)",$L:$L,"&gt;0")&lt;&gt;1,"",SUMIFS($H:$H,$C:$C,$C9,$D:$D,"기준(후)"))</f>
        <v/>
      </c>
      <c r="Q9" s="30">
        <f>IF(COUNTIFS($C:$C,$C9,$D:$D,"기준(후)",$L:$L,"&gt;0")&lt;&gt;1,"",SUMIFS($L:$L,$C:$C,$C9,$D:$D,"기준(후)"))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IF(OR($D8&lt;&gt;"측정",$C8&lt;&gt;$C9,NOT(ISNUMBER(L9)),NOT(ISNUMBER(L8)),(IF(ISNUMBER(F9),F9,E9)-IF(ISNUMBER(F8),F8,E8))=0),"",(L9-L8)/((IF(ISNUMBER(F9),F9,E9)-IF(ISNUMBER(F8),F8,E8))/100))</f>
        <v/>
      </c>
      <c r="U9" s="28" t="n"/>
      <c r="V9" s="28" t="n"/>
      <c r="W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S01-V</t>
        </is>
      </c>
      <c r="D10" s="25" t="inlineStr">
        <is>
          <t>측정</t>
        </is>
      </c>
      <c r="E10" s="48" t="n">
        <v>100</v>
      </c>
      <c r="F10" s="40" t="n"/>
      <c r="G10" s="28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IF(COUNTIFS($C:$C,$C10,$D:$D,"기준(전)",$L:$L,"&gt;0")&lt;&gt;1,"기준(전) 유효 1개 아님",IF(COUNTIFS($C:$C,$C10,$D:$D,"기준(후)",$L:$L,"&gt;0")&lt;&gt;1,"기준(후) 유효 1개 아님",IF(NOT(AND(ISNUMBER(N10),ISNUMBER(P10),ISNUMBER(H10))),"시각 결측",IF(P10&lt;=N10,"기준 시각 역전",IF(OR(H10&lt;N10,H10&gt;P10),"측정시각 구간 밖","OK")))))</f>
        <v/>
      </c>
      <c r="N10" s="45">
        <f>IF(COUNTIFS($C:$C,$C10,$D:$D,"기준(전)",$L:$L,"&gt;0")&lt;&gt;1,"",SUMIFS($H:$H,$C:$C,$C10,$D:$D,"기준(전)"))</f>
        <v/>
      </c>
      <c r="O10" s="30">
        <f>IF(COUNTIFS($C:$C,$C10,$D:$D,"기준(전)",$L:$L,"&gt;0")&lt;&gt;1,"",SUMIFS($L:$L,$C:$C,$C10,$D:$D,"기준(전)"))</f>
        <v/>
      </c>
      <c r="P10" s="45">
        <f>IF(COUNTIFS($C:$C,$C10,$D:$D,"기준(후)",$L:$L,"&gt;0")&lt;&gt;1,"",SUMIFS($H:$H,$C:$C,$C10,$D:$D,"기준(후)"))</f>
        <v/>
      </c>
      <c r="Q10" s="30">
        <f>IF(COUNTIFS($C:$C,$C10,$D:$D,"기준(후)",$L:$L,"&gt;0")&lt;&gt;1,"",SUMIFS($L:$L,$C:$C,$C10,$D:$D,"기준(후)"))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IF(OR($D9&lt;&gt;"측정",$C9&lt;&gt;$C10,NOT(ISNUMBER(L10)),NOT(ISNUMBER(L9)),(IF(ISNUMBER(F10),F10,E10)-IF(ISNUMBER(F9),F9,E9))=0),"",(L10-L9)/((IF(ISNUMBER(F10),F10,E10)-IF(ISNUMBER(F9),F9,E9))/100))</f>
        <v/>
      </c>
      <c r="U10" s="28" t="n"/>
      <c r="V10" s="28" t="n"/>
      <c r="W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S01-V</t>
        </is>
      </c>
      <c r="D11" s="25" t="inlineStr">
        <is>
          <t>측정</t>
        </is>
      </c>
      <c r="E11" s="48" t="n">
        <v>120</v>
      </c>
      <c r="F11" s="40" t="n"/>
      <c r="G11" s="28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IF(COUNTIFS($C:$C,$C11,$D:$D,"기준(전)",$L:$L,"&gt;0")&lt;&gt;1,"기준(전) 유효 1개 아님",IF(COUNTIFS($C:$C,$C11,$D:$D,"기준(후)",$L:$L,"&gt;0")&lt;&gt;1,"기준(후) 유효 1개 아님",IF(NOT(AND(ISNUMBER(N11),ISNUMBER(P11),ISNUMBER(H11))),"시각 결측",IF(P11&lt;=N11,"기준 시각 역전",IF(OR(H11&lt;N11,H11&gt;P11),"측정시각 구간 밖","OK")))))</f>
        <v/>
      </c>
      <c r="N11" s="45">
        <f>IF(COUNTIFS($C:$C,$C11,$D:$D,"기준(전)",$L:$L,"&gt;0")&lt;&gt;1,"",SUMIFS($H:$H,$C:$C,$C11,$D:$D,"기준(전)"))</f>
        <v/>
      </c>
      <c r="O11" s="30">
        <f>IF(COUNTIFS($C:$C,$C11,$D:$D,"기준(전)",$L:$L,"&gt;0")&lt;&gt;1,"",SUMIFS($L:$L,$C:$C,$C11,$D:$D,"기준(전)"))</f>
        <v/>
      </c>
      <c r="P11" s="45">
        <f>IF(COUNTIFS($C:$C,$C11,$D:$D,"기준(후)",$L:$L,"&gt;0")&lt;&gt;1,"",SUMIFS($H:$H,$C:$C,$C11,$D:$D,"기준(후)"))</f>
        <v/>
      </c>
      <c r="Q11" s="30">
        <f>IF(COUNTIFS($C:$C,$C11,$D:$D,"기준(후)",$L:$L,"&gt;0")&lt;&gt;1,"",SUMIFS($L:$L,$C:$C,$C11,$D:$D,"기준(후)"))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IF(OR($D10&lt;&gt;"측정",$C10&lt;&gt;$C11,NOT(ISNUMBER(L11)),NOT(ISNUMBER(L10)),(IF(ISNUMBER(F11),F11,E11)-IF(ISNUMBER(F10),F10,E10))=0),"",(L11-L10)/((IF(ISNUMBER(F11),F11,E11)-IF(ISNUMBER(F10),F10,E10))/100))</f>
        <v/>
      </c>
      <c r="U11" s="28" t="n"/>
      <c r="V11" s="28" t="n"/>
      <c r="W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S01-V</t>
        </is>
      </c>
      <c r="D12" s="25" t="inlineStr">
        <is>
          <t>측정</t>
        </is>
      </c>
      <c r="E12" s="48" t="n">
        <v>140</v>
      </c>
      <c r="F12" s="40" t="n"/>
      <c r="G12" s="28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IF(COUNTIFS($C:$C,$C12,$D:$D,"기준(전)",$L:$L,"&gt;0")&lt;&gt;1,"기준(전) 유효 1개 아님",IF(COUNTIFS($C:$C,$C12,$D:$D,"기준(후)",$L:$L,"&gt;0")&lt;&gt;1,"기준(후) 유효 1개 아님",IF(NOT(AND(ISNUMBER(N12),ISNUMBER(P12),ISNUMBER(H12))),"시각 결측",IF(P12&lt;=N12,"기준 시각 역전",IF(OR(H12&lt;N12,H12&gt;P12),"측정시각 구간 밖","OK")))))</f>
        <v/>
      </c>
      <c r="N12" s="45">
        <f>IF(COUNTIFS($C:$C,$C12,$D:$D,"기준(전)",$L:$L,"&gt;0")&lt;&gt;1,"",SUMIFS($H:$H,$C:$C,$C12,$D:$D,"기준(전)"))</f>
        <v/>
      </c>
      <c r="O12" s="30">
        <f>IF(COUNTIFS($C:$C,$C12,$D:$D,"기준(전)",$L:$L,"&gt;0")&lt;&gt;1,"",SUMIFS($L:$L,$C:$C,$C12,$D:$D,"기준(전)"))</f>
        <v/>
      </c>
      <c r="P12" s="45">
        <f>IF(COUNTIFS($C:$C,$C12,$D:$D,"기준(후)",$L:$L,"&gt;0")&lt;&gt;1,"",SUMIFS($H:$H,$C:$C,$C12,$D:$D,"기준(후)"))</f>
        <v/>
      </c>
      <c r="Q12" s="30">
        <f>IF(COUNTIFS($C:$C,$C12,$D:$D,"기준(후)",$L:$L,"&gt;0")&lt;&gt;1,"",SUMIFS($L:$L,$C:$C,$C12,$D:$D,"기준(후)"))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IF(OR($D11&lt;&gt;"측정",$C11&lt;&gt;$C12,NOT(ISNUMBER(L12)),NOT(ISNUMBER(L11)),(IF(ISNUMBER(F12),F12,E12)-IF(ISNUMBER(F11),F11,E11))=0),"",(L12-L11)/((IF(ISNUMBER(F12),F12,E12)-IF(ISNUMBER(F11),F11,E11))/100))</f>
        <v/>
      </c>
      <c r="U12" s="28" t="n"/>
      <c r="V12" s="28" t="n"/>
      <c r="W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S01-V</t>
        </is>
      </c>
      <c r="D13" s="25" t="inlineStr">
        <is>
          <t>측정</t>
        </is>
      </c>
      <c r="E13" s="48" t="n">
        <v>160</v>
      </c>
      <c r="F13" s="40" t="n"/>
      <c r="G13" s="28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IF(COUNTIFS($C:$C,$C13,$D:$D,"기준(전)",$L:$L,"&gt;0")&lt;&gt;1,"기준(전) 유효 1개 아님",IF(COUNTIFS($C:$C,$C13,$D:$D,"기준(후)",$L:$L,"&gt;0")&lt;&gt;1,"기준(후) 유효 1개 아님",IF(NOT(AND(ISNUMBER(N13),ISNUMBER(P13),ISNUMBER(H13))),"시각 결측",IF(P13&lt;=N13,"기준 시각 역전",IF(OR(H13&lt;N13,H13&gt;P13),"측정시각 구간 밖","OK")))))</f>
        <v/>
      </c>
      <c r="N13" s="45">
        <f>IF(COUNTIFS($C:$C,$C13,$D:$D,"기준(전)",$L:$L,"&gt;0")&lt;&gt;1,"",SUMIFS($H:$H,$C:$C,$C13,$D:$D,"기준(전)"))</f>
        <v/>
      </c>
      <c r="O13" s="30">
        <f>IF(COUNTIFS($C:$C,$C13,$D:$D,"기준(전)",$L:$L,"&gt;0")&lt;&gt;1,"",SUMIFS($L:$L,$C:$C,$C13,$D:$D,"기준(전)"))</f>
        <v/>
      </c>
      <c r="P13" s="45">
        <f>IF(COUNTIFS($C:$C,$C13,$D:$D,"기준(후)",$L:$L,"&gt;0")&lt;&gt;1,"",SUMIFS($H:$H,$C:$C,$C13,$D:$D,"기준(후)"))</f>
        <v/>
      </c>
      <c r="Q13" s="30">
        <f>IF(COUNTIFS($C:$C,$C13,$D:$D,"기준(후)",$L:$L,"&gt;0")&lt;&gt;1,"",SUMIFS($L:$L,$C:$C,$C13,$D:$D,"기준(후)"))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IF(OR($D12&lt;&gt;"측정",$C12&lt;&gt;$C13,NOT(ISNUMBER(L13)),NOT(ISNUMBER(L12)),(IF(ISNUMBER(F13),F13,E13)-IF(ISNUMBER(F12),F12,E12))=0),"",(L13-L12)/((IF(ISNUMBER(F13),F13,E13)-IF(ISNUMBER(F12),F12,E12))/100))</f>
        <v/>
      </c>
      <c r="U13" s="28" t="n"/>
      <c r="V13" s="28" t="n"/>
      <c r="W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S01-V</t>
        </is>
      </c>
      <c r="D14" s="25" t="inlineStr">
        <is>
          <t>측정</t>
        </is>
      </c>
      <c r="E14" s="48" t="n">
        <v>180</v>
      </c>
      <c r="F14" s="40" t="n"/>
      <c r="G14" s="28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IF(COUNTIFS($C:$C,$C14,$D:$D,"기준(전)",$L:$L,"&gt;0")&lt;&gt;1,"기준(전) 유효 1개 아님",IF(COUNTIFS($C:$C,$C14,$D:$D,"기준(후)",$L:$L,"&gt;0")&lt;&gt;1,"기준(후) 유효 1개 아님",IF(NOT(AND(ISNUMBER(N14),ISNUMBER(P14),ISNUMBER(H14))),"시각 결측",IF(P14&lt;=N14,"기준 시각 역전",IF(OR(H14&lt;N14,H14&gt;P14),"측정시각 구간 밖","OK")))))</f>
        <v/>
      </c>
      <c r="N14" s="45">
        <f>IF(COUNTIFS($C:$C,$C14,$D:$D,"기준(전)",$L:$L,"&gt;0")&lt;&gt;1,"",SUMIFS($H:$H,$C:$C,$C14,$D:$D,"기준(전)"))</f>
        <v/>
      </c>
      <c r="O14" s="30">
        <f>IF(COUNTIFS($C:$C,$C14,$D:$D,"기준(전)",$L:$L,"&gt;0")&lt;&gt;1,"",SUMIFS($L:$L,$C:$C,$C14,$D:$D,"기준(전)"))</f>
        <v/>
      </c>
      <c r="P14" s="45">
        <f>IF(COUNTIFS($C:$C,$C14,$D:$D,"기준(후)",$L:$L,"&gt;0")&lt;&gt;1,"",SUMIFS($H:$H,$C:$C,$C14,$D:$D,"기준(후)"))</f>
        <v/>
      </c>
      <c r="Q14" s="30">
        <f>IF(COUNTIFS($C:$C,$C14,$D:$D,"기준(후)",$L:$L,"&gt;0")&lt;&gt;1,"",SUMIFS($L:$L,$C:$C,$C14,$D:$D,"기준(후)"))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IF(OR($D13&lt;&gt;"측정",$C13&lt;&gt;$C14,NOT(ISNUMBER(L14)),NOT(ISNUMBER(L13)),(IF(ISNUMBER(F14),F14,E14)-IF(ISNUMBER(F13),F13,E13))=0),"",(L14-L13)/((IF(ISNUMBER(F14),F14,E14)-IF(ISNUMBER(F13),F13,E13))/100))</f>
        <v/>
      </c>
      <c r="U14" s="28" t="n"/>
      <c r="V14" s="28" t="n"/>
      <c r="W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S01-V</t>
        </is>
      </c>
      <c r="D15" s="25" t="inlineStr">
        <is>
          <t>측정</t>
        </is>
      </c>
      <c r="E15" s="48" t="n">
        <v>200</v>
      </c>
      <c r="F15" s="40" t="n"/>
      <c r="G15" s="28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IF(COUNTIFS($C:$C,$C15,$D:$D,"기준(전)",$L:$L,"&gt;0")&lt;&gt;1,"기준(전) 유효 1개 아님",IF(COUNTIFS($C:$C,$C15,$D:$D,"기준(후)",$L:$L,"&gt;0")&lt;&gt;1,"기준(후) 유효 1개 아님",IF(NOT(AND(ISNUMBER(N15),ISNUMBER(P15),ISNUMBER(H15))),"시각 결측",IF(P15&lt;=N15,"기준 시각 역전",IF(OR(H15&lt;N15,H15&gt;P15),"측정시각 구간 밖","OK")))))</f>
        <v/>
      </c>
      <c r="N15" s="45">
        <f>IF(COUNTIFS($C:$C,$C15,$D:$D,"기준(전)",$L:$L,"&gt;0")&lt;&gt;1,"",SUMIFS($H:$H,$C:$C,$C15,$D:$D,"기준(전)"))</f>
        <v/>
      </c>
      <c r="O15" s="30">
        <f>IF(COUNTIFS($C:$C,$C15,$D:$D,"기준(전)",$L:$L,"&gt;0")&lt;&gt;1,"",SUMIFS($L:$L,$C:$C,$C15,$D:$D,"기준(전)"))</f>
        <v/>
      </c>
      <c r="P15" s="45">
        <f>IF(COUNTIFS($C:$C,$C15,$D:$D,"기준(후)",$L:$L,"&gt;0")&lt;&gt;1,"",SUMIFS($H:$H,$C:$C,$C15,$D:$D,"기준(후)"))</f>
        <v/>
      </c>
      <c r="Q15" s="30">
        <f>IF(COUNTIFS($C:$C,$C15,$D:$D,"기준(후)",$L:$L,"&gt;0")&lt;&gt;1,"",SUMIFS($L:$L,$C:$C,$C15,$D:$D,"기준(후)"))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IF(OR($D14&lt;&gt;"측정",$C14&lt;&gt;$C15,NOT(ISNUMBER(L15)),NOT(ISNUMBER(L14)),(IF(ISNUMBER(F15),F15,E15)-IF(ISNUMBER(F14),F14,E14))=0),"",(L15-L14)/((IF(ISNUMBER(F15),F15,E15)-IF(ISNUMBER(F14),F14,E14))/100))</f>
        <v/>
      </c>
      <c r="U15" s="28" t="n"/>
      <c r="V15" s="28" t="n"/>
      <c r="W15" s="31" t="n"/>
    </row>
    <row r="16">
      <c r="A16" s="43" t="inlineStr">
        <is>
          <t>S01</t>
        </is>
      </c>
      <c r="B16" s="43" t="inlineStr">
        <is>
          <t>태백 신규점</t>
        </is>
      </c>
      <c r="C16" s="43" t="inlineStr">
        <is>
          <t>S01-V</t>
        </is>
      </c>
      <c r="D16" s="43" t="inlineStr">
        <is>
          <t>기준(후)</t>
        </is>
      </c>
      <c r="E16" s="47" t="n"/>
      <c r="F16" s="40" t="n"/>
      <c r="G16" s="28" t="n"/>
      <c r="H16" s="42" t="n"/>
      <c r="I16" s="40" t="n"/>
      <c r="J16" s="40" t="n"/>
      <c r="K16" s="40" t="n"/>
      <c r="L16" s="30">
        <f>IF(COUNT(I16:K16)=0,"",MEDIAN(I16:K16))</f>
        <v/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28" t="n"/>
      <c r="V16" s="28" t="n"/>
      <c r="W16" s="31" t="n"/>
    </row>
    <row r="17">
      <c r="A17" s="43" t="inlineStr">
        <is>
          <t>S02</t>
        </is>
      </c>
      <c r="B17" s="43" t="inlineStr">
        <is>
          <t>임계 신규점1</t>
        </is>
      </c>
      <c r="C17" s="43" t="inlineStr">
        <is>
          <t>S02-V</t>
        </is>
      </c>
      <c r="D17" s="43" t="inlineStr">
        <is>
          <t>기준(전)</t>
        </is>
      </c>
      <c r="E17" s="47" t="n"/>
      <c r="F17" s="40" t="n"/>
      <c r="G17" s="28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28" t="n"/>
      <c r="V17" s="28" t="n"/>
      <c r="W17" s="31" t="n"/>
    </row>
    <row r="18">
      <c r="A18" s="25" t="inlineStr">
        <is>
          <t>S02</t>
        </is>
      </c>
      <c r="B18" s="25" t="inlineStr">
        <is>
          <t>임계 신규점1</t>
        </is>
      </c>
      <c r="C18" s="25" t="inlineStr">
        <is>
          <t>S02-V</t>
        </is>
      </c>
      <c r="D18" s="25" t="inlineStr">
        <is>
          <t>측정</t>
        </is>
      </c>
      <c r="E18" s="48" t="n">
        <v>20</v>
      </c>
      <c r="F18" s="40" t="n"/>
      <c r="G18" s="28" t="n"/>
      <c r="H18" s="42" t="n"/>
      <c r="I18" s="40" t="n"/>
      <c r="J18" s="40" t="n"/>
      <c r="K18" s="40" t="n"/>
      <c r="L18" s="30">
        <f>IF(COUNT(I18:K18)=0,"",MEDIAN(I18:K18))</f>
        <v/>
      </c>
      <c r="M18" s="25">
        <f>IF(COUNTIFS($C:$C,$C18,$D:$D,"기준(전)",$L:$L,"&gt;0")&lt;&gt;1,"기준(전) 유효 1개 아님",IF(COUNTIFS($C:$C,$C18,$D:$D,"기준(후)",$L:$L,"&gt;0")&lt;&gt;1,"기준(후) 유효 1개 아님",IF(NOT(AND(ISNUMBER(N18),ISNUMBER(P18),ISNUMBER(H18))),"시각 결측",IF(P18&lt;=N18,"기준 시각 역전",IF(OR(H18&lt;N18,H18&gt;P18),"측정시각 구간 밖","OK")))))</f>
        <v/>
      </c>
      <c r="N18" s="45">
        <f>IF(COUNTIFS($C:$C,$C18,$D:$D,"기준(전)",$L:$L,"&gt;0")&lt;&gt;1,"",SUMIFS($H:$H,$C:$C,$C18,$D:$D,"기준(전)"))</f>
        <v/>
      </c>
      <c r="O18" s="30">
        <f>IF(COUNTIFS($C:$C,$C18,$D:$D,"기준(전)",$L:$L,"&gt;0")&lt;&gt;1,"",SUMIFS($L:$L,$C:$C,$C18,$D:$D,"기준(전)"))</f>
        <v/>
      </c>
      <c r="P18" s="45">
        <f>IF(COUNTIFS($C:$C,$C18,$D:$D,"기준(후)",$L:$L,"&gt;0")&lt;&gt;1,"",SUMIFS($H:$H,$C:$C,$C18,$D:$D,"기준(후)"))</f>
        <v/>
      </c>
      <c r="Q18" s="30">
        <f>IF(COUNTIFS($C:$C,$C18,$D:$D,"기준(후)",$L:$L,"&gt;0")&lt;&gt;1,"",SUMIFS($L:$L,$C:$C,$C18,$D:$D,"기준(후)"))</f>
        <v/>
      </c>
      <c r="R18" s="30">
        <f>IF(M18&lt;&gt;"OK","",O18+(Q18-O18)*(H18-N18)/(P18-N18))</f>
        <v/>
      </c>
      <c r="S18" s="30">
        <f>IF(OR(M18&lt;&gt;"OK",NOT(ISNUMBER(L18))),"",L18-R18)</f>
        <v/>
      </c>
      <c r="T18" s="46">
        <f>IF(OR($D17&lt;&gt;"측정",$C17&lt;&gt;$C18,NOT(ISNUMBER(L18)),NOT(ISNUMBER(L17)),(IF(ISNUMBER(F18),F18,E18)-IF(ISNUMBER(F17),F17,E17))=0),"",(L18-L17)/((IF(ISNUMBER(F18),F18,E18)-IF(ISNUMBER(F17),F17,E17))/100))</f>
        <v/>
      </c>
      <c r="U18" s="28" t="n"/>
      <c r="V18" s="28" t="n"/>
      <c r="W18" s="31" t="n"/>
    </row>
    <row r="19">
      <c r="A19" s="25" t="inlineStr">
        <is>
          <t>S02</t>
        </is>
      </c>
      <c r="B19" s="25" t="inlineStr">
        <is>
          <t>임계 신규점1</t>
        </is>
      </c>
      <c r="C19" s="25" t="inlineStr">
        <is>
          <t>S02-V</t>
        </is>
      </c>
      <c r="D19" s="25" t="inlineStr">
        <is>
          <t>측정</t>
        </is>
      </c>
      <c r="E19" s="48" t="n">
        <v>40</v>
      </c>
      <c r="F19" s="40" t="n"/>
      <c r="G19" s="28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IF(COUNTIFS($C:$C,$C19,$D:$D,"기준(전)",$L:$L,"&gt;0")&lt;&gt;1,"기준(전) 유효 1개 아님",IF(COUNTIFS($C:$C,$C19,$D:$D,"기준(후)",$L:$L,"&gt;0")&lt;&gt;1,"기준(후) 유효 1개 아님",IF(NOT(AND(ISNUMBER(N19),ISNUMBER(P19),ISNUMBER(H19))),"시각 결측",IF(P19&lt;=N19,"기준 시각 역전",IF(OR(H19&lt;N19,H19&gt;P19),"측정시각 구간 밖","OK")))))</f>
        <v/>
      </c>
      <c r="N19" s="45">
        <f>IF(COUNTIFS($C:$C,$C19,$D:$D,"기준(전)",$L:$L,"&gt;0")&lt;&gt;1,"",SUMIFS($H:$H,$C:$C,$C19,$D:$D,"기준(전)"))</f>
        <v/>
      </c>
      <c r="O19" s="30">
        <f>IF(COUNTIFS($C:$C,$C19,$D:$D,"기준(전)",$L:$L,"&gt;0")&lt;&gt;1,"",SUMIFS($L:$L,$C:$C,$C19,$D:$D,"기준(전)"))</f>
        <v/>
      </c>
      <c r="P19" s="45">
        <f>IF(COUNTIFS($C:$C,$C19,$D:$D,"기준(후)",$L:$L,"&gt;0")&lt;&gt;1,"",SUMIFS($H:$H,$C:$C,$C19,$D:$D,"기준(후)"))</f>
        <v/>
      </c>
      <c r="Q19" s="30">
        <f>IF(COUNTIFS($C:$C,$C19,$D:$D,"기준(후)",$L:$L,"&gt;0")&lt;&gt;1,"",SUMIFS($L:$L,$C:$C,$C19,$D:$D,"기준(후)"))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IF(OR($D18&lt;&gt;"측정",$C18&lt;&gt;$C19,NOT(ISNUMBER(L19)),NOT(ISNUMBER(L18)),(IF(ISNUMBER(F19),F19,E19)-IF(ISNUMBER(F18),F18,E18))=0),"",(L19-L18)/((IF(ISNUMBER(F19),F19,E19)-IF(ISNUMBER(F18),F18,E18))/100))</f>
        <v/>
      </c>
      <c r="U19" s="28" t="n"/>
      <c r="V19" s="28" t="n"/>
      <c r="W19" s="31" t="n"/>
    </row>
    <row r="20">
      <c r="A20" s="25" t="inlineStr">
        <is>
          <t>S02</t>
        </is>
      </c>
      <c r="B20" s="25" t="inlineStr">
        <is>
          <t>임계 신규점1</t>
        </is>
      </c>
      <c r="C20" s="25" t="inlineStr">
        <is>
          <t>S02-V</t>
        </is>
      </c>
      <c r="D20" s="25" t="inlineStr">
        <is>
          <t>측정</t>
        </is>
      </c>
      <c r="E20" s="48" t="n">
        <v>60</v>
      </c>
      <c r="F20" s="40" t="n"/>
      <c r="G20" s="28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IF(COUNTIFS($C:$C,$C20,$D:$D,"기준(전)",$L:$L,"&gt;0")&lt;&gt;1,"기준(전) 유효 1개 아님",IF(COUNTIFS($C:$C,$C20,$D:$D,"기준(후)",$L:$L,"&gt;0")&lt;&gt;1,"기준(후) 유효 1개 아님",IF(NOT(AND(ISNUMBER(N20),ISNUMBER(P20),ISNUMBER(H20))),"시각 결측",IF(P20&lt;=N20,"기준 시각 역전",IF(OR(H20&lt;N20,H20&gt;P20),"측정시각 구간 밖","OK")))))</f>
        <v/>
      </c>
      <c r="N20" s="45">
        <f>IF(COUNTIFS($C:$C,$C20,$D:$D,"기준(전)",$L:$L,"&gt;0")&lt;&gt;1,"",SUMIFS($H:$H,$C:$C,$C20,$D:$D,"기준(전)"))</f>
        <v/>
      </c>
      <c r="O20" s="30">
        <f>IF(COUNTIFS($C:$C,$C20,$D:$D,"기준(전)",$L:$L,"&gt;0")&lt;&gt;1,"",SUMIFS($L:$L,$C:$C,$C20,$D:$D,"기준(전)"))</f>
        <v/>
      </c>
      <c r="P20" s="45">
        <f>IF(COUNTIFS($C:$C,$C20,$D:$D,"기준(후)",$L:$L,"&gt;0")&lt;&gt;1,"",SUMIFS($H:$H,$C:$C,$C20,$D:$D,"기준(후)"))</f>
        <v/>
      </c>
      <c r="Q20" s="30">
        <f>IF(COUNTIFS($C:$C,$C20,$D:$D,"기준(후)",$L:$L,"&gt;0")&lt;&gt;1,"",SUMIFS($L:$L,$C:$C,$C20,$D:$D,"기준(후)"))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IF(OR($D19&lt;&gt;"측정",$C19&lt;&gt;$C20,NOT(ISNUMBER(L20)),NOT(ISNUMBER(L19)),(IF(ISNUMBER(F20),F20,E20)-IF(ISNUMBER(F19),F19,E19))=0),"",(L20-L19)/((IF(ISNUMBER(F20),F20,E20)-IF(ISNUMBER(F19),F19,E19))/100))</f>
        <v/>
      </c>
      <c r="U20" s="28" t="n"/>
      <c r="V20" s="28" t="n"/>
      <c r="W20" s="31" t="n"/>
    </row>
    <row r="21">
      <c r="A21" s="25" t="inlineStr">
        <is>
          <t>S02</t>
        </is>
      </c>
      <c r="B21" s="25" t="inlineStr">
        <is>
          <t>임계 신규점1</t>
        </is>
      </c>
      <c r="C21" s="25" t="inlineStr">
        <is>
          <t>S02-V</t>
        </is>
      </c>
      <c r="D21" s="25" t="inlineStr">
        <is>
          <t>측정</t>
        </is>
      </c>
      <c r="E21" s="48" t="n">
        <v>80</v>
      </c>
      <c r="F21" s="40" t="n"/>
      <c r="G21" s="28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IF(COUNTIFS($C:$C,$C21,$D:$D,"기준(전)",$L:$L,"&gt;0")&lt;&gt;1,"기준(전) 유효 1개 아님",IF(COUNTIFS($C:$C,$C21,$D:$D,"기준(후)",$L:$L,"&gt;0")&lt;&gt;1,"기준(후) 유효 1개 아님",IF(NOT(AND(ISNUMBER(N21),ISNUMBER(P21),ISNUMBER(H21))),"시각 결측",IF(P21&lt;=N21,"기준 시각 역전",IF(OR(H21&lt;N21,H21&gt;P21),"측정시각 구간 밖","OK")))))</f>
        <v/>
      </c>
      <c r="N21" s="45">
        <f>IF(COUNTIFS($C:$C,$C21,$D:$D,"기준(전)",$L:$L,"&gt;0")&lt;&gt;1,"",SUMIFS($H:$H,$C:$C,$C21,$D:$D,"기준(전)"))</f>
        <v/>
      </c>
      <c r="O21" s="30">
        <f>IF(COUNTIFS($C:$C,$C21,$D:$D,"기준(전)",$L:$L,"&gt;0")&lt;&gt;1,"",SUMIFS($L:$L,$C:$C,$C21,$D:$D,"기준(전)"))</f>
        <v/>
      </c>
      <c r="P21" s="45">
        <f>IF(COUNTIFS($C:$C,$C21,$D:$D,"기준(후)",$L:$L,"&gt;0")&lt;&gt;1,"",SUMIFS($H:$H,$C:$C,$C21,$D:$D,"기준(후)"))</f>
        <v/>
      </c>
      <c r="Q21" s="30">
        <f>IF(COUNTIFS($C:$C,$C21,$D:$D,"기준(후)",$L:$L,"&gt;0")&lt;&gt;1,"",SUMIFS($L:$L,$C:$C,$C21,$D:$D,"기준(후)"))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IF(OR($D20&lt;&gt;"측정",$C20&lt;&gt;$C21,NOT(ISNUMBER(L21)),NOT(ISNUMBER(L20)),(IF(ISNUMBER(F21),F21,E21)-IF(ISNUMBER(F20),F20,E20))=0),"",(L21-L20)/((IF(ISNUMBER(F21),F21,E21)-IF(ISNUMBER(F20),F20,E20))/100))</f>
        <v/>
      </c>
      <c r="U21" s="28" t="n"/>
      <c r="V21" s="28" t="n"/>
      <c r="W21" s="31" t="n"/>
    </row>
    <row r="22">
      <c r="A22" s="25" t="inlineStr">
        <is>
          <t>S02</t>
        </is>
      </c>
      <c r="B22" s="25" t="inlineStr">
        <is>
          <t>임계 신규점1</t>
        </is>
      </c>
      <c r="C22" s="25" t="inlineStr">
        <is>
          <t>S02-V</t>
        </is>
      </c>
      <c r="D22" s="25" t="inlineStr">
        <is>
          <t>측정</t>
        </is>
      </c>
      <c r="E22" s="48" t="n">
        <v>100</v>
      </c>
      <c r="F22" s="40" t="n"/>
      <c r="G22" s="28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IF(COUNTIFS($C:$C,$C22,$D:$D,"기준(전)",$L:$L,"&gt;0")&lt;&gt;1,"기준(전) 유효 1개 아님",IF(COUNTIFS($C:$C,$C22,$D:$D,"기준(후)",$L:$L,"&gt;0")&lt;&gt;1,"기준(후) 유효 1개 아님",IF(NOT(AND(ISNUMBER(N22),ISNUMBER(P22),ISNUMBER(H22))),"시각 결측",IF(P22&lt;=N22,"기준 시각 역전",IF(OR(H22&lt;N22,H22&gt;P22),"측정시각 구간 밖","OK")))))</f>
        <v/>
      </c>
      <c r="N22" s="45">
        <f>IF(COUNTIFS($C:$C,$C22,$D:$D,"기준(전)",$L:$L,"&gt;0")&lt;&gt;1,"",SUMIFS($H:$H,$C:$C,$C22,$D:$D,"기준(전)"))</f>
        <v/>
      </c>
      <c r="O22" s="30">
        <f>IF(COUNTIFS($C:$C,$C22,$D:$D,"기준(전)",$L:$L,"&gt;0")&lt;&gt;1,"",SUMIFS($L:$L,$C:$C,$C22,$D:$D,"기준(전)"))</f>
        <v/>
      </c>
      <c r="P22" s="45">
        <f>IF(COUNTIFS($C:$C,$C22,$D:$D,"기준(후)",$L:$L,"&gt;0")&lt;&gt;1,"",SUMIFS($H:$H,$C:$C,$C22,$D:$D,"기준(후)"))</f>
        <v/>
      </c>
      <c r="Q22" s="30">
        <f>IF(COUNTIFS($C:$C,$C22,$D:$D,"기준(후)",$L:$L,"&gt;0")&lt;&gt;1,"",SUMIFS($L:$L,$C:$C,$C22,$D:$D,"기준(후)"))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IF(OR($D21&lt;&gt;"측정",$C21&lt;&gt;$C22,NOT(ISNUMBER(L22)),NOT(ISNUMBER(L21)),(IF(ISNUMBER(F22),F22,E22)-IF(ISNUMBER(F21),F21,E21))=0),"",(L22-L21)/((IF(ISNUMBER(F22),F22,E22)-IF(ISNUMBER(F21),F21,E21))/100))</f>
        <v/>
      </c>
      <c r="U22" s="28" t="n"/>
      <c r="V22" s="28" t="n"/>
      <c r="W22" s="31" t="n"/>
    </row>
    <row r="23">
      <c r="A23" s="25" t="inlineStr">
        <is>
          <t>S02</t>
        </is>
      </c>
      <c r="B23" s="25" t="inlineStr">
        <is>
          <t>임계 신규점1</t>
        </is>
      </c>
      <c r="C23" s="25" t="inlineStr">
        <is>
          <t>S02-V</t>
        </is>
      </c>
      <c r="D23" s="25" t="inlineStr">
        <is>
          <t>측정</t>
        </is>
      </c>
      <c r="E23" s="48" t="n">
        <v>120</v>
      </c>
      <c r="F23" s="40" t="n"/>
      <c r="G23" s="28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IF(COUNTIFS($C:$C,$C23,$D:$D,"기준(전)",$L:$L,"&gt;0")&lt;&gt;1,"기준(전) 유효 1개 아님",IF(COUNTIFS($C:$C,$C23,$D:$D,"기준(후)",$L:$L,"&gt;0")&lt;&gt;1,"기준(후) 유효 1개 아님",IF(NOT(AND(ISNUMBER(N23),ISNUMBER(P23),ISNUMBER(H23))),"시각 결측",IF(P23&lt;=N23,"기준 시각 역전",IF(OR(H23&lt;N23,H23&gt;P23),"측정시각 구간 밖","OK")))))</f>
        <v/>
      </c>
      <c r="N23" s="45">
        <f>IF(COUNTIFS($C:$C,$C23,$D:$D,"기준(전)",$L:$L,"&gt;0")&lt;&gt;1,"",SUMIFS($H:$H,$C:$C,$C23,$D:$D,"기준(전)"))</f>
        <v/>
      </c>
      <c r="O23" s="30">
        <f>IF(COUNTIFS($C:$C,$C23,$D:$D,"기준(전)",$L:$L,"&gt;0")&lt;&gt;1,"",SUMIFS($L:$L,$C:$C,$C23,$D:$D,"기준(전)"))</f>
        <v/>
      </c>
      <c r="P23" s="45">
        <f>IF(COUNTIFS($C:$C,$C23,$D:$D,"기준(후)",$L:$L,"&gt;0")&lt;&gt;1,"",SUMIFS($H:$H,$C:$C,$C23,$D:$D,"기준(후)"))</f>
        <v/>
      </c>
      <c r="Q23" s="30">
        <f>IF(COUNTIFS($C:$C,$C23,$D:$D,"기준(후)",$L:$L,"&gt;0")&lt;&gt;1,"",SUMIFS($L:$L,$C:$C,$C23,$D:$D,"기준(후)"))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IF(OR($D22&lt;&gt;"측정",$C22&lt;&gt;$C23,NOT(ISNUMBER(L23)),NOT(ISNUMBER(L22)),(IF(ISNUMBER(F23),F23,E23)-IF(ISNUMBER(F22),F22,E22))=0),"",(L23-L22)/((IF(ISNUMBER(F23),F23,E23)-IF(ISNUMBER(F22),F22,E22))/100))</f>
        <v/>
      </c>
      <c r="U23" s="28" t="n"/>
      <c r="V23" s="28" t="n"/>
      <c r="W23" s="31" t="n"/>
    </row>
    <row r="24">
      <c r="A24" s="25" t="inlineStr">
        <is>
          <t>S02</t>
        </is>
      </c>
      <c r="B24" s="25" t="inlineStr">
        <is>
          <t>임계 신규점1</t>
        </is>
      </c>
      <c r="C24" s="25" t="inlineStr">
        <is>
          <t>S02-V</t>
        </is>
      </c>
      <c r="D24" s="25" t="inlineStr">
        <is>
          <t>측정</t>
        </is>
      </c>
      <c r="E24" s="48" t="n">
        <v>140</v>
      </c>
      <c r="F24" s="40" t="n"/>
      <c r="G24" s="28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IF(COUNTIFS($C:$C,$C24,$D:$D,"기준(전)",$L:$L,"&gt;0")&lt;&gt;1,"기준(전) 유효 1개 아님",IF(COUNTIFS($C:$C,$C24,$D:$D,"기준(후)",$L:$L,"&gt;0")&lt;&gt;1,"기준(후) 유효 1개 아님",IF(NOT(AND(ISNUMBER(N24),ISNUMBER(P24),ISNUMBER(H24))),"시각 결측",IF(P24&lt;=N24,"기준 시각 역전",IF(OR(H24&lt;N24,H24&gt;P24),"측정시각 구간 밖","OK")))))</f>
        <v/>
      </c>
      <c r="N24" s="45">
        <f>IF(COUNTIFS($C:$C,$C24,$D:$D,"기준(전)",$L:$L,"&gt;0")&lt;&gt;1,"",SUMIFS($H:$H,$C:$C,$C24,$D:$D,"기준(전)"))</f>
        <v/>
      </c>
      <c r="O24" s="30">
        <f>IF(COUNTIFS($C:$C,$C24,$D:$D,"기준(전)",$L:$L,"&gt;0")&lt;&gt;1,"",SUMIFS($L:$L,$C:$C,$C24,$D:$D,"기준(전)"))</f>
        <v/>
      </c>
      <c r="P24" s="45">
        <f>IF(COUNTIFS($C:$C,$C24,$D:$D,"기준(후)",$L:$L,"&gt;0")&lt;&gt;1,"",SUMIFS($H:$H,$C:$C,$C24,$D:$D,"기준(후)"))</f>
        <v/>
      </c>
      <c r="Q24" s="30">
        <f>IF(COUNTIFS($C:$C,$C24,$D:$D,"기준(후)",$L:$L,"&gt;0")&lt;&gt;1,"",SUMIFS($L:$L,$C:$C,$C24,$D:$D,"기준(후)"))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IF(OR($D23&lt;&gt;"측정",$C23&lt;&gt;$C24,NOT(ISNUMBER(L24)),NOT(ISNUMBER(L23)),(IF(ISNUMBER(F24),F24,E24)-IF(ISNUMBER(F23),F23,E23))=0),"",(L24-L23)/((IF(ISNUMBER(F24),F24,E24)-IF(ISNUMBER(F23),F23,E23))/100))</f>
        <v/>
      </c>
      <c r="U24" s="28" t="n"/>
      <c r="V24" s="28" t="n"/>
      <c r="W24" s="31" t="n"/>
    </row>
    <row r="25">
      <c r="A25" s="25" t="inlineStr">
        <is>
          <t>S02</t>
        </is>
      </c>
      <c r="B25" s="25" t="inlineStr">
        <is>
          <t>임계 신규점1</t>
        </is>
      </c>
      <c r="C25" s="25" t="inlineStr">
        <is>
          <t>S02-V</t>
        </is>
      </c>
      <c r="D25" s="25" t="inlineStr">
        <is>
          <t>측정</t>
        </is>
      </c>
      <c r="E25" s="48" t="n">
        <v>160</v>
      </c>
      <c r="F25" s="40" t="n"/>
      <c r="G25" s="28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IF(COUNTIFS($C:$C,$C25,$D:$D,"기준(전)",$L:$L,"&gt;0")&lt;&gt;1,"기준(전) 유효 1개 아님",IF(COUNTIFS($C:$C,$C25,$D:$D,"기준(후)",$L:$L,"&gt;0")&lt;&gt;1,"기준(후) 유효 1개 아님",IF(NOT(AND(ISNUMBER(N25),ISNUMBER(P25),ISNUMBER(H25))),"시각 결측",IF(P25&lt;=N25,"기준 시각 역전",IF(OR(H25&lt;N25,H25&gt;P25),"측정시각 구간 밖","OK")))))</f>
        <v/>
      </c>
      <c r="N25" s="45">
        <f>IF(COUNTIFS($C:$C,$C25,$D:$D,"기준(전)",$L:$L,"&gt;0")&lt;&gt;1,"",SUMIFS($H:$H,$C:$C,$C25,$D:$D,"기준(전)"))</f>
        <v/>
      </c>
      <c r="O25" s="30">
        <f>IF(COUNTIFS($C:$C,$C25,$D:$D,"기준(전)",$L:$L,"&gt;0")&lt;&gt;1,"",SUMIFS($L:$L,$C:$C,$C25,$D:$D,"기준(전)"))</f>
        <v/>
      </c>
      <c r="P25" s="45">
        <f>IF(COUNTIFS($C:$C,$C25,$D:$D,"기준(후)",$L:$L,"&gt;0")&lt;&gt;1,"",SUMIFS($H:$H,$C:$C,$C25,$D:$D,"기준(후)"))</f>
        <v/>
      </c>
      <c r="Q25" s="30">
        <f>IF(COUNTIFS($C:$C,$C25,$D:$D,"기준(후)",$L:$L,"&gt;0")&lt;&gt;1,"",SUMIFS($L:$L,$C:$C,$C25,$D:$D,"기준(후)"))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IF(OR($D24&lt;&gt;"측정",$C24&lt;&gt;$C25,NOT(ISNUMBER(L25)),NOT(ISNUMBER(L24)),(IF(ISNUMBER(F25),F25,E25)-IF(ISNUMBER(F24),F24,E24))=0),"",(L25-L24)/((IF(ISNUMBER(F25),F25,E25)-IF(ISNUMBER(F24),F24,E24))/100))</f>
        <v/>
      </c>
      <c r="U25" s="28" t="n"/>
      <c r="V25" s="28" t="n"/>
      <c r="W25" s="31" t="n"/>
    </row>
    <row r="26">
      <c r="A26" s="25" t="inlineStr">
        <is>
          <t>S02</t>
        </is>
      </c>
      <c r="B26" s="25" t="inlineStr">
        <is>
          <t>임계 신규점1</t>
        </is>
      </c>
      <c r="C26" s="25" t="inlineStr">
        <is>
          <t>S02-V</t>
        </is>
      </c>
      <c r="D26" s="25" t="inlineStr">
        <is>
          <t>측정</t>
        </is>
      </c>
      <c r="E26" s="48" t="n">
        <v>180</v>
      </c>
      <c r="F26" s="40" t="n"/>
      <c r="G26" s="28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IF(COUNTIFS($C:$C,$C26,$D:$D,"기준(전)",$L:$L,"&gt;0")&lt;&gt;1,"기준(전) 유효 1개 아님",IF(COUNTIFS($C:$C,$C26,$D:$D,"기준(후)",$L:$L,"&gt;0")&lt;&gt;1,"기준(후) 유효 1개 아님",IF(NOT(AND(ISNUMBER(N26),ISNUMBER(P26),ISNUMBER(H26))),"시각 결측",IF(P26&lt;=N26,"기준 시각 역전",IF(OR(H26&lt;N26,H26&gt;P26),"측정시각 구간 밖","OK")))))</f>
        <v/>
      </c>
      <c r="N26" s="45">
        <f>IF(COUNTIFS($C:$C,$C26,$D:$D,"기준(전)",$L:$L,"&gt;0")&lt;&gt;1,"",SUMIFS($H:$H,$C:$C,$C26,$D:$D,"기준(전)"))</f>
        <v/>
      </c>
      <c r="O26" s="30">
        <f>IF(COUNTIFS($C:$C,$C26,$D:$D,"기준(전)",$L:$L,"&gt;0")&lt;&gt;1,"",SUMIFS($L:$L,$C:$C,$C26,$D:$D,"기준(전)"))</f>
        <v/>
      </c>
      <c r="P26" s="45">
        <f>IF(COUNTIFS($C:$C,$C26,$D:$D,"기준(후)",$L:$L,"&gt;0")&lt;&gt;1,"",SUMIFS($H:$H,$C:$C,$C26,$D:$D,"기준(후)"))</f>
        <v/>
      </c>
      <c r="Q26" s="30">
        <f>IF(COUNTIFS($C:$C,$C26,$D:$D,"기준(후)",$L:$L,"&gt;0")&lt;&gt;1,"",SUMIFS($L:$L,$C:$C,$C26,$D:$D,"기준(후)"))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IF(OR($D25&lt;&gt;"측정",$C25&lt;&gt;$C26,NOT(ISNUMBER(L26)),NOT(ISNUMBER(L25)),(IF(ISNUMBER(F26),F26,E26)-IF(ISNUMBER(F25),F25,E25))=0),"",(L26-L25)/((IF(ISNUMBER(F26),F26,E26)-IF(ISNUMBER(F25),F25,E25))/100))</f>
        <v/>
      </c>
      <c r="U26" s="28" t="n"/>
      <c r="V26" s="28" t="n"/>
      <c r="W26" s="31" t="n"/>
    </row>
    <row r="27">
      <c r="A27" s="25" t="inlineStr">
        <is>
          <t>S02</t>
        </is>
      </c>
      <c r="B27" s="25" t="inlineStr">
        <is>
          <t>임계 신규점1</t>
        </is>
      </c>
      <c r="C27" s="25" t="inlineStr">
        <is>
          <t>S02-V</t>
        </is>
      </c>
      <c r="D27" s="25" t="inlineStr">
        <is>
          <t>측정</t>
        </is>
      </c>
      <c r="E27" s="48" t="n">
        <v>200</v>
      </c>
      <c r="F27" s="40" t="n"/>
      <c r="G27" s="28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IF(COUNTIFS($C:$C,$C27,$D:$D,"기준(전)",$L:$L,"&gt;0")&lt;&gt;1,"기준(전) 유효 1개 아님",IF(COUNTIFS($C:$C,$C27,$D:$D,"기준(후)",$L:$L,"&gt;0")&lt;&gt;1,"기준(후) 유효 1개 아님",IF(NOT(AND(ISNUMBER(N27),ISNUMBER(P27),ISNUMBER(H27))),"시각 결측",IF(P27&lt;=N27,"기준 시각 역전",IF(OR(H27&lt;N27,H27&gt;P27),"측정시각 구간 밖","OK")))))</f>
        <v/>
      </c>
      <c r="N27" s="45">
        <f>IF(COUNTIFS($C:$C,$C27,$D:$D,"기준(전)",$L:$L,"&gt;0")&lt;&gt;1,"",SUMIFS($H:$H,$C:$C,$C27,$D:$D,"기준(전)"))</f>
        <v/>
      </c>
      <c r="O27" s="30">
        <f>IF(COUNTIFS($C:$C,$C27,$D:$D,"기준(전)",$L:$L,"&gt;0")&lt;&gt;1,"",SUMIFS($L:$L,$C:$C,$C27,$D:$D,"기준(전)"))</f>
        <v/>
      </c>
      <c r="P27" s="45">
        <f>IF(COUNTIFS($C:$C,$C27,$D:$D,"기준(후)",$L:$L,"&gt;0")&lt;&gt;1,"",SUMIFS($H:$H,$C:$C,$C27,$D:$D,"기준(후)"))</f>
        <v/>
      </c>
      <c r="Q27" s="30">
        <f>IF(COUNTIFS($C:$C,$C27,$D:$D,"기준(후)",$L:$L,"&gt;0")&lt;&gt;1,"",SUMIFS($L:$L,$C:$C,$C27,$D:$D,"기준(후)"))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IF(OR($D26&lt;&gt;"측정",$C26&lt;&gt;$C27,NOT(ISNUMBER(L27)),NOT(ISNUMBER(L26)),(IF(ISNUMBER(F27),F27,E27)-IF(ISNUMBER(F26),F26,E26))=0),"",(L27-L26)/((IF(ISNUMBER(F27),F27,E27)-IF(ISNUMBER(F26),F26,E26))/100))</f>
        <v/>
      </c>
      <c r="U27" s="28" t="n"/>
      <c r="V27" s="28" t="n"/>
      <c r="W27" s="31" t="n"/>
    </row>
    <row r="28">
      <c r="A28" s="43" t="inlineStr">
        <is>
          <t>S02</t>
        </is>
      </c>
      <c r="B28" s="43" t="inlineStr">
        <is>
          <t>임계 신규점1</t>
        </is>
      </c>
      <c r="C28" s="43" t="inlineStr">
        <is>
          <t>S02-V</t>
        </is>
      </c>
      <c r="D28" s="43" t="inlineStr">
        <is>
          <t>기준(후)</t>
        </is>
      </c>
      <c r="E28" s="47" t="n"/>
      <c r="F28" s="40" t="n"/>
      <c r="G28" s="28" t="n"/>
      <c r="H28" s="42" t="n"/>
      <c r="I28" s="40" t="n"/>
      <c r="J28" s="40" t="n"/>
      <c r="K28" s="40" t="n"/>
      <c r="L28" s="30">
        <f>IF(COUNT(I28:K28)=0,"",MEDIAN(I28:K28))</f>
        <v/>
      </c>
      <c r="M28" s="37" t="n"/>
      <c r="N28" s="37" t="n"/>
      <c r="O28" s="37" t="n"/>
      <c r="P28" s="37" t="n"/>
      <c r="Q28" s="37" t="n"/>
      <c r="R28" s="37" t="n"/>
      <c r="S28" s="37" t="n"/>
      <c r="T28" s="37" t="n"/>
      <c r="U28" s="28" t="n"/>
      <c r="V28" s="28" t="n"/>
      <c r="W28" s="31" t="n"/>
    </row>
    <row r="29">
      <c r="A29" s="43" t="inlineStr">
        <is>
          <t>S03</t>
        </is>
      </c>
      <c r="B29" s="43" t="inlineStr">
        <is>
          <t>예산 신규점2</t>
        </is>
      </c>
      <c r="C29" s="43" t="inlineStr">
        <is>
          <t>S03-V</t>
        </is>
      </c>
      <c r="D29" s="43" t="inlineStr">
        <is>
          <t>기준(전)</t>
        </is>
      </c>
      <c r="E29" s="47" t="n"/>
      <c r="F29" s="40" t="n"/>
      <c r="G29" s="28" t="n"/>
      <c r="H29" s="42" t="n"/>
      <c r="I29" s="40" t="n"/>
      <c r="J29" s="40" t="n"/>
      <c r="K29" s="40" t="n"/>
      <c r="L29" s="30">
        <f>IF(COUNT(I29:K29)=0,"",MEDIAN(I29:K29))</f>
        <v/>
      </c>
      <c r="M29" s="37" t="n"/>
      <c r="N29" s="37" t="n"/>
      <c r="O29" s="37" t="n"/>
      <c r="P29" s="37" t="n"/>
      <c r="Q29" s="37" t="n"/>
      <c r="R29" s="37" t="n"/>
      <c r="S29" s="37" t="n"/>
      <c r="T29" s="37" t="n"/>
      <c r="U29" s="28" t="n"/>
      <c r="V29" s="28" t="n"/>
      <c r="W29" s="31" t="n"/>
    </row>
    <row r="30">
      <c r="A30" s="25" t="inlineStr">
        <is>
          <t>S03</t>
        </is>
      </c>
      <c r="B30" s="25" t="inlineStr">
        <is>
          <t>예산 신규점2</t>
        </is>
      </c>
      <c r="C30" s="25" t="inlineStr">
        <is>
          <t>S03-V</t>
        </is>
      </c>
      <c r="D30" s="25" t="inlineStr">
        <is>
          <t>측정</t>
        </is>
      </c>
      <c r="E30" s="48" t="n">
        <v>20</v>
      </c>
      <c r="F30" s="40" t="n"/>
      <c r="G30" s="28" t="n"/>
      <c r="H30" s="42" t="n"/>
      <c r="I30" s="40" t="n"/>
      <c r="J30" s="40" t="n"/>
      <c r="K30" s="40" t="n"/>
      <c r="L30" s="30">
        <f>IF(COUNT(I30:K30)=0,"",MEDIAN(I30:K30))</f>
        <v/>
      </c>
      <c r="M30" s="25">
        <f>IF(COUNTIFS($C:$C,$C30,$D:$D,"기준(전)",$L:$L,"&gt;0")&lt;&gt;1,"기준(전) 유효 1개 아님",IF(COUNTIFS($C:$C,$C30,$D:$D,"기준(후)",$L:$L,"&gt;0")&lt;&gt;1,"기준(후) 유효 1개 아님",IF(NOT(AND(ISNUMBER(N30),ISNUMBER(P30),ISNUMBER(H30))),"시각 결측",IF(P30&lt;=N30,"기준 시각 역전",IF(OR(H30&lt;N30,H30&gt;P30),"측정시각 구간 밖","OK")))))</f>
        <v/>
      </c>
      <c r="N30" s="45">
        <f>IF(COUNTIFS($C:$C,$C30,$D:$D,"기준(전)",$L:$L,"&gt;0")&lt;&gt;1,"",SUMIFS($H:$H,$C:$C,$C30,$D:$D,"기준(전)"))</f>
        <v/>
      </c>
      <c r="O30" s="30">
        <f>IF(COUNTIFS($C:$C,$C30,$D:$D,"기준(전)",$L:$L,"&gt;0")&lt;&gt;1,"",SUMIFS($L:$L,$C:$C,$C30,$D:$D,"기준(전)"))</f>
        <v/>
      </c>
      <c r="P30" s="45">
        <f>IF(COUNTIFS($C:$C,$C30,$D:$D,"기준(후)",$L:$L,"&gt;0")&lt;&gt;1,"",SUMIFS($H:$H,$C:$C,$C30,$D:$D,"기준(후)"))</f>
        <v/>
      </c>
      <c r="Q30" s="30">
        <f>IF(COUNTIFS($C:$C,$C30,$D:$D,"기준(후)",$L:$L,"&gt;0")&lt;&gt;1,"",SUMIFS($L:$L,$C:$C,$C30,$D:$D,"기준(후)"))</f>
        <v/>
      </c>
      <c r="R30" s="30">
        <f>IF(M30&lt;&gt;"OK","",O30+(Q30-O30)*(H30-N30)/(P30-N30))</f>
        <v/>
      </c>
      <c r="S30" s="30">
        <f>IF(OR(M30&lt;&gt;"OK",NOT(ISNUMBER(L30))),"",L30-R30)</f>
        <v/>
      </c>
      <c r="T30" s="46">
        <f>IF(OR($D29&lt;&gt;"측정",$C29&lt;&gt;$C30,NOT(ISNUMBER(L30)),NOT(ISNUMBER(L29)),(IF(ISNUMBER(F30),F30,E30)-IF(ISNUMBER(F29),F29,E29))=0),"",(L30-L29)/((IF(ISNUMBER(F30),F30,E30)-IF(ISNUMBER(F29),F29,E29))/100))</f>
        <v/>
      </c>
      <c r="U30" s="28" t="n"/>
      <c r="V30" s="28" t="n"/>
      <c r="W30" s="31" t="n"/>
    </row>
    <row r="31">
      <c r="A31" s="25" t="inlineStr">
        <is>
          <t>S03</t>
        </is>
      </c>
      <c r="B31" s="25" t="inlineStr">
        <is>
          <t>예산 신규점2</t>
        </is>
      </c>
      <c r="C31" s="25" t="inlineStr">
        <is>
          <t>S03-V</t>
        </is>
      </c>
      <c r="D31" s="25" t="inlineStr">
        <is>
          <t>측정</t>
        </is>
      </c>
      <c r="E31" s="48" t="n">
        <v>40</v>
      </c>
      <c r="F31" s="40" t="n"/>
      <c r="G31" s="28" t="n"/>
      <c r="H31" s="42" t="n"/>
      <c r="I31" s="40" t="n"/>
      <c r="J31" s="40" t="n"/>
      <c r="K31" s="40" t="n"/>
      <c r="L31" s="30">
        <f>IF(COUNT(I31:K31)=0,"",MEDIAN(I31:K31))</f>
        <v/>
      </c>
      <c r="M31" s="25">
        <f>IF(COUNTIFS($C:$C,$C31,$D:$D,"기준(전)",$L:$L,"&gt;0")&lt;&gt;1,"기준(전) 유효 1개 아님",IF(COUNTIFS($C:$C,$C31,$D:$D,"기준(후)",$L:$L,"&gt;0")&lt;&gt;1,"기준(후) 유효 1개 아님",IF(NOT(AND(ISNUMBER(N31),ISNUMBER(P31),ISNUMBER(H31))),"시각 결측",IF(P31&lt;=N31,"기준 시각 역전",IF(OR(H31&lt;N31,H31&gt;P31),"측정시각 구간 밖","OK")))))</f>
        <v/>
      </c>
      <c r="N31" s="45">
        <f>IF(COUNTIFS($C:$C,$C31,$D:$D,"기준(전)",$L:$L,"&gt;0")&lt;&gt;1,"",SUMIFS($H:$H,$C:$C,$C31,$D:$D,"기준(전)"))</f>
        <v/>
      </c>
      <c r="O31" s="30">
        <f>IF(COUNTIFS($C:$C,$C31,$D:$D,"기준(전)",$L:$L,"&gt;0")&lt;&gt;1,"",SUMIFS($L:$L,$C:$C,$C31,$D:$D,"기준(전)"))</f>
        <v/>
      </c>
      <c r="P31" s="45">
        <f>IF(COUNTIFS($C:$C,$C31,$D:$D,"기준(후)",$L:$L,"&gt;0")&lt;&gt;1,"",SUMIFS($H:$H,$C:$C,$C31,$D:$D,"기준(후)"))</f>
        <v/>
      </c>
      <c r="Q31" s="30">
        <f>IF(COUNTIFS($C:$C,$C31,$D:$D,"기준(후)",$L:$L,"&gt;0")&lt;&gt;1,"",SUMIFS($L:$L,$C:$C,$C31,$D:$D,"기준(후)"))</f>
        <v/>
      </c>
      <c r="R31" s="30">
        <f>IF(M31&lt;&gt;"OK","",O31+(Q31-O31)*(H31-N31)/(P31-N31))</f>
        <v/>
      </c>
      <c r="S31" s="30">
        <f>IF(OR(M31&lt;&gt;"OK",NOT(ISNUMBER(L31))),"",L31-R31)</f>
        <v/>
      </c>
      <c r="T31" s="46">
        <f>IF(OR($D30&lt;&gt;"측정",$C30&lt;&gt;$C31,NOT(ISNUMBER(L31)),NOT(ISNUMBER(L30)),(IF(ISNUMBER(F31),F31,E31)-IF(ISNUMBER(F30),F30,E30))=0),"",(L31-L30)/((IF(ISNUMBER(F31),F31,E31)-IF(ISNUMBER(F30),F30,E30))/100))</f>
        <v/>
      </c>
      <c r="U31" s="28" t="n"/>
      <c r="V31" s="28" t="n"/>
      <c r="W31" s="31" t="n"/>
    </row>
    <row r="32">
      <c r="A32" s="25" t="inlineStr">
        <is>
          <t>S03</t>
        </is>
      </c>
      <c r="B32" s="25" t="inlineStr">
        <is>
          <t>예산 신규점2</t>
        </is>
      </c>
      <c r="C32" s="25" t="inlineStr">
        <is>
          <t>S03-V</t>
        </is>
      </c>
      <c r="D32" s="25" t="inlineStr">
        <is>
          <t>측정</t>
        </is>
      </c>
      <c r="E32" s="48" t="n">
        <v>60</v>
      </c>
      <c r="F32" s="40" t="n"/>
      <c r="G32" s="28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IF(COUNTIFS($C:$C,$C32,$D:$D,"기준(전)",$L:$L,"&gt;0")&lt;&gt;1,"기준(전) 유효 1개 아님",IF(COUNTIFS($C:$C,$C32,$D:$D,"기준(후)",$L:$L,"&gt;0")&lt;&gt;1,"기준(후) 유효 1개 아님",IF(NOT(AND(ISNUMBER(N32),ISNUMBER(P32),ISNUMBER(H32))),"시각 결측",IF(P32&lt;=N32,"기준 시각 역전",IF(OR(H32&lt;N32,H32&gt;P32),"측정시각 구간 밖","OK")))))</f>
        <v/>
      </c>
      <c r="N32" s="45">
        <f>IF(COUNTIFS($C:$C,$C32,$D:$D,"기준(전)",$L:$L,"&gt;0")&lt;&gt;1,"",SUMIFS($H:$H,$C:$C,$C32,$D:$D,"기준(전)"))</f>
        <v/>
      </c>
      <c r="O32" s="30">
        <f>IF(COUNTIFS($C:$C,$C32,$D:$D,"기준(전)",$L:$L,"&gt;0")&lt;&gt;1,"",SUMIFS($L:$L,$C:$C,$C32,$D:$D,"기준(전)"))</f>
        <v/>
      </c>
      <c r="P32" s="45">
        <f>IF(COUNTIFS($C:$C,$C32,$D:$D,"기준(후)",$L:$L,"&gt;0")&lt;&gt;1,"",SUMIFS($H:$H,$C:$C,$C32,$D:$D,"기준(후)"))</f>
        <v/>
      </c>
      <c r="Q32" s="30">
        <f>IF(COUNTIFS($C:$C,$C32,$D:$D,"기준(후)",$L:$L,"&gt;0")&lt;&gt;1,"",SUMIFS($L:$L,$C:$C,$C32,$D:$D,"기준(후)"))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IF(OR($D31&lt;&gt;"측정",$C31&lt;&gt;$C32,NOT(ISNUMBER(L32)),NOT(ISNUMBER(L31)),(IF(ISNUMBER(F32),F32,E32)-IF(ISNUMBER(F31),F31,E31))=0),"",(L32-L31)/((IF(ISNUMBER(F32),F32,E32)-IF(ISNUMBER(F31),F31,E31))/100))</f>
        <v/>
      </c>
      <c r="U32" s="28" t="n"/>
      <c r="V32" s="28" t="n"/>
      <c r="W32" s="31" t="n"/>
    </row>
    <row r="33">
      <c r="A33" s="25" t="inlineStr">
        <is>
          <t>S03</t>
        </is>
      </c>
      <c r="B33" s="25" t="inlineStr">
        <is>
          <t>예산 신규점2</t>
        </is>
      </c>
      <c r="C33" s="25" t="inlineStr">
        <is>
          <t>S03-V</t>
        </is>
      </c>
      <c r="D33" s="25" t="inlineStr">
        <is>
          <t>측정</t>
        </is>
      </c>
      <c r="E33" s="48" t="n">
        <v>80</v>
      </c>
      <c r="F33" s="40" t="n"/>
      <c r="G33" s="28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IF(COUNTIFS($C:$C,$C33,$D:$D,"기준(전)",$L:$L,"&gt;0")&lt;&gt;1,"기준(전) 유효 1개 아님",IF(COUNTIFS($C:$C,$C33,$D:$D,"기준(후)",$L:$L,"&gt;0")&lt;&gt;1,"기준(후) 유효 1개 아님",IF(NOT(AND(ISNUMBER(N33),ISNUMBER(P33),ISNUMBER(H33))),"시각 결측",IF(P33&lt;=N33,"기준 시각 역전",IF(OR(H33&lt;N33,H33&gt;P33),"측정시각 구간 밖","OK")))))</f>
        <v/>
      </c>
      <c r="N33" s="45">
        <f>IF(COUNTIFS($C:$C,$C33,$D:$D,"기준(전)",$L:$L,"&gt;0")&lt;&gt;1,"",SUMIFS($H:$H,$C:$C,$C33,$D:$D,"기준(전)"))</f>
        <v/>
      </c>
      <c r="O33" s="30">
        <f>IF(COUNTIFS($C:$C,$C33,$D:$D,"기준(전)",$L:$L,"&gt;0")&lt;&gt;1,"",SUMIFS($L:$L,$C:$C,$C33,$D:$D,"기준(전)"))</f>
        <v/>
      </c>
      <c r="P33" s="45">
        <f>IF(COUNTIFS($C:$C,$C33,$D:$D,"기준(후)",$L:$L,"&gt;0")&lt;&gt;1,"",SUMIFS($H:$H,$C:$C,$C33,$D:$D,"기준(후)"))</f>
        <v/>
      </c>
      <c r="Q33" s="30">
        <f>IF(COUNTIFS($C:$C,$C33,$D:$D,"기준(후)",$L:$L,"&gt;0")&lt;&gt;1,"",SUMIFS($L:$L,$C:$C,$C33,$D:$D,"기준(후)"))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IF(OR($D32&lt;&gt;"측정",$C32&lt;&gt;$C33,NOT(ISNUMBER(L33)),NOT(ISNUMBER(L32)),(IF(ISNUMBER(F33),F33,E33)-IF(ISNUMBER(F32),F32,E32))=0),"",(L33-L32)/((IF(ISNUMBER(F33),F33,E33)-IF(ISNUMBER(F32),F32,E32))/100))</f>
        <v/>
      </c>
      <c r="U33" s="28" t="n"/>
      <c r="V33" s="28" t="n"/>
      <c r="W33" s="31" t="n"/>
    </row>
    <row r="34">
      <c r="A34" s="25" t="inlineStr">
        <is>
          <t>S03</t>
        </is>
      </c>
      <c r="B34" s="25" t="inlineStr">
        <is>
          <t>예산 신규점2</t>
        </is>
      </c>
      <c r="C34" s="25" t="inlineStr">
        <is>
          <t>S03-V</t>
        </is>
      </c>
      <c r="D34" s="25" t="inlineStr">
        <is>
          <t>측정</t>
        </is>
      </c>
      <c r="E34" s="48" t="n">
        <v>100</v>
      </c>
      <c r="F34" s="40" t="n"/>
      <c r="G34" s="28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IF(COUNTIFS($C:$C,$C34,$D:$D,"기준(전)",$L:$L,"&gt;0")&lt;&gt;1,"기준(전) 유효 1개 아님",IF(COUNTIFS($C:$C,$C34,$D:$D,"기준(후)",$L:$L,"&gt;0")&lt;&gt;1,"기준(후) 유효 1개 아님",IF(NOT(AND(ISNUMBER(N34),ISNUMBER(P34),ISNUMBER(H34))),"시각 결측",IF(P34&lt;=N34,"기준 시각 역전",IF(OR(H34&lt;N34,H34&gt;P34),"측정시각 구간 밖","OK")))))</f>
        <v/>
      </c>
      <c r="N34" s="45">
        <f>IF(COUNTIFS($C:$C,$C34,$D:$D,"기준(전)",$L:$L,"&gt;0")&lt;&gt;1,"",SUMIFS($H:$H,$C:$C,$C34,$D:$D,"기준(전)"))</f>
        <v/>
      </c>
      <c r="O34" s="30">
        <f>IF(COUNTIFS($C:$C,$C34,$D:$D,"기준(전)",$L:$L,"&gt;0")&lt;&gt;1,"",SUMIFS($L:$L,$C:$C,$C34,$D:$D,"기준(전)"))</f>
        <v/>
      </c>
      <c r="P34" s="45">
        <f>IF(COUNTIFS($C:$C,$C34,$D:$D,"기준(후)",$L:$L,"&gt;0")&lt;&gt;1,"",SUMIFS($H:$H,$C:$C,$C34,$D:$D,"기준(후)"))</f>
        <v/>
      </c>
      <c r="Q34" s="30">
        <f>IF(COUNTIFS($C:$C,$C34,$D:$D,"기준(후)",$L:$L,"&gt;0")&lt;&gt;1,"",SUMIFS($L:$L,$C:$C,$C34,$D:$D,"기준(후)"))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IF(OR($D33&lt;&gt;"측정",$C33&lt;&gt;$C34,NOT(ISNUMBER(L34)),NOT(ISNUMBER(L33)),(IF(ISNUMBER(F34),F34,E34)-IF(ISNUMBER(F33),F33,E33))=0),"",(L34-L33)/((IF(ISNUMBER(F34),F34,E34)-IF(ISNUMBER(F33),F33,E33))/100))</f>
        <v/>
      </c>
      <c r="U34" s="28" t="n"/>
      <c r="V34" s="28" t="n"/>
      <c r="W34" s="31" t="n"/>
    </row>
    <row r="35">
      <c r="A35" s="25" t="inlineStr">
        <is>
          <t>S03</t>
        </is>
      </c>
      <c r="B35" s="25" t="inlineStr">
        <is>
          <t>예산 신규점2</t>
        </is>
      </c>
      <c r="C35" s="25" t="inlineStr">
        <is>
          <t>S03-V</t>
        </is>
      </c>
      <c r="D35" s="25" t="inlineStr">
        <is>
          <t>측정</t>
        </is>
      </c>
      <c r="E35" s="48" t="n">
        <v>120</v>
      </c>
      <c r="F35" s="40" t="n"/>
      <c r="G35" s="28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IF(COUNTIFS($C:$C,$C35,$D:$D,"기준(전)",$L:$L,"&gt;0")&lt;&gt;1,"기준(전) 유효 1개 아님",IF(COUNTIFS($C:$C,$C35,$D:$D,"기준(후)",$L:$L,"&gt;0")&lt;&gt;1,"기준(후) 유효 1개 아님",IF(NOT(AND(ISNUMBER(N35),ISNUMBER(P35),ISNUMBER(H35))),"시각 결측",IF(P35&lt;=N35,"기준 시각 역전",IF(OR(H35&lt;N35,H35&gt;P35),"측정시각 구간 밖","OK")))))</f>
        <v/>
      </c>
      <c r="N35" s="45">
        <f>IF(COUNTIFS($C:$C,$C35,$D:$D,"기준(전)",$L:$L,"&gt;0")&lt;&gt;1,"",SUMIFS($H:$H,$C:$C,$C35,$D:$D,"기준(전)"))</f>
        <v/>
      </c>
      <c r="O35" s="30">
        <f>IF(COUNTIFS($C:$C,$C35,$D:$D,"기준(전)",$L:$L,"&gt;0")&lt;&gt;1,"",SUMIFS($L:$L,$C:$C,$C35,$D:$D,"기준(전)"))</f>
        <v/>
      </c>
      <c r="P35" s="45">
        <f>IF(COUNTIFS($C:$C,$C35,$D:$D,"기준(후)",$L:$L,"&gt;0")&lt;&gt;1,"",SUMIFS($H:$H,$C:$C,$C35,$D:$D,"기준(후)"))</f>
        <v/>
      </c>
      <c r="Q35" s="30">
        <f>IF(COUNTIFS($C:$C,$C35,$D:$D,"기준(후)",$L:$L,"&gt;0")&lt;&gt;1,"",SUMIFS($L:$L,$C:$C,$C35,$D:$D,"기준(후)"))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IF(OR($D34&lt;&gt;"측정",$C34&lt;&gt;$C35,NOT(ISNUMBER(L35)),NOT(ISNUMBER(L34)),(IF(ISNUMBER(F35),F35,E35)-IF(ISNUMBER(F34),F34,E34))=0),"",(L35-L34)/((IF(ISNUMBER(F35),F35,E35)-IF(ISNUMBER(F34),F34,E34))/100))</f>
        <v/>
      </c>
      <c r="U35" s="28" t="n"/>
      <c r="V35" s="28" t="n"/>
      <c r="W35" s="31" t="n"/>
    </row>
    <row r="36">
      <c r="A36" s="25" t="inlineStr">
        <is>
          <t>S03</t>
        </is>
      </c>
      <c r="B36" s="25" t="inlineStr">
        <is>
          <t>예산 신규점2</t>
        </is>
      </c>
      <c r="C36" s="25" t="inlineStr">
        <is>
          <t>S03-V</t>
        </is>
      </c>
      <c r="D36" s="25" t="inlineStr">
        <is>
          <t>측정</t>
        </is>
      </c>
      <c r="E36" s="48" t="n">
        <v>140</v>
      </c>
      <c r="F36" s="40" t="n"/>
      <c r="G36" s="28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IF(COUNTIFS($C:$C,$C36,$D:$D,"기준(전)",$L:$L,"&gt;0")&lt;&gt;1,"기준(전) 유효 1개 아님",IF(COUNTIFS($C:$C,$C36,$D:$D,"기준(후)",$L:$L,"&gt;0")&lt;&gt;1,"기준(후) 유효 1개 아님",IF(NOT(AND(ISNUMBER(N36),ISNUMBER(P36),ISNUMBER(H36))),"시각 결측",IF(P36&lt;=N36,"기준 시각 역전",IF(OR(H36&lt;N36,H36&gt;P36),"측정시각 구간 밖","OK")))))</f>
        <v/>
      </c>
      <c r="N36" s="45">
        <f>IF(COUNTIFS($C:$C,$C36,$D:$D,"기준(전)",$L:$L,"&gt;0")&lt;&gt;1,"",SUMIFS($H:$H,$C:$C,$C36,$D:$D,"기준(전)"))</f>
        <v/>
      </c>
      <c r="O36" s="30">
        <f>IF(COUNTIFS($C:$C,$C36,$D:$D,"기준(전)",$L:$L,"&gt;0")&lt;&gt;1,"",SUMIFS($L:$L,$C:$C,$C36,$D:$D,"기준(전)"))</f>
        <v/>
      </c>
      <c r="P36" s="45">
        <f>IF(COUNTIFS($C:$C,$C36,$D:$D,"기준(후)",$L:$L,"&gt;0")&lt;&gt;1,"",SUMIFS($H:$H,$C:$C,$C36,$D:$D,"기준(후)"))</f>
        <v/>
      </c>
      <c r="Q36" s="30">
        <f>IF(COUNTIFS($C:$C,$C36,$D:$D,"기준(후)",$L:$L,"&gt;0")&lt;&gt;1,"",SUMIFS($L:$L,$C:$C,$C36,$D:$D,"기준(후)"))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IF(OR($D35&lt;&gt;"측정",$C35&lt;&gt;$C36,NOT(ISNUMBER(L36)),NOT(ISNUMBER(L35)),(IF(ISNUMBER(F36),F36,E36)-IF(ISNUMBER(F35),F35,E35))=0),"",(L36-L35)/((IF(ISNUMBER(F36),F36,E36)-IF(ISNUMBER(F35),F35,E35))/100))</f>
        <v/>
      </c>
      <c r="U36" s="28" t="n"/>
      <c r="V36" s="28" t="n"/>
      <c r="W36" s="31" t="n"/>
    </row>
    <row r="37">
      <c r="A37" s="25" t="inlineStr">
        <is>
          <t>S03</t>
        </is>
      </c>
      <c r="B37" s="25" t="inlineStr">
        <is>
          <t>예산 신규점2</t>
        </is>
      </c>
      <c r="C37" s="25" t="inlineStr">
        <is>
          <t>S03-V</t>
        </is>
      </c>
      <c r="D37" s="25" t="inlineStr">
        <is>
          <t>측정</t>
        </is>
      </c>
      <c r="E37" s="48" t="n">
        <v>160</v>
      </c>
      <c r="F37" s="40" t="n"/>
      <c r="G37" s="28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IF(COUNTIFS($C:$C,$C37,$D:$D,"기준(전)",$L:$L,"&gt;0")&lt;&gt;1,"기준(전) 유효 1개 아님",IF(COUNTIFS($C:$C,$C37,$D:$D,"기준(후)",$L:$L,"&gt;0")&lt;&gt;1,"기준(후) 유효 1개 아님",IF(NOT(AND(ISNUMBER(N37),ISNUMBER(P37),ISNUMBER(H37))),"시각 결측",IF(P37&lt;=N37,"기준 시각 역전",IF(OR(H37&lt;N37,H37&gt;P37),"측정시각 구간 밖","OK")))))</f>
        <v/>
      </c>
      <c r="N37" s="45">
        <f>IF(COUNTIFS($C:$C,$C37,$D:$D,"기준(전)",$L:$L,"&gt;0")&lt;&gt;1,"",SUMIFS($H:$H,$C:$C,$C37,$D:$D,"기준(전)"))</f>
        <v/>
      </c>
      <c r="O37" s="30">
        <f>IF(COUNTIFS($C:$C,$C37,$D:$D,"기준(전)",$L:$L,"&gt;0")&lt;&gt;1,"",SUMIFS($L:$L,$C:$C,$C37,$D:$D,"기준(전)"))</f>
        <v/>
      </c>
      <c r="P37" s="45">
        <f>IF(COUNTIFS($C:$C,$C37,$D:$D,"기준(후)",$L:$L,"&gt;0")&lt;&gt;1,"",SUMIFS($H:$H,$C:$C,$C37,$D:$D,"기준(후)"))</f>
        <v/>
      </c>
      <c r="Q37" s="30">
        <f>IF(COUNTIFS($C:$C,$C37,$D:$D,"기준(후)",$L:$L,"&gt;0")&lt;&gt;1,"",SUMIFS($L:$L,$C:$C,$C37,$D:$D,"기준(후)"))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IF(OR($D36&lt;&gt;"측정",$C36&lt;&gt;$C37,NOT(ISNUMBER(L37)),NOT(ISNUMBER(L36)),(IF(ISNUMBER(F37),F37,E37)-IF(ISNUMBER(F36),F36,E36))=0),"",(L37-L36)/((IF(ISNUMBER(F37),F37,E37)-IF(ISNUMBER(F36),F36,E36))/100))</f>
        <v/>
      </c>
      <c r="U37" s="28" t="n"/>
      <c r="V37" s="28" t="n"/>
      <c r="W37" s="31" t="n"/>
    </row>
    <row r="38">
      <c r="A38" s="25" t="inlineStr">
        <is>
          <t>S03</t>
        </is>
      </c>
      <c r="B38" s="25" t="inlineStr">
        <is>
          <t>예산 신규점2</t>
        </is>
      </c>
      <c r="C38" s="25" t="inlineStr">
        <is>
          <t>S03-V</t>
        </is>
      </c>
      <c r="D38" s="25" t="inlineStr">
        <is>
          <t>측정</t>
        </is>
      </c>
      <c r="E38" s="48" t="n">
        <v>180</v>
      </c>
      <c r="F38" s="40" t="n"/>
      <c r="G38" s="28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IF(COUNTIFS($C:$C,$C38,$D:$D,"기준(전)",$L:$L,"&gt;0")&lt;&gt;1,"기준(전) 유효 1개 아님",IF(COUNTIFS($C:$C,$C38,$D:$D,"기준(후)",$L:$L,"&gt;0")&lt;&gt;1,"기준(후) 유효 1개 아님",IF(NOT(AND(ISNUMBER(N38),ISNUMBER(P38),ISNUMBER(H38))),"시각 결측",IF(P38&lt;=N38,"기준 시각 역전",IF(OR(H38&lt;N38,H38&gt;P38),"측정시각 구간 밖","OK")))))</f>
        <v/>
      </c>
      <c r="N38" s="45">
        <f>IF(COUNTIFS($C:$C,$C38,$D:$D,"기준(전)",$L:$L,"&gt;0")&lt;&gt;1,"",SUMIFS($H:$H,$C:$C,$C38,$D:$D,"기준(전)"))</f>
        <v/>
      </c>
      <c r="O38" s="30">
        <f>IF(COUNTIFS($C:$C,$C38,$D:$D,"기준(전)",$L:$L,"&gt;0")&lt;&gt;1,"",SUMIFS($L:$L,$C:$C,$C38,$D:$D,"기준(전)"))</f>
        <v/>
      </c>
      <c r="P38" s="45">
        <f>IF(COUNTIFS($C:$C,$C38,$D:$D,"기준(후)",$L:$L,"&gt;0")&lt;&gt;1,"",SUMIFS($H:$H,$C:$C,$C38,$D:$D,"기준(후)"))</f>
        <v/>
      </c>
      <c r="Q38" s="30">
        <f>IF(COUNTIFS($C:$C,$C38,$D:$D,"기준(후)",$L:$L,"&gt;0")&lt;&gt;1,"",SUMIFS($L:$L,$C:$C,$C38,$D:$D,"기준(후)"))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IF(OR($D37&lt;&gt;"측정",$C37&lt;&gt;$C38,NOT(ISNUMBER(L38)),NOT(ISNUMBER(L37)),(IF(ISNUMBER(F38),F38,E38)-IF(ISNUMBER(F37),F37,E37))=0),"",(L38-L37)/((IF(ISNUMBER(F38),F38,E38)-IF(ISNUMBER(F37),F37,E37))/100))</f>
        <v/>
      </c>
      <c r="U38" s="28" t="n"/>
      <c r="V38" s="28" t="n"/>
      <c r="W38" s="31" t="n"/>
    </row>
    <row r="39">
      <c r="A39" s="25" t="inlineStr">
        <is>
          <t>S03</t>
        </is>
      </c>
      <c r="B39" s="25" t="inlineStr">
        <is>
          <t>예산 신규점2</t>
        </is>
      </c>
      <c r="C39" s="25" t="inlineStr">
        <is>
          <t>S03-V</t>
        </is>
      </c>
      <c r="D39" s="25" t="inlineStr">
        <is>
          <t>측정</t>
        </is>
      </c>
      <c r="E39" s="48" t="n">
        <v>200</v>
      </c>
      <c r="F39" s="40" t="n"/>
      <c r="G39" s="28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IF(COUNTIFS($C:$C,$C39,$D:$D,"기준(전)",$L:$L,"&gt;0")&lt;&gt;1,"기준(전) 유효 1개 아님",IF(COUNTIFS($C:$C,$C39,$D:$D,"기준(후)",$L:$L,"&gt;0")&lt;&gt;1,"기준(후) 유효 1개 아님",IF(NOT(AND(ISNUMBER(N39),ISNUMBER(P39),ISNUMBER(H39))),"시각 결측",IF(P39&lt;=N39,"기준 시각 역전",IF(OR(H39&lt;N39,H39&gt;P39),"측정시각 구간 밖","OK")))))</f>
        <v/>
      </c>
      <c r="N39" s="45">
        <f>IF(COUNTIFS($C:$C,$C39,$D:$D,"기준(전)",$L:$L,"&gt;0")&lt;&gt;1,"",SUMIFS($H:$H,$C:$C,$C39,$D:$D,"기준(전)"))</f>
        <v/>
      </c>
      <c r="O39" s="30">
        <f>IF(COUNTIFS($C:$C,$C39,$D:$D,"기준(전)",$L:$L,"&gt;0")&lt;&gt;1,"",SUMIFS($L:$L,$C:$C,$C39,$D:$D,"기준(전)"))</f>
        <v/>
      </c>
      <c r="P39" s="45">
        <f>IF(COUNTIFS($C:$C,$C39,$D:$D,"기준(후)",$L:$L,"&gt;0")&lt;&gt;1,"",SUMIFS($H:$H,$C:$C,$C39,$D:$D,"기준(후)"))</f>
        <v/>
      </c>
      <c r="Q39" s="30">
        <f>IF(COUNTIFS($C:$C,$C39,$D:$D,"기준(후)",$L:$L,"&gt;0")&lt;&gt;1,"",SUMIFS($L:$L,$C:$C,$C39,$D:$D,"기준(후)"))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IF(OR($D38&lt;&gt;"측정",$C38&lt;&gt;$C39,NOT(ISNUMBER(L39)),NOT(ISNUMBER(L38)),(IF(ISNUMBER(F39),F39,E39)-IF(ISNUMBER(F38),F38,E38))=0),"",(L39-L38)/((IF(ISNUMBER(F39),F39,E39)-IF(ISNUMBER(F38),F38,E38))/100))</f>
        <v/>
      </c>
      <c r="U39" s="28" t="n"/>
      <c r="V39" s="28" t="n"/>
      <c r="W39" s="31" t="n"/>
    </row>
    <row r="40">
      <c r="A40" s="43" t="inlineStr">
        <is>
          <t>S03</t>
        </is>
      </c>
      <c r="B40" s="43" t="inlineStr">
        <is>
          <t>예산 신규점2</t>
        </is>
      </c>
      <c r="C40" s="43" t="inlineStr">
        <is>
          <t>S03-V</t>
        </is>
      </c>
      <c r="D40" s="43" t="inlineStr">
        <is>
          <t>기준(후)</t>
        </is>
      </c>
      <c r="E40" s="47" t="n"/>
      <c r="F40" s="40" t="n"/>
      <c r="G40" s="28" t="n"/>
      <c r="H40" s="42" t="n"/>
      <c r="I40" s="40" t="n"/>
      <c r="J40" s="40" t="n"/>
      <c r="K40" s="40" t="n"/>
      <c r="L40" s="30">
        <f>IF(COUNT(I40:K40)=0,"",MEDIAN(I40:K40))</f>
        <v/>
      </c>
      <c r="M40" s="37" t="n"/>
      <c r="N40" s="37" t="n"/>
      <c r="O40" s="37" t="n"/>
      <c r="P40" s="37" t="n"/>
      <c r="Q40" s="37" t="n"/>
      <c r="R40" s="37" t="n"/>
      <c r="S40" s="37" t="n"/>
      <c r="T40" s="37" t="n"/>
      <c r="U40" s="28" t="n"/>
      <c r="V40" s="28" t="n"/>
      <c r="W40" s="31" t="n"/>
    </row>
    <row r="41">
      <c r="A41" s="43" t="inlineStr">
        <is>
          <t>S04</t>
        </is>
      </c>
      <c r="B41" s="43" t="inlineStr">
        <is>
          <t>진안 신규점1</t>
        </is>
      </c>
      <c r="C41" s="43" t="inlineStr">
        <is>
          <t>S04-V</t>
        </is>
      </c>
      <c r="D41" s="43" t="inlineStr">
        <is>
          <t>기준(전)</t>
        </is>
      </c>
      <c r="E41" s="47" t="n"/>
      <c r="F41" s="40" t="n"/>
      <c r="G41" s="28" t="n"/>
      <c r="H41" s="42" t="n"/>
      <c r="I41" s="40" t="n"/>
      <c r="J41" s="40" t="n"/>
      <c r="K41" s="40" t="n"/>
      <c r="L41" s="30">
        <f>IF(COUNT(I41:K41)=0,"",MEDIAN(I41:K41))</f>
        <v/>
      </c>
      <c r="M41" s="37" t="n"/>
      <c r="N41" s="37" t="n"/>
      <c r="O41" s="37" t="n"/>
      <c r="P41" s="37" t="n"/>
      <c r="Q41" s="37" t="n"/>
      <c r="R41" s="37" t="n"/>
      <c r="S41" s="37" t="n"/>
      <c r="T41" s="37" t="n"/>
      <c r="U41" s="28" t="n"/>
      <c r="V41" s="28" t="n"/>
      <c r="W41" s="31" t="n"/>
    </row>
    <row r="42">
      <c r="A42" s="25" t="inlineStr">
        <is>
          <t>S04</t>
        </is>
      </c>
      <c r="B42" s="25" t="inlineStr">
        <is>
          <t>진안 신규점1</t>
        </is>
      </c>
      <c r="C42" s="25" t="inlineStr">
        <is>
          <t>S04-V</t>
        </is>
      </c>
      <c r="D42" s="25" t="inlineStr">
        <is>
          <t>측정</t>
        </is>
      </c>
      <c r="E42" s="48" t="n">
        <v>20</v>
      </c>
      <c r="F42" s="40" t="n"/>
      <c r="G42" s="28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IF(COUNTIFS($C:$C,$C42,$D:$D,"기준(전)",$L:$L,"&gt;0")&lt;&gt;1,"기준(전) 유효 1개 아님",IF(COUNTIFS($C:$C,$C42,$D:$D,"기준(후)",$L:$L,"&gt;0")&lt;&gt;1,"기준(후) 유효 1개 아님",IF(NOT(AND(ISNUMBER(N42),ISNUMBER(P42),ISNUMBER(H42))),"시각 결측",IF(P42&lt;=N42,"기준 시각 역전",IF(OR(H42&lt;N42,H42&gt;P42),"측정시각 구간 밖","OK")))))</f>
        <v/>
      </c>
      <c r="N42" s="45">
        <f>IF(COUNTIFS($C:$C,$C42,$D:$D,"기준(전)",$L:$L,"&gt;0")&lt;&gt;1,"",SUMIFS($H:$H,$C:$C,$C42,$D:$D,"기준(전)"))</f>
        <v/>
      </c>
      <c r="O42" s="30">
        <f>IF(COUNTIFS($C:$C,$C42,$D:$D,"기준(전)",$L:$L,"&gt;0")&lt;&gt;1,"",SUMIFS($L:$L,$C:$C,$C42,$D:$D,"기준(전)"))</f>
        <v/>
      </c>
      <c r="P42" s="45">
        <f>IF(COUNTIFS($C:$C,$C42,$D:$D,"기준(후)",$L:$L,"&gt;0")&lt;&gt;1,"",SUMIFS($H:$H,$C:$C,$C42,$D:$D,"기준(후)"))</f>
        <v/>
      </c>
      <c r="Q42" s="30">
        <f>IF(COUNTIFS($C:$C,$C42,$D:$D,"기준(후)",$L:$L,"&gt;0")&lt;&gt;1,"",SUMIFS($L:$L,$C:$C,$C42,$D:$D,"기준(후)"))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IF(OR($D41&lt;&gt;"측정",$C41&lt;&gt;$C42,NOT(ISNUMBER(L42)),NOT(ISNUMBER(L41)),(IF(ISNUMBER(F42),F42,E42)-IF(ISNUMBER(F41),F41,E41))=0),"",(L42-L41)/((IF(ISNUMBER(F42),F42,E42)-IF(ISNUMBER(F41),F41,E41))/100))</f>
        <v/>
      </c>
      <c r="U42" s="28" t="n"/>
      <c r="V42" s="28" t="n"/>
      <c r="W42" s="31" t="n"/>
    </row>
    <row r="43">
      <c r="A43" s="25" t="inlineStr">
        <is>
          <t>S04</t>
        </is>
      </c>
      <c r="B43" s="25" t="inlineStr">
        <is>
          <t>진안 신규점1</t>
        </is>
      </c>
      <c r="C43" s="25" t="inlineStr">
        <is>
          <t>S04-V</t>
        </is>
      </c>
      <c r="D43" s="25" t="inlineStr">
        <is>
          <t>측정</t>
        </is>
      </c>
      <c r="E43" s="48" t="n">
        <v>40</v>
      </c>
      <c r="F43" s="40" t="n"/>
      <c r="G43" s="28" t="n"/>
      <c r="H43" s="42" t="n"/>
      <c r="I43" s="40" t="n"/>
      <c r="J43" s="40" t="n"/>
      <c r="K43" s="40" t="n"/>
      <c r="L43" s="30">
        <f>IF(COUNT(I43:K43)=0,"",MEDIAN(I43:K43))</f>
        <v/>
      </c>
      <c r="M43" s="25">
        <f>IF(COUNTIFS($C:$C,$C43,$D:$D,"기준(전)",$L:$L,"&gt;0")&lt;&gt;1,"기준(전) 유효 1개 아님",IF(COUNTIFS($C:$C,$C43,$D:$D,"기준(후)",$L:$L,"&gt;0")&lt;&gt;1,"기준(후) 유효 1개 아님",IF(NOT(AND(ISNUMBER(N43),ISNUMBER(P43),ISNUMBER(H43))),"시각 결측",IF(P43&lt;=N43,"기준 시각 역전",IF(OR(H43&lt;N43,H43&gt;P43),"측정시각 구간 밖","OK")))))</f>
        <v/>
      </c>
      <c r="N43" s="45">
        <f>IF(COUNTIFS($C:$C,$C43,$D:$D,"기준(전)",$L:$L,"&gt;0")&lt;&gt;1,"",SUMIFS($H:$H,$C:$C,$C43,$D:$D,"기준(전)"))</f>
        <v/>
      </c>
      <c r="O43" s="30">
        <f>IF(COUNTIFS($C:$C,$C43,$D:$D,"기준(전)",$L:$L,"&gt;0")&lt;&gt;1,"",SUMIFS($L:$L,$C:$C,$C43,$D:$D,"기준(전)"))</f>
        <v/>
      </c>
      <c r="P43" s="45">
        <f>IF(COUNTIFS($C:$C,$C43,$D:$D,"기준(후)",$L:$L,"&gt;0")&lt;&gt;1,"",SUMIFS($H:$H,$C:$C,$C43,$D:$D,"기준(후)"))</f>
        <v/>
      </c>
      <c r="Q43" s="30">
        <f>IF(COUNTIFS($C:$C,$C43,$D:$D,"기준(후)",$L:$L,"&gt;0")&lt;&gt;1,"",SUMIFS($L:$L,$C:$C,$C43,$D:$D,"기준(후)"))</f>
        <v/>
      </c>
      <c r="R43" s="30">
        <f>IF(M43&lt;&gt;"OK","",O43+(Q43-O43)*(H43-N43)/(P43-N43))</f>
        <v/>
      </c>
      <c r="S43" s="30">
        <f>IF(OR(M43&lt;&gt;"OK",NOT(ISNUMBER(L43))),"",L43-R43)</f>
        <v/>
      </c>
      <c r="T43" s="46">
        <f>IF(OR($D42&lt;&gt;"측정",$C42&lt;&gt;$C43,NOT(ISNUMBER(L43)),NOT(ISNUMBER(L42)),(IF(ISNUMBER(F43),F43,E43)-IF(ISNUMBER(F42),F42,E42))=0),"",(L43-L42)/((IF(ISNUMBER(F43),F43,E43)-IF(ISNUMBER(F42),F42,E42))/100))</f>
        <v/>
      </c>
      <c r="U43" s="28" t="n"/>
      <c r="V43" s="28" t="n"/>
      <c r="W43" s="31" t="n"/>
    </row>
    <row r="44">
      <c r="A44" s="25" t="inlineStr">
        <is>
          <t>S04</t>
        </is>
      </c>
      <c r="B44" s="25" t="inlineStr">
        <is>
          <t>진안 신규점1</t>
        </is>
      </c>
      <c r="C44" s="25" t="inlineStr">
        <is>
          <t>S04-V</t>
        </is>
      </c>
      <c r="D44" s="25" t="inlineStr">
        <is>
          <t>측정</t>
        </is>
      </c>
      <c r="E44" s="48" t="n">
        <v>60</v>
      </c>
      <c r="F44" s="40" t="n"/>
      <c r="G44" s="28" t="n"/>
      <c r="H44" s="42" t="n"/>
      <c r="I44" s="40" t="n"/>
      <c r="J44" s="40" t="n"/>
      <c r="K44" s="40" t="n"/>
      <c r="L44" s="30">
        <f>IF(COUNT(I44:K44)=0,"",MEDIAN(I44:K44))</f>
        <v/>
      </c>
      <c r="M44" s="25">
        <f>IF(COUNTIFS($C:$C,$C44,$D:$D,"기준(전)",$L:$L,"&gt;0")&lt;&gt;1,"기준(전) 유효 1개 아님",IF(COUNTIFS($C:$C,$C44,$D:$D,"기준(후)",$L:$L,"&gt;0")&lt;&gt;1,"기준(후) 유효 1개 아님",IF(NOT(AND(ISNUMBER(N44),ISNUMBER(P44),ISNUMBER(H44))),"시각 결측",IF(P44&lt;=N44,"기준 시각 역전",IF(OR(H44&lt;N44,H44&gt;P44),"측정시각 구간 밖","OK")))))</f>
        <v/>
      </c>
      <c r="N44" s="45">
        <f>IF(COUNTIFS($C:$C,$C44,$D:$D,"기준(전)",$L:$L,"&gt;0")&lt;&gt;1,"",SUMIFS($H:$H,$C:$C,$C44,$D:$D,"기준(전)"))</f>
        <v/>
      </c>
      <c r="O44" s="30">
        <f>IF(COUNTIFS($C:$C,$C44,$D:$D,"기준(전)",$L:$L,"&gt;0")&lt;&gt;1,"",SUMIFS($L:$L,$C:$C,$C44,$D:$D,"기준(전)"))</f>
        <v/>
      </c>
      <c r="P44" s="45">
        <f>IF(COUNTIFS($C:$C,$C44,$D:$D,"기준(후)",$L:$L,"&gt;0")&lt;&gt;1,"",SUMIFS($H:$H,$C:$C,$C44,$D:$D,"기준(후)"))</f>
        <v/>
      </c>
      <c r="Q44" s="30">
        <f>IF(COUNTIFS($C:$C,$C44,$D:$D,"기준(후)",$L:$L,"&gt;0")&lt;&gt;1,"",SUMIFS($L:$L,$C:$C,$C44,$D:$D,"기준(후)"))</f>
        <v/>
      </c>
      <c r="R44" s="30">
        <f>IF(M44&lt;&gt;"OK","",O44+(Q44-O44)*(H44-N44)/(P44-N44))</f>
        <v/>
      </c>
      <c r="S44" s="30">
        <f>IF(OR(M44&lt;&gt;"OK",NOT(ISNUMBER(L44))),"",L44-R44)</f>
        <v/>
      </c>
      <c r="T44" s="46">
        <f>IF(OR($D43&lt;&gt;"측정",$C43&lt;&gt;$C44,NOT(ISNUMBER(L44)),NOT(ISNUMBER(L43)),(IF(ISNUMBER(F44),F44,E44)-IF(ISNUMBER(F43),F43,E43))=0),"",(L44-L43)/((IF(ISNUMBER(F44),F44,E44)-IF(ISNUMBER(F43),F43,E43))/100))</f>
        <v/>
      </c>
      <c r="U44" s="28" t="n"/>
      <c r="V44" s="28" t="n"/>
      <c r="W44" s="31" t="n"/>
    </row>
    <row r="45">
      <c r="A45" s="25" t="inlineStr">
        <is>
          <t>S04</t>
        </is>
      </c>
      <c r="B45" s="25" t="inlineStr">
        <is>
          <t>진안 신규점1</t>
        </is>
      </c>
      <c r="C45" s="25" t="inlineStr">
        <is>
          <t>S04-V</t>
        </is>
      </c>
      <c r="D45" s="25" t="inlineStr">
        <is>
          <t>측정</t>
        </is>
      </c>
      <c r="E45" s="48" t="n">
        <v>80</v>
      </c>
      <c r="F45" s="40" t="n"/>
      <c r="G45" s="28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IF(COUNTIFS($C:$C,$C45,$D:$D,"기준(전)",$L:$L,"&gt;0")&lt;&gt;1,"기준(전) 유효 1개 아님",IF(COUNTIFS($C:$C,$C45,$D:$D,"기준(후)",$L:$L,"&gt;0")&lt;&gt;1,"기준(후) 유효 1개 아님",IF(NOT(AND(ISNUMBER(N45),ISNUMBER(P45),ISNUMBER(H45))),"시각 결측",IF(P45&lt;=N45,"기준 시각 역전",IF(OR(H45&lt;N45,H45&gt;P45),"측정시각 구간 밖","OK")))))</f>
        <v/>
      </c>
      <c r="N45" s="45">
        <f>IF(COUNTIFS($C:$C,$C45,$D:$D,"기준(전)",$L:$L,"&gt;0")&lt;&gt;1,"",SUMIFS($H:$H,$C:$C,$C45,$D:$D,"기준(전)"))</f>
        <v/>
      </c>
      <c r="O45" s="30">
        <f>IF(COUNTIFS($C:$C,$C45,$D:$D,"기준(전)",$L:$L,"&gt;0")&lt;&gt;1,"",SUMIFS($L:$L,$C:$C,$C45,$D:$D,"기준(전)"))</f>
        <v/>
      </c>
      <c r="P45" s="45">
        <f>IF(COUNTIFS($C:$C,$C45,$D:$D,"기준(후)",$L:$L,"&gt;0")&lt;&gt;1,"",SUMIFS($H:$H,$C:$C,$C45,$D:$D,"기준(후)"))</f>
        <v/>
      </c>
      <c r="Q45" s="30">
        <f>IF(COUNTIFS($C:$C,$C45,$D:$D,"기준(후)",$L:$L,"&gt;0")&lt;&gt;1,"",SUMIFS($L:$L,$C:$C,$C45,$D:$D,"기준(후)"))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IF(OR($D44&lt;&gt;"측정",$C44&lt;&gt;$C45,NOT(ISNUMBER(L45)),NOT(ISNUMBER(L44)),(IF(ISNUMBER(F45),F45,E45)-IF(ISNUMBER(F44),F44,E44))=0),"",(L45-L44)/((IF(ISNUMBER(F45),F45,E45)-IF(ISNUMBER(F44),F44,E44))/100))</f>
        <v/>
      </c>
      <c r="U45" s="28" t="n"/>
      <c r="V45" s="28" t="n"/>
      <c r="W45" s="31" t="n"/>
    </row>
    <row r="46">
      <c r="A46" s="25" t="inlineStr">
        <is>
          <t>S04</t>
        </is>
      </c>
      <c r="B46" s="25" t="inlineStr">
        <is>
          <t>진안 신규점1</t>
        </is>
      </c>
      <c r="C46" s="25" t="inlineStr">
        <is>
          <t>S04-V</t>
        </is>
      </c>
      <c r="D46" s="25" t="inlineStr">
        <is>
          <t>측정</t>
        </is>
      </c>
      <c r="E46" s="48" t="n">
        <v>100</v>
      </c>
      <c r="F46" s="40" t="n"/>
      <c r="G46" s="28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IF(COUNTIFS($C:$C,$C46,$D:$D,"기준(전)",$L:$L,"&gt;0")&lt;&gt;1,"기준(전) 유효 1개 아님",IF(COUNTIFS($C:$C,$C46,$D:$D,"기준(후)",$L:$L,"&gt;0")&lt;&gt;1,"기준(후) 유효 1개 아님",IF(NOT(AND(ISNUMBER(N46),ISNUMBER(P46),ISNUMBER(H46))),"시각 결측",IF(P46&lt;=N46,"기준 시각 역전",IF(OR(H46&lt;N46,H46&gt;P46),"측정시각 구간 밖","OK")))))</f>
        <v/>
      </c>
      <c r="N46" s="45">
        <f>IF(COUNTIFS($C:$C,$C46,$D:$D,"기준(전)",$L:$L,"&gt;0")&lt;&gt;1,"",SUMIFS($H:$H,$C:$C,$C46,$D:$D,"기준(전)"))</f>
        <v/>
      </c>
      <c r="O46" s="30">
        <f>IF(COUNTIFS($C:$C,$C46,$D:$D,"기준(전)",$L:$L,"&gt;0")&lt;&gt;1,"",SUMIFS($L:$L,$C:$C,$C46,$D:$D,"기준(전)"))</f>
        <v/>
      </c>
      <c r="P46" s="45">
        <f>IF(COUNTIFS($C:$C,$C46,$D:$D,"기준(후)",$L:$L,"&gt;0")&lt;&gt;1,"",SUMIFS($H:$H,$C:$C,$C46,$D:$D,"기준(후)"))</f>
        <v/>
      </c>
      <c r="Q46" s="30">
        <f>IF(COUNTIFS($C:$C,$C46,$D:$D,"기준(후)",$L:$L,"&gt;0")&lt;&gt;1,"",SUMIFS($L:$L,$C:$C,$C46,$D:$D,"기준(후)"))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IF(OR($D45&lt;&gt;"측정",$C45&lt;&gt;$C46,NOT(ISNUMBER(L46)),NOT(ISNUMBER(L45)),(IF(ISNUMBER(F46),F46,E46)-IF(ISNUMBER(F45),F45,E45))=0),"",(L46-L45)/((IF(ISNUMBER(F46),F46,E46)-IF(ISNUMBER(F45),F45,E45))/100))</f>
        <v/>
      </c>
      <c r="U46" s="28" t="n"/>
      <c r="V46" s="28" t="n"/>
      <c r="W46" s="31" t="n"/>
    </row>
    <row r="47">
      <c r="A47" s="25" t="inlineStr">
        <is>
          <t>S04</t>
        </is>
      </c>
      <c r="B47" s="25" t="inlineStr">
        <is>
          <t>진안 신규점1</t>
        </is>
      </c>
      <c r="C47" s="25" t="inlineStr">
        <is>
          <t>S04-V</t>
        </is>
      </c>
      <c r="D47" s="25" t="inlineStr">
        <is>
          <t>측정</t>
        </is>
      </c>
      <c r="E47" s="48" t="n">
        <v>120</v>
      </c>
      <c r="F47" s="40" t="n"/>
      <c r="G47" s="28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IF(COUNTIFS($C:$C,$C47,$D:$D,"기준(전)",$L:$L,"&gt;0")&lt;&gt;1,"기준(전) 유효 1개 아님",IF(COUNTIFS($C:$C,$C47,$D:$D,"기준(후)",$L:$L,"&gt;0")&lt;&gt;1,"기준(후) 유효 1개 아님",IF(NOT(AND(ISNUMBER(N47),ISNUMBER(P47),ISNUMBER(H47))),"시각 결측",IF(P47&lt;=N47,"기준 시각 역전",IF(OR(H47&lt;N47,H47&gt;P47),"측정시각 구간 밖","OK")))))</f>
        <v/>
      </c>
      <c r="N47" s="45">
        <f>IF(COUNTIFS($C:$C,$C47,$D:$D,"기준(전)",$L:$L,"&gt;0")&lt;&gt;1,"",SUMIFS($H:$H,$C:$C,$C47,$D:$D,"기준(전)"))</f>
        <v/>
      </c>
      <c r="O47" s="30">
        <f>IF(COUNTIFS($C:$C,$C47,$D:$D,"기준(전)",$L:$L,"&gt;0")&lt;&gt;1,"",SUMIFS($L:$L,$C:$C,$C47,$D:$D,"기준(전)"))</f>
        <v/>
      </c>
      <c r="P47" s="45">
        <f>IF(COUNTIFS($C:$C,$C47,$D:$D,"기준(후)",$L:$L,"&gt;0")&lt;&gt;1,"",SUMIFS($H:$H,$C:$C,$C47,$D:$D,"기준(후)"))</f>
        <v/>
      </c>
      <c r="Q47" s="30">
        <f>IF(COUNTIFS($C:$C,$C47,$D:$D,"기준(후)",$L:$L,"&gt;0")&lt;&gt;1,"",SUMIFS($L:$L,$C:$C,$C47,$D:$D,"기준(후)"))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IF(OR($D46&lt;&gt;"측정",$C46&lt;&gt;$C47,NOT(ISNUMBER(L47)),NOT(ISNUMBER(L46)),(IF(ISNUMBER(F47),F47,E47)-IF(ISNUMBER(F46),F46,E46))=0),"",(L47-L46)/((IF(ISNUMBER(F47),F47,E47)-IF(ISNUMBER(F46),F46,E46))/100))</f>
        <v/>
      </c>
      <c r="U47" s="28" t="n"/>
      <c r="V47" s="28" t="n"/>
      <c r="W47" s="31" t="n"/>
    </row>
    <row r="48">
      <c r="A48" s="25" t="inlineStr">
        <is>
          <t>S04</t>
        </is>
      </c>
      <c r="B48" s="25" t="inlineStr">
        <is>
          <t>진안 신규점1</t>
        </is>
      </c>
      <c r="C48" s="25" t="inlineStr">
        <is>
          <t>S04-V</t>
        </is>
      </c>
      <c r="D48" s="25" t="inlineStr">
        <is>
          <t>측정</t>
        </is>
      </c>
      <c r="E48" s="48" t="n">
        <v>140</v>
      </c>
      <c r="F48" s="40" t="n"/>
      <c r="G48" s="28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IF(COUNTIFS($C:$C,$C48,$D:$D,"기준(전)",$L:$L,"&gt;0")&lt;&gt;1,"기준(전) 유효 1개 아님",IF(COUNTIFS($C:$C,$C48,$D:$D,"기준(후)",$L:$L,"&gt;0")&lt;&gt;1,"기준(후) 유효 1개 아님",IF(NOT(AND(ISNUMBER(N48),ISNUMBER(P48),ISNUMBER(H48))),"시각 결측",IF(P48&lt;=N48,"기준 시각 역전",IF(OR(H48&lt;N48,H48&gt;P48),"측정시각 구간 밖","OK")))))</f>
        <v/>
      </c>
      <c r="N48" s="45">
        <f>IF(COUNTIFS($C:$C,$C48,$D:$D,"기준(전)",$L:$L,"&gt;0")&lt;&gt;1,"",SUMIFS($H:$H,$C:$C,$C48,$D:$D,"기준(전)"))</f>
        <v/>
      </c>
      <c r="O48" s="30">
        <f>IF(COUNTIFS($C:$C,$C48,$D:$D,"기준(전)",$L:$L,"&gt;0")&lt;&gt;1,"",SUMIFS($L:$L,$C:$C,$C48,$D:$D,"기준(전)"))</f>
        <v/>
      </c>
      <c r="P48" s="45">
        <f>IF(COUNTIFS($C:$C,$C48,$D:$D,"기준(후)",$L:$L,"&gt;0")&lt;&gt;1,"",SUMIFS($H:$H,$C:$C,$C48,$D:$D,"기준(후)"))</f>
        <v/>
      </c>
      <c r="Q48" s="30">
        <f>IF(COUNTIFS($C:$C,$C48,$D:$D,"기준(후)",$L:$L,"&gt;0")&lt;&gt;1,"",SUMIFS($L:$L,$C:$C,$C48,$D:$D,"기준(후)"))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IF(OR($D47&lt;&gt;"측정",$C47&lt;&gt;$C48,NOT(ISNUMBER(L48)),NOT(ISNUMBER(L47)),(IF(ISNUMBER(F48),F48,E48)-IF(ISNUMBER(F47),F47,E47))=0),"",(L48-L47)/((IF(ISNUMBER(F48),F48,E48)-IF(ISNUMBER(F47),F47,E47))/100))</f>
        <v/>
      </c>
      <c r="U48" s="28" t="n"/>
      <c r="V48" s="28" t="n"/>
      <c r="W48" s="31" t="n"/>
    </row>
    <row r="49">
      <c r="A49" s="25" t="inlineStr">
        <is>
          <t>S04</t>
        </is>
      </c>
      <c r="B49" s="25" t="inlineStr">
        <is>
          <t>진안 신규점1</t>
        </is>
      </c>
      <c r="C49" s="25" t="inlineStr">
        <is>
          <t>S04-V</t>
        </is>
      </c>
      <c r="D49" s="25" t="inlineStr">
        <is>
          <t>측정</t>
        </is>
      </c>
      <c r="E49" s="48" t="n">
        <v>160</v>
      </c>
      <c r="F49" s="40" t="n"/>
      <c r="G49" s="28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IF(COUNTIFS($C:$C,$C49,$D:$D,"기준(전)",$L:$L,"&gt;0")&lt;&gt;1,"기준(전) 유효 1개 아님",IF(COUNTIFS($C:$C,$C49,$D:$D,"기준(후)",$L:$L,"&gt;0")&lt;&gt;1,"기준(후) 유효 1개 아님",IF(NOT(AND(ISNUMBER(N49),ISNUMBER(P49),ISNUMBER(H49))),"시각 결측",IF(P49&lt;=N49,"기준 시각 역전",IF(OR(H49&lt;N49,H49&gt;P49),"측정시각 구간 밖","OK")))))</f>
        <v/>
      </c>
      <c r="N49" s="45">
        <f>IF(COUNTIFS($C:$C,$C49,$D:$D,"기준(전)",$L:$L,"&gt;0")&lt;&gt;1,"",SUMIFS($H:$H,$C:$C,$C49,$D:$D,"기준(전)"))</f>
        <v/>
      </c>
      <c r="O49" s="30">
        <f>IF(COUNTIFS($C:$C,$C49,$D:$D,"기준(전)",$L:$L,"&gt;0")&lt;&gt;1,"",SUMIFS($L:$L,$C:$C,$C49,$D:$D,"기준(전)"))</f>
        <v/>
      </c>
      <c r="P49" s="45">
        <f>IF(COUNTIFS($C:$C,$C49,$D:$D,"기준(후)",$L:$L,"&gt;0")&lt;&gt;1,"",SUMIFS($H:$H,$C:$C,$C49,$D:$D,"기준(후)"))</f>
        <v/>
      </c>
      <c r="Q49" s="30">
        <f>IF(COUNTIFS($C:$C,$C49,$D:$D,"기준(후)",$L:$L,"&gt;0")&lt;&gt;1,"",SUMIFS($L:$L,$C:$C,$C49,$D:$D,"기준(후)"))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IF(OR($D48&lt;&gt;"측정",$C48&lt;&gt;$C49,NOT(ISNUMBER(L49)),NOT(ISNUMBER(L48)),(IF(ISNUMBER(F49),F49,E49)-IF(ISNUMBER(F48),F48,E48))=0),"",(L49-L48)/((IF(ISNUMBER(F49),F49,E49)-IF(ISNUMBER(F48),F48,E48))/100))</f>
        <v/>
      </c>
      <c r="U49" s="28" t="n"/>
      <c r="V49" s="28" t="n"/>
      <c r="W49" s="31" t="n"/>
    </row>
    <row r="50">
      <c r="A50" s="25" t="inlineStr">
        <is>
          <t>S04</t>
        </is>
      </c>
      <c r="B50" s="25" t="inlineStr">
        <is>
          <t>진안 신규점1</t>
        </is>
      </c>
      <c r="C50" s="25" t="inlineStr">
        <is>
          <t>S04-V</t>
        </is>
      </c>
      <c r="D50" s="25" t="inlineStr">
        <is>
          <t>측정</t>
        </is>
      </c>
      <c r="E50" s="48" t="n">
        <v>180</v>
      </c>
      <c r="F50" s="40" t="n"/>
      <c r="G50" s="28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IF(COUNTIFS($C:$C,$C50,$D:$D,"기준(전)",$L:$L,"&gt;0")&lt;&gt;1,"기준(전) 유효 1개 아님",IF(COUNTIFS($C:$C,$C50,$D:$D,"기준(후)",$L:$L,"&gt;0")&lt;&gt;1,"기준(후) 유효 1개 아님",IF(NOT(AND(ISNUMBER(N50),ISNUMBER(P50),ISNUMBER(H50))),"시각 결측",IF(P50&lt;=N50,"기준 시각 역전",IF(OR(H50&lt;N50,H50&gt;P50),"측정시각 구간 밖","OK")))))</f>
        <v/>
      </c>
      <c r="N50" s="45">
        <f>IF(COUNTIFS($C:$C,$C50,$D:$D,"기준(전)",$L:$L,"&gt;0")&lt;&gt;1,"",SUMIFS($H:$H,$C:$C,$C50,$D:$D,"기준(전)"))</f>
        <v/>
      </c>
      <c r="O50" s="30">
        <f>IF(COUNTIFS($C:$C,$C50,$D:$D,"기준(전)",$L:$L,"&gt;0")&lt;&gt;1,"",SUMIFS($L:$L,$C:$C,$C50,$D:$D,"기준(전)"))</f>
        <v/>
      </c>
      <c r="P50" s="45">
        <f>IF(COUNTIFS($C:$C,$C50,$D:$D,"기준(후)",$L:$L,"&gt;0")&lt;&gt;1,"",SUMIFS($H:$H,$C:$C,$C50,$D:$D,"기준(후)"))</f>
        <v/>
      </c>
      <c r="Q50" s="30">
        <f>IF(COUNTIFS($C:$C,$C50,$D:$D,"기준(후)",$L:$L,"&gt;0")&lt;&gt;1,"",SUMIFS($L:$L,$C:$C,$C50,$D:$D,"기준(후)"))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IF(OR($D49&lt;&gt;"측정",$C49&lt;&gt;$C50,NOT(ISNUMBER(L50)),NOT(ISNUMBER(L49)),(IF(ISNUMBER(F50),F50,E50)-IF(ISNUMBER(F49),F49,E49))=0),"",(L50-L49)/((IF(ISNUMBER(F50),F50,E50)-IF(ISNUMBER(F49),F49,E49))/100))</f>
        <v/>
      </c>
      <c r="U50" s="28" t="n"/>
      <c r="V50" s="28" t="n"/>
      <c r="W50" s="31" t="n"/>
    </row>
    <row r="51">
      <c r="A51" s="25" t="inlineStr">
        <is>
          <t>S04</t>
        </is>
      </c>
      <c r="B51" s="25" t="inlineStr">
        <is>
          <t>진안 신규점1</t>
        </is>
      </c>
      <c r="C51" s="25" t="inlineStr">
        <is>
          <t>S04-V</t>
        </is>
      </c>
      <c r="D51" s="25" t="inlineStr">
        <is>
          <t>측정</t>
        </is>
      </c>
      <c r="E51" s="48" t="n">
        <v>200</v>
      </c>
      <c r="F51" s="40" t="n"/>
      <c r="G51" s="28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IF(COUNTIFS($C:$C,$C51,$D:$D,"기준(전)",$L:$L,"&gt;0")&lt;&gt;1,"기준(전) 유효 1개 아님",IF(COUNTIFS($C:$C,$C51,$D:$D,"기준(후)",$L:$L,"&gt;0")&lt;&gt;1,"기준(후) 유효 1개 아님",IF(NOT(AND(ISNUMBER(N51),ISNUMBER(P51),ISNUMBER(H51))),"시각 결측",IF(P51&lt;=N51,"기준 시각 역전",IF(OR(H51&lt;N51,H51&gt;P51),"측정시각 구간 밖","OK")))))</f>
        <v/>
      </c>
      <c r="N51" s="45">
        <f>IF(COUNTIFS($C:$C,$C51,$D:$D,"기준(전)",$L:$L,"&gt;0")&lt;&gt;1,"",SUMIFS($H:$H,$C:$C,$C51,$D:$D,"기준(전)"))</f>
        <v/>
      </c>
      <c r="O51" s="30">
        <f>IF(COUNTIFS($C:$C,$C51,$D:$D,"기준(전)",$L:$L,"&gt;0")&lt;&gt;1,"",SUMIFS($L:$L,$C:$C,$C51,$D:$D,"기준(전)"))</f>
        <v/>
      </c>
      <c r="P51" s="45">
        <f>IF(COUNTIFS($C:$C,$C51,$D:$D,"기준(후)",$L:$L,"&gt;0")&lt;&gt;1,"",SUMIFS($H:$H,$C:$C,$C51,$D:$D,"기준(후)"))</f>
        <v/>
      </c>
      <c r="Q51" s="30">
        <f>IF(COUNTIFS($C:$C,$C51,$D:$D,"기준(후)",$L:$L,"&gt;0")&lt;&gt;1,"",SUMIFS($L:$L,$C:$C,$C51,$D:$D,"기준(후)"))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IF(OR($D50&lt;&gt;"측정",$C50&lt;&gt;$C51,NOT(ISNUMBER(L51)),NOT(ISNUMBER(L50)),(IF(ISNUMBER(F51),F51,E51)-IF(ISNUMBER(F50),F50,E50))=0),"",(L51-L50)/((IF(ISNUMBER(F51),F51,E51)-IF(ISNUMBER(F50),F50,E50))/100))</f>
        <v/>
      </c>
      <c r="U51" s="28" t="n"/>
      <c r="V51" s="28" t="n"/>
      <c r="W51" s="31" t="n"/>
    </row>
    <row r="52">
      <c r="A52" s="43" t="inlineStr">
        <is>
          <t>S04</t>
        </is>
      </c>
      <c r="B52" s="43" t="inlineStr">
        <is>
          <t>진안 신규점1</t>
        </is>
      </c>
      <c r="C52" s="43" t="inlineStr">
        <is>
          <t>S04-V</t>
        </is>
      </c>
      <c r="D52" s="43" t="inlineStr">
        <is>
          <t>기준(후)</t>
        </is>
      </c>
      <c r="E52" s="47" t="n"/>
      <c r="F52" s="40" t="n"/>
      <c r="G52" s="28" t="n"/>
      <c r="H52" s="42" t="n"/>
      <c r="I52" s="40" t="n"/>
      <c r="J52" s="40" t="n"/>
      <c r="K52" s="40" t="n"/>
      <c r="L52" s="30">
        <f>IF(COUNT(I52:K52)=0,"",MEDIAN(I52:K52))</f>
        <v/>
      </c>
      <c r="M52" s="37" t="n"/>
      <c r="N52" s="37" t="n"/>
      <c r="O52" s="37" t="n"/>
      <c r="P52" s="37" t="n"/>
      <c r="Q52" s="37" t="n"/>
      <c r="R52" s="37" t="n"/>
      <c r="S52" s="37" t="n"/>
      <c r="T52" s="37" t="n"/>
      <c r="U52" s="28" t="n"/>
      <c r="V52" s="28" t="n"/>
      <c r="W52" s="31" t="n"/>
    </row>
    <row r="53">
      <c r="A53" s="43" t="inlineStr">
        <is>
          <t>S05</t>
        </is>
      </c>
      <c r="B53" s="43" t="inlineStr">
        <is>
          <t>무풍 신규점1</t>
        </is>
      </c>
      <c r="C53" s="43" t="inlineStr">
        <is>
          <t>S05-V</t>
        </is>
      </c>
      <c r="D53" s="43" t="inlineStr">
        <is>
          <t>기준(전)</t>
        </is>
      </c>
      <c r="E53" s="47" t="n"/>
      <c r="F53" s="40" t="n"/>
      <c r="G53" s="28" t="n"/>
      <c r="H53" s="42" t="n"/>
      <c r="I53" s="40" t="n"/>
      <c r="J53" s="40" t="n"/>
      <c r="K53" s="40" t="n"/>
      <c r="L53" s="30">
        <f>IF(COUNT(I53:K53)=0,"",MEDIAN(I53:K53))</f>
        <v/>
      </c>
      <c r="M53" s="37" t="n"/>
      <c r="N53" s="37" t="n"/>
      <c r="O53" s="37" t="n"/>
      <c r="P53" s="37" t="n"/>
      <c r="Q53" s="37" t="n"/>
      <c r="R53" s="37" t="n"/>
      <c r="S53" s="37" t="n"/>
      <c r="T53" s="37" t="n"/>
      <c r="U53" s="28" t="n"/>
      <c r="V53" s="28" t="n"/>
      <c r="W53" s="31" t="n"/>
    </row>
    <row r="54">
      <c r="A54" s="25" t="inlineStr">
        <is>
          <t>S05</t>
        </is>
      </c>
      <c r="B54" s="25" t="inlineStr">
        <is>
          <t>무풍 신규점1</t>
        </is>
      </c>
      <c r="C54" s="25" t="inlineStr">
        <is>
          <t>S05-V</t>
        </is>
      </c>
      <c r="D54" s="25" t="inlineStr">
        <is>
          <t>측정</t>
        </is>
      </c>
      <c r="E54" s="48" t="n">
        <v>20</v>
      </c>
      <c r="F54" s="40" t="n"/>
      <c r="G54" s="28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IF(COUNTIFS($C:$C,$C54,$D:$D,"기준(전)",$L:$L,"&gt;0")&lt;&gt;1,"기준(전) 유효 1개 아님",IF(COUNTIFS($C:$C,$C54,$D:$D,"기준(후)",$L:$L,"&gt;0")&lt;&gt;1,"기준(후) 유효 1개 아님",IF(NOT(AND(ISNUMBER(N54),ISNUMBER(P54),ISNUMBER(H54))),"시각 결측",IF(P54&lt;=N54,"기준 시각 역전",IF(OR(H54&lt;N54,H54&gt;P54),"측정시각 구간 밖","OK")))))</f>
        <v/>
      </c>
      <c r="N54" s="45">
        <f>IF(COUNTIFS($C:$C,$C54,$D:$D,"기준(전)",$L:$L,"&gt;0")&lt;&gt;1,"",SUMIFS($H:$H,$C:$C,$C54,$D:$D,"기준(전)"))</f>
        <v/>
      </c>
      <c r="O54" s="30">
        <f>IF(COUNTIFS($C:$C,$C54,$D:$D,"기준(전)",$L:$L,"&gt;0")&lt;&gt;1,"",SUMIFS($L:$L,$C:$C,$C54,$D:$D,"기준(전)"))</f>
        <v/>
      </c>
      <c r="P54" s="45">
        <f>IF(COUNTIFS($C:$C,$C54,$D:$D,"기준(후)",$L:$L,"&gt;0")&lt;&gt;1,"",SUMIFS($H:$H,$C:$C,$C54,$D:$D,"기준(후)"))</f>
        <v/>
      </c>
      <c r="Q54" s="30">
        <f>IF(COUNTIFS($C:$C,$C54,$D:$D,"기준(후)",$L:$L,"&gt;0")&lt;&gt;1,"",SUMIFS($L:$L,$C:$C,$C54,$D:$D,"기준(후)"))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IF(OR($D53&lt;&gt;"측정",$C53&lt;&gt;$C54,NOT(ISNUMBER(L54)),NOT(ISNUMBER(L53)),(IF(ISNUMBER(F54),F54,E54)-IF(ISNUMBER(F53),F53,E53))=0),"",(L54-L53)/((IF(ISNUMBER(F54),F54,E54)-IF(ISNUMBER(F53),F53,E53))/100))</f>
        <v/>
      </c>
      <c r="U54" s="28" t="n"/>
      <c r="V54" s="28" t="n"/>
      <c r="W54" s="31" t="n"/>
    </row>
    <row r="55">
      <c r="A55" s="25" t="inlineStr">
        <is>
          <t>S05</t>
        </is>
      </c>
      <c r="B55" s="25" t="inlineStr">
        <is>
          <t>무풍 신규점1</t>
        </is>
      </c>
      <c r="C55" s="25" t="inlineStr">
        <is>
          <t>S05-V</t>
        </is>
      </c>
      <c r="D55" s="25" t="inlineStr">
        <is>
          <t>측정</t>
        </is>
      </c>
      <c r="E55" s="48" t="n">
        <v>40</v>
      </c>
      <c r="F55" s="40" t="n"/>
      <c r="G55" s="28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IF(COUNTIFS($C:$C,$C55,$D:$D,"기준(전)",$L:$L,"&gt;0")&lt;&gt;1,"기준(전) 유효 1개 아님",IF(COUNTIFS($C:$C,$C55,$D:$D,"기준(후)",$L:$L,"&gt;0")&lt;&gt;1,"기준(후) 유효 1개 아님",IF(NOT(AND(ISNUMBER(N55),ISNUMBER(P55),ISNUMBER(H55))),"시각 결측",IF(P55&lt;=N55,"기준 시각 역전",IF(OR(H55&lt;N55,H55&gt;P55),"측정시각 구간 밖","OK")))))</f>
        <v/>
      </c>
      <c r="N55" s="45">
        <f>IF(COUNTIFS($C:$C,$C55,$D:$D,"기준(전)",$L:$L,"&gt;0")&lt;&gt;1,"",SUMIFS($H:$H,$C:$C,$C55,$D:$D,"기준(전)"))</f>
        <v/>
      </c>
      <c r="O55" s="30">
        <f>IF(COUNTIFS($C:$C,$C55,$D:$D,"기준(전)",$L:$L,"&gt;0")&lt;&gt;1,"",SUMIFS($L:$L,$C:$C,$C55,$D:$D,"기준(전)"))</f>
        <v/>
      </c>
      <c r="P55" s="45">
        <f>IF(COUNTIFS($C:$C,$C55,$D:$D,"기준(후)",$L:$L,"&gt;0")&lt;&gt;1,"",SUMIFS($H:$H,$C:$C,$C55,$D:$D,"기준(후)"))</f>
        <v/>
      </c>
      <c r="Q55" s="30">
        <f>IF(COUNTIFS($C:$C,$C55,$D:$D,"기준(후)",$L:$L,"&gt;0")&lt;&gt;1,"",SUMIFS($L:$L,$C:$C,$C55,$D:$D,"기준(후)"))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IF(OR($D54&lt;&gt;"측정",$C54&lt;&gt;$C55,NOT(ISNUMBER(L55)),NOT(ISNUMBER(L54)),(IF(ISNUMBER(F55),F55,E55)-IF(ISNUMBER(F54),F54,E54))=0),"",(L55-L54)/((IF(ISNUMBER(F55),F55,E55)-IF(ISNUMBER(F54),F54,E54))/100))</f>
        <v/>
      </c>
      <c r="U55" s="28" t="n"/>
      <c r="V55" s="28" t="n"/>
      <c r="W55" s="31" t="n"/>
    </row>
    <row r="56">
      <c r="A56" s="25" t="inlineStr">
        <is>
          <t>S05</t>
        </is>
      </c>
      <c r="B56" s="25" t="inlineStr">
        <is>
          <t>무풍 신규점1</t>
        </is>
      </c>
      <c r="C56" s="25" t="inlineStr">
        <is>
          <t>S05-V</t>
        </is>
      </c>
      <c r="D56" s="25" t="inlineStr">
        <is>
          <t>측정</t>
        </is>
      </c>
      <c r="E56" s="48" t="n">
        <v>60</v>
      </c>
      <c r="F56" s="40" t="n"/>
      <c r="G56" s="28" t="n"/>
      <c r="H56" s="42" t="n"/>
      <c r="I56" s="40" t="n"/>
      <c r="J56" s="40" t="n"/>
      <c r="K56" s="40" t="n"/>
      <c r="L56" s="30">
        <f>IF(COUNT(I56:K56)=0,"",MEDIAN(I56:K56))</f>
        <v/>
      </c>
      <c r="M56" s="25">
        <f>IF(COUNTIFS($C:$C,$C56,$D:$D,"기준(전)",$L:$L,"&gt;0")&lt;&gt;1,"기준(전) 유효 1개 아님",IF(COUNTIFS($C:$C,$C56,$D:$D,"기준(후)",$L:$L,"&gt;0")&lt;&gt;1,"기준(후) 유효 1개 아님",IF(NOT(AND(ISNUMBER(N56),ISNUMBER(P56),ISNUMBER(H56))),"시각 결측",IF(P56&lt;=N56,"기준 시각 역전",IF(OR(H56&lt;N56,H56&gt;P56),"측정시각 구간 밖","OK")))))</f>
        <v/>
      </c>
      <c r="N56" s="45">
        <f>IF(COUNTIFS($C:$C,$C56,$D:$D,"기준(전)",$L:$L,"&gt;0")&lt;&gt;1,"",SUMIFS($H:$H,$C:$C,$C56,$D:$D,"기준(전)"))</f>
        <v/>
      </c>
      <c r="O56" s="30">
        <f>IF(COUNTIFS($C:$C,$C56,$D:$D,"기준(전)",$L:$L,"&gt;0")&lt;&gt;1,"",SUMIFS($L:$L,$C:$C,$C56,$D:$D,"기준(전)"))</f>
        <v/>
      </c>
      <c r="P56" s="45">
        <f>IF(COUNTIFS($C:$C,$C56,$D:$D,"기준(후)",$L:$L,"&gt;0")&lt;&gt;1,"",SUMIFS($H:$H,$C:$C,$C56,$D:$D,"기준(후)"))</f>
        <v/>
      </c>
      <c r="Q56" s="30">
        <f>IF(COUNTIFS($C:$C,$C56,$D:$D,"기준(후)",$L:$L,"&gt;0")&lt;&gt;1,"",SUMIFS($L:$L,$C:$C,$C56,$D:$D,"기준(후)"))</f>
        <v/>
      </c>
      <c r="R56" s="30">
        <f>IF(M56&lt;&gt;"OK","",O56+(Q56-O56)*(H56-N56)/(P56-N56))</f>
        <v/>
      </c>
      <c r="S56" s="30">
        <f>IF(OR(M56&lt;&gt;"OK",NOT(ISNUMBER(L56))),"",L56-R56)</f>
        <v/>
      </c>
      <c r="T56" s="46">
        <f>IF(OR($D55&lt;&gt;"측정",$C55&lt;&gt;$C56,NOT(ISNUMBER(L56)),NOT(ISNUMBER(L55)),(IF(ISNUMBER(F56),F56,E56)-IF(ISNUMBER(F55),F55,E55))=0),"",(L56-L55)/((IF(ISNUMBER(F56),F56,E56)-IF(ISNUMBER(F55),F55,E55))/100))</f>
        <v/>
      </c>
      <c r="U56" s="28" t="n"/>
      <c r="V56" s="28" t="n"/>
      <c r="W56" s="31" t="n"/>
    </row>
    <row r="57">
      <c r="A57" s="25" t="inlineStr">
        <is>
          <t>S05</t>
        </is>
      </c>
      <c r="B57" s="25" t="inlineStr">
        <is>
          <t>무풍 신규점1</t>
        </is>
      </c>
      <c r="C57" s="25" t="inlineStr">
        <is>
          <t>S05-V</t>
        </is>
      </c>
      <c r="D57" s="25" t="inlineStr">
        <is>
          <t>측정</t>
        </is>
      </c>
      <c r="E57" s="48" t="n">
        <v>80</v>
      </c>
      <c r="F57" s="40" t="n"/>
      <c r="G57" s="28" t="n"/>
      <c r="H57" s="42" t="n"/>
      <c r="I57" s="40" t="n"/>
      <c r="J57" s="40" t="n"/>
      <c r="K57" s="40" t="n"/>
      <c r="L57" s="30">
        <f>IF(COUNT(I57:K57)=0,"",MEDIAN(I57:K57))</f>
        <v/>
      </c>
      <c r="M57" s="25">
        <f>IF(COUNTIFS($C:$C,$C57,$D:$D,"기준(전)",$L:$L,"&gt;0")&lt;&gt;1,"기준(전) 유효 1개 아님",IF(COUNTIFS($C:$C,$C57,$D:$D,"기준(후)",$L:$L,"&gt;0")&lt;&gt;1,"기준(후) 유효 1개 아님",IF(NOT(AND(ISNUMBER(N57),ISNUMBER(P57),ISNUMBER(H57))),"시각 결측",IF(P57&lt;=N57,"기준 시각 역전",IF(OR(H57&lt;N57,H57&gt;P57),"측정시각 구간 밖","OK")))))</f>
        <v/>
      </c>
      <c r="N57" s="45">
        <f>IF(COUNTIFS($C:$C,$C57,$D:$D,"기준(전)",$L:$L,"&gt;0")&lt;&gt;1,"",SUMIFS($H:$H,$C:$C,$C57,$D:$D,"기준(전)"))</f>
        <v/>
      </c>
      <c r="O57" s="30">
        <f>IF(COUNTIFS($C:$C,$C57,$D:$D,"기준(전)",$L:$L,"&gt;0")&lt;&gt;1,"",SUMIFS($L:$L,$C:$C,$C57,$D:$D,"기준(전)"))</f>
        <v/>
      </c>
      <c r="P57" s="45">
        <f>IF(COUNTIFS($C:$C,$C57,$D:$D,"기준(후)",$L:$L,"&gt;0")&lt;&gt;1,"",SUMIFS($H:$H,$C:$C,$C57,$D:$D,"기준(후)"))</f>
        <v/>
      </c>
      <c r="Q57" s="30">
        <f>IF(COUNTIFS($C:$C,$C57,$D:$D,"기준(후)",$L:$L,"&gt;0")&lt;&gt;1,"",SUMIFS($L:$L,$C:$C,$C57,$D:$D,"기준(후)"))</f>
        <v/>
      </c>
      <c r="R57" s="30">
        <f>IF(M57&lt;&gt;"OK","",O57+(Q57-O57)*(H57-N57)/(P57-N57))</f>
        <v/>
      </c>
      <c r="S57" s="30">
        <f>IF(OR(M57&lt;&gt;"OK",NOT(ISNUMBER(L57))),"",L57-R57)</f>
        <v/>
      </c>
      <c r="T57" s="46">
        <f>IF(OR($D56&lt;&gt;"측정",$C56&lt;&gt;$C57,NOT(ISNUMBER(L57)),NOT(ISNUMBER(L56)),(IF(ISNUMBER(F57),F57,E57)-IF(ISNUMBER(F56),F56,E56))=0),"",(L57-L56)/((IF(ISNUMBER(F57),F57,E57)-IF(ISNUMBER(F56),F56,E56))/100))</f>
        <v/>
      </c>
      <c r="U57" s="28" t="n"/>
      <c r="V57" s="28" t="n"/>
      <c r="W57" s="31" t="n"/>
    </row>
    <row r="58">
      <c r="A58" s="25" t="inlineStr">
        <is>
          <t>S05</t>
        </is>
      </c>
      <c r="B58" s="25" t="inlineStr">
        <is>
          <t>무풍 신규점1</t>
        </is>
      </c>
      <c r="C58" s="25" t="inlineStr">
        <is>
          <t>S05-V</t>
        </is>
      </c>
      <c r="D58" s="25" t="inlineStr">
        <is>
          <t>측정</t>
        </is>
      </c>
      <c r="E58" s="48" t="n">
        <v>100</v>
      </c>
      <c r="F58" s="40" t="n"/>
      <c r="G58" s="28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IF(COUNTIFS($C:$C,$C58,$D:$D,"기준(전)",$L:$L,"&gt;0")&lt;&gt;1,"기준(전) 유효 1개 아님",IF(COUNTIFS($C:$C,$C58,$D:$D,"기준(후)",$L:$L,"&gt;0")&lt;&gt;1,"기준(후) 유효 1개 아님",IF(NOT(AND(ISNUMBER(N58),ISNUMBER(P58),ISNUMBER(H58))),"시각 결측",IF(P58&lt;=N58,"기준 시각 역전",IF(OR(H58&lt;N58,H58&gt;P58),"측정시각 구간 밖","OK")))))</f>
        <v/>
      </c>
      <c r="N58" s="45">
        <f>IF(COUNTIFS($C:$C,$C58,$D:$D,"기준(전)",$L:$L,"&gt;0")&lt;&gt;1,"",SUMIFS($H:$H,$C:$C,$C58,$D:$D,"기준(전)"))</f>
        <v/>
      </c>
      <c r="O58" s="30">
        <f>IF(COUNTIFS($C:$C,$C58,$D:$D,"기준(전)",$L:$L,"&gt;0")&lt;&gt;1,"",SUMIFS($L:$L,$C:$C,$C58,$D:$D,"기준(전)"))</f>
        <v/>
      </c>
      <c r="P58" s="45">
        <f>IF(COUNTIFS($C:$C,$C58,$D:$D,"기준(후)",$L:$L,"&gt;0")&lt;&gt;1,"",SUMIFS($H:$H,$C:$C,$C58,$D:$D,"기준(후)"))</f>
        <v/>
      </c>
      <c r="Q58" s="30">
        <f>IF(COUNTIFS($C:$C,$C58,$D:$D,"기준(후)",$L:$L,"&gt;0")&lt;&gt;1,"",SUMIFS($L:$L,$C:$C,$C58,$D:$D,"기준(후)"))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IF(OR($D57&lt;&gt;"측정",$C57&lt;&gt;$C58,NOT(ISNUMBER(L58)),NOT(ISNUMBER(L57)),(IF(ISNUMBER(F58),F58,E58)-IF(ISNUMBER(F57),F57,E57))=0),"",(L58-L57)/((IF(ISNUMBER(F58),F58,E58)-IF(ISNUMBER(F57),F57,E57))/100))</f>
        <v/>
      </c>
      <c r="U58" s="28" t="n"/>
      <c r="V58" s="28" t="n"/>
      <c r="W58" s="31" t="n"/>
    </row>
    <row r="59">
      <c r="A59" s="25" t="inlineStr">
        <is>
          <t>S05</t>
        </is>
      </c>
      <c r="B59" s="25" t="inlineStr">
        <is>
          <t>무풍 신규점1</t>
        </is>
      </c>
      <c r="C59" s="25" t="inlineStr">
        <is>
          <t>S05-V</t>
        </is>
      </c>
      <c r="D59" s="25" t="inlineStr">
        <is>
          <t>측정</t>
        </is>
      </c>
      <c r="E59" s="48" t="n">
        <v>120</v>
      </c>
      <c r="F59" s="40" t="n"/>
      <c r="G59" s="28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IF(COUNTIFS($C:$C,$C59,$D:$D,"기준(전)",$L:$L,"&gt;0")&lt;&gt;1,"기준(전) 유효 1개 아님",IF(COUNTIFS($C:$C,$C59,$D:$D,"기준(후)",$L:$L,"&gt;0")&lt;&gt;1,"기준(후) 유효 1개 아님",IF(NOT(AND(ISNUMBER(N59),ISNUMBER(P59),ISNUMBER(H59))),"시각 결측",IF(P59&lt;=N59,"기준 시각 역전",IF(OR(H59&lt;N59,H59&gt;P59),"측정시각 구간 밖","OK")))))</f>
        <v/>
      </c>
      <c r="N59" s="45">
        <f>IF(COUNTIFS($C:$C,$C59,$D:$D,"기준(전)",$L:$L,"&gt;0")&lt;&gt;1,"",SUMIFS($H:$H,$C:$C,$C59,$D:$D,"기준(전)"))</f>
        <v/>
      </c>
      <c r="O59" s="30">
        <f>IF(COUNTIFS($C:$C,$C59,$D:$D,"기준(전)",$L:$L,"&gt;0")&lt;&gt;1,"",SUMIFS($L:$L,$C:$C,$C59,$D:$D,"기준(전)"))</f>
        <v/>
      </c>
      <c r="P59" s="45">
        <f>IF(COUNTIFS($C:$C,$C59,$D:$D,"기준(후)",$L:$L,"&gt;0")&lt;&gt;1,"",SUMIFS($H:$H,$C:$C,$C59,$D:$D,"기준(후)"))</f>
        <v/>
      </c>
      <c r="Q59" s="30">
        <f>IF(COUNTIFS($C:$C,$C59,$D:$D,"기준(후)",$L:$L,"&gt;0")&lt;&gt;1,"",SUMIFS($L:$L,$C:$C,$C59,$D:$D,"기준(후)"))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IF(OR($D58&lt;&gt;"측정",$C58&lt;&gt;$C59,NOT(ISNUMBER(L59)),NOT(ISNUMBER(L58)),(IF(ISNUMBER(F59),F59,E59)-IF(ISNUMBER(F58),F58,E58))=0),"",(L59-L58)/((IF(ISNUMBER(F59),F59,E59)-IF(ISNUMBER(F58),F58,E58))/100))</f>
        <v/>
      </c>
      <c r="U59" s="28" t="n"/>
      <c r="V59" s="28" t="n"/>
      <c r="W59" s="31" t="n"/>
    </row>
    <row r="60">
      <c r="A60" s="25" t="inlineStr">
        <is>
          <t>S05</t>
        </is>
      </c>
      <c r="B60" s="25" t="inlineStr">
        <is>
          <t>무풍 신규점1</t>
        </is>
      </c>
      <c r="C60" s="25" t="inlineStr">
        <is>
          <t>S05-V</t>
        </is>
      </c>
      <c r="D60" s="25" t="inlineStr">
        <is>
          <t>측정</t>
        </is>
      </c>
      <c r="E60" s="48" t="n">
        <v>140</v>
      </c>
      <c r="F60" s="40" t="n"/>
      <c r="G60" s="28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IF(COUNTIFS($C:$C,$C60,$D:$D,"기준(전)",$L:$L,"&gt;0")&lt;&gt;1,"기준(전) 유효 1개 아님",IF(COUNTIFS($C:$C,$C60,$D:$D,"기준(후)",$L:$L,"&gt;0")&lt;&gt;1,"기준(후) 유효 1개 아님",IF(NOT(AND(ISNUMBER(N60),ISNUMBER(P60),ISNUMBER(H60))),"시각 결측",IF(P60&lt;=N60,"기준 시각 역전",IF(OR(H60&lt;N60,H60&gt;P60),"측정시각 구간 밖","OK")))))</f>
        <v/>
      </c>
      <c r="N60" s="45">
        <f>IF(COUNTIFS($C:$C,$C60,$D:$D,"기준(전)",$L:$L,"&gt;0")&lt;&gt;1,"",SUMIFS($H:$H,$C:$C,$C60,$D:$D,"기준(전)"))</f>
        <v/>
      </c>
      <c r="O60" s="30">
        <f>IF(COUNTIFS($C:$C,$C60,$D:$D,"기준(전)",$L:$L,"&gt;0")&lt;&gt;1,"",SUMIFS($L:$L,$C:$C,$C60,$D:$D,"기준(전)"))</f>
        <v/>
      </c>
      <c r="P60" s="45">
        <f>IF(COUNTIFS($C:$C,$C60,$D:$D,"기준(후)",$L:$L,"&gt;0")&lt;&gt;1,"",SUMIFS($H:$H,$C:$C,$C60,$D:$D,"기준(후)"))</f>
        <v/>
      </c>
      <c r="Q60" s="30">
        <f>IF(COUNTIFS($C:$C,$C60,$D:$D,"기준(후)",$L:$L,"&gt;0")&lt;&gt;1,"",SUMIFS($L:$L,$C:$C,$C60,$D:$D,"기준(후)"))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IF(OR($D59&lt;&gt;"측정",$C59&lt;&gt;$C60,NOT(ISNUMBER(L60)),NOT(ISNUMBER(L59)),(IF(ISNUMBER(F60),F60,E60)-IF(ISNUMBER(F59),F59,E59))=0),"",(L60-L59)/((IF(ISNUMBER(F60),F60,E60)-IF(ISNUMBER(F59),F59,E59))/100))</f>
        <v/>
      </c>
      <c r="U60" s="28" t="n"/>
      <c r="V60" s="28" t="n"/>
      <c r="W60" s="31" t="n"/>
    </row>
    <row r="61">
      <c r="A61" s="25" t="inlineStr">
        <is>
          <t>S05</t>
        </is>
      </c>
      <c r="B61" s="25" t="inlineStr">
        <is>
          <t>무풍 신규점1</t>
        </is>
      </c>
      <c r="C61" s="25" t="inlineStr">
        <is>
          <t>S05-V</t>
        </is>
      </c>
      <c r="D61" s="25" t="inlineStr">
        <is>
          <t>측정</t>
        </is>
      </c>
      <c r="E61" s="48" t="n">
        <v>160</v>
      </c>
      <c r="F61" s="40" t="n"/>
      <c r="G61" s="28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IF(COUNTIFS($C:$C,$C61,$D:$D,"기준(전)",$L:$L,"&gt;0")&lt;&gt;1,"기준(전) 유효 1개 아님",IF(COUNTIFS($C:$C,$C61,$D:$D,"기준(후)",$L:$L,"&gt;0")&lt;&gt;1,"기준(후) 유효 1개 아님",IF(NOT(AND(ISNUMBER(N61),ISNUMBER(P61),ISNUMBER(H61))),"시각 결측",IF(P61&lt;=N61,"기준 시각 역전",IF(OR(H61&lt;N61,H61&gt;P61),"측정시각 구간 밖","OK")))))</f>
        <v/>
      </c>
      <c r="N61" s="45">
        <f>IF(COUNTIFS($C:$C,$C61,$D:$D,"기준(전)",$L:$L,"&gt;0")&lt;&gt;1,"",SUMIFS($H:$H,$C:$C,$C61,$D:$D,"기준(전)"))</f>
        <v/>
      </c>
      <c r="O61" s="30">
        <f>IF(COUNTIFS($C:$C,$C61,$D:$D,"기준(전)",$L:$L,"&gt;0")&lt;&gt;1,"",SUMIFS($L:$L,$C:$C,$C61,$D:$D,"기준(전)"))</f>
        <v/>
      </c>
      <c r="P61" s="45">
        <f>IF(COUNTIFS($C:$C,$C61,$D:$D,"기준(후)",$L:$L,"&gt;0")&lt;&gt;1,"",SUMIFS($H:$H,$C:$C,$C61,$D:$D,"기준(후)"))</f>
        <v/>
      </c>
      <c r="Q61" s="30">
        <f>IF(COUNTIFS($C:$C,$C61,$D:$D,"기준(후)",$L:$L,"&gt;0")&lt;&gt;1,"",SUMIFS($L:$L,$C:$C,$C61,$D:$D,"기준(후)"))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IF(OR($D60&lt;&gt;"측정",$C60&lt;&gt;$C61,NOT(ISNUMBER(L61)),NOT(ISNUMBER(L60)),(IF(ISNUMBER(F61),F61,E61)-IF(ISNUMBER(F60),F60,E60))=0),"",(L61-L60)/((IF(ISNUMBER(F61),F61,E61)-IF(ISNUMBER(F60),F60,E60))/100))</f>
        <v/>
      </c>
      <c r="U61" s="28" t="n"/>
      <c r="V61" s="28" t="n"/>
      <c r="W61" s="31" t="n"/>
    </row>
    <row r="62">
      <c r="A62" s="25" t="inlineStr">
        <is>
          <t>S05</t>
        </is>
      </c>
      <c r="B62" s="25" t="inlineStr">
        <is>
          <t>무풍 신규점1</t>
        </is>
      </c>
      <c r="C62" s="25" t="inlineStr">
        <is>
          <t>S05-V</t>
        </is>
      </c>
      <c r="D62" s="25" t="inlineStr">
        <is>
          <t>측정</t>
        </is>
      </c>
      <c r="E62" s="48" t="n">
        <v>180</v>
      </c>
      <c r="F62" s="40" t="n"/>
      <c r="G62" s="28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IF(COUNTIFS($C:$C,$C62,$D:$D,"기준(전)",$L:$L,"&gt;0")&lt;&gt;1,"기준(전) 유효 1개 아님",IF(COUNTIFS($C:$C,$C62,$D:$D,"기준(후)",$L:$L,"&gt;0")&lt;&gt;1,"기준(후) 유효 1개 아님",IF(NOT(AND(ISNUMBER(N62),ISNUMBER(P62),ISNUMBER(H62))),"시각 결측",IF(P62&lt;=N62,"기준 시각 역전",IF(OR(H62&lt;N62,H62&gt;P62),"측정시각 구간 밖","OK")))))</f>
        <v/>
      </c>
      <c r="N62" s="45">
        <f>IF(COUNTIFS($C:$C,$C62,$D:$D,"기준(전)",$L:$L,"&gt;0")&lt;&gt;1,"",SUMIFS($H:$H,$C:$C,$C62,$D:$D,"기준(전)"))</f>
        <v/>
      </c>
      <c r="O62" s="30">
        <f>IF(COUNTIFS($C:$C,$C62,$D:$D,"기준(전)",$L:$L,"&gt;0")&lt;&gt;1,"",SUMIFS($L:$L,$C:$C,$C62,$D:$D,"기준(전)"))</f>
        <v/>
      </c>
      <c r="P62" s="45">
        <f>IF(COUNTIFS($C:$C,$C62,$D:$D,"기준(후)",$L:$L,"&gt;0")&lt;&gt;1,"",SUMIFS($H:$H,$C:$C,$C62,$D:$D,"기준(후)"))</f>
        <v/>
      </c>
      <c r="Q62" s="30">
        <f>IF(COUNTIFS($C:$C,$C62,$D:$D,"기준(후)",$L:$L,"&gt;0")&lt;&gt;1,"",SUMIFS($L:$L,$C:$C,$C62,$D:$D,"기준(후)"))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IF(OR($D61&lt;&gt;"측정",$C61&lt;&gt;$C62,NOT(ISNUMBER(L62)),NOT(ISNUMBER(L61)),(IF(ISNUMBER(F62),F62,E62)-IF(ISNUMBER(F61),F61,E61))=0),"",(L62-L61)/((IF(ISNUMBER(F62),F62,E62)-IF(ISNUMBER(F61),F61,E61))/100))</f>
        <v/>
      </c>
      <c r="U62" s="28" t="n"/>
      <c r="V62" s="28" t="n"/>
      <c r="W62" s="31" t="n"/>
    </row>
    <row r="63">
      <c r="A63" s="25" t="inlineStr">
        <is>
          <t>S05</t>
        </is>
      </c>
      <c r="B63" s="25" t="inlineStr">
        <is>
          <t>무풍 신규점1</t>
        </is>
      </c>
      <c r="C63" s="25" t="inlineStr">
        <is>
          <t>S05-V</t>
        </is>
      </c>
      <c r="D63" s="25" t="inlineStr">
        <is>
          <t>측정</t>
        </is>
      </c>
      <c r="E63" s="48" t="n">
        <v>200</v>
      </c>
      <c r="F63" s="40" t="n"/>
      <c r="G63" s="28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IF(COUNTIFS($C:$C,$C63,$D:$D,"기준(전)",$L:$L,"&gt;0")&lt;&gt;1,"기준(전) 유효 1개 아님",IF(COUNTIFS($C:$C,$C63,$D:$D,"기준(후)",$L:$L,"&gt;0")&lt;&gt;1,"기준(후) 유효 1개 아님",IF(NOT(AND(ISNUMBER(N63),ISNUMBER(P63),ISNUMBER(H63))),"시각 결측",IF(P63&lt;=N63,"기준 시각 역전",IF(OR(H63&lt;N63,H63&gt;P63),"측정시각 구간 밖","OK")))))</f>
        <v/>
      </c>
      <c r="N63" s="45">
        <f>IF(COUNTIFS($C:$C,$C63,$D:$D,"기준(전)",$L:$L,"&gt;0")&lt;&gt;1,"",SUMIFS($H:$H,$C:$C,$C63,$D:$D,"기준(전)"))</f>
        <v/>
      </c>
      <c r="O63" s="30">
        <f>IF(COUNTIFS($C:$C,$C63,$D:$D,"기준(전)",$L:$L,"&gt;0")&lt;&gt;1,"",SUMIFS($L:$L,$C:$C,$C63,$D:$D,"기준(전)"))</f>
        <v/>
      </c>
      <c r="P63" s="45">
        <f>IF(COUNTIFS($C:$C,$C63,$D:$D,"기준(후)",$L:$L,"&gt;0")&lt;&gt;1,"",SUMIFS($H:$H,$C:$C,$C63,$D:$D,"기준(후)"))</f>
        <v/>
      </c>
      <c r="Q63" s="30">
        <f>IF(COUNTIFS($C:$C,$C63,$D:$D,"기준(후)",$L:$L,"&gt;0")&lt;&gt;1,"",SUMIFS($L:$L,$C:$C,$C63,$D:$D,"기준(후)"))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IF(OR($D62&lt;&gt;"측정",$C62&lt;&gt;$C63,NOT(ISNUMBER(L63)),NOT(ISNUMBER(L62)),(IF(ISNUMBER(F63),F63,E63)-IF(ISNUMBER(F62),F62,E62))=0),"",(L63-L62)/((IF(ISNUMBER(F63),F63,E63)-IF(ISNUMBER(F62),F62,E62))/100))</f>
        <v/>
      </c>
      <c r="U63" s="28" t="n"/>
      <c r="V63" s="28" t="n"/>
      <c r="W63" s="31" t="n"/>
    </row>
    <row r="64">
      <c r="A64" s="43" t="inlineStr">
        <is>
          <t>S05</t>
        </is>
      </c>
      <c r="B64" s="43" t="inlineStr">
        <is>
          <t>무풍 신규점1</t>
        </is>
      </c>
      <c r="C64" s="43" t="inlineStr">
        <is>
          <t>S05-V</t>
        </is>
      </c>
      <c r="D64" s="43" t="inlineStr">
        <is>
          <t>기준(후)</t>
        </is>
      </c>
      <c r="E64" s="47" t="n"/>
      <c r="F64" s="40" t="n"/>
      <c r="G64" s="28" t="n"/>
      <c r="H64" s="42" t="n"/>
      <c r="I64" s="40" t="n"/>
      <c r="J64" s="40" t="n"/>
      <c r="K64" s="40" t="n"/>
      <c r="L64" s="30">
        <f>IF(COUNT(I64:K64)=0,"",MEDIAN(I64:K64))</f>
        <v/>
      </c>
      <c r="M64" s="37" t="n"/>
      <c r="N64" s="37" t="n"/>
      <c r="O64" s="37" t="n"/>
      <c r="P64" s="37" t="n"/>
      <c r="Q64" s="37" t="n"/>
      <c r="R64" s="37" t="n"/>
      <c r="S64" s="37" t="n"/>
      <c r="T64" s="37" t="n"/>
      <c r="U64" s="28" t="n"/>
      <c r="V64" s="28" t="n"/>
      <c r="W64" s="31" t="n"/>
    </row>
    <row r="65">
      <c r="A65" s="43" t="inlineStr">
        <is>
          <t>S06</t>
        </is>
      </c>
      <c r="B65" s="43" t="inlineStr">
        <is>
          <t>길담 신규점</t>
        </is>
      </c>
      <c r="C65" s="43" t="inlineStr">
        <is>
          <t>S06-V</t>
        </is>
      </c>
      <c r="D65" s="43" t="inlineStr">
        <is>
          <t>기준(전)</t>
        </is>
      </c>
      <c r="E65" s="47" t="n"/>
      <c r="F65" s="40" t="n"/>
      <c r="G65" s="28" t="n"/>
      <c r="H65" s="42" t="n"/>
      <c r="I65" s="40" t="n"/>
      <c r="J65" s="40" t="n"/>
      <c r="K65" s="40" t="n"/>
      <c r="L65" s="30">
        <f>IF(COUNT(I65:K65)=0,"",MEDIAN(I65:K65))</f>
        <v/>
      </c>
      <c r="M65" s="37" t="n"/>
      <c r="N65" s="37" t="n"/>
      <c r="O65" s="37" t="n"/>
      <c r="P65" s="37" t="n"/>
      <c r="Q65" s="37" t="n"/>
      <c r="R65" s="37" t="n"/>
      <c r="S65" s="37" t="n"/>
      <c r="T65" s="37" t="n"/>
      <c r="U65" s="28" t="n"/>
      <c r="V65" s="28" t="n"/>
      <c r="W65" s="31" t="n"/>
    </row>
    <row r="66">
      <c r="A66" s="25" t="inlineStr">
        <is>
          <t>S06</t>
        </is>
      </c>
      <c r="B66" s="25" t="inlineStr">
        <is>
          <t>길담 신규점</t>
        </is>
      </c>
      <c r="C66" s="25" t="inlineStr">
        <is>
          <t>S06-V</t>
        </is>
      </c>
      <c r="D66" s="25" t="inlineStr">
        <is>
          <t>측정</t>
        </is>
      </c>
      <c r="E66" s="48" t="n">
        <v>20</v>
      </c>
      <c r="F66" s="40" t="n"/>
      <c r="G66" s="28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IF(COUNTIFS($C:$C,$C66,$D:$D,"기준(전)",$L:$L,"&gt;0")&lt;&gt;1,"기준(전) 유효 1개 아님",IF(COUNTIFS($C:$C,$C66,$D:$D,"기준(후)",$L:$L,"&gt;0")&lt;&gt;1,"기준(후) 유효 1개 아님",IF(NOT(AND(ISNUMBER(N66),ISNUMBER(P66),ISNUMBER(H66))),"시각 결측",IF(P66&lt;=N66,"기준 시각 역전",IF(OR(H66&lt;N66,H66&gt;P66),"측정시각 구간 밖","OK")))))</f>
        <v/>
      </c>
      <c r="N66" s="45">
        <f>IF(COUNTIFS($C:$C,$C66,$D:$D,"기준(전)",$L:$L,"&gt;0")&lt;&gt;1,"",SUMIFS($H:$H,$C:$C,$C66,$D:$D,"기준(전)"))</f>
        <v/>
      </c>
      <c r="O66" s="30">
        <f>IF(COUNTIFS($C:$C,$C66,$D:$D,"기준(전)",$L:$L,"&gt;0")&lt;&gt;1,"",SUMIFS($L:$L,$C:$C,$C66,$D:$D,"기준(전)"))</f>
        <v/>
      </c>
      <c r="P66" s="45">
        <f>IF(COUNTIFS($C:$C,$C66,$D:$D,"기준(후)",$L:$L,"&gt;0")&lt;&gt;1,"",SUMIFS($H:$H,$C:$C,$C66,$D:$D,"기준(후)"))</f>
        <v/>
      </c>
      <c r="Q66" s="30">
        <f>IF(COUNTIFS($C:$C,$C66,$D:$D,"기준(후)",$L:$L,"&gt;0")&lt;&gt;1,"",SUMIFS($L:$L,$C:$C,$C66,$D:$D,"기준(후)"))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IF(OR($D65&lt;&gt;"측정",$C65&lt;&gt;$C66,NOT(ISNUMBER(L66)),NOT(ISNUMBER(L65)),(IF(ISNUMBER(F66),F66,E66)-IF(ISNUMBER(F65),F65,E65))=0),"",(L66-L65)/((IF(ISNUMBER(F66),F66,E66)-IF(ISNUMBER(F65),F65,E65))/100))</f>
        <v/>
      </c>
      <c r="U66" s="28" t="n"/>
      <c r="V66" s="28" t="n"/>
      <c r="W66" s="31" t="n"/>
    </row>
    <row r="67">
      <c r="A67" s="25" t="inlineStr">
        <is>
          <t>S06</t>
        </is>
      </c>
      <c r="B67" s="25" t="inlineStr">
        <is>
          <t>길담 신규점</t>
        </is>
      </c>
      <c r="C67" s="25" t="inlineStr">
        <is>
          <t>S06-V</t>
        </is>
      </c>
      <c r="D67" s="25" t="inlineStr">
        <is>
          <t>측정</t>
        </is>
      </c>
      <c r="E67" s="48" t="n">
        <v>40</v>
      </c>
      <c r="F67" s="40" t="n"/>
      <c r="G67" s="28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IF(COUNTIFS($C:$C,$C67,$D:$D,"기준(전)",$L:$L,"&gt;0")&lt;&gt;1,"기준(전) 유효 1개 아님",IF(COUNTIFS($C:$C,$C67,$D:$D,"기준(후)",$L:$L,"&gt;0")&lt;&gt;1,"기준(후) 유효 1개 아님",IF(NOT(AND(ISNUMBER(N67),ISNUMBER(P67),ISNUMBER(H67))),"시각 결측",IF(P67&lt;=N67,"기준 시각 역전",IF(OR(H67&lt;N67,H67&gt;P67),"측정시각 구간 밖","OK")))))</f>
        <v/>
      </c>
      <c r="N67" s="45">
        <f>IF(COUNTIFS($C:$C,$C67,$D:$D,"기준(전)",$L:$L,"&gt;0")&lt;&gt;1,"",SUMIFS($H:$H,$C:$C,$C67,$D:$D,"기준(전)"))</f>
        <v/>
      </c>
      <c r="O67" s="30">
        <f>IF(COUNTIFS($C:$C,$C67,$D:$D,"기준(전)",$L:$L,"&gt;0")&lt;&gt;1,"",SUMIFS($L:$L,$C:$C,$C67,$D:$D,"기준(전)"))</f>
        <v/>
      </c>
      <c r="P67" s="45">
        <f>IF(COUNTIFS($C:$C,$C67,$D:$D,"기준(후)",$L:$L,"&gt;0")&lt;&gt;1,"",SUMIFS($H:$H,$C:$C,$C67,$D:$D,"기준(후)"))</f>
        <v/>
      </c>
      <c r="Q67" s="30">
        <f>IF(COUNTIFS($C:$C,$C67,$D:$D,"기준(후)",$L:$L,"&gt;0")&lt;&gt;1,"",SUMIFS($L:$L,$C:$C,$C67,$D:$D,"기준(후)"))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IF(OR($D66&lt;&gt;"측정",$C66&lt;&gt;$C67,NOT(ISNUMBER(L67)),NOT(ISNUMBER(L66)),(IF(ISNUMBER(F67),F67,E67)-IF(ISNUMBER(F66),F66,E66))=0),"",(L67-L66)/((IF(ISNUMBER(F67),F67,E67)-IF(ISNUMBER(F66),F66,E66))/100))</f>
        <v/>
      </c>
      <c r="U67" s="28" t="n"/>
      <c r="V67" s="28" t="n"/>
      <c r="W67" s="31" t="n"/>
    </row>
    <row r="68">
      <c r="A68" s="25" t="inlineStr">
        <is>
          <t>S06</t>
        </is>
      </c>
      <c r="B68" s="25" t="inlineStr">
        <is>
          <t>길담 신규점</t>
        </is>
      </c>
      <c r="C68" s="25" t="inlineStr">
        <is>
          <t>S06-V</t>
        </is>
      </c>
      <c r="D68" s="25" t="inlineStr">
        <is>
          <t>측정</t>
        </is>
      </c>
      <c r="E68" s="48" t="n">
        <v>60</v>
      </c>
      <c r="F68" s="40" t="n"/>
      <c r="G68" s="28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IF(COUNTIFS($C:$C,$C68,$D:$D,"기준(전)",$L:$L,"&gt;0")&lt;&gt;1,"기준(전) 유효 1개 아님",IF(COUNTIFS($C:$C,$C68,$D:$D,"기준(후)",$L:$L,"&gt;0")&lt;&gt;1,"기준(후) 유효 1개 아님",IF(NOT(AND(ISNUMBER(N68),ISNUMBER(P68),ISNUMBER(H68))),"시각 결측",IF(P68&lt;=N68,"기준 시각 역전",IF(OR(H68&lt;N68,H68&gt;P68),"측정시각 구간 밖","OK")))))</f>
        <v/>
      </c>
      <c r="N68" s="45">
        <f>IF(COUNTIFS($C:$C,$C68,$D:$D,"기준(전)",$L:$L,"&gt;0")&lt;&gt;1,"",SUMIFS($H:$H,$C:$C,$C68,$D:$D,"기준(전)"))</f>
        <v/>
      </c>
      <c r="O68" s="30">
        <f>IF(COUNTIFS($C:$C,$C68,$D:$D,"기준(전)",$L:$L,"&gt;0")&lt;&gt;1,"",SUMIFS($L:$L,$C:$C,$C68,$D:$D,"기준(전)"))</f>
        <v/>
      </c>
      <c r="P68" s="45">
        <f>IF(COUNTIFS($C:$C,$C68,$D:$D,"기준(후)",$L:$L,"&gt;0")&lt;&gt;1,"",SUMIFS($H:$H,$C:$C,$C68,$D:$D,"기준(후)"))</f>
        <v/>
      </c>
      <c r="Q68" s="30">
        <f>IF(COUNTIFS($C:$C,$C68,$D:$D,"기준(후)",$L:$L,"&gt;0")&lt;&gt;1,"",SUMIFS($L:$L,$C:$C,$C68,$D:$D,"기준(후)"))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IF(OR($D67&lt;&gt;"측정",$C67&lt;&gt;$C68,NOT(ISNUMBER(L68)),NOT(ISNUMBER(L67)),(IF(ISNUMBER(F68),F68,E68)-IF(ISNUMBER(F67),F67,E67))=0),"",(L68-L67)/((IF(ISNUMBER(F68),F68,E68)-IF(ISNUMBER(F67),F67,E67))/100))</f>
        <v/>
      </c>
      <c r="U68" s="28" t="n"/>
      <c r="V68" s="28" t="n"/>
      <c r="W68" s="31" t="n"/>
    </row>
    <row r="69">
      <c r="A69" s="25" t="inlineStr">
        <is>
          <t>S06</t>
        </is>
      </c>
      <c r="B69" s="25" t="inlineStr">
        <is>
          <t>길담 신규점</t>
        </is>
      </c>
      <c r="C69" s="25" t="inlineStr">
        <is>
          <t>S06-V</t>
        </is>
      </c>
      <c r="D69" s="25" t="inlineStr">
        <is>
          <t>측정</t>
        </is>
      </c>
      <c r="E69" s="48" t="n">
        <v>80</v>
      </c>
      <c r="F69" s="40" t="n"/>
      <c r="G69" s="28" t="n"/>
      <c r="H69" s="42" t="n"/>
      <c r="I69" s="40" t="n"/>
      <c r="J69" s="40" t="n"/>
      <c r="K69" s="40" t="n"/>
      <c r="L69" s="30">
        <f>IF(COUNT(I69:K69)=0,"",MEDIAN(I69:K69))</f>
        <v/>
      </c>
      <c r="M69" s="25">
        <f>IF(COUNTIFS($C:$C,$C69,$D:$D,"기준(전)",$L:$L,"&gt;0")&lt;&gt;1,"기준(전) 유효 1개 아님",IF(COUNTIFS($C:$C,$C69,$D:$D,"기준(후)",$L:$L,"&gt;0")&lt;&gt;1,"기준(후) 유효 1개 아님",IF(NOT(AND(ISNUMBER(N69),ISNUMBER(P69),ISNUMBER(H69))),"시각 결측",IF(P69&lt;=N69,"기준 시각 역전",IF(OR(H69&lt;N69,H69&gt;P69),"측정시각 구간 밖","OK")))))</f>
        <v/>
      </c>
      <c r="N69" s="45">
        <f>IF(COUNTIFS($C:$C,$C69,$D:$D,"기준(전)",$L:$L,"&gt;0")&lt;&gt;1,"",SUMIFS($H:$H,$C:$C,$C69,$D:$D,"기준(전)"))</f>
        <v/>
      </c>
      <c r="O69" s="30">
        <f>IF(COUNTIFS($C:$C,$C69,$D:$D,"기준(전)",$L:$L,"&gt;0")&lt;&gt;1,"",SUMIFS($L:$L,$C:$C,$C69,$D:$D,"기준(전)"))</f>
        <v/>
      </c>
      <c r="P69" s="45">
        <f>IF(COUNTIFS($C:$C,$C69,$D:$D,"기준(후)",$L:$L,"&gt;0")&lt;&gt;1,"",SUMIFS($H:$H,$C:$C,$C69,$D:$D,"기준(후)"))</f>
        <v/>
      </c>
      <c r="Q69" s="30">
        <f>IF(COUNTIFS($C:$C,$C69,$D:$D,"기준(후)",$L:$L,"&gt;0")&lt;&gt;1,"",SUMIFS($L:$L,$C:$C,$C69,$D:$D,"기준(후)"))</f>
        <v/>
      </c>
      <c r="R69" s="30">
        <f>IF(M69&lt;&gt;"OK","",O69+(Q69-O69)*(H69-N69)/(P69-N69))</f>
        <v/>
      </c>
      <c r="S69" s="30">
        <f>IF(OR(M69&lt;&gt;"OK",NOT(ISNUMBER(L69))),"",L69-R69)</f>
        <v/>
      </c>
      <c r="T69" s="46">
        <f>IF(OR($D68&lt;&gt;"측정",$C68&lt;&gt;$C69,NOT(ISNUMBER(L69)),NOT(ISNUMBER(L68)),(IF(ISNUMBER(F69),F69,E69)-IF(ISNUMBER(F68),F68,E68))=0),"",(L69-L68)/((IF(ISNUMBER(F69),F69,E69)-IF(ISNUMBER(F68),F68,E68))/100))</f>
        <v/>
      </c>
      <c r="U69" s="28" t="n"/>
      <c r="V69" s="28" t="n"/>
      <c r="W69" s="31" t="n"/>
    </row>
    <row r="70">
      <c r="A70" s="25" t="inlineStr">
        <is>
          <t>S06</t>
        </is>
      </c>
      <c r="B70" s="25" t="inlineStr">
        <is>
          <t>길담 신규점</t>
        </is>
      </c>
      <c r="C70" s="25" t="inlineStr">
        <is>
          <t>S06-V</t>
        </is>
      </c>
      <c r="D70" s="25" t="inlineStr">
        <is>
          <t>측정</t>
        </is>
      </c>
      <c r="E70" s="48" t="n">
        <v>100</v>
      </c>
      <c r="F70" s="40" t="n"/>
      <c r="G70" s="28" t="n"/>
      <c r="H70" s="42" t="n"/>
      <c r="I70" s="40" t="n"/>
      <c r="J70" s="40" t="n"/>
      <c r="K70" s="40" t="n"/>
      <c r="L70" s="30">
        <f>IF(COUNT(I70:K70)=0,"",MEDIAN(I70:K70))</f>
        <v/>
      </c>
      <c r="M70" s="25">
        <f>IF(COUNTIFS($C:$C,$C70,$D:$D,"기준(전)",$L:$L,"&gt;0")&lt;&gt;1,"기준(전) 유효 1개 아님",IF(COUNTIFS($C:$C,$C70,$D:$D,"기준(후)",$L:$L,"&gt;0")&lt;&gt;1,"기준(후) 유효 1개 아님",IF(NOT(AND(ISNUMBER(N70),ISNUMBER(P70),ISNUMBER(H70))),"시각 결측",IF(P70&lt;=N70,"기준 시각 역전",IF(OR(H70&lt;N70,H70&gt;P70),"측정시각 구간 밖","OK")))))</f>
        <v/>
      </c>
      <c r="N70" s="45">
        <f>IF(COUNTIFS($C:$C,$C70,$D:$D,"기준(전)",$L:$L,"&gt;0")&lt;&gt;1,"",SUMIFS($H:$H,$C:$C,$C70,$D:$D,"기준(전)"))</f>
        <v/>
      </c>
      <c r="O70" s="30">
        <f>IF(COUNTIFS($C:$C,$C70,$D:$D,"기준(전)",$L:$L,"&gt;0")&lt;&gt;1,"",SUMIFS($L:$L,$C:$C,$C70,$D:$D,"기준(전)"))</f>
        <v/>
      </c>
      <c r="P70" s="45">
        <f>IF(COUNTIFS($C:$C,$C70,$D:$D,"기준(후)",$L:$L,"&gt;0")&lt;&gt;1,"",SUMIFS($H:$H,$C:$C,$C70,$D:$D,"기준(후)"))</f>
        <v/>
      </c>
      <c r="Q70" s="30">
        <f>IF(COUNTIFS($C:$C,$C70,$D:$D,"기준(후)",$L:$L,"&gt;0")&lt;&gt;1,"",SUMIFS($L:$L,$C:$C,$C70,$D:$D,"기준(후)"))</f>
        <v/>
      </c>
      <c r="R70" s="30">
        <f>IF(M70&lt;&gt;"OK","",O70+(Q70-O70)*(H70-N70)/(P70-N70))</f>
        <v/>
      </c>
      <c r="S70" s="30">
        <f>IF(OR(M70&lt;&gt;"OK",NOT(ISNUMBER(L70))),"",L70-R70)</f>
        <v/>
      </c>
      <c r="T70" s="46">
        <f>IF(OR($D69&lt;&gt;"측정",$C69&lt;&gt;$C70,NOT(ISNUMBER(L70)),NOT(ISNUMBER(L69)),(IF(ISNUMBER(F70),F70,E70)-IF(ISNUMBER(F69),F69,E69))=0),"",(L70-L69)/((IF(ISNUMBER(F70),F70,E70)-IF(ISNUMBER(F69),F69,E69))/100))</f>
        <v/>
      </c>
      <c r="U70" s="28" t="n"/>
      <c r="V70" s="28" t="n"/>
      <c r="W70" s="31" t="n"/>
    </row>
    <row r="71">
      <c r="A71" s="25" t="inlineStr">
        <is>
          <t>S06</t>
        </is>
      </c>
      <c r="B71" s="25" t="inlineStr">
        <is>
          <t>길담 신규점</t>
        </is>
      </c>
      <c r="C71" s="25" t="inlineStr">
        <is>
          <t>S06-V</t>
        </is>
      </c>
      <c r="D71" s="25" t="inlineStr">
        <is>
          <t>측정</t>
        </is>
      </c>
      <c r="E71" s="48" t="n">
        <v>120</v>
      </c>
      <c r="F71" s="40" t="n"/>
      <c r="G71" s="28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IF(COUNTIFS($C:$C,$C71,$D:$D,"기준(전)",$L:$L,"&gt;0")&lt;&gt;1,"기준(전) 유효 1개 아님",IF(COUNTIFS($C:$C,$C71,$D:$D,"기준(후)",$L:$L,"&gt;0")&lt;&gt;1,"기준(후) 유효 1개 아님",IF(NOT(AND(ISNUMBER(N71),ISNUMBER(P71),ISNUMBER(H71))),"시각 결측",IF(P71&lt;=N71,"기준 시각 역전",IF(OR(H71&lt;N71,H71&gt;P71),"측정시각 구간 밖","OK")))))</f>
        <v/>
      </c>
      <c r="N71" s="45">
        <f>IF(COUNTIFS($C:$C,$C71,$D:$D,"기준(전)",$L:$L,"&gt;0")&lt;&gt;1,"",SUMIFS($H:$H,$C:$C,$C71,$D:$D,"기준(전)"))</f>
        <v/>
      </c>
      <c r="O71" s="30">
        <f>IF(COUNTIFS($C:$C,$C71,$D:$D,"기준(전)",$L:$L,"&gt;0")&lt;&gt;1,"",SUMIFS($L:$L,$C:$C,$C71,$D:$D,"기준(전)"))</f>
        <v/>
      </c>
      <c r="P71" s="45">
        <f>IF(COUNTIFS($C:$C,$C71,$D:$D,"기준(후)",$L:$L,"&gt;0")&lt;&gt;1,"",SUMIFS($H:$H,$C:$C,$C71,$D:$D,"기준(후)"))</f>
        <v/>
      </c>
      <c r="Q71" s="30">
        <f>IF(COUNTIFS($C:$C,$C71,$D:$D,"기준(후)",$L:$L,"&gt;0")&lt;&gt;1,"",SUMIFS($L:$L,$C:$C,$C71,$D:$D,"기준(후)"))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IF(OR($D70&lt;&gt;"측정",$C70&lt;&gt;$C71,NOT(ISNUMBER(L71)),NOT(ISNUMBER(L70)),(IF(ISNUMBER(F71),F71,E71)-IF(ISNUMBER(F70),F70,E70))=0),"",(L71-L70)/((IF(ISNUMBER(F71),F71,E71)-IF(ISNUMBER(F70),F70,E70))/100))</f>
        <v/>
      </c>
      <c r="U71" s="28" t="n"/>
      <c r="V71" s="28" t="n"/>
      <c r="W71" s="31" t="n"/>
    </row>
    <row r="72">
      <c r="A72" s="25" t="inlineStr">
        <is>
          <t>S06</t>
        </is>
      </c>
      <c r="B72" s="25" t="inlineStr">
        <is>
          <t>길담 신규점</t>
        </is>
      </c>
      <c r="C72" s="25" t="inlineStr">
        <is>
          <t>S06-V</t>
        </is>
      </c>
      <c r="D72" s="25" t="inlineStr">
        <is>
          <t>측정</t>
        </is>
      </c>
      <c r="E72" s="48" t="n">
        <v>140</v>
      </c>
      <c r="F72" s="40" t="n"/>
      <c r="G72" s="28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IF(COUNTIFS($C:$C,$C72,$D:$D,"기준(전)",$L:$L,"&gt;0")&lt;&gt;1,"기준(전) 유효 1개 아님",IF(COUNTIFS($C:$C,$C72,$D:$D,"기준(후)",$L:$L,"&gt;0")&lt;&gt;1,"기준(후) 유효 1개 아님",IF(NOT(AND(ISNUMBER(N72),ISNUMBER(P72),ISNUMBER(H72))),"시각 결측",IF(P72&lt;=N72,"기준 시각 역전",IF(OR(H72&lt;N72,H72&gt;P72),"측정시각 구간 밖","OK")))))</f>
        <v/>
      </c>
      <c r="N72" s="45">
        <f>IF(COUNTIFS($C:$C,$C72,$D:$D,"기준(전)",$L:$L,"&gt;0")&lt;&gt;1,"",SUMIFS($H:$H,$C:$C,$C72,$D:$D,"기준(전)"))</f>
        <v/>
      </c>
      <c r="O72" s="30">
        <f>IF(COUNTIFS($C:$C,$C72,$D:$D,"기준(전)",$L:$L,"&gt;0")&lt;&gt;1,"",SUMIFS($L:$L,$C:$C,$C72,$D:$D,"기준(전)"))</f>
        <v/>
      </c>
      <c r="P72" s="45">
        <f>IF(COUNTIFS($C:$C,$C72,$D:$D,"기준(후)",$L:$L,"&gt;0")&lt;&gt;1,"",SUMIFS($H:$H,$C:$C,$C72,$D:$D,"기준(후)"))</f>
        <v/>
      </c>
      <c r="Q72" s="30">
        <f>IF(COUNTIFS($C:$C,$C72,$D:$D,"기준(후)",$L:$L,"&gt;0")&lt;&gt;1,"",SUMIFS($L:$L,$C:$C,$C72,$D:$D,"기준(후)"))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IF(OR($D71&lt;&gt;"측정",$C71&lt;&gt;$C72,NOT(ISNUMBER(L72)),NOT(ISNUMBER(L71)),(IF(ISNUMBER(F72),F72,E72)-IF(ISNUMBER(F71),F71,E71))=0),"",(L72-L71)/((IF(ISNUMBER(F72),F72,E72)-IF(ISNUMBER(F71),F71,E71))/100))</f>
        <v/>
      </c>
      <c r="U72" s="28" t="n"/>
      <c r="V72" s="28" t="n"/>
      <c r="W72" s="31" t="n"/>
    </row>
    <row r="73">
      <c r="A73" s="25" t="inlineStr">
        <is>
          <t>S06</t>
        </is>
      </c>
      <c r="B73" s="25" t="inlineStr">
        <is>
          <t>길담 신규점</t>
        </is>
      </c>
      <c r="C73" s="25" t="inlineStr">
        <is>
          <t>S06-V</t>
        </is>
      </c>
      <c r="D73" s="25" t="inlineStr">
        <is>
          <t>측정</t>
        </is>
      </c>
      <c r="E73" s="48" t="n">
        <v>160</v>
      </c>
      <c r="F73" s="40" t="n"/>
      <c r="G73" s="28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IF(COUNTIFS($C:$C,$C73,$D:$D,"기준(전)",$L:$L,"&gt;0")&lt;&gt;1,"기준(전) 유효 1개 아님",IF(COUNTIFS($C:$C,$C73,$D:$D,"기준(후)",$L:$L,"&gt;0")&lt;&gt;1,"기준(후) 유효 1개 아님",IF(NOT(AND(ISNUMBER(N73),ISNUMBER(P73),ISNUMBER(H73))),"시각 결측",IF(P73&lt;=N73,"기준 시각 역전",IF(OR(H73&lt;N73,H73&gt;P73),"측정시각 구간 밖","OK")))))</f>
        <v/>
      </c>
      <c r="N73" s="45">
        <f>IF(COUNTIFS($C:$C,$C73,$D:$D,"기준(전)",$L:$L,"&gt;0")&lt;&gt;1,"",SUMIFS($H:$H,$C:$C,$C73,$D:$D,"기준(전)"))</f>
        <v/>
      </c>
      <c r="O73" s="30">
        <f>IF(COUNTIFS($C:$C,$C73,$D:$D,"기준(전)",$L:$L,"&gt;0")&lt;&gt;1,"",SUMIFS($L:$L,$C:$C,$C73,$D:$D,"기준(전)"))</f>
        <v/>
      </c>
      <c r="P73" s="45">
        <f>IF(COUNTIFS($C:$C,$C73,$D:$D,"기준(후)",$L:$L,"&gt;0")&lt;&gt;1,"",SUMIFS($H:$H,$C:$C,$C73,$D:$D,"기준(후)"))</f>
        <v/>
      </c>
      <c r="Q73" s="30">
        <f>IF(COUNTIFS($C:$C,$C73,$D:$D,"기준(후)",$L:$L,"&gt;0")&lt;&gt;1,"",SUMIFS($L:$L,$C:$C,$C73,$D:$D,"기준(후)"))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IF(OR($D72&lt;&gt;"측정",$C72&lt;&gt;$C73,NOT(ISNUMBER(L73)),NOT(ISNUMBER(L72)),(IF(ISNUMBER(F73),F73,E73)-IF(ISNUMBER(F72),F72,E72))=0),"",(L73-L72)/((IF(ISNUMBER(F73),F73,E73)-IF(ISNUMBER(F72),F72,E72))/100))</f>
        <v/>
      </c>
      <c r="U73" s="28" t="n"/>
      <c r="V73" s="28" t="n"/>
      <c r="W73" s="31" t="n"/>
    </row>
    <row r="74">
      <c r="A74" s="25" t="inlineStr">
        <is>
          <t>S06</t>
        </is>
      </c>
      <c r="B74" s="25" t="inlineStr">
        <is>
          <t>길담 신규점</t>
        </is>
      </c>
      <c r="C74" s="25" t="inlineStr">
        <is>
          <t>S06-V</t>
        </is>
      </c>
      <c r="D74" s="25" t="inlineStr">
        <is>
          <t>측정</t>
        </is>
      </c>
      <c r="E74" s="48" t="n">
        <v>180</v>
      </c>
      <c r="F74" s="40" t="n"/>
      <c r="G74" s="28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IF(COUNTIFS($C:$C,$C74,$D:$D,"기준(전)",$L:$L,"&gt;0")&lt;&gt;1,"기준(전) 유효 1개 아님",IF(COUNTIFS($C:$C,$C74,$D:$D,"기준(후)",$L:$L,"&gt;0")&lt;&gt;1,"기준(후) 유효 1개 아님",IF(NOT(AND(ISNUMBER(N74),ISNUMBER(P74),ISNUMBER(H74))),"시각 결측",IF(P74&lt;=N74,"기준 시각 역전",IF(OR(H74&lt;N74,H74&gt;P74),"측정시각 구간 밖","OK")))))</f>
        <v/>
      </c>
      <c r="N74" s="45">
        <f>IF(COUNTIFS($C:$C,$C74,$D:$D,"기준(전)",$L:$L,"&gt;0")&lt;&gt;1,"",SUMIFS($H:$H,$C:$C,$C74,$D:$D,"기준(전)"))</f>
        <v/>
      </c>
      <c r="O74" s="30">
        <f>IF(COUNTIFS($C:$C,$C74,$D:$D,"기준(전)",$L:$L,"&gt;0")&lt;&gt;1,"",SUMIFS($L:$L,$C:$C,$C74,$D:$D,"기준(전)"))</f>
        <v/>
      </c>
      <c r="P74" s="45">
        <f>IF(COUNTIFS($C:$C,$C74,$D:$D,"기준(후)",$L:$L,"&gt;0")&lt;&gt;1,"",SUMIFS($H:$H,$C:$C,$C74,$D:$D,"기준(후)"))</f>
        <v/>
      </c>
      <c r="Q74" s="30">
        <f>IF(COUNTIFS($C:$C,$C74,$D:$D,"기준(후)",$L:$L,"&gt;0")&lt;&gt;1,"",SUMIFS($L:$L,$C:$C,$C74,$D:$D,"기준(후)"))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IF(OR($D73&lt;&gt;"측정",$C73&lt;&gt;$C74,NOT(ISNUMBER(L74)),NOT(ISNUMBER(L73)),(IF(ISNUMBER(F74),F74,E74)-IF(ISNUMBER(F73),F73,E73))=0),"",(L74-L73)/((IF(ISNUMBER(F74),F74,E74)-IF(ISNUMBER(F73),F73,E73))/100))</f>
        <v/>
      </c>
      <c r="U74" s="28" t="n"/>
      <c r="V74" s="28" t="n"/>
      <c r="W74" s="31" t="n"/>
    </row>
    <row r="75">
      <c r="A75" s="25" t="inlineStr">
        <is>
          <t>S06</t>
        </is>
      </c>
      <c r="B75" s="25" t="inlineStr">
        <is>
          <t>길담 신규점</t>
        </is>
      </c>
      <c r="C75" s="25" t="inlineStr">
        <is>
          <t>S06-V</t>
        </is>
      </c>
      <c r="D75" s="25" t="inlineStr">
        <is>
          <t>측정</t>
        </is>
      </c>
      <c r="E75" s="48" t="n">
        <v>200</v>
      </c>
      <c r="F75" s="40" t="n"/>
      <c r="G75" s="28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IF(COUNTIFS($C:$C,$C75,$D:$D,"기준(전)",$L:$L,"&gt;0")&lt;&gt;1,"기준(전) 유효 1개 아님",IF(COUNTIFS($C:$C,$C75,$D:$D,"기준(후)",$L:$L,"&gt;0")&lt;&gt;1,"기준(후) 유효 1개 아님",IF(NOT(AND(ISNUMBER(N75),ISNUMBER(P75),ISNUMBER(H75))),"시각 결측",IF(P75&lt;=N75,"기준 시각 역전",IF(OR(H75&lt;N75,H75&gt;P75),"측정시각 구간 밖","OK")))))</f>
        <v/>
      </c>
      <c r="N75" s="45">
        <f>IF(COUNTIFS($C:$C,$C75,$D:$D,"기준(전)",$L:$L,"&gt;0")&lt;&gt;1,"",SUMIFS($H:$H,$C:$C,$C75,$D:$D,"기준(전)"))</f>
        <v/>
      </c>
      <c r="O75" s="30">
        <f>IF(COUNTIFS($C:$C,$C75,$D:$D,"기준(전)",$L:$L,"&gt;0")&lt;&gt;1,"",SUMIFS($L:$L,$C:$C,$C75,$D:$D,"기준(전)"))</f>
        <v/>
      </c>
      <c r="P75" s="45">
        <f>IF(COUNTIFS($C:$C,$C75,$D:$D,"기준(후)",$L:$L,"&gt;0")&lt;&gt;1,"",SUMIFS($H:$H,$C:$C,$C75,$D:$D,"기준(후)"))</f>
        <v/>
      </c>
      <c r="Q75" s="30">
        <f>IF(COUNTIFS($C:$C,$C75,$D:$D,"기준(후)",$L:$L,"&gt;0")&lt;&gt;1,"",SUMIFS($L:$L,$C:$C,$C75,$D:$D,"기준(후)"))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IF(OR($D74&lt;&gt;"측정",$C74&lt;&gt;$C75,NOT(ISNUMBER(L75)),NOT(ISNUMBER(L74)),(IF(ISNUMBER(F75),F75,E75)-IF(ISNUMBER(F74),F74,E74))=0),"",(L75-L74)/((IF(ISNUMBER(F75),F75,E75)-IF(ISNUMBER(F74),F74,E74))/100))</f>
        <v/>
      </c>
      <c r="U75" s="28" t="n"/>
      <c r="V75" s="28" t="n"/>
      <c r="W75" s="31" t="n"/>
    </row>
    <row r="76">
      <c r="A76" s="43" t="inlineStr">
        <is>
          <t>S06</t>
        </is>
      </c>
      <c r="B76" s="43" t="inlineStr">
        <is>
          <t>길담 신규점</t>
        </is>
      </c>
      <c r="C76" s="43" t="inlineStr">
        <is>
          <t>S06-V</t>
        </is>
      </c>
      <c r="D76" s="43" t="inlineStr">
        <is>
          <t>기준(후)</t>
        </is>
      </c>
      <c r="E76" s="47" t="n"/>
      <c r="F76" s="40" t="n"/>
      <c r="G76" s="28" t="n"/>
      <c r="H76" s="42" t="n"/>
      <c r="I76" s="40" t="n"/>
      <c r="J76" s="40" t="n"/>
      <c r="K76" s="40" t="n"/>
      <c r="L76" s="30">
        <f>IF(COUNT(I76:K76)=0,"",MEDIAN(I76:K76))</f>
        <v/>
      </c>
      <c r="M76" s="37" t="n"/>
      <c r="N76" s="37" t="n"/>
      <c r="O76" s="37" t="n"/>
      <c r="P76" s="37" t="n"/>
      <c r="Q76" s="37" t="n"/>
      <c r="R76" s="37" t="n"/>
      <c r="S76" s="37" t="n"/>
      <c r="T76" s="37" t="n"/>
      <c r="U76" s="28" t="n"/>
      <c r="V76" s="28" t="n"/>
      <c r="W76" s="31" t="n"/>
    </row>
    <row r="77">
      <c r="A77" s="43" t="inlineStr">
        <is>
          <t>S07</t>
        </is>
      </c>
      <c r="B77" s="43" t="inlineStr">
        <is>
          <t>남해 신규점1</t>
        </is>
      </c>
      <c r="C77" s="43" t="inlineStr">
        <is>
          <t>S07-V</t>
        </is>
      </c>
      <c r="D77" s="43" t="inlineStr">
        <is>
          <t>기준(전)</t>
        </is>
      </c>
      <c r="E77" s="47" t="n"/>
      <c r="F77" s="40" t="n"/>
      <c r="G77" s="28" t="n"/>
      <c r="H77" s="42" t="n"/>
      <c r="I77" s="40" t="n"/>
      <c r="J77" s="40" t="n"/>
      <c r="K77" s="40" t="n"/>
      <c r="L77" s="30">
        <f>IF(COUNT(I77:K77)=0,"",MEDIAN(I77:K77))</f>
        <v/>
      </c>
      <c r="M77" s="37" t="n"/>
      <c r="N77" s="37" t="n"/>
      <c r="O77" s="37" t="n"/>
      <c r="P77" s="37" t="n"/>
      <c r="Q77" s="37" t="n"/>
      <c r="R77" s="37" t="n"/>
      <c r="S77" s="37" t="n"/>
      <c r="T77" s="37" t="n"/>
      <c r="U77" s="28" t="n"/>
      <c r="V77" s="28" t="n"/>
      <c r="W77" s="31" t="n"/>
    </row>
    <row r="78">
      <c r="A78" s="25" t="inlineStr">
        <is>
          <t>S07</t>
        </is>
      </c>
      <c r="B78" s="25" t="inlineStr">
        <is>
          <t>남해 신규점1</t>
        </is>
      </c>
      <c r="C78" s="25" t="inlineStr">
        <is>
          <t>S07-V</t>
        </is>
      </c>
      <c r="D78" s="25" t="inlineStr">
        <is>
          <t>측정</t>
        </is>
      </c>
      <c r="E78" s="48" t="n">
        <v>20</v>
      </c>
      <c r="F78" s="40" t="n"/>
      <c r="G78" s="28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IF(COUNTIFS($C:$C,$C78,$D:$D,"기준(전)",$L:$L,"&gt;0")&lt;&gt;1,"기준(전) 유효 1개 아님",IF(COUNTIFS($C:$C,$C78,$D:$D,"기준(후)",$L:$L,"&gt;0")&lt;&gt;1,"기준(후) 유효 1개 아님",IF(NOT(AND(ISNUMBER(N78),ISNUMBER(P78),ISNUMBER(H78))),"시각 결측",IF(P78&lt;=N78,"기준 시각 역전",IF(OR(H78&lt;N78,H78&gt;P78),"측정시각 구간 밖","OK")))))</f>
        <v/>
      </c>
      <c r="N78" s="45">
        <f>IF(COUNTIFS($C:$C,$C78,$D:$D,"기준(전)",$L:$L,"&gt;0")&lt;&gt;1,"",SUMIFS($H:$H,$C:$C,$C78,$D:$D,"기준(전)"))</f>
        <v/>
      </c>
      <c r="O78" s="30">
        <f>IF(COUNTIFS($C:$C,$C78,$D:$D,"기준(전)",$L:$L,"&gt;0")&lt;&gt;1,"",SUMIFS($L:$L,$C:$C,$C78,$D:$D,"기준(전)"))</f>
        <v/>
      </c>
      <c r="P78" s="45">
        <f>IF(COUNTIFS($C:$C,$C78,$D:$D,"기준(후)",$L:$L,"&gt;0")&lt;&gt;1,"",SUMIFS($H:$H,$C:$C,$C78,$D:$D,"기준(후)"))</f>
        <v/>
      </c>
      <c r="Q78" s="30">
        <f>IF(COUNTIFS($C:$C,$C78,$D:$D,"기준(후)",$L:$L,"&gt;0")&lt;&gt;1,"",SUMIFS($L:$L,$C:$C,$C78,$D:$D,"기준(후)"))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IF(OR($D77&lt;&gt;"측정",$C77&lt;&gt;$C78,NOT(ISNUMBER(L78)),NOT(ISNUMBER(L77)),(IF(ISNUMBER(F78),F78,E78)-IF(ISNUMBER(F77),F77,E77))=0),"",(L78-L77)/((IF(ISNUMBER(F78),F78,E78)-IF(ISNUMBER(F77),F77,E77))/100))</f>
        <v/>
      </c>
      <c r="U78" s="28" t="n"/>
      <c r="V78" s="28" t="n"/>
      <c r="W78" s="31" t="n"/>
    </row>
    <row r="79">
      <c r="A79" s="25" t="inlineStr">
        <is>
          <t>S07</t>
        </is>
      </c>
      <c r="B79" s="25" t="inlineStr">
        <is>
          <t>남해 신규점1</t>
        </is>
      </c>
      <c r="C79" s="25" t="inlineStr">
        <is>
          <t>S07-V</t>
        </is>
      </c>
      <c r="D79" s="25" t="inlineStr">
        <is>
          <t>측정</t>
        </is>
      </c>
      <c r="E79" s="48" t="n">
        <v>40</v>
      </c>
      <c r="F79" s="40" t="n"/>
      <c r="G79" s="28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IF(COUNTIFS($C:$C,$C79,$D:$D,"기준(전)",$L:$L,"&gt;0")&lt;&gt;1,"기준(전) 유효 1개 아님",IF(COUNTIFS($C:$C,$C79,$D:$D,"기준(후)",$L:$L,"&gt;0")&lt;&gt;1,"기준(후) 유효 1개 아님",IF(NOT(AND(ISNUMBER(N79),ISNUMBER(P79),ISNUMBER(H79))),"시각 결측",IF(P79&lt;=N79,"기준 시각 역전",IF(OR(H79&lt;N79,H79&gt;P79),"측정시각 구간 밖","OK")))))</f>
        <v/>
      </c>
      <c r="N79" s="45">
        <f>IF(COUNTIFS($C:$C,$C79,$D:$D,"기준(전)",$L:$L,"&gt;0")&lt;&gt;1,"",SUMIFS($H:$H,$C:$C,$C79,$D:$D,"기준(전)"))</f>
        <v/>
      </c>
      <c r="O79" s="30">
        <f>IF(COUNTIFS($C:$C,$C79,$D:$D,"기준(전)",$L:$L,"&gt;0")&lt;&gt;1,"",SUMIFS($L:$L,$C:$C,$C79,$D:$D,"기준(전)"))</f>
        <v/>
      </c>
      <c r="P79" s="45">
        <f>IF(COUNTIFS($C:$C,$C79,$D:$D,"기준(후)",$L:$L,"&gt;0")&lt;&gt;1,"",SUMIFS($H:$H,$C:$C,$C79,$D:$D,"기준(후)"))</f>
        <v/>
      </c>
      <c r="Q79" s="30">
        <f>IF(COUNTIFS($C:$C,$C79,$D:$D,"기준(후)",$L:$L,"&gt;0")&lt;&gt;1,"",SUMIFS($L:$L,$C:$C,$C79,$D:$D,"기준(후)"))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IF(OR($D78&lt;&gt;"측정",$C78&lt;&gt;$C79,NOT(ISNUMBER(L79)),NOT(ISNUMBER(L78)),(IF(ISNUMBER(F79),F79,E79)-IF(ISNUMBER(F78),F78,E78))=0),"",(L79-L78)/((IF(ISNUMBER(F79),F79,E79)-IF(ISNUMBER(F78),F78,E78))/100))</f>
        <v/>
      </c>
      <c r="U79" s="28" t="n"/>
      <c r="V79" s="28" t="n"/>
      <c r="W79" s="31" t="n"/>
    </row>
    <row r="80">
      <c r="A80" s="25" t="inlineStr">
        <is>
          <t>S07</t>
        </is>
      </c>
      <c r="B80" s="25" t="inlineStr">
        <is>
          <t>남해 신규점1</t>
        </is>
      </c>
      <c r="C80" s="25" t="inlineStr">
        <is>
          <t>S07-V</t>
        </is>
      </c>
      <c r="D80" s="25" t="inlineStr">
        <is>
          <t>측정</t>
        </is>
      </c>
      <c r="E80" s="48" t="n">
        <v>60</v>
      </c>
      <c r="F80" s="40" t="n"/>
      <c r="G80" s="28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IF(COUNTIFS($C:$C,$C80,$D:$D,"기준(전)",$L:$L,"&gt;0")&lt;&gt;1,"기준(전) 유효 1개 아님",IF(COUNTIFS($C:$C,$C80,$D:$D,"기준(후)",$L:$L,"&gt;0")&lt;&gt;1,"기준(후) 유효 1개 아님",IF(NOT(AND(ISNUMBER(N80),ISNUMBER(P80),ISNUMBER(H80))),"시각 결측",IF(P80&lt;=N80,"기준 시각 역전",IF(OR(H80&lt;N80,H80&gt;P80),"측정시각 구간 밖","OK")))))</f>
        <v/>
      </c>
      <c r="N80" s="45">
        <f>IF(COUNTIFS($C:$C,$C80,$D:$D,"기준(전)",$L:$L,"&gt;0")&lt;&gt;1,"",SUMIFS($H:$H,$C:$C,$C80,$D:$D,"기준(전)"))</f>
        <v/>
      </c>
      <c r="O80" s="30">
        <f>IF(COUNTIFS($C:$C,$C80,$D:$D,"기준(전)",$L:$L,"&gt;0")&lt;&gt;1,"",SUMIFS($L:$L,$C:$C,$C80,$D:$D,"기준(전)"))</f>
        <v/>
      </c>
      <c r="P80" s="45">
        <f>IF(COUNTIFS($C:$C,$C80,$D:$D,"기준(후)",$L:$L,"&gt;0")&lt;&gt;1,"",SUMIFS($H:$H,$C:$C,$C80,$D:$D,"기준(후)"))</f>
        <v/>
      </c>
      <c r="Q80" s="30">
        <f>IF(COUNTIFS($C:$C,$C80,$D:$D,"기준(후)",$L:$L,"&gt;0")&lt;&gt;1,"",SUMIFS($L:$L,$C:$C,$C80,$D:$D,"기준(후)"))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IF(OR($D79&lt;&gt;"측정",$C79&lt;&gt;$C80,NOT(ISNUMBER(L80)),NOT(ISNUMBER(L79)),(IF(ISNUMBER(F80),F80,E80)-IF(ISNUMBER(F79),F79,E79))=0),"",(L80-L79)/((IF(ISNUMBER(F80),F80,E80)-IF(ISNUMBER(F79),F79,E79))/100))</f>
        <v/>
      </c>
      <c r="U80" s="28" t="n"/>
      <c r="V80" s="28" t="n"/>
      <c r="W80" s="31" t="n"/>
    </row>
    <row r="81">
      <c r="A81" s="25" t="inlineStr">
        <is>
          <t>S07</t>
        </is>
      </c>
      <c r="B81" s="25" t="inlineStr">
        <is>
          <t>남해 신규점1</t>
        </is>
      </c>
      <c r="C81" s="25" t="inlineStr">
        <is>
          <t>S07-V</t>
        </is>
      </c>
      <c r="D81" s="25" t="inlineStr">
        <is>
          <t>측정</t>
        </is>
      </c>
      <c r="E81" s="48" t="n">
        <v>80</v>
      </c>
      <c r="F81" s="40" t="n"/>
      <c r="G81" s="28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IF(COUNTIFS($C:$C,$C81,$D:$D,"기준(전)",$L:$L,"&gt;0")&lt;&gt;1,"기준(전) 유효 1개 아님",IF(COUNTIFS($C:$C,$C81,$D:$D,"기준(후)",$L:$L,"&gt;0")&lt;&gt;1,"기준(후) 유효 1개 아님",IF(NOT(AND(ISNUMBER(N81),ISNUMBER(P81),ISNUMBER(H81))),"시각 결측",IF(P81&lt;=N81,"기준 시각 역전",IF(OR(H81&lt;N81,H81&gt;P81),"측정시각 구간 밖","OK")))))</f>
        <v/>
      </c>
      <c r="N81" s="45">
        <f>IF(COUNTIFS($C:$C,$C81,$D:$D,"기준(전)",$L:$L,"&gt;0")&lt;&gt;1,"",SUMIFS($H:$H,$C:$C,$C81,$D:$D,"기준(전)"))</f>
        <v/>
      </c>
      <c r="O81" s="30">
        <f>IF(COUNTIFS($C:$C,$C81,$D:$D,"기준(전)",$L:$L,"&gt;0")&lt;&gt;1,"",SUMIFS($L:$L,$C:$C,$C81,$D:$D,"기준(전)"))</f>
        <v/>
      </c>
      <c r="P81" s="45">
        <f>IF(COUNTIFS($C:$C,$C81,$D:$D,"기준(후)",$L:$L,"&gt;0")&lt;&gt;1,"",SUMIFS($H:$H,$C:$C,$C81,$D:$D,"기준(후)"))</f>
        <v/>
      </c>
      <c r="Q81" s="30">
        <f>IF(COUNTIFS($C:$C,$C81,$D:$D,"기준(후)",$L:$L,"&gt;0")&lt;&gt;1,"",SUMIFS($L:$L,$C:$C,$C81,$D:$D,"기준(후)"))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IF(OR($D80&lt;&gt;"측정",$C80&lt;&gt;$C81,NOT(ISNUMBER(L81)),NOT(ISNUMBER(L80)),(IF(ISNUMBER(F81),F81,E81)-IF(ISNUMBER(F80),F80,E80))=0),"",(L81-L80)/((IF(ISNUMBER(F81),F81,E81)-IF(ISNUMBER(F80),F80,E80))/100))</f>
        <v/>
      </c>
      <c r="U81" s="28" t="n"/>
      <c r="V81" s="28" t="n"/>
      <c r="W81" s="31" t="n"/>
    </row>
    <row r="82">
      <c r="A82" s="25" t="inlineStr">
        <is>
          <t>S07</t>
        </is>
      </c>
      <c r="B82" s="25" t="inlineStr">
        <is>
          <t>남해 신규점1</t>
        </is>
      </c>
      <c r="C82" s="25" t="inlineStr">
        <is>
          <t>S07-V</t>
        </is>
      </c>
      <c r="D82" s="25" t="inlineStr">
        <is>
          <t>측정</t>
        </is>
      </c>
      <c r="E82" s="48" t="n">
        <v>100</v>
      </c>
      <c r="F82" s="40" t="n"/>
      <c r="G82" s="28" t="n"/>
      <c r="H82" s="42" t="n"/>
      <c r="I82" s="40" t="n"/>
      <c r="J82" s="40" t="n"/>
      <c r="K82" s="40" t="n"/>
      <c r="L82" s="30">
        <f>IF(COUNT(I82:K82)=0,"",MEDIAN(I82:K82))</f>
        <v/>
      </c>
      <c r="M82" s="25">
        <f>IF(COUNTIFS($C:$C,$C82,$D:$D,"기준(전)",$L:$L,"&gt;0")&lt;&gt;1,"기준(전) 유효 1개 아님",IF(COUNTIFS($C:$C,$C82,$D:$D,"기준(후)",$L:$L,"&gt;0")&lt;&gt;1,"기준(후) 유효 1개 아님",IF(NOT(AND(ISNUMBER(N82),ISNUMBER(P82),ISNUMBER(H82))),"시각 결측",IF(P82&lt;=N82,"기준 시각 역전",IF(OR(H82&lt;N82,H82&gt;P82),"측정시각 구간 밖","OK")))))</f>
        <v/>
      </c>
      <c r="N82" s="45">
        <f>IF(COUNTIFS($C:$C,$C82,$D:$D,"기준(전)",$L:$L,"&gt;0")&lt;&gt;1,"",SUMIFS($H:$H,$C:$C,$C82,$D:$D,"기준(전)"))</f>
        <v/>
      </c>
      <c r="O82" s="30">
        <f>IF(COUNTIFS($C:$C,$C82,$D:$D,"기준(전)",$L:$L,"&gt;0")&lt;&gt;1,"",SUMIFS($L:$L,$C:$C,$C82,$D:$D,"기준(전)"))</f>
        <v/>
      </c>
      <c r="P82" s="45">
        <f>IF(COUNTIFS($C:$C,$C82,$D:$D,"기준(후)",$L:$L,"&gt;0")&lt;&gt;1,"",SUMIFS($H:$H,$C:$C,$C82,$D:$D,"기준(후)"))</f>
        <v/>
      </c>
      <c r="Q82" s="30">
        <f>IF(COUNTIFS($C:$C,$C82,$D:$D,"기준(후)",$L:$L,"&gt;0")&lt;&gt;1,"",SUMIFS($L:$L,$C:$C,$C82,$D:$D,"기준(후)"))</f>
        <v/>
      </c>
      <c r="R82" s="30">
        <f>IF(M82&lt;&gt;"OK","",O82+(Q82-O82)*(H82-N82)/(P82-N82))</f>
        <v/>
      </c>
      <c r="S82" s="30">
        <f>IF(OR(M82&lt;&gt;"OK",NOT(ISNUMBER(L82))),"",L82-R82)</f>
        <v/>
      </c>
      <c r="T82" s="46">
        <f>IF(OR($D81&lt;&gt;"측정",$C81&lt;&gt;$C82,NOT(ISNUMBER(L82)),NOT(ISNUMBER(L81)),(IF(ISNUMBER(F82),F82,E82)-IF(ISNUMBER(F81),F81,E81))=0),"",(L82-L81)/((IF(ISNUMBER(F82),F82,E82)-IF(ISNUMBER(F81),F81,E81))/100))</f>
        <v/>
      </c>
      <c r="U82" s="28" t="n"/>
      <c r="V82" s="28" t="n"/>
      <c r="W82" s="31" t="n"/>
    </row>
    <row r="83">
      <c r="A83" s="25" t="inlineStr">
        <is>
          <t>S07</t>
        </is>
      </c>
      <c r="B83" s="25" t="inlineStr">
        <is>
          <t>남해 신규점1</t>
        </is>
      </c>
      <c r="C83" s="25" t="inlineStr">
        <is>
          <t>S07-V</t>
        </is>
      </c>
      <c r="D83" s="25" t="inlineStr">
        <is>
          <t>측정</t>
        </is>
      </c>
      <c r="E83" s="48" t="n">
        <v>120</v>
      </c>
      <c r="F83" s="40" t="n"/>
      <c r="G83" s="28" t="n"/>
      <c r="H83" s="42" t="n"/>
      <c r="I83" s="40" t="n"/>
      <c r="J83" s="40" t="n"/>
      <c r="K83" s="40" t="n"/>
      <c r="L83" s="30">
        <f>IF(COUNT(I83:K83)=0,"",MEDIAN(I83:K83))</f>
        <v/>
      </c>
      <c r="M83" s="25">
        <f>IF(COUNTIFS($C:$C,$C83,$D:$D,"기준(전)",$L:$L,"&gt;0")&lt;&gt;1,"기준(전) 유효 1개 아님",IF(COUNTIFS($C:$C,$C83,$D:$D,"기준(후)",$L:$L,"&gt;0")&lt;&gt;1,"기준(후) 유효 1개 아님",IF(NOT(AND(ISNUMBER(N83),ISNUMBER(P83),ISNUMBER(H83))),"시각 결측",IF(P83&lt;=N83,"기준 시각 역전",IF(OR(H83&lt;N83,H83&gt;P83),"측정시각 구간 밖","OK")))))</f>
        <v/>
      </c>
      <c r="N83" s="45">
        <f>IF(COUNTIFS($C:$C,$C83,$D:$D,"기준(전)",$L:$L,"&gt;0")&lt;&gt;1,"",SUMIFS($H:$H,$C:$C,$C83,$D:$D,"기준(전)"))</f>
        <v/>
      </c>
      <c r="O83" s="30">
        <f>IF(COUNTIFS($C:$C,$C83,$D:$D,"기준(전)",$L:$L,"&gt;0")&lt;&gt;1,"",SUMIFS($L:$L,$C:$C,$C83,$D:$D,"기준(전)"))</f>
        <v/>
      </c>
      <c r="P83" s="45">
        <f>IF(COUNTIFS($C:$C,$C83,$D:$D,"기준(후)",$L:$L,"&gt;0")&lt;&gt;1,"",SUMIFS($H:$H,$C:$C,$C83,$D:$D,"기준(후)"))</f>
        <v/>
      </c>
      <c r="Q83" s="30">
        <f>IF(COUNTIFS($C:$C,$C83,$D:$D,"기준(후)",$L:$L,"&gt;0")&lt;&gt;1,"",SUMIFS($L:$L,$C:$C,$C83,$D:$D,"기준(후)"))</f>
        <v/>
      </c>
      <c r="R83" s="30">
        <f>IF(M83&lt;&gt;"OK","",O83+(Q83-O83)*(H83-N83)/(P83-N83))</f>
        <v/>
      </c>
      <c r="S83" s="30">
        <f>IF(OR(M83&lt;&gt;"OK",NOT(ISNUMBER(L83))),"",L83-R83)</f>
        <v/>
      </c>
      <c r="T83" s="46">
        <f>IF(OR($D82&lt;&gt;"측정",$C82&lt;&gt;$C83,NOT(ISNUMBER(L83)),NOT(ISNUMBER(L82)),(IF(ISNUMBER(F83),F83,E83)-IF(ISNUMBER(F82),F82,E82))=0),"",(L83-L82)/((IF(ISNUMBER(F83),F83,E83)-IF(ISNUMBER(F82),F82,E82))/100))</f>
        <v/>
      </c>
      <c r="U83" s="28" t="n"/>
      <c r="V83" s="28" t="n"/>
      <c r="W83" s="31" t="n"/>
    </row>
    <row r="84">
      <c r="A84" s="25" t="inlineStr">
        <is>
          <t>S07</t>
        </is>
      </c>
      <c r="B84" s="25" t="inlineStr">
        <is>
          <t>남해 신규점1</t>
        </is>
      </c>
      <c r="C84" s="25" t="inlineStr">
        <is>
          <t>S07-V</t>
        </is>
      </c>
      <c r="D84" s="25" t="inlineStr">
        <is>
          <t>측정</t>
        </is>
      </c>
      <c r="E84" s="48" t="n">
        <v>140</v>
      </c>
      <c r="F84" s="40" t="n"/>
      <c r="G84" s="28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IF(COUNTIFS($C:$C,$C84,$D:$D,"기준(전)",$L:$L,"&gt;0")&lt;&gt;1,"기준(전) 유효 1개 아님",IF(COUNTIFS($C:$C,$C84,$D:$D,"기준(후)",$L:$L,"&gt;0")&lt;&gt;1,"기준(후) 유효 1개 아님",IF(NOT(AND(ISNUMBER(N84),ISNUMBER(P84),ISNUMBER(H84))),"시각 결측",IF(P84&lt;=N84,"기준 시각 역전",IF(OR(H84&lt;N84,H84&gt;P84),"측정시각 구간 밖","OK")))))</f>
        <v/>
      </c>
      <c r="N84" s="45">
        <f>IF(COUNTIFS($C:$C,$C84,$D:$D,"기준(전)",$L:$L,"&gt;0")&lt;&gt;1,"",SUMIFS($H:$H,$C:$C,$C84,$D:$D,"기준(전)"))</f>
        <v/>
      </c>
      <c r="O84" s="30">
        <f>IF(COUNTIFS($C:$C,$C84,$D:$D,"기준(전)",$L:$L,"&gt;0")&lt;&gt;1,"",SUMIFS($L:$L,$C:$C,$C84,$D:$D,"기준(전)"))</f>
        <v/>
      </c>
      <c r="P84" s="45">
        <f>IF(COUNTIFS($C:$C,$C84,$D:$D,"기준(후)",$L:$L,"&gt;0")&lt;&gt;1,"",SUMIFS($H:$H,$C:$C,$C84,$D:$D,"기준(후)"))</f>
        <v/>
      </c>
      <c r="Q84" s="30">
        <f>IF(COUNTIFS($C:$C,$C84,$D:$D,"기준(후)",$L:$L,"&gt;0")&lt;&gt;1,"",SUMIFS($L:$L,$C:$C,$C84,$D:$D,"기준(후)"))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IF(OR($D83&lt;&gt;"측정",$C83&lt;&gt;$C84,NOT(ISNUMBER(L84)),NOT(ISNUMBER(L83)),(IF(ISNUMBER(F84),F84,E84)-IF(ISNUMBER(F83),F83,E83))=0),"",(L84-L83)/((IF(ISNUMBER(F84),F84,E84)-IF(ISNUMBER(F83),F83,E83))/100))</f>
        <v/>
      </c>
      <c r="U84" s="28" t="n"/>
      <c r="V84" s="28" t="n"/>
      <c r="W84" s="31" t="n"/>
    </row>
    <row r="85">
      <c r="A85" s="25" t="inlineStr">
        <is>
          <t>S07</t>
        </is>
      </c>
      <c r="B85" s="25" t="inlineStr">
        <is>
          <t>남해 신규점1</t>
        </is>
      </c>
      <c r="C85" s="25" t="inlineStr">
        <is>
          <t>S07-V</t>
        </is>
      </c>
      <c r="D85" s="25" t="inlineStr">
        <is>
          <t>측정</t>
        </is>
      </c>
      <c r="E85" s="48" t="n">
        <v>160</v>
      </c>
      <c r="F85" s="40" t="n"/>
      <c r="G85" s="28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IF(COUNTIFS($C:$C,$C85,$D:$D,"기준(전)",$L:$L,"&gt;0")&lt;&gt;1,"기준(전) 유효 1개 아님",IF(COUNTIFS($C:$C,$C85,$D:$D,"기준(후)",$L:$L,"&gt;0")&lt;&gt;1,"기준(후) 유효 1개 아님",IF(NOT(AND(ISNUMBER(N85),ISNUMBER(P85),ISNUMBER(H85))),"시각 결측",IF(P85&lt;=N85,"기준 시각 역전",IF(OR(H85&lt;N85,H85&gt;P85),"측정시각 구간 밖","OK")))))</f>
        <v/>
      </c>
      <c r="N85" s="45">
        <f>IF(COUNTIFS($C:$C,$C85,$D:$D,"기준(전)",$L:$L,"&gt;0")&lt;&gt;1,"",SUMIFS($H:$H,$C:$C,$C85,$D:$D,"기준(전)"))</f>
        <v/>
      </c>
      <c r="O85" s="30">
        <f>IF(COUNTIFS($C:$C,$C85,$D:$D,"기준(전)",$L:$L,"&gt;0")&lt;&gt;1,"",SUMIFS($L:$L,$C:$C,$C85,$D:$D,"기준(전)"))</f>
        <v/>
      </c>
      <c r="P85" s="45">
        <f>IF(COUNTIFS($C:$C,$C85,$D:$D,"기준(후)",$L:$L,"&gt;0")&lt;&gt;1,"",SUMIFS($H:$H,$C:$C,$C85,$D:$D,"기준(후)"))</f>
        <v/>
      </c>
      <c r="Q85" s="30">
        <f>IF(COUNTIFS($C:$C,$C85,$D:$D,"기준(후)",$L:$L,"&gt;0")&lt;&gt;1,"",SUMIFS($L:$L,$C:$C,$C85,$D:$D,"기준(후)"))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IF(OR($D84&lt;&gt;"측정",$C84&lt;&gt;$C85,NOT(ISNUMBER(L85)),NOT(ISNUMBER(L84)),(IF(ISNUMBER(F85),F85,E85)-IF(ISNUMBER(F84),F84,E84))=0),"",(L85-L84)/((IF(ISNUMBER(F85),F85,E85)-IF(ISNUMBER(F84),F84,E84))/100))</f>
        <v/>
      </c>
      <c r="U85" s="28" t="n"/>
      <c r="V85" s="28" t="n"/>
      <c r="W85" s="31" t="n"/>
    </row>
    <row r="86">
      <c r="A86" s="25" t="inlineStr">
        <is>
          <t>S07</t>
        </is>
      </c>
      <c r="B86" s="25" t="inlineStr">
        <is>
          <t>남해 신규점1</t>
        </is>
      </c>
      <c r="C86" s="25" t="inlineStr">
        <is>
          <t>S07-V</t>
        </is>
      </c>
      <c r="D86" s="25" t="inlineStr">
        <is>
          <t>측정</t>
        </is>
      </c>
      <c r="E86" s="48" t="n">
        <v>180</v>
      </c>
      <c r="F86" s="40" t="n"/>
      <c r="G86" s="28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IF(COUNTIFS($C:$C,$C86,$D:$D,"기준(전)",$L:$L,"&gt;0")&lt;&gt;1,"기준(전) 유효 1개 아님",IF(COUNTIFS($C:$C,$C86,$D:$D,"기준(후)",$L:$L,"&gt;0")&lt;&gt;1,"기준(후) 유효 1개 아님",IF(NOT(AND(ISNUMBER(N86),ISNUMBER(P86),ISNUMBER(H86))),"시각 결측",IF(P86&lt;=N86,"기준 시각 역전",IF(OR(H86&lt;N86,H86&gt;P86),"측정시각 구간 밖","OK")))))</f>
        <v/>
      </c>
      <c r="N86" s="45">
        <f>IF(COUNTIFS($C:$C,$C86,$D:$D,"기준(전)",$L:$L,"&gt;0")&lt;&gt;1,"",SUMIFS($H:$H,$C:$C,$C86,$D:$D,"기준(전)"))</f>
        <v/>
      </c>
      <c r="O86" s="30">
        <f>IF(COUNTIFS($C:$C,$C86,$D:$D,"기준(전)",$L:$L,"&gt;0")&lt;&gt;1,"",SUMIFS($L:$L,$C:$C,$C86,$D:$D,"기준(전)"))</f>
        <v/>
      </c>
      <c r="P86" s="45">
        <f>IF(COUNTIFS($C:$C,$C86,$D:$D,"기준(후)",$L:$L,"&gt;0")&lt;&gt;1,"",SUMIFS($H:$H,$C:$C,$C86,$D:$D,"기준(후)"))</f>
        <v/>
      </c>
      <c r="Q86" s="30">
        <f>IF(COUNTIFS($C:$C,$C86,$D:$D,"기준(후)",$L:$L,"&gt;0")&lt;&gt;1,"",SUMIFS($L:$L,$C:$C,$C86,$D:$D,"기준(후)"))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IF(OR($D85&lt;&gt;"측정",$C85&lt;&gt;$C86,NOT(ISNUMBER(L86)),NOT(ISNUMBER(L85)),(IF(ISNUMBER(F86),F86,E86)-IF(ISNUMBER(F85),F85,E85))=0),"",(L86-L85)/((IF(ISNUMBER(F86),F86,E86)-IF(ISNUMBER(F85),F85,E85))/100))</f>
        <v/>
      </c>
      <c r="U86" s="28" t="n"/>
      <c r="V86" s="28" t="n"/>
      <c r="W86" s="31" t="n"/>
    </row>
    <row r="87">
      <c r="A87" s="25" t="inlineStr">
        <is>
          <t>S07</t>
        </is>
      </c>
      <c r="B87" s="25" t="inlineStr">
        <is>
          <t>남해 신규점1</t>
        </is>
      </c>
      <c r="C87" s="25" t="inlineStr">
        <is>
          <t>S07-V</t>
        </is>
      </c>
      <c r="D87" s="25" t="inlineStr">
        <is>
          <t>측정</t>
        </is>
      </c>
      <c r="E87" s="48" t="n">
        <v>200</v>
      </c>
      <c r="F87" s="40" t="n"/>
      <c r="G87" s="28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IF(COUNTIFS($C:$C,$C87,$D:$D,"기준(전)",$L:$L,"&gt;0")&lt;&gt;1,"기준(전) 유효 1개 아님",IF(COUNTIFS($C:$C,$C87,$D:$D,"기준(후)",$L:$L,"&gt;0")&lt;&gt;1,"기준(후) 유효 1개 아님",IF(NOT(AND(ISNUMBER(N87),ISNUMBER(P87),ISNUMBER(H87))),"시각 결측",IF(P87&lt;=N87,"기준 시각 역전",IF(OR(H87&lt;N87,H87&gt;P87),"측정시각 구간 밖","OK")))))</f>
        <v/>
      </c>
      <c r="N87" s="45">
        <f>IF(COUNTIFS($C:$C,$C87,$D:$D,"기준(전)",$L:$L,"&gt;0")&lt;&gt;1,"",SUMIFS($H:$H,$C:$C,$C87,$D:$D,"기준(전)"))</f>
        <v/>
      </c>
      <c r="O87" s="30">
        <f>IF(COUNTIFS($C:$C,$C87,$D:$D,"기준(전)",$L:$L,"&gt;0")&lt;&gt;1,"",SUMIFS($L:$L,$C:$C,$C87,$D:$D,"기준(전)"))</f>
        <v/>
      </c>
      <c r="P87" s="45">
        <f>IF(COUNTIFS($C:$C,$C87,$D:$D,"기준(후)",$L:$L,"&gt;0")&lt;&gt;1,"",SUMIFS($H:$H,$C:$C,$C87,$D:$D,"기준(후)"))</f>
        <v/>
      </c>
      <c r="Q87" s="30">
        <f>IF(COUNTIFS($C:$C,$C87,$D:$D,"기준(후)",$L:$L,"&gt;0")&lt;&gt;1,"",SUMIFS($L:$L,$C:$C,$C87,$D:$D,"기준(후)"))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IF(OR($D86&lt;&gt;"측정",$C86&lt;&gt;$C87,NOT(ISNUMBER(L87)),NOT(ISNUMBER(L86)),(IF(ISNUMBER(F87),F87,E87)-IF(ISNUMBER(F86),F86,E86))=0),"",(L87-L86)/((IF(ISNUMBER(F87),F87,E87)-IF(ISNUMBER(F86),F86,E86))/100))</f>
        <v/>
      </c>
      <c r="U87" s="28" t="n"/>
      <c r="V87" s="28" t="n"/>
      <c r="W87" s="31" t="n"/>
    </row>
    <row r="88">
      <c r="A88" s="43" t="inlineStr">
        <is>
          <t>S07</t>
        </is>
      </c>
      <c r="B88" s="43" t="inlineStr">
        <is>
          <t>남해 신규점1</t>
        </is>
      </c>
      <c r="C88" s="43" t="inlineStr">
        <is>
          <t>S07-V</t>
        </is>
      </c>
      <c r="D88" s="43" t="inlineStr">
        <is>
          <t>기준(후)</t>
        </is>
      </c>
      <c r="E88" s="47" t="n"/>
      <c r="F88" s="40" t="n"/>
      <c r="G88" s="28" t="n"/>
      <c r="H88" s="42" t="n"/>
      <c r="I88" s="40" t="n"/>
      <c r="J88" s="40" t="n"/>
      <c r="K88" s="40" t="n"/>
      <c r="L88" s="30">
        <f>IF(COUNT(I88:K88)=0,"",MEDIAN(I88:K88))</f>
        <v/>
      </c>
      <c r="M88" s="37" t="n"/>
      <c r="N88" s="37" t="n"/>
      <c r="O88" s="37" t="n"/>
      <c r="P88" s="37" t="n"/>
      <c r="Q88" s="37" t="n"/>
      <c r="R88" s="37" t="n"/>
      <c r="S88" s="37" t="n"/>
      <c r="T88" s="37" t="n"/>
      <c r="U88" s="28" t="n"/>
      <c r="V88" s="28" t="n"/>
      <c r="W88" s="31" t="n"/>
    </row>
    <row r="89">
      <c r="A89" s="43" t="inlineStr">
        <is>
          <t>S08</t>
        </is>
      </c>
      <c r="B89" s="43" t="inlineStr">
        <is>
          <t>청일 신규점2</t>
        </is>
      </c>
      <c r="C89" s="43" t="inlineStr">
        <is>
          <t>S08-V</t>
        </is>
      </c>
      <c r="D89" s="43" t="inlineStr">
        <is>
          <t>기준(전)</t>
        </is>
      </c>
      <c r="E89" s="47" t="n"/>
      <c r="F89" s="40" t="n"/>
      <c r="G89" s="28" t="n"/>
      <c r="H89" s="42" t="n"/>
      <c r="I89" s="40" t="n"/>
      <c r="J89" s="40" t="n"/>
      <c r="K89" s="40" t="n"/>
      <c r="L89" s="30">
        <f>IF(COUNT(I89:K89)=0,"",MEDIAN(I89:K89))</f>
        <v/>
      </c>
      <c r="M89" s="37" t="n"/>
      <c r="N89" s="37" t="n"/>
      <c r="O89" s="37" t="n"/>
      <c r="P89" s="37" t="n"/>
      <c r="Q89" s="37" t="n"/>
      <c r="R89" s="37" t="n"/>
      <c r="S89" s="37" t="n"/>
      <c r="T89" s="37" t="n"/>
      <c r="U89" s="28" t="n"/>
      <c r="V89" s="28" t="n"/>
      <c r="W89" s="31" t="n"/>
    </row>
    <row r="90">
      <c r="A90" s="25" t="inlineStr">
        <is>
          <t>S08</t>
        </is>
      </c>
      <c r="B90" s="25" t="inlineStr">
        <is>
          <t>청일 신규점2</t>
        </is>
      </c>
      <c r="C90" s="25" t="inlineStr">
        <is>
          <t>S08-V</t>
        </is>
      </c>
      <c r="D90" s="25" t="inlineStr">
        <is>
          <t>측정</t>
        </is>
      </c>
      <c r="E90" s="48" t="n">
        <v>20</v>
      </c>
      <c r="F90" s="40" t="n"/>
      <c r="G90" s="28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IF(COUNTIFS($C:$C,$C90,$D:$D,"기준(전)",$L:$L,"&gt;0")&lt;&gt;1,"기준(전) 유효 1개 아님",IF(COUNTIFS($C:$C,$C90,$D:$D,"기준(후)",$L:$L,"&gt;0")&lt;&gt;1,"기준(후) 유효 1개 아님",IF(NOT(AND(ISNUMBER(N90),ISNUMBER(P90),ISNUMBER(H90))),"시각 결측",IF(P90&lt;=N90,"기준 시각 역전",IF(OR(H90&lt;N90,H90&gt;P90),"측정시각 구간 밖","OK")))))</f>
        <v/>
      </c>
      <c r="N90" s="45">
        <f>IF(COUNTIFS($C:$C,$C90,$D:$D,"기준(전)",$L:$L,"&gt;0")&lt;&gt;1,"",SUMIFS($H:$H,$C:$C,$C90,$D:$D,"기준(전)"))</f>
        <v/>
      </c>
      <c r="O90" s="30">
        <f>IF(COUNTIFS($C:$C,$C90,$D:$D,"기준(전)",$L:$L,"&gt;0")&lt;&gt;1,"",SUMIFS($L:$L,$C:$C,$C90,$D:$D,"기준(전)"))</f>
        <v/>
      </c>
      <c r="P90" s="45">
        <f>IF(COUNTIFS($C:$C,$C90,$D:$D,"기준(후)",$L:$L,"&gt;0")&lt;&gt;1,"",SUMIFS($H:$H,$C:$C,$C90,$D:$D,"기준(후)"))</f>
        <v/>
      </c>
      <c r="Q90" s="30">
        <f>IF(COUNTIFS($C:$C,$C90,$D:$D,"기준(후)",$L:$L,"&gt;0")&lt;&gt;1,"",SUMIFS($L:$L,$C:$C,$C90,$D:$D,"기준(후)"))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IF(OR($D89&lt;&gt;"측정",$C89&lt;&gt;$C90,NOT(ISNUMBER(L90)),NOT(ISNUMBER(L89)),(IF(ISNUMBER(F90),F90,E90)-IF(ISNUMBER(F89),F89,E89))=0),"",(L90-L89)/((IF(ISNUMBER(F90),F90,E90)-IF(ISNUMBER(F89),F89,E89))/100))</f>
        <v/>
      </c>
      <c r="U90" s="28" t="n"/>
      <c r="V90" s="28" t="n"/>
      <c r="W90" s="31" t="n"/>
    </row>
    <row r="91">
      <c r="A91" s="25" t="inlineStr">
        <is>
          <t>S08</t>
        </is>
      </c>
      <c r="B91" s="25" t="inlineStr">
        <is>
          <t>청일 신규점2</t>
        </is>
      </c>
      <c r="C91" s="25" t="inlineStr">
        <is>
          <t>S08-V</t>
        </is>
      </c>
      <c r="D91" s="25" t="inlineStr">
        <is>
          <t>측정</t>
        </is>
      </c>
      <c r="E91" s="48" t="n">
        <v>40</v>
      </c>
      <c r="F91" s="40" t="n"/>
      <c r="G91" s="28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IF(COUNTIFS($C:$C,$C91,$D:$D,"기준(전)",$L:$L,"&gt;0")&lt;&gt;1,"기준(전) 유효 1개 아님",IF(COUNTIFS($C:$C,$C91,$D:$D,"기준(후)",$L:$L,"&gt;0")&lt;&gt;1,"기준(후) 유효 1개 아님",IF(NOT(AND(ISNUMBER(N91),ISNUMBER(P91),ISNUMBER(H91))),"시각 결측",IF(P91&lt;=N91,"기준 시각 역전",IF(OR(H91&lt;N91,H91&gt;P91),"측정시각 구간 밖","OK")))))</f>
        <v/>
      </c>
      <c r="N91" s="45">
        <f>IF(COUNTIFS($C:$C,$C91,$D:$D,"기준(전)",$L:$L,"&gt;0")&lt;&gt;1,"",SUMIFS($H:$H,$C:$C,$C91,$D:$D,"기준(전)"))</f>
        <v/>
      </c>
      <c r="O91" s="30">
        <f>IF(COUNTIFS($C:$C,$C91,$D:$D,"기준(전)",$L:$L,"&gt;0")&lt;&gt;1,"",SUMIFS($L:$L,$C:$C,$C91,$D:$D,"기준(전)"))</f>
        <v/>
      </c>
      <c r="P91" s="45">
        <f>IF(COUNTIFS($C:$C,$C91,$D:$D,"기준(후)",$L:$L,"&gt;0")&lt;&gt;1,"",SUMIFS($H:$H,$C:$C,$C91,$D:$D,"기준(후)"))</f>
        <v/>
      </c>
      <c r="Q91" s="30">
        <f>IF(COUNTIFS($C:$C,$C91,$D:$D,"기준(후)",$L:$L,"&gt;0")&lt;&gt;1,"",SUMIFS($L:$L,$C:$C,$C91,$D:$D,"기준(후)"))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IF(OR($D90&lt;&gt;"측정",$C90&lt;&gt;$C91,NOT(ISNUMBER(L91)),NOT(ISNUMBER(L90)),(IF(ISNUMBER(F91),F91,E91)-IF(ISNUMBER(F90),F90,E90))=0),"",(L91-L90)/((IF(ISNUMBER(F91),F91,E91)-IF(ISNUMBER(F90),F90,E90))/100))</f>
        <v/>
      </c>
      <c r="U91" s="28" t="n"/>
      <c r="V91" s="28" t="n"/>
      <c r="W91" s="31" t="n"/>
    </row>
    <row r="92">
      <c r="A92" s="25" t="inlineStr">
        <is>
          <t>S08</t>
        </is>
      </c>
      <c r="B92" s="25" t="inlineStr">
        <is>
          <t>청일 신규점2</t>
        </is>
      </c>
      <c r="C92" s="25" t="inlineStr">
        <is>
          <t>S08-V</t>
        </is>
      </c>
      <c r="D92" s="25" t="inlineStr">
        <is>
          <t>측정</t>
        </is>
      </c>
      <c r="E92" s="48" t="n">
        <v>60</v>
      </c>
      <c r="F92" s="40" t="n"/>
      <c r="G92" s="28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IF(COUNTIFS($C:$C,$C92,$D:$D,"기준(전)",$L:$L,"&gt;0")&lt;&gt;1,"기준(전) 유효 1개 아님",IF(COUNTIFS($C:$C,$C92,$D:$D,"기준(후)",$L:$L,"&gt;0")&lt;&gt;1,"기준(후) 유효 1개 아님",IF(NOT(AND(ISNUMBER(N92),ISNUMBER(P92),ISNUMBER(H92))),"시각 결측",IF(P92&lt;=N92,"기준 시각 역전",IF(OR(H92&lt;N92,H92&gt;P92),"측정시각 구간 밖","OK")))))</f>
        <v/>
      </c>
      <c r="N92" s="45">
        <f>IF(COUNTIFS($C:$C,$C92,$D:$D,"기준(전)",$L:$L,"&gt;0")&lt;&gt;1,"",SUMIFS($H:$H,$C:$C,$C92,$D:$D,"기준(전)"))</f>
        <v/>
      </c>
      <c r="O92" s="30">
        <f>IF(COUNTIFS($C:$C,$C92,$D:$D,"기준(전)",$L:$L,"&gt;0")&lt;&gt;1,"",SUMIFS($L:$L,$C:$C,$C92,$D:$D,"기준(전)"))</f>
        <v/>
      </c>
      <c r="P92" s="45">
        <f>IF(COUNTIFS($C:$C,$C92,$D:$D,"기준(후)",$L:$L,"&gt;0")&lt;&gt;1,"",SUMIFS($H:$H,$C:$C,$C92,$D:$D,"기준(후)"))</f>
        <v/>
      </c>
      <c r="Q92" s="30">
        <f>IF(COUNTIFS($C:$C,$C92,$D:$D,"기준(후)",$L:$L,"&gt;0")&lt;&gt;1,"",SUMIFS($L:$L,$C:$C,$C92,$D:$D,"기준(후)"))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IF(OR($D91&lt;&gt;"측정",$C91&lt;&gt;$C92,NOT(ISNUMBER(L92)),NOT(ISNUMBER(L91)),(IF(ISNUMBER(F92),F92,E92)-IF(ISNUMBER(F91),F91,E91))=0),"",(L92-L91)/((IF(ISNUMBER(F92),F92,E92)-IF(ISNUMBER(F91),F91,E91))/100))</f>
        <v/>
      </c>
      <c r="U92" s="28" t="n"/>
      <c r="V92" s="28" t="n"/>
      <c r="W92" s="31" t="n"/>
    </row>
    <row r="93">
      <c r="A93" s="25" t="inlineStr">
        <is>
          <t>S08</t>
        </is>
      </c>
      <c r="B93" s="25" t="inlineStr">
        <is>
          <t>청일 신규점2</t>
        </is>
      </c>
      <c r="C93" s="25" t="inlineStr">
        <is>
          <t>S08-V</t>
        </is>
      </c>
      <c r="D93" s="25" t="inlineStr">
        <is>
          <t>측정</t>
        </is>
      </c>
      <c r="E93" s="48" t="n">
        <v>80</v>
      </c>
      <c r="F93" s="40" t="n"/>
      <c r="G93" s="28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IF(COUNTIFS($C:$C,$C93,$D:$D,"기준(전)",$L:$L,"&gt;0")&lt;&gt;1,"기준(전) 유효 1개 아님",IF(COUNTIFS($C:$C,$C93,$D:$D,"기준(후)",$L:$L,"&gt;0")&lt;&gt;1,"기준(후) 유효 1개 아님",IF(NOT(AND(ISNUMBER(N93),ISNUMBER(P93),ISNUMBER(H93))),"시각 결측",IF(P93&lt;=N93,"기준 시각 역전",IF(OR(H93&lt;N93,H93&gt;P93),"측정시각 구간 밖","OK")))))</f>
        <v/>
      </c>
      <c r="N93" s="45">
        <f>IF(COUNTIFS($C:$C,$C93,$D:$D,"기준(전)",$L:$L,"&gt;0")&lt;&gt;1,"",SUMIFS($H:$H,$C:$C,$C93,$D:$D,"기준(전)"))</f>
        <v/>
      </c>
      <c r="O93" s="30">
        <f>IF(COUNTIFS($C:$C,$C93,$D:$D,"기준(전)",$L:$L,"&gt;0")&lt;&gt;1,"",SUMIFS($L:$L,$C:$C,$C93,$D:$D,"기준(전)"))</f>
        <v/>
      </c>
      <c r="P93" s="45">
        <f>IF(COUNTIFS($C:$C,$C93,$D:$D,"기준(후)",$L:$L,"&gt;0")&lt;&gt;1,"",SUMIFS($H:$H,$C:$C,$C93,$D:$D,"기준(후)"))</f>
        <v/>
      </c>
      <c r="Q93" s="30">
        <f>IF(COUNTIFS($C:$C,$C93,$D:$D,"기준(후)",$L:$L,"&gt;0")&lt;&gt;1,"",SUMIFS($L:$L,$C:$C,$C93,$D:$D,"기준(후)"))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IF(OR($D92&lt;&gt;"측정",$C92&lt;&gt;$C93,NOT(ISNUMBER(L93)),NOT(ISNUMBER(L92)),(IF(ISNUMBER(F93),F93,E93)-IF(ISNUMBER(F92),F92,E92))=0),"",(L93-L92)/((IF(ISNUMBER(F93),F93,E93)-IF(ISNUMBER(F92),F92,E92))/100))</f>
        <v/>
      </c>
      <c r="U93" s="28" t="n"/>
      <c r="V93" s="28" t="n"/>
      <c r="W93" s="31" t="n"/>
    </row>
    <row r="94">
      <c r="A94" s="25" t="inlineStr">
        <is>
          <t>S08</t>
        </is>
      </c>
      <c r="B94" s="25" t="inlineStr">
        <is>
          <t>청일 신규점2</t>
        </is>
      </c>
      <c r="C94" s="25" t="inlineStr">
        <is>
          <t>S08-V</t>
        </is>
      </c>
      <c r="D94" s="25" t="inlineStr">
        <is>
          <t>측정</t>
        </is>
      </c>
      <c r="E94" s="48" t="n">
        <v>100</v>
      </c>
      <c r="F94" s="40" t="n"/>
      <c r="G94" s="28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IF(COUNTIFS($C:$C,$C94,$D:$D,"기준(전)",$L:$L,"&gt;0")&lt;&gt;1,"기준(전) 유효 1개 아님",IF(COUNTIFS($C:$C,$C94,$D:$D,"기준(후)",$L:$L,"&gt;0")&lt;&gt;1,"기준(후) 유효 1개 아님",IF(NOT(AND(ISNUMBER(N94),ISNUMBER(P94),ISNUMBER(H94))),"시각 결측",IF(P94&lt;=N94,"기준 시각 역전",IF(OR(H94&lt;N94,H94&gt;P94),"측정시각 구간 밖","OK")))))</f>
        <v/>
      </c>
      <c r="N94" s="45">
        <f>IF(COUNTIFS($C:$C,$C94,$D:$D,"기준(전)",$L:$L,"&gt;0")&lt;&gt;1,"",SUMIFS($H:$H,$C:$C,$C94,$D:$D,"기준(전)"))</f>
        <v/>
      </c>
      <c r="O94" s="30">
        <f>IF(COUNTIFS($C:$C,$C94,$D:$D,"기준(전)",$L:$L,"&gt;0")&lt;&gt;1,"",SUMIFS($L:$L,$C:$C,$C94,$D:$D,"기준(전)"))</f>
        <v/>
      </c>
      <c r="P94" s="45">
        <f>IF(COUNTIFS($C:$C,$C94,$D:$D,"기준(후)",$L:$L,"&gt;0")&lt;&gt;1,"",SUMIFS($H:$H,$C:$C,$C94,$D:$D,"기준(후)"))</f>
        <v/>
      </c>
      <c r="Q94" s="30">
        <f>IF(COUNTIFS($C:$C,$C94,$D:$D,"기준(후)",$L:$L,"&gt;0")&lt;&gt;1,"",SUMIFS($L:$L,$C:$C,$C94,$D:$D,"기준(후)"))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IF(OR($D93&lt;&gt;"측정",$C93&lt;&gt;$C94,NOT(ISNUMBER(L94)),NOT(ISNUMBER(L93)),(IF(ISNUMBER(F94),F94,E94)-IF(ISNUMBER(F93),F93,E93))=0),"",(L94-L93)/((IF(ISNUMBER(F94),F94,E94)-IF(ISNUMBER(F93),F93,E93))/100))</f>
        <v/>
      </c>
      <c r="U94" s="28" t="n"/>
      <c r="V94" s="28" t="n"/>
      <c r="W94" s="31" t="n"/>
    </row>
    <row r="95">
      <c r="A95" s="25" t="inlineStr">
        <is>
          <t>S08</t>
        </is>
      </c>
      <c r="B95" s="25" t="inlineStr">
        <is>
          <t>청일 신규점2</t>
        </is>
      </c>
      <c r="C95" s="25" t="inlineStr">
        <is>
          <t>S08-V</t>
        </is>
      </c>
      <c r="D95" s="25" t="inlineStr">
        <is>
          <t>측정</t>
        </is>
      </c>
      <c r="E95" s="48" t="n">
        <v>120</v>
      </c>
      <c r="F95" s="40" t="n"/>
      <c r="G95" s="28" t="n"/>
      <c r="H95" s="42" t="n"/>
      <c r="I95" s="40" t="n"/>
      <c r="J95" s="40" t="n"/>
      <c r="K95" s="40" t="n"/>
      <c r="L95" s="30">
        <f>IF(COUNT(I95:K95)=0,"",MEDIAN(I95:K95))</f>
        <v/>
      </c>
      <c r="M95" s="25">
        <f>IF(COUNTIFS($C:$C,$C95,$D:$D,"기준(전)",$L:$L,"&gt;0")&lt;&gt;1,"기준(전) 유효 1개 아님",IF(COUNTIFS($C:$C,$C95,$D:$D,"기준(후)",$L:$L,"&gt;0")&lt;&gt;1,"기준(후) 유효 1개 아님",IF(NOT(AND(ISNUMBER(N95),ISNUMBER(P95),ISNUMBER(H95))),"시각 결측",IF(P95&lt;=N95,"기준 시각 역전",IF(OR(H95&lt;N95,H95&gt;P95),"측정시각 구간 밖","OK")))))</f>
        <v/>
      </c>
      <c r="N95" s="45">
        <f>IF(COUNTIFS($C:$C,$C95,$D:$D,"기준(전)",$L:$L,"&gt;0")&lt;&gt;1,"",SUMIFS($H:$H,$C:$C,$C95,$D:$D,"기준(전)"))</f>
        <v/>
      </c>
      <c r="O95" s="30">
        <f>IF(COUNTIFS($C:$C,$C95,$D:$D,"기준(전)",$L:$L,"&gt;0")&lt;&gt;1,"",SUMIFS($L:$L,$C:$C,$C95,$D:$D,"기준(전)"))</f>
        <v/>
      </c>
      <c r="P95" s="45">
        <f>IF(COUNTIFS($C:$C,$C95,$D:$D,"기준(후)",$L:$L,"&gt;0")&lt;&gt;1,"",SUMIFS($H:$H,$C:$C,$C95,$D:$D,"기준(후)"))</f>
        <v/>
      </c>
      <c r="Q95" s="30">
        <f>IF(COUNTIFS($C:$C,$C95,$D:$D,"기준(후)",$L:$L,"&gt;0")&lt;&gt;1,"",SUMIFS($L:$L,$C:$C,$C95,$D:$D,"기준(후)"))</f>
        <v/>
      </c>
      <c r="R95" s="30">
        <f>IF(M95&lt;&gt;"OK","",O95+(Q95-O95)*(H95-N95)/(P95-N95))</f>
        <v/>
      </c>
      <c r="S95" s="30">
        <f>IF(OR(M95&lt;&gt;"OK",NOT(ISNUMBER(L95))),"",L95-R95)</f>
        <v/>
      </c>
      <c r="T95" s="46">
        <f>IF(OR($D94&lt;&gt;"측정",$C94&lt;&gt;$C95,NOT(ISNUMBER(L95)),NOT(ISNUMBER(L94)),(IF(ISNUMBER(F95),F95,E95)-IF(ISNUMBER(F94),F94,E94))=0),"",(L95-L94)/((IF(ISNUMBER(F95),F95,E95)-IF(ISNUMBER(F94),F94,E94))/100))</f>
        <v/>
      </c>
      <c r="U95" s="28" t="n"/>
      <c r="V95" s="28" t="n"/>
      <c r="W95" s="31" t="n"/>
    </row>
    <row r="96">
      <c r="A96" s="25" t="inlineStr">
        <is>
          <t>S08</t>
        </is>
      </c>
      <c r="B96" s="25" t="inlineStr">
        <is>
          <t>청일 신규점2</t>
        </is>
      </c>
      <c r="C96" s="25" t="inlineStr">
        <is>
          <t>S08-V</t>
        </is>
      </c>
      <c r="D96" s="25" t="inlineStr">
        <is>
          <t>측정</t>
        </is>
      </c>
      <c r="E96" s="48" t="n">
        <v>140</v>
      </c>
      <c r="F96" s="40" t="n"/>
      <c r="G96" s="28" t="n"/>
      <c r="H96" s="42" t="n"/>
      <c r="I96" s="40" t="n"/>
      <c r="J96" s="40" t="n"/>
      <c r="K96" s="40" t="n"/>
      <c r="L96" s="30">
        <f>IF(COUNT(I96:K96)=0,"",MEDIAN(I96:K96))</f>
        <v/>
      </c>
      <c r="M96" s="25">
        <f>IF(COUNTIFS($C:$C,$C96,$D:$D,"기준(전)",$L:$L,"&gt;0")&lt;&gt;1,"기준(전) 유효 1개 아님",IF(COUNTIFS($C:$C,$C96,$D:$D,"기준(후)",$L:$L,"&gt;0")&lt;&gt;1,"기준(후) 유효 1개 아님",IF(NOT(AND(ISNUMBER(N96),ISNUMBER(P96),ISNUMBER(H96))),"시각 결측",IF(P96&lt;=N96,"기준 시각 역전",IF(OR(H96&lt;N96,H96&gt;P96),"측정시각 구간 밖","OK")))))</f>
        <v/>
      </c>
      <c r="N96" s="45">
        <f>IF(COUNTIFS($C:$C,$C96,$D:$D,"기준(전)",$L:$L,"&gt;0")&lt;&gt;1,"",SUMIFS($H:$H,$C:$C,$C96,$D:$D,"기준(전)"))</f>
        <v/>
      </c>
      <c r="O96" s="30">
        <f>IF(COUNTIFS($C:$C,$C96,$D:$D,"기준(전)",$L:$L,"&gt;0")&lt;&gt;1,"",SUMIFS($L:$L,$C:$C,$C96,$D:$D,"기준(전)"))</f>
        <v/>
      </c>
      <c r="P96" s="45">
        <f>IF(COUNTIFS($C:$C,$C96,$D:$D,"기준(후)",$L:$L,"&gt;0")&lt;&gt;1,"",SUMIFS($H:$H,$C:$C,$C96,$D:$D,"기준(후)"))</f>
        <v/>
      </c>
      <c r="Q96" s="30">
        <f>IF(COUNTIFS($C:$C,$C96,$D:$D,"기준(후)",$L:$L,"&gt;0")&lt;&gt;1,"",SUMIFS($L:$L,$C:$C,$C96,$D:$D,"기준(후)"))</f>
        <v/>
      </c>
      <c r="R96" s="30">
        <f>IF(M96&lt;&gt;"OK","",O96+(Q96-O96)*(H96-N96)/(P96-N96))</f>
        <v/>
      </c>
      <c r="S96" s="30">
        <f>IF(OR(M96&lt;&gt;"OK",NOT(ISNUMBER(L96))),"",L96-R96)</f>
        <v/>
      </c>
      <c r="T96" s="46">
        <f>IF(OR($D95&lt;&gt;"측정",$C95&lt;&gt;$C96,NOT(ISNUMBER(L96)),NOT(ISNUMBER(L95)),(IF(ISNUMBER(F96),F96,E96)-IF(ISNUMBER(F95),F95,E95))=0),"",(L96-L95)/((IF(ISNUMBER(F96),F96,E96)-IF(ISNUMBER(F95),F95,E95))/100))</f>
        <v/>
      </c>
      <c r="U96" s="28" t="n"/>
      <c r="V96" s="28" t="n"/>
      <c r="W96" s="31" t="n"/>
    </row>
    <row r="97">
      <c r="A97" s="25" t="inlineStr">
        <is>
          <t>S08</t>
        </is>
      </c>
      <c r="B97" s="25" t="inlineStr">
        <is>
          <t>청일 신규점2</t>
        </is>
      </c>
      <c r="C97" s="25" t="inlineStr">
        <is>
          <t>S08-V</t>
        </is>
      </c>
      <c r="D97" s="25" t="inlineStr">
        <is>
          <t>측정</t>
        </is>
      </c>
      <c r="E97" s="48" t="n">
        <v>160</v>
      </c>
      <c r="F97" s="40" t="n"/>
      <c r="G97" s="28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IF(COUNTIFS($C:$C,$C97,$D:$D,"기준(전)",$L:$L,"&gt;0")&lt;&gt;1,"기준(전) 유효 1개 아님",IF(COUNTIFS($C:$C,$C97,$D:$D,"기준(후)",$L:$L,"&gt;0")&lt;&gt;1,"기준(후) 유효 1개 아님",IF(NOT(AND(ISNUMBER(N97),ISNUMBER(P97),ISNUMBER(H97))),"시각 결측",IF(P97&lt;=N97,"기준 시각 역전",IF(OR(H97&lt;N97,H97&gt;P97),"측정시각 구간 밖","OK")))))</f>
        <v/>
      </c>
      <c r="N97" s="45">
        <f>IF(COUNTIFS($C:$C,$C97,$D:$D,"기준(전)",$L:$L,"&gt;0")&lt;&gt;1,"",SUMIFS($H:$H,$C:$C,$C97,$D:$D,"기준(전)"))</f>
        <v/>
      </c>
      <c r="O97" s="30">
        <f>IF(COUNTIFS($C:$C,$C97,$D:$D,"기준(전)",$L:$L,"&gt;0")&lt;&gt;1,"",SUMIFS($L:$L,$C:$C,$C97,$D:$D,"기준(전)"))</f>
        <v/>
      </c>
      <c r="P97" s="45">
        <f>IF(COUNTIFS($C:$C,$C97,$D:$D,"기준(후)",$L:$L,"&gt;0")&lt;&gt;1,"",SUMIFS($H:$H,$C:$C,$C97,$D:$D,"기준(후)"))</f>
        <v/>
      </c>
      <c r="Q97" s="30">
        <f>IF(COUNTIFS($C:$C,$C97,$D:$D,"기준(후)",$L:$L,"&gt;0")&lt;&gt;1,"",SUMIFS($L:$L,$C:$C,$C97,$D:$D,"기준(후)"))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IF(OR($D96&lt;&gt;"측정",$C96&lt;&gt;$C97,NOT(ISNUMBER(L97)),NOT(ISNUMBER(L96)),(IF(ISNUMBER(F97),F97,E97)-IF(ISNUMBER(F96),F96,E96))=0),"",(L97-L96)/((IF(ISNUMBER(F97),F97,E97)-IF(ISNUMBER(F96),F96,E96))/100))</f>
        <v/>
      </c>
      <c r="U97" s="28" t="n"/>
      <c r="V97" s="28" t="n"/>
      <c r="W97" s="31" t="n"/>
    </row>
    <row r="98">
      <c r="A98" s="25" t="inlineStr">
        <is>
          <t>S08</t>
        </is>
      </c>
      <c r="B98" s="25" t="inlineStr">
        <is>
          <t>청일 신규점2</t>
        </is>
      </c>
      <c r="C98" s="25" t="inlineStr">
        <is>
          <t>S08-V</t>
        </is>
      </c>
      <c r="D98" s="25" t="inlineStr">
        <is>
          <t>측정</t>
        </is>
      </c>
      <c r="E98" s="48" t="n">
        <v>180</v>
      </c>
      <c r="F98" s="40" t="n"/>
      <c r="G98" s="28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IF(COUNTIFS($C:$C,$C98,$D:$D,"기준(전)",$L:$L,"&gt;0")&lt;&gt;1,"기준(전) 유효 1개 아님",IF(COUNTIFS($C:$C,$C98,$D:$D,"기준(후)",$L:$L,"&gt;0")&lt;&gt;1,"기준(후) 유효 1개 아님",IF(NOT(AND(ISNUMBER(N98),ISNUMBER(P98),ISNUMBER(H98))),"시각 결측",IF(P98&lt;=N98,"기준 시각 역전",IF(OR(H98&lt;N98,H98&gt;P98),"측정시각 구간 밖","OK")))))</f>
        <v/>
      </c>
      <c r="N98" s="45">
        <f>IF(COUNTIFS($C:$C,$C98,$D:$D,"기준(전)",$L:$L,"&gt;0")&lt;&gt;1,"",SUMIFS($H:$H,$C:$C,$C98,$D:$D,"기준(전)"))</f>
        <v/>
      </c>
      <c r="O98" s="30">
        <f>IF(COUNTIFS($C:$C,$C98,$D:$D,"기준(전)",$L:$L,"&gt;0")&lt;&gt;1,"",SUMIFS($L:$L,$C:$C,$C98,$D:$D,"기준(전)"))</f>
        <v/>
      </c>
      <c r="P98" s="45">
        <f>IF(COUNTIFS($C:$C,$C98,$D:$D,"기준(후)",$L:$L,"&gt;0")&lt;&gt;1,"",SUMIFS($H:$H,$C:$C,$C98,$D:$D,"기준(후)"))</f>
        <v/>
      </c>
      <c r="Q98" s="30">
        <f>IF(COUNTIFS($C:$C,$C98,$D:$D,"기준(후)",$L:$L,"&gt;0")&lt;&gt;1,"",SUMIFS($L:$L,$C:$C,$C98,$D:$D,"기준(후)"))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IF(OR($D97&lt;&gt;"측정",$C97&lt;&gt;$C98,NOT(ISNUMBER(L98)),NOT(ISNUMBER(L97)),(IF(ISNUMBER(F98),F98,E98)-IF(ISNUMBER(F97),F97,E97))=0),"",(L98-L97)/((IF(ISNUMBER(F98),F98,E98)-IF(ISNUMBER(F97),F97,E97))/100))</f>
        <v/>
      </c>
      <c r="U98" s="28" t="n"/>
      <c r="V98" s="28" t="n"/>
      <c r="W98" s="31" t="n"/>
    </row>
    <row r="99">
      <c r="A99" s="25" t="inlineStr">
        <is>
          <t>S08</t>
        </is>
      </c>
      <c r="B99" s="25" t="inlineStr">
        <is>
          <t>청일 신규점2</t>
        </is>
      </c>
      <c r="C99" s="25" t="inlineStr">
        <is>
          <t>S08-V</t>
        </is>
      </c>
      <c r="D99" s="25" t="inlineStr">
        <is>
          <t>측정</t>
        </is>
      </c>
      <c r="E99" s="48" t="n">
        <v>200</v>
      </c>
      <c r="F99" s="40" t="n"/>
      <c r="G99" s="28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IF(COUNTIFS($C:$C,$C99,$D:$D,"기준(전)",$L:$L,"&gt;0")&lt;&gt;1,"기준(전) 유효 1개 아님",IF(COUNTIFS($C:$C,$C99,$D:$D,"기준(후)",$L:$L,"&gt;0")&lt;&gt;1,"기준(후) 유효 1개 아님",IF(NOT(AND(ISNUMBER(N99),ISNUMBER(P99),ISNUMBER(H99))),"시각 결측",IF(P99&lt;=N99,"기준 시각 역전",IF(OR(H99&lt;N99,H99&gt;P99),"측정시각 구간 밖","OK")))))</f>
        <v/>
      </c>
      <c r="N99" s="45">
        <f>IF(COUNTIFS($C:$C,$C99,$D:$D,"기준(전)",$L:$L,"&gt;0")&lt;&gt;1,"",SUMIFS($H:$H,$C:$C,$C99,$D:$D,"기준(전)"))</f>
        <v/>
      </c>
      <c r="O99" s="30">
        <f>IF(COUNTIFS($C:$C,$C99,$D:$D,"기준(전)",$L:$L,"&gt;0")&lt;&gt;1,"",SUMIFS($L:$L,$C:$C,$C99,$D:$D,"기준(전)"))</f>
        <v/>
      </c>
      <c r="P99" s="45">
        <f>IF(COUNTIFS($C:$C,$C99,$D:$D,"기준(후)",$L:$L,"&gt;0")&lt;&gt;1,"",SUMIFS($H:$H,$C:$C,$C99,$D:$D,"기준(후)"))</f>
        <v/>
      </c>
      <c r="Q99" s="30">
        <f>IF(COUNTIFS($C:$C,$C99,$D:$D,"기준(후)",$L:$L,"&gt;0")&lt;&gt;1,"",SUMIFS($L:$L,$C:$C,$C99,$D:$D,"기준(후)"))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IF(OR($D98&lt;&gt;"측정",$C98&lt;&gt;$C99,NOT(ISNUMBER(L99)),NOT(ISNUMBER(L98)),(IF(ISNUMBER(F99),F99,E99)-IF(ISNUMBER(F98),F98,E98))=0),"",(L99-L98)/((IF(ISNUMBER(F99),F99,E99)-IF(ISNUMBER(F98),F98,E98))/100))</f>
        <v/>
      </c>
      <c r="U99" s="28" t="n"/>
      <c r="V99" s="28" t="n"/>
      <c r="W99" s="31" t="n"/>
    </row>
    <row r="100">
      <c r="A100" s="43" t="inlineStr">
        <is>
          <t>S08</t>
        </is>
      </c>
      <c r="B100" s="43" t="inlineStr">
        <is>
          <t>청일 신규점2</t>
        </is>
      </c>
      <c r="C100" s="43" t="inlineStr">
        <is>
          <t>S08-V</t>
        </is>
      </c>
      <c r="D100" s="43" t="inlineStr">
        <is>
          <t>기준(후)</t>
        </is>
      </c>
      <c r="E100" s="47" t="n"/>
      <c r="F100" s="40" t="n"/>
      <c r="G100" s="28" t="n"/>
      <c r="H100" s="42" t="n"/>
      <c r="I100" s="40" t="n"/>
      <c r="J100" s="40" t="n"/>
      <c r="K100" s="40" t="n"/>
      <c r="L100" s="30">
        <f>IF(COUNT(I100:K100)=0,"",MEDIAN(I100:K100))</f>
        <v/>
      </c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28" t="n"/>
      <c r="V100" s="28" t="n"/>
      <c r="W100" s="31" t="n"/>
    </row>
    <row r="101">
      <c r="A101" s="43" t="inlineStr">
        <is>
          <t>S09</t>
        </is>
      </c>
      <c r="B101" s="43" t="inlineStr">
        <is>
          <t>어론 신규점</t>
        </is>
      </c>
      <c r="C101" s="43" t="inlineStr">
        <is>
          <t>S09-V</t>
        </is>
      </c>
      <c r="D101" s="43" t="inlineStr">
        <is>
          <t>기준(전)</t>
        </is>
      </c>
      <c r="E101" s="47" t="n"/>
      <c r="F101" s="40" t="n"/>
      <c r="G101" s="28" t="n"/>
      <c r="H101" s="42" t="n"/>
      <c r="I101" s="40" t="n"/>
      <c r="J101" s="40" t="n"/>
      <c r="K101" s="40" t="n"/>
      <c r="L101" s="30">
        <f>IF(COUNT(I101:K101)=0,"",MEDIAN(I101:K101))</f>
        <v/>
      </c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28" t="n"/>
      <c r="V101" s="28" t="n"/>
      <c r="W101" s="31" t="n"/>
    </row>
    <row r="102">
      <c r="A102" s="25" t="inlineStr">
        <is>
          <t>S09</t>
        </is>
      </c>
      <c r="B102" s="25" t="inlineStr">
        <is>
          <t>어론 신규점</t>
        </is>
      </c>
      <c r="C102" s="25" t="inlineStr">
        <is>
          <t>S09-V</t>
        </is>
      </c>
      <c r="D102" s="25" t="inlineStr">
        <is>
          <t>측정</t>
        </is>
      </c>
      <c r="E102" s="48" t="n">
        <v>20</v>
      </c>
      <c r="F102" s="40" t="n"/>
      <c r="G102" s="28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IF(COUNTIFS($C:$C,$C102,$D:$D,"기준(전)",$L:$L,"&gt;0")&lt;&gt;1,"기준(전) 유효 1개 아님",IF(COUNTIFS($C:$C,$C102,$D:$D,"기준(후)",$L:$L,"&gt;0")&lt;&gt;1,"기준(후) 유효 1개 아님",IF(NOT(AND(ISNUMBER(N102),ISNUMBER(P102),ISNUMBER(H102))),"시각 결측",IF(P102&lt;=N102,"기준 시각 역전",IF(OR(H102&lt;N102,H102&gt;P102),"측정시각 구간 밖","OK")))))</f>
        <v/>
      </c>
      <c r="N102" s="45">
        <f>IF(COUNTIFS($C:$C,$C102,$D:$D,"기준(전)",$L:$L,"&gt;0")&lt;&gt;1,"",SUMIFS($H:$H,$C:$C,$C102,$D:$D,"기준(전)"))</f>
        <v/>
      </c>
      <c r="O102" s="30">
        <f>IF(COUNTIFS($C:$C,$C102,$D:$D,"기준(전)",$L:$L,"&gt;0")&lt;&gt;1,"",SUMIFS($L:$L,$C:$C,$C102,$D:$D,"기준(전)"))</f>
        <v/>
      </c>
      <c r="P102" s="45">
        <f>IF(COUNTIFS($C:$C,$C102,$D:$D,"기준(후)",$L:$L,"&gt;0")&lt;&gt;1,"",SUMIFS($H:$H,$C:$C,$C102,$D:$D,"기준(후)"))</f>
        <v/>
      </c>
      <c r="Q102" s="30">
        <f>IF(COUNTIFS($C:$C,$C102,$D:$D,"기준(후)",$L:$L,"&gt;0")&lt;&gt;1,"",SUMIFS($L:$L,$C:$C,$C102,$D:$D,"기준(후)"))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IF(OR($D101&lt;&gt;"측정",$C101&lt;&gt;$C102,NOT(ISNUMBER(L102)),NOT(ISNUMBER(L101)),(IF(ISNUMBER(F102),F102,E102)-IF(ISNUMBER(F101),F101,E101))=0),"",(L102-L101)/((IF(ISNUMBER(F102),F102,E102)-IF(ISNUMBER(F101),F101,E101))/100))</f>
        <v/>
      </c>
      <c r="U102" s="28" t="n"/>
      <c r="V102" s="28" t="n"/>
      <c r="W102" s="31" t="n"/>
    </row>
    <row r="103">
      <c r="A103" s="25" t="inlineStr">
        <is>
          <t>S09</t>
        </is>
      </c>
      <c r="B103" s="25" t="inlineStr">
        <is>
          <t>어론 신규점</t>
        </is>
      </c>
      <c r="C103" s="25" t="inlineStr">
        <is>
          <t>S09-V</t>
        </is>
      </c>
      <c r="D103" s="25" t="inlineStr">
        <is>
          <t>측정</t>
        </is>
      </c>
      <c r="E103" s="48" t="n">
        <v>40</v>
      </c>
      <c r="F103" s="40" t="n"/>
      <c r="G103" s="28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IF(COUNTIFS($C:$C,$C103,$D:$D,"기준(전)",$L:$L,"&gt;0")&lt;&gt;1,"기준(전) 유효 1개 아님",IF(COUNTIFS($C:$C,$C103,$D:$D,"기준(후)",$L:$L,"&gt;0")&lt;&gt;1,"기준(후) 유효 1개 아님",IF(NOT(AND(ISNUMBER(N103),ISNUMBER(P103),ISNUMBER(H103))),"시각 결측",IF(P103&lt;=N103,"기준 시각 역전",IF(OR(H103&lt;N103,H103&gt;P103),"측정시각 구간 밖","OK")))))</f>
        <v/>
      </c>
      <c r="N103" s="45">
        <f>IF(COUNTIFS($C:$C,$C103,$D:$D,"기준(전)",$L:$L,"&gt;0")&lt;&gt;1,"",SUMIFS($H:$H,$C:$C,$C103,$D:$D,"기준(전)"))</f>
        <v/>
      </c>
      <c r="O103" s="30">
        <f>IF(COUNTIFS($C:$C,$C103,$D:$D,"기준(전)",$L:$L,"&gt;0")&lt;&gt;1,"",SUMIFS($L:$L,$C:$C,$C103,$D:$D,"기준(전)"))</f>
        <v/>
      </c>
      <c r="P103" s="45">
        <f>IF(COUNTIFS($C:$C,$C103,$D:$D,"기준(후)",$L:$L,"&gt;0")&lt;&gt;1,"",SUMIFS($H:$H,$C:$C,$C103,$D:$D,"기준(후)"))</f>
        <v/>
      </c>
      <c r="Q103" s="30">
        <f>IF(COUNTIFS($C:$C,$C103,$D:$D,"기준(후)",$L:$L,"&gt;0")&lt;&gt;1,"",SUMIFS($L:$L,$C:$C,$C103,$D:$D,"기준(후)"))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IF(OR($D102&lt;&gt;"측정",$C102&lt;&gt;$C103,NOT(ISNUMBER(L103)),NOT(ISNUMBER(L102)),(IF(ISNUMBER(F103),F103,E103)-IF(ISNUMBER(F102),F102,E102))=0),"",(L103-L102)/((IF(ISNUMBER(F103),F103,E103)-IF(ISNUMBER(F102),F102,E102))/100))</f>
        <v/>
      </c>
      <c r="U103" s="28" t="n"/>
      <c r="V103" s="28" t="n"/>
      <c r="W103" s="31" t="n"/>
    </row>
    <row r="104">
      <c r="A104" s="25" t="inlineStr">
        <is>
          <t>S09</t>
        </is>
      </c>
      <c r="B104" s="25" t="inlineStr">
        <is>
          <t>어론 신규점</t>
        </is>
      </c>
      <c r="C104" s="25" t="inlineStr">
        <is>
          <t>S09-V</t>
        </is>
      </c>
      <c r="D104" s="25" t="inlineStr">
        <is>
          <t>측정</t>
        </is>
      </c>
      <c r="E104" s="48" t="n">
        <v>60</v>
      </c>
      <c r="F104" s="40" t="n"/>
      <c r="G104" s="28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IF(COUNTIFS($C:$C,$C104,$D:$D,"기준(전)",$L:$L,"&gt;0")&lt;&gt;1,"기준(전) 유효 1개 아님",IF(COUNTIFS($C:$C,$C104,$D:$D,"기준(후)",$L:$L,"&gt;0")&lt;&gt;1,"기준(후) 유효 1개 아님",IF(NOT(AND(ISNUMBER(N104),ISNUMBER(P104),ISNUMBER(H104))),"시각 결측",IF(P104&lt;=N104,"기준 시각 역전",IF(OR(H104&lt;N104,H104&gt;P104),"측정시각 구간 밖","OK")))))</f>
        <v/>
      </c>
      <c r="N104" s="45">
        <f>IF(COUNTIFS($C:$C,$C104,$D:$D,"기준(전)",$L:$L,"&gt;0")&lt;&gt;1,"",SUMIFS($H:$H,$C:$C,$C104,$D:$D,"기준(전)"))</f>
        <v/>
      </c>
      <c r="O104" s="30">
        <f>IF(COUNTIFS($C:$C,$C104,$D:$D,"기준(전)",$L:$L,"&gt;0")&lt;&gt;1,"",SUMIFS($L:$L,$C:$C,$C104,$D:$D,"기준(전)"))</f>
        <v/>
      </c>
      <c r="P104" s="45">
        <f>IF(COUNTIFS($C:$C,$C104,$D:$D,"기준(후)",$L:$L,"&gt;0")&lt;&gt;1,"",SUMIFS($H:$H,$C:$C,$C104,$D:$D,"기준(후)"))</f>
        <v/>
      </c>
      <c r="Q104" s="30">
        <f>IF(COUNTIFS($C:$C,$C104,$D:$D,"기준(후)",$L:$L,"&gt;0")&lt;&gt;1,"",SUMIFS($L:$L,$C:$C,$C104,$D:$D,"기준(후)"))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IF(OR($D103&lt;&gt;"측정",$C103&lt;&gt;$C104,NOT(ISNUMBER(L104)),NOT(ISNUMBER(L103)),(IF(ISNUMBER(F104),F104,E104)-IF(ISNUMBER(F103),F103,E103))=0),"",(L104-L103)/((IF(ISNUMBER(F104),F104,E104)-IF(ISNUMBER(F103),F103,E103))/100))</f>
        <v/>
      </c>
      <c r="U104" s="28" t="n"/>
      <c r="V104" s="28" t="n"/>
      <c r="W104" s="31" t="n"/>
    </row>
    <row r="105">
      <c r="A105" s="25" t="inlineStr">
        <is>
          <t>S09</t>
        </is>
      </c>
      <c r="B105" s="25" t="inlineStr">
        <is>
          <t>어론 신규점</t>
        </is>
      </c>
      <c r="C105" s="25" t="inlineStr">
        <is>
          <t>S09-V</t>
        </is>
      </c>
      <c r="D105" s="25" t="inlineStr">
        <is>
          <t>측정</t>
        </is>
      </c>
      <c r="E105" s="48" t="n">
        <v>80</v>
      </c>
      <c r="F105" s="40" t="n"/>
      <c r="G105" s="28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IF(COUNTIFS($C:$C,$C105,$D:$D,"기준(전)",$L:$L,"&gt;0")&lt;&gt;1,"기준(전) 유효 1개 아님",IF(COUNTIFS($C:$C,$C105,$D:$D,"기준(후)",$L:$L,"&gt;0")&lt;&gt;1,"기준(후) 유효 1개 아님",IF(NOT(AND(ISNUMBER(N105),ISNUMBER(P105),ISNUMBER(H105))),"시각 결측",IF(P105&lt;=N105,"기준 시각 역전",IF(OR(H105&lt;N105,H105&gt;P105),"측정시각 구간 밖","OK")))))</f>
        <v/>
      </c>
      <c r="N105" s="45">
        <f>IF(COUNTIFS($C:$C,$C105,$D:$D,"기준(전)",$L:$L,"&gt;0")&lt;&gt;1,"",SUMIFS($H:$H,$C:$C,$C105,$D:$D,"기준(전)"))</f>
        <v/>
      </c>
      <c r="O105" s="30">
        <f>IF(COUNTIFS($C:$C,$C105,$D:$D,"기준(전)",$L:$L,"&gt;0")&lt;&gt;1,"",SUMIFS($L:$L,$C:$C,$C105,$D:$D,"기준(전)"))</f>
        <v/>
      </c>
      <c r="P105" s="45">
        <f>IF(COUNTIFS($C:$C,$C105,$D:$D,"기준(후)",$L:$L,"&gt;0")&lt;&gt;1,"",SUMIFS($H:$H,$C:$C,$C105,$D:$D,"기준(후)"))</f>
        <v/>
      </c>
      <c r="Q105" s="30">
        <f>IF(COUNTIFS($C:$C,$C105,$D:$D,"기준(후)",$L:$L,"&gt;0")&lt;&gt;1,"",SUMIFS($L:$L,$C:$C,$C105,$D:$D,"기준(후)"))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IF(OR($D104&lt;&gt;"측정",$C104&lt;&gt;$C105,NOT(ISNUMBER(L105)),NOT(ISNUMBER(L104)),(IF(ISNUMBER(F105),F105,E105)-IF(ISNUMBER(F104),F104,E104))=0),"",(L105-L104)/((IF(ISNUMBER(F105),F105,E105)-IF(ISNUMBER(F104),F104,E104))/100))</f>
        <v/>
      </c>
      <c r="U105" s="28" t="n"/>
      <c r="V105" s="28" t="n"/>
      <c r="W105" s="31" t="n"/>
    </row>
    <row r="106">
      <c r="A106" s="25" t="inlineStr">
        <is>
          <t>S09</t>
        </is>
      </c>
      <c r="B106" s="25" t="inlineStr">
        <is>
          <t>어론 신규점</t>
        </is>
      </c>
      <c r="C106" s="25" t="inlineStr">
        <is>
          <t>S09-V</t>
        </is>
      </c>
      <c r="D106" s="25" t="inlineStr">
        <is>
          <t>측정</t>
        </is>
      </c>
      <c r="E106" s="48" t="n">
        <v>100</v>
      </c>
      <c r="F106" s="40" t="n"/>
      <c r="G106" s="28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IF(COUNTIFS($C:$C,$C106,$D:$D,"기준(전)",$L:$L,"&gt;0")&lt;&gt;1,"기준(전) 유효 1개 아님",IF(COUNTIFS($C:$C,$C106,$D:$D,"기준(후)",$L:$L,"&gt;0")&lt;&gt;1,"기준(후) 유효 1개 아님",IF(NOT(AND(ISNUMBER(N106),ISNUMBER(P106),ISNUMBER(H106))),"시각 결측",IF(P106&lt;=N106,"기준 시각 역전",IF(OR(H106&lt;N106,H106&gt;P106),"측정시각 구간 밖","OK")))))</f>
        <v/>
      </c>
      <c r="N106" s="45">
        <f>IF(COUNTIFS($C:$C,$C106,$D:$D,"기준(전)",$L:$L,"&gt;0")&lt;&gt;1,"",SUMIFS($H:$H,$C:$C,$C106,$D:$D,"기준(전)"))</f>
        <v/>
      </c>
      <c r="O106" s="30">
        <f>IF(COUNTIFS($C:$C,$C106,$D:$D,"기준(전)",$L:$L,"&gt;0")&lt;&gt;1,"",SUMIFS($L:$L,$C:$C,$C106,$D:$D,"기준(전)"))</f>
        <v/>
      </c>
      <c r="P106" s="45">
        <f>IF(COUNTIFS($C:$C,$C106,$D:$D,"기준(후)",$L:$L,"&gt;0")&lt;&gt;1,"",SUMIFS($H:$H,$C:$C,$C106,$D:$D,"기준(후)"))</f>
        <v/>
      </c>
      <c r="Q106" s="30">
        <f>IF(COUNTIFS($C:$C,$C106,$D:$D,"기준(후)",$L:$L,"&gt;0")&lt;&gt;1,"",SUMIFS($L:$L,$C:$C,$C106,$D:$D,"기준(후)"))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IF(OR($D105&lt;&gt;"측정",$C105&lt;&gt;$C106,NOT(ISNUMBER(L106)),NOT(ISNUMBER(L105)),(IF(ISNUMBER(F106),F106,E106)-IF(ISNUMBER(F105),F105,E105))=0),"",(L106-L105)/((IF(ISNUMBER(F106),F106,E106)-IF(ISNUMBER(F105),F105,E105))/100))</f>
        <v/>
      </c>
      <c r="U106" s="28" t="n"/>
      <c r="V106" s="28" t="n"/>
      <c r="W106" s="31" t="n"/>
    </row>
    <row r="107">
      <c r="A107" s="25" t="inlineStr">
        <is>
          <t>S09</t>
        </is>
      </c>
      <c r="B107" s="25" t="inlineStr">
        <is>
          <t>어론 신규점</t>
        </is>
      </c>
      <c r="C107" s="25" t="inlineStr">
        <is>
          <t>S09-V</t>
        </is>
      </c>
      <c r="D107" s="25" t="inlineStr">
        <is>
          <t>측정</t>
        </is>
      </c>
      <c r="E107" s="48" t="n">
        <v>120</v>
      </c>
      <c r="F107" s="40" t="n"/>
      <c r="G107" s="28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IF(COUNTIFS($C:$C,$C107,$D:$D,"기준(전)",$L:$L,"&gt;0")&lt;&gt;1,"기준(전) 유효 1개 아님",IF(COUNTIFS($C:$C,$C107,$D:$D,"기준(후)",$L:$L,"&gt;0")&lt;&gt;1,"기준(후) 유효 1개 아님",IF(NOT(AND(ISNUMBER(N107),ISNUMBER(P107),ISNUMBER(H107))),"시각 결측",IF(P107&lt;=N107,"기준 시각 역전",IF(OR(H107&lt;N107,H107&gt;P107),"측정시각 구간 밖","OK")))))</f>
        <v/>
      </c>
      <c r="N107" s="45">
        <f>IF(COUNTIFS($C:$C,$C107,$D:$D,"기준(전)",$L:$L,"&gt;0")&lt;&gt;1,"",SUMIFS($H:$H,$C:$C,$C107,$D:$D,"기준(전)"))</f>
        <v/>
      </c>
      <c r="O107" s="30">
        <f>IF(COUNTIFS($C:$C,$C107,$D:$D,"기준(전)",$L:$L,"&gt;0")&lt;&gt;1,"",SUMIFS($L:$L,$C:$C,$C107,$D:$D,"기준(전)"))</f>
        <v/>
      </c>
      <c r="P107" s="45">
        <f>IF(COUNTIFS($C:$C,$C107,$D:$D,"기준(후)",$L:$L,"&gt;0")&lt;&gt;1,"",SUMIFS($H:$H,$C:$C,$C107,$D:$D,"기준(후)"))</f>
        <v/>
      </c>
      <c r="Q107" s="30">
        <f>IF(COUNTIFS($C:$C,$C107,$D:$D,"기준(후)",$L:$L,"&gt;0")&lt;&gt;1,"",SUMIFS($L:$L,$C:$C,$C107,$D:$D,"기준(후)"))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IF(OR($D106&lt;&gt;"측정",$C106&lt;&gt;$C107,NOT(ISNUMBER(L107)),NOT(ISNUMBER(L106)),(IF(ISNUMBER(F107),F107,E107)-IF(ISNUMBER(F106),F106,E106))=0),"",(L107-L106)/((IF(ISNUMBER(F107),F107,E107)-IF(ISNUMBER(F106),F106,E106))/100))</f>
        <v/>
      </c>
      <c r="U107" s="28" t="n"/>
      <c r="V107" s="28" t="n"/>
      <c r="W107" s="31" t="n"/>
    </row>
    <row r="108">
      <c r="A108" s="25" t="inlineStr">
        <is>
          <t>S09</t>
        </is>
      </c>
      <c r="B108" s="25" t="inlineStr">
        <is>
          <t>어론 신규점</t>
        </is>
      </c>
      <c r="C108" s="25" t="inlineStr">
        <is>
          <t>S09-V</t>
        </is>
      </c>
      <c r="D108" s="25" t="inlineStr">
        <is>
          <t>측정</t>
        </is>
      </c>
      <c r="E108" s="48" t="n">
        <v>140</v>
      </c>
      <c r="F108" s="40" t="n"/>
      <c r="G108" s="28" t="n"/>
      <c r="H108" s="42" t="n"/>
      <c r="I108" s="40" t="n"/>
      <c r="J108" s="40" t="n"/>
      <c r="K108" s="40" t="n"/>
      <c r="L108" s="30">
        <f>IF(COUNT(I108:K108)=0,"",MEDIAN(I108:K108))</f>
        <v/>
      </c>
      <c r="M108" s="25">
        <f>IF(COUNTIFS($C:$C,$C108,$D:$D,"기준(전)",$L:$L,"&gt;0")&lt;&gt;1,"기준(전) 유효 1개 아님",IF(COUNTIFS($C:$C,$C108,$D:$D,"기준(후)",$L:$L,"&gt;0")&lt;&gt;1,"기준(후) 유효 1개 아님",IF(NOT(AND(ISNUMBER(N108),ISNUMBER(P108),ISNUMBER(H108))),"시각 결측",IF(P108&lt;=N108,"기준 시각 역전",IF(OR(H108&lt;N108,H108&gt;P108),"측정시각 구간 밖","OK")))))</f>
        <v/>
      </c>
      <c r="N108" s="45">
        <f>IF(COUNTIFS($C:$C,$C108,$D:$D,"기준(전)",$L:$L,"&gt;0")&lt;&gt;1,"",SUMIFS($H:$H,$C:$C,$C108,$D:$D,"기준(전)"))</f>
        <v/>
      </c>
      <c r="O108" s="30">
        <f>IF(COUNTIFS($C:$C,$C108,$D:$D,"기준(전)",$L:$L,"&gt;0")&lt;&gt;1,"",SUMIFS($L:$L,$C:$C,$C108,$D:$D,"기준(전)"))</f>
        <v/>
      </c>
      <c r="P108" s="45">
        <f>IF(COUNTIFS($C:$C,$C108,$D:$D,"기준(후)",$L:$L,"&gt;0")&lt;&gt;1,"",SUMIFS($H:$H,$C:$C,$C108,$D:$D,"기준(후)"))</f>
        <v/>
      </c>
      <c r="Q108" s="30">
        <f>IF(COUNTIFS($C:$C,$C108,$D:$D,"기준(후)",$L:$L,"&gt;0")&lt;&gt;1,"",SUMIFS($L:$L,$C:$C,$C108,$D:$D,"기준(후)"))</f>
        <v/>
      </c>
      <c r="R108" s="30">
        <f>IF(M108&lt;&gt;"OK","",O108+(Q108-O108)*(H108-N108)/(P108-N108))</f>
        <v/>
      </c>
      <c r="S108" s="30">
        <f>IF(OR(M108&lt;&gt;"OK",NOT(ISNUMBER(L108))),"",L108-R108)</f>
        <v/>
      </c>
      <c r="T108" s="46">
        <f>IF(OR($D107&lt;&gt;"측정",$C107&lt;&gt;$C108,NOT(ISNUMBER(L108)),NOT(ISNUMBER(L107)),(IF(ISNUMBER(F108),F108,E108)-IF(ISNUMBER(F107),F107,E107))=0),"",(L108-L107)/((IF(ISNUMBER(F108),F108,E108)-IF(ISNUMBER(F107),F107,E107))/100))</f>
        <v/>
      </c>
      <c r="U108" s="28" t="n"/>
      <c r="V108" s="28" t="n"/>
      <c r="W108" s="31" t="n"/>
    </row>
    <row r="109">
      <c r="A109" s="25" t="inlineStr">
        <is>
          <t>S09</t>
        </is>
      </c>
      <c r="B109" s="25" t="inlineStr">
        <is>
          <t>어론 신규점</t>
        </is>
      </c>
      <c r="C109" s="25" t="inlineStr">
        <is>
          <t>S09-V</t>
        </is>
      </c>
      <c r="D109" s="25" t="inlineStr">
        <is>
          <t>측정</t>
        </is>
      </c>
      <c r="E109" s="48" t="n">
        <v>160</v>
      </c>
      <c r="F109" s="40" t="n"/>
      <c r="G109" s="28" t="n"/>
      <c r="H109" s="42" t="n"/>
      <c r="I109" s="40" t="n"/>
      <c r="J109" s="40" t="n"/>
      <c r="K109" s="40" t="n"/>
      <c r="L109" s="30">
        <f>IF(COUNT(I109:K109)=0,"",MEDIAN(I109:K109))</f>
        <v/>
      </c>
      <c r="M109" s="25">
        <f>IF(COUNTIFS($C:$C,$C109,$D:$D,"기준(전)",$L:$L,"&gt;0")&lt;&gt;1,"기준(전) 유효 1개 아님",IF(COUNTIFS($C:$C,$C109,$D:$D,"기준(후)",$L:$L,"&gt;0")&lt;&gt;1,"기준(후) 유효 1개 아님",IF(NOT(AND(ISNUMBER(N109),ISNUMBER(P109),ISNUMBER(H109))),"시각 결측",IF(P109&lt;=N109,"기준 시각 역전",IF(OR(H109&lt;N109,H109&gt;P109),"측정시각 구간 밖","OK")))))</f>
        <v/>
      </c>
      <c r="N109" s="45">
        <f>IF(COUNTIFS($C:$C,$C109,$D:$D,"기준(전)",$L:$L,"&gt;0")&lt;&gt;1,"",SUMIFS($H:$H,$C:$C,$C109,$D:$D,"기준(전)"))</f>
        <v/>
      </c>
      <c r="O109" s="30">
        <f>IF(COUNTIFS($C:$C,$C109,$D:$D,"기준(전)",$L:$L,"&gt;0")&lt;&gt;1,"",SUMIFS($L:$L,$C:$C,$C109,$D:$D,"기준(전)"))</f>
        <v/>
      </c>
      <c r="P109" s="45">
        <f>IF(COUNTIFS($C:$C,$C109,$D:$D,"기준(후)",$L:$L,"&gt;0")&lt;&gt;1,"",SUMIFS($H:$H,$C:$C,$C109,$D:$D,"기준(후)"))</f>
        <v/>
      </c>
      <c r="Q109" s="30">
        <f>IF(COUNTIFS($C:$C,$C109,$D:$D,"기준(후)",$L:$L,"&gt;0")&lt;&gt;1,"",SUMIFS($L:$L,$C:$C,$C109,$D:$D,"기준(후)"))</f>
        <v/>
      </c>
      <c r="R109" s="30">
        <f>IF(M109&lt;&gt;"OK","",O109+(Q109-O109)*(H109-N109)/(P109-N109))</f>
        <v/>
      </c>
      <c r="S109" s="30">
        <f>IF(OR(M109&lt;&gt;"OK",NOT(ISNUMBER(L109))),"",L109-R109)</f>
        <v/>
      </c>
      <c r="T109" s="46">
        <f>IF(OR($D108&lt;&gt;"측정",$C108&lt;&gt;$C109,NOT(ISNUMBER(L109)),NOT(ISNUMBER(L108)),(IF(ISNUMBER(F109),F109,E109)-IF(ISNUMBER(F108),F108,E108))=0),"",(L109-L108)/((IF(ISNUMBER(F109),F109,E109)-IF(ISNUMBER(F108),F108,E108))/100))</f>
        <v/>
      </c>
      <c r="U109" s="28" t="n"/>
      <c r="V109" s="28" t="n"/>
      <c r="W109" s="31" t="n"/>
    </row>
    <row r="110">
      <c r="A110" s="25" t="inlineStr">
        <is>
          <t>S09</t>
        </is>
      </c>
      <c r="B110" s="25" t="inlineStr">
        <is>
          <t>어론 신규점</t>
        </is>
      </c>
      <c r="C110" s="25" t="inlineStr">
        <is>
          <t>S09-V</t>
        </is>
      </c>
      <c r="D110" s="25" t="inlineStr">
        <is>
          <t>측정</t>
        </is>
      </c>
      <c r="E110" s="48" t="n">
        <v>180</v>
      </c>
      <c r="F110" s="40" t="n"/>
      <c r="G110" s="28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IF(COUNTIFS($C:$C,$C110,$D:$D,"기준(전)",$L:$L,"&gt;0")&lt;&gt;1,"기준(전) 유효 1개 아님",IF(COUNTIFS($C:$C,$C110,$D:$D,"기준(후)",$L:$L,"&gt;0")&lt;&gt;1,"기준(후) 유효 1개 아님",IF(NOT(AND(ISNUMBER(N110),ISNUMBER(P110),ISNUMBER(H110))),"시각 결측",IF(P110&lt;=N110,"기준 시각 역전",IF(OR(H110&lt;N110,H110&gt;P110),"측정시각 구간 밖","OK")))))</f>
        <v/>
      </c>
      <c r="N110" s="45">
        <f>IF(COUNTIFS($C:$C,$C110,$D:$D,"기준(전)",$L:$L,"&gt;0")&lt;&gt;1,"",SUMIFS($H:$H,$C:$C,$C110,$D:$D,"기준(전)"))</f>
        <v/>
      </c>
      <c r="O110" s="30">
        <f>IF(COUNTIFS($C:$C,$C110,$D:$D,"기준(전)",$L:$L,"&gt;0")&lt;&gt;1,"",SUMIFS($L:$L,$C:$C,$C110,$D:$D,"기준(전)"))</f>
        <v/>
      </c>
      <c r="P110" s="45">
        <f>IF(COUNTIFS($C:$C,$C110,$D:$D,"기준(후)",$L:$L,"&gt;0")&lt;&gt;1,"",SUMIFS($H:$H,$C:$C,$C110,$D:$D,"기준(후)"))</f>
        <v/>
      </c>
      <c r="Q110" s="30">
        <f>IF(COUNTIFS($C:$C,$C110,$D:$D,"기준(후)",$L:$L,"&gt;0")&lt;&gt;1,"",SUMIFS($L:$L,$C:$C,$C110,$D:$D,"기준(후)"))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IF(OR($D109&lt;&gt;"측정",$C109&lt;&gt;$C110,NOT(ISNUMBER(L110)),NOT(ISNUMBER(L109)),(IF(ISNUMBER(F110),F110,E110)-IF(ISNUMBER(F109),F109,E109))=0),"",(L110-L109)/((IF(ISNUMBER(F110),F110,E110)-IF(ISNUMBER(F109),F109,E109))/100))</f>
        <v/>
      </c>
      <c r="U110" s="28" t="n"/>
      <c r="V110" s="28" t="n"/>
      <c r="W110" s="31" t="n"/>
    </row>
    <row r="111">
      <c r="A111" s="25" t="inlineStr">
        <is>
          <t>S09</t>
        </is>
      </c>
      <c r="B111" s="25" t="inlineStr">
        <is>
          <t>어론 신규점</t>
        </is>
      </c>
      <c r="C111" s="25" t="inlineStr">
        <is>
          <t>S09-V</t>
        </is>
      </c>
      <c r="D111" s="25" t="inlineStr">
        <is>
          <t>측정</t>
        </is>
      </c>
      <c r="E111" s="48" t="n">
        <v>200</v>
      </c>
      <c r="F111" s="40" t="n"/>
      <c r="G111" s="28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IF(COUNTIFS($C:$C,$C111,$D:$D,"기준(전)",$L:$L,"&gt;0")&lt;&gt;1,"기준(전) 유효 1개 아님",IF(COUNTIFS($C:$C,$C111,$D:$D,"기준(후)",$L:$L,"&gt;0")&lt;&gt;1,"기준(후) 유효 1개 아님",IF(NOT(AND(ISNUMBER(N111),ISNUMBER(P111),ISNUMBER(H111))),"시각 결측",IF(P111&lt;=N111,"기준 시각 역전",IF(OR(H111&lt;N111,H111&gt;P111),"측정시각 구간 밖","OK")))))</f>
        <v/>
      </c>
      <c r="N111" s="45">
        <f>IF(COUNTIFS($C:$C,$C111,$D:$D,"기준(전)",$L:$L,"&gt;0")&lt;&gt;1,"",SUMIFS($H:$H,$C:$C,$C111,$D:$D,"기준(전)"))</f>
        <v/>
      </c>
      <c r="O111" s="30">
        <f>IF(COUNTIFS($C:$C,$C111,$D:$D,"기준(전)",$L:$L,"&gt;0")&lt;&gt;1,"",SUMIFS($L:$L,$C:$C,$C111,$D:$D,"기준(전)"))</f>
        <v/>
      </c>
      <c r="P111" s="45">
        <f>IF(COUNTIFS($C:$C,$C111,$D:$D,"기준(후)",$L:$L,"&gt;0")&lt;&gt;1,"",SUMIFS($H:$H,$C:$C,$C111,$D:$D,"기준(후)"))</f>
        <v/>
      </c>
      <c r="Q111" s="30">
        <f>IF(COUNTIFS($C:$C,$C111,$D:$D,"기준(후)",$L:$L,"&gt;0")&lt;&gt;1,"",SUMIFS($L:$L,$C:$C,$C111,$D:$D,"기준(후)"))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IF(OR($D110&lt;&gt;"측정",$C110&lt;&gt;$C111,NOT(ISNUMBER(L111)),NOT(ISNUMBER(L110)),(IF(ISNUMBER(F111),F111,E111)-IF(ISNUMBER(F110),F110,E110))=0),"",(L111-L110)/((IF(ISNUMBER(F111),F111,E111)-IF(ISNUMBER(F110),F110,E110))/100))</f>
        <v/>
      </c>
      <c r="U111" s="28" t="n"/>
      <c r="V111" s="28" t="n"/>
      <c r="W111" s="31" t="n"/>
    </row>
    <row r="112">
      <c r="A112" s="43" t="inlineStr">
        <is>
          <t>S09</t>
        </is>
      </c>
      <c r="B112" s="43" t="inlineStr">
        <is>
          <t>어론 신규점</t>
        </is>
      </c>
      <c r="C112" s="43" t="inlineStr">
        <is>
          <t>S09-V</t>
        </is>
      </c>
      <c r="D112" s="43" t="inlineStr">
        <is>
          <t>기준(후)</t>
        </is>
      </c>
      <c r="E112" s="47" t="n"/>
      <c r="F112" s="40" t="n"/>
      <c r="G112" s="28" t="n"/>
      <c r="H112" s="42" t="n"/>
      <c r="I112" s="40" t="n"/>
      <c r="J112" s="40" t="n"/>
      <c r="K112" s="40" t="n"/>
      <c r="L112" s="30">
        <f>IF(COUNT(I112:K112)=0,"",MEDIAN(I112:K112))</f>
        <v/>
      </c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28" t="n"/>
      <c r="V112" s="28" t="n"/>
      <c r="W112" s="31" t="n"/>
    </row>
    <row r="113">
      <c r="A113" s="43" t="inlineStr">
        <is>
          <t>S10</t>
        </is>
      </c>
      <c r="B113" s="43" t="inlineStr">
        <is>
          <t>예안 신규점1</t>
        </is>
      </c>
      <c r="C113" s="43" t="inlineStr">
        <is>
          <t>S10-V</t>
        </is>
      </c>
      <c r="D113" s="43" t="inlineStr">
        <is>
          <t>기준(전)</t>
        </is>
      </c>
      <c r="E113" s="47" t="n"/>
      <c r="F113" s="40" t="n"/>
      <c r="G113" s="28" t="n"/>
      <c r="H113" s="42" t="n"/>
      <c r="I113" s="40" t="n"/>
      <c r="J113" s="40" t="n"/>
      <c r="K113" s="40" t="n"/>
      <c r="L113" s="30">
        <f>IF(COUNT(I113:K113)=0,"",MEDIAN(I113:K113))</f>
        <v/>
      </c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28" t="n"/>
      <c r="V113" s="28" t="n"/>
      <c r="W113" s="31" t="n"/>
    </row>
    <row r="114">
      <c r="A114" s="25" t="inlineStr">
        <is>
          <t>S10</t>
        </is>
      </c>
      <c r="B114" s="25" t="inlineStr">
        <is>
          <t>예안 신규점1</t>
        </is>
      </c>
      <c r="C114" s="25" t="inlineStr">
        <is>
          <t>S10-V</t>
        </is>
      </c>
      <c r="D114" s="25" t="inlineStr">
        <is>
          <t>측정</t>
        </is>
      </c>
      <c r="E114" s="48" t="n">
        <v>20</v>
      </c>
      <c r="F114" s="40" t="n"/>
      <c r="G114" s="28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IF(COUNTIFS($C:$C,$C114,$D:$D,"기준(전)",$L:$L,"&gt;0")&lt;&gt;1,"기준(전) 유효 1개 아님",IF(COUNTIFS($C:$C,$C114,$D:$D,"기준(후)",$L:$L,"&gt;0")&lt;&gt;1,"기준(후) 유효 1개 아님",IF(NOT(AND(ISNUMBER(N114),ISNUMBER(P114),ISNUMBER(H114))),"시각 결측",IF(P114&lt;=N114,"기준 시각 역전",IF(OR(H114&lt;N114,H114&gt;P114),"측정시각 구간 밖","OK")))))</f>
        <v/>
      </c>
      <c r="N114" s="45">
        <f>IF(COUNTIFS($C:$C,$C114,$D:$D,"기준(전)",$L:$L,"&gt;0")&lt;&gt;1,"",SUMIFS($H:$H,$C:$C,$C114,$D:$D,"기준(전)"))</f>
        <v/>
      </c>
      <c r="O114" s="30">
        <f>IF(COUNTIFS($C:$C,$C114,$D:$D,"기준(전)",$L:$L,"&gt;0")&lt;&gt;1,"",SUMIFS($L:$L,$C:$C,$C114,$D:$D,"기준(전)"))</f>
        <v/>
      </c>
      <c r="P114" s="45">
        <f>IF(COUNTIFS($C:$C,$C114,$D:$D,"기준(후)",$L:$L,"&gt;0")&lt;&gt;1,"",SUMIFS($H:$H,$C:$C,$C114,$D:$D,"기준(후)"))</f>
        <v/>
      </c>
      <c r="Q114" s="30">
        <f>IF(COUNTIFS($C:$C,$C114,$D:$D,"기준(후)",$L:$L,"&gt;0")&lt;&gt;1,"",SUMIFS($L:$L,$C:$C,$C114,$D:$D,"기준(후)"))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IF(OR($D113&lt;&gt;"측정",$C113&lt;&gt;$C114,NOT(ISNUMBER(L114)),NOT(ISNUMBER(L113)),(IF(ISNUMBER(F114),F114,E114)-IF(ISNUMBER(F113),F113,E113))=0),"",(L114-L113)/((IF(ISNUMBER(F114),F114,E114)-IF(ISNUMBER(F113),F113,E113))/100))</f>
        <v/>
      </c>
      <c r="U114" s="28" t="n"/>
      <c r="V114" s="28" t="n"/>
      <c r="W114" s="31" t="n"/>
    </row>
    <row r="115">
      <c r="A115" s="25" t="inlineStr">
        <is>
          <t>S10</t>
        </is>
      </c>
      <c r="B115" s="25" t="inlineStr">
        <is>
          <t>예안 신규점1</t>
        </is>
      </c>
      <c r="C115" s="25" t="inlineStr">
        <is>
          <t>S10-V</t>
        </is>
      </c>
      <c r="D115" s="25" t="inlineStr">
        <is>
          <t>측정</t>
        </is>
      </c>
      <c r="E115" s="48" t="n">
        <v>40</v>
      </c>
      <c r="F115" s="40" t="n"/>
      <c r="G115" s="28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IF(COUNTIFS($C:$C,$C115,$D:$D,"기준(전)",$L:$L,"&gt;0")&lt;&gt;1,"기준(전) 유효 1개 아님",IF(COUNTIFS($C:$C,$C115,$D:$D,"기준(후)",$L:$L,"&gt;0")&lt;&gt;1,"기준(후) 유효 1개 아님",IF(NOT(AND(ISNUMBER(N115),ISNUMBER(P115),ISNUMBER(H115))),"시각 결측",IF(P115&lt;=N115,"기준 시각 역전",IF(OR(H115&lt;N115,H115&gt;P115),"측정시각 구간 밖","OK")))))</f>
        <v/>
      </c>
      <c r="N115" s="45">
        <f>IF(COUNTIFS($C:$C,$C115,$D:$D,"기준(전)",$L:$L,"&gt;0")&lt;&gt;1,"",SUMIFS($H:$H,$C:$C,$C115,$D:$D,"기준(전)"))</f>
        <v/>
      </c>
      <c r="O115" s="30">
        <f>IF(COUNTIFS($C:$C,$C115,$D:$D,"기준(전)",$L:$L,"&gt;0")&lt;&gt;1,"",SUMIFS($L:$L,$C:$C,$C115,$D:$D,"기준(전)"))</f>
        <v/>
      </c>
      <c r="P115" s="45">
        <f>IF(COUNTIFS($C:$C,$C115,$D:$D,"기준(후)",$L:$L,"&gt;0")&lt;&gt;1,"",SUMIFS($H:$H,$C:$C,$C115,$D:$D,"기준(후)"))</f>
        <v/>
      </c>
      <c r="Q115" s="30">
        <f>IF(COUNTIFS($C:$C,$C115,$D:$D,"기준(후)",$L:$L,"&gt;0")&lt;&gt;1,"",SUMIFS($L:$L,$C:$C,$C115,$D:$D,"기준(후)"))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IF(OR($D114&lt;&gt;"측정",$C114&lt;&gt;$C115,NOT(ISNUMBER(L115)),NOT(ISNUMBER(L114)),(IF(ISNUMBER(F115),F115,E115)-IF(ISNUMBER(F114),F114,E114))=0),"",(L115-L114)/((IF(ISNUMBER(F115),F115,E115)-IF(ISNUMBER(F114),F114,E114))/100))</f>
        <v/>
      </c>
      <c r="U115" s="28" t="n"/>
      <c r="V115" s="28" t="n"/>
      <c r="W115" s="31" t="n"/>
    </row>
    <row r="116">
      <c r="A116" s="25" t="inlineStr">
        <is>
          <t>S10</t>
        </is>
      </c>
      <c r="B116" s="25" t="inlineStr">
        <is>
          <t>예안 신규점1</t>
        </is>
      </c>
      <c r="C116" s="25" t="inlineStr">
        <is>
          <t>S10-V</t>
        </is>
      </c>
      <c r="D116" s="25" t="inlineStr">
        <is>
          <t>측정</t>
        </is>
      </c>
      <c r="E116" s="48" t="n">
        <v>60</v>
      </c>
      <c r="F116" s="40" t="n"/>
      <c r="G116" s="28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IF(COUNTIFS($C:$C,$C116,$D:$D,"기준(전)",$L:$L,"&gt;0")&lt;&gt;1,"기준(전) 유효 1개 아님",IF(COUNTIFS($C:$C,$C116,$D:$D,"기준(후)",$L:$L,"&gt;0")&lt;&gt;1,"기준(후) 유효 1개 아님",IF(NOT(AND(ISNUMBER(N116),ISNUMBER(P116),ISNUMBER(H116))),"시각 결측",IF(P116&lt;=N116,"기준 시각 역전",IF(OR(H116&lt;N116,H116&gt;P116),"측정시각 구간 밖","OK")))))</f>
        <v/>
      </c>
      <c r="N116" s="45">
        <f>IF(COUNTIFS($C:$C,$C116,$D:$D,"기준(전)",$L:$L,"&gt;0")&lt;&gt;1,"",SUMIFS($H:$H,$C:$C,$C116,$D:$D,"기준(전)"))</f>
        <v/>
      </c>
      <c r="O116" s="30">
        <f>IF(COUNTIFS($C:$C,$C116,$D:$D,"기준(전)",$L:$L,"&gt;0")&lt;&gt;1,"",SUMIFS($L:$L,$C:$C,$C116,$D:$D,"기준(전)"))</f>
        <v/>
      </c>
      <c r="P116" s="45">
        <f>IF(COUNTIFS($C:$C,$C116,$D:$D,"기준(후)",$L:$L,"&gt;0")&lt;&gt;1,"",SUMIFS($H:$H,$C:$C,$C116,$D:$D,"기준(후)"))</f>
        <v/>
      </c>
      <c r="Q116" s="30">
        <f>IF(COUNTIFS($C:$C,$C116,$D:$D,"기준(후)",$L:$L,"&gt;0")&lt;&gt;1,"",SUMIFS($L:$L,$C:$C,$C116,$D:$D,"기준(후)"))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IF(OR($D115&lt;&gt;"측정",$C115&lt;&gt;$C116,NOT(ISNUMBER(L116)),NOT(ISNUMBER(L115)),(IF(ISNUMBER(F116),F116,E116)-IF(ISNUMBER(F115),F115,E115))=0),"",(L116-L115)/((IF(ISNUMBER(F116),F116,E116)-IF(ISNUMBER(F115),F115,E115))/100))</f>
        <v/>
      </c>
      <c r="U116" s="28" t="n"/>
      <c r="V116" s="28" t="n"/>
      <c r="W116" s="31" t="n"/>
    </row>
    <row r="117">
      <c r="A117" s="25" t="inlineStr">
        <is>
          <t>S10</t>
        </is>
      </c>
      <c r="B117" s="25" t="inlineStr">
        <is>
          <t>예안 신규점1</t>
        </is>
      </c>
      <c r="C117" s="25" t="inlineStr">
        <is>
          <t>S10-V</t>
        </is>
      </c>
      <c r="D117" s="25" t="inlineStr">
        <is>
          <t>측정</t>
        </is>
      </c>
      <c r="E117" s="48" t="n">
        <v>80</v>
      </c>
      <c r="F117" s="40" t="n"/>
      <c r="G117" s="28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IF(COUNTIFS($C:$C,$C117,$D:$D,"기준(전)",$L:$L,"&gt;0")&lt;&gt;1,"기준(전) 유효 1개 아님",IF(COUNTIFS($C:$C,$C117,$D:$D,"기준(후)",$L:$L,"&gt;0")&lt;&gt;1,"기준(후) 유효 1개 아님",IF(NOT(AND(ISNUMBER(N117),ISNUMBER(P117),ISNUMBER(H117))),"시각 결측",IF(P117&lt;=N117,"기준 시각 역전",IF(OR(H117&lt;N117,H117&gt;P117),"측정시각 구간 밖","OK")))))</f>
        <v/>
      </c>
      <c r="N117" s="45">
        <f>IF(COUNTIFS($C:$C,$C117,$D:$D,"기준(전)",$L:$L,"&gt;0")&lt;&gt;1,"",SUMIFS($H:$H,$C:$C,$C117,$D:$D,"기준(전)"))</f>
        <v/>
      </c>
      <c r="O117" s="30">
        <f>IF(COUNTIFS($C:$C,$C117,$D:$D,"기준(전)",$L:$L,"&gt;0")&lt;&gt;1,"",SUMIFS($L:$L,$C:$C,$C117,$D:$D,"기준(전)"))</f>
        <v/>
      </c>
      <c r="P117" s="45">
        <f>IF(COUNTIFS($C:$C,$C117,$D:$D,"기준(후)",$L:$L,"&gt;0")&lt;&gt;1,"",SUMIFS($H:$H,$C:$C,$C117,$D:$D,"기준(후)"))</f>
        <v/>
      </c>
      <c r="Q117" s="30">
        <f>IF(COUNTIFS($C:$C,$C117,$D:$D,"기준(후)",$L:$L,"&gt;0")&lt;&gt;1,"",SUMIFS($L:$L,$C:$C,$C117,$D:$D,"기준(후)"))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IF(OR($D116&lt;&gt;"측정",$C116&lt;&gt;$C117,NOT(ISNUMBER(L117)),NOT(ISNUMBER(L116)),(IF(ISNUMBER(F117),F117,E117)-IF(ISNUMBER(F116),F116,E116))=0),"",(L117-L116)/((IF(ISNUMBER(F117),F117,E117)-IF(ISNUMBER(F116),F116,E116))/100))</f>
        <v/>
      </c>
      <c r="U117" s="28" t="n"/>
      <c r="V117" s="28" t="n"/>
      <c r="W117" s="31" t="n"/>
    </row>
    <row r="118">
      <c r="A118" s="25" t="inlineStr">
        <is>
          <t>S10</t>
        </is>
      </c>
      <c r="B118" s="25" t="inlineStr">
        <is>
          <t>예안 신규점1</t>
        </is>
      </c>
      <c r="C118" s="25" t="inlineStr">
        <is>
          <t>S10-V</t>
        </is>
      </c>
      <c r="D118" s="25" t="inlineStr">
        <is>
          <t>측정</t>
        </is>
      </c>
      <c r="E118" s="48" t="n">
        <v>100</v>
      </c>
      <c r="F118" s="40" t="n"/>
      <c r="G118" s="28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IF(COUNTIFS($C:$C,$C118,$D:$D,"기준(전)",$L:$L,"&gt;0")&lt;&gt;1,"기준(전) 유효 1개 아님",IF(COUNTIFS($C:$C,$C118,$D:$D,"기준(후)",$L:$L,"&gt;0")&lt;&gt;1,"기준(후) 유효 1개 아님",IF(NOT(AND(ISNUMBER(N118),ISNUMBER(P118),ISNUMBER(H118))),"시각 결측",IF(P118&lt;=N118,"기준 시각 역전",IF(OR(H118&lt;N118,H118&gt;P118),"측정시각 구간 밖","OK")))))</f>
        <v/>
      </c>
      <c r="N118" s="45">
        <f>IF(COUNTIFS($C:$C,$C118,$D:$D,"기준(전)",$L:$L,"&gt;0")&lt;&gt;1,"",SUMIFS($H:$H,$C:$C,$C118,$D:$D,"기준(전)"))</f>
        <v/>
      </c>
      <c r="O118" s="30">
        <f>IF(COUNTIFS($C:$C,$C118,$D:$D,"기준(전)",$L:$L,"&gt;0")&lt;&gt;1,"",SUMIFS($L:$L,$C:$C,$C118,$D:$D,"기준(전)"))</f>
        <v/>
      </c>
      <c r="P118" s="45">
        <f>IF(COUNTIFS($C:$C,$C118,$D:$D,"기준(후)",$L:$L,"&gt;0")&lt;&gt;1,"",SUMIFS($H:$H,$C:$C,$C118,$D:$D,"기준(후)"))</f>
        <v/>
      </c>
      <c r="Q118" s="30">
        <f>IF(COUNTIFS($C:$C,$C118,$D:$D,"기준(후)",$L:$L,"&gt;0")&lt;&gt;1,"",SUMIFS($L:$L,$C:$C,$C118,$D:$D,"기준(후)"))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IF(OR($D117&lt;&gt;"측정",$C117&lt;&gt;$C118,NOT(ISNUMBER(L118)),NOT(ISNUMBER(L117)),(IF(ISNUMBER(F118),F118,E118)-IF(ISNUMBER(F117),F117,E117))=0),"",(L118-L117)/((IF(ISNUMBER(F118),F118,E118)-IF(ISNUMBER(F117),F117,E117))/100))</f>
        <v/>
      </c>
      <c r="U118" s="28" t="n"/>
      <c r="V118" s="28" t="n"/>
      <c r="W118" s="31" t="n"/>
    </row>
    <row r="119">
      <c r="A119" s="25" t="inlineStr">
        <is>
          <t>S10</t>
        </is>
      </c>
      <c r="B119" s="25" t="inlineStr">
        <is>
          <t>예안 신규점1</t>
        </is>
      </c>
      <c r="C119" s="25" t="inlineStr">
        <is>
          <t>S10-V</t>
        </is>
      </c>
      <c r="D119" s="25" t="inlineStr">
        <is>
          <t>측정</t>
        </is>
      </c>
      <c r="E119" s="48" t="n">
        <v>120</v>
      </c>
      <c r="F119" s="40" t="n"/>
      <c r="G119" s="28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IF(COUNTIFS($C:$C,$C119,$D:$D,"기준(전)",$L:$L,"&gt;0")&lt;&gt;1,"기준(전) 유효 1개 아님",IF(COUNTIFS($C:$C,$C119,$D:$D,"기준(후)",$L:$L,"&gt;0")&lt;&gt;1,"기준(후) 유효 1개 아님",IF(NOT(AND(ISNUMBER(N119),ISNUMBER(P119),ISNUMBER(H119))),"시각 결측",IF(P119&lt;=N119,"기준 시각 역전",IF(OR(H119&lt;N119,H119&gt;P119),"측정시각 구간 밖","OK")))))</f>
        <v/>
      </c>
      <c r="N119" s="45">
        <f>IF(COUNTIFS($C:$C,$C119,$D:$D,"기준(전)",$L:$L,"&gt;0")&lt;&gt;1,"",SUMIFS($H:$H,$C:$C,$C119,$D:$D,"기준(전)"))</f>
        <v/>
      </c>
      <c r="O119" s="30">
        <f>IF(COUNTIFS($C:$C,$C119,$D:$D,"기준(전)",$L:$L,"&gt;0")&lt;&gt;1,"",SUMIFS($L:$L,$C:$C,$C119,$D:$D,"기준(전)"))</f>
        <v/>
      </c>
      <c r="P119" s="45">
        <f>IF(COUNTIFS($C:$C,$C119,$D:$D,"기준(후)",$L:$L,"&gt;0")&lt;&gt;1,"",SUMIFS($H:$H,$C:$C,$C119,$D:$D,"기준(후)"))</f>
        <v/>
      </c>
      <c r="Q119" s="30">
        <f>IF(COUNTIFS($C:$C,$C119,$D:$D,"기준(후)",$L:$L,"&gt;0")&lt;&gt;1,"",SUMIFS($L:$L,$C:$C,$C119,$D:$D,"기준(후)"))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IF(OR($D118&lt;&gt;"측정",$C118&lt;&gt;$C119,NOT(ISNUMBER(L119)),NOT(ISNUMBER(L118)),(IF(ISNUMBER(F119),F119,E119)-IF(ISNUMBER(F118),F118,E118))=0),"",(L119-L118)/((IF(ISNUMBER(F119),F119,E119)-IF(ISNUMBER(F118),F118,E118))/100))</f>
        <v/>
      </c>
      <c r="U119" s="28" t="n"/>
      <c r="V119" s="28" t="n"/>
      <c r="W119" s="31" t="n"/>
    </row>
    <row r="120">
      <c r="A120" s="25" t="inlineStr">
        <is>
          <t>S10</t>
        </is>
      </c>
      <c r="B120" s="25" t="inlineStr">
        <is>
          <t>예안 신규점1</t>
        </is>
      </c>
      <c r="C120" s="25" t="inlineStr">
        <is>
          <t>S10-V</t>
        </is>
      </c>
      <c r="D120" s="25" t="inlineStr">
        <is>
          <t>측정</t>
        </is>
      </c>
      <c r="E120" s="48" t="n">
        <v>140</v>
      </c>
      <c r="F120" s="40" t="n"/>
      <c r="G120" s="28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IF(COUNTIFS($C:$C,$C120,$D:$D,"기준(전)",$L:$L,"&gt;0")&lt;&gt;1,"기준(전) 유효 1개 아님",IF(COUNTIFS($C:$C,$C120,$D:$D,"기준(후)",$L:$L,"&gt;0")&lt;&gt;1,"기준(후) 유효 1개 아님",IF(NOT(AND(ISNUMBER(N120),ISNUMBER(P120),ISNUMBER(H120))),"시각 결측",IF(P120&lt;=N120,"기준 시각 역전",IF(OR(H120&lt;N120,H120&gt;P120),"측정시각 구간 밖","OK")))))</f>
        <v/>
      </c>
      <c r="N120" s="45">
        <f>IF(COUNTIFS($C:$C,$C120,$D:$D,"기준(전)",$L:$L,"&gt;0")&lt;&gt;1,"",SUMIFS($H:$H,$C:$C,$C120,$D:$D,"기준(전)"))</f>
        <v/>
      </c>
      <c r="O120" s="30">
        <f>IF(COUNTIFS($C:$C,$C120,$D:$D,"기준(전)",$L:$L,"&gt;0")&lt;&gt;1,"",SUMIFS($L:$L,$C:$C,$C120,$D:$D,"기준(전)"))</f>
        <v/>
      </c>
      <c r="P120" s="45">
        <f>IF(COUNTIFS($C:$C,$C120,$D:$D,"기준(후)",$L:$L,"&gt;0")&lt;&gt;1,"",SUMIFS($H:$H,$C:$C,$C120,$D:$D,"기준(후)"))</f>
        <v/>
      </c>
      <c r="Q120" s="30">
        <f>IF(COUNTIFS($C:$C,$C120,$D:$D,"기준(후)",$L:$L,"&gt;0")&lt;&gt;1,"",SUMIFS($L:$L,$C:$C,$C120,$D:$D,"기준(후)"))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IF(OR($D119&lt;&gt;"측정",$C119&lt;&gt;$C120,NOT(ISNUMBER(L120)),NOT(ISNUMBER(L119)),(IF(ISNUMBER(F120),F120,E120)-IF(ISNUMBER(F119),F119,E119))=0),"",(L120-L119)/((IF(ISNUMBER(F120),F120,E120)-IF(ISNUMBER(F119),F119,E119))/100))</f>
        <v/>
      </c>
      <c r="U120" s="28" t="n"/>
      <c r="V120" s="28" t="n"/>
      <c r="W120" s="31" t="n"/>
    </row>
    <row r="121">
      <c r="A121" s="25" t="inlineStr">
        <is>
          <t>S10</t>
        </is>
      </c>
      <c r="B121" s="25" t="inlineStr">
        <is>
          <t>예안 신규점1</t>
        </is>
      </c>
      <c r="C121" s="25" t="inlineStr">
        <is>
          <t>S10-V</t>
        </is>
      </c>
      <c r="D121" s="25" t="inlineStr">
        <is>
          <t>측정</t>
        </is>
      </c>
      <c r="E121" s="48" t="n">
        <v>160</v>
      </c>
      <c r="F121" s="40" t="n"/>
      <c r="G121" s="28" t="n"/>
      <c r="H121" s="42" t="n"/>
      <c r="I121" s="40" t="n"/>
      <c r="J121" s="40" t="n"/>
      <c r="K121" s="40" t="n"/>
      <c r="L121" s="30">
        <f>IF(COUNT(I121:K121)=0,"",MEDIAN(I121:K121))</f>
        <v/>
      </c>
      <c r="M121" s="25">
        <f>IF(COUNTIFS($C:$C,$C121,$D:$D,"기준(전)",$L:$L,"&gt;0")&lt;&gt;1,"기준(전) 유효 1개 아님",IF(COUNTIFS($C:$C,$C121,$D:$D,"기준(후)",$L:$L,"&gt;0")&lt;&gt;1,"기준(후) 유효 1개 아님",IF(NOT(AND(ISNUMBER(N121),ISNUMBER(P121),ISNUMBER(H121))),"시각 결측",IF(P121&lt;=N121,"기준 시각 역전",IF(OR(H121&lt;N121,H121&gt;P121),"측정시각 구간 밖","OK")))))</f>
        <v/>
      </c>
      <c r="N121" s="45">
        <f>IF(COUNTIFS($C:$C,$C121,$D:$D,"기준(전)",$L:$L,"&gt;0")&lt;&gt;1,"",SUMIFS($H:$H,$C:$C,$C121,$D:$D,"기준(전)"))</f>
        <v/>
      </c>
      <c r="O121" s="30">
        <f>IF(COUNTIFS($C:$C,$C121,$D:$D,"기준(전)",$L:$L,"&gt;0")&lt;&gt;1,"",SUMIFS($L:$L,$C:$C,$C121,$D:$D,"기준(전)"))</f>
        <v/>
      </c>
      <c r="P121" s="45">
        <f>IF(COUNTIFS($C:$C,$C121,$D:$D,"기준(후)",$L:$L,"&gt;0")&lt;&gt;1,"",SUMIFS($H:$H,$C:$C,$C121,$D:$D,"기준(후)"))</f>
        <v/>
      </c>
      <c r="Q121" s="30">
        <f>IF(COUNTIFS($C:$C,$C121,$D:$D,"기준(후)",$L:$L,"&gt;0")&lt;&gt;1,"",SUMIFS($L:$L,$C:$C,$C121,$D:$D,"기준(후)"))</f>
        <v/>
      </c>
      <c r="R121" s="30">
        <f>IF(M121&lt;&gt;"OK","",O121+(Q121-O121)*(H121-N121)/(P121-N121))</f>
        <v/>
      </c>
      <c r="S121" s="30">
        <f>IF(OR(M121&lt;&gt;"OK",NOT(ISNUMBER(L121))),"",L121-R121)</f>
        <v/>
      </c>
      <c r="T121" s="46">
        <f>IF(OR($D120&lt;&gt;"측정",$C120&lt;&gt;$C121,NOT(ISNUMBER(L121)),NOT(ISNUMBER(L120)),(IF(ISNUMBER(F121),F121,E121)-IF(ISNUMBER(F120),F120,E120))=0),"",(L121-L120)/((IF(ISNUMBER(F121),F121,E121)-IF(ISNUMBER(F120),F120,E120))/100))</f>
        <v/>
      </c>
      <c r="U121" s="28" t="n"/>
      <c r="V121" s="28" t="n"/>
      <c r="W121" s="31" t="n"/>
    </row>
    <row r="122">
      <c r="A122" s="25" t="inlineStr">
        <is>
          <t>S10</t>
        </is>
      </c>
      <c r="B122" s="25" t="inlineStr">
        <is>
          <t>예안 신규점1</t>
        </is>
      </c>
      <c r="C122" s="25" t="inlineStr">
        <is>
          <t>S10-V</t>
        </is>
      </c>
      <c r="D122" s="25" t="inlineStr">
        <is>
          <t>측정</t>
        </is>
      </c>
      <c r="E122" s="48" t="n">
        <v>180</v>
      </c>
      <c r="F122" s="40" t="n"/>
      <c r="G122" s="28" t="n"/>
      <c r="H122" s="42" t="n"/>
      <c r="I122" s="40" t="n"/>
      <c r="J122" s="40" t="n"/>
      <c r="K122" s="40" t="n"/>
      <c r="L122" s="30">
        <f>IF(COUNT(I122:K122)=0,"",MEDIAN(I122:K122))</f>
        <v/>
      </c>
      <c r="M122" s="25">
        <f>IF(COUNTIFS($C:$C,$C122,$D:$D,"기준(전)",$L:$L,"&gt;0")&lt;&gt;1,"기준(전) 유효 1개 아님",IF(COUNTIFS($C:$C,$C122,$D:$D,"기준(후)",$L:$L,"&gt;0")&lt;&gt;1,"기준(후) 유효 1개 아님",IF(NOT(AND(ISNUMBER(N122),ISNUMBER(P122),ISNUMBER(H122))),"시각 결측",IF(P122&lt;=N122,"기준 시각 역전",IF(OR(H122&lt;N122,H122&gt;P122),"측정시각 구간 밖","OK")))))</f>
        <v/>
      </c>
      <c r="N122" s="45">
        <f>IF(COUNTIFS($C:$C,$C122,$D:$D,"기준(전)",$L:$L,"&gt;0")&lt;&gt;1,"",SUMIFS($H:$H,$C:$C,$C122,$D:$D,"기준(전)"))</f>
        <v/>
      </c>
      <c r="O122" s="30">
        <f>IF(COUNTIFS($C:$C,$C122,$D:$D,"기준(전)",$L:$L,"&gt;0")&lt;&gt;1,"",SUMIFS($L:$L,$C:$C,$C122,$D:$D,"기준(전)"))</f>
        <v/>
      </c>
      <c r="P122" s="45">
        <f>IF(COUNTIFS($C:$C,$C122,$D:$D,"기준(후)",$L:$L,"&gt;0")&lt;&gt;1,"",SUMIFS($H:$H,$C:$C,$C122,$D:$D,"기준(후)"))</f>
        <v/>
      </c>
      <c r="Q122" s="30">
        <f>IF(COUNTIFS($C:$C,$C122,$D:$D,"기준(후)",$L:$L,"&gt;0")&lt;&gt;1,"",SUMIFS($L:$L,$C:$C,$C122,$D:$D,"기준(후)"))</f>
        <v/>
      </c>
      <c r="R122" s="30">
        <f>IF(M122&lt;&gt;"OK","",O122+(Q122-O122)*(H122-N122)/(P122-N122))</f>
        <v/>
      </c>
      <c r="S122" s="30">
        <f>IF(OR(M122&lt;&gt;"OK",NOT(ISNUMBER(L122))),"",L122-R122)</f>
        <v/>
      </c>
      <c r="T122" s="46">
        <f>IF(OR($D121&lt;&gt;"측정",$C121&lt;&gt;$C122,NOT(ISNUMBER(L122)),NOT(ISNUMBER(L121)),(IF(ISNUMBER(F122),F122,E122)-IF(ISNUMBER(F121),F121,E121))=0),"",(L122-L121)/((IF(ISNUMBER(F122),F122,E122)-IF(ISNUMBER(F121),F121,E121))/100))</f>
        <v/>
      </c>
      <c r="U122" s="28" t="n"/>
      <c r="V122" s="28" t="n"/>
      <c r="W122" s="31" t="n"/>
    </row>
    <row r="123">
      <c r="A123" s="25" t="inlineStr">
        <is>
          <t>S10</t>
        </is>
      </c>
      <c r="B123" s="25" t="inlineStr">
        <is>
          <t>예안 신규점1</t>
        </is>
      </c>
      <c r="C123" s="25" t="inlineStr">
        <is>
          <t>S10-V</t>
        </is>
      </c>
      <c r="D123" s="25" t="inlineStr">
        <is>
          <t>측정</t>
        </is>
      </c>
      <c r="E123" s="48" t="n">
        <v>200</v>
      </c>
      <c r="F123" s="40" t="n"/>
      <c r="G123" s="28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IF(COUNTIFS($C:$C,$C123,$D:$D,"기준(전)",$L:$L,"&gt;0")&lt;&gt;1,"기준(전) 유효 1개 아님",IF(COUNTIFS($C:$C,$C123,$D:$D,"기준(후)",$L:$L,"&gt;0")&lt;&gt;1,"기준(후) 유효 1개 아님",IF(NOT(AND(ISNUMBER(N123),ISNUMBER(P123),ISNUMBER(H123))),"시각 결측",IF(P123&lt;=N123,"기준 시각 역전",IF(OR(H123&lt;N123,H123&gt;P123),"측정시각 구간 밖","OK")))))</f>
        <v/>
      </c>
      <c r="N123" s="45">
        <f>IF(COUNTIFS($C:$C,$C123,$D:$D,"기준(전)",$L:$L,"&gt;0")&lt;&gt;1,"",SUMIFS($H:$H,$C:$C,$C123,$D:$D,"기준(전)"))</f>
        <v/>
      </c>
      <c r="O123" s="30">
        <f>IF(COUNTIFS($C:$C,$C123,$D:$D,"기준(전)",$L:$L,"&gt;0")&lt;&gt;1,"",SUMIFS($L:$L,$C:$C,$C123,$D:$D,"기준(전)"))</f>
        <v/>
      </c>
      <c r="P123" s="45">
        <f>IF(COUNTIFS($C:$C,$C123,$D:$D,"기준(후)",$L:$L,"&gt;0")&lt;&gt;1,"",SUMIFS($H:$H,$C:$C,$C123,$D:$D,"기준(후)"))</f>
        <v/>
      </c>
      <c r="Q123" s="30">
        <f>IF(COUNTIFS($C:$C,$C123,$D:$D,"기준(후)",$L:$L,"&gt;0")&lt;&gt;1,"",SUMIFS($L:$L,$C:$C,$C123,$D:$D,"기준(후)"))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IF(OR($D122&lt;&gt;"측정",$C122&lt;&gt;$C123,NOT(ISNUMBER(L123)),NOT(ISNUMBER(L122)),(IF(ISNUMBER(F123),F123,E123)-IF(ISNUMBER(F122),F122,E122))=0),"",(L123-L122)/((IF(ISNUMBER(F123),F123,E123)-IF(ISNUMBER(F122),F122,E122))/100))</f>
        <v/>
      </c>
      <c r="U123" s="28" t="n"/>
      <c r="V123" s="28" t="n"/>
      <c r="W123" s="31" t="n"/>
    </row>
    <row r="124">
      <c r="A124" s="43" t="inlineStr">
        <is>
          <t>S10</t>
        </is>
      </c>
      <c r="B124" s="43" t="inlineStr">
        <is>
          <t>예안 신규점1</t>
        </is>
      </c>
      <c r="C124" s="43" t="inlineStr">
        <is>
          <t>S10-V</t>
        </is>
      </c>
      <c r="D124" s="43" t="inlineStr">
        <is>
          <t>기준(후)</t>
        </is>
      </c>
      <c r="E124" s="47" t="n"/>
      <c r="F124" s="40" t="n"/>
      <c r="G124" s="28" t="n"/>
      <c r="H124" s="42" t="n"/>
      <c r="I124" s="40" t="n"/>
      <c r="J124" s="40" t="n"/>
      <c r="K124" s="40" t="n"/>
      <c r="L124" s="30">
        <f>IF(COUNT(I124:K124)=0,"",MEDIAN(I124:K124))</f>
        <v/>
      </c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28" t="n"/>
      <c r="V124" s="28" t="n"/>
      <c r="W124" s="31" t="n"/>
    </row>
    <row r="125">
      <c r="A125" s="43" t="inlineStr">
        <is>
          <t>S11</t>
        </is>
      </c>
      <c r="B125" s="43" t="inlineStr">
        <is>
          <t>소천 신규점4</t>
        </is>
      </c>
      <c r="C125" s="43" t="inlineStr">
        <is>
          <t>S11-V</t>
        </is>
      </c>
      <c r="D125" s="43" t="inlineStr">
        <is>
          <t>기준(전)</t>
        </is>
      </c>
      <c r="E125" s="47" t="n"/>
      <c r="F125" s="40" t="n"/>
      <c r="G125" s="28" t="n"/>
      <c r="H125" s="42" t="n"/>
      <c r="I125" s="40" t="n"/>
      <c r="J125" s="40" t="n"/>
      <c r="K125" s="40" t="n"/>
      <c r="L125" s="30">
        <f>IF(COUNT(I125:K125)=0,"",MEDIAN(I125:K125))</f>
        <v/>
      </c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28" t="n"/>
      <c r="V125" s="28" t="n"/>
      <c r="W125" s="31" t="n"/>
    </row>
    <row r="126">
      <c r="A126" s="25" t="inlineStr">
        <is>
          <t>S11</t>
        </is>
      </c>
      <c r="B126" s="25" t="inlineStr">
        <is>
          <t>소천 신규점4</t>
        </is>
      </c>
      <c r="C126" s="25" t="inlineStr">
        <is>
          <t>S11-V</t>
        </is>
      </c>
      <c r="D126" s="25" t="inlineStr">
        <is>
          <t>측정</t>
        </is>
      </c>
      <c r="E126" s="48" t="n">
        <v>20</v>
      </c>
      <c r="F126" s="40" t="n"/>
      <c r="G126" s="28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IF(COUNTIFS($C:$C,$C126,$D:$D,"기준(전)",$L:$L,"&gt;0")&lt;&gt;1,"기준(전) 유효 1개 아님",IF(COUNTIFS($C:$C,$C126,$D:$D,"기준(후)",$L:$L,"&gt;0")&lt;&gt;1,"기준(후) 유효 1개 아님",IF(NOT(AND(ISNUMBER(N126),ISNUMBER(P126),ISNUMBER(H126))),"시각 결측",IF(P126&lt;=N126,"기준 시각 역전",IF(OR(H126&lt;N126,H126&gt;P126),"측정시각 구간 밖","OK")))))</f>
        <v/>
      </c>
      <c r="N126" s="45">
        <f>IF(COUNTIFS($C:$C,$C126,$D:$D,"기준(전)",$L:$L,"&gt;0")&lt;&gt;1,"",SUMIFS($H:$H,$C:$C,$C126,$D:$D,"기준(전)"))</f>
        <v/>
      </c>
      <c r="O126" s="30">
        <f>IF(COUNTIFS($C:$C,$C126,$D:$D,"기준(전)",$L:$L,"&gt;0")&lt;&gt;1,"",SUMIFS($L:$L,$C:$C,$C126,$D:$D,"기준(전)"))</f>
        <v/>
      </c>
      <c r="P126" s="45">
        <f>IF(COUNTIFS($C:$C,$C126,$D:$D,"기준(후)",$L:$L,"&gt;0")&lt;&gt;1,"",SUMIFS($H:$H,$C:$C,$C126,$D:$D,"기준(후)"))</f>
        <v/>
      </c>
      <c r="Q126" s="30">
        <f>IF(COUNTIFS($C:$C,$C126,$D:$D,"기준(후)",$L:$L,"&gt;0")&lt;&gt;1,"",SUMIFS($L:$L,$C:$C,$C126,$D:$D,"기준(후)"))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IF(OR($D125&lt;&gt;"측정",$C125&lt;&gt;$C126,NOT(ISNUMBER(L126)),NOT(ISNUMBER(L125)),(IF(ISNUMBER(F126),F126,E126)-IF(ISNUMBER(F125),F125,E125))=0),"",(L126-L125)/((IF(ISNUMBER(F126),F126,E126)-IF(ISNUMBER(F125),F125,E125))/100))</f>
        <v/>
      </c>
      <c r="U126" s="28" t="n"/>
      <c r="V126" s="28" t="n"/>
      <c r="W126" s="31" t="n"/>
    </row>
    <row r="127">
      <c r="A127" s="25" t="inlineStr">
        <is>
          <t>S11</t>
        </is>
      </c>
      <c r="B127" s="25" t="inlineStr">
        <is>
          <t>소천 신규점4</t>
        </is>
      </c>
      <c r="C127" s="25" t="inlineStr">
        <is>
          <t>S11-V</t>
        </is>
      </c>
      <c r="D127" s="25" t="inlineStr">
        <is>
          <t>측정</t>
        </is>
      </c>
      <c r="E127" s="48" t="n">
        <v>40</v>
      </c>
      <c r="F127" s="40" t="n"/>
      <c r="G127" s="28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IF(COUNTIFS($C:$C,$C127,$D:$D,"기준(전)",$L:$L,"&gt;0")&lt;&gt;1,"기준(전) 유효 1개 아님",IF(COUNTIFS($C:$C,$C127,$D:$D,"기준(후)",$L:$L,"&gt;0")&lt;&gt;1,"기준(후) 유효 1개 아님",IF(NOT(AND(ISNUMBER(N127),ISNUMBER(P127),ISNUMBER(H127))),"시각 결측",IF(P127&lt;=N127,"기준 시각 역전",IF(OR(H127&lt;N127,H127&gt;P127),"측정시각 구간 밖","OK")))))</f>
        <v/>
      </c>
      <c r="N127" s="45">
        <f>IF(COUNTIFS($C:$C,$C127,$D:$D,"기준(전)",$L:$L,"&gt;0")&lt;&gt;1,"",SUMIFS($H:$H,$C:$C,$C127,$D:$D,"기준(전)"))</f>
        <v/>
      </c>
      <c r="O127" s="30">
        <f>IF(COUNTIFS($C:$C,$C127,$D:$D,"기준(전)",$L:$L,"&gt;0")&lt;&gt;1,"",SUMIFS($L:$L,$C:$C,$C127,$D:$D,"기준(전)"))</f>
        <v/>
      </c>
      <c r="P127" s="45">
        <f>IF(COUNTIFS($C:$C,$C127,$D:$D,"기준(후)",$L:$L,"&gt;0")&lt;&gt;1,"",SUMIFS($H:$H,$C:$C,$C127,$D:$D,"기준(후)"))</f>
        <v/>
      </c>
      <c r="Q127" s="30">
        <f>IF(COUNTIFS($C:$C,$C127,$D:$D,"기준(후)",$L:$L,"&gt;0")&lt;&gt;1,"",SUMIFS($L:$L,$C:$C,$C127,$D:$D,"기준(후)"))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IF(OR($D126&lt;&gt;"측정",$C126&lt;&gt;$C127,NOT(ISNUMBER(L127)),NOT(ISNUMBER(L126)),(IF(ISNUMBER(F127),F127,E127)-IF(ISNUMBER(F126),F126,E126))=0),"",(L127-L126)/((IF(ISNUMBER(F127),F127,E127)-IF(ISNUMBER(F126),F126,E126))/100))</f>
        <v/>
      </c>
      <c r="U127" s="28" t="n"/>
      <c r="V127" s="28" t="n"/>
      <c r="W127" s="31" t="n"/>
    </row>
    <row r="128">
      <c r="A128" s="25" t="inlineStr">
        <is>
          <t>S11</t>
        </is>
      </c>
      <c r="B128" s="25" t="inlineStr">
        <is>
          <t>소천 신규점4</t>
        </is>
      </c>
      <c r="C128" s="25" t="inlineStr">
        <is>
          <t>S11-V</t>
        </is>
      </c>
      <c r="D128" s="25" t="inlineStr">
        <is>
          <t>측정</t>
        </is>
      </c>
      <c r="E128" s="48" t="n">
        <v>60</v>
      </c>
      <c r="F128" s="40" t="n"/>
      <c r="G128" s="28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IF(COUNTIFS($C:$C,$C128,$D:$D,"기준(전)",$L:$L,"&gt;0")&lt;&gt;1,"기준(전) 유효 1개 아님",IF(COUNTIFS($C:$C,$C128,$D:$D,"기준(후)",$L:$L,"&gt;0")&lt;&gt;1,"기준(후) 유효 1개 아님",IF(NOT(AND(ISNUMBER(N128),ISNUMBER(P128),ISNUMBER(H128))),"시각 결측",IF(P128&lt;=N128,"기준 시각 역전",IF(OR(H128&lt;N128,H128&gt;P128),"측정시각 구간 밖","OK")))))</f>
        <v/>
      </c>
      <c r="N128" s="45">
        <f>IF(COUNTIFS($C:$C,$C128,$D:$D,"기준(전)",$L:$L,"&gt;0")&lt;&gt;1,"",SUMIFS($H:$H,$C:$C,$C128,$D:$D,"기준(전)"))</f>
        <v/>
      </c>
      <c r="O128" s="30">
        <f>IF(COUNTIFS($C:$C,$C128,$D:$D,"기준(전)",$L:$L,"&gt;0")&lt;&gt;1,"",SUMIFS($L:$L,$C:$C,$C128,$D:$D,"기준(전)"))</f>
        <v/>
      </c>
      <c r="P128" s="45">
        <f>IF(COUNTIFS($C:$C,$C128,$D:$D,"기준(후)",$L:$L,"&gt;0")&lt;&gt;1,"",SUMIFS($H:$H,$C:$C,$C128,$D:$D,"기준(후)"))</f>
        <v/>
      </c>
      <c r="Q128" s="30">
        <f>IF(COUNTIFS($C:$C,$C128,$D:$D,"기준(후)",$L:$L,"&gt;0")&lt;&gt;1,"",SUMIFS($L:$L,$C:$C,$C128,$D:$D,"기준(후)"))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IF(OR($D127&lt;&gt;"측정",$C127&lt;&gt;$C128,NOT(ISNUMBER(L128)),NOT(ISNUMBER(L127)),(IF(ISNUMBER(F128),F128,E128)-IF(ISNUMBER(F127),F127,E127))=0),"",(L128-L127)/((IF(ISNUMBER(F128),F128,E128)-IF(ISNUMBER(F127),F127,E127))/100))</f>
        <v/>
      </c>
      <c r="U128" s="28" t="n"/>
      <c r="V128" s="28" t="n"/>
      <c r="W128" s="31" t="n"/>
    </row>
    <row r="129">
      <c r="A129" s="25" t="inlineStr">
        <is>
          <t>S11</t>
        </is>
      </c>
      <c r="B129" s="25" t="inlineStr">
        <is>
          <t>소천 신규점4</t>
        </is>
      </c>
      <c r="C129" s="25" t="inlineStr">
        <is>
          <t>S11-V</t>
        </is>
      </c>
      <c r="D129" s="25" t="inlineStr">
        <is>
          <t>측정</t>
        </is>
      </c>
      <c r="E129" s="48" t="n">
        <v>80</v>
      </c>
      <c r="F129" s="40" t="n"/>
      <c r="G129" s="28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IF(COUNTIFS($C:$C,$C129,$D:$D,"기준(전)",$L:$L,"&gt;0")&lt;&gt;1,"기준(전) 유효 1개 아님",IF(COUNTIFS($C:$C,$C129,$D:$D,"기준(후)",$L:$L,"&gt;0")&lt;&gt;1,"기준(후) 유효 1개 아님",IF(NOT(AND(ISNUMBER(N129),ISNUMBER(P129),ISNUMBER(H129))),"시각 결측",IF(P129&lt;=N129,"기준 시각 역전",IF(OR(H129&lt;N129,H129&gt;P129),"측정시각 구간 밖","OK")))))</f>
        <v/>
      </c>
      <c r="N129" s="45">
        <f>IF(COUNTIFS($C:$C,$C129,$D:$D,"기준(전)",$L:$L,"&gt;0")&lt;&gt;1,"",SUMIFS($H:$H,$C:$C,$C129,$D:$D,"기준(전)"))</f>
        <v/>
      </c>
      <c r="O129" s="30">
        <f>IF(COUNTIFS($C:$C,$C129,$D:$D,"기준(전)",$L:$L,"&gt;0")&lt;&gt;1,"",SUMIFS($L:$L,$C:$C,$C129,$D:$D,"기준(전)"))</f>
        <v/>
      </c>
      <c r="P129" s="45">
        <f>IF(COUNTIFS($C:$C,$C129,$D:$D,"기준(후)",$L:$L,"&gt;0")&lt;&gt;1,"",SUMIFS($H:$H,$C:$C,$C129,$D:$D,"기준(후)"))</f>
        <v/>
      </c>
      <c r="Q129" s="30">
        <f>IF(COUNTIFS($C:$C,$C129,$D:$D,"기준(후)",$L:$L,"&gt;0")&lt;&gt;1,"",SUMIFS($L:$L,$C:$C,$C129,$D:$D,"기준(후)"))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IF(OR($D128&lt;&gt;"측정",$C128&lt;&gt;$C129,NOT(ISNUMBER(L129)),NOT(ISNUMBER(L128)),(IF(ISNUMBER(F129),F129,E129)-IF(ISNUMBER(F128),F128,E128))=0),"",(L129-L128)/((IF(ISNUMBER(F129),F129,E129)-IF(ISNUMBER(F128),F128,E128))/100))</f>
        <v/>
      </c>
      <c r="U129" s="28" t="n"/>
      <c r="V129" s="28" t="n"/>
      <c r="W129" s="31" t="n"/>
    </row>
    <row r="130">
      <c r="A130" s="25" t="inlineStr">
        <is>
          <t>S11</t>
        </is>
      </c>
      <c r="B130" s="25" t="inlineStr">
        <is>
          <t>소천 신규점4</t>
        </is>
      </c>
      <c r="C130" s="25" t="inlineStr">
        <is>
          <t>S11-V</t>
        </is>
      </c>
      <c r="D130" s="25" t="inlineStr">
        <is>
          <t>측정</t>
        </is>
      </c>
      <c r="E130" s="48" t="n">
        <v>100</v>
      </c>
      <c r="F130" s="40" t="n"/>
      <c r="G130" s="28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IF(COUNTIFS($C:$C,$C130,$D:$D,"기준(전)",$L:$L,"&gt;0")&lt;&gt;1,"기준(전) 유효 1개 아님",IF(COUNTIFS($C:$C,$C130,$D:$D,"기준(후)",$L:$L,"&gt;0")&lt;&gt;1,"기준(후) 유효 1개 아님",IF(NOT(AND(ISNUMBER(N130),ISNUMBER(P130),ISNUMBER(H130))),"시각 결측",IF(P130&lt;=N130,"기준 시각 역전",IF(OR(H130&lt;N130,H130&gt;P130),"측정시각 구간 밖","OK")))))</f>
        <v/>
      </c>
      <c r="N130" s="45">
        <f>IF(COUNTIFS($C:$C,$C130,$D:$D,"기준(전)",$L:$L,"&gt;0")&lt;&gt;1,"",SUMIFS($H:$H,$C:$C,$C130,$D:$D,"기준(전)"))</f>
        <v/>
      </c>
      <c r="O130" s="30">
        <f>IF(COUNTIFS($C:$C,$C130,$D:$D,"기준(전)",$L:$L,"&gt;0")&lt;&gt;1,"",SUMIFS($L:$L,$C:$C,$C130,$D:$D,"기준(전)"))</f>
        <v/>
      </c>
      <c r="P130" s="45">
        <f>IF(COUNTIFS($C:$C,$C130,$D:$D,"기준(후)",$L:$L,"&gt;0")&lt;&gt;1,"",SUMIFS($H:$H,$C:$C,$C130,$D:$D,"기준(후)"))</f>
        <v/>
      </c>
      <c r="Q130" s="30">
        <f>IF(COUNTIFS($C:$C,$C130,$D:$D,"기준(후)",$L:$L,"&gt;0")&lt;&gt;1,"",SUMIFS($L:$L,$C:$C,$C130,$D:$D,"기준(후)"))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IF(OR($D129&lt;&gt;"측정",$C129&lt;&gt;$C130,NOT(ISNUMBER(L130)),NOT(ISNUMBER(L129)),(IF(ISNUMBER(F130),F130,E130)-IF(ISNUMBER(F129),F129,E129))=0),"",(L130-L129)/((IF(ISNUMBER(F130),F130,E130)-IF(ISNUMBER(F129),F129,E129))/100))</f>
        <v/>
      </c>
      <c r="U130" s="28" t="n"/>
      <c r="V130" s="28" t="n"/>
      <c r="W130" s="31" t="n"/>
    </row>
    <row r="131">
      <c r="A131" s="25" t="inlineStr">
        <is>
          <t>S11</t>
        </is>
      </c>
      <c r="B131" s="25" t="inlineStr">
        <is>
          <t>소천 신규점4</t>
        </is>
      </c>
      <c r="C131" s="25" t="inlineStr">
        <is>
          <t>S11-V</t>
        </is>
      </c>
      <c r="D131" s="25" t="inlineStr">
        <is>
          <t>측정</t>
        </is>
      </c>
      <c r="E131" s="48" t="n">
        <v>120</v>
      </c>
      <c r="F131" s="40" t="n"/>
      <c r="G131" s="28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IF(COUNTIFS($C:$C,$C131,$D:$D,"기준(전)",$L:$L,"&gt;0")&lt;&gt;1,"기준(전) 유효 1개 아님",IF(COUNTIFS($C:$C,$C131,$D:$D,"기준(후)",$L:$L,"&gt;0")&lt;&gt;1,"기준(후) 유효 1개 아님",IF(NOT(AND(ISNUMBER(N131),ISNUMBER(P131),ISNUMBER(H131))),"시각 결측",IF(P131&lt;=N131,"기준 시각 역전",IF(OR(H131&lt;N131,H131&gt;P131),"측정시각 구간 밖","OK")))))</f>
        <v/>
      </c>
      <c r="N131" s="45">
        <f>IF(COUNTIFS($C:$C,$C131,$D:$D,"기준(전)",$L:$L,"&gt;0")&lt;&gt;1,"",SUMIFS($H:$H,$C:$C,$C131,$D:$D,"기준(전)"))</f>
        <v/>
      </c>
      <c r="O131" s="30">
        <f>IF(COUNTIFS($C:$C,$C131,$D:$D,"기준(전)",$L:$L,"&gt;0")&lt;&gt;1,"",SUMIFS($L:$L,$C:$C,$C131,$D:$D,"기준(전)"))</f>
        <v/>
      </c>
      <c r="P131" s="45">
        <f>IF(COUNTIFS($C:$C,$C131,$D:$D,"기준(후)",$L:$L,"&gt;0")&lt;&gt;1,"",SUMIFS($H:$H,$C:$C,$C131,$D:$D,"기준(후)"))</f>
        <v/>
      </c>
      <c r="Q131" s="30">
        <f>IF(COUNTIFS($C:$C,$C131,$D:$D,"기준(후)",$L:$L,"&gt;0")&lt;&gt;1,"",SUMIFS($L:$L,$C:$C,$C131,$D:$D,"기준(후)"))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IF(OR($D130&lt;&gt;"측정",$C130&lt;&gt;$C131,NOT(ISNUMBER(L131)),NOT(ISNUMBER(L130)),(IF(ISNUMBER(F131),F131,E131)-IF(ISNUMBER(F130),F130,E130))=0),"",(L131-L130)/((IF(ISNUMBER(F131),F131,E131)-IF(ISNUMBER(F130),F130,E130))/100))</f>
        <v/>
      </c>
      <c r="U131" s="28" t="n"/>
      <c r="V131" s="28" t="n"/>
      <c r="W131" s="31" t="n"/>
    </row>
    <row r="132">
      <c r="A132" s="25" t="inlineStr">
        <is>
          <t>S11</t>
        </is>
      </c>
      <c r="B132" s="25" t="inlineStr">
        <is>
          <t>소천 신규점4</t>
        </is>
      </c>
      <c r="C132" s="25" t="inlineStr">
        <is>
          <t>S11-V</t>
        </is>
      </c>
      <c r="D132" s="25" t="inlineStr">
        <is>
          <t>측정</t>
        </is>
      </c>
      <c r="E132" s="48" t="n">
        <v>140</v>
      </c>
      <c r="F132" s="40" t="n"/>
      <c r="G132" s="28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IF(COUNTIFS($C:$C,$C132,$D:$D,"기준(전)",$L:$L,"&gt;0")&lt;&gt;1,"기준(전) 유효 1개 아님",IF(COUNTIFS($C:$C,$C132,$D:$D,"기준(후)",$L:$L,"&gt;0")&lt;&gt;1,"기준(후) 유효 1개 아님",IF(NOT(AND(ISNUMBER(N132),ISNUMBER(P132),ISNUMBER(H132))),"시각 결측",IF(P132&lt;=N132,"기준 시각 역전",IF(OR(H132&lt;N132,H132&gt;P132),"측정시각 구간 밖","OK")))))</f>
        <v/>
      </c>
      <c r="N132" s="45">
        <f>IF(COUNTIFS($C:$C,$C132,$D:$D,"기준(전)",$L:$L,"&gt;0")&lt;&gt;1,"",SUMIFS($H:$H,$C:$C,$C132,$D:$D,"기준(전)"))</f>
        <v/>
      </c>
      <c r="O132" s="30">
        <f>IF(COUNTIFS($C:$C,$C132,$D:$D,"기준(전)",$L:$L,"&gt;0")&lt;&gt;1,"",SUMIFS($L:$L,$C:$C,$C132,$D:$D,"기준(전)"))</f>
        <v/>
      </c>
      <c r="P132" s="45">
        <f>IF(COUNTIFS($C:$C,$C132,$D:$D,"기준(후)",$L:$L,"&gt;0")&lt;&gt;1,"",SUMIFS($H:$H,$C:$C,$C132,$D:$D,"기준(후)"))</f>
        <v/>
      </c>
      <c r="Q132" s="30">
        <f>IF(COUNTIFS($C:$C,$C132,$D:$D,"기준(후)",$L:$L,"&gt;0")&lt;&gt;1,"",SUMIFS($L:$L,$C:$C,$C132,$D:$D,"기준(후)"))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IF(OR($D131&lt;&gt;"측정",$C131&lt;&gt;$C132,NOT(ISNUMBER(L132)),NOT(ISNUMBER(L131)),(IF(ISNUMBER(F132),F132,E132)-IF(ISNUMBER(F131),F131,E131))=0),"",(L132-L131)/((IF(ISNUMBER(F132),F132,E132)-IF(ISNUMBER(F131),F131,E131))/100))</f>
        <v/>
      </c>
      <c r="U132" s="28" t="n"/>
      <c r="V132" s="28" t="n"/>
      <c r="W132" s="31" t="n"/>
    </row>
    <row r="133">
      <c r="A133" s="25" t="inlineStr">
        <is>
          <t>S11</t>
        </is>
      </c>
      <c r="B133" s="25" t="inlineStr">
        <is>
          <t>소천 신규점4</t>
        </is>
      </c>
      <c r="C133" s="25" t="inlineStr">
        <is>
          <t>S11-V</t>
        </is>
      </c>
      <c r="D133" s="25" t="inlineStr">
        <is>
          <t>측정</t>
        </is>
      </c>
      <c r="E133" s="48" t="n">
        <v>160</v>
      </c>
      <c r="F133" s="40" t="n"/>
      <c r="G133" s="28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IF(COUNTIFS($C:$C,$C133,$D:$D,"기준(전)",$L:$L,"&gt;0")&lt;&gt;1,"기준(전) 유효 1개 아님",IF(COUNTIFS($C:$C,$C133,$D:$D,"기준(후)",$L:$L,"&gt;0")&lt;&gt;1,"기준(후) 유효 1개 아님",IF(NOT(AND(ISNUMBER(N133),ISNUMBER(P133),ISNUMBER(H133))),"시각 결측",IF(P133&lt;=N133,"기준 시각 역전",IF(OR(H133&lt;N133,H133&gt;P133),"측정시각 구간 밖","OK")))))</f>
        <v/>
      </c>
      <c r="N133" s="45">
        <f>IF(COUNTIFS($C:$C,$C133,$D:$D,"기준(전)",$L:$L,"&gt;0")&lt;&gt;1,"",SUMIFS($H:$H,$C:$C,$C133,$D:$D,"기준(전)"))</f>
        <v/>
      </c>
      <c r="O133" s="30">
        <f>IF(COUNTIFS($C:$C,$C133,$D:$D,"기준(전)",$L:$L,"&gt;0")&lt;&gt;1,"",SUMIFS($L:$L,$C:$C,$C133,$D:$D,"기준(전)"))</f>
        <v/>
      </c>
      <c r="P133" s="45">
        <f>IF(COUNTIFS($C:$C,$C133,$D:$D,"기준(후)",$L:$L,"&gt;0")&lt;&gt;1,"",SUMIFS($H:$H,$C:$C,$C133,$D:$D,"기준(후)"))</f>
        <v/>
      </c>
      <c r="Q133" s="30">
        <f>IF(COUNTIFS($C:$C,$C133,$D:$D,"기준(후)",$L:$L,"&gt;0")&lt;&gt;1,"",SUMIFS($L:$L,$C:$C,$C133,$D:$D,"기준(후)"))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IF(OR($D132&lt;&gt;"측정",$C132&lt;&gt;$C133,NOT(ISNUMBER(L133)),NOT(ISNUMBER(L132)),(IF(ISNUMBER(F133),F133,E133)-IF(ISNUMBER(F132),F132,E132))=0),"",(L133-L132)/((IF(ISNUMBER(F133),F133,E133)-IF(ISNUMBER(F132),F132,E132))/100))</f>
        <v/>
      </c>
      <c r="U133" s="28" t="n"/>
      <c r="V133" s="28" t="n"/>
      <c r="W133" s="31" t="n"/>
    </row>
    <row r="134">
      <c r="A134" s="25" t="inlineStr">
        <is>
          <t>S11</t>
        </is>
      </c>
      <c r="B134" s="25" t="inlineStr">
        <is>
          <t>소천 신규점4</t>
        </is>
      </c>
      <c r="C134" s="25" t="inlineStr">
        <is>
          <t>S11-V</t>
        </is>
      </c>
      <c r="D134" s="25" t="inlineStr">
        <is>
          <t>측정</t>
        </is>
      </c>
      <c r="E134" s="48" t="n">
        <v>180</v>
      </c>
      <c r="F134" s="40" t="n"/>
      <c r="G134" s="28" t="n"/>
      <c r="H134" s="42" t="n"/>
      <c r="I134" s="40" t="n"/>
      <c r="J134" s="40" t="n"/>
      <c r="K134" s="40" t="n"/>
      <c r="L134" s="30">
        <f>IF(COUNT(I134:K134)=0,"",MEDIAN(I134:K134))</f>
        <v/>
      </c>
      <c r="M134" s="25">
        <f>IF(COUNTIFS($C:$C,$C134,$D:$D,"기준(전)",$L:$L,"&gt;0")&lt;&gt;1,"기준(전) 유효 1개 아님",IF(COUNTIFS($C:$C,$C134,$D:$D,"기준(후)",$L:$L,"&gt;0")&lt;&gt;1,"기준(후) 유효 1개 아님",IF(NOT(AND(ISNUMBER(N134),ISNUMBER(P134),ISNUMBER(H134))),"시각 결측",IF(P134&lt;=N134,"기준 시각 역전",IF(OR(H134&lt;N134,H134&gt;P134),"측정시각 구간 밖","OK")))))</f>
        <v/>
      </c>
      <c r="N134" s="45">
        <f>IF(COUNTIFS($C:$C,$C134,$D:$D,"기준(전)",$L:$L,"&gt;0")&lt;&gt;1,"",SUMIFS($H:$H,$C:$C,$C134,$D:$D,"기준(전)"))</f>
        <v/>
      </c>
      <c r="O134" s="30">
        <f>IF(COUNTIFS($C:$C,$C134,$D:$D,"기준(전)",$L:$L,"&gt;0")&lt;&gt;1,"",SUMIFS($L:$L,$C:$C,$C134,$D:$D,"기준(전)"))</f>
        <v/>
      </c>
      <c r="P134" s="45">
        <f>IF(COUNTIFS($C:$C,$C134,$D:$D,"기준(후)",$L:$L,"&gt;0")&lt;&gt;1,"",SUMIFS($H:$H,$C:$C,$C134,$D:$D,"기준(후)"))</f>
        <v/>
      </c>
      <c r="Q134" s="30">
        <f>IF(COUNTIFS($C:$C,$C134,$D:$D,"기준(후)",$L:$L,"&gt;0")&lt;&gt;1,"",SUMIFS($L:$L,$C:$C,$C134,$D:$D,"기준(후)"))</f>
        <v/>
      </c>
      <c r="R134" s="30">
        <f>IF(M134&lt;&gt;"OK","",O134+(Q134-O134)*(H134-N134)/(P134-N134))</f>
        <v/>
      </c>
      <c r="S134" s="30">
        <f>IF(OR(M134&lt;&gt;"OK",NOT(ISNUMBER(L134))),"",L134-R134)</f>
        <v/>
      </c>
      <c r="T134" s="46">
        <f>IF(OR($D133&lt;&gt;"측정",$C133&lt;&gt;$C134,NOT(ISNUMBER(L134)),NOT(ISNUMBER(L133)),(IF(ISNUMBER(F134),F134,E134)-IF(ISNUMBER(F133),F133,E133))=0),"",(L134-L133)/((IF(ISNUMBER(F134),F134,E134)-IF(ISNUMBER(F133),F133,E133))/100))</f>
        <v/>
      </c>
      <c r="U134" s="28" t="n"/>
      <c r="V134" s="28" t="n"/>
      <c r="W134" s="31" t="n"/>
    </row>
    <row r="135">
      <c r="A135" s="25" t="inlineStr">
        <is>
          <t>S11</t>
        </is>
      </c>
      <c r="B135" s="25" t="inlineStr">
        <is>
          <t>소천 신규점4</t>
        </is>
      </c>
      <c r="C135" s="25" t="inlineStr">
        <is>
          <t>S11-V</t>
        </is>
      </c>
      <c r="D135" s="25" t="inlineStr">
        <is>
          <t>측정</t>
        </is>
      </c>
      <c r="E135" s="48" t="n">
        <v>200</v>
      </c>
      <c r="F135" s="40" t="n"/>
      <c r="G135" s="28" t="n"/>
      <c r="H135" s="42" t="n"/>
      <c r="I135" s="40" t="n"/>
      <c r="J135" s="40" t="n"/>
      <c r="K135" s="40" t="n"/>
      <c r="L135" s="30">
        <f>IF(COUNT(I135:K135)=0,"",MEDIAN(I135:K135))</f>
        <v/>
      </c>
      <c r="M135" s="25">
        <f>IF(COUNTIFS($C:$C,$C135,$D:$D,"기준(전)",$L:$L,"&gt;0")&lt;&gt;1,"기준(전) 유효 1개 아님",IF(COUNTIFS($C:$C,$C135,$D:$D,"기준(후)",$L:$L,"&gt;0")&lt;&gt;1,"기준(후) 유효 1개 아님",IF(NOT(AND(ISNUMBER(N135),ISNUMBER(P135),ISNUMBER(H135))),"시각 결측",IF(P135&lt;=N135,"기준 시각 역전",IF(OR(H135&lt;N135,H135&gt;P135),"측정시각 구간 밖","OK")))))</f>
        <v/>
      </c>
      <c r="N135" s="45">
        <f>IF(COUNTIFS($C:$C,$C135,$D:$D,"기준(전)",$L:$L,"&gt;0")&lt;&gt;1,"",SUMIFS($H:$H,$C:$C,$C135,$D:$D,"기준(전)"))</f>
        <v/>
      </c>
      <c r="O135" s="30">
        <f>IF(COUNTIFS($C:$C,$C135,$D:$D,"기준(전)",$L:$L,"&gt;0")&lt;&gt;1,"",SUMIFS($L:$L,$C:$C,$C135,$D:$D,"기준(전)"))</f>
        <v/>
      </c>
      <c r="P135" s="45">
        <f>IF(COUNTIFS($C:$C,$C135,$D:$D,"기준(후)",$L:$L,"&gt;0")&lt;&gt;1,"",SUMIFS($H:$H,$C:$C,$C135,$D:$D,"기준(후)"))</f>
        <v/>
      </c>
      <c r="Q135" s="30">
        <f>IF(COUNTIFS($C:$C,$C135,$D:$D,"기준(후)",$L:$L,"&gt;0")&lt;&gt;1,"",SUMIFS($L:$L,$C:$C,$C135,$D:$D,"기준(후)"))</f>
        <v/>
      </c>
      <c r="R135" s="30">
        <f>IF(M135&lt;&gt;"OK","",O135+(Q135-O135)*(H135-N135)/(P135-N135))</f>
        <v/>
      </c>
      <c r="S135" s="30">
        <f>IF(OR(M135&lt;&gt;"OK",NOT(ISNUMBER(L135))),"",L135-R135)</f>
        <v/>
      </c>
      <c r="T135" s="46">
        <f>IF(OR($D134&lt;&gt;"측정",$C134&lt;&gt;$C135,NOT(ISNUMBER(L135)),NOT(ISNUMBER(L134)),(IF(ISNUMBER(F135),F135,E135)-IF(ISNUMBER(F134),F134,E134))=0),"",(L135-L134)/((IF(ISNUMBER(F135),F135,E135)-IF(ISNUMBER(F134),F134,E134))/100))</f>
        <v/>
      </c>
      <c r="U135" s="28" t="n"/>
      <c r="V135" s="28" t="n"/>
      <c r="W135" s="31" t="n"/>
    </row>
    <row r="136">
      <c r="A136" s="43" t="inlineStr">
        <is>
          <t>S11</t>
        </is>
      </c>
      <c r="B136" s="43" t="inlineStr">
        <is>
          <t>소천 신규점4</t>
        </is>
      </c>
      <c r="C136" s="43" t="inlineStr">
        <is>
          <t>S11-V</t>
        </is>
      </c>
      <c r="D136" s="43" t="inlineStr">
        <is>
          <t>기준(후)</t>
        </is>
      </c>
      <c r="E136" s="47" t="n"/>
      <c r="F136" s="40" t="n"/>
      <c r="G136" s="28" t="n"/>
      <c r="H136" s="42" t="n"/>
      <c r="I136" s="40" t="n"/>
      <c r="J136" s="40" t="n"/>
      <c r="K136" s="40" t="n"/>
      <c r="L136" s="30">
        <f>IF(COUNT(I136:K136)=0,"",MEDIAN(I136:K136))</f>
        <v/>
      </c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28" t="n"/>
      <c r="V136" s="28" t="n"/>
      <c r="W136" s="31" t="n"/>
    </row>
    <row r="137">
      <c r="A137" s="43" t="inlineStr">
        <is>
          <t>S12</t>
        </is>
      </c>
      <c r="B137" s="43" t="inlineStr">
        <is>
          <t>순창 신규점</t>
        </is>
      </c>
      <c r="C137" s="43" t="inlineStr">
        <is>
          <t>S12-V</t>
        </is>
      </c>
      <c r="D137" s="43" t="inlineStr">
        <is>
          <t>기준(전)</t>
        </is>
      </c>
      <c r="E137" s="47" t="n"/>
      <c r="F137" s="40" t="n"/>
      <c r="G137" s="28" t="n"/>
      <c r="H137" s="42" t="n"/>
      <c r="I137" s="40" t="n"/>
      <c r="J137" s="40" t="n"/>
      <c r="K137" s="40" t="n"/>
      <c r="L137" s="30">
        <f>IF(COUNT(I137:K137)=0,"",MEDIAN(I137:K137))</f>
        <v/>
      </c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28" t="n"/>
      <c r="V137" s="28" t="n"/>
      <c r="W137" s="31" t="n"/>
    </row>
    <row r="138">
      <c r="A138" s="25" t="inlineStr">
        <is>
          <t>S12</t>
        </is>
      </c>
      <c r="B138" s="25" t="inlineStr">
        <is>
          <t>순창 신규점</t>
        </is>
      </c>
      <c r="C138" s="25" t="inlineStr">
        <is>
          <t>S12-V</t>
        </is>
      </c>
      <c r="D138" s="25" t="inlineStr">
        <is>
          <t>측정</t>
        </is>
      </c>
      <c r="E138" s="48" t="n">
        <v>20</v>
      </c>
      <c r="F138" s="40" t="n"/>
      <c r="G138" s="28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IF(COUNTIFS($C:$C,$C138,$D:$D,"기준(전)",$L:$L,"&gt;0")&lt;&gt;1,"기준(전) 유효 1개 아님",IF(COUNTIFS($C:$C,$C138,$D:$D,"기준(후)",$L:$L,"&gt;0")&lt;&gt;1,"기준(후) 유효 1개 아님",IF(NOT(AND(ISNUMBER(N138),ISNUMBER(P138),ISNUMBER(H138))),"시각 결측",IF(P138&lt;=N138,"기준 시각 역전",IF(OR(H138&lt;N138,H138&gt;P138),"측정시각 구간 밖","OK")))))</f>
        <v/>
      </c>
      <c r="N138" s="45">
        <f>IF(COUNTIFS($C:$C,$C138,$D:$D,"기준(전)",$L:$L,"&gt;0")&lt;&gt;1,"",SUMIFS($H:$H,$C:$C,$C138,$D:$D,"기준(전)"))</f>
        <v/>
      </c>
      <c r="O138" s="30">
        <f>IF(COUNTIFS($C:$C,$C138,$D:$D,"기준(전)",$L:$L,"&gt;0")&lt;&gt;1,"",SUMIFS($L:$L,$C:$C,$C138,$D:$D,"기준(전)"))</f>
        <v/>
      </c>
      <c r="P138" s="45">
        <f>IF(COUNTIFS($C:$C,$C138,$D:$D,"기준(후)",$L:$L,"&gt;0")&lt;&gt;1,"",SUMIFS($H:$H,$C:$C,$C138,$D:$D,"기준(후)"))</f>
        <v/>
      </c>
      <c r="Q138" s="30">
        <f>IF(COUNTIFS($C:$C,$C138,$D:$D,"기준(후)",$L:$L,"&gt;0")&lt;&gt;1,"",SUMIFS($L:$L,$C:$C,$C138,$D:$D,"기준(후)"))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IF(OR($D137&lt;&gt;"측정",$C137&lt;&gt;$C138,NOT(ISNUMBER(L138)),NOT(ISNUMBER(L137)),(IF(ISNUMBER(F138),F138,E138)-IF(ISNUMBER(F137),F137,E137))=0),"",(L138-L137)/((IF(ISNUMBER(F138),F138,E138)-IF(ISNUMBER(F137),F137,E137))/100))</f>
        <v/>
      </c>
      <c r="U138" s="28" t="n"/>
      <c r="V138" s="28" t="n"/>
      <c r="W138" s="31" t="n"/>
    </row>
    <row r="139">
      <c r="A139" s="25" t="inlineStr">
        <is>
          <t>S12</t>
        </is>
      </c>
      <c r="B139" s="25" t="inlineStr">
        <is>
          <t>순창 신규점</t>
        </is>
      </c>
      <c r="C139" s="25" t="inlineStr">
        <is>
          <t>S12-V</t>
        </is>
      </c>
      <c r="D139" s="25" t="inlineStr">
        <is>
          <t>측정</t>
        </is>
      </c>
      <c r="E139" s="48" t="n">
        <v>40</v>
      </c>
      <c r="F139" s="40" t="n"/>
      <c r="G139" s="28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IF(COUNTIFS($C:$C,$C139,$D:$D,"기준(전)",$L:$L,"&gt;0")&lt;&gt;1,"기준(전) 유효 1개 아님",IF(COUNTIFS($C:$C,$C139,$D:$D,"기준(후)",$L:$L,"&gt;0")&lt;&gt;1,"기준(후) 유효 1개 아님",IF(NOT(AND(ISNUMBER(N139),ISNUMBER(P139),ISNUMBER(H139))),"시각 결측",IF(P139&lt;=N139,"기준 시각 역전",IF(OR(H139&lt;N139,H139&gt;P139),"측정시각 구간 밖","OK")))))</f>
        <v/>
      </c>
      <c r="N139" s="45">
        <f>IF(COUNTIFS($C:$C,$C139,$D:$D,"기준(전)",$L:$L,"&gt;0")&lt;&gt;1,"",SUMIFS($H:$H,$C:$C,$C139,$D:$D,"기준(전)"))</f>
        <v/>
      </c>
      <c r="O139" s="30">
        <f>IF(COUNTIFS($C:$C,$C139,$D:$D,"기준(전)",$L:$L,"&gt;0")&lt;&gt;1,"",SUMIFS($L:$L,$C:$C,$C139,$D:$D,"기준(전)"))</f>
        <v/>
      </c>
      <c r="P139" s="45">
        <f>IF(COUNTIFS($C:$C,$C139,$D:$D,"기준(후)",$L:$L,"&gt;0")&lt;&gt;1,"",SUMIFS($H:$H,$C:$C,$C139,$D:$D,"기준(후)"))</f>
        <v/>
      </c>
      <c r="Q139" s="30">
        <f>IF(COUNTIFS($C:$C,$C139,$D:$D,"기준(후)",$L:$L,"&gt;0")&lt;&gt;1,"",SUMIFS($L:$L,$C:$C,$C139,$D:$D,"기준(후)"))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IF(OR($D138&lt;&gt;"측정",$C138&lt;&gt;$C139,NOT(ISNUMBER(L139)),NOT(ISNUMBER(L138)),(IF(ISNUMBER(F139),F139,E139)-IF(ISNUMBER(F138),F138,E138))=0),"",(L139-L138)/((IF(ISNUMBER(F139),F139,E139)-IF(ISNUMBER(F138),F138,E138))/100))</f>
        <v/>
      </c>
      <c r="U139" s="28" t="n"/>
      <c r="V139" s="28" t="n"/>
      <c r="W139" s="31" t="n"/>
    </row>
    <row r="140">
      <c r="A140" s="25" t="inlineStr">
        <is>
          <t>S12</t>
        </is>
      </c>
      <c r="B140" s="25" t="inlineStr">
        <is>
          <t>순창 신규점</t>
        </is>
      </c>
      <c r="C140" s="25" t="inlineStr">
        <is>
          <t>S12-V</t>
        </is>
      </c>
      <c r="D140" s="25" t="inlineStr">
        <is>
          <t>측정</t>
        </is>
      </c>
      <c r="E140" s="48" t="n">
        <v>60</v>
      </c>
      <c r="F140" s="40" t="n"/>
      <c r="G140" s="28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IF(COUNTIFS($C:$C,$C140,$D:$D,"기준(전)",$L:$L,"&gt;0")&lt;&gt;1,"기준(전) 유효 1개 아님",IF(COUNTIFS($C:$C,$C140,$D:$D,"기준(후)",$L:$L,"&gt;0")&lt;&gt;1,"기준(후) 유효 1개 아님",IF(NOT(AND(ISNUMBER(N140),ISNUMBER(P140),ISNUMBER(H140))),"시각 결측",IF(P140&lt;=N140,"기준 시각 역전",IF(OR(H140&lt;N140,H140&gt;P140),"측정시각 구간 밖","OK")))))</f>
        <v/>
      </c>
      <c r="N140" s="45">
        <f>IF(COUNTIFS($C:$C,$C140,$D:$D,"기준(전)",$L:$L,"&gt;0")&lt;&gt;1,"",SUMIFS($H:$H,$C:$C,$C140,$D:$D,"기준(전)"))</f>
        <v/>
      </c>
      <c r="O140" s="30">
        <f>IF(COUNTIFS($C:$C,$C140,$D:$D,"기준(전)",$L:$L,"&gt;0")&lt;&gt;1,"",SUMIFS($L:$L,$C:$C,$C140,$D:$D,"기준(전)"))</f>
        <v/>
      </c>
      <c r="P140" s="45">
        <f>IF(COUNTIFS($C:$C,$C140,$D:$D,"기준(후)",$L:$L,"&gt;0")&lt;&gt;1,"",SUMIFS($H:$H,$C:$C,$C140,$D:$D,"기준(후)"))</f>
        <v/>
      </c>
      <c r="Q140" s="30">
        <f>IF(COUNTIFS($C:$C,$C140,$D:$D,"기준(후)",$L:$L,"&gt;0")&lt;&gt;1,"",SUMIFS($L:$L,$C:$C,$C140,$D:$D,"기준(후)"))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IF(OR($D139&lt;&gt;"측정",$C139&lt;&gt;$C140,NOT(ISNUMBER(L140)),NOT(ISNUMBER(L139)),(IF(ISNUMBER(F140),F140,E140)-IF(ISNUMBER(F139),F139,E139))=0),"",(L140-L139)/((IF(ISNUMBER(F140),F140,E140)-IF(ISNUMBER(F139),F139,E139))/100))</f>
        <v/>
      </c>
      <c r="U140" s="28" t="n"/>
      <c r="V140" s="28" t="n"/>
      <c r="W140" s="31" t="n"/>
    </row>
    <row r="141">
      <c r="A141" s="25" t="inlineStr">
        <is>
          <t>S12</t>
        </is>
      </c>
      <c r="B141" s="25" t="inlineStr">
        <is>
          <t>순창 신규점</t>
        </is>
      </c>
      <c r="C141" s="25" t="inlineStr">
        <is>
          <t>S12-V</t>
        </is>
      </c>
      <c r="D141" s="25" t="inlineStr">
        <is>
          <t>측정</t>
        </is>
      </c>
      <c r="E141" s="48" t="n">
        <v>80</v>
      </c>
      <c r="F141" s="40" t="n"/>
      <c r="G141" s="28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IF(COUNTIFS($C:$C,$C141,$D:$D,"기준(전)",$L:$L,"&gt;0")&lt;&gt;1,"기준(전) 유효 1개 아님",IF(COUNTIFS($C:$C,$C141,$D:$D,"기준(후)",$L:$L,"&gt;0")&lt;&gt;1,"기준(후) 유효 1개 아님",IF(NOT(AND(ISNUMBER(N141),ISNUMBER(P141),ISNUMBER(H141))),"시각 결측",IF(P141&lt;=N141,"기준 시각 역전",IF(OR(H141&lt;N141,H141&gt;P141),"측정시각 구간 밖","OK")))))</f>
        <v/>
      </c>
      <c r="N141" s="45">
        <f>IF(COUNTIFS($C:$C,$C141,$D:$D,"기준(전)",$L:$L,"&gt;0")&lt;&gt;1,"",SUMIFS($H:$H,$C:$C,$C141,$D:$D,"기준(전)"))</f>
        <v/>
      </c>
      <c r="O141" s="30">
        <f>IF(COUNTIFS($C:$C,$C141,$D:$D,"기준(전)",$L:$L,"&gt;0")&lt;&gt;1,"",SUMIFS($L:$L,$C:$C,$C141,$D:$D,"기준(전)"))</f>
        <v/>
      </c>
      <c r="P141" s="45">
        <f>IF(COUNTIFS($C:$C,$C141,$D:$D,"기준(후)",$L:$L,"&gt;0")&lt;&gt;1,"",SUMIFS($H:$H,$C:$C,$C141,$D:$D,"기준(후)"))</f>
        <v/>
      </c>
      <c r="Q141" s="30">
        <f>IF(COUNTIFS($C:$C,$C141,$D:$D,"기준(후)",$L:$L,"&gt;0")&lt;&gt;1,"",SUMIFS($L:$L,$C:$C,$C141,$D:$D,"기준(후)"))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IF(OR($D140&lt;&gt;"측정",$C140&lt;&gt;$C141,NOT(ISNUMBER(L141)),NOT(ISNUMBER(L140)),(IF(ISNUMBER(F141),F141,E141)-IF(ISNUMBER(F140),F140,E140))=0),"",(L141-L140)/((IF(ISNUMBER(F141),F141,E141)-IF(ISNUMBER(F140),F140,E140))/100))</f>
        <v/>
      </c>
      <c r="U141" s="28" t="n"/>
      <c r="V141" s="28" t="n"/>
      <c r="W141" s="31" t="n"/>
    </row>
    <row r="142">
      <c r="A142" s="25" t="inlineStr">
        <is>
          <t>S12</t>
        </is>
      </c>
      <c r="B142" s="25" t="inlineStr">
        <is>
          <t>순창 신규점</t>
        </is>
      </c>
      <c r="C142" s="25" t="inlineStr">
        <is>
          <t>S12-V</t>
        </is>
      </c>
      <c r="D142" s="25" t="inlineStr">
        <is>
          <t>측정</t>
        </is>
      </c>
      <c r="E142" s="48" t="n">
        <v>100</v>
      </c>
      <c r="F142" s="40" t="n"/>
      <c r="G142" s="28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IF(COUNTIFS($C:$C,$C142,$D:$D,"기준(전)",$L:$L,"&gt;0")&lt;&gt;1,"기준(전) 유효 1개 아님",IF(COUNTIFS($C:$C,$C142,$D:$D,"기준(후)",$L:$L,"&gt;0")&lt;&gt;1,"기준(후) 유효 1개 아님",IF(NOT(AND(ISNUMBER(N142),ISNUMBER(P142),ISNUMBER(H142))),"시각 결측",IF(P142&lt;=N142,"기준 시각 역전",IF(OR(H142&lt;N142,H142&gt;P142),"측정시각 구간 밖","OK")))))</f>
        <v/>
      </c>
      <c r="N142" s="45">
        <f>IF(COUNTIFS($C:$C,$C142,$D:$D,"기준(전)",$L:$L,"&gt;0")&lt;&gt;1,"",SUMIFS($H:$H,$C:$C,$C142,$D:$D,"기준(전)"))</f>
        <v/>
      </c>
      <c r="O142" s="30">
        <f>IF(COUNTIFS($C:$C,$C142,$D:$D,"기준(전)",$L:$L,"&gt;0")&lt;&gt;1,"",SUMIFS($L:$L,$C:$C,$C142,$D:$D,"기준(전)"))</f>
        <v/>
      </c>
      <c r="P142" s="45">
        <f>IF(COUNTIFS($C:$C,$C142,$D:$D,"기준(후)",$L:$L,"&gt;0")&lt;&gt;1,"",SUMIFS($H:$H,$C:$C,$C142,$D:$D,"기준(후)"))</f>
        <v/>
      </c>
      <c r="Q142" s="30">
        <f>IF(COUNTIFS($C:$C,$C142,$D:$D,"기준(후)",$L:$L,"&gt;0")&lt;&gt;1,"",SUMIFS($L:$L,$C:$C,$C142,$D:$D,"기준(후)"))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IF(OR($D141&lt;&gt;"측정",$C141&lt;&gt;$C142,NOT(ISNUMBER(L142)),NOT(ISNUMBER(L141)),(IF(ISNUMBER(F142),F142,E142)-IF(ISNUMBER(F141),F141,E141))=0),"",(L142-L141)/((IF(ISNUMBER(F142),F142,E142)-IF(ISNUMBER(F141),F141,E141))/100))</f>
        <v/>
      </c>
      <c r="U142" s="28" t="n"/>
      <c r="V142" s="28" t="n"/>
      <c r="W142" s="31" t="n"/>
    </row>
    <row r="143">
      <c r="A143" s="25" t="inlineStr">
        <is>
          <t>S12</t>
        </is>
      </c>
      <c r="B143" s="25" t="inlineStr">
        <is>
          <t>순창 신규점</t>
        </is>
      </c>
      <c r="C143" s="25" t="inlineStr">
        <is>
          <t>S12-V</t>
        </is>
      </c>
      <c r="D143" s="25" t="inlineStr">
        <is>
          <t>측정</t>
        </is>
      </c>
      <c r="E143" s="48" t="n">
        <v>120</v>
      </c>
      <c r="F143" s="40" t="n"/>
      <c r="G143" s="28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IF(COUNTIFS($C:$C,$C143,$D:$D,"기준(전)",$L:$L,"&gt;0")&lt;&gt;1,"기준(전) 유효 1개 아님",IF(COUNTIFS($C:$C,$C143,$D:$D,"기준(후)",$L:$L,"&gt;0")&lt;&gt;1,"기준(후) 유효 1개 아님",IF(NOT(AND(ISNUMBER(N143),ISNUMBER(P143),ISNUMBER(H143))),"시각 결측",IF(P143&lt;=N143,"기준 시각 역전",IF(OR(H143&lt;N143,H143&gt;P143),"측정시각 구간 밖","OK")))))</f>
        <v/>
      </c>
      <c r="N143" s="45">
        <f>IF(COUNTIFS($C:$C,$C143,$D:$D,"기준(전)",$L:$L,"&gt;0")&lt;&gt;1,"",SUMIFS($H:$H,$C:$C,$C143,$D:$D,"기준(전)"))</f>
        <v/>
      </c>
      <c r="O143" s="30">
        <f>IF(COUNTIFS($C:$C,$C143,$D:$D,"기준(전)",$L:$L,"&gt;0")&lt;&gt;1,"",SUMIFS($L:$L,$C:$C,$C143,$D:$D,"기준(전)"))</f>
        <v/>
      </c>
      <c r="P143" s="45">
        <f>IF(COUNTIFS($C:$C,$C143,$D:$D,"기준(후)",$L:$L,"&gt;0")&lt;&gt;1,"",SUMIFS($H:$H,$C:$C,$C143,$D:$D,"기준(후)"))</f>
        <v/>
      </c>
      <c r="Q143" s="30">
        <f>IF(COUNTIFS($C:$C,$C143,$D:$D,"기준(후)",$L:$L,"&gt;0")&lt;&gt;1,"",SUMIFS($L:$L,$C:$C,$C143,$D:$D,"기준(후)"))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IF(OR($D142&lt;&gt;"측정",$C142&lt;&gt;$C143,NOT(ISNUMBER(L143)),NOT(ISNUMBER(L142)),(IF(ISNUMBER(F143),F143,E143)-IF(ISNUMBER(F142),F142,E142))=0),"",(L143-L142)/((IF(ISNUMBER(F143),F143,E143)-IF(ISNUMBER(F142),F142,E142))/100))</f>
        <v/>
      </c>
      <c r="U143" s="28" t="n"/>
      <c r="V143" s="28" t="n"/>
      <c r="W143" s="31" t="n"/>
    </row>
    <row r="144">
      <c r="A144" s="25" t="inlineStr">
        <is>
          <t>S12</t>
        </is>
      </c>
      <c r="B144" s="25" t="inlineStr">
        <is>
          <t>순창 신규점</t>
        </is>
      </c>
      <c r="C144" s="25" t="inlineStr">
        <is>
          <t>S12-V</t>
        </is>
      </c>
      <c r="D144" s="25" t="inlineStr">
        <is>
          <t>측정</t>
        </is>
      </c>
      <c r="E144" s="48" t="n">
        <v>140</v>
      </c>
      <c r="F144" s="40" t="n"/>
      <c r="G144" s="28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IF(COUNTIFS($C:$C,$C144,$D:$D,"기준(전)",$L:$L,"&gt;0")&lt;&gt;1,"기준(전) 유효 1개 아님",IF(COUNTIFS($C:$C,$C144,$D:$D,"기준(후)",$L:$L,"&gt;0")&lt;&gt;1,"기준(후) 유효 1개 아님",IF(NOT(AND(ISNUMBER(N144),ISNUMBER(P144),ISNUMBER(H144))),"시각 결측",IF(P144&lt;=N144,"기준 시각 역전",IF(OR(H144&lt;N144,H144&gt;P144),"측정시각 구간 밖","OK")))))</f>
        <v/>
      </c>
      <c r="N144" s="45">
        <f>IF(COUNTIFS($C:$C,$C144,$D:$D,"기준(전)",$L:$L,"&gt;0")&lt;&gt;1,"",SUMIFS($H:$H,$C:$C,$C144,$D:$D,"기준(전)"))</f>
        <v/>
      </c>
      <c r="O144" s="30">
        <f>IF(COUNTIFS($C:$C,$C144,$D:$D,"기준(전)",$L:$L,"&gt;0")&lt;&gt;1,"",SUMIFS($L:$L,$C:$C,$C144,$D:$D,"기준(전)"))</f>
        <v/>
      </c>
      <c r="P144" s="45">
        <f>IF(COUNTIFS($C:$C,$C144,$D:$D,"기준(후)",$L:$L,"&gt;0")&lt;&gt;1,"",SUMIFS($H:$H,$C:$C,$C144,$D:$D,"기준(후)"))</f>
        <v/>
      </c>
      <c r="Q144" s="30">
        <f>IF(COUNTIFS($C:$C,$C144,$D:$D,"기준(후)",$L:$L,"&gt;0")&lt;&gt;1,"",SUMIFS($L:$L,$C:$C,$C144,$D:$D,"기준(후)"))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IF(OR($D143&lt;&gt;"측정",$C143&lt;&gt;$C144,NOT(ISNUMBER(L144)),NOT(ISNUMBER(L143)),(IF(ISNUMBER(F144),F144,E144)-IF(ISNUMBER(F143),F143,E143))=0),"",(L144-L143)/((IF(ISNUMBER(F144),F144,E144)-IF(ISNUMBER(F143),F143,E143))/100))</f>
        <v/>
      </c>
      <c r="U144" s="28" t="n"/>
      <c r="V144" s="28" t="n"/>
      <c r="W144" s="31" t="n"/>
    </row>
    <row r="145">
      <c r="A145" s="25" t="inlineStr">
        <is>
          <t>S12</t>
        </is>
      </c>
      <c r="B145" s="25" t="inlineStr">
        <is>
          <t>순창 신규점</t>
        </is>
      </c>
      <c r="C145" s="25" t="inlineStr">
        <is>
          <t>S12-V</t>
        </is>
      </c>
      <c r="D145" s="25" t="inlineStr">
        <is>
          <t>측정</t>
        </is>
      </c>
      <c r="E145" s="48" t="n">
        <v>160</v>
      </c>
      <c r="F145" s="40" t="n"/>
      <c r="G145" s="28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IF(COUNTIFS($C:$C,$C145,$D:$D,"기준(전)",$L:$L,"&gt;0")&lt;&gt;1,"기준(전) 유효 1개 아님",IF(COUNTIFS($C:$C,$C145,$D:$D,"기준(후)",$L:$L,"&gt;0")&lt;&gt;1,"기준(후) 유효 1개 아님",IF(NOT(AND(ISNUMBER(N145),ISNUMBER(P145),ISNUMBER(H145))),"시각 결측",IF(P145&lt;=N145,"기준 시각 역전",IF(OR(H145&lt;N145,H145&gt;P145),"측정시각 구간 밖","OK")))))</f>
        <v/>
      </c>
      <c r="N145" s="45">
        <f>IF(COUNTIFS($C:$C,$C145,$D:$D,"기준(전)",$L:$L,"&gt;0")&lt;&gt;1,"",SUMIFS($H:$H,$C:$C,$C145,$D:$D,"기준(전)"))</f>
        <v/>
      </c>
      <c r="O145" s="30">
        <f>IF(COUNTIFS($C:$C,$C145,$D:$D,"기준(전)",$L:$L,"&gt;0")&lt;&gt;1,"",SUMIFS($L:$L,$C:$C,$C145,$D:$D,"기준(전)"))</f>
        <v/>
      </c>
      <c r="P145" s="45">
        <f>IF(COUNTIFS($C:$C,$C145,$D:$D,"기준(후)",$L:$L,"&gt;0")&lt;&gt;1,"",SUMIFS($H:$H,$C:$C,$C145,$D:$D,"기준(후)"))</f>
        <v/>
      </c>
      <c r="Q145" s="30">
        <f>IF(COUNTIFS($C:$C,$C145,$D:$D,"기준(후)",$L:$L,"&gt;0")&lt;&gt;1,"",SUMIFS($L:$L,$C:$C,$C145,$D:$D,"기준(후)"))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IF(OR($D144&lt;&gt;"측정",$C144&lt;&gt;$C145,NOT(ISNUMBER(L145)),NOT(ISNUMBER(L144)),(IF(ISNUMBER(F145),F145,E145)-IF(ISNUMBER(F144),F144,E144))=0),"",(L145-L144)/((IF(ISNUMBER(F145),F145,E145)-IF(ISNUMBER(F144),F144,E144))/100))</f>
        <v/>
      </c>
      <c r="U145" s="28" t="n"/>
      <c r="V145" s="28" t="n"/>
      <c r="W145" s="31" t="n"/>
    </row>
    <row r="146">
      <c r="A146" s="25" t="inlineStr">
        <is>
          <t>S12</t>
        </is>
      </c>
      <c r="B146" s="25" t="inlineStr">
        <is>
          <t>순창 신규점</t>
        </is>
      </c>
      <c r="C146" s="25" t="inlineStr">
        <is>
          <t>S12-V</t>
        </is>
      </c>
      <c r="D146" s="25" t="inlineStr">
        <is>
          <t>측정</t>
        </is>
      </c>
      <c r="E146" s="48" t="n">
        <v>180</v>
      </c>
      <c r="F146" s="40" t="n"/>
      <c r="G146" s="28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IF(COUNTIFS($C:$C,$C146,$D:$D,"기준(전)",$L:$L,"&gt;0")&lt;&gt;1,"기준(전) 유효 1개 아님",IF(COUNTIFS($C:$C,$C146,$D:$D,"기준(후)",$L:$L,"&gt;0")&lt;&gt;1,"기준(후) 유효 1개 아님",IF(NOT(AND(ISNUMBER(N146),ISNUMBER(P146),ISNUMBER(H146))),"시각 결측",IF(P146&lt;=N146,"기준 시각 역전",IF(OR(H146&lt;N146,H146&gt;P146),"측정시각 구간 밖","OK")))))</f>
        <v/>
      </c>
      <c r="N146" s="45">
        <f>IF(COUNTIFS($C:$C,$C146,$D:$D,"기준(전)",$L:$L,"&gt;0")&lt;&gt;1,"",SUMIFS($H:$H,$C:$C,$C146,$D:$D,"기준(전)"))</f>
        <v/>
      </c>
      <c r="O146" s="30">
        <f>IF(COUNTIFS($C:$C,$C146,$D:$D,"기준(전)",$L:$L,"&gt;0")&lt;&gt;1,"",SUMIFS($L:$L,$C:$C,$C146,$D:$D,"기준(전)"))</f>
        <v/>
      </c>
      <c r="P146" s="45">
        <f>IF(COUNTIFS($C:$C,$C146,$D:$D,"기준(후)",$L:$L,"&gt;0")&lt;&gt;1,"",SUMIFS($H:$H,$C:$C,$C146,$D:$D,"기준(후)"))</f>
        <v/>
      </c>
      <c r="Q146" s="30">
        <f>IF(COUNTIFS($C:$C,$C146,$D:$D,"기준(후)",$L:$L,"&gt;0")&lt;&gt;1,"",SUMIFS($L:$L,$C:$C,$C146,$D:$D,"기준(후)"))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IF(OR($D145&lt;&gt;"측정",$C145&lt;&gt;$C146,NOT(ISNUMBER(L146)),NOT(ISNUMBER(L145)),(IF(ISNUMBER(F146),F146,E146)-IF(ISNUMBER(F145),F145,E145))=0),"",(L146-L145)/((IF(ISNUMBER(F146),F146,E146)-IF(ISNUMBER(F145),F145,E145))/100))</f>
        <v/>
      </c>
      <c r="U146" s="28" t="n"/>
      <c r="V146" s="28" t="n"/>
      <c r="W146" s="31" t="n"/>
    </row>
    <row r="147">
      <c r="A147" s="25" t="inlineStr">
        <is>
          <t>S12</t>
        </is>
      </c>
      <c r="B147" s="25" t="inlineStr">
        <is>
          <t>순창 신규점</t>
        </is>
      </c>
      <c r="C147" s="25" t="inlineStr">
        <is>
          <t>S12-V</t>
        </is>
      </c>
      <c r="D147" s="25" t="inlineStr">
        <is>
          <t>측정</t>
        </is>
      </c>
      <c r="E147" s="48" t="n">
        <v>200</v>
      </c>
      <c r="F147" s="40" t="n"/>
      <c r="G147" s="28" t="n"/>
      <c r="H147" s="42" t="n"/>
      <c r="I147" s="40" t="n"/>
      <c r="J147" s="40" t="n"/>
      <c r="K147" s="40" t="n"/>
      <c r="L147" s="30">
        <f>IF(COUNT(I147:K147)=0,"",MEDIAN(I147:K147))</f>
        <v/>
      </c>
      <c r="M147" s="25">
        <f>IF(COUNTIFS($C:$C,$C147,$D:$D,"기준(전)",$L:$L,"&gt;0")&lt;&gt;1,"기준(전) 유효 1개 아님",IF(COUNTIFS($C:$C,$C147,$D:$D,"기준(후)",$L:$L,"&gt;0")&lt;&gt;1,"기준(후) 유효 1개 아님",IF(NOT(AND(ISNUMBER(N147),ISNUMBER(P147),ISNUMBER(H147))),"시각 결측",IF(P147&lt;=N147,"기준 시각 역전",IF(OR(H147&lt;N147,H147&gt;P147),"측정시각 구간 밖","OK")))))</f>
        <v/>
      </c>
      <c r="N147" s="45">
        <f>IF(COUNTIFS($C:$C,$C147,$D:$D,"기준(전)",$L:$L,"&gt;0")&lt;&gt;1,"",SUMIFS($H:$H,$C:$C,$C147,$D:$D,"기준(전)"))</f>
        <v/>
      </c>
      <c r="O147" s="30">
        <f>IF(COUNTIFS($C:$C,$C147,$D:$D,"기준(전)",$L:$L,"&gt;0")&lt;&gt;1,"",SUMIFS($L:$L,$C:$C,$C147,$D:$D,"기준(전)"))</f>
        <v/>
      </c>
      <c r="P147" s="45">
        <f>IF(COUNTIFS($C:$C,$C147,$D:$D,"기준(후)",$L:$L,"&gt;0")&lt;&gt;1,"",SUMIFS($H:$H,$C:$C,$C147,$D:$D,"기준(후)"))</f>
        <v/>
      </c>
      <c r="Q147" s="30">
        <f>IF(COUNTIFS($C:$C,$C147,$D:$D,"기준(후)",$L:$L,"&gt;0")&lt;&gt;1,"",SUMIFS($L:$L,$C:$C,$C147,$D:$D,"기준(후)"))</f>
        <v/>
      </c>
      <c r="R147" s="30">
        <f>IF(M147&lt;&gt;"OK","",O147+(Q147-O147)*(H147-N147)/(P147-N147))</f>
        <v/>
      </c>
      <c r="S147" s="30">
        <f>IF(OR(M147&lt;&gt;"OK",NOT(ISNUMBER(L147))),"",L147-R147)</f>
        <v/>
      </c>
      <c r="T147" s="46">
        <f>IF(OR($D146&lt;&gt;"측정",$C146&lt;&gt;$C147,NOT(ISNUMBER(L147)),NOT(ISNUMBER(L146)),(IF(ISNUMBER(F147),F147,E147)-IF(ISNUMBER(F146),F146,E146))=0),"",(L147-L146)/((IF(ISNUMBER(F147),F147,E147)-IF(ISNUMBER(F146),F146,E146))/100))</f>
        <v/>
      </c>
      <c r="U147" s="28" t="n"/>
      <c r="V147" s="28" t="n"/>
      <c r="W147" s="31" t="n"/>
    </row>
    <row r="148">
      <c r="A148" s="43" t="inlineStr">
        <is>
          <t>S12</t>
        </is>
      </c>
      <c r="B148" s="43" t="inlineStr">
        <is>
          <t>순창 신규점</t>
        </is>
      </c>
      <c r="C148" s="43" t="inlineStr">
        <is>
          <t>S12-V</t>
        </is>
      </c>
      <c r="D148" s="43" t="inlineStr">
        <is>
          <t>기준(후)</t>
        </is>
      </c>
      <c r="E148" s="47" t="n"/>
      <c r="F148" s="40" t="n"/>
      <c r="G148" s="28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28" t="n"/>
      <c r="V148" s="28" t="n"/>
      <c r="W148" s="31" t="n"/>
    </row>
    <row r="149">
      <c r="A149" s="43" t="inlineStr">
        <is>
          <t>S13</t>
        </is>
      </c>
      <c r="B149" s="43" t="inlineStr">
        <is>
          <t>순천 신규점</t>
        </is>
      </c>
      <c r="C149" s="43" t="inlineStr">
        <is>
          <t>S13-V</t>
        </is>
      </c>
      <c r="D149" s="43" t="inlineStr">
        <is>
          <t>기준(전)</t>
        </is>
      </c>
      <c r="E149" s="47" t="n"/>
      <c r="F149" s="40" t="n"/>
      <c r="G149" s="28" t="n"/>
      <c r="H149" s="42" t="n"/>
      <c r="I149" s="40" t="n"/>
      <c r="J149" s="40" t="n"/>
      <c r="K149" s="40" t="n"/>
      <c r="L149" s="30">
        <f>IF(COUNT(I149:K149)=0,"",MEDIAN(I149:K149))</f>
        <v/>
      </c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28" t="n"/>
      <c r="V149" s="28" t="n"/>
      <c r="W149" s="31" t="n"/>
    </row>
    <row r="150">
      <c r="A150" s="25" t="inlineStr">
        <is>
          <t>S13</t>
        </is>
      </c>
      <c r="B150" s="25" t="inlineStr">
        <is>
          <t>순천 신규점</t>
        </is>
      </c>
      <c r="C150" s="25" t="inlineStr">
        <is>
          <t>S13-V</t>
        </is>
      </c>
      <c r="D150" s="25" t="inlineStr">
        <is>
          <t>측정</t>
        </is>
      </c>
      <c r="E150" s="48" t="n">
        <v>20</v>
      </c>
      <c r="F150" s="40" t="n"/>
      <c r="G150" s="28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IF(COUNTIFS($C:$C,$C150,$D:$D,"기준(전)",$L:$L,"&gt;0")&lt;&gt;1,"기준(전) 유효 1개 아님",IF(COUNTIFS($C:$C,$C150,$D:$D,"기준(후)",$L:$L,"&gt;0")&lt;&gt;1,"기준(후) 유효 1개 아님",IF(NOT(AND(ISNUMBER(N150),ISNUMBER(P150),ISNUMBER(H150))),"시각 결측",IF(P150&lt;=N150,"기준 시각 역전",IF(OR(H150&lt;N150,H150&gt;P150),"측정시각 구간 밖","OK")))))</f>
        <v/>
      </c>
      <c r="N150" s="45">
        <f>IF(COUNTIFS($C:$C,$C150,$D:$D,"기준(전)",$L:$L,"&gt;0")&lt;&gt;1,"",SUMIFS($H:$H,$C:$C,$C150,$D:$D,"기준(전)"))</f>
        <v/>
      </c>
      <c r="O150" s="30">
        <f>IF(COUNTIFS($C:$C,$C150,$D:$D,"기준(전)",$L:$L,"&gt;0")&lt;&gt;1,"",SUMIFS($L:$L,$C:$C,$C150,$D:$D,"기준(전)"))</f>
        <v/>
      </c>
      <c r="P150" s="45">
        <f>IF(COUNTIFS($C:$C,$C150,$D:$D,"기준(후)",$L:$L,"&gt;0")&lt;&gt;1,"",SUMIFS($H:$H,$C:$C,$C150,$D:$D,"기준(후)"))</f>
        <v/>
      </c>
      <c r="Q150" s="30">
        <f>IF(COUNTIFS($C:$C,$C150,$D:$D,"기준(후)",$L:$L,"&gt;0")&lt;&gt;1,"",SUMIFS($L:$L,$C:$C,$C150,$D:$D,"기준(후)"))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IF(OR($D149&lt;&gt;"측정",$C149&lt;&gt;$C150,NOT(ISNUMBER(L150)),NOT(ISNUMBER(L149)),(IF(ISNUMBER(F150),F150,E150)-IF(ISNUMBER(F149),F149,E149))=0),"",(L150-L149)/((IF(ISNUMBER(F150),F150,E150)-IF(ISNUMBER(F149),F149,E149))/100))</f>
        <v/>
      </c>
      <c r="U150" s="28" t="n"/>
      <c r="V150" s="28" t="n"/>
      <c r="W150" s="31" t="n"/>
    </row>
    <row r="151">
      <c r="A151" s="25" t="inlineStr">
        <is>
          <t>S13</t>
        </is>
      </c>
      <c r="B151" s="25" t="inlineStr">
        <is>
          <t>순천 신규점</t>
        </is>
      </c>
      <c r="C151" s="25" t="inlineStr">
        <is>
          <t>S13-V</t>
        </is>
      </c>
      <c r="D151" s="25" t="inlineStr">
        <is>
          <t>측정</t>
        </is>
      </c>
      <c r="E151" s="48" t="n">
        <v>40</v>
      </c>
      <c r="F151" s="40" t="n"/>
      <c r="G151" s="28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IF(COUNTIFS($C:$C,$C151,$D:$D,"기준(전)",$L:$L,"&gt;0")&lt;&gt;1,"기준(전) 유효 1개 아님",IF(COUNTIFS($C:$C,$C151,$D:$D,"기준(후)",$L:$L,"&gt;0")&lt;&gt;1,"기준(후) 유효 1개 아님",IF(NOT(AND(ISNUMBER(N151),ISNUMBER(P151),ISNUMBER(H151))),"시각 결측",IF(P151&lt;=N151,"기준 시각 역전",IF(OR(H151&lt;N151,H151&gt;P151),"측정시각 구간 밖","OK")))))</f>
        <v/>
      </c>
      <c r="N151" s="45">
        <f>IF(COUNTIFS($C:$C,$C151,$D:$D,"기준(전)",$L:$L,"&gt;0")&lt;&gt;1,"",SUMIFS($H:$H,$C:$C,$C151,$D:$D,"기준(전)"))</f>
        <v/>
      </c>
      <c r="O151" s="30">
        <f>IF(COUNTIFS($C:$C,$C151,$D:$D,"기준(전)",$L:$L,"&gt;0")&lt;&gt;1,"",SUMIFS($L:$L,$C:$C,$C151,$D:$D,"기준(전)"))</f>
        <v/>
      </c>
      <c r="P151" s="45">
        <f>IF(COUNTIFS($C:$C,$C151,$D:$D,"기준(후)",$L:$L,"&gt;0")&lt;&gt;1,"",SUMIFS($H:$H,$C:$C,$C151,$D:$D,"기준(후)"))</f>
        <v/>
      </c>
      <c r="Q151" s="30">
        <f>IF(COUNTIFS($C:$C,$C151,$D:$D,"기준(후)",$L:$L,"&gt;0")&lt;&gt;1,"",SUMIFS($L:$L,$C:$C,$C151,$D:$D,"기준(후)"))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IF(OR($D150&lt;&gt;"측정",$C150&lt;&gt;$C151,NOT(ISNUMBER(L151)),NOT(ISNUMBER(L150)),(IF(ISNUMBER(F151),F151,E151)-IF(ISNUMBER(F150),F150,E150))=0),"",(L151-L150)/((IF(ISNUMBER(F151),F151,E151)-IF(ISNUMBER(F150),F150,E150))/100))</f>
        <v/>
      </c>
      <c r="U151" s="28" t="n"/>
      <c r="V151" s="28" t="n"/>
      <c r="W151" s="31" t="n"/>
    </row>
    <row r="152">
      <c r="A152" s="25" t="inlineStr">
        <is>
          <t>S13</t>
        </is>
      </c>
      <c r="B152" s="25" t="inlineStr">
        <is>
          <t>순천 신규점</t>
        </is>
      </c>
      <c r="C152" s="25" t="inlineStr">
        <is>
          <t>S13-V</t>
        </is>
      </c>
      <c r="D152" s="25" t="inlineStr">
        <is>
          <t>측정</t>
        </is>
      </c>
      <c r="E152" s="48" t="n">
        <v>60</v>
      </c>
      <c r="F152" s="40" t="n"/>
      <c r="G152" s="28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IF(COUNTIFS($C:$C,$C152,$D:$D,"기준(전)",$L:$L,"&gt;0")&lt;&gt;1,"기준(전) 유효 1개 아님",IF(COUNTIFS($C:$C,$C152,$D:$D,"기준(후)",$L:$L,"&gt;0")&lt;&gt;1,"기준(후) 유효 1개 아님",IF(NOT(AND(ISNUMBER(N152),ISNUMBER(P152),ISNUMBER(H152))),"시각 결측",IF(P152&lt;=N152,"기준 시각 역전",IF(OR(H152&lt;N152,H152&gt;P152),"측정시각 구간 밖","OK")))))</f>
        <v/>
      </c>
      <c r="N152" s="45">
        <f>IF(COUNTIFS($C:$C,$C152,$D:$D,"기준(전)",$L:$L,"&gt;0")&lt;&gt;1,"",SUMIFS($H:$H,$C:$C,$C152,$D:$D,"기준(전)"))</f>
        <v/>
      </c>
      <c r="O152" s="30">
        <f>IF(COUNTIFS($C:$C,$C152,$D:$D,"기준(전)",$L:$L,"&gt;0")&lt;&gt;1,"",SUMIFS($L:$L,$C:$C,$C152,$D:$D,"기준(전)"))</f>
        <v/>
      </c>
      <c r="P152" s="45">
        <f>IF(COUNTIFS($C:$C,$C152,$D:$D,"기준(후)",$L:$L,"&gt;0")&lt;&gt;1,"",SUMIFS($H:$H,$C:$C,$C152,$D:$D,"기준(후)"))</f>
        <v/>
      </c>
      <c r="Q152" s="30">
        <f>IF(COUNTIFS($C:$C,$C152,$D:$D,"기준(후)",$L:$L,"&gt;0")&lt;&gt;1,"",SUMIFS($L:$L,$C:$C,$C152,$D:$D,"기준(후)"))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IF(OR($D151&lt;&gt;"측정",$C151&lt;&gt;$C152,NOT(ISNUMBER(L152)),NOT(ISNUMBER(L151)),(IF(ISNUMBER(F152),F152,E152)-IF(ISNUMBER(F151),F151,E151))=0),"",(L152-L151)/((IF(ISNUMBER(F152),F152,E152)-IF(ISNUMBER(F151),F151,E151))/100))</f>
        <v/>
      </c>
      <c r="U152" s="28" t="n"/>
      <c r="V152" s="28" t="n"/>
      <c r="W152" s="31" t="n"/>
    </row>
    <row r="153">
      <c r="A153" s="25" t="inlineStr">
        <is>
          <t>S13</t>
        </is>
      </c>
      <c r="B153" s="25" t="inlineStr">
        <is>
          <t>순천 신규점</t>
        </is>
      </c>
      <c r="C153" s="25" t="inlineStr">
        <is>
          <t>S13-V</t>
        </is>
      </c>
      <c r="D153" s="25" t="inlineStr">
        <is>
          <t>측정</t>
        </is>
      </c>
      <c r="E153" s="48" t="n">
        <v>80</v>
      </c>
      <c r="F153" s="40" t="n"/>
      <c r="G153" s="28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IF(COUNTIFS($C:$C,$C153,$D:$D,"기준(전)",$L:$L,"&gt;0")&lt;&gt;1,"기준(전) 유효 1개 아님",IF(COUNTIFS($C:$C,$C153,$D:$D,"기준(후)",$L:$L,"&gt;0")&lt;&gt;1,"기준(후) 유효 1개 아님",IF(NOT(AND(ISNUMBER(N153),ISNUMBER(P153),ISNUMBER(H153))),"시각 결측",IF(P153&lt;=N153,"기준 시각 역전",IF(OR(H153&lt;N153,H153&gt;P153),"측정시각 구간 밖","OK")))))</f>
        <v/>
      </c>
      <c r="N153" s="45">
        <f>IF(COUNTIFS($C:$C,$C153,$D:$D,"기준(전)",$L:$L,"&gt;0")&lt;&gt;1,"",SUMIFS($H:$H,$C:$C,$C153,$D:$D,"기준(전)"))</f>
        <v/>
      </c>
      <c r="O153" s="30">
        <f>IF(COUNTIFS($C:$C,$C153,$D:$D,"기준(전)",$L:$L,"&gt;0")&lt;&gt;1,"",SUMIFS($L:$L,$C:$C,$C153,$D:$D,"기준(전)"))</f>
        <v/>
      </c>
      <c r="P153" s="45">
        <f>IF(COUNTIFS($C:$C,$C153,$D:$D,"기준(후)",$L:$L,"&gt;0")&lt;&gt;1,"",SUMIFS($H:$H,$C:$C,$C153,$D:$D,"기준(후)"))</f>
        <v/>
      </c>
      <c r="Q153" s="30">
        <f>IF(COUNTIFS($C:$C,$C153,$D:$D,"기준(후)",$L:$L,"&gt;0")&lt;&gt;1,"",SUMIFS($L:$L,$C:$C,$C153,$D:$D,"기준(후)"))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IF(OR($D152&lt;&gt;"측정",$C152&lt;&gt;$C153,NOT(ISNUMBER(L153)),NOT(ISNUMBER(L152)),(IF(ISNUMBER(F153),F153,E153)-IF(ISNUMBER(F152),F152,E152))=0),"",(L153-L152)/((IF(ISNUMBER(F153),F153,E153)-IF(ISNUMBER(F152),F152,E152))/100))</f>
        <v/>
      </c>
      <c r="U153" s="28" t="n"/>
      <c r="V153" s="28" t="n"/>
      <c r="W153" s="31" t="n"/>
    </row>
    <row r="154">
      <c r="A154" s="25" t="inlineStr">
        <is>
          <t>S13</t>
        </is>
      </c>
      <c r="B154" s="25" t="inlineStr">
        <is>
          <t>순천 신규점</t>
        </is>
      </c>
      <c r="C154" s="25" t="inlineStr">
        <is>
          <t>S13-V</t>
        </is>
      </c>
      <c r="D154" s="25" t="inlineStr">
        <is>
          <t>측정</t>
        </is>
      </c>
      <c r="E154" s="48" t="n">
        <v>100</v>
      </c>
      <c r="F154" s="40" t="n"/>
      <c r="G154" s="28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IF(COUNTIFS($C:$C,$C154,$D:$D,"기준(전)",$L:$L,"&gt;0")&lt;&gt;1,"기준(전) 유효 1개 아님",IF(COUNTIFS($C:$C,$C154,$D:$D,"기준(후)",$L:$L,"&gt;0")&lt;&gt;1,"기준(후) 유효 1개 아님",IF(NOT(AND(ISNUMBER(N154),ISNUMBER(P154),ISNUMBER(H154))),"시각 결측",IF(P154&lt;=N154,"기준 시각 역전",IF(OR(H154&lt;N154,H154&gt;P154),"측정시각 구간 밖","OK")))))</f>
        <v/>
      </c>
      <c r="N154" s="45">
        <f>IF(COUNTIFS($C:$C,$C154,$D:$D,"기준(전)",$L:$L,"&gt;0")&lt;&gt;1,"",SUMIFS($H:$H,$C:$C,$C154,$D:$D,"기준(전)"))</f>
        <v/>
      </c>
      <c r="O154" s="30">
        <f>IF(COUNTIFS($C:$C,$C154,$D:$D,"기준(전)",$L:$L,"&gt;0")&lt;&gt;1,"",SUMIFS($L:$L,$C:$C,$C154,$D:$D,"기준(전)"))</f>
        <v/>
      </c>
      <c r="P154" s="45">
        <f>IF(COUNTIFS($C:$C,$C154,$D:$D,"기준(후)",$L:$L,"&gt;0")&lt;&gt;1,"",SUMIFS($H:$H,$C:$C,$C154,$D:$D,"기준(후)"))</f>
        <v/>
      </c>
      <c r="Q154" s="30">
        <f>IF(COUNTIFS($C:$C,$C154,$D:$D,"기준(후)",$L:$L,"&gt;0")&lt;&gt;1,"",SUMIFS($L:$L,$C:$C,$C154,$D:$D,"기준(후)"))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IF(OR($D153&lt;&gt;"측정",$C153&lt;&gt;$C154,NOT(ISNUMBER(L154)),NOT(ISNUMBER(L153)),(IF(ISNUMBER(F154),F154,E154)-IF(ISNUMBER(F153),F153,E153))=0),"",(L154-L153)/((IF(ISNUMBER(F154),F154,E154)-IF(ISNUMBER(F153),F153,E153))/100))</f>
        <v/>
      </c>
      <c r="U154" s="28" t="n"/>
      <c r="V154" s="28" t="n"/>
      <c r="W154" s="31" t="n"/>
    </row>
    <row r="155">
      <c r="A155" s="25" t="inlineStr">
        <is>
          <t>S13</t>
        </is>
      </c>
      <c r="B155" s="25" t="inlineStr">
        <is>
          <t>순천 신규점</t>
        </is>
      </c>
      <c r="C155" s="25" t="inlineStr">
        <is>
          <t>S13-V</t>
        </is>
      </c>
      <c r="D155" s="25" t="inlineStr">
        <is>
          <t>측정</t>
        </is>
      </c>
      <c r="E155" s="48" t="n">
        <v>120</v>
      </c>
      <c r="F155" s="40" t="n"/>
      <c r="G155" s="28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IF(COUNTIFS($C:$C,$C155,$D:$D,"기준(전)",$L:$L,"&gt;0")&lt;&gt;1,"기준(전) 유효 1개 아님",IF(COUNTIFS($C:$C,$C155,$D:$D,"기준(후)",$L:$L,"&gt;0")&lt;&gt;1,"기준(후) 유효 1개 아님",IF(NOT(AND(ISNUMBER(N155),ISNUMBER(P155),ISNUMBER(H155))),"시각 결측",IF(P155&lt;=N155,"기준 시각 역전",IF(OR(H155&lt;N155,H155&gt;P155),"측정시각 구간 밖","OK")))))</f>
        <v/>
      </c>
      <c r="N155" s="45">
        <f>IF(COUNTIFS($C:$C,$C155,$D:$D,"기준(전)",$L:$L,"&gt;0")&lt;&gt;1,"",SUMIFS($H:$H,$C:$C,$C155,$D:$D,"기준(전)"))</f>
        <v/>
      </c>
      <c r="O155" s="30">
        <f>IF(COUNTIFS($C:$C,$C155,$D:$D,"기준(전)",$L:$L,"&gt;0")&lt;&gt;1,"",SUMIFS($L:$L,$C:$C,$C155,$D:$D,"기준(전)"))</f>
        <v/>
      </c>
      <c r="P155" s="45">
        <f>IF(COUNTIFS($C:$C,$C155,$D:$D,"기준(후)",$L:$L,"&gt;0")&lt;&gt;1,"",SUMIFS($H:$H,$C:$C,$C155,$D:$D,"기준(후)"))</f>
        <v/>
      </c>
      <c r="Q155" s="30">
        <f>IF(COUNTIFS($C:$C,$C155,$D:$D,"기준(후)",$L:$L,"&gt;0")&lt;&gt;1,"",SUMIFS($L:$L,$C:$C,$C155,$D:$D,"기준(후)"))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IF(OR($D154&lt;&gt;"측정",$C154&lt;&gt;$C155,NOT(ISNUMBER(L155)),NOT(ISNUMBER(L154)),(IF(ISNUMBER(F155),F155,E155)-IF(ISNUMBER(F154),F154,E154))=0),"",(L155-L154)/((IF(ISNUMBER(F155),F155,E155)-IF(ISNUMBER(F154),F154,E154))/100))</f>
        <v/>
      </c>
      <c r="U155" s="28" t="n"/>
      <c r="V155" s="28" t="n"/>
      <c r="W155" s="31" t="n"/>
    </row>
    <row r="156">
      <c r="A156" s="25" t="inlineStr">
        <is>
          <t>S13</t>
        </is>
      </c>
      <c r="B156" s="25" t="inlineStr">
        <is>
          <t>순천 신규점</t>
        </is>
      </c>
      <c r="C156" s="25" t="inlineStr">
        <is>
          <t>S13-V</t>
        </is>
      </c>
      <c r="D156" s="25" t="inlineStr">
        <is>
          <t>측정</t>
        </is>
      </c>
      <c r="E156" s="48" t="n">
        <v>140</v>
      </c>
      <c r="F156" s="40" t="n"/>
      <c r="G156" s="28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IF(COUNTIFS($C:$C,$C156,$D:$D,"기준(전)",$L:$L,"&gt;0")&lt;&gt;1,"기준(전) 유효 1개 아님",IF(COUNTIFS($C:$C,$C156,$D:$D,"기준(후)",$L:$L,"&gt;0")&lt;&gt;1,"기준(후) 유효 1개 아님",IF(NOT(AND(ISNUMBER(N156),ISNUMBER(P156),ISNUMBER(H156))),"시각 결측",IF(P156&lt;=N156,"기준 시각 역전",IF(OR(H156&lt;N156,H156&gt;P156),"측정시각 구간 밖","OK")))))</f>
        <v/>
      </c>
      <c r="N156" s="45">
        <f>IF(COUNTIFS($C:$C,$C156,$D:$D,"기준(전)",$L:$L,"&gt;0")&lt;&gt;1,"",SUMIFS($H:$H,$C:$C,$C156,$D:$D,"기준(전)"))</f>
        <v/>
      </c>
      <c r="O156" s="30">
        <f>IF(COUNTIFS($C:$C,$C156,$D:$D,"기준(전)",$L:$L,"&gt;0")&lt;&gt;1,"",SUMIFS($L:$L,$C:$C,$C156,$D:$D,"기준(전)"))</f>
        <v/>
      </c>
      <c r="P156" s="45">
        <f>IF(COUNTIFS($C:$C,$C156,$D:$D,"기준(후)",$L:$L,"&gt;0")&lt;&gt;1,"",SUMIFS($H:$H,$C:$C,$C156,$D:$D,"기준(후)"))</f>
        <v/>
      </c>
      <c r="Q156" s="30">
        <f>IF(COUNTIFS($C:$C,$C156,$D:$D,"기준(후)",$L:$L,"&gt;0")&lt;&gt;1,"",SUMIFS($L:$L,$C:$C,$C156,$D:$D,"기준(후)"))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IF(OR($D155&lt;&gt;"측정",$C155&lt;&gt;$C156,NOT(ISNUMBER(L156)),NOT(ISNUMBER(L155)),(IF(ISNUMBER(F156),F156,E156)-IF(ISNUMBER(F155),F155,E155))=0),"",(L156-L155)/((IF(ISNUMBER(F156),F156,E156)-IF(ISNUMBER(F155),F155,E155))/100))</f>
        <v/>
      </c>
      <c r="U156" s="28" t="n"/>
      <c r="V156" s="28" t="n"/>
      <c r="W156" s="31" t="n"/>
    </row>
    <row r="157">
      <c r="A157" s="25" t="inlineStr">
        <is>
          <t>S13</t>
        </is>
      </c>
      <c r="B157" s="25" t="inlineStr">
        <is>
          <t>순천 신규점</t>
        </is>
      </c>
      <c r="C157" s="25" t="inlineStr">
        <is>
          <t>S13-V</t>
        </is>
      </c>
      <c r="D157" s="25" t="inlineStr">
        <is>
          <t>측정</t>
        </is>
      </c>
      <c r="E157" s="48" t="n">
        <v>160</v>
      </c>
      <c r="F157" s="40" t="n"/>
      <c r="G157" s="28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IF(COUNTIFS($C:$C,$C157,$D:$D,"기준(전)",$L:$L,"&gt;0")&lt;&gt;1,"기준(전) 유효 1개 아님",IF(COUNTIFS($C:$C,$C157,$D:$D,"기준(후)",$L:$L,"&gt;0")&lt;&gt;1,"기준(후) 유효 1개 아님",IF(NOT(AND(ISNUMBER(N157),ISNUMBER(P157),ISNUMBER(H157))),"시각 결측",IF(P157&lt;=N157,"기준 시각 역전",IF(OR(H157&lt;N157,H157&gt;P157),"측정시각 구간 밖","OK")))))</f>
        <v/>
      </c>
      <c r="N157" s="45">
        <f>IF(COUNTIFS($C:$C,$C157,$D:$D,"기준(전)",$L:$L,"&gt;0")&lt;&gt;1,"",SUMIFS($H:$H,$C:$C,$C157,$D:$D,"기준(전)"))</f>
        <v/>
      </c>
      <c r="O157" s="30">
        <f>IF(COUNTIFS($C:$C,$C157,$D:$D,"기준(전)",$L:$L,"&gt;0")&lt;&gt;1,"",SUMIFS($L:$L,$C:$C,$C157,$D:$D,"기준(전)"))</f>
        <v/>
      </c>
      <c r="P157" s="45">
        <f>IF(COUNTIFS($C:$C,$C157,$D:$D,"기준(후)",$L:$L,"&gt;0")&lt;&gt;1,"",SUMIFS($H:$H,$C:$C,$C157,$D:$D,"기준(후)"))</f>
        <v/>
      </c>
      <c r="Q157" s="30">
        <f>IF(COUNTIFS($C:$C,$C157,$D:$D,"기준(후)",$L:$L,"&gt;0")&lt;&gt;1,"",SUMIFS($L:$L,$C:$C,$C157,$D:$D,"기준(후)"))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IF(OR($D156&lt;&gt;"측정",$C156&lt;&gt;$C157,NOT(ISNUMBER(L157)),NOT(ISNUMBER(L156)),(IF(ISNUMBER(F157),F157,E157)-IF(ISNUMBER(F156),F156,E156))=0),"",(L157-L156)/((IF(ISNUMBER(F157),F157,E157)-IF(ISNUMBER(F156),F156,E156))/100))</f>
        <v/>
      </c>
      <c r="U157" s="28" t="n"/>
      <c r="V157" s="28" t="n"/>
      <c r="W157" s="31" t="n"/>
    </row>
    <row r="158">
      <c r="A158" s="25" t="inlineStr">
        <is>
          <t>S13</t>
        </is>
      </c>
      <c r="B158" s="25" t="inlineStr">
        <is>
          <t>순천 신규점</t>
        </is>
      </c>
      <c r="C158" s="25" t="inlineStr">
        <is>
          <t>S13-V</t>
        </is>
      </c>
      <c r="D158" s="25" t="inlineStr">
        <is>
          <t>측정</t>
        </is>
      </c>
      <c r="E158" s="48" t="n">
        <v>180</v>
      </c>
      <c r="F158" s="40" t="n"/>
      <c r="G158" s="28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IF(COUNTIFS($C:$C,$C158,$D:$D,"기준(전)",$L:$L,"&gt;0")&lt;&gt;1,"기준(전) 유효 1개 아님",IF(COUNTIFS($C:$C,$C158,$D:$D,"기준(후)",$L:$L,"&gt;0")&lt;&gt;1,"기준(후) 유효 1개 아님",IF(NOT(AND(ISNUMBER(N158),ISNUMBER(P158),ISNUMBER(H158))),"시각 결측",IF(P158&lt;=N158,"기준 시각 역전",IF(OR(H158&lt;N158,H158&gt;P158),"측정시각 구간 밖","OK")))))</f>
        <v/>
      </c>
      <c r="N158" s="45">
        <f>IF(COUNTIFS($C:$C,$C158,$D:$D,"기준(전)",$L:$L,"&gt;0")&lt;&gt;1,"",SUMIFS($H:$H,$C:$C,$C158,$D:$D,"기준(전)"))</f>
        <v/>
      </c>
      <c r="O158" s="30">
        <f>IF(COUNTIFS($C:$C,$C158,$D:$D,"기준(전)",$L:$L,"&gt;0")&lt;&gt;1,"",SUMIFS($L:$L,$C:$C,$C158,$D:$D,"기준(전)"))</f>
        <v/>
      </c>
      <c r="P158" s="45">
        <f>IF(COUNTIFS($C:$C,$C158,$D:$D,"기준(후)",$L:$L,"&gt;0")&lt;&gt;1,"",SUMIFS($H:$H,$C:$C,$C158,$D:$D,"기준(후)"))</f>
        <v/>
      </c>
      <c r="Q158" s="30">
        <f>IF(COUNTIFS($C:$C,$C158,$D:$D,"기준(후)",$L:$L,"&gt;0")&lt;&gt;1,"",SUMIFS($L:$L,$C:$C,$C158,$D:$D,"기준(후)"))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IF(OR($D157&lt;&gt;"측정",$C157&lt;&gt;$C158,NOT(ISNUMBER(L158)),NOT(ISNUMBER(L157)),(IF(ISNUMBER(F158),F158,E158)-IF(ISNUMBER(F157),F157,E157))=0),"",(L158-L157)/((IF(ISNUMBER(F158),F158,E158)-IF(ISNUMBER(F157),F157,E157))/100))</f>
        <v/>
      </c>
      <c r="U158" s="28" t="n"/>
      <c r="V158" s="28" t="n"/>
      <c r="W158" s="31" t="n"/>
    </row>
    <row r="159">
      <c r="A159" s="25" t="inlineStr">
        <is>
          <t>S13</t>
        </is>
      </c>
      <c r="B159" s="25" t="inlineStr">
        <is>
          <t>순천 신규점</t>
        </is>
      </c>
      <c r="C159" s="25" t="inlineStr">
        <is>
          <t>S13-V</t>
        </is>
      </c>
      <c r="D159" s="25" t="inlineStr">
        <is>
          <t>측정</t>
        </is>
      </c>
      <c r="E159" s="48" t="n">
        <v>200</v>
      </c>
      <c r="F159" s="40" t="n"/>
      <c r="G159" s="28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IF(COUNTIFS($C:$C,$C159,$D:$D,"기준(전)",$L:$L,"&gt;0")&lt;&gt;1,"기준(전) 유효 1개 아님",IF(COUNTIFS($C:$C,$C159,$D:$D,"기준(후)",$L:$L,"&gt;0")&lt;&gt;1,"기준(후) 유효 1개 아님",IF(NOT(AND(ISNUMBER(N159),ISNUMBER(P159),ISNUMBER(H159))),"시각 결측",IF(P159&lt;=N159,"기준 시각 역전",IF(OR(H159&lt;N159,H159&gt;P159),"측정시각 구간 밖","OK")))))</f>
        <v/>
      </c>
      <c r="N159" s="45">
        <f>IF(COUNTIFS($C:$C,$C159,$D:$D,"기준(전)",$L:$L,"&gt;0")&lt;&gt;1,"",SUMIFS($H:$H,$C:$C,$C159,$D:$D,"기준(전)"))</f>
        <v/>
      </c>
      <c r="O159" s="30">
        <f>IF(COUNTIFS($C:$C,$C159,$D:$D,"기준(전)",$L:$L,"&gt;0")&lt;&gt;1,"",SUMIFS($L:$L,$C:$C,$C159,$D:$D,"기준(전)"))</f>
        <v/>
      </c>
      <c r="P159" s="45">
        <f>IF(COUNTIFS($C:$C,$C159,$D:$D,"기준(후)",$L:$L,"&gt;0")&lt;&gt;1,"",SUMIFS($H:$H,$C:$C,$C159,$D:$D,"기준(후)"))</f>
        <v/>
      </c>
      <c r="Q159" s="30">
        <f>IF(COUNTIFS($C:$C,$C159,$D:$D,"기준(후)",$L:$L,"&gt;0")&lt;&gt;1,"",SUMIFS($L:$L,$C:$C,$C159,$D:$D,"기준(후)"))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IF(OR($D158&lt;&gt;"측정",$C158&lt;&gt;$C159,NOT(ISNUMBER(L159)),NOT(ISNUMBER(L158)),(IF(ISNUMBER(F159),F159,E159)-IF(ISNUMBER(F158),F158,E158))=0),"",(L159-L158)/((IF(ISNUMBER(F159),F159,E159)-IF(ISNUMBER(F158),F158,E158))/100))</f>
        <v/>
      </c>
      <c r="U159" s="28" t="n"/>
      <c r="V159" s="28" t="n"/>
      <c r="W159" s="31" t="n"/>
    </row>
    <row r="160">
      <c r="A160" s="43" t="inlineStr">
        <is>
          <t>S13</t>
        </is>
      </c>
      <c r="B160" s="43" t="inlineStr">
        <is>
          <t>순천 신규점</t>
        </is>
      </c>
      <c r="C160" s="43" t="inlineStr">
        <is>
          <t>S13-V</t>
        </is>
      </c>
      <c r="D160" s="43" t="inlineStr">
        <is>
          <t>기준(후)</t>
        </is>
      </c>
      <c r="E160" s="47" t="n"/>
      <c r="F160" s="40" t="n"/>
      <c r="G160" s="28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28" t="n"/>
      <c r="V160" s="28" t="n"/>
      <c r="W160" s="31" t="n"/>
    </row>
    <row r="161">
      <c r="A161" s="43" t="inlineStr">
        <is>
          <t>S14</t>
        </is>
      </c>
      <c r="B161" s="43" t="inlineStr">
        <is>
          <t>청송 신규점1</t>
        </is>
      </c>
      <c r="C161" s="43" t="inlineStr">
        <is>
          <t>S14-V</t>
        </is>
      </c>
      <c r="D161" s="43" t="inlineStr">
        <is>
          <t>기준(전)</t>
        </is>
      </c>
      <c r="E161" s="47" t="n"/>
      <c r="F161" s="40" t="n"/>
      <c r="G161" s="28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28" t="n"/>
      <c r="V161" s="28" t="n"/>
      <c r="W161" s="31" t="n"/>
    </row>
    <row r="162">
      <c r="A162" s="25" t="inlineStr">
        <is>
          <t>S14</t>
        </is>
      </c>
      <c r="B162" s="25" t="inlineStr">
        <is>
          <t>청송 신규점1</t>
        </is>
      </c>
      <c r="C162" s="25" t="inlineStr">
        <is>
          <t>S14-V</t>
        </is>
      </c>
      <c r="D162" s="25" t="inlineStr">
        <is>
          <t>측정</t>
        </is>
      </c>
      <c r="E162" s="48" t="n">
        <v>20</v>
      </c>
      <c r="F162" s="40" t="n"/>
      <c r="G162" s="28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IF(COUNTIFS($C:$C,$C162,$D:$D,"기준(전)",$L:$L,"&gt;0")&lt;&gt;1,"기준(전) 유효 1개 아님",IF(COUNTIFS($C:$C,$C162,$D:$D,"기준(후)",$L:$L,"&gt;0")&lt;&gt;1,"기준(후) 유효 1개 아님",IF(NOT(AND(ISNUMBER(N162),ISNUMBER(P162),ISNUMBER(H162))),"시각 결측",IF(P162&lt;=N162,"기준 시각 역전",IF(OR(H162&lt;N162,H162&gt;P162),"측정시각 구간 밖","OK")))))</f>
        <v/>
      </c>
      <c r="N162" s="45">
        <f>IF(COUNTIFS($C:$C,$C162,$D:$D,"기준(전)",$L:$L,"&gt;0")&lt;&gt;1,"",SUMIFS($H:$H,$C:$C,$C162,$D:$D,"기준(전)"))</f>
        <v/>
      </c>
      <c r="O162" s="30">
        <f>IF(COUNTIFS($C:$C,$C162,$D:$D,"기준(전)",$L:$L,"&gt;0")&lt;&gt;1,"",SUMIFS($L:$L,$C:$C,$C162,$D:$D,"기준(전)"))</f>
        <v/>
      </c>
      <c r="P162" s="45">
        <f>IF(COUNTIFS($C:$C,$C162,$D:$D,"기준(후)",$L:$L,"&gt;0")&lt;&gt;1,"",SUMIFS($H:$H,$C:$C,$C162,$D:$D,"기준(후)"))</f>
        <v/>
      </c>
      <c r="Q162" s="30">
        <f>IF(COUNTIFS($C:$C,$C162,$D:$D,"기준(후)",$L:$L,"&gt;0")&lt;&gt;1,"",SUMIFS($L:$L,$C:$C,$C162,$D:$D,"기준(후)"))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IF(OR($D161&lt;&gt;"측정",$C161&lt;&gt;$C162,NOT(ISNUMBER(L162)),NOT(ISNUMBER(L161)),(IF(ISNUMBER(F162),F162,E162)-IF(ISNUMBER(F161),F161,E161))=0),"",(L162-L161)/((IF(ISNUMBER(F162),F162,E162)-IF(ISNUMBER(F161),F161,E161))/100))</f>
        <v/>
      </c>
      <c r="U162" s="28" t="n"/>
      <c r="V162" s="28" t="n"/>
      <c r="W162" s="31" t="n"/>
    </row>
    <row r="163">
      <c r="A163" s="25" t="inlineStr">
        <is>
          <t>S14</t>
        </is>
      </c>
      <c r="B163" s="25" t="inlineStr">
        <is>
          <t>청송 신규점1</t>
        </is>
      </c>
      <c r="C163" s="25" t="inlineStr">
        <is>
          <t>S14-V</t>
        </is>
      </c>
      <c r="D163" s="25" t="inlineStr">
        <is>
          <t>측정</t>
        </is>
      </c>
      <c r="E163" s="48" t="n">
        <v>40</v>
      </c>
      <c r="F163" s="40" t="n"/>
      <c r="G163" s="28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IF(COUNTIFS($C:$C,$C163,$D:$D,"기준(전)",$L:$L,"&gt;0")&lt;&gt;1,"기준(전) 유효 1개 아님",IF(COUNTIFS($C:$C,$C163,$D:$D,"기준(후)",$L:$L,"&gt;0")&lt;&gt;1,"기준(후) 유효 1개 아님",IF(NOT(AND(ISNUMBER(N163),ISNUMBER(P163),ISNUMBER(H163))),"시각 결측",IF(P163&lt;=N163,"기준 시각 역전",IF(OR(H163&lt;N163,H163&gt;P163),"측정시각 구간 밖","OK")))))</f>
        <v/>
      </c>
      <c r="N163" s="45">
        <f>IF(COUNTIFS($C:$C,$C163,$D:$D,"기준(전)",$L:$L,"&gt;0")&lt;&gt;1,"",SUMIFS($H:$H,$C:$C,$C163,$D:$D,"기준(전)"))</f>
        <v/>
      </c>
      <c r="O163" s="30">
        <f>IF(COUNTIFS($C:$C,$C163,$D:$D,"기준(전)",$L:$L,"&gt;0")&lt;&gt;1,"",SUMIFS($L:$L,$C:$C,$C163,$D:$D,"기준(전)"))</f>
        <v/>
      </c>
      <c r="P163" s="45">
        <f>IF(COUNTIFS($C:$C,$C163,$D:$D,"기준(후)",$L:$L,"&gt;0")&lt;&gt;1,"",SUMIFS($H:$H,$C:$C,$C163,$D:$D,"기준(후)"))</f>
        <v/>
      </c>
      <c r="Q163" s="30">
        <f>IF(COUNTIFS($C:$C,$C163,$D:$D,"기준(후)",$L:$L,"&gt;0")&lt;&gt;1,"",SUMIFS($L:$L,$C:$C,$C163,$D:$D,"기준(후)"))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IF(OR($D162&lt;&gt;"측정",$C162&lt;&gt;$C163,NOT(ISNUMBER(L163)),NOT(ISNUMBER(L162)),(IF(ISNUMBER(F163),F163,E163)-IF(ISNUMBER(F162),F162,E162))=0),"",(L163-L162)/((IF(ISNUMBER(F163),F163,E163)-IF(ISNUMBER(F162),F162,E162))/100))</f>
        <v/>
      </c>
      <c r="U163" s="28" t="n"/>
      <c r="V163" s="28" t="n"/>
      <c r="W163" s="31" t="n"/>
    </row>
    <row r="164">
      <c r="A164" s="25" t="inlineStr">
        <is>
          <t>S14</t>
        </is>
      </c>
      <c r="B164" s="25" t="inlineStr">
        <is>
          <t>청송 신규점1</t>
        </is>
      </c>
      <c r="C164" s="25" t="inlineStr">
        <is>
          <t>S14-V</t>
        </is>
      </c>
      <c r="D164" s="25" t="inlineStr">
        <is>
          <t>측정</t>
        </is>
      </c>
      <c r="E164" s="48" t="n">
        <v>60</v>
      </c>
      <c r="F164" s="40" t="n"/>
      <c r="G164" s="28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IF(COUNTIFS($C:$C,$C164,$D:$D,"기준(전)",$L:$L,"&gt;0")&lt;&gt;1,"기준(전) 유효 1개 아님",IF(COUNTIFS($C:$C,$C164,$D:$D,"기준(후)",$L:$L,"&gt;0")&lt;&gt;1,"기준(후) 유효 1개 아님",IF(NOT(AND(ISNUMBER(N164),ISNUMBER(P164),ISNUMBER(H164))),"시각 결측",IF(P164&lt;=N164,"기준 시각 역전",IF(OR(H164&lt;N164,H164&gt;P164),"측정시각 구간 밖","OK")))))</f>
        <v/>
      </c>
      <c r="N164" s="45">
        <f>IF(COUNTIFS($C:$C,$C164,$D:$D,"기준(전)",$L:$L,"&gt;0")&lt;&gt;1,"",SUMIFS($H:$H,$C:$C,$C164,$D:$D,"기준(전)"))</f>
        <v/>
      </c>
      <c r="O164" s="30">
        <f>IF(COUNTIFS($C:$C,$C164,$D:$D,"기준(전)",$L:$L,"&gt;0")&lt;&gt;1,"",SUMIFS($L:$L,$C:$C,$C164,$D:$D,"기준(전)"))</f>
        <v/>
      </c>
      <c r="P164" s="45">
        <f>IF(COUNTIFS($C:$C,$C164,$D:$D,"기준(후)",$L:$L,"&gt;0")&lt;&gt;1,"",SUMIFS($H:$H,$C:$C,$C164,$D:$D,"기준(후)"))</f>
        <v/>
      </c>
      <c r="Q164" s="30">
        <f>IF(COUNTIFS($C:$C,$C164,$D:$D,"기준(후)",$L:$L,"&gt;0")&lt;&gt;1,"",SUMIFS($L:$L,$C:$C,$C164,$D:$D,"기준(후)"))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IF(OR($D163&lt;&gt;"측정",$C163&lt;&gt;$C164,NOT(ISNUMBER(L164)),NOT(ISNUMBER(L163)),(IF(ISNUMBER(F164),F164,E164)-IF(ISNUMBER(F163),F163,E163))=0),"",(L164-L163)/((IF(ISNUMBER(F164),F164,E164)-IF(ISNUMBER(F163),F163,E163))/100))</f>
        <v/>
      </c>
      <c r="U164" s="28" t="n"/>
      <c r="V164" s="28" t="n"/>
      <c r="W164" s="31" t="n"/>
    </row>
    <row r="165">
      <c r="A165" s="25" t="inlineStr">
        <is>
          <t>S14</t>
        </is>
      </c>
      <c r="B165" s="25" t="inlineStr">
        <is>
          <t>청송 신규점1</t>
        </is>
      </c>
      <c r="C165" s="25" t="inlineStr">
        <is>
          <t>S14-V</t>
        </is>
      </c>
      <c r="D165" s="25" t="inlineStr">
        <is>
          <t>측정</t>
        </is>
      </c>
      <c r="E165" s="48" t="n">
        <v>80</v>
      </c>
      <c r="F165" s="40" t="n"/>
      <c r="G165" s="28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IF(COUNTIFS($C:$C,$C165,$D:$D,"기준(전)",$L:$L,"&gt;0")&lt;&gt;1,"기준(전) 유효 1개 아님",IF(COUNTIFS($C:$C,$C165,$D:$D,"기준(후)",$L:$L,"&gt;0")&lt;&gt;1,"기준(후) 유효 1개 아님",IF(NOT(AND(ISNUMBER(N165),ISNUMBER(P165),ISNUMBER(H165))),"시각 결측",IF(P165&lt;=N165,"기준 시각 역전",IF(OR(H165&lt;N165,H165&gt;P165),"측정시각 구간 밖","OK")))))</f>
        <v/>
      </c>
      <c r="N165" s="45">
        <f>IF(COUNTIFS($C:$C,$C165,$D:$D,"기준(전)",$L:$L,"&gt;0")&lt;&gt;1,"",SUMIFS($H:$H,$C:$C,$C165,$D:$D,"기준(전)"))</f>
        <v/>
      </c>
      <c r="O165" s="30">
        <f>IF(COUNTIFS($C:$C,$C165,$D:$D,"기준(전)",$L:$L,"&gt;0")&lt;&gt;1,"",SUMIFS($L:$L,$C:$C,$C165,$D:$D,"기준(전)"))</f>
        <v/>
      </c>
      <c r="P165" s="45">
        <f>IF(COUNTIFS($C:$C,$C165,$D:$D,"기준(후)",$L:$L,"&gt;0")&lt;&gt;1,"",SUMIFS($H:$H,$C:$C,$C165,$D:$D,"기준(후)"))</f>
        <v/>
      </c>
      <c r="Q165" s="30">
        <f>IF(COUNTIFS($C:$C,$C165,$D:$D,"기준(후)",$L:$L,"&gt;0")&lt;&gt;1,"",SUMIFS($L:$L,$C:$C,$C165,$D:$D,"기준(후)"))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IF(OR($D164&lt;&gt;"측정",$C164&lt;&gt;$C165,NOT(ISNUMBER(L165)),NOT(ISNUMBER(L164)),(IF(ISNUMBER(F165),F165,E165)-IF(ISNUMBER(F164),F164,E164))=0),"",(L165-L164)/((IF(ISNUMBER(F165),F165,E165)-IF(ISNUMBER(F164),F164,E164))/100))</f>
        <v/>
      </c>
      <c r="U165" s="28" t="n"/>
      <c r="V165" s="28" t="n"/>
      <c r="W165" s="31" t="n"/>
    </row>
    <row r="166">
      <c r="A166" s="25" t="inlineStr">
        <is>
          <t>S14</t>
        </is>
      </c>
      <c r="B166" s="25" t="inlineStr">
        <is>
          <t>청송 신규점1</t>
        </is>
      </c>
      <c r="C166" s="25" t="inlineStr">
        <is>
          <t>S14-V</t>
        </is>
      </c>
      <c r="D166" s="25" t="inlineStr">
        <is>
          <t>측정</t>
        </is>
      </c>
      <c r="E166" s="48" t="n">
        <v>100</v>
      </c>
      <c r="F166" s="40" t="n"/>
      <c r="G166" s="28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IF(COUNTIFS($C:$C,$C166,$D:$D,"기준(전)",$L:$L,"&gt;0")&lt;&gt;1,"기준(전) 유효 1개 아님",IF(COUNTIFS($C:$C,$C166,$D:$D,"기준(후)",$L:$L,"&gt;0")&lt;&gt;1,"기준(후) 유효 1개 아님",IF(NOT(AND(ISNUMBER(N166),ISNUMBER(P166),ISNUMBER(H166))),"시각 결측",IF(P166&lt;=N166,"기준 시각 역전",IF(OR(H166&lt;N166,H166&gt;P166),"측정시각 구간 밖","OK")))))</f>
        <v/>
      </c>
      <c r="N166" s="45">
        <f>IF(COUNTIFS($C:$C,$C166,$D:$D,"기준(전)",$L:$L,"&gt;0")&lt;&gt;1,"",SUMIFS($H:$H,$C:$C,$C166,$D:$D,"기준(전)"))</f>
        <v/>
      </c>
      <c r="O166" s="30">
        <f>IF(COUNTIFS($C:$C,$C166,$D:$D,"기준(전)",$L:$L,"&gt;0")&lt;&gt;1,"",SUMIFS($L:$L,$C:$C,$C166,$D:$D,"기준(전)"))</f>
        <v/>
      </c>
      <c r="P166" s="45">
        <f>IF(COUNTIFS($C:$C,$C166,$D:$D,"기준(후)",$L:$L,"&gt;0")&lt;&gt;1,"",SUMIFS($H:$H,$C:$C,$C166,$D:$D,"기준(후)"))</f>
        <v/>
      </c>
      <c r="Q166" s="30">
        <f>IF(COUNTIFS($C:$C,$C166,$D:$D,"기준(후)",$L:$L,"&gt;0")&lt;&gt;1,"",SUMIFS($L:$L,$C:$C,$C166,$D:$D,"기준(후)"))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IF(OR($D165&lt;&gt;"측정",$C165&lt;&gt;$C166,NOT(ISNUMBER(L166)),NOT(ISNUMBER(L165)),(IF(ISNUMBER(F166),F166,E166)-IF(ISNUMBER(F165),F165,E165))=0),"",(L166-L165)/((IF(ISNUMBER(F166),F166,E166)-IF(ISNUMBER(F165),F165,E165))/100))</f>
        <v/>
      </c>
      <c r="U166" s="28" t="n"/>
      <c r="V166" s="28" t="n"/>
      <c r="W166" s="31" t="n"/>
    </row>
    <row r="167">
      <c r="A167" s="25" t="inlineStr">
        <is>
          <t>S14</t>
        </is>
      </c>
      <c r="B167" s="25" t="inlineStr">
        <is>
          <t>청송 신규점1</t>
        </is>
      </c>
      <c r="C167" s="25" t="inlineStr">
        <is>
          <t>S14-V</t>
        </is>
      </c>
      <c r="D167" s="25" t="inlineStr">
        <is>
          <t>측정</t>
        </is>
      </c>
      <c r="E167" s="48" t="n">
        <v>120</v>
      </c>
      <c r="F167" s="40" t="n"/>
      <c r="G167" s="28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IF(COUNTIFS($C:$C,$C167,$D:$D,"기준(전)",$L:$L,"&gt;0")&lt;&gt;1,"기준(전) 유효 1개 아님",IF(COUNTIFS($C:$C,$C167,$D:$D,"기준(후)",$L:$L,"&gt;0")&lt;&gt;1,"기준(후) 유효 1개 아님",IF(NOT(AND(ISNUMBER(N167),ISNUMBER(P167),ISNUMBER(H167))),"시각 결측",IF(P167&lt;=N167,"기준 시각 역전",IF(OR(H167&lt;N167,H167&gt;P167),"측정시각 구간 밖","OK")))))</f>
        <v/>
      </c>
      <c r="N167" s="45">
        <f>IF(COUNTIFS($C:$C,$C167,$D:$D,"기준(전)",$L:$L,"&gt;0")&lt;&gt;1,"",SUMIFS($H:$H,$C:$C,$C167,$D:$D,"기준(전)"))</f>
        <v/>
      </c>
      <c r="O167" s="30">
        <f>IF(COUNTIFS($C:$C,$C167,$D:$D,"기준(전)",$L:$L,"&gt;0")&lt;&gt;1,"",SUMIFS($L:$L,$C:$C,$C167,$D:$D,"기준(전)"))</f>
        <v/>
      </c>
      <c r="P167" s="45">
        <f>IF(COUNTIFS($C:$C,$C167,$D:$D,"기준(후)",$L:$L,"&gt;0")&lt;&gt;1,"",SUMIFS($H:$H,$C:$C,$C167,$D:$D,"기준(후)"))</f>
        <v/>
      </c>
      <c r="Q167" s="30">
        <f>IF(COUNTIFS($C:$C,$C167,$D:$D,"기준(후)",$L:$L,"&gt;0")&lt;&gt;1,"",SUMIFS($L:$L,$C:$C,$C167,$D:$D,"기준(후)"))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IF(OR($D166&lt;&gt;"측정",$C166&lt;&gt;$C167,NOT(ISNUMBER(L167)),NOT(ISNUMBER(L166)),(IF(ISNUMBER(F167),F167,E167)-IF(ISNUMBER(F166),F166,E166))=0),"",(L167-L166)/((IF(ISNUMBER(F167),F167,E167)-IF(ISNUMBER(F166),F166,E166))/100))</f>
        <v/>
      </c>
      <c r="U167" s="28" t="n"/>
      <c r="V167" s="28" t="n"/>
      <c r="W167" s="31" t="n"/>
    </row>
    <row r="168">
      <c r="A168" s="25" t="inlineStr">
        <is>
          <t>S14</t>
        </is>
      </c>
      <c r="B168" s="25" t="inlineStr">
        <is>
          <t>청송 신규점1</t>
        </is>
      </c>
      <c r="C168" s="25" t="inlineStr">
        <is>
          <t>S14-V</t>
        </is>
      </c>
      <c r="D168" s="25" t="inlineStr">
        <is>
          <t>측정</t>
        </is>
      </c>
      <c r="E168" s="48" t="n">
        <v>140</v>
      </c>
      <c r="F168" s="40" t="n"/>
      <c r="G168" s="28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IF(COUNTIFS($C:$C,$C168,$D:$D,"기준(전)",$L:$L,"&gt;0")&lt;&gt;1,"기준(전) 유효 1개 아님",IF(COUNTIFS($C:$C,$C168,$D:$D,"기준(후)",$L:$L,"&gt;0")&lt;&gt;1,"기준(후) 유효 1개 아님",IF(NOT(AND(ISNUMBER(N168),ISNUMBER(P168),ISNUMBER(H168))),"시각 결측",IF(P168&lt;=N168,"기준 시각 역전",IF(OR(H168&lt;N168,H168&gt;P168),"측정시각 구간 밖","OK")))))</f>
        <v/>
      </c>
      <c r="N168" s="45">
        <f>IF(COUNTIFS($C:$C,$C168,$D:$D,"기준(전)",$L:$L,"&gt;0")&lt;&gt;1,"",SUMIFS($H:$H,$C:$C,$C168,$D:$D,"기준(전)"))</f>
        <v/>
      </c>
      <c r="O168" s="30">
        <f>IF(COUNTIFS($C:$C,$C168,$D:$D,"기준(전)",$L:$L,"&gt;0")&lt;&gt;1,"",SUMIFS($L:$L,$C:$C,$C168,$D:$D,"기준(전)"))</f>
        <v/>
      </c>
      <c r="P168" s="45">
        <f>IF(COUNTIFS($C:$C,$C168,$D:$D,"기준(후)",$L:$L,"&gt;0")&lt;&gt;1,"",SUMIFS($H:$H,$C:$C,$C168,$D:$D,"기준(후)"))</f>
        <v/>
      </c>
      <c r="Q168" s="30">
        <f>IF(COUNTIFS($C:$C,$C168,$D:$D,"기준(후)",$L:$L,"&gt;0")&lt;&gt;1,"",SUMIFS($L:$L,$C:$C,$C168,$D:$D,"기준(후)"))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IF(OR($D167&lt;&gt;"측정",$C167&lt;&gt;$C168,NOT(ISNUMBER(L168)),NOT(ISNUMBER(L167)),(IF(ISNUMBER(F168),F168,E168)-IF(ISNUMBER(F167),F167,E167))=0),"",(L168-L167)/((IF(ISNUMBER(F168),F168,E168)-IF(ISNUMBER(F167),F167,E167))/100))</f>
        <v/>
      </c>
      <c r="U168" s="28" t="n"/>
      <c r="V168" s="28" t="n"/>
      <c r="W168" s="31" t="n"/>
    </row>
    <row r="169">
      <c r="A169" s="25" t="inlineStr">
        <is>
          <t>S14</t>
        </is>
      </c>
      <c r="B169" s="25" t="inlineStr">
        <is>
          <t>청송 신규점1</t>
        </is>
      </c>
      <c r="C169" s="25" t="inlineStr">
        <is>
          <t>S14-V</t>
        </is>
      </c>
      <c r="D169" s="25" t="inlineStr">
        <is>
          <t>측정</t>
        </is>
      </c>
      <c r="E169" s="48" t="n">
        <v>160</v>
      </c>
      <c r="F169" s="40" t="n"/>
      <c r="G169" s="28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IF(COUNTIFS($C:$C,$C169,$D:$D,"기준(전)",$L:$L,"&gt;0")&lt;&gt;1,"기준(전) 유효 1개 아님",IF(COUNTIFS($C:$C,$C169,$D:$D,"기준(후)",$L:$L,"&gt;0")&lt;&gt;1,"기준(후) 유효 1개 아님",IF(NOT(AND(ISNUMBER(N169),ISNUMBER(P169),ISNUMBER(H169))),"시각 결측",IF(P169&lt;=N169,"기준 시각 역전",IF(OR(H169&lt;N169,H169&gt;P169),"측정시각 구간 밖","OK")))))</f>
        <v/>
      </c>
      <c r="N169" s="45">
        <f>IF(COUNTIFS($C:$C,$C169,$D:$D,"기준(전)",$L:$L,"&gt;0")&lt;&gt;1,"",SUMIFS($H:$H,$C:$C,$C169,$D:$D,"기준(전)"))</f>
        <v/>
      </c>
      <c r="O169" s="30">
        <f>IF(COUNTIFS($C:$C,$C169,$D:$D,"기준(전)",$L:$L,"&gt;0")&lt;&gt;1,"",SUMIFS($L:$L,$C:$C,$C169,$D:$D,"기준(전)"))</f>
        <v/>
      </c>
      <c r="P169" s="45">
        <f>IF(COUNTIFS($C:$C,$C169,$D:$D,"기준(후)",$L:$L,"&gt;0")&lt;&gt;1,"",SUMIFS($H:$H,$C:$C,$C169,$D:$D,"기준(후)"))</f>
        <v/>
      </c>
      <c r="Q169" s="30">
        <f>IF(COUNTIFS($C:$C,$C169,$D:$D,"기준(후)",$L:$L,"&gt;0")&lt;&gt;1,"",SUMIFS($L:$L,$C:$C,$C169,$D:$D,"기준(후)"))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IF(OR($D168&lt;&gt;"측정",$C168&lt;&gt;$C169,NOT(ISNUMBER(L169)),NOT(ISNUMBER(L168)),(IF(ISNUMBER(F169),F169,E169)-IF(ISNUMBER(F168),F168,E168))=0),"",(L169-L168)/((IF(ISNUMBER(F169),F169,E169)-IF(ISNUMBER(F168),F168,E168))/100))</f>
        <v/>
      </c>
      <c r="U169" s="28" t="n"/>
      <c r="V169" s="28" t="n"/>
      <c r="W169" s="31" t="n"/>
    </row>
    <row r="170">
      <c r="A170" s="25" t="inlineStr">
        <is>
          <t>S14</t>
        </is>
      </c>
      <c r="B170" s="25" t="inlineStr">
        <is>
          <t>청송 신규점1</t>
        </is>
      </c>
      <c r="C170" s="25" t="inlineStr">
        <is>
          <t>S14-V</t>
        </is>
      </c>
      <c r="D170" s="25" t="inlineStr">
        <is>
          <t>측정</t>
        </is>
      </c>
      <c r="E170" s="48" t="n">
        <v>180</v>
      </c>
      <c r="F170" s="40" t="n"/>
      <c r="G170" s="28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IF(COUNTIFS($C:$C,$C170,$D:$D,"기준(전)",$L:$L,"&gt;0")&lt;&gt;1,"기준(전) 유효 1개 아님",IF(COUNTIFS($C:$C,$C170,$D:$D,"기준(후)",$L:$L,"&gt;0")&lt;&gt;1,"기준(후) 유효 1개 아님",IF(NOT(AND(ISNUMBER(N170),ISNUMBER(P170),ISNUMBER(H170))),"시각 결측",IF(P170&lt;=N170,"기준 시각 역전",IF(OR(H170&lt;N170,H170&gt;P170),"측정시각 구간 밖","OK")))))</f>
        <v/>
      </c>
      <c r="N170" s="45">
        <f>IF(COUNTIFS($C:$C,$C170,$D:$D,"기준(전)",$L:$L,"&gt;0")&lt;&gt;1,"",SUMIFS($H:$H,$C:$C,$C170,$D:$D,"기준(전)"))</f>
        <v/>
      </c>
      <c r="O170" s="30">
        <f>IF(COUNTIFS($C:$C,$C170,$D:$D,"기준(전)",$L:$L,"&gt;0")&lt;&gt;1,"",SUMIFS($L:$L,$C:$C,$C170,$D:$D,"기준(전)"))</f>
        <v/>
      </c>
      <c r="P170" s="45">
        <f>IF(COUNTIFS($C:$C,$C170,$D:$D,"기준(후)",$L:$L,"&gt;0")&lt;&gt;1,"",SUMIFS($H:$H,$C:$C,$C170,$D:$D,"기준(후)"))</f>
        <v/>
      </c>
      <c r="Q170" s="30">
        <f>IF(COUNTIFS($C:$C,$C170,$D:$D,"기준(후)",$L:$L,"&gt;0")&lt;&gt;1,"",SUMIFS($L:$L,$C:$C,$C170,$D:$D,"기준(후)"))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IF(OR($D169&lt;&gt;"측정",$C169&lt;&gt;$C170,NOT(ISNUMBER(L170)),NOT(ISNUMBER(L169)),(IF(ISNUMBER(F170),F170,E170)-IF(ISNUMBER(F169),F169,E169))=0),"",(L170-L169)/((IF(ISNUMBER(F170),F170,E170)-IF(ISNUMBER(F169),F169,E169))/100))</f>
        <v/>
      </c>
      <c r="U170" s="28" t="n"/>
      <c r="V170" s="28" t="n"/>
      <c r="W170" s="31" t="n"/>
    </row>
    <row r="171">
      <c r="A171" s="25" t="inlineStr">
        <is>
          <t>S14</t>
        </is>
      </c>
      <c r="B171" s="25" t="inlineStr">
        <is>
          <t>청송 신규점1</t>
        </is>
      </c>
      <c r="C171" s="25" t="inlineStr">
        <is>
          <t>S14-V</t>
        </is>
      </c>
      <c r="D171" s="25" t="inlineStr">
        <is>
          <t>측정</t>
        </is>
      </c>
      <c r="E171" s="48" t="n">
        <v>200</v>
      </c>
      <c r="F171" s="40" t="n"/>
      <c r="G171" s="28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IF(COUNTIFS($C:$C,$C171,$D:$D,"기준(전)",$L:$L,"&gt;0")&lt;&gt;1,"기준(전) 유효 1개 아님",IF(COUNTIFS($C:$C,$C171,$D:$D,"기준(후)",$L:$L,"&gt;0")&lt;&gt;1,"기준(후) 유효 1개 아님",IF(NOT(AND(ISNUMBER(N171),ISNUMBER(P171),ISNUMBER(H171))),"시각 결측",IF(P171&lt;=N171,"기준 시각 역전",IF(OR(H171&lt;N171,H171&gt;P171),"측정시각 구간 밖","OK")))))</f>
        <v/>
      </c>
      <c r="N171" s="45">
        <f>IF(COUNTIFS($C:$C,$C171,$D:$D,"기준(전)",$L:$L,"&gt;0")&lt;&gt;1,"",SUMIFS($H:$H,$C:$C,$C171,$D:$D,"기준(전)"))</f>
        <v/>
      </c>
      <c r="O171" s="30">
        <f>IF(COUNTIFS($C:$C,$C171,$D:$D,"기준(전)",$L:$L,"&gt;0")&lt;&gt;1,"",SUMIFS($L:$L,$C:$C,$C171,$D:$D,"기준(전)"))</f>
        <v/>
      </c>
      <c r="P171" s="45">
        <f>IF(COUNTIFS($C:$C,$C171,$D:$D,"기준(후)",$L:$L,"&gt;0")&lt;&gt;1,"",SUMIFS($H:$H,$C:$C,$C171,$D:$D,"기준(후)"))</f>
        <v/>
      </c>
      <c r="Q171" s="30">
        <f>IF(COUNTIFS($C:$C,$C171,$D:$D,"기준(후)",$L:$L,"&gt;0")&lt;&gt;1,"",SUMIFS($L:$L,$C:$C,$C171,$D:$D,"기준(후)"))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IF(OR($D170&lt;&gt;"측정",$C170&lt;&gt;$C171,NOT(ISNUMBER(L171)),NOT(ISNUMBER(L170)),(IF(ISNUMBER(F171),F171,E171)-IF(ISNUMBER(F170),F170,E170))=0),"",(L171-L170)/((IF(ISNUMBER(F171),F171,E171)-IF(ISNUMBER(F170),F170,E170))/100))</f>
        <v/>
      </c>
      <c r="U171" s="28" t="n"/>
      <c r="V171" s="28" t="n"/>
      <c r="W171" s="31" t="n"/>
    </row>
    <row r="172">
      <c r="A172" s="43" t="inlineStr">
        <is>
          <t>S14</t>
        </is>
      </c>
      <c r="B172" s="43" t="inlineStr">
        <is>
          <t>청송 신규점1</t>
        </is>
      </c>
      <c r="C172" s="43" t="inlineStr">
        <is>
          <t>S14-V</t>
        </is>
      </c>
      <c r="D172" s="43" t="inlineStr">
        <is>
          <t>기준(후)</t>
        </is>
      </c>
      <c r="E172" s="47" t="n"/>
      <c r="F172" s="40" t="n"/>
      <c r="G172" s="28" t="n"/>
      <c r="H172" s="42" t="n"/>
      <c r="I172" s="40" t="n"/>
      <c r="J172" s="40" t="n"/>
      <c r="K172" s="40" t="n"/>
      <c r="L172" s="30">
        <f>IF(COUNT(I172:K172)=0,"",MEDIAN(I172:K172))</f>
        <v/>
      </c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28" t="n"/>
      <c r="V172" s="28" t="n"/>
      <c r="W172" s="31" t="n"/>
    </row>
    <row r="173">
      <c r="A173" s="43" t="inlineStr">
        <is>
          <t>S15</t>
        </is>
      </c>
      <c r="B173" s="43" t="inlineStr">
        <is>
          <t>의성 신규점</t>
        </is>
      </c>
      <c r="C173" s="43" t="inlineStr">
        <is>
          <t>S15-V</t>
        </is>
      </c>
      <c r="D173" s="43" t="inlineStr">
        <is>
          <t>기준(전)</t>
        </is>
      </c>
      <c r="E173" s="47" t="n"/>
      <c r="F173" s="40" t="n"/>
      <c r="G173" s="28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28" t="n"/>
      <c r="V173" s="28" t="n"/>
      <c r="W173" s="31" t="n"/>
    </row>
    <row r="174">
      <c r="A174" s="25" t="inlineStr">
        <is>
          <t>S15</t>
        </is>
      </c>
      <c r="B174" s="25" t="inlineStr">
        <is>
          <t>의성 신규점</t>
        </is>
      </c>
      <c r="C174" s="25" t="inlineStr">
        <is>
          <t>S15-V</t>
        </is>
      </c>
      <c r="D174" s="25" t="inlineStr">
        <is>
          <t>측정</t>
        </is>
      </c>
      <c r="E174" s="48" t="n">
        <v>20</v>
      </c>
      <c r="F174" s="40" t="n"/>
      <c r="G174" s="28" t="n"/>
      <c r="H174" s="42" t="n"/>
      <c r="I174" s="40" t="n"/>
      <c r="J174" s="40" t="n"/>
      <c r="K174" s="40" t="n"/>
      <c r="L174" s="30">
        <f>IF(COUNT(I174:K174)=0,"",MEDIAN(I174:K174))</f>
        <v/>
      </c>
      <c r="M174" s="25">
        <f>IF(COUNTIFS($C:$C,$C174,$D:$D,"기준(전)",$L:$L,"&gt;0")&lt;&gt;1,"기준(전) 유효 1개 아님",IF(COUNTIFS($C:$C,$C174,$D:$D,"기준(후)",$L:$L,"&gt;0")&lt;&gt;1,"기준(후) 유효 1개 아님",IF(NOT(AND(ISNUMBER(N174),ISNUMBER(P174),ISNUMBER(H174))),"시각 결측",IF(P174&lt;=N174,"기준 시각 역전",IF(OR(H174&lt;N174,H174&gt;P174),"측정시각 구간 밖","OK")))))</f>
        <v/>
      </c>
      <c r="N174" s="45">
        <f>IF(COUNTIFS($C:$C,$C174,$D:$D,"기준(전)",$L:$L,"&gt;0")&lt;&gt;1,"",SUMIFS($H:$H,$C:$C,$C174,$D:$D,"기준(전)"))</f>
        <v/>
      </c>
      <c r="O174" s="30">
        <f>IF(COUNTIFS($C:$C,$C174,$D:$D,"기준(전)",$L:$L,"&gt;0")&lt;&gt;1,"",SUMIFS($L:$L,$C:$C,$C174,$D:$D,"기준(전)"))</f>
        <v/>
      </c>
      <c r="P174" s="45">
        <f>IF(COUNTIFS($C:$C,$C174,$D:$D,"기준(후)",$L:$L,"&gt;0")&lt;&gt;1,"",SUMIFS($H:$H,$C:$C,$C174,$D:$D,"기준(후)"))</f>
        <v/>
      </c>
      <c r="Q174" s="30">
        <f>IF(COUNTIFS($C:$C,$C174,$D:$D,"기준(후)",$L:$L,"&gt;0")&lt;&gt;1,"",SUMIFS($L:$L,$C:$C,$C174,$D:$D,"기준(후)"))</f>
        <v/>
      </c>
      <c r="R174" s="30">
        <f>IF(M174&lt;&gt;"OK","",O174+(Q174-O174)*(H174-N174)/(P174-N174))</f>
        <v/>
      </c>
      <c r="S174" s="30">
        <f>IF(OR(M174&lt;&gt;"OK",NOT(ISNUMBER(L174))),"",L174-R174)</f>
        <v/>
      </c>
      <c r="T174" s="46">
        <f>IF(OR($D173&lt;&gt;"측정",$C173&lt;&gt;$C174,NOT(ISNUMBER(L174)),NOT(ISNUMBER(L173)),(IF(ISNUMBER(F174),F174,E174)-IF(ISNUMBER(F173),F173,E173))=0),"",(L174-L173)/((IF(ISNUMBER(F174),F174,E174)-IF(ISNUMBER(F173),F173,E173))/100))</f>
        <v/>
      </c>
      <c r="U174" s="28" t="n"/>
      <c r="V174" s="28" t="n"/>
      <c r="W174" s="31" t="n"/>
    </row>
    <row r="175">
      <c r="A175" s="25" t="inlineStr">
        <is>
          <t>S15</t>
        </is>
      </c>
      <c r="B175" s="25" t="inlineStr">
        <is>
          <t>의성 신규점</t>
        </is>
      </c>
      <c r="C175" s="25" t="inlineStr">
        <is>
          <t>S15-V</t>
        </is>
      </c>
      <c r="D175" s="25" t="inlineStr">
        <is>
          <t>측정</t>
        </is>
      </c>
      <c r="E175" s="48" t="n">
        <v>40</v>
      </c>
      <c r="F175" s="40" t="n"/>
      <c r="G175" s="28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IF(COUNTIFS($C:$C,$C175,$D:$D,"기준(전)",$L:$L,"&gt;0")&lt;&gt;1,"기준(전) 유효 1개 아님",IF(COUNTIFS($C:$C,$C175,$D:$D,"기준(후)",$L:$L,"&gt;0")&lt;&gt;1,"기준(후) 유효 1개 아님",IF(NOT(AND(ISNUMBER(N175),ISNUMBER(P175),ISNUMBER(H175))),"시각 결측",IF(P175&lt;=N175,"기준 시각 역전",IF(OR(H175&lt;N175,H175&gt;P175),"측정시각 구간 밖","OK")))))</f>
        <v/>
      </c>
      <c r="N175" s="45">
        <f>IF(COUNTIFS($C:$C,$C175,$D:$D,"기준(전)",$L:$L,"&gt;0")&lt;&gt;1,"",SUMIFS($H:$H,$C:$C,$C175,$D:$D,"기준(전)"))</f>
        <v/>
      </c>
      <c r="O175" s="30">
        <f>IF(COUNTIFS($C:$C,$C175,$D:$D,"기준(전)",$L:$L,"&gt;0")&lt;&gt;1,"",SUMIFS($L:$L,$C:$C,$C175,$D:$D,"기준(전)"))</f>
        <v/>
      </c>
      <c r="P175" s="45">
        <f>IF(COUNTIFS($C:$C,$C175,$D:$D,"기준(후)",$L:$L,"&gt;0")&lt;&gt;1,"",SUMIFS($H:$H,$C:$C,$C175,$D:$D,"기준(후)"))</f>
        <v/>
      </c>
      <c r="Q175" s="30">
        <f>IF(COUNTIFS($C:$C,$C175,$D:$D,"기준(후)",$L:$L,"&gt;0")&lt;&gt;1,"",SUMIFS($L:$L,$C:$C,$C175,$D:$D,"기준(후)"))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IF(OR($D174&lt;&gt;"측정",$C174&lt;&gt;$C175,NOT(ISNUMBER(L175)),NOT(ISNUMBER(L174)),(IF(ISNUMBER(F175),F175,E175)-IF(ISNUMBER(F174),F174,E174))=0),"",(L175-L174)/((IF(ISNUMBER(F175),F175,E175)-IF(ISNUMBER(F174),F174,E174))/100))</f>
        <v/>
      </c>
      <c r="U175" s="28" t="n"/>
      <c r="V175" s="28" t="n"/>
      <c r="W175" s="31" t="n"/>
    </row>
    <row r="176">
      <c r="A176" s="25" t="inlineStr">
        <is>
          <t>S15</t>
        </is>
      </c>
      <c r="B176" s="25" t="inlineStr">
        <is>
          <t>의성 신규점</t>
        </is>
      </c>
      <c r="C176" s="25" t="inlineStr">
        <is>
          <t>S15-V</t>
        </is>
      </c>
      <c r="D176" s="25" t="inlineStr">
        <is>
          <t>측정</t>
        </is>
      </c>
      <c r="E176" s="48" t="n">
        <v>60</v>
      </c>
      <c r="F176" s="40" t="n"/>
      <c r="G176" s="28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IF(COUNTIFS($C:$C,$C176,$D:$D,"기준(전)",$L:$L,"&gt;0")&lt;&gt;1,"기준(전) 유효 1개 아님",IF(COUNTIFS($C:$C,$C176,$D:$D,"기준(후)",$L:$L,"&gt;0")&lt;&gt;1,"기준(후) 유효 1개 아님",IF(NOT(AND(ISNUMBER(N176),ISNUMBER(P176),ISNUMBER(H176))),"시각 결측",IF(P176&lt;=N176,"기준 시각 역전",IF(OR(H176&lt;N176,H176&gt;P176),"측정시각 구간 밖","OK")))))</f>
        <v/>
      </c>
      <c r="N176" s="45">
        <f>IF(COUNTIFS($C:$C,$C176,$D:$D,"기준(전)",$L:$L,"&gt;0")&lt;&gt;1,"",SUMIFS($H:$H,$C:$C,$C176,$D:$D,"기준(전)"))</f>
        <v/>
      </c>
      <c r="O176" s="30">
        <f>IF(COUNTIFS($C:$C,$C176,$D:$D,"기준(전)",$L:$L,"&gt;0")&lt;&gt;1,"",SUMIFS($L:$L,$C:$C,$C176,$D:$D,"기준(전)"))</f>
        <v/>
      </c>
      <c r="P176" s="45">
        <f>IF(COUNTIFS($C:$C,$C176,$D:$D,"기준(후)",$L:$L,"&gt;0")&lt;&gt;1,"",SUMIFS($H:$H,$C:$C,$C176,$D:$D,"기준(후)"))</f>
        <v/>
      </c>
      <c r="Q176" s="30">
        <f>IF(COUNTIFS($C:$C,$C176,$D:$D,"기준(후)",$L:$L,"&gt;0")&lt;&gt;1,"",SUMIFS($L:$L,$C:$C,$C176,$D:$D,"기준(후)"))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IF(OR($D175&lt;&gt;"측정",$C175&lt;&gt;$C176,NOT(ISNUMBER(L176)),NOT(ISNUMBER(L175)),(IF(ISNUMBER(F176),F176,E176)-IF(ISNUMBER(F175),F175,E175))=0),"",(L176-L175)/((IF(ISNUMBER(F176),F176,E176)-IF(ISNUMBER(F175),F175,E175))/100))</f>
        <v/>
      </c>
      <c r="U176" s="28" t="n"/>
      <c r="V176" s="28" t="n"/>
      <c r="W176" s="31" t="n"/>
    </row>
    <row r="177">
      <c r="A177" s="25" t="inlineStr">
        <is>
          <t>S15</t>
        </is>
      </c>
      <c r="B177" s="25" t="inlineStr">
        <is>
          <t>의성 신규점</t>
        </is>
      </c>
      <c r="C177" s="25" t="inlineStr">
        <is>
          <t>S15-V</t>
        </is>
      </c>
      <c r="D177" s="25" t="inlineStr">
        <is>
          <t>측정</t>
        </is>
      </c>
      <c r="E177" s="48" t="n">
        <v>80</v>
      </c>
      <c r="F177" s="40" t="n"/>
      <c r="G177" s="28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IF(COUNTIFS($C:$C,$C177,$D:$D,"기준(전)",$L:$L,"&gt;0")&lt;&gt;1,"기준(전) 유효 1개 아님",IF(COUNTIFS($C:$C,$C177,$D:$D,"기준(후)",$L:$L,"&gt;0")&lt;&gt;1,"기준(후) 유효 1개 아님",IF(NOT(AND(ISNUMBER(N177),ISNUMBER(P177),ISNUMBER(H177))),"시각 결측",IF(P177&lt;=N177,"기준 시각 역전",IF(OR(H177&lt;N177,H177&gt;P177),"측정시각 구간 밖","OK")))))</f>
        <v/>
      </c>
      <c r="N177" s="45">
        <f>IF(COUNTIFS($C:$C,$C177,$D:$D,"기준(전)",$L:$L,"&gt;0")&lt;&gt;1,"",SUMIFS($H:$H,$C:$C,$C177,$D:$D,"기준(전)"))</f>
        <v/>
      </c>
      <c r="O177" s="30">
        <f>IF(COUNTIFS($C:$C,$C177,$D:$D,"기준(전)",$L:$L,"&gt;0")&lt;&gt;1,"",SUMIFS($L:$L,$C:$C,$C177,$D:$D,"기준(전)"))</f>
        <v/>
      </c>
      <c r="P177" s="45">
        <f>IF(COUNTIFS($C:$C,$C177,$D:$D,"기준(후)",$L:$L,"&gt;0")&lt;&gt;1,"",SUMIFS($H:$H,$C:$C,$C177,$D:$D,"기준(후)"))</f>
        <v/>
      </c>
      <c r="Q177" s="30">
        <f>IF(COUNTIFS($C:$C,$C177,$D:$D,"기준(후)",$L:$L,"&gt;0")&lt;&gt;1,"",SUMIFS($L:$L,$C:$C,$C177,$D:$D,"기준(후)"))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IF(OR($D176&lt;&gt;"측정",$C176&lt;&gt;$C177,NOT(ISNUMBER(L177)),NOT(ISNUMBER(L176)),(IF(ISNUMBER(F177),F177,E177)-IF(ISNUMBER(F176),F176,E176))=0),"",(L177-L176)/((IF(ISNUMBER(F177),F177,E177)-IF(ISNUMBER(F176),F176,E176))/100))</f>
        <v/>
      </c>
      <c r="U177" s="28" t="n"/>
      <c r="V177" s="28" t="n"/>
      <c r="W177" s="31" t="n"/>
    </row>
    <row r="178">
      <c r="A178" s="25" t="inlineStr">
        <is>
          <t>S15</t>
        </is>
      </c>
      <c r="B178" s="25" t="inlineStr">
        <is>
          <t>의성 신규점</t>
        </is>
      </c>
      <c r="C178" s="25" t="inlineStr">
        <is>
          <t>S15-V</t>
        </is>
      </c>
      <c r="D178" s="25" t="inlineStr">
        <is>
          <t>측정</t>
        </is>
      </c>
      <c r="E178" s="48" t="n">
        <v>100</v>
      </c>
      <c r="F178" s="40" t="n"/>
      <c r="G178" s="28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IF(COUNTIFS($C:$C,$C178,$D:$D,"기준(전)",$L:$L,"&gt;0")&lt;&gt;1,"기준(전) 유효 1개 아님",IF(COUNTIFS($C:$C,$C178,$D:$D,"기준(후)",$L:$L,"&gt;0")&lt;&gt;1,"기준(후) 유효 1개 아님",IF(NOT(AND(ISNUMBER(N178),ISNUMBER(P178),ISNUMBER(H178))),"시각 결측",IF(P178&lt;=N178,"기준 시각 역전",IF(OR(H178&lt;N178,H178&gt;P178),"측정시각 구간 밖","OK")))))</f>
        <v/>
      </c>
      <c r="N178" s="45">
        <f>IF(COUNTIFS($C:$C,$C178,$D:$D,"기준(전)",$L:$L,"&gt;0")&lt;&gt;1,"",SUMIFS($H:$H,$C:$C,$C178,$D:$D,"기준(전)"))</f>
        <v/>
      </c>
      <c r="O178" s="30">
        <f>IF(COUNTIFS($C:$C,$C178,$D:$D,"기준(전)",$L:$L,"&gt;0")&lt;&gt;1,"",SUMIFS($L:$L,$C:$C,$C178,$D:$D,"기준(전)"))</f>
        <v/>
      </c>
      <c r="P178" s="45">
        <f>IF(COUNTIFS($C:$C,$C178,$D:$D,"기준(후)",$L:$L,"&gt;0")&lt;&gt;1,"",SUMIFS($H:$H,$C:$C,$C178,$D:$D,"기준(후)"))</f>
        <v/>
      </c>
      <c r="Q178" s="30">
        <f>IF(COUNTIFS($C:$C,$C178,$D:$D,"기준(후)",$L:$L,"&gt;0")&lt;&gt;1,"",SUMIFS($L:$L,$C:$C,$C178,$D:$D,"기준(후)"))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IF(OR($D177&lt;&gt;"측정",$C177&lt;&gt;$C178,NOT(ISNUMBER(L178)),NOT(ISNUMBER(L177)),(IF(ISNUMBER(F178),F178,E178)-IF(ISNUMBER(F177),F177,E177))=0),"",(L178-L177)/((IF(ISNUMBER(F178),F178,E178)-IF(ISNUMBER(F177),F177,E177))/100))</f>
        <v/>
      </c>
      <c r="U178" s="28" t="n"/>
      <c r="V178" s="28" t="n"/>
      <c r="W178" s="31" t="n"/>
    </row>
    <row r="179">
      <c r="A179" s="25" t="inlineStr">
        <is>
          <t>S15</t>
        </is>
      </c>
      <c r="B179" s="25" t="inlineStr">
        <is>
          <t>의성 신규점</t>
        </is>
      </c>
      <c r="C179" s="25" t="inlineStr">
        <is>
          <t>S15-V</t>
        </is>
      </c>
      <c r="D179" s="25" t="inlineStr">
        <is>
          <t>측정</t>
        </is>
      </c>
      <c r="E179" s="48" t="n">
        <v>120</v>
      </c>
      <c r="F179" s="40" t="n"/>
      <c r="G179" s="28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IF(COUNTIFS($C:$C,$C179,$D:$D,"기준(전)",$L:$L,"&gt;0")&lt;&gt;1,"기준(전) 유효 1개 아님",IF(COUNTIFS($C:$C,$C179,$D:$D,"기준(후)",$L:$L,"&gt;0")&lt;&gt;1,"기준(후) 유효 1개 아님",IF(NOT(AND(ISNUMBER(N179),ISNUMBER(P179),ISNUMBER(H179))),"시각 결측",IF(P179&lt;=N179,"기준 시각 역전",IF(OR(H179&lt;N179,H179&gt;P179),"측정시각 구간 밖","OK")))))</f>
        <v/>
      </c>
      <c r="N179" s="45">
        <f>IF(COUNTIFS($C:$C,$C179,$D:$D,"기준(전)",$L:$L,"&gt;0")&lt;&gt;1,"",SUMIFS($H:$H,$C:$C,$C179,$D:$D,"기준(전)"))</f>
        <v/>
      </c>
      <c r="O179" s="30">
        <f>IF(COUNTIFS($C:$C,$C179,$D:$D,"기준(전)",$L:$L,"&gt;0")&lt;&gt;1,"",SUMIFS($L:$L,$C:$C,$C179,$D:$D,"기준(전)"))</f>
        <v/>
      </c>
      <c r="P179" s="45">
        <f>IF(COUNTIFS($C:$C,$C179,$D:$D,"기준(후)",$L:$L,"&gt;0")&lt;&gt;1,"",SUMIFS($H:$H,$C:$C,$C179,$D:$D,"기준(후)"))</f>
        <v/>
      </c>
      <c r="Q179" s="30">
        <f>IF(COUNTIFS($C:$C,$C179,$D:$D,"기준(후)",$L:$L,"&gt;0")&lt;&gt;1,"",SUMIFS($L:$L,$C:$C,$C179,$D:$D,"기준(후)"))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IF(OR($D178&lt;&gt;"측정",$C178&lt;&gt;$C179,NOT(ISNUMBER(L179)),NOT(ISNUMBER(L178)),(IF(ISNUMBER(F179),F179,E179)-IF(ISNUMBER(F178),F178,E178))=0),"",(L179-L178)/((IF(ISNUMBER(F179),F179,E179)-IF(ISNUMBER(F178),F178,E178))/100))</f>
        <v/>
      </c>
      <c r="U179" s="28" t="n"/>
      <c r="V179" s="28" t="n"/>
      <c r="W179" s="31" t="n"/>
    </row>
    <row r="180">
      <c r="A180" s="25" t="inlineStr">
        <is>
          <t>S15</t>
        </is>
      </c>
      <c r="B180" s="25" t="inlineStr">
        <is>
          <t>의성 신규점</t>
        </is>
      </c>
      <c r="C180" s="25" t="inlineStr">
        <is>
          <t>S15-V</t>
        </is>
      </c>
      <c r="D180" s="25" t="inlineStr">
        <is>
          <t>측정</t>
        </is>
      </c>
      <c r="E180" s="48" t="n">
        <v>140</v>
      </c>
      <c r="F180" s="40" t="n"/>
      <c r="G180" s="28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IF(COUNTIFS($C:$C,$C180,$D:$D,"기준(전)",$L:$L,"&gt;0")&lt;&gt;1,"기준(전) 유효 1개 아님",IF(COUNTIFS($C:$C,$C180,$D:$D,"기준(후)",$L:$L,"&gt;0")&lt;&gt;1,"기준(후) 유효 1개 아님",IF(NOT(AND(ISNUMBER(N180),ISNUMBER(P180),ISNUMBER(H180))),"시각 결측",IF(P180&lt;=N180,"기준 시각 역전",IF(OR(H180&lt;N180,H180&gt;P180),"측정시각 구간 밖","OK")))))</f>
        <v/>
      </c>
      <c r="N180" s="45">
        <f>IF(COUNTIFS($C:$C,$C180,$D:$D,"기준(전)",$L:$L,"&gt;0")&lt;&gt;1,"",SUMIFS($H:$H,$C:$C,$C180,$D:$D,"기준(전)"))</f>
        <v/>
      </c>
      <c r="O180" s="30">
        <f>IF(COUNTIFS($C:$C,$C180,$D:$D,"기준(전)",$L:$L,"&gt;0")&lt;&gt;1,"",SUMIFS($L:$L,$C:$C,$C180,$D:$D,"기준(전)"))</f>
        <v/>
      </c>
      <c r="P180" s="45">
        <f>IF(COUNTIFS($C:$C,$C180,$D:$D,"기준(후)",$L:$L,"&gt;0")&lt;&gt;1,"",SUMIFS($H:$H,$C:$C,$C180,$D:$D,"기준(후)"))</f>
        <v/>
      </c>
      <c r="Q180" s="30">
        <f>IF(COUNTIFS($C:$C,$C180,$D:$D,"기준(후)",$L:$L,"&gt;0")&lt;&gt;1,"",SUMIFS($L:$L,$C:$C,$C180,$D:$D,"기준(후)"))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IF(OR($D179&lt;&gt;"측정",$C179&lt;&gt;$C180,NOT(ISNUMBER(L180)),NOT(ISNUMBER(L179)),(IF(ISNUMBER(F180),F180,E180)-IF(ISNUMBER(F179),F179,E179))=0),"",(L180-L179)/((IF(ISNUMBER(F180),F180,E180)-IF(ISNUMBER(F179),F179,E179))/100))</f>
        <v/>
      </c>
      <c r="U180" s="28" t="n"/>
      <c r="V180" s="28" t="n"/>
      <c r="W180" s="31" t="n"/>
    </row>
    <row r="181">
      <c r="A181" s="25" t="inlineStr">
        <is>
          <t>S15</t>
        </is>
      </c>
      <c r="B181" s="25" t="inlineStr">
        <is>
          <t>의성 신규점</t>
        </is>
      </c>
      <c r="C181" s="25" t="inlineStr">
        <is>
          <t>S15-V</t>
        </is>
      </c>
      <c r="D181" s="25" t="inlineStr">
        <is>
          <t>측정</t>
        </is>
      </c>
      <c r="E181" s="48" t="n">
        <v>160</v>
      </c>
      <c r="F181" s="40" t="n"/>
      <c r="G181" s="28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IF(COUNTIFS($C:$C,$C181,$D:$D,"기준(전)",$L:$L,"&gt;0")&lt;&gt;1,"기준(전) 유효 1개 아님",IF(COUNTIFS($C:$C,$C181,$D:$D,"기준(후)",$L:$L,"&gt;0")&lt;&gt;1,"기준(후) 유효 1개 아님",IF(NOT(AND(ISNUMBER(N181),ISNUMBER(P181),ISNUMBER(H181))),"시각 결측",IF(P181&lt;=N181,"기준 시각 역전",IF(OR(H181&lt;N181,H181&gt;P181),"측정시각 구간 밖","OK")))))</f>
        <v/>
      </c>
      <c r="N181" s="45">
        <f>IF(COUNTIFS($C:$C,$C181,$D:$D,"기준(전)",$L:$L,"&gt;0")&lt;&gt;1,"",SUMIFS($H:$H,$C:$C,$C181,$D:$D,"기준(전)"))</f>
        <v/>
      </c>
      <c r="O181" s="30">
        <f>IF(COUNTIFS($C:$C,$C181,$D:$D,"기준(전)",$L:$L,"&gt;0")&lt;&gt;1,"",SUMIFS($L:$L,$C:$C,$C181,$D:$D,"기준(전)"))</f>
        <v/>
      </c>
      <c r="P181" s="45">
        <f>IF(COUNTIFS($C:$C,$C181,$D:$D,"기준(후)",$L:$L,"&gt;0")&lt;&gt;1,"",SUMIFS($H:$H,$C:$C,$C181,$D:$D,"기준(후)"))</f>
        <v/>
      </c>
      <c r="Q181" s="30">
        <f>IF(COUNTIFS($C:$C,$C181,$D:$D,"기준(후)",$L:$L,"&gt;0")&lt;&gt;1,"",SUMIFS($L:$L,$C:$C,$C181,$D:$D,"기준(후)"))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IF(OR($D180&lt;&gt;"측정",$C180&lt;&gt;$C181,NOT(ISNUMBER(L181)),NOT(ISNUMBER(L180)),(IF(ISNUMBER(F181),F181,E181)-IF(ISNUMBER(F180),F180,E180))=0),"",(L181-L180)/((IF(ISNUMBER(F181),F181,E181)-IF(ISNUMBER(F180),F180,E180))/100))</f>
        <v/>
      </c>
      <c r="U181" s="28" t="n"/>
      <c r="V181" s="28" t="n"/>
      <c r="W181" s="31" t="n"/>
    </row>
    <row r="182">
      <c r="A182" s="25" t="inlineStr">
        <is>
          <t>S15</t>
        </is>
      </c>
      <c r="B182" s="25" t="inlineStr">
        <is>
          <t>의성 신규점</t>
        </is>
      </c>
      <c r="C182" s="25" t="inlineStr">
        <is>
          <t>S15-V</t>
        </is>
      </c>
      <c r="D182" s="25" t="inlineStr">
        <is>
          <t>측정</t>
        </is>
      </c>
      <c r="E182" s="48" t="n">
        <v>180</v>
      </c>
      <c r="F182" s="40" t="n"/>
      <c r="G182" s="28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IF(COUNTIFS($C:$C,$C182,$D:$D,"기준(전)",$L:$L,"&gt;0")&lt;&gt;1,"기준(전) 유효 1개 아님",IF(COUNTIFS($C:$C,$C182,$D:$D,"기준(후)",$L:$L,"&gt;0")&lt;&gt;1,"기준(후) 유효 1개 아님",IF(NOT(AND(ISNUMBER(N182),ISNUMBER(P182),ISNUMBER(H182))),"시각 결측",IF(P182&lt;=N182,"기준 시각 역전",IF(OR(H182&lt;N182,H182&gt;P182),"측정시각 구간 밖","OK")))))</f>
        <v/>
      </c>
      <c r="N182" s="45">
        <f>IF(COUNTIFS($C:$C,$C182,$D:$D,"기준(전)",$L:$L,"&gt;0")&lt;&gt;1,"",SUMIFS($H:$H,$C:$C,$C182,$D:$D,"기준(전)"))</f>
        <v/>
      </c>
      <c r="O182" s="30">
        <f>IF(COUNTIFS($C:$C,$C182,$D:$D,"기준(전)",$L:$L,"&gt;0")&lt;&gt;1,"",SUMIFS($L:$L,$C:$C,$C182,$D:$D,"기준(전)"))</f>
        <v/>
      </c>
      <c r="P182" s="45">
        <f>IF(COUNTIFS($C:$C,$C182,$D:$D,"기준(후)",$L:$L,"&gt;0")&lt;&gt;1,"",SUMIFS($H:$H,$C:$C,$C182,$D:$D,"기준(후)"))</f>
        <v/>
      </c>
      <c r="Q182" s="30">
        <f>IF(COUNTIFS($C:$C,$C182,$D:$D,"기준(후)",$L:$L,"&gt;0")&lt;&gt;1,"",SUMIFS($L:$L,$C:$C,$C182,$D:$D,"기준(후)"))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IF(OR($D181&lt;&gt;"측정",$C181&lt;&gt;$C182,NOT(ISNUMBER(L182)),NOT(ISNUMBER(L181)),(IF(ISNUMBER(F182),F182,E182)-IF(ISNUMBER(F181),F181,E181))=0),"",(L182-L181)/((IF(ISNUMBER(F182),F182,E182)-IF(ISNUMBER(F181),F181,E181))/100))</f>
        <v/>
      </c>
      <c r="U182" s="28" t="n"/>
      <c r="V182" s="28" t="n"/>
      <c r="W182" s="31" t="n"/>
    </row>
    <row r="183">
      <c r="A183" s="25" t="inlineStr">
        <is>
          <t>S15</t>
        </is>
      </c>
      <c r="B183" s="25" t="inlineStr">
        <is>
          <t>의성 신규점</t>
        </is>
      </c>
      <c r="C183" s="25" t="inlineStr">
        <is>
          <t>S15-V</t>
        </is>
      </c>
      <c r="D183" s="25" t="inlineStr">
        <is>
          <t>측정</t>
        </is>
      </c>
      <c r="E183" s="48" t="n">
        <v>200</v>
      </c>
      <c r="F183" s="40" t="n"/>
      <c r="G183" s="28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IF(COUNTIFS($C:$C,$C183,$D:$D,"기준(전)",$L:$L,"&gt;0")&lt;&gt;1,"기준(전) 유효 1개 아님",IF(COUNTIFS($C:$C,$C183,$D:$D,"기준(후)",$L:$L,"&gt;0")&lt;&gt;1,"기준(후) 유효 1개 아님",IF(NOT(AND(ISNUMBER(N183),ISNUMBER(P183),ISNUMBER(H183))),"시각 결측",IF(P183&lt;=N183,"기준 시각 역전",IF(OR(H183&lt;N183,H183&gt;P183),"측정시각 구간 밖","OK")))))</f>
        <v/>
      </c>
      <c r="N183" s="45">
        <f>IF(COUNTIFS($C:$C,$C183,$D:$D,"기준(전)",$L:$L,"&gt;0")&lt;&gt;1,"",SUMIFS($H:$H,$C:$C,$C183,$D:$D,"기준(전)"))</f>
        <v/>
      </c>
      <c r="O183" s="30">
        <f>IF(COUNTIFS($C:$C,$C183,$D:$D,"기준(전)",$L:$L,"&gt;0")&lt;&gt;1,"",SUMIFS($L:$L,$C:$C,$C183,$D:$D,"기준(전)"))</f>
        <v/>
      </c>
      <c r="P183" s="45">
        <f>IF(COUNTIFS($C:$C,$C183,$D:$D,"기준(후)",$L:$L,"&gt;0")&lt;&gt;1,"",SUMIFS($H:$H,$C:$C,$C183,$D:$D,"기준(후)"))</f>
        <v/>
      </c>
      <c r="Q183" s="30">
        <f>IF(COUNTIFS($C:$C,$C183,$D:$D,"기준(후)",$L:$L,"&gt;0")&lt;&gt;1,"",SUMIFS($L:$L,$C:$C,$C183,$D:$D,"기준(후)"))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IF(OR($D182&lt;&gt;"측정",$C182&lt;&gt;$C183,NOT(ISNUMBER(L183)),NOT(ISNUMBER(L182)),(IF(ISNUMBER(F183),F183,E183)-IF(ISNUMBER(F182),F182,E182))=0),"",(L183-L182)/((IF(ISNUMBER(F183),F183,E183)-IF(ISNUMBER(F182),F182,E182))/100))</f>
        <v/>
      </c>
      <c r="U183" s="28" t="n"/>
      <c r="V183" s="28" t="n"/>
      <c r="W183" s="31" t="n"/>
    </row>
    <row r="184">
      <c r="A184" s="43" t="inlineStr">
        <is>
          <t>S15</t>
        </is>
      </c>
      <c r="B184" s="43" t="inlineStr">
        <is>
          <t>의성 신규점</t>
        </is>
      </c>
      <c r="C184" s="43" t="inlineStr">
        <is>
          <t>S15-V</t>
        </is>
      </c>
      <c r="D184" s="43" t="inlineStr">
        <is>
          <t>기준(후)</t>
        </is>
      </c>
      <c r="E184" s="47" t="n"/>
      <c r="F184" s="40" t="n"/>
      <c r="G184" s="28" t="n"/>
      <c r="H184" s="42" t="n"/>
      <c r="I184" s="40" t="n"/>
      <c r="J184" s="40" t="n"/>
      <c r="K184" s="40" t="n"/>
      <c r="L184" s="30">
        <f>IF(COUNT(I184:K184)=0,"",MEDIAN(I184:K184))</f>
        <v/>
      </c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28" t="n"/>
      <c r="V184" s="28" t="n"/>
      <c r="W184" s="31" t="n"/>
    </row>
    <row r="185">
      <c r="A185" s="43" t="inlineStr">
        <is>
          <t>S16</t>
        </is>
      </c>
      <c r="B185" s="43" t="inlineStr">
        <is>
          <t>예천 신규점</t>
        </is>
      </c>
      <c r="C185" s="43" t="inlineStr">
        <is>
          <t>S16-V</t>
        </is>
      </c>
      <c r="D185" s="43" t="inlineStr">
        <is>
          <t>기준(전)</t>
        </is>
      </c>
      <c r="E185" s="47" t="n"/>
      <c r="F185" s="40" t="n"/>
      <c r="G185" s="28" t="n"/>
      <c r="H185" s="42" t="n"/>
      <c r="I185" s="40" t="n"/>
      <c r="J185" s="40" t="n"/>
      <c r="K185" s="40" t="n"/>
      <c r="L185" s="30">
        <f>IF(COUNT(I185:K185)=0,"",MEDIAN(I185:K185))</f>
        <v/>
      </c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28" t="n"/>
      <c r="V185" s="28" t="n"/>
      <c r="W185" s="31" t="n"/>
    </row>
    <row r="186">
      <c r="A186" s="25" t="inlineStr">
        <is>
          <t>S16</t>
        </is>
      </c>
      <c r="B186" s="25" t="inlineStr">
        <is>
          <t>예천 신규점</t>
        </is>
      </c>
      <c r="C186" s="25" t="inlineStr">
        <is>
          <t>S16-V</t>
        </is>
      </c>
      <c r="D186" s="25" t="inlineStr">
        <is>
          <t>측정</t>
        </is>
      </c>
      <c r="E186" s="48" t="n">
        <v>20</v>
      </c>
      <c r="F186" s="40" t="n"/>
      <c r="G186" s="28" t="n"/>
      <c r="H186" s="42" t="n"/>
      <c r="I186" s="40" t="n"/>
      <c r="J186" s="40" t="n"/>
      <c r="K186" s="40" t="n"/>
      <c r="L186" s="30">
        <f>IF(COUNT(I186:K186)=0,"",MEDIAN(I186:K186))</f>
        <v/>
      </c>
      <c r="M186" s="25">
        <f>IF(COUNTIFS($C:$C,$C186,$D:$D,"기준(전)",$L:$L,"&gt;0")&lt;&gt;1,"기준(전) 유효 1개 아님",IF(COUNTIFS($C:$C,$C186,$D:$D,"기준(후)",$L:$L,"&gt;0")&lt;&gt;1,"기준(후) 유효 1개 아님",IF(NOT(AND(ISNUMBER(N186),ISNUMBER(P186),ISNUMBER(H186))),"시각 결측",IF(P186&lt;=N186,"기준 시각 역전",IF(OR(H186&lt;N186,H186&gt;P186),"측정시각 구간 밖","OK")))))</f>
        <v/>
      </c>
      <c r="N186" s="45">
        <f>IF(COUNTIFS($C:$C,$C186,$D:$D,"기준(전)",$L:$L,"&gt;0")&lt;&gt;1,"",SUMIFS($H:$H,$C:$C,$C186,$D:$D,"기준(전)"))</f>
        <v/>
      </c>
      <c r="O186" s="30">
        <f>IF(COUNTIFS($C:$C,$C186,$D:$D,"기준(전)",$L:$L,"&gt;0")&lt;&gt;1,"",SUMIFS($L:$L,$C:$C,$C186,$D:$D,"기준(전)"))</f>
        <v/>
      </c>
      <c r="P186" s="45">
        <f>IF(COUNTIFS($C:$C,$C186,$D:$D,"기준(후)",$L:$L,"&gt;0")&lt;&gt;1,"",SUMIFS($H:$H,$C:$C,$C186,$D:$D,"기준(후)"))</f>
        <v/>
      </c>
      <c r="Q186" s="30">
        <f>IF(COUNTIFS($C:$C,$C186,$D:$D,"기준(후)",$L:$L,"&gt;0")&lt;&gt;1,"",SUMIFS($L:$L,$C:$C,$C186,$D:$D,"기준(후)"))</f>
        <v/>
      </c>
      <c r="R186" s="30">
        <f>IF(M186&lt;&gt;"OK","",O186+(Q186-O186)*(H186-N186)/(P186-N186))</f>
        <v/>
      </c>
      <c r="S186" s="30">
        <f>IF(OR(M186&lt;&gt;"OK",NOT(ISNUMBER(L186))),"",L186-R186)</f>
        <v/>
      </c>
      <c r="T186" s="46">
        <f>IF(OR($D185&lt;&gt;"측정",$C185&lt;&gt;$C186,NOT(ISNUMBER(L186)),NOT(ISNUMBER(L185)),(IF(ISNUMBER(F186),F186,E186)-IF(ISNUMBER(F185),F185,E185))=0),"",(L186-L185)/((IF(ISNUMBER(F186),F186,E186)-IF(ISNUMBER(F185),F185,E185))/100))</f>
        <v/>
      </c>
      <c r="U186" s="28" t="n"/>
      <c r="V186" s="28" t="n"/>
      <c r="W186" s="31" t="n"/>
    </row>
    <row r="187">
      <c r="A187" s="25" t="inlineStr">
        <is>
          <t>S16</t>
        </is>
      </c>
      <c r="B187" s="25" t="inlineStr">
        <is>
          <t>예천 신규점</t>
        </is>
      </c>
      <c r="C187" s="25" t="inlineStr">
        <is>
          <t>S16-V</t>
        </is>
      </c>
      <c r="D187" s="25" t="inlineStr">
        <is>
          <t>측정</t>
        </is>
      </c>
      <c r="E187" s="48" t="n">
        <v>40</v>
      </c>
      <c r="F187" s="40" t="n"/>
      <c r="G187" s="28" t="n"/>
      <c r="H187" s="42" t="n"/>
      <c r="I187" s="40" t="n"/>
      <c r="J187" s="40" t="n"/>
      <c r="K187" s="40" t="n"/>
      <c r="L187" s="30">
        <f>IF(COUNT(I187:K187)=0,"",MEDIAN(I187:K187))</f>
        <v/>
      </c>
      <c r="M187" s="25">
        <f>IF(COUNTIFS($C:$C,$C187,$D:$D,"기준(전)",$L:$L,"&gt;0")&lt;&gt;1,"기준(전) 유효 1개 아님",IF(COUNTIFS($C:$C,$C187,$D:$D,"기준(후)",$L:$L,"&gt;0")&lt;&gt;1,"기준(후) 유효 1개 아님",IF(NOT(AND(ISNUMBER(N187),ISNUMBER(P187),ISNUMBER(H187))),"시각 결측",IF(P187&lt;=N187,"기준 시각 역전",IF(OR(H187&lt;N187,H187&gt;P187),"측정시각 구간 밖","OK")))))</f>
        <v/>
      </c>
      <c r="N187" s="45">
        <f>IF(COUNTIFS($C:$C,$C187,$D:$D,"기준(전)",$L:$L,"&gt;0")&lt;&gt;1,"",SUMIFS($H:$H,$C:$C,$C187,$D:$D,"기준(전)"))</f>
        <v/>
      </c>
      <c r="O187" s="30">
        <f>IF(COUNTIFS($C:$C,$C187,$D:$D,"기준(전)",$L:$L,"&gt;0")&lt;&gt;1,"",SUMIFS($L:$L,$C:$C,$C187,$D:$D,"기준(전)"))</f>
        <v/>
      </c>
      <c r="P187" s="45">
        <f>IF(COUNTIFS($C:$C,$C187,$D:$D,"기준(후)",$L:$L,"&gt;0")&lt;&gt;1,"",SUMIFS($H:$H,$C:$C,$C187,$D:$D,"기준(후)"))</f>
        <v/>
      </c>
      <c r="Q187" s="30">
        <f>IF(COUNTIFS($C:$C,$C187,$D:$D,"기준(후)",$L:$L,"&gt;0")&lt;&gt;1,"",SUMIFS($L:$L,$C:$C,$C187,$D:$D,"기준(후)"))</f>
        <v/>
      </c>
      <c r="R187" s="30">
        <f>IF(M187&lt;&gt;"OK","",O187+(Q187-O187)*(H187-N187)/(P187-N187))</f>
        <v/>
      </c>
      <c r="S187" s="30">
        <f>IF(OR(M187&lt;&gt;"OK",NOT(ISNUMBER(L187))),"",L187-R187)</f>
        <v/>
      </c>
      <c r="T187" s="46">
        <f>IF(OR($D186&lt;&gt;"측정",$C186&lt;&gt;$C187,NOT(ISNUMBER(L187)),NOT(ISNUMBER(L186)),(IF(ISNUMBER(F187),F187,E187)-IF(ISNUMBER(F186),F186,E186))=0),"",(L187-L186)/((IF(ISNUMBER(F187),F187,E187)-IF(ISNUMBER(F186),F186,E186))/100))</f>
        <v/>
      </c>
      <c r="U187" s="28" t="n"/>
      <c r="V187" s="28" t="n"/>
      <c r="W187" s="31" t="n"/>
    </row>
    <row r="188">
      <c r="A188" s="25" t="inlineStr">
        <is>
          <t>S16</t>
        </is>
      </c>
      <c r="B188" s="25" t="inlineStr">
        <is>
          <t>예천 신규점</t>
        </is>
      </c>
      <c r="C188" s="25" t="inlineStr">
        <is>
          <t>S16-V</t>
        </is>
      </c>
      <c r="D188" s="25" t="inlineStr">
        <is>
          <t>측정</t>
        </is>
      </c>
      <c r="E188" s="48" t="n">
        <v>60</v>
      </c>
      <c r="F188" s="40" t="n"/>
      <c r="G188" s="28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IF(COUNTIFS($C:$C,$C188,$D:$D,"기준(전)",$L:$L,"&gt;0")&lt;&gt;1,"기준(전) 유효 1개 아님",IF(COUNTIFS($C:$C,$C188,$D:$D,"기준(후)",$L:$L,"&gt;0")&lt;&gt;1,"기준(후) 유효 1개 아님",IF(NOT(AND(ISNUMBER(N188),ISNUMBER(P188),ISNUMBER(H188))),"시각 결측",IF(P188&lt;=N188,"기준 시각 역전",IF(OR(H188&lt;N188,H188&gt;P188),"측정시각 구간 밖","OK")))))</f>
        <v/>
      </c>
      <c r="N188" s="45">
        <f>IF(COUNTIFS($C:$C,$C188,$D:$D,"기준(전)",$L:$L,"&gt;0")&lt;&gt;1,"",SUMIFS($H:$H,$C:$C,$C188,$D:$D,"기준(전)"))</f>
        <v/>
      </c>
      <c r="O188" s="30">
        <f>IF(COUNTIFS($C:$C,$C188,$D:$D,"기준(전)",$L:$L,"&gt;0")&lt;&gt;1,"",SUMIFS($L:$L,$C:$C,$C188,$D:$D,"기준(전)"))</f>
        <v/>
      </c>
      <c r="P188" s="45">
        <f>IF(COUNTIFS($C:$C,$C188,$D:$D,"기준(후)",$L:$L,"&gt;0")&lt;&gt;1,"",SUMIFS($H:$H,$C:$C,$C188,$D:$D,"기준(후)"))</f>
        <v/>
      </c>
      <c r="Q188" s="30">
        <f>IF(COUNTIFS($C:$C,$C188,$D:$D,"기준(후)",$L:$L,"&gt;0")&lt;&gt;1,"",SUMIFS($L:$L,$C:$C,$C188,$D:$D,"기준(후)"))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IF(OR($D187&lt;&gt;"측정",$C187&lt;&gt;$C188,NOT(ISNUMBER(L188)),NOT(ISNUMBER(L187)),(IF(ISNUMBER(F188),F188,E188)-IF(ISNUMBER(F187),F187,E187))=0),"",(L188-L187)/((IF(ISNUMBER(F188),F188,E188)-IF(ISNUMBER(F187),F187,E187))/100))</f>
        <v/>
      </c>
      <c r="U188" s="28" t="n"/>
      <c r="V188" s="28" t="n"/>
      <c r="W188" s="31" t="n"/>
    </row>
    <row r="189">
      <c r="A189" s="25" t="inlineStr">
        <is>
          <t>S16</t>
        </is>
      </c>
      <c r="B189" s="25" t="inlineStr">
        <is>
          <t>예천 신규점</t>
        </is>
      </c>
      <c r="C189" s="25" t="inlineStr">
        <is>
          <t>S16-V</t>
        </is>
      </c>
      <c r="D189" s="25" t="inlineStr">
        <is>
          <t>측정</t>
        </is>
      </c>
      <c r="E189" s="48" t="n">
        <v>80</v>
      </c>
      <c r="F189" s="40" t="n"/>
      <c r="G189" s="28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IF(COUNTIFS($C:$C,$C189,$D:$D,"기준(전)",$L:$L,"&gt;0")&lt;&gt;1,"기준(전) 유효 1개 아님",IF(COUNTIFS($C:$C,$C189,$D:$D,"기준(후)",$L:$L,"&gt;0")&lt;&gt;1,"기준(후) 유효 1개 아님",IF(NOT(AND(ISNUMBER(N189),ISNUMBER(P189),ISNUMBER(H189))),"시각 결측",IF(P189&lt;=N189,"기준 시각 역전",IF(OR(H189&lt;N189,H189&gt;P189),"측정시각 구간 밖","OK")))))</f>
        <v/>
      </c>
      <c r="N189" s="45">
        <f>IF(COUNTIFS($C:$C,$C189,$D:$D,"기준(전)",$L:$L,"&gt;0")&lt;&gt;1,"",SUMIFS($H:$H,$C:$C,$C189,$D:$D,"기준(전)"))</f>
        <v/>
      </c>
      <c r="O189" s="30">
        <f>IF(COUNTIFS($C:$C,$C189,$D:$D,"기준(전)",$L:$L,"&gt;0")&lt;&gt;1,"",SUMIFS($L:$L,$C:$C,$C189,$D:$D,"기준(전)"))</f>
        <v/>
      </c>
      <c r="P189" s="45">
        <f>IF(COUNTIFS($C:$C,$C189,$D:$D,"기준(후)",$L:$L,"&gt;0")&lt;&gt;1,"",SUMIFS($H:$H,$C:$C,$C189,$D:$D,"기준(후)"))</f>
        <v/>
      </c>
      <c r="Q189" s="30">
        <f>IF(COUNTIFS($C:$C,$C189,$D:$D,"기준(후)",$L:$L,"&gt;0")&lt;&gt;1,"",SUMIFS($L:$L,$C:$C,$C189,$D:$D,"기준(후)"))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IF(OR($D188&lt;&gt;"측정",$C188&lt;&gt;$C189,NOT(ISNUMBER(L189)),NOT(ISNUMBER(L188)),(IF(ISNUMBER(F189),F189,E189)-IF(ISNUMBER(F188),F188,E188))=0),"",(L189-L188)/((IF(ISNUMBER(F189),F189,E189)-IF(ISNUMBER(F188),F188,E188))/100))</f>
        <v/>
      </c>
      <c r="U189" s="28" t="n"/>
      <c r="V189" s="28" t="n"/>
      <c r="W189" s="31" t="n"/>
    </row>
    <row r="190">
      <c r="A190" s="25" t="inlineStr">
        <is>
          <t>S16</t>
        </is>
      </c>
      <c r="B190" s="25" t="inlineStr">
        <is>
          <t>예천 신규점</t>
        </is>
      </c>
      <c r="C190" s="25" t="inlineStr">
        <is>
          <t>S16-V</t>
        </is>
      </c>
      <c r="D190" s="25" t="inlineStr">
        <is>
          <t>측정</t>
        </is>
      </c>
      <c r="E190" s="48" t="n">
        <v>100</v>
      </c>
      <c r="F190" s="40" t="n"/>
      <c r="G190" s="28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IF(COUNTIFS($C:$C,$C190,$D:$D,"기준(전)",$L:$L,"&gt;0")&lt;&gt;1,"기준(전) 유효 1개 아님",IF(COUNTIFS($C:$C,$C190,$D:$D,"기준(후)",$L:$L,"&gt;0")&lt;&gt;1,"기준(후) 유효 1개 아님",IF(NOT(AND(ISNUMBER(N190),ISNUMBER(P190),ISNUMBER(H190))),"시각 결측",IF(P190&lt;=N190,"기준 시각 역전",IF(OR(H190&lt;N190,H190&gt;P190),"측정시각 구간 밖","OK")))))</f>
        <v/>
      </c>
      <c r="N190" s="45">
        <f>IF(COUNTIFS($C:$C,$C190,$D:$D,"기준(전)",$L:$L,"&gt;0")&lt;&gt;1,"",SUMIFS($H:$H,$C:$C,$C190,$D:$D,"기준(전)"))</f>
        <v/>
      </c>
      <c r="O190" s="30">
        <f>IF(COUNTIFS($C:$C,$C190,$D:$D,"기준(전)",$L:$L,"&gt;0")&lt;&gt;1,"",SUMIFS($L:$L,$C:$C,$C190,$D:$D,"기준(전)"))</f>
        <v/>
      </c>
      <c r="P190" s="45">
        <f>IF(COUNTIFS($C:$C,$C190,$D:$D,"기준(후)",$L:$L,"&gt;0")&lt;&gt;1,"",SUMIFS($H:$H,$C:$C,$C190,$D:$D,"기준(후)"))</f>
        <v/>
      </c>
      <c r="Q190" s="30">
        <f>IF(COUNTIFS($C:$C,$C190,$D:$D,"기준(후)",$L:$L,"&gt;0")&lt;&gt;1,"",SUMIFS($L:$L,$C:$C,$C190,$D:$D,"기준(후)"))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IF(OR($D189&lt;&gt;"측정",$C189&lt;&gt;$C190,NOT(ISNUMBER(L190)),NOT(ISNUMBER(L189)),(IF(ISNUMBER(F190),F190,E190)-IF(ISNUMBER(F189),F189,E189))=0),"",(L190-L189)/((IF(ISNUMBER(F190),F190,E190)-IF(ISNUMBER(F189),F189,E189))/100))</f>
        <v/>
      </c>
      <c r="U190" s="28" t="n"/>
      <c r="V190" s="28" t="n"/>
      <c r="W190" s="31" t="n"/>
    </row>
    <row r="191">
      <c r="A191" s="25" t="inlineStr">
        <is>
          <t>S16</t>
        </is>
      </c>
      <c r="B191" s="25" t="inlineStr">
        <is>
          <t>예천 신규점</t>
        </is>
      </c>
      <c r="C191" s="25" t="inlineStr">
        <is>
          <t>S16-V</t>
        </is>
      </c>
      <c r="D191" s="25" t="inlineStr">
        <is>
          <t>측정</t>
        </is>
      </c>
      <c r="E191" s="48" t="n">
        <v>120</v>
      </c>
      <c r="F191" s="40" t="n"/>
      <c r="G191" s="28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IF(COUNTIFS($C:$C,$C191,$D:$D,"기준(전)",$L:$L,"&gt;0")&lt;&gt;1,"기준(전) 유효 1개 아님",IF(COUNTIFS($C:$C,$C191,$D:$D,"기준(후)",$L:$L,"&gt;0")&lt;&gt;1,"기준(후) 유효 1개 아님",IF(NOT(AND(ISNUMBER(N191),ISNUMBER(P191),ISNUMBER(H191))),"시각 결측",IF(P191&lt;=N191,"기준 시각 역전",IF(OR(H191&lt;N191,H191&gt;P191),"측정시각 구간 밖","OK")))))</f>
        <v/>
      </c>
      <c r="N191" s="45">
        <f>IF(COUNTIFS($C:$C,$C191,$D:$D,"기준(전)",$L:$L,"&gt;0")&lt;&gt;1,"",SUMIFS($H:$H,$C:$C,$C191,$D:$D,"기준(전)"))</f>
        <v/>
      </c>
      <c r="O191" s="30">
        <f>IF(COUNTIFS($C:$C,$C191,$D:$D,"기준(전)",$L:$L,"&gt;0")&lt;&gt;1,"",SUMIFS($L:$L,$C:$C,$C191,$D:$D,"기준(전)"))</f>
        <v/>
      </c>
      <c r="P191" s="45">
        <f>IF(COUNTIFS($C:$C,$C191,$D:$D,"기준(후)",$L:$L,"&gt;0")&lt;&gt;1,"",SUMIFS($H:$H,$C:$C,$C191,$D:$D,"기준(후)"))</f>
        <v/>
      </c>
      <c r="Q191" s="30">
        <f>IF(COUNTIFS($C:$C,$C191,$D:$D,"기준(후)",$L:$L,"&gt;0")&lt;&gt;1,"",SUMIFS($L:$L,$C:$C,$C191,$D:$D,"기준(후)"))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IF(OR($D190&lt;&gt;"측정",$C190&lt;&gt;$C191,NOT(ISNUMBER(L191)),NOT(ISNUMBER(L190)),(IF(ISNUMBER(F191),F191,E191)-IF(ISNUMBER(F190),F190,E190))=0),"",(L191-L190)/((IF(ISNUMBER(F191),F191,E191)-IF(ISNUMBER(F190),F190,E190))/100))</f>
        <v/>
      </c>
      <c r="U191" s="28" t="n"/>
      <c r="V191" s="28" t="n"/>
      <c r="W191" s="31" t="n"/>
    </row>
    <row r="192">
      <c r="A192" s="25" t="inlineStr">
        <is>
          <t>S16</t>
        </is>
      </c>
      <c r="B192" s="25" t="inlineStr">
        <is>
          <t>예천 신규점</t>
        </is>
      </c>
      <c r="C192" s="25" t="inlineStr">
        <is>
          <t>S16-V</t>
        </is>
      </c>
      <c r="D192" s="25" t="inlineStr">
        <is>
          <t>측정</t>
        </is>
      </c>
      <c r="E192" s="48" t="n">
        <v>140</v>
      </c>
      <c r="F192" s="40" t="n"/>
      <c r="G192" s="28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IF(COUNTIFS($C:$C,$C192,$D:$D,"기준(전)",$L:$L,"&gt;0")&lt;&gt;1,"기준(전) 유효 1개 아님",IF(COUNTIFS($C:$C,$C192,$D:$D,"기준(후)",$L:$L,"&gt;0")&lt;&gt;1,"기준(후) 유효 1개 아님",IF(NOT(AND(ISNUMBER(N192),ISNUMBER(P192),ISNUMBER(H192))),"시각 결측",IF(P192&lt;=N192,"기준 시각 역전",IF(OR(H192&lt;N192,H192&gt;P192),"측정시각 구간 밖","OK")))))</f>
        <v/>
      </c>
      <c r="N192" s="45">
        <f>IF(COUNTIFS($C:$C,$C192,$D:$D,"기준(전)",$L:$L,"&gt;0")&lt;&gt;1,"",SUMIFS($H:$H,$C:$C,$C192,$D:$D,"기준(전)"))</f>
        <v/>
      </c>
      <c r="O192" s="30">
        <f>IF(COUNTIFS($C:$C,$C192,$D:$D,"기준(전)",$L:$L,"&gt;0")&lt;&gt;1,"",SUMIFS($L:$L,$C:$C,$C192,$D:$D,"기준(전)"))</f>
        <v/>
      </c>
      <c r="P192" s="45">
        <f>IF(COUNTIFS($C:$C,$C192,$D:$D,"기준(후)",$L:$L,"&gt;0")&lt;&gt;1,"",SUMIFS($H:$H,$C:$C,$C192,$D:$D,"기준(후)"))</f>
        <v/>
      </c>
      <c r="Q192" s="30">
        <f>IF(COUNTIFS($C:$C,$C192,$D:$D,"기준(후)",$L:$L,"&gt;0")&lt;&gt;1,"",SUMIFS($L:$L,$C:$C,$C192,$D:$D,"기준(후)"))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IF(OR($D191&lt;&gt;"측정",$C191&lt;&gt;$C192,NOT(ISNUMBER(L192)),NOT(ISNUMBER(L191)),(IF(ISNUMBER(F192),F192,E192)-IF(ISNUMBER(F191),F191,E191))=0),"",(L192-L191)/((IF(ISNUMBER(F192),F192,E192)-IF(ISNUMBER(F191),F191,E191))/100))</f>
        <v/>
      </c>
      <c r="U192" s="28" t="n"/>
      <c r="V192" s="28" t="n"/>
      <c r="W192" s="31" t="n"/>
    </row>
    <row r="193">
      <c r="A193" s="25" t="inlineStr">
        <is>
          <t>S16</t>
        </is>
      </c>
      <c r="B193" s="25" t="inlineStr">
        <is>
          <t>예천 신규점</t>
        </is>
      </c>
      <c r="C193" s="25" t="inlineStr">
        <is>
          <t>S16-V</t>
        </is>
      </c>
      <c r="D193" s="25" t="inlineStr">
        <is>
          <t>측정</t>
        </is>
      </c>
      <c r="E193" s="48" t="n">
        <v>160</v>
      </c>
      <c r="F193" s="40" t="n"/>
      <c r="G193" s="28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IF(COUNTIFS($C:$C,$C193,$D:$D,"기준(전)",$L:$L,"&gt;0")&lt;&gt;1,"기준(전) 유효 1개 아님",IF(COUNTIFS($C:$C,$C193,$D:$D,"기준(후)",$L:$L,"&gt;0")&lt;&gt;1,"기준(후) 유효 1개 아님",IF(NOT(AND(ISNUMBER(N193),ISNUMBER(P193),ISNUMBER(H193))),"시각 결측",IF(P193&lt;=N193,"기준 시각 역전",IF(OR(H193&lt;N193,H193&gt;P193),"측정시각 구간 밖","OK")))))</f>
        <v/>
      </c>
      <c r="N193" s="45">
        <f>IF(COUNTIFS($C:$C,$C193,$D:$D,"기준(전)",$L:$L,"&gt;0")&lt;&gt;1,"",SUMIFS($H:$H,$C:$C,$C193,$D:$D,"기준(전)"))</f>
        <v/>
      </c>
      <c r="O193" s="30">
        <f>IF(COUNTIFS($C:$C,$C193,$D:$D,"기준(전)",$L:$L,"&gt;0")&lt;&gt;1,"",SUMIFS($L:$L,$C:$C,$C193,$D:$D,"기준(전)"))</f>
        <v/>
      </c>
      <c r="P193" s="45">
        <f>IF(COUNTIFS($C:$C,$C193,$D:$D,"기준(후)",$L:$L,"&gt;0")&lt;&gt;1,"",SUMIFS($H:$H,$C:$C,$C193,$D:$D,"기준(후)"))</f>
        <v/>
      </c>
      <c r="Q193" s="30">
        <f>IF(COUNTIFS($C:$C,$C193,$D:$D,"기준(후)",$L:$L,"&gt;0")&lt;&gt;1,"",SUMIFS($L:$L,$C:$C,$C193,$D:$D,"기준(후)"))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IF(OR($D192&lt;&gt;"측정",$C192&lt;&gt;$C193,NOT(ISNUMBER(L193)),NOT(ISNUMBER(L192)),(IF(ISNUMBER(F193),F193,E193)-IF(ISNUMBER(F192),F192,E192))=0),"",(L193-L192)/((IF(ISNUMBER(F193),F193,E193)-IF(ISNUMBER(F192),F192,E192))/100))</f>
        <v/>
      </c>
      <c r="U193" s="28" t="n"/>
      <c r="V193" s="28" t="n"/>
      <c r="W193" s="31" t="n"/>
    </row>
    <row r="194">
      <c r="A194" s="25" t="inlineStr">
        <is>
          <t>S16</t>
        </is>
      </c>
      <c r="B194" s="25" t="inlineStr">
        <is>
          <t>예천 신규점</t>
        </is>
      </c>
      <c r="C194" s="25" t="inlineStr">
        <is>
          <t>S16-V</t>
        </is>
      </c>
      <c r="D194" s="25" t="inlineStr">
        <is>
          <t>측정</t>
        </is>
      </c>
      <c r="E194" s="48" t="n">
        <v>180</v>
      </c>
      <c r="F194" s="40" t="n"/>
      <c r="G194" s="28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IF(COUNTIFS($C:$C,$C194,$D:$D,"기준(전)",$L:$L,"&gt;0")&lt;&gt;1,"기준(전) 유효 1개 아님",IF(COUNTIFS($C:$C,$C194,$D:$D,"기준(후)",$L:$L,"&gt;0")&lt;&gt;1,"기준(후) 유효 1개 아님",IF(NOT(AND(ISNUMBER(N194),ISNUMBER(P194),ISNUMBER(H194))),"시각 결측",IF(P194&lt;=N194,"기준 시각 역전",IF(OR(H194&lt;N194,H194&gt;P194),"측정시각 구간 밖","OK")))))</f>
        <v/>
      </c>
      <c r="N194" s="45">
        <f>IF(COUNTIFS($C:$C,$C194,$D:$D,"기준(전)",$L:$L,"&gt;0")&lt;&gt;1,"",SUMIFS($H:$H,$C:$C,$C194,$D:$D,"기준(전)"))</f>
        <v/>
      </c>
      <c r="O194" s="30">
        <f>IF(COUNTIFS($C:$C,$C194,$D:$D,"기준(전)",$L:$L,"&gt;0")&lt;&gt;1,"",SUMIFS($L:$L,$C:$C,$C194,$D:$D,"기준(전)"))</f>
        <v/>
      </c>
      <c r="P194" s="45">
        <f>IF(COUNTIFS($C:$C,$C194,$D:$D,"기준(후)",$L:$L,"&gt;0")&lt;&gt;1,"",SUMIFS($H:$H,$C:$C,$C194,$D:$D,"기준(후)"))</f>
        <v/>
      </c>
      <c r="Q194" s="30">
        <f>IF(COUNTIFS($C:$C,$C194,$D:$D,"기준(후)",$L:$L,"&gt;0")&lt;&gt;1,"",SUMIFS($L:$L,$C:$C,$C194,$D:$D,"기준(후)"))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IF(OR($D193&lt;&gt;"측정",$C193&lt;&gt;$C194,NOT(ISNUMBER(L194)),NOT(ISNUMBER(L193)),(IF(ISNUMBER(F194),F194,E194)-IF(ISNUMBER(F193),F193,E193))=0),"",(L194-L193)/((IF(ISNUMBER(F194),F194,E194)-IF(ISNUMBER(F193),F193,E193))/100))</f>
        <v/>
      </c>
      <c r="U194" s="28" t="n"/>
      <c r="V194" s="28" t="n"/>
      <c r="W194" s="31" t="n"/>
    </row>
    <row r="195">
      <c r="A195" s="25" t="inlineStr">
        <is>
          <t>S16</t>
        </is>
      </c>
      <c r="B195" s="25" t="inlineStr">
        <is>
          <t>예천 신규점</t>
        </is>
      </c>
      <c r="C195" s="25" t="inlineStr">
        <is>
          <t>S16-V</t>
        </is>
      </c>
      <c r="D195" s="25" t="inlineStr">
        <is>
          <t>측정</t>
        </is>
      </c>
      <c r="E195" s="48" t="n">
        <v>200</v>
      </c>
      <c r="F195" s="40" t="n"/>
      <c r="G195" s="28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IF(COUNTIFS($C:$C,$C195,$D:$D,"기준(전)",$L:$L,"&gt;0")&lt;&gt;1,"기준(전) 유효 1개 아님",IF(COUNTIFS($C:$C,$C195,$D:$D,"기준(후)",$L:$L,"&gt;0")&lt;&gt;1,"기준(후) 유효 1개 아님",IF(NOT(AND(ISNUMBER(N195),ISNUMBER(P195),ISNUMBER(H195))),"시각 결측",IF(P195&lt;=N195,"기준 시각 역전",IF(OR(H195&lt;N195,H195&gt;P195),"측정시각 구간 밖","OK")))))</f>
        <v/>
      </c>
      <c r="N195" s="45">
        <f>IF(COUNTIFS($C:$C,$C195,$D:$D,"기준(전)",$L:$L,"&gt;0")&lt;&gt;1,"",SUMIFS($H:$H,$C:$C,$C195,$D:$D,"기준(전)"))</f>
        <v/>
      </c>
      <c r="O195" s="30">
        <f>IF(COUNTIFS($C:$C,$C195,$D:$D,"기준(전)",$L:$L,"&gt;0")&lt;&gt;1,"",SUMIFS($L:$L,$C:$C,$C195,$D:$D,"기준(전)"))</f>
        <v/>
      </c>
      <c r="P195" s="45">
        <f>IF(COUNTIFS($C:$C,$C195,$D:$D,"기준(후)",$L:$L,"&gt;0")&lt;&gt;1,"",SUMIFS($H:$H,$C:$C,$C195,$D:$D,"기준(후)"))</f>
        <v/>
      </c>
      <c r="Q195" s="30">
        <f>IF(COUNTIFS($C:$C,$C195,$D:$D,"기준(후)",$L:$L,"&gt;0")&lt;&gt;1,"",SUMIFS($L:$L,$C:$C,$C195,$D:$D,"기준(후)"))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IF(OR($D194&lt;&gt;"측정",$C194&lt;&gt;$C195,NOT(ISNUMBER(L195)),NOT(ISNUMBER(L194)),(IF(ISNUMBER(F195),F195,E195)-IF(ISNUMBER(F194),F194,E194))=0),"",(L195-L194)/((IF(ISNUMBER(F195),F195,E195)-IF(ISNUMBER(F194),F194,E194))/100))</f>
        <v/>
      </c>
      <c r="U195" s="28" t="n"/>
      <c r="V195" s="28" t="n"/>
      <c r="W195" s="31" t="n"/>
    </row>
    <row r="196">
      <c r="A196" s="43" t="inlineStr">
        <is>
          <t>S16</t>
        </is>
      </c>
      <c r="B196" s="43" t="inlineStr">
        <is>
          <t>예천 신규점</t>
        </is>
      </c>
      <c r="C196" s="43" t="inlineStr">
        <is>
          <t>S16-V</t>
        </is>
      </c>
      <c r="D196" s="43" t="inlineStr">
        <is>
          <t>기준(후)</t>
        </is>
      </c>
      <c r="E196" s="47" t="n"/>
      <c r="F196" s="40" t="n"/>
      <c r="G196" s="28" t="n"/>
      <c r="H196" s="42" t="n"/>
      <c r="I196" s="40" t="n"/>
      <c r="J196" s="40" t="n"/>
      <c r="K196" s="40" t="n"/>
      <c r="L196" s="30">
        <f>IF(COUNT(I196:K196)=0,"",MEDIAN(I196:K196))</f>
        <v/>
      </c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28" t="n"/>
      <c r="V196" s="28" t="n"/>
      <c r="W196" s="31" t="n"/>
    </row>
    <row r="197">
      <c r="A197" s="43" t="inlineStr">
        <is>
          <t>S17</t>
        </is>
      </c>
      <c r="B197" s="43" t="inlineStr">
        <is>
          <t>영양 신규점4</t>
        </is>
      </c>
      <c r="C197" s="43" t="inlineStr">
        <is>
          <t>S17-V</t>
        </is>
      </c>
      <c r="D197" s="43" t="inlineStr">
        <is>
          <t>기준(전)</t>
        </is>
      </c>
      <c r="E197" s="47" t="n"/>
      <c r="F197" s="40" t="n"/>
      <c r="G197" s="28" t="n"/>
      <c r="H197" s="42" t="n"/>
      <c r="I197" s="40" t="n"/>
      <c r="J197" s="40" t="n"/>
      <c r="K197" s="40" t="n"/>
      <c r="L197" s="30">
        <f>IF(COUNT(I197:K197)=0,"",MEDIAN(I197:K197))</f>
        <v/>
      </c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28" t="n"/>
      <c r="V197" s="28" t="n"/>
      <c r="W197" s="31" t="n"/>
    </row>
    <row r="198">
      <c r="A198" s="25" t="inlineStr">
        <is>
          <t>S17</t>
        </is>
      </c>
      <c r="B198" s="25" t="inlineStr">
        <is>
          <t>영양 신규점4</t>
        </is>
      </c>
      <c r="C198" s="25" t="inlineStr">
        <is>
          <t>S17-V</t>
        </is>
      </c>
      <c r="D198" s="25" t="inlineStr">
        <is>
          <t>측정</t>
        </is>
      </c>
      <c r="E198" s="48" t="n">
        <v>20</v>
      </c>
      <c r="F198" s="40" t="n"/>
      <c r="G198" s="28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IF(COUNTIFS($C:$C,$C198,$D:$D,"기준(전)",$L:$L,"&gt;0")&lt;&gt;1,"기준(전) 유효 1개 아님",IF(COUNTIFS($C:$C,$C198,$D:$D,"기준(후)",$L:$L,"&gt;0")&lt;&gt;1,"기준(후) 유효 1개 아님",IF(NOT(AND(ISNUMBER(N198),ISNUMBER(P198),ISNUMBER(H198))),"시각 결측",IF(P198&lt;=N198,"기준 시각 역전",IF(OR(H198&lt;N198,H198&gt;P198),"측정시각 구간 밖","OK")))))</f>
        <v/>
      </c>
      <c r="N198" s="45">
        <f>IF(COUNTIFS($C:$C,$C198,$D:$D,"기준(전)",$L:$L,"&gt;0")&lt;&gt;1,"",SUMIFS($H:$H,$C:$C,$C198,$D:$D,"기준(전)"))</f>
        <v/>
      </c>
      <c r="O198" s="30">
        <f>IF(COUNTIFS($C:$C,$C198,$D:$D,"기준(전)",$L:$L,"&gt;0")&lt;&gt;1,"",SUMIFS($L:$L,$C:$C,$C198,$D:$D,"기준(전)"))</f>
        <v/>
      </c>
      <c r="P198" s="45">
        <f>IF(COUNTIFS($C:$C,$C198,$D:$D,"기준(후)",$L:$L,"&gt;0")&lt;&gt;1,"",SUMIFS($H:$H,$C:$C,$C198,$D:$D,"기준(후)"))</f>
        <v/>
      </c>
      <c r="Q198" s="30">
        <f>IF(COUNTIFS($C:$C,$C198,$D:$D,"기준(후)",$L:$L,"&gt;0")&lt;&gt;1,"",SUMIFS($L:$L,$C:$C,$C198,$D:$D,"기준(후)"))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IF(OR($D197&lt;&gt;"측정",$C197&lt;&gt;$C198,NOT(ISNUMBER(L198)),NOT(ISNUMBER(L197)),(IF(ISNUMBER(F198),F198,E198)-IF(ISNUMBER(F197),F197,E197))=0),"",(L198-L197)/((IF(ISNUMBER(F198),F198,E198)-IF(ISNUMBER(F197),F197,E197))/100))</f>
        <v/>
      </c>
      <c r="U198" s="28" t="n"/>
      <c r="V198" s="28" t="n"/>
      <c r="W198" s="31" t="n"/>
    </row>
    <row r="199">
      <c r="A199" s="25" t="inlineStr">
        <is>
          <t>S17</t>
        </is>
      </c>
      <c r="B199" s="25" t="inlineStr">
        <is>
          <t>영양 신규점4</t>
        </is>
      </c>
      <c r="C199" s="25" t="inlineStr">
        <is>
          <t>S17-V</t>
        </is>
      </c>
      <c r="D199" s="25" t="inlineStr">
        <is>
          <t>측정</t>
        </is>
      </c>
      <c r="E199" s="48" t="n">
        <v>40</v>
      </c>
      <c r="F199" s="40" t="n"/>
      <c r="G199" s="28" t="n"/>
      <c r="H199" s="42" t="n"/>
      <c r="I199" s="40" t="n"/>
      <c r="J199" s="40" t="n"/>
      <c r="K199" s="40" t="n"/>
      <c r="L199" s="30">
        <f>IF(COUNT(I199:K199)=0,"",MEDIAN(I199:K199))</f>
        <v/>
      </c>
      <c r="M199" s="25">
        <f>IF(COUNTIFS($C:$C,$C199,$D:$D,"기준(전)",$L:$L,"&gt;0")&lt;&gt;1,"기준(전) 유효 1개 아님",IF(COUNTIFS($C:$C,$C199,$D:$D,"기준(후)",$L:$L,"&gt;0")&lt;&gt;1,"기준(후) 유효 1개 아님",IF(NOT(AND(ISNUMBER(N199),ISNUMBER(P199),ISNUMBER(H199))),"시각 결측",IF(P199&lt;=N199,"기준 시각 역전",IF(OR(H199&lt;N199,H199&gt;P199),"측정시각 구간 밖","OK")))))</f>
        <v/>
      </c>
      <c r="N199" s="45">
        <f>IF(COUNTIFS($C:$C,$C199,$D:$D,"기준(전)",$L:$L,"&gt;0")&lt;&gt;1,"",SUMIFS($H:$H,$C:$C,$C199,$D:$D,"기준(전)"))</f>
        <v/>
      </c>
      <c r="O199" s="30">
        <f>IF(COUNTIFS($C:$C,$C199,$D:$D,"기준(전)",$L:$L,"&gt;0")&lt;&gt;1,"",SUMIFS($L:$L,$C:$C,$C199,$D:$D,"기준(전)"))</f>
        <v/>
      </c>
      <c r="P199" s="45">
        <f>IF(COUNTIFS($C:$C,$C199,$D:$D,"기준(후)",$L:$L,"&gt;0")&lt;&gt;1,"",SUMIFS($H:$H,$C:$C,$C199,$D:$D,"기준(후)"))</f>
        <v/>
      </c>
      <c r="Q199" s="30">
        <f>IF(COUNTIFS($C:$C,$C199,$D:$D,"기준(후)",$L:$L,"&gt;0")&lt;&gt;1,"",SUMIFS($L:$L,$C:$C,$C199,$D:$D,"기준(후)"))</f>
        <v/>
      </c>
      <c r="R199" s="30">
        <f>IF(M199&lt;&gt;"OK","",O199+(Q199-O199)*(H199-N199)/(P199-N199))</f>
        <v/>
      </c>
      <c r="S199" s="30">
        <f>IF(OR(M199&lt;&gt;"OK",NOT(ISNUMBER(L199))),"",L199-R199)</f>
        <v/>
      </c>
      <c r="T199" s="46">
        <f>IF(OR($D198&lt;&gt;"측정",$C198&lt;&gt;$C199,NOT(ISNUMBER(L199)),NOT(ISNUMBER(L198)),(IF(ISNUMBER(F199),F199,E199)-IF(ISNUMBER(F198),F198,E198))=0),"",(L199-L198)/((IF(ISNUMBER(F199),F199,E199)-IF(ISNUMBER(F198),F198,E198))/100))</f>
        <v/>
      </c>
      <c r="U199" s="28" t="n"/>
      <c r="V199" s="28" t="n"/>
      <c r="W199" s="31" t="n"/>
    </row>
    <row r="200">
      <c r="A200" s="25" t="inlineStr">
        <is>
          <t>S17</t>
        </is>
      </c>
      <c r="B200" s="25" t="inlineStr">
        <is>
          <t>영양 신규점4</t>
        </is>
      </c>
      <c r="C200" s="25" t="inlineStr">
        <is>
          <t>S17-V</t>
        </is>
      </c>
      <c r="D200" s="25" t="inlineStr">
        <is>
          <t>측정</t>
        </is>
      </c>
      <c r="E200" s="48" t="n">
        <v>60</v>
      </c>
      <c r="F200" s="40" t="n"/>
      <c r="G200" s="28" t="n"/>
      <c r="H200" s="42" t="n"/>
      <c r="I200" s="40" t="n"/>
      <c r="J200" s="40" t="n"/>
      <c r="K200" s="40" t="n"/>
      <c r="L200" s="30">
        <f>IF(COUNT(I200:K200)=0,"",MEDIAN(I200:K200))</f>
        <v/>
      </c>
      <c r="M200" s="25">
        <f>IF(COUNTIFS($C:$C,$C200,$D:$D,"기준(전)",$L:$L,"&gt;0")&lt;&gt;1,"기준(전) 유효 1개 아님",IF(COUNTIFS($C:$C,$C200,$D:$D,"기준(후)",$L:$L,"&gt;0")&lt;&gt;1,"기준(후) 유효 1개 아님",IF(NOT(AND(ISNUMBER(N200),ISNUMBER(P200),ISNUMBER(H200))),"시각 결측",IF(P200&lt;=N200,"기준 시각 역전",IF(OR(H200&lt;N200,H200&gt;P200),"측정시각 구간 밖","OK")))))</f>
        <v/>
      </c>
      <c r="N200" s="45">
        <f>IF(COUNTIFS($C:$C,$C200,$D:$D,"기준(전)",$L:$L,"&gt;0")&lt;&gt;1,"",SUMIFS($H:$H,$C:$C,$C200,$D:$D,"기준(전)"))</f>
        <v/>
      </c>
      <c r="O200" s="30">
        <f>IF(COUNTIFS($C:$C,$C200,$D:$D,"기준(전)",$L:$L,"&gt;0")&lt;&gt;1,"",SUMIFS($L:$L,$C:$C,$C200,$D:$D,"기준(전)"))</f>
        <v/>
      </c>
      <c r="P200" s="45">
        <f>IF(COUNTIFS($C:$C,$C200,$D:$D,"기준(후)",$L:$L,"&gt;0")&lt;&gt;1,"",SUMIFS($H:$H,$C:$C,$C200,$D:$D,"기준(후)"))</f>
        <v/>
      </c>
      <c r="Q200" s="30">
        <f>IF(COUNTIFS($C:$C,$C200,$D:$D,"기준(후)",$L:$L,"&gt;0")&lt;&gt;1,"",SUMIFS($L:$L,$C:$C,$C200,$D:$D,"기준(후)"))</f>
        <v/>
      </c>
      <c r="R200" s="30">
        <f>IF(M200&lt;&gt;"OK","",O200+(Q200-O200)*(H200-N200)/(P200-N200))</f>
        <v/>
      </c>
      <c r="S200" s="30">
        <f>IF(OR(M200&lt;&gt;"OK",NOT(ISNUMBER(L200))),"",L200-R200)</f>
        <v/>
      </c>
      <c r="T200" s="46">
        <f>IF(OR($D199&lt;&gt;"측정",$C199&lt;&gt;$C200,NOT(ISNUMBER(L200)),NOT(ISNUMBER(L199)),(IF(ISNUMBER(F200),F200,E200)-IF(ISNUMBER(F199),F199,E199))=0),"",(L200-L199)/((IF(ISNUMBER(F200),F200,E200)-IF(ISNUMBER(F199),F199,E199))/100))</f>
        <v/>
      </c>
      <c r="U200" s="28" t="n"/>
      <c r="V200" s="28" t="n"/>
      <c r="W200" s="31" t="n"/>
    </row>
    <row r="201">
      <c r="A201" s="25" t="inlineStr">
        <is>
          <t>S17</t>
        </is>
      </c>
      <c r="B201" s="25" t="inlineStr">
        <is>
          <t>영양 신규점4</t>
        </is>
      </c>
      <c r="C201" s="25" t="inlineStr">
        <is>
          <t>S17-V</t>
        </is>
      </c>
      <c r="D201" s="25" t="inlineStr">
        <is>
          <t>측정</t>
        </is>
      </c>
      <c r="E201" s="48" t="n">
        <v>80</v>
      </c>
      <c r="F201" s="40" t="n"/>
      <c r="G201" s="28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IF(COUNTIFS($C:$C,$C201,$D:$D,"기준(전)",$L:$L,"&gt;0")&lt;&gt;1,"기준(전) 유효 1개 아님",IF(COUNTIFS($C:$C,$C201,$D:$D,"기준(후)",$L:$L,"&gt;0")&lt;&gt;1,"기준(후) 유효 1개 아님",IF(NOT(AND(ISNUMBER(N201),ISNUMBER(P201),ISNUMBER(H201))),"시각 결측",IF(P201&lt;=N201,"기준 시각 역전",IF(OR(H201&lt;N201,H201&gt;P201),"측정시각 구간 밖","OK")))))</f>
        <v/>
      </c>
      <c r="N201" s="45">
        <f>IF(COUNTIFS($C:$C,$C201,$D:$D,"기준(전)",$L:$L,"&gt;0")&lt;&gt;1,"",SUMIFS($H:$H,$C:$C,$C201,$D:$D,"기준(전)"))</f>
        <v/>
      </c>
      <c r="O201" s="30">
        <f>IF(COUNTIFS($C:$C,$C201,$D:$D,"기준(전)",$L:$L,"&gt;0")&lt;&gt;1,"",SUMIFS($L:$L,$C:$C,$C201,$D:$D,"기준(전)"))</f>
        <v/>
      </c>
      <c r="P201" s="45">
        <f>IF(COUNTIFS($C:$C,$C201,$D:$D,"기준(후)",$L:$L,"&gt;0")&lt;&gt;1,"",SUMIFS($H:$H,$C:$C,$C201,$D:$D,"기준(후)"))</f>
        <v/>
      </c>
      <c r="Q201" s="30">
        <f>IF(COUNTIFS($C:$C,$C201,$D:$D,"기준(후)",$L:$L,"&gt;0")&lt;&gt;1,"",SUMIFS($L:$L,$C:$C,$C201,$D:$D,"기준(후)"))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IF(OR($D200&lt;&gt;"측정",$C200&lt;&gt;$C201,NOT(ISNUMBER(L201)),NOT(ISNUMBER(L200)),(IF(ISNUMBER(F201),F201,E201)-IF(ISNUMBER(F200),F200,E200))=0),"",(L201-L200)/((IF(ISNUMBER(F201),F201,E201)-IF(ISNUMBER(F200),F200,E200))/100))</f>
        <v/>
      </c>
      <c r="U201" s="28" t="n"/>
      <c r="V201" s="28" t="n"/>
      <c r="W201" s="31" t="n"/>
    </row>
    <row r="202">
      <c r="A202" s="25" t="inlineStr">
        <is>
          <t>S17</t>
        </is>
      </c>
      <c r="B202" s="25" t="inlineStr">
        <is>
          <t>영양 신규점4</t>
        </is>
      </c>
      <c r="C202" s="25" t="inlineStr">
        <is>
          <t>S17-V</t>
        </is>
      </c>
      <c r="D202" s="25" t="inlineStr">
        <is>
          <t>측정</t>
        </is>
      </c>
      <c r="E202" s="48" t="n">
        <v>100</v>
      </c>
      <c r="F202" s="40" t="n"/>
      <c r="G202" s="28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IF(COUNTIFS($C:$C,$C202,$D:$D,"기준(전)",$L:$L,"&gt;0")&lt;&gt;1,"기준(전) 유효 1개 아님",IF(COUNTIFS($C:$C,$C202,$D:$D,"기준(후)",$L:$L,"&gt;0")&lt;&gt;1,"기준(후) 유효 1개 아님",IF(NOT(AND(ISNUMBER(N202),ISNUMBER(P202),ISNUMBER(H202))),"시각 결측",IF(P202&lt;=N202,"기준 시각 역전",IF(OR(H202&lt;N202,H202&gt;P202),"측정시각 구간 밖","OK")))))</f>
        <v/>
      </c>
      <c r="N202" s="45">
        <f>IF(COUNTIFS($C:$C,$C202,$D:$D,"기준(전)",$L:$L,"&gt;0")&lt;&gt;1,"",SUMIFS($H:$H,$C:$C,$C202,$D:$D,"기준(전)"))</f>
        <v/>
      </c>
      <c r="O202" s="30">
        <f>IF(COUNTIFS($C:$C,$C202,$D:$D,"기준(전)",$L:$L,"&gt;0")&lt;&gt;1,"",SUMIFS($L:$L,$C:$C,$C202,$D:$D,"기준(전)"))</f>
        <v/>
      </c>
      <c r="P202" s="45">
        <f>IF(COUNTIFS($C:$C,$C202,$D:$D,"기준(후)",$L:$L,"&gt;0")&lt;&gt;1,"",SUMIFS($H:$H,$C:$C,$C202,$D:$D,"기준(후)"))</f>
        <v/>
      </c>
      <c r="Q202" s="30">
        <f>IF(COUNTIFS($C:$C,$C202,$D:$D,"기준(후)",$L:$L,"&gt;0")&lt;&gt;1,"",SUMIFS($L:$L,$C:$C,$C202,$D:$D,"기준(후)"))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IF(OR($D201&lt;&gt;"측정",$C201&lt;&gt;$C202,NOT(ISNUMBER(L202)),NOT(ISNUMBER(L201)),(IF(ISNUMBER(F202),F202,E202)-IF(ISNUMBER(F201),F201,E201))=0),"",(L202-L201)/((IF(ISNUMBER(F202),F202,E202)-IF(ISNUMBER(F201),F201,E201))/100))</f>
        <v/>
      </c>
      <c r="U202" s="28" t="n"/>
      <c r="V202" s="28" t="n"/>
      <c r="W202" s="31" t="n"/>
    </row>
    <row r="203">
      <c r="A203" s="25" t="inlineStr">
        <is>
          <t>S17</t>
        </is>
      </c>
      <c r="B203" s="25" t="inlineStr">
        <is>
          <t>영양 신규점4</t>
        </is>
      </c>
      <c r="C203" s="25" t="inlineStr">
        <is>
          <t>S17-V</t>
        </is>
      </c>
      <c r="D203" s="25" t="inlineStr">
        <is>
          <t>측정</t>
        </is>
      </c>
      <c r="E203" s="48" t="n">
        <v>120</v>
      </c>
      <c r="F203" s="40" t="n"/>
      <c r="G203" s="28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IF(COUNTIFS($C:$C,$C203,$D:$D,"기준(전)",$L:$L,"&gt;0")&lt;&gt;1,"기준(전) 유효 1개 아님",IF(COUNTIFS($C:$C,$C203,$D:$D,"기준(후)",$L:$L,"&gt;0")&lt;&gt;1,"기준(후) 유효 1개 아님",IF(NOT(AND(ISNUMBER(N203),ISNUMBER(P203),ISNUMBER(H203))),"시각 결측",IF(P203&lt;=N203,"기준 시각 역전",IF(OR(H203&lt;N203,H203&gt;P203),"측정시각 구간 밖","OK")))))</f>
        <v/>
      </c>
      <c r="N203" s="45">
        <f>IF(COUNTIFS($C:$C,$C203,$D:$D,"기준(전)",$L:$L,"&gt;0")&lt;&gt;1,"",SUMIFS($H:$H,$C:$C,$C203,$D:$D,"기준(전)"))</f>
        <v/>
      </c>
      <c r="O203" s="30">
        <f>IF(COUNTIFS($C:$C,$C203,$D:$D,"기준(전)",$L:$L,"&gt;0")&lt;&gt;1,"",SUMIFS($L:$L,$C:$C,$C203,$D:$D,"기준(전)"))</f>
        <v/>
      </c>
      <c r="P203" s="45">
        <f>IF(COUNTIFS($C:$C,$C203,$D:$D,"기준(후)",$L:$L,"&gt;0")&lt;&gt;1,"",SUMIFS($H:$H,$C:$C,$C203,$D:$D,"기준(후)"))</f>
        <v/>
      </c>
      <c r="Q203" s="30">
        <f>IF(COUNTIFS($C:$C,$C203,$D:$D,"기준(후)",$L:$L,"&gt;0")&lt;&gt;1,"",SUMIFS($L:$L,$C:$C,$C203,$D:$D,"기준(후)"))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IF(OR($D202&lt;&gt;"측정",$C202&lt;&gt;$C203,NOT(ISNUMBER(L203)),NOT(ISNUMBER(L202)),(IF(ISNUMBER(F203),F203,E203)-IF(ISNUMBER(F202),F202,E202))=0),"",(L203-L202)/((IF(ISNUMBER(F203),F203,E203)-IF(ISNUMBER(F202),F202,E202))/100))</f>
        <v/>
      </c>
      <c r="U203" s="28" t="n"/>
      <c r="V203" s="28" t="n"/>
      <c r="W203" s="31" t="n"/>
    </row>
    <row r="204">
      <c r="A204" s="25" t="inlineStr">
        <is>
          <t>S17</t>
        </is>
      </c>
      <c r="B204" s="25" t="inlineStr">
        <is>
          <t>영양 신규점4</t>
        </is>
      </c>
      <c r="C204" s="25" t="inlineStr">
        <is>
          <t>S17-V</t>
        </is>
      </c>
      <c r="D204" s="25" t="inlineStr">
        <is>
          <t>측정</t>
        </is>
      </c>
      <c r="E204" s="48" t="n">
        <v>140</v>
      </c>
      <c r="F204" s="40" t="n"/>
      <c r="G204" s="28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IF(COUNTIFS($C:$C,$C204,$D:$D,"기준(전)",$L:$L,"&gt;0")&lt;&gt;1,"기준(전) 유효 1개 아님",IF(COUNTIFS($C:$C,$C204,$D:$D,"기준(후)",$L:$L,"&gt;0")&lt;&gt;1,"기준(후) 유효 1개 아님",IF(NOT(AND(ISNUMBER(N204),ISNUMBER(P204),ISNUMBER(H204))),"시각 결측",IF(P204&lt;=N204,"기준 시각 역전",IF(OR(H204&lt;N204,H204&gt;P204),"측정시각 구간 밖","OK")))))</f>
        <v/>
      </c>
      <c r="N204" s="45">
        <f>IF(COUNTIFS($C:$C,$C204,$D:$D,"기준(전)",$L:$L,"&gt;0")&lt;&gt;1,"",SUMIFS($H:$H,$C:$C,$C204,$D:$D,"기준(전)"))</f>
        <v/>
      </c>
      <c r="O204" s="30">
        <f>IF(COUNTIFS($C:$C,$C204,$D:$D,"기준(전)",$L:$L,"&gt;0")&lt;&gt;1,"",SUMIFS($L:$L,$C:$C,$C204,$D:$D,"기준(전)"))</f>
        <v/>
      </c>
      <c r="P204" s="45">
        <f>IF(COUNTIFS($C:$C,$C204,$D:$D,"기준(후)",$L:$L,"&gt;0")&lt;&gt;1,"",SUMIFS($H:$H,$C:$C,$C204,$D:$D,"기준(후)"))</f>
        <v/>
      </c>
      <c r="Q204" s="30">
        <f>IF(COUNTIFS($C:$C,$C204,$D:$D,"기준(후)",$L:$L,"&gt;0")&lt;&gt;1,"",SUMIFS($L:$L,$C:$C,$C204,$D:$D,"기준(후)"))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IF(OR($D203&lt;&gt;"측정",$C203&lt;&gt;$C204,NOT(ISNUMBER(L204)),NOT(ISNUMBER(L203)),(IF(ISNUMBER(F204),F204,E204)-IF(ISNUMBER(F203),F203,E203))=0),"",(L204-L203)/((IF(ISNUMBER(F204),F204,E204)-IF(ISNUMBER(F203),F203,E203))/100))</f>
        <v/>
      </c>
      <c r="U204" s="28" t="n"/>
      <c r="V204" s="28" t="n"/>
      <c r="W204" s="31" t="n"/>
    </row>
    <row r="205">
      <c r="A205" s="25" t="inlineStr">
        <is>
          <t>S17</t>
        </is>
      </c>
      <c r="B205" s="25" t="inlineStr">
        <is>
          <t>영양 신규점4</t>
        </is>
      </c>
      <c r="C205" s="25" t="inlineStr">
        <is>
          <t>S17-V</t>
        </is>
      </c>
      <c r="D205" s="25" t="inlineStr">
        <is>
          <t>측정</t>
        </is>
      </c>
      <c r="E205" s="48" t="n">
        <v>160</v>
      </c>
      <c r="F205" s="40" t="n"/>
      <c r="G205" s="28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IF(COUNTIFS($C:$C,$C205,$D:$D,"기준(전)",$L:$L,"&gt;0")&lt;&gt;1,"기준(전) 유효 1개 아님",IF(COUNTIFS($C:$C,$C205,$D:$D,"기준(후)",$L:$L,"&gt;0")&lt;&gt;1,"기준(후) 유효 1개 아님",IF(NOT(AND(ISNUMBER(N205),ISNUMBER(P205),ISNUMBER(H205))),"시각 결측",IF(P205&lt;=N205,"기준 시각 역전",IF(OR(H205&lt;N205,H205&gt;P205),"측정시각 구간 밖","OK")))))</f>
        <v/>
      </c>
      <c r="N205" s="45">
        <f>IF(COUNTIFS($C:$C,$C205,$D:$D,"기준(전)",$L:$L,"&gt;0")&lt;&gt;1,"",SUMIFS($H:$H,$C:$C,$C205,$D:$D,"기준(전)"))</f>
        <v/>
      </c>
      <c r="O205" s="30">
        <f>IF(COUNTIFS($C:$C,$C205,$D:$D,"기준(전)",$L:$L,"&gt;0")&lt;&gt;1,"",SUMIFS($L:$L,$C:$C,$C205,$D:$D,"기준(전)"))</f>
        <v/>
      </c>
      <c r="P205" s="45">
        <f>IF(COUNTIFS($C:$C,$C205,$D:$D,"기준(후)",$L:$L,"&gt;0")&lt;&gt;1,"",SUMIFS($H:$H,$C:$C,$C205,$D:$D,"기준(후)"))</f>
        <v/>
      </c>
      <c r="Q205" s="30">
        <f>IF(COUNTIFS($C:$C,$C205,$D:$D,"기준(후)",$L:$L,"&gt;0")&lt;&gt;1,"",SUMIFS($L:$L,$C:$C,$C205,$D:$D,"기준(후)"))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IF(OR($D204&lt;&gt;"측정",$C204&lt;&gt;$C205,NOT(ISNUMBER(L205)),NOT(ISNUMBER(L204)),(IF(ISNUMBER(F205),F205,E205)-IF(ISNUMBER(F204),F204,E204))=0),"",(L205-L204)/((IF(ISNUMBER(F205),F205,E205)-IF(ISNUMBER(F204),F204,E204))/100))</f>
        <v/>
      </c>
      <c r="U205" s="28" t="n"/>
      <c r="V205" s="28" t="n"/>
      <c r="W205" s="31" t="n"/>
    </row>
    <row r="206">
      <c r="A206" s="25" t="inlineStr">
        <is>
          <t>S17</t>
        </is>
      </c>
      <c r="B206" s="25" t="inlineStr">
        <is>
          <t>영양 신규점4</t>
        </is>
      </c>
      <c r="C206" s="25" t="inlineStr">
        <is>
          <t>S17-V</t>
        </is>
      </c>
      <c r="D206" s="25" t="inlineStr">
        <is>
          <t>측정</t>
        </is>
      </c>
      <c r="E206" s="48" t="n">
        <v>180</v>
      </c>
      <c r="F206" s="40" t="n"/>
      <c r="G206" s="28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IF(COUNTIFS($C:$C,$C206,$D:$D,"기준(전)",$L:$L,"&gt;0")&lt;&gt;1,"기준(전) 유효 1개 아님",IF(COUNTIFS($C:$C,$C206,$D:$D,"기준(후)",$L:$L,"&gt;0")&lt;&gt;1,"기준(후) 유효 1개 아님",IF(NOT(AND(ISNUMBER(N206),ISNUMBER(P206),ISNUMBER(H206))),"시각 결측",IF(P206&lt;=N206,"기준 시각 역전",IF(OR(H206&lt;N206,H206&gt;P206),"측정시각 구간 밖","OK")))))</f>
        <v/>
      </c>
      <c r="N206" s="45">
        <f>IF(COUNTIFS($C:$C,$C206,$D:$D,"기준(전)",$L:$L,"&gt;0")&lt;&gt;1,"",SUMIFS($H:$H,$C:$C,$C206,$D:$D,"기준(전)"))</f>
        <v/>
      </c>
      <c r="O206" s="30">
        <f>IF(COUNTIFS($C:$C,$C206,$D:$D,"기준(전)",$L:$L,"&gt;0")&lt;&gt;1,"",SUMIFS($L:$L,$C:$C,$C206,$D:$D,"기준(전)"))</f>
        <v/>
      </c>
      <c r="P206" s="45">
        <f>IF(COUNTIFS($C:$C,$C206,$D:$D,"기준(후)",$L:$L,"&gt;0")&lt;&gt;1,"",SUMIFS($H:$H,$C:$C,$C206,$D:$D,"기준(후)"))</f>
        <v/>
      </c>
      <c r="Q206" s="30">
        <f>IF(COUNTIFS($C:$C,$C206,$D:$D,"기준(후)",$L:$L,"&gt;0")&lt;&gt;1,"",SUMIFS($L:$L,$C:$C,$C206,$D:$D,"기준(후)"))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IF(OR($D205&lt;&gt;"측정",$C205&lt;&gt;$C206,NOT(ISNUMBER(L206)),NOT(ISNUMBER(L205)),(IF(ISNUMBER(F206),F206,E206)-IF(ISNUMBER(F205),F205,E205))=0),"",(L206-L205)/((IF(ISNUMBER(F206),F206,E206)-IF(ISNUMBER(F205),F205,E205))/100))</f>
        <v/>
      </c>
      <c r="U206" s="28" t="n"/>
      <c r="V206" s="28" t="n"/>
      <c r="W206" s="31" t="n"/>
    </row>
    <row r="207">
      <c r="A207" s="25" t="inlineStr">
        <is>
          <t>S17</t>
        </is>
      </c>
      <c r="B207" s="25" t="inlineStr">
        <is>
          <t>영양 신규점4</t>
        </is>
      </c>
      <c r="C207" s="25" t="inlineStr">
        <is>
          <t>S17-V</t>
        </is>
      </c>
      <c r="D207" s="25" t="inlineStr">
        <is>
          <t>측정</t>
        </is>
      </c>
      <c r="E207" s="48" t="n">
        <v>200</v>
      </c>
      <c r="F207" s="40" t="n"/>
      <c r="G207" s="28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IF(COUNTIFS($C:$C,$C207,$D:$D,"기준(전)",$L:$L,"&gt;0")&lt;&gt;1,"기준(전) 유효 1개 아님",IF(COUNTIFS($C:$C,$C207,$D:$D,"기준(후)",$L:$L,"&gt;0")&lt;&gt;1,"기준(후) 유효 1개 아님",IF(NOT(AND(ISNUMBER(N207),ISNUMBER(P207),ISNUMBER(H207))),"시각 결측",IF(P207&lt;=N207,"기준 시각 역전",IF(OR(H207&lt;N207,H207&gt;P207),"측정시각 구간 밖","OK")))))</f>
        <v/>
      </c>
      <c r="N207" s="45">
        <f>IF(COUNTIFS($C:$C,$C207,$D:$D,"기준(전)",$L:$L,"&gt;0")&lt;&gt;1,"",SUMIFS($H:$H,$C:$C,$C207,$D:$D,"기준(전)"))</f>
        <v/>
      </c>
      <c r="O207" s="30">
        <f>IF(COUNTIFS($C:$C,$C207,$D:$D,"기준(전)",$L:$L,"&gt;0")&lt;&gt;1,"",SUMIFS($L:$L,$C:$C,$C207,$D:$D,"기준(전)"))</f>
        <v/>
      </c>
      <c r="P207" s="45">
        <f>IF(COUNTIFS($C:$C,$C207,$D:$D,"기준(후)",$L:$L,"&gt;0")&lt;&gt;1,"",SUMIFS($H:$H,$C:$C,$C207,$D:$D,"기준(후)"))</f>
        <v/>
      </c>
      <c r="Q207" s="30">
        <f>IF(COUNTIFS($C:$C,$C207,$D:$D,"기준(후)",$L:$L,"&gt;0")&lt;&gt;1,"",SUMIFS($L:$L,$C:$C,$C207,$D:$D,"기준(후)"))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IF(OR($D206&lt;&gt;"측정",$C206&lt;&gt;$C207,NOT(ISNUMBER(L207)),NOT(ISNUMBER(L206)),(IF(ISNUMBER(F207),F207,E207)-IF(ISNUMBER(F206),F206,E206))=0),"",(L207-L206)/((IF(ISNUMBER(F207),F207,E207)-IF(ISNUMBER(F206),F206,E206))/100))</f>
        <v/>
      </c>
      <c r="U207" s="28" t="n"/>
      <c r="V207" s="28" t="n"/>
      <c r="W207" s="31" t="n"/>
    </row>
    <row r="208">
      <c r="A208" s="43" t="inlineStr">
        <is>
          <t>S17</t>
        </is>
      </c>
      <c r="B208" s="43" t="inlineStr">
        <is>
          <t>영양 신규점4</t>
        </is>
      </c>
      <c r="C208" s="43" t="inlineStr">
        <is>
          <t>S17-V</t>
        </is>
      </c>
      <c r="D208" s="43" t="inlineStr">
        <is>
          <t>기준(후)</t>
        </is>
      </c>
      <c r="E208" s="47" t="n"/>
      <c r="F208" s="40" t="n"/>
      <c r="G208" s="28" t="n"/>
      <c r="H208" s="42" t="n"/>
      <c r="I208" s="40" t="n"/>
      <c r="J208" s="40" t="n"/>
      <c r="K208" s="40" t="n"/>
      <c r="L208" s="30">
        <f>IF(COUNT(I208:K208)=0,"",MEDIAN(I208:K208))</f>
        <v/>
      </c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28" t="n"/>
      <c r="V208" s="28" t="n"/>
      <c r="W208" s="31" t="n"/>
    </row>
    <row r="209">
      <c r="A209" s="43" t="inlineStr">
        <is>
          <t>S18</t>
        </is>
      </c>
      <c r="B209" s="43" t="inlineStr">
        <is>
          <t>통영 신규점</t>
        </is>
      </c>
      <c r="C209" s="43" t="inlineStr">
        <is>
          <t>S18-V</t>
        </is>
      </c>
      <c r="D209" s="43" t="inlineStr">
        <is>
          <t>기준(전)</t>
        </is>
      </c>
      <c r="E209" s="47" t="n"/>
      <c r="F209" s="40" t="n"/>
      <c r="G209" s="28" t="n"/>
      <c r="H209" s="42" t="n"/>
      <c r="I209" s="40" t="n"/>
      <c r="J209" s="40" t="n"/>
      <c r="K209" s="40" t="n"/>
      <c r="L209" s="30">
        <f>IF(COUNT(I209:K209)=0,"",MEDIAN(I209:K209))</f>
        <v/>
      </c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28" t="n"/>
      <c r="V209" s="28" t="n"/>
      <c r="W209" s="31" t="n"/>
    </row>
    <row r="210">
      <c r="A210" s="25" t="inlineStr">
        <is>
          <t>S18</t>
        </is>
      </c>
      <c r="B210" s="25" t="inlineStr">
        <is>
          <t>통영 신규점</t>
        </is>
      </c>
      <c r="C210" s="25" t="inlineStr">
        <is>
          <t>S18-V</t>
        </is>
      </c>
      <c r="D210" s="25" t="inlineStr">
        <is>
          <t>측정</t>
        </is>
      </c>
      <c r="E210" s="48" t="n">
        <v>20</v>
      </c>
      <c r="F210" s="40" t="n"/>
      <c r="G210" s="28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IF(COUNTIFS($C:$C,$C210,$D:$D,"기준(전)",$L:$L,"&gt;0")&lt;&gt;1,"기준(전) 유효 1개 아님",IF(COUNTIFS($C:$C,$C210,$D:$D,"기준(후)",$L:$L,"&gt;0")&lt;&gt;1,"기준(후) 유효 1개 아님",IF(NOT(AND(ISNUMBER(N210),ISNUMBER(P210),ISNUMBER(H210))),"시각 결측",IF(P210&lt;=N210,"기준 시각 역전",IF(OR(H210&lt;N210,H210&gt;P210),"측정시각 구간 밖","OK")))))</f>
        <v/>
      </c>
      <c r="N210" s="45">
        <f>IF(COUNTIFS($C:$C,$C210,$D:$D,"기준(전)",$L:$L,"&gt;0")&lt;&gt;1,"",SUMIFS($H:$H,$C:$C,$C210,$D:$D,"기준(전)"))</f>
        <v/>
      </c>
      <c r="O210" s="30">
        <f>IF(COUNTIFS($C:$C,$C210,$D:$D,"기준(전)",$L:$L,"&gt;0")&lt;&gt;1,"",SUMIFS($L:$L,$C:$C,$C210,$D:$D,"기준(전)"))</f>
        <v/>
      </c>
      <c r="P210" s="45">
        <f>IF(COUNTIFS($C:$C,$C210,$D:$D,"기준(후)",$L:$L,"&gt;0")&lt;&gt;1,"",SUMIFS($H:$H,$C:$C,$C210,$D:$D,"기준(후)"))</f>
        <v/>
      </c>
      <c r="Q210" s="30">
        <f>IF(COUNTIFS($C:$C,$C210,$D:$D,"기준(후)",$L:$L,"&gt;0")&lt;&gt;1,"",SUMIFS($L:$L,$C:$C,$C210,$D:$D,"기준(후)"))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IF(OR($D209&lt;&gt;"측정",$C209&lt;&gt;$C210,NOT(ISNUMBER(L210)),NOT(ISNUMBER(L209)),(IF(ISNUMBER(F210),F210,E210)-IF(ISNUMBER(F209),F209,E209))=0),"",(L210-L209)/((IF(ISNUMBER(F210),F210,E210)-IF(ISNUMBER(F209),F209,E209))/100))</f>
        <v/>
      </c>
      <c r="U210" s="28" t="n"/>
      <c r="V210" s="28" t="n"/>
      <c r="W210" s="31" t="n"/>
    </row>
    <row r="211">
      <c r="A211" s="25" t="inlineStr">
        <is>
          <t>S18</t>
        </is>
      </c>
      <c r="B211" s="25" t="inlineStr">
        <is>
          <t>통영 신규점</t>
        </is>
      </c>
      <c r="C211" s="25" t="inlineStr">
        <is>
          <t>S18-V</t>
        </is>
      </c>
      <c r="D211" s="25" t="inlineStr">
        <is>
          <t>측정</t>
        </is>
      </c>
      <c r="E211" s="48" t="n">
        <v>40</v>
      </c>
      <c r="F211" s="40" t="n"/>
      <c r="G211" s="28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IF(COUNTIFS($C:$C,$C211,$D:$D,"기준(전)",$L:$L,"&gt;0")&lt;&gt;1,"기준(전) 유효 1개 아님",IF(COUNTIFS($C:$C,$C211,$D:$D,"기준(후)",$L:$L,"&gt;0")&lt;&gt;1,"기준(후) 유효 1개 아님",IF(NOT(AND(ISNUMBER(N211),ISNUMBER(P211),ISNUMBER(H211))),"시각 결측",IF(P211&lt;=N211,"기준 시각 역전",IF(OR(H211&lt;N211,H211&gt;P211),"측정시각 구간 밖","OK")))))</f>
        <v/>
      </c>
      <c r="N211" s="45">
        <f>IF(COUNTIFS($C:$C,$C211,$D:$D,"기준(전)",$L:$L,"&gt;0")&lt;&gt;1,"",SUMIFS($H:$H,$C:$C,$C211,$D:$D,"기준(전)"))</f>
        <v/>
      </c>
      <c r="O211" s="30">
        <f>IF(COUNTIFS($C:$C,$C211,$D:$D,"기준(전)",$L:$L,"&gt;0")&lt;&gt;1,"",SUMIFS($L:$L,$C:$C,$C211,$D:$D,"기준(전)"))</f>
        <v/>
      </c>
      <c r="P211" s="45">
        <f>IF(COUNTIFS($C:$C,$C211,$D:$D,"기준(후)",$L:$L,"&gt;0")&lt;&gt;1,"",SUMIFS($H:$H,$C:$C,$C211,$D:$D,"기준(후)"))</f>
        <v/>
      </c>
      <c r="Q211" s="30">
        <f>IF(COUNTIFS($C:$C,$C211,$D:$D,"기준(후)",$L:$L,"&gt;0")&lt;&gt;1,"",SUMIFS($L:$L,$C:$C,$C211,$D:$D,"기준(후)"))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IF(OR($D210&lt;&gt;"측정",$C210&lt;&gt;$C211,NOT(ISNUMBER(L211)),NOT(ISNUMBER(L210)),(IF(ISNUMBER(F211),F211,E211)-IF(ISNUMBER(F210),F210,E210))=0),"",(L211-L210)/((IF(ISNUMBER(F211),F211,E211)-IF(ISNUMBER(F210),F210,E210))/100))</f>
        <v/>
      </c>
      <c r="U211" s="28" t="n"/>
      <c r="V211" s="28" t="n"/>
      <c r="W211" s="31" t="n"/>
    </row>
    <row r="212">
      <c r="A212" s="25" t="inlineStr">
        <is>
          <t>S18</t>
        </is>
      </c>
      <c r="B212" s="25" t="inlineStr">
        <is>
          <t>통영 신규점</t>
        </is>
      </c>
      <c r="C212" s="25" t="inlineStr">
        <is>
          <t>S18-V</t>
        </is>
      </c>
      <c r="D212" s="25" t="inlineStr">
        <is>
          <t>측정</t>
        </is>
      </c>
      <c r="E212" s="48" t="n">
        <v>60</v>
      </c>
      <c r="F212" s="40" t="n"/>
      <c r="G212" s="28" t="n"/>
      <c r="H212" s="42" t="n"/>
      <c r="I212" s="40" t="n"/>
      <c r="J212" s="40" t="n"/>
      <c r="K212" s="40" t="n"/>
      <c r="L212" s="30">
        <f>IF(COUNT(I212:K212)=0,"",MEDIAN(I212:K212))</f>
        <v/>
      </c>
      <c r="M212" s="25">
        <f>IF(COUNTIFS($C:$C,$C212,$D:$D,"기준(전)",$L:$L,"&gt;0")&lt;&gt;1,"기준(전) 유효 1개 아님",IF(COUNTIFS($C:$C,$C212,$D:$D,"기준(후)",$L:$L,"&gt;0")&lt;&gt;1,"기준(후) 유효 1개 아님",IF(NOT(AND(ISNUMBER(N212),ISNUMBER(P212),ISNUMBER(H212))),"시각 결측",IF(P212&lt;=N212,"기준 시각 역전",IF(OR(H212&lt;N212,H212&gt;P212),"측정시각 구간 밖","OK")))))</f>
        <v/>
      </c>
      <c r="N212" s="45">
        <f>IF(COUNTIFS($C:$C,$C212,$D:$D,"기준(전)",$L:$L,"&gt;0")&lt;&gt;1,"",SUMIFS($H:$H,$C:$C,$C212,$D:$D,"기준(전)"))</f>
        <v/>
      </c>
      <c r="O212" s="30">
        <f>IF(COUNTIFS($C:$C,$C212,$D:$D,"기준(전)",$L:$L,"&gt;0")&lt;&gt;1,"",SUMIFS($L:$L,$C:$C,$C212,$D:$D,"기준(전)"))</f>
        <v/>
      </c>
      <c r="P212" s="45">
        <f>IF(COUNTIFS($C:$C,$C212,$D:$D,"기준(후)",$L:$L,"&gt;0")&lt;&gt;1,"",SUMIFS($H:$H,$C:$C,$C212,$D:$D,"기준(후)"))</f>
        <v/>
      </c>
      <c r="Q212" s="30">
        <f>IF(COUNTIFS($C:$C,$C212,$D:$D,"기준(후)",$L:$L,"&gt;0")&lt;&gt;1,"",SUMIFS($L:$L,$C:$C,$C212,$D:$D,"기준(후)"))</f>
        <v/>
      </c>
      <c r="R212" s="30">
        <f>IF(M212&lt;&gt;"OK","",O212+(Q212-O212)*(H212-N212)/(P212-N212))</f>
        <v/>
      </c>
      <c r="S212" s="30">
        <f>IF(OR(M212&lt;&gt;"OK",NOT(ISNUMBER(L212))),"",L212-R212)</f>
        <v/>
      </c>
      <c r="T212" s="46">
        <f>IF(OR($D211&lt;&gt;"측정",$C211&lt;&gt;$C212,NOT(ISNUMBER(L212)),NOT(ISNUMBER(L211)),(IF(ISNUMBER(F212),F212,E212)-IF(ISNUMBER(F211),F211,E211))=0),"",(L212-L211)/((IF(ISNUMBER(F212),F212,E212)-IF(ISNUMBER(F211),F211,E211))/100))</f>
        <v/>
      </c>
      <c r="U212" s="28" t="n"/>
      <c r="V212" s="28" t="n"/>
      <c r="W212" s="31" t="n"/>
    </row>
    <row r="213">
      <c r="A213" s="25" t="inlineStr">
        <is>
          <t>S18</t>
        </is>
      </c>
      <c r="B213" s="25" t="inlineStr">
        <is>
          <t>통영 신규점</t>
        </is>
      </c>
      <c r="C213" s="25" t="inlineStr">
        <is>
          <t>S18-V</t>
        </is>
      </c>
      <c r="D213" s="25" t="inlineStr">
        <is>
          <t>측정</t>
        </is>
      </c>
      <c r="E213" s="48" t="n">
        <v>80</v>
      </c>
      <c r="F213" s="40" t="n"/>
      <c r="G213" s="28" t="n"/>
      <c r="H213" s="42" t="n"/>
      <c r="I213" s="40" t="n"/>
      <c r="J213" s="40" t="n"/>
      <c r="K213" s="40" t="n"/>
      <c r="L213" s="30">
        <f>IF(COUNT(I213:K213)=0,"",MEDIAN(I213:K213))</f>
        <v/>
      </c>
      <c r="M213" s="25">
        <f>IF(COUNTIFS($C:$C,$C213,$D:$D,"기준(전)",$L:$L,"&gt;0")&lt;&gt;1,"기준(전) 유효 1개 아님",IF(COUNTIFS($C:$C,$C213,$D:$D,"기준(후)",$L:$L,"&gt;0")&lt;&gt;1,"기준(후) 유효 1개 아님",IF(NOT(AND(ISNUMBER(N213),ISNUMBER(P213),ISNUMBER(H213))),"시각 결측",IF(P213&lt;=N213,"기준 시각 역전",IF(OR(H213&lt;N213,H213&gt;P213),"측정시각 구간 밖","OK")))))</f>
        <v/>
      </c>
      <c r="N213" s="45">
        <f>IF(COUNTIFS($C:$C,$C213,$D:$D,"기준(전)",$L:$L,"&gt;0")&lt;&gt;1,"",SUMIFS($H:$H,$C:$C,$C213,$D:$D,"기준(전)"))</f>
        <v/>
      </c>
      <c r="O213" s="30">
        <f>IF(COUNTIFS($C:$C,$C213,$D:$D,"기준(전)",$L:$L,"&gt;0")&lt;&gt;1,"",SUMIFS($L:$L,$C:$C,$C213,$D:$D,"기준(전)"))</f>
        <v/>
      </c>
      <c r="P213" s="45">
        <f>IF(COUNTIFS($C:$C,$C213,$D:$D,"기준(후)",$L:$L,"&gt;0")&lt;&gt;1,"",SUMIFS($H:$H,$C:$C,$C213,$D:$D,"기준(후)"))</f>
        <v/>
      </c>
      <c r="Q213" s="30">
        <f>IF(COUNTIFS($C:$C,$C213,$D:$D,"기준(후)",$L:$L,"&gt;0")&lt;&gt;1,"",SUMIFS($L:$L,$C:$C,$C213,$D:$D,"기준(후)"))</f>
        <v/>
      </c>
      <c r="R213" s="30">
        <f>IF(M213&lt;&gt;"OK","",O213+(Q213-O213)*(H213-N213)/(P213-N213))</f>
        <v/>
      </c>
      <c r="S213" s="30">
        <f>IF(OR(M213&lt;&gt;"OK",NOT(ISNUMBER(L213))),"",L213-R213)</f>
        <v/>
      </c>
      <c r="T213" s="46">
        <f>IF(OR($D212&lt;&gt;"측정",$C212&lt;&gt;$C213,NOT(ISNUMBER(L213)),NOT(ISNUMBER(L212)),(IF(ISNUMBER(F213),F213,E213)-IF(ISNUMBER(F212),F212,E212))=0),"",(L213-L212)/((IF(ISNUMBER(F213),F213,E213)-IF(ISNUMBER(F212),F212,E212))/100))</f>
        <v/>
      </c>
      <c r="U213" s="28" t="n"/>
      <c r="V213" s="28" t="n"/>
      <c r="W213" s="31" t="n"/>
    </row>
    <row r="214">
      <c r="A214" s="25" t="inlineStr">
        <is>
          <t>S18</t>
        </is>
      </c>
      <c r="B214" s="25" t="inlineStr">
        <is>
          <t>통영 신규점</t>
        </is>
      </c>
      <c r="C214" s="25" t="inlineStr">
        <is>
          <t>S18-V</t>
        </is>
      </c>
      <c r="D214" s="25" t="inlineStr">
        <is>
          <t>측정</t>
        </is>
      </c>
      <c r="E214" s="48" t="n">
        <v>100</v>
      </c>
      <c r="F214" s="40" t="n"/>
      <c r="G214" s="28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IF(COUNTIFS($C:$C,$C214,$D:$D,"기준(전)",$L:$L,"&gt;0")&lt;&gt;1,"기준(전) 유효 1개 아님",IF(COUNTIFS($C:$C,$C214,$D:$D,"기준(후)",$L:$L,"&gt;0")&lt;&gt;1,"기준(후) 유효 1개 아님",IF(NOT(AND(ISNUMBER(N214),ISNUMBER(P214),ISNUMBER(H214))),"시각 결측",IF(P214&lt;=N214,"기준 시각 역전",IF(OR(H214&lt;N214,H214&gt;P214),"측정시각 구간 밖","OK")))))</f>
        <v/>
      </c>
      <c r="N214" s="45">
        <f>IF(COUNTIFS($C:$C,$C214,$D:$D,"기준(전)",$L:$L,"&gt;0")&lt;&gt;1,"",SUMIFS($H:$H,$C:$C,$C214,$D:$D,"기준(전)"))</f>
        <v/>
      </c>
      <c r="O214" s="30">
        <f>IF(COUNTIFS($C:$C,$C214,$D:$D,"기준(전)",$L:$L,"&gt;0")&lt;&gt;1,"",SUMIFS($L:$L,$C:$C,$C214,$D:$D,"기준(전)"))</f>
        <v/>
      </c>
      <c r="P214" s="45">
        <f>IF(COUNTIFS($C:$C,$C214,$D:$D,"기준(후)",$L:$L,"&gt;0")&lt;&gt;1,"",SUMIFS($H:$H,$C:$C,$C214,$D:$D,"기준(후)"))</f>
        <v/>
      </c>
      <c r="Q214" s="30">
        <f>IF(COUNTIFS($C:$C,$C214,$D:$D,"기준(후)",$L:$L,"&gt;0")&lt;&gt;1,"",SUMIFS($L:$L,$C:$C,$C214,$D:$D,"기준(후)"))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IF(OR($D213&lt;&gt;"측정",$C213&lt;&gt;$C214,NOT(ISNUMBER(L214)),NOT(ISNUMBER(L213)),(IF(ISNUMBER(F214),F214,E214)-IF(ISNUMBER(F213),F213,E213))=0),"",(L214-L213)/((IF(ISNUMBER(F214),F214,E214)-IF(ISNUMBER(F213),F213,E213))/100))</f>
        <v/>
      </c>
      <c r="U214" s="28" t="n"/>
      <c r="V214" s="28" t="n"/>
      <c r="W214" s="31" t="n"/>
    </row>
    <row r="215">
      <c r="A215" s="25" t="inlineStr">
        <is>
          <t>S18</t>
        </is>
      </c>
      <c r="B215" s="25" t="inlineStr">
        <is>
          <t>통영 신규점</t>
        </is>
      </c>
      <c r="C215" s="25" t="inlineStr">
        <is>
          <t>S18-V</t>
        </is>
      </c>
      <c r="D215" s="25" t="inlineStr">
        <is>
          <t>측정</t>
        </is>
      </c>
      <c r="E215" s="48" t="n">
        <v>120</v>
      </c>
      <c r="F215" s="40" t="n"/>
      <c r="G215" s="28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IF(COUNTIFS($C:$C,$C215,$D:$D,"기준(전)",$L:$L,"&gt;0")&lt;&gt;1,"기준(전) 유효 1개 아님",IF(COUNTIFS($C:$C,$C215,$D:$D,"기준(후)",$L:$L,"&gt;0")&lt;&gt;1,"기준(후) 유효 1개 아님",IF(NOT(AND(ISNUMBER(N215),ISNUMBER(P215),ISNUMBER(H215))),"시각 결측",IF(P215&lt;=N215,"기준 시각 역전",IF(OR(H215&lt;N215,H215&gt;P215),"측정시각 구간 밖","OK")))))</f>
        <v/>
      </c>
      <c r="N215" s="45">
        <f>IF(COUNTIFS($C:$C,$C215,$D:$D,"기준(전)",$L:$L,"&gt;0")&lt;&gt;1,"",SUMIFS($H:$H,$C:$C,$C215,$D:$D,"기준(전)"))</f>
        <v/>
      </c>
      <c r="O215" s="30">
        <f>IF(COUNTIFS($C:$C,$C215,$D:$D,"기준(전)",$L:$L,"&gt;0")&lt;&gt;1,"",SUMIFS($L:$L,$C:$C,$C215,$D:$D,"기준(전)"))</f>
        <v/>
      </c>
      <c r="P215" s="45">
        <f>IF(COUNTIFS($C:$C,$C215,$D:$D,"기준(후)",$L:$L,"&gt;0")&lt;&gt;1,"",SUMIFS($H:$H,$C:$C,$C215,$D:$D,"기준(후)"))</f>
        <v/>
      </c>
      <c r="Q215" s="30">
        <f>IF(COUNTIFS($C:$C,$C215,$D:$D,"기준(후)",$L:$L,"&gt;0")&lt;&gt;1,"",SUMIFS($L:$L,$C:$C,$C215,$D:$D,"기준(후)"))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IF(OR($D214&lt;&gt;"측정",$C214&lt;&gt;$C215,NOT(ISNUMBER(L215)),NOT(ISNUMBER(L214)),(IF(ISNUMBER(F215),F215,E215)-IF(ISNUMBER(F214),F214,E214))=0),"",(L215-L214)/((IF(ISNUMBER(F215),F215,E215)-IF(ISNUMBER(F214),F214,E214))/100))</f>
        <v/>
      </c>
      <c r="U215" s="28" t="n"/>
      <c r="V215" s="28" t="n"/>
      <c r="W215" s="31" t="n"/>
    </row>
    <row r="216">
      <c r="A216" s="25" t="inlineStr">
        <is>
          <t>S18</t>
        </is>
      </c>
      <c r="B216" s="25" t="inlineStr">
        <is>
          <t>통영 신규점</t>
        </is>
      </c>
      <c r="C216" s="25" t="inlineStr">
        <is>
          <t>S18-V</t>
        </is>
      </c>
      <c r="D216" s="25" t="inlineStr">
        <is>
          <t>측정</t>
        </is>
      </c>
      <c r="E216" s="48" t="n">
        <v>140</v>
      </c>
      <c r="F216" s="40" t="n"/>
      <c r="G216" s="28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IF(COUNTIFS($C:$C,$C216,$D:$D,"기준(전)",$L:$L,"&gt;0")&lt;&gt;1,"기준(전) 유효 1개 아님",IF(COUNTIFS($C:$C,$C216,$D:$D,"기준(후)",$L:$L,"&gt;0")&lt;&gt;1,"기준(후) 유효 1개 아님",IF(NOT(AND(ISNUMBER(N216),ISNUMBER(P216),ISNUMBER(H216))),"시각 결측",IF(P216&lt;=N216,"기준 시각 역전",IF(OR(H216&lt;N216,H216&gt;P216),"측정시각 구간 밖","OK")))))</f>
        <v/>
      </c>
      <c r="N216" s="45">
        <f>IF(COUNTIFS($C:$C,$C216,$D:$D,"기준(전)",$L:$L,"&gt;0")&lt;&gt;1,"",SUMIFS($H:$H,$C:$C,$C216,$D:$D,"기준(전)"))</f>
        <v/>
      </c>
      <c r="O216" s="30">
        <f>IF(COUNTIFS($C:$C,$C216,$D:$D,"기준(전)",$L:$L,"&gt;0")&lt;&gt;1,"",SUMIFS($L:$L,$C:$C,$C216,$D:$D,"기준(전)"))</f>
        <v/>
      </c>
      <c r="P216" s="45">
        <f>IF(COUNTIFS($C:$C,$C216,$D:$D,"기준(후)",$L:$L,"&gt;0")&lt;&gt;1,"",SUMIFS($H:$H,$C:$C,$C216,$D:$D,"기준(후)"))</f>
        <v/>
      </c>
      <c r="Q216" s="30">
        <f>IF(COUNTIFS($C:$C,$C216,$D:$D,"기준(후)",$L:$L,"&gt;0")&lt;&gt;1,"",SUMIFS($L:$L,$C:$C,$C216,$D:$D,"기준(후)"))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IF(OR($D215&lt;&gt;"측정",$C215&lt;&gt;$C216,NOT(ISNUMBER(L216)),NOT(ISNUMBER(L215)),(IF(ISNUMBER(F216),F216,E216)-IF(ISNUMBER(F215),F215,E215))=0),"",(L216-L215)/((IF(ISNUMBER(F216),F216,E216)-IF(ISNUMBER(F215),F215,E215))/100))</f>
        <v/>
      </c>
      <c r="U216" s="28" t="n"/>
      <c r="V216" s="28" t="n"/>
      <c r="W216" s="31" t="n"/>
    </row>
    <row r="217">
      <c r="A217" s="25" t="inlineStr">
        <is>
          <t>S18</t>
        </is>
      </c>
      <c r="B217" s="25" t="inlineStr">
        <is>
          <t>통영 신규점</t>
        </is>
      </c>
      <c r="C217" s="25" t="inlineStr">
        <is>
          <t>S18-V</t>
        </is>
      </c>
      <c r="D217" s="25" t="inlineStr">
        <is>
          <t>측정</t>
        </is>
      </c>
      <c r="E217" s="48" t="n">
        <v>160</v>
      </c>
      <c r="F217" s="40" t="n"/>
      <c r="G217" s="28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IF(COUNTIFS($C:$C,$C217,$D:$D,"기준(전)",$L:$L,"&gt;0")&lt;&gt;1,"기준(전) 유효 1개 아님",IF(COUNTIFS($C:$C,$C217,$D:$D,"기준(후)",$L:$L,"&gt;0")&lt;&gt;1,"기준(후) 유효 1개 아님",IF(NOT(AND(ISNUMBER(N217),ISNUMBER(P217),ISNUMBER(H217))),"시각 결측",IF(P217&lt;=N217,"기준 시각 역전",IF(OR(H217&lt;N217,H217&gt;P217),"측정시각 구간 밖","OK")))))</f>
        <v/>
      </c>
      <c r="N217" s="45">
        <f>IF(COUNTIFS($C:$C,$C217,$D:$D,"기준(전)",$L:$L,"&gt;0")&lt;&gt;1,"",SUMIFS($H:$H,$C:$C,$C217,$D:$D,"기준(전)"))</f>
        <v/>
      </c>
      <c r="O217" s="30">
        <f>IF(COUNTIFS($C:$C,$C217,$D:$D,"기준(전)",$L:$L,"&gt;0")&lt;&gt;1,"",SUMIFS($L:$L,$C:$C,$C217,$D:$D,"기준(전)"))</f>
        <v/>
      </c>
      <c r="P217" s="45">
        <f>IF(COUNTIFS($C:$C,$C217,$D:$D,"기준(후)",$L:$L,"&gt;0")&lt;&gt;1,"",SUMIFS($H:$H,$C:$C,$C217,$D:$D,"기준(후)"))</f>
        <v/>
      </c>
      <c r="Q217" s="30">
        <f>IF(COUNTIFS($C:$C,$C217,$D:$D,"기준(후)",$L:$L,"&gt;0")&lt;&gt;1,"",SUMIFS($L:$L,$C:$C,$C217,$D:$D,"기준(후)"))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IF(OR($D216&lt;&gt;"측정",$C216&lt;&gt;$C217,NOT(ISNUMBER(L217)),NOT(ISNUMBER(L216)),(IF(ISNUMBER(F217),F217,E217)-IF(ISNUMBER(F216),F216,E216))=0),"",(L217-L216)/((IF(ISNUMBER(F217),F217,E217)-IF(ISNUMBER(F216),F216,E216))/100))</f>
        <v/>
      </c>
      <c r="U217" s="28" t="n"/>
      <c r="V217" s="28" t="n"/>
      <c r="W217" s="31" t="n"/>
    </row>
    <row r="218">
      <c r="A218" s="25" t="inlineStr">
        <is>
          <t>S18</t>
        </is>
      </c>
      <c r="B218" s="25" t="inlineStr">
        <is>
          <t>통영 신규점</t>
        </is>
      </c>
      <c r="C218" s="25" t="inlineStr">
        <is>
          <t>S18-V</t>
        </is>
      </c>
      <c r="D218" s="25" t="inlineStr">
        <is>
          <t>측정</t>
        </is>
      </c>
      <c r="E218" s="48" t="n">
        <v>180</v>
      </c>
      <c r="F218" s="40" t="n"/>
      <c r="G218" s="28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IF(COUNTIFS($C:$C,$C218,$D:$D,"기준(전)",$L:$L,"&gt;0")&lt;&gt;1,"기준(전) 유효 1개 아님",IF(COUNTIFS($C:$C,$C218,$D:$D,"기준(후)",$L:$L,"&gt;0")&lt;&gt;1,"기준(후) 유효 1개 아님",IF(NOT(AND(ISNUMBER(N218),ISNUMBER(P218),ISNUMBER(H218))),"시각 결측",IF(P218&lt;=N218,"기준 시각 역전",IF(OR(H218&lt;N218,H218&gt;P218),"측정시각 구간 밖","OK")))))</f>
        <v/>
      </c>
      <c r="N218" s="45">
        <f>IF(COUNTIFS($C:$C,$C218,$D:$D,"기준(전)",$L:$L,"&gt;0")&lt;&gt;1,"",SUMIFS($H:$H,$C:$C,$C218,$D:$D,"기준(전)"))</f>
        <v/>
      </c>
      <c r="O218" s="30">
        <f>IF(COUNTIFS($C:$C,$C218,$D:$D,"기준(전)",$L:$L,"&gt;0")&lt;&gt;1,"",SUMIFS($L:$L,$C:$C,$C218,$D:$D,"기준(전)"))</f>
        <v/>
      </c>
      <c r="P218" s="45">
        <f>IF(COUNTIFS($C:$C,$C218,$D:$D,"기준(후)",$L:$L,"&gt;0")&lt;&gt;1,"",SUMIFS($H:$H,$C:$C,$C218,$D:$D,"기준(후)"))</f>
        <v/>
      </c>
      <c r="Q218" s="30">
        <f>IF(COUNTIFS($C:$C,$C218,$D:$D,"기준(후)",$L:$L,"&gt;0")&lt;&gt;1,"",SUMIFS($L:$L,$C:$C,$C218,$D:$D,"기준(후)"))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IF(OR($D217&lt;&gt;"측정",$C217&lt;&gt;$C218,NOT(ISNUMBER(L218)),NOT(ISNUMBER(L217)),(IF(ISNUMBER(F218),F218,E218)-IF(ISNUMBER(F217),F217,E217))=0),"",(L218-L217)/((IF(ISNUMBER(F218),F218,E218)-IF(ISNUMBER(F217),F217,E217))/100))</f>
        <v/>
      </c>
      <c r="U218" s="28" t="n"/>
      <c r="V218" s="28" t="n"/>
      <c r="W218" s="31" t="n"/>
    </row>
    <row r="219">
      <c r="A219" s="25" t="inlineStr">
        <is>
          <t>S18</t>
        </is>
      </c>
      <c r="B219" s="25" t="inlineStr">
        <is>
          <t>통영 신규점</t>
        </is>
      </c>
      <c r="C219" s="25" t="inlineStr">
        <is>
          <t>S18-V</t>
        </is>
      </c>
      <c r="D219" s="25" t="inlineStr">
        <is>
          <t>측정</t>
        </is>
      </c>
      <c r="E219" s="48" t="n">
        <v>200</v>
      </c>
      <c r="F219" s="40" t="n"/>
      <c r="G219" s="28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IF(COUNTIFS($C:$C,$C219,$D:$D,"기준(전)",$L:$L,"&gt;0")&lt;&gt;1,"기준(전) 유효 1개 아님",IF(COUNTIFS($C:$C,$C219,$D:$D,"기준(후)",$L:$L,"&gt;0")&lt;&gt;1,"기준(후) 유효 1개 아님",IF(NOT(AND(ISNUMBER(N219),ISNUMBER(P219),ISNUMBER(H219))),"시각 결측",IF(P219&lt;=N219,"기준 시각 역전",IF(OR(H219&lt;N219,H219&gt;P219),"측정시각 구간 밖","OK")))))</f>
        <v/>
      </c>
      <c r="N219" s="45">
        <f>IF(COUNTIFS($C:$C,$C219,$D:$D,"기준(전)",$L:$L,"&gt;0")&lt;&gt;1,"",SUMIFS($H:$H,$C:$C,$C219,$D:$D,"기준(전)"))</f>
        <v/>
      </c>
      <c r="O219" s="30">
        <f>IF(COUNTIFS($C:$C,$C219,$D:$D,"기준(전)",$L:$L,"&gt;0")&lt;&gt;1,"",SUMIFS($L:$L,$C:$C,$C219,$D:$D,"기준(전)"))</f>
        <v/>
      </c>
      <c r="P219" s="45">
        <f>IF(COUNTIFS($C:$C,$C219,$D:$D,"기준(후)",$L:$L,"&gt;0")&lt;&gt;1,"",SUMIFS($H:$H,$C:$C,$C219,$D:$D,"기준(후)"))</f>
        <v/>
      </c>
      <c r="Q219" s="30">
        <f>IF(COUNTIFS($C:$C,$C219,$D:$D,"기준(후)",$L:$L,"&gt;0")&lt;&gt;1,"",SUMIFS($L:$L,$C:$C,$C219,$D:$D,"기준(후)"))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IF(OR($D218&lt;&gt;"측정",$C218&lt;&gt;$C219,NOT(ISNUMBER(L219)),NOT(ISNUMBER(L218)),(IF(ISNUMBER(F219),F219,E219)-IF(ISNUMBER(F218),F218,E218))=0),"",(L219-L218)/((IF(ISNUMBER(F219),F219,E219)-IF(ISNUMBER(F218),F218,E218))/100))</f>
        <v/>
      </c>
      <c r="U219" s="28" t="n"/>
      <c r="V219" s="28" t="n"/>
      <c r="W219" s="31" t="n"/>
    </row>
    <row r="220">
      <c r="A220" s="43" t="inlineStr">
        <is>
          <t>S18</t>
        </is>
      </c>
      <c r="B220" s="43" t="inlineStr">
        <is>
          <t>통영 신규점</t>
        </is>
      </c>
      <c r="C220" s="43" t="inlineStr">
        <is>
          <t>S18-V</t>
        </is>
      </c>
      <c r="D220" s="43" t="inlineStr">
        <is>
          <t>기준(후)</t>
        </is>
      </c>
      <c r="E220" s="47" t="n"/>
      <c r="F220" s="40" t="n"/>
      <c r="G220" s="28" t="n"/>
      <c r="H220" s="42" t="n"/>
      <c r="I220" s="40" t="n"/>
      <c r="J220" s="40" t="n"/>
      <c r="K220" s="40" t="n"/>
      <c r="L220" s="30">
        <f>IF(COUNT(I220:K220)=0,"",MEDIAN(I220:K220))</f>
        <v/>
      </c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28" t="n"/>
      <c r="V220" s="28" t="n"/>
      <c r="W220" s="31" t="n"/>
    </row>
    <row r="221">
      <c r="A221" s="43" t="inlineStr">
        <is>
          <t>S19</t>
        </is>
      </c>
      <c r="B221" s="43" t="inlineStr">
        <is>
          <t>오호 신규점</t>
        </is>
      </c>
      <c r="C221" s="43" t="inlineStr">
        <is>
          <t>S19-V</t>
        </is>
      </c>
      <c r="D221" s="43" t="inlineStr">
        <is>
          <t>기준(전)</t>
        </is>
      </c>
      <c r="E221" s="47" t="n"/>
      <c r="F221" s="40" t="n"/>
      <c r="G221" s="28" t="n"/>
      <c r="H221" s="42" t="n"/>
      <c r="I221" s="40" t="n"/>
      <c r="J221" s="40" t="n"/>
      <c r="K221" s="40" t="n"/>
      <c r="L221" s="30">
        <f>IF(COUNT(I221:K221)=0,"",MEDIAN(I221:K221))</f>
        <v/>
      </c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28" t="n"/>
      <c r="V221" s="28" t="n"/>
      <c r="W221" s="31" t="n"/>
    </row>
    <row r="222">
      <c r="A222" s="25" t="inlineStr">
        <is>
          <t>S19</t>
        </is>
      </c>
      <c r="B222" s="25" t="inlineStr">
        <is>
          <t>오호 신규점</t>
        </is>
      </c>
      <c r="C222" s="25" t="inlineStr">
        <is>
          <t>S19-V</t>
        </is>
      </c>
      <c r="D222" s="25" t="inlineStr">
        <is>
          <t>측정</t>
        </is>
      </c>
      <c r="E222" s="48" t="n">
        <v>20</v>
      </c>
      <c r="F222" s="40" t="n"/>
      <c r="G222" s="28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IF(COUNTIFS($C:$C,$C222,$D:$D,"기준(전)",$L:$L,"&gt;0")&lt;&gt;1,"기준(전) 유효 1개 아님",IF(COUNTIFS($C:$C,$C222,$D:$D,"기준(후)",$L:$L,"&gt;0")&lt;&gt;1,"기준(후) 유효 1개 아님",IF(NOT(AND(ISNUMBER(N222),ISNUMBER(P222),ISNUMBER(H222))),"시각 결측",IF(P222&lt;=N222,"기준 시각 역전",IF(OR(H222&lt;N222,H222&gt;P222),"측정시각 구간 밖","OK")))))</f>
        <v/>
      </c>
      <c r="N222" s="45">
        <f>IF(COUNTIFS($C:$C,$C222,$D:$D,"기준(전)",$L:$L,"&gt;0")&lt;&gt;1,"",SUMIFS($H:$H,$C:$C,$C222,$D:$D,"기준(전)"))</f>
        <v/>
      </c>
      <c r="O222" s="30">
        <f>IF(COUNTIFS($C:$C,$C222,$D:$D,"기준(전)",$L:$L,"&gt;0")&lt;&gt;1,"",SUMIFS($L:$L,$C:$C,$C222,$D:$D,"기준(전)"))</f>
        <v/>
      </c>
      <c r="P222" s="45">
        <f>IF(COUNTIFS($C:$C,$C222,$D:$D,"기준(후)",$L:$L,"&gt;0")&lt;&gt;1,"",SUMIFS($H:$H,$C:$C,$C222,$D:$D,"기준(후)"))</f>
        <v/>
      </c>
      <c r="Q222" s="30">
        <f>IF(COUNTIFS($C:$C,$C222,$D:$D,"기준(후)",$L:$L,"&gt;0")&lt;&gt;1,"",SUMIFS($L:$L,$C:$C,$C222,$D:$D,"기준(후)"))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IF(OR($D221&lt;&gt;"측정",$C221&lt;&gt;$C222,NOT(ISNUMBER(L222)),NOT(ISNUMBER(L221)),(IF(ISNUMBER(F222),F222,E222)-IF(ISNUMBER(F221),F221,E221))=0),"",(L222-L221)/((IF(ISNUMBER(F222),F222,E222)-IF(ISNUMBER(F221),F221,E221))/100))</f>
        <v/>
      </c>
      <c r="U222" s="28" t="n"/>
      <c r="V222" s="28" t="n"/>
      <c r="W222" s="31" t="n"/>
    </row>
    <row r="223">
      <c r="A223" s="25" t="inlineStr">
        <is>
          <t>S19</t>
        </is>
      </c>
      <c r="B223" s="25" t="inlineStr">
        <is>
          <t>오호 신규점</t>
        </is>
      </c>
      <c r="C223" s="25" t="inlineStr">
        <is>
          <t>S19-V</t>
        </is>
      </c>
      <c r="D223" s="25" t="inlineStr">
        <is>
          <t>측정</t>
        </is>
      </c>
      <c r="E223" s="48" t="n">
        <v>40</v>
      </c>
      <c r="F223" s="40" t="n"/>
      <c r="G223" s="28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IF(COUNTIFS($C:$C,$C223,$D:$D,"기준(전)",$L:$L,"&gt;0")&lt;&gt;1,"기준(전) 유효 1개 아님",IF(COUNTIFS($C:$C,$C223,$D:$D,"기준(후)",$L:$L,"&gt;0")&lt;&gt;1,"기준(후) 유효 1개 아님",IF(NOT(AND(ISNUMBER(N223),ISNUMBER(P223),ISNUMBER(H223))),"시각 결측",IF(P223&lt;=N223,"기준 시각 역전",IF(OR(H223&lt;N223,H223&gt;P223),"측정시각 구간 밖","OK")))))</f>
        <v/>
      </c>
      <c r="N223" s="45">
        <f>IF(COUNTIFS($C:$C,$C223,$D:$D,"기준(전)",$L:$L,"&gt;0")&lt;&gt;1,"",SUMIFS($H:$H,$C:$C,$C223,$D:$D,"기준(전)"))</f>
        <v/>
      </c>
      <c r="O223" s="30">
        <f>IF(COUNTIFS($C:$C,$C223,$D:$D,"기준(전)",$L:$L,"&gt;0")&lt;&gt;1,"",SUMIFS($L:$L,$C:$C,$C223,$D:$D,"기준(전)"))</f>
        <v/>
      </c>
      <c r="P223" s="45">
        <f>IF(COUNTIFS($C:$C,$C223,$D:$D,"기준(후)",$L:$L,"&gt;0")&lt;&gt;1,"",SUMIFS($H:$H,$C:$C,$C223,$D:$D,"기준(후)"))</f>
        <v/>
      </c>
      <c r="Q223" s="30">
        <f>IF(COUNTIFS($C:$C,$C223,$D:$D,"기준(후)",$L:$L,"&gt;0")&lt;&gt;1,"",SUMIFS($L:$L,$C:$C,$C223,$D:$D,"기준(후)"))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IF(OR($D222&lt;&gt;"측정",$C222&lt;&gt;$C223,NOT(ISNUMBER(L223)),NOT(ISNUMBER(L222)),(IF(ISNUMBER(F223),F223,E223)-IF(ISNUMBER(F222),F222,E222))=0),"",(L223-L222)/((IF(ISNUMBER(F223),F223,E223)-IF(ISNUMBER(F222),F222,E222))/100))</f>
        <v/>
      </c>
      <c r="U223" s="28" t="n"/>
      <c r="V223" s="28" t="n"/>
      <c r="W223" s="31" t="n"/>
    </row>
    <row r="224">
      <c r="A224" s="25" t="inlineStr">
        <is>
          <t>S19</t>
        </is>
      </c>
      <c r="B224" s="25" t="inlineStr">
        <is>
          <t>오호 신규점</t>
        </is>
      </c>
      <c r="C224" s="25" t="inlineStr">
        <is>
          <t>S19-V</t>
        </is>
      </c>
      <c r="D224" s="25" t="inlineStr">
        <is>
          <t>측정</t>
        </is>
      </c>
      <c r="E224" s="48" t="n">
        <v>60</v>
      </c>
      <c r="F224" s="40" t="n"/>
      <c r="G224" s="28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IF(COUNTIFS($C:$C,$C224,$D:$D,"기준(전)",$L:$L,"&gt;0")&lt;&gt;1,"기준(전) 유효 1개 아님",IF(COUNTIFS($C:$C,$C224,$D:$D,"기준(후)",$L:$L,"&gt;0")&lt;&gt;1,"기준(후) 유효 1개 아님",IF(NOT(AND(ISNUMBER(N224),ISNUMBER(P224),ISNUMBER(H224))),"시각 결측",IF(P224&lt;=N224,"기준 시각 역전",IF(OR(H224&lt;N224,H224&gt;P224),"측정시각 구간 밖","OK")))))</f>
        <v/>
      </c>
      <c r="N224" s="45">
        <f>IF(COUNTIFS($C:$C,$C224,$D:$D,"기준(전)",$L:$L,"&gt;0")&lt;&gt;1,"",SUMIFS($H:$H,$C:$C,$C224,$D:$D,"기준(전)"))</f>
        <v/>
      </c>
      <c r="O224" s="30">
        <f>IF(COUNTIFS($C:$C,$C224,$D:$D,"기준(전)",$L:$L,"&gt;0")&lt;&gt;1,"",SUMIFS($L:$L,$C:$C,$C224,$D:$D,"기준(전)"))</f>
        <v/>
      </c>
      <c r="P224" s="45">
        <f>IF(COUNTIFS($C:$C,$C224,$D:$D,"기준(후)",$L:$L,"&gt;0")&lt;&gt;1,"",SUMIFS($H:$H,$C:$C,$C224,$D:$D,"기준(후)"))</f>
        <v/>
      </c>
      <c r="Q224" s="30">
        <f>IF(COUNTIFS($C:$C,$C224,$D:$D,"기준(후)",$L:$L,"&gt;0")&lt;&gt;1,"",SUMIFS($L:$L,$C:$C,$C224,$D:$D,"기준(후)"))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IF(OR($D223&lt;&gt;"측정",$C223&lt;&gt;$C224,NOT(ISNUMBER(L224)),NOT(ISNUMBER(L223)),(IF(ISNUMBER(F224),F224,E224)-IF(ISNUMBER(F223),F223,E223))=0),"",(L224-L223)/((IF(ISNUMBER(F224),F224,E224)-IF(ISNUMBER(F223),F223,E223))/100))</f>
        <v/>
      </c>
      <c r="U224" s="28" t="n"/>
      <c r="V224" s="28" t="n"/>
      <c r="W224" s="31" t="n"/>
    </row>
    <row r="225">
      <c r="A225" s="25" t="inlineStr">
        <is>
          <t>S19</t>
        </is>
      </c>
      <c r="B225" s="25" t="inlineStr">
        <is>
          <t>오호 신규점</t>
        </is>
      </c>
      <c r="C225" s="25" t="inlineStr">
        <is>
          <t>S19-V</t>
        </is>
      </c>
      <c r="D225" s="25" t="inlineStr">
        <is>
          <t>측정</t>
        </is>
      </c>
      <c r="E225" s="48" t="n">
        <v>80</v>
      </c>
      <c r="F225" s="40" t="n"/>
      <c r="G225" s="28" t="n"/>
      <c r="H225" s="42" t="n"/>
      <c r="I225" s="40" t="n"/>
      <c r="J225" s="40" t="n"/>
      <c r="K225" s="40" t="n"/>
      <c r="L225" s="30">
        <f>IF(COUNT(I225:K225)=0,"",MEDIAN(I225:K225))</f>
        <v/>
      </c>
      <c r="M225" s="25">
        <f>IF(COUNTIFS($C:$C,$C225,$D:$D,"기준(전)",$L:$L,"&gt;0")&lt;&gt;1,"기준(전) 유효 1개 아님",IF(COUNTIFS($C:$C,$C225,$D:$D,"기준(후)",$L:$L,"&gt;0")&lt;&gt;1,"기준(후) 유효 1개 아님",IF(NOT(AND(ISNUMBER(N225),ISNUMBER(P225),ISNUMBER(H225))),"시각 결측",IF(P225&lt;=N225,"기준 시각 역전",IF(OR(H225&lt;N225,H225&gt;P225),"측정시각 구간 밖","OK")))))</f>
        <v/>
      </c>
      <c r="N225" s="45">
        <f>IF(COUNTIFS($C:$C,$C225,$D:$D,"기준(전)",$L:$L,"&gt;0")&lt;&gt;1,"",SUMIFS($H:$H,$C:$C,$C225,$D:$D,"기준(전)"))</f>
        <v/>
      </c>
      <c r="O225" s="30">
        <f>IF(COUNTIFS($C:$C,$C225,$D:$D,"기준(전)",$L:$L,"&gt;0")&lt;&gt;1,"",SUMIFS($L:$L,$C:$C,$C225,$D:$D,"기준(전)"))</f>
        <v/>
      </c>
      <c r="P225" s="45">
        <f>IF(COUNTIFS($C:$C,$C225,$D:$D,"기준(후)",$L:$L,"&gt;0")&lt;&gt;1,"",SUMIFS($H:$H,$C:$C,$C225,$D:$D,"기준(후)"))</f>
        <v/>
      </c>
      <c r="Q225" s="30">
        <f>IF(COUNTIFS($C:$C,$C225,$D:$D,"기준(후)",$L:$L,"&gt;0")&lt;&gt;1,"",SUMIFS($L:$L,$C:$C,$C225,$D:$D,"기준(후)"))</f>
        <v/>
      </c>
      <c r="R225" s="30">
        <f>IF(M225&lt;&gt;"OK","",O225+(Q225-O225)*(H225-N225)/(P225-N225))</f>
        <v/>
      </c>
      <c r="S225" s="30">
        <f>IF(OR(M225&lt;&gt;"OK",NOT(ISNUMBER(L225))),"",L225-R225)</f>
        <v/>
      </c>
      <c r="T225" s="46">
        <f>IF(OR($D224&lt;&gt;"측정",$C224&lt;&gt;$C225,NOT(ISNUMBER(L225)),NOT(ISNUMBER(L224)),(IF(ISNUMBER(F225),F225,E225)-IF(ISNUMBER(F224),F224,E224))=0),"",(L225-L224)/((IF(ISNUMBER(F225),F225,E225)-IF(ISNUMBER(F224),F224,E224))/100))</f>
        <v/>
      </c>
      <c r="U225" s="28" t="n"/>
      <c r="V225" s="28" t="n"/>
      <c r="W225" s="31" t="n"/>
    </row>
    <row r="226">
      <c r="A226" s="25" t="inlineStr">
        <is>
          <t>S19</t>
        </is>
      </c>
      <c r="B226" s="25" t="inlineStr">
        <is>
          <t>오호 신규점</t>
        </is>
      </c>
      <c r="C226" s="25" t="inlineStr">
        <is>
          <t>S19-V</t>
        </is>
      </c>
      <c r="D226" s="25" t="inlineStr">
        <is>
          <t>측정</t>
        </is>
      </c>
      <c r="E226" s="48" t="n">
        <v>100</v>
      </c>
      <c r="F226" s="40" t="n"/>
      <c r="G226" s="28" t="n"/>
      <c r="H226" s="42" t="n"/>
      <c r="I226" s="40" t="n"/>
      <c r="J226" s="40" t="n"/>
      <c r="K226" s="40" t="n"/>
      <c r="L226" s="30">
        <f>IF(COUNT(I226:K226)=0,"",MEDIAN(I226:K226))</f>
        <v/>
      </c>
      <c r="M226" s="25">
        <f>IF(COUNTIFS($C:$C,$C226,$D:$D,"기준(전)",$L:$L,"&gt;0")&lt;&gt;1,"기준(전) 유효 1개 아님",IF(COUNTIFS($C:$C,$C226,$D:$D,"기준(후)",$L:$L,"&gt;0")&lt;&gt;1,"기준(후) 유효 1개 아님",IF(NOT(AND(ISNUMBER(N226),ISNUMBER(P226),ISNUMBER(H226))),"시각 결측",IF(P226&lt;=N226,"기준 시각 역전",IF(OR(H226&lt;N226,H226&gt;P226),"측정시각 구간 밖","OK")))))</f>
        <v/>
      </c>
      <c r="N226" s="45">
        <f>IF(COUNTIFS($C:$C,$C226,$D:$D,"기준(전)",$L:$L,"&gt;0")&lt;&gt;1,"",SUMIFS($H:$H,$C:$C,$C226,$D:$D,"기준(전)"))</f>
        <v/>
      </c>
      <c r="O226" s="30">
        <f>IF(COUNTIFS($C:$C,$C226,$D:$D,"기준(전)",$L:$L,"&gt;0")&lt;&gt;1,"",SUMIFS($L:$L,$C:$C,$C226,$D:$D,"기준(전)"))</f>
        <v/>
      </c>
      <c r="P226" s="45">
        <f>IF(COUNTIFS($C:$C,$C226,$D:$D,"기준(후)",$L:$L,"&gt;0")&lt;&gt;1,"",SUMIFS($H:$H,$C:$C,$C226,$D:$D,"기준(후)"))</f>
        <v/>
      </c>
      <c r="Q226" s="30">
        <f>IF(COUNTIFS($C:$C,$C226,$D:$D,"기준(후)",$L:$L,"&gt;0")&lt;&gt;1,"",SUMIFS($L:$L,$C:$C,$C226,$D:$D,"기준(후)"))</f>
        <v/>
      </c>
      <c r="R226" s="30">
        <f>IF(M226&lt;&gt;"OK","",O226+(Q226-O226)*(H226-N226)/(P226-N226))</f>
        <v/>
      </c>
      <c r="S226" s="30">
        <f>IF(OR(M226&lt;&gt;"OK",NOT(ISNUMBER(L226))),"",L226-R226)</f>
        <v/>
      </c>
      <c r="T226" s="46">
        <f>IF(OR($D225&lt;&gt;"측정",$C225&lt;&gt;$C226,NOT(ISNUMBER(L226)),NOT(ISNUMBER(L225)),(IF(ISNUMBER(F226),F226,E226)-IF(ISNUMBER(F225),F225,E225))=0),"",(L226-L225)/((IF(ISNUMBER(F226),F226,E226)-IF(ISNUMBER(F225),F225,E225))/100))</f>
        <v/>
      </c>
      <c r="U226" s="28" t="n"/>
      <c r="V226" s="28" t="n"/>
      <c r="W226" s="31" t="n"/>
    </row>
    <row r="227">
      <c r="A227" s="25" t="inlineStr">
        <is>
          <t>S19</t>
        </is>
      </c>
      <c r="B227" s="25" t="inlineStr">
        <is>
          <t>오호 신규점</t>
        </is>
      </c>
      <c r="C227" s="25" t="inlineStr">
        <is>
          <t>S19-V</t>
        </is>
      </c>
      <c r="D227" s="25" t="inlineStr">
        <is>
          <t>측정</t>
        </is>
      </c>
      <c r="E227" s="48" t="n">
        <v>120</v>
      </c>
      <c r="F227" s="40" t="n"/>
      <c r="G227" s="28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IF(COUNTIFS($C:$C,$C227,$D:$D,"기준(전)",$L:$L,"&gt;0")&lt;&gt;1,"기준(전) 유효 1개 아님",IF(COUNTIFS($C:$C,$C227,$D:$D,"기준(후)",$L:$L,"&gt;0")&lt;&gt;1,"기준(후) 유효 1개 아님",IF(NOT(AND(ISNUMBER(N227),ISNUMBER(P227),ISNUMBER(H227))),"시각 결측",IF(P227&lt;=N227,"기준 시각 역전",IF(OR(H227&lt;N227,H227&gt;P227),"측정시각 구간 밖","OK")))))</f>
        <v/>
      </c>
      <c r="N227" s="45">
        <f>IF(COUNTIFS($C:$C,$C227,$D:$D,"기준(전)",$L:$L,"&gt;0")&lt;&gt;1,"",SUMIFS($H:$H,$C:$C,$C227,$D:$D,"기준(전)"))</f>
        <v/>
      </c>
      <c r="O227" s="30">
        <f>IF(COUNTIFS($C:$C,$C227,$D:$D,"기준(전)",$L:$L,"&gt;0")&lt;&gt;1,"",SUMIFS($L:$L,$C:$C,$C227,$D:$D,"기준(전)"))</f>
        <v/>
      </c>
      <c r="P227" s="45">
        <f>IF(COUNTIFS($C:$C,$C227,$D:$D,"기준(후)",$L:$L,"&gt;0")&lt;&gt;1,"",SUMIFS($H:$H,$C:$C,$C227,$D:$D,"기준(후)"))</f>
        <v/>
      </c>
      <c r="Q227" s="30">
        <f>IF(COUNTIFS($C:$C,$C227,$D:$D,"기준(후)",$L:$L,"&gt;0")&lt;&gt;1,"",SUMIFS($L:$L,$C:$C,$C227,$D:$D,"기준(후)"))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IF(OR($D226&lt;&gt;"측정",$C226&lt;&gt;$C227,NOT(ISNUMBER(L227)),NOT(ISNUMBER(L226)),(IF(ISNUMBER(F227),F227,E227)-IF(ISNUMBER(F226),F226,E226))=0),"",(L227-L226)/((IF(ISNUMBER(F227),F227,E227)-IF(ISNUMBER(F226),F226,E226))/100))</f>
        <v/>
      </c>
      <c r="U227" s="28" t="n"/>
      <c r="V227" s="28" t="n"/>
      <c r="W227" s="31" t="n"/>
    </row>
    <row r="228">
      <c r="A228" s="25" t="inlineStr">
        <is>
          <t>S19</t>
        </is>
      </c>
      <c r="B228" s="25" t="inlineStr">
        <is>
          <t>오호 신규점</t>
        </is>
      </c>
      <c r="C228" s="25" t="inlineStr">
        <is>
          <t>S19-V</t>
        </is>
      </c>
      <c r="D228" s="25" t="inlineStr">
        <is>
          <t>측정</t>
        </is>
      </c>
      <c r="E228" s="48" t="n">
        <v>140</v>
      </c>
      <c r="F228" s="40" t="n"/>
      <c r="G228" s="28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IF(COUNTIFS($C:$C,$C228,$D:$D,"기준(전)",$L:$L,"&gt;0")&lt;&gt;1,"기준(전) 유효 1개 아님",IF(COUNTIFS($C:$C,$C228,$D:$D,"기준(후)",$L:$L,"&gt;0")&lt;&gt;1,"기준(후) 유효 1개 아님",IF(NOT(AND(ISNUMBER(N228),ISNUMBER(P228),ISNUMBER(H228))),"시각 결측",IF(P228&lt;=N228,"기준 시각 역전",IF(OR(H228&lt;N228,H228&gt;P228),"측정시각 구간 밖","OK")))))</f>
        <v/>
      </c>
      <c r="N228" s="45">
        <f>IF(COUNTIFS($C:$C,$C228,$D:$D,"기준(전)",$L:$L,"&gt;0")&lt;&gt;1,"",SUMIFS($H:$H,$C:$C,$C228,$D:$D,"기준(전)"))</f>
        <v/>
      </c>
      <c r="O228" s="30">
        <f>IF(COUNTIFS($C:$C,$C228,$D:$D,"기준(전)",$L:$L,"&gt;0")&lt;&gt;1,"",SUMIFS($L:$L,$C:$C,$C228,$D:$D,"기준(전)"))</f>
        <v/>
      </c>
      <c r="P228" s="45">
        <f>IF(COUNTIFS($C:$C,$C228,$D:$D,"기준(후)",$L:$L,"&gt;0")&lt;&gt;1,"",SUMIFS($H:$H,$C:$C,$C228,$D:$D,"기준(후)"))</f>
        <v/>
      </c>
      <c r="Q228" s="30">
        <f>IF(COUNTIFS($C:$C,$C228,$D:$D,"기준(후)",$L:$L,"&gt;0")&lt;&gt;1,"",SUMIFS($L:$L,$C:$C,$C228,$D:$D,"기준(후)"))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IF(OR($D227&lt;&gt;"측정",$C227&lt;&gt;$C228,NOT(ISNUMBER(L228)),NOT(ISNUMBER(L227)),(IF(ISNUMBER(F228),F228,E228)-IF(ISNUMBER(F227),F227,E227))=0),"",(L228-L227)/((IF(ISNUMBER(F228),F228,E228)-IF(ISNUMBER(F227),F227,E227))/100))</f>
        <v/>
      </c>
      <c r="U228" s="28" t="n"/>
      <c r="V228" s="28" t="n"/>
      <c r="W228" s="31" t="n"/>
    </row>
    <row r="229">
      <c r="A229" s="25" t="inlineStr">
        <is>
          <t>S19</t>
        </is>
      </c>
      <c r="B229" s="25" t="inlineStr">
        <is>
          <t>오호 신규점</t>
        </is>
      </c>
      <c r="C229" s="25" t="inlineStr">
        <is>
          <t>S19-V</t>
        </is>
      </c>
      <c r="D229" s="25" t="inlineStr">
        <is>
          <t>측정</t>
        </is>
      </c>
      <c r="E229" s="48" t="n">
        <v>160</v>
      </c>
      <c r="F229" s="40" t="n"/>
      <c r="G229" s="28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IF(COUNTIFS($C:$C,$C229,$D:$D,"기준(전)",$L:$L,"&gt;0")&lt;&gt;1,"기준(전) 유효 1개 아님",IF(COUNTIFS($C:$C,$C229,$D:$D,"기준(후)",$L:$L,"&gt;0")&lt;&gt;1,"기준(후) 유효 1개 아님",IF(NOT(AND(ISNUMBER(N229),ISNUMBER(P229),ISNUMBER(H229))),"시각 결측",IF(P229&lt;=N229,"기준 시각 역전",IF(OR(H229&lt;N229,H229&gt;P229),"측정시각 구간 밖","OK")))))</f>
        <v/>
      </c>
      <c r="N229" s="45">
        <f>IF(COUNTIFS($C:$C,$C229,$D:$D,"기준(전)",$L:$L,"&gt;0")&lt;&gt;1,"",SUMIFS($H:$H,$C:$C,$C229,$D:$D,"기준(전)"))</f>
        <v/>
      </c>
      <c r="O229" s="30">
        <f>IF(COUNTIFS($C:$C,$C229,$D:$D,"기준(전)",$L:$L,"&gt;0")&lt;&gt;1,"",SUMIFS($L:$L,$C:$C,$C229,$D:$D,"기준(전)"))</f>
        <v/>
      </c>
      <c r="P229" s="45">
        <f>IF(COUNTIFS($C:$C,$C229,$D:$D,"기준(후)",$L:$L,"&gt;0")&lt;&gt;1,"",SUMIFS($H:$H,$C:$C,$C229,$D:$D,"기준(후)"))</f>
        <v/>
      </c>
      <c r="Q229" s="30">
        <f>IF(COUNTIFS($C:$C,$C229,$D:$D,"기준(후)",$L:$L,"&gt;0")&lt;&gt;1,"",SUMIFS($L:$L,$C:$C,$C229,$D:$D,"기준(후)"))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IF(OR($D228&lt;&gt;"측정",$C228&lt;&gt;$C229,NOT(ISNUMBER(L229)),NOT(ISNUMBER(L228)),(IF(ISNUMBER(F229),F229,E229)-IF(ISNUMBER(F228),F228,E228))=0),"",(L229-L228)/((IF(ISNUMBER(F229),F229,E229)-IF(ISNUMBER(F228),F228,E228))/100))</f>
        <v/>
      </c>
      <c r="U229" s="28" t="n"/>
      <c r="V229" s="28" t="n"/>
      <c r="W229" s="31" t="n"/>
    </row>
    <row r="230">
      <c r="A230" s="25" t="inlineStr">
        <is>
          <t>S19</t>
        </is>
      </c>
      <c r="B230" s="25" t="inlineStr">
        <is>
          <t>오호 신규점</t>
        </is>
      </c>
      <c r="C230" s="25" t="inlineStr">
        <is>
          <t>S19-V</t>
        </is>
      </c>
      <c r="D230" s="25" t="inlineStr">
        <is>
          <t>측정</t>
        </is>
      </c>
      <c r="E230" s="48" t="n">
        <v>180</v>
      </c>
      <c r="F230" s="40" t="n"/>
      <c r="G230" s="28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IF(COUNTIFS($C:$C,$C230,$D:$D,"기준(전)",$L:$L,"&gt;0")&lt;&gt;1,"기준(전) 유효 1개 아님",IF(COUNTIFS($C:$C,$C230,$D:$D,"기준(후)",$L:$L,"&gt;0")&lt;&gt;1,"기준(후) 유효 1개 아님",IF(NOT(AND(ISNUMBER(N230),ISNUMBER(P230),ISNUMBER(H230))),"시각 결측",IF(P230&lt;=N230,"기준 시각 역전",IF(OR(H230&lt;N230,H230&gt;P230),"측정시각 구간 밖","OK")))))</f>
        <v/>
      </c>
      <c r="N230" s="45">
        <f>IF(COUNTIFS($C:$C,$C230,$D:$D,"기준(전)",$L:$L,"&gt;0")&lt;&gt;1,"",SUMIFS($H:$H,$C:$C,$C230,$D:$D,"기준(전)"))</f>
        <v/>
      </c>
      <c r="O230" s="30">
        <f>IF(COUNTIFS($C:$C,$C230,$D:$D,"기준(전)",$L:$L,"&gt;0")&lt;&gt;1,"",SUMIFS($L:$L,$C:$C,$C230,$D:$D,"기준(전)"))</f>
        <v/>
      </c>
      <c r="P230" s="45">
        <f>IF(COUNTIFS($C:$C,$C230,$D:$D,"기준(후)",$L:$L,"&gt;0")&lt;&gt;1,"",SUMIFS($H:$H,$C:$C,$C230,$D:$D,"기준(후)"))</f>
        <v/>
      </c>
      <c r="Q230" s="30">
        <f>IF(COUNTIFS($C:$C,$C230,$D:$D,"기준(후)",$L:$L,"&gt;0")&lt;&gt;1,"",SUMIFS($L:$L,$C:$C,$C230,$D:$D,"기준(후)"))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IF(OR($D229&lt;&gt;"측정",$C229&lt;&gt;$C230,NOT(ISNUMBER(L230)),NOT(ISNUMBER(L229)),(IF(ISNUMBER(F230),F230,E230)-IF(ISNUMBER(F229),F229,E229))=0),"",(L230-L229)/((IF(ISNUMBER(F230),F230,E230)-IF(ISNUMBER(F229),F229,E229))/100))</f>
        <v/>
      </c>
      <c r="U230" s="28" t="n"/>
      <c r="V230" s="28" t="n"/>
      <c r="W230" s="31" t="n"/>
    </row>
    <row r="231">
      <c r="A231" s="25" t="inlineStr">
        <is>
          <t>S19</t>
        </is>
      </c>
      <c r="B231" s="25" t="inlineStr">
        <is>
          <t>오호 신규점</t>
        </is>
      </c>
      <c r="C231" s="25" t="inlineStr">
        <is>
          <t>S19-V</t>
        </is>
      </c>
      <c r="D231" s="25" t="inlineStr">
        <is>
          <t>측정</t>
        </is>
      </c>
      <c r="E231" s="48" t="n">
        <v>200</v>
      </c>
      <c r="F231" s="40" t="n"/>
      <c r="G231" s="28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IF(COUNTIFS($C:$C,$C231,$D:$D,"기준(전)",$L:$L,"&gt;0")&lt;&gt;1,"기준(전) 유효 1개 아님",IF(COUNTIFS($C:$C,$C231,$D:$D,"기준(후)",$L:$L,"&gt;0")&lt;&gt;1,"기준(후) 유효 1개 아님",IF(NOT(AND(ISNUMBER(N231),ISNUMBER(P231),ISNUMBER(H231))),"시각 결측",IF(P231&lt;=N231,"기준 시각 역전",IF(OR(H231&lt;N231,H231&gt;P231),"측정시각 구간 밖","OK")))))</f>
        <v/>
      </c>
      <c r="N231" s="45">
        <f>IF(COUNTIFS($C:$C,$C231,$D:$D,"기준(전)",$L:$L,"&gt;0")&lt;&gt;1,"",SUMIFS($H:$H,$C:$C,$C231,$D:$D,"기준(전)"))</f>
        <v/>
      </c>
      <c r="O231" s="30">
        <f>IF(COUNTIFS($C:$C,$C231,$D:$D,"기준(전)",$L:$L,"&gt;0")&lt;&gt;1,"",SUMIFS($L:$L,$C:$C,$C231,$D:$D,"기준(전)"))</f>
        <v/>
      </c>
      <c r="P231" s="45">
        <f>IF(COUNTIFS($C:$C,$C231,$D:$D,"기준(후)",$L:$L,"&gt;0")&lt;&gt;1,"",SUMIFS($H:$H,$C:$C,$C231,$D:$D,"기준(후)"))</f>
        <v/>
      </c>
      <c r="Q231" s="30">
        <f>IF(COUNTIFS($C:$C,$C231,$D:$D,"기준(후)",$L:$L,"&gt;0")&lt;&gt;1,"",SUMIFS($L:$L,$C:$C,$C231,$D:$D,"기준(후)"))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IF(OR($D230&lt;&gt;"측정",$C230&lt;&gt;$C231,NOT(ISNUMBER(L231)),NOT(ISNUMBER(L230)),(IF(ISNUMBER(F231),F231,E231)-IF(ISNUMBER(F230),F230,E230))=0),"",(L231-L230)/((IF(ISNUMBER(F231),F231,E231)-IF(ISNUMBER(F230),F230,E230))/100))</f>
        <v/>
      </c>
      <c r="U231" s="28" t="n"/>
      <c r="V231" s="28" t="n"/>
      <c r="W231" s="31" t="n"/>
    </row>
    <row r="232">
      <c r="A232" s="43" t="inlineStr">
        <is>
          <t>S19</t>
        </is>
      </c>
      <c r="B232" s="43" t="inlineStr">
        <is>
          <t>오호 신규점</t>
        </is>
      </c>
      <c r="C232" s="43" t="inlineStr">
        <is>
          <t>S19-V</t>
        </is>
      </c>
      <c r="D232" s="43" t="inlineStr">
        <is>
          <t>기준(후)</t>
        </is>
      </c>
      <c r="E232" s="47" t="n"/>
      <c r="F232" s="40" t="n"/>
      <c r="G232" s="28" t="n"/>
      <c r="H232" s="42" t="n"/>
      <c r="I232" s="40" t="n"/>
      <c r="J232" s="40" t="n"/>
      <c r="K232" s="40" t="n"/>
      <c r="L232" s="30">
        <f>IF(COUNT(I232:K232)=0,"",MEDIAN(I232:K232))</f>
        <v/>
      </c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28" t="n"/>
      <c r="V232" s="28" t="n"/>
      <c r="W232" s="31" t="n"/>
    </row>
    <row r="233">
      <c r="A233" s="43" t="inlineStr">
        <is>
          <t>S20</t>
        </is>
      </c>
      <c r="B233" s="43" t="inlineStr">
        <is>
          <t>보령 신규점2</t>
        </is>
      </c>
      <c r="C233" s="43" t="inlineStr">
        <is>
          <t>S20-V</t>
        </is>
      </c>
      <c r="D233" s="43" t="inlineStr">
        <is>
          <t>기준(전)</t>
        </is>
      </c>
      <c r="E233" s="47" t="n"/>
      <c r="F233" s="40" t="n"/>
      <c r="G233" s="28" t="n"/>
      <c r="H233" s="42" t="n"/>
      <c r="I233" s="40" t="n"/>
      <c r="J233" s="40" t="n"/>
      <c r="K233" s="40" t="n"/>
      <c r="L233" s="30">
        <f>IF(COUNT(I233:K233)=0,"",MEDIAN(I233:K233))</f>
        <v/>
      </c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28" t="n"/>
      <c r="V233" s="28" t="n"/>
      <c r="W233" s="31" t="n"/>
    </row>
    <row r="234">
      <c r="A234" s="25" t="inlineStr">
        <is>
          <t>S20</t>
        </is>
      </c>
      <c r="B234" s="25" t="inlineStr">
        <is>
          <t>보령 신규점2</t>
        </is>
      </c>
      <c r="C234" s="25" t="inlineStr">
        <is>
          <t>S20-V</t>
        </is>
      </c>
      <c r="D234" s="25" t="inlineStr">
        <is>
          <t>측정</t>
        </is>
      </c>
      <c r="E234" s="48" t="n">
        <v>20</v>
      </c>
      <c r="F234" s="40" t="n"/>
      <c r="G234" s="28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IF(COUNTIFS($C:$C,$C234,$D:$D,"기준(전)",$L:$L,"&gt;0")&lt;&gt;1,"기준(전) 유효 1개 아님",IF(COUNTIFS($C:$C,$C234,$D:$D,"기준(후)",$L:$L,"&gt;0")&lt;&gt;1,"기준(후) 유효 1개 아님",IF(NOT(AND(ISNUMBER(N234),ISNUMBER(P234),ISNUMBER(H234))),"시각 결측",IF(P234&lt;=N234,"기준 시각 역전",IF(OR(H234&lt;N234,H234&gt;P234),"측정시각 구간 밖","OK")))))</f>
        <v/>
      </c>
      <c r="N234" s="45">
        <f>IF(COUNTIFS($C:$C,$C234,$D:$D,"기준(전)",$L:$L,"&gt;0")&lt;&gt;1,"",SUMIFS($H:$H,$C:$C,$C234,$D:$D,"기준(전)"))</f>
        <v/>
      </c>
      <c r="O234" s="30">
        <f>IF(COUNTIFS($C:$C,$C234,$D:$D,"기준(전)",$L:$L,"&gt;0")&lt;&gt;1,"",SUMIFS($L:$L,$C:$C,$C234,$D:$D,"기준(전)"))</f>
        <v/>
      </c>
      <c r="P234" s="45">
        <f>IF(COUNTIFS($C:$C,$C234,$D:$D,"기준(후)",$L:$L,"&gt;0")&lt;&gt;1,"",SUMIFS($H:$H,$C:$C,$C234,$D:$D,"기준(후)"))</f>
        <v/>
      </c>
      <c r="Q234" s="30">
        <f>IF(COUNTIFS($C:$C,$C234,$D:$D,"기준(후)",$L:$L,"&gt;0")&lt;&gt;1,"",SUMIFS($L:$L,$C:$C,$C234,$D:$D,"기준(후)"))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IF(OR($D233&lt;&gt;"측정",$C233&lt;&gt;$C234,NOT(ISNUMBER(L234)),NOT(ISNUMBER(L233)),(IF(ISNUMBER(F234),F234,E234)-IF(ISNUMBER(F233),F233,E233))=0),"",(L234-L233)/((IF(ISNUMBER(F234),F234,E234)-IF(ISNUMBER(F233),F233,E233))/100))</f>
        <v/>
      </c>
      <c r="U234" s="28" t="n"/>
      <c r="V234" s="28" t="n"/>
      <c r="W234" s="31" t="n"/>
    </row>
    <row r="235">
      <c r="A235" s="25" t="inlineStr">
        <is>
          <t>S20</t>
        </is>
      </c>
      <c r="B235" s="25" t="inlineStr">
        <is>
          <t>보령 신규점2</t>
        </is>
      </c>
      <c r="C235" s="25" t="inlineStr">
        <is>
          <t>S20-V</t>
        </is>
      </c>
      <c r="D235" s="25" t="inlineStr">
        <is>
          <t>측정</t>
        </is>
      </c>
      <c r="E235" s="48" t="n">
        <v>40</v>
      </c>
      <c r="F235" s="40" t="n"/>
      <c r="G235" s="28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IF(COUNTIFS($C:$C,$C235,$D:$D,"기준(전)",$L:$L,"&gt;0")&lt;&gt;1,"기준(전) 유효 1개 아님",IF(COUNTIFS($C:$C,$C235,$D:$D,"기준(후)",$L:$L,"&gt;0")&lt;&gt;1,"기준(후) 유효 1개 아님",IF(NOT(AND(ISNUMBER(N235),ISNUMBER(P235),ISNUMBER(H235))),"시각 결측",IF(P235&lt;=N235,"기준 시각 역전",IF(OR(H235&lt;N235,H235&gt;P235),"측정시각 구간 밖","OK")))))</f>
        <v/>
      </c>
      <c r="N235" s="45">
        <f>IF(COUNTIFS($C:$C,$C235,$D:$D,"기준(전)",$L:$L,"&gt;0")&lt;&gt;1,"",SUMIFS($H:$H,$C:$C,$C235,$D:$D,"기준(전)"))</f>
        <v/>
      </c>
      <c r="O235" s="30">
        <f>IF(COUNTIFS($C:$C,$C235,$D:$D,"기준(전)",$L:$L,"&gt;0")&lt;&gt;1,"",SUMIFS($L:$L,$C:$C,$C235,$D:$D,"기준(전)"))</f>
        <v/>
      </c>
      <c r="P235" s="45">
        <f>IF(COUNTIFS($C:$C,$C235,$D:$D,"기준(후)",$L:$L,"&gt;0")&lt;&gt;1,"",SUMIFS($H:$H,$C:$C,$C235,$D:$D,"기준(후)"))</f>
        <v/>
      </c>
      <c r="Q235" s="30">
        <f>IF(COUNTIFS($C:$C,$C235,$D:$D,"기준(후)",$L:$L,"&gt;0")&lt;&gt;1,"",SUMIFS($L:$L,$C:$C,$C235,$D:$D,"기준(후)"))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IF(OR($D234&lt;&gt;"측정",$C234&lt;&gt;$C235,NOT(ISNUMBER(L235)),NOT(ISNUMBER(L234)),(IF(ISNUMBER(F235),F235,E235)-IF(ISNUMBER(F234),F234,E234))=0),"",(L235-L234)/((IF(ISNUMBER(F235),F235,E235)-IF(ISNUMBER(F234),F234,E234))/100))</f>
        <v/>
      </c>
      <c r="U235" s="28" t="n"/>
      <c r="V235" s="28" t="n"/>
      <c r="W235" s="31" t="n"/>
    </row>
    <row r="236">
      <c r="A236" s="25" t="inlineStr">
        <is>
          <t>S20</t>
        </is>
      </c>
      <c r="B236" s="25" t="inlineStr">
        <is>
          <t>보령 신규점2</t>
        </is>
      </c>
      <c r="C236" s="25" t="inlineStr">
        <is>
          <t>S20-V</t>
        </is>
      </c>
      <c r="D236" s="25" t="inlineStr">
        <is>
          <t>측정</t>
        </is>
      </c>
      <c r="E236" s="48" t="n">
        <v>60</v>
      </c>
      <c r="F236" s="40" t="n"/>
      <c r="G236" s="28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IF(COUNTIFS($C:$C,$C236,$D:$D,"기준(전)",$L:$L,"&gt;0")&lt;&gt;1,"기준(전) 유효 1개 아님",IF(COUNTIFS($C:$C,$C236,$D:$D,"기준(후)",$L:$L,"&gt;0")&lt;&gt;1,"기준(후) 유효 1개 아님",IF(NOT(AND(ISNUMBER(N236),ISNUMBER(P236),ISNUMBER(H236))),"시각 결측",IF(P236&lt;=N236,"기준 시각 역전",IF(OR(H236&lt;N236,H236&gt;P236),"측정시각 구간 밖","OK")))))</f>
        <v/>
      </c>
      <c r="N236" s="45">
        <f>IF(COUNTIFS($C:$C,$C236,$D:$D,"기준(전)",$L:$L,"&gt;0")&lt;&gt;1,"",SUMIFS($H:$H,$C:$C,$C236,$D:$D,"기준(전)"))</f>
        <v/>
      </c>
      <c r="O236" s="30">
        <f>IF(COUNTIFS($C:$C,$C236,$D:$D,"기준(전)",$L:$L,"&gt;0")&lt;&gt;1,"",SUMIFS($L:$L,$C:$C,$C236,$D:$D,"기준(전)"))</f>
        <v/>
      </c>
      <c r="P236" s="45">
        <f>IF(COUNTIFS($C:$C,$C236,$D:$D,"기준(후)",$L:$L,"&gt;0")&lt;&gt;1,"",SUMIFS($H:$H,$C:$C,$C236,$D:$D,"기준(후)"))</f>
        <v/>
      </c>
      <c r="Q236" s="30">
        <f>IF(COUNTIFS($C:$C,$C236,$D:$D,"기준(후)",$L:$L,"&gt;0")&lt;&gt;1,"",SUMIFS($L:$L,$C:$C,$C236,$D:$D,"기준(후)"))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IF(OR($D235&lt;&gt;"측정",$C235&lt;&gt;$C236,NOT(ISNUMBER(L236)),NOT(ISNUMBER(L235)),(IF(ISNUMBER(F236),F236,E236)-IF(ISNUMBER(F235),F235,E235))=0),"",(L236-L235)/((IF(ISNUMBER(F236),F236,E236)-IF(ISNUMBER(F235),F235,E235))/100))</f>
        <v/>
      </c>
      <c r="U236" s="28" t="n"/>
      <c r="V236" s="28" t="n"/>
      <c r="W236" s="31" t="n"/>
    </row>
    <row r="237">
      <c r="A237" s="25" t="inlineStr">
        <is>
          <t>S20</t>
        </is>
      </c>
      <c r="B237" s="25" t="inlineStr">
        <is>
          <t>보령 신규점2</t>
        </is>
      </c>
      <c r="C237" s="25" t="inlineStr">
        <is>
          <t>S20-V</t>
        </is>
      </c>
      <c r="D237" s="25" t="inlineStr">
        <is>
          <t>측정</t>
        </is>
      </c>
      <c r="E237" s="48" t="n">
        <v>80</v>
      </c>
      <c r="F237" s="40" t="n"/>
      <c r="G237" s="28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IF(COUNTIFS($C:$C,$C237,$D:$D,"기준(전)",$L:$L,"&gt;0")&lt;&gt;1,"기준(전) 유효 1개 아님",IF(COUNTIFS($C:$C,$C237,$D:$D,"기준(후)",$L:$L,"&gt;0")&lt;&gt;1,"기준(후) 유효 1개 아님",IF(NOT(AND(ISNUMBER(N237),ISNUMBER(P237),ISNUMBER(H237))),"시각 결측",IF(P237&lt;=N237,"기준 시각 역전",IF(OR(H237&lt;N237,H237&gt;P237),"측정시각 구간 밖","OK")))))</f>
        <v/>
      </c>
      <c r="N237" s="45">
        <f>IF(COUNTIFS($C:$C,$C237,$D:$D,"기준(전)",$L:$L,"&gt;0")&lt;&gt;1,"",SUMIFS($H:$H,$C:$C,$C237,$D:$D,"기준(전)"))</f>
        <v/>
      </c>
      <c r="O237" s="30">
        <f>IF(COUNTIFS($C:$C,$C237,$D:$D,"기준(전)",$L:$L,"&gt;0")&lt;&gt;1,"",SUMIFS($L:$L,$C:$C,$C237,$D:$D,"기준(전)"))</f>
        <v/>
      </c>
      <c r="P237" s="45">
        <f>IF(COUNTIFS($C:$C,$C237,$D:$D,"기준(후)",$L:$L,"&gt;0")&lt;&gt;1,"",SUMIFS($H:$H,$C:$C,$C237,$D:$D,"기준(후)"))</f>
        <v/>
      </c>
      <c r="Q237" s="30">
        <f>IF(COUNTIFS($C:$C,$C237,$D:$D,"기준(후)",$L:$L,"&gt;0")&lt;&gt;1,"",SUMIFS($L:$L,$C:$C,$C237,$D:$D,"기준(후)"))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IF(OR($D236&lt;&gt;"측정",$C236&lt;&gt;$C237,NOT(ISNUMBER(L237)),NOT(ISNUMBER(L236)),(IF(ISNUMBER(F237),F237,E237)-IF(ISNUMBER(F236),F236,E236))=0),"",(L237-L236)/((IF(ISNUMBER(F237),F237,E237)-IF(ISNUMBER(F236),F236,E236))/100))</f>
        <v/>
      </c>
      <c r="U237" s="28" t="n"/>
      <c r="V237" s="28" t="n"/>
      <c r="W237" s="31" t="n"/>
    </row>
    <row r="238">
      <c r="A238" s="25" t="inlineStr">
        <is>
          <t>S20</t>
        </is>
      </c>
      <c r="B238" s="25" t="inlineStr">
        <is>
          <t>보령 신규점2</t>
        </is>
      </c>
      <c r="C238" s="25" t="inlineStr">
        <is>
          <t>S20-V</t>
        </is>
      </c>
      <c r="D238" s="25" t="inlineStr">
        <is>
          <t>측정</t>
        </is>
      </c>
      <c r="E238" s="48" t="n">
        <v>100</v>
      </c>
      <c r="F238" s="40" t="n"/>
      <c r="G238" s="28" t="n"/>
      <c r="H238" s="42" t="n"/>
      <c r="I238" s="40" t="n"/>
      <c r="J238" s="40" t="n"/>
      <c r="K238" s="40" t="n"/>
      <c r="L238" s="30">
        <f>IF(COUNT(I238:K238)=0,"",MEDIAN(I238:K238))</f>
        <v/>
      </c>
      <c r="M238" s="25">
        <f>IF(COUNTIFS($C:$C,$C238,$D:$D,"기준(전)",$L:$L,"&gt;0")&lt;&gt;1,"기준(전) 유효 1개 아님",IF(COUNTIFS($C:$C,$C238,$D:$D,"기준(후)",$L:$L,"&gt;0")&lt;&gt;1,"기준(후) 유효 1개 아님",IF(NOT(AND(ISNUMBER(N238),ISNUMBER(P238),ISNUMBER(H238))),"시각 결측",IF(P238&lt;=N238,"기준 시각 역전",IF(OR(H238&lt;N238,H238&gt;P238),"측정시각 구간 밖","OK")))))</f>
        <v/>
      </c>
      <c r="N238" s="45">
        <f>IF(COUNTIFS($C:$C,$C238,$D:$D,"기준(전)",$L:$L,"&gt;0")&lt;&gt;1,"",SUMIFS($H:$H,$C:$C,$C238,$D:$D,"기준(전)"))</f>
        <v/>
      </c>
      <c r="O238" s="30">
        <f>IF(COUNTIFS($C:$C,$C238,$D:$D,"기준(전)",$L:$L,"&gt;0")&lt;&gt;1,"",SUMIFS($L:$L,$C:$C,$C238,$D:$D,"기준(전)"))</f>
        <v/>
      </c>
      <c r="P238" s="45">
        <f>IF(COUNTIFS($C:$C,$C238,$D:$D,"기준(후)",$L:$L,"&gt;0")&lt;&gt;1,"",SUMIFS($H:$H,$C:$C,$C238,$D:$D,"기준(후)"))</f>
        <v/>
      </c>
      <c r="Q238" s="30">
        <f>IF(COUNTIFS($C:$C,$C238,$D:$D,"기준(후)",$L:$L,"&gt;0")&lt;&gt;1,"",SUMIFS($L:$L,$C:$C,$C238,$D:$D,"기준(후)"))</f>
        <v/>
      </c>
      <c r="R238" s="30">
        <f>IF(M238&lt;&gt;"OK","",O238+(Q238-O238)*(H238-N238)/(P238-N238))</f>
        <v/>
      </c>
      <c r="S238" s="30">
        <f>IF(OR(M238&lt;&gt;"OK",NOT(ISNUMBER(L238))),"",L238-R238)</f>
        <v/>
      </c>
      <c r="T238" s="46">
        <f>IF(OR($D237&lt;&gt;"측정",$C237&lt;&gt;$C238,NOT(ISNUMBER(L238)),NOT(ISNUMBER(L237)),(IF(ISNUMBER(F238),F238,E238)-IF(ISNUMBER(F237),F237,E237))=0),"",(L238-L237)/((IF(ISNUMBER(F238),F238,E238)-IF(ISNUMBER(F237),F237,E237))/100))</f>
        <v/>
      </c>
      <c r="U238" s="28" t="n"/>
      <c r="V238" s="28" t="n"/>
      <c r="W238" s="31" t="n"/>
    </row>
    <row r="239">
      <c r="A239" s="25" t="inlineStr">
        <is>
          <t>S20</t>
        </is>
      </c>
      <c r="B239" s="25" t="inlineStr">
        <is>
          <t>보령 신규점2</t>
        </is>
      </c>
      <c r="C239" s="25" t="inlineStr">
        <is>
          <t>S20-V</t>
        </is>
      </c>
      <c r="D239" s="25" t="inlineStr">
        <is>
          <t>측정</t>
        </is>
      </c>
      <c r="E239" s="48" t="n">
        <v>120</v>
      </c>
      <c r="F239" s="40" t="n"/>
      <c r="G239" s="28" t="n"/>
      <c r="H239" s="42" t="n"/>
      <c r="I239" s="40" t="n"/>
      <c r="J239" s="40" t="n"/>
      <c r="K239" s="40" t="n"/>
      <c r="L239" s="30">
        <f>IF(COUNT(I239:K239)=0,"",MEDIAN(I239:K239))</f>
        <v/>
      </c>
      <c r="M239" s="25">
        <f>IF(COUNTIFS($C:$C,$C239,$D:$D,"기준(전)",$L:$L,"&gt;0")&lt;&gt;1,"기준(전) 유효 1개 아님",IF(COUNTIFS($C:$C,$C239,$D:$D,"기준(후)",$L:$L,"&gt;0")&lt;&gt;1,"기준(후) 유효 1개 아님",IF(NOT(AND(ISNUMBER(N239),ISNUMBER(P239),ISNUMBER(H239))),"시각 결측",IF(P239&lt;=N239,"기준 시각 역전",IF(OR(H239&lt;N239,H239&gt;P239),"측정시각 구간 밖","OK")))))</f>
        <v/>
      </c>
      <c r="N239" s="45">
        <f>IF(COUNTIFS($C:$C,$C239,$D:$D,"기준(전)",$L:$L,"&gt;0")&lt;&gt;1,"",SUMIFS($H:$H,$C:$C,$C239,$D:$D,"기준(전)"))</f>
        <v/>
      </c>
      <c r="O239" s="30">
        <f>IF(COUNTIFS($C:$C,$C239,$D:$D,"기준(전)",$L:$L,"&gt;0")&lt;&gt;1,"",SUMIFS($L:$L,$C:$C,$C239,$D:$D,"기준(전)"))</f>
        <v/>
      </c>
      <c r="P239" s="45">
        <f>IF(COUNTIFS($C:$C,$C239,$D:$D,"기준(후)",$L:$L,"&gt;0")&lt;&gt;1,"",SUMIFS($H:$H,$C:$C,$C239,$D:$D,"기준(후)"))</f>
        <v/>
      </c>
      <c r="Q239" s="30">
        <f>IF(COUNTIFS($C:$C,$C239,$D:$D,"기준(후)",$L:$L,"&gt;0")&lt;&gt;1,"",SUMIFS($L:$L,$C:$C,$C239,$D:$D,"기준(후)"))</f>
        <v/>
      </c>
      <c r="R239" s="30">
        <f>IF(M239&lt;&gt;"OK","",O239+(Q239-O239)*(H239-N239)/(P239-N239))</f>
        <v/>
      </c>
      <c r="S239" s="30">
        <f>IF(OR(M239&lt;&gt;"OK",NOT(ISNUMBER(L239))),"",L239-R239)</f>
        <v/>
      </c>
      <c r="T239" s="46">
        <f>IF(OR($D238&lt;&gt;"측정",$C238&lt;&gt;$C239,NOT(ISNUMBER(L239)),NOT(ISNUMBER(L238)),(IF(ISNUMBER(F239),F239,E239)-IF(ISNUMBER(F238),F238,E238))=0),"",(L239-L238)/((IF(ISNUMBER(F239),F239,E239)-IF(ISNUMBER(F238),F238,E238))/100))</f>
        <v/>
      </c>
      <c r="U239" s="28" t="n"/>
      <c r="V239" s="28" t="n"/>
      <c r="W239" s="31" t="n"/>
    </row>
    <row r="240">
      <c r="A240" s="25" t="inlineStr">
        <is>
          <t>S20</t>
        </is>
      </c>
      <c r="B240" s="25" t="inlineStr">
        <is>
          <t>보령 신규점2</t>
        </is>
      </c>
      <c r="C240" s="25" t="inlineStr">
        <is>
          <t>S20-V</t>
        </is>
      </c>
      <c r="D240" s="25" t="inlineStr">
        <is>
          <t>측정</t>
        </is>
      </c>
      <c r="E240" s="48" t="n">
        <v>140</v>
      </c>
      <c r="F240" s="40" t="n"/>
      <c r="G240" s="28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IF(COUNTIFS($C:$C,$C240,$D:$D,"기준(전)",$L:$L,"&gt;0")&lt;&gt;1,"기준(전) 유효 1개 아님",IF(COUNTIFS($C:$C,$C240,$D:$D,"기준(후)",$L:$L,"&gt;0")&lt;&gt;1,"기준(후) 유효 1개 아님",IF(NOT(AND(ISNUMBER(N240),ISNUMBER(P240),ISNUMBER(H240))),"시각 결측",IF(P240&lt;=N240,"기준 시각 역전",IF(OR(H240&lt;N240,H240&gt;P240),"측정시각 구간 밖","OK")))))</f>
        <v/>
      </c>
      <c r="N240" s="45">
        <f>IF(COUNTIFS($C:$C,$C240,$D:$D,"기준(전)",$L:$L,"&gt;0")&lt;&gt;1,"",SUMIFS($H:$H,$C:$C,$C240,$D:$D,"기준(전)"))</f>
        <v/>
      </c>
      <c r="O240" s="30">
        <f>IF(COUNTIFS($C:$C,$C240,$D:$D,"기준(전)",$L:$L,"&gt;0")&lt;&gt;1,"",SUMIFS($L:$L,$C:$C,$C240,$D:$D,"기준(전)"))</f>
        <v/>
      </c>
      <c r="P240" s="45">
        <f>IF(COUNTIFS($C:$C,$C240,$D:$D,"기준(후)",$L:$L,"&gt;0")&lt;&gt;1,"",SUMIFS($H:$H,$C:$C,$C240,$D:$D,"기준(후)"))</f>
        <v/>
      </c>
      <c r="Q240" s="30">
        <f>IF(COUNTIFS($C:$C,$C240,$D:$D,"기준(후)",$L:$L,"&gt;0")&lt;&gt;1,"",SUMIFS($L:$L,$C:$C,$C240,$D:$D,"기준(후)"))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IF(OR($D239&lt;&gt;"측정",$C239&lt;&gt;$C240,NOT(ISNUMBER(L240)),NOT(ISNUMBER(L239)),(IF(ISNUMBER(F240),F240,E240)-IF(ISNUMBER(F239),F239,E239))=0),"",(L240-L239)/((IF(ISNUMBER(F240),F240,E240)-IF(ISNUMBER(F239),F239,E239))/100))</f>
        <v/>
      </c>
      <c r="U240" s="28" t="n"/>
      <c r="V240" s="28" t="n"/>
      <c r="W240" s="31" t="n"/>
    </row>
    <row r="241">
      <c r="A241" s="25" t="inlineStr">
        <is>
          <t>S20</t>
        </is>
      </c>
      <c r="B241" s="25" t="inlineStr">
        <is>
          <t>보령 신규점2</t>
        </is>
      </c>
      <c r="C241" s="25" t="inlineStr">
        <is>
          <t>S20-V</t>
        </is>
      </c>
      <c r="D241" s="25" t="inlineStr">
        <is>
          <t>측정</t>
        </is>
      </c>
      <c r="E241" s="48" t="n">
        <v>160</v>
      </c>
      <c r="F241" s="40" t="n"/>
      <c r="G241" s="28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IF(COUNTIFS($C:$C,$C241,$D:$D,"기준(전)",$L:$L,"&gt;0")&lt;&gt;1,"기준(전) 유효 1개 아님",IF(COUNTIFS($C:$C,$C241,$D:$D,"기준(후)",$L:$L,"&gt;0")&lt;&gt;1,"기준(후) 유효 1개 아님",IF(NOT(AND(ISNUMBER(N241),ISNUMBER(P241),ISNUMBER(H241))),"시각 결측",IF(P241&lt;=N241,"기준 시각 역전",IF(OR(H241&lt;N241,H241&gt;P241),"측정시각 구간 밖","OK")))))</f>
        <v/>
      </c>
      <c r="N241" s="45">
        <f>IF(COUNTIFS($C:$C,$C241,$D:$D,"기준(전)",$L:$L,"&gt;0")&lt;&gt;1,"",SUMIFS($H:$H,$C:$C,$C241,$D:$D,"기준(전)"))</f>
        <v/>
      </c>
      <c r="O241" s="30">
        <f>IF(COUNTIFS($C:$C,$C241,$D:$D,"기준(전)",$L:$L,"&gt;0")&lt;&gt;1,"",SUMIFS($L:$L,$C:$C,$C241,$D:$D,"기준(전)"))</f>
        <v/>
      </c>
      <c r="P241" s="45">
        <f>IF(COUNTIFS($C:$C,$C241,$D:$D,"기준(후)",$L:$L,"&gt;0")&lt;&gt;1,"",SUMIFS($H:$H,$C:$C,$C241,$D:$D,"기준(후)"))</f>
        <v/>
      </c>
      <c r="Q241" s="30">
        <f>IF(COUNTIFS($C:$C,$C241,$D:$D,"기준(후)",$L:$L,"&gt;0")&lt;&gt;1,"",SUMIFS($L:$L,$C:$C,$C241,$D:$D,"기준(후)"))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IF(OR($D240&lt;&gt;"측정",$C240&lt;&gt;$C241,NOT(ISNUMBER(L241)),NOT(ISNUMBER(L240)),(IF(ISNUMBER(F241),F241,E241)-IF(ISNUMBER(F240),F240,E240))=0),"",(L241-L240)/((IF(ISNUMBER(F241),F241,E241)-IF(ISNUMBER(F240),F240,E240))/100))</f>
        <v/>
      </c>
      <c r="U241" s="28" t="n"/>
      <c r="V241" s="28" t="n"/>
      <c r="W241" s="31" t="n"/>
    </row>
    <row r="242">
      <c r="A242" s="25" t="inlineStr">
        <is>
          <t>S20</t>
        </is>
      </c>
      <c r="B242" s="25" t="inlineStr">
        <is>
          <t>보령 신규점2</t>
        </is>
      </c>
      <c r="C242" s="25" t="inlineStr">
        <is>
          <t>S20-V</t>
        </is>
      </c>
      <c r="D242" s="25" t="inlineStr">
        <is>
          <t>측정</t>
        </is>
      </c>
      <c r="E242" s="48" t="n">
        <v>180</v>
      </c>
      <c r="F242" s="40" t="n"/>
      <c r="G242" s="28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IF(COUNTIFS($C:$C,$C242,$D:$D,"기준(전)",$L:$L,"&gt;0")&lt;&gt;1,"기준(전) 유효 1개 아님",IF(COUNTIFS($C:$C,$C242,$D:$D,"기준(후)",$L:$L,"&gt;0")&lt;&gt;1,"기준(후) 유효 1개 아님",IF(NOT(AND(ISNUMBER(N242),ISNUMBER(P242),ISNUMBER(H242))),"시각 결측",IF(P242&lt;=N242,"기준 시각 역전",IF(OR(H242&lt;N242,H242&gt;P242),"측정시각 구간 밖","OK")))))</f>
        <v/>
      </c>
      <c r="N242" s="45">
        <f>IF(COUNTIFS($C:$C,$C242,$D:$D,"기준(전)",$L:$L,"&gt;0")&lt;&gt;1,"",SUMIFS($H:$H,$C:$C,$C242,$D:$D,"기준(전)"))</f>
        <v/>
      </c>
      <c r="O242" s="30">
        <f>IF(COUNTIFS($C:$C,$C242,$D:$D,"기준(전)",$L:$L,"&gt;0")&lt;&gt;1,"",SUMIFS($L:$L,$C:$C,$C242,$D:$D,"기준(전)"))</f>
        <v/>
      </c>
      <c r="P242" s="45">
        <f>IF(COUNTIFS($C:$C,$C242,$D:$D,"기준(후)",$L:$L,"&gt;0")&lt;&gt;1,"",SUMIFS($H:$H,$C:$C,$C242,$D:$D,"기준(후)"))</f>
        <v/>
      </c>
      <c r="Q242" s="30">
        <f>IF(COUNTIFS($C:$C,$C242,$D:$D,"기준(후)",$L:$L,"&gt;0")&lt;&gt;1,"",SUMIFS($L:$L,$C:$C,$C242,$D:$D,"기준(후)"))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IF(OR($D241&lt;&gt;"측정",$C241&lt;&gt;$C242,NOT(ISNUMBER(L242)),NOT(ISNUMBER(L241)),(IF(ISNUMBER(F242),F242,E242)-IF(ISNUMBER(F241),F241,E241))=0),"",(L242-L241)/((IF(ISNUMBER(F242),F242,E242)-IF(ISNUMBER(F241),F241,E241))/100))</f>
        <v/>
      </c>
      <c r="U242" s="28" t="n"/>
      <c r="V242" s="28" t="n"/>
      <c r="W242" s="31" t="n"/>
    </row>
    <row r="243">
      <c r="A243" s="25" t="inlineStr">
        <is>
          <t>S20</t>
        </is>
      </c>
      <c r="B243" s="25" t="inlineStr">
        <is>
          <t>보령 신규점2</t>
        </is>
      </c>
      <c r="C243" s="25" t="inlineStr">
        <is>
          <t>S20-V</t>
        </is>
      </c>
      <c r="D243" s="25" t="inlineStr">
        <is>
          <t>측정</t>
        </is>
      </c>
      <c r="E243" s="48" t="n">
        <v>200</v>
      </c>
      <c r="F243" s="40" t="n"/>
      <c r="G243" s="28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IF(COUNTIFS($C:$C,$C243,$D:$D,"기준(전)",$L:$L,"&gt;0")&lt;&gt;1,"기준(전) 유효 1개 아님",IF(COUNTIFS($C:$C,$C243,$D:$D,"기준(후)",$L:$L,"&gt;0")&lt;&gt;1,"기준(후) 유효 1개 아님",IF(NOT(AND(ISNUMBER(N243),ISNUMBER(P243),ISNUMBER(H243))),"시각 결측",IF(P243&lt;=N243,"기준 시각 역전",IF(OR(H243&lt;N243,H243&gt;P243),"측정시각 구간 밖","OK")))))</f>
        <v/>
      </c>
      <c r="N243" s="45">
        <f>IF(COUNTIFS($C:$C,$C243,$D:$D,"기준(전)",$L:$L,"&gt;0")&lt;&gt;1,"",SUMIFS($H:$H,$C:$C,$C243,$D:$D,"기준(전)"))</f>
        <v/>
      </c>
      <c r="O243" s="30">
        <f>IF(COUNTIFS($C:$C,$C243,$D:$D,"기준(전)",$L:$L,"&gt;0")&lt;&gt;1,"",SUMIFS($L:$L,$C:$C,$C243,$D:$D,"기준(전)"))</f>
        <v/>
      </c>
      <c r="P243" s="45">
        <f>IF(COUNTIFS($C:$C,$C243,$D:$D,"기준(후)",$L:$L,"&gt;0")&lt;&gt;1,"",SUMIFS($H:$H,$C:$C,$C243,$D:$D,"기준(후)"))</f>
        <v/>
      </c>
      <c r="Q243" s="30">
        <f>IF(COUNTIFS($C:$C,$C243,$D:$D,"기준(후)",$L:$L,"&gt;0")&lt;&gt;1,"",SUMIFS($L:$L,$C:$C,$C243,$D:$D,"기준(후)"))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IF(OR($D242&lt;&gt;"측정",$C242&lt;&gt;$C243,NOT(ISNUMBER(L243)),NOT(ISNUMBER(L242)),(IF(ISNUMBER(F243),F243,E243)-IF(ISNUMBER(F242),F242,E242))=0),"",(L243-L242)/((IF(ISNUMBER(F243),F243,E243)-IF(ISNUMBER(F242),F242,E242))/100))</f>
        <v/>
      </c>
      <c r="U243" s="28" t="n"/>
      <c r="V243" s="28" t="n"/>
      <c r="W243" s="31" t="n"/>
    </row>
    <row r="244">
      <c r="A244" s="43" t="inlineStr">
        <is>
          <t>S20</t>
        </is>
      </c>
      <c r="B244" s="43" t="inlineStr">
        <is>
          <t>보령 신규점2</t>
        </is>
      </c>
      <c r="C244" s="43" t="inlineStr">
        <is>
          <t>S20-V</t>
        </is>
      </c>
      <c r="D244" s="43" t="inlineStr">
        <is>
          <t>기준(후)</t>
        </is>
      </c>
      <c r="E244" s="47" t="n"/>
      <c r="F244" s="40" t="n"/>
      <c r="G244" s="28" t="n"/>
      <c r="H244" s="42" t="n"/>
      <c r="I244" s="40" t="n"/>
      <c r="J244" s="40" t="n"/>
      <c r="K244" s="40" t="n"/>
      <c r="L244" s="30">
        <f>IF(COUNT(I244:K244)=0,"",MEDIAN(I244:K244))</f>
        <v/>
      </c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28" t="n"/>
      <c r="V244" s="28" t="n"/>
      <c r="W244" s="31" t="n"/>
    </row>
    <row r="245">
      <c r="A245" s="43" t="inlineStr">
        <is>
          <t>S21</t>
        </is>
      </c>
      <c r="B245" s="43" t="inlineStr">
        <is>
          <t>담양 신규점2</t>
        </is>
      </c>
      <c r="C245" s="43" t="inlineStr">
        <is>
          <t>S21-V</t>
        </is>
      </c>
      <c r="D245" s="43" t="inlineStr">
        <is>
          <t>기준(전)</t>
        </is>
      </c>
      <c r="E245" s="47" t="n"/>
      <c r="F245" s="40" t="n"/>
      <c r="G245" s="28" t="n"/>
      <c r="H245" s="42" t="n"/>
      <c r="I245" s="40" t="n"/>
      <c r="J245" s="40" t="n"/>
      <c r="K245" s="40" t="n"/>
      <c r="L245" s="30">
        <f>IF(COUNT(I245:K245)=0,"",MEDIAN(I245:K245))</f>
        <v/>
      </c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28" t="n"/>
      <c r="V245" s="28" t="n"/>
      <c r="W245" s="31" t="n"/>
    </row>
    <row r="246">
      <c r="A246" s="25" t="inlineStr">
        <is>
          <t>S21</t>
        </is>
      </c>
      <c r="B246" s="25" t="inlineStr">
        <is>
          <t>담양 신규점2</t>
        </is>
      </c>
      <c r="C246" s="25" t="inlineStr">
        <is>
          <t>S21-V</t>
        </is>
      </c>
      <c r="D246" s="25" t="inlineStr">
        <is>
          <t>측정</t>
        </is>
      </c>
      <c r="E246" s="48" t="n">
        <v>20</v>
      </c>
      <c r="F246" s="40" t="n"/>
      <c r="G246" s="28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IF(COUNTIFS($C:$C,$C246,$D:$D,"기준(전)",$L:$L,"&gt;0")&lt;&gt;1,"기준(전) 유효 1개 아님",IF(COUNTIFS($C:$C,$C246,$D:$D,"기준(후)",$L:$L,"&gt;0")&lt;&gt;1,"기준(후) 유효 1개 아님",IF(NOT(AND(ISNUMBER(N246),ISNUMBER(P246),ISNUMBER(H246))),"시각 결측",IF(P246&lt;=N246,"기준 시각 역전",IF(OR(H246&lt;N246,H246&gt;P246),"측정시각 구간 밖","OK")))))</f>
        <v/>
      </c>
      <c r="N246" s="45">
        <f>IF(COUNTIFS($C:$C,$C246,$D:$D,"기준(전)",$L:$L,"&gt;0")&lt;&gt;1,"",SUMIFS($H:$H,$C:$C,$C246,$D:$D,"기준(전)"))</f>
        <v/>
      </c>
      <c r="O246" s="30">
        <f>IF(COUNTIFS($C:$C,$C246,$D:$D,"기준(전)",$L:$L,"&gt;0")&lt;&gt;1,"",SUMIFS($L:$L,$C:$C,$C246,$D:$D,"기준(전)"))</f>
        <v/>
      </c>
      <c r="P246" s="45">
        <f>IF(COUNTIFS($C:$C,$C246,$D:$D,"기준(후)",$L:$L,"&gt;0")&lt;&gt;1,"",SUMIFS($H:$H,$C:$C,$C246,$D:$D,"기준(후)"))</f>
        <v/>
      </c>
      <c r="Q246" s="30">
        <f>IF(COUNTIFS($C:$C,$C246,$D:$D,"기준(후)",$L:$L,"&gt;0")&lt;&gt;1,"",SUMIFS($L:$L,$C:$C,$C246,$D:$D,"기준(후)"))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IF(OR($D245&lt;&gt;"측정",$C245&lt;&gt;$C246,NOT(ISNUMBER(L246)),NOT(ISNUMBER(L245)),(IF(ISNUMBER(F246),F246,E246)-IF(ISNUMBER(F245),F245,E245))=0),"",(L246-L245)/((IF(ISNUMBER(F246),F246,E246)-IF(ISNUMBER(F245),F245,E245))/100))</f>
        <v/>
      </c>
      <c r="U246" s="28" t="n"/>
      <c r="V246" s="28" t="n"/>
      <c r="W246" s="31" t="n"/>
    </row>
    <row r="247">
      <c r="A247" s="25" t="inlineStr">
        <is>
          <t>S21</t>
        </is>
      </c>
      <c r="B247" s="25" t="inlineStr">
        <is>
          <t>담양 신규점2</t>
        </is>
      </c>
      <c r="C247" s="25" t="inlineStr">
        <is>
          <t>S21-V</t>
        </is>
      </c>
      <c r="D247" s="25" t="inlineStr">
        <is>
          <t>측정</t>
        </is>
      </c>
      <c r="E247" s="48" t="n">
        <v>40</v>
      </c>
      <c r="F247" s="40" t="n"/>
      <c r="G247" s="28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IF(COUNTIFS($C:$C,$C247,$D:$D,"기준(전)",$L:$L,"&gt;0")&lt;&gt;1,"기준(전) 유효 1개 아님",IF(COUNTIFS($C:$C,$C247,$D:$D,"기준(후)",$L:$L,"&gt;0")&lt;&gt;1,"기준(후) 유효 1개 아님",IF(NOT(AND(ISNUMBER(N247),ISNUMBER(P247),ISNUMBER(H247))),"시각 결측",IF(P247&lt;=N247,"기준 시각 역전",IF(OR(H247&lt;N247,H247&gt;P247),"측정시각 구간 밖","OK")))))</f>
        <v/>
      </c>
      <c r="N247" s="45">
        <f>IF(COUNTIFS($C:$C,$C247,$D:$D,"기준(전)",$L:$L,"&gt;0")&lt;&gt;1,"",SUMIFS($H:$H,$C:$C,$C247,$D:$D,"기준(전)"))</f>
        <v/>
      </c>
      <c r="O247" s="30">
        <f>IF(COUNTIFS($C:$C,$C247,$D:$D,"기준(전)",$L:$L,"&gt;0")&lt;&gt;1,"",SUMIFS($L:$L,$C:$C,$C247,$D:$D,"기준(전)"))</f>
        <v/>
      </c>
      <c r="P247" s="45">
        <f>IF(COUNTIFS($C:$C,$C247,$D:$D,"기준(후)",$L:$L,"&gt;0")&lt;&gt;1,"",SUMIFS($H:$H,$C:$C,$C247,$D:$D,"기준(후)"))</f>
        <v/>
      </c>
      <c r="Q247" s="30">
        <f>IF(COUNTIFS($C:$C,$C247,$D:$D,"기준(후)",$L:$L,"&gt;0")&lt;&gt;1,"",SUMIFS($L:$L,$C:$C,$C247,$D:$D,"기준(후)"))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IF(OR($D246&lt;&gt;"측정",$C246&lt;&gt;$C247,NOT(ISNUMBER(L247)),NOT(ISNUMBER(L246)),(IF(ISNUMBER(F247),F247,E247)-IF(ISNUMBER(F246),F246,E246))=0),"",(L247-L246)/((IF(ISNUMBER(F247),F247,E247)-IF(ISNUMBER(F246),F246,E246))/100))</f>
        <v/>
      </c>
      <c r="U247" s="28" t="n"/>
      <c r="V247" s="28" t="n"/>
      <c r="W247" s="31" t="n"/>
    </row>
    <row r="248">
      <c r="A248" s="25" t="inlineStr">
        <is>
          <t>S21</t>
        </is>
      </c>
      <c r="B248" s="25" t="inlineStr">
        <is>
          <t>담양 신규점2</t>
        </is>
      </c>
      <c r="C248" s="25" t="inlineStr">
        <is>
          <t>S21-V</t>
        </is>
      </c>
      <c r="D248" s="25" t="inlineStr">
        <is>
          <t>측정</t>
        </is>
      </c>
      <c r="E248" s="48" t="n">
        <v>60</v>
      </c>
      <c r="F248" s="40" t="n"/>
      <c r="G248" s="28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IF(COUNTIFS($C:$C,$C248,$D:$D,"기준(전)",$L:$L,"&gt;0")&lt;&gt;1,"기준(전) 유효 1개 아님",IF(COUNTIFS($C:$C,$C248,$D:$D,"기준(후)",$L:$L,"&gt;0")&lt;&gt;1,"기준(후) 유효 1개 아님",IF(NOT(AND(ISNUMBER(N248),ISNUMBER(P248),ISNUMBER(H248))),"시각 결측",IF(P248&lt;=N248,"기준 시각 역전",IF(OR(H248&lt;N248,H248&gt;P248),"측정시각 구간 밖","OK")))))</f>
        <v/>
      </c>
      <c r="N248" s="45">
        <f>IF(COUNTIFS($C:$C,$C248,$D:$D,"기준(전)",$L:$L,"&gt;0")&lt;&gt;1,"",SUMIFS($H:$H,$C:$C,$C248,$D:$D,"기준(전)"))</f>
        <v/>
      </c>
      <c r="O248" s="30">
        <f>IF(COUNTIFS($C:$C,$C248,$D:$D,"기준(전)",$L:$L,"&gt;0")&lt;&gt;1,"",SUMIFS($L:$L,$C:$C,$C248,$D:$D,"기준(전)"))</f>
        <v/>
      </c>
      <c r="P248" s="45">
        <f>IF(COUNTIFS($C:$C,$C248,$D:$D,"기준(후)",$L:$L,"&gt;0")&lt;&gt;1,"",SUMIFS($H:$H,$C:$C,$C248,$D:$D,"기준(후)"))</f>
        <v/>
      </c>
      <c r="Q248" s="30">
        <f>IF(COUNTIFS($C:$C,$C248,$D:$D,"기준(후)",$L:$L,"&gt;0")&lt;&gt;1,"",SUMIFS($L:$L,$C:$C,$C248,$D:$D,"기준(후)"))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IF(OR($D247&lt;&gt;"측정",$C247&lt;&gt;$C248,NOT(ISNUMBER(L248)),NOT(ISNUMBER(L247)),(IF(ISNUMBER(F248),F248,E248)-IF(ISNUMBER(F247),F247,E247))=0),"",(L248-L247)/((IF(ISNUMBER(F248),F248,E248)-IF(ISNUMBER(F247),F247,E247))/100))</f>
        <v/>
      </c>
      <c r="U248" s="28" t="n"/>
      <c r="V248" s="28" t="n"/>
      <c r="W248" s="31" t="n"/>
    </row>
    <row r="249">
      <c r="A249" s="25" t="inlineStr">
        <is>
          <t>S21</t>
        </is>
      </c>
      <c r="B249" s="25" t="inlineStr">
        <is>
          <t>담양 신규점2</t>
        </is>
      </c>
      <c r="C249" s="25" t="inlineStr">
        <is>
          <t>S21-V</t>
        </is>
      </c>
      <c r="D249" s="25" t="inlineStr">
        <is>
          <t>측정</t>
        </is>
      </c>
      <c r="E249" s="48" t="n">
        <v>80</v>
      </c>
      <c r="F249" s="40" t="n"/>
      <c r="G249" s="28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IF(COUNTIFS($C:$C,$C249,$D:$D,"기준(전)",$L:$L,"&gt;0")&lt;&gt;1,"기준(전) 유효 1개 아님",IF(COUNTIFS($C:$C,$C249,$D:$D,"기준(후)",$L:$L,"&gt;0")&lt;&gt;1,"기준(후) 유효 1개 아님",IF(NOT(AND(ISNUMBER(N249),ISNUMBER(P249),ISNUMBER(H249))),"시각 결측",IF(P249&lt;=N249,"기준 시각 역전",IF(OR(H249&lt;N249,H249&gt;P249),"측정시각 구간 밖","OK")))))</f>
        <v/>
      </c>
      <c r="N249" s="45">
        <f>IF(COUNTIFS($C:$C,$C249,$D:$D,"기준(전)",$L:$L,"&gt;0")&lt;&gt;1,"",SUMIFS($H:$H,$C:$C,$C249,$D:$D,"기준(전)"))</f>
        <v/>
      </c>
      <c r="O249" s="30">
        <f>IF(COUNTIFS($C:$C,$C249,$D:$D,"기준(전)",$L:$L,"&gt;0")&lt;&gt;1,"",SUMIFS($L:$L,$C:$C,$C249,$D:$D,"기준(전)"))</f>
        <v/>
      </c>
      <c r="P249" s="45">
        <f>IF(COUNTIFS($C:$C,$C249,$D:$D,"기준(후)",$L:$L,"&gt;0")&lt;&gt;1,"",SUMIFS($H:$H,$C:$C,$C249,$D:$D,"기준(후)"))</f>
        <v/>
      </c>
      <c r="Q249" s="30">
        <f>IF(COUNTIFS($C:$C,$C249,$D:$D,"기준(후)",$L:$L,"&gt;0")&lt;&gt;1,"",SUMIFS($L:$L,$C:$C,$C249,$D:$D,"기준(후)"))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IF(OR($D248&lt;&gt;"측정",$C248&lt;&gt;$C249,NOT(ISNUMBER(L249)),NOT(ISNUMBER(L248)),(IF(ISNUMBER(F249),F249,E249)-IF(ISNUMBER(F248),F248,E248))=0),"",(L249-L248)/((IF(ISNUMBER(F249),F249,E249)-IF(ISNUMBER(F248),F248,E248))/100))</f>
        <v/>
      </c>
      <c r="U249" s="28" t="n"/>
      <c r="V249" s="28" t="n"/>
      <c r="W249" s="31" t="n"/>
    </row>
    <row r="250">
      <c r="A250" s="25" t="inlineStr">
        <is>
          <t>S21</t>
        </is>
      </c>
      <c r="B250" s="25" t="inlineStr">
        <is>
          <t>담양 신규점2</t>
        </is>
      </c>
      <c r="C250" s="25" t="inlineStr">
        <is>
          <t>S21-V</t>
        </is>
      </c>
      <c r="D250" s="25" t="inlineStr">
        <is>
          <t>측정</t>
        </is>
      </c>
      <c r="E250" s="48" t="n">
        <v>100</v>
      </c>
      <c r="F250" s="40" t="n"/>
      <c r="G250" s="28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IF(COUNTIFS($C:$C,$C250,$D:$D,"기준(전)",$L:$L,"&gt;0")&lt;&gt;1,"기준(전) 유효 1개 아님",IF(COUNTIFS($C:$C,$C250,$D:$D,"기준(후)",$L:$L,"&gt;0")&lt;&gt;1,"기준(후) 유효 1개 아님",IF(NOT(AND(ISNUMBER(N250),ISNUMBER(P250),ISNUMBER(H250))),"시각 결측",IF(P250&lt;=N250,"기준 시각 역전",IF(OR(H250&lt;N250,H250&gt;P250),"측정시각 구간 밖","OK")))))</f>
        <v/>
      </c>
      <c r="N250" s="45">
        <f>IF(COUNTIFS($C:$C,$C250,$D:$D,"기준(전)",$L:$L,"&gt;0")&lt;&gt;1,"",SUMIFS($H:$H,$C:$C,$C250,$D:$D,"기준(전)"))</f>
        <v/>
      </c>
      <c r="O250" s="30">
        <f>IF(COUNTIFS($C:$C,$C250,$D:$D,"기준(전)",$L:$L,"&gt;0")&lt;&gt;1,"",SUMIFS($L:$L,$C:$C,$C250,$D:$D,"기준(전)"))</f>
        <v/>
      </c>
      <c r="P250" s="45">
        <f>IF(COUNTIFS($C:$C,$C250,$D:$D,"기준(후)",$L:$L,"&gt;0")&lt;&gt;1,"",SUMIFS($H:$H,$C:$C,$C250,$D:$D,"기준(후)"))</f>
        <v/>
      </c>
      <c r="Q250" s="30">
        <f>IF(COUNTIFS($C:$C,$C250,$D:$D,"기준(후)",$L:$L,"&gt;0")&lt;&gt;1,"",SUMIFS($L:$L,$C:$C,$C250,$D:$D,"기준(후)"))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IF(OR($D249&lt;&gt;"측정",$C249&lt;&gt;$C250,NOT(ISNUMBER(L250)),NOT(ISNUMBER(L249)),(IF(ISNUMBER(F250),F250,E250)-IF(ISNUMBER(F249),F249,E249))=0),"",(L250-L249)/((IF(ISNUMBER(F250),F250,E250)-IF(ISNUMBER(F249),F249,E249))/100))</f>
        <v/>
      </c>
      <c r="U250" s="28" t="n"/>
      <c r="V250" s="28" t="n"/>
      <c r="W250" s="31" t="n"/>
    </row>
    <row r="251">
      <c r="A251" s="25" t="inlineStr">
        <is>
          <t>S21</t>
        </is>
      </c>
      <c r="B251" s="25" t="inlineStr">
        <is>
          <t>담양 신규점2</t>
        </is>
      </c>
      <c r="C251" s="25" t="inlineStr">
        <is>
          <t>S21-V</t>
        </is>
      </c>
      <c r="D251" s="25" t="inlineStr">
        <is>
          <t>측정</t>
        </is>
      </c>
      <c r="E251" s="48" t="n">
        <v>120</v>
      </c>
      <c r="F251" s="40" t="n"/>
      <c r="G251" s="28" t="n"/>
      <c r="H251" s="42" t="n"/>
      <c r="I251" s="40" t="n"/>
      <c r="J251" s="40" t="n"/>
      <c r="K251" s="40" t="n"/>
      <c r="L251" s="30">
        <f>IF(COUNT(I251:K251)=0,"",MEDIAN(I251:K251))</f>
        <v/>
      </c>
      <c r="M251" s="25">
        <f>IF(COUNTIFS($C:$C,$C251,$D:$D,"기준(전)",$L:$L,"&gt;0")&lt;&gt;1,"기준(전) 유효 1개 아님",IF(COUNTIFS($C:$C,$C251,$D:$D,"기준(후)",$L:$L,"&gt;0")&lt;&gt;1,"기준(후) 유효 1개 아님",IF(NOT(AND(ISNUMBER(N251),ISNUMBER(P251),ISNUMBER(H251))),"시각 결측",IF(P251&lt;=N251,"기준 시각 역전",IF(OR(H251&lt;N251,H251&gt;P251),"측정시각 구간 밖","OK")))))</f>
        <v/>
      </c>
      <c r="N251" s="45">
        <f>IF(COUNTIFS($C:$C,$C251,$D:$D,"기준(전)",$L:$L,"&gt;0")&lt;&gt;1,"",SUMIFS($H:$H,$C:$C,$C251,$D:$D,"기준(전)"))</f>
        <v/>
      </c>
      <c r="O251" s="30">
        <f>IF(COUNTIFS($C:$C,$C251,$D:$D,"기준(전)",$L:$L,"&gt;0")&lt;&gt;1,"",SUMIFS($L:$L,$C:$C,$C251,$D:$D,"기준(전)"))</f>
        <v/>
      </c>
      <c r="P251" s="45">
        <f>IF(COUNTIFS($C:$C,$C251,$D:$D,"기준(후)",$L:$L,"&gt;0")&lt;&gt;1,"",SUMIFS($H:$H,$C:$C,$C251,$D:$D,"기준(후)"))</f>
        <v/>
      </c>
      <c r="Q251" s="30">
        <f>IF(COUNTIFS($C:$C,$C251,$D:$D,"기준(후)",$L:$L,"&gt;0")&lt;&gt;1,"",SUMIFS($L:$L,$C:$C,$C251,$D:$D,"기준(후)"))</f>
        <v/>
      </c>
      <c r="R251" s="30">
        <f>IF(M251&lt;&gt;"OK","",O251+(Q251-O251)*(H251-N251)/(P251-N251))</f>
        <v/>
      </c>
      <c r="S251" s="30">
        <f>IF(OR(M251&lt;&gt;"OK",NOT(ISNUMBER(L251))),"",L251-R251)</f>
        <v/>
      </c>
      <c r="T251" s="46">
        <f>IF(OR($D250&lt;&gt;"측정",$C250&lt;&gt;$C251,NOT(ISNUMBER(L251)),NOT(ISNUMBER(L250)),(IF(ISNUMBER(F251),F251,E251)-IF(ISNUMBER(F250),F250,E250))=0),"",(L251-L250)/((IF(ISNUMBER(F251),F251,E251)-IF(ISNUMBER(F250),F250,E250))/100))</f>
        <v/>
      </c>
      <c r="U251" s="28" t="n"/>
      <c r="V251" s="28" t="n"/>
      <c r="W251" s="31" t="n"/>
    </row>
    <row r="252">
      <c r="A252" s="25" t="inlineStr">
        <is>
          <t>S21</t>
        </is>
      </c>
      <c r="B252" s="25" t="inlineStr">
        <is>
          <t>담양 신규점2</t>
        </is>
      </c>
      <c r="C252" s="25" t="inlineStr">
        <is>
          <t>S21-V</t>
        </is>
      </c>
      <c r="D252" s="25" t="inlineStr">
        <is>
          <t>측정</t>
        </is>
      </c>
      <c r="E252" s="48" t="n">
        <v>140</v>
      </c>
      <c r="F252" s="40" t="n"/>
      <c r="G252" s="28" t="n"/>
      <c r="H252" s="42" t="n"/>
      <c r="I252" s="40" t="n"/>
      <c r="J252" s="40" t="n"/>
      <c r="K252" s="40" t="n"/>
      <c r="L252" s="30">
        <f>IF(COUNT(I252:K252)=0,"",MEDIAN(I252:K252))</f>
        <v/>
      </c>
      <c r="M252" s="25">
        <f>IF(COUNTIFS($C:$C,$C252,$D:$D,"기준(전)",$L:$L,"&gt;0")&lt;&gt;1,"기준(전) 유효 1개 아님",IF(COUNTIFS($C:$C,$C252,$D:$D,"기준(후)",$L:$L,"&gt;0")&lt;&gt;1,"기준(후) 유효 1개 아님",IF(NOT(AND(ISNUMBER(N252),ISNUMBER(P252),ISNUMBER(H252))),"시각 결측",IF(P252&lt;=N252,"기준 시각 역전",IF(OR(H252&lt;N252,H252&gt;P252),"측정시각 구간 밖","OK")))))</f>
        <v/>
      </c>
      <c r="N252" s="45">
        <f>IF(COUNTIFS($C:$C,$C252,$D:$D,"기준(전)",$L:$L,"&gt;0")&lt;&gt;1,"",SUMIFS($H:$H,$C:$C,$C252,$D:$D,"기준(전)"))</f>
        <v/>
      </c>
      <c r="O252" s="30">
        <f>IF(COUNTIFS($C:$C,$C252,$D:$D,"기준(전)",$L:$L,"&gt;0")&lt;&gt;1,"",SUMIFS($L:$L,$C:$C,$C252,$D:$D,"기준(전)"))</f>
        <v/>
      </c>
      <c r="P252" s="45">
        <f>IF(COUNTIFS($C:$C,$C252,$D:$D,"기준(후)",$L:$L,"&gt;0")&lt;&gt;1,"",SUMIFS($H:$H,$C:$C,$C252,$D:$D,"기준(후)"))</f>
        <v/>
      </c>
      <c r="Q252" s="30">
        <f>IF(COUNTIFS($C:$C,$C252,$D:$D,"기준(후)",$L:$L,"&gt;0")&lt;&gt;1,"",SUMIFS($L:$L,$C:$C,$C252,$D:$D,"기준(후)"))</f>
        <v/>
      </c>
      <c r="R252" s="30">
        <f>IF(M252&lt;&gt;"OK","",O252+(Q252-O252)*(H252-N252)/(P252-N252))</f>
        <v/>
      </c>
      <c r="S252" s="30">
        <f>IF(OR(M252&lt;&gt;"OK",NOT(ISNUMBER(L252))),"",L252-R252)</f>
        <v/>
      </c>
      <c r="T252" s="46">
        <f>IF(OR($D251&lt;&gt;"측정",$C251&lt;&gt;$C252,NOT(ISNUMBER(L252)),NOT(ISNUMBER(L251)),(IF(ISNUMBER(F252),F252,E252)-IF(ISNUMBER(F251),F251,E251))=0),"",(L252-L251)/((IF(ISNUMBER(F252),F252,E252)-IF(ISNUMBER(F251),F251,E251))/100))</f>
        <v/>
      </c>
      <c r="U252" s="28" t="n"/>
      <c r="V252" s="28" t="n"/>
      <c r="W252" s="31" t="n"/>
    </row>
    <row r="253">
      <c r="A253" s="25" t="inlineStr">
        <is>
          <t>S21</t>
        </is>
      </c>
      <c r="B253" s="25" t="inlineStr">
        <is>
          <t>담양 신규점2</t>
        </is>
      </c>
      <c r="C253" s="25" t="inlineStr">
        <is>
          <t>S21-V</t>
        </is>
      </c>
      <c r="D253" s="25" t="inlineStr">
        <is>
          <t>측정</t>
        </is>
      </c>
      <c r="E253" s="48" t="n">
        <v>160</v>
      </c>
      <c r="F253" s="40" t="n"/>
      <c r="G253" s="28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IF(COUNTIFS($C:$C,$C253,$D:$D,"기준(전)",$L:$L,"&gt;0")&lt;&gt;1,"기준(전) 유효 1개 아님",IF(COUNTIFS($C:$C,$C253,$D:$D,"기준(후)",$L:$L,"&gt;0")&lt;&gt;1,"기준(후) 유효 1개 아님",IF(NOT(AND(ISNUMBER(N253),ISNUMBER(P253),ISNUMBER(H253))),"시각 결측",IF(P253&lt;=N253,"기준 시각 역전",IF(OR(H253&lt;N253,H253&gt;P253),"측정시각 구간 밖","OK")))))</f>
        <v/>
      </c>
      <c r="N253" s="45">
        <f>IF(COUNTIFS($C:$C,$C253,$D:$D,"기준(전)",$L:$L,"&gt;0")&lt;&gt;1,"",SUMIFS($H:$H,$C:$C,$C253,$D:$D,"기준(전)"))</f>
        <v/>
      </c>
      <c r="O253" s="30">
        <f>IF(COUNTIFS($C:$C,$C253,$D:$D,"기준(전)",$L:$L,"&gt;0")&lt;&gt;1,"",SUMIFS($L:$L,$C:$C,$C253,$D:$D,"기준(전)"))</f>
        <v/>
      </c>
      <c r="P253" s="45">
        <f>IF(COUNTIFS($C:$C,$C253,$D:$D,"기준(후)",$L:$L,"&gt;0")&lt;&gt;1,"",SUMIFS($H:$H,$C:$C,$C253,$D:$D,"기준(후)"))</f>
        <v/>
      </c>
      <c r="Q253" s="30">
        <f>IF(COUNTIFS($C:$C,$C253,$D:$D,"기준(후)",$L:$L,"&gt;0")&lt;&gt;1,"",SUMIFS($L:$L,$C:$C,$C253,$D:$D,"기준(후)"))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IF(OR($D252&lt;&gt;"측정",$C252&lt;&gt;$C253,NOT(ISNUMBER(L253)),NOT(ISNUMBER(L252)),(IF(ISNUMBER(F253),F253,E253)-IF(ISNUMBER(F252),F252,E252))=0),"",(L253-L252)/((IF(ISNUMBER(F253),F253,E253)-IF(ISNUMBER(F252),F252,E252))/100))</f>
        <v/>
      </c>
      <c r="U253" s="28" t="n"/>
      <c r="V253" s="28" t="n"/>
      <c r="W253" s="31" t="n"/>
    </row>
    <row r="254">
      <c r="A254" s="25" t="inlineStr">
        <is>
          <t>S21</t>
        </is>
      </c>
      <c r="B254" s="25" t="inlineStr">
        <is>
          <t>담양 신규점2</t>
        </is>
      </c>
      <c r="C254" s="25" t="inlineStr">
        <is>
          <t>S21-V</t>
        </is>
      </c>
      <c r="D254" s="25" t="inlineStr">
        <is>
          <t>측정</t>
        </is>
      </c>
      <c r="E254" s="48" t="n">
        <v>180</v>
      </c>
      <c r="F254" s="40" t="n"/>
      <c r="G254" s="28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IF(COUNTIFS($C:$C,$C254,$D:$D,"기준(전)",$L:$L,"&gt;0")&lt;&gt;1,"기준(전) 유효 1개 아님",IF(COUNTIFS($C:$C,$C254,$D:$D,"기준(후)",$L:$L,"&gt;0")&lt;&gt;1,"기준(후) 유효 1개 아님",IF(NOT(AND(ISNUMBER(N254),ISNUMBER(P254),ISNUMBER(H254))),"시각 결측",IF(P254&lt;=N254,"기준 시각 역전",IF(OR(H254&lt;N254,H254&gt;P254),"측정시각 구간 밖","OK")))))</f>
        <v/>
      </c>
      <c r="N254" s="45">
        <f>IF(COUNTIFS($C:$C,$C254,$D:$D,"기준(전)",$L:$L,"&gt;0")&lt;&gt;1,"",SUMIFS($H:$H,$C:$C,$C254,$D:$D,"기준(전)"))</f>
        <v/>
      </c>
      <c r="O254" s="30">
        <f>IF(COUNTIFS($C:$C,$C254,$D:$D,"기준(전)",$L:$L,"&gt;0")&lt;&gt;1,"",SUMIFS($L:$L,$C:$C,$C254,$D:$D,"기준(전)"))</f>
        <v/>
      </c>
      <c r="P254" s="45">
        <f>IF(COUNTIFS($C:$C,$C254,$D:$D,"기준(후)",$L:$L,"&gt;0")&lt;&gt;1,"",SUMIFS($H:$H,$C:$C,$C254,$D:$D,"기준(후)"))</f>
        <v/>
      </c>
      <c r="Q254" s="30">
        <f>IF(COUNTIFS($C:$C,$C254,$D:$D,"기준(후)",$L:$L,"&gt;0")&lt;&gt;1,"",SUMIFS($L:$L,$C:$C,$C254,$D:$D,"기준(후)"))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IF(OR($D253&lt;&gt;"측정",$C253&lt;&gt;$C254,NOT(ISNUMBER(L254)),NOT(ISNUMBER(L253)),(IF(ISNUMBER(F254),F254,E254)-IF(ISNUMBER(F253),F253,E253))=0),"",(L254-L253)/((IF(ISNUMBER(F254),F254,E254)-IF(ISNUMBER(F253),F253,E253))/100))</f>
        <v/>
      </c>
      <c r="U254" s="28" t="n"/>
      <c r="V254" s="28" t="n"/>
      <c r="W254" s="31" t="n"/>
    </row>
    <row r="255">
      <c r="A255" s="25" t="inlineStr">
        <is>
          <t>S21</t>
        </is>
      </c>
      <c r="B255" s="25" t="inlineStr">
        <is>
          <t>담양 신규점2</t>
        </is>
      </c>
      <c r="C255" s="25" t="inlineStr">
        <is>
          <t>S21-V</t>
        </is>
      </c>
      <c r="D255" s="25" t="inlineStr">
        <is>
          <t>측정</t>
        </is>
      </c>
      <c r="E255" s="48" t="n">
        <v>200</v>
      </c>
      <c r="F255" s="40" t="n"/>
      <c r="G255" s="28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IF(COUNTIFS($C:$C,$C255,$D:$D,"기준(전)",$L:$L,"&gt;0")&lt;&gt;1,"기준(전) 유효 1개 아님",IF(COUNTIFS($C:$C,$C255,$D:$D,"기준(후)",$L:$L,"&gt;0")&lt;&gt;1,"기준(후) 유효 1개 아님",IF(NOT(AND(ISNUMBER(N255),ISNUMBER(P255),ISNUMBER(H255))),"시각 결측",IF(P255&lt;=N255,"기준 시각 역전",IF(OR(H255&lt;N255,H255&gt;P255),"측정시각 구간 밖","OK")))))</f>
        <v/>
      </c>
      <c r="N255" s="45">
        <f>IF(COUNTIFS($C:$C,$C255,$D:$D,"기준(전)",$L:$L,"&gt;0")&lt;&gt;1,"",SUMIFS($H:$H,$C:$C,$C255,$D:$D,"기준(전)"))</f>
        <v/>
      </c>
      <c r="O255" s="30">
        <f>IF(COUNTIFS($C:$C,$C255,$D:$D,"기준(전)",$L:$L,"&gt;0")&lt;&gt;1,"",SUMIFS($L:$L,$C:$C,$C255,$D:$D,"기준(전)"))</f>
        <v/>
      </c>
      <c r="P255" s="45">
        <f>IF(COUNTIFS($C:$C,$C255,$D:$D,"기준(후)",$L:$L,"&gt;0")&lt;&gt;1,"",SUMIFS($H:$H,$C:$C,$C255,$D:$D,"기준(후)"))</f>
        <v/>
      </c>
      <c r="Q255" s="30">
        <f>IF(COUNTIFS($C:$C,$C255,$D:$D,"기준(후)",$L:$L,"&gt;0")&lt;&gt;1,"",SUMIFS($L:$L,$C:$C,$C255,$D:$D,"기준(후)"))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IF(OR($D254&lt;&gt;"측정",$C254&lt;&gt;$C255,NOT(ISNUMBER(L255)),NOT(ISNUMBER(L254)),(IF(ISNUMBER(F255),F255,E255)-IF(ISNUMBER(F254),F254,E254))=0),"",(L255-L254)/((IF(ISNUMBER(F255),F255,E255)-IF(ISNUMBER(F254),F254,E254))/100))</f>
        <v/>
      </c>
      <c r="U255" s="28" t="n"/>
      <c r="V255" s="28" t="n"/>
      <c r="W255" s="31" t="n"/>
    </row>
    <row r="256">
      <c r="A256" s="43" t="inlineStr">
        <is>
          <t>S21</t>
        </is>
      </c>
      <c r="B256" s="43" t="inlineStr">
        <is>
          <t>담양 신규점2</t>
        </is>
      </c>
      <c r="C256" s="43" t="inlineStr">
        <is>
          <t>S21-V</t>
        </is>
      </c>
      <c r="D256" s="43" t="inlineStr">
        <is>
          <t>기준(후)</t>
        </is>
      </c>
      <c r="E256" s="47" t="n"/>
      <c r="F256" s="40" t="n"/>
      <c r="G256" s="28" t="n"/>
      <c r="H256" s="42" t="n"/>
      <c r="I256" s="40" t="n"/>
      <c r="J256" s="40" t="n"/>
      <c r="K256" s="40" t="n"/>
      <c r="L256" s="30">
        <f>IF(COUNT(I256:K256)=0,"",MEDIAN(I256:K256))</f>
        <v/>
      </c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28" t="n"/>
      <c r="V256" s="28" t="n"/>
      <c r="W256" s="31" t="n"/>
    </row>
    <row r="257">
      <c r="A257" s="43" t="inlineStr">
        <is>
          <t>S22</t>
        </is>
      </c>
      <c r="B257" s="43" t="inlineStr">
        <is>
          <t>완도 신규점</t>
        </is>
      </c>
      <c r="C257" s="43" t="inlineStr">
        <is>
          <t>S22-V</t>
        </is>
      </c>
      <c r="D257" s="43" t="inlineStr">
        <is>
          <t>기준(전)</t>
        </is>
      </c>
      <c r="E257" s="47" t="n"/>
      <c r="F257" s="40" t="n"/>
      <c r="G257" s="28" t="n"/>
      <c r="H257" s="42" t="n"/>
      <c r="I257" s="40" t="n"/>
      <c r="J257" s="40" t="n"/>
      <c r="K257" s="40" t="n"/>
      <c r="L257" s="30">
        <f>IF(COUNT(I257:K257)=0,"",MEDIAN(I257:K257))</f>
        <v/>
      </c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28" t="n"/>
      <c r="V257" s="28" t="n"/>
      <c r="W257" s="31" t="n"/>
    </row>
    <row r="258">
      <c r="A258" s="25" t="inlineStr">
        <is>
          <t>S22</t>
        </is>
      </c>
      <c r="B258" s="25" t="inlineStr">
        <is>
          <t>완도 신규점</t>
        </is>
      </c>
      <c r="C258" s="25" t="inlineStr">
        <is>
          <t>S22-V</t>
        </is>
      </c>
      <c r="D258" s="25" t="inlineStr">
        <is>
          <t>측정</t>
        </is>
      </c>
      <c r="E258" s="48" t="n">
        <v>20</v>
      </c>
      <c r="F258" s="40" t="n"/>
      <c r="G258" s="28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IF(COUNTIFS($C:$C,$C258,$D:$D,"기준(전)",$L:$L,"&gt;0")&lt;&gt;1,"기준(전) 유효 1개 아님",IF(COUNTIFS($C:$C,$C258,$D:$D,"기준(후)",$L:$L,"&gt;0")&lt;&gt;1,"기준(후) 유효 1개 아님",IF(NOT(AND(ISNUMBER(N258),ISNUMBER(P258),ISNUMBER(H258))),"시각 결측",IF(P258&lt;=N258,"기준 시각 역전",IF(OR(H258&lt;N258,H258&gt;P258),"측정시각 구간 밖","OK")))))</f>
        <v/>
      </c>
      <c r="N258" s="45">
        <f>IF(COUNTIFS($C:$C,$C258,$D:$D,"기준(전)",$L:$L,"&gt;0")&lt;&gt;1,"",SUMIFS($H:$H,$C:$C,$C258,$D:$D,"기준(전)"))</f>
        <v/>
      </c>
      <c r="O258" s="30">
        <f>IF(COUNTIFS($C:$C,$C258,$D:$D,"기준(전)",$L:$L,"&gt;0")&lt;&gt;1,"",SUMIFS($L:$L,$C:$C,$C258,$D:$D,"기준(전)"))</f>
        <v/>
      </c>
      <c r="P258" s="45">
        <f>IF(COUNTIFS($C:$C,$C258,$D:$D,"기준(후)",$L:$L,"&gt;0")&lt;&gt;1,"",SUMIFS($H:$H,$C:$C,$C258,$D:$D,"기준(후)"))</f>
        <v/>
      </c>
      <c r="Q258" s="30">
        <f>IF(COUNTIFS($C:$C,$C258,$D:$D,"기준(후)",$L:$L,"&gt;0")&lt;&gt;1,"",SUMIFS($L:$L,$C:$C,$C258,$D:$D,"기준(후)"))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IF(OR($D257&lt;&gt;"측정",$C257&lt;&gt;$C258,NOT(ISNUMBER(L258)),NOT(ISNUMBER(L257)),(IF(ISNUMBER(F258),F258,E258)-IF(ISNUMBER(F257),F257,E257))=0),"",(L258-L257)/((IF(ISNUMBER(F258),F258,E258)-IF(ISNUMBER(F257),F257,E257))/100))</f>
        <v/>
      </c>
      <c r="U258" s="28" t="n"/>
      <c r="V258" s="28" t="n"/>
      <c r="W258" s="31" t="n"/>
    </row>
    <row r="259">
      <c r="A259" s="25" t="inlineStr">
        <is>
          <t>S22</t>
        </is>
      </c>
      <c r="B259" s="25" t="inlineStr">
        <is>
          <t>완도 신규점</t>
        </is>
      </c>
      <c r="C259" s="25" t="inlineStr">
        <is>
          <t>S22-V</t>
        </is>
      </c>
      <c r="D259" s="25" t="inlineStr">
        <is>
          <t>측정</t>
        </is>
      </c>
      <c r="E259" s="48" t="n">
        <v>40</v>
      </c>
      <c r="F259" s="40" t="n"/>
      <c r="G259" s="28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IF(COUNTIFS($C:$C,$C259,$D:$D,"기준(전)",$L:$L,"&gt;0")&lt;&gt;1,"기준(전) 유효 1개 아님",IF(COUNTIFS($C:$C,$C259,$D:$D,"기준(후)",$L:$L,"&gt;0")&lt;&gt;1,"기준(후) 유효 1개 아님",IF(NOT(AND(ISNUMBER(N259),ISNUMBER(P259),ISNUMBER(H259))),"시각 결측",IF(P259&lt;=N259,"기준 시각 역전",IF(OR(H259&lt;N259,H259&gt;P259),"측정시각 구간 밖","OK")))))</f>
        <v/>
      </c>
      <c r="N259" s="45">
        <f>IF(COUNTIFS($C:$C,$C259,$D:$D,"기준(전)",$L:$L,"&gt;0")&lt;&gt;1,"",SUMIFS($H:$H,$C:$C,$C259,$D:$D,"기준(전)"))</f>
        <v/>
      </c>
      <c r="O259" s="30">
        <f>IF(COUNTIFS($C:$C,$C259,$D:$D,"기준(전)",$L:$L,"&gt;0")&lt;&gt;1,"",SUMIFS($L:$L,$C:$C,$C259,$D:$D,"기준(전)"))</f>
        <v/>
      </c>
      <c r="P259" s="45">
        <f>IF(COUNTIFS($C:$C,$C259,$D:$D,"기준(후)",$L:$L,"&gt;0")&lt;&gt;1,"",SUMIFS($H:$H,$C:$C,$C259,$D:$D,"기준(후)"))</f>
        <v/>
      </c>
      <c r="Q259" s="30">
        <f>IF(COUNTIFS($C:$C,$C259,$D:$D,"기준(후)",$L:$L,"&gt;0")&lt;&gt;1,"",SUMIFS($L:$L,$C:$C,$C259,$D:$D,"기준(후)"))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IF(OR($D258&lt;&gt;"측정",$C258&lt;&gt;$C259,NOT(ISNUMBER(L259)),NOT(ISNUMBER(L258)),(IF(ISNUMBER(F259),F259,E259)-IF(ISNUMBER(F258),F258,E258))=0),"",(L259-L258)/((IF(ISNUMBER(F259),F259,E259)-IF(ISNUMBER(F258),F258,E258))/100))</f>
        <v/>
      </c>
      <c r="U259" s="28" t="n"/>
      <c r="V259" s="28" t="n"/>
      <c r="W259" s="31" t="n"/>
    </row>
    <row r="260">
      <c r="A260" s="25" t="inlineStr">
        <is>
          <t>S22</t>
        </is>
      </c>
      <c r="B260" s="25" t="inlineStr">
        <is>
          <t>완도 신규점</t>
        </is>
      </c>
      <c r="C260" s="25" t="inlineStr">
        <is>
          <t>S22-V</t>
        </is>
      </c>
      <c r="D260" s="25" t="inlineStr">
        <is>
          <t>측정</t>
        </is>
      </c>
      <c r="E260" s="48" t="n">
        <v>60</v>
      </c>
      <c r="F260" s="40" t="n"/>
      <c r="G260" s="28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IF(COUNTIFS($C:$C,$C260,$D:$D,"기준(전)",$L:$L,"&gt;0")&lt;&gt;1,"기준(전) 유효 1개 아님",IF(COUNTIFS($C:$C,$C260,$D:$D,"기준(후)",$L:$L,"&gt;0")&lt;&gt;1,"기준(후) 유효 1개 아님",IF(NOT(AND(ISNUMBER(N260),ISNUMBER(P260),ISNUMBER(H260))),"시각 결측",IF(P260&lt;=N260,"기준 시각 역전",IF(OR(H260&lt;N260,H260&gt;P260),"측정시각 구간 밖","OK")))))</f>
        <v/>
      </c>
      <c r="N260" s="45">
        <f>IF(COUNTIFS($C:$C,$C260,$D:$D,"기준(전)",$L:$L,"&gt;0")&lt;&gt;1,"",SUMIFS($H:$H,$C:$C,$C260,$D:$D,"기준(전)"))</f>
        <v/>
      </c>
      <c r="O260" s="30">
        <f>IF(COUNTIFS($C:$C,$C260,$D:$D,"기준(전)",$L:$L,"&gt;0")&lt;&gt;1,"",SUMIFS($L:$L,$C:$C,$C260,$D:$D,"기준(전)"))</f>
        <v/>
      </c>
      <c r="P260" s="45">
        <f>IF(COUNTIFS($C:$C,$C260,$D:$D,"기준(후)",$L:$L,"&gt;0")&lt;&gt;1,"",SUMIFS($H:$H,$C:$C,$C260,$D:$D,"기준(후)"))</f>
        <v/>
      </c>
      <c r="Q260" s="30">
        <f>IF(COUNTIFS($C:$C,$C260,$D:$D,"기준(후)",$L:$L,"&gt;0")&lt;&gt;1,"",SUMIFS($L:$L,$C:$C,$C260,$D:$D,"기준(후)"))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IF(OR($D259&lt;&gt;"측정",$C259&lt;&gt;$C260,NOT(ISNUMBER(L260)),NOT(ISNUMBER(L259)),(IF(ISNUMBER(F260),F260,E260)-IF(ISNUMBER(F259),F259,E259))=0),"",(L260-L259)/((IF(ISNUMBER(F260),F260,E260)-IF(ISNUMBER(F259),F259,E259))/100))</f>
        <v/>
      </c>
      <c r="U260" s="28" t="n"/>
      <c r="V260" s="28" t="n"/>
      <c r="W260" s="31" t="n"/>
    </row>
    <row r="261">
      <c r="A261" s="25" t="inlineStr">
        <is>
          <t>S22</t>
        </is>
      </c>
      <c r="B261" s="25" t="inlineStr">
        <is>
          <t>완도 신규점</t>
        </is>
      </c>
      <c r="C261" s="25" t="inlineStr">
        <is>
          <t>S22-V</t>
        </is>
      </c>
      <c r="D261" s="25" t="inlineStr">
        <is>
          <t>측정</t>
        </is>
      </c>
      <c r="E261" s="48" t="n">
        <v>80</v>
      </c>
      <c r="F261" s="40" t="n"/>
      <c r="G261" s="28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IF(COUNTIFS($C:$C,$C261,$D:$D,"기준(전)",$L:$L,"&gt;0")&lt;&gt;1,"기준(전) 유효 1개 아님",IF(COUNTIFS($C:$C,$C261,$D:$D,"기준(후)",$L:$L,"&gt;0")&lt;&gt;1,"기준(후) 유효 1개 아님",IF(NOT(AND(ISNUMBER(N261),ISNUMBER(P261),ISNUMBER(H261))),"시각 결측",IF(P261&lt;=N261,"기준 시각 역전",IF(OR(H261&lt;N261,H261&gt;P261),"측정시각 구간 밖","OK")))))</f>
        <v/>
      </c>
      <c r="N261" s="45">
        <f>IF(COUNTIFS($C:$C,$C261,$D:$D,"기준(전)",$L:$L,"&gt;0")&lt;&gt;1,"",SUMIFS($H:$H,$C:$C,$C261,$D:$D,"기준(전)"))</f>
        <v/>
      </c>
      <c r="O261" s="30">
        <f>IF(COUNTIFS($C:$C,$C261,$D:$D,"기준(전)",$L:$L,"&gt;0")&lt;&gt;1,"",SUMIFS($L:$L,$C:$C,$C261,$D:$D,"기준(전)"))</f>
        <v/>
      </c>
      <c r="P261" s="45">
        <f>IF(COUNTIFS($C:$C,$C261,$D:$D,"기준(후)",$L:$L,"&gt;0")&lt;&gt;1,"",SUMIFS($H:$H,$C:$C,$C261,$D:$D,"기준(후)"))</f>
        <v/>
      </c>
      <c r="Q261" s="30">
        <f>IF(COUNTIFS($C:$C,$C261,$D:$D,"기준(후)",$L:$L,"&gt;0")&lt;&gt;1,"",SUMIFS($L:$L,$C:$C,$C261,$D:$D,"기준(후)"))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IF(OR($D260&lt;&gt;"측정",$C260&lt;&gt;$C261,NOT(ISNUMBER(L261)),NOT(ISNUMBER(L260)),(IF(ISNUMBER(F261),F261,E261)-IF(ISNUMBER(F260),F260,E260))=0),"",(L261-L260)/((IF(ISNUMBER(F261),F261,E261)-IF(ISNUMBER(F260),F260,E260))/100))</f>
        <v/>
      </c>
      <c r="U261" s="28" t="n"/>
      <c r="V261" s="28" t="n"/>
      <c r="W261" s="31" t="n"/>
    </row>
    <row r="262">
      <c r="A262" s="25" t="inlineStr">
        <is>
          <t>S22</t>
        </is>
      </c>
      <c r="B262" s="25" t="inlineStr">
        <is>
          <t>완도 신규점</t>
        </is>
      </c>
      <c r="C262" s="25" t="inlineStr">
        <is>
          <t>S22-V</t>
        </is>
      </c>
      <c r="D262" s="25" t="inlineStr">
        <is>
          <t>측정</t>
        </is>
      </c>
      <c r="E262" s="48" t="n">
        <v>100</v>
      </c>
      <c r="F262" s="40" t="n"/>
      <c r="G262" s="28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IF(COUNTIFS($C:$C,$C262,$D:$D,"기준(전)",$L:$L,"&gt;0")&lt;&gt;1,"기준(전) 유효 1개 아님",IF(COUNTIFS($C:$C,$C262,$D:$D,"기준(후)",$L:$L,"&gt;0")&lt;&gt;1,"기준(후) 유효 1개 아님",IF(NOT(AND(ISNUMBER(N262),ISNUMBER(P262),ISNUMBER(H262))),"시각 결측",IF(P262&lt;=N262,"기준 시각 역전",IF(OR(H262&lt;N262,H262&gt;P262),"측정시각 구간 밖","OK")))))</f>
        <v/>
      </c>
      <c r="N262" s="45">
        <f>IF(COUNTIFS($C:$C,$C262,$D:$D,"기준(전)",$L:$L,"&gt;0")&lt;&gt;1,"",SUMIFS($H:$H,$C:$C,$C262,$D:$D,"기준(전)"))</f>
        <v/>
      </c>
      <c r="O262" s="30">
        <f>IF(COUNTIFS($C:$C,$C262,$D:$D,"기준(전)",$L:$L,"&gt;0")&lt;&gt;1,"",SUMIFS($L:$L,$C:$C,$C262,$D:$D,"기준(전)"))</f>
        <v/>
      </c>
      <c r="P262" s="45">
        <f>IF(COUNTIFS($C:$C,$C262,$D:$D,"기준(후)",$L:$L,"&gt;0")&lt;&gt;1,"",SUMIFS($H:$H,$C:$C,$C262,$D:$D,"기준(후)"))</f>
        <v/>
      </c>
      <c r="Q262" s="30">
        <f>IF(COUNTIFS($C:$C,$C262,$D:$D,"기준(후)",$L:$L,"&gt;0")&lt;&gt;1,"",SUMIFS($L:$L,$C:$C,$C262,$D:$D,"기준(후)"))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IF(OR($D261&lt;&gt;"측정",$C261&lt;&gt;$C262,NOT(ISNUMBER(L262)),NOT(ISNUMBER(L261)),(IF(ISNUMBER(F262),F262,E262)-IF(ISNUMBER(F261),F261,E261))=0),"",(L262-L261)/((IF(ISNUMBER(F262),F262,E262)-IF(ISNUMBER(F261),F261,E261))/100))</f>
        <v/>
      </c>
      <c r="U262" s="28" t="n"/>
      <c r="V262" s="28" t="n"/>
      <c r="W262" s="31" t="n"/>
    </row>
    <row r="263">
      <c r="A263" s="25" t="inlineStr">
        <is>
          <t>S22</t>
        </is>
      </c>
      <c r="B263" s="25" t="inlineStr">
        <is>
          <t>완도 신규점</t>
        </is>
      </c>
      <c r="C263" s="25" t="inlineStr">
        <is>
          <t>S22-V</t>
        </is>
      </c>
      <c r="D263" s="25" t="inlineStr">
        <is>
          <t>측정</t>
        </is>
      </c>
      <c r="E263" s="48" t="n">
        <v>120</v>
      </c>
      <c r="F263" s="40" t="n"/>
      <c r="G263" s="28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IF(COUNTIFS($C:$C,$C263,$D:$D,"기준(전)",$L:$L,"&gt;0")&lt;&gt;1,"기준(전) 유효 1개 아님",IF(COUNTIFS($C:$C,$C263,$D:$D,"기준(후)",$L:$L,"&gt;0")&lt;&gt;1,"기준(후) 유효 1개 아님",IF(NOT(AND(ISNUMBER(N263),ISNUMBER(P263),ISNUMBER(H263))),"시각 결측",IF(P263&lt;=N263,"기준 시각 역전",IF(OR(H263&lt;N263,H263&gt;P263),"측정시각 구간 밖","OK")))))</f>
        <v/>
      </c>
      <c r="N263" s="45">
        <f>IF(COUNTIFS($C:$C,$C263,$D:$D,"기준(전)",$L:$L,"&gt;0")&lt;&gt;1,"",SUMIFS($H:$H,$C:$C,$C263,$D:$D,"기준(전)"))</f>
        <v/>
      </c>
      <c r="O263" s="30">
        <f>IF(COUNTIFS($C:$C,$C263,$D:$D,"기준(전)",$L:$L,"&gt;0")&lt;&gt;1,"",SUMIFS($L:$L,$C:$C,$C263,$D:$D,"기준(전)"))</f>
        <v/>
      </c>
      <c r="P263" s="45">
        <f>IF(COUNTIFS($C:$C,$C263,$D:$D,"기준(후)",$L:$L,"&gt;0")&lt;&gt;1,"",SUMIFS($H:$H,$C:$C,$C263,$D:$D,"기준(후)"))</f>
        <v/>
      </c>
      <c r="Q263" s="30">
        <f>IF(COUNTIFS($C:$C,$C263,$D:$D,"기준(후)",$L:$L,"&gt;0")&lt;&gt;1,"",SUMIFS($L:$L,$C:$C,$C263,$D:$D,"기준(후)"))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IF(OR($D262&lt;&gt;"측정",$C262&lt;&gt;$C263,NOT(ISNUMBER(L263)),NOT(ISNUMBER(L262)),(IF(ISNUMBER(F263),F263,E263)-IF(ISNUMBER(F262),F262,E262))=0),"",(L263-L262)/((IF(ISNUMBER(F263),F263,E263)-IF(ISNUMBER(F262),F262,E262))/100))</f>
        <v/>
      </c>
      <c r="U263" s="28" t="n"/>
      <c r="V263" s="28" t="n"/>
      <c r="W263" s="31" t="n"/>
    </row>
    <row r="264">
      <c r="A264" s="25" t="inlineStr">
        <is>
          <t>S22</t>
        </is>
      </c>
      <c r="B264" s="25" t="inlineStr">
        <is>
          <t>완도 신규점</t>
        </is>
      </c>
      <c r="C264" s="25" t="inlineStr">
        <is>
          <t>S22-V</t>
        </is>
      </c>
      <c r="D264" s="25" t="inlineStr">
        <is>
          <t>측정</t>
        </is>
      </c>
      <c r="E264" s="48" t="n">
        <v>140</v>
      </c>
      <c r="F264" s="40" t="n"/>
      <c r="G264" s="28" t="n"/>
      <c r="H264" s="42" t="n"/>
      <c r="I264" s="40" t="n"/>
      <c r="J264" s="40" t="n"/>
      <c r="K264" s="40" t="n"/>
      <c r="L264" s="30">
        <f>IF(COUNT(I264:K264)=0,"",MEDIAN(I264:K264))</f>
        <v/>
      </c>
      <c r="M264" s="25">
        <f>IF(COUNTIFS($C:$C,$C264,$D:$D,"기준(전)",$L:$L,"&gt;0")&lt;&gt;1,"기준(전) 유효 1개 아님",IF(COUNTIFS($C:$C,$C264,$D:$D,"기준(후)",$L:$L,"&gt;0")&lt;&gt;1,"기준(후) 유효 1개 아님",IF(NOT(AND(ISNUMBER(N264),ISNUMBER(P264),ISNUMBER(H264))),"시각 결측",IF(P264&lt;=N264,"기준 시각 역전",IF(OR(H264&lt;N264,H264&gt;P264),"측정시각 구간 밖","OK")))))</f>
        <v/>
      </c>
      <c r="N264" s="45">
        <f>IF(COUNTIFS($C:$C,$C264,$D:$D,"기준(전)",$L:$L,"&gt;0")&lt;&gt;1,"",SUMIFS($H:$H,$C:$C,$C264,$D:$D,"기준(전)"))</f>
        <v/>
      </c>
      <c r="O264" s="30">
        <f>IF(COUNTIFS($C:$C,$C264,$D:$D,"기준(전)",$L:$L,"&gt;0")&lt;&gt;1,"",SUMIFS($L:$L,$C:$C,$C264,$D:$D,"기준(전)"))</f>
        <v/>
      </c>
      <c r="P264" s="45">
        <f>IF(COUNTIFS($C:$C,$C264,$D:$D,"기준(후)",$L:$L,"&gt;0")&lt;&gt;1,"",SUMIFS($H:$H,$C:$C,$C264,$D:$D,"기준(후)"))</f>
        <v/>
      </c>
      <c r="Q264" s="30">
        <f>IF(COUNTIFS($C:$C,$C264,$D:$D,"기준(후)",$L:$L,"&gt;0")&lt;&gt;1,"",SUMIFS($L:$L,$C:$C,$C264,$D:$D,"기준(후)"))</f>
        <v/>
      </c>
      <c r="R264" s="30">
        <f>IF(M264&lt;&gt;"OK","",O264+(Q264-O264)*(H264-N264)/(P264-N264))</f>
        <v/>
      </c>
      <c r="S264" s="30">
        <f>IF(OR(M264&lt;&gt;"OK",NOT(ISNUMBER(L264))),"",L264-R264)</f>
        <v/>
      </c>
      <c r="T264" s="46">
        <f>IF(OR($D263&lt;&gt;"측정",$C263&lt;&gt;$C264,NOT(ISNUMBER(L264)),NOT(ISNUMBER(L263)),(IF(ISNUMBER(F264),F264,E264)-IF(ISNUMBER(F263),F263,E263))=0),"",(L264-L263)/((IF(ISNUMBER(F264),F264,E264)-IF(ISNUMBER(F263),F263,E263))/100))</f>
        <v/>
      </c>
      <c r="U264" s="28" t="n"/>
      <c r="V264" s="28" t="n"/>
      <c r="W264" s="31" t="n"/>
    </row>
    <row r="265">
      <c r="A265" s="25" t="inlineStr">
        <is>
          <t>S22</t>
        </is>
      </c>
      <c r="B265" s="25" t="inlineStr">
        <is>
          <t>완도 신규점</t>
        </is>
      </c>
      <c r="C265" s="25" t="inlineStr">
        <is>
          <t>S22-V</t>
        </is>
      </c>
      <c r="D265" s="25" t="inlineStr">
        <is>
          <t>측정</t>
        </is>
      </c>
      <c r="E265" s="48" t="n">
        <v>160</v>
      </c>
      <c r="F265" s="40" t="n"/>
      <c r="G265" s="28" t="n"/>
      <c r="H265" s="42" t="n"/>
      <c r="I265" s="40" t="n"/>
      <c r="J265" s="40" t="n"/>
      <c r="K265" s="40" t="n"/>
      <c r="L265" s="30">
        <f>IF(COUNT(I265:K265)=0,"",MEDIAN(I265:K265))</f>
        <v/>
      </c>
      <c r="M265" s="25">
        <f>IF(COUNTIFS($C:$C,$C265,$D:$D,"기준(전)",$L:$L,"&gt;0")&lt;&gt;1,"기준(전) 유효 1개 아님",IF(COUNTIFS($C:$C,$C265,$D:$D,"기준(후)",$L:$L,"&gt;0")&lt;&gt;1,"기준(후) 유효 1개 아님",IF(NOT(AND(ISNUMBER(N265),ISNUMBER(P265),ISNUMBER(H265))),"시각 결측",IF(P265&lt;=N265,"기준 시각 역전",IF(OR(H265&lt;N265,H265&gt;P265),"측정시각 구간 밖","OK")))))</f>
        <v/>
      </c>
      <c r="N265" s="45">
        <f>IF(COUNTIFS($C:$C,$C265,$D:$D,"기준(전)",$L:$L,"&gt;0")&lt;&gt;1,"",SUMIFS($H:$H,$C:$C,$C265,$D:$D,"기준(전)"))</f>
        <v/>
      </c>
      <c r="O265" s="30">
        <f>IF(COUNTIFS($C:$C,$C265,$D:$D,"기준(전)",$L:$L,"&gt;0")&lt;&gt;1,"",SUMIFS($L:$L,$C:$C,$C265,$D:$D,"기준(전)"))</f>
        <v/>
      </c>
      <c r="P265" s="45">
        <f>IF(COUNTIFS($C:$C,$C265,$D:$D,"기준(후)",$L:$L,"&gt;0")&lt;&gt;1,"",SUMIFS($H:$H,$C:$C,$C265,$D:$D,"기준(후)"))</f>
        <v/>
      </c>
      <c r="Q265" s="30">
        <f>IF(COUNTIFS($C:$C,$C265,$D:$D,"기준(후)",$L:$L,"&gt;0")&lt;&gt;1,"",SUMIFS($L:$L,$C:$C,$C265,$D:$D,"기준(후)"))</f>
        <v/>
      </c>
      <c r="R265" s="30">
        <f>IF(M265&lt;&gt;"OK","",O265+(Q265-O265)*(H265-N265)/(P265-N265))</f>
        <v/>
      </c>
      <c r="S265" s="30">
        <f>IF(OR(M265&lt;&gt;"OK",NOT(ISNUMBER(L265))),"",L265-R265)</f>
        <v/>
      </c>
      <c r="T265" s="46">
        <f>IF(OR($D264&lt;&gt;"측정",$C264&lt;&gt;$C265,NOT(ISNUMBER(L265)),NOT(ISNUMBER(L264)),(IF(ISNUMBER(F265),F265,E265)-IF(ISNUMBER(F264),F264,E264))=0),"",(L265-L264)/((IF(ISNUMBER(F265),F265,E265)-IF(ISNUMBER(F264),F264,E264))/100))</f>
        <v/>
      </c>
      <c r="U265" s="28" t="n"/>
      <c r="V265" s="28" t="n"/>
      <c r="W265" s="31" t="n"/>
    </row>
    <row r="266">
      <c r="A266" s="25" t="inlineStr">
        <is>
          <t>S22</t>
        </is>
      </c>
      <c r="B266" s="25" t="inlineStr">
        <is>
          <t>완도 신규점</t>
        </is>
      </c>
      <c r="C266" s="25" t="inlineStr">
        <is>
          <t>S22-V</t>
        </is>
      </c>
      <c r="D266" s="25" t="inlineStr">
        <is>
          <t>측정</t>
        </is>
      </c>
      <c r="E266" s="48" t="n">
        <v>180</v>
      </c>
      <c r="F266" s="40" t="n"/>
      <c r="G266" s="28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IF(COUNTIFS($C:$C,$C266,$D:$D,"기준(전)",$L:$L,"&gt;0")&lt;&gt;1,"기준(전) 유효 1개 아님",IF(COUNTIFS($C:$C,$C266,$D:$D,"기준(후)",$L:$L,"&gt;0")&lt;&gt;1,"기준(후) 유효 1개 아님",IF(NOT(AND(ISNUMBER(N266),ISNUMBER(P266),ISNUMBER(H266))),"시각 결측",IF(P266&lt;=N266,"기준 시각 역전",IF(OR(H266&lt;N266,H266&gt;P266),"측정시각 구간 밖","OK")))))</f>
        <v/>
      </c>
      <c r="N266" s="45">
        <f>IF(COUNTIFS($C:$C,$C266,$D:$D,"기준(전)",$L:$L,"&gt;0")&lt;&gt;1,"",SUMIFS($H:$H,$C:$C,$C266,$D:$D,"기준(전)"))</f>
        <v/>
      </c>
      <c r="O266" s="30">
        <f>IF(COUNTIFS($C:$C,$C266,$D:$D,"기준(전)",$L:$L,"&gt;0")&lt;&gt;1,"",SUMIFS($L:$L,$C:$C,$C266,$D:$D,"기준(전)"))</f>
        <v/>
      </c>
      <c r="P266" s="45">
        <f>IF(COUNTIFS($C:$C,$C266,$D:$D,"기준(후)",$L:$L,"&gt;0")&lt;&gt;1,"",SUMIFS($H:$H,$C:$C,$C266,$D:$D,"기준(후)"))</f>
        <v/>
      </c>
      <c r="Q266" s="30">
        <f>IF(COUNTIFS($C:$C,$C266,$D:$D,"기준(후)",$L:$L,"&gt;0")&lt;&gt;1,"",SUMIFS($L:$L,$C:$C,$C266,$D:$D,"기준(후)"))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IF(OR($D265&lt;&gt;"측정",$C265&lt;&gt;$C266,NOT(ISNUMBER(L266)),NOT(ISNUMBER(L265)),(IF(ISNUMBER(F266),F266,E266)-IF(ISNUMBER(F265),F265,E265))=0),"",(L266-L265)/((IF(ISNUMBER(F266),F266,E266)-IF(ISNUMBER(F265),F265,E265))/100))</f>
        <v/>
      </c>
      <c r="U266" s="28" t="n"/>
      <c r="V266" s="28" t="n"/>
      <c r="W266" s="31" t="n"/>
    </row>
    <row r="267">
      <c r="A267" s="25" t="inlineStr">
        <is>
          <t>S22</t>
        </is>
      </c>
      <c r="B267" s="25" t="inlineStr">
        <is>
          <t>완도 신규점</t>
        </is>
      </c>
      <c r="C267" s="25" t="inlineStr">
        <is>
          <t>S22-V</t>
        </is>
      </c>
      <c r="D267" s="25" t="inlineStr">
        <is>
          <t>측정</t>
        </is>
      </c>
      <c r="E267" s="48" t="n">
        <v>200</v>
      </c>
      <c r="F267" s="40" t="n"/>
      <c r="G267" s="28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IF(COUNTIFS($C:$C,$C267,$D:$D,"기준(전)",$L:$L,"&gt;0")&lt;&gt;1,"기준(전) 유효 1개 아님",IF(COUNTIFS($C:$C,$C267,$D:$D,"기준(후)",$L:$L,"&gt;0")&lt;&gt;1,"기준(후) 유효 1개 아님",IF(NOT(AND(ISNUMBER(N267),ISNUMBER(P267),ISNUMBER(H267))),"시각 결측",IF(P267&lt;=N267,"기준 시각 역전",IF(OR(H267&lt;N267,H267&gt;P267),"측정시각 구간 밖","OK")))))</f>
        <v/>
      </c>
      <c r="N267" s="45">
        <f>IF(COUNTIFS($C:$C,$C267,$D:$D,"기준(전)",$L:$L,"&gt;0")&lt;&gt;1,"",SUMIFS($H:$H,$C:$C,$C267,$D:$D,"기준(전)"))</f>
        <v/>
      </c>
      <c r="O267" s="30">
        <f>IF(COUNTIFS($C:$C,$C267,$D:$D,"기준(전)",$L:$L,"&gt;0")&lt;&gt;1,"",SUMIFS($L:$L,$C:$C,$C267,$D:$D,"기준(전)"))</f>
        <v/>
      </c>
      <c r="P267" s="45">
        <f>IF(COUNTIFS($C:$C,$C267,$D:$D,"기준(후)",$L:$L,"&gt;0")&lt;&gt;1,"",SUMIFS($H:$H,$C:$C,$C267,$D:$D,"기준(후)"))</f>
        <v/>
      </c>
      <c r="Q267" s="30">
        <f>IF(COUNTIFS($C:$C,$C267,$D:$D,"기준(후)",$L:$L,"&gt;0")&lt;&gt;1,"",SUMIFS($L:$L,$C:$C,$C267,$D:$D,"기준(후)"))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IF(OR($D266&lt;&gt;"측정",$C266&lt;&gt;$C267,NOT(ISNUMBER(L267)),NOT(ISNUMBER(L266)),(IF(ISNUMBER(F267),F267,E267)-IF(ISNUMBER(F266),F266,E266))=0),"",(L267-L266)/((IF(ISNUMBER(F267),F267,E267)-IF(ISNUMBER(F266),F266,E266))/100))</f>
        <v/>
      </c>
      <c r="U267" s="28" t="n"/>
      <c r="V267" s="28" t="n"/>
      <c r="W267" s="31" t="n"/>
    </row>
    <row r="268">
      <c r="A268" s="43" t="inlineStr">
        <is>
          <t>S22</t>
        </is>
      </c>
      <c r="B268" s="43" t="inlineStr">
        <is>
          <t>완도 신규점</t>
        </is>
      </c>
      <c r="C268" s="43" t="inlineStr">
        <is>
          <t>S22-V</t>
        </is>
      </c>
      <c r="D268" s="43" t="inlineStr">
        <is>
          <t>기준(후)</t>
        </is>
      </c>
      <c r="E268" s="47" t="n"/>
      <c r="F268" s="40" t="n"/>
      <c r="G268" s="28" t="n"/>
      <c r="H268" s="42" t="n"/>
      <c r="I268" s="40" t="n"/>
      <c r="J268" s="40" t="n"/>
      <c r="K268" s="40" t="n"/>
      <c r="L268" s="30">
        <f>IF(COUNT(I268:K268)=0,"",MEDIAN(I268:K268))</f>
        <v/>
      </c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28" t="n"/>
      <c r="V268" s="28" t="n"/>
      <c r="W268" s="31" t="n"/>
    </row>
    <row r="269">
      <c r="A269" s="43" t="inlineStr">
        <is>
          <t>S23</t>
        </is>
      </c>
      <c r="B269" s="43" t="inlineStr">
        <is>
          <t>덕산 신규점1</t>
        </is>
      </c>
      <c r="C269" s="43" t="inlineStr">
        <is>
          <t>S23-V</t>
        </is>
      </c>
      <c r="D269" s="43" t="inlineStr">
        <is>
          <t>기준(전)</t>
        </is>
      </c>
      <c r="E269" s="47" t="n"/>
      <c r="F269" s="40" t="n"/>
      <c r="G269" s="28" t="n"/>
      <c r="H269" s="42" t="n"/>
      <c r="I269" s="40" t="n"/>
      <c r="J269" s="40" t="n"/>
      <c r="K269" s="40" t="n"/>
      <c r="L269" s="30">
        <f>IF(COUNT(I269:K269)=0,"",MEDIAN(I269:K269))</f>
        <v/>
      </c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28" t="n"/>
      <c r="V269" s="28" t="n"/>
      <c r="W269" s="31" t="n"/>
    </row>
    <row r="270">
      <c r="A270" s="25" t="inlineStr">
        <is>
          <t>S23</t>
        </is>
      </c>
      <c r="B270" s="25" t="inlineStr">
        <is>
          <t>덕산 신규점1</t>
        </is>
      </c>
      <c r="C270" s="25" t="inlineStr">
        <is>
          <t>S23-V</t>
        </is>
      </c>
      <c r="D270" s="25" t="inlineStr">
        <is>
          <t>측정</t>
        </is>
      </c>
      <c r="E270" s="48" t="n">
        <v>20</v>
      </c>
      <c r="F270" s="40" t="n"/>
      <c r="G270" s="28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IF(COUNTIFS($C:$C,$C270,$D:$D,"기준(전)",$L:$L,"&gt;0")&lt;&gt;1,"기준(전) 유효 1개 아님",IF(COUNTIFS($C:$C,$C270,$D:$D,"기준(후)",$L:$L,"&gt;0")&lt;&gt;1,"기준(후) 유효 1개 아님",IF(NOT(AND(ISNUMBER(N270),ISNUMBER(P270),ISNUMBER(H270))),"시각 결측",IF(P270&lt;=N270,"기준 시각 역전",IF(OR(H270&lt;N270,H270&gt;P270),"측정시각 구간 밖","OK")))))</f>
        <v/>
      </c>
      <c r="N270" s="45">
        <f>IF(COUNTIFS($C:$C,$C270,$D:$D,"기준(전)",$L:$L,"&gt;0")&lt;&gt;1,"",SUMIFS($H:$H,$C:$C,$C270,$D:$D,"기준(전)"))</f>
        <v/>
      </c>
      <c r="O270" s="30">
        <f>IF(COUNTIFS($C:$C,$C270,$D:$D,"기준(전)",$L:$L,"&gt;0")&lt;&gt;1,"",SUMIFS($L:$L,$C:$C,$C270,$D:$D,"기준(전)"))</f>
        <v/>
      </c>
      <c r="P270" s="45">
        <f>IF(COUNTIFS($C:$C,$C270,$D:$D,"기준(후)",$L:$L,"&gt;0")&lt;&gt;1,"",SUMIFS($H:$H,$C:$C,$C270,$D:$D,"기준(후)"))</f>
        <v/>
      </c>
      <c r="Q270" s="30">
        <f>IF(COUNTIFS($C:$C,$C270,$D:$D,"기준(후)",$L:$L,"&gt;0")&lt;&gt;1,"",SUMIFS($L:$L,$C:$C,$C270,$D:$D,"기준(후)"))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IF(OR($D269&lt;&gt;"측정",$C269&lt;&gt;$C270,NOT(ISNUMBER(L270)),NOT(ISNUMBER(L269)),(IF(ISNUMBER(F270),F270,E270)-IF(ISNUMBER(F269),F269,E269))=0),"",(L270-L269)/((IF(ISNUMBER(F270),F270,E270)-IF(ISNUMBER(F269),F269,E269))/100))</f>
        <v/>
      </c>
      <c r="U270" s="28" t="n"/>
      <c r="V270" s="28" t="n"/>
      <c r="W270" s="31" t="n"/>
    </row>
    <row r="271">
      <c r="A271" s="25" t="inlineStr">
        <is>
          <t>S23</t>
        </is>
      </c>
      <c r="B271" s="25" t="inlineStr">
        <is>
          <t>덕산 신규점1</t>
        </is>
      </c>
      <c r="C271" s="25" t="inlineStr">
        <is>
          <t>S23-V</t>
        </is>
      </c>
      <c r="D271" s="25" t="inlineStr">
        <is>
          <t>측정</t>
        </is>
      </c>
      <c r="E271" s="48" t="n">
        <v>40</v>
      </c>
      <c r="F271" s="40" t="n"/>
      <c r="G271" s="28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IF(COUNTIFS($C:$C,$C271,$D:$D,"기준(전)",$L:$L,"&gt;0")&lt;&gt;1,"기준(전) 유효 1개 아님",IF(COUNTIFS($C:$C,$C271,$D:$D,"기준(후)",$L:$L,"&gt;0")&lt;&gt;1,"기준(후) 유효 1개 아님",IF(NOT(AND(ISNUMBER(N271),ISNUMBER(P271),ISNUMBER(H271))),"시각 결측",IF(P271&lt;=N271,"기준 시각 역전",IF(OR(H271&lt;N271,H271&gt;P271),"측정시각 구간 밖","OK")))))</f>
        <v/>
      </c>
      <c r="N271" s="45">
        <f>IF(COUNTIFS($C:$C,$C271,$D:$D,"기준(전)",$L:$L,"&gt;0")&lt;&gt;1,"",SUMIFS($H:$H,$C:$C,$C271,$D:$D,"기준(전)"))</f>
        <v/>
      </c>
      <c r="O271" s="30">
        <f>IF(COUNTIFS($C:$C,$C271,$D:$D,"기준(전)",$L:$L,"&gt;0")&lt;&gt;1,"",SUMIFS($L:$L,$C:$C,$C271,$D:$D,"기준(전)"))</f>
        <v/>
      </c>
      <c r="P271" s="45">
        <f>IF(COUNTIFS($C:$C,$C271,$D:$D,"기준(후)",$L:$L,"&gt;0")&lt;&gt;1,"",SUMIFS($H:$H,$C:$C,$C271,$D:$D,"기준(후)"))</f>
        <v/>
      </c>
      <c r="Q271" s="30">
        <f>IF(COUNTIFS($C:$C,$C271,$D:$D,"기준(후)",$L:$L,"&gt;0")&lt;&gt;1,"",SUMIFS($L:$L,$C:$C,$C271,$D:$D,"기준(후)"))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IF(OR($D270&lt;&gt;"측정",$C270&lt;&gt;$C271,NOT(ISNUMBER(L271)),NOT(ISNUMBER(L270)),(IF(ISNUMBER(F271),F271,E271)-IF(ISNUMBER(F270),F270,E270))=0),"",(L271-L270)/((IF(ISNUMBER(F271),F271,E271)-IF(ISNUMBER(F270),F270,E270))/100))</f>
        <v/>
      </c>
      <c r="U271" s="28" t="n"/>
      <c r="V271" s="28" t="n"/>
      <c r="W271" s="31" t="n"/>
    </row>
    <row r="272">
      <c r="A272" s="25" t="inlineStr">
        <is>
          <t>S23</t>
        </is>
      </c>
      <c r="B272" s="25" t="inlineStr">
        <is>
          <t>덕산 신규점1</t>
        </is>
      </c>
      <c r="C272" s="25" t="inlineStr">
        <is>
          <t>S23-V</t>
        </is>
      </c>
      <c r="D272" s="25" t="inlineStr">
        <is>
          <t>측정</t>
        </is>
      </c>
      <c r="E272" s="48" t="n">
        <v>60</v>
      </c>
      <c r="F272" s="40" t="n"/>
      <c r="G272" s="28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IF(COUNTIFS($C:$C,$C272,$D:$D,"기준(전)",$L:$L,"&gt;0")&lt;&gt;1,"기준(전) 유효 1개 아님",IF(COUNTIFS($C:$C,$C272,$D:$D,"기준(후)",$L:$L,"&gt;0")&lt;&gt;1,"기준(후) 유효 1개 아님",IF(NOT(AND(ISNUMBER(N272),ISNUMBER(P272),ISNUMBER(H272))),"시각 결측",IF(P272&lt;=N272,"기준 시각 역전",IF(OR(H272&lt;N272,H272&gt;P272),"측정시각 구간 밖","OK")))))</f>
        <v/>
      </c>
      <c r="N272" s="45">
        <f>IF(COUNTIFS($C:$C,$C272,$D:$D,"기준(전)",$L:$L,"&gt;0")&lt;&gt;1,"",SUMIFS($H:$H,$C:$C,$C272,$D:$D,"기준(전)"))</f>
        <v/>
      </c>
      <c r="O272" s="30">
        <f>IF(COUNTIFS($C:$C,$C272,$D:$D,"기준(전)",$L:$L,"&gt;0")&lt;&gt;1,"",SUMIFS($L:$L,$C:$C,$C272,$D:$D,"기준(전)"))</f>
        <v/>
      </c>
      <c r="P272" s="45">
        <f>IF(COUNTIFS($C:$C,$C272,$D:$D,"기준(후)",$L:$L,"&gt;0")&lt;&gt;1,"",SUMIFS($H:$H,$C:$C,$C272,$D:$D,"기준(후)"))</f>
        <v/>
      </c>
      <c r="Q272" s="30">
        <f>IF(COUNTIFS($C:$C,$C272,$D:$D,"기준(후)",$L:$L,"&gt;0")&lt;&gt;1,"",SUMIFS($L:$L,$C:$C,$C272,$D:$D,"기준(후)"))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IF(OR($D271&lt;&gt;"측정",$C271&lt;&gt;$C272,NOT(ISNUMBER(L272)),NOT(ISNUMBER(L271)),(IF(ISNUMBER(F272),F272,E272)-IF(ISNUMBER(F271),F271,E271))=0),"",(L272-L271)/((IF(ISNUMBER(F272),F272,E272)-IF(ISNUMBER(F271),F271,E271))/100))</f>
        <v/>
      </c>
      <c r="U272" s="28" t="n"/>
      <c r="V272" s="28" t="n"/>
      <c r="W272" s="31" t="n"/>
    </row>
    <row r="273">
      <c r="A273" s="25" t="inlineStr">
        <is>
          <t>S23</t>
        </is>
      </c>
      <c r="B273" s="25" t="inlineStr">
        <is>
          <t>덕산 신규점1</t>
        </is>
      </c>
      <c r="C273" s="25" t="inlineStr">
        <is>
          <t>S23-V</t>
        </is>
      </c>
      <c r="D273" s="25" t="inlineStr">
        <is>
          <t>측정</t>
        </is>
      </c>
      <c r="E273" s="48" t="n">
        <v>80</v>
      </c>
      <c r="F273" s="40" t="n"/>
      <c r="G273" s="28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IF(COUNTIFS($C:$C,$C273,$D:$D,"기준(전)",$L:$L,"&gt;0")&lt;&gt;1,"기준(전) 유효 1개 아님",IF(COUNTIFS($C:$C,$C273,$D:$D,"기준(후)",$L:$L,"&gt;0")&lt;&gt;1,"기준(후) 유효 1개 아님",IF(NOT(AND(ISNUMBER(N273),ISNUMBER(P273),ISNUMBER(H273))),"시각 결측",IF(P273&lt;=N273,"기준 시각 역전",IF(OR(H273&lt;N273,H273&gt;P273),"측정시각 구간 밖","OK")))))</f>
        <v/>
      </c>
      <c r="N273" s="45">
        <f>IF(COUNTIFS($C:$C,$C273,$D:$D,"기준(전)",$L:$L,"&gt;0")&lt;&gt;1,"",SUMIFS($H:$H,$C:$C,$C273,$D:$D,"기준(전)"))</f>
        <v/>
      </c>
      <c r="O273" s="30">
        <f>IF(COUNTIFS($C:$C,$C273,$D:$D,"기준(전)",$L:$L,"&gt;0")&lt;&gt;1,"",SUMIFS($L:$L,$C:$C,$C273,$D:$D,"기준(전)"))</f>
        <v/>
      </c>
      <c r="P273" s="45">
        <f>IF(COUNTIFS($C:$C,$C273,$D:$D,"기준(후)",$L:$L,"&gt;0")&lt;&gt;1,"",SUMIFS($H:$H,$C:$C,$C273,$D:$D,"기준(후)"))</f>
        <v/>
      </c>
      <c r="Q273" s="30">
        <f>IF(COUNTIFS($C:$C,$C273,$D:$D,"기준(후)",$L:$L,"&gt;0")&lt;&gt;1,"",SUMIFS($L:$L,$C:$C,$C273,$D:$D,"기준(후)"))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IF(OR($D272&lt;&gt;"측정",$C272&lt;&gt;$C273,NOT(ISNUMBER(L273)),NOT(ISNUMBER(L272)),(IF(ISNUMBER(F273),F273,E273)-IF(ISNUMBER(F272),F272,E272))=0),"",(L273-L272)/((IF(ISNUMBER(F273),F273,E273)-IF(ISNUMBER(F272),F272,E272))/100))</f>
        <v/>
      </c>
      <c r="U273" s="28" t="n"/>
      <c r="V273" s="28" t="n"/>
      <c r="W273" s="31" t="n"/>
    </row>
    <row r="274">
      <c r="A274" s="25" t="inlineStr">
        <is>
          <t>S23</t>
        </is>
      </c>
      <c r="B274" s="25" t="inlineStr">
        <is>
          <t>덕산 신규점1</t>
        </is>
      </c>
      <c r="C274" s="25" t="inlineStr">
        <is>
          <t>S23-V</t>
        </is>
      </c>
      <c r="D274" s="25" t="inlineStr">
        <is>
          <t>측정</t>
        </is>
      </c>
      <c r="E274" s="48" t="n">
        <v>100</v>
      </c>
      <c r="F274" s="40" t="n"/>
      <c r="G274" s="28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IF(COUNTIFS($C:$C,$C274,$D:$D,"기준(전)",$L:$L,"&gt;0")&lt;&gt;1,"기준(전) 유효 1개 아님",IF(COUNTIFS($C:$C,$C274,$D:$D,"기준(후)",$L:$L,"&gt;0")&lt;&gt;1,"기준(후) 유효 1개 아님",IF(NOT(AND(ISNUMBER(N274),ISNUMBER(P274),ISNUMBER(H274))),"시각 결측",IF(P274&lt;=N274,"기준 시각 역전",IF(OR(H274&lt;N274,H274&gt;P274),"측정시각 구간 밖","OK")))))</f>
        <v/>
      </c>
      <c r="N274" s="45">
        <f>IF(COUNTIFS($C:$C,$C274,$D:$D,"기준(전)",$L:$L,"&gt;0")&lt;&gt;1,"",SUMIFS($H:$H,$C:$C,$C274,$D:$D,"기준(전)"))</f>
        <v/>
      </c>
      <c r="O274" s="30">
        <f>IF(COUNTIFS($C:$C,$C274,$D:$D,"기준(전)",$L:$L,"&gt;0")&lt;&gt;1,"",SUMIFS($L:$L,$C:$C,$C274,$D:$D,"기준(전)"))</f>
        <v/>
      </c>
      <c r="P274" s="45">
        <f>IF(COUNTIFS($C:$C,$C274,$D:$D,"기준(후)",$L:$L,"&gt;0")&lt;&gt;1,"",SUMIFS($H:$H,$C:$C,$C274,$D:$D,"기준(후)"))</f>
        <v/>
      </c>
      <c r="Q274" s="30">
        <f>IF(COUNTIFS($C:$C,$C274,$D:$D,"기준(후)",$L:$L,"&gt;0")&lt;&gt;1,"",SUMIFS($L:$L,$C:$C,$C274,$D:$D,"기준(후)"))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IF(OR($D273&lt;&gt;"측정",$C273&lt;&gt;$C274,NOT(ISNUMBER(L274)),NOT(ISNUMBER(L273)),(IF(ISNUMBER(F274),F274,E274)-IF(ISNUMBER(F273),F273,E273))=0),"",(L274-L273)/((IF(ISNUMBER(F274),F274,E274)-IF(ISNUMBER(F273),F273,E273))/100))</f>
        <v/>
      </c>
      <c r="U274" s="28" t="n"/>
      <c r="V274" s="28" t="n"/>
      <c r="W274" s="31" t="n"/>
    </row>
    <row r="275">
      <c r="A275" s="25" t="inlineStr">
        <is>
          <t>S23</t>
        </is>
      </c>
      <c r="B275" s="25" t="inlineStr">
        <is>
          <t>덕산 신규점1</t>
        </is>
      </c>
      <c r="C275" s="25" t="inlineStr">
        <is>
          <t>S23-V</t>
        </is>
      </c>
      <c r="D275" s="25" t="inlineStr">
        <is>
          <t>측정</t>
        </is>
      </c>
      <c r="E275" s="48" t="n">
        <v>120</v>
      </c>
      <c r="F275" s="40" t="n"/>
      <c r="G275" s="28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IF(COUNTIFS($C:$C,$C275,$D:$D,"기준(전)",$L:$L,"&gt;0")&lt;&gt;1,"기준(전) 유효 1개 아님",IF(COUNTIFS($C:$C,$C275,$D:$D,"기준(후)",$L:$L,"&gt;0")&lt;&gt;1,"기준(후) 유효 1개 아님",IF(NOT(AND(ISNUMBER(N275),ISNUMBER(P275),ISNUMBER(H275))),"시각 결측",IF(P275&lt;=N275,"기준 시각 역전",IF(OR(H275&lt;N275,H275&gt;P275),"측정시각 구간 밖","OK")))))</f>
        <v/>
      </c>
      <c r="N275" s="45">
        <f>IF(COUNTIFS($C:$C,$C275,$D:$D,"기준(전)",$L:$L,"&gt;0")&lt;&gt;1,"",SUMIFS($H:$H,$C:$C,$C275,$D:$D,"기준(전)"))</f>
        <v/>
      </c>
      <c r="O275" s="30">
        <f>IF(COUNTIFS($C:$C,$C275,$D:$D,"기준(전)",$L:$L,"&gt;0")&lt;&gt;1,"",SUMIFS($L:$L,$C:$C,$C275,$D:$D,"기준(전)"))</f>
        <v/>
      </c>
      <c r="P275" s="45">
        <f>IF(COUNTIFS($C:$C,$C275,$D:$D,"기준(후)",$L:$L,"&gt;0")&lt;&gt;1,"",SUMIFS($H:$H,$C:$C,$C275,$D:$D,"기준(후)"))</f>
        <v/>
      </c>
      <c r="Q275" s="30">
        <f>IF(COUNTIFS($C:$C,$C275,$D:$D,"기준(후)",$L:$L,"&gt;0")&lt;&gt;1,"",SUMIFS($L:$L,$C:$C,$C275,$D:$D,"기준(후)"))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IF(OR($D274&lt;&gt;"측정",$C274&lt;&gt;$C275,NOT(ISNUMBER(L275)),NOT(ISNUMBER(L274)),(IF(ISNUMBER(F275),F275,E275)-IF(ISNUMBER(F274),F274,E274))=0),"",(L275-L274)/((IF(ISNUMBER(F275),F275,E275)-IF(ISNUMBER(F274),F274,E274))/100))</f>
        <v/>
      </c>
      <c r="U275" s="28" t="n"/>
      <c r="V275" s="28" t="n"/>
      <c r="W275" s="31" t="n"/>
    </row>
    <row r="276">
      <c r="A276" s="25" t="inlineStr">
        <is>
          <t>S23</t>
        </is>
      </c>
      <c r="B276" s="25" t="inlineStr">
        <is>
          <t>덕산 신규점1</t>
        </is>
      </c>
      <c r="C276" s="25" t="inlineStr">
        <is>
          <t>S23-V</t>
        </is>
      </c>
      <c r="D276" s="25" t="inlineStr">
        <is>
          <t>측정</t>
        </is>
      </c>
      <c r="E276" s="48" t="n">
        <v>140</v>
      </c>
      <c r="F276" s="40" t="n"/>
      <c r="G276" s="28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IF(COUNTIFS($C:$C,$C276,$D:$D,"기준(전)",$L:$L,"&gt;0")&lt;&gt;1,"기준(전) 유효 1개 아님",IF(COUNTIFS($C:$C,$C276,$D:$D,"기준(후)",$L:$L,"&gt;0")&lt;&gt;1,"기준(후) 유효 1개 아님",IF(NOT(AND(ISNUMBER(N276),ISNUMBER(P276),ISNUMBER(H276))),"시각 결측",IF(P276&lt;=N276,"기준 시각 역전",IF(OR(H276&lt;N276,H276&gt;P276),"측정시각 구간 밖","OK")))))</f>
        <v/>
      </c>
      <c r="N276" s="45">
        <f>IF(COUNTIFS($C:$C,$C276,$D:$D,"기준(전)",$L:$L,"&gt;0")&lt;&gt;1,"",SUMIFS($H:$H,$C:$C,$C276,$D:$D,"기준(전)"))</f>
        <v/>
      </c>
      <c r="O276" s="30">
        <f>IF(COUNTIFS($C:$C,$C276,$D:$D,"기준(전)",$L:$L,"&gt;0")&lt;&gt;1,"",SUMIFS($L:$L,$C:$C,$C276,$D:$D,"기준(전)"))</f>
        <v/>
      </c>
      <c r="P276" s="45">
        <f>IF(COUNTIFS($C:$C,$C276,$D:$D,"기준(후)",$L:$L,"&gt;0")&lt;&gt;1,"",SUMIFS($H:$H,$C:$C,$C276,$D:$D,"기준(후)"))</f>
        <v/>
      </c>
      <c r="Q276" s="30">
        <f>IF(COUNTIFS($C:$C,$C276,$D:$D,"기준(후)",$L:$L,"&gt;0")&lt;&gt;1,"",SUMIFS($L:$L,$C:$C,$C276,$D:$D,"기준(후)"))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IF(OR($D275&lt;&gt;"측정",$C275&lt;&gt;$C276,NOT(ISNUMBER(L276)),NOT(ISNUMBER(L275)),(IF(ISNUMBER(F276),F276,E276)-IF(ISNUMBER(F275),F275,E275))=0),"",(L276-L275)/((IF(ISNUMBER(F276),F276,E276)-IF(ISNUMBER(F275),F275,E275))/100))</f>
        <v/>
      </c>
      <c r="U276" s="28" t="n"/>
      <c r="V276" s="28" t="n"/>
      <c r="W276" s="31" t="n"/>
    </row>
    <row r="277">
      <c r="A277" s="25" t="inlineStr">
        <is>
          <t>S23</t>
        </is>
      </c>
      <c r="B277" s="25" t="inlineStr">
        <is>
          <t>덕산 신규점1</t>
        </is>
      </c>
      <c r="C277" s="25" t="inlineStr">
        <is>
          <t>S23-V</t>
        </is>
      </c>
      <c r="D277" s="25" t="inlineStr">
        <is>
          <t>측정</t>
        </is>
      </c>
      <c r="E277" s="48" t="n">
        <v>160</v>
      </c>
      <c r="F277" s="40" t="n"/>
      <c r="G277" s="28" t="n"/>
      <c r="H277" s="42" t="n"/>
      <c r="I277" s="40" t="n"/>
      <c r="J277" s="40" t="n"/>
      <c r="K277" s="40" t="n"/>
      <c r="L277" s="30">
        <f>IF(COUNT(I277:K277)=0,"",MEDIAN(I277:K277))</f>
        <v/>
      </c>
      <c r="M277" s="25">
        <f>IF(COUNTIFS($C:$C,$C277,$D:$D,"기준(전)",$L:$L,"&gt;0")&lt;&gt;1,"기준(전) 유효 1개 아님",IF(COUNTIFS($C:$C,$C277,$D:$D,"기준(후)",$L:$L,"&gt;0")&lt;&gt;1,"기준(후) 유효 1개 아님",IF(NOT(AND(ISNUMBER(N277),ISNUMBER(P277),ISNUMBER(H277))),"시각 결측",IF(P277&lt;=N277,"기준 시각 역전",IF(OR(H277&lt;N277,H277&gt;P277),"측정시각 구간 밖","OK")))))</f>
        <v/>
      </c>
      <c r="N277" s="45">
        <f>IF(COUNTIFS($C:$C,$C277,$D:$D,"기준(전)",$L:$L,"&gt;0")&lt;&gt;1,"",SUMIFS($H:$H,$C:$C,$C277,$D:$D,"기준(전)"))</f>
        <v/>
      </c>
      <c r="O277" s="30">
        <f>IF(COUNTIFS($C:$C,$C277,$D:$D,"기준(전)",$L:$L,"&gt;0")&lt;&gt;1,"",SUMIFS($L:$L,$C:$C,$C277,$D:$D,"기준(전)"))</f>
        <v/>
      </c>
      <c r="P277" s="45">
        <f>IF(COUNTIFS($C:$C,$C277,$D:$D,"기준(후)",$L:$L,"&gt;0")&lt;&gt;1,"",SUMIFS($H:$H,$C:$C,$C277,$D:$D,"기준(후)"))</f>
        <v/>
      </c>
      <c r="Q277" s="30">
        <f>IF(COUNTIFS($C:$C,$C277,$D:$D,"기준(후)",$L:$L,"&gt;0")&lt;&gt;1,"",SUMIFS($L:$L,$C:$C,$C277,$D:$D,"기준(후)"))</f>
        <v/>
      </c>
      <c r="R277" s="30">
        <f>IF(M277&lt;&gt;"OK","",O277+(Q277-O277)*(H277-N277)/(P277-N277))</f>
        <v/>
      </c>
      <c r="S277" s="30">
        <f>IF(OR(M277&lt;&gt;"OK",NOT(ISNUMBER(L277))),"",L277-R277)</f>
        <v/>
      </c>
      <c r="T277" s="46">
        <f>IF(OR($D276&lt;&gt;"측정",$C276&lt;&gt;$C277,NOT(ISNUMBER(L277)),NOT(ISNUMBER(L276)),(IF(ISNUMBER(F277),F277,E277)-IF(ISNUMBER(F276),F276,E276))=0),"",(L277-L276)/((IF(ISNUMBER(F277),F277,E277)-IF(ISNUMBER(F276),F276,E276))/100))</f>
        <v/>
      </c>
      <c r="U277" s="28" t="n"/>
      <c r="V277" s="28" t="n"/>
      <c r="W277" s="31" t="n"/>
    </row>
    <row r="278">
      <c r="A278" s="25" t="inlineStr">
        <is>
          <t>S23</t>
        </is>
      </c>
      <c r="B278" s="25" t="inlineStr">
        <is>
          <t>덕산 신규점1</t>
        </is>
      </c>
      <c r="C278" s="25" t="inlineStr">
        <is>
          <t>S23-V</t>
        </is>
      </c>
      <c r="D278" s="25" t="inlineStr">
        <is>
          <t>측정</t>
        </is>
      </c>
      <c r="E278" s="48" t="n">
        <v>180</v>
      </c>
      <c r="F278" s="40" t="n"/>
      <c r="G278" s="28" t="n"/>
      <c r="H278" s="42" t="n"/>
      <c r="I278" s="40" t="n"/>
      <c r="J278" s="40" t="n"/>
      <c r="K278" s="40" t="n"/>
      <c r="L278" s="30">
        <f>IF(COUNT(I278:K278)=0,"",MEDIAN(I278:K278))</f>
        <v/>
      </c>
      <c r="M278" s="25">
        <f>IF(COUNTIFS($C:$C,$C278,$D:$D,"기준(전)",$L:$L,"&gt;0")&lt;&gt;1,"기준(전) 유효 1개 아님",IF(COUNTIFS($C:$C,$C278,$D:$D,"기준(후)",$L:$L,"&gt;0")&lt;&gt;1,"기준(후) 유효 1개 아님",IF(NOT(AND(ISNUMBER(N278),ISNUMBER(P278),ISNUMBER(H278))),"시각 결측",IF(P278&lt;=N278,"기준 시각 역전",IF(OR(H278&lt;N278,H278&gt;P278),"측정시각 구간 밖","OK")))))</f>
        <v/>
      </c>
      <c r="N278" s="45">
        <f>IF(COUNTIFS($C:$C,$C278,$D:$D,"기준(전)",$L:$L,"&gt;0")&lt;&gt;1,"",SUMIFS($H:$H,$C:$C,$C278,$D:$D,"기준(전)"))</f>
        <v/>
      </c>
      <c r="O278" s="30">
        <f>IF(COUNTIFS($C:$C,$C278,$D:$D,"기준(전)",$L:$L,"&gt;0")&lt;&gt;1,"",SUMIFS($L:$L,$C:$C,$C278,$D:$D,"기준(전)"))</f>
        <v/>
      </c>
      <c r="P278" s="45">
        <f>IF(COUNTIFS($C:$C,$C278,$D:$D,"기준(후)",$L:$L,"&gt;0")&lt;&gt;1,"",SUMIFS($H:$H,$C:$C,$C278,$D:$D,"기준(후)"))</f>
        <v/>
      </c>
      <c r="Q278" s="30">
        <f>IF(COUNTIFS($C:$C,$C278,$D:$D,"기준(후)",$L:$L,"&gt;0")&lt;&gt;1,"",SUMIFS($L:$L,$C:$C,$C278,$D:$D,"기준(후)"))</f>
        <v/>
      </c>
      <c r="R278" s="30">
        <f>IF(M278&lt;&gt;"OK","",O278+(Q278-O278)*(H278-N278)/(P278-N278))</f>
        <v/>
      </c>
      <c r="S278" s="30">
        <f>IF(OR(M278&lt;&gt;"OK",NOT(ISNUMBER(L278))),"",L278-R278)</f>
        <v/>
      </c>
      <c r="T278" s="46">
        <f>IF(OR($D277&lt;&gt;"측정",$C277&lt;&gt;$C278,NOT(ISNUMBER(L278)),NOT(ISNUMBER(L277)),(IF(ISNUMBER(F278),F278,E278)-IF(ISNUMBER(F277),F277,E277))=0),"",(L278-L277)/((IF(ISNUMBER(F278),F278,E278)-IF(ISNUMBER(F277),F277,E277))/100))</f>
        <v/>
      </c>
      <c r="U278" s="28" t="n"/>
      <c r="V278" s="28" t="n"/>
      <c r="W278" s="31" t="n"/>
    </row>
    <row r="279">
      <c r="A279" s="25" t="inlineStr">
        <is>
          <t>S23</t>
        </is>
      </c>
      <c r="B279" s="25" t="inlineStr">
        <is>
          <t>덕산 신규점1</t>
        </is>
      </c>
      <c r="C279" s="25" t="inlineStr">
        <is>
          <t>S23-V</t>
        </is>
      </c>
      <c r="D279" s="25" t="inlineStr">
        <is>
          <t>측정</t>
        </is>
      </c>
      <c r="E279" s="48" t="n">
        <v>200</v>
      </c>
      <c r="F279" s="40" t="n"/>
      <c r="G279" s="28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IF(COUNTIFS($C:$C,$C279,$D:$D,"기준(전)",$L:$L,"&gt;0")&lt;&gt;1,"기준(전) 유효 1개 아님",IF(COUNTIFS($C:$C,$C279,$D:$D,"기준(후)",$L:$L,"&gt;0")&lt;&gt;1,"기준(후) 유효 1개 아님",IF(NOT(AND(ISNUMBER(N279),ISNUMBER(P279),ISNUMBER(H279))),"시각 결측",IF(P279&lt;=N279,"기준 시각 역전",IF(OR(H279&lt;N279,H279&gt;P279),"측정시각 구간 밖","OK")))))</f>
        <v/>
      </c>
      <c r="N279" s="45">
        <f>IF(COUNTIFS($C:$C,$C279,$D:$D,"기준(전)",$L:$L,"&gt;0")&lt;&gt;1,"",SUMIFS($H:$H,$C:$C,$C279,$D:$D,"기준(전)"))</f>
        <v/>
      </c>
      <c r="O279" s="30">
        <f>IF(COUNTIFS($C:$C,$C279,$D:$D,"기준(전)",$L:$L,"&gt;0")&lt;&gt;1,"",SUMIFS($L:$L,$C:$C,$C279,$D:$D,"기준(전)"))</f>
        <v/>
      </c>
      <c r="P279" s="45">
        <f>IF(COUNTIFS($C:$C,$C279,$D:$D,"기준(후)",$L:$L,"&gt;0")&lt;&gt;1,"",SUMIFS($H:$H,$C:$C,$C279,$D:$D,"기준(후)"))</f>
        <v/>
      </c>
      <c r="Q279" s="30">
        <f>IF(COUNTIFS($C:$C,$C279,$D:$D,"기준(후)",$L:$L,"&gt;0")&lt;&gt;1,"",SUMIFS($L:$L,$C:$C,$C279,$D:$D,"기준(후)"))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IF(OR($D278&lt;&gt;"측정",$C278&lt;&gt;$C279,NOT(ISNUMBER(L279)),NOT(ISNUMBER(L278)),(IF(ISNUMBER(F279),F279,E279)-IF(ISNUMBER(F278),F278,E278))=0),"",(L279-L278)/((IF(ISNUMBER(F279),F279,E279)-IF(ISNUMBER(F278),F278,E278))/100))</f>
        <v/>
      </c>
      <c r="U279" s="28" t="n"/>
      <c r="V279" s="28" t="n"/>
      <c r="W279" s="31" t="n"/>
    </row>
    <row r="280">
      <c r="A280" s="43" t="inlineStr">
        <is>
          <t>S23</t>
        </is>
      </c>
      <c r="B280" s="43" t="inlineStr">
        <is>
          <t>덕산 신규점1</t>
        </is>
      </c>
      <c r="C280" s="43" t="inlineStr">
        <is>
          <t>S23-V</t>
        </is>
      </c>
      <c r="D280" s="43" t="inlineStr">
        <is>
          <t>기준(후)</t>
        </is>
      </c>
      <c r="E280" s="47" t="n"/>
      <c r="F280" s="40" t="n"/>
      <c r="G280" s="28" t="n"/>
      <c r="H280" s="42" t="n"/>
      <c r="I280" s="40" t="n"/>
      <c r="J280" s="40" t="n"/>
      <c r="K280" s="40" t="n"/>
      <c r="L280" s="30">
        <f>IF(COUNT(I280:K280)=0,"",MEDIAN(I280:K280))</f>
        <v/>
      </c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28" t="n"/>
      <c r="V280" s="28" t="n"/>
      <c r="W280" s="31" t="n"/>
    </row>
    <row r="281">
      <c r="A281" s="43" t="inlineStr">
        <is>
          <t>S24</t>
        </is>
      </c>
      <c r="B281" s="43" t="inlineStr">
        <is>
          <t>회천 신규점2</t>
        </is>
      </c>
      <c r="C281" s="43" t="inlineStr">
        <is>
          <t>S24-V</t>
        </is>
      </c>
      <c r="D281" s="43" t="inlineStr">
        <is>
          <t>기준(전)</t>
        </is>
      </c>
      <c r="E281" s="47" t="n"/>
      <c r="F281" s="40" t="n"/>
      <c r="G281" s="28" t="n"/>
      <c r="H281" s="42" t="n"/>
      <c r="I281" s="40" t="n"/>
      <c r="J281" s="40" t="n"/>
      <c r="K281" s="40" t="n"/>
      <c r="L281" s="30">
        <f>IF(COUNT(I281:K281)=0,"",MEDIAN(I281:K281))</f>
        <v/>
      </c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28" t="n"/>
      <c r="V281" s="28" t="n"/>
      <c r="W281" s="31" t="n"/>
    </row>
    <row r="282">
      <c r="A282" s="25" t="inlineStr">
        <is>
          <t>S24</t>
        </is>
      </c>
      <c r="B282" s="25" t="inlineStr">
        <is>
          <t>회천 신규점2</t>
        </is>
      </c>
      <c r="C282" s="25" t="inlineStr">
        <is>
          <t>S24-V</t>
        </is>
      </c>
      <c r="D282" s="25" t="inlineStr">
        <is>
          <t>측정</t>
        </is>
      </c>
      <c r="E282" s="48" t="n">
        <v>20</v>
      </c>
      <c r="F282" s="40" t="n"/>
      <c r="G282" s="28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IF(COUNTIFS($C:$C,$C282,$D:$D,"기준(전)",$L:$L,"&gt;0")&lt;&gt;1,"기준(전) 유효 1개 아님",IF(COUNTIFS($C:$C,$C282,$D:$D,"기준(후)",$L:$L,"&gt;0")&lt;&gt;1,"기준(후) 유효 1개 아님",IF(NOT(AND(ISNUMBER(N282),ISNUMBER(P282),ISNUMBER(H282))),"시각 결측",IF(P282&lt;=N282,"기준 시각 역전",IF(OR(H282&lt;N282,H282&gt;P282),"측정시각 구간 밖","OK")))))</f>
        <v/>
      </c>
      <c r="N282" s="45">
        <f>IF(COUNTIFS($C:$C,$C282,$D:$D,"기준(전)",$L:$L,"&gt;0")&lt;&gt;1,"",SUMIFS($H:$H,$C:$C,$C282,$D:$D,"기준(전)"))</f>
        <v/>
      </c>
      <c r="O282" s="30">
        <f>IF(COUNTIFS($C:$C,$C282,$D:$D,"기준(전)",$L:$L,"&gt;0")&lt;&gt;1,"",SUMIFS($L:$L,$C:$C,$C282,$D:$D,"기준(전)"))</f>
        <v/>
      </c>
      <c r="P282" s="45">
        <f>IF(COUNTIFS($C:$C,$C282,$D:$D,"기준(후)",$L:$L,"&gt;0")&lt;&gt;1,"",SUMIFS($H:$H,$C:$C,$C282,$D:$D,"기준(후)"))</f>
        <v/>
      </c>
      <c r="Q282" s="30">
        <f>IF(COUNTIFS($C:$C,$C282,$D:$D,"기준(후)",$L:$L,"&gt;0")&lt;&gt;1,"",SUMIFS($L:$L,$C:$C,$C282,$D:$D,"기준(후)"))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IF(OR($D281&lt;&gt;"측정",$C281&lt;&gt;$C282,NOT(ISNUMBER(L282)),NOT(ISNUMBER(L281)),(IF(ISNUMBER(F282),F282,E282)-IF(ISNUMBER(F281),F281,E281))=0),"",(L282-L281)/((IF(ISNUMBER(F282),F282,E282)-IF(ISNUMBER(F281),F281,E281))/100))</f>
        <v/>
      </c>
      <c r="U282" s="28" t="n"/>
      <c r="V282" s="28" t="n"/>
      <c r="W282" s="31" t="n"/>
    </row>
    <row r="283">
      <c r="A283" s="25" t="inlineStr">
        <is>
          <t>S24</t>
        </is>
      </c>
      <c r="B283" s="25" t="inlineStr">
        <is>
          <t>회천 신규점2</t>
        </is>
      </c>
      <c r="C283" s="25" t="inlineStr">
        <is>
          <t>S24-V</t>
        </is>
      </c>
      <c r="D283" s="25" t="inlineStr">
        <is>
          <t>측정</t>
        </is>
      </c>
      <c r="E283" s="48" t="n">
        <v>40</v>
      </c>
      <c r="F283" s="40" t="n"/>
      <c r="G283" s="28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IF(COUNTIFS($C:$C,$C283,$D:$D,"기준(전)",$L:$L,"&gt;0")&lt;&gt;1,"기준(전) 유효 1개 아님",IF(COUNTIFS($C:$C,$C283,$D:$D,"기준(후)",$L:$L,"&gt;0")&lt;&gt;1,"기준(후) 유효 1개 아님",IF(NOT(AND(ISNUMBER(N283),ISNUMBER(P283),ISNUMBER(H283))),"시각 결측",IF(P283&lt;=N283,"기준 시각 역전",IF(OR(H283&lt;N283,H283&gt;P283),"측정시각 구간 밖","OK")))))</f>
        <v/>
      </c>
      <c r="N283" s="45">
        <f>IF(COUNTIFS($C:$C,$C283,$D:$D,"기준(전)",$L:$L,"&gt;0")&lt;&gt;1,"",SUMIFS($H:$H,$C:$C,$C283,$D:$D,"기준(전)"))</f>
        <v/>
      </c>
      <c r="O283" s="30">
        <f>IF(COUNTIFS($C:$C,$C283,$D:$D,"기준(전)",$L:$L,"&gt;0")&lt;&gt;1,"",SUMIFS($L:$L,$C:$C,$C283,$D:$D,"기준(전)"))</f>
        <v/>
      </c>
      <c r="P283" s="45">
        <f>IF(COUNTIFS($C:$C,$C283,$D:$D,"기준(후)",$L:$L,"&gt;0")&lt;&gt;1,"",SUMIFS($H:$H,$C:$C,$C283,$D:$D,"기준(후)"))</f>
        <v/>
      </c>
      <c r="Q283" s="30">
        <f>IF(COUNTIFS($C:$C,$C283,$D:$D,"기준(후)",$L:$L,"&gt;0")&lt;&gt;1,"",SUMIFS($L:$L,$C:$C,$C283,$D:$D,"기준(후)"))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IF(OR($D282&lt;&gt;"측정",$C282&lt;&gt;$C283,NOT(ISNUMBER(L283)),NOT(ISNUMBER(L282)),(IF(ISNUMBER(F283),F283,E283)-IF(ISNUMBER(F282),F282,E282))=0),"",(L283-L282)/((IF(ISNUMBER(F283),F283,E283)-IF(ISNUMBER(F282),F282,E282))/100))</f>
        <v/>
      </c>
      <c r="U283" s="28" t="n"/>
      <c r="V283" s="28" t="n"/>
      <c r="W283" s="31" t="n"/>
    </row>
    <row r="284">
      <c r="A284" s="25" t="inlineStr">
        <is>
          <t>S24</t>
        </is>
      </c>
      <c r="B284" s="25" t="inlineStr">
        <is>
          <t>회천 신규점2</t>
        </is>
      </c>
      <c r="C284" s="25" t="inlineStr">
        <is>
          <t>S24-V</t>
        </is>
      </c>
      <c r="D284" s="25" t="inlineStr">
        <is>
          <t>측정</t>
        </is>
      </c>
      <c r="E284" s="48" t="n">
        <v>60</v>
      </c>
      <c r="F284" s="40" t="n"/>
      <c r="G284" s="28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IF(COUNTIFS($C:$C,$C284,$D:$D,"기준(전)",$L:$L,"&gt;0")&lt;&gt;1,"기준(전) 유효 1개 아님",IF(COUNTIFS($C:$C,$C284,$D:$D,"기준(후)",$L:$L,"&gt;0")&lt;&gt;1,"기준(후) 유효 1개 아님",IF(NOT(AND(ISNUMBER(N284),ISNUMBER(P284),ISNUMBER(H284))),"시각 결측",IF(P284&lt;=N284,"기준 시각 역전",IF(OR(H284&lt;N284,H284&gt;P284),"측정시각 구간 밖","OK")))))</f>
        <v/>
      </c>
      <c r="N284" s="45">
        <f>IF(COUNTIFS($C:$C,$C284,$D:$D,"기준(전)",$L:$L,"&gt;0")&lt;&gt;1,"",SUMIFS($H:$H,$C:$C,$C284,$D:$D,"기준(전)"))</f>
        <v/>
      </c>
      <c r="O284" s="30">
        <f>IF(COUNTIFS($C:$C,$C284,$D:$D,"기준(전)",$L:$L,"&gt;0")&lt;&gt;1,"",SUMIFS($L:$L,$C:$C,$C284,$D:$D,"기준(전)"))</f>
        <v/>
      </c>
      <c r="P284" s="45">
        <f>IF(COUNTIFS($C:$C,$C284,$D:$D,"기준(후)",$L:$L,"&gt;0")&lt;&gt;1,"",SUMIFS($H:$H,$C:$C,$C284,$D:$D,"기준(후)"))</f>
        <v/>
      </c>
      <c r="Q284" s="30">
        <f>IF(COUNTIFS($C:$C,$C284,$D:$D,"기준(후)",$L:$L,"&gt;0")&lt;&gt;1,"",SUMIFS($L:$L,$C:$C,$C284,$D:$D,"기준(후)"))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IF(OR($D283&lt;&gt;"측정",$C283&lt;&gt;$C284,NOT(ISNUMBER(L284)),NOT(ISNUMBER(L283)),(IF(ISNUMBER(F284),F284,E284)-IF(ISNUMBER(F283),F283,E283))=0),"",(L284-L283)/((IF(ISNUMBER(F284),F284,E284)-IF(ISNUMBER(F283),F283,E283))/100))</f>
        <v/>
      </c>
      <c r="U284" s="28" t="n"/>
      <c r="V284" s="28" t="n"/>
      <c r="W284" s="31" t="n"/>
    </row>
    <row r="285">
      <c r="A285" s="25" t="inlineStr">
        <is>
          <t>S24</t>
        </is>
      </c>
      <c r="B285" s="25" t="inlineStr">
        <is>
          <t>회천 신규점2</t>
        </is>
      </c>
      <c r="C285" s="25" t="inlineStr">
        <is>
          <t>S24-V</t>
        </is>
      </c>
      <c r="D285" s="25" t="inlineStr">
        <is>
          <t>측정</t>
        </is>
      </c>
      <c r="E285" s="48" t="n">
        <v>80</v>
      </c>
      <c r="F285" s="40" t="n"/>
      <c r="G285" s="28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IF(COUNTIFS($C:$C,$C285,$D:$D,"기준(전)",$L:$L,"&gt;0")&lt;&gt;1,"기준(전) 유효 1개 아님",IF(COUNTIFS($C:$C,$C285,$D:$D,"기준(후)",$L:$L,"&gt;0")&lt;&gt;1,"기준(후) 유효 1개 아님",IF(NOT(AND(ISNUMBER(N285),ISNUMBER(P285),ISNUMBER(H285))),"시각 결측",IF(P285&lt;=N285,"기준 시각 역전",IF(OR(H285&lt;N285,H285&gt;P285),"측정시각 구간 밖","OK")))))</f>
        <v/>
      </c>
      <c r="N285" s="45">
        <f>IF(COUNTIFS($C:$C,$C285,$D:$D,"기준(전)",$L:$L,"&gt;0")&lt;&gt;1,"",SUMIFS($H:$H,$C:$C,$C285,$D:$D,"기준(전)"))</f>
        <v/>
      </c>
      <c r="O285" s="30">
        <f>IF(COUNTIFS($C:$C,$C285,$D:$D,"기준(전)",$L:$L,"&gt;0")&lt;&gt;1,"",SUMIFS($L:$L,$C:$C,$C285,$D:$D,"기준(전)"))</f>
        <v/>
      </c>
      <c r="P285" s="45">
        <f>IF(COUNTIFS($C:$C,$C285,$D:$D,"기준(후)",$L:$L,"&gt;0")&lt;&gt;1,"",SUMIFS($H:$H,$C:$C,$C285,$D:$D,"기준(후)"))</f>
        <v/>
      </c>
      <c r="Q285" s="30">
        <f>IF(COUNTIFS($C:$C,$C285,$D:$D,"기준(후)",$L:$L,"&gt;0")&lt;&gt;1,"",SUMIFS($L:$L,$C:$C,$C285,$D:$D,"기준(후)"))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IF(OR($D284&lt;&gt;"측정",$C284&lt;&gt;$C285,NOT(ISNUMBER(L285)),NOT(ISNUMBER(L284)),(IF(ISNUMBER(F285),F285,E285)-IF(ISNUMBER(F284),F284,E284))=0),"",(L285-L284)/((IF(ISNUMBER(F285),F285,E285)-IF(ISNUMBER(F284),F284,E284))/100))</f>
        <v/>
      </c>
      <c r="U285" s="28" t="n"/>
      <c r="V285" s="28" t="n"/>
      <c r="W285" s="31" t="n"/>
    </row>
    <row r="286">
      <c r="A286" s="25" t="inlineStr">
        <is>
          <t>S24</t>
        </is>
      </c>
      <c r="B286" s="25" t="inlineStr">
        <is>
          <t>회천 신규점2</t>
        </is>
      </c>
      <c r="C286" s="25" t="inlineStr">
        <is>
          <t>S24-V</t>
        </is>
      </c>
      <c r="D286" s="25" t="inlineStr">
        <is>
          <t>측정</t>
        </is>
      </c>
      <c r="E286" s="48" t="n">
        <v>100</v>
      </c>
      <c r="F286" s="40" t="n"/>
      <c r="G286" s="28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IF(COUNTIFS($C:$C,$C286,$D:$D,"기준(전)",$L:$L,"&gt;0")&lt;&gt;1,"기준(전) 유효 1개 아님",IF(COUNTIFS($C:$C,$C286,$D:$D,"기준(후)",$L:$L,"&gt;0")&lt;&gt;1,"기준(후) 유효 1개 아님",IF(NOT(AND(ISNUMBER(N286),ISNUMBER(P286),ISNUMBER(H286))),"시각 결측",IF(P286&lt;=N286,"기준 시각 역전",IF(OR(H286&lt;N286,H286&gt;P286),"측정시각 구간 밖","OK")))))</f>
        <v/>
      </c>
      <c r="N286" s="45">
        <f>IF(COUNTIFS($C:$C,$C286,$D:$D,"기준(전)",$L:$L,"&gt;0")&lt;&gt;1,"",SUMIFS($H:$H,$C:$C,$C286,$D:$D,"기준(전)"))</f>
        <v/>
      </c>
      <c r="O286" s="30">
        <f>IF(COUNTIFS($C:$C,$C286,$D:$D,"기준(전)",$L:$L,"&gt;0")&lt;&gt;1,"",SUMIFS($L:$L,$C:$C,$C286,$D:$D,"기준(전)"))</f>
        <v/>
      </c>
      <c r="P286" s="45">
        <f>IF(COUNTIFS($C:$C,$C286,$D:$D,"기준(후)",$L:$L,"&gt;0")&lt;&gt;1,"",SUMIFS($H:$H,$C:$C,$C286,$D:$D,"기준(후)"))</f>
        <v/>
      </c>
      <c r="Q286" s="30">
        <f>IF(COUNTIFS($C:$C,$C286,$D:$D,"기준(후)",$L:$L,"&gt;0")&lt;&gt;1,"",SUMIFS($L:$L,$C:$C,$C286,$D:$D,"기준(후)"))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IF(OR($D285&lt;&gt;"측정",$C285&lt;&gt;$C286,NOT(ISNUMBER(L286)),NOT(ISNUMBER(L285)),(IF(ISNUMBER(F286),F286,E286)-IF(ISNUMBER(F285),F285,E285))=0),"",(L286-L285)/((IF(ISNUMBER(F286),F286,E286)-IF(ISNUMBER(F285),F285,E285))/100))</f>
        <v/>
      </c>
      <c r="U286" s="28" t="n"/>
      <c r="V286" s="28" t="n"/>
      <c r="W286" s="31" t="n"/>
    </row>
    <row r="287">
      <c r="A287" s="25" t="inlineStr">
        <is>
          <t>S24</t>
        </is>
      </c>
      <c r="B287" s="25" t="inlineStr">
        <is>
          <t>회천 신규점2</t>
        </is>
      </c>
      <c r="C287" s="25" t="inlineStr">
        <is>
          <t>S24-V</t>
        </is>
      </c>
      <c r="D287" s="25" t="inlineStr">
        <is>
          <t>측정</t>
        </is>
      </c>
      <c r="E287" s="48" t="n">
        <v>120</v>
      </c>
      <c r="F287" s="40" t="n"/>
      <c r="G287" s="28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IF(COUNTIFS($C:$C,$C287,$D:$D,"기준(전)",$L:$L,"&gt;0")&lt;&gt;1,"기준(전) 유효 1개 아님",IF(COUNTIFS($C:$C,$C287,$D:$D,"기준(후)",$L:$L,"&gt;0")&lt;&gt;1,"기준(후) 유효 1개 아님",IF(NOT(AND(ISNUMBER(N287),ISNUMBER(P287),ISNUMBER(H287))),"시각 결측",IF(P287&lt;=N287,"기준 시각 역전",IF(OR(H287&lt;N287,H287&gt;P287),"측정시각 구간 밖","OK")))))</f>
        <v/>
      </c>
      <c r="N287" s="45">
        <f>IF(COUNTIFS($C:$C,$C287,$D:$D,"기준(전)",$L:$L,"&gt;0")&lt;&gt;1,"",SUMIFS($H:$H,$C:$C,$C287,$D:$D,"기준(전)"))</f>
        <v/>
      </c>
      <c r="O287" s="30">
        <f>IF(COUNTIFS($C:$C,$C287,$D:$D,"기준(전)",$L:$L,"&gt;0")&lt;&gt;1,"",SUMIFS($L:$L,$C:$C,$C287,$D:$D,"기준(전)"))</f>
        <v/>
      </c>
      <c r="P287" s="45">
        <f>IF(COUNTIFS($C:$C,$C287,$D:$D,"기준(후)",$L:$L,"&gt;0")&lt;&gt;1,"",SUMIFS($H:$H,$C:$C,$C287,$D:$D,"기준(후)"))</f>
        <v/>
      </c>
      <c r="Q287" s="30">
        <f>IF(COUNTIFS($C:$C,$C287,$D:$D,"기준(후)",$L:$L,"&gt;0")&lt;&gt;1,"",SUMIFS($L:$L,$C:$C,$C287,$D:$D,"기준(후)"))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IF(OR($D286&lt;&gt;"측정",$C286&lt;&gt;$C287,NOT(ISNUMBER(L287)),NOT(ISNUMBER(L286)),(IF(ISNUMBER(F287),F287,E287)-IF(ISNUMBER(F286),F286,E286))=0),"",(L287-L286)/((IF(ISNUMBER(F287),F287,E287)-IF(ISNUMBER(F286),F286,E286))/100))</f>
        <v/>
      </c>
      <c r="U287" s="28" t="n"/>
      <c r="V287" s="28" t="n"/>
      <c r="W287" s="31" t="n"/>
    </row>
    <row r="288">
      <c r="A288" s="25" t="inlineStr">
        <is>
          <t>S24</t>
        </is>
      </c>
      <c r="B288" s="25" t="inlineStr">
        <is>
          <t>회천 신규점2</t>
        </is>
      </c>
      <c r="C288" s="25" t="inlineStr">
        <is>
          <t>S24-V</t>
        </is>
      </c>
      <c r="D288" s="25" t="inlineStr">
        <is>
          <t>측정</t>
        </is>
      </c>
      <c r="E288" s="48" t="n">
        <v>140</v>
      </c>
      <c r="F288" s="40" t="n"/>
      <c r="G288" s="28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IF(COUNTIFS($C:$C,$C288,$D:$D,"기준(전)",$L:$L,"&gt;0")&lt;&gt;1,"기준(전) 유효 1개 아님",IF(COUNTIFS($C:$C,$C288,$D:$D,"기준(후)",$L:$L,"&gt;0")&lt;&gt;1,"기준(후) 유효 1개 아님",IF(NOT(AND(ISNUMBER(N288),ISNUMBER(P288),ISNUMBER(H288))),"시각 결측",IF(P288&lt;=N288,"기준 시각 역전",IF(OR(H288&lt;N288,H288&gt;P288),"측정시각 구간 밖","OK")))))</f>
        <v/>
      </c>
      <c r="N288" s="45">
        <f>IF(COUNTIFS($C:$C,$C288,$D:$D,"기준(전)",$L:$L,"&gt;0")&lt;&gt;1,"",SUMIFS($H:$H,$C:$C,$C288,$D:$D,"기준(전)"))</f>
        <v/>
      </c>
      <c r="O288" s="30">
        <f>IF(COUNTIFS($C:$C,$C288,$D:$D,"기준(전)",$L:$L,"&gt;0")&lt;&gt;1,"",SUMIFS($L:$L,$C:$C,$C288,$D:$D,"기준(전)"))</f>
        <v/>
      </c>
      <c r="P288" s="45">
        <f>IF(COUNTIFS($C:$C,$C288,$D:$D,"기준(후)",$L:$L,"&gt;0")&lt;&gt;1,"",SUMIFS($H:$H,$C:$C,$C288,$D:$D,"기준(후)"))</f>
        <v/>
      </c>
      <c r="Q288" s="30">
        <f>IF(COUNTIFS($C:$C,$C288,$D:$D,"기준(후)",$L:$L,"&gt;0")&lt;&gt;1,"",SUMIFS($L:$L,$C:$C,$C288,$D:$D,"기준(후)"))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IF(OR($D287&lt;&gt;"측정",$C287&lt;&gt;$C288,NOT(ISNUMBER(L288)),NOT(ISNUMBER(L287)),(IF(ISNUMBER(F288),F288,E288)-IF(ISNUMBER(F287),F287,E287))=0),"",(L288-L287)/((IF(ISNUMBER(F288),F288,E288)-IF(ISNUMBER(F287),F287,E287))/100))</f>
        <v/>
      </c>
      <c r="U288" s="28" t="n"/>
      <c r="V288" s="28" t="n"/>
      <c r="W288" s="31" t="n"/>
    </row>
    <row r="289">
      <c r="A289" s="25" t="inlineStr">
        <is>
          <t>S24</t>
        </is>
      </c>
      <c r="B289" s="25" t="inlineStr">
        <is>
          <t>회천 신규점2</t>
        </is>
      </c>
      <c r="C289" s="25" t="inlineStr">
        <is>
          <t>S24-V</t>
        </is>
      </c>
      <c r="D289" s="25" t="inlineStr">
        <is>
          <t>측정</t>
        </is>
      </c>
      <c r="E289" s="48" t="n">
        <v>160</v>
      </c>
      <c r="F289" s="40" t="n"/>
      <c r="G289" s="28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IF(COUNTIFS($C:$C,$C289,$D:$D,"기준(전)",$L:$L,"&gt;0")&lt;&gt;1,"기준(전) 유효 1개 아님",IF(COUNTIFS($C:$C,$C289,$D:$D,"기준(후)",$L:$L,"&gt;0")&lt;&gt;1,"기준(후) 유효 1개 아님",IF(NOT(AND(ISNUMBER(N289),ISNUMBER(P289),ISNUMBER(H289))),"시각 결측",IF(P289&lt;=N289,"기준 시각 역전",IF(OR(H289&lt;N289,H289&gt;P289),"측정시각 구간 밖","OK")))))</f>
        <v/>
      </c>
      <c r="N289" s="45">
        <f>IF(COUNTIFS($C:$C,$C289,$D:$D,"기준(전)",$L:$L,"&gt;0")&lt;&gt;1,"",SUMIFS($H:$H,$C:$C,$C289,$D:$D,"기준(전)"))</f>
        <v/>
      </c>
      <c r="O289" s="30">
        <f>IF(COUNTIFS($C:$C,$C289,$D:$D,"기준(전)",$L:$L,"&gt;0")&lt;&gt;1,"",SUMIFS($L:$L,$C:$C,$C289,$D:$D,"기준(전)"))</f>
        <v/>
      </c>
      <c r="P289" s="45">
        <f>IF(COUNTIFS($C:$C,$C289,$D:$D,"기준(후)",$L:$L,"&gt;0")&lt;&gt;1,"",SUMIFS($H:$H,$C:$C,$C289,$D:$D,"기준(후)"))</f>
        <v/>
      </c>
      <c r="Q289" s="30">
        <f>IF(COUNTIFS($C:$C,$C289,$D:$D,"기준(후)",$L:$L,"&gt;0")&lt;&gt;1,"",SUMIFS($L:$L,$C:$C,$C289,$D:$D,"기준(후)"))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IF(OR($D288&lt;&gt;"측정",$C288&lt;&gt;$C289,NOT(ISNUMBER(L289)),NOT(ISNUMBER(L288)),(IF(ISNUMBER(F289),F289,E289)-IF(ISNUMBER(F288),F288,E288))=0),"",(L289-L288)/((IF(ISNUMBER(F289),F289,E289)-IF(ISNUMBER(F288),F288,E288))/100))</f>
        <v/>
      </c>
      <c r="U289" s="28" t="n"/>
      <c r="V289" s="28" t="n"/>
      <c r="W289" s="31" t="n"/>
    </row>
    <row r="290">
      <c r="A290" s="25" t="inlineStr">
        <is>
          <t>S24</t>
        </is>
      </c>
      <c r="B290" s="25" t="inlineStr">
        <is>
          <t>회천 신규점2</t>
        </is>
      </c>
      <c r="C290" s="25" t="inlineStr">
        <is>
          <t>S24-V</t>
        </is>
      </c>
      <c r="D290" s="25" t="inlineStr">
        <is>
          <t>측정</t>
        </is>
      </c>
      <c r="E290" s="48" t="n">
        <v>180</v>
      </c>
      <c r="F290" s="40" t="n"/>
      <c r="G290" s="28" t="n"/>
      <c r="H290" s="42" t="n"/>
      <c r="I290" s="40" t="n"/>
      <c r="J290" s="40" t="n"/>
      <c r="K290" s="40" t="n"/>
      <c r="L290" s="30">
        <f>IF(COUNT(I290:K290)=0,"",MEDIAN(I290:K290))</f>
        <v/>
      </c>
      <c r="M290" s="25">
        <f>IF(COUNTIFS($C:$C,$C290,$D:$D,"기준(전)",$L:$L,"&gt;0")&lt;&gt;1,"기준(전) 유효 1개 아님",IF(COUNTIFS($C:$C,$C290,$D:$D,"기준(후)",$L:$L,"&gt;0")&lt;&gt;1,"기준(후) 유효 1개 아님",IF(NOT(AND(ISNUMBER(N290),ISNUMBER(P290),ISNUMBER(H290))),"시각 결측",IF(P290&lt;=N290,"기준 시각 역전",IF(OR(H290&lt;N290,H290&gt;P290),"측정시각 구간 밖","OK")))))</f>
        <v/>
      </c>
      <c r="N290" s="45">
        <f>IF(COUNTIFS($C:$C,$C290,$D:$D,"기준(전)",$L:$L,"&gt;0")&lt;&gt;1,"",SUMIFS($H:$H,$C:$C,$C290,$D:$D,"기준(전)"))</f>
        <v/>
      </c>
      <c r="O290" s="30">
        <f>IF(COUNTIFS($C:$C,$C290,$D:$D,"기준(전)",$L:$L,"&gt;0")&lt;&gt;1,"",SUMIFS($L:$L,$C:$C,$C290,$D:$D,"기준(전)"))</f>
        <v/>
      </c>
      <c r="P290" s="45">
        <f>IF(COUNTIFS($C:$C,$C290,$D:$D,"기준(후)",$L:$L,"&gt;0")&lt;&gt;1,"",SUMIFS($H:$H,$C:$C,$C290,$D:$D,"기준(후)"))</f>
        <v/>
      </c>
      <c r="Q290" s="30">
        <f>IF(COUNTIFS($C:$C,$C290,$D:$D,"기준(후)",$L:$L,"&gt;0")&lt;&gt;1,"",SUMIFS($L:$L,$C:$C,$C290,$D:$D,"기준(후)"))</f>
        <v/>
      </c>
      <c r="R290" s="30">
        <f>IF(M290&lt;&gt;"OK","",O290+(Q290-O290)*(H290-N290)/(P290-N290))</f>
        <v/>
      </c>
      <c r="S290" s="30">
        <f>IF(OR(M290&lt;&gt;"OK",NOT(ISNUMBER(L290))),"",L290-R290)</f>
        <v/>
      </c>
      <c r="T290" s="46">
        <f>IF(OR($D289&lt;&gt;"측정",$C289&lt;&gt;$C290,NOT(ISNUMBER(L290)),NOT(ISNUMBER(L289)),(IF(ISNUMBER(F290),F290,E290)-IF(ISNUMBER(F289),F289,E289))=0),"",(L290-L289)/((IF(ISNUMBER(F290),F290,E290)-IF(ISNUMBER(F289),F289,E289))/100))</f>
        <v/>
      </c>
      <c r="U290" s="28" t="n"/>
      <c r="V290" s="28" t="n"/>
      <c r="W290" s="31" t="n"/>
    </row>
    <row r="291">
      <c r="A291" s="25" t="inlineStr">
        <is>
          <t>S24</t>
        </is>
      </c>
      <c r="B291" s="25" t="inlineStr">
        <is>
          <t>회천 신규점2</t>
        </is>
      </c>
      <c r="C291" s="25" t="inlineStr">
        <is>
          <t>S24-V</t>
        </is>
      </c>
      <c r="D291" s="25" t="inlineStr">
        <is>
          <t>측정</t>
        </is>
      </c>
      <c r="E291" s="48" t="n">
        <v>200</v>
      </c>
      <c r="F291" s="40" t="n"/>
      <c r="G291" s="28" t="n"/>
      <c r="H291" s="42" t="n"/>
      <c r="I291" s="40" t="n"/>
      <c r="J291" s="40" t="n"/>
      <c r="K291" s="40" t="n"/>
      <c r="L291" s="30">
        <f>IF(COUNT(I291:K291)=0,"",MEDIAN(I291:K291))</f>
        <v/>
      </c>
      <c r="M291" s="25">
        <f>IF(COUNTIFS($C:$C,$C291,$D:$D,"기준(전)",$L:$L,"&gt;0")&lt;&gt;1,"기준(전) 유효 1개 아님",IF(COUNTIFS($C:$C,$C291,$D:$D,"기준(후)",$L:$L,"&gt;0")&lt;&gt;1,"기준(후) 유효 1개 아님",IF(NOT(AND(ISNUMBER(N291),ISNUMBER(P291),ISNUMBER(H291))),"시각 결측",IF(P291&lt;=N291,"기준 시각 역전",IF(OR(H291&lt;N291,H291&gt;P291),"측정시각 구간 밖","OK")))))</f>
        <v/>
      </c>
      <c r="N291" s="45">
        <f>IF(COUNTIFS($C:$C,$C291,$D:$D,"기준(전)",$L:$L,"&gt;0")&lt;&gt;1,"",SUMIFS($H:$H,$C:$C,$C291,$D:$D,"기준(전)"))</f>
        <v/>
      </c>
      <c r="O291" s="30">
        <f>IF(COUNTIFS($C:$C,$C291,$D:$D,"기준(전)",$L:$L,"&gt;0")&lt;&gt;1,"",SUMIFS($L:$L,$C:$C,$C291,$D:$D,"기준(전)"))</f>
        <v/>
      </c>
      <c r="P291" s="45">
        <f>IF(COUNTIFS($C:$C,$C291,$D:$D,"기준(후)",$L:$L,"&gt;0")&lt;&gt;1,"",SUMIFS($H:$H,$C:$C,$C291,$D:$D,"기준(후)"))</f>
        <v/>
      </c>
      <c r="Q291" s="30">
        <f>IF(COUNTIFS($C:$C,$C291,$D:$D,"기준(후)",$L:$L,"&gt;0")&lt;&gt;1,"",SUMIFS($L:$L,$C:$C,$C291,$D:$D,"기준(후)"))</f>
        <v/>
      </c>
      <c r="R291" s="30">
        <f>IF(M291&lt;&gt;"OK","",O291+(Q291-O291)*(H291-N291)/(P291-N291))</f>
        <v/>
      </c>
      <c r="S291" s="30">
        <f>IF(OR(M291&lt;&gt;"OK",NOT(ISNUMBER(L291))),"",L291-R291)</f>
        <v/>
      </c>
      <c r="T291" s="46">
        <f>IF(OR($D290&lt;&gt;"측정",$C290&lt;&gt;$C291,NOT(ISNUMBER(L291)),NOT(ISNUMBER(L290)),(IF(ISNUMBER(F291),F291,E291)-IF(ISNUMBER(F290),F290,E290))=0),"",(L291-L290)/((IF(ISNUMBER(F291),F291,E291)-IF(ISNUMBER(F290),F290,E290))/100))</f>
        <v/>
      </c>
      <c r="U291" s="28" t="n"/>
      <c r="V291" s="28" t="n"/>
      <c r="W291" s="31" t="n"/>
    </row>
    <row r="292">
      <c r="A292" s="43" t="inlineStr">
        <is>
          <t>S24</t>
        </is>
      </c>
      <c r="B292" s="43" t="inlineStr">
        <is>
          <t>회천 신규점2</t>
        </is>
      </c>
      <c r="C292" s="43" t="inlineStr">
        <is>
          <t>S24-V</t>
        </is>
      </c>
      <c r="D292" s="43" t="inlineStr">
        <is>
          <t>기준(후)</t>
        </is>
      </c>
      <c r="E292" s="47" t="n"/>
      <c r="F292" s="40" t="n"/>
      <c r="G292" s="28" t="n"/>
      <c r="H292" s="42" t="n"/>
      <c r="I292" s="40" t="n"/>
      <c r="J292" s="40" t="n"/>
      <c r="K292" s="40" t="n"/>
      <c r="L292" s="30">
        <f>IF(COUNT(I292:K292)=0,"",MEDIAN(I292:K292))</f>
        <v/>
      </c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28" t="n"/>
      <c r="V292" s="28" t="n"/>
      <c r="W292" s="31" t="n"/>
    </row>
    <row r="293">
      <c r="A293" s="43" t="inlineStr">
        <is>
          <t>S25</t>
        </is>
      </c>
      <c r="B293" s="43" t="inlineStr">
        <is>
          <t>관리 신규점3</t>
        </is>
      </c>
      <c r="C293" s="43" t="inlineStr">
        <is>
          <t>S25-V</t>
        </is>
      </c>
      <c r="D293" s="43" t="inlineStr">
        <is>
          <t>기준(전)</t>
        </is>
      </c>
      <c r="E293" s="47" t="n"/>
      <c r="F293" s="40" t="n"/>
      <c r="G293" s="28" t="n"/>
      <c r="H293" s="42" t="n"/>
      <c r="I293" s="40" t="n"/>
      <c r="J293" s="40" t="n"/>
      <c r="K293" s="40" t="n"/>
      <c r="L293" s="30">
        <f>IF(COUNT(I293:K293)=0,"",MEDIAN(I293:K293))</f>
        <v/>
      </c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28" t="n"/>
      <c r="V293" s="28" t="n"/>
      <c r="W293" s="31" t="n"/>
    </row>
    <row r="294">
      <c r="A294" s="25" t="inlineStr">
        <is>
          <t>S25</t>
        </is>
      </c>
      <c r="B294" s="25" t="inlineStr">
        <is>
          <t>관리 신규점3</t>
        </is>
      </c>
      <c r="C294" s="25" t="inlineStr">
        <is>
          <t>S25-V</t>
        </is>
      </c>
      <c r="D294" s="25" t="inlineStr">
        <is>
          <t>측정</t>
        </is>
      </c>
      <c r="E294" s="48" t="n">
        <v>20</v>
      </c>
      <c r="F294" s="40" t="n"/>
      <c r="G294" s="28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IF(COUNTIFS($C:$C,$C294,$D:$D,"기준(전)",$L:$L,"&gt;0")&lt;&gt;1,"기준(전) 유효 1개 아님",IF(COUNTIFS($C:$C,$C294,$D:$D,"기준(후)",$L:$L,"&gt;0")&lt;&gt;1,"기준(후) 유효 1개 아님",IF(NOT(AND(ISNUMBER(N294),ISNUMBER(P294),ISNUMBER(H294))),"시각 결측",IF(P294&lt;=N294,"기준 시각 역전",IF(OR(H294&lt;N294,H294&gt;P294),"측정시각 구간 밖","OK")))))</f>
        <v/>
      </c>
      <c r="N294" s="45">
        <f>IF(COUNTIFS($C:$C,$C294,$D:$D,"기준(전)",$L:$L,"&gt;0")&lt;&gt;1,"",SUMIFS($H:$H,$C:$C,$C294,$D:$D,"기준(전)"))</f>
        <v/>
      </c>
      <c r="O294" s="30">
        <f>IF(COUNTIFS($C:$C,$C294,$D:$D,"기준(전)",$L:$L,"&gt;0")&lt;&gt;1,"",SUMIFS($L:$L,$C:$C,$C294,$D:$D,"기준(전)"))</f>
        <v/>
      </c>
      <c r="P294" s="45">
        <f>IF(COUNTIFS($C:$C,$C294,$D:$D,"기준(후)",$L:$L,"&gt;0")&lt;&gt;1,"",SUMIFS($H:$H,$C:$C,$C294,$D:$D,"기준(후)"))</f>
        <v/>
      </c>
      <c r="Q294" s="30">
        <f>IF(COUNTIFS($C:$C,$C294,$D:$D,"기준(후)",$L:$L,"&gt;0")&lt;&gt;1,"",SUMIFS($L:$L,$C:$C,$C294,$D:$D,"기준(후)"))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IF(OR($D293&lt;&gt;"측정",$C293&lt;&gt;$C294,NOT(ISNUMBER(L294)),NOT(ISNUMBER(L293)),(IF(ISNUMBER(F294),F294,E294)-IF(ISNUMBER(F293),F293,E293))=0),"",(L294-L293)/((IF(ISNUMBER(F294),F294,E294)-IF(ISNUMBER(F293),F293,E293))/100))</f>
        <v/>
      </c>
      <c r="U294" s="28" t="n"/>
      <c r="V294" s="28" t="n"/>
      <c r="W294" s="31" t="n"/>
    </row>
    <row r="295">
      <c r="A295" s="25" t="inlineStr">
        <is>
          <t>S25</t>
        </is>
      </c>
      <c r="B295" s="25" t="inlineStr">
        <is>
          <t>관리 신규점3</t>
        </is>
      </c>
      <c r="C295" s="25" t="inlineStr">
        <is>
          <t>S25-V</t>
        </is>
      </c>
      <c r="D295" s="25" t="inlineStr">
        <is>
          <t>측정</t>
        </is>
      </c>
      <c r="E295" s="48" t="n">
        <v>40</v>
      </c>
      <c r="F295" s="40" t="n"/>
      <c r="G295" s="28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IF(COUNTIFS($C:$C,$C295,$D:$D,"기준(전)",$L:$L,"&gt;0")&lt;&gt;1,"기준(전) 유효 1개 아님",IF(COUNTIFS($C:$C,$C295,$D:$D,"기준(후)",$L:$L,"&gt;0")&lt;&gt;1,"기준(후) 유효 1개 아님",IF(NOT(AND(ISNUMBER(N295),ISNUMBER(P295),ISNUMBER(H295))),"시각 결측",IF(P295&lt;=N295,"기준 시각 역전",IF(OR(H295&lt;N295,H295&gt;P295),"측정시각 구간 밖","OK")))))</f>
        <v/>
      </c>
      <c r="N295" s="45">
        <f>IF(COUNTIFS($C:$C,$C295,$D:$D,"기준(전)",$L:$L,"&gt;0")&lt;&gt;1,"",SUMIFS($H:$H,$C:$C,$C295,$D:$D,"기준(전)"))</f>
        <v/>
      </c>
      <c r="O295" s="30">
        <f>IF(COUNTIFS($C:$C,$C295,$D:$D,"기준(전)",$L:$L,"&gt;0")&lt;&gt;1,"",SUMIFS($L:$L,$C:$C,$C295,$D:$D,"기준(전)"))</f>
        <v/>
      </c>
      <c r="P295" s="45">
        <f>IF(COUNTIFS($C:$C,$C295,$D:$D,"기준(후)",$L:$L,"&gt;0")&lt;&gt;1,"",SUMIFS($H:$H,$C:$C,$C295,$D:$D,"기준(후)"))</f>
        <v/>
      </c>
      <c r="Q295" s="30">
        <f>IF(COUNTIFS($C:$C,$C295,$D:$D,"기준(후)",$L:$L,"&gt;0")&lt;&gt;1,"",SUMIFS($L:$L,$C:$C,$C295,$D:$D,"기준(후)"))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IF(OR($D294&lt;&gt;"측정",$C294&lt;&gt;$C295,NOT(ISNUMBER(L295)),NOT(ISNUMBER(L294)),(IF(ISNUMBER(F295),F295,E295)-IF(ISNUMBER(F294),F294,E294))=0),"",(L295-L294)/((IF(ISNUMBER(F295),F295,E295)-IF(ISNUMBER(F294),F294,E294))/100))</f>
        <v/>
      </c>
      <c r="U295" s="28" t="n"/>
      <c r="V295" s="28" t="n"/>
      <c r="W295" s="31" t="n"/>
    </row>
    <row r="296">
      <c r="A296" s="25" t="inlineStr">
        <is>
          <t>S25</t>
        </is>
      </c>
      <c r="B296" s="25" t="inlineStr">
        <is>
          <t>관리 신규점3</t>
        </is>
      </c>
      <c r="C296" s="25" t="inlineStr">
        <is>
          <t>S25-V</t>
        </is>
      </c>
      <c r="D296" s="25" t="inlineStr">
        <is>
          <t>측정</t>
        </is>
      </c>
      <c r="E296" s="48" t="n">
        <v>60</v>
      </c>
      <c r="F296" s="40" t="n"/>
      <c r="G296" s="28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IF(COUNTIFS($C:$C,$C296,$D:$D,"기준(전)",$L:$L,"&gt;0")&lt;&gt;1,"기준(전) 유효 1개 아님",IF(COUNTIFS($C:$C,$C296,$D:$D,"기준(후)",$L:$L,"&gt;0")&lt;&gt;1,"기준(후) 유효 1개 아님",IF(NOT(AND(ISNUMBER(N296),ISNUMBER(P296),ISNUMBER(H296))),"시각 결측",IF(P296&lt;=N296,"기준 시각 역전",IF(OR(H296&lt;N296,H296&gt;P296),"측정시각 구간 밖","OK")))))</f>
        <v/>
      </c>
      <c r="N296" s="45">
        <f>IF(COUNTIFS($C:$C,$C296,$D:$D,"기준(전)",$L:$L,"&gt;0")&lt;&gt;1,"",SUMIFS($H:$H,$C:$C,$C296,$D:$D,"기준(전)"))</f>
        <v/>
      </c>
      <c r="O296" s="30">
        <f>IF(COUNTIFS($C:$C,$C296,$D:$D,"기준(전)",$L:$L,"&gt;0")&lt;&gt;1,"",SUMIFS($L:$L,$C:$C,$C296,$D:$D,"기준(전)"))</f>
        <v/>
      </c>
      <c r="P296" s="45">
        <f>IF(COUNTIFS($C:$C,$C296,$D:$D,"기준(후)",$L:$L,"&gt;0")&lt;&gt;1,"",SUMIFS($H:$H,$C:$C,$C296,$D:$D,"기준(후)"))</f>
        <v/>
      </c>
      <c r="Q296" s="30">
        <f>IF(COUNTIFS($C:$C,$C296,$D:$D,"기준(후)",$L:$L,"&gt;0")&lt;&gt;1,"",SUMIFS($L:$L,$C:$C,$C296,$D:$D,"기준(후)"))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IF(OR($D295&lt;&gt;"측정",$C295&lt;&gt;$C296,NOT(ISNUMBER(L296)),NOT(ISNUMBER(L295)),(IF(ISNUMBER(F296),F296,E296)-IF(ISNUMBER(F295),F295,E295))=0),"",(L296-L295)/((IF(ISNUMBER(F296),F296,E296)-IF(ISNUMBER(F295),F295,E295))/100))</f>
        <v/>
      </c>
      <c r="U296" s="28" t="n"/>
      <c r="V296" s="28" t="n"/>
      <c r="W296" s="31" t="n"/>
    </row>
    <row r="297">
      <c r="A297" s="25" t="inlineStr">
        <is>
          <t>S25</t>
        </is>
      </c>
      <c r="B297" s="25" t="inlineStr">
        <is>
          <t>관리 신규점3</t>
        </is>
      </c>
      <c r="C297" s="25" t="inlineStr">
        <is>
          <t>S25-V</t>
        </is>
      </c>
      <c r="D297" s="25" t="inlineStr">
        <is>
          <t>측정</t>
        </is>
      </c>
      <c r="E297" s="48" t="n">
        <v>80</v>
      </c>
      <c r="F297" s="40" t="n"/>
      <c r="G297" s="28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IF(COUNTIFS($C:$C,$C297,$D:$D,"기준(전)",$L:$L,"&gt;0")&lt;&gt;1,"기준(전) 유효 1개 아님",IF(COUNTIFS($C:$C,$C297,$D:$D,"기준(후)",$L:$L,"&gt;0")&lt;&gt;1,"기준(후) 유효 1개 아님",IF(NOT(AND(ISNUMBER(N297),ISNUMBER(P297),ISNUMBER(H297))),"시각 결측",IF(P297&lt;=N297,"기준 시각 역전",IF(OR(H297&lt;N297,H297&gt;P297),"측정시각 구간 밖","OK")))))</f>
        <v/>
      </c>
      <c r="N297" s="45">
        <f>IF(COUNTIFS($C:$C,$C297,$D:$D,"기준(전)",$L:$L,"&gt;0")&lt;&gt;1,"",SUMIFS($H:$H,$C:$C,$C297,$D:$D,"기준(전)"))</f>
        <v/>
      </c>
      <c r="O297" s="30">
        <f>IF(COUNTIFS($C:$C,$C297,$D:$D,"기준(전)",$L:$L,"&gt;0")&lt;&gt;1,"",SUMIFS($L:$L,$C:$C,$C297,$D:$D,"기준(전)"))</f>
        <v/>
      </c>
      <c r="P297" s="45">
        <f>IF(COUNTIFS($C:$C,$C297,$D:$D,"기준(후)",$L:$L,"&gt;0")&lt;&gt;1,"",SUMIFS($H:$H,$C:$C,$C297,$D:$D,"기준(후)"))</f>
        <v/>
      </c>
      <c r="Q297" s="30">
        <f>IF(COUNTIFS($C:$C,$C297,$D:$D,"기준(후)",$L:$L,"&gt;0")&lt;&gt;1,"",SUMIFS($L:$L,$C:$C,$C297,$D:$D,"기준(후)"))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IF(OR($D296&lt;&gt;"측정",$C296&lt;&gt;$C297,NOT(ISNUMBER(L297)),NOT(ISNUMBER(L296)),(IF(ISNUMBER(F297),F297,E297)-IF(ISNUMBER(F296),F296,E296))=0),"",(L297-L296)/((IF(ISNUMBER(F297),F297,E297)-IF(ISNUMBER(F296),F296,E296))/100))</f>
        <v/>
      </c>
      <c r="U297" s="28" t="n"/>
      <c r="V297" s="28" t="n"/>
      <c r="W297" s="31" t="n"/>
    </row>
    <row r="298">
      <c r="A298" s="25" t="inlineStr">
        <is>
          <t>S25</t>
        </is>
      </c>
      <c r="B298" s="25" t="inlineStr">
        <is>
          <t>관리 신규점3</t>
        </is>
      </c>
      <c r="C298" s="25" t="inlineStr">
        <is>
          <t>S25-V</t>
        </is>
      </c>
      <c r="D298" s="25" t="inlineStr">
        <is>
          <t>측정</t>
        </is>
      </c>
      <c r="E298" s="48" t="n">
        <v>100</v>
      </c>
      <c r="F298" s="40" t="n"/>
      <c r="G298" s="28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IF(COUNTIFS($C:$C,$C298,$D:$D,"기준(전)",$L:$L,"&gt;0")&lt;&gt;1,"기준(전) 유효 1개 아님",IF(COUNTIFS($C:$C,$C298,$D:$D,"기준(후)",$L:$L,"&gt;0")&lt;&gt;1,"기준(후) 유효 1개 아님",IF(NOT(AND(ISNUMBER(N298),ISNUMBER(P298),ISNUMBER(H298))),"시각 결측",IF(P298&lt;=N298,"기준 시각 역전",IF(OR(H298&lt;N298,H298&gt;P298),"측정시각 구간 밖","OK")))))</f>
        <v/>
      </c>
      <c r="N298" s="45">
        <f>IF(COUNTIFS($C:$C,$C298,$D:$D,"기준(전)",$L:$L,"&gt;0")&lt;&gt;1,"",SUMIFS($H:$H,$C:$C,$C298,$D:$D,"기준(전)"))</f>
        <v/>
      </c>
      <c r="O298" s="30">
        <f>IF(COUNTIFS($C:$C,$C298,$D:$D,"기준(전)",$L:$L,"&gt;0")&lt;&gt;1,"",SUMIFS($L:$L,$C:$C,$C298,$D:$D,"기준(전)"))</f>
        <v/>
      </c>
      <c r="P298" s="45">
        <f>IF(COUNTIFS($C:$C,$C298,$D:$D,"기준(후)",$L:$L,"&gt;0")&lt;&gt;1,"",SUMIFS($H:$H,$C:$C,$C298,$D:$D,"기준(후)"))</f>
        <v/>
      </c>
      <c r="Q298" s="30">
        <f>IF(COUNTIFS($C:$C,$C298,$D:$D,"기준(후)",$L:$L,"&gt;0")&lt;&gt;1,"",SUMIFS($L:$L,$C:$C,$C298,$D:$D,"기준(후)"))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IF(OR($D297&lt;&gt;"측정",$C297&lt;&gt;$C298,NOT(ISNUMBER(L298)),NOT(ISNUMBER(L297)),(IF(ISNUMBER(F298),F298,E298)-IF(ISNUMBER(F297),F297,E297))=0),"",(L298-L297)/((IF(ISNUMBER(F298),F298,E298)-IF(ISNUMBER(F297),F297,E297))/100))</f>
        <v/>
      </c>
      <c r="U298" s="28" t="n"/>
      <c r="V298" s="28" t="n"/>
      <c r="W298" s="31" t="n"/>
    </row>
    <row r="299">
      <c r="A299" s="25" t="inlineStr">
        <is>
          <t>S25</t>
        </is>
      </c>
      <c r="B299" s="25" t="inlineStr">
        <is>
          <t>관리 신규점3</t>
        </is>
      </c>
      <c r="C299" s="25" t="inlineStr">
        <is>
          <t>S25-V</t>
        </is>
      </c>
      <c r="D299" s="25" t="inlineStr">
        <is>
          <t>측정</t>
        </is>
      </c>
      <c r="E299" s="48" t="n">
        <v>120</v>
      </c>
      <c r="F299" s="40" t="n"/>
      <c r="G299" s="28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IF(COUNTIFS($C:$C,$C299,$D:$D,"기준(전)",$L:$L,"&gt;0")&lt;&gt;1,"기준(전) 유효 1개 아님",IF(COUNTIFS($C:$C,$C299,$D:$D,"기준(후)",$L:$L,"&gt;0")&lt;&gt;1,"기준(후) 유효 1개 아님",IF(NOT(AND(ISNUMBER(N299),ISNUMBER(P299),ISNUMBER(H299))),"시각 결측",IF(P299&lt;=N299,"기준 시각 역전",IF(OR(H299&lt;N299,H299&gt;P299),"측정시각 구간 밖","OK")))))</f>
        <v/>
      </c>
      <c r="N299" s="45">
        <f>IF(COUNTIFS($C:$C,$C299,$D:$D,"기준(전)",$L:$L,"&gt;0")&lt;&gt;1,"",SUMIFS($H:$H,$C:$C,$C299,$D:$D,"기준(전)"))</f>
        <v/>
      </c>
      <c r="O299" s="30">
        <f>IF(COUNTIFS($C:$C,$C299,$D:$D,"기준(전)",$L:$L,"&gt;0")&lt;&gt;1,"",SUMIFS($L:$L,$C:$C,$C299,$D:$D,"기준(전)"))</f>
        <v/>
      </c>
      <c r="P299" s="45">
        <f>IF(COUNTIFS($C:$C,$C299,$D:$D,"기준(후)",$L:$L,"&gt;0")&lt;&gt;1,"",SUMIFS($H:$H,$C:$C,$C299,$D:$D,"기준(후)"))</f>
        <v/>
      </c>
      <c r="Q299" s="30">
        <f>IF(COUNTIFS($C:$C,$C299,$D:$D,"기준(후)",$L:$L,"&gt;0")&lt;&gt;1,"",SUMIFS($L:$L,$C:$C,$C299,$D:$D,"기준(후)"))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IF(OR($D298&lt;&gt;"측정",$C298&lt;&gt;$C299,NOT(ISNUMBER(L299)),NOT(ISNUMBER(L298)),(IF(ISNUMBER(F299),F299,E299)-IF(ISNUMBER(F298),F298,E298))=0),"",(L299-L298)/((IF(ISNUMBER(F299),F299,E299)-IF(ISNUMBER(F298),F298,E298))/100))</f>
        <v/>
      </c>
      <c r="U299" s="28" t="n"/>
      <c r="V299" s="28" t="n"/>
      <c r="W299" s="31" t="n"/>
    </row>
    <row r="300">
      <c r="A300" s="25" t="inlineStr">
        <is>
          <t>S25</t>
        </is>
      </c>
      <c r="B300" s="25" t="inlineStr">
        <is>
          <t>관리 신규점3</t>
        </is>
      </c>
      <c r="C300" s="25" t="inlineStr">
        <is>
          <t>S25-V</t>
        </is>
      </c>
      <c r="D300" s="25" t="inlineStr">
        <is>
          <t>측정</t>
        </is>
      </c>
      <c r="E300" s="48" t="n">
        <v>140</v>
      </c>
      <c r="F300" s="40" t="n"/>
      <c r="G300" s="28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IF(COUNTIFS($C:$C,$C300,$D:$D,"기준(전)",$L:$L,"&gt;0")&lt;&gt;1,"기준(전) 유효 1개 아님",IF(COUNTIFS($C:$C,$C300,$D:$D,"기준(후)",$L:$L,"&gt;0")&lt;&gt;1,"기준(후) 유효 1개 아님",IF(NOT(AND(ISNUMBER(N300),ISNUMBER(P300),ISNUMBER(H300))),"시각 결측",IF(P300&lt;=N300,"기준 시각 역전",IF(OR(H300&lt;N300,H300&gt;P300),"측정시각 구간 밖","OK")))))</f>
        <v/>
      </c>
      <c r="N300" s="45">
        <f>IF(COUNTIFS($C:$C,$C300,$D:$D,"기준(전)",$L:$L,"&gt;0")&lt;&gt;1,"",SUMIFS($H:$H,$C:$C,$C300,$D:$D,"기준(전)"))</f>
        <v/>
      </c>
      <c r="O300" s="30">
        <f>IF(COUNTIFS($C:$C,$C300,$D:$D,"기준(전)",$L:$L,"&gt;0")&lt;&gt;1,"",SUMIFS($L:$L,$C:$C,$C300,$D:$D,"기준(전)"))</f>
        <v/>
      </c>
      <c r="P300" s="45">
        <f>IF(COUNTIFS($C:$C,$C300,$D:$D,"기준(후)",$L:$L,"&gt;0")&lt;&gt;1,"",SUMIFS($H:$H,$C:$C,$C300,$D:$D,"기준(후)"))</f>
        <v/>
      </c>
      <c r="Q300" s="30">
        <f>IF(COUNTIFS($C:$C,$C300,$D:$D,"기준(후)",$L:$L,"&gt;0")&lt;&gt;1,"",SUMIFS($L:$L,$C:$C,$C300,$D:$D,"기준(후)"))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IF(OR($D299&lt;&gt;"측정",$C299&lt;&gt;$C300,NOT(ISNUMBER(L300)),NOT(ISNUMBER(L299)),(IF(ISNUMBER(F300),F300,E300)-IF(ISNUMBER(F299),F299,E299))=0),"",(L300-L299)/((IF(ISNUMBER(F300),F300,E300)-IF(ISNUMBER(F299),F299,E299))/100))</f>
        <v/>
      </c>
      <c r="U300" s="28" t="n"/>
      <c r="V300" s="28" t="n"/>
      <c r="W300" s="31" t="n"/>
    </row>
    <row r="301">
      <c r="A301" s="25" t="inlineStr">
        <is>
          <t>S25</t>
        </is>
      </c>
      <c r="B301" s="25" t="inlineStr">
        <is>
          <t>관리 신규점3</t>
        </is>
      </c>
      <c r="C301" s="25" t="inlineStr">
        <is>
          <t>S25-V</t>
        </is>
      </c>
      <c r="D301" s="25" t="inlineStr">
        <is>
          <t>측정</t>
        </is>
      </c>
      <c r="E301" s="48" t="n">
        <v>160</v>
      </c>
      <c r="F301" s="40" t="n"/>
      <c r="G301" s="28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IF(COUNTIFS($C:$C,$C301,$D:$D,"기준(전)",$L:$L,"&gt;0")&lt;&gt;1,"기준(전) 유효 1개 아님",IF(COUNTIFS($C:$C,$C301,$D:$D,"기준(후)",$L:$L,"&gt;0")&lt;&gt;1,"기준(후) 유효 1개 아님",IF(NOT(AND(ISNUMBER(N301),ISNUMBER(P301),ISNUMBER(H301))),"시각 결측",IF(P301&lt;=N301,"기준 시각 역전",IF(OR(H301&lt;N301,H301&gt;P301),"측정시각 구간 밖","OK")))))</f>
        <v/>
      </c>
      <c r="N301" s="45">
        <f>IF(COUNTIFS($C:$C,$C301,$D:$D,"기준(전)",$L:$L,"&gt;0")&lt;&gt;1,"",SUMIFS($H:$H,$C:$C,$C301,$D:$D,"기준(전)"))</f>
        <v/>
      </c>
      <c r="O301" s="30">
        <f>IF(COUNTIFS($C:$C,$C301,$D:$D,"기준(전)",$L:$L,"&gt;0")&lt;&gt;1,"",SUMIFS($L:$L,$C:$C,$C301,$D:$D,"기준(전)"))</f>
        <v/>
      </c>
      <c r="P301" s="45">
        <f>IF(COUNTIFS($C:$C,$C301,$D:$D,"기준(후)",$L:$L,"&gt;0")&lt;&gt;1,"",SUMIFS($H:$H,$C:$C,$C301,$D:$D,"기준(후)"))</f>
        <v/>
      </c>
      <c r="Q301" s="30">
        <f>IF(COUNTIFS($C:$C,$C301,$D:$D,"기준(후)",$L:$L,"&gt;0")&lt;&gt;1,"",SUMIFS($L:$L,$C:$C,$C301,$D:$D,"기준(후)"))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IF(OR($D300&lt;&gt;"측정",$C300&lt;&gt;$C301,NOT(ISNUMBER(L301)),NOT(ISNUMBER(L300)),(IF(ISNUMBER(F301),F301,E301)-IF(ISNUMBER(F300),F300,E300))=0),"",(L301-L300)/((IF(ISNUMBER(F301),F301,E301)-IF(ISNUMBER(F300),F300,E300))/100))</f>
        <v/>
      </c>
      <c r="U301" s="28" t="n"/>
      <c r="V301" s="28" t="n"/>
      <c r="W301" s="31" t="n"/>
    </row>
    <row r="302">
      <c r="A302" s="25" t="inlineStr">
        <is>
          <t>S25</t>
        </is>
      </c>
      <c r="B302" s="25" t="inlineStr">
        <is>
          <t>관리 신규점3</t>
        </is>
      </c>
      <c r="C302" s="25" t="inlineStr">
        <is>
          <t>S25-V</t>
        </is>
      </c>
      <c r="D302" s="25" t="inlineStr">
        <is>
          <t>측정</t>
        </is>
      </c>
      <c r="E302" s="48" t="n">
        <v>180</v>
      </c>
      <c r="F302" s="40" t="n"/>
      <c r="G302" s="28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IF(COUNTIFS($C:$C,$C302,$D:$D,"기준(전)",$L:$L,"&gt;0")&lt;&gt;1,"기준(전) 유효 1개 아님",IF(COUNTIFS($C:$C,$C302,$D:$D,"기준(후)",$L:$L,"&gt;0")&lt;&gt;1,"기준(후) 유효 1개 아님",IF(NOT(AND(ISNUMBER(N302),ISNUMBER(P302),ISNUMBER(H302))),"시각 결측",IF(P302&lt;=N302,"기준 시각 역전",IF(OR(H302&lt;N302,H302&gt;P302),"측정시각 구간 밖","OK")))))</f>
        <v/>
      </c>
      <c r="N302" s="45">
        <f>IF(COUNTIFS($C:$C,$C302,$D:$D,"기준(전)",$L:$L,"&gt;0")&lt;&gt;1,"",SUMIFS($H:$H,$C:$C,$C302,$D:$D,"기준(전)"))</f>
        <v/>
      </c>
      <c r="O302" s="30">
        <f>IF(COUNTIFS($C:$C,$C302,$D:$D,"기준(전)",$L:$L,"&gt;0")&lt;&gt;1,"",SUMIFS($L:$L,$C:$C,$C302,$D:$D,"기준(전)"))</f>
        <v/>
      </c>
      <c r="P302" s="45">
        <f>IF(COUNTIFS($C:$C,$C302,$D:$D,"기준(후)",$L:$L,"&gt;0")&lt;&gt;1,"",SUMIFS($H:$H,$C:$C,$C302,$D:$D,"기준(후)"))</f>
        <v/>
      </c>
      <c r="Q302" s="30">
        <f>IF(COUNTIFS($C:$C,$C302,$D:$D,"기준(후)",$L:$L,"&gt;0")&lt;&gt;1,"",SUMIFS($L:$L,$C:$C,$C302,$D:$D,"기준(후)"))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IF(OR($D301&lt;&gt;"측정",$C301&lt;&gt;$C302,NOT(ISNUMBER(L302)),NOT(ISNUMBER(L301)),(IF(ISNUMBER(F302),F302,E302)-IF(ISNUMBER(F301),F301,E301))=0),"",(L302-L301)/((IF(ISNUMBER(F302),F302,E302)-IF(ISNUMBER(F301),F301,E301))/100))</f>
        <v/>
      </c>
      <c r="U302" s="28" t="n"/>
      <c r="V302" s="28" t="n"/>
      <c r="W302" s="31" t="n"/>
    </row>
    <row r="303">
      <c r="A303" s="25" t="inlineStr">
        <is>
          <t>S25</t>
        </is>
      </c>
      <c r="B303" s="25" t="inlineStr">
        <is>
          <t>관리 신규점3</t>
        </is>
      </c>
      <c r="C303" s="25" t="inlineStr">
        <is>
          <t>S25-V</t>
        </is>
      </c>
      <c r="D303" s="25" t="inlineStr">
        <is>
          <t>측정</t>
        </is>
      </c>
      <c r="E303" s="48" t="n">
        <v>200</v>
      </c>
      <c r="F303" s="40" t="n"/>
      <c r="G303" s="28" t="n"/>
      <c r="H303" s="42" t="n"/>
      <c r="I303" s="40" t="n"/>
      <c r="J303" s="40" t="n"/>
      <c r="K303" s="40" t="n"/>
      <c r="L303" s="30">
        <f>IF(COUNT(I303:K303)=0,"",MEDIAN(I303:K303))</f>
        <v/>
      </c>
      <c r="M303" s="25">
        <f>IF(COUNTIFS($C:$C,$C303,$D:$D,"기준(전)",$L:$L,"&gt;0")&lt;&gt;1,"기준(전) 유효 1개 아님",IF(COUNTIFS($C:$C,$C303,$D:$D,"기준(후)",$L:$L,"&gt;0")&lt;&gt;1,"기준(후) 유효 1개 아님",IF(NOT(AND(ISNUMBER(N303),ISNUMBER(P303),ISNUMBER(H303))),"시각 결측",IF(P303&lt;=N303,"기준 시각 역전",IF(OR(H303&lt;N303,H303&gt;P303),"측정시각 구간 밖","OK")))))</f>
        <v/>
      </c>
      <c r="N303" s="45">
        <f>IF(COUNTIFS($C:$C,$C303,$D:$D,"기준(전)",$L:$L,"&gt;0")&lt;&gt;1,"",SUMIFS($H:$H,$C:$C,$C303,$D:$D,"기준(전)"))</f>
        <v/>
      </c>
      <c r="O303" s="30">
        <f>IF(COUNTIFS($C:$C,$C303,$D:$D,"기준(전)",$L:$L,"&gt;0")&lt;&gt;1,"",SUMIFS($L:$L,$C:$C,$C303,$D:$D,"기준(전)"))</f>
        <v/>
      </c>
      <c r="P303" s="45">
        <f>IF(COUNTIFS($C:$C,$C303,$D:$D,"기준(후)",$L:$L,"&gt;0")&lt;&gt;1,"",SUMIFS($H:$H,$C:$C,$C303,$D:$D,"기준(후)"))</f>
        <v/>
      </c>
      <c r="Q303" s="30">
        <f>IF(COUNTIFS($C:$C,$C303,$D:$D,"기준(후)",$L:$L,"&gt;0")&lt;&gt;1,"",SUMIFS($L:$L,$C:$C,$C303,$D:$D,"기준(후)"))</f>
        <v/>
      </c>
      <c r="R303" s="30">
        <f>IF(M303&lt;&gt;"OK","",O303+(Q303-O303)*(H303-N303)/(P303-N303))</f>
        <v/>
      </c>
      <c r="S303" s="30">
        <f>IF(OR(M303&lt;&gt;"OK",NOT(ISNUMBER(L303))),"",L303-R303)</f>
        <v/>
      </c>
      <c r="T303" s="46">
        <f>IF(OR($D302&lt;&gt;"측정",$C302&lt;&gt;$C303,NOT(ISNUMBER(L303)),NOT(ISNUMBER(L302)),(IF(ISNUMBER(F303),F303,E303)-IF(ISNUMBER(F302),F302,E302))=0),"",(L303-L302)/((IF(ISNUMBER(F303),F303,E303)-IF(ISNUMBER(F302),F302,E302))/100))</f>
        <v/>
      </c>
      <c r="U303" s="28" t="n"/>
      <c r="V303" s="28" t="n"/>
      <c r="W303" s="31" t="n"/>
    </row>
    <row r="304">
      <c r="A304" s="43" t="inlineStr">
        <is>
          <t>S25</t>
        </is>
      </c>
      <c r="B304" s="43" t="inlineStr">
        <is>
          <t>관리 신규점3</t>
        </is>
      </c>
      <c r="C304" s="43" t="inlineStr">
        <is>
          <t>S25-V</t>
        </is>
      </c>
      <c r="D304" s="43" t="inlineStr">
        <is>
          <t>기준(후)</t>
        </is>
      </c>
      <c r="E304" s="47" t="n"/>
      <c r="F304" s="40" t="n"/>
      <c r="G304" s="28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28" t="n"/>
      <c r="V304" s="28" t="n"/>
      <c r="W304" s="31" t="n"/>
    </row>
    <row r="305">
      <c r="A305" s="43" t="inlineStr">
        <is>
          <t>S26</t>
        </is>
      </c>
      <c r="B305" s="43" t="inlineStr">
        <is>
          <t>고남 신규점2</t>
        </is>
      </c>
      <c r="C305" s="43" t="inlineStr">
        <is>
          <t>S26-V</t>
        </is>
      </c>
      <c r="D305" s="43" t="inlineStr">
        <is>
          <t>기준(전)</t>
        </is>
      </c>
      <c r="E305" s="47" t="n"/>
      <c r="F305" s="40" t="n"/>
      <c r="G305" s="28" t="n"/>
      <c r="H305" s="42" t="n"/>
      <c r="I305" s="40" t="n"/>
      <c r="J305" s="40" t="n"/>
      <c r="K305" s="40" t="n"/>
      <c r="L305" s="30">
        <f>IF(COUNT(I305:K305)=0,"",MEDIAN(I305:K305))</f>
        <v/>
      </c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28" t="n"/>
      <c r="V305" s="28" t="n"/>
      <c r="W305" s="31" t="n"/>
    </row>
    <row r="306">
      <c r="A306" s="25" t="inlineStr">
        <is>
          <t>S26</t>
        </is>
      </c>
      <c r="B306" s="25" t="inlineStr">
        <is>
          <t>고남 신규점2</t>
        </is>
      </c>
      <c r="C306" s="25" t="inlineStr">
        <is>
          <t>S26-V</t>
        </is>
      </c>
      <c r="D306" s="25" t="inlineStr">
        <is>
          <t>측정</t>
        </is>
      </c>
      <c r="E306" s="48" t="n">
        <v>20</v>
      </c>
      <c r="F306" s="40" t="n"/>
      <c r="G306" s="28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IF(COUNTIFS($C:$C,$C306,$D:$D,"기준(전)",$L:$L,"&gt;0")&lt;&gt;1,"기준(전) 유효 1개 아님",IF(COUNTIFS($C:$C,$C306,$D:$D,"기준(후)",$L:$L,"&gt;0")&lt;&gt;1,"기준(후) 유효 1개 아님",IF(NOT(AND(ISNUMBER(N306),ISNUMBER(P306),ISNUMBER(H306))),"시각 결측",IF(P306&lt;=N306,"기준 시각 역전",IF(OR(H306&lt;N306,H306&gt;P306),"측정시각 구간 밖","OK")))))</f>
        <v/>
      </c>
      <c r="N306" s="45">
        <f>IF(COUNTIFS($C:$C,$C306,$D:$D,"기준(전)",$L:$L,"&gt;0")&lt;&gt;1,"",SUMIFS($H:$H,$C:$C,$C306,$D:$D,"기준(전)"))</f>
        <v/>
      </c>
      <c r="O306" s="30">
        <f>IF(COUNTIFS($C:$C,$C306,$D:$D,"기준(전)",$L:$L,"&gt;0")&lt;&gt;1,"",SUMIFS($L:$L,$C:$C,$C306,$D:$D,"기준(전)"))</f>
        <v/>
      </c>
      <c r="P306" s="45">
        <f>IF(COUNTIFS($C:$C,$C306,$D:$D,"기준(후)",$L:$L,"&gt;0")&lt;&gt;1,"",SUMIFS($H:$H,$C:$C,$C306,$D:$D,"기준(후)"))</f>
        <v/>
      </c>
      <c r="Q306" s="30">
        <f>IF(COUNTIFS($C:$C,$C306,$D:$D,"기준(후)",$L:$L,"&gt;0")&lt;&gt;1,"",SUMIFS($L:$L,$C:$C,$C306,$D:$D,"기준(후)"))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IF(OR($D305&lt;&gt;"측정",$C305&lt;&gt;$C306,NOT(ISNUMBER(L306)),NOT(ISNUMBER(L305)),(IF(ISNUMBER(F306),F306,E306)-IF(ISNUMBER(F305),F305,E305))=0),"",(L306-L305)/((IF(ISNUMBER(F306),F306,E306)-IF(ISNUMBER(F305),F305,E305))/100))</f>
        <v/>
      </c>
      <c r="U306" s="28" t="n"/>
      <c r="V306" s="28" t="n"/>
      <c r="W306" s="31" t="n"/>
    </row>
    <row r="307">
      <c r="A307" s="25" t="inlineStr">
        <is>
          <t>S26</t>
        </is>
      </c>
      <c r="B307" s="25" t="inlineStr">
        <is>
          <t>고남 신규점2</t>
        </is>
      </c>
      <c r="C307" s="25" t="inlineStr">
        <is>
          <t>S26-V</t>
        </is>
      </c>
      <c r="D307" s="25" t="inlineStr">
        <is>
          <t>측정</t>
        </is>
      </c>
      <c r="E307" s="48" t="n">
        <v>40</v>
      </c>
      <c r="F307" s="40" t="n"/>
      <c r="G307" s="28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IF(COUNTIFS($C:$C,$C307,$D:$D,"기준(전)",$L:$L,"&gt;0")&lt;&gt;1,"기준(전) 유효 1개 아님",IF(COUNTIFS($C:$C,$C307,$D:$D,"기준(후)",$L:$L,"&gt;0")&lt;&gt;1,"기준(후) 유효 1개 아님",IF(NOT(AND(ISNUMBER(N307),ISNUMBER(P307),ISNUMBER(H307))),"시각 결측",IF(P307&lt;=N307,"기준 시각 역전",IF(OR(H307&lt;N307,H307&gt;P307),"측정시각 구간 밖","OK")))))</f>
        <v/>
      </c>
      <c r="N307" s="45">
        <f>IF(COUNTIFS($C:$C,$C307,$D:$D,"기준(전)",$L:$L,"&gt;0")&lt;&gt;1,"",SUMIFS($H:$H,$C:$C,$C307,$D:$D,"기준(전)"))</f>
        <v/>
      </c>
      <c r="O307" s="30">
        <f>IF(COUNTIFS($C:$C,$C307,$D:$D,"기준(전)",$L:$L,"&gt;0")&lt;&gt;1,"",SUMIFS($L:$L,$C:$C,$C307,$D:$D,"기준(전)"))</f>
        <v/>
      </c>
      <c r="P307" s="45">
        <f>IF(COUNTIFS($C:$C,$C307,$D:$D,"기준(후)",$L:$L,"&gt;0")&lt;&gt;1,"",SUMIFS($H:$H,$C:$C,$C307,$D:$D,"기준(후)"))</f>
        <v/>
      </c>
      <c r="Q307" s="30">
        <f>IF(COUNTIFS($C:$C,$C307,$D:$D,"기준(후)",$L:$L,"&gt;0")&lt;&gt;1,"",SUMIFS($L:$L,$C:$C,$C307,$D:$D,"기준(후)"))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IF(OR($D306&lt;&gt;"측정",$C306&lt;&gt;$C307,NOT(ISNUMBER(L307)),NOT(ISNUMBER(L306)),(IF(ISNUMBER(F307),F307,E307)-IF(ISNUMBER(F306),F306,E306))=0),"",(L307-L306)/((IF(ISNUMBER(F307),F307,E307)-IF(ISNUMBER(F306),F306,E306))/100))</f>
        <v/>
      </c>
      <c r="U307" s="28" t="n"/>
      <c r="V307" s="28" t="n"/>
      <c r="W307" s="31" t="n"/>
    </row>
    <row r="308">
      <c r="A308" s="25" t="inlineStr">
        <is>
          <t>S26</t>
        </is>
      </c>
      <c r="B308" s="25" t="inlineStr">
        <is>
          <t>고남 신규점2</t>
        </is>
      </c>
      <c r="C308" s="25" t="inlineStr">
        <is>
          <t>S26-V</t>
        </is>
      </c>
      <c r="D308" s="25" t="inlineStr">
        <is>
          <t>측정</t>
        </is>
      </c>
      <c r="E308" s="48" t="n">
        <v>60</v>
      </c>
      <c r="F308" s="40" t="n"/>
      <c r="G308" s="28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IF(COUNTIFS($C:$C,$C308,$D:$D,"기준(전)",$L:$L,"&gt;0")&lt;&gt;1,"기준(전) 유효 1개 아님",IF(COUNTIFS($C:$C,$C308,$D:$D,"기준(후)",$L:$L,"&gt;0")&lt;&gt;1,"기준(후) 유효 1개 아님",IF(NOT(AND(ISNUMBER(N308),ISNUMBER(P308),ISNUMBER(H308))),"시각 결측",IF(P308&lt;=N308,"기준 시각 역전",IF(OR(H308&lt;N308,H308&gt;P308),"측정시각 구간 밖","OK")))))</f>
        <v/>
      </c>
      <c r="N308" s="45">
        <f>IF(COUNTIFS($C:$C,$C308,$D:$D,"기준(전)",$L:$L,"&gt;0")&lt;&gt;1,"",SUMIFS($H:$H,$C:$C,$C308,$D:$D,"기준(전)"))</f>
        <v/>
      </c>
      <c r="O308" s="30">
        <f>IF(COUNTIFS($C:$C,$C308,$D:$D,"기준(전)",$L:$L,"&gt;0")&lt;&gt;1,"",SUMIFS($L:$L,$C:$C,$C308,$D:$D,"기준(전)"))</f>
        <v/>
      </c>
      <c r="P308" s="45">
        <f>IF(COUNTIFS($C:$C,$C308,$D:$D,"기준(후)",$L:$L,"&gt;0")&lt;&gt;1,"",SUMIFS($H:$H,$C:$C,$C308,$D:$D,"기준(후)"))</f>
        <v/>
      </c>
      <c r="Q308" s="30">
        <f>IF(COUNTIFS($C:$C,$C308,$D:$D,"기준(후)",$L:$L,"&gt;0")&lt;&gt;1,"",SUMIFS($L:$L,$C:$C,$C308,$D:$D,"기준(후)"))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IF(OR($D307&lt;&gt;"측정",$C307&lt;&gt;$C308,NOT(ISNUMBER(L308)),NOT(ISNUMBER(L307)),(IF(ISNUMBER(F308),F308,E308)-IF(ISNUMBER(F307),F307,E307))=0),"",(L308-L307)/((IF(ISNUMBER(F308),F308,E308)-IF(ISNUMBER(F307),F307,E307))/100))</f>
        <v/>
      </c>
      <c r="U308" s="28" t="n"/>
      <c r="V308" s="28" t="n"/>
      <c r="W308" s="31" t="n"/>
    </row>
    <row r="309">
      <c r="A309" s="25" t="inlineStr">
        <is>
          <t>S26</t>
        </is>
      </c>
      <c r="B309" s="25" t="inlineStr">
        <is>
          <t>고남 신규점2</t>
        </is>
      </c>
      <c r="C309" s="25" t="inlineStr">
        <is>
          <t>S26-V</t>
        </is>
      </c>
      <c r="D309" s="25" t="inlineStr">
        <is>
          <t>측정</t>
        </is>
      </c>
      <c r="E309" s="48" t="n">
        <v>80</v>
      </c>
      <c r="F309" s="40" t="n"/>
      <c r="G309" s="28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IF(COUNTIFS($C:$C,$C309,$D:$D,"기준(전)",$L:$L,"&gt;0")&lt;&gt;1,"기준(전) 유효 1개 아님",IF(COUNTIFS($C:$C,$C309,$D:$D,"기준(후)",$L:$L,"&gt;0")&lt;&gt;1,"기준(후) 유효 1개 아님",IF(NOT(AND(ISNUMBER(N309),ISNUMBER(P309),ISNUMBER(H309))),"시각 결측",IF(P309&lt;=N309,"기준 시각 역전",IF(OR(H309&lt;N309,H309&gt;P309),"측정시각 구간 밖","OK")))))</f>
        <v/>
      </c>
      <c r="N309" s="45">
        <f>IF(COUNTIFS($C:$C,$C309,$D:$D,"기준(전)",$L:$L,"&gt;0")&lt;&gt;1,"",SUMIFS($H:$H,$C:$C,$C309,$D:$D,"기준(전)"))</f>
        <v/>
      </c>
      <c r="O309" s="30">
        <f>IF(COUNTIFS($C:$C,$C309,$D:$D,"기준(전)",$L:$L,"&gt;0")&lt;&gt;1,"",SUMIFS($L:$L,$C:$C,$C309,$D:$D,"기준(전)"))</f>
        <v/>
      </c>
      <c r="P309" s="45">
        <f>IF(COUNTIFS($C:$C,$C309,$D:$D,"기준(후)",$L:$L,"&gt;0")&lt;&gt;1,"",SUMIFS($H:$H,$C:$C,$C309,$D:$D,"기준(후)"))</f>
        <v/>
      </c>
      <c r="Q309" s="30">
        <f>IF(COUNTIFS($C:$C,$C309,$D:$D,"기준(후)",$L:$L,"&gt;0")&lt;&gt;1,"",SUMIFS($L:$L,$C:$C,$C309,$D:$D,"기준(후)"))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IF(OR($D308&lt;&gt;"측정",$C308&lt;&gt;$C309,NOT(ISNUMBER(L309)),NOT(ISNUMBER(L308)),(IF(ISNUMBER(F309),F309,E309)-IF(ISNUMBER(F308),F308,E308))=0),"",(L309-L308)/((IF(ISNUMBER(F309),F309,E309)-IF(ISNUMBER(F308),F308,E308))/100))</f>
        <v/>
      </c>
      <c r="U309" s="28" t="n"/>
      <c r="V309" s="28" t="n"/>
      <c r="W309" s="31" t="n"/>
    </row>
    <row r="310">
      <c r="A310" s="25" t="inlineStr">
        <is>
          <t>S26</t>
        </is>
      </c>
      <c r="B310" s="25" t="inlineStr">
        <is>
          <t>고남 신규점2</t>
        </is>
      </c>
      <c r="C310" s="25" t="inlineStr">
        <is>
          <t>S26-V</t>
        </is>
      </c>
      <c r="D310" s="25" t="inlineStr">
        <is>
          <t>측정</t>
        </is>
      </c>
      <c r="E310" s="48" t="n">
        <v>100</v>
      </c>
      <c r="F310" s="40" t="n"/>
      <c r="G310" s="28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IF(COUNTIFS($C:$C,$C310,$D:$D,"기준(전)",$L:$L,"&gt;0")&lt;&gt;1,"기준(전) 유효 1개 아님",IF(COUNTIFS($C:$C,$C310,$D:$D,"기준(후)",$L:$L,"&gt;0")&lt;&gt;1,"기준(후) 유효 1개 아님",IF(NOT(AND(ISNUMBER(N310),ISNUMBER(P310),ISNUMBER(H310))),"시각 결측",IF(P310&lt;=N310,"기준 시각 역전",IF(OR(H310&lt;N310,H310&gt;P310),"측정시각 구간 밖","OK")))))</f>
        <v/>
      </c>
      <c r="N310" s="45">
        <f>IF(COUNTIFS($C:$C,$C310,$D:$D,"기준(전)",$L:$L,"&gt;0")&lt;&gt;1,"",SUMIFS($H:$H,$C:$C,$C310,$D:$D,"기준(전)"))</f>
        <v/>
      </c>
      <c r="O310" s="30">
        <f>IF(COUNTIFS($C:$C,$C310,$D:$D,"기준(전)",$L:$L,"&gt;0")&lt;&gt;1,"",SUMIFS($L:$L,$C:$C,$C310,$D:$D,"기준(전)"))</f>
        <v/>
      </c>
      <c r="P310" s="45">
        <f>IF(COUNTIFS($C:$C,$C310,$D:$D,"기준(후)",$L:$L,"&gt;0")&lt;&gt;1,"",SUMIFS($H:$H,$C:$C,$C310,$D:$D,"기준(후)"))</f>
        <v/>
      </c>
      <c r="Q310" s="30">
        <f>IF(COUNTIFS($C:$C,$C310,$D:$D,"기준(후)",$L:$L,"&gt;0")&lt;&gt;1,"",SUMIFS($L:$L,$C:$C,$C310,$D:$D,"기준(후)"))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IF(OR($D309&lt;&gt;"측정",$C309&lt;&gt;$C310,NOT(ISNUMBER(L310)),NOT(ISNUMBER(L309)),(IF(ISNUMBER(F310),F310,E310)-IF(ISNUMBER(F309),F309,E309))=0),"",(L310-L309)/((IF(ISNUMBER(F310),F310,E310)-IF(ISNUMBER(F309),F309,E309))/100))</f>
        <v/>
      </c>
      <c r="U310" s="28" t="n"/>
      <c r="V310" s="28" t="n"/>
      <c r="W310" s="31" t="n"/>
    </row>
    <row r="311">
      <c r="A311" s="25" t="inlineStr">
        <is>
          <t>S26</t>
        </is>
      </c>
      <c r="B311" s="25" t="inlineStr">
        <is>
          <t>고남 신규점2</t>
        </is>
      </c>
      <c r="C311" s="25" t="inlineStr">
        <is>
          <t>S26-V</t>
        </is>
      </c>
      <c r="D311" s="25" t="inlineStr">
        <is>
          <t>측정</t>
        </is>
      </c>
      <c r="E311" s="48" t="n">
        <v>120</v>
      </c>
      <c r="F311" s="40" t="n"/>
      <c r="G311" s="28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IF(COUNTIFS($C:$C,$C311,$D:$D,"기준(전)",$L:$L,"&gt;0")&lt;&gt;1,"기준(전) 유효 1개 아님",IF(COUNTIFS($C:$C,$C311,$D:$D,"기준(후)",$L:$L,"&gt;0")&lt;&gt;1,"기준(후) 유효 1개 아님",IF(NOT(AND(ISNUMBER(N311),ISNUMBER(P311),ISNUMBER(H311))),"시각 결측",IF(P311&lt;=N311,"기준 시각 역전",IF(OR(H311&lt;N311,H311&gt;P311),"측정시각 구간 밖","OK")))))</f>
        <v/>
      </c>
      <c r="N311" s="45">
        <f>IF(COUNTIFS($C:$C,$C311,$D:$D,"기준(전)",$L:$L,"&gt;0")&lt;&gt;1,"",SUMIFS($H:$H,$C:$C,$C311,$D:$D,"기준(전)"))</f>
        <v/>
      </c>
      <c r="O311" s="30">
        <f>IF(COUNTIFS($C:$C,$C311,$D:$D,"기준(전)",$L:$L,"&gt;0")&lt;&gt;1,"",SUMIFS($L:$L,$C:$C,$C311,$D:$D,"기준(전)"))</f>
        <v/>
      </c>
      <c r="P311" s="45">
        <f>IF(COUNTIFS($C:$C,$C311,$D:$D,"기준(후)",$L:$L,"&gt;0")&lt;&gt;1,"",SUMIFS($H:$H,$C:$C,$C311,$D:$D,"기준(후)"))</f>
        <v/>
      </c>
      <c r="Q311" s="30">
        <f>IF(COUNTIFS($C:$C,$C311,$D:$D,"기준(후)",$L:$L,"&gt;0")&lt;&gt;1,"",SUMIFS($L:$L,$C:$C,$C311,$D:$D,"기준(후)"))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IF(OR($D310&lt;&gt;"측정",$C310&lt;&gt;$C311,NOT(ISNUMBER(L311)),NOT(ISNUMBER(L310)),(IF(ISNUMBER(F311),F311,E311)-IF(ISNUMBER(F310),F310,E310))=0),"",(L311-L310)/((IF(ISNUMBER(F311),F311,E311)-IF(ISNUMBER(F310),F310,E310))/100))</f>
        <v/>
      </c>
      <c r="U311" s="28" t="n"/>
      <c r="V311" s="28" t="n"/>
      <c r="W311" s="31" t="n"/>
    </row>
    <row r="312">
      <c r="A312" s="25" t="inlineStr">
        <is>
          <t>S26</t>
        </is>
      </c>
      <c r="B312" s="25" t="inlineStr">
        <is>
          <t>고남 신규점2</t>
        </is>
      </c>
      <c r="C312" s="25" t="inlineStr">
        <is>
          <t>S26-V</t>
        </is>
      </c>
      <c r="D312" s="25" t="inlineStr">
        <is>
          <t>측정</t>
        </is>
      </c>
      <c r="E312" s="48" t="n">
        <v>140</v>
      </c>
      <c r="F312" s="40" t="n"/>
      <c r="G312" s="28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IF(COUNTIFS($C:$C,$C312,$D:$D,"기준(전)",$L:$L,"&gt;0")&lt;&gt;1,"기준(전) 유효 1개 아님",IF(COUNTIFS($C:$C,$C312,$D:$D,"기준(후)",$L:$L,"&gt;0")&lt;&gt;1,"기준(후) 유효 1개 아님",IF(NOT(AND(ISNUMBER(N312),ISNUMBER(P312),ISNUMBER(H312))),"시각 결측",IF(P312&lt;=N312,"기준 시각 역전",IF(OR(H312&lt;N312,H312&gt;P312),"측정시각 구간 밖","OK")))))</f>
        <v/>
      </c>
      <c r="N312" s="45">
        <f>IF(COUNTIFS($C:$C,$C312,$D:$D,"기준(전)",$L:$L,"&gt;0")&lt;&gt;1,"",SUMIFS($H:$H,$C:$C,$C312,$D:$D,"기준(전)"))</f>
        <v/>
      </c>
      <c r="O312" s="30">
        <f>IF(COUNTIFS($C:$C,$C312,$D:$D,"기준(전)",$L:$L,"&gt;0")&lt;&gt;1,"",SUMIFS($L:$L,$C:$C,$C312,$D:$D,"기준(전)"))</f>
        <v/>
      </c>
      <c r="P312" s="45">
        <f>IF(COUNTIFS($C:$C,$C312,$D:$D,"기준(후)",$L:$L,"&gt;0")&lt;&gt;1,"",SUMIFS($H:$H,$C:$C,$C312,$D:$D,"기준(후)"))</f>
        <v/>
      </c>
      <c r="Q312" s="30">
        <f>IF(COUNTIFS($C:$C,$C312,$D:$D,"기준(후)",$L:$L,"&gt;0")&lt;&gt;1,"",SUMIFS($L:$L,$C:$C,$C312,$D:$D,"기준(후)"))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IF(OR($D311&lt;&gt;"측정",$C311&lt;&gt;$C312,NOT(ISNUMBER(L312)),NOT(ISNUMBER(L311)),(IF(ISNUMBER(F312),F312,E312)-IF(ISNUMBER(F311),F311,E311))=0),"",(L312-L311)/((IF(ISNUMBER(F312),F312,E312)-IF(ISNUMBER(F311),F311,E311))/100))</f>
        <v/>
      </c>
      <c r="U312" s="28" t="n"/>
      <c r="V312" s="28" t="n"/>
      <c r="W312" s="31" t="n"/>
    </row>
    <row r="313">
      <c r="A313" s="25" t="inlineStr">
        <is>
          <t>S26</t>
        </is>
      </c>
      <c r="B313" s="25" t="inlineStr">
        <is>
          <t>고남 신규점2</t>
        </is>
      </c>
      <c r="C313" s="25" t="inlineStr">
        <is>
          <t>S26-V</t>
        </is>
      </c>
      <c r="D313" s="25" t="inlineStr">
        <is>
          <t>측정</t>
        </is>
      </c>
      <c r="E313" s="48" t="n">
        <v>160</v>
      </c>
      <c r="F313" s="40" t="n"/>
      <c r="G313" s="28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IF(COUNTIFS($C:$C,$C313,$D:$D,"기준(전)",$L:$L,"&gt;0")&lt;&gt;1,"기준(전) 유효 1개 아님",IF(COUNTIFS($C:$C,$C313,$D:$D,"기준(후)",$L:$L,"&gt;0")&lt;&gt;1,"기준(후) 유효 1개 아님",IF(NOT(AND(ISNUMBER(N313),ISNUMBER(P313),ISNUMBER(H313))),"시각 결측",IF(P313&lt;=N313,"기준 시각 역전",IF(OR(H313&lt;N313,H313&gt;P313),"측정시각 구간 밖","OK")))))</f>
        <v/>
      </c>
      <c r="N313" s="45">
        <f>IF(COUNTIFS($C:$C,$C313,$D:$D,"기준(전)",$L:$L,"&gt;0")&lt;&gt;1,"",SUMIFS($H:$H,$C:$C,$C313,$D:$D,"기준(전)"))</f>
        <v/>
      </c>
      <c r="O313" s="30">
        <f>IF(COUNTIFS($C:$C,$C313,$D:$D,"기준(전)",$L:$L,"&gt;0")&lt;&gt;1,"",SUMIFS($L:$L,$C:$C,$C313,$D:$D,"기준(전)"))</f>
        <v/>
      </c>
      <c r="P313" s="45">
        <f>IF(COUNTIFS($C:$C,$C313,$D:$D,"기준(후)",$L:$L,"&gt;0")&lt;&gt;1,"",SUMIFS($H:$H,$C:$C,$C313,$D:$D,"기준(후)"))</f>
        <v/>
      </c>
      <c r="Q313" s="30">
        <f>IF(COUNTIFS($C:$C,$C313,$D:$D,"기준(후)",$L:$L,"&gt;0")&lt;&gt;1,"",SUMIFS($L:$L,$C:$C,$C313,$D:$D,"기준(후)"))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IF(OR($D312&lt;&gt;"측정",$C312&lt;&gt;$C313,NOT(ISNUMBER(L313)),NOT(ISNUMBER(L312)),(IF(ISNUMBER(F313),F313,E313)-IF(ISNUMBER(F312),F312,E312))=0),"",(L313-L312)/((IF(ISNUMBER(F313),F313,E313)-IF(ISNUMBER(F312),F312,E312))/100))</f>
        <v/>
      </c>
      <c r="U313" s="28" t="n"/>
      <c r="V313" s="28" t="n"/>
      <c r="W313" s="31" t="n"/>
    </row>
    <row r="314">
      <c r="A314" s="25" t="inlineStr">
        <is>
          <t>S26</t>
        </is>
      </c>
      <c r="B314" s="25" t="inlineStr">
        <is>
          <t>고남 신규점2</t>
        </is>
      </c>
      <c r="C314" s="25" t="inlineStr">
        <is>
          <t>S26-V</t>
        </is>
      </c>
      <c r="D314" s="25" t="inlineStr">
        <is>
          <t>측정</t>
        </is>
      </c>
      <c r="E314" s="48" t="n">
        <v>180</v>
      </c>
      <c r="F314" s="40" t="n"/>
      <c r="G314" s="28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IF(COUNTIFS($C:$C,$C314,$D:$D,"기준(전)",$L:$L,"&gt;0")&lt;&gt;1,"기준(전) 유효 1개 아님",IF(COUNTIFS($C:$C,$C314,$D:$D,"기준(후)",$L:$L,"&gt;0")&lt;&gt;1,"기준(후) 유효 1개 아님",IF(NOT(AND(ISNUMBER(N314),ISNUMBER(P314),ISNUMBER(H314))),"시각 결측",IF(P314&lt;=N314,"기준 시각 역전",IF(OR(H314&lt;N314,H314&gt;P314),"측정시각 구간 밖","OK")))))</f>
        <v/>
      </c>
      <c r="N314" s="45">
        <f>IF(COUNTIFS($C:$C,$C314,$D:$D,"기준(전)",$L:$L,"&gt;0")&lt;&gt;1,"",SUMIFS($H:$H,$C:$C,$C314,$D:$D,"기준(전)"))</f>
        <v/>
      </c>
      <c r="O314" s="30">
        <f>IF(COUNTIFS($C:$C,$C314,$D:$D,"기준(전)",$L:$L,"&gt;0")&lt;&gt;1,"",SUMIFS($L:$L,$C:$C,$C314,$D:$D,"기준(전)"))</f>
        <v/>
      </c>
      <c r="P314" s="45">
        <f>IF(COUNTIFS($C:$C,$C314,$D:$D,"기준(후)",$L:$L,"&gt;0")&lt;&gt;1,"",SUMIFS($H:$H,$C:$C,$C314,$D:$D,"기준(후)"))</f>
        <v/>
      </c>
      <c r="Q314" s="30">
        <f>IF(COUNTIFS($C:$C,$C314,$D:$D,"기준(후)",$L:$L,"&gt;0")&lt;&gt;1,"",SUMIFS($L:$L,$C:$C,$C314,$D:$D,"기준(후)"))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IF(OR($D313&lt;&gt;"측정",$C313&lt;&gt;$C314,NOT(ISNUMBER(L314)),NOT(ISNUMBER(L313)),(IF(ISNUMBER(F314),F314,E314)-IF(ISNUMBER(F313),F313,E313))=0),"",(L314-L313)/((IF(ISNUMBER(F314),F314,E314)-IF(ISNUMBER(F313),F313,E313))/100))</f>
        <v/>
      </c>
      <c r="U314" s="28" t="n"/>
      <c r="V314" s="28" t="n"/>
      <c r="W314" s="31" t="n"/>
    </row>
    <row r="315">
      <c r="A315" s="25" t="inlineStr">
        <is>
          <t>S26</t>
        </is>
      </c>
      <c r="B315" s="25" t="inlineStr">
        <is>
          <t>고남 신규점2</t>
        </is>
      </c>
      <c r="C315" s="25" t="inlineStr">
        <is>
          <t>S26-V</t>
        </is>
      </c>
      <c r="D315" s="25" t="inlineStr">
        <is>
          <t>측정</t>
        </is>
      </c>
      <c r="E315" s="48" t="n">
        <v>200</v>
      </c>
      <c r="F315" s="40" t="n"/>
      <c r="G315" s="28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IF(COUNTIFS($C:$C,$C315,$D:$D,"기준(전)",$L:$L,"&gt;0")&lt;&gt;1,"기준(전) 유효 1개 아님",IF(COUNTIFS($C:$C,$C315,$D:$D,"기준(후)",$L:$L,"&gt;0")&lt;&gt;1,"기준(후) 유효 1개 아님",IF(NOT(AND(ISNUMBER(N315),ISNUMBER(P315),ISNUMBER(H315))),"시각 결측",IF(P315&lt;=N315,"기준 시각 역전",IF(OR(H315&lt;N315,H315&gt;P315),"측정시각 구간 밖","OK")))))</f>
        <v/>
      </c>
      <c r="N315" s="45">
        <f>IF(COUNTIFS($C:$C,$C315,$D:$D,"기준(전)",$L:$L,"&gt;0")&lt;&gt;1,"",SUMIFS($H:$H,$C:$C,$C315,$D:$D,"기준(전)"))</f>
        <v/>
      </c>
      <c r="O315" s="30">
        <f>IF(COUNTIFS($C:$C,$C315,$D:$D,"기준(전)",$L:$L,"&gt;0")&lt;&gt;1,"",SUMIFS($L:$L,$C:$C,$C315,$D:$D,"기준(전)"))</f>
        <v/>
      </c>
      <c r="P315" s="45">
        <f>IF(COUNTIFS($C:$C,$C315,$D:$D,"기준(후)",$L:$L,"&gt;0")&lt;&gt;1,"",SUMIFS($H:$H,$C:$C,$C315,$D:$D,"기준(후)"))</f>
        <v/>
      </c>
      <c r="Q315" s="30">
        <f>IF(COUNTIFS($C:$C,$C315,$D:$D,"기준(후)",$L:$L,"&gt;0")&lt;&gt;1,"",SUMIFS($L:$L,$C:$C,$C315,$D:$D,"기준(후)"))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IF(OR($D314&lt;&gt;"측정",$C314&lt;&gt;$C315,NOT(ISNUMBER(L315)),NOT(ISNUMBER(L314)),(IF(ISNUMBER(F315),F315,E315)-IF(ISNUMBER(F314),F314,E314))=0),"",(L315-L314)/((IF(ISNUMBER(F315),F315,E315)-IF(ISNUMBER(F314),F314,E314))/100))</f>
        <v/>
      </c>
      <c r="U315" s="28" t="n"/>
      <c r="V315" s="28" t="n"/>
      <c r="W315" s="31" t="n"/>
    </row>
    <row r="316">
      <c r="A316" s="43" t="inlineStr">
        <is>
          <t>S26</t>
        </is>
      </c>
      <c r="B316" s="43" t="inlineStr">
        <is>
          <t>고남 신규점2</t>
        </is>
      </c>
      <c r="C316" s="43" t="inlineStr">
        <is>
          <t>S26-V</t>
        </is>
      </c>
      <c r="D316" s="43" t="inlineStr">
        <is>
          <t>기준(후)</t>
        </is>
      </c>
      <c r="E316" s="47" t="n"/>
      <c r="F316" s="40" t="n"/>
      <c r="G316" s="28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28" t="n"/>
      <c r="V316" s="28" t="n"/>
      <c r="W316" s="31" t="n"/>
    </row>
    <row r="317">
      <c r="A317" s="43" t="inlineStr">
        <is>
          <t>S27</t>
        </is>
      </c>
      <c r="B317" s="43" t="inlineStr">
        <is>
          <t>전의 신규점</t>
        </is>
      </c>
      <c r="C317" s="43" t="inlineStr">
        <is>
          <t>S27-V</t>
        </is>
      </c>
      <c r="D317" s="43" t="inlineStr">
        <is>
          <t>기준(전)</t>
        </is>
      </c>
      <c r="E317" s="47" t="n"/>
      <c r="F317" s="40" t="n"/>
      <c r="G317" s="28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28" t="n"/>
      <c r="V317" s="28" t="n"/>
      <c r="W317" s="31" t="n"/>
    </row>
    <row r="318">
      <c r="A318" s="25" t="inlineStr">
        <is>
          <t>S27</t>
        </is>
      </c>
      <c r="B318" s="25" t="inlineStr">
        <is>
          <t>전의 신규점</t>
        </is>
      </c>
      <c r="C318" s="25" t="inlineStr">
        <is>
          <t>S27-V</t>
        </is>
      </c>
      <c r="D318" s="25" t="inlineStr">
        <is>
          <t>측정</t>
        </is>
      </c>
      <c r="E318" s="48" t="n">
        <v>20</v>
      </c>
      <c r="F318" s="40" t="n"/>
      <c r="G318" s="28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IF(COUNTIFS($C:$C,$C318,$D:$D,"기준(전)",$L:$L,"&gt;0")&lt;&gt;1,"기준(전) 유효 1개 아님",IF(COUNTIFS($C:$C,$C318,$D:$D,"기준(후)",$L:$L,"&gt;0")&lt;&gt;1,"기준(후) 유효 1개 아님",IF(NOT(AND(ISNUMBER(N318),ISNUMBER(P318),ISNUMBER(H318))),"시각 결측",IF(P318&lt;=N318,"기준 시각 역전",IF(OR(H318&lt;N318,H318&gt;P318),"측정시각 구간 밖","OK")))))</f>
        <v/>
      </c>
      <c r="N318" s="45">
        <f>IF(COUNTIFS($C:$C,$C318,$D:$D,"기준(전)",$L:$L,"&gt;0")&lt;&gt;1,"",SUMIFS($H:$H,$C:$C,$C318,$D:$D,"기준(전)"))</f>
        <v/>
      </c>
      <c r="O318" s="30">
        <f>IF(COUNTIFS($C:$C,$C318,$D:$D,"기준(전)",$L:$L,"&gt;0")&lt;&gt;1,"",SUMIFS($L:$L,$C:$C,$C318,$D:$D,"기준(전)"))</f>
        <v/>
      </c>
      <c r="P318" s="45">
        <f>IF(COUNTIFS($C:$C,$C318,$D:$D,"기준(후)",$L:$L,"&gt;0")&lt;&gt;1,"",SUMIFS($H:$H,$C:$C,$C318,$D:$D,"기준(후)"))</f>
        <v/>
      </c>
      <c r="Q318" s="30">
        <f>IF(COUNTIFS($C:$C,$C318,$D:$D,"기준(후)",$L:$L,"&gt;0")&lt;&gt;1,"",SUMIFS($L:$L,$C:$C,$C318,$D:$D,"기준(후)"))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IF(OR($D317&lt;&gt;"측정",$C317&lt;&gt;$C318,NOT(ISNUMBER(L318)),NOT(ISNUMBER(L317)),(IF(ISNUMBER(F318),F318,E318)-IF(ISNUMBER(F317),F317,E317))=0),"",(L318-L317)/((IF(ISNUMBER(F318),F318,E318)-IF(ISNUMBER(F317),F317,E317))/100))</f>
        <v/>
      </c>
      <c r="U318" s="28" t="n"/>
      <c r="V318" s="28" t="n"/>
      <c r="W318" s="31" t="n"/>
    </row>
    <row r="319">
      <c r="A319" s="25" t="inlineStr">
        <is>
          <t>S27</t>
        </is>
      </c>
      <c r="B319" s="25" t="inlineStr">
        <is>
          <t>전의 신규점</t>
        </is>
      </c>
      <c r="C319" s="25" t="inlineStr">
        <is>
          <t>S27-V</t>
        </is>
      </c>
      <c r="D319" s="25" t="inlineStr">
        <is>
          <t>측정</t>
        </is>
      </c>
      <c r="E319" s="48" t="n">
        <v>40</v>
      </c>
      <c r="F319" s="40" t="n"/>
      <c r="G319" s="28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IF(COUNTIFS($C:$C,$C319,$D:$D,"기준(전)",$L:$L,"&gt;0")&lt;&gt;1,"기준(전) 유효 1개 아님",IF(COUNTIFS($C:$C,$C319,$D:$D,"기준(후)",$L:$L,"&gt;0")&lt;&gt;1,"기준(후) 유효 1개 아님",IF(NOT(AND(ISNUMBER(N319),ISNUMBER(P319),ISNUMBER(H319))),"시각 결측",IF(P319&lt;=N319,"기준 시각 역전",IF(OR(H319&lt;N319,H319&gt;P319),"측정시각 구간 밖","OK")))))</f>
        <v/>
      </c>
      <c r="N319" s="45">
        <f>IF(COUNTIFS($C:$C,$C319,$D:$D,"기준(전)",$L:$L,"&gt;0")&lt;&gt;1,"",SUMIFS($H:$H,$C:$C,$C319,$D:$D,"기준(전)"))</f>
        <v/>
      </c>
      <c r="O319" s="30">
        <f>IF(COUNTIFS($C:$C,$C319,$D:$D,"기준(전)",$L:$L,"&gt;0")&lt;&gt;1,"",SUMIFS($L:$L,$C:$C,$C319,$D:$D,"기준(전)"))</f>
        <v/>
      </c>
      <c r="P319" s="45">
        <f>IF(COUNTIFS($C:$C,$C319,$D:$D,"기준(후)",$L:$L,"&gt;0")&lt;&gt;1,"",SUMIFS($H:$H,$C:$C,$C319,$D:$D,"기준(후)"))</f>
        <v/>
      </c>
      <c r="Q319" s="30">
        <f>IF(COUNTIFS($C:$C,$C319,$D:$D,"기준(후)",$L:$L,"&gt;0")&lt;&gt;1,"",SUMIFS($L:$L,$C:$C,$C319,$D:$D,"기준(후)"))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IF(OR($D318&lt;&gt;"측정",$C318&lt;&gt;$C319,NOT(ISNUMBER(L319)),NOT(ISNUMBER(L318)),(IF(ISNUMBER(F319),F319,E319)-IF(ISNUMBER(F318),F318,E318))=0),"",(L319-L318)/((IF(ISNUMBER(F319),F319,E319)-IF(ISNUMBER(F318),F318,E318))/100))</f>
        <v/>
      </c>
      <c r="U319" s="28" t="n"/>
      <c r="V319" s="28" t="n"/>
      <c r="W319" s="31" t="n"/>
    </row>
    <row r="320">
      <c r="A320" s="25" t="inlineStr">
        <is>
          <t>S27</t>
        </is>
      </c>
      <c r="B320" s="25" t="inlineStr">
        <is>
          <t>전의 신규점</t>
        </is>
      </c>
      <c r="C320" s="25" t="inlineStr">
        <is>
          <t>S27-V</t>
        </is>
      </c>
      <c r="D320" s="25" t="inlineStr">
        <is>
          <t>측정</t>
        </is>
      </c>
      <c r="E320" s="48" t="n">
        <v>60</v>
      </c>
      <c r="F320" s="40" t="n"/>
      <c r="G320" s="28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IF(COUNTIFS($C:$C,$C320,$D:$D,"기준(전)",$L:$L,"&gt;0")&lt;&gt;1,"기준(전) 유효 1개 아님",IF(COUNTIFS($C:$C,$C320,$D:$D,"기준(후)",$L:$L,"&gt;0")&lt;&gt;1,"기준(후) 유효 1개 아님",IF(NOT(AND(ISNUMBER(N320),ISNUMBER(P320),ISNUMBER(H320))),"시각 결측",IF(P320&lt;=N320,"기준 시각 역전",IF(OR(H320&lt;N320,H320&gt;P320),"측정시각 구간 밖","OK")))))</f>
        <v/>
      </c>
      <c r="N320" s="45">
        <f>IF(COUNTIFS($C:$C,$C320,$D:$D,"기준(전)",$L:$L,"&gt;0")&lt;&gt;1,"",SUMIFS($H:$H,$C:$C,$C320,$D:$D,"기준(전)"))</f>
        <v/>
      </c>
      <c r="O320" s="30">
        <f>IF(COUNTIFS($C:$C,$C320,$D:$D,"기준(전)",$L:$L,"&gt;0")&lt;&gt;1,"",SUMIFS($L:$L,$C:$C,$C320,$D:$D,"기준(전)"))</f>
        <v/>
      </c>
      <c r="P320" s="45">
        <f>IF(COUNTIFS($C:$C,$C320,$D:$D,"기준(후)",$L:$L,"&gt;0")&lt;&gt;1,"",SUMIFS($H:$H,$C:$C,$C320,$D:$D,"기준(후)"))</f>
        <v/>
      </c>
      <c r="Q320" s="30">
        <f>IF(COUNTIFS($C:$C,$C320,$D:$D,"기준(후)",$L:$L,"&gt;0")&lt;&gt;1,"",SUMIFS($L:$L,$C:$C,$C320,$D:$D,"기준(후)"))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IF(OR($D319&lt;&gt;"측정",$C319&lt;&gt;$C320,NOT(ISNUMBER(L320)),NOT(ISNUMBER(L319)),(IF(ISNUMBER(F320),F320,E320)-IF(ISNUMBER(F319),F319,E319))=0),"",(L320-L319)/((IF(ISNUMBER(F320),F320,E320)-IF(ISNUMBER(F319),F319,E319))/100))</f>
        <v/>
      </c>
      <c r="U320" s="28" t="n"/>
      <c r="V320" s="28" t="n"/>
      <c r="W320" s="31" t="n"/>
    </row>
    <row r="321">
      <c r="A321" s="25" t="inlineStr">
        <is>
          <t>S27</t>
        </is>
      </c>
      <c r="B321" s="25" t="inlineStr">
        <is>
          <t>전의 신규점</t>
        </is>
      </c>
      <c r="C321" s="25" t="inlineStr">
        <is>
          <t>S27-V</t>
        </is>
      </c>
      <c r="D321" s="25" t="inlineStr">
        <is>
          <t>측정</t>
        </is>
      </c>
      <c r="E321" s="48" t="n">
        <v>80</v>
      </c>
      <c r="F321" s="40" t="n"/>
      <c r="G321" s="28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IF(COUNTIFS($C:$C,$C321,$D:$D,"기준(전)",$L:$L,"&gt;0")&lt;&gt;1,"기준(전) 유효 1개 아님",IF(COUNTIFS($C:$C,$C321,$D:$D,"기준(후)",$L:$L,"&gt;0")&lt;&gt;1,"기준(후) 유효 1개 아님",IF(NOT(AND(ISNUMBER(N321),ISNUMBER(P321),ISNUMBER(H321))),"시각 결측",IF(P321&lt;=N321,"기준 시각 역전",IF(OR(H321&lt;N321,H321&gt;P321),"측정시각 구간 밖","OK")))))</f>
        <v/>
      </c>
      <c r="N321" s="45">
        <f>IF(COUNTIFS($C:$C,$C321,$D:$D,"기준(전)",$L:$L,"&gt;0")&lt;&gt;1,"",SUMIFS($H:$H,$C:$C,$C321,$D:$D,"기준(전)"))</f>
        <v/>
      </c>
      <c r="O321" s="30">
        <f>IF(COUNTIFS($C:$C,$C321,$D:$D,"기준(전)",$L:$L,"&gt;0")&lt;&gt;1,"",SUMIFS($L:$L,$C:$C,$C321,$D:$D,"기준(전)"))</f>
        <v/>
      </c>
      <c r="P321" s="45">
        <f>IF(COUNTIFS($C:$C,$C321,$D:$D,"기준(후)",$L:$L,"&gt;0")&lt;&gt;1,"",SUMIFS($H:$H,$C:$C,$C321,$D:$D,"기준(후)"))</f>
        <v/>
      </c>
      <c r="Q321" s="30">
        <f>IF(COUNTIFS($C:$C,$C321,$D:$D,"기준(후)",$L:$L,"&gt;0")&lt;&gt;1,"",SUMIFS($L:$L,$C:$C,$C321,$D:$D,"기준(후)"))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IF(OR($D320&lt;&gt;"측정",$C320&lt;&gt;$C321,NOT(ISNUMBER(L321)),NOT(ISNUMBER(L320)),(IF(ISNUMBER(F321),F321,E321)-IF(ISNUMBER(F320),F320,E320))=0),"",(L321-L320)/((IF(ISNUMBER(F321),F321,E321)-IF(ISNUMBER(F320),F320,E320))/100))</f>
        <v/>
      </c>
      <c r="U321" s="28" t="n"/>
      <c r="V321" s="28" t="n"/>
      <c r="W321" s="31" t="n"/>
    </row>
    <row r="322">
      <c r="A322" s="25" t="inlineStr">
        <is>
          <t>S27</t>
        </is>
      </c>
      <c r="B322" s="25" t="inlineStr">
        <is>
          <t>전의 신규점</t>
        </is>
      </c>
      <c r="C322" s="25" t="inlineStr">
        <is>
          <t>S27-V</t>
        </is>
      </c>
      <c r="D322" s="25" t="inlineStr">
        <is>
          <t>측정</t>
        </is>
      </c>
      <c r="E322" s="48" t="n">
        <v>100</v>
      </c>
      <c r="F322" s="40" t="n"/>
      <c r="G322" s="28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IF(COUNTIFS($C:$C,$C322,$D:$D,"기준(전)",$L:$L,"&gt;0")&lt;&gt;1,"기준(전) 유효 1개 아님",IF(COUNTIFS($C:$C,$C322,$D:$D,"기준(후)",$L:$L,"&gt;0")&lt;&gt;1,"기준(후) 유효 1개 아님",IF(NOT(AND(ISNUMBER(N322),ISNUMBER(P322),ISNUMBER(H322))),"시각 결측",IF(P322&lt;=N322,"기준 시각 역전",IF(OR(H322&lt;N322,H322&gt;P322),"측정시각 구간 밖","OK")))))</f>
        <v/>
      </c>
      <c r="N322" s="45">
        <f>IF(COUNTIFS($C:$C,$C322,$D:$D,"기준(전)",$L:$L,"&gt;0")&lt;&gt;1,"",SUMIFS($H:$H,$C:$C,$C322,$D:$D,"기준(전)"))</f>
        <v/>
      </c>
      <c r="O322" s="30">
        <f>IF(COUNTIFS($C:$C,$C322,$D:$D,"기준(전)",$L:$L,"&gt;0")&lt;&gt;1,"",SUMIFS($L:$L,$C:$C,$C322,$D:$D,"기준(전)"))</f>
        <v/>
      </c>
      <c r="P322" s="45">
        <f>IF(COUNTIFS($C:$C,$C322,$D:$D,"기준(후)",$L:$L,"&gt;0")&lt;&gt;1,"",SUMIFS($H:$H,$C:$C,$C322,$D:$D,"기준(후)"))</f>
        <v/>
      </c>
      <c r="Q322" s="30">
        <f>IF(COUNTIFS($C:$C,$C322,$D:$D,"기준(후)",$L:$L,"&gt;0")&lt;&gt;1,"",SUMIFS($L:$L,$C:$C,$C322,$D:$D,"기준(후)"))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IF(OR($D321&lt;&gt;"측정",$C321&lt;&gt;$C322,NOT(ISNUMBER(L322)),NOT(ISNUMBER(L321)),(IF(ISNUMBER(F322),F322,E322)-IF(ISNUMBER(F321),F321,E321))=0),"",(L322-L321)/((IF(ISNUMBER(F322),F322,E322)-IF(ISNUMBER(F321),F321,E321))/100))</f>
        <v/>
      </c>
      <c r="U322" s="28" t="n"/>
      <c r="V322" s="28" t="n"/>
      <c r="W322" s="31" t="n"/>
    </row>
    <row r="323">
      <c r="A323" s="25" t="inlineStr">
        <is>
          <t>S27</t>
        </is>
      </c>
      <c r="B323" s="25" t="inlineStr">
        <is>
          <t>전의 신규점</t>
        </is>
      </c>
      <c r="C323" s="25" t="inlineStr">
        <is>
          <t>S27-V</t>
        </is>
      </c>
      <c r="D323" s="25" t="inlineStr">
        <is>
          <t>측정</t>
        </is>
      </c>
      <c r="E323" s="48" t="n">
        <v>120</v>
      </c>
      <c r="F323" s="40" t="n"/>
      <c r="G323" s="28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IF(COUNTIFS($C:$C,$C323,$D:$D,"기준(전)",$L:$L,"&gt;0")&lt;&gt;1,"기준(전) 유효 1개 아님",IF(COUNTIFS($C:$C,$C323,$D:$D,"기준(후)",$L:$L,"&gt;0")&lt;&gt;1,"기준(후) 유효 1개 아님",IF(NOT(AND(ISNUMBER(N323),ISNUMBER(P323),ISNUMBER(H323))),"시각 결측",IF(P323&lt;=N323,"기준 시각 역전",IF(OR(H323&lt;N323,H323&gt;P323),"측정시각 구간 밖","OK")))))</f>
        <v/>
      </c>
      <c r="N323" s="45">
        <f>IF(COUNTIFS($C:$C,$C323,$D:$D,"기준(전)",$L:$L,"&gt;0")&lt;&gt;1,"",SUMIFS($H:$H,$C:$C,$C323,$D:$D,"기준(전)"))</f>
        <v/>
      </c>
      <c r="O323" s="30">
        <f>IF(COUNTIFS($C:$C,$C323,$D:$D,"기준(전)",$L:$L,"&gt;0")&lt;&gt;1,"",SUMIFS($L:$L,$C:$C,$C323,$D:$D,"기준(전)"))</f>
        <v/>
      </c>
      <c r="P323" s="45">
        <f>IF(COUNTIFS($C:$C,$C323,$D:$D,"기준(후)",$L:$L,"&gt;0")&lt;&gt;1,"",SUMIFS($H:$H,$C:$C,$C323,$D:$D,"기준(후)"))</f>
        <v/>
      </c>
      <c r="Q323" s="30">
        <f>IF(COUNTIFS($C:$C,$C323,$D:$D,"기준(후)",$L:$L,"&gt;0")&lt;&gt;1,"",SUMIFS($L:$L,$C:$C,$C323,$D:$D,"기준(후)"))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IF(OR($D322&lt;&gt;"측정",$C322&lt;&gt;$C323,NOT(ISNUMBER(L323)),NOT(ISNUMBER(L322)),(IF(ISNUMBER(F323),F323,E323)-IF(ISNUMBER(F322),F322,E322))=0),"",(L323-L322)/((IF(ISNUMBER(F323),F323,E323)-IF(ISNUMBER(F322),F322,E322))/100))</f>
        <v/>
      </c>
      <c r="U323" s="28" t="n"/>
      <c r="V323" s="28" t="n"/>
      <c r="W323" s="31" t="n"/>
    </row>
    <row r="324">
      <c r="A324" s="25" t="inlineStr">
        <is>
          <t>S27</t>
        </is>
      </c>
      <c r="B324" s="25" t="inlineStr">
        <is>
          <t>전의 신규점</t>
        </is>
      </c>
      <c r="C324" s="25" t="inlineStr">
        <is>
          <t>S27-V</t>
        </is>
      </c>
      <c r="D324" s="25" t="inlineStr">
        <is>
          <t>측정</t>
        </is>
      </c>
      <c r="E324" s="48" t="n">
        <v>140</v>
      </c>
      <c r="F324" s="40" t="n"/>
      <c r="G324" s="28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IF(COUNTIFS($C:$C,$C324,$D:$D,"기준(전)",$L:$L,"&gt;0")&lt;&gt;1,"기준(전) 유효 1개 아님",IF(COUNTIFS($C:$C,$C324,$D:$D,"기준(후)",$L:$L,"&gt;0")&lt;&gt;1,"기준(후) 유효 1개 아님",IF(NOT(AND(ISNUMBER(N324),ISNUMBER(P324),ISNUMBER(H324))),"시각 결측",IF(P324&lt;=N324,"기준 시각 역전",IF(OR(H324&lt;N324,H324&gt;P324),"측정시각 구간 밖","OK")))))</f>
        <v/>
      </c>
      <c r="N324" s="45">
        <f>IF(COUNTIFS($C:$C,$C324,$D:$D,"기준(전)",$L:$L,"&gt;0")&lt;&gt;1,"",SUMIFS($H:$H,$C:$C,$C324,$D:$D,"기준(전)"))</f>
        <v/>
      </c>
      <c r="O324" s="30">
        <f>IF(COUNTIFS($C:$C,$C324,$D:$D,"기준(전)",$L:$L,"&gt;0")&lt;&gt;1,"",SUMIFS($L:$L,$C:$C,$C324,$D:$D,"기준(전)"))</f>
        <v/>
      </c>
      <c r="P324" s="45">
        <f>IF(COUNTIFS($C:$C,$C324,$D:$D,"기준(후)",$L:$L,"&gt;0")&lt;&gt;1,"",SUMIFS($H:$H,$C:$C,$C324,$D:$D,"기준(후)"))</f>
        <v/>
      </c>
      <c r="Q324" s="30">
        <f>IF(COUNTIFS($C:$C,$C324,$D:$D,"기준(후)",$L:$L,"&gt;0")&lt;&gt;1,"",SUMIFS($L:$L,$C:$C,$C324,$D:$D,"기준(후)"))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IF(OR($D323&lt;&gt;"측정",$C323&lt;&gt;$C324,NOT(ISNUMBER(L324)),NOT(ISNUMBER(L323)),(IF(ISNUMBER(F324),F324,E324)-IF(ISNUMBER(F323),F323,E323))=0),"",(L324-L323)/((IF(ISNUMBER(F324),F324,E324)-IF(ISNUMBER(F323),F323,E323))/100))</f>
        <v/>
      </c>
      <c r="U324" s="28" t="n"/>
      <c r="V324" s="28" t="n"/>
      <c r="W324" s="31" t="n"/>
    </row>
    <row r="325">
      <c r="A325" s="25" t="inlineStr">
        <is>
          <t>S27</t>
        </is>
      </c>
      <c r="B325" s="25" t="inlineStr">
        <is>
          <t>전의 신규점</t>
        </is>
      </c>
      <c r="C325" s="25" t="inlineStr">
        <is>
          <t>S27-V</t>
        </is>
      </c>
      <c r="D325" s="25" t="inlineStr">
        <is>
          <t>측정</t>
        </is>
      </c>
      <c r="E325" s="48" t="n">
        <v>160</v>
      </c>
      <c r="F325" s="40" t="n"/>
      <c r="G325" s="28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IF(COUNTIFS($C:$C,$C325,$D:$D,"기준(전)",$L:$L,"&gt;0")&lt;&gt;1,"기준(전) 유효 1개 아님",IF(COUNTIFS($C:$C,$C325,$D:$D,"기준(후)",$L:$L,"&gt;0")&lt;&gt;1,"기준(후) 유효 1개 아님",IF(NOT(AND(ISNUMBER(N325),ISNUMBER(P325),ISNUMBER(H325))),"시각 결측",IF(P325&lt;=N325,"기준 시각 역전",IF(OR(H325&lt;N325,H325&gt;P325),"측정시각 구간 밖","OK")))))</f>
        <v/>
      </c>
      <c r="N325" s="45">
        <f>IF(COUNTIFS($C:$C,$C325,$D:$D,"기준(전)",$L:$L,"&gt;0")&lt;&gt;1,"",SUMIFS($H:$H,$C:$C,$C325,$D:$D,"기준(전)"))</f>
        <v/>
      </c>
      <c r="O325" s="30">
        <f>IF(COUNTIFS($C:$C,$C325,$D:$D,"기준(전)",$L:$L,"&gt;0")&lt;&gt;1,"",SUMIFS($L:$L,$C:$C,$C325,$D:$D,"기준(전)"))</f>
        <v/>
      </c>
      <c r="P325" s="45">
        <f>IF(COUNTIFS($C:$C,$C325,$D:$D,"기준(후)",$L:$L,"&gt;0")&lt;&gt;1,"",SUMIFS($H:$H,$C:$C,$C325,$D:$D,"기준(후)"))</f>
        <v/>
      </c>
      <c r="Q325" s="30">
        <f>IF(COUNTIFS($C:$C,$C325,$D:$D,"기준(후)",$L:$L,"&gt;0")&lt;&gt;1,"",SUMIFS($L:$L,$C:$C,$C325,$D:$D,"기준(후)"))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IF(OR($D324&lt;&gt;"측정",$C324&lt;&gt;$C325,NOT(ISNUMBER(L325)),NOT(ISNUMBER(L324)),(IF(ISNUMBER(F325),F325,E325)-IF(ISNUMBER(F324),F324,E324))=0),"",(L325-L324)/((IF(ISNUMBER(F325),F325,E325)-IF(ISNUMBER(F324),F324,E324))/100))</f>
        <v/>
      </c>
      <c r="U325" s="28" t="n"/>
      <c r="V325" s="28" t="n"/>
      <c r="W325" s="31" t="n"/>
    </row>
    <row r="326">
      <c r="A326" s="25" t="inlineStr">
        <is>
          <t>S27</t>
        </is>
      </c>
      <c r="B326" s="25" t="inlineStr">
        <is>
          <t>전의 신규점</t>
        </is>
      </c>
      <c r="C326" s="25" t="inlineStr">
        <is>
          <t>S27-V</t>
        </is>
      </c>
      <c r="D326" s="25" t="inlineStr">
        <is>
          <t>측정</t>
        </is>
      </c>
      <c r="E326" s="48" t="n">
        <v>180</v>
      </c>
      <c r="F326" s="40" t="n"/>
      <c r="G326" s="28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IF(COUNTIFS($C:$C,$C326,$D:$D,"기준(전)",$L:$L,"&gt;0")&lt;&gt;1,"기준(전) 유효 1개 아님",IF(COUNTIFS($C:$C,$C326,$D:$D,"기준(후)",$L:$L,"&gt;0")&lt;&gt;1,"기준(후) 유효 1개 아님",IF(NOT(AND(ISNUMBER(N326),ISNUMBER(P326),ISNUMBER(H326))),"시각 결측",IF(P326&lt;=N326,"기준 시각 역전",IF(OR(H326&lt;N326,H326&gt;P326),"측정시각 구간 밖","OK")))))</f>
        <v/>
      </c>
      <c r="N326" s="45">
        <f>IF(COUNTIFS($C:$C,$C326,$D:$D,"기준(전)",$L:$L,"&gt;0")&lt;&gt;1,"",SUMIFS($H:$H,$C:$C,$C326,$D:$D,"기준(전)"))</f>
        <v/>
      </c>
      <c r="O326" s="30">
        <f>IF(COUNTIFS($C:$C,$C326,$D:$D,"기준(전)",$L:$L,"&gt;0")&lt;&gt;1,"",SUMIFS($L:$L,$C:$C,$C326,$D:$D,"기준(전)"))</f>
        <v/>
      </c>
      <c r="P326" s="45">
        <f>IF(COUNTIFS($C:$C,$C326,$D:$D,"기준(후)",$L:$L,"&gt;0")&lt;&gt;1,"",SUMIFS($H:$H,$C:$C,$C326,$D:$D,"기준(후)"))</f>
        <v/>
      </c>
      <c r="Q326" s="30">
        <f>IF(COUNTIFS($C:$C,$C326,$D:$D,"기준(후)",$L:$L,"&gt;0")&lt;&gt;1,"",SUMIFS($L:$L,$C:$C,$C326,$D:$D,"기준(후)"))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IF(OR($D325&lt;&gt;"측정",$C325&lt;&gt;$C326,NOT(ISNUMBER(L326)),NOT(ISNUMBER(L325)),(IF(ISNUMBER(F326),F326,E326)-IF(ISNUMBER(F325),F325,E325))=0),"",(L326-L325)/((IF(ISNUMBER(F326),F326,E326)-IF(ISNUMBER(F325),F325,E325))/100))</f>
        <v/>
      </c>
      <c r="U326" s="28" t="n"/>
      <c r="V326" s="28" t="n"/>
      <c r="W326" s="31" t="n"/>
    </row>
    <row r="327">
      <c r="A327" s="25" t="inlineStr">
        <is>
          <t>S27</t>
        </is>
      </c>
      <c r="B327" s="25" t="inlineStr">
        <is>
          <t>전의 신규점</t>
        </is>
      </c>
      <c r="C327" s="25" t="inlineStr">
        <is>
          <t>S27-V</t>
        </is>
      </c>
      <c r="D327" s="25" t="inlineStr">
        <is>
          <t>측정</t>
        </is>
      </c>
      <c r="E327" s="48" t="n">
        <v>200</v>
      </c>
      <c r="F327" s="40" t="n"/>
      <c r="G327" s="28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IF(COUNTIFS($C:$C,$C327,$D:$D,"기준(전)",$L:$L,"&gt;0")&lt;&gt;1,"기준(전) 유효 1개 아님",IF(COUNTIFS($C:$C,$C327,$D:$D,"기준(후)",$L:$L,"&gt;0")&lt;&gt;1,"기준(후) 유효 1개 아님",IF(NOT(AND(ISNUMBER(N327),ISNUMBER(P327),ISNUMBER(H327))),"시각 결측",IF(P327&lt;=N327,"기준 시각 역전",IF(OR(H327&lt;N327,H327&gt;P327),"측정시각 구간 밖","OK")))))</f>
        <v/>
      </c>
      <c r="N327" s="45">
        <f>IF(COUNTIFS($C:$C,$C327,$D:$D,"기준(전)",$L:$L,"&gt;0")&lt;&gt;1,"",SUMIFS($H:$H,$C:$C,$C327,$D:$D,"기준(전)"))</f>
        <v/>
      </c>
      <c r="O327" s="30">
        <f>IF(COUNTIFS($C:$C,$C327,$D:$D,"기준(전)",$L:$L,"&gt;0")&lt;&gt;1,"",SUMIFS($L:$L,$C:$C,$C327,$D:$D,"기준(전)"))</f>
        <v/>
      </c>
      <c r="P327" s="45">
        <f>IF(COUNTIFS($C:$C,$C327,$D:$D,"기준(후)",$L:$L,"&gt;0")&lt;&gt;1,"",SUMIFS($H:$H,$C:$C,$C327,$D:$D,"기준(후)"))</f>
        <v/>
      </c>
      <c r="Q327" s="30">
        <f>IF(COUNTIFS($C:$C,$C327,$D:$D,"기준(후)",$L:$L,"&gt;0")&lt;&gt;1,"",SUMIFS($L:$L,$C:$C,$C327,$D:$D,"기준(후)"))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IF(OR($D326&lt;&gt;"측정",$C326&lt;&gt;$C327,NOT(ISNUMBER(L327)),NOT(ISNUMBER(L326)),(IF(ISNUMBER(F327),F327,E327)-IF(ISNUMBER(F326),F326,E326))=0),"",(L327-L326)/((IF(ISNUMBER(F327),F327,E327)-IF(ISNUMBER(F326),F326,E326))/100))</f>
        <v/>
      </c>
      <c r="U327" s="28" t="n"/>
      <c r="V327" s="28" t="n"/>
      <c r="W327" s="31" t="n"/>
    </row>
    <row r="328">
      <c r="A328" s="43" t="inlineStr">
        <is>
          <t>S27</t>
        </is>
      </c>
      <c r="B328" s="43" t="inlineStr">
        <is>
          <t>전의 신규점</t>
        </is>
      </c>
      <c r="C328" s="43" t="inlineStr">
        <is>
          <t>S27-V</t>
        </is>
      </c>
      <c r="D328" s="43" t="inlineStr">
        <is>
          <t>기준(후)</t>
        </is>
      </c>
      <c r="E328" s="47" t="n"/>
      <c r="F328" s="40" t="n"/>
      <c r="G328" s="28" t="n"/>
      <c r="H328" s="42" t="n"/>
      <c r="I328" s="40" t="n"/>
      <c r="J328" s="40" t="n"/>
      <c r="K328" s="40" t="n"/>
      <c r="L328" s="30">
        <f>IF(COUNT(I328:K328)=0,"",MEDIAN(I328:K328))</f>
        <v/>
      </c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28" t="n"/>
      <c r="V328" s="28" t="n"/>
      <c r="W328" s="31" t="n"/>
    </row>
    <row r="329">
      <c r="A329" s="43" t="inlineStr">
        <is>
          <t>S28</t>
        </is>
      </c>
      <c r="B329" s="43" t="inlineStr">
        <is>
          <t>이원 신규점</t>
        </is>
      </c>
      <c r="C329" s="43" t="inlineStr">
        <is>
          <t>S28-V</t>
        </is>
      </c>
      <c r="D329" s="43" t="inlineStr">
        <is>
          <t>기준(전)</t>
        </is>
      </c>
      <c r="E329" s="47" t="n"/>
      <c r="F329" s="40" t="n"/>
      <c r="G329" s="28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28" t="n"/>
      <c r="V329" s="28" t="n"/>
      <c r="W329" s="31" t="n"/>
    </row>
    <row r="330">
      <c r="A330" s="25" t="inlineStr">
        <is>
          <t>S28</t>
        </is>
      </c>
      <c r="B330" s="25" t="inlineStr">
        <is>
          <t>이원 신규점</t>
        </is>
      </c>
      <c r="C330" s="25" t="inlineStr">
        <is>
          <t>S28-V</t>
        </is>
      </c>
      <c r="D330" s="25" t="inlineStr">
        <is>
          <t>측정</t>
        </is>
      </c>
      <c r="E330" s="48" t="n">
        <v>20</v>
      </c>
      <c r="F330" s="40" t="n"/>
      <c r="G330" s="28" t="n"/>
      <c r="H330" s="42" t="n"/>
      <c r="I330" s="40" t="n"/>
      <c r="J330" s="40" t="n"/>
      <c r="K330" s="40" t="n"/>
      <c r="L330" s="30">
        <f>IF(COUNT(I330:K330)=0,"",MEDIAN(I330:K330))</f>
        <v/>
      </c>
      <c r="M330" s="25">
        <f>IF(COUNTIFS($C:$C,$C330,$D:$D,"기준(전)",$L:$L,"&gt;0")&lt;&gt;1,"기준(전) 유효 1개 아님",IF(COUNTIFS($C:$C,$C330,$D:$D,"기준(후)",$L:$L,"&gt;0")&lt;&gt;1,"기준(후) 유효 1개 아님",IF(NOT(AND(ISNUMBER(N330),ISNUMBER(P330),ISNUMBER(H330))),"시각 결측",IF(P330&lt;=N330,"기준 시각 역전",IF(OR(H330&lt;N330,H330&gt;P330),"측정시각 구간 밖","OK")))))</f>
        <v/>
      </c>
      <c r="N330" s="45">
        <f>IF(COUNTIFS($C:$C,$C330,$D:$D,"기준(전)",$L:$L,"&gt;0")&lt;&gt;1,"",SUMIFS($H:$H,$C:$C,$C330,$D:$D,"기준(전)"))</f>
        <v/>
      </c>
      <c r="O330" s="30">
        <f>IF(COUNTIFS($C:$C,$C330,$D:$D,"기준(전)",$L:$L,"&gt;0")&lt;&gt;1,"",SUMIFS($L:$L,$C:$C,$C330,$D:$D,"기준(전)"))</f>
        <v/>
      </c>
      <c r="P330" s="45">
        <f>IF(COUNTIFS($C:$C,$C330,$D:$D,"기준(후)",$L:$L,"&gt;0")&lt;&gt;1,"",SUMIFS($H:$H,$C:$C,$C330,$D:$D,"기준(후)"))</f>
        <v/>
      </c>
      <c r="Q330" s="30">
        <f>IF(COUNTIFS($C:$C,$C330,$D:$D,"기준(후)",$L:$L,"&gt;0")&lt;&gt;1,"",SUMIFS($L:$L,$C:$C,$C330,$D:$D,"기준(후)"))</f>
        <v/>
      </c>
      <c r="R330" s="30">
        <f>IF(M330&lt;&gt;"OK","",O330+(Q330-O330)*(H330-N330)/(P330-N330))</f>
        <v/>
      </c>
      <c r="S330" s="30">
        <f>IF(OR(M330&lt;&gt;"OK",NOT(ISNUMBER(L330))),"",L330-R330)</f>
        <v/>
      </c>
      <c r="T330" s="46">
        <f>IF(OR($D329&lt;&gt;"측정",$C329&lt;&gt;$C330,NOT(ISNUMBER(L330)),NOT(ISNUMBER(L329)),(IF(ISNUMBER(F330),F330,E330)-IF(ISNUMBER(F329),F329,E329))=0),"",(L330-L329)/((IF(ISNUMBER(F330),F330,E330)-IF(ISNUMBER(F329),F329,E329))/100))</f>
        <v/>
      </c>
      <c r="U330" s="28" t="n"/>
      <c r="V330" s="28" t="n"/>
      <c r="W330" s="31" t="n"/>
    </row>
    <row r="331">
      <c r="A331" s="25" t="inlineStr">
        <is>
          <t>S28</t>
        </is>
      </c>
      <c r="B331" s="25" t="inlineStr">
        <is>
          <t>이원 신규점</t>
        </is>
      </c>
      <c r="C331" s="25" t="inlineStr">
        <is>
          <t>S28-V</t>
        </is>
      </c>
      <c r="D331" s="25" t="inlineStr">
        <is>
          <t>측정</t>
        </is>
      </c>
      <c r="E331" s="48" t="n">
        <v>40</v>
      </c>
      <c r="F331" s="40" t="n"/>
      <c r="G331" s="28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IF(COUNTIFS($C:$C,$C331,$D:$D,"기준(전)",$L:$L,"&gt;0")&lt;&gt;1,"기준(전) 유효 1개 아님",IF(COUNTIFS($C:$C,$C331,$D:$D,"기준(후)",$L:$L,"&gt;0")&lt;&gt;1,"기준(후) 유효 1개 아님",IF(NOT(AND(ISNUMBER(N331),ISNUMBER(P331),ISNUMBER(H331))),"시각 결측",IF(P331&lt;=N331,"기준 시각 역전",IF(OR(H331&lt;N331,H331&gt;P331),"측정시각 구간 밖","OK")))))</f>
        <v/>
      </c>
      <c r="N331" s="45">
        <f>IF(COUNTIFS($C:$C,$C331,$D:$D,"기준(전)",$L:$L,"&gt;0")&lt;&gt;1,"",SUMIFS($H:$H,$C:$C,$C331,$D:$D,"기준(전)"))</f>
        <v/>
      </c>
      <c r="O331" s="30">
        <f>IF(COUNTIFS($C:$C,$C331,$D:$D,"기준(전)",$L:$L,"&gt;0")&lt;&gt;1,"",SUMIFS($L:$L,$C:$C,$C331,$D:$D,"기준(전)"))</f>
        <v/>
      </c>
      <c r="P331" s="45">
        <f>IF(COUNTIFS($C:$C,$C331,$D:$D,"기준(후)",$L:$L,"&gt;0")&lt;&gt;1,"",SUMIFS($H:$H,$C:$C,$C331,$D:$D,"기준(후)"))</f>
        <v/>
      </c>
      <c r="Q331" s="30">
        <f>IF(COUNTIFS($C:$C,$C331,$D:$D,"기준(후)",$L:$L,"&gt;0")&lt;&gt;1,"",SUMIFS($L:$L,$C:$C,$C331,$D:$D,"기준(후)"))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IF(OR($D330&lt;&gt;"측정",$C330&lt;&gt;$C331,NOT(ISNUMBER(L331)),NOT(ISNUMBER(L330)),(IF(ISNUMBER(F331),F331,E331)-IF(ISNUMBER(F330),F330,E330))=0),"",(L331-L330)/((IF(ISNUMBER(F331),F331,E331)-IF(ISNUMBER(F330),F330,E330))/100))</f>
        <v/>
      </c>
      <c r="U331" s="28" t="n"/>
      <c r="V331" s="28" t="n"/>
      <c r="W331" s="31" t="n"/>
    </row>
    <row r="332">
      <c r="A332" s="25" t="inlineStr">
        <is>
          <t>S28</t>
        </is>
      </c>
      <c r="B332" s="25" t="inlineStr">
        <is>
          <t>이원 신규점</t>
        </is>
      </c>
      <c r="C332" s="25" t="inlineStr">
        <is>
          <t>S28-V</t>
        </is>
      </c>
      <c r="D332" s="25" t="inlineStr">
        <is>
          <t>측정</t>
        </is>
      </c>
      <c r="E332" s="48" t="n">
        <v>60</v>
      </c>
      <c r="F332" s="40" t="n"/>
      <c r="G332" s="28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IF(COUNTIFS($C:$C,$C332,$D:$D,"기준(전)",$L:$L,"&gt;0")&lt;&gt;1,"기준(전) 유효 1개 아님",IF(COUNTIFS($C:$C,$C332,$D:$D,"기준(후)",$L:$L,"&gt;0")&lt;&gt;1,"기준(후) 유효 1개 아님",IF(NOT(AND(ISNUMBER(N332),ISNUMBER(P332),ISNUMBER(H332))),"시각 결측",IF(P332&lt;=N332,"기준 시각 역전",IF(OR(H332&lt;N332,H332&gt;P332),"측정시각 구간 밖","OK")))))</f>
        <v/>
      </c>
      <c r="N332" s="45">
        <f>IF(COUNTIFS($C:$C,$C332,$D:$D,"기준(전)",$L:$L,"&gt;0")&lt;&gt;1,"",SUMIFS($H:$H,$C:$C,$C332,$D:$D,"기준(전)"))</f>
        <v/>
      </c>
      <c r="O332" s="30">
        <f>IF(COUNTIFS($C:$C,$C332,$D:$D,"기준(전)",$L:$L,"&gt;0")&lt;&gt;1,"",SUMIFS($L:$L,$C:$C,$C332,$D:$D,"기준(전)"))</f>
        <v/>
      </c>
      <c r="P332" s="45">
        <f>IF(COUNTIFS($C:$C,$C332,$D:$D,"기준(후)",$L:$L,"&gt;0")&lt;&gt;1,"",SUMIFS($H:$H,$C:$C,$C332,$D:$D,"기준(후)"))</f>
        <v/>
      </c>
      <c r="Q332" s="30">
        <f>IF(COUNTIFS($C:$C,$C332,$D:$D,"기준(후)",$L:$L,"&gt;0")&lt;&gt;1,"",SUMIFS($L:$L,$C:$C,$C332,$D:$D,"기준(후)"))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IF(OR($D331&lt;&gt;"측정",$C331&lt;&gt;$C332,NOT(ISNUMBER(L332)),NOT(ISNUMBER(L331)),(IF(ISNUMBER(F332),F332,E332)-IF(ISNUMBER(F331),F331,E331))=0),"",(L332-L331)/((IF(ISNUMBER(F332),F332,E332)-IF(ISNUMBER(F331),F331,E331))/100))</f>
        <v/>
      </c>
      <c r="U332" s="28" t="n"/>
      <c r="V332" s="28" t="n"/>
      <c r="W332" s="31" t="n"/>
    </row>
    <row r="333">
      <c r="A333" s="25" t="inlineStr">
        <is>
          <t>S28</t>
        </is>
      </c>
      <c r="B333" s="25" t="inlineStr">
        <is>
          <t>이원 신규점</t>
        </is>
      </c>
      <c r="C333" s="25" t="inlineStr">
        <is>
          <t>S28-V</t>
        </is>
      </c>
      <c r="D333" s="25" t="inlineStr">
        <is>
          <t>측정</t>
        </is>
      </c>
      <c r="E333" s="48" t="n">
        <v>80</v>
      </c>
      <c r="F333" s="40" t="n"/>
      <c r="G333" s="28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IF(COUNTIFS($C:$C,$C333,$D:$D,"기준(전)",$L:$L,"&gt;0")&lt;&gt;1,"기준(전) 유효 1개 아님",IF(COUNTIFS($C:$C,$C333,$D:$D,"기준(후)",$L:$L,"&gt;0")&lt;&gt;1,"기준(후) 유효 1개 아님",IF(NOT(AND(ISNUMBER(N333),ISNUMBER(P333),ISNUMBER(H333))),"시각 결측",IF(P333&lt;=N333,"기준 시각 역전",IF(OR(H333&lt;N333,H333&gt;P333),"측정시각 구간 밖","OK")))))</f>
        <v/>
      </c>
      <c r="N333" s="45">
        <f>IF(COUNTIFS($C:$C,$C333,$D:$D,"기준(전)",$L:$L,"&gt;0")&lt;&gt;1,"",SUMIFS($H:$H,$C:$C,$C333,$D:$D,"기준(전)"))</f>
        <v/>
      </c>
      <c r="O333" s="30">
        <f>IF(COUNTIFS($C:$C,$C333,$D:$D,"기준(전)",$L:$L,"&gt;0")&lt;&gt;1,"",SUMIFS($L:$L,$C:$C,$C333,$D:$D,"기준(전)"))</f>
        <v/>
      </c>
      <c r="P333" s="45">
        <f>IF(COUNTIFS($C:$C,$C333,$D:$D,"기준(후)",$L:$L,"&gt;0")&lt;&gt;1,"",SUMIFS($H:$H,$C:$C,$C333,$D:$D,"기준(후)"))</f>
        <v/>
      </c>
      <c r="Q333" s="30">
        <f>IF(COUNTIFS($C:$C,$C333,$D:$D,"기준(후)",$L:$L,"&gt;0")&lt;&gt;1,"",SUMIFS($L:$L,$C:$C,$C333,$D:$D,"기준(후)"))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IF(OR($D332&lt;&gt;"측정",$C332&lt;&gt;$C333,NOT(ISNUMBER(L333)),NOT(ISNUMBER(L332)),(IF(ISNUMBER(F333),F333,E333)-IF(ISNUMBER(F332),F332,E332))=0),"",(L333-L332)/((IF(ISNUMBER(F333),F333,E333)-IF(ISNUMBER(F332),F332,E332))/100))</f>
        <v/>
      </c>
      <c r="U333" s="28" t="n"/>
      <c r="V333" s="28" t="n"/>
      <c r="W333" s="31" t="n"/>
    </row>
    <row r="334">
      <c r="A334" s="25" t="inlineStr">
        <is>
          <t>S28</t>
        </is>
      </c>
      <c r="B334" s="25" t="inlineStr">
        <is>
          <t>이원 신규점</t>
        </is>
      </c>
      <c r="C334" s="25" t="inlineStr">
        <is>
          <t>S28-V</t>
        </is>
      </c>
      <c r="D334" s="25" t="inlineStr">
        <is>
          <t>측정</t>
        </is>
      </c>
      <c r="E334" s="48" t="n">
        <v>100</v>
      </c>
      <c r="F334" s="40" t="n"/>
      <c r="G334" s="28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IF(COUNTIFS($C:$C,$C334,$D:$D,"기준(전)",$L:$L,"&gt;0")&lt;&gt;1,"기준(전) 유효 1개 아님",IF(COUNTIFS($C:$C,$C334,$D:$D,"기준(후)",$L:$L,"&gt;0")&lt;&gt;1,"기준(후) 유효 1개 아님",IF(NOT(AND(ISNUMBER(N334),ISNUMBER(P334),ISNUMBER(H334))),"시각 결측",IF(P334&lt;=N334,"기준 시각 역전",IF(OR(H334&lt;N334,H334&gt;P334),"측정시각 구간 밖","OK")))))</f>
        <v/>
      </c>
      <c r="N334" s="45">
        <f>IF(COUNTIFS($C:$C,$C334,$D:$D,"기준(전)",$L:$L,"&gt;0")&lt;&gt;1,"",SUMIFS($H:$H,$C:$C,$C334,$D:$D,"기준(전)"))</f>
        <v/>
      </c>
      <c r="O334" s="30">
        <f>IF(COUNTIFS($C:$C,$C334,$D:$D,"기준(전)",$L:$L,"&gt;0")&lt;&gt;1,"",SUMIFS($L:$L,$C:$C,$C334,$D:$D,"기준(전)"))</f>
        <v/>
      </c>
      <c r="P334" s="45">
        <f>IF(COUNTIFS($C:$C,$C334,$D:$D,"기준(후)",$L:$L,"&gt;0")&lt;&gt;1,"",SUMIFS($H:$H,$C:$C,$C334,$D:$D,"기준(후)"))</f>
        <v/>
      </c>
      <c r="Q334" s="30">
        <f>IF(COUNTIFS($C:$C,$C334,$D:$D,"기준(후)",$L:$L,"&gt;0")&lt;&gt;1,"",SUMIFS($L:$L,$C:$C,$C334,$D:$D,"기준(후)"))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IF(OR($D333&lt;&gt;"측정",$C333&lt;&gt;$C334,NOT(ISNUMBER(L334)),NOT(ISNUMBER(L333)),(IF(ISNUMBER(F334),F334,E334)-IF(ISNUMBER(F333),F333,E333))=0),"",(L334-L333)/((IF(ISNUMBER(F334),F334,E334)-IF(ISNUMBER(F333),F333,E333))/100))</f>
        <v/>
      </c>
      <c r="U334" s="28" t="n"/>
      <c r="V334" s="28" t="n"/>
      <c r="W334" s="31" t="n"/>
    </row>
    <row r="335">
      <c r="A335" s="25" t="inlineStr">
        <is>
          <t>S28</t>
        </is>
      </c>
      <c r="B335" s="25" t="inlineStr">
        <is>
          <t>이원 신규점</t>
        </is>
      </c>
      <c r="C335" s="25" t="inlineStr">
        <is>
          <t>S28-V</t>
        </is>
      </c>
      <c r="D335" s="25" t="inlineStr">
        <is>
          <t>측정</t>
        </is>
      </c>
      <c r="E335" s="48" t="n">
        <v>120</v>
      </c>
      <c r="F335" s="40" t="n"/>
      <c r="G335" s="28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IF(COUNTIFS($C:$C,$C335,$D:$D,"기준(전)",$L:$L,"&gt;0")&lt;&gt;1,"기준(전) 유효 1개 아님",IF(COUNTIFS($C:$C,$C335,$D:$D,"기준(후)",$L:$L,"&gt;0")&lt;&gt;1,"기준(후) 유효 1개 아님",IF(NOT(AND(ISNUMBER(N335),ISNUMBER(P335),ISNUMBER(H335))),"시각 결측",IF(P335&lt;=N335,"기준 시각 역전",IF(OR(H335&lt;N335,H335&gt;P335),"측정시각 구간 밖","OK")))))</f>
        <v/>
      </c>
      <c r="N335" s="45">
        <f>IF(COUNTIFS($C:$C,$C335,$D:$D,"기준(전)",$L:$L,"&gt;0")&lt;&gt;1,"",SUMIFS($H:$H,$C:$C,$C335,$D:$D,"기준(전)"))</f>
        <v/>
      </c>
      <c r="O335" s="30">
        <f>IF(COUNTIFS($C:$C,$C335,$D:$D,"기준(전)",$L:$L,"&gt;0")&lt;&gt;1,"",SUMIFS($L:$L,$C:$C,$C335,$D:$D,"기준(전)"))</f>
        <v/>
      </c>
      <c r="P335" s="45">
        <f>IF(COUNTIFS($C:$C,$C335,$D:$D,"기준(후)",$L:$L,"&gt;0")&lt;&gt;1,"",SUMIFS($H:$H,$C:$C,$C335,$D:$D,"기준(후)"))</f>
        <v/>
      </c>
      <c r="Q335" s="30">
        <f>IF(COUNTIFS($C:$C,$C335,$D:$D,"기준(후)",$L:$L,"&gt;0")&lt;&gt;1,"",SUMIFS($L:$L,$C:$C,$C335,$D:$D,"기준(후)"))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IF(OR($D334&lt;&gt;"측정",$C334&lt;&gt;$C335,NOT(ISNUMBER(L335)),NOT(ISNUMBER(L334)),(IF(ISNUMBER(F335),F335,E335)-IF(ISNUMBER(F334),F334,E334))=0),"",(L335-L334)/((IF(ISNUMBER(F335),F335,E335)-IF(ISNUMBER(F334),F334,E334))/100))</f>
        <v/>
      </c>
      <c r="U335" s="28" t="n"/>
      <c r="V335" s="28" t="n"/>
      <c r="W335" s="31" t="n"/>
    </row>
    <row r="336">
      <c r="A336" s="25" t="inlineStr">
        <is>
          <t>S28</t>
        </is>
      </c>
      <c r="B336" s="25" t="inlineStr">
        <is>
          <t>이원 신규점</t>
        </is>
      </c>
      <c r="C336" s="25" t="inlineStr">
        <is>
          <t>S28-V</t>
        </is>
      </c>
      <c r="D336" s="25" t="inlineStr">
        <is>
          <t>측정</t>
        </is>
      </c>
      <c r="E336" s="48" t="n">
        <v>140</v>
      </c>
      <c r="F336" s="40" t="n"/>
      <c r="G336" s="28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IF(COUNTIFS($C:$C,$C336,$D:$D,"기준(전)",$L:$L,"&gt;0")&lt;&gt;1,"기준(전) 유효 1개 아님",IF(COUNTIFS($C:$C,$C336,$D:$D,"기준(후)",$L:$L,"&gt;0")&lt;&gt;1,"기준(후) 유효 1개 아님",IF(NOT(AND(ISNUMBER(N336),ISNUMBER(P336),ISNUMBER(H336))),"시각 결측",IF(P336&lt;=N336,"기준 시각 역전",IF(OR(H336&lt;N336,H336&gt;P336),"측정시각 구간 밖","OK")))))</f>
        <v/>
      </c>
      <c r="N336" s="45">
        <f>IF(COUNTIFS($C:$C,$C336,$D:$D,"기준(전)",$L:$L,"&gt;0")&lt;&gt;1,"",SUMIFS($H:$H,$C:$C,$C336,$D:$D,"기준(전)"))</f>
        <v/>
      </c>
      <c r="O336" s="30">
        <f>IF(COUNTIFS($C:$C,$C336,$D:$D,"기준(전)",$L:$L,"&gt;0")&lt;&gt;1,"",SUMIFS($L:$L,$C:$C,$C336,$D:$D,"기준(전)"))</f>
        <v/>
      </c>
      <c r="P336" s="45">
        <f>IF(COUNTIFS($C:$C,$C336,$D:$D,"기준(후)",$L:$L,"&gt;0")&lt;&gt;1,"",SUMIFS($H:$H,$C:$C,$C336,$D:$D,"기준(후)"))</f>
        <v/>
      </c>
      <c r="Q336" s="30">
        <f>IF(COUNTIFS($C:$C,$C336,$D:$D,"기준(후)",$L:$L,"&gt;0")&lt;&gt;1,"",SUMIFS($L:$L,$C:$C,$C336,$D:$D,"기준(후)"))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IF(OR($D335&lt;&gt;"측정",$C335&lt;&gt;$C336,NOT(ISNUMBER(L336)),NOT(ISNUMBER(L335)),(IF(ISNUMBER(F336),F336,E336)-IF(ISNUMBER(F335),F335,E335))=0),"",(L336-L335)/((IF(ISNUMBER(F336),F336,E336)-IF(ISNUMBER(F335),F335,E335))/100))</f>
        <v/>
      </c>
      <c r="U336" s="28" t="n"/>
      <c r="V336" s="28" t="n"/>
      <c r="W336" s="31" t="n"/>
    </row>
    <row r="337">
      <c r="A337" s="25" t="inlineStr">
        <is>
          <t>S28</t>
        </is>
      </c>
      <c r="B337" s="25" t="inlineStr">
        <is>
          <t>이원 신규점</t>
        </is>
      </c>
      <c r="C337" s="25" t="inlineStr">
        <is>
          <t>S28-V</t>
        </is>
      </c>
      <c r="D337" s="25" t="inlineStr">
        <is>
          <t>측정</t>
        </is>
      </c>
      <c r="E337" s="48" t="n">
        <v>160</v>
      </c>
      <c r="F337" s="40" t="n"/>
      <c r="G337" s="28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IF(COUNTIFS($C:$C,$C337,$D:$D,"기준(전)",$L:$L,"&gt;0")&lt;&gt;1,"기준(전) 유효 1개 아님",IF(COUNTIFS($C:$C,$C337,$D:$D,"기준(후)",$L:$L,"&gt;0")&lt;&gt;1,"기준(후) 유효 1개 아님",IF(NOT(AND(ISNUMBER(N337),ISNUMBER(P337),ISNUMBER(H337))),"시각 결측",IF(P337&lt;=N337,"기준 시각 역전",IF(OR(H337&lt;N337,H337&gt;P337),"측정시각 구간 밖","OK")))))</f>
        <v/>
      </c>
      <c r="N337" s="45">
        <f>IF(COUNTIFS($C:$C,$C337,$D:$D,"기준(전)",$L:$L,"&gt;0")&lt;&gt;1,"",SUMIFS($H:$H,$C:$C,$C337,$D:$D,"기준(전)"))</f>
        <v/>
      </c>
      <c r="O337" s="30">
        <f>IF(COUNTIFS($C:$C,$C337,$D:$D,"기준(전)",$L:$L,"&gt;0")&lt;&gt;1,"",SUMIFS($L:$L,$C:$C,$C337,$D:$D,"기준(전)"))</f>
        <v/>
      </c>
      <c r="P337" s="45">
        <f>IF(COUNTIFS($C:$C,$C337,$D:$D,"기준(후)",$L:$L,"&gt;0")&lt;&gt;1,"",SUMIFS($H:$H,$C:$C,$C337,$D:$D,"기준(후)"))</f>
        <v/>
      </c>
      <c r="Q337" s="30">
        <f>IF(COUNTIFS($C:$C,$C337,$D:$D,"기준(후)",$L:$L,"&gt;0")&lt;&gt;1,"",SUMIFS($L:$L,$C:$C,$C337,$D:$D,"기준(후)"))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IF(OR($D336&lt;&gt;"측정",$C336&lt;&gt;$C337,NOT(ISNUMBER(L337)),NOT(ISNUMBER(L336)),(IF(ISNUMBER(F337),F337,E337)-IF(ISNUMBER(F336),F336,E336))=0),"",(L337-L336)/((IF(ISNUMBER(F337),F337,E337)-IF(ISNUMBER(F336),F336,E336))/100))</f>
        <v/>
      </c>
      <c r="U337" s="28" t="n"/>
      <c r="V337" s="28" t="n"/>
      <c r="W337" s="31" t="n"/>
    </row>
    <row r="338">
      <c r="A338" s="25" t="inlineStr">
        <is>
          <t>S28</t>
        </is>
      </c>
      <c r="B338" s="25" t="inlineStr">
        <is>
          <t>이원 신규점</t>
        </is>
      </c>
      <c r="C338" s="25" t="inlineStr">
        <is>
          <t>S28-V</t>
        </is>
      </c>
      <c r="D338" s="25" t="inlineStr">
        <is>
          <t>측정</t>
        </is>
      </c>
      <c r="E338" s="48" t="n">
        <v>180</v>
      </c>
      <c r="F338" s="40" t="n"/>
      <c r="G338" s="28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IF(COUNTIFS($C:$C,$C338,$D:$D,"기준(전)",$L:$L,"&gt;0")&lt;&gt;1,"기준(전) 유효 1개 아님",IF(COUNTIFS($C:$C,$C338,$D:$D,"기준(후)",$L:$L,"&gt;0")&lt;&gt;1,"기준(후) 유효 1개 아님",IF(NOT(AND(ISNUMBER(N338),ISNUMBER(P338),ISNUMBER(H338))),"시각 결측",IF(P338&lt;=N338,"기준 시각 역전",IF(OR(H338&lt;N338,H338&gt;P338),"측정시각 구간 밖","OK")))))</f>
        <v/>
      </c>
      <c r="N338" s="45">
        <f>IF(COUNTIFS($C:$C,$C338,$D:$D,"기준(전)",$L:$L,"&gt;0")&lt;&gt;1,"",SUMIFS($H:$H,$C:$C,$C338,$D:$D,"기준(전)"))</f>
        <v/>
      </c>
      <c r="O338" s="30">
        <f>IF(COUNTIFS($C:$C,$C338,$D:$D,"기준(전)",$L:$L,"&gt;0")&lt;&gt;1,"",SUMIFS($L:$L,$C:$C,$C338,$D:$D,"기준(전)"))</f>
        <v/>
      </c>
      <c r="P338" s="45">
        <f>IF(COUNTIFS($C:$C,$C338,$D:$D,"기준(후)",$L:$L,"&gt;0")&lt;&gt;1,"",SUMIFS($H:$H,$C:$C,$C338,$D:$D,"기준(후)"))</f>
        <v/>
      </c>
      <c r="Q338" s="30">
        <f>IF(COUNTIFS($C:$C,$C338,$D:$D,"기준(후)",$L:$L,"&gt;0")&lt;&gt;1,"",SUMIFS($L:$L,$C:$C,$C338,$D:$D,"기준(후)"))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IF(OR($D337&lt;&gt;"측정",$C337&lt;&gt;$C338,NOT(ISNUMBER(L338)),NOT(ISNUMBER(L337)),(IF(ISNUMBER(F338),F338,E338)-IF(ISNUMBER(F337),F337,E337))=0),"",(L338-L337)/((IF(ISNUMBER(F338),F338,E338)-IF(ISNUMBER(F337),F337,E337))/100))</f>
        <v/>
      </c>
      <c r="U338" s="28" t="n"/>
      <c r="V338" s="28" t="n"/>
      <c r="W338" s="31" t="n"/>
    </row>
    <row r="339">
      <c r="A339" s="25" t="inlineStr">
        <is>
          <t>S28</t>
        </is>
      </c>
      <c r="B339" s="25" t="inlineStr">
        <is>
          <t>이원 신규점</t>
        </is>
      </c>
      <c r="C339" s="25" t="inlineStr">
        <is>
          <t>S28-V</t>
        </is>
      </c>
      <c r="D339" s="25" t="inlineStr">
        <is>
          <t>측정</t>
        </is>
      </c>
      <c r="E339" s="48" t="n">
        <v>200</v>
      </c>
      <c r="F339" s="40" t="n"/>
      <c r="G339" s="28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IF(COUNTIFS($C:$C,$C339,$D:$D,"기준(전)",$L:$L,"&gt;0")&lt;&gt;1,"기준(전) 유효 1개 아님",IF(COUNTIFS($C:$C,$C339,$D:$D,"기준(후)",$L:$L,"&gt;0")&lt;&gt;1,"기준(후) 유효 1개 아님",IF(NOT(AND(ISNUMBER(N339),ISNUMBER(P339),ISNUMBER(H339))),"시각 결측",IF(P339&lt;=N339,"기준 시각 역전",IF(OR(H339&lt;N339,H339&gt;P339),"측정시각 구간 밖","OK")))))</f>
        <v/>
      </c>
      <c r="N339" s="45">
        <f>IF(COUNTIFS($C:$C,$C339,$D:$D,"기준(전)",$L:$L,"&gt;0")&lt;&gt;1,"",SUMIFS($H:$H,$C:$C,$C339,$D:$D,"기준(전)"))</f>
        <v/>
      </c>
      <c r="O339" s="30">
        <f>IF(COUNTIFS($C:$C,$C339,$D:$D,"기준(전)",$L:$L,"&gt;0")&lt;&gt;1,"",SUMIFS($L:$L,$C:$C,$C339,$D:$D,"기준(전)"))</f>
        <v/>
      </c>
      <c r="P339" s="45">
        <f>IF(COUNTIFS($C:$C,$C339,$D:$D,"기준(후)",$L:$L,"&gt;0")&lt;&gt;1,"",SUMIFS($H:$H,$C:$C,$C339,$D:$D,"기준(후)"))</f>
        <v/>
      </c>
      <c r="Q339" s="30">
        <f>IF(COUNTIFS($C:$C,$C339,$D:$D,"기준(후)",$L:$L,"&gt;0")&lt;&gt;1,"",SUMIFS($L:$L,$C:$C,$C339,$D:$D,"기준(후)"))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IF(OR($D338&lt;&gt;"측정",$C338&lt;&gt;$C339,NOT(ISNUMBER(L339)),NOT(ISNUMBER(L338)),(IF(ISNUMBER(F339),F339,E339)-IF(ISNUMBER(F338),F338,E338))=0),"",(L339-L338)/((IF(ISNUMBER(F339),F339,E339)-IF(ISNUMBER(F338),F338,E338))/100))</f>
        <v/>
      </c>
      <c r="U339" s="28" t="n"/>
      <c r="V339" s="28" t="n"/>
      <c r="W339" s="31" t="n"/>
    </row>
    <row r="340">
      <c r="A340" s="43" t="inlineStr">
        <is>
          <t>S28</t>
        </is>
      </c>
      <c r="B340" s="43" t="inlineStr">
        <is>
          <t>이원 신규점</t>
        </is>
      </c>
      <c r="C340" s="43" t="inlineStr">
        <is>
          <t>S28-V</t>
        </is>
      </c>
      <c r="D340" s="43" t="inlineStr">
        <is>
          <t>기준(후)</t>
        </is>
      </c>
      <c r="E340" s="47" t="n"/>
      <c r="F340" s="40" t="n"/>
      <c r="G340" s="28" t="n"/>
      <c r="H340" s="42" t="n"/>
      <c r="I340" s="40" t="n"/>
      <c r="J340" s="40" t="n"/>
      <c r="K340" s="40" t="n"/>
      <c r="L340" s="30">
        <f>IF(COUNT(I340:K340)=0,"",MEDIAN(I340:K340))</f>
        <v/>
      </c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28" t="n"/>
      <c r="V340" s="28" t="n"/>
      <c r="W340" s="31" t="n"/>
    </row>
    <row r="341">
      <c r="A341" s="43" t="inlineStr">
        <is>
          <t>S29</t>
        </is>
      </c>
      <c r="B341" s="43" t="inlineStr">
        <is>
          <t>가야 신규점1</t>
        </is>
      </c>
      <c r="C341" s="43" t="inlineStr">
        <is>
          <t>S29-V</t>
        </is>
      </c>
      <c r="D341" s="43" t="inlineStr">
        <is>
          <t>기준(전)</t>
        </is>
      </c>
      <c r="E341" s="47" t="n"/>
      <c r="F341" s="40" t="n"/>
      <c r="G341" s="28" t="n"/>
      <c r="H341" s="42" t="n"/>
      <c r="I341" s="40" t="n"/>
      <c r="J341" s="40" t="n"/>
      <c r="K341" s="40" t="n"/>
      <c r="L341" s="30">
        <f>IF(COUNT(I341:K341)=0,"",MEDIAN(I341:K341))</f>
        <v/>
      </c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28" t="n"/>
      <c r="V341" s="28" t="n"/>
      <c r="W341" s="31" t="n"/>
    </row>
    <row r="342">
      <c r="A342" s="25" t="inlineStr">
        <is>
          <t>S29</t>
        </is>
      </c>
      <c r="B342" s="25" t="inlineStr">
        <is>
          <t>가야 신규점1</t>
        </is>
      </c>
      <c r="C342" s="25" t="inlineStr">
        <is>
          <t>S29-V</t>
        </is>
      </c>
      <c r="D342" s="25" t="inlineStr">
        <is>
          <t>측정</t>
        </is>
      </c>
      <c r="E342" s="48" t="n">
        <v>20</v>
      </c>
      <c r="F342" s="40" t="n"/>
      <c r="G342" s="28" t="n"/>
      <c r="H342" s="42" t="n"/>
      <c r="I342" s="40" t="n"/>
      <c r="J342" s="40" t="n"/>
      <c r="K342" s="40" t="n"/>
      <c r="L342" s="30">
        <f>IF(COUNT(I342:K342)=0,"",MEDIAN(I342:K342))</f>
        <v/>
      </c>
      <c r="M342" s="25">
        <f>IF(COUNTIFS($C:$C,$C342,$D:$D,"기준(전)",$L:$L,"&gt;0")&lt;&gt;1,"기준(전) 유효 1개 아님",IF(COUNTIFS($C:$C,$C342,$D:$D,"기준(후)",$L:$L,"&gt;0")&lt;&gt;1,"기준(후) 유효 1개 아님",IF(NOT(AND(ISNUMBER(N342),ISNUMBER(P342),ISNUMBER(H342))),"시각 결측",IF(P342&lt;=N342,"기준 시각 역전",IF(OR(H342&lt;N342,H342&gt;P342),"측정시각 구간 밖","OK")))))</f>
        <v/>
      </c>
      <c r="N342" s="45">
        <f>IF(COUNTIFS($C:$C,$C342,$D:$D,"기준(전)",$L:$L,"&gt;0")&lt;&gt;1,"",SUMIFS($H:$H,$C:$C,$C342,$D:$D,"기준(전)"))</f>
        <v/>
      </c>
      <c r="O342" s="30">
        <f>IF(COUNTIFS($C:$C,$C342,$D:$D,"기준(전)",$L:$L,"&gt;0")&lt;&gt;1,"",SUMIFS($L:$L,$C:$C,$C342,$D:$D,"기준(전)"))</f>
        <v/>
      </c>
      <c r="P342" s="45">
        <f>IF(COUNTIFS($C:$C,$C342,$D:$D,"기준(후)",$L:$L,"&gt;0")&lt;&gt;1,"",SUMIFS($H:$H,$C:$C,$C342,$D:$D,"기준(후)"))</f>
        <v/>
      </c>
      <c r="Q342" s="30">
        <f>IF(COUNTIFS($C:$C,$C342,$D:$D,"기준(후)",$L:$L,"&gt;0")&lt;&gt;1,"",SUMIFS($L:$L,$C:$C,$C342,$D:$D,"기준(후)"))</f>
        <v/>
      </c>
      <c r="R342" s="30">
        <f>IF(M342&lt;&gt;"OK","",O342+(Q342-O342)*(H342-N342)/(P342-N342))</f>
        <v/>
      </c>
      <c r="S342" s="30">
        <f>IF(OR(M342&lt;&gt;"OK",NOT(ISNUMBER(L342))),"",L342-R342)</f>
        <v/>
      </c>
      <c r="T342" s="46">
        <f>IF(OR($D341&lt;&gt;"측정",$C341&lt;&gt;$C342,NOT(ISNUMBER(L342)),NOT(ISNUMBER(L341)),(IF(ISNUMBER(F342),F342,E342)-IF(ISNUMBER(F341),F341,E341))=0),"",(L342-L341)/((IF(ISNUMBER(F342),F342,E342)-IF(ISNUMBER(F341),F341,E341))/100))</f>
        <v/>
      </c>
      <c r="U342" s="28" t="n"/>
      <c r="V342" s="28" t="n"/>
      <c r="W342" s="31" t="n"/>
    </row>
    <row r="343">
      <c r="A343" s="25" t="inlineStr">
        <is>
          <t>S29</t>
        </is>
      </c>
      <c r="B343" s="25" t="inlineStr">
        <is>
          <t>가야 신규점1</t>
        </is>
      </c>
      <c r="C343" s="25" t="inlineStr">
        <is>
          <t>S29-V</t>
        </is>
      </c>
      <c r="D343" s="25" t="inlineStr">
        <is>
          <t>측정</t>
        </is>
      </c>
      <c r="E343" s="48" t="n">
        <v>40</v>
      </c>
      <c r="F343" s="40" t="n"/>
      <c r="G343" s="28" t="n"/>
      <c r="H343" s="42" t="n"/>
      <c r="I343" s="40" t="n"/>
      <c r="J343" s="40" t="n"/>
      <c r="K343" s="40" t="n"/>
      <c r="L343" s="30">
        <f>IF(COUNT(I343:K343)=0,"",MEDIAN(I343:K343))</f>
        <v/>
      </c>
      <c r="M343" s="25">
        <f>IF(COUNTIFS($C:$C,$C343,$D:$D,"기준(전)",$L:$L,"&gt;0")&lt;&gt;1,"기준(전) 유효 1개 아님",IF(COUNTIFS($C:$C,$C343,$D:$D,"기준(후)",$L:$L,"&gt;0")&lt;&gt;1,"기준(후) 유효 1개 아님",IF(NOT(AND(ISNUMBER(N343),ISNUMBER(P343),ISNUMBER(H343))),"시각 결측",IF(P343&lt;=N343,"기준 시각 역전",IF(OR(H343&lt;N343,H343&gt;P343),"측정시각 구간 밖","OK")))))</f>
        <v/>
      </c>
      <c r="N343" s="45">
        <f>IF(COUNTIFS($C:$C,$C343,$D:$D,"기준(전)",$L:$L,"&gt;0")&lt;&gt;1,"",SUMIFS($H:$H,$C:$C,$C343,$D:$D,"기준(전)"))</f>
        <v/>
      </c>
      <c r="O343" s="30">
        <f>IF(COUNTIFS($C:$C,$C343,$D:$D,"기준(전)",$L:$L,"&gt;0")&lt;&gt;1,"",SUMIFS($L:$L,$C:$C,$C343,$D:$D,"기준(전)"))</f>
        <v/>
      </c>
      <c r="P343" s="45">
        <f>IF(COUNTIFS($C:$C,$C343,$D:$D,"기준(후)",$L:$L,"&gt;0")&lt;&gt;1,"",SUMIFS($H:$H,$C:$C,$C343,$D:$D,"기준(후)"))</f>
        <v/>
      </c>
      <c r="Q343" s="30">
        <f>IF(COUNTIFS($C:$C,$C343,$D:$D,"기준(후)",$L:$L,"&gt;0")&lt;&gt;1,"",SUMIFS($L:$L,$C:$C,$C343,$D:$D,"기준(후)"))</f>
        <v/>
      </c>
      <c r="R343" s="30">
        <f>IF(M343&lt;&gt;"OK","",O343+(Q343-O343)*(H343-N343)/(P343-N343))</f>
        <v/>
      </c>
      <c r="S343" s="30">
        <f>IF(OR(M343&lt;&gt;"OK",NOT(ISNUMBER(L343))),"",L343-R343)</f>
        <v/>
      </c>
      <c r="T343" s="46">
        <f>IF(OR($D342&lt;&gt;"측정",$C342&lt;&gt;$C343,NOT(ISNUMBER(L343)),NOT(ISNUMBER(L342)),(IF(ISNUMBER(F343),F343,E343)-IF(ISNUMBER(F342),F342,E342))=0),"",(L343-L342)/((IF(ISNUMBER(F343),F343,E343)-IF(ISNUMBER(F342),F342,E342))/100))</f>
        <v/>
      </c>
      <c r="U343" s="28" t="n"/>
      <c r="V343" s="28" t="n"/>
      <c r="W343" s="31" t="n"/>
    </row>
    <row r="344">
      <c r="A344" s="25" t="inlineStr">
        <is>
          <t>S29</t>
        </is>
      </c>
      <c r="B344" s="25" t="inlineStr">
        <is>
          <t>가야 신규점1</t>
        </is>
      </c>
      <c r="C344" s="25" t="inlineStr">
        <is>
          <t>S29-V</t>
        </is>
      </c>
      <c r="D344" s="25" t="inlineStr">
        <is>
          <t>측정</t>
        </is>
      </c>
      <c r="E344" s="48" t="n">
        <v>60</v>
      </c>
      <c r="F344" s="40" t="n"/>
      <c r="G344" s="28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IF(COUNTIFS($C:$C,$C344,$D:$D,"기준(전)",$L:$L,"&gt;0")&lt;&gt;1,"기준(전) 유효 1개 아님",IF(COUNTIFS($C:$C,$C344,$D:$D,"기준(후)",$L:$L,"&gt;0")&lt;&gt;1,"기준(후) 유효 1개 아님",IF(NOT(AND(ISNUMBER(N344),ISNUMBER(P344),ISNUMBER(H344))),"시각 결측",IF(P344&lt;=N344,"기준 시각 역전",IF(OR(H344&lt;N344,H344&gt;P344),"측정시각 구간 밖","OK")))))</f>
        <v/>
      </c>
      <c r="N344" s="45">
        <f>IF(COUNTIFS($C:$C,$C344,$D:$D,"기준(전)",$L:$L,"&gt;0")&lt;&gt;1,"",SUMIFS($H:$H,$C:$C,$C344,$D:$D,"기준(전)"))</f>
        <v/>
      </c>
      <c r="O344" s="30">
        <f>IF(COUNTIFS($C:$C,$C344,$D:$D,"기준(전)",$L:$L,"&gt;0")&lt;&gt;1,"",SUMIFS($L:$L,$C:$C,$C344,$D:$D,"기준(전)"))</f>
        <v/>
      </c>
      <c r="P344" s="45">
        <f>IF(COUNTIFS($C:$C,$C344,$D:$D,"기준(후)",$L:$L,"&gt;0")&lt;&gt;1,"",SUMIFS($H:$H,$C:$C,$C344,$D:$D,"기준(후)"))</f>
        <v/>
      </c>
      <c r="Q344" s="30">
        <f>IF(COUNTIFS($C:$C,$C344,$D:$D,"기준(후)",$L:$L,"&gt;0")&lt;&gt;1,"",SUMIFS($L:$L,$C:$C,$C344,$D:$D,"기준(후)"))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IF(OR($D343&lt;&gt;"측정",$C343&lt;&gt;$C344,NOT(ISNUMBER(L344)),NOT(ISNUMBER(L343)),(IF(ISNUMBER(F344),F344,E344)-IF(ISNUMBER(F343),F343,E343))=0),"",(L344-L343)/((IF(ISNUMBER(F344),F344,E344)-IF(ISNUMBER(F343),F343,E343))/100))</f>
        <v/>
      </c>
      <c r="U344" s="28" t="n"/>
      <c r="V344" s="28" t="n"/>
      <c r="W344" s="31" t="n"/>
    </row>
    <row r="345">
      <c r="A345" s="25" t="inlineStr">
        <is>
          <t>S29</t>
        </is>
      </c>
      <c r="B345" s="25" t="inlineStr">
        <is>
          <t>가야 신규점1</t>
        </is>
      </c>
      <c r="C345" s="25" t="inlineStr">
        <is>
          <t>S29-V</t>
        </is>
      </c>
      <c r="D345" s="25" t="inlineStr">
        <is>
          <t>측정</t>
        </is>
      </c>
      <c r="E345" s="48" t="n">
        <v>80</v>
      </c>
      <c r="F345" s="40" t="n"/>
      <c r="G345" s="28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IF(COUNTIFS($C:$C,$C345,$D:$D,"기준(전)",$L:$L,"&gt;0")&lt;&gt;1,"기준(전) 유효 1개 아님",IF(COUNTIFS($C:$C,$C345,$D:$D,"기준(후)",$L:$L,"&gt;0")&lt;&gt;1,"기준(후) 유효 1개 아님",IF(NOT(AND(ISNUMBER(N345),ISNUMBER(P345),ISNUMBER(H345))),"시각 결측",IF(P345&lt;=N345,"기준 시각 역전",IF(OR(H345&lt;N345,H345&gt;P345),"측정시각 구간 밖","OK")))))</f>
        <v/>
      </c>
      <c r="N345" s="45">
        <f>IF(COUNTIFS($C:$C,$C345,$D:$D,"기준(전)",$L:$L,"&gt;0")&lt;&gt;1,"",SUMIFS($H:$H,$C:$C,$C345,$D:$D,"기준(전)"))</f>
        <v/>
      </c>
      <c r="O345" s="30">
        <f>IF(COUNTIFS($C:$C,$C345,$D:$D,"기준(전)",$L:$L,"&gt;0")&lt;&gt;1,"",SUMIFS($L:$L,$C:$C,$C345,$D:$D,"기준(전)"))</f>
        <v/>
      </c>
      <c r="P345" s="45">
        <f>IF(COUNTIFS($C:$C,$C345,$D:$D,"기준(후)",$L:$L,"&gt;0")&lt;&gt;1,"",SUMIFS($H:$H,$C:$C,$C345,$D:$D,"기준(후)"))</f>
        <v/>
      </c>
      <c r="Q345" s="30">
        <f>IF(COUNTIFS($C:$C,$C345,$D:$D,"기준(후)",$L:$L,"&gt;0")&lt;&gt;1,"",SUMIFS($L:$L,$C:$C,$C345,$D:$D,"기준(후)"))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IF(OR($D344&lt;&gt;"측정",$C344&lt;&gt;$C345,NOT(ISNUMBER(L345)),NOT(ISNUMBER(L344)),(IF(ISNUMBER(F345),F345,E345)-IF(ISNUMBER(F344),F344,E344))=0),"",(L345-L344)/((IF(ISNUMBER(F345),F345,E345)-IF(ISNUMBER(F344),F344,E344))/100))</f>
        <v/>
      </c>
      <c r="U345" s="28" t="n"/>
      <c r="V345" s="28" t="n"/>
      <c r="W345" s="31" t="n"/>
    </row>
    <row r="346">
      <c r="A346" s="25" t="inlineStr">
        <is>
          <t>S29</t>
        </is>
      </c>
      <c r="B346" s="25" t="inlineStr">
        <is>
          <t>가야 신규점1</t>
        </is>
      </c>
      <c r="C346" s="25" t="inlineStr">
        <is>
          <t>S29-V</t>
        </is>
      </c>
      <c r="D346" s="25" t="inlineStr">
        <is>
          <t>측정</t>
        </is>
      </c>
      <c r="E346" s="48" t="n">
        <v>100</v>
      </c>
      <c r="F346" s="40" t="n"/>
      <c r="G346" s="28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IF(COUNTIFS($C:$C,$C346,$D:$D,"기준(전)",$L:$L,"&gt;0")&lt;&gt;1,"기준(전) 유효 1개 아님",IF(COUNTIFS($C:$C,$C346,$D:$D,"기준(후)",$L:$L,"&gt;0")&lt;&gt;1,"기준(후) 유효 1개 아님",IF(NOT(AND(ISNUMBER(N346),ISNUMBER(P346),ISNUMBER(H346))),"시각 결측",IF(P346&lt;=N346,"기준 시각 역전",IF(OR(H346&lt;N346,H346&gt;P346),"측정시각 구간 밖","OK")))))</f>
        <v/>
      </c>
      <c r="N346" s="45">
        <f>IF(COUNTIFS($C:$C,$C346,$D:$D,"기준(전)",$L:$L,"&gt;0")&lt;&gt;1,"",SUMIFS($H:$H,$C:$C,$C346,$D:$D,"기준(전)"))</f>
        <v/>
      </c>
      <c r="O346" s="30">
        <f>IF(COUNTIFS($C:$C,$C346,$D:$D,"기준(전)",$L:$L,"&gt;0")&lt;&gt;1,"",SUMIFS($L:$L,$C:$C,$C346,$D:$D,"기준(전)"))</f>
        <v/>
      </c>
      <c r="P346" s="45">
        <f>IF(COUNTIFS($C:$C,$C346,$D:$D,"기준(후)",$L:$L,"&gt;0")&lt;&gt;1,"",SUMIFS($H:$H,$C:$C,$C346,$D:$D,"기준(후)"))</f>
        <v/>
      </c>
      <c r="Q346" s="30">
        <f>IF(COUNTIFS($C:$C,$C346,$D:$D,"기준(후)",$L:$L,"&gt;0")&lt;&gt;1,"",SUMIFS($L:$L,$C:$C,$C346,$D:$D,"기준(후)"))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IF(OR($D345&lt;&gt;"측정",$C345&lt;&gt;$C346,NOT(ISNUMBER(L346)),NOT(ISNUMBER(L345)),(IF(ISNUMBER(F346),F346,E346)-IF(ISNUMBER(F345),F345,E345))=0),"",(L346-L345)/((IF(ISNUMBER(F346),F346,E346)-IF(ISNUMBER(F345),F345,E345))/100))</f>
        <v/>
      </c>
      <c r="U346" s="28" t="n"/>
      <c r="V346" s="28" t="n"/>
      <c r="W346" s="31" t="n"/>
    </row>
    <row r="347">
      <c r="A347" s="25" t="inlineStr">
        <is>
          <t>S29</t>
        </is>
      </c>
      <c r="B347" s="25" t="inlineStr">
        <is>
          <t>가야 신규점1</t>
        </is>
      </c>
      <c r="C347" s="25" t="inlineStr">
        <is>
          <t>S29-V</t>
        </is>
      </c>
      <c r="D347" s="25" t="inlineStr">
        <is>
          <t>측정</t>
        </is>
      </c>
      <c r="E347" s="48" t="n">
        <v>120</v>
      </c>
      <c r="F347" s="40" t="n"/>
      <c r="G347" s="28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IF(COUNTIFS($C:$C,$C347,$D:$D,"기준(전)",$L:$L,"&gt;0")&lt;&gt;1,"기준(전) 유효 1개 아님",IF(COUNTIFS($C:$C,$C347,$D:$D,"기준(후)",$L:$L,"&gt;0")&lt;&gt;1,"기준(후) 유효 1개 아님",IF(NOT(AND(ISNUMBER(N347),ISNUMBER(P347),ISNUMBER(H347))),"시각 결측",IF(P347&lt;=N347,"기준 시각 역전",IF(OR(H347&lt;N347,H347&gt;P347),"측정시각 구간 밖","OK")))))</f>
        <v/>
      </c>
      <c r="N347" s="45">
        <f>IF(COUNTIFS($C:$C,$C347,$D:$D,"기준(전)",$L:$L,"&gt;0")&lt;&gt;1,"",SUMIFS($H:$H,$C:$C,$C347,$D:$D,"기준(전)"))</f>
        <v/>
      </c>
      <c r="O347" s="30">
        <f>IF(COUNTIFS($C:$C,$C347,$D:$D,"기준(전)",$L:$L,"&gt;0")&lt;&gt;1,"",SUMIFS($L:$L,$C:$C,$C347,$D:$D,"기준(전)"))</f>
        <v/>
      </c>
      <c r="P347" s="45">
        <f>IF(COUNTIFS($C:$C,$C347,$D:$D,"기준(후)",$L:$L,"&gt;0")&lt;&gt;1,"",SUMIFS($H:$H,$C:$C,$C347,$D:$D,"기준(후)"))</f>
        <v/>
      </c>
      <c r="Q347" s="30">
        <f>IF(COUNTIFS($C:$C,$C347,$D:$D,"기준(후)",$L:$L,"&gt;0")&lt;&gt;1,"",SUMIFS($L:$L,$C:$C,$C347,$D:$D,"기준(후)"))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IF(OR($D346&lt;&gt;"측정",$C346&lt;&gt;$C347,NOT(ISNUMBER(L347)),NOT(ISNUMBER(L346)),(IF(ISNUMBER(F347),F347,E347)-IF(ISNUMBER(F346),F346,E346))=0),"",(L347-L346)/((IF(ISNUMBER(F347),F347,E347)-IF(ISNUMBER(F346),F346,E346))/100))</f>
        <v/>
      </c>
      <c r="U347" s="28" t="n"/>
      <c r="V347" s="28" t="n"/>
      <c r="W347" s="31" t="n"/>
    </row>
    <row r="348">
      <c r="A348" s="25" t="inlineStr">
        <is>
          <t>S29</t>
        </is>
      </c>
      <c r="B348" s="25" t="inlineStr">
        <is>
          <t>가야 신규점1</t>
        </is>
      </c>
      <c r="C348" s="25" t="inlineStr">
        <is>
          <t>S29-V</t>
        </is>
      </c>
      <c r="D348" s="25" t="inlineStr">
        <is>
          <t>측정</t>
        </is>
      </c>
      <c r="E348" s="48" t="n">
        <v>140</v>
      </c>
      <c r="F348" s="40" t="n"/>
      <c r="G348" s="28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IF(COUNTIFS($C:$C,$C348,$D:$D,"기준(전)",$L:$L,"&gt;0")&lt;&gt;1,"기준(전) 유효 1개 아님",IF(COUNTIFS($C:$C,$C348,$D:$D,"기준(후)",$L:$L,"&gt;0")&lt;&gt;1,"기준(후) 유효 1개 아님",IF(NOT(AND(ISNUMBER(N348),ISNUMBER(P348),ISNUMBER(H348))),"시각 결측",IF(P348&lt;=N348,"기준 시각 역전",IF(OR(H348&lt;N348,H348&gt;P348),"측정시각 구간 밖","OK")))))</f>
        <v/>
      </c>
      <c r="N348" s="45">
        <f>IF(COUNTIFS($C:$C,$C348,$D:$D,"기준(전)",$L:$L,"&gt;0")&lt;&gt;1,"",SUMIFS($H:$H,$C:$C,$C348,$D:$D,"기준(전)"))</f>
        <v/>
      </c>
      <c r="O348" s="30">
        <f>IF(COUNTIFS($C:$C,$C348,$D:$D,"기준(전)",$L:$L,"&gt;0")&lt;&gt;1,"",SUMIFS($L:$L,$C:$C,$C348,$D:$D,"기준(전)"))</f>
        <v/>
      </c>
      <c r="P348" s="45">
        <f>IF(COUNTIFS($C:$C,$C348,$D:$D,"기준(후)",$L:$L,"&gt;0")&lt;&gt;1,"",SUMIFS($H:$H,$C:$C,$C348,$D:$D,"기준(후)"))</f>
        <v/>
      </c>
      <c r="Q348" s="30">
        <f>IF(COUNTIFS($C:$C,$C348,$D:$D,"기준(후)",$L:$L,"&gt;0")&lt;&gt;1,"",SUMIFS($L:$L,$C:$C,$C348,$D:$D,"기준(후)"))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IF(OR($D347&lt;&gt;"측정",$C347&lt;&gt;$C348,NOT(ISNUMBER(L348)),NOT(ISNUMBER(L347)),(IF(ISNUMBER(F348),F348,E348)-IF(ISNUMBER(F347),F347,E347))=0),"",(L348-L347)/((IF(ISNUMBER(F348),F348,E348)-IF(ISNUMBER(F347),F347,E347))/100))</f>
        <v/>
      </c>
      <c r="U348" s="28" t="n"/>
      <c r="V348" s="28" t="n"/>
      <c r="W348" s="31" t="n"/>
    </row>
    <row r="349">
      <c r="A349" s="25" t="inlineStr">
        <is>
          <t>S29</t>
        </is>
      </c>
      <c r="B349" s="25" t="inlineStr">
        <is>
          <t>가야 신규점1</t>
        </is>
      </c>
      <c r="C349" s="25" t="inlineStr">
        <is>
          <t>S29-V</t>
        </is>
      </c>
      <c r="D349" s="25" t="inlineStr">
        <is>
          <t>측정</t>
        </is>
      </c>
      <c r="E349" s="48" t="n">
        <v>160</v>
      </c>
      <c r="F349" s="40" t="n"/>
      <c r="G349" s="28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IF(COUNTIFS($C:$C,$C349,$D:$D,"기준(전)",$L:$L,"&gt;0")&lt;&gt;1,"기준(전) 유효 1개 아님",IF(COUNTIFS($C:$C,$C349,$D:$D,"기준(후)",$L:$L,"&gt;0")&lt;&gt;1,"기준(후) 유효 1개 아님",IF(NOT(AND(ISNUMBER(N349),ISNUMBER(P349),ISNUMBER(H349))),"시각 결측",IF(P349&lt;=N349,"기준 시각 역전",IF(OR(H349&lt;N349,H349&gt;P349),"측정시각 구간 밖","OK")))))</f>
        <v/>
      </c>
      <c r="N349" s="45">
        <f>IF(COUNTIFS($C:$C,$C349,$D:$D,"기준(전)",$L:$L,"&gt;0")&lt;&gt;1,"",SUMIFS($H:$H,$C:$C,$C349,$D:$D,"기준(전)"))</f>
        <v/>
      </c>
      <c r="O349" s="30">
        <f>IF(COUNTIFS($C:$C,$C349,$D:$D,"기준(전)",$L:$L,"&gt;0")&lt;&gt;1,"",SUMIFS($L:$L,$C:$C,$C349,$D:$D,"기준(전)"))</f>
        <v/>
      </c>
      <c r="P349" s="45">
        <f>IF(COUNTIFS($C:$C,$C349,$D:$D,"기준(후)",$L:$L,"&gt;0")&lt;&gt;1,"",SUMIFS($H:$H,$C:$C,$C349,$D:$D,"기준(후)"))</f>
        <v/>
      </c>
      <c r="Q349" s="30">
        <f>IF(COUNTIFS($C:$C,$C349,$D:$D,"기준(후)",$L:$L,"&gt;0")&lt;&gt;1,"",SUMIFS($L:$L,$C:$C,$C349,$D:$D,"기준(후)"))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IF(OR($D348&lt;&gt;"측정",$C348&lt;&gt;$C349,NOT(ISNUMBER(L349)),NOT(ISNUMBER(L348)),(IF(ISNUMBER(F349),F349,E349)-IF(ISNUMBER(F348),F348,E348))=0),"",(L349-L348)/((IF(ISNUMBER(F349),F349,E349)-IF(ISNUMBER(F348),F348,E348))/100))</f>
        <v/>
      </c>
      <c r="U349" s="28" t="n"/>
      <c r="V349" s="28" t="n"/>
      <c r="W349" s="31" t="n"/>
    </row>
    <row r="350">
      <c r="A350" s="25" t="inlineStr">
        <is>
          <t>S29</t>
        </is>
      </c>
      <c r="B350" s="25" t="inlineStr">
        <is>
          <t>가야 신규점1</t>
        </is>
      </c>
      <c r="C350" s="25" t="inlineStr">
        <is>
          <t>S29-V</t>
        </is>
      </c>
      <c r="D350" s="25" t="inlineStr">
        <is>
          <t>측정</t>
        </is>
      </c>
      <c r="E350" s="48" t="n">
        <v>180</v>
      </c>
      <c r="F350" s="40" t="n"/>
      <c r="G350" s="28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IF(COUNTIFS($C:$C,$C350,$D:$D,"기준(전)",$L:$L,"&gt;0")&lt;&gt;1,"기준(전) 유효 1개 아님",IF(COUNTIFS($C:$C,$C350,$D:$D,"기준(후)",$L:$L,"&gt;0")&lt;&gt;1,"기준(후) 유효 1개 아님",IF(NOT(AND(ISNUMBER(N350),ISNUMBER(P350),ISNUMBER(H350))),"시각 결측",IF(P350&lt;=N350,"기준 시각 역전",IF(OR(H350&lt;N350,H350&gt;P350),"측정시각 구간 밖","OK")))))</f>
        <v/>
      </c>
      <c r="N350" s="45">
        <f>IF(COUNTIFS($C:$C,$C350,$D:$D,"기준(전)",$L:$L,"&gt;0")&lt;&gt;1,"",SUMIFS($H:$H,$C:$C,$C350,$D:$D,"기준(전)"))</f>
        <v/>
      </c>
      <c r="O350" s="30">
        <f>IF(COUNTIFS($C:$C,$C350,$D:$D,"기준(전)",$L:$L,"&gt;0")&lt;&gt;1,"",SUMIFS($L:$L,$C:$C,$C350,$D:$D,"기준(전)"))</f>
        <v/>
      </c>
      <c r="P350" s="45">
        <f>IF(COUNTIFS($C:$C,$C350,$D:$D,"기준(후)",$L:$L,"&gt;0")&lt;&gt;1,"",SUMIFS($H:$H,$C:$C,$C350,$D:$D,"기준(후)"))</f>
        <v/>
      </c>
      <c r="Q350" s="30">
        <f>IF(COUNTIFS($C:$C,$C350,$D:$D,"기준(후)",$L:$L,"&gt;0")&lt;&gt;1,"",SUMIFS($L:$L,$C:$C,$C350,$D:$D,"기준(후)"))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IF(OR($D349&lt;&gt;"측정",$C349&lt;&gt;$C350,NOT(ISNUMBER(L350)),NOT(ISNUMBER(L349)),(IF(ISNUMBER(F350),F350,E350)-IF(ISNUMBER(F349),F349,E349))=0),"",(L350-L349)/((IF(ISNUMBER(F350),F350,E350)-IF(ISNUMBER(F349),F349,E349))/100))</f>
        <v/>
      </c>
      <c r="U350" s="28" t="n"/>
      <c r="V350" s="28" t="n"/>
      <c r="W350" s="31" t="n"/>
    </row>
    <row r="351">
      <c r="A351" s="25" t="inlineStr">
        <is>
          <t>S29</t>
        </is>
      </c>
      <c r="B351" s="25" t="inlineStr">
        <is>
          <t>가야 신규점1</t>
        </is>
      </c>
      <c r="C351" s="25" t="inlineStr">
        <is>
          <t>S29-V</t>
        </is>
      </c>
      <c r="D351" s="25" t="inlineStr">
        <is>
          <t>측정</t>
        </is>
      </c>
      <c r="E351" s="48" t="n">
        <v>200</v>
      </c>
      <c r="F351" s="40" t="n"/>
      <c r="G351" s="28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IF(COUNTIFS($C:$C,$C351,$D:$D,"기준(전)",$L:$L,"&gt;0")&lt;&gt;1,"기준(전) 유효 1개 아님",IF(COUNTIFS($C:$C,$C351,$D:$D,"기준(후)",$L:$L,"&gt;0")&lt;&gt;1,"기준(후) 유효 1개 아님",IF(NOT(AND(ISNUMBER(N351),ISNUMBER(P351),ISNUMBER(H351))),"시각 결측",IF(P351&lt;=N351,"기준 시각 역전",IF(OR(H351&lt;N351,H351&gt;P351),"측정시각 구간 밖","OK")))))</f>
        <v/>
      </c>
      <c r="N351" s="45">
        <f>IF(COUNTIFS($C:$C,$C351,$D:$D,"기준(전)",$L:$L,"&gt;0")&lt;&gt;1,"",SUMIFS($H:$H,$C:$C,$C351,$D:$D,"기준(전)"))</f>
        <v/>
      </c>
      <c r="O351" s="30">
        <f>IF(COUNTIFS($C:$C,$C351,$D:$D,"기준(전)",$L:$L,"&gt;0")&lt;&gt;1,"",SUMIFS($L:$L,$C:$C,$C351,$D:$D,"기준(전)"))</f>
        <v/>
      </c>
      <c r="P351" s="45">
        <f>IF(COUNTIFS($C:$C,$C351,$D:$D,"기준(후)",$L:$L,"&gt;0")&lt;&gt;1,"",SUMIFS($H:$H,$C:$C,$C351,$D:$D,"기준(후)"))</f>
        <v/>
      </c>
      <c r="Q351" s="30">
        <f>IF(COUNTIFS($C:$C,$C351,$D:$D,"기준(후)",$L:$L,"&gt;0")&lt;&gt;1,"",SUMIFS($L:$L,$C:$C,$C351,$D:$D,"기준(후)"))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IF(OR($D350&lt;&gt;"측정",$C350&lt;&gt;$C351,NOT(ISNUMBER(L351)),NOT(ISNUMBER(L350)),(IF(ISNUMBER(F351),F351,E351)-IF(ISNUMBER(F350),F350,E350))=0),"",(L351-L350)/((IF(ISNUMBER(F351),F351,E351)-IF(ISNUMBER(F350),F350,E350))/100))</f>
        <v/>
      </c>
      <c r="U351" s="28" t="n"/>
      <c r="V351" s="28" t="n"/>
      <c r="W351" s="31" t="n"/>
    </row>
    <row r="352">
      <c r="A352" s="43" t="inlineStr">
        <is>
          <t>S29</t>
        </is>
      </c>
      <c r="B352" s="43" t="inlineStr">
        <is>
          <t>가야 신규점1</t>
        </is>
      </c>
      <c r="C352" s="43" t="inlineStr">
        <is>
          <t>S29-V</t>
        </is>
      </c>
      <c r="D352" s="43" t="inlineStr">
        <is>
          <t>기준(후)</t>
        </is>
      </c>
      <c r="E352" s="47" t="n"/>
      <c r="F352" s="40" t="n"/>
      <c r="G352" s="28" t="n"/>
      <c r="H352" s="42" t="n"/>
      <c r="I352" s="40" t="n"/>
      <c r="J352" s="40" t="n"/>
      <c r="K352" s="40" t="n"/>
      <c r="L352" s="30">
        <f>IF(COUNT(I352:K352)=0,"",MEDIAN(I352:K352))</f>
        <v/>
      </c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28" t="n"/>
      <c r="V352" s="28" t="n"/>
      <c r="W352" s="31" t="n"/>
    </row>
    <row r="353">
      <c r="A353" s="43" t="inlineStr">
        <is>
          <t>S30</t>
        </is>
      </c>
      <c r="B353" s="43" t="inlineStr">
        <is>
          <t>창녕 신규점</t>
        </is>
      </c>
      <c r="C353" s="43" t="inlineStr">
        <is>
          <t>S30-V</t>
        </is>
      </c>
      <c r="D353" s="43" t="inlineStr">
        <is>
          <t>기준(전)</t>
        </is>
      </c>
      <c r="E353" s="47" t="n"/>
      <c r="F353" s="40" t="n"/>
      <c r="G353" s="28" t="n"/>
      <c r="H353" s="42" t="n"/>
      <c r="I353" s="40" t="n"/>
      <c r="J353" s="40" t="n"/>
      <c r="K353" s="40" t="n"/>
      <c r="L353" s="30">
        <f>IF(COUNT(I353:K353)=0,"",MEDIAN(I353:K353))</f>
        <v/>
      </c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28" t="n"/>
      <c r="V353" s="28" t="n"/>
      <c r="W353" s="31" t="n"/>
    </row>
    <row r="354">
      <c r="A354" s="25" t="inlineStr">
        <is>
          <t>S30</t>
        </is>
      </c>
      <c r="B354" s="25" t="inlineStr">
        <is>
          <t>창녕 신규점</t>
        </is>
      </c>
      <c r="C354" s="25" t="inlineStr">
        <is>
          <t>S30-V</t>
        </is>
      </c>
      <c r="D354" s="25" t="inlineStr">
        <is>
          <t>측정</t>
        </is>
      </c>
      <c r="E354" s="48" t="n">
        <v>20</v>
      </c>
      <c r="F354" s="40" t="n"/>
      <c r="G354" s="28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IF(COUNTIFS($C:$C,$C354,$D:$D,"기준(전)",$L:$L,"&gt;0")&lt;&gt;1,"기준(전) 유효 1개 아님",IF(COUNTIFS($C:$C,$C354,$D:$D,"기준(후)",$L:$L,"&gt;0")&lt;&gt;1,"기준(후) 유효 1개 아님",IF(NOT(AND(ISNUMBER(N354),ISNUMBER(P354),ISNUMBER(H354))),"시각 결측",IF(P354&lt;=N354,"기준 시각 역전",IF(OR(H354&lt;N354,H354&gt;P354),"측정시각 구간 밖","OK")))))</f>
        <v/>
      </c>
      <c r="N354" s="45">
        <f>IF(COUNTIFS($C:$C,$C354,$D:$D,"기준(전)",$L:$L,"&gt;0")&lt;&gt;1,"",SUMIFS($H:$H,$C:$C,$C354,$D:$D,"기준(전)"))</f>
        <v/>
      </c>
      <c r="O354" s="30">
        <f>IF(COUNTIFS($C:$C,$C354,$D:$D,"기준(전)",$L:$L,"&gt;0")&lt;&gt;1,"",SUMIFS($L:$L,$C:$C,$C354,$D:$D,"기준(전)"))</f>
        <v/>
      </c>
      <c r="P354" s="45">
        <f>IF(COUNTIFS($C:$C,$C354,$D:$D,"기준(후)",$L:$L,"&gt;0")&lt;&gt;1,"",SUMIFS($H:$H,$C:$C,$C354,$D:$D,"기준(후)"))</f>
        <v/>
      </c>
      <c r="Q354" s="30">
        <f>IF(COUNTIFS($C:$C,$C354,$D:$D,"기준(후)",$L:$L,"&gt;0")&lt;&gt;1,"",SUMIFS($L:$L,$C:$C,$C354,$D:$D,"기준(후)"))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IF(OR($D353&lt;&gt;"측정",$C353&lt;&gt;$C354,NOT(ISNUMBER(L354)),NOT(ISNUMBER(L353)),(IF(ISNUMBER(F354),F354,E354)-IF(ISNUMBER(F353),F353,E353))=0),"",(L354-L353)/((IF(ISNUMBER(F354),F354,E354)-IF(ISNUMBER(F353),F353,E353))/100))</f>
        <v/>
      </c>
      <c r="U354" s="28" t="n"/>
      <c r="V354" s="28" t="n"/>
      <c r="W354" s="31" t="n"/>
    </row>
    <row r="355">
      <c r="A355" s="25" t="inlineStr">
        <is>
          <t>S30</t>
        </is>
      </c>
      <c r="B355" s="25" t="inlineStr">
        <is>
          <t>창녕 신규점</t>
        </is>
      </c>
      <c r="C355" s="25" t="inlineStr">
        <is>
          <t>S30-V</t>
        </is>
      </c>
      <c r="D355" s="25" t="inlineStr">
        <is>
          <t>측정</t>
        </is>
      </c>
      <c r="E355" s="48" t="n">
        <v>40</v>
      </c>
      <c r="F355" s="40" t="n"/>
      <c r="G355" s="28" t="n"/>
      <c r="H355" s="42" t="n"/>
      <c r="I355" s="40" t="n"/>
      <c r="J355" s="40" t="n"/>
      <c r="K355" s="40" t="n"/>
      <c r="L355" s="30">
        <f>IF(COUNT(I355:K355)=0,"",MEDIAN(I355:K355))</f>
        <v/>
      </c>
      <c r="M355" s="25">
        <f>IF(COUNTIFS($C:$C,$C355,$D:$D,"기준(전)",$L:$L,"&gt;0")&lt;&gt;1,"기준(전) 유효 1개 아님",IF(COUNTIFS($C:$C,$C355,$D:$D,"기준(후)",$L:$L,"&gt;0")&lt;&gt;1,"기준(후) 유효 1개 아님",IF(NOT(AND(ISNUMBER(N355),ISNUMBER(P355),ISNUMBER(H355))),"시각 결측",IF(P355&lt;=N355,"기준 시각 역전",IF(OR(H355&lt;N355,H355&gt;P355),"측정시각 구간 밖","OK")))))</f>
        <v/>
      </c>
      <c r="N355" s="45">
        <f>IF(COUNTIFS($C:$C,$C355,$D:$D,"기준(전)",$L:$L,"&gt;0")&lt;&gt;1,"",SUMIFS($H:$H,$C:$C,$C355,$D:$D,"기준(전)"))</f>
        <v/>
      </c>
      <c r="O355" s="30">
        <f>IF(COUNTIFS($C:$C,$C355,$D:$D,"기준(전)",$L:$L,"&gt;0")&lt;&gt;1,"",SUMIFS($L:$L,$C:$C,$C355,$D:$D,"기준(전)"))</f>
        <v/>
      </c>
      <c r="P355" s="45">
        <f>IF(COUNTIFS($C:$C,$C355,$D:$D,"기준(후)",$L:$L,"&gt;0")&lt;&gt;1,"",SUMIFS($H:$H,$C:$C,$C355,$D:$D,"기준(후)"))</f>
        <v/>
      </c>
      <c r="Q355" s="30">
        <f>IF(COUNTIFS($C:$C,$C355,$D:$D,"기준(후)",$L:$L,"&gt;0")&lt;&gt;1,"",SUMIFS($L:$L,$C:$C,$C355,$D:$D,"기준(후)"))</f>
        <v/>
      </c>
      <c r="R355" s="30">
        <f>IF(M355&lt;&gt;"OK","",O355+(Q355-O355)*(H355-N355)/(P355-N355))</f>
        <v/>
      </c>
      <c r="S355" s="30">
        <f>IF(OR(M355&lt;&gt;"OK",NOT(ISNUMBER(L355))),"",L355-R355)</f>
        <v/>
      </c>
      <c r="T355" s="46">
        <f>IF(OR($D354&lt;&gt;"측정",$C354&lt;&gt;$C355,NOT(ISNUMBER(L355)),NOT(ISNUMBER(L354)),(IF(ISNUMBER(F355),F355,E355)-IF(ISNUMBER(F354),F354,E354))=0),"",(L355-L354)/((IF(ISNUMBER(F355),F355,E355)-IF(ISNUMBER(F354),F354,E354))/100))</f>
        <v/>
      </c>
      <c r="U355" s="28" t="n"/>
      <c r="V355" s="28" t="n"/>
      <c r="W355" s="31" t="n"/>
    </row>
    <row r="356">
      <c r="A356" s="25" t="inlineStr">
        <is>
          <t>S30</t>
        </is>
      </c>
      <c r="B356" s="25" t="inlineStr">
        <is>
          <t>창녕 신규점</t>
        </is>
      </c>
      <c r="C356" s="25" t="inlineStr">
        <is>
          <t>S30-V</t>
        </is>
      </c>
      <c r="D356" s="25" t="inlineStr">
        <is>
          <t>측정</t>
        </is>
      </c>
      <c r="E356" s="48" t="n">
        <v>60</v>
      </c>
      <c r="F356" s="40" t="n"/>
      <c r="G356" s="28" t="n"/>
      <c r="H356" s="42" t="n"/>
      <c r="I356" s="40" t="n"/>
      <c r="J356" s="40" t="n"/>
      <c r="K356" s="40" t="n"/>
      <c r="L356" s="30">
        <f>IF(COUNT(I356:K356)=0,"",MEDIAN(I356:K356))</f>
        <v/>
      </c>
      <c r="M356" s="25">
        <f>IF(COUNTIFS($C:$C,$C356,$D:$D,"기준(전)",$L:$L,"&gt;0")&lt;&gt;1,"기준(전) 유효 1개 아님",IF(COUNTIFS($C:$C,$C356,$D:$D,"기준(후)",$L:$L,"&gt;0")&lt;&gt;1,"기준(후) 유효 1개 아님",IF(NOT(AND(ISNUMBER(N356),ISNUMBER(P356),ISNUMBER(H356))),"시각 결측",IF(P356&lt;=N356,"기준 시각 역전",IF(OR(H356&lt;N356,H356&gt;P356),"측정시각 구간 밖","OK")))))</f>
        <v/>
      </c>
      <c r="N356" s="45">
        <f>IF(COUNTIFS($C:$C,$C356,$D:$D,"기준(전)",$L:$L,"&gt;0")&lt;&gt;1,"",SUMIFS($H:$H,$C:$C,$C356,$D:$D,"기준(전)"))</f>
        <v/>
      </c>
      <c r="O356" s="30">
        <f>IF(COUNTIFS($C:$C,$C356,$D:$D,"기준(전)",$L:$L,"&gt;0")&lt;&gt;1,"",SUMIFS($L:$L,$C:$C,$C356,$D:$D,"기준(전)"))</f>
        <v/>
      </c>
      <c r="P356" s="45">
        <f>IF(COUNTIFS($C:$C,$C356,$D:$D,"기준(후)",$L:$L,"&gt;0")&lt;&gt;1,"",SUMIFS($H:$H,$C:$C,$C356,$D:$D,"기준(후)"))</f>
        <v/>
      </c>
      <c r="Q356" s="30">
        <f>IF(COUNTIFS($C:$C,$C356,$D:$D,"기준(후)",$L:$L,"&gt;0")&lt;&gt;1,"",SUMIFS($L:$L,$C:$C,$C356,$D:$D,"기준(후)"))</f>
        <v/>
      </c>
      <c r="R356" s="30">
        <f>IF(M356&lt;&gt;"OK","",O356+(Q356-O356)*(H356-N356)/(P356-N356))</f>
        <v/>
      </c>
      <c r="S356" s="30">
        <f>IF(OR(M356&lt;&gt;"OK",NOT(ISNUMBER(L356))),"",L356-R356)</f>
        <v/>
      </c>
      <c r="T356" s="46">
        <f>IF(OR($D355&lt;&gt;"측정",$C355&lt;&gt;$C356,NOT(ISNUMBER(L356)),NOT(ISNUMBER(L355)),(IF(ISNUMBER(F356),F356,E356)-IF(ISNUMBER(F355),F355,E355))=0),"",(L356-L355)/((IF(ISNUMBER(F356),F356,E356)-IF(ISNUMBER(F355),F355,E355))/100))</f>
        <v/>
      </c>
      <c r="U356" s="28" t="n"/>
      <c r="V356" s="28" t="n"/>
      <c r="W356" s="31" t="n"/>
    </row>
    <row r="357">
      <c r="A357" s="25" t="inlineStr">
        <is>
          <t>S30</t>
        </is>
      </c>
      <c r="B357" s="25" t="inlineStr">
        <is>
          <t>창녕 신규점</t>
        </is>
      </c>
      <c r="C357" s="25" t="inlineStr">
        <is>
          <t>S30-V</t>
        </is>
      </c>
      <c r="D357" s="25" t="inlineStr">
        <is>
          <t>측정</t>
        </is>
      </c>
      <c r="E357" s="48" t="n">
        <v>80</v>
      </c>
      <c r="F357" s="40" t="n"/>
      <c r="G357" s="28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IF(COUNTIFS($C:$C,$C357,$D:$D,"기준(전)",$L:$L,"&gt;0")&lt;&gt;1,"기준(전) 유효 1개 아님",IF(COUNTIFS($C:$C,$C357,$D:$D,"기준(후)",$L:$L,"&gt;0")&lt;&gt;1,"기준(후) 유효 1개 아님",IF(NOT(AND(ISNUMBER(N357),ISNUMBER(P357),ISNUMBER(H357))),"시각 결측",IF(P357&lt;=N357,"기준 시각 역전",IF(OR(H357&lt;N357,H357&gt;P357),"측정시각 구간 밖","OK")))))</f>
        <v/>
      </c>
      <c r="N357" s="45">
        <f>IF(COUNTIFS($C:$C,$C357,$D:$D,"기준(전)",$L:$L,"&gt;0")&lt;&gt;1,"",SUMIFS($H:$H,$C:$C,$C357,$D:$D,"기준(전)"))</f>
        <v/>
      </c>
      <c r="O357" s="30">
        <f>IF(COUNTIFS($C:$C,$C357,$D:$D,"기준(전)",$L:$L,"&gt;0")&lt;&gt;1,"",SUMIFS($L:$L,$C:$C,$C357,$D:$D,"기준(전)"))</f>
        <v/>
      </c>
      <c r="P357" s="45">
        <f>IF(COUNTIFS($C:$C,$C357,$D:$D,"기준(후)",$L:$L,"&gt;0")&lt;&gt;1,"",SUMIFS($H:$H,$C:$C,$C357,$D:$D,"기준(후)"))</f>
        <v/>
      </c>
      <c r="Q357" s="30">
        <f>IF(COUNTIFS($C:$C,$C357,$D:$D,"기준(후)",$L:$L,"&gt;0")&lt;&gt;1,"",SUMIFS($L:$L,$C:$C,$C357,$D:$D,"기준(후)"))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IF(OR($D356&lt;&gt;"측정",$C356&lt;&gt;$C357,NOT(ISNUMBER(L357)),NOT(ISNUMBER(L356)),(IF(ISNUMBER(F357),F357,E357)-IF(ISNUMBER(F356),F356,E356))=0),"",(L357-L356)/((IF(ISNUMBER(F357),F357,E357)-IF(ISNUMBER(F356),F356,E356))/100))</f>
        <v/>
      </c>
      <c r="U357" s="28" t="n"/>
      <c r="V357" s="28" t="n"/>
      <c r="W357" s="31" t="n"/>
    </row>
    <row r="358">
      <c r="A358" s="25" t="inlineStr">
        <is>
          <t>S30</t>
        </is>
      </c>
      <c r="B358" s="25" t="inlineStr">
        <is>
          <t>창녕 신규점</t>
        </is>
      </c>
      <c r="C358" s="25" t="inlineStr">
        <is>
          <t>S30-V</t>
        </is>
      </c>
      <c r="D358" s="25" t="inlineStr">
        <is>
          <t>측정</t>
        </is>
      </c>
      <c r="E358" s="48" t="n">
        <v>100</v>
      </c>
      <c r="F358" s="40" t="n"/>
      <c r="G358" s="28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IF(COUNTIFS($C:$C,$C358,$D:$D,"기준(전)",$L:$L,"&gt;0")&lt;&gt;1,"기준(전) 유효 1개 아님",IF(COUNTIFS($C:$C,$C358,$D:$D,"기준(후)",$L:$L,"&gt;0")&lt;&gt;1,"기준(후) 유효 1개 아님",IF(NOT(AND(ISNUMBER(N358),ISNUMBER(P358),ISNUMBER(H358))),"시각 결측",IF(P358&lt;=N358,"기준 시각 역전",IF(OR(H358&lt;N358,H358&gt;P358),"측정시각 구간 밖","OK")))))</f>
        <v/>
      </c>
      <c r="N358" s="45">
        <f>IF(COUNTIFS($C:$C,$C358,$D:$D,"기준(전)",$L:$L,"&gt;0")&lt;&gt;1,"",SUMIFS($H:$H,$C:$C,$C358,$D:$D,"기준(전)"))</f>
        <v/>
      </c>
      <c r="O358" s="30">
        <f>IF(COUNTIFS($C:$C,$C358,$D:$D,"기준(전)",$L:$L,"&gt;0")&lt;&gt;1,"",SUMIFS($L:$L,$C:$C,$C358,$D:$D,"기준(전)"))</f>
        <v/>
      </c>
      <c r="P358" s="45">
        <f>IF(COUNTIFS($C:$C,$C358,$D:$D,"기준(후)",$L:$L,"&gt;0")&lt;&gt;1,"",SUMIFS($H:$H,$C:$C,$C358,$D:$D,"기준(후)"))</f>
        <v/>
      </c>
      <c r="Q358" s="30">
        <f>IF(COUNTIFS($C:$C,$C358,$D:$D,"기준(후)",$L:$L,"&gt;0")&lt;&gt;1,"",SUMIFS($L:$L,$C:$C,$C358,$D:$D,"기준(후)"))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IF(OR($D357&lt;&gt;"측정",$C357&lt;&gt;$C358,NOT(ISNUMBER(L358)),NOT(ISNUMBER(L357)),(IF(ISNUMBER(F358),F358,E358)-IF(ISNUMBER(F357),F357,E357))=0),"",(L358-L357)/((IF(ISNUMBER(F358),F358,E358)-IF(ISNUMBER(F357),F357,E357))/100))</f>
        <v/>
      </c>
      <c r="U358" s="28" t="n"/>
      <c r="V358" s="28" t="n"/>
      <c r="W358" s="31" t="n"/>
    </row>
    <row r="359">
      <c r="A359" s="25" t="inlineStr">
        <is>
          <t>S30</t>
        </is>
      </c>
      <c r="B359" s="25" t="inlineStr">
        <is>
          <t>창녕 신규점</t>
        </is>
      </c>
      <c r="C359" s="25" t="inlineStr">
        <is>
          <t>S30-V</t>
        </is>
      </c>
      <c r="D359" s="25" t="inlineStr">
        <is>
          <t>측정</t>
        </is>
      </c>
      <c r="E359" s="48" t="n">
        <v>120</v>
      </c>
      <c r="F359" s="40" t="n"/>
      <c r="G359" s="28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IF(COUNTIFS($C:$C,$C359,$D:$D,"기준(전)",$L:$L,"&gt;0")&lt;&gt;1,"기준(전) 유효 1개 아님",IF(COUNTIFS($C:$C,$C359,$D:$D,"기준(후)",$L:$L,"&gt;0")&lt;&gt;1,"기준(후) 유효 1개 아님",IF(NOT(AND(ISNUMBER(N359),ISNUMBER(P359),ISNUMBER(H359))),"시각 결측",IF(P359&lt;=N359,"기준 시각 역전",IF(OR(H359&lt;N359,H359&gt;P359),"측정시각 구간 밖","OK")))))</f>
        <v/>
      </c>
      <c r="N359" s="45">
        <f>IF(COUNTIFS($C:$C,$C359,$D:$D,"기준(전)",$L:$L,"&gt;0")&lt;&gt;1,"",SUMIFS($H:$H,$C:$C,$C359,$D:$D,"기준(전)"))</f>
        <v/>
      </c>
      <c r="O359" s="30">
        <f>IF(COUNTIFS($C:$C,$C359,$D:$D,"기준(전)",$L:$L,"&gt;0")&lt;&gt;1,"",SUMIFS($L:$L,$C:$C,$C359,$D:$D,"기준(전)"))</f>
        <v/>
      </c>
      <c r="P359" s="45">
        <f>IF(COUNTIFS($C:$C,$C359,$D:$D,"기준(후)",$L:$L,"&gt;0")&lt;&gt;1,"",SUMIFS($H:$H,$C:$C,$C359,$D:$D,"기준(후)"))</f>
        <v/>
      </c>
      <c r="Q359" s="30">
        <f>IF(COUNTIFS($C:$C,$C359,$D:$D,"기준(후)",$L:$L,"&gt;0")&lt;&gt;1,"",SUMIFS($L:$L,$C:$C,$C359,$D:$D,"기준(후)"))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IF(OR($D358&lt;&gt;"측정",$C358&lt;&gt;$C359,NOT(ISNUMBER(L359)),NOT(ISNUMBER(L358)),(IF(ISNUMBER(F359),F359,E359)-IF(ISNUMBER(F358),F358,E358))=0),"",(L359-L358)/((IF(ISNUMBER(F359),F359,E359)-IF(ISNUMBER(F358),F358,E358))/100))</f>
        <v/>
      </c>
      <c r="U359" s="28" t="n"/>
      <c r="V359" s="28" t="n"/>
      <c r="W359" s="31" t="n"/>
    </row>
    <row r="360">
      <c r="A360" s="25" t="inlineStr">
        <is>
          <t>S30</t>
        </is>
      </c>
      <c r="B360" s="25" t="inlineStr">
        <is>
          <t>창녕 신규점</t>
        </is>
      </c>
      <c r="C360" s="25" t="inlineStr">
        <is>
          <t>S30-V</t>
        </is>
      </c>
      <c r="D360" s="25" t="inlineStr">
        <is>
          <t>측정</t>
        </is>
      </c>
      <c r="E360" s="48" t="n">
        <v>140</v>
      </c>
      <c r="F360" s="40" t="n"/>
      <c r="G360" s="28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IF(COUNTIFS($C:$C,$C360,$D:$D,"기준(전)",$L:$L,"&gt;0")&lt;&gt;1,"기준(전) 유효 1개 아님",IF(COUNTIFS($C:$C,$C360,$D:$D,"기준(후)",$L:$L,"&gt;0")&lt;&gt;1,"기준(후) 유효 1개 아님",IF(NOT(AND(ISNUMBER(N360),ISNUMBER(P360),ISNUMBER(H360))),"시각 결측",IF(P360&lt;=N360,"기준 시각 역전",IF(OR(H360&lt;N360,H360&gt;P360),"측정시각 구간 밖","OK")))))</f>
        <v/>
      </c>
      <c r="N360" s="45">
        <f>IF(COUNTIFS($C:$C,$C360,$D:$D,"기준(전)",$L:$L,"&gt;0")&lt;&gt;1,"",SUMIFS($H:$H,$C:$C,$C360,$D:$D,"기준(전)"))</f>
        <v/>
      </c>
      <c r="O360" s="30">
        <f>IF(COUNTIFS($C:$C,$C360,$D:$D,"기준(전)",$L:$L,"&gt;0")&lt;&gt;1,"",SUMIFS($L:$L,$C:$C,$C360,$D:$D,"기준(전)"))</f>
        <v/>
      </c>
      <c r="P360" s="45">
        <f>IF(COUNTIFS($C:$C,$C360,$D:$D,"기준(후)",$L:$L,"&gt;0")&lt;&gt;1,"",SUMIFS($H:$H,$C:$C,$C360,$D:$D,"기준(후)"))</f>
        <v/>
      </c>
      <c r="Q360" s="30">
        <f>IF(COUNTIFS($C:$C,$C360,$D:$D,"기준(후)",$L:$L,"&gt;0")&lt;&gt;1,"",SUMIFS($L:$L,$C:$C,$C360,$D:$D,"기준(후)"))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IF(OR($D359&lt;&gt;"측정",$C359&lt;&gt;$C360,NOT(ISNUMBER(L360)),NOT(ISNUMBER(L359)),(IF(ISNUMBER(F360),F360,E360)-IF(ISNUMBER(F359),F359,E359))=0),"",(L360-L359)/((IF(ISNUMBER(F360),F360,E360)-IF(ISNUMBER(F359),F359,E359))/100))</f>
        <v/>
      </c>
      <c r="U360" s="28" t="n"/>
      <c r="V360" s="28" t="n"/>
      <c r="W360" s="31" t="n"/>
    </row>
    <row r="361">
      <c r="A361" s="25" t="inlineStr">
        <is>
          <t>S30</t>
        </is>
      </c>
      <c r="B361" s="25" t="inlineStr">
        <is>
          <t>창녕 신규점</t>
        </is>
      </c>
      <c r="C361" s="25" t="inlineStr">
        <is>
          <t>S30-V</t>
        </is>
      </c>
      <c r="D361" s="25" t="inlineStr">
        <is>
          <t>측정</t>
        </is>
      </c>
      <c r="E361" s="48" t="n">
        <v>160</v>
      </c>
      <c r="F361" s="40" t="n"/>
      <c r="G361" s="28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IF(COUNTIFS($C:$C,$C361,$D:$D,"기준(전)",$L:$L,"&gt;0")&lt;&gt;1,"기준(전) 유효 1개 아님",IF(COUNTIFS($C:$C,$C361,$D:$D,"기준(후)",$L:$L,"&gt;0")&lt;&gt;1,"기준(후) 유효 1개 아님",IF(NOT(AND(ISNUMBER(N361),ISNUMBER(P361),ISNUMBER(H361))),"시각 결측",IF(P361&lt;=N361,"기준 시각 역전",IF(OR(H361&lt;N361,H361&gt;P361),"측정시각 구간 밖","OK")))))</f>
        <v/>
      </c>
      <c r="N361" s="45">
        <f>IF(COUNTIFS($C:$C,$C361,$D:$D,"기준(전)",$L:$L,"&gt;0")&lt;&gt;1,"",SUMIFS($H:$H,$C:$C,$C361,$D:$D,"기준(전)"))</f>
        <v/>
      </c>
      <c r="O361" s="30">
        <f>IF(COUNTIFS($C:$C,$C361,$D:$D,"기준(전)",$L:$L,"&gt;0")&lt;&gt;1,"",SUMIFS($L:$L,$C:$C,$C361,$D:$D,"기준(전)"))</f>
        <v/>
      </c>
      <c r="P361" s="45">
        <f>IF(COUNTIFS($C:$C,$C361,$D:$D,"기준(후)",$L:$L,"&gt;0")&lt;&gt;1,"",SUMIFS($H:$H,$C:$C,$C361,$D:$D,"기준(후)"))</f>
        <v/>
      </c>
      <c r="Q361" s="30">
        <f>IF(COUNTIFS($C:$C,$C361,$D:$D,"기준(후)",$L:$L,"&gt;0")&lt;&gt;1,"",SUMIFS($L:$L,$C:$C,$C361,$D:$D,"기준(후)"))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IF(OR($D360&lt;&gt;"측정",$C360&lt;&gt;$C361,NOT(ISNUMBER(L361)),NOT(ISNUMBER(L360)),(IF(ISNUMBER(F361),F361,E361)-IF(ISNUMBER(F360),F360,E360))=0),"",(L361-L360)/((IF(ISNUMBER(F361),F361,E361)-IF(ISNUMBER(F360),F360,E360))/100))</f>
        <v/>
      </c>
      <c r="U361" s="28" t="n"/>
      <c r="V361" s="28" t="n"/>
      <c r="W361" s="31" t="n"/>
    </row>
    <row r="362">
      <c r="A362" s="25" t="inlineStr">
        <is>
          <t>S30</t>
        </is>
      </c>
      <c r="B362" s="25" t="inlineStr">
        <is>
          <t>창녕 신규점</t>
        </is>
      </c>
      <c r="C362" s="25" t="inlineStr">
        <is>
          <t>S30-V</t>
        </is>
      </c>
      <c r="D362" s="25" t="inlineStr">
        <is>
          <t>측정</t>
        </is>
      </c>
      <c r="E362" s="48" t="n">
        <v>180</v>
      </c>
      <c r="F362" s="40" t="n"/>
      <c r="G362" s="28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IF(COUNTIFS($C:$C,$C362,$D:$D,"기준(전)",$L:$L,"&gt;0")&lt;&gt;1,"기준(전) 유효 1개 아님",IF(COUNTIFS($C:$C,$C362,$D:$D,"기준(후)",$L:$L,"&gt;0")&lt;&gt;1,"기준(후) 유효 1개 아님",IF(NOT(AND(ISNUMBER(N362),ISNUMBER(P362),ISNUMBER(H362))),"시각 결측",IF(P362&lt;=N362,"기준 시각 역전",IF(OR(H362&lt;N362,H362&gt;P362),"측정시각 구간 밖","OK")))))</f>
        <v/>
      </c>
      <c r="N362" s="45">
        <f>IF(COUNTIFS($C:$C,$C362,$D:$D,"기준(전)",$L:$L,"&gt;0")&lt;&gt;1,"",SUMIFS($H:$H,$C:$C,$C362,$D:$D,"기준(전)"))</f>
        <v/>
      </c>
      <c r="O362" s="30">
        <f>IF(COUNTIFS($C:$C,$C362,$D:$D,"기준(전)",$L:$L,"&gt;0")&lt;&gt;1,"",SUMIFS($L:$L,$C:$C,$C362,$D:$D,"기준(전)"))</f>
        <v/>
      </c>
      <c r="P362" s="45">
        <f>IF(COUNTIFS($C:$C,$C362,$D:$D,"기준(후)",$L:$L,"&gt;0")&lt;&gt;1,"",SUMIFS($H:$H,$C:$C,$C362,$D:$D,"기준(후)"))</f>
        <v/>
      </c>
      <c r="Q362" s="30">
        <f>IF(COUNTIFS($C:$C,$C362,$D:$D,"기준(후)",$L:$L,"&gt;0")&lt;&gt;1,"",SUMIFS($L:$L,$C:$C,$C362,$D:$D,"기준(후)"))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IF(OR($D361&lt;&gt;"측정",$C361&lt;&gt;$C362,NOT(ISNUMBER(L362)),NOT(ISNUMBER(L361)),(IF(ISNUMBER(F362),F362,E362)-IF(ISNUMBER(F361),F361,E361))=0),"",(L362-L361)/((IF(ISNUMBER(F362),F362,E362)-IF(ISNUMBER(F361),F361,E361))/100))</f>
        <v/>
      </c>
      <c r="U362" s="28" t="n"/>
      <c r="V362" s="28" t="n"/>
      <c r="W362" s="31" t="n"/>
    </row>
    <row r="363">
      <c r="A363" s="25" t="inlineStr">
        <is>
          <t>S30</t>
        </is>
      </c>
      <c r="B363" s="25" t="inlineStr">
        <is>
          <t>창녕 신규점</t>
        </is>
      </c>
      <c r="C363" s="25" t="inlineStr">
        <is>
          <t>S30-V</t>
        </is>
      </c>
      <c r="D363" s="25" t="inlineStr">
        <is>
          <t>측정</t>
        </is>
      </c>
      <c r="E363" s="48" t="n">
        <v>200</v>
      </c>
      <c r="F363" s="40" t="n"/>
      <c r="G363" s="28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IF(COUNTIFS($C:$C,$C363,$D:$D,"기준(전)",$L:$L,"&gt;0")&lt;&gt;1,"기준(전) 유효 1개 아님",IF(COUNTIFS($C:$C,$C363,$D:$D,"기준(후)",$L:$L,"&gt;0")&lt;&gt;1,"기준(후) 유효 1개 아님",IF(NOT(AND(ISNUMBER(N363),ISNUMBER(P363),ISNUMBER(H363))),"시각 결측",IF(P363&lt;=N363,"기준 시각 역전",IF(OR(H363&lt;N363,H363&gt;P363),"측정시각 구간 밖","OK")))))</f>
        <v/>
      </c>
      <c r="N363" s="45">
        <f>IF(COUNTIFS($C:$C,$C363,$D:$D,"기준(전)",$L:$L,"&gt;0")&lt;&gt;1,"",SUMIFS($H:$H,$C:$C,$C363,$D:$D,"기준(전)"))</f>
        <v/>
      </c>
      <c r="O363" s="30">
        <f>IF(COUNTIFS($C:$C,$C363,$D:$D,"기준(전)",$L:$L,"&gt;0")&lt;&gt;1,"",SUMIFS($L:$L,$C:$C,$C363,$D:$D,"기준(전)"))</f>
        <v/>
      </c>
      <c r="P363" s="45">
        <f>IF(COUNTIFS($C:$C,$C363,$D:$D,"기준(후)",$L:$L,"&gt;0")&lt;&gt;1,"",SUMIFS($H:$H,$C:$C,$C363,$D:$D,"기준(후)"))</f>
        <v/>
      </c>
      <c r="Q363" s="30">
        <f>IF(COUNTIFS($C:$C,$C363,$D:$D,"기준(후)",$L:$L,"&gt;0")&lt;&gt;1,"",SUMIFS($L:$L,$C:$C,$C363,$D:$D,"기준(후)"))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IF(OR($D362&lt;&gt;"측정",$C362&lt;&gt;$C363,NOT(ISNUMBER(L363)),NOT(ISNUMBER(L362)),(IF(ISNUMBER(F363),F363,E363)-IF(ISNUMBER(F362),F362,E362))=0),"",(L363-L362)/((IF(ISNUMBER(F363),F363,E363)-IF(ISNUMBER(F362),F362,E362))/100))</f>
        <v/>
      </c>
      <c r="U363" s="28" t="n"/>
      <c r="V363" s="28" t="n"/>
      <c r="W363" s="31" t="n"/>
    </row>
    <row r="364">
      <c r="A364" s="43" t="inlineStr">
        <is>
          <t>S30</t>
        </is>
      </c>
      <c r="B364" s="43" t="inlineStr">
        <is>
          <t>창녕 신규점</t>
        </is>
      </c>
      <c r="C364" s="43" t="inlineStr">
        <is>
          <t>S30-V</t>
        </is>
      </c>
      <c r="D364" s="43" t="inlineStr">
        <is>
          <t>기준(후)</t>
        </is>
      </c>
      <c r="E364" s="47" t="n"/>
      <c r="F364" s="40" t="n"/>
      <c r="G364" s="28" t="n"/>
      <c r="H364" s="42" t="n"/>
      <c r="I364" s="40" t="n"/>
      <c r="J364" s="40" t="n"/>
      <c r="K364" s="40" t="n"/>
      <c r="L364" s="30">
        <f>IF(COUNT(I364:K364)=0,"",MEDIAN(I364:K364))</f>
        <v/>
      </c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28" t="n"/>
      <c r="V364" s="28" t="n"/>
      <c r="W364" s="31" t="n"/>
    </row>
    <row r="365">
      <c r="A365" s="43" t="inlineStr">
        <is>
          <t>S31</t>
        </is>
      </c>
      <c r="B365" s="43" t="inlineStr">
        <is>
          <t>언양 신규점3</t>
        </is>
      </c>
      <c r="C365" s="43" t="inlineStr">
        <is>
          <t>S31-V</t>
        </is>
      </c>
      <c r="D365" s="43" t="inlineStr">
        <is>
          <t>기준(전)</t>
        </is>
      </c>
      <c r="E365" s="47" t="n"/>
      <c r="F365" s="40" t="n"/>
      <c r="G365" s="28" t="n"/>
      <c r="H365" s="42" t="n"/>
      <c r="I365" s="40" t="n"/>
      <c r="J365" s="40" t="n"/>
      <c r="K365" s="40" t="n"/>
      <c r="L365" s="30">
        <f>IF(COUNT(I365:K365)=0,"",MEDIAN(I365:K365))</f>
        <v/>
      </c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28" t="n"/>
      <c r="V365" s="28" t="n"/>
      <c r="W365" s="31" t="n"/>
    </row>
    <row r="366">
      <c r="A366" s="25" t="inlineStr">
        <is>
          <t>S31</t>
        </is>
      </c>
      <c r="B366" s="25" t="inlineStr">
        <is>
          <t>언양 신규점3</t>
        </is>
      </c>
      <c r="C366" s="25" t="inlineStr">
        <is>
          <t>S31-V</t>
        </is>
      </c>
      <c r="D366" s="25" t="inlineStr">
        <is>
          <t>측정</t>
        </is>
      </c>
      <c r="E366" s="48" t="n">
        <v>20</v>
      </c>
      <c r="F366" s="40" t="n"/>
      <c r="G366" s="28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IF(COUNTIFS($C:$C,$C366,$D:$D,"기준(전)",$L:$L,"&gt;0")&lt;&gt;1,"기준(전) 유효 1개 아님",IF(COUNTIFS($C:$C,$C366,$D:$D,"기준(후)",$L:$L,"&gt;0")&lt;&gt;1,"기준(후) 유효 1개 아님",IF(NOT(AND(ISNUMBER(N366),ISNUMBER(P366),ISNUMBER(H366))),"시각 결측",IF(P366&lt;=N366,"기준 시각 역전",IF(OR(H366&lt;N366,H366&gt;P366),"측정시각 구간 밖","OK")))))</f>
        <v/>
      </c>
      <c r="N366" s="45">
        <f>IF(COUNTIFS($C:$C,$C366,$D:$D,"기준(전)",$L:$L,"&gt;0")&lt;&gt;1,"",SUMIFS($H:$H,$C:$C,$C366,$D:$D,"기준(전)"))</f>
        <v/>
      </c>
      <c r="O366" s="30">
        <f>IF(COUNTIFS($C:$C,$C366,$D:$D,"기준(전)",$L:$L,"&gt;0")&lt;&gt;1,"",SUMIFS($L:$L,$C:$C,$C366,$D:$D,"기준(전)"))</f>
        <v/>
      </c>
      <c r="P366" s="45">
        <f>IF(COUNTIFS($C:$C,$C366,$D:$D,"기준(후)",$L:$L,"&gt;0")&lt;&gt;1,"",SUMIFS($H:$H,$C:$C,$C366,$D:$D,"기준(후)"))</f>
        <v/>
      </c>
      <c r="Q366" s="30">
        <f>IF(COUNTIFS($C:$C,$C366,$D:$D,"기준(후)",$L:$L,"&gt;0")&lt;&gt;1,"",SUMIFS($L:$L,$C:$C,$C366,$D:$D,"기준(후)"))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IF(OR($D365&lt;&gt;"측정",$C365&lt;&gt;$C366,NOT(ISNUMBER(L366)),NOT(ISNUMBER(L365)),(IF(ISNUMBER(F366),F366,E366)-IF(ISNUMBER(F365),F365,E365))=0),"",(L366-L365)/((IF(ISNUMBER(F366),F366,E366)-IF(ISNUMBER(F365),F365,E365))/100))</f>
        <v/>
      </c>
      <c r="U366" s="28" t="n"/>
      <c r="V366" s="28" t="n"/>
      <c r="W366" s="31" t="n"/>
    </row>
    <row r="367">
      <c r="A367" s="25" t="inlineStr">
        <is>
          <t>S31</t>
        </is>
      </c>
      <c r="B367" s="25" t="inlineStr">
        <is>
          <t>언양 신규점3</t>
        </is>
      </c>
      <c r="C367" s="25" t="inlineStr">
        <is>
          <t>S31-V</t>
        </is>
      </c>
      <c r="D367" s="25" t="inlineStr">
        <is>
          <t>측정</t>
        </is>
      </c>
      <c r="E367" s="48" t="n">
        <v>40</v>
      </c>
      <c r="F367" s="40" t="n"/>
      <c r="G367" s="28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IF(COUNTIFS($C:$C,$C367,$D:$D,"기준(전)",$L:$L,"&gt;0")&lt;&gt;1,"기준(전) 유효 1개 아님",IF(COUNTIFS($C:$C,$C367,$D:$D,"기준(후)",$L:$L,"&gt;0")&lt;&gt;1,"기준(후) 유효 1개 아님",IF(NOT(AND(ISNUMBER(N367),ISNUMBER(P367),ISNUMBER(H367))),"시각 결측",IF(P367&lt;=N367,"기준 시각 역전",IF(OR(H367&lt;N367,H367&gt;P367),"측정시각 구간 밖","OK")))))</f>
        <v/>
      </c>
      <c r="N367" s="45">
        <f>IF(COUNTIFS($C:$C,$C367,$D:$D,"기준(전)",$L:$L,"&gt;0")&lt;&gt;1,"",SUMIFS($H:$H,$C:$C,$C367,$D:$D,"기준(전)"))</f>
        <v/>
      </c>
      <c r="O367" s="30">
        <f>IF(COUNTIFS($C:$C,$C367,$D:$D,"기준(전)",$L:$L,"&gt;0")&lt;&gt;1,"",SUMIFS($L:$L,$C:$C,$C367,$D:$D,"기준(전)"))</f>
        <v/>
      </c>
      <c r="P367" s="45">
        <f>IF(COUNTIFS($C:$C,$C367,$D:$D,"기준(후)",$L:$L,"&gt;0")&lt;&gt;1,"",SUMIFS($H:$H,$C:$C,$C367,$D:$D,"기준(후)"))</f>
        <v/>
      </c>
      <c r="Q367" s="30">
        <f>IF(COUNTIFS($C:$C,$C367,$D:$D,"기준(후)",$L:$L,"&gt;0")&lt;&gt;1,"",SUMIFS($L:$L,$C:$C,$C367,$D:$D,"기준(후)"))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IF(OR($D366&lt;&gt;"측정",$C366&lt;&gt;$C367,NOT(ISNUMBER(L367)),NOT(ISNUMBER(L366)),(IF(ISNUMBER(F367),F367,E367)-IF(ISNUMBER(F366),F366,E366))=0),"",(L367-L366)/((IF(ISNUMBER(F367),F367,E367)-IF(ISNUMBER(F366),F366,E366))/100))</f>
        <v/>
      </c>
      <c r="U367" s="28" t="n"/>
      <c r="V367" s="28" t="n"/>
      <c r="W367" s="31" t="n"/>
    </row>
    <row r="368">
      <c r="A368" s="25" t="inlineStr">
        <is>
          <t>S31</t>
        </is>
      </c>
      <c r="B368" s="25" t="inlineStr">
        <is>
          <t>언양 신규점3</t>
        </is>
      </c>
      <c r="C368" s="25" t="inlineStr">
        <is>
          <t>S31-V</t>
        </is>
      </c>
      <c r="D368" s="25" t="inlineStr">
        <is>
          <t>측정</t>
        </is>
      </c>
      <c r="E368" s="48" t="n">
        <v>60</v>
      </c>
      <c r="F368" s="40" t="n"/>
      <c r="G368" s="28" t="n"/>
      <c r="H368" s="42" t="n"/>
      <c r="I368" s="40" t="n"/>
      <c r="J368" s="40" t="n"/>
      <c r="K368" s="40" t="n"/>
      <c r="L368" s="30">
        <f>IF(COUNT(I368:K368)=0,"",MEDIAN(I368:K368))</f>
        <v/>
      </c>
      <c r="M368" s="25">
        <f>IF(COUNTIFS($C:$C,$C368,$D:$D,"기준(전)",$L:$L,"&gt;0")&lt;&gt;1,"기준(전) 유효 1개 아님",IF(COUNTIFS($C:$C,$C368,$D:$D,"기준(후)",$L:$L,"&gt;0")&lt;&gt;1,"기준(후) 유효 1개 아님",IF(NOT(AND(ISNUMBER(N368),ISNUMBER(P368),ISNUMBER(H368))),"시각 결측",IF(P368&lt;=N368,"기준 시각 역전",IF(OR(H368&lt;N368,H368&gt;P368),"측정시각 구간 밖","OK")))))</f>
        <v/>
      </c>
      <c r="N368" s="45">
        <f>IF(COUNTIFS($C:$C,$C368,$D:$D,"기준(전)",$L:$L,"&gt;0")&lt;&gt;1,"",SUMIFS($H:$H,$C:$C,$C368,$D:$D,"기준(전)"))</f>
        <v/>
      </c>
      <c r="O368" s="30">
        <f>IF(COUNTIFS($C:$C,$C368,$D:$D,"기준(전)",$L:$L,"&gt;0")&lt;&gt;1,"",SUMIFS($L:$L,$C:$C,$C368,$D:$D,"기준(전)"))</f>
        <v/>
      </c>
      <c r="P368" s="45">
        <f>IF(COUNTIFS($C:$C,$C368,$D:$D,"기준(후)",$L:$L,"&gt;0")&lt;&gt;1,"",SUMIFS($H:$H,$C:$C,$C368,$D:$D,"기준(후)"))</f>
        <v/>
      </c>
      <c r="Q368" s="30">
        <f>IF(COUNTIFS($C:$C,$C368,$D:$D,"기준(후)",$L:$L,"&gt;0")&lt;&gt;1,"",SUMIFS($L:$L,$C:$C,$C368,$D:$D,"기준(후)"))</f>
        <v/>
      </c>
      <c r="R368" s="30">
        <f>IF(M368&lt;&gt;"OK","",O368+(Q368-O368)*(H368-N368)/(P368-N368))</f>
        <v/>
      </c>
      <c r="S368" s="30">
        <f>IF(OR(M368&lt;&gt;"OK",NOT(ISNUMBER(L368))),"",L368-R368)</f>
        <v/>
      </c>
      <c r="T368" s="46">
        <f>IF(OR($D367&lt;&gt;"측정",$C367&lt;&gt;$C368,NOT(ISNUMBER(L368)),NOT(ISNUMBER(L367)),(IF(ISNUMBER(F368),F368,E368)-IF(ISNUMBER(F367),F367,E367))=0),"",(L368-L367)/((IF(ISNUMBER(F368),F368,E368)-IF(ISNUMBER(F367),F367,E367))/100))</f>
        <v/>
      </c>
      <c r="U368" s="28" t="n"/>
      <c r="V368" s="28" t="n"/>
      <c r="W368" s="31" t="n"/>
    </row>
    <row r="369">
      <c r="A369" s="25" t="inlineStr">
        <is>
          <t>S31</t>
        </is>
      </c>
      <c r="B369" s="25" t="inlineStr">
        <is>
          <t>언양 신규점3</t>
        </is>
      </c>
      <c r="C369" s="25" t="inlineStr">
        <is>
          <t>S31-V</t>
        </is>
      </c>
      <c r="D369" s="25" t="inlineStr">
        <is>
          <t>측정</t>
        </is>
      </c>
      <c r="E369" s="48" t="n">
        <v>80</v>
      </c>
      <c r="F369" s="40" t="n"/>
      <c r="G369" s="28" t="n"/>
      <c r="H369" s="42" t="n"/>
      <c r="I369" s="40" t="n"/>
      <c r="J369" s="40" t="n"/>
      <c r="K369" s="40" t="n"/>
      <c r="L369" s="30">
        <f>IF(COUNT(I369:K369)=0,"",MEDIAN(I369:K369))</f>
        <v/>
      </c>
      <c r="M369" s="25">
        <f>IF(COUNTIFS($C:$C,$C369,$D:$D,"기준(전)",$L:$L,"&gt;0")&lt;&gt;1,"기준(전) 유효 1개 아님",IF(COUNTIFS($C:$C,$C369,$D:$D,"기준(후)",$L:$L,"&gt;0")&lt;&gt;1,"기준(후) 유효 1개 아님",IF(NOT(AND(ISNUMBER(N369),ISNUMBER(P369),ISNUMBER(H369))),"시각 결측",IF(P369&lt;=N369,"기준 시각 역전",IF(OR(H369&lt;N369,H369&gt;P369),"측정시각 구간 밖","OK")))))</f>
        <v/>
      </c>
      <c r="N369" s="45">
        <f>IF(COUNTIFS($C:$C,$C369,$D:$D,"기준(전)",$L:$L,"&gt;0")&lt;&gt;1,"",SUMIFS($H:$H,$C:$C,$C369,$D:$D,"기준(전)"))</f>
        <v/>
      </c>
      <c r="O369" s="30">
        <f>IF(COUNTIFS($C:$C,$C369,$D:$D,"기준(전)",$L:$L,"&gt;0")&lt;&gt;1,"",SUMIFS($L:$L,$C:$C,$C369,$D:$D,"기준(전)"))</f>
        <v/>
      </c>
      <c r="P369" s="45">
        <f>IF(COUNTIFS($C:$C,$C369,$D:$D,"기준(후)",$L:$L,"&gt;0")&lt;&gt;1,"",SUMIFS($H:$H,$C:$C,$C369,$D:$D,"기준(후)"))</f>
        <v/>
      </c>
      <c r="Q369" s="30">
        <f>IF(COUNTIFS($C:$C,$C369,$D:$D,"기준(후)",$L:$L,"&gt;0")&lt;&gt;1,"",SUMIFS($L:$L,$C:$C,$C369,$D:$D,"기준(후)"))</f>
        <v/>
      </c>
      <c r="R369" s="30">
        <f>IF(M369&lt;&gt;"OK","",O369+(Q369-O369)*(H369-N369)/(P369-N369))</f>
        <v/>
      </c>
      <c r="S369" s="30">
        <f>IF(OR(M369&lt;&gt;"OK",NOT(ISNUMBER(L369))),"",L369-R369)</f>
        <v/>
      </c>
      <c r="T369" s="46">
        <f>IF(OR($D368&lt;&gt;"측정",$C368&lt;&gt;$C369,NOT(ISNUMBER(L369)),NOT(ISNUMBER(L368)),(IF(ISNUMBER(F369),F369,E369)-IF(ISNUMBER(F368),F368,E368))=0),"",(L369-L368)/((IF(ISNUMBER(F369),F369,E369)-IF(ISNUMBER(F368),F368,E368))/100))</f>
        <v/>
      </c>
      <c r="U369" s="28" t="n"/>
      <c r="V369" s="28" t="n"/>
      <c r="W369" s="31" t="n"/>
    </row>
    <row r="370">
      <c r="A370" s="25" t="inlineStr">
        <is>
          <t>S31</t>
        </is>
      </c>
      <c r="B370" s="25" t="inlineStr">
        <is>
          <t>언양 신규점3</t>
        </is>
      </c>
      <c r="C370" s="25" t="inlineStr">
        <is>
          <t>S31-V</t>
        </is>
      </c>
      <c r="D370" s="25" t="inlineStr">
        <is>
          <t>측정</t>
        </is>
      </c>
      <c r="E370" s="48" t="n">
        <v>100</v>
      </c>
      <c r="F370" s="40" t="n"/>
      <c r="G370" s="28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IF(COUNTIFS($C:$C,$C370,$D:$D,"기준(전)",$L:$L,"&gt;0")&lt;&gt;1,"기준(전) 유효 1개 아님",IF(COUNTIFS($C:$C,$C370,$D:$D,"기준(후)",$L:$L,"&gt;0")&lt;&gt;1,"기준(후) 유효 1개 아님",IF(NOT(AND(ISNUMBER(N370),ISNUMBER(P370),ISNUMBER(H370))),"시각 결측",IF(P370&lt;=N370,"기준 시각 역전",IF(OR(H370&lt;N370,H370&gt;P370),"측정시각 구간 밖","OK")))))</f>
        <v/>
      </c>
      <c r="N370" s="45">
        <f>IF(COUNTIFS($C:$C,$C370,$D:$D,"기준(전)",$L:$L,"&gt;0")&lt;&gt;1,"",SUMIFS($H:$H,$C:$C,$C370,$D:$D,"기준(전)"))</f>
        <v/>
      </c>
      <c r="O370" s="30">
        <f>IF(COUNTIFS($C:$C,$C370,$D:$D,"기준(전)",$L:$L,"&gt;0")&lt;&gt;1,"",SUMIFS($L:$L,$C:$C,$C370,$D:$D,"기준(전)"))</f>
        <v/>
      </c>
      <c r="P370" s="45">
        <f>IF(COUNTIFS($C:$C,$C370,$D:$D,"기준(후)",$L:$L,"&gt;0")&lt;&gt;1,"",SUMIFS($H:$H,$C:$C,$C370,$D:$D,"기준(후)"))</f>
        <v/>
      </c>
      <c r="Q370" s="30">
        <f>IF(COUNTIFS($C:$C,$C370,$D:$D,"기준(후)",$L:$L,"&gt;0")&lt;&gt;1,"",SUMIFS($L:$L,$C:$C,$C370,$D:$D,"기준(후)"))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IF(OR($D369&lt;&gt;"측정",$C369&lt;&gt;$C370,NOT(ISNUMBER(L370)),NOT(ISNUMBER(L369)),(IF(ISNUMBER(F370),F370,E370)-IF(ISNUMBER(F369),F369,E369))=0),"",(L370-L369)/((IF(ISNUMBER(F370),F370,E370)-IF(ISNUMBER(F369),F369,E369))/100))</f>
        <v/>
      </c>
      <c r="U370" s="28" t="n"/>
      <c r="V370" s="28" t="n"/>
      <c r="W370" s="31" t="n"/>
    </row>
    <row r="371">
      <c r="A371" s="25" t="inlineStr">
        <is>
          <t>S31</t>
        </is>
      </c>
      <c r="B371" s="25" t="inlineStr">
        <is>
          <t>언양 신규점3</t>
        </is>
      </c>
      <c r="C371" s="25" t="inlineStr">
        <is>
          <t>S31-V</t>
        </is>
      </c>
      <c r="D371" s="25" t="inlineStr">
        <is>
          <t>측정</t>
        </is>
      </c>
      <c r="E371" s="48" t="n">
        <v>120</v>
      </c>
      <c r="F371" s="40" t="n"/>
      <c r="G371" s="28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IF(COUNTIFS($C:$C,$C371,$D:$D,"기준(전)",$L:$L,"&gt;0")&lt;&gt;1,"기준(전) 유효 1개 아님",IF(COUNTIFS($C:$C,$C371,$D:$D,"기준(후)",$L:$L,"&gt;0")&lt;&gt;1,"기준(후) 유효 1개 아님",IF(NOT(AND(ISNUMBER(N371),ISNUMBER(P371),ISNUMBER(H371))),"시각 결측",IF(P371&lt;=N371,"기준 시각 역전",IF(OR(H371&lt;N371,H371&gt;P371),"측정시각 구간 밖","OK")))))</f>
        <v/>
      </c>
      <c r="N371" s="45">
        <f>IF(COUNTIFS($C:$C,$C371,$D:$D,"기준(전)",$L:$L,"&gt;0")&lt;&gt;1,"",SUMIFS($H:$H,$C:$C,$C371,$D:$D,"기준(전)"))</f>
        <v/>
      </c>
      <c r="O371" s="30">
        <f>IF(COUNTIFS($C:$C,$C371,$D:$D,"기준(전)",$L:$L,"&gt;0")&lt;&gt;1,"",SUMIFS($L:$L,$C:$C,$C371,$D:$D,"기준(전)"))</f>
        <v/>
      </c>
      <c r="P371" s="45">
        <f>IF(COUNTIFS($C:$C,$C371,$D:$D,"기준(후)",$L:$L,"&gt;0")&lt;&gt;1,"",SUMIFS($H:$H,$C:$C,$C371,$D:$D,"기준(후)"))</f>
        <v/>
      </c>
      <c r="Q371" s="30">
        <f>IF(COUNTIFS($C:$C,$C371,$D:$D,"기준(후)",$L:$L,"&gt;0")&lt;&gt;1,"",SUMIFS($L:$L,$C:$C,$C371,$D:$D,"기준(후)"))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IF(OR($D370&lt;&gt;"측정",$C370&lt;&gt;$C371,NOT(ISNUMBER(L371)),NOT(ISNUMBER(L370)),(IF(ISNUMBER(F371),F371,E371)-IF(ISNUMBER(F370),F370,E370))=0),"",(L371-L370)/((IF(ISNUMBER(F371),F371,E371)-IF(ISNUMBER(F370),F370,E370))/100))</f>
        <v/>
      </c>
      <c r="U371" s="28" t="n"/>
      <c r="V371" s="28" t="n"/>
      <c r="W371" s="31" t="n"/>
    </row>
    <row r="372">
      <c r="A372" s="25" t="inlineStr">
        <is>
          <t>S31</t>
        </is>
      </c>
      <c r="B372" s="25" t="inlineStr">
        <is>
          <t>언양 신규점3</t>
        </is>
      </c>
      <c r="C372" s="25" t="inlineStr">
        <is>
          <t>S31-V</t>
        </is>
      </c>
      <c r="D372" s="25" t="inlineStr">
        <is>
          <t>측정</t>
        </is>
      </c>
      <c r="E372" s="48" t="n">
        <v>140</v>
      </c>
      <c r="F372" s="40" t="n"/>
      <c r="G372" s="28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IF(COUNTIFS($C:$C,$C372,$D:$D,"기준(전)",$L:$L,"&gt;0")&lt;&gt;1,"기준(전) 유효 1개 아님",IF(COUNTIFS($C:$C,$C372,$D:$D,"기준(후)",$L:$L,"&gt;0")&lt;&gt;1,"기준(후) 유효 1개 아님",IF(NOT(AND(ISNUMBER(N372),ISNUMBER(P372),ISNUMBER(H372))),"시각 결측",IF(P372&lt;=N372,"기준 시각 역전",IF(OR(H372&lt;N372,H372&gt;P372),"측정시각 구간 밖","OK")))))</f>
        <v/>
      </c>
      <c r="N372" s="45">
        <f>IF(COUNTIFS($C:$C,$C372,$D:$D,"기준(전)",$L:$L,"&gt;0")&lt;&gt;1,"",SUMIFS($H:$H,$C:$C,$C372,$D:$D,"기준(전)"))</f>
        <v/>
      </c>
      <c r="O372" s="30">
        <f>IF(COUNTIFS($C:$C,$C372,$D:$D,"기준(전)",$L:$L,"&gt;0")&lt;&gt;1,"",SUMIFS($L:$L,$C:$C,$C372,$D:$D,"기준(전)"))</f>
        <v/>
      </c>
      <c r="P372" s="45">
        <f>IF(COUNTIFS($C:$C,$C372,$D:$D,"기준(후)",$L:$L,"&gt;0")&lt;&gt;1,"",SUMIFS($H:$H,$C:$C,$C372,$D:$D,"기준(후)"))</f>
        <v/>
      </c>
      <c r="Q372" s="30">
        <f>IF(COUNTIFS($C:$C,$C372,$D:$D,"기준(후)",$L:$L,"&gt;0")&lt;&gt;1,"",SUMIFS($L:$L,$C:$C,$C372,$D:$D,"기준(후)"))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IF(OR($D371&lt;&gt;"측정",$C371&lt;&gt;$C372,NOT(ISNUMBER(L372)),NOT(ISNUMBER(L371)),(IF(ISNUMBER(F372),F372,E372)-IF(ISNUMBER(F371),F371,E371))=0),"",(L372-L371)/((IF(ISNUMBER(F372),F372,E372)-IF(ISNUMBER(F371),F371,E371))/100))</f>
        <v/>
      </c>
      <c r="U372" s="28" t="n"/>
      <c r="V372" s="28" t="n"/>
      <c r="W372" s="31" t="n"/>
    </row>
    <row r="373">
      <c r="A373" s="25" t="inlineStr">
        <is>
          <t>S31</t>
        </is>
      </c>
      <c r="B373" s="25" t="inlineStr">
        <is>
          <t>언양 신규점3</t>
        </is>
      </c>
      <c r="C373" s="25" t="inlineStr">
        <is>
          <t>S31-V</t>
        </is>
      </c>
      <c r="D373" s="25" t="inlineStr">
        <is>
          <t>측정</t>
        </is>
      </c>
      <c r="E373" s="48" t="n">
        <v>160</v>
      </c>
      <c r="F373" s="40" t="n"/>
      <c r="G373" s="28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IF(COUNTIFS($C:$C,$C373,$D:$D,"기준(전)",$L:$L,"&gt;0")&lt;&gt;1,"기준(전) 유효 1개 아님",IF(COUNTIFS($C:$C,$C373,$D:$D,"기준(후)",$L:$L,"&gt;0")&lt;&gt;1,"기준(후) 유효 1개 아님",IF(NOT(AND(ISNUMBER(N373),ISNUMBER(P373),ISNUMBER(H373))),"시각 결측",IF(P373&lt;=N373,"기준 시각 역전",IF(OR(H373&lt;N373,H373&gt;P373),"측정시각 구간 밖","OK")))))</f>
        <v/>
      </c>
      <c r="N373" s="45">
        <f>IF(COUNTIFS($C:$C,$C373,$D:$D,"기준(전)",$L:$L,"&gt;0")&lt;&gt;1,"",SUMIFS($H:$H,$C:$C,$C373,$D:$D,"기준(전)"))</f>
        <v/>
      </c>
      <c r="O373" s="30">
        <f>IF(COUNTIFS($C:$C,$C373,$D:$D,"기준(전)",$L:$L,"&gt;0")&lt;&gt;1,"",SUMIFS($L:$L,$C:$C,$C373,$D:$D,"기준(전)"))</f>
        <v/>
      </c>
      <c r="P373" s="45">
        <f>IF(COUNTIFS($C:$C,$C373,$D:$D,"기준(후)",$L:$L,"&gt;0")&lt;&gt;1,"",SUMIFS($H:$H,$C:$C,$C373,$D:$D,"기준(후)"))</f>
        <v/>
      </c>
      <c r="Q373" s="30">
        <f>IF(COUNTIFS($C:$C,$C373,$D:$D,"기준(후)",$L:$L,"&gt;0")&lt;&gt;1,"",SUMIFS($L:$L,$C:$C,$C373,$D:$D,"기준(후)"))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IF(OR($D372&lt;&gt;"측정",$C372&lt;&gt;$C373,NOT(ISNUMBER(L373)),NOT(ISNUMBER(L372)),(IF(ISNUMBER(F373),F373,E373)-IF(ISNUMBER(F372),F372,E372))=0),"",(L373-L372)/((IF(ISNUMBER(F373),F373,E373)-IF(ISNUMBER(F372),F372,E372))/100))</f>
        <v/>
      </c>
      <c r="U373" s="28" t="n"/>
      <c r="V373" s="28" t="n"/>
      <c r="W373" s="31" t="n"/>
    </row>
    <row r="374">
      <c r="A374" s="25" t="inlineStr">
        <is>
          <t>S31</t>
        </is>
      </c>
      <c r="B374" s="25" t="inlineStr">
        <is>
          <t>언양 신규점3</t>
        </is>
      </c>
      <c r="C374" s="25" t="inlineStr">
        <is>
          <t>S31-V</t>
        </is>
      </c>
      <c r="D374" s="25" t="inlineStr">
        <is>
          <t>측정</t>
        </is>
      </c>
      <c r="E374" s="48" t="n">
        <v>180</v>
      </c>
      <c r="F374" s="40" t="n"/>
      <c r="G374" s="28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IF(COUNTIFS($C:$C,$C374,$D:$D,"기준(전)",$L:$L,"&gt;0")&lt;&gt;1,"기준(전) 유효 1개 아님",IF(COUNTIFS($C:$C,$C374,$D:$D,"기준(후)",$L:$L,"&gt;0")&lt;&gt;1,"기준(후) 유효 1개 아님",IF(NOT(AND(ISNUMBER(N374),ISNUMBER(P374),ISNUMBER(H374))),"시각 결측",IF(P374&lt;=N374,"기준 시각 역전",IF(OR(H374&lt;N374,H374&gt;P374),"측정시각 구간 밖","OK")))))</f>
        <v/>
      </c>
      <c r="N374" s="45">
        <f>IF(COUNTIFS($C:$C,$C374,$D:$D,"기준(전)",$L:$L,"&gt;0")&lt;&gt;1,"",SUMIFS($H:$H,$C:$C,$C374,$D:$D,"기준(전)"))</f>
        <v/>
      </c>
      <c r="O374" s="30">
        <f>IF(COUNTIFS($C:$C,$C374,$D:$D,"기준(전)",$L:$L,"&gt;0")&lt;&gt;1,"",SUMIFS($L:$L,$C:$C,$C374,$D:$D,"기준(전)"))</f>
        <v/>
      </c>
      <c r="P374" s="45">
        <f>IF(COUNTIFS($C:$C,$C374,$D:$D,"기준(후)",$L:$L,"&gt;0")&lt;&gt;1,"",SUMIFS($H:$H,$C:$C,$C374,$D:$D,"기준(후)"))</f>
        <v/>
      </c>
      <c r="Q374" s="30">
        <f>IF(COUNTIFS($C:$C,$C374,$D:$D,"기준(후)",$L:$L,"&gt;0")&lt;&gt;1,"",SUMIFS($L:$L,$C:$C,$C374,$D:$D,"기준(후)"))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IF(OR($D373&lt;&gt;"측정",$C373&lt;&gt;$C374,NOT(ISNUMBER(L374)),NOT(ISNUMBER(L373)),(IF(ISNUMBER(F374),F374,E374)-IF(ISNUMBER(F373),F373,E373))=0),"",(L374-L373)/((IF(ISNUMBER(F374),F374,E374)-IF(ISNUMBER(F373),F373,E373))/100))</f>
        <v/>
      </c>
      <c r="U374" s="28" t="n"/>
      <c r="V374" s="28" t="n"/>
      <c r="W374" s="31" t="n"/>
    </row>
    <row r="375">
      <c r="A375" s="25" t="inlineStr">
        <is>
          <t>S31</t>
        </is>
      </c>
      <c r="B375" s="25" t="inlineStr">
        <is>
          <t>언양 신규점3</t>
        </is>
      </c>
      <c r="C375" s="25" t="inlineStr">
        <is>
          <t>S31-V</t>
        </is>
      </c>
      <c r="D375" s="25" t="inlineStr">
        <is>
          <t>측정</t>
        </is>
      </c>
      <c r="E375" s="48" t="n">
        <v>200</v>
      </c>
      <c r="F375" s="40" t="n"/>
      <c r="G375" s="28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IF(COUNTIFS($C:$C,$C375,$D:$D,"기준(전)",$L:$L,"&gt;0")&lt;&gt;1,"기준(전) 유효 1개 아님",IF(COUNTIFS($C:$C,$C375,$D:$D,"기준(후)",$L:$L,"&gt;0")&lt;&gt;1,"기준(후) 유효 1개 아님",IF(NOT(AND(ISNUMBER(N375),ISNUMBER(P375),ISNUMBER(H375))),"시각 결측",IF(P375&lt;=N375,"기준 시각 역전",IF(OR(H375&lt;N375,H375&gt;P375),"측정시각 구간 밖","OK")))))</f>
        <v/>
      </c>
      <c r="N375" s="45">
        <f>IF(COUNTIFS($C:$C,$C375,$D:$D,"기준(전)",$L:$L,"&gt;0")&lt;&gt;1,"",SUMIFS($H:$H,$C:$C,$C375,$D:$D,"기준(전)"))</f>
        <v/>
      </c>
      <c r="O375" s="30">
        <f>IF(COUNTIFS($C:$C,$C375,$D:$D,"기준(전)",$L:$L,"&gt;0")&lt;&gt;1,"",SUMIFS($L:$L,$C:$C,$C375,$D:$D,"기준(전)"))</f>
        <v/>
      </c>
      <c r="P375" s="45">
        <f>IF(COUNTIFS($C:$C,$C375,$D:$D,"기준(후)",$L:$L,"&gt;0")&lt;&gt;1,"",SUMIFS($H:$H,$C:$C,$C375,$D:$D,"기준(후)"))</f>
        <v/>
      </c>
      <c r="Q375" s="30">
        <f>IF(COUNTIFS($C:$C,$C375,$D:$D,"기준(후)",$L:$L,"&gt;0")&lt;&gt;1,"",SUMIFS($L:$L,$C:$C,$C375,$D:$D,"기준(후)"))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IF(OR($D374&lt;&gt;"측정",$C374&lt;&gt;$C375,NOT(ISNUMBER(L375)),NOT(ISNUMBER(L374)),(IF(ISNUMBER(F375),F375,E375)-IF(ISNUMBER(F374),F374,E374))=0),"",(L375-L374)/((IF(ISNUMBER(F375),F375,E375)-IF(ISNUMBER(F374),F374,E374))/100))</f>
        <v/>
      </c>
      <c r="U375" s="28" t="n"/>
      <c r="V375" s="28" t="n"/>
      <c r="W375" s="31" t="n"/>
    </row>
    <row r="376">
      <c r="A376" s="43" t="inlineStr">
        <is>
          <t>S31</t>
        </is>
      </c>
      <c r="B376" s="43" t="inlineStr">
        <is>
          <t>언양 신규점3</t>
        </is>
      </c>
      <c r="C376" s="43" t="inlineStr">
        <is>
          <t>S31-V</t>
        </is>
      </c>
      <c r="D376" s="43" t="inlineStr">
        <is>
          <t>기준(후)</t>
        </is>
      </c>
      <c r="E376" s="47" t="n"/>
      <c r="F376" s="40" t="n"/>
      <c r="G376" s="28" t="n"/>
      <c r="H376" s="42" t="n"/>
      <c r="I376" s="40" t="n"/>
      <c r="J376" s="40" t="n"/>
      <c r="K376" s="40" t="n"/>
      <c r="L376" s="30">
        <f>IF(COUNT(I376:K376)=0,"",MEDIAN(I376:K376))</f>
        <v/>
      </c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28" t="n"/>
      <c r="V376" s="28" t="n"/>
      <c r="W376" s="31" t="n"/>
    </row>
    <row r="377">
      <c r="A377" s="43" t="inlineStr">
        <is>
          <t>S32</t>
        </is>
      </c>
      <c r="B377" s="43" t="inlineStr">
        <is>
          <t>함양 신규점</t>
        </is>
      </c>
      <c r="C377" s="43" t="inlineStr">
        <is>
          <t>S32-V</t>
        </is>
      </c>
      <c r="D377" s="43" t="inlineStr">
        <is>
          <t>기준(전)</t>
        </is>
      </c>
      <c r="E377" s="47" t="n"/>
      <c r="F377" s="40" t="n"/>
      <c r="G377" s="28" t="n"/>
      <c r="H377" s="42" t="n"/>
      <c r="I377" s="40" t="n"/>
      <c r="J377" s="40" t="n"/>
      <c r="K377" s="40" t="n"/>
      <c r="L377" s="30">
        <f>IF(COUNT(I377:K377)=0,"",MEDIAN(I377:K377))</f>
        <v/>
      </c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28" t="n"/>
      <c r="V377" s="28" t="n"/>
      <c r="W377" s="31" t="n"/>
    </row>
    <row r="378">
      <c r="A378" s="25" t="inlineStr">
        <is>
          <t>S32</t>
        </is>
      </c>
      <c r="B378" s="25" t="inlineStr">
        <is>
          <t>함양 신규점</t>
        </is>
      </c>
      <c r="C378" s="25" t="inlineStr">
        <is>
          <t>S32-V</t>
        </is>
      </c>
      <c r="D378" s="25" t="inlineStr">
        <is>
          <t>측정</t>
        </is>
      </c>
      <c r="E378" s="48" t="n">
        <v>20</v>
      </c>
      <c r="F378" s="40" t="n"/>
      <c r="G378" s="28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IF(COUNTIFS($C:$C,$C378,$D:$D,"기준(전)",$L:$L,"&gt;0")&lt;&gt;1,"기준(전) 유효 1개 아님",IF(COUNTIFS($C:$C,$C378,$D:$D,"기준(후)",$L:$L,"&gt;0")&lt;&gt;1,"기준(후) 유효 1개 아님",IF(NOT(AND(ISNUMBER(N378),ISNUMBER(P378),ISNUMBER(H378))),"시각 결측",IF(P378&lt;=N378,"기준 시각 역전",IF(OR(H378&lt;N378,H378&gt;P378),"측정시각 구간 밖","OK")))))</f>
        <v/>
      </c>
      <c r="N378" s="45">
        <f>IF(COUNTIFS($C:$C,$C378,$D:$D,"기준(전)",$L:$L,"&gt;0")&lt;&gt;1,"",SUMIFS($H:$H,$C:$C,$C378,$D:$D,"기준(전)"))</f>
        <v/>
      </c>
      <c r="O378" s="30">
        <f>IF(COUNTIFS($C:$C,$C378,$D:$D,"기준(전)",$L:$L,"&gt;0")&lt;&gt;1,"",SUMIFS($L:$L,$C:$C,$C378,$D:$D,"기준(전)"))</f>
        <v/>
      </c>
      <c r="P378" s="45">
        <f>IF(COUNTIFS($C:$C,$C378,$D:$D,"기준(후)",$L:$L,"&gt;0")&lt;&gt;1,"",SUMIFS($H:$H,$C:$C,$C378,$D:$D,"기준(후)"))</f>
        <v/>
      </c>
      <c r="Q378" s="30">
        <f>IF(COUNTIFS($C:$C,$C378,$D:$D,"기준(후)",$L:$L,"&gt;0")&lt;&gt;1,"",SUMIFS($L:$L,$C:$C,$C378,$D:$D,"기준(후)"))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IF(OR($D377&lt;&gt;"측정",$C377&lt;&gt;$C378,NOT(ISNUMBER(L378)),NOT(ISNUMBER(L377)),(IF(ISNUMBER(F378),F378,E378)-IF(ISNUMBER(F377),F377,E377))=0),"",(L378-L377)/((IF(ISNUMBER(F378),F378,E378)-IF(ISNUMBER(F377),F377,E377))/100))</f>
        <v/>
      </c>
      <c r="U378" s="28" t="n"/>
      <c r="V378" s="28" t="n"/>
      <c r="W378" s="31" t="n"/>
    </row>
    <row r="379">
      <c r="A379" s="25" t="inlineStr">
        <is>
          <t>S32</t>
        </is>
      </c>
      <c r="B379" s="25" t="inlineStr">
        <is>
          <t>함양 신규점</t>
        </is>
      </c>
      <c r="C379" s="25" t="inlineStr">
        <is>
          <t>S32-V</t>
        </is>
      </c>
      <c r="D379" s="25" t="inlineStr">
        <is>
          <t>측정</t>
        </is>
      </c>
      <c r="E379" s="48" t="n">
        <v>40</v>
      </c>
      <c r="F379" s="40" t="n"/>
      <c r="G379" s="28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IF(COUNTIFS($C:$C,$C379,$D:$D,"기준(전)",$L:$L,"&gt;0")&lt;&gt;1,"기준(전) 유효 1개 아님",IF(COUNTIFS($C:$C,$C379,$D:$D,"기준(후)",$L:$L,"&gt;0")&lt;&gt;1,"기준(후) 유효 1개 아님",IF(NOT(AND(ISNUMBER(N379),ISNUMBER(P379),ISNUMBER(H379))),"시각 결측",IF(P379&lt;=N379,"기준 시각 역전",IF(OR(H379&lt;N379,H379&gt;P379),"측정시각 구간 밖","OK")))))</f>
        <v/>
      </c>
      <c r="N379" s="45">
        <f>IF(COUNTIFS($C:$C,$C379,$D:$D,"기준(전)",$L:$L,"&gt;0")&lt;&gt;1,"",SUMIFS($H:$H,$C:$C,$C379,$D:$D,"기준(전)"))</f>
        <v/>
      </c>
      <c r="O379" s="30">
        <f>IF(COUNTIFS($C:$C,$C379,$D:$D,"기준(전)",$L:$L,"&gt;0")&lt;&gt;1,"",SUMIFS($L:$L,$C:$C,$C379,$D:$D,"기준(전)"))</f>
        <v/>
      </c>
      <c r="P379" s="45">
        <f>IF(COUNTIFS($C:$C,$C379,$D:$D,"기준(후)",$L:$L,"&gt;0")&lt;&gt;1,"",SUMIFS($H:$H,$C:$C,$C379,$D:$D,"기준(후)"))</f>
        <v/>
      </c>
      <c r="Q379" s="30">
        <f>IF(COUNTIFS($C:$C,$C379,$D:$D,"기준(후)",$L:$L,"&gt;0")&lt;&gt;1,"",SUMIFS($L:$L,$C:$C,$C379,$D:$D,"기준(후)"))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IF(OR($D378&lt;&gt;"측정",$C378&lt;&gt;$C379,NOT(ISNUMBER(L379)),NOT(ISNUMBER(L378)),(IF(ISNUMBER(F379),F379,E379)-IF(ISNUMBER(F378),F378,E378))=0),"",(L379-L378)/((IF(ISNUMBER(F379),F379,E379)-IF(ISNUMBER(F378),F378,E378))/100))</f>
        <v/>
      </c>
      <c r="U379" s="28" t="n"/>
      <c r="V379" s="28" t="n"/>
      <c r="W379" s="31" t="n"/>
    </row>
    <row r="380">
      <c r="A380" s="25" t="inlineStr">
        <is>
          <t>S32</t>
        </is>
      </c>
      <c r="B380" s="25" t="inlineStr">
        <is>
          <t>함양 신규점</t>
        </is>
      </c>
      <c r="C380" s="25" t="inlineStr">
        <is>
          <t>S32-V</t>
        </is>
      </c>
      <c r="D380" s="25" t="inlineStr">
        <is>
          <t>측정</t>
        </is>
      </c>
      <c r="E380" s="48" t="n">
        <v>60</v>
      </c>
      <c r="F380" s="40" t="n"/>
      <c r="G380" s="28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IF(COUNTIFS($C:$C,$C380,$D:$D,"기준(전)",$L:$L,"&gt;0")&lt;&gt;1,"기준(전) 유효 1개 아님",IF(COUNTIFS($C:$C,$C380,$D:$D,"기준(후)",$L:$L,"&gt;0")&lt;&gt;1,"기준(후) 유효 1개 아님",IF(NOT(AND(ISNUMBER(N380),ISNUMBER(P380),ISNUMBER(H380))),"시각 결측",IF(P380&lt;=N380,"기준 시각 역전",IF(OR(H380&lt;N380,H380&gt;P380),"측정시각 구간 밖","OK")))))</f>
        <v/>
      </c>
      <c r="N380" s="45">
        <f>IF(COUNTIFS($C:$C,$C380,$D:$D,"기준(전)",$L:$L,"&gt;0")&lt;&gt;1,"",SUMIFS($H:$H,$C:$C,$C380,$D:$D,"기준(전)"))</f>
        <v/>
      </c>
      <c r="O380" s="30">
        <f>IF(COUNTIFS($C:$C,$C380,$D:$D,"기준(전)",$L:$L,"&gt;0")&lt;&gt;1,"",SUMIFS($L:$L,$C:$C,$C380,$D:$D,"기준(전)"))</f>
        <v/>
      </c>
      <c r="P380" s="45">
        <f>IF(COUNTIFS($C:$C,$C380,$D:$D,"기준(후)",$L:$L,"&gt;0")&lt;&gt;1,"",SUMIFS($H:$H,$C:$C,$C380,$D:$D,"기준(후)"))</f>
        <v/>
      </c>
      <c r="Q380" s="30">
        <f>IF(COUNTIFS($C:$C,$C380,$D:$D,"기준(후)",$L:$L,"&gt;0")&lt;&gt;1,"",SUMIFS($L:$L,$C:$C,$C380,$D:$D,"기준(후)"))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IF(OR($D379&lt;&gt;"측정",$C379&lt;&gt;$C380,NOT(ISNUMBER(L380)),NOT(ISNUMBER(L379)),(IF(ISNUMBER(F380),F380,E380)-IF(ISNUMBER(F379),F379,E379))=0),"",(L380-L379)/((IF(ISNUMBER(F380),F380,E380)-IF(ISNUMBER(F379),F379,E379))/100))</f>
        <v/>
      </c>
      <c r="U380" s="28" t="n"/>
      <c r="V380" s="28" t="n"/>
      <c r="W380" s="31" t="n"/>
    </row>
    <row r="381">
      <c r="A381" s="25" t="inlineStr">
        <is>
          <t>S32</t>
        </is>
      </c>
      <c r="B381" s="25" t="inlineStr">
        <is>
          <t>함양 신규점</t>
        </is>
      </c>
      <c r="C381" s="25" t="inlineStr">
        <is>
          <t>S32-V</t>
        </is>
      </c>
      <c r="D381" s="25" t="inlineStr">
        <is>
          <t>측정</t>
        </is>
      </c>
      <c r="E381" s="48" t="n">
        <v>80</v>
      </c>
      <c r="F381" s="40" t="n"/>
      <c r="G381" s="28" t="n"/>
      <c r="H381" s="42" t="n"/>
      <c r="I381" s="40" t="n"/>
      <c r="J381" s="40" t="n"/>
      <c r="K381" s="40" t="n"/>
      <c r="L381" s="30">
        <f>IF(COUNT(I381:K381)=0,"",MEDIAN(I381:K381))</f>
        <v/>
      </c>
      <c r="M381" s="25">
        <f>IF(COUNTIFS($C:$C,$C381,$D:$D,"기준(전)",$L:$L,"&gt;0")&lt;&gt;1,"기준(전) 유효 1개 아님",IF(COUNTIFS($C:$C,$C381,$D:$D,"기준(후)",$L:$L,"&gt;0")&lt;&gt;1,"기준(후) 유효 1개 아님",IF(NOT(AND(ISNUMBER(N381),ISNUMBER(P381),ISNUMBER(H381))),"시각 결측",IF(P381&lt;=N381,"기준 시각 역전",IF(OR(H381&lt;N381,H381&gt;P381),"측정시각 구간 밖","OK")))))</f>
        <v/>
      </c>
      <c r="N381" s="45">
        <f>IF(COUNTIFS($C:$C,$C381,$D:$D,"기준(전)",$L:$L,"&gt;0")&lt;&gt;1,"",SUMIFS($H:$H,$C:$C,$C381,$D:$D,"기준(전)"))</f>
        <v/>
      </c>
      <c r="O381" s="30">
        <f>IF(COUNTIFS($C:$C,$C381,$D:$D,"기준(전)",$L:$L,"&gt;0")&lt;&gt;1,"",SUMIFS($L:$L,$C:$C,$C381,$D:$D,"기준(전)"))</f>
        <v/>
      </c>
      <c r="P381" s="45">
        <f>IF(COUNTIFS($C:$C,$C381,$D:$D,"기준(후)",$L:$L,"&gt;0")&lt;&gt;1,"",SUMIFS($H:$H,$C:$C,$C381,$D:$D,"기준(후)"))</f>
        <v/>
      </c>
      <c r="Q381" s="30">
        <f>IF(COUNTIFS($C:$C,$C381,$D:$D,"기준(후)",$L:$L,"&gt;0")&lt;&gt;1,"",SUMIFS($L:$L,$C:$C,$C381,$D:$D,"기준(후)"))</f>
        <v/>
      </c>
      <c r="R381" s="30">
        <f>IF(M381&lt;&gt;"OK","",O381+(Q381-O381)*(H381-N381)/(P381-N381))</f>
        <v/>
      </c>
      <c r="S381" s="30">
        <f>IF(OR(M381&lt;&gt;"OK",NOT(ISNUMBER(L381))),"",L381-R381)</f>
        <v/>
      </c>
      <c r="T381" s="46">
        <f>IF(OR($D380&lt;&gt;"측정",$C380&lt;&gt;$C381,NOT(ISNUMBER(L381)),NOT(ISNUMBER(L380)),(IF(ISNUMBER(F381),F381,E381)-IF(ISNUMBER(F380),F380,E380))=0),"",(L381-L380)/((IF(ISNUMBER(F381),F381,E381)-IF(ISNUMBER(F380),F380,E380))/100))</f>
        <v/>
      </c>
      <c r="U381" s="28" t="n"/>
      <c r="V381" s="28" t="n"/>
      <c r="W381" s="31" t="n"/>
    </row>
    <row r="382">
      <c r="A382" s="25" t="inlineStr">
        <is>
          <t>S32</t>
        </is>
      </c>
      <c r="B382" s="25" t="inlineStr">
        <is>
          <t>함양 신규점</t>
        </is>
      </c>
      <c r="C382" s="25" t="inlineStr">
        <is>
          <t>S32-V</t>
        </is>
      </c>
      <c r="D382" s="25" t="inlineStr">
        <is>
          <t>측정</t>
        </is>
      </c>
      <c r="E382" s="48" t="n">
        <v>100</v>
      </c>
      <c r="F382" s="40" t="n"/>
      <c r="G382" s="28" t="n"/>
      <c r="H382" s="42" t="n"/>
      <c r="I382" s="40" t="n"/>
      <c r="J382" s="40" t="n"/>
      <c r="K382" s="40" t="n"/>
      <c r="L382" s="30">
        <f>IF(COUNT(I382:K382)=0,"",MEDIAN(I382:K382))</f>
        <v/>
      </c>
      <c r="M382" s="25">
        <f>IF(COUNTIFS($C:$C,$C382,$D:$D,"기준(전)",$L:$L,"&gt;0")&lt;&gt;1,"기준(전) 유효 1개 아님",IF(COUNTIFS($C:$C,$C382,$D:$D,"기준(후)",$L:$L,"&gt;0")&lt;&gt;1,"기준(후) 유효 1개 아님",IF(NOT(AND(ISNUMBER(N382),ISNUMBER(P382),ISNUMBER(H382))),"시각 결측",IF(P382&lt;=N382,"기준 시각 역전",IF(OR(H382&lt;N382,H382&gt;P382),"측정시각 구간 밖","OK")))))</f>
        <v/>
      </c>
      <c r="N382" s="45">
        <f>IF(COUNTIFS($C:$C,$C382,$D:$D,"기준(전)",$L:$L,"&gt;0")&lt;&gt;1,"",SUMIFS($H:$H,$C:$C,$C382,$D:$D,"기준(전)"))</f>
        <v/>
      </c>
      <c r="O382" s="30">
        <f>IF(COUNTIFS($C:$C,$C382,$D:$D,"기준(전)",$L:$L,"&gt;0")&lt;&gt;1,"",SUMIFS($L:$L,$C:$C,$C382,$D:$D,"기준(전)"))</f>
        <v/>
      </c>
      <c r="P382" s="45">
        <f>IF(COUNTIFS($C:$C,$C382,$D:$D,"기준(후)",$L:$L,"&gt;0")&lt;&gt;1,"",SUMIFS($H:$H,$C:$C,$C382,$D:$D,"기준(후)"))</f>
        <v/>
      </c>
      <c r="Q382" s="30">
        <f>IF(COUNTIFS($C:$C,$C382,$D:$D,"기준(후)",$L:$L,"&gt;0")&lt;&gt;1,"",SUMIFS($L:$L,$C:$C,$C382,$D:$D,"기준(후)"))</f>
        <v/>
      </c>
      <c r="R382" s="30">
        <f>IF(M382&lt;&gt;"OK","",O382+(Q382-O382)*(H382-N382)/(P382-N382))</f>
        <v/>
      </c>
      <c r="S382" s="30">
        <f>IF(OR(M382&lt;&gt;"OK",NOT(ISNUMBER(L382))),"",L382-R382)</f>
        <v/>
      </c>
      <c r="T382" s="46">
        <f>IF(OR($D381&lt;&gt;"측정",$C381&lt;&gt;$C382,NOT(ISNUMBER(L382)),NOT(ISNUMBER(L381)),(IF(ISNUMBER(F382),F382,E382)-IF(ISNUMBER(F381),F381,E381))=0),"",(L382-L381)/((IF(ISNUMBER(F382),F382,E382)-IF(ISNUMBER(F381),F381,E381))/100))</f>
        <v/>
      </c>
      <c r="U382" s="28" t="n"/>
      <c r="V382" s="28" t="n"/>
      <c r="W382" s="31" t="n"/>
    </row>
    <row r="383">
      <c r="A383" s="25" t="inlineStr">
        <is>
          <t>S32</t>
        </is>
      </c>
      <c r="B383" s="25" t="inlineStr">
        <is>
          <t>함양 신규점</t>
        </is>
      </c>
      <c r="C383" s="25" t="inlineStr">
        <is>
          <t>S32-V</t>
        </is>
      </c>
      <c r="D383" s="25" t="inlineStr">
        <is>
          <t>측정</t>
        </is>
      </c>
      <c r="E383" s="48" t="n">
        <v>120</v>
      </c>
      <c r="F383" s="40" t="n"/>
      <c r="G383" s="28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IF(COUNTIFS($C:$C,$C383,$D:$D,"기준(전)",$L:$L,"&gt;0")&lt;&gt;1,"기준(전) 유효 1개 아님",IF(COUNTIFS($C:$C,$C383,$D:$D,"기준(후)",$L:$L,"&gt;0")&lt;&gt;1,"기준(후) 유효 1개 아님",IF(NOT(AND(ISNUMBER(N383),ISNUMBER(P383),ISNUMBER(H383))),"시각 결측",IF(P383&lt;=N383,"기준 시각 역전",IF(OR(H383&lt;N383,H383&gt;P383),"측정시각 구간 밖","OK")))))</f>
        <v/>
      </c>
      <c r="N383" s="45">
        <f>IF(COUNTIFS($C:$C,$C383,$D:$D,"기준(전)",$L:$L,"&gt;0")&lt;&gt;1,"",SUMIFS($H:$H,$C:$C,$C383,$D:$D,"기준(전)"))</f>
        <v/>
      </c>
      <c r="O383" s="30">
        <f>IF(COUNTIFS($C:$C,$C383,$D:$D,"기준(전)",$L:$L,"&gt;0")&lt;&gt;1,"",SUMIFS($L:$L,$C:$C,$C383,$D:$D,"기준(전)"))</f>
        <v/>
      </c>
      <c r="P383" s="45">
        <f>IF(COUNTIFS($C:$C,$C383,$D:$D,"기준(후)",$L:$L,"&gt;0")&lt;&gt;1,"",SUMIFS($H:$H,$C:$C,$C383,$D:$D,"기준(후)"))</f>
        <v/>
      </c>
      <c r="Q383" s="30">
        <f>IF(COUNTIFS($C:$C,$C383,$D:$D,"기준(후)",$L:$L,"&gt;0")&lt;&gt;1,"",SUMIFS($L:$L,$C:$C,$C383,$D:$D,"기준(후)"))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IF(OR($D382&lt;&gt;"측정",$C382&lt;&gt;$C383,NOT(ISNUMBER(L383)),NOT(ISNUMBER(L382)),(IF(ISNUMBER(F383),F383,E383)-IF(ISNUMBER(F382),F382,E382))=0),"",(L383-L382)/((IF(ISNUMBER(F383),F383,E383)-IF(ISNUMBER(F382),F382,E382))/100))</f>
        <v/>
      </c>
      <c r="U383" s="28" t="n"/>
      <c r="V383" s="28" t="n"/>
      <c r="W383" s="31" t="n"/>
    </row>
    <row r="384">
      <c r="A384" s="25" t="inlineStr">
        <is>
          <t>S32</t>
        </is>
      </c>
      <c r="B384" s="25" t="inlineStr">
        <is>
          <t>함양 신규점</t>
        </is>
      </c>
      <c r="C384" s="25" t="inlineStr">
        <is>
          <t>S32-V</t>
        </is>
      </c>
      <c r="D384" s="25" t="inlineStr">
        <is>
          <t>측정</t>
        </is>
      </c>
      <c r="E384" s="48" t="n">
        <v>140</v>
      </c>
      <c r="F384" s="40" t="n"/>
      <c r="G384" s="28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IF(COUNTIFS($C:$C,$C384,$D:$D,"기준(전)",$L:$L,"&gt;0")&lt;&gt;1,"기준(전) 유효 1개 아님",IF(COUNTIFS($C:$C,$C384,$D:$D,"기준(후)",$L:$L,"&gt;0")&lt;&gt;1,"기준(후) 유효 1개 아님",IF(NOT(AND(ISNUMBER(N384),ISNUMBER(P384),ISNUMBER(H384))),"시각 결측",IF(P384&lt;=N384,"기준 시각 역전",IF(OR(H384&lt;N384,H384&gt;P384),"측정시각 구간 밖","OK")))))</f>
        <v/>
      </c>
      <c r="N384" s="45">
        <f>IF(COUNTIFS($C:$C,$C384,$D:$D,"기준(전)",$L:$L,"&gt;0")&lt;&gt;1,"",SUMIFS($H:$H,$C:$C,$C384,$D:$D,"기준(전)"))</f>
        <v/>
      </c>
      <c r="O384" s="30">
        <f>IF(COUNTIFS($C:$C,$C384,$D:$D,"기준(전)",$L:$L,"&gt;0")&lt;&gt;1,"",SUMIFS($L:$L,$C:$C,$C384,$D:$D,"기준(전)"))</f>
        <v/>
      </c>
      <c r="P384" s="45">
        <f>IF(COUNTIFS($C:$C,$C384,$D:$D,"기준(후)",$L:$L,"&gt;0")&lt;&gt;1,"",SUMIFS($H:$H,$C:$C,$C384,$D:$D,"기준(후)"))</f>
        <v/>
      </c>
      <c r="Q384" s="30">
        <f>IF(COUNTIFS($C:$C,$C384,$D:$D,"기준(후)",$L:$L,"&gt;0")&lt;&gt;1,"",SUMIFS($L:$L,$C:$C,$C384,$D:$D,"기준(후)"))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IF(OR($D383&lt;&gt;"측정",$C383&lt;&gt;$C384,NOT(ISNUMBER(L384)),NOT(ISNUMBER(L383)),(IF(ISNUMBER(F384),F384,E384)-IF(ISNUMBER(F383),F383,E383))=0),"",(L384-L383)/((IF(ISNUMBER(F384),F384,E384)-IF(ISNUMBER(F383),F383,E383))/100))</f>
        <v/>
      </c>
      <c r="U384" s="28" t="n"/>
      <c r="V384" s="28" t="n"/>
      <c r="W384" s="31" t="n"/>
    </row>
    <row r="385">
      <c r="A385" s="25" t="inlineStr">
        <is>
          <t>S32</t>
        </is>
      </c>
      <c r="B385" s="25" t="inlineStr">
        <is>
          <t>함양 신규점</t>
        </is>
      </c>
      <c r="C385" s="25" t="inlineStr">
        <is>
          <t>S32-V</t>
        </is>
      </c>
      <c r="D385" s="25" t="inlineStr">
        <is>
          <t>측정</t>
        </is>
      </c>
      <c r="E385" s="48" t="n">
        <v>160</v>
      </c>
      <c r="F385" s="40" t="n"/>
      <c r="G385" s="28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IF(COUNTIFS($C:$C,$C385,$D:$D,"기준(전)",$L:$L,"&gt;0")&lt;&gt;1,"기준(전) 유효 1개 아님",IF(COUNTIFS($C:$C,$C385,$D:$D,"기준(후)",$L:$L,"&gt;0")&lt;&gt;1,"기준(후) 유효 1개 아님",IF(NOT(AND(ISNUMBER(N385),ISNUMBER(P385),ISNUMBER(H385))),"시각 결측",IF(P385&lt;=N385,"기준 시각 역전",IF(OR(H385&lt;N385,H385&gt;P385),"측정시각 구간 밖","OK")))))</f>
        <v/>
      </c>
      <c r="N385" s="45">
        <f>IF(COUNTIFS($C:$C,$C385,$D:$D,"기준(전)",$L:$L,"&gt;0")&lt;&gt;1,"",SUMIFS($H:$H,$C:$C,$C385,$D:$D,"기준(전)"))</f>
        <v/>
      </c>
      <c r="O385" s="30">
        <f>IF(COUNTIFS($C:$C,$C385,$D:$D,"기준(전)",$L:$L,"&gt;0")&lt;&gt;1,"",SUMIFS($L:$L,$C:$C,$C385,$D:$D,"기준(전)"))</f>
        <v/>
      </c>
      <c r="P385" s="45">
        <f>IF(COUNTIFS($C:$C,$C385,$D:$D,"기준(후)",$L:$L,"&gt;0")&lt;&gt;1,"",SUMIFS($H:$H,$C:$C,$C385,$D:$D,"기준(후)"))</f>
        <v/>
      </c>
      <c r="Q385" s="30">
        <f>IF(COUNTIFS($C:$C,$C385,$D:$D,"기준(후)",$L:$L,"&gt;0")&lt;&gt;1,"",SUMIFS($L:$L,$C:$C,$C385,$D:$D,"기준(후)"))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IF(OR($D384&lt;&gt;"측정",$C384&lt;&gt;$C385,NOT(ISNUMBER(L385)),NOT(ISNUMBER(L384)),(IF(ISNUMBER(F385),F385,E385)-IF(ISNUMBER(F384),F384,E384))=0),"",(L385-L384)/((IF(ISNUMBER(F385),F385,E385)-IF(ISNUMBER(F384),F384,E384))/100))</f>
        <v/>
      </c>
      <c r="U385" s="28" t="n"/>
      <c r="V385" s="28" t="n"/>
      <c r="W385" s="31" t="n"/>
    </row>
    <row r="386">
      <c r="A386" s="25" t="inlineStr">
        <is>
          <t>S32</t>
        </is>
      </c>
      <c r="B386" s="25" t="inlineStr">
        <is>
          <t>함양 신규점</t>
        </is>
      </c>
      <c r="C386" s="25" t="inlineStr">
        <is>
          <t>S32-V</t>
        </is>
      </c>
      <c r="D386" s="25" t="inlineStr">
        <is>
          <t>측정</t>
        </is>
      </c>
      <c r="E386" s="48" t="n">
        <v>180</v>
      </c>
      <c r="F386" s="40" t="n"/>
      <c r="G386" s="28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IF(COUNTIFS($C:$C,$C386,$D:$D,"기준(전)",$L:$L,"&gt;0")&lt;&gt;1,"기준(전) 유효 1개 아님",IF(COUNTIFS($C:$C,$C386,$D:$D,"기준(후)",$L:$L,"&gt;0")&lt;&gt;1,"기준(후) 유효 1개 아님",IF(NOT(AND(ISNUMBER(N386),ISNUMBER(P386),ISNUMBER(H386))),"시각 결측",IF(P386&lt;=N386,"기준 시각 역전",IF(OR(H386&lt;N386,H386&gt;P386),"측정시각 구간 밖","OK")))))</f>
        <v/>
      </c>
      <c r="N386" s="45">
        <f>IF(COUNTIFS($C:$C,$C386,$D:$D,"기준(전)",$L:$L,"&gt;0")&lt;&gt;1,"",SUMIFS($H:$H,$C:$C,$C386,$D:$D,"기준(전)"))</f>
        <v/>
      </c>
      <c r="O386" s="30">
        <f>IF(COUNTIFS($C:$C,$C386,$D:$D,"기준(전)",$L:$L,"&gt;0")&lt;&gt;1,"",SUMIFS($L:$L,$C:$C,$C386,$D:$D,"기준(전)"))</f>
        <v/>
      </c>
      <c r="P386" s="45">
        <f>IF(COUNTIFS($C:$C,$C386,$D:$D,"기준(후)",$L:$L,"&gt;0")&lt;&gt;1,"",SUMIFS($H:$H,$C:$C,$C386,$D:$D,"기준(후)"))</f>
        <v/>
      </c>
      <c r="Q386" s="30">
        <f>IF(COUNTIFS($C:$C,$C386,$D:$D,"기준(후)",$L:$L,"&gt;0")&lt;&gt;1,"",SUMIFS($L:$L,$C:$C,$C386,$D:$D,"기준(후)"))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IF(OR($D385&lt;&gt;"측정",$C385&lt;&gt;$C386,NOT(ISNUMBER(L386)),NOT(ISNUMBER(L385)),(IF(ISNUMBER(F386),F386,E386)-IF(ISNUMBER(F385),F385,E385))=0),"",(L386-L385)/((IF(ISNUMBER(F386),F386,E386)-IF(ISNUMBER(F385),F385,E385))/100))</f>
        <v/>
      </c>
      <c r="U386" s="28" t="n"/>
      <c r="V386" s="28" t="n"/>
      <c r="W386" s="31" t="n"/>
    </row>
    <row r="387">
      <c r="A387" s="25" t="inlineStr">
        <is>
          <t>S32</t>
        </is>
      </c>
      <c r="B387" s="25" t="inlineStr">
        <is>
          <t>함양 신규점</t>
        </is>
      </c>
      <c r="C387" s="25" t="inlineStr">
        <is>
          <t>S32-V</t>
        </is>
      </c>
      <c r="D387" s="25" t="inlineStr">
        <is>
          <t>측정</t>
        </is>
      </c>
      <c r="E387" s="48" t="n">
        <v>200</v>
      </c>
      <c r="F387" s="40" t="n"/>
      <c r="G387" s="28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IF(COUNTIFS($C:$C,$C387,$D:$D,"기준(전)",$L:$L,"&gt;0")&lt;&gt;1,"기준(전) 유효 1개 아님",IF(COUNTIFS($C:$C,$C387,$D:$D,"기준(후)",$L:$L,"&gt;0")&lt;&gt;1,"기준(후) 유효 1개 아님",IF(NOT(AND(ISNUMBER(N387),ISNUMBER(P387),ISNUMBER(H387))),"시각 결측",IF(P387&lt;=N387,"기준 시각 역전",IF(OR(H387&lt;N387,H387&gt;P387),"측정시각 구간 밖","OK")))))</f>
        <v/>
      </c>
      <c r="N387" s="45">
        <f>IF(COUNTIFS($C:$C,$C387,$D:$D,"기준(전)",$L:$L,"&gt;0")&lt;&gt;1,"",SUMIFS($H:$H,$C:$C,$C387,$D:$D,"기준(전)"))</f>
        <v/>
      </c>
      <c r="O387" s="30">
        <f>IF(COUNTIFS($C:$C,$C387,$D:$D,"기준(전)",$L:$L,"&gt;0")&lt;&gt;1,"",SUMIFS($L:$L,$C:$C,$C387,$D:$D,"기준(전)"))</f>
        <v/>
      </c>
      <c r="P387" s="45">
        <f>IF(COUNTIFS($C:$C,$C387,$D:$D,"기준(후)",$L:$L,"&gt;0")&lt;&gt;1,"",SUMIFS($H:$H,$C:$C,$C387,$D:$D,"기준(후)"))</f>
        <v/>
      </c>
      <c r="Q387" s="30">
        <f>IF(COUNTIFS($C:$C,$C387,$D:$D,"기준(후)",$L:$L,"&gt;0")&lt;&gt;1,"",SUMIFS($L:$L,$C:$C,$C387,$D:$D,"기준(후)"))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IF(OR($D386&lt;&gt;"측정",$C386&lt;&gt;$C387,NOT(ISNUMBER(L387)),NOT(ISNUMBER(L386)),(IF(ISNUMBER(F387),F387,E387)-IF(ISNUMBER(F386),F386,E386))=0),"",(L387-L386)/((IF(ISNUMBER(F387),F387,E387)-IF(ISNUMBER(F386),F386,E386))/100))</f>
        <v/>
      </c>
      <c r="U387" s="28" t="n"/>
      <c r="V387" s="28" t="n"/>
      <c r="W387" s="31" t="n"/>
    </row>
    <row r="388">
      <c r="A388" s="43" t="inlineStr">
        <is>
          <t>S32</t>
        </is>
      </c>
      <c r="B388" s="43" t="inlineStr">
        <is>
          <t>함양 신규점</t>
        </is>
      </c>
      <c r="C388" s="43" t="inlineStr">
        <is>
          <t>S32-V</t>
        </is>
      </c>
      <c r="D388" s="43" t="inlineStr">
        <is>
          <t>기준(후)</t>
        </is>
      </c>
      <c r="E388" s="47" t="n"/>
      <c r="F388" s="40" t="n"/>
      <c r="G388" s="28" t="n"/>
      <c r="H388" s="42" t="n"/>
      <c r="I388" s="40" t="n"/>
      <c r="J388" s="40" t="n"/>
      <c r="K388" s="40" t="n"/>
      <c r="L388" s="30">
        <f>IF(COUNT(I388:K388)=0,"",MEDIAN(I388:K388))</f>
        <v/>
      </c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28" t="n"/>
      <c r="V388" s="28" t="n"/>
      <c r="W388" s="31" t="n"/>
    </row>
    <row r="389">
      <c r="A389" s="43" t="inlineStr">
        <is>
          <t>S33</t>
        </is>
      </c>
      <c r="B389" s="43" t="inlineStr">
        <is>
          <t>문산 신규점</t>
        </is>
      </c>
      <c r="C389" s="43" t="inlineStr">
        <is>
          <t>S33-V</t>
        </is>
      </c>
      <c r="D389" s="43" t="inlineStr">
        <is>
          <t>기준(전)</t>
        </is>
      </c>
      <c r="E389" s="47" t="n"/>
      <c r="F389" s="40" t="n"/>
      <c r="G389" s="28" t="n"/>
      <c r="H389" s="42" t="n"/>
      <c r="I389" s="40" t="n"/>
      <c r="J389" s="40" t="n"/>
      <c r="K389" s="40" t="n"/>
      <c r="L389" s="30">
        <f>IF(COUNT(I389:K389)=0,"",MEDIAN(I389:K389))</f>
        <v/>
      </c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28" t="n"/>
      <c r="V389" s="28" t="n"/>
      <c r="W389" s="31" t="n"/>
    </row>
    <row r="390">
      <c r="A390" s="25" t="inlineStr">
        <is>
          <t>S33</t>
        </is>
      </c>
      <c r="B390" s="25" t="inlineStr">
        <is>
          <t>문산 신규점</t>
        </is>
      </c>
      <c r="C390" s="25" t="inlineStr">
        <is>
          <t>S33-V</t>
        </is>
      </c>
      <c r="D390" s="25" t="inlineStr">
        <is>
          <t>측정</t>
        </is>
      </c>
      <c r="E390" s="48" t="n">
        <v>20</v>
      </c>
      <c r="F390" s="40" t="n"/>
      <c r="G390" s="28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IF(COUNTIFS($C:$C,$C390,$D:$D,"기준(전)",$L:$L,"&gt;0")&lt;&gt;1,"기준(전) 유효 1개 아님",IF(COUNTIFS($C:$C,$C390,$D:$D,"기준(후)",$L:$L,"&gt;0")&lt;&gt;1,"기준(후) 유효 1개 아님",IF(NOT(AND(ISNUMBER(N390),ISNUMBER(P390),ISNUMBER(H390))),"시각 결측",IF(P390&lt;=N390,"기준 시각 역전",IF(OR(H390&lt;N390,H390&gt;P390),"측정시각 구간 밖","OK")))))</f>
        <v/>
      </c>
      <c r="N390" s="45">
        <f>IF(COUNTIFS($C:$C,$C390,$D:$D,"기준(전)",$L:$L,"&gt;0")&lt;&gt;1,"",SUMIFS($H:$H,$C:$C,$C390,$D:$D,"기준(전)"))</f>
        <v/>
      </c>
      <c r="O390" s="30">
        <f>IF(COUNTIFS($C:$C,$C390,$D:$D,"기준(전)",$L:$L,"&gt;0")&lt;&gt;1,"",SUMIFS($L:$L,$C:$C,$C390,$D:$D,"기준(전)"))</f>
        <v/>
      </c>
      <c r="P390" s="45">
        <f>IF(COUNTIFS($C:$C,$C390,$D:$D,"기준(후)",$L:$L,"&gt;0")&lt;&gt;1,"",SUMIFS($H:$H,$C:$C,$C390,$D:$D,"기준(후)"))</f>
        <v/>
      </c>
      <c r="Q390" s="30">
        <f>IF(COUNTIFS($C:$C,$C390,$D:$D,"기준(후)",$L:$L,"&gt;0")&lt;&gt;1,"",SUMIFS($L:$L,$C:$C,$C390,$D:$D,"기준(후)"))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IF(OR($D389&lt;&gt;"측정",$C389&lt;&gt;$C390,NOT(ISNUMBER(L390)),NOT(ISNUMBER(L389)),(IF(ISNUMBER(F390),F390,E390)-IF(ISNUMBER(F389),F389,E389))=0),"",(L390-L389)/((IF(ISNUMBER(F390),F390,E390)-IF(ISNUMBER(F389),F389,E389))/100))</f>
        <v/>
      </c>
      <c r="U390" s="28" t="n"/>
      <c r="V390" s="28" t="n"/>
      <c r="W390" s="31" t="n"/>
    </row>
    <row r="391">
      <c r="A391" s="25" t="inlineStr">
        <is>
          <t>S33</t>
        </is>
      </c>
      <c r="B391" s="25" t="inlineStr">
        <is>
          <t>문산 신규점</t>
        </is>
      </c>
      <c r="C391" s="25" t="inlineStr">
        <is>
          <t>S33-V</t>
        </is>
      </c>
      <c r="D391" s="25" t="inlineStr">
        <is>
          <t>측정</t>
        </is>
      </c>
      <c r="E391" s="48" t="n">
        <v>40</v>
      </c>
      <c r="F391" s="40" t="n"/>
      <c r="G391" s="28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IF(COUNTIFS($C:$C,$C391,$D:$D,"기준(전)",$L:$L,"&gt;0")&lt;&gt;1,"기준(전) 유효 1개 아님",IF(COUNTIFS($C:$C,$C391,$D:$D,"기준(후)",$L:$L,"&gt;0")&lt;&gt;1,"기준(후) 유효 1개 아님",IF(NOT(AND(ISNUMBER(N391),ISNUMBER(P391),ISNUMBER(H391))),"시각 결측",IF(P391&lt;=N391,"기준 시각 역전",IF(OR(H391&lt;N391,H391&gt;P391),"측정시각 구간 밖","OK")))))</f>
        <v/>
      </c>
      <c r="N391" s="45">
        <f>IF(COUNTIFS($C:$C,$C391,$D:$D,"기준(전)",$L:$L,"&gt;0")&lt;&gt;1,"",SUMIFS($H:$H,$C:$C,$C391,$D:$D,"기준(전)"))</f>
        <v/>
      </c>
      <c r="O391" s="30">
        <f>IF(COUNTIFS($C:$C,$C391,$D:$D,"기준(전)",$L:$L,"&gt;0")&lt;&gt;1,"",SUMIFS($L:$L,$C:$C,$C391,$D:$D,"기준(전)"))</f>
        <v/>
      </c>
      <c r="P391" s="45">
        <f>IF(COUNTIFS($C:$C,$C391,$D:$D,"기준(후)",$L:$L,"&gt;0")&lt;&gt;1,"",SUMIFS($H:$H,$C:$C,$C391,$D:$D,"기준(후)"))</f>
        <v/>
      </c>
      <c r="Q391" s="30">
        <f>IF(COUNTIFS($C:$C,$C391,$D:$D,"기준(후)",$L:$L,"&gt;0")&lt;&gt;1,"",SUMIFS($L:$L,$C:$C,$C391,$D:$D,"기준(후)"))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IF(OR($D390&lt;&gt;"측정",$C390&lt;&gt;$C391,NOT(ISNUMBER(L391)),NOT(ISNUMBER(L390)),(IF(ISNUMBER(F391),F391,E391)-IF(ISNUMBER(F390),F390,E390))=0),"",(L391-L390)/((IF(ISNUMBER(F391),F391,E391)-IF(ISNUMBER(F390),F390,E390))/100))</f>
        <v/>
      </c>
      <c r="U391" s="28" t="n"/>
      <c r="V391" s="28" t="n"/>
      <c r="W391" s="31" t="n"/>
    </row>
    <row r="392">
      <c r="A392" s="25" t="inlineStr">
        <is>
          <t>S33</t>
        </is>
      </c>
      <c r="B392" s="25" t="inlineStr">
        <is>
          <t>문산 신규점</t>
        </is>
      </c>
      <c r="C392" s="25" t="inlineStr">
        <is>
          <t>S33-V</t>
        </is>
      </c>
      <c r="D392" s="25" t="inlineStr">
        <is>
          <t>측정</t>
        </is>
      </c>
      <c r="E392" s="48" t="n">
        <v>60</v>
      </c>
      <c r="F392" s="40" t="n"/>
      <c r="G392" s="28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IF(COUNTIFS($C:$C,$C392,$D:$D,"기준(전)",$L:$L,"&gt;0")&lt;&gt;1,"기준(전) 유효 1개 아님",IF(COUNTIFS($C:$C,$C392,$D:$D,"기준(후)",$L:$L,"&gt;0")&lt;&gt;1,"기준(후) 유효 1개 아님",IF(NOT(AND(ISNUMBER(N392),ISNUMBER(P392),ISNUMBER(H392))),"시각 결측",IF(P392&lt;=N392,"기준 시각 역전",IF(OR(H392&lt;N392,H392&gt;P392),"측정시각 구간 밖","OK")))))</f>
        <v/>
      </c>
      <c r="N392" s="45">
        <f>IF(COUNTIFS($C:$C,$C392,$D:$D,"기준(전)",$L:$L,"&gt;0")&lt;&gt;1,"",SUMIFS($H:$H,$C:$C,$C392,$D:$D,"기준(전)"))</f>
        <v/>
      </c>
      <c r="O392" s="30">
        <f>IF(COUNTIFS($C:$C,$C392,$D:$D,"기준(전)",$L:$L,"&gt;0")&lt;&gt;1,"",SUMIFS($L:$L,$C:$C,$C392,$D:$D,"기준(전)"))</f>
        <v/>
      </c>
      <c r="P392" s="45">
        <f>IF(COUNTIFS($C:$C,$C392,$D:$D,"기준(후)",$L:$L,"&gt;0")&lt;&gt;1,"",SUMIFS($H:$H,$C:$C,$C392,$D:$D,"기준(후)"))</f>
        <v/>
      </c>
      <c r="Q392" s="30">
        <f>IF(COUNTIFS($C:$C,$C392,$D:$D,"기준(후)",$L:$L,"&gt;0")&lt;&gt;1,"",SUMIFS($L:$L,$C:$C,$C392,$D:$D,"기준(후)"))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IF(OR($D391&lt;&gt;"측정",$C391&lt;&gt;$C392,NOT(ISNUMBER(L392)),NOT(ISNUMBER(L391)),(IF(ISNUMBER(F392),F392,E392)-IF(ISNUMBER(F391),F391,E391))=0),"",(L392-L391)/((IF(ISNUMBER(F392),F392,E392)-IF(ISNUMBER(F391),F391,E391))/100))</f>
        <v/>
      </c>
      <c r="U392" s="28" t="n"/>
      <c r="V392" s="28" t="n"/>
      <c r="W392" s="31" t="n"/>
    </row>
    <row r="393">
      <c r="A393" s="25" t="inlineStr">
        <is>
          <t>S33</t>
        </is>
      </c>
      <c r="B393" s="25" t="inlineStr">
        <is>
          <t>문산 신규점</t>
        </is>
      </c>
      <c r="C393" s="25" t="inlineStr">
        <is>
          <t>S33-V</t>
        </is>
      </c>
      <c r="D393" s="25" t="inlineStr">
        <is>
          <t>측정</t>
        </is>
      </c>
      <c r="E393" s="48" t="n">
        <v>80</v>
      </c>
      <c r="F393" s="40" t="n"/>
      <c r="G393" s="28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IF(COUNTIFS($C:$C,$C393,$D:$D,"기준(전)",$L:$L,"&gt;0")&lt;&gt;1,"기준(전) 유효 1개 아님",IF(COUNTIFS($C:$C,$C393,$D:$D,"기준(후)",$L:$L,"&gt;0")&lt;&gt;1,"기준(후) 유효 1개 아님",IF(NOT(AND(ISNUMBER(N393),ISNUMBER(P393),ISNUMBER(H393))),"시각 결측",IF(P393&lt;=N393,"기준 시각 역전",IF(OR(H393&lt;N393,H393&gt;P393),"측정시각 구간 밖","OK")))))</f>
        <v/>
      </c>
      <c r="N393" s="45">
        <f>IF(COUNTIFS($C:$C,$C393,$D:$D,"기준(전)",$L:$L,"&gt;0")&lt;&gt;1,"",SUMIFS($H:$H,$C:$C,$C393,$D:$D,"기준(전)"))</f>
        <v/>
      </c>
      <c r="O393" s="30">
        <f>IF(COUNTIFS($C:$C,$C393,$D:$D,"기준(전)",$L:$L,"&gt;0")&lt;&gt;1,"",SUMIFS($L:$L,$C:$C,$C393,$D:$D,"기준(전)"))</f>
        <v/>
      </c>
      <c r="P393" s="45">
        <f>IF(COUNTIFS($C:$C,$C393,$D:$D,"기준(후)",$L:$L,"&gt;0")&lt;&gt;1,"",SUMIFS($H:$H,$C:$C,$C393,$D:$D,"기준(후)"))</f>
        <v/>
      </c>
      <c r="Q393" s="30">
        <f>IF(COUNTIFS($C:$C,$C393,$D:$D,"기준(후)",$L:$L,"&gt;0")&lt;&gt;1,"",SUMIFS($L:$L,$C:$C,$C393,$D:$D,"기준(후)"))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IF(OR($D392&lt;&gt;"측정",$C392&lt;&gt;$C393,NOT(ISNUMBER(L393)),NOT(ISNUMBER(L392)),(IF(ISNUMBER(F393),F393,E393)-IF(ISNUMBER(F392),F392,E392))=0),"",(L393-L392)/((IF(ISNUMBER(F393),F393,E393)-IF(ISNUMBER(F392),F392,E392))/100))</f>
        <v/>
      </c>
      <c r="U393" s="28" t="n"/>
      <c r="V393" s="28" t="n"/>
      <c r="W393" s="31" t="n"/>
    </row>
    <row r="394">
      <c r="A394" s="25" t="inlineStr">
        <is>
          <t>S33</t>
        </is>
      </c>
      <c r="B394" s="25" t="inlineStr">
        <is>
          <t>문산 신규점</t>
        </is>
      </c>
      <c r="C394" s="25" t="inlineStr">
        <is>
          <t>S33-V</t>
        </is>
      </c>
      <c r="D394" s="25" t="inlineStr">
        <is>
          <t>측정</t>
        </is>
      </c>
      <c r="E394" s="48" t="n">
        <v>100</v>
      </c>
      <c r="F394" s="40" t="n"/>
      <c r="G394" s="28" t="n"/>
      <c r="H394" s="42" t="n"/>
      <c r="I394" s="40" t="n"/>
      <c r="J394" s="40" t="n"/>
      <c r="K394" s="40" t="n"/>
      <c r="L394" s="30">
        <f>IF(COUNT(I394:K394)=0,"",MEDIAN(I394:K394))</f>
        <v/>
      </c>
      <c r="M394" s="25">
        <f>IF(COUNTIFS($C:$C,$C394,$D:$D,"기준(전)",$L:$L,"&gt;0")&lt;&gt;1,"기준(전) 유효 1개 아님",IF(COUNTIFS($C:$C,$C394,$D:$D,"기준(후)",$L:$L,"&gt;0")&lt;&gt;1,"기준(후) 유효 1개 아님",IF(NOT(AND(ISNUMBER(N394),ISNUMBER(P394),ISNUMBER(H394))),"시각 결측",IF(P394&lt;=N394,"기준 시각 역전",IF(OR(H394&lt;N394,H394&gt;P394),"측정시각 구간 밖","OK")))))</f>
        <v/>
      </c>
      <c r="N394" s="45">
        <f>IF(COUNTIFS($C:$C,$C394,$D:$D,"기준(전)",$L:$L,"&gt;0")&lt;&gt;1,"",SUMIFS($H:$H,$C:$C,$C394,$D:$D,"기준(전)"))</f>
        <v/>
      </c>
      <c r="O394" s="30">
        <f>IF(COUNTIFS($C:$C,$C394,$D:$D,"기준(전)",$L:$L,"&gt;0")&lt;&gt;1,"",SUMIFS($L:$L,$C:$C,$C394,$D:$D,"기준(전)"))</f>
        <v/>
      </c>
      <c r="P394" s="45">
        <f>IF(COUNTIFS($C:$C,$C394,$D:$D,"기준(후)",$L:$L,"&gt;0")&lt;&gt;1,"",SUMIFS($H:$H,$C:$C,$C394,$D:$D,"기준(후)"))</f>
        <v/>
      </c>
      <c r="Q394" s="30">
        <f>IF(COUNTIFS($C:$C,$C394,$D:$D,"기준(후)",$L:$L,"&gt;0")&lt;&gt;1,"",SUMIFS($L:$L,$C:$C,$C394,$D:$D,"기준(후)"))</f>
        <v/>
      </c>
      <c r="R394" s="30">
        <f>IF(M394&lt;&gt;"OK","",O394+(Q394-O394)*(H394-N394)/(P394-N394))</f>
        <v/>
      </c>
      <c r="S394" s="30">
        <f>IF(OR(M394&lt;&gt;"OK",NOT(ISNUMBER(L394))),"",L394-R394)</f>
        <v/>
      </c>
      <c r="T394" s="46">
        <f>IF(OR($D393&lt;&gt;"측정",$C393&lt;&gt;$C394,NOT(ISNUMBER(L394)),NOT(ISNUMBER(L393)),(IF(ISNUMBER(F394),F394,E394)-IF(ISNUMBER(F393),F393,E393))=0),"",(L394-L393)/((IF(ISNUMBER(F394),F394,E394)-IF(ISNUMBER(F393),F393,E393))/100))</f>
        <v/>
      </c>
      <c r="U394" s="28" t="n"/>
      <c r="V394" s="28" t="n"/>
      <c r="W394" s="31" t="n"/>
    </row>
    <row r="395">
      <c r="A395" s="25" t="inlineStr">
        <is>
          <t>S33</t>
        </is>
      </c>
      <c r="B395" s="25" t="inlineStr">
        <is>
          <t>문산 신규점</t>
        </is>
      </c>
      <c r="C395" s="25" t="inlineStr">
        <is>
          <t>S33-V</t>
        </is>
      </c>
      <c r="D395" s="25" t="inlineStr">
        <is>
          <t>측정</t>
        </is>
      </c>
      <c r="E395" s="48" t="n">
        <v>120</v>
      </c>
      <c r="F395" s="40" t="n"/>
      <c r="G395" s="28" t="n"/>
      <c r="H395" s="42" t="n"/>
      <c r="I395" s="40" t="n"/>
      <c r="J395" s="40" t="n"/>
      <c r="K395" s="40" t="n"/>
      <c r="L395" s="30">
        <f>IF(COUNT(I395:K395)=0,"",MEDIAN(I395:K395))</f>
        <v/>
      </c>
      <c r="M395" s="25">
        <f>IF(COUNTIFS($C:$C,$C395,$D:$D,"기준(전)",$L:$L,"&gt;0")&lt;&gt;1,"기준(전) 유효 1개 아님",IF(COUNTIFS($C:$C,$C395,$D:$D,"기준(후)",$L:$L,"&gt;0")&lt;&gt;1,"기준(후) 유효 1개 아님",IF(NOT(AND(ISNUMBER(N395),ISNUMBER(P395),ISNUMBER(H395))),"시각 결측",IF(P395&lt;=N395,"기준 시각 역전",IF(OR(H395&lt;N395,H395&gt;P395),"측정시각 구간 밖","OK")))))</f>
        <v/>
      </c>
      <c r="N395" s="45">
        <f>IF(COUNTIFS($C:$C,$C395,$D:$D,"기준(전)",$L:$L,"&gt;0")&lt;&gt;1,"",SUMIFS($H:$H,$C:$C,$C395,$D:$D,"기준(전)"))</f>
        <v/>
      </c>
      <c r="O395" s="30">
        <f>IF(COUNTIFS($C:$C,$C395,$D:$D,"기준(전)",$L:$L,"&gt;0")&lt;&gt;1,"",SUMIFS($L:$L,$C:$C,$C395,$D:$D,"기준(전)"))</f>
        <v/>
      </c>
      <c r="P395" s="45">
        <f>IF(COUNTIFS($C:$C,$C395,$D:$D,"기준(후)",$L:$L,"&gt;0")&lt;&gt;1,"",SUMIFS($H:$H,$C:$C,$C395,$D:$D,"기준(후)"))</f>
        <v/>
      </c>
      <c r="Q395" s="30">
        <f>IF(COUNTIFS($C:$C,$C395,$D:$D,"기준(후)",$L:$L,"&gt;0")&lt;&gt;1,"",SUMIFS($L:$L,$C:$C,$C395,$D:$D,"기준(후)"))</f>
        <v/>
      </c>
      <c r="R395" s="30">
        <f>IF(M395&lt;&gt;"OK","",O395+(Q395-O395)*(H395-N395)/(P395-N395))</f>
        <v/>
      </c>
      <c r="S395" s="30">
        <f>IF(OR(M395&lt;&gt;"OK",NOT(ISNUMBER(L395))),"",L395-R395)</f>
        <v/>
      </c>
      <c r="T395" s="46">
        <f>IF(OR($D394&lt;&gt;"측정",$C394&lt;&gt;$C395,NOT(ISNUMBER(L395)),NOT(ISNUMBER(L394)),(IF(ISNUMBER(F395),F395,E395)-IF(ISNUMBER(F394),F394,E394))=0),"",(L395-L394)/((IF(ISNUMBER(F395),F395,E395)-IF(ISNUMBER(F394),F394,E394))/100))</f>
        <v/>
      </c>
      <c r="U395" s="28" t="n"/>
      <c r="V395" s="28" t="n"/>
      <c r="W395" s="31" t="n"/>
    </row>
    <row r="396">
      <c r="A396" s="25" t="inlineStr">
        <is>
          <t>S33</t>
        </is>
      </c>
      <c r="B396" s="25" t="inlineStr">
        <is>
          <t>문산 신규점</t>
        </is>
      </c>
      <c r="C396" s="25" t="inlineStr">
        <is>
          <t>S33-V</t>
        </is>
      </c>
      <c r="D396" s="25" t="inlineStr">
        <is>
          <t>측정</t>
        </is>
      </c>
      <c r="E396" s="48" t="n">
        <v>140</v>
      </c>
      <c r="F396" s="40" t="n"/>
      <c r="G396" s="28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IF(COUNTIFS($C:$C,$C396,$D:$D,"기준(전)",$L:$L,"&gt;0")&lt;&gt;1,"기준(전) 유효 1개 아님",IF(COUNTIFS($C:$C,$C396,$D:$D,"기준(후)",$L:$L,"&gt;0")&lt;&gt;1,"기준(후) 유효 1개 아님",IF(NOT(AND(ISNUMBER(N396),ISNUMBER(P396),ISNUMBER(H396))),"시각 결측",IF(P396&lt;=N396,"기준 시각 역전",IF(OR(H396&lt;N396,H396&gt;P396),"측정시각 구간 밖","OK")))))</f>
        <v/>
      </c>
      <c r="N396" s="45">
        <f>IF(COUNTIFS($C:$C,$C396,$D:$D,"기준(전)",$L:$L,"&gt;0")&lt;&gt;1,"",SUMIFS($H:$H,$C:$C,$C396,$D:$D,"기준(전)"))</f>
        <v/>
      </c>
      <c r="O396" s="30">
        <f>IF(COUNTIFS($C:$C,$C396,$D:$D,"기준(전)",$L:$L,"&gt;0")&lt;&gt;1,"",SUMIFS($L:$L,$C:$C,$C396,$D:$D,"기준(전)"))</f>
        <v/>
      </c>
      <c r="P396" s="45">
        <f>IF(COUNTIFS($C:$C,$C396,$D:$D,"기준(후)",$L:$L,"&gt;0")&lt;&gt;1,"",SUMIFS($H:$H,$C:$C,$C396,$D:$D,"기준(후)"))</f>
        <v/>
      </c>
      <c r="Q396" s="30">
        <f>IF(COUNTIFS($C:$C,$C396,$D:$D,"기준(후)",$L:$L,"&gt;0")&lt;&gt;1,"",SUMIFS($L:$L,$C:$C,$C396,$D:$D,"기준(후)"))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IF(OR($D395&lt;&gt;"측정",$C395&lt;&gt;$C396,NOT(ISNUMBER(L396)),NOT(ISNUMBER(L395)),(IF(ISNUMBER(F396),F396,E396)-IF(ISNUMBER(F395),F395,E395))=0),"",(L396-L395)/((IF(ISNUMBER(F396),F396,E396)-IF(ISNUMBER(F395),F395,E395))/100))</f>
        <v/>
      </c>
      <c r="U396" s="28" t="n"/>
      <c r="V396" s="28" t="n"/>
      <c r="W396" s="31" t="n"/>
    </row>
    <row r="397">
      <c r="A397" s="25" t="inlineStr">
        <is>
          <t>S33</t>
        </is>
      </c>
      <c r="B397" s="25" t="inlineStr">
        <is>
          <t>문산 신규점</t>
        </is>
      </c>
      <c r="C397" s="25" t="inlineStr">
        <is>
          <t>S33-V</t>
        </is>
      </c>
      <c r="D397" s="25" t="inlineStr">
        <is>
          <t>측정</t>
        </is>
      </c>
      <c r="E397" s="48" t="n">
        <v>160</v>
      </c>
      <c r="F397" s="40" t="n"/>
      <c r="G397" s="28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IF(COUNTIFS($C:$C,$C397,$D:$D,"기준(전)",$L:$L,"&gt;0")&lt;&gt;1,"기준(전) 유효 1개 아님",IF(COUNTIFS($C:$C,$C397,$D:$D,"기준(후)",$L:$L,"&gt;0")&lt;&gt;1,"기준(후) 유효 1개 아님",IF(NOT(AND(ISNUMBER(N397),ISNUMBER(P397),ISNUMBER(H397))),"시각 결측",IF(P397&lt;=N397,"기준 시각 역전",IF(OR(H397&lt;N397,H397&gt;P397),"측정시각 구간 밖","OK")))))</f>
        <v/>
      </c>
      <c r="N397" s="45">
        <f>IF(COUNTIFS($C:$C,$C397,$D:$D,"기준(전)",$L:$L,"&gt;0")&lt;&gt;1,"",SUMIFS($H:$H,$C:$C,$C397,$D:$D,"기준(전)"))</f>
        <v/>
      </c>
      <c r="O397" s="30">
        <f>IF(COUNTIFS($C:$C,$C397,$D:$D,"기준(전)",$L:$L,"&gt;0")&lt;&gt;1,"",SUMIFS($L:$L,$C:$C,$C397,$D:$D,"기준(전)"))</f>
        <v/>
      </c>
      <c r="P397" s="45">
        <f>IF(COUNTIFS($C:$C,$C397,$D:$D,"기준(후)",$L:$L,"&gt;0")&lt;&gt;1,"",SUMIFS($H:$H,$C:$C,$C397,$D:$D,"기준(후)"))</f>
        <v/>
      </c>
      <c r="Q397" s="30">
        <f>IF(COUNTIFS($C:$C,$C397,$D:$D,"기준(후)",$L:$L,"&gt;0")&lt;&gt;1,"",SUMIFS($L:$L,$C:$C,$C397,$D:$D,"기준(후)"))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IF(OR($D396&lt;&gt;"측정",$C396&lt;&gt;$C397,NOT(ISNUMBER(L397)),NOT(ISNUMBER(L396)),(IF(ISNUMBER(F397),F397,E397)-IF(ISNUMBER(F396),F396,E396))=0),"",(L397-L396)/((IF(ISNUMBER(F397),F397,E397)-IF(ISNUMBER(F396),F396,E396))/100))</f>
        <v/>
      </c>
      <c r="U397" s="28" t="n"/>
      <c r="V397" s="28" t="n"/>
      <c r="W397" s="31" t="n"/>
    </row>
    <row r="398">
      <c r="A398" s="25" t="inlineStr">
        <is>
          <t>S33</t>
        </is>
      </c>
      <c r="B398" s="25" t="inlineStr">
        <is>
          <t>문산 신규점</t>
        </is>
      </c>
      <c r="C398" s="25" t="inlineStr">
        <is>
          <t>S33-V</t>
        </is>
      </c>
      <c r="D398" s="25" t="inlineStr">
        <is>
          <t>측정</t>
        </is>
      </c>
      <c r="E398" s="48" t="n">
        <v>180</v>
      </c>
      <c r="F398" s="40" t="n"/>
      <c r="G398" s="28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IF(COUNTIFS($C:$C,$C398,$D:$D,"기준(전)",$L:$L,"&gt;0")&lt;&gt;1,"기준(전) 유효 1개 아님",IF(COUNTIFS($C:$C,$C398,$D:$D,"기준(후)",$L:$L,"&gt;0")&lt;&gt;1,"기준(후) 유효 1개 아님",IF(NOT(AND(ISNUMBER(N398),ISNUMBER(P398),ISNUMBER(H398))),"시각 결측",IF(P398&lt;=N398,"기준 시각 역전",IF(OR(H398&lt;N398,H398&gt;P398),"측정시각 구간 밖","OK")))))</f>
        <v/>
      </c>
      <c r="N398" s="45">
        <f>IF(COUNTIFS($C:$C,$C398,$D:$D,"기준(전)",$L:$L,"&gt;0")&lt;&gt;1,"",SUMIFS($H:$H,$C:$C,$C398,$D:$D,"기준(전)"))</f>
        <v/>
      </c>
      <c r="O398" s="30">
        <f>IF(COUNTIFS($C:$C,$C398,$D:$D,"기준(전)",$L:$L,"&gt;0")&lt;&gt;1,"",SUMIFS($L:$L,$C:$C,$C398,$D:$D,"기준(전)"))</f>
        <v/>
      </c>
      <c r="P398" s="45">
        <f>IF(COUNTIFS($C:$C,$C398,$D:$D,"기준(후)",$L:$L,"&gt;0")&lt;&gt;1,"",SUMIFS($H:$H,$C:$C,$C398,$D:$D,"기준(후)"))</f>
        <v/>
      </c>
      <c r="Q398" s="30">
        <f>IF(COUNTIFS($C:$C,$C398,$D:$D,"기준(후)",$L:$L,"&gt;0")&lt;&gt;1,"",SUMIFS($L:$L,$C:$C,$C398,$D:$D,"기준(후)"))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IF(OR($D397&lt;&gt;"측정",$C397&lt;&gt;$C398,NOT(ISNUMBER(L398)),NOT(ISNUMBER(L397)),(IF(ISNUMBER(F398),F398,E398)-IF(ISNUMBER(F397),F397,E397))=0),"",(L398-L397)/((IF(ISNUMBER(F398),F398,E398)-IF(ISNUMBER(F397),F397,E397))/100))</f>
        <v/>
      </c>
      <c r="U398" s="28" t="n"/>
      <c r="V398" s="28" t="n"/>
      <c r="W398" s="31" t="n"/>
    </row>
    <row r="399">
      <c r="A399" s="25" t="inlineStr">
        <is>
          <t>S33</t>
        </is>
      </c>
      <c r="B399" s="25" t="inlineStr">
        <is>
          <t>문산 신규점</t>
        </is>
      </c>
      <c r="C399" s="25" t="inlineStr">
        <is>
          <t>S33-V</t>
        </is>
      </c>
      <c r="D399" s="25" t="inlineStr">
        <is>
          <t>측정</t>
        </is>
      </c>
      <c r="E399" s="48" t="n">
        <v>200</v>
      </c>
      <c r="F399" s="40" t="n"/>
      <c r="G399" s="28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IF(COUNTIFS($C:$C,$C399,$D:$D,"기준(전)",$L:$L,"&gt;0")&lt;&gt;1,"기준(전) 유효 1개 아님",IF(COUNTIFS($C:$C,$C399,$D:$D,"기준(후)",$L:$L,"&gt;0")&lt;&gt;1,"기준(후) 유효 1개 아님",IF(NOT(AND(ISNUMBER(N399),ISNUMBER(P399),ISNUMBER(H399))),"시각 결측",IF(P399&lt;=N399,"기준 시각 역전",IF(OR(H399&lt;N399,H399&gt;P399),"측정시각 구간 밖","OK")))))</f>
        <v/>
      </c>
      <c r="N399" s="45">
        <f>IF(COUNTIFS($C:$C,$C399,$D:$D,"기준(전)",$L:$L,"&gt;0")&lt;&gt;1,"",SUMIFS($H:$H,$C:$C,$C399,$D:$D,"기준(전)"))</f>
        <v/>
      </c>
      <c r="O399" s="30">
        <f>IF(COUNTIFS($C:$C,$C399,$D:$D,"기준(전)",$L:$L,"&gt;0")&lt;&gt;1,"",SUMIFS($L:$L,$C:$C,$C399,$D:$D,"기준(전)"))</f>
        <v/>
      </c>
      <c r="P399" s="45">
        <f>IF(COUNTIFS($C:$C,$C399,$D:$D,"기준(후)",$L:$L,"&gt;0")&lt;&gt;1,"",SUMIFS($H:$H,$C:$C,$C399,$D:$D,"기준(후)"))</f>
        <v/>
      </c>
      <c r="Q399" s="30">
        <f>IF(COUNTIFS($C:$C,$C399,$D:$D,"기준(후)",$L:$L,"&gt;0")&lt;&gt;1,"",SUMIFS($L:$L,$C:$C,$C399,$D:$D,"기준(후)"))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IF(OR($D398&lt;&gt;"측정",$C398&lt;&gt;$C399,NOT(ISNUMBER(L399)),NOT(ISNUMBER(L398)),(IF(ISNUMBER(F399),F399,E399)-IF(ISNUMBER(F398),F398,E398))=0),"",(L399-L398)/((IF(ISNUMBER(F399),F399,E399)-IF(ISNUMBER(F398),F398,E398))/100))</f>
        <v/>
      </c>
      <c r="U399" s="28" t="n"/>
      <c r="V399" s="28" t="n"/>
      <c r="W399" s="31" t="n"/>
    </row>
    <row r="400">
      <c r="A400" s="43" t="inlineStr">
        <is>
          <t>S33</t>
        </is>
      </c>
      <c r="B400" s="43" t="inlineStr">
        <is>
          <t>문산 신규점</t>
        </is>
      </c>
      <c r="C400" s="43" t="inlineStr">
        <is>
          <t>S33-V</t>
        </is>
      </c>
      <c r="D400" s="43" t="inlineStr">
        <is>
          <t>기준(후)</t>
        </is>
      </c>
      <c r="E400" s="47" t="n"/>
      <c r="F400" s="40" t="n"/>
      <c r="G400" s="28" t="n"/>
      <c r="H400" s="42" t="n"/>
      <c r="I400" s="40" t="n"/>
      <c r="J400" s="40" t="n"/>
      <c r="K400" s="40" t="n"/>
      <c r="L400" s="30">
        <f>IF(COUNT(I400:K400)=0,"",MEDIAN(I400:K400))</f>
        <v/>
      </c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28" t="n"/>
      <c r="V400" s="28" t="n"/>
      <c r="W400" s="31" t="n"/>
    </row>
    <row r="401">
      <c r="A401" s="43" t="inlineStr">
        <is>
          <t>S34</t>
        </is>
      </c>
      <c r="B401" s="43" t="inlineStr">
        <is>
          <t>부안 신규점</t>
        </is>
      </c>
      <c r="C401" s="43" t="inlineStr">
        <is>
          <t>S34-V</t>
        </is>
      </c>
      <c r="D401" s="43" t="inlineStr">
        <is>
          <t>기준(전)</t>
        </is>
      </c>
      <c r="E401" s="47" t="n"/>
      <c r="F401" s="40" t="n"/>
      <c r="G401" s="28" t="n"/>
      <c r="H401" s="42" t="n"/>
      <c r="I401" s="40" t="n"/>
      <c r="J401" s="40" t="n"/>
      <c r="K401" s="40" t="n"/>
      <c r="L401" s="30">
        <f>IF(COUNT(I401:K401)=0,"",MEDIAN(I401:K401))</f>
        <v/>
      </c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28" t="n"/>
      <c r="V401" s="28" t="n"/>
      <c r="W401" s="31" t="n"/>
    </row>
    <row r="402">
      <c r="A402" s="25" t="inlineStr">
        <is>
          <t>S34</t>
        </is>
      </c>
      <c r="B402" s="25" t="inlineStr">
        <is>
          <t>부안 신규점</t>
        </is>
      </c>
      <c r="C402" s="25" t="inlineStr">
        <is>
          <t>S34-V</t>
        </is>
      </c>
      <c r="D402" s="25" t="inlineStr">
        <is>
          <t>측정</t>
        </is>
      </c>
      <c r="E402" s="48" t="n">
        <v>20</v>
      </c>
      <c r="F402" s="40" t="n"/>
      <c r="G402" s="28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IF(COUNTIFS($C:$C,$C402,$D:$D,"기준(전)",$L:$L,"&gt;0")&lt;&gt;1,"기준(전) 유효 1개 아님",IF(COUNTIFS($C:$C,$C402,$D:$D,"기준(후)",$L:$L,"&gt;0")&lt;&gt;1,"기준(후) 유효 1개 아님",IF(NOT(AND(ISNUMBER(N402),ISNUMBER(P402),ISNUMBER(H402))),"시각 결측",IF(P402&lt;=N402,"기준 시각 역전",IF(OR(H402&lt;N402,H402&gt;P402),"측정시각 구간 밖","OK")))))</f>
        <v/>
      </c>
      <c r="N402" s="45">
        <f>IF(COUNTIFS($C:$C,$C402,$D:$D,"기준(전)",$L:$L,"&gt;0")&lt;&gt;1,"",SUMIFS($H:$H,$C:$C,$C402,$D:$D,"기준(전)"))</f>
        <v/>
      </c>
      <c r="O402" s="30">
        <f>IF(COUNTIFS($C:$C,$C402,$D:$D,"기준(전)",$L:$L,"&gt;0")&lt;&gt;1,"",SUMIFS($L:$L,$C:$C,$C402,$D:$D,"기준(전)"))</f>
        <v/>
      </c>
      <c r="P402" s="45">
        <f>IF(COUNTIFS($C:$C,$C402,$D:$D,"기준(후)",$L:$L,"&gt;0")&lt;&gt;1,"",SUMIFS($H:$H,$C:$C,$C402,$D:$D,"기준(후)"))</f>
        <v/>
      </c>
      <c r="Q402" s="30">
        <f>IF(COUNTIFS($C:$C,$C402,$D:$D,"기준(후)",$L:$L,"&gt;0")&lt;&gt;1,"",SUMIFS($L:$L,$C:$C,$C402,$D:$D,"기준(후)"))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IF(OR($D401&lt;&gt;"측정",$C401&lt;&gt;$C402,NOT(ISNUMBER(L402)),NOT(ISNUMBER(L401)),(IF(ISNUMBER(F402),F402,E402)-IF(ISNUMBER(F401),F401,E401))=0),"",(L402-L401)/((IF(ISNUMBER(F402),F402,E402)-IF(ISNUMBER(F401),F401,E401))/100))</f>
        <v/>
      </c>
      <c r="U402" s="28" t="n"/>
      <c r="V402" s="28" t="n"/>
      <c r="W402" s="31" t="n"/>
    </row>
    <row r="403">
      <c r="A403" s="25" t="inlineStr">
        <is>
          <t>S34</t>
        </is>
      </c>
      <c r="B403" s="25" t="inlineStr">
        <is>
          <t>부안 신규점</t>
        </is>
      </c>
      <c r="C403" s="25" t="inlineStr">
        <is>
          <t>S34-V</t>
        </is>
      </c>
      <c r="D403" s="25" t="inlineStr">
        <is>
          <t>측정</t>
        </is>
      </c>
      <c r="E403" s="48" t="n">
        <v>40</v>
      </c>
      <c r="F403" s="40" t="n"/>
      <c r="G403" s="28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IF(COUNTIFS($C:$C,$C403,$D:$D,"기준(전)",$L:$L,"&gt;0")&lt;&gt;1,"기준(전) 유효 1개 아님",IF(COUNTIFS($C:$C,$C403,$D:$D,"기준(후)",$L:$L,"&gt;0")&lt;&gt;1,"기준(후) 유효 1개 아님",IF(NOT(AND(ISNUMBER(N403),ISNUMBER(P403),ISNUMBER(H403))),"시각 결측",IF(P403&lt;=N403,"기준 시각 역전",IF(OR(H403&lt;N403,H403&gt;P403),"측정시각 구간 밖","OK")))))</f>
        <v/>
      </c>
      <c r="N403" s="45">
        <f>IF(COUNTIFS($C:$C,$C403,$D:$D,"기준(전)",$L:$L,"&gt;0")&lt;&gt;1,"",SUMIFS($H:$H,$C:$C,$C403,$D:$D,"기준(전)"))</f>
        <v/>
      </c>
      <c r="O403" s="30">
        <f>IF(COUNTIFS($C:$C,$C403,$D:$D,"기준(전)",$L:$L,"&gt;0")&lt;&gt;1,"",SUMIFS($L:$L,$C:$C,$C403,$D:$D,"기준(전)"))</f>
        <v/>
      </c>
      <c r="P403" s="45">
        <f>IF(COUNTIFS($C:$C,$C403,$D:$D,"기준(후)",$L:$L,"&gt;0")&lt;&gt;1,"",SUMIFS($H:$H,$C:$C,$C403,$D:$D,"기준(후)"))</f>
        <v/>
      </c>
      <c r="Q403" s="30">
        <f>IF(COUNTIFS($C:$C,$C403,$D:$D,"기준(후)",$L:$L,"&gt;0")&lt;&gt;1,"",SUMIFS($L:$L,$C:$C,$C403,$D:$D,"기준(후)"))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IF(OR($D402&lt;&gt;"측정",$C402&lt;&gt;$C403,NOT(ISNUMBER(L403)),NOT(ISNUMBER(L402)),(IF(ISNUMBER(F403),F403,E403)-IF(ISNUMBER(F402),F402,E402))=0),"",(L403-L402)/((IF(ISNUMBER(F403),F403,E403)-IF(ISNUMBER(F402),F402,E402))/100))</f>
        <v/>
      </c>
      <c r="U403" s="28" t="n"/>
      <c r="V403" s="28" t="n"/>
      <c r="W403" s="31" t="n"/>
    </row>
    <row r="404">
      <c r="A404" s="25" t="inlineStr">
        <is>
          <t>S34</t>
        </is>
      </c>
      <c r="B404" s="25" t="inlineStr">
        <is>
          <t>부안 신규점</t>
        </is>
      </c>
      <c r="C404" s="25" t="inlineStr">
        <is>
          <t>S34-V</t>
        </is>
      </c>
      <c r="D404" s="25" t="inlineStr">
        <is>
          <t>측정</t>
        </is>
      </c>
      <c r="E404" s="48" t="n">
        <v>60</v>
      </c>
      <c r="F404" s="40" t="n"/>
      <c r="G404" s="28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IF(COUNTIFS($C:$C,$C404,$D:$D,"기준(전)",$L:$L,"&gt;0")&lt;&gt;1,"기준(전) 유효 1개 아님",IF(COUNTIFS($C:$C,$C404,$D:$D,"기준(후)",$L:$L,"&gt;0")&lt;&gt;1,"기준(후) 유효 1개 아님",IF(NOT(AND(ISNUMBER(N404),ISNUMBER(P404),ISNUMBER(H404))),"시각 결측",IF(P404&lt;=N404,"기준 시각 역전",IF(OR(H404&lt;N404,H404&gt;P404),"측정시각 구간 밖","OK")))))</f>
        <v/>
      </c>
      <c r="N404" s="45">
        <f>IF(COUNTIFS($C:$C,$C404,$D:$D,"기준(전)",$L:$L,"&gt;0")&lt;&gt;1,"",SUMIFS($H:$H,$C:$C,$C404,$D:$D,"기준(전)"))</f>
        <v/>
      </c>
      <c r="O404" s="30">
        <f>IF(COUNTIFS($C:$C,$C404,$D:$D,"기준(전)",$L:$L,"&gt;0")&lt;&gt;1,"",SUMIFS($L:$L,$C:$C,$C404,$D:$D,"기준(전)"))</f>
        <v/>
      </c>
      <c r="P404" s="45">
        <f>IF(COUNTIFS($C:$C,$C404,$D:$D,"기준(후)",$L:$L,"&gt;0")&lt;&gt;1,"",SUMIFS($H:$H,$C:$C,$C404,$D:$D,"기준(후)"))</f>
        <v/>
      </c>
      <c r="Q404" s="30">
        <f>IF(COUNTIFS($C:$C,$C404,$D:$D,"기준(후)",$L:$L,"&gt;0")&lt;&gt;1,"",SUMIFS($L:$L,$C:$C,$C404,$D:$D,"기준(후)"))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IF(OR($D403&lt;&gt;"측정",$C403&lt;&gt;$C404,NOT(ISNUMBER(L404)),NOT(ISNUMBER(L403)),(IF(ISNUMBER(F404),F404,E404)-IF(ISNUMBER(F403),F403,E403))=0),"",(L404-L403)/((IF(ISNUMBER(F404),F404,E404)-IF(ISNUMBER(F403),F403,E403))/100))</f>
        <v/>
      </c>
      <c r="U404" s="28" t="n"/>
      <c r="V404" s="28" t="n"/>
      <c r="W404" s="31" t="n"/>
    </row>
    <row r="405">
      <c r="A405" s="25" t="inlineStr">
        <is>
          <t>S34</t>
        </is>
      </c>
      <c r="B405" s="25" t="inlineStr">
        <is>
          <t>부안 신규점</t>
        </is>
      </c>
      <c r="C405" s="25" t="inlineStr">
        <is>
          <t>S34-V</t>
        </is>
      </c>
      <c r="D405" s="25" t="inlineStr">
        <is>
          <t>측정</t>
        </is>
      </c>
      <c r="E405" s="48" t="n">
        <v>80</v>
      </c>
      <c r="F405" s="40" t="n"/>
      <c r="G405" s="28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IF(COUNTIFS($C:$C,$C405,$D:$D,"기준(전)",$L:$L,"&gt;0")&lt;&gt;1,"기준(전) 유효 1개 아님",IF(COUNTIFS($C:$C,$C405,$D:$D,"기준(후)",$L:$L,"&gt;0")&lt;&gt;1,"기준(후) 유효 1개 아님",IF(NOT(AND(ISNUMBER(N405),ISNUMBER(P405),ISNUMBER(H405))),"시각 결측",IF(P405&lt;=N405,"기준 시각 역전",IF(OR(H405&lt;N405,H405&gt;P405),"측정시각 구간 밖","OK")))))</f>
        <v/>
      </c>
      <c r="N405" s="45">
        <f>IF(COUNTIFS($C:$C,$C405,$D:$D,"기준(전)",$L:$L,"&gt;0")&lt;&gt;1,"",SUMIFS($H:$H,$C:$C,$C405,$D:$D,"기준(전)"))</f>
        <v/>
      </c>
      <c r="O405" s="30">
        <f>IF(COUNTIFS($C:$C,$C405,$D:$D,"기준(전)",$L:$L,"&gt;0")&lt;&gt;1,"",SUMIFS($L:$L,$C:$C,$C405,$D:$D,"기준(전)"))</f>
        <v/>
      </c>
      <c r="P405" s="45">
        <f>IF(COUNTIFS($C:$C,$C405,$D:$D,"기준(후)",$L:$L,"&gt;0")&lt;&gt;1,"",SUMIFS($H:$H,$C:$C,$C405,$D:$D,"기준(후)"))</f>
        <v/>
      </c>
      <c r="Q405" s="30">
        <f>IF(COUNTIFS($C:$C,$C405,$D:$D,"기준(후)",$L:$L,"&gt;0")&lt;&gt;1,"",SUMIFS($L:$L,$C:$C,$C405,$D:$D,"기준(후)"))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IF(OR($D404&lt;&gt;"측정",$C404&lt;&gt;$C405,NOT(ISNUMBER(L405)),NOT(ISNUMBER(L404)),(IF(ISNUMBER(F405),F405,E405)-IF(ISNUMBER(F404),F404,E404))=0),"",(L405-L404)/((IF(ISNUMBER(F405),F405,E405)-IF(ISNUMBER(F404),F404,E404))/100))</f>
        <v/>
      </c>
      <c r="U405" s="28" t="n"/>
      <c r="V405" s="28" t="n"/>
      <c r="W405" s="31" t="n"/>
    </row>
    <row r="406">
      <c r="A406" s="25" t="inlineStr">
        <is>
          <t>S34</t>
        </is>
      </c>
      <c r="B406" s="25" t="inlineStr">
        <is>
          <t>부안 신규점</t>
        </is>
      </c>
      <c r="C406" s="25" t="inlineStr">
        <is>
          <t>S34-V</t>
        </is>
      </c>
      <c r="D406" s="25" t="inlineStr">
        <is>
          <t>측정</t>
        </is>
      </c>
      <c r="E406" s="48" t="n">
        <v>100</v>
      </c>
      <c r="F406" s="40" t="n"/>
      <c r="G406" s="28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IF(COUNTIFS($C:$C,$C406,$D:$D,"기준(전)",$L:$L,"&gt;0")&lt;&gt;1,"기준(전) 유효 1개 아님",IF(COUNTIFS($C:$C,$C406,$D:$D,"기준(후)",$L:$L,"&gt;0")&lt;&gt;1,"기준(후) 유효 1개 아님",IF(NOT(AND(ISNUMBER(N406),ISNUMBER(P406),ISNUMBER(H406))),"시각 결측",IF(P406&lt;=N406,"기준 시각 역전",IF(OR(H406&lt;N406,H406&gt;P406),"측정시각 구간 밖","OK")))))</f>
        <v/>
      </c>
      <c r="N406" s="45">
        <f>IF(COUNTIFS($C:$C,$C406,$D:$D,"기준(전)",$L:$L,"&gt;0")&lt;&gt;1,"",SUMIFS($H:$H,$C:$C,$C406,$D:$D,"기준(전)"))</f>
        <v/>
      </c>
      <c r="O406" s="30">
        <f>IF(COUNTIFS($C:$C,$C406,$D:$D,"기준(전)",$L:$L,"&gt;0")&lt;&gt;1,"",SUMIFS($L:$L,$C:$C,$C406,$D:$D,"기준(전)"))</f>
        <v/>
      </c>
      <c r="P406" s="45">
        <f>IF(COUNTIFS($C:$C,$C406,$D:$D,"기준(후)",$L:$L,"&gt;0")&lt;&gt;1,"",SUMIFS($H:$H,$C:$C,$C406,$D:$D,"기준(후)"))</f>
        <v/>
      </c>
      <c r="Q406" s="30">
        <f>IF(COUNTIFS($C:$C,$C406,$D:$D,"기준(후)",$L:$L,"&gt;0")&lt;&gt;1,"",SUMIFS($L:$L,$C:$C,$C406,$D:$D,"기준(후)"))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IF(OR($D405&lt;&gt;"측정",$C405&lt;&gt;$C406,NOT(ISNUMBER(L406)),NOT(ISNUMBER(L405)),(IF(ISNUMBER(F406),F406,E406)-IF(ISNUMBER(F405),F405,E405))=0),"",(L406-L405)/((IF(ISNUMBER(F406),F406,E406)-IF(ISNUMBER(F405),F405,E405))/100))</f>
        <v/>
      </c>
      <c r="U406" s="28" t="n"/>
      <c r="V406" s="28" t="n"/>
      <c r="W406" s="31" t="n"/>
    </row>
    <row r="407">
      <c r="A407" s="25" t="inlineStr">
        <is>
          <t>S34</t>
        </is>
      </c>
      <c r="B407" s="25" t="inlineStr">
        <is>
          <t>부안 신규점</t>
        </is>
      </c>
      <c r="C407" s="25" t="inlineStr">
        <is>
          <t>S34-V</t>
        </is>
      </c>
      <c r="D407" s="25" t="inlineStr">
        <is>
          <t>측정</t>
        </is>
      </c>
      <c r="E407" s="48" t="n">
        <v>120</v>
      </c>
      <c r="F407" s="40" t="n"/>
      <c r="G407" s="28" t="n"/>
      <c r="H407" s="42" t="n"/>
      <c r="I407" s="40" t="n"/>
      <c r="J407" s="40" t="n"/>
      <c r="K407" s="40" t="n"/>
      <c r="L407" s="30">
        <f>IF(COUNT(I407:K407)=0,"",MEDIAN(I407:K407))</f>
        <v/>
      </c>
      <c r="M407" s="25">
        <f>IF(COUNTIFS($C:$C,$C407,$D:$D,"기준(전)",$L:$L,"&gt;0")&lt;&gt;1,"기준(전) 유효 1개 아님",IF(COUNTIFS($C:$C,$C407,$D:$D,"기준(후)",$L:$L,"&gt;0")&lt;&gt;1,"기준(후) 유효 1개 아님",IF(NOT(AND(ISNUMBER(N407),ISNUMBER(P407),ISNUMBER(H407))),"시각 결측",IF(P407&lt;=N407,"기준 시각 역전",IF(OR(H407&lt;N407,H407&gt;P407),"측정시각 구간 밖","OK")))))</f>
        <v/>
      </c>
      <c r="N407" s="45">
        <f>IF(COUNTIFS($C:$C,$C407,$D:$D,"기준(전)",$L:$L,"&gt;0")&lt;&gt;1,"",SUMIFS($H:$H,$C:$C,$C407,$D:$D,"기준(전)"))</f>
        <v/>
      </c>
      <c r="O407" s="30">
        <f>IF(COUNTIFS($C:$C,$C407,$D:$D,"기준(전)",$L:$L,"&gt;0")&lt;&gt;1,"",SUMIFS($L:$L,$C:$C,$C407,$D:$D,"기준(전)"))</f>
        <v/>
      </c>
      <c r="P407" s="45">
        <f>IF(COUNTIFS($C:$C,$C407,$D:$D,"기준(후)",$L:$L,"&gt;0")&lt;&gt;1,"",SUMIFS($H:$H,$C:$C,$C407,$D:$D,"기준(후)"))</f>
        <v/>
      </c>
      <c r="Q407" s="30">
        <f>IF(COUNTIFS($C:$C,$C407,$D:$D,"기준(후)",$L:$L,"&gt;0")&lt;&gt;1,"",SUMIFS($L:$L,$C:$C,$C407,$D:$D,"기준(후)"))</f>
        <v/>
      </c>
      <c r="R407" s="30">
        <f>IF(M407&lt;&gt;"OK","",O407+(Q407-O407)*(H407-N407)/(P407-N407))</f>
        <v/>
      </c>
      <c r="S407" s="30">
        <f>IF(OR(M407&lt;&gt;"OK",NOT(ISNUMBER(L407))),"",L407-R407)</f>
        <v/>
      </c>
      <c r="T407" s="46">
        <f>IF(OR($D406&lt;&gt;"측정",$C406&lt;&gt;$C407,NOT(ISNUMBER(L407)),NOT(ISNUMBER(L406)),(IF(ISNUMBER(F407),F407,E407)-IF(ISNUMBER(F406),F406,E406))=0),"",(L407-L406)/((IF(ISNUMBER(F407),F407,E407)-IF(ISNUMBER(F406),F406,E406))/100))</f>
        <v/>
      </c>
      <c r="U407" s="28" t="n"/>
      <c r="V407" s="28" t="n"/>
      <c r="W407" s="31" t="n"/>
    </row>
    <row r="408">
      <c r="A408" s="25" t="inlineStr">
        <is>
          <t>S34</t>
        </is>
      </c>
      <c r="B408" s="25" t="inlineStr">
        <is>
          <t>부안 신규점</t>
        </is>
      </c>
      <c r="C408" s="25" t="inlineStr">
        <is>
          <t>S34-V</t>
        </is>
      </c>
      <c r="D408" s="25" t="inlineStr">
        <is>
          <t>측정</t>
        </is>
      </c>
      <c r="E408" s="48" t="n">
        <v>140</v>
      </c>
      <c r="F408" s="40" t="n"/>
      <c r="G408" s="28" t="n"/>
      <c r="H408" s="42" t="n"/>
      <c r="I408" s="40" t="n"/>
      <c r="J408" s="40" t="n"/>
      <c r="K408" s="40" t="n"/>
      <c r="L408" s="30">
        <f>IF(COUNT(I408:K408)=0,"",MEDIAN(I408:K408))</f>
        <v/>
      </c>
      <c r="M408" s="25">
        <f>IF(COUNTIFS($C:$C,$C408,$D:$D,"기준(전)",$L:$L,"&gt;0")&lt;&gt;1,"기준(전) 유효 1개 아님",IF(COUNTIFS($C:$C,$C408,$D:$D,"기준(후)",$L:$L,"&gt;0")&lt;&gt;1,"기준(후) 유효 1개 아님",IF(NOT(AND(ISNUMBER(N408),ISNUMBER(P408),ISNUMBER(H408))),"시각 결측",IF(P408&lt;=N408,"기준 시각 역전",IF(OR(H408&lt;N408,H408&gt;P408),"측정시각 구간 밖","OK")))))</f>
        <v/>
      </c>
      <c r="N408" s="45">
        <f>IF(COUNTIFS($C:$C,$C408,$D:$D,"기준(전)",$L:$L,"&gt;0")&lt;&gt;1,"",SUMIFS($H:$H,$C:$C,$C408,$D:$D,"기준(전)"))</f>
        <v/>
      </c>
      <c r="O408" s="30">
        <f>IF(COUNTIFS($C:$C,$C408,$D:$D,"기준(전)",$L:$L,"&gt;0")&lt;&gt;1,"",SUMIFS($L:$L,$C:$C,$C408,$D:$D,"기준(전)"))</f>
        <v/>
      </c>
      <c r="P408" s="45">
        <f>IF(COUNTIFS($C:$C,$C408,$D:$D,"기준(후)",$L:$L,"&gt;0")&lt;&gt;1,"",SUMIFS($H:$H,$C:$C,$C408,$D:$D,"기준(후)"))</f>
        <v/>
      </c>
      <c r="Q408" s="30">
        <f>IF(COUNTIFS($C:$C,$C408,$D:$D,"기준(후)",$L:$L,"&gt;0")&lt;&gt;1,"",SUMIFS($L:$L,$C:$C,$C408,$D:$D,"기준(후)"))</f>
        <v/>
      </c>
      <c r="R408" s="30">
        <f>IF(M408&lt;&gt;"OK","",O408+(Q408-O408)*(H408-N408)/(P408-N408))</f>
        <v/>
      </c>
      <c r="S408" s="30">
        <f>IF(OR(M408&lt;&gt;"OK",NOT(ISNUMBER(L408))),"",L408-R408)</f>
        <v/>
      </c>
      <c r="T408" s="46">
        <f>IF(OR($D407&lt;&gt;"측정",$C407&lt;&gt;$C408,NOT(ISNUMBER(L408)),NOT(ISNUMBER(L407)),(IF(ISNUMBER(F408),F408,E408)-IF(ISNUMBER(F407),F407,E407))=0),"",(L408-L407)/((IF(ISNUMBER(F408),F408,E408)-IF(ISNUMBER(F407),F407,E407))/100))</f>
        <v/>
      </c>
      <c r="U408" s="28" t="n"/>
      <c r="V408" s="28" t="n"/>
      <c r="W408" s="31" t="n"/>
    </row>
    <row r="409">
      <c r="A409" s="25" t="inlineStr">
        <is>
          <t>S34</t>
        </is>
      </c>
      <c r="B409" s="25" t="inlineStr">
        <is>
          <t>부안 신규점</t>
        </is>
      </c>
      <c r="C409" s="25" t="inlineStr">
        <is>
          <t>S34-V</t>
        </is>
      </c>
      <c r="D409" s="25" t="inlineStr">
        <is>
          <t>측정</t>
        </is>
      </c>
      <c r="E409" s="48" t="n">
        <v>160</v>
      </c>
      <c r="F409" s="40" t="n"/>
      <c r="G409" s="28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IF(COUNTIFS($C:$C,$C409,$D:$D,"기준(전)",$L:$L,"&gt;0")&lt;&gt;1,"기준(전) 유효 1개 아님",IF(COUNTIFS($C:$C,$C409,$D:$D,"기준(후)",$L:$L,"&gt;0")&lt;&gt;1,"기준(후) 유효 1개 아님",IF(NOT(AND(ISNUMBER(N409),ISNUMBER(P409),ISNUMBER(H409))),"시각 결측",IF(P409&lt;=N409,"기준 시각 역전",IF(OR(H409&lt;N409,H409&gt;P409),"측정시각 구간 밖","OK")))))</f>
        <v/>
      </c>
      <c r="N409" s="45">
        <f>IF(COUNTIFS($C:$C,$C409,$D:$D,"기준(전)",$L:$L,"&gt;0")&lt;&gt;1,"",SUMIFS($H:$H,$C:$C,$C409,$D:$D,"기준(전)"))</f>
        <v/>
      </c>
      <c r="O409" s="30">
        <f>IF(COUNTIFS($C:$C,$C409,$D:$D,"기준(전)",$L:$L,"&gt;0")&lt;&gt;1,"",SUMIFS($L:$L,$C:$C,$C409,$D:$D,"기준(전)"))</f>
        <v/>
      </c>
      <c r="P409" s="45">
        <f>IF(COUNTIFS($C:$C,$C409,$D:$D,"기준(후)",$L:$L,"&gt;0")&lt;&gt;1,"",SUMIFS($H:$H,$C:$C,$C409,$D:$D,"기준(후)"))</f>
        <v/>
      </c>
      <c r="Q409" s="30">
        <f>IF(COUNTIFS($C:$C,$C409,$D:$D,"기준(후)",$L:$L,"&gt;0")&lt;&gt;1,"",SUMIFS($L:$L,$C:$C,$C409,$D:$D,"기준(후)"))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IF(OR($D408&lt;&gt;"측정",$C408&lt;&gt;$C409,NOT(ISNUMBER(L409)),NOT(ISNUMBER(L408)),(IF(ISNUMBER(F409),F409,E409)-IF(ISNUMBER(F408),F408,E408))=0),"",(L409-L408)/((IF(ISNUMBER(F409),F409,E409)-IF(ISNUMBER(F408),F408,E408))/100))</f>
        <v/>
      </c>
      <c r="U409" s="28" t="n"/>
      <c r="V409" s="28" t="n"/>
      <c r="W409" s="31" t="n"/>
    </row>
    <row r="410">
      <c r="A410" s="25" t="inlineStr">
        <is>
          <t>S34</t>
        </is>
      </c>
      <c r="B410" s="25" t="inlineStr">
        <is>
          <t>부안 신규점</t>
        </is>
      </c>
      <c r="C410" s="25" t="inlineStr">
        <is>
          <t>S34-V</t>
        </is>
      </c>
      <c r="D410" s="25" t="inlineStr">
        <is>
          <t>측정</t>
        </is>
      </c>
      <c r="E410" s="48" t="n">
        <v>180</v>
      </c>
      <c r="F410" s="40" t="n"/>
      <c r="G410" s="28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IF(COUNTIFS($C:$C,$C410,$D:$D,"기준(전)",$L:$L,"&gt;0")&lt;&gt;1,"기준(전) 유효 1개 아님",IF(COUNTIFS($C:$C,$C410,$D:$D,"기준(후)",$L:$L,"&gt;0")&lt;&gt;1,"기준(후) 유효 1개 아님",IF(NOT(AND(ISNUMBER(N410),ISNUMBER(P410),ISNUMBER(H410))),"시각 결측",IF(P410&lt;=N410,"기준 시각 역전",IF(OR(H410&lt;N410,H410&gt;P410),"측정시각 구간 밖","OK")))))</f>
        <v/>
      </c>
      <c r="N410" s="45">
        <f>IF(COUNTIFS($C:$C,$C410,$D:$D,"기준(전)",$L:$L,"&gt;0")&lt;&gt;1,"",SUMIFS($H:$H,$C:$C,$C410,$D:$D,"기준(전)"))</f>
        <v/>
      </c>
      <c r="O410" s="30">
        <f>IF(COUNTIFS($C:$C,$C410,$D:$D,"기준(전)",$L:$L,"&gt;0")&lt;&gt;1,"",SUMIFS($L:$L,$C:$C,$C410,$D:$D,"기준(전)"))</f>
        <v/>
      </c>
      <c r="P410" s="45">
        <f>IF(COUNTIFS($C:$C,$C410,$D:$D,"기준(후)",$L:$L,"&gt;0")&lt;&gt;1,"",SUMIFS($H:$H,$C:$C,$C410,$D:$D,"기준(후)"))</f>
        <v/>
      </c>
      <c r="Q410" s="30">
        <f>IF(COUNTIFS($C:$C,$C410,$D:$D,"기준(후)",$L:$L,"&gt;0")&lt;&gt;1,"",SUMIFS($L:$L,$C:$C,$C410,$D:$D,"기준(후)"))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IF(OR($D409&lt;&gt;"측정",$C409&lt;&gt;$C410,NOT(ISNUMBER(L410)),NOT(ISNUMBER(L409)),(IF(ISNUMBER(F410),F410,E410)-IF(ISNUMBER(F409),F409,E409))=0),"",(L410-L409)/((IF(ISNUMBER(F410),F410,E410)-IF(ISNUMBER(F409),F409,E409))/100))</f>
        <v/>
      </c>
      <c r="U410" s="28" t="n"/>
      <c r="V410" s="28" t="n"/>
      <c r="W410" s="31" t="n"/>
    </row>
    <row r="411">
      <c r="A411" s="25" t="inlineStr">
        <is>
          <t>S34</t>
        </is>
      </c>
      <c r="B411" s="25" t="inlineStr">
        <is>
          <t>부안 신규점</t>
        </is>
      </c>
      <c r="C411" s="25" t="inlineStr">
        <is>
          <t>S34-V</t>
        </is>
      </c>
      <c r="D411" s="25" t="inlineStr">
        <is>
          <t>측정</t>
        </is>
      </c>
      <c r="E411" s="48" t="n">
        <v>200</v>
      </c>
      <c r="F411" s="40" t="n"/>
      <c r="G411" s="28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IF(COUNTIFS($C:$C,$C411,$D:$D,"기준(전)",$L:$L,"&gt;0")&lt;&gt;1,"기준(전) 유효 1개 아님",IF(COUNTIFS($C:$C,$C411,$D:$D,"기준(후)",$L:$L,"&gt;0")&lt;&gt;1,"기준(후) 유효 1개 아님",IF(NOT(AND(ISNUMBER(N411),ISNUMBER(P411),ISNUMBER(H411))),"시각 결측",IF(P411&lt;=N411,"기준 시각 역전",IF(OR(H411&lt;N411,H411&gt;P411),"측정시각 구간 밖","OK")))))</f>
        <v/>
      </c>
      <c r="N411" s="45">
        <f>IF(COUNTIFS($C:$C,$C411,$D:$D,"기준(전)",$L:$L,"&gt;0")&lt;&gt;1,"",SUMIFS($H:$H,$C:$C,$C411,$D:$D,"기준(전)"))</f>
        <v/>
      </c>
      <c r="O411" s="30">
        <f>IF(COUNTIFS($C:$C,$C411,$D:$D,"기준(전)",$L:$L,"&gt;0")&lt;&gt;1,"",SUMIFS($L:$L,$C:$C,$C411,$D:$D,"기준(전)"))</f>
        <v/>
      </c>
      <c r="P411" s="45">
        <f>IF(COUNTIFS($C:$C,$C411,$D:$D,"기준(후)",$L:$L,"&gt;0")&lt;&gt;1,"",SUMIFS($H:$H,$C:$C,$C411,$D:$D,"기준(후)"))</f>
        <v/>
      </c>
      <c r="Q411" s="30">
        <f>IF(COUNTIFS($C:$C,$C411,$D:$D,"기준(후)",$L:$L,"&gt;0")&lt;&gt;1,"",SUMIFS($L:$L,$C:$C,$C411,$D:$D,"기준(후)"))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IF(OR($D410&lt;&gt;"측정",$C410&lt;&gt;$C411,NOT(ISNUMBER(L411)),NOT(ISNUMBER(L410)),(IF(ISNUMBER(F411),F411,E411)-IF(ISNUMBER(F410),F410,E410))=0),"",(L411-L410)/((IF(ISNUMBER(F411),F411,E411)-IF(ISNUMBER(F410),F410,E410))/100))</f>
        <v/>
      </c>
      <c r="U411" s="28" t="n"/>
      <c r="V411" s="28" t="n"/>
      <c r="W411" s="31" t="n"/>
    </row>
    <row r="412">
      <c r="A412" s="43" t="inlineStr">
        <is>
          <t>S34</t>
        </is>
      </c>
      <c r="B412" s="43" t="inlineStr">
        <is>
          <t>부안 신규점</t>
        </is>
      </c>
      <c r="C412" s="43" t="inlineStr">
        <is>
          <t>S34-V</t>
        </is>
      </c>
      <c r="D412" s="43" t="inlineStr">
        <is>
          <t>기준(후)</t>
        </is>
      </c>
      <c r="E412" s="47" t="n"/>
      <c r="F412" s="40" t="n"/>
      <c r="G412" s="28" t="n"/>
      <c r="H412" s="42" t="n"/>
      <c r="I412" s="40" t="n"/>
      <c r="J412" s="40" t="n"/>
      <c r="K412" s="40" t="n"/>
      <c r="L412" s="30">
        <f>IF(COUNT(I412:K412)=0,"",MEDIAN(I412:K412))</f>
        <v/>
      </c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28" t="n"/>
      <c r="V412" s="28" t="n"/>
      <c r="W412" s="31" t="n"/>
    </row>
    <row r="413">
      <c r="A413" s="43" t="inlineStr">
        <is>
          <t>S35</t>
        </is>
      </c>
      <c r="B413" s="43" t="inlineStr">
        <is>
          <t>상주</t>
        </is>
      </c>
      <c r="C413" s="43" t="inlineStr">
        <is>
          <t>S35-V</t>
        </is>
      </c>
      <c r="D413" s="43" t="inlineStr">
        <is>
          <t>기준(전)</t>
        </is>
      </c>
      <c r="E413" s="47" t="n"/>
      <c r="F413" s="40" t="n"/>
      <c r="G413" s="28" t="n"/>
      <c r="H413" s="42" t="n"/>
      <c r="I413" s="40" t="n"/>
      <c r="J413" s="40" t="n"/>
      <c r="K413" s="40" t="n"/>
      <c r="L413" s="30">
        <f>IF(COUNT(I413:K413)=0,"",MEDIAN(I413:K413))</f>
        <v/>
      </c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28" t="n"/>
      <c r="V413" s="28" t="n"/>
      <c r="W413" s="31" t="n"/>
    </row>
    <row r="414">
      <c r="A414" s="25" t="inlineStr">
        <is>
          <t>S35</t>
        </is>
      </c>
      <c r="B414" s="25" t="inlineStr">
        <is>
          <t>상주</t>
        </is>
      </c>
      <c r="C414" s="25" t="inlineStr">
        <is>
          <t>S35-V</t>
        </is>
      </c>
      <c r="D414" s="25" t="inlineStr">
        <is>
          <t>측정</t>
        </is>
      </c>
      <c r="E414" s="48" t="n">
        <v>20</v>
      </c>
      <c r="F414" s="40" t="n"/>
      <c r="G414" s="28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IF(COUNTIFS($C:$C,$C414,$D:$D,"기준(전)",$L:$L,"&gt;0")&lt;&gt;1,"기준(전) 유효 1개 아님",IF(COUNTIFS($C:$C,$C414,$D:$D,"기준(후)",$L:$L,"&gt;0")&lt;&gt;1,"기준(후) 유효 1개 아님",IF(NOT(AND(ISNUMBER(N414),ISNUMBER(P414),ISNUMBER(H414))),"시각 결측",IF(P414&lt;=N414,"기준 시각 역전",IF(OR(H414&lt;N414,H414&gt;P414),"측정시각 구간 밖","OK")))))</f>
        <v/>
      </c>
      <c r="N414" s="45">
        <f>IF(COUNTIFS($C:$C,$C414,$D:$D,"기준(전)",$L:$L,"&gt;0")&lt;&gt;1,"",SUMIFS($H:$H,$C:$C,$C414,$D:$D,"기준(전)"))</f>
        <v/>
      </c>
      <c r="O414" s="30">
        <f>IF(COUNTIFS($C:$C,$C414,$D:$D,"기준(전)",$L:$L,"&gt;0")&lt;&gt;1,"",SUMIFS($L:$L,$C:$C,$C414,$D:$D,"기준(전)"))</f>
        <v/>
      </c>
      <c r="P414" s="45">
        <f>IF(COUNTIFS($C:$C,$C414,$D:$D,"기준(후)",$L:$L,"&gt;0")&lt;&gt;1,"",SUMIFS($H:$H,$C:$C,$C414,$D:$D,"기준(후)"))</f>
        <v/>
      </c>
      <c r="Q414" s="30">
        <f>IF(COUNTIFS($C:$C,$C414,$D:$D,"기준(후)",$L:$L,"&gt;0")&lt;&gt;1,"",SUMIFS($L:$L,$C:$C,$C414,$D:$D,"기준(후)"))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IF(OR($D413&lt;&gt;"측정",$C413&lt;&gt;$C414,NOT(ISNUMBER(L414)),NOT(ISNUMBER(L413)),(IF(ISNUMBER(F414),F414,E414)-IF(ISNUMBER(F413),F413,E413))=0),"",(L414-L413)/((IF(ISNUMBER(F414),F414,E414)-IF(ISNUMBER(F413),F413,E413))/100))</f>
        <v/>
      </c>
      <c r="U414" s="28" t="n"/>
      <c r="V414" s="28" t="n"/>
      <c r="W414" s="31" t="n"/>
    </row>
    <row r="415">
      <c r="A415" s="25" t="inlineStr">
        <is>
          <t>S35</t>
        </is>
      </c>
      <c r="B415" s="25" t="inlineStr">
        <is>
          <t>상주</t>
        </is>
      </c>
      <c r="C415" s="25" t="inlineStr">
        <is>
          <t>S35-V</t>
        </is>
      </c>
      <c r="D415" s="25" t="inlineStr">
        <is>
          <t>측정</t>
        </is>
      </c>
      <c r="E415" s="48" t="n">
        <v>40</v>
      </c>
      <c r="F415" s="40" t="n"/>
      <c r="G415" s="28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IF(COUNTIFS($C:$C,$C415,$D:$D,"기준(전)",$L:$L,"&gt;0")&lt;&gt;1,"기준(전) 유효 1개 아님",IF(COUNTIFS($C:$C,$C415,$D:$D,"기준(후)",$L:$L,"&gt;0")&lt;&gt;1,"기준(후) 유효 1개 아님",IF(NOT(AND(ISNUMBER(N415),ISNUMBER(P415),ISNUMBER(H415))),"시각 결측",IF(P415&lt;=N415,"기준 시각 역전",IF(OR(H415&lt;N415,H415&gt;P415),"측정시각 구간 밖","OK")))))</f>
        <v/>
      </c>
      <c r="N415" s="45">
        <f>IF(COUNTIFS($C:$C,$C415,$D:$D,"기준(전)",$L:$L,"&gt;0")&lt;&gt;1,"",SUMIFS($H:$H,$C:$C,$C415,$D:$D,"기준(전)"))</f>
        <v/>
      </c>
      <c r="O415" s="30">
        <f>IF(COUNTIFS($C:$C,$C415,$D:$D,"기준(전)",$L:$L,"&gt;0")&lt;&gt;1,"",SUMIFS($L:$L,$C:$C,$C415,$D:$D,"기준(전)"))</f>
        <v/>
      </c>
      <c r="P415" s="45">
        <f>IF(COUNTIFS($C:$C,$C415,$D:$D,"기준(후)",$L:$L,"&gt;0")&lt;&gt;1,"",SUMIFS($H:$H,$C:$C,$C415,$D:$D,"기준(후)"))</f>
        <v/>
      </c>
      <c r="Q415" s="30">
        <f>IF(COUNTIFS($C:$C,$C415,$D:$D,"기준(후)",$L:$L,"&gt;0")&lt;&gt;1,"",SUMIFS($L:$L,$C:$C,$C415,$D:$D,"기준(후)"))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IF(OR($D414&lt;&gt;"측정",$C414&lt;&gt;$C415,NOT(ISNUMBER(L415)),NOT(ISNUMBER(L414)),(IF(ISNUMBER(F415),F415,E415)-IF(ISNUMBER(F414),F414,E414))=0),"",(L415-L414)/((IF(ISNUMBER(F415),F415,E415)-IF(ISNUMBER(F414),F414,E414))/100))</f>
        <v/>
      </c>
      <c r="U415" s="28" t="n"/>
      <c r="V415" s="28" t="n"/>
      <c r="W415" s="31" t="n"/>
    </row>
    <row r="416">
      <c r="A416" s="25" t="inlineStr">
        <is>
          <t>S35</t>
        </is>
      </c>
      <c r="B416" s="25" t="inlineStr">
        <is>
          <t>상주</t>
        </is>
      </c>
      <c r="C416" s="25" t="inlineStr">
        <is>
          <t>S35-V</t>
        </is>
      </c>
      <c r="D416" s="25" t="inlineStr">
        <is>
          <t>측정</t>
        </is>
      </c>
      <c r="E416" s="48" t="n">
        <v>60</v>
      </c>
      <c r="F416" s="40" t="n"/>
      <c r="G416" s="28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IF(COUNTIFS($C:$C,$C416,$D:$D,"기준(전)",$L:$L,"&gt;0")&lt;&gt;1,"기준(전) 유효 1개 아님",IF(COUNTIFS($C:$C,$C416,$D:$D,"기준(후)",$L:$L,"&gt;0")&lt;&gt;1,"기준(후) 유효 1개 아님",IF(NOT(AND(ISNUMBER(N416),ISNUMBER(P416),ISNUMBER(H416))),"시각 결측",IF(P416&lt;=N416,"기준 시각 역전",IF(OR(H416&lt;N416,H416&gt;P416),"측정시각 구간 밖","OK")))))</f>
        <v/>
      </c>
      <c r="N416" s="45">
        <f>IF(COUNTIFS($C:$C,$C416,$D:$D,"기준(전)",$L:$L,"&gt;0")&lt;&gt;1,"",SUMIFS($H:$H,$C:$C,$C416,$D:$D,"기준(전)"))</f>
        <v/>
      </c>
      <c r="O416" s="30">
        <f>IF(COUNTIFS($C:$C,$C416,$D:$D,"기준(전)",$L:$L,"&gt;0")&lt;&gt;1,"",SUMIFS($L:$L,$C:$C,$C416,$D:$D,"기준(전)"))</f>
        <v/>
      </c>
      <c r="P416" s="45">
        <f>IF(COUNTIFS($C:$C,$C416,$D:$D,"기준(후)",$L:$L,"&gt;0")&lt;&gt;1,"",SUMIFS($H:$H,$C:$C,$C416,$D:$D,"기준(후)"))</f>
        <v/>
      </c>
      <c r="Q416" s="30">
        <f>IF(COUNTIFS($C:$C,$C416,$D:$D,"기준(후)",$L:$L,"&gt;0")&lt;&gt;1,"",SUMIFS($L:$L,$C:$C,$C416,$D:$D,"기준(후)"))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IF(OR($D415&lt;&gt;"측정",$C415&lt;&gt;$C416,NOT(ISNUMBER(L416)),NOT(ISNUMBER(L415)),(IF(ISNUMBER(F416),F416,E416)-IF(ISNUMBER(F415),F415,E415))=0),"",(L416-L415)/((IF(ISNUMBER(F416),F416,E416)-IF(ISNUMBER(F415),F415,E415))/100))</f>
        <v/>
      </c>
      <c r="U416" s="28" t="n"/>
      <c r="V416" s="28" t="n"/>
      <c r="W416" s="31" t="n"/>
    </row>
    <row r="417">
      <c r="A417" s="25" t="inlineStr">
        <is>
          <t>S35</t>
        </is>
      </c>
      <c r="B417" s="25" t="inlineStr">
        <is>
          <t>상주</t>
        </is>
      </c>
      <c r="C417" s="25" t="inlineStr">
        <is>
          <t>S35-V</t>
        </is>
      </c>
      <c r="D417" s="25" t="inlineStr">
        <is>
          <t>측정</t>
        </is>
      </c>
      <c r="E417" s="48" t="n">
        <v>80</v>
      </c>
      <c r="F417" s="40" t="n"/>
      <c r="G417" s="28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IF(COUNTIFS($C:$C,$C417,$D:$D,"기준(전)",$L:$L,"&gt;0")&lt;&gt;1,"기준(전) 유효 1개 아님",IF(COUNTIFS($C:$C,$C417,$D:$D,"기준(후)",$L:$L,"&gt;0")&lt;&gt;1,"기준(후) 유효 1개 아님",IF(NOT(AND(ISNUMBER(N417),ISNUMBER(P417),ISNUMBER(H417))),"시각 결측",IF(P417&lt;=N417,"기준 시각 역전",IF(OR(H417&lt;N417,H417&gt;P417),"측정시각 구간 밖","OK")))))</f>
        <v/>
      </c>
      <c r="N417" s="45">
        <f>IF(COUNTIFS($C:$C,$C417,$D:$D,"기준(전)",$L:$L,"&gt;0")&lt;&gt;1,"",SUMIFS($H:$H,$C:$C,$C417,$D:$D,"기준(전)"))</f>
        <v/>
      </c>
      <c r="O417" s="30">
        <f>IF(COUNTIFS($C:$C,$C417,$D:$D,"기준(전)",$L:$L,"&gt;0")&lt;&gt;1,"",SUMIFS($L:$L,$C:$C,$C417,$D:$D,"기준(전)"))</f>
        <v/>
      </c>
      <c r="P417" s="45">
        <f>IF(COUNTIFS($C:$C,$C417,$D:$D,"기준(후)",$L:$L,"&gt;0")&lt;&gt;1,"",SUMIFS($H:$H,$C:$C,$C417,$D:$D,"기준(후)"))</f>
        <v/>
      </c>
      <c r="Q417" s="30">
        <f>IF(COUNTIFS($C:$C,$C417,$D:$D,"기준(후)",$L:$L,"&gt;0")&lt;&gt;1,"",SUMIFS($L:$L,$C:$C,$C417,$D:$D,"기준(후)"))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IF(OR($D416&lt;&gt;"측정",$C416&lt;&gt;$C417,NOT(ISNUMBER(L417)),NOT(ISNUMBER(L416)),(IF(ISNUMBER(F417),F417,E417)-IF(ISNUMBER(F416),F416,E416))=0),"",(L417-L416)/((IF(ISNUMBER(F417),F417,E417)-IF(ISNUMBER(F416),F416,E416))/100))</f>
        <v/>
      </c>
      <c r="U417" s="28" t="n"/>
      <c r="V417" s="28" t="n"/>
      <c r="W417" s="31" t="n"/>
    </row>
    <row r="418">
      <c r="A418" s="25" t="inlineStr">
        <is>
          <t>S35</t>
        </is>
      </c>
      <c r="B418" s="25" t="inlineStr">
        <is>
          <t>상주</t>
        </is>
      </c>
      <c r="C418" s="25" t="inlineStr">
        <is>
          <t>S35-V</t>
        </is>
      </c>
      <c r="D418" s="25" t="inlineStr">
        <is>
          <t>측정</t>
        </is>
      </c>
      <c r="E418" s="48" t="n">
        <v>100</v>
      </c>
      <c r="F418" s="40" t="n"/>
      <c r="G418" s="28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IF(COUNTIFS($C:$C,$C418,$D:$D,"기준(전)",$L:$L,"&gt;0")&lt;&gt;1,"기준(전) 유효 1개 아님",IF(COUNTIFS($C:$C,$C418,$D:$D,"기준(후)",$L:$L,"&gt;0")&lt;&gt;1,"기준(후) 유효 1개 아님",IF(NOT(AND(ISNUMBER(N418),ISNUMBER(P418),ISNUMBER(H418))),"시각 결측",IF(P418&lt;=N418,"기준 시각 역전",IF(OR(H418&lt;N418,H418&gt;P418),"측정시각 구간 밖","OK")))))</f>
        <v/>
      </c>
      <c r="N418" s="45">
        <f>IF(COUNTIFS($C:$C,$C418,$D:$D,"기준(전)",$L:$L,"&gt;0")&lt;&gt;1,"",SUMIFS($H:$H,$C:$C,$C418,$D:$D,"기준(전)"))</f>
        <v/>
      </c>
      <c r="O418" s="30">
        <f>IF(COUNTIFS($C:$C,$C418,$D:$D,"기준(전)",$L:$L,"&gt;0")&lt;&gt;1,"",SUMIFS($L:$L,$C:$C,$C418,$D:$D,"기준(전)"))</f>
        <v/>
      </c>
      <c r="P418" s="45">
        <f>IF(COUNTIFS($C:$C,$C418,$D:$D,"기준(후)",$L:$L,"&gt;0")&lt;&gt;1,"",SUMIFS($H:$H,$C:$C,$C418,$D:$D,"기준(후)"))</f>
        <v/>
      </c>
      <c r="Q418" s="30">
        <f>IF(COUNTIFS($C:$C,$C418,$D:$D,"기준(후)",$L:$L,"&gt;0")&lt;&gt;1,"",SUMIFS($L:$L,$C:$C,$C418,$D:$D,"기준(후)"))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IF(OR($D417&lt;&gt;"측정",$C417&lt;&gt;$C418,NOT(ISNUMBER(L418)),NOT(ISNUMBER(L417)),(IF(ISNUMBER(F418),F418,E418)-IF(ISNUMBER(F417),F417,E417))=0),"",(L418-L417)/((IF(ISNUMBER(F418),F418,E418)-IF(ISNUMBER(F417),F417,E417))/100))</f>
        <v/>
      </c>
      <c r="U418" s="28" t="n"/>
      <c r="V418" s="28" t="n"/>
      <c r="W418" s="31" t="n"/>
    </row>
    <row r="419">
      <c r="A419" s="25" t="inlineStr">
        <is>
          <t>S35</t>
        </is>
      </c>
      <c r="B419" s="25" t="inlineStr">
        <is>
          <t>상주</t>
        </is>
      </c>
      <c r="C419" s="25" t="inlineStr">
        <is>
          <t>S35-V</t>
        </is>
      </c>
      <c r="D419" s="25" t="inlineStr">
        <is>
          <t>측정</t>
        </is>
      </c>
      <c r="E419" s="48" t="n">
        <v>120</v>
      </c>
      <c r="F419" s="40" t="n"/>
      <c r="G419" s="28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IF(COUNTIFS($C:$C,$C419,$D:$D,"기준(전)",$L:$L,"&gt;0")&lt;&gt;1,"기준(전) 유효 1개 아님",IF(COUNTIFS($C:$C,$C419,$D:$D,"기준(후)",$L:$L,"&gt;0")&lt;&gt;1,"기준(후) 유효 1개 아님",IF(NOT(AND(ISNUMBER(N419),ISNUMBER(P419),ISNUMBER(H419))),"시각 결측",IF(P419&lt;=N419,"기준 시각 역전",IF(OR(H419&lt;N419,H419&gt;P419),"측정시각 구간 밖","OK")))))</f>
        <v/>
      </c>
      <c r="N419" s="45">
        <f>IF(COUNTIFS($C:$C,$C419,$D:$D,"기준(전)",$L:$L,"&gt;0")&lt;&gt;1,"",SUMIFS($H:$H,$C:$C,$C419,$D:$D,"기준(전)"))</f>
        <v/>
      </c>
      <c r="O419" s="30">
        <f>IF(COUNTIFS($C:$C,$C419,$D:$D,"기준(전)",$L:$L,"&gt;0")&lt;&gt;1,"",SUMIFS($L:$L,$C:$C,$C419,$D:$D,"기준(전)"))</f>
        <v/>
      </c>
      <c r="P419" s="45">
        <f>IF(COUNTIFS($C:$C,$C419,$D:$D,"기준(후)",$L:$L,"&gt;0")&lt;&gt;1,"",SUMIFS($H:$H,$C:$C,$C419,$D:$D,"기준(후)"))</f>
        <v/>
      </c>
      <c r="Q419" s="30">
        <f>IF(COUNTIFS($C:$C,$C419,$D:$D,"기준(후)",$L:$L,"&gt;0")&lt;&gt;1,"",SUMIFS($L:$L,$C:$C,$C419,$D:$D,"기준(후)"))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IF(OR($D418&lt;&gt;"측정",$C418&lt;&gt;$C419,NOT(ISNUMBER(L419)),NOT(ISNUMBER(L418)),(IF(ISNUMBER(F419),F419,E419)-IF(ISNUMBER(F418),F418,E418))=0),"",(L419-L418)/((IF(ISNUMBER(F419),F419,E419)-IF(ISNUMBER(F418),F418,E418))/100))</f>
        <v/>
      </c>
      <c r="U419" s="28" t="n"/>
      <c r="V419" s="28" t="n"/>
      <c r="W419" s="31" t="n"/>
    </row>
    <row r="420">
      <c r="A420" s="25" t="inlineStr">
        <is>
          <t>S35</t>
        </is>
      </c>
      <c r="B420" s="25" t="inlineStr">
        <is>
          <t>상주</t>
        </is>
      </c>
      <c r="C420" s="25" t="inlineStr">
        <is>
          <t>S35-V</t>
        </is>
      </c>
      <c r="D420" s="25" t="inlineStr">
        <is>
          <t>측정</t>
        </is>
      </c>
      <c r="E420" s="48" t="n">
        <v>140</v>
      </c>
      <c r="F420" s="40" t="n"/>
      <c r="G420" s="28" t="n"/>
      <c r="H420" s="42" t="n"/>
      <c r="I420" s="40" t="n"/>
      <c r="J420" s="40" t="n"/>
      <c r="K420" s="40" t="n"/>
      <c r="L420" s="30">
        <f>IF(COUNT(I420:K420)=0,"",MEDIAN(I420:K420))</f>
        <v/>
      </c>
      <c r="M420" s="25">
        <f>IF(COUNTIFS($C:$C,$C420,$D:$D,"기준(전)",$L:$L,"&gt;0")&lt;&gt;1,"기준(전) 유효 1개 아님",IF(COUNTIFS($C:$C,$C420,$D:$D,"기준(후)",$L:$L,"&gt;0")&lt;&gt;1,"기준(후) 유효 1개 아님",IF(NOT(AND(ISNUMBER(N420),ISNUMBER(P420),ISNUMBER(H420))),"시각 결측",IF(P420&lt;=N420,"기준 시각 역전",IF(OR(H420&lt;N420,H420&gt;P420),"측정시각 구간 밖","OK")))))</f>
        <v/>
      </c>
      <c r="N420" s="45">
        <f>IF(COUNTIFS($C:$C,$C420,$D:$D,"기준(전)",$L:$L,"&gt;0")&lt;&gt;1,"",SUMIFS($H:$H,$C:$C,$C420,$D:$D,"기준(전)"))</f>
        <v/>
      </c>
      <c r="O420" s="30">
        <f>IF(COUNTIFS($C:$C,$C420,$D:$D,"기준(전)",$L:$L,"&gt;0")&lt;&gt;1,"",SUMIFS($L:$L,$C:$C,$C420,$D:$D,"기준(전)"))</f>
        <v/>
      </c>
      <c r="P420" s="45">
        <f>IF(COUNTIFS($C:$C,$C420,$D:$D,"기준(후)",$L:$L,"&gt;0")&lt;&gt;1,"",SUMIFS($H:$H,$C:$C,$C420,$D:$D,"기준(후)"))</f>
        <v/>
      </c>
      <c r="Q420" s="30">
        <f>IF(COUNTIFS($C:$C,$C420,$D:$D,"기준(후)",$L:$L,"&gt;0")&lt;&gt;1,"",SUMIFS($L:$L,$C:$C,$C420,$D:$D,"기준(후)"))</f>
        <v/>
      </c>
      <c r="R420" s="30">
        <f>IF(M420&lt;&gt;"OK","",O420+(Q420-O420)*(H420-N420)/(P420-N420))</f>
        <v/>
      </c>
      <c r="S420" s="30">
        <f>IF(OR(M420&lt;&gt;"OK",NOT(ISNUMBER(L420))),"",L420-R420)</f>
        <v/>
      </c>
      <c r="T420" s="46">
        <f>IF(OR($D419&lt;&gt;"측정",$C419&lt;&gt;$C420,NOT(ISNUMBER(L420)),NOT(ISNUMBER(L419)),(IF(ISNUMBER(F420),F420,E420)-IF(ISNUMBER(F419),F419,E419))=0),"",(L420-L419)/((IF(ISNUMBER(F420),F420,E420)-IF(ISNUMBER(F419),F419,E419))/100))</f>
        <v/>
      </c>
      <c r="U420" s="28" t="n"/>
      <c r="V420" s="28" t="n"/>
      <c r="W420" s="31" t="n"/>
    </row>
    <row r="421">
      <c r="A421" s="25" t="inlineStr">
        <is>
          <t>S35</t>
        </is>
      </c>
      <c r="B421" s="25" t="inlineStr">
        <is>
          <t>상주</t>
        </is>
      </c>
      <c r="C421" s="25" t="inlineStr">
        <is>
          <t>S35-V</t>
        </is>
      </c>
      <c r="D421" s="25" t="inlineStr">
        <is>
          <t>측정</t>
        </is>
      </c>
      <c r="E421" s="48" t="n">
        <v>160</v>
      </c>
      <c r="F421" s="40" t="n"/>
      <c r="G421" s="28" t="n"/>
      <c r="H421" s="42" t="n"/>
      <c r="I421" s="40" t="n"/>
      <c r="J421" s="40" t="n"/>
      <c r="K421" s="40" t="n"/>
      <c r="L421" s="30">
        <f>IF(COUNT(I421:K421)=0,"",MEDIAN(I421:K421))</f>
        <v/>
      </c>
      <c r="M421" s="25">
        <f>IF(COUNTIFS($C:$C,$C421,$D:$D,"기준(전)",$L:$L,"&gt;0")&lt;&gt;1,"기준(전) 유효 1개 아님",IF(COUNTIFS($C:$C,$C421,$D:$D,"기준(후)",$L:$L,"&gt;0")&lt;&gt;1,"기준(후) 유효 1개 아님",IF(NOT(AND(ISNUMBER(N421),ISNUMBER(P421),ISNUMBER(H421))),"시각 결측",IF(P421&lt;=N421,"기준 시각 역전",IF(OR(H421&lt;N421,H421&gt;P421),"측정시각 구간 밖","OK")))))</f>
        <v/>
      </c>
      <c r="N421" s="45">
        <f>IF(COUNTIFS($C:$C,$C421,$D:$D,"기준(전)",$L:$L,"&gt;0")&lt;&gt;1,"",SUMIFS($H:$H,$C:$C,$C421,$D:$D,"기준(전)"))</f>
        <v/>
      </c>
      <c r="O421" s="30">
        <f>IF(COUNTIFS($C:$C,$C421,$D:$D,"기준(전)",$L:$L,"&gt;0")&lt;&gt;1,"",SUMIFS($L:$L,$C:$C,$C421,$D:$D,"기준(전)"))</f>
        <v/>
      </c>
      <c r="P421" s="45">
        <f>IF(COUNTIFS($C:$C,$C421,$D:$D,"기준(후)",$L:$L,"&gt;0")&lt;&gt;1,"",SUMIFS($H:$H,$C:$C,$C421,$D:$D,"기준(후)"))</f>
        <v/>
      </c>
      <c r="Q421" s="30">
        <f>IF(COUNTIFS($C:$C,$C421,$D:$D,"기준(후)",$L:$L,"&gt;0")&lt;&gt;1,"",SUMIFS($L:$L,$C:$C,$C421,$D:$D,"기준(후)"))</f>
        <v/>
      </c>
      <c r="R421" s="30">
        <f>IF(M421&lt;&gt;"OK","",O421+(Q421-O421)*(H421-N421)/(P421-N421))</f>
        <v/>
      </c>
      <c r="S421" s="30">
        <f>IF(OR(M421&lt;&gt;"OK",NOT(ISNUMBER(L421))),"",L421-R421)</f>
        <v/>
      </c>
      <c r="T421" s="46">
        <f>IF(OR($D420&lt;&gt;"측정",$C420&lt;&gt;$C421,NOT(ISNUMBER(L421)),NOT(ISNUMBER(L420)),(IF(ISNUMBER(F421),F421,E421)-IF(ISNUMBER(F420),F420,E420))=0),"",(L421-L420)/((IF(ISNUMBER(F421),F421,E421)-IF(ISNUMBER(F420),F420,E420))/100))</f>
        <v/>
      </c>
      <c r="U421" s="28" t="n"/>
      <c r="V421" s="28" t="n"/>
      <c r="W421" s="31" t="n"/>
    </row>
    <row r="422">
      <c r="A422" s="25" t="inlineStr">
        <is>
          <t>S35</t>
        </is>
      </c>
      <c r="B422" s="25" t="inlineStr">
        <is>
          <t>상주</t>
        </is>
      </c>
      <c r="C422" s="25" t="inlineStr">
        <is>
          <t>S35-V</t>
        </is>
      </c>
      <c r="D422" s="25" t="inlineStr">
        <is>
          <t>측정</t>
        </is>
      </c>
      <c r="E422" s="48" t="n">
        <v>180</v>
      </c>
      <c r="F422" s="40" t="n"/>
      <c r="G422" s="28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IF(COUNTIFS($C:$C,$C422,$D:$D,"기준(전)",$L:$L,"&gt;0")&lt;&gt;1,"기준(전) 유효 1개 아님",IF(COUNTIFS($C:$C,$C422,$D:$D,"기준(후)",$L:$L,"&gt;0")&lt;&gt;1,"기준(후) 유효 1개 아님",IF(NOT(AND(ISNUMBER(N422),ISNUMBER(P422),ISNUMBER(H422))),"시각 결측",IF(P422&lt;=N422,"기준 시각 역전",IF(OR(H422&lt;N422,H422&gt;P422),"측정시각 구간 밖","OK")))))</f>
        <v/>
      </c>
      <c r="N422" s="45">
        <f>IF(COUNTIFS($C:$C,$C422,$D:$D,"기준(전)",$L:$L,"&gt;0")&lt;&gt;1,"",SUMIFS($H:$H,$C:$C,$C422,$D:$D,"기준(전)"))</f>
        <v/>
      </c>
      <c r="O422" s="30">
        <f>IF(COUNTIFS($C:$C,$C422,$D:$D,"기준(전)",$L:$L,"&gt;0")&lt;&gt;1,"",SUMIFS($L:$L,$C:$C,$C422,$D:$D,"기준(전)"))</f>
        <v/>
      </c>
      <c r="P422" s="45">
        <f>IF(COUNTIFS($C:$C,$C422,$D:$D,"기준(후)",$L:$L,"&gt;0")&lt;&gt;1,"",SUMIFS($H:$H,$C:$C,$C422,$D:$D,"기준(후)"))</f>
        <v/>
      </c>
      <c r="Q422" s="30">
        <f>IF(COUNTIFS($C:$C,$C422,$D:$D,"기준(후)",$L:$L,"&gt;0")&lt;&gt;1,"",SUMIFS($L:$L,$C:$C,$C422,$D:$D,"기준(후)"))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IF(OR($D421&lt;&gt;"측정",$C421&lt;&gt;$C422,NOT(ISNUMBER(L422)),NOT(ISNUMBER(L421)),(IF(ISNUMBER(F422),F422,E422)-IF(ISNUMBER(F421),F421,E421))=0),"",(L422-L421)/((IF(ISNUMBER(F422),F422,E422)-IF(ISNUMBER(F421),F421,E421))/100))</f>
        <v/>
      </c>
      <c r="U422" s="28" t="n"/>
      <c r="V422" s="28" t="n"/>
      <c r="W422" s="31" t="n"/>
    </row>
    <row r="423">
      <c r="A423" s="25" t="inlineStr">
        <is>
          <t>S35</t>
        </is>
      </c>
      <c r="B423" s="25" t="inlineStr">
        <is>
          <t>상주</t>
        </is>
      </c>
      <c r="C423" s="25" t="inlineStr">
        <is>
          <t>S35-V</t>
        </is>
      </c>
      <c r="D423" s="25" t="inlineStr">
        <is>
          <t>측정</t>
        </is>
      </c>
      <c r="E423" s="48" t="n">
        <v>200</v>
      </c>
      <c r="F423" s="40" t="n"/>
      <c r="G423" s="28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IF(COUNTIFS($C:$C,$C423,$D:$D,"기준(전)",$L:$L,"&gt;0")&lt;&gt;1,"기준(전) 유효 1개 아님",IF(COUNTIFS($C:$C,$C423,$D:$D,"기준(후)",$L:$L,"&gt;0")&lt;&gt;1,"기준(후) 유효 1개 아님",IF(NOT(AND(ISNUMBER(N423),ISNUMBER(P423),ISNUMBER(H423))),"시각 결측",IF(P423&lt;=N423,"기준 시각 역전",IF(OR(H423&lt;N423,H423&gt;P423),"측정시각 구간 밖","OK")))))</f>
        <v/>
      </c>
      <c r="N423" s="45">
        <f>IF(COUNTIFS($C:$C,$C423,$D:$D,"기준(전)",$L:$L,"&gt;0")&lt;&gt;1,"",SUMIFS($H:$H,$C:$C,$C423,$D:$D,"기준(전)"))</f>
        <v/>
      </c>
      <c r="O423" s="30">
        <f>IF(COUNTIFS($C:$C,$C423,$D:$D,"기준(전)",$L:$L,"&gt;0")&lt;&gt;1,"",SUMIFS($L:$L,$C:$C,$C423,$D:$D,"기준(전)"))</f>
        <v/>
      </c>
      <c r="P423" s="45">
        <f>IF(COUNTIFS($C:$C,$C423,$D:$D,"기준(후)",$L:$L,"&gt;0")&lt;&gt;1,"",SUMIFS($H:$H,$C:$C,$C423,$D:$D,"기준(후)"))</f>
        <v/>
      </c>
      <c r="Q423" s="30">
        <f>IF(COUNTIFS($C:$C,$C423,$D:$D,"기준(후)",$L:$L,"&gt;0")&lt;&gt;1,"",SUMIFS($L:$L,$C:$C,$C423,$D:$D,"기준(후)"))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IF(OR($D422&lt;&gt;"측정",$C422&lt;&gt;$C423,NOT(ISNUMBER(L423)),NOT(ISNUMBER(L422)),(IF(ISNUMBER(F423),F423,E423)-IF(ISNUMBER(F422),F422,E422))=0),"",(L423-L422)/((IF(ISNUMBER(F423),F423,E423)-IF(ISNUMBER(F422),F422,E422))/100))</f>
        <v/>
      </c>
      <c r="U423" s="28" t="n"/>
      <c r="V423" s="28" t="n"/>
      <c r="W423" s="31" t="n"/>
    </row>
    <row r="424">
      <c r="A424" s="43" t="inlineStr">
        <is>
          <t>S35</t>
        </is>
      </c>
      <c r="B424" s="43" t="inlineStr">
        <is>
          <t>상주</t>
        </is>
      </c>
      <c r="C424" s="43" t="inlineStr">
        <is>
          <t>S35-V</t>
        </is>
      </c>
      <c r="D424" s="43" t="inlineStr">
        <is>
          <t>기준(후)</t>
        </is>
      </c>
      <c r="E424" s="47" t="n"/>
      <c r="F424" s="40" t="n"/>
      <c r="G424" s="28" t="n"/>
      <c r="H424" s="42" t="n"/>
      <c r="I424" s="40" t="n"/>
      <c r="J424" s="40" t="n"/>
      <c r="K424" s="40" t="n"/>
      <c r="L424" s="30">
        <f>IF(COUNT(I424:K424)=0,"",MEDIAN(I424:K424))</f>
        <v/>
      </c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28" t="n"/>
      <c r="V424" s="28" t="n"/>
      <c r="W424" s="31" t="n"/>
    </row>
    <row r="425">
      <c r="A425" s="43" t="inlineStr">
        <is>
          <t>S36</t>
        </is>
      </c>
      <c r="B425" s="43" t="inlineStr">
        <is>
          <t>미원</t>
        </is>
      </c>
      <c r="C425" s="43" t="inlineStr">
        <is>
          <t>S36-V</t>
        </is>
      </c>
      <c r="D425" s="43" t="inlineStr">
        <is>
          <t>기준(전)</t>
        </is>
      </c>
      <c r="E425" s="47" t="n"/>
      <c r="F425" s="40" t="n"/>
      <c r="G425" s="28" t="n"/>
      <c r="H425" s="42" t="n"/>
      <c r="I425" s="40" t="n"/>
      <c r="J425" s="40" t="n"/>
      <c r="K425" s="40" t="n"/>
      <c r="L425" s="30">
        <f>IF(COUNT(I425:K425)=0,"",MEDIAN(I425:K425))</f>
        <v/>
      </c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28" t="n"/>
      <c r="V425" s="28" t="n"/>
      <c r="W425" s="31" t="n"/>
    </row>
    <row r="426">
      <c r="A426" s="25" t="inlineStr">
        <is>
          <t>S36</t>
        </is>
      </c>
      <c r="B426" s="25" t="inlineStr">
        <is>
          <t>미원</t>
        </is>
      </c>
      <c r="C426" s="25" t="inlineStr">
        <is>
          <t>S36-V</t>
        </is>
      </c>
      <c r="D426" s="25" t="inlineStr">
        <is>
          <t>측정</t>
        </is>
      </c>
      <c r="E426" s="48" t="n">
        <v>20</v>
      </c>
      <c r="F426" s="40" t="n"/>
      <c r="G426" s="28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IF(COUNTIFS($C:$C,$C426,$D:$D,"기준(전)",$L:$L,"&gt;0")&lt;&gt;1,"기준(전) 유효 1개 아님",IF(COUNTIFS($C:$C,$C426,$D:$D,"기준(후)",$L:$L,"&gt;0")&lt;&gt;1,"기준(후) 유효 1개 아님",IF(NOT(AND(ISNUMBER(N426),ISNUMBER(P426),ISNUMBER(H426))),"시각 결측",IF(P426&lt;=N426,"기준 시각 역전",IF(OR(H426&lt;N426,H426&gt;P426),"측정시각 구간 밖","OK")))))</f>
        <v/>
      </c>
      <c r="N426" s="45">
        <f>IF(COUNTIFS($C:$C,$C426,$D:$D,"기준(전)",$L:$L,"&gt;0")&lt;&gt;1,"",SUMIFS($H:$H,$C:$C,$C426,$D:$D,"기준(전)"))</f>
        <v/>
      </c>
      <c r="O426" s="30">
        <f>IF(COUNTIFS($C:$C,$C426,$D:$D,"기준(전)",$L:$L,"&gt;0")&lt;&gt;1,"",SUMIFS($L:$L,$C:$C,$C426,$D:$D,"기준(전)"))</f>
        <v/>
      </c>
      <c r="P426" s="45">
        <f>IF(COUNTIFS($C:$C,$C426,$D:$D,"기준(후)",$L:$L,"&gt;0")&lt;&gt;1,"",SUMIFS($H:$H,$C:$C,$C426,$D:$D,"기준(후)"))</f>
        <v/>
      </c>
      <c r="Q426" s="30">
        <f>IF(COUNTIFS($C:$C,$C426,$D:$D,"기준(후)",$L:$L,"&gt;0")&lt;&gt;1,"",SUMIFS($L:$L,$C:$C,$C426,$D:$D,"기준(후)"))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IF(OR($D425&lt;&gt;"측정",$C425&lt;&gt;$C426,NOT(ISNUMBER(L426)),NOT(ISNUMBER(L425)),(IF(ISNUMBER(F426),F426,E426)-IF(ISNUMBER(F425),F425,E425))=0),"",(L426-L425)/((IF(ISNUMBER(F426),F426,E426)-IF(ISNUMBER(F425),F425,E425))/100))</f>
        <v/>
      </c>
      <c r="U426" s="28" t="n"/>
      <c r="V426" s="28" t="n"/>
      <c r="W426" s="31" t="n"/>
    </row>
    <row r="427">
      <c r="A427" s="25" t="inlineStr">
        <is>
          <t>S36</t>
        </is>
      </c>
      <c r="B427" s="25" t="inlineStr">
        <is>
          <t>미원</t>
        </is>
      </c>
      <c r="C427" s="25" t="inlineStr">
        <is>
          <t>S36-V</t>
        </is>
      </c>
      <c r="D427" s="25" t="inlineStr">
        <is>
          <t>측정</t>
        </is>
      </c>
      <c r="E427" s="48" t="n">
        <v>40</v>
      </c>
      <c r="F427" s="40" t="n"/>
      <c r="G427" s="28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IF(COUNTIFS($C:$C,$C427,$D:$D,"기준(전)",$L:$L,"&gt;0")&lt;&gt;1,"기준(전) 유효 1개 아님",IF(COUNTIFS($C:$C,$C427,$D:$D,"기준(후)",$L:$L,"&gt;0")&lt;&gt;1,"기준(후) 유효 1개 아님",IF(NOT(AND(ISNUMBER(N427),ISNUMBER(P427),ISNUMBER(H427))),"시각 결측",IF(P427&lt;=N427,"기준 시각 역전",IF(OR(H427&lt;N427,H427&gt;P427),"측정시각 구간 밖","OK")))))</f>
        <v/>
      </c>
      <c r="N427" s="45">
        <f>IF(COUNTIFS($C:$C,$C427,$D:$D,"기준(전)",$L:$L,"&gt;0")&lt;&gt;1,"",SUMIFS($H:$H,$C:$C,$C427,$D:$D,"기준(전)"))</f>
        <v/>
      </c>
      <c r="O427" s="30">
        <f>IF(COUNTIFS($C:$C,$C427,$D:$D,"기준(전)",$L:$L,"&gt;0")&lt;&gt;1,"",SUMIFS($L:$L,$C:$C,$C427,$D:$D,"기준(전)"))</f>
        <v/>
      </c>
      <c r="P427" s="45">
        <f>IF(COUNTIFS($C:$C,$C427,$D:$D,"기준(후)",$L:$L,"&gt;0")&lt;&gt;1,"",SUMIFS($H:$H,$C:$C,$C427,$D:$D,"기준(후)"))</f>
        <v/>
      </c>
      <c r="Q427" s="30">
        <f>IF(COUNTIFS($C:$C,$C427,$D:$D,"기준(후)",$L:$L,"&gt;0")&lt;&gt;1,"",SUMIFS($L:$L,$C:$C,$C427,$D:$D,"기준(후)"))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IF(OR($D426&lt;&gt;"측정",$C426&lt;&gt;$C427,NOT(ISNUMBER(L427)),NOT(ISNUMBER(L426)),(IF(ISNUMBER(F427),F427,E427)-IF(ISNUMBER(F426),F426,E426))=0),"",(L427-L426)/((IF(ISNUMBER(F427),F427,E427)-IF(ISNUMBER(F426),F426,E426))/100))</f>
        <v/>
      </c>
      <c r="U427" s="28" t="n"/>
      <c r="V427" s="28" t="n"/>
      <c r="W427" s="31" t="n"/>
    </row>
    <row r="428">
      <c r="A428" s="25" t="inlineStr">
        <is>
          <t>S36</t>
        </is>
      </c>
      <c r="B428" s="25" t="inlineStr">
        <is>
          <t>미원</t>
        </is>
      </c>
      <c r="C428" s="25" t="inlineStr">
        <is>
          <t>S36-V</t>
        </is>
      </c>
      <c r="D428" s="25" t="inlineStr">
        <is>
          <t>측정</t>
        </is>
      </c>
      <c r="E428" s="48" t="n">
        <v>60</v>
      </c>
      <c r="F428" s="40" t="n"/>
      <c r="G428" s="28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IF(COUNTIFS($C:$C,$C428,$D:$D,"기준(전)",$L:$L,"&gt;0")&lt;&gt;1,"기준(전) 유효 1개 아님",IF(COUNTIFS($C:$C,$C428,$D:$D,"기준(후)",$L:$L,"&gt;0")&lt;&gt;1,"기준(후) 유효 1개 아님",IF(NOT(AND(ISNUMBER(N428),ISNUMBER(P428),ISNUMBER(H428))),"시각 결측",IF(P428&lt;=N428,"기준 시각 역전",IF(OR(H428&lt;N428,H428&gt;P428),"측정시각 구간 밖","OK")))))</f>
        <v/>
      </c>
      <c r="N428" s="45">
        <f>IF(COUNTIFS($C:$C,$C428,$D:$D,"기준(전)",$L:$L,"&gt;0")&lt;&gt;1,"",SUMIFS($H:$H,$C:$C,$C428,$D:$D,"기준(전)"))</f>
        <v/>
      </c>
      <c r="O428" s="30">
        <f>IF(COUNTIFS($C:$C,$C428,$D:$D,"기준(전)",$L:$L,"&gt;0")&lt;&gt;1,"",SUMIFS($L:$L,$C:$C,$C428,$D:$D,"기준(전)"))</f>
        <v/>
      </c>
      <c r="P428" s="45">
        <f>IF(COUNTIFS($C:$C,$C428,$D:$D,"기준(후)",$L:$L,"&gt;0")&lt;&gt;1,"",SUMIFS($H:$H,$C:$C,$C428,$D:$D,"기준(후)"))</f>
        <v/>
      </c>
      <c r="Q428" s="30">
        <f>IF(COUNTIFS($C:$C,$C428,$D:$D,"기준(후)",$L:$L,"&gt;0")&lt;&gt;1,"",SUMIFS($L:$L,$C:$C,$C428,$D:$D,"기준(후)"))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IF(OR($D427&lt;&gt;"측정",$C427&lt;&gt;$C428,NOT(ISNUMBER(L428)),NOT(ISNUMBER(L427)),(IF(ISNUMBER(F428),F428,E428)-IF(ISNUMBER(F427),F427,E427))=0),"",(L428-L427)/((IF(ISNUMBER(F428),F428,E428)-IF(ISNUMBER(F427),F427,E427))/100))</f>
        <v/>
      </c>
      <c r="U428" s="28" t="n"/>
      <c r="V428" s="28" t="n"/>
      <c r="W428" s="31" t="n"/>
    </row>
    <row r="429">
      <c r="A429" s="25" t="inlineStr">
        <is>
          <t>S36</t>
        </is>
      </c>
      <c r="B429" s="25" t="inlineStr">
        <is>
          <t>미원</t>
        </is>
      </c>
      <c r="C429" s="25" t="inlineStr">
        <is>
          <t>S36-V</t>
        </is>
      </c>
      <c r="D429" s="25" t="inlineStr">
        <is>
          <t>측정</t>
        </is>
      </c>
      <c r="E429" s="48" t="n">
        <v>80</v>
      </c>
      <c r="F429" s="40" t="n"/>
      <c r="G429" s="28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IF(COUNTIFS($C:$C,$C429,$D:$D,"기준(전)",$L:$L,"&gt;0")&lt;&gt;1,"기준(전) 유효 1개 아님",IF(COUNTIFS($C:$C,$C429,$D:$D,"기준(후)",$L:$L,"&gt;0")&lt;&gt;1,"기준(후) 유효 1개 아님",IF(NOT(AND(ISNUMBER(N429),ISNUMBER(P429),ISNUMBER(H429))),"시각 결측",IF(P429&lt;=N429,"기준 시각 역전",IF(OR(H429&lt;N429,H429&gt;P429),"측정시각 구간 밖","OK")))))</f>
        <v/>
      </c>
      <c r="N429" s="45">
        <f>IF(COUNTIFS($C:$C,$C429,$D:$D,"기준(전)",$L:$L,"&gt;0")&lt;&gt;1,"",SUMIFS($H:$H,$C:$C,$C429,$D:$D,"기준(전)"))</f>
        <v/>
      </c>
      <c r="O429" s="30">
        <f>IF(COUNTIFS($C:$C,$C429,$D:$D,"기준(전)",$L:$L,"&gt;0")&lt;&gt;1,"",SUMIFS($L:$L,$C:$C,$C429,$D:$D,"기준(전)"))</f>
        <v/>
      </c>
      <c r="P429" s="45">
        <f>IF(COUNTIFS($C:$C,$C429,$D:$D,"기준(후)",$L:$L,"&gt;0")&lt;&gt;1,"",SUMIFS($H:$H,$C:$C,$C429,$D:$D,"기준(후)"))</f>
        <v/>
      </c>
      <c r="Q429" s="30">
        <f>IF(COUNTIFS($C:$C,$C429,$D:$D,"기준(후)",$L:$L,"&gt;0")&lt;&gt;1,"",SUMIFS($L:$L,$C:$C,$C429,$D:$D,"기준(후)"))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IF(OR($D428&lt;&gt;"측정",$C428&lt;&gt;$C429,NOT(ISNUMBER(L429)),NOT(ISNUMBER(L428)),(IF(ISNUMBER(F429),F429,E429)-IF(ISNUMBER(F428),F428,E428))=0),"",(L429-L428)/((IF(ISNUMBER(F429),F429,E429)-IF(ISNUMBER(F428),F428,E428))/100))</f>
        <v/>
      </c>
      <c r="U429" s="28" t="n"/>
      <c r="V429" s="28" t="n"/>
      <c r="W429" s="31" t="n"/>
    </row>
    <row r="430">
      <c r="A430" s="25" t="inlineStr">
        <is>
          <t>S36</t>
        </is>
      </c>
      <c r="B430" s="25" t="inlineStr">
        <is>
          <t>미원</t>
        </is>
      </c>
      <c r="C430" s="25" t="inlineStr">
        <is>
          <t>S36-V</t>
        </is>
      </c>
      <c r="D430" s="25" t="inlineStr">
        <is>
          <t>측정</t>
        </is>
      </c>
      <c r="E430" s="48" t="n">
        <v>100</v>
      </c>
      <c r="F430" s="40" t="n"/>
      <c r="G430" s="28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IF(COUNTIFS($C:$C,$C430,$D:$D,"기준(전)",$L:$L,"&gt;0")&lt;&gt;1,"기준(전) 유효 1개 아님",IF(COUNTIFS($C:$C,$C430,$D:$D,"기준(후)",$L:$L,"&gt;0")&lt;&gt;1,"기준(후) 유효 1개 아님",IF(NOT(AND(ISNUMBER(N430),ISNUMBER(P430),ISNUMBER(H430))),"시각 결측",IF(P430&lt;=N430,"기준 시각 역전",IF(OR(H430&lt;N430,H430&gt;P430),"측정시각 구간 밖","OK")))))</f>
        <v/>
      </c>
      <c r="N430" s="45">
        <f>IF(COUNTIFS($C:$C,$C430,$D:$D,"기준(전)",$L:$L,"&gt;0")&lt;&gt;1,"",SUMIFS($H:$H,$C:$C,$C430,$D:$D,"기준(전)"))</f>
        <v/>
      </c>
      <c r="O430" s="30">
        <f>IF(COUNTIFS($C:$C,$C430,$D:$D,"기준(전)",$L:$L,"&gt;0")&lt;&gt;1,"",SUMIFS($L:$L,$C:$C,$C430,$D:$D,"기준(전)"))</f>
        <v/>
      </c>
      <c r="P430" s="45">
        <f>IF(COUNTIFS($C:$C,$C430,$D:$D,"기준(후)",$L:$L,"&gt;0")&lt;&gt;1,"",SUMIFS($H:$H,$C:$C,$C430,$D:$D,"기준(후)"))</f>
        <v/>
      </c>
      <c r="Q430" s="30">
        <f>IF(COUNTIFS($C:$C,$C430,$D:$D,"기준(후)",$L:$L,"&gt;0")&lt;&gt;1,"",SUMIFS($L:$L,$C:$C,$C430,$D:$D,"기준(후)"))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IF(OR($D429&lt;&gt;"측정",$C429&lt;&gt;$C430,NOT(ISNUMBER(L430)),NOT(ISNUMBER(L429)),(IF(ISNUMBER(F430),F430,E430)-IF(ISNUMBER(F429),F429,E429))=0),"",(L430-L429)/((IF(ISNUMBER(F430),F430,E430)-IF(ISNUMBER(F429),F429,E429))/100))</f>
        <v/>
      </c>
      <c r="U430" s="28" t="n"/>
      <c r="V430" s="28" t="n"/>
      <c r="W430" s="31" t="n"/>
    </row>
    <row r="431">
      <c r="A431" s="25" t="inlineStr">
        <is>
          <t>S36</t>
        </is>
      </c>
      <c r="B431" s="25" t="inlineStr">
        <is>
          <t>미원</t>
        </is>
      </c>
      <c r="C431" s="25" t="inlineStr">
        <is>
          <t>S36-V</t>
        </is>
      </c>
      <c r="D431" s="25" t="inlineStr">
        <is>
          <t>측정</t>
        </is>
      </c>
      <c r="E431" s="48" t="n">
        <v>120</v>
      </c>
      <c r="F431" s="40" t="n"/>
      <c r="G431" s="28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IF(COUNTIFS($C:$C,$C431,$D:$D,"기준(전)",$L:$L,"&gt;0")&lt;&gt;1,"기준(전) 유효 1개 아님",IF(COUNTIFS($C:$C,$C431,$D:$D,"기준(후)",$L:$L,"&gt;0")&lt;&gt;1,"기준(후) 유효 1개 아님",IF(NOT(AND(ISNUMBER(N431),ISNUMBER(P431),ISNUMBER(H431))),"시각 결측",IF(P431&lt;=N431,"기준 시각 역전",IF(OR(H431&lt;N431,H431&gt;P431),"측정시각 구간 밖","OK")))))</f>
        <v/>
      </c>
      <c r="N431" s="45">
        <f>IF(COUNTIFS($C:$C,$C431,$D:$D,"기준(전)",$L:$L,"&gt;0")&lt;&gt;1,"",SUMIFS($H:$H,$C:$C,$C431,$D:$D,"기준(전)"))</f>
        <v/>
      </c>
      <c r="O431" s="30">
        <f>IF(COUNTIFS($C:$C,$C431,$D:$D,"기준(전)",$L:$L,"&gt;0")&lt;&gt;1,"",SUMIFS($L:$L,$C:$C,$C431,$D:$D,"기준(전)"))</f>
        <v/>
      </c>
      <c r="P431" s="45">
        <f>IF(COUNTIFS($C:$C,$C431,$D:$D,"기준(후)",$L:$L,"&gt;0")&lt;&gt;1,"",SUMIFS($H:$H,$C:$C,$C431,$D:$D,"기준(후)"))</f>
        <v/>
      </c>
      <c r="Q431" s="30">
        <f>IF(COUNTIFS($C:$C,$C431,$D:$D,"기준(후)",$L:$L,"&gt;0")&lt;&gt;1,"",SUMIFS($L:$L,$C:$C,$C431,$D:$D,"기준(후)"))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IF(OR($D430&lt;&gt;"측정",$C430&lt;&gt;$C431,NOT(ISNUMBER(L431)),NOT(ISNUMBER(L430)),(IF(ISNUMBER(F431),F431,E431)-IF(ISNUMBER(F430),F430,E430))=0),"",(L431-L430)/((IF(ISNUMBER(F431),F431,E431)-IF(ISNUMBER(F430),F430,E430))/100))</f>
        <v/>
      </c>
      <c r="U431" s="28" t="n"/>
      <c r="V431" s="28" t="n"/>
      <c r="W431" s="31" t="n"/>
    </row>
    <row r="432">
      <c r="A432" s="25" t="inlineStr">
        <is>
          <t>S36</t>
        </is>
      </c>
      <c r="B432" s="25" t="inlineStr">
        <is>
          <t>미원</t>
        </is>
      </c>
      <c r="C432" s="25" t="inlineStr">
        <is>
          <t>S36-V</t>
        </is>
      </c>
      <c r="D432" s="25" t="inlineStr">
        <is>
          <t>측정</t>
        </is>
      </c>
      <c r="E432" s="48" t="n">
        <v>140</v>
      </c>
      <c r="F432" s="40" t="n"/>
      <c r="G432" s="28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IF(COUNTIFS($C:$C,$C432,$D:$D,"기준(전)",$L:$L,"&gt;0")&lt;&gt;1,"기준(전) 유효 1개 아님",IF(COUNTIFS($C:$C,$C432,$D:$D,"기준(후)",$L:$L,"&gt;0")&lt;&gt;1,"기준(후) 유효 1개 아님",IF(NOT(AND(ISNUMBER(N432),ISNUMBER(P432),ISNUMBER(H432))),"시각 결측",IF(P432&lt;=N432,"기준 시각 역전",IF(OR(H432&lt;N432,H432&gt;P432),"측정시각 구간 밖","OK")))))</f>
        <v/>
      </c>
      <c r="N432" s="45">
        <f>IF(COUNTIFS($C:$C,$C432,$D:$D,"기준(전)",$L:$L,"&gt;0")&lt;&gt;1,"",SUMIFS($H:$H,$C:$C,$C432,$D:$D,"기준(전)"))</f>
        <v/>
      </c>
      <c r="O432" s="30">
        <f>IF(COUNTIFS($C:$C,$C432,$D:$D,"기준(전)",$L:$L,"&gt;0")&lt;&gt;1,"",SUMIFS($L:$L,$C:$C,$C432,$D:$D,"기준(전)"))</f>
        <v/>
      </c>
      <c r="P432" s="45">
        <f>IF(COUNTIFS($C:$C,$C432,$D:$D,"기준(후)",$L:$L,"&gt;0")&lt;&gt;1,"",SUMIFS($H:$H,$C:$C,$C432,$D:$D,"기준(후)"))</f>
        <v/>
      </c>
      <c r="Q432" s="30">
        <f>IF(COUNTIFS($C:$C,$C432,$D:$D,"기준(후)",$L:$L,"&gt;0")&lt;&gt;1,"",SUMIFS($L:$L,$C:$C,$C432,$D:$D,"기준(후)"))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IF(OR($D431&lt;&gt;"측정",$C431&lt;&gt;$C432,NOT(ISNUMBER(L432)),NOT(ISNUMBER(L431)),(IF(ISNUMBER(F432),F432,E432)-IF(ISNUMBER(F431),F431,E431))=0),"",(L432-L431)/((IF(ISNUMBER(F432),F432,E432)-IF(ISNUMBER(F431),F431,E431))/100))</f>
        <v/>
      </c>
      <c r="U432" s="28" t="n"/>
      <c r="V432" s="28" t="n"/>
      <c r="W432" s="31" t="n"/>
    </row>
    <row r="433">
      <c r="A433" s="25" t="inlineStr">
        <is>
          <t>S36</t>
        </is>
      </c>
      <c r="B433" s="25" t="inlineStr">
        <is>
          <t>미원</t>
        </is>
      </c>
      <c r="C433" s="25" t="inlineStr">
        <is>
          <t>S36-V</t>
        </is>
      </c>
      <c r="D433" s="25" t="inlineStr">
        <is>
          <t>측정</t>
        </is>
      </c>
      <c r="E433" s="48" t="n">
        <v>160</v>
      </c>
      <c r="F433" s="40" t="n"/>
      <c r="G433" s="28" t="n"/>
      <c r="H433" s="42" t="n"/>
      <c r="I433" s="40" t="n"/>
      <c r="J433" s="40" t="n"/>
      <c r="K433" s="40" t="n"/>
      <c r="L433" s="30">
        <f>IF(COUNT(I433:K433)=0,"",MEDIAN(I433:K433))</f>
        <v/>
      </c>
      <c r="M433" s="25">
        <f>IF(COUNTIFS($C:$C,$C433,$D:$D,"기준(전)",$L:$L,"&gt;0")&lt;&gt;1,"기준(전) 유효 1개 아님",IF(COUNTIFS($C:$C,$C433,$D:$D,"기준(후)",$L:$L,"&gt;0")&lt;&gt;1,"기준(후) 유효 1개 아님",IF(NOT(AND(ISNUMBER(N433),ISNUMBER(P433),ISNUMBER(H433))),"시각 결측",IF(P433&lt;=N433,"기준 시각 역전",IF(OR(H433&lt;N433,H433&gt;P433),"측정시각 구간 밖","OK")))))</f>
        <v/>
      </c>
      <c r="N433" s="45">
        <f>IF(COUNTIFS($C:$C,$C433,$D:$D,"기준(전)",$L:$L,"&gt;0")&lt;&gt;1,"",SUMIFS($H:$H,$C:$C,$C433,$D:$D,"기준(전)"))</f>
        <v/>
      </c>
      <c r="O433" s="30">
        <f>IF(COUNTIFS($C:$C,$C433,$D:$D,"기준(전)",$L:$L,"&gt;0")&lt;&gt;1,"",SUMIFS($L:$L,$C:$C,$C433,$D:$D,"기준(전)"))</f>
        <v/>
      </c>
      <c r="P433" s="45">
        <f>IF(COUNTIFS($C:$C,$C433,$D:$D,"기준(후)",$L:$L,"&gt;0")&lt;&gt;1,"",SUMIFS($H:$H,$C:$C,$C433,$D:$D,"기준(후)"))</f>
        <v/>
      </c>
      <c r="Q433" s="30">
        <f>IF(COUNTIFS($C:$C,$C433,$D:$D,"기준(후)",$L:$L,"&gt;0")&lt;&gt;1,"",SUMIFS($L:$L,$C:$C,$C433,$D:$D,"기준(후)"))</f>
        <v/>
      </c>
      <c r="R433" s="30">
        <f>IF(M433&lt;&gt;"OK","",O433+(Q433-O433)*(H433-N433)/(P433-N433))</f>
        <v/>
      </c>
      <c r="S433" s="30">
        <f>IF(OR(M433&lt;&gt;"OK",NOT(ISNUMBER(L433))),"",L433-R433)</f>
        <v/>
      </c>
      <c r="T433" s="46">
        <f>IF(OR($D432&lt;&gt;"측정",$C432&lt;&gt;$C433,NOT(ISNUMBER(L433)),NOT(ISNUMBER(L432)),(IF(ISNUMBER(F433),F433,E433)-IF(ISNUMBER(F432),F432,E432))=0),"",(L433-L432)/((IF(ISNUMBER(F433),F433,E433)-IF(ISNUMBER(F432),F432,E432))/100))</f>
        <v/>
      </c>
      <c r="U433" s="28" t="n"/>
      <c r="V433" s="28" t="n"/>
      <c r="W433" s="31" t="n"/>
    </row>
    <row r="434">
      <c r="A434" s="25" t="inlineStr">
        <is>
          <t>S36</t>
        </is>
      </c>
      <c r="B434" s="25" t="inlineStr">
        <is>
          <t>미원</t>
        </is>
      </c>
      <c r="C434" s="25" t="inlineStr">
        <is>
          <t>S36-V</t>
        </is>
      </c>
      <c r="D434" s="25" t="inlineStr">
        <is>
          <t>측정</t>
        </is>
      </c>
      <c r="E434" s="48" t="n">
        <v>180</v>
      </c>
      <c r="F434" s="40" t="n"/>
      <c r="G434" s="28" t="n"/>
      <c r="H434" s="42" t="n"/>
      <c r="I434" s="40" t="n"/>
      <c r="J434" s="40" t="n"/>
      <c r="K434" s="40" t="n"/>
      <c r="L434" s="30">
        <f>IF(COUNT(I434:K434)=0,"",MEDIAN(I434:K434))</f>
        <v/>
      </c>
      <c r="M434" s="25">
        <f>IF(COUNTIFS($C:$C,$C434,$D:$D,"기준(전)",$L:$L,"&gt;0")&lt;&gt;1,"기준(전) 유효 1개 아님",IF(COUNTIFS($C:$C,$C434,$D:$D,"기준(후)",$L:$L,"&gt;0")&lt;&gt;1,"기준(후) 유효 1개 아님",IF(NOT(AND(ISNUMBER(N434),ISNUMBER(P434),ISNUMBER(H434))),"시각 결측",IF(P434&lt;=N434,"기준 시각 역전",IF(OR(H434&lt;N434,H434&gt;P434),"측정시각 구간 밖","OK")))))</f>
        <v/>
      </c>
      <c r="N434" s="45">
        <f>IF(COUNTIFS($C:$C,$C434,$D:$D,"기준(전)",$L:$L,"&gt;0")&lt;&gt;1,"",SUMIFS($H:$H,$C:$C,$C434,$D:$D,"기준(전)"))</f>
        <v/>
      </c>
      <c r="O434" s="30">
        <f>IF(COUNTIFS($C:$C,$C434,$D:$D,"기준(전)",$L:$L,"&gt;0")&lt;&gt;1,"",SUMIFS($L:$L,$C:$C,$C434,$D:$D,"기준(전)"))</f>
        <v/>
      </c>
      <c r="P434" s="45">
        <f>IF(COUNTIFS($C:$C,$C434,$D:$D,"기준(후)",$L:$L,"&gt;0")&lt;&gt;1,"",SUMIFS($H:$H,$C:$C,$C434,$D:$D,"기준(후)"))</f>
        <v/>
      </c>
      <c r="Q434" s="30">
        <f>IF(COUNTIFS($C:$C,$C434,$D:$D,"기준(후)",$L:$L,"&gt;0")&lt;&gt;1,"",SUMIFS($L:$L,$C:$C,$C434,$D:$D,"기준(후)"))</f>
        <v/>
      </c>
      <c r="R434" s="30">
        <f>IF(M434&lt;&gt;"OK","",O434+(Q434-O434)*(H434-N434)/(P434-N434))</f>
        <v/>
      </c>
      <c r="S434" s="30">
        <f>IF(OR(M434&lt;&gt;"OK",NOT(ISNUMBER(L434))),"",L434-R434)</f>
        <v/>
      </c>
      <c r="T434" s="46">
        <f>IF(OR($D433&lt;&gt;"측정",$C433&lt;&gt;$C434,NOT(ISNUMBER(L434)),NOT(ISNUMBER(L433)),(IF(ISNUMBER(F434),F434,E434)-IF(ISNUMBER(F433),F433,E433))=0),"",(L434-L433)/((IF(ISNUMBER(F434),F434,E434)-IF(ISNUMBER(F433),F433,E433))/100))</f>
        <v/>
      </c>
      <c r="U434" s="28" t="n"/>
      <c r="V434" s="28" t="n"/>
      <c r="W434" s="31" t="n"/>
    </row>
    <row r="435">
      <c r="A435" s="25" t="inlineStr">
        <is>
          <t>S36</t>
        </is>
      </c>
      <c r="B435" s="25" t="inlineStr">
        <is>
          <t>미원</t>
        </is>
      </c>
      <c r="C435" s="25" t="inlineStr">
        <is>
          <t>S36-V</t>
        </is>
      </c>
      <c r="D435" s="25" t="inlineStr">
        <is>
          <t>측정</t>
        </is>
      </c>
      <c r="E435" s="48" t="n">
        <v>200</v>
      </c>
      <c r="F435" s="40" t="n"/>
      <c r="G435" s="28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IF(COUNTIFS($C:$C,$C435,$D:$D,"기준(전)",$L:$L,"&gt;0")&lt;&gt;1,"기준(전) 유효 1개 아님",IF(COUNTIFS($C:$C,$C435,$D:$D,"기준(후)",$L:$L,"&gt;0")&lt;&gt;1,"기준(후) 유효 1개 아님",IF(NOT(AND(ISNUMBER(N435),ISNUMBER(P435),ISNUMBER(H435))),"시각 결측",IF(P435&lt;=N435,"기준 시각 역전",IF(OR(H435&lt;N435,H435&gt;P435),"측정시각 구간 밖","OK")))))</f>
        <v/>
      </c>
      <c r="N435" s="45">
        <f>IF(COUNTIFS($C:$C,$C435,$D:$D,"기준(전)",$L:$L,"&gt;0")&lt;&gt;1,"",SUMIFS($H:$H,$C:$C,$C435,$D:$D,"기준(전)"))</f>
        <v/>
      </c>
      <c r="O435" s="30">
        <f>IF(COUNTIFS($C:$C,$C435,$D:$D,"기준(전)",$L:$L,"&gt;0")&lt;&gt;1,"",SUMIFS($L:$L,$C:$C,$C435,$D:$D,"기준(전)"))</f>
        <v/>
      </c>
      <c r="P435" s="45">
        <f>IF(COUNTIFS($C:$C,$C435,$D:$D,"기준(후)",$L:$L,"&gt;0")&lt;&gt;1,"",SUMIFS($H:$H,$C:$C,$C435,$D:$D,"기준(후)"))</f>
        <v/>
      </c>
      <c r="Q435" s="30">
        <f>IF(COUNTIFS($C:$C,$C435,$D:$D,"기준(후)",$L:$L,"&gt;0")&lt;&gt;1,"",SUMIFS($L:$L,$C:$C,$C435,$D:$D,"기준(후)"))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IF(OR($D434&lt;&gt;"측정",$C434&lt;&gt;$C435,NOT(ISNUMBER(L435)),NOT(ISNUMBER(L434)),(IF(ISNUMBER(F435),F435,E435)-IF(ISNUMBER(F434),F434,E434))=0),"",(L435-L434)/((IF(ISNUMBER(F435),F435,E435)-IF(ISNUMBER(F434),F434,E434))/100))</f>
        <v/>
      </c>
      <c r="U435" s="28" t="n"/>
      <c r="V435" s="28" t="n"/>
      <c r="W435" s="31" t="n"/>
    </row>
    <row r="436">
      <c r="A436" s="43" t="inlineStr">
        <is>
          <t>S36</t>
        </is>
      </c>
      <c r="B436" s="43" t="inlineStr">
        <is>
          <t>미원</t>
        </is>
      </c>
      <c r="C436" s="43" t="inlineStr">
        <is>
          <t>S36-V</t>
        </is>
      </c>
      <c r="D436" s="43" t="inlineStr">
        <is>
          <t>기준(후)</t>
        </is>
      </c>
      <c r="E436" s="47" t="n"/>
      <c r="F436" s="40" t="n"/>
      <c r="G436" s="28" t="n"/>
      <c r="H436" s="42" t="n"/>
      <c r="I436" s="40" t="n"/>
      <c r="J436" s="40" t="n"/>
      <c r="K436" s="40" t="n"/>
      <c r="L436" s="30">
        <f>IF(COUNT(I436:K436)=0,"",MEDIAN(I436:K436))</f>
        <v/>
      </c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28" t="n"/>
      <c r="V436" s="28" t="n"/>
      <c r="W436" s="31" t="n"/>
    </row>
    <row r="437">
      <c r="A437" s="43" t="inlineStr">
        <is>
          <t>S37</t>
        </is>
      </c>
      <c r="B437" s="43" t="inlineStr">
        <is>
          <t>부안</t>
        </is>
      </c>
      <c r="C437" s="43" t="inlineStr">
        <is>
          <t>S37-V</t>
        </is>
      </c>
      <c r="D437" s="43" t="inlineStr">
        <is>
          <t>기준(전)</t>
        </is>
      </c>
      <c r="E437" s="47" t="n"/>
      <c r="F437" s="40" t="n"/>
      <c r="G437" s="28" t="n"/>
      <c r="H437" s="42" t="n"/>
      <c r="I437" s="40" t="n"/>
      <c r="J437" s="40" t="n"/>
      <c r="K437" s="40" t="n"/>
      <c r="L437" s="30">
        <f>IF(COUNT(I437:K437)=0,"",MEDIAN(I437:K437))</f>
        <v/>
      </c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28" t="n"/>
      <c r="V437" s="28" t="n"/>
      <c r="W437" s="31" t="n"/>
    </row>
    <row r="438">
      <c r="A438" s="25" t="inlineStr">
        <is>
          <t>S37</t>
        </is>
      </c>
      <c r="B438" s="25" t="inlineStr">
        <is>
          <t>부안</t>
        </is>
      </c>
      <c r="C438" s="25" t="inlineStr">
        <is>
          <t>S37-V</t>
        </is>
      </c>
      <c r="D438" s="25" t="inlineStr">
        <is>
          <t>측정</t>
        </is>
      </c>
      <c r="E438" s="48" t="n">
        <v>20</v>
      </c>
      <c r="F438" s="40" t="n"/>
      <c r="G438" s="28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IF(COUNTIFS($C:$C,$C438,$D:$D,"기준(전)",$L:$L,"&gt;0")&lt;&gt;1,"기준(전) 유효 1개 아님",IF(COUNTIFS($C:$C,$C438,$D:$D,"기준(후)",$L:$L,"&gt;0")&lt;&gt;1,"기준(후) 유효 1개 아님",IF(NOT(AND(ISNUMBER(N438),ISNUMBER(P438),ISNUMBER(H438))),"시각 결측",IF(P438&lt;=N438,"기준 시각 역전",IF(OR(H438&lt;N438,H438&gt;P438),"측정시각 구간 밖","OK")))))</f>
        <v/>
      </c>
      <c r="N438" s="45">
        <f>IF(COUNTIFS($C:$C,$C438,$D:$D,"기준(전)",$L:$L,"&gt;0")&lt;&gt;1,"",SUMIFS($H:$H,$C:$C,$C438,$D:$D,"기준(전)"))</f>
        <v/>
      </c>
      <c r="O438" s="30">
        <f>IF(COUNTIFS($C:$C,$C438,$D:$D,"기준(전)",$L:$L,"&gt;0")&lt;&gt;1,"",SUMIFS($L:$L,$C:$C,$C438,$D:$D,"기준(전)"))</f>
        <v/>
      </c>
      <c r="P438" s="45">
        <f>IF(COUNTIFS($C:$C,$C438,$D:$D,"기준(후)",$L:$L,"&gt;0")&lt;&gt;1,"",SUMIFS($H:$H,$C:$C,$C438,$D:$D,"기준(후)"))</f>
        <v/>
      </c>
      <c r="Q438" s="30">
        <f>IF(COUNTIFS($C:$C,$C438,$D:$D,"기준(후)",$L:$L,"&gt;0")&lt;&gt;1,"",SUMIFS($L:$L,$C:$C,$C438,$D:$D,"기준(후)"))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IF(OR($D437&lt;&gt;"측정",$C437&lt;&gt;$C438,NOT(ISNUMBER(L438)),NOT(ISNUMBER(L437)),(IF(ISNUMBER(F438),F438,E438)-IF(ISNUMBER(F437),F437,E437))=0),"",(L438-L437)/((IF(ISNUMBER(F438),F438,E438)-IF(ISNUMBER(F437),F437,E437))/100))</f>
        <v/>
      </c>
      <c r="U438" s="28" t="n"/>
      <c r="V438" s="28" t="n"/>
      <c r="W438" s="31" t="n"/>
    </row>
    <row r="439">
      <c r="A439" s="25" t="inlineStr">
        <is>
          <t>S37</t>
        </is>
      </c>
      <c r="B439" s="25" t="inlineStr">
        <is>
          <t>부안</t>
        </is>
      </c>
      <c r="C439" s="25" t="inlineStr">
        <is>
          <t>S37-V</t>
        </is>
      </c>
      <c r="D439" s="25" t="inlineStr">
        <is>
          <t>측정</t>
        </is>
      </c>
      <c r="E439" s="48" t="n">
        <v>40</v>
      </c>
      <c r="F439" s="40" t="n"/>
      <c r="G439" s="28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IF(COUNTIFS($C:$C,$C439,$D:$D,"기준(전)",$L:$L,"&gt;0")&lt;&gt;1,"기준(전) 유효 1개 아님",IF(COUNTIFS($C:$C,$C439,$D:$D,"기준(후)",$L:$L,"&gt;0")&lt;&gt;1,"기준(후) 유효 1개 아님",IF(NOT(AND(ISNUMBER(N439),ISNUMBER(P439),ISNUMBER(H439))),"시각 결측",IF(P439&lt;=N439,"기준 시각 역전",IF(OR(H439&lt;N439,H439&gt;P439),"측정시각 구간 밖","OK")))))</f>
        <v/>
      </c>
      <c r="N439" s="45">
        <f>IF(COUNTIFS($C:$C,$C439,$D:$D,"기준(전)",$L:$L,"&gt;0")&lt;&gt;1,"",SUMIFS($H:$H,$C:$C,$C439,$D:$D,"기준(전)"))</f>
        <v/>
      </c>
      <c r="O439" s="30">
        <f>IF(COUNTIFS($C:$C,$C439,$D:$D,"기준(전)",$L:$L,"&gt;0")&lt;&gt;1,"",SUMIFS($L:$L,$C:$C,$C439,$D:$D,"기준(전)"))</f>
        <v/>
      </c>
      <c r="P439" s="45">
        <f>IF(COUNTIFS($C:$C,$C439,$D:$D,"기준(후)",$L:$L,"&gt;0")&lt;&gt;1,"",SUMIFS($H:$H,$C:$C,$C439,$D:$D,"기준(후)"))</f>
        <v/>
      </c>
      <c r="Q439" s="30">
        <f>IF(COUNTIFS($C:$C,$C439,$D:$D,"기준(후)",$L:$L,"&gt;0")&lt;&gt;1,"",SUMIFS($L:$L,$C:$C,$C439,$D:$D,"기준(후)"))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IF(OR($D438&lt;&gt;"측정",$C438&lt;&gt;$C439,NOT(ISNUMBER(L439)),NOT(ISNUMBER(L438)),(IF(ISNUMBER(F439),F439,E439)-IF(ISNUMBER(F438),F438,E438))=0),"",(L439-L438)/((IF(ISNUMBER(F439),F439,E439)-IF(ISNUMBER(F438),F438,E438))/100))</f>
        <v/>
      </c>
      <c r="U439" s="28" t="n"/>
      <c r="V439" s="28" t="n"/>
      <c r="W439" s="31" t="n"/>
    </row>
    <row r="440">
      <c r="A440" s="25" t="inlineStr">
        <is>
          <t>S37</t>
        </is>
      </c>
      <c r="B440" s="25" t="inlineStr">
        <is>
          <t>부안</t>
        </is>
      </c>
      <c r="C440" s="25" t="inlineStr">
        <is>
          <t>S37-V</t>
        </is>
      </c>
      <c r="D440" s="25" t="inlineStr">
        <is>
          <t>측정</t>
        </is>
      </c>
      <c r="E440" s="48" t="n">
        <v>60</v>
      </c>
      <c r="F440" s="40" t="n"/>
      <c r="G440" s="28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IF(COUNTIFS($C:$C,$C440,$D:$D,"기준(전)",$L:$L,"&gt;0")&lt;&gt;1,"기준(전) 유효 1개 아님",IF(COUNTIFS($C:$C,$C440,$D:$D,"기준(후)",$L:$L,"&gt;0")&lt;&gt;1,"기준(후) 유효 1개 아님",IF(NOT(AND(ISNUMBER(N440),ISNUMBER(P440),ISNUMBER(H440))),"시각 결측",IF(P440&lt;=N440,"기준 시각 역전",IF(OR(H440&lt;N440,H440&gt;P440),"측정시각 구간 밖","OK")))))</f>
        <v/>
      </c>
      <c r="N440" s="45">
        <f>IF(COUNTIFS($C:$C,$C440,$D:$D,"기준(전)",$L:$L,"&gt;0")&lt;&gt;1,"",SUMIFS($H:$H,$C:$C,$C440,$D:$D,"기준(전)"))</f>
        <v/>
      </c>
      <c r="O440" s="30">
        <f>IF(COUNTIFS($C:$C,$C440,$D:$D,"기준(전)",$L:$L,"&gt;0")&lt;&gt;1,"",SUMIFS($L:$L,$C:$C,$C440,$D:$D,"기준(전)"))</f>
        <v/>
      </c>
      <c r="P440" s="45">
        <f>IF(COUNTIFS($C:$C,$C440,$D:$D,"기준(후)",$L:$L,"&gt;0")&lt;&gt;1,"",SUMIFS($H:$H,$C:$C,$C440,$D:$D,"기준(후)"))</f>
        <v/>
      </c>
      <c r="Q440" s="30">
        <f>IF(COUNTIFS($C:$C,$C440,$D:$D,"기준(후)",$L:$L,"&gt;0")&lt;&gt;1,"",SUMIFS($L:$L,$C:$C,$C440,$D:$D,"기준(후)"))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IF(OR($D439&lt;&gt;"측정",$C439&lt;&gt;$C440,NOT(ISNUMBER(L440)),NOT(ISNUMBER(L439)),(IF(ISNUMBER(F440),F440,E440)-IF(ISNUMBER(F439),F439,E439))=0),"",(L440-L439)/((IF(ISNUMBER(F440),F440,E440)-IF(ISNUMBER(F439),F439,E439))/100))</f>
        <v/>
      </c>
      <c r="U440" s="28" t="n"/>
      <c r="V440" s="28" t="n"/>
      <c r="W440" s="31" t="n"/>
    </row>
    <row r="441">
      <c r="A441" s="25" t="inlineStr">
        <is>
          <t>S37</t>
        </is>
      </c>
      <c r="B441" s="25" t="inlineStr">
        <is>
          <t>부안</t>
        </is>
      </c>
      <c r="C441" s="25" t="inlineStr">
        <is>
          <t>S37-V</t>
        </is>
      </c>
      <c r="D441" s="25" t="inlineStr">
        <is>
          <t>측정</t>
        </is>
      </c>
      <c r="E441" s="48" t="n">
        <v>80</v>
      </c>
      <c r="F441" s="40" t="n"/>
      <c r="G441" s="28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IF(COUNTIFS($C:$C,$C441,$D:$D,"기준(전)",$L:$L,"&gt;0")&lt;&gt;1,"기준(전) 유효 1개 아님",IF(COUNTIFS($C:$C,$C441,$D:$D,"기준(후)",$L:$L,"&gt;0")&lt;&gt;1,"기준(후) 유효 1개 아님",IF(NOT(AND(ISNUMBER(N441),ISNUMBER(P441),ISNUMBER(H441))),"시각 결측",IF(P441&lt;=N441,"기준 시각 역전",IF(OR(H441&lt;N441,H441&gt;P441),"측정시각 구간 밖","OK")))))</f>
        <v/>
      </c>
      <c r="N441" s="45">
        <f>IF(COUNTIFS($C:$C,$C441,$D:$D,"기준(전)",$L:$L,"&gt;0")&lt;&gt;1,"",SUMIFS($H:$H,$C:$C,$C441,$D:$D,"기준(전)"))</f>
        <v/>
      </c>
      <c r="O441" s="30">
        <f>IF(COUNTIFS($C:$C,$C441,$D:$D,"기준(전)",$L:$L,"&gt;0")&lt;&gt;1,"",SUMIFS($L:$L,$C:$C,$C441,$D:$D,"기준(전)"))</f>
        <v/>
      </c>
      <c r="P441" s="45">
        <f>IF(COUNTIFS($C:$C,$C441,$D:$D,"기준(후)",$L:$L,"&gt;0")&lt;&gt;1,"",SUMIFS($H:$H,$C:$C,$C441,$D:$D,"기준(후)"))</f>
        <v/>
      </c>
      <c r="Q441" s="30">
        <f>IF(COUNTIFS($C:$C,$C441,$D:$D,"기준(후)",$L:$L,"&gt;0")&lt;&gt;1,"",SUMIFS($L:$L,$C:$C,$C441,$D:$D,"기준(후)"))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IF(OR($D440&lt;&gt;"측정",$C440&lt;&gt;$C441,NOT(ISNUMBER(L441)),NOT(ISNUMBER(L440)),(IF(ISNUMBER(F441),F441,E441)-IF(ISNUMBER(F440),F440,E440))=0),"",(L441-L440)/((IF(ISNUMBER(F441),F441,E441)-IF(ISNUMBER(F440),F440,E440))/100))</f>
        <v/>
      </c>
      <c r="U441" s="28" t="n"/>
      <c r="V441" s="28" t="n"/>
      <c r="W441" s="31" t="n"/>
    </row>
    <row r="442">
      <c r="A442" s="25" t="inlineStr">
        <is>
          <t>S37</t>
        </is>
      </c>
      <c r="B442" s="25" t="inlineStr">
        <is>
          <t>부안</t>
        </is>
      </c>
      <c r="C442" s="25" t="inlineStr">
        <is>
          <t>S37-V</t>
        </is>
      </c>
      <c r="D442" s="25" t="inlineStr">
        <is>
          <t>측정</t>
        </is>
      </c>
      <c r="E442" s="48" t="n">
        <v>100</v>
      </c>
      <c r="F442" s="40" t="n"/>
      <c r="G442" s="28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IF(COUNTIFS($C:$C,$C442,$D:$D,"기준(전)",$L:$L,"&gt;0")&lt;&gt;1,"기준(전) 유효 1개 아님",IF(COUNTIFS($C:$C,$C442,$D:$D,"기준(후)",$L:$L,"&gt;0")&lt;&gt;1,"기준(후) 유효 1개 아님",IF(NOT(AND(ISNUMBER(N442),ISNUMBER(P442),ISNUMBER(H442))),"시각 결측",IF(P442&lt;=N442,"기준 시각 역전",IF(OR(H442&lt;N442,H442&gt;P442),"측정시각 구간 밖","OK")))))</f>
        <v/>
      </c>
      <c r="N442" s="45">
        <f>IF(COUNTIFS($C:$C,$C442,$D:$D,"기준(전)",$L:$L,"&gt;0")&lt;&gt;1,"",SUMIFS($H:$H,$C:$C,$C442,$D:$D,"기준(전)"))</f>
        <v/>
      </c>
      <c r="O442" s="30">
        <f>IF(COUNTIFS($C:$C,$C442,$D:$D,"기준(전)",$L:$L,"&gt;0")&lt;&gt;1,"",SUMIFS($L:$L,$C:$C,$C442,$D:$D,"기준(전)"))</f>
        <v/>
      </c>
      <c r="P442" s="45">
        <f>IF(COUNTIFS($C:$C,$C442,$D:$D,"기준(후)",$L:$L,"&gt;0")&lt;&gt;1,"",SUMIFS($H:$H,$C:$C,$C442,$D:$D,"기준(후)"))</f>
        <v/>
      </c>
      <c r="Q442" s="30">
        <f>IF(COUNTIFS($C:$C,$C442,$D:$D,"기준(후)",$L:$L,"&gt;0")&lt;&gt;1,"",SUMIFS($L:$L,$C:$C,$C442,$D:$D,"기준(후)"))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IF(OR($D441&lt;&gt;"측정",$C441&lt;&gt;$C442,NOT(ISNUMBER(L442)),NOT(ISNUMBER(L441)),(IF(ISNUMBER(F442),F442,E442)-IF(ISNUMBER(F441),F441,E441))=0),"",(L442-L441)/((IF(ISNUMBER(F442),F442,E442)-IF(ISNUMBER(F441),F441,E441))/100))</f>
        <v/>
      </c>
      <c r="U442" s="28" t="n"/>
      <c r="V442" s="28" t="n"/>
      <c r="W442" s="31" t="n"/>
    </row>
    <row r="443">
      <c r="A443" s="25" t="inlineStr">
        <is>
          <t>S37</t>
        </is>
      </c>
      <c r="B443" s="25" t="inlineStr">
        <is>
          <t>부안</t>
        </is>
      </c>
      <c r="C443" s="25" t="inlineStr">
        <is>
          <t>S37-V</t>
        </is>
      </c>
      <c r="D443" s="25" t="inlineStr">
        <is>
          <t>측정</t>
        </is>
      </c>
      <c r="E443" s="48" t="n">
        <v>120</v>
      </c>
      <c r="F443" s="40" t="n"/>
      <c r="G443" s="28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IF(COUNTIFS($C:$C,$C443,$D:$D,"기준(전)",$L:$L,"&gt;0")&lt;&gt;1,"기준(전) 유효 1개 아님",IF(COUNTIFS($C:$C,$C443,$D:$D,"기준(후)",$L:$L,"&gt;0")&lt;&gt;1,"기준(후) 유효 1개 아님",IF(NOT(AND(ISNUMBER(N443),ISNUMBER(P443),ISNUMBER(H443))),"시각 결측",IF(P443&lt;=N443,"기준 시각 역전",IF(OR(H443&lt;N443,H443&gt;P443),"측정시각 구간 밖","OK")))))</f>
        <v/>
      </c>
      <c r="N443" s="45">
        <f>IF(COUNTIFS($C:$C,$C443,$D:$D,"기준(전)",$L:$L,"&gt;0")&lt;&gt;1,"",SUMIFS($H:$H,$C:$C,$C443,$D:$D,"기준(전)"))</f>
        <v/>
      </c>
      <c r="O443" s="30">
        <f>IF(COUNTIFS($C:$C,$C443,$D:$D,"기준(전)",$L:$L,"&gt;0")&lt;&gt;1,"",SUMIFS($L:$L,$C:$C,$C443,$D:$D,"기준(전)"))</f>
        <v/>
      </c>
      <c r="P443" s="45">
        <f>IF(COUNTIFS($C:$C,$C443,$D:$D,"기준(후)",$L:$L,"&gt;0")&lt;&gt;1,"",SUMIFS($H:$H,$C:$C,$C443,$D:$D,"기준(후)"))</f>
        <v/>
      </c>
      <c r="Q443" s="30">
        <f>IF(COUNTIFS($C:$C,$C443,$D:$D,"기준(후)",$L:$L,"&gt;0")&lt;&gt;1,"",SUMIFS($L:$L,$C:$C,$C443,$D:$D,"기준(후)"))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IF(OR($D442&lt;&gt;"측정",$C442&lt;&gt;$C443,NOT(ISNUMBER(L443)),NOT(ISNUMBER(L442)),(IF(ISNUMBER(F443),F443,E443)-IF(ISNUMBER(F442),F442,E442))=0),"",(L443-L442)/((IF(ISNUMBER(F443),F443,E443)-IF(ISNUMBER(F442),F442,E442))/100))</f>
        <v/>
      </c>
      <c r="U443" s="28" t="n"/>
      <c r="V443" s="28" t="n"/>
      <c r="W443" s="31" t="n"/>
    </row>
    <row r="444">
      <c r="A444" s="25" t="inlineStr">
        <is>
          <t>S37</t>
        </is>
      </c>
      <c r="B444" s="25" t="inlineStr">
        <is>
          <t>부안</t>
        </is>
      </c>
      <c r="C444" s="25" t="inlineStr">
        <is>
          <t>S37-V</t>
        </is>
      </c>
      <c r="D444" s="25" t="inlineStr">
        <is>
          <t>측정</t>
        </is>
      </c>
      <c r="E444" s="48" t="n">
        <v>140</v>
      </c>
      <c r="F444" s="40" t="n"/>
      <c r="G444" s="28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IF(COUNTIFS($C:$C,$C444,$D:$D,"기준(전)",$L:$L,"&gt;0")&lt;&gt;1,"기준(전) 유효 1개 아님",IF(COUNTIFS($C:$C,$C444,$D:$D,"기준(후)",$L:$L,"&gt;0")&lt;&gt;1,"기준(후) 유효 1개 아님",IF(NOT(AND(ISNUMBER(N444),ISNUMBER(P444),ISNUMBER(H444))),"시각 결측",IF(P444&lt;=N444,"기준 시각 역전",IF(OR(H444&lt;N444,H444&gt;P444),"측정시각 구간 밖","OK")))))</f>
        <v/>
      </c>
      <c r="N444" s="45">
        <f>IF(COUNTIFS($C:$C,$C444,$D:$D,"기준(전)",$L:$L,"&gt;0")&lt;&gt;1,"",SUMIFS($H:$H,$C:$C,$C444,$D:$D,"기준(전)"))</f>
        <v/>
      </c>
      <c r="O444" s="30">
        <f>IF(COUNTIFS($C:$C,$C444,$D:$D,"기준(전)",$L:$L,"&gt;0")&lt;&gt;1,"",SUMIFS($L:$L,$C:$C,$C444,$D:$D,"기준(전)"))</f>
        <v/>
      </c>
      <c r="P444" s="45">
        <f>IF(COUNTIFS($C:$C,$C444,$D:$D,"기준(후)",$L:$L,"&gt;0")&lt;&gt;1,"",SUMIFS($H:$H,$C:$C,$C444,$D:$D,"기준(후)"))</f>
        <v/>
      </c>
      <c r="Q444" s="30">
        <f>IF(COUNTIFS($C:$C,$C444,$D:$D,"기준(후)",$L:$L,"&gt;0")&lt;&gt;1,"",SUMIFS($L:$L,$C:$C,$C444,$D:$D,"기준(후)"))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IF(OR($D443&lt;&gt;"측정",$C443&lt;&gt;$C444,NOT(ISNUMBER(L444)),NOT(ISNUMBER(L443)),(IF(ISNUMBER(F444),F444,E444)-IF(ISNUMBER(F443),F443,E443))=0),"",(L444-L443)/((IF(ISNUMBER(F444),F444,E444)-IF(ISNUMBER(F443),F443,E443))/100))</f>
        <v/>
      </c>
      <c r="U444" s="28" t="n"/>
      <c r="V444" s="28" t="n"/>
      <c r="W444" s="31" t="n"/>
    </row>
    <row r="445">
      <c r="A445" s="25" t="inlineStr">
        <is>
          <t>S37</t>
        </is>
      </c>
      <c r="B445" s="25" t="inlineStr">
        <is>
          <t>부안</t>
        </is>
      </c>
      <c r="C445" s="25" t="inlineStr">
        <is>
          <t>S37-V</t>
        </is>
      </c>
      <c r="D445" s="25" t="inlineStr">
        <is>
          <t>측정</t>
        </is>
      </c>
      <c r="E445" s="48" t="n">
        <v>160</v>
      </c>
      <c r="F445" s="40" t="n"/>
      <c r="G445" s="28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IF(COUNTIFS($C:$C,$C445,$D:$D,"기준(전)",$L:$L,"&gt;0")&lt;&gt;1,"기준(전) 유효 1개 아님",IF(COUNTIFS($C:$C,$C445,$D:$D,"기준(후)",$L:$L,"&gt;0")&lt;&gt;1,"기준(후) 유효 1개 아님",IF(NOT(AND(ISNUMBER(N445),ISNUMBER(P445),ISNUMBER(H445))),"시각 결측",IF(P445&lt;=N445,"기준 시각 역전",IF(OR(H445&lt;N445,H445&gt;P445),"측정시각 구간 밖","OK")))))</f>
        <v/>
      </c>
      <c r="N445" s="45">
        <f>IF(COUNTIFS($C:$C,$C445,$D:$D,"기준(전)",$L:$L,"&gt;0")&lt;&gt;1,"",SUMIFS($H:$H,$C:$C,$C445,$D:$D,"기준(전)"))</f>
        <v/>
      </c>
      <c r="O445" s="30">
        <f>IF(COUNTIFS($C:$C,$C445,$D:$D,"기준(전)",$L:$L,"&gt;0")&lt;&gt;1,"",SUMIFS($L:$L,$C:$C,$C445,$D:$D,"기준(전)"))</f>
        <v/>
      </c>
      <c r="P445" s="45">
        <f>IF(COUNTIFS($C:$C,$C445,$D:$D,"기준(후)",$L:$L,"&gt;0")&lt;&gt;1,"",SUMIFS($H:$H,$C:$C,$C445,$D:$D,"기준(후)"))</f>
        <v/>
      </c>
      <c r="Q445" s="30">
        <f>IF(COUNTIFS($C:$C,$C445,$D:$D,"기준(후)",$L:$L,"&gt;0")&lt;&gt;1,"",SUMIFS($L:$L,$C:$C,$C445,$D:$D,"기준(후)"))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IF(OR($D444&lt;&gt;"측정",$C444&lt;&gt;$C445,NOT(ISNUMBER(L445)),NOT(ISNUMBER(L444)),(IF(ISNUMBER(F445),F445,E445)-IF(ISNUMBER(F444),F444,E444))=0),"",(L445-L444)/((IF(ISNUMBER(F445),F445,E445)-IF(ISNUMBER(F444),F444,E444))/100))</f>
        <v/>
      </c>
      <c r="U445" s="28" t="n"/>
      <c r="V445" s="28" t="n"/>
      <c r="W445" s="31" t="n"/>
    </row>
    <row r="446">
      <c r="A446" s="25" t="inlineStr">
        <is>
          <t>S37</t>
        </is>
      </c>
      <c r="B446" s="25" t="inlineStr">
        <is>
          <t>부안</t>
        </is>
      </c>
      <c r="C446" s="25" t="inlineStr">
        <is>
          <t>S37-V</t>
        </is>
      </c>
      <c r="D446" s="25" t="inlineStr">
        <is>
          <t>측정</t>
        </is>
      </c>
      <c r="E446" s="48" t="n">
        <v>180</v>
      </c>
      <c r="F446" s="40" t="n"/>
      <c r="G446" s="28" t="n"/>
      <c r="H446" s="42" t="n"/>
      <c r="I446" s="40" t="n"/>
      <c r="J446" s="40" t="n"/>
      <c r="K446" s="40" t="n"/>
      <c r="L446" s="30">
        <f>IF(COUNT(I446:K446)=0,"",MEDIAN(I446:K446))</f>
        <v/>
      </c>
      <c r="M446" s="25">
        <f>IF(COUNTIFS($C:$C,$C446,$D:$D,"기준(전)",$L:$L,"&gt;0")&lt;&gt;1,"기준(전) 유효 1개 아님",IF(COUNTIFS($C:$C,$C446,$D:$D,"기준(후)",$L:$L,"&gt;0")&lt;&gt;1,"기준(후) 유효 1개 아님",IF(NOT(AND(ISNUMBER(N446),ISNUMBER(P446),ISNUMBER(H446))),"시각 결측",IF(P446&lt;=N446,"기준 시각 역전",IF(OR(H446&lt;N446,H446&gt;P446),"측정시각 구간 밖","OK")))))</f>
        <v/>
      </c>
      <c r="N446" s="45">
        <f>IF(COUNTIFS($C:$C,$C446,$D:$D,"기준(전)",$L:$L,"&gt;0")&lt;&gt;1,"",SUMIFS($H:$H,$C:$C,$C446,$D:$D,"기준(전)"))</f>
        <v/>
      </c>
      <c r="O446" s="30">
        <f>IF(COUNTIFS($C:$C,$C446,$D:$D,"기준(전)",$L:$L,"&gt;0")&lt;&gt;1,"",SUMIFS($L:$L,$C:$C,$C446,$D:$D,"기준(전)"))</f>
        <v/>
      </c>
      <c r="P446" s="45">
        <f>IF(COUNTIFS($C:$C,$C446,$D:$D,"기준(후)",$L:$L,"&gt;0")&lt;&gt;1,"",SUMIFS($H:$H,$C:$C,$C446,$D:$D,"기준(후)"))</f>
        <v/>
      </c>
      <c r="Q446" s="30">
        <f>IF(COUNTIFS($C:$C,$C446,$D:$D,"기준(후)",$L:$L,"&gt;0")&lt;&gt;1,"",SUMIFS($L:$L,$C:$C,$C446,$D:$D,"기준(후)"))</f>
        <v/>
      </c>
      <c r="R446" s="30">
        <f>IF(M446&lt;&gt;"OK","",O446+(Q446-O446)*(H446-N446)/(P446-N446))</f>
        <v/>
      </c>
      <c r="S446" s="30">
        <f>IF(OR(M446&lt;&gt;"OK",NOT(ISNUMBER(L446))),"",L446-R446)</f>
        <v/>
      </c>
      <c r="T446" s="46">
        <f>IF(OR($D445&lt;&gt;"측정",$C445&lt;&gt;$C446,NOT(ISNUMBER(L446)),NOT(ISNUMBER(L445)),(IF(ISNUMBER(F446),F446,E446)-IF(ISNUMBER(F445),F445,E445))=0),"",(L446-L445)/((IF(ISNUMBER(F446),F446,E446)-IF(ISNUMBER(F445),F445,E445))/100))</f>
        <v/>
      </c>
      <c r="U446" s="28" t="n"/>
      <c r="V446" s="28" t="n"/>
      <c r="W446" s="31" t="n"/>
    </row>
    <row r="447">
      <c r="A447" s="25" t="inlineStr">
        <is>
          <t>S37</t>
        </is>
      </c>
      <c r="B447" s="25" t="inlineStr">
        <is>
          <t>부안</t>
        </is>
      </c>
      <c r="C447" s="25" t="inlineStr">
        <is>
          <t>S37-V</t>
        </is>
      </c>
      <c r="D447" s="25" t="inlineStr">
        <is>
          <t>측정</t>
        </is>
      </c>
      <c r="E447" s="48" t="n">
        <v>200</v>
      </c>
      <c r="F447" s="40" t="n"/>
      <c r="G447" s="28" t="n"/>
      <c r="H447" s="42" t="n"/>
      <c r="I447" s="40" t="n"/>
      <c r="J447" s="40" t="n"/>
      <c r="K447" s="40" t="n"/>
      <c r="L447" s="30">
        <f>IF(COUNT(I447:K447)=0,"",MEDIAN(I447:K447))</f>
        <v/>
      </c>
      <c r="M447" s="25">
        <f>IF(COUNTIFS($C:$C,$C447,$D:$D,"기준(전)",$L:$L,"&gt;0")&lt;&gt;1,"기준(전) 유효 1개 아님",IF(COUNTIFS($C:$C,$C447,$D:$D,"기준(후)",$L:$L,"&gt;0")&lt;&gt;1,"기준(후) 유효 1개 아님",IF(NOT(AND(ISNUMBER(N447),ISNUMBER(P447),ISNUMBER(H447))),"시각 결측",IF(P447&lt;=N447,"기준 시각 역전",IF(OR(H447&lt;N447,H447&gt;P447),"측정시각 구간 밖","OK")))))</f>
        <v/>
      </c>
      <c r="N447" s="45">
        <f>IF(COUNTIFS($C:$C,$C447,$D:$D,"기준(전)",$L:$L,"&gt;0")&lt;&gt;1,"",SUMIFS($H:$H,$C:$C,$C447,$D:$D,"기준(전)"))</f>
        <v/>
      </c>
      <c r="O447" s="30">
        <f>IF(COUNTIFS($C:$C,$C447,$D:$D,"기준(전)",$L:$L,"&gt;0")&lt;&gt;1,"",SUMIFS($L:$L,$C:$C,$C447,$D:$D,"기준(전)"))</f>
        <v/>
      </c>
      <c r="P447" s="45">
        <f>IF(COUNTIFS($C:$C,$C447,$D:$D,"기준(후)",$L:$L,"&gt;0")&lt;&gt;1,"",SUMIFS($H:$H,$C:$C,$C447,$D:$D,"기준(후)"))</f>
        <v/>
      </c>
      <c r="Q447" s="30">
        <f>IF(COUNTIFS($C:$C,$C447,$D:$D,"기준(후)",$L:$L,"&gt;0")&lt;&gt;1,"",SUMIFS($L:$L,$C:$C,$C447,$D:$D,"기준(후)"))</f>
        <v/>
      </c>
      <c r="R447" s="30">
        <f>IF(M447&lt;&gt;"OK","",O447+(Q447-O447)*(H447-N447)/(P447-N447))</f>
        <v/>
      </c>
      <c r="S447" s="30">
        <f>IF(OR(M447&lt;&gt;"OK",NOT(ISNUMBER(L447))),"",L447-R447)</f>
        <v/>
      </c>
      <c r="T447" s="46">
        <f>IF(OR($D446&lt;&gt;"측정",$C446&lt;&gt;$C447,NOT(ISNUMBER(L447)),NOT(ISNUMBER(L446)),(IF(ISNUMBER(F447),F447,E447)-IF(ISNUMBER(F446),F446,E446))=0),"",(L447-L446)/((IF(ISNUMBER(F447),F447,E447)-IF(ISNUMBER(F446),F446,E446))/100))</f>
        <v/>
      </c>
      <c r="U447" s="28" t="n"/>
      <c r="V447" s="28" t="n"/>
      <c r="W447" s="31" t="n"/>
    </row>
    <row r="448">
      <c r="A448" s="43" t="inlineStr">
        <is>
          <t>S37</t>
        </is>
      </c>
      <c r="B448" s="43" t="inlineStr">
        <is>
          <t>부안</t>
        </is>
      </c>
      <c r="C448" s="43" t="inlineStr">
        <is>
          <t>S37-V</t>
        </is>
      </c>
      <c r="D448" s="43" t="inlineStr">
        <is>
          <t>기준(후)</t>
        </is>
      </c>
      <c r="E448" s="47" t="n"/>
      <c r="F448" s="40" t="n"/>
      <c r="G448" s="28" t="n"/>
      <c r="H448" s="42" t="n"/>
      <c r="I448" s="40" t="n"/>
      <c r="J448" s="40" t="n"/>
      <c r="K448" s="40" t="n"/>
      <c r="L448" s="30">
        <f>IF(COUNT(I448:K448)=0,"",MEDIAN(I448:K448))</f>
        <v/>
      </c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28" t="n"/>
      <c r="V448" s="28" t="n"/>
      <c r="W448" s="31" t="n"/>
    </row>
    <row r="449">
      <c r="A449" s="43" t="inlineStr">
        <is>
          <t>S38</t>
        </is>
      </c>
      <c r="B449" s="43" t="inlineStr">
        <is>
          <t>강화</t>
        </is>
      </c>
      <c r="C449" s="43" t="inlineStr">
        <is>
          <t>S38-V</t>
        </is>
      </c>
      <c r="D449" s="43" t="inlineStr">
        <is>
          <t>기준(전)</t>
        </is>
      </c>
      <c r="E449" s="47" t="n"/>
      <c r="F449" s="40" t="n"/>
      <c r="G449" s="28" t="n"/>
      <c r="H449" s="42" t="n"/>
      <c r="I449" s="40" t="n"/>
      <c r="J449" s="40" t="n"/>
      <c r="K449" s="40" t="n"/>
      <c r="L449" s="30">
        <f>IF(COUNT(I449:K449)=0,"",MEDIAN(I449:K449))</f>
        <v/>
      </c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28" t="n"/>
      <c r="V449" s="28" t="n"/>
      <c r="W449" s="31" t="n"/>
    </row>
    <row r="450">
      <c r="A450" s="25" t="inlineStr">
        <is>
          <t>S38</t>
        </is>
      </c>
      <c r="B450" s="25" t="inlineStr">
        <is>
          <t>강화</t>
        </is>
      </c>
      <c r="C450" s="25" t="inlineStr">
        <is>
          <t>S38-V</t>
        </is>
      </c>
      <c r="D450" s="25" t="inlineStr">
        <is>
          <t>측정</t>
        </is>
      </c>
      <c r="E450" s="48" t="n">
        <v>20</v>
      </c>
      <c r="F450" s="40" t="n"/>
      <c r="G450" s="28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IF(COUNTIFS($C:$C,$C450,$D:$D,"기준(전)",$L:$L,"&gt;0")&lt;&gt;1,"기준(전) 유효 1개 아님",IF(COUNTIFS($C:$C,$C450,$D:$D,"기준(후)",$L:$L,"&gt;0")&lt;&gt;1,"기준(후) 유효 1개 아님",IF(NOT(AND(ISNUMBER(N450),ISNUMBER(P450),ISNUMBER(H450))),"시각 결측",IF(P450&lt;=N450,"기준 시각 역전",IF(OR(H450&lt;N450,H450&gt;P450),"측정시각 구간 밖","OK")))))</f>
        <v/>
      </c>
      <c r="N450" s="45">
        <f>IF(COUNTIFS($C:$C,$C450,$D:$D,"기준(전)",$L:$L,"&gt;0")&lt;&gt;1,"",SUMIFS($H:$H,$C:$C,$C450,$D:$D,"기준(전)"))</f>
        <v/>
      </c>
      <c r="O450" s="30">
        <f>IF(COUNTIFS($C:$C,$C450,$D:$D,"기준(전)",$L:$L,"&gt;0")&lt;&gt;1,"",SUMIFS($L:$L,$C:$C,$C450,$D:$D,"기준(전)"))</f>
        <v/>
      </c>
      <c r="P450" s="45">
        <f>IF(COUNTIFS($C:$C,$C450,$D:$D,"기준(후)",$L:$L,"&gt;0")&lt;&gt;1,"",SUMIFS($H:$H,$C:$C,$C450,$D:$D,"기준(후)"))</f>
        <v/>
      </c>
      <c r="Q450" s="30">
        <f>IF(COUNTIFS($C:$C,$C450,$D:$D,"기준(후)",$L:$L,"&gt;0")&lt;&gt;1,"",SUMIFS($L:$L,$C:$C,$C450,$D:$D,"기준(후)"))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IF(OR($D449&lt;&gt;"측정",$C449&lt;&gt;$C450,NOT(ISNUMBER(L450)),NOT(ISNUMBER(L449)),(IF(ISNUMBER(F450),F450,E450)-IF(ISNUMBER(F449),F449,E449))=0),"",(L450-L449)/((IF(ISNUMBER(F450),F450,E450)-IF(ISNUMBER(F449),F449,E449))/100))</f>
        <v/>
      </c>
      <c r="U450" s="28" t="n"/>
      <c r="V450" s="28" t="n"/>
      <c r="W450" s="31" t="n"/>
    </row>
    <row r="451">
      <c r="A451" s="25" t="inlineStr">
        <is>
          <t>S38</t>
        </is>
      </c>
      <c r="B451" s="25" t="inlineStr">
        <is>
          <t>강화</t>
        </is>
      </c>
      <c r="C451" s="25" t="inlineStr">
        <is>
          <t>S38-V</t>
        </is>
      </c>
      <c r="D451" s="25" t="inlineStr">
        <is>
          <t>측정</t>
        </is>
      </c>
      <c r="E451" s="48" t="n">
        <v>40</v>
      </c>
      <c r="F451" s="40" t="n"/>
      <c r="G451" s="28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IF(COUNTIFS($C:$C,$C451,$D:$D,"기준(전)",$L:$L,"&gt;0")&lt;&gt;1,"기준(전) 유효 1개 아님",IF(COUNTIFS($C:$C,$C451,$D:$D,"기준(후)",$L:$L,"&gt;0")&lt;&gt;1,"기준(후) 유효 1개 아님",IF(NOT(AND(ISNUMBER(N451),ISNUMBER(P451),ISNUMBER(H451))),"시각 결측",IF(P451&lt;=N451,"기준 시각 역전",IF(OR(H451&lt;N451,H451&gt;P451),"측정시각 구간 밖","OK")))))</f>
        <v/>
      </c>
      <c r="N451" s="45">
        <f>IF(COUNTIFS($C:$C,$C451,$D:$D,"기준(전)",$L:$L,"&gt;0")&lt;&gt;1,"",SUMIFS($H:$H,$C:$C,$C451,$D:$D,"기준(전)"))</f>
        <v/>
      </c>
      <c r="O451" s="30">
        <f>IF(COUNTIFS($C:$C,$C451,$D:$D,"기준(전)",$L:$L,"&gt;0")&lt;&gt;1,"",SUMIFS($L:$L,$C:$C,$C451,$D:$D,"기준(전)"))</f>
        <v/>
      </c>
      <c r="P451" s="45">
        <f>IF(COUNTIFS($C:$C,$C451,$D:$D,"기준(후)",$L:$L,"&gt;0")&lt;&gt;1,"",SUMIFS($H:$H,$C:$C,$C451,$D:$D,"기준(후)"))</f>
        <v/>
      </c>
      <c r="Q451" s="30">
        <f>IF(COUNTIFS($C:$C,$C451,$D:$D,"기준(후)",$L:$L,"&gt;0")&lt;&gt;1,"",SUMIFS($L:$L,$C:$C,$C451,$D:$D,"기준(후)"))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IF(OR($D450&lt;&gt;"측정",$C450&lt;&gt;$C451,NOT(ISNUMBER(L451)),NOT(ISNUMBER(L450)),(IF(ISNUMBER(F451),F451,E451)-IF(ISNUMBER(F450),F450,E450))=0),"",(L451-L450)/((IF(ISNUMBER(F451),F451,E451)-IF(ISNUMBER(F450),F450,E450))/100))</f>
        <v/>
      </c>
      <c r="U451" s="28" t="n"/>
      <c r="V451" s="28" t="n"/>
      <c r="W451" s="31" t="n"/>
    </row>
    <row r="452">
      <c r="A452" s="25" t="inlineStr">
        <is>
          <t>S38</t>
        </is>
      </c>
      <c r="B452" s="25" t="inlineStr">
        <is>
          <t>강화</t>
        </is>
      </c>
      <c r="C452" s="25" t="inlineStr">
        <is>
          <t>S38-V</t>
        </is>
      </c>
      <c r="D452" s="25" t="inlineStr">
        <is>
          <t>측정</t>
        </is>
      </c>
      <c r="E452" s="48" t="n">
        <v>60</v>
      </c>
      <c r="F452" s="40" t="n"/>
      <c r="G452" s="28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IF(COUNTIFS($C:$C,$C452,$D:$D,"기준(전)",$L:$L,"&gt;0")&lt;&gt;1,"기준(전) 유효 1개 아님",IF(COUNTIFS($C:$C,$C452,$D:$D,"기준(후)",$L:$L,"&gt;0")&lt;&gt;1,"기준(후) 유효 1개 아님",IF(NOT(AND(ISNUMBER(N452),ISNUMBER(P452),ISNUMBER(H452))),"시각 결측",IF(P452&lt;=N452,"기준 시각 역전",IF(OR(H452&lt;N452,H452&gt;P452),"측정시각 구간 밖","OK")))))</f>
        <v/>
      </c>
      <c r="N452" s="45">
        <f>IF(COUNTIFS($C:$C,$C452,$D:$D,"기준(전)",$L:$L,"&gt;0")&lt;&gt;1,"",SUMIFS($H:$H,$C:$C,$C452,$D:$D,"기준(전)"))</f>
        <v/>
      </c>
      <c r="O452" s="30">
        <f>IF(COUNTIFS($C:$C,$C452,$D:$D,"기준(전)",$L:$L,"&gt;0")&lt;&gt;1,"",SUMIFS($L:$L,$C:$C,$C452,$D:$D,"기준(전)"))</f>
        <v/>
      </c>
      <c r="P452" s="45">
        <f>IF(COUNTIFS($C:$C,$C452,$D:$D,"기준(후)",$L:$L,"&gt;0")&lt;&gt;1,"",SUMIFS($H:$H,$C:$C,$C452,$D:$D,"기준(후)"))</f>
        <v/>
      </c>
      <c r="Q452" s="30">
        <f>IF(COUNTIFS($C:$C,$C452,$D:$D,"기준(후)",$L:$L,"&gt;0")&lt;&gt;1,"",SUMIFS($L:$L,$C:$C,$C452,$D:$D,"기준(후)"))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IF(OR($D451&lt;&gt;"측정",$C451&lt;&gt;$C452,NOT(ISNUMBER(L452)),NOT(ISNUMBER(L451)),(IF(ISNUMBER(F452),F452,E452)-IF(ISNUMBER(F451),F451,E451))=0),"",(L452-L451)/((IF(ISNUMBER(F452),F452,E452)-IF(ISNUMBER(F451),F451,E451))/100))</f>
        <v/>
      </c>
      <c r="U452" s="28" t="n"/>
      <c r="V452" s="28" t="n"/>
      <c r="W452" s="31" t="n"/>
    </row>
    <row r="453">
      <c r="A453" s="25" t="inlineStr">
        <is>
          <t>S38</t>
        </is>
      </c>
      <c r="B453" s="25" t="inlineStr">
        <is>
          <t>강화</t>
        </is>
      </c>
      <c r="C453" s="25" t="inlineStr">
        <is>
          <t>S38-V</t>
        </is>
      </c>
      <c r="D453" s="25" t="inlineStr">
        <is>
          <t>측정</t>
        </is>
      </c>
      <c r="E453" s="48" t="n">
        <v>80</v>
      </c>
      <c r="F453" s="40" t="n"/>
      <c r="G453" s="28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IF(COUNTIFS($C:$C,$C453,$D:$D,"기준(전)",$L:$L,"&gt;0")&lt;&gt;1,"기준(전) 유효 1개 아님",IF(COUNTIFS($C:$C,$C453,$D:$D,"기준(후)",$L:$L,"&gt;0")&lt;&gt;1,"기준(후) 유효 1개 아님",IF(NOT(AND(ISNUMBER(N453),ISNUMBER(P453),ISNUMBER(H453))),"시각 결측",IF(P453&lt;=N453,"기준 시각 역전",IF(OR(H453&lt;N453,H453&gt;P453),"측정시각 구간 밖","OK")))))</f>
        <v/>
      </c>
      <c r="N453" s="45">
        <f>IF(COUNTIFS($C:$C,$C453,$D:$D,"기준(전)",$L:$L,"&gt;0")&lt;&gt;1,"",SUMIFS($H:$H,$C:$C,$C453,$D:$D,"기준(전)"))</f>
        <v/>
      </c>
      <c r="O453" s="30">
        <f>IF(COUNTIFS($C:$C,$C453,$D:$D,"기준(전)",$L:$L,"&gt;0")&lt;&gt;1,"",SUMIFS($L:$L,$C:$C,$C453,$D:$D,"기준(전)"))</f>
        <v/>
      </c>
      <c r="P453" s="45">
        <f>IF(COUNTIFS($C:$C,$C453,$D:$D,"기준(후)",$L:$L,"&gt;0")&lt;&gt;1,"",SUMIFS($H:$H,$C:$C,$C453,$D:$D,"기준(후)"))</f>
        <v/>
      </c>
      <c r="Q453" s="30">
        <f>IF(COUNTIFS($C:$C,$C453,$D:$D,"기준(후)",$L:$L,"&gt;0")&lt;&gt;1,"",SUMIFS($L:$L,$C:$C,$C453,$D:$D,"기준(후)"))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IF(OR($D452&lt;&gt;"측정",$C452&lt;&gt;$C453,NOT(ISNUMBER(L453)),NOT(ISNUMBER(L452)),(IF(ISNUMBER(F453),F453,E453)-IF(ISNUMBER(F452),F452,E452))=0),"",(L453-L452)/((IF(ISNUMBER(F453),F453,E453)-IF(ISNUMBER(F452),F452,E452))/100))</f>
        <v/>
      </c>
      <c r="U453" s="28" t="n"/>
      <c r="V453" s="28" t="n"/>
      <c r="W453" s="31" t="n"/>
    </row>
    <row r="454">
      <c r="A454" s="25" t="inlineStr">
        <is>
          <t>S38</t>
        </is>
      </c>
      <c r="B454" s="25" t="inlineStr">
        <is>
          <t>강화</t>
        </is>
      </c>
      <c r="C454" s="25" t="inlineStr">
        <is>
          <t>S38-V</t>
        </is>
      </c>
      <c r="D454" s="25" t="inlineStr">
        <is>
          <t>측정</t>
        </is>
      </c>
      <c r="E454" s="48" t="n">
        <v>100</v>
      </c>
      <c r="F454" s="40" t="n"/>
      <c r="G454" s="28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IF(COUNTIFS($C:$C,$C454,$D:$D,"기준(전)",$L:$L,"&gt;0")&lt;&gt;1,"기준(전) 유효 1개 아님",IF(COUNTIFS($C:$C,$C454,$D:$D,"기준(후)",$L:$L,"&gt;0")&lt;&gt;1,"기준(후) 유효 1개 아님",IF(NOT(AND(ISNUMBER(N454),ISNUMBER(P454),ISNUMBER(H454))),"시각 결측",IF(P454&lt;=N454,"기준 시각 역전",IF(OR(H454&lt;N454,H454&gt;P454),"측정시각 구간 밖","OK")))))</f>
        <v/>
      </c>
      <c r="N454" s="45">
        <f>IF(COUNTIFS($C:$C,$C454,$D:$D,"기준(전)",$L:$L,"&gt;0")&lt;&gt;1,"",SUMIFS($H:$H,$C:$C,$C454,$D:$D,"기준(전)"))</f>
        <v/>
      </c>
      <c r="O454" s="30">
        <f>IF(COUNTIFS($C:$C,$C454,$D:$D,"기준(전)",$L:$L,"&gt;0")&lt;&gt;1,"",SUMIFS($L:$L,$C:$C,$C454,$D:$D,"기준(전)"))</f>
        <v/>
      </c>
      <c r="P454" s="45">
        <f>IF(COUNTIFS($C:$C,$C454,$D:$D,"기준(후)",$L:$L,"&gt;0")&lt;&gt;1,"",SUMIFS($H:$H,$C:$C,$C454,$D:$D,"기준(후)"))</f>
        <v/>
      </c>
      <c r="Q454" s="30">
        <f>IF(COUNTIFS($C:$C,$C454,$D:$D,"기준(후)",$L:$L,"&gt;0")&lt;&gt;1,"",SUMIFS($L:$L,$C:$C,$C454,$D:$D,"기준(후)"))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IF(OR($D453&lt;&gt;"측정",$C453&lt;&gt;$C454,NOT(ISNUMBER(L454)),NOT(ISNUMBER(L453)),(IF(ISNUMBER(F454),F454,E454)-IF(ISNUMBER(F453),F453,E453))=0),"",(L454-L453)/((IF(ISNUMBER(F454),F454,E454)-IF(ISNUMBER(F453),F453,E453))/100))</f>
        <v/>
      </c>
      <c r="U454" s="28" t="n"/>
      <c r="V454" s="28" t="n"/>
      <c r="W454" s="31" t="n"/>
    </row>
    <row r="455">
      <c r="A455" s="25" t="inlineStr">
        <is>
          <t>S38</t>
        </is>
      </c>
      <c r="B455" s="25" t="inlineStr">
        <is>
          <t>강화</t>
        </is>
      </c>
      <c r="C455" s="25" t="inlineStr">
        <is>
          <t>S38-V</t>
        </is>
      </c>
      <c r="D455" s="25" t="inlineStr">
        <is>
          <t>측정</t>
        </is>
      </c>
      <c r="E455" s="48" t="n">
        <v>120</v>
      </c>
      <c r="F455" s="40" t="n"/>
      <c r="G455" s="28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IF(COUNTIFS($C:$C,$C455,$D:$D,"기준(전)",$L:$L,"&gt;0")&lt;&gt;1,"기준(전) 유효 1개 아님",IF(COUNTIFS($C:$C,$C455,$D:$D,"기준(후)",$L:$L,"&gt;0")&lt;&gt;1,"기준(후) 유효 1개 아님",IF(NOT(AND(ISNUMBER(N455),ISNUMBER(P455),ISNUMBER(H455))),"시각 결측",IF(P455&lt;=N455,"기준 시각 역전",IF(OR(H455&lt;N455,H455&gt;P455),"측정시각 구간 밖","OK")))))</f>
        <v/>
      </c>
      <c r="N455" s="45">
        <f>IF(COUNTIFS($C:$C,$C455,$D:$D,"기준(전)",$L:$L,"&gt;0")&lt;&gt;1,"",SUMIFS($H:$H,$C:$C,$C455,$D:$D,"기준(전)"))</f>
        <v/>
      </c>
      <c r="O455" s="30">
        <f>IF(COUNTIFS($C:$C,$C455,$D:$D,"기준(전)",$L:$L,"&gt;0")&lt;&gt;1,"",SUMIFS($L:$L,$C:$C,$C455,$D:$D,"기준(전)"))</f>
        <v/>
      </c>
      <c r="P455" s="45">
        <f>IF(COUNTIFS($C:$C,$C455,$D:$D,"기준(후)",$L:$L,"&gt;0")&lt;&gt;1,"",SUMIFS($H:$H,$C:$C,$C455,$D:$D,"기준(후)"))</f>
        <v/>
      </c>
      <c r="Q455" s="30">
        <f>IF(COUNTIFS($C:$C,$C455,$D:$D,"기준(후)",$L:$L,"&gt;0")&lt;&gt;1,"",SUMIFS($L:$L,$C:$C,$C455,$D:$D,"기준(후)"))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IF(OR($D454&lt;&gt;"측정",$C454&lt;&gt;$C455,NOT(ISNUMBER(L455)),NOT(ISNUMBER(L454)),(IF(ISNUMBER(F455),F455,E455)-IF(ISNUMBER(F454),F454,E454))=0),"",(L455-L454)/((IF(ISNUMBER(F455),F455,E455)-IF(ISNUMBER(F454),F454,E454))/100))</f>
        <v/>
      </c>
      <c r="U455" s="28" t="n"/>
      <c r="V455" s="28" t="n"/>
      <c r="W455" s="31" t="n"/>
    </row>
    <row r="456">
      <c r="A456" s="25" t="inlineStr">
        <is>
          <t>S38</t>
        </is>
      </c>
      <c r="B456" s="25" t="inlineStr">
        <is>
          <t>강화</t>
        </is>
      </c>
      <c r="C456" s="25" t="inlineStr">
        <is>
          <t>S38-V</t>
        </is>
      </c>
      <c r="D456" s="25" t="inlineStr">
        <is>
          <t>측정</t>
        </is>
      </c>
      <c r="E456" s="48" t="n">
        <v>140</v>
      </c>
      <c r="F456" s="40" t="n"/>
      <c r="G456" s="28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IF(COUNTIFS($C:$C,$C456,$D:$D,"기준(전)",$L:$L,"&gt;0")&lt;&gt;1,"기준(전) 유효 1개 아님",IF(COUNTIFS($C:$C,$C456,$D:$D,"기준(후)",$L:$L,"&gt;0")&lt;&gt;1,"기준(후) 유효 1개 아님",IF(NOT(AND(ISNUMBER(N456),ISNUMBER(P456),ISNUMBER(H456))),"시각 결측",IF(P456&lt;=N456,"기준 시각 역전",IF(OR(H456&lt;N456,H456&gt;P456),"측정시각 구간 밖","OK")))))</f>
        <v/>
      </c>
      <c r="N456" s="45">
        <f>IF(COUNTIFS($C:$C,$C456,$D:$D,"기준(전)",$L:$L,"&gt;0")&lt;&gt;1,"",SUMIFS($H:$H,$C:$C,$C456,$D:$D,"기준(전)"))</f>
        <v/>
      </c>
      <c r="O456" s="30">
        <f>IF(COUNTIFS($C:$C,$C456,$D:$D,"기준(전)",$L:$L,"&gt;0")&lt;&gt;1,"",SUMIFS($L:$L,$C:$C,$C456,$D:$D,"기준(전)"))</f>
        <v/>
      </c>
      <c r="P456" s="45">
        <f>IF(COUNTIFS($C:$C,$C456,$D:$D,"기준(후)",$L:$L,"&gt;0")&lt;&gt;1,"",SUMIFS($H:$H,$C:$C,$C456,$D:$D,"기준(후)"))</f>
        <v/>
      </c>
      <c r="Q456" s="30">
        <f>IF(COUNTIFS($C:$C,$C456,$D:$D,"기준(후)",$L:$L,"&gt;0")&lt;&gt;1,"",SUMIFS($L:$L,$C:$C,$C456,$D:$D,"기준(후)"))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IF(OR($D455&lt;&gt;"측정",$C455&lt;&gt;$C456,NOT(ISNUMBER(L456)),NOT(ISNUMBER(L455)),(IF(ISNUMBER(F456),F456,E456)-IF(ISNUMBER(F455),F455,E455))=0),"",(L456-L455)/((IF(ISNUMBER(F456),F456,E456)-IF(ISNUMBER(F455),F455,E455))/100))</f>
        <v/>
      </c>
      <c r="U456" s="28" t="n"/>
      <c r="V456" s="28" t="n"/>
      <c r="W456" s="31" t="n"/>
    </row>
    <row r="457">
      <c r="A457" s="25" t="inlineStr">
        <is>
          <t>S38</t>
        </is>
      </c>
      <c r="B457" s="25" t="inlineStr">
        <is>
          <t>강화</t>
        </is>
      </c>
      <c r="C457" s="25" t="inlineStr">
        <is>
          <t>S38-V</t>
        </is>
      </c>
      <c r="D457" s="25" t="inlineStr">
        <is>
          <t>측정</t>
        </is>
      </c>
      <c r="E457" s="48" t="n">
        <v>160</v>
      </c>
      <c r="F457" s="40" t="n"/>
      <c r="G457" s="28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IF(COUNTIFS($C:$C,$C457,$D:$D,"기준(전)",$L:$L,"&gt;0")&lt;&gt;1,"기준(전) 유효 1개 아님",IF(COUNTIFS($C:$C,$C457,$D:$D,"기준(후)",$L:$L,"&gt;0")&lt;&gt;1,"기준(후) 유효 1개 아님",IF(NOT(AND(ISNUMBER(N457),ISNUMBER(P457),ISNUMBER(H457))),"시각 결측",IF(P457&lt;=N457,"기준 시각 역전",IF(OR(H457&lt;N457,H457&gt;P457),"측정시각 구간 밖","OK")))))</f>
        <v/>
      </c>
      <c r="N457" s="45">
        <f>IF(COUNTIFS($C:$C,$C457,$D:$D,"기준(전)",$L:$L,"&gt;0")&lt;&gt;1,"",SUMIFS($H:$H,$C:$C,$C457,$D:$D,"기준(전)"))</f>
        <v/>
      </c>
      <c r="O457" s="30">
        <f>IF(COUNTIFS($C:$C,$C457,$D:$D,"기준(전)",$L:$L,"&gt;0")&lt;&gt;1,"",SUMIFS($L:$L,$C:$C,$C457,$D:$D,"기준(전)"))</f>
        <v/>
      </c>
      <c r="P457" s="45">
        <f>IF(COUNTIFS($C:$C,$C457,$D:$D,"기준(후)",$L:$L,"&gt;0")&lt;&gt;1,"",SUMIFS($H:$H,$C:$C,$C457,$D:$D,"기준(후)"))</f>
        <v/>
      </c>
      <c r="Q457" s="30">
        <f>IF(COUNTIFS($C:$C,$C457,$D:$D,"기준(후)",$L:$L,"&gt;0")&lt;&gt;1,"",SUMIFS($L:$L,$C:$C,$C457,$D:$D,"기준(후)"))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IF(OR($D456&lt;&gt;"측정",$C456&lt;&gt;$C457,NOT(ISNUMBER(L457)),NOT(ISNUMBER(L456)),(IF(ISNUMBER(F457),F457,E457)-IF(ISNUMBER(F456),F456,E456))=0),"",(L457-L456)/((IF(ISNUMBER(F457),F457,E457)-IF(ISNUMBER(F456),F456,E456))/100))</f>
        <v/>
      </c>
      <c r="U457" s="28" t="n"/>
      <c r="V457" s="28" t="n"/>
      <c r="W457" s="31" t="n"/>
    </row>
    <row r="458">
      <c r="A458" s="25" t="inlineStr">
        <is>
          <t>S38</t>
        </is>
      </c>
      <c r="B458" s="25" t="inlineStr">
        <is>
          <t>강화</t>
        </is>
      </c>
      <c r="C458" s="25" t="inlineStr">
        <is>
          <t>S38-V</t>
        </is>
      </c>
      <c r="D458" s="25" t="inlineStr">
        <is>
          <t>측정</t>
        </is>
      </c>
      <c r="E458" s="48" t="n">
        <v>180</v>
      </c>
      <c r="F458" s="40" t="n"/>
      <c r="G458" s="28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IF(COUNTIFS($C:$C,$C458,$D:$D,"기준(전)",$L:$L,"&gt;0")&lt;&gt;1,"기준(전) 유효 1개 아님",IF(COUNTIFS($C:$C,$C458,$D:$D,"기준(후)",$L:$L,"&gt;0")&lt;&gt;1,"기준(후) 유효 1개 아님",IF(NOT(AND(ISNUMBER(N458),ISNUMBER(P458),ISNUMBER(H458))),"시각 결측",IF(P458&lt;=N458,"기준 시각 역전",IF(OR(H458&lt;N458,H458&gt;P458),"측정시각 구간 밖","OK")))))</f>
        <v/>
      </c>
      <c r="N458" s="45">
        <f>IF(COUNTIFS($C:$C,$C458,$D:$D,"기준(전)",$L:$L,"&gt;0")&lt;&gt;1,"",SUMIFS($H:$H,$C:$C,$C458,$D:$D,"기준(전)"))</f>
        <v/>
      </c>
      <c r="O458" s="30">
        <f>IF(COUNTIFS($C:$C,$C458,$D:$D,"기준(전)",$L:$L,"&gt;0")&lt;&gt;1,"",SUMIFS($L:$L,$C:$C,$C458,$D:$D,"기준(전)"))</f>
        <v/>
      </c>
      <c r="P458" s="45">
        <f>IF(COUNTIFS($C:$C,$C458,$D:$D,"기준(후)",$L:$L,"&gt;0")&lt;&gt;1,"",SUMIFS($H:$H,$C:$C,$C458,$D:$D,"기준(후)"))</f>
        <v/>
      </c>
      <c r="Q458" s="30">
        <f>IF(COUNTIFS($C:$C,$C458,$D:$D,"기준(후)",$L:$L,"&gt;0")&lt;&gt;1,"",SUMIFS($L:$L,$C:$C,$C458,$D:$D,"기준(후)"))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IF(OR($D457&lt;&gt;"측정",$C457&lt;&gt;$C458,NOT(ISNUMBER(L458)),NOT(ISNUMBER(L457)),(IF(ISNUMBER(F458),F458,E458)-IF(ISNUMBER(F457),F457,E457))=0),"",(L458-L457)/((IF(ISNUMBER(F458),F458,E458)-IF(ISNUMBER(F457),F457,E457))/100))</f>
        <v/>
      </c>
      <c r="U458" s="28" t="n"/>
      <c r="V458" s="28" t="n"/>
      <c r="W458" s="31" t="n"/>
    </row>
    <row r="459">
      <c r="A459" s="25" t="inlineStr">
        <is>
          <t>S38</t>
        </is>
      </c>
      <c r="B459" s="25" t="inlineStr">
        <is>
          <t>강화</t>
        </is>
      </c>
      <c r="C459" s="25" t="inlineStr">
        <is>
          <t>S38-V</t>
        </is>
      </c>
      <c r="D459" s="25" t="inlineStr">
        <is>
          <t>측정</t>
        </is>
      </c>
      <c r="E459" s="48" t="n">
        <v>200</v>
      </c>
      <c r="F459" s="40" t="n"/>
      <c r="G459" s="28" t="n"/>
      <c r="H459" s="42" t="n"/>
      <c r="I459" s="40" t="n"/>
      <c r="J459" s="40" t="n"/>
      <c r="K459" s="40" t="n"/>
      <c r="L459" s="30">
        <f>IF(COUNT(I459:K459)=0,"",MEDIAN(I459:K459))</f>
        <v/>
      </c>
      <c r="M459" s="25">
        <f>IF(COUNTIFS($C:$C,$C459,$D:$D,"기준(전)",$L:$L,"&gt;0")&lt;&gt;1,"기준(전) 유효 1개 아님",IF(COUNTIFS($C:$C,$C459,$D:$D,"기준(후)",$L:$L,"&gt;0")&lt;&gt;1,"기준(후) 유효 1개 아님",IF(NOT(AND(ISNUMBER(N459),ISNUMBER(P459),ISNUMBER(H459))),"시각 결측",IF(P459&lt;=N459,"기준 시각 역전",IF(OR(H459&lt;N459,H459&gt;P459),"측정시각 구간 밖","OK")))))</f>
        <v/>
      </c>
      <c r="N459" s="45">
        <f>IF(COUNTIFS($C:$C,$C459,$D:$D,"기준(전)",$L:$L,"&gt;0")&lt;&gt;1,"",SUMIFS($H:$H,$C:$C,$C459,$D:$D,"기준(전)"))</f>
        <v/>
      </c>
      <c r="O459" s="30">
        <f>IF(COUNTIFS($C:$C,$C459,$D:$D,"기준(전)",$L:$L,"&gt;0")&lt;&gt;1,"",SUMIFS($L:$L,$C:$C,$C459,$D:$D,"기준(전)"))</f>
        <v/>
      </c>
      <c r="P459" s="45">
        <f>IF(COUNTIFS($C:$C,$C459,$D:$D,"기준(후)",$L:$L,"&gt;0")&lt;&gt;1,"",SUMIFS($H:$H,$C:$C,$C459,$D:$D,"기준(후)"))</f>
        <v/>
      </c>
      <c r="Q459" s="30">
        <f>IF(COUNTIFS($C:$C,$C459,$D:$D,"기준(후)",$L:$L,"&gt;0")&lt;&gt;1,"",SUMIFS($L:$L,$C:$C,$C459,$D:$D,"기준(후)"))</f>
        <v/>
      </c>
      <c r="R459" s="30">
        <f>IF(M459&lt;&gt;"OK","",O459+(Q459-O459)*(H459-N459)/(P459-N459))</f>
        <v/>
      </c>
      <c r="S459" s="30">
        <f>IF(OR(M459&lt;&gt;"OK",NOT(ISNUMBER(L459))),"",L459-R459)</f>
        <v/>
      </c>
      <c r="T459" s="46">
        <f>IF(OR($D458&lt;&gt;"측정",$C458&lt;&gt;$C459,NOT(ISNUMBER(L459)),NOT(ISNUMBER(L458)),(IF(ISNUMBER(F459),F459,E459)-IF(ISNUMBER(F458),F458,E458))=0),"",(L459-L458)/((IF(ISNUMBER(F459),F459,E459)-IF(ISNUMBER(F458),F458,E458))/100))</f>
        <v/>
      </c>
      <c r="U459" s="28" t="n"/>
      <c r="V459" s="28" t="n"/>
      <c r="W459" s="31" t="n"/>
    </row>
    <row r="460">
      <c r="A460" s="43" t="inlineStr">
        <is>
          <t>S38</t>
        </is>
      </c>
      <c r="B460" s="43" t="inlineStr">
        <is>
          <t>강화</t>
        </is>
      </c>
      <c r="C460" s="43" t="inlineStr">
        <is>
          <t>S38-V</t>
        </is>
      </c>
      <c r="D460" s="43" t="inlineStr">
        <is>
          <t>기준(후)</t>
        </is>
      </c>
      <c r="E460" s="47" t="n"/>
      <c r="F460" s="40" t="n"/>
      <c r="G460" s="28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28" t="n"/>
      <c r="V460" s="28" t="n"/>
      <c r="W460" s="31" t="n"/>
    </row>
    <row r="461">
      <c r="A461" s="43" t="inlineStr">
        <is>
          <t>S39</t>
        </is>
      </c>
      <c r="B461" s="43" t="inlineStr">
        <is>
          <t>언양</t>
        </is>
      </c>
      <c r="C461" s="43" t="inlineStr">
        <is>
          <t>S39-V</t>
        </is>
      </c>
      <c r="D461" s="43" t="inlineStr">
        <is>
          <t>기준(전)</t>
        </is>
      </c>
      <c r="E461" s="47" t="n"/>
      <c r="F461" s="40" t="n"/>
      <c r="G461" s="28" t="n"/>
      <c r="H461" s="42" t="n"/>
      <c r="I461" s="40" t="n"/>
      <c r="J461" s="40" t="n"/>
      <c r="K461" s="40" t="n"/>
      <c r="L461" s="30">
        <f>IF(COUNT(I461:K461)=0,"",MEDIAN(I461:K461))</f>
        <v/>
      </c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28" t="n"/>
      <c r="V461" s="28" t="n"/>
      <c r="W461" s="31" t="n"/>
    </row>
    <row r="462">
      <c r="A462" s="25" t="inlineStr">
        <is>
          <t>S39</t>
        </is>
      </c>
      <c r="B462" s="25" t="inlineStr">
        <is>
          <t>언양</t>
        </is>
      </c>
      <c r="C462" s="25" t="inlineStr">
        <is>
          <t>S39-V</t>
        </is>
      </c>
      <c r="D462" s="25" t="inlineStr">
        <is>
          <t>측정</t>
        </is>
      </c>
      <c r="E462" s="48" t="n">
        <v>20</v>
      </c>
      <c r="F462" s="40" t="n"/>
      <c r="G462" s="28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IF(COUNTIFS($C:$C,$C462,$D:$D,"기준(전)",$L:$L,"&gt;0")&lt;&gt;1,"기준(전) 유효 1개 아님",IF(COUNTIFS($C:$C,$C462,$D:$D,"기준(후)",$L:$L,"&gt;0")&lt;&gt;1,"기준(후) 유효 1개 아님",IF(NOT(AND(ISNUMBER(N462),ISNUMBER(P462),ISNUMBER(H462))),"시각 결측",IF(P462&lt;=N462,"기준 시각 역전",IF(OR(H462&lt;N462,H462&gt;P462),"측정시각 구간 밖","OK")))))</f>
        <v/>
      </c>
      <c r="N462" s="45">
        <f>IF(COUNTIFS($C:$C,$C462,$D:$D,"기준(전)",$L:$L,"&gt;0")&lt;&gt;1,"",SUMIFS($H:$H,$C:$C,$C462,$D:$D,"기준(전)"))</f>
        <v/>
      </c>
      <c r="O462" s="30">
        <f>IF(COUNTIFS($C:$C,$C462,$D:$D,"기준(전)",$L:$L,"&gt;0")&lt;&gt;1,"",SUMIFS($L:$L,$C:$C,$C462,$D:$D,"기준(전)"))</f>
        <v/>
      </c>
      <c r="P462" s="45">
        <f>IF(COUNTIFS($C:$C,$C462,$D:$D,"기준(후)",$L:$L,"&gt;0")&lt;&gt;1,"",SUMIFS($H:$H,$C:$C,$C462,$D:$D,"기준(후)"))</f>
        <v/>
      </c>
      <c r="Q462" s="30">
        <f>IF(COUNTIFS($C:$C,$C462,$D:$D,"기준(후)",$L:$L,"&gt;0")&lt;&gt;1,"",SUMIFS($L:$L,$C:$C,$C462,$D:$D,"기준(후)"))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IF(OR($D461&lt;&gt;"측정",$C461&lt;&gt;$C462,NOT(ISNUMBER(L462)),NOT(ISNUMBER(L461)),(IF(ISNUMBER(F462),F462,E462)-IF(ISNUMBER(F461),F461,E461))=0),"",(L462-L461)/((IF(ISNUMBER(F462),F462,E462)-IF(ISNUMBER(F461),F461,E461))/100))</f>
        <v/>
      </c>
      <c r="U462" s="28" t="n"/>
      <c r="V462" s="28" t="n"/>
      <c r="W462" s="31" t="n"/>
    </row>
    <row r="463">
      <c r="A463" s="25" t="inlineStr">
        <is>
          <t>S39</t>
        </is>
      </c>
      <c r="B463" s="25" t="inlineStr">
        <is>
          <t>언양</t>
        </is>
      </c>
      <c r="C463" s="25" t="inlineStr">
        <is>
          <t>S39-V</t>
        </is>
      </c>
      <c r="D463" s="25" t="inlineStr">
        <is>
          <t>측정</t>
        </is>
      </c>
      <c r="E463" s="48" t="n">
        <v>40</v>
      </c>
      <c r="F463" s="40" t="n"/>
      <c r="G463" s="28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IF(COUNTIFS($C:$C,$C463,$D:$D,"기준(전)",$L:$L,"&gt;0")&lt;&gt;1,"기준(전) 유효 1개 아님",IF(COUNTIFS($C:$C,$C463,$D:$D,"기준(후)",$L:$L,"&gt;0")&lt;&gt;1,"기준(후) 유효 1개 아님",IF(NOT(AND(ISNUMBER(N463),ISNUMBER(P463),ISNUMBER(H463))),"시각 결측",IF(P463&lt;=N463,"기준 시각 역전",IF(OR(H463&lt;N463,H463&gt;P463),"측정시각 구간 밖","OK")))))</f>
        <v/>
      </c>
      <c r="N463" s="45">
        <f>IF(COUNTIFS($C:$C,$C463,$D:$D,"기준(전)",$L:$L,"&gt;0")&lt;&gt;1,"",SUMIFS($H:$H,$C:$C,$C463,$D:$D,"기준(전)"))</f>
        <v/>
      </c>
      <c r="O463" s="30">
        <f>IF(COUNTIFS($C:$C,$C463,$D:$D,"기준(전)",$L:$L,"&gt;0")&lt;&gt;1,"",SUMIFS($L:$L,$C:$C,$C463,$D:$D,"기준(전)"))</f>
        <v/>
      </c>
      <c r="P463" s="45">
        <f>IF(COUNTIFS($C:$C,$C463,$D:$D,"기준(후)",$L:$L,"&gt;0")&lt;&gt;1,"",SUMIFS($H:$H,$C:$C,$C463,$D:$D,"기준(후)"))</f>
        <v/>
      </c>
      <c r="Q463" s="30">
        <f>IF(COUNTIFS($C:$C,$C463,$D:$D,"기준(후)",$L:$L,"&gt;0")&lt;&gt;1,"",SUMIFS($L:$L,$C:$C,$C463,$D:$D,"기준(후)"))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IF(OR($D462&lt;&gt;"측정",$C462&lt;&gt;$C463,NOT(ISNUMBER(L463)),NOT(ISNUMBER(L462)),(IF(ISNUMBER(F463),F463,E463)-IF(ISNUMBER(F462),F462,E462))=0),"",(L463-L462)/((IF(ISNUMBER(F463),F463,E463)-IF(ISNUMBER(F462),F462,E462))/100))</f>
        <v/>
      </c>
      <c r="U463" s="28" t="n"/>
      <c r="V463" s="28" t="n"/>
      <c r="W463" s="31" t="n"/>
    </row>
    <row r="464">
      <c r="A464" s="25" t="inlineStr">
        <is>
          <t>S39</t>
        </is>
      </c>
      <c r="B464" s="25" t="inlineStr">
        <is>
          <t>언양</t>
        </is>
      </c>
      <c r="C464" s="25" t="inlineStr">
        <is>
          <t>S39-V</t>
        </is>
      </c>
      <c r="D464" s="25" t="inlineStr">
        <is>
          <t>측정</t>
        </is>
      </c>
      <c r="E464" s="48" t="n">
        <v>60</v>
      </c>
      <c r="F464" s="40" t="n"/>
      <c r="G464" s="28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IF(COUNTIFS($C:$C,$C464,$D:$D,"기준(전)",$L:$L,"&gt;0")&lt;&gt;1,"기준(전) 유효 1개 아님",IF(COUNTIFS($C:$C,$C464,$D:$D,"기준(후)",$L:$L,"&gt;0")&lt;&gt;1,"기준(후) 유효 1개 아님",IF(NOT(AND(ISNUMBER(N464),ISNUMBER(P464),ISNUMBER(H464))),"시각 결측",IF(P464&lt;=N464,"기준 시각 역전",IF(OR(H464&lt;N464,H464&gt;P464),"측정시각 구간 밖","OK")))))</f>
        <v/>
      </c>
      <c r="N464" s="45">
        <f>IF(COUNTIFS($C:$C,$C464,$D:$D,"기준(전)",$L:$L,"&gt;0")&lt;&gt;1,"",SUMIFS($H:$H,$C:$C,$C464,$D:$D,"기준(전)"))</f>
        <v/>
      </c>
      <c r="O464" s="30">
        <f>IF(COUNTIFS($C:$C,$C464,$D:$D,"기준(전)",$L:$L,"&gt;0")&lt;&gt;1,"",SUMIFS($L:$L,$C:$C,$C464,$D:$D,"기준(전)"))</f>
        <v/>
      </c>
      <c r="P464" s="45">
        <f>IF(COUNTIFS($C:$C,$C464,$D:$D,"기준(후)",$L:$L,"&gt;0")&lt;&gt;1,"",SUMIFS($H:$H,$C:$C,$C464,$D:$D,"기준(후)"))</f>
        <v/>
      </c>
      <c r="Q464" s="30">
        <f>IF(COUNTIFS($C:$C,$C464,$D:$D,"기준(후)",$L:$L,"&gt;0")&lt;&gt;1,"",SUMIFS($L:$L,$C:$C,$C464,$D:$D,"기준(후)"))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IF(OR($D463&lt;&gt;"측정",$C463&lt;&gt;$C464,NOT(ISNUMBER(L464)),NOT(ISNUMBER(L463)),(IF(ISNUMBER(F464),F464,E464)-IF(ISNUMBER(F463),F463,E463))=0),"",(L464-L463)/((IF(ISNUMBER(F464),F464,E464)-IF(ISNUMBER(F463),F463,E463))/100))</f>
        <v/>
      </c>
      <c r="U464" s="28" t="n"/>
      <c r="V464" s="28" t="n"/>
      <c r="W464" s="31" t="n"/>
    </row>
    <row r="465">
      <c r="A465" s="25" t="inlineStr">
        <is>
          <t>S39</t>
        </is>
      </c>
      <c r="B465" s="25" t="inlineStr">
        <is>
          <t>언양</t>
        </is>
      </c>
      <c r="C465" s="25" t="inlineStr">
        <is>
          <t>S39-V</t>
        </is>
      </c>
      <c r="D465" s="25" t="inlineStr">
        <is>
          <t>측정</t>
        </is>
      </c>
      <c r="E465" s="48" t="n">
        <v>80</v>
      </c>
      <c r="F465" s="40" t="n"/>
      <c r="G465" s="28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IF(COUNTIFS($C:$C,$C465,$D:$D,"기준(전)",$L:$L,"&gt;0")&lt;&gt;1,"기준(전) 유효 1개 아님",IF(COUNTIFS($C:$C,$C465,$D:$D,"기준(후)",$L:$L,"&gt;0")&lt;&gt;1,"기준(후) 유효 1개 아님",IF(NOT(AND(ISNUMBER(N465),ISNUMBER(P465),ISNUMBER(H465))),"시각 결측",IF(P465&lt;=N465,"기준 시각 역전",IF(OR(H465&lt;N465,H465&gt;P465),"측정시각 구간 밖","OK")))))</f>
        <v/>
      </c>
      <c r="N465" s="45">
        <f>IF(COUNTIFS($C:$C,$C465,$D:$D,"기준(전)",$L:$L,"&gt;0")&lt;&gt;1,"",SUMIFS($H:$H,$C:$C,$C465,$D:$D,"기준(전)"))</f>
        <v/>
      </c>
      <c r="O465" s="30">
        <f>IF(COUNTIFS($C:$C,$C465,$D:$D,"기준(전)",$L:$L,"&gt;0")&lt;&gt;1,"",SUMIFS($L:$L,$C:$C,$C465,$D:$D,"기준(전)"))</f>
        <v/>
      </c>
      <c r="P465" s="45">
        <f>IF(COUNTIFS($C:$C,$C465,$D:$D,"기준(후)",$L:$L,"&gt;0")&lt;&gt;1,"",SUMIFS($H:$H,$C:$C,$C465,$D:$D,"기준(후)"))</f>
        <v/>
      </c>
      <c r="Q465" s="30">
        <f>IF(COUNTIFS($C:$C,$C465,$D:$D,"기준(후)",$L:$L,"&gt;0")&lt;&gt;1,"",SUMIFS($L:$L,$C:$C,$C465,$D:$D,"기준(후)"))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IF(OR($D464&lt;&gt;"측정",$C464&lt;&gt;$C465,NOT(ISNUMBER(L465)),NOT(ISNUMBER(L464)),(IF(ISNUMBER(F465),F465,E465)-IF(ISNUMBER(F464),F464,E464))=0),"",(L465-L464)/((IF(ISNUMBER(F465),F465,E465)-IF(ISNUMBER(F464),F464,E464))/100))</f>
        <v/>
      </c>
      <c r="U465" s="28" t="n"/>
      <c r="V465" s="28" t="n"/>
      <c r="W465" s="31" t="n"/>
    </row>
    <row r="466">
      <c r="A466" s="25" t="inlineStr">
        <is>
          <t>S39</t>
        </is>
      </c>
      <c r="B466" s="25" t="inlineStr">
        <is>
          <t>언양</t>
        </is>
      </c>
      <c r="C466" s="25" t="inlineStr">
        <is>
          <t>S39-V</t>
        </is>
      </c>
      <c r="D466" s="25" t="inlineStr">
        <is>
          <t>측정</t>
        </is>
      </c>
      <c r="E466" s="48" t="n">
        <v>100</v>
      </c>
      <c r="F466" s="40" t="n"/>
      <c r="G466" s="28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IF(COUNTIFS($C:$C,$C466,$D:$D,"기준(전)",$L:$L,"&gt;0")&lt;&gt;1,"기준(전) 유효 1개 아님",IF(COUNTIFS($C:$C,$C466,$D:$D,"기준(후)",$L:$L,"&gt;0")&lt;&gt;1,"기준(후) 유효 1개 아님",IF(NOT(AND(ISNUMBER(N466),ISNUMBER(P466),ISNUMBER(H466))),"시각 결측",IF(P466&lt;=N466,"기준 시각 역전",IF(OR(H466&lt;N466,H466&gt;P466),"측정시각 구간 밖","OK")))))</f>
        <v/>
      </c>
      <c r="N466" s="45">
        <f>IF(COUNTIFS($C:$C,$C466,$D:$D,"기준(전)",$L:$L,"&gt;0")&lt;&gt;1,"",SUMIFS($H:$H,$C:$C,$C466,$D:$D,"기준(전)"))</f>
        <v/>
      </c>
      <c r="O466" s="30">
        <f>IF(COUNTIFS($C:$C,$C466,$D:$D,"기준(전)",$L:$L,"&gt;0")&lt;&gt;1,"",SUMIFS($L:$L,$C:$C,$C466,$D:$D,"기준(전)"))</f>
        <v/>
      </c>
      <c r="P466" s="45">
        <f>IF(COUNTIFS($C:$C,$C466,$D:$D,"기준(후)",$L:$L,"&gt;0")&lt;&gt;1,"",SUMIFS($H:$H,$C:$C,$C466,$D:$D,"기준(후)"))</f>
        <v/>
      </c>
      <c r="Q466" s="30">
        <f>IF(COUNTIFS($C:$C,$C466,$D:$D,"기준(후)",$L:$L,"&gt;0")&lt;&gt;1,"",SUMIFS($L:$L,$C:$C,$C466,$D:$D,"기준(후)"))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IF(OR($D465&lt;&gt;"측정",$C465&lt;&gt;$C466,NOT(ISNUMBER(L466)),NOT(ISNUMBER(L465)),(IF(ISNUMBER(F466),F466,E466)-IF(ISNUMBER(F465),F465,E465))=0),"",(L466-L465)/((IF(ISNUMBER(F466),F466,E466)-IF(ISNUMBER(F465),F465,E465))/100))</f>
        <v/>
      </c>
      <c r="U466" s="28" t="n"/>
      <c r="V466" s="28" t="n"/>
      <c r="W466" s="31" t="n"/>
    </row>
    <row r="467">
      <c r="A467" s="25" t="inlineStr">
        <is>
          <t>S39</t>
        </is>
      </c>
      <c r="B467" s="25" t="inlineStr">
        <is>
          <t>언양</t>
        </is>
      </c>
      <c r="C467" s="25" t="inlineStr">
        <is>
          <t>S39-V</t>
        </is>
      </c>
      <c r="D467" s="25" t="inlineStr">
        <is>
          <t>측정</t>
        </is>
      </c>
      <c r="E467" s="48" t="n">
        <v>120</v>
      </c>
      <c r="F467" s="40" t="n"/>
      <c r="G467" s="28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IF(COUNTIFS($C:$C,$C467,$D:$D,"기준(전)",$L:$L,"&gt;0")&lt;&gt;1,"기준(전) 유효 1개 아님",IF(COUNTIFS($C:$C,$C467,$D:$D,"기준(후)",$L:$L,"&gt;0")&lt;&gt;1,"기준(후) 유효 1개 아님",IF(NOT(AND(ISNUMBER(N467),ISNUMBER(P467),ISNUMBER(H467))),"시각 결측",IF(P467&lt;=N467,"기준 시각 역전",IF(OR(H467&lt;N467,H467&gt;P467),"측정시각 구간 밖","OK")))))</f>
        <v/>
      </c>
      <c r="N467" s="45">
        <f>IF(COUNTIFS($C:$C,$C467,$D:$D,"기준(전)",$L:$L,"&gt;0")&lt;&gt;1,"",SUMIFS($H:$H,$C:$C,$C467,$D:$D,"기준(전)"))</f>
        <v/>
      </c>
      <c r="O467" s="30">
        <f>IF(COUNTIFS($C:$C,$C467,$D:$D,"기준(전)",$L:$L,"&gt;0")&lt;&gt;1,"",SUMIFS($L:$L,$C:$C,$C467,$D:$D,"기준(전)"))</f>
        <v/>
      </c>
      <c r="P467" s="45">
        <f>IF(COUNTIFS($C:$C,$C467,$D:$D,"기준(후)",$L:$L,"&gt;0")&lt;&gt;1,"",SUMIFS($H:$H,$C:$C,$C467,$D:$D,"기준(후)"))</f>
        <v/>
      </c>
      <c r="Q467" s="30">
        <f>IF(COUNTIFS($C:$C,$C467,$D:$D,"기준(후)",$L:$L,"&gt;0")&lt;&gt;1,"",SUMIFS($L:$L,$C:$C,$C467,$D:$D,"기준(후)"))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IF(OR($D466&lt;&gt;"측정",$C466&lt;&gt;$C467,NOT(ISNUMBER(L467)),NOT(ISNUMBER(L466)),(IF(ISNUMBER(F467),F467,E467)-IF(ISNUMBER(F466),F466,E466))=0),"",(L467-L466)/((IF(ISNUMBER(F467),F467,E467)-IF(ISNUMBER(F466),F466,E466))/100))</f>
        <v/>
      </c>
      <c r="U467" s="28" t="n"/>
      <c r="V467" s="28" t="n"/>
      <c r="W467" s="31" t="n"/>
    </row>
    <row r="468">
      <c r="A468" s="25" t="inlineStr">
        <is>
          <t>S39</t>
        </is>
      </c>
      <c r="B468" s="25" t="inlineStr">
        <is>
          <t>언양</t>
        </is>
      </c>
      <c r="C468" s="25" t="inlineStr">
        <is>
          <t>S39-V</t>
        </is>
      </c>
      <c r="D468" s="25" t="inlineStr">
        <is>
          <t>측정</t>
        </is>
      </c>
      <c r="E468" s="48" t="n">
        <v>140</v>
      </c>
      <c r="F468" s="40" t="n"/>
      <c r="G468" s="28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IF(COUNTIFS($C:$C,$C468,$D:$D,"기준(전)",$L:$L,"&gt;0")&lt;&gt;1,"기준(전) 유효 1개 아님",IF(COUNTIFS($C:$C,$C468,$D:$D,"기준(후)",$L:$L,"&gt;0")&lt;&gt;1,"기준(후) 유효 1개 아님",IF(NOT(AND(ISNUMBER(N468),ISNUMBER(P468),ISNUMBER(H468))),"시각 결측",IF(P468&lt;=N468,"기준 시각 역전",IF(OR(H468&lt;N468,H468&gt;P468),"측정시각 구간 밖","OK")))))</f>
        <v/>
      </c>
      <c r="N468" s="45">
        <f>IF(COUNTIFS($C:$C,$C468,$D:$D,"기준(전)",$L:$L,"&gt;0")&lt;&gt;1,"",SUMIFS($H:$H,$C:$C,$C468,$D:$D,"기준(전)"))</f>
        <v/>
      </c>
      <c r="O468" s="30">
        <f>IF(COUNTIFS($C:$C,$C468,$D:$D,"기준(전)",$L:$L,"&gt;0")&lt;&gt;1,"",SUMIFS($L:$L,$C:$C,$C468,$D:$D,"기준(전)"))</f>
        <v/>
      </c>
      <c r="P468" s="45">
        <f>IF(COUNTIFS($C:$C,$C468,$D:$D,"기준(후)",$L:$L,"&gt;0")&lt;&gt;1,"",SUMIFS($H:$H,$C:$C,$C468,$D:$D,"기준(후)"))</f>
        <v/>
      </c>
      <c r="Q468" s="30">
        <f>IF(COUNTIFS($C:$C,$C468,$D:$D,"기준(후)",$L:$L,"&gt;0")&lt;&gt;1,"",SUMIFS($L:$L,$C:$C,$C468,$D:$D,"기준(후)"))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IF(OR($D467&lt;&gt;"측정",$C467&lt;&gt;$C468,NOT(ISNUMBER(L468)),NOT(ISNUMBER(L467)),(IF(ISNUMBER(F468),F468,E468)-IF(ISNUMBER(F467),F467,E467))=0),"",(L468-L467)/((IF(ISNUMBER(F468),F468,E468)-IF(ISNUMBER(F467),F467,E467))/100))</f>
        <v/>
      </c>
      <c r="U468" s="28" t="n"/>
      <c r="V468" s="28" t="n"/>
      <c r="W468" s="31" t="n"/>
    </row>
    <row r="469">
      <c r="A469" s="25" t="inlineStr">
        <is>
          <t>S39</t>
        </is>
      </c>
      <c r="B469" s="25" t="inlineStr">
        <is>
          <t>언양</t>
        </is>
      </c>
      <c r="C469" s="25" t="inlineStr">
        <is>
          <t>S39-V</t>
        </is>
      </c>
      <c r="D469" s="25" t="inlineStr">
        <is>
          <t>측정</t>
        </is>
      </c>
      <c r="E469" s="48" t="n">
        <v>160</v>
      </c>
      <c r="F469" s="40" t="n"/>
      <c r="G469" s="28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IF(COUNTIFS($C:$C,$C469,$D:$D,"기준(전)",$L:$L,"&gt;0")&lt;&gt;1,"기준(전) 유효 1개 아님",IF(COUNTIFS($C:$C,$C469,$D:$D,"기준(후)",$L:$L,"&gt;0")&lt;&gt;1,"기준(후) 유효 1개 아님",IF(NOT(AND(ISNUMBER(N469),ISNUMBER(P469),ISNUMBER(H469))),"시각 결측",IF(P469&lt;=N469,"기준 시각 역전",IF(OR(H469&lt;N469,H469&gt;P469),"측정시각 구간 밖","OK")))))</f>
        <v/>
      </c>
      <c r="N469" s="45">
        <f>IF(COUNTIFS($C:$C,$C469,$D:$D,"기준(전)",$L:$L,"&gt;0")&lt;&gt;1,"",SUMIFS($H:$H,$C:$C,$C469,$D:$D,"기준(전)"))</f>
        <v/>
      </c>
      <c r="O469" s="30">
        <f>IF(COUNTIFS($C:$C,$C469,$D:$D,"기준(전)",$L:$L,"&gt;0")&lt;&gt;1,"",SUMIFS($L:$L,$C:$C,$C469,$D:$D,"기준(전)"))</f>
        <v/>
      </c>
      <c r="P469" s="45">
        <f>IF(COUNTIFS($C:$C,$C469,$D:$D,"기준(후)",$L:$L,"&gt;0")&lt;&gt;1,"",SUMIFS($H:$H,$C:$C,$C469,$D:$D,"기준(후)"))</f>
        <v/>
      </c>
      <c r="Q469" s="30">
        <f>IF(COUNTIFS($C:$C,$C469,$D:$D,"기준(후)",$L:$L,"&gt;0")&lt;&gt;1,"",SUMIFS($L:$L,$C:$C,$C469,$D:$D,"기준(후)"))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IF(OR($D468&lt;&gt;"측정",$C468&lt;&gt;$C469,NOT(ISNUMBER(L469)),NOT(ISNUMBER(L468)),(IF(ISNUMBER(F469),F469,E469)-IF(ISNUMBER(F468),F468,E468))=0),"",(L469-L468)/((IF(ISNUMBER(F469),F469,E469)-IF(ISNUMBER(F468),F468,E468))/100))</f>
        <v/>
      </c>
      <c r="U469" s="28" t="n"/>
      <c r="V469" s="28" t="n"/>
      <c r="W469" s="31" t="n"/>
    </row>
    <row r="470">
      <c r="A470" s="25" t="inlineStr">
        <is>
          <t>S39</t>
        </is>
      </c>
      <c r="B470" s="25" t="inlineStr">
        <is>
          <t>언양</t>
        </is>
      </c>
      <c r="C470" s="25" t="inlineStr">
        <is>
          <t>S39-V</t>
        </is>
      </c>
      <c r="D470" s="25" t="inlineStr">
        <is>
          <t>측정</t>
        </is>
      </c>
      <c r="E470" s="48" t="n">
        <v>180</v>
      </c>
      <c r="F470" s="40" t="n"/>
      <c r="G470" s="28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IF(COUNTIFS($C:$C,$C470,$D:$D,"기준(전)",$L:$L,"&gt;0")&lt;&gt;1,"기준(전) 유효 1개 아님",IF(COUNTIFS($C:$C,$C470,$D:$D,"기준(후)",$L:$L,"&gt;0")&lt;&gt;1,"기준(후) 유효 1개 아님",IF(NOT(AND(ISNUMBER(N470),ISNUMBER(P470),ISNUMBER(H470))),"시각 결측",IF(P470&lt;=N470,"기준 시각 역전",IF(OR(H470&lt;N470,H470&gt;P470),"측정시각 구간 밖","OK")))))</f>
        <v/>
      </c>
      <c r="N470" s="45">
        <f>IF(COUNTIFS($C:$C,$C470,$D:$D,"기준(전)",$L:$L,"&gt;0")&lt;&gt;1,"",SUMIFS($H:$H,$C:$C,$C470,$D:$D,"기준(전)"))</f>
        <v/>
      </c>
      <c r="O470" s="30">
        <f>IF(COUNTIFS($C:$C,$C470,$D:$D,"기준(전)",$L:$L,"&gt;0")&lt;&gt;1,"",SUMIFS($L:$L,$C:$C,$C470,$D:$D,"기준(전)"))</f>
        <v/>
      </c>
      <c r="P470" s="45">
        <f>IF(COUNTIFS($C:$C,$C470,$D:$D,"기준(후)",$L:$L,"&gt;0")&lt;&gt;1,"",SUMIFS($H:$H,$C:$C,$C470,$D:$D,"기준(후)"))</f>
        <v/>
      </c>
      <c r="Q470" s="30">
        <f>IF(COUNTIFS($C:$C,$C470,$D:$D,"기준(후)",$L:$L,"&gt;0")&lt;&gt;1,"",SUMIFS($L:$L,$C:$C,$C470,$D:$D,"기준(후)"))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IF(OR($D469&lt;&gt;"측정",$C469&lt;&gt;$C470,NOT(ISNUMBER(L470)),NOT(ISNUMBER(L469)),(IF(ISNUMBER(F470),F470,E470)-IF(ISNUMBER(F469),F469,E469))=0),"",(L470-L469)/((IF(ISNUMBER(F470),F470,E470)-IF(ISNUMBER(F469),F469,E469))/100))</f>
        <v/>
      </c>
      <c r="U470" s="28" t="n"/>
      <c r="V470" s="28" t="n"/>
      <c r="W470" s="31" t="n"/>
    </row>
    <row r="471">
      <c r="A471" s="25" t="inlineStr">
        <is>
          <t>S39</t>
        </is>
      </c>
      <c r="B471" s="25" t="inlineStr">
        <is>
          <t>언양</t>
        </is>
      </c>
      <c r="C471" s="25" t="inlineStr">
        <is>
          <t>S39-V</t>
        </is>
      </c>
      <c r="D471" s="25" t="inlineStr">
        <is>
          <t>측정</t>
        </is>
      </c>
      <c r="E471" s="48" t="n">
        <v>200</v>
      </c>
      <c r="F471" s="40" t="n"/>
      <c r="G471" s="28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IF(COUNTIFS($C:$C,$C471,$D:$D,"기준(전)",$L:$L,"&gt;0")&lt;&gt;1,"기준(전) 유효 1개 아님",IF(COUNTIFS($C:$C,$C471,$D:$D,"기준(후)",$L:$L,"&gt;0")&lt;&gt;1,"기준(후) 유효 1개 아님",IF(NOT(AND(ISNUMBER(N471),ISNUMBER(P471),ISNUMBER(H471))),"시각 결측",IF(P471&lt;=N471,"기준 시각 역전",IF(OR(H471&lt;N471,H471&gt;P471),"측정시각 구간 밖","OK")))))</f>
        <v/>
      </c>
      <c r="N471" s="45">
        <f>IF(COUNTIFS($C:$C,$C471,$D:$D,"기준(전)",$L:$L,"&gt;0")&lt;&gt;1,"",SUMIFS($H:$H,$C:$C,$C471,$D:$D,"기준(전)"))</f>
        <v/>
      </c>
      <c r="O471" s="30">
        <f>IF(COUNTIFS($C:$C,$C471,$D:$D,"기준(전)",$L:$L,"&gt;0")&lt;&gt;1,"",SUMIFS($L:$L,$C:$C,$C471,$D:$D,"기준(전)"))</f>
        <v/>
      </c>
      <c r="P471" s="45">
        <f>IF(COUNTIFS($C:$C,$C471,$D:$D,"기준(후)",$L:$L,"&gt;0")&lt;&gt;1,"",SUMIFS($H:$H,$C:$C,$C471,$D:$D,"기준(후)"))</f>
        <v/>
      </c>
      <c r="Q471" s="30">
        <f>IF(COUNTIFS($C:$C,$C471,$D:$D,"기준(후)",$L:$L,"&gt;0")&lt;&gt;1,"",SUMIFS($L:$L,$C:$C,$C471,$D:$D,"기준(후)"))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IF(OR($D470&lt;&gt;"측정",$C470&lt;&gt;$C471,NOT(ISNUMBER(L471)),NOT(ISNUMBER(L470)),(IF(ISNUMBER(F471),F471,E471)-IF(ISNUMBER(F470),F470,E470))=0),"",(L471-L470)/((IF(ISNUMBER(F471),F471,E471)-IF(ISNUMBER(F470),F470,E470))/100))</f>
        <v/>
      </c>
      <c r="U471" s="28" t="n"/>
      <c r="V471" s="28" t="n"/>
      <c r="W471" s="31" t="n"/>
    </row>
    <row r="472">
      <c r="A472" s="43" t="inlineStr">
        <is>
          <t>S39</t>
        </is>
      </c>
      <c r="B472" s="43" t="inlineStr">
        <is>
          <t>언양</t>
        </is>
      </c>
      <c r="C472" s="43" t="inlineStr">
        <is>
          <t>S39-V</t>
        </is>
      </c>
      <c r="D472" s="43" t="inlineStr">
        <is>
          <t>기준(후)</t>
        </is>
      </c>
      <c r="E472" s="47" t="n"/>
      <c r="F472" s="40" t="n"/>
      <c r="G472" s="28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28" t="n"/>
      <c r="V472" s="28" t="n"/>
      <c r="W472" s="31" t="n"/>
    </row>
    <row r="473">
      <c r="A473" s="43" t="inlineStr">
        <is>
          <t>S40</t>
        </is>
      </c>
      <c r="B473" s="43" t="inlineStr">
        <is>
          <t>남지</t>
        </is>
      </c>
      <c r="C473" s="43" t="inlineStr">
        <is>
          <t>S40-V</t>
        </is>
      </c>
      <c r="D473" s="43" t="inlineStr">
        <is>
          <t>기준(전)</t>
        </is>
      </c>
      <c r="E473" s="47" t="n"/>
      <c r="F473" s="40" t="n"/>
      <c r="G473" s="28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28" t="n"/>
      <c r="V473" s="28" t="n"/>
      <c r="W473" s="31" t="n"/>
    </row>
    <row r="474">
      <c r="A474" s="25" t="inlineStr">
        <is>
          <t>S40</t>
        </is>
      </c>
      <c r="B474" s="25" t="inlineStr">
        <is>
          <t>남지</t>
        </is>
      </c>
      <c r="C474" s="25" t="inlineStr">
        <is>
          <t>S40-V</t>
        </is>
      </c>
      <c r="D474" s="25" t="inlineStr">
        <is>
          <t>측정</t>
        </is>
      </c>
      <c r="E474" s="48" t="n">
        <v>20</v>
      </c>
      <c r="F474" s="40" t="n"/>
      <c r="G474" s="28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IF(COUNTIFS($C:$C,$C474,$D:$D,"기준(전)",$L:$L,"&gt;0")&lt;&gt;1,"기준(전) 유효 1개 아님",IF(COUNTIFS($C:$C,$C474,$D:$D,"기준(후)",$L:$L,"&gt;0")&lt;&gt;1,"기준(후) 유효 1개 아님",IF(NOT(AND(ISNUMBER(N474),ISNUMBER(P474),ISNUMBER(H474))),"시각 결측",IF(P474&lt;=N474,"기준 시각 역전",IF(OR(H474&lt;N474,H474&gt;P474),"측정시각 구간 밖","OK")))))</f>
        <v/>
      </c>
      <c r="N474" s="45">
        <f>IF(COUNTIFS($C:$C,$C474,$D:$D,"기준(전)",$L:$L,"&gt;0")&lt;&gt;1,"",SUMIFS($H:$H,$C:$C,$C474,$D:$D,"기준(전)"))</f>
        <v/>
      </c>
      <c r="O474" s="30">
        <f>IF(COUNTIFS($C:$C,$C474,$D:$D,"기준(전)",$L:$L,"&gt;0")&lt;&gt;1,"",SUMIFS($L:$L,$C:$C,$C474,$D:$D,"기준(전)"))</f>
        <v/>
      </c>
      <c r="P474" s="45">
        <f>IF(COUNTIFS($C:$C,$C474,$D:$D,"기준(후)",$L:$L,"&gt;0")&lt;&gt;1,"",SUMIFS($H:$H,$C:$C,$C474,$D:$D,"기준(후)"))</f>
        <v/>
      </c>
      <c r="Q474" s="30">
        <f>IF(COUNTIFS($C:$C,$C474,$D:$D,"기준(후)",$L:$L,"&gt;0")&lt;&gt;1,"",SUMIFS($L:$L,$C:$C,$C474,$D:$D,"기준(후)"))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IF(OR($D473&lt;&gt;"측정",$C473&lt;&gt;$C474,NOT(ISNUMBER(L474)),NOT(ISNUMBER(L473)),(IF(ISNUMBER(F474),F474,E474)-IF(ISNUMBER(F473),F473,E473))=0),"",(L474-L473)/((IF(ISNUMBER(F474),F474,E474)-IF(ISNUMBER(F473),F473,E473))/100))</f>
        <v/>
      </c>
      <c r="U474" s="28" t="n"/>
      <c r="V474" s="28" t="n"/>
      <c r="W474" s="31" t="n"/>
    </row>
    <row r="475">
      <c r="A475" s="25" t="inlineStr">
        <is>
          <t>S40</t>
        </is>
      </c>
      <c r="B475" s="25" t="inlineStr">
        <is>
          <t>남지</t>
        </is>
      </c>
      <c r="C475" s="25" t="inlineStr">
        <is>
          <t>S40-V</t>
        </is>
      </c>
      <c r="D475" s="25" t="inlineStr">
        <is>
          <t>측정</t>
        </is>
      </c>
      <c r="E475" s="48" t="n">
        <v>40</v>
      </c>
      <c r="F475" s="40" t="n"/>
      <c r="G475" s="28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IF(COUNTIFS($C:$C,$C475,$D:$D,"기준(전)",$L:$L,"&gt;0")&lt;&gt;1,"기준(전) 유효 1개 아님",IF(COUNTIFS($C:$C,$C475,$D:$D,"기준(후)",$L:$L,"&gt;0")&lt;&gt;1,"기준(후) 유효 1개 아님",IF(NOT(AND(ISNUMBER(N475),ISNUMBER(P475),ISNUMBER(H475))),"시각 결측",IF(P475&lt;=N475,"기준 시각 역전",IF(OR(H475&lt;N475,H475&gt;P475),"측정시각 구간 밖","OK")))))</f>
        <v/>
      </c>
      <c r="N475" s="45">
        <f>IF(COUNTIFS($C:$C,$C475,$D:$D,"기준(전)",$L:$L,"&gt;0")&lt;&gt;1,"",SUMIFS($H:$H,$C:$C,$C475,$D:$D,"기준(전)"))</f>
        <v/>
      </c>
      <c r="O475" s="30">
        <f>IF(COUNTIFS($C:$C,$C475,$D:$D,"기준(전)",$L:$L,"&gt;0")&lt;&gt;1,"",SUMIFS($L:$L,$C:$C,$C475,$D:$D,"기준(전)"))</f>
        <v/>
      </c>
      <c r="P475" s="45">
        <f>IF(COUNTIFS($C:$C,$C475,$D:$D,"기준(후)",$L:$L,"&gt;0")&lt;&gt;1,"",SUMIFS($H:$H,$C:$C,$C475,$D:$D,"기준(후)"))</f>
        <v/>
      </c>
      <c r="Q475" s="30">
        <f>IF(COUNTIFS($C:$C,$C475,$D:$D,"기준(후)",$L:$L,"&gt;0")&lt;&gt;1,"",SUMIFS($L:$L,$C:$C,$C475,$D:$D,"기준(후)"))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IF(OR($D474&lt;&gt;"측정",$C474&lt;&gt;$C475,NOT(ISNUMBER(L475)),NOT(ISNUMBER(L474)),(IF(ISNUMBER(F475),F475,E475)-IF(ISNUMBER(F474),F474,E474))=0),"",(L475-L474)/((IF(ISNUMBER(F475),F475,E475)-IF(ISNUMBER(F474),F474,E474))/100))</f>
        <v/>
      </c>
      <c r="U475" s="28" t="n"/>
      <c r="V475" s="28" t="n"/>
      <c r="W475" s="31" t="n"/>
    </row>
    <row r="476">
      <c r="A476" s="25" t="inlineStr">
        <is>
          <t>S40</t>
        </is>
      </c>
      <c r="B476" s="25" t="inlineStr">
        <is>
          <t>남지</t>
        </is>
      </c>
      <c r="C476" s="25" t="inlineStr">
        <is>
          <t>S40-V</t>
        </is>
      </c>
      <c r="D476" s="25" t="inlineStr">
        <is>
          <t>측정</t>
        </is>
      </c>
      <c r="E476" s="48" t="n">
        <v>60</v>
      </c>
      <c r="F476" s="40" t="n"/>
      <c r="G476" s="28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IF(COUNTIFS($C:$C,$C476,$D:$D,"기준(전)",$L:$L,"&gt;0")&lt;&gt;1,"기준(전) 유효 1개 아님",IF(COUNTIFS($C:$C,$C476,$D:$D,"기준(후)",$L:$L,"&gt;0")&lt;&gt;1,"기준(후) 유효 1개 아님",IF(NOT(AND(ISNUMBER(N476),ISNUMBER(P476),ISNUMBER(H476))),"시각 결측",IF(P476&lt;=N476,"기준 시각 역전",IF(OR(H476&lt;N476,H476&gt;P476),"측정시각 구간 밖","OK")))))</f>
        <v/>
      </c>
      <c r="N476" s="45">
        <f>IF(COUNTIFS($C:$C,$C476,$D:$D,"기준(전)",$L:$L,"&gt;0")&lt;&gt;1,"",SUMIFS($H:$H,$C:$C,$C476,$D:$D,"기준(전)"))</f>
        <v/>
      </c>
      <c r="O476" s="30">
        <f>IF(COUNTIFS($C:$C,$C476,$D:$D,"기준(전)",$L:$L,"&gt;0")&lt;&gt;1,"",SUMIFS($L:$L,$C:$C,$C476,$D:$D,"기준(전)"))</f>
        <v/>
      </c>
      <c r="P476" s="45">
        <f>IF(COUNTIFS($C:$C,$C476,$D:$D,"기준(후)",$L:$L,"&gt;0")&lt;&gt;1,"",SUMIFS($H:$H,$C:$C,$C476,$D:$D,"기준(후)"))</f>
        <v/>
      </c>
      <c r="Q476" s="30">
        <f>IF(COUNTIFS($C:$C,$C476,$D:$D,"기준(후)",$L:$L,"&gt;0")&lt;&gt;1,"",SUMIFS($L:$L,$C:$C,$C476,$D:$D,"기준(후)"))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IF(OR($D475&lt;&gt;"측정",$C475&lt;&gt;$C476,NOT(ISNUMBER(L476)),NOT(ISNUMBER(L475)),(IF(ISNUMBER(F476),F476,E476)-IF(ISNUMBER(F475),F475,E475))=0),"",(L476-L475)/((IF(ISNUMBER(F476),F476,E476)-IF(ISNUMBER(F475),F475,E475))/100))</f>
        <v/>
      </c>
      <c r="U476" s="28" t="n"/>
      <c r="V476" s="28" t="n"/>
      <c r="W476" s="31" t="n"/>
    </row>
    <row r="477">
      <c r="A477" s="25" t="inlineStr">
        <is>
          <t>S40</t>
        </is>
      </c>
      <c r="B477" s="25" t="inlineStr">
        <is>
          <t>남지</t>
        </is>
      </c>
      <c r="C477" s="25" t="inlineStr">
        <is>
          <t>S40-V</t>
        </is>
      </c>
      <c r="D477" s="25" t="inlineStr">
        <is>
          <t>측정</t>
        </is>
      </c>
      <c r="E477" s="48" t="n">
        <v>80</v>
      </c>
      <c r="F477" s="40" t="n"/>
      <c r="G477" s="28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IF(COUNTIFS($C:$C,$C477,$D:$D,"기준(전)",$L:$L,"&gt;0")&lt;&gt;1,"기준(전) 유효 1개 아님",IF(COUNTIFS($C:$C,$C477,$D:$D,"기준(후)",$L:$L,"&gt;0")&lt;&gt;1,"기준(후) 유효 1개 아님",IF(NOT(AND(ISNUMBER(N477),ISNUMBER(P477),ISNUMBER(H477))),"시각 결측",IF(P477&lt;=N477,"기준 시각 역전",IF(OR(H477&lt;N477,H477&gt;P477),"측정시각 구간 밖","OK")))))</f>
        <v/>
      </c>
      <c r="N477" s="45">
        <f>IF(COUNTIFS($C:$C,$C477,$D:$D,"기준(전)",$L:$L,"&gt;0")&lt;&gt;1,"",SUMIFS($H:$H,$C:$C,$C477,$D:$D,"기준(전)"))</f>
        <v/>
      </c>
      <c r="O477" s="30">
        <f>IF(COUNTIFS($C:$C,$C477,$D:$D,"기준(전)",$L:$L,"&gt;0")&lt;&gt;1,"",SUMIFS($L:$L,$C:$C,$C477,$D:$D,"기준(전)"))</f>
        <v/>
      </c>
      <c r="P477" s="45">
        <f>IF(COUNTIFS($C:$C,$C477,$D:$D,"기준(후)",$L:$L,"&gt;0")&lt;&gt;1,"",SUMIFS($H:$H,$C:$C,$C477,$D:$D,"기준(후)"))</f>
        <v/>
      </c>
      <c r="Q477" s="30">
        <f>IF(COUNTIFS($C:$C,$C477,$D:$D,"기준(후)",$L:$L,"&gt;0")&lt;&gt;1,"",SUMIFS($L:$L,$C:$C,$C477,$D:$D,"기준(후)"))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IF(OR($D476&lt;&gt;"측정",$C476&lt;&gt;$C477,NOT(ISNUMBER(L477)),NOT(ISNUMBER(L476)),(IF(ISNUMBER(F477),F477,E477)-IF(ISNUMBER(F476),F476,E476))=0),"",(L477-L476)/((IF(ISNUMBER(F477),F477,E477)-IF(ISNUMBER(F476),F476,E476))/100))</f>
        <v/>
      </c>
      <c r="U477" s="28" t="n"/>
      <c r="V477" s="28" t="n"/>
      <c r="W477" s="31" t="n"/>
    </row>
    <row r="478">
      <c r="A478" s="25" t="inlineStr">
        <is>
          <t>S40</t>
        </is>
      </c>
      <c r="B478" s="25" t="inlineStr">
        <is>
          <t>남지</t>
        </is>
      </c>
      <c r="C478" s="25" t="inlineStr">
        <is>
          <t>S40-V</t>
        </is>
      </c>
      <c r="D478" s="25" t="inlineStr">
        <is>
          <t>측정</t>
        </is>
      </c>
      <c r="E478" s="48" t="n">
        <v>100</v>
      </c>
      <c r="F478" s="40" t="n"/>
      <c r="G478" s="28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IF(COUNTIFS($C:$C,$C478,$D:$D,"기준(전)",$L:$L,"&gt;0")&lt;&gt;1,"기준(전) 유효 1개 아님",IF(COUNTIFS($C:$C,$C478,$D:$D,"기준(후)",$L:$L,"&gt;0")&lt;&gt;1,"기준(후) 유효 1개 아님",IF(NOT(AND(ISNUMBER(N478),ISNUMBER(P478),ISNUMBER(H478))),"시각 결측",IF(P478&lt;=N478,"기준 시각 역전",IF(OR(H478&lt;N478,H478&gt;P478),"측정시각 구간 밖","OK")))))</f>
        <v/>
      </c>
      <c r="N478" s="45">
        <f>IF(COUNTIFS($C:$C,$C478,$D:$D,"기준(전)",$L:$L,"&gt;0")&lt;&gt;1,"",SUMIFS($H:$H,$C:$C,$C478,$D:$D,"기준(전)"))</f>
        <v/>
      </c>
      <c r="O478" s="30">
        <f>IF(COUNTIFS($C:$C,$C478,$D:$D,"기준(전)",$L:$L,"&gt;0")&lt;&gt;1,"",SUMIFS($L:$L,$C:$C,$C478,$D:$D,"기준(전)"))</f>
        <v/>
      </c>
      <c r="P478" s="45">
        <f>IF(COUNTIFS($C:$C,$C478,$D:$D,"기준(후)",$L:$L,"&gt;0")&lt;&gt;1,"",SUMIFS($H:$H,$C:$C,$C478,$D:$D,"기준(후)"))</f>
        <v/>
      </c>
      <c r="Q478" s="30">
        <f>IF(COUNTIFS($C:$C,$C478,$D:$D,"기준(후)",$L:$L,"&gt;0")&lt;&gt;1,"",SUMIFS($L:$L,$C:$C,$C478,$D:$D,"기준(후)"))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IF(OR($D477&lt;&gt;"측정",$C477&lt;&gt;$C478,NOT(ISNUMBER(L478)),NOT(ISNUMBER(L477)),(IF(ISNUMBER(F478),F478,E478)-IF(ISNUMBER(F477),F477,E477))=0),"",(L478-L477)/((IF(ISNUMBER(F478),F478,E478)-IF(ISNUMBER(F477),F477,E477))/100))</f>
        <v/>
      </c>
      <c r="U478" s="28" t="n"/>
      <c r="V478" s="28" t="n"/>
      <c r="W478" s="31" t="n"/>
    </row>
    <row r="479">
      <c r="A479" s="25" t="inlineStr">
        <is>
          <t>S40</t>
        </is>
      </c>
      <c r="B479" s="25" t="inlineStr">
        <is>
          <t>남지</t>
        </is>
      </c>
      <c r="C479" s="25" t="inlineStr">
        <is>
          <t>S40-V</t>
        </is>
      </c>
      <c r="D479" s="25" t="inlineStr">
        <is>
          <t>측정</t>
        </is>
      </c>
      <c r="E479" s="48" t="n">
        <v>120</v>
      </c>
      <c r="F479" s="40" t="n"/>
      <c r="G479" s="28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IF(COUNTIFS($C:$C,$C479,$D:$D,"기준(전)",$L:$L,"&gt;0")&lt;&gt;1,"기준(전) 유효 1개 아님",IF(COUNTIFS($C:$C,$C479,$D:$D,"기준(후)",$L:$L,"&gt;0")&lt;&gt;1,"기준(후) 유효 1개 아님",IF(NOT(AND(ISNUMBER(N479),ISNUMBER(P479),ISNUMBER(H479))),"시각 결측",IF(P479&lt;=N479,"기준 시각 역전",IF(OR(H479&lt;N479,H479&gt;P479),"측정시각 구간 밖","OK")))))</f>
        <v/>
      </c>
      <c r="N479" s="45">
        <f>IF(COUNTIFS($C:$C,$C479,$D:$D,"기준(전)",$L:$L,"&gt;0")&lt;&gt;1,"",SUMIFS($H:$H,$C:$C,$C479,$D:$D,"기준(전)"))</f>
        <v/>
      </c>
      <c r="O479" s="30">
        <f>IF(COUNTIFS($C:$C,$C479,$D:$D,"기준(전)",$L:$L,"&gt;0")&lt;&gt;1,"",SUMIFS($L:$L,$C:$C,$C479,$D:$D,"기준(전)"))</f>
        <v/>
      </c>
      <c r="P479" s="45">
        <f>IF(COUNTIFS($C:$C,$C479,$D:$D,"기준(후)",$L:$L,"&gt;0")&lt;&gt;1,"",SUMIFS($H:$H,$C:$C,$C479,$D:$D,"기준(후)"))</f>
        <v/>
      </c>
      <c r="Q479" s="30">
        <f>IF(COUNTIFS($C:$C,$C479,$D:$D,"기준(후)",$L:$L,"&gt;0")&lt;&gt;1,"",SUMIFS($L:$L,$C:$C,$C479,$D:$D,"기준(후)"))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IF(OR($D478&lt;&gt;"측정",$C478&lt;&gt;$C479,NOT(ISNUMBER(L479)),NOT(ISNUMBER(L478)),(IF(ISNUMBER(F479),F479,E479)-IF(ISNUMBER(F478),F478,E478))=0),"",(L479-L478)/((IF(ISNUMBER(F479),F479,E479)-IF(ISNUMBER(F478),F478,E478))/100))</f>
        <v/>
      </c>
      <c r="U479" s="28" t="n"/>
      <c r="V479" s="28" t="n"/>
      <c r="W479" s="31" t="n"/>
    </row>
    <row r="480">
      <c r="A480" s="25" t="inlineStr">
        <is>
          <t>S40</t>
        </is>
      </c>
      <c r="B480" s="25" t="inlineStr">
        <is>
          <t>남지</t>
        </is>
      </c>
      <c r="C480" s="25" t="inlineStr">
        <is>
          <t>S40-V</t>
        </is>
      </c>
      <c r="D480" s="25" t="inlineStr">
        <is>
          <t>측정</t>
        </is>
      </c>
      <c r="E480" s="48" t="n">
        <v>140</v>
      </c>
      <c r="F480" s="40" t="n"/>
      <c r="G480" s="28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IF(COUNTIFS($C:$C,$C480,$D:$D,"기준(전)",$L:$L,"&gt;0")&lt;&gt;1,"기준(전) 유효 1개 아님",IF(COUNTIFS($C:$C,$C480,$D:$D,"기준(후)",$L:$L,"&gt;0")&lt;&gt;1,"기준(후) 유효 1개 아님",IF(NOT(AND(ISNUMBER(N480),ISNUMBER(P480),ISNUMBER(H480))),"시각 결측",IF(P480&lt;=N480,"기준 시각 역전",IF(OR(H480&lt;N480,H480&gt;P480),"측정시각 구간 밖","OK")))))</f>
        <v/>
      </c>
      <c r="N480" s="45">
        <f>IF(COUNTIFS($C:$C,$C480,$D:$D,"기준(전)",$L:$L,"&gt;0")&lt;&gt;1,"",SUMIFS($H:$H,$C:$C,$C480,$D:$D,"기준(전)"))</f>
        <v/>
      </c>
      <c r="O480" s="30">
        <f>IF(COUNTIFS($C:$C,$C480,$D:$D,"기준(전)",$L:$L,"&gt;0")&lt;&gt;1,"",SUMIFS($L:$L,$C:$C,$C480,$D:$D,"기준(전)"))</f>
        <v/>
      </c>
      <c r="P480" s="45">
        <f>IF(COUNTIFS($C:$C,$C480,$D:$D,"기준(후)",$L:$L,"&gt;0")&lt;&gt;1,"",SUMIFS($H:$H,$C:$C,$C480,$D:$D,"기준(후)"))</f>
        <v/>
      </c>
      <c r="Q480" s="30">
        <f>IF(COUNTIFS($C:$C,$C480,$D:$D,"기준(후)",$L:$L,"&gt;0")&lt;&gt;1,"",SUMIFS($L:$L,$C:$C,$C480,$D:$D,"기준(후)"))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IF(OR($D479&lt;&gt;"측정",$C479&lt;&gt;$C480,NOT(ISNUMBER(L480)),NOT(ISNUMBER(L479)),(IF(ISNUMBER(F480),F480,E480)-IF(ISNUMBER(F479),F479,E479))=0),"",(L480-L479)/((IF(ISNUMBER(F480),F480,E480)-IF(ISNUMBER(F479),F479,E479))/100))</f>
        <v/>
      </c>
      <c r="U480" s="28" t="n"/>
      <c r="V480" s="28" t="n"/>
      <c r="W480" s="31" t="n"/>
    </row>
    <row r="481">
      <c r="A481" s="25" t="inlineStr">
        <is>
          <t>S40</t>
        </is>
      </c>
      <c r="B481" s="25" t="inlineStr">
        <is>
          <t>남지</t>
        </is>
      </c>
      <c r="C481" s="25" t="inlineStr">
        <is>
          <t>S40-V</t>
        </is>
      </c>
      <c r="D481" s="25" t="inlineStr">
        <is>
          <t>측정</t>
        </is>
      </c>
      <c r="E481" s="48" t="n">
        <v>160</v>
      </c>
      <c r="F481" s="40" t="n"/>
      <c r="G481" s="28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IF(COUNTIFS($C:$C,$C481,$D:$D,"기준(전)",$L:$L,"&gt;0")&lt;&gt;1,"기준(전) 유효 1개 아님",IF(COUNTIFS($C:$C,$C481,$D:$D,"기준(후)",$L:$L,"&gt;0")&lt;&gt;1,"기준(후) 유효 1개 아님",IF(NOT(AND(ISNUMBER(N481),ISNUMBER(P481),ISNUMBER(H481))),"시각 결측",IF(P481&lt;=N481,"기준 시각 역전",IF(OR(H481&lt;N481,H481&gt;P481),"측정시각 구간 밖","OK")))))</f>
        <v/>
      </c>
      <c r="N481" s="45">
        <f>IF(COUNTIFS($C:$C,$C481,$D:$D,"기준(전)",$L:$L,"&gt;0")&lt;&gt;1,"",SUMIFS($H:$H,$C:$C,$C481,$D:$D,"기준(전)"))</f>
        <v/>
      </c>
      <c r="O481" s="30">
        <f>IF(COUNTIFS($C:$C,$C481,$D:$D,"기준(전)",$L:$L,"&gt;0")&lt;&gt;1,"",SUMIFS($L:$L,$C:$C,$C481,$D:$D,"기준(전)"))</f>
        <v/>
      </c>
      <c r="P481" s="45">
        <f>IF(COUNTIFS($C:$C,$C481,$D:$D,"기준(후)",$L:$L,"&gt;0")&lt;&gt;1,"",SUMIFS($H:$H,$C:$C,$C481,$D:$D,"기준(후)"))</f>
        <v/>
      </c>
      <c r="Q481" s="30">
        <f>IF(COUNTIFS($C:$C,$C481,$D:$D,"기준(후)",$L:$L,"&gt;0")&lt;&gt;1,"",SUMIFS($L:$L,$C:$C,$C481,$D:$D,"기준(후)"))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IF(OR($D480&lt;&gt;"측정",$C480&lt;&gt;$C481,NOT(ISNUMBER(L481)),NOT(ISNUMBER(L480)),(IF(ISNUMBER(F481),F481,E481)-IF(ISNUMBER(F480),F480,E480))=0),"",(L481-L480)/((IF(ISNUMBER(F481),F481,E481)-IF(ISNUMBER(F480),F480,E480))/100))</f>
        <v/>
      </c>
      <c r="U481" s="28" t="n"/>
      <c r="V481" s="28" t="n"/>
      <c r="W481" s="31" t="n"/>
    </row>
    <row r="482">
      <c r="A482" s="25" t="inlineStr">
        <is>
          <t>S40</t>
        </is>
      </c>
      <c r="B482" s="25" t="inlineStr">
        <is>
          <t>남지</t>
        </is>
      </c>
      <c r="C482" s="25" t="inlineStr">
        <is>
          <t>S40-V</t>
        </is>
      </c>
      <c r="D482" s="25" t="inlineStr">
        <is>
          <t>측정</t>
        </is>
      </c>
      <c r="E482" s="48" t="n">
        <v>180</v>
      </c>
      <c r="F482" s="40" t="n"/>
      <c r="G482" s="28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IF(COUNTIFS($C:$C,$C482,$D:$D,"기준(전)",$L:$L,"&gt;0")&lt;&gt;1,"기준(전) 유효 1개 아님",IF(COUNTIFS($C:$C,$C482,$D:$D,"기준(후)",$L:$L,"&gt;0")&lt;&gt;1,"기준(후) 유효 1개 아님",IF(NOT(AND(ISNUMBER(N482),ISNUMBER(P482),ISNUMBER(H482))),"시각 결측",IF(P482&lt;=N482,"기준 시각 역전",IF(OR(H482&lt;N482,H482&gt;P482),"측정시각 구간 밖","OK")))))</f>
        <v/>
      </c>
      <c r="N482" s="45">
        <f>IF(COUNTIFS($C:$C,$C482,$D:$D,"기준(전)",$L:$L,"&gt;0")&lt;&gt;1,"",SUMIFS($H:$H,$C:$C,$C482,$D:$D,"기준(전)"))</f>
        <v/>
      </c>
      <c r="O482" s="30">
        <f>IF(COUNTIFS($C:$C,$C482,$D:$D,"기준(전)",$L:$L,"&gt;0")&lt;&gt;1,"",SUMIFS($L:$L,$C:$C,$C482,$D:$D,"기준(전)"))</f>
        <v/>
      </c>
      <c r="P482" s="45">
        <f>IF(COUNTIFS($C:$C,$C482,$D:$D,"기준(후)",$L:$L,"&gt;0")&lt;&gt;1,"",SUMIFS($H:$H,$C:$C,$C482,$D:$D,"기준(후)"))</f>
        <v/>
      </c>
      <c r="Q482" s="30">
        <f>IF(COUNTIFS($C:$C,$C482,$D:$D,"기준(후)",$L:$L,"&gt;0")&lt;&gt;1,"",SUMIFS($L:$L,$C:$C,$C482,$D:$D,"기준(후)"))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IF(OR($D481&lt;&gt;"측정",$C481&lt;&gt;$C482,NOT(ISNUMBER(L482)),NOT(ISNUMBER(L481)),(IF(ISNUMBER(F482),F482,E482)-IF(ISNUMBER(F481),F481,E481))=0),"",(L482-L481)/((IF(ISNUMBER(F482),F482,E482)-IF(ISNUMBER(F481),F481,E481))/100))</f>
        <v/>
      </c>
      <c r="U482" s="28" t="n"/>
      <c r="V482" s="28" t="n"/>
      <c r="W482" s="31" t="n"/>
    </row>
    <row r="483">
      <c r="A483" s="25" t="inlineStr">
        <is>
          <t>S40</t>
        </is>
      </c>
      <c r="B483" s="25" t="inlineStr">
        <is>
          <t>남지</t>
        </is>
      </c>
      <c r="C483" s="25" t="inlineStr">
        <is>
          <t>S40-V</t>
        </is>
      </c>
      <c r="D483" s="25" t="inlineStr">
        <is>
          <t>측정</t>
        </is>
      </c>
      <c r="E483" s="48" t="n">
        <v>200</v>
      </c>
      <c r="F483" s="40" t="n"/>
      <c r="G483" s="28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IF(COUNTIFS($C:$C,$C483,$D:$D,"기준(전)",$L:$L,"&gt;0")&lt;&gt;1,"기준(전) 유효 1개 아님",IF(COUNTIFS($C:$C,$C483,$D:$D,"기준(후)",$L:$L,"&gt;0")&lt;&gt;1,"기준(후) 유효 1개 아님",IF(NOT(AND(ISNUMBER(N483),ISNUMBER(P483),ISNUMBER(H483))),"시각 결측",IF(P483&lt;=N483,"기준 시각 역전",IF(OR(H483&lt;N483,H483&gt;P483),"측정시각 구간 밖","OK")))))</f>
        <v/>
      </c>
      <c r="N483" s="45">
        <f>IF(COUNTIFS($C:$C,$C483,$D:$D,"기준(전)",$L:$L,"&gt;0")&lt;&gt;1,"",SUMIFS($H:$H,$C:$C,$C483,$D:$D,"기준(전)"))</f>
        <v/>
      </c>
      <c r="O483" s="30">
        <f>IF(COUNTIFS($C:$C,$C483,$D:$D,"기준(전)",$L:$L,"&gt;0")&lt;&gt;1,"",SUMIFS($L:$L,$C:$C,$C483,$D:$D,"기준(전)"))</f>
        <v/>
      </c>
      <c r="P483" s="45">
        <f>IF(COUNTIFS($C:$C,$C483,$D:$D,"기준(후)",$L:$L,"&gt;0")&lt;&gt;1,"",SUMIFS($H:$H,$C:$C,$C483,$D:$D,"기준(후)"))</f>
        <v/>
      </c>
      <c r="Q483" s="30">
        <f>IF(COUNTIFS($C:$C,$C483,$D:$D,"기준(후)",$L:$L,"&gt;0")&lt;&gt;1,"",SUMIFS($L:$L,$C:$C,$C483,$D:$D,"기준(후)"))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IF(OR($D482&lt;&gt;"측정",$C482&lt;&gt;$C483,NOT(ISNUMBER(L483)),NOT(ISNUMBER(L482)),(IF(ISNUMBER(F483),F483,E483)-IF(ISNUMBER(F482),F482,E482))=0),"",(L483-L482)/((IF(ISNUMBER(F483),F483,E483)-IF(ISNUMBER(F482),F482,E482))/100))</f>
        <v/>
      </c>
      <c r="U483" s="28" t="n"/>
      <c r="V483" s="28" t="n"/>
      <c r="W483" s="31" t="n"/>
    </row>
    <row r="484">
      <c r="A484" s="43" t="inlineStr">
        <is>
          <t>S40</t>
        </is>
      </c>
      <c r="B484" s="43" t="inlineStr">
        <is>
          <t>남지</t>
        </is>
      </c>
      <c r="C484" s="43" t="inlineStr">
        <is>
          <t>S40-V</t>
        </is>
      </c>
      <c r="D484" s="43" t="inlineStr">
        <is>
          <t>기준(후)</t>
        </is>
      </c>
      <c r="E484" s="47" t="n"/>
      <c r="F484" s="40" t="n"/>
      <c r="G484" s="28" t="n"/>
      <c r="H484" s="42" t="n"/>
      <c r="I484" s="40" t="n"/>
      <c r="J484" s="40" t="n"/>
      <c r="K484" s="40" t="n"/>
      <c r="L484" s="30">
        <f>IF(COUNT(I484:K484)=0,"",MEDIAN(I484:K484))</f>
        <v/>
      </c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28" t="n"/>
      <c r="V484" s="28" t="n"/>
      <c r="W484" s="31" t="n"/>
    </row>
    <row r="485">
      <c r="A485" s="43" t="inlineStr">
        <is>
          <t>S41</t>
        </is>
      </c>
      <c r="B485" s="43" t="inlineStr">
        <is>
          <t>거제</t>
        </is>
      </c>
      <c r="C485" s="43" t="inlineStr">
        <is>
          <t>S41-V</t>
        </is>
      </c>
      <c r="D485" s="43" t="inlineStr">
        <is>
          <t>기준(전)</t>
        </is>
      </c>
      <c r="E485" s="47" t="n"/>
      <c r="F485" s="40" t="n"/>
      <c r="G485" s="28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28" t="n"/>
      <c r="V485" s="28" t="n"/>
      <c r="W485" s="31" t="n"/>
    </row>
    <row r="486">
      <c r="A486" s="25" t="inlineStr">
        <is>
          <t>S41</t>
        </is>
      </c>
      <c r="B486" s="25" t="inlineStr">
        <is>
          <t>거제</t>
        </is>
      </c>
      <c r="C486" s="25" t="inlineStr">
        <is>
          <t>S41-V</t>
        </is>
      </c>
      <c r="D486" s="25" t="inlineStr">
        <is>
          <t>측정</t>
        </is>
      </c>
      <c r="E486" s="48" t="n">
        <v>20</v>
      </c>
      <c r="F486" s="40" t="n"/>
      <c r="G486" s="28" t="n"/>
      <c r="H486" s="42" t="n"/>
      <c r="I486" s="40" t="n"/>
      <c r="J486" s="40" t="n"/>
      <c r="K486" s="40" t="n"/>
      <c r="L486" s="30">
        <f>IF(COUNT(I486:K486)=0,"",MEDIAN(I486:K486))</f>
        <v/>
      </c>
      <c r="M486" s="25">
        <f>IF(COUNTIFS($C:$C,$C486,$D:$D,"기준(전)",$L:$L,"&gt;0")&lt;&gt;1,"기준(전) 유효 1개 아님",IF(COUNTIFS($C:$C,$C486,$D:$D,"기준(후)",$L:$L,"&gt;0")&lt;&gt;1,"기준(후) 유효 1개 아님",IF(NOT(AND(ISNUMBER(N486),ISNUMBER(P486),ISNUMBER(H486))),"시각 결측",IF(P486&lt;=N486,"기준 시각 역전",IF(OR(H486&lt;N486,H486&gt;P486),"측정시각 구간 밖","OK")))))</f>
        <v/>
      </c>
      <c r="N486" s="45">
        <f>IF(COUNTIFS($C:$C,$C486,$D:$D,"기준(전)",$L:$L,"&gt;0")&lt;&gt;1,"",SUMIFS($H:$H,$C:$C,$C486,$D:$D,"기준(전)"))</f>
        <v/>
      </c>
      <c r="O486" s="30">
        <f>IF(COUNTIFS($C:$C,$C486,$D:$D,"기준(전)",$L:$L,"&gt;0")&lt;&gt;1,"",SUMIFS($L:$L,$C:$C,$C486,$D:$D,"기준(전)"))</f>
        <v/>
      </c>
      <c r="P486" s="45">
        <f>IF(COUNTIFS($C:$C,$C486,$D:$D,"기준(후)",$L:$L,"&gt;0")&lt;&gt;1,"",SUMIFS($H:$H,$C:$C,$C486,$D:$D,"기준(후)"))</f>
        <v/>
      </c>
      <c r="Q486" s="30">
        <f>IF(COUNTIFS($C:$C,$C486,$D:$D,"기준(후)",$L:$L,"&gt;0")&lt;&gt;1,"",SUMIFS($L:$L,$C:$C,$C486,$D:$D,"기준(후)"))</f>
        <v/>
      </c>
      <c r="R486" s="30">
        <f>IF(M486&lt;&gt;"OK","",O486+(Q486-O486)*(H486-N486)/(P486-N486))</f>
        <v/>
      </c>
      <c r="S486" s="30">
        <f>IF(OR(M486&lt;&gt;"OK",NOT(ISNUMBER(L486))),"",L486-R486)</f>
        <v/>
      </c>
      <c r="T486" s="46">
        <f>IF(OR($D485&lt;&gt;"측정",$C485&lt;&gt;$C486,NOT(ISNUMBER(L486)),NOT(ISNUMBER(L485)),(IF(ISNUMBER(F486),F486,E486)-IF(ISNUMBER(F485),F485,E485))=0),"",(L486-L485)/((IF(ISNUMBER(F486),F486,E486)-IF(ISNUMBER(F485),F485,E485))/100))</f>
        <v/>
      </c>
      <c r="U486" s="28" t="n"/>
      <c r="V486" s="28" t="n"/>
      <c r="W486" s="31" t="n"/>
    </row>
    <row r="487">
      <c r="A487" s="25" t="inlineStr">
        <is>
          <t>S41</t>
        </is>
      </c>
      <c r="B487" s="25" t="inlineStr">
        <is>
          <t>거제</t>
        </is>
      </c>
      <c r="C487" s="25" t="inlineStr">
        <is>
          <t>S41-V</t>
        </is>
      </c>
      <c r="D487" s="25" t="inlineStr">
        <is>
          <t>측정</t>
        </is>
      </c>
      <c r="E487" s="48" t="n">
        <v>40</v>
      </c>
      <c r="F487" s="40" t="n"/>
      <c r="G487" s="28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IF(COUNTIFS($C:$C,$C487,$D:$D,"기준(전)",$L:$L,"&gt;0")&lt;&gt;1,"기준(전) 유효 1개 아님",IF(COUNTIFS($C:$C,$C487,$D:$D,"기준(후)",$L:$L,"&gt;0")&lt;&gt;1,"기준(후) 유효 1개 아님",IF(NOT(AND(ISNUMBER(N487),ISNUMBER(P487),ISNUMBER(H487))),"시각 결측",IF(P487&lt;=N487,"기준 시각 역전",IF(OR(H487&lt;N487,H487&gt;P487),"측정시각 구간 밖","OK")))))</f>
        <v/>
      </c>
      <c r="N487" s="45">
        <f>IF(COUNTIFS($C:$C,$C487,$D:$D,"기준(전)",$L:$L,"&gt;0")&lt;&gt;1,"",SUMIFS($H:$H,$C:$C,$C487,$D:$D,"기준(전)"))</f>
        <v/>
      </c>
      <c r="O487" s="30">
        <f>IF(COUNTIFS($C:$C,$C487,$D:$D,"기준(전)",$L:$L,"&gt;0")&lt;&gt;1,"",SUMIFS($L:$L,$C:$C,$C487,$D:$D,"기준(전)"))</f>
        <v/>
      </c>
      <c r="P487" s="45">
        <f>IF(COUNTIFS($C:$C,$C487,$D:$D,"기준(후)",$L:$L,"&gt;0")&lt;&gt;1,"",SUMIFS($H:$H,$C:$C,$C487,$D:$D,"기준(후)"))</f>
        <v/>
      </c>
      <c r="Q487" s="30">
        <f>IF(COUNTIFS($C:$C,$C487,$D:$D,"기준(후)",$L:$L,"&gt;0")&lt;&gt;1,"",SUMIFS($L:$L,$C:$C,$C487,$D:$D,"기준(후)"))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IF(OR($D486&lt;&gt;"측정",$C486&lt;&gt;$C487,NOT(ISNUMBER(L487)),NOT(ISNUMBER(L486)),(IF(ISNUMBER(F487),F487,E487)-IF(ISNUMBER(F486),F486,E486))=0),"",(L487-L486)/((IF(ISNUMBER(F487),F487,E487)-IF(ISNUMBER(F486),F486,E486))/100))</f>
        <v/>
      </c>
      <c r="U487" s="28" t="n"/>
      <c r="V487" s="28" t="n"/>
      <c r="W487" s="31" t="n"/>
    </row>
    <row r="488">
      <c r="A488" s="25" t="inlineStr">
        <is>
          <t>S41</t>
        </is>
      </c>
      <c r="B488" s="25" t="inlineStr">
        <is>
          <t>거제</t>
        </is>
      </c>
      <c r="C488" s="25" t="inlineStr">
        <is>
          <t>S41-V</t>
        </is>
      </c>
      <c r="D488" s="25" t="inlineStr">
        <is>
          <t>측정</t>
        </is>
      </c>
      <c r="E488" s="48" t="n">
        <v>60</v>
      </c>
      <c r="F488" s="40" t="n"/>
      <c r="G488" s="28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IF(COUNTIFS($C:$C,$C488,$D:$D,"기준(전)",$L:$L,"&gt;0")&lt;&gt;1,"기준(전) 유효 1개 아님",IF(COUNTIFS($C:$C,$C488,$D:$D,"기준(후)",$L:$L,"&gt;0")&lt;&gt;1,"기준(후) 유효 1개 아님",IF(NOT(AND(ISNUMBER(N488),ISNUMBER(P488),ISNUMBER(H488))),"시각 결측",IF(P488&lt;=N488,"기준 시각 역전",IF(OR(H488&lt;N488,H488&gt;P488),"측정시각 구간 밖","OK")))))</f>
        <v/>
      </c>
      <c r="N488" s="45">
        <f>IF(COUNTIFS($C:$C,$C488,$D:$D,"기준(전)",$L:$L,"&gt;0")&lt;&gt;1,"",SUMIFS($H:$H,$C:$C,$C488,$D:$D,"기준(전)"))</f>
        <v/>
      </c>
      <c r="O488" s="30">
        <f>IF(COUNTIFS($C:$C,$C488,$D:$D,"기준(전)",$L:$L,"&gt;0")&lt;&gt;1,"",SUMIFS($L:$L,$C:$C,$C488,$D:$D,"기준(전)"))</f>
        <v/>
      </c>
      <c r="P488" s="45">
        <f>IF(COUNTIFS($C:$C,$C488,$D:$D,"기준(후)",$L:$L,"&gt;0")&lt;&gt;1,"",SUMIFS($H:$H,$C:$C,$C488,$D:$D,"기준(후)"))</f>
        <v/>
      </c>
      <c r="Q488" s="30">
        <f>IF(COUNTIFS($C:$C,$C488,$D:$D,"기준(후)",$L:$L,"&gt;0")&lt;&gt;1,"",SUMIFS($L:$L,$C:$C,$C488,$D:$D,"기준(후)"))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IF(OR($D487&lt;&gt;"측정",$C487&lt;&gt;$C488,NOT(ISNUMBER(L488)),NOT(ISNUMBER(L487)),(IF(ISNUMBER(F488),F488,E488)-IF(ISNUMBER(F487),F487,E487))=0),"",(L488-L487)/((IF(ISNUMBER(F488),F488,E488)-IF(ISNUMBER(F487),F487,E487))/100))</f>
        <v/>
      </c>
      <c r="U488" s="28" t="n"/>
      <c r="V488" s="28" t="n"/>
      <c r="W488" s="31" t="n"/>
    </row>
    <row r="489">
      <c r="A489" s="25" t="inlineStr">
        <is>
          <t>S41</t>
        </is>
      </c>
      <c r="B489" s="25" t="inlineStr">
        <is>
          <t>거제</t>
        </is>
      </c>
      <c r="C489" s="25" t="inlineStr">
        <is>
          <t>S41-V</t>
        </is>
      </c>
      <c r="D489" s="25" t="inlineStr">
        <is>
          <t>측정</t>
        </is>
      </c>
      <c r="E489" s="48" t="n">
        <v>80</v>
      </c>
      <c r="F489" s="40" t="n"/>
      <c r="G489" s="28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IF(COUNTIFS($C:$C,$C489,$D:$D,"기준(전)",$L:$L,"&gt;0")&lt;&gt;1,"기준(전) 유효 1개 아님",IF(COUNTIFS($C:$C,$C489,$D:$D,"기준(후)",$L:$L,"&gt;0")&lt;&gt;1,"기준(후) 유효 1개 아님",IF(NOT(AND(ISNUMBER(N489),ISNUMBER(P489),ISNUMBER(H489))),"시각 결측",IF(P489&lt;=N489,"기준 시각 역전",IF(OR(H489&lt;N489,H489&gt;P489),"측정시각 구간 밖","OK")))))</f>
        <v/>
      </c>
      <c r="N489" s="45">
        <f>IF(COUNTIFS($C:$C,$C489,$D:$D,"기준(전)",$L:$L,"&gt;0")&lt;&gt;1,"",SUMIFS($H:$H,$C:$C,$C489,$D:$D,"기준(전)"))</f>
        <v/>
      </c>
      <c r="O489" s="30">
        <f>IF(COUNTIFS($C:$C,$C489,$D:$D,"기준(전)",$L:$L,"&gt;0")&lt;&gt;1,"",SUMIFS($L:$L,$C:$C,$C489,$D:$D,"기준(전)"))</f>
        <v/>
      </c>
      <c r="P489" s="45">
        <f>IF(COUNTIFS($C:$C,$C489,$D:$D,"기준(후)",$L:$L,"&gt;0")&lt;&gt;1,"",SUMIFS($H:$H,$C:$C,$C489,$D:$D,"기준(후)"))</f>
        <v/>
      </c>
      <c r="Q489" s="30">
        <f>IF(COUNTIFS($C:$C,$C489,$D:$D,"기준(후)",$L:$L,"&gt;0")&lt;&gt;1,"",SUMIFS($L:$L,$C:$C,$C489,$D:$D,"기준(후)"))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IF(OR($D488&lt;&gt;"측정",$C488&lt;&gt;$C489,NOT(ISNUMBER(L489)),NOT(ISNUMBER(L488)),(IF(ISNUMBER(F489),F489,E489)-IF(ISNUMBER(F488),F488,E488))=0),"",(L489-L488)/((IF(ISNUMBER(F489),F489,E489)-IF(ISNUMBER(F488),F488,E488))/100))</f>
        <v/>
      </c>
      <c r="U489" s="28" t="n"/>
      <c r="V489" s="28" t="n"/>
      <c r="W489" s="31" t="n"/>
    </row>
    <row r="490">
      <c r="A490" s="25" t="inlineStr">
        <is>
          <t>S41</t>
        </is>
      </c>
      <c r="B490" s="25" t="inlineStr">
        <is>
          <t>거제</t>
        </is>
      </c>
      <c r="C490" s="25" t="inlineStr">
        <is>
          <t>S41-V</t>
        </is>
      </c>
      <c r="D490" s="25" t="inlineStr">
        <is>
          <t>측정</t>
        </is>
      </c>
      <c r="E490" s="48" t="n">
        <v>100</v>
      </c>
      <c r="F490" s="40" t="n"/>
      <c r="G490" s="28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IF(COUNTIFS($C:$C,$C490,$D:$D,"기준(전)",$L:$L,"&gt;0")&lt;&gt;1,"기준(전) 유효 1개 아님",IF(COUNTIFS($C:$C,$C490,$D:$D,"기준(후)",$L:$L,"&gt;0")&lt;&gt;1,"기준(후) 유효 1개 아님",IF(NOT(AND(ISNUMBER(N490),ISNUMBER(P490),ISNUMBER(H490))),"시각 결측",IF(P490&lt;=N490,"기준 시각 역전",IF(OR(H490&lt;N490,H490&gt;P490),"측정시각 구간 밖","OK")))))</f>
        <v/>
      </c>
      <c r="N490" s="45">
        <f>IF(COUNTIFS($C:$C,$C490,$D:$D,"기준(전)",$L:$L,"&gt;0")&lt;&gt;1,"",SUMIFS($H:$H,$C:$C,$C490,$D:$D,"기준(전)"))</f>
        <v/>
      </c>
      <c r="O490" s="30">
        <f>IF(COUNTIFS($C:$C,$C490,$D:$D,"기준(전)",$L:$L,"&gt;0")&lt;&gt;1,"",SUMIFS($L:$L,$C:$C,$C490,$D:$D,"기준(전)"))</f>
        <v/>
      </c>
      <c r="P490" s="45">
        <f>IF(COUNTIFS($C:$C,$C490,$D:$D,"기준(후)",$L:$L,"&gt;0")&lt;&gt;1,"",SUMIFS($H:$H,$C:$C,$C490,$D:$D,"기준(후)"))</f>
        <v/>
      </c>
      <c r="Q490" s="30">
        <f>IF(COUNTIFS($C:$C,$C490,$D:$D,"기준(후)",$L:$L,"&gt;0")&lt;&gt;1,"",SUMIFS($L:$L,$C:$C,$C490,$D:$D,"기준(후)"))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IF(OR($D489&lt;&gt;"측정",$C489&lt;&gt;$C490,NOT(ISNUMBER(L490)),NOT(ISNUMBER(L489)),(IF(ISNUMBER(F490),F490,E490)-IF(ISNUMBER(F489),F489,E489))=0),"",(L490-L489)/((IF(ISNUMBER(F490),F490,E490)-IF(ISNUMBER(F489),F489,E489))/100))</f>
        <v/>
      </c>
      <c r="U490" s="28" t="n"/>
      <c r="V490" s="28" t="n"/>
      <c r="W490" s="31" t="n"/>
    </row>
    <row r="491">
      <c r="A491" s="25" t="inlineStr">
        <is>
          <t>S41</t>
        </is>
      </c>
      <c r="B491" s="25" t="inlineStr">
        <is>
          <t>거제</t>
        </is>
      </c>
      <c r="C491" s="25" t="inlineStr">
        <is>
          <t>S41-V</t>
        </is>
      </c>
      <c r="D491" s="25" t="inlineStr">
        <is>
          <t>측정</t>
        </is>
      </c>
      <c r="E491" s="48" t="n">
        <v>120</v>
      </c>
      <c r="F491" s="40" t="n"/>
      <c r="G491" s="28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IF(COUNTIFS($C:$C,$C491,$D:$D,"기준(전)",$L:$L,"&gt;0")&lt;&gt;1,"기준(전) 유효 1개 아님",IF(COUNTIFS($C:$C,$C491,$D:$D,"기준(후)",$L:$L,"&gt;0")&lt;&gt;1,"기준(후) 유효 1개 아님",IF(NOT(AND(ISNUMBER(N491),ISNUMBER(P491),ISNUMBER(H491))),"시각 결측",IF(P491&lt;=N491,"기준 시각 역전",IF(OR(H491&lt;N491,H491&gt;P491),"측정시각 구간 밖","OK")))))</f>
        <v/>
      </c>
      <c r="N491" s="45">
        <f>IF(COUNTIFS($C:$C,$C491,$D:$D,"기준(전)",$L:$L,"&gt;0")&lt;&gt;1,"",SUMIFS($H:$H,$C:$C,$C491,$D:$D,"기준(전)"))</f>
        <v/>
      </c>
      <c r="O491" s="30">
        <f>IF(COUNTIFS($C:$C,$C491,$D:$D,"기준(전)",$L:$L,"&gt;0")&lt;&gt;1,"",SUMIFS($L:$L,$C:$C,$C491,$D:$D,"기준(전)"))</f>
        <v/>
      </c>
      <c r="P491" s="45">
        <f>IF(COUNTIFS($C:$C,$C491,$D:$D,"기준(후)",$L:$L,"&gt;0")&lt;&gt;1,"",SUMIFS($H:$H,$C:$C,$C491,$D:$D,"기준(후)"))</f>
        <v/>
      </c>
      <c r="Q491" s="30">
        <f>IF(COUNTIFS($C:$C,$C491,$D:$D,"기준(후)",$L:$L,"&gt;0")&lt;&gt;1,"",SUMIFS($L:$L,$C:$C,$C491,$D:$D,"기준(후)"))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IF(OR($D490&lt;&gt;"측정",$C490&lt;&gt;$C491,NOT(ISNUMBER(L491)),NOT(ISNUMBER(L490)),(IF(ISNUMBER(F491),F491,E491)-IF(ISNUMBER(F490),F490,E490))=0),"",(L491-L490)/((IF(ISNUMBER(F491),F491,E491)-IF(ISNUMBER(F490),F490,E490))/100))</f>
        <v/>
      </c>
      <c r="U491" s="28" t="n"/>
      <c r="V491" s="28" t="n"/>
      <c r="W491" s="31" t="n"/>
    </row>
    <row r="492">
      <c r="A492" s="25" t="inlineStr">
        <is>
          <t>S41</t>
        </is>
      </c>
      <c r="B492" s="25" t="inlineStr">
        <is>
          <t>거제</t>
        </is>
      </c>
      <c r="C492" s="25" t="inlineStr">
        <is>
          <t>S41-V</t>
        </is>
      </c>
      <c r="D492" s="25" t="inlineStr">
        <is>
          <t>측정</t>
        </is>
      </c>
      <c r="E492" s="48" t="n">
        <v>140</v>
      </c>
      <c r="F492" s="40" t="n"/>
      <c r="G492" s="28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IF(COUNTIFS($C:$C,$C492,$D:$D,"기준(전)",$L:$L,"&gt;0")&lt;&gt;1,"기준(전) 유효 1개 아님",IF(COUNTIFS($C:$C,$C492,$D:$D,"기준(후)",$L:$L,"&gt;0")&lt;&gt;1,"기준(후) 유효 1개 아님",IF(NOT(AND(ISNUMBER(N492),ISNUMBER(P492),ISNUMBER(H492))),"시각 결측",IF(P492&lt;=N492,"기준 시각 역전",IF(OR(H492&lt;N492,H492&gt;P492),"측정시각 구간 밖","OK")))))</f>
        <v/>
      </c>
      <c r="N492" s="45">
        <f>IF(COUNTIFS($C:$C,$C492,$D:$D,"기준(전)",$L:$L,"&gt;0")&lt;&gt;1,"",SUMIFS($H:$H,$C:$C,$C492,$D:$D,"기준(전)"))</f>
        <v/>
      </c>
      <c r="O492" s="30">
        <f>IF(COUNTIFS($C:$C,$C492,$D:$D,"기준(전)",$L:$L,"&gt;0")&lt;&gt;1,"",SUMIFS($L:$L,$C:$C,$C492,$D:$D,"기준(전)"))</f>
        <v/>
      </c>
      <c r="P492" s="45">
        <f>IF(COUNTIFS($C:$C,$C492,$D:$D,"기준(후)",$L:$L,"&gt;0")&lt;&gt;1,"",SUMIFS($H:$H,$C:$C,$C492,$D:$D,"기준(후)"))</f>
        <v/>
      </c>
      <c r="Q492" s="30">
        <f>IF(COUNTIFS($C:$C,$C492,$D:$D,"기준(후)",$L:$L,"&gt;0")&lt;&gt;1,"",SUMIFS($L:$L,$C:$C,$C492,$D:$D,"기준(후)"))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IF(OR($D491&lt;&gt;"측정",$C491&lt;&gt;$C492,NOT(ISNUMBER(L492)),NOT(ISNUMBER(L491)),(IF(ISNUMBER(F492),F492,E492)-IF(ISNUMBER(F491),F491,E491))=0),"",(L492-L491)/((IF(ISNUMBER(F492),F492,E492)-IF(ISNUMBER(F491),F491,E491))/100))</f>
        <v/>
      </c>
      <c r="U492" s="28" t="n"/>
      <c r="V492" s="28" t="n"/>
      <c r="W492" s="31" t="n"/>
    </row>
    <row r="493">
      <c r="A493" s="25" t="inlineStr">
        <is>
          <t>S41</t>
        </is>
      </c>
      <c r="B493" s="25" t="inlineStr">
        <is>
          <t>거제</t>
        </is>
      </c>
      <c r="C493" s="25" t="inlineStr">
        <is>
          <t>S41-V</t>
        </is>
      </c>
      <c r="D493" s="25" t="inlineStr">
        <is>
          <t>측정</t>
        </is>
      </c>
      <c r="E493" s="48" t="n">
        <v>160</v>
      </c>
      <c r="F493" s="40" t="n"/>
      <c r="G493" s="28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IF(COUNTIFS($C:$C,$C493,$D:$D,"기준(전)",$L:$L,"&gt;0")&lt;&gt;1,"기준(전) 유효 1개 아님",IF(COUNTIFS($C:$C,$C493,$D:$D,"기준(후)",$L:$L,"&gt;0")&lt;&gt;1,"기준(후) 유효 1개 아님",IF(NOT(AND(ISNUMBER(N493),ISNUMBER(P493),ISNUMBER(H493))),"시각 결측",IF(P493&lt;=N493,"기준 시각 역전",IF(OR(H493&lt;N493,H493&gt;P493),"측정시각 구간 밖","OK")))))</f>
        <v/>
      </c>
      <c r="N493" s="45">
        <f>IF(COUNTIFS($C:$C,$C493,$D:$D,"기준(전)",$L:$L,"&gt;0")&lt;&gt;1,"",SUMIFS($H:$H,$C:$C,$C493,$D:$D,"기준(전)"))</f>
        <v/>
      </c>
      <c r="O493" s="30">
        <f>IF(COUNTIFS($C:$C,$C493,$D:$D,"기준(전)",$L:$L,"&gt;0")&lt;&gt;1,"",SUMIFS($L:$L,$C:$C,$C493,$D:$D,"기준(전)"))</f>
        <v/>
      </c>
      <c r="P493" s="45">
        <f>IF(COUNTIFS($C:$C,$C493,$D:$D,"기준(후)",$L:$L,"&gt;0")&lt;&gt;1,"",SUMIFS($H:$H,$C:$C,$C493,$D:$D,"기준(후)"))</f>
        <v/>
      </c>
      <c r="Q493" s="30">
        <f>IF(COUNTIFS($C:$C,$C493,$D:$D,"기준(후)",$L:$L,"&gt;0")&lt;&gt;1,"",SUMIFS($L:$L,$C:$C,$C493,$D:$D,"기준(후)"))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IF(OR($D492&lt;&gt;"측정",$C492&lt;&gt;$C493,NOT(ISNUMBER(L493)),NOT(ISNUMBER(L492)),(IF(ISNUMBER(F493),F493,E493)-IF(ISNUMBER(F492),F492,E492))=0),"",(L493-L492)/((IF(ISNUMBER(F493),F493,E493)-IF(ISNUMBER(F492),F492,E492))/100))</f>
        <v/>
      </c>
      <c r="U493" s="28" t="n"/>
      <c r="V493" s="28" t="n"/>
      <c r="W493" s="31" t="n"/>
    </row>
    <row r="494">
      <c r="A494" s="25" t="inlineStr">
        <is>
          <t>S41</t>
        </is>
      </c>
      <c r="B494" s="25" t="inlineStr">
        <is>
          <t>거제</t>
        </is>
      </c>
      <c r="C494" s="25" t="inlineStr">
        <is>
          <t>S41-V</t>
        </is>
      </c>
      <c r="D494" s="25" t="inlineStr">
        <is>
          <t>측정</t>
        </is>
      </c>
      <c r="E494" s="48" t="n">
        <v>180</v>
      </c>
      <c r="F494" s="40" t="n"/>
      <c r="G494" s="28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IF(COUNTIFS($C:$C,$C494,$D:$D,"기준(전)",$L:$L,"&gt;0")&lt;&gt;1,"기준(전) 유효 1개 아님",IF(COUNTIFS($C:$C,$C494,$D:$D,"기준(후)",$L:$L,"&gt;0")&lt;&gt;1,"기준(후) 유효 1개 아님",IF(NOT(AND(ISNUMBER(N494),ISNUMBER(P494),ISNUMBER(H494))),"시각 결측",IF(P494&lt;=N494,"기준 시각 역전",IF(OR(H494&lt;N494,H494&gt;P494),"측정시각 구간 밖","OK")))))</f>
        <v/>
      </c>
      <c r="N494" s="45">
        <f>IF(COUNTIFS($C:$C,$C494,$D:$D,"기준(전)",$L:$L,"&gt;0")&lt;&gt;1,"",SUMIFS($H:$H,$C:$C,$C494,$D:$D,"기준(전)"))</f>
        <v/>
      </c>
      <c r="O494" s="30">
        <f>IF(COUNTIFS($C:$C,$C494,$D:$D,"기준(전)",$L:$L,"&gt;0")&lt;&gt;1,"",SUMIFS($L:$L,$C:$C,$C494,$D:$D,"기준(전)"))</f>
        <v/>
      </c>
      <c r="P494" s="45">
        <f>IF(COUNTIFS($C:$C,$C494,$D:$D,"기준(후)",$L:$L,"&gt;0")&lt;&gt;1,"",SUMIFS($H:$H,$C:$C,$C494,$D:$D,"기준(후)"))</f>
        <v/>
      </c>
      <c r="Q494" s="30">
        <f>IF(COUNTIFS($C:$C,$C494,$D:$D,"기준(후)",$L:$L,"&gt;0")&lt;&gt;1,"",SUMIFS($L:$L,$C:$C,$C494,$D:$D,"기준(후)"))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IF(OR($D493&lt;&gt;"측정",$C493&lt;&gt;$C494,NOT(ISNUMBER(L494)),NOT(ISNUMBER(L493)),(IF(ISNUMBER(F494),F494,E494)-IF(ISNUMBER(F493),F493,E493))=0),"",(L494-L493)/((IF(ISNUMBER(F494),F494,E494)-IF(ISNUMBER(F493),F493,E493))/100))</f>
        <v/>
      </c>
      <c r="U494" s="28" t="n"/>
      <c r="V494" s="28" t="n"/>
      <c r="W494" s="31" t="n"/>
    </row>
    <row r="495">
      <c r="A495" s="25" t="inlineStr">
        <is>
          <t>S41</t>
        </is>
      </c>
      <c r="B495" s="25" t="inlineStr">
        <is>
          <t>거제</t>
        </is>
      </c>
      <c r="C495" s="25" t="inlineStr">
        <is>
          <t>S41-V</t>
        </is>
      </c>
      <c r="D495" s="25" t="inlineStr">
        <is>
          <t>측정</t>
        </is>
      </c>
      <c r="E495" s="48" t="n">
        <v>200</v>
      </c>
      <c r="F495" s="40" t="n"/>
      <c r="G495" s="28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IF(COUNTIFS($C:$C,$C495,$D:$D,"기준(전)",$L:$L,"&gt;0")&lt;&gt;1,"기준(전) 유효 1개 아님",IF(COUNTIFS($C:$C,$C495,$D:$D,"기준(후)",$L:$L,"&gt;0")&lt;&gt;1,"기준(후) 유효 1개 아님",IF(NOT(AND(ISNUMBER(N495),ISNUMBER(P495),ISNUMBER(H495))),"시각 결측",IF(P495&lt;=N495,"기준 시각 역전",IF(OR(H495&lt;N495,H495&gt;P495),"측정시각 구간 밖","OK")))))</f>
        <v/>
      </c>
      <c r="N495" s="45">
        <f>IF(COUNTIFS($C:$C,$C495,$D:$D,"기준(전)",$L:$L,"&gt;0")&lt;&gt;1,"",SUMIFS($H:$H,$C:$C,$C495,$D:$D,"기준(전)"))</f>
        <v/>
      </c>
      <c r="O495" s="30">
        <f>IF(COUNTIFS($C:$C,$C495,$D:$D,"기준(전)",$L:$L,"&gt;0")&lt;&gt;1,"",SUMIFS($L:$L,$C:$C,$C495,$D:$D,"기준(전)"))</f>
        <v/>
      </c>
      <c r="P495" s="45">
        <f>IF(COUNTIFS($C:$C,$C495,$D:$D,"기준(후)",$L:$L,"&gt;0")&lt;&gt;1,"",SUMIFS($H:$H,$C:$C,$C495,$D:$D,"기준(후)"))</f>
        <v/>
      </c>
      <c r="Q495" s="30">
        <f>IF(COUNTIFS($C:$C,$C495,$D:$D,"기준(후)",$L:$L,"&gt;0")&lt;&gt;1,"",SUMIFS($L:$L,$C:$C,$C495,$D:$D,"기준(후)"))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IF(OR($D494&lt;&gt;"측정",$C494&lt;&gt;$C495,NOT(ISNUMBER(L495)),NOT(ISNUMBER(L494)),(IF(ISNUMBER(F495),F495,E495)-IF(ISNUMBER(F494),F494,E494))=0),"",(L495-L494)/((IF(ISNUMBER(F495),F495,E495)-IF(ISNUMBER(F494),F494,E494))/100))</f>
        <v/>
      </c>
      <c r="U495" s="28" t="n"/>
      <c r="V495" s="28" t="n"/>
      <c r="W495" s="31" t="n"/>
    </row>
    <row r="496">
      <c r="A496" s="43" t="inlineStr">
        <is>
          <t>S41</t>
        </is>
      </c>
      <c r="B496" s="43" t="inlineStr">
        <is>
          <t>거제</t>
        </is>
      </c>
      <c r="C496" s="43" t="inlineStr">
        <is>
          <t>S41-V</t>
        </is>
      </c>
      <c r="D496" s="43" t="inlineStr">
        <is>
          <t>기준(후)</t>
        </is>
      </c>
      <c r="E496" s="47" t="n"/>
      <c r="F496" s="40" t="n"/>
      <c r="G496" s="28" t="n"/>
      <c r="H496" s="42" t="n"/>
      <c r="I496" s="40" t="n"/>
      <c r="J496" s="40" t="n"/>
      <c r="K496" s="40" t="n"/>
      <c r="L496" s="30">
        <f>IF(COUNT(I496:K496)=0,"",MEDIAN(I496:K496))</f>
        <v/>
      </c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28" t="n"/>
      <c r="V496" s="28" t="n"/>
      <c r="W496" s="31" t="n"/>
    </row>
    <row r="497">
      <c r="A497" s="43" t="inlineStr">
        <is>
          <t>S42</t>
        </is>
      </c>
      <c r="B497" s="43" t="inlineStr">
        <is>
          <t>조도</t>
        </is>
      </c>
      <c r="C497" s="43" t="inlineStr">
        <is>
          <t>S42-V</t>
        </is>
      </c>
      <c r="D497" s="43" t="inlineStr">
        <is>
          <t>기준(전)</t>
        </is>
      </c>
      <c r="E497" s="47" t="n"/>
      <c r="F497" s="40" t="n"/>
      <c r="G497" s="28" t="n"/>
      <c r="H497" s="42" t="n"/>
      <c r="I497" s="40" t="n"/>
      <c r="J497" s="40" t="n"/>
      <c r="K497" s="40" t="n"/>
      <c r="L497" s="30">
        <f>IF(COUNT(I497:K497)=0,"",MEDIAN(I497:K497))</f>
        <v/>
      </c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28" t="n"/>
      <c r="V497" s="28" t="n"/>
      <c r="W497" s="31" t="n"/>
    </row>
    <row r="498">
      <c r="A498" s="25" t="inlineStr">
        <is>
          <t>S42</t>
        </is>
      </c>
      <c r="B498" s="25" t="inlineStr">
        <is>
          <t>조도</t>
        </is>
      </c>
      <c r="C498" s="25" t="inlineStr">
        <is>
          <t>S42-V</t>
        </is>
      </c>
      <c r="D498" s="25" t="inlineStr">
        <is>
          <t>측정</t>
        </is>
      </c>
      <c r="E498" s="48" t="n">
        <v>20</v>
      </c>
      <c r="F498" s="40" t="n"/>
      <c r="G498" s="28" t="n"/>
      <c r="H498" s="42" t="n"/>
      <c r="I498" s="40" t="n"/>
      <c r="J498" s="40" t="n"/>
      <c r="K498" s="40" t="n"/>
      <c r="L498" s="30">
        <f>IF(COUNT(I498:K498)=0,"",MEDIAN(I498:K498))</f>
        <v/>
      </c>
      <c r="M498" s="25">
        <f>IF(COUNTIFS($C:$C,$C498,$D:$D,"기준(전)",$L:$L,"&gt;0")&lt;&gt;1,"기준(전) 유효 1개 아님",IF(COUNTIFS($C:$C,$C498,$D:$D,"기준(후)",$L:$L,"&gt;0")&lt;&gt;1,"기준(후) 유효 1개 아님",IF(NOT(AND(ISNUMBER(N498),ISNUMBER(P498),ISNUMBER(H498))),"시각 결측",IF(P498&lt;=N498,"기준 시각 역전",IF(OR(H498&lt;N498,H498&gt;P498),"측정시각 구간 밖","OK")))))</f>
        <v/>
      </c>
      <c r="N498" s="45">
        <f>IF(COUNTIFS($C:$C,$C498,$D:$D,"기준(전)",$L:$L,"&gt;0")&lt;&gt;1,"",SUMIFS($H:$H,$C:$C,$C498,$D:$D,"기준(전)"))</f>
        <v/>
      </c>
      <c r="O498" s="30">
        <f>IF(COUNTIFS($C:$C,$C498,$D:$D,"기준(전)",$L:$L,"&gt;0")&lt;&gt;1,"",SUMIFS($L:$L,$C:$C,$C498,$D:$D,"기준(전)"))</f>
        <v/>
      </c>
      <c r="P498" s="45">
        <f>IF(COUNTIFS($C:$C,$C498,$D:$D,"기준(후)",$L:$L,"&gt;0")&lt;&gt;1,"",SUMIFS($H:$H,$C:$C,$C498,$D:$D,"기준(후)"))</f>
        <v/>
      </c>
      <c r="Q498" s="30">
        <f>IF(COUNTIFS($C:$C,$C498,$D:$D,"기준(후)",$L:$L,"&gt;0")&lt;&gt;1,"",SUMIFS($L:$L,$C:$C,$C498,$D:$D,"기준(후)"))</f>
        <v/>
      </c>
      <c r="R498" s="30">
        <f>IF(M498&lt;&gt;"OK","",O498+(Q498-O498)*(H498-N498)/(P498-N498))</f>
        <v/>
      </c>
      <c r="S498" s="30">
        <f>IF(OR(M498&lt;&gt;"OK",NOT(ISNUMBER(L498))),"",L498-R498)</f>
        <v/>
      </c>
      <c r="T498" s="46">
        <f>IF(OR($D497&lt;&gt;"측정",$C497&lt;&gt;$C498,NOT(ISNUMBER(L498)),NOT(ISNUMBER(L497)),(IF(ISNUMBER(F498),F498,E498)-IF(ISNUMBER(F497),F497,E497))=0),"",(L498-L497)/((IF(ISNUMBER(F498),F498,E498)-IF(ISNUMBER(F497),F497,E497))/100))</f>
        <v/>
      </c>
      <c r="U498" s="28" t="n"/>
      <c r="V498" s="28" t="n"/>
      <c r="W498" s="31" t="n"/>
    </row>
    <row r="499">
      <c r="A499" s="25" t="inlineStr">
        <is>
          <t>S42</t>
        </is>
      </c>
      <c r="B499" s="25" t="inlineStr">
        <is>
          <t>조도</t>
        </is>
      </c>
      <c r="C499" s="25" t="inlineStr">
        <is>
          <t>S42-V</t>
        </is>
      </c>
      <c r="D499" s="25" t="inlineStr">
        <is>
          <t>측정</t>
        </is>
      </c>
      <c r="E499" s="48" t="n">
        <v>40</v>
      </c>
      <c r="F499" s="40" t="n"/>
      <c r="G499" s="28" t="n"/>
      <c r="H499" s="42" t="n"/>
      <c r="I499" s="40" t="n"/>
      <c r="J499" s="40" t="n"/>
      <c r="K499" s="40" t="n"/>
      <c r="L499" s="30">
        <f>IF(COUNT(I499:K499)=0,"",MEDIAN(I499:K499))</f>
        <v/>
      </c>
      <c r="M499" s="25">
        <f>IF(COUNTIFS($C:$C,$C499,$D:$D,"기준(전)",$L:$L,"&gt;0")&lt;&gt;1,"기준(전) 유효 1개 아님",IF(COUNTIFS($C:$C,$C499,$D:$D,"기준(후)",$L:$L,"&gt;0")&lt;&gt;1,"기준(후) 유효 1개 아님",IF(NOT(AND(ISNUMBER(N499),ISNUMBER(P499),ISNUMBER(H499))),"시각 결측",IF(P499&lt;=N499,"기준 시각 역전",IF(OR(H499&lt;N499,H499&gt;P499),"측정시각 구간 밖","OK")))))</f>
        <v/>
      </c>
      <c r="N499" s="45">
        <f>IF(COUNTIFS($C:$C,$C499,$D:$D,"기준(전)",$L:$L,"&gt;0")&lt;&gt;1,"",SUMIFS($H:$H,$C:$C,$C499,$D:$D,"기준(전)"))</f>
        <v/>
      </c>
      <c r="O499" s="30">
        <f>IF(COUNTIFS($C:$C,$C499,$D:$D,"기준(전)",$L:$L,"&gt;0")&lt;&gt;1,"",SUMIFS($L:$L,$C:$C,$C499,$D:$D,"기준(전)"))</f>
        <v/>
      </c>
      <c r="P499" s="45">
        <f>IF(COUNTIFS($C:$C,$C499,$D:$D,"기준(후)",$L:$L,"&gt;0")&lt;&gt;1,"",SUMIFS($H:$H,$C:$C,$C499,$D:$D,"기준(후)"))</f>
        <v/>
      </c>
      <c r="Q499" s="30">
        <f>IF(COUNTIFS($C:$C,$C499,$D:$D,"기준(후)",$L:$L,"&gt;0")&lt;&gt;1,"",SUMIFS($L:$L,$C:$C,$C499,$D:$D,"기준(후)"))</f>
        <v/>
      </c>
      <c r="R499" s="30">
        <f>IF(M499&lt;&gt;"OK","",O499+(Q499-O499)*(H499-N499)/(P499-N499))</f>
        <v/>
      </c>
      <c r="S499" s="30">
        <f>IF(OR(M499&lt;&gt;"OK",NOT(ISNUMBER(L499))),"",L499-R499)</f>
        <v/>
      </c>
      <c r="T499" s="46">
        <f>IF(OR($D498&lt;&gt;"측정",$C498&lt;&gt;$C499,NOT(ISNUMBER(L499)),NOT(ISNUMBER(L498)),(IF(ISNUMBER(F499),F499,E499)-IF(ISNUMBER(F498),F498,E498))=0),"",(L499-L498)/((IF(ISNUMBER(F499),F499,E499)-IF(ISNUMBER(F498),F498,E498))/100))</f>
        <v/>
      </c>
      <c r="U499" s="28" t="n"/>
      <c r="V499" s="28" t="n"/>
      <c r="W499" s="31" t="n"/>
    </row>
    <row r="500">
      <c r="A500" s="25" t="inlineStr">
        <is>
          <t>S42</t>
        </is>
      </c>
      <c r="B500" s="25" t="inlineStr">
        <is>
          <t>조도</t>
        </is>
      </c>
      <c r="C500" s="25" t="inlineStr">
        <is>
          <t>S42-V</t>
        </is>
      </c>
      <c r="D500" s="25" t="inlineStr">
        <is>
          <t>측정</t>
        </is>
      </c>
      <c r="E500" s="48" t="n">
        <v>60</v>
      </c>
      <c r="F500" s="40" t="n"/>
      <c r="G500" s="28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IF(COUNTIFS($C:$C,$C500,$D:$D,"기준(전)",$L:$L,"&gt;0")&lt;&gt;1,"기준(전) 유효 1개 아님",IF(COUNTIFS($C:$C,$C500,$D:$D,"기준(후)",$L:$L,"&gt;0")&lt;&gt;1,"기준(후) 유효 1개 아님",IF(NOT(AND(ISNUMBER(N500),ISNUMBER(P500),ISNUMBER(H500))),"시각 결측",IF(P500&lt;=N500,"기준 시각 역전",IF(OR(H500&lt;N500,H500&gt;P500),"측정시각 구간 밖","OK")))))</f>
        <v/>
      </c>
      <c r="N500" s="45">
        <f>IF(COUNTIFS($C:$C,$C500,$D:$D,"기준(전)",$L:$L,"&gt;0")&lt;&gt;1,"",SUMIFS($H:$H,$C:$C,$C500,$D:$D,"기준(전)"))</f>
        <v/>
      </c>
      <c r="O500" s="30">
        <f>IF(COUNTIFS($C:$C,$C500,$D:$D,"기준(전)",$L:$L,"&gt;0")&lt;&gt;1,"",SUMIFS($L:$L,$C:$C,$C500,$D:$D,"기준(전)"))</f>
        <v/>
      </c>
      <c r="P500" s="45">
        <f>IF(COUNTIFS($C:$C,$C500,$D:$D,"기준(후)",$L:$L,"&gt;0")&lt;&gt;1,"",SUMIFS($H:$H,$C:$C,$C500,$D:$D,"기준(후)"))</f>
        <v/>
      </c>
      <c r="Q500" s="30">
        <f>IF(COUNTIFS($C:$C,$C500,$D:$D,"기준(후)",$L:$L,"&gt;0")&lt;&gt;1,"",SUMIFS($L:$L,$C:$C,$C500,$D:$D,"기준(후)"))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IF(OR($D499&lt;&gt;"측정",$C499&lt;&gt;$C500,NOT(ISNUMBER(L500)),NOT(ISNUMBER(L499)),(IF(ISNUMBER(F500),F500,E500)-IF(ISNUMBER(F499),F499,E499))=0),"",(L500-L499)/((IF(ISNUMBER(F500),F500,E500)-IF(ISNUMBER(F499),F499,E499))/100))</f>
        <v/>
      </c>
      <c r="U500" s="28" t="n"/>
      <c r="V500" s="28" t="n"/>
      <c r="W500" s="31" t="n"/>
    </row>
    <row r="501">
      <c r="A501" s="25" t="inlineStr">
        <is>
          <t>S42</t>
        </is>
      </c>
      <c r="B501" s="25" t="inlineStr">
        <is>
          <t>조도</t>
        </is>
      </c>
      <c r="C501" s="25" t="inlineStr">
        <is>
          <t>S42-V</t>
        </is>
      </c>
      <c r="D501" s="25" t="inlineStr">
        <is>
          <t>측정</t>
        </is>
      </c>
      <c r="E501" s="48" t="n">
        <v>80</v>
      </c>
      <c r="F501" s="40" t="n"/>
      <c r="G501" s="28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IF(COUNTIFS($C:$C,$C501,$D:$D,"기준(전)",$L:$L,"&gt;0")&lt;&gt;1,"기준(전) 유효 1개 아님",IF(COUNTIFS($C:$C,$C501,$D:$D,"기준(후)",$L:$L,"&gt;0")&lt;&gt;1,"기준(후) 유효 1개 아님",IF(NOT(AND(ISNUMBER(N501),ISNUMBER(P501),ISNUMBER(H501))),"시각 결측",IF(P501&lt;=N501,"기준 시각 역전",IF(OR(H501&lt;N501,H501&gt;P501),"측정시각 구간 밖","OK")))))</f>
        <v/>
      </c>
      <c r="N501" s="45">
        <f>IF(COUNTIFS($C:$C,$C501,$D:$D,"기준(전)",$L:$L,"&gt;0")&lt;&gt;1,"",SUMIFS($H:$H,$C:$C,$C501,$D:$D,"기준(전)"))</f>
        <v/>
      </c>
      <c r="O501" s="30">
        <f>IF(COUNTIFS($C:$C,$C501,$D:$D,"기준(전)",$L:$L,"&gt;0")&lt;&gt;1,"",SUMIFS($L:$L,$C:$C,$C501,$D:$D,"기준(전)"))</f>
        <v/>
      </c>
      <c r="P501" s="45">
        <f>IF(COUNTIFS($C:$C,$C501,$D:$D,"기준(후)",$L:$L,"&gt;0")&lt;&gt;1,"",SUMIFS($H:$H,$C:$C,$C501,$D:$D,"기준(후)"))</f>
        <v/>
      </c>
      <c r="Q501" s="30">
        <f>IF(COUNTIFS($C:$C,$C501,$D:$D,"기준(후)",$L:$L,"&gt;0")&lt;&gt;1,"",SUMIFS($L:$L,$C:$C,$C501,$D:$D,"기준(후)"))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IF(OR($D500&lt;&gt;"측정",$C500&lt;&gt;$C501,NOT(ISNUMBER(L501)),NOT(ISNUMBER(L500)),(IF(ISNUMBER(F501),F501,E501)-IF(ISNUMBER(F500),F500,E500))=0),"",(L501-L500)/((IF(ISNUMBER(F501),F501,E501)-IF(ISNUMBER(F500),F500,E500))/100))</f>
        <v/>
      </c>
      <c r="U501" s="28" t="n"/>
      <c r="V501" s="28" t="n"/>
      <c r="W501" s="31" t="n"/>
    </row>
    <row r="502">
      <c r="A502" s="25" t="inlineStr">
        <is>
          <t>S42</t>
        </is>
      </c>
      <c r="B502" s="25" t="inlineStr">
        <is>
          <t>조도</t>
        </is>
      </c>
      <c r="C502" s="25" t="inlineStr">
        <is>
          <t>S42-V</t>
        </is>
      </c>
      <c r="D502" s="25" t="inlineStr">
        <is>
          <t>측정</t>
        </is>
      </c>
      <c r="E502" s="48" t="n">
        <v>100</v>
      </c>
      <c r="F502" s="40" t="n"/>
      <c r="G502" s="28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IF(COUNTIFS($C:$C,$C502,$D:$D,"기준(전)",$L:$L,"&gt;0")&lt;&gt;1,"기준(전) 유효 1개 아님",IF(COUNTIFS($C:$C,$C502,$D:$D,"기준(후)",$L:$L,"&gt;0")&lt;&gt;1,"기준(후) 유효 1개 아님",IF(NOT(AND(ISNUMBER(N502),ISNUMBER(P502),ISNUMBER(H502))),"시각 결측",IF(P502&lt;=N502,"기준 시각 역전",IF(OR(H502&lt;N502,H502&gt;P502),"측정시각 구간 밖","OK")))))</f>
        <v/>
      </c>
      <c r="N502" s="45">
        <f>IF(COUNTIFS($C:$C,$C502,$D:$D,"기준(전)",$L:$L,"&gt;0")&lt;&gt;1,"",SUMIFS($H:$H,$C:$C,$C502,$D:$D,"기준(전)"))</f>
        <v/>
      </c>
      <c r="O502" s="30">
        <f>IF(COUNTIFS($C:$C,$C502,$D:$D,"기준(전)",$L:$L,"&gt;0")&lt;&gt;1,"",SUMIFS($L:$L,$C:$C,$C502,$D:$D,"기준(전)"))</f>
        <v/>
      </c>
      <c r="P502" s="45">
        <f>IF(COUNTIFS($C:$C,$C502,$D:$D,"기준(후)",$L:$L,"&gt;0")&lt;&gt;1,"",SUMIFS($H:$H,$C:$C,$C502,$D:$D,"기준(후)"))</f>
        <v/>
      </c>
      <c r="Q502" s="30">
        <f>IF(COUNTIFS($C:$C,$C502,$D:$D,"기준(후)",$L:$L,"&gt;0")&lt;&gt;1,"",SUMIFS($L:$L,$C:$C,$C502,$D:$D,"기준(후)"))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IF(OR($D501&lt;&gt;"측정",$C501&lt;&gt;$C502,NOT(ISNUMBER(L502)),NOT(ISNUMBER(L501)),(IF(ISNUMBER(F502),F502,E502)-IF(ISNUMBER(F501),F501,E501))=0),"",(L502-L501)/((IF(ISNUMBER(F502),F502,E502)-IF(ISNUMBER(F501),F501,E501))/100))</f>
        <v/>
      </c>
      <c r="U502" s="28" t="n"/>
      <c r="V502" s="28" t="n"/>
      <c r="W502" s="31" t="n"/>
    </row>
    <row r="503">
      <c r="A503" s="25" t="inlineStr">
        <is>
          <t>S42</t>
        </is>
      </c>
      <c r="B503" s="25" t="inlineStr">
        <is>
          <t>조도</t>
        </is>
      </c>
      <c r="C503" s="25" t="inlineStr">
        <is>
          <t>S42-V</t>
        </is>
      </c>
      <c r="D503" s="25" t="inlineStr">
        <is>
          <t>측정</t>
        </is>
      </c>
      <c r="E503" s="48" t="n">
        <v>120</v>
      </c>
      <c r="F503" s="40" t="n"/>
      <c r="G503" s="28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IF(COUNTIFS($C:$C,$C503,$D:$D,"기준(전)",$L:$L,"&gt;0")&lt;&gt;1,"기준(전) 유효 1개 아님",IF(COUNTIFS($C:$C,$C503,$D:$D,"기준(후)",$L:$L,"&gt;0")&lt;&gt;1,"기준(후) 유효 1개 아님",IF(NOT(AND(ISNUMBER(N503),ISNUMBER(P503),ISNUMBER(H503))),"시각 결측",IF(P503&lt;=N503,"기준 시각 역전",IF(OR(H503&lt;N503,H503&gt;P503),"측정시각 구간 밖","OK")))))</f>
        <v/>
      </c>
      <c r="N503" s="45">
        <f>IF(COUNTIFS($C:$C,$C503,$D:$D,"기준(전)",$L:$L,"&gt;0")&lt;&gt;1,"",SUMIFS($H:$H,$C:$C,$C503,$D:$D,"기준(전)"))</f>
        <v/>
      </c>
      <c r="O503" s="30">
        <f>IF(COUNTIFS($C:$C,$C503,$D:$D,"기준(전)",$L:$L,"&gt;0")&lt;&gt;1,"",SUMIFS($L:$L,$C:$C,$C503,$D:$D,"기준(전)"))</f>
        <v/>
      </c>
      <c r="P503" s="45">
        <f>IF(COUNTIFS($C:$C,$C503,$D:$D,"기준(후)",$L:$L,"&gt;0")&lt;&gt;1,"",SUMIFS($H:$H,$C:$C,$C503,$D:$D,"기준(후)"))</f>
        <v/>
      </c>
      <c r="Q503" s="30">
        <f>IF(COUNTIFS($C:$C,$C503,$D:$D,"기준(후)",$L:$L,"&gt;0")&lt;&gt;1,"",SUMIFS($L:$L,$C:$C,$C503,$D:$D,"기준(후)"))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IF(OR($D502&lt;&gt;"측정",$C502&lt;&gt;$C503,NOT(ISNUMBER(L503)),NOT(ISNUMBER(L502)),(IF(ISNUMBER(F503),F503,E503)-IF(ISNUMBER(F502),F502,E502))=0),"",(L503-L502)/((IF(ISNUMBER(F503),F503,E503)-IF(ISNUMBER(F502),F502,E502))/100))</f>
        <v/>
      </c>
      <c r="U503" s="28" t="n"/>
      <c r="V503" s="28" t="n"/>
      <c r="W503" s="31" t="n"/>
    </row>
    <row r="504">
      <c r="A504" s="25" t="inlineStr">
        <is>
          <t>S42</t>
        </is>
      </c>
      <c r="B504" s="25" t="inlineStr">
        <is>
          <t>조도</t>
        </is>
      </c>
      <c r="C504" s="25" t="inlineStr">
        <is>
          <t>S42-V</t>
        </is>
      </c>
      <c r="D504" s="25" t="inlineStr">
        <is>
          <t>측정</t>
        </is>
      </c>
      <c r="E504" s="48" t="n">
        <v>140</v>
      </c>
      <c r="F504" s="40" t="n"/>
      <c r="G504" s="28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IF(COUNTIFS($C:$C,$C504,$D:$D,"기준(전)",$L:$L,"&gt;0")&lt;&gt;1,"기준(전) 유효 1개 아님",IF(COUNTIFS($C:$C,$C504,$D:$D,"기준(후)",$L:$L,"&gt;0")&lt;&gt;1,"기준(후) 유효 1개 아님",IF(NOT(AND(ISNUMBER(N504),ISNUMBER(P504),ISNUMBER(H504))),"시각 결측",IF(P504&lt;=N504,"기준 시각 역전",IF(OR(H504&lt;N504,H504&gt;P504),"측정시각 구간 밖","OK")))))</f>
        <v/>
      </c>
      <c r="N504" s="45">
        <f>IF(COUNTIFS($C:$C,$C504,$D:$D,"기준(전)",$L:$L,"&gt;0")&lt;&gt;1,"",SUMIFS($H:$H,$C:$C,$C504,$D:$D,"기준(전)"))</f>
        <v/>
      </c>
      <c r="O504" s="30">
        <f>IF(COUNTIFS($C:$C,$C504,$D:$D,"기준(전)",$L:$L,"&gt;0")&lt;&gt;1,"",SUMIFS($L:$L,$C:$C,$C504,$D:$D,"기준(전)"))</f>
        <v/>
      </c>
      <c r="P504" s="45">
        <f>IF(COUNTIFS($C:$C,$C504,$D:$D,"기준(후)",$L:$L,"&gt;0")&lt;&gt;1,"",SUMIFS($H:$H,$C:$C,$C504,$D:$D,"기준(후)"))</f>
        <v/>
      </c>
      <c r="Q504" s="30">
        <f>IF(COUNTIFS($C:$C,$C504,$D:$D,"기준(후)",$L:$L,"&gt;0")&lt;&gt;1,"",SUMIFS($L:$L,$C:$C,$C504,$D:$D,"기준(후)"))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IF(OR($D503&lt;&gt;"측정",$C503&lt;&gt;$C504,NOT(ISNUMBER(L504)),NOT(ISNUMBER(L503)),(IF(ISNUMBER(F504),F504,E504)-IF(ISNUMBER(F503),F503,E503))=0),"",(L504-L503)/((IF(ISNUMBER(F504),F504,E504)-IF(ISNUMBER(F503),F503,E503))/100))</f>
        <v/>
      </c>
      <c r="U504" s="28" t="n"/>
      <c r="V504" s="28" t="n"/>
      <c r="W504" s="31" t="n"/>
    </row>
    <row r="505">
      <c r="A505" s="25" t="inlineStr">
        <is>
          <t>S42</t>
        </is>
      </c>
      <c r="B505" s="25" t="inlineStr">
        <is>
          <t>조도</t>
        </is>
      </c>
      <c r="C505" s="25" t="inlineStr">
        <is>
          <t>S42-V</t>
        </is>
      </c>
      <c r="D505" s="25" t="inlineStr">
        <is>
          <t>측정</t>
        </is>
      </c>
      <c r="E505" s="48" t="n">
        <v>160</v>
      </c>
      <c r="F505" s="40" t="n"/>
      <c r="G505" s="28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IF(COUNTIFS($C:$C,$C505,$D:$D,"기준(전)",$L:$L,"&gt;0")&lt;&gt;1,"기준(전) 유효 1개 아님",IF(COUNTIFS($C:$C,$C505,$D:$D,"기준(후)",$L:$L,"&gt;0")&lt;&gt;1,"기준(후) 유효 1개 아님",IF(NOT(AND(ISNUMBER(N505),ISNUMBER(P505),ISNUMBER(H505))),"시각 결측",IF(P505&lt;=N505,"기준 시각 역전",IF(OR(H505&lt;N505,H505&gt;P505),"측정시각 구간 밖","OK")))))</f>
        <v/>
      </c>
      <c r="N505" s="45">
        <f>IF(COUNTIFS($C:$C,$C505,$D:$D,"기준(전)",$L:$L,"&gt;0")&lt;&gt;1,"",SUMIFS($H:$H,$C:$C,$C505,$D:$D,"기준(전)"))</f>
        <v/>
      </c>
      <c r="O505" s="30">
        <f>IF(COUNTIFS($C:$C,$C505,$D:$D,"기준(전)",$L:$L,"&gt;0")&lt;&gt;1,"",SUMIFS($L:$L,$C:$C,$C505,$D:$D,"기준(전)"))</f>
        <v/>
      </c>
      <c r="P505" s="45">
        <f>IF(COUNTIFS($C:$C,$C505,$D:$D,"기준(후)",$L:$L,"&gt;0")&lt;&gt;1,"",SUMIFS($H:$H,$C:$C,$C505,$D:$D,"기준(후)"))</f>
        <v/>
      </c>
      <c r="Q505" s="30">
        <f>IF(COUNTIFS($C:$C,$C505,$D:$D,"기준(후)",$L:$L,"&gt;0")&lt;&gt;1,"",SUMIFS($L:$L,$C:$C,$C505,$D:$D,"기준(후)"))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IF(OR($D504&lt;&gt;"측정",$C504&lt;&gt;$C505,NOT(ISNUMBER(L505)),NOT(ISNUMBER(L504)),(IF(ISNUMBER(F505),F505,E505)-IF(ISNUMBER(F504),F504,E504))=0),"",(L505-L504)/((IF(ISNUMBER(F505),F505,E505)-IF(ISNUMBER(F504),F504,E504))/100))</f>
        <v/>
      </c>
      <c r="U505" s="28" t="n"/>
      <c r="V505" s="28" t="n"/>
      <c r="W505" s="31" t="n"/>
    </row>
    <row r="506">
      <c r="A506" s="25" t="inlineStr">
        <is>
          <t>S42</t>
        </is>
      </c>
      <c r="B506" s="25" t="inlineStr">
        <is>
          <t>조도</t>
        </is>
      </c>
      <c r="C506" s="25" t="inlineStr">
        <is>
          <t>S42-V</t>
        </is>
      </c>
      <c r="D506" s="25" t="inlineStr">
        <is>
          <t>측정</t>
        </is>
      </c>
      <c r="E506" s="48" t="n">
        <v>180</v>
      </c>
      <c r="F506" s="40" t="n"/>
      <c r="G506" s="28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IF(COUNTIFS($C:$C,$C506,$D:$D,"기준(전)",$L:$L,"&gt;0")&lt;&gt;1,"기준(전) 유효 1개 아님",IF(COUNTIFS($C:$C,$C506,$D:$D,"기준(후)",$L:$L,"&gt;0")&lt;&gt;1,"기준(후) 유효 1개 아님",IF(NOT(AND(ISNUMBER(N506),ISNUMBER(P506),ISNUMBER(H506))),"시각 결측",IF(P506&lt;=N506,"기준 시각 역전",IF(OR(H506&lt;N506,H506&gt;P506),"측정시각 구간 밖","OK")))))</f>
        <v/>
      </c>
      <c r="N506" s="45">
        <f>IF(COUNTIFS($C:$C,$C506,$D:$D,"기준(전)",$L:$L,"&gt;0")&lt;&gt;1,"",SUMIFS($H:$H,$C:$C,$C506,$D:$D,"기준(전)"))</f>
        <v/>
      </c>
      <c r="O506" s="30">
        <f>IF(COUNTIFS($C:$C,$C506,$D:$D,"기준(전)",$L:$L,"&gt;0")&lt;&gt;1,"",SUMIFS($L:$L,$C:$C,$C506,$D:$D,"기준(전)"))</f>
        <v/>
      </c>
      <c r="P506" s="45">
        <f>IF(COUNTIFS($C:$C,$C506,$D:$D,"기준(후)",$L:$L,"&gt;0")&lt;&gt;1,"",SUMIFS($H:$H,$C:$C,$C506,$D:$D,"기준(후)"))</f>
        <v/>
      </c>
      <c r="Q506" s="30">
        <f>IF(COUNTIFS($C:$C,$C506,$D:$D,"기준(후)",$L:$L,"&gt;0")&lt;&gt;1,"",SUMIFS($L:$L,$C:$C,$C506,$D:$D,"기준(후)"))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IF(OR($D505&lt;&gt;"측정",$C505&lt;&gt;$C506,NOT(ISNUMBER(L506)),NOT(ISNUMBER(L505)),(IF(ISNUMBER(F506),F506,E506)-IF(ISNUMBER(F505),F505,E505))=0),"",(L506-L505)/((IF(ISNUMBER(F506),F506,E506)-IF(ISNUMBER(F505),F505,E505))/100))</f>
        <v/>
      </c>
      <c r="U506" s="28" t="n"/>
      <c r="V506" s="28" t="n"/>
      <c r="W506" s="31" t="n"/>
    </row>
    <row r="507">
      <c r="A507" s="25" t="inlineStr">
        <is>
          <t>S42</t>
        </is>
      </c>
      <c r="B507" s="25" t="inlineStr">
        <is>
          <t>조도</t>
        </is>
      </c>
      <c r="C507" s="25" t="inlineStr">
        <is>
          <t>S42-V</t>
        </is>
      </c>
      <c r="D507" s="25" t="inlineStr">
        <is>
          <t>측정</t>
        </is>
      </c>
      <c r="E507" s="48" t="n">
        <v>200</v>
      </c>
      <c r="F507" s="40" t="n"/>
      <c r="G507" s="28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IF(COUNTIFS($C:$C,$C507,$D:$D,"기준(전)",$L:$L,"&gt;0")&lt;&gt;1,"기준(전) 유효 1개 아님",IF(COUNTIFS($C:$C,$C507,$D:$D,"기준(후)",$L:$L,"&gt;0")&lt;&gt;1,"기준(후) 유효 1개 아님",IF(NOT(AND(ISNUMBER(N507),ISNUMBER(P507),ISNUMBER(H507))),"시각 결측",IF(P507&lt;=N507,"기준 시각 역전",IF(OR(H507&lt;N507,H507&gt;P507),"측정시각 구간 밖","OK")))))</f>
        <v/>
      </c>
      <c r="N507" s="45">
        <f>IF(COUNTIFS($C:$C,$C507,$D:$D,"기준(전)",$L:$L,"&gt;0")&lt;&gt;1,"",SUMIFS($H:$H,$C:$C,$C507,$D:$D,"기준(전)"))</f>
        <v/>
      </c>
      <c r="O507" s="30">
        <f>IF(COUNTIFS($C:$C,$C507,$D:$D,"기준(전)",$L:$L,"&gt;0")&lt;&gt;1,"",SUMIFS($L:$L,$C:$C,$C507,$D:$D,"기준(전)"))</f>
        <v/>
      </c>
      <c r="P507" s="45">
        <f>IF(COUNTIFS($C:$C,$C507,$D:$D,"기준(후)",$L:$L,"&gt;0")&lt;&gt;1,"",SUMIFS($H:$H,$C:$C,$C507,$D:$D,"기준(후)"))</f>
        <v/>
      </c>
      <c r="Q507" s="30">
        <f>IF(COUNTIFS($C:$C,$C507,$D:$D,"기준(후)",$L:$L,"&gt;0")&lt;&gt;1,"",SUMIFS($L:$L,$C:$C,$C507,$D:$D,"기준(후)"))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IF(OR($D506&lt;&gt;"측정",$C506&lt;&gt;$C507,NOT(ISNUMBER(L507)),NOT(ISNUMBER(L506)),(IF(ISNUMBER(F507),F507,E507)-IF(ISNUMBER(F506),F506,E506))=0),"",(L507-L506)/((IF(ISNUMBER(F507),F507,E507)-IF(ISNUMBER(F506),F506,E506))/100))</f>
        <v/>
      </c>
      <c r="U507" s="28" t="n"/>
      <c r="V507" s="28" t="n"/>
      <c r="W507" s="31" t="n"/>
    </row>
    <row r="508">
      <c r="A508" s="43" t="inlineStr">
        <is>
          <t>S42</t>
        </is>
      </c>
      <c r="B508" s="43" t="inlineStr">
        <is>
          <t>조도</t>
        </is>
      </c>
      <c r="C508" s="43" t="inlineStr">
        <is>
          <t>S42-V</t>
        </is>
      </c>
      <c r="D508" s="43" t="inlineStr">
        <is>
          <t>기준(후)</t>
        </is>
      </c>
      <c r="E508" s="47" t="n"/>
      <c r="F508" s="40" t="n"/>
      <c r="G508" s="28" t="n"/>
      <c r="H508" s="42" t="n"/>
      <c r="I508" s="40" t="n"/>
      <c r="J508" s="40" t="n"/>
      <c r="K508" s="40" t="n"/>
      <c r="L508" s="30">
        <f>IF(COUNT(I508:K508)=0,"",MEDIAN(I508:K508))</f>
        <v/>
      </c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28" t="n"/>
      <c r="V508" s="28" t="n"/>
      <c r="W508" s="31" t="n"/>
    </row>
    <row r="509">
      <c r="A509" s="43" t="inlineStr">
        <is>
          <t>S43</t>
        </is>
      </c>
      <c r="B509" s="43" t="inlineStr">
        <is>
          <t>포천</t>
        </is>
      </c>
      <c r="C509" s="43" t="inlineStr">
        <is>
          <t>S43-V</t>
        </is>
      </c>
      <c r="D509" s="43" t="inlineStr">
        <is>
          <t>기준(전)</t>
        </is>
      </c>
      <c r="E509" s="47" t="n"/>
      <c r="F509" s="40" t="n"/>
      <c r="G509" s="28" t="n"/>
      <c r="H509" s="42" t="n"/>
      <c r="I509" s="40" t="n"/>
      <c r="J509" s="40" t="n"/>
      <c r="K509" s="40" t="n"/>
      <c r="L509" s="30">
        <f>IF(COUNT(I509:K509)=0,"",MEDIAN(I509:K509))</f>
        <v/>
      </c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28" t="n"/>
      <c r="V509" s="28" t="n"/>
      <c r="W509" s="31" t="n"/>
    </row>
    <row r="510">
      <c r="A510" s="25" t="inlineStr">
        <is>
          <t>S43</t>
        </is>
      </c>
      <c r="B510" s="25" t="inlineStr">
        <is>
          <t>포천</t>
        </is>
      </c>
      <c r="C510" s="25" t="inlineStr">
        <is>
          <t>S43-V</t>
        </is>
      </c>
      <c r="D510" s="25" t="inlineStr">
        <is>
          <t>측정</t>
        </is>
      </c>
      <c r="E510" s="48" t="n">
        <v>20</v>
      </c>
      <c r="F510" s="40" t="n"/>
      <c r="G510" s="28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IF(COUNTIFS($C:$C,$C510,$D:$D,"기준(전)",$L:$L,"&gt;0")&lt;&gt;1,"기준(전) 유효 1개 아님",IF(COUNTIFS($C:$C,$C510,$D:$D,"기준(후)",$L:$L,"&gt;0")&lt;&gt;1,"기준(후) 유효 1개 아님",IF(NOT(AND(ISNUMBER(N510),ISNUMBER(P510),ISNUMBER(H510))),"시각 결측",IF(P510&lt;=N510,"기준 시각 역전",IF(OR(H510&lt;N510,H510&gt;P510),"측정시각 구간 밖","OK")))))</f>
        <v/>
      </c>
      <c r="N510" s="45">
        <f>IF(COUNTIFS($C:$C,$C510,$D:$D,"기준(전)",$L:$L,"&gt;0")&lt;&gt;1,"",SUMIFS($H:$H,$C:$C,$C510,$D:$D,"기준(전)"))</f>
        <v/>
      </c>
      <c r="O510" s="30">
        <f>IF(COUNTIFS($C:$C,$C510,$D:$D,"기준(전)",$L:$L,"&gt;0")&lt;&gt;1,"",SUMIFS($L:$L,$C:$C,$C510,$D:$D,"기준(전)"))</f>
        <v/>
      </c>
      <c r="P510" s="45">
        <f>IF(COUNTIFS($C:$C,$C510,$D:$D,"기준(후)",$L:$L,"&gt;0")&lt;&gt;1,"",SUMIFS($H:$H,$C:$C,$C510,$D:$D,"기준(후)"))</f>
        <v/>
      </c>
      <c r="Q510" s="30">
        <f>IF(COUNTIFS($C:$C,$C510,$D:$D,"기준(후)",$L:$L,"&gt;0")&lt;&gt;1,"",SUMIFS($L:$L,$C:$C,$C510,$D:$D,"기준(후)"))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IF(OR($D509&lt;&gt;"측정",$C509&lt;&gt;$C510,NOT(ISNUMBER(L510)),NOT(ISNUMBER(L509)),(IF(ISNUMBER(F510),F510,E510)-IF(ISNUMBER(F509),F509,E509))=0),"",(L510-L509)/((IF(ISNUMBER(F510),F510,E510)-IF(ISNUMBER(F509),F509,E509))/100))</f>
        <v/>
      </c>
      <c r="U510" s="28" t="n"/>
      <c r="V510" s="28" t="n"/>
      <c r="W510" s="31" t="n"/>
    </row>
    <row r="511">
      <c r="A511" s="25" t="inlineStr">
        <is>
          <t>S43</t>
        </is>
      </c>
      <c r="B511" s="25" t="inlineStr">
        <is>
          <t>포천</t>
        </is>
      </c>
      <c r="C511" s="25" t="inlineStr">
        <is>
          <t>S43-V</t>
        </is>
      </c>
      <c r="D511" s="25" t="inlineStr">
        <is>
          <t>측정</t>
        </is>
      </c>
      <c r="E511" s="48" t="n">
        <v>40</v>
      </c>
      <c r="F511" s="40" t="n"/>
      <c r="G511" s="28" t="n"/>
      <c r="H511" s="42" t="n"/>
      <c r="I511" s="40" t="n"/>
      <c r="J511" s="40" t="n"/>
      <c r="K511" s="40" t="n"/>
      <c r="L511" s="30">
        <f>IF(COUNT(I511:K511)=0,"",MEDIAN(I511:K511))</f>
        <v/>
      </c>
      <c r="M511" s="25">
        <f>IF(COUNTIFS($C:$C,$C511,$D:$D,"기준(전)",$L:$L,"&gt;0")&lt;&gt;1,"기준(전) 유효 1개 아님",IF(COUNTIFS($C:$C,$C511,$D:$D,"기준(후)",$L:$L,"&gt;0")&lt;&gt;1,"기준(후) 유효 1개 아님",IF(NOT(AND(ISNUMBER(N511),ISNUMBER(P511),ISNUMBER(H511))),"시각 결측",IF(P511&lt;=N511,"기준 시각 역전",IF(OR(H511&lt;N511,H511&gt;P511),"측정시각 구간 밖","OK")))))</f>
        <v/>
      </c>
      <c r="N511" s="45">
        <f>IF(COUNTIFS($C:$C,$C511,$D:$D,"기준(전)",$L:$L,"&gt;0")&lt;&gt;1,"",SUMIFS($H:$H,$C:$C,$C511,$D:$D,"기준(전)"))</f>
        <v/>
      </c>
      <c r="O511" s="30">
        <f>IF(COUNTIFS($C:$C,$C511,$D:$D,"기준(전)",$L:$L,"&gt;0")&lt;&gt;1,"",SUMIFS($L:$L,$C:$C,$C511,$D:$D,"기준(전)"))</f>
        <v/>
      </c>
      <c r="P511" s="45">
        <f>IF(COUNTIFS($C:$C,$C511,$D:$D,"기준(후)",$L:$L,"&gt;0")&lt;&gt;1,"",SUMIFS($H:$H,$C:$C,$C511,$D:$D,"기준(후)"))</f>
        <v/>
      </c>
      <c r="Q511" s="30">
        <f>IF(COUNTIFS($C:$C,$C511,$D:$D,"기준(후)",$L:$L,"&gt;0")&lt;&gt;1,"",SUMIFS($L:$L,$C:$C,$C511,$D:$D,"기준(후)"))</f>
        <v/>
      </c>
      <c r="R511" s="30">
        <f>IF(M511&lt;&gt;"OK","",O511+(Q511-O511)*(H511-N511)/(P511-N511))</f>
        <v/>
      </c>
      <c r="S511" s="30">
        <f>IF(OR(M511&lt;&gt;"OK",NOT(ISNUMBER(L511))),"",L511-R511)</f>
        <v/>
      </c>
      <c r="T511" s="46">
        <f>IF(OR($D510&lt;&gt;"측정",$C510&lt;&gt;$C511,NOT(ISNUMBER(L511)),NOT(ISNUMBER(L510)),(IF(ISNUMBER(F511),F511,E511)-IF(ISNUMBER(F510),F510,E510))=0),"",(L511-L510)/((IF(ISNUMBER(F511),F511,E511)-IF(ISNUMBER(F510),F510,E510))/100))</f>
        <v/>
      </c>
      <c r="U511" s="28" t="n"/>
      <c r="V511" s="28" t="n"/>
      <c r="W511" s="31" t="n"/>
    </row>
    <row r="512">
      <c r="A512" s="25" t="inlineStr">
        <is>
          <t>S43</t>
        </is>
      </c>
      <c r="B512" s="25" t="inlineStr">
        <is>
          <t>포천</t>
        </is>
      </c>
      <c r="C512" s="25" t="inlineStr">
        <is>
          <t>S43-V</t>
        </is>
      </c>
      <c r="D512" s="25" t="inlineStr">
        <is>
          <t>측정</t>
        </is>
      </c>
      <c r="E512" s="48" t="n">
        <v>60</v>
      </c>
      <c r="F512" s="40" t="n"/>
      <c r="G512" s="28" t="n"/>
      <c r="H512" s="42" t="n"/>
      <c r="I512" s="40" t="n"/>
      <c r="J512" s="40" t="n"/>
      <c r="K512" s="40" t="n"/>
      <c r="L512" s="30">
        <f>IF(COUNT(I512:K512)=0,"",MEDIAN(I512:K512))</f>
        <v/>
      </c>
      <c r="M512" s="25">
        <f>IF(COUNTIFS($C:$C,$C512,$D:$D,"기준(전)",$L:$L,"&gt;0")&lt;&gt;1,"기준(전) 유효 1개 아님",IF(COUNTIFS($C:$C,$C512,$D:$D,"기준(후)",$L:$L,"&gt;0")&lt;&gt;1,"기준(후) 유효 1개 아님",IF(NOT(AND(ISNUMBER(N512),ISNUMBER(P512),ISNUMBER(H512))),"시각 결측",IF(P512&lt;=N512,"기준 시각 역전",IF(OR(H512&lt;N512,H512&gt;P512),"측정시각 구간 밖","OK")))))</f>
        <v/>
      </c>
      <c r="N512" s="45">
        <f>IF(COUNTIFS($C:$C,$C512,$D:$D,"기준(전)",$L:$L,"&gt;0")&lt;&gt;1,"",SUMIFS($H:$H,$C:$C,$C512,$D:$D,"기준(전)"))</f>
        <v/>
      </c>
      <c r="O512" s="30">
        <f>IF(COUNTIFS($C:$C,$C512,$D:$D,"기준(전)",$L:$L,"&gt;0")&lt;&gt;1,"",SUMIFS($L:$L,$C:$C,$C512,$D:$D,"기준(전)"))</f>
        <v/>
      </c>
      <c r="P512" s="45">
        <f>IF(COUNTIFS($C:$C,$C512,$D:$D,"기준(후)",$L:$L,"&gt;0")&lt;&gt;1,"",SUMIFS($H:$H,$C:$C,$C512,$D:$D,"기준(후)"))</f>
        <v/>
      </c>
      <c r="Q512" s="30">
        <f>IF(COUNTIFS($C:$C,$C512,$D:$D,"기준(후)",$L:$L,"&gt;0")&lt;&gt;1,"",SUMIFS($L:$L,$C:$C,$C512,$D:$D,"기준(후)"))</f>
        <v/>
      </c>
      <c r="R512" s="30">
        <f>IF(M512&lt;&gt;"OK","",O512+(Q512-O512)*(H512-N512)/(P512-N512))</f>
        <v/>
      </c>
      <c r="S512" s="30">
        <f>IF(OR(M512&lt;&gt;"OK",NOT(ISNUMBER(L512))),"",L512-R512)</f>
        <v/>
      </c>
      <c r="T512" s="46">
        <f>IF(OR($D511&lt;&gt;"측정",$C511&lt;&gt;$C512,NOT(ISNUMBER(L512)),NOT(ISNUMBER(L511)),(IF(ISNUMBER(F512),F512,E512)-IF(ISNUMBER(F511),F511,E511))=0),"",(L512-L511)/((IF(ISNUMBER(F512),F512,E512)-IF(ISNUMBER(F511),F511,E511))/100))</f>
        <v/>
      </c>
      <c r="U512" s="28" t="n"/>
      <c r="V512" s="28" t="n"/>
      <c r="W512" s="31" t="n"/>
    </row>
    <row r="513">
      <c r="A513" s="25" t="inlineStr">
        <is>
          <t>S43</t>
        </is>
      </c>
      <c r="B513" s="25" t="inlineStr">
        <is>
          <t>포천</t>
        </is>
      </c>
      <c r="C513" s="25" t="inlineStr">
        <is>
          <t>S43-V</t>
        </is>
      </c>
      <c r="D513" s="25" t="inlineStr">
        <is>
          <t>측정</t>
        </is>
      </c>
      <c r="E513" s="48" t="n">
        <v>80</v>
      </c>
      <c r="F513" s="40" t="n"/>
      <c r="G513" s="28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IF(COUNTIFS($C:$C,$C513,$D:$D,"기준(전)",$L:$L,"&gt;0")&lt;&gt;1,"기준(전) 유효 1개 아님",IF(COUNTIFS($C:$C,$C513,$D:$D,"기준(후)",$L:$L,"&gt;0")&lt;&gt;1,"기준(후) 유효 1개 아님",IF(NOT(AND(ISNUMBER(N513),ISNUMBER(P513),ISNUMBER(H513))),"시각 결측",IF(P513&lt;=N513,"기준 시각 역전",IF(OR(H513&lt;N513,H513&gt;P513),"측정시각 구간 밖","OK")))))</f>
        <v/>
      </c>
      <c r="N513" s="45">
        <f>IF(COUNTIFS($C:$C,$C513,$D:$D,"기준(전)",$L:$L,"&gt;0")&lt;&gt;1,"",SUMIFS($H:$H,$C:$C,$C513,$D:$D,"기준(전)"))</f>
        <v/>
      </c>
      <c r="O513" s="30">
        <f>IF(COUNTIFS($C:$C,$C513,$D:$D,"기준(전)",$L:$L,"&gt;0")&lt;&gt;1,"",SUMIFS($L:$L,$C:$C,$C513,$D:$D,"기준(전)"))</f>
        <v/>
      </c>
      <c r="P513" s="45">
        <f>IF(COUNTIFS($C:$C,$C513,$D:$D,"기준(후)",$L:$L,"&gt;0")&lt;&gt;1,"",SUMIFS($H:$H,$C:$C,$C513,$D:$D,"기준(후)"))</f>
        <v/>
      </c>
      <c r="Q513" s="30">
        <f>IF(COUNTIFS($C:$C,$C513,$D:$D,"기준(후)",$L:$L,"&gt;0")&lt;&gt;1,"",SUMIFS($L:$L,$C:$C,$C513,$D:$D,"기준(후)"))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IF(OR($D512&lt;&gt;"측정",$C512&lt;&gt;$C513,NOT(ISNUMBER(L513)),NOT(ISNUMBER(L512)),(IF(ISNUMBER(F513),F513,E513)-IF(ISNUMBER(F512),F512,E512))=0),"",(L513-L512)/((IF(ISNUMBER(F513),F513,E513)-IF(ISNUMBER(F512),F512,E512))/100))</f>
        <v/>
      </c>
      <c r="U513" s="28" t="n"/>
      <c r="V513" s="28" t="n"/>
      <c r="W513" s="31" t="n"/>
    </row>
    <row r="514">
      <c r="A514" s="25" t="inlineStr">
        <is>
          <t>S43</t>
        </is>
      </c>
      <c r="B514" s="25" t="inlineStr">
        <is>
          <t>포천</t>
        </is>
      </c>
      <c r="C514" s="25" t="inlineStr">
        <is>
          <t>S43-V</t>
        </is>
      </c>
      <c r="D514" s="25" t="inlineStr">
        <is>
          <t>측정</t>
        </is>
      </c>
      <c r="E514" s="48" t="n">
        <v>100</v>
      </c>
      <c r="F514" s="40" t="n"/>
      <c r="G514" s="28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IF(COUNTIFS($C:$C,$C514,$D:$D,"기준(전)",$L:$L,"&gt;0")&lt;&gt;1,"기준(전) 유효 1개 아님",IF(COUNTIFS($C:$C,$C514,$D:$D,"기준(후)",$L:$L,"&gt;0")&lt;&gt;1,"기준(후) 유효 1개 아님",IF(NOT(AND(ISNUMBER(N514),ISNUMBER(P514),ISNUMBER(H514))),"시각 결측",IF(P514&lt;=N514,"기준 시각 역전",IF(OR(H514&lt;N514,H514&gt;P514),"측정시각 구간 밖","OK")))))</f>
        <v/>
      </c>
      <c r="N514" s="45">
        <f>IF(COUNTIFS($C:$C,$C514,$D:$D,"기준(전)",$L:$L,"&gt;0")&lt;&gt;1,"",SUMIFS($H:$H,$C:$C,$C514,$D:$D,"기준(전)"))</f>
        <v/>
      </c>
      <c r="O514" s="30">
        <f>IF(COUNTIFS($C:$C,$C514,$D:$D,"기준(전)",$L:$L,"&gt;0")&lt;&gt;1,"",SUMIFS($L:$L,$C:$C,$C514,$D:$D,"기준(전)"))</f>
        <v/>
      </c>
      <c r="P514" s="45">
        <f>IF(COUNTIFS($C:$C,$C514,$D:$D,"기준(후)",$L:$L,"&gt;0")&lt;&gt;1,"",SUMIFS($H:$H,$C:$C,$C514,$D:$D,"기준(후)"))</f>
        <v/>
      </c>
      <c r="Q514" s="30">
        <f>IF(COUNTIFS($C:$C,$C514,$D:$D,"기준(후)",$L:$L,"&gt;0")&lt;&gt;1,"",SUMIFS($L:$L,$C:$C,$C514,$D:$D,"기준(후)"))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IF(OR($D513&lt;&gt;"측정",$C513&lt;&gt;$C514,NOT(ISNUMBER(L514)),NOT(ISNUMBER(L513)),(IF(ISNUMBER(F514),F514,E514)-IF(ISNUMBER(F513),F513,E513))=0),"",(L514-L513)/((IF(ISNUMBER(F514),F514,E514)-IF(ISNUMBER(F513),F513,E513))/100))</f>
        <v/>
      </c>
      <c r="U514" s="28" t="n"/>
      <c r="V514" s="28" t="n"/>
      <c r="W514" s="31" t="n"/>
    </row>
    <row r="515">
      <c r="A515" s="25" t="inlineStr">
        <is>
          <t>S43</t>
        </is>
      </c>
      <c r="B515" s="25" t="inlineStr">
        <is>
          <t>포천</t>
        </is>
      </c>
      <c r="C515" s="25" t="inlineStr">
        <is>
          <t>S43-V</t>
        </is>
      </c>
      <c r="D515" s="25" t="inlineStr">
        <is>
          <t>측정</t>
        </is>
      </c>
      <c r="E515" s="48" t="n">
        <v>120</v>
      </c>
      <c r="F515" s="40" t="n"/>
      <c r="G515" s="28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IF(COUNTIFS($C:$C,$C515,$D:$D,"기준(전)",$L:$L,"&gt;0")&lt;&gt;1,"기준(전) 유효 1개 아님",IF(COUNTIFS($C:$C,$C515,$D:$D,"기준(후)",$L:$L,"&gt;0")&lt;&gt;1,"기준(후) 유효 1개 아님",IF(NOT(AND(ISNUMBER(N515),ISNUMBER(P515),ISNUMBER(H515))),"시각 결측",IF(P515&lt;=N515,"기준 시각 역전",IF(OR(H515&lt;N515,H515&gt;P515),"측정시각 구간 밖","OK")))))</f>
        <v/>
      </c>
      <c r="N515" s="45">
        <f>IF(COUNTIFS($C:$C,$C515,$D:$D,"기준(전)",$L:$L,"&gt;0")&lt;&gt;1,"",SUMIFS($H:$H,$C:$C,$C515,$D:$D,"기준(전)"))</f>
        <v/>
      </c>
      <c r="O515" s="30">
        <f>IF(COUNTIFS($C:$C,$C515,$D:$D,"기준(전)",$L:$L,"&gt;0")&lt;&gt;1,"",SUMIFS($L:$L,$C:$C,$C515,$D:$D,"기준(전)"))</f>
        <v/>
      </c>
      <c r="P515" s="45">
        <f>IF(COUNTIFS($C:$C,$C515,$D:$D,"기준(후)",$L:$L,"&gt;0")&lt;&gt;1,"",SUMIFS($H:$H,$C:$C,$C515,$D:$D,"기준(후)"))</f>
        <v/>
      </c>
      <c r="Q515" s="30">
        <f>IF(COUNTIFS($C:$C,$C515,$D:$D,"기준(후)",$L:$L,"&gt;0")&lt;&gt;1,"",SUMIFS($L:$L,$C:$C,$C515,$D:$D,"기준(후)"))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IF(OR($D514&lt;&gt;"측정",$C514&lt;&gt;$C515,NOT(ISNUMBER(L515)),NOT(ISNUMBER(L514)),(IF(ISNUMBER(F515),F515,E515)-IF(ISNUMBER(F514),F514,E514))=0),"",(L515-L514)/((IF(ISNUMBER(F515),F515,E515)-IF(ISNUMBER(F514),F514,E514))/100))</f>
        <v/>
      </c>
      <c r="U515" s="28" t="n"/>
      <c r="V515" s="28" t="n"/>
      <c r="W515" s="31" t="n"/>
    </row>
    <row r="516">
      <c r="A516" s="25" t="inlineStr">
        <is>
          <t>S43</t>
        </is>
      </c>
      <c r="B516" s="25" t="inlineStr">
        <is>
          <t>포천</t>
        </is>
      </c>
      <c r="C516" s="25" t="inlineStr">
        <is>
          <t>S43-V</t>
        </is>
      </c>
      <c r="D516" s="25" t="inlineStr">
        <is>
          <t>측정</t>
        </is>
      </c>
      <c r="E516" s="48" t="n">
        <v>140</v>
      </c>
      <c r="F516" s="40" t="n"/>
      <c r="G516" s="28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IF(COUNTIFS($C:$C,$C516,$D:$D,"기준(전)",$L:$L,"&gt;0")&lt;&gt;1,"기준(전) 유효 1개 아님",IF(COUNTIFS($C:$C,$C516,$D:$D,"기준(후)",$L:$L,"&gt;0")&lt;&gt;1,"기준(후) 유효 1개 아님",IF(NOT(AND(ISNUMBER(N516),ISNUMBER(P516),ISNUMBER(H516))),"시각 결측",IF(P516&lt;=N516,"기준 시각 역전",IF(OR(H516&lt;N516,H516&gt;P516),"측정시각 구간 밖","OK")))))</f>
        <v/>
      </c>
      <c r="N516" s="45">
        <f>IF(COUNTIFS($C:$C,$C516,$D:$D,"기준(전)",$L:$L,"&gt;0")&lt;&gt;1,"",SUMIFS($H:$H,$C:$C,$C516,$D:$D,"기준(전)"))</f>
        <v/>
      </c>
      <c r="O516" s="30">
        <f>IF(COUNTIFS($C:$C,$C516,$D:$D,"기준(전)",$L:$L,"&gt;0")&lt;&gt;1,"",SUMIFS($L:$L,$C:$C,$C516,$D:$D,"기준(전)"))</f>
        <v/>
      </c>
      <c r="P516" s="45">
        <f>IF(COUNTIFS($C:$C,$C516,$D:$D,"기준(후)",$L:$L,"&gt;0")&lt;&gt;1,"",SUMIFS($H:$H,$C:$C,$C516,$D:$D,"기준(후)"))</f>
        <v/>
      </c>
      <c r="Q516" s="30">
        <f>IF(COUNTIFS($C:$C,$C516,$D:$D,"기준(후)",$L:$L,"&gt;0")&lt;&gt;1,"",SUMIFS($L:$L,$C:$C,$C516,$D:$D,"기준(후)"))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IF(OR($D515&lt;&gt;"측정",$C515&lt;&gt;$C516,NOT(ISNUMBER(L516)),NOT(ISNUMBER(L515)),(IF(ISNUMBER(F516),F516,E516)-IF(ISNUMBER(F515),F515,E515))=0),"",(L516-L515)/((IF(ISNUMBER(F516),F516,E516)-IF(ISNUMBER(F515),F515,E515))/100))</f>
        <v/>
      </c>
      <c r="U516" s="28" t="n"/>
      <c r="V516" s="28" t="n"/>
      <c r="W516" s="31" t="n"/>
    </row>
    <row r="517">
      <c r="A517" s="25" t="inlineStr">
        <is>
          <t>S43</t>
        </is>
      </c>
      <c r="B517" s="25" t="inlineStr">
        <is>
          <t>포천</t>
        </is>
      </c>
      <c r="C517" s="25" t="inlineStr">
        <is>
          <t>S43-V</t>
        </is>
      </c>
      <c r="D517" s="25" t="inlineStr">
        <is>
          <t>측정</t>
        </is>
      </c>
      <c r="E517" s="48" t="n">
        <v>160</v>
      </c>
      <c r="F517" s="40" t="n"/>
      <c r="G517" s="28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IF(COUNTIFS($C:$C,$C517,$D:$D,"기준(전)",$L:$L,"&gt;0")&lt;&gt;1,"기준(전) 유효 1개 아님",IF(COUNTIFS($C:$C,$C517,$D:$D,"기준(후)",$L:$L,"&gt;0")&lt;&gt;1,"기준(후) 유효 1개 아님",IF(NOT(AND(ISNUMBER(N517),ISNUMBER(P517),ISNUMBER(H517))),"시각 결측",IF(P517&lt;=N517,"기준 시각 역전",IF(OR(H517&lt;N517,H517&gt;P517),"측정시각 구간 밖","OK")))))</f>
        <v/>
      </c>
      <c r="N517" s="45">
        <f>IF(COUNTIFS($C:$C,$C517,$D:$D,"기준(전)",$L:$L,"&gt;0")&lt;&gt;1,"",SUMIFS($H:$H,$C:$C,$C517,$D:$D,"기준(전)"))</f>
        <v/>
      </c>
      <c r="O517" s="30">
        <f>IF(COUNTIFS($C:$C,$C517,$D:$D,"기준(전)",$L:$L,"&gt;0")&lt;&gt;1,"",SUMIFS($L:$L,$C:$C,$C517,$D:$D,"기준(전)"))</f>
        <v/>
      </c>
      <c r="P517" s="45">
        <f>IF(COUNTIFS($C:$C,$C517,$D:$D,"기준(후)",$L:$L,"&gt;0")&lt;&gt;1,"",SUMIFS($H:$H,$C:$C,$C517,$D:$D,"기준(후)"))</f>
        <v/>
      </c>
      <c r="Q517" s="30">
        <f>IF(COUNTIFS($C:$C,$C517,$D:$D,"기준(후)",$L:$L,"&gt;0")&lt;&gt;1,"",SUMIFS($L:$L,$C:$C,$C517,$D:$D,"기준(후)"))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IF(OR($D516&lt;&gt;"측정",$C516&lt;&gt;$C517,NOT(ISNUMBER(L517)),NOT(ISNUMBER(L516)),(IF(ISNUMBER(F517),F517,E517)-IF(ISNUMBER(F516),F516,E516))=0),"",(L517-L516)/((IF(ISNUMBER(F517),F517,E517)-IF(ISNUMBER(F516),F516,E516))/100))</f>
        <v/>
      </c>
      <c r="U517" s="28" t="n"/>
      <c r="V517" s="28" t="n"/>
      <c r="W517" s="31" t="n"/>
    </row>
    <row r="518">
      <c r="A518" s="25" t="inlineStr">
        <is>
          <t>S43</t>
        </is>
      </c>
      <c r="B518" s="25" t="inlineStr">
        <is>
          <t>포천</t>
        </is>
      </c>
      <c r="C518" s="25" t="inlineStr">
        <is>
          <t>S43-V</t>
        </is>
      </c>
      <c r="D518" s="25" t="inlineStr">
        <is>
          <t>측정</t>
        </is>
      </c>
      <c r="E518" s="48" t="n">
        <v>180</v>
      </c>
      <c r="F518" s="40" t="n"/>
      <c r="G518" s="28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IF(COUNTIFS($C:$C,$C518,$D:$D,"기준(전)",$L:$L,"&gt;0")&lt;&gt;1,"기준(전) 유효 1개 아님",IF(COUNTIFS($C:$C,$C518,$D:$D,"기준(후)",$L:$L,"&gt;0")&lt;&gt;1,"기준(후) 유효 1개 아님",IF(NOT(AND(ISNUMBER(N518),ISNUMBER(P518),ISNUMBER(H518))),"시각 결측",IF(P518&lt;=N518,"기준 시각 역전",IF(OR(H518&lt;N518,H518&gt;P518),"측정시각 구간 밖","OK")))))</f>
        <v/>
      </c>
      <c r="N518" s="45">
        <f>IF(COUNTIFS($C:$C,$C518,$D:$D,"기준(전)",$L:$L,"&gt;0")&lt;&gt;1,"",SUMIFS($H:$H,$C:$C,$C518,$D:$D,"기준(전)"))</f>
        <v/>
      </c>
      <c r="O518" s="30">
        <f>IF(COUNTIFS($C:$C,$C518,$D:$D,"기준(전)",$L:$L,"&gt;0")&lt;&gt;1,"",SUMIFS($L:$L,$C:$C,$C518,$D:$D,"기준(전)"))</f>
        <v/>
      </c>
      <c r="P518" s="45">
        <f>IF(COUNTIFS($C:$C,$C518,$D:$D,"기준(후)",$L:$L,"&gt;0")&lt;&gt;1,"",SUMIFS($H:$H,$C:$C,$C518,$D:$D,"기준(후)"))</f>
        <v/>
      </c>
      <c r="Q518" s="30">
        <f>IF(COUNTIFS($C:$C,$C518,$D:$D,"기준(후)",$L:$L,"&gt;0")&lt;&gt;1,"",SUMIFS($L:$L,$C:$C,$C518,$D:$D,"기준(후)"))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IF(OR($D517&lt;&gt;"측정",$C517&lt;&gt;$C518,NOT(ISNUMBER(L518)),NOT(ISNUMBER(L517)),(IF(ISNUMBER(F518),F518,E518)-IF(ISNUMBER(F517),F517,E517))=0),"",(L518-L517)/((IF(ISNUMBER(F518),F518,E518)-IF(ISNUMBER(F517),F517,E517))/100))</f>
        <v/>
      </c>
      <c r="U518" s="28" t="n"/>
      <c r="V518" s="28" t="n"/>
      <c r="W518" s="31" t="n"/>
    </row>
    <row r="519">
      <c r="A519" s="25" t="inlineStr">
        <is>
          <t>S43</t>
        </is>
      </c>
      <c r="B519" s="25" t="inlineStr">
        <is>
          <t>포천</t>
        </is>
      </c>
      <c r="C519" s="25" t="inlineStr">
        <is>
          <t>S43-V</t>
        </is>
      </c>
      <c r="D519" s="25" t="inlineStr">
        <is>
          <t>측정</t>
        </is>
      </c>
      <c r="E519" s="48" t="n">
        <v>200</v>
      </c>
      <c r="F519" s="40" t="n"/>
      <c r="G519" s="28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IF(COUNTIFS($C:$C,$C519,$D:$D,"기준(전)",$L:$L,"&gt;0")&lt;&gt;1,"기준(전) 유효 1개 아님",IF(COUNTIFS($C:$C,$C519,$D:$D,"기준(후)",$L:$L,"&gt;0")&lt;&gt;1,"기준(후) 유효 1개 아님",IF(NOT(AND(ISNUMBER(N519),ISNUMBER(P519),ISNUMBER(H519))),"시각 결측",IF(P519&lt;=N519,"기준 시각 역전",IF(OR(H519&lt;N519,H519&gt;P519),"측정시각 구간 밖","OK")))))</f>
        <v/>
      </c>
      <c r="N519" s="45">
        <f>IF(COUNTIFS($C:$C,$C519,$D:$D,"기준(전)",$L:$L,"&gt;0")&lt;&gt;1,"",SUMIFS($H:$H,$C:$C,$C519,$D:$D,"기준(전)"))</f>
        <v/>
      </c>
      <c r="O519" s="30">
        <f>IF(COUNTIFS($C:$C,$C519,$D:$D,"기준(전)",$L:$L,"&gt;0")&lt;&gt;1,"",SUMIFS($L:$L,$C:$C,$C519,$D:$D,"기준(전)"))</f>
        <v/>
      </c>
      <c r="P519" s="45">
        <f>IF(COUNTIFS($C:$C,$C519,$D:$D,"기준(후)",$L:$L,"&gt;0")&lt;&gt;1,"",SUMIFS($H:$H,$C:$C,$C519,$D:$D,"기준(후)"))</f>
        <v/>
      </c>
      <c r="Q519" s="30">
        <f>IF(COUNTIFS($C:$C,$C519,$D:$D,"기준(후)",$L:$L,"&gt;0")&lt;&gt;1,"",SUMIFS($L:$L,$C:$C,$C519,$D:$D,"기준(후)"))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IF(OR($D518&lt;&gt;"측정",$C518&lt;&gt;$C519,NOT(ISNUMBER(L519)),NOT(ISNUMBER(L518)),(IF(ISNUMBER(F519),F519,E519)-IF(ISNUMBER(F518),F518,E518))=0),"",(L519-L518)/((IF(ISNUMBER(F519),F519,E519)-IF(ISNUMBER(F518),F518,E518))/100))</f>
        <v/>
      </c>
      <c r="U519" s="28" t="n"/>
      <c r="V519" s="28" t="n"/>
      <c r="W519" s="31" t="n"/>
    </row>
    <row r="520">
      <c r="A520" s="43" t="inlineStr">
        <is>
          <t>S43</t>
        </is>
      </c>
      <c r="B520" s="43" t="inlineStr">
        <is>
          <t>포천</t>
        </is>
      </c>
      <c r="C520" s="43" t="inlineStr">
        <is>
          <t>S43-V</t>
        </is>
      </c>
      <c r="D520" s="43" t="inlineStr">
        <is>
          <t>기준(후)</t>
        </is>
      </c>
      <c r="E520" s="47" t="n"/>
      <c r="F520" s="40" t="n"/>
      <c r="G520" s="28" t="n"/>
      <c r="H520" s="42" t="n"/>
      <c r="I520" s="40" t="n"/>
      <c r="J520" s="40" t="n"/>
      <c r="K520" s="40" t="n"/>
      <c r="L520" s="30">
        <f>IF(COUNT(I520:K520)=0,"",MEDIAN(I520:K520))</f>
        <v/>
      </c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28" t="n"/>
      <c r="V520" s="28" t="n"/>
      <c r="W520" s="31" t="n"/>
    </row>
    <row r="521">
      <c r="A521" s="43" t="inlineStr">
        <is>
          <t>S44</t>
        </is>
      </c>
      <c r="B521" s="43" t="inlineStr">
        <is>
          <t>성산</t>
        </is>
      </c>
      <c r="C521" s="43" t="inlineStr">
        <is>
          <t>S44-V</t>
        </is>
      </c>
      <c r="D521" s="43" t="inlineStr">
        <is>
          <t>기준(전)</t>
        </is>
      </c>
      <c r="E521" s="47" t="n"/>
      <c r="F521" s="40" t="n"/>
      <c r="G521" s="28" t="n"/>
      <c r="H521" s="42" t="n"/>
      <c r="I521" s="40" t="n"/>
      <c r="J521" s="40" t="n"/>
      <c r="K521" s="40" t="n"/>
      <c r="L521" s="30">
        <f>IF(COUNT(I521:K521)=0,"",MEDIAN(I521:K521))</f>
        <v/>
      </c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28" t="n"/>
      <c r="V521" s="28" t="n"/>
      <c r="W521" s="31" t="n"/>
    </row>
    <row r="522">
      <c r="A522" s="25" t="inlineStr">
        <is>
          <t>S44</t>
        </is>
      </c>
      <c r="B522" s="25" t="inlineStr">
        <is>
          <t>성산</t>
        </is>
      </c>
      <c r="C522" s="25" t="inlineStr">
        <is>
          <t>S44-V</t>
        </is>
      </c>
      <c r="D522" s="25" t="inlineStr">
        <is>
          <t>측정</t>
        </is>
      </c>
      <c r="E522" s="48" t="n">
        <v>20</v>
      </c>
      <c r="F522" s="40" t="n"/>
      <c r="G522" s="28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IF(COUNTIFS($C:$C,$C522,$D:$D,"기준(전)",$L:$L,"&gt;0")&lt;&gt;1,"기준(전) 유효 1개 아님",IF(COUNTIFS($C:$C,$C522,$D:$D,"기준(후)",$L:$L,"&gt;0")&lt;&gt;1,"기준(후) 유효 1개 아님",IF(NOT(AND(ISNUMBER(N522),ISNUMBER(P522),ISNUMBER(H522))),"시각 결측",IF(P522&lt;=N522,"기준 시각 역전",IF(OR(H522&lt;N522,H522&gt;P522),"측정시각 구간 밖","OK")))))</f>
        <v/>
      </c>
      <c r="N522" s="45">
        <f>IF(COUNTIFS($C:$C,$C522,$D:$D,"기준(전)",$L:$L,"&gt;0")&lt;&gt;1,"",SUMIFS($H:$H,$C:$C,$C522,$D:$D,"기준(전)"))</f>
        <v/>
      </c>
      <c r="O522" s="30">
        <f>IF(COUNTIFS($C:$C,$C522,$D:$D,"기준(전)",$L:$L,"&gt;0")&lt;&gt;1,"",SUMIFS($L:$L,$C:$C,$C522,$D:$D,"기준(전)"))</f>
        <v/>
      </c>
      <c r="P522" s="45">
        <f>IF(COUNTIFS($C:$C,$C522,$D:$D,"기준(후)",$L:$L,"&gt;0")&lt;&gt;1,"",SUMIFS($H:$H,$C:$C,$C522,$D:$D,"기준(후)"))</f>
        <v/>
      </c>
      <c r="Q522" s="30">
        <f>IF(COUNTIFS($C:$C,$C522,$D:$D,"기준(후)",$L:$L,"&gt;0")&lt;&gt;1,"",SUMIFS($L:$L,$C:$C,$C522,$D:$D,"기준(후)"))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IF(OR($D521&lt;&gt;"측정",$C521&lt;&gt;$C522,NOT(ISNUMBER(L522)),NOT(ISNUMBER(L521)),(IF(ISNUMBER(F522),F522,E522)-IF(ISNUMBER(F521),F521,E521))=0),"",(L522-L521)/((IF(ISNUMBER(F522),F522,E522)-IF(ISNUMBER(F521),F521,E521))/100))</f>
        <v/>
      </c>
      <c r="U522" s="28" t="n"/>
      <c r="V522" s="28" t="n"/>
      <c r="W522" s="31" t="n"/>
    </row>
    <row r="523">
      <c r="A523" s="25" t="inlineStr">
        <is>
          <t>S44</t>
        </is>
      </c>
      <c r="B523" s="25" t="inlineStr">
        <is>
          <t>성산</t>
        </is>
      </c>
      <c r="C523" s="25" t="inlineStr">
        <is>
          <t>S44-V</t>
        </is>
      </c>
      <c r="D523" s="25" t="inlineStr">
        <is>
          <t>측정</t>
        </is>
      </c>
      <c r="E523" s="48" t="n">
        <v>40</v>
      </c>
      <c r="F523" s="40" t="n"/>
      <c r="G523" s="28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IF(COUNTIFS($C:$C,$C523,$D:$D,"기준(전)",$L:$L,"&gt;0")&lt;&gt;1,"기준(전) 유효 1개 아님",IF(COUNTIFS($C:$C,$C523,$D:$D,"기준(후)",$L:$L,"&gt;0")&lt;&gt;1,"기준(후) 유효 1개 아님",IF(NOT(AND(ISNUMBER(N523),ISNUMBER(P523),ISNUMBER(H523))),"시각 결측",IF(P523&lt;=N523,"기준 시각 역전",IF(OR(H523&lt;N523,H523&gt;P523),"측정시각 구간 밖","OK")))))</f>
        <v/>
      </c>
      <c r="N523" s="45">
        <f>IF(COUNTIFS($C:$C,$C523,$D:$D,"기준(전)",$L:$L,"&gt;0")&lt;&gt;1,"",SUMIFS($H:$H,$C:$C,$C523,$D:$D,"기준(전)"))</f>
        <v/>
      </c>
      <c r="O523" s="30">
        <f>IF(COUNTIFS($C:$C,$C523,$D:$D,"기준(전)",$L:$L,"&gt;0")&lt;&gt;1,"",SUMIFS($L:$L,$C:$C,$C523,$D:$D,"기준(전)"))</f>
        <v/>
      </c>
      <c r="P523" s="45">
        <f>IF(COUNTIFS($C:$C,$C523,$D:$D,"기준(후)",$L:$L,"&gt;0")&lt;&gt;1,"",SUMIFS($H:$H,$C:$C,$C523,$D:$D,"기준(후)"))</f>
        <v/>
      </c>
      <c r="Q523" s="30">
        <f>IF(COUNTIFS($C:$C,$C523,$D:$D,"기준(후)",$L:$L,"&gt;0")&lt;&gt;1,"",SUMIFS($L:$L,$C:$C,$C523,$D:$D,"기준(후)"))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IF(OR($D522&lt;&gt;"측정",$C522&lt;&gt;$C523,NOT(ISNUMBER(L523)),NOT(ISNUMBER(L522)),(IF(ISNUMBER(F523),F523,E523)-IF(ISNUMBER(F522),F522,E522))=0),"",(L523-L522)/((IF(ISNUMBER(F523),F523,E523)-IF(ISNUMBER(F522),F522,E522))/100))</f>
        <v/>
      </c>
      <c r="U523" s="28" t="n"/>
      <c r="V523" s="28" t="n"/>
      <c r="W523" s="31" t="n"/>
    </row>
    <row r="524">
      <c r="A524" s="25" t="inlineStr">
        <is>
          <t>S44</t>
        </is>
      </c>
      <c r="B524" s="25" t="inlineStr">
        <is>
          <t>성산</t>
        </is>
      </c>
      <c r="C524" s="25" t="inlineStr">
        <is>
          <t>S44-V</t>
        </is>
      </c>
      <c r="D524" s="25" t="inlineStr">
        <is>
          <t>측정</t>
        </is>
      </c>
      <c r="E524" s="48" t="n">
        <v>60</v>
      </c>
      <c r="F524" s="40" t="n"/>
      <c r="G524" s="28" t="n"/>
      <c r="H524" s="42" t="n"/>
      <c r="I524" s="40" t="n"/>
      <c r="J524" s="40" t="n"/>
      <c r="K524" s="40" t="n"/>
      <c r="L524" s="30">
        <f>IF(COUNT(I524:K524)=0,"",MEDIAN(I524:K524))</f>
        <v/>
      </c>
      <c r="M524" s="25">
        <f>IF(COUNTIFS($C:$C,$C524,$D:$D,"기준(전)",$L:$L,"&gt;0")&lt;&gt;1,"기준(전) 유효 1개 아님",IF(COUNTIFS($C:$C,$C524,$D:$D,"기준(후)",$L:$L,"&gt;0")&lt;&gt;1,"기준(후) 유효 1개 아님",IF(NOT(AND(ISNUMBER(N524),ISNUMBER(P524),ISNUMBER(H524))),"시각 결측",IF(P524&lt;=N524,"기준 시각 역전",IF(OR(H524&lt;N524,H524&gt;P524),"측정시각 구간 밖","OK")))))</f>
        <v/>
      </c>
      <c r="N524" s="45">
        <f>IF(COUNTIFS($C:$C,$C524,$D:$D,"기준(전)",$L:$L,"&gt;0")&lt;&gt;1,"",SUMIFS($H:$H,$C:$C,$C524,$D:$D,"기준(전)"))</f>
        <v/>
      </c>
      <c r="O524" s="30">
        <f>IF(COUNTIFS($C:$C,$C524,$D:$D,"기준(전)",$L:$L,"&gt;0")&lt;&gt;1,"",SUMIFS($L:$L,$C:$C,$C524,$D:$D,"기준(전)"))</f>
        <v/>
      </c>
      <c r="P524" s="45">
        <f>IF(COUNTIFS($C:$C,$C524,$D:$D,"기준(후)",$L:$L,"&gt;0")&lt;&gt;1,"",SUMIFS($H:$H,$C:$C,$C524,$D:$D,"기준(후)"))</f>
        <v/>
      </c>
      <c r="Q524" s="30">
        <f>IF(COUNTIFS($C:$C,$C524,$D:$D,"기준(후)",$L:$L,"&gt;0")&lt;&gt;1,"",SUMIFS($L:$L,$C:$C,$C524,$D:$D,"기준(후)"))</f>
        <v/>
      </c>
      <c r="R524" s="30">
        <f>IF(M524&lt;&gt;"OK","",O524+(Q524-O524)*(H524-N524)/(P524-N524))</f>
        <v/>
      </c>
      <c r="S524" s="30">
        <f>IF(OR(M524&lt;&gt;"OK",NOT(ISNUMBER(L524))),"",L524-R524)</f>
        <v/>
      </c>
      <c r="T524" s="46">
        <f>IF(OR($D523&lt;&gt;"측정",$C523&lt;&gt;$C524,NOT(ISNUMBER(L524)),NOT(ISNUMBER(L523)),(IF(ISNUMBER(F524),F524,E524)-IF(ISNUMBER(F523),F523,E523))=0),"",(L524-L523)/((IF(ISNUMBER(F524),F524,E524)-IF(ISNUMBER(F523),F523,E523))/100))</f>
        <v/>
      </c>
      <c r="U524" s="28" t="n"/>
      <c r="V524" s="28" t="n"/>
      <c r="W524" s="31" t="n"/>
    </row>
    <row r="525">
      <c r="A525" s="25" t="inlineStr">
        <is>
          <t>S44</t>
        </is>
      </c>
      <c r="B525" s="25" t="inlineStr">
        <is>
          <t>성산</t>
        </is>
      </c>
      <c r="C525" s="25" t="inlineStr">
        <is>
          <t>S44-V</t>
        </is>
      </c>
      <c r="D525" s="25" t="inlineStr">
        <is>
          <t>측정</t>
        </is>
      </c>
      <c r="E525" s="48" t="n">
        <v>80</v>
      </c>
      <c r="F525" s="40" t="n"/>
      <c r="G525" s="28" t="n"/>
      <c r="H525" s="42" t="n"/>
      <c r="I525" s="40" t="n"/>
      <c r="J525" s="40" t="n"/>
      <c r="K525" s="40" t="n"/>
      <c r="L525" s="30">
        <f>IF(COUNT(I525:K525)=0,"",MEDIAN(I525:K525))</f>
        <v/>
      </c>
      <c r="M525" s="25">
        <f>IF(COUNTIFS($C:$C,$C525,$D:$D,"기준(전)",$L:$L,"&gt;0")&lt;&gt;1,"기준(전) 유효 1개 아님",IF(COUNTIFS($C:$C,$C525,$D:$D,"기준(후)",$L:$L,"&gt;0")&lt;&gt;1,"기준(후) 유효 1개 아님",IF(NOT(AND(ISNUMBER(N525),ISNUMBER(P525),ISNUMBER(H525))),"시각 결측",IF(P525&lt;=N525,"기준 시각 역전",IF(OR(H525&lt;N525,H525&gt;P525),"측정시각 구간 밖","OK")))))</f>
        <v/>
      </c>
      <c r="N525" s="45">
        <f>IF(COUNTIFS($C:$C,$C525,$D:$D,"기준(전)",$L:$L,"&gt;0")&lt;&gt;1,"",SUMIFS($H:$H,$C:$C,$C525,$D:$D,"기준(전)"))</f>
        <v/>
      </c>
      <c r="O525" s="30">
        <f>IF(COUNTIFS($C:$C,$C525,$D:$D,"기준(전)",$L:$L,"&gt;0")&lt;&gt;1,"",SUMIFS($L:$L,$C:$C,$C525,$D:$D,"기준(전)"))</f>
        <v/>
      </c>
      <c r="P525" s="45">
        <f>IF(COUNTIFS($C:$C,$C525,$D:$D,"기준(후)",$L:$L,"&gt;0")&lt;&gt;1,"",SUMIFS($H:$H,$C:$C,$C525,$D:$D,"기준(후)"))</f>
        <v/>
      </c>
      <c r="Q525" s="30">
        <f>IF(COUNTIFS($C:$C,$C525,$D:$D,"기준(후)",$L:$L,"&gt;0")&lt;&gt;1,"",SUMIFS($L:$L,$C:$C,$C525,$D:$D,"기준(후)"))</f>
        <v/>
      </c>
      <c r="R525" s="30">
        <f>IF(M525&lt;&gt;"OK","",O525+(Q525-O525)*(H525-N525)/(P525-N525))</f>
        <v/>
      </c>
      <c r="S525" s="30">
        <f>IF(OR(M525&lt;&gt;"OK",NOT(ISNUMBER(L525))),"",L525-R525)</f>
        <v/>
      </c>
      <c r="T525" s="46">
        <f>IF(OR($D524&lt;&gt;"측정",$C524&lt;&gt;$C525,NOT(ISNUMBER(L525)),NOT(ISNUMBER(L524)),(IF(ISNUMBER(F525),F525,E525)-IF(ISNUMBER(F524),F524,E524))=0),"",(L525-L524)/((IF(ISNUMBER(F525),F525,E525)-IF(ISNUMBER(F524),F524,E524))/100))</f>
        <v/>
      </c>
      <c r="U525" s="28" t="n"/>
      <c r="V525" s="28" t="n"/>
      <c r="W525" s="31" t="n"/>
    </row>
    <row r="526">
      <c r="A526" s="25" t="inlineStr">
        <is>
          <t>S44</t>
        </is>
      </c>
      <c r="B526" s="25" t="inlineStr">
        <is>
          <t>성산</t>
        </is>
      </c>
      <c r="C526" s="25" t="inlineStr">
        <is>
          <t>S44-V</t>
        </is>
      </c>
      <c r="D526" s="25" t="inlineStr">
        <is>
          <t>측정</t>
        </is>
      </c>
      <c r="E526" s="48" t="n">
        <v>100</v>
      </c>
      <c r="F526" s="40" t="n"/>
      <c r="G526" s="28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IF(COUNTIFS($C:$C,$C526,$D:$D,"기준(전)",$L:$L,"&gt;0")&lt;&gt;1,"기준(전) 유효 1개 아님",IF(COUNTIFS($C:$C,$C526,$D:$D,"기준(후)",$L:$L,"&gt;0")&lt;&gt;1,"기준(후) 유효 1개 아님",IF(NOT(AND(ISNUMBER(N526),ISNUMBER(P526),ISNUMBER(H526))),"시각 결측",IF(P526&lt;=N526,"기준 시각 역전",IF(OR(H526&lt;N526,H526&gt;P526),"측정시각 구간 밖","OK")))))</f>
        <v/>
      </c>
      <c r="N526" s="45">
        <f>IF(COUNTIFS($C:$C,$C526,$D:$D,"기준(전)",$L:$L,"&gt;0")&lt;&gt;1,"",SUMIFS($H:$H,$C:$C,$C526,$D:$D,"기준(전)"))</f>
        <v/>
      </c>
      <c r="O526" s="30">
        <f>IF(COUNTIFS($C:$C,$C526,$D:$D,"기준(전)",$L:$L,"&gt;0")&lt;&gt;1,"",SUMIFS($L:$L,$C:$C,$C526,$D:$D,"기준(전)"))</f>
        <v/>
      </c>
      <c r="P526" s="45">
        <f>IF(COUNTIFS($C:$C,$C526,$D:$D,"기준(후)",$L:$L,"&gt;0")&lt;&gt;1,"",SUMIFS($H:$H,$C:$C,$C526,$D:$D,"기준(후)"))</f>
        <v/>
      </c>
      <c r="Q526" s="30">
        <f>IF(COUNTIFS($C:$C,$C526,$D:$D,"기준(후)",$L:$L,"&gt;0")&lt;&gt;1,"",SUMIFS($L:$L,$C:$C,$C526,$D:$D,"기준(후)"))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IF(OR($D525&lt;&gt;"측정",$C525&lt;&gt;$C526,NOT(ISNUMBER(L526)),NOT(ISNUMBER(L525)),(IF(ISNUMBER(F526),F526,E526)-IF(ISNUMBER(F525),F525,E525))=0),"",(L526-L525)/((IF(ISNUMBER(F526),F526,E526)-IF(ISNUMBER(F525),F525,E525))/100))</f>
        <v/>
      </c>
      <c r="U526" s="28" t="n"/>
      <c r="V526" s="28" t="n"/>
      <c r="W526" s="31" t="n"/>
    </row>
    <row r="527">
      <c r="A527" s="25" t="inlineStr">
        <is>
          <t>S44</t>
        </is>
      </c>
      <c r="B527" s="25" t="inlineStr">
        <is>
          <t>성산</t>
        </is>
      </c>
      <c r="C527" s="25" t="inlineStr">
        <is>
          <t>S44-V</t>
        </is>
      </c>
      <c r="D527" s="25" t="inlineStr">
        <is>
          <t>측정</t>
        </is>
      </c>
      <c r="E527" s="48" t="n">
        <v>120</v>
      </c>
      <c r="F527" s="40" t="n"/>
      <c r="G527" s="28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IF(COUNTIFS($C:$C,$C527,$D:$D,"기준(전)",$L:$L,"&gt;0")&lt;&gt;1,"기준(전) 유효 1개 아님",IF(COUNTIFS($C:$C,$C527,$D:$D,"기준(후)",$L:$L,"&gt;0")&lt;&gt;1,"기준(후) 유효 1개 아님",IF(NOT(AND(ISNUMBER(N527),ISNUMBER(P527),ISNUMBER(H527))),"시각 결측",IF(P527&lt;=N527,"기준 시각 역전",IF(OR(H527&lt;N527,H527&gt;P527),"측정시각 구간 밖","OK")))))</f>
        <v/>
      </c>
      <c r="N527" s="45">
        <f>IF(COUNTIFS($C:$C,$C527,$D:$D,"기준(전)",$L:$L,"&gt;0")&lt;&gt;1,"",SUMIFS($H:$H,$C:$C,$C527,$D:$D,"기준(전)"))</f>
        <v/>
      </c>
      <c r="O527" s="30">
        <f>IF(COUNTIFS($C:$C,$C527,$D:$D,"기준(전)",$L:$L,"&gt;0")&lt;&gt;1,"",SUMIFS($L:$L,$C:$C,$C527,$D:$D,"기준(전)"))</f>
        <v/>
      </c>
      <c r="P527" s="45">
        <f>IF(COUNTIFS($C:$C,$C527,$D:$D,"기준(후)",$L:$L,"&gt;0")&lt;&gt;1,"",SUMIFS($H:$H,$C:$C,$C527,$D:$D,"기준(후)"))</f>
        <v/>
      </c>
      <c r="Q527" s="30">
        <f>IF(COUNTIFS($C:$C,$C527,$D:$D,"기준(후)",$L:$L,"&gt;0")&lt;&gt;1,"",SUMIFS($L:$L,$C:$C,$C527,$D:$D,"기준(후)"))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IF(OR($D526&lt;&gt;"측정",$C526&lt;&gt;$C527,NOT(ISNUMBER(L527)),NOT(ISNUMBER(L526)),(IF(ISNUMBER(F527),F527,E527)-IF(ISNUMBER(F526),F526,E526))=0),"",(L527-L526)/((IF(ISNUMBER(F527),F527,E527)-IF(ISNUMBER(F526),F526,E526))/100))</f>
        <v/>
      </c>
      <c r="U527" s="28" t="n"/>
      <c r="V527" s="28" t="n"/>
      <c r="W527" s="31" t="n"/>
    </row>
    <row r="528">
      <c r="A528" s="25" t="inlineStr">
        <is>
          <t>S44</t>
        </is>
      </c>
      <c r="B528" s="25" t="inlineStr">
        <is>
          <t>성산</t>
        </is>
      </c>
      <c r="C528" s="25" t="inlineStr">
        <is>
          <t>S44-V</t>
        </is>
      </c>
      <c r="D528" s="25" t="inlineStr">
        <is>
          <t>측정</t>
        </is>
      </c>
      <c r="E528" s="48" t="n">
        <v>140</v>
      </c>
      <c r="F528" s="40" t="n"/>
      <c r="G528" s="28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IF(COUNTIFS($C:$C,$C528,$D:$D,"기준(전)",$L:$L,"&gt;0")&lt;&gt;1,"기준(전) 유효 1개 아님",IF(COUNTIFS($C:$C,$C528,$D:$D,"기준(후)",$L:$L,"&gt;0")&lt;&gt;1,"기준(후) 유효 1개 아님",IF(NOT(AND(ISNUMBER(N528),ISNUMBER(P528),ISNUMBER(H528))),"시각 결측",IF(P528&lt;=N528,"기준 시각 역전",IF(OR(H528&lt;N528,H528&gt;P528),"측정시각 구간 밖","OK")))))</f>
        <v/>
      </c>
      <c r="N528" s="45">
        <f>IF(COUNTIFS($C:$C,$C528,$D:$D,"기준(전)",$L:$L,"&gt;0")&lt;&gt;1,"",SUMIFS($H:$H,$C:$C,$C528,$D:$D,"기준(전)"))</f>
        <v/>
      </c>
      <c r="O528" s="30">
        <f>IF(COUNTIFS($C:$C,$C528,$D:$D,"기준(전)",$L:$L,"&gt;0")&lt;&gt;1,"",SUMIFS($L:$L,$C:$C,$C528,$D:$D,"기준(전)"))</f>
        <v/>
      </c>
      <c r="P528" s="45">
        <f>IF(COUNTIFS($C:$C,$C528,$D:$D,"기준(후)",$L:$L,"&gt;0")&lt;&gt;1,"",SUMIFS($H:$H,$C:$C,$C528,$D:$D,"기준(후)"))</f>
        <v/>
      </c>
      <c r="Q528" s="30">
        <f>IF(COUNTIFS($C:$C,$C528,$D:$D,"기준(후)",$L:$L,"&gt;0")&lt;&gt;1,"",SUMIFS($L:$L,$C:$C,$C528,$D:$D,"기준(후)"))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IF(OR($D527&lt;&gt;"측정",$C527&lt;&gt;$C528,NOT(ISNUMBER(L528)),NOT(ISNUMBER(L527)),(IF(ISNUMBER(F528),F528,E528)-IF(ISNUMBER(F527),F527,E527))=0),"",(L528-L527)/((IF(ISNUMBER(F528),F528,E528)-IF(ISNUMBER(F527),F527,E527))/100))</f>
        <v/>
      </c>
      <c r="U528" s="28" t="n"/>
      <c r="V528" s="28" t="n"/>
      <c r="W528" s="31" t="n"/>
    </row>
    <row r="529">
      <c r="A529" s="25" t="inlineStr">
        <is>
          <t>S44</t>
        </is>
      </c>
      <c r="B529" s="25" t="inlineStr">
        <is>
          <t>성산</t>
        </is>
      </c>
      <c r="C529" s="25" t="inlineStr">
        <is>
          <t>S44-V</t>
        </is>
      </c>
      <c r="D529" s="25" t="inlineStr">
        <is>
          <t>측정</t>
        </is>
      </c>
      <c r="E529" s="48" t="n">
        <v>160</v>
      </c>
      <c r="F529" s="40" t="n"/>
      <c r="G529" s="28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IF(COUNTIFS($C:$C,$C529,$D:$D,"기준(전)",$L:$L,"&gt;0")&lt;&gt;1,"기준(전) 유효 1개 아님",IF(COUNTIFS($C:$C,$C529,$D:$D,"기준(후)",$L:$L,"&gt;0")&lt;&gt;1,"기준(후) 유효 1개 아님",IF(NOT(AND(ISNUMBER(N529),ISNUMBER(P529),ISNUMBER(H529))),"시각 결측",IF(P529&lt;=N529,"기준 시각 역전",IF(OR(H529&lt;N529,H529&gt;P529),"측정시각 구간 밖","OK")))))</f>
        <v/>
      </c>
      <c r="N529" s="45">
        <f>IF(COUNTIFS($C:$C,$C529,$D:$D,"기준(전)",$L:$L,"&gt;0")&lt;&gt;1,"",SUMIFS($H:$H,$C:$C,$C529,$D:$D,"기준(전)"))</f>
        <v/>
      </c>
      <c r="O529" s="30">
        <f>IF(COUNTIFS($C:$C,$C529,$D:$D,"기준(전)",$L:$L,"&gt;0")&lt;&gt;1,"",SUMIFS($L:$L,$C:$C,$C529,$D:$D,"기준(전)"))</f>
        <v/>
      </c>
      <c r="P529" s="45">
        <f>IF(COUNTIFS($C:$C,$C529,$D:$D,"기준(후)",$L:$L,"&gt;0")&lt;&gt;1,"",SUMIFS($H:$H,$C:$C,$C529,$D:$D,"기준(후)"))</f>
        <v/>
      </c>
      <c r="Q529" s="30">
        <f>IF(COUNTIFS($C:$C,$C529,$D:$D,"기준(후)",$L:$L,"&gt;0")&lt;&gt;1,"",SUMIFS($L:$L,$C:$C,$C529,$D:$D,"기준(후)"))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IF(OR($D528&lt;&gt;"측정",$C528&lt;&gt;$C529,NOT(ISNUMBER(L529)),NOT(ISNUMBER(L528)),(IF(ISNUMBER(F529),F529,E529)-IF(ISNUMBER(F528),F528,E528))=0),"",(L529-L528)/((IF(ISNUMBER(F529),F529,E529)-IF(ISNUMBER(F528),F528,E528))/100))</f>
        <v/>
      </c>
      <c r="U529" s="28" t="n"/>
      <c r="V529" s="28" t="n"/>
      <c r="W529" s="31" t="n"/>
    </row>
    <row r="530">
      <c r="A530" s="25" t="inlineStr">
        <is>
          <t>S44</t>
        </is>
      </c>
      <c r="B530" s="25" t="inlineStr">
        <is>
          <t>성산</t>
        </is>
      </c>
      <c r="C530" s="25" t="inlineStr">
        <is>
          <t>S44-V</t>
        </is>
      </c>
      <c r="D530" s="25" t="inlineStr">
        <is>
          <t>측정</t>
        </is>
      </c>
      <c r="E530" s="48" t="n">
        <v>180</v>
      </c>
      <c r="F530" s="40" t="n"/>
      <c r="G530" s="28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IF(COUNTIFS($C:$C,$C530,$D:$D,"기준(전)",$L:$L,"&gt;0")&lt;&gt;1,"기준(전) 유효 1개 아님",IF(COUNTIFS($C:$C,$C530,$D:$D,"기준(후)",$L:$L,"&gt;0")&lt;&gt;1,"기준(후) 유효 1개 아님",IF(NOT(AND(ISNUMBER(N530),ISNUMBER(P530),ISNUMBER(H530))),"시각 결측",IF(P530&lt;=N530,"기준 시각 역전",IF(OR(H530&lt;N530,H530&gt;P530),"측정시각 구간 밖","OK")))))</f>
        <v/>
      </c>
      <c r="N530" s="45">
        <f>IF(COUNTIFS($C:$C,$C530,$D:$D,"기준(전)",$L:$L,"&gt;0")&lt;&gt;1,"",SUMIFS($H:$H,$C:$C,$C530,$D:$D,"기준(전)"))</f>
        <v/>
      </c>
      <c r="O530" s="30">
        <f>IF(COUNTIFS($C:$C,$C530,$D:$D,"기준(전)",$L:$L,"&gt;0")&lt;&gt;1,"",SUMIFS($L:$L,$C:$C,$C530,$D:$D,"기준(전)"))</f>
        <v/>
      </c>
      <c r="P530" s="45">
        <f>IF(COUNTIFS($C:$C,$C530,$D:$D,"기준(후)",$L:$L,"&gt;0")&lt;&gt;1,"",SUMIFS($H:$H,$C:$C,$C530,$D:$D,"기준(후)"))</f>
        <v/>
      </c>
      <c r="Q530" s="30">
        <f>IF(COUNTIFS($C:$C,$C530,$D:$D,"기준(후)",$L:$L,"&gt;0")&lt;&gt;1,"",SUMIFS($L:$L,$C:$C,$C530,$D:$D,"기준(후)"))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IF(OR($D529&lt;&gt;"측정",$C529&lt;&gt;$C530,NOT(ISNUMBER(L530)),NOT(ISNUMBER(L529)),(IF(ISNUMBER(F530),F530,E530)-IF(ISNUMBER(F529),F529,E529))=0),"",(L530-L529)/((IF(ISNUMBER(F530),F530,E530)-IF(ISNUMBER(F529),F529,E529))/100))</f>
        <v/>
      </c>
      <c r="U530" s="28" t="n"/>
      <c r="V530" s="28" t="n"/>
      <c r="W530" s="31" t="n"/>
    </row>
    <row r="531">
      <c r="A531" s="25" t="inlineStr">
        <is>
          <t>S44</t>
        </is>
      </c>
      <c r="B531" s="25" t="inlineStr">
        <is>
          <t>성산</t>
        </is>
      </c>
      <c r="C531" s="25" t="inlineStr">
        <is>
          <t>S44-V</t>
        </is>
      </c>
      <c r="D531" s="25" t="inlineStr">
        <is>
          <t>측정</t>
        </is>
      </c>
      <c r="E531" s="48" t="n">
        <v>200</v>
      </c>
      <c r="F531" s="40" t="n"/>
      <c r="G531" s="28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IF(COUNTIFS($C:$C,$C531,$D:$D,"기준(전)",$L:$L,"&gt;0")&lt;&gt;1,"기준(전) 유효 1개 아님",IF(COUNTIFS($C:$C,$C531,$D:$D,"기준(후)",$L:$L,"&gt;0")&lt;&gt;1,"기준(후) 유효 1개 아님",IF(NOT(AND(ISNUMBER(N531),ISNUMBER(P531),ISNUMBER(H531))),"시각 결측",IF(P531&lt;=N531,"기준 시각 역전",IF(OR(H531&lt;N531,H531&gt;P531),"측정시각 구간 밖","OK")))))</f>
        <v/>
      </c>
      <c r="N531" s="45">
        <f>IF(COUNTIFS($C:$C,$C531,$D:$D,"기준(전)",$L:$L,"&gt;0")&lt;&gt;1,"",SUMIFS($H:$H,$C:$C,$C531,$D:$D,"기준(전)"))</f>
        <v/>
      </c>
      <c r="O531" s="30">
        <f>IF(COUNTIFS($C:$C,$C531,$D:$D,"기준(전)",$L:$L,"&gt;0")&lt;&gt;1,"",SUMIFS($L:$L,$C:$C,$C531,$D:$D,"기준(전)"))</f>
        <v/>
      </c>
      <c r="P531" s="45">
        <f>IF(COUNTIFS($C:$C,$C531,$D:$D,"기준(후)",$L:$L,"&gt;0")&lt;&gt;1,"",SUMIFS($H:$H,$C:$C,$C531,$D:$D,"기준(후)"))</f>
        <v/>
      </c>
      <c r="Q531" s="30">
        <f>IF(COUNTIFS($C:$C,$C531,$D:$D,"기준(후)",$L:$L,"&gt;0")&lt;&gt;1,"",SUMIFS($L:$L,$C:$C,$C531,$D:$D,"기준(후)"))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IF(OR($D530&lt;&gt;"측정",$C530&lt;&gt;$C531,NOT(ISNUMBER(L531)),NOT(ISNUMBER(L530)),(IF(ISNUMBER(F531),F531,E531)-IF(ISNUMBER(F530),F530,E530))=0),"",(L531-L530)/((IF(ISNUMBER(F531),F531,E531)-IF(ISNUMBER(F530),F530,E530))/100))</f>
        <v/>
      </c>
      <c r="U531" s="28" t="n"/>
      <c r="V531" s="28" t="n"/>
      <c r="W531" s="31" t="n"/>
    </row>
    <row r="532">
      <c r="A532" s="43" t="inlineStr">
        <is>
          <t>S44</t>
        </is>
      </c>
      <c r="B532" s="43" t="inlineStr">
        <is>
          <t>성산</t>
        </is>
      </c>
      <c r="C532" s="43" t="inlineStr">
        <is>
          <t>S44-V</t>
        </is>
      </c>
      <c r="D532" s="43" t="inlineStr">
        <is>
          <t>기준(후)</t>
        </is>
      </c>
      <c r="E532" s="47" t="n"/>
      <c r="F532" s="40" t="n"/>
      <c r="G532" s="28" t="n"/>
      <c r="H532" s="42" t="n"/>
      <c r="I532" s="40" t="n"/>
      <c r="J532" s="40" t="n"/>
      <c r="K532" s="40" t="n"/>
      <c r="L532" s="30">
        <f>IF(COUNT(I532:K532)=0,"",MEDIAN(I532:K532))</f>
        <v/>
      </c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28" t="n"/>
      <c r="V532" s="28" t="n"/>
      <c r="W532" s="31" t="n"/>
    </row>
    <row r="533">
      <c r="A533" s="43" t="inlineStr">
        <is>
          <t>S45</t>
        </is>
      </c>
      <c r="B533" s="43" t="inlineStr">
        <is>
          <t>여주</t>
        </is>
      </c>
      <c r="C533" s="43" t="inlineStr">
        <is>
          <t>S45-V</t>
        </is>
      </c>
      <c r="D533" s="43" t="inlineStr">
        <is>
          <t>기준(전)</t>
        </is>
      </c>
      <c r="E533" s="47" t="n"/>
      <c r="F533" s="40" t="n"/>
      <c r="G533" s="28" t="n"/>
      <c r="H533" s="42" t="n"/>
      <c r="I533" s="40" t="n"/>
      <c r="J533" s="40" t="n"/>
      <c r="K533" s="40" t="n"/>
      <c r="L533" s="30">
        <f>IF(COUNT(I533:K533)=0,"",MEDIAN(I533:K533))</f>
        <v/>
      </c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28" t="n"/>
      <c r="V533" s="28" t="n"/>
      <c r="W533" s="31" t="n"/>
    </row>
    <row r="534">
      <c r="A534" s="25" t="inlineStr">
        <is>
          <t>S45</t>
        </is>
      </c>
      <c r="B534" s="25" t="inlineStr">
        <is>
          <t>여주</t>
        </is>
      </c>
      <c r="C534" s="25" t="inlineStr">
        <is>
          <t>S45-V</t>
        </is>
      </c>
      <c r="D534" s="25" t="inlineStr">
        <is>
          <t>측정</t>
        </is>
      </c>
      <c r="E534" s="48" t="n">
        <v>20</v>
      </c>
      <c r="F534" s="40" t="n"/>
      <c r="G534" s="28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IF(COUNTIFS($C:$C,$C534,$D:$D,"기준(전)",$L:$L,"&gt;0")&lt;&gt;1,"기준(전) 유효 1개 아님",IF(COUNTIFS($C:$C,$C534,$D:$D,"기준(후)",$L:$L,"&gt;0")&lt;&gt;1,"기준(후) 유효 1개 아님",IF(NOT(AND(ISNUMBER(N534),ISNUMBER(P534),ISNUMBER(H534))),"시각 결측",IF(P534&lt;=N534,"기준 시각 역전",IF(OR(H534&lt;N534,H534&gt;P534),"측정시각 구간 밖","OK")))))</f>
        <v/>
      </c>
      <c r="N534" s="45">
        <f>IF(COUNTIFS($C:$C,$C534,$D:$D,"기준(전)",$L:$L,"&gt;0")&lt;&gt;1,"",SUMIFS($H:$H,$C:$C,$C534,$D:$D,"기준(전)"))</f>
        <v/>
      </c>
      <c r="O534" s="30">
        <f>IF(COUNTIFS($C:$C,$C534,$D:$D,"기준(전)",$L:$L,"&gt;0")&lt;&gt;1,"",SUMIFS($L:$L,$C:$C,$C534,$D:$D,"기준(전)"))</f>
        <v/>
      </c>
      <c r="P534" s="45">
        <f>IF(COUNTIFS($C:$C,$C534,$D:$D,"기준(후)",$L:$L,"&gt;0")&lt;&gt;1,"",SUMIFS($H:$H,$C:$C,$C534,$D:$D,"기준(후)"))</f>
        <v/>
      </c>
      <c r="Q534" s="30">
        <f>IF(COUNTIFS($C:$C,$C534,$D:$D,"기준(후)",$L:$L,"&gt;0")&lt;&gt;1,"",SUMIFS($L:$L,$C:$C,$C534,$D:$D,"기준(후)"))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IF(OR($D533&lt;&gt;"측정",$C533&lt;&gt;$C534,NOT(ISNUMBER(L534)),NOT(ISNUMBER(L533)),(IF(ISNUMBER(F534),F534,E534)-IF(ISNUMBER(F533),F533,E533))=0),"",(L534-L533)/((IF(ISNUMBER(F534),F534,E534)-IF(ISNUMBER(F533),F533,E533))/100))</f>
        <v/>
      </c>
      <c r="U534" s="28" t="n"/>
      <c r="V534" s="28" t="n"/>
      <c r="W534" s="31" t="n"/>
    </row>
    <row r="535">
      <c r="A535" s="25" t="inlineStr">
        <is>
          <t>S45</t>
        </is>
      </c>
      <c r="B535" s="25" t="inlineStr">
        <is>
          <t>여주</t>
        </is>
      </c>
      <c r="C535" s="25" t="inlineStr">
        <is>
          <t>S45-V</t>
        </is>
      </c>
      <c r="D535" s="25" t="inlineStr">
        <is>
          <t>측정</t>
        </is>
      </c>
      <c r="E535" s="48" t="n">
        <v>40</v>
      </c>
      <c r="F535" s="40" t="n"/>
      <c r="G535" s="28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IF(COUNTIFS($C:$C,$C535,$D:$D,"기준(전)",$L:$L,"&gt;0")&lt;&gt;1,"기준(전) 유효 1개 아님",IF(COUNTIFS($C:$C,$C535,$D:$D,"기준(후)",$L:$L,"&gt;0")&lt;&gt;1,"기준(후) 유효 1개 아님",IF(NOT(AND(ISNUMBER(N535),ISNUMBER(P535),ISNUMBER(H535))),"시각 결측",IF(P535&lt;=N535,"기준 시각 역전",IF(OR(H535&lt;N535,H535&gt;P535),"측정시각 구간 밖","OK")))))</f>
        <v/>
      </c>
      <c r="N535" s="45">
        <f>IF(COUNTIFS($C:$C,$C535,$D:$D,"기준(전)",$L:$L,"&gt;0")&lt;&gt;1,"",SUMIFS($H:$H,$C:$C,$C535,$D:$D,"기준(전)"))</f>
        <v/>
      </c>
      <c r="O535" s="30">
        <f>IF(COUNTIFS($C:$C,$C535,$D:$D,"기준(전)",$L:$L,"&gt;0")&lt;&gt;1,"",SUMIFS($L:$L,$C:$C,$C535,$D:$D,"기준(전)"))</f>
        <v/>
      </c>
      <c r="P535" s="45">
        <f>IF(COUNTIFS($C:$C,$C535,$D:$D,"기준(후)",$L:$L,"&gt;0")&lt;&gt;1,"",SUMIFS($H:$H,$C:$C,$C535,$D:$D,"기준(후)"))</f>
        <v/>
      </c>
      <c r="Q535" s="30">
        <f>IF(COUNTIFS($C:$C,$C535,$D:$D,"기준(후)",$L:$L,"&gt;0")&lt;&gt;1,"",SUMIFS($L:$L,$C:$C,$C535,$D:$D,"기준(후)"))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IF(OR($D534&lt;&gt;"측정",$C534&lt;&gt;$C535,NOT(ISNUMBER(L535)),NOT(ISNUMBER(L534)),(IF(ISNUMBER(F535),F535,E535)-IF(ISNUMBER(F534),F534,E534))=0),"",(L535-L534)/((IF(ISNUMBER(F535),F535,E535)-IF(ISNUMBER(F534),F534,E534))/100))</f>
        <v/>
      </c>
      <c r="U535" s="28" t="n"/>
      <c r="V535" s="28" t="n"/>
      <c r="W535" s="31" t="n"/>
    </row>
    <row r="536">
      <c r="A536" s="25" t="inlineStr">
        <is>
          <t>S45</t>
        </is>
      </c>
      <c r="B536" s="25" t="inlineStr">
        <is>
          <t>여주</t>
        </is>
      </c>
      <c r="C536" s="25" t="inlineStr">
        <is>
          <t>S45-V</t>
        </is>
      </c>
      <c r="D536" s="25" t="inlineStr">
        <is>
          <t>측정</t>
        </is>
      </c>
      <c r="E536" s="48" t="n">
        <v>60</v>
      </c>
      <c r="F536" s="40" t="n"/>
      <c r="G536" s="28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IF(COUNTIFS($C:$C,$C536,$D:$D,"기준(전)",$L:$L,"&gt;0")&lt;&gt;1,"기준(전) 유효 1개 아님",IF(COUNTIFS($C:$C,$C536,$D:$D,"기준(후)",$L:$L,"&gt;0")&lt;&gt;1,"기준(후) 유효 1개 아님",IF(NOT(AND(ISNUMBER(N536),ISNUMBER(P536),ISNUMBER(H536))),"시각 결측",IF(P536&lt;=N536,"기준 시각 역전",IF(OR(H536&lt;N536,H536&gt;P536),"측정시각 구간 밖","OK")))))</f>
        <v/>
      </c>
      <c r="N536" s="45">
        <f>IF(COUNTIFS($C:$C,$C536,$D:$D,"기준(전)",$L:$L,"&gt;0")&lt;&gt;1,"",SUMIFS($H:$H,$C:$C,$C536,$D:$D,"기준(전)"))</f>
        <v/>
      </c>
      <c r="O536" s="30">
        <f>IF(COUNTIFS($C:$C,$C536,$D:$D,"기준(전)",$L:$L,"&gt;0")&lt;&gt;1,"",SUMIFS($L:$L,$C:$C,$C536,$D:$D,"기준(전)"))</f>
        <v/>
      </c>
      <c r="P536" s="45">
        <f>IF(COUNTIFS($C:$C,$C536,$D:$D,"기준(후)",$L:$L,"&gt;0")&lt;&gt;1,"",SUMIFS($H:$H,$C:$C,$C536,$D:$D,"기준(후)"))</f>
        <v/>
      </c>
      <c r="Q536" s="30">
        <f>IF(COUNTIFS($C:$C,$C536,$D:$D,"기준(후)",$L:$L,"&gt;0")&lt;&gt;1,"",SUMIFS($L:$L,$C:$C,$C536,$D:$D,"기준(후)"))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IF(OR($D535&lt;&gt;"측정",$C535&lt;&gt;$C536,NOT(ISNUMBER(L536)),NOT(ISNUMBER(L535)),(IF(ISNUMBER(F536),F536,E536)-IF(ISNUMBER(F535),F535,E535))=0),"",(L536-L535)/((IF(ISNUMBER(F536),F536,E536)-IF(ISNUMBER(F535),F535,E535))/100))</f>
        <v/>
      </c>
      <c r="U536" s="28" t="n"/>
      <c r="V536" s="28" t="n"/>
      <c r="W536" s="31" t="n"/>
    </row>
    <row r="537">
      <c r="A537" s="25" t="inlineStr">
        <is>
          <t>S45</t>
        </is>
      </c>
      <c r="B537" s="25" t="inlineStr">
        <is>
          <t>여주</t>
        </is>
      </c>
      <c r="C537" s="25" t="inlineStr">
        <is>
          <t>S45-V</t>
        </is>
      </c>
      <c r="D537" s="25" t="inlineStr">
        <is>
          <t>측정</t>
        </is>
      </c>
      <c r="E537" s="48" t="n">
        <v>80</v>
      </c>
      <c r="F537" s="40" t="n"/>
      <c r="G537" s="28" t="n"/>
      <c r="H537" s="42" t="n"/>
      <c r="I537" s="40" t="n"/>
      <c r="J537" s="40" t="n"/>
      <c r="K537" s="40" t="n"/>
      <c r="L537" s="30">
        <f>IF(COUNT(I537:K537)=0,"",MEDIAN(I537:K537))</f>
        <v/>
      </c>
      <c r="M537" s="25">
        <f>IF(COUNTIFS($C:$C,$C537,$D:$D,"기준(전)",$L:$L,"&gt;0")&lt;&gt;1,"기준(전) 유효 1개 아님",IF(COUNTIFS($C:$C,$C537,$D:$D,"기준(후)",$L:$L,"&gt;0")&lt;&gt;1,"기준(후) 유효 1개 아님",IF(NOT(AND(ISNUMBER(N537),ISNUMBER(P537),ISNUMBER(H537))),"시각 결측",IF(P537&lt;=N537,"기준 시각 역전",IF(OR(H537&lt;N537,H537&gt;P537),"측정시각 구간 밖","OK")))))</f>
        <v/>
      </c>
      <c r="N537" s="45">
        <f>IF(COUNTIFS($C:$C,$C537,$D:$D,"기준(전)",$L:$L,"&gt;0")&lt;&gt;1,"",SUMIFS($H:$H,$C:$C,$C537,$D:$D,"기준(전)"))</f>
        <v/>
      </c>
      <c r="O537" s="30">
        <f>IF(COUNTIFS($C:$C,$C537,$D:$D,"기준(전)",$L:$L,"&gt;0")&lt;&gt;1,"",SUMIFS($L:$L,$C:$C,$C537,$D:$D,"기준(전)"))</f>
        <v/>
      </c>
      <c r="P537" s="45">
        <f>IF(COUNTIFS($C:$C,$C537,$D:$D,"기준(후)",$L:$L,"&gt;0")&lt;&gt;1,"",SUMIFS($H:$H,$C:$C,$C537,$D:$D,"기준(후)"))</f>
        <v/>
      </c>
      <c r="Q537" s="30">
        <f>IF(COUNTIFS($C:$C,$C537,$D:$D,"기준(후)",$L:$L,"&gt;0")&lt;&gt;1,"",SUMIFS($L:$L,$C:$C,$C537,$D:$D,"기준(후)"))</f>
        <v/>
      </c>
      <c r="R537" s="30">
        <f>IF(M537&lt;&gt;"OK","",O537+(Q537-O537)*(H537-N537)/(P537-N537))</f>
        <v/>
      </c>
      <c r="S537" s="30">
        <f>IF(OR(M537&lt;&gt;"OK",NOT(ISNUMBER(L537))),"",L537-R537)</f>
        <v/>
      </c>
      <c r="T537" s="46">
        <f>IF(OR($D536&lt;&gt;"측정",$C536&lt;&gt;$C537,NOT(ISNUMBER(L537)),NOT(ISNUMBER(L536)),(IF(ISNUMBER(F537),F537,E537)-IF(ISNUMBER(F536),F536,E536))=0),"",(L537-L536)/((IF(ISNUMBER(F537),F537,E537)-IF(ISNUMBER(F536),F536,E536))/100))</f>
        <v/>
      </c>
      <c r="U537" s="28" t="n"/>
      <c r="V537" s="28" t="n"/>
      <c r="W537" s="31" t="n"/>
    </row>
    <row r="538">
      <c r="A538" s="25" t="inlineStr">
        <is>
          <t>S45</t>
        </is>
      </c>
      <c r="B538" s="25" t="inlineStr">
        <is>
          <t>여주</t>
        </is>
      </c>
      <c r="C538" s="25" t="inlineStr">
        <is>
          <t>S45-V</t>
        </is>
      </c>
      <c r="D538" s="25" t="inlineStr">
        <is>
          <t>측정</t>
        </is>
      </c>
      <c r="E538" s="48" t="n">
        <v>100</v>
      </c>
      <c r="F538" s="40" t="n"/>
      <c r="G538" s="28" t="n"/>
      <c r="H538" s="42" t="n"/>
      <c r="I538" s="40" t="n"/>
      <c r="J538" s="40" t="n"/>
      <c r="K538" s="40" t="n"/>
      <c r="L538" s="30">
        <f>IF(COUNT(I538:K538)=0,"",MEDIAN(I538:K538))</f>
        <v/>
      </c>
      <c r="M538" s="25">
        <f>IF(COUNTIFS($C:$C,$C538,$D:$D,"기준(전)",$L:$L,"&gt;0")&lt;&gt;1,"기준(전) 유효 1개 아님",IF(COUNTIFS($C:$C,$C538,$D:$D,"기준(후)",$L:$L,"&gt;0")&lt;&gt;1,"기준(후) 유효 1개 아님",IF(NOT(AND(ISNUMBER(N538),ISNUMBER(P538),ISNUMBER(H538))),"시각 결측",IF(P538&lt;=N538,"기준 시각 역전",IF(OR(H538&lt;N538,H538&gt;P538),"측정시각 구간 밖","OK")))))</f>
        <v/>
      </c>
      <c r="N538" s="45">
        <f>IF(COUNTIFS($C:$C,$C538,$D:$D,"기준(전)",$L:$L,"&gt;0")&lt;&gt;1,"",SUMIFS($H:$H,$C:$C,$C538,$D:$D,"기준(전)"))</f>
        <v/>
      </c>
      <c r="O538" s="30">
        <f>IF(COUNTIFS($C:$C,$C538,$D:$D,"기준(전)",$L:$L,"&gt;0")&lt;&gt;1,"",SUMIFS($L:$L,$C:$C,$C538,$D:$D,"기준(전)"))</f>
        <v/>
      </c>
      <c r="P538" s="45">
        <f>IF(COUNTIFS($C:$C,$C538,$D:$D,"기준(후)",$L:$L,"&gt;0")&lt;&gt;1,"",SUMIFS($H:$H,$C:$C,$C538,$D:$D,"기준(후)"))</f>
        <v/>
      </c>
      <c r="Q538" s="30">
        <f>IF(COUNTIFS($C:$C,$C538,$D:$D,"기준(후)",$L:$L,"&gt;0")&lt;&gt;1,"",SUMIFS($L:$L,$C:$C,$C538,$D:$D,"기준(후)"))</f>
        <v/>
      </c>
      <c r="R538" s="30">
        <f>IF(M538&lt;&gt;"OK","",O538+(Q538-O538)*(H538-N538)/(P538-N538))</f>
        <v/>
      </c>
      <c r="S538" s="30">
        <f>IF(OR(M538&lt;&gt;"OK",NOT(ISNUMBER(L538))),"",L538-R538)</f>
        <v/>
      </c>
      <c r="T538" s="46">
        <f>IF(OR($D537&lt;&gt;"측정",$C537&lt;&gt;$C538,NOT(ISNUMBER(L538)),NOT(ISNUMBER(L537)),(IF(ISNUMBER(F538),F538,E538)-IF(ISNUMBER(F537),F537,E537))=0),"",(L538-L537)/((IF(ISNUMBER(F538),F538,E538)-IF(ISNUMBER(F537),F537,E537))/100))</f>
        <v/>
      </c>
      <c r="U538" s="28" t="n"/>
      <c r="V538" s="28" t="n"/>
      <c r="W538" s="31" t="n"/>
    </row>
    <row r="539">
      <c r="A539" s="25" t="inlineStr">
        <is>
          <t>S45</t>
        </is>
      </c>
      <c r="B539" s="25" t="inlineStr">
        <is>
          <t>여주</t>
        </is>
      </c>
      <c r="C539" s="25" t="inlineStr">
        <is>
          <t>S45-V</t>
        </is>
      </c>
      <c r="D539" s="25" t="inlineStr">
        <is>
          <t>측정</t>
        </is>
      </c>
      <c r="E539" s="48" t="n">
        <v>120</v>
      </c>
      <c r="F539" s="40" t="n"/>
      <c r="G539" s="28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IF(COUNTIFS($C:$C,$C539,$D:$D,"기준(전)",$L:$L,"&gt;0")&lt;&gt;1,"기준(전) 유효 1개 아님",IF(COUNTIFS($C:$C,$C539,$D:$D,"기준(후)",$L:$L,"&gt;0")&lt;&gt;1,"기준(후) 유효 1개 아님",IF(NOT(AND(ISNUMBER(N539),ISNUMBER(P539),ISNUMBER(H539))),"시각 결측",IF(P539&lt;=N539,"기준 시각 역전",IF(OR(H539&lt;N539,H539&gt;P539),"측정시각 구간 밖","OK")))))</f>
        <v/>
      </c>
      <c r="N539" s="45">
        <f>IF(COUNTIFS($C:$C,$C539,$D:$D,"기준(전)",$L:$L,"&gt;0")&lt;&gt;1,"",SUMIFS($H:$H,$C:$C,$C539,$D:$D,"기준(전)"))</f>
        <v/>
      </c>
      <c r="O539" s="30">
        <f>IF(COUNTIFS($C:$C,$C539,$D:$D,"기준(전)",$L:$L,"&gt;0")&lt;&gt;1,"",SUMIFS($L:$L,$C:$C,$C539,$D:$D,"기준(전)"))</f>
        <v/>
      </c>
      <c r="P539" s="45">
        <f>IF(COUNTIFS($C:$C,$C539,$D:$D,"기준(후)",$L:$L,"&gt;0")&lt;&gt;1,"",SUMIFS($H:$H,$C:$C,$C539,$D:$D,"기준(후)"))</f>
        <v/>
      </c>
      <c r="Q539" s="30">
        <f>IF(COUNTIFS($C:$C,$C539,$D:$D,"기준(후)",$L:$L,"&gt;0")&lt;&gt;1,"",SUMIFS($L:$L,$C:$C,$C539,$D:$D,"기준(후)"))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IF(OR($D538&lt;&gt;"측정",$C538&lt;&gt;$C539,NOT(ISNUMBER(L539)),NOT(ISNUMBER(L538)),(IF(ISNUMBER(F539),F539,E539)-IF(ISNUMBER(F538),F538,E538))=0),"",(L539-L538)/((IF(ISNUMBER(F539),F539,E539)-IF(ISNUMBER(F538),F538,E538))/100))</f>
        <v/>
      </c>
      <c r="U539" s="28" t="n"/>
      <c r="V539" s="28" t="n"/>
      <c r="W539" s="31" t="n"/>
    </row>
    <row r="540">
      <c r="A540" s="25" t="inlineStr">
        <is>
          <t>S45</t>
        </is>
      </c>
      <c r="B540" s="25" t="inlineStr">
        <is>
          <t>여주</t>
        </is>
      </c>
      <c r="C540" s="25" t="inlineStr">
        <is>
          <t>S45-V</t>
        </is>
      </c>
      <c r="D540" s="25" t="inlineStr">
        <is>
          <t>측정</t>
        </is>
      </c>
      <c r="E540" s="48" t="n">
        <v>140</v>
      </c>
      <c r="F540" s="40" t="n"/>
      <c r="G540" s="28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IF(COUNTIFS($C:$C,$C540,$D:$D,"기준(전)",$L:$L,"&gt;0")&lt;&gt;1,"기준(전) 유효 1개 아님",IF(COUNTIFS($C:$C,$C540,$D:$D,"기준(후)",$L:$L,"&gt;0")&lt;&gt;1,"기준(후) 유효 1개 아님",IF(NOT(AND(ISNUMBER(N540),ISNUMBER(P540),ISNUMBER(H540))),"시각 결측",IF(P540&lt;=N540,"기준 시각 역전",IF(OR(H540&lt;N540,H540&gt;P540),"측정시각 구간 밖","OK")))))</f>
        <v/>
      </c>
      <c r="N540" s="45">
        <f>IF(COUNTIFS($C:$C,$C540,$D:$D,"기준(전)",$L:$L,"&gt;0")&lt;&gt;1,"",SUMIFS($H:$H,$C:$C,$C540,$D:$D,"기준(전)"))</f>
        <v/>
      </c>
      <c r="O540" s="30">
        <f>IF(COUNTIFS($C:$C,$C540,$D:$D,"기준(전)",$L:$L,"&gt;0")&lt;&gt;1,"",SUMIFS($L:$L,$C:$C,$C540,$D:$D,"기준(전)"))</f>
        <v/>
      </c>
      <c r="P540" s="45">
        <f>IF(COUNTIFS($C:$C,$C540,$D:$D,"기준(후)",$L:$L,"&gt;0")&lt;&gt;1,"",SUMIFS($H:$H,$C:$C,$C540,$D:$D,"기준(후)"))</f>
        <v/>
      </c>
      <c r="Q540" s="30">
        <f>IF(COUNTIFS($C:$C,$C540,$D:$D,"기준(후)",$L:$L,"&gt;0")&lt;&gt;1,"",SUMIFS($L:$L,$C:$C,$C540,$D:$D,"기준(후)"))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IF(OR($D539&lt;&gt;"측정",$C539&lt;&gt;$C540,NOT(ISNUMBER(L540)),NOT(ISNUMBER(L539)),(IF(ISNUMBER(F540),F540,E540)-IF(ISNUMBER(F539),F539,E539))=0),"",(L540-L539)/((IF(ISNUMBER(F540),F540,E540)-IF(ISNUMBER(F539),F539,E539))/100))</f>
        <v/>
      </c>
      <c r="U540" s="28" t="n"/>
      <c r="V540" s="28" t="n"/>
      <c r="W540" s="31" t="n"/>
    </row>
    <row r="541">
      <c r="A541" s="25" t="inlineStr">
        <is>
          <t>S45</t>
        </is>
      </c>
      <c r="B541" s="25" t="inlineStr">
        <is>
          <t>여주</t>
        </is>
      </c>
      <c r="C541" s="25" t="inlineStr">
        <is>
          <t>S45-V</t>
        </is>
      </c>
      <c r="D541" s="25" t="inlineStr">
        <is>
          <t>측정</t>
        </is>
      </c>
      <c r="E541" s="48" t="n">
        <v>160</v>
      </c>
      <c r="F541" s="40" t="n"/>
      <c r="G541" s="28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IF(COUNTIFS($C:$C,$C541,$D:$D,"기준(전)",$L:$L,"&gt;0")&lt;&gt;1,"기준(전) 유효 1개 아님",IF(COUNTIFS($C:$C,$C541,$D:$D,"기준(후)",$L:$L,"&gt;0")&lt;&gt;1,"기준(후) 유효 1개 아님",IF(NOT(AND(ISNUMBER(N541),ISNUMBER(P541),ISNUMBER(H541))),"시각 결측",IF(P541&lt;=N541,"기준 시각 역전",IF(OR(H541&lt;N541,H541&gt;P541),"측정시각 구간 밖","OK")))))</f>
        <v/>
      </c>
      <c r="N541" s="45">
        <f>IF(COUNTIFS($C:$C,$C541,$D:$D,"기준(전)",$L:$L,"&gt;0")&lt;&gt;1,"",SUMIFS($H:$H,$C:$C,$C541,$D:$D,"기준(전)"))</f>
        <v/>
      </c>
      <c r="O541" s="30">
        <f>IF(COUNTIFS($C:$C,$C541,$D:$D,"기준(전)",$L:$L,"&gt;0")&lt;&gt;1,"",SUMIFS($L:$L,$C:$C,$C541,$D:$D,"기준(전)"))</f>
        <v/>
      </c>
      <c r="P541" s="45">
        <f>IF(COUNTIFS($C:$C,$C541,$D:$D,"기준(후)",$L:$L,"&gt;0")&lt;&gt;1,"",SUMIFS($H:$H,$C:$C,$C541,$D:$D,"기준(후)"))</f>
        <v/>
      </c>
      <c r="Q541" s="30">
        <f>IF(COUNTIFS($C:$C,$C541,$D:$D,"기준(후)",$L:$L,"&gt;0")&lt;&gt;1,"",SUMIFS($L:$L,$C:$C,$C541,$D:$D,"기준(후)"))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IF(OR($D540&lt;&gt;"측정",$C540&lt;&gt;$C541,NOT(ISNUMBER(L541)),NOT(ISNUMBER(L540)),(IF(ISNUMBER(F541),F541,E541)-IF(ISNUMBER(F540),F540,E540))=0),"",(L541-L540)/((IF(ISNUMBER(F541),F541,E541)-IF(ISNUMBER(F540),F540,E540))/100))</f>
        <v/>
      </c>
      <c r="U541" s="28" t="n"/>
      <c r="V541" s="28" t="n"/>
      <c r="W541" s="31" t="n"/>
    </row>
    <row r="542">
      <c r="A542" s="25" t="inlineStr">
        <is>
          <t>S45</t>
        </is>
      </c>
      <c r="B542" s="25" t="inlineStr">
        <is>
          <t>여주</t>
        </is>
      </c>
      <c r="C542" s="25" t="inlineStr">
        <is>
          <t>S45-V</t>
        </is>
      </c>
      <c r="D542" s="25" t="inlineStr">
        <is>
          <t>측정</t>
        </is>
      </c>
      <c r="E542" s="48" t="n">
        <v>180</v>
      </c>
      <c r="F542" s="40" t="n"/>
      <c r="G542" s="28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IF(COUNTIFS($C:$C,$C542,$D:$D,"기준(전)",$L:$L,"&gt;0")&lt;&gt;1,"기준(전) 유효 1개 아님",IF(COUNTIFS($C:$C,$C542,$D:$D,"기준(후)",$L:$L,"&gt;0")&lt;&gt;1,"기준(후) 유효 1개 아님",IF(NOT(AND(ISNUMBER(N542),ISNUMBER(P542),ISNUMBER(H542))),"시각 결측",IF(P542&lt;=N542,"기준 시각 역전",IF(OR(H542&lt;N542,H542&gt;P542),"측정시각 구간 밖","OK")))))</f>
        <v/>
      </c>
      <c r="N542" s="45">
        <f>IF(COUNTIFS($C:$C,$C542,$D:$D,"기준(전)",$L:$L,"&gt;0")&lt;&gt;1,"",SUMIFS($H:$H,$C:$C,$C542,$D:$D,"기준(전)"))</f>
        <v/>
      </c>
      <c r="O542" s="30">
        <f>IF(COUNTIFS($C:$C,$C542,$D:$D,"기준(전)",$L:$L,"&gt;0")&lt;&gt;1,"",SUMIFS($L:$L,$C:$C,$C542,$D:$D,"기준(전)"))</f>
        <v/>
      </c>
      <c r="P542" s="45">
        <f>IF(COUNTIFS($C:$C,$C542,$D:$D,"기준(후)",$L:$L,"&gt;0")&lt;&gt;1,"",SUMIFS($H:$H,$C:$C,$C542,$D:$D,"기준(후)"))</f>
        <v/>
      </c>
      <c r="Q542" s="30">
        <f>IF(COUNTIFS($C:$C,$C542,$D:$D,"기준(후)",$L:$L,"&gt;0")&lt;&gt;1,"",SUMIFS($L:$L,$C:$C,$C542,$D:$D,"기준(후)"))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IF(OR($D541&lt;&gt;"측정",$C541&lt;&gt;$C542,NOT(ISNUMBER(L542)),NOT(ISNUMBER(L541)),(IF(ISNUMBER(F542),F542,E542)-IF(ISNUMBER(F541),F541,E541))=0),"",(L542-L541)/((IF(ISNUMBER(F542),F542,E542)-IF(ISNUMBER(F541),F541,E541))/100))</f>
        <v/>
      </c>
      <c r="U542" s="28" t="n"/>
      <c r="V542" s="28" t="n"/>
      <c r="W542" s="31" t="n"/>
    </row>
    <row r="543">
      <c r="A543" s="25" t="inlineStr">
        <is>
          <t>S45</t>
        </is>
      </c>
      <c r="B543" s="25" t="inlineStr">
        <is>
          <t>여주</t>
        </is>
      </c>
      <c r="C543" s="25" t="inlineStr">
        <is>
          <t>S45-V</t>
        </is>
      </c>
      <c r="D543" s="25" t="inlineStr">
        <is>
          <t>측정</t>
        </is>
      </c>
      <c r="E543" s="48" t="n">
        <v>200</v>
      </c>
      <c r="F543" s="40" t="n"/>
      <c r="G543" s="28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IF(COUNTIFS($C:$C,$C543,$D:$D,"기준(전)",$L:$L,"&gt;0")&lt;&gt;1,"기준(전) 유효 1개 아님",IF(COUNTIFS($C:$C,$C543,$D:$D,"기준(후)",$L:$L,"&gt;0")&lt;&gt;1,"기준(후) 유효 1개 아님",IF(NOT(AND(ISNUMBER(N543),ISNUMBER(P543),ISNUMBER(H543))),"시각 결측",IF(P543&lt;=N543,"기준 시각 역전",IF(OR(H543&lt;N543,H543&gt;P543),"측정시각 구간 밖","OK")))))</f>
        <v/>
      </c>
      <c r="N543" s="45">
        <f>IF(COUNTIFS($C:$C,$C543,$D:$D,"기준(전)",$L:$L,"&gt;0")&lt;&gt;1,"",SUMIFS($H:$H,$C:$C,$C543,$D:$D,"기준(전)"))</f>
        <v/>
      </c>
      <c r="O543" s="30">
        <f>IF(COUNTIFS($C:$C,$C543,$D:$D,"기준(전)",$L:$L,"&gt;0")&lt;&gt;1,"",SUMIFS($L:$L,$C:$C,$C543,$D:$D,"기준(전)"))</f>
        <v/>
      </c>
      <c r="P543" s="45">
        <f>IF(COUNTIFS($C:$C,$C543,$D:$D,"기준(후)",$L:$L,"&gt;0")&lt;&gt;1,"",SUMIFS($H:$H,$C:$C,$C543,$D:$D,"기준(후)"))</f>
        <v/>
      </c>
      <c r="Q543" s="30">
        <f>IF(COUNTIFS($C:$C,$C543,$D:$D,"기준(후)",$L:$L,"&gt;0")&lt;&gt;1,"",SUMIFS($L:$L,$C:$C,$C543,$D:$D,"기준(후)"))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IF(OR($D542&lt;&gt;"측정",$C542&lt;&gt;$C543,NOT(ISNUMBER(L543)),NOT(ISNUMBER(L542)),(IF(ISNUMBER(F543),F543,E543)-IF(ISNUMBER(F542),F542,E542))=0),"",(L543-L542)/((IF(ISNUMBER(F543),F543,E543)-IF(ISNUMBER(F542),F542,E542))/100))</f>
        <v/>
      </c>
      <c r="U543" s="28" t="n"/>
      <c r="V543" s="28" t="n"/>
      <c r="W543" s="31" t="n"/>
    </row>
    <row r="544">
      <c r="A544" s="43" t="inlineStr">
        <is>
          <t>S45</t>
        </is>
      </c>
      <c r="B544" s="43" t="inlineStr">
        <is>
          <t>여주</t>
        </is>
      </c>
      <c r="C544" s="43" t="inlineStr">
        <is>
          <t>S45-V</t>
        </is>
      </c>
      <c r="D544" s="43" t="inlineStr">
        <is>
          <t>기준(후)</t>
        </is>
      </c>
      <c r="E544" s="47" t="n"/>
      <c r="F544" s="40" t="n"/>
      <c r="G544" s="28" t="n"/>
      <c r="H544" s="42" t="n"/>
      <c r="I544" s="40" t="n"/>
      <c r="J544" s="40" t="n"/>
      <c r="K544" s="40" t="n"/>
      <c r="L544" s="30">
        <f>IF(COUNT(I544:K544)=0,"",MEDIAN(I544:K544))</f>
        <v/>
      </c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28" t="n"/>
      <c r="V544" s="28" t="n"/>
      <c r="W544" s="31" t="n"/>
    </row>
    <row r="545">
      <c r="A545" s="43" t="inlineStr">
        <is>
          <t>S46</t>
        </is>
      </c>
      <c r="B545" s="43" t="inlineStr">
        <is>
          <t>화천</t>
        </is>
      </c>
      <c r="C545" s="43" t="inlineStr">
        <is>
          <t>S46-V</t>
        </is>
      </c>
      <c r="D545" s="43" t="inlineStr">
        <is>
          <t>기준(전)</t>
        </is>
      </c>
      <c r="E545" s="47" t="n"/>
      <c r="F545" s="40" t="n"/>
      <c r="G545" s="28" t="n"/>
      <c r="H545" s="42" t="n"/>
      <c r="I545" s="40" t="n"/>
      <c r="J545" s="40" t="n"/>
      <c r="K545" s="40" t="n"/>
      <c r="L545" s="30">
        <f>IF(COUNT(I545:K545)=0,"",MEDIAN(I545:K545))</f>
        <v/>
      </c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28" t="n"/>
      <c r="V545" s="28" t="n"/>
      <c r="W545" s="31" t="n"/>
    </row>
    <row r="546">
      <c r="A546" s="25" t="inlineStr">
        <is>
          <t>S46</t>
        </is>
      </c>
      <c r="B546" s="25" t="inlineStr">
        <is>
          <t>화천</t>
        </is>
      </c>
      <c r="C546" s="25" t="inlineStr">
        <is>
          <t>S46-V</t>
        </is>
      </c>
      <c r="D546" s="25" t="inlineStr">
        <is>
          <t>측정</t>
        </is>
      </c>
      <c r="E546" s="48" t="n">
        <v>20</v>
      </c>
      <c r="F546" s="40" t="n"/>
      <c r="G546" s="28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IF(COUNTIFS($C:$C,$C546,$D:$D,"기준(전)",$L:$L,"&gt;0")&lt;&gt;1,"기준(전) 유효 1개 아님",IF(COUNTIFS($C:$C,$C546,$D:$D,"기준(후)",$L:$L,"&gt;0")&lt;&gt;1,"기준(후) 유효 1개 아님",IF(NOT(AND(ISNUMBER(N546),ISNUMBER(P546),ISNUMBER(H546))),"시각 결측",IF(P546&lt;=N546,"기준 시각 역전",IF(OR(H546&lt;N546,H546&gt;P546),"측정시각 구간 밖","OK")))))</f>
        <v/>
      </c>
      <c r="N546" s="45">
        <f>IF(COUNTIFS($C:$C,$C546,$D:$D,"기준(전)",$L:$L,"&gt;0")&lt;&gt;1,"",SUMIFS($H:$H,$C:$C,$C546,$D:$D,"기준(전)"))</f>
        <v/>
      </c>
      <c r="O546" s="30">
        <f>IF(COUNTIFS($C:$C,$C546,$D:$D,"기준(전)",$L:$L,"&gt;0")&lt;&gt;1,"",SUMIFS($L:$L,$C:$C,$C546,$D:$D,"기준(전)"))</f>
        <v/>
      </c>
      <c r="P546" s="45">
        <f>IF(COUNTIFS($C:$C,$C546,$D:$D,"기준(후)",$L:$L,"&gt;0")&lt;&gt;1,"",SUMIFS($H:$H,$C:$C,$C546,$D:$D,"기준(후)"))</f>
        <v/>
      </c>
      <c r="Q546" s="30">
        <f>IF(COUNTIFS($C:$C,$C546,$D:$D,"기준(후)",$L:$L,"&gt;0")&lt;&gt;1,"",SUMIFS($L:$L,$C:$C,$C546,$D:$D,"기준(후)"))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IF(OR($D545&lt;&gt;"측정",$C545&lt;&gt;$C546,NOT(ISNUMBER(L546)),NOT(ISNUMBER(L545)),(IF(ISNUMBER(F546),F546,E546)-IF(ISNUMBER(F545),F545,E545))=0),"",(L546-L545)/((IF(ISNUMBER(F546),F546,E546)-IF(ISNUMBER(F545),F545,E545))/100))</f>
        <v/>
      </c>
      <c r="U546" s="28" t="n"/>
      <c r="V546" s="28" t="n"/>
      <c r="W546" s="31" t="n"/>
    </row>
    <row r="547">
      <c r="A547" s="25" t="inlineStr">
        <is>
          <t>S46</t>
        </is>
      </c>
      <c r="B547" s="25" t="inlineStr">
        <is>
          <t>화천</t>
        </is>
      </c>
      <c r="C547" s="25" t="inlineStr">
        <is>
          <t>S46-V</t>
        </is>
      </c>
      <c r="D547" s="25" t="inlineStr">
        <is>
          <t>측정</t>
        </is>
      </c>
      <c r="E547" s="48" t="n">
        <v>40</v>
      </c>
      <c r="F547" s="40" t="n"/>
      <c r="G547" s="28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IF(COUNTIFS($C:$C,$C547,$D:$D,"기준(전)",$L:$L,"&gt;0")&lt;&gt;1,"기준(전) 유효 1개 아님",IF(COUNTIFS($C:$C,$C547,$D:$D,"기준(후)",$L:$L,"&gt;0")&lt;&gt;1,"기준(후) 유효 1개 아님",IF(NOT(AND(ISNUMBER(N547),ISNUMBER(P547),ISNUMBER(H547))),"시각 결측",IF(P547&lt;=N547,"기준 시각 역전",IF(OR(H547&lt;N547,H547&gt;P547),"측정시각 구간 밖","OK")))))</f>
        <v/>
      </c>
      <c r="N547" s="45">
        <f>IF(COUNTIFS($C:$C,$C547,$D:$D,"기준(전)",$L:$L,"&gt;0")&lt;&gt;1,"",SUMIFS($H:$H,$C:$C,$C547,$D:$D,"기준(전)"))</f>
        <v/>
      </c>
      <c r="O547" s="30">
        <f>IF(COUNTIFS($C:$C,$C547,$D:$D,"기준(전)",$L:$L,"&gt;0")&lt;&gt;1,"",SUMIFS($L:$L,$C:$C,$C547,$D:$D,"기준(전)"))</f>
        <v/>
      </c>
      <c r="P547" s="45">
        <f>IF(COUNTIFS($C:$C,$C547,$D:$D,"기준(후)",$L:$L,"&gt;0")&lt;&gt;1,"",SUMIFS($H:$H,$C:$C,$C547,$D:$D,"기준(후)"))</f>
        <v/>
      </c>
      <c r="Q547" s="30">
        <f>IF(COUNTIFS($C:$C,$C547,$D:$D,"기준(후)",$L:$L,"&gt;0")&lt;&gt;1,"",SUMIFS($L:$L,$C:$C,$C547,$D:$D,"기준(후)"))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IF(OR($D546&lt;&gt;"측정",$C546&lt;&gt;$C547,NOT(ISNUMBER(L547)),NOT(ISNUMBER(L546)),(IF(ISNUMBER(F547),F547,E547)-IF(ISNUMBER(F546),F546,E546))=0),"",(L547-L546)/((IF(ISNUMBER(F547),F547,E547)-IF(ISNUMBER(F546),F546,E546))/100))</f>
        <v/>
      </c>
      <c r="U547" s="28" t="n"/>
      <c r="V547" s="28" t="n"/>
      <c r="W547" s="31" t="n"/>
    </row>
    <row r="548">
      <c r="A548" s="25" t="inlineStr">
        <is>
          <t>S46</t>
        </is>
      </c>
      <c r="B548" s="25" t="inlineStr">
        <is>
          <t>화천</t>
        </is>
      </c>
      <c r="C548" s="25" t="inlineStr">
        <is>
          <t>S46-V</t>
        </is>
      </c>
      <c r="D548" s="25" t="inlineStr">
        <is>
          <t>측정</t>
        </is>
      </c>
      <c r="E548" s="48" t="n">
        <v>60</v>
      </c>
      <c r="F548" s="40" t="n"/>
      <c r="G548" s="28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IF(COUNTIFS($C:$C,$C548,$D:$D,"기준(전)",$L:$L,"&gt;0")&lt;&gt;1,"기준(전) 유효 1개 아님",IF(COUNTIFS($C:$C,$C548,$D:$D,"기준(후)",$L:$L,"&gt;0")&lt;&gt;1,"기준(후) 유효 1개 아님",IF(NOT(AND(ISNUMBER(N548),ISNUMBER(P548),ISNUMBER(H548))),"시각 결측",IF(P548&lt;=N548,"기준 시각 역전",IF(OR(H548&lt;N548,H548&gt;P548),"측정시각 구간 밖","OK")))))</f>
        <v/>
      </c>
      <c r="N548" s="45">
        <f>IF(COUNTIFS($C:$C,$C548,$D:$D,"기준(전)",$L:$L,"&gt;0")&lt;&gt;1,"",SUMIFS($H:$H,$C:$C,$C548,$D:$D,"기준(전)"))</f>
        <v/>
      </c>
      <c r="O548" s="30">
        <f>IF(COUNTIFS($C:$C,$C548,$D:$D,"기준(전)",$L:$L,"&gt;0")&lt;&gt;1,"",SUMIFS($L:$L,$C:$C,$C548,$D:$D,"기준(전)"))</f>
        <v/>
      </c>
      <c r="P548" s="45">
        <f>IF(COUNTIFS($C:$C,$C548,$D:$D,"기준(후)",$L:$L,"&gt;0")&lt;&gt;1,"",SUMIFS($H:$H,$C:$C,$C548,$D:$D,"기준(후)"))</f>
        <v/>
      </c>
      <c r="Q548" s="30">
        <f>IF(COUNTIFS($C:$C,$C548,$D:$D,"기준(후)",$L:$L,"&gt;0")&lt;&gt;1,"",SUMIFS($L:$L,$C:$C,$C548,$D:$D,"기준(후)"))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IF(OR($D547&lt;&gt;"측정",$C547&lt;&gt;$C548,NOT(ISNUMBER(L548)),NOT(ISNUMBER(L547)),(IF(ISNUMBER(F548),F548,E548)-IF(ISNUMBER(F547),F547,E547))=0),"",(L548-L547)/((IF(ISNUMBER(F548),F548,E548)-IF(ISNUMBER(F547),F547,E547))/100))</f>
        <v/>
      </c>
      <c r="U548" s="28" t="n"/>
      <c r="V548" s="28" t="n"/>
      <c r="W548" s="31" t="n"/>
    </row>
    <row r="549">
      <c r="A549" s="25" t="inlineStr">
        <is>
          <t>S46</t>
        </is>
      </c>
      <c r="B549" s="25" t="inlineStr">
        <is>
          <t>화천</t>
        </is>
      </c>
      <c r="C549" s="25" t="inlineStr">
        <is>
          <t>S46-V</t>
        </is>
      </c>
      <c r="D549" s="25" t="inlineStr">
        <is>
          <t>측정</t>
        </is>
      </c>
      <c r="E549" s="48" t="n">
        <v>80</v>
      </c>
      <c r="F549" s="40" t="n"/>
      <c r="G549" s="28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IF(COUNTIFS($C:$C,$C549,$D:$D,"기준(전)",$L:$L,"&gt;0")&lt;&gt;1,"기준(전) 유효 1개 아님",IF(COUNTIFS($C:$C,$C549,$D:$D,"기준(후)",$L:$L,"&gt;0")&lt;&gt;1,"기준(후) 유효 1개 아님",IF(NOT(AND(ISNUMBER(N549),ISNUMBER(P549),ISNUMBER(H549))),"시각 결측",IF(P549&lt;=N549,"기준 시각 역전",IF(OR(H549&lt;N549,H549&gt;P549),"측정시각 구간 밖","OK")))))</f>
        <v/>
      </c>
      <c r="N549" s="45">
        <f>IF(COUNTIFS($C:$C,$C549,$D:$D,"기준(전)",$L:$L,"&gt;0")&lt;&gt;1,"",SUMIFS($H:$H,$C:$C,$C549,$D:$D,"기준(전)"))</f>
        <v/>
      </c>
      <c r="O549" s="30">
        <f>IF(COUNTIFS($C:$C,$C549,$D:$D,"기준(전)",$L:$L,"&gt;0")&lt;&gt;1,"",SUMIFS($L:$L,$C:$C,$C549,$D:$D,"기준(전)"))</f>
        <v/>
      </c>
      <c r="P549" s="45">
        <f>IF(COUNTIFS($C:$C,$C549,$D:$D,"기준(후)",$L:$L,"&gt;0")&lt;&gt;1,"",SUMIFS($H:$H,$C:$C,$C549,$D:$D,"기준(후)"))</f>
        <v/>
      </c>
      <c r="Q549" s="30">
        <f>IF(COUNTIFS($C:$C,$C549,$D:$D,"기준(후)",$L:$L,"&gt;0")&lt;&gt;1,"",SUMIFS($L:$L,$C:$C,$C549,$D:$D,"기준(후)"))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IF(OR($D548&lt;&gt;"측정",$C548&lt;&gt;$C549,NOT(ISNUMBER(L549)),NOT(ISNUMBER(L548)),(IF(ISNUMBER(F549),F549,E549)-IF(ISNUMBER(F548),F548,E548))=0),"",(L549-L548)/((IF(ISNUMBER(F549),F549,E549)-IF(ISNUMBER(F548),F548,E548))/100))</f>
        <v/>
      </c>
      <c r="U549" s="28" t="n"/>
      <c r="V549" s="28" t="n"/>
      <c r="W549" s="31" t="n"/>
    </row>
    <row r="550">
      <c r="A550" s="25" t="inlineStr">
        <is>
          <t>S46</t>
        </is>
      </c>
      <c r="B550" s="25" t="inlineStr">
        <is>
          <t>화천</t>
        </is>
      </c>
      <c r="C550" s="25" t="inlineStr">
        <is>
          <t>S46-V</t>
        </is>
      </c>
      <c r="D550" s="25" t="inlineStr">
        <is>
          <t>측정</t>
        </is>
      </c>
      <c r="E550" s="48" t="n">
        <v>100</v>
      </c>
      <c r="F550" s="40" t="n"/>
      <c r="G550" s="28" t="n"/>
      <c r="H550" s="42" t="n"/>
      <c r="I550" s="40" t="n"/>
      <c r="J550" s="40" t="n"/>
      <c r="K550" s="40" t="n"/>
      <c r="L550" s="30">
        <f>IF(COUNT(I550:K550)=0,"",MEDIAN(I550:K550))</f>
        <v/>
      </c>
      <c r="M550" s="25">
        <f>IF(COUNTIFS($C:$C,$C550,$D:$D,"기준(전)",$L:$L,"&gt;0")&lt;&gt;1,"기준(전) 유효 1개 아님",IF(COUNTIFS($C:$C,$C550,$D:$D,"기준(후)",$L:$L,"&gt;0")&lt;&gt;1,"기준(후) 유효 1개 아님",IF(NOT(AND(ISNUMBER(N550),ISNUMBER(P550),ISNUMBER(H550))),"시각 결측",IF(P550&lt;=N550,"기준 시각 역전",IF(OR(H550&lt;N550,H550&gt;P550),"측정시각 구간 밖","OK")))))</f>
        <v/>
      </c>
      <c r="N550" s="45">
        <f>IF(COUNTIFS($C:$C,$C550,$D:$D,"기준(전)",$L:$L,"&gt;0")&lt;&gt;1,"",SUMIFS($H:$H,$C:$C,$C550,$D:$D,"기준(전)"))</f>
        <v/>
      </c>
      <c r="O550" s="30">
        <f>IF(COUNTIFS($C:$C,$C550,$D:$D,"기준(전)",$L:$L,"&gt;0")&lt;&gt;1,"",SUMIFS($L:$L,$C:$C,$C550,$D:$D,"기준(전)"))</f>
        <v/>
      </c>
      <c r="P550" s="45">
        <f>IF(COUNTIFS($C:$C,$C550,$D:$D,"기준(후)",$L:$L,"&gt;0")&lt;&gt;1,"",SUMIFS($H:$H,$C:$C,$C550,$D:$D,"기준(후)"))</f>
        <v/>
      </c>
      <c r="Q550" s="30">
        <f>IF(COUNTIFS($C:$C,$C550,$D:$D,"기준(후)",$L:$L,"&gt;0")&lt;&gt;1,"",SUMIFS($L:$L,$C:$C,$C550,$D:$D,"기준(후)"))</f>
        <v/>
      </c>
      <c r="R550" s="30">
        <f>IF(M550&lt;&gt;"OK","",O550+(Q550-O550)*(H550-N550)/(P550-N550))</f>
        <v/>
      </c>
      <c r="S550" s="30">
        <f>IF(OR(M550&lt;&gt;"OK",NOT(ISNUMBER(L550))),"",L550-R550)</f>
        <v/>
      </c>
      <c r="T550" s="46">
        <f>IF(OR($D549&lt;&gt;"측정",$C549&lt;&gt;$C550,NOT(ISNUMBER(L550)),NOT(ISNUMBER(L549)),(IF(ISNUMBER(F550),F550,E550)-IF(ISNUMBER(F549),F549,E549))=0),"",(L550-L549)/((IF(ISNUMBER(F550),F550,E550)-IF(ISNUMBER(F549),F549,E549))/100))</f>
        <v/>
      </c>
      <c r="U550" s="28" t="n"/>
      <c r="V550" s="28" t="n"/>
      <c r="W550" s="31" t="n"/>
    </row>
    <row r="551">
      <c r="A551" s="25" t="inlineStr">
        <is>
          <t>S46</t>
        </is>
      </c>
      <c r="B551" s="25" t="inlineStr">
        <is>
          <t>화천</t>
        </is>
      </c>
      <c r="C551" s="25" t="inlineStr">
        <is>
          <t>S46-V</t>
        </is>
      </c>
      <c r="D551" s="25" t="inlineStr">
        <is>
          <t>측정</t>
        </is>
      </c>
      <c r="E551" s="48" t="n">
        <v>120</v>
      </c>
      <c r="F551" s="40" t="n"/>
      <c r="G551" s="28" t="n"/>
      <c r="H551" s="42" t="n"/>
      <c r="I551" s="40" t="n"/>
      <c r="J551" s="40" t="n"/>
      <c r="K551" s="40" t="n"/>
      <c r="L551" s="30">
        <f>IF(COUNT(I551:K551)=0,"",MEDIAN(I551:K551))</f>
        <v/>
      </c>
      <c r="M551" s="25">
        <f>IF(COUNTIFS($C:$C,$C551,$D:$D,"기준(전)",$L:$L,"&gt;0")&lt;&gt;1,"기준(전) 유효 1개 아님",IF(COUNTIFS($C:$C,$C551,$D:$D,"기준(후)",$L:$L,"&gt;0")&lt;&gt;1,"기준(후) 유효 1개 아님",IF(NOT(AND(ISNUMBER(N551),ISNUMBER(P551),ISNUMBER(H551))),"시각 결측",IF(P551&lt;=N551,"기준 시각 역전",IF(OR(H551&lt;N551,H551&gt;P551),"측정시각 구간 밖","OK")))))</f>
        <v/>
      </c>
      <c r="N551" s="45">
        <f>IF(COUNTIFS($C:$C,$C551,$D:$D,"기준(전)",$L:$L,"&gt;0")&lt;&gt;1,"",SUMIFS($H:$H,$C:$C,$C551,$D:$D,"기준(전)"))</f>
        <v/>
      </c>
      <c r="O551" s="30">
        <f>IF(COUNTIFS($C:$C,$C551,$D:$D,"기준(전)",$L:$L,"&gt;0")&lt;&gt;1,"",SUMIFS($L:$L,$C:$C,$C551,$D:$D,"기준(전)"))</f>
        <v/>
      </c>
      <c r="P551" s="45">
        <f>IF(COUNTIFS($C:$C,$C551,$D:$D,"기준(후)",$L:$L,"&gt;0")&lt;&gt;1,"",SUMIFS($H:$H,$C:$C,$C551,$D:$D,"기준(후)"))</f>
        <v/>
      </c>
      <c r="Q551" s="30">
        <f>IF(COUNTIFS($C:$C,$C551,$D:$D,"기준(후)",$L:$L,"&gt;0")&lt;&gt;1,"",SUMIFS($L:$L,$C:$C,$C551,$D:$D,"기준(후)"))</f>
        <v/>
      </c>
      <c r="R551" s="30">
        <f>IF(M551&lt;&gt;"OK","",O551+(Q551-O551)*(H551-N551)/(P551-N551))</f>
        <v/>
      </c>
      <c r="S551" s="30">
        <f>IF(OR(M551&lt;&gt;"OK",NOT(ISNUMBER(L551))),"",L551-R551)</f>
        <v/>
      </c>
      <c r="T551" s="46">
        <f>IF(OR($D550&lt;&gt;"측정",$C550&lt;&gt;$C551,NOT(ISNUMBER(L551)),NOT(ISNUMBER(L550)),(IF(ISNUMBER(F551),F551,E551)-IF(ISNUMBER(F550),F550,E550))=0),"",(L551-L550)/((IF(ISNUMBER(F551),F551,E551)-IF(ISNUMBER(F550),F550,E550))/100))</f>
        <v/>
      </c>
      <c r="U551" s="28" t="n"/>
      <c r="V551" s="28" t="n"/>
      <c r="W551" s="31" t="n"/>
    </row>
    <row r="552">
      <c r="A552" s="25" t="inlineStr">
        <is>
          <t>S46</t>
        </is>
      </c>
      <c r="B552" s="25" t="inlineStr">
        <is>
          <t>화천</t>
        </is>
      </c>
      <c r="C552" s="25" t="inlineStr">
        <is>
          <t>S46-V</t>
        </is>
      </c>
      <c r="D552" s="25" t="inlineStr">
        <is>
          <t>측정</t>
        </is>
      </c>
      <c r="E552" s="48" t="n">
        <v>140</v>
      </c>
      <c r="F552" s="40" t="n"/>
      <c r="G552" s="28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IF(COUNTIFS($C:$C,$C552,$D:$D,"기준(전)",$L:$L,"&gt;0")&lt;&gt;1,"기준(전) 유효 1개 아님",IF(COUNTIFS($C:$C,$C552,$D:$D,"기준(후)",$L:$L,"&gt;0")&lt;&gt;1,"기준(후) 유효 1개 아님",IF(NOT(AND(ISNUMBER(N552),ISNUMBER(P552),ISNUMBER(H552))),"시각 결측",IF(P552&lt;=N552,"기준 시각 역전",IF(OR(H552&lt;N552,H552&gt;P552),"측정시각 구간 밖","OK")))))</f>
        <v/>
      </c>
      <c r="N552" s="45">
        <f>IF(COUNTIFS($C:$C,$C552,$D:$D,"기준(전)",$L:$L,"&gt;0")&lt;&gt;1,"",SUMIFS($H:$H,$C:$C,$C552,$D:$D,"기준(전)"))</f>
        <v/>
      </c>
      <c r="O552" s="30">
        <f>IF(COUNTIFS($C:$C,$C552,$D:$D,"기준(전)",$L:$L,"&gt;0")&lt;&gt;1,"",SUMIFS($L:$L,$C:$C,$C552,$D:$D,"기준(전)"))</f>
        <v/>
      </c>
      <c r="P552" s="45">
        <f>IF(COUNTIFS($C:$C,$C552,$D:$D,"기준(후)",$L:$L,"&gt;0")&lt;&gt;1,"",SUMIFS($H:$H,$C:$C,$C552,$D:$D,"기준(후)"))</f>
        <v/>
      </c>
      <c r="Q552" s="30">
        <f>IF(COUNTIFS($C:$C,$C552,$D:$D,"기준(후)",$L:$L,"&gt;0")&lt;&gt;1,"",SUMIFS($L:$L,$C:$C,$C552,$D:$D,"기준(후)"))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IF(OR($D551&lt;&gt;"측정",$C551&lt;&gt;$C552,NOT(ISNUMBER(L552)),NOT(ISNUMBER(L551)),(IF(ISNUMBER(F552),F552,E552)-IF(ISNUMBER(F551),F551,E551))=0),"",(L552-L551)/((IF(ISNUMBER(F552),F552,E552)-IF(ISNUMBER(F551),F551,E551))/100))</f>
        <v/>
      </c>
      <c r="U552" s="28" t="n"/>
      <c r="V552" s="28" t="n"/>
      <c r="W552" s="31" t="n"/>
    </row>
    <row r="553">
      <c r="A553" s="25" t="inlineStr">
        <is>
          <t>S46</t>
        </is>
      </c>
      <c r="B553" s="25" t="inlineStr">
        <is>
          <t>화천</t>
        </is>
      </c>
      <c r="C553" s="25" t="inlineStr">
        <is>
          <t>S46-V</t>
        </is>
      </c>
      <c r="D553" s="25" t="inlineStr">
        <is>
          <t>측정</t>
        </is>
      </c>
      <c r="E553" s="48" t="n">
        <v>160</v>
      </c>
      <c r="F553" s="40" t="n"/>
      <c r="G553" s="28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IF(COUNTIFS($C:$C,$C553,$D:$D,"기준(전)",$L:$L,"&gt;0")&lt;&gt;1,"기준(전) 유효 1개 아님",IF(COUNTIFS($C:$C,$C553,$D:$D,"기준(후)",$L:$L,"&gt;0")&lt;&gt;1,"기준(후) 유효 1개 아님",IF(NOT(AND(ISNUMBER(N553),ISNUMBER(P553),ISNUMBER(H553))),"시각 결측",IF(P553&lt;=N553,"기준 시각 역전",IF(OR(H553&lt;N553,H553&gt;P553),"측정시각 구간 밖","OK")))))</f>
        <v/>
      </c>
      <c r="N553" s="45">
        <f>IF(COUNTIFS($C:$C,$C553,$D:$D,"기준(전)",$L:$L,"&gt;0")&lt;&gt;1,"",SUMIFS($H:$H,$C:$C,$C553,$D:$D,"기준(전)"))</f>
        <v/>
      </c>
      <c r="O553" s="30">
        <f>IF(COUNTIFS($C:$C,$C553,$D:$D,"기준(전)",$L:$L,"&gt;0")&lt;&gt;1,"",SUMIFS($L:$L,$C:$C,$C553,$D:$D,"기준(전)"))</f>
        <v/>
      </c>
      <c r="P553" s="45">
        <f>IF(COUNTIFS($C:$C,$C553,$D:$D,"기준(후)",$L:$L,"&gt;0")&lt;&gt;1,"",SUMIFS($H:$H,$C:$C,$C553,$D:$D,"기준(후)"))</f>
        <v/>
      </c>
      <c r="Q553" s="30">
        <f>IF(COUNTIFS($C:$C,$C553,$D:$D,"기준(후)",$L:$L,"&gt;0")&lt;&gt;1,"",SUMIFS($L:$L,$C:$C,$C553,$D:$D,"기준(후)"))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IF(OR($D552&lt;&gt;"측정",$C552&lt;&gt;$C553,NOT(ISNUMBER(L553)),NOT(ISNUMBER(L552)),(IF(ISNUMBER(F553),F553,E553)-IF(ISNUMBER(F552),F552,E552))=0),"",(L553-L552)/((IF(ISNUMBER(F553),F553,E553)-IF(ISNUMBER(F552),F552,E552))/100))</f>
        <v/>
      </c>
      <c r="U553" s="28" t="n"/>
      <c r="V553" s="28" t="n"/>
      <c r="W553" s="31" t="n"/>
    </row>
    <row r="554">
      <c r="A554" s="25" t="inlineStr">
        <is>
          <t>S46</t>
        </is>
      </c>
      <c r="B554" s="25" t="inlineStr">
        <is>
          <t>화천</t>
        </is>
      </c>
      <c r="C554" s="25" t="inlineStr">
        <is>
          <t>S46-V</t>
        </is>
      </c>
      <c r="D554" s="25" t="inlineStr">
        <is>
          <t>측정</t>
        </is>
      </c>
      <c r="E554" s="48" t="n">
        <v>180</v>
      </c>
      <c r="F554" s="40" t="n"/>
      <c r="G554" s="28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IF(COUNTIFS($C:$C,$C554,$D:$D,"기준(전)",$L:$L,"&gt;0")&lt;&gt;1,"기준(전) 유효 1개 아님",IF(COUNTIFS($C:$C,$C554,$D:$D,"기준(후)",$L:$L,"&gt;0")&lt;&gt;1,"기준(후) 유효 1개 아님",IF(NOT(AND(ISNUMBER(N554),ISNUMBER(P554),ISNUMBER(H554))),"시각 결측",IF(P554&lt;=N554,"기준 시각 역전",IF(OR(H554&lt;N554,H554&gt;P554),"측정시각 구간 밖","OK")))))</f>
        <v/>
      </c>
      <c r="N554" s="45">
        <f>IF(COUNTIFS($C:$C,$C554,$D:$D,"기준(전)",$L:$L,"&gt;0")&lt;&gt;1,"",SUMIFS($H:$H,$C:$C,$C554,$D:$D,"기준(전)"))</f>
        <v/>
      </c>
      <c r="O554" s="30">
        <f>IF(COUNTIFS($C:$C,$C554,$D:$D,"기준(전)",$L:$L,"&gt;0")&lt;&gt;1,"",SUMIFS($L:$L,$C:$C,$C554,$D:$D,"기준(전)"))</f>
        <v/>
      </c>
      <c r="P554" s="45">
        <f>IF(COUNTIFS($C:$C,$C554,$D:$D,"기준(후)",$L:$L,"&gt;0")&lt;&gt;1,"",SUMIFS($H:$H,$C:$C,$C554,$D:$D,"기준(후)"))</f>
        <v/>
      </c>
      <c r="Q554" s="30">
        <f>IF(COUNTIFS($C:$C,$C554,$D:$D,"기준(후)",$L:$L,"&gt;0")&lt;&gt;1,"",SUMIFS($L:$L,$C:$C,$C554,$D:$D,"기준(후)"))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IF(OR($D553&lt;&gt;"측정",$C553&lt;&gt;$C554,NOT(ISNUMBER(L554)),NOT(ISNUMBER(L553)),(IF(ISNUMBER(F554),F554,E554)-IF(ISNUMBER(F553),F553,E553))=0),"",(L554-L553)/((IF(ISNUMBER(F554),F554,E554)-IF(ISNUMBER(F553),F553,E553))/100))</f>
        <v/>
      </c>
      <c r="U554" s="28" t="n"/>
      <c r="V554" s="28" t="n"/>
      <c r="W554" s="31" t="n"/>
    </row>
    <row r="555">
      <c r="A555" s="25" t="inlineStr">
        <is>
          <t>S46</t>
        </is>
      </c>
      <c r="B555" s="25" t="inlineStr">
        <is>
          <t>화천</t>
        </is>
      </c>
      <c r="C555" s="25" t="inlineStr">
        <is>
          <t>S46-V</t>
        </is>
      </c>
      <c r="D555" s="25" t="inlineStr">
        <is>
          <t>측정</t>
        </is>
      </c>
      <c r="E555" s="48" t="n">
        <v>200</v>
      </c>
      <c r="F555" s="40" t="n"/>
      <c r="G555" s="28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IF(COUNTIFS($C:$C,$C555,$D:$D,"기준(전)",$L:$L,"&gt;0")&lt;&gt;1,"기준(전) 유효 1개 아님",IF(COUNTIFS($C:$C,$C555,$D:$D,"기준(후)",$L:$L,"&gt;0")&lt;&gt;1,"기준(후) 유효 1개 아님",IF(NOT(AND(ISNUMBER(N555),ISNUMBER(P555),ISNUMBER(H555))),"시각 결측",IF(P555&lt;=N555,"기준 시각 역전",IF(OR(H555&lt;N555,H555&gt;P555),"측정시각 구간 밖","OK")))))</f>
        <v/>
      </c>
      <c r="N555" s="45">
        <f>IF(COUNTIFS($C:$C,$C555,$D:$D,"기준(전)",$L:$L,"&gt;0")&lt;&gt;1,"",SUMIFS($H:$H,$C:$C,$C555,$D:$D,"기준(전)"))</f>
        <v/>
      </c>
      <c r="O555" s="30">
        <f>IF(COUNTIFS($C:$C,$C555,$D:$D,"기준(전)",$L:$L,"&gt;0")&lt;&gt;1,"",SUMIFS($L:$L,$C:$C,$C555,$D:$D,"기준(전)"))</f>
        <v/>
      </c>
      <c r="P555" s="45">
        <f>IF(COUNTIFS($C:$C,$C555,$D:$D,"기준(후)",$L:$L,"&gt;0")&lt;&gt;1,"",SUMIFS($H:$H,$C:$C,$C555,$D:$D,"기준(후)"))</f>
        <v/>
      </c>
      <c r="Q555" s="30">
        <f>IF(COUNTIFS($C:$C,$C555,$D:$D,"기준(후)",$L:$L,"&gt;0")&lt;&gt;1,"",SUMIFS($L:$L,$C:$C,$C555,$D:$D,"기준(후)"))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IF(OR($D554&lt;&gt;"측정",$C554&lt;&gt;$C555,NOT(ISNUMBER(L555)),NOT(ISNUMBER(L554)),(IF(ISNUMBER(F555),F555,E555)-IF(ISNUMBER(F554),F554,E554))=0),"",(L555-L554)/((IF(ISNUMBER(F555),F555,E555)-IF(ISNUMBER(F554),F554,E554))/100))</f>
        <v/>
      </c>
      <c r="U555" s="28" t="n"/>
      <c r="V555" s="28" t="n"/>
      <c r="W555" s="31" t="n"/>
    </row>
    <row r="556">
      <c r="A556" s="43" t="inlineStr">
        <is>
          <t>S46</t>
        </is>
      </c>
      <c r="B556" s="43" t="inlineStr">
        <is>
          <t>화천</t>
        </is>
      </c>
      <c r="C556" s="43" t="inlineStr">
        <is>
          <t>S46-V</t>
        </is>
      </c>
      <c r="D556" s="43" t="inlineStr">
        <is>
          <t>기준(후)</t>
        </is>
      </c>
      <c r="E556" s="47" t="n"/>
      <c r="F556" s="40" t="n"/>
      <c r="G556" s="28" t="n"/>
      <c r="H556" s="42" t="n"/>
      <c r="I556" s="40" t="n"/>
      <c r="J556" s="40" t="n"/>
      <c r="K556" s="40" t="n"/>
      <c r="L556" s="30">
        <f>IF(COUNT(I556:K556)=0,"",MEDIAN(I556:K556))</f>
        <v/>
      </c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28" t="n"/>
      <c r="V556" s="28" t="n"/>
      <c r="W556" s="31" t="n"/>
    </row>
    <row r="557">
      <c r="A557" s="43" t="inlineStr">
        <is>
          <t>S47</t>
        </is>
      </c>
      <c r="B557" s="43" t="inlineStr">
        <is>
          <t>봉평</t>
        </is>
      </c>
      <c r="C557" s="43" t="inlineStr">
        <is>
          <t>S47-V</t>
        </is>
      </c>
      <c r="D557" s="43" t="inlineStr">
        <is>
          <t>기준(전)</t>
        </is>
      </c>
      <c r="E557" s="47" t="n"/>
      <c r="F557" s="40" t="n"/>
      <c r="G557" s="28" t="n"/>
      <c r="H557" s="42" t="n"/>
      <c r="I557" s="40" t="n"/>
      <c r="J557" s="40" t="n"/>
      <c r="K557" s="40" t="n"/>
      <c r="L557" s="30">
        <f>IF(COUNT(I557:K557)=0,"",MEDIAN(I557:K557))</f>
        <v/>
      </c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28" t="n"/>
      <c r="V557" s="28" t="n"/>
      <c r="W557" s="31" t="n"/>
    </row>
    <row r="558">
      <c r="A558" s="25" t="inlineStr">
        <is>
          <t>S47</t>
        </is>
      </c>
      <c r="B558" s="25" t="inlineStr">
        <is>
          <t>봉평</t>
        </is>
      </c>
      <c r="C558" s="25" t="inlineStr">
        <is>
          <t>S47-V</t>
        </is>
      </c>
      <c r="D558" s="25" t="inlineStr">
        <is>
          <t>측정</t>
        </is>
      </c>
      <c r="E558" s="48" t="n">
        <v>20</v>
      </c>
      <c r="F558" s="40" t="n"/>
      <c r="G558" s="28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IF(COUNTIFS($C:$C,$C558,$D:$D,"기준(전)",$L:$L,"&gt;0")&lt;&gt;1,"기준(전) 유효 1개 아님",IF(COUNTIFS($C:$C,$C558,$D:$D,"기준(후)",$L:$L,"&gt;0")&lt;&gt;1,"기준(후) 유효 1개 아님",IF(NOT(AND(ISNUMBER(N558),ISNUMBER(P558),ISNUMBER(H558))),"시각 결측",IF(P558&lt;=N558,"기준 시각 역전",IF(OR(H558&lt;N558,H558&gt;P558),"측정시각 구간 밖","OK")))))</f>
        <v/>
      </c>
      <c r="N558" s="45">
        <f>IF(COUNTIFS($C:$C,$C558,$D:$D,"기준(전)",$L:$L,"&gt;0")&lt;&gt;1,"",SUMIFS($H:$H,$C:$C,$C558,$D:$D,"기준(전)"))</f>
        <v/>
      </c>
      <c r="O558" s="30">
        <f>IF(COUNTIFS($C:$C,$C558,$D:$D,"기준(전)",$L:$L,"&gt;0")&lt;&gt;1,"",SUMIFS($L:$L,$C:$C,$C558,$D:$D,"기준(전)"))</f>
        <v/>
      </c>
      <c r="P558" s="45">
        <f>IF(COUNTIFS($C:$C,$C558,$D:$D,"기준(후)",$L:$L,"&gt;0")&lt;&gt;1,"",SUMIFS($H:$H,$C:$C,$C558,$D:$D,"기준(후)"))</f>
        <v/>
      </c>
      <c r="Q558" s="30">
        <f>IF(COUNTIFS($C:$C,$C558,$D:$D,"기준(후)",$L:$L,"&gt;0")&lt;&gt;1,"",SUMIFS($L:$L,$C:$C,$C558,$D:$D,"기준(후)"))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IF(OR($D557&lt;&gt;"측정",$C557&lt;&gt;$C558,NOT(ISNUMBER(L558)),NOT(ISNUMBER(L557)),(IF(ISNUMBER(F558),F558,E558)-IF(ISNUMBER(F557),F557,E557))=0),"",(L558-L557)/((IF(ISNUMBER(F558),F558,E558)-IF(ISNUMBER(F557),F557,E557))/100))</f>
        <v/>
      </c>
      <c r="U558" s="28" t="n"/>
      <c r="V558" s="28" t="n"/>
      <c r="W558" s="31" t="n"/>
    </row>
    <row r="559">
      <c r="A559" s="25" t="inlineStr">
        <is>
          <t>S47</t>
        </is>
      </c>
      <c r="B559" s="25" t="inlineStr">
        <is>
          <t>봉평</t>
        </is>
      </c>
      <c r="C559" s="25" t="inlineStr">
        <is>
          <t>S47-V</t>
        </is>
      </c>
      <c r="D559" s="25" t="inlineStr">
        <is>
          <t>측정</t>
        </is>
      </c>
      <c r="E559" s="48" t="n">
        <v>40</v>
      </c>
      <c r="F559" s="40" t="n"/>
      <c r="G559" s="28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IF(COUNTIFS($C:$C,$C559,$D:$D,"기준(전)",$L:$L,"&gt;0")&lt;&gt;1,"기준(전) 유효 1개 아님",IF(COUNTIFS($C:$C,$C559,$D:$D,"기준(후)",$L:$L,"&gt;0")&lt;&gt;1,"기준(후) 유효 1개 아님",IF(NOT(AND(ISNUMBER(N559),ISNUMBER(P559),ISNUMBER(H559))),"시각 결측",IF(P559&lt;=N559,"기준 시각 역전",IF(OR(H559&lt;N559,H559&gt;P559),"측정시각 구간 밖","OK")))))</f>
        <v/>
      </c>
      <c r="N559" s="45">
        <f>IF(COUNTIFS($C:$C,$C559,$D:$D,"기준(전)",$L:$L,"&gt;0")&lt;&gt;1,"",SUMIFS($H:$H,$C:$C,$C559,$D:$D,"기준(전)"))</f>
        <v/>
      </c>
      <c r="O559" s="30">
        <f>IF(COUNTIFS($C:$C,$C559,$D:$D,"기준(전)",$L:$L,"&gt;0")&lt;&gt;1,"",SUMIFS($L:$L,$C:$C,$C559,$D:$D,"기준(전)"))</f>
        <v/>
      </c>
      <c r="P559" s="45">
        <f>IF(COUNTIFS($C:$C,$C559,$D:$D,"기준(후)",$L:$L,"&gt;0")&lt;&gt;1,"",SUMIFS($H:$H,$C:$C,$C559,$D:$D,"기준(후)"))</f>
        <v/>
      </c>
      <c r="Q559" s="30">
        <f>IF(COUNTIFS($C:$C,$C559,$D:$D,"기준(후)",$L:$L,"&gt;0")&lt;&gt;1,"",SUMIFS($L:$L,$C:$C,$C559,$D:$D,"기준(후)"))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IF(OR($D558&lt;&gt;"측정",$C558&lt;&gt;$C559,NOT(ISNUMBER(L559)),NOT(ISNUMBER(L558)),(IF(ISNUMBER(F559),F559,E559)-IF(ISNUMBER(F558),F558,E558))=0),"",(L559-L558)/((IF(ISNUMBER(F559),F559,E559)-IF(ISNUMBER(F558),F558,E558))/100))</f>
        <v/>
      </c>
      <c r="U559" s="28" t="n"/>
      <c r="V559" s="28" t="n"/>
      <c r="W559" s="31" t="n"/>
    </row>
    <row r="560">
      <c r="A560" s="25" t="inlineStr">
        <is>
          <t>S47</t>
        </is>
      </c>
      <c r="B560" s="25" t="inlineStr">
        <is>
          <t>봉평</t>
        </is>
      </c>
      <c r="C560" s="25" t="inlineStr">
        <is>
          <t>S47-V</t>
        </is>
      </c>
      <c r="D560" s="25" t="inlineStr">
        <is>
          <t>측정</t>
        </is>
      </c>
      <c r="E560" s="48" t="n">
        <v>60</v>
      </c>
      <c r="F560" s="40" t="n"/>
      <c r="G560" s="28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IF(COUNTIFS($C:$C,$C560,$D:$D,"기준(전)",$L:$L,"&gt;0")&lt;&gt;1,"기준(전) 유효 1개 아님",IF(COUNTIFS($C:$C,$C560,$D:$D,"기준(후)",$L:$L,"&gt;0")&lt;&gt;1,"기준(후) 유효 1개 아님",IF(NOT(AND(ISNUMBER(N560),ISNUMBER(P560),ISNUMBER(H560))),"시각 결측",IF(P560&lt;=N560,"기준 시각 역전",IF(OR(H560&lt;N560,H560&gt;P560),"측정시각 구간 밖","OK")))))</f>
        <v/>
      </c>
      <c r="N560" s="45">
        <f>IF(COUNTIFS($C:$C,$C560,$D:$D,"기준(전)",$L:$L,"&gt;0")&lt;&gt;1,"",SUMIFS($H:$H,$C:$C,$C560,$D:$D,"기준(전)"))</f>
        <v/>
      </c>
      <c r="O560" s="30">
        <f>IF(COUNTIFS($C:$C,$C560,$D:$D,"기준(전)",$L:$L,"&gt;0")&lt;&gt;1,"",SUMIFS($L:$L,$C:$C,$C560,$D:$D,"기준(전)"))</f>
        <v/>
      </c>
      <c r="P560" s="45">
        <f>IF(COUNTIFS($C:$C,$C560,$D:$D,"기준(후)",$L:$L,"&gt;0")&lt;&gt;1,"",SUMIFS($H:$H,$C:$C,$C560,$D:$D,"기준(후)"))</f>
        <v/>
      </c>
      <c r="Q560" s="30">
        <f>IF(COUNTIFS($C:$C,$C560,$D:$D,"기준(후)",$L:$L,"&gt;0")&lt;&gt;1,"",SUMIFS($L:$L,$C:$C,$C560,$D:$D,"기준(후)"))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IF(OR($D559&lt;&gt;"측정",$C559&lt;&gt;$C560,NOT(ISNUMBER(L560)),NOT(ISNUMBER(L559)),(IF(ISNUMBER(F560),F560,E560)-IF(ISNUMBER(F559),F559,E559))=0),"",(L560-L559)/((IF(ISNUMBER(F560),F560,E560)-IF(ISNUMBER(F559),F559,E559))/100))</f>
        <v/>
      </c>
      <c r="U560" s="28" t="n"/>
      <c r="V560" s="28" t="n"/>
      <c r="W560" s="31" t="n"/>
    </row>
    <row r="561">
      <c r="A561" s="25" t="inlineStr">
        <is>
          <t>S47</t>
        </is>
      </c>
      <c r="B561" s="25" t="inlineStr">
        <is>
          <t>봉평</t>
        </is>
      </c>
      <c r="C561" s="25" t="inlineStr">
        <is>
          <t>S47-V</t>
        </is>
      </c>
      <c r="D561" s="25" t="inlineStr">
        <is>
          <t>측정</t>
        </is>
      </c>
      <c r="E561" s="48" t="n">
        <v>80</v>
      </c>
      <c r="F561" s="40" t="n"/>
      <c r="G561" s="28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IF(COUNTIFS($C:$C,$C561,$D:$D,"기준(전)",$L:$L,"&gt;0")&lt;&gt;1,"기준(전) 유효 1개 아님",IF(COUNTIFS($C:$C,$C561,$D:$D,"기준(후)",$L:$L,"&gt;0")&lt;&gt;1,"기준(후) 유효 1개 아님",IF(NOT(AND(ISNUMBER(N561),ISNUMBER(P561),ISNUMBER(H561))),"시각 결측",IF(P561&lt;=N561,"기준 시각 역전",IF(OR(H561&lt;N561,H561&gt;P561),"측정시각 구간 밖","OK")))))</f>
        <v/>
      </c>
      <c r="N561" s="45">
        <f>IF(COUNTIFS($C:$C,$C561,$D:$D,"기준(전)",$L:$L,"&gt;0")&lt;&gt;1,"",SUMIFS($H:$H,$C:$C,$C561,$D:$D,"기준(전)"))</f>
        <v/>
      </c>
      <c r="O561" s="30">
        <f>IF(COUNTIFS($C:$C,$C561,$D:$D,"기준(전)",$L:$L,"&gt;0")&lt;&gt;1,"",SUMIFS($L:$L,$C:$C,$C561,$D:$D,"기준(전)"))</f>
        <v/>
      </c>
      <c r="P561" s="45">
        <f>IF(COUNTIFS($C:$C,$C561,$D:$D,"기준(후)",$L:$L,"&gt;0")&lt;&gt;1,"",SUMIFS($H:$H,$C:$C,$C561,$D:$D,"기준(후)"))</f>
        <v/>
      </c>
      <c r="Q561" s="30">
        <f>IF(COUNTIFS($C:$C,$C561,$D:$D,"기준(후)",$L:$L,"&gt;0")&lt;&gt;1,"",SUMIFS($L:$L,$C:$C,$C561,$D:$D,"기준(후)"))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IF(OR($D560&lt;&gt;"측정",$C560&lt;&gt;$C561,NOT(ISNUMBER(L561)),NOT(ISNUMBER(L560)),(IF(ISNUMBER(F561),F561,E561)-IF(ISNUMBER(F560),F560,E560))=0),"",(L561-L560)/((IF(ISNUMBER(F561),F561,E561)-IF(ISNUMBER(F560),F560,E560))/100))</f>
        <v/>
      </c>
      <c r="U561" s="28" t="n"/>
      <c r="V561" s="28" t="n"/>
      <c r="W561" s="31" t="n"/>
    </row>
    <row r="562">
      <c r="A562" s="25" t="inlineStr">
        <is>
          <t>S47</t>
        </is>
      </c>
      <c r="B562" s="25" t="inlineStr">
        <is>
          <t>봉평</t>
        </is>
      </c>
      <c r="C562" s="25" t="inlineStr">
        <is>
          <t>S47-V</t>
        </is>
      </c>
      <c r="D562" s="25" t="inlineStr">
        <is>
          <t>측정</t>
        </is>
      </c>
      <c r="E562" s="48" t="n">
        <v>100</v>
      </c>
      <c r="F562" s="40" t="n"/>
      <c r="G562" s="28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IF(COUNTIFS($C:$C,$C562,$D:$D,"기준(전)",$L:$L,"&gt;0")&lt;&gt;1,"기준(전) 유효 1개 아님",IF(COUNTIFS($C:$C,$C562,$D:$D,"기준(후)",$L:$L,"&gt;0")&lt;&gt;1,"기준(후) 유효 1개 아님",IF(NOT(AND(ISNUMBER(N562),ISNUMBER(P562),ISNUMBER(H562))),"시각 결측",IF(P562&lt;=N562,"기준 시각 역전",IF(OR(H562&lt;N562,H562&gt;P562),"측정시각 구간 밖","OK")))))</f>
        <v/>
      </c>
      <c r="N562" s="45">
        <f>IF(COUNTIFS($C:$C,$C562,$D:$D,"기준(전)",$L:$L,"&gt;0")&lt;&gt;1,"",SUMIFS($H:$H,$C:$C,$C562,$D:$D,"기준(전)"))</f>
        <v/>
      </c>
      <c r="O562" s="30">
        <f>IF(COUNTIFS($C:$C,$C562,$D:$D,"기준(전)",$L:$L,"&gt;0")&lt;&gt;1,"",SUMIFS($L:$L,$C:$C,$C562,$D:$D,"기준(전)"))</f>
        <v/>
      </c>
      <c r="P562" s="45">
        <f>IF(COUNTIFS($C:$C,$C562,$D:$D,"기준(후)",$L:$L,"&gt;0")&lt;&gt;1,"",SUMIFS($H:$H,$C:$C,$C562,$D:$D,"기준(후)"))</f>
        <v/>
      </c>
      <c r="Q562" s="30">
        <f>IF(COUNTIFS($C:$C,$C562,$D:$D,"기준(후)",$L:$L,"&gt;0")&lt;&gt;1,"",SUMIFS($L:$L,$C:$C,$C562,$D:$D,"기준(후)"))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IF(OR($D561&lt;&gt;"측정",$C561&lt;&gt;$C562,NOT(ISNUMBER(L562)),NOT(ISNUMBER(L561)),(IF(ISNUMBER(F562),F562,E562)-IF(ISNUMBER(F561),F561,E561))=0),"",(L562-L561)/((IF(ISNUMBER(F562),F562,E562)-IF(ISNUMBER(F561),F561,E561))/100))</f>
        <v/>
      </c>
      <c r="U562" s="28" t="n"/>
      <c r="V562" s="28" t="n"/>
      <c r="W562" s="31" t="n"/>
    </row>
    <row r="563">
      <c r="A563" s="25" t="inlineStr">
        <is>
          <t>S47</t>
        </is>
      </c>
      <c r="B563" s="25" t="inlineStr">
        <is>
          <t>봉평</t>
        </is>
      </c>
      <c r="C563" s="25" t="inlineStr">
        <is>
          <t>S47-V</t>
        </is>
      </c>
      <c r="D563" s="25" t="inlineStr">
        <is>
          <t>측정</t>
        </is>
      </c>
      <c r="E563" s="48" t="n">
        <v>120</v>
      </c>
      <c r="F563" s="40" t="n"/>
      <c r="G563" s="28" t="n"/>
      <c r="H563" s="42" t="n"/>
      <c r="I563" s="40" t="n"/>
      <c r="J563" s="40" t="n"/>
      <c r="K563" s="40" t="n"/>
      <c r="L563" s="30">
        <f>IF(COUNT(I563:K563)=0,"",MEDIAN(I563:K563))</f>
        <v/>
      </c>
      <c r="M563" s="25">
        <f>IF(COUNTIFS($C:$C,$C563,$D:$D,"기준(전)",$L:$L,"&gt;0")&lt;&gt;1,"기준(전) 유효 1개 아님",IF(COUNTIFS($C:$C,$C563,$D:$D,"기준(후)",$L:$L,"&gt;0")&lt;&gt;1,"기준(후) 유효 1개 아님",IF(NOT(AND(ISNUMBER(N563),ISNUMBER(P563),ISNUMBER(H563))),"시각 결측",IF(P563&lt;=N563,"기준 시각 역전",IF(OR(H563&lt;N563,H563&gt;P563),"측정시각 구간 밖","OK")))))</f>
        <v/>
      </c>
      <c r="N563" s="45">
        <f>IF(COUNTIFS($C:$C,$C563,$D:$D,"기준(전)",$L:$L,"&gt;0")&lt;&gt;1,"",SUMIFS($H:$H,$C:$C,$C563,$D:$D,"기준(전)"))</f>
        <v/>
      </c>
      <c r="O563" s="30">
        <f>IF(COUNTIFS($C:$C,$C563,$D:$D,"기준(전)",$L:$L,"&gt;0")&lt;&gt;1,"",SUMIFS($L:$L,$C:$C,$C563,$D:$D,"기준(전)"))</f>
        <v/>
      </c>
      <c r="P563" s="45">
        <f>IF(COUNTIFS($C:$C,$C563,$D:$D,"기준(후)",$L:$L,"&gt;0")&lt;&gt;1,"",SUMIFS($H:$H,$C:$C,$C563,$D:$D,"기준(후)"))</f>
        <v/>
      </c>
      <c r="Q563" s="30">
        <f>IF(COUNTIFS($C:$C,$C563,$D:$D,"기준(후)",$L:$L,"&gt;0")&lt;&gt;1,"",SUMIFS($L:$L,$C:$C,$C563,$D:$D,"기준(후)"))</f>
        <v/>
      </c>
      <c r="R563" s="30">
        <f>IF(M563&lt;&gt;"OK","",O563+(Q563-O563)*(H563-N563)/(P563-N563))</f>
        <v/>
      </c>
      <c r="S563" s="30">
        <f>IF(OR(M563&lt;&gt;"OK",NOT(ISNUMBER(L563))),"",L563-R563)</f>
        <v/>
      </c>
      <c r="T563" s="46">
        <f>IF(OR($D562&lt;&gt;"측정",$C562&lt;&gt;$C563,NOT(ISNUMBER(L563)),NOT(ISNUMBER(L562)),(IF(ISNUMBER(F563),F563,E563)-IF(ISNUMBER(F562),F562,E562))=0),"",(L563-L562)/((IF(ISNUMBER(F563),F563,E563)-IF(ISNUMBER(F562),F562,E562))/100))</f>
        <v/>
      </c>
      <c r="U563" s="28" t="n"/>
      <c r="V563" s="28" t="n"/>
      <c r="W563" s="31" t="n"/>
    </row>
    <row r="564">
      <c r="A564" s="25" t="inlineStr">
        <is>
          <t>S47</t>
        </is>
      </c>
      <c r="B564" s="25" t="inlineStr">
        <is>
          <t>봉평</t>
        </is>
      </c>
      <c r="C564" s="25" t="inlineStr">
        <is>
          <t>S47-V</t>
        </is>
      </c>
      <c r="D564" s="25" t="inlineStr">
        <is>
          <t>측정</t>
        </is>
      </c>
      <c r="E564" s="48" t="n">
        <v>140</v>
      </c>
      <c r="F564" s="40" t="n"/>
      <c r="G564" s="28" t="n"/>
      <c r="H564" s="42" t="n"/>
      <c r="I564" s="40" t="n"/>
      <c r="J564" s="40" t="n"/>
      <c r="K564" s="40" t="n"/>
      <c r="L564" s="30">
        <f>IF(COUNT(I564:K564)=0,"",MEDIAN(I564:K564))</f>
        <v/>
      </c>
      <c r="M564" s="25">
        <f>IF(COUNTIFS($C:$C,$C564,$D:$D,"기준(전)",$L:$L,"&gt;0")&lt;&gt;1,"기준(전) 유효 1개 아님",IF(COUNTIFS($C:$C,$C564,$D:$D,"기준(후)",$L:$L,"&gt;0")&lt;&gt;1,"기준(후) 유효 1개 아님",IF(NOT(AND(ISNUMBER(N564),ISNUMBER(P564),ISNUMBER(H564))),"시각 결측",IF(P564&lt;=N564,"기준 시각 역전",IF(OR(H564&lt;N564,H564&gt;P564),"측정시각 구간 밖","OK")))))</f>
        <v/>
      </c>
      <c r="N564" s="45">
        <f>IF(COUNTIFS($C:$C,$C564,$D:$D,"기준(전)",$L:$L,"&gt;0")&lt;&gt;1,"",SUMIFS($H:$H,$C:$C,$C564,$D:$D,"기준(전)"))</f>
        <v/>
      </c>
      <c r="O564" s="30">
        <f>IF(COUNTIFS($C:$C,$C564,$D:$D,"기준(전)",$L:$L,"&gt;0")&lt;&gt;1,"",SUMIFS($L:$L,$C:$C,$C564,$D:$D,"기준(전)"))</f>
        <v/>
      </c>
      <c r="P564" s="45">
        <f>IF(COUNTIFS($C:$C,$C564,$D:$D,"기준(후)",$L:$L,"&gt;0")&lt;&gt;1,"",SUMIFS($H:$H,$C:$C,$C564,$D:$D,"기준(후)"))</f>
        <v/>
      </c>
      <c r="Q564" s="30">
        <f>IF(COUNTIFS($C:$C,$C564,$D:$D,"기준(후)",$L:$L,"&gt;0")&lt;&gt;1,"",SUMIFS($L:$L,$C:$C,$C564,$D:$D,"기준(후)"))</f>
        <v/>
      </c>
      <c r="R564" s="30">
        <f>IF(M564&lt;&gt;"OK","",O564+(Q564-O564)*(H564-N564)/(P564-N564))</f>
        <v/>
      </c>
      <c r="S564" s="30">
        <f>IF(OR(M564&lt;&gt;"OK",NOT(ISNUMBER(L564))),"",L564-R564)</f>
        <v/>
      </c>
      <c r="T564" s="46">
        <f>IF(OR($D563&lt;&gt;"측정",$C563&lt;&gt;$C564,NOT(ISNUMBER(L564)),NOT(ISNUMBER(L563)),(IF(ISNUMBER(F564),F564,E564)-IF(ISNUMBER(F563),F563,E563))=0),"",(L564-L563)/((IF(ISNUMBER(F564),F564,E564)-IF(ISNUMBER(F563),F563,E563))/100))</f>
        <v/>
      </c>
      <c r="U564" s="28" t="n"/>
      <c r="V564" s="28" t="n"/>
      <c r="W564" s="31" t="n"/>
    </row>
    <row r="565">
      <c r="A565" s="25" t="inlineStr">
        <is>
          <t>S47</t>
        </is>
      </c>
      <c r="B565" s="25" t="inlineStr">
        <is>
          <t>봉평</t>
        </is>
      </c>
      <c r="C565" s="25" t="inlineStr">
        <is>
          <t>S47-V</t>
        </is>
      </c>
      <c r="D565" s="25" t="inlineStr">
        <is>
          <t>측정</t>
        </is>
      </c>
      <c r="E565" s="48" t="n">
        <v>160</v>
      </c>
      <c r="F565" s="40" t="n"/>
      <c r="G565" s="28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IF(COUNTIFS($C:$C,$C565,$D:$D,"기준(전)",$L:$L,"&gt;0")&lt;&gt;1,"기준(전) 유효 1개 아님",IF(COUNTIFS($C:$C,$C565,$D:$D,"기준(후)",$L:$L,"&gt;0")&lt;&gt;1,"기준(후) 유효 1개 아님",IF(NOT(AND(ISNUMBER(N565),ISNUMBER(P565),ISNUMBER(H565))),"시각 결측",IF(P565&lt;=N565,"기준 시각 역전",IF(OR(H565&lt;N565,H565&gt;P565),"측정시각 구간 밖","OK")))))</f>
        <v/>
      </c>
      <c r="N565" s="45">
        <f>IF(COUNTIFS($C:$C,$C565,$D:$D,"기준(전)",$L:$L,"&gt;0")&lt;&gt;1,"",SUMIFS($H:$H,$C:$C,$C565,$D:$D,"기준(전)"))</f>
        <v/>
      </c>
      <c r="O565" s="30">
        <f>IF(COUNTIFS($C:$C,$C565,$D:$D,"기준(전)",$L:$L,"&gt;0")&lt;&gt;1,"",SUMIFS($L:$L,$C:$C,$C565,$D:$D,"기준(전)"))</f>
        <v/>
      </c>
      <c r="P565" s="45">
        <f>IF(COUNTIFS($C:$C,$C565,$D:$D,"기준(후)",$L:$L,"&gt;0")&lt;&gt;1,"",SUMIFS($H:$H,$C:$C,$C565,$D:$D,"기준(후)"))</f>
        <v/>
      </c>
      <c r="Q565" s="30">
        <f>IF(COUNTIFS($C:$C,$C565,$D:$D,"기준(후)",$L:$L,"&gt;0")&lt;&gt;1,"",SUMIFS($L:$L,$C:$C,$C565,$D:$D,"기준(후)"))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IF(OR($D564&lt;&gt;"측정",$C564&lt;&gt;$C565,NOT(ISNUMBER(L565)),NOT(ISNUMBER(L564)),(IF(ISNUMBER(F565),F565,E565)-IF(ISNUMBER(F564),F564,E564))=0),"",(L565-L564)/((IF(ISNUMBER(F565),F565,E565)-IF(ISNUMBER(F564),F564,E564))/100))</f>
        <v/>
      </c>
      <c r="U565" s="28" t="n"/>
      <c r="V565" s="28" t="n"/>
      <c r="W565" s="31" t="n"/>
    </row>
    <row r="566">
      <c r="A566" s="25" t="inlineStr">
        <is>
          <t>S47</t>
        </is>
      </c>
      <c r="B566" s="25" t="inlineStr">
        <is>
          <t>봉평</t>
        </is>
      </c>
      <c r="C566" s="25" t="inlineStr">
        <is>
          <t>S47-V</t>
        </is>
      </c>
      <c r="D566" s="25" t="inlineStr">
        <is>
          <t>측정</t>
        </is>
      </c>
      <c r="E566" s="48" t="n">
        <v>180</v>
      </c>
      <c r="F566" s="40" t="n"/>
      <c r="G566" s="28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IF(COUNTIFS($C:$C,$C566,$D:$D,"기준(전)",$L:$L,"&gt;0")&lt;&gt;1,"기준(전) 유효 1개 아님",IF(COUNTIFS($C:$C,$C566,$D:$D,"기준(후)",$L:$L,"&gt;0")&lt;&gt;1,"기준(후) 유효 1개 아님",IF(NOT(AND(ISNUMBER(N566),ISNUMBER(P566),ISNUMBER(H566))),"시각 결측",IF(P566&lt;=N566,"기준 시각 역전",IF(OR(H566&lt;N566,H566&gt;P566),"측정시각 구간 밖","OK")))))</f>
        <v/>
      </c>
      <c r="N566" s="45">
        <f>IF(COUNTIFS($C:$C,$C566,$D:$D,"기준(전)",$L:$L,"&gt;0")&lt;&gt;1,"",SUMIFS($H:$H,$C:$C,$C566,$D:$D,"기준(전)"))</f>
        <v/>
      </c>
      <c r="O566" s="30">
        <f>IF(COUNTIFS($C:$C,$C566,$D:$D,"기준(전)",$L:$L,"&gt;0")&lt;&gt;1,"",SUMIFS($L:$L,$C:$C,$C566,$D:$D,"기준(전)"))</f>
        <v/>
      </c>
      <c r="P566" s="45">
        <f>IF(COUNTIFS($C:$C,$C566,$D:$D,"기준(후)",$L:$L,"&gt;0")&lt;&gt;1,"",SUMIFS($H:$H,$C:$C,$C566,$D:$D,"기준(후)"))</f>
        <v/>
      </c>
      <c r="Q566" s="30">
        <f>IF(COUNTIFS($C:$C,$C566,$D:$D,"기준(후)",$L:$L,"&gt;0")&lt;&gt;1,"",SUMIFS($L:$L,$C:$C,$C566,$D:$D,"기준(후)"))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IF(OR($D565&lt;&gt;"측정",$C565&lt;&gt;$C566,NOT(ISNUMBER(L566)),NOT(ISNUMBER(L565)),(IF(ISNUMBER(F566),F566,E566)-IF(ISNUMBER(F565),F565,E565))=0),"",(L566-L565)/((IF(ISNUMBER(F566),F566,E566)-IF(ISNUMBER(F565),F565,E565))/100))</f>
        <v/>
      </c>
      <c r="U566" s="28" t="n"/>
      <c r="V566" s="28" t="n"/>
      <c r="W566" s="31" t="n"/>
    </row>
    <row r="567">
      <c r="A567" s="25" t="inlineStr">
        <is>
          <t>S47</t>
        </is>
      </c>
      <c r="B567" s="25" t="inlineStr">
        <is>
          <t>봉평</t>
        </is>
      </c>
      <c r="C567" s="25" t="inlineStr">
        <is>
          <t>S47-V</t>
        </is>
      </c>
      <c r="D567" s="25" t="inlineStr">
        <is>
          <t>측정</t>
        </is>
      </c>
      <c r="E567" s="48" t="n">
        <v>200</v>
      </c>
      <c r="F567" s="40" t="n"/>
      <c r="G567" s="28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IF(COUNTIFS($C:$C,$C567,$D:$D,"기준(전)",$L:$L,"&gt;0")&lt;&gt;1,"기준(전) 유효 1개 아님",IF(COUNTIFS($C:$C,$C567,$D:$D,"기준(후)",$L:$L,"&gt;0")&lt;&gt;1,"기준(후) 유효 1개 아님",IF(NOT(AND(ISNUMBER(N567),ISNUMBER(P567),ISNUMBER(H567))),"시각 결측",IF(P567&lt;=N567,"기준 시각 역전",IF(OR(H567&lt;N567,H567&gt;P567),"측정시각 구간 밖","OK")))))</f>
        <v/>
      </c>
      <c r="N567" s="45">
        <f>IF(COUNTIFS($C:$C,$C567,$D:$D,"기준(전)",$L:$L,"&gt;0")&lt;&gt;1,"",SUMIFS($H:$H,$C:$C,$C567,$D:$D,"기준(전)"))</f>
        <v/>
      </c>
      <c r="O567" s="30">
        <f>IF(COUNTIFS($C:$C,$C567,$D:$D,"기준(전)",$L:$L,"&gt;0")&lt;&gt;1,"",SUMIFS($L:$L,$C:$C,$C567,$D:$D,"기준(전)"))</f>
        <v/>
      </c>
      <c r="P567" s="45">
        <f>IF(COUNTIFS($C:$C,$C567,$D:$D,"기준(후)",$L:$L,"&gt;0")&lt;&gt;1,"",SUMIFS($H:$H,$C:$C,$C567,$D:$D,"기준(후)"))</f>
        <v/>
      </c>
      <c r="Q567" s="30">
        <f>IF(COUNTIFS($C:$C,$C567,$D:$D,"기준(후)",$L:$L,"&gt;0")&lt;&gt;1,"",SUMIFS($L:$L,$C:$C,$C567,$D:$D,"기준(후)"))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IF(OR($D566&lt;&gt;"측정",$C566&lt;&gt;$C567,NOT(ISNUMBER(L567)),NOT(ISNUMBER(L566)),(IF(ISNUMBER(F567),F567,E567)-IF(ISNUMBER(F566),F566,E566))=0),"",(L567-L566)/((IF(ISNUMBER(F567),F567,E567)-IF(ISNUMBER(F566),F566,E566))/100))</f>
        <v/>
      </c>
      <c r="U567" s="28" t="n"/>
      <c r="V567" s="28" t="n"/>
      <c r="W567" s="31" t="n"/>
    </row>
    <row r="568">
      <c r="A568" s="43" t="inlineStr">
        <is>
          <t>S47</t>
        </is>
      </c>
      <c r="B568" s="43" t="inlineStr">
        <is>
          <t>봉평</t>
        </is>
      </c>
      <c r="C568" s="43" t="inlineStr">
        <is>
          <t>S47-V</t>
        </is>
      </c>
      <c r="D568" s="43" t="inlineStr">
        <is>
          <t>기준(후)</t>
        </is>
      </c>
      <c r="E568" s="47" t="n"/>
      <c r="F568" s="40" t="n"/>
      <c r="G568" s="28" t="n"/>
      <c r="H568" s="42" t="n"/>
      <c r="I568" s="40" t="n"/>
      <c r="J568" s="40" t="n"/>
      <c r="K568" s="40" t="n"/>
      <c r="L568" s="30">
        <f>IF(COUNT(I568:K568)=0,"",MEDIAN(I568:K568))</f>
        <v/>
      </c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28" t="n"/>
      <c r="V568" s="28" t="n"/>
      <c r="W568" s="31" t="n"/>
    </row>
    <row r="569">
      <c r="A569" s="43" t="inlineStr">
        <is>
          <t>S48</t>
        </is>
      </c>
      <c r="B569" s="43" t="inlineStr">
        <is>
          <t>삼척</t>
        </is>
      </c>
      <c r="C569" s="43" t="inlineStr">
        <is>
          <t>S48-V</t>
        </is>
      </c>
      <c r="D569" s="43" t="inlineStr">
        <is>
          <t>기준(전)</t>
        </is>
      </c>
      <c r="E569" s="47" t="n"/>
      <c r="F569" s="40" t="n"/>
      <c r="G569" s="28" t="n"/>
      <c r="H569" s="42" t="n"/>
      <c r="I569" s="40" t="n"/>
      <c r="J569" s="40" t="n"/>
      <c r="K569" s="40" t="n"/>
      <c r="L569" s="30">
        <f>IF(COUNT(I569:K569)=0,"",MEDIAN(I569:K569))</f>
        <v/>
      </c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28" t="n"/>
      <c r="V569" s="28" t="n"/>
      <c r="W569" s="31" t="n"/>
    </row>
    <row r="570">
      <c r="A570" s="25" t="inlineStr">
        <is>
          <t>S48</t>
        </is>
      </c>
      <c r="B570" s="25" t="inlineStr">
        <is>
          <t>삼척</t>
        </is>
      </c>
      <c r="C570" s="25" t="inlineStr">
        <is>
          <t>S48-V</t>
        </is>
      </c>
      <c r="D570" s="25" t="inlineStr">
        <is>
          <t>측정</t>
        </is>
      </c>
      <c r="E570" s="48" t="n">
        <v>20</v>
      </c>
      <c r="F570" s="40" t="n"/>
      <c r="G570" s="28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IF(COUNTIFS($C:$C,$C570,$D:$D,"기준(전)",$L:$L,"&gt;0")&lt;&gt;1,"기준(전) 유효 1개 아님",IF(COUNTIFS($C:$C,$C570,$D:$D,"기준(후)",$L:$L,"&gt;0")&lt;&gt;1,"기준(후) 유효 1개 아님",IF(NOT(AND(ISNUMBER(N570),ISNUMBER(P570),ISNUMBER(H570))),"시각 결측",IF(P570&lt;=N570,"기준 시각 역전",IF(OR(H570&lt;N570,H570&gt;P570),"측정시각 구간 밖","OK")))))</f>
        <v/>
      </c>
      <c r="N570" s="45">
        <f>IF(COUNTIFS($C:$C,$C570,$D:$D,"기준(전)",$L:$L,"&gt;0")&lt;&gt;1,"",SUMIFS($H:$H,$C:$C,$C570,$D:$D,"기준(전)"))</f>
        <v/>
      </c>
      <c r="O570" s="30">
        <f>IF(COUNTIFS($C:$C,$C570,$D:$D,"기준(전)",$L:$L,"&gt;0")&lt;&gt;1,"",SUMIFS($L:$L,$C:$C,$C570,$D:$D,"기준(전)"))</f>
        <v/>
      </c>
      <c r="P570" s="45">
        <f>IF(COUNTIFS($C:$C,$C570,$D:$D,"기준(후)",$L:$L,"&gt;0")&lt;&gt;1,"",SUMIFS($H:$H,$C:$C,$C570,$D:$D,"기준(후)"))</f>
        <v/>
      </c>
      <c r="Q570" s="30">
        <f>IF(COUNTIFS($C:$C,$C570,$D:$D,"기준(후)",$L:$L,"&gt;0")&lt;&gt;1,"",SUMIFS($L:$L,$C:$C,$C570,$D:$D,"기준(후)"))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IF(OR($D569&lt;&gt;"측정",$C569&lt;&gt;$C570,NOT(ISNUMBER(L570)),NOT(ISNUMBER(L569)),(IF(ISNUMBER(F570),F570,E570)-IF(ISNUMBER(F569),F569,E569))=0),"",(L570-L569)/((IF(ISNUMBER(F570),F570,E570)-IF(ISNUMBER(F569),F569,E569))/100))</f>
        <v/>
      </c>
      <c r="U570" s="28" t="n"/>
      <c r="V570" s="28" t="n"/>
      <c r="W570" s="31" t="n"/>
    </row>
    <row r="571">
      <c r="A571" s="25" t="inlineStr">
        <is>
          <t>S48</t>
        </is>
      </c>
      <c r="B571" s="25" t="inlineStr">
        <is>
          <t>삼척</t>
        </is>
      </c>
      <c r="C571" s="25" t="inlineStr">
        <is>
          <t>S48-V</t>
        </is>
      </c>
      <c r="D571" s="25" t="inlineStr">
        <is>
          <t>측정</t>
        </is>
      </c>
      <c r="E571" s="48" t="n">
        <v>40</v>
      </c>
      <c r="F571" s="40" t="n"/>
      <c r="G571" s="28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IF(COUNTIFS($C:$C,$C571,$D:$D,"기준(전)",$L:$L,"&gt;0")&lt;&gt;1,"기준(전) 유효 1개 아님",IF(COUNTIFS($C:$C,$C571,$D:$D,"기준(후)",$L:$L,"&gt;0")&lt;&gt;1,"기준(후) 유효 1개 아님",IF(NOT(AND(ISNUMBER(N571),ISNUMBER(P571),ISNUMBER(H571))),"시각 결측",IF(P571&lt;=N571,"기준 시각 역전",IF(OR(H571&lt;N571,H571&gt;P571),"측정시각 구간 밖","OK")))))</f>
        <v/>
      </c>
      <c r="N571" s="45">
        <f>IF(COUNTIFS($C:$C,$C571,$D:$D,"기준(전)",$L:$L,"&gt;0")&lt;&gt;1,"",SUMIFS($H:$H,$C:$C,$C571,$D:$D,"기준(전)"))</f>
        <v/>
      </c>
      <c r="O571" s="30">
        <f>IF(COUNTIFS($C:$C,$C571,$D:$D,"기준(전)",$L:$L,"&gt;0")&lt;&gt;1,"",SUMIFS($L:$L,$C:$C,$C571,$D:$D,"기준(전)"))</f>
        <v/>
      </c>
      <c r="P571" s="45">
        <f>IF(COUNTIFS($C:$C,$C571,$D:$D,"기준(후)",$L:$L,"&gt;0")&lt;&gt;1,"",SUMIFS($H:$H,$C:$C,$C571,$D:$D,"기준(후)"))</f>
        <v/>
      </c>
      <c r="Q571" s="30">
        <f>IF(COUNTIFS($C:$C,$C571,$D:$D,"기준(후)",$L:$L,"&gt;0")&lt;&gt;1,"",SUMIFS($L:$L,$C:$C,$C571,$D:$D,"기준(후)"))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IF(OR($D570&lt;&gt;"측정",$C570&lt;&gt;$C571,NOT(ISNUMBER(L571)),NOT(ISNUMBER(L570)),(IF(ISNUMBER(F571),F571,E571)-IF(ISNUMBER(F570),F570,E570))=0),"",(L571-L570)/((IF(ISNUMBER(F571),F571,E571)-IF(ISNUMBER(F570),F570,E570))/100))</f>
        <v/>
      </c>
      <c r="U571" s="28" t="n"/>
      <c r="V571" s="28" t="n"/>
      <c r="W571" s="31" t="n"/>
    </row>
    <row r="572">
      <c r="A572" s="25" t="inlineStr">
        <is>
          <t>S48</t>
        </is>
      </c>
      <c r="B572" s="25" t="inlineStr">
        <is>
          <t>삼척</t>
        </is>
      </c>
      <c r="C572" s="25" t="inlineStr">
        <is>
          <t>S48-V</t>
        </is>
      </c>
      <c r="D572" s="25" t="inlineStr">
        <is>
          <t>측정</t>
        </is>
      </c>
      <c r="E572" s="48" t="n">
        <v>60</v>
      </c>
      <c r="F572" s="40" t="n"/>
      <c r="G572" s="28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IF(COUNTIFS($C:$C,$C572,$D:$D,"기준(전)",$L:$L,"&gt;0")&lt;&gt;1,"기준(전) 유효 1개 아님",IF(COUNTIFS($C:$C,$C572,$D:$D,"기준(후)",$L:$L,"&gt;0")&lt;&gt;1,"기준(후) 유효 1개 아님",IF(NOT(AND(ISNUMBER(N572),ISNUMBER(P572),ISNUMBER(H572))),"시각 결측",IF(P572&lt;=N572,"기준 시각 역전",IF(OR(H572&lt;N572,H572&gt;P572),"측정시각 구간 밖","OK")))))</f>
        <v/>
      </c>
      <c r="N572" s="45">
        <f>IF(COUNTIFS($C:$C,$C572,$D:$D,"기준(전)",$L:$L,"&gt;0")&lt;&gt;1,"",SUMIFS($H:$H,$C:$C,$C572,$D:$D,"기준(전)"))</f>
        <v/>
      </c>
      <c r="O572" s="30">
        <f>IF(COUNTIFS($C:$C,$C572,$D:$D,"기준(전)",$L:$L,"&gt;0")&lt;&gt;1,"",SUMIFS($L:$L,$C:$C,$C572,$D:$D,"기준(전)"))</f>
        <v/>
      </c>
      <c r="P572" s="45">
        <f>IF(COUNTIFS($C:$C,$C572,$D:$D,"기준(후)",$L:$L,"&gt;0")&lt;&gt;1,"",SUMIFS($H:$H,$C:$C,$C572,$D:$D,"기준(후)"))</f>
        <v/>
      </c>
      <c r="Q572" s="30">
        <f>IF(COUNTIFS($C:$C,$C572,$D:$D,"기준(후)",$L:$L,"&gt;0")&lt;&gt;1,"",SUMIFS($L:$L,$C:$C,$C572,$D:$D,"기준(후)"))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IF(OR($D571&lt;&gt;"측정",$C571&lt;&gt;$C572,NOT(ISNUMBER(L572)),NOT(ISNUMBER(L571)),(IF(ISNUMBER(F572),F572,E572)-IF(ISNUMBER(F571),F571,E571))=0),"",(L572-L571)/((IF(ISNUMBER(F572),F572,E572)-IF(ISNUMBER(F571),F571,E571))/100))</f>
        <v/>
      </c>
      <c r="U572" s="28" t="n"/>
      <c r="V572" s="28" t="n"/>
      <c r="W572" s="31" t="n"/>
    </row>
    <row r="573">
      <c r="A573" s="25" t="inlineStr">
        <is>
          <t>S48</t>
        </is>
      </c>
      <c r="B573" s="25" t="inlineStr">
        <is>
          <t>삼척</t>
        </is>
      </c>
      <c r="C573" s="25" t="inlineStr">
        <is>
          <t>S48-V</t>
        </is>
      </c>
      <c r="D573" s="25" t="inlineStr">
        <is>
          <t>측정</t>
        </is>
      </c>
      <c r="E573" s="48" t="n">
        <v>80</v>
      </c>
      <c r="F573" s="40" t="n"/>
      <c r="G573" s="28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IF(COUNTIFS($C:$C,$C573,$D:$D,"기준(전)",$L:$L,"&gt;0")&lt;&gt;1,"기준(전) 유효 1개 아님",IF(COUNTIFS($C:$C,$C573,$D:$D,"기준(후)",$L:$L,"&gt;0")&lt;&gt;1,"기준(후) 유효 1개 아님",IF(NOT(AND(ISNUMBER(N573),ISNUMBER(P573),ISNUMBER(H573))),"시각 결측",IF(P573&lt;=N573,"기준 시각 역전",IF(OR(H573&lt;N573,H573&gt;P573),"측정시각 구간 밖","OK")))))</f>
        <v/>
      </c>
      <c r="N573" s="45">
        <f>IF(COUNTIFS($C:$C,$C573,$D:$D,"기준(전)",$L:$L,"&gt;0")&lt;&gt;1,"",SUMIFS($H:$H,$C:$C,$C573,$D:$D,"기준(전)"))</f>
        <v/>
      </c>
      <c r="O573" s="30">
        <f>IF(COUNTIFS($C:$C,$C573,$D:$D,"기준(전)",$L:$L,"&gt;0")&lt;&gt;1,"",SUMIFS($L:$L,$C:$C,$C573,$D:$D,"기준(전)"))</f>
        <v/>
      </c>
      <c r="P573" s="45">
        <f>IF(COUNTIFS($C:$C,$C573,$D:$D,"기준(후)",$L:$L,"&gt;0")&lt;&gt;1,"",SUMIFS($H:$H,$C:$C,$C573,$D:$D,"기준(후)"))</f>
        <v/>
      </c>
      <c r="Q573" s="30">
        <f>IF(COUNTIFS($C:$C,$C573,$D:$D,"기준(후)",$L:$L,"&gt;0")&lt;&gt;1,"",SUMIFS($L:$L,$C:$C,$C573,$D:$D,"기준(후)"))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IF(OR($D572&lt;&gt;"측정",$C572&lt;&gt;$C573,NOT(ISNUMBER(L573)),NOT(ISNUMBER(L572)),(IF(ISNUMBER(F573),F573,E573)-IF(ISNUMBER(F572),F572,E572))=0),"",(L573-L572)/((IF(ISNUMBER(F573),F573,E573)-IF(ISNUMBER(F572),F572,E572))/100))</f>
        <v/>
      </c>
      <c r="U573" s="28" t="n"/>
      <c r="V573" s="28" t="n"/>
      <c r="W573" s="31" t="n"/>
    </row>
    <row r="574">
      <c r="A574" s="25" t="inlineStr">
        <is>
          <t>S48</t>
        </is>
      </c>
      <c r="B574" s="25" t="inlineStr">
        <is>
          <t>삼척</t>
        </is>
      </c>
      <c r="C574" s="25" t="inlineStr">
        <is>
          <t>S48-V</t>
        </is>
      </c>
      <c r="D574" s="25" t="inlineStr">
        <is>
          <t>측정</t>
        </is>
      </c>
      <c r="E574" s="48" t="n">
        <v>100</v>
      </c>
      <c r="F574" s="40" t="n"/>
      <c r="G574" s="28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IF(COUNTIFS($C:$C,$C574,$D:$D,"기준(전)",$L:$L,"&gt;0")&lt;&gt;1,"기준(전) 유효 1개 아님",IF(COUNTIFS($C:$C,$C574,$D:$D,"기준(후)",$L:$L,"&gt;0")&lt;&gt;1,"기준(후) 유효 1개 아님",IF(NOT(AND(ISNUMBER(N574),ISNUMBER(P574),ISNUMBER(H574))),"시각 결측",IF(P574&lt;=N574,"기준 시각 역전",IF(OR(H574&lt;N574,H574&gt;P574),"측정시각 구간 밖","OK")))))</f>
        <v/>
      </c>
      <c r="N574" s="45">
        <f>IF(COUNTIFS($C:$C,$C574,$D:$D,"기준(전)",$L:$L,"&gt;0")&lt;&gt;1,"",SUMIFS($H:$H,$C:$C,$C574,$D:$D,"기준(전)"))</f>
        <v/>
      </c>
      <c r="O574" s="30">
        <f>IF(COUNTIFS($C:$C,$C574,$D:$D,"기준(전)",$L:$L,"&gt;0")&lt;&gt;1,"",SUMIFS($L:$L,$C:$C,$C574,$D:$D,"기준(전)"))</f>
        <v/>
      </c>
      <c r="P574" s="45">
        <f>IF(COUNTIFS($C:$C,$C574,$D:$D,"기준(후)",$L:$L,"&gt;0")&lt;&gt;1,"",SUMIFS($H:$H,$C:$C,$C574,$D:$D,"기준(후)"))</f>
        <v/>
      </c>
      <c r="Q574" s="30">
        <f>IF(COUNTIFS($C:$C,$C574,$D:$D,"기준(후)",$L:$L,"&gt;0")&lt;&gt;1,"",SUMIFS($L:$L,$C:$C,$C574,$D:$D,"기준(후)"))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IF(OR($D573&lt;&gt;"측정",$C573&lt;&gt;$C574,NOT(ISNUMBER(L574)),NOT(ISNUMBER(L573)),(IF(ISNUMBER(F574),F574,E574)-IF(ISNUMBER(F573),F573,E573))=0),"",(L574-L573)/((IF(ISNUMBER(F574),F574,E574)-IF(ISNUMBER(F573),F573,E573))/100))</f>
        <v/>
      </c>
      <c r="U574" s="28" t="n"/>
      <c r="V574" s="28" t="n"/>
      <c r="W574" s="31" t="n"/>
    </row>
    <row r="575">
      <c r="A575" s="25" t="inlineStr">
        <is>
          <t>S48</t>
        </is>
      </c>
      <c r="B575" s="25" t="inlineStr">
        <is>
          <t>삼척</t>
        </is>
      </c>
      <c r="C575" s="25" t="inlineStr">
        <is>
          <t>S48-V</t>
        </is>
      </c>
      <c r="D575" s="25" t="inlineStr">
        <is>
          <t>측정</t>
        </is>
      </c>
      <c r="E575" s="48" t="n">
        <v>120</v>
      </c>
      <c r="F575" s="40" t="n"/>
      <c r="G575" s="28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IF(COUNTIFS($C:$C,$C575,$D:$D,"기준(전)",$L:$L,"&gt;0")&lt;&gt;1,"기준(전) 유효 1개 아님",IF(COUNTIFS($C:$C,$C575,$D:$D,"기준(후)",$L:$L,"&gt;0")&lt;&gt;1,"기준(후) 유효 1개 아님",IF(NOT(AND(ISNUMBER(N575),ISNUMBER(P575),ISNUMBER(H575))),"시각 결측",IF(P575&lt;=N575,"기준 시각 역전",IF(OR(H575&lt;N575,H575&gt;P575),"측정시각 구간 밖","OK")))))</f>
        <v/>
      </c>
      <c r="N575" s="45">
        <f>IF(COUNTIFS($C:$C,$C575,$D:$D,"기준(전)",$L:$L,"&gt;0")&lt;&gt;1,"",SUMIFS($H:$H,$C:$C,$C575,$D:$D,"기준(전)"))</f>
        <v/>
      </c>
      <c r="O575" s="30">
        <f>IF(COUNTIFS($C:$C,$C575,$D:$D,"기준(전)",$L:$L,"&gt;0")&lt;&gt;1,"",SUMIFS($L:$L,$C:$C,$C575,$D:$D,"기준(전)"))</f>
        <v/>
      </c>
      <c r="P575" s="45">
        <f>IF(COUNTIFS($C:$C,$C575,$D:$D,"기준(후)",$L:$L,"&gt;0")&lt;&gt;1,"",SUMIFS($H:$H,$C:$C,$C575,$D:$D,"기준(후)"))</f>
        <v/>
      </c>
      <c r="Q575" s="30">
        <f>IF(COUNTIFS($C:$C,$C575,$D:$D,"기준(후)",$L:$L,"&gt;0")&lt;&gt;1,"",SUMIFS($L:$L,$C:$C,$C575,$D:$D,"기준(후)"))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IF(OR($D574&lt;&gt;"측정",$C574&lt;&gt;$C575,NOT(ISNUMBER(L575)),NOT(ISNUMBER(L574)),(IF(ISNUMBER(F575),F575,E575)-IF(ISNUMBER(F574),F574,E574))=0),"",(L575-L574)/((IF(ISNUMBER(F575),F575,E575)-IF(ISNUMBER(F574),F574,E574))/100))</f>
        <v/>
      </c>
      <c r="U575" s="28" t="n"/>
      <c r="V575" s="28" t="n"/>
      <c r="W575" s="31" t="n"/>
    </row>
    <row r="576">
      <c r="A576" s="25" t="inlineStr">
        <is>
          <t>S48</t>
        </is>
      </c>
      <c r="B576" s="25" t="inlineStr">
        <is>
          <t>삼척</t>
        </is>
      </c>
      <c r="C576" s="25" t="inlineStr">
        <is>
          <t>S48-V</t>
        </is>
      </c>
      <c r="D576" s="25" t="inlineStr">
        <is>
          <t>측정</t>
        </is>
      </c>
      <c r="E576" s="48" t="n">
        <v>140</v>
      </c>
      <c r="F576" s="40" t="n"/>
      <c r="G576" s="28" t="n"/>
      <c r="H576" s="42" t="n"/>
      <c r="I576" s="40" t="n"/>
      <c r="J576" s="40" t="n"/>
      <c r="K576" s="40" t="n"/>
      <c r="L576" s="30">
        <f>IF(COUNT(I576:K576)=0,"",MEDIAN(I576:K576))</f>
        <v/>
      </c>
      <c r="M576" s="25">
        <f>IF(COUNTIFS($C:$C,$C576,$D:$D,"기준(전)",$L:$L,"&gt;0")&lt;&gt;1,"기준(전) 유효 1개 아님",IF(COUNTIFS($C:$C,$C576,$D:$D,"기준(후)",$L:$L,"&gt;0")&lt;&gt;1,"기준(후) 유효 1개 아님",IF(NOT(AND(ISNUMBER(N576),ISNUMBER(P576),ISNUMBER(H576))),"시각 결측",IF(P576&lt;=N576,"기준 시각 역전",IF(OR(H576&lt;N576,H576&gt;P576),"측정시각 구간 밖","OK")))))</f>
        <v/>
      </c>
      <c r="N576" s="45">
        <f>IF(COUNTIFS($C:$C,$C576,$D:$D,"기준(전)",$L:$L,"&gt;0")&lt;&gt;1,"",SUMIFS($H:$H,$C:$C,$C576,$D:$D,"기준(전)"))</f>
        <v/>
      </c>
      <c r="O576" s="30">
        <f>IF(COUNTIFS($C:$C,$C576,$D:$D,"기준(전)",$L:$L,"&gt;0")&lt;&gt;1,"",SUMIFS($L:$L,$C:$C,$C576,$D:$D,"기준(전)"))</f>
        <v/>
      </c>
      <c r="P576" s="45">
        <f>IF(COUNTIFS($C:$C,$C576,$D:$D,"기준(후)",$L:$L,"&gt;0")&lt;&gt;1,"",SUMIFS($H:$H,$C:$C,$C576,$D:$D,"기준(후)"))</f>
        <v/>
      </c>
      <c r="Q576" s="30">
        <f>IF(COUNTIFS($C:$C,$C576,$D:$D,"기준(후)",$L:$L,"&gt;0")&lt;&gt;1,"",SUMIFS($L:$L,$C:$C,$C576,$D:$D,"기준(후)"))</f>
        <v/>
      </c>
      <c r="R576" s="30">
        <f>IF(M576&lt;&gt;"OK","",O576+(Q576-O576)*(H576-N576)/(P576-N576))</f>
        <v/>
      </c>
      <c r="S576" s="30">
        <f>IF(OR(M576&lt;&gt;"OK",NOT(ISNUMBER(L576))),"",L576-R576)</f>
        <v/>
      </c>
      <c r="T576" s="46">
        <f>IF(OR($D575&lt;&gt;"측정",$C575&lt;&gt;$C576,NOT(ISNUMBER(L576)),NOT(ISNUMBER(L575)),(IF(ISNUMBER(F576),F576,E576)-IF(ISNUMBER(F575),F575,E575))=0),"",(L576-L575)/((IF(ISNUMBER(F576),F576,E576)-IF(ISNUMBER(F575),F575,E575))/100))</f>
        <v/>
      </c>
      <c r="U576" s="28" t="n"/>
      <c r="V576" s="28" t="n"/>
      <c r="W576" s="31" t="n"/>
    </row>
    <row r="577">
      <c r="A577" s="25" t="inlineStr">
        <is>
          <t>S48</t>
        </is>
      </c>
      <c r="B577" s="25" t="inlineStr">
        <is>
          <t>삼척</t>
        </is>
      </c>
      <c r="C577" s="25" t="inlineStr">
        <is>
          <t>S48-V</t>
        </is>
      </c>
      <c r="D577" s="25" t="inlineStr">
        <is>
          <t>측정</t>
        </is>
      </c>
      <c r="E577" s="48" t="n">
        <v>160</v>
      </c>
      <c r="F577" s="40" t="n"/>
      <c r="G577" s="28" t="n"/>
      <c r="H577" s="42" t="n"/>
      <c r="I577" s="40" t="n"/>
      <c r="J577" s="40" t="n"/>
      <c r="K577" s="40" t="n"/>
      <c r="L577" s="30">
        <f>IF(COUNT(I577:K577)=0,"",MEDIAN(I577:K577))</f>
        <v/>
      </c>
      <c r="M577" s="25">
        <f>IF(COUNTIFS($C:$C,$C577,$D:$D,"기준(전)",$L:$L,"&gt;0")&lt;&gt;1,"기준(전) 유효 1개 아님",IF(COUNTIFS($C:$C,$C577,$D:$D,"기준(후)",$L:$L,"&gt;0")&lt;&gt;1,"기준(후) 유효 1개 아님",IF(NOT(AND(ISNUMBER(N577),ISNUMBER(P577),ISNUMBER(H577))),"시각 결측",IF(P577&lt;=N577,"기준 시각 역전",IF(OR(H577&lt;N577,H577&gt;P577),"측정시각 구간 밖","OK")))))</f>
        <v/>
      </c>
      <c r="N577" s="45">
        <f>IF(COUNTIFS($C:$C,$C577,$D:$D,"기준(전)",$L:$L,"&gt;0")&lt;&gt;1,"",SUMIFS($H:$H,$C:$C,$C577,$D:$D,"기준(전)"))</f>
        <v/>
      </c>
      <c r="O577" s="30">
        <f>IF(COUNTIFS($C:$C,$C577,$D:$D,"기준(전)",$L:$L,"&gt;0")&lt;&gt;1,"",SUMIFS($L:$L,$C:$C,$C577,$D:$D,"기준(전)"))</f>
        <v/>
      </c>
      <c r="P577" s="45">
        <f>IF(COUNTIFS($C:$C,$C577,$D:$D,"기준(후)",$L:$L,"&gt;0")&lt;&gt;1,"",SUMIFS($H:$H,$C:$C,$C577,$D:$D,"기준(후)"))</f>
        <v/>
      </c>
      <c r="Q577" s="30">
        <f>IF(COUNTIFS($C:$C,$C577,$D:$D,"기준(후)",$L:$L,"&gt;0")&lt;&gt;1,"",SUMIFS($L:$L,$C:$C,$C577,$D:$D,"기준(후)"))</f>
        <v/>
      </c>
      <c r="R577" s="30">
        <f>IF(M577&lt;&gt;"OK","",O577+(Q577-O577)*(H577-N577)/(P577-N577))</f>
        <v/>
      </c>
      <c r="S577" s="30">
        <f>IF(OR(M577&lt;&gt;"OK",NOT(ISNUMBER(L577))),"",L577-R577)</f>
        <v/>
      </c>
      <c r="T577" s="46">
        <f>IF(OR($D576&lt;&gt;"측정",$C576&lt;&gt;$C577,NOT(ISNUMBER(L577)),NOT(ISNUMBER(L576)),(IF(ISNUMBER(F577),F577,E577)-IF(ISNUMBER(F576),F576,E576))=0),"",(L577-L576)/((IF(ISNUMBER(F577),F577,E577)-IF(ISNUMBER(F576),F576,E576))/100))</f>
        <v/>
      </c>
      <c r="U577" s="28" t="n"/>
      <c r="V577" s="28" t="n"/>
      <c r="W577" s="31" t="n"/>
    </row>
    <row r="578">
      <c r="A578" s="25" t="inlineStr">
        <is>
          <t>S48</t>
        </is>
      </c>
      <c r="B578" s="25" t="inlineStr">
        <is>
          <t>삼척</t>
        </is>
      </c>
      <c r="C578" s="25" t="inlineStr">
        <is>
          <t>S48-V</t>
        </is>
      </c>
      <c r="D578" s="25" t="inlineStr">
        <is>
          <t>측정</t>
        </is>
      </c>
      <c r="E578" s="48" t="n">
        <v>180</v>
      </c>
      <c r="F578" s="40" t="n"/>
      <c r="G578" s="28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IF(COUNTIFS($C:$C,$C578,$D:$D,"기준(전)",$L:$L,"&gt;0")&lt;&gt;1,"기준(전) 유효 1개 아님",IF(COUNTIFS($C:$C,$C578,$D:$D,"기준(후)",$L:$L,"&gt;0")&lt;&gt;1,"기준(후) 유효 1개 아님",IF(NOT(AND(ISNUMBER(N578),ISNUMBER(P578),ISNUMBER(H578))),"시각 결측",IF(P578&lt;=N578,"기준 시각 역전",IF(OR(H578&lt;N578,H578&gt;P578),"측정시각 구간 밖","OK")))))</f>
        <v/>
      </c>
      <c r="N578" s="45">
        <f>IF(COUNTIFS($C:$C,$C578,$D:$D,"기준(전)",$L:$L,"&gt;0")&lt;&gt;1,"",SUMIFS($H:$H,$C:$C,$C578,$D:$D,"기준(전)"))</f>
        <v/>
      </c>
      <c r="O578" s="30">
        <f>IF(COUNTIFS($C:$C,$C578,$D:$D,"기준(전)",$L:$L,"&gt;0")&lt;&gt;1,"",SUMIFS($L:$L,$C:$C,$C578,$D:$D,"기준(전)"))</f>
        <v/>
      </c>
      <c r="P578" s="45">
        <f>IF(COUNTIFS($C:$C,$C578,$D:$D,"기준(후)",$L:$L,"&gt;0")&lt;&gt;1,"",SUMIFS($H:$H,$C:$C,$C578,$D:$D,"기준(후)"))</f>
        <v/>
      </c>
      <c r="Q578" s="30">
        <f>IF(COUNTIFS($C:$C,$C578,$D:$D,"기준(후)",$L:$L,"&gt;0")&lt;&gt;1,"",SUMIFS($L:$L,$C:$C,$C578,$D:$D,"기준(후)"))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IF(OR($D577&lt;&gt;"측정",$C577&lt;&gt;$C578,NOT(ISNUMBER(L578)),NOT(ISNUMBER(L577)),(IF(ISNUMBER(F578),F578,E578)-IF(ISNUMBER(F577),F577,E577))=0),"",(L578-L577)/((IF(ISNUMBER(F578),F578,E578)-IF(ISNUMBER(F577),F577,E577))/100))</f>
        <v/>
      </c>
      <c r="U578" s="28" t="n"/>
      <c r="V578" s="28" t="n"/>
      <c r="W578" s="31" t="n"/>
    </row>
    <row r="579">
      <c r="A579" s="25" t="inlineStr">
        <is>
          <t>S48</t>
        </is>
      </c>
      <c r="B579" s="25" t="inlineStr">
        <is>
          <t>삼척</t>
        </is>
      </c>
      <c r="C579" s="25" t="inlineStr">
        <is>
          <t>S48-V</t>
        </is>
      </c>
      <c r="D579" s="25" t="inlineStr">
        <is>
          <t>측정</t>
        </is>
      </c>
      <c r="E579" s="48" t="n">
        <v>200</v>
      </c>
      <c r="F579" s="40" t="n"/>
      <c r="G579" s="28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IF(COUNTIFS($C:$C,$C579,$D:$D,"기준(전)",$L:$L,"&gt;0")&lt;&gt;1,"기준(전) 유효 1개 아님",IF(COUNTIFS($C:$C,$C579,$D:$D,"기준(후)",$L:$L,"&gt;0")&lt;&gt;1,"기준(후) 유효 1개 아님",IF(NOT(AND(ISNUMBER(N579),ISNUMBER(P579),ISNUMBER(H579))),"시각 결측",IF(P579&lt;=N579,"기준 시각 역전",IF(OR(H579&lt;N579,H579&gt;P579),"측정시각 구간 밖","OK")))))</f>
        <v/>
      </c>
      <c r="N579" s="45">
        <f>IF(COUNTIFS($C:$C,$C579,$D:$D,"기준(전)",$L:$L,"&gt;0")&lt;&gt;1,"",SUMIFS($H:$H,$C:$C,$C579,$D:$D,"기준(전)"))</f>
        <v/>
      </c>
      <c r="O579" s="30">
        <f>IF(COUNTIFS($C:$C,$C579,$D:$D,"기준(전)",$L:$L,"&gt;0")&lt;&gt;1,"",SUMIFS($L:$L,$C:$C,$C579,$D:$D,"기준(전)"))</f>
        <v/>
      </c>
      <c r="P579" s="45">
        <f>IF(COUNTIFS($C:$C,$C579,$D:$D,"기준(후)",$L:$L,"&gt;0")&lt;&gt;1,"",SUMIFS($H:$H,$C:$C,$C579,$D:$D,"기준(후)"))</f>
        <v/>
      </c>
      <c r="Q579" s="30">
        <f>IF(COUNTIFS($C:$C,$C579,$D:$D,"기준(후)",$L:$L,"&gt;0")&lt;&gt;1,"",SUMIFS($L:$L,$C:$C,$C579,$D:$D,"기준(후)"))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IF(OR($D578&lt;&gt;"측정",$C578&lt;&gt;$C579,NOT(ISNUMBER(L579)),NOT(ISNUMBER(L578)),(IF(ISNUMBER(F579),F579,E579)-IF(ISNUMBER(F578),F578,E578))=0),"",(L579-L578)/((IF(ISNUMBER(F579),F579,E579)-IF(ISNUMBER(F578),F578,E578))/100))</f>
        <v/>
      </c>
      <c r="U579" s="28" t="n"/>
      <c r="V579" s="28" t="n"/>
      <c r="W579" s="31" t="n"/>
    </row>
    <row r="580">
      <c r="A580" s="43" t="inlineStr">
        <is>
          <t>S48</t>
        </is>
      </c>
      <c r="B580" s="43" t="inlineStr">
        <is>
          <t>삼척</t>
        </is>
      </c>
      <c r="C580" s="43" t="inlineStr">
        <is>
          <t>S48-V</t>
        </is>
      </c>
      <c r="D580" s="43" t="inlineStr">
        <is>
          <t>기준(후)</t>
        </is>
      </c>
      <c r="E580" s="47" t="n"/>
      <c r="F580" s="40" t="n"/>
      <c r="G580" s="28" t="n"/>
      <c r="H580" s="42" t="n"/>
      <c r="I580" s="40" t="n"/>
      <c r="J580" s="40" t="n"/>
      <c r="K580" s="40" t="n"/>
      <c r="L580" s="30">
        <f>IF(COUNT(I580:K580)=0,"",MEDIAN(I580:K580))</f>
        <v/>
      </c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28" t="n"/>
      <c r="V580" s="28" t="n"/>
      <c r="W580" s="31" t="n"/>
    </row>
    <row r="581">
      <c r="A581" s="43" t="inlineStr">
        <is>
          <t>S49</t>
        </is>
      </c>
      <c r="B581" s="43" t="inlineStr">
        <is>
          <t>제천</t>
        </is>
      </c>
      <c r="C581" s="43" t="inlineStr">
        <is>
          <t>S49-V</t>
        </is>
      </c>
      <c r="D581" s="43" t="inlineStr">
        <is>
          <t>기준(전)</t>
        </is>
      </c>
      <c r="E581" s="47" t="n"/>
      <c r="F581" s="40" t="n"/>
      <c r="G581" s="28" t="n"/>
      <c r="H581" s="42" t="n"/>
      <c r="I581" s="40" t="n"/>
      <c r="J581" s="40" t="n"/>
      <c r="K581" s="40" t="n"/>
      <c r="L581" s="30">
        <f>IF(COUNT(I581:K581)=0,"",MEDIAN(I581:K581))</f>
        <v/>
      </c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28" t="n"/>
      <c r="V581" s="28" t="n"/>
      <c r="W581" s="31" t="n"/>
    </row>
    <row r="582">
      <c r="A582" s="25" t="inlineStr">
        <is>
          <t>S49</t>
        </is>
      </c>
      <c r="B582" s="25" t="inlineStr">
        <is>
          <t>제천</t>
        </is>
      </c>
      <c r="C582" s="25" t="inlineStr">
        <is>
          <t>S49-V</t>
        </is>
      </c>
      <c r="D582" s="25" t="inlineStr">
        <is>
          <t>측정</t>
        </is>
      </c>
      <c r="E582" s="48" t="n">
        <v>20</v>
      </c>
      <c r="F582" s="40" t="n"/>
      <c r="G582" s="28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IF(COUNTIFS($C:$C,$C582,$D:$D,"기준(전)",$L:$L,"&gt;0")&lt;&gt;1,"기준(전) 유효 1개 아님",IF(COUNTIFS($C:$C,$C582,$D:$D,"기준(후)",$L:$L,"&gt;0")&lt;&gt;1,"기준(후) 유효 1개 아님",IF(NOT(AND(ISNUMBER(N582),ISNUMBER(P582),ISNUMBER(H582))),"시각 결측",IF(P582&lt;=N582,"기준 시각 역전",IF(OR(H582&lt;N582,H582&gt;P582),"측정시각 구간 밖","OK")))))</f>
        <v/>
      </c>
      <c r="N582" s="45">
        <f>IF(COUNTIFS($C:$C,$C582,$D:$D,"기준(전)",$L:$L,"&gt;0")&lt;&gt;1,"",SUMIFS($H:$H,$C:$C,$C582,$D:$D,"기준(전)"))</f>
        <v/>
      </c>
      <c r="O582" s="30">
        <f>IF(COUNTIFS($C:$C,$C582,$D:$D,"기준(전)",$L:$L,"&gt;0")&lt;&gt;1,"",SUMIFS($L:$L,$C:$C,$C582,$D:$D,"기준(전)"))</f>
        <v/>
      </c>
      <c r="P582" s="45">
        <f>IF(COUNTIFS($C:$C,$C582,$D:$D,"기준(후)",$L:$L,"&gt;0")&lt;&gt;1,"",SUMIFS($H:$H,$C:$C,$C582,$D:$D,"기준(후)"))</f>
        <v/>
      </c>
      <c r="Q582" s="30">
        <f>IF(COUNTIFS($C:$C,$C582,$D:$D,"기준(후)",$L:$L,"&gt;0")&lt;&gt;1,"",SUMIFS($L:$L,$C:$C,$C582,$D:$D,"기준(후)"))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IF(OR($D581&lt;&gt;"측정",$C581&lt;&gt;$C582,NOT(ISNUMBER(L582)),NOT(ISNUMBER(L581)),(IF(ISNUMBER(F582),F582,E582)-IF(ISNUMBER(F581),F581,E581))=0),"",(L582-L581)/((IF(ISNUMBER(F582),F582,E582)-IF(ISNUMBER(F581),F581,E581))/100))</f>
        <v/>
      </c>
      <c r="U582" s="28" t="n"/>
      <c r="V582" s="28" t="n"/>
      <c r="W582" s="31" t="n"/>
    </row>
    <row r="583">
      <c r="A583" s="25" t="inlineStr">
        <is>
          <t>S49</t>
        </is>
      </c>
      <c r="B583" s="25" t="inlineStr">
        <is>
          <t>제천</t>
        </is>
      </c>
      <c r="C583" s="25" t="inlineStr">
        <is>
          <t>S49-V</t>
        </is>
      </c>
      <c r="D583" s="25" t="inlineStr">
        <is>
          <t>측정</t>
        </is>
      </c>
      <c r="E583" s="48" t="n">
        <v>40</v>
      </c>
      <c r="F583" s="40" t="n"/>
      <c r="G583" s="28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IF(COUNTIFS($C:$C,$C583,$D:$D,"기준(전)",$L:$L,"&gt;0")&lt;&gt;1,"기준(전) 유효 1개 아님",IF(COUNTIFS($C:$C,$C583,$D:$D,"기준(후)",$L:$L,"&gt;0")&lt;&gt;1,"기준(후) 유효 1개 아님",IF(NOT(AND(ISNUMBER(N583),ISNUMBER(P583),ISNUMBER(H583))),"시각 결측",IF(P583&lt;=N583,"기준 시각 역전",IF(OR(H583&lt;N583,H583&gt;P583),"측정시각 구간 밖","OK")))))</f>
        <v/>
      </c>
      <c r="N583" s="45">
        <f>IF(COUNTIFS($C:$C,$C583,$D:$D,"기준(전)",$L:$L,"&gt;0")&lt;&gt;1,"",SUMIFS($H:$H,$C:$C,$C583,$D:$D,"기준(전)"))</f>
        <v/>
      </c>
      <c r="O583" s="30">
        <f>IF(COUNTIFS($C:$C,$C583,$D:$D,"기준(전)",$L:$L,"&gt;0")&lt;&gt;1,"",SUMIFS($L:$L,$C:$C,$C583,$D:$D,"기준(전)"))</f>
        <v/>
      </c>
      <c r="P583" s="45">
        <f>IF(COUNTIFS($C:$C,$C583,$D:$D,"기준(후)",$L:$L,"&gt;0")&lt;&gt;1,"",SUMIFS($H:$H,$C:$C,$C583,$D:$D,"기준(후)"))</f>
        <v/>
      </c>
      <c r="Q583" s="30">
        <f>IF(COUNTIFS($C:$C,$C583,$D:$D,"기준(후)",$L:$L,"&gt;0")&lt;&gt;1,"",SUMIFS($L:$L,$C:$C,$C583,$D:$D,"기준(후)"))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IF(OR($D582&lt;&gt;"측정",$C582&lt;&gt;$C583,NOT(ISNUMBER(L583)),NOT(ISNUMBER(L582)),(IF(ISNUMBER(F583),F583,E583)-IF(ISNUMBER(F582),F582,E582))=0),"",(L583-L582)/((IF(ISNUMBER(F583),F583,E583)-IF(ISNUMBER(F582),F582,E582))/100))</f>
        <v/>
      </c>
      <c r="U583" s="28" t="n"/>
      <c r="V583" s="28" t="n"/>
      <c r="W583" s="31" t="n"/>
    </row>
    <row r="584">
      <c r="A584" s="25" t="inlineStr">
        <is>
          <t>S49</t>
        </is>
      </c>
      <c r="B584" s="25" t="inlineStr">
        <is>
          <t>제천</t>
        </is>
      </c>
      <c r="C584" s="25" t="inlineStr">
        <is>
          <t>S49-V</t>
        </is>
      </c>
      <c r="D584" s="25" t="inlineStr">
        <is>
          <t>측정</t>
        </is>
      </c>
      <c r="E584" s="48" t="n">
        <v>60</v>
      </c>
      <c r="F584" s="40" t="n"/>
      <c r="G584" s="28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IF(COUNTIFS($C:$C,$C584,$D:$D,"기준(전)",$L:$L,"&gt;0")&lt;&gt;1,"기준(전) 유효 1개 아님",IF(COUNTIFS($C:$C,$C584,$D:$D,"기준(후)",$L:$L,"&gt;0")&lt;&gt;1,"기준(후) 유효 1개 아님",IF(NOT(AND(ISNUMBER(N584),ISNUMBER(P584),ISNUMBER(H584))),"시각 결측",IF(P584&lt;=N584,"기준 시각 역전",IF(OR(H584&lt;N584,H584&gt;P584),"측정시각 구간 밖","OK")))))</f>
        <v/>
      </c>
      <c r="N584" s="45">
        <f>IF(COUNTIFS($C:$C,$C584,$D:$D,"기준(전)",$L:$L,"&gt;0")&lt;&gt;1,"",SUMIFS($H:$H,$C:$C,$C584,$D:$D,"기준(전)"))</f>
        <v/>
      </c>
      <c r="O584" s="30">
        <f>IF(COUNTIFS($C:$C,$C584,$D:$D,"기준(전)",$L:$L,"&gt;0")&lt;&gt;1,"",SUMIFS($L:$L,$C:$C,$C584,$D:$D,"기준(전)"))</f>
        <v/>
      </c>
      <c r="P584" s="45">
        <f>IF(COUNTIFS($C:$C,$C584,$D:$D,"기준(후)",$L:$L,"&gt;0")&lt;&gt;1,"",SUMIFS($H:$H,$C:$C,$C584,$D:$D,"기준(후)"))</f>
        <v/>
      </c>
      <c r="Q584" s="30">
        <f>IF(COUNTIFS($C:$C,$C584,$D:$D,"기준(후)",$L:$L,"&gt;0")&lt;&gt;1,"",SUMIFS($L:$L,$C:$C,$C584,$D:$D,"기준(후)"))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IF(OR($D583&lt;&gt;"측정",$C583&lt;&gt;$C584,NOT(ISNUMBER(L584)),NOT(ISNUMBER(L583)),(IF(ISNUMBER(F584),F584,E584)-IF(ISNUMBER(F583),F583,E583))=0),"",(L584-L583)/((IF(ISNUMBER(F584),F584,E584)-IF(ISNUMBER(F583),F583,E583))/100))</f>
        <v/>
      </c>
      <c r="U584" s="28" t="n"/>
      <c r="V584" s="28" t="n"/>
      <c r="W584" s="31" t="n"/>
    </row>
    <row r="585">
      <c r="A585" s="25" t="inlineStr">
        <is>
          <t>S49</t>
        </is>
      </c>
      <c r="B585" s="25" t="inlineStr">
        <is>
          <t>제천</t>
        </is>
      </c>
      <c r="C585" s="25" t="inlineStr">
        <is>
          <t>S49-V</t>
        </is>
      </c>
      <c r="D585" s="25" t="inlineStr">
        <is>
          <t>측정</t>
        </is>
      </c>
      <c r="E585" s="48" t="n">
        <v>80</v>
      </c>
      <c r="F585" s="40" t="n"/>
      <c r="G585" s="28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IF(COUNTIFS($C:$C,$C585,$D:$D,"기준(전)",$L:$L,"&gt;0")&lt;&gt;1,"기준(전) 유효 1개 아님",IF(COUNTIFS($C:$C,$C585,$D:$D,"기준(후)",$L:$L,"&gt;0")&lt;&gt;1,"기준(후) 유효 1개 아님",IF(NOT(AND(ISNUMBER(N585),ISNUMBER(P585),ISNUMBER(H585))),"시각 결측",IF(P585&lt;=N585,"기준 시각 역전",IF(OR(H585&lt;N585,H585&gt;P585),"측정시각 구간 밖","OK")))))</f>
        <v/>
      </c>
      <c r="N585" s="45">
        <f>IF(COUNTIFS($C:$C,$C585,$D:$D,"기준(전)",$L:$L,"&gt;0")&lt;&gt;1,"",SUMIFS($H:$H,$C:$C,$C585,$D:$D,"기준(전)"))</f>
        <v/>
      </c>
      <c r="O585" s="30">
        <f>IF(COUNTIFS($C:$C,$C585,$D:$D,"기준(전)",$L:$L,"&gt;0")&lt;&gt;1,"",SUMIFS($L:$L,$C:$C,$C585,$D:$D,"기준(전)"))</f>
        <v/>
      </c>
      <c r="P585" s="45">
        <f>IF(COUNTIFS($C:$C,$C585,$D:$D,"기준(후)",$L:$L,"&gt;0")&lt;&gt;1,"",SUMIFS($H:$H,$C:$C,$C585,$D:$D,"기준(후)"))</f>
        <v/>
      </c>
      <c r="Q585" s="30">
        <f>IF(COUNTIFS($C:$C,$C585,$D:$D,"기준(후)",$L:$L,"&gt;0")&lt;&gt;1,"",SUMIFS($L:$L,$C:$C,$C585,$D:$D,"기준(후)"))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IF(OR($D584&lt;&gt;"측정",$C584&lt;&gt;$C585,NOT(ISNUMBER(L585)),NOT(ISNUMBER(L584)),(IF(ISNUMBER(F585),F585,E585)-IF(ISNUMBER(F584),F584,E584))=0),"",(L585-L584)/((IF(ISNUMBER(F585),F585,E585)-IF(ISNUMBER(F584),F584,E584))/100))</f>
        <v/>
      </c>
      <c r="U585" s="28" t="n"/>
      <c r="V585" s="28" t="n"/>
      <c r="W585" s="31" t="n"/>
    </row>
    <row r="586">
      <c r="A586" s="25" t="inlineStr">
        <is>
          <t>S49</t>
        </is>
      </c>
      <c r="B586" s="25" t="inlineStr">
        <is>
          <t>제천</t>
        </is>
      </c>
      <c r="C586" s="25" t="inlineStr">
        <is>
          <t>S49-V</t>
        </is>
      </c>
      <c r="D586" s="25" t="inlineStr">
        <is>
          <t>측정</t>
        </is>
      </c>
      <c r="E586" s="48" t="n">
        <v>100</v>
      </c>
      <c r="F586" s="40" t="n"/>
      <c r="G586" s="28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IF(COUNTIFS($C:$C,$C586,$D:$D,"기준(전)",$L:$L,"&gt;0")&lt;&gt;1,"기준(전) 유효 1개 아님",IF(COUNTIFS($C:$C,$C586,$D:$D,"기준(후)",$L:$L,"&gt;0")&lt;&gt;1,"기준(후) 유효 1개 아님",IF(NOT(AND(ISNUMBER(N586),ISNUMBER(P586),ISNUMBER(H586))),"시각 결측",IF(P586&lt;=N586,"기준 시각 역전",IF(OR(H586&lt;N586,H586&gt;P586),"측정시각 구간 밖","OK")))))</f>
        <v/>
      </c>
      <c r="N586" s="45">
        <f>IF(COUNTIFS($C:$C,$C586,$D:$D,"기준(전)",$L:$L,"&gt;0")&lt;&gt;1,"",SUMIFS($H:$H,$C:$C,$C586,$D:$D,"기준(전)"))</f>
        <v/>
      </c>
      <c r="O586" s="30">
        <f>IF(COUNTIFS($C:$C,$C586,$D:$D,"기준(전)",$L:$L,"&gt;0")&lt;&gt;1,"",SUMIFS($L:$L,$C:$C,$C586,$D:$D,"기준(전)"))</f>
        <v/>
      </c>
      <c r="P586" s="45">
        <f>IF(COUNTIFS($C:$C,$C586,$D:$D,"기준(후)",$L:$L,"&gt;0")&lt;&gt;1,"",SUMIFS($H:$H,$C:$C,$C586,$D:$D,"기준(후)"))</f>
        <v/>
      </c>
      <c r="Q586" s="30">
        <f>IF(COUNTIFS($C:$C,$C586,$D:$D,"기준(후)",$L:$L,"&gt;0")&lt;&gt;1,"",SUMIFS($L:$L,$C:$C,$C586,$D:$D,"기준(후)"))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IF(OR($D585&lt;&gt;"측정",$C585&lt;&gt;$C586,NOT(ISNUMBER(L586)),NOT(ISNUMBER(L585)),(IF(ISNUMBER(F586),F586,E586)-IF(ISNUMBER(F585),F585,E585))=0),"",(L586-L585)/((IF(ISNUMBER(F586),F586,E586)-IF(ISNUMBER(F585),F585,E585))/100))</f>
        <v/>
      </c>
      <c r="U586" s="28" t="n"/>
      <c r="V586" s="28" t="n"/>
      <c r="W586" s="31" t="n"/>
    </row>
    <row r="587">
      <c r="A587" s="25" t="inlineStr">
        <is>
          <t>S49</t>
        </is>
      </c>
      <c r="B587" s="25" t="inlineStr">
        <is>
          <t>제천</t>
        </is>
      </c>
      <c r="C587" s="25" t="inlineStr">
        <is>
          <t>S49-V</t>
        </is>
      </c>
      <c r="D587" s="25" t="inlineStr">
        <is>
          <t>측정</t>
        </is>
      </c>
      <c r="E587" s="48" t="n">
        <v>120</v>
      </c>
      <c r="F587" s="40" t="n"/>
      <c r="G587" s="28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IF(COUNTIFS($C:$C,$C587,$D:$D,"기준(전)",$L:$L,"&gt;0")&lt;&gt;1,"기준(전) 유효 1개 아님",IF(COUNTIFS($C:$C,$C587,$D:$D,"기준(후)",$L:$L,"&gt;0")&lt;&gt;1,"기준(후) 유효 1개 아님",IF(NOT(AND(ISNUMBER(N587),ISNUMBER(P587),ISNUMBER(H587))),"시각 결측",IF(P587&lt;=N587,"기준 시각 역전",IF(OR(H587&lt;N587,H587&gt;P587),"측정시각 구간 밖","OK")))))</f>
        <v/>
      </c>
      <c r="N587" s="45">
        <f>IF(COUNTIFS($C:$C,$C587,$D:$D,"기준(전)",$L:$L,"&gt;0")&lt;&gt;1,"",SUMIFS($H:$H,$C:$C,$C587,$D:$D,"기준(전)"))</f>
        <v/>
      </c>
      <c r="O587" s="30">
        <f>IF(COUNTIFS($C:$C,$C587,$D:$D,"기준(전)",$L:$L,"&gt;0")&lt;&gt;1,"",SUMIFS($L:$L,$C:$C,$C587,$D:$D,"기준(전)"))</f>
        <v/>
      </c>
      <c r="P587" s="45">
        <f>IF(COUNTIFS($C:$C,$C587,$D:$D,"기준(후)",$L:$L,"&gt;0")&lt;&gt;1,"",SUMIFS($H:$H,$C:$C,$C587,$D:$D,"기준(후)"))</f>
        <v/>
      </c>
      <c r="Q587" s="30">
        <f>IF(COUNTIFS($C:$C,$C587,$D:$D,"기준(후)",$L:$L,"&gt;0")&lt;&gt;1,"",SUMIFS($L:$L,$C:$C,$C587,$D:$D,"기준(후)"))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IF(OR($D586&lt;&gt;"측정",$C586&lt;&gt;$C587,NOT(ISNUMBER(L587)),NOT(ISNUMBER(L586)),(IF(ISNUMBER(F587),F587,E587)-IF(ISNUMBER(F586),F586,E586))=0),"",(L587-L586)/((IF(ISNUMBER(F587),F587,E587)-IF(ISNUMBER(F586),F586,E586))/100))</f>
        <v/>
      </c>
      <c r="U587" s="28" t="n"/>
      <c r="V587" s="28" t="n"/>
      <c r="W587" s="31" t="n"/>
    </row>
    <row r="588">
      <c r="A588" s="25" t="inlineStr">
        <is>
          <t>S49</t>
        </is>
      </c>
      <c r="B588" s="25" t="inlineStr">
        <is>
          <t>제천</t>
        </is>
      </c>
      <c r="C588" s="25" t="inlineStr">
        <is>
          <t>S49-V</t>
        </is>
      </c>
      <c r="D588" s="25" t="inlineStr">
        <is>
          <t>측정</t>
        </is>
      </c>
      <c r="E588" s="48" t="n">
        <v>140</v>
      </c>
      <c r="F588" s="40" t="n"/>
      <c r="G588" s="28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IF(COUNTIFS($C:$C,$C588,$D:$D,"기준(전)",$L:$L,"&gt;0")&lt;&gt;1,"기준(전) 유효 1개 아님",IF(COUNTIFS($C:$C,$C588,$D:$D,"기준(후)",$L:$L,"&gt;0")&lt;&gt;1,"기준(후) 유효 1개 아님",IF(NOT(AND(ISNUMBER(N588),ISNUMBER(P588),ISNUMBER(H588))),"시각 결측",IF(P588&lt;=N588,"기준 시각 역전",IF(OR(H588&lt;N588,H588&gt;P588),"측정시각 구간 밖","OK")))))</f>
        <v/>
      </c>
      <c r="N588" s="45">
        <f>IF(COUNTIFS($C:$C,$C588,$D:$D,"기준(전)",$L:$L,"&gt;0")&lt;&gt;1,"",SUMIFS($H:$H,$C:$C,$C588,$D:$D,"기준(전)"))</f>
        <v/>
      </c>
      <c r="O588" s="30">
        <f>IF(COUNTIFS($C:$C,$C588,$D:$D,"기준(전)",$L:$L,"&gt;0")&lt;&gt;1,"",SUMIFS($L:$L,$C:$C,$C588,$D:$D,"기준(전)"))</f>
        <v/>
      </c>
      <c r="P588" s="45">
        <f>IF(COUNTIFS($C:$C,$C588,$D:$D,"기준(후)",$L:$L,"&gt;0")&lt;&gt;1,"",SUMIFS($H:$H,$C:$C,$C588,$D:$D,"기준(후)"))</f>
        <v/>
      </c>
      <c r="Q588" s="30">
        <f>IF(COUNTIFS($C:$C,$C588,$D:$D,"기준(후)",$L:$L,"&gt;0")&lt;&gt;1,"",SUMIFS($L:$L,$C:$C,$C588,$D:$D,"기준(후)"))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IF(OR($D587&lt;&gt;"측정",$C587&lt;&gt;$C588,NOT(ISNUMBER(L588)),NOT(ISNUMBER(L587)),(IF(ISNUMBER(F588),F588,E588)-IF(ISNUMBER(F587),F587,E587))=0),"",(L588-L587)/((IF(ISNUMBER(F588),F588,E588)-IF(ISNUMBER(F587),F587,E587))/100))</f>
        <v/>
      </c>
      <c r="U588" s="28" t="n"/>
      <c r="V588" s="28" t="n"/>
      <c r="W588" s="31" t="n"/>
    </row>
    <row r="589">
      <c r="A589" s="25" t="inlineStr">
        <is>
          <t>S49</t>
        </is>
      </c>
      <c r="B589" s="25" t="inlineStr">
        <is>
          <t>제천</t>
        </is>
      </c>
      <c r="C589" s="25" t="inlineStr">
        <is>
          <t>S49-V</t>
        </is>
      </c>
      <c r="D589" s="25" t="inlineStr">
        <is>
          <t>측정</t>
        </is>
      </c>
      <c r="E589" s="48" t="n">
        <v>160</v>
      </c>
      <c r="F589" s="40" t="n"/>
      <c r="G589" s="28" t="n"/>
      <c r="H589" s="42" t="n"/>
      <c r="I589" s="40" t="n"/>
      <c r="J589" s="40" t="n"/>
      <c r="K589" s="40" t="n"/>
      <c r="L589" s="30">
        <f>IF(COUNT(I589:K589)=0,"",MEDIAN(I589:K589))</f>
        <v/>
      </c>
      <c r="M589" s="25">
        <f>IF(COUNTIFS($C:$C,$C589,$D:$D,"기준(전)",$L:$L,"&gt;0")&lt;&gt;1,"기준(전) 유효 1개 아님",IF(COUNTIFS($C:$C,$C589,$D:$D,"기준(후)",$L:$L,"&gt;0")&lt;&gt;1,"기준(후) 유효 1개 아님",IF(NOT(AND(ISNUMBER(N589),ISNUMBER(P589),ISNUMBER(H589))),"시각 결측",IF(P589&lt;=N589,"기준 시각 역전",IF(OR(H589&lt;N589,H589&gt;P589),"측정시각 구간 밖","OK")))))</f>
        <v/>
      </c>
      <c r="N589" s="45">
        <f>IF(COUNTIFS($C:$C,$C589,$D:$D,"기준(전)",$L:$L,"&gt;0")&lt;&gt;1,"",SUMIFS($H:$H,$C:$C,$C589,$D:$D,"기준(전)"))</f>
        <v/>
      </c>
      <c r="O589" s="30">
        <f>IF(COUNTIFS($C:$C,$C589,$D:$D,"기준(전)",$L:$L,"&gt;0")&lt;&gt;1,"",SUMIFS($L:$L,$C:$C,$C589,$D:$D,"기준(전)"))</f>
        <v/>
      </c>
      <c r="P589" s="45">
        <f>IF(COUNTIFS($C:$C,$C589,$D:$D,"기준(후)",$L:$L,"&gt;0")&lt;&gt;1,"",SUMIFS($H:$H,$C:$C,$C589,$D:$D,"기준(후)"))</f>
        <v/>
      </c>
      <c r="Q589" s="30">
        <f>IF(COUNTIFS($C:$C,$C589,$D:$D,"기준(후)",$L:$L,"&gt;0")&lt;&gt;1,"",SUMIFS($L:$L,$C:$C,$C589,$D:$D,"기준(후)"))</f>
        <v/>
      </c>
      <c r="R589" s="30">
        <f>IF(M589&lt;&gt;"OK","",O589+(Q589-O589)*(H589-N589)/(P589-N589))</f>
        <v/>
      </c>
      <c r="S589" s="30">
        <f>IF(OR(M589&lt;&gt;"OK",NOT(ISNUMBER(L589))),"",L589-R589)</f>
        <v/>
      </c>
      <c r="T589" s="46">
        <f>IF(OR($D588&lt;&gt;"측정",$C588&lt;&gt;$C589,NOT(ISNUMBER(L589)),NOT(ISNUMBER(L588)),(IF(ISNUMBER(F589),F589,E589)-IF(ISNUMBER(F588),F588,E588))=0),"",(L589-L588)/((IF(ISNUMBER(F589),F589,E589)-IF(ISNUMBER(F588),F588,E588))/100))</f>
        <v/>
      </c>
      <c r="U589" s="28" t="n"/>
      <c r="V589" s="28" t="n"/>
      <c r="W589" s="31" t="n"/>
    </row>
    <row r="590">
      <c r="A590" s="25" t="inlineStr">
        <is>
          <t>S49</t>
        </is>
      </c>
      <c r="B590" s="25" t="inlineStr">
        <is>
          <t>제천</t>
        </is>
      </c>
      <c r="C590" s="25" t="inlineStr">
        <is>
          <t>S49-V</t>
        </is>
      </c>
      <c r="D590" s="25" t="inlineStr">
        <is>
          <t>측정</t>
        </is>
      </c>
      <c r="E590" s="48" t="n">
        <v>180</v>
      </c>
      <c r="F590" s="40" t="n"/>
      <c r="G590" s="28" t="n"/>
      <c r="H590" s="42" t="n"/>
      <c r="I590" s="40" t="n"/>
      <c r="J590" s="40" t="n"/>
      <c r="K590" s="40" t="n"/>
      <c r="L590" s="30">
        <f>IF(COUNT(I590:K590)=0,"",MEDIAN(I590:K590))</f>
        <v/>
      </c>
      <c r="M590" s="25">
        <f>IF(COUNTIFS($C:$C,$C590,$D:$D,"기준(전)",$L:$L,"&gt;0")&lt;&gt;1,"기준(전) 유효 1개 아님",IF(COUNTIFS($C:$C,$C590,$D:$D,"기준(후)",$L:$L,"&gt;0")&lt;&gt;1,"기준(후) 유효 1개 아님",IF(NOT(AND(ISNUMBER(N590),ISNUMBER(P590),ISNUMBER(H590))),"시각 결측",IF(P590&lt;=N590,"기준 시각 역전",IF(OR(H590&lt;N590,H590&gt;P590),"측정시각 구간 밖","OK")))))</f>
        <v/>
      </c>
      <c r="N590" s="45">
        <f>IF(COUNTIFS($C:$C,$C590,$D:$D,"기준(전)",$L:$L,"&gt;0")&lt;&gt;1,"",SUMIFS($H:$H,$C:$C,$C590,$D:$D,"기준(전)"))</f>
        <v/>
      </c>
      <c r="O590" s="30">
        <f>IF(COUNTIFS($C:$C,$C590,$D:$D,"기준(전)",$L:$L,"&gt;0")&lt;&gt;1,"",SUMIFS($L:$L,$C:$C,$C590,$D:$D,"기준(전)"))</f>
        <v/>
      </c>
      <c r="P590" s="45">
        <f>IF(COUNTIFS($C:$C,$C590,$D:$D,"기준(후)",$L:$L,"&gt;0")&lt;&gt;1,"",SUMIFS($H:$H,$C:$C,$C590,$D:$D,"기준(후)"))</f>
        <v/>
      </c>
      <c r="Q590" s="30">
        <f>IF(COUNTIFS($C:$C,$C590,$D:$D,"기준(후)",$L:$L,"&gt;0")&lt;&gt;1,"",SUMIFS($L:$L,$C:$C,$C590,$D:$D,"기준(후)"))</f>
        <v/>
      </c>
      <c r="R590" s="30">
        <f>IF(M590&lt;&gt;"OK","",O590+(Q590-O590)*(H590-N590)/(P590-N590))</f>
        <v/>
      </c>
      <c r="S590" s="30">
        <f>IF(OR(M590&lt;&gt;"OK",NOT(ISNUMBER(L590))),"",L590-R590)</f>
        <v/>
      </c>
      <c r="T590" s="46">
        <f>IF(OR($D589&lt;&gt;"측정",$C589&lt;&gt;$C590,NOT(ISNUMBER(L590)),NOT(ISNUMBER(L589)),(IF(ISNUMBER(F590),F590,E590)-IF(ISNUMBER(F589),F589,E589))=0),"",(L590-L589)/((IF(ISNUMBER(F590),F590,E590)-IF(ISNUMBER(F589),F589,E589))/100))</f>
        <v/>
      </c>
      <c r="U590" s="28" t="n"/>
      <c r="V590" s="28" t="n"/>
      <c r="W590" s="31" t="n"/>
    </row>
    <row r="591">
      <c r="A591" s="25" t="inlineStr">
        <is>
          <t>S49</t>
        </is>
      </c>
      <c r="B591" s="25" t="inlineStr">
        <is>
          <t>제천</t>
        </is>
      </c>
      <c r="C591" s="25" t="inlineStr">
        <is>
          <t>S49-V</t>
        </is>
      </c>
      <c r="D591" s="25" t="inlineStr">
        <is>
          <t>측정</t>
        </is>
      </c>
      <c r="E591" s="48" t="n">
        <v>200</v>
      </c>
      <c r="F591" s="40" t="n"/>
      <c r="G591" s="28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IF(COUNTIFS($C:$C,$C591,$D:$D,"기준(전)",$L:$L,"&gt;0")&lt;&gt;1,"기준(전) 유효 1개 아님",IF(COUNTIFS($C:$C,$C591,$D:$D,"기준(후)",$L:$L,"&gt;0")&lt;&gt;1,"기준(후) 유효 1개 아님",IF(NOT(AND(ISNUMBER(N591),ISNUMBER(P591),ISNUMBER(H591))),"시각 결측",IF(P591&lt;=N591,"기준 시각 역전",IF(OR(H591&lt;N591,H591&gt;P591),"측정시각 구간 밖","OK")))))</f>
        <v/>
      </c>
      <c r="N591" s="45">
        <f>IF(COUNTIFS($C:$C,$C591,$D:$D,"기준(전)",$L:$L,"&gt;0")&lt;&gt;1,"",SUMIFS($H:$H,$C:$C,$C591,$D:$D,"기준(전)"))</f>
        <v/>
      </c>
      <c r="O591" s="30">
        <f>IF(COUNTIFS($C:$C,$C591,$D:$D,"기준(전)",$L:$L,"&gt;0")&lt;&gt;1,"",SUMIFS($L:$L,$C:$C,$C591,$D:$D,"기준(전)"))</f>
        <v/>
      </c>
      <c r="P591" s="45">
        <f>IF(COUNTIFS($C:$C,$C591,$D:$D,"기준(후)",$L:$L,"&gt;0")&lt;&gt;1,"",SUMIFS($H:$H,$C:$C,$C591,$D:$D,"기준(후)"))</f>
        <v/>
      </c>
      <c r="Q591" s="30">
        <f>IF(COUNTIFS($C:$C,$C591,$D:$D,"기준(후)",$L:$L,"&gt;0")&lt;&gt;1,"",SUMIFS($L:$L,$C:$C,$C591,$D:$D,"기준(후)"))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IF(OR($D590&lt;&gt;"측정",$C590&lt;&gt;$C591,NOT(ISNUMBER(L591)),NOT(ISNUMBER(L590)),(IF(ISNUMBER(F591),F591,E591)-IF(ISNUMBER(F590),F590,E590))=0),"",(L591-L590)/((IF(ISNUMBER(F591),F591,E591)-IF(ISNUMBER(F590),F590,E590))/100))</f>
        <v/>
      </c>
      <c r="U591" s="28" t="n"/>
      <c r="V591" s="28" t="n"/>
      <c r="W591" s="31" t="n"/>
    </row>
    <row r="592">
      <c r="A592" s="43" t="inlineStr">
        <is>
          <t>S49</t>
        </is>
      </c>
      <c r="B592" s="43" t="inlineStr">
        <is>
          <t>제천</t>
        </is>
      </c>
      <c r="C592" s="43" t="inlineStr">
        <is>
          <t>S49-V</t>
        </is>
      </c>
      <c r="D592" s="43" t="inlineStr">
        <is>
          <t>기준(후)</t>
        </is>
      </c>
      <c r="E592" s="47" t="n"/>
      <c r="F592" s="40" t="n"/>
      <c r="G592" s="28" t="n"/>
      <c r="H592" s="42" t="n"/>
      <c r="I592" s="40" t="n"/>
      <c r="J592" s="40" t="n"/>
      <c r="K592" s="40" t="n"/>
      <c r="L592" s="30">
        <f>IF(COUNT(I592:K592)=0,"",MEDIAN(I592:K592))</f>
        <v/>
      </c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28" t="n"/>
      <c r="V592" s="28" t="n"/>
      <c r="W592" s="31" t="n"/>
    </row>
    <row r="593">
      <c r="A593" s="43" t="inlineStr">
        <is>
          <t>S50</t>
        </is>
      </c>
      <c r="B593" s="43" t="inlineStr">
        <is>
          <t>함양</t>
        </is>
      </c>
      <c r="C593" s="43" t="inlineStr">
        <is>
          <t>S50-V</t>
        </is>
      </c>
      <c r="D593" s="43" t="inlineStr">
        <is>
          <t>기준(전)</t>
        </is>
      </c>
      <c r="E593" s="47" t="n"/>
      <c r="F593" s="40" t="n"/>
      <c r="G593" s="28" t="n"/>
      <c r="H593" s="42" t="n"/>
      <c r="I593" s="40" t="n"/>
      <c r="J593" s="40" t="n"/>
      <c r="K593" s="40" t="n"/>
      <c r="L593" s="30">
        <f>IF(COUNT(I593:K593)=0,"",MEDIAN(I593:K593))</f>
        <v/>
      </c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28" t="n"/>
      <c r="V593" s="28" t="n"/>
      <c r="W593" s="31" t="n"/>
    </row>
    <row r="594">
      <c r="A594" s="25" t="inlineStr">
        <is>
          <t>S50</t>
        </is>
      </c>
      <c r="B594" s="25" t="inlineStr">
        <is>
          <t>함양</t>
        </is>
      </c>
      <c r="C594" s="25" t="inlineStr">
        <is>
          <t>S50-V</t>
        </is>
      </c>
      <c r="D594" s="25" t="inlineStr">
        <is>
          <t>측정</t>
        </is>
      </c>
      <c r="E594" s="48" t="n">
        <v>20</v>
      </c>
      <c r="F594" s="40" t="n"/>
      <c r="G594" s="28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IF(COUNTIFS($C:$C,$C594,$D:$D,"기준(전)",$L:$L,"&gt;0")&lt;&gt;1,"기준(전) 유효 1개 아님",IF(COUNTIFS($C:$C,$C594,$D:$D,"기준(후)",$L:$L,"&gt;0")&lt;&gt;1,"기준(후) 유효 1개 아님",IF(NOT(AND(ISNUMBER(N594),ISNUMBER(P594),ISNUMBER(H594))),"시각 결측",IF(P594&lt;=N594,"기준 시각 역전",IF(OR(H594&lt;N594,H594&gt;P594),"측정시각 구간 밖","OK")))))</f>
        <v/>
      </c>
      <c r="N594" s="45">
        <f>IF(COUNTIFS($C:$C,$C594,$D:$D,"기준(전)",$L:$L,"&gt;0")&lt;&gt;1,"",SUMIFS($H:$H,$C:$C,$C594,$D:$D,"기준(전)"))</f>
        <v/>
      </c>
      <c r="O594" s="30">
        <f>IF(COUNTIFS($C:$C,$C594,$D:$D,"기준(전)",$L:$L,"&gt;0")&lt;&gt;1,"",SUMIFS($L:$L,$C:$C,$C594,$D:$D,"기준(전)"))</f>
        <v/>
      </c>
      <c r="P594" s="45">
        <f>IF(COUNTIFS($C:$C,$C594,$D:$D,"기준(후)",$L:$L,"&gt;0")&lt;&gt;1,"",SUMIFS($H:$H,$C:$C,$C594,$D:$D,"기준(후)"))</f>
        <v/>
      </c>
      <c r="Q594" s="30">
        <f>IF(COUNTIFS($C:$C,$C594,$D:$D,"기준(후)",$L:$L,"&gt;0")&lt;&gt;1,"",SUMIFS($L:$L,$C:$C,$C594,$D:$D,"기준(후)"))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IF(OR($D593&lt;&gt;"측정",$C593&lt;&gt;$C594,NOT(ISNUMBER(L594)),NOT(ISNUMBER(L593)),(IF(ISNUMBER(F594),F594,E594)-IF(ISNUMBER(F593),F593,E593))=0),"",(L594-L593)/((IF(ISNUMBER(F594),F594,E594)-IF(ISNUMBER(F593),F593,E593))/100))</f>
        <v/>
      </c>
      <c r="U594" s="28" t="n"/>
      <c r="V594" s="28" t="n"/>
      <c r="W594" s="31" t="n"/>
    </row>
    <row r="595">
      <c r="A595" s="25" t="inlineStr">
        <is>
          <t>S50</t>
        </is>
      </c>
      <c r="B595" s="25" t="inlineStr">
        <is>
          <t>함양</t>
        </is>
      </c>
      <c r="C595" s="25" t="inlineStr">
        <is>
          <t>S50-V</t>
        </is>
      </c>
      <c r="D595" s="25" t="inlineStr">
        <is>
          <t>측정</t>
        </is>
      </c>
      <c r="E595" s="48" t="n">
        <v>40</v>
      </c>
      <c r="F595" s="40" t="n"/>
      <c r="G595" s="28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IF(COUNTIFS($C:$C,$C595,$D:$D,"기준(전)",$L:$L,"&gt;0")&lt;&gt;1,"기준(전) 유효 1개 아님",IF(COUNTIFS($C:$C,$C595,$D:$D,"기준(후)",$L:$L,"&gt;0")&lt;&gt;1,"기준(후) 유효 1개 아님",IF(NOT(AND(ISNUMBER(N595),ISNUMBER(P595),ISNUMBER(H595))),"시각 결측",IF(P595&lt;=N595,"기준 시각 역전",IF(OR(H595&lt;N595,H595&gt;P595),"측정시각 구간 밖","OK")))))</f>
        <v/>
      </c>
      <c r="N595" s="45">
        <f>IF(COUNTIFS($C:$C,$C595,$D:$D,"기준(전)",$L:$L,"&gt;0")&lt;&gt;1,"",SUMIFS($H:$H,$C:$C,$C595,$D:$D,"기준(전)"))</f>
        <v/>
      </c>
      <c r="O595" s="30">
        <f>IF(COUNTIFS($C:$C,$C595,$D:$D,"기준(전)",$L:$L,"&gt;0")&lt;&gt;1,"",SUMIFS($L:$L,$C:$C,$C595,$D:$D,"기준(전)"))</f>
        <v/>
      </c>
      <c r="P595" s="45">
        <f>IF(COUNTIFS($C:$C,$C595,$D:$D,"기준(후)",$L:$L,"&gt;0")&lt;&gt;1,"",SUMIFS($H:$H,$C:$C,$C595,$D:$D,"기준(후)"))</f>
        <v/>
      </c>
      <c r="Q595" s="30">
        <f>IF(COUNTIFS($C:$C,$C595,$D:$D,"기준(후)",$L:$L,"&gt;0")&lt;&gt;1,"",SUMIFS($L:$L,$C:$C,$C595,$D:$D,"기준(후)"))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IF(OR($D594&lt;&gt;"측정",$C594&lt;&gt;$C595,NOT(ISNUMBER(L595)),NOT(ISNUMBER(L594)),(IF(ISNUMBER(F595),F595,E595)-IF(ISNUMBER(F594),F594,E594))=0),"",(L595-L594)/((IF(ISNUMBER(F595),F595,E595)-IF(ISNUMBER(F594),F594,E594))/100))</f>
        <v/>
      </c>
      <c r="U595" s="28" t="n"/>
      <c r="V595" s="28" t="n"/>
      <c r="W595" s="31" t="n"/>
    </row>
    <row r="596">
      <c r="A596" s="25" t="inlineStr">
        <is>
          <t>S50</t>
        </is>
      </c>
      <c r="B596" s="25" t="inlineStr">
        <is>
          <t>함양</t>
        </is>
      </c>
      <c r="C596" s="25" t="inlineStr">
        <is>
          <t>S50-V</t>
        </is>
      </c>
      <c r="D596" s="25" t="inlineStr">
        <is>
          <t>측정</t>
        </is>
      </c>
      <c r="E596" s="48" t="n">
        <v>60</v>
      </c>
      <c r="F596" s="40" t="n"/>
      <c r="G596" s="28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IF(COUNTIFS($C:$C,$C596,$D:$D,"기준(전)",$L:$L,"&gt;0")&lt;&gt;1,"기준(전) 유효 1개 아님",IF(COUNTIFS($C:$C,$C596,$D:$D,"기준(후)",$L:$L,"&gt;0")&lt;&gt;1,"기준(후) 유효 1개 아님",IF(NOT(AND(ISNUMBER(N596),ISNUMBER(P596),ISNUMBER(H596))),"시각 결측",IF(P596&lt;=N596,"기준 시각 역전",IF(OR(H596&lt;N596,H596&gt;P596),"측정시각 구간 밖","OK")))))</f>
        <v/>
      </c>
      <c r="N596" s="45">
        <f>IF(COUNTIFS($C:$C,$C596,$D:$D,"기준(전)",$L:$L,"&gt;0")&lt;&gt;1,"",SUMIFS($H:$H,$C:$C,$C596,$D:$D,"기준(전)"))</f>
        <v/>
      </c>
      <c r="O596" s="30">
        <f>IF(COUNTIFS($C:$C,$C596,$D:$D,"기준(전)",$L:$L,"&gt;0")&lt;&gt;1,"",SUMIFS($L:$L,$C:$C,$C596,$D:$D,"기준(전)"))</f>
        <v/>
      </c>
      <c r="P596" s="45">
        <f>IF(COUNTIFS($C:$C,$C596,$D:$D,"기준(후)",$L:$L,"&gt;0")&lt;&gt;1,"",SUMIFS($H:$H,$C:$C,$C596,$D:$D,"기준(후)"))</f>
        <v/>
      </c>
      <c r="Q596" s="30">
        <f>IF(COUNTIFS($C:$C,$C596,$D:$D,"기준(후)",$L:$L,"&gt;0")&lt;&gt;1,"",SUMIFS($L:$L,$C:$C,$C596,$D:$D,"기준(후)"))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IF(OR($D595&lt;&gt;"측정",$C595&lt;&gt;$C596,NOT(ISNUMBER(L596)),NOT(ISNUMBER(L595)),(IF(ISNUMBER(F596),F596,E596)-IF(ISNUMBER(F595),F595,E595))=0),"",(L596-L595)/((IF(ISNUMBER(F596),F596,E596)-IF(ISNUMBER(F595),F595,E595))/100))</f>
        <v/>
      </c>
      <c r="U596" s="28" t="n"/>
      <c r="V596" s="28" t="n"/>
      <c r="W596" s="31" t="n"/>
    </row>
    <row r="597">
      <c r="A597" s="25" t="inlineStr">
        <is>
          <t>S50</t>
        </is>
      </c>
      <c r="B597" s="25" t="inlineStr">
        <is>
          <t>함양</t>
        </is>
      </c>
      <c r="C597" s="25" t="inlineStr">
        <is>
          <t>S50-V</t>
        </is>
      </c>
      <c r="D597" s="25" t="inlineStr">
        <is>
          <t>측정</t>
        </is>
      </c>
      <c r="E597" s="48" t="n">
        <v>80</v>
      </c>
      <c r="F597" s="40" t="n"/>
      <c r="G597" s="28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IF(COUNTIFS($C:$C,$C597,$D:$D,"기준(전)",$L:$L,"&gt;0")&lt;&gt;1,"기준(전) 유효 1개 아님",IF(COUNTIFS($C:$C,$C597,$D:$D,"기준(후)",$L:$L,"&gt;0")&lt;&gt;1,"기준(후) 유효 1개 아님",IF(NOT(AND(ISNUMBER(N597),ISNUMBER(P597),ISNUMBER(H597))),"시각 결측",IF(P597&lt;=N597,"기준 시각 역전",IF(OR(H597&lt;N597,H597&gt;P597),"측정시각 구간 밖","OK")))))</f>
        <v/>
      </c>
      <c r="N597" s="45">
        <f>IF(COUNTIFS($C:$C,$C597,$D:$D,"기준(전)",$L:$L,"&gt;0")&lt;&gt;1,"",SUMIFS($H:$H,$C:$C,$C597,$D:$D,"기준(전)"))</f>
        <v/>
      </c>
      <c r="O597" s="30">
        <f>IF(COUNTIFS($C:$C,$C597,$D:$D,"기준(전)",$L:$L,"&gt;0")&lt;&gt;1,"",SUMIFS($L:$L,$C:$C,$C597,$D:$D,"기준(전)"))</f>
        <v/>
      </c>
      <c r="P597" s="45">
        <f>IF(COUNTIFS($C:$C,$C597,$D:$D,"기준(후)",$L:$L,"&gt;0")&lt;&gt;1,"",SUMIFS($H:$H,$C:$C,$C597,$D:$D,"기준(후)"))</f>
        <v/>
      </c>
      <c r="Q597" s="30">
        <f>IF(COUNTIFS($C:$C,$C597,$D:$D,"기준(후)",$L:$L,"&gt;0")&lt;&gt;1,"",SUMIFS($L:$L,$C:$C,$C597,$D:$D,"기준(후)"))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IF(OR($D596&lt;&gt;"측정",$C596&lt;&gt;$C597,NOT(ISNUMBER(L597)),NOT(ISNUMBER(L596)),(IF(ISNUMBER(F597),F597,E597)-IF(ISNUMBER(F596),F596,E596))=0),"",(L597-L596)/((IF(ISNUMBER(F597),F597,E597)-IF(ISNUMBER(F596),F596,E596))/100))</f>
        <v/>
      </c>
      <c r="U597" s="28" t="n"/>
      <c r="V597" s="28" t="n"/>
      <c r="W597" s="31" t="n"/>
    </row>
    <row r="598">
      <c r="A598" s="25" t="inlineStr">
        <is>
          <t>S50</t>
        </is>
      </c>
      <c r="B598" s="25" t="inlineStr">
        <is>
          <t>함양</t>
        </is>
      </c>
      <c r="C598" s="25" t="inlineStr">
        <is>
          <t>S50-V</t>
        </is>
      </c>
      <c r="D598" s="25" t="inlineStr">
        <is>
          <t>측정</t>
        </is>
      </c>
      <c r="E598" s="48" t="n">
        <v>100</v>
      </c>
      <c r="F598" s="40" t="n"/>
      <c r="G598" s="28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IF(COUNTIFS($C:$C,$C598,$D:$D,"기준(전)",$L:$L,"&gt;0")&lt;&gt;1,"기준(전) 유효 1개 아님",IF(COUNTIFS($C:$C,$C598,$D:$D,"기준(후)",$L:$L,"&gt;0")&lt;&gt;1,"기준(후) 유효 1개 아님",IF(NOT(AND(ISNUMBER(N598),ISNUMBER(P598),ISNUMBER(H598))),"시각 결측",IF(P598&lt;=N598,"기준 시각 역전",IF(OR(H598&lt;N598,H598&gt;P598),"측정시각 구간 밖","OK")))))</f>
        <v/>
      </c>
      <c r="N598" s="45">
        <f>IF(COUNTIFS($C:$C,$C598,$D:$D,"기준(전)",$L:$L,"&gt;0")&lt;&gt;1,"",SUMIFS($H:$H,$C:$C,$C598,$D:$D,"기준(전)"))</f>
        <v/>
      </c>
      <c r="O598" s="30">
        <f>IF(COUNTIFS($C:$C,$C598,$D:$D,"기준(전)",$L:$L,"&gt;0")&lt;&gt;1,"",SUMIFS($L:$L,$C:$C,$C598,$D:$D,"기준(전)"))</f>
        <v/>
      </c>
      <c r="P598" s="45">
        <f>IF(COUNTIFS($C:$C,$C598,$D:$D,"기준(후)",$L:$L,"&gt;0")&lt;&gt;1,"",SUMIFS($H:$H,$C:$C,$C598,$D:$D,"기준(후)"))</f>
        <v/>
      </c>
      <c r="Q598" s="30">
        <f>IF(COUNTIFS($C:$C,$C598,$D:$D,"기준(후)",$L:$L,"&gt;0")&lt;&gt;1,"",SUMIFS($L:$L,$C:$C,$C598,$D:$D,"기준(후)"))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IF(OR($D597&lt;&gt;"측정",$C597&lt;&gt;$C598,NOT(ISNUMBER(L598)),NOT(ISNUMBER(L597)),(IF(ISNUMBER(F598),F598,E598)-IF(ISNUMBER(F597),F597,E597))=0),"",(L598-L597)/((IF(ISNUMBER(F598),F598,E598)-IF(ISNUMBER(F597),F597,E597))/100))</f>
        <v/>
      </c>
      <c r="U598" s="28" t="n"/>
      <c r="V598" s="28" t="n"/>
      <c r="W598" s="31" t="n"/>
    </row>
    <row r="599">
      <c r="A599" s="25" t="inlineStr">
        <is>
          <t>S50</t>
        </is>
      </c>
      <c r="B599" s="25" t="inlineStr">
        <is>
          <t>함양</t>
        </is>
      </c>
      <c r="C599" s="25" t="inlineStr">
        <is>
          <t>S50-V</t>
        </is>
      </c>
      <c r="D599" s="25" t="inlineStr">
        <is>
          <t>측정</t>
        </is>
      </c>
      <c r="E599" s="48" t="n">
        <v>120</v>
      </c>
      <c r="F599" s="40" t="n"/>
      <c r="G599" s="28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IF(COUNTIFS($C:$C,$C599,$D:$D,"기준(전)",$L:$L,"&gt;0")&lt;&gt;1,"기준(전) 유효 1개 아님",IF(COUNTIFS($C:$C,$C599,$D:$D,"기준(후)",$L:$L,"&gt;0")&lt;&gt;1,"기준(후) 유효 1개 아님",IF(NOT(AND(ISNUMBER(N599),ISNUMBER(P599),ISNUMBER(H599))),"시각 결측",IF(P599&lt;=N599,"기준 시각 역전",IF(OR(H599&lt;N599,H599&gt;P599),"측정시각 구간 밖","OK")))))</f>
        <v/>
      </c>
      <c r="N599" s="45">
        <f>IF(COUNTIFS($C:$C,$C599,$D:$D,"기준(전)",$L:$L,"&gt;0")&lt;&gt;1,"",SUMIFS($H:$H,$C:$C,$C599,$D:$D,"기준(전)"))</f>
        <v/>
      </c>
      <c r="O599" s="30">
        <f>IF(COUNTIFS($C:$C,$C599,$D:$D,"기준(전)",$L:$L,"&gt;0")&lt;&gt;1,"",SUMIFS($L:$L,$C:$C,$C599,$D:$D,"기준(전)"))</f>
        <v/>
      </c>
      <c r="P599" s="45">
        <f>IF(COUNTIFS($C:$C,$C599,$D:$D,"기준(후)",$L:$L,"&gt;0")&lt;&gt;1,"",SUMIFS($H:$H,$C:$C,$C599,$D:$D,"기준(후)"))</f>
        <v/>
      </c>
      <c r="Q599" s="30">
        <f>IF(COUNTIFS($C:$C,$C599,$D:$D,"기준(후)",$L:$L,"&gt;0")&lt;&gt;1,"",SUMIFS($L:$L,$C:$C,$C599,$D:$D,"기준(후)"))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IF(OR($D598&lt;&gt;"측정",$C598&lt;&gt;$C599,NOT(ISNUMBER(L599)),NOT(ISNUMBER(L598)),(IF(ISNUMBER(F599),F599,E599)-IF(ISNUMBER(F598),F598,E598))=0),"",(L599-L598)/((IF(ISNUMBER(F599),F599,E599)-IF(ISNUMBER(F598),F598,E598))/100))</f>
        <v/>
      </c>
      <c r="U599" s="28" t="n"/>
      <c r="V599" s="28" t="n"/>
      <c r="W599" s="31" t="n"/>
    </row>
    <row r="600">
      <c r="A600" s="25" t="inlineStr">
        <is>
          <t>S50</t>
        </is>
      </c>
      <c r="B600" s="25" t="inlineStr">
        <is>
          <t>함양</t>
        </is>
      </c>
      <c r="C600" s="25" t="inlineStr">
        <is>
          <t>S50-V</t>
        </is>
      </c>
      <c r="D600" s="25" t="inlineStr">
        <is>
          <t>측정</t>
        </is>
      </c>
      <c r="E600" s="48" t="n">
        <v>140</v>
      </c>
      <c r="F600" s="40" t="n"/>
      <c r="G600" s="28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IF(COUNTIFS($C:$C,$C600,$D:$D,"기준(전)",$L:$L,"&gt;0")&lt;&gt;1,"기준(전) 유효 1개 아님",IF(COUNTIFS($C:$C,$C600,$D:$D,"기준(후)",$L:$L,"&gt;0")&lt;&gt;1,"기준(후) 유효 1개 아님",IF(NOT(AND(ISNUMBER(N600),ISNUMBER(P600),ISNUMBER(H600))),"시각 결측",IF(P600&lt;=N600,"기준 시각 역전",IF(OR(H600&lt;N600,H600&gt;P600),"측정시각 구간 밖","OK")))))</f>
        <v/>
      </c>
      <c r="N600" s="45">
        <f>IF(COUNTIFS($C:$C,$C600,$D:$D,"기준(전)",$L:$L,"&gt;0")&lt;&gt;1,"",SUMIFS($H:$H,$C:$C,$C600,$D:$D,"기준(전)"))</f>
        <v/>
      </c>
      <c r="O600" s="30">
        <f>IF(COUNTIFS($C:$C,$C600,$D:$D,"기준(전)",$L:$L,"&gt;0")&lt;&gt;1,"",SUMIFS($L:$L,$C:$C,$C600,$D:$D,"기준(전)"))</f>
        <v/>
      </c>
      <c r="P600" s="45">
        <f>IF(COUNTIFS($C:$C,$C600,$D:$D,"기준(후)",$L:$L,"&gt;0")&lt;&gt;1,"",SUMIFS($H:$H,$C:$C,$C600,$D:$D,"기준(후)"))</f>
        <v/>
      </c>
      <c r="Q600" s="30">
        <f>IF(COUNTIFS($C:$C,$C600,$D:$D,"기준(후)",$L:$L,"&gt;0")&lt;&gt;1,"",SUMIFS($L:$L,$C:$C,$C600,$D:$D,"기준(후)"))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IF(OR($D599&lt;&gt;"측정",$C599&lt;&gt;$C600,NOT(ISNUMBER(L600)),NOT(ISNUMBER(L599)),(IF(ISNUMBER(F600),F600,E600)-IF(ISNUMBER(F599),F599,E599))=0),"",(L600-L599)/((IF(ISNUMBER(F600),F600,E600)-IF(ISNUMBER(F599),F599,E599))/100))</f>
        <v/>
      </c>
      <c r="U600" s="28" t="n"/>
      <c r="V600" s="28" t="n"/>
      <c r="W600" s="31" t="n"/>
    </row>
    <row r="601">
      <c r="A601" s="25" t="inlineStr">
        <is>
          <t>S50</t>
        </is>
      </c>
      <c r="B601" s="25" t="inlineStr">
        <is>
          <t>함양</t>
        </is>
      </c>
      <c r="C601" s="25" t="inlineStr">
        <is>
          <t>S50-V</t>
        </is>
      </c>
      <c r="D601" s="25" t="inlineStr">
        <is>
          <t>측정</t>
        </is>
      </c>
      <c r="E601" s="48" t="n">
        <v>160</v>
      </c>
      <c r="F601" s="40" t="n"/>
      <c r="G601" s="28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IF(COUNTIFS($C:$C,$C601,$D:$D,"기준(전)",$L:$L,"&gt;0")&lt;&gt;1,"기준(전) 유효 1개 아님",IF(COUNTIFS($C:$C,$C601,$D:$D,"기준(후)",$L:$L,"&gt;0")&lt;&gt;1,"기준(후) 유효 1개 아님",IF(NOT(AND(ISNUMBER(N601),ISNUMBER(P601),ISNUMBER(H601))),"시각 결측",IF(P601&lt;=N601,"기준 시각 역전",IF(OR(H601&lt;N601,H601&gt;P601),"측정시각 구간 밖","OK")))))</f>
        <v/>
      </c>
      <c r="N601" s="45">
        <f>IF(COUNTIFS($C:$C,$C601,$D:$D,"기준(전)",$L:$L,"&gt;0")&lt;&gt;1,"",SUMIFS($H:$H,$C:$C,$C601,$D:$D,"기준(전)"))</f>
        <v/>
      </c>
      <c r="O601" s="30">
        <f>IF(COUNTIFS($C:$C,$C601,$D:$D,"기준(전)",$L:$L,"&gt;0")&lt;&gt;1,"",SUMIFS($L:$L,$C:$C,$C601,$D:$D,"기준(전)"))</f>
        <v/>
      </c>
      <c r="P601" s="45">
        <f>IF(COUNTIFS($C:$C,$C601,$D:$D,"기준(후)",$L:$L,"&gt;0")&lt;&gt;1,"",SUMIFS($H:$H,$C:$C,$C601,$D:$D,"기준(후)"))</f>
        <v/>
      </c>
      <c r="Q601" s="30">
        <f>IF(COUNTIFS($C:$C,$C601,$D:$D,"기준(후)",$L:$L,"&gt;0")&lt;&gt;1,"",SUMIFS($L:$L,$C:$C,$C601,$D:$D,"기준(후)"))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IF(OR($D600&lt;&gt;"측정",$C600&lt;&gt;$C601,NOT(ISNUMBER(L601)),NOT(ISNUMBER(L600)),(IF(ISNUMBER(F601),F601,E601)-IF(ISNUMBER(F600),F600,E600))=0),"",(L601-L600)/((IF(ISNUMBER(F601),F601,E601)-IF(ISNUMBER(F600),F600,E600))/100))</f>
        <v/>
      </c>
      <c r="U601" s="28" t="n"/>
      <c r="V601" s="28" t="n"/>
      <c r="W601" s="31" t="n"/>
    </row>
    <row r="602">
      <c r="A602" s="25" t="inlineStr">
        <is>
          <t>S50</t>
        </is>
      </c>
      <c r="B602" s="25" t="inlineStr">
        <is>
          <t>함양</t>
        </is>
      </c>
      <c r="C602" s="25" t="inlineStr">
        <is>
          <t>S50-V</t>
        </is>
      </c>
      <c r="D602" s="25" t="inlineStr">
        <is>
          <t>측정</t>
        </is>
      </c>
      <c r="E602" s="48" t="n">
        <v>180</v>
      </c>
      <c r="F602" s="40" t="n"/>
      <c r="G602" s="28" t="n"/>
      <c r="H602" s="42" t="n"/>
      <c r="I602" s="40" t="n"/>
      <c r="J602" s="40" t="n"/>
      <c r="K602" s="40" t="n"/>
      <c r="L602" s="30">
        <f>IF(COUNT(I602:K602)=0,"",MEDIAN(I602:K602))</f>
        <v/>
      </c>
      <c r="M602" s="25">
        <f>IF(COUNTIFS($C:$C,$C602,$D:$D,"기준(전)",$L:$L,"&gt;0")&lt;&gt;1,"기준(전) 유효 1개 아님",IF(COUNTIFS($C:$C,$C602,$D:$D,"기준(후)",$L:$L,"&gt;0")&lt;&gt;1,"기준(후) 유효 1개 아님",IF(NOT(AND(ISNUMBER(N602),ISNUMBER(P602),ISNUMBER(H602))),"시각 결측",IF(P602&lt;=N602,"기준 시각 역전",IF(OR(H602&lt;N602,H602&gt;P602),"측정시각 구간 밖","OK")))))</f>
        <v/>
      </c>
      <c r="N602" s="45">
        <f>IF(COUNTIFS($C:$C,$C602,$D:$D,"기준(전)",$L:$L,"&gt;0")&lt;&gt;1,"",SUMIFS($H:$H,$C:$C,$C602,$D:$D,"기준(전)"))</f>
        <v/>
      </c>
      <c r="O602" s="30">
        <f>IF(COUNTIFS($C:$C,$C602,$D:$D,"기준(전)",$L:$L,"&gt;0")&lt;&gt;1,"",SUMIFS($L:$L,$C:$C,$C602,$D:$D,"기준(전)"))</f>
        <v/>
      </c>
      <c r="P602" s="45">
        <f>IF(COUNTIFS($C:$C,$C602,$D:$D,"기준(후)",$L:$L,"&gt;0")&lt;&gt;1,"",SUMIFS($H:$H,$C:$C,$C602,$D:$D,"기준(후)"))</f>
        <v/>
      </c>
      <c r="Q602" s="30">
        <f>IF(COUNTIFS($C:$C,$C602,$D:$D,"기준(후)",$L:$L,"&gt;0")&lt;&gt;1,"",SUMIFS($L:$L,$C:$C,$C602,$D:$D,"기준(후)"))</f>
        <v/>
      </c>
      <c r="R602" s="30">
        <f>IF(M602&lt;&gt;"OK","",O602+(Q602-O602)*(H602-N602)/(P602-N602))</f>
        <v/>
      </c>
      <c r="S602" s="30">
        <f>IF(OR(M602&lt;&gt;"OK",NOT(ISNUMBER(L602))),"",L602-R602)</f>
        <v/>
      </c>
      <c r="T602" s="46">
        <f>IF(OR($D601&lt;&gt;"측정",$C601&lt;&gt;$C602,NOT(ISNUMBER(L602)),NOT(ISNUMBER(L601)),(IF(ISNUMBER(F602),F602,E602)-IF(ISNUMBER(F601),F601,E601))=0),"",(L602-L601)/((IF(ISNUMBER(F602),F602,E602)-IF(ISNUMBER(F601),F601,E601))/100))</f>
        <v/>
      </c>
      <c r="U602" s="28" t="n"/>
      <c r="V602" s="28" t="n"/>
      <c r="W602" s="31" t="n"/>
    </row>
    <row r="603">
      <c r="A603" s="25" t="inlineStr">
        <is>
          <t>S50</t>
        </is>
      </c>
      <c r="B603" s="25" t="inlineStr">
        <is>
          <t>함양</t>
        </is>
      </c>
      <c r="C603" s="25" t="inlineStr">
        <is>
          <t>S50-V</t>
        </is>
      </c>
      <c r="D603" s="25" t="inlineStr">
        <is>
          <t>측정</t>
        </is>
      </c>
      <c r="E603" s="48" t="n">
        <v>200</v>
      </c>
      <c r="F603" s="40" t="n"/>
      <c r="G603" s="28" t="n"/>
      <c r="H603" s="42" t="n"/>
      <c r="I603" s="40" t="n"/>
      <c r="J603" s="40" t="n"/>
      <c r="K603" s="40" t="n"/>
      <c r="L603" s="30">
        <f>IF(COUNT(I603:K603)=0,"",MEDIAN(I603:K603))</f>
        <v/>
      </c>
      <c r="M603" s="25">
        <f>IF(COUNTIFS($C:$C,$C603,$D:$D,"기준(전)",$L:$L,"&gt;0")&lt;&gt;1,"기준(전) 유효 1개 아님",IF(COUNTIFS($C:$C,$C603,$D:$D,"기준(후)",$L:$L,"&gt;0")&lt;&gt;1,"기준(후) 유효 1개 아님",IF(NOT(AND(ISNUMBER(N603),ISNUMBER(P603),ISNUMBER(H603))),"시각 결측",IF(P603&lt;=N603,"기준 시각 역전",IF(OR(H603&lt;N603,H603&gt;P603),"측정시각 구간 밖","OK")))))</f>
        <v/>
      </c>
      <c r="N603" s="45">
        <f>IF(COUNTIFS($C:$C,$C603,$D:$D,"기준(전)",$L:$L,"&gt;0")&lt;&gt;1,"",SUMIFS($H:$H,$C:$C,$C603,$D:$D,"기준(전)"))</f>
        <v/>
      </c>
      <c r="O603" s="30">
        <f>IF(COUNTIFS($C:$C,$C603,$D:$D,"기준(전)",$L:$L,"&gt;0")&lt;&gt;1,"",SUMIFS($L:$L,$C:$C,$C603,$D:$D,"기준(전)"))</f>
        <v/>
      </c>
      <c r="P603" s="45">
        <f>IF(COUNTIFS($C:$C,$C603,$D:$D,"기준(후)",$L:$L,"&gt;0")&lt;&gt;1,"",SUMIFS($H:$H,$C:$C,$C603,$D:$D,"기준(후)"))</f>
        <v/>
      </c>
      <c r="Q603" s="30">
        <f>IF(COUNTIFS($C:$C,$C603,$D:$D,"기준(후)",$L:$L,"&gt;0")&lt;&gt;1,"",SUMIFS($L:$L,$C:$C,$C603,$D:$D,"기준(후)"))</f>
        <v/>
      </c>
      <c r="R603" s="30">
        <f>IF(M603&lt;&gt;"OK","",O603+(Q603-O603)*(H603-N603)/(P603-N603))</f>
        <v/>
      </c>
      <c r="S603" s="30">
        <f>IF(OR(M603&lt;&gt;"OK",NOT(ISNUMBER(L603))),"",L603-R603)</f>
        <v/>
      </c>
      <c r="T603" s="46">
        <f>IF(OR($D602&lt;&gt;"측정",$C602&lt;&gt;$C603,NOT(ISNUMBER(L603)),NOT(ISNUMBER(L602)),(IF(ISNUMBER(F603),F603,E603)-IF(ISNUMBER(F602),F602,E602))=0),"",(L603-L602)/((IF(ISNUMBER(F603),F603,E603)-IF(ISNUMBER(F602),F602,E602))/100))</f>
        <v/>
      </c>
      <c r="U603" s="28" t="n"/>
      <c r="V603" s="28" t="n"/>
      <c r="W603" s="31" t="n"/>
    </row>
    <row r="604">
      <c r="A604" s="43" t="inlineStr">
        <is>
          <t>S50</t>
        </is>
      </c>
      <c r="B604" s="43" t="inlineStr">
        <is>
          <t>함양</t>
        </is>
      </c>
      <c r="C604" s="43" t="inlineStr">
        <is>
          <t>S50-V</t>
        </is>
      </c>
      <c r="D604" s="43" t="inlineStr">
        <is>
          <t>기준(후)</t>
        </is>
      </c>
      <c r="E604" s="47" t="n"/>
      <c r="F604" s="40" t="n"/>
      <c r="G604" s="28" t="n"/>
      <c r="H604" s="42" t="n"/>
      <c r="I604" s="40" t="n"/>
      <c r="J604" s="40" t="n"/>
      <c r="K604" s="40" t="n"/>
      <c r="L604" s="30">
        <f>IF(COUNT(I604:K604)=0,"",MEDIAN(I604:K604))</f>
        <v/>
      </c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28" t="n"/>
      <c r="V604" s="28" t="n"/>
      <c r="W604" s="31" t="n"/>
    </row>
  </sheetData>
  <mergeCells count="3">
    <mergeCell ref="A2:V2"/>
    <mergeCell ref="A1:V1"/>
    <mergeCell ref="A3:V3"/>
  </mergeCells>
  <dataValidations count="4">
    <dataValidation sqref="G5:G604" showDropDown="0" showInputMessage="0" showErrorMessage="0" allowBlank="1" type="list">
      <formula1>"지면,표석 상면,PENDING"</formula1>
    </dataValidation>
    <dataValidation sqref="V5:V604" showDropDown="0" showInputMessage="0" showErrorMessage="0" allowBlank="1" type="list">
      <formula1>"정상,중단,재시작,무효,PENDING"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I5:K604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⚠ 중심점이 바뀌면 거리·방향·수직 프로파일의 기준이 모두 바뀐다. **옛 중심 주변의 결과는 새 중심의 10 m 범위와 수직구배를 입증하지 않는다.** 최초 후보와 최종 중심에 «다른 Location ID»를 주고, 새 중심에서 전체 프로토콜을 재수행할지 아니면 「잠정 중심 · 확정측정 미실시」로 남길지 명시할 것.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최초 후보 Location ID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중심점 조정 여부</t>
        </is>
      </c>
      <c r="G4" s="7" t="inlineStr">
        <is>
          <t>최종 중심 Location ID</t>
        </is>
      </c>
      <c r="H4" s="8" t="inlineStr">
        <is>
          <t>최종 위도</t>
        </is>
      </c>
      <c r="I4" s="8" t="inlineStr">
        <is>
          <t>최종 경도</t>
        </is>
      </c>
      <c r="J4" s="8" t="inlineStr">
        <is>
          <t>이동거리(m)</t>
        </is>
      </c>
      <c r="K4" s="8" t="inlineStr">
        <is>
          <t>이동 방위(°)</t>
        </is>
      </c>
      <c r="L4" s="8" t="inlineStr">
        <is>
          <t>조정 사유</t>
        </is>
      </c>
      <c r="M4" s="8" t="inlineStr">
        <is>
          <t>새 중심 재측정 여부</t>
        </is>
      </c>
      <c r="N4" s="8" t="inlineStr">
        <is>
          <t>표지 설치 여부</t>
        </is>
      </c>
      <c r="O4" s="8" t="inlineStr">
        <is>
          <t>표지 설치일</t>
        </is>
      </c>
      <c r="P4" s="8" t="inlineStr">
        <is>
          <t>설치자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S01-P0a</t>
        </is>
      </c>
      <c r="D5" s="26" t="n">
        <v>37.020705</v>
      </c>
      <c r="E5" s="26" t="n">
        <v>128.98393</v>
      </c>
      <c r="F5" s="28" t="n"/>
      <c r="G5" s="28" t="n"/>
      <c r="H5" s="27" t="n"/>
      <c r="I5" s="27" t="n"/>
      <c r="J5" s="40" t="n"/>
      <c r="K5" s="40" t="n"/>
      <c r="L5" s="31" t="n"/>
      <c r="M5" s="28" t="n"/>
      <c r="N5" s="28" t="n"/>
      <c r="O5" s="32" t="n"/>
      <c r="P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S02-P0a</t>
        </is>
      </c>
      <c r="D6" s="26" t="n">
        <v>37.359346</v>
      </c>
      <c r="E6" s="26" t="n">
        <v>128.973865</v>
      </c>
      <c r="F6" s="28" t="n"/>
      <c r="G6" s="28" t="n"/>
      <c r="H6" s="27" t="n"/>
      <c r="I6" s="27" t="n"/>
      <c r="J6" s="40" t="n"/>
      <c r="K6" s="40" t="n"/>
      <c r="L6" s="31" t="n"/>
      <c r="M6" s="28" t="n"/>
      <c r="N6" s="28" t="n"/>
      <c r="O6" s="32" t="n"/>
      <c r="P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S03-P0a</t>
        </is>
      </c>
      <c r="D7" s="26" t="n">
        <v>36.534085</v>
      </c>
      <c r="E7" s="26" t="n">
        <v>126.936269</v>
      </c>
      <c r="F7" s="28" t="n"/>
      <c r="G7" s="28" t="n"/>
      <c r="H7" s="27" t="n"/>
      <c r="I7" s="27" t="n"/>
      <c r="J7" s="40" t="n"/>
      <c r="K7" s="40" t="n"/>
      <c r="L7" s="31" t="n"/>
      <c r="M7" s="28" t="n"/>
      <c r="N7" s="28" t="n"/>
      <c r="O7" s="32" t="n"/>
      <c r="P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S04-P0a</t>
        </is>
      </c>
      <c r="D8" s="26" t="n">
        <v>35.891309</v>
      </c>
      <c r="E8" s="26" t="n">
        <v>127.309017</v>
      </c>
      <c r="F8" s="28" t="n"/>
      <c r="G8" s="28" t="n"/>
      <c r="H8" s="27" t="n"/>
      <c r="I8" s="27" t="n"/>
      <c r="J8" s="40" t="n"/>
      <c r="K8" s="40" t="n"/>
      <c r="L8" s="31" t="n"/>
      <c r="M8" s="28" t="n"/>
      <c r="N8" s="28" t="n"/>
      <c r="O8" s="32" t="n"/>
      <c r="P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S05-P0a</t>
        </is>
      </c>
      <c r="D9" s="26" t="n">
        <v>35.945212</v>
      </c>
      <c r="E9" s="26" t="n">
        <v>127.800855</v>
      </c>
      <c r="F9" s="28" t="n"/>
      <c r="G9" s="28" t="n"/>
      <c r="H9" s="27" t="n"/>
      <c r="I9" s="27" t="n"/>
      <c r="J9" s="40" t="n"/>
      <c r="K9" s="40" t="n"/>
      <c r="L9" s="31" t="n"/>
      <c r="M9" s="28" t="n"/>
      <c r="N9" s="28" t="n"/>
      <c r="O9" s="32" t="n"/>
      <c r="P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S06-P0a</t>
        </is>
      </c>
      <c r="D10" s="26" t="n">
        <v>35.604653</v>
      </c>
      <c r="E10" s="26" t="n">
        <v>127.230237</v>
      </c>
      <c r="F10" s="28" t="n"/>
      <c r="G10" s="28" t="n"/>
      <c r="H10" s="27" t="n"/>
      <c r="I10" s="27" t="n"/>
      <c r="J10" s="40" t="n"/>
      <c r="K10" s="40" t="n"/>
      <c r="L10" s="31" t="n"/>
      <c r="M10" s="28" t="n"/>
      <c r="N10" s="28" t="n"/>
      <c r="O10" s="32" t="n"/>
      <c r="P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S07-P0a</t>
        </is>
      </c>
      <c r="D11" s="26" t="n">
        <v>34.852281</v>
      </c>
      <c r="E11" s="26" t="n">
        <v>127.981473</v>
      </c>
      <c r="F11" s="28" t="n"/>
      <c r="G11" s="28" t="n"/>
      <c r="H11" s="27" t="n"/>
      <c r="I11" s="27" t="n"/>
      <c r="J11" s="40" t="n"/>
      <c r="K11" s="40" t="n"/>
      <c r="L11" s="31" t="n"/>
      <c r="M11" s="28" t="n"/>
      <c r="N11" s="28" t="n"/>
      <c r="O11" s="32" t="n"/>
      <c r="P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S08-P0a</t>
        </is>
      </c>
      <c r="D12" s="26" t="n">
        <v>37.618578</v>
      </c>
      <c r="E12" s="26" t="n">
        <v>128.1698</v>
      </c>
      <c r="F12" s="28" t="n"/>
      <c r="G12" s="28" t="n"/>
      <c r="H12" s="27" t="n"/>
      <c r="I12" s="27" t="n"/>
      <c r="J12" s="40" t="n"/>
      <c r="K12" s="40" t="n"/>
      <c r="L12" s="31" t="n"/>
      <c r="M12" s="28" t="n"/>
      <c r="N12" s="28" t="n"/>
      <c r="O12" s="32" t="n"/>
      <c r="P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S09-P0a</t>
        </is>
      </c>
      <c r="D13" s="26" t="n">
        <v>37.776326</v>
      </c>
      <c r="E13" s="26" t="n">
        <v>128.075858</v>
      </c>
      <c r="F13" s="28" t="n"/>
      <c r="G13" s="28" t="n"/>
      <c r="H13" s="27" t="n"/>
      <c r="I13" s="27" t="n"/>
      <c r="J13" s="40" t="n"/>
      <c r="K13" s="40" t="n"/>
      <c r="L13" s="31" t="n"/>
      <c r="M13" s="28" t="n"/>
      <c r="N13" s="28" t="n"/>
      <c r="O13" s="32" t="n"/>
      <c r="P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S10-P0a</t>
        </is>
      </c>
      <c r="D14" s="26" t="n">
        <v>36.745399</v>
      </c>
      <c r="E14" s="26" t="n">
        <v>128.853559</v>
      </c>
      <c r="F14" s="28" t="n"/>
      <c r="G14" s="28" t="n"/>
      <c r="H14" s="27" t="n"/>
      <c r="I14" s="27" t="n"/>
      <c r="J14" s="40" t="n"/>
      <c r="K14" s="40" t="n"/>
      <c r="L14" s="31" t="n"/>
      <c r="M14" s="28" t="n"/>
      <c r="N14" s="28" t="n"/>
      <c r="O14" s="32" t="n"/>
      <c r="P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S11-P0a</t>
        </is>
      </c>
      <c r="D15" s="26" t="n">
        <v>36.765848</v>
      </c>
      <c r="E15" s="26" t="n">
        <v>129.154341</v>
      </c>
      <c r="F15" s="28" t="n"/>
      <c r="G15" s="28" t="n"/>
      <c r="H15" s="27" t="n"/>
      <c r="I15" s="27" t="n"/>
      <c r="J15" s="40" t="n"/>
      <c r="K15" s="40" t="n"/>
      <c r="L15" s="31" t="n"/>
      <c r="M15" s="28" t="n"/>
      <c r="N15" s="28" t="n"/>
      <c r="O15" s="32" t="n"/>
      <c r="P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S12-P0a</t>
        </is>
      </c>
      <c r="D16" s="26" t="n">
        <v>35.284821</v>
      </c>
      <c r="E16" s="26" t="n">
        <v>127.092148</v>
      </c>
      <c r="F16" s="28" t="n"/>
      <c r="G16" s="28" t="n"/>
      <c r="H16" s="27" t="n"/>
      <c r="I16" s="27" t="n"/>
      <c r="J16" s="40" t="n"/>
      <c r="K16" s="40" t="n"/>
      <c r="L16" s="31" t="n"/>
      <c r="M16" s="28" t="n"/>
      <c r="N16" s="28" t="n"/>
      <c r="O16" s="32" t="n"/>
      <c r="P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S13-P0a</t>
        </is>
      </c>
      <c r="D17" s="26" t="n">
        <v>34.904713</v>
      </c>
      <c r="E17" s="26" t="n">
        <v>127.294737</v>
      </c>
      <c r="F17" s="28" t="n"/>
      <c r="G17" s="28" t="n"/>
      <c r="H17" s="27" t="n"/>
      <c r="I17" s="27" t="n"/>
      <c r="J17" s="40" t="n"/>
      <c r="K17" s="40" t="n"/>
      <c r="L17" s="31" t="n"/>
      <c r="M17" s="28" t="n"/>
      <c r="N17" s="28" t="n"/>
      <c r="O17" s="32" t="n"/>
      <c r="P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S14-P0a</t>
        </is>
      </c>
      <c r="D18" s="26" t="n">
        <v>36.382888</v>
      </c>
      <c r="E18" s="26" t="n">
        <v>129.145795</v>
      </c>
      <c r="F18" s="28" t="n"/>
      <c r="G18" s="28" t="n"/>
      <c r="H18" s="27" t="n"/>
      <c r="I18" s="27" t="n"/>
      <c r="J18" s="40" t="n"/>
      <c r="K18" s="40" t="n"/>
      <c r="L18" s="31" t="n"/>
      <c r="M18" s="28" t="n"/>
      <c r="N18" s="28" t="n"/>
      <c r="O18" s="32" t="n"/>
      <c r="P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S15-P0a</t>
        </is>
      </c>
      <c r="D19" s="26" t="n">
        <v>36.4767</v>
      </c>
      <c r="E19" s="26" t="n">
        <v>128.508751</v>
      </c>
      <c r="F19" s="28" t="n"/>
      <c r="G19" s="28" t="n"/>
      <c r="H19" s="27" t="n"/>
      <c r="I19" s="27" t="n"/>
      <c r="J19" s="40" t="n"/>
      <c r="K19" s="40" t="n"/>
      <c r="L19" s="31" t="n"/>
      <c r="M19" s="28" t="n"/>
      <c r="N19" s="28" t="n"/>
      <c r="O19" s="32" t="n"/>
      <c r="P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S16-P0a</t>
        </is>
      </c>
      <c r="D20" s="26" t="n">
        <v>36.50939</v>
      </c>
      <c r="E20" s="26" t="n">
        <v>128.494519</v>
      </c>
      <c r="F20" s="28" t="n"/>
      <c r="G20" s="28" t="n"/>
      <c r="H20" s="27" t="n"/>
      <c r="I20" s="27" t="n"/>
      <c r="J20" s="40" t="n"/>
      <c r="K20" s="40" t="n"/>
      <c r="L20" s="31" t="n"/>
      <c r="M20" s="28" t="n"/>
      <c r="N20" s="28" t="n"/>
      <c r="O20" s="32" t="n"/>
      <c r="P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S17-P0a</t>
        </is>
      </c>
      <c r="D21" s="26" t="n">
        <v>36.743626</v>
      </c>
      <c r="E21" s="26" t="n">
        <v>129.181307</v>
      </c>
      <c r="F21" s="28" t="n"/>
      <c r="G21" s="28" t="n"/>
      <c r="H21" s="27" t="n"/>
      <c r="I21" s="27" t="n"/>
      <c r="J21" s="40" t="n"/>
      <c r="K21" s="40" t="n"/>
      <c r="L21" s="31" t="n"/>
      <c r="M21" s="28" t="n"/>
      <c r="N21" s="28" t="n"/>
      <c r="O21" s="32" t="n"/>
      <c r="P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S18-P0a</t>
        </is>
      </c>
      <c r="D22" s="26" t="n">
        <v>34.792976</v>
      </c>
      <c r="E22" s="26" t="n">
        <v>128.393827</v>
      </c>
      <c r="F22" s="28" t="n"/>
      <c r="G22" s="28" t="n"/>
      <c r="H22" s="27" t="n"/>
      <c r="I22" s="27" t="n"/>
      <c r="J22" s="40" t="n"/>
      <c r="K22" s="40" t="n"/>
      <c r="L22" s="31" t="n"/>
      <c r="M22" s="28" t="n"/>
      <c r="N22" s="28" t="n"/>
      <c r="O22" s="32" t="n"/>
      <c r="P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S19-P0a</t>
        </is>
      </c>
      <c r="D23" s="26" t="n">
        <v>38.318869</v>
      </c>
      <c r="E23" s="26" t="n">
        <v>128.521755</v>
      </c>
      <c r="F23" s="28" t="n"/>
      <c r="G23" s="28" t="n"/>
      <c r="H23" s="27" t="n"/>
      <c r="I23" s="27" t="n"/>
      <c r="J23" s="40" t="n"/>
      <c r="K23" s="40" t="n"/>
      <c r="L23" s="31" t="n"/>
      <c r="M23" s="28" t="n"/>
      <c r="N23" s="28" t="n"/>
      <c r="O23" s="32" t="n"/>
      <c r="P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S20-P0a</t>
        </is>
      </c>
      <c r="D24" s="26" t="n">
        <v>36.266844</v>
      </c>
      <c r="E24" s="26" t="n">
        <v>126.706961</v>
      </c>
      <c r="F24" s="28" t="n"/>
      <c r="G24" s="28" t="n"/>
      <c r="H24" s="27" t="n"/>
      <c r="I24" s="27" t="n"/>
      <c r="J24" s="40" t="n"/>
      <c r="K24" s="40" t="n"/>
      <c r="L24" s="31" t="n"/>
      <c r="M24" s="28" t="n"/>
      <c r="N24" s="28" t="n"/>
      <c r="O24" s="32" t="n"/>
      <c r="P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S21-P0a</t>
        </is>
      </c>
      <c r="D25" s="26" t="n">
        <v>35.456101</v>
      </c>
      <c r="E25" s="26" t="n">
        <v>126.962054</v>
      </c>
      <c r="F25" s="28" t="n"/>
      <c r="G25" s="28" t="n"/>
      <c r="H25" s="27" t="n"/>
      <c r="I25" s="27" t="n"/>
      <c r="J25" s="40" t="n"/>
      <c r="K25" s="40" t="n"/>
      <c r="L25" s="31" t="n"/>
      <c r="M25" s="28" t="n"/>
      <c r="N25" s="28" t="n"/>
      <c r="O25" s="32" t="n"/>
      <c r="P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S22-P0a</t>
        </is>
      </c>
      <c r="D26" s="26" t="n">
        <v>34.328826</v>
      </c>
      <c r="E26" s="26" t="n">
        <v>126.543215</v>
      </c>
      <c r="F26" s="28" t="n"/>
      <c r="G26" s="28" t="n"/>
      <c r="H26" s="27" t="n"/>
      <c r="I26" s="27" t="n"/>
      <c r="J26" s="40" t="n"/>
      <c r="K26" s="40" t="n"/>
      <c r="L26" s="31" t="n"/>
      <c r="M26" s="28" t="n"/>
      <c r="N26" s="28" t="n"/>
      <c r="O26" s="32" t="n"/>
      <c r="P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S23-P0a</t>
        </is>
      </c>
      <c r="D27" s="26" t="n">
        <v>36.888529</v>
      </c>
      <c r="E27" s="26" t="n">
        <v>128.192739</v>
      </c>
      <c r="F27" s="28" t="n"/>
      <c r="G27" s="28" t="n"/>
      <c r="H27" s="27" t="n"/>
      <c r="I27" s="27" t="n"/>
      <c r="J27" s="40" t="n"/>
      <c r="K27" s="40" t="n"/>
      <c r="L27" s="31" t="n"/>
      <c r="M27" s="28" t="n"/>
      <c r="N27" s="28" t="n"/>
      <c r="O27" s="32" t="n"/>
      <c r="P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S24-P0a</t>
        </is>
      </c>
      <c r="D28" s="26" t="n">
        <v>34.680805</v>
      </c>
      <c r="E28" s="26" t="n">
        <v>127.04766</v>
      </c>
      <c r="F28" s="28" t="n"/>
      <c r="G28" s="28" t="n"/>
      <c r="H28" s="27" t="n"/>
      <c r="I28" s="27" t="n"/>
      <c r="J28" s="40" t="n"/>
      <c r="K28" s="40" t="n"/>
      <c r="L28" s="31" t="n"/>
      <c r="M28" s="28" t="n"/>
      <c r="N28" s="28" t="n"/>
      <c r="O28" s="32" t="n"/>
      <c r="P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S25-P0a</t>
        </is>
      </c>
      <c r="D29" s="26" t="n">
        <v>36.325755</v>
      </c>
      <c r="E29" s="26" t="n">
        <v>127.905982</v>
      </c>
      <c r="F29" s="28" t="n"/>
      <c r="G29" s="28" t="n"/>
      <c r="H29" s="27" t="n"/>
      <c r="I29" s="27" t="n"/>
      <c r="J29" s="40" t="n"/>
      <c r="K29" s="40" t="n"/>
      <c r="L29" s="31" t="n"/>
      <c r="M29" s="28" t="n"/>
      <c r="N29" s="28" t="n"/>
      <c r="O29" s="32" t="n"/>
      <c r="P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S26-P0a</t>
        </is>
      </c>
      <c r="D30" s="26" t="n">
        <v>36.452304</v>
      </c>
      <c r="E30" s="26" t="n">
        <v>126.395802</v>
      </c>
      <c r="F30" s="28" t="n"/>
      <c r="G30" s="28" t="n"/>
      <c r="H30" s="27" t="n"/>
      <c r="I30" s="27" t="n"/>
      <c r="J30" s="40" t="n"/>
      <c r="K30" s="40" t="n"/>
      <c r="L30" s="31" t="n"/>
      <c r="M30" s="28" t="n"/>
      <c r="N30" s="28" t="n"/>
      <c r="O30" s="32" t="n"/>
      <c r="P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S27-P0a</t>
        </is>
      </c>
      <c r="D31" s="26" t="n">
        <v>36.579379</v>
      </c>
      <c r="E31" s="26" t="n">
        <v>127.068702</v>
      </c>
      <c r="F31" s="28" t="n"/>
      <c r="G31" s="28" t="n"/>
      <c r="H31" s="27" t="n"/>
      <c r="I31" s="27" t="n"/>
      <c r="J31" s="40" t="n"/>
      <c r="K31" s="40" t="n"/>
      <c r="L31" s="31" t="n"/>
      <c r="M31" s="28" t="n"/>
      <c r="N31" s="28" t="n"/>
      <c r="O31" s="32" t="n"/>
      <c r="P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S28-P0a</t>
        </is>
      </c>
      <c r="D32" s="26" t="n">
        <v>36.16662</v>
      </c>
      <c r="E32" s="26" t="n">
        <v>127.583121</v>
      </c>
      <c r="F32" s="28" t="n"/>
      <c r="G32" s="28" t="n"/>
      <c r="H32" s="27" t="n"/>
      <c r="I32" s="27" t="n"/>
      <c r="J32" s="40" t="n"/>
      <c r="K32" s="40" t="n"/>
      <c r="L32" s="31" t="n"/>
      <c r="M32" s="28" t="n"/>
      <c r="N32" s="28" t="n"/>
      <c r="O32" s="32" t="n"/>
      <c r="P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S29-P0a</t>
        </is>
      </c>
      <c r="D33" s="26" t="n">
        <v>35.777986</v>
      </c>
      <c r="E33" s="26" t="n">
        <v>128.036833</v>
      </c>
      <c r="F33" s="28" t="n"/>
      <c r="G33" s="28" t="n"/>
      <c r="H33" s="27" t="n"/>
      <c r="I33" s="27" t="n"/>
      <c r="J33" s="40" t="n"/>
      <c r="K33" s="40" t="n"/>
      <c r="L33" s="31" t="n"/>
      <c r="M33" s="28" t="n"/>
      <c r="N33" s="28" t="n"/>
      <c r="O33" s="32" t="n"/>
      <c r="P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S30-P0a</t>
        </is>
      </c>
      <c r="D34" s="26" t="n">
        <v>35.662586</v>
      </c>
      <c r="E34" s="26" t="n">
        <v>128.298099</v>
      </c>
      <c r="F34" s="28" t="n"/>
      <c r="G34" s="28" t="n"/>
      <c r="H34" s="27" t="n"/>
      <c r="I34" s="27" t="n"/>
      <c r="J34" s="40" t="n"/>
      <c r="K34" s="40" t="n"/>
      <c r="L34" s="31" t="n"/>
      <c r="M34" s="28" t="n"/>
      <c r="N34" s="28" t="n"/>
      <c r="O34" s="32" t="n"/>
      <c r="P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S31-P0a</t>
        </is>
      </c>
      <c r="D35" s="26" t="n">
        <v>35.742364</v>
      </c>
      <c r="E35" s="26" t="n">
        <v>129.029824</v>
      </c>
      <c r="F35" s="28" t="n"/>
      <c r="G35" s="28" t="n"/>
      <c r="H35" s="27" t="n"/>
      <c r="I35" s="27" t="n"/>
      <c r="J35" s="40" t="n"/>
      <c r="K35" s="40" t="n"/>
      <c r="L35" s="31" t="n"/>
      <c r="M35" s="28" t="n"/>
      <c r="N35" s="28" t="n"/>
      <c r="O35" s="32" t="n"/>
      <c r="P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S32-P0a</t>
        </is>
      </c>
      <c r="D36" s="26" t="n">
        <v>35.586243</v>
      </c>
      <c r="E36" s="26" t="n">
        <v>127.574659</v>
      </c>
      <c r="F36" s="28" t="n"/>
      <c r="G36" s="28" t="n"/>
      <c r="H36" s="27" t="n"/>
      <c r="I36" s="27" t="n"/>
      <c r="J36" s="40" t="n"/>
      <c r="K36" s="40" t="n"/>
      <c r="L36" s="31" t="n"/>
      <c r="M36" s="28" t="n"/>
      <c r="N36" s="28" t="n"/>
      <c r="O36" s="32" t="n"/>
      <c r="P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S33-P0a</t>
        </is>
      </c>
      <c r="D37" s="26" t="n">
        <v>37.927676</v>
      </c>
      <c r="E37" s="26" t="n">
        <v>126.870305</v>
      </c>
      <c r="F37" s="28" t="n"/>
      <c r="G37" s="28" t="n"/>
      <c r="H37" s="27" t="n"/>
      <c r="I37" s="27" t="n"/>
      <c r="J37" s="40" t="n"/>
      <c r="K37" s="40" t="n"/>
      <c r="L37" s="31" t="n"/>
      <c r="M37" s="28" t="n"/>
      <c r="N37" s="28" t="n"/>
      <c r="O37" s="32" t="n"/>
      <c r="P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S34-P0a</t>
        </is>
      </c>
      <c r="D38" s="26" t="n">
        <v>35.541753</v>
      </c>
      <c r="E38" s="26" t="n">
        <v>126.645582</v>
      </c>
      <c r="F38" s="28" t="n"/>
      <c r="G38" s="28" t="n"/>
      <c r="H38" s="27" t="n"/>
      <c r="I38" s="27" t="n"/>
      <c r="J38" s="40" t="n"/>
      <c r="K38" s="40" t="n"/>
      <c r="L38" s="31" t="n"/>
      <c r="M38" s="28" t="n"/>
      <c r="N38" s="28" t="n"/>
      <c r="O38" s="32" t="n"/>
      <c r="P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S35-P0a</t>
        </is>
      </c>
      <c r="D39" s="26" t="n">
        <v>36.35528841666667</v>
      </c>
      <c r="E39" s="26" t="n">
        <v>128.1104806944444</v>
      </c>
      <c r="F39" s="28" t="n"/>
      <c r="G39" s="28" t="n"/>
      <c r="H39" s="27" t="n"/>
      <c r="I39" s="27" t="n"/>
      <c r="J39" s="40" t="n"/>
      <c r="K39" s="40" t="n"/>
      <c r="L39" s="31" t="n"/>
      <c r="M39" s="28" t="n"/>
      <c r="N39" s="28" t="n"/>
      <c r="O39" s="32" t="n"/>
      <c r="P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S36-P0a</t>
        </is>
      </c>
      <c r="D40" s="26" t="n">
        <v>36.72502777777778</v>
      </c>
      <c r="E40" s="26" t="n">
        <v>127.5862222222222</v>
      </c>
      <c r="F40" s="28" t="n"/>
      <c r="G40" s="28" t="n"/>
      <c r="H40" s="27" t="n"/>
      <c r="I40" s="27" t="n"/>
      <c r="J40" s="40" t="n"/>
      <c r="K40" s="40" t="n"/>
      <c r="L40" s="31" t="n"/>
      <c r="M40" s="28" t="n"/>
      <c r="N40" s="28" t="n"/>
      <c r="O40" s="32" t="n"/>
      <c r="P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S37-P0a</t>
        </is>
      </c>
      <c r="D41" s="26" t="n">
        <v>35.58775</v>
      </c>
      <c r="E41" s="26" t="n">
        <v>126.7161388888889</v>
      </c>
      <c r="F41" s="28" t="n"/>
      <c r="G41" s="28" t="n"/>
      <c r="H41" s="27" t="n"/>
      <c r="I41" s="27" t="n"/>
      <c r="J41" s="40" t="n"/>
      <c r="K41" s="40" t="n"/>
      <c r="L41" s="31" t="n"/>
      <c r="M41" s="28" t="n"/>
      <c r="N41" s="28" t="n"/>
      <c r="O41" s="32" t="n"/>
      <c r="P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S38-P0a</t>
        </is>
      </c>
      <c r="D42" s="26" t="n">
        <v>37.66612411111111</v>
      </c>
      <c r="E42" s="26" t="n">
        <v>126.4787752222222</v>
      </c>
      <c r="F42" s="28" t="n"/>
      <c r="G42" s="28" t="n"/>
      <c r="H42" s="27" t="n"/>
      <c r="I42" s="27" t="n"/>
      <c r="J42" s="40" t="n"/>
      <c r="K42" s="40" t="n"/>
      <c r="L42" s="31" t="n"/>
      <c r="M42" s="28" t="n"/>
      <c r="N42" s="28" t="n"/>
      <c r="O42" s="32" t="n"/>
      <c r="P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S39-P0a</t>
        </is>
      </c>
      <c r="D43" s="26" t="n">
        <v>35.67619994444444</v>
      </c>
      <c r="E43" s="26" t="n">
        <v>129.1908721388889</v>
      </c>
      <c r="F43" s="28" t="n"/>
      <c r="G43" s="28" t="n"/>
      <c r="H43" s="27" t="n"/>
      <c r="I43" s="27" t="n"/>
      <c r="J43" s="40" t="n"/>
      <c r="K43" s="40" t="n"/>
      <c r="L43" s="31" t="n"/>
      <c r="M43" s="28" t="n"/>
      <c r="N43" s="28" t="n"/>
      <c r="O43" s="32" t="n"/>
      <c r="P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S40-P0a</t>
        </is>
      </c>
      <c r="D44" s="26" t="n">
        <v>35.43616666666667</v>
      </c>
      <c r="E44" s="26" t="n">
        <v>128.4737777777778</v>
      </c>
      <c r="F44" s="28" t="n"/>
      <c r="G44" s="28" t="n"/>
      <c r="H44" s="27" t="n"/>
      <c r="I44" s="27" t="n"/>
      <c r="J44" s="40" t="n"/>
      <c r="K44" s="40" t="n"/>
      <c r="L44" s="31" t="n"/>
      <c r="M44" s="28" t="n"/>
      <c r="N44" s="28" t="n"/>
      <c r="O44" s="32" t="n"/>
      <c r="P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S41-P0a</t>
        </is>
      </c>
      <c r="D45" s="26" t="n">
        <v>34.87031108333333</v>
      </c>
      <c r="E45" s="26" t="n">
        <v>128.5928611111111</v>
      </c>
      <c r="F45" s="28" t="n"/>
      <c r="G45" s="28" t="n"/>
      <c r="H45" s="27" t="n"/>
      <c r="I45" s="27" t="n"/>
      <c r="J45" s="40" t="n"/>
      <c r="K45" s="40" t="n"/>
      <c r="L45" s="31" t="n"/>
      <c r="M45" s="28" t="n"/>
      <c r="N45" s="28" t="n"/>
      <c r="O45" s="32" t="n"/>
      <c r="P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S42-P0a</t>
        </is>
      </c>
      <c r="D46" s="26" t="n">
        <v>34.43191666666667</v>
      </c>
      <c r="E46" s="26" t="n">
        <v>126.2238055555556</v>
      </c>
      <c r="F46" s="28" t="n"/>
      <c r="G46" s="28" t="n"/>
      <c r="H46" s="27" t="n"/>
      <c r="I46" s="27" t="n"/>
      <c r="J46" s="40" t="n"/>
      <c r="K46" s="40" t="n"/>
      <c r="L46" s="31" t="n"/>
      <c r="M46" s="28" t="n"/>
      <c r="N46" s="28" t="n"/>
      <c r="O46" s="32" t="n"/>
      <c r="P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S43-P0a</t>
        </is>
      </c>
      <c r="D47" s="26" t="n">
        <v>37.99090344444445</v>
      </c>
      <c r="E47" s="26" t="n">
        <v>127.1346283611111</v>
      </c>
      <c r="F47" s="28" t="n"/>
      <c r="G47" s="28" t="n"/>
      <c r="H47" s="27" t="n"/>
      <c r="I47" s="27" t="n"/>
      <c r="J47" s="40" t="n"/>
      <c r="K47" s="40" t="n"/>
      <c r="L47" s="31" t="n"/>
      <c r="M47" s="28" t="n"/>
      <c r="N47" s="28" t="n"/>
      <c r="O47" s="32" t="n"/>
      <c r="P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S44-P0a</t>
        </is>
      </c>
      <c r="D48" s="26" t="n">
        <v>33.52447991666666</v>
      </c>
      <c r="E48" s="26" t="n">
        <v>126.8941619722222</v>
      </c>
      <c r="F48" s="28" t="n"/>
      <c r="G48" s="28" t="n"/>
      <c r="H48" s="27" t="n"/>
      <c r="I48" s="27" t="n"/>
      <c r="J48" s="40" t="n"/>
      <c r="K48" s="40" t="n"/>
      <c r="L48" s="31" t="n"/>
      <c r="M48" s="28" t="n"/>
      <c r="N48" s="28" t="n"/>
      <c r="O48" s="32" t="n"/>
      <c r="P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S45-P0a</t>
        </is>
      </c>
      <c r="D49" s="26" t="n">
        <v>37.445381</v>
      </c>
      <c r="E49" s="26" t="n">
        <v>127.5733216944444</v>
      </c>
      <c r="F49" s="28" t="n"/>
      <c r="G49" s="28" t="n"/>
      <c r="H49" s="27" t="n"/>
      <c r="I49" s="27" t="n"/>
      <c r="J49" s="40" t="n"/>
      <c r="K49" s="40" t="n"/>
      <c r="L49" s="31" t="n"/>
      <c r="M49" s="28" t="n"/>
      <c r="N49" s="28" t="n"/>
      <c r="O49" s="32" t="n"/>
      <c r="P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S46-P0a</t>
        </is>
      </c>
      <c r="D50" s="26" t="n">
        <v>38.11566666666667</v>
      </c>
      <c r="E50" s="26" t="n">
        <v>127.6867222222222</v>
      </c>
      <c r="F50" s="28" t="n"/>
      <c r="G50" s="28" t="n"/>
      <c r="H50" s="27" t="n"/>
      <c r="I50" s="27" t="n"/>
      <c r="J50" s="40" t="n"/>
      <c r="K50" s="40" t="n"/>
      <c r="L50" s="31" t="n"/>
      <c r="M50" s="28" t="n"/>
      <c r="N50" s="28" t="n"/>
      <c r="O50" s="32" t="n"/>
      <c r="P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S47-P0a</t>
        </is>
      </c>
      <c r="D51" s="26" t="n">
        <v>37.61237222222223</v>
      </c>
      <c r="E51" s="26" t="n">
        <v>128.395802</v>
      </c>
      <c r="F51" s="28" t="n"/>
      <c r="G51" s="28" t="n"/>
      <c r="H51" s="27" t="n"/>
      <c r="I51" s="27" t="n"/>
      <c r="J51" s="40" t="n"/>
      <c r="K51" s="40" t="n"/>
      <c r="L51" s="31" t="n"/>
      <c r="M51" s="28" t="n"/>
      <c r="N51" s="28" t="n"/>
      <c r="O51" s="32" t="n"/>
      <c r="P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S48-P0a</t>
        </is>
      </c>
      <c r="D52" s="26" t="n">
        <v>37.38471708333334</v>
      </c>
      <c r="E52" s="26" t="n">
        <v>129.2032259444444</v>
      </c>
      <c r="F52" s="28" t="n"/>
      <c r="G52" s="28" t="n"/>
      <c r="H52" s="27" t="n"/>
      <c r="I52" s="27" t="n"/>
      <c r="J52" s="40" t="n"/>
      <c r="K52" s="40" t="n"/>
      <c r="L52" s="31" t="n"/>
      <c r="M52" s="28" t="n"/>
      <c r="N52" s="28" t="n"/>
      <c r="O52" s="32" t="n"/>
      <c r="P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S49-P0a</t>
        </is>
      </c>
      <c r="D53" s="26" t="n">
        <v>37.07463888888889</v>
      </c>
      <c r="E53" s="26" t="n">
        <v>128.2114444444444</v>
      </c>
      <c r="F53" s="28" t="n"/>
      <c r="G53" s="28" t="n"/>
      <c r="H53" s="27" t="n"/>
      <c r="I53" s="27" t="n"/>
      <c r="J53" s="40" t="n"/>
      <c r="K53" s="40" t="n"/>
      <c r="L53" s="31" t="n"/>
      <c r="M53" s="28" t="n"/>
      <c r="N53" s="28" t="n"/>
      <c r="O53" s="32" t="n"/>
      <c r="P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S50-P0a</t>
        </is>
      </c>
      <c r="D54" s="26" t="n">
        <v>35.54250855555556</v>
      </c>
      <c r="E54" s="26" t="n">
        <v>127.6229688333333</v>
      </c>
      <c r="F54" s="28" t="n"/>
      <c r="G54" s="28" t="n"/>
      <c r="H54" s="27" t="n"/>
      <c r="I54" s="27" t="n"/>
      <c r="J54" s="40" t="n"/>
      <c r="K54" s="40" t="n"/>
      <c r="L54" s="31" t="n"/>
      <c r="M54" s="28" t="n"/>
      <c r="N54" s="28" t="n"/>
      <c r="O54" s="32" t="n"/>
      <c r="P54" s="28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</cols>
  <sheetData>
    <row r="1" ht="26" customHeight="1">
      <c r="A1" s="1" t="inlineStr">
        <is>
          <t>이번 단계 적용요소 · 기록 완전성 게이트 — 통과/실패로만</t>
        </is>
      </c>
    </row>
    <row r="2" ht="33" customHeight="1">
      <c r="A2" s="3" t="inlineStr">
        <is>
          <t>⚠ 정량 임계로 바로 선점을 확정하지 않기 위해 판정을 두 층으로 나눈다. 이 시트는 «반드시 통과해야 하는 것»만 다룬다 — 법정 조문과 기록 완전성이다. 정량 지표는 ⑬에서 본다.</t>
        </is>
      </c>
    </row>
    <row r="3" ht="47" customHeight="1">
      <c r="A3" s="3" t="inlineStr">
        <is>
          <t>⚠ **「법정 요건 통과」로 읽지 말 것.** §17 은 0.1 nT 판독 외에 지자기 3요소·방위각·시간·온습도 측정능력을, §21 은 동일시간 상시기준점 비교와 기준년 환산까지 규정한다. 이 단계는 발주자 결정에 따라 그 «일부만» 적용한다. 정식 표지 설치라면 §15·§16, 정식 측정 준비라면 §18 의 적용범위를 따로 판단해야 한다(⑮ 확인 필요).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§13② 이격</t>
        </is>
      </c>
      <c r="D4" s="8" t="inlineStr">
        <is>
          <t>§14 선점실시 자기환경 확인</t>
        </is>
      </c>
      <c r="E4" s="8" t="inlineStr">
        <is>
          <t>§17 0.1 nT 판독
(부분 적용)</t>
        </is>
      </c>
      <c r="F4" s="8" t="inlineStr">
        <is>
          <t>§18③ 자기오염 방지</t>
        </is>
      </c>
      <c r="G4" s="8" t="inlineStr">
        <is>
          <t>§21 시간변화 보정
(부분 적용)</t>
        </is>
      </c>
      <c r="H4" s="8" t="inlineStr">
        <is>
          <t>수평 4방향 Set 검증 OK</t>
        </is>
      </c>
      <c r="I4" s="8" t="inlineStr">
        <is>
          <t>수직 Set 검증 OK</t>
        </is>
      </c>
      <c r="J4" s="8" t="inlineStr">
        <is>
          <t>P0 전·후 반복관측</t>
        </is>
      </c>
      <c r="K4" s="8" t="inlineStr">
        <is>
          <t>참방위각 결정</t>
        </is>
      </c>
      <c r="L4" s="8" t="inlineStr">
        <is>
          <t>좌표 검증</t>
        </is>
      </c>
      <c r="M4" s="8" t="inlineStr">
        <is>
          <t>중심점 확정</t>
        </is>
      </c>
      <c r="N4" s="8" t="inlineStr">
        <is>
          <t>게이트 종합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5">
        <f>IF(COUNTIF(C5:M5,"실패")&gt;0,"실패",IF(COUNTIF(C5:M5,"통과")=11,"통과","미완"))</f>
        <v/>
      </c>
    </row>
    <row r="6">
      <c r="A6" s="25" t="inlineStr">
        <is>
          <t>S02</t>
        </is>
      </c>
      <c r="B6" s="25" t="inlineStr">
        <is>
          <t>임계 신규점1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5">
        <f>IF(COUNTIF(C6:M6,"실패")&gt;0,"실패",IF(COUNTIF(C6:M6,"통과")=11,"통과","미완"))</f>
        <v/>
      </c>
    </row>
    <row r="7">
      <c r="A7" s="25" t="inlineStr">
        <is>
          <t>S03</t>
        </is>
      </c>
      <c r="B7" s="25" t="inlineStr">
        <is>
          <t>예산 신규점2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5">
        <f>IF(COUNTIF(C7:M7,"실패")&gt;0,"실패",IF(COUNTIF(C7:M7,"통과")=11,"통과","미완"))</f>
        <v/>
      </c>
    </row>
    <row r="8">
      <c r="A8" s="25" t="inlineStr">
        <is>
          <t>S04</t>
        </is>
      </c>
      <c r="B8" s="25" t="inlineStr">
        <is>
          <t>진안 신규점1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5">
        <f>IF(COUNTIF(C8:M8,"실패")&gt;0,"실패",IF(COUNTIF(C8:M8,"통과")=11,"통과","미완"))</f>
        <v/>
      </c>
    </row>
    <row r="9">
      <c r="A9" s="25" t="inlineStr">
        <is>
          <t>S05</t>
        </is>
      </c>
      <c r="B9" s="25" t="inlineStr">
        <is>
          <t>무풍 신규점1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5">
        <f>IF(COUNTIF(C9:M9,"실패")&gt;0,"실패",IF(COUNTIF(C9:M9,"통과")=11,"통과","미완"))</f>
        <v/>
      </c>
    </row>
    <row r="10">
      <c r="A10" s="25" t="inlineStr">
        <is>
          <t>S06</t>
        </is>
      </c>
      <c r="B10" s="25" t="inlineStr">
        <is>
          <t>길담 신규점</t>
        </is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5">
        <f>IF(COUNTIF(C10:M10,"실패")&gt;0,"실패",IF(COUNTIF(C10:M10,"통과")=11,"통과","미완"))</f>
        <v/>
      </c>
    </row>
    <row r="11">
      <c r="A11" s="25" t="inlineStr">
        <is>
          <t>S07</t>
        </is>
      </c>
      <c r="B11" s="25" t="inlineStr">
        <is>
          <t>남해 신규점1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5">
        <f>IF(COUNTIF(C11:M11,"실패")&gt;0,"실패",IF(COUNTIF(C11:M11,"통과")=11,"통과","미완"))</f>
        <v/>
      </c>
    </row>
    <row r="12">
      <c r="A12" s="25" t="inlineStr">
        <is>
          <t>S08</t>
        </is>
      </c>
      <c r="B12" s="25" t="inlineStr">
        <is>
          <t>청일 신규점2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5">
        <f>IF(COUNTIF(C12:M12,"실패")&gt;0,"실패",IF(COUNTIF(C12:M12,"통과")=11,"통과","미완"))</f>
        <v/>
      </c>
    </row>
    <row r="13">
      <c r="A13" s="25" t="inlineStr">
        <is>
          <t>S09</t>
        </is>
      </c>
      <c r="B13" s="25" t="inlineStr">
        <is>
          <t>어론 신규점</t>
        </is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5">
        <f>IF(COUNTIF(C13:M13,"실패")&gt;0,"실패",IF(COUNTIF(C13:M13,"통과")=11,"통과","미완"))</f>
        <v/>
      </c>
    </row>
    <row r="14">
      <c r="A14" s="25" t="inlineStr">
        <is>
          <t>S10</t>
        </is>
      </c>
      <c r="B14" s="25" t="inlineStr">
        <is>
          <t>예안 신규점1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5">
        <f>IF(COUNTIF(C14:M14,"실패")&gt;0,"실패",IF(COUNTIF(C14:M14,"통과")=11,"통과","미완"))</f>
        <v/>
      </c>
    </row>
    <row r="15">
      <c r="A15" s="25" t="inlineStr">
        <is>
          <t>S11</t>
        </is>
      </c>
      <c r="B15" s="25" t="inlineStr">
        <is>
          <t>소천 신규점4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5">
        <f>IF(COUNTIF(C15:M15,"실패")&gt;0,"실패",IF(COUNTIF(C15:M15,"통과")=11,"통과","미완"))</f>
        <v/>
      </c>
    </row>
    <row r="16">
      <c r="A16" s="25" t="inlineStr">
        <is>
          <t>S12</t>
        </is>
      </c>
      <c r="B16" s="25" t="inlineStr">
        <is>
          <t>순창 신규점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5">
        <f>IF(COUNTIF(C16:M16,"실패")&gt;0,"실패",IF(COUNTIF(C16:M16,"통과")=11,"통과","미완"))</f>
        <v/>
      </c>
    </row>
    <row r="17">
      <c r="A17" s="25" t="inlineStr">
        <is>
          <t>S13</t>
        </is>
      </c>
      <c r="B17" s="25" t="inlineStr">
        <is>
          <t>순천 신규점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5">
        <f>IF(COUNTIF(C17:M17,"실패")&gt;0,"실패",IF(COUNTIF(C17:M17,"통과")=11,"통과","미완"))</f>
        <v/>
      </c>
    </row>
    <row r="18">
      <c r="A18" s="25" t="inlineStr">
        <is>
          <t>S14</t>
        </is>
      </c>
      <c r="B18" s="25" t="inlineStr">
        <is>
          <t>청송 신규점1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5">
        <f>IF(COUNTIF(C18:M18,"실패")&gt;0,"실패",IF(COUNTIF(C18:M18,"통과")=11,"통과","미완"))</f>
        <v/>
      </c>
    </row>
    <row r="19">
      <c r="A19" s="25" t="inlineStr">
        <is>
          <t>S15</t>
        </is>
      </c>
      <c r="B19" s="25" t="inlineStr">
        <is>
          <t>의성 신규점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5">
        <f>IF(COUNTIF(C19:M19,"실패")&gt;0,"실패",IF(COUNTIF(C19:M19,"통과")=11,"통과","미완"))</f>
        <v/>
      </c>
    </row>
    <row r="20">
      <c r="A20" s="25" t="inlineStr">
        <is>
          <t>S16</t>
        </is>
      </c>
      <c r="B20" s="25" t="inlineStr">
        <is>
          <t>예천 신규점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5">
        <f>IF(COUNTIF(C20:M20,"실패")&gt;0,"실패",IF(COUNTIF(C20:M20,"통과")=11,"통과","미완"))</f>
        <v/>
      </c>
    </row>
    <row r="21">
      <c r="A21" s="25" t="inlineStr">
        <is>
          <t>S17</t>
        </is>
      </c>
      <c r="B21" s="25" t="inlineStr">
        <is>
          <t>영양 신규점4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5">
        <f>IF(COUNTIF(C21:M21,"실패")&gt;0,"실패",IF(COUNTIF(C21:M21,"통과")=11,"통과","미완"))</f>
        <v/>
      </c>
    </row>
    <row r="22">
      <c r="A22" s="25" t="inlineStr">
        <is>
          <t>S18</t>
        </is>
      </c>
      <c r="B22" s="25" t="inlineStr">
        <is>
          <t>통영 신규점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5">
        <f>IF(COUNTIF(C22:M22,"실패")&gt;0,"실패",IF(COUNTIF(C22:M22,"통과")=11,"통과","미완"))</f>
        <v/>
      </c>
    </row>
    <row r="23">
      <c r="A23" s="25" t="inlineStr">
        <is>
          <t>S19</t>
        </is>
      </c>
      <c r="B23" s="25" t="inlineStr">
        <is>
          <t>오호 신규점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5">
        <f>IF(COUNTIF(C23:M23,"실패")&gt;0,"실패",IF(COUNTIF(C23:M23,"통과")=11,"통과","미완"))</f>
        <v/>
      </c>
    </row>
    <row r="24">
      <c r="A24" s="25" t="inlineStr">
        <is>
          <t>S20</t>
        </is>
      </c>
      <c r="B24" s="25" t="inlineStr">
        <is>
          <t>보령 신규점2</t>
        </is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5">
        <f>IF(COUNTIF(C24:M24,"실패")&gt;0,"실패",IF(COUNTIF(C24:M24,"통과")=11,"통과","미완"))</f>
        <v/>
      </c>
    </row>
    <row r="25">
      <c r="A25" s="25" t="inlineStr">
        <is>
          <t>S21</t>
        </is>
      </c>
      <c r="B25" s="25" t="inlineStr">
        <is>
          <t>담양 신규점2</t>
        </is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5">
        <f>IF(COUNTIF(C25:M25,"실패")&gt;0,"실패",IF(COUNTIF(C25:M25,"통과")=11,"통과","미완"))</f>
        <v/>
      </c>
    </row>
    <row r="26">
      <c r="A26" s="25" t="inlineStr">
        <is>
          <t>S22</t>
        </is>
      </c>
      <c r="B26" s="25" t="inlineStr">
        <is>
          <t>완도 신규점</t>
        </is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5">
        <f>IF(COUNTIF(C26:M26,"실패")&gt;0,"실패",IF(COUNTIF(C26:M26,"통과")=11,"통과","미완"))</f>
        <v/>
      </c>
    </row>
    <row r="27">
      <c r="A27" s="25" t="inlineStr">
        <is>
          <t>S23</t>
        </is>
      </c>
      <c r="B27" s="25" t="inlineStr">
        <is>
          <t>덕산 신규점1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5">
        <f>IF(COUNTIF(C27:M27,"실패")&gt;0,"실패",IF(COUNTIF(C27:M27,"통과")=11,"통과","미완"))</f>
        <v/>
      </c>
    </row>
    <row r="28">
      <c r="A28" s="25" t="inlineStr">
        <is>
          <t>S24</t>
        </is>
      </c>
      <c r="B28" s="25" t="inlineStr">
        <is>
          <t>회천 신규점2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5">
        <f>IF(COUNTIF(C28:M28,"실패")&gt;0,"실패",IF(COUNTIF(C28:M28,"통과")=11,"통과","미완"))</f>
        <v/>
      </c>
    </row>
    <row r="29">
      <c r="A29" s="25" t="inlineStr">
        <is>
          <t>S25</t>
        </is>
      </c>
      <c r="B29" s="25" t="inlineStr">
        <is>
          <t>관리 신규점3</t>
        </is>
      </c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5">
        <f>IF(COUNTIF(C29:M29,"실패")&gt;0,"실패",IF(COUNTIF(C29:M29,"통과")=11,"통과","미완"))</f>
        <v/>
      </c>
    </row>
    <row r="30">
      <c r="A30" s="25" t="inlineStr">
        <is>
          <t>S26</t>
        </is>
      </c>
      <c r="B30" s="25" t="inlineStr">
        <is>
          <t>고남 신규점2</t>
        </is>
      </c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5">
        <f>IF(COUNTIF(C30:M30,"실패")&gt;0,"실패",IF(COUNTIF(C30:M30,"통과")=11,"통과","미완"))</f>
        <v/>
      </c>
    </row>
    <row r="31">
      <c r="A31" s="25" t="inlineStr">
        <is>
          <t>S27</t>
        </is>
      </c>
      <c r="B31" s="25" t="inlineStr">
        <is>
          <t>전의 신규점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5">
        <f>IF(COUNTIF(C31:M31,"실패")&gt;0,"실패",IF(COUNTIF(C31:M31,"통과")=11,"통과","미완"))</f>
        <v/>
      </c>
    </row>
    <row r="32">
      <c r="A32" s="25" t="inlineStr">
        <is>
          <t>S28</t>
        </is>
      </c>
      <c r="B32" s="25" t="inlineStr">
        <is>
          <t>이원 신규점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5">
        <f>IF(COUNTIF(C32:M32,"실패")&gt;0,"실패",IF(COUNTIF(C32:M32,"통과")=11,"통과","미완"))</f>
        <v/>
      </c>
    </row>
    <row r="33">
      <c r="A33" s="25" t="inlineStr">
        <is>
          <t>S29</t>
        </is>
      </c>
      <c r="B33" s="25" t="inlineStr">
        <is>
          <t>가야 신규점1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5">
        <f>IF(COUNTIF(C33:M33,"실패")&gt;0,"실패",IF(COUNTIF(C33:M33,"통과")=11,"통과","미완"))</f>
        <v/>
      </c>
    </row>
    <row r="34">
      <c r="A34" s="25" t="inlineStr">
        <is>
          <t>S30</t>
        </is>
      </c>
      <c r="B34" s="25" t="inlineStr">
        <is>
          <t>창녕 신규점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5">
        <f>IF(COUNTIF(C34:M34,"실패")&gt;0,"실패",IF(COUNTIF(C34:M34,"통과")=11,"통과","미완"))</f>
        <v/>
      </c>
    </row>
    <row r="35">
      <c r="A35" s="25" t="inlineStr">
        <is>
          <t>S31</t>
        </is>
      </c>
      <c r="B35" s="25" t="inlineStr">
        <is>
          <t>언양 신규점3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5">
        <f>IF(COUNTIF(C35:M35,"실패")&gt;0,"실패",IF(COUNTIF(C35:M35,"통과")=11,"통과","미완"))</f>
        <v/>
      </c>
    </row>
    <row r="36">
      <c r="A36" s="25" t="inlineStr">
        <is>
          <t>S32</t>
        </is>
      </c>
      <c r="B36" s="25" t="inlineStr">
        <is>
          <t>함양 신규점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5">
        <f>IF(COUNTIF(C36:M36,"실패")&gt;0,"실패",IF(COUNTIF(C36:M36,"통과")=11,"통과","미완"))</f>
        <v/>
      </c>
    </row>
    <row r="37">
      <c r="A37" s="25" t="inlineStr">
        <is>
          <t>S33</t>
        </is>
      </c>
      <c r="B37" s="25" t="inlineStr">
        <is>
          <t>문산 신규점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5">
        <f>IF(COUNTIF(C37:M37,"실패")&gt;0,"실패",IF(COUNTIF(C37:M37,"통과")=11,"통과","미완"))</f>
        <v/>
      </c>
    </row>
    <row r="38">
      <c r="A38" s="25" t="inlineStr">
        <is>
          <t>S34</t>
        </is>
      </c>
      <c r="B38" s="25" t="inlineStr">
        <is>
          <t>부안 신규점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5">
        <f>IF(COUNTIF(C38:M38,"실패")&gt;0,"실패",IF(COUNTIF(C38:M38,"통과")=11,"통과","미완"))</f>
        <v/>
      </c>
    </row>
    <row r="39">
      <c r="A39" s="25" t="inlineStr">
        <is>
          <t>S35</t>
        </is>
      </c>
      <c r="B39" s="25" t="inlineStr">
        <is>
          <t>상주</t>
        </is>
      </c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5">
        <f>IF(COUNTIF(C39:M39,"실패")&gt;0,"실패",IF(COUNTIF(C39:M39,"통과")=11,"통과","미완"))</f>
        <v/>
      </c>
    </row>
    <row r="40">
      <c r="A40" s="25" t="inlineStr">
        <is>
          <t>S36</t>
        </is>
      </c>
      <c r="B40" s="25" t="inlineStr">
        <is>
          <t>미원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5">
        <f>IF(COUNTIF(C40:M40,"실패")&gt;0,"실패",IF(COUNTIF(C40:M40,"통과")=11,"통과","미완"))</f>
        <v/>
      </c>
    </row>
    <row r="41">
      <c r="A41" s="25" t="inlineStr">
        <is>
          <t>S37</t>
        </is>
      </c>
      <c r="B41" s="25" t="inlineStr">
        <is>
          <t>부안</t>
        </is>
      </c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5">
        <f>IF(COUNTIF(C41:M41,"실패")&gt;0,"실패",IF(COUNTIF(C41:M41,"통과")=11,"통과","미완"))</f>
        <v/>
      </c>
    </row>
    <row r="42">
      <c r="A42" s="25" t="inlineStr">
        <is>
          <t>S38</t>
        </is>
      </c>
      <c r="B42" s="25" t="inlineStr">
        <is>
          <t>강화</t>
        </is>
      </c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5">
        <f>IF(COUNTIF(C42:M42,"실패")&gt;0,"실패",IF(COUNTIF(C42:M42,"통과")=11,"통과","미완"))</f>
        <v/>
      </c>
    </row>
    <row r="43">
      <c r="A43" s="25" t="inlineStr">
        <is>
          <t>S39</t>
        </is>
      </c>
      <c r="B43" s="25" t="inlineStr">
        <is>
          <t>언양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5">
        <f>IF(COUNTIF(C43:M43,"실패")&gt;0,"실패",IF(COUNTIF(C43:M43,"통과")=11,"통과","미완"))</f>
        <v/>
      </c>
    </row>
    <row r="44">
      <c r="A44" s="25" t="inlineStr">
        <is>
          <t>S40</t>
        </is>
      </c>
      <c r="B44" s="25" t="inlineStr">
        <is>
          <t>남지</t>
        </is>
      </c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5">
        <f>IF(COUNTIF(C44:M44,"실패")&gt;0,"실패",IF(COUNTIF(C44:M44,"통과")=11,"통과","미완"))</f>
        <v/>
      </c>
    </row>
    <row r="45">
      <c r="A45" s="25" t="inlineStr">
        <is>
          <t>S41</t>
        </is>
      </c>
      <c r="B45" s="25" t="inlineStr">
        <is>
          <t>거제</t>
        </is>
      </c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5">
        <f>IF(COUNTIF(C45:M45,"실패")&gt;0,"실패",IF(COUNTIF(C45:M45,"통과")=11,"통과","미완"))</f>
        <v/>
      </c>
    </row>
    <row r="46">
      <c r="A46" s="25" t="inlineStr">
        <is>
          <t>S42</t>
        </is>
      </c>
      <c r="B46" s="25" t="inlineStr">
        <is>
          <t>조도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5">
        <f>IF(COUNTIF(C46:M46,"실패")&gt;0,"실패",IF(COUNTIF(C46:M46,"통과")=11,"통과","미완"))</f>
        <v/>
      </c>
    </row>
    <row r="47">
      <c r="A47" s="25" t="inlineStr">
        <is>
          <t>S43</t>
        </is>
      </c>
      <c r="B47" s="25" t="inlineStr">
        <is>
          <t>포천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5">
        <f>IF(COUNTIF(C47:M47,"실패")&gt;0,"실패",IF(COUNTIF(C47:M47,"통과")=11,"통과","미완"))</f>
        <v/>
      </c>
    </row>
    <row r="48">
      <c r="A48" s="25" t="inlineStr">
        <is>
          <t>S44</t>
        </is>
      </c>
      <c r="B48" s="25" t="inlineStr">
        <is>
          <t>성산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5">
        <f>IF(COUNTIF(C48:M48,"실패")&gt;0,"실패",IF(COUNTIF(C48:M48,"통과")=11,"통과","미완"))</f>
        <v/>
      </c>
    </row>
    <row r="49">
      <c r="A49" s="25" t="inlineStr">
        <is>
          <t>S45</t>
        </is>
      </c>
      <c r="B49" s="25" t="inlineStr">
        <is>
          <t>여주</t>
        </is>
      </c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5">
        <f>IF(COUNTIF(C49:M49,"실패")&gt;0,"실패",IF(COUNTIF(C49:M49,"통과")=11,"통과","미완"))</f>
        <v/>
      </c>
    </row>
    <row r="50">
      <c r="A50" s="25" t="inlineStr">
        <is>
          <t>S46</t>
        </is>
      </c>
      <c r="B50" s="25" t="inlineStr">
        <is>
          <t>화천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5">
        <f>IF(COUNTIF(C50:M50,"실패")&gt;0,"실패",IF(COUNTIF(C50:M50,"통과")=11,"통과","미완"))</f>
        <v/>
      </c>
    </row>
    <row r="51">
      <c r="A51" s="25" t="inlineStr">
        <is>
          <t>S47</t>
        </is>
      </c>
      <c r="B51" s="25" t="inlineStr">
        <is>
          <t>봉평</t>
        </is>
      </c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5">
        <f>IF(COUNTIF(C51:M51,"실패")&gt;0,"실패",IF(COUNTIF(C51:M51,"통과")=11,"통과","미완"))</f>
        <v/>
      </c>
    </row>
    <row r="52">
      <c r="A52" s="25" t="inlineStr">
        <is>
          <t>S48</t>
        </is>
      </c>
      <c r="B52" s="25" t="inlineStr">
        <is>
          <t>삼척</t>
        </is>
      </c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5">
        <f>IF(COUNTIF(C52:M52,"실패")&gt;0,"실패",IF(COUNTIF(C52:M52,"통과")=11,"통과","미완"))</f>
        <v/>
      </c>
    </row>
    <row r="53">
      <c r="A53" s="25" t="inlineStr">
        <is>
          <t>S49</t>
        </is>
      </c>
      <c r="B53" s="25" t="inlineStr">
        <is>
          <t>제천</t>
        </is>
      </c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5">
        <f>IF(COUNTIF(C53:M53,"실패")&gt;0,"실패",IF(COUNTIF(C53:M53,"통과")=11,"통과","미완"))</f>
        <v/>
      </c>
    </row>
    <row r="54">
      <c r="A54" s="25" t="inlineStr">
        <is>
          <t>S50</t>
        </is>
      </c>
      <c r="B54" s="25" t="inlineStr">
        <is>
          <t>함양</t>
        </is>
      </c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5">
        <f>IF(COUNTIF(C54:M54,"실패")&gt;0,"실패",IF(COUNTIF(C54:M54,"통과")=11,"통과","미완"))</f>
        <v/>
      </c>
    </row>
  </sheetData>
  <mergeCells count="3">
    <mergeCell ref="A3:N3"/>
    <mergeCell ref="A2:N2"/>
    <mergeCell ref="A1:N1"/>
  </mergeCells>
  <dataValidations count="1">
    <dataValidation sqref="C5:M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33" customHeight="1">
      <c r="A3" s="3" t="inlineStr">
        <is>
          <t>⚠ 「관측사실」·「국제 참고기준 대비」·「국내 판정상태」를 **분리**한다. 국내 기준이 미확정인 상태에서 자유기재 판정만 두면 참고기준이 사실상 비공개 탈락기준으로 작동하고 50점이 서로 다른 잣대로 평가된다. 기준명·버전과 판단자·일자를 반드시 남길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4방위 측선 max|ΔF|
(nT)</t>
        </is>
      </c>
      <c r="E4" s="8" t="inlineStr">
        <is>
          <t>4방위 측선 max−min
(nT)</t>
        </is>
      </c>
      <c r="F4" s="8" t="inlineStr">
        <is>
          <t>1 m 지점 |변화율|
(nT/m, 시범관측 대조용)</t>
        </is>
      </c>
      <c r="G4" s="8" t="inlineStr">
        <is>
          <t>전 거리 최대 |변화율|
(nT/m)</t>
        </is>
      </c>
      <c r="H4" s="8" t="inlineStr">
        <is>
          <t>전 거리 중앙 |변화율|
(nT/m)</t>
        </is>
      </c>
      <c r="I4" s="8" t="inlineStr">
        <is>
          <t>수직 ΔF 범위
(nT)</t>
        </is>
      </c>
      <c r="J4" s="8" t="inlineStr">
        <is>
          <t>P0 전후차
(nT)</t>
        </is>
      </c>
      <c r="K4" s="8" t="inlineStr">
        <is>
          <t>Set 지속 최대
(분)</t>
        </is>
      </c>
      <c r="L4" s="8" t="inlineStr">
        <is>
          <t>시간변화 처리</t>
        </is>
      </c>
      <c r="M4" s="8" t="inlineStr">
        <is>
          <t>IAGA 50 nT
대비</t>
        </is>
      </c>
      <c r="N4" s="8" t="inlineStr">
        <is>
          <t>유럽 3 nT/m
대비</t>
        </is>
      </c>
      <c r="O4" s="8" t="inlineStr">
        <is>
          <t>예측 |∇ΔT|
(참고)</t>
        </is>
      </c>
      <c r="P4" s="8" t="inlineStr">
        <is>
          <t>게이트 종합</t>
        </is>
      </c>
      <c r="Q4" s="8" t="inlineStr">
        <is>
          <t>중심점 조정</t>
        </is>
      </c>
      <c r="R4" s="8" t="inlineStr">
        <is>
          <t>국내 판정상태</t>
        </is>
      </c>
      <c r="S4" s="8" t="inlineStr">
        <is>
          <t>기준명·버전</t>
        </is>
      </c>
      <c r="T4" s="8" t="inlineStr">
        <is>
          <t>판단자·일자</t>
        </is>
      </c>
      <c r="U4" s="8" t="inlineStr">
        <is>
          <t>판단 사유·특이사항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40" t="n"/>
      <c r="E5" s="40" t="n"/>
      <c r="F5" s="29" t="n"/>
      <c r="G5" s="29" t="n"/>
      <c r="H5" s="29" t="n"/>
      <c r="I5" s="40" t="n"/>
      <c r="J5" s="40" t="n"/>
      <c r="K5" s="40" t="n"/>
      <c r="L5" s="28" t="n"/>
      <c r="M5" s="28" t="n"/>
      <c r="N5" s="28" t="n"/>
      <c r="O5" s="25" t="n">
        <v>15.6</v>
      </c>
      <c r="P5" s="25">
        <f>'⑫ 게이트 점검'!N5</f>
        <v/>
      </c>
      <c r="Q5" s="25">
        <f>'⑪ 중심점 최종선정'!F5</f>
        <v/>
      </c>
      <c r="R5" s="28" t="n"/>
      <c r="S5" s="28" t="n"/>
      <c r="T5" s="32" t="n"/>
      <c r="U5" s="31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40" t="n"/>
      <c r="E6" s="40" t="n"/>
      <c r="F6" s="29" t="n"/>
      <c r="G6" s="29" t="n"/>
      <c r="H6" s="29" t="n"/>
      <c r="I6" s="40" t="n"/>
      <c r="J6" s="40" t="n"/>
      <c r="K6" s="40" t="n"/>
      <c r="L6" s="28" t="n"/>
      <c r="M6" s="28" t="n"/>
      <c r="N6" s="28" t="n"/>
      <c r="O6" s="25" t="n">
        <v>24.3</v>
      </c>
      <c r="P6" s="25">
        <f>'⑫ 게이트 점검'!N6</f>
        <v/>
      </c>
      <c r="Q6" s="25">
        <f>'⑪ 중심점 최종선정'!F6</f>
        <v/>
      </c>
      <c r="R6" s="28" t="n"/>
      <c r="S6" s="28" t="n"/>
      <c r="T6" s="32" t="n"/>
      <c r="U6" s="31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40" t="n"/>
      <c r="E7" s="40" t="n"/>
      <c r="F7" s="29" t="n"/>
      <c r="G7" s="29" t="n"/>
      <c r="H7" s="29" t="n"/>
      <c r="I7" s="40" t="n"/>
      <c r="J7" s="40" t="n"/>
      <c r="K7" s="40" t="n"/>
      <c r="L7" s="28" t="n"/>
      <c r="M7" s="28" t="n"/>
      <c r="N7" s="28" t="n"/>
      <c r="O7" s="25" t="n">
        <v>9.300000000000001</v>
      </c>
      <c r="P7" s="25">
        <f>'⑫ 게이트 점검'!N7</f>
        <v/>
      </c>
      <c r="Q7" s="25">
        <f>'⑪ 중심점 최종선정'!F7</f>
        <v/>
      </c>
      <c r="R7" s="28" t="n"/>
      <c r="S7" s="28" t="n"/>
      <c r="T7" s="32" t="n"/>
      <c r="U7" s="31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40" t="n"/>
      <c r="E8" s="40" t="n"/>
      <c r="F8" s="29" t="n"/>
      <c r="G8" s="29" t="n"/>
      <c r="H8" s="29" t="n"/>
      <c r="I8" s="40" t="n"/>
      <c r="J8" s="40" t="n"/>
      <c r="K8" s="40" t="n"/>
      <c r="L8" s="28" t="n"/>
      <c r="M8" s="28" t="n"/>
      <c r="N8" s="28" t="n"/>
      <c r="O8" s="25" t="n">
        <v>20.1</v>
      </c>
      <c r="P8" s="25">
        <f>'⑫ 게이트 점검'!N8</f>
        <v/>
      </c>
      <c r="Q8" s="25">
        <f>'⑪ 중심점 최종선정'!F8</f>
        <v/>
      </c>
      <c r="R8" s="28" t="n"/>
      <c r="S8" s="28" t="n"/>
      <c r="T8" s="32" t="n"/>
      <c r="U8" s="31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40" t="n"/>
      <c r="E9" s="40" t="n"/>
      <c r="F9" s="29" t="n"/>
      <c r="G9" s="29" t="n"/>
      <c r="H9" s="29" t="n"/>
      <c r="I9" s="40" t="n"/>
      <c r="J9" s="40" t="n"/>
      <c r="K9" s="40" t="n"/>
      <c r="L9" s="28" t="n"/>
      <c r="M9" s="28" t="n"/>
      <c r="N9" s="28" t="n"/>
      <c r="O9" s="25" t="n">
        <v>26.6</v>
      </c>
      <c r="P9" s="25">
        <f>'⑫ 게이트 점검'!N9</f>
        <v/>
      </c>
      <c r="Q9" s="25">
        <f>'⑪ 중심점 최종선정'!F9</f>
        <v/>
      </c>
      <c r="R9" s="28" t="n"/>
      <c r="S9" s="28" t="n"/>
      <c r="T9" s="32" t="n"/>
      <c r="U9" s="31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40" t="n"/>
      <c r="E10" s="40" t="n"/>
      <c r="F10" s="29" t="n"/>
      <c r="G10" s="29" t="n"/>
      <c r="H10" s="29" t="n"/>
      <c r="I10" s="40" t="n"/>
      <c r="J10" s="40" t="n"/>
      <c r="K10" s="40" t="n"/>
      <c r="L10" s="28" t="n"/>
      <c r="M10" s="28" t="n"/>
      <c r="N10" s="28" t="n"/>
      <c r="O10" s="25" t="n">
        <v>8.4</v>
      </c>
      <c r="P10" s="25">
        <f>'⑫ 게이트 점검'!N10</f>
        <v/>
      </c>
      <c r="Q10" s="25">
        <f>'⑪ 중심점 최종선정'!F10</f>
        <v/>
      </c>
      <c r="R10" s="28" t="n"/>
      <c r="S10" s="28" t="n"/>
      <c r="T10" s="32" t="n"/>
      <c r="U10" s="31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40" t="n"/>
      <c r="E11" s="40" t="n"/>
      <c r="F11" s="29" t="n"/>
      <c r="G11" s="29" t="n"/>
      <c r="H11" s="29" t="n"/>
      <c r="I11" s="40" t="n"/>
      <c r="J11" s="40" t="n"/>
      <c r="K11" s="40" t="n"/>
      <c r="L11" s="28" t="n"/>
      <c r="M11" s="28" t="n"/>
      <c r="N11" s="28" t="n"/>
      <c r="O11" s="25" t="n">
        <v>5.4</v>
      </c>
      <c r="P11" s="25">
        <f>'⑫ 게이트 점검'!N11</f>
        <v/>
      </c>
      <c r="Q11" s="25">
        <f>'⑪ 중심점 최종선정'!F11</f>
        <v/>
      </c>
      <c r="R11" s="28" t="n"/>
      <c r="S11" s="28" t="n"/>
      <c r="T11" s="32" t="n"/>
      <c r="U11" s="31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40" t="n"/>
      <c r="E12" s="40" t="n"/>
      <c r="F12" s="29" t="n"/>
      <c r="G12" s="29" t="n"/>
      <c r="H12" s="29" t="n"/>
      <c r="I12" s="40" t="n"/>
      <c r="J12" s="40" t="n"/>
      <c r="K12" s="40" t="n"/>
      <c r="L12" s="28" t="n"/>
      <c r="M12" s="28" t="n"/>
      <c r="N12" s="28" t="n"/>
      <c r="O12" s="25" t="n">
        <v>7.6</v>
      </c>
      <c r="P12" s="25">
        <f>'⑫ 게이트 점검'!N12</f>
        <v/>
      </c>
      <c r="Q12" s="25">
        <f>'⑪ 중심점 최종선정'!F12</f>
        <v/>
      </c>
      <c r="R12" s="28" t="n"/>
      <c r="S12" s="28" t="n"/>
      <c r="T12" s="32" t="n"/>
      <c r="U12" s="31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40" t="n"/>
      <c r="E13" s="40" t="n"/>
      <c r="F13" s="29" t="n"/>
      <c r="G13" s="29" t="n"/>
      <c r="H13" s="29" t="n"/>
      <c r="I13" s="40" t="n"/>
      <c r="J13" s="40" t="n"/>
      <c r="K13" s="40" t="n"/>
      <c r="L13" s="28" t="n"/>
      <c r="M13" s="28" t="n"/>
      <c r="N13" s="28" t="n"/>
      <c r="O13" s="25" t="n">
        <v>4.7</v>
      </c>
      <c r="P13" s="25">
        <f>'⑫ 게이트 점검'!N13</f>
        <v/>
      </c>
      <c r="Q13" s="25">
        <f>'⑪ 중심점 최종선정'!F13</f>
        <v/>
      </c>
      <c r="R13" s="28" t="n"/>
      <c r="S13" s="28" t="n"/>
      <c r="T13" s="32" t="n"/>
      <c r="U13" s="31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40" t="n"/>
      <c r="E14" s="40" t="n"/>
      <c r="F14" s="29" t="n"/>
      <c r="G14" s="29" t="n"/>
      <c r="H14" s="29" t="n"/>
      <c r="I14" s="40" t="n"/>
      <c r="J14" s="40" t="n"/>
      <c r="K14" s="40" t="n"/>
      <c r="L14" s="28" t="n"/>
      <c r="M14" s="28" t="n"/>
      <c r="N14" s="28" t="n"/>
      <c r="O14" s="25" t="n">
        <v>7.5</v>
      </c>
      <c r="P14" s="25">
        <f>'⑫ 게이트 점검'!N14</f>
        <v/>
      </c>
      <c r="Q14" s="25">
        <f>'⑪ 중심점 최종선정'!F14</f>
        <v/>
      </c>
      <c r="R14" s="28" t="n"/>
      <c r="S14" s="28" t="n"/>
      <c r="T14" s="32" t="n"/>
      <c r="U14" s="31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40" t="n"/>
      <c r="E15" s="40" t="n"/>
      <c r="F15" s="29" t="n"/>
      <c r="G15" s="29" t="n"/>
      <c r="H15" s="29" t="n"/>
      <c r="I15" s="40" t="n"/>
      <c r="J15" s="40" t="n"/>
      <c r="K15" s="40" t="n"/>
      <c r="L15" s="28" t="n"/>
      <c r="M15" s="28" t="n"/>
      <c r="N15" s="28" t="n"/>
      <c r="O15" s="25" t="n">
        <v>34.9</v>
      </c>
      <c r="P15" s="25">
        <f>'⑫ 게이트 점검'!N15</f>
        <v/>
      </c>
      <c r="Q15" s="25">
        <f>'⑪ 중심점 최종선정'!F15</f>
        <v/>
      </c>
      <c r="R15" s="28" t="n"/>
      <c r="S15" s="28" t="n"/>
      <c r="T15" s="32" t="n"/>
      <c r="U15" s="31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40" t="n"/>
      <c r="E16" s="40" t="n"/>
      <c r="F16" s="29" t="n"/>
      <c r="G16" s="29" t="n"/>
      <c r="H16" s="29" t="n"/>
      <c r="I16" s="40" t="n"/>
      <c r="J16" s="40" t="n"/>
      <c r="K16" s="40" t="n"/>
      <c r="L16" s="28" t="n"/>
      <c r="M16" s="28" t="n"/>
      <c r="N16" s="28" t="n"/>
      <c r="O16" s="25" t="n">
        <v>23.1</v>
      </c>
      <c r="P16" s="25">
        <f>'⑫ 게이트 점검'!N16</f>
        <v/>
      </c>
      <c r="Q16" s="25">
        <f>'⑪ 중심점 최종선정'!F16</f>
        <v/>
      </c>
      <c r="R16" s="28" t="n"/>
      <c r="S16" s="28" t="n"/>
      <c r="T16" s="32" t="n"/>
      <c r="U16" s="31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40" t="n"/>
      <c r="E17" s="40" t="n"/>
      <c r="F17" s="29" t="n"/>
      <c r="G17" s="29" t="n"/>
      <c r="H17" s="29" t="n"/>
      <c r="I17" s="40" t="n"/>
      <c r="J17" s="40" t="n"/>
      <c r="K17" s="40" t="n"/>
      <c r="L17" s="28" t="n"/>
      <c r="M17" s="28" t="n"/>
      <c r="N17" s="28" t="n"/>
      <c r="O17" s="25" t="n">
        <v>4.8</v>
      </c>
      <c r="P17" s="25">
        <f>'⑫ 게이트 점검'!N17</f>
        <v/>
      </c>
      <c r="Q17" s="25">
        <f>'⑪ 중심점 최종선정'!F17</f>
        <v/>
      </c>
      <c r="R17" s="28" t="n"/>
      <c r="S17" s="28" t="n"/>
      <c r="T17" s="32" t="n"/>
      <c r="U17" s="31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40" t="n"/>
      <c r="E18" s="40" t="n"/>
      <c r="F18" s="29" t="n"/>
      <c r="G18" s="29" t="n"/>
      <c r="H18" s="29" t="n"/>
      <c r="I18" s="40" t="n"/>
      <c r="J18" s="40" t="n"/>
      <c r="K18" s="40" t="n"/>
      <c r="L18" s="28" t="n"/>
      <c r="M18" s="28" t="n"/>
      <c r="N18" s="28" t="n"/>
      <c r="O18" s="25" t="n">
        <v>36.9</v>
      </c>
      <c r="P18" s="25">
        <f>'⑫ 게이트 점검'!N18</f>
        <v/>
      </c>
      <c r="Q18" s="25">
        <f>'⑪ 중심점 최종선정'!F18</f>
        <v/>
      </c>
      <c r="R18" s="28" t="n"/>
      <c r="S18" s="28" t="n"/>
      <c r="T18" s="32" t="n"/>
      <c r="U18" s="31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40" t="n"/>
      <c r="E19" s="40" t="n"/>
      <c r="F19" s="29" t="n"/>
      <c r="G19" s="29" t="n"/>
      <c r="H19" s="29" t="n"/>
      <c r="I19" s="40" t="n"/>
      <c r="J19" s="40" t="n"/>
      <c r="K19" s="40" t="n"/>
      <c r="L19" s="28" t="n"/>
      <c r="M19" s="28" t="n"/>
      <c r="N19" s="28" t="n"/>
      <c r="O19" s="25" t="n">
        <v>5.7</v>
      </c>
      <c r="P19" s="25">
        <f>'⑫ 게이트 점검'!N19</f>
        <v/>
      </c>
      <c r="Q19" s="25">
        <f>'⑪ 중심점 최종선정'!F19</f>
        <v/>
      </c>
      <c r="R19" s="28" t="n"/>
      <c r="S19" s="28" t="n"/>
      <c r="T19" s="32" t="n"/>
      <c r="U19" s="31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40" t="n"/>
      <c r="E20" s="40" t="n"/>
      <c r="F20" s="29" t="n"/>
      <c r="G20" s="29" t="n"/>
      <c r="H20" s="29" t="n"/>
      <c r="I20" s="40" t="n"/>
      <c r="J20" s="40" t="n"/>
      <c r="K20" s="40" t="n"/>
      <c r="L20" s="28" t="n"/>
      <c r="M20" s="28" t="n"/>
      <c r="N20" s="28" t="n"/>
      <c r="O20" s="25" t="n">
        <v>10.3</v>
      </c>
      <c r="P20" s="25">
        <f>'⑫ 게이트 점검'!N20</f>
        <v/>
      </c>
      <c r="Q20" s="25">
        <f>'⑪ 중심점 최종선정'!F20</f>
        <v/>
      </c>
      <c r="R20" s="28" t="n"/>
      <c r="S20" s="28" t="n"/>
      <c r="T20" s="32" t="n"/>
      <c r="U20" s="31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40" t="n"/>
      <c r="E21" s="40" t="n"/>
      <c r="F21" s="29" t="n"/>
      <c r="G21" s="29" t="n"/>
      <c r="H21" s="29" t="n"/>
      <c r="I21" s="40" t="n"/>
      <c r="J21" s="40" t="n"/>
      <c r="K21" s="40" t="n"/>
      <c r="L21" s="28" t="n"/>
      <c r="M21" s="28" t="n"/>
      <c r="N21" s="28" t="n"/>
      <c r="O21" s="25" t="n">
        <v>14.3</v>
      </c>
      <c r="P21" s="25">
        <f>'⑫ 게이트 점검'!N21</f>
        <v/>
      </c>
      <c r="Q21" s="25">
        <f>'⑪ 중심점 최종선정'!F21</f>
        <v/>
      </c>
      <c r="R21" s="28" t="n"/>
      <c r="S21" s="28" t="n"/>
      <c r="T21" s="32" t="n"/>
      <c r="U21" s="31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40" t="n"/>
      <c r="E22" s="40" t="n"/>
      <c r="F22" s="29" t="n"/>
      <c r="G22" s="29" t="n"/>
      <c r="H22" s="29" t="n"/>
      <c r="I22" s="40" t="n"/>
      <c r="J22" s="40" t="n"/>
      <c r="K22" s="40" t="n"/>
      <c r="L22" s="28" t="n"/>
      <c r="M22" s="28" t="n"/>
      <c r="N22" s="28" t="n"/>
      <c r="O22" s="25" t="n">
        <v>140.1</v>
      </c>
      <c r="P22" s="25">
        <f>'⑫ 게이트 점검'!N22</f>
        <v/>
      </c>
      <c r="Q22" s="25">
        <f>'⑪ 중심점 최종선정'!F22</f>
        <v/>
      </c>
      <c r="R22" s="28" t="n"/>
      <c r="S22" s="28" t="n"/>
      <c r="T22" s="32" t="n"/>
      <c r="U22" s="31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40" t="n"/>
      <c r="E23" s="40" t="n"/>
      <c r="F23" s="29" t="n"/>
      <c r="G23" s="29" t="n"/>
      <c r="H23" s="29" t="n"/>
      <c r="I23" s="40" t="n"/>
      <c r="J23" s="40" t="n"/>
      <c r="K23" s="40" t="n"/>
      <c r="L23" s="28" t="n"/>
      <c r="M23" s="28" t="n"/>
      <c r="N23" s="28" t="n"/>
      <c r="O23" s="49" t="inlineStr">
        <is>
          <t>NOT AVAILABLE</t>
        </is>
      </c>
      <c r="P23" s="25">
        <f>'⑫ 게이트 점검'!N23</f>
        <v/>
      </c>
      <c r="Q23" s="25">
        <f>'⑪ 중심점 최종선정'!F23</f>
        <v/>
      </c>
      <c r="R23" s="28" t="n"/>
      <c r="S23" s="28" t="n"/>
      <c r="T23" s="32" t="n"/>
      <c r="U23" s="31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40" t="n"/>
      <c r="E24" s="40" t="n"/>
      <c r="F24" s="29" t="n"/>
      <c r="G24" s="29" t="n"/>
      <c r="H24" s="29" t="n"/>
      <c r="I24" s="40" t="n"/>
      <c r="J24" s="40" t="n"/>
      <c r="K24" s="40" t="n"/>
      <c r="L24" s="28" t="n"/>
      <c r="M24" s="28" t="n"/>
      <c r="N24" s="28" t="n"/>
      <c r="O24" s="25" t="n">
        <v>4.4</v>
      </c>
      <c r="P24" s="25">
        <f>'⑫ 게이트 점검'!N24</f>
        <v/>
      </c>
      <c r="Q24" s="25">
        <f>'⑪ 중심점 최종선정'!F24</f>
        <v/>
      </c>
      <c r="R24" s="28" t="n"/>
      <c r="S24" s="28" t="n"/>
      <c r="T24" s="32" t="n"/>
      <c r="U24" s="31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40" t="n"/>
      <c r="E25" s="40" t="n"/>
      <c r="F25" s="29" t="n"/>
      <c r="G25" s="29" t="n"/>
      <c r="H25" s="29" t="n"/>
      <c r="I25" s="40" t="n"/>
      <c r="J25" s="40" t="n"/>
      <c r="K25" s="40" t="n"/>
      <c r="L25" s="28" t="n"/>
      <c r="M25" s="28" t="n"/>
      <c r="N25" s="28" t="n"/>
      <c r="O25" s="25" t="n">
        <v>35.3</v>
      </c>
      <c r="P25" s="25">
        <f>'⑫ 게이트 점검'!N25</f>
        <v/>
      </c>
      <c r="Q25" s="25">
        <f>'⑪ 중심점 최종선정'!F25</f>
        <v/>
      </c>
      <c r="R25" s="28" t="n"/>
      <c r="S25" s="28" t="n"/>
      <c r="T25" s="32" t="n"/>
      <c r="U25" s="31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40" t="n"/>
      <c r="E26" s="40" t="n"/>
      <c r="F26" s="29" t="n"/>
      <c r="G26" s="29" t="n"/>
      <c r="H26" s="29" t="n"/>
      <c r="I26" s="40" t="n"/>
      <c r="J26" s="40" t="n"/>
      <c r="K26" s="40" t="n"/>
      <c r="L26" s="28" t="n"/>
      <c r="M26" s="28" t="n"/>
      <c r="N26" s="28" t="n"/>
      <c r="O26" s="25" t="n">
        <v>48.2</v>
      </c>
      <c r="P26" s="25">
        <f>'⑫ 게이트 점검'!N26</f>
        <v/>
      </c>
      <c r="Q26" s="25">
        <f>'⑪ 중심점 최종선정'!F26</f>
        <v/>
      </c>
      <c r="R26" s="28" t="n"/>
      <c r="S26" s="28" t="n"/>
      <c r="T26" s="32" t="n"/>
      <c r="U26" s="31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40" t="n"/>
      <c r="E27" s="40" t="n"/>
      <c r="F27" s="29" t="n"/>
      <c r="G27" s="29" t="n"/>
      <c r="H27" s="29" t="n"/>
      <c r="I27" s="40" t="n"/>
      <c r="J27" s="40" t="n"/>
      <c r="K27" s="40" t="n"/>
      <c r="L27" s="28" t="n"/>
      <c r="M27" s="28" t="n"/>
      <c r="N27" s="28" t="n"/>
      <c r="O27" s="25" t="n">
        <v>9.9</v>
      </c>
      <c r="P27" s="25">
        <f>'⑫ 게이트 점검'!N27</f>
        <v/>
      </c>
      <c r="Q27" s="25">
        <f>'⑪ 중심점 최종선정'!F27</f>
        <v/>
      </c>
      <c r="R27" s="28" t="n"/>
      <c r="S27" s="28" t="n"/>
      <c r="T27" s="32" t="n"/>
      <c r="U27" s="31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40" t="n"/>
      <c r="E28" s="40" t="n"/>
      <c r="F28" s="29" t="n"/>
      <c r="G28" s="29" t="n"/>
      <c r="H28" s="29" t="n"/>
      <c r="I28" s="40" t="n"/>
      <c r="J28" s="40" t="n"/>
      <c r="K28" s="40" t="n"/>
      <c r="L28" s="28" t="n"/>
      <c r="M28" s="28" t="n"/>
      <c r="N28" s="28" t="n"/>
      <c r="O28" s="25" t="n">
        <v>10.1</v>
      </c>
      <c r="P28" s="25">
        <f>'⑫ 게이트 점검'!N28</f>
        <v/>
      </c>
      <c r="Q28" s="25">
        <f>'⑪ 중심점 최종선정'!F28</f>
        <v/>
      </c>
      <c r="R28" s="28" t="n"/>
      <c r="S28" s="28" t="n"/>
      <c r="T28" s="32" t="n"/>
      <c r="U28" s="31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40" t="n"/>
      <c r="E29" s="40" t="n"/>
      <c r="F29" s="29" t="n"/>
      <c r="G29" s="29" t="n"/>
      <c r="H29" s="29" t="n"/>
      <c r="I29" s="40" t="n"/>
      <c r="J29" s="40" t="n"/>
      <c r="K29" s="40" t="n"/>
      <c r="L29" s="28" t="n"/>
      <c r="M29" s="28" t="n"/>
      <c r="N29" s="28" t="n"/>
      <c r="O29" s="25" t="n">
        <v>54.9</v>
      </c>
      <c r="P29" s="25">
        <f>'⑫ 게이트 점검'!N29</f>
        <v/>
      </c>
      <c r="Q29" s="25">
        <f>'⑪ 중심점 최종선정'!F29</f>
        <v/>
      </c>
      <c r="R29" s="28" t="n"/>
      <c r="S29" s="28" t="n"/>
      <c r="T29" s="32" t="n"/>
      <c r="U29" s="31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40" t="n"/>
      <c r="E30" s="40" t="n"/>
      <c r="F30" s="29" t="n"/>
      <c r="G30" s="29" t="n"/>
      <c r="H30" s="29" t="n"/>
      <c r="I30" s="40" t="n"/>
      <c r="J30" s="40" t="n"/>
      <c r="K30" s="40" t="n"/>
      <c r="L30" s="28" t="n"/>
      <c r="M30" s="28" t="n"/>
      <c r="N30" s="28" t="n"/>
      <c r="O30" s="25" t="n">
        <v>2.9</v>
      </c>
      <c r="P30" s="25">
        <f>'⑫ 게이트 점검'!N30</f>
        <v/>
      </c>
      <c r="Q30" s="25">
        <f>'⑪ 중심점 최종선정'!F30</f>
        <v/>
      </c>
      <c r="R30" s="28" t="n"/>
      <c r="S30" s="28" t="n"/>
      <c r="T30" s="32" t="n"/>
      <c r="U30" s="31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40" t="n"/>
      <c r="E31" s="40" t="n"/>
      <c r="F31" s="29" t="n"/>
      <c r="G31" s="29" t="n"/>
      <c r="H31" s="29" t="n"/>
      <c r="I31" s="40" t="n"/>
      <c r="J31" s="40" t="n"/>
      <c r="K31" s="40" t="n"/>
      <c r="L31" s="28" t="n"/>
      <c r="M31" s="28" t="n"/>
      <c r="N31" s="28" t="n"/>
      <c r="O31" s="25" t="n">
        <v>2.9</v>
      </c>
      <c r="P31" s="25">
        <f>'⑫ 게이트 점검'!N31</f>
        <v/>
      </c>
      <c r="Q31" s="25">
        <f>'⑪ 중심점 최종선정'!F31</f>
        <v/>
      </c>
      <c r="R31" s="28" t="n"/>
      <c r="S31" s="28" t="n"/>
      <c r="T31" s="32" t="n"/>
      <c r="U31" s="31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40" t="n"/>
      <c r="E32" s="40" t="n"/>
      <c r="F32" s="29" t="n"/>
      <c r="G32" s="29" t="n"/>
      <c r="H32" s="29" t="n"/>
      <c r="I32" s="40" t="n"/>
      <c r="J32" s="40" t="n"/>
      <c r="K32" s="40" t="n"/>
      <c r="L32" s="28" t="n"/>
      <c r="M32" s="28" t="n"/>
      <c r="N32" s="28" t="n"/>
      <c r="O32" s="25" t="n">
        <v>12</v>
      </c>
      <c r="P32" s="25">
        <f>'⑫ 게이트 점검'!N32</f>
        <v/>
      </c>
      <c r="Q32" s="25">
        <f>'⑪ 중심점 최종선정'!F32</f>
        <v/>
      </c>
      <c r="R32" s="28" t="n"/>
      <c r="S32" s="28" t="n"/>
      <c r="T32" s="32" t="n"/>
      <c r="U32" s="31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40" t="n"/>
      <c r="E33" s="40" t="n"/>
      <c r="F33" s="29" t="n"/>
      <c r="G33" s="29" t="n"/>
      <c r="H33" s="29" t="n"/>
      <c r="I33" s="40" t="n"/>
      <c r="J33" s="40" t="n"/>
      <c r="K33" s="40" t="n"/>
      <c r="L33" s="28" t="n"/>
      <c r="M33" s="28" t="n"/>
      <c r="N33" s="28" t="n"/>
      <c r="O33" s="25" t="n">
        <v>26.8</v>
      </c>
      <c r="P33" s="25">
        <f>'⑫ 게이트 점검'!N33</f>
        <v/>
      </c>
      <c r="Q33" s="25">
        <f>'⑪ 중심점 최종선정'!F33</f>
        <v/>
      </c>
      <c r="R33" s="28" t="n"/>
      <c r="S33" s="28" t="n"/>
      <c r="T33" s="32" t="n"/>
      <c r="U33" s="31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40" t="n"/>
      <c r="E34" s="40" t="n"/>
      <c r="F34" s="29" t="n"/>
      <c r="G34" s="29" t="n"/>
      <c r="H34" s="29" t="n"/>
      <c r="I34" s="40" t="n"/>
      <c r="J34" s="40" t="n"/>
      <c r="K34" s="40" t="n"/>
      <c r="L34" s="28" t="n"/>
      <c r="M34" s="28" t="n"/>
      <c r="N34" s="28" t="n"/>
      <c r="O34" s="25" t="n">
        <v>22.7</v>
      </c>
      <c r="P34" s="25">
        <f>'⑫ 게이트 점검'!N34</f>
        <v/>
      </c>
      <c r="Q34" s="25">
        <f>'⑪ 중심점 최종선정'!F34</f>
        <v/>
      </c>
      <c r="R34" s="28" t="n"/>
      <c r="S34" s="28" t="n"/>
      <c r="T34" s="32" t="n"/>
      <c r="U34" s="31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40" t="n"/>
      <c r="E35" s="40" t="n"/>
      <c r="F35" s="29" t="n"/>
      <c r="G35" s="29" t="n"/>
      <c r="H35" s="29" t="n"/>
      <c r="I35" s="40" t="n"/>
      <c r="J35" s="40" t="n"/>
      <c r="K35" s="40" t="n"/>
      <c r="L35" s="28" t="n"/>
      <c r="M35" s="28" t="n"/>
      <c r="N35" s="28" t="n"/>
      <c r="O35" s="25" t="n">
        <v>24.2</v>
      </c>
      <c r="P35" s="25">
        <f>'⑫ 게이트 점검'!N35</f>
        <v/>
      </c>
      <c r="Q35" s="25">
        <f>'⑪ 중심점 최종선정'!F35</f>
        <v/>
      </c>
      <c r="R35" s="28" t="n"/>
      <c r="S35" s="28" t="n"/>
      <c r="T35" s="32" t="n"/>
      <c r="U35" s="31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40" t="n"/>
      <c r="E36" s="40" t="n"/>
      <c r="F36" s="29" t="n"/>
      <c r="G36" s="29" t="n"/>
      <c r="H36" s="29" t="n"/>
      <c r="I36" s="40" t="n"/>
      <c r="J36" s="40" t="n"/>
      <c r="K36" s="40" t="n"/>
      <c r="L36" s="28" t="n"/>
      <c r="M36" s="28" t="n"/>
      <c r="N36" s="28" t="n"/>
      <c r="O36" s="25" t="n">
        <v>16.5</v>
      </c>
      <c r="P36" s="25">
        <f>'⑫ 게이트 점검'!N36</f>
        <v/>
      </c>
      <c r="Q36" s="25">
        <f>'⑪ 중심점 최종선정'!F36</f>
        <v/>
      </c>
      <c r="R36" s="28" t="n"/>
      <c r="S36" s="28" t="n"/>
      <c r="T36" s="32" t="n"/>
      <c r="U36" s="31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40" t="n"/>
      <c r="E37" s="40" t="n"/>
      <c r="F37" s="29" t="n"/>
      <c r="G37" s="29" t="n"/>
      <c r="H37" s="29" t="n"/>
      <c r="I37" s="40" t="n"/>
      <c r="J37" s="40" t="n"/>
      <c r="K37" s="40" t="n"/>
      <c r="L37" s="28" t="n"/>
      <c r="M37" s="28" t="n"/>
      <c r="N37" s="28" t="n"/>
      <c r="O37" s="49" t="inlineStr">
        <is>
          <t>NOT AVAILABLE</t>
        </is>
      </c>
      <c r="P37" s="25">
        <f>'⑫ 게이트 점검'!N37</f>
        <v/>
      </c>
      <c r="Q37" s="25">
        <f>'⑪ 중심점 최종선정'!F37</f>
        <v/>
      </c>
      <c r="R37" s="28" t="n"/>
      <c r="S37" s="28" t="n"/>
      <c r="T37" s="32" t="n"/>
      <c r="U37" s="31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40" t="n"/>
      <c r="E38" s="40" t="n"/>
      <c r="F38" s="29" t="n"/>
      <c r="G38" s="29" t="n"/>
      <c r="H38" s="29" t="n"/>
      <c r="I38" s="40" t="n"/>
      <c r="J38" s="40" t="n"/>
      <c r="K38" s="40" t="n"/>
      <c r="L38" s="28" t="n"/>
      <c r="M38" s="28" t="n"/>
      <c r="N38" s="28" t="n"/>
      <c r="O38" s="25" t="n">
        <v>17</v>
      </c>
      <c r="P38" s="25">
        <f>'⑫ 게이트 점검'!N38</f>
        <v/>
      </c>
      <c r="Q38" s="25">
        <f>'⑪ 중심점 최종선정'!F38</f>
        <v/>
      </c>
      <c r="R38" s="28" t="n"/>
      <c r="S38" s="28" t="n"/>
      <c r="T38" s="32" t="n"/>
      <c r="U38" s="31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40" t="n"/>
      <c r="E39" s="40" t="n"/>
      <c r="F39" s="29" t="n"/>
      <c r="G39" s="29" t="n"/>
      <c r="H39" s="29" t="n"/>
      <c r="I39" s="40" t="n"/>
      <c r="J39" s="40" t="n"/>
      <c r="K39" s="40" t="n"/>
      <c r="L39" s="28" t="n"/>
      <c r="M39" s="28" t="n"/>
      <c r="N39" s="28" t="n"/>
      <c r="O39" s="25" t="n">
        <v>43.6</v>
      </c>
      <c r="P39" s="25">
        <f>'⑫ 게이트 점검'!N39</f>
        <v/>
      </c>
      <c r="Q39" s="25">
        <f>'⑪ 중심점 최종선정'!F39</f>
        <v/>
      </c>
      <c r="R39" s="28" t="n"/>
      <c r="S39" s="28" t="n"/>
      <c r="T39" s="32" t="n"/>
      <c r="U39" s="31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40" t="n"/>
      <c r="E40" s="40" t="n"/>
      <c r="F40" s="29" t="n"/>
      <c r="G40" s="29" t="n"/>
      <c r="H40" s="29" t="n"/>
      <c r="I40" s="40" t="n"/>
      <c r="J40" s="40" t="n"/>
      <c r="K40" s="40" t="n"/>
      <c r="L40" s="28" t="n"/>
      <c r="M40" s="28" t="n"/>
      <c r="N40" s="28" t="n"/>
      <c r="O40" s="25" t="n">
        <v>5.4</v>
      </c>
      <c r="P40" s="25">
        <f>'⑫ 게이트 점검'!N40</f>
        <v/>
      </c>
      <c r="Q40" s="25">
        <f>'⑪ 중심점 최종선정'!F40</f>
        <v/>
      </c>
      <c r="R40" s="28" t="n"/>
      <c r="S40" s="28" t="n"/>
      <c r="T40" s="32" t="n"/>
      <c r="U40" s="31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40" t="n"/>
      <c r="E41" s="40" t="n"/>
      <c r="F41" s="29" t="n"/>
      <c r="G41" s="29" t="n"/>
      <c r="H41" s="29" t="n"/>
      <c r="I41" s="40" t="n"/>
      <c r="J41" s="40" t="n"/>
      <c r="K41" s="40" t="n"/>
      <c r="L41" s="28" t="n"/>
      <c r="M41" s="28" t="n"/>
      <c r="N41" s="28" t="n"/>
      <c r="O41" s="25" t="n">
        <v>23.8</v>
      </c>
      <c r="P41" s="25">
        <f>'⑫ 게이트 점검'!N41</f>
        <v/>
      </c>
      <c r="Q41" s="25">
        <f>'⑪ 중심점 최종선정'!F41</f>
        <v/>
      </c>
      <c r="R41" s="28" t="n"/>
      <c r="S41" s="28" t="n"/>
      <c r="T41" s="32" t="n"/>
      <c r="U41" s="31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40" t="n"/>
      <c r="E42" s="40" t="n"/>
      <c r="F42" s="29" t="n"/>
      <c r="G42" s="29" t="n"/>
      <c r="H42" s="29" t="n"/>
      <c r="I42" s="40" t="n"/>
      <c r="J42" s="40" t="n"/>
      <c r="K42" s="40" t="n"/>
      <c r="L42" s="28" t="n"/>
      <c r="M42" s="28" t="n"/>
      <c r="N42" s="28" t="n"/>
      <c r="O42" s="49" t="inlineStr">
        <is>
          <t>NOT AVAILABLE</t>
        </is>
      </c>
      <c r="P42" s="25">
        <f>'⑫ 게이트 점검'!N42</f>
        <v/>
      </c>
      <c r="Q42" s="25">
        <f>'⑪ 중심점 최종선정'!F42</f>
        <v/>
      </c>
      <c r="R42" s="28" t="n"/>
      <c r="S42" s="28" t="n"/>
      <c r="T42" s="32" t="n"/>
      <c r="U42" s="31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40" t="n"/>
      <c r="E43" s="40" t="n"/>
      <c r="F43" s="29" t="n"/>
      <c r="G43" s="29" t="n"/>
      <c r="H43" s="29" t="n"/>
      <c r="I43" s="40" t="n"/>
      <c r="J43" s="40" t="n"/>
      <c r="K43" s="40" t="n"/>
      <c r="L43" s="28" t="n"/>
      <c r="M43" s="28" t="n"/>
      <c r="N43" s="28" t="n"/>
      <c r="O43" s="25" t="n">
        <v>38.3</v>
      </c>
      <c r="P43" s="25">
        <f>'⑫ 게이트 점검'!N43</f>
        <v/>
      </c>
      <c r="Q43" s="25">
        <f>'⑪ 중심점 최종선정'!F43</f>
        <v/>
      </c>
      <c r="R43" s="28" t="n"/>
      <c r="S43" s="28" t="n"/>
      <c r="T43" s="32" t="n"/>
      <c r="U43" s="31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40" t="n"/>
      <c r="E44" s="40" t="n"/>
      <c r="F44" s="29" t="n"/>
      <c r="G44" s="29" t="n"/>
      <c r="H44" s="29" t="n"/>
      <c r="I44" s="40" t="n"/>
      <c r="J44" s="40" t="n"/>
      <c r="K44" s="40" t="n"/>
      <c r="L44" s="28" t="n"/>
      <c r="M44" s="28" t="n"/>
      <c r="N44" s="28" t="n"/>
      <c r="O44" s="25" t="n">
        <v>9.4</v>
      </c>
      <c r="P44" s="25">
        <f>'⑫ 게이트 점검'!N44</f>
        <v/>
      </c>
      <c r="Q44" s="25">
        <f>'⑪ 중심점 최종선정'!F44</f>
        <v/>
      </c>
      <c r="R44" s="28" t="n"/>
      <c r="S44" s="28" t="n"/>
      <c r="T44" s="32" t="n"/>
      <c r="U44" s="31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40" t="n"/>
      <c r="E45" s="40" t="n"/>
      <c r="F45" s="29" t="n"/>
      <c r="G45" s="29" t="n"/>
      <c r="H45" s="29" t="n"/>
      <c r="I45" s="40" t="n"/>
      <c r="J45" s="40" t="n"/>
      <c r="K45" s="40" t="n"/>
      <c r="L45" s="28" t="n"/>
      <c r="M45" s="28" t="n"/>
      <c r="N45" s="28" t="n"/>
      <c r="O45" s="25" t="n">
        <v>28.9</v>
      </c>
      <c r="P45" s="25">
        <f>'⑫ 게이트 점검'!N45</f>
        <v/>
      </c>
      <c r="Q45" s="25">
        <f>'⑪ 중심점 최종선정'!F45</f>
        <v/>
      </c>
      <c r="R45" s="28" t="n"/>
      <c r="S45" s="28" t="n"/>
      <c r="T45" s="32" t="n"/>
      <c r="U45" s="31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40" t="n"/>
      <c r="E46" s="40" t="n"/>
      <c r="F46" s="29" t="n"/>
      <c r="G46" s="29" t="n"/>
      <c r="H46" s="29" t="n"/>
      <c r="I46" s="40" t="n"/>
      <c r="J46" s="40" t="n"/>
      <c r="K46" s="40" t="n"/>
      <c r="L46" s="28" t="n"/>
      <c r="M46" s="28" t="n"/>
      <c r="N46" s="28" t="n"/>
      <c r="O46" s="25" t="n">
        <v>100.2</v>
      </c>
      <c r="P46" s="25">
        <f>'⑫ 게이트 점검'!N46</f>
        <v/>
      </c>
      <c r="Q46" s="25">
        <f>'⑪ 중심점 최종선정'!F46</f>
        <v/>
      </c>
      <c r="R46" s="28" t="n"/>
      <c r="S46" s="28" t="n"/>
      <c r="T46" s="32" t="n"/>
      <c r="U46" s="31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40" t="n"/>
      <c r="E47" s="40" t="n"/>
      <c r="F47" s="29" t="n"/>
      <c r="G47" s="29" t="n"/>
      <c r="H47" s="29" t="n"/>
      <c r="I47" s="40" t="n"/>
      <c r="J47" s="40" t="n"/>
      <c r="K47" s="40" t="n"/>
      <c r="L47" s="28" t="n"/>
      <c r="M47" s="28" t="n"/>
      <c r="N47" s="28" t="n"/>
      <c r="O47" s="49" t="inlineStr">
        <is>
          <t>NOT AVAILABLE</t>
        </is>
      </c>
      <c r="P47" s="25">
        <f>'⑫ 게이트 점검'!N47</f>
        <v/>
      </c>
      <c r="Q47" s="25">
        <f>'⑪ 중심점 최종선정'!F47</f>
        <v/>
      </c>
      <c r="R47" s="28" t="n"/>
      <c r="S47" s="28" t="n"/>
      <c r="T47" s="32" t="n"/>
      <c r="U47" s="31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40" t="n"/>
      <c r="E48" s="40" t="n"/>
      <c r="F48" s="29" t="n"/>
      <c r="G48" s="29" t="n"/>
      <c r="H48" s="29" t="n"/>
      <c r="I48" s="40" t="n"/>
      <c r="J48" s="40" t="n"/>
      <c r="K48" s="40" t="n"/>
      <c r="L48" s="28" t="n"/>
      <c r="M48" s="28" t="n"/>
      <c r="N48" s="28" t="n"/>
      <c r="O48" s="25" t="n">
        <v>46.7</v>
      </c>
      <c r="P48" s="25">
        <f>'⑫ 게이트 점검'!N48</f>
        <v/>
      </c>
      <c r="Q48" s="25">
        <f>'⑪ 중심점 최종선정'!F48</f>
        <v/>
      </c>
      <c r="R48" s="28" t="n"/>
      <c r="S48" s="28" t="n"/>
      <c r="T48" s="32" t="n"/>
      <c r="U48" s="31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40" t="n"/>
      <c r="E49" s="40" t="n"/>
      <c r="F49" s="29" t="n"/>
      <c r="G49" s="29" t="n"/>
      <c r="H49" s="29" t="n"/>
      <c r="I49" s="40" t="n"/>
      <c r="J49" s="40" t="n"/>
      <c r="K49" s="40" t="n"/>
      <c r="L49" s="28" t="n"/>
      <c r="M49" s="28" t="n"/>
      <c r="N49" s="28" t="n"/>
      <c r="O49" s="25" t="n">
        <v>10.7</v>
      </c>
      <c r="P49" s="25">
        <f>'⑫ 게이트 점검'!N49</f>
        <v/>
      </c>
      <c r="Q49" s="25">
        <f>'⑪ 중심점 최종선정'!F49</f>
        <v/>
      </c>
      <c r="R49" s="28" t="n"/>
      <c r="S49" s="28" t="n"/>
      <c r="T49" s="32" t="n"/>
      <c r="U49" s="31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40" t="n"/>
      <c r="E50" s="40" t="n"/>
      <c r="F50" s="29" t="n"/>
      <c r="G50" s="29" t="n"/>
      <c r="H50" s="29" t="n"/>
      <c r="I50" s="40" t="n"/>
      <c r="J50" s="40" t="n"/>
      <c r="K50" s="40" t="n"/>
      <c r="L50" s="28" t="n"/>
      <c r="M50" s="28" t="n"/>
      <c r="N50" s="28" t="n"/>
      <c r="O50" s="49" t="inlineStr">
        <is>
          <t>NOT AVAILABLE</t>
        </is>
      </c>
      <c r="P50" s="25">
        <f>'⑫ 게이트 점검'!N50</f>
        <v/>
      </c>
      <c r="Q50" s="25">
        <f>'⑪ 중심점 최종선정'!F50</f>
        <v/>
      </c>
      <c r="R50" s="28" t="n"/>
      <c r="S50" s="28" t="n"/>
      <c r="T50" s="32" t="n"/>
      <c r="U50" s="31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40" t="n"/>
      <c r="E51" s="40" t="n"/>
      <c r="F51" s="29" t="n"/>
      <c r="G51" s="29" t="n"/>
      <c r="H51" s="29" t="n"/>
      <c r="I51" s="40" t="n"/>
      <c r="J51" s="40" t="n"/>
      <c r="K51" s="40" t="n"/>
      <c r="L51" s="28" t="n"/>
      <c r="M51" s="28" t="n"/>
      <c r="N51" s="28" t="n"/>
      <c r="O51" s="25" t="n">
        <v>6.7</v>
      </c>
      <c r="P51" s="25">
        <f>'⑫ 게이트 점검'!N51</f>
        <v/>
      </c>
      <c r="Q51" s="25">
        <f>'⑪ 중심점 최종선정'!F51</f>
        <v/>
      </c>
      <c r="R51" s="28" t="n"/>
      <c r="S51" s="28" t="n"/>
      <c r="T51" s="32" t="n"/>
      <c r="U51" s="31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40" t="n"/>
      <c r="E52" s="40" t="n"/>
      <c r="F52" s="29" t="n"/>
      <c r="G52" s="29" t="n"/>
      <c r="H52" s="29" t="n"/>
      <c r="I52" s="40" t="n"/>
      <c r="J52" s="40" t="n"/>
      <c r="K52" s="40" t="n"/>
      <c r="L52" s="28" t="n"/>
      <c r="M52" s="28" t="n"/>
      <c r="N52" s="28" t="n"/>
      <c r="O52" s="25" t="n">
        <v>1.3</v>
      </c>
      <c r="P52" s="25">
        <f>'⑫ 게이트 점검'!N52</f>
        <v/>
      </c>
      <c r="Q52" s="25">
        <f>'⑪ 중심점 최종선정'!F52</f>
        <v/>
      </c>
      <c r="R52" s="28" t="n"/>
      <c r="S52" s="28" t="n"/>
      <c r="T52" s="32" t="n"/>
      <c r="U52" s="31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40" t="n"/>
      <c r="E53" s="40" t="n"/>
      <c r="F53" s="29" t="n"/>
      <c r="G53" s="29" t="n"/>
      <c r="H53" s="29" t="n"/>
      <c r="I53" s="40" t="n"/>
      <c r="J53" s="40" t="n"/>
      <c r="K53" s="40" t="n"/>
      <c r="L53" s="28" t="n"/>
      <c r="M53" s="28" t="n"/>
      <c r="N53" s="28" t="n"/>
      <c r="O53" s="25" t="n">
        <v>13.7</v>
      </c>
      <c r="P53" s="25">
        <f>'⑫ 게이트 점검'!N53</f>
        <v/>
      </c>
      <c r="Q53" s="25">
        <f>'⑪ 중심점 최종선정'!F53</f>
        <v/>
      </c>
      <c r="R53" s="28" t="n"/>
      <c r="S53" s="28" t="n"/>
      <c r="T53" s="32" t="n"/>
      <c r="U53" s="31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40" t="n"/>
      <c r="E54" s="40" t="n"/>
      <c r="F54" s="29" t="n"/>
      <c r="G54" s="29" t="n"/>
      <c r="H54" s="29" t="n"/>
      <c r="I54" s="40" t="n"/>
      <c r="J54" s="40" t="n"/>
      <c r="K54" s="40" t="n"/>
      <c r="L54" s="28" t="n"/>
      <c r="M54" s="28" t="n"/>
      <c r="N54" s="28" t="n"/>
      <c r="O54" s="25" t="n">
        <v>23.9</v>
      </c>
      <c r="P54" s="25">
        <f>'⑫ 게이트 점검'!N54</f>
        <v/>
      </c>
      <c r="Q54" s="25">
        <f>'⑪ 중심점 최종선정'!F54</f>
        <v/>
      </c>
      <c r="R54" s="28" t="n"/>
      <c r="S54" s="28" t="n"/>
      <c r="T54" s="32" t="n"/>
      <c r="U54" s="31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필요,국내기준 확정 대기,HOLD,PENDING"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⚠ 「수식 오류가 없다」는 것은 «잘못된 관측행을 참조하지 않는다»는 뜻이 아니다. 그래서 지적마다 검증 사례와 실제 결과를 적는다. 아래 ✔ 는 LibreOffice 재계산으로 실측 확인한 것이다(수식 오류 0).</t>
        </is>
      </c>
    </row>
    <row r="3">
      <c r="A3" s="4" t="inlineStr">
        <is>
          <t>■ 지적 반영 추적</t>
        </is>
      </c>
    </row>
    <row r="4" ht="36" customHeight="1">
      <c r="A4" s="8" t="inlineStr">
        <is>
          <t>지적 ID</t>
        </is>
      </c>
      <c r="B4" s="8" t="inlineStr">
        <is>
          <t>지적 요지</t>
        </is>
      </c>
      <c r="C4" s="8" t="inlineStr">
        <is>
          <t>반영 위치(시트·열)</t>
        </is>
      </c>
      <c r="D4" s="8" t="inlineStr">
        <is>
          <t>검증 사례</t>
        </is>
      </c>
      <c r="E4" s="8" t="inlineStr">
        <is>
          <t>기대 결과</t>
        </is>
      </c>
      <c r="F4" s="8" t="inlineStr">
        <is>
          <t>실제 결과</t>
        </is>
      </c>
      <c r="G4" s="8" t="inlineStr">
        <is>
          <t>잔여 위험</t>
        </is>
      </c>
    </row>
    <row r="5" ht="30" customHeight="1">
      <c r="A5" s="25" t="inlineStr">
        <is>
          <t>2차 C1</t>
        </is>
      </c>
      <c r="B5" s="39" t="inlineStr">
        <is>
          <t>Set 식별 불완전 · SUMIFS 가 누락·중복을 삼킴</t>
        </is>
      </c>
      <c r="C5" s="39" t="inlineStr">
        <is>
          <t>⑨·⑩ 「Set 검증」 열</t>
        </is>
      </c>
      <c r="D5" s="39" t="inlineStr">
        <is>
          <t>P0(후) 를 비우고 계산</t>
        </is>
      </c>
      <c r="E5" s="25" t="inlineStr">
        <is>
          <t>「P0(후) 유효 1개 아님」</t>
        </is>
      </c>
      <c r="F5" s="28" t="inlineStr">
        <is>
          <t>「P0(후) 유효 1개 아님」 · ΔF 공란 ✔</t>
        </is>
      </c>
      <c r="G5" s="39" t="inlineStr">
        <is>
          <t>행 삽입 시 Set ID 수기 입력 의존</t>
        </is>
      </c>
    </row>
    <row r="6" ht="30" customHeight="1">
      <c r="A6" s="25" t="inlineStr">
        <is>
          <t>2차 C1</t>
        </is>
      </c>
      <c r="B6" s="39" t="inlineStr">
        <is>
          <t>측정시각이 P0 구간 밖</t>
        </is>
      </c>
      <c r="C6" s="39" t="inlineStr">
        <is>
          <t>⑨·⑩ 「Set 검증」</t>
        </is>
      </c>
      <c r="D6" s="39" t="inlineStr">
        <is>
          <t>측정시각을 P0(후) 이후로</t>
        </is>
      </c>
      <c r="E6" s="25" t="inlineStr">
        <is>
          <t>「측정시각 구간 밖」</t>
        </is>
      </c>
      <c r="F6" s="28" t="inlineStr">
        <is>
          <t>「측정시각 구간 밖」 ✔ · 시각 역전도 차단 확인 ✔</t>
        </is>
      </c>
      <c r="G6" s="39" t="inlineStr"/>
    </row>
    <row r="7" ht="30" customHeight="1">
      <c r="A7" s="25" t="inlineStr">
        <is>
          <t>2차 C2</t>
        </is>
      </c>
      <c r="B7" s="39" t="inlineStr">
        <is>
          <t>P0 선형성 미검증</t>
        </is>
      </c>
      <c r="C7" s="39" t="inlineStr">
        <is>
          <t>⑧ Variometer 파일 ID · ⑮ 시간변화 처리</t>
        </is>
      </c>
      <c r="D7" s="39" t="inlineStr">
        <is>
          <t>Variometer 미기록 세트</t>
        </is>
      </c>
      <c r="E7" s="25" t="inlineStr">
        <is>
          <t>「선형성 미검증」 선택 가능</t>
        </is>
      </c>
      <c r="F7" s="28" t="inlineStr">
        <is>
          <t>⑮ 드롭다운에 존재 ✔ · Set 지속 4분 자동산출 ✔</t>
        </is>
      </c>
      <c r="G7" s="39" t="inlineStr">
        <is>
          <t>임의 시간상한 두지 않음</t>
        </is>
      </c>
    </row>
    <row r="8" ht="30" customHeight="1">
      <c r="A8" s="25" t="inlineStr">
        <is>
          <t>2차 C3</t>
        </is>
      </c>
      <c r="B8" s="39" t="inlineStr">
        <is>
          <t>ΔF/d 와 지점 대표구배 혼동</t>
        </is>
      </c>
      <c r="C8" s="39" t="inlineStr">
        <is>
          <t>⑨ 「중심점기준 변화율」·「|변화율|」·「인접구간 변화율」 분리</t>
        </is>
      </c>
      <c r="D8" s="39" t="inlineStr">
        <is>
          <t>P0보다 낮은 값(3 m 94 nT)</t>
        </is>
      </c>
      <c r="E8" s="25" t="inlineStr">
        <is>
          <t>ΔF·변화율 음수 보존</t>
        </is>
      </c>
      <c r="F8" s="28" t="inlineStr">
        <is>
          <t>ΔF −9.13 · 변화율 −3.04 · |변화율| 3.04 · 인접구간 −12.0 ✔</t>
        </is>
      </c>
      <c r="G8" s="39" t="inlineStr">
        <is>
          <t>대표값 확정은 국내기준 대기</t>
        </is>
      </c>
    </row>
    <row r="9" ht="30" customHeight="1">
      <c r="A9" s="25" t="inlineStr">
        <is>
          <t>2차 C4</t>
        </is>
      </c>
      <c r="B9" s="39" t="inlineStr">
        <is>
          <t>4방향으로 반경 10 m 전체 판정 불가</t>
        </is>
      </c>
      <c r="C9" s="39" t="inlineStr">
        <is>
          <t>① 기입규약 · ⑨ 머리말 · ⑮ 열 이름</t>
        </is>
      </c>
      <c r="D9" s="39" t="inlineStr">
        <is>
          <t>—</t>
        </is>
      </c>
      <c r="E9" s="25" t="inlineStr">
        <is>
          <t>「4개 방위 측선의 관측점」 표기</t>
        </is>
      </c>
      <c r="F9" s="28" t="inlineStr"/>
      <c r="G9" s="39" t="inlineStr">
        <is>
          <t>미관측 방위는 한계로 남음</t>
        </is>
      </c>
    </row>
    <row r="10" ht="30" customHeight="1">
      <c r="A10" s="25" t="inlineStr">
        <is>
          <t>2차 C5</t>
        </is>
      </c>
      <c r="B10" s="39" t="inlineStr">
        <is>
          <t>옮긴 중심점 재검증 절차 없음</t>
        </is>
      </c>
      <c r="C10" s="39" t="inlineStr">
        <is>
          <t>⑪ 최초/최종 Location ID · 재측정 여부</t>
        </is>
      </c>
      <c r="D10" s="39" t="inlineStr">
        <is>
          <t>조정함 선택</t>
        </is>
      </c>
      <c r="E10" s="25" t="inlineStr">
        <is>
          <t>재측정 여부 필수 선택</t>
        </is>
      </c>
      <c r="F10" s="28" t="inlineStr"/>
      <c r="G10" s="39" t="inlineStr">
        <is>
          <t>재측정 범위는 일정·비용 결정</t>
        </is>
      </c>
    </row>
    <row r="11" ht="30" customHeight="1">
      <c r="A11" s="25" t="inlineStr">
        <is>
          <t>2차 C6</t>
        </is>
      </c>
      <c r="B11" s="39" t="inlineStr">
        <is>
          <t>D·I 와 F 의 연결 불완전</t>
        </is>
      </c>
      <c r="C11" s="39" t="inlineStr">
        <is>
          <t>해당 없음 — 절대측정 제외</t>
        </is>
      </c>
      <c r="D11" s="39" t="inlineStr">
        <is>
          <t>—</t>
        </is>
      </c>
      <c r="E11" s="25" t="inlineStr">
        <is>
          <t>D·I 관측행 자체가 없다</t>
        </is>
      </c>
      <c r="F11" s="28" t="inlineStr">
        <is>
          <t>종결 ✔</t>
        </is>
      </c>
      <c r="G11" s="39" t="inlineStr">
        <is>
          <t>절대관측 단계에서 다시 볼 것</t>
        </is>
      </c>
    </row>
    <row r="12" ht="30" customHeight="1">
      <c r="A12" s="25" t="inlineStr">
        <is>
          <t>2차 M1</t>
        </is>
      </c>
      <c r="B12" s="39" t="inlineStr">
        <is>
          <t>수직 기준높이·산출물 미정의</t>
        </is>
      </c>
      <c r="C12" s="39" t="inlineStr">
        <is>
          <t>⑩ 실제 센서 중심높이 · 측정 기준면 · 인접높이 변화율</t>
        </is>
      </c>
      <c r="D12" s="39" t="inlineStr">
        <is>
          <t>—</t>
        </is>
      </c>
      <c r="E12" s="25" t="inlineStr">
        <is>
          <t>기술지표만 산출</t>
        </is>
      </c>
      <c r="F12" s="28" t="inlineStr"/>
      <c r="G12" s="39" t="inlineStr">
        <is>
          <t>임계 없음 — 자동판정 안 함</t>
        </is>
      </c>
    </row>
    <row r="13" ht="30" customHeight="1">
      <c r="A13" s="25" t="inlineStr">
        <is>
          <t>2차 M2</t>
        </is>
      </c>
      <c r="B13" s="39" t="inlineStr">
        <is>
          <t>작업량이 행 수로 과소 표현</t>
        </is>
      </c>
      <c r="C13" s="39" t="inlineStr">
        <is>
          <t>⑭ 작업량 산정표</t>
        </is>
      </c>
      <c r="D13" s="39" t="inlineStr">
        <is>
          <t>—</t>
        </is>
      </c>
      <c r="E13" s="25" t="inlineStr">
        <is>
          <t>판독 기준 재산정</t>
        </is>
      </c>
      <c r="F13" s="28" t="inlineStr"/>
      <c r="G13" s="39" t="inlineStr">
        <is>
          <t>파일럿 실측 필요</t>
        </is>
      </c>
    </row>
    <row r="14" ht="30" customHeight="1">
      <c r="A14" s="25" t="inlineStr">
        <is>
          <t>2차 M3</t>
        </is>
      </c>
      <c r="B14" s="39" t="inlineStr">
        <is>
          <t>1대 조건인데 교차배치 전제</t>
        </is>
      </c>
      <c r="C14" s="39" t="inlineStr">
        <is>
          <t>해당 없음 — 두지점 F 시트 제거</t>
        </is>
      </c>
      <c r="D14" s="39" t="inlineStr">
        <is>
          <t>—</t>
        </is>
      </c>
      <c r="E14" s="25" t="inlineStr">
        <is>
          <t>시트 자체가 없다</t>
        </is>
      </c>
      <c r="F14" s="28" t="inlineStr">
        <is>
          <t>종결 ✔</t>
        </is>
      </c>
      <c r="G14" s="39" t="inlineStr"/>
    </row>
    <row r="15" ht="30" customHeight="1">
      <c r="A15" s="25" t="inlineStr">
        <is>
          <t>2차 M4</t>
        </is>
      </c>
      <c r="B15" s="39" t="inlineStr">
        <is>
          <t>§13② 시설별 증빙 없음</t>
        </is>
      </c>
      <c r="C15" s="39" t="inlineStr">
        <is>
          <t>④ 시설 유형마다 한 행</t>
        </is>
      </c>
      <c r="D15" s="39" t="inlineStr">
        <is>
          <t>—</t>
        </is>
      </c>
      <c r="E15" s="25" t="inlineStr">
        <is>
          <t>4행/점 · 증빙 10열</t>
        </is>
      </c>
      <c r="F15" s="28" t="inlineStr"/>
      <c r="G15" s="39" t="inlineStr"/>
    </row>
    <row r="16" ht="30" customHeight="1">
      <c r="A16" s="25" t="inlineStr">
        <is>
          <t>2차 M5</t>
        </is>
      </c>
      <c r="B16" s="39" t="inlineStr">
        <is>
          <t>미원 HOLD 범위 불명확</t>
        </is>
      </c>
      <c r="C16" s="39" t="inlineStr">
        <is>
          <t>⑤ 4단 플래그 · ② HOLD 범위</t>
        </is>
      </c>
      <c r="D16" s="39" t="inlineStr">
        <is>
          <t>—</t>
        </is>
      </c>
      <c r="E16" s="25" t="inlineStr">
        <is>
          <t>과거대조만 보류</t>
        </is>
      </c>
      <c r="F16" s="28" t="inlineStr"/>
      <c r="G16" s="39" t="inlineStr">
        <is>
          <t>표석 동일성 확인 대기</t>
        </is>
      </c>
    </row>
    <row r="17" ht="30" customHeight="1">
      <c r="A17" s="25" t="inlineStr">
        <is>
          <t>2차 M6</t>
        </is>
      </c>
      <c r="B17" s="39" t="inlineStr">
        <is>
          <t>중단·결측 시 세트 처리 규칙 없음</t>
        </is>
      </c>
      <c r="C17" s="39" t="inlineStr">
        <is>
          <t>⑨·⑩ Set 상태 · 중단 시각·사유</t>
        </is>
      </c>
      <c r="D17" s="39" t="inlineStr">
        <is>
          <t>—</t>
        </is>
      </c>
      <c r="E17" s="25" t="inlineStr">
        <is>
          <t>무효 세트 구분</t>
        </is>
      </c>
      <c r="F17" s="28" t="inlineStr"/>
      <c r="G17" s="39" t="inlineStr"/>
    </row>
    <row r="18" ht="30" customHeight="1">
      <c r="A18" s="25" t="inlineStr">
        <is>
          <t>2차 M7</t>
        </is>
      </c>
      <c r="B18" s="39" t="inlineStr">
        <is>
          <t>판정에 근거·기준 버전 없음</t>
        </is>
      </c>
      <c r="C18" s="39" t="inlineStr">
        <is>
          <t>⑮ 관측사실/국제기준/국내상태/기준명·버전/판단자 분리</t>
        </is>
      </c>
      <c r="D18" s="39" t="inlineStr">
        <is>
          <t>—</t>
        </is>
      </c>
      <c r="E18" s="25" t="inlineStr">
        <is>
          <t>판정 재현 가능</t>
        </is>
      </c>
      <c r="F18" s="28" t="inlineStr"/>
      <c r="G18" s="39" t="inlineStr">
        <is>
          <t>국내기준 미확정</t>
        </is>
      </c>
    </row>
    <row r="19" ht="30" customHeight="1">
      <c r="A19" s="25" t="inlineStr">
        <is>
          <t>2차 m1</t>
        </is>
      </c>
      <c r="B19" s="39" t="inlineStr">
        <is>
          <t>예시에 거리 없어 1.75 재현 불가</t>
        </is>
      </c>
      <c r="C19" s="39" t="inlineStr">
        <is>
          <t>① 기입규약 — 거리 2 m 명시</t>
        </is>
      </c>
      <c r="D19" s="39" t="inlineStr">
        <is>
          <t>P0 100@10:00 · 106@10:02 · P0 105@10:04 · 2 m</t>
        </is>
      </c>
      <c r="E19" s="25" t="inlineStr">
        <is>
          <t>102.5 / 3.5 / 1.75 nT/m</t>
        </is>
      </c>
      <c r="F19" s="28" t="inlineStr">
        <is>
          <t>102.5 / 3.50 / 1.75 ✔ (원 계획 재현)</t>
        </is>
      </c>
      <c r="G19" s="39" t="inlineStr"/>
    </row>
    <row r="20" ht="30" customHeight="1">
      <c r="A20" s="25" t="inlineStr">
        <is>
          <t>2차 m2</t>
        </is>
      </c>
      <c r="B20" s="39" t="inlineStr">
        <is>
          <t>상태코드에 사유·이력 없음</t>
        </is>
      </c>
      <c r="C20" s="39" t="inlineStr">
        <is>
          <t>⑨⑩ 중단 시각·사유</t>
        </is>
      </c>
      <c r="D20" s="39" t="inlineStr">
        <is>
          <t>—</t>
        </is>
      </c>
      <c r="E20" s="25" t="inlineStr">
        <is>
          <t>사유 필수</t>
        </is>
      </c>
      <c r="F20" s="28" t="inlineStr"/>
      <c r="G20" s="39" t="inlineStr"/>
    </row>
    <row r="21" ht="30" customHeight="1">
      <c r="A21" s="25" t="inlineStr">
        <is>
          <t>3차 C1</t>
        </is>
      </c>
      <c r="B21" s="39" t="inlineStr">
        <is>
          <t>카드 1판독 ↔ 사무실 3판독 불일치</t>
        </is>
      </c>
      <c r="C21" s="39" t="inlineStr">
        <is>
          <t>⑭ 작업량 · 현장카드 안내</t>
        </is>
      </c>
      <c r="D21" s="39" t="inlineStr">
        <is>
          <t>—</t>
        </is>
      </c>
      <c r="E21" s="25" t="inlineStr">
        <is>
          <t>1 판독 기준 통일 · 64회/점</t>
        </is>
      </c>
      <c r="F21" s="28" t="inlineStr">
        <is>
          <t>반영 ✔</t>
        </is>
      </c>
      <c r="G21" s="39" t="inlineStr">
        <is>
          <t>3회 수기 전환은 발주자 확인</t>
        </is>
      </c>
    </row>
    <row r="22" ht="30" customHeight="1">
      <c r="A22" s="25" t="inlineStr">
        <is>
          <t>3차 C2</t>
        </is>
      </c>
      <c r="B22" s="39" t="inlineStr">
        <is>
          <t>Visit·Location·Set·Attempt 식별자 없음</t>
        </is>
      </c>
      <c r="C22" s="39" t="inlineStr">
        <is>
          <t>현장카드 머리 · 3·4·5구역</t>
        </is>
      </c>
      <c r="D22" s="39" t="inlineStr">
        <is>
          <t>—</t>
        </is>
      </c>
      <c r="E22" s="25" t="inlineStr">
        <is>
          <t>재방문·중심이동 구분 가능</t>
        </is>
      </c>
      <c r="F22" s="28" t="inlineStr">
        <is>
          <t>반영 ✔</t>
        </is>
      </c>
      <c r="G22" s="39" t="inlineStr">
        <is>
          <t>중심 이동 시 새 카드</t>
        </is>
      </c>
    </row>
    <row r="23" ht="30" customHeight="1">
      <c r="A23" s="25" t="inlineStr">
        <is>
          <t>3차 C3</t>
        </is>
      </c>
      <c r="B23" s="39" t="inlineStr">
        <is>
          <t>§18③ 자기오염 방지 없음</t>
        </is>
      </c>
      <c r="C23" s="39" t="inlineStr">
        <is>
          <t>현장카드 「0. 측정 전 확인」 · ⑫ 게이트</t>
        </is>
      </c>
      <c r="D23" s="39" t="inlineStr">
        <is>
          <t>—</t>
        </is>
      </c>
      <c r="E23" s="25" t="inlineStr">
        <is>
          <t>개인 금속물·차량·전자기기 체크</t>
        </is>
      </c>
      <c r="F23" s="28" t="inlineStr">
        <is>
          <t>반영 ✔</t>
        </is>
      </c>
      <c r="G23" s="39" t="inlineStr"/>
    </row>
    <row r="24" ht="30" customHeight="1">
      <c r="A24" s="25" t="inlineStr">
        <is>
          <t>3차 M1</t>
        </is>
      </c>
      <c r="B24" s="39" t="inlineStr">
        <is>
          <t>절대측정 제외의 잔재</t>
        </is>
      </c>
      <c r="C24" s="39" t="inlineStr">
        <is>
          <t>규격 모듈 · ⑦ 장비 · ⑧ 관측조건</t>
        </is>
      </c>
      <c r="D24" s="39" t="inlineStr">
        <is>
          <t>—</t>
        </is>
      </c>
      <c r="E24" s="25" t="inlineStr">
        <is>
          <t>야간 의무 → 안정 구간 · DI-flux 범위 밖</t>
        </is>
      </c>
      <c r="F24" s="28" t="inlineStr">
        <is>
          <t>반영 ✔</t>
        </is>
      </c>
      <c r="G24" s="39" t="inlineStr"/>
    </row>
    <row r="25" ht="30" customHeight="1">
      <c r="A25" s="25" t="inlineStr">
        <is>
          <t>3차 M2</t>
        </is>
      </c>
      <c r="B25" s="39" t="inlineStr">
        <is>
          <t>「법정 요건」 명칭이 과장</t>
        </is>
      </c>
      <c r="C25" s="39" t="inlineStr">
        <is>
          <t>⑫ 제목·안내</t>
        </is>
      </c>
      <c r="D25" s="39" t="inlineStr">
        <is>
          <t>—</t>
        </is>
      </c>
      <c r="E25" s="25" t="inlineStr">
        <is>
          <t>「이번 단계 적용요소」 · 부분 적용 명시</t>
        </is>
      </c>
      <c r="F25" s="28" t="inlineStr">
        <is>
          <t>반영 ✔</t>
        </is>
      </c>
      <c r="G25" s="39" t="inlineStr">
        <is>
          <t>§15·§16·§18 적용범위는 확인 필요</t>
        </is>
      </c>
    </row>
    <row r="26" ht="30" customHeight="1">
      <c r="A26" s="25" t="inlineStr">
        <is>
          <t>3차 M3</t>
        </is>
      </c>
      <c r="B26" s="39" t="inlineStr">
        <is>
          <t>자동지표만으로 재측정 판단 불가</t>
        </is>
      </c>
      <c r="C26" s="39" t="inlineStr">
        <is>
          <t>현장카드 완전성 점검 줄</t>
        </is>
      </c>
      <c r="D26" s="39" t="inlineStr">
        <is>
          <t>—</t>
        </is>
      </c>
      <c r="E26" s="25" t="inlineStr">
        <is>
          <t>필수행·시각·P0·Variometer 자가확인</t>
        </is>
      </c>
      <c r="F26" s="28" t="inlineStr">
        <is>
          <t>반영 ✔</t>
        </is>
      </c>
      <c r="G26" s="39" t="inlineStr"/>
    </row>
    <row r="27" ht="30" customHeight="1">
      <c r="A27" s="25" t="inlineStr">
        <is>
          <t>3차 M4</t>
        </is>
      </c>
      <c r="B27" s="39" t="inlineStr">
        <is>
          <t>방위표지 참방위각 재현 불가</t>
        </is>
      </c>
      <c r="C27" s="39" t="inlineStr">
        <is>
          <t>현장카드 5구역 확장</t>
        </is>
      </c>
      <c r="D27" s="39" t="inlineStr">
        <is>
          <t>—</t>
        </is>
      </c>
      <c r="E27" s="25" t="inlineStr">
        <is>
          <t>표지 ID·좌표·취득방법·기존값·결정방법</t>
        </is>
      </c>
      <c r="F27" s="28" t="inlineStr">
        <is>
          <t>반영 ✔</t>
        </is>
      </c>
      <c r="G27" s="39" t="inlineStr"/>
    </row>
    <row r="28" ht="30" customHeight="1">
      <c r="A28" s="25" t="inlineStr">
        <is>
          <t>3차 M5</t>
        </is>
      </c>
      <c r="B28" s="39" t="inlineStr">
        <is>
          <t>파일명만으로 사진 대응 불가</t>
        </is>
      </c>
      <c r="C28" s="39" t="inlineStr">
        <is>
          <t>현장카드 6구역</t>
        </is>
      </c>
      <c r="D28" s="39" t="inlineStr">
        <is>
          <t>—</t>
        </is>
      </c>
      <c r="E28" s="25" t="inlineStr">
        <is>
          <t>명명규칙 + 촬영시각</t>
        </is>
      </c>
      <c r="F28" s="28" t="inlineStr">
        <is>
          <t>반영 ✔</t>
        </is>
      </c>
      <c r="G28" s="39" t="inlineStr">
        <is>
          <t>보존·명명 표준 승인 필요</t>
        </is>
      </c>
    </row>
    <row r="29" ht="30" customHeight="1">
      <c r="A29" s="25" t="inlineStr">
        <is>
          <t>3차 M6</t>
        </is>
      </c>
      <c r="B29" s="39" t="inlineStr">
        <is>
          <t>작업량을 확정치로 읽을 위험</t>
        </is>
      </c>
      <c r="C29" s="39" t="inlineStr">
        <is>
          <t>⑭ 작업량</t>
        </is>
      </c>
      <c r="D29" s="39" t="inlineStr">
        <is>
          <t>—</t>
        </is>
      </c>
      <c r="E29" s="25" t="inlineStr">
        <is>
          <t>「순수 현장 작업 가정치」 · 미반영 항목 명시</t>
        </is>
      </c>
      <c r="F29" s="28" t="inlineStr">
        <is>
          <t>반영 ✔</t>
        </is>
      </c>
      <c r="G29" s="39" t="inlineStr">
        <is>
          <t>파일럿 후 범위값 확정</t>
        </is>
      </c>
    </row>
    <row r="30" ht="30" customHeight="1">
      <c r="A30" s="25" t="inlineStr">
        <is>
          <t>3차 M7</t>
        </is>
      </c>
      <c r="B30" s="39" t="inlineStr">
        <is>
          <t>다중 페이지 지점 식별 소실</t>
        </is>
      </c>
      <c r="C30" s="39" t="inlineStr">
        <is>
          <t>현장카드 인쇄설정</t>
        </is>
      </c>
      <c r="D30" s="39" t="inlineStr">
        <is>
          <t>—</t>
        </is>
      </c>
      <c r="E30" s="25" t="inlineStr">
        <is>
          <t>머리 3행 반복 · 머리글 Site ID · 쪽번호</t>
        </is>
      </c>
      <c r="F30" s="28" t="inlineStr">
        <is>
          <t>반영 ✔</t>
        </is>
      </c>
      <c r="G30" s="39" t="inlineStr"/>
    </row>
    <row r="31" ht="30" customHeight="1">
      <c r="A31" s="25" t="inlineStr">
        <is>
          <t>3차 m1</t>
        </is>
      </c>
      <c r="B31" s="39" t="inlineStr">
        <is>
          <t>삭제 전 시트번호 잔재</t>
        </is>
      </c>
      <c r="C31" s="39" t="inlineStr">
        <is>
          <t>① · ⑫ · ⑭</t>
        </is>
      </c>
      <c r="D31" s="39" t="inlineStr">
        <is>
          <t>—</t>
        </is>
      </c>
      <c r="E31" s="25" t="inlineStr">
        <is>
          <t>15시트 기준으로 갱신</t>
        </is>
      </c>
      <c r="F31" s="28" t="inlineStr">
        <is>
          <t>반영 ✔</t>
        </is>
      </c>
      <c r="G31" s="39" t="inlineStr"/>
    </row>
    <row r="33">
      <c r="A33" s="4" t="inlineStr">
        <is>
          <t>■ 현장 작업량 — 「행 수」가 아니라 「판독 수」로 센다 (2차 M2)</t>
        </is>
      </c>
    </row>
    <row r="34" ht="36" customHeight="1">
      <c r="A34" s="8" t="inlineStr">
        <is>
          <t>구분</t>
        </is>
      </c>
      <c r="B34" s="8" t="inlineStr">
        <is>
          <t>값</t>
        </is>
      </c>
      <c r="C34" s="8" t="inlineStr">
        <is>
          <t>산식</t>
        </is>
      </c>
      <c r="D34" s="8" t="inlineStr">
        <is>
          <t>비고</t>
        </is>
      </c>
      <c r="E34" s="8" t="inlineStr"/>
      <c r="F34" s="8" t="inlineStr"/>
      <c r="G34" s="8" t="inlineStr"/>
    </row>
    <row r="35">
      <c r="A35" s="25" t="inlineStr">
        <is>
          <t>수평 관측행/점</t>
        </is>
      </c>
      <c r="B35" s="25" t="n">
        <v>52</v>
      </c>
      <c r="C35" s="39" t="inlineStr">
        <is>
          <t>4방향 × (11측점 + P0 전·후 2)</t>
        </is>
      </c>
      <c r="D35" s="39" t="inlineStr"/>
    </row>
    <row r="36">
      <c r="A36" s="25" t="inlineStr">
        <is>
          <t>수직 관측행/점</t>
        </is>
      </c>
      <c r="B36" s="25" t="n">
        <v>12</v>
      </c>
      <c r="C36" s="39" t="inlineStr">
        <is>
          <t>10높이 + 기준 전·후 2</t>
        </is>
      </c>
      <c r="D36" s="39" t="inlineStr"/>
    </row>
    <row r="37">
      <c r="A37" s="25" t="inlineStr">
        <is>
          <t>관측행/점</t>
        </is>
      </c>
      <c r="B37" s="25" t="n">
        <v>64</v>
      </c>
      <c r="C37" s="39" t="inlineStr">
        <is>
          <t>52 + 12</t>
        </is>
      </c>
      <c r="D37" s="39" t="inlineStr"/>
    </row>
    <row r="38">
      <c r="A38" s="25" t="inlineStr">
        <is>
          <t>F 판독/점</t>
        </is>
      </c>
      <c r="B38" s="25" t="n">
        <v>64</v>
      </c>
      <c r="C38" s="39" t="inlineStr">
        <is>
          <t>64 × 1회 판독</t>
        </is>
      </c>
      <c r="D38" s="39" t="inlineStr">
        <is>
          <t>⚠ 3회 수기로 바꾸면 192회 — 발주자 확인 사항</t>
        </is>
      </c>
    </row>
    <row r="39">
      <c r="A39" s="25" t="inlineStr">
        <is>
          <t>F 판독 · 50점</t>
        </is>
      </c>
      <c r="B39" s="25" t="n">
        <v>3200</v>
      </c>
      <c r="C39" s="39" t="inlineStr">
        <is>
          <t>64 × 50</t>
        </is>
      </c>
      <c r="D39" s="39" t="inlineStr"/>
    </row>
    <row r="40">
      <c r="A40" s="25" t="inlineStr">
        <is>
          <t>점당 소요(가정)</t>
        </is>
      </c>
      <c r="B40" s="25" t="inlineStr">
        <is>
          <t>구배 1.6 h + 설치·철수 1 h ≈ 2.6 h</t>
        </is>
      </c>
      <c r="C40" s="39" t="inlineStr">
        <is>
          <t>행당 1.5분 가정</t>
        </is>
      </c>
      <c r="D40" s="39" t="inlineStr">
        <is>
          <t>⚠ 가정값 — 파일럿 실측 필요</t>
        </is>
      </c>
    </row>
    <row r="41">
      <c r="A41" s="25" t="inlineStr">
        <is>
          <t>50점 총계(가정)</t>
        </is>
      </c>
      <c r="B41" s="25" t="inlineStr">
        <is>
          <t>약 130 h</t>
        </is>
      </c>
      <c r="C41" s="39" t="inlineStr">
        <is>
          <t>2.6 h × 50점</t>
        </is>
      </c>
      <c r="D41" s="39" t="inlineStr">
        <is>
          <t>**순수 현장 작업 가정치 — 이동·기상·재측정 제외**</t>
        </is>
      </c>
    </row>
    <row r="42">
      <c r="A42" s="25" t="inlineStr">
        <is>
          <t>⚠ 반영 안 된 것</t>
        </is>
      </c>
      <c r="B42" s="25" t="inlineStr">
        <is>
          <t>측선 설치·실측거리 · GNSS 메타 · 방위표지 · 사진 · Variometer 동기 · 중단·재측정·중심 이동</t>
        </is>
      </c>
      <c r="C42" s="39" t="inlineStr">
        <is>
          <t>파일럿에서 따로 재야 한다</t>
        </is>
      </c>
      <c r="D42" s="39" t="inlineStr">
        <is>
          <t>대표 지형별 «범위값»으로 제시할 것</t>
        </is>
      </c>
    </row>
    <row r="43">
      <c r="A43" s="25" t="inlineStr">
        <is>
          <t>절대측정</t>
        </is>
      </c>
      <c r="B43" s="25" t="inlineStr">
        <is>
          <t>이 단계에 없음</t>
        </is>
      </c>
      <c r="C43" s="39" t="inlineStr">
        <is>
          <t>원 계획 31면 선점실시 절차</t>
        </is>
      </c>
      <c r="D43" s="39" t="inlineStr">
        <is>
          <t>선점이 끝난 뒤의 별도 관측 단계</t>
        </is>
      </c>
    </row>
    <row r="44" ht="33" customHeight="1">
      <c r="A44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44:G44"/>
    <mergeCell ref="A1:G1"/>
    <mergeCell ref="A3:G3"/>
    <mergeCell ref="A2:G2"/>
    <mergeCell ref="A33:G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22" customWidth="1" min="4" max="4"/>
    <col width="20" customWidth="1" min="5" max="5"/>
  </cols>
  <sheetData>
    <row r="1" ht="26" customHeight="1">
      <c r="A1" s="1" t="inlineStr">
        <is>
          <t>확인 필요 — 이 야장이 답하지 않는 것</t>
        </is>
      </c>
    </row>
    <row r="2" ht="19" customHeight="1">
      <c r="A2" s="2" t="inlineStr">
        <is>
          <t>Codex 독립 검토 2회가 「기관 확인 없이는 확정할 수 없다」고 지목한 항목이다. 야장 설계로는 해소되지 않으므로 착수 전에 결정해야 한다.</t>
        </is>
      </c>
    </row>
    <row r="3" ht="36" customHeight="1">
      <c r="A3" s="8" t="inlineStr">
        <is>
          <t>#</t>
        </is>
      </c>
      <c r="B3" s="8" t="inlineStr">
        <is>
          <t>항목</t>
        </is>
      </c>
      <c r="C3" s="8" t="inlineStr">
        <is>
          <t>왜 확인해야 하는가</t>
        </is>
      </c>
      <c r="D3" s="8" t="inlineStr">
        <is>
          <t>결정 주체</t>
        </is>
      </c>
      <c r="E3" s="8" t="inlineStr">
        <is>
          <t>상태</t>
        </is>
      </c>
    </row>
    <row r="4" ht="46" customHeight="1">
      <c r="A4" s="25" t="n">
        <v>1</v>
      </c>
      <c r="B4" s="39" t="inlineStr">
        <is>
          <t>이동식 Variometer 확보와 자기구배 측정 중 동시기록 가능 여부</t>
        </is>
      </c>
      <c r="C4" s="39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4" s="25" t="inlineStr">
        <is>
          <t>발주기관 · 예산</t>
        </is>
      </c>
      <c r="E4" s="28" t="inlineStr"/>
    </row>
    <row r="5" ht="46" customHeight="1">
      <c r="A5" s="25" t="n">
        <v>2</v>
      </c>
      <c r="B5" s="39" t="inlineStr">
        <is>
          <t>3 nT/m 대표지표와 50 nT 연산 정의, 국내 판정기준 채택방식</t>
        </is>
      </c>
      <c r="C5" s="39" t="inlineStr">
        <is>
          <t>같은 자료도 최대·중앙·1 m·10 m·부호 처리에 따라 통과 여부가 달라진다. 50 nT 도 max|F−P0| 인지 max−min 인지 정해야 한다.</t>
        </is>
      </c>
      <c r="D5" s="25" t="inlineStr">
        <is>
          <t>발주기관 · 연구진</t>
        </is>
      </c>
      <c r="E5" s="28" t="inlineStr"/>
    </row>
    <row r="6" ht="46" customHeight="1">
      <c r="A6" s="25" t="n">
        <v>3</v>
      </c>
      <c r="B6" s="39" t="inlineStr">
        <is>
          <t>§19·§20 의 세션·동시측정·20분 요건 공식 적용단위</t>
        </is>
      </c>
      <c r="C6" s="39" t="inlineStr">
        <is>
          <t>1일 6회의 «회»가 무엇인지, 20분이 어느 구간인지에 따라 관측행 설계와 적합 판정이 달라진다.</t>
        </is>
      </c>
      <c r="D6" s="25" t="inlineStr">
        <is>
          <t>국토지리정보원</t>
        </is>
      </c>
      <c r="E6" s="28" t="inlineStr"/>
    </row>
    <row r="7" ht="46" customHeight="1">
      <c r="A7" s="25" t="n">
        <v>4</v>
      </c>
      <c r="B7" s="39" t="inlineStr">
        <is>
          <t>최종 중심 이동 후 전체 재측정 여부</t>
        </is>
      </c>
      <c r="C7" s="39" t="inlineStr">
        <is>
          <t>옛 중심 자료는 새 중심의 10 m 범위와 수직구배를 입증하지 않는다. 재측정하면 일정·비용이 늘고, 안 하면 「잠정 중심」으로 남는다.</t>
        </is>
      </c>
      <c r="D7" s="25" t="inlineStr">
        <is>
          <t>발주기관 · 연구진</t>
        </is>
      </c>
      <c r="E7" s="28" t="inlineStr"/>
    </row>
    <row r="8" ht="46" customHeight="1">
      <c r="A8" s="25" t="n">
        <v>5</v>
      </c>
      <c r="B8" s="39" t="inlineStr">
        <is>
          <t>§13② 시설 분류와 거리 산정·현장확인 방식</t>
        </is>
      </c>
      <c r="C8" s="39" t="inlineStr">
        <is>
          <t>시설 분류가 애매하면 법정 이격 판정이 갈린다. 대외 법정 적합성에 직결.</t>
        </is>
      </c>
      <c r="D8" s="25" t="inlineStr">
        <is>
          <t>국토지리정보원</t>
        </is>
      </c>
      <c r="E8" s="28" t="inlineStr"/>
    </row>
    <row r="9" ht="46" customHeight="1">
      <c r="A9" s="25" t="n">
        <v>6</v>
      </c>
      <c r="B9" s="39" t="inlineStr">
        <is>
          <t>미원의 공식 좌표·표석 동일성, 기존 16점의 성분별 대조 가능성</t>
        </is>
      </c>
      <c r="C9" s="39" t="inlineStr">
        <is>
          <t>물리점이 특정되지 않으면 과거 성과와 견줄 수 없다. 현재는 «과거대조만» 보류로 두었다.</t>
        </is>
      </c>
      <c r="D9" s="25" t="inlineStr">
        <is>
          <t>국토지리정보원</t>
        </is>
      </c>
      <c r="E9" s="28" t="inlineStr"/>
    </row>
    <row r="10" ht="46" customHeight="1">
      <c r="A10" s="25" t="n">
        <v>7</v>
      </c>
      <c r="B10" s="39" t="inlineStr">
        <is>
          <t>5~10 m 범위를 50점 모두 10 m 로 적용할지</t>
        </is>
      </c>
      <c r="C10" s="39" t="inlineStr">
        <is>
          <t>IAGA 예시가 「5~10 m」라 범위에 폭이 있다. 10 m 고정은 작업량을 늘린다.</t>
        </is>
      </c>
      <c r="D10" s="25" t="inlineStr">
        <is>
          <t>연구진 · 운영 결정</t>
        </is>
      </c>
      <c r="E10" s="28" t="inlineStr"/>
    </row>
    <row r="11" ht="46" customHeight="1">
      <c r="A11" s="25" t="n">
        <v>8</v>
      </c>
      <c r="B11" s="39" t="inlineStr">
        <is>
          <t>상시관측소 원자료의 제공조건·시간해상도</t>
        </is>
      </c>
      <c r="C11" s="39" t="inlineStr">
        <is>
          <t>자료가 «존재한다»와 «쓸 수 있다»는 다르다. §21 대조의 실현 가능성이 여기 달렸다.</t>
        </is>
      </c>
      <c r="D11" s="25" t="inlineStr">
        <is>
          <t>청양(INTERMAGNET) · KASA</t>
        </is>
      </c>
      <c r="E11" s="28" t="inlineStr"/>
    </row>
    <row r="12" ht="46" customHeight="1">
      <c r="A12" s="25" t="n">
        <v>9</v>
      </c>
      <c r="B12" s="39" t="inlineStr">
        <is>
          <t>MinGeo 010B 검교정 대책</t>
        </is>
      </c>
      <c r="C12" s="39" t="inlineStr">
        <is>
          <t>해외(헝가리) 발송이 길고 예비장비가 없어 측정 공백이 생긴다. 비자성 각도부(Zeiss THEO)는 단종이다.</t>
        </is>
      </c>
      <c r="D12" s="25" t="inlineStr">
        <is>
          <t>국토지리정보원</t>
        </is>
      </c>
      <c r="E12" s="28" t="inlineStr"/>
    </row>
  </sheetData>
  <mergeCells count="2">
    <mergeCell ref="A2:E2"/>
    <mergeCell ref="A1:E1"/>
  </mergeCells>
  <dataValidations count="1">
    <dataValidation sqref="E4:E12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2026-09-07T07:38:19Z</dcterms:created>
  <dcterms:modified xmlns:dcterms="http://purl.org/dc/terms/" xmlns:xsi="http://www.w3.org/2001/XMLSchema-instance" xsi:type="dcterms:W3CDTF">2026-09-07T07:38:23Z</dcterms:modified>
</cp:coreProperties>
</file>